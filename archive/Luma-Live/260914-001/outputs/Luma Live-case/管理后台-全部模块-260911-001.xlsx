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0e782f77e24c01" /></Relationships>
</file>

<file path=xl/workbook.xml><?xml version="1.0" encoding="utf-8"?>
<x:workbook xmlns:x="http://schemas.openxmlformats.org/spreadsheetml/2006/main">
  <x:sheets>
    <x:sheet xmlns:r="http://schemas.openxmlformats.org/officeDocument/2006/relationships" name="产品决策概览" sheetId="1" r:id="R56b63d40504e4c7d"/>
    <x:sheet xmlns:r="http://schemas.openxmlformats.org/officeDocument/2006/relationships" name="功能测试用例" sheetId="2" r:id="R52b6849ca9ce4a01"/>
    <x:sheet xmlns:r="http://schemas.openxmlformats.org/officeDocument/2006/relationships" name="需求待确认" sheetId="3" r:id="R089a8fa8061748b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rial"/>
    </x:font>
    <x:font>
      <x:b/>
      <x:sz val="10"/>
      <x:color rgb="FFFFFFFF"/>
      <x:name val="Arial"/>
    </x:font>
    <x:font>
      <x:b/>
      <x:sz val="15"/>
      <x:color rgb="FF111827"/>
      <x:name val="Arial"/>
    </x:font>
    <x:font>
      <x:i/>
      <x:sz val="10"/>
      <x:color rgb="FF64748B"/>
      <x:name val="Arial"/>
    </x:font>
  </x:fonts>
  <x:fills count="4">
    <x:fill>
      <x:patternFill patternType="none"/>
    </x:fill>
    <x:fill>
      <x:patternFill patternType="gray125"/>
    </x:fill>
    <x:fill>
      <x:patternFill patternType="solid">
        <x:fgColor rgb="FF243447"/>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5019d72c8b40ef" /><Relationship Type="http://schemas.openxmlformats.org/officeDocument/2006/relationships/theme" Target="/xl/theme/theme1.xml" Id="R195090fde5c441ca" /><Relationship Type="http://schemas.openxmlformats.org/officeDocument/2006/relationships/sharedStrings" Target="/xl/sharedStrings.xml" Id="R68ff1d1ec70c45ef" /><Relationship Type="http://schemas.openxmlformats.org/officeDocument/2006/relationships/worksheet" Target="/xl/worksheets/sheet1.xml" Id="R56b63d40504e4c7d" /><Relationship Type="http://schemas.openxmlformats.org/officeDocument/2006/relationships/worksheet" Target="/xl/worksheets/sheet2.xml" Id="R52b6849ca9ce4a01" /><Relationship Type="http://schemas.openxmlformats.org/officeDocument/2006/relationships/worksheet" Target="/xl/worksheets/sheet3.xml" Id="R089a8fa8061748bc" /></Relationships>
</file>

<file path=xl/tables/table1.xml><?xml version="1.0" encoding="utf-8"?>
<x:table xmlns:x="http://schemas.openxmlformats.org/spreadsheetml/2006/main" id="1" name="AdminAllCases" displayName="AdminAllCases" ref="A1:O507" headerRowCount="1" totalsRowCount="0" totalsRowShown="0">
  <x:autoFilter ref="A1:O507"/>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AdminAllPending" displayName="AdminAllPending" ref="A1:T5" headerRowCount="1" totalsRowCount="0" totalsRowShown="0">
  <x:autoFilter ref="A1:T5"/>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8eedab8db1453a" /></Relationships>
</file>

<file path=xl/worksheets/_rels/sheet3.xml.rels>&#65279;<?xml version="1.0" encoding="utf-8"?><Relationships xmlns="http://schemas.openxmlformats.org/package/2006/relationships"><Relationship Type="http://schemas.openxmlformats.org/officeDocument/2006/relationships/table" Target="/xl/tables/table2.xml" Id="R871a6ac2a5834f24"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0" t="str">
        <x:v>管理后台-全部模块 产品决策概览</x:v>
      </x:c>
      <x:c r="B1" s="9"/>
      <x:c r="C1" s="9"/>
      <x:c r="D1" s="9"/>
      <x:c r="E1" s="9"/>
      <x:c r="F1" s="9"/>
      <x:c r="G1" s="9"/>
      <x:c r="H1" s="9"/>
    </x:row>
    <x:row r="2">
      <x:c r="A2" s="11" t="str">
        <x:v>数量由“需求待确认”工作表实时汇总</x:v>
      </x:c>
      <x:c r="B2" s="9"/>
      <x:c r="C2" s="9"/>
      <x:c r="D2" s="9"/>
      <x:c r="E2" s="9"/>
      <x:c r="F2" s="9"/>
      <x:c r="G2" s="9"/>
      <x:c r="H2" s="9"/>
    </x:row>
    <x:row r="3">
      <x:c r="A3" s="9"/>
      <x:c r="B3" s="9"/>
      <x:c r="C3" s="9"/>
      <x:c r="D3" s="9"/>
      <x:c r="E3" s="9"/>
      <x:c r="F3" s="9"/>
      <x:c r="G3" s="9"/>
      <x:c r="H3" s="9"/>
    </x:row>
    <x:row r="4">
      <x:c r="A4" s="7" t="str">
        <x:v>状态</x:v>
      </x:c>
      <x:c r="B4" s="7" t="str">
        <x:v>数量</x:v>
      </x:c>
      <x:c r="C4" s="9"/>
      <x:c r="D4" s="7" t="str">
        <x:v>阻塞等级</x:v>
      </x:c>
      <x:c r="E4" s="7" t="str">
        <x:v>当前待确认</x:v>
      </x:c>
      <x:c r="F4" s="9"/>
      <x:c r="G4" s="7" t="str">
        <x:v>负责人</x:v>
      </x:c>
      <x:c r="H4" s="7" t="str">
        <x:v>当前待确认</x:v>
      </x:c>
    </x:row>
    <x:row r="5">
      <x:c r="A5" s="12" t="str">
        <x:v>问题总数</x:v>
      </x:c>
      <x:c r="B5" s="12" t="n">
        <x:f>COUNTA('需求待确认'!$A$2:$A$5)</x:f>
        <x:v>4</x:v>
      </x:c>
      <x:c r="C5" s="9"/>
      <x:c r="D5" s="12" t="str">
        <x:v>阻塞测试</x:v>
      </x:c>
      <x:c r="E5" s="12" t="n">
        <x:f>COUNTIFS('需求待确认'!$E$2:$E$5,"阻塞测试",'需求待确认'!$T$2:$T$5,"待确认")</x:f>
        <x:v>0</x:v>
      </x:c>
      <x:c r="F5" s="9"/>
      <x:c r="G5" s="12" t="str">
        <x:v>产品</x:v>
      </x:c>
      <x:c r="H5" s="12" t="n">
        <x:f>COUNTIFS('需求待确认'!$R$2:$R$5,"产品",'需求待确认'!$T$2:$T$5,"待确认")</x:f>
        <x:v>3</x:v>
      </x:c>
    </x:row>
    <x:row r="6">
      <x:c r="A6" s="12" t="str">
        <x:v>当前可回答</x:v>
      </x:c>
      <x:c r="B6" s="12" t="n">
        <x:f>COUNTIF('需求待确认'!$T$2:$T$5,"待确认")</x:f>
        <x:v>4</x:v>
      </x:c>
      <x:c r="C6" s="9"/>
      <x:c r="D6" s="12" t="str">
        <x:v>部分阻塞</x:v>
      </x:c>
      <x:c r="E6" s="12" t="n">
        <x:f>COUNTIFS('需求待确认'!$E$2:$E$5,"部分阻塞",'需求待确认'!$T$2:$T$5,"待确认")</x:f>
        <x:v>4</x:v>
      </x:c>
      <x:c r="F6" s="9"/>
      <x:c r="G6" s="12" t="str">
        <x:v>交互</x:v>
      </x:c>
      <x:c r="H6" s="12" t="n">
        <x:f>COUNTIFS('需求待确认'!$R$2:$R$5,"交互",'需求待确认'!$T$2:$T$5,"待确认")</x:f>
        <x:v>0</x:v>
      </x:c>
    </x:row>
    <x:row r="7">
      <x:c r="A7" s="12" t="str">
        <x:v>待前置结论</x:v>
      </x:c>
      <x:c r="B7" s="12" t="n">
        <x:f>COUNTIF('需求待确认'!$T$2:$T$5,"待前置结论")</x:f>
        <x:v>0</x:v>
      </x:c>
      <x:c r="C7" s="9"/>
      <x:c r="D7" s="12" t="str">
        <x:v>不阻塞</x:v>
      </x:c>
      <x:c r="E7" s="12" t="n">
        <x:f>COUNTIFS('需求待确认'!$E$2:$E$5,"不阻塞",'需求待确认'!$T$2:$T$5,"待确认")</x:f>
        <x:v>0</x:v>
      </x:c>
      <x:c r="F7" s="9"/>
      <x:c r="G7" s="12" t="str">
        <x:v>技术</x:v>
      </x:c>
      <x:c r="H7" s="12" t="n">
        <x:f>COUNTIFS('需求待确认'!$R$2:$R$5,"技术",'需求待确认'!$T$2:$T$5,"待确认")</x:f>
        <x:v>0</x:v>
      </x:c>
    </x:row>
    <x:row r="8">
      <x:c r="A8" s="12" t="str">
        <x:v>确认中</x:v>
      </x:c>
      <x:c r="B8" s="12" t="n">
        <x:f>COUNTIF('需求待确认'!$T$2:$T$5,"确认中")</x:f>
        <x:v>0</x:v>
      </x:c>
      <x:c r="C8" s="9"/>
      <x:c r="D8" s="9"/>
      <x:c r="E8" s="9"/>
      <x:c r="F8" s="9"/>
      <x:c r="G8" s="12" t="str">
        <x:v>多方确认</x:v>
      </x:c>
      <x:c r="H8" s="12" t="n">
        <x:f>COUNTIFS('需求待确认'!$R$2:$R$5,"多方确认",'需求待确认'!$T$2:$T$5,"待确认")</x:f>
        <x:v>1</x:v>
      </x:c>
    </x:row>
    <x:row r="9">
      <x:c r="A9" s="12" t="str">
        <x:v>已确认</x:v>
      </x:c>
      <x:c r="B9" s="12" t="n">
        <x:f>COUNTIF('需求待确认'!$T$2:$T$5,"已确认")</x:f>
        <x:v>0</x:v>
      </x:c>
      <x:c r="C9" s="9"/>
      <x:c r="D9" s="9"/>
      <x:c r="E9" s="9"/>
      <x:c r="F9" s="9"/>
      <x:c r="G9" s="9"/>
      <x:c r="H9" s="9"/>
    </x:row>
    <x:row r="10">
      <x:c r="A10" s="12" t="str">
        <x:v>无需处理</x:v>
      </x:c>
      <x:c r="B10" s="12" t="n">
        <x:f>COUNTIF('需求待确认'!$T$2:$T$5,"无需处理")</x:f>
        <x:v>0</x:v>
      </x:c>
      <x:c r="C10" s="9"/>
      <x:c r="D10" s="9"/>
      <x:c r="E10" s="9"/>
      <x:c r="F10" s="9"/>
      <x:c r="G10" s="9"/>
      <x:c r="H10"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54" customHeight="1">
      <x:c r="A2" s="4" t="n">
        <x:v>1</x:v>
      </x:c>
      <x:c r="B2" s="4" t="str">
        <x:v>AFIN-0001</x:v>
      </x:c>
      <x:c r="C2" s="4" t="str">
        <x:v>财务结算</x:v>
      </x:c>
      <x:c r="D2" s="4" t="str">
        <x:v>充值订单（平台管理员视角）</x:v>
      </x:c>
      <x:c r="E2" s="4" t="str">
        <x:v>功能需求</x:v>
      </x:c>
      <x:c r="F2" s="4" t="str">
        <x:v>P1</x:v>
      </x:c>
      <x:c r="G2" s="4" t="str">
        <x:v>验证充值订单可查看成功时间</x:v>
      </x:c>
      <x:c r="H2" s="4" t="str">
        <x:v>成功时间展示</x:v>
      </x:c>
      <x:c r="I2" s="4" t="str">
        <x:v>1. 平台管理员账号已登录且具备当前页面权限</x:v>
      </x:c>
      <x:c r="J2" s="4" t="str">
        <x:v>1. 进入充值订单
2. 查看成功时间</x:v>
      </x:c>
      <x:c r="K2" s="4" t="str">
        <x:v>充值订单显示“成功时间”</x:v>
      </x:c>
      <x:c r="L2" s="4" t="str"/>
      <x:c r="M2" s="4" t="str">
        <x:v>未测</x:v>
      </x:c>
      <x:c r="N2" s="4" t="str"/>
      <x:c r="O2" s="4" t="str">
        <x:v>1. 来源（原型批注）：liveshow-proto/prototype/annotations/admin.js；admin-recharge-order.html
2. 页面：admin-recharge-order.html
3. 规则：BR-24AEA342B3AD8A
4. 场景：SC-215113A999F51A
5. 未动态验证</x:v>
      </x:c>
    </x:row>
    <x:row r="3" ht="54" customHeight="1">
      <x:c r="A3" s="4" t="n">
        <x:v>2</x:v>
      </x:c>
      <x:c r="B3" s="4" t="str">
        <x:v>AFIN-0002</x:v>
      </x:c>
      <x:c r="C3" s="4" t="str">
        <x:v>财务结算</x:v>
      </x:c>
      <x:c r="D3" s="4" t="str">
        <x:v>充值订单（平台管理员视角）</x:v>
      </x:c>
      <x:c r="E3" s="4" t="str">
        <x:v>功能需求</x:v>
      </x:c>
      <x:c r="F3" s="4" t="str">
        <x:v>P1</x:v>
      </x:c>
      <x:c r="G3" s="4" t="str">
        <x:v>验证充值订单可查看充值金额</x:v>
      </x:c>
      <x:c r="H3" s="4" t="str">
        <x:v>充值金额展示</x:v>
      </x:c>
      <x:c r="I3" s="4" t="str">
        <x:v>1. 平台管理员账号已登录且具备当前页面权限</x:v>
      </x:c>
      <x:c r="J3" s="4" t="str">
        <x:v>1. 进入充值订单
2. 查看充值金额</x:v>
      </x:c>
      <x:c r="K3" s="4" t="str">
        <x:v>充值订单显示“充值金额”</x:v>
      </x:c>
      <x:c r="L3" s="4" t="str"/>
      <x:c r="M3" s="4" t="str">
        <x:v>未测</x:v>
      </x:c>
      <x:c r="N3" s="4" t="str"/>
      <x:c r="O3" s="4" t="str">
        <x:v>1. 来源（原型批注）：liveshow-proto/prototype/annotations/admin.js；admin-recharge-order.html
2. 页面：admin-recharge-order.html
3. 规则：BR-E87EE326B24591
4. 场景：SC-D7D196D38C691A
5. 未动态验证</x:v>
      </x:c>
    </x:row>
    <x:row r="4" ht="54" customHeight="1">
      <x:c r="A4" s="4" t="n">
        <x:v>3</x:v>
      </x:c>
      <x:c r="B4" s="4" t="str">
        <x:v>AFIN-0003</x:v>
      </x:c>
      <x:c r="C4" s="4" t="str">
        <x:v>财务结算</x:v>
      </x:c>
      <x:c r="D4" s="4" t="str">
        <x:v>充值订单（平台管理员视角）</x:v>
      </x:c>
      <x:c r="E4" s="4" t="str">
        <x:v>功能需求</x:v>
      </x:c>
      <x:c r="F4" s="4" t="str">
        <x:v>P1</x:v>
      </x:c>
      <x:c r="G4" s="4" t="str">
        <x:v>验证充值订单可查看到账金币</x:v>
      </x:c>
      <x:c r="H4" s="4" t="str">
        <x:v>到账金币展示</x:v>
      </x:c>
      <x:c r="I4" s="4" t="str">
        <x:v>1. 平台管理员账号已登录且具备当前页面权限</x:v>
      </x:c>
      <x:c r="J4" s="4" t="str">
        <x:v>1. 进入充值订单
2. 查看到账金币</x:v>
      </x:c>
      <x:c r="K4" s="4" t="str">
        <x:v>充值订单显示“到账金币”</x:v>
      </x:c>
      <x:c r="L4" s="4" t="str"/>
      <x:c r="M4" s="4" t="str">
        <x:v>未测</x:v>
      </x:c>
      <x:c r="N4" s="4" t="str"/>
      <x:c r="O4" s="4" t="str">
        <x:v>1. 来源（原型批注）：liveshow-proto/prototype/annotations/admin.js；admin-recharge-order.html
2. 页面：admin-recharge-order.html
3. 规则：BR-24538AF991B437
4. 场景：SC-DF650465C1F7D9
5. 未动态验证</x:v>
      </x:c>
    </x:row>
    <x:row r="5" ht="54" customHeight="1">
      <x:c r="A5" s="4" t="n">
        <x:v>4</x:v>
      </x:c>
      <x:c r="B5" s="4" t="str">
        <x:v>AFIN-0004</x:v>
      </x:c>
      <x:c r="C5" s="4" t="str">
        <x:v>财务结算</x:v>
      </x:c>
      <x:c r="D5" s="4" t="str">
        <x:v>充值订单（平台管理员视角）</x:v>
      </x:c>
      <x:c r="E5" s="4" t="str">
        <x:v>功能需求</x:v>
      </x:c>
      <x:c r="F5" s="4" t="str">
        <x:v>P1</x:v>
      </x:c>
      <x:c r="G5" s="4" t="str">
        <x:v>验证充值订单可查看订单号 / 渠道交易号</x:v>
      </x:c>
      <x:c r="H5" s="4" t="str">
        <x:v>订单号 / 渠道交易号展示</x:v>
      </x:c>
      <x:c r="I5" s="4" t="str">
        <x:v>1. 平台管理员账号已登录且具备当前页面权限</x:v>
      </x:c>
      <x:c r="J5" s="4" t="str">
        <x:v>1. 进入充值订单
2. 查看订单号 / 渠道交易号</x:v>
      </x:c>
      <x:c r="K5" s="4" t="str">
        <x:v>充值订单显示“订单号 / 渠道交易号”</x:v>
      </x:c>
      <x:c r="L5" s="4" t="str"/>
      <x:c r="M5" s="4" t="str">
        <x:v>未测</x:v>
      </x:c>
      <x:c r="N5" s="4" t="str"/>
      <x:c r="O5" s="4" t="str">
        <x:v>1. 来源（原型批注）：liveshow-proto/prototype/annotations/admin.js；admin-recharge-order.html
2. 页面：admin-recharge-order.html
3. 规则：BR-B8BDF395684F28、BR-097AA5B0065222
4. 场景：SC-10A8B471F59042
5. 未动态验证</x:v>
      </x:c>
    </x:row>
    <x:row r="6" ht="54" customHeight="1">
      <x:c r="A6" s="4" t="n">
        <x:v>5</x:v>
      </x:c>
      <x:c r="B6" s="4" t="str">
        <x:v>AFIN-0005</x:v>
      </x:c>
      <x:c r="C6" s="4" t="str">
        <x:v>财务结算</x:v>
      </x:c>
      <x:c r="D6" s="4" t="str">
        <x:v>充值订单（平台管理员视角）</x:v>
      </x:c>
      <x:c r="E6" s="4" t="str">
        <x:v>功能需求</x:v>
      </x:c>
      <x:c r="F6" s="4" t="str">
        <x:v>P1</x:v>
      </x:c>
      <x:c r="G6" s="4" t="str">
        <x:v>验证充值订单可查看基础 / 赠送金币</x:v>
      </x:c>
      <x:c r="H6" s="4" t="str">
        <x:v>基础 / 赠送金币展示</x:v>
      </x:c>
      <x:c r="I6" s="4" t="str">
        <x:v>1. 平台管理员账号已登录且具备当前页面权限</x:v>
      </x:c>
      <x:c r="J6" s="4" t="str">
        <x:v>1. 进入充值订单
2. 查看基础 / 赠送金币</x:v>
      </x:c>
      <x:c r="K6" s="4" t="str">
        <x:v>充值订单显示“基础 / 赠送金币”</x:v>
      </x:c>
      <x:c r="L6" s="4" t="str"/>
      <x:c r="M6" s="4" t="str">
        <x:v>未测</x:v>
      </x:c>
      <x:c r="N6" s="4" t="str"/>
      <x:c r="O6" s="4" t="str">
        <x:v>1. 来源（原型批注）：liveshow-proto/prototype/annotations/admin.js；admin-recharge-order.html
2. 页面：admin-recharge-order.html
3. 规则：BR-D6E87307E53370
4. 场景：SC-79DA9063916064
5. 未动态验证</x:v>
      </x:c>
    </x:row>
    <x:row r="7" ht="54" customHeight="1">
      <x:c r="A7" s="4" t="n">
        <x:v>6</x:v>
      </x:c>
      <x:c r="B7" s="4" t="str">
        <x:v>AFIN-0006</x:v>
      </x:c>
      <x:c r="C7" s="4" t="str">
        <x:v>财务结算</x:v>
      </x:c>
      <x:c r="D7" s="4" t="str">
        <x:v>充值订单（平台管理员视角）</x:v>
      </x:c>
      <x:c r="E7" s="4" t="str">
        <x:v>功能需求</x:v>
      </x:c>
      <x:c r="F7" s="4" t="str">
        <x:v>P1</x:v>
      </x:c>
      <x:c r="G7" s="4" t="str">
        <x:v>验证充值订单可查看状态</x:v>
      </x:c>
      <x:c r="H7" s="4" t="str">
        <x:v>状态展示</x:v>
      </x:c>
      <x:c r="I7" s="4" t="str">
        <x:v>1. 平台管理员账号已登录且具备当前页面权限</x:v>
      </x:c>
      <x:c r="J7" s="4" t="str">
        <x:v>1. 进入充值订单
2. 查看状态</x:v>
      </x:c>
      <x:c r="K7" s="4" t="str">
        <x:v>充值订单显示“状态”</x:v>
      </x:c>
      <x:c r="L7" s="4" t="str"/>
      <x:c r="M7" s="4" t="str">
        <x:v>未测</x:v>
      </x:c>
      <x:c r="N7" s="4" t="str"/>
      <x:c r="O7" s="4" t="str">
        <x:v>1. 来源（原型批注）：liveshow-proto/prototype/annotations/admin.js；admin-recharge-order.html
2. 页面：admin-recharge-order.html
3. 规则：BR-FA3A19D95BF9E0、BR-05C76E08FED3DD
4. 场景：SC-66C476AD1E1F0F
5. 未动态验证</x:v>
      </x:c>
    </x:row>
    <x:row r="8" ht="54" customHeight="1">
      <x:c r="A8" s="4" t="n">
        <x:v>7</x:v>
      </x:c>
      <x:c r="B8" s="4" t="str">
        <x:v>AFIN-0007</x:v>
      </x:c>
      <x:c r="C8" s="4" t="str">
        <x:v>财务结算</x:v>
      </x:c>
      <x:c r="D8" s="4" t="str">
        <x:v>充值订单（平台管理员视角）</x:v>
      </x:c>
      <x:c r="E8" s="4" t="str">
        <x:v>业务流程</x:v>
      </x:c>
      <x:c r="F8" s="4" t="str">
        <x:v>P1</x:v>
      </x:c>
      <x:c r="G8" s="4" t="str">
        <x:v>验证详情后的充值订单状态</x:v>
      </x:c>
      <x:c r="H8" s="4" t="str">
        <x:v>充值订单状态</x:v>
      </x:c>
      <x:c r="I8" s="4" t="str">
        <x:v>1. 平台管理员账号已登录且具备当前页面权限
2. 详情</x:v>
      </x:c>
      <x:c r="J8" s="4" t="str">
        <x:v>1. 进入充值订单
2. 刷新充值订单</x:v>
      </x:c>
      <x:c r="K8" s="4" t="str">
        <x:v>核对支付、到账和退款</x:v>
      </x:c>
      <x:c r="L8" s="4" t="str"/>
      <x:c r="M8" s="4" t="str">
        <x:v>未测</x:v>
      </x:c>
      <x:c r="N8" s="4" t="str"/>
      <x:c r="O8" s="4" t="str">
        <x:v>1. 来源（原型批注）：liveshow-proto/prototype/annotations/admin.js；admin-recharge-order.html
2. 页面：admin-recharge-order.html
3. 规则：BR-42AA7364288B60
4. 场景：SC-5D58051FAF3D4C
5. 未动态验证</x:v>
      </x:c>
    </x:row>
    <x:row r="9" ht="54" customHeight="1">
      <x:c r="A9" s="4" t="n">
        <x:v>8</x:v>
      </x:c>
      <x:c r="B9" s="4" t="str">
        <x:v>AFIN-0008</x:v>
      </x:c>
      <x:c r="C9" s="4" t="str">
        <x:v>财务结算</x:v>
      </x:c>
      <x:c r="D9" s="4" t="str">
        <x:v>充值订单详情（平台管理员视角）</x:v>
      </x:c>
      <x:c r="E9" s="4" t="str">
        <x:v>功能需求</x:v>
      </x:c>
      <x:c r="F9" s="4" t="str">
        <x:v>P1</x:v>
      </x:c>
      <x:c r="G9" s="4" t="str">
        <x:v>验证充值订单详情可查看订单 / 渠道信息</x:v>
      </x:c>
      <x:c r="H9" s="4" t="str">
        <x:v>订单 / 渠道信息展示</x:v>
      </x:c>
      <x:c r="I9" s="4" t="str">
        <x:v>1. 平台管理员账号已登录且具备当前页面权限</x:v>
      </x:c>
      <x:c r="J9" s="4" t="str">
        <x:v>1. 进入充值订单详情
2. 查看订单 / 渠道信息</x:v>
      </x:c>
      <x:c r="K9" s="4" t="str">
        <x:v>充值订单详情显示“订单 / 渠道信息”</x:v>
      </x:c>
      <x:c r="L9" s="4" t="str"/>
      <x:c r="M9" s="4" t="str">
        <x:v>未测</x:v>
      </x:c>
      <x:c r="N9" s="4" t="str"/>
      <x:c r="O9" s="4" t="str">
        <x:v>1. 来源（原型批注）：liveshow-proto/prototype/annotations/admin.js；admin-recharge-order-detail.html
2. 页面：admin-recharge-order-detail.html
3. 规则：BR-D8BA06B0985482
4. 场景：SC-8F19A03503AFC8
5. 未动态验证</x:v>
      </x:c>
    </x:row>
    <x:row r="10" ht="54" customHeight="1">
      <x:c r="A10" s="4" t="n">
        <x:v>9</x:v>
      </x:c>
      <x:c r="B10" s="4" t="str">
        <x:v>AFIN-0009</x:v>
      </x:c>
      <x:c r="C10" s="4" t="str">
        <x:v>财务结算</x:v>
      </x:c>
      <x:c r="D10" s="4" t="str">
        <x:v>充值订单详情（平台管理员视角）</x:v>
      </x:c>
      <x:c r="E10" s="4" t="str">
        <x:v>功能需求</x:v>
      </x:c>
      <x:c r="F10" s="4" t="str">
        <x:v>P1</x:v>
      </x:c>
      <x:c r="G10" s="4" t="str">
        <x:v>验证充值订单详情可查看订单金额 / 实付金额</x:v>
      </x:c>
      <x:c r="H10" s="4" t="str">
        <x:v>订单金额 / 实付金额展示</x:v>
      </x:c>
      <x:c r="I10" s="4" t="str">
        <x:v>1. 平台管理员账号已登录且具备当前页面权限</x:v>
      </x:c>
      <x:c r="J10" s="4" t="str">
        <x:v>1. 进入充值订单详情
2. 查看订单金额 / 实付金额</x:v>
      </x:c>
      <x:c r="K10" s="4" t="str">
        <x:v>充值订单详情显示“订单金额 / 实付金额”</x:v>
      </x:c>
      <x:c r="L10" s="4" t="str"/>
      <x:c r="M10" s="4" t="str">
        <x:v>未测</x:v>
      </x:c>
      <x:c r="N10" s="4" t="str"/>
      <x:c r="O10" s="4" t="str">
        <x:v>1. 来源（原型批注）：liveshow-proto/prototype/annotations/admin.js；admin-recharge-order-detail.html
2. 页面：admin-recharge-order-detail.html
3. 规则：BR-4965E7C6A15905
4. 场景：SC-19CC1A3977B1F5
5. 未动态验证</x:v>
      </x:c>
    </x:row>
    <x:row r="11" ht="54" customHeight="1">
      <x:c r="A11" s="4" t="n">
        <x:v>10</x:v>
      </x:c>
      <x:c r="B11" s="4" t="str">
        <x:v>AFIN-0010</x:v>
      </x:c>
      <x:c r="C11" s="4" t="str">
        <x:v>财务结算</x:v>
      </x:c>
      <x:c r="D11" s="4" t="str">
        <x:v>充值订单详情（平台管理员视角）</x:v>
      </x:c>
      <x:c r="E11" s="4" t="str">
        <x:v>功能需求</x:v>
      </x:c>
      <x:c r="F11" s="4" t="str">
        <x:v>P1</x:v>
      </x:c>
      <x:c r="G11" s="4" t="str">
        <x:v>验证充值订单详情可查看扣回金币</x:v>
      </x:c>
      <x:c r="H11" s="4" t="str">
        <x:v>扣回金币展示</x:v>
      </x:c>
      <x:c r="I11" s="4" t="str">
        <x:v>1. 平台管理员账号已登录且具备当前页面权限</x:v>
      </x:c>
      <x:c r="J11" s="4" t="str">
        <x:v>1. 进入充值订单详情
2. 查看扣回金币</x:v>
      </x:c>
      <x:c r="K11" s="4" t="str">
        <x:v>充值订单详情显示“扣回金币”</x:v>
      </x:c>
      <x:c r="L11" s="4" t="str"/>
      <x:c r="M11" s="4" t="str">
        <x:v>未测</x:v>
      </x:c>
      <x:c r="N11" s="4" t="str"/>
      <x:c r="O11" s="4" t="str">
        <x:v>1. 来源（原型批注）：liveshow-proto/prototype/annotations/admin.js；admin-recharge-order-detail.html
2. 页面：admin-recharge-order-detail.html
3. 规则：BR-C1BF550AA3ED4A
4. 场景：SC-F8F00F8C0878F4
5. 未动态验证</x:v>
      </x:c>
    </x:row>
    <x:row r="12" ht="54" customHeight="1">
      <x:c r="A12" s="4" t="n">
        <x:v>11</x:v>
      </x:c>
      <x:c r="B12" s="4" t="str">
        <x:v>AFIN-0011</x:v>
      </x:c>
      <x:c r="C12" s="4" t="str">
        <x:v>财务结算</x:v>
      </x:c>
      <x:c r="D12" s="4" t="str">
        <x:v>充值订单详情（平台管理员视角）</x:v>
      </x:c>
      <x:c r="E12" s="4" t="str">
        <x:v>功能需求</x:v>
      </x:c>
      <x:c r="F12" s="4" t="str">
        <x:v>P1</x:v>
      </x:c>
      <x:c r="G12" s="4" t="str">
        <x:v>验证充值订单详情可查看退款记录</x:v>
      </x:c>
      <x:c r="H12" s="4" t="str">
        <x:v>退款记录展示</x:v>
      </x:c>
      <x:c r="I12" s="4" t="str">
        <x:v>1. 平台管理员账号已登录且具备当前页面权限</x:v>
      </x:c>
      <x:c r="J12" s="4" t="str">
        <x:v>1. 进入充值订单详情
2. 查看退款记录</x:v>
      </x:c>
      <x:c r="K12" s="4" t="str">
        <x:v>充值订单详情显示“退款记录”</x:v>
      </x:c>
      <x:c r="L12" s="4" t="str"/>
      <x:c r="M12" s="4" t="str">
        <x:v>未测</x:v>
      </x:c>
      <x:c r="N12" s="4" t="str"/>
      <x:c r="O12" s="4" t="str">
        <x:v>1. 来源（原型批注）：liveshow-proto/prototype/annotations/admin.js；admin-recharge-order-detail.html
2. 页面：admin-recharge-order-detail.html
3. 规则：BR-D2B5B9944BA6F6
4. 场景：SC-BF1874B74AF534
5. 未动态验证</x:v>
      </x:c>
    </x:row>
    <x:row r="13" ht="54" customHeight="1">
      <x:c r="A13" s="4" t="n">
        <x:v>12</x:v>
      </x:c>
      <x:c r="B13" s="4" t="str">
        <x:v>AFIN-0012</x:v>
      </x:c>
      <x:c r="C13" s="4" t="str">
        <x:v>财务结算</x:v>
      </x:c>
      <x:c r="D13" s="4" t="str">
        <x:v>充值订单详情（平台管理员视角）</x:v>
      </x:c>
      <x:c r="E13" s="4" t="str">
        <x:v>功能需求</x:v>
      </x:c>
      <x:c r="F13" s="4" t="str">
        <x:v>P1</x:v>
      </x:c>
      <x:c r="G13" s="4" t="str">
        <x:v>验证充值订单详情可查看退款金额</x:v>
      </x:c>
      <x:c r="H13" s="4" t="str">
        <x:v>退款金额展示</x:v>
      </x:c>
      <x:c r="I13" s="4" t="str">
        <x:v>1. 平台管理员账号已登录且具备当前页面权限</x:v>
      </x:c>
      <x:c r="J13" s="4" t="str">
        <x:v>1. 进入充值订单详情
2. 查看退款金额</x:v>
      </x:c>
      <x:c r="K13" s="4" t="str">
        <x:v>充值订单详情显示“退款金额”</x:v>
      </x:c>
      <x:c r="L13" s="4" t="str"/>
      <x:c r="M13" s="4" t="str">
        <x:v>未测</x:v>
      </x:c>
      <x:c r="N13" s="4" t="str"/>
      <x:c r="O13" s="4" t="str">
        <x:v>1. 来源（原型批注）：liveshow-proto/prototype/annotations/admin.js；admin-recharge-order-detail.html
2. 页面：admin-recharge-order-detail.html
3. 规则：BR-F3E66EDF56AC30
4. 场景：SC-61B6F04E2EEC18
5. 未动态验证</x:v>
      </x:c>
    </x:row>
    <x:row r="14" ht="54" customHeight="1">
      <x:c r="A14" s="4" t="n">
        <x:v>13</x:v>
      </x:c>
      <x:c r="B14" s="4" t="str">
        <x:v>AFIN-0013</x:v>
      </x:c>
      <x:c r="C14" s="4" t="str">
        <x:v>财务结算</x:v>
      </x:c>
      <x:c r="D14" s="4" t="str">
        <x:v>充值订单详情（平台管理员视角）</x:v>
      </x:c>
      <x:c r="E14" s="4" t="str">
        <x:v>功能需求</x:v>
      </x:c>
      <x:c r="F14" s="4" t="str">
        <x:v>P1</x:v>
      </x:c>
      <x:c r="G14" s="4" t="str">
        <x:v>验证充值订单详情可查看总到账金币</x:v>
      </x:c>
      <x:c r="H14" s="4" t="str">
        <x:v>总到账金币展示</x:v>
      </x:c>
      <x:c r="I14" s="4" t="str">
        <x:v>1. 平台管理员账号已登录且具备当前页面权限</x:v>
      </x:c>
      <x:c r="J14" s="4" t="str">
        <x:v>1. 进入充值订单详情
2. 查看总到账金币</x:v>
      </x:c>
      <x:c r="K14" s="4" t="str">
        <x:v>充值订单详情显示“总到账金币”</x:v>
      </x:c>
      <x:c r="L14" s="4" t="str"/>
      <x:c r="M14" s="4" t="str">
        <x:v>未测</x:v>
      </x:c>
      <x:c r="N14" s="4" t="str"/>
      <x:c r="O14" s="4" t="str">
        <x:v>1. 来源（原型批注）：liveshow-proto/prototype/annotations/admin.js；admin-recharge-order-detail.html
2. 页面：admin-recharge-order-detail.html
3. 规则：BR-C2AC2EC3CCE4DA
4. 场景：SC-E74215FD7D8436
5. 未动态验证</x:v>
      </x:c>
    </x:row>
    <x:row r="15" ht="54" customHeight="1">
      <x:c r="A15" s="4" t="n">
        <x:v>14</x:v>
      </x:c>
      <x:c r="B15" s="4" t="str">
        <x:v>AFIN-0014</x:v>
      </x:c>
      <x:c r="C15" s="4" t="str">
        <x:v>财务结算</x:v>
      </x:c>
      <x:c r="D15" s="4" t="str">
        <x:v>充值订单详情（平台管理员视角）</x:v>
      </x:c>
      <x:c r="E15" s="4" t="str">
        <x:v>业务流程</x:v>
      </x:c>
      <x:c r="F15" s="4" t="str">
        <x:v>P1</x:v>
      </x:c>
      <x:c r="G15" s="4" t="str">
        <x:v>验证手动退款后的充值订单详情状态</x:v>
      </x:c>
      <x:c r="H15" s="4" t="str">
        <x:v>充值订单详情状态</x:v>
      </x:c>
      <x:c r="I15" s="4" t="str">
        <x:v>1. 平台管理员账号已登录且具备当前页面权限
2. 手动退款</x:v>
      </x:c>
      <x:c r="J15" s="4" t="str">
        <x:v>1. 进入充值订单详情
2. 刷新充值订单详情</x:v>
      </x:c>
      <x:c r="K15" s="4" t="str">
        <x:v>原渠道全额退款、扣回金币</x:v>
      </x:c>
      <x:c r="L15" s="4" t="str"/>
      <x:c r="M15" s="4" t="str">
        <x:v>未测</x:v>
      </x:c>
      <x:c r="N15" s="4" t="str"/>
      <x:c r="O15" s="4" t="str">
        <x:v>1. 来源（原型批注）：liveshow-proto/prototype/annotations/admin.js；admin-recharge-order-detail.html
2. 页面：admin-recharge-order-detail.html
3. 规则：BR-D82AF84F7D21B5
4. 场景：SC-DFD2DBBF35A8E7
5. 未动态验证</x:v>
      </x:c>
    </x:row>
    <x:row r="16" ht="54" customHeight="1">
      <x:c r="A16" s="4" t="n">
        <x:v>15</x:v>
      </x:c>
      <x:c r="B16" s="4" t="str">
        <x:v>AFIN-0015</x:v>
      </x:c>
      <x:c r="C16" s="4" t="str">
        <x:v>财务结算</x:v>
      </x:c>
      <x:c r="D16" s="4" t="str">
        <x:v>公会分成记录（平台管理员视角）</x:v>
      </x:c>
      <x:c r="E16" s="4" t="str">
        <x:v>异常用例</x:v>
      </x:c>
      <x:c r="F16" s="4" t="str">
        <x:v>P1</x:v>
      </x:c>
      <x:c r="G16" s="4" t="str">
        <x:v>验证导入成功后的公会分成记录状态</x:v>
      </x:c>
      <x:c r="H16" s="4" t="str">
        <x:v>公会分成记录状态</x:v>
      </x:c>
      <x:c r="I16" s="4" t="str">
        <x:v>1. 平台管理员账号已登录且具备当前页面权限
2. 导入成功</x:v>
      </x:c>
      <x:c r="J16" s="4" t="str">
        <x:v>1. 进入公会分成记录
2. 刷新公会分成记录</x:v>
      </x:c>
      <x:c r="K16" s="4" t="str">
        <x:v>锁定且不可编辑或删除</x:v>
      </x:c>
      <x:c r="L16" s="4" t="str"/>
      <x:c r="M16" s="4" t="str">
        <x:v>未测</x:v>
      </x:c>
      <x:c r="N16" s="4" t="str"/>
      <x:c r="O16" s="4" t="str">
        <x:v>1. 来源（原型批注）：liveshow-proto/prototype/annotations/admin.js；admin-guild-settlement-record.html
2. 页面：admin-guild-settlement-record.html
3. 规则：BR-70373159EDD99D
4. 场景：SC-07637573DD522F
5. 未动态验证</x:v>
      </x:c>
    </x:row>
    <x:row r="17" ht="54" customHeight="1">
      <x:c r="A17" s="4" t="n">
        <x:v>16</x:v>
      </x:c>
      <x:c r="B17" s="4" t="str">
        <x:v>AFIN-0016</x:v>
      </x:c>
      <x:c r="C17" s="4" t="str">
        <x:v>财务结算</x:v>
      </x:c>
      <x:c r="D17" s="4" t="str">
        <x:v>公会分成记录（平台管理员视角）</x:v>
      </x:c>
      <x:c r="E17" s="4" t="str">
        <x:v>功能需求</x:v>
      </x:c>
      <x:c r="F17" s="4" t="str">
        <x:v>P1</x:v>
      </x:c>
      <x:c r="G17" s="4" t="str">
        <x:v>验证公会分成记录可查看分成备注</x:v>
      </x:c>
      <x:c r="H17" s="4" t="str">
        <x:v>分成备注展示</x:v>
      </x:c>
      <x:c r="I17" s="4" t="str">
        <x:v>1. 平台管理员账号已登录且具备当前页面权限</x:v>
      </x:c>
      <x:c r="J17" s="4" t="str">
        <x:v>1. 进入公会分成记录
2. 查看分成备注</x:v>
      </x:c>
      <x:c r="K17" s="4" t="str">
        <x:v>公会分成记录显示“分成备注”</x:v>
      </x:c>
      <x:c r="L17" s="4" t="str"/>
      <x:c r="M17" s="4" t="str">
        <x:v>未测</x:v>
      </x:c>
      <x:c r="N17" s="4" t="str"/>
      <x:c r="O17" s="4" t="str">
        <x:v>1. 来源（原型批注）：liveshow-proto/prototype/annotations/admin.js；admin-guild-settlement-record.html
2. 页面：admin-guild-settlement-record.html
3. 规则：BR-E66E716590808A
4. 场景：SC-522BEFB7A3D7FC
5. 未动态验证</x:v>
      </x:c>
    </x:row>
    <x:row r="18" ht="54" customHeight="1">
      <x:c r="A18" s="4" t="n">
        <x:v>17</x:v>
      </x:c>
      <x:c r="B18" s="4" t="str">
        <x:v>AFIN-0017</x:v>
      </x:c>
      <x:c r="C18" s="4" t="str">
        <x:v>财务结算</x:v>
      </x:c>
      <x:c r="D18" s="4" t="str">
        <x:v>公会分成记录（平台管理员视角）</x:v>
      </x:c>
      <x:c r="E18" s="4" t="str">
        <x:v>功能需求</x:v>
      </x:c>
      <x:c r="F18" s="4" t="str">
        <x:v>P1</x:v>
      </x:c>
      <x:c r="G18" s="4" t="str">
        <x:v>验证公会分成记录可查看分成总金额</x:v>
      </x:c>
      <x:c r="H18" s="4" t="str">
        <x:v>分成总金额展示</x:v>
      </x:c>
      <x:c r="I18" s="4" t="str">
        <x:v>1. 平台管理员账号已登录且具备当前页面权限</x:v>
      </x:c>
      <x:c r="J18" s="4" t="str">
        <x:v>1. 进入公会分成记录
2. 查看分成总金额</x:v>
      </x:c>
      <x:c r="K18" s="4" t="str">
        <x:v>公会分成记录显示“分成总金额”</x:v>
      </x:c>
      <x:c r="L18" s="4" t="str"/>
      <x:c r="M18" s="4" t="str">
        <x:v>未测</x:v>
      </x:c>
      <x:c r="N18" s="4" t="str"/>
      <x:c r="O18" s="4" t="str">
        <x:v>1. 来源（原型批注）：liveshow-proto/prototype/annotations/admin.js；admin-guild-settlement-record.html
2. 页面：admin-guild-settlement-record.html
3. 规则：BR-2BBC6B090EE48A
4. 场景：SC-A3DFE6B9FF951B
5. 未动态验证</x:v>
      </x:c>
    </x:row>
    <x:row r="19" ht="54" customHeight="1">
      <x:c r="A19" s="4" t="n">
        <x:v>18</x:v>
      </x:c>
      <x:c r="B19" s="4" t="str">
        <x:v>AFIN-0018</x:v>
      </x:c>
      <x:c r="C19" s="4" t="str">
        <x:v>财务结算</x:v>
      </x:c>
      <x:c r="D19" s="4" t="str">
        <x:v>公会分成记录（平台管理员视角）</x:v>
      </x:c>
      <x:c r="E19" s="4" t="str">
        <x:v>功能需求</x:v>
      </x:c>
      <x:c r="F19" s="4" t="str">
        <x:v>P1</x:v>
      </x:c>
      <x:c r="G19" s="4" t="str">
        <x:v>验证公会分成记录可查看公会数量</x:v>
      </x:c>
      <x:c r="H19" s="4" t="str">
        <x:v>公会数量展示</x:v>
      </x:c>
      <x:c r="I19" s="4" t="str">
        <x:v>1. 平台管理员账号已登录且具备当前页面权限</x:v>
      </x:c>
      <x:c r="J19" s="4" t="str">
        <x:v>1. 进入公会分成记录
2. 查看公会数量</x:v>
      </x:c>
      <x:c r="K19" s="4" t="str">
        <x:v>公会分成记录显示“公会数量”</x:v>
      </x:c>
      <x:c r="L19" s="4" t="str"/>
      <x:c r="M19" s="4" t="str">
        <x:v>未测</x:v>
      </x:c>
      <x:c r="N19" s="4" t="str"/>
      <x:c r="O19" s="4" t="str">
        <x:v>1. 来源（原型批注）：liveshow-proto/prototype/annotations/admin.js；admin-guild-settlement-record.html
2. 页面：admin-guild-settlement-record.html
3. 规则：BR-97EED4E5A13A9A
4. 场景：SC-71788752CCCBFE
5. 未动态验证</x:v>
      </x:c>
    </x:row>
    <x:row r="20" ht="54" customHeight="1">
      <x:c r="A20" s="4" t="n">
        <x:v>19</x:v>
      </x:c>
      <x:c r="B20" s="4" t="str">
        <x:v>AFIN-0019</x:v>
      </x:c>
      <x:c r="C20" s="4" t="str">
        <x:v>财务结算</x:v>
      </x:c>
      <x:c r="D20" s="4" t="str">
        <x:v>公会分成记录（平台管理员视角）</x:v>
      </x:c>
      <x:c r="E20" s="4" t="str">
        <x:v>功能需求</x:v>
      </x:c>
      <x:c r="F20" s="4" t="str">
        <x:v>P1</x:v>
      </x:c>
      <x:c r="G20" s="4" t="str">
        <x:v>验证公会分成记录可查看上传人 / 时间</x:v>
      </x:c>
      <x:c r="H20" s="4" t="str">
        <x:v>上传人 / 时间展示</x:v>
      </x:c>
      <x:c r="I20" s="4" t="str">
        <x:v>1. 平台管理员账号已登录且具备当前页面权限</x:v>
      </x:c>
      <x:c r="J20" s="4" t="str">
        <x:v>1. 进入公会分成记录
2. 查看上传人 / 时间</x:v>
      </x:c>
      <x:c r="K20" s="4" t="str">
        <x:v>公会分成记录显示“上传人 / 时间”</x:v>
      </x:c>
      <x:c r="L20" s="4" t="str"/>
      <x:c r="M20" s="4" t="str">
        <x:v>未测</x:v>
      </x:c>
      <x:c r="N20" s="4" t="str"/>
      <x:c r="O20" s="4" t="str">
        <x:v>1. 来源（原型批注）：liveshow-proto/prototype/annotations/admin.js；admin-guild-settlement-record.html
2. 页面：admin-guild-settlement-record.html
3. 规则：BR-12A8E2EF021D55
4. 场景：SC-2E53956B5801B2
5. 未动态验证</x:v>
      </x:c>
    </x:row>
    <x:row r="21" ht="54" customHeight="1">
      <x:c r="A21" s="4" t="n">
        <x:v>20</x:v>
      </x:c>
      <x:c r="B21" s="4" t="str">
        <x:v>AFIN-0020</x:v>
      </x:c>
      <x:c r="C21" s="4" t="str">
        <x:v>财务结算</x:v>
      </x:c>
      <x:c r="D21" s="4" t="str">
        <x:v>公会分成记录（平台管理员视角）</x:v>
      </x:c>
      <x:c r="E21" s="4" t="str">
        <x:v>功能需求</x:v>
      </x:c>
      <x:c r="F21" s="4" t="str">
        <x:v>P1</x:v>
      </x:c>
      <x:c r="G21" s="4" t="str">
        <x:v>验证公会分成记录可查看上传文件</x:v>
      </x:c>
      <x:c r="H21" s="4" t="str">
        <x:v>上传文件展示</x:v>
      </x:c>
      <x:c r="I21" s="4" t="str">
        <x:v>1. 平台管理员账号已登录且具备当前页面权限</x:v>
      </x:c>
      <x:c r="J21" s="4" t="str">
        <x:v>1. 进入公会分成记录
2. 查看上传文件</x:v>
      </x:c>
      <x:c r="K21" s="4" t="str">
        <x:v>公会分成记录显示“上传文件”</x:v>
      </x:c>
      <x:c r="L21" s="4" t="str"/>
      <x:c r="M21" s="4" t="str">
        <x:v>未测</x:v>
      </x:c>
      <x:c r="N21" s="4" t="str"/>
      <x:c r="O21" s="4" t="str">
        <x:v>1. 来源（原型批注）：liveshow-proto/prototype/annotations/admin.js；admin-guild-settlement-record.html
2. 页面：admin-guild-settlement-record.html
3. 规则：BR-DF73D36243D90B
4. 场景：SC-1EF508FB55B9C1
5. 未动态验证</x:v>
      </x:c>
    </x:row>
    <x:row r="22" ht="54" customHeight="1">
      <x:c r="A22" s="4" t="n">
        <x:v>21</x:v>
      </x:c>
      <x:c r="B22" s="4" t="str">
        <x:v>AFIN-0021</x:v>
      </x:c>
      <x:c r="C22" s="4" t="str">
        <x:v>财务结算</x:v>
      </x:c>
      <x:c r="D22" s="4" t="str">
        <x:v>公会分成记录详情（平台管理员视角）</x:v>
      </x:c>
      <x:c r="E22" s="4" t="str">
        <x:v>功能需求</x:v>
      </x:c>
      <x:c r="F22" s="4" t="str">
        <x:v>P1</x:v>
      </x:c>
      <x:c r="G22" s="4" t="str">
        <x:v>验证公会分成记录详情可查看分成总金额</x:v>
      </x:c>
      <x:c r="H22" s="4" t="str">
        <x:v>分成总金额展示</x:v>
      </x:c>
      <x:c r="I22" s="4" t="str">
        <x:v>1. 平台管理员账号已登录且具备当前页面权限</x:v>
      </x:c>
      <x:c r="J22" s="4" t="str">
        <x:v>1. 进入公会分成记录详情
2. 查看分成总金额</x:v>
      </x:c>
      <x:c r="K22" s="4" t="str">
        <x:v>公会分成记录详情显示“分成总金额”</x:v>
      </x:c>
      <x:c r="L22" s="4" t="str"/>
      <x:c r="M22" s="4" t="str">
        <x:v>未测</x:v>
      </x:c>
      <x:c r="N22" s="4" t="str"/>
      <x:c r="O22" s="4" t="str">
        <x:v>1. 来源（原型批注）：liveshow-proto/prototype/annotations/admin.js；admin-guild-settlement-record-detail.html
2. 页面：admin-guild-settlement-record-detail.html
3. 规则：BR-E5245D39CFD880
4. 场景：SC-CD5A72DB824C5A
5. 未动态验证</x:v>
      </x:c>
    </x:row>
    <x:row r="23" ht="54" customHeight="1">
      <x:c r="A23" s="4" t="n">
        <x:v>22</x:v>
      </x:c>
      <x:c r="B23" s="4" t="str">
        <x:v>AFIN-0022</x:v>
      </x:c>
      <x:c r="C23" s="4" t="str">
        <x:v>财务结算</x:v>
      </x:c>
      <x:c r="D23" s="4" t="str">
        <x:v>公会分成记录详情（平台管理员视角）</x:v>
      </x:c>
      <x:c r="E23" s="4" t="str">
        <x:v>功能需求</x:v>
      </x:c>
      <x:c r="F23" s="4" t="str">
        <x:v>P1</x:v>
      </x:c>
      <x:c r="G23" s="4" t="str">
        <x:v>验证公会分成记录详情可查看公会明细</x:v>
      </x:c>
      <x:c r="H23" s="4" t="str">
        <x:v>公会明细展示</x:v>
      </x:c>
      <x:c r="I23" s="4" t="str">
        <x:v>1. 平台管理员账号已登录且具备当前页面权限</x:v>
      </x:c>
      <x:c r="J23" s="4" t="str">
        <x:v>1. 进入公会分成记录详情
2. 查看公会明细</x:v>
      </x:c>
      <x:c r="K23" s="4" t="str">
        <x:v>公会分成记录详情显示“公会明细”</x:v>
      </x:c>
      <x:c r="L23" s="4" t="str"/>
      <x:c r="M23" s="4" t="str">
        <x:v>未测</x:v>
      </x:c>
      <x:c r="N23" s="4" t="str"/>
      <x:c r="O23" s="4" t="str">
        <x:v>1. 来源（原型批注）：liveshow-proto/prototype/annotations/admin.js；admin-guild-settlement-record-detail.html
2. 页面：admin-guild-settlement-record-detail.html
3. 规则：BR-367212CD2333CC
4. 场景：SC-46CBA37D7F1C2A
5. 未动态验证</x:v>
      </x:c>
    </x:row>
    <x:row r="24" ht="54" customHeight="1">
      <x:c r="A24" s="4" t="n">
        <x:v>23</x:v>
      </x:c>
      <x:c r="B24" s="4" t="str">
        <x:v>AFIN-0023</x:v>
      </x:c>
      <x:c r="C24" s="4" t="str">
        <x:v>财务结算</x:v>
      </x:c>
      <x:c r="D24" s="4" t="str">
        <x:v>公会分成记录详情（平台管理员视角）</x:v>
      </x:c>
      <x:c r="E24" s="4" t="str">
        <x:v>功能需求</x:v>
      </x:c>
      <x:c r="F24" s="4" t="str">
        <x:v>P1</x:v>
      </x:c>
      <x:c r="G24" s="4" t="str">
        <x:v>验证公会分成记录详情可查看公会数量</x:v>
      </x:c>
      <x:c r="H24" s="4" t="str">
        <x:v>公会数量展示</x:v>
      </x:c>
      <x:c r="I24" s="4" t="str">
        <x:v>1. 平台管理员账号已登录且具备当前页面权限</x:v>
      </x:c>
      <x:c r="J24" s="4" t="str">
        <x:v>1. 进入公会分成记录详情
2. 查看公会数量</x:v>
      </x:c>
      <x:c r="K24" s="4" t="str">
        <x:v>公会分成记录详情显示“公会数量”</x:v>
      </x:c>
      <x:c r="L24" s="4" t="str"/>
      <x:c r="M24" s="4" t="str">
        <x:v>未测</x:v>
      </x:c>
      <x:c r="N24" s="4" t="str"/>
      <x:c r="O24" s="4" t="str">
        <x:v>1. 来源（原型批注）：liveshow-proto/prototype/annotations/admin.js；admin-guild-settlement-record-detail.html
2. 页面：admin-guild-settlement-record-detail.html
3. 规则：BR-799A08B6968717
4. 场景：SC-86B18A451059E3
5. 未动态验证</x:v>
      </x:c>
    </x:row>
    <x:row r="25" ht="54" customHeight="1">
      <x:c r="A25" s="4" t="n">
        <x:v>24</x:v>
      </x:c>
      <x:c r="B25" s="4" t="str">
        <x:v>AFIN-0024</x:v>
      </x:c>
      <x:c r="C25" s="4" t="str">
        <x:v>财务结算</x:v>
      </x:c>
      <x:c r="D25" s="4" t="str">
        <x:v>公会分成记录详情（平台管理员视角）</x:v>
      </x:c>
      <x:c r="E25" s="4" t="str">
        <x:v>功能需求</x:v>
      </x:c>
      <x:c r="F25" s="4" t="str">
        <x:v>P1</x:v>
      </x:c>
      <x:c r="G25" s="4" t="str">
        <x:v>验证公会分成记录详情可查看批次信息</x:v>
      </x:c>
      <x:c r="H25" s="4" t="str">
        <x:v>批次信息展示</x:v>
      </x:c>
      <x:c r="I25" s="4" t="str">
        <x:v>1. 平台管理员账号已登录且具备当前页面权限</x:v>
      </x:c>
      <x:c r="J25" s="4" t="str">
        <x:v>1. 进入公会分成记录详情
2. 查看批次信息</x:v>
      </x:c>
      <x:c r="K25" s="4" t="str">
        <x:v>公会分成记录详情显示“批次信息”</x:v>
      </x:c>
      <x:c r="L25" s="4" t="str"/>
      <x:c r="M25" s="4" t="str">
        <x:v>未测</x:v>
      </x:c>
      <x:c r="N25" s="4" t="str"/>
      <x:c r="O25" s="4" t="str">
        <x:v>1. 来源（原型批注）：liveshow-proto/prototype/annotations/admin.js；admin-guild-settlement-record-detail.html
2. 页面：admin-guild-settlement-record-detail.html
3. 规则：BR-9A39CA43AF5EC4
4. 场景：SC-4ECF83DF0A1038
5. 未动态验证</x:v>
      </x:c>
    </x:row>
    <x:row r="26" ht="54" customHeight="1">
      <x:c r="A26" s="4" t="n">
        <x:v>25</x:v>
      </x:c>
      <x:c r="B26" s="4" t="str">
        <x:v>AFIN-0025</x:v>
      </x:c>
      <x:c r="C26" s="4" t="str">
        <x:v>财务结算</x:v>
      </x:c>
      <x:c r="D26" s="4" t="str">
        <x:v>公会账户余额（平台管理员视角）</x:v>
      </x:c>
      <x:c r="E26" s="4" t="str">
        <x:v>业务流程</x:v>
      </x:c>
      <x:c r="F26" s="4" t="str">
        <x:v>P1</x:v>
      </x:c>
      <x:c r="G26" s="4" t="str">
        <x:v>验证点击行后的公会账户余额状态</x:v>
      </x:c>
      <x:c r="H26" s="4" t="str">
        <x:v>公会账户余额状态</x:v>
      </x:c>
      <x:c r="I26" s="4" t="str">
        <x:v>1. 平台管理员账号已登录且具备当前页面权限</x:v>
      </x:c>
      <x:c r="J26" s="4" t="str">
        <x:v>1. 进入公会账户余额
2. 点击行</x:v>
      </x:c>
      <x:c r="K26" s="4" t="str">
        <x:v>进入公会变更流水</x:v>
      </x:c>
      <x:c r="L26" s="4" t="str"/>
      <x:c r="M26" s="4" t="str">
        <x:v>未测</x:v>
      </x:c>
      <x:c r="N26" s="4" t="str"/>
      <x:c r="O26" s="4" t="str">
        <x:v>1. 来源（原型批注）：liveshow-proto/prototype/annotations/admin.js；admin-guild-account-balance.html
2. 页面：admin-guild-account-balance.html
3. 规则：BR-929028A3347B4D
4. 场景：SC-2A2A22CA614E03
5. 未动态验证</x:v>
      </x:c>
    </x:row>
    <x:row r="27" ht="54" customHeight="1">
      <x:c r="A27" s="4" t="n">
        <x:v>26</x:v>
      </x:c>
      <x:c r="B27" s="4" t="str">
        <x:v>AFIN-0026</x:v>
      </x:c>
      <x:c r="C27" s="4" t="str">
        <x:v>财务结算</x:v>
      </x:c>
      <x:c r="D27" s="4" t="str">
        <x:v>公会账户余额（平台管理员视角）</x:v>
      </x:c>
      <x:c r="E27" s="4" t="str">
        <x:v>业务流程</x:v>
      </x:c>
      <x:c r="F27" s="4" t="str">
        <x:v>P1</x:v>
      </x:c>
      <x:c r="G27" s="4" t="str">
        <x:v>验证点击余额后的公会账户余额状态</x:v>
      </x:c>
      <x:c r="H27" s="4" t="str">
        <x:v>公会账户余额状态</x:v>
      </x:c>
      <x:c r="I27" s="4" t="str">
        <x:v>1. 平台管理员账号已登录且具备当前页面权限</x:v>
      </x:c>
      <x:c r="J27" s="4" t="str">
        <x:v>1. 进入公会账户余额
2. 点击余额</x:v>
      </x:c>
      <x:c r="K27" s="4" t="str">
        <x:v>进入公会变更流水</x:v>
      </x:c>
      <x:c r="L27" s="4" t="str"/>
      <x:c r="M27" s="4" t="str">
        <x:v>未测</x:v>
      </x:c>
      <x:c r="N27" s="4" t="str"/>
      <x:c r="O27" s="4" t="str">
        <x:v>1. 来源（原型批注）：liveshow-proto/prototype/annotations/admin.js；admin-guild-account-balance.html
2. 页面：admin-guild-account-balance.html
3. 规则：BR-929028A3347B4D
4. 场景：SC-6C7286AB11F146
5. 未动态验证</x:v>
      </x:c>
    </x:row>
    <x:row r="28" ht="54" customHeight="1">
      <x:c r="A28" s="4" t="n">
        <x:v>27</x:v>
      </x:c>
      <x:c r="B28" s="4" t="str">
        <x:v>AFIN-0027</x:v>
      </x:c>
      <x:c r="C28" s="4" t="str">
        <x:v>财务结算</x:v>
      </x:c>
      <x:c r="D28" s="4" t="str">
        <x:v>公会账户余额（平台管理员视角）</x:v>
      </x:c>
      <x:c r="E28" s="4" t="str">
        <x:v>功能需求</x:v>
      </x:c>
      <x:c r="F28" s="4" t="str">
        <x:v>P1</x:v>
      </x:c>
      <x:c r="G28" s="4" t="str">
        <x:v>验证公会账户余额可查看汇总卡</x:v>
      </x:c>
      <x:c r="H28" s="4" t="str">
        <x:v>汇总卡展示</x:v>
      </x:c>
      <x:c r="I28" s="4" t="str">
        <x:v>1. 平台管理员账号已登录且具备当前页面权限</x:v>
      </x:c>
      <x:c r="J28" s="4" t="str">
        <x:v>1. 进入公会账户余额
2. 查看汇总卡</x:v>
      </x:c>
      <x:c r="K28" s="4" t="str">
        <x:v>公会账户余额显示“汇总卡”</x:v>
      </x:c>
      <x:c r="L28" s="4" t="str"/>
      <x:c r="M28" s="4" t="str">
        <x:v>未测</x:v>
      </x:c>
      <x:c r="N28" s="4" t="str"/>
      <x:c r="O28" s="4" t="str">
        <x:v>1. 来源（原型批注）：liveshow-proto/prototype/annotations/admin.js；admin-guild-account-balance.html
2. 页面：admin-guild-account-balance.html
3. 规则：BR-DC62ABC590A8E4
4. 场景：SC-BB6B93545088F1
5. 未动态验证</x:v>
      </x:c>
    </x:row>
    <x:row r="29" ht="54" customHeight="1">
      <x:c r="A29" s="4" t="n">
        <x:v>28</x:v>
      </x:c>
      <x:c r="B29" s="4" t="str">
        <x:v>AFIN-0028</x:v>
      </x:c>
      <x:c r="C29" s="4" t="str">
        <x:v>财务结算</x:v>
      </x:c>
      <x:c r="D29" s="4" t="str">
        <x:v>公会账户余额（平台管理员视角）</x:v>
      </x:c>
      <x:c r="E29" s="4" t="str">
        <x:v>功能需求</x:v>
      </x:c>
      <x:c r="F29" s="4" t="str">
        <x:v>P1</x:v>
      </x:c>
      <x:c r="G29" s="4" t="str">
        <x:v>验证公会账户余额可查看账户余额</x:v>
      </x:c>
      <x:c r="H29" s="4" t="str">
        <x:v>账户余额展示</x:v>
      </x:c>
      <x:c r="I29" s="4" t="str">
        <x:v>1. 平台管理员账号已登录且具备当前页面权限</x:v>
      </x:c>
      <x:c r="J29" s="4" t="str">
        <x:v>1. 进入公会账户余额
2. 查看账户余额</x:v>
      </x:c>
      <x:c r="K29" s="4" t="str">
        <x:v>公会账户余额显示“账户余额”</x:v>
      </x:c>
      <x:c r="L29" s="4" t="str"/>
      <x:c r="M29" s="4" t="str">
        <x:v>未测</x:v>
      </x:c>
      <x:c r="N29" s="4" t="str"/>
      <x:c r="O29" s="4" t="str">
        <x:v>1. 来源（原型批注）：liveshow-proto/prototype/annotations/admin.js；admin-guild-account-balance.html
2. 页面：admin-guild-account-balance.html
3. 规则：BR-BF2C4EE4333E33
4. 场景：SC-21CC79A61176D4
5. 未动态验证</x:v>
      </x:c>
    </x:row>
    <x:row r="30" ht="54" customHeight="1">
      <x:c r="A30" s="4" t="n">
        <x:v>29</x:v>
      </x:c>
      <x:c r="B30" s="4" t="str">
        <x:v>AFIN-0029</x:v>
      </x:c>
      <x:c r="C30" s="4" t="str">
        <x:v>财务结算</x:v>
      </x:c>
      <x:c r="D30" s="4" t="str">
        <x:v>退款订单（平台管理员视角）</x:v>
      </x:c>
      <x:c r="E30" s="4" t="str">
        <x:v>业务流程</x:v>
      </x:c>
      <x:c r="F30" s="4" t="str">
        <x:v>P1</x:v>
      </x:c>
      <x:c r="G30" s="4" t="str">
        <x:v>验证查看后的退款订单状态</x:v>
      </x:c>
      <x:c r="H30" s="4" t="str">
        <x:v>退款订单状态</x:v>
      </x:c>
      <x:c r="I30" s="4" t="str">
        <x:v>1. 平台管理员账号已登录且具备当前页面权限</x:v>
      </x:c>
      <x:c r="J30" s="4" t="str">
        <x:v>1. 进入退款订单
2. 查看</x:v>
      </x:c>
      <x:c r="K30" s="4" t="str">
        <x:v>进入原充值订单详情</x:v>
      </x:c>
      <x:c r="L30" s="4" t="str"/>
      <x:c r="M30" s="4" t="str">
        <x:v>未测</x:v>
      </x:c>
      <x:c r="N30" s="4" t="str"/>
      <x:c r="O30" s="4" t="str">
        <x:v>1. 来源（原型批注）：liveshow-proto/prototype/annotations/admin.js；admin-refund-order.html
2. 页面：admin-refund-order.html
3. 规则：BR-F9A18DAC9CD732
4. 场景：SC-B80CAEBB75F362
5. 未动态验证</x:v>
      </x:c>
    </x:row>
    <x:row r="31" ht="54" customHeight="1">
      <x:c r="A31" s="4" t="n">
        <x:v>30</x:v>
      </x:c>
      <x:c r="B31" s="4" t="str">
        <x:v>AFIN-0030</x:v>
      </x:c>
      <x:c r="C31" s="4" t="str">
        <x:v>财务结算</x:v>
      </x:c>
      <x:c r="D31" s="4" t="str">
        <x:v>退款订单（平台管理员视角）</x:v>
      </x:c>
      <x:c r="E31" s="4" t="str">
        <x:v>功能需求</x:v>
      </x:c>
      <x:c r="F31" s="4" t="str">
        <x:v>P1</x:v>
      </x:c>
      <x:c r="G31" s="4" t="str">
        <x:v>验证退款订单可查看类型</x:v>
      </x:c>
      <x:c r="H31" s="4" t="str">
        <x:v>类型展示</x:v>
      </x:c>
      <x:c r="I31" s="4" t="str">
        <x:v>1. 平台管理员账号已登录且具备当前页面权限</x:v>
      </x:c>
      <x:c r="J31" s="4" t="str">
        <x:v>1. 进入退款订单
2. 查看类型</x:v>
      </x:c>
      <x:c r="K31" s="4" t="str">
        <x:v>退款订单显示“类型”</x:v>
      </x:c>
      <x:c r="L31" s="4" t="str"/>
      <x:c r="M31" s="4" t="str">
        <x:v>未测</x:v>
      </x:c>
      <x:c r="N31" s="4" t="str"/>
      <x:c r="O31" s="4" t="str">
        <x:v>1. 来源（原型批注）：liveshow-proto/prototype/annotations/admin.js；admin-refund-order.html
2. 页面：admin-refund-order.html
3. 规则：BR-F30EC4A7BE5A16、BR-E0F168D7D5EA13
4. 场景：SC-C07EF2622D86E5
5. 未动态验证</x:v>
      </x:c>
    </x:row>
    <x:row r="32" ht="54" customHeight="1">
      <x:c r="A32" s="4" t="n">
        <x:v>31</x:v>
      </x:c>
      <x:c r="B32" s="4" t="str">
        <x:v>AFIN-0031</x:v>
      </x:c>
      <x:c r="C32" s="4" t="str">
        <x:v>财务结算</x:v>
      </x:c>
      <x:c r="D32" s="4" t="str">
        <x:v>退款订单（平台管理员视角）</x:v>
      </x:c>
      <x:c r="E32" s="4" t="str">
        <x:v>功能需求</x:v>
      </x:c>
      <x:c r="F32" s="4" t="str">
        <x:v>P1</x:v>
      </x:c>
      <x:c r="G32" s="4" t="str">
        <x:v>验证退款订单可查看退款单号</x:v>
      </x:c>
      <x:c r="H32" s="4" t="str">
        <x:v>退款单号展示</x:v>
      </x:c>
      <x:c r="I32" s="4" t="str">
        <x:v>1. 平台管理员账号已登录且具备当前页面权限</x:v>
      </x:c>
      <x:c r="J32" s="4" t="str">
        <x:v>1. 进入退款订单
2. 查看退款单号</x:v>
      </x:c>
      <x:c r="K32" s="4" t="str">
        <x:v>退款订单显示“退款单号”</x:v>
      </x:c>
      <x:c r="L32" s="4" t="str"/>
      <x:c r="M32" s="4" t="str">
        <x:v>未测</x:v>
      </x:c>
      <x:c r="N32" s="4" t="str"/>
      <x:c r="O32" s="4" t="str">
        <x:v>1. 来源（原型批注）：liveshow-proto/prototype/annotations/admin.js；admin-refund-order.html
2. 页面：admin-refund-order.html
3. 规则：BR-1900F07BB7475C
4. 场景：SC-6992097569DD6A
5. 未动态验证</x:v>
      </x:c>
    </x:row>
    <x:row r="33" ht="54" customHeight="1">
      <x:c r="A33" s="4" t="n">
        <x:v>32</x:v>
      </x:c>
      <x:c r="B33" s="4" t="str">
        <x:v>AFIN-0032</x:v>
      </x:c>
      <x:c r="C33" s="4" t="str">
        <x:v>财务结算</x:v>
      </x:c>
      <x:c r="D33" s="4" t="str">
        <x:v>退款订单（平台管理员视角）</x:v>
      </x:c>
      <x:c r="E33" s="4" t="str">
        <x:v>功能需求</x:v>
      </x:c>
      <x:c r="F33" s="4" t="str">
        <x:v>P1</x:v>
      </x:c>
      <x:c r="G33" s="4" t="str">
        <x:v>验证退款订单可查看退款金额</x:v>
      </x:c>
      <x:c r="H33" s="4" t="str">
        <x:v>退款金额展示</x:v>
      </x:c>
      <x:c r="I33" s="4" t="str">
        <x:v>1. 平台管理员账号已登录且具备当前页面权限</x:v>
      </x:c>
      <x:c r="J33" s="4" t="str">
        <x:v>1. 进入退款订单
2. 查看退款金额</x:v>
      </x:c>
      <x:c r="K33" s="4" t="str">
        <x:v>退款订单显示“退款金额”</x:v>
      </x:c>
      <x:c r="L33" s="4" t="str"/>
      <x:c r="M33" s="4" t="str">
        <x:v>未测</x:v>
      </x:c>
      <x:c r="N33" s="4" t="str"/>
      <x:c r="O33" s="4" t="str">
        <x:v>1. 来源（原型批注）：liveshow-proto/prototype/annotations/admin.js；admin-refund-order.html
2. 页面：admin-refund-order.html
3. 规则：BR-543FAD00CA4A4E
4. 场景：SC-BF2A33581F77A3
5. 未动态验证</x:v>
      </x:c>
    </x:row>
    <x:row r="34" ht="54" customHeight="1">
      <x:c r="A34" s="4" t="n">
        <x:v>33</x:v>
      </x:c>
      <x:c r="B34" s="4" t="str">
        <x:v>AFIN-0033</x:v>
      </x:c>
      <x:c r="C34" s="4" t="str">
        <x:v>财务结算</x:v>
      </x:c>
      <x:c r="D34" s="4" t="str">
        <x:v>退款订单（平台管理员视角）</x:v>
      </x:c>
      <x:c r="E34" s="4" t="str">
        <x:v>功能需求</x:v>
      </x:c>
      <x:c r="F34" s="4" t="str">
        <x:v>P1</x:v>
      </x:c>
      <x:c r="G34" s="4" t="str">
        <x:v>验证退款订单可查看原充值订单</x:v>
      </x:c>
      <x:c r="H34" s="4" t="str">
        <x:v>原充值订单展示</x:v>
      </x:c>
      <x:c r="I34" s="4" t="str">
        <x:v>1. 平台管理员账号已登录且具备当前页面权限</x:v>
      </x:c>
      <x:c r="J34" s="4" t="str">
        <x:v>1. 进入退款订单
2. 查看原充值订单</x:v>
      </x:c>
      <x:c r="K34" s="4" t="str">
        <x:v>退款订单显示“原充值订单”</x:v>
      </x:c>
      <x:c r="L34" s="4" t="str"/>
      <x:c r="M34" s="4" t="str">
        <x:v>未测</x:v>
      </x:c>
      <x:c r="N34" s="4" t="str"/>
      <x:c r="O34" s="4" t="str">
        <x:v>1. 来源（原型批注）：liveshow-proto/prototype/annotations/admin.js；admin-refund-order.html
2. 页面：admin-refund-order.html
3. 规则：BR-CCA56676821E6D
4. 场景：SC-7CCBE8101F7B33
5. 未动态验证</x:v>
      </x:c>
    </x:row>
    <x:row r="35" ht="54" customHeight="1">
      <x:c r="A35" s="4" t="n">
        <x:v>34</x:v>
      </x:c>
      <x:c r="B35" s="4" t="str">
        <x:v>AFIN-0034</x:v>
      </x:c>
      <x:c r="C35" s="4" t="str">
        <x:v>财务结算</x:v>
      </x:c>
      <x:c r="D35" s="4" t="str">
        <x:v>退款订单（平台管理员视角）</x:v>
      </x:c>
      <x:c r="E35" s="4" t="str">
        <x:v>功能需求</x:v>
      </x:c>
      <x:c r="F35" s="4" t="str">
        <x:v>P1</x:v>
      </x:c>
      <x:c r="G35" s="4" t="str">
        <x:v>验证退款订单可查看状态 / 时间</x:v>
      </x:c>
      <x:c r="H35" s="4" t="str">
        <x:v>状态 / 时间展示</x:v>
      </x:c>
      <x:c r="I35" s="4" t="str">
        <x:v>1. 平台管理员账号已登录且具备当前页面权限</x:v>
      </x:c>
      <x:c r="J35" s="4" t="str">
        <x:v>1. 进入退款订单
2. 查看状态 / 时间</x:v>
      </x:c>
      <x:c r="K35" s="4" t="str">
        <x:v>退款订单显示“状态 / 时间”</x:v>
      </x:c>
      <x:c r="L35" s="4" t="str"/>
      <x:c r="M35" s="4" t="str">
        <x:v>未测</x:v>
      </x:c>
      <x:c r="N35" s="4" t="str"/>
      <x:c r="O35" s="4" t="str">
        <x:v>1. 来源（原型批注）：liveshow-proto/prototype/annotations/admin.js；admin-refund-order.html
2. 页面：admin-refund-order.html
3. 规则：BR-BF8B2A496516E4
4. 场景：SC-5705217A969EF8
5. 未动态验证</x:v>
      </x:c>
    </x:row>
    <x:row r="36" ht="54" customHeight="1">
      <x:c r="A36" s="4" t="n">
        <x:v>35</x:v>
      </x:c>
      <x:c r="B36" s="4" t="str">
        <x:v>AFIN-0035</x:v>
      </x:c>
      <x:c r="C36" s="4" t="str">
        <x:v>财务结算</x:v>
      </x:c>
      <x:c r="D36" s="4" t="str">
        <x:v>消费订单（平台管理员视角）</x:v>
      </x:c>
      <x:c r="E36" s="4" t="str">
        <x:v>业务流程</x:v>
      </x:c>
      <x:c r="F36" s="4" t="str">
        <x:v>P1</x:v>
      </x:c>
      <x:c r="G36" s="4" t="str">
        <x:v>验证详情后的消费订单状态</x:v>
      </x:c>
      <x:c r="H36" s="4" t="str">
        <x:v>消费订单状态</x:v>
      </x:c>
      <x:c r="I36" s="4" t="str">
        <x:v>1. 平台管理员账号已登录且具备当前页面权限
2. 详情</x:v>
      </x:c>
      <x:c r="J36" s="4" t="str">
        <x:v>1. 进入消费订单
2. 刷新消费订单</x:v>
      </x:c>
      <x:c r="K36" s="4" t="str">
        <x:v>进入只读订单</x:v>
      </x:c>
      <x:c r="L36" s="4" t="str"/>
      <x:c r="M36" s="4" t="str">
        <x:v>未测</x:v>
      </x:c>
      <x:c r="N36" s="4" t="str"/>
      <x:c r="O36" s="4" t="str">
        <x:v>1. 来源（原型批注）：liveshow-proto/prototype/annotations/admin.js；admin-consumption-order.html
2. 页面：admin-consumption-order.html
3. 规则：BR-41F2ACE29A8F89
4. 场景：SC-3FD0BE1EB82374
5. 未动态验证</x:v>
      </x:c>
    </x:row>
    <x:row r="37" ht="54" customHeight="1">
      <x:c r="A37" s="4" t="n">
        <x:v>36</x:v>
      </x:c>
      <x:c r="B37" s="4" t="str">
        <x:v>AFIN-0036</x:v>
      </x:c>
      <x:c r="C37" s="4" t="str">
        <x:v>财务结算</x:v>
      </x:c>
      <x:c r="D37" s="4" t="str">
        <x:v>消费订单（平台管理员视角）</x:v>
      </x:c>
      <x:c r="E37" s="4" t="str">
        <x:v>功能需求</x:v>
      </x:c>
      <x:c r="F37" s="4" t="str">
        <x:v>P1</x:v>
      </x:c>
      <x:c r="G37" s="4" t="str">
        <x:v>验证消费订单可查看数量</x:v>
      </x:c>
      <x:c r="H37" s="4" t="str">
        <x:v>数量展示</x:v>
      </x:c>
      <x:c r="I37" s="4" t="str">
        <x:v>1. 平台管理员账号已登录且具备当前页面权限</x:v>
      </x:c>
      <x:c r="J37" s="4" t="str">
        <x:v>1. 进入消费订单
2. 查看数量</x:v>
      </x:c>
      <x:c r="K37" s="4" t="str">
        <x:v>消费订单显示“数量”</x:v>
      </x:c>
      <x:c r="L37" s="4" t="str"/>
      <x:c r="M37" s="4" t="str">
        <x:v>未测</x:v>
      </x:c>
      <x:c r="N37" s="4" t="str"/>
      <x:c r="O37" s="4" t="str">
        <x:v>1. 来源（原型批注）：liveshow-proto/prototype/annotations/admin.js；admin-consumption-order.html
2. 页面：admin-consumption-order.html
3. 规则：BR-AF6A96710725E1、BR-2795E3E4110C69
4. 场景：SC-EE778B50109E54
5. 未动态验证</x:v>
      </x:c>
    </x:row>
    <x:row r="38" ht="54" customHeight="1">
      <x:c r="A38" s="4" t="n">
        <x:v>37</x:v>
      </x:c>
      <x:c r="B38" s="4" t="str">
        <x:v>AFIN-0037</x:v>
      </x:c>
      <x:c r="C38" s="4" t="str">
        <x:v>财务结算</x:v>
      </x:c>
      <x:c r="D38" s="4" t="str">
        <x:v>消费订单（平台管理员视角）</x:v>
      </x:c>
      <x:c r="E38" s="4" t="str">
        <x:v>功能需求</x:v>
      </x:c>
      <x:c r="F38" s="4" t="str">
        <x:v>P1</x:v>
      </x:c>
      <x:c r="G38" s="4" t="str">
        <x:v>验证消费订单可查看消费金币</x:v>
      </x:c>
      <x:c r="H38" s="4" t="str">
        <x:v>消费金币展示</x:v>
      </x:c>
      <x:c r="I38" s="4" t="str">
        <x:v>1. 平台管理员账号已登录且具备当前页面权限</x:v>
      </x:c>
      <x:c r="J38" s="4" t="str">
        <x:v>1. 进入消费订单
2. 查看消费金币</x:v>
      </x:c>
      <x:c r="K38" s="4" t="str">
        <x:v>消费订单显示“消费金币”</x:v>
      </x:c>
      <x:c r="L38" s="4" t="str"/>
      <x:c r="M38" s="4" t="str">
        <x:v>未测</x:v>
      </x:c>
      <x:c r="N38" s="4" t="str"/>
      <x:c r="O38" s="4" t="str">
        <x:v>1. 来源（原型批注）：liveshow-proto/prototype/annotations/admin.js；admin-consumption-order.html
2. 页面：admin-consumption-order.html
3. 规则：BR-DDFF692B8D8A74、BR-D7BC6AC35675D2
4. 场景：SC-ADFA6F1BCCF0A1
5. 未动态验证</x:v>
      </x:c>
    </x:row>
    <x:row r="39" ht="54" customHeight="1">
      <x:c r="A39" s="4" t="n">
        <x:v>38</x:v>
      </x:c>
      <x:c r="B39" s="4" t="str">
        <x:v>AFIN-0038</x:v>
      </x:c>
      <x:c r="C39" s="4" t="str">
        <x:v>财务结算</x:v>
      </x:c>
      <x:c r="D39" s="4" t="str">
        <x:v>消费订单（平台管理员视角）</x:v>
      </x:c>
      <x:c r="E39" s="4" t="str">
        <x:v>功能需求</x:v>
      </x:c>
      <x:c r="F39" s="4" t="str">
        <x:v>P1</x:v>
      </x:c>
      <x:c r="G39" s="4" t="str">
        <x:v>验证消费订单可查看消费类型</x:v>
      </x:c>
      <x:c r="H39" s="4" t="str">
        <x:v>消费类型展示</x:v>
      </x:c>
      <x:c r="I39" s="4" t="str">
        <x:v>1. 平台管理员账号已登录且具备当前页面权限</x:v>
      </x:c>
      <x:c r="J39" s="4" t="str">
        <x:v>1. 进入消费订单
2. 查看消费类型</x:v>
      </x:c>
      <x:c r="K39" s="4" t="str">
        <x:v>消费订单显示“消费类型”</x:v>
      </x:c>
      <x:c r="L39" s="4" t="str"/>
      <x:c r="M39" s="4" t="str">
        <x:v>未测</x:v>
      </x:c>
      <x:c r="N39" s="4" t="str"/>
      <x:c r="O39" s="4" t="str">
        <x:v>1. 来源（原型批注）：liveshow-proto/prototype/annotations/admin.js；admin-consumption-order.html
2. 页面：admin-consumption-order.html
3. 规则：BR-C9F8288A2D6619
4. 场景：SC-2C45C23AA14766
5. 未动态验证</x:v>
      </x:c>
    </x:row>
    <x:row r="40" ht="54" customHeight="1">
      <x:c r="A40" s="4" t="n">
        <x:v>39</x:v>
      </x:c>
      <x:c r="B40" s="4" t="str">
        <x:v>AFIN-0039</x:v>
      </x:c>
      <x:c r="C40" s="4" t="str">
        <x:v>财务结算</x:v>
      </x:c>
      <x:c r="D40" s="4" t="str">
        <x:v>消费订单（平台管理员视角）</x:v>
      </x:c>
      <x:c r="E40" s="4" t="str">
        <x:v>功能需求</x:v>
      </x:c>
      <x:c r="F40" s="4" t="str">
        <x:v>P1</x:v>
      </x:c>
      <x:c r="G40" s="4" t="str">
        <x:v>验证消费订单可查看用户净消耗</x:v>
      </x:c>
      <x:c r="H40" s="4" t="str">
        <x:v>用户净消耗展示</x:v>
      </x:c>
      <x:c r="I40" s="4" t="str">
        <x:v>1. 平台管理员账号已登录且具备当前页面权限</x:v>
      </x:c>
      <x:c r="J40" s="4" t="str">
        <x:v>1. 进入消费订单
2. 查看用户净消耗</x:v>
      </x:c>
      <x:c r="K40" s="4" t="str">
        <x:v>消费订单显示“用户净消耗”</x:v>
      </x:c>
      <x:c r="L40" s="4" t="str"/>
      <x:c r="M40" s="4" t="str">
        <x:v>未测</x:v>
      </x:c>
      <x:c r="N40" s="4" t="str"/>
      <x:c r="O40" s="4" t="str">
        <x:v>1. 来源（原型批注）：liveshow-proto/prototype/annotations/admin.js；admin-consumption-order.html
2. 页面：admin-consumption-order.html
3. 规则：BR-1123D93BEFF49D、BR-2C47BC5F54C78E
4. 场景：SC-0A460F127233C5
5. 未动态验证</x:v>
      </x:c>
    </x:row>
    <x:row r="41" ht="54" customHeight="1">
      <x:c r="A41" s="4" t="n">
        <x:v>40</x:v>
      </x:c>
      <x:c r="B41" s="4" t="str">
        <x:v>AFIN-0040</x:v>
      </x:c>
      <x:c r="C41" s="4" t="str">
        <x:v>财务结算</x:v>
      </x:c>
      <x:c r="D41" s="4" t="str">
        <x:v>消费订单（平台管理员视角）</x:v>
      </x:c>
      <x:c r="E41" s="4" t="str">
        <x:v>功能需求</x:v>
      </x:c>
      <x:c r="F41" s="4" t="str">
        <x:v>P1</x:v>
      </x:c>
      <x:c r="G41" s="4" t="str">
        <x:v>验证消费订单可查看主播信息</x:v>
      </x:c>
      <x:c r="H41" s="4" t="str">
        <x:v>主播信息展示</x:v>
      </x:c>
      <x:c r="I41" s="4" t="str">
        <x:v>1. 平台管理员账号已登录且具备当前页面权限</x:v>
      </x:c>
      <x:c r="J41" s="4" t="str">
        <x:v>1. 进入消费订单
2. 查看主播信息</x:v>
      </x:c>
      <x:c r="K41" s="4" t="str">
        <x:v>消费订单显示“主播信息”</x:v>
      </x:c>
      <x:c r="L41" s="4" t="str"/>
      <x:c r="M41" s="4" t="str">
        <x:v>未测</x:v>
      </x:c>
      <x:c r="N41" s="4" t="str"/>
      <x:c r="O41" s="4" t="str">
        <x:v>1. 来源（原型批注）：liveshow-proto/prototype/annotations/admin.js；admin-consumption-order.html
2. 页面：admin-consumption-order.html
3. 规则：BR-4E51C74F7BDBDA
4. 场景：SC-9354FF83EC3BC8
5. 未动态验证</x:v>
      </x:c>
    </x:row>
    <x:row r="42" ht="54" customHeight="1">
      <x:c r="A42" s="4" t="n">
        <x:v>41</x:v>
      </x:c>
      <x:c r="B42" s="4" t="str">
        <x:v>AFIN-0041</x:v>
      </x:c>
      <x:c r="C42" s="4" t="str">
        <x:v>财务结算</x:v>
      </x:c>
      <x:c r="D42" s="4" t="str">
        <x:v>消费订单（平台管理员视角）</x:v>
      </x:c>
      <x:c r="E42" s="4" t="str">
        <x:v>功能需求</x:v>
      </x:c>
      <x:c r="F42" s="4" t="str">
        <x:v>P1</x:v>
      </x:c>
      <x:c r="G42" s="4" t="str">
        <x:v>验证消费订单可查看状态</x:v>
      </x:c>
      <x:c r="H42" s="4" t="str">
        <x:v>状态展示</x:v>
      </x:c>
      <x:c r="I42" s="4" t="str">
        <x:v>1. 平台管理员账号已登录且具备当前页面权限</x:v>
      </x:c>
      <x:c r="J42" s="4" t="str">
        <x:v>1. 进入消费订单
2. 查看状态</x:v>
      </x:c>
      <x:c r="K42" s="4" t="str">
        <x:v>消费订单显示“状态”</x:v>
      </x:c>
      <x:c r="L42" s="4" t="str"/>
      <x:c r="M42" s="4" t="str">
        <x:v>未测</x:v>
      </x:c>
      <x:c r="N42" s="4" t="str"/>
      <x:c r="O42" s="4" t="str">
        <x:v>1. 来源（原型批注）：liveshow-proto/prototype/annotations/admin.js；admin-consumption-order.html
2. 页面：admin-consumption-order.html
3. 规则：BR-D35DC95995B9F7、BR-83116CD6356702
4. 场景：SC-C57E3C69EC46D9
5. 未动态验证</x:v>
      </x:c>
    </x:row>
    <x:row r="43" ht="54" customHeight="1">
      <x:c r="A43" s="4" t="n">
        <x:v>42</x:v>
      </x:c>
      <x:c r="B43" s="4" t="str">
        <x:v>AFIN-0042</x:v>
      </x:c>
      <x:c r="C43" s="4" t="str">
        <x:v>财务结算</x:v>
      </x:c>
      <x:c r="D43" s="4" t="str">
        <x:v>消费订单详情（平台管理员视角）</x:v>
      </x:c>
      <x:c r="E43" s="4" t="str">
        <x:v>功能需求</x:v>
      </x:c>
      <x:c r="F43" s="4" t="str">
        <x:v>P1</x:v>
      </x:c>
      <x:c r="G43" s="4" t="str">
        <x:v>验证消费订单详情可查看扣减金币</x:v>
      </x:c>
      <x:c r="H43" s="4" t="str">
        <x:v>扣减金币展示</x:v>
      </x:c>
      <x:c r="I43" s="4" t="str">
        <x:v>1. 平台管理员账号已登录且具备当前页面权限</x:v>
      </x:c>
      <x:c r="J43" s="4" t="str">
        <x:v>1. 进入消费订单详情
2. 查看扣减金币</x:v>
      </x:c>
      <x:c r="K43" s="4" t="str">
        <x:v>消费订单详情显示“扣减金币”</x:v>
      </x:c>
      <x:c r="L43" s="4" t="str"/>
      <x:c r="M43" s="4" t="str">
        <x:v>未测</x:v>
      </x:c>
      <x:c r="N43" s="4" t="str"/>
      <x:c r="O43" s="4" t="str">
        <x:v>1. 来源（原型批注）：liveshow-proto/prototype/annotations/admin.js；admin-consumption-order-detail.html
2. 页面：admin-consumption-order-detail.html
3. 规则：BR-B22F3A6103F102
4. 场景：SC-58C0CC49845CB8
5. 未动态验证</x:v>
      </x:c>
    </x:row>
    <x:row r="44" ht="54" customHeight="1">
      <x:c r="A44" s="4" t="n">
        <x:v>43</x:v>
      </x:c>
      <x:c r="B44" s="4" t="str">
        <x:v>AFIN-0043</x:v>
      </x:c>
      <x:c r="C44" s="4" t="str">
        <x:v>财务结算</x:v>
      </x:c>
      <x:c r="D44" s="4" t="str">
        <x:v>消费订单详情（平台管理员视角）</x:v>
      </x:c>
      <x:c r="E44" s="4" t="str">
        <x:v>功能需求</x:v>
      </x:c>
      <x:c r="F44" s="4" t="str">
        <x:v>P1</x:v>
      </x:c>
      <x:c r="G44" s="4" t="str">
        <x:v>验证消费订单详情可查看商品 / 数量 / 单价</x:v>
      </x:c>
      <x:c r="H44" s="4" t="str">
        <x:v>商品 / 数量 / 单价展示</x:v>
      </x:c>
      <x:c r="I44" s="4" t="str">
        <x:v>1. 平台管理员账号已登录且具备当前页面权限</x:v>
      </x:c>
      <x:c r="J44" s="4" t="str">
        <x:v>1. 进入消费订单详情
2. 查看商品 / 数量 / 单价</x:v>
      </x:c>
      <x:c r="K44" s="4" t="str">
        <x:v>消费订单详情显示“商品 / 数量 / 单价”</x:v>
      </x:c>
      <x:c r="L44" s="4" t="str"/>
      <x:c r="M44" s="4" t="str">
        <x:v>未测</x:v>
      </x:c>
      <x:c r="N44" s="4" t="str"/>
      <x:c r="O44" s="4" t="str">
        <x:v>1. 来源（原型批注）：liveshow-proto/prototype/annotations/admin.js；admin-consumption-order-detail.html
2. 页面：admin-consumption-order-detail.html
3. 规则：BR-A841C3CEA4A781
4. 场景：SC-D7D1FCB6E2FF0D
5. 未动态验证</x:v>
      </x:c>
    </x:row>
    <x:row r="45" ht="54" customHeight="1">
      <x:c r="A45" s="4" t="n">
        <x:v>44</x:v>
      </x:c>
      <x:c r="B45" s="4" t="str">
        <x:v>AFIN-0044</x:v>
      </x:c>
      <x:c r="C45" s="4" t="str">
        <x:v>财务结算</x:v>
      </x:c>
      <x:c r="D45" s="4" t="str">
        <x:v>消费订单详情（平台管理员视角）</x:v>
      </x:c>
      <x:c r="E45" s="4" t="str">
        <x:v>功能需求</x:v>
      </x:c>
      <x:c r="F45" s="4" t="str">
        <x:v>P1</x:v>
      </x:c>
      <x:c r="G45" s="4" t="str">
        <x:v>验证消费订单详情可查看消费去向</x:v>
      </x:c>
      <x:c r="H45" s="4" t="str">
        <x:v>消费去向展示</x:v>
      </x:c>
      <x:c r="I45" s="4" t="str">
        <x:v>1. 平台管理员账号已登录且具备当前页面权限</x:v>
      </x:c>
      <x:c r="J45" s="4" t="str">
        <x:v>1. 进入消费订单详情
2. 查看消费去向</x:v>
      </x:c>
      <x:c r="K45" s="4" t="str">
        <x:v>消费订单详情显示“消费去向”</x:v>
      </x:c>
      <x:c r="L45" s="4" t="str"/>
      <x:c r="M45" s="4" t="str">
        <x:v>未测</x:v>
      </x:c>
      <x:c r="N45" s="4" t="str"/>
      <x:c r="O45" s="4" t="str">
        <x:v>1. 来源（原型批注）：liveshow-proto/prototype/annotations/admin.js；admin-consumption-order-detail.html
2. 页面：admin-consumption-order-detail.html
3. 规则：BR-9E6C180DD49CD0
4. 场景：SC-D8359B5DF94A45
5. 未动态验证</x:v>
      </x:c>
    </x:row>
    <x:row r="46" ht="54" customHeight="1">
      <x:c r="A46" s="4" t="n">
        <x:v>45</x:v>
      </x:c>
      <x:c r="B46" s="4" t="str">
        <x:v>AFIN-0045</x:v>
      </x:c>
      <x:c r="C46" s="4" t="str">
        <x:v>财务结算</x:v>
      </x:c>
      <x:c r="D46" s="4" t="str">
        <x:v>消费订单详情（平台管理员视角）</x:v>
      </x:c>
      <x:c r="E46" s="4" t="str">
        <x:v>功能需求</x:v>
      </x:c>
      <x:c r="F46" s="4" t="str">
        <x:v>P1</x:v>
      </x:c>
      <x:c r="G46" s="4" t="str">
        <x:v>验证消费订单详情可查看幸运礼物返奖</x:v>
      </x:c>
      <x:c r="H46" s="4" t="str">
        <x:v>幸运礼物返奖展示</x:v>
      </x:c>
      <x:c r="I46" s="4" t="str">
        <x:v>1. 平台管理员账号已登录且具备当前页面权限</x:v>
      </x:c>
      <x:c r="J46" s="4" t="str">
        <x:v>1. 进入消费订单详情
2. 查看幸运礼物返奖</x:v>
      </x:c>
      <x:c r="K46" s="4" t="str">
        <x:v>消费订单详情显示“幸运礼物返奖”</x:v>
      </x:c>
      <x:c r="L46" s="4" t="str"/>
      <x:c r="M46" s="4" t="str">
        <x:v>未测</x:v>
      </x:c>
      <x:c r="N46" s="4" t="str"/>
      <x:c r="O46" s="4" t="str">
        <x:v>1. 来源（原型批注）：liveshow-proto/prototype/annotations/admin.js；admin-consumption-order-detail.html
2. 页面：admin-consumption-order-detail.html
3. 规则：BR-E345CE23397B01
4. 场景：SC-EBFE1228D8DC99
5. 未动态验证</x:v>
      </x:c>
    </x:row>
    <x:row r="47" ht="54" customHeight="1">
      <x:c r="A47" s="4" t="n">
        <x:v>46</x:v>
      </x:c>
      <x:c r="B47" s="4" t="str">
        <x:v>AFIN-0046</x:v>
      </x:c>
      <x:c r="C47" s="4" t="str">
        <x:v>财务结算</x:v>
      </x:c>
      <x:c r="D47" s="4" t="str">
        <x:v>消费订单详情（平台管理员视角）</x:v>
      </x:c>
      <x:c r="E47" s="4" t="str">
        <x:v>功能需求</x:v>
      </x:c>
      <x:c r="F47" s="4" t="str">
        <x:v>P1</x:v>
      </x:c>
      <x:c r="G47" s="4" t="str">
        <x:v>验证消费订单详情可查看用户净消耗</x:v>
      </x:c>
      <x:c r="H47" s="4" t="str">
        <x:v>用户净消耗展示</x:v>
      </x:c>
      <x:c r="I47" s="4" t="str">
        <x:v>1. 平台管理员账号已登录且具备当前页面权限</x:v>
      </x:c>
      <x:c r="J47" s="4" t="str">
        <x:v>1. 进入消费订单详情
2. 查看用户净消耗</x:v>
      </x:c>
      <x:c r="K47" s="4" t="str">
        <x:v>消费订单详情显示“用户净消耗”</x:v>
      </x:c>
      <x:c r="L47" s="4" t="str"/>
      <x:c r="M47" s="4" t="str">
        <x:v>未测</x:v>
      </x:c>
      <x:c r="N47" s="4" t="str"/>
      <x:c r="O47" s="4" t="str">
        <x:v>1. 来源（原型批注）：liveshow-proto/prototype/annotations/admin.js；admin-consumption-order-detail.html
2. 页面：admin-consumption-order-detail.html
3. 规则：BR-4D79A977A08550
4. 场景：SC-36635BD127B9E9
5. 未动态验证</x:v>
      </x:c>
    </x:row>
    <x:row r="48" ht="54" customHeight="1">
      <x:c r="A48" s="4" t="n">
        <x:v>47</x:v>
      </x:c>
      <x:c r="B48" s="4" t="str">
        <x:v>AFIN-0047</x:v>
      </x:c>
      <x:c r="C48" s="4" t="str">
        <x:v>财务结算</x:v>
      </x:c>
      <x:c r="D48" s="4" t="str">
        <x:v>消费订单详情（平台管理员视角）</x:v>
      </x:c>
      <x:c r="E48" s="4" t="str">
        <x:v>功能需求</x:v>
      </x:c>
      <x:c r="F48" s="4" t="str">
        <x:v>P1</x:v>
      </x:c>
      <x:c r="G48" s="4" t="str">
        <x:v>验证消费订单详情可查看主播收益</x:v>
      </x:c>
      <x:c r="H48" s="4" t="str">
        <x:v>主播收益展示</x:v>
      </x:c>
      <x:c r="I48" s="4" t="str">
        <x:v>1. 平台管理员账号已登录且具备当前页面权限</x:v>
      </x:c>
      <x:c r="J48" s="4" t="str">
        <x:v>1. 进入消费订单详情
2. 查看主播收益</x:v>
      </x:c>
      <x:c r="K48" s="4" t="str">
        <x:v>消费订单详情显示“主播收益”</x:v>
      </x:c>
      <x:c r="L48" s="4" t="str"/>
      <x:c r="M48" s="4" t="str">
        <x:v>未测</x:v>
      </x:c>
      <x:c r="N48" s="4" t="str"/>
      <x:c r="O48" s="4" t="str">
        <x:v>1. 来源（原型批注）：liveshow-proto/prototype/annotations/admin.js；admin-consumption-order-detail.html
2. 页面：admin-consumption-order-detail.html
3. 规则：BR-998985048316BD、BR-3A36A8CF95B186
4. 场景：SC-2153EAB8B787D5
5. 未动态验证</x:v>
      </x:c>
    </x:row>
    <x:row r="49" ht="54" customHeight="1">
      <x:c r="A49" s="4" t="n">
        <x:v>48</x:v>
      </x:c>
      <x:c r="B49" s="4" t="str">
        <x:v>AFIN-0048</x:v>
      </x:c>
      <x:c r="C49" s="4" t="str">
        <x:v>财务结算</x:v>
      </x:c>
      <x:c r="D49" s="4" t="str">
        <x:v>余额变更记录（平台管理员视角）</x:v>
      </x:c>
      <x:c r="E49" s="4" t="str">
        <x:v>异常用例</x:v>
      </x:c>
      <x:c r="F49" s="4" t="str">
        <x:v>P1</x:v>
      </x:c>
      <x:c r="G49" s="4" t="str">
        <x:v>验证余额变更后的余额变更记录状态</x:v>
      </x:c>
      <x:c r="H49" s="4" t="str">
        <x:v>余额变更记录状态</x:v>
      </x:c>
      <x:c r="I49" s="4" t="str">
        <x:v>1. 平台管理员账号已登录且具备当前页面权限
2. 余额变更</x:v>
      </x:c>
      <x:c r="J49" s="4" t="str">
        <x:v>1. 进入余额变更记录
2. 刷新余额变更记录</x:v>
      </x:c>
      <x:c r="K49" s="4" t="str">
        <x:v>生成不可修改的修正流水</x:v>
      </x:c>
      <x:c r="L49" s="4" t="str"/>
      <x:c r="M49" s="4" t="str">
        <x:v>未测</x:v>
      </x:c>
      <x:c r="N49" s="4" t="str"/>
      <x:c r="O49" s="4" t="str">
        <x:v>1. 来源（原型批注）：liveshow-proto/prototype/annotations/admin.js；admin-host-balance-change-record.html
2. 页面：admin-host-balance-change-record.html
3. 规则：BR-93FE8F3BBCB129
4. 场景：SC-EB7D7A8A192F21
5. 未动态验证</x:v>
      </x:c>
    </x:row>
    <x:row r="50" ht="54" customHeight="1">
      <x:c r="A50" s="4" t="n">
        <x:v>49</x:v>
      </x:c>
      <x:c r="B50" s="4" t="str">
        <x:v>AFIN-0049</x:v>
      </x:c>
      <x:c r="C50" s="4" t="str">
        <x:v>财务结算</x:v>
      </x:c>
      <x:c r="D50" s="4" t="str">
        <x:v>余额变更记录（平台管理员视角）</x:v>
      </x:c>
      <x:c r="E50" s="4" t="str">
        <x:v>功能需求</x:v>
      </x:c>
      <x:c r="F50" s="4" t="str">
        <x:v>P1</x:v>
      </x:c>
      <x:c r="G50" s="4" t="str">
        <x:v>验证余额变更记录可查看备注</x:v>
      </x:c>
      <x:c r="H50" s="4" t="str">
        <x:v>备注展示</x:v>
      </x:c>
      <x:c r="I50" s="4" t="str">
        <x:v>1. 平台管理员账号已登录且具备当前页面权限</x:v>
      </x:c>
      <x:c r="J50" s="4" t="str">
        <x:v>1. 进入余额变更记录
2. 查看备注</x:v>
      </x:c>
      <x:c r="K50" s="4" t="str">
        <x:v>余额变更记录显示“备注”</x:v>
      </x:c>
      <x:c r="L50" s="4" t="str"/>
      <x:c r="M50" s="4" t="str">
        <x:v>未测</x:v>
      </x:c>
      <x:c r="N50" s="4" t="str"/>
      <x:c r="O50" s="4" t="str">
        <x:v>1. 来源（原型批注）：liveshow-proto/prototype/annotations/admin.js；admin-host-balance-change-record.html
2. 页面：admin-host-balance-change-record.html
3. 规则：BR-36937BFD666BBD
4. 场景：SC-F48808C1034760
5. 未动态验证</x:v>
      </x:c>
    </x:row>
    <x:row r="51" ht="54" customHeight="1">
      <x:c r="A51" s="4" t="n">
        <x:v>50</x:v>
      </x:c>
      <x:c r="B51" s="4" t="str">
        <x:v>AFIN-0050</x:v>
      </x:c>
      <x:c r="C51" s="4" t="str">
        <x:v>财务结算</x:v>
      </x:c>
      <x:c r="D51" s="4" t="str">
        <x:v>余额变更记录（平台管理员视角）</x:v>
      </x:c>
      <x:c r="E51" s="4" t="str">
        <x:v>功能需求</x:v>
      </x:c>
      <x:c r="F51" s="4" t="str">
        <x:v>P1</x:v>
      </x:c>
      <x:c r="G51" s="4" t="str">
        <x:v>验证余额变更记录可查看变更后余额</x:v>
      </x:c>
      <x:c r="H51" s="4" t="str">
        <x:v>变更后余额展示</x:v>
      </x:c>
      <x:c r="I51" s="4" t="str">
        <x:v>1. 平台管理员账号已登录且具备当前页面权限</x:v>
      </x:c>
      <x:c r="J51" s="4" t="str">
        <x:v>1. 进入余额变更记录
2. 查看变更后余额</x:v>
      </x:c>
      <x:c r="K51" s="4" t="str">
        <x:v>余额变更记录显示“变更后余额”</x:v>
      </x:c>
      <x:c r="L51" s="4" t="str"/>
      <x:c r="M51" s="4" t="str">
        <x:v>未测</x:v>
      </x:c>
      <x:c r="N51" s="4" t="str"/>
      <x:c r="O51" s="4" t="str">
        <x:v>1. 来源（原型批注）：liveshow-proto/prototype/annotations/admin.js；admin-host-balance-change-record.html、admin-guild-balance-change-record.html
2. 页面：admin-host-balance-change-record.html
3. 规则：BR-ED4814C653ECA0
4. 场景：SC-C9CCDE2750614D
5. 未动态验证</x:v>
      </x:c>
    </x:row>
    <x:row r="52" ht="54" customHeight="1">
      <x:c r="A52" s="4" t="n">
        <x:v>51</x:v>
      </x:c>
      <x:c r="B52" s="4" t="str">
        <x:v>AFIN-0051</x:v>
      </x:c>
      <x:c r="C52" s="4" t="str">
        <x:v>财务结算</x:v>
      </x:c>
      <x:c r="D52" s="4" t="str">
        <x:v>余额变更记录（平台管理员视角）</x:v>
      </x:c>
      <x:c r="E52" s="4" t="str">
        <x:v>功能需求</x:v>
      </x:c>
      <x:c r="F52" s="4" t="str">
        <x:v>P1</x:v>
      </x:c>
      <x:c r="G52" s="4" t="str">
        <x:v>验证余额变更记录可查看变更金额</x:v>
      </x:c>
      <x:c r="H52" s="4" t="str">
        <x:v>变更金额展示</x:v>
      </x:c>
      <x:c r="I52" s="4" t="str">
        <x:v>1. 平台管理员账号已登录且具备当前页面权限</x:v>
      </x:c>
      <x:c r="J52" s="4" t="str">
        <x:v>1. 进入余额变更记录
2. 查看变更金额</x:v>
      </x:c>
      <x:c r="K52" s="4" t="str">
        <x:v>余额变更记录显示“变更金额”</x:v>
      </x:c>
      <x:c r="L52" s="4" t="str"/>
      <x:c r="M52" s="4" t="str">
        <x:v>未测</x:v>
      </x:c>
      <x:c r="N52" s="4" t="str"/>
      <x:c r="O52" s="4" t="str">
        <x:v>1. 来源（原型批注）：liveshow-proto/prototype/annotations/admin.js；admin-host-balance-change-record.html、admin-guild-balance-change-record.html
2. 页面：admin-host-balance-change-record.html
3. 规则：BR-140CA190513832、BR-3A1C8E9FBD1336
4. 场景：SC-84879BE8E45011
5. 未动态验证</x:v>
      </x:c>
    </x:row>
    <x:row r="53" ht="54" customHeight="1">
      <x:c r="A53" s="4" t="n">
        <x:v>52</x:v>
      </x:c>
      <x:c r="B53" s="4" t="str">
        <x:v>AFIN-0052</x:v>
      </x:c>
      <x:c r="C53" s="4" t="str">
        <x:v>财务结算</x:v>
      </x:c>
      <x:c r="D53" s="4" t="str">
        <x:v>余额变更记录（平台管理员视角）</x:v>
      </x:c>
      <x:c r="E53" s="4" t="str">
        <x:v>功能需求</x:v>
      </x:c>
      <x:c r="F53" s="4" t="str">
        <x:v>P1</x:v>
      </x:c>
      <x:c r="G53" s="4" t="str">
        <x:v>验证余额变更记录可查看变更类型</x:v>
      </x:c>
      <x:c r="H53" s="4" t="str">
        <x:v>变更类型展示</x:v>
      </x:c>
      <x:c r="I53" s="4" t="str">
        <x:v>1. 平台管理员账号已登录且具备当前页面权限</x:v>
      </x:c>
      <x:c r="J53" s="4" t="str">
        <x:v>1. 进入余额变更记录
2. 查看变更类型</x:v>
      </x:c>
      <x:c r="K53" s="4" t="str">
        <x:v>余额变更记录显示“变更类型”</x:v>
      </x:c>
      <x:c r="L53" s="4" t="str"/>
      <x:c r="M53" s="4" t="str">
        <x:v>未测</x:v>
      </x:c>
      <x:c r="N53" s="4" t="str"/>
      <x:c r="O53" s="4" t="str">
        <x:v>1. 来源（原型批注）：liveshow-proto/prototype/annotations/admin.js；admin-host-balance-change-record.html、admin-guild-balance-change-record.html
2. 页面：admin-host-balance-change-record.html
3. 规则：BR-615CDCCF1DD8CC
4. 场景：SC-E1CE827CD9C00F
5. 未动态验证</x:v>
      </x:c>
    </x:row>
    <x:row r="54" ht="54" customHeight="1">
      <x:c r="A54" s="4" t="n">
        <x:v>53</x:v>
      </x:c>
      <x:c r="B54" s="4" t="str">
        <x:v>AFIN-0053</x:v>
      </x:c>
      <x:c r="C54" s="4" t="str">
        <x:v>财务结算</x:v>
      </x:c>
      <x:c r="D54" s="4" t="str">
        <x:v>余额变更记录（平台管理员视角）</x:v>
      </x:c>
      <x:c r="E54" s="4" t="str">
        <x:v>功能需求</x:v>
      </x:c>
      <x:c r="F54" s="4" t="str">
        <x:v>P1</x:v>
      </x:c>
      <x:c r="G54" s="4" t="str">
        <x:v>验证余额变更记录可查看操作信息</x:v>
      </x:c>
      <x:c r="H54" s="4" t="str">
        <x:v>操作信息展示</x:v>
      </x:c>
      <x:c r="I54" s="4" t="str">
        <x:v>1. 平台管理员账号已登录且具备当前页面权限</x:v>
      </x:c>
      <x:c r="J54" s="4" t="str">
        <x:v>1. 进入余额变更记录
2. 查看操作信息</x:v>
      </x:c>
      <x:c r="K54" s="4" t="str">
        <x:v>余额变更记录显示“操作信息”</x:v>
      </x:c>
      <x:c r="L54" s="4" t="str"/>
      <x:c r="M54" s="4" t="str">
        <x:v>未测</x:v>
      </x:c>
      <x:c r="N54" s="4" t="str"/>
      <x:c r="O54" s="4" t="str">
        <x:v>1. 来源（原型批注）：liveshow-proto/prototype/annotations/admin.js；admin-host-balance-change-record.html、admin-guild-balance-change-record.html
2. 页面：admin-host-balance-change-record.html
3. 规则：BR-48E37190A33780
4. 场景：SC-12C751C1A47D70
5. 未动态验证</x:v>
      </x:c>
    </x:row>
    <x:row r="55" ht="54" customHeight="1">
      <x:c r="A55" s="4" t="n">
        <x:v>54</x:v>
      </x:c>
      <x:c r="B55" s="4" t="str">
        <x:v>AFIN-0054</x:v>
      </x:c>
      <x:c r="C55" s="4" t="str">
        <x:v>财务结算</x:v>
      </x:c>
      <x:c r="D55" s="4" t="str">
        <x:v>主播分成记录（平台管理员视角）</x:v>
      </x:c>
      <x:c r="E55" s="4" t="str">
        <x:v>异常用例</x:v>
      </x:c>
      <x:c r="F55" s="4" t="str">
        <x:v>P1</x:v>
      </x:c>
      <x:c r="G55" s="4" t="str">
        <x:v>验证导入成功后的主播分成记录状态</x:v>
      </x:c>
      <x:c r="H55" s="4" t="str">
        <x:v>主播分成记录状态</x:v>
      </x:c>
      <x:c r="I55" s="4" t="str">
        <x:v>1. 平台管理员账号已登录且具备当前页面权限
2. 导入成功</x:v>
      </x:c>
      <x:c r="J55" s="4" t="str">
        <x:v>1. 进入主播分成记录
2. 刷新主播分成记录</x:v>
      </x:c>
      <x:c r="K55" s="4" t="str">
        <x:v>不可编辑或删除</x:v>
      </x:c>
      <x:c r="L55" s="4" t="str"/>
      <x:c r="M55" s="4" t="str">
        <x:v>未测</x:v>
      </x:c>
      <x:c r="N55" s="4" t="str"/>
      <x:c r="O55" s="4" t="str">
        <x:v>1. 来源（原型批注）：liveshow-proto/prototype/annotations/admin.js；admin-settlement-record.html
2. 页面：admin-settlement-record.html
3. 规则：BR-472D9CE4ECFAD9
4. 场景：SC-CDDB520DF7C399
5. 未动态验证</x:v>
      </x:c>
    </x:row>
    <x:row r="56" ht="54" customHeight="1">
      <x:c r="A56" s="4" t="n">
        <x:v>55</x:v>
      </x:c>
      <x:c r="B56" s="4" t="str">
        <x:v>AFIN-0055</x:v>
      </x:c>
      <x:c r="C56" s="4" t="str">
        <x:v>财务结算</x:v>
      </x:c>
      <x:c r="D56" s="4" t="str">
        <x:v>主播分成记录（平台管理员视角）</x:v>
      </x:c>
      <x:c r="E56" s="4" t="str">
        <x:v>功能需求</x:v>
      </x:c>
      <x:c r="F56" s="4" t="str">
        <x:v>P1</x:v>
      </x:c>
      <x:c r="G56" s="4" t="str">
        <x:v>验证主播分成记录可查看分成备注</x:v>
      </x:c>
      <x:c r="H56" s="4" t="str">
        <x:v>分成备注展示</x:v>
      </x:c>
      <x:c r="I56" s="4" t="str">
        <x:v>1. 平台管理员账号已登录且具备当前页面权限</x:v>
      </x:c>
      <x:c r="J56" s="4" t="str">
        <x:v>1. 进入主播分成记录
2. 查看分成备注</x:v>
      </x:c>
      <x:c r="K56" s="4" t="str">
        <x:v>主播分成记录显示“分成备注”</x:v>
      </x:c>
      <x:c r="L56" s="4" t="str"/>
      <x:c r="M56" s="4" t="str">
        <x:v>未测</x:v>
      </x:c>
      <x:c r="N56" s="4" t="str"/>
      <x:c r="O56" s="4" t="str">
        <x:v>1. 来源（原型批注）：liveshow-proto/prototype/annotations/admin.js；admin-settlement-record.html
2. 页面：admin-settlement-record.html
3. 规则：BR-8F51BC689B9083
4. 场景：SC-94ED2AD3CFC617
5. 未动态验证</x:v>
      </x:c>
    </x:row>
    <x:row r="57" ht="54" customHeight="1">
      <x:c r="A57" s="4" t="n">
        <x:v>56</x:v>
      </x:c>
      <x:c r="B57" s="4" t="str">
        <x:v>AFIN-0056</x:v>
      </x:c>
      <x:c r="C57" s="4" t="str">
        <x:v>财务结算</x:v>
      </x:c>
      <x:c r="D57" s="4" t="str">
        <x:v>主播分成记录（平台管理员视角）</x:v>
      </x:c>
      <x:c r="E57" s="4" t="str">
        <x:v>功能需求</x:v>
      </x:c>
      <x:c r="F57" s="4" t="str">
        <x:v>P1</x:v>
      </x:c>
      <x:c r="G57" s="4" t="str">
        <x:v>验证主播分成记录可查看分成总金额</x:v>
      </x:c>
      <x:c r="H57" s="4" t="str">
        <x:v>分成总金额展示</x:v>
      </x:c>
      <x:c r="I57" s="4" t="str">
        <x:v>1. 平台管理员账号已登录且具备当前页面权限</x:v>
      </x:c>
      <x:c r="J57" s="4" t="str">
        <x:v>1. 进入主播分成记录
2. 查看分成总金额</x:v>
      </x:c>
      <x:c r="K57" s="4" t="str">
        <x:v>主播分成记录显示“分成总金额”</x:v>
      </x:c>
      <x:c r="L57" s="4" t="str"/>
      <x:c r="M57" s="4" t="str">
        <x:v>未测</x:v>
      </x:c>
      <x:c r="N57" s="4" t="str"/>
      <x:c r="O57" s="4" t="str">
        <x:v>1. 来源（原型批注）：liveshow-proto/prototype/annotations/admin.js；admin-settlement-record.html
2. 页面：admin-settlement-record.html
3. 规则：BR-154755A174C3B8
4. 场景：SC-96CFA70D2617E7
5. 未动态验证</x:v>
      </x:c>
    </x:row>
    <x:row r="58" ht="54" customHeight="1">
      <x:c r="A58" s="4" t="n">
        <x:v>57</x:v>
      </x:c>
      <x:c r="B58" s="4" t="str">
        <x:v>AFIN-0057</x:v>
      </x:c>
      <x:c r="C58" s="4" t="str">
        <x:v>财务结算</x:v>
      </x:c>
      <x:c r="D58" s="4" t="str">
        <x:v>主播分成记录（平台管理员视角）</x:v>
      </x:c>
      <x:c r="E58" s="4" t="str">
        <x:v>功能需求</x:v>
      </x:c>
      <x:c r="F58" s="4" t="str">
        <x:v>P1</x:v>
      </x:c>
      <x:c r="G58" s="4" t="str">
        <x:v>验证主播分成记录可查看上传人 / 时间</x:v>
      </x:c>
      <x:c r="H58" s="4" t="str">
        <x:v>上传人 / 时间展示</x:v>
      </x:c>
      <x:c r="I58" s="4" t="str">
        <x:v>1. 平台管理员账号已登录且具备当前页面权限</x:v>
      </x:c>
      <x:c r="J58" s="4" t="str">
        <x:v>1. 进入主播分成记录
2. 查看上传人 / 时间</x:v>
      </x:c>
      <x:c r="K58" s="4" t="str">
        <x:v>主播分成记录显示“上传人 / 时间”</x:v>
      </x:c>
      <x:c r="L58" s="4" t="str"/>
      <x:c r="M58" s="4" t="str">
        <x:v>未测</x:v>
      </x:c>
      <x:c r="N58" s="4" t="str"/>
      <x:c r="O58" s="4" t="str">
        <x:v>1. 来源（原型批注）：liveshow-proto/prototype/annotations/admin.js；admin-settlement-record.html
2. 页面：admin-settlement-record.html
3. 规则：BR-6C7B5DABA72D5A
4. 场景：SC-8C8875E5159E53
5. 未动态验证</x:v>
      </x:c>
    </x:row>
    <x:row r="59" ht="54" customHeight="1">
      <x:c r="A59" s="4" t="n">
        <x:v>58</x:v>
      </x:c>
      <x:c r="B59" s="4" t="str">
        <x:v>AFIN-0058</x:v>
      </x:c>
      <x:c r="C59" s="4" t="str">
        <x:v>财务结算</x:v>
      </x:c>
      <x:c r="D59" s="4" t="str">
        <x:v>主播分成记录（平台管理员视角）</x:v>
      </x:c>
      <x:c r="E59" s="4" t="str">
        <x:v>功能需求</x:v>
      </x:c>
      <x:c r="F59" s="4" t="str">
        <x:v>P1</x:v>
      </x:c>
      <x:c r="G59" s="4" t="str">
        <x:v>验证主播分成记录可查看上传文件</x:v>
      </x:c>
      <x:c r="H59" s="4" t="str">
        <x:v>上传文件展示</x:v>
      </x:c>
      <x:c r="I59" s="4" t="str">
        <x:v>1. 平台管理员账号已登录且具备当前页面权限</x:v>
      </x:c>
      <x:c r="J59" s="4" t="str">
        <x:v>1. 进入主播分成记录
2. 查看上传文件</x:v>
      </x:c>
      <x:c r="K59" s="4" t="str">
        <x:v>主播分成记录显示“上传文件”</x:v>
      </x:c>
      <x:c r="L59" s="4" t="str"/>
      <x:c r="M59" s="4" t="str">
        <x:v>未测</x:v>
      </x:c>
      <x:c r="N59" s="4" t="str"/>
      <x:c r="O59" s="4" t="str">
        <x:v>1. 来源（原型批注）：liveshow-proto/prototype/annotations/admin.js；admin-settlement-record.html
2. 页面：admin-settlement-record.html
3. 规则：BR-2C4E8AD8DCA357
4. 场景：SC-7582B7DAD8F871
5. 未动态验证</x:v>
      </x:c>
    </x:row>
    <x:row r="60" ht="54" customHeight="1">
      <x:c r="A60" s="4" t="n">
        <x:v>59</x:v>
      </x:c>
      <x:c r="B60" s="4" t="str">
        <x:v>AFIN-0059</x:v>
      </x:c>
      <x:c r="C60" s="4" t="str">
        <x:v>财务结算</x:v>
      </x:c>
      <x:c r="D60" s="4" t="str">
        <x:v>主播分成记录（平台管理员视角）</x:v>
      </x:c>
      <x:c r="E60" s="4" t="str">
        <x:v>功能需求</x:v>
      </x:c>
      <x:c r="F60" s="4" t="str">
        <x:v>P1</x:v>
      </x:c>
      <x:c r="G60" s="4" t="str">
        <x:v>验证主播分成记录可查看主播人数</x:v>
      </x:c>
      <x:c r="H60" s="4" t="str">
        <x:v>主播人数展示</x:v>
      </x:c>
      <x:c r="I60" s="4" t="str">
        <x:v>1. 平台管理员账号已登录且具备当前页面权限</x:v>
      </x:c>
      <x:c r="J60" s="4" t="str">
        <x:v>1. 进入主播分成记录
2. 查看主播人数</x:v>
      </x:c>
      <x:c r="K60" s="4" t="str">
        <x:v>主播分成记录显示“主播人数”</x:v>
      </x:c>
      <x:c r="L60" s="4" t="str"/>
      <x:c r="M60" s="4" t="str">
        <x:v>未测</x:v>
      </x:c>
      <x:c r="N60" s="4" t="str"/>
      <x:c r="O60" s="4" t="str">
        <x:v>1. 来源（原型批注）：liveshow-proto/prototype/annotations/admin.js；admin-settlement-record.html
2. 页面：admin-settlement-record.html
3. 规则：BR-A0FE1C5550F87A
4. 场景：SC-D9591F42B74FFC
5. 未动态验证</x:v>
      </x:c>
    </x:row>
    <x:row r="61" ht="54" customHeight="1">
      <x:c r="A61" s="4" t="n">
        <x:v>60</x:v>
      </x:c>
      <x:c r="B61" s="4" t="str">
        <x:v>AFIN-0060</x:v>
      </x:c>
      <x:c r="C61" s="4" t="str">
        <x:v>财务结算</x:v>
      </x:c>
      <x:c r="D61" s="4" t="str">
        <x:v>主播分成记录详情（平台管理员视角）</x:v>
      </x:c>
      <x:c r="E61" s="4" t="str">
        <x:v>功能需求</x:v>
      </x:c>
      <x:c r="F61" s="4" t="str">
        <x:v>P1</x:v>
      </x:c>
      <x:c r="G61" s="4" t="str">
        <x:v>验证主播分成记录详情可查看分成总金额</x:v>
      </x:c>
      <x:c r="H61" s="4" t="str">
        <x:v>分成总金额展示</x:v>
      </x:c>
      <x:c r="I61" s="4" t="str">
        <x:v>1. 平台管理员账号已登录且具备当前页面权限</x:v>
      </x:c>
      <x:c r="J61" s="4" t="str">
        <x:v>1. 进入主播分成记录详情
2. 查看分成总金额</x:v>
      </x:c>
      <x:c r="K61" s="4" t="str">
        <x:v>主播分成记录详情显示“分成总金额”</x:v>
      </x:c>
      <x:c r="L61" s="4" t="str"/>
      <x:c r="M61" s="4" t="str">
        <x:v>未测</x:v>
      </x:c>
      <x:c r="N61" s="4" t="str"/>
      <x:c r="O61" s="4" t="str">
        <x:v>1. 来源（原型批注）：liveshow-proto/prototype/annotations/admin.js；admin-settlement-record-detail.html
2. 页面：admin-settlement-record-detail.html
3. 规则：BR-A14F1AF4104715
4. 场景：SC-6921B18102F255
5. 未动态验证</x:v>
      </x:c>
    </x:row>
    <x:row r="62" ht="54" customHeight="1">
      <x:c r="A62" s="4" t="n">
        <x:v>61</x:v>
      </x:c>
      <x:c r="B62" s="4" t="str">
        <x:v>AFIN-0061</x:v>
      </x:c>
      <x:c r="C62" s="4" t="str">
        <x:v>财务结算</x:v>
      </x:c>
      <x:c r="D62" s="4" t="str">
        <x:v>主播分成记录详情（平台管理员视角）</x:v>
      </x:c>
      <x:c r="E62" s="4" t="str">
        <x:v>功能需求</x:v>
      </x:c>
      <x:c r="F62" s="4" t="str">
        <x:v>P1</x:v>
      </x:c>
      <x:c r="G62" s="4" t="str">
        <x:v>验证主播分成记录详情可查看批次信息</x:v>
      </x:c>
      <x:c r="H62" s="4" t="str">
        <x:v>批次信息展示</x:v>
      </x:c>
      <x:c r="I62" s="4" t="str">
        <x:v>1. 平台管理员账号已登录且具备当前页面权限</x:v>
      </x:c>
      <x:c r="J62" s="4" t="str">
        <x:v>1. 进入主播分成记录详情
2. 查看批次信息</x:v>
      </x:c>
      <x:c r="K62" s="4" t="str">
        <x:v>主播分成记录详情显示“批次信息”</x:v>
      </x:c>
      <x:c r="L62" s="4" t="str"/>
      <x:c r="M62" s="4" t="str">
        <x:v>未测</x:v>
      </x:c>
      <x:c r="N62" s="4" t="str"/>
      <x:c r="O62" s="4" t="str">
        <x:v>1. 来源（原型批注）：liveshow-proto/prototype/annotations/admin.js；admin-settlement-record-detail.html
2. 页面：admin-settlement-record-detail.html
3. 规则：BR-08219F9446FC4D
4. 场景：SC-0E6E665C867AC3
5. 未动态验证</x:v>
      </x:c>
    </x:row>
    <x:row r="63" ht="54" customHeight="1">
      <x:c r="A63" s="4" t="n">
        <x:v>62</x:v>
      </x:c>
      <x:c r="B63" s="4" t="str">
        <x:v>AFIN-0062</x:v>
      </x:c>
      <x:c r="C63" s="4" t="str">
        <x:v>财务结算</x:v>
      </x:c>
      <x:c r="D63" s="4" t="str">
        <x:v>主播分成记录详情（平台管理员视角）</x:v>
      </x:c>
      <x:c r="E63" s="4" t="str">
        <x:v>功能需求</x:v>
      </x:c>
      <x:c r="F63" s="4" t="str">
        <x:v>P1</x:v>
      </x:c>
      <x:c r="G63" s="4" t="str">
        <x:v>验证主播分成记录详情可查看主播明细</x:v>
      </x:c>
      <x:c r="H63" s="4" t="str">
        <x:v>主播明细展示</x:v>
      </x:c>
      <x:c r="I63" s="4" t="str">
        <x:v>1. 平台管理员账号已登录且具备当前页面权限</x:v>
      </x:c>
      <x:c r="J63" s="4" t="str">
        <x:v>1. 进入主播分成记录详情
2. 查看主播明细</x:v>
      </x:c>
      <x:c r="K63" s="4" t="str">
        <x:v>主播分成记录详情显示“主播明细”</x:v>
      </x:c>
      <x:c r="L63" s="4" t="str"/>
      <x:c r="M63" s="4" t="str">
        <x:v>未测</x:v>
      </x:c>
      <x:c r="N63" s="4" t="str"/>
      <x:c r="O63" s="4" t="str">
        <x:v>1. 来源（原型批注）：liveshow-proto/prototype/annotations/admin.js；admin-settlement-record-detail.html
2. 页面：admin-settlement-record-detail.html
3. 规则：BR-3D1D77F373A585
4. 场景：SC-78FBBF2BBAEC7E
5. 未动态验证</x:v>
      </x:c>
    </x:row>
    <x:row r="64" ht="54" customHeight="1">
      <x:c r="A64" s="4" t="n">
        <x:v>63</x:v>
      </x:c>
      <x:c r="B64" s="4" t="str">
        <x:v>AFIN-0063</x:v>
      </x:c>
      <x:c r="C64" s="4" t="str">
        <x:v>财务结算</x:v>
      </x:c>
      <x:c r="D64" s="4" t="str">
        <x:v>主播分成记录详情（平台管理员视角）</x:v>
      </x:c>
      <x:c r="E64" s="4" t="str">
        <x:v>功能需求</x:v>
      </x:c>
      <x:c r="F64" s="4" t="str">
        <x:v>P1</x:v>
      </x:c>
      <x:c r="G64" s="4" t="str">
        <x:v>验证主播分成记录详情可查看主播人数</x:v>
      </x:c>
      <x:c r="H64" s="4" t="str">
        <x:v>主播人数展示</x:v>
      </x:c>
      <x:c r="I64" s="4" t="str">
        <x:v>1. 平台管理员账号已登录且具备当前页面权限</x:v>
      </x:c>
      <x:c r="J64" s="4" t="str">
        <x:v>1. 进入主播分成记录详情
2. 查看主播人数</x:v>
      </x:c>
      <x:c r="K64" s="4" t="str">
        <x:v>主播分成记录详情显示“主播人数”</x:v>
      </x:c>
      <x:c r="L64" s="4" t="str"/>
      <x:c r="M64" s="4" t="str">
        <x:v>未测</x:v>
      </x:c>
      <x:c r="N64" s="4" t="str"/>
      <x:c r="O64" s="4" t="str">
        <x:v>1. 来源（原型批注）：liveshow-proto/prototype/annotations/admin.js；admin-settlement-record-detail.html
2. 页面：admin-settlement-record-detail.html
3. 规则：BR-46CE8512E65E67
4. 场景：SC-64E0BB1638F4A8
5. 未动态验证</x:v>
      </x:c>
    </x:row>
    <x:row r="65" ht="54" customHeight="1">
      <x:c r="A65" s="4" t="n">
        <x:v>64</x:v>
      </x:c>
      <x:c r="B65" s="4" t="str">
        <x:v>AFIN-0064</x:v>
      </x:c>
      <x:c r="C65" s="4" t="str">
        <x:v>财务结算</x:v>
      </x:c>
      <x:c r="D65" s="4" t="str">
        <x:v>主播账户余额（平台管理员视角）</x:v>
      </x:c>
      <x:c r="E65" s="4" t="str">
        <x:v>业务流程</x:v>
      </x:c>
      <x:c r="F65" s="4" t="str">
        <x:v>P1</x:v>
      </x:c>
      <x:c r="G65" s="4" t="str">
        <x:v>验证变更记录后的主播账户余额状态</x:v>
      </x:c>
      <x:c r="H65" s="4" t="str">
        <x:v>主播账户余额状态</x:v>
      </x:c>
      <x:c r="I65" s="4" t="str">
        <x:v>1. 平台管理员账号已登录且具备当前页面权限
2. 变更记录</x:v>
      </x:c>
      <x:c r="J65" s="4" t="str">
        <x:v>1. 进入主播账户余额
2. 刷新主播账户余额</x:v>
      </x:c>
      <x:c r="K65" s="4" t="str">
        <x:v>进入该主播流水</x:v>
      </x:c>
      <x:c r="L65" s="4" t="str"/>
      <x:c r="M65" s="4" t="str">
        <x:v>未测</x:v>
      </x:c>
      <x:c r="N65" s="4" t="str"/>
      <x:c r="O65" s="4" t="str">
        <x:v>1. 来源（原型批注）：liveshow-proto/prototype/annotations/admin.js；admin-host-account-balance.html
2. 页面：admin-host-account-balance.html
3. 规则：BR-48177FB6B46089
4. 场景：SC-1C7E65B55C014C
5. 未动态验证</x:v>
      </x:c>
    </x:row>
    <x:row r="66" ht="54" customHeight="1">
      <x:c r="A66" s="4" t="n">
        <x:v>65</x:v>
      </x:c>
      <x:c r="B66" s="4" t="str">
        <x:v>AFIN-0065</x:v>
      </x:c>
      <x:c r="C66" s="4" t="str">
        <x:v>财务结算</x:v>
      </x:c>
      <x:c r="D66" s="4" t="str">
        <x:v>主播账户余额（平台管理员视角）</x:v>
      </x:c>
      <x:c r="E66" s="4" t="str">
        <x:v>业务流程</x:v>
      </x:c>
      <x:c r="F66" s="4" t="str">
        <x:v>P1</x:v>
      </x:c>
      <x:c r="G66" s="4" t="str">
        <x:v>验证点击余额后的主播账户余额状态</x:v>
      </x:c>
      <x:c r="H66" s="4" t="str">
        <x:v>主播账户余额状态</x:v>
      </x:c>
      <x:c r="I66" s="4" t="str">
        <x:v>1. 平台管理员账号已登录且具备当前页面权限</x:v>
      </x:c>
      <x:c r="J66" s="4" t="str">
        <x:v>1. 进入主播账户余额
2. 点击余额</x:v>
      </x:c>
      <x:c r="K66" s="4" t="str">
        <x:v>进入该主播流水</x:v>
      </x:c>
      <x:c r="L66" s="4" t="str"/>
      <x:c r="M66" s="4" t="str">
        <x:v>未测</x:v>
      </x:c>
      <x:c r="N66" s="4" t="str"/>
      <x:c r="O66" s="4" t="str">
        <x:v>1. 来源（原型批注）：liveshow-proto/prototype/annotations/admin.js；admin-host-account-balance.html
2. 页面：admin-host-account-balance.html
3. 规则：BR-48177FB6B46089
4. 场景：SC-E0D834A7BC706B
5. 未动态验证</x:v>
      </x:c>
    </x:row>
    <x:row r="67" ht="54" customHeight="1">
      <x:c r="A67" s="4" t="n">
        <x:v>66</x:v>
      </x:c>
      <x:c r="B67" s="4" t="str">
        <x:v>AFIN-0066</x:v>
      </x:c>
      <x:c r="C67" s="4" t="str">
        <x:v>财务结算</x:v>
      </x:c>
      <x:c r="D67" s="4" t="str">
        <x:v>主播账户余额（平台管理员视角）</x:v>
      </x:c>
      <x:c r="E67" s="4" t="str">
        <x:v>功能需求</x:v>
      </x:c>
      <x:c r="F67" s="4" t="str">
        <x:v>P1</x:v>
      </x:c>
      <x:c r="G67" s="4" t="str">
        <x:v>验证主播账户余额可查看汇总卡</x:v>
      </x:c>
      <x:c r="H67" s="4" t="str">
        <x:v>汇总卡展示</x:v>
      </x:c>
      <x:c r="I67" s="4" t="str">
        <x:v>1. 平台管理员账号已登录且具备当前页面权限</x:v>
      </x:c>
      <x:c r="J67" s="4" t="str">
        <x:v>1. 进入主播账户余额
2. 查看汇总卡</x:v>
      </x:c>
      <x:c r="K67" s="4" t="str">
        <x:v>主播账户余额显示“汇总卡”</x:v>
      </x:c>
      <x:c r="L67" s="4" t="str"/>
      <x:c r="M67" s="4" t="str">
        <x:v>未测</x:v>
      </x:c>
      <x:c r="N67" s="4" t="str"/>
      <x:c r="O67" s="4" t="str">
        <x:v>1. 来源（原型批注）：liveshow-proto/prototype/annotations/admin.js；admin-host-account-balance.html
2. 页面：admin-host-account-balance.html
3. 规则：BR-8BCF8C8F1F780D
4. 场景：SC-92A6EDDE855BEF
5. 未动态验证</x:v>
      </x:c>
    </x:row>
    <x:row r="68" ht="54" customHeight="1">
      <x:c r="A68" s="4" t="n">
        <x:v>67</x:v>
      </x:c>
      <x:c r="B68" s="4" t="str">
        <x:v>AFIN-0067</x:v>
      </x:c>
      <x:c r="C68" s="4" t="str">
        <x:v>财务结算</x:v>
      </x:c>
      <x:c r="D68" s="4" t="str">
        <x:v>主播账户余额（平台管理员视角）</x:v>
      </x:c>
      <x:c r="E68" s="4" t="str">
        <x:v>功能需求</x:v>
      </x:c>
      <x:c r="F68" s="4" t="str">
        <x:v>P1</x:v>
      </x:c>
      <x:c r="G68" s="4" t="str">
        <x:v>验证主播账户余额可查看账户余额</x:v>
      </x:c>
      <x:c r="H68" s="4" t="str">
        <x:v>账户余额展示</x:v>
      </x:c>
      <x:c r="I68" s="4" t="str">
        <x:v>1. 平台管理员账号已登录且具备当前页面权限</x:v>
      </x:c>
      <x:c r="J68" s="4" t="str">
        <x:v>1. 进入主播账户余额
2. 查看账户余额</x:v>
      </x:c>
      <x:c r="K68" s="4" t="str">
        <x:v>主播账户余额显示“账户余额”</x:v>
      </x:c>
      <x:c r="L68" s="4" t="str"/>
      <x:c r="M68" s="4" t="str">
        <x:v>未测</x:v>
      </x:c>
      <x:c r="N68" s="4" t="str"/>
      <x:c r="O68" s="4" t="str">
        <x:v>1. 来源（原型批注）：liveshow-proto/prototype/annotations/admin.js；admin-host-account-balance.html
2. 页面：admin-host-account-balance.html
3. 规则：BR-332E6059CD9F90
4. 场景：SC-8130614A22106D
5. 未动态验证</x:v>
      </x:c>
    </x:row>
    <x:row r="69" ht="54" customHeight="1">
      <x:c r="A69" s="4" t="n">
        <x:v>68</x:v>
      </x:c>
      <x:c r="B69" s="4" t="str">
        <x:v>AGUILD-0001</x:v>
      </x:c>
      <x:c r="C69" s="4" t="str">
        <x:v>公会管理</x:v>
      </x:c>
      <x:c r="D69" s="4" t="str">
        <x:v>公会列表（平台管理员视角）</x:v>
      </x:c>
      <x:c r="E69" s="4" t="str">
        <x:v>功能需求</x:v>
      </x:c>
      <x:c r="F69" s="4" t="str">
        <x:v>P2</x:v>
      </x:c>
      <x:c r="G69" s="4" t="str">
        <x:v>验证公会列表可查看公会信息</x:v>
      </x:c>
      <x:c r="H69" s="4" t="str">
        <x:v>公会信息展示</x:v>
      </x:c>
      <x:c r="I69" s="4" t="str">
        <x:v>1. 平台管理员账号已登录且具备当前页面权限</x:v>
      </x:c>
      <x:c r="J69" s="4" t="str">
        <x:v>1. 进入公会列表
2. 查看公会信息</x:v>
      </x:c>
      <x:c r="K69" s="4" t="str">
        <x:v>公会列表显示“公会信息”</x:v>
      </x:c>
      <x:c r="L69" s="4" t="str"/>
      <x:c r="M69" s="4" t="str">
        <x:v>未测</x:v>
      </x:c>
      <x:c r="N69" s="4" t="str"/>
      <x:c r="O69" s="4" t="str">
        <x:v>1. 来源（原型批注）：liveshow-proto/prototype/annotations/admin.js；admin-guild-list.html
2. 页面：admin-guild-list.html
3. 规则：BR-F47DA633CE6463
4. 场景：SC-853C270C515EB6
5. 未动态验证</x:v>
      </x:c>
    </x:row>
    <x:row r="70" ht="54" customHeight="1">
      <x:c r="A70" s="4" t="n">
        <x:v>69</x:v>
      </x:c>
      <x:c r="B70" s="4" t="str">
        <x:v>AGUILD-0002</x:v>
      </x:c>
      <x:c r="C70" s="4" t="str">
        <x:v>公会管理</x:v>
      </x:c>
      <x:c r="D70" s="4" t="str">
        <x:v>公会列表（平台管理员视角）</x:v>
      </x:c>
      <x:c r="E70" s="4" t="str">
        <x:v>功能需求</x:v>
      </x:c>
      <x:c r="F70" s="4" t="str">
        <x:v>P2</x:v>
      </x:c>
      <x:c r="G70" s="4" t="str">
        <x:v>验证公会列表可查看公会长</x:v>
      </x:c>
      <x:c r="H70" s="4" t="str">
        <x:v>公会长展示</x:v>
      </x:c>
      <x:c r="I70" s="4" t="str">
        <x:v>1. 平台管理员账号已登录且具备当前页面权限</x:v>
      </x:c>
      <x:c r="J70" s="4" t="str">
        <x:v>1. 进入公会列表
2. 查看公会长</x:v>
      </x:c>
      <x:c r="K70" s="4" t="str">
        <x:v>公会列表显示“公会长”</x:v>
      </x:c>
      <x:c r="L70" s="4" t="str"/>
      <x:c r="M70" s="4" t="str">
        <x:v>未测</x:v>
      </x:c>
      <x:c r="N70" s="4" t="str"/>
      <x:c r="O70" s="4" t="str">
        <x:v>1. 来源（原型批注）：liveshow-proto/prototype/annotations/admin.js；admin-guild-list.html
2. 页面：admin-guild-list.html
3. 规则：BR-9C9E160B3C81B2
4. 场景：SC-ED6C9D8F63A70F
5. 未动态验证</x:v>
      </x:c>
    </x:row>
    <x:row r="71" ht="54" customHeight="1">
      <x:c r="A71" s="4" t="n">
        <x:v>70</x:v>
      </x:c>
      <x:c r="B71" s="4" t="str">
        <x:v>AGUILD-0003</x:v>
      </x:c>
      <x:c r="C71" s="4" t="str">
        <x:v>公会管理</x:v>
      </x:c>
      <x:c r="D71" s="4" t="str">
        <x:v>公会列表（平台管理员视角）</x:v>
      </x:c>
      <x:c r="E71" s="4" t="str">
        <x:v>功能需求</x:v>
      </x:c>
      <x:c r="F71" s="4" t="str">
        <x:v>P2</x:v>
      </x:c>
      <x:c r="G71" s="4" t="str">
        <x:v>验证公会列表可查看公会状态</x:v>
      </x:c>
      <x:c r="H71" s="4" t="str">
        <x:v>公会状态展示</x:v>
      </x:c>
      <x:c r="I71" s="4" t="str">
        <x:v>1. 平台管理员账号已登录且具备当前页面权限</x:v>
      </x:c>
      <x:c r="J71" s="4" t="str">
        <x:v>1. 进入公会列表
2. 查看公会状态</x:v>
      </x:c>
      <x:c r="K71" s="4" t="str">
        <x:v>公会列表显示“公会状态”</x:v>
      </x:c>
      <x:c r="L71" s="4" t="str"/>
      <x:c r="M71" s="4" t="str">
        <x:v>未测</x:v>
      </x:c>
      <x:c r="N71" s="4" t="str"/>
      <x:c r="O71" s="4" t="str">
        <x:v>1. 来源（原型批注）：liveshow-proto/prototype/annotations/admin.js；admin-guild-list.html
2. 页面：admin-guild-list.html
3. 规则：BR-0F3203F96CBA13、BR-E544AF0DFF35C7
4. 场景：SC-66E50A17BF9D2E
5. 未动态验证</x:v>
      </x:c>
    </x:row>
    <x:row r="72" ht="54" customHeight="1">
      <x:c r="A72" s="4" t="n">
        <x:v>71</x:v>
      </x:c>
      <x:c r="B72" s="4" t="str">
        <x:v>AGUILD-0004</x:v>
      </x:c>
      <x:c r="C72" s="4" t="str">
        <x:v>公会管理</x:v>
      </x:c>
      <x:c r="D72" s="4" t="str">
        <x:v>公会列表（平台管理员视角）</x:v>
      </x:c>
      <x:c r="E72" s="4" t="str">
        <x:v>功能需求</x:v>
      </x:c>
      <x:c r="F72" s="4" t="str">
        <x:v>P2</x:v>
      </x:c>
      <x:c r="G72" s="4" t="str">
        <x:v>验证公会列表可查看主播人数</x:v>
      </x:c>
      <x:c r="H72" s="4" t="str">
        <x:v>主播人数展示</x:v>
      </x:c>
      <x:c r="I72" s="4" t="str">
        <x:v>1. 平台管理员账号已登录且具备当前页面权限</x:v>
      </x:c>
      <x:c r="J72" s="4" t="str">
        <x:v>1. 进入公会列表
2. 查看主播人数</x:v>
      </x:c>
      <x:c r="K72" s="4" t="str">
        <x:v>公会列表显示“主播人数”</x:v>
      </x:c>
      <x:c r="L72" s="4" t="str"/>
      <x:c r="M72" s="4" t="str">
        <x:v>未测</x:v>
      </x:c>
      <x:c r="N72" s="4" t="str"/>
      <x:c r="O72" s="4" t="str">
        <x:v>1. 来源（原型批注）：liveshow-proto/prototype/annotations/admin.js；admin-guild-list.html
2. 页面：admin-guild-list.html
3. 规则：BR-C7E0681B82486A
4. 场景：SC-F303D24BD7E0C0
5. 未动态验证</x:v>
      </x:c>
    </x:row>
    <x:row r="73" ht="54" customHeight="1">
      <x:c r="A73" s="4" t="n">
        <x:v>72</x:v>
      </x:c>
      <x:c r="B73" s="4" t="str">
        <x:v>AGUILD-0005</x:v>
      </x:c>
      <x:c r="C73" s="4" t="str">
        <x:v>公会管理</x:v>
      </x:c>
      <x:c r="D73" s="4" t="str">
        <x:v>公会列表（平台管理员视角）</x:v>
      </x:c>
      <x:c r="E73" s="4" t="str">
        <x:v>功能需求</x:v>
      </x:c>
      <x:c r="F73" s="4" t="str">
        <x:v>P2</x:v>
      </x:c>
      <x:c r="G73" s="4" t="str">
        <x:v>验证公会停用时的公会列表结果</x:v>
      </x:c>
      <x:c r="H73" s="4" t="str">
        <x:v>公会列表条件结果</x:v>
      </x:c>
      <x:c r="I73" s="4" t="str">
        <x:v>1. 平台管理员账号已登录且具备当前页面权限
2. 公会停用</x:v>
      </x:c>
      <x:c r="J73" s="4" t="str">
        <x:v>1. 进入公会列表
2. 查看公会列表</x:v>
      </x:c>
      <x:c r="K73" s="4" t="str">
        <x:v>该公会所有管理账号均不能登录，但各账号自身状态不变</x:v>
      </x:c>
      <x:c r="L73" s="4" t="str"/>
      <x:c r="M73" s="4" t="str">
        <x:v>未测</x:v>
      </x:c>
      <x:c r="N73" s="4" t="str"/>
      <x:c r="O73" s="4" t="str">
        <x:v>1. 来源（原型批注）：liveshow-proto/prototype/annotations/admin.js；admin-guild-list.html
2. 页面：admin-guild-list.html
3. 规则：BR-43A3DA3C1719E2
4. 场景：SC-779E50C72BFC1F
5. 未动态验证</x:v>
      </x:c>
    </x:row>
    <x:row r="74" ht="54" customHeight="1">
      <x:c r="A74" s="4" t="n">
        <x:v>73</x:v>
      </x:c>
      <x:c r="B74" s="4" t="str">
        <x:v>AGUILD-0006</x:v>
      </x:c>
      <x:c r="C74" s="4" t="str">
        <x:v>公会管理</x:v>
      </x:c>
      <x:c r="D74" s="4" t="str">
        <x:v>公会列表（平台管理员视角）</x:v>
      </x:c>
      <x:c r="E74" s="4" t="str">
        <x:v>业务流程</x:v>
      </x:c>
      <x:c r="F74" s="4" t="str">
        <x:v>P2</x:v>
      </x:c>
      <x:c r="G74" s="4" t="str">
        <x:v>验证解散后的公会列表状态</x:v>
      </x:c>
      <x:c r="H74" s="4" t="str">
        <x:v>公会列表状态</x:v>
      </x:c>
      <x:c r="I74" s="4" t="str">
        <x:v>1. 平台管理员账号已登录且具备当前页面权限
2. 解散</x:v>
      </x:c>
      <x:c r="J74" s="4" t="str">
        <x:v>1. 进入公会列表
2. 刷新公会列表</x:v>
      </x:c>
      <x:c r="K74" s="4" t="str">
        <x:v>账号失效、关系解除、主播失去身份并停止开播</x:v>
      </x:c>
      <x:c r="L74" s="4" t="str"/>
      <x:c r="M74" s="4" t="str">
        <x:v>未测</x:v>
      </x:c>
      <x:c r="N74" s="4" t="str"/>
      <x:c r="O74" s="4" t="str">
        <x:v>1. 来源（原型批注）：liveshow-proto/prototype/annotations/admin.js；admin-guild-list.html
2. 页面：admin-guild-list.html
3. 规则：BR-8A2E503C7FF7B5
4. 场景：SC-27402BAF122AEC
5. 未动态验证</x:v>
      </x:c>
    </x:row>
    <x:row r="75" ht="54" customHeight="1">
      <x:c r="A75" s="4" t="n">
        <x:v>74</x:v>
      </x:c>
      <x:c r="B75" s="4" t="str">
        <x:v>AGUILD-0007</x:v>
      </x:c>
      <x:c r="C75" s="4" t="str">
        <x:v>公会管理</x:v>
      </x:c>
      <x:c r="D75" s="4" t="str">
        <x:v>公会详情（平台管理员视角）</x:v>
      </x:c>
      <x:c r="E75" s="4" t="str">
        <x:v>功能需求</x:v>
      </x:c>
      <x:c r="F75" s="4" t="str">
        <x:v>P2</x:v>
      </x:c>
      <x:c r="G75" s="4" t="str">
        <x:v>验证公会详情可查看初始密码</x:v>
      </x:c>
      <x:c r="H75" s="4" t="str">
        <x:v>初始密码展示</x:v>
      </x:c>
      <x:c r="I75" s="4" t="str">
        <x:v>1. 平台管理员账号已登录且具备当前页面权限</x:v>
      </x:c>
      <x:c r="J75" s="4" t="str">
        <x:v>1. 进入公会详情
2. 查看初始密码</x:v>
      </x:c>
      <x:c r="K75" s="4" t="str">
        <x:v>公会详情显示“初始密码”</x:v>
      </x:c>
      <x:c r="L75" s="4" t="str"/>
      <x:c r="M75" s="4" t="str">
        <x:v>未测</x:v>
      </x:c>
      <x:c r="N75" s="4" t="str"/>
      <x:c r="O75" s="4" t="str">
        <x:v>1. 来源（原型批注）：liveshow-proto/prototype/annotations/admin.js；admin-guild-detail.html
2. 页面：admin-guild-detail.html
3. 规则：BR-7086E0D36B24F4、BR-80A65558D8BA71
4. 场景：SC-5F86C166FD0FAE
5. 未动态验证</x:v>
      </x:c>
    </x:row>
    <x:row r="76" ht="54" customHeight="1">
      <x:c r="A76" s="4" t="n">
        <x:v>75</x:v>
      </x:c>
      <x:c r="B76" s="4" t="str">
        <x:v>AGUILD-0008</x:v>
      </x:c>
      <x:c r="C76" s="4" t="str">
        <x:v>公会管理</x:v>
      </x:c>
      <x:c r="D76" s="4" t="str">
        <x:v>公会详情（平台管理员视角）</x:v>
      </x:c>
      <x:c r="E76" s="4" t="str">
        <x:v>功能需求</x:v>
      </x:c>
      <x:c r="F76" s="4" t="str">
        <x:v>P2</x:v>
      </x:c>
      <x:c r="G76" s="4" t="str">
        <x:v>验证公会详情可查看公会 ID</x:v>
      </x:c>
      <x:c r="H76" s="4" t="str">
        <x:v>公会 ID展示</x:v>
      </x:c>
      <x:c r="I76" s="4" t="str">
        <x:v>1. 平台管理员账号已登录且具备当前页面权限</x:v>
      </x:c>
      <x:c r="J76" s="4" t="str">
        <x:v>1. 进入公会详情
2. 查看公会 ID</x:v>
      </x:c>
      <x:c r="K76" s="4" t="str">
        <x:v>公会详情显示“公会 ID”</x:v>
      </x:c>
      <x:c r="L76" s="4" t="str"/>
      <x:c r="M76" s="4" t="str">
        <x:v>未测</x:v>
      </x:c>
      <x:c r="N76" s="4" t="str"/>
      <x:c r="O76" s="4" t="str">
        <x:v>1. 来源（原型批注）：liveshow-proto/prototype/annotations/admin.js；admin-guild-detail.html
2. 页面：admin-guild-detail.html
3. 规则：BR-3C2B4E30B1F4A8
4. 场景：SC-264CAB5ACD824B
5. 未动态验证</x:v>
      </x:c>
    </x:row>
    <x:row r="77" ht="54" customHeight="1">
      <x:c r="A77" s="4" t="n">
        <x:v>76</x:v>
      </x:c>
      <x:c r="B77" s="4" t="str">
        <x:v>AGUILD-0009</x:v>
      </x:c>
      <x:c r="C77" s="4" t="str">
        <x:v>公会管理</x:v>
      </x:c>
      <x:c r="D77" s="4" t="str">
        <x:v>公会详情（平台管理员视角）</x:v>
      </x:c>
      <x:c r="E77" s="4" t="str">
        <x:v>功能需求</x:v>
      </x:c>
      <x:c r="F77" s="4" t="str">
        <x:v>P2</x:v>
      </x:c>
      <x:c r="G77" s="4" t="str">
        <x:v>验证公会详情可查看公会长 / 管理账号</x:v>
      </x:c>
      <x:c r="H77" s="4" t="str">
        <x:v>公会长 / 管理账号展示</x:v>
      </x:c>
      <x:c r="I77" s="4" t="str">
        <x:v>1. 平台管理员账号已登录且具备当前页面权限</x:v>
      </x:c>
      <x:c r="J77" s="4" t="str">
        <x:v>1. 进入公会详情
2. 查看公会长 / 管理账号</x:v>
      </x:c>
      <x:c r="K77" s="4" t="str">
        <x:v>公会详情显示“公会长 / 管理账号”</x:v>
      </x:c>
      <x:c r="L77" s="4" t="str"/>
      <x:c r="M77" s="4" t="str">
        <x:v>未测</x:v>
      </x:c>
      <x:c r="N77" s="4" t="str"/>
      <x:c r="O77" s="4" t="str">
        <x:v>1. 来源（原型批注）：liveshow-proto/prototype/annotations/admin.js；admin-guild-detail.html
2. 页面：admin-guild-detail.html
3. 规则：BR-66B28F60DCF1A3、BR-E102012CD9AD26
4. 场景：SC-1BA611E3F403C8
5. 未动态验证</x:v>
      </x:c>
    </x:row>
    <x:row r="78" ht="54" customHeight="1">
      <x:c r="A78" s="4" t="n">
        <x:v>77</x:v>
      </x:c>
      <x:c r="B78" s="4" t="str">
        <x:v>AGUILD-0010</x:v>
      </x:c>
      <x:c r="C78" s="4" t="str">
        <x:v>公会管理</x:v>
      </x:c>
      <x:c r="D78" s="4" t="str">
        <x:v>公会详情（平台管理员视角）</x:v>
      </x:c>
      <x:c r="E78" s="4" t="str">
        <x:v>功能需求</x:v>
      </x:c>
      <x:c r="F78" s="4" t="str">
        <x:v>P2</x:v>
      </x:c>
      <x:c r="G78" s="4" t="str">
        <x:v>验证公会详情可查看公会长账号状态</x:v>
      </x:c>
      <x:c r="H78" s="4" t="str">
        <x:v>公会长账号状态展示</x:v>
      </x:c>
      <x:c r="I78" s="4" t="str">
        <x:v>1. 平台管理员账号已登录且具备当前页面权限</x:v>
      </x:c>
      <x:c r="J78" s="4" t="str">
        <x:v>1. 进入公会详情
2. 查看公会长账号状态</x:v>
      </x:c>
      <x:c r="K78" s="4" t="str">
        <x:v>公会详情显示“公会长账号状态”</x:v>
      </x:c>
      <x:c r="L78" s="4" t="str"/>
      <x:c r="M78" s="4" t="str">
        <x:v>未测</x:v>
      </x:c>
      <x:c r="N78" s="4" t="str"/>
      <x:c r="O78" s="4" t="str">
        <x:v>1. 来源（原型批注）：liveshow-proto/prototype/annotations/admin.js；admin-guild-detail.html
2. 页面：admin-guild-detail.html
3. 规则：BR-1BBBDE51A71EA0、BR-654B969591A290
4. 场景：SC-B12051D081D57F
5. 未动态验证</x:v>
      </x:c>
    </x:row>
    <x:row r="79" ht="54" customHeight="1">
      <x:c r="A79" s="4" t="n">
        <x:v>78</x:v>
      </x:c>
      <x:c r="B79" s="4" t="str">
        <x:v>AGUILD-0011</x:v>
      </x:c>
      <x:c r="C79" s="4" t="str">
        <x:v>公会管理</x:v>
      </x:c>
      <x:c r="D79" s="4" t="str">
        <x:v>公会详情（平台管理员视角）</x:v>
      </x:c>
      <x:c r="E79" s="4" t="str">
        <x:v>功能需求</x:v>
      </x:c>
      <x:c r="F79" s="4" t="str">
        <x:v>P2</x:v>
      </x:c>
      <x:c r="G79" s="4" t="str">
        <x:v>验证公会详情可查看累计收益</x:v>
      </x:c>
      <x:c r="H79" s="4" t="str">
        <x:v>累计收益展示</x:v>
      </x:c>
      <x:c r="I79" s="4" t="str">
        <x:v>1. 平台管理员账号已登录且具备当前页面权限</x:v>
      </x:c>
      <x:c r="J79" s="4" t="str">
        <x:v>1. 进入公会详情
2. 查看累计收益</x:v>
      </x:c>
      <x:c r="K79" s="4" t="str">
        <x:v>公会详情显示“累计收益”</x:v>
      </x:c>
      <x:c r="L79" s="4" t="str"/>
      <x:c r="M79" s="4" t="str">
        <x:v>未测</x:v>
      </x:c>
      <x:c r="N79" s="4" t="str"/>
      <x:c r="O79" s="4" t="str">
        <x:v>1. 来源（原型批注）：liveshow-proto/prototype/annotations/admin.js；admin-guild-detail.html
2. 页面：admin-guild-detail.html
3. 规则：BR-FB52D23F1770D3
4. 场景：SC-6EE594EF0773E7
5. 未动态验证</x:v>
      </x:c>
    </x:row>
    <x:row r="80" ht="54" customHeight="1">
      <x:c r="A80" s="4" t="n">
        <x:v>79</x:v>
      </x:c>
      <x:c r="B80" s="4" t="str">
        <x:v>AGUILD-0012</x:v>
      </x:c>
      <x:c r="C80" s="4" t="str">
        <x:v>公会管理</x:v>
      </x:c>
      <x:c r="D80" s="4" t="str">
        <x:v>公会详情（平台管理员视角）</x:v>
      </x:c>
      <x:c r="E80" s="4" t="str">
        <x:v>功能需求</x:v>
      </x:c>
      <x:c r="F80" s="4" t="str">
        <x:v>P2</x:v>
      </x:c>
      <x:c r="G80" s="4" t="str">
        <x:v>验证公会详情可查看名称 / Logo / 简介</x:v>
      </x:c>
      <x:c r="H80" s="4" t="str">
        <x:v>名称 / Logo / 简介展示</x:v>
      </x:c>
      <x:c r="I80" s="4" t="str">
        <x:v>1. 平台管理员账号已登录且具备当前页面权限</x:v>
      </x:c>
      <x:c r="J80" s="4" t="str">
        <x:v>1. 进入公会详情
2. 查看名称 / Logo / 简介</x:v>
      </x:c>
      <x:c r="K80" s="4" t="str">
        <x:v>公会详情显示“名称 / Logo / 简介”</x:v>
      </x:c>
      <x:c r="L80" s="4" t="str"/>
      <x:c r="M80" s="4" t="str">
        <x:v>未测</x:v>
      </x:c>
      <x:c r="N80" s="4" t="str"/>
      <x:c r="O80" s="4" t="str">
        <x:v>1. 来源（原型批注）：liveshow-proto/prototype/annotations/admin.js；admin-guild-detail.html
2. 页面：admin-guild-detail.html
3. 规则：BR-FC791CE60902F3
4. 场景：SC-F19D84B2FD0F5D
5. 未动态验证</x:v>
      </x:c>
    </x:row>
    <x:row r="81" ht="54" customHeight="1">
      <x:c r="A81" s="4" t="n">
        <x:v>80</x:v>
      </x:c>
      <x:c r="B81" s="4" t="str">
        <x:v>AGUILD-0013</x:v>
      </x:c>
      <x:c r="C81" s="4" t="str">
        <x:v>公会管理</x:v>
      </x:c>
      <x:c r="D81" s="4" t="str">
        <x:v>公会详情（平台管理员视角）</x:v>
      </x:c>
      <x:c r="E81" s="4" t="str">
        <x:v>功能需求</x:v>
      </x:c>
      <x:c r="F81" s="4" t="str">
        <x:v>P2</x:v>
      </x:c>
      <x:c r="G81" s="4" t="str">
        <x:v>验证公会详情可查看主播列表</x:v>
      </x:c>
      <x:c r="H81" s="4" t="str">
        <x:v>主播列表展示</x:v>
      </x:c>
      <x:c r="I81" s="4" t="str">
        <x:v>1. 平台管理员账号已登录且具备当前页面权限</x:v>
      </x:c>
      <x:c r="J81" s="4" t="str">
        <x:v>1. 进入公会详情
2. 查看主播列表</x:v>
      </x:c>
      <x:c r="K81" s="4" t="str">
        <x:v>公会详情显示“主播列表”</x:v>
      </x:c>
      <x:c r="L81" s="4" t="str"/>
      <x:c r="M81" s="4" t="str">
        <x:v>未测</x:v>
      </x:c>
      <x:c r="N81" s="4" t="str"/>
      <x:c r="O81" s="4" t="str">
        <x:v>1. 来源（原型批注）：liveshow-proto/prototype/annotations/admin.js；admin-guild-detail.html
2. 页面：admin-guild-detail.html
3. 规则：BR-2AD907722C98C9
4. 场景：SC-7FB07DF9CD20C5
5. 未动态验证</x:v>
      </x:c>
    </x:row>
    <x:row r="82" ht="54" customHeight="1">
      <x:c r="A82" s="4" t="n">
        <x:v>81</x:v>
      </x:c>
      <x:c r="B82" s="4" t="str">
        <x:v>AGUILD-0014</x:v>
      </x:c>
      <x:c r="C82" s="4" t="str">
        <x:v>公会管理</x:v>
      </x:c>
      <x:c r="D82" s="4" t="str">
        <x:v>公会详情（平台管理员视角）</x:v>
      </x:c>
      <x:c r="E82" s="4" t="str">
        <x:v>逻辑校验</x:v>
      </x:c>
      <x:c r="F82" s="4" t="str">
        <x:v>P2</x:v>
      </x:c>
      <x:c r="G82" s="4" t="str">
        <x:v>验证主播列表按指定范围筛选</x:v>
      </x:c>
      <x:c r="H82" s="4" t="str">
        <x:v>主播列表数据范围</x:v>
      </x:c>
      <x:c r="I82" s="4" t="str">
        <x:v>1. 平台管理员账号已登录且具备当前页面权限
2. 存在符合和不符合“当前公会的主播”的记录</x:v>
      </x:c>
      <x:c r="J82" s="4" t="str">
        <x:v>1. 进入公会详情
2. 查看主播列表</x:v>
      </x:c>
      <x:c r="K82" s="4" t="str">
        <x:v>仅展示当前公会的主播</x:v>
      </x:c>
      <x:c r="L82" s="4" t="str"/>
      <x:c r="M82" s="4" t="str">
        <x:v>未测</x:v>
      </x:c>
      <x:c r="N82" s="4" t="str"/>
      <x:c r="O82" s="4" t="str">
        <x:v>1. 来源（原型批注）：liveshow-proto/prototype/annotations/admin.js；admin-guild-detail.html
2. 页面：admin-guild-detail.html
3. 规则：BR-2AD907722C98C9
4. 场景：SC-1457D34994D698
5. 未动态验证</x:v>
      </x:c>
    </x:row>
    <x:row r="83" ht="54" customHeight="1">
      <x:c r="A83" s="4" t="n">
        <x:v>82</x:v>
      </x:c>
      <x:c r="B83" s="4" t="str">
        <x:v>AGIFT-0001</x:v>
      </x:c>
      <x:c r="C83" s="4" t="str">
        <x:v>礼物与道具</x:v>
      </x:c>
      <x:c r="D83" s="4" t="str">
        <x:v>道具配置（平台管理员视角）</x:v>
      </x:c>
      <x:c r="E83" s="4" t="str">
        <x:v>功能需求</x:v>
      </x:c>
      <x:c r="F83" s="4" t="str">
        <x:v>P2</x:v>
      </x:c>
      <x:c r="G83" s="4" t="str">
        <x:v>验证到期自动停止时的道具配置结果</x:v>
      </x:c>
      <x:c r="H83" s="4" t="str">
        <x:v>道具配置条件结果</x:v>
      </x:c>
      <x:c r="I83" s="4" t="str">
        <x:v>1. 平台管理员账号已登录且具备当前页面权限
2. 到期自动停止</x:v>
      </x:c>
      <x:c r="J83" s="4" t="str">
        <x:v>1. 进入道具配置
2. 查看道具配置</x:v>
      </x:c>
      <x:c r="K83" s="4" t="str">
        <x:v>到期自动停止展示</x:v>
      </x:c>
      <x:c r="L83" s="4" t="str"/>
      <x:c r="M83" s="4" t="str">
        <x:v>未测</x:v>
      </x:c>
      <x:c r="N83" s="4" t="str"/>
      <x:c r="O83" s="4" t="str">
        <x:v>1. 来源（原型批注）：liveshow-proto/prototype/annotations/admin.js；admin-prop-list.html
2. 页面：admin-prop-list.html
3. 规则：BR-173506BD7E4D37
4. 场景：SC-ADAA0DC3A366A8
5. 未动态验证</x:v>
      </x:c>
    </x:row>
    <x:row r="84" ht="54" customHeight="1">
      <x:c r="A84" s="4" t="n">
        <x:v>83</x:v>
      </x:c>
      <x:c r="B84" s="4" t="str">
        <x:v>AGIFT-0002</x:v>
      </x:c>
      <x:c r="C84" s="4" t="str">
        <x:v>礼物与道具</x:v>
      </x:c>
      <x:c r="D84" s="4" t="str">
        <x:v>道具配置（平台管理员视角）</x:v>
      </x:c>
      <x:c r="E84" s="4" t="str">
        <x:v>功能需求</x:v>
      </x:c>
      <x:c r="F84" s="4" t="str">
        <x:v>P2</x:v>
      </x:c>
      <x:c r="G84" s="4" t="str">
        <x:v>验证道具配置可查看道具 ID</x:v>
      </x:c>
      <x:c r="H84" s="4" t="str">
        <x:v>道具 ID展示</x:v>
      </x:c>
      <x:c r="I84" s="4" t="str">
        <x:v>1. 平台管理员账号已登录且具备当前页面权限</x:v>
      </x:c>
      <x:c r="J84" s="4" t="str">
        <x:v>1. 进入道具配置
2. 查看道具 ID</x:v>
      </x:c>
      <x:c r="K84" s="4" t="str">
        <x:v>道具配置显示“道具 ID”</x:v>
      </x:c>
      <x:c r="L84" s="4" t="str"/>
      <x:c r="M84" s="4" t="str">
        <x:v>未测</x:v>
      </x:c>
      <x:c r="N84" s="4" t="str"/>
      <x:c r="O84" s="4" t="str">
        <x:v>1. 来源（原型批注）：liveshow-proto/prototype/annotations/admin.js；admin-prop-list.html
2. 页面：admin-prop-list.html
3. 规则：BR-799D9636E5397E
4. 场景：SC-586651D0B9E3F3
5. 未动态验证</x:v>
      </x:c>
    </x:row>
    <x:row r="85" ht="54" customHeight="1">
      <x:c r="A85" s="4" t="n">
        <x:v>84</x:v>
      </x:c>
      <x:c r="B85" s="4" t="str">
        <x:v>AGIFT-0003</x:v>
      </x:c>
      <x:c r="C85" s="4" t="str">
        <x:v>礼物与道具</x:v>
      </x:c>
      <x:c r="D85" s="4" t="str">
        <x:v>道具配置（平台管理员视角）</x:v>
      </x:c>
      <x:c r="E85" s="4" t="str">
        <x:v>功能需求</x:v>
      </x:c>
      <x:c r="F85" s="4" t="str">
        <x:v>P2</x:v>
      </x:c>
      <x:c r="G85" s="4" t="str">
        <x:v>验证道具配置可查看道具类型</x:v>
      </x:c>
      <x:c r="H85" s="4" t="str">
        <x:v>道具类型展示</x:v>
      </x:c>
      <x:c r="I85" s="4" t="str">
        <x:v>1. 平台管理员账号已登录且具备当前页面权限</x:v>
      </x:c>
      <x:c r="J85" s="4" t="str">
        <x:v>1. 进入道具配置
2. 查看道具类型</x:v>
      </x:c>
      <x:c r="K85" s="4" t="str">
        <x:v>道具配置显示“道具类型”</x:v>
      </x:c>
      <x:c r="L85" s="4" t="str"/>
      <x:c r="M85" s="4" t="str">
        <x:v>未测</x:v>
      </x:c>
      <x:c r="N85" s="4" t="str"/>
      <x:c r="O85" s="4" t="str">
        <x:v>1. 来源（原型批注）：liveshow-proto/prototype/annotations/admin.js；admin-prop-list.html
2. 页面：admin-prop-list.html
3. 规则：BR-556BCE43AAECF0、BR-78EA20C258AD01
4. 场景：SC-89EDF9CC22E76B
5. 未动态验证</x:v>
      </x:c>
    </x:row>
    <x:row r="86" ht="54" customHeight="1">
      <x:c r="A86" s="4" t="n">
        <x:v>85</x:v>
      </x:c>
      <x:c r="B86" s="4" t="str">
        <x:v>AGIFT-0004</x:v>
      </x:c>
      <x:c r="C86" s="4" t="str">
        <x:v>礼物与道具</x:v>
      </x:c>
      <x:c r="D86" s="4" t="str">
        <x:v>道具配置（平台管理员视角）</x:v>
      </x:c>
      <x:c r="E86" s="4" t="str">
        <x:v>功能需求</x:v>
      </x:c>
      <x:c r="F86" s="4" t="str">
        <x:v>P2</x:v>
      </x:c>
      <x:c r="G86" s="4" t="str">
        <x:v>验证道具配置可查看道具名称</x:v>
      </x:c>
      <x:c r="H86" s="4" t="str">
        <x:v>道具名称展示</x:v>
      </x:c>
      <x:c r="I86" s="4" t="str">
        <x:v>1. 平台管理员账号已登录且具备当前页面权限</x:v>
      </x:c>
      <x:c r="J86" s="4" t="str">
        <x:v>1. 进入道具配置
2. 查看道具名称</x:v>
      </x:c>
      <x:c r="K86" s="4" t="str">
        <x:v>道具配置显示“道具名称”</x:v>
      </x:c>
      <x:c r="L86" s="4" t="str"/>
      <x:c r="M86" s="4" t="str">
        <x:v>未测</x:v>
      </x:c>
      <x:c r="N86" s="4" t="str"/>
      <x:c r="O86" s="4" t="str">
        <x:v>1. 来源（原型批注）：liveshow-proto/prototype/annotations/admin.js；admin-prop-list.html
2. 页面：admin-prop-list.html
3. 规则：BR-F883D75FCF15E0
4. 场景：SC-01B015EABDD736
5. 未动态验证</x:v>
      </x:c>
    </x:row>
    <x:row r="87" ht="54" customHeight="1">
      <x:c r="A87" s="4" t="n">
        <x:v>86</x:v>
      </x:c>
      <x:c r="B87" s="4" t="str">
        <x:v>AGIFT-0005</x:v>
      </x:c>
      <x:c r="C87" s="4" t="str">
        <x:v>礼物与道具</x:v>
      </x:c>
      <x:c r="D87" s="4" t="str">
        <x:v>道具配置（平台管理员视角）</x:v>
      </x:c>
      <x:c r="E87" s="4" t="str">
        <x:v>功能需求</x:v>
      </x:c>
      <x:c r="F87" s="4" t="str">
        <x:v>P2</x:v>
      </x:c>
      <x:c r="G87" s="4" t="str">
        <x:v>验证道具配置可查看图标 / 排序</x:v>
      </x:c>
      <x:c r="H87" s="4" t="str">
        <x:v>图标 / 排序展示</x:v>
      </x:c>
      <x:c r="I87" s="4" t="str">
        <x:v>1. 平台管理员账号已登录且具备当前页面权限</x:v>
      </x:c>
      <x:c r="J87" s="4" t="str">
        <x:v>1. 进入道具配置
2. 查看图标 / 排序</x:v>
      </x:c>
      <x:c r="K87" s="4" t="str">
        <x:v>道具配置显示“图标 / 排序”</x:v>
      </x:c>
      <x:c r="L87" s="4" t="str"/>
      <x:c r="M87" s="4" t="str">
        <x:v>未测</x:v>
      </x:c>
      <x:c r="N87" s="4" t="str"/>
      <x:c r="O87" s="4" t="str">
        <x:v>1. 来源（原型批注）：liveshow-proto/prototype/annotations/admin.js；admin-prop-list.html
2. 页面：admin-prop-list.html
3. 规则：BR-E240E9C8667196、BR-4541B749BFBFC2
4. 场景：SC-8513A9069060C3
5. 未动态验证</x:v>
      </x:c>
    </x:row>
    <x:row r="88" ht="54" customHeight="1">
      <x:c r="A88" s="4" t="n">
        <x:v>87</x:v>
      </x:c>
      <x:c r="B88" s="4" t="str">
        <x:v>AGIFT-0006</x:v>
      </x:c>
      <x:c r="C88" s="4" t="str">
        <x:v>礼物与道具</x:v>
      </x:c>
      <x:c r="D88" s="4" t="str">
        <x:v>道具配置（平台管理员视角）</x:v>
      </x:c>
      <x:c r="E88" s="4" t="str">
        <x:v>功能需求</x:v>
      </x:c>
      <x:c r="F88" s="4" t="str">
        <x:v>P2</x:v>
      </x:c>
      <x:c r="G88" s="4" t="str">
        <x:v>验证道具配置可查看状态</x:v>
      </x:c>
      <x:c r="H88" s="4" t="str">
        <x:v>状态展示</x:v>
      </x:c>
      <x:c r="I88" s="4" t="str">
        <x:v>1. 平台管理员账号已登录且具备当前页面权限</x:v>
      </x:c>
      <x:c r="J88" s="4" t="str">
        <x:v>1. 进入道具配置
2. 查看状态</x:v>
      </x:c>
      <x:c r="K88" s="4" t="str">
        <x:v>道具配置显示“状态”</x:v>
      </x:c>
      <x:c r="L88" s="4" t="str"/>
      <x:c r="M88" s="4" t="str">
        <x:v>未测</x:v>
      </x:c>
      <x:c r="N88" s="4" t="str"/>
      <x:c r="O88" s="4" t="str">
        <x:v>1. 来源（原型批注）：liveshow-proto/prototype/annotations/admin.js；admin-prop-list.html
2. 页面：admin-prop-list.html
3. 规则：BR-95AA69E789FD0C
4. 场景：SC-3CB89B3159A97C
5. 未动态验证</x:v>
      </x:c>
    </x:row>
    <x:row r="89" ht="54" customHeight="1">
      <x:c r="A89" s="4" t="n">
        <x:v>88</x:v>
      </x:c>
      <x:c r="B89" s="4" t="str">
        <x:v>AGIFT-0007</x:v>
      </x:c>
      <x:c r="C89" s="4" t="str">
        <x:v>礼物与道具</x:v>
      </x:c>
      <x:c r="D89" s="4" t="str">
        <x:v>道具配置（平台管理员视角）</x:v>
      </x:c>
      <x:c r="E89" s="4" t="str">
        <x:v>业务流程</x:v>
      </x:c>
      <x:c r="F89" s="4" t="str">
        <x:v>P2</x:v>
      </x:c>
      <x:c r="G89" s="4" t="str">
        <x:v>验证类型 Tab后的道具配置状态</x:v>
      </x:c>
      <x:c r="H89" s="4" t="str">
        <x:v>道具配置状态</x:v>
      </x:c>
      <x:c r="I89" s="4" t="str">
        <x:v>1. 平台管理员账号已登录且具备当前页面权限
2. 类型 Tab</x:v>
      </x:c>
      <x:c r="J89" s="4" t="str">
        <x:v>1. 进入道具配置
2. 刷新道具配置</x:v>
      </x:c>
      <x:c r="K89" s="4" t="str">
        <x:v>切换列表</x:v>
      </x:c>
      <x:c r="L89" s="4" t="str"/>
      <x:c r="M89" s="4" t="str">
        <x:v>未测</x:v>
      </x:c>
      <x:c r="N89" s="4" t="str"/>
      <x:c r="O89" s="4" t="str">
        <x:v>1. 来源（原型批注）：liveshow-proto/prototype/annotations/admin.js；admin-prop-list.html
2. 页面：admin-prop-list.html
3. 规则：BR-DDF4A3CB32C67E
4. 场景：SC-50A98F374A4356
5. 未动态验证</x:v>
      </x:c>
    </x:row>
    <x:row r="90" ht="54" customHeight="1">
      <x:c r="A90" s="4" t="n">
        <x:v>89</x:v>
      </x:c>
      <x:c r="B90" s="4" t="str">
        <x:v>AGIFT-0008</x:v>
      </x:c>
      <x:c r="C90" s="4" t="str">
        <x:v>礼物与道具</x:v>
      </x:c>
      <x:c r="D90" s="4" t="str">
        <x:v>道具配置（平台管理员视角）</x:v>
      </x:c>
      <x:c r="E90" s="4" t="str">
        <x:v>功能需求</x:v>
      </x:c>
      <x:c r="F90" s="4" t="str">
        <x:v>P2</x:v>
      </x:c>
      <x:c r="G90" s="4" t="str">
        <x:v>验证四语配置，按客户端语言时的道具配置结果</x:v>
      </x:c>
      <x:c r="H90" s="4" t="str">
        <x:v>道具配置条件结果</x:v>
      </x:c>
      <x:c r="I90" s="4" t="str">
        <x:v>1. 平台管理员账号已登录且具备当前页面权限
2. 四语配置，按客户端语言</x:v>
      </x:c>
      <x:c r="J90" s="4" t="str">
        <x:v>1. 进入道具配置
2. 查看道具配置</x:v>
      </x:c>
      <x:c r="K90" s="4" t="str">
        <x:v>四语配置，按客户端语言展示</x:v>
      </x:c>
      <x:c r="L90" s="4" t="str"/>
      <x:c r="M90" s="4" t="str">
        <x:v>未测</x:v>
      </x:c>
      <x:c r="N90" s="4" t="str"/>
      <x:c r="O90" s="4" t="str">
        <x:v>1. 来源（原型批注）：liveshow-proto/prototype/annotations/admin.js；admin-prop-list.html
2. 页面：admin-prop-list.html
3. 规则：BR-F883D75FCF15E0
4. 场景：SC-3A3E74B054F679
5. 未动态验证</x:v>
      </x:c>
    </x:row>
    <x:row r="91" ht="54" customHeight="1">
      <x:c r="A91" s="4" t="n">
        <x:v>90</x:v>
      </x:c>
      <x:c r="B91" s="4" t="str">
        <x:v>AGIFT-0009</x:v>
      </x:c>
      <x:c r="C91" s="4" t="str">
        <x:v>礼物与道具</x:v>
      </x:c>
      <x:c r="D91" s="4" t="str">
        <x:v>道具详情（平台管理员视角）</x:v>
      </x:c>
      <x:c r="E91" s="4" t="str">
        <x:v>功能需求</x:v>
      </x:c>
      <x:c r="F91" s="4" t="str">
        <x:v>P2</x:v>
      </x:c>
      <x:c r="G91" s="4" t="str">
        <x:v>验证道具详情可查看操作记录</x:v>
      </x:c>
      <x:c r="H91" s="4" t="str">
        <x:v>操作记录展示</x:v>
      </x:c>
      <x:c r="I91" s="4" t="str">
        <x:v>1. 平台管理员账号已登录且具备当前页面权限</x:v>
      </x:c>
      <x:c r="J91" s="4" t="str">
        <x:v>1. 进入道具详情
2. 查看操作记录</x:v>
      </x:c>
      <x:c r="K91" s="4" t="str">
        <x:v>道具详情显示“操作记录”</x:v>
      </x:c>
      <x:c r="L91" s="4" t="str"/>
      <x:c r="M91" s="4" t="str">
        <x:v>未测</x:v>
      </x:c>
      <x:c r="N91" s="4" t="str"/>
      <x:c r="O91" s="4" t="str">
        <x:v>1. 来源（原型批注）：liveshow-proto/prototype/annotations/admin.js；admin-prop-detail.html
2. 页面：admin-prop-detail.html
3. 规则：BR-40927EC8DDECAE
4. 场景：SC-D8661B84D54696
5. 未动态验证</x:v>
      </x:c>
    </x:row>
    <x:row r="92" ht="54" customHeight="1">
      <x:c r="A92" s="4" t="n">
        <x:v>91</x:v>
      </x:c>
      <x:c r="B92" s="4" t="str">
        <x:v>AGIFT-0010</x:v>
      </x:c>
      <x:c r="C92" s="4" t="str">
        <x:v>礼物与道具</x:v>
      </x:c>
      <x:c r="D92" s="4" t="str">
        <x:v>道具详情（平台管理员视角）</x:v>
      </x:c>
      <x:c r="E92" s="4" t="str">
        <x:v>功能需求</x:v>
      </x:c>
      <x:c r="F92" s="4" t="str">
        <x:v>P2</x:v>
      </x:c>
      <x:c r="G92" s="4" t="str">
        <x:v>验证道具详情可查看道具 ID</x:v>
      </x:c>
      <x:c r="H92" s="4" t="str">
        <x:v>道具 ID展示</x:v>
      </x:c>
      <x:c r="I92" s="4" t="str">
        <x:v>1. 平台管理员账号已登录且具备当前页面权限</x:v>
      </x:c>
      <x:c r="J92" s="4" t="str">
        <x:v>1. 进入道具详情
2. 查看道具 ID</x:v>
      </x:c>
      <x:c r="K92" s="4" t="str">
        <x:v>道具详情显示“道具 ID”</x:v>
      </x:c>
      <x:c r="L92" s="4" t="str"/>
      <x:c r="M92" s="4" t="str">
        <x:v>未测</x:v>
      </x:c>
      <x:c r="N92" s="4" t="str"/>
      <x:c r="O92" s="4" t="str">
        <x:v>1. 来源（原型批注）：liveshow-proto/prototype/annotations/admin.js；admin-prop-detail.html
2. 页面：admin-prop-detail.html
3. 规则：BR-0533270F306F53
4. 场景：SC-AC6AB098D4E7FF
5. 未动态验证</x:v>
      </x:c>
    </x:row>
    <x:row r="93" ht="54" customHeight="1">
      <x:c r="A93" s="4" t="n">
        <x:v>92</x:v>
      </x:c>
      <x:c r="B93" s="4" t="str">
        <x:v>AGIFT-0011</x:v>
      </x:c>
      <x:c r="C93" s="4" t="str">
        <x:v>礼物与道具</x:v>
      </x:c>
      <x:c r="D93" s="4" t="str">
        <x:v>道具详情（平台管理员视角）</x:v>
      </x:c>
      <x:c r="E93" s="4" t="str">
        <x:v>功能需求</x:v>
      </x:c>
      <x:c r="F93" s="4" t="str">
        <x:v>P2</x:v>
      </x:c>
      <x:c r="G93" s="4" t="str">
        <x:v>验证道具详情可查看道具类型</x:v>
      </x:c>
      <x:c r="H93" s="4" t="str">
        <x:v>道具类型展示</x:v>
      </x:c>
      <x:c r="I93" s="4" t="str">
        <x:v>1. 平台管理员账号已登录且具备当前页面权限</x:v>
      </x:c>
      <x:c r="J93" s="4" t="str">
        <x:v>1. 进入道具详情
2. 查看道具类型</x:v>
      </x:c>
      <x:c r="K93" s="4" t="str">
        <x:v>道具详情显示“道具类型”</x:v>
      </x:c>
      <x:c r="L93" s="4" t="str"/>
      <x:c r="M93" s="4" t="str">
        <x:v>未测</x:v>
      </x:c>
      <x:c r="N93" s="4" t="str"/>
      <x:c r="O93" s="4" t="str">
        <x:v>1. 来源（原型批注）：liveshow-proto/prototype/annotations/admin.js；admin-prop-detail.html
2. 页面：admin-prop-detail.html
3. 规则：BR-74CECB89021CB9
4. 场景：SC-2A3E71A04E3E92
5. 未动态验证</x:v>
      </x:c>
    </x:row>
    <x:row r="94" ht="54" customHeight="1">
      <x:c r="A94" s="4" t="n">
        <x:v>93</x:v>
      </x:c>
      <x:c r="B94" s="4" t="str">
        <x:v>AGIFT-0012</x:v>
      </x:c>
      <x:c r="C94" s="4" t="str">
        <x:v>礼物与道具</x:v>
      </x:c>
      <x:c r="D94" s="4" t="str">
        <x:v>道具详情（平台管理员视角）</x:v>
      </x:c>
      <x:c r="E94" s="4" t="str">
        <x:v>功能需求</x:v>
      </x:c>
      <x:c r="F94" s="4" t="str">
        <x:v>P2</x:v>
      </x:c>
      <x:c r="G94" s="4" t="str">
        <x:v>验证道具详情可查看排序权重</x:v>
      </x:c>
      <x:c r="H94" s="4" t="str">
        <x:v>排序权重展示</x:v>
      </x:c>
      <x:c r="I94" s="4" t="str">
        <x:v>1. 平台管理员账号已登录且具备当前页面权限</x:v>
      </x:c>
      <x:c r="J94" s="4" t="str">
        <x:v>1. 进入道具详情
2. 查看排序权重</x:v>
      </x:c>
      <x:c r="K94" s="4" t="str">
        <x:v>道具详情显示“排序权重”</x:v>
      </x:c>
      <x:c r="L94" s="4" t="str"/>
      <x:c r="M94" s="4" t="str">
        <x:v>未测</x:v>
      </x:c>
      <x:c r="N94" s="4" t="str"/>
      <x:c r="O94" s="4" t="str">
        <x:v>1. 来源（原型批注）：liveshow-proto/prototype/annotations/admin.js；admin-prop-detail.html
2. 页面：admin-prop-detail.html
3. 规则：BR-B5725A6550C3A5
4. 场景：SC-D2368DF81A74D2
5. 未动态验证</x:v>
      </x:c>
    </x:row>
    <x:row r="95" ht="54" customHeight="1">
      <x:c r="A95" s="4" t="n">
        <x:v>94</x:v>
      </x:c>
      <x:c r="B95" s="4" t="str">
        <x:v>AGIFT-0013</x:v>
      </x:c>
      <x:c r="C95" s="4" t="str">
        <x:v>礼物与道具</x:v>
      </x:c>
      <x:c r="D95" s="4" t="str">
        <x:v>道具详情（平台管理员视角）</x:v>
      </x:c>
      <x:c r="E95" s="4" t="str">
        <x:v>功能需求</x:v>
      </x:c>
      <x:c r="F95" s="4" t="str">
        <x:v>P2</x:v>
      </x:c>
      <x:c r="G95" s="4" t="str">
        <x:v>验证道具详情可查看四语名称</x:v>
      </x:c>
      <x:c r="H95" s="4" t="str">
        <x:v>四语名称展示</x:v>
      </x:c>
      <x:c r="I95" s="4" t="str">
        <x:v>1. 平台管理员账号已登录且具备当前页面权限</x:v>
      </x:c>
      <x:c r="J95" s="4" t="str">
        <x:v>1. 进入道具详情
2. 查看四语名称</x:v>
      </x:c>
      <x:c r="K95" s="4" t="str">
        <x:v>道具详情显示“四语名称”</x:v>
      </x:c>
      <x:c r="L95" s="4" t="str"/>
      <x:c r="M95" s="4" t="str">
        <x:v>未测</x:v>
      </x:c>
      <x:c r="N95" s="4" t="str"/>
      <x:c r="O95" s="4" t="str">
        <x:v>1. 来源（原型批注）：liveshow-proto/prototype/annotations/admin.js；admin-prop-detail.html
2. 页面：admin-prop-detail.html
3. 规则：BR-0871733FE2298A
4. 场景：SC-BA5E4158ED8AAE
5. 未动态验证</x:v>
      </x:c>
    </x:row>
    <x:row r="96" ht="54" customHeight="1">
      <x:c r="A96" s="4" t="n">
        <x:v>95</x:v>
      </x:c>
      <x:c r="B96" s="4" t="str">
        <x:v>AGIFT-0014</x:v>
      </x:c>
      <x:c r="C96" s="4" t="str">
        <x:v>礼物与道具</x:v>
      </x:c>
      <x:c r="D96" s="4" t="str">
        <x:v>道具详情（平台管理员视角）</x:v>
      </x:c>
      <x:c r="E96" s="4" t="str">
        <x:v>功能需求</x:v>
      </x:c>
      <x:c r="F96" s="4" t="str">
        <x:v>P2</x:v>
      </x:c>
      <x:c r="G96" s="4" t="str">
        <x:v>验证道具详情可查看图标 / 素材</x:v>
      </x:c>
      <x:c r="H96" s="4" t="str">
        <x:v>图标 / 素材展示</x:v>
      </x:c>
      <x:c r="I96" s="4" t="str">
        <x:v>1. 平台管理员账号已登录且具备当前页面权限</x:v>
      </x:c>
      <x:c r="J96" s="4" t="str">
        <x:v>1. 进入道具详情
2. 查看图标 / 素材</x:v>
      </x:c>
      <x:c r="K96" s="4" t="str">
        <x:v>道具详情显示“图标 / 素材”</x:v>
      </x:c>
      <x:c r="L96" s="4" t="str"/>
      <x:c r="M96" s="4" t="str">
        <x:v>未测</x:v>
      </x:c>
      <x:c r="N96" s="4" t="str"/>
      <x:c r="O96" s="4" t="str">
        <x:v>1. 来源（原型批注）：liveshow-proto/prototype/annotations/admin.js；admin-prop-detail.html
2. 页面：admin-prop-detail.html
3. 规则：BR-0E7BAD62AA0CDC
4. 场景：SC-BF1B2673EAA909
5. 未动态验证</x:v>
      </x:c>
    </x:row>
    <x:row r="97" ht="54" customHeight="1">
      <x:c r="A97" s="4" t="n">
        <x:v>96</x:v>
      </x:c>
      <x:c r="B97" s="4" t="str">
        <x:v>AGIFT-0015</x:v>
      </x:c>
      <x:c r="C97" s="4" t="str">
        <x:v>礼物与道具</x:v>
      </x:c>
      <x:c r="D97" s="4" t="str">
        <x:v>道具详情（平台管理员视角）</x:v>
      </x:c>
      <x:c r="E97" s="4" t="str">
        <x:v>功能需求</x:v>
      </x:c>
      <x:c r="F97" s="4" t="str">
        <x:v>P2</x:v>
      </x:c>
      <x:c r="G97" s="4" t="str">
        <x:v>验证道具详情可查看状态</x:v>
      </x:c>
      <x:c r="H97" s="4" t="str">
        <x:v>状态展示</x:v>
      </x:c>
      <x:c r="I97" s="4" t="str">
        <x:v>1. 平台管理员账号已登录且具备当前页面权限</x:v>
      </x:c>
      <x:c r="J97" s="4" t="str">
        <x:v>1. 进入道具详情
2. 查看状态</x:v>
      </x:c>
      <x:c r="K97" s="4" t="str">
        <x:v>道具详情显示“状态”</x:v>
      </x:c>
      <x:c r="L97" s="4" t="str"/>
      <x:c r="M97" s="4" t="str">
        <x:v>未测</x:v>
      </x:c>
      <x:c r="N97" s="4" t="str"/>
      <x:c r="O97" s="4" t="str">
        <x:v>1. 来源（原型批注）：liveshow-proto/prototype/annotations/admin.js；admin-prop-detail.html
2. 页面：admin-prop-detail.html
3. 规则：BR-3333643387D836、BR-FB429A15B6C7A1
4. 场景：SC-BD120784D0744B
5. 未动态验证</x:v>
      </x:c>
    </x:row>
    <x:row r="98" ht="54" customHeight="1">
      <x:c r="A98" s="4" t="n">
        <x:v>97</x:v>
      </x:c>
      <x:c r="B98" s="4" t="str">
        <x:v>AGIFT-0016</x:v>
      </x:c>
      <x:c r="C98" s="4" t="str">
        <x:v>礼物与道具</x:v>
      </x:c>
      <x:c r="D98" s="4" t="str">
        <x:v>定制礼物（平台管理员视角）</x:v>
      </x:c>
      <x:c r="E98" s="4" t="str">
        <x:v>功能需求</x:v>
      </x:c>
      <x:c r="F98" s="4" t="str">
        <x:v>P2</x:v>
      </x:c>
      <x:c r="G98" s="4" t="str">
        <x:v>验证定制礼物可查看名称 / 单价 / 资源 / 排序</x:v>
      </x:c>
      <x:c r="H98" s="4" t="str">
        <x:v>名称 / 单价 / 资源 / 排序展示</x:v>
      </x:c>
      <x:c r="I98" s="4" t="str">
        <x:v>1. 平台管理员账号已登录且具备当前页面权限</x:v>
      </x:c>
      <x:c r="J98" s="4" t="str">
        <x:v>1. 进入定制礼物
2. 查看名称 / 单价 / 资源 / 排序</x:v>
      </x:c>
      <x:c r="K98" s="4" t="str">
        <x:v>定制礼物显示“名称 / 单价 / 资源 / 排序”</x:v>
      </x:c>
      <x:c r="L98" s="4" t="str"/>
      <x:c r="M98" s="4" t="str">
        <x:v>未测</x:v>
      </x:c>
      <x:c r="N98" s="4" t="str"/>
      <x:c r="O98" s="4" t="str">
        <x:v>1. 来源（原型批注）：liveshow-proto/prototype/annotations/admin.js；admin-custom-gift.html
2. 页面：admin-custom-gift.html
3. 规则：BR-D24C25B55FF22F
4. 场景：SC-53B066E557517C
5. 未动态验证</x:v>
      </x:c>
    </x:row>
    <x:row r="99" ht="54" customHeight="1">
      <x:c r="A99" s="4" t="n">
        <x:v>98</x:v>
      </x:c>
      <x:c r="B99" s="4" t="str">
        <x:v>AGIFT-0017</x:v>
      </x:c>
      <x:c r="C99" s="4" t="str">
        <x:v>礼物与道具</x:v>
      </x:c>
      <x:c r="D99" s="4" t="str">
        <x:v>定制礼物（平台管理员视角）</x:v>
      </x:c>
      <x:c r="E99" s="4" t="str">
        <x:v>功能需求</x:v>
      </x:c>
      <x:c r="F99" s="4" t="str">
        <x:v>P2</x:v>
      </x:c>
      <x:c r="G99" s="4" t="str">
        <x:v>验证定制礼物可查看上下架状态</x:v>
      </x:c>
      <x:c r="H99" s="4" t="str">
        <x:v>上下架状态展示</x:v>
      </x:c>
      <x:c r="I99" s="4" t="str">
        <x:v>1. 平台管理员账号已登录且具备当前页面权限</x:v>
      </x:c>
      <x:c r="J99" s="4" t="str">
        <x:v>1. 进入定制礼物
2. 查看上下架状态</x:v>
      </x:c>
      <x:c r="K99" s="4" t="str">
        <x:v>定制礼物显示“上下架状态”</x:v>
      </x:c>
      <x:c r="L99" s="4" t="str"/>
      <x:c r="M99" s="4" t="str">
        <x:v>未测</x:v>
      </x:c>
      <x:c r="N99" s="4" t="str"/>
      <x:c r="O99" s="4" t="str">
        <x:v>1. 来源（原型批注）：liveshow-proto/prototype/annotations/admin.js；admin-custom-gift.html
2. 页面：admin-custom-gift.html
3. 规则：BR-98EF03E96D4BE4、BR-2CD3B4B2820C08
4. 场景：SC-9D848F5EB1441C
5. 未动态验证</x:v>
      </x:c>
    </x:row>
    <x:row r="100" ht="54" customHeight="1">
      <x:c r="A100" s="4" t="n">
        <x:v>99</x:v>
      </x:c>
      <x:c r="B100" s="4" t="str">
        <x:v>AGIFT-0018</x:v>
      </x:c>
      <x:c r="C100" s="4" t="str">
        <x:v>礼物与道具</x:v>
      </x:c>
      <x:c r="D100" s="4" t="str">
        <x:v>定制礼物（平台管理员视角）</x:v>
      </x:c>
      <x:c r="E100" s="4" t="str">
        <x:v>功能需求</x:v>
      </x:c>
      <x:c r="F100" s="4" t="str">
        <x:v>P2</x:v>
      </x:c>
      <x:c r="G100" s="4" t="str">
        <x:v>验证定制礼物可查看生效 / 失效时间</x:v>
      </x:c>
      <x:c r="H100" s="4" t="str">
        <x:v>生效 / 失效时间展示</x:v>
      </x:c>
      <x:c r="I100" s="4" t="str">
        <x:v>1. 平台管理员账号已登录且具备当前页面权限</x:v>
      </x:c>
      <x:c r="J100" s="4" t="str">
        <x:v>1. 进入定制礼物
2. 查看生效 / 失效时间</x:v>
      </x:c>
      <x:c r="K100" s="4" t="str">
        <x:v>定制礼物显示“生效 / 失效时间”</x:v>
      </x:c>
      <x:c r="L100" s="4" t="str"/>
      <x:c r="M100" s="4" t="str">
        <x:v>未测</x:v>
      </x:c>
      <x:c r="N100" s="4" t="str"/>
      <x:c r="O100" s="4" t="str">
        <x:v>1. 来源（原型批注）：liveshow-proto/prototype/annotations/admin.js；admin-custom-gift.html
2. 页面：admin-custom-gift.html
3. 规则：BR-B86CAEFD5A6714、BR-D47AED946D5768
4. 场景：SC-837C6594E40FC9
5. 未动态验证</x:v>
      </x:c>
    </x:row>
    <x:row r="101" ht="54" customHeight="1">
      <x:c r="A101" s="4" t="n">
        <x:v>100</x:v>
      </x:c>
      <x:c r="B101" s="4" t="str">
        <x:v>AGIFT-0019</x:v>
      </x:c>
      <x:c r="C101" s="4" t="str">
        <x:v>礼物与道具</x:v>
      </x:c>
      <x:c r="D101" s="4" t="str">
        <x:v>购买份数配置（平台管理员视角）</x:v>
      </x:c>
      <x:c r="E101" s="4" t="str">
        <x:v>业务流程</x:v>
      </x:c>
      <x:c r="F101" s="4" t="str">
        <x:v>P2</x:v>
      </x:c>
      <x:c r="G101" s="4" t="str">
        <x:v>验证编辑后的购买份数配置状态</x:v>
      </x:c>
      <x:c r="H101" s="4" t="str">
        <x:v>购买份数配置状态</x:v>
      </x:c>
      <x:c r="I101" s="4" t="str">
        <x:v>1. 平台管理员账号已登录且具备当前页面权限
2. 编辑</x:v>
      </x:c>
      <x:c r="J101" s="4" t="str">
        <x:v>1. 进入购买份数配置
2. 刷新购买份数配置</x:v>
      </x:c>
      <x:c r="K101" s="4" t="str">
        <x:v>进入详情</x:v>
      </x:c>
      <x:c r="L101" s="4" t="str"/>
      <x:c r="M101" s="4" t="str">
        <x:v>未测</x:v>
      </x:c>
      <x:c r="N101" s="4" t="str"/>
      <x:c r="O101" s="4" t="str">
        <x:v>1. 来源（原型批注）：liveshow-proto/prototype/annotations/admin.js；admin-gift-send-count-rules.html
2. 页面：admin-gift-send-count-rules.html
3. 规则：BR-F1CB203601C563
4. 场景：SC-330CFBDCF3FD30
5. 未动态验证</x:v>
      </x:c>
    </x:row>
    <x:row r="102" ht="54" customHeight="1">
      <x:c r="A102" s="4" t="n">
        <x:v>101</x:v>
      </x:c>
      <x:c r="B102" s="4" t="str">
        <x:v>AGIFT-0020</x:v>
      </x:c>
      <x:c r="C102" s="4" t="str">
        <x:v>礼物与道具</x:v>
      </x:c>
      <x:c r="D102" s="4" t="str">
        <x:v>购买份数配置（平台管理员视角）</x:v>
      </x:c>
      <x:c r="E102" s="4" t="str">
        <x:v>功能需求</x:v>
      </x:c>
      <x:c r="F102" s="4" t="str">
        <x:v>P2</x:v>
      </x:c>
      <x:c r="G102" s="4" t="str">
        <x:v>验证购买份数配置可查看规则 ID</x:v>
      </x:c>
      <x:c r="H102" s="4" t="str">
        <x:v>规则 ID展示</x:v>
      </x:c>
      <x:c r="I102" s="4" t="str">
        <x:v>1. 平台管理员账号已登录且具备当前页面权限</x:v>
      </x:c>
      <x:c r="J102" s="4" t="str">
        <x:v>1. 进入购买份数配置
2. 查看规则 ID</x:v>
      </x:c>
      <x:c r="K102" s="4" t="str">
        <x:v>购买份数配置显示“规则 ID”</x:v>
      </x:c>
      <x:c r="L102" s="4" t="str"/>
      <x:c r="M102" s="4" t="str">
        <x:v>未测</x:v>
      </x:c>
      <x:c r="N102" s="4" t="str"/>
      <x:c r="O102" s="4" t="str">
        <x:v>1. 来源（原型批注）：liveshow-proto/prototype/annotations/admin.js；admin-gift-send-count-rules.html
2. 页面：admin-gift-send-count-rules.html
3. 规则：BR-D230B6E80BC952
4. 场景：SC-0C0EEA80E0288A
5. 未动态验证</x:v>
      </x:c>
    </x:row>
    <x:row r="103" ht="54" customHeight="1">
      <x:c r="A103" s="4" t="n">
        <x:v>102</x:v>
      </x:c>
      <x:c r="B103" s="4" t="str">
        <x:v>AGIFT-0021</x:v>
      </x:c>
      <x:c r="C103" s="4" t="str">
        <x:v>礼物与道具</x:v>
      </x:c>
      <x:c r="D103" s="4" t="str">
        <x:v>购买份数配置（平台管理员视角）</x:v>
      </x:c>
      <x:c r="E103" s="4" t="str">
        <x:v>功能需求</x:v>
      </x:c>
      <x:c r="F103" s="4" t="str">
        <x:v>P2</x:v>
      </x:c>
      <x:c r="G103" s="4" t="str">
        <x:v>验证购买份数配置可查看默认数量</x:v>
      </x:c>
      <x:c r="H103" s="4" t="str">
        <x:v>默认数量展示</x:v>
      </x:c>
      <x:c r="I103" s="4" t="str">
        <x:v>1. 平台管理员账号已登录且具备当前页面权限</x:v>
      </x:c>
      <x:c r="J103" s="4" t="str">
        <x:v>1. 进入购买份数配置
2. 查看默认数量</x:v>
      </x:c>
      <x:c r="K103" s="4" t="str">
        <x:v>购买份数配置显示“默认数量”</x:v>
      </x:c>
      <x:c r="L103" s="4" t="str"/>
      <x:c r="M103" s="4" t="str">
        <x:v>未测</x:v>
      </x:c>
      <x:c r="N103" s="4" t="str"/>
      <x:c r="O103" s="4" t="str">
        <x:v>1. 来源（原型批注）：liveshow-proto/prototype/annotations/admin.js；admin-gift-send-count-rules.html
2. 页面：admin-gift-send-count-rules.html
3. 规则：BR-064159933CD733
4. 场景：SC-033041C123783F
5. 未动态验证</x:v>
      </x:c>
    </x:row>
    <x:row r="104" ht="54" customHeight="1">
      <x:c r="A104" s="4" t="n">
        <x:v>103</x:v>
      </x:c>
      <x:c r="B104" s="4" t="str">
        <x:v>AGIFT-0022</x:v>
      </x:c>
      <x:c r="C104" s="4" t="str">
        <x:v>礼物与道具</x:v>
      </x:c>
      <x:c r="D104" s="4" t="str">
        <x:v>购买份数配置（平台管理员视角）</x:v>
      </x:c>
      <x:c r="E104" s="4" t="str">
        <x:v>功能需求</x:v>
      </x:c>
      <x:c r="F104" s="4" t="str">
        <x:v>P2</x:v>
      </x:c>
      <x:c r="G104" s="4" t="str">
        <x:v>验证购买份数配置可查看适用礼物</x:v>
      </x:c>
      <x:c r="H104" s="4" t="str">
        <x:v>适用礼物展示</x:v>
      </x:c>
      <x:c r="I104" s="4" t="str">
        <x:v>1. 平台管理员账号已登录且具备当前页面权限</x:v>
      </x:c>
      <x:c r="J104" s="4" t="str">
        <x:v>1. 进入购买份数配置
2. 查看适用礼物</x:v>
      </x:c>
      <x:c r="K104" s="4" t="str">
        <x:v>购买份数配置显示“适用礼物”</x:v>
      </x:c>
      <x:c r="L104" s="4" t="str"/>
      <x:c r="M104" s="4" t="str">
        <x:v>未测</x:v>
      </x:c>
      <x:c r="N104" s="4" t="str"/>
      <x:c r="O104" s="4" t="str">
        <x:v>1. 来源（原型批注）：liveshow-proto/prototype/annotations/admin.js；admin-gift-send-count-rules.html
2. 页面：admin-gift-send-count-rules.html
3. 规则：BR-4035F77A663893
4. 场景：SC-2B88FB6CEB5B37
5. 未动态验证</x:v>
      </x:c>
    </x:row>
    <x:row r="105" ht="54" customHeight="1">
      <x:c r="A105" s="4" t="n">
        <x:v>104</x:v>
      </x:c>
      <x:c r="B105" s="4" t="str">
        <x:v>AGIFT-0023</x:v>
      </x:c>
      <x:c r="C105" s="4" t="str">
        <x:v>礼物与道具</x:v>
      </x:c>
      <x:c r="D105" s="4" t="str">
        <x:v>购买份数配置（平台管理员视角）</x:v>
      </x:c>
      <x:c r="E105" s="4" t="str">
        <x:v>功能需求</x:v>
      </x:c>
      <x:c r="F105" s="4" t="str">
        <x:v>P2</x:v>
      </x:c>
      <x:c r="G105" s="4" t="str">
        <x:v>验证购买份数配置可查看赠送数量</x:v>
      </x:c>
      <x:c r="H105" s="4" t="str">
        <x:v>赠送数量展示</x:v>
      </x:c>
      <x:c r="I105" s="4" t="str">
        <x:v>1. 平台管理员账号已登录且具备当前页面权限</x:v>
      </x:c>
      <x:c r="J105" s="4" t="str">
        <x:v>1. 进入购买份数配置
2. 查看赠送数量</x:v>
      </x:c>
      <x:c r="K105" s="4" t="str">
        <x:v>购买份数配置显示“赠送数量”</x:v>
      </x:c>
      <x:c r="L105" s="4" t="str"/>
      <x:c r="M105" s="4" t="str">
        <x:v>未测</x:v>
      </x:c>
      <x:c r="N105" s="4" t="str"/>
      <x:c r="O105" s="4" t="str">
        <x:v>1. 来源（原型批注）：liveshow-proto/prototype/annotations/admin.js；admin-gift-send-count-rules.html
2. 页面：admin-gift-send-count-rules.html
3. 规则：BR-073CCF7E77CCE3
4. 场景：SC-EA7CCFBDEEEAFC
5. 未动态验证</x:v>
      </x:c>
    </x:row>
    <x:row r="106" ht="54" customHeight="1">
      <x:c r="A106" s="4" t="n">
        <x:v>105</x:v>
      </x:c>
      <x:c r="B106" s="4" t="str">
        <x:v>AGIFT-0024</x:v>
      </x:c>
      <x:c r="C106" s="4" t="str">
        <x:v>礼物与道具</x:v>
      </x:c>
      <x:c r="D106" s="4" t="str">
        <x:v>购买份数配置（平台管理员视角）</x:v>
      </x:c>
      <x:c r="E106" s="4" t="str">
        <x:v>功能需求</x:v>
      </x:c>
      <x:c r="F106" s="4" t="str">
        <x:v>P2</x:v>
      </x:c>
      <x:c r="G106" s="4" t="str">
        <x:v>验证购买份数配置可查看状态</x:v>
      </x:c>
      <x:c r="H106" s="4" t="str">
        <x:v>状态展示</x:v>
      </x:c>
      <x:c r="I106" s="4" t="str">
        <x:v>1. 平台管理员账号已登录且具备当前页面权限</x:v>
      </x:c>
      <x:c r="J106" s="4" t="str">
        <x:v>1. 进入购买份数配置
2. 查看状态</x:v>
      </x:c>
      <x:c r="K106" s="4" t="str">
        <x:v>购买份数配置显示“状态”</x:v>
      </x:c>
      <x:c r="L106" s="4" t="str"/>
      <x:c r="M106" s="4" t="str">
        <x:v>未测</x:v>
      </x:c>
      <x:c r="N106" s="4" t="str"/>
      <x:c r="O106" s="4" t="str">
        <x:v>1. 来源（原型批注）：liveshow-proto/prototype/annotations/admin.js；admin-gift-send-count-rules.html
2. 页面：admin-gift-send-count-rules.html
3. 规则：BR-8AC5F69AA87B8B
4. 场景：SC-256803FC5FF41F
5. 未动态验证</x:v>
      </x:c>
    </x:row>
    <x:row r="107" ht="54" customHeight="1">
      <x:c r="A107" s="4" t="n">
        <x:v>106</x:v>
      </x:c>
      <x:c r="B107" s="4" t="str">
        <x:v>AGIFT-0025</x:v>
      </x:c>
      <x:c r="C107" s="4" t="str">
        <x:v>礼物与道具</x:v>
      </x:c>
      <x:c r="D107" s="4" t="str">
        <x:v>购买份数配置（平台管理员视角）</x:v>
      </x:c>
      <x:c r="E107" s="4" t="str">
        <x:v>功能需求</x:v>
      </x:c>
      <x:c r="F107" s="4" t="str">
        <x:v>P2</x:v>
      </x:c>
      <x:c r="G107" s="4" t="str">
        <x:v>验证一条规则包含多个互不重复的正整数，按配置顺序时的购买份数配置结果</x:v>
      </x:c>
      <x:c r="H107" s="4" t="str">
        <x:v>购买份数配置条件结果</x:v>
      </x:c>
      <x:c r="I107" s="4" t="str">
        <x:v>1. 平台管理员账号已登录且具备当前页面权限
2. 一条规则包含多个互不重复的正整数，按配置顺序</x:v>
      </x:c>
      <x:c r="J107" s="4" t="str">
        <x:v>1. 进入购买份数配置
2. 查看购买份数配置</x:v>
      </x:c>
      <x:c r="K107" s="4" t="str">
        <x:v>一条规则包含多个互不重复的正整数，按配置顺序展示</x:v>
      </x:c>
      <x:c r="L107" s="4" t="str"/>
      <x:c r="M107" s="4" t="str">
        <x:v>未测</x:v>
      </x:c>
      <x:c r="N107" s="4" t="str"/>
      <x:c r="O107" s="4" t="str">
        <x:v>1. 来源（原型批注）：liveshow-proto/prototype/annotations/admin.js；admin-gift-send-count-rules.html
2. 页面：admin-gift-send-count-rules.html
3. 规则：BR-073CCF7E77CCE3
4. 场景：SC-F210784E8FFD6C
5. 未动态验证</x:v>
      </x:c>
    </x:row>
    <x:row r="108" ht="54" customHeight="1">
      <x:c r="A108" s="4" t="n">
        <x:v>107</x:v>
      </x:c>
      <x:c r="B108" s="4" t="str">
        <x:v>AGIFT-0026</x:v>
      </x:c>
      <x:c r="C108" s="4" t="str">
        <x:v>礼物与道具</x:v>
      </x:c>
      <x:c r="D108" s="4" t="str">
        <x:v>购买份数配置详情（平台管理员视角）</x:v>
      </x:c>
      <x:c r="E108" s="4" t="str">
        <x:v>功能需求</x:v>
      </x:c>
      <x:c r="F108" s="4" t="str">
        <x:v>P2</x:v>
      </x:c>
      <x:c r="G108" s="4" t="str">
        <x:v>验证购买份数配置详情可查看默认数量</x:v>
      </x:c>
      <x:c r="H108" s="4" t="str">
        <x:v>默认数量展示</x:v>
      </x:c>
      <x:c r="I108" s="4" t="str">
        <x:v>1. 平台管理员账号已登录且具备当前页面权限</x:v>
      </x:c>
      <x:c r="J108" s="4" t="str">
        <x:v>1. 进入购买份数配置详情
2. 查看默认数量</x:v>
      </x:c>
      <x:c r="K108" s="4" t="str">
        <x:v>购买份数配置详情显示“默认数量”</x:v>
      </x:c>
      <x:c r="L108" s="4" t="str"/>
      <x:c r="M108" s="4" t="str">
        <x:v>未测</x:v>
      </x:c>
      <x:c r="N108" s="4" t="str"/>
      <x:c r="O108" s="4" t="str">
        <x:v>1. 来源（原型批注）：liveshow-proto/prototype/annotations/admin.js；admin-gift-send-count-rule-detail.html
2. 页面：admin-gift-send-count-rule-detail.html
3. 规则：BR-6C4C9A1AAD49F0
4. 场景：SC-A6F260549E9B56
5. 未动态验证</x:v>
      </x:c>
    </x:row>
    <x:row r="109" ht="54" customHeight="1">
      <x:c r="A109" s="4" t="n">
        <x:v>108</x:v>
      </x:c>
      <x:c r="B109" s="4" t="str">
        <x:v>AGIFT-0027</x:v>
      </x:c>
      <x:c r="C109" s="4" t="str">
        <x:v>礼物与道具</x:v>
      </x:c>
      <x:c r="D109" s="4" t="str">
        <x:v>购买份数配置详情（平台管理员视角）</x:v>
      </x:c>
      <x:c r="E109" s="4" t="str">
        <x:v>功能需求</x:v>
      </x:c>
      <x:c r="F109" s="4" t="str">
        <x:v>P2</x:v>
      </x:c>
      <x:c r="G109" s="4" t="str">
        <x:v>验证购买份数配置详情可查看适用礼物</x:v>
      </x:c>
      <x:c r="H109" s="4" t="str">
        <x:v>适用礼物展示</x:v>
      </x:c>
      <x:c r="I109" s="4" t="str">
        <x:v>1. 平台管理员账号已登录且具备当前页面权限</x:v>
      </x:c>
      <x:c r="J109" s="4" t="str">
        <x:v>1. 进入购买份数配置详情
2. 查看适用礼物</x:v>
      </x:c>
      <x:c r="K109" s="4" t="str">
        <x:v>购买份数配置详情显示“适用礼物”</x:v>
      </x:c>
      <x:c r="L109" s="4" t="str"/>
      <x:c r="M109" s="4" t="str">
        <x:v>未测</x:v>
      </x:c>
      <x:c r="N109" s="4" t="str"/>
      <x:c r="O109" s="4" t="str">
        <x:v>1. 来源（原型批注）：liveshow-proto/prototype/annotations/admin.js；admin-gift-send-count-rule-detail.html
2. 页面：admin-gift-send-count-rule-detail.html
3. 规则：BR-2F94E0EE797FDD、BR-162651C87EC39B、BR-3B956D20553F90
4. 场景：SC-ACA4ED2F54E081
5. 未动态验证</x:v>
      </x:c>
    </x:row>
    <x:row r="110" ht="54" customHeight="1">
      <x:c r="A110" s="4" t="n">
        <x:v>109</x:v>
      </x:c>
      <x:c r="B110" s="4" t="str">
        <x:v>AGIFT-0028</x:v>
      </x:c>
      <x:c r="C110" s="4" t="str">
        <x:v>礼物与道具</x:v>
      </x:c>
      <x:c r="D110" s="4" t="str">
        <x:v>购买份数配置详情（平台管理员视角）</x:v>
      </x:c>
      <x:c r="E110" s="4" t="str">
        <x:v>功能需求</x:v>
      </x:c>
      <x:c r="F110" s="4" t="str">
        <x:v>P2</x:v>
      </x:c>
      <x:c r="G110" s="4" t="str">
        <x:v>验证购买份数配置详情可查看赠送数量</x:v>
      </x:c>
      <x:c r="H110" s="4" t="str">
        <x:v>赠送数量展示</x:v>
      </x:c>
      <x:c r="I110" s="4" t="str">
        <x:v>1. 平台管理员账号已登录且具备当前页面权限</x:v>
      </x:c>
      <x:c r="J110" s="4" t="str">
        <x:v>1. 进入购买份数配置详情
2. 查看赠送数量</x:v>
      </x:c>
      <x:c r="K110" s="4" t="str">
        <x:v>购买份数配置详情显示“赠送数量”</x:v>
      </x:c>
      <x:c r="L110" s="4" t="str"/>
      <x:c r="M110" s="4" t="str">
        <x:v>未测</x:v>
      </x:c>
      <x:c r="N110" s="4" t="str"/>
      <x:c r="O110" s="4" t="str">
        <x:v>1. 来源（原型批注）：liveshow-proto/prototype/annotations/admin.js；admin-gift-send-count-rule-detail.html
2. 页面：admin-gift-send-count-rule-detail.html
3. 规则：BR-804790D4DAF3E8
4. 场景：SC-AFBFAA85F8B3FE
5. 未动态验证</x:v>
      </x:c>
    </x:row>
    <x:row r="111" ht="54" customHeight="1">
      <x:c r="A111" s="4" t="n">
        <x:v>110</x:v>
      </x:c>
      <x:c r="B111" s="4" t="str">
        <x:v>AGIFT-0029</x:v>
      </x:c>
      <x:c r="C111" s="4" t="str">
        <x:v>礼物与道具</x:v>
      </x:c>
      <x:c r="D111" s="4" t="str">
        <x:v>购买份数配置详情（平台管理员视角）</x:v>
      </x:c>
      <x:c r="E111" s="4" t="str">
        <x:v>功能需求</x:v>
      </x:c>
      <x:c r="F111" s="4" t="str">
        <x:v>P2</x:v>
      </x:c>
      <x:c r="G111" s="4" t="str">
        <x:v>验证购买份数配置详情可查看状态</x:v>
      </x:c>
      <x:c r="H111" s="4" t="str">
        <x:v>状态展示</x:v>
      </x:c>
      <x:c r="I111" s="4" t="str">
        <x:v>1. 平台管理员账号已登录且具备当前页面权限</x:v>
      </x:c>
      <x:c r="J111" s="4" t="str">
        <x:v>1. 进入购买份数配置详情
2. 查看状态</x:v>
      </x:c>
      <x:c r="K111" s="4" t="str">
        <x:v>购买份数配置详情显示“状态”</x:v>
      </x:c>
      <x:c r="L111" s="4" t="str"/>
      <x:c r="M111" s="4" t="str">
        <x:v>未测</x:v>
      </x:c>
      <x:c r="N111" s="4" t="str"/>
      <x:c r="O111" s="4" t="str">
        <x:v>1. 来源（原型批注）：liveshow-proto/prototype/annotations/admin.js；admin-gift-send-count-rule-detail.html
2. 页面：admin-gift-send-count-rule-detail.html
3. 规则：BR-2DAA3F5F155EC6
4. 场景：SC-A6A93C609F5DD3
5. 未动态验证</x:v>
      </x:c>
    </x:row>
    <x:row r="112" ht="54" customHeight="1">
      <x:c r="A112" s="4" t="n">
        <x:v>111</x:v>
      </x:c>
      <x:c r="B112" s="4" t="str">
        <x:v>AGIFT-0030</x:v>
      </x:c>
      <x:c r="C112" s="4" t="str">
        <x:v>礼物与道具</x:v>
      </x:c>
      <x:c r="D112" s="4" t="str">
        <x:v>购买份数配置详情（平台管理员视角）</x:v>
      </x:c>
      <x:c r="E112" s="4" t="str">
        <x:v>业务流程</x:v>
      </x:c>
      <x:c r="F112" s="4" t="str">
        <x:v>P2</x:v>
      </x:c>
      <x:c r="G112" s="4" t="str">
        <x:v>验证删除后的购买份数配置详情状态</x:v>
      </x:c>
      <x:c r="H112" s="4" t="str">
        <x:v>购买份数配置详情状态</x:v>
      </x:c>
      <x:c r="I112" s="4" t="str">
        <x:v>1. 平台管理员账号已登录且具备当前页面权限</x:v>
      </x:c>
      <x:c r="J112" s="4" t="str">
        <x:v>1. 进入购买份数配置详情
2. 删除</x:v>
      </x:c>
      <x:c r="K112" s="4" t="str">
        <x:v>实时更新默认数量选项</x:v>
      </x:c>
      <x:c r="L112" s="4" t="str"/>
      <x:c r="M112" s="4" t="str">
        <x:v>未测</x:v>
      </x:c>
      <x:c r="N112" s="4" t="str"/>
      <x:c r="O112" s="4" t="str">
        <x:v>1. 来源（原型批注）：liveshow-proto/prototype/annotations/admin.js；admin-gift-send-count-rule-detail.html
2. 页面：admin-gift-send-count-rule-detail.html
3. 规则：BR-3C8CACF86D51B8
4. 场景：SC-AADE02D2B2D9E0
5. 未动态验证</x:v>
      </x:c>
    </x:row>
    <x:row r="113" ht="54" customHeight="1">
      <x:c r="A113" s="4" t="n">
        <x:v>112</x:v>
      </x:c>
      <x:c r="B113" s="4" t="str">
        <x:v>AGIFT-0031</x:v>
      </x:c>
      <x:c r="C113" s="4" t="str">
        <x:v>礼物与道具</x:v>
      </x:c>
      <x:c r="D113" s="4" t="str">
        <x:v>购买份数配置详情（平台管理员视角）</x:v>
      </x:c>
      <x:c r="E113" s="4" t="str">
        <x:v>业务流程</x:v>
      </x:c>
      <x:c r="F113" s="4" t="str">
        <x:v>P2</x:v>
      </x:c>
      <x:c r="G113" s="4" t="str">
        <x:v>验证删除拖动数量后的购买份数配置详情状态</x:v>
      </x:c>
      <x:c r="H113" s="4" t="str">
        <x:v>购买份数配置详情状态</x:v>
      </x:c>
      <x:c r="I113" s="4" t="str">
        <x:v>1. 平台管理员账号已登录且具备当前页面权限</x:v>
      </x:c>
      <x:c r="J113" s="4" t="str">
        <x:v>1. 进入购买份数配置详情
2. 删除拖动数量</x:v>
      </x:c>
      <x:c r="K113" s="4" t="str">
        <x:v>实时更新默认数量选项</x:v>
      </x:c>
      <x:c r="L113" s="4" t="str"/>
      <x:c r="M113" s="4" t="str">
        <x:v>未测</x:v>
      </x:c>
      <x:c r="N113" s="4" t="str"/>
      <x:c r="O113" s="4" t="str">
        <x:v>1. 来源（原型批注）：liveshow-proto/prototype/annotations/admin.js；admin-gift-send-count-rule-detail.html
2. 页面：admin-gift-send-count-rule-detail.html
3. 规则：BR-3C8CACF86D51B8
4. 场景：SC-989EFCCA3DEB1D
5. 未动态验证</x:v>
      </x:c>
    </x:row>
    <x:row r="114" ht="54" customHeight="1">
      <x:c r="A114" s="4" t="n">
        <x:v>113</x:v>
      </x:c>
      <x:c r="B114" s="4" t="str">
        <x:v>AGIFT-0032</x:v>
      </x:c>
      <x:c r="C114" s="4" t="str">
        <x:v>礼物与道具</x:v>
      </x:c>
      <x:c r="D114" s="4" t="str">
        <x:v>购买份数配置详情（平台管理员视角）</x:v>
      </x:c>
      <x:c r="E114" s="4" t="str">
        <x:v>业务流程</x:v>
      </x:c>
      <x:c r="F114" s="4" t="str">
        <x:v>P2</x:v>
      </x:c>
      <x:c r="G114" s="4" t="str">
        <x:v>验证添加后的购买份数配置详情状态</x:v>
      </x:c>
      <x:c r="H114" s="4" t="str">
        <x:v>购买份数配置详情状态</x:v>
      </x:c>
      <x:c r="I114" s="4" t="str">
        <x:v>1. 平台管理员账号已登录且具备当前页面权限
2. 添加</x:v>
      </x:c>
      <x:c r="J114" s="4" t="str">
        <x:v>1. 进入购买份数配置详情
2. 刷新购买份数配置详情</x:v>
      </x:c>
      <x:c r="K114" s="4" t="str">
        <x:v>实时更新默认数量选项</x:v>
      </x:c>
      <x:c r="L114" s="4" t="str"/>
      <x:c r="M114" s="4" t="str">
        <x:v>未测</x:v>
      </x:c>
      <x:c r="N114" s="4" t="str"/>
      <x:c r="O114" s="4" t="str">
        <x:v>1. 来源（原型批注）：liveshow-proto/prototype/annotations/admin.js；admin-gift-send-count-rule-detail.html
2. 页面：admin-gift-send-count-rule-detail.html
3. 规则：BR-3C8CACF86D51B8
4. 场景：SC-65C495FD86A305
5. 未动态验证</x:v>
      </x:c>
    </x:row>
    <x:row r="115" ht="54" customHeight="1">
      <x:c r="A115" s="4" t="n">
        <x:v>114</x:v>
      </x:c>
      <x:c r="B115" s="4" t="str">
        <x:v>AGIFT-0033</x:v>
      </x:c>
      <x:c r="C115" s="4" t="str">
        <x:v>礼物与道具</x:v>
      </x:c>
      <x:c r="D115" s="4" t="str">
        <x:v>礼物详情（平台管理员视角）</x:v>
      </x:c>
      <x:c r="E115" s="4" t="str">
        <x:v>功能需求</x:v>
      </x:c>
      <x:c r="F115" s="4" t="str">
        <x:v>P2</x:v>
      </x:c>
      <x:c r="G115" s="4" t="str">
        <x:v>验证定制礼物到时的礼物详情结果</x:v>
      </x:c>
      <x:c r="H115" s="4" t="str">
        <x:v>礼物详情条件结果</x:v>
      </x:c>
      <x:c r="I115" s="4" t="str">
        <x:v>1. 平台管理员账号已登录且具备当前页面权限
2. 定制礼物到</x:v>
      </x:c>
      <x:c r="J115" s="4" t="str">
        <x:v>1. 进入礼物详情
2. 查看礼物详情</x:v>
      </x:c>
      <x:c r="K115" s="4" t="str">
        <x:v>自动生效和失效，可提前下架</x:v>
      </x:c>
      <x:c r="L115" s="4" t="str"/>
      <x:c r="M115" s="4" t="str">
        <x:v>未测</x:v>
      </x:c>
      <x:c r="N115" s="4" t="str"/>
      <x:c r="O115" s="4" t="str">
        <x:v>1. 来源（原型批注）：liveshow-proto/prototype/annotations/admin.js；admin-gift-detail.html
2. 页面：admin-gift-detail.html
3. 规则：BR-819D820FD1065B
4. 场景：SC-EF1254FAC01F11
5. 未动态验证</x:v>
      </x:c>
    </x:row>
    <x:row r="116" ht="54" customHeight="1">
      <x:c r="A116" s="4" t="n">
        <x:v>115</x:v>
      </x:c>
      <x:c r="B116" s="4" t="str">
        <x:v>AGIFT-0034</x:v>
      </x:c>
      <x:c r="C116" s="4" t="str">
        <x:v>礼物与道具</x:v>
      </x:c>
      <x:c r="D116" s="4" t="str">
        <x:v>礼物详情（平台管理员视角）</x:v>
      </x:c>
      <x:c r="E116" s="4" t="str">
        <x:v>功能需求</x:v>
      </x:c>
      <x:c r="F116" s="4" t="str">
        <x:v>P2</x:v>
      </x:c>
      <x:c r="G116" s="4" t="str">
        <x:v>验证礼物详情可查看操作记录</x:v>
      </x:c>
      <x:c r="H116" s="4" t="str">
        <x:v>操作记录展示</x:v>
      </x:c>
      <x:c r="I116" s="4" t="str">
        <x:v>1. 平台管理员账号已登录且具备当前页面权限</x:v>
      </x:c>
      <x:c r="J116" s="4" t="str">
        <x:v>1. 进入礼物详情
2. 查看操作记录</x:v>
      </x:c>
      <x:c r="K116" s="4" t="str">
        <x:v>礼物详情显示“操作记录”</x:v>
      </x:c>
      <x:c r="L116" s="4" t="str"/>
      <x:c r="M116" s="4" t="str">
        <x:v>未测</x:v>
      </x:c>
      <x:c r="N116" s="4" t="str"/>
      <x:c r="O116" s="4" t="str">
        <x:v>1. 来源（原型批注）：liveshow-proto/prototype/annotations/admin.js；admin-gift-detail.html
2. 页面：admin-gift-detail.html
3. 规则：BR-F2510966E56E26
4. 场景：SC-C19CE9712A18BE
5. 未动态验证</x:v>
      </x:c>
    </x:row>
    <x:row r="117" ht="54" customHeight="1">
      <x:c r="A117" s="4" t="n">
        <x:v>116</x:v>
      </x:c>
      <x:c r="B117" s="4" t="str">
        <x:v>AGIFT-0035</x:v>
      </x:c>
      <x:c r="C117" s="4" t="str">
        <x:v>礼物与道具</x:v>
      </x:c>
      <x:c r="D117" s="4" t="str">
        <x:v>礼物详情（平台管理员视角）</x:v>
      </x:c>
      <x:c r="E117" s="4" t="str">
        <x:v>功能需求</x:v>
      </x:c>
      <x:c r="F117" s="4" t="str">
        <x:v>P2</x:v>
      </x:c>
      <x:c r="G117" s="4" t="str">
        <x:v>验证礼物详情可查看单价</x:v>
      </x:c>
      <x:c r="H117" s="4" t="str">
        <x:v>单价展示</x:v>
      </x:c>
      <x:c r="I117" s="4" t="str">
        <x:v>1. 平台管理员账号已登录且具备当前页面权限</x:v>
      </x:c>
      <x:c r="J117" s="4" t="str">
        <x:v>1. 进入礼物详情
2. 查看单价</x:v>
      </x:c>
      <x:c r="K117" s="4" t="str">
        <x:v>礼物详情显示“单价”</x:v>
      </x:c>
      <x:c r="L117" s="4" t="str"/>
      <x:c r="M117" s="4" t="str">
        <x:v>未测</x:v>
      </x:c>
      <x:c r="N117" s="4" t="str"/>
      <x:c r="O117" s="4" t="str">
        <x:v>1. 来源（原型批注）：liveshow-proto/prototype/annotations/admin.js；admin-gift-detail.html
2. 页面：admin-gift-detail.html
3. 规则：BR-998640F1C2ECEB
4. 场景：SC-63D7DAEF899FE3
5. 未动态验证</x:v>
      </x:c>
    </x:row>
    <x:row r="118" ht="54" customHeight="1">
      <x:c r="A118" s="4" t="n">
        <x:v>117</x:v>
      </x:c>
      <x:c r="B118" s="4" t="str">
        <x:v>AGIFT-0036</x:v>
      </x:c>
      <x:c r="C118" s="4" t="str">
        <x:v>礼物与道具</x:v>
      </x:c>
      <x:c r="D118" s="4" t="str">
        <x:v>礼物详情（平台管理员视角）</x:v>
      </x:c>
      <x:c r="E118" s="4" t="str">
        <x:v>功能需求</x:v>
      </x:c>
      <x:c r="F118" s="4" t="str">
        <x:v>P2</x:v>
      </x:c>
      <x:c r="G118" s="4" t="str">
        <x:v>验证礼物详情可查看礼物 ID</x:v>
      </x:c>
      <x:c r="H118" s="4" t="str">
        <x:v>礼物 ID展示</x:v>
      </x:c>
      <x:c r="I118" s="4" t="str">
        <x:v>1. 平台管理员账号已登录且具备当前页面权限</x:v>
      </x:c>
      <x:c r="J118" s="4" t="str">
        <x:v>1. 进入礼物详情
2. 查看礼物 ID</x:v>
      </x:c>
      <x:c r="K118" s="4" t="str">
        <x:v>礼物详情显示“礼物 ID”</x:v>
      </x:c>
      <x:c r="L118" s="4" t="str"/>
      <x:c r="M118" s="4" t="str">
        <x:v>未测</x:v>
      </x:c>
      <x:c r="N118" s="4" t="str"/>
      <x:c r="O118" s="4" t="str">
        <x:v>1. 来源（原型批注）：liveshow-proto/prototype/annotations/admin.js；admin-gift-detail.html
2. 页面：admin-gift-detail.html
3. 规则：BR-E6844291BE2B51
4. 场景：SC-F0FFE15F582827
5. 未动态验证</x:v>
      </x:c>
    </x:row>
    <x:row r="119" ht="54" customHeight="1">
      <x:c r="A119" s="4" t="n">
        <x:v>118</x:v>
      </x:c>
      <x:c r="B119" s="4" t="str">
        <x:v>AGIFT-0037</x:v>
      </x:c>
      <x:c r="C119" s="4" t="str">
        <x:v>礼物与道具</x:v>
      </x:c>
      <x:c r="D119" s="4" t="str">
        <x:v>礼物详情（平台管理员视角）</x:v>
      </x:c>
      <x:c r="E119" s="4" t="str">
        <x:v>功能需求</x:v>
      </x:c>
      <x:c r="F119" s="4" t="str">
        <x:v>P2</x:v>
      </x:c>
      <x:c r="G119" s="4" t="str">
        <x:v>验证礼物详情可查看排序权重</x:v>
      </x:c>
      <x:c r="H119" s="4" t="str">
        <x:v>排序权重展示</x:v>
      </x:c>
      <x:c r="I119" s="4" t="str">
        <x:v>1. 平台管理员账号已登录且具备当前页面权限</x:v>
      </x:c>
      <x:c r="J119" s="4" t="str">
        <x:v>1. 进入礼物详情
2. 查看排序权重</x:v>
      </x:c>
      <x:c r="K119" s="4" t="str">
        <x:v>礼物详情显示“排序权重”</x:v>
      </x:c>
      <x:c r="L119" s="4" t="str"/>
      <x:c r="M119" s="4" t="str">
        <x:v>未测</x:v>
      </x:c>
      <x:c r="N119" s="4" t="str"/>
      <x:c r="O119" s="4" t="str">
        <x:v>1. 来源（原型批注）：liveshow-proto/prototype/annotations/admin.js；admin-gift-detail.html
2. 页面：admin-gift-detail.html
3. 规则：BR-C9A9F5C1F4EF8F
4. 场景：SC-FCFFF72A227E6C
5. 未动态验证</x:v>
      </x:c>
    </x:row>
    <x:row r="120" ht="54" customHeight="1">
      <x:c r="A120" s="4" t="n">
        <x:v>119</x:v>
      </x:c>
      <x:c r="B120" s="4" t="str">
        <x:v>AGIFT-0038</x:v>
      </x:c>
      <x:c r="C120" s="4" t="str">
        <x:v>礼物与道具</x:v>
      </x:c>
      <x:c r="D120" s="4" t="str">
        <x:v>礼物详情（平台管理员视角）</x:v>
      </x:c>
      <x:c r="E120" s="4" t="str">
        <x:v>功能需求</x:v>
      </x:c>
      <x:c r="F120" s="4" t="str">
        <x:v>P2</x:v>
      </x:c>
      <x:c r="G120" s="4" t="str">
        <x:v>验证礼物详情可查看生效时间</x:v>
      </x:c>
      <x:c r="H120" s="4" t="str">
        <x:v>生效时间展示</x:v>
      </x:c>
      <x:c r="I120" s="4" t="str">
        <x:v>1. 平台管理员账号已登录且具备当前页面权限</x:v>
      </x:c>
      <x:c r="J120" s="4" t="str">
        <x:v>1. 进入礼物详情
2. 查看生效时间</x:v>
      </x:c>
      <x:c r="K120" s="4" t="str">
        <x:v>礼物详情显示“生效时间”</x:v>
      </x:c>
      <x:c r="L120" s="4" t="str"/>
      <x:c r="M120" s="4" t="str">
        <x:v>未测</x:v>
      </x:c>
      <x:c r="N120" s="4" t="str"/>
      <x:c r="O120" s="4" t="str">
        <x:v>1. 来源（原型批注）：liveshow-proto/prototype/annotations/admin.js；admin-gift-detail.html
2. 页面：admin-gift-detail.html
3. 规则：BR-BC64103F2B5333
4. 场景：SC-AFF28D2D1460B3
5. 未动态验证</x:v>
      </x:c>
    </x:row>
    <x:row r="121" ht="54" customHeight="1">
      <x:c r="A121" s="4" t="n">
        <x:v>120</x:v>
      </x:c>
      <x:c r="B121" s="4" t="str">
        <x:v>AGIFT-0039</x:v>
      </x:c>
      <x:c r="C121" s="4" t="str">
        <x:v>礼物与道具</x:v>
      </x:c>
      <x:c r="D121" s="4" t="str">
        <x:v>礼物详情（平台管理员视角）</x:v>
      </x:c>
      <x:c r="E121" s="4" t="str">
        <x:v>功能需求</x:v>
      </x:c>
      <x:c r="F121" s="4" t="str">
        <x:v>P2</x:v>
      </x:c>
      <x:c r="G121" s="4" t="str">
        <x:v>验证礼物详情可查看四语名称</x:v>
      </x:c>
      <x:c r="H121" s="4" t="str">
        <x:v>四语名称展示</x:v>
      </x:c>
      <x:c r="I121" s="4" t="str">
        <x:v>1. 平台管理员账号已登录且具备当前页面权限</x:v>
      </x:c>
      <x:c r="J121" s="4" t="str">
        <x:v>1. 进入礼物详情
2. 查看四语名称</x:v>
      </x:c>
      <x:c r="K121" s="4" t="str">
        <x:v>礼物详情显示“四语名称”</x:v>
      </x:c>
      <x:c r="L121" s="4" t="str"/>
      <x:c r="M121" s="4" t="str">
        <x:v>未测</x:v>
      </x:c>
      <x:c r="N121" s="4" t="str"/>
      <x:c r="O121" s="4" t="str">
        <x:v>1. 来源（原型批注）：liveshow-proto/prototype/annotations/admin.js；admin-gift-detail.html
2. 页面：admin-gift-detail.html
3. 规则：BR-94F23E8804BEE6
4. 场景：SC-218C795FEA794D
5. 未动态验证</x:v>
      </x:c>
    </x:row>
    <x:row r="122" ht="54" customHeight="1">
      <x:c r="A122" s="4" t="n">
        <x:v>121</x:v>
      </x:c>
      <x:c r="B122" s="4" t="str">
        <x:v>AGIFT-0040</x:v>
      </x:c>
      <x:c r="C122" s="4" t="str">
        <x:v>礼物与道具</x:v>
      </x:c>
      <x:c r="D122" s="4" t="str">
        <x:v>礼物详情（平台管理员视角）</x:v>
      </x:c>
      <x:c r="E122" s="4" t="str">
        <x:v>功能需求</x:v>
      </x:c>
      <x:c r="F122" s="4" t="str">
        <x:v>P2</x:v>
      </x:c>
      <x:c r="G122" s="4" t="str">
        <x:v>验证礼物详情可查看图标 / 特效</x:v>
      </x:c>
      <x:c r="H122" s="4" t="str">
        <x:v>图标 / 特效展示</x:v>
      </x:c>
      <x:c r="I122" s="4" t="str">
        <x:v>1. 平台管理员账号已登录且具备当前页面权限</x:v>
      </x:c>
      <x:c r="J122" s="4" t="str">
        <x:v>1. 进入礼物详情
2. 查看图标 / 特效</x:v>
      </x:c>
      <x:c r="K122" s="4" t="str">
        <x:v>礼物详情显示“图标 / 特效”</x:v>
      </x:c>
      <x:c r="L122" s="4" t="str"/>
      <x:c r="M122" s="4" t="str">
        <x:v>未测</x:v>
      </x:c>
      <x:c r="N122" s="4" t="str"/>
      <x:c r="O122" s="4" t="str">
        <x:v>1. 来源（原型批注）：liveshow-proto/prototype/annotations/admin.js；admin-gift-detail.html
2. 页面：admin-gift-detail.html
3. 规则：BR-606A616B5B6E27、BR-ABDF4F1BD500E6
4. 场景：SC-9DFF3929344294
5. 未动态验证</x:v>
      </x:c>
    </x:row>
    <x:row r="123" ht="54" customHeight="1">
      <x:c r="A123" s="4" t="n">
        <x:v>122</x:v>
      </x:c>
      <x:c r="B123" s="4" t="str">
        <x:v>AGIFT-0041</x:v>
      </x:c>
      <x:c r="C123" s="4" t="str">
        <x:v>礼物与道具</x:v>
      </x:c>
      <x:c r="D123" s="4" t="str">
        <x:v>礼物详情（平台管理员视角）</x:v>
      </x:c>
      <x:c r="E123" s="4" t="str">
        <x:v>业务流程</x:v>
      </x:c>
      <x:c r="F123" s="4" t="str">
        <x:v>P2</x:v>
      </x:c>
      <x:c r="G123" s="4" t="str">
        <x:v>验证删除后的礼物详情状态</x:v>
      </x:c>
      <x:c r="H123" s="4" t="str">
        <x:v>礼物详情状态</x:v>
      </x:c>
      <x:c r="I123" s="4" t="str">
        <x:v>1. 平台管理员账号已登录且具备当前页面权限</x:v>
      </x:c>
      <x:c r="J123" s="4" t="str">
        <x:v>1. 进入礼物详情
2. 删除</x:v>
      </x:c>
      <x:c r="K123" s="4" t="str">
        <x:v>确认后返回列表</x:v>
      </x:c>
      <x:c r="L123" s="4" t="str"/>
      <x:c r="M123" s="4" t="str">
        <x:v>未测</x:v>
      </x:c>
      <x:c r="N123" s="4" t="str"/>
      <x:c r="O123" s="4" t="str">
        <x:v>1. 来源（原型批注）：liveshow-proto/prototype/annotations/admin.js；admin-gift-detail.html
2. 页面：admin-gift-detail.html
3. 规则：BR-3FF7DA366043D6
4. 场景：SC-38AD072326947D
5. 未动态验证</x:v>
      </x:c>
    </x:row>
    <x:row r="124" ht="54" customHeight="1">
      <x:c r="A124" s="4" t="n">
        <x:v>123</x:v>
      </x:c>
      <x:c r="B124" s="4" t="str">
        <x:v>AGIFT-0042</x:v>
      </x:c>
      <x:c r="C124" s="4" t="str">
        <x:v>礼物与道具</x:v>
      </x:c>
      <x:c r="D124" s="4" t="str">
        <x:v>礼物详情（平台管理员视角）</x:v>
      </x:c>
      <x:c r="E124" s="4" t="str">
        <x:v>业务流程</x:v>
      </x:c>
      <x:c r="F124" s="4" t="str">
        <x:v>P2</x:v>
      </x:c>
      <x:c r="G124" s="4" t="str">
        <x:v>验证删除素材后的礼物详情状态</x:v>
      </x:c>
      <x:c r="H124" s="4" t="str">
        <x:v>礼物详情状态</x:v>
      </x:c>
      <x:c r="I124" s="4" t="str">
        <x:v>1. 平台管理员账号已登录且具备当前页面权限</x:v>
      </x:c>
      <x:c r="J124" s="4" t="str">
        <x:v>1. 进入礼物详情
2. 删除素材</x:v>
      </x:c>
      <x:c r="K124" s="4" t="str">
        <x:v>保存前须重新上传必填资源</x:v>
      </x:c>
      <x:c r="L124" s="4" t="str"/>
      <x:c r="M124" s="4" t="str">
        <x:v>未测</x:v>
      </x:c>
      <x:c r="N124" s="4" t="str"/>
      <x:c r="O124" s="4" t="str">
        <x:v>1. 来源（原型批注）：liveshow-proto/prototype/annotations/admin.js；admin-gift-detail.html
2. 页面：admin-gift-detail.html
3. 规则：BR-ABDF4F1BD500E6
4. 场景：SC-AF7DA940A3A619
5. 未动态验证</x:v>
      </x:c>
    </x:row>
    <x:row r="125" ht="54" customHeight="1">
      <x:c r="A125" s="4" t="n">
        <x:v>124</x:v>
      </x:c>
      <x:c r="B125" s="4" t="str">
        <x:v>AGIFT-0043</x:v>
      </x:c>
      <x:c r="C125" s="4" t="str">
        <x:v>礼物与道具</x:v>
      </x:c>
      <x:c r="D125" s="4" t="str">
        <x:v>礼物详情（平台管理员视角）</x:v>
      </x:c>
      <x:c r="E125" s="4" t="str">
        <x:v>功能需求</x:v>
      </x:c>
      <x:c r="F125" s="4" t="str">
        <x:v>P2</x:v>
      </x:c>
      <x:c r="G125" s="4" t="str">
        <x:v>验证四项均必填，按客户端语言时的礼物详情结果</x:v>
      </x:c>
      <x:c r="H125" s="4" t="str">
        <x:v>礼物详情条件结果</x:v>
      </x:c>
      <x:c r="I125" s="4" t="str">
        <x:v>1. 平台管理员账号已登录且具备当前页面权限
2. 四项均必填，按客户端语言</x:v>
      </x:c>
      <x:c r="J125" s="4" t="str">
        <x:v>1. 进入礼物详情
2. 查看礼物详情</x:v>
      </x:c>
      <x:c r="K125" s="4" t="str">
        <x:v>四项均必填，按客户端语言展示</x:v>
      </x:c>
      <x:c r="L125" s="4" t="str"/>
      <x:c r="M125" s="4" t="str">
        <x:v>未测</x:v>
      </x:c>
      <x:c r="N125" s="4" t="str"/>
      <x:c r="O125" s="4" t="str">
        <x:v>1. 来源（原型批注）：liveshow-proto/prototype/annotations/admin.js；admin-gift-detail.html
2. 页面：admin-gift-detail.html
3. 规则：BR-94F23E8804BEE6
4. 场景：SC-EF4C6A0AFC5E8E
5. 未动态验证</x:v>
      </x:c>
    </x:row>
    <x:row r="126" ht="54" customHeight="1">
      <x:c r="A126" s="4" t="n">
        <x:v>125</x:v>
      </x:c>
      <x:c r="B126" s="4" t="str">
        <x:v>AGIFT-0044</x:v>
      </x:c>
      <x:c r="C126" s="4" t="str">
        <x:v>礼物与道具</x:v>
      </x:c>
      <x:c r="D126" s="4" t="str">
        <x:v>普通礼物（平台管理员视角）</x:v>
      </x:c>
      <x:c r="E126" s="4" t="str">
        <x:v>业务流程</x:v>
      </x:c>
      <x:c r="F126" s="4" t="str">
        <x:v>P2</x:v>
      </x:c>
      <x:c r="G126" s="4" t="str">
        <x:v>验证保存后的普通礼物状态</x:v>
      </x:c>
      <x:c r="H126" s="4" t="str">
        <x:v>普通礼物状态</x:v>
      </x:c>
      <x:c r="I126" s="4" t="str">
        <x:v>1. 平台管理员账号已登录且具备当前页面权限</x:v>
      </x:c>
      <x:c r="J126" s="4" t="str">
        <x:v>1. 进入普通礼物
2. 保存</x:v>
      </x:c>
      <x:c r="K126" s="4" t="str">
        <x:v>更新列表</x:v>
      </x:c>
      <x:c r="L126" s="4" t="str"/>
      <x:c r="M126" s="4" t="str">
        <x:v>未测</x:v>
      </x:c>
      <x:c r="N126" s="4" t="str"/>
      <x:c r="O126" s="4" t="str">
        <x:v>1. 来源（原型批注）：liveshow-proto/prototype/annotations/admin.js；admin-gift-list.html
2. 页面：admin-gift-list.html
3. 规则：BR-C4A67679872A43
4. 场景：SC-85E24020B5E301
5. 未动态验证</x:v>
      </x:c>
    </x:row>
    <x:row r="127" ht="54" customHeight="1">
      <x:c r="A127" s="4" t="n">
        <x:v>126</x:v>
      </x:c>
      <x:c r="B127" s="4" t="str">
        <x:v>AGIFT-0045</x:v>
      </x:c>
      <x:c r="C127" s="4" t="str">
        <x:v>礼物与道具</x:v>
      </x:c>
      <x:c r="D127" s="4" t="str">
        <x:v>普通礼物（平台管理员视角）</x:v>
      </x:c>
      <x:c r="E127" s="4" t="str">
        <x:v>功能需求</x:v>
      </x:c>
      <x:c r="F127" s="4" t="str">
        <x:v>P2</x:v>
      </x:c>
      <x:c r="G127" s="4" t="str">
        <x:v>验证普通礼物可查看单价</x:v>
      </x:c>
      <x:c r="H127" s="4" t="str">
        <x:v>单价展示</x:v>
      </x:c>
      <x:c r="I127" s="4" t="str">
        <x:v>1. 平台管理员账号已登录且具备当前页面权限</x:v>
      </x:c>
      <x:c r="J127" s="4" t="str">
        <x:v>1. 进入普通礼物
2. 查看单价</x:v>
      </x:c>
      <x:c r="K127" s="4" t="str">
        <x:v>普通礼物显示“单价”</x:v>
      </x:c>
      <x:c r="L127" s="4" t="str"/>
      <x:c r="M127" s="4" t="str">
        <x:v>未测</x:v>
      </x:c>
      <x:c r="N127" s="4" t="str"/>
      <x:c r="O127" s="4" t="str">
        <x:v>1. 来源（原型批注）：liveshow-proto/prototype/annotations/admin.js；admin-gift-list.html
2. 页面：admin-gift-list.html
3. 规则：BR-42B758D03BD17B
4. 场景：SC-E9DF6B3EF7A419
5. 未动态验证</x:v>
      </x:c>
    </x:row>
    <x:row r="128" ht="54" customHeight="1">
      <x:c r="A128" s="4" t="n">
        <x:v>127</x:v>
      </x:c>
      <x:c r="B128" s="4" t="str">
        <x:v>AGIFT-0046</x:v>
      </x:c>
      <x:c r="C128" s="4" t="str">
        <x:v>礼物与道具</x:v>
      </x:c>
      <x:c r="D128" s="4" t="str">
        <x:v>普通礼物（平台管理员视角）</x:v>
      </x:c>
      <x:c r="E128" s="4" t="str">
        <x:v>功能需求</x:v>
      </x:c>
      <x:c r="F128" s="4" t="str">
        <x:v>P2</x:v>
      </x:c>
      <x:c r="G128" s="4" t="str">
        <x:v>验证普通礼物可查看礼物 ID</x:v>
      </x:c>
      <x:c r="H128" s="4" t="str">
        <x:v>礼物 ID展示</x:v>
      </x:c>
      <x:c r="I128" s="4" t="str">
        <x:v>1. 平台管理员账号已登录且具备当前页面权限</x:v>
      </x:c>
      <x:c r="J128" s="4" t="str">
        <x:v>1. 进入普通礼物
2. 查看礼物 ID</x:v>
      </x:c>
      <x:c r="K128" s="4" t="str">
        <x:v>普通礼物显示“礼物 ID”</x:v>
      </x:c>
      <x:c r="L128" s="4" t="str"/>
      <x:c r="M128" s="4" t="str">
        <x:v>未测</x:v>
      </x:c>
      <x:c r="N128" s="4" t="str"/>
      <x:c r="O128" s="4" t="str">
        <x:v>1. 来源（原型批注）：liveshow-proto/prototype/annotations/admin.js；admin-gift-list.html
2. 页面：admin-gift-list.html
3. 规则：BR-09EEAD694DE329
4. 场景：SC-1E7692707004FB
5. 未动态验证</x:v>
      </x:c>
    </x:row>
    <x:row r="129" ht="54" customHeight="1">
      <x:c r="A129" s="4" t="n">
        <x:v>128</x:v>
      </x:c>
      <x:c r="B129" s="4" t="str">
        <x:v>AGIFT-0047</x:v>
      </x:c>
      <x:c r="C129" s="4" t="str">
        <x:v>礼物与道具</x:v>
      </x:c>
      <x:c r="D129" s="4" t="str">
        <x:v>普通礼物（平台管理员视角）</x:v>
      </x:c>
      <x:c r="E129" s="4" t="str">
        <x:v>功能需求</x:v>
      </x:c>
      <x:c r="F129" s="4" t="str">
        <x:v>P2</x:v>
      </x:c>
      <x:c r="G129" s="4" t="str">
        <x:v>验证普通礼物可查看排序权重</x:v>
      </x:c>
      <x:c r="H129" s="4" t="str">
        <x:v>排序权重展示</x:v>
      </x:c>
      <x:c r="I129" s="4" t="str">
        <x:v>1. 平台管理员账号已登录且具备当前页面权限</x:v>
      </x:c>
      <x:c r="J129" s="4" t="str">
        <x:v>1. 进入普通礼物
2. 查看排序权重</x:v>
      </x:c>
      <x:c r="K129" s="4" t="str">
        <x:v>普通礼物显示“排序权重”</x:v>
      </x:c>
      <x:c r="L129" s="4" t="str"/>
      <x:c r="M129" s="4" t="str">
        <x:v>未测</x:v>
      </x:c>
      <x:c r="N129" s="4" t="str"/>
      <x:c r="O129" s="4" t="str">
        <x:v>1. 来源（原型批注）：liveshow-proto/prototype/annotations/admin.js；admin-gift-list.html
2. 页面：admin-gift-list.html
3. 规则：BR-E0181428FA4E11
4. 场景：SC-9538ECA1168921
5. 未动态验证</x:v>
      </x:c>
    </x:row>
    <x:row r="130" ht="54" customHeight="1">
      <x:c r="A130" s="4" t="n">
        <x:v>129</x:v>
      </x:c>
      <x:c r="B130" s="4" t="str">
        <x:v>AGIFT-0048</x:v>
      </x:c>
      <x:c r="C130" s="4" t="str">
        <x:v>礼物与道具</x:v>
      </x:c>
      <x:c r="D130" s="4" t="str">
        <x:v>普通礼物（平台管理员视角）</x:v>
      </x:c>
      <x:c r="E130" s="4" t="str">
        <x:v>功能需求</x:v>
      </x:c>
      <x:c r="F130" s="4" t="str">
        <x:v>P2</x:v>
      </x:c>
      <x:c r="G130" s="4" t="str">
        <x:v>验证普通礼物可查看四语名称</x:v>
      </x:c>
      <x:c r="H130" s="4" t="str">
        <x:v>四语名称展示</x:v>
      </x:c>
      <x:c r="I130" s="4" t="str">
        <x:v>1. 平台管理员账号已登录且具备当前页面权限</x:v>
      </x:c>
      <x:c r="J130" s="4" t="str">
        <x:v>1. 进入普通礼物
2. 查看四语名称</x:v>
      </x:c>
      <x:c r="K130" s="4" t="str">
        <x:v>普通礼物显示“四语名称”</x:v>
      </x:c>
      <x:c r="L130" s="4" t="str"/>
      <x:c r="M130" s="4" t="str">
        <x:v>未测</x:v>
      </x:c>
      <x:c r="N130" s="4" t="str"/>
      <x:c r="O130" s="4" t="str">
        <x:v>1. 来源（原型批注）：liveshow-proto/prototype/annotations/admin.js；admin-gift-list.html
2. 页面：admin-gift-list.html
3. 规则：BR-3CBEBC2283B273
4. 场景：SC-CE6CF6E103DEEE
5. 未动态验证</x:v>
      </x:c>
    </x:row>
    <x:row r="131" ht="54" customHeight="1">
      <x:c r="A131" s="4" t="n">
        <x:v>130</x:v>
      </x:c>
      <x:c r="B131" s="4" t="str">
        <x:v>AGIFT-0049</x:v>
      </x:c>
      <x:c r="C131" s="4" t="str">
        <x:v>礼物与道具</x:v>
      </x:c>
      <x:c r="D131" s="4" t="str">
        <x:v>普通礼物（平台管理员视角）</x:v>
      </x:c>
      <x:c r="E131" s="4" t="str">
        <x:v>功能需求</x:v>
      </x:c>
      <x:c r="F131" s="4" t="str">
        <x:v>P2</x:v>
      </x:c>
      <x:c r="G131" s="4" t="str">
        <x:v>验证普通礼物可查看图标 / 特效</x:v>
      </x:c>
      <x:c r="H131" s="4" t="str">
        <x:v>图标 / 特效展示</x:v>
      </x:c>
      <x:c r="I131" s="4" t="str">
        <x:v>1. 平台管理员账号已登录且具备当前页面权限</x:v>
      </x:c>
      <x:c r="J131" s="4" t="str">
        <x:v>1. 进入普通礼物
2. 查看图标 / 特效</x:v>
      </x:c>
      <x:c r="K131" s="4" t="str">
        <x:v>普通礼物显示“图标 / 特效”</x:v>
      </x:c>
      <x:c r="L131" s="4" t="str"/>
      <x:c r="M131" s="4" t="str">
        <x:v>未测</x:v>
      </x:c>
      <x:c r="N131" s="4" t="str"/>
      <x:c r="O131" s="4" t="str">
        <x:v>1. 来源（原型批注）：liveshow-proto/prototype/annotations/admin.js；admin-gift-list.html
2. 页面：admin-gift-list.html
3. 规则：BR-60A7D021F2F8F9、BR-B7A42E9F1C1B87
4. 场景：SC-6C0E8CF0CB8CEC
5. 未动态验证</x:v>
      </x:c>
    </x:row>
    <x:row r="132" ht="54" customHeight="1">
      <x:c r="A132" s="4" t="n">
        <x:v>131</x:v>
      </x:c>
      <x:c r="B132" s="4" t="str">
        <x:v>AGIFT-0050</x:v>
      </x:c>
      <x:c r="C132" s="4" t="str">
        <x:v>礼物与道具</x:v>
      </x:c>
      <x:c r="D132" s="4" t="str">
        <x:v>普通礼物（平台管理员视角）</x:v>
      </x:c>
      <x:c r="E132" s="4" t="str">
        <x:v>功能需求</x:v>
      </x:c>
      <x:c r="F132" s="4" t="str">
        <x:v>P2</x:v>
      </x:c>
      <x:c r="G132" s="4" t="str">
        <x:v>验证普通礼物可查看状态</x:v>
      </x:c>
      <x:c r="H132" s="4" t="str">
        <x:v>状态展示</x:v>
      </x:c>
      <x:c r="I132" s="4" t="str">
        <x:v>1. 平台管理员账号已登录且具备当前页面权限</x:v>
      </x:c>
      <x:c r="J132" s="4" t="str">
        <x:v>1. 进入普通礼物
2. 查看状态</x:v>
      </x:c>
      <x:c r="K132" s="4" t="str">
        <x:v>普通礼物显示“状态”</x:v>
      </x:c>
      <x:c r="L132" s="4" t="str"/>
      <x:c r="M132" s="4" t="str">
        <x:v>未测</x:v>
      </x:c>
      <x:c r="N132" s="4" t="str"/>
      <x:c r="O132" s="4" t="str">
        <x:v>1. 来源（原型批注）：liveshow-proto/prototype/annotations/admin.js；admin-gift-list.html
2. 页面：admin-gift-list.html
3. 规则：BR-51044D4931D681、BR-9E5CCC1B6F2BFC
4. 场景：SC-314B81335D5DFA
5. 未动态验证</x:v>
      </x:c>
    </x:row>
    <x:row r="133" ht="54" customHeight="1">
      <x:c r="A133" s="4" t="n">
        <x:v>132</x:v>
      </x:c>
      <x:c r="B133" s="4" t="str">
        <x:v>AGIFT-0051</x:v>
      </x:c>
      <x:c r="C133" s="4" t="str">
        <x:v>礼物与道具</x:v>
      </x:c>
      <x:c r="D133" s="4" t="str">
        <x:v>幸运礼物（平台管理员视角）</x:v>
      </x:c>
      <x:c r="E133" s="4" t="str">
        <x:v>业务流程</x:v>
      </x:c>
      <x:c r="F133" s="4" t="str">
        <x:v>P2</x:v>
      </x:c>
      <x:c r="G133" s="4" t="str">
        <x:v>验证保存后的幸运礼物状态</x:v>
      </x:c>
      <x:c r="H133" s="4" t="str">
        <x:v>幸运礼物状态</x:v>
      </x:c>
      <x:c r="I133" s="4" t="str">
        <x:v>1. 平台管理员账号已登录且具备当前页面权限</x:v>
      </x:c>
      <x:c r="J133" s="4" t="str">
        <x:v>1. 进入幸运礼物
2. 保存</x:v>
      </x:c>
      <x:c r="K133" s="4" t="str">
        <x:v>对保存后的新赠送生效</x:v>
      </x:c>
      <x:c r="L133" s="4" t="str"/>
      <x:c r="M133" s="4" t="str">
        <x:v>未测</x:v>
      </x:c>
      <x:c r="N133" s="4" t="str"/>
      <x:c r="O133" s="4" t="str">
        <x:v>1. 来源（原型批注）：liveshow-proto/prototype/annotations/admin.js；admin-lucky-gift-config.html
2. 页面：admin-lucky-gift-config.html
3. 规则：BR-694CFAE03E453E
4. 场景：SC-06FE5498DCF199
5. 未动态验证</x:v>
      </x:c>
    </x:row>
    <x:row r="134" ht="54" customHeight="1">
      <x:c r="A134" s="4" t="n">
        <x:v>133</x:v>
      </x:c>
      <x:c r="B134" s="4" t="str">
        <x:v>AGIFT-0052</x:v>
      </x:c>
      <x:c r="C134" s="4" t="str">
        <x:v>礼物与道具</x:v>
      </x:c>
      <x:c r="D134" s="4" t="str">
        <x:v>幸运礼物（平台管理员视角）</x:v>
      </x:c>
      <x:c r="E134" s="4" t="str">
        <x:v>业务流程</x:v>
      </x:c>
      <x:c r="F134" s="4" t="str">
        <x:v>P2</x:v>
      </x:c>
      <x:c r="G134" s="4" t="str">
        <x:v>验证点击编辑后的幸运礼物状态</x:v>
      </x:c>
      <x:c r="H134" s="4" t="str">
        <x:v>幸运礼物状态</x:v>
      </x:c>
      <x:c r="I134" s="4" t="str">
        <x:v>1. 平台管理员账号已登录且具备当前页面权限</x:v>
      </x:c>
      <x:c r="J134" s="4" t="str">
        <x:v>1. 进入幸运礼物
2. 点击编辑</x:v>
      </x:c>
      <x:c r="K134" s="4" t="str">
        <x:v>比例可输入、按钮变为保存</x:v>
      </x:c>
      <x:c r="L134" s="4" t="str"/>
      <x:c r="M134" s="4" t="str">
        <x:v>未测</x:v>
      </x:c>
      <x:c r="N134" s="4" t="str"/>
      <x:c r="O134" s="4" t="str">
        <x:v>1. 来源（原型批注）：liveshow-proto/prototype/annotations/admin.js；admin-lucky-gift-config.html
2. 页面：admin-lucky-gift-config.html
3. 规则：BR-8BBC2B83566020
4. 场景：SC-53BCE9BCBE0382
5. 未动态验证</x:v>
      </x:c>
    </x:row>
    <x:row r="135" ht="54" customHeight="1">
      <x:c r="A135" s="4" t="n">
        <x:v>134</x:v>
      </x:c>
      <x:c r="B135" s="4" t="str">
        <x:v>AGIFT-0053</x:v>
      </x:c>
      <x:c r="C135" s="4" t="str">
        <x:v>礼物与道具</x:v>
      </x:c>
      <x:c r="D135" s="4" t="str">
        <x:v>幸运礼物（平台管理员视角）</x:v>
      </x:c>
      <x:c r="E135" s="4" t="str">
        <x:v>功能需求</x:v>
      </x:c>
      <x:c r="F135" s="4" t="str">
        <x:v>P2</x:v>
      </x:c>
      <x:c r="G135" s="4" t="str">
        <x:v>验证功能总开关关闭时的幸运礼物结果</x:v>
      </x:c>
      <x:c r="H135" s="4" t="str">
        <x:v>幸运礼物条件结果</x:v>
      </x:c>
      <x:c r="I135" s="4" t="str">
        <x:v>1. 平台管理员账号已登录且具备当前页面权限
2. 功能总开关关闭</x:v>
      </x:c>
      <x:c r="J135" s="4" t="str">
        <x:v>1. 进入幸运礼物
2. 查看幸运礼物</x:v>
      </x:c>
      <x:c r="K135" s="4" t="str">
        <x:v>全部幸运礼物不可见</x:v>
      </x:c>
      <x:c r="L135" s="4" t="str"/>
      <x:c r="M135" s="4" t="str">
        <x:v>未测</x:v>
      </x:c>
      <x:c r="N135" s="4" t="str"/>
      <x:c r="O135" s="4" t="str">
        <x:v>1. 来源（原型批注）：liveshow-proto/prototype/annotations/admin.js；admin-lucky-gift-config.html
2. 页面：admin-lucky-gift-config.html
3. 规则：BR-F60EB89BCC9B9A
4. 场景：SC-6B30923C0218EC
5. 未动态验证</x:v>
      </x:c>
    </x:row>
    <x:row r="136" ht="54" customHeight="1">
      <x:c r="A136" s="4" t="n">
        <x:v>135</x:v>
      </x:c>
      <x:c r="B136" s="4" t="str">
        <x:v>AGIFT-0054</x:v>
      </x:c>
      <x:c r="C136" s="4" t="str">
        <x:v>礼物与道具</x:v>
      </x:c>
      <x:c r="D136" s="4" t="str">
        <x:v>幸运礼物（平台管理员视角）</x:v>
      </x:c>
      <x:c r="E136" s="4" t="str">
        <x:v>业务流程</x:v>
      </x:c>
      <x:c r="F136" s="4" t="str">
        <x:v>P2</x:v>
      </x:c>
      <x:c r="G136" s="4" t="str">
        <x:v>验证礼物编辑后的幸运礼物状态</x:v>
      </x:c>
      <x:c r="H136" s="4" t="str">
        <x:v>幸运礼物状态</x:v>
      </x:c>
      <x:c r="I136" s="4" t="str">
        <x:v>1. 平台管理员账号已登录且具备当前页面权限
2. 礼物编辑</x:v>
      </x:c>
      <x:c r="J136" s="4" t="str">
        <x:v>1. 进入幸运礼物
2. 刷新幸运礼物</x:v>
      </x:c>
      <x:c r="K136" s="4" t="str">
        <x:v>进入配置详情</x:v>
      </x:c>
      <x:c r="L136" s="4" t="str"/>
      <x:c r="M136" s="4" t="str">
        <x:v>未测</x:v>
      </x:c>
      <x:c r="N136" s="4" t="str"/>
      <x:c r="O136" s="4" t="str">
        <x:v>1. 来源（原型批注）：liveshow-proto/prototype/annotations/admin.js；admin-lucky-gift-config.html
2. 页面：admin-lucky-gift-config.html
3. 规则：BR-C3EA0127C8E0BD
4. 场景：SC-E2556F7556136E
5. 未动态验证</x:v>
      </x:c>
    </x:row>
    <x:row r="137" ht="54" customHeight="1">
      <x:c r="A137" s="4" t="n">
        <x:v>136</x:v>
      </x:c>
      <x:c r="B137" s="4" t="str">
        <x:v>AGIFT-0055</x:v>
      </x:c>
      <x:c r="C137" s="4" t="str">
        <x:v>礼物与道具</x:v>
      </x:c>
      <x:c r="D137" s="4" t="str">
        <x:v>幸运礼物（平台管理员视角）</x:v>
      </x:c>
      <x:c r="E137" s="4" t="str">
        <x:v>功能需求</x:v>
      </x:c>
      <x:c r="F137" s="4" t="str">
        <x:v>P2</x:v>
      </x:c>
      <x:c r="G137" s="4" t="str">
        <x:v>验证幸运礼物可查看单次消耗</x:v>
      </x:c>
      <x:c r="H137" s="4" t="str">
        <x:v>单次消耗展示</x:v>
      </x:c>
      <x:c r="I137" s="4" t="str">
        <x:v>1. 平台管理员账号已登录且具备当前页面权限</x:v>
      </x:c>
      <x:c r="J137" s="4" t="str">
        <x:v>1. 进入幸运礼物
2. 查看单次消耗</x:v>
      </x:c>
      <x:c r="K137" s="4" t="str">
        <x:v>幸运礼物显示“单次消耗”</x:v>
      </x:c>
      <x:c r="L137" s="4" t="str"/>
      <x:c r="M137" s="4" t="str">
        <x:v>未测</x:v>
      </x:c>
      <x:c r="N137" s="4" t="str"/>
      <x:c r="O137" s="4" t="str">
        <x:v>1. 来源（原型批注）：liveshow-proto/prototype/annotations/admin.js；admin-lucky-gift-config.html
2. 页面：admin-lucky-gift-config.html
3. 规则：BR-B158C25D7CEC03
4. 场景：SC-CF466D066D53B2
5. 未动态验证</x:v>
      </x:c>
    </x:row>
    <x:row r="138" ht="54" customHeight="1">
      <x:c r="A138" s="4" t="n">
        <x:v>137</x:v>
      </x:c>
      <x:c r="B138" s="4" t="str">
        <x:v>AGIFT-0056</x:v>
      </x:c>
      <x:c r="C138" s="4" t="str">
        <x:v>礼物与道具</x:v>
      </x:c>
      <x:c r="D138" s="4" t="str">
        <x:v>幸运礼物（平台管理员视角）</x:v>
      </x:c>
      <x:c r="E138" s="4" t="str">
        <x:v>功能需求</x:v>
      </x:c>
      <x:c r="F138" s="4" t="str">
        <x:v>P2</x:v>
      </x:c>
      <x:c r="G138" s="4" t="str">
        <x:v>验证幸运礼物可查看单价</x:v>
      </x:c>
      <x:c r="H138" s="4" t="str">
        <x:v>单价展示</x:v>
      </x:c>
      <x:c r="I138" s="4" t="str">
        <x:v>1. 平台管理员账号已登录且具备当前页面权限</x:v>
      </x:c>
      <x:c r="J138" s="4" t="str">
        <x:v>1. 进入幸运礼物
2. 查看单价</x:v>
      </x:c>
      <x:c r="K138" s="4" t="str">
        <x:v>幸运礼物显示“单价”</x:v>
      </x:c>
      <x:c r="L138" s="4" t="str"/>
      <x:c r="M138" s="4" t="str">
        <x:v>未测</x:v>
      </x:c>
      <x:c r="N138" s="4" t="str"/>
      <x:c r="O138" s="4" t="str">
        <x:v>1. 来源（原型批注）：liveshow-proto/prototype/annotations/admin.js；admin-lucky-gift-config.html
2. 页面：admin-lucky-gift-config.html
3. 规则：BR-45DB02495915A5
4. 场景：SC-CE7B5754152674
5. 未动态验证</x:v>
      </x:c>
    </x:row>
    <x:row r="139" ht="54" customHeight="1">
      <x:c r="A139" s="4" t="n">
        <x:v>138</x:v>
      </x:c>
      <x:c r="B139" s="4" t="str">
        <x:v>AGIFT-0057</x:v>
      </x:c>
      <x:c r="C139" s="4" t="str">
        <x:v>礼物与道具</x:v>
      </x:c>
      <x:c r="D139" s="4" t="str">
        <x:v>幸运礼物（平台管理员视角）</x:v>
      </x:c>
      <x:c r="E139" s="4" t="str">
        <x:v>功能需求</x:v>
      </x:c>
      <x:c r="F139" s="4" t="str">
        <x:v>P2</x:v>
      </x:c>
      <x:c r="G139" s="4" t="str">
        <x:v>验证幸运礼物可查看开奖次数</x:v>
      </x:c>
      <x:c r="H139" s="4" t="str">
        <x:v>开奖次数展示</x:v>
      </x:c>
      <x:c r="I139" s="4" t="str">
        <x:v>1. 平台管理员账号已登录且具备当前页面权限</x:v>
      </x:c>
      <x:c r="J139" s="4" t="str">
        <x:v>1. 进入幸运礼物
2. 查看开奖次数</x:v>
      </x:c>
      <x:c r="K139" s="4" t="str">
        <x:v>幸运礼物显示“开奖次数”</x:v>
      </x:c>
      <x:c r="L139" s="4" t="str"/>
      <x:c r="M139" s="4" t="str">
        <x:v>未测</x:v>
      </x:c>
      <x:c r="N139" s="4" t="str"/>
      <x:c r="O139" s="4" t="str">
        <x:v>1. 来源（原型批注）：liveshow-proto/prototype/annotations/admin.js；admin-lucky-gift-config.html
2. 页面：admin-lucky-gift-config.html
3. 规则：BR-10416747A7DB0B
4. 场景：SC-9FF9052F90F7BA
5. 未动态验证</x:v>
      </x:c>
    </x:row>
    <x:row r="140" ht="54" customHeight="1">
      <x:c r="A140" s="4" t="n">
        <x:v>139</x:v>
      </x:c>
      <x:c r="B140" s="4" t="str">
        <x:v>AGIFT-0058</x:v>
      </x:c>
      <x:c r="C140" s="4" t="str">
        <x:v>礼物与道具</x:v>
      </x:c>
      <x:c r="D140" s="4" t="str">
        <x:v>幸运礼物（平台管理员视角）</x:v>
      </x:c>
      <x:c r="E140" s="4" t="str">
        <x:v>功能需求</x:v>
      </x:c>
      <x:c r="F140" s="4" t="str">
        <x:v>P2</x:v>
      </x:c>
      <x:c r="G140" s="4" t="str">
        <x:v>验证幸运礼物可查看幸运礼物收益比例</x:v>
      </x:c>
      <x:c r="H140" s="4" t="str">
        <x:v>幸运礼物收益比例展示</x:v>
      </x:c>
      <x:c r="I140" s="4" t="str">
        <x:v>1. 平台管理员账号已登录且具备当前页面权限</x:v>
      </x:c>
      <x:c r="J140" s="4" t="str">
        <x:v>1. 进入幸运礼物
2. 查看幸运礼物收益比例</x:v>
      </x:c>
      <x:c r="K140" s="4" t="str">
        <x:v>幸运礼物显示“幸运礼物收益比例”</x:v>
      </x:c>
      <x:c r="L140" s="4" t="str"/>
      <x:c r="M140" s="4" t="str">
        <x:v>未测</x:v>
      </x:c>
      <x:c r="N140" s="4" t="str"/>
      <x:c r="O140" s="4" t="str">
        <x:v>1. 来源（原型批注）：liveshow-proto/prototype/annotations/admin.js；admin-lucky-gift-config.html
2. 页面：admin-lucky-gift-config.html
3. 规则：BR-37C628CDF02B49、BR-EF5F788A9DFFBF
4. 场景：SC-6AEEDD477D91B1
5. 未动态验证</x:v>
      </x:c>
    </x:row>
    <x:row r="141" ht="54" customHeight="1">
      <x:c r="A141" s="4" t="n">
        <x:v>140</x:v>
      </x:c>
      <x:c r="B141" s="4" t="str">
        <x:v>AGIFT-0059</x:v>
      </x:c>
      <x:c r="C141" s="4" t="str">
        <x:v>礼物与道具</x:v>
      </x:c>
      <x:c r="D141" s="4" t="str">
        <x:v>幸运礼物（平台管理员视角）</x:v>
      </x:c>
      <x:c r="E141" s="4" t="str">
        <x:v>功能需求</x:v>
      </x:c>
      <x:c r="F141" s="4" t="str">
        <x:v>P2</x:v>
      </x:c>
      <x:c r="G141" s="4" t="str">
        <x:v>验证幸运礼物可查看状态</x:v>
      </x:c>
      <x:c r="H141" s="4" t="str">
        <x:v>状态展示</x:v>
      </x:c>
      <x:c r="I141" s="4" t="str">
        <x:v>1. 平台管理员账号已登录且具备当前页面权限</x:v>
      </x:c>
      <x:c r="J141" s="4" t="str">
        <x:v>1. 进入幸运礼物
2. 查看状态</x:v>
      </x:c>
      <x:c r="K141" s="4" t="str">
        <x:v>幸运礼物显示“状态”</x:v>
      </x:c>
      <x:c r="L141" s="4" t="str"/>
      <x:c r="M141" s="4" t="str">
        <x:v>未测</x:v>
      </x:c>
      <x:c r="N141" s="4" t="str"/>
      <x:c r="O141" s="4" t="str">
        <x:v>1. 来源（原型批注）：liveshow-proto/prototype/annotations/admin.js；admin-lucky-gift-config.html
2. 页面：admin-lucky-gift-config.html
3. 规则：BR-C622A163817F9B、BR-F60EB89BCC9B9A
4. 场景：SC-107EDD9C41454B
5. 未动态验证</x:v>
      </x:c>
    </x:row>
    <x:row r="142" ht="54" customHeight="1">
      <x:c r="A142" s="4" t="n">
        <x:v>141</x:v>
      </x:c>
      <x:c r="B142" s="4" t="str">
        <x:v>AGIFT-0060</x:v>
      </x:c>
      <x:c r="C142" s="4" t="str">
        <x:v>礼物与道具</x:v>
      </x:c>
      <x:c r="D142" s="4" t="str">
        <x:v>幸运礼物（平台管理员视角）</x:v>
      </x:c>
      <x:c r="E142" s="4" t="str">
        <x:v>功能需求</x:v>
      </x:c>
      <x:c r="F142" s="4" t="str">
        <x:v>P2</x:v>
      </x:c>
      <x:c r="G142" s="4" t="str">
        <x:v>验证幸运礼物可查看RTP</x:v>
      </x:c>
      <x:c r="H142" s="4" t="str">
        <x:v>RTP展示</x:v>
      </x:c>
      <x:c r="I142" s="4" t="str">
        <x:v>1. 平台管理员账号已登录且具备当前页面权限</x:v>
      </x:c>
      <x:c r="J142" s="4" t="str">
        <x:v>1. 进入幸运礼物
2. 查看RTP</x:v>
      </x:c>
      <x:c r="K142" s="4" t="str">
        <x:v>幸运礼物显示“RTP”</x:v>
      </x:c>
      <x:c r="L142" s="4" t="str"/>
      <x:c r="M142" s="4" t="str">
        <x:v>未测</x:v>
      </x:c>
      <x:c r="N142" s="4" t="str"/>
      <x:c r="O142" s="4" t="str">
        <x:v>1. 来源（原型批注）：liveshow-proto/prototype/annotations/admin.js；admin-lucky-gift-config.html
2. 页面：admin-lucky-gift-config.html
3. 规则：BR-15BD2050EB4C76、BR-B0E0B336D468C1
4. 场景：SC-A1EFA452DDBB26
5. 未动态验证</x:v>
      </x:c>
    </x:row>
    <x:row r="143" ht="54" customHeight="1">
      <x:c r="A143" s="4" t="n">
        <x:v>142</x:v>
      </x:c>
      <x:c r="B143" s="4" t="str">
        <x:v>AGIFT-0061</x:v>
      </x:c>
      <x:c r="C143" s="4" t="str">
        <x:v>礼物与道具</x:v>
      </x:c>
      <x:c r="D143" s="4" t="str">
        <x:v>幸运礼物（平台管理员视角）</x:v>
      </x:c>
      <x:c r="E143" s="4" t="str">
        <x:v>功能需求</x:v>
      </x:c>
      <x:c r="F143" s="4" t="str">
        <x:v>P2</x:v>
      </x:c>
      <x:c r="G143" s="4" t="str">
        <x:v>验证幸运礼物收益比例的默认状态</x:v>
      </x:c>
      <x:c r="H143" s="4" t="str">
        <x:v>幸运礼物收益比例默认值</x:v>
      </x:c>
      <x:c r="I143" s="4" t="str">
        <x:v>1. 平台管理员账号已登录且具备当前页面权限</x:v>
      </x:c>
      <x:c r="J143" s="4" t="str">
        <x:v>1. 进入幸运礼物
2. 查看幸运礼物收益比例</x:v>
      </x:c>
      <x:c r="K143" s="4" t="str">
        <x:v>默认 1%，可配置 0% 至 100%</x:v>
      </x:c>
      <x:c r="L143" s="4" t="str"/>
      <x:c r="M143" s="4" t="str">
        <x:v>未测</x:v>
      </x:c>
      <x:c r="N143" s="4" t="str"/>
      <x:c r="O143" s="4" t="str">
        <x:v>1. 来源（原型批注）：liveshow-proto/prototype/annotations/admin.js；admin-lucky-gift-config.html
2. 页面：admin-lucky-gift-config.html
3. 规则：BR-EF5F788A9DFFBF
4. 场景：SC-D02D94EF0E6BF8
5. 未动态验证</x:v>
      </x:c>
    </x:row>
    <x:row r="144" ht="54" customHeight="1">
      <x:c r="A144" s="4" t="n">
        <x:v>143</x:v>
      </x:c>
      <x:c r="B144" s="4" t="str">
        <x:v>AGIFT-0062</x:v>
      </x:c>
      <x:c r="C144" s="4" t="str">
        <x:v>礼物与道具</x:v>
      </x:c>
      <x:c r="D144" s="4" t="str">
        <x:v>幸运礼物编辑（平台管理员视角）</x:v>
      </x:c>
      <x:c r="E144" s="4" t="str">
        <x:v>业务流程</x:v>
      </x:c>
      <x:c r="F144" s="4" t="str">
        <x:v>P2</x:v>
      </x:c>
      <x:c r="G144" s="4" t="str">
        <x:v>验证保存后的幸运礼物编辑状态</x:v>
      </x:c>
      <x:c r="H144" s="4" t="str">
        <x:v>幸运礼物编辑状态</x:v>
      </x:c>
      <x:c r="I144" s="4" t="str">
        <x:v>1. 平台管理员账号已登录且具备当前页面权限</x:v>
      </x:c>
      <x:c r="J144" s="4" t="str">
        <x:v>1. 进入幸运礼物编辑
2. 保存</x:v>
      </x:c>
      <x:c r="K144" s="4" t="str">
        <x:v>更新配置</x:v>
      </x:c>
      <x:c r="L144" s="4" t="str"/>
      <x:c r="M144" s="4" t="str">
        <x:v>未测</x:v>
      </x:c>
      <x:c r="N144" s="4" t="str"/>
      <x:c r="O144" s="4" t="str">
        <x:v>1. 来源（原型批注）：liveshow-proto/prototype/annotations/admin.js；admin-lucky-gift-detail.html
2. 页面：admin-lucky-gift-detail.html
3. 规则：BR-B8C64A59D30A41
4. 场景：SC-2A0619BE50FCF8
5. 未动态验证</x:v>
      </x:c>
    </x:row>
    <x:row r="145" ht="54" customHeight="1">
      <x:c r="A145" s="4" t="n">
        <x:v>144</x:v>
      </x:c>
      <x:c r="B145" s="4" t="str">
        <x:v>AGIFT-0063</x:v>
      </x:c>
      <x:c r="C145" s="4" t="str">
        <x:v>礼物与道具</x:v>
      </x:c>
      <x:c r="D145" s="4" t="str">
        <x:v>幸运礼物编辑（平台管理员视角）</x:v>
      </x:c>
      <x:c r="E145" s="4" t="str">
        <x:v>功能需求</x:v>
      </x:c>
      <x:c r="F145" s="4" t="str">
        <x:v>P2</x:v>
      </x:c>
      <x:c r="G145" s="4" t="str">
        <x:v>验证概率合计非 100%时的幸运礼物编辑结果</x:v>
      </x:c>
      <x:c r="H145" s="4" t="str">
        <x:v>幸运礼物编辑条件结果</x:v>
      </x:c>
      <x:c r="I145" s="4" t="str">
        <x:v>1. 平台管理员账号已登录且具备当前页面权限
2. 概率合计非 100%</x:v>
      </x:c>
      <x:c r="J145" s="4" t="str">
        <x:v>1. 进入幸运礼物编辑
2. 查看幸运礼物编辑</x:v>
      </x:c>
      <x:c r="K145" s="4" t="str">
        <x:v>不得生效</x:v>
      </x:c>
      <x:c r="L145" s="4" t="str"/>
      <x:c r="M145" s="4" t="str">
        <x:v>未测</x:v>
      </x:c>
      <x:c r="N145" s="4" t="str"/>
      <x:c r="O145" s="4" t="str">
        <x:v>1. 来源（原型批注）：liveshow-proto/prototype/annotations/admin.js；admin-lucky-gift-detail.html
2. 页面：admin-lucky-gift-detail.html
3. 规则：BR-CBAE60EE5B7C0D
4. 场景：SC-A911C2ED30B16E
5. 未动态验证</x:v>
      </x:c>
    </x:row>
    <x:row r="146" ht="54" customHeight="1">
      <x:c r="A146" s="4" t="n">
        <x:v>145</x:v>
      </x:c>
      <x:c r="B146" s="4" t="str">
        <x:v>AGIFT-0064</x:v>
      </x:c>
      <x:c r="C146" s="4" t="str">
        <x:v>礼物与道具</x:v>
      </x:c>
      <x:c r="D146" s="4" t="str">
        <x:v>幸运礼物编辑（平台管理员视角）</x:v>
      </x:c>
      <x:c r="E146" s="4" t="str">
        <x:v>功能需求</x:v>
      </x:c>
      <x:c r="F146" s="4" t="str">
        <x:v>P2</x:v>
      </x:c>
      <x:c r="G146" s="4" t="str">
        <x:v>验证结果超过一位小数时的幸运礼物编辑结果</x:v>
      </x:c>
      <x:c r="H146" s="4" t="str">
        <x:v>幸运礼物编辑条件结果</x:v>
      </x:c>
      <x:c r="I146" s="4" t="str">
        <x:v>1. 平台管理员账号已登录且具备当前页面权限
2. 结果超过一位小数</x:v>
      </x:c>
      <x:c r="J146" s="4" t="str">
        <x:v>1. 进入幸运礼物编辑
2. 查看幸运礼物编辑</x:v>
      </x:c>
      <x:c r="K146" s="4" t="str">
        <x:v>向上取整至一位小数，保存前自动校验</x:v>
      </x:c>
      <x:c r="L146" s="4" t="str"/>
      <x:c r="M146" s="4" t="str">
        <x:v>未测</x:v>
      </x:c>
      <x:c r="N146" s="4" t="str"/>
      <x:c r="O146" s="4" t="str">
        <x:v>1. 来源（原型批注）：liveshow-proto/prototype/annotations/admin.js；admin-lucky-gift-detail.html
2. 页面：admin-lucky-gift-detail.html
3. 规则：BR-237BAA8A69AC56
4. 场景：SC-5AAA8CB5A7738D
5. 未动态验证</x:v>
      </x:c>
    </x:row>
    <x:row r="147" ht="54" customHeight="1">
      <x:c r="A147" s="4" t="n">
        <x:v>146</x:v>
      </x:c>
      <x:c r="B147" s="4" t="str">
        <x:v>AGIFT-0065</x:v>
      </x:c>
      <x:c r="C147" s="4" t="str">
        <x:v>礼物与道具</x:v>
      </x:c>
      <x:c r="D147" s="4" t="str">
        <x:v>幸运礼物编辑（平台管理员视角）</x:v>
      </x:c>
      <x:c r="E147" s="4" t="str">
        <x:v>功能需求</x:v>
      </x:c>
      <x:c r="F147" s="4" t="str">
        <x:v>P2</x:v>
      </x:c>
      <x:c r="G147" s="4" t="str">
        <x:v>验证幸运礼物编辑可查看单次消耗</x:v>
      </x:c>
      <x:c r="H147" s="4" t="str">
        <x:v>单次消耗展示</x:v>
      </x:c>
      <x:c r="I147" s="4" t="str">
        <x:v>1. 平台管理员账号已登录且具备当前页面权限</x:v>
      </x:c>
      <x:c r="J147" s="4" t="str">
        <x:v>1. 进入幸运礼物编辑
2. 查看单次消耗</x:v>
      </x:c>
      <x:c r="K147" s="4" t="str">
        <x:v>幸运礼物编辑显示“单次消耗”</x:v>
      </x:c>
      <x:c r="L147" s="4" t="str"/>
      <x:c r="M147" s="4" t="str">
        <x:v>未测</x:v>
      </x:c>
      <x:c r="N147" s="4" t="str"/>
      <x:c r="O147" s="4" t="str">
        <x:v>1. 来源（原型批注）：liveshow-proto/prototype/annotations/admin.js；admin-lucky-gift-detail.html
2. 页面：admin-lucky-gift-detail.html
3. 规则：BR-3CFE4B128BF88A
4. 场景：SC-4B4F6CC57B543B
5. 未动态验证</x:v>
      </x:c>
    </x:row>
    <x:row r="148" ht="54" customHeight="1">
      <x:c r="A148" s="4" t="n">
        <x:v>147</x:v>
      </x:c>
      <x:c r="B148" s="4" t="str">
        <x:v>AGIFT-0066</x:v>
      </x:c>
      <x:c r="C148" s="4" t="str">
        <x:v>礼物与道具</x:v>
      </x:c>
      <x:c r="D148" s="4" t="str">
        <x:v>幸运礼物编辑（平台管理员视角）</x:v>
      </x:c>
      <x:c r="E148" s="4" t="str">
        <x:v>功能需求</x:v>
      </x:c>
      <x:c r="F148" s="4" t="str">
        <x:v>P2</x:v>
      </x:c>
      <x:c r="G148" s="4" t="str">
        <x:v>验证幸运礼物编辑可查看奖励金币</x:v>
      </x:c>
      <x:c r="H148" s="4" t="str">
        <x:v>奖励金币展示</x:v>
      </x:c>
      <x:c r="I148" s="4" t="str">
        <x:v>1. 平台管理员账号已登录且具备当前页面权限</x:v>
      </x:c>
      <x:c r="J148" s="4" t="str">
        <x:v>1. 进入幸运礼物编辑
2. 查看奖励金币</x:v>
      </x:c>
      <x:c r="K148" s="4" t="str">
        <x:v>幸运礼物编辑显示“奖励金币”</x:v>
      </x:c>
      <x:c r="L148" s="4" t="str"/>
      <x:c r="M148" s="4" t="str">
        <x:v>未测</x:v>
      </x:c>
      <x:c r="N148" s="4" t="str"/>
      <x:c r="O148" s="4" t="str">
        <x:v>1. 来源（原型批注）：liveshow-proto/prototype/annotations/admin.js；admin-lucky-gift-detail.html
2. 页面：admin-lucky-gift-detail.html
3. 规则：BR-0F2D32BB766C9E、BR-10938FEC2467AA
4. 场景：SC-0BFEED9CA9A4ED
5. 未动态验证</x:v>
      </x:c>
    </x:row>
    <x:row r="149" ht="54" customHeight="1">
      <x:c r="A149" s="4" t="n">
        <x:v>148</x:v>
      </x:c>
      <x:c r="B149" s="4" t="str">
        <x:v>AGIFT-0067</x:v>
      </x:c>
      <x:c r="C149" s="4" t="str">
        <x:v>礼物与道具</x:v>
      </x:c>
      <x:c r="D149" s="4" t="str">
        <x:v>幸运礼物编辑（平台管理员视角）</x:v>
      </x:c>
      <x:c r="E149" s="4" t="str">
        <x:v>功能需求</x:v>
      </x:c>
      <x:c r="F149" s="4" t="str">
        <x:v>P2</x:v>
      </x:c>
      <x:c r="G149" s="4" t="str">
        <x:v>验证幸运礼物编辑可查看开奖次数</x:v>
      </x:c>
      <x:c r="H149" s="4" t="str">
        <x:v>开奖次数展示</x:v>
      </x:c>
      <x:c r="I149" s="4" t="str">
        <x:v>1. 平台管理员账号已登录且具备当前页面权限</x:v>
      </x:c>
      <x:c r="J149" s="4" t="str">
        <x:v>1. 进入幸运礼物编辑
2. 查看开奖次数</x:v>
      </x:c>
      <x:c r="K149" s="4" t="str">
        <x:v>幸运礼物编辑显示“开奖次数”</x:v>
      </x:c>
      <x:c r="L149" s="4" t="str"/>
      <x:c r="M149" s="4" t="str">
        <x:v>未测</x:v>
      </x:c>
      <x:c r="N149" s="4" t="str"/>
      <x:c r="O149" s="4" t="str">
        <x:v>1. 来源（原型批注）：liveshow-proto/prototype/annotations/admin.js；admin-lucky-gift-detail.html
2. 页面：admin-lucky-gift-detail.html
3. 规则：BR-2D13C226B64106、BR-55ED3ECE2A9DD5
4. 场景：SC-8AA20A336D81E6
5. 未动态验证</x:v>
      </x:c>
    </x:row>
    <x:row r="150" ht="54" customHeight="1">
      <x:c r="A150" s="4" t="n">
        <x:v>149</x:v>
      </x:c>
      <x:c r="B150" s="4" t="str">
        <x:v>AGIFT-0068</x:v>
      </x:c>
      <x:c r="C150" s="4" t="str">
        <x:v>礼物与道具</x:v>
      </x:c>
      <x:c r="D150" s="4" t="str">
        <x:v>幸运礼物编辑（平台管理员视角）</x:v>
      </x:c>
      <x:c r="E150" s="4" t="str">
        <x:v>功能需求</x:v>
      </x:c>
      <x:c r="F150" s="4" t="str">
        <x:v>P2</x:v>
      </x:c>
      <x:c r="G150" s="4" t="str">
        <x:v>验证幸运礼物编辑可查看礼物 ID / 四语名称 / 资源</x:v>
      </x:c>
      <x:c r="H150" s="4" t="str">
        <x:v>礼物 ID / 四语名称 / 资源展示</x:v>
      </x:c>
      <x:c r="I150" s="4" t="str">
        <x:v>1. 平台管理员账号已登录且具备当前页面权限</x:v>
      </x:c>
      <x:c r="J150" s="4" t="str">
        <x:v>1. 进入幸运礼物编辑
2. 查看礼物 ID / 四语名称 / 资源</x:v>
      </x:c>
      <x:c r="K150" s="4" t="str">
        <x:v>幸运礼物编辑显示“礼物 ID / 四语名称 / 资源”</x:v>
      </x:c>
      <x:c r="L150" s="4" t="str"/>
      <x:c r="M150" s="4" t="str">
        <x:v>未测</x:v>
      </x:c>
      <x:c r="N150" s="4" t="str"/>
      <x:c r="O150" s="4" t="str">
        <x:v>1. 来源（原型批注）：liveshow-proto/prototype/annotations/admin.js；admin-lucky-gift-detail.html
2. 页面：admin-lucky-gift-detail.html
3. 规则：BR-EA7CBC8E750201、BR-9EF7FF127A8D65
4. 场景：SC-93B5581EEDE934
5. 未动态验证</x:v>
      </x:c>
    </x:row>
    <x:row r="151" ht="54" customHeight="1">
      <x:c r="A151" s="4" t="n">
        <x:v>150</x:v>
      </x:c>
      <x:c r="B151" s="4" t="str">
        <x:v>AGIFT-0069</x:v>
      </x:c>
      <x:c r="C151" s="4" t="str">
        <x:v>礼物与道具</x:v>
      </x:c>
      <x:c r="D151" s="4" t="str">
        <x:v>幸运礼物编辑（平台管理员视角）</x:v>
      </x:c>
      <x:c r="E151" s="4" t="str">
        <x:v>功能需求</x:v>
      </x:c>
      <x:c r="F151" s="4" t="str">
        <x:v>P2</x:v>
      </x:c>
      <x:c r="G151" s="4" t="str">
        <x:v>验证幸运礼物编辑可查看中奖概率</x:v>
      </x:c>
      <x:c r="H151" s="4" t="str">
        <x:v>中奖概率展示</x:v>
      </x:c>
      <x:c r="I151" s="4" t="str">
        <x:v>1. 平台管理员账号已登录且具备当前页面权限</x:v>
      </x:c>
      <x:c r="J151" s="4" t="str">
        <x:v>1. 进入幸运礼物编辑
2. 查看中奖概率</x:v>
      </x:c>
      <x:c r="K151" s="4" t="str">
        <x:v>幸运礼物编辑显示“中奖概率”</x:v>
      </x:c>
      <x:c r="L151" s="4" t="str"/>
      <x:c r="M151" s="4" t="str">
        <x:v>未测</x:v>
      </x:c>
      <x:c r="N151" s="4" t="str"/>
      <x:c r="O151" s="4" t="str">
        <x:v>1. 来源（原型批注）：liveshow-proto/prototype/annotations/admin.js；admin-lucky-gift-detail.html
2. 页面：admin-lucky-gift-detail.html
3. 规则：BR-7616F1C8432500
4. 场景：SC-D78F6FCE36B17B
5. 未动态验证</x:v>
      </x:c>
    </x:row>
    <x:row r="152" ht="54" customHeight="1">
      <x:c r="A152" s="4" t="n">
        <x:v>151</x:v>
      </x:c>
      <x:c r="B152" s="4" t="str">
        <x:v>AGIFT-0070</x:v>
      </x:c>
      <x:c r="C152" s="4" t="str">
        <x:v>礼物与道具</x:v>
      </x:c>
      <x:c r="D152" s="4" t="str">
        <x:v>幸运礼物编辑（平台管理员视角）</x:v>
      </x:c>
      <x:c r="E152" s="4" t="str">
        <x:v>功能需求</x:v>
      </x:c>
      <x:c r="F152" s="4" t="str">
        <x:v>P2</x:v>
      </x:c>
      <x:c r="G152" s="4" t="str">
        <x:v>验证幸运礼物编辑可查看RTP</x:v>
      </x:c>
      <x:c r="H152" s="4" t="str">
        <x:v>RTP展示</x:v>
      </x:c>
      <x:c r="I152" s="4" t="str">
        <x:v>1. 平台管理员账号已登录且具备当前页面权限</x:v>
      </x:c>
      <x:c r="J152" s="4" t="str">
        <x:v>1. 进入幸运礼物编辑
2. 查看RTP</x:v>
      </x:c>
      <x:c r="K152" s="4" t="str">
        <x:v>幸运礼物编辑显示“RTP”</x:v>
      </x:c>
      <x:c r="L152" s="4" t="str"/>
      <x:c r="M152" s="4" t="str">
        <x:v>未测</x:v>
      </x:c>
      <x:c r="N152" s="4" t="str"/>
      <x:c r="O152" s="4" t="str">
        <x:v>1. 来源（原型批注）：liveshow-proto/prototype/annotations/admin.js；admin-lucky-gift-detail.html
2. 页面：admin-lucky-gift-detail.html
3. 规则：BR-5E4A3C020FBF1F、BR-237BAA8A69AC56
4. 场景：SC-651ADB07BD5268
5. 未动态验证</x:v>
      </x:c>
    </x:row>
    <x:row r="153" ht="54" customHeight="1">
      <x:c r="A153" s="4" t="n">
        <x:v>152</x:v>
      </x:c>
      <x:c r="B153" s="4" t="str">
        <x:v>AGIFT-0071</x:v>
      </x:c>
      <x:c r="C153" s="4" t="str">
        <x:v>礼物与道具</x:v>
      </x:c>
      <x:c r="D153" s="4" t="str">
        <x:v>幸运礼物编辑（平台管理员视角）</x:v>
      </x:c>
      <x:c r="E153" s="4" t="str">
        <x:v>功能需求</x:v>
      </x:c>
      <x:c r="F153" s="4" t="str">
        <x:v>P2</x:v>
      </x:c>
      <x:c r="G153" s="4" t="str">
        <x:v>验证RTP 未验证时的幸运礼物编辑结果</x:v>
      </x:c>
      <x:c r="H153" s="4" t="str">
        <x:v>幸运礼物编辑条件结果</x:v>
      </x:c>
      <x:c r="I153" s="4" t="str">
        <x:v>1. 平台管理员账号已登录且具备当前页面权限
2. RTP 未验证</x:v>
      </x:c>
      <x:c r="J153" s="4" t="str">
        <x:v>1. 进入幸运礼物编辑
2. 查看幸运礼物编辑</x:v>
      </x:c>
      <x:c r="K153" s="4" t="str">
        <x:v>不得生效</x:v>
      </x:c>
      <x:c r="L153" s="4" t="str"/>
      <x:c r="M153" s="4" t="str">
        <x:v>未测</x:v>
      </x:c>
      <x:c r="N153" s="4" t="str"/>
      <x:c r="O153" s="4" t="str">
        <x:v>1. 来源（原型批注）：liveshow-proto/prototype/annotations/admin.js；admin-lucky-gift-detail.html
2. 页面：admin-lucky-gift-detail.html
3. 规则：BR-CBAE60EE5B7C0D
4. 场景：SC-59757C99F50F98
5. 未动态验证</x:v>
      </x:c>
    </x:row>
    <x:row r="154" ht="54" customHeight="1">
      <x:c r="A154" s="4" t="n">
        <x:v>153</x:v>
      </x:c>
      <x:c r="B154" s="4" t="str">
        <x:v>ACONT-0001</x:v>
      </x:c>
      <x:c r="C154" s="4" t="str">
        <x:v>内容审核</x:v>
      </x:c>
      <x:c r="D154" s="4" t="str">
        <x:v>举报详情（平台管理员视角）</x:v>
      </x:c>
      <x:c r="E154" s="4" t="str">
        <x:v>功能需求</x:v>
      </x:c>
      <x:c r="F154" s="4" t="str">
        <x:v>P1</x:v>
      </x:c>
      <x:c r="G154" s="4" t="str">
        <x:v>验证举报详情可查看举报对象</x:v>
      </x:c>
      <x:c r="H154" s="4" t="str">
        <x:v>举报对象展示</x:v>
      </x:c>
      <x:c r="I154" s="4" t="str">
        <x:v>1. 平台管理员账号已登录且具备当前页面权限</x:v>
      </x:c>
      <x:c r="J154" s="4" t="str">
        <x:v>1. 进入举报详情
2. 查看举报对象</x:v>
      </x:c>
      <x:c r="K154" s="4" t="str">
        <x:v>举报详情显示“举报对象”</x:v>
      </x:c>
      <x:c r="L154" s="4" t="str"/>
      <x:c r="M154" s="4" t="str">
        <x:v>未测</x:v>
      </x:c>
      <x:c r="N154" s="4" t="str"/>
      <x:c r="O154" s="4" t="str">
        <x:v>1. 来源（原型批注）：liveshow-proto/prototype/annotations/admin.js；admin-report-detail.html
2. 页面：admin-report-detail.html
3. 规则：BR-13E9C3412830B5、BR-DB6BBCB3159805
4. 场景：SC-A9F1890697674E
5. 未动态验证</x:v>
      </x:c>
    </x:row>
    <x:row r="155" ht="54" customHeight="1">
      <x:c r="A155" s="4" t="n">
        <x:v>154</x:v>
      </x:c>
      <x:c r="B155" s="4" t="str">
        <x:v>ACONT-0002</x:v>
      </x:c>
      <x:c r="C155" s="4" t="str">
        <x:v>内容审核</x:v>
      </x:c>
      <x:c r="D155" s="4" t="str">
        <x:v>举报详情（平台管理员视角）</x:v>
      </x:c>
      <x:c r="E155" s="4" t="str">
        <x:v>功能需求</x:v>
      </x:c>
      <x:c r="F155" s="4" t="str">
        <x:v>P1</x:v>
      </x:c>
      <x:c r="G155" s="4" t="str">
        <x:v>验证举报详情可查看内容 / 证据</x:v>
      </x:c>
      <x:c r="H155" s="4" t="str">
        <x:v>内容 / 证据展示</x:v>
      </x:c>
      <x:c r="I155" s="4" t="str">
        <x:v>1. 平台管理员账号已登录且具备当前页面权限</x:v>
      </x:c>
      <x:c r="J155" s="4" t="str">
        <x:v>1. 进入举报详情
2. 查看内容 / 证据</x:v>
      </x:c>
      <x:c r="K155" s="4" t="str">
        <x:v>举报详情显示“内容 / 证据”</x:v>
      </x:c>
      <x:c r="L155" s="4" t="str"/>
      <x:c r="M155" s="4" t="str">
        <x:v>未测</x:v>
      </x:c>
      <x:c r="N155" s="4" t="str"/>
      <x:c r="O155" s="4" t="str">
        <x:v>1. 来源（原型批注）：liveshow-proto/prototype/annotations/admin.js；admin-report-detail.html
2. 页面：admin-report-detail.html
3. 规则：BR-CC349F66B621E5
4. 场景：SC-3AD6BA6DB8ADFB
5. 未动态验证</x:v>
      </x:c>
    </x:row>
    <x:row r="156" ht="54" customHeight="1">
      <x:c r="A156" s="4" t="n">
        <x:v>155</x:v>
      </x:c>
      <x:c r="B156" s="4" t="str">
        <x:v>ACONT-0003</x:v>
      </x:c>
      <x:c r="C156" s="4" t="str">
        <x:v>内容审核</x:v>
      </x:c>
      <x:c r="D156" s="4" t="str">
        <x:v>举报详情（平台管理员视角）</x:v>
      </x:c>
      <x:c r="E156" s="4" t="str">
        <x:v>功能需求</x:v>
      </x:c>
      <x:c r="F156" s="4" t="str">
        <x:v>P1</x:v>
      </x:c>
      <x:c r="G156" s="4" t="str">
        <x:v>验证举报详情可查看通知</x:v>
      </x:c>
      <x:c r="H156" s="4" t="str">
        <x:v>通知展示</x:v>
      </x:c>
      <x:c r="I156" s="4" t="str">
        <x:v>1. 平台管理员账号已登录且具备当前页面权限</x:v>
      </x:c>
      <x:c r="J156" s="4" t="str">
        <x:v>1. 进入举报详情
2. 查看通知</x:v>
      </x:c>
      <x:c r="K156" s="4" t="str">
        <x:v>举报详情显示“通知”</x:v>
      </x:c>
      <x:c r="L156" s="4" t="str"/>
      <x:c r="M156" s="4" t="str">
        <x:v>未测</x:v>
      </x:c>
      <x:c r="N156" s="4" t="str"/>
      <x:c r="O156" s="4" t="str">
        <x:v>1. 来源（原型批注）：liveshow-proto/prototype/annotations/admin.js；admin-report-detail.html
2. 页面：admin-report-detail.html
3. 规则：BR-F011BF41F6A854、BR-EEE4B52312AD1F
4. 场景：SC-4C8F5408F92397
5. 未动态验证</x:v>
      </x:c>
    </x:row>
    <x:row r="157" ht="54" customHeight="1">
      <x:c r="A157" s="4" t="n">
        <x:v>156</x:v>
      </x:c>
      <x:c r="B157" s="4" t="str">
        <x:v>ACONT-0004</x:v>
      </x:c>
      <x:c r="C157" s="4" t="str">
        <x:v>内容审核</x:v>
      </x:c>
      <x:c r="D157" s="4" t="str">
        <x:v>举报详情（平台管理员视角）</x:v>
      </x:c>
      <x:c r="E157" s="4" t="str">
        <x:v>功能需求</x:v>
      </x:c>
      <x:c r="F157" s="4" t="str">
        <x:v>P1</x:v>
      </x:c>
      <x:c r="G157" s="4" t="str">
        <x:v>验证执行处罚时的举报详情结果</x:v>
      </x:c>
      <x:c r="H157" s="4" t="str">
        <x:v>举报详情条件结果</x:v>
      </x:c>
      <x:c r="I157" s="4" t="str">
        <x:v>1. 平台管理员账号已登录且具备当前页面权限
2. 执行处罚</x:v>
      </x:c>
      <x:c r="J157" s="4" t="str">
        <x:v>1. 进入举报详情
2. 查看举报详情</x:v>
      </x:c>
      <x:c r="K157" s="4" t="str">
        <x:v>必填并写入日志</x:v>
      </x:c>
      <x:c r="L157" s="4" t="str"/>
      <x:c r="M157" s="4" t="str">
        <x:v>未测</x:v>
      </x:c>
      <x:c r="N157" s="4" t="str"/>
      <x:c r="O157" s="4" t="str">
        <x:v>1. 来源（原型批注）：liveshow-proto/prototype/annotations/admin.js；admin-report-detail.html
2. 页面：admin-report-detail.html
3. 规则：BR-029E24ADF6C83B
4. 场景：SC-8C71D9DFF00AFF
5. 未动态验证</x:v>
      </x:c>
    </x:row>
    <x:row r="158" ht="54" customHeight="1">
      <x:c r="A158" s="4" t="n">
        <x:v>157</x:v>
      </x:c>
      <x:c r="B158" s="4" t="str">
        <x:v>ACONT-0005</x:v>
      </x:c>
      <x:c r="C158" s="4" t="str">
        <x:v>内容审核</x:v>
      </x:c>
      <x:c r="D158" s="4" t="str">
        <x:v>内容审核（平台管理员视角）</x:v>
      </x:c>
      <x:c r="E158" s="4" t="str">
        <x:v>功能需求</x:v>
      </x:c>
      <x:c r="F158" s="4" t="str">
        <x:v>P1</x:v>
      </x:c>
      <x:c r="G158" s="4" t="str">
        <x:v>验证内容审核可查看处置结果</x:v>
      </x:c>
      <x:c r="H158" s="4" t="str">
        <x:v>处置结果展示</x:v>
      </x:c>
      <x:c r="I158" s="4" t="str">
        <x:v>1. 平台管理员账号已登录且具备当前页面权限</x:v>
      </x:c>
      <x:c r="J158" s="4" t="str">
        <x:v>1. 进入内容审核
2. 查看处置结果</x:v>
      </x:c>
      <x:c r="K158" s="4" t="str">
        <x:v>内容审核显示“处置结果”</x:v>
      </x:c>
      <x:c r="L158" s="4" t="str"/>
      <x:c r="M158" s="4" t="str">
        <x:v>未测</x:v>
      </x:c>
      <x:c r="N158" s="4" t="str"/>
      <x:c r="O158" s="4" t="str">
        <x:v>1. 来源（原型批注）：liveshow-proto/prototype/annotations/admin.js；admin-content-audit.html
2. 页面：admin-content-audit.html
3. 规则：BR-4537F075CA22C9、BR-48EC77C1EB2BBA
4. 场景：SC-CC6A5E85955FD2
5. 未动态验证</x:v>
      </x:c>
    </x:row>
    <x:row r="159" ht="54" customHeight="1">
      <x:c r="A159" s="4" t="n">
        <x:v>158</x:v>
      </x:c>
      <x:c r="B159" s="4" t="str">
        <x:v>ACONT-0006</x:v>
      </x:c>
      <x:c r="C159" s="4" t="str">
        <x:v>内容审核</x:v>
      </x:c>
      <x:c r="D159" s="4" t="str">
        <x:v>内容审核（平台管理员视角）</x:v>
      </x:c>
      <x:c r="E159" s="4" t="str">
        <x:v>功能需求</x:v>
      </x:c>
      <x:c r="F159" s="4" t="str">
        <x:v>P1</x:v>
      </x:c>
      <x:c r="G159" s="4" t="str">
        <x:v>验证内容审核可查看告警截图</x:v>
      </x:c>
      <x:c r="H159" s="4" t="str">
        <x:v>告警截图展示</x:v>
      </x:c>
      <x:c r="I159" s="4" t="str">
        <x:v>1. 平台管理员账号已登录且具备当前页面权限</x:v>
      </x:c>
      <x:c r="J159" s="4" t="str">
        <x:v>1. 进入内容审核
2. 查看告警截图</x:v>
      </x:c>
      <x:c r="K159" s="4" t="str">
        <x:v>内容审核显示“告警截图”</x:v>
      </x:c>
      <x:c r="L159" s="4" t="str"/>
      <x:c r="M159" s="4" t="str">
        <x:v>未测</x:v>
      </x:c>
      <x:c r="N159" s="4" t="str"/>
      <x:c r="O159" s="4" t="str">
        <x:v>1. 来源（原型批注）：liveshow-proto/prototype/annotations/admin.js；admin-content-audit.html
2. 页面：admin-content-audit.html
3. 规则：BR-09E31E6405E238
4. 场景：SC-3FBBC577D32632
5. 未动态验证</x:v>
      </x:c>
    </x:row>
    <x:row r="160" ht="54" customHeight="1">
      <x:c r="A160" s="4" t="n">
        <x:v>159</x:v>
      </x:c>
      <x:c r="B160" s="4" t="str">
        <x:v>ACONT-0007</x:v>
      </x:c>
      <x:c r="C160" s="4" t="str">
        <x:v>内容审核</x:v>
      </x:c>
      <x:c r="D160" s="4" t="str">
        <x:v>内容审核（平台管理员视角）</x:v>
      </x:c>
      <x:c r="E160" s="4" t="str">
        <x:v>功能需求</x:v>
      </x:c>
      <x:c r="F160" s="4" t="str">
        <x:v>P1</x:v>
      </x:c>
      <x:c r="G160" s="4" t="str">
        <x:v>验证内容审核可查看命中类型 / 风险等级</x:v>
      </x:c>
      <x:c r="H160" s="4" t="str">
        <x:v>命中类型 / 风险等级展示</x:v>
      </x:c>
      <x:c r="I160" s="4" t="str">
        <x:v>1. 平台管理员账号已登录且具备当前页面权限</x:v>
      </x:c>
      <x:c r="J160" s="4" t="str">
        <x:v>1. 进入内容审核
2. 查看命中类型 / 风险等级</x:v>
      </x:c>
      <x:c r="K160" s="4" t="str">
        <x:v>内容审核显示“命中类型 / 风险等级”</x:v>
      </x:c>
      <x:c r="L160" s="4" t="str"/>
      <x:c r="M160" s="4" t="str">
        <x:v>未测</x:v>
      </x:c>
      <x:c r="N160" s="4" t="str"/>
      <x:c r="O160" s="4" t="str">
        <x:v>1. 来源（原型批注）：liveshow-proto/prototype/annotations/admin.js；admin-content-audit.html
2. 页面：admin-content-audit.html
3. 规则：BR-B85A7BAB88F250
4. 场景：SC-1F63585538441C
5. 未动态验证</x:v>
      </x:c>
    </x:row>
    <x:row r="161" ht="54" customHeight="1">
      <x:c r="A161" s="4" t="n">
        <x:v>160</x:v>
      </x:c>
      <x:c r="B161" s="4" t="str">
        <x:v>ACONT-0008</x:v>
      </x:c>
      <x:c r="C161" s="4" t="str">
        <x:v>内容审核</x:v>
      </x:c>
      <x:c r="D161" s="4" t="str">
        <x:v>内容审核（平台管理员视角）</x:v>
      </x:c>
      <x:c r="E161" s="4" t="str">
        <x:v>功能需求</x:v>
      </x:c>
      <x:c r="F161" s="4" t="str">
        <x:v>P1</x:v>
      </x:c>
      <x:c r="G161" s="4" t="str">
        <x:v>验证内容审核可查看审核单号</x:v>
      </x:c>
      <x:c r="H161" s="4" t="str">
        <x:v>审核单号展示</x:v>
      </x:c>
      <x:c r="I161" s="4" t="str">
        <x:v>1. 平台管理员账号已登录且具备当前页面权限</x:v>
      </x:c>
      <x:c r="J161" s="4" t="str">
        <x:v>1. 进入内容审核
2. 查看审核单号</x:v>
      </x:c>
      <x:c r="K161" s="4" t="str">
        <x:v>内容审核显示“审核单号”</x:v>
      </x:c>
      <x:c r="L161" s="4" t="str"/>
      <x:c r="M161" s="4" t="str">
        <x:v>未测</x:v>
      </x:c>
      <x:c r="N161" s="4" t="str"/>
      <x:c r="O161" s="4" t="str">
        <x:v>1. 来源（原型批注）：liveshow-proto/prototype/annotations/admin.js；admin-content-audit.html
2. 页面：admin-content-audit.html
3. 规则：BR-6CC6068F15C022
4. 场景：SC-6E0E231CE90FF0
5. 未动态验证</x:v>
      </x:c>
    </x:row>
    <x:row r="162" ht="54" customHeight="1">
      <x:c r="A162" s="4" t="n">
        <x:v>161</x:v>
      </x:c>
      <x:c r="B162" s="4" t="str">
        <x:v>ACONT-0009</x:v>
      </x:c>
      <x:c r="C162" s="4" t="str">
        <x:v>内容审核</x:v>
      </x:c>
      <x:c r="D162" s="4" t="str">
        <x:v>内容审核（平台管理员视角）</x:v>
      </x:c>
      <x:c r="E162" s="4" t="str">
        <x:v>功能需求</x:v>
      </x:c>
      <x:c r="F162" s="4" t="str">
        <x:v>P1</x:v>
      </x:c>
      <x:c r="G162" s="4" t="str">
        <x:v>验证内容审核可查看审核状态</x:v>
      </x:c>
      <x:c r="H162" s="4" t="str">
        <x:v>审核状态展示</x:v>
      </x:c>
      <x:c r="I162" s="4" t="str">
        <x:v>1. 平台管理员账号已登录且具备当前页面权限</x:v>
      </x:c>
      <x:c r="J162" s="4" t="str">
        <x:v>1. 进入内容审核
2. 查看审核状态</x:v>
      </x:c>
      <x:c r="K162" s="4" t="str">
        <x:v>内容审核显示“审核状态”</x:v>
      </x:c>
      <x:c r="L162" s="4" t="str"/>
      <x:c r="M162" s="4" t="str">
        <x:v>未测</x:v>
      </x:c>
      <x:c r="N162" s="4" t="str"/>
      <x:c r="O162" s="4" t="str">
        <x:v>1. 来源（原型批注）：liveshow-proto/prototype/annotations/admin.js；admin-content-audit.html
2. 页面：admin-content-audit.html
3. 规则：BR-464D0278568277
4. 场景：SC-16C263F9DD5F5B
5. 未动态验证</x:v>
      </x:c>
    </x:row>
    <x:row r="163" ht="54" customHeight="1">
      <x:c r="A163" s="4" t="n">
        <x:v>162</x:v>
      </x:c>
      <x:c r="B163" s="4" t="str">
        <x:v>ACONT-0010</x:v>
      </x:c>
      <x:c r="C163" s="4" t="str">
        <x:v>内容审核</x:v>
      </x:c>
      <x:c r="D163" s="4" t="str">
        <x:v>内容审核详情（平台管理员视角）</x:v>
      </x:c>
      <x:c r="E163" s="4" t="str">
        <x:v>功能需求</x:v>
      </x:c>
      <x:c r="F163" s="4" t="str">
        <x:v>P1</x:v>
      </x:c>
      <x:c r="G163" s="4" t="str">
        <x:v>验证内容审核详情可查看处置类型</x:v>
      </x:c>
      <x:c r="H163" s="4" t="str">
        <x:v>处置类型展示</x:v>
      </x:c>
      <x:c r="I163" s="4" t="str">
        <x:v>1. 平台管理员账号已登录且具备当前页面权限</x:v>
      </x:c>
      <x:c r="J163" s="4" t="str">
        <x:v>1. 进入内容审核详情
2. 查看处置类型</x:v>
      </x:c>
      <x:c r="K163" s="4" t="str">
        <x:v>内容审核详情显示“处置类型”</x:v>
      </x:c>
      <x:c r="L163" s="4" t="str"/>
      <x:c r="M163" s="4" t="str">
        <x:v>未测</x:v>
      </x:c>
      <x:c r="N163" s="4" t="str"/>
      <x:c r="O163" s="4" t="str">
        <x:v>1. 来源（原型批注）：liveshow-proto/prototype/annotations/admin.js；admin-content-audit-detail.html
2. 页面：admin-content-audit-detail.html
3. 规则：BR-54B4A60A37BFC4
4. 场景：SC-5B35C051A11E54
5. 未动态验证</x:v>
      </x:c>
    </x:row>
    <x:row r="164" ht="54" customHeight="1">
      <x:c r="A164" s="4" t="n">
        <x:v>163</x:v>
      </x:c>
      <x:c r="B164" s="4" t="str">
        <x:v>ACONT-0011</x:v>
      </x:c>
      <x:c r="C164" s="4" t="str">
        <x:v>内容审核</x:v>
      </x:c>
      <x:c r="D164" s="4" t="str">
        <x:v>内容审核详情（平台管理员视角）</x:v>
      </x:c>
      <x:c r="E164" s="4" t="str">
        <x:v>功能需求</x:v>
      </x:c>
      <x:c r="F164" s="4" t="str">
        <x:v>P1</x:v>
      </x:c>
      <x:c r="G164" s="4" t="str">
        <x:v>验证内容审核详情可查看处置原因</x:v>
      </x:c>
      <x:c r="H164" s="4" t="str">
        <x:v>处置原因展示</x:v>
      </x:c>
      <x:c r="I164" s="4" t="str">
        <x:v>1. 平台管理员账号已登录且具备当前页面权限</x:v>
      </x:c>
      <x:c r="J164" s="4" t="str">
        <x:v>1. 进入内容审核详情
2. 查看处置原因</x:v>
      </x:c>
      <x:c r="K164" s="4" t="str">
        <x:v>内容审核详情显示“处置原因”</x:v>
      </x:c>
      <x:c r="L164" s="4" t="str"/>
      <x:c r="M164" s="4" t="str">
        <x:v>未测</x:v>
      </x:c>
      <x:c r="N164" s="4" t="str"/>
      <x:c r="O164" s="4" t="str">
        <x:v>1. 来源（原型批注）：liveshow-proto/prototype/annotations/admin.js；admin-content-audit-detail.html
2. 页面：admin-content-audit-detail.html
3. 规则：BR-D10F25B93F08B3
4. 场景：SC-AD45FDEB8AA668
5. 未动态验证</x:v>
      </x:c>
    </x:row>
    <x:row r="165" ht="54" customHeight="1">
      <x:c r="A165" s="4" t="n">
        <x:v>164</x:v>
      </x:c>
      <x:c r="B165" s="4" t="str">
        <x:v>ACONT-0012</x:v>
      </x:c>
      <x:c r="C165" s="4" t="str">
        <x:v>内容审核</x:v>
      </x:c>
      <x:c r="D165" s="4" t="str">
        <x:v>内容审核详情（平台管理员视角）</x:v>
      </x:c>
      <x:c r="E165" s="4" t="str">
        <x:v>功能需求</x:v>
      </x:c>
      <x:c r="F165" s="4" t="str">
        <x:v>P1</x:v>
      </x:c>
      <x:c r="G165" s="4" t="str">
        <x:v>验证内容审核详情可查看告警材料</x:v>
      </x:c>
      <x:c r="H165" s="4" t="str">
        <x:v>告警材料展示</x:v>
      </x:c>
      <x:c r="I165" s="4" t="str">
        <x:v>1. 平台管理员账号已登录且具备当前页面权限</x:v>
      </x:c>
      <x:c r="J165" s="4" t="str">
        <x:v>1. 进入内容审核详情
2. 查看告警材料</x:v>
      </x:c>
      <x:c r="K165" s="4" t="str">
        <x:v>内容审核详情显示“告警材料”</x:v>
      </x:c>
      <x:c r="L165" s="4" t="str"/>
      <x:c r="M165" s="4" t="str">
        <x:v>未测</x:v>
      </x:c>
      <x:c r="N165" s="4" t="str"/>
      <x:c r="O165" s="4" t="str">
        <x:v>1. 来源（原型批注）：liveshow-proto/prototype/annotations/admin.js；admin-content-audit-detail.html
2. 页面：admin-content-audit-detail.html
3. 规则：BR-4E50F40B3C49E0
4. 场景：SC-4A33E214D92603
5. 未动态验证</x:v>
      </x:c>
    </x:row>
    <x:row r="166" ht="54" customHeight="1">
      <x:c r="A166" s="4" t="n">
        <x:v>165</x:v>
      </x:c>
      <x:c r="B166" s="4" t="str">
        <x:v>ACONT-0013</x:v>
      </x:c>
      <x:c r="C166" s="4" t="str">
        <x:v>内容审核</x:v>
      </x:c>
      <x:c r="D166" s="4" t="str">
        <x:v>内容审核详情（平台管理员视角）</x:v>
      </x:c>
      <x:c r="E166" s="4" t="str">
        <x:v>功能需求</x:v>
      </x:c>
      <x:c r="F166" s="4" t="str">
        <x:v>P1</x:v>
      </x:c>
      <x:c r="G166" s="4" t="str">
        <x:v>验证内容审核详情可查看基础信息</x:v>
      </x:c>
      <x:c r="H166" s="4" t="str">
        <x:v>基础信息展示</x:v>
      </x:c>
      <x:c r="I166" s="4" t="str">
        <x:v>1. 平台管理员账号已登录且具备当前页面权限</x:v>
      </x:c>
      <x:c r="J166" s="4" t="str">
        <x:v>1. 进入内容审核详情
2. 查看基础信息</x:v>
      </x:c>
      <x:c r="K166" s="4" t="str">
        <x:v>内容审核详情显示“基础信息”</x:v>
      </x:c>
      <x:c r="L166" s="4" t="str"/>
      <x:c r="M166" s="4" t="str">
        <x:v>未测</x:v>
      </x:c>
      <x:c r="N166" s="4" t="str"/>
      <x:c r="O166" s="4" t="str">
        <x:v>1. 来源（原型批注）：liveshow-proto/prototype/annotations/admin.js；admin-content-audit-detail.html
2. 页面：admin-content-audit-detail.html
3. 规则：BR-79D2845C101DE8
4. 场景：SC-033BC0A5E77684
5. 未动态验证</x:v>
      </x:c>
    </x:row>
    <x:row r="167" ht="54" customHeight="1">
      <x:c r="A167" s="4" t="n">
        <x:v>166</x:v>
      </x:c>
      <x:c r="B167" s="4" t="str">
        <x:v>ACONT-0014</x:v>
      </x:c>
      <x:c r="C167" s="4" t="str">
        <x:v>内容审核</x:v>
      </x:c>
      <x:c r="D167" s="4" t="str">
        <x:v>违规类型（平台管理员视角）</x:v>
      </x:c>
      <x:c r="E167" s="4" t="str">
        <x:v>业务流程</x:v>
      </x:c>
      <x:c r="F167" s="4" t="str">
        <x:v>P1</x:v>
      </x:c>
      <x:c r="G167" s="4" t="str">
        <x:v>验证编辑后的违规类型状态</x:v>
      </x:c>
      <x:c r="H167" s="4" t="str">
        <x:v>违规类型状态</x:v>
      </x:c>
      <x:c r="I167" s="4" t="str">
        <x:v>1. 平台管理员账号已登录且具备当前页面权限
2. 编辑</x:v>
      </x:c>
      <x:c r="J167" s="4" t="str">
        <x:v>1. 进入违规类型
2. 刷新违规类型</x:v>
      </x:c>
      <x:c r="K167" s="4" t="str">
        <x:v>进入详情</x:v>
      </x:c>
      <x:c r="L167" s="4" t="str"/>
      <x:c r="M167" s="4" t="str">
        <x:v>未测</x:v>
      </x:c>
      <x:c r="N167" s="4" t="str"/>
      <x:c r="O167" s="4" t="str">
        <x:v>1. 来源（原型批注）：liveshow-proto/prototype/annotations/admin.js；admin-violation-types.html
2. 页面：admin-violation-types.html
3. 规则：BR-526023CD723997
4. 场景：SC-1EF1011C5A9CD9
5. 未动态验证</x:v>
      </x:c>
    </x:row>
    <x:row r="168" ht="54" customHeight="1">
      <x:c r="A168" s="4" t="n">
        <x:v>167</x:v>
      </x:c>
      <x:c r="B168" s="4" t="str">
        <x:v>ACONT-0015</x:v>
      </x:c>
      <x:c r="C168" s="4" t="str">
        <x:v>内容审核</x:v>
      </x:c>
      <x:c r="D168" s="4" t="str">
        <x:v>违规类型（平台管理员视角）</x:v>
      </x:c>
      <x:c r="E168" s="4" t="str">
        <x:v>功能需求</x:v>
      </x:c>
      <x:c r="F168" s="4" t="str">
        <x:v>P1</x:v>
      </x:c>
      <x:c r="G168" s="4" t="str">
        <x:v>验证列表中文，用户端按语言时的违规类型结果</x:v>
      </x:c>
      <x:c r="H168" s="4" t="str">
        <x:v>违规类型条件结果</x:v>
      </x:c>
      <x:c r="I168" s="4" t="str">
        <x:v>1. 平台管理员账号已登录且具备当前页面权限
2. 列表中文，用户端按语言</x:v>
      </x:c>
      <x:c r="J168" s="4" t="str">
        <x:v>1. 进入违规类型
2. 查看违规类型</x:v>
      </x:c>
      <x:c r="K168" s="4" t="str">
        <x:v>列表中文，用户端按语言展示</x:v>
      </x:c>
      <x:c r="L168" s="4" t="str"/>
      <x:c r="M168" s="4" t="str">
        <x:v>未测</x:v>
      </x:c>
      <x:c r="N168" s="4" t="str"/>
      <x:c r="O168" s="4" t="str">
        <x:v>1. 来源（原型批注）：liveshow-proto/prototype/annotations/admin.js；admin-violation-types.html
2. 页面：admin-violation-types.html
3. 规则：BR-B5BF66C5C78C58
4. 场景：SC-8E1EC008CDA341
5. 未动态验证</x:v>
      </x:c>
    </x:row>
    <x:row r="169" ht="54" customHeight="1">
      <x:c r="A169" s="4" t="n">
        <x:v>168</x:v>
      </x:c>
      <x:c r="B169" s="4" t="str">
        <x:v>ACONT-0016</x:v>
      </x:c>
      <x:c r="C169" s="4" t="str">
        <x:v>内容审核</x:v>
      </x:c>
      <x:c r="D169" s="4" t="str">
        <x:v>违规类型（平台管理员视角）</x:v>
      </x:c>
      <x:c r="E169" s="4" t="str">
        <x:v>业务流程</x:v>
      </x:c>
      <x:c r="F169" s="4" t="str">
        <x:v>P1</x:v>
      </x:c>
      <x:c r="G169" s="4" t="str">
        <x:v>验证删除后的违规类型状态</x:v>
      </x:c>
      <x:c r="H169" s="4" t="str">
        <x:v>违规类型状态</x:v>
      </x:c>
      <x:c r="I169" s="4" t="str">
        <x:v>1. 平台管理员账号已登录且具备当前页面权限</x:v>
      </x:c>
      <x:c r="J169" s="4" t="str">
        <x:v>1. 进入违规类型
2. 删除</x:v>
      </x:c>
      <x:c r="K169" s="4" t="str">
        <x:v>历史保留提交时名称</x:v>
      </x:c>
      <x:c r="L169" s="4" t="str"/>
      <x:c r="M169" s="4" t="str">
        <x:v>未测</x:v>
      </x:c>
      <x:c r="N169" s="4" t="str"/>
      <x:c r="O169" s="4" t="str">
        <x:v>1. 来源（原型批注）：liveshow-proto/prototype/annotations/admin.js；admin-violation-types.html
2. 页面：admin-violation-types.html
3. 规则：BR-0AAC39839E2F35
4. 场景：SC-CBF60008F68C8F
5. 未动态验证</x:v>
      </x:c>
    </x:row>
    <x:row r="170" ht="54" customHeight="1">
      <x:c r="A170" s="4" t="n">
        <x:v>169</x:v>
      </x:c>
      <x:c r="B170" s="4" t="str">
        <x:v>ACONT-0017</x:v>
      </x:c>
      <x:c r="C170" s="4" t="str">
        <x:v>内容审核</x:v>
      </x:c>
      <x:c r="D170" s="4" t="str">
        <x:v>违规类型（平台管理员视角）</x:v>
      </x:c>
      <x:c r="E170" s="4" t="str">
        <x:v>业务流程</x:v>
      </x:c>
      <x:c r="F170" s="4" t="str">
        <x:v>P1</x:v>
      </x:c>
      <x:c r="G170" s="4" t="str">
        <x:v>验证上下移后的违规类型状态</x:v>
      </x:c>
      <x:c r="H170" s="4" t="str">
        <x:v>违规类型状态</x:v>
      </x:c>
      <x:c r="I170" s="4" t="str">
        <x:v>1. 平台管理员账号已登录且具备当前页面权限
2. 上下移</x:v>
      </x:c>
      <x:c r="J170" s="4" t="str">
        <x:v>1. 进入违规类型
2. 刷新违规类型</x:v>
      </x:c>
      <x:c r="K170" s="4" t="str">
        <x:v>更新排序</x:v>
      </x:c>
      <x:c r="L170" s="4" t="str"/>
      <x:c r="M170" s="4" t="str">
        <x:v>未测</x:v>
      </x:c>
      <x:c r="N170" s="4" t="str"/>
      <x:c r="O170" s="4" t="str">
        <x:v>1. 来源（原型批注）：liveshow-proto/prototype/annotations/admin.js；admin-violation-types.html
2. 页面：admin-violation-types.html
3. 规则：BR-D7B8BFDFCF7A1B
4. 场景：SC-C6EA91176413D3
5. 未动态验证</x:v>
      </x:c>
    </x:row>
    <x:row r="171" ht="54" customHeight="1">
      <x:c r="A171" s="4" t="n">
        <x:v>170</x:v>
      </x:c>
      <x:c r="B171" s="4" t="str">
        <x:v>ACONT-0018</x:v>
      </x:c>
      <x:c r="C171" s="4" t="str">
        <x:v>内容审核</x:v>
      </x:c>
      <x:c r="D171" s="4" t="str">
        <x:v>违规类型（平台管理员视角）</x:v>
      </x:c>
      <x:c r="E171" s="4" t="str">
        <x:v>业务流程</x:v>
      </x:c>
      <x:c r="F171" s="4" t="str">
        <x:v>P1</x:v>
      </x:c>
      <x:c r="G171" s="4" t="str">
        <x:v>验证停用后的违规类型状态</x:v>
      </x:c>
      <x:c r="H171" s="4" t="str">
        <x:v>违规类型状态</x:v>
      </x:c>
      <x:c r="I171" s="4" t="str">
        <x:v>1. 平台管理员账号已登录且具备当前页面权限
2. 停用</x:v>
      </x:c>
      <x:c r="J171" s="4" t="str">
        <x:v>1. 进入违规类型
2. 刷新违规类型</x:v>
      </x:c>
      <x:c r="K171" s="4" t="str">
        <x:v>历史保留提交时名称</x:v>
      </x:c>
      <x:c r="L171" s="4" t="str"/>
      <x:c r="M171" s="4" t="str">
        <x:v>未测</x:v>
      </x:c>
      <x:c r="N171" s="4" t="str"/>
      <x:c r="O171" s="4" t="str">
        <x:v>1. 来源（原型批注）：liveshow-proto/prototype/annotations/admin.js；admin-violation-types.html
2. 页面：admin-violation-types.html
3. 规则：BR-0AAC39839E2F35
4. 场景：SC-F621CE51AB3996
5. 未动态验证</x:v>
      </x:c>
    </x:row>
    <x:row r="172" ht="54" customHeight="1">
      <x:c r="A172" s="4" t="n">
        <x:v>171</x:v>
      </x:c>
      <x:c r="B172" s="4" t="str">
        <x:v>ACONT-0019</x:v>
      </x:c>
      <x:c r="C172" s="4" t="str">
        <x:v>内容审核</x:v>
      </x:c>
      <x:c r="D172" s="4" t="str">
        <x:v>违规类型（平台管理员视角）</x:v>
      </x:c>
      <x:c r="E172" s="4" t="str">
        <x:v>功能需求</x:v>
      </x:c>
      <x:c r="F172" s="4" t="str">
        <x:v>P1</x:v>
      </x:c>
      <x:c r="G172" s="4" t="str">
        <x:v>验证违规类型可查看多语言名称</x:v>
      </x:c>
      <x:c r="H172" s="4" t="str">
        <x:v>多语言名称展示</x:v>
      </x:c>
      <x:c r="I172" s="4" t="str">
        <x:v>1. 平台管理员账号已登录且具备当前页面权限</x:v>
      </x:c>
      <x:c r="J172" s="4" t="str">
        <x:v>1. 进入违规类型
2. 查看多语言名称</x:v>
      </x:c>
      <x:c r="K172" s="4" t="str">
        <x:v>违规类型显示“多语言名称”</x:v>
      </x:c>
      <x:c r="L172" s="4" t="str"/>
      <x:c r="M172" s="4" t="str">
        <x:v>未测</x:v>
      </x:c>
      <x:c r="N172" s="4" t="str"/>
      <x:c r="O172" s="4" t="str">
        <x:v>1. 来源（原型批注）：liveshow-proto/prototype/annotations/admin.js；admin-violation-types.html
2. 页面：admin-violation-types.html
3. 规则：BR-B5BF66C5C78C58
4. 场景：SC-B3F93E2C9E6B06
5. 未动态验证</x:v>
      </x:c>
    </x:row>
    <x:row r="173" ht="54" customHeight="1">
      <x:c r="A173" s="4" t="n">
        <x:v>172</x:v>
      </x:c>
      <x:c r="B173" s="4" t="str">
        <x:v>ACONT-0020</x:v>
      </x:c>
      <x:c r="C173" s="4" t="str">
        <x:v>内容审核</x:v>
      </x:c>
      <x:c r="D173" s="4" t="str">
        <x:v>违规类型（平台管理员视角）</x:v>
      </x:c>
      <x:c r="E173" s="4" t="str">
        <x:v>功能需求</x:v>
      </x:c>
      <x:c r="F173" s="4" t="str">
        <x:v>P1</x:v>
      </x:c>
      <x:c r="G173" s="4" t="str">
        <x:v>验证违规类型可查看类型 ID</x:v>
      </x:c>
      <x:c r="H173" s="4" t="str">
        <x:v>类型 ID展示</x:v>
      </x:c>
      <x:c r="I173" s="4" t="str">
        <x:v>1. 平台管理员账号已登录且具备当前页面权限</x:v>
      </x:c>
      <x:c r="J173" s="4" t="str">
        <x:v>1. 进入违规类型
2. 查看类型 ID</x:v>
      </x:c>
      <x:c r="K173" s="4" t="str">
        <x:v>违规类型显示“类型 ID”</x:v>
      </x:c>
      <x:c r="L173" s="4" t="str"/>
      <x:c r="M173" s="4" t="str">
        <x:v>未测</x:v>
      </x:c>
      <x:c r="N173" s="4" t="str"/>
      <x:c r="O173" s="4" t="str">
        <x:v>1. 来源（原型批注）：liveshow-proto/prototype/annotations/admin.js；admin-violation-types.html
2. 页面：admin-violation-types.html
3. 规则：BR-EB56E9D8896898
4. 场景：SC-00800FF957498F
5. 未动态验证</x:v>
      </x:c>
    </x:row>
    <x:row r="174" ht="54" customHeight="1">
      <x:c r="A174" s="4" t="n">
        <x:v>173</x:v>
      </x:c>
      <x:c r="B174" s="4" t="str">
        <x:v>ACONT-0021</x:v>
      </x:c>
      <x:c r="C174" s="4" t="str">
        <x:v>内容审核</x:v>
      </x:c>
      <x:c r="D174" s="4" t="str">
        <x:v>违规类型（平台管理员视角）</x:v>
      </x:c>
      <x:c r="E174" s="4" t="str">
        <x:v>功能需求</x:v>
      </x:c>
      <x:c r="F174" s="4" t="str">
        <x:v>P1</x:v>
      </x:c>
      <x:c r="G174" s="4" t="str">
        <x:v>验证违规类型可查看类型属性</x:v>
      </x:c>
      <x:c r="H174" s="4" t="str">
        <x:v>类型属性展示</x:v>
      </x:c>
      <x:c r="I174" s="4" t="str">
        <x:v>1. 平台管理员账号已登录且具备当前页面权限</x:v>
      </x:c>
      <x:c r="J174" s="4" t="str">
        <x:v>1. 进入违规类型
2. 查看类型属性</x:v>
      </x:c>
      <x:c r="K174" s="4" t="str">
        <x:v>违规类型显示“类型属性”</x:v>
      </x:c>
      <x:c r="L174" s="4" t="str"/>
      <x:c r="M174" s="4" t="str">
        <x:v>未测</x:v>
      </x:c>
      <x:c r="N174" s="4" t="str"/>
      <x:c r="O174" s="4" t="str">
        <x:v>1. 来源（原型批注）：liveshow-proto/prototype/annotations/admin.js；admin-violation-types.html
2. 页面：admin-violation-types.html
3. 规则：BR-2C9C2F5BA8D885、BR-CF646F3856C36D
4. 场景：SC-D755B46D38D8BD
5. 未动态验证</x:v>
      </x:c>
    </x:row>
    <x:row r="175" ht="54" customHeight="1">
      <x:c r="A175" s="4" t="n">
        <x:v>174</x:v>
      </x:c>
      <x:c r="B175" s="4" t="str">
        <x:v>ACONT-0022</x:v>
      </x:c>
      <x:c r="C175" s="4" t="str">
        <x:v>内容审核</x:v>
      </x:c>
      <x:c r="D175" s="4" t="str">
        <x:v>违规类型（平台管理员视角）</x:v>
      </x:c>
      <x:c r="E175" s="4" t="str">
        <x:v>功能需求</x:v>
      </x:c>
      <x:c r="F175" s="4" t="str">
        <x:v>P1</x:v>
      </x:c>
      <x:c r="G175" s="4" t="str">
        <x:v>验证违规类型可查看排序</x:v>
      </x:c>
      <x:c r="H175" s="4" t="str">
        <x:v>排序展示</x:v>
      </x:c>
      <x:c r="I175" s="4" t="str">
        <x:v>1. 平台管理员账号已登录且具备当前页面权限</x:v>
      </x:c>
      <x:c r="J175" s="4" t="str">
        <x:v>1. 进入违规类型
2. 查看排序</x:v>
      </x:c>
      <x:c r="K175" s="4" t="str">
        <x:v>违规类型显示“排序”</x:v>
      </x:c>
      <x:c r="L175" s="4" t="str"/>
      <x:c r="M175" s="4" t="str">
        <x:v>未测</x:v>
      </x:c>
      <x:c r="N175" s="4" t="str"/>
      <x:c r="O175" s="4" t="str">
        <x:v>1. 来源（原型批注）：liveshow-proto/prototype/annotations/admin.js；admin-violation-types.html
2. 页面：admin-violation-types.html
3. 规则：BR-0D41C90B7FAE4B
4. 场景：SC-09F7C3EC0DFD5A
5. 未动态验证</x:v>
      </x:c>
    </x:row>
    <x:row r="176" ht="54" customHeight="1">
      <x:c r="A176" s="4" t="n">
        <x:v>175</x:v>
      </x:c>
      <x:c r="B176" s="4" t="str">
        <x:v>ACONT-0023</x:v>
      </x:c>
      <x:c r="C176" s="4" t="str">
        <x:v>内容审核</x:v>
      </x:c>
      <x:c r="D176" s="4" t="str">
        <x:v>违规类型（平台管理员视角）</x:v>
      </x:c>
      <x:c r="E176" s="4" t="str">
        <x:v>功能需求</x:v>
      </x:c>
      <x:c r="F176" s="4" t="str">
        <x:v>P1</x:v>
      </x:c>
      <x:c r="G176" s="4" t="str">
        <x:v>验证违规类型可查看状态</x:v>
      </x:c>
      <x:c r="H176" s="4" t="str">
        <x:v>状态展示</x:v>
      </x:c>
      <x:c r="I176" s="4" t="str">
        <x:v>1. 平台管理员账号已登录且具备当前页面权限</x:v>
      </x:c>
      <x:c r="J176" s="4" t="str">
        <x:v>1. 进入违规类型
2. 查看状态</x:v>
      </x:c>
      <x:c r="K176" s="4" t="str">
        <x:v>违规类型显示“状态”</x:v>
      </x:c>
      <x:c r="L176" s="4" t="str"/>
      <x:c r="M176" s="4" t="str">
        <x:v>未测</x:v>
      </x:c>
      <x:c r="N176" s="4" t="str"/>
      <x:c r="O176" s="4" t="str">
        <x:v>1. 来源（原型批注）：liveshow-proto/prototype/annotations/admin.js；admin-violation-types.html
2. 页面：admin-violation-types.html
3. 规则：BR-9BC9282B1C4472、BR-ED21E75CEF0CD8
4. 场景：SC-85CA1BC3A9EFE0
5. 未动态验证</x:v>
      </x:c>
    </x:row>
    <x:row r="177" ht="54" customHeight="1">
      <x:c r="A177" s="4" t="n">
        <x:v>176</x:v>
      </x:c>
      <x:c r="B177" s="4" t="str">
        <x:v>ACONT-0024</x:v>
      </x:c>
      <x:c r="C177" s="4" t="str">
        <x:v>内容审核</x:v>
      </x:c>
      <x:c r="D177" s="4" t="str">
        <x:v>违规类型编辑（平台管理员视角）</x:v>
      </x:c>
      <x:c r="E177" s="4" t="str">
        <x:v>业务流程</x:v>
      </x:c>
      <x:c r="F177" s="4" t="str">
        <x:v>P1</x:v>
      </x:c>
      <x:c r="G177" s="4" t="str">
        <x:v>验证保存后的违规类型编辑状态</x:v>
      </x:c>
      <x:c r="H177" s="4" t="str">
        <x:v>违规类型编辑状态</x:v>
      </x:c>
      <x:c r="I177" s="4" t="str">
        <x:v>1. 平台管理员账号已登录且具备当前页面权限</x:v>
      </x:c>
      <x:c r="J177" s="4" t="str">
        <x:v>1. 进入违规类型编辑
2. 保存</x:v>
      </x:c>
      <x:c r="K177" s="4" t="str">
        <x:v>校验四语、唯一性和排序</x:v>
      </x:c>
      <x:c r="L177" s="4" t="str"/>
      <x:c r="M177" s="4" t="str">
        <x:v>未测</x:v>
      </x:c>
      <x:c r="N177" s="4" t="str"/>
      <x:c r="O177" s="4" t="str">
        <x:v>1. 来源（原型批注）：liveshow-proto/prototype/annotations/admin.js；admin-violation-type-detail.html
2. 页面：admin-violation-type-detail.html
3. 规则：BR-E125205F13228F
4. 场景：SC-8F61A598859A11
5. 未动态验证</x:v>
      </x:c>
    </x:row>
    <x:row r="178" ht="54" customHeight="1">
      <x:c r="A178" s="4" t="n">
        <x:v>177</x:v>
      </x:c>
      <x:c r="B178" s="4" t="str">
        <x:v>ACONT-0025</x:v>
      </x:c>
      <x:c r="C178" s="4" t="str">
        <x:v>内容审核</x:v>
      </x:c>
      <x:c r="D178" s="4" t="str">
        <x:v>违规类型编辑（平台管理员视角）</x:v>
      </x:c>
      <x:c r="E178" s="4" t="str">
        <x:v>异常用例</x:v>
      </x:c>
      <x:c r="F178" s="4" t="str">
        <x:v>P1</x:v>
      </x:c>
      <x:c r="G178" s="4" t="str">
        <x:v>验证创建后的违规类型编辑状态</x:v>
      </x:c>
      <x:c r="H178" s="4" t="str">
        <x:v>违规类型编辑状态</x:v>
      </x:c>
      <x:c r="I178" s="4" t="str">
        <x:v>1. 平台管理员账号已登录且具备当前页面权限
2. 创建</x:v>
      </x:c>
      <x:c r="J178" s="4" t="str">
        <x:v>1. 进入违规类型编辑
2. 刷新违规类型编辑</x:v>
      </x:c>
      <x:c r="K178" s="4" t="str">
        <x:v>不可切换预置 / 自定义</x:v>
      </x:c>
      <x:c r="L178" s="4" t="str"/>
      <x:c r="M178" s="4" t="str">
        <x:v>未测</x:v>
      </x:c>
      <x:c r="N178" s="4" t="str"/>
      <x:c r="O178" s="4" t="str">
        <x:v>1. 来源（原型批注）：liveshow-proto/prototype/annotations/admin.js；admin-violation-type-detail.html
2. 页面：admin-violation-type-detail.html
3. 规则：BR-9810643753E6BF
4. 场景：SC-CE022253190FA4
5. 未动态验证</x:v>
      </x:c>
    </x:row>
    <x:row r="179" ht="54" customHeight="1">
      <x:c r="A179" s="4" t="n">
        <x:v>178</x:v>
      </x:c>
      <x:c r="B179" s="4" t="str">
        <x:v>ACONT-0026</x:v>
      </x:c>
      <x:c r="C179" s="4" t="str">
        <x:v>内容审核</x:v>
      </x:c>
      <x:c r="D179" s="4" t="str">
        <x:v>违规类型编辑（平台管理员视角）</x:v>
      </x:c>
      <x:c r="E179" s="4" t="str">
        <x:v>功能需求</x:v>
      </x:c>
      <x:c r="F179" s="4" t="str">
        <x:v>P1</x:v>
      </x:c>
      <x:c r="G179" s="4" t="str">
        <x:v>验证违规类型编辑可查看类型 ID</x:v>
      </x:c>
      <x:c r="H179" s="4" t="str">
        <x:v>类型 ID展示</x:v>
      </x:c>
      <x:c r="I179" s="4" t="str">
        <x:v>1. 平台管理员账号已登录且具备当前页面权限</x:v>
      </x:c>
      <x:c r="J179" s="4" t="str">
        <x:v>1. 进入违规类型编辑
2. 查看类型 ID</x:v>
      </x:c>
      <x:c r="K179" s="4" t="str">
        <x:v>违规类型编辑显示“类型 ID”</x:v>
      </x:c>
      <x:c r="L179" s="4" t="str"/>
      <x:c r="M179" s="4" t="str">
        <x:v>未测</x:v>
      </x:c>
      <x:c r="N179" s="4" t="str"/>
      <x:c r="O179" s="4" t="str">
        <x:v>1. 来源（原型批注）：liveshow-proto/prototype/annotations/admin.js；admin-violation-type-detail.html
2. 页面：admin-violation-type-detail.html
3. 规则：BR-5D388AF683E822
4. 场景：SC-06D7E7732BE497
5. 未动态验证</x:v>
      </x:c>
    </x:row>
    <x:row r="180" ht="54" customHeight="1">
      <x:c r="A180" s="4" t="n">
        <x:v>179</x:v>
      </x:c>
      <x:c r="B180" s="4" t="str">
        <x:v>ACONT-0027</x:v>
      </x:c>
      <x:c r="C180" s="4" t="str">
        <x:v>内容审核</x:v>
      </x:c>
      <x:c r="D180" s="4" t="str">
        <x:v>违规类型编辑（平台管理员视角）</x:v>
      </x:c>
      <x:c r="E180" s="4" t="str">
        <x:v>功能需求</x:v>
      </x:c>
      <x:c r="F180" s="4" t="str">
        <x:v>P1</x:v>
      </x:c>
      <x:c r="G180" s="4" t="str">
        <x:v>验证违规类型编辑可查看类型属性</x:v>
      </x:c>
      <x:c r="H180" s="4" t="str">
        <x:v>类型属性展示</x:v>
      </x:c>
      <x:c r="I180" s="4" t="str">
        <x:v>1. 平台管理员账号已登录且具备当前页面权限</x:v>
      </x:c>
      <x:c r="J180" s="4" t="str">
        <x:v>1. 进入违规类型编辑
2. 查看类型属性</x:v>
      </x:c>
      <x:c r="K180" s="4" t="str">
        <x:v>违规类型编辑显示“类型属性”</x:v>
      </x:c>
      <x:c r="L180" s="4" t="str"/>
      <x:c r="M180" s="4" t="str">
        <x:v>未测</x:v>
      </x:c>
      <x:c r="N180" s="4" t="str"/>
      <x:c r="O180" s="4" t="str">
        <x:v>1. 来源（原型批注）：liveshow-proto/prototype/annotations/admin.js；admin-violation-type-detail.html
2. 页面：admin-violation-type-detail.html
3. 规则：BR-9810643753E6BF
4. 场景：SC-1B6155EC120679
5. 未动态验证</x:v>
      </x:c>
    </x:row>
    <x:row r="181" ht="54" customHeight="1">
      <x:c r="A181" s="4" t="n">
        <x:v>180</x:v>
      </x:c>
      <x:c r="B181" s="4" t="str">
        <x:v>ACONT-0028</x:v>
      </x:c>
      <x:c r="C181" s="4" t="str">
        <x:v>内容审核</x:v>
      </x:c>
      <x:c r="D181" s="4" t="str">
        <x:v>违规类型编辑（平台管理员视角）</x:v>
      </x:c>
      <x:c r="E181" s="4" t="str">
        <x:v>功能需求</x:v>
      </x:c>
      <x:c r="F181" s="4" t="str">
        <x:v>P1</x:v>
      </x:c>
      <x:c r="G181" s="4" t="str">
        <x:v>验证违规类型编辑可查看排序</x:v>
      </x:c>
      <x:c r="H181" s="4" t="str">
        <x:v>排序展示</x:v>
      </x:c>
      <x:c r="I181" s="4" t="str">
        <x:v>1. 平台管理员账号已登录且具备当前页面权限</x:v>
      </x:c>
      <x:c r="J181" s="4" t="str">
        <x:v>1. 进入违规类型编辑
2. 查看排序</x:v>
      </x:c>
      <x:c r="K181" s="4" t="str">
        <x:v>违规类型编辑显示“排序”</x:v>
      </x:c>
      <x:c r="L181" s="4" t="str"/>
      <x:c r="M181" s="4" t="str">
        <x:v>未测</x:v>
      </x:c>
      <x:c r="N181" s="4" t="str"/>
      <x:c r="O181" s="4" t="str">
        <x:v>1. 来源（原型批注）：liveshow-proto/prototype/annotations/admin.js；admin-violation-type-detail.html
2. 页面：admin-violation-type-detail.html
3. 规则：BR-D529FF7F9D8B40
4. 场景：SC-98473C33DD6BB7
5. 未动态验证</x:v>
      </x:c>
    </x:row>
    <x:row r="182" ht="54" customHeight="1">
      <x:c r="A182" s="4" t="n">
        <x:v>181</x:v>
      </x:c>
      <x:c r="B182" s="4" t="str">
        <x:v>ACONT-0029</x:v>
      </x:c>
      <x:c r="C182" s="4" t="str">
        <x:v>内容审核</x:v>
      </x:c>
      <x:c r="D182" s="4" t="str">
        <x:v>违规类型编辑（平台管理员视角）</x:v>
      </x:c>
      <x:c r="E182" s="4" t="str">
        <x:v>功能需求</x:v>
      </x:c>
      <x:c r="F182" s="4" t="str">
        <x:v>P1</x:v>
      </x:c>
      <x:c r="G182" s="4" t="str">
        <x:v>验证违规类型编辑可查看四语名称</x:v>
      </x:c>
      <x:c r="H182" s="4" t="str">
        <x:v>四语名称展示</x:v>
      </x:c>
      <x:c r="I182" s="4" t="str">
        <x:v>1. 平台管理员账号已登录且具备当前页面权限</x:v>
      </x:c>
      <x:c r="J182" s="4" t="str">
        <x:v>1. 进入违规类型编辑
2. 查看四语名称</x:v>
      </x:c>
      <x:c r="K182" s="4" t="str">
        <x:v>违规类型编辑显示“四语名称”</x:v>
      </x:c>
      <x:c r="L182" s="4" t="str"/>
      <x:c r="M182" s="4" t="str">
        <x:v>未测</x:v>
      </x:c>
      <x:c r="N182" s="4" t="str"/>
      <x:c r="O182" s="4" t="str">
        <x:v>1. 来源（原型批注）：liveshow-proto/prototype/annotations/admin.js；admin-violation-type-detail.html
2. 页面：admin-violation-type-detail.html
3. 规则：BR-BE69C08679963A
4. 场景：SC-44990CA1378A57
5. 未动态验证</x:v>
      </x:c>
    </x:row>
    <x:row r="183" ht="54" customHeight="1">
      <x:c r="A183" s="4" t="n">
        <x:v>182</x:v>
      </x:c>
      <x:c r="B183" s="4" t="str">
        <x:v>ACONT-0030</x:v>
      </x:c>
      <x:c r="C183" s="4" t="str">
        <x:v>内容审核</x:v>
      </x:c>
      <x:c r="D183" s="4" t="str">
        <x:v>违规类型编辑（平台管理员视角）</x:v>
      </x:c>
      <x:c r="E183" s="4" t="str">
        <x:v>功能需求</x:v>
      </x:c>
      <x:c r="F183" s="4" t="str">
        <x:v>P1</x:v>
      </x:c>
      <x:c r="G183" s="4" t="str">
        <x:v>验证违规类型编辑可查看状态</x:v>
      </x:c>
      <x:c r="H183" s="4" t="str">
        <x:v>状态展示</x:v>
      </x:c>
      <x:c r="I183" s="4" t="str">
        <x:v>1. 平台管理员账号已登录且具备当前页面权限</x:v>
      </x:c>
      <x:c r="J183" s="4" t="str">
        <x:v>1. 进入违规类型编辑
2. 查看状态</x:v>
      </x:c>
      <x:c r="K183" s="4" t="str">
        <x:v>违规类型编辑显示“状态”</x:v>
      </x:c>
      <x:c r="L183" s="4" t="str"/>
      <x:c r="M183" s="4" t="str">
        <x:v>未测</x:v>
      </x:c>
      <x:c r="N183" s="4" t="str"/>
      <x:c r="O183" s="4" t="str">
        <x:v>1. 来源（原型批注）：liveshow-proto/prototype/annotations/admin.js；admin-violation-type-detail.html
2. 页面：admin-violation-type-detail.html
3. 规则：BR-163C498AE572BE
4. 场景：SC-E26F53DCF17DD0
5. 未动态验证</x:v>
      </x:c>
    </x:row>
    <x:row r="184" ht="54" customHeight="1">
      <x:c r="A184" s="4" t="n">
        <x:v>183</x:v>
      </x:c>
      <x:c r="B184" s="4" t="str">
        <x:v>ACONT-0031</x:v>
      </x:c>
      <x:c r="C184" s="4" t="str">
        <x:v>内容审核</x:v>
      </x:c>
      <x:c r="D184" s="4" t="str">
        <x:v>账号违规（平台管理员视角）</x:v>
      </x:c>
      <x:c r="E184" s="4" t="str">
        <x:v>业务流程</x:v>
      </x:c>
      <x:c r="F184" s="4" t="str">
        <x:v>P1</x:v>
      </x:c>
      <x:c r="G184" s="4" t="str">
        <x:v>验证查看后的账号违规状态</x:v>
      </x:c>
      <x:c r="H184" s="4" t="str">
        <x:v>账号违规状态</x:v>
      </x:c>
      <x:c r="I184" s="4" t="str">
        <x:v>1. 平台管理员账号已登录且具备当前页面权限</x:v>
      </x:c>
      <x:c r="J184" s="4" t="str">
        <x:v>1. 进入账号违规
2. 查看</x:v>
      </x:c>
      <x:c r="K184" s="4" t="str">
        <x:v>进入详情处理或查看结果</x:v>
      </x:c>
      <x:c r="L184" s="4" t="str"/>
      <x:c r="M184" s="4" t="str">
        <x:v>未测</x:v>
      </x:c>
      <x:c r="N184" s="4" t="str"/>
      <x:c r="O184" s="4" t="str">
        <x:v>1. 来源（原型批注）：liveshow-proto/prototype/annotations/admin.js；admin-account-violation.html
2. 页面：admin-account-violation.html
3. 规则：BR-AD5992B4E82413
4. 场景：SC-9C90FF0E8382FE
5. 未动态验证</x:v>
      </x:c>
    </x:row>
    <x:row r="185" ht="54" customHeight="1">
      <x:c r="A185" s="4" t="n">
        <x:v>184</x:v>
      </x:c>
      <x:c r="B185" s="4" t="str">
        <x:v>ACONT-0032</x:v>
      </x:c>
      <x:c r="C185" s="4" t="str">
        <x:v>内容审核</x:v>
      </x:c>
      <x:c r="D185" s="4" t="str">
        <x:v>账号违规（平台管理员视角）</x:v>
      </x:c>
      <x:c r="E185" s="4" t="str">
        <x:v>功能需求</x:v>
      </x:c>
      <x:c r="F185" s="4" t="str">
        <x:v>P1</x:v>
      </x:c>
      <x:c r="G185" s="4" t="str">
        <x:v>验证账号违规可查看被举报账号</x:v>
      </x:c>
      <x:c r="H185" s="4" t="str">
        <x:v>被举报账号展示</x:v>
      </x:c>
      <x:c r="I185" s="4" t="str">
        <x:v>1. 平台管理员账号已登录且具备当前页面权限</x:v>
      </x:c>
      <x:c r="J185" s="4" t="str">
        <x:v>1. 进入账号违规
2. 查看被举报账号</x:v>
      </x:c>
      <x:c r="K185" s="4" t="str">
        <x:v>账号违规显示“被举报账号”</x:v>
      </x:c>
      <x:c r="L185" s="4" t="str"/>
      <x:c r="M185" s="4" t="str">
        <x:v>未测</x:v>
      </x:c>
      <x:c r="N185" s="4" t="str"/>
      <x:c r="O185" s="4" t="str">
        <x:v>1. 来源（原型批注）：liveshow-proto/prototype/annotations/admin.js；admin-account-violation.html
2. 页面：admin-account-violation.html
3. 规则：BR-C0686F543D7898
4. 场景：SC-80FA47FA737E33
5. 未动态验证</x:v>
      </x:c>
    </x:row>
    <x:row r="186" ht="54" customHeight="1">
      <x:c r="A186" s="4" t="n">
        <x:v>185</x:v>
      </x:c>
      <x:c r="B186" s="4" t="str">
        <x:v>ACONT-0033</x:v>
      </x:c>
      <x:c r="C186" s="4" t="str">
        <x:v>内容审核</x:v>
      </x:c>
      <x:c r="D186" s="4" t="str">
        <x:v>账号违规（平台管理员视角）</x:v>
      </x:c>
      <x:c r="E186" s="4" t="str">
        <x:v>功能需求</x:v>
      </x:c>
      <x:c r="F186" s="4" t="str">
        <x:v>P1</x:v>
      </x:c>
      <x:c r="G186" s="4" t="str">
        <x:v>验证账号违规可查看处理状态</x:v>
      </x:c>
      <x:c r="H186" s="4" t="str">
        <x:v>处理状态展示</x:v>
      </x:c>
      <x:c r="I186" s="4" t="str">
        <x:v>1. 平台管理员账号已登录且具备当前页面权限</x:v>
      </x:c>
      <x:c r="J186" s="4" t="str">
        <x:v>1. 进入账号违规
2. 查看处理状态</x:v>
      </x:c>
      <x:c r="K186" s="4" t="str">
        <x:v>账号违规显示“处理状态”</x:v>
      </x:c>
      <x:c r="L186" s="4" t="str"/>
      <x:c r="M186" s="4" t="str">
        <x:v>未测</x:v>
      </x:c>
      <x:c r="N186" s="4" t="str"/>
      <x:c r="O186" s="4" t="str">
        <x:v>1. 来源（原型批注）：liveshow-proto/prototype/annotations/admin.js；admin-account-violation.html
2. 页面：admin-account-violation.html
3. 规则：BR-287CB3D9D95717、BR-7274EC42294D22
4. 场景：SC-78CA958FFF6928
5. 未动态验证</x:v>
      </x:c>
    </x:row>
    <x:row r="187" ht="54" customHeight="1">
      <x:c r="A187" s="4" t="n">
        <x:v>186</x:v>
      </x:c>
      <x:c r="B187" s="4" t="str">
        <x:v>ACONT-0034</x:v>
      </x:c>
      <x:c r="C187" s="4" t="str">
        <x:v>内容审核</x:v>
      </x:c>
      <x:c r="D187" s="4" t="str">
        <x:v>账号违规（平台管理员视角）</x:v>
      </x:c>
      <x:c r="E187" s="4" t="str">
        <x:v>功能需求</x:v>
      </x:c>
      <x:c r="F187" s="4" t="str">
        <x:v>P1</x:v>
      </x:c>
      <x:c r="G187" s="4" t="str">
        <x:v>验证账号违规可查看举报类型</x:v>
      </x:c>
      <x:c r="H187" s="4" t="str">
        <x:v>举报类型展示</x:v>
      </x:c>
      <x:c r="I187" s="4" t="str">
        <x:v>1. 平台管理员账号已登录且具备当前页面权限</x:v>
      </x:c>
      <x:c r="J187" s="4" t="str">
        <x:v>1. 进入账号违规
2. 查看举报类型</x:v>
      </x:c>
      <x:c r="K187" s="4" t="str">
        <x:v>账号违规显示“举报类型”</x:v>
      </x:c>
      <x:c r="L187" s="4" t="str"/>
      <x:c r="M187" s="4" t="str">
        <x:v>未测</x:v>
      </x:c>
      <x:c r="N187" s="4" t="str"/>
      <x:c r="O187" s="4" t="str">
        <x:v>1. 来源（原型批注）：liveshow-proto/prototype/annotations/admin.js；admin-account-violation.html
2. 页面：admin-account-violation.html
3. 规则：BR-9160C60A26F63B、BR-04DF81F2F3D71F
4. 场景：SC-01DD5A6138FE5A
5. 未动态验证</x:v>
      </x:c>
    </x:row>
    <x:row r="188" ht="54" customHeight="1">
      <x:c r="A188" s="4" t="n">
        <x:v>187</x:v>
      </x:c>
      <x:c r="B188" s="4" t="str">
        <x:v>ACONT-0035</x:v>
      </x:c>
      <x:c r="C188" s="4" t="str">
        <x:v>内容审核</x:v>
      </x:c>
      <x:c r="D188" s="4" t="str">
        <x:v>账号违规（平台管理员视角）</x:v>
      </x:c>
      <x:c r="E188" s="4" t="str">
        <x:v>功能需求</x:v>
      </x:c>
      <x:c r="F188" s="4" t="str">
        <x:v>P1</x:v>
      </x:c>
      <x:c r="G188" s="4" t="str">
        <x:v>验证账号违规可查看提交时间</x:v>
      </x:c>
      <x:c r="H188" s="4" t="str">
        <x:v>提交时间展示</x:v>
      </x:c>
      <x:c r="I188" s="4" t="str">
        <x:v>1. 平台管理员账号已登录且具备当前页面权限</x:v>
      </x:c>
      <x:c r="J188" s="4" t="str">
        <x:v>1. 进入账号违规
2. 查看提交时间</x:v>
      </x:c>
      <x:c r="K188" s="4" t="str">
        <x:v>账号违规显示“提交时间”</x:v>
      </x:c>
      <x:c r="L188" s="4" t="str"/>
      <x:c r="M188" s="4" t="str">
        <x:v>未测</x:v>
      </x:c>
      <x:c r="N188" s="4" t="str"/>
      <x:c r="O188" s="4" t="str">
        <x:v>1. 来源（原型批注）：liveshow-proto/prototype/annotations/admin.js；admin-account-violation.html
2. 页面：admin-account-violation.html
3. 规则：BR-6F0BE6CF3711BC
4. 场景：SC-30DFA19C1F7914
5. 未动态验证</x:v>
      </x:c>
    </x:row>
    <x:row r="189" ht="54" customHeight="1">
      <x:c r="A189" s="4" t="n">
        <x:v>188</x:v>
      </x:c>
      <x:c r="B189" s="4" t="str">
        <x:v>ACONT-0036</x:v>
      </x:c>
      <x:c r="C189" s="4" t="str">
        <x:v>内容审核</x:v>
      </x:c>
      <x:c r="D189" s="4" t="str">
        <x:v>账号违规（平台管理员视角）</x:v>
      </x:c>
      <x:c r="E189" s="4" t="str">
        <x:v>功能需求</x:v>
      </x:c>
      <x:c r="F189" s="4" t="str">
        <x:v>P1</x:v>
      </x:c>
      <x:c r="G189" s="4" t="str">
        <x:v>验证账号违规可查看账号状态</x:v>
      </x:c>
      <x:c r="H189" s="4" t="str">
        <x:v>账号状态展示</x:v>
      </x:c>
      <x:c r="I189" s="4" t="str">
        <x:v>1. 平台管理员账号已登录且具备当前页面权限</x:v>
      </x:c>
      <x:c r="J189" s="4" t="str">
        <x:v>1. 进入账号违规
2. 查看账号状态</x:v>
      </x:c>
      <x:c r="K189" s="4" t="str">
        <x:v>账号违规显示“账号状态”</x:v>
      </x:c>
      <x:c r="L189" s="4" t="str"/>
      <x:c r="M189" s="4" t="str">
        <x:v>未测</x:v>
      </x:c>
      <x:c r="N189" s="4" t="str"/>
      <x:c r="O189" s="4" t="str">
        <x:v>1. 来源（原型批注）：liveshow-proto/prototype/annotations/admin.js；admin-account-violation.html
2. 页面：admin-account-violation.html
3. 规则：BR-93745C593E7B85
4. 场景：SC-7DD4A3C66C1D18
5. 未动态验证</x:v>
      </x:c>
    </x:row>
    <x:row r="190" ht="54" customHeight="1">
      <x:c r="A190" s="4" t="n">
        <x:v>189</x:v>
      </x:c>
      <x:c r="B190" s="4" t="str">
        <x:v>ACONT-0037</x:v>
      </x:c>
      <x:c r="C190" s="4" t="str">
        <x:v>内容审核</x:v>
      </x:c>
      <x:c r="D190" s="4" t="str">
        <x:v>直播间违规（平台管理员视角）</x:v>
      </x:c>
      <x:c r="E190" s="4" t="str">
        <x:v>业务流程</x:v>
      </x:c>
      <x:c r="F190" s="4" t="str">
        <x:v>P1</x:v>
      </x:c>
      <x:c r="G190" s="4" t="str">
        <x:v>验证查看后的直播间违规状态</x:v>
      </x:c>
      <x:c r="H190" s="4" t="str">
        <x:v>直播间违规状态</x:v>
      </x:c>
      <x:c r="I190" s="4" t="str">
        <x:v>1. 平台管理员账号已登录且具备当前页面权限</x:v>
      </x:c>
      <x:c r="J190" s="4" t="str">
        <x:v>1. 进入直播间违规
2. 查看</x:v>
      </x:c>
      <x:c r="K190" s="4" t="str">
        <x:v>进入详情</x:v>
      </x:c>
      <x:c r="L190" s="4" t="str"/>
      <x:c r="M190" s="4" t="str">
        <x:v>未测</x:v>
      </x:c>
      <x:c r="N190" s="4" t="str"/>
      <x:c r="O190" s="4" t="str">
        <x:v>1. 来源（原型批注）：liveshow-proto/prototype/annotations/admin.js；admin-report-handling.html
2. 页面：admin-report-handling.html
3. 规则：BR-8B69920B3CCFD8
4. 场景：SC-D92E5F79F0A140
5. 未动态验证</x:v>
      </x:c>
    </x:row>
    <x:row r="191" ht="54" customHeight="1">
      <x:c r="A191" s="4" t="n">
        <x:v>190</x:v>
      </x:c>
      <x:c r="B191" s="4" t="str">
        <x:v>ACONT-0038</x:v>
      </x:c>
      <x:c r="C191" s="4" t="str">
        <x:v>内容审核</x:v>
      </x:c>
      <x:c r="D191" s="4" t="str">
        <x:v>直播间违规（平台管理员视角）</x:v>
      </x:c>
      <x:c r="E191" s="4" t="str">
        <x:v>功能需求</x:v>
      </x:c>
      <x:c r="F191" s="4" t="str">
        <x:v>P1</x:v>
      </x:c>
      <x:c r="G191" s="4" t="str">
        <x:v>验证直播间违规可查看处理状态</x:v>
      </x:c>
      <x:c r="H191" s="4" t="str">
        <x:v>处理状态展示</x:v>
      </x:c>
      <x:c r="I191" s="4" t="str">
        <x:v>1. 平台管理员账号已登录且具备当前页面权限</x:v>
      </x:c>
      <x:c r="J191" s="4" t="str">
        <x:v>1. 进入直播间违规
2. 查看处理状态</x:v>
      </x:c>
      <x:c r="K191" s="4" t="str">
        <x:v>直播间违规显示“处理状态”</x:v>
      </x:c>
      <x:c r="L191" s="4" t="str"/>
      <x:c r="M191" s="4" t="str">
        <x:v>未测</x:v>
      </x:c>
      <x:c r="N191" s="4" t="str"/>
      <x:c r="O191" s="4" t="str">
        <x:v>1. 来源（原型批注）：liveshow-proto/prototype/annotations/admin.js；admin-report-handling.html
2. 页面：admin-report-handling.html
3. 规则：BR-61E29D6B66AA2F
4. 场景：SC-BEB7DAC88FE227
5. 未动态验证</x:v>
      </x:c>
    </x:row>
    <x:row r="192" ht="54" customHeight="1">
      <x:c r="A192" s="4" t="n">
        <x:v>191</x:v>
      </x:c>
      <x:c r="B192" s="4" t="str">
        <x:v>ACONT-0039</x:v>
      </x:c>
      <x:c r="C192" s="4" t="str">
        <x:v>内容审核</x:v>
      </x:c>
      <x:c r="D192" s="4" t="str">
        <x:v>直播间违规（平台管理员视角）</x:v>
      </x:c>
      <x:c r="E192" s="4" t="str">
        <x:v>功能需求</x:v>
      </x:c>
      <x:c r="F192" s="4" t="str">
        <x:v>P1</x:v>
      </x:c>
      <x:c r="G192" s="4" t="str">
        <x:v>验证直播间违规可查看举报类型</x:v>
      </x:c>
      <x:c r="H192" s="4" t="str">
        <x:v>举报类型展示</x:v>
      </x:c>
      <x:c r="I192" s="4" t="str">
        <x:v>1. 平台管理员账号已登录且具备当前页面权限</x:v>
      </x:c>
      <x:c r="J192" s="4" t="str">
        <x:v>1. 进入直播间违规
2. 查看举报类型</x:v>
      </x:c>
      <x:c r="K192" s="4" t="str">
        <x:v>直播间违规显示“举报类型”</x:v>
      </x:c>
      <x:c r="L192" s="4" t="str"/>
      <x:c r="M192" s="4" t="str">
        <x:v>未测</x:v>
      </x:c>
      <x:c r="N192" s="4" t="str"/>
      <x:c r="O192" s="4" t="str">
        <x:v>1. 来源（原型批注）：liveshow-proto/prototype/annotations/admin.js；admin-report-handling.html
2. 页面：admin-report-handling.html
3. 规则：BR-C59C5FBB5BF2A4
4. 场景：SC-56D418F5CB0D1A
5. 未动态验证</x:v>
      </x:c>
    </x:row>
    <x:row r="193" ht="54" customHeight="1">
      <x:c r="A193" s="4" t="n">
        <x:v>192</x:v>
      </x:c>
      <x:c r="B193" s="4" t="str">
        <x:v>ACONT-0040</x:v>
      </x:c>
      <x:c r="C193" s="4" t="str">
        <x:v>内容审核</x:v>
      </x:c>
      <x:c r="D193" s="4" t="str">
        <x:v>直播间违规（平台管理员视角）</x:v>
      </x:c>
      <x:c r="E193" s="4" t="str">
        <x:v>功能需求</x:v>
      </x:c>
      <x:c r="F193" s="4" t="str">
        <x:v>P1</x:v>
      </x:c>
      <x:c r="G193" s="4" t="str">
        <x:v>验证直播间违规可查看提交时间</x:v>
      </x:c>
      <x:c r="H193" s="4" t="str">
        <x:v>提交时间展示</x:v>
      </x:c>
      <x:c r="I193" s="4" t="str">
        <x:v>1. 平台管理员账号已登录且具备当前页面权限</x:v>
      </x:c>
      <x:c r="J193" s="4" t="str">
        <x:v>1. 进入直播间违规
2. 查看提交时间</x:v>
      </x:c>
      <x:c r="K193" s="4" t="str">
        <x:v>直播间违规显示“提交时间”</x:v>
      </x:c>
      <x:c r="L193" s="4" t="str"/>
      <x:c r="M193" s="4" t="str">
        <x:v>未测</x:v>
      </x:c>
      <x:c r="N193" s="4" t="str"/>
      <x:c r="O193" s="4" t="str">
        <x:v>1. 来源（原型批注）：liveshow-proto/prototype/annotations/admin.js；admin-report-handling.html
2. 页面：admin-report-handling.html
3. 规则：BR-9A517C0F945D37
4. 场景：SC-AEB27CB4C5B590
5. 未动态验证</x:v>
      </x:c>
    </x:row>
    <x:row r="194" ht="54" customHeight="1">
      <x:c r="A194" s="4" t="n">
        <x:v>193</x:v>
      </x:c>
      <x:c r="B194" s="4" t="str">
        <x:v>ACONT-0041</x:v>
      </x:c>
      <x:c r="C194" s="4" t="str">
        <x:v>内容审核</x:v>
      </x:c>
      <x:c r="D194" s="4" t="str">
        <x:v>直播间违规（平台管理员视角）</x:v>
      </x:c>
      <x:c r="E194" s="4" t="str">
        <x:v>功能需求</x:v>
      </x:c>
      <x:c r="F194" s="4" t="str">
        <x:v>P1</x:v>
      </x:c>
      <x:c r="G194" s="4" t="str">
        <x:v>验证直播间违规可查看直播场次 ID</x:v>
      </x:c>
      <x:c r="H194" s="4" t="str">
        <x:v>直播场次 ID展示</x:v>
      </x:c>
      <x:c r="I194" s="4" t="str">
        <x:v>1. 平台管理员账号已登录且具备当前页面权限</x:v>
      </x:c>
      <x:c r="J194" s="4" t="str">
        <x:v>1. 进入直播间违规
2. 查看直播场次 ID</x:v>
      </x:c>
      <x:c r="K194" s="4" t="str">
        <x:v>直播间违规显示“直播场次 ID”</x:v>
      </x:c>
      <x:c r="L194" s="4" t="str"/>
      <x:c r="M194" s="4" t="str">
        <x:v>未测</x:v>
      </x:c>
      <x:c r="N194" s="4" t="str"/>
      <x:c r="O194" s="4" t="str">
        <x:v>1. 来源（原型批注）：liveshow-proto/prototype/annotations/admin.js；admin-report-handling.html
2. 页面：admin-report-handling.html
3. 规则：BR-9B2E11A84235B3
4. 场景：SC-D5E66B04CD597D
5. 未动态验证</x:v>
      </x:c>
    </x:row>
    <x:row r="195" ht="54" customHeight="1">
      <x:c r="A195" s="4" t="n">
        <x:v>194</x:v>
      </x:c>
      <x:c r="B195" s="4" t="str">
        <x:v>ACONT-0042</x:v>
      </x:c>
      <x:c r="C195" s="4" t="str">
        <x:v>内容审核</x:v>
      </x:c>
      <x:c r="D195" s="4" t="str">
        <x:v>直播间违规（平台管理员视角）</x:v>
      </x:c>
      <x:c r="E195" s="4" t="str">
        <x:v>功能需求</x:v>
      </x:c>
      <x:c r="F195" s="4" t="str">
        <x:v>P1</x:v>
      </x:c>
      <x:c r="G195" s="4" t="str">
        <x:v>验证直播间违规可查看直播状态</x:v>
      </x:c>
      <x:c r="H195" s="4" t="str">
        <x:v>直播状态展示</x:v>
      </x:c>
      <x:c r="I195" s="4" t="str">
        <x:v>1. 平台管理员账号已登录且具备当前页面权限</x:v>
      </x:c>
      <x:c r="J195" s="4" t="str">
        <x:v>1. 进入直播间违规
2. 查看直播状态</x:v>
      </x:c>
      <x:c r="K195" s="4" t="str">
        <x:v>直播间违规显示“直播状态”</x:v>
      </x:c>
      <x:c r="L195" s="4" t="str"/>
      <x:c r="M195" s="4" t="str">
        <x:v>未测</x:v>
      </x:c>
      <x:c r="N195" s="4" t="str"/>
      <x:c r="O195" s="4" t="str">
        <x:v>1. 来源（原型批注）：liveshow-proto/prototype/annotations/admin.js；admin-report-handling.html
2. 页面：admin-report-handling.html
3. 规则：BR-4DB6869CCDE2C8
4. 场景：SC-FC3F9A06518B79
5. 未动态验证</x:v>
      </x:c>
    </x:row>
    <x:row r="196" ht="54" customHeight="1">
      <x:c r="A196" s="4" t="n">
        <x:v>195</x:v>
      </x:c>
      <x:c r="B196" s="4" t="str">
        <x:v>ADATA-0001</x:v>
      </x:c>
      <x:c r="C196" s="4" t="str">
        <x:v>数据报表</x:v>
      </x:c>
      <x:c r="D196" s="4" t="str">
        <x:v>报表中心（平台管理员视角）</x:v>
      </x:c>
      <x:c r="E196" s="4" t="str">
        <x:v>逻辑校验</x:v>
      </x:c>
      <x:c r="F196" s="4" t="str">
        <x:v>P2</x:v>
      </x:c>
      <x:c r="G196" s="4" t="str">
        <x:v>验证报表中心按指定范围筛选</x:v>
      </x:c>
      <x:c r="H196" s="4" t="str">
        <x:v>报表中心数据范围</x:v>
      </x:c>
      <x:c r="I196" s="4" t="str">
        <x:v>1. 平台管理员账号已登录且具备当前页面权限
2. 存在符合和不符合“当前角色有权查看的入口”的记录</x:v>
      </x:c>
      <x:c r="J196" s="4" t="str">
        <x:v>1. 进入报表中心
2. 查看报表中心</x:v>
      </x:c>
      <x:c r="K196" s="4" t="str">
        <x:v>仅展示当前角色有权查看的入口</x:v>
      </x:c>
      <x:c r="L196" s="4" t="str"/>
      <x:c r="M196" s="4" t="str">
        <x:v>未测</x:v>
      </x:c>
      <x:c r="N196" s="4" t="str"/>
      <x:c r="O196" s="4" t="str">
        <x:v>1. 来源（原型批注）：liveshow-proto/prototype/annotations/admin.js；admin-report-center.html
2. 页面：admin-report-center.html
3. 规则：BR-80CF32E72CEF5E
4. 场景：SC-C1F8CA9B019AAC
5. 未动态验证</x:v>
      </x:c>
    </x:row>
    <x:row r="197" ht="54" customHeight="1">
      <x:c r="A197" s="4" t="n">
        <x:v>196</x:v>
      </x:c>
      <x:c r="B197" s="4" t="str">
        <x:v>ADATA-0002</x:v>
      </x:c>
      <x:c r="C197" s="4" t="str">
        <x:v>数据报表</x:v>
      </x:c>
      <x:c r="D197" s="4" t="str">
        <x:v>报表中心（平台管理员视角）</x:v>
      </x:c>
      <x:c r="E197" s="4" t="str">
        <x:v>功能需求</x:v>
      </x:c>
      <x:c r="F197" s="4" t="str">
        <x:v>P2</x:v>
      </x:c>
      <x:c r="G197" s="4" t="str">
        <x:v>验证报表中心可查看财务对账</x:v>
      </x:c>
      <x:c r="H197" s="4" t="str">
        <x:v>财务对账展示</x:v>
      </x:c>
      <x:c r="I197" s="4" t="str">
        <x:v>1. 平台管理员账号已登录且具备当前页面权限</x:v>
      </x:c>
      <x:c r="J197" s="4" t="str">
        <x:v>1. 进入报表中心
2. 查看财务对账</x:v>
      </x:c>
      <x:c r="K197" s="4" t="str">
        <x:v>报表中心显示“财务对账”</x:v>
      </x:c>
      <x:c r="L197" s="4" t="str"/>
      <x:c r="M197" s="4" t="str">
        <x:v>未测</x:v>
      </x:c>
      <x:c r="N197" s="4" t="str"/>
      <x:c r="O197" s="4" t="str">
        <x:v>1. 来源（原型批注）：liveshow-proto/prototype/annotations/admin.js；admin-report-center.html
2. 页面：admin-report-center.html
3. 规则：BR-C175054130B946
4. 场景：SC-682CD8F2039CE0
5. 未动态验证</x:v>
      </x:c>
    </x:row>
    <x:row r="198" ht="54" customHeight="1">
      <x:c r="A198" s="4" t="n">
        <x:v>197</x:v>
      </x:c>
      <x:c r="B198" s="4" t="str">
        <x:v>ADATA-0003</x:v>
      </x:c>
      <x:c r="C198" s="4" t="str">
        <x:v>数据报表</x:v>
      </x:c>
      <x:c r="D198" s="4" t="str">
        <x:v>报表中心（平台管理员视角）</x:v>
      </x:c>
      <x:c r="E198" s="4" t="str">
        <x:v>功能需求</x:v>
      </x:c>
      <x:c r="F198" s="4" t="str">
        <x:v>P2</x:v>
      </x:c>
      <x:c r="G198" s="4" t="str">
        <x:v>验证报表中心可查看基础数据</x:v>
      </x:c>
      <x:c r="H198" s="4" t="str">
        <x:v>基础数据展示</x:v>
      </x:c>
      <x:c r="I198" s="4" t="str">
        <x:v>1. 平台管理员账号已登录且具备当前页面权限</x:v>
      </x:c>
      <x:c r="J198" s="4" t="str">
        <x:v>1. 进入报表中心
2. 查看基础数据</x:v>
      </x:c>
      <x:c r="K198" s="4" t="str">
        <x:v>报表中心显示“基础数据”</x:v>
      </x:c>
      <x:c r="L198" s="4" t="str"/>
      <x:c r="M198" s="4" t="str">
        <x:v>未测</x:v>
      </x:c>
      <x:c r="N198" s="4" t="str"/>
      <x:c r="O198" s="4" t="str">
        <x:v>1. 来源（原型批注）：liveshow-proto/prototype/annotations/admin.js；admin-report-center.html
2. 页面：admin-report-center.html
3. 规则：BR-F21B3E4F0733A4
4. 场景：SC-F33CC021D506BE
5. 未动态验证</x:v>
      </x:c>
    </x:row>
    <x:row r="199" ht="54" customHeight="1">
      <x:c r="A199" s="4" t="n">
        <x:v>198</x:v>
      </x:c>
      <x:c r="B199" s="4" t="str">
        <x:v>ADATA-0004</x:v>
      </x:c>
      <x:c r="C199" s="4" t="str">
        <x:v>数据报表</x:v>
      </x:c>
      <x:c r="D199" s="4" t="str">
        <x:v>报表中心（平台管理员视角）</x:v>
      </x:c>
      <x:c r="E199" s="4" t="str">
        <x:v>业务流程</x:v>
      </x:c>
      <x:c r="F199" s="4" t="str">
        <x:v>P2</x:v>
      </x:c>
      <x:c r="G199" s="4" t="str">
        <x:v>验证点击入口后的报表中心状态</x:v>
      </x:c>
      <x:c r="H199" s="4" t="str">
        <x:v>报表中心状态</x:v>
      </x:c>
      <x:c r="I199" s="4" t="str">
        <x:v>1. 平台管理员账号已登录且具备当前页面权限</x:v>
      </x:c>
      <x:c r="J199" s="4" t="str">
        <x:v>1. 进入报表中心
2. 点击入口</x:v>
      </x:c>
      <x:c r="K199" s="4" t="str">
        <x:v>进入对应报表</x:v>
      </x:c>
      <x:c r="L199" s="4" t="str"/>
      <x:c r="M199" s="4" t="str">
        <x:v>未测</x:v>
      </x:c>
      <x:c r="N199" s="4" t="str"/>
      <x:c r="O199" s="4" t="str">
        <x:v>1. 来源（原型批注）：liveshow-proto/prototype/annotations/admin.js；admin-report-center.html
2. 页面：admin-report-center.html
3. 规则：BR-1567FDD88DDB4F
4. 场景：SC-F5849DB3C9E24A
5. 未动态验证</x:v>
      </x:c>
    </x:row>
    <x:row r="200" ht="54" customHeight="1">
      <x:c r="A200" s="4" t="n">
        <x:v>199</x:v>
      </x:c>
      <x:c r="B200" s="4" t="str">
        <x:v>ADATA-0005</x:v>
      </x:c>
      <x:c r="C200" s="4" t="str">
        <x:v>数据报表</x:v>
      </x:c>
      <x:c r="D200" s="4" t="str">
        <x:v>充值订单明细（平台管理员视角）</x:v>
      </x:c>
      <x:c r="E200" s="4" t="str">
        <x:v>功能需求</x:v>
      </x:c>
      <x:c r="F200" s="4" t="str">
        <x:v>P1</x:v>
      </x:c>
      <x:c r="G200" s="4" t="str">
        <x:v>验证充值订单明细可查看充值金额</x:v>
      </x:c>
      <x:c r="H200" s="4" t="str">
        <x:v>充值金额展示</x:v>
      </x:c>
      <x:c r="I200" s="4" t="str">
        <x:v>1. 平台管理员账号已登录且具备当前页面权限</x:v>
      </x:c>
      <x:c r="J200" s="4" t="str">
        <x:v>1. 进入充值订单明细
2. 查看充值金额</x:v>
      </x:c>
      <x:c r="K200" s="4" t="str">
        <x:v>充值订单明细显示“充值金额”</x:v>
      </x:c>
      <x:c r="L200" s="4" t="str"/>
      <x:c r="M200" s="4" t="str">
        <x:v>未测</x:v>
      </x:c>
      <x:c r="N200" s="4" t="str"/>
      <x:c r="O200" s="4" t="str">
        <x:v>1. 来源（原型批注）：liveshow-proto/prototype/annotations/admin.js；admin-recharge-order-detail-report.html
2. 页面：admin-recharge-order-detail-report.html
3. 规则：BR-39CB31246B4E23
4. 场景：SC-087CFD8F1459C1
5. 未动态验证</x:v>
      </x:c>
    </x:row>
    <x:row r="201" ht="54" customHeight="1">
      <x:c r="A201" s="4" t="n">
        <x:v>200</x:v>
      </x:c>
      <x:c r="B201" s="4" t="str">
        <x:v>ADATA-0006</x:v>
      </x:c>
      <x:c r="C201" s="4" t="str">
        <x:v>数据报表</x:v>
      </x:c>
      <x:c r="D201" s="4" t="str">
        <x:v>充值订单明细（平台管理员视角）</x:v>
      </x:c>
      <x:c r="E201" s="4" t="str">
        <x:v>功能需求</x:v>
      </x:c>
      <x:c r="F201" s="4" t="str">
        <x:v>P1</x:v>
      </x:c>
      <x:c r="G201" s="4" t="str">
        <x:v>验证充值订单明细可查看充值时间</x:v>
      </x:c>
      <x:c r="H201" s="4" t="str">
        <x:v>充值时间展示</x:v>
      </x:c>
      <x:c r="I201" s="4" t="str">
        <x:v>1. 平台管理员账号已登录且具备当前页面权限</x:v>
      </x:c>
      <x:c r="J201" s="4" t="str">
        <x:v>1. 进入充值订单明细
2. 查看充值时间</x:v>
      </x:c>
      <x:c r="K201" s="4" t="str">
        <x:v>充值订单明细显示“充值时间”</x:v>
      </x:c>
      <x:c r="L201" s="4" t="str"/>
      <x:c r="M201" s="4" t="str">
        <x:v>未测</x:v>
      </x:c>
      <x:c r="N201" s="4" t="str"/>
      <x:c r="O201" s="4" t="str">
        <x:v>1. 来源（原型批注）：liveshow-proto/prototype/annotations/admin.js；admin-recharge-order-detail-report.html
2. 页面：admin-recharge-order-detail-report.html
3. 规则：BR-D29ABDCA992DE3
4. 场景：SC-D99CF79F2BCEED
5. 未动态验证</x:v>
      </x:c>
    </x:row>
    <x:row r="202" ht="54" customHeight="1">
      <x:c r="A202" s="4" t="n">
        <x:v>201</x:v>
      </x:c>
      <x:c r="B202" s="4" t="str">
        <x:v>ADATA-0007</x:v>
      </x:c>
      <x:c r="C202" s="4" t="str">
        <x:v>数据报表</x:v>
      </x:c>
      <x:c r="D202" s="4" t="str">
        <x:v>充值订单明细（平台管理员视角）</x:v>
      </x:c>
      <x:c r="E202" s="4" t="str">
        <x:v>功能需求</x:v>
      </x:c>
      <x:c r="F202" s="4" t="str">
        <x:v>P1</x:v>
      </x:c>
      <x:c r="G202" s="4" t="str">
        <x:v>验证充值订单明细可查看充值用户 / 套餐</x:v>
      </x:c>
      <x:c r="H202" s="4" t="str">
        <x:v>充值用户 / 套餐展示</x:v>
      </x:c>
      <x:c r="I202" s="4" t="str">
        <x:v>1. 平台管理员账号已登录且具备当前页面权限</x:v>
      </x:c>
      <x:c r="J202" s="4" t="str">
        <x:v>1. 进入充值订单明细
2. 查看充值用户 / 套餐</x:v>
      </x:c>
      <x:c r="K202" s="4" t="str">
        <x:v>充值订单明细显示“充值用户 / 套餐”</x:v>
      </x:c>
      <x:c r="L202" s="4" t="str"/>
      <x:c r="M202" s="4" t="str">
        <x:v>未测</x:v>
      </x:c>
      <x:c r="N202" s="4" t="str"/>
      <x:c r="O202" s="4" t="str">
        <x:v>1. 来源（原型批注）：liveshow-proto/prototype/annotations/admin.js；admin-recharge-order-detail-report.html
2. 页面：admin-recharge-order-detail-report.html
3. 规则：BR-D71A699E64DF72
4. 场景：SC-9E5811A191F57D
5. 未动态验证</x:v>
      </x:c>
    </x:row>
    <x:row r="203" ht="54" customHeight="1">
      <x:c r="A203" s="4" t="n">
        <x:v>202</x:v>
      </x:c>
      <x:c r="B203" s="4" t="str">
        <x:v>ADATA-0008</x:v>
      </x:c>
      <x:c r="C203" s="4" t="str">
        <x:v>数据报表</x:v>
      </x:c>
      <x:c r="D203" s="4" t="str">
        <x:v>充值订单明细（平台管理员视角）</x:v>
      </x:c>
      <x:c r="E203" s="4" t="str">
        <x:v>功能需求</x:v>
      </x:c>
      <x:c r="F203" s="4" t="str">
        <x:v>P1</x:v>
      </x:c>
      <x:c r="G203" s="4" t="str">
        <x:v>验证充值订单明细可查看支付渠道</x:v>
      </x:c>
      <x:c r="H203" s="4" t="str">
        <x:v>支付渠道展示</x:v>
      </x:c>
      <x:c r="I203" s="4" t="str">
        <x:v>1. 平台管理员账号已登录且具备当前页面权限</x:v>
      </x:c>
      <x:c r="J203" s="4" t="str">
        <x:v>1. 进入充值订单明细
2. 查看支付渠道</x:v>
      </x:c>
      <x:c r="K203" s="4" t="str">
        <x:v>充值订单明细显示“支付渠道”</x:v>
      </x:c>
      <x:c r="L203" s="4" t="str"/>
      <x:c r="M203" s="4" t="str">
        <x:v>未测</x:v>
      </x:c>
      <x:c r="N203" s="4" t="str"/>
      <x:c r="O203" s="4" t="str">
        <x:v>1. 来源（原型批注）：liveshow-proto/prototype/annotations/admin.js；admin-recharge-order-detail-report.html
2. 页面：admin-recharge-order-detail-report.html
3. 规则：BR-98C2261333495B
4. 场景：SC-1BD73FA1699A04
5. 未动态验证</x:v>
      </x:c>
    </x:row>
    <x:row r="204" ht="54" customHeight="1">
      <x:c r="A204" s="4" t="n">
        <x:v>203</x:v>
      </x:c>
      <x:c r="B204" s="4" t="str">
        <x:v>ADATA-0009</x:v>
      </x:c>
      <x:c r="C204" s="4" t="str">
        <x:v>数据报表</x:v>
      </x:c>
      <x:c r="D204" s="4" t="str">
        <x:v>充值消费汇总（每日）（平台管理员视角）</x:v>
      </x:c>
      <x:c r="E204" s="4" t="str">
        <x:v>功能需求</x:v>
      </x:c>
      <x:c r="F204" s="4" t="str">
        <x:v>P1</x:v>
      </x:c>
      <x:c r="G204" s="4" t="str">
        <x:v>验证充值消费汇总（每日）可查看充值金币</x:v>
      </x:c>
      <x:c r="H204" s="4" t="str">
        <x:v>充值金币展示</x:v>
      </x:c>
      <x:c r="I204" s="4" t="str">
        <x:v>1. 平台管理员账号已登录且具备当前页面权限</x:v>
      </x:c>
      <x:c r="J204" s="4" t="str">
        <x:v>1. 进入充值消费汇总（每日）
2. 查看充值金币</x:v>
      </x:c>
      <x:c r="K204" s="4" t="str">
        <x:v>充值消费汇总（每日）显示“充值金币”</x:v>
      </x:c>
      <x:c r="L204" s="4" t="str"/>
      <x:c r="M204" s="4" t="str">
        <x:v>未测</x:v>
      </x:c>
      <x:c r="N204" s="4" t="str"/>
      <x:c r="O204" s="4" t="str">
        <x:v>1. 来源（原型批注）：liveshow-proto/prototype/annotations/admin.js；admin-recharge-statistics.html
2. 页面：admin-recharge-statistics.html
3. 规则：BR-EC49B7A9821CF4
4. 场景：SC-AF25032D724128
5. 未动态验证</x:v>
      </x:c>
    </x:row>
    <x:row r="205" ht="54" customHeight="1">
      <x:c r="A205" s="4" t="n">
        <x:v>204</x:v>
      </x:c>
      <x:c r="B205" s="4" t="str">
        <x:v>ADATA-0010</x:v>
      </x:c>
      <x:c r="C205" s="4" t="str">
        <x:v>数据报表</x:v>
      </x:c>
      <x:c r="D205" s="4" t="str">
        <x:v>充值消费汇总（每日）（平台管理员视角）</x:v>
      </x:c>
      <x:c r="E205" s="4" t="str">
        <x:v>功能需求</x:v>
      </x:c>
      <x:c r="F205" s="4" t="str">
        <x:v>P1</x:v>
      </x:c>
      <x:c r="G205" s="4" t="str">
        <x:v>验证充值消费汇总（每日）可查看充值赠送 / 系统赠送金币</x:v>
      </x:c>
      <x:c r="H205" s="4" t="str">
        <x:v>充值赠送 / 系统赠送金币展示</x:v>
      </x:c>
      <x:c r="I205" s="4" t="str">
        <x:v>1. 平台管理员账号已登录且具备当前页面权限</x:v>
      </x:c>
      <x:c r="J205" s="4" t="str">
        <x:v>1. 进入充值消费汇总（每日）
2. 查看充值赠送 / 系统赠送金币</x:v>
      </x:c>
      <x:c r="K205" s="4" t="str">
        <x:v>充值消费汇总（每日）显示“充值赠送 / 系统赠送金币”</x:v>
      </x:c>
      <x:c r="L205" s="4" t="str"/>
      <x:c r="M205" s="4" t="str">
        <x:v>未测</x:v>
      </x:c>
      <x:c r="N205" s="4" t="str"/>
      <x:c r="O205" s="4" t="str">
        <x:v>1. 来源（原型批注）：liveshow-proto/prototype/annotations/admin.js；admin-recharge-statistics.html
2. 页面：admin-recharge-statistics.html
3. 规则：BR-C4CE67C06407C7
4. 场景：SC-9DC037F9021F40
5. 未动态验证</x:v>
      </x:c>
    </x:row>
    <x:row r="206" ht="54" customHeight="1">
      <x:c r="A206" s="4" t="n">
        <x:v>205</x:v>
      </x:c>
      <x:c r="B206" s="4" t="str">
        <x:v>ADATA-0011</x:v>
      </x:c>
      <x:c r="C206" s="4" t="str">
        <x:v>数据报表</x:v>
      </x:c>
      <x:c r="D206" s="4" t="str">
        <x:v>充值消费汇总（每日）（平台管理员视角）</x:v>
      </x:c>
      <x:c r="E206" s="4" t="str">
        <x:v>功能需求</x:v>
      </x:c>
      <x:c r="F206" s="4" t="str">
        <x:v>P1</x:v>
      </x:c>
      <x:c r="G206" s="4" t="str">
        <x:v>验证充值消费汇总（每日）可查看金币净增量</x:v>
      </x:c>
      <x:c r="H206" s="4" t="str">
        <x:v>金币净增量展示</x:v>
      </x:c>
      <x:c r="I206" s="4" t="str">
        <x:v>1. 平台管理员账号已登录且具备当前页面权限</x:v>
      </x:c>
      <x:c r="J206" s="4" t="str">
        <x:v>1. 进入充值消费汇总（每日）
2. 查看金币净增量</x:v>
      </x:c>
      <x:c r="K206" s="4" t="str">
        <x:v>充值消费汇总（每日）显示“金币净增量”</x:v>
      </x:c>
      <x:c r="L206" s="4" t="str"/>
      <x:c r="M206" s="4" t="str">
        <x:v>未测</x:v>
      </x:c>
      <x:c r="N206" s="4" t="str"/>
      <x:c r="O206" s="4" t="str">
        <x:v>1. 来源（原型批注）：liveshow-proto/prototype/annotations/admin.js；admin-recharge-statistics.html
2. 页面：admin-recharge-statistics.html
3. 规则：BR-5E03E6278BCA24
4. 场景：SC-A5109CB1469E38
5. 未动态验证</x:v>
      </x:c>
    </x:row>
    <x:row r="207" ht="54" customHeight="1">
      <x:c r="A207" s="4" t="n">
        <x:v>206</x:v>
      </x:c>
      <x:c r="B207" s="4" t="str">
        <x:v>ADATA-0012</x:v>
      </x:c>
      <x:c r="C207" s="4" t="str">
        <x:v>数据报表</x:v>
      </x:c>
      <x:c r="D207" s="4" t="str">
        <x:v>充值消费汇总（每日）（平台管理员视角）</x:v>
      </x:c>
      <x:c r="E207" s="4" t="str">
        <x:v>功能需求</x:v>
      </x:c>
      <x:c r="F207" s="4" t="str">
        <x:v>P1</x:v>
      </x:c>
      <x:c r="G207" s="4" t="str">
        <x:v>验证充值消费汇总（每日）可查看客单价</x:v>
      </x:c>
      <x:c r="H207" s="4" t="str">
        <x:v>客单价展示</x:v>
      </x:c>
      <x:c r="I207" s="4" t="str">
        <x:v>1. 平台管理员账号已登录且具备当前页面权限</x:v>
      </x:c>
      <x:c r="J207" s="4" t="str">
        <x:v>1. 进入充值消费汇总（每日）
2. 查看客单价</x:v>
      </x:c>
      <x:c r="K207" s="4" t="str">
        <x:v>充值消费汇总（每日）显示“客单价”</x:v>
      </x:c>
      <x:c r="L207" s="4" t="str"/>
      <x:c r="M207" s="4" t="str">
        <x:v>未测</x:v>
      </x:c>
      <x:c r="N207" s="4" t="str"/>
      <x:c r="O207" s="4" t="str">
        <x:v>1. 来源（原型批注）：liveshow-proto/prototype/annotations/admin.js；admin-recharge-statistics.html
2. 页面：admin-recharge-statistics.html
3. 规则：BR-25A2B03A6A2715、BR-FA38D999E73B04
4. 场景：SC-77C7BBEDC8DCD7
5. 未动态验证</x:v>
      </x:c>
    </x:row>
    <x:row r="208" ht="54" customHeight="1">
      <x:c r="A208" s="4" t="n">
        <x:v>207</x:v>
      </x:c>
      <x:c r="B208" s="4" t="str">
        <x:v>ADATA-0013</x:v>
      </x:c>
      <x:c r="C208" s="4" t="str">
        <x:v>数据报表</x:v>
      </x:c>
      <x:c r="D208" s="4" t="str">
        <x:v>充值消费汇总（每日）（平台管理员视角）</x:v>
      </x:c>
      <x:c r="E208" s="4" t="str">
        <x:v>功能需求</x:v>
      </x:c>
      <x:c r="F208" s="4" t="str">
        <x:v>P1</x:v>
      </x:c>
      <x:c r="G208" s="4" t="str">
        <x:v>验证充值消费汇总（每日）可查看消费金币</x:v>
      </x:c>
      <x:c r="H208" s="4" t="str">
        <x:v>消费金币展示</x:v>
      </x:c>
      <x:c r="I208" s="4" t="str">
        <x:v>1. 平台管理员账号已登录且具备当前页面权限</x:v>
      </x:c>
      <x:c r="J208" s="4" t="str">
        <x:v>1. 进入充值消费汇总（每日）
2. 查看消费金币</x:v>
      </x:c>
      <x:c r="K208" s="4" t="str">
        <x:v>充值消费汇总（每日）显示“消费金币”</x:v>
      </x:c>
      <x:c r="L208" s="4" t="str"/>
      <x:c r="M208" s="4" t="str">
        <x:v>未测</x:v>
      </x:c>
      <x:c r="N208" s="4" t="str"/>
      <x:c r="O208" s="4" t="str">
        <x:v>1. 来源（原型批注）：liveshow-proto/prototype/annotations/admin.js；admin-recharge-statistics.html
2. 页面：admin-recharge-statistics.html
3. 规则：BR-05CF7C8A281D4D
4. 场景：SC-A37C2F4D1709F8
5. 未动态验证</x:v>
      </x:c>
    </x:row>
    <x:row r="209" ht="54" customHeight="1">
      <x:c r="A209" s="4" t="n">
        <x:v>208</x:v>
      </x:c>
      <x:c r="B209" s="4" t="str">
        <x:v>ADATA-0014</x:v>
      </x:c>
      <x:c r="C209" s="4" t="str">
        <x:v>数据报表</x:v>
      </x:c>
      <x:c r="D209" s="4" t="str">
        <x:v>充值消费汇总（每日）（平台管理员视角）</x:v>
      </x:c>
      <x:c r="E209" s="4" t="str">
        <x:v>功能需求</x:v>
      </x:c>
      <x:c r="F209" s="4" t="str">
        <x:v>P1</x:v>
      </x:c>
      <x:c r="G209" s="4" t="str">
        <x:v>验证充值消费汇总（每日）可查看总充值金额 / 人数 / 订单</x:v>
      </x:c>
      <x:c r="H209" s="4" t="str">
        <x:v>总充值金额 / 人数 / 订单展示</x:v>
      </x:c>
      <x:c r="I209" s="4" t="str">
        <x:v>1. 平台管理员账号已登录且具备当前页面权限</x:v>
      </x:c>
      <x:c r="J209" s="4" t="str">
        <x:v>1. 进入充值消费汇总（每日）
2. 查看总充值金额 / 人数 / 订单</x:v>
      </x:c>
      <x:c r="K209" s="4" t="str">
        <x:v>充值消费汇总（每日）显示“总充值金额 / 人数 / 订单”</x:v>
      </x:c>
      <x:c r="L209" s="4" t="str"/>
      <x:c r="M209" s="4" t="str">
        <x:v>未测</x:v>
      </x:c>
      <x:c r="N209" s="4" t="str"/>
      <x:c r="O209" s="4" t="str">
        <x:v>1. 来源（原型批注）：liveshow-proto/prototype/annotations/admin.js；admin-recharge-statistics.html
2. 页面：admin-recharge-statistics.html
3. 规则：BR-ADB302D52E602D
4. 场景：SC-FADCFEA20489C2
5. 未动态验证</x:v>
      </x:c>
    </x:row>
    <x:row r="210" ht="54" customHeight="1">
      <x:c r="A210" s="4" t="n">
        <x:v>209</x:v>
      </x:c>
      <x:c r="B210" s="4" t="str">
        <x:v>ADATA-0015</x:v>
      </x:c>
      <x:c r="C210" s="4" t="str">
        <x:v>数据报表</x:v>
      </x:c>
      <x:c r="D210" s="4" t="str">
        <x:v>充值用户分层汇总（每日）（平台管理员视角）</x:v>
      </x:c>
      <x:c r="E210" s="4" t="str">
        <x:v>功能需求</x:v>
      </x:c>
      <x:c r="F210" s="4" t="str">
        <x:v>P1</x:v>
      </x:c>
      <x:c r="G210" s="4" t="str">
        <x:v>验证充值用户分层汇总（每日）可查看老用户 ARPU</x:v>
      </x:c>
      <x:c r="H210" s="4" t="str">
        <x:v>老用户 ARPU展示</x:v>
      </x:c>
      <x:c r="I210" s="4" t="str">
        <x:v>1. 平台管理员账号已登录且具备当前页面权限</x:v>
      </x:c>
      <x:c r="J210" s="4" t="str">
        <x:v>1. 进入充值用户分层汇总（每日）
2. 查看老用户 ARPU</x:v>
      </x:c>
      <x:c r="K210" s="4" t="str">
        <x:v>充值用户分层汇总（每日）显示“老用户 ARPU”</x:v>
      </x:c>
      <x:c r="L210" s="4" t="str"/>
      <x:c r="M210" s="4" t="str">
        <x:v>未测</x:v>
      </x:c>
      <x:c r="N210" s="4" t="str"/>
      <x:c r="O210" s="4" t="str">
        <x:v>1. 来源（原型批注）：liveshow-proto/prototype/annotations/admin.js；admin-user-activity-statistics.html
2. 页面：admin-user-activity-statistics.html
3. 规则：BR-7B1504B0352711、BR-4E6DA9D35D3633
4. 场景：SC-584B93470F6B31
5. 未动态验证</x:v>
      </x:c>
    </x:row>
    <x:row r="211" ht="54" customHeight="1">
      <x:c r="A211" s="4" t="n">
        <x:v>210</x:v>
      </x:c>
      <x:c r="B211" s="4" t="str">
        <x:v>ADATA-0016</x:v>
      </x:c>
      <x:c r="C211" s="4" t="str">
        <x:v>数据报表</x:v>
      </x:c>
      <x:c r="D211" s="4" t="str">
        <x:v>充值用户分层汇总（每日）（平台管理员视角）</x:v>
      </x:c>
      <x:c r="E211" s="4" t="str">
        <x:v>功能需求</x:v>
      </x:c>
      <x:c r="F211" s="4" t="str">
        <x:v>P1</x:v>
      </x:c>
      <x:c r="G211" s="4" t="str">
        <x:v>验证充值用户分层汇总（每日）可查看新 / 老用户</x:v>
      </x:c>
      <x:c r="H211" s="4" t="str">
        <x:v>新 / 老用户展示</x:v>
      </x:c>
      <x:c r="I211" s="4" t="str">
        <x:v>1. 平台管理员账号已登录且具备当前页面权限</x:v>
      </x:c>
      <x:c r="J211" s="4" t="str">
        <x:v>1. 进入充值用户分层汇总（每日）
2. 查看新 / 老用户</x:v>
      </x:c>
      <x:c r="K211" s="4" t="str">
        <x:v>充值用户分层汇总（每日）显示“新 / 老用户”</x:v>
      </x:c>
      <x:c r="L211" s="4" t="str"/>
      <x:c r="M211" s="4" t="str">
        <x:v>未测</x:v>
      </x:c>
      <x:c r="N211" s="4" t="str"/>
      <x:c r="O211" s="4" t="str">
        <x:v>1. 来源（原型批注）：liveshow-proto/prototype/annotations/admin.js；admin-user-activity-statistics.html
2. 页面：admin-user-activity-statistics.html
3. 规则：BR-257972C3B26DBA
4. 场景：SC-7E324AA1E9D4A9
5. 未动态验证</x:v>
      </x:c>
    </x:row>
    <x:row r="212" ht="54" customHeight="1">
      <x:c r="A212" s="4" t="n">
        <x:v>211</x:v>
      </x:c>
      <x:c r="B212" s="4" t="str">
        <x:v>ADATA-0017</x:v>
      </x:c>
      <x:c r="C212" s="4" t="str">
        <x:v>数据报表</x:v>
      </x:c>
      <x:c r="D212" s="4" t="str">
        <x:v>充值用户分层汇总（每日）（平台管理员视角）</x:v>
      </x:c>
      <x:c r="E212" s="4" t="str">
        <x:v>功能需求</x:v>
      </x:c>
      <x:c r="F212" s="4" t="str">
        <x:v>P1</x:v>
      </x:c>
      <x:c r="G212" s="4" t="str">
        <x:v>验证充值用户分层汇总（每日）可查看新用户 ARPU</x:v>
      </x:c>
      <x:c r="H212" s="4" t="str">
        <x:v>新用户 ARPU展示</x:v>
      </x:c>
      <x:c r="I212" s="4" t="str">
        <x:v>1. 平台管理员账号已登录且具备当前页面权限</x:v>
      </x:c>
      <x:c r="J212" s="4" t="str">
        <x:v>1. 进入充值用户分层汇总（每日）
2. 查看新用户 ARPU</x:v>
      </x:c>
      <x:c r="K212" s="4" t="str">
        <x:v>充值用户分层汇总（每日）显示“新用户 ARPU”</x:v>
      </x:c>
      <x:c r="L212" s="4" t="str"/>
      <x:c r="M212" s="4" t="str">
        <x:v>未测</x:v>
      </x:c>
      <x:c r="N212" s="4" t="str"/>
      <x:c r="O212" s="4" t="str">
        <x:v>1. 来源（原型批注）：liveshow-proto/prototype/annotations/admin.js；admin-user-activity-statistics.html
2. 页面：admin-user-activity-statistics.html
3. 规则：BR-3E1D731B2D3FC2、BR-2CF7112C834C0B
4. 场景：SC-477FFAA08F78BB
5. 未动态验证</x:v>
      </x:c>
    </x:row>
    <x:row r="213" ht="54" customHeight="1">
      <x:c r="A213" s="4" t="n">
        <x:v>212</x:v>
      </x:c>
      <x:c r="B213" s="4" t="str">
        <x:v>ADATA-0018</x:v>
      </x:c>
      <x:c r="C213" s="4" t="str">
        <x:v>数据报表</x:v>
      </x:c>
      <x:c r="D213" s="4" t="str">
        <x:v>充值用户分层汇总（每日）（平台管理员视角）</x:v>
      </x:c>
      <x:c r="E213" s="4" t="str">
        <x:v>功能需求</x:v>
      </x:c>
      <x:c r="F213" s="4" t="str">
        <x:v>P1</x:v>
      </x:c>
      <x:c r="G213" s="4" t="str">
        <x:v>验证充值用户分层汇总（每日）可查看总充值金额</x:v>
      </x:c>
      <x:c r="H213" s="4" t="str">
        <x:v>总充值金额展示</x:v>
      </x:c>
      <x:c r="I213" s="4" t="str">
        <x:v>1. 平台管理员账号已登录且具备当前页面权限</x:v>
      </x:c>
      <x:c r="J213" s="4" t="str">
        <x:v>1. 进入充值用户分层汇总（每日）
2. 查看总充值金额</x:v>
      </x:c>
      <x:c r="K213" s="4" t="str">
        <x:v>充值用户分层汇总（每日）显示“总充值金额”</x:v>
      </x:c>
      <x:c r="L213" s="4" t="str"/>
      <x:c r="M213" s="4" t="str">
        <x:v>未测</x:v>
      </x:c>
      <x:c r="N213" s="4" t="str"/>
      <x:c r="O213" s="4" t="str">
        <x:v>1. 来源（原型批注）：liveshow-proto/prototype/annotations/admin.js；admin-user-activity-statistics.html
2. 页面：admin-user-activity-statistics.html
3. 规则：BR-2989BAD09D6F73
4. 场景：SC-FDB36DA02C456E
5. 未动态验证</x:v>
      </x:c>
    </x:row>
    <x:row r="214" ht="54" customHeight="1">
      <x:c r="A214" s="4" t="n">
        <x:v>213</x:v>
      </x:c>
      <x:c r="B214" s="4" t="str">
        <x:v>ADATA-0019</x:v>
      </x:c>
      <x:c r="C214" s="4" t="str">
        <x:v>数据报表</x:v>
      </x:c>
      <x:c r="D214" s="4" t="str">
        <x:v>充值用户分层汇总（每日）（平台管理员视角）</x:v>
      </x:c>
      <x:c r="E214" s="4" t="str">
        <x:v>功能需求</x:v>
      </x:c>
      <x:c r="F214" s="4" t="str">
        <x:v>P1</x:v>
      </x:c>
      <x:c r="G214" s="4" t="str">
        <x:v>验证充值用户分层汇总（每日）可查看总充值人数</x:v>
      </x:c>
      <x:c r="H214" s="4" t="str">
        <x:v>总充值人数展示</x:v>
      </x:c>
      <x:c r="I214" s="4" t="str">
        <x:v>1. 平台管理员账号已登录且具备当前页面权限</x:v>
      </x:c>
      <x:c r="J214" s="4" t="str">
        <x:v>1. 进入充值用户分层汇总（每日）
2. 查看总充值人数</x:v>
      </x:c>
      <x:c r="K214" s="4" t="str">
        <x:v>充值用户分层汇总（每日）显示“总充值人数”</x:v>
      </x:c>
      <x:c r="L214" s="4" t="str"/>
      <x:c r="M214" s="4" t="str">
        <x:v>未测</x:v>
      </x:c>
      <x:c r="N214" s="4" t="str"/>
      <x:c r="O214" s="4" t="str">
        <x:v>1. 来源（原型批注）：liveshow-proto/prototype/annotations/admin.js；admin-user-activity-statistics.html
2. 页面：admin-user-activity-statistics.html
3. 规则：BR-C12EEAA942E9BA
4. 场景：SC-9266FE1AB4DD87
5. 未动态验证</x:v>
      </x:c>
    </x:row>
    <x:row r="215" ht="54" customHeight="1">
      <x:c r="A215" s="4" t="n">
        <x:v>214</x:v>
      </x:c>
      <x:c r="B215" s="4" t="str">
        <x:v>ADATA-0020</x:v>
      </x:c>
      <x:c r="C215" s="4" t="str">
        <x:v>数据报表</x:v>
      </x:c>
      <x:c r="D215" s="4" t="str">
        <x:v>工作台（平台管理员视角）</x:v>
      </x:c>
      <x:c r="E215" s="4" t="str">
        <x:v>业务流程</x:v>
      </x:c>
      <x:c r="F215" s="4" t="str">
        <x:v>P2</x:v>
      </x:c>
      <x:c r="G215" s="4" t="str">
        <x:v>验证点击快捷入口后的工作台状态</x:v>
      </x:c>
      <x:c r="H215" s="4" t="str">
        <x:v>工作台状态</x:v>
      </x:c>
      <x:c r="I215" s="4" t="str">
        <x:v>1. 平台管理员账号已登录且具备当前页面权限</x:v>
      </x:c>
      <x:c r="J215" s="4" t="str">
        <x:v>1. 进入工作台
2. 点击快捷入口</x:v>
      </x:c>
      <x:c r="K215" s="4" t="str">
        <x:v>进入对应页面</x:v>
      </x:c>
      <x:c r="L215" s="4" t="str"/>
      <x:c r="M215" s="4" t="str">
        <x:v>未测</x:v>
      </x:c>
      <x:c r="N215" s="4" t="str"/>
      <x:c r="O215" s="4" t="str">
        <x:v>1. 来源（原型批注）：liveshow-proto/prototype/annotations/admin.js；admin-dashboard.html
2. 页面：admin-dashboard.html
3. 规则：BR-8D09A49E67ACED
4. 场景：SC-FFAF65134A73CA
5. 未动态验证</x:v>
      </x:c>
    </x:row>
    <x:row r="216" ht="54" customHeight="1">
      <x:c r="A216" s="4" t="n">
        <x:v>215</x:v>
      </x:c>
      <x:c r="B216" s="4" t="str">
        <x:v>ADATA-0021</x:v>
      </x:c>
      <x:c r="C216" s="4" t="str">
        <x:v>数据报表</x:v>
      </x:c>
      <x:c r="D216" s="4" t="str">
        <x:v>工作台（平台管理员视角）</x:v>
      </x:c>
      <x:c r="E216" s="4" t="str">
        <x:v>业务流程</x:v>
      </x:c>
      <x:c r="F216" s="4" t="str">
        <x:v>P2</x:v>
      </x:c>
      <x:c r="G216" s="4" t="str">
        <x:v>验证点击退款记录后的工作台状态</x:v>
      </x:c>
      <x:c r="H216" s="4" t="str">
        <x:v>工作台状态</x:v>
      </x:c>
      <x:c r="I216" s="4" t="str">
        <x:v>1. 平台管理员账号已登录且具备当前页面权限</x:v>
      </x:c>
      <x:c r="J216" s="4" t="str">
        <x:v>1. 进入工作台
2. 点击退款记录</x:v>
      </x:c>
      <x:c r="K216" s="4" t="str">
        <x:v>进入对应页面</x:v>
      </x:c>
      <x:c r="L216" s="4" t="str"/>
      <x:c r="M216" s="4" t="str">
        <x:v>未测</x:v>
      </x:c>
      <x:c r="N216" s="4" t="str"/>
      <x:c r="O216" s="4" t="str">
        <x:v>1. 来源（原型批注）：liveshow-proto/prototype/annotations/admin.js；admin-dashboard.html
2. 页面：admin-dashboard.html
3. 规则：BR-8D09A49E67ACED
4. 场景：SC-4730003C00CEBF
5. 未动态验证</x:v>
      </x:c>
    </x:row>
    <x:row r="217" ht="54" customHeight="1">
      <x:c r="A217" s="4" t="n">
        <x:v>216</x:v>
      </x:c>
      <x:c r="B217" s="4" t="str">
        <x:v>ADATA-0022</x:v>
      </x:c>
      <x:c r="C217" s="4" t="str">
        <x:v>数据报表</x:v>
      </x:c>
      <x:c r="D217" s="4" t="str">
        <x:v>工作台（平台管理员视角）</x:v>
      </x:c>
      <x:c r="E217" s="4" t="str">
        <x:v>业务流程</x:v>
      </x:c>
      <x:c r="F217" s="4" t="str">
        <x:v>P2</x:v>
      </x:c>
      <x:c r="G217" s="4" t="str">
        <x:v>验证点击指标卡后的工作台状态</x:v>
      </x:c>
      <x:c r="H217" s="4" t="str">
        <x:v>工作台状态</x:v>
      </x:c>
      <x:c r="I217" s="4" t="str">
        <x:v>1. 平台管理员账号已登录且具备当前页面权限</x:v>
      </x:c>
      <x:c r="J217" s="4" t="str">
        <x:v>1. 进入工作台
2. 点击指标卡</x:v>
      </x:c>
      <x:c r="K217" s="4" t="str">
        <x:v>切换趋势</x:v>
      </x:c>
      <x:c r="L217" s="4" t="str"/>
      <x:c r="M217" s="4" t="str">
        <x:v>未测</x:v>
      </x:c>
      <x:c r="N217" s="4" t="str"/>
      <x:c r="O217" s="4" t="str">
        <x:v>1. 来源（原型批注）：liveshow-proto/prototype/annotations/admin.js；admin-dashboard.html
2. 页面：admin-dashboard.html
3. 规则：BR-E3590D4E8671AA
4. 场景：SC-6069AB527BEA24
5. 未动态验证</x:v>
      </x:c>
    </x:row>
    <x:row r="218" ht="54" customHeight="1">
      <x:c r="A218" s="4" t="n">
        <x:v>217</x:v>
      </x:c>
      <x:c r="B218" s="4" t="str">
        <x:v>ADATA-0023</x:v>
      </x:c>
      <x:c r="C218" s="4" t="str">
        <x:v>数据报表</x:v>
      </x:c>
      <x:c r="D218" s="4" t="str">
        <x:v>工作台（平台管理员视角）</x:v>
      </x:c>
      <x:c r="E218" s="4" t="str">
        <x:v>功能需求</x:v>
      </x:c>
      <x:c r="F218" s="4" t="str">
        <x:v>P2</x:v>
      </x:c>
      <x:c r="G218" s="4" t="str">
        <x:v>验证工作台可查看被动退款</x:v>
      </x:c>
      <x:c r="H218" s="4" t="str">
        <x:v>被动退款展示</x:v>
      </x:c>
      <x:c r="I218" s="4" t="str">
        <x:v>1. 平台管理员账号已登录且具备当前页面权限</x:v>
      </x:c>
      <x:c r="J218" s="4" t="str">
        <x:v>1. 进入工作台
2. 查看被动退款</x:v>
      </x:c>
      <x:c r="K218" s="4" t="str">
        <x:v>工作台显示“被动退款”</x:v>
      </x:c>
      <x:c r="L218" s="4" t="str"/>
      <x:c r="M218" s="4" t="str">
        <x:v>未测</x:v>
      </x:c>
      <x:c r="N218" s="4" t="str"/>
      <x:c r="O218" s="4" t="str">
        <x:v>1. 来源（原型批注）：liveshow-proto/prototype/annotations/admin.js；admin-dashboard.html
2. 页面：admin-dashboard.html
3. 规则：BR-35A32C5CAF250F
4. 场景：SC-99A5941DCEBE6B
5. 未动态验证</x:v>
      </x:c>
    </x:row>
    <x:row r="219" ht="54" customHeight="1">
      <x:c r="A219" s="4" t="n">
        <x:v>218</x:v>
      </x:c>
      <x:c r="B219" s="4" t="str">
        <x:v>ADATA-0024</x:v>
      </x:c>
      <x:c r="C219" s="4" t="str">
        <x:v>数据报表</x:v>
      </x:c>
      <x:c r="D219" s="4" t="str">
        <x:v>工作台（平台管理员视角）</x:v>
      </x:c>
      <x:c r="E219" s="4" t="str">
        <x:v>功能需求</x:v>
      </x:c>
      <x:c r="F219" s="4" t="str">
        <x:v>P2</x:v>
      </x:c>
      <x:c r="G219" s="4" t="str">
        <x:v>验证工作台可查看达成有效天主播</x:v>
      </x:c>
      <x:c r="H219" s="4" t="str">
        <x:v>达成有效天主播展示</x:v>
      </x:c>
      <x:c r="I219" s="4" t="str">
        <x:v>1. 平台管理员账号已登录且具备当前页面权限</x:v>
      </x:c>
      <x:c r="J219" s="4" t="str">
        <x:v>1. 进入工作台
2. 查看达成有效天主播</x:v>
      </x:c>
      <x:c r="K219" s="4" t="str">
        <x:v>工作台显示“达成有效天主播”</x:v>
      </x:c>
      <x:c r="L219" s="4" t="str"/>
      <x:c r="M219" s="4" t="str">
        <x:v>未测</x:v>
      </x:c>
      <x:c r="N219" s="4" t="str"/>
      <x:c r="O219" s="4" t="str">
        <x:v>1. 来源（原型批注）：liveshow-proto/prototype/annotations/admin.js；admin-dashboard.html
2. 页面：admin-dashboard.html
3. 规则：BR-0EBF7C1630BE83
4. 场景：SC-1332C6B26A1CE5
5. 未动态验证</x:v>
      </x:c>
    </x:row>
    <x:row r="220" ht="54" customHeight="1">
      <x:c r="A220" s="4" t="n">
        <x:v>219</x:v>
      </x:c>
      <x:c r="B220" s="4" t="str">
        <x:v>ADATA-0025</x:v>
      </x:c>
      <x:c r="C220" s="4" t="str">
        <x:v>数据报表</x:v>
      </x:c>
      <x:c r="D220" s="4" t="str">
        <x:v>工作台（平台管理员视角）</x:v>
      </x:c>
      <x:c r="E220" s="4" t="str">
        <x:v>功能需求</x:v>
      </x:c>
      <x:c r="F220" s="4" t="str">
        <x:v>P2</x:v>
      </x:c>
      <x:c r="G220" s="4" t="str">
        <x:v>验证工作台可查看活跃用户 / 新增用户</x:v>
      </x:c>
      <x:c r="H220" s="4" t="str">
        <x:v>活跃用户 / 新增用户展示</x:v>
      </x:c>
      <x:c r="I220" s="4" t="str">
        <x:v>1. 平台管理员账号已登录且具备当前页面权限</x:v>
      </x:c>
      <x:c r="J220" s="4" t="str">
        <x:v>1. 进入工作台
2. 查看活跃用户 / 新增用户</x:v>
      </x:c>
      <x:c r="K220" s="4" t="str">
        <x:v>工作台显示“活跃用户 / 新增用户”</x:v>
      </x:c>
      <x:c r="L220" s="4" t="str"/>
      <x:c r="M220" s="4" t="str">
        <x:v>未测</x:v>
      </x:c>
      <x:c r="N220" s="4" t="str"/>
      <x:c r="O220" s="4" t="str">
        <x:v>1. 来源（原型批注）：liveshow-proto/prototype/annotations/admin.js；admin-dashboard.html
2. 页面：admin-dashboard.html
3. 规则：BR-4E66C49F3B12CC
4. 场景：SC-365707C3490A74
5. 未动态验证</x:v>
      </x:c>
    </x:row>
    <x:row r="221" ht="54" customHeight="1">
      <x:c r="A221" s="4" t="n">
        <x:v>220</x:v>
      </x:c>
      <x:c r="B221" s="4" t="str">
        <x:v>ADATA-0026</x:v>
      </x:c>
      <x:c r="C221" s="4" t="str">
        <x:v>数据报表</x:v>
      </x:c>
      <x:c r="D221" s="4" t="str">
        <x:v>工作台（平台管理员视角）</x:v>
      </x:c>
      <x:c r="E221" s="4" t="str">
        <x:v>功能需求</x:v>
      </x:c>
      <x:c r="F221" s="4" t="str">
        <x:v>P2</x:v>
      </x:c>
      <x:c r="G221" s="4" t="str">
        <x:v>验证工作台可查看新用户 ARPU</x:v>
      </x:c>
      <x:c r="H221" s="4" t="str">
        <x:v>新用户 ARPU展示</x:v>
      </x:c>
      <x:c r="I221" s="4" t="str">
        <x:v>1. 平台管理员账号已登录且具备当前页面权限</x:v>
      </x:c>
      <x:c r="J221" s="4" t="str">
        <x:v>1. 进入工作台
2. 查看新用户 ARPU</x:v>
      </x:c>
      <x:c r="K221" s="4" t="str">
        <x:v>工作台显示“新用户 ARPU”</x:v>
      </x:c>
      <x:c r="L221" s="4" t="str"/>
      <x:c r="M221" s="4" t="str">
        <x:v>未测</x:v>
      </x:c>
      <x:c r="N221" s="4" t="str"/>
      <x:c r="O221" s="4" t="str">
        <x:v>1. 来源（原型批注）：liveshow-proto/prototype/annotations/admin.js；admin-dashboard.html
2. 页面：admin-dashboard.html
3. 规则：BR-6311740F9B347A、BR-E2A59B9E76C8A7
4. 场景：SC-4CD84058EEBAB1
5. 未动态验证</x:v>
      </x:c>
    </x:row>
    <x:row r="222" ht="54" customHeight="1">
      <x:c r="A222" s="4" t="n">
        <x:v>221</x:v>
      </x:c>
      <x:c r="B222" s="4" t="str">
        <x:v>ADATA-0027</x:v>
      </x:c>
      <x:c r="C222" s="4" t="str">
        <x:v>数据报表</x:v>
      </x:c>
      <x:c r="D222" s="4" t="str">
        <x:v>工作台（平台管理员视角）</x:v>
      </x:c>
      <x:c r="E222" s="4" t="str">
        <x:v>功能需求</x:v>
      </x:c>
      <x:c r="F222" s="4" t="str">
        <x:v>P2</x:v>
      </x:c>
      <x:c r="G222" s="4" t="str">
        <x:v>验证工作台可查看新用户充值金额</x:v>
      </x:c>
      <x:c r="H222" s="4" t="str">
        <x:v>新用户充值金额展示</x:v>
      </x:c>
      <x:c r="I222" s="4" t="str">
        <x:v>1. 平台管理员账号已登录且具备当前页面权限</x:v>
      </x:c>
      <x:c r="J222" s="4" t="str">
        <x:v>1. 进入工作台
2. 查看新用户充值金额</x:v>
      </x:c>
      <x:c r="K222" s="4" t="str">
        <x:v>工作台显示“新用户充值金额”</x:v>
      </x:c>
      <x:c r="L222" s="4" t="str"/>
      <x:c r="M222" s="4" t="str">
        <x:v>未测</x:v>
      </x:c>
      <x:c r="N222" s="4" t="str"/>
      <x:c r="O222" s="4" t="str">
        <x:v>1. 来源（原型批注）：liveshow-proto/prototype/annotations/admin.js；admin-dashboard.html
2. 页面：admin-dashboard.html
3. 规则：BR-F55F532309BF1C
4. 场景：SC-264E32E0DF57EF
5. 未动态验证</x:v>
      </x:c>
    </x:row>
    <x:row r="223" ht="54" customHeight="1">
      <x:c r="A223" s="4" t="n">
        <x:v>222</x:v>
      </x:c>
      <x:c r="B223" s="4" t="str">
        <x:v>ADATA-0028</x:v>
      </x:c>
      <x:c r="C223" s="4" t="str">
        <x:v>数据报表</x:v>
      </x:c>
      <x:c r="D223" s="4" t="str">
        <x:v>工作台（平台管理员视角）</x:v>
      </x:c>
      <x:c r="E223" s="4" t="str">
        <x:v>功能需求</x:v>
      </x:c>
      <x:c r="F223" s="4" t="str">
        <x:v>P2</x:v>
      </x:c>
      <x:c r="G223" s="4" t="str">
        <x:v>验证工作台可查看总充值金额 / 人数</x:v>
      </x:c>
      <x:c r="H223" s="4" t="str">
        <x:v>总充值金额 / 人数展示</x:v>
      </x:c>
      <x:c r="I223" s="4" t="str">
        <x:v>1. 平台管理员账号已登录且具备当前页面权限</x:v>
      </x:c>
      <x:c r="J223" s="4" t="str">
        <x:v>1. 进入工作台
2. 查看总充值金额 / 人数</x:v>
      </x:c>
      <x:c r="K223" s="4" t="str">
        <x:v>工作台显示“总充值金额 / 人数”</x:v>
      </x:c>
      <x:c r="L223" s="4" t="str"/>
      <x:c r="M223" s="4" t="str">
        <x:v>未测</x:v>
      </x:c>
      <x:c r="N223" s="4" t="str"/>
      <x:c r="O223" s="4" t="str">
        <x:v>1. 来源（原型批注）：liveshow-proto/prototype/annotations/admin.js；admin-dashboard.html
2. 页面：admin-dashboard.html
3. 规则：BR-767A8E6A53A258
4. 场景：SC-1E8F80D19BBBB6
5. 未动态验证</x:v>
      </x:c>
    </x:row>
    <x:row r="224" ht="54" customHeight="1">
      <x:c r="A224" s="4" t="n">
        <x:v>223</x:v>
      </x:c>
      <x:c r="B224" s="4" t="str">
        <x:v>ADATA-0029</x:v>
      </x:c>
      <x:c r="C224" s="4" t="str">
        <x:v>数据报表</x:v>
      </x:c>
      <x:c r="D224" s="4" t="str">
        <x:v>礼物消费汇总报表（平台管理员视角）</x:v>
      </x:c>
      <x:c r="E224" s="4" t="str">
        <x:v>功能需求</x:v>
      </x:c>
      <x:c r="F224" s="4" t="str">
        <x:v>P2</x:v>
      </x:c>
      <x:c r="G224" s="4" t="str">
        <x:v>验证礼物消费汇总报表可查看单价</x:v>
      </x:c>
      <x:c r="H224" s="4" t="str">
        <x:v>单价展示</x:v>
      </x:c>
      <x:c r="I224" s="4" t="str">
        <x:v>1. 平台管理员账号已登录且具备当前页面权限</x:v>
      </x:c>
      <x:c r="J224" s="4" t="str">
        <x:v>1. 进入礼物消费汇总报表
2. 查看单价</x:v>
      </x:c>
      <x:c r="K224" s="4" t="str">
        <x:v>礼物消费汇总报表显示“单价”</x:v>
      </x:c>
      <x:c r="L224" s="4" t="str"/>
      <x:c r="M224" s="4" t="str">
        <x:v>未测</x:v>
      </x:c>
      <x:c r="N224" s="4" t="str"/>
      <x:c r="O224" s="4" t="str">
        <x:v>1. 来源（原型批注）：liveshow-proto/prototype/annotations/admin.js；admin-monthly-gift-sales.html
2. 页面：admin-monthly-gift-sales.html
3. 规则：BR-DBB3D73EF0D261
4. 场景：SC-F41B76C93EA6CE
5. 未动态验证</x:v>
      </x:c>
    </x:row>
    <x:row r="225" ht="54" customHeight="1">
      <x:c r="A225" s="4" t="n">
        <x:v>224</x:v>
      </x:c>
      <x:c r="B225" s="4" t="str">
        <x:v>ADATA-0030</x:v>
      </x:c>
      <x:c r="C225" s="4" t="str">
        <x:v>数据报表</x:v>
      </x:c>
      <x:c r="D225" s="4" t="str">
        <x:v>礼物消费汇总报表（平台管理员视角）</x:v>
      </x:c>
      <x:c r="E225" s="4" t="str">
        <x:v>功能需求</x:v>
      </x:c>
      <x:c r="F225" s="4" t="str">
        <x:v>P2</x:v>
      </x:c>
      <x:c r="G225" s="4" t="str">
        <x:v>验证礼物消费汇总报表可查看销量</x:v>
      </x:c>
      <x:c r="H225" s="4" t="str">
        <x:v>销量展示</x:v>
      </x:c>
      <x:c r="I225" s="4" t="str">
        <x:v>1. 平台管理员账号已登录且具备当前页面权限</x:v>
      </x:c>
      <x:c r="J225" s="4" t="str">
        <x:v>1. 进入礼物消费汇总报表
2. 查看销量</x:v>
      </x:c>
      <x:c r="K225" s="4" t="str">
        <x:v>礼物消费汇总报表显示“销量”</x:v>
      </x:c>
      <x:c r="L225" s="4" t="str"/>
      <x:c r="M225" s="4" t="str">
        <x:v>未测</x:v>
      </x:c>
      <x:c r="N225" s="4" t="str"/>
      <x:c r="O225" s="4" t="str">
        <x:v>1. 来源（原型批注）：liveshow-proto/prototype/annotations/admin.js；admin-monthly-gift-sales.html
2. 页面：admin-monthly-gift-sales.html
3. 规则：BR-CBFD522A04B2F5
4. 场景：SC-0FFCCD91953615
5. 未动态验证</x:v>
      </x:c>
    </x:row>
    <x:row r="226" ht="54" customHeight="1">
      <x:c r="A226" s="4" t="n">
        <x:v>225</x:v>
      </x:c>
      <x:c r="B226" s="4" t="str">
        <x:v>ADATA-0031</x:v>
      </x:c>
      <x:c r="C226" s="4" t="str">
        <x:v>数据报表</x:v>
      </x:c>
      <x:c r="D226" s="4" t="str">
        <x:v>礼物消费汇总报表（平台管理员视角）</x:v>
      </x:c>
      <x:c r="E226" s="4" t="str">
        <x:v>功能需求</x:v>
      </x:c>
      <x:c r="F226" s="4" t="str">
        <x:v>P2</x:v>
      </x:c>
      <x:c r="G226" s="4" t="str">
        <x:v>验证礼物消费汇总报表可查看销售额</x:v>
      </x:c>
      <x:c r="H226" s="4" t="str">
        <x:v>销售额展示</x:v>
      </x:c>
      <x:c r="I226" s="4" t="str">
        <x:v>1. 平台管理员账号已登录且具备当前页面权限</x:v>
      </x:c>
      <x:c r="J226" s="4" t="str">
        <x:v>1. 进入礼物消费汇总报表
2. 查看销售额</x:v>
      </x:c>
      <x:c r="K226" s="4" t="str">
        <x:v>礼物消费汇总报表显示“销售额”</x:v>
      </x:c>
      <x:c r="L226" s="4" t="str"/>
      <x:c r="M226" s="4" t="str">
        <x:v>未测</x:v>
      </x:c>
      <x:c r="N226" s="4" t="str"/>
      <x:c r="O226" s="4" t="str">
        <x:v>1. 来源（原型批注）：liveshow-proto/prototype/annotations/admin.js；admin-monthly-gift-sales.html
2. 页面：admin-monthly-gift-sales.html
3. 规则：BR-5656F74615E43D、BR-584694250B852E
4. 场景：SC-7E5F1532A06F8A
5. 未动态验证</x:v>
      </x:c>
    </x:row>
    <x:row r="227" ht="54" customHeight="1">
      <x:c r="A227" s="4" t="n">
        <x:v>226</x:v>
      </x:c>
      <x:c r="B227" s="4" t="str">
        <x:v>ADATA-0032</x:v>
      </x:c>
      <x:c r="C227" s="4" t="str">
        <x:v>数据报表</x:v>
      </x:c>
      <x:c r="D227" s="4" t="str">
        <x:v>每日统计（平台管理员视角）</x:v>
      </x:c>
      <x:c r="E227" s="4" t="str">
        <x:v>功能需求</x:v>
      </x:c>
      <x:c r="F227" s="4" t="str">
        <x:v>P2</x:v>
      </x:c>
      <x:c r="G227" s="4" t="str">
        <x:v>验证每日统计可查看达成有效天主播</x:v>
      </x:c>
      <x:c r="H227" s="4" t="str">
        <x:v>达成有效天主播展示</x:v>
      </x:c>
      <x:c r="I227" s="4" t="str">
        <x:v>1. 平台管理员账号已登录且具备当前页面权限</x:v>
      </x:c>
      <x:c r="J227" s="4" t="str">
        <x:v>1. 进入每日统计
2. 查看达成有效天主播</x:v>
      </x:c>
      <x:c r="K227" s="4" t="str">
        <x:v>每日统计显示“达成有效天主播”</x:v>
      </x:c>
      <x:c r="L227" s="4" t="str"/>
      <x:c r="M227" s="4" t="str">
        <x:v>未测</x:v>
      </x:c>
      <x:c r="N227" s="4" t="str"/>
      <x:c r="O227" s="4" t="str">
        <x:v>1. 来源（原型批注）：liveshow-proto/prototype/annotations/admin.js；admin-daily-statistics.html
2. 页面：admin-daily-statistics.html
3. 规则：BR-6C985B056A6068
4. 场景：SC-791E828A51E152
5. 未动态验证</x:v>
      </x:c>
    </x:row>
    <x:row r="228" ht="54" customHeight="1">
      <x:c r="A228" s="4" t="n">
        <x:v>227</x:v>
      </x:c>
      <x:c r="B228" s="4" t="str">
        <x:v>ADATA-0033</x:v>
      </x:c>
      <x:c r="C228" s="4" t="str">
        <x:v>数据报表</x:v>
      </x:c>
      <x:c r="D228" s="4" t="str">
        <x:v>每日统计（平台管理员视角）</x:v>
      </x:c>
      <x:c r="E228" s="4" t="str">
        <x:v>功能需求</x:v>
      </x:c>
      <x:c r="F228" s="4" t="str">
        <x:v>P2</x:v>
      </x:c>
      <x:c r="G228" s="4" t="str">
        <x:v>验证每日统计可查看活跃 / 新增用户</x:v>
      </x:c>
      <x:c r="H228" s="4" t="str">
        <x:v>活跃 / 新增用户展示</x:v>
      </x:c>
      <x:c r="I228" s="4" t="str">
        <x:v>1. 平台管理员账号已登录且具备当前页面权限</x:v>
      </x:c>
      <x:c r="J228" s="4" t="str">
        <x:v>1. 进入每日统计
2. 查看活跃 / 新增用户</x:v>
      </x:c>
      <x:c r="K228" s="4" t="str">
        <x:v>每日统计显示“活跃 / 新增用户”</x:v>
      </x:c>
      <x:c r="L228" s="4" t="str"/>
      <x:c r="M228" s="4" t="str">
        <x:v>未测</x:v>
      </x:c>
      <x:c r="N228" s="4" t="str"/>
      <x:c r="O228" s="4" t="str">
        <x:v>1. 来源（原型批注）：liveshow-proto/prototype/annotations/admin.js；admin-daily-statistics.html
2. 页面：admin-daily-statistics.html
3. 规则：BR-D0AB489E9BAF8D
4. 场景：SC-A330013F5A7C58
5. 未动态验证</x:v>
      </x:c>
    </x:row>
    <x:row r="229" ht="54" customHeight="1">
      <x:c r="A229" s="4" t="n">
        <x:v>228</x:v>
      </x:c>
      <x:c r="B229" s="4" t="str">
        <x:v>ADATA-0034</x:v>
      </x:c>
      <x:c r="C229" s="4" t="str">
        <x:v>数据报表</x:v>
      </x:c>
      <x:c r="D229" s="4" t="str">
        <x:v>每日统计（平台管理员视角）</x:v>
      </x:c>
      <x:c r="E229" s="4" t="str">
        <x:v>功能需求</x:v>
      </x:c>
      <x:c r="F229" s="4" t="str">
        <x:v>P2</x:v>
      </x:c>
      <x:c r="G229" s="4" t="str">
        <x:v>验证每日统计可查看开播人数</x:v>
      </x:c>
      <x:c r="H229" s="4" t="str">
        <x:v>开播人数展示</x:v>
      </x:c>
      <x:c r="I229" s="4" t="str">
        <x:v>1. 平台管理员账号已登录且具备当前页面权限</x:v>
      </x:c>
      <x:c r="J229" s="4" t="str">
        <x:v>1. 进入每日统计
2. 查看开播人数</x:v>
      </x:c>
      <x:c r="K229" s="4" t="str">
        <x:v>每日统计显示“开播人数”</x:v>
      </x:c>
      <x:c r="L229" s="4" t="str"/>
      <x:c r="M229" s="4" t="str">
        <x:v>未测</x:v>
      </x:c>
      <x:c r="N229" s="4" t="str"/>
      <x:c r="O229" s="4" t="str">
        <x:v>1. 来源（原型批注）：liveshow-proto/prototype/annotations/admin.js；admin-daily-statistics.html
2. 页面：admin-daily-statistics.html
3. 规则：BR-21A479CCD8E5B9
4. 场景：SC-464173E43DF87D
5. 未动态验证</x:v>
      </x:c>
    </x:row>
    <x:row r="230" ht="54" customHeight="1">
      <x:c r="A230" s="4" t="n">
        <x:v>229</x:v>
      </x:c>
      <x:c r="B230" s="4" t="str">
        <x:v>ADATA-0035</x:v>
      </x:c>
      <x:c r="C230" s="4" t="str">
        <x:v>数据报表</x:v>
      </x:c>
      <x:c r="D230" s="4" t="str">
        <x:v>每日统计（平台管理员视角）</x:v>
      </x:c>
      <x:c r="E230" s="4" t="str">
        <x:v>功能需求</x:v>
      </x:c>
      <x:c r="F230" s="4" t="str">
        <x:v>P2</x:v>
      </x:c>
      <x:c r="G230" s="4" t="str">
        <x:v>验证每日统计可查看开播时长中位数</x:v>
      </x:c>
      <x:c r="H230" s="4" t="str">
        <x:v>开播时长中位数展示</x:v>
      </x:c>
      <x:c r="I230" s="4" t="str">
        <x:v>1. 平台管理员账号已登录且具备当前页面权限</x:v>
      </x:c>
      <x:c r="J230" s="4" t="str">
        <x:v>1. 进入每日统计
2. 查看开播时长中位数</x:v>
      </x:c>
      <x:c r="K230" s="4" t="str">
        <x:v>每日统计显示“开播时长中位数”</x:v>
      </x:c>
      <x:c r="L230" s="4" t="str"/>
      <x:c r="M230" s="4" t="str">
        <x:v>未测</x:v>
      </x:c>
      <x:c r="N230" s="4" t="str"/>
      <x:c r="O230" s="4" t="str">
        <x:v>1. 来源（原型批注）：liveshow-proto/prototype/annotations/admin.js；admin-daily-statistics.html
2. 页面：admin-daily-statistics.html
3. 规则：BR-B612A3CDBAEDB0、BR-FCF0743DE3B172
4. 场景：SC-099101E691D1A9
5. 未动态验证</x:v>
      </x:c>
    </x:row>
    <x:row r="231" ht="54" customHeight="1">
      <x:c r="A231" s="4" t="n">
        <x:v>230</x:v>
      </x:c>
      <x:c r="B231" s="4" t="str">
        <x:v>ADATA-0036</x:v>
      </x:c>
      <x:c r="C231" s="4" t="str">
        <x:v>数据报表</x:v>
      </x:c>
      <x:c r="D231" s="4" t="str">
        <x:v>每日统计（平台管理员视角）</x:v>
      </x:c>
      <x:c r="E231" s="4" t="str">
        <x:v>功能需求</x:v>
      </x:c>
      <x:c r="F231" s="4" t="str">
        <x:v>P2</x:v>
      </x:c>
      <x:c r="G231" s="4" t="str">
        <x:v>验证每日统计可查看退款订单数 / 金额</x:v>
      </x:c>
      <x:c r="H231" s="4" t="str">
        <x:v>退款订单数 / 金额展示</x:v>
      </x:c>
      <x:c r="I231" s="4" t="str">
        <x:v>1. 平台管理员账号已登录且具备当前页面权限</x:v>
      </x:c>
      <x:c r="J231" s="4" t="str">
        <x:v>1. 进入每日统计
2. 查看退款订单数 / 金额</x:v>
      </x:c>
      <x:c r="K231" s="4" t="str">
        <x:v>每日统计显示“退款订单数 / 金额”</x:v>
      </x:c>
      <x:c r="L231" s="4" t="str"/>
      <x:c r="M231" s="4" t="str">
        <x:v>未测</x:v>
      </x:c>
      <x:c r="N231" s="4" t="str"/>
      <x:c r="O231" s="4" t="str">
        <x:v>1. 来源（原型批注）：liveshow-proto/prototype/annotations/admin.js；admin-daily-statistics.html
2. 页面：admin-daily-statistics.html
3. 规则：BR-37D006AC1F9631
4. 场景：SC-E14D5A606C8BE9
5. 未动态验证</x:v>
      </x:c>
    </x:row>
    <x:row r="232" ht="54" customHeight="1">
      <x:c r="A232" s="4" t="n">
        <x:v>231</x:v>
      </x:c>
      <x:c r="B232" s="4" t="str">
        <x:v>ADATA-0037</x:v>
      </x:c>
      <x:c r="C232" s="4" t="str">
        <x:v>数据报表</x:v>
      </x:c>
      <x:c r="D232" s="4" t="str">
        <x:v>每日统计（平台管理员视角）</x:v>
      </x:c>
      <x:c r="E232" s="4" t="str">
        <x:v>功能需求</x:v>
      </x:c>
      <x:c r="F232" s="4" t="str">
        <x:v>P2</x:v>
      </x:c>
      <x:c r="G232" s="4" t="str">
        <x:v>验证每日统计可查看新用户 ARPU</x:v>
      </x:c>
      <x:c r="H232" s="4" t="str">
        <x:v>新用户 ARPU展示</x:v>
      </x:c>
      <x:c r="I232" s="4" t="str">
        <x:v>1. 平台管理员账号已登录且具备当前页面权限</x:v>
      </x:c>
      <x:c r="J232" s="4" t="str">
        <x:v>1. 进入每日统计
2. 查看新用户 ARPU</x:v>
      </x:c>
      <x:c r="K232" s="4" t="str">
        <x:v>每日统计显示“新用户 ARPU”</x:v>
      </x:c>
      <x:c r="L232" s="4" t="str"/>
      <x:c r="M232" s="4" t="str">
        <x:v>未测</x:v>
      </x:c>
      <x:c r="N232" s="4" t="str"/>
      <x:c r="O232" s="4" t="str">
        <x:v>1. 来源（原型批注）：liveshow-proto/prototype/annotations/admin.js；admin-daily-statistics.html
2. 页面：admin-daily-statistics.html
3. 规则：BR-7DC044EFB7C84D、BR-AA96758722E980
4. 场景：SC-8988FA5733C7F8
5. 未动态验证</x:v>
      </x:c>
    </x:row>
    <x:row r="233" ht="54" customHeight="1">
      <x:c r="A233" s="4" t="n">
        <x:v>232</x:v>
      </x:c>
      <x:c r="B233" s="4" t="str">
        <x:v>ADATA-0038</x:v>
      </x:c>
      <x:c r="C233" s="4" t="str">
        <x:v>数据报表</x:v>
      </x:c>
      <x:c r="D233" s="4" t="str">
        <x:v>每日统计（平台管理员视角）</x:v>
      </x:c>
      <x:c r="E233" s="4" t="str">
        <x:v>功能需求</x:v>
      </x:c>
      <x:c r="F233" s="4" t="str">
        <x:v>P2</x:v>
      </x:c>
      <x:c r="G233" s="4" t="str">
        <x:v>验证每日统计可查看新用户充值人数 / 金额</x:v>
      </x:c>
      <x:c r="H233" s="4" t="str">
        <x:v>新用户充值人数 / 金额展示</x:v>
      </x:c>
      <x:c r="I233" s="4" t="str">
        <x:v>1. 平台管理员账号已登录且具备当前页面权限</x:v>
      </x:c>
      <x:c r="J233" s="4" t="str">
        <x:v>1. 进入每日统计
2. 查看新用户充值人数 / 金额</x:v>
      </x:c>
      <x:c r="K233" s="4" t="str">
        <x:v>每日统计显示“新用户充值人数 / 金额”</x:v>
      </x:c>
      <x:c r="L233" s="4" t="str"/>
      <x:c r="M233" s="4" t="str">
        <x:v>未测</x:v>
      </x:c>
      <x:c r="N233" s="4" t="str"/>
      <x:c r="O233" s="4" t="str">
        <x:v>1. 来源（原型批注）：liveshow-proto/prototype/annotations/admin.js；admin-daily-statistics.html
2. 页面：admin-daily-statistics.html
3. 规则：BR-A8F146293812B4
4. 场景：SC-428AB8CDA34725
5. 未动态验证</x:v>
      </x:c>
    </x:row>
    <x:row r="234" ht="54" customHeight="1">
      <x:c r="A234" s="4" t="n">
        <x:v>233</x:v>
      </x:c>
      <x:c r="B234" s="4" t="str">
        <x:v>ADATA-0039</x:v>
      </x:c>
      <x:c r="C234" s="4" t="str">
        <x:v>数据报表</x:v>
      </x:c>
      <x:c r="D234" s="4" t="str">
        <x:v>每日统计（平台管理员视角）</x:v>
      </x:c>
      <x:c r="E234" s="4" t="str">
        <x:v>功能需求</x:v>
      </x:c>
      <x:c r="F234" s="4" t="str">
        <x:v>P2</x:v>
      </x:c>
      <x:c r="G234" s="4" t="str">
        <x:v>验证每日统计可查看总充值金额 / 人数</x:v>
      </x:c>
      <x:c r="H234" s="4" t="str">
        <x:v>总充值金额 / 人数展示</x:v>
      </x:c>
      <x:c r="I234" s="4" t="str">
        <x:v>1. 平台管理员账号已登录且具备当前页面权限</x:v>
      </x:c>
      <x:c r="J234" s="4" t="str">
        <x:v>1. 进入每日统计
2. 查看总充值金额 / 人数</x:v>
      </x:c>
      <x:c r="K234" s="4" t="str">
        <x:v>每日统计显示“总充值金额 / 人数”</x:v>
      </x:c>
      <x:c r="L234" s="4" t="str"/>
      <x:c r="M234" s="4" t="str">
        <x:v>未测</x:v>
      </x:c>
      <x:c r="N234" s="4" t="str"/>
      <x:c r="O234" s="4" t="str">
        <x:v>1. 来源（原型批注）：liveshow-proto/prototype/annotations/admin.js；admin-daily-statistics.html
2. 页面：admin-daily-statistics.html
3. 规则：BR-146E91B5D7E076
4. 场景：SC-9811A2D5B77C8A
5. 未动态验证</x:v>
      </x:c>
    </x:row>
    <x:row r="235" ht="54" customHeight="1">
      <x:c r="A235" s="4" t="n">
        <x:v>234</x:v>
      </x:c>
      <x:c r="B235" s="4" t="str">
        <x:v>ADATA-0040</x:v>
      </x:c>
      <x:c r="C235" s="4" t="str">
        <x:v>数据报表</x:v>
      </x:c>
      <x:c r="D235" s="4" t="str">
        <x:v>数据概览（平台管理员视角）</x:v>
      </x:c>
      <x:c r="E235" s="4" t="str">
        <x:v>业务流程</x:v>
      </x:c>
      <x:c r="F235" s="4" t="str">
        <x:v>P2</x:v>
      </x:c>
      <x:c r="G235" s="4" t="str">
        <x:v>验证点击指标卡后的数据概览状态</x:v>
      </x:c>
      <x:c r="H235" s="4" t="str">
        <x:v>数据概览状态</x:v>
      </x:c>
      <x:c r="I235" s="4" t="str">
        <x:v>1. 平台管理员账号已登录且具备当前页面权限</x:v>
      </x:c>
      <x:c r="J235" s="4" t="str">
        <x:v>1. 进入数据概览
2. 点击指标卡</x:v>
      </x:c>
      <x:c r="K235" s="4" t="str">
        <x:v>切换趋势</x:v>
      </x:c>
      <x:c r="L235" s="4" t="str"/>
      <x:c r="M235" s="4" t="str">
        <x:v>未测</x:v>
      </x:c>
      <x:c r="N235" s="4" t="str"/>
      <x:c r="O235" s="4" t="str">
        <x:v>1. 来源（原型批注）：liveshow-proto/prototype/annotations/admin.js；admin-data-overview.html
2. 页面：admin-data-overview.html
3. 规则：BR-828FDB825C4FA6
4. 场景：SC-4FDDB73B00FD6D
5. 未动态验证</x:v>
      </x:c>
    </x:row>
    <x:row r="236" ht="54" customHeight="1">
      <x:c r="A236" s="4" t="n">
        <x:v>235</x:v>
      </x:c>
      <x:c r="B236" s="4" t="str">
        <x:v>ADATA-0041</x:v>
      </x:c>
      <x:c r="C236" s="4" t="str">
        <x:v>数据报表</x:v>
      </x:c>
      <x:c r="D236" s="4" t="str">
        <x:v>数据概览（平台管理员视角）</x:v>
      </x:c>
      <x:c r="E236" s="4" t="str">
        <x:v>功能需求</x:v>
      </x:c>
      <x:c r="F236" s="4" t="str">
        <x:v>P2</x:v>
      </x:c>
      <x:c r="G236" s="4" t="str">
        <x:v>验证数据概览可查看达成有效天主播</x:v>
      </x:c>
      <x:c r="H236" s="4" t="str">
        <x:v>达成有效天主播展示</x:v>
      </x:c>
      <x:c r="I236" s="4" t="str">
        <x:v>1. 平台管理员账号已登录且具备当前页面权限</x:v>
      </x:c>
      <x:c r="J236" s="4" t="str">
        <x:v>1. 进入数据概览
2. 查看达成有效天主播</x:v>
      </x:c>
      <x:c r="K236" s="4" t="str">
        <x:v>数据概览显示“达成有效天主播”</x:v>
      </x:c>
      <x:c r="L236" s="4" t="str"/>
      <x:c r="M236" s="4" t="str">
        <x:v>未测</x:v>
      </x:c>
      <x:c r="N236" s="4" t="str"/>
      <x:c r="O236" s="4" t="str">
        <x:v>1. 来源（原型批注）：liveshow-proto/prototype/annotations/admin.js；admin-data-overview.html
2. 页面：admin-data-overview.html
3. 规则：BR-34C8E9962BF570
4. 场景：SC-1F09CFDE1DDC57
5. 未动态验证</x:v>
      </x:c>
    </x:row>
    <x:row r="237" ht="54" customHeight="1">
      <x:c r="A237" s="4" t="n">
        <x:v>236</x:v>
      </x:c>
      <x:c r="B237" s="4" t="str">
        <x:v>ADATA-0042</x:v>
      </x:c>
      <x:c r="C237" s="4" t="str">
        <x:v>数据报表</x:v>
      </x:c>
      <x:c r="D237" s="4" t="str">
        <x:v>数据概览（平台管理员视角）</x:v>
      </x:c>
      <x:c r="E237" s="4" t="str">
        <x:v>功能需求</x:v>
      </x:c>
      <x:c r="F237" s="4" t="str">
        <x:v>P2</x:v>
      </x:c>
      <x:c r="G237" s="4" t="str">
        <x:v>验证数据概览可查看活跃 / 新增用户</x:v>
      </x:c>
      <x:c r="H237" s="4" t="str">
        <x:v>活跃 / 新增用户展示</x:v>
      </x:c>
      <x:c r="I237" s="4" t="str">
        <x:v>1. 平台管理员账号已登录且具备当前页面权限</x:v>
      </x:c>
      <x:c r="J237" s="4" t="str">
        <x:v>1. 进入数据概览
2. 查看活跃 / 新增用户</x:v>
      </x:c>
      <x:c r="K237" s="4" t="str">
        <x:v>数据概览显示“活跃 / 新增用户”</x:v>
      </x:c>
      <x:c r="L237" s="4" t="str"/>
      <x:c r="M237" s="4" t="str">
        <x:v>未测</x:v>
      </x:c>
      <x:c r="N237" s="4" t="str"/>
      <x:c r="O237" s="4" t="str">
        <x:v>1. 来源（原型批注）：liveshow-proto/prototype/annotations/admin.js；admin-data-overview.html
2. 页面：admin-data-overview.html
3. 规则：BR-94548FE40357C7
4. 场景：SC-4BE94AA08FC740
5. 未动态验证</x:v>
      </x:c>
    </x:row>
    <x:row r="238" ht="54" customHeight="1">
      <x:c r="A238" s="4" t="n">
        <x:v>237</x:v>
      </x:c>
      <x:c r="B238" s="4" t="str">
        <x:v>ADATA-0043</x:v>
      </x:c>
      <x:c r="C238" s="4" t="str">
        <x:v>数据报表</x:v>
      </x:c>
      <x:c r="D238" s="4" t="str">
        <x:v>数据概览（平台管理员视角）</x:v>
      </x:c>
      <x:c r="E238" s="4" t="str">
        <x:v>功能需求</x:v>
      </x:c>
      <x:c r="F238" s="4" t="str">
        <x:v>P2</x:v>
      </x:c>
      <x:c r="G238" s="4" t="str">
        <x:v>验证数据概览可查看新用户 ARPU</x:v>
      </x:c>
      <x:c r="H238" s="4" t="str">
        <x:v>新用户 ARPU展示</x:v>
      </x:c>
      <x:c r="I238" s="4" t="str">
        <x:v>1. 平台管理员账号已登录且具备当前页面权限</x:v>
      </x:c>
      <x:c r="J238" s="4" t="str">
        <x:v>1. 进入数据概览
2. 查看新用户 ARPU</x:v>
      </x:c>
      <x:c r="K238" s="4" t="str">
        <x:v>数据概览显示“新用户 ARPU”</x:v>
      </x:c>
      <x:c r="L238" s="4" t="str"/>
      <x:c r="M238" s="4" t="str">
        <x:v>未测</x:v>
      </x:c>
      <x:c r="N238" s="4" t="str"/>
      <x:c r="O238" s="4" t="str">
        <x:v>1. 来源（原型批注）：liveshow-proto/prototype/annotations/admin.js；admin-data-overview.html
2. 页面：admin-data-overview.html
3. 规则：BR-F38D68D7F0792A、BR-3DD9102995190E
4. 场景：SC-F5787F3E21D33B
5. 未动态验证</x:v>
      </x:c>
    </x:row>
    <x:row r="239" ht="54" customHeight="1">
      <x:c r="A239" s="4" t="n">
        <x:v>238</x:v>
      </x:c>
      <x:c r="B239" s="4" t="str">
        <x:v>ADATA-0044</x:v>
      </x:c>
      <x:c r="C239" s="4" t="str">
        <x:v>数据报表</x:v>
      </x:c>
      <x:c r="D239" s="4" t="str">
        <x:v>数据概览（平台管理员视角）</x:v>
      </x:c>
      <x:c r="E239" s="4" t="str">
        <x:v>功能需求</x:v>
      </x:c>
      <x:c r="F239" s="4" t="str">
        <x:v>P2</x:v>
      </x:c>
      <x:c r="G239" s="4" t="str">
        <x:v>验证数据概览可查看新用户充值金额</x:v>
      </x:c>
      <x:c r="H239" s="4" t="str">
        <x:v>新用户充值金额展示</x:v>
      </x:c>
      <x:c r="I239" s="4" t="str">
        <x:v>1. 平台管理员账号已登录且具备当前页面权限</x:v>
      </x:c>
      <x:c r="J239" s="4" t="str">
        <x:v>1. 进入数据概览
2. 查看新用户充值金额</x:v>
      </x:c>
      <x:c r="K239" s="4" t="str">
        <x:v>数据概览显示“新用户充值金额”</x:v>
      </x:c>
      <x:c r="L239" s="4" t="str"/>
      <x:c r="M239" s="4" t="str">
        <x:v>未测</x:v>
      </x:c>
      <x:c r="N239" s="4" t="str"/>
      <x:c r="O239" s="4" t="str">
        <x:v>1. 来源（原型批注）：liveshow-proto/prototype/annotations/admin.js；admin-data-overview.html
2. 页面：admin-data-overview.html
3. 规则：BR-6242D0059C401B
4. 场景：SC-35E87C1559C6AF
5. 未动态验证</x:v>
      </x:c>
    </x:row>
    <x:row r="240" ht="54" customHeight="1">
      <x:c r="A240" s="4" t="n">
        <x:v>239</x:v>
      </x:c>
      <x:c r="B240" s="4" t="str">
        <x:v>ADATA-0045</x:v>
      </x:c>
      <x:c r="C240" s="4" t="str">
        <x:v>数据报表</x:v>
      </x:c>
      <x:c r="D240" s="4" t="str">
        <x:v>数据概览（平台管理员视角）</x:v>
      </x:c>
      <x:c r="E240" s="4" t="str">
        <x:v>功能需求</x:v>
      </x:c>
      <x:c r="F240" s="4" t="str">
        <x:v>P2</x:v>
      </x:c>
      <x:c r="G240" s="4" t="str">
        <x:v>验证数据概览可查看总充值金额 / 人数</x:v>
      </x:c>
      <x:c r="H240" s="4" t="str">
        <x:v>总充值金额 / 人数展示</x:v>
      </x:c>
      <x:c r="I240" s="4" t="str">
        <x:v>1. 平台管理员账号已登录且具备当前页面权限</x:v>
      </x:c>
      <x:c r="J240" s="4" t="str">
        <x:v>1. 进入数据概览
2. 查看总充值金额 / 人数</x:v>
      </x:c>
      <x:c r="K240" s="4" t="str">
        <x:v>数据概览显示“总充值金额 / 人数”</x:v>
      </x:c>
      <x:c r="L240" s="4" t="str"/>
      <x:c r="M240" s="4" t="str">
        <x:v>未测</x:v>
      </x:c>
      <x:c r="N240" s="4" t="str"/>
      <x:c r="O240" s="4" t="str">
        <x:v>1. 来源（原型批注）：liveshow-proto/prototype/annotations/admin.js；admin-data-overview.html
2. 页面：admin-data-overview.html
3. 规则：BR-14232F8BF5D385
4. 场景：SC-D9CACE011A6F28
5. 未动态验证</x:v>
      </x:c>
    </x:row>
    <x:row r="241" ht="54" customHeight="1">
      <x:c r="A241" s="4" t="n">
        <x:v>240</x:v>
      </x:c>
      <x:c r="B241" s="4" t="str">
        <x:v>ADATA-0046</x:v>
      </x:c>
      <x:c r="C241" s="4" t="str">
        <x:v>数据报表</x:v>
      </x:c>
      <x:c r="D241" s="4" t="str">
        <x:v>数据概览（平台管理员视角）</x:v>
      </x:c>
      <x:c r="E241" s="4" t="str">
        <x:v>功能需求</x:v>
      </x:c>
      <x:c r="F241" s="4" t="str">
        <x:v>P2</x:v>
      </x:c>
      <x:c r="G241" s="4" t="str">
        <x:v>验证指标卡按日期范围汇总，趋势逐自然日时的数据概览结果</x:v>
      </x:c>
      <x:c r="H241" s="4" t="str">
        <x:v>数据概览条件结果</x:v>
      </x:c>
      <x:c r="I241" s="4" t="str">
        <x:v>1. 平台管理员账号已登录且具备当前页面权限
2. 指标卡按日期范围汇总，趋势逐自然日</x:v>
      </x:c>
      <x:c r="J241" s="4" t="str">
        <x:v>1. 进入数据概览
2. 查看数据概览</x:v>
      </x:c>
      <x:c r="K241" s="4" t="str">
        <x:v>指标卡按日期范围汇总，趋势逐自然日展示</x:v>
      </x:c>
      <x:c r="L241" s="4" t="str"/>
      <x:c r="M241" s="4" t="str">
        <x:v>未测</x:v>
      </x:c>
      <x:c r="N241" s="4" t="str"/>
      <x:c r="O241" s="4" t="str">
        <x:v>1. 来源（原型批注）：liveshow-proto/prototype/annotations/admin.js；admin-data-overview.html
2. 页面：admin-data-overview.html
3. 规则：BR-942A9C7FE0FA9E
4. 场景：SC-25321DC1E3D9E2
5. 未动态验证</x:v>
      </x:c>
    </x:row>
    <x:row r="242" ht="54" customHeight="1">
      <x:c r="A242" s="4" t="n">
        <x:v>241</x:v>
      </x:c>
      <x:c r="B242" s="4" t="str">
        <x:v>ADATA-0047</x:v>
      </x:c>
      <x:c r="C242" s="4" t="str">
        <x:v>数据报表</x:v>
      </x:c>
      <x:c r="D242" s="4" t="str">
        <x:v>退款订单明细（平台管理员视角）</x:v>
      </x:c>
      <x:c r="E242" s="4" t="str">
        <x:v>功能需求</x:v>
      </x:c>
      <x:c r="F242" s="4" t="str">
        <x:v>P2</x:v>
      </x:c>
      <x:c r="G242" s="4" t="str">
        <x:v>验证退款订单明细可查看退款金额</x:v>
      </x:c>
      <x:c r="H242" s="4" t="str">
        <x:v>退款金额展示</x:v>
      </x:c>
      <x:c r="I242" s="4" t="str">
        <x:v>1. 平台管理员账号已登录且具备当前页面权限</x:v>
      </x:c>
      <x:c r="J242" s="4" t="str">
        <x:v>1. 进入退款订单明细
2. 查看退款金额</x:v>
      </x:c>
      <x:c r="K242" s="4" t="str">
        <x:v>退款订单明细显示“退款金额”</x:v>
      </x:c>
      <x:c r="L242" s="4" t="str"/>
      <x:c r="M242" s="4" t="str">
        <x:v>未测</x:v>
      </x:c>
      <x:c r="N242" s="4" t="str"/>
      <x:c r="O242" s="4" t="str">
        <x:v>1. 来源（原型批注）：liveshow-proto/prototype/annotations/admin.js；admin-refund-order-detail-report.html
2. 页面：admin-refund-order-detail-report.html
3. 规则：BR-D22D36F1620C28
4. 场景：SC-339916B089A73D
5. 未动态验证</x:v>
      </x:c>
    </x:row>
    <x:row r="243" ht="54" customHeight="1">
      <x:c r="A243" s="4" t="n">
        <x:v>242</x:v>
      </x:c>
      <x:c r="B243" s="4" t="str">
        <x:v>ADATA-0048</x:v>
      </x:c>
      <x:c r="C243" s="4" t="str">
        <x:v>数据报表</x:v>
      </x:c>
      <x:c r="D243" s="4" t="str">
        <x:v>退款订单明细（平台管理员视角）</x:v>
      </x:c>
      <x:c r="E243" s="4" t="str">
        <x:v>功能需求</x:v>
      </x:c>
      <x:c r="F243" s="4" t="str">
        <x:v>P2</x:v>
      </x:c>
      <x:c r="G243" s="4" t="str">
        <x:v>验证退款订单明细可查看退款时间</x:v>
      </x:c>
      <x:c r="H243" s="4" t="str">
        <x:v>退款时间展示</x:v>
      </x:c>
      <x:c r="I243" s="4" t="str">
        <x:v>1. 平台管理员账号已登录且具备当前页面权限</x:v>
      </x:c>
      <x:c r="J243" s="4" t="str">
        <x:v>1. 进入退款订单明细
2. 查看退款时间</x:v>
      </x:c>
      <x:c r="K243" s="4" t="str">
        <x:v>退款订单明细显示“退款时间”</x:v>
      </x:c>
      <x:c r="L243" s="4" t="str"/>
      <x:c r="M243" s="4" t="str">
        <x:v>未测</x:v>
      </x:c>
      <x:c r="N243" s="4" t="str"/>
      <x:c r="O243" s="4" t="str">
        <x:v>1. 来源（原型批注）：liveshow-proto/prototype/annotations/admin.js；admin-refund-order-detail-report.html
2. 页面：admin-refund-order-detail-report.html
3. 规则：BR-1BAEA12DD2465A
4. 场景：SC-A2CF3A94AE7555
5. 未动态验证</x:v>
      </x:c>
    </x:row>
    <x:row r="244" ht="54" customHeight="1">
      <x:c r="A244" s="4" t="n">
        <x:v>243</x:v>
      </x:c>
      <x:c r="B244" s="4" t="str">
        <x:v>ADATA-0049</x:v>
      </x:c>
      <x:c r="C244" s="4" t="str">
        <x:v>数据报表</x:v>
      </x:c>
      <x:c r="D244" s="4" t="str">
        <x:v>退款订单明细（平台管理员视角）</x:v>
      </x:c>
      <x:c r="E244" s="4" t="str">
        <x:v>功能需求</x:v>
      </x:c>
      <x:c r="F244" s="4" t="str">
        <x:v>P2</x:v>
      </x:c>
      <x:c r="G244" s="4" t="str">
        <x:v>验证退款订单明细可查看退款用户 / 商品</x:v>
      </x:c>
      <x:c r="H244" s="4" t="str">
        <x:v>退款用户 / 商品展示</x:v>
      </x:c>
      <x:c r="I244" s="4" t="str">
        <x:v>1. 平台管理员账号已登录且具备当前页面权限</x:v>
      </x:c>
      <x:c r="J244" s="4" t="str">
        <x:v>1. 进入退款订单明细
2. 查看退款用户 / 商品</x:v>
      </x:c>
      <x:c r="K244" s="4" t="str">
        <x:v>退款订单明细显示“退款用户 / 商品”</x:v>
      </x:c>
      <x:c r="L244" s="4" t="str"/>
      <x:c r="M244" s="4" t="str">
        <x:v>未测</x:v>
      </x:c>
      <x:c r="N244" s="4" t="str"/>
      <x:c r="O244" s="4" t="str">
        <x:v>1. 来源（原型批注）：liveshow-proto/prototype/annotations/admin.js；admin-refund-order-detail-report.html
2. 页面：admin-refund-order-detail-report.html
3. 规则：BR-6ABABE1B40E9AE
4. 场景：SC-61C0FA9C910B0E
5. 未动态验证</x:v>
      </x:c>
    </x:row>
    <x:row r="245" ht="54" customHeight="1">
      <x:c r="A245" s="4" t="n">
        <x:v>244</x:v>
      </x:c>
      <x:c r="B245" s="4" t="str">
        <x:v>ADATA-0050</x:v>
      </x:c>
      <x:c r="C245" s="4" t="str">
        <x:v>数据报表</x:v>
      </x:c>
      <x:c r="D245" s="4" t="str">
        <x:v>消费订单明细（平台管理员视角）</x:v>
      </x:c>
      <x:c r="E245" s="4" t="str">
        <x:v>功能需求</x:v>
      </x:c>
      <x:c r="F245" s="4" t="str">
        <x:v>P2</x:v>
      </x:c>
      <x:c r="G245" s="4" t="str">
        <x:v>验证消费订单明细可查看场次 ID</x:v>
      </x:c>
      <x:c r="H245" s="4" t="str">
        <x:v>场次 ID展示</x:v>
      </x:c>
      <x:c r="I245" s="4" t="str">
        <x:v>1. 平台管理员账号已登录且具备当前页面权限</x:v>
      </x:c>
      <x:c r="J245" s="4" t="str">
        <x:v>1. 进入消费订单明细
2. 查看场次 ID</x:v>
      </x:c>
      <x:c r="K245" s="4" t="str">
        <x:v>消费订单明细显示“场次 ID”</x:v>
      </x:c>
      <x:c r="L245" s="4" t="str"/>
      <x:c r="M245" s="4" t="str">
        <x:v>未测</x:v>
      </x:c>
      <x:c r="N245" s="4" t="str"/>
      <x:c r="O245" s="4" t="str">
        <x:v>1. 来源（原型批注）：liveshow-proto/prototype/annotations/admin.js；admin-consumption-order-detail-report.html
2. 页面：admin-consumption-order-detail-report.html
3. 规则：BR-E6ED6457718C77
4. 场景：SC-20A71F744E7243
5. 未动态验证</x:v>
      </x:c>
    </x:row>
    <x:row r="246" ht="54" customHeight="1">
      <x:c r="A246" s="4" t="n">
        <x:v>245</x:v>
      </x:c>
      <x:c r="B246" s="4" t="str">
        <x:v>ADATA-0051</x:v>
      </x:c>
      <x:c r="C246" s="4" t="str">
        <x:v>数据报表</x:v>
      </x:c>
      <x:c r="D246" s="4" t="str">
        <x:v>消费订单明细（平台管理员视角）</x:v>
      </x:c>
      <x:c r="E246" s="4" t="str">
        <x:v>功能需求</x:v>
      </x:c>
      <x:c r="F246" s="4" t="str">
        <x:v>P2</x:v>
      </x:c>
      <x:c r="G246" s="4" t="str">
        <x:v>验证消费订单明细可查看礼物单价 / 份数</x:v>
      </x:c>
      <x:c r="H246" s="4" t="str">
        <x:v>礼物单价 / 份数展示</x:v>
      </x:c>
      <x:c r="I246" s="4" t="str">
        <x:v>1. 平台管理员账号已登录且具备当前页面权限</x:v>
      </x:c>
      <x:c r="J246" s="4" t="str">
        <x:v>1. 进入消费订单明细
2. 查看礼物单价 / 份数</x:v>
      </x:c>
      <x:c r="K246" s="4" t="str">
        <x:v>消费订单明细显示“礼物单价 / 份数”</x:v>
      </x:c>
      <x:c r="L246" s="4" t="str"/>
      <x:c r="M246" s="4" t="str">
        <x:v>未测</x:v>
      </x:c>
      <x:c r="N246" s="4" t="str"/>
      <x:c r="O246" s="4" t="str">
        <x:v>1. 来源（原型批注）：liveshow-proto/prototype/annotations/admin.js；admin-consumption-order-detail-report.html
2. 页面：admin-consumption-order-detail-report.html
3. 规则：BR-921343BFD9C947
4. 场景：SC-7B0A60B6D47F76
5. 未动态验证</x:v>
      </x:c>
    </x:row>
    <x:row r="247" ht="54" customHeight="1">
      <x:c r="A247" s="4" t="n">
        <x:v>246</x:v>
      </x:c>
      <x:c r="B247" s="4" t="str">
        <x:v>ADATA-0052</x:v>
      </x:c>
      <x:c r="C247" s="4" t="str">
        <x:v>数据报表</x:v>
      </x:c>
      <x:c r="D247" s="4" t="str">
        <x:v>消费订单明细（平台管理员视角）</x:v>
      </x:c>
      <x:c r="E247" s="4" t="str">
        <x:v>功能需求</x:v>
      </x:c>
      <x:c r="F247" s="4" t="str">
        <x:v>P2</x:v>
      </x:c>
      <x:c r="G247" s="4" t="str">
        <x:v>验证消费订单明细可查看消费金币</x:v>
      </x:c>
      <x:c r="H247" s="4" t="str">
        <x:v>消费金币展示</x:v>
      </x:c>
      <x:c r="I247" s="4" t="str">
        <x:v>1. 平台管理员账号已登录且具备当前页面权限</x:v>
      </x:c>
      <x:c r="J247" s="4" t="str">
        <x:v>1. 进入消费订单明细
2. 查看消费金币</x:v>
      </x:c>
      <x:c r="K247" s="4" t="str">
        <x:v>消费订单明细显示“消费金币”</x:v>
      </x:c>
      <x:c r="L247" s="4" t="str"/>
      <x:c r="M247" s="4" t="str">
        <x:v>未测</x:v>
      </x:c>
      <x:c r="N247" s="4" t="str"/>
      <x:c r="O247" s="4" t="str">
        <x:v>1. 来源（原型批注）：liveshow-proto/prototype/annotations/admin.js；admin-consumption-order-detail-report.html
2. 页面：admin-consumption-order-detail-report.html
3. 规则：BR-437C05FE5A33CD、BR-80F9247D4C6E3C
4. 场景：SC-F8D6380545C795
5. 未动态验证</x:v>
      </x:c>
    </x:row>
    <x:row r="248" ht="54" customHeight="1">
      <x:c r="A248" s="4" t="n">
        <x:v>247</x:v>
      </x:c>
      <x:c r="B248" s="4" t="str">
        <x:v>ADATA-0053</x:v>
      </x:c>
      <x:c r="C248" s="4" t="str">
        <x:v>数据报表</x:v>
      </x:c>
      <x:c r="D248" s="4" t="str">
        <x:v>消费订单明细（平台管理员视角）</x:v>
      </x:c>
      <x:c r="E248" s="4" t="str">
        <x:v>功能需求</x:v>
      </x:c>
      <x:c r="F248" s="4" t="str">
        <x:v>P2</x:v>
      </x:c>
      <x:c r="G248" s="4" t="str">
        <x:v>验证消费订单明细可查看主播收益</x:v>
      </x:c>
      <x:c r="H248" s="4" t="str">
        <x:v>主播收益展示</x:v>
      </x:c>
      <x:c r="I248" s="4" t="str">
        <x:v>1. 平台管理员账号已登录且具备当前页面权限</x:v>
      </x:c>
      <x:c r="J248" s="4" t="str">
        <x:v>1. 进入消费订单明细
2. 查看主播收益</x:v>
      </x:c>
      <x:c r="K248" s="4" t="str">
        <x:v>消费订单明细显示“主播收益”</x:v>
      </x:c>
      <x:c r="L248" s="4" t="str"/>
      <x:c r="M248" s="4" t="str">
        <x:v>未测</x:v>
      </x:c>
      <x:c r="N248" s="4" t="str"/>
      <x:c r="O248" s="4" t="str">
        <x:v>1. 来源（原型批注）：liveshow-proto/prototype/annotations/admin.js；admin-consumption-order-detail-report.html
2. 页面：admin-consumption-order-detail-report.html
3. 规则：BR-C25FF1760EA3A5、BR-4C2737AB2FA90C
4. 场景：SC-1AE4650CCF5A6F
5. 未动态验证</x:v>
      </x:c>
    </x:row>
    <x:row r="249" ht="54" customHeight="1">
      <x:c r="A249" s="4" t="n">
        <x:v>248</x:v>
      </x:c>
      <x:c r="B249" s="4" t="str">
        <x:v>ADATA-0054</x:v>
      </x:c>
      <x:c r="C249" s="4" t="str">
        <x:v>数据报表</x:v>
      </x:c>
      <x:c r="D249" s="4" t="str">
        <x:v>用户活跃汇总（每日）（平台管理员视角）</x:v>
      </x:c>
      <x:c r="E249" s="4" t="str">
        <x:v>功能需求</x:v>
      </x:c>
      <x:c r="F249" s="4" t="str">
        <x:v>P2</x:v>
      </x:c>
      <x:c r="G249" s="4" t="str">
        <x:v>验证用户活跃汇总（每日）可查看登录用户</x:v>
      </x:c>
      <x:c r="H249" s="4" t="str">
        <x:v>登录用户展示</x:v>
      </x:c>
      <x:c r="I249" s="4" t="str">
        <x:v>1. 平台管理员账号已登录且具备当前页面权限</x:v>
      </x:c>
      <x:c r="J249" s="4" t="str">
        <x:v>1. 进入用户活跃汇总（每日）
2. 查看登录用户</x:v>
      </x:c>
      <x:c r="K249" s="4" t="str">
        <x:v>用户活跃汇总（每日）显示“登录用户”</x:v>
      </x:c>
      <x:c r="L249" s="4" t="str"/>
      <x:c r="M249" s="4" t="str">
        <x:v>未测</x:v>
      </x:c>
      <x:c r="N249" s="4" t="str"/>
      <x:c r="O249" s="4" t="str">
        <x:v>1. 来源（原型批注）：liveshow-proto/prototype/annotations/admin.js；admin-user-active-statistics.html
2. 页面：admin-user-active-statistics.html
3. 规则：BR-F80C20219F0698
4. 场景：SC-CA92BF39E471AD
5. 未动态验证</x:v>
      </x:c>
    </x:row>
    <x:row r="250" ht="54" customHeight="1">
      <x:c r="A250" s="4" t="n">
        <x:v>249</x:v>
      </x:c>
      <x:c r="B250" s="4" t="str">
        <x:v>ADATA-0055</x:v>
      </x:c>
      <x:c r="C250" s="4" t="str">
        <x:v>数据报表</x:v>
      </x:c>
      <x:c r="D250" s="4" t="str">
        <x:v>用户活跃汇总（每日）（平台管理员视角）</x:v>
      </x:c>
      <x:c r="E250" s="4" t="str">
        <x:v>功能需求</x:v>
      </x:c>
      <x:c r="F250" s="4" t="str">
        <x:v>P2</x:v>
      </x:c>
      <x:c r="G250" s="4" t="str">
        <x:v>验证用户活跃汇总（每日）可查看付费用户</x:v>
      </x:c>
      <x:c r="H250" s="4" t="str">
        <x:v>付费用户展示</x:v>
      </x:c>
      <x:c r="I250" s="4" t="str">
        <x:v>1. 平台管理员账号已登录且具备当前页面权限</x:v>
      </x:c>
      <x:c r="J250" s="4" t="str">
        <x:v>1. 进入用户活跃汇总（每日）
2. 查看付费用户</x:v>
      </x:c>
      <x:c r="K250" s="4" t="str">
        <x:v>用户活跃汇总（每日）显示“付费用户”</x:v>
      </x:c>
      <x:c r="L250" s="4" t="str"/>
      <x:c r="M250" s="4" t="str">
        <x:v>未测</x:v>
      </x:c>
      <x:c r="N250" s="4" t="str"/>
      <x:c r="O250" s="4" t="str">
        <x:v>1. 来源（原型批注）：liveshow-proto/prototype/annotations/admin.js；admin-user-active-statistics.html
2. 页面：admin-user-active-statistics.html
3. 规则：BR-4DA37E225C1C89
4. 场景：SC-D5C29D96F44B98
5. 未动态验证</x:v>
      </x:c>
    </x:row>
    <x:row r="251" ht="54" customHeight="1">
      <x:c r="A251" s="4" t="n">
        <x:v>250</x:v>
      </x:c>
      <x:c r="B251" s="4" t="str">
        <x:v>ADATA-0056</x:v>
      </x:c>
      <x:c r="C251" s="4" t="str">
        <x:v>数据报表</x:v>
      </x:c>
      <x:c r="D251" s="4" t="str">
        <x:v>用户活跃汇总（每日）（平台管理员视角）</x:v>
      </x:c>
      <x:c r="E251" s="4" t="str">
        <x:v>功能需求</x:v>
      </x:c>
      <x:c r="F251" s="4" t="str">
        <x:v>P2</x:v>
      </x:c>
      <x:c r="G251" s="4" t="str">
        <x:v>验证用户活跃汇总（每日）可查看汇总卡</x:v>
      </x:c>
      <x:c r="H251" s="4" t="str">
        <x:v>汇总卡展示</x:v>
      </x:c>
      <x:c r="I251" s="4" t="str">
        <x:v>1. 平台管理员账号已登录且具备当前页面权限</x:v>
      </x:c>
      <x:c r="J251" s="4" t="str">
        <x:v>1. 进入用户活跃汇总（每日）
2. 查看汇总卡</x:v>
      </x:c>
      <x:c r="K251" s="4" t="str">
        <x:v>用户活跃汇总（每日）显示“汇总卡”</x:v>
      </x:c>
      <x:c r="L251" s="4" t="str"/>
      <x:c r="M251" s="4" t="str">
        <x:v>未测</x:v>
      </x:c>
      <x:c r="N251" s="4" t="str"/>
      <x:c r="O251" s="4" t="str">
        <x:v>1. 来源（原型批注）：liveshow-proto/prototype/annotations/admin.js；admin-user-active-statistics.html
2. 页面：admin-user-active-statistics.html
3. 规则：BR-A854DDFB28FB3C
4. 场景：SC-0D9DC3A0C42D4E
5. 未动态验证</x:v>
      </x:c>
    </x:row>
    <x:row r="252" ht="54" customHeight="1">
      <x:c r="A252" s="4" t="n">
        <x:v>251</x:v>
      </x:c>
      <x:c r="B252" s="4" t="str">
        <x:v>ADATA-0057</x:v>
      </x:c>
      <x:c r="C252" s="4" t="str">
        <x:v>数据报表</x:v>
      </x:c>
      <x:c r="D252" s="4" t="str">
        <x:v>用户活跃汇总（每日）（平台管理员视角）</x:v>
      </x:c>
      <x:c r="E252" s="4" t="str">
        <x:v>功能需求</x:v>
      </x:c>
      <x:c r="F252" s="4" t="str">
        <x:v>P2</x:v>
      </x:c>
      <x:c r="G252" s="4" t="str">
        <x:v>验证用户活跃汇总（每日）可查看老用户</x:v>
      </x:c>
      <x:c r="H252" s="4" t="str">
        <x:v>老用户展示</x:v>
      </x:c>
      <x:c r="I252" s="4" t="str">
        <x:v>1. 平台管理员账号已登录且具备当前页面权限</x:v>
      </x:c>
      <x:c r="J252" s="4" t="str">
        <x:v>1. 进入用户活跃汇总（每日）
2. 查看老用户</x:v>
      </x:c>
      <x:c r="K252" s="4" t="str">
        <x:v>用户活跃汇总（每日）显示“老用户”</x:v>
      </x:c>
      <x:c r="L252" s="4" t="str"/>
      <x:c r="M252" s="4" t="str">
        <x:v>未测</x:v>
      </x:c>
      <x:c r="N252" s="4" t="str"/>
      <x:c r="O252" s="4" t="str">
        <x:v>1. 来源（原型批注）：liveshow-proto/prototype/annotations/admin.js；admin-user-active-statistics.html
2. 页面：admin-user-active-statistics.html
3. 规则：BR-020A552CAAFEE4、BR-06C154E4DD853C
4. 场景：SC-21D2F2474401B7
5. 未动态验证</x:v>
      </x:c>
    </x:row>
    <x:row r="253" ht="54" customHeight="1">
      <x:c r="A253" s="4" t="n">
        <x:v>252</x:v>
      </x:c>
      <x:c r="B253" s="4" t="str">
        <x:v>ADATA-0058</x:v>
      </x:c>
      <x:c r="C253" s="4" t="str">
        <x:v>数据报表</x:v>
      </x:c>
      <x:c r="D253" s="4" t="str">
        <x:v>用户活跃汇总（每日）（平台管理员视角）</x:v>
      </x:c>
      <x:c r="E253" s="4" t="str">
        <x:v>功能需求</x:v>
      </x:c>
      <x:c r="F253" s="4" t="str">
        <x:v>P2</x:v>
      </x:c>
      <x:c r="G253" s="4" t="str">
        <x:v>验证用户活跃汇总（每日）可查看新用户</x:v>
      </x:c>
      <x:c r="H253" s="4" t="str">
        <x:v>新用户展示</x:v>
      </x:c>
      <x:c r="I253" s="4" t="str">
        <x:v>1. 平台管理员账号已登录且具备当前页面权限</x:v>
      </x:c>
      <x:c r="J253" s="4" t="str">
        <x:v>1. 进入用户活跃汇总（每日）
2. 查看新用户</x:v>
      </x:c>
      <x:c r="K253" s="4" t="str">
        <x:v>用户活跃汇总（每日）显示“新用户”</x:v>
      </x:c>
      <x:c r="L253" s="4" t="str"/>
      <x:c r="M253" s="4" t="str">
        <x:v>未测</x:v>
      </x:c>
      <x:c r="N253" s="4" t="str"/>
      <x:c r="O253" s="4" t="str">
        <x:v>1. 来源（原型批注）：liveshow-proto/prototype/annotations/admin.js；admin-user-active-statistics.html
2. 页面：admin-user-active-statistics.html
3. 规则：BR-8047E7E2AB7829
4. 场景：SC-AAC836049AB9E7
5. 未动态验证</x:v>
      </x:c>
    </x:row>
    <x:row r="254" ht="54" customHeight="1">
      <x:c r="A254" s="4" t="n">
        <x:v>253</x:v>
      </x:c>
      <x:c r="B254" s="4" t="str">
        <x:v>ADATA-0059</x:v>
      </x:c>
      <x:c r="C254" s="4" t="str">
        <x:v>数据报表</x:v>
      </x:c>
      <x:c r="D254" s="4" t="str">
        <x:v>用户消费汇总报表（平台管理员视角）</x:v>
      </x:c>
      <x:c r="E254" s="4" t="str">
        <x:v>功能需求</x:v>
      </x:c>
      <x:c r="F254" s="4" t="str">
        <x:v>P2</x:v>
      </x:c>
      <x:c r="G254" s="4" t="str">
        <x:v>验证用户消费汇总报表可查看累计消费</x:v>
      </x:c>
      <x:c r="H254" s="4" t="str">
        <x:v>累计消费展示</x:v>
      </x:c>
      <x:c r="I254" s="4" t="str">
        <x:v>1. 平台管理员账号已登录且具备当前页面权限</x:v>
      </x:c>
      <x:c r="J254" s="4" t="str">
        <x:v>1. 进入用户消费汇总报表
2. 查看累计消费</x:v>
      </x:c>
      <x:c r="K254" s="4" t="str">
        <x:v>用户消费汇总报表显示“累计消费”</x:v>
      </x:c>
      <x:c r="L254" s="4" t="str"/>
      <x:c r="M254" s="4" t="str">
        <x:v>未测</x:v>
      </x:c>
      <x:c r="N254" s="4" t="str"/>
      <x:c r="O254" s="4" t="str">
        <x:v>1. 来源（原型批注）：liveshow-proto/prototype/annotations/admin.js；admin-monthly-viewer-consumption.html
2. 页面：admin-monthly-viewer-consumption.html
3. 规则：BR-DE3191A7A8F07A
4. 场景：SC-1DA809FC256FD6
5. 未动态验证</x:v>
      </x:c>
    </x:row>
    <x:row r="255" ht="54" customHeight="1">
      <x:c r="A255" s="4" t="n">
        <x:v>254</x:v>
      </x:c>
      <x:c r="B255" s="4" t="str">
        <x:v>ADATA-0060</x:v>
      </x:c>
      <x:c r="C255" s="4" t="str">
        <x:v>数据报表</x:v>
      </x:c>
      <x:c r="D255" s="4" t="str">
        <x:v>用户消费汇总报表（平台管理员视角）</x:v>
      </x:c>
      <x:c r="E255" s="4" t="str">
        <x:v>功能需求</x:v>
      </x:c>
      <x:c r="F255" s="4" t="str">
        <x:v>P2</x:v>
      </x:c>
      <x:c r="G255" s="4" t="str">
        <x:v>验证用户消费汇总报表可查看普通 / 定制 / 门票</x:v>
      </x:c>
      <x:c r="H255" s="4" t="str">
        <x:v>普通 / 定制 / 门票展示</x:v>
      </x:c>
      <x:c r="I255" s="4" t="str">
        <x:v>1. 平台管理员账号已登录且具备当前页面权限</x:v>
      </x:c>
      <x:c r="J255" s="4" t="str">
        <x:v>1. 进入用户消费汇总报表
2. 查看普通 / 定制 / 门票</x:v>
      </x:c>
      <x:c r="K255" s="4" t="str">
        <x:v>用户消费汇总报表显示“普通 / 定制 / 门票”</x:v>
      </x:c>
      <x:c r="L255" s="4" t="str"/>
      <x:c r="M255" s="4" t="str">
        <x:v>未测</x:v>
      </x:c>
      <x:c r="N255" s="4" t="str"/>
      <x:c r="O255" s="4" t="str">
        <x:v>1. 来源（原型批注）：liveshow-proto/prototype/annotations/admin.js；admin-monthly-viewer-consumption.html
2. 页面：admin-monthly-viewer-consumption.html
3. 规则：BR-E378B4E1E87911
4. 场景：SC-454242F5C5C775
5. 未动态验证</x:v>
      </x:c>
    </x:row>
    <x:row r="256" ht="54" customHeight="1">
      <x:c r="A256" s="4" t="n">
        <x:v>255</x:v>
      </x:c>
      <x:c r="B256" s="4" t="str">
        <x:v>ADATA-0061</x:v>
      </x:c>
      <x:c r="C256" s="4" t="str">
        <x:v>数据报表</x:v>
      </x:c>
      <x:c r="D256" s="4" t="str">
        <x:v>用户消费汇总报表（平台管理员视角）</x:v>
      </x:c>
      <x:c r="E256" s="4" t="str">
        <x:v>功能需求</x:v>
      </x:c>
      <x:c r="F256" s="4" t="str">
        <x:v>P2</x:v>
      </x:c>
      <x:c r="G256" s="4" t="str">
        <x:v>验证用户消费汇总报表可查看幸运礼物</x:v>
      </x:c>
      <x:c r="H256" s="4" t="str">
        <x:v>幸运礼物展示</x:v>
      </x:c>
      <x:c r="I256" s="4" t="str">
        <x:v>1. 平台管理员账号已登录且具备当前页面权限</x:v>
      </x:c>
      <x:c r="J256" s="4" t="str">
        <x:v>1. 进入用户消费汇总报表
2. 查看幸运礼物</x:v>
      </x:c>
      <x:c r="K256" s="4" t="str">
        <x:v>用户消费汇总报表显示“幸运礼物”</x:v>
      </x:c>
      <x:c r="L256" s="4" t="str"/>
      <x:c r="M256" s="4" t="str">
        <x:v>未测</x:v>
      </x:c>
      <x:c r="N256" s="4" t="str"/>
      <x:c r="O256" s="4" t="str">
        <x:v>1. 来源（原型批注）：liveshow-proto/prototype/annotations/admin.js；admin-monthly-viewer-consumption.html
2. 页面：admin-monthly-viewer-consumption.html
3. 规则：BR-D7FAC6613BD9C1
4. 场景：SC-652ACF6D842842
5. 未动态验证</x:v>
      </x:c>
    </x:row>
    <x:row r="257" ht="54" customHeight="1">
      <x:c r="A257" s="4" t="n">
        <x:v>256</x:v>
      </x:c>
      <x:c r="B257" s="4" t="str">
        <x:v>ADATA-0062</x:v>
      </x:c>
      <x:c r="C257" s="4" t="str">
        <x:v>数据报表</x:v>
      </x:c>
      <x:c r="D257" s="4" t="str">
        <x:v>月度收益支出汇总（平台管理员视角）</x:v>
      </x:c>
      <x:c r="E257" s="4" t="str">
        <x:v>功能需求</x:v>
      </x:c>
      <x:c r="F257" s="4" t="str">
        <x:v>P2</x:v>
      </x:c>
      <x:c r="G257" s="4" t="str">
        <x:v>验证列表时的月度收益支出汇总结果</x:v>
      </x:c>
      <x:c r="H257" s="4" t="str">
        <x:v>月度收益支出汇总条件结果</x:v>
      </x:c>
      <x:c r="I257" s="4" t="str">
        <x:v>1. 平台管理员账号已登录且具备当前页面权限
2. 列表</x:v>
      </x:c>
      <x:c r="J257" s="4" t="str">
        <x:v>1. 进入月度收益支出汇总
2. 查看月度收益支出汇总</x:v>
      </x:c>
      <x:c r="K257" s="4" t="str">
        <x:v>列表展示全部月份</x:v>
      </x:c>
      <x:c r="L257" s="4" t="str"/>
      <x:c r="M257" s="4" t="str">
        <x:v>未测</x:v>
      </x:c>
      <x:c r="N257" s="4" t="str"/>
      <x:c r="O257" s="4" t="str">
        <x:v>1. 来源（原型批注）：liveshow-proto/prototype/annotations/admin.js；admin-monthly-income-expense.html
2. 页面：admin-monthly-income-expense.html
3. 规则：BR-EDA0ED975A1DAD
4. 场景：SC-1EC68B85D083B5
5. 未动态验证</x:v>
      </x:c>
    </x:row>
    <x:row r="258" ht="54" customHeight="1">
      <x:c r="A258" s="4" t="n">
        <x:v>257</x:v>
      </x:c>
      <x:c r="B258" s="4" t="str">
        <x:v>ADATA-0063</x:v>
      </x:c>
      <x:c r="C258" s="4" t="str">
        <x:v>数据报表</x:v>
      </x:c>
      <x:c r="D258" s="4" t="str">
        <x:v>月度收益支出汇总（平台管理员视角）</x:v>
      </x:c>
      <x:c r="E258" s="4" t="str">
        <x:v>功能需求</x:v>
      </x:c>
      <x:c r="F258" s="4" t="str">
        <x:v>P2</x:v>
      </x:c>
      <x:c r="G258" s="4" t="str">
        <x:v>验证月度收益支出汇总可查看累计充值</x:v>
      </x:c>
      <x:c r="H258" s="4" t="str">
        <x:v>累计充值展示</x:v>
      </x:c>
      <x:c r="I258" s="4" t="str">
        <x:v>1. 平台管理员账号已登录且具备当前页面权限</x:v>
      </x:c>
      <x:c r="J258" s="4" t="str">
        <x:v>1. 进入月度收益支出汇总
2. 查看累计充值</x:v>
      </x:c>
      <x:c r="K258" s="4" t="str">
        <x:v>月度收益支出汇总显示“累计充值”</x:v>
      </x:c>
      <x:c r="L258" s="4" t="str"/>
      <x:c r="M258" s="4" t="str">
        <x:v>未测</x:v>
      </x:c>
      <x:c r="N258" s="4" t="str"/>
      <x:c r="O258" s="4" t="str">
        <x:v>1. 来源（原型批注）：liveshow-proto/prototype/annotations/admin.js；admin-monthly-income-expense.html
2. 页面：admin-monthly-income-expense.html
3. 规则：BR-8465582ABCAAE6
4. 场景：SC-606F5D4AE30D28
5. 未动态验证</x:v>
      </x:c>
    </x:row>
    <x:row r="259" ht="54" customHeight="1">
      <x:c r="A259" s="4" t="n">
        <x:v>258</x:v>
      </x:c>
      <x:c r="B259" s="4" t="str">
        <x:v>ADATA-0064</x:v>
      </x:c>
      <x:c r="C259" s="4" t="str">
        <x:v>数据报表</x:v>
      </x:c>
      <x:c r="D259" s="4" t="str">
        <x:v>月度收益支出汇总（平台管理员视角）</x:v>
      </x:c>
      <x:c r="E259" s="4" t="str">
        <x:v>功能需求</x:v>
      </x:c>
      <x:c r="F259" s="4" t="str">
        <x:v>P2</x:v>
      </x:c>
      <x:c r="G259" s="4" t="str">
        <x:v>验证月度收益支出汇总可查看累计退款</x:v>
      </x:c>
      <x:c r="H259" s="4" t="str">
        <x:v>累计退款展示</x:v>
      </x:c>
      <x:c r="I259" s="4" t="str">
        <x:v>1. 平台管理员账号已登录且具备当前页面权限</x:v>
      </x:c>
      <x:c r="J259" s="4" t="str">
        <x:v>1. 进入月度收益支出汇总
2. 查看累计退款</x:v>
      </x:c>
      <x:c r="K259" s="4" t="str">
        <x:v>月度收益支出汇总显示“累计退款”</x:v>
      </x:c>
      <x:c r="L259" s="4" t="str"/>
      <x:c r="M259" s="4" t="str">
        <x:v>未测</x:v>
      </x:c>
      <x:c r="N259" s="4" t="str"/>
      <x:c r="O259" s="4" t="str">
        <x:v>1. 来源（原型批注）：liveshow-proto/prototype/annotations/admin.js；admin-monthly-income-expense.html
2. 页面：admin-monthly-income-expense.html
3. 规则：BR-82DA377ED8B644
4. 场景：SC-5F6B8CED71D926
5. 未动态验证</x:v>
      </x:c>
    </x:row>
    <x:row r="260" ht="54" customHeight="1">
      <x:c r="A260" s="4" t="n">
        <x:v>259</x:v>
      </x:c>
      <x:c r="B260" s="4" t="str">
        <x:v>ADATA-0065</x:v>
      </x:c>
      <x:c r="C260" s="4" t="str">
        <x:v>数据报表</x:v>
      </x:c>
      <x:c r="D260" s="4" t="str">
        <x:v>月度收益支出汇总（平台管理员视角）</x:v>
      </x:c>
      <x:c r="E260" s="4" t="str">
        <x:v>功能需求</x:v>
      </x:c>
      <x:c r="F260" s="4" t="str">
        <x:v>P2</x:v>
      </x:c>
      <x:c r="G260" s="4" t="str">
        <x:v>验证月度收益支出汇总可查看收益</x:v>
      </x:c>
      <x:c r="H260" s="4" t="str">
        <x:v>收益展示</x:v>
      </x:c>
      <x:c r="I260" s="4" t="str">
        <x:v>1. 平台管理员账号已登录且具备当前页面权限</x:v>
      </x:c>
      <x:c r="J260" s="4" t="str">
        <x:v>1. 进入月度收益支出汇总
2. 查看收益</x:v>
      </x:c>
      <x:c r="K260" s="4" t="str">
        <x:v>月度收益支出汇总显示“收益”</x:v>
      </x:c>
      <x:c r="L260" s="4" t="str"/>
      <x:c r="M260" s="4" t="str">
        <x:v>未测</x:v>
      </x:c>
      <x:c r="N260" s="4" t="str"/>
      <x:c r="O260" s="4" t="str">
        <x:v>1. 来源（原型批注）：liveshow-proto/prototype/annotations/admin.js；admin-monthly-income-expense.html
2. 页面：admin-monthly-income-expense.html
3. 规则：BR-C162CDFF2EFBFD
4. 场景：SC-0B20612F9C193A
5. 未动态验证</x:v>
      </x:c>
    </x:row>
    <x:row r="261" ht="54" customHeight="1">
      <x:c r="A261" s="4" t="n">
        <x:v>260</x:v>
      </x:c>
      <x:c r="B261" s="4" t="str">
        <x:v>ADATA-0066</x:v>
      </x:c>
      <x:c r="C261" s="4" t="str">
        <x:v>数据报表</x:v>
      </x:c>
      <x:c r="D261" s="4" t="str">
        <x:v>直播记录明细报表（平台管理员视角）</x:v>
      </x:c>
      <x:c r="E261" s="4" t="str">
        <x:v>功能需求</x:v>
      </x:c>
      <x:c r="F261" s="4" t="str">
        <x:v>P1</x:v>
      </x:c>
      <x:c r="G261" s="4" t="str">
        <x:v>验证直播记录明细报表可查看房型</x:v>
      </x:c>
      <x:c r="H261" s="4" t="str">
        <x:v>房型展示</x:v>
      </x:c>
      <x:c r="I261" s="4" t="str">
        <x:v>1. 平台管理员账号已登录且具备当前页面权限</x:v>
      </x:c>
      <x:c r="J261" s="4" t="str">
        <x:v>1. 进入直播记录明细报表
2. 查看房型</x:v>
      </x:c>
      <x:c r="K261" s="4" t="str">
        <x:v>直播记录明细报表显示“房型”</x:v>
      </x:c>
      <x:c r="L261" s="4" t="str"/>
      <x:c r="M261" s="4" t="str">
        <x:v>未测</x:v>
      </x:c>
      <x:c r="N261" s="4" t="str"/>
      <x:c r="O261" s="4" t="str">
        <x:v>1. 来源（原型批注）：liveshow-proto/prototype/annotations/admin.js；admin-host-live-record-report.html
2. 页面：admin-host-live-record-report.html
3. 规则：BR-03E45A0B281C64
4. 场景：SC-480BF5FCC997A9
5. 未动态验证</x:v>
      </x:c>
    </x:row>
    <x:row r="262" ht="54" customHeight="1">
      <x:c r="A262" s="4" t="n">
        <x:v>261</x:v>
      </x:c>
      <x:c r="B262" s="4" t="str">
        <x:v>ADATA-0067</x:v>
      </x:c>
      <x:c r="C262" s="4" t="str">
        <x:v>数据报表</x:v>
      </x:c>
      <x:c r="D262" s="4" t="str">
        <x:v>直播记录明细报表（平台管理员视角）</x:v>
      </x:c>
      <x:c r="E262" s="4" t="str">
        <x:v>功能需求</x:v>
      </x:c>
      <x:c r="F262" s="4" t="str">
        <x:v>P1</x:v>
      </x:c>
      <x:c r="G262" s="4" t="str">
        <x:v>验证直播记录明细报表可查看观众人数</x:v>
      </x:c>
      <x:c r="H262" s="4" t="str">
        <x:v>观众人数展示</x:v>
      </x:c>
      <x:c r="I262" s="4" t="str">
        <x:v>1. 平台管理员账号已登录且具备当前页面权限</x:v>
      </x:c>
      <x:c r="J262" s="4" t="str">
        <x:v>1. 进入直播记录明细报表
2. 查看观众人数</x:v>
      </x:c>
      <x:c r="K262" s="4" t="str">
        <x:v>直播记录明细报表显示“观众人数”</x:v>
      </x:c>
      <x:c r="L262" s="4" t="str"/>
      <x:c r="M262" s="4" t="str">
        <x:v>未测</x:v>
      </x:c>
      <x:c r="N262" s="4" t="str"/>
      <x:c r="O262" s="4" t="str">
        <x:v>1. 来源（原型批注）：liveshow-proto/prototype/annotations/admin.js；admin-host-live-record-report.html
2. 页面：admin-host-live-record-report.html
3. 规则：BR-74C5F05FCBC6CC
4. 场景：SC-EC2E9B57DC2D9D
5. 未动态验证</x:v>
      </x:c>
    </x:row>
    <x:row r="263" ht="54" customHeight="1">
      <x:c r="A263" s="4" t="n">
        <x:v>262</x:v>
      </x:c>
      <x:c r="B263" s="4" t="str">
        <x:v>ADATA-0068</x:v>
      </x:c>
      <x:c r="C263" s="4" t="str">
        <x:v>数据报表</x:v>
      </x:c>
      <x:c r="D263" s="4" t="str">
        <x:v>直播记录明细报表（平台管理员视角）</x:v>
      </x:c>
      <x:c r="E263" s="4" t="str">
        <x:v>功能需求</x:v>
      </x:c>
      <x:c r="F263" s="4" t="str">
        <x:v>P1</x:v>
      </x:c>
      <x:c r="G263" s="4" t="str">
        <x:v>验证直播记录明细报表可查看时长</x:v>
      </x:c>
      <x:c r="H263" s="4" t="str">
        <x:v>时长展示</x:v>
      </x:c>
      <x:c r="I263" s="4" t="str">
        <x:v>1. 平台管理员账号已登录且具备当前页面权限</x:v>
      </x:c>
      <x:c r="J263" s="4" t="str">
        <x:v>1. 进入直播记录明细报表
2. 查看时长</x:v>
      </x:c>
      <x:c r="K263" s="4" t="str">
        <x:v>直播记录明细报表显示“时长”</x:v>
      </x:c>
      <x:c r="L263" s="4" t="str"/>
      <x:c r="M263" s="4" t="str">
        <x:v>未测</x:v>
      </x:c>
      <x:c r="N263" s="4" t="str"/>
      <x:c r="O263" s="4" t="str">
        <x:v>1. 来源（原型批注）：liveshow-proto/prototype/annotations/admin.js；admin-host-live-record-report.html
2. 页面：admin-host-live-record-report.html
3. 规则：BR-CF23D84BCC7F2B
4. 场景：SC-1C5E81F5CC1063
5. 未动态验证</x:v>
      </x:c>
    </x:row>
    <x:row r="264" ht="54" customHeight="1">
      <x:c r="A264" s="4" t="n">
        <x:v>263</x:v>
      </x:c>
      <x:c r="B264" s="4" t="str">
        <x:v>ADATA-0069</x:v>
      </x:c>
      <x:c r="C264" s="4" t="str">
        <x:v>数据报表</x:v>
      </x:c>
      <x:c r="D264" s="4" t="str">
        <x:v>直播记录明细报表（平台管理员视角）</x:v>
      </x:c>
      <x:c r="E264" s="4" t="str">
        <x:v>功能需求</x:v>
      </x:c>
      <x:c r="F264" s="4" t="str">
        <x:v>P1</x:v>
      </x:c>
      <x:c r="G264" s="4" t="str">
        <x:v>验证直播记录明细报表可查看是否达标</x:v>
      </x:c>
      <x:c r="H264" s="4" t="str">
        <x:v>是否达标展示</x:v>
      </x:c>
      <x:c r="I264" s="4" t="str">
        <x:v>1. 平台管理员账号已登录且具备当前页面权限</x:v>
      </x:c>
      <x:c r="J264" s="4" t="str">
        <x:v>1. 进入直播记录明细报表
2. 查看是否达标</x:v>
      </x:c>
      <x:c r="K264" s="4" t="str">
        <x:v>直播记录明细报表显示“是否达标”</x:v>
      </x:c>
      <x:c r="L264" s="4" t="str"/>
      <x:c r="M264" s="4" t="str">
        <x:v>未测</x:v>
      </x:c>
      <x:c r="N264" s="4" t="str"/>
      <x:c r="O264" s="4" t="str">
        <x:v>1. 来源（原型批注）：liveshow-proto/prototype/annotations/admin.js；admin-host-live-record-report.html
2. 页面：admin-host-live-record-report.html
3. 规则：BR-0BCE09CA6697A4
4. 场景：SC-8CD93641C41B68
5. 未动态验证</x:v>
      </x:c>
    </x:row>
    <x:row r="265" ht="54" customHeight="1">
      <x:c r="A265" s="4" t="n">
        <x:v>264</x:v>
      </x:c>
      <x:c r="B265" s="4" t="str">
        <x:v>ADATA-0070</x:v>
      </x:c>
      <x:c r="C265" s="4" t="str">
        <x:v>数据报表</x:v>
      </x:c>
      <x:c r="D265" s="4" t="str">
        <x:v>直播记录明细报表（平台管理员视角）</x:v>
      </x:c>
      <x:c r="E265" s="4" t="str">
        <x:v>功能需求</x:v>
      </x:c>
      <x:c r="F265" s="4" t="str">
        <x:v>P1</x:v>
      </x:c>
      <x:c r="G265" s="4" t="str">
        <x:v>验证直播记录明细报表可查看消费金币</x:v>
      </x:c>
      <x:c r="H265" s="4" t="str">
        <x:v>消费金币展示</x:v>
      </x:c>
      <x:c r="I265" s="4" t="str">
        <x:v>1. 平台管理员账号已登录且具备当前页面权限</x:v>
      </x:c>
      <x:c r="J265" s="4" t="str">
        <x:v>1. 进入直播记录明细报表
2. 查看消费金币</x:v>
      </x:c>
      <x:c r="K265" s="4" t="str">
        <x:v>直播记录明细报表显示“消费金币”</x:v>
      </x:c>
      <x:c r="L265" s="4" t="str"/>
      <x:c r="M265" s="4" t="str">
        <x:v>未测</x:v>
      </x:c>
      <x:c r="N265" s="4" t="str"/>
      <x:c r="O265" s="4" t="str">
        <x:v>1. 来源（原型批注）：liveshow-proto/prototype/annotations/admin.js；admin-host-live-record-report.html
2. 页面：admin-host-live-record-report.html
3. 规则：BR-A9C264DAD31F31、BR-AEF22D8C4BAEA2
4. 场景：SC-49861E605AC8ED
5. 未动态验证</x:v>
      </x:c>
    </x:row>
    <x:row r="266" ht="54" customHeight="1">
      <x:c r="A266" s="4" t="n">
        <x:v>265</x:v>
      </x:c>
      <x:c r="B266" s="4" t="str">
        <x:v>ADATA-0071</x:v>
      </x:c>
      <x:c r="C266" s="4" t="str">
        <x:v>数据报表</x:v>
      </x:c>
      <x:c r="D266" s="4" t="str">
        <x:v>直播记录明细报表（平台管理员视角）</x:v>
      </x:c>
      <x:c r="E266" s="4" t="str">
        <x:v>功能需求</x:v>
      </x:c>
      <x:c r="F266" s="4" t="str">
        <x:v>P1</x:v>
      </x:c>
      <x:c r="G266" s="4" t="str">
        <x:v>验证直播记录明细报表可查看主播 / 直播间 ID</x:v>
      </x:c>
      <x:c r="H266" s="4" t="str">
        <x:v>主播 / 直播间 ID展示</x:v>
      </x:c>
      <x:c r="I266" s="4" t="str">
        <x:v>1. 平台管理员账号已登录且具备当前页面权限</x:v>
      </x:c>
      <x:c r="J266" s="4" t="str">
        <x:v>1. 进入直播记录明细报表
2. 查看主播 / 直播间 ID</x:v>
      </x:c>
      <x:c r="K266" s="4" t="str">
        <x:v>直播记录明细报表显示“主播 / 直播间 ID”</x:v>
      </x:c>
      <x:c r="L266" s="4" t="str"/>
      <x:c r="M266" s="4" t="str">
        <x:v>未测</x:v>
      </x:c>
      <x:c r="N266" s="4" t="str"/>
      <x:c r="O266" s="4" t="str">
        <x:v>1. 来源（原型批注）：liveshow-proto/prototype/annotations/admin.js；admin-host-live-record-report.html
2. 页面：admin-host-live-record-report.html
3. 规则：BR-C1D7774B89C167、BR-1D05160553D686
4. 场景：SC-C2E412A605D2C5
5. 未动态验证</x:v>
      </x:c>
    </x:row>
    <x:row r="267" ht="54" customHeight="1">
      <x:c r="A267" s="4" t="n">
        <x:v>266</x:v>
      </x:c>
      <x:c r="B267" s="4" t="str">
        <x:v>ADATA-0072</x:v>
      </x:c>
      <x:c r="C267" s="4" t="str">
        <x:v>数据报表</x:v>
      </x:c>
      <x:c r="D267" s="4" t="str">
        <x:v>直播间互动汇总（每日）（平台管理员视角）</x:v>
      </x:c>
      <x:c r="E267" s="4" t="str">
        <x:v>功能需求</x:v>
      </x:c>
      <x:c r="F267" s="4" t="str">
        <x:v>P1</x:v>
      </x:c>
      <x:c r="G267" s="4" t="str">
        <x:v>验证直播间互动汇总（每日）可查看观看时长</x:v>
      </x:c>
      <x:c r="H267" s="4" t="str">
        <x:v>观看时长展示</x:v>
      </x:c>
      <x:c r="I267" s="4" t="str">
        <x:v>1. 平台管理员账号已登录且具备当前页面权限</x:v>
      </x:c>
      <x:c r="J267" s="4" t="str">
        <x:v>1. 进入直播间互动汇总（每日）
2. 查看观看时长</x:v>
      </x:c>
      <x:c r="K267" s="4" t="str">
        <x:v>直播间互动汇总（每日）显示“观看时长”</x:v>
      </x:c>
      <x:c r="L267" s="4" t="str"/>
      <x:c r="M267" s="4" t="str">
        <x:v>未测</x:v>
      </x:c>
      <x:c r="N267" s="4" t="str"/>
      <x:c r="O267" s="4" t="str">
        <x:v>1. 来源（原型批注）：liveshow-proto/prototype/annotations/admin.js；admin-live-statistics.html
2. 页面：admin-live-statistics.html
3. 规则：BR-55B030480101FA
4. 场景：SC-D7073968D06D5C
5. 未动态验证</x:v>
      </x:c>
    </x:row>
    <x:row r="268" ht="54" customHeight="1">
      <x:c r="A268" s="4" t="n">
        <x:v>267</x:v>
      </x:c>
      <x:c r="B268" s="4" t="str">
        <x:v>ADATA-0073</x:v>
      </x:c>
      <x:c r="C268" s="4" t="str">
        <x:v>数据报表</x:v>
      </x:c>
      <x:c r="D268" s="4" t="str">
        <x:v>直播间互动汇总（每日）（平台管理员视角）</x:v>
      </x:c>
      <x:c r="E268" s="4" t="str">
        <x:v>功能需求</x:v>
      </x:c>
      <x:c r="F268" s="4" t="str">
        <x:v>P1</x:v>
      </x:c>
      <x:c r="G268" s="4" t="str">
        <x:v>验证直播间互动汇总（每日）可查看观众人数</x:v>
      </x:c>
      <x:c r="H268" s="4" t="str">
        <x:v>观众人数展示</x:v>
      </x:c>
      <x:c r="I268" s="4" t="str">
        <x:v>1. 平台管理员账号已登录且具备当前页面权限</x:v>
      </x:c>
      <x:c r="J268" s="4" t="str">
        <x:v>1. 进入直播间互动汇总（每日）
2. 查看观众人数</x:v>
      </x:c>
      <x:c r="K268" s="4" t="str">
        <x:v>直播间互动汇总（每日）显示“观众人数”</x:v>
      </x:c>
      <x:c r="L268" s="4" t="str"/>
      <x:c r="M268" s="4" t="str">
        <x:v>未测</x:v>
      </x:c>
      <x:c r="N268" s="4" t="str"/>
      <x:c r="O268" s="4" t="str">
        <x:v>1. 来源（原型批注）：liveshow-proto/prototype/annotations/admin.js；admin-live-statistics.html
2. 页面：admin-live-statistics.html
3. 规则：BR-7AD837A90FDEBC
4. 场景：SC-9F07CC57F839A7
5. 未动态验证</x:v>
      </x:c>
    </x:row>
    <x:row r="269" ht="54" customHeight="1">
      <x:c r="A269" s="4" t="n">
        <x:v>268</x:v>
      </x:c>
      <x:c r="B269" s="4" t="str">
        <x:v>ADATA-0074</x:v>
      </x:c>
      <x:c r="C269" s="4" t="str">
        <x:v>数据报表</x:v>
      </x:c>
      <x:c r="D269" s="4" t="str">
        <x:v>直播间互动汇总（每日）（平台管理员视角）</x:v>
      </x:c>
      <x:c r="E269" s="4" t="str">
        <x:v>功能需求</x:v>
      </x:c>
      <x:c r="F269" s="4" t="str">
        <x:v>P1</x:v>
      </x:c>
      <x:c r="G269" s="4" t="str">
        <x:v>验证直播间互动汇总（每日）可查看人均观看时长</x:v>
      </x:c>
      <x:c r="H269" s="4" t="str">
        <x:v>人均观看时长展示</x:v>
      </x:c>
      <x:c r="I269" s="4" t="str">
        <x:v>1. 平台管理员账号已登录且具备当前页面权限</x:v>
      </x:c>
      <x:c r="J269" s="4" t="str">
        <x:v>1. 进入直播间互动汇总（每日）
2. 查看人均观看时长</x:v>
      </x:c>
      <x:c r="K269" s="4" t="str">
        <x:v>直播间互动汇总（每日）显示“人均观看时长”</x:v>
      </x:c>
      <x:c r="L269" s="4" t="str"/>
      <x:c r="M269" s="4" t="str">
        <x:v>未测</x:v>
      </x:c>
      <x:c r="N269" s="4" t="str"/>
      <x:c r="O269" s="4" t="str">
        <x:v>1. 来源（原型批注）：liveshow-proto/prototype/annotations/admin.js；admin-live-statistics.html
2. 页面：admin-live-statistics.html
3. 规则：BR-72B1E19CAAB9AA、BR-A8052C9E8986D7
4. 场景：SC-87829EDBC09512
5. 未动态验证</x:v>
      </x:c>
    </x:row>
    <x:row r="270" ht="54" customHeight="1">
      <x:c r="A270" s="4" t="n">
        <x:v>269</x:v>
      </x:c>
      <x:c r="B270" s="4" t="str">
        <x:v>ADATA-0075</x:v>
      </x:c>
      <x:c r="C270" s="4" t="str">
        <x:v>数据报表</x:v>
      </x:c>
      <x:c r="D270" s="4" t="str">
        <x:v>直播间互动汇总（每日）（平台管理员视角）</x:v>
      </x:c>
      <x:c r="E270" s="4" t="str">
        <x:v>功能需求</x:v>
      </x:c>
      <x:c r="F270" s="4" t="str">
        <x:v>P1</x:v>
      </x:c>
      <x:c r="G270" s="4" t="str">
        <x:v>验证直播间互动汇总（每日）可查看直播间访问率</x:v>
      </x:c>
      <x:c r="H270" s="4" t="str">
        <x:v>直播间访问率展示</x:v>
      </x:c>
      <x:c r="I270" s="4" t="str">
        <x:v>1. 平台管理员账号已登录且具备当前页面权限</x:v>
      </x:c>
      <x:c r="J270" s="4" t="str">
        <x:v>1. 进入直播间互动汇总（每日）
2. 查看直播间访问率</x:v>
      </x:c>
      <x:c r="K270" s="4" t="str">
        <x:v>直播间互动汇总（每日）显示“直播间访问率”</x:v>
      </x:c>
      <x:c r="L270" s="4" t="str"/>
      <x:c r="M270" s="4" t="str">
        <x:v>未测</x:v>
      </x:c>
      <x:c r="N270" s="4" t="str"/>
      <x:c r="O270" s="4" t="str">
        <x:v>1. 来源（原型批注）：liveshow-proto/prototype/annotations/admin.js；admin-live-statistics.html
2. 页面：admin-live-statistics.html
3. 规则：BR-86E98BB7E16611、BR-2E48B9B057410F
4. 场景：SC-AA2575B79E8F0D
5. 未动态验证</x:v>
      </x:c>
    </x:row>
    <x:row r="271" ht="54" customHeight="1">
      <x:c r="A271" s="4" t="n">
        <x:v>270</x:v>
      </x:c>
      <x:c r="B271" s="4" t="str">
        <x:v>ADATA-0076</x:v>
      </x:c>
      <x:c r="C271" s="4" t="str">
        <x:v>数据报表</x:v>
      </x:c>
      <x:c r="D271" s="4" t="str">
        <x:v>主播活跃汇总（每日）（平台管理员视角）</x:v>
      </x:c>
      <x:c r="E271" s="4" t="str">
        <x:v>功能需求</x:v>
      </x:c>
      <x:c r="F271" s="4" t="str">
        <x:v>P2</x:v>
      </x:c>
      <x:c r="G271" s="4" t="str">
        <x:v>验证主播活跃汇总（每日）可查看开播率</x:v>
      </x:c>
      <x:c r="H271" s="4" t="str">
        <x:v>开播率展示</x:v>
      </x:c>
      <x:c r="I271" s="4" t="str">
        <x:v>1. 平台管理员账号已登录且具备当前页面权限</x:v>
      </x:c>
      <x:c r="J271" s="4" t="str">
        <x:v>1. 进入主播活跃汇总（每日）
2. 查看开播率</x:v>
      </x:c>
      <x:c r="K271" s="4" t="str">
        <x:v>主播活跃汇总（每日）显示“开播率”</x:v>
      </x:c>
      <x:c r="L271" s="4" t="str"/>
      <x:c r="M271" s="4" t="str">
        <x:v>未测</x:v>
      </x:c>
      <x:c r="N271" s="4" t="str"/>
      <x:c r="O271" s="4" t="str">
        <x:v>1. 来源（原型批注）：liveshow-proto/prototype/annotations/admin.js；admin-host-statistics.html
2. 页面：admin-host-statistics.html
3. 规则：BR-A593E14BE6E8B6、BR-CD4C1F5B37ABB9
4. 场景：SC-8BEEF7324EA7A9
5. 未动态验证</x:v>
      </x:c>
    </x:row>
    <x:row r="272" ht="54" customHeight="1">
      <x:c r="A272" s="4" t="n">
        <x:v>271</x:v>
      </x:c>
      <x:c r="B272" s="4" t="str">
        <x:v>ADATA-0077</x:v>
      </x:c>
      <x:c r="C272" s="4" t="str">
        <x:v>数据报表</x:v>
      </x:c>
      <x:c r="D272" s="4" t="str">
        <x:v>主播活跃汇总（每日）（平台管理员视角）</x:v>
      </x:c>
      <x:c r="E272" s="4" t="str">
        <x:v>功能需求</x:v>
      </x:c>
      <x:c r="F272" s="4" t="str">
        <x:v>P2</x:v>
      </x:c>
      <x:c r="G272" s="4" t="str">
        <x:v>验证主播活跃汇总（每日）可查看开播人数 / 场次</x:v>
      </x:c>
      <x:c r="H272" s="4" t="str">
        <x:v>开播人数 / 场次展示</x:v>
      </x:c>
      <x:c r="I272" s="4" t="str">
        <x:v>1. 平台管理员账号已登录且具备当前页面权限</x:v>
      </x:c>
      <x:c r="J272" s="4" t="str">
        <x:v>1. 进入主播活跃汇总（每日）
2. 查看开播人数 / 场次</x:v>
      </x:c>
      <x:c r="K272" s="4" t="str">
        <x:v>主播活跃汇总（每日）显示“开播人数 / 场次”</x:v>
      </x:c>
      <x:c r="L272" s="4" t="str"/>
      <x:c r="M272" s="4" t="str">
        <x:v>未测</x:v>
      </x:c>
      <x:c r="N272" s="4" t="str"/>
      <x:c r="O272" s="4" t="str">
        <x:v>1. 来源（原型批注）：liveshow-proto/prototype/annotations/admin.js；admin-host-statistics.html
2. 页面：admin-host-statistics.html
3. 规则：BR-1240269BB3472C
4. 场景：SC-A8ADCA649F4B0B
5. 未动态验证</x:v>
      </x:c>
    </x:row>
    <x:row r="273" ht="54" customHeight="1">
      <x:c r="A273" s="4" t="n">
        <x:v>272</x:v>
      </x:c>
      <x:c r="B273" s="4" t="str">
        <x:v>ADATA-0078</x:v>
      </x:c>
      <x:c r="C273" s="4" t="str">
        <x:v>数据报表</x:v>
      </x:c>
      <x:c r="D273" s="4" t="str">
        <x:v>主播活跃汇总（每日）（平台管理员视角）</x:v>
      </x:c>
      <x:c r="E273" s="4" t="str">
        <x:v>功能需求</x:v>
      </x:c>
      <x:c r="F273" s="4" t="str">
        <x:v>P2</x:v>
      </x:c>
      <x:c r="G273" s="4" t="str">
        <x:v>验证主播活跃汇总（每日）可查看开播时长中位数</x:v>
      </x:c>
      <x:c r="H273" s="4" t="str">
        <x:v>开播时长中位数展示</x:v>
      </x:c>
      <x:c r="I273" s="4" t="str">
        <x:v>1. 平台管理员账号已登录且具备当前页面权限</x:v>
      </x:c>
      <x:c r="J273" s="4" t="str">
        <x:v>1. 进入主播活跃汇总（每日）
2. 查看开播时长中位数</x:v>
      </x:c>
      <x:c r="K273" s="4" t="str">
        <x:v>主播活跃汇总（每日）显示“开播时长中位数”</x:v>
      </x:c>
      <x:c r="L273" s="4" t="str"/>
      <x:c r="M273" s="4" t="str">
        <x:v>未测</x:v>
      </x:c>
      <x:c r="N273" s="4" t="str"/>
      <x:c r="O273" s="4" t="str">
        <x:v>1. 来源（原型批注）：liveshow-proto/prototype/annotations/admin.js；admin-host-statistics.html
2. 页面：admin-host-statistics.html
3. 规则：BR-71C4D4957A147D、BR-AB056A14CDED9B
4. 场景：SC-67D81285260E1F
5. 未动态验证</x:v>
      </x:c>
    </x:row>
    <x:row r="274" ht="54" customHeight="1">
      <x:c r="A274" s="4" t="n">
        <x:v>273</x:v>
      </x:c>
      <x:c r="B274" s="4" t="str">
        <x:v>ADATA-0079</x:v>
      </x:c>
      <x:c r="C274" s="4" t="str">
        <x:v>数据报表</x:v>
      </x:c>
      <x:c r="D274" s="4" t="str">
        <x:v>主播活跃汇总（每日）（平台管理员视角）</x:v>
      </x:c>
      <x:c r="E274" s="4" t="str">
        <x:v>功能需求</x:v>
      </x:c>
      <x:c r="F274" s="4" t="str">
        <x:v>P2</x:v>
      </x:c>
      <x:c r="G274" s="4" t="str">
        <x:v>验证主播活跃汇总（每日）可查看连麦场次</x:v>
      </x:c>
      <x:c r="H274" s="4" t="str">
        <x:v>连麦场次展示</x:v>
      </x:c>
      <x:c r="I274" s="4" t="str">
        <x:v>1. 平台管理员账号已登录且具备当前页面权限</x:v>
      </x:c>
      <x:c r="J274" s="4" t="str">
        <x:v>1. 进入主播活跃汇总（每日）
2. 查看连麦场次</x:v>
      </x:c>
      <x:c r="K274" s="4" t="str">
        <x:v>主播活跃汇总（每日）显示“连麦场次”</x:v>
      </x:c>
      <x:c r="L274" s="4" t="str"/>
      <x:c r="M274" s="4" t="str">
        <x:v>未测</x:v>
      </x:c>
      <x:c r="N274" s="4" t="str"/>
      <x:c r="O274" s="4" t="str">
        <x:v>1. 来源（原型批注）：liveshow-proto/prototype/annotations/admin.js；admin-host-statistics.html
2. 页面：admin-host-statistics.html
3. 规则：BR-9CBBF6DDFFDA84
4. 场景：SC-1C3489C5A1A678
5. 未动态验证</x:v>
      </x:c>
    </x:row>
    <x:row r="275" ht="54" customHeight="1">
      <x:c r="A275" s="4" t="n">
        <x:v>274</x:v>
      </x:c>
      <x:c r="B275" s="4" t="str">
        <x:v>ADATA-0080</x:v>
      </x:c>
      <x:c r="C275" s="4" t="str">
        <x:v>数据报表</x:v>
      </x:c>
      <x:c r="D275" s="4" t="str">
        <x:v>主播活跃汇总（每日）（平台管理员视角）</x:v>
      </x:c>
      <x:c r="E275" s="4" t="str">
        <x:v>功能需求</x:v>
      </x:c>
      <x:c r="F275" s="4" t="str">
        <x:v>P2</x:v>
      </x:c>
      <x:c r="G275" s="4" t="str">
        <x:v>验证主播活跃汇总（每日）可查看违规主播 / 场次</x:v>
      </x:c>
      <x:c r="H275" s="4" t="str">
        <x:v>违规主播 / 场次展示</x:v>
      </x:c>
      <x:c r="I275" s="4" t="str">
        <x:v>1. 平台管理员账号已登录且具备当前页面权限</x:v>
      </x:c>
      <x:c r="J275" s="4" t="str">
        <x:v>1. 进入主播活跃汇总（每日）
2. 查看违规主播 / 场次</x:v>
      </x:c>
      <x:c r="K275" s="4" t="str">
        <x:v>主播活跃汇总（每日）显示“违规主播 / 场次”</x:v>
      </x:c>
      <x:c r="L275" s="4" t="str"/>
      <x:c r="M275" s="4" t="str">
        <x:v>未测</x:v>
      </x:c>
      <x:c r="N275" s="4" t="str"/>
      <x:c r="O275" s="4" t="str">
        <x:v>1. 来源（原型批注）：liveshow-proto/prototype/annotations/admin.js；admin-host-statistics.html
2. 页面：admin-host-statistics.html
3. 规则：BR-EF970B7D4DBA67
4. 场景：SC-D71CE3B139070B
5. 未动态验证</x:v>
      </x:c>
    </x:row>
    <x:row r="276" ht="54" customHeight="1">
      <x:c r="A276" s="4" t="n">
        <x:v>275</x:v>
      </x:c>
      <x:c r="B276" s="4" t="str">
        <x:v>ADATA-0081</x:v>
      </x:c>
      <x:c r="C276" s="4" t="str">
        <x:v>数据报表</x:v>
      </x:c>
      <x:c r="D276" s="4" t="str">
        <x:v>主播活跃汇总（每日）（平台管理员视角）</x:v>
      </x:c>
      <x:c r="E276" s="4" t="str">
        <x:v>功能需求</x:v>
      </x:c>
      <x:c r="F276" s="4" t="str">
        <x:v>P2</x:v>
      </x:c>
      <x:c r="G276" s="4" t="str">
        <x:v>验证主播活跃汇总（每日）可查看新增主播</x:v>
      </x:c>
      <x:c r="H276" s="4" t="str">
        <x:v>新增主播展示</x:v>
      </x:c>
      <x:c r="I276" s="4" t="str">
        <x:v>1. 平台管理员账号已登录且具备当前页面权限</x:v>
      </x:c>
      <x:c r="J276" s="4" t="str">
        <x:v>1. 进入主播活跃汇总（每日）
2. 查看新增主播</x:v>
      </x:c>
      <x:c r="K276" s="4" t="str">
        <x:v>主播活跃汇总（每日）显示“新增主播”</x:v>
      </x:c>
      <x:c r="L276" s="4" t="str"/>
      <x:c r="M276" s="4" t="str">
        <x:v>未测</x:v>
      </x:c>
      <x:c r="N276" s="4" t="str"/>
      <x:c r="O276" s="4" t="str">
        <x:v>1. 来源（原型批注）：liveshow-proto/prototype/annotations/admin.js；admin-host-statistics.html
2. 页面：admin-host-statistics.html
3. 规则：BR-FAF9F81661D648
4. 场景：SC-75EEF1A4712722
5. 未动态验证</x:v>
      </x:c>
    </x:row>
    <x:row r="277" ht="54" customHeight="1">
      <x:c r="A277" s="4" t="n">
        <x:v>276</x:v>
      </x:c>
      <x:c r="B277" s="4" t="str">
        <x:v>ADATA-0082</x:v>
      </x:c>
      <x:c r="C277" s="4" t="str">
        <x:v>数据报表</x:v>
      </x:c>
      <x:c r="D277" s="4" t="str">
        <x:v>主播活跃汇总（每日）（平台管理员视角）</x:v>
      </x:c>
      <x:c r="E277" s="4" t="str">
        <x:v>功能需求</x:v>
      </x:c>
      <x:c r="F277" s="4" t="str">
        <x:v>P2</x:v>
      </x:c>
      <x:c r="G277" s="4" t="str">
        <x:v>验证主播活跃汇总（每日）可查看有效天达标人数</x:v>
      </x:c>
      <x:c r="H277" s="4" t="str">
        <x:v>有效天达标人数展示</x:v>
      </x:c>
      <x:c r="I277" s="4" t="str">
        <x:v>1. 平台管理员账号已登录且具备当前页面权限</x:v>
      </x:c>
      <x:c r="J277" s="4" t="str">
        <x:v>1. 进入主播活跃汇总（每日）
2. 查看有效天达标人数</x:v>
      </x:c>
      <x:c r="K277" s="4" t="str">
        <x:v>主播活跃汇总（每日）显示“有效天达标人数”</x:v>
      </x:c>
      <x:c r="L277" s="4" t="str"/>
      <x:c r="M277" s="4" t="str">
        <x:v>未测</x:v>
      </x:c>
      <x:c r="N277" s="4" t="str"/>
      <x:c r="O277" s="4" t="str">
        <x:v>1. 来源（原型批注）：liveshow-proto/prototype/annotations/admin.js；admin-host-statistics.html
2. 页面：admin-host-statistics.html
3. 规则：BR-53745C6F39BE9A
4. 场景：SC-6AB6C67C669877
5. 未动态验证</x:v>
      </x:c>
    </x:row>
    <x:row r="278" ht="54" customHeight="1">
      <x:c r="A278" s="4" t="n">
        <x:v>277</x:v>
      </x:c>
      <x:c r="B278" s="4" t="str">
        <x:v>ADATA-0083</x:v>
      </x:c>
      <x:c r="C278" s="4" t="str">
        <x:v>数据报表</x:v>
      </x:c>
      <x:c r="D278" s="4" t="str">
        <x:v>主播礼物打赏明细报表（平台管理员视角）</x:v>
      </x:c>
      <x:c r="E278" s="4" t="str">
        <x:v>功能需求</x:v>
      </x:c>
      <x:c r="F278" s="4" t="str">
        <x:v>P2</x:v>
      </x:c>
      <x:c r="G278" s="4" t="str">
        <x:v>验证主播礼物打赏明细报表可查看单价 / 份数</x:v>
      </x:c>
      <x:c r="H278" s="4" t="str">
        <x:v>单价 / 份数展示</x:v>
      </x:c>
      <x:c r="I278" s="4" t="str">
        <x:v>1. 平台管理员账号已登录且具备当前页面权限</x:v>
      </x:c>
      <x:c r="J278" s="4" t="str">
        <x:v>1. 进入主播礼物打赏明细报表
2. 查看单价 / 份数</x:v>
      </x:c>
      <x:c r="K278" s="4" t="str">
        <x:v>主播礼物打赏明细报表显示“单价 / 份数”</x:v>
      </x:c>
      <x:c r="L278" s="4" t="str"/>
      <x:c r="M278" s="4" t="str">
        <x:v>未测</x:v>
      </x:c>
      <x:c r="N278" s="4" t="str"/>
      <x:c r="O278" s="4" t="str">
        <x:v>1. 来源（原型批注）：liveshow-proto/prototype/annotations/admin.js；admin-monthly-host-earnings.html
2. 页面：admin-monthly-host-earnings.html
3. 规则：BR-060170709FEA75
4. 场景：SC-C8514FF434AC56
5. 未动态验证</x:v>
      </x:c>
    </x:row>
    <x:row r="279" ht="54" customHeight="1">
      <x:c r="A279" s="4" t="n">
        <x:v>278</x:v>
      </x:c>
      <x:c r="B279" s="4" t="str">
        <x:v>ADATA-0084</x:v>
      </x:c>
      <x:c r="C279" s="4" t="str">
        <x:v>数据报表</x:v>
      </x:c>
      <x:c r="D279" s="4" t="str">
        <x:v>主播礼物打赏明细报表（平台管理员视角）</x:v>
      </x:c>
      <x:c r="E279" s="4" t="str">
        <x:v>功能需求</x:v>
      </x:c>
      <x:c r="F279" s="4" t="str">
        <x:v>P2</x:v>
      </x:c>
      <x:c r="G279" s="4" t="str">
        <x:v>验证主播礼物打赏明细报表可查看普通 / 定制收益</x:v>
      </x:c>
      <x:c r="H279" s="4" t="str">
        <x:v>普通 / 定制收益展示</x:v>
      </x:c>
      <x:c r="I279" s="4" t="str">
        <x:v>1. 平台管理员账号已登录且具备当前页面权限</x:v>
      </x:c>
      <x:c r="J279" s="4" t="str">
        <x:v>1. 进入主播礼物打赏明细报表
2. 查看普通 / 定制收益</x:v>
      </x:c>
      <x:c r="K279" s="4" t="str">
        <x:v>主播礼物打赏明细报表显示“普通 / 定制收益”</x:v>
      </x:c>
      <x:c r="L279" s="4" t="str"/>
      <x:c r="M279" s="4" t="str">
        <x:v>未测</x:v>
      </x:c>
      <x:c r="N279" s="4" t="str"/>
      <x:c r="O279" s="4" t="str">
        <x:v>1. 来源（原型批注）：liveshow-proto/prototype/annotations/admin.js；admin-monthly-host-earnings.html
2. 页面：admin-monthly-host-earnings.html
3. 规则：BR-C743A1959C4A79
4. 场景：SC-980ABA9001A780
5. 未动态验证</x:v>
      </x:c>
    </x:row>
    <x:row r="280" ht="54" customHeight="1">
      <x:c r="A280" s="4" t="n">
        <x:v>279</x:v>
      </x:c>
      <x:c r="B280" s="4" t="str">
        <x:v>ADATA-0085</x:v>
      </x:c>
      <x:c r="C280" s="4" t="str">
        <x:v>数据报表</x:v>
      </x:c>
      <x:c r="D280" s="4" t="str">
        <x:v>主播礼物打赏明细报表（平台管理员视角）</x:v>
      </x:c>
      <x:c r="E280" s="4" t="str">
        <x:v>功能需求</x:v>
      </x:c>
      <x:c r="F280" s="4" t="str">
        <x:v>P2</x:v>
      </x:c>
      <x:c r="G280" s="4" t="str">
        <x:v>验证主播礼物打赏明细报表可查看幸运礼物收益</x:v>
      </x:c>
      <x:c r="H280" s="4" t="str">
        <x:v>幸运礼物收益展示</x:v>
      </x:c>
      <x:c r="I280" s="4" t="str">
        <x:v>1. 平台管理员账号已登录且具备当前页面权限</x:v>
      </x:c>
      <x:c r="J280" s="4" t="str">
        <x:v>1. 进入主播礼物打赏明细报表
2. 查看幸运礼物收益</x:v>
      </x:c>
      <x:c r="K280" s="4" t="str">
        <x:v>主播礼物打赏明细报表显示“幸运礼物收益”</x:v>
      </x:c>
      <x:c r="L280" s="4" t="str"/>
      <x:c r="M280" s="4" t="str">
        <x:v>未测</x:v>
      </x:c>
      <x:c r="N280" s="4" t="str"/>
      <x:c r="O280" s="4" t="str">
        <x:v>1. 来源（原型批注）：liveshow-proto/prototype/annotations/admin.js；admin-monthly-host-earnings.html
2. 页面：admin-monthly-host-earnings.html
3. 规则：BR-17D9EE5DCF0862、BR-6BAEDC0A71B9D5
4. 场景：SC-6B08E219F83929
5. 未动态验证</x:v>
      </x:c>
    </x:row>
    <x:row r="281" ht="54" customHeight="1">
      <x:c r="A281" s="4" t="n">
        <x:v>280</x:v>
      </x:c>
      <x:c r="B281" s="4" t="str">
        <x:v>ADATA-0086</x:v>
      </x:c>
      <x:c r="C281" s="4" t="str">
        <x:v>数据报表</x:v>
      </x:c>
      <x:c r="D281" s="4" t="str">
        <x:v>主播礼物打赏明细报表（平台管理员视角）</x:v>
      </x:c>
      <x:c r="E281" s="4" t="str">
        <x:v>功能需求</x:v>
      </x:c>
      <x:c r="F281" s="4" t="str">
        <x:v>P2</x:v>
      </x:c>
      <x:c r="G281" s="4" t="str">
        <x:v>验证主播礼物打赏明细报表可查看虚拟金币记录</x:v>
      </x:c>
      <x:c r="H281" s="4" t="str">
        <x:v>虚拟金币记录展示</x:v>
      </x:c>
      <x:c r="I281" s="4" t="str">
        <x:v>1. 平台管理员账号已登录且具备当前页面权限</x:v>
      </x:c>
      <x:c r="J281" s="4" t="str">
        <x:v>1. 进入主播礼物打赏明细报表
2. 查看虚拟金币记录</x:v>
      </x:c>
      <x:c r="K281" s="4" t="str">
        <x:v>主播礼物打赏明细报表显示“虚拟金币记录”</x:v>
      </x:c>
      <x:c r="L281" s="4" t="str"/>
      <x:c r="M281" s="4" t="str">
        <x:v>未测</x:v>
      </x:c>
      <x:c r="N281" s="4" t="str"/>
      <x:c r="O281" s="4" t="str">
        <x:v>1. 来源（原型批注）：liveshow-proto/prototype/annotations/admin.js；admin-monthly-host-earnings.html
2. 页面：admin-monthly-host-earnings.html
3. 规则：BR-02A362428A4237
4. 场景：SC-18A4811E219B03
5. 未动态验证</x:v>
      </x:c>
    </x:row>
    <x:row r="282" ht="54" customHeight="1">
      <x:c r="A282" s="4" t="n">
        <x:v>281</x:v>
      </x:c>
      <x:c r="B282" s="4" t="str">
        <x:v>ADATA-0087</x:v>
      </x:c>
      <x:c r="C282" s="4" t="str">
        <x:v>数据报表</x:v>
      </x:c>
      <x:c r="D282" s="4" t="str">
        <x:v>主播业绩分成报表（平台管理员视角）</x:v>
      </x:c>
      <x:c r="E282" s="4" t="str">
        <x:v>功能需求</x:v>
      </x:c>
      <x:c r="F282" s="4" t="str">
        <x:v>P2</x:v>
      </x:c>
      <x:c r="G282" s="4" t="str">
        <x:v>验证主播业绩分成报表可查看达标天数</x:v>
      </x:c>
      <x:c r="H282" s="4" t="str">
        <x:v>达标天数展示</x:v>
      </x:c>
      <x:c r="I282" s="4" t="str">
        <x:v>1. 平台管理员账号已登录且具备当前页面权限</x:v>
      </x:c>
      <x:c r="J282" s="4" t="str">
        <x:v>1. 进入主播业绩分成报表
2. 查看达标天数</x:v>
      </x:c>
      <x:c r="K282" s="4" t="str">
        <x:v>主播业绩分成报表显示“达标天数”</x:v>
      </x:c>
      <x:c r="L282" s="4" t="str"/>
      <x:c r="M282" s="4" t="str">
        <x:v>未测</x:v>
      </x:c>
      <x:c r="N282" s="4" t="str"/>
      <x:c r="O282" s="4" t="str">
        <x:v>1. 来源（原型批注）：liveshow-proto/prototype/annotations/admin.js；admin-monthly-host-share.html
2. 页面：admin-monthly-host-share.html
3. 规则：BR-AA78EF9A338329
4. 场景：SC-C613A8B5799823
5. 未动态验证</x:v>
      </x:c>
    </x:row>
    <x:row r="283" ht="54" customHeight="1">
      <x:c r="A283" s="4" t="n">
        <x:v>282</x:v>
      </x:c>
      <x:c r="B283" s="4" t="str">
        <x:v>ADATA-0088</x:v>
      </x:c>
      <x:c r="C283" s="4" t="str">
        <x:v>数据报表</x:v>
      </x:c>
      <x:c r="D283" s="4" t="str">
        <x:v>主播业绩分成报表（平台管理员视角）</x:v>
      </x:c>
      <x:c r="E283" s="4" t="str">
        <x:v>功能需求</x:v>
      </x:c>
      <x:c r="F283" s="4" t="str">
        <x:v>P2</x:v>
      </x:c>
      <x:c r="G283" s="4" t="str">
        <x:v>验证主播业绩分成报表可查看普通 / 定制 / 门票收益</x:v>
      </x:c>
      <x:c r="H283" s="4" t="str">
        <x:v>普通 / 定制 / 门票收益展示</x:v>
      </x:c>
      <x:c r="I283" s="4" t="str">
        <x:v>1. 平台管理员账号已登录且具备当前页面权限</x:v>
      </x:c>
      <x:c r="J283" s="4" t="str">
        <x:v>1. 进入主播业绩分成报表
2. 查看普通 / 定制 / 门票收益</x:v>
      </x:c>
      <x:c r="K283" s="4" t="str">
        <x:v>主播业绩分成报表显示“普通 / 定制 / 门票收益”</x:v>
      </x:c>
      <x:c r="L283" s="4" t="str"/>
      <x:c r="M283" s="4" t="str">
        <x:v>未测</x:v>
      </x:c>
      <x:c r="N283" s="4" t="str"/>
      <x:c r="O283" s="4" t="str">
        <x:v>1. 来源（原型批注）：liveshow-proto/prototype/annotations/admin.js；admin-monthly-host-share.html
2. 页面：admin-monthly-host-share.html
3. 规则：BR-6712968AC879E4
4. 场景：SC-D60DC58587E4FE
5. 未动态验证</x:v>
      </x:c>
    </x:row>
    <x:row r="284" ht="54" customHeight="1">
      <x:c r="A284" s="4" t="n">
        <x:v>283</x:v>
      </x:c>
      <x:c r="B284" s="4" t="str">
        <x:v>ADATA-0089</x:v>
      </x:c>
      <x:c r="C284" s="4" t="str">
        <x:v>数据报表</x:v>
      </x:c>
      <x:c r="D284" s="4" t="str">
        <x:v>主播业绩分成报表（平台管理员视角）</x:v>
      </x:c>
      <x:c r="E284" s="4" t="str">
        <x:v>功能需求</x:v>
      </x:c>
      <x:c r="F284" s="4" t="str">
        <x:v>P2</x:v>
      </x:c>
      <x:c r="G284" s="4" t="str">
        <x:v>验证主播业绩分成报表可查看统计天数</x:v>
      </x:c>
      <x:c r="H284" s="4" t="str">
        <x:v>统计天数展示</x:v>
      </x:c>
      <x:c r="I284" s="4" t="str">
        <x:v>1. 平台管理员账号已登录且具备当前页面权限</x:v>
      </x:c>
      <x:c r="J284" s="4" t="str">
        <x:v>1. 进入主播业绩分成报表
2. 查看统计天数</x:v>
      </x:c>
      <x:c r="K284" s="4" t="str">
        <x:v>主播业绩分成报表显示“统计天数”</x:v>
      </x:c>
      <x:c r="L284" s="4" t="str"/>
      <x:c r="M284" s="4" t="str">
        <x:v>未测</x:v>
      </x:c>
      <x:c r="N284" s="4" t="str"/>
      <x:c r="O284" s="4" t="str">
        <x:v>1. 来源（原型批注）：liveshow-proto/prototype/annotations/admin.js；admin-monthly-host-share.html
2. 页面：admin-monthly-host-share.html
3. 规则：BR-6ED3024F3E99DF
4. 场景：SC-3BC59562015E97
5. 未动态验证</x:v>
      </x:c>
    </x:row>
    <x:row r="285" ht="54" customHeight="1">
      <x:c r="A285" s="4" t="n">
        <x:v>284</x:v>
      </x:c>
      <x:c r="B285" s="4" t="str">
        <x:v>ADATA-0090</x:v>
      </x:c>
      <x:c r="C285" s="4" t="str">
        <x:v>数据报表</x:v>
      </x:c>
      <x:c r="D285" s="4" t="str">
        <x:v>主播业绩分成报表（平台管理员视角）</x:v>
      </x:c>
      <x:c r="E285" s="4" t="str">
        <x:v>功能需求</x:v>
      </x:c>
      <x:c r="F285" s="4" t="str">
        <x:v>P2</x:v>
      </x:c>
      <x:c r="G285" s="4" t="str">
        <x:v>验证主播业绩分成报表可查看幸运礼物收益</x:v>
      </x:c>
      <x:c r="H285" s="4" t="str">
        <x:v>幸运礼物收益展示</x:v>
      </x:c>
      <x:c r="I285" s="4" t="str">
        <x:v>1. 平台管理员账号已登录且具备当前页面权限</x:v>
      </x:c>
      <x:c r="J285" s="4" t="str">
        <x:v>1. 进入主播业绩分成报表
2. 查看幸运礼物收益</x:v>
      </x:c>
      <x:c r="K285" s="4" t="str">
        <x:v>主播业绩分成报表显示“幸运礼物收益”</x:v>
      </x:c>
      <x:c r="L285" s="4" t="str"/>
      <x:c r="M285" s="4" t="str">
        <x:v>未测</x:v>
      </x:c>
      <x:c r="N285" s="4" t="str"/>
      <x:c r="O285" s="4" t="str">
        <x:v>1. 来源（原型批注）：liveshow-proto/prototype/annotations/admin.js；admin-monthly-host-share.html
2. 页面：admin-monthly-host-share.html
3. 规则：BR-447178D8C52E66
4. 场景：SC-186091CA2D9D87
5. 未动态验证</x:v>
      </x:c>
    </x:row>
    <x:row r="286" ht="54" customHeight="1">
      <x:c r="A286" s="4" t="n">
        <x:v>285</x:v>
      </x:c>
      <x:c r="B286" s="4" t="str">
        <x:v>ADATA-0091</x:v>
      </x:c>
      <x:c r="C286" s="4" t="str">
        <x:v>数据报表</x:v>
      </x:c>
      <x:c r="D286" s="4" t="str">
        <x:v>主播业绩分成报表（平台管理员视角）</x:v>
      </x:c>
      <x:c r="E286" s="4" t="str">
        <x:v>功能需求</x:v>
      </x:c>
      <x:c r="F286" s="4" t="str">
        <x:v>P2</x:v>
      </x:c>
      <x:c r="G286" s="4" t="str">
        <x:v>验证主播业绩分成报表可查看直播场次</x:v>
      </x:c>
      <x:c r="H286" s="4" t="str">
        <x:v>直播场次展示</x:v>
      </x:c>
      <x:c r="I286" s="4" t="str">
        <x:v>1. 平台管理员账号已登录且具备当前页面权限</x:v>
      </x:c>
      <x:c r="J286" s="4" t="str">
        <x:v>1. 进入主播业绩分成报表
2. 查看直播场次</x:v>
      </x:c>
      <x:c r="K286" s="4" t="str">
        <x:v>主播业绩分成报表显示“直播场次”</x:v>
      </x:c>
      <x:c r="L286" s="4" t="str"/>
      <x:c r="M286" s="4" t="str">
        <x:v>未测</x:v>
      </x:c>
      <x:c r="N286" s="4" t="str"/>
      <x:c r="O286" s="4" t="str">
        <x:v>1. 来源（原型批注）：liveshow-proto/prototype/annotations/admin.js；admin-monthly-host-share.html
2. 页面：admin-monthly-host-share.html
3. 规则：BR-7D54AE1E2D8412
4. 场景：SC-ED193A86A72F09
5. 未动态验证</x:v>
      </x:c>
    </x:row>
    <x:row r="287" ht="54" customHeight="1">
      <x:c r="A287" s="4" t="n">
        <x:v>286</x:v>
      </x:c>
      <x:c r="B287" s="4" t="str">
        <x:v>ADATA-0092</x:v>
      </x:c>
      <x:c r="C287" s="4" t="str">
        <x:v>数据报表</x:v>
      </x:c>
      <x:c r="D287" s="4" t="str">
        <x:v>主播业绩分成报表（平台管理员视角）</x:v>
      </x:c>
      <x:c r="E287" s="4" t="str">
        <x:v>功能需求</x:v>
      </x:c>
      <x:c r="F287" s="4" t="str">
        <x:v>P2</x:v>
      </x:c>
      <x:c r="G287" s="4" t="str">
        <x:v>验证主播业绩分成报表可查看主播收益</x:v>
      </x:c>
      <x:c r="H287" s="4" t="str">
        <x:v>主播收益展示</x:v>
      </x:c>
      <x:c r="I287" s="4" t="str">
        <x:v>1. 平台管理员账号已登录且具备当前页面权限</x:v>
      </x:c>
      <x:c r="J287" s="4" t="str">
        <x:v>1. 进入主播业绩分成报表
2. 查看主播收益</x:v>
      </x:c>
      <x:c r="K287" s="4" t="str">
        <x:v>主播业绩分成报表显示“主播收益”</x:v>
      </x:c>
      <x:c r="L287" s="4" t="str"/>
      <x:c r="M287" s="4" t="str">
        <x:v>未测</x:v>
      </x:c>
      <x:c r="N287" s="4" t="str"/>
      <x:c r="O287" s="4" t="str">
        <x:v>1. 来源（原型批注）：liveshow-proto/prototype/annotations/admin.js；admin-monthly-host-share.html
2. 页面：admin-monthly-host-share.html
3. 规则：BR-4B636E1BE24755
4. 场景：SC-BF471E36C9BBE7
5. 未动态验证</x:v>
      </x:c>
    </x:row>
    <x:row r="288" ht="54" customHeight="1">
      <x:c r="A288" s="4" t="n">
        <x:v>287</x:v>
      </x:c>
      <x:c r="B288" s="4" t="str">
        <x:v>ASYS-0001</x:v>
      </x:c>
      <x:c r="C288" s="4" t="str">
        <x:v>系统配置</x:v>
      </x:c>
      <x:c r="D288" s="4" t="str">
        <x:v>后台账号（平台管理员视角）</x:v>
      </x:c>
      <x:c r="E288" s="4" t="str">
        <x:v>功能需求</x:v>
      </x:c>
      <x:c r="F288" s="4" t="str">
        <x:v>P2</x:v>
      </x:c>
      <x:c r="G288" s="4" t="str">
        <x:v>验证后台账号可查看登录 / 更新时间</x:v>
      </x:c>
      <x:c r="H288" s="4" t="str">
        <x:v>登录 / 更新时间展示</x:v>
      </x:c>
      <x:c r="I288" s="4" t="str">
        <x:v>1. 平台管理员账号已登录且具备当前页面权限</x:v>
      </x:c>
      <x:c r="J288" s="4" t="str">
        <x:v>1. 进入后台账号
2. 查看登录 / 更新时间</x:v>
      </x:c>
      <x:c r="K288" s="4" t="str">
        <x:v>后台账号显示“登录 / 更新时间”</x:v>
      </x:c>
      <x:c r="L288" s="4" t="str"/>
      <x:c r="M288" s="4" t="str">
        <x:v>未测</x:v>
      </x:c>
      <x:c r="N288" s="4" t="str"/>
      <x:c r="O288" s="4" t="str">
        <x:v>1. 来源（原型批注）：liveshow-proto/prototype/annotations/admin.js；admin-system-account.html
2. 页面：admin-system-account.html
3. 规则：BR-A5EF70EF36E552
4. 场景：SC-4F3E2ADBAA77AB
5. 未动态验证</x:v>
      </x:c>
    </x:row>
    <x:row r="289" ht="54" customHeight="1">
      <x:c r="A289" s="4" t="n">
        <x:v>288</x:v>
      </x:c>
      <x:c r="B289" s="4" t="str">
        <x:v>ASYS-0002</x:v>
      </x:c>
      <x:c r="C289" s="4" t="str">
        <x:v>系统配置</x:v>
      </x:c>
      <x:c r="D289" s="4" t="str">
        <x:v>后台账号（平台管理员视角）</x:v>
      </x:c>
      <x:c r="E289" s="4" t="str">
        <x:v>功能需求</x:v>
      </x:c>
      <x:c r="F289" s="4" t="str">
        <x:v>P2</x:v>
      </x:c>
      <x:c r="G289" s="4" t="str">
        <x:v>验证后台账号可查看后台账号</x:v>
      </x:c>
      <x:c r="H289" s="4" t="str">
        <x:v>后台账号展示</x:v>
      </x:c>
      <x:c r="I289" s="4" t="str">
        <x:v>1. 平台管理员账号已登录且具备当前页面权限</x:v>
      </x:c>
      <x:c r="J289" s="4" t="str">
        <x:v>1. 进入后台账号
2. 查看后台账号</x:v>
      </x:c>
      <x:c r="K289" s="4" t="str">
        <x:v>后台账号显示“后台账号”</x:v>
      </x:c>
      <x:c r="L289" s="4" t="str"/>
      <x:c r="M289" s="4" t="str">
        <x:v>未测</x:v>
      </x:c>
      <x:c r="N289" s="4" t="str"/>
      <x:c r="O289" s="4" t="str">
        <x:v>1. 来源（原型批注）：liveshow-proto/prototype/annotations/admin.js；admin-system-account.html
2. 页面：admin-system-account.html
3. 规则：BR-56D93C6DCBD9C3
4. 场景：SC-F9FA2089E5E47F
5. 未动态验证</x:v>
      </x:c>
    </x:row>
    <x:row r="290" ht="54" customHeight="1">
      <x:c r="A290" s="4" t="n">
        <x:v>289</x:v>
      </x:c>
      <x:c r="B290" s="4" t="str">
        <x:v>ASYS-0003</x:v>
      </x:c>
      <x:c r="C290" s="4" t="str">
        <x:v>系统配置</x:v>
      </x:c>
      <x:c r="D290" s="4" t="str">
        <x:v>后台账号（平台管理员视角）</x:v>
      </x:c>
      <x:c r="E290" s="4" t="str">
        <x:v>功能需求</x:v>
      </x:c>
      <x:c r="F290" s="4" t="str">
        <x:v>P2</x:v>
      </x:c>
      <x:c r="G290" s="4" t="str">
        <x:v>验证后台账号可查看姓名 / 角色</x:v>
      </x:c>
      <x:c r="H290" s="4" t="str">
        <x:v>姓名 / 角色展示</x:v>
      </x:c>
      <x:c r="I290" s="4" t="str">
        <x:v>1. 平台管理员账号已登录且具备当前页面权限</x:v>
      </x:c>
      <x:c r="J290" s="4" t="str">
        <x:v>1. 进入后台账号
2. 查看姓名 / 角色</x:v>
      </x:c>
      <x:c r="K290" s="4" t="str">
        <x:v>后台账号显示“姓名 / 角色”</x:v>
      </x:c>
      <x:c r="L290" s="4" t="str"/>
      <x:c r="M290" s="4" t="str">
        <x:v>未测</x:v>
      </x:c>
      <x:c r="N290" s="4" t="str"/>
      <x:c r="O290" s="4" t="str">
        <x:v>1. 来源（原型批注）：liveshow-proto/prototype/annotations/admin.js；admin-system-account.html
2. 页面：admin-system-account.html
3. 规则：BR-FF6DDA2CFBA2C7、BR-1410465479C01D
4. 场景：SC-FED17435EE9D10
5. 未动态验证</x:v>
      </x:c>
    </x:row>
    <x:row r="291" ht="54" customHeight="1">
      <x:c r="A291" s="4" t="n">
        <x:v>290</x:v>
      </x:c>
      <x:c r="B291" s="4" t="str">
        <x:v>ASYS-0004</x:v>
      </x:c>
      <x:c r="C291" s="4" t="str">
        <x:v>系统配置</x:v>
      </x:c>
      <x:c r="D291" s="4" t="str">
        <x:v>后台账号（平台管理员视角）</x:v>
      </x:c>
      <x:c r="E291" s="4" t="str">
        <x:v>功能需求</x:v>
      </x:c>
      <x:c r="F291" s="4" t="str">
        <x:v>P2</x:v>
      </x:c>
      <x:c r="G291" s="4" t="str">
        <x:v>验证后台账号可查看账号 ID</x:v>
      </x:c>
      <x:c r="H291" s="4" t="str">
        <x:v>账号 ID展示</x:v>
      </x:c>
      <x:c r="I291" s="4" t="str">
        <x:v>1. 平台管理员账号已登录且具备当前页面权限</x:v>
      </x:c>
      <x:c r="J291" s="4" t="str">
        <x:v>1. 进入后台账号
2. 查看账号 ID</x:v>
      </x:c>
      <x:c r="K291" s="4" t="str">
        <x:v>后台账号显示“账号 ID”</x:v>
      </x:c>
      <x:c r="L291" s="4" t="str"/>
      <x:c r="M291" s="4" t="str">
        <x:v>未测</x:v>
      </x:c>
      <x:c r="N291" s="4" t="str"/>
      <x:c r="O291" s="4" t="str">
        <x:v>1. 来源（原型批注）：liveshow-proto/prototype/annotations/admin.js；admin-system-account.html
2. 页面：admin-system-account.html
3. 规则：BR-4186E3830EF6F5
4. 场景：SC-1530854CEA225B
5. 未动态验证</x:v>
      </x:c>
    </x:row>
    <x:row r="292" ht="54" customHeight="1">
      <x:c r="A292" s="4" t="n">
        <x:v>291</x:v>
      </x:c>
      <x:c r="B292" s="4" t="str">
        <x:v>ASYS-0005</x:v>
      </x:c>
      <x:c r="C292" s="4" t="str">
        <x:v>系统配置</x:v>
      </x:c>
      <x:c r="D292" s="4" t="str">
        <x:v>后台账号（平台管理员视角）</x:v>
      </x:c>
      <x:c r="E292" s="4" t="str">
        <x:v>功能需求</x:v>
      </x:c>
      <x:c r="F292" s="4" t="str">
        <x:v>P2</x:v>
      </x:c>
      <x:c r="G292" s="4" t="str">
        <x:v>验证后台账号可查看状态</x:v>
      </x:c>
      <x:c r="H292" s="4" t="str">
        <x:v>状态展示</x:v>
      </x:c>
      <x:c r="I292" s="4" t="str">
        <x:v>1. 平台管理员账号已登录且具备当前页面权限</x:v>
      </x:c>
      <x:c r="J292" s="4" t="str">
        <x:v>1. 进入后台账号
2. 查看状态</x:v>
      </x:c>
      <x:c r="K292" s="4" t="str">
        <x:v>后台账号显示“状态”</x:v>
      </x:c>
      <x:c r="L292" s="4" t="str"/>
      <x:c r="M292" s="4" t="str">
        <x:v>未测</x:v>
      </x:c>
      <x:c r="N292" s="4" t="str"/>
      <x:c r="O292" s="4" t="str">
        <x:v>1. 来源（原型批注）：liveshow-proto/prototype/annotations/admin.js；admin-system-account.html
2. 页面：admin-system-account.html
3. 规则：BR-A5306562479B76、BR-360E497D1467D7
4. 场景：SC-A98F18A9FCFF59
5. 未动态验证</x:v>
      </x:c>
    </x:row>
    <x:row r="293" ht="54" customHeight="1">
      <x:c r="A293" s="4" t="n">
        <x:v>292</x:v>
      </x:c>
      <x:c r="B293" s="4" t="str">
        <x:v>ASYS-0006</x:v>
      </x:c>
      <x:c r="C293" s="4" t="str">
        <x:v>系统配置</x:v>
      </x:c>
      <x:c r="D293" s="4" t="str">
        <x:v>角色编辑（平台管理员视角）</x:v>
      </x:c>
      <x:c r="E293" s="4" t="str">
        <x:v>功能需求</x:v>
      </x:c>
      <x:c r="F293" s="4" t="str">
        <x:v>P2</x:v>
      </x:c>
      <x:c r="G293" s="4" t="str">
        <x:v>验证角色编辑的默认状态</x:v>
      </x:c>
      <x:c r="H293" s="4" t="str">
        <x:v>角色编辑默认值</x:v>
      </x:c>
      <x:c r="I293" s="4" t="str">
        <x:v>1. 平台管理员账号已登录且具备当前页面权限</x:v>
      </x:c>
      <x:c r="J293" s="4" t="str">
        <x:v>1. 进入角色编辑
2. 查看角色编辑</x:v>
      </x:c>
      <x:c r="K293" s="4" t="str">
        <x:v>内置超级管理员默认全部权限且不可修改</x:v>
      </x:c>
      <x:c r="L293" s="4" t="str"/>
      <x:c r="M293" s="4" t="str">
        <x:v>未测</x:v>
      </x:c>
      <x:c r="N293" s="4" t="str"/>
      <x:c r="O293" s="4" t="str">
        <x:v>1. 来源（原型批注）：liveshow-proto/prototype/annotations/admin.js；admin-system-role-detail.html
2. 页面：admin-system-role-detail.html
3. 规则：BR-5F3E047E716DD4
4. 场景：SC-513ED56AE85F64
5. 未动态验证</x:v>
      </x:c>
    </x:row>
    <x:row r="294" ht="54" customHeight="1">
      <x:c r="A294" s="4" t="n">
        <x:v>293</x:v>
      </x:c>
      <x:c r="B294" s="4" t="str">
        <x:v>ASYS-0007</x:v>
      </x:c>
      <x:c r="C294" s="4" t="str">
        <x:v>系统配置</x:v>
      </x:c>
      <x:c r="D294" s="4" t="str">
        <x:v>角色编辑（平台管理员视角）</x:v>
      </x:c>
      <x:c r="E294" s="4" t="str">
        <x:v>功能需求</x:v>
      </x:c>
      <x:c r="F294" s="4" t="str">
        <x:v>P2</x:v>
      </x:c>
      <x:c r="G294" s="4" t="str">
        <x:v>验证角色编辑可查看菜单权限</x:v>
      </x:c>
      <x:c r="H294" s="4" t="str">
        <x:v>菜单权限展示</x:v>
      </x:c>
      <x:c r="I294" s="4" t="str">
        <x:v>1. 平台管理员账号已登录且具备当前页面权限</x:v>
      </x:c>
      <x:c r="J294" s="4" t="str">
        <x:v>1. 进入角色编辑
2. 查看菜单权限</x:v>
      </x:c>
      <x:c r="K294" s="4" t="str">
        <x:v>角色编辑显示“菜单权限”</x:v>
      </x:c>
      <x:c r="L294" s="4" t="str"/>
      <x:c r="M294" s="4" t="str">
        <x:v>未测</x:v>
      </x:c>
      <x:c r="N294" s="4" t="str"/>
      <x:c r="O294" s="4" t="str">
        <x:v>1. 来源（原型批注）：liveshow-proto/prototype/annotations/admin.js；admin-system-role-detail.html
2. 页面：admin-system-role-detail.html
3. 规则：BR-61B2BD04E9EF7E、BR-6777DAE3489D9F
4. 场景：SC-14E9C0342485F0
5. 未动态验证</x:v>
      </x:c>
    </x:row>
    <x:row r="295" ht="54" customHeight="1">
      <x:c r="A295" s="4" t="n">
        <x:v>294</x:v>
      </x:c>
      <x:c r="B295" s="4" t="str">
        <x:v>ASYS-0008</x:v>
      </x:c>
      <x:c r="C295" s="4" t="str">
        <x:v>系统配置</x:v>
      </x:c>
      <x:c r="D295" s="4" t="str">
        <x:v>角色编辑（平台管理员视角）</x:v>
      </x:c>
      <x:c r="E295" s="4" t="str">
        <x:v>功能需求</x:v>
      </x:c>
      <x:c r="F295" s="4" t="str">
        <x:v>P2</x:v>
      </x:c>
      <x:c r="G295" s="4" t="str">
        <x:v>验证角色编辑可查看角色 ID</x:v>
      </x:c>
      <x:c r="H295" s="4" t="str">
        <x:v>角色 ID展示</x:v>
      </x:c>
      <x:c r="I295" s="4" t="str">
        <x:v>1. 平台管理员账号已登录且具备当前页面权限</x:v>
      </x:c>
      <x:c r="J295" s="4" t="str">
        <x:v>1. 进入角色编辑
2. 查看角色 ID</x:v>
      </x:c>
      <x:c r="K295" s="4" t="str">
        <x:v>角色编辑显示“角色 ID”</x:v>
      </x:c>
      <x:c r="L295" s="4" t="str"/>
      <x:c r="M295" s="4" t="str">
        <x:v>未测</x:v>
      </x:c>
      <x:c r="N295" s="4" t="str"/>
      <x:c r="O295" s="4" t="str">
        <x:v>1. 来源（原型批注）：liveshow-proto/prototype/annotations/admin.js；admin-system-role-detail.html
2. 页面：admin-system-role-detail.html
3. 规则：BR-23A6F1A01DCC4B
4. 场景：SC-A9DD8A2D37B629
5. 未动态验证</x:v>
      </x:c>
    </x:row>
    <x:row r="296" ht="54" customHeight="1">
      <x:c r="A296" s="4" t="n">
        <x:v>295</x:v>
      </x:c>
      <x:c r="B296" s="4" t="str">
        <x:v>ASYS-0009</x:v>
      </x:c>
      <x:c r="C296" s="4" t="str">
        <x:v>系统配置</x:v>
      </x:c>
      <x:c r="D296" s="4" t="str">
        <x:v>角色编辑（平台管理员视角）</x:v>
      </x:c>
      <x:c r="E296" s="4" t="str">
        <x:v>功能需求</x:v>
      </x:c>
      <x:c r="F296" s="4" t="str">
        <x:v>P2</x:v>
      </x:c>
      <x:c r="G296" s="4" t="str">
        <x:v>验证角色编辑可查看角色名称</x:v>
      </x:c>
      <x:c r="H296" s="4" t="str">
        <x:v>角色名称展示</x:v>
      </x:c>
      <x:c r="I296" s="4" t="str">
        <x:v>1. 平台管理员账号已登录且具备当前页面权限</x:v>
      </x:c>
      <x:c r="J296" s="4" t="str">
        <x:v>1. 进入角色编辑
2. 查看角色名称</x:v>
      </x:c>
      <x:c r="K296" s="4" t="str">
        <x:v>角色编辑显示“角色名称”</x:v>
      </x:c>
      <x:c r="L296" s="4" t="str"/>
      <x:c r="M296" s="4" t="str">
        <x:v>未测</x:v>
      </x:c>
      <x:c r="N296" s="4" t="str"/>
      <x:c r="O296" s="4" t="str">
        <x:v>1. 来源（原型批注）：liveshow-proto/prototype/annotations/admin.js；admin-system-role-detail.html
2. 页面：admin-system-role-detail.html
3. 规则：BR-D60117D764CE97
4. 场景：SC-679EFC68F489F7
5. 未动态验证</x:v>
      </x:c>
    </x:row>
    <x:row r="297" ht="54" customHeight="1">
      <x:c r="A297" s="4" t="n">
        <x:v>296</x:v>
      </x:c>
      <x:c r="B297" s="4" t="str">
        <x:v>ASYS-0010</x:v>
      </x:c>
      <x:c r="C297" s="4" t="str">
        <x:v>系统配置</x:v>
      </x:c>
      <x:c r="D297" s="4" t="str">
        <x:v>角色编辑（平台管理员视角）</x:v>
      </x:c>
      <x:c r="E297" s="4" t="str">
        <x:v>功能需求</x:v>
      </x:c>
      <x:c r="F297" s="4" t="str">
        <x:v>P2</x:v>
      </x:c>
      <x:c r="G297" s="4" t="str">
        <x:v>验证角色编辑可查看角色状态</x:v>
      </x:c>
      <x:c r="H297" s="4" t="str">
        <x:v>角色状态展示</x:v>
      </x:c>
      <x:c r="I297" s="4" t="str">
        <x:v>1. 平台管理员账号已登录且具备当前页面权限</x:v>
      </x:c>
      <x:c r="J297" s="4" t="str">
        <x:v>1. 进入角色编辑
2. 查看角色状态</x:v>
      </x:c>
      <x:c r="K297" s="4" t="str">
        <x:v>角色编辑显示“角色状态”</x:v>
      </x:c>
      <x:c r="L297" s="4" t="str"/>
      <x:c r="M297" s="4" t="str">
        <x:v>未测</x:v>
      </x:c>
      <x:c r="N297" s="4" t="str"/>
      <x:c r="O297" s="4" t="str">
        <x:v>1. 来源（原型批注）：liveshow-proto/prototype/annotations/admin.js；admin-system-role-detail.html
2. 页面：admin-system-role-detail.html
3. 规则：BR-C3FBDB49E5F56A
4. 场景：SC-73454661DF7D2B
5. 未动态验证</x:v>
      </x:c>
    </x:row>
    <x:row r="298" ht="54" customHeight="1">
      <x:c r="A298" s="4" t="n">
        <x:v>297</x:v>
      </x:c>
      <x:c r="B298" s="4" t="str">
        <x:v>ASYS-0011</x:v>
      </x:c>
      <x:c r="C298" s="4" t="str">
        <x:v>系统配置</x:v>
      </x:c>
      <x:c r="D298" s="4" t="str">
        <x:v>角色编辑（平台管理员视角）</x:v>
      </x:c>
      <x:c r="E298" s="4" t="str">
        <x:v>业务流程</x:v>
      </x:c>
      <x:c r="F298" s="4" t="str">
        <x:v>P2</x:v>
      </x:c>
      <x:c r="G298" s="4" t="str">
        <x:v>验证全不选后的角色编辑状态</x:v>
      </x:c>
      <x:c r="H298" s="4" t="str">
        <x:v>角色编辑状态</x:v>
      </x:c>
      <x:c r="I298" s="4" t="str">
        <x:v>1. 平台管理员账号已登录且具备当前页面权限
2. 全不选</x:v>
      </x:c>
      <x:c r="J298" s="4" t="str">
        <x:v>1. 进入角色编辑
2. 刷新角色编辑</x:v>
      </x:c>
      <x:c r="K298" s="4" t="str">
        <x:v>更新权限树</x:v>
      </x:c>
      <x:c r="L298" s="4" t="str"/>
      <x:c r="M298" s="4" t="str">
        <x:v>未测</x:v>
      </x:c>
      <x:c r="N298" s="4" t="str"/>
      <x:c r="O298" s="4" t="str">
        <x:v>1. 来源（原型批注）：liveshow-proto/prototype/annotations/admin.js；admin-system-role-detail.html
2. 页面：admin-system-role-detail.html
3. 规则：BR-A9ED2BA5DD2910
4. 场景：SC-197B7F46B88038
5. 未动态验证</x:v>
      </x:c>
    </x:row>
    <x:row r="299" ht="54" customHeight="1">
      <x:c r="A299" s="4" t="n">
        <x:v>298</x:v>
      </x:c>
      <x:c r="B299" s="4" t="str">
        <x:v>ASYS-0012</x:v>
      </x:c>
      <x:c r="C299" s="4" t="str">
        <x:v>系统配置</x:v>
      </x:c>
      <x:c r="D299" s="4" t="str">
        <x:v>角色编辑（平台管理员视角）</x:v>
      </x:c>
      <x:c r="E299" s="4" t="str">
        <x:v>业务流程</x:v>
      </x:c>
      <x:c r="F299" s="4" t="str">
        <x:v>P2</x:v>
      </x:c>
      <x:c r="G299" s="4" t="str">
        <x:v>验证全选后的角色编辑状态</x:v>
      </x:c>
      <x:c r="H299" s="4" t="str">
        <x:v>角色编辑状态</x:v>
      </x:c>
      <x:c r="I299" s="4" t="str">
        <x:v>1. 平台管理员账号已登录且具备当前页面权限
2. 全选</x:v>
      </x:c>
      <x:c r="J299" s="4" t="str">
        <x:v>1. 进入角色编辑
2. 刷新角色编辑</x:v>
      </x:c>
      <x:c r="K299" s="4" t="str">
        <x:v>更新权限树</x:v>
      </x:c>
      <x:c r="L299" s="4" t="str"/>
      <x:c r="M299" s="4" t="str">
        <x:v>未测</x:v>
      </x:c>
      <x:c r="N299" s="4" t="str"/>
      <x:c r="O299" s="4" t="str">
        <x:v>1. 来源（原型批注）：liveshow-proto/prototype/annotations/admin.js；admin-system-role-detail.html
2. 页面：admin-system-role-detail.html
3. 规则：BR-A9ED2BA5DD2910
4. 场景：SC-B3D2FD8135F139
5. 未动态验证</x:v>
      </x:c>
    </x:row>
    <x:row r="300" ht="54" customHeight="1">
      <x:c r="A300" s="4" t="n">
        <x:v>299</x:v>
      </x:c>
      <x:c r="B300" s="4" t="str">
        <x:v>ASYS-0013</x:v>
      </x:c>
      <x:c r="C300" s="4" t="str">
        <x:v>系统配置</x:v>
      </x:c>
      <x:c r="D300" s="4" t="str">
        <x:v>角色管理（平台管理员视角）</x:v>
      </x:c>
      <x:c r="E300" s="4" t="str">
        <x:v>功能需求</x:v>
      </x:c>
      <x:c r="F300" s="4" t="str">
        <x:v>P2</x:v>
      </x:c>
      <x:c r="G300" s="4" t="str">
        <x:v>验证角色管理可查看关联账号</x:v>
      </x:c>
      <x:c r="H300" s="4" t="str">
        <x:v>关联账号展示</x:v>
      </x:c>
      <x:c r="I300" s="4" t="str">
        <x:v>1. 平台管理员账号已登录且具备当前页面权限</x:v>
      </x:c>
      <x:c r="J300" s="4" t="str">
        <x:v>1. 进入角色管理
2. 查看关联账号</x:v>
      </x:c>
      <x:c r="K300" s="4" t="str">
        <x:v>角色管理显示“关联账号”</x:v>
      </x:c>
      <x:c r="L300" s="4" t="str"/>
      <x:c r="M300" s="4" t="str">
        <x:v>未测</x:v>
      </x:c>
      <x:c r="N300" s="4" t="str"/>
      <x:c r="O300" s="4" t="str">
        <x:v>1. 来源（原型批注）：liveshow-proto/prototype/annotations/admin.js；admin-system-role.html
2. 页面：admin-system-role.html
3. 规则：BR-4B842EB1742047
4. 场景：SC-82104A10E0B4DB
5. 未动态验证</x:v>
      </x:c>
    </x:row>
    <x:row r="301" ht="54" customHeight="1">
      <x:c r="A301" s="4" t="n">
        <x:v>300</x:v>
      </x:c>
      <x:c r="B301" s="4" t="str">
        <x:v>ASYS-0014</x:v>
      </x:c>
      <x:c r="C301" s="4" t="str">
        <x:v>系统配置</x:v>
      </x:c>
      <x:c r="D301" s="4" t="str">
        <x:v>角色管理（平台管理员视角）</x:v>
      </x:c>
      <x:c r="E301" s="4" t="str">
        <x:v>功能需求</x:v>
      </x:c>
      <x:c r="F301" s="4" t="str">
        <x:v>P2</x:v>
      </x:c>
      <x:c r="G301" s="4" t="str">
        <x:v>验证角色管理可查看角色 ID</x:v>
      </x:c>
      <x:c r="H301" s="4" t="str">
        <x:v>角色 ID展示</x:v>
      </x:c>
      <x:c r="I301" s="4" t="str">
        <x:v>1. 平台管理员账号已登录且具备当前页面权限</x:v>
      </x:c>
      <x:c r="J301" s="4" t="str">
        <x:v>1. 进入角色管理
2. 查看角色 ID</x:v>
      </x:c>
      <x:c r="K301" s="4" t="str">
        <x:v>角色管理显示“角色 ID”</x:v>
      </x:c>
      <x:c r="L301" s="4" t="str"/>
      <x:c r="M301" s="4" t="str">
        <x:v>未测</x:v>
      </x:c>
      <x:c r="N301" s="4" t="str"/>
      <x:c r="O301" s="4" t="str">
        <x:v>1. 来源（原型批注）：liveshow-proto/prototype/annotations/admin.js；admin-system-role.html
2. 页面：admin-system-role.html
3. 规则：BR-9F302F3CC62931
4. 场景：SC-669223752346AD
5. 未动态验证</x:v>
      </x:c>
    </x:row>
    <x:row r="302" ht="54" customHeight="1">
      <x:c r="A302" s="4" t="n">
        <x:v>301</x:v>
      </x:c>
      <x:c r="B302" s="4" t="str">
        <x:v>ASYS-0015</x:v>
      </x:c>
      <x:c r="C302" s="4" t="str">
        <x:v>系统配置</x:v>
      </x:c>
      <x:c r="D302" s="4" t="str">
        <x:v>角色管理（平台管理员视角）</x:v>
      </x:c>
      <x:c r="E302" s="4" t="str">
        <x:v>功能需求</x:v>
      </x:c>
      <x:c r="F302" s="4" t="str">
        <x:v>P2</x:v>
      </x:c>
      <x:c r="G302" s="4" t="str">
        <x:v>验证角色管理可查看角色名称</x:v>
      </x:c>
      <x:c r="H302" s="4" t="str">
        <x:v>角色名称展示</x:v>
      </x:c>
      <x:c r="I302" s="4" t="str">
        <x:v>1. 平台管理员账号已登录且具备当前页面权限</x:v>
      </x:c>
      <x:c r="J302" s="4" t="str">
        <x:v>1. 进入角色管理
2. 查看角色名称</x:v>
      </x:c>
      <x:c r="K302" s="4" t="str">
        <x:v>角色管理显示“角色名称”</x:v>
      </x:c>
      <x:c r="L302" s="4" t="str"/>
      <x:c r="M302" s="4" t="str">
        <x:v>未测</x:v>
      </x:c>
      <x:c r="N302" s="4" t="str"/>
      <x:c r="O302" s="4" t="str">
        <x:v>1. 来源（原型批注）：liveshow-proto/prototype/annotations/admin.js；admin-system-role.html
2. 页面：admin-system-role.html
3. 规则：BR-BCE9C630B7549F
4. 场景：SC-63DB70F519CA55
5. 未动态验证</x:v>
      </x:c>
    </x:row>
    <x:row r="303" ht="54" customHeight="1">
      <x:c r="A303" s="4" t="n">
        <x:v>302</x:v>
      </x:c>
      <x:c r="B303" s="4" t="str">
        <x:v>ASYS-0016</x:v>
      </x:c>
      <x:c r="C303" s="4" t="str">
        <x:v>系统配置</x:v>
      </x:c>
      <x:c r="D303" s="4" t="str">
        <x:v>角色管理（平台管理员视角）</x:v>
      </x:c>
      <x:c r="E303" s="4" t="str">
        <x:v>功能需求</x:v>
      </x:c>
      <x:c r="F303" s="4" t="str">
        <x:v>P2</x:v>
      </x:c>
      <x:c r="G303" s="4" t="str">
        <x:v>验证角色管理可查看状态</x:v>
      </x:c>
      <x:c r="H303" s="4" t="str">
        <x:v>状态展示</x:v>
      </x:c>
      <x:c r="I303" s="4" t="str">
        <x:v>1. 平台管理员账号已登录且具备当前页面权限</x:v>
      </x:c>
      <x:c r="J303" s="4" t="str">
        <x:v>1. 进入角色管理
2. 查看状态</x:v>
      </x:c>
      <x:c r="K303" s="4" t="str">
        <x:v>角色管理显示“状态”</x:v>
      </x:c>
      <x:c r="L303" s="4" t="str"/>
      <x:c r="M303" s="4" t="str">
        <x:v>未测</x:v>
      </x:c>
      <x:c r="N303" s="4" t="str"/>
      <x:c r="O303" s="4" t="str">
        <x:v>1. 来源（原型批注）：liveshow-proto/prototype/annotations/admin.js；admin-system-role.html
2. 页面：admin-system-role.html
3. 规则：BR-F96C0F67F2FC8A、BR-52AEE545A69ABD
4. 场景：SC-EC96692B127351
5. 未动态验证</x:v>
      </x:c>
    </x:row>
    <x:row r="304" ht="54" customHeight="1">
      <x:c r="A304" s="4" t="n">
        <x:v>303</x:v>
      </x:c>
      <x:c r="B304" s="4" t="str">
        <x:v>ASYS-0017</x:v>
      </x:c>
      <x:c r="C304" s="4" t="str">
        <x:v>系统配置</x:v>
      </x:c>
      <x:c r="D304" s="4" t="str">
        <x:v>角色管理（平台管理员视角）</x:v>
      </x:c>
      <x:c r="E304" s="4" t="str">
        <x:v>业务流程</x:v>
      </x:c>
      <x:c r="F304" s="4" t="str">
        <x:v>P2</x:v>
      </x:c>
      <x:c r="G304" s="4" t="str">
        <x:v>验证停用后的角色管理状态</x:v>
      </x:c>
      <x:c r="H304" s="4" t="str">
        <x:v>角色管理状态</x:v>
      </x:c>
      <x:c r="I304" s="4" t="str">
        <x:v>1. 平台管理员账号已登录且具备当前页面权限
2. 停用</x:v>
      </x:c>
      <x:c r="J304" s="4" t="str">
        <x:v>1. 进入角色管理
2. 刷新角色管理</x:v>
      </x:c>
      <x:c r="K304" s="4" t="str">
        <x:v>关联账号立即失去该角色权限</x:v>
      </x:c>
      <x:c r="L304" s="4" t="str"/>
      <x:c r="M304" s="4" t="str">
        <x:v>未测</x:v>
      </x:c>
      <x:c r="N304" s="4" t="str"/>
      <x:c r="O304" s="4" t="str">
        <x:v>1. 来源（原型批注）：liveshow-proto/prototype/annotations/admin.js；admin-system-role.html
2. 页面：admin-system-role.html
3. 规则：BR-52AEE545A69ABD
4. 场景：SC-CB5B5744B88FF5
5. 未动态验证</x:v>
      </x:c>
    </x:row>
    <x:row r="305" ht="54" customHeight="1">
      <x:c r="A305" s="4" t="n">
        <x:v>304</x:v>
      </x:c>
      <x:c r="B305" s="4" t="str">
        <x:v>ASYS-0018</x:v>
      </x:c>
      <x:c r="C305" s="4" t="str">
        <x:v>系统配置</x:v>
      </x:c>
      <x:c r="D305" s="4" t="str">
        <x:v>账号编辑（平台管理员视角）</x:v>
      </x:c>
      <x:c r="E305" s="4" t="str">
        <x:v>功能需求</x:v>
      </x:c>
      <x:c r="F305" s="4" t="str">
        <x:v>P2</x:v>
      </x:c>
      <x:c r="G305" s="4" t="str">
        <x:v>验证账号编辑可查看初始密码</x:v>
      </x:c>
      <x:c r="H305" s="4" t="str">
        <x:v>初始密码展示</x:v>
      </x:c>
      <x:c r="I305" s="4" t="str">
        <x:v>1. 平台管理员账号已登录且具备当前页面权限</x:v>
      </x:c>
      <x:c r="J305" s="4" t="str">
        <x:v>1. 进入账号编辑
2. 查看初始密码</x:v>
      </x:c>
      <x:c r="K305" s="4" t="str">
        <x:v>账号编辑显示“初始密码”</x:v>
      </x:c>
      <x:c r="L305" s="4" t="str"/>
      <x:c r="M305" s="4" t="str">
        <x:v>未测</x:v>
      </x:c>
      <x:c r="N305" s="4" t="str"/>
      <x:c r="O305" s="4" t="str">
        <x:v>1. 来源（原型批注）：liveshow-proto/prototype/annotations/admin.js；admin-system-account-detail.html
2. 页面：admin-system-account-detail.html
3. 规则：BR-4930FFEC202BC1
4. 场景：SC-C8AC88E090B132
5. 未动态验证</x:v>
      </x:c>
    </x:row>
    <x:row r="306" ht="54" customHeight="1">
      <x:c r="A306" s="4" t="n">
        <x:v>305</x:v>
      </x:c>
      <x:c r="B306" s="4" t="str">
        <x:v>ASYS-0019</x:v>
      </x:c>
      <x:c r="C306" s="4" t="str">
        <x:v>系统配置</x:v>
      </x:c>
      <x:c r="D306" s="4" t="str">
        <x:v>账号编辑（平台管理员视角）</x:v>
      </x:c>
      <x:c r="E306" s="4" t="str">
        <x:v>功能需求</x:v>
      </x:c>
      <x:c r="F306" s="4" t="str">
        <x:v>P2</x:v>
      </x:c>
      <x:c r="G306" s="4" t="str">
        <x:v>验证账号编辑可查看后台账号 / 姓名</x:v>
      </x:c>
      <x:c r="H306" s="4" t="str">
        <x:v>后台账号 / 姓名展示</x:v>
      </x:c>
      <x:c r="I306" s="4" t="str">
        <x:v>1. 平台管理员账号已登录且具备当前页面权限</x:v>
      </x:c>
      <x:c r="J306" s="4" t="str">
        <x:v>1. 进入账号编辑
2. 查看后台账号 / 姓名</x:v>
      </x:c>
      <x:c r="K306" s="4" t="str">
        <x:v>账号编辑显示“后台账号 / 姓名”</x:v>
      </x:c>
      <x:c r="L306" s="4" t="str"/>
      <x:c r="M306" s="4" t="str">
        <x:v>未测</x:v>
      </x:c>
      <x:c r="N306" s="4" t="str"/>
      <x:c r="O306" s="4" t="str">
        <x:v>1. 来源（原型批注）：liveshow-proto/prototype/annotations/admin.js；admin-system-account-detail.html
2. 页面：admin-system-account-detail.html
3. 规则：BR-3134152CA21C41、BR-04AAACBE5C6B67
4. 场景：SC-7D43B71E6068C7
5. 未动态验证</x:v>
      </x:c>
    </x:row>
    <x:row r="307" ht="54" customHeight="1">
      <x:c r="A307" s="4" t="n">
        <x:v>306</x:v>
      </x:c>
      <x:c r="B307" s="4" t="str">
        <x:v>ASYS-0020</x:v>
      </x:c>
      <x:c r="C307" s="4" t="str">
        <x:v>系统配置</x:v>
      </x:c>
      <x:c r="D307" s="4" t="str">
        <x:v>账号编辑（平台管理员视角）</x:v>
      </x:c>
      <x:c r="E307" s="4" t="str">
        <x:v>功能需求</x:v>
      </x:c>
      <x:c r="F307" s="4" t="str">
        <x:v>P2</x:v>
      </x:c>
      <x:c r="G307" s="4" t="str">
        <x:v>验证账号编辑可查看所属角色</x:v>
      </x:c>
      <x:c r="H307" s="4" t="str">
        <x:v>所属角色展示</x:v>
      </x:c>
      <x:c r="I307" s="4" t="str">
        <x:v>1. 平台管理员账号已登录且具备当前页面权限</x:v>
      </x:c>
      <x:c r="J307" s="4" t="str">
        <x:v>1. 进入账号编辑
2. 查看所属角色</x:v>
      </x:c>
      <x:c r="K307" s="4" t="str">
        <x:v>账号编辑显示“所属角色”</x:v>
      </x:c>
      <x:c r="L307" s="4" t="str"/>
      <x:c r="M307" s="4" t="str">
        <x:v>未测</x:v>
      </x:c>
      <x:c r="N307" s="4" t="str"/>
      <x:c r="O307" s="4" t="str">
        <x:v>1. 来源（原型批注）：liveshow-proto/prototype/annotations/admin.js；admin-system-account-detail.html
2. 页面：admin-system-account-detail.html
3. 规则：BR-2EE1B9ED9C044D
4. 场景：SC-FFD509FE45F1CC
5. 未动态验证</x:v>
      </x:c>
    </x:row>
    <x:row r="308" ht="54" customHeight="1">
      <x:c r="A308" s="4" t="n">
        <x:v>307</x:v>
      </x:c>
      <x:c r="B308" s="4" t="str">
        <x:v>ASYS-0021</x:v>
      </x:c>
      <x:c r="C308" s="4" t="str">
        <x:v>系统配置</x:v>
      </x:c>
      <x:c r="D308" s="4" t="str">
        <x:v>账号编辑（平台管理员视角）</x:v>
      </x:c>
      <x:c r="E308" s="4" t="str">
        <x:v>功能需求</x:v>
      </x:c>
      <x:c r="F308" s="4" t="str">
        <x:v>P2</x:v>
      </x:c>
      <x:c r="G308" s="4" t="str">
        <x:v>验证账号编辑可查看新密码 / 确认</x:v>
      </x:c>
      <x:c r="H308" s="4" t="str">
        <x:v>新密码 / 确认展示</x:v>
      </x:c>
      <x:c r="I308" s="4" t="str">
        <x:v>1. 平台管理员账号已登录且具备当前页面权限</x:v>
      </x:c>
      <x:c r="J308" s="4" t="str">
        <x:v>1. 进入账号编辑
2. 查看新密码 / 确认</x:v>
      </x:c>
      <x:c r="K308" s="4" t="str">
        <x:v>账号编辑显示“新密码 / 确认”</x:v>
      </x:c>
      <x:c r="L308" s="4" t="str"/>
      <x:c r="M308" s="4" t="str">
        <x:v>未测</x:v>
      </x:c>
      <x:c r="N308" s="4" t="str"/>
      <x:c r="O308" s="4" t="str">
        <x:v>1. 来源（原型批注）：liveshow-proto/prototype/annotations/admin.js；admin-system-account-detail.html
2. 页面：admin-system-account-detail.html
3. 规则：BR-37E5C3B388E7FF
4. 场景：SC-0014AD6AC77D9A
5. 未动态验证</x:v>
      </x:c>
    </x:row>
    <x:row r="309" ht="54" customHeight="1">
      <x:c r="A309" s="4" t="n">
        <x:v>308</x:v>
      </x:c>
      <x:c r="B309" s="4" t="str">
        <x:v>ASYS-0022</x:v>
      </x:c>
      <x:c r="C309" s="4" t="str">
        <x:v>系统配置</x:v>
      </x:c>
      <x:c r="D309" s="4" t="str">
        <x:v>账号编辑（平台管理员视角）</x:v>
      </x:c>
      <x:c r="E309" s="4" t="str">
        <x:v>功能需求</x:v>
      </x:c>
      <x:c r="F309" s="4" t="str">
        <x:v>P2</x:v>
      </x:c>
      <x:c r="G309" s="4" t="str">
        <x:v>验证账号编辑可查看账号 ID</x:v>
      </x:c>
      <x:c r="H309" s="4" t="str">
        <x:v>账号 ID展示</x:v>
      </x:c>
      <x:c r="I309" s="4" t="str">
        <x:v>1. 平台管理员账号已登录且具备当前页面权限</x:v>
      </x:c>
      <x:c r="J309" s="4" t="str">
        <x:v>1. 进入账号编辑
2. 查看账号 ID</x:v>
      </x:c>
      <x:c r="K309" s="4" t="str">
        <x:v>账号编辑显示“账号 ID”</x:v>
      </x:c>
      <x:c r="L309" s="4" t="str"/>
      <x:c r="M309" s="4" t="str">
        <x:v>未测</x:v>
      </x:c>
      <x:c r="N309" s="4" t="str"/>
      <x:c r="O309" s="4" t="str">
        <x:v>1. 来源（原型批注）：liveshow-proto/prototype/annotations/admin.js；admin-system-account-detail.html
2. 页面：admin-system-account-detail.html
3. 规则：BR-ED888AD8444161
4. 场景：SC-44972187B9088E
5. 未动态验证</x:v>
      </x:c>
    </x:row>
    <x:row r="310" ht="54" customHeight="1">
      <x:c r="A310" s="4" t="n">
        <x:v>309</x:v>
      </x:c>
      <x:c r="B310" s="4" t="str">
        <x:v>ASYS-0023</x:v>
      </x:c>
      <x:c r="C310" s="4" t="str">
        <x:v>系统配置</x:v>
      </x:c>
      <x:c r="D310" s="4" t="str">
        <x:v>账号编辑（平台管理员视角）</x:v>
      </x:c>
      <x:c r="E310" s="4" t="str">
        <x:v>功能需求</x:v>
      </x:c>
      <x:c r="F310" s="4" t="str">
        <x:v>P2</x:v>
      </x:c>
      <x:c r="G310" s="4" t="str">
        <x:v>验证账号编辑可查看状态</x:v>
      </x:c>
      <x:c r="H310" s="4" t="str">
        <x:v>状态展示</x:v>
      </x:c>
      <x:c r="I310" s="4" t="str">
        <x:v>1. 平台管理员账号已登录且具备当前页面权限</x:v>
      </x:c>
      <x:c r="J310" s="4" t="str">
        <x:v>1. 进入账号编辑
2. 查看状态</x:v>
      </x:c>
      <x:c r="K310" s="4" t="str">
        <x:v>账号编辑显示“状态”</x:v>
      </x:c>
      <x:c r="L310" s="4" t="str"/>
      <x:c r="M310" s="4" t="str">
        <x:v>未测</x:v>
      </x:c>
      <x:c r="N310" s="4" t="str"/>
      <x:c r="O310" s="4" t="str">
        <x:v>1. 来源（原型批注）：liveshow-proto/prototype/annotations/admin.js；admin-system-account-detail.html
2. 页面：admin-system-account-detail.html
3. 规则：BR-23EC2C64607A09
4. 场景：SC-44AAA80151956A
5. 未动态验证</x:v>
      </x:c>
    </x:row>
    <x:row r="311" ht="54" customHeight="1">
      <x:c r="A311" s="4" t="n">
        <x:v>310</x:v>
      </x:c>
      <x:c r="B311" s="4" t="str">
        <x:v>AUSER-0001</x:v>
      </x:c>
      <x:c r="C311" s="4" t="str">
        <x:v>用户管理</x:v>
      </x:c>
      <x:c r="D311" s="4" t="str">
        <x:v>用户列表（平台管理员视角）</x:v>
      </x:c>
      <x:c r="E311" s="4" t="str">
        <x:v>功能需求</x:v>
      </x:c>
      <x:c r="F311" s="4" t="str">
        <x:v>P2</x:v>
      </x:c>
      <x:c r="G311" s="4" t="str">
        <x:v>验证当前有效关系，无公会时的用户列表结果</x:v>
      </x:c>
      <x:c r="H311" s="4" t="str">
        <x:v>用户列表条件结果</x:v>
      </x:c>
      <x:c r="I311" s="4" t="str">
        <x:v>1. 平台管理员账号已登录且具备当前页面权限
2. 当前有效关系，无公会</x:v>
      </x:c>
      <x:c r="J311" s="4" t="str">
        <x:v>1. 进入用户列表
2. 查看用户列表</x:v>
      </x:c>
      <x:c r="K311" s="4" t="str">
        <x:v>当前有效关系，无公会显示“-”</x:v>
      </x:c>
      <x:c r="L311" s="4" t="str"/>
      <x:c r="M311" s="4" t="str">
        <x:v>未测</x:v>
      </x:c>
      <x:c r="N311" s="4" t="str"/>
      <x:c r="O311" s="4" t="str">
        <x:v>1. 来源（原型批注）：liveshow-proto/prototype/annotations/admin.js；admin-user-list.html
2. 页面：admin-user-list.html
3. 规则：BR-D351E100C9485A
4. 场景：SC-C402A599601A3C
5. 未动态验证</x:v>
      </x:c>
    </x:row>
    <x:row r="312" ht="54" customHeight="1">
      <x:c r="A312" s="4" t="n">
        <x:v>311</x:v>
      </x:c>
      <x:c r="B312" s="4" t="str">
        <x:v>AUSER-0002</x:v>
      </x:c>
      <x:c r="C312" s="4" t="str">
        <x:v>用户管理</x:v>
      </x:c>
      <x:c r="D312" s="4" t="str">
        <x:v>用户列表（平台管理员视角）</x:v>
      </x:c>
      <x:c r="E312" s="4" t="str">
        <x:v>业务流程</x:v>
      </x:c>
      <x:c r="F312" s="4" t="str">
        <x:v>P2</x:v>
      </x:c>
      <x:c r="G312" s="4" t="str">
        <x:v>验证封禁后的用户列表状态</x:v>
      </x:c>
      <x:c r="H312" s="4" t="str">
        <x:v>用户列表状态</x:v>
      </x:c>
      <x:c r="I312" s="4" t="str">
        <x:v>1. 平台管理员账号已登录且具备当前页面权限
2. 封禁</x:v>
      </x:c>
      <x:c r="J312" s="4" t="str">
        <x:v>1. 进入用户列表
2. 刷新用户列表</x:v>
      </x:c>
      <x:c r="K312" s="4" t="str">
        <x:v>更新并留痕</x:v>
      </x:c>
      <x:c r="L312" s="4" t="str"/>
      <x:c r="M312" s="4" t="str">
        <x:v>未测</x:v>
      </x:c>
      <x:c r="N312" s="4" t="str"/>
      <x:c r="O312" s="4" t="str">
        <x:v>1. 来源（原型批注）：liveshow-proto/prototype/annotations/admin.js；admin-user-list.html
2. 页面：admin-user-list.html
3. 规则：BR-2BB62314879AB3
4. 场景：SC-DB8AF3DE4FE931
5. 未动态验证</x:v>
      </x:c>
    </x:row>
    <x:row r="313" ht="54" customHeight="1">
      <x:c r="A313" s="4" t="n">
        <x:v>312</x:v>
      </x:c>
      <x:c r="B313" s="4" t="str">
        <x:v>AUSER-0003</x:v>
      </x:c>
      <x:c r="C313" s="4" t="str">
        <x:v>用户管理</x:v>
      </x:c>
      <x:c r="D313" s="4" t="str">
        <x:v>用户列表（平台管理员视角）</x:v>
      </x:c>
      <x:c r="E313" s="4" t="str">
        <x:v>业务流程</x:v>
      </x:c>
      <x:c r="F313" s="4" t="str">
        <x:v>P2</x:v>
      </x:c>
      <x:c r="G313" s="4" t="str">
        <x:v>验证解封后的用户列表状态</x:v>
      </x:c>
      <x:c r="H313" s="4" t="str">
        <x:v>用户列表状态</x:v>
      </x:c>
      <x:c r="I313" s="4" t="str">
        <x:v>1. 平台管理员账号已登录且具备当前页面权限
2. 解封</x:v>
      </x:c>
      <x:c r="J313" s="4" t="str">
        <x:v>1. 进入用户列表
2. 刷新用户列表</x:v>
      </x:c>
      <x:c r="K313" s="4" t="str">
        <x:v>更新并留痕</x:v>
      </x:c>
      <x:c r="L313" s="4" t="str"/>
      <x:c r="M313" s="4" t="str">
        <x:v>未测</x:v>
      </x:c>
      <x:c r="N313" s="4" t="str"/>
      <x:c r="O313" s="4" t="str">
        <x:v>1. 来源（原型批注）：liveshow-proto/prototype/annotations/admin.js；admin-user-list.html
2. 页面：admin-user-list.html
3. 规则：BR-2BB62314879AB3
4. 场景：SC-BA1CDB3F87147B
5. 未动态验证</x:v>
      </x:c>
    </x:row>
    <x:row r="314" ht="54" customHeight="1">
      <x:c r="A314" s="4" t="n">
        <x:v>313</x:v>
      </x:c>
      <x:c r="B314" s="4" t="str">
        <x:v>AUSER-0004</x:v>
      </x:c>
      <x:c r="C314" s="4" t="str">
        <x:v>用户管理</x:v>
      </x:c>
      <x:c r="D314" s="4" t="str">
        <x:v>用户列表（平台管理员视角）</x:v>
      </x:c>
      <x:c r="E314" s="4" t="str">
        <x:v>功能需求</x:v>
      </x:c>
      <x:c r="F314" s="4" t="str">
        <x:v>P2</x:v>
      </x:c>
      <x:c r="G314" s="4" t="str">
        <x:v>验证用户列表可查看财富等级</x:v>
      </x:c>
      <x:c r="H314" s="4" t="str">
        <x:v>财富等级展示</x:v>
      </x:c>
      <x:c r="I314" s="4" t="str">
        <x:v>1. 平台管理员账号已登录且具备当前页面权限</x:v>
      </x:c>
      <x:c r="J314" s="4" t="str">
        <x:v>1. 进入用户列表
2. 查看财富等级</x:v>
      </x:c>
      <x:c r="K314" s="4" t="str">
        <x:v>用户列表显示“财富等级”</x:v>
      </x:c>
      <x:c r="L314" s="4" t="str"/>
      <x:c r="M314" s="4" t="str">
        <x:v>未测</x:v>
      </x:c>
      <x:c r="N314" s="4" t="str"/>
      <x:c r="O314" s="4" t="str">
        <x:v>1. 来源（原型批注）：liveshow-proto/prototype/annotations/admin.js；admin-user-list.html
2. 页面：admin-user-list.html
3. 规则：BR-9478D552CB4490、BR-79F496E704BECC
4. 场景：SC-D807653B70EEC3
5. 未动态验证</x:v>
      </x:c>
    </x:row>
    <x:row r="315" ht="54" customHeight="1">
      <x:c r="A315" s="4" t="n">
        <x:v>314</x:v>
      </x:c>
      <x:c r="B315" s="4" t="str">
        <x:v>AUSER-0005</x:v>
      </x:c>
      <x:c r="C315" s="4" t="str">
        <x:v>用户管理</x:v>
      </x:c>
      <x:c r="D315" s="4" t="str">
        <x:v>用户列表（平台管理员视角）</x:v>
      </x:c>
      <x:c r="E315" s="4" t="str">
        <x:v>功能需求</x:v>
      </x:c>
      <x:c r="F315" s="4" t="str">
        <x:v>P2</x:v>
      </x:c>
      <x:c r="G315" s="4" t="str">
        <x:v>验证用户列表可查看金币余额</x:v>
      </x:c>
      <x:c r="H315" s="4" t="str">
        <x:v>金币余额展示</x:v>
      </x:c>
      <x:c r="I315" s="4" t="str">
        <x:v>1. 平台管理员账号已登录且具备当前页面权限</x:v>
      </x:c>
      <x:c r="J315" s="4" t="str">
        <x:v>1. 进入用户列表
2. 查看金币余额</x:v>
      </x:c>
      <x:c r="K315" s="4" t="str">
        <x:v>用户列表显示“金币余额”</x:v>
      </x:c>
      <x:c r="L315" s="4" t="str"/>
      <x:c r="M315" s="4" t="str">
        <x:v>未测</x:v>
      </x:c>
      <x:c r="N315" s="4" t="str"/>
      <x:c r="O315" s="4" t="str">
        <x:v>1. 来源（原型批注）：liveshow-proto/prototype/annotations/admin.js；admin-user-list.html
2. 页面：admin-user-list.html
3. 规则：BR-13BA291F60646D、BR-6B55E94552C9C9
4. 场景：SC-E0F1A9B6B9EF1D
5. 未动态验证</x:v>
      </x:c>
    </x:row>
    <x:row r="316" ht="54" customHeight="1">
      <x:c r="A316" s="4" t="n">
        <x:v>315</x:v>
      </x:c>
      <x:c r="B316" s="4" t="str">
        <x:v>AUSER-0006</x:v>
      </x:c>
      <x:c r="C316" s="4" t="str">
        <x:v>用户管理</x:v>
      </x:c>
      <x:c r="D316" s="4" t="str">
        <x:v>用户列表（平台管理员视角）</x:v>
      </x:c>
      <x:c r="E316" s="4" t="str">
        <x:v>功能需求</x:v>
      </x:c>
      <x:c r="F316" s="4" t="str">
        <x:v>P2</x:v>
      </x:c>
      <x:c r="G316" s="4" t="str">
        <x:v>验证用户列表可查看累计充值</x:v>
      </x:c>
      <x:c r="H316" s="4" t="str">
        <x:v>累计充值展示</x:v>
      </x:c>
      <x:c r="I316" s="4" t="str">
        <x:v>1. 平台管理员账号已登录且具备当前页面权限</x:v>
      </x:c>
      <x:c r="J316" s="4" t="str">
        <x:v>1. 进入用户列表
2. 查看累计充值</x:v>
      </x:c>
      <x:c r="K316" s="4" t="str">
        <x:v>用户列表显示“累计充值”</x:v>
      </x:c>
      <x:c r="L316" s="4" t="str"/>
      <x:c r="M316" s="4" t="str">
        <x:v>未测</x:v>
      </x:c>
      <x:c r="N316" s="4" t="str"/>
      <x:c r="O316" s="4" t="str">
        <x:v>1. 来源（原型批注）：liveshow-proto/prototype/annotations/admin.js；admin-user-list.html
2. 页面：admin-user-list.html
3. 规则：BR-CAA130F070238B
4. 场景：SC-AEF0479D80157E
5. 未动态验证</x:v>
      </x:c>
    </x:row>
    <x:row r="317" ht="54" customHeight="1">
      <x:c r="A317" s="4" t="n">
        <x:v>316</x:v>
      </x:c>
      <x:c r="B317" s="4" t="str">
        <x:v>AUSER-0007</x:v>
      </x:c>
      <x:c r="C317" s="4" t="str">
        <x:v>用户管理</x:v>
      </x:c>
      <x:c r="D317" s="4" t="str">
        <x:v>用户列表（平台管理员视角）</x:v>
      </x:c>
      <x:c r="E317" s="4" t="str">
        <x:v>功能需求</x:v>
      </x:c>
      <x:c r="F317" s="4" t="str">
        <x:v>P2</x:v>
      </x:c>
      <x:c r="G317" s="4" t="str">
        <x:v>验证用户列表可查看累计消费</x:v>
      </x:c>
      <x:c r="H317" s="4" t="str">
        <x:v>累计消费展示</x:v>
      </x:c>
      <x:c r="I317" s="4" t="str">
        <x:v>1. 平台管理员账号已登录且具备当前页面权限</x:v>
      </x:c>
      <x:c r="J317" s="4" t="str">
        <x:v>1. 进入用户列表
2. 查看累计消费</x:v>
      </x:c>
      <x:c r="K317" s="4" t="str">
        <x:v>用户列表显示“累计消费”</x:v>
      </x:c>
      <x:c r="L317" s="4" t="str"/>
      <x:c r="M317" s="4" t="str">
        <x:v>未测</x:v>
      </x:c>
      <x:c r="N317" s="4" t="str"/>
      <x:c r="O317" s="4" t="str">
        <x:v>1. 来源（原型批注）：liveshow-proto/prototype/annotations/admin.js；admin-user-list.html
2. 页面：admin-user-list.html
3. 规则：BR-643E47D405C420、BR-67CE9567E1EE44
4. 场景：SC-3F4375165B416C
5. 未动态验证</x:v>
      </x:c>
    </x:row>
    <x:row r="318" ht="54" customHeight="1">
      <x:c r="A318" s="4" t="n">
        <x:v>317</x:v>
      </x:c>
      <x:c r="B318" s="4" t="str">
        <x:v>AUSER-0008</x:v>
      </x:c>
      <x:c r="C318" s="4" t="str">
        <x:v>用户管理</x:v>
      </x:c>
      <x:c r="D318" s="4" t="str">
        <x:v>用户列表（平台管理员视角）</x:v>
      </x:c>
      <x:c r="E318" s="4" t="str">
        <x:v>功能需求</x:v>
      </x:c>
      <x:c r="F318" s="4" t="str">
        <x:v>P2</x:v>
      </x:c>
      <x:c r="G318" s="4" t="str">
        <x:v>验证用户列表可查看所属公会</x:v>
      </x:c>
      <x:c r="H318" s="4" t="str">
        <x:v>所属公会展示</x:v>
      </x:c>
      <x:c r="I318" s="4" t="str">
        <x:v>1. 平台管理员账号已登录且具备当前页面权限</x:v>
      </x:c>
      <x:c r="J318" s="4" t="str">
        <x:v>1. 进入用户列表
2. 查看所属公会</x:v>
      </x:c>
      <x:c r="K318" s="4" t="str">
        <x:v>用户列表显示“所属公会”</x:v>
      </x:c>
      <x:c r="L318" s="4" t="str"/>
      <x:c r="M318" s="4" t="str">
        <x:v>未测</x:v>
      </x:c>
      <x:c r="N318" s="4" t="str"/>
      <x:c r="O318" s="4" t="str">
        <x:v>1. 来源（原型批注）：liveshow-proto/prototype/annotations/admin.js；admin-user-list.html
2. 页面：admin-user-list.html
3. 规则：BR-D351E100C9485A
4. 场景：SC-D053BD83ED7B7E
5. 未动态验证</x:v>
      </x:c>
    </x:row>
    <x:row r="319" ht="54" customHeight="1">
      <x:c r="A319" s="4" t="n">
        <x:v>318</x:v>
      </x:c>
      <x:c r="B319" s="4" t="str">
        <x:v>AUSER-0009</x:v>
      </x:c>
      <x:c r="C319" s="4" t="str">
        <x:v>用户管理</x:v>
      </x:c>
      <x:c r="D319" s="4" t="str">
        <x:v>用户列表（平台管理员视角）</x:v>
      </x:c>
      <x:c r="E319" s="4" t="str">
        <x:v>功能需求</x:v>
      </x:c>
      <x:c r="F319" s="4" t="str">
        <x:v>P2</x:v>
      </x:c>
      <x:c r="G319" s="4" t="str">
        <x:v>验证用户列表可查看用户信息</x:v>
      </x:c>
      <x:c r="H319" s="4" t="str">
        <x:v>用户信息展示</x:v>
      </x:c>
      <x:c r="I319" s="4" t="str">
        <x:v>1. 平台管理员账号已登录且具备当前页面权限</x:v>
      </x:c>
      <x:c r="J319" s="4" t="str">
        <x:v>1. 进入用户列表
2. 查看用户信息</x:v>
      </x:c>
      <x:c r="K319" s="4" t="str">
        <x:v>用户列表显示“用户信息”</x:v>
      </x:c>
      <x:c r="L319" s="4" t="str"/>
      <x:c r="M319" s="4" t="str">
        <x:v>未测</x:v>
      </x:c>
      <x:c r="N319" s="4" t="str"/>
      <x:c r="O319" s="4" t="str">
        <x:v>1. 来源（原型批注）：liveshow-proto/prototype/annotations/admin.js；admin-user-list.html
2. 页面：admin-user-list.html
3. 规则：BR-8C103B4579C78A
4. 场景：SC-E153A2C62F5138
5. 未动态验证</x:v>
      </x:c>
    </x:row>
    <x:row r="320" ht="54" customHeight="1">
      <x:c r="A320" s="4" t="n">
        <x:v>319</x:v>
      </x:c>
      <x:c r="B320" s="4" t="str">
        <x:v>AUSER-0010</x:v>
      </x:c>
      <x:c r="C320" s="4" t="str">
        <x:v>用户管理</x:v>
      </x:c>
      <x:c r="D320" s="4" t="str">
        <x:v>用户列表（平台管理员视角）</x:v>
      </x:c>
      <x:c r="E320" s="4" t="str">
        <x:v>功能需求</x:v>
      </x:c>
      <x:c r="F320" s="4" t="str">
        <x:v>P2</x:v>
      </x:c>
      <x:c r="G320" s="4" t="str">
        <x:v>验证用户列表可查看账号状态</x:v>
      </x:c>
      <x:c r="H320" s="4" t="str">
        <x:v>账号状态展示</x:v>
      </x:c>
      <x:c r="I320" s="4" t="str">
        <x:v>1. 平台管理员账号已登录且具备当前页面权限</x:v>
      </x:c>
      <x:c r="J320" s="4" t="str">
        <x:v>1. 进入用户列表
2. 查看账号状态</x:v>
      </x:c>
      <x:c r="K320" s="4" t="str">
        <x:v>用户列表显示“账号状态”</x:v>
      </x:c>
      <x:c r="L320" s="4" t="str"/>
      <x:c r="M320" s="4" t="str">
        <x:v>未测</x:v>
      </x:c>
      <x:c r="N320" s="4" t="str"/>
      <x:c r="O320" s="4" t="str">
        <x:v>1. 来源（原型批注）：liveshow-proto/prototype/annotations/admin.js；admin-user-list.html
2. 页面：admin-user-list.html
3. 规则：BR-F5F69680001686
4. 场景：SC-17036C0421FD83
5. 未动态验证</x:v>
      </x:c>
    </x:row>
    <x:row r="321" ht="54" customHeight="1">
      <x:c r="A321" s="4" t="n">
        <x:v>320</x:v>
      </x:c>
      <x:c r="B321" s="4" t="str">
        <x:v>AUSER-0011</x:v>
      </x:c>
      <x:c r="C321" s="4" t="str">
        <x:v>用户管理</x:v>
      </x:c>
      <x:c r="D321" s="4" t="str">
        <x:v>用户列表（平台管理员视角）</x:v>
      </x:c>
      <x:c r="E321" s="4" t="str">
        <x:v>功能需求</x:v>
      </x:c>
      <x:c r="F321" s="4" t="str">
        <x:v>P2</x:v>
      </x:c>
      <x:c r="G321" s="4" t="str">
        <x:v>验证用户列表可查看注册时间</x:v>
      </x:c>
      <x:c r="H321" s="4" t="str">
        <x:v>注册时间展示</x:v>
      </x:c>
      <x:c r="I321" s="4" t="str">
        <x:v>1. 平台管理员账号已登录且具备当前页面权限</x:v>
      </x:c>
      <x:c r="J321" s="4" t="str">
        <x:v>1. 进入用户列表
2. 查看注册时间</x:v>
      </x:c>
      <x:c r="K321" s="4" t="str">
        <x:v>用户列表显示“注册时间”</x:v>
      </x:c>
      <x:c r="L321" s="4" t="str"/>
      <x:c r="M321" s="4" t="str">
        <x:v>未测</x:v>
      </x:c>
      <x:c r="N321" s="4" t="str"/>
      <x:c r="O321" s="4" t="str">
        <x:v>1. 来源（原型批注）：liveshow-proto/prototype/annotations/admin.js；admin-user-list.html
2. 页面：admin-user-list.html
3. 规则：BR-C7760EFD49D636、BR-64B73EC0852A77
4. 场景：SC-ABF1E126CB7CAC
5. 未动态验证</x:v>
      </x:c>
    </x:row>
    <x:row r="322" ht="54" customHeight="1">
      <x:c r="A322" s="4" t="n">
        <x:v>321</x:v>
      </x:c>
      <x:c r="B322" s="4" t="str">
        <x:v>AUSER-0012</x:v>
      </x:c>
      <x:c r="C322" s="4" t="str">
        <x:v>用户管理</x:v>
      </x:c>
      <x:c r="D322" s="4" t="str">
        <x:v>用户详情（平台管理员视角）</x:v>
      </x:c>
      <x:c r="E322" s="4" t="str">
        <x:v>功能需求</x:v>
      </x:c>
      <x:c r="F322" s="4" t="str">
        <x:v>P2</x:v>
      </x:c>
      <x:c r="G322" s="4" t="str">
        <x:v>验证用户详情可查看充值流水</x:v>
      </x:c>
      <x:c r="H322" s="4" t="str">
        <x:v>充值流水展示</x:v>
      </x:c>
      <x:c r="I322" s="4" t="str">
        <x:v>1. 平台管理员账号已登录且具备当前页面权限</x:v>
      </x:c>
      <x:c r="J322" s="4" t="str">
        <x:v>1. 进入用户详情
2. 查看充值流水</x:v>
      </x:c>
      <x:c r="K322" s="4" t="str">
        <x:v>用户详情显示“充值流水”</x:v>
      </x:c>
      <x:c r="L322" s="4" t="str"/>
      <x:c r="M322" s="4" t="str">
        <x:v>未测</x:v>
      </x:c>
      <x:c r="N322" s="4" t="str"/>
      <x:c r="O322" s="4" t="str">
        <x:v>1. 来源（原型批注）：liveshow-proto/prototype/annotations/admin.js；admin-user-detail.html
2. 页面：admin-user-detail.html
3. 规则：BR-831CC5A0DBBB67
4. 场景：SC-E9D3FF736964AF
5. 未动态验证</x:v>
      </x:c>
    </x:row>
    <x:row r="323" ht="54" customHeight="1">
      <x:c r="A323" s="4" t="n">
        <x:v>322</x:v>
      </x:c>
      <x:c r="B323" s="4" t="str">
        <x:v>AUSER-0013</x:v>
      </x:c>
      <x:c r="C323" s="4" t="str">
        <x:v>用户管理</x:v>
      </x:c>
      <x:c r="D323" s="4" t="str">
        <x:v>用户详情（平台管理员视角）</x:v>
      </x:c>
      <x:c r="E323" s="4" t="str">
        <x:v>功能需求</x:v>
      </x:c>
      <x:c r="F323" s="4" t="str">
        <x:v>P2</x:v>
      </x:c>
      <x:c r="G323" s="4" t="str">
        <x:v>验证用户详情可查看登录设备</x:v>
      </x:c>
      <x:c r="H323" s="4" t="str">
        <x:v>登录设备展示</x:v>
      </x:c>
      <x:c r="I323" s="4" t="str">
        <x:v>1. 平台管理员账号已登录且具备当前页面权限</x:v>
      </x:c>
      <x:c r="J323" s="4" t="str">
        <x:v>1. 进入用户详情
2. 查看登录设备</x:v>
      </x:c>
      <x:c r="K323" s="4" t="str">
        <x:v>用户详情显示“登录设备”</x:v>
      </x:c>
      <x:c r="L323" s="4" t="str"/>
      <x:c r="M323" s="4" t="str">
        <x:v>未测</x:v>
      </x:c>
      <x:c r="N323" s="4" t="str"/>
      <x:c r="O323" s="4" t="str">
        <x:v>1. 来源（原型批注）：liveshow-proto/prototype/annotations/admin.js；admin-user-detail.html
2. 页面：admin-user-detail.html
3. 规则：BR-1C556446A0987E
4. 场景：SC-ACD01A42D536E2
5. 未动态验证</x:v>
      </x:c>
    </x:row>
    <x:row r="324" ht="54" customHeight="1">
      <x:c r="A324" s="4" t="n">
        <x:v>323</x:v>
      </x:c>
      <x:c r="B324" s="4" t="str">
        <x:v>AUSER-0014</x:v>
      </x:c>
      <x:c r="C324" s="4" t="str">
        <x:v>用户管理</x:v>
      </x:c>
      <x:c r="D324" s="4" t="str">
        <x:v>用户详情（平台管理员视角）</x:v>
      </x:c>
      <x:c r="E324" s="4" t="str">
        <x:v>功能需求</x:v>
      </x:c>
      <x:c r="F324" s="4" t="str">
        <x:v>P2</x:v>
      </x:c>
      <x:c r="G324" s="4" t="str">
        <x:v>验证用户详情可查看关注 / 粉丝</x:v>
      </x:c>
      <x:c r="H324" s="4" t="str">
        <x:v>关注 / 粉丝展示</x:v>
      </x:c>
      <x:c r="I324" s="4" t="str">
        <x:v>1. 平台管理员账号已登录且具备当前页面权限</x:v>
      </x:c>
      <x:c r="J324" s="4" t="str">
        <x:v>1. 进入用户详情
2. 查看关注 / 粉丝</x:v>
      </x:c>
      <x:c r="K324" s="4" t="str">
        <x:v>用户详情显示“关注 / 粉丝”</x:v>
      </x:c>
      <x:c r="L324" s="4" t="str"/>
      <x:c r="M324" s="4" t="str">
        <x:v>未测</x:v>
      </x:c>
      <x:c r="N324" s="4" t="str"/>
      <x:c r="O324" s="4" t="str">
        <x:v>1. 来源（原型批注）：liveshow-proto/prototype/annotations/admin.js；admin-user-detail.html
2. 页面：admin-user-detail.html
3. 规则：BR-49C4621D187511
4. 场景：SC-42F6D500310395
5. 未动态验证</x:v>
      </x:c>
    </x:row>
    <x:row r="325" ht="54" customHeight="1">
      <x:c r="A325" s="4" t="n">
        <x:v>324</x:v>
      </x:c>
      <x:c r="B325" s="4" t="str">
        <x:v>AUSER-0015</x:v>
      </x:c>
      <x:c r="C325" s="4" t="str">
        <x:v>用户管理</x:v>
      </x:c>
      <x:c r="D325" s="4" t="str">
        <x:v>用户详情（平台管理员视角）</x:v>
      </x:c>
      <x:c r="E325" s="4" t="str">
        <x:v>功能需求</x:v>
      </x:c>
      <x:c r="F325" s="4" t="str">
        <x:v>P2</x:v>
      </x:c>
      <x:c r="G325" s="4" t="str">
        <x:v>验证用户详情可查看基础资料</x:v>
      </x:c>
      <x:c r="H325" s="4" t="str">
        <x:v>基础资料展示</x:v>
      </x:c>
      <x:c r="I325" s="4" t="str">
        <x:v>1. 平台管理员账号已登录且具备当前页面权限</x:v>
      </x:c>
      <x:c r="J325" s="4" t="str">
        <x:v>1. 进入用户详情
2. 查看基础资料</x:v>
      </x:c>
      <x:c r="K325" s="4" t="str">
        <x:v>用户详情显示“基础资料”</x:v>
      </x:c>
      <x:c r="L325" s="4" t="str"/>
      <x:c r="M325" s="4" t="str">
        <x:v>未测</x:v>
      </x:c>
      <x:c r="N325" s="4" t="str"/>
      <x:c r="O325" s="4" t="str">
        <x:v>1. 来源（原型批注）：liveshow-proto/prototype/annotations/admin.js；admin-user-detail.html
2. 页面：admin-user-detail.html
3. 规则：BR-02C90CFA30F7E7
4. 场景：SC-ACE94E4F61277F
5. 未动态验证</x:v>
      </x:c>
    </x:row>
    <x:row r="326" ht="54" customHeight="1">
      <x:c r="A326" s="4" t="n">
        <x:v>325</x:v>
      </x:c>
      <x:c r="B326" s="4" t="str">
        <x:v>AUSER-0016</x:v>
      </x:c>
      <x:c r="C326" s="4" t="str">
        <x:v>用户管理</x:v>
      </x:c>
      <x:c r="D326" s="4" t="str">
        <x:v>用户详情（平台管理员视角）</x:v>
      </x:c>
      <x:c r="E326" s="4" t="str">
        <x:v>功能需求</x:v>
      </x:c>
      <x:c r="F326" s="4" t="str">
        <x:v>P2</x:v>
      </x:c>
      <x:c r="G326" s="4" t="str">
        <x:v>验证用户详情可查看金币余额</x:v>
      </x:c>
      <x:c r="H326" s="4" t="str">
        <x:v>金币余额展示</x:v>
      </x:c>
      <x:c r="I326" s="4" t="str">
        <x:v>1. 平台管理员账号已登录且具备当前页面权限</x:v>
      </x:c>
      <x:c r="J326" s="4" t="str">
        <x:v>1. 进入用户详情
2. 查看金币余额</x:v>
      </x:c>
      <x:c r="K326" s="4" t="str">
        <x:v>用户详情显示“金币余额”</x:v>
      </x:c>
      <x:c r="L326" s="4" t="str"/>
      <x:c r="M326" s="4" t="str">
        <x:v>未测</x:v>
      </x:c>
      <x:c r="N326" s="4" t="str"/>
      <x:c r="O326" s="4" t="str">
        <x:v>1. 来源（原型批注）：liveshow-proto/prototype/annotations/admin.js；admin-user-detail.html
2. 页面：admin-user-detail.html
3. 规则：BR-6AB0F89DA39F1F、BR-0345626A3A2D2F
4. 场景：SC-86CE3399025B25
5. 未动态验证</x:v>
      </x:c>
    </x:row>
    <x:row r="327" ht="54" customHeight="1">
      <x:c r="A327" s="4" t="n">
        <x:v>326</x:v>
      </x:c>
      <x:c r="B327" s="4" t="str">
        <x:v>AUSER-0017</x:v>
      </x:c>
      <x:c r="C327" s="4" t="str">
        <x:v>用户管理</x:v>
      </x:c>
      <x:c r="D327" s="4" t="str">
        <x:v>用户详情（平台管理员视角）</x:v>
      </x:c>
      <x:c r="E327" s="4" t="str">
        <x:v>功能需求</x:v>
      </x:c>
      <x:c r="F327" s="4" t="str">
        <x:v>P2</x:v>
      </x:c>
      <x:c r="G327" s="4" t="str">
        <x:v>验证用户详情可查看违规记录</x:v>
      </x:c>
      <x:c r="H327" s="4" t="str">
        <x:v>违规记录展示</x:v>
      </x:c>
      <x:c r="I327" s="4" t="str">
        <x:v>1. 平台管理员账号已登录且具备当前页面权限</x:v>
      </x:c>
      <x:c r="J327" s="4" t="str">
        <x:v>1. 进入用户详情
2. 查看违规记录</x:v>
      </x:c>
      <x:c r="K327" s="4" t="str">
        <x:v>用户详情显示“违规记录”</x:v>
      </x:c>
      <x:c r="L327" s="4" t="str"/>
      <x:c r="M327" s="4" t="str">
        <x:v>未测</x:v>
      </x:c>
      <x:c r="N327" s="4" t="str"/>
      <x:c r="O327" s="4" t="str">
        <x:v>1. 来源（原型批注）：liveshow-proto/prototype/annotations/admin.js；admin-user-detail.html
2. 页面：admin-user-detail.html
3. 规则：BR-4E9A7D0E1CEC44
4. 场景：SC-9B164C482DBB1E
5. 未动态验证</x:v>
      </x:c>
    </x:row>
    <x:row r="328" ht="54" customHeight="1">
      <x:c r="A328" s="4" t="n">
        <x:v>327</x:v>
      </x:c>
      <x:c r="B328" s="4" t="str">
        <x:v>AUSER-0018</x:v>
      </x:c>
      <x:c r="C328" s="4" t="str">
        <x:v>用户管理</x:v>
      </x:c>
      <x:c r="D328" s="4" t="str">
        <x:v>用户详情（平台管理员视角）</x:v>
      </x:c>
      <x:c r="E328" s="4" t="str">
        <x:v>功能需求</x:v>
      </x:c>
      <x:c r="F328" s="4" t="str">
        <x:v>P2</x:v>
      </x:c>
      <x:c r="G328" s="4" t="str">
        <x:v>验证用户详情可查看消费流水</x:v>
      </x:c>
      <x:c r="H328" s="4" t="str">
        <x:v>消费流水展示</x:v>
      </x:c>
      <x:c r="I328" s="4" t="str">
        <x:v>1. 平台管理员账号已登录且具备当前页面权限</x:v>
      </x:c>
      <x:c r="J328" s="4" t="str">
        <x:v>1. 进入用户详情
2. 查看消费流水</x:v>
      </x:c>
      <x:c r="K328" s="4" t="str">
        <x:v>用户详情显示“消费流水”</x:v>
      </x:c>
      <x:c r="L328" s="4" t="str"/>
      <x:c r="M328" s="4" t="str">
        <x:v>未测</x:v>
      </x:c>
      <x:c r="N328" s="4" t="str"/>
      <x:c r="O328" s="4" t="str">
        <x:v>1. 来源（原型批注）：liveshow-proto/prototype/annotations/admin.js；admin-user-detail.html
2. 页面：admin-user-detail.html
3. 规则：BR-BF2033237ECD86
4. 场景：SC-680FDFE6AD68B3
5. 未动态验证</x:v>
      </x:c>
    </x:row>
    <x:row r="329" ht="54" customHeight="1">
      <x:c r="A329" s="4" t="n">
        <x:v>328</x:v>
      </x:c>
      <x:c r="B329" s="4" t="str">
        <x:v>AUSER-0019</x:v>
      </x:c>
      <x:c r="C329" s="4" t="str">
        <x:v>用户管理</x:v>
      </x:c>
      <x:c r="D329" s="4" t="str">
        <x:v>用户详情（平台管理员视角）</x:v>
      </x:c>
      <x:c r="E329" s="4" t="str">
        <x:v>业务流程</x:v>
      </x:c>
      <x:c r="F329" s="4" t="str">
        <x:v>P2</x:v>
      </x:c>
      <x:c r="G329" s="4" t="str">
        <x:v>验证账号处置后的用户详情状态</x:v>
      </x:c>
      <x:c r="H329" s="4" t="str">
        <x:v>用户详情状态</x:v>
      </x:c>
      <x:c r="I329" s="4" t="str">
        <x:v>1. 平台管理员账号已登录且具备当前页面权限
2. 账号处置</x:v>
      </x:c>
      <x:c r="J329" s="4" t="str">
        <x:v>1. 进入用户详情
2. 刷新用户详情</x:v>
      </x:c>
      <x:c r="K329" s="4" t="str">
        <x:v>更新并留痕</x:v>
      </x:c>
      <x:c r="L329" s="4" t="str"/>
      <x:c r="M329" s="4" t="str">
        <x:v>未测</x:v>
      </x:c>
      <x:c r="N329" s="4" t="str"/>
      <x:c r="O329" s="4" t="str">
        <x:v>1. 来源（原型批注）：liveshow-proto/prototype/annotations/admin.js；admin-user-detail.html
2. 页面：admin-user-detail.html
3. 规则：BR-100A02C5977873
4. 场景：SC-434A9F4211B3F9
5. 未动态验证</x:v>
      </x:c>
    </x:row>
    <x:row r="330" ht="54" customHeight="1">
      <x:c r="A330" s="4" t="n">
        <x:v>329</x:v>
      </x:c>
      <x:c r="B330" s="4" t="str">
        <x:v>AOPS-0001</x:v>
      </x:c>
      <x:c r="C330" s="4" t="str">
        <x:v>运营配置</x:v>
      </x:c>
      <x:c r="D330" s="4" t="str">
        <x:v>充值套餐（平台管理员视角）</x:v>
      </x:c>
      <x:c r="E330" s="4" t="str">
        <x:v>功能需求</x:v>
      </x:c>
      <x:c r="F330" s="4" t="str">
        <x:v>P1</x:v>
      </x:c>
      <x:c r="G330" s="4" t="str">
        <x:v>验证常规长期时的充值套餐结果</x:v>
      </x:c>
      <x:c r="H330" s="4" t="str">
        <x:v>充值套餐条件结果</x:v>
      </x:c>
      <x:c r="I330" s="4" t="str">
        <x:v>1. 平台管理员账号已登录且具备当前页面权限
2. 常规长期</x:v>
      </x:c>
      <x:c r="J330" s="4" t="str">
        <x:v>1. 进入充值套餐
2. 查看充值套餐</x:v>
      </x:c>
      <x:c r="K330" s="4" t="str">
        <x:v>常规长期展示</x:v>
      </x:c>
      <x:c r="L330" s="4" t="str"/>
      <x:c r="M330" s="4" t="str">
        <x:v>未测</x:v>
      </x:c>
      <x:c r="N330" s="4" t="str"/>
      <x:c r="O330" s="4" t="str">
        <x:v>1. 来源（原型批注）：liveshow-proto/prototype/annotations/admin.js；admin-recharge-package.html
2. 页面：admin-recharge-package.html
3. 规则：BR-77EAE32C46AFB5
4. 场景：SC-BBA34D106A63F0
5. 未动态验证</x:v>
      </x:c>
    </x:row>
    <x:row r="331" ht="54" customHeight="1">
      <x:c r="A331" s="4" t="n">
        <x:v>330</x:v>
      </x:c>
      <x:c r="B331" s="4" t="str">
        <x:v>AOPS-0002</x:v>
      </x:c>
      <x:c r="C331" s="4" t="str">
        <x:v>运营配置</x:v>
      </x:c>
      <x:c r="D331" s="4" t="str">
        <x:v>充值套餐（平台管理员视角）</x:v>
      </x:c>
      <x:c r="E331" s="4" t="str">
        <x:v>功能需求</x:v>
      </x:c>
      <x:c r="F331" s="4" t="str">
        <x:v>P1</x:v>
      </x:c>
      <x:c r="G331" s="4" t="str">
        <x:v>验证充值套餐可查看充值 / 赠送金币</x:v>
      </x:c>
      <x:c r="H331" s="4" t="str">
        <x:v>充值 / 赠送金币展示</x:v>
      </x:c>
      <x:c r="I331" s="4" t="str">
        <x:v>1. 平台管理员账号已登录且具备当前页面权限</x:v>
      </x:c>
      <x:c r="J331" s="4" t="str">
        <x:v>1. 进入充值套餐
2. 查看充值 / 赠送金币</x:v>
      </x:c>
      <x:c r="K331" s="4" t="str">
        <x:v>充值套餐显示“充值 / 赠送金币”</x:v>
      </x:c>
      <x:c r="L331" s="4" t="str"/>
      <x:c r="M331" s="4" t="str">
        <x:v>未测</x:v>
      </x:c>
      <x:c r="N331" s="4" t="str"/>
      <x:c r="O331" s="4" t="str">
        <x:v>1. 来源（原型批注）：liveshow-proto/prototype/annotations/admin.js；admin-recharge-package.html
2. 页面：admin-recharge-package.html
3. 规则：BR-74D310180942E2、BR-8D66A569C5B7AB
4. 场景：SC-9DEDE00E94E494
5. 未动态验证</x:v>
      </x:c>
    </x:row>
    <x:row r="332" ht="54" customHeight="1">
      <x:c r="A332" s="4" t="n">
        <x:v>331</x:v>
      </x:c>
      <x:c r="B332" s="4" t="str">
        <x:v>AOPS-0003</x:v>
      </x:c>
      <x:c r="C332" s="4" t="str">
        <x:v>运营配置</x:v>
      </x:c>
      <x:c r="D332" s="4" t="str">
        <x:v>充值套餐（平台管理员视角）</x:v>
      </x:c>
      <x:c r="E332" s="4" t="str">
        <x:v>功能需求</x:v>
      </x:c>
      <x:c r="F332" s="4" t="str">
        <x:v>P1</x:v>
      </x:c>
      <x:c r="G332" s="4" t="str">
        <x:v>验证充值套餐可查看单用户限购</x:v>
      </x:c>
      <x:c r="H332" s="4" t="str">
        <x:v>单用户限购展示</x:v>
      </x:c>
      <x:c r="I332" s="4" t="str">
        <x:v>1. 平台管理员账号已登录且具备当前页面权限</x:v>
      </x:c>
      <x:c r="J332" s="4" t="str">
        <x:v>1. 进入充值套餐
2. 查看单用户限购</x:v>
      </x:c>
      <x:c r="K332" s="4" t="str">
        <x:v>充值套餐显示“单用户限购”</x:v>
      </x:c>
      <x:c r="L332" s="4" t="str"/>
      <x:c r="M332" s="4" t="str">
        <x:v>未测</x:v>
      </x:c>
      <x:c r="N332" s="4" t="str"/>
      <x:c r="O332" s="4" t="str">
        <x:v>1. 来源（原型批注）：liveshow-proto/prototype/annotations/admin.js；admin-recharge-package.html
2. 页面：admin-recharge-package.html
3. 规则：BR-58E41F683D3371、BR-6202A61EE7CA99
4. 场景：SC-7F8318172BD49B
5. 未动态验证</x:v>
      </x:c>
    </x:row>
    <x:row r="333" ht="54" customHeight="1">
      <x:c r="A333" s="4" t="n">
        <x:v>332</x:v>
      </x:c>
      <x:c r="B333" s="4" t="str">
        <x:v>AOPS-0004</x:v>
      </x:c>
      <x:c r="C333" s="4" t="str">
        <x:v>运营配置</x:v>
      </x:c>
      <x:c r="D333" s="4" t="str">
        <x:v>充值套餐（平台管理员视角）</x:v>
      </x:c>
      <x:c r="E333" s="4" t="str">
        <x:v>功能需求</x:v>
      </x:c>
      <x:c r="F333" s="4" t="str">
        <x:v>P1</x:v>
      </x:c>
      <x:c r="G333" s="4" t="str">
        <x:v>验证充值套餐可查看排序 / 状态</x:v>
      </x:c>
      <x:c r="H333" s="4" t="str">
        <x:v>排序 / 状态展示</x:v>
      </x:c>
      <x:c r="I333" s="4" t="str">
        <x:v>1. 平台管理员账号已登录且具备当前页面权限</x:v>
      </x:c>
      <x:c r="J333" s="4" t="str">
        <x:v>1. 进入充值套餐
2. 查看排序 / 状态</x:v>
      </x:c>
      <x:c r="K333" s="4" t="str">
        <x:v>充值套餐显示“排序 / 状态”</x:v>
      </x:c>
      <x:c r="L333" s="4" t="str"/>
      <x:c r="M333" s="4" t="str">
        <x:v>未测</x:v>
      </x:c>
      <x:c r="N333" s="4" t="str"/>
      <x:c r="O333" s="4" t="str">
        <x:v>1. 来源（原型批注）：liveshow-proto/prototype/annotations/admin.js；admin-recharge-package.html
2. 页面：admin-recharge-package.html
3. 规则：BR-61E2EB77AA3212、BR-D76DE6EFB37CBD
4. 场景：SC-672104EE51CC19
5. 未动态验证</x:v>
      </x:c>
    </x:row>
    <x:row r="334" ht="54" customHeight="1">
      <x:c r="A334" s="4" t="n">
        <x:v>333</x:v>
      </x:c>
      <x:c r="B334" s="4" t="str">
        <x:v>AOPS-0005</x:v>
      </x:c>
      <x:c r="C334" s="4" t="str">
        <x:v>运营配置</x:v>
      </x:c>
      <x:c r="D334" s="4" t="str">
        <x:v>充值套餐（平台管理员视角）</x:v>
      </x:c>
      <x:c r="E334" s="4" t="str">
        <x:v>功能需求</x:v>
      </x:c>
      <x:c r="F334" s="4" t="str">
        <x:v>P1</x:v>
      </x:c>
      <x:c r="G334" s="4" t="str">
        <x:v>验证充值套餐可查看套餐类型</x:v>
      </x:c>
      <x:c r="H334" s="4" t="str">
        <x:v>套餐类型展示</x:v>
      </x:c>
      <x:c r="I334" s="4" t="str">
        <x:v>1. 平台管理员账号已登录且具备当前页面权限</x:v>
      </x:c>
      <x:c r="J334" s="4" t="str">
        <x:v>1. 进入充值套餐
2. 查看套餐类型</x:v>
      </x:c>
      <x:c r="K334" s="4" t="str">
        <x:v>充值套餐显示“套餐类型”</x:v>
      </x:c>
      <x:c r="L334" s="4" t="str"/>
      <x:c r="M334" s="4" t="str">
        <x:v>未测</x:v>
      </x:c>
      <x:c r="N334" s="4" t="str"/>
      <x:c r="O334" s="4" t="str">
        <x:v>1. 来源（原型批注）：liveshow-proto/prototype/annotations/admin.js；admin-recharge-package.html
2. 页面：admin-recharge-package.html
3. 规则：BR-77EAE32C46AFB5、BR-D3EC9ACFA6134A
4. 场景：SC-FD776CB288F23C
5. 未动态验证</x:v>
      </x:c>
    </x:row>
    <x:row r="335" ht="54" customHeight="1">
      <x:c r="A335" s="4" t="n">
        <x:v>334</x:v>
      </x:c>
      <x:c r="B335" s="4" t="str">
        <x:v>AOPS-0006</x:v>
      </x:c>
      <x:c r="C335" s="4" t="str">
        <x:v>运营配置</x:v>
      </x:c>
      <x:c r="D335" s="4" t="str">
        <x:v>充值套餐（平台管理员视角）</x:v>
      </x:c>
      <x:c r="E335" s="4" t="str">
        <x:v>功能需求</x:v>
      </x:c>
      <x:c r="F335" s="4" t="str">
        <x:v>P1</x:v>
      </x:c>
      <x:c r="G335" s="4" t="str">
        <x:v>验证充值套餐可查看销售价格</x:v>
      </x:c>
      <x:c r="H335" s="4" t="str">
        <x:v>销售价格展示</x:v>
      </x:c>
      <x:c r="I335" s="4" t="str">
        <x:v>1. 平台管理员账号已登录且具备当前页面权限</x:v>
      </x:c>
      <x:c r="J335" s="4" t="str">
        <x:v>1. 进入充值套餐
2. 查看销售价格</x:v>
      </x:c>
      <x:c r="K335" s="4" t="str">
        <x:v>充值套餐显示“销售价格”</x:v>
      </x:c>
      <x:c r="L335" s="4" t="str"/>
      <x:c r="M335" s="4" t="str">
        <x:v>未测</x:v>
      </x:c>
      <x:c r="N335" s="4" t="str"/>
      <x:c r="O335" s="4" t="str">
        <x:v>1. 来源（原型批注）：liveshow-proto/prototype/annotations/admin.js；admin-recharge-package.html
2. 页面：admin-recharge-package.html
3. 规则：BR-536FB534F46565
4. 场景：SC-6900A17143007F
5. 未动态验证</x:v>
      </x:c>
    </x:row>
    <x:row r="336" ht="54" customHeight="1">
      <x:c r="A336" s="4" t="n">
        <x:v>335</x:v>
      </x:c>
      <x:c r="B336" s="4" t="str">
        <x:v>AOPS-0007</x:v>
      </x:c>
      <x:c r="C336" s="4" t="str">
        <x:v>运营配置</x:v>
      </x:c>
      <x:c r="D336" s="4" t="str">
        <x:v>充值套餐（平台管理员视角）</x:v>
      </x:c>
      <x:c r="E336" s="4" t="str">
        <x:v>功能需求</x:v>
      </x:c>
      <x:c r="F336" s="4" t="str">
        <x:v>P1</x:v>
      </x:c>
      <x:c r="G336" s="4" t="str">
        <x:v>验证活动按有效期时的充值套餐结果</x:v>
      </x:c>
      <x:c r="H336" s="4" t="str">
        <x:v>充值套餐条件结果</x:v>
      </x:c>
      <x:c r="I336" s="4" t="str">
        <x:v>1. 平台管理员账号已登录且具备当前页面权限
2. 活动按有效期</x:v>
      </x:c>
      <x:c r="J336" s="4" t="str">
        <x:v>1. 进入充值套餐
2. 查看充值套餐</x:v>
      </x:c>
      <x:c r="K336" s="4" t="str">
        <x:v>活动按有效期展示</x:v>
      </x:c>
      <x:c r="L336" s="4" t="str"/>
      <x:c r="M336" s="4" t="str">
        <x:v>未测</x:v>
      </x:c>
      <x:c r="N336" s="4" t="str"/>
      <x:c r="O336" s="4" t="str">
        <x:v>1. 来源（原型批注）：liveshow-proto/prototype/annotations/admin.js；admin-recharge-package.html
2. 页面：admin-recharge-package.html
3. 规则：BR-D3EC9ACFA6134A
4. 场景：SC-CF289FCB4D378F
5. 未动态验证</x:v>
      </x:c>
    </x:row>
    <x:row r="337" ht="54" customHeight="1">
      <x:c r="A337" s="4" t="n">
        <x:v>336</x:v>
      </x:c>
      <x:c r="B337" s="4" t="str">
        <x:v>AOPS-0008</x:v>
      </x:c>
      <x:c r="C337" s="4" t="str">
        <x:v>运营配置</x:v>
      </x:c>
      <x:c r="D337" s="4" t="str">
        <x:v>充值套餐（平台管理员视角）</x:v>
      </x:c>
      <x:c r="E337" s="4" t="str">
        <x:v>异常用例</x:v>
      </x:c>
      <x:c r="F337" s="4" t="str">
        <x:v>P1</x:v>
      </x:c>
      <x:c r="G337" s="4" t="str">
        <x:v>验证下架后的充值套餐状态</x:v>
      </x:c>
      <x:c r="H337" s="4" t="str">
        <x:v>充值套餐状态</x:v>
      </x:c>
      <x:c r="I337" s="4" t="str">
        <x:v>1. 平台管理员账号已登录且具备当前页面权限
2. 下架</x:v>
      </x:c>
      <x:c r="J337" s="4" t="str">
        <x:v>1. 进入充值套餐
2. 刷新充值套餐</x:v>
      </x:c>
      <x:c r="K337" s="4" t="str">
        <x:v>不可新购</x:v>
      </x:c>
      <x:c r="L337" s="4" t="str"/>
      <x:c r="M337" s="4" t="str">
        <x:v>未测</x:v>
      </x:c>
      <x:c r="N337" s="4" t="str"/>
      <x:c r="O337" s="4" t="str">
        <x:v>1. 来源（原型批注）：liveshow-proto/prototype/annotations/admin.js；admin-recharge-package.html
2. 页面：admin-recharge-package.html
3. 规则：BR-D76DE6EFB37CBD
4. 场景：SC-E3AEFF88903EFE
5. 未动态验证</x:v>
      </x:c>
    </x:row>
    <x:row r="338" ht="54" customHeight="1">
      <x:c r="A338" s="4" t="n">
        <x:v>337</x:v>
      </x:c>
      <x:c r="B338" s="4" t="str">
        <x:v>AOPS-0009</x:v>
      </x:c>
      <x:c r="C338" s="4" t="str">
        <x:v>运营配置</x:v>
      </x:c>
      <x:c r="D338" s="4" t="str">
        <x:v>充值套餐编辑（平台管理员视角）</x:v>
      </x:c>
      <x:c r="E338" s="4" t="str">
        <x:v>业务流程</x:v>
      </x:c>
      <x:c r="F338" s="4" t="str">
        <x:v>P1</x:v>
      </x:c>
      <x:c r="G338" s="4" t="str">
        <x:v>验证保存后的充值套餐编辑状态</x:v>
      </x:c>
      <x:c r="H338" s="4" t="str">
        <x:v>充值套餐编辑状态</x:v>
      </x:c>
      <x:c r="I338" s="4" t="str">
        <x:v>1. 平台管理员账号已登录且具备当前页面权限</x:v>
      </x:c>
      <x:c r="J338" s="4" t="str">
        <x:v>1. 进入充值套餐编辑
2. 保存</x:v>
      </x:c>
      <x:c r="K338" s="4" t="str">
        <x:v>校验后更新</x:v>
      </x:c>
      <x:c r="L338" s="4" t="str"/>
      <x:c r="M338" s="4" t="str">
        <x:v>未测</x:v>
      </x:c>
      <x:c r="N338" s="4" t="str"/>
      <x:c r="O338" s="4" t="str">
        <x:v>1. 来源（原型批注）：liveshow-proto/prototype/annotations/admin.js；admin-recharge-package-detail.html
2. 页面：admin-recharge-package-detail.html
3. 规则：BR-FAA8659C28D533
4. 场景：SC-85747C7A3ACEE8
5. 未动态验证</x:v>
      </x:c>
    </x:row>
    <x:row r="339" ht="54" customHeight="1">
      <x:c r="A339" s="4" t="n">
        <x:v>338</x:v>
      </x:c>
      <x:c r="B339" s="4" t="str">
        <x:v>AOPS-0010</x:v>
      </x:c>
      <x:c r="C339" s="4" t="str">
        <x:v>运营配置</x:v>
      </x:c>
      <x:c r="D339" s="4" t="str">
        <x:v>充值套餐编辑（平台管理员视角）</x:v>
      </x:c>
      <x:c r="E339" s="4" t="str">
        <x:v>功能需求</x:v>
      </x:c>
      <x:c r="F339" s="4" t="str">
        <x:v>P1</x:v>
      </x:c>
      <x:c r="G339" s="4" t="str">
        <x:v>验证充值套餐编辑可查看充值 / 赠送金币</x:v>
      </x:c>
      <x:c r="H339" s="4" t="str">
        <x:v>充值 / 赠送金币展示</x:v>
      </x:c>
      <x:c r="I339" s="4" t="str">
        <x:v>1. 平台管理员账号已登录且具备当前页面权限</x:v>
      </x:c>
      <x:c r="J339" s="4" t="str">
        <x:v>1. 进入充值套餐编辑
2. 查看充值 / 赠送金币</x:v>
      </x:c>
      <x:c r="K339" s="4" t="str">
        <x:v>充值套餐编辑显示“充值 / 赠送金币”</x:v>
      </x:c>
      <x:c r="L339" s="4" t="str"/>
      <x:c r="M339" s="4" t="str">
        <x:v>未测</x:v>
      </x:c>
      <x:c r="N339" s="4" t="str"/>
      <x:c r="O339" s="4" t="str">
        <x:v>1. 来源（原型批注）：liveshow-proto/prototype/annotations/admin.js；admin-recharge-package-detail.html
2. 页面：admin-recharge-package-detail.html
3. 规则：BR-3E171DD12BC0AA、BR-F85742D66E0C43
4. 场景：SC-5EC39D950BEB81
5. 未动态验证</x:v>
      </x:c>
    </x:row>
    <x:row r="340" ht="54" customHeight="1">
      <x:c r="A340" s="4" t="n">
        <x:v>339</x:v>
      </x:c>
      <x:c r="B340" s="4" t="str">
        <x:v>AOPS-0011</x:v>
      </x:c>
      <x:c r="C340" s="4" t="str">
        <x:v>运营配置</x:v>
      </x:c>
      <x:c r="D340" s="4" t="str">
        <x:v>充值套餐编辑（平台管理员视角）</x:v>
      </x:c>
      <x:c r="E340" s="4" t="str">
        <x:v>功能需求</x:v>
      </x:c>
      <x:c r="F340" s="4" t="str">
        <x:v>P1</x:v>
      </x:c>
      <x:c r="G340" s="4" t="str">
        <x:v>验证充值套餐编辑可查看类型 / 封面</x:v>
      </x:c>
      <x:c r="H340" s="4" t="str">
        <x:v>类型 / 封面展示</x:v>
      </x:c>
      <x:c r="I340" s="4" t="str">
        <x:v>1. 平台管理员账号已登录且具备当前页面权限</x:v>
      </x:c>
      <x:c r="J340" s="4" t="str">
        <x:v>1. 进入充值套餐编辑
2. 查看类型 / 封面</x:v>
      </x:c>
      <x:c r="K340" s="4" t="str">
        <x:v>充值套餐编辑显示“类型 / 封面”</x:v>
      </x:c>
      <x:c r="L340" s="4" t="str"/>
      <x:c r="M340" s="4" t="str">
        <x:v>未测</x:v>
      </x:c>
      <x:c r="N340" s="4" t="str"/>
      <x:c r="O340" s="4" t="str">
        <x:v>1. 来源（原型批注）：liveshow-proto/prototype/annotations/admin.js；admin-recharge-package-detail.html
2. 页面：admin-recharge-package-detail.html
3. 规则：BR-1BDABCC211D5E9
4. 场景：SC-07802F67FF8AB4
5. 未动态验证</x:v>
      </x:c>
    </x:row>
    <x:row r="341" ht="54" customHeight="1">
      <x:c r="A341" s="4" t="n">
        <x:v>340</x:v>
      </x:c>
      <x:c r="B341" s="4" t="str">
        <x:v>AOPS-0012</x:v>
      </x:c>
      <x:c r="C341" s="4" t="str">
        <x:v>运营配置</x:v>
      </x:c>
      <x:c r="D341" s="4" t="str">
        <x:v>充值套餐编辑（平台管理员视角）</x:v>
      </x:c>
      <x:c r="E341" s="4" t="str">
        <x:v>功能需求</x:v>
      </x:c>
      <x:c r="F341" s="4" t="str">
        <x:v>P1</x:v>
      </x:c>
      <x:c r="G341" s="4" t="str">
        <x:v>验证充值套餐编辑可查看排序 / 状态</x:v>
      </x:c>
      <x:c r="H341" s="4" t="str">
        <x:v>排序 / 状态展示</x:v>
      </x:c>
      <x:c r="I341" s="4" t="str">
        <x:v>1. 平台管理员账号已登录且具备当前页面权限</x:v>
      </x:c>
      <x:c r="J341" s="4" t="str">
        <x:v>1. 进入充值套餐编辑
2. 查看排序 / 状态</x:v>
      </x:c>
      <x:c r="K341" s="4" t="str">
        <x:v>充值套餐编辑显示“排序 / 状态”</x:v>
      </x:c>
      <x:c r="L341" s="4" t="str"/>
      <x:c r="M341" s="4" t="str">
        <x:v>未测</x:v>
      </x:c>
      <x:c r="N341" s="4" t="str"/>
      <x:c r="O341" s="4" t="str">
        <x:v>1. 来源（原型批注）：liveshow-proto/prototype/annotations/admin.js；admin-recharge-package-detail.html
2. 页面：admin-recharge-package-detail.html
3. 规则：BR-32097BEEA0B885、BR-41329D91A752D3
4. 场景：SC-6F2D0AF3C52BCF
5. 未动态验证</x:v>
      </x:c>
    </x:row>
    <x:row r="342" ht="54" customHeight="1">
      <x:c r="A342" s="4" t="n">
        <x:v>341</x:v>
      </x:c>
      <x:c r="B342" s="4" t="str">
        <x:v>AOPS-0013</x:v>
      </x:c>
      <x:c r="C342" s="4" t="str">
        <x:v>运营配置</x:v>
      </x:c>
      <x:c r="D342" s="4" t="str">
        <x:v>充值套餐编辑（平台管理员视角）</x:v>
      </x:c>
      <x:c r="E342" s="4" t="str">
        <x:v>功能需求</x:v>
      </x:c>
      <x:c r="F342" s="4" t="str">
        <x:v>P1</x:v>
      </x:c>
      <x:c r="G342" s="4" t="str">
        <x:v>验证充值套餐编辑可查看套餐 ID</x:v>
      </x:c>
      <x:c r="H342" s="4" t="str">
        <x:v>套餐 ID展示</x:v>
      </x:c>
      <x:c r="I342" s="4" t="str">
        <x:v>1. 平台管理员账号已登录且具备当前页面权限</x:v>
      </x:c>
      <x:c r="J342" s="4" t="str">
        <x:v>1. 进入充值套餐编辑
2. 查看套餐 ID</x:v>
      </x:c>
      <x:c r="K342" s="4" t="str">
        <x:v>充值套餐编辑显示“套餐 ID”</x:v>
      </x:c>
      <x:c r="L342" s="4" t="str"/>
      <x:c r="M342" s="4" t="str">
        <x:v>未测</x:v>
      </x:c>
      <x:c r="N342" s="4" t="str"/>
      <x:c r="O342" s="4" t="str">
        <x:v>1. 来源（原型批注）：liveshow-proto/prototype/annotations/admin.js；admin-recharge-package-detail.html
2. 页面：admin-recharge-package-detail.html
3. 规则：BR-4D92D5BB9DFEB7
4. 场景：SC-47FD660E070E99
5. 未动态验证</x:v>
      </x:c>
    </x:row>
    <x:row r="343" ht="54" customHeight="1">
      <x:c r="A343" s="4" t="n">
        <x:v>342</x:v>
      </x:c>
      <x:c r="B343" s="4" t="str">
        <x:v>AOPS-0014</x:v>
      </x:c>
      <x:c r="C343" s="4" t="str">
        <x:v>运营配置</x:v>
      </x:c>
      <x:c r="D343" s="4" t="str">
        <x:v>充值套餐编辑（平台管理员视角）</x:v>
      </x:c>
      <x:c r="E343" s="4" t="str">
        <x:v>功能需求</x:v>
      </x:c>
      <x:c r="F343" s="4" t="str">
        <x:v>P1</x:v>
      </x:c>
      <x:c r="G343" s="4" t="str">
        <x:v>验证充值套餐编辑可查看限购次数</x:v>
      </x:c>
      <x:c r="H343" s="4" t="str">
        <x:v>限购次数展示</x:v>
      </x:c>
      <x:c r="I343" s="4" t="str">
        <x:v>1. 平台管理员账号已登录且具备当前页面权限</x:v>
      </x:c>
      <x:c r="J343" s="4" t="str">
        <x:v>1. 进入充值套餐编辑
2. 查看限购次数</x:v>
      </x:c>
      <x:c r="K343" s="4" t="str">
        <x:v>充值套餐编辑显示“限购次数”</x:v>
      </x:c>
      <x:c r="L343" s="4" t="str"/>
      <x:c r="M343" s="4" t="str">
        <x:v>未测</x:v>
      </x:c>
      <x:c r="N343" s="4" t="str"/>
      <x:c r="O343" s="4" t="str">
        <x:v>1. 来源（原型批注）：liveshow-proto/prototype/annotations/admin.js；admin-recharge-package-detail.html
2. 页面：admin-recharge-package-detail.html
3. 规则：BR-D44F4A7E2B28F8、BR-9E0B4B77D9B689
4. 场景：SC-4D1A5302979865
5. 未动态验证</x:v>
      </x:c>
    </x:row>
    <x:row r="344" ht="54" customHeight="1">
      <x:c r="A344" s="4" t="n">
        <x:v>343</x:v>
      </x:c>
      <x:c r="B344" s="4" t="str">
        <x:v>AOPS-0015</x:v>
      </x:c>
      <x:c r="C344" s="4" t="str">
        <x:v>运营配置</x:v>
      </x:c>
      <x:c r="D344" s="4" t="str">
        <x:v>充值套餐编辑（平台管理员视角）</x:v>
      </x:c>
      <x:c r="E344" s="4" t="str">
        <x:v>功能需求</x:v>
      </x:c>
      <x:c r="F344" s="4" t="str">
        <x:v>P1</x:v>
      </x:c>
      <x:c r="G344" s="4" t="str">
        <x:v>验证充值套餐编辑可查看销售价格</x:v>
      </x:c>
      <x:c r="H344" s="4" t="str">
        <x:v>销售价格展示</x:v>
      </x:c>
      <x:c r="I344" s="4" t="str">
        <x:v>1. 平台管理员账号已登录且具备当前页面权限</x:v>
      </x:c>
      <x:c r="J344" s="4" t="str">
        <x:v>1. 进入充值套餐编辑
2. 查看销售价格</x:v>
      </x:c>
      <x:c r="K344" s="4" t="str">
        <x:v>充值套餐编辑显示“销售价格”</x:v>
      </x:c>
      <x:c r="L344" s="4" t="str"/>
      <x:c r="M344" s="4" t="str">
        <x:v>未测</x:v>
      </x:c>
      <x:c r="N344" s="4" t="str"/>
      <x:c r="O344" s="4" t="str">
        <x:v>1. 来源（原型批注）：liveshow-proto/prototype/annotations/admin.js；admin-recharge-package-detail.html
2. 页面：admin-recharge-package-detail.html
3. 规则：BR-9548EFBCF0310D
4. 场景：SC-127A3C0D0BBBDC
5. 未动态验证</x:v>
      </x:c>
    </x:row>
    <x:row r="345" ht="54" customHeight="1">
      <x:c r="A345" s="4" t="n">
        <x:v>344</x:v>
      </x:c>
      <x:c r="B345" s="4" t="str">
        <x:v>AOPS-0016</x:v>
      </x:c>
      <x:c r="C345" s="4" t="str">
        <x:v>运营配置</x:v>
      </x:c>
      <x:c r="D345" s="4" t="str">
        <x:v>充值套餐编辑（平台管理员视角）</x:v>
      </x:c>
      <x:c r="E345" s="4" t="str">
        <x:v>功能需求</x:v>
      </x:c>
      <x:c r="F345" s="4" t="str">
        <x:v>P1</x:v>
      </x:c>
      <x:c r="G345" s="4" t="str">
        <x:v>验证充值套餐编辑可查看有效时间</x:v>
      </x:c>
      <x:c r="H345" s="4" t="str">
        <x:v>有效时间展示</x:v>
      </x:c>
      <x:c r="I345" s="4" t="str">
        <x:v>1. 平台管理员账号已登录且具备当前页面权限</x:v>
      </x:c>
      <x:c r="J345" s="4" t="str">
        <x:v>1. 进入充值套餐编辑
2. 查看有效时间</x:v>
      </x:c>
      <x:c r="K345" s="4" t="str">
        <x:v>充值套餐编辑显示“有效时间”</x:v>
      </x:c>
      <x:c r="L345" s="4" t="str"/>
      <x:c r="M345" s="4" t="str">
        <x:v>未测</x:v>
      </x:c>
      <x:c r="N345" s="4" t="str"/>
      <x:c r="O345" s="4" t="str">
        <x:v>1. 来源（原型批注）：liveshow-proto/prototype/annotations/admin.js；admin-recharge-package-detail.html
2. 页面：admin-recharge-package-detail.html
3. 规则：BR-5FA0FBB324BEB0
4. 场景：SC-542C15827C9040
5. 未动态验证</x:v>
      </x:c>
    </x:row>
    <x:row r="346" ht="54" customHeight="1">
      <x:c r="A346" s="4" t="n">
        <x:v>345</x:v>
      </x:c>
      <x:c r="B346" s="4" t="str">
        <x:v>AOPS-0017</x:v>
      </x:c>
      <x:c r="C346" s="4" t="str">
        <x:v>运营配置</x:v>
      </x:c>
      <x:c r="D346" s="4" t="str">
        <x:v>充值套餐编辑（平台管理员视角）</x:v>
      </x:c>
      <x:c r="E346" s="4" t="str">
        <x:v>业务流程</x:v>
      </x:c>
      <x:c r="F346" s="4" t="str">
        <x:v>P1</x:v>
      </x:c>
      <x:c r="G346" s="4" t="str">
        <x:v>验证上架后的充值套餐编辑状态</x:v>
      </x:c>
      <x:c r="H346" s="4" t="str">
        <x:v>充值套餐编辑状态</x:v>
      </x:c>
      <x:c r="I346" s="4" t="str">
        <x:v>1. 平台管理员账号已登录且具备当前页面权限
2. 上架</x:v>
      </x:c>
      <x:c r="J346" s="4" t="str">
        <x:v>1. 进入充值套餐编辑
2. 刷新充值套餐编辑</x:v>
      </x:c>
      <x:c r="K346" s="4" t="str">
        <x:v>按类型和有效期展示</x:v>
      </x:c>
      <x:c r="L346" s="4" t="str"/>
      <x:c r="M346" s="4" t="str">
        <x:v>未测</x:v>
      </x:c>
      <x:c r="N346" s="4" t="str"/>
      <x:c r="O346" s="4" t="str">
        <x:v>1. 来源（原型批注）：liveshow-proto/prototype/annotations/admin.js；admin-recharge-package-detail.html
2. 页面：admin-recharge-package-detail.html
3. 规则：BR-41329D91A752D3
4. 场景：SC-D842ADA6111CE7
5. 未动态验证</x:v>
      </x:c>
    </x:row>
    <x:row r="347" ht="54" customHeight="1">
      <x:c r="A347" s="4" t="n">
        <x:v>346</x:v>
      </x:c>
      <x:c r="B347" s="4" t="str">
        <x:v>AOPS-0018</x:v>
      </x:c>
      <x:c r="C347" s="4" t="str">
        <x:v>运营配置</x:v>
      </x:c>
      <x:c r="D347" s="4" t="str">
        <x:v>等级配置（平台管理员视角）</x:v>
      </x:c>
      <x:c r="E347" s="4" t="str">
        <x:v>功能需求</x:v>
      </x:c>
      <x:c r="F347" s="4" t="str">
        <x:v>P2</x:v>
      </x:c>
      <x:c r="G347" s="4" t="str">
        <x:v>验证等级配置可查看财富等级</x:v>
      </x:c>
      <x:c r="H347" s="4" t="str">
        <x:v>财富等级展示</x:v>
      </x:c>
      <x:c r="I347" s="4" t="str">
        <x:v>1. 平台管理员账号已登录且具备当前页面权限</x:v>
      </x:c>
      <x:c r="J347" s="4" t="str">
        <x:v>1. 进入等级配置
2. 查看财富等级</x:v>
      </x:c>
      <x:c r="K347" s="4" t="str">
        <x:v>等级配置显示“财富等级”</x:v>
      </x:c>
      <x:c r="L347" s="4" t="str"/>
      <x:c r="M347" s="4" t="str">
        <x:v>未测</x:v>
      </x:c>
      <x:c r="N347" s="4" t="str"/>
      <x:c r="O347" s="4" t="str">
        <x:v>1. 来源（原型批注）：liveshow-proto/prototype/annotations/admin.js；admin-level-config.html
2. 页面：admin-level-config.html
3. 规则：BR-8728F33C28A90D
4. 场景：SC-4854D2C790D34C
5. 未动态验证</x:v>
      </x:c>
    </x:row>
    <x:row r="348" ht="54" customHeight="1">
      <x:c r="A348" s="4" t="n">
        <x:v>347</x:v>
      </x:c>
      <x:c r="B348" s="4" t="str">
        <x:v>AOPS-0019</x:v>
      </x:c>
      <x:c r="C348" s="4" t="str">
        <x:v>运营配置</x:v>
      </x:c>
      <x:c r="D348" s="4" t="str">
        <x:v>等级配置（平台管理员视角）</x:v>
      </x:c>
      <x:c r="E348" s="4" t="str">
        <x:v>功能需求</x:v>
      </x:c>
      <x:c r="F348" s="4" t="str">
        <x:v>P2</x:v>
      </x:c>
      <x:c r="G348" s="4" t="str">
        <x:v>验证等级配置可查看粉丝等级</x:v>
      </x:c>
      <x:c r="H348" s="4" t="str">
        <x:v>粉丝等级展示</x:v>
      </x:c>
      <x:c r="I348" s="4" t="str">
        <x:v>1. 平台管理员账号已登录且具备当前页面权限</x:v>
      </x:c>
      <x:c r="J348" s="4" t="str">
        <x:v>1. 进入等级配置
2. 查看粉丝等级</x:v>
      </x:c>
      <x:c r="K348" s="4" t="str">
        <x:v>等级配置显示“粉丝等级”</x:v>
      </x:c>
      <x:c r="L348" s="4" t="str"/>
      <x:c r="M348" s="4" t="str">
        <x:v>未测</x:v>
      </x:c>
      <x:c r="N348" s="4" t="str"/>
      <x:c r="O348" s="4" t="str">
        <x:v>1. 来源（原型批注）：liveshow-proto/prototype/annotations/admin.js；admin-level-config.html
2. 页面：admin-level-config.html
3. 规则：BR-E7A224C4C8B1AF
4. 场景：SC-45A85045C96487
5. 未动态验证</x:v>
      </x:c>
    </x:row>
    <x:row r="349" ht="54" customHeight="1">
      <x:c r="A349" s="4" t="n">
        <x:v>348</x:v>
      </x:c>
      <x:c r="B349" s="4" t="str">
        <x:v>AOPS-0020</x:v>
      </x:c>
      <x:c r="C349" s="4" t="str">
        <x:v>运营配置</x:v>
      </x:c>
      <x:c r="D349" s="4" t="str">
        <x:v>等级配置（平台管理员视角）</x:v>
      </x:c>
      <x:c r="E349" s="4" t="str">
        <x:v>功能需求</x:v>
      </x:c>
      <x:c r="F349" s="4" t="str">
        <x:v>P2</x:v>
      </x:c>
      <x:c r="G349" s="4" t="str">
        <x:v>验证等级配置可查看粉丝团等级</x:v>
      </x:c>
      <x:c r="H349" s="4" t="str">
        <x:v>粉丝团等级展示</x:v>
      </x:c>
      <x:c r="I349" s="4" t="str">
        <x:v>1. 平台管理员账号已登录且具备当前页面权限</x:v>
      </x:c>
      <x:c r="J349" s="4" t="str">
        <x:v>1. 进入等级配置
2. 查看粉丝团等级</x:v>
      </x:c>
      <x:c r="K349" s="4" t="str">
        <x:v>等级配置显示“粉丝团等级”</x:v>
      </x:c>
      <x:c r="L349" s="4" t="str"/>
      <x:c r="M349" s="4" t="str">
        <x:v>未测</x:v>
      </x:c>
      <x:c r="N349" s="4" t="str"/>
      <x:c r="O349" s="4" t="str">
        <x:v>1. 来源（原型批注）：liveshow-proto/prototype/annotations/admin.js；admin-level-config.html
2. 页面：admin-level-config.html
3. 规则：BR-6556BECE0D36D7
4. 场景：SC-460E3132122293
5. 未动态验证</x:v>
      </x:c>
    </x:row>
    <x:row r="350" ht="54" customHeight="1">
      <x:c r="A350" s="4" t="n">
        <x:v>349</x:v>
      </x:c>
      <x:c r="B350" s="4" t="str">
        <x:v>AOPS-0021</x:v>
      </x:c>
      <x:c r="C350" s="4" t="str">
        <x:v>运营配置</x:v>
      </x:c>
      <x:c r="D350" s="4" t="str">
        <x:v>等级配置（平台管理员视角）</x:v>
      </x:c>
      <x:c r="E350" s="4" t="str">
        <x:v>功能需求</x:v>
      </x:c>
      <x:c r="F350" s="4" t="str">
        <x:v>P2</x:v>
      </x:c>
      <x:c r="G350" s="4" t="str">
        <x:v>验证等级配置可查看主播等级</x:v>
      </x:c>
      <x:c r="H350" s="4" t="str">
        <x:v>主播等级展示</x:v>
      </x:c>
      <x:c r="I350" s="4" t="str">
        <x:v>1. 平台管理员账号已登录且具备当前页面权限</x:v>
      </x:c>
      <x:c r="J350" s="4" t="str">
        <x:v>1. 进入等级配置
2. 查看主播等级</x:v>
      </x:c>
      <x:c r="K350" s="4" t="str">
        <x:v>等级配置显示“主播等级”</x:v>
      </x:c>
      <x:c r="L350" s="4" t="str"/>
      <x:c r="M350" s="4" t="str">
        <x:v>未测</x:v>
      </x:c>
      <x:c r="N350" s="4" t="str"/>
      <x:c r="O350" s="4" t="str">
        <x:v>1. 来源（原型批注）：liveshow-proto/prototype/annotations/admin.js；admin-level-config.html
2. 页面：admin-level-config.html
3. 规则：BR-16A30334237BB3
4. 场景：SC-6F8280908215B3
5. 未动态验证</x:v>
      </x:c>
    </x:row>
    <x:row r="351" ht="54" customHeight="1">
      <x:c r="A351" s="4" t="n">
        <x:v>350</x:v>
      </x:c>
      <x:c r="B351" s="4" t="str">
        <x:v>AOPS-0022</x:v>
      </x:c>
      <x:c r="C351" s="4" t="str">
        <x:v>运营配置</x:v>
      </x:c>
      <x:c r="D351" s="4" t="str">
        <x:v>等级配置（平台管理员视角）</x:v>
      </x:c>
      <x:c r="E351" s="4" t="str">
        <x:v>功能需求</x:v>
      </x:c>
      <x:c r="F351" s="4" t="str">
        <x:v>P2</x:v>
      </x:c>
      <x:c r="G351" s="4" t="str">
        <x:v>验证每行可上传或更换勋章图，选择有效图片后时的等级配置结果</x:v>
      </x:c>
      <x:c r="H351" s="4" t="str">
        <x:v>等级配置条件结果</x:v>
      </x:c>
      <x:c r="I351" s="4" t="str">
        <x:v>1. 平台管理员账号已登录且具备当前页面权限
2. 每行可上传或更换勋章图，选择有效图片后</x:v>
      </x:c>
      <x:c r="J351" s="4" t="str">
        <x:v>1. 进入等级配置
2. 查看等级配置</x:v>
      </x:c>
      <x:c r="K351" s="4" t="str">
        <x:v>每行可上传或更换勋章图，选择有效图片后显示预览</x:v>
      </x:c>
      <x:c r="L351" s="4" t="str"/>
      <x:c r="M351" s="4" t="str">
        <x:v>未测</x:v>
      </x:c>
      <x:c r="N351" s="4" t="str"/>
      <x:c r="O351" s="4" t="str">
        <x:v>1. 来源（原型批注）：liveshow-proto/prototype/annotations/admin.js；admin-level-config.html
2. 页面：admin-level-config.html
3. 规则：BR-3383AF2D798AC0
4. 场景：SC-2D75760F3FC4CC
5. 未动态验证</x:v>
      </x:c>
    </x:row>
    <x:row r="352" ht="54" customHeight="1">
      <x:c r="A352" s="4" t="n">
        <x:v>351</x:v>
      </x:c>
      <x:c r="B352" s="4" t="str">
        <x:v>AOPS-0023</x:v>
      </x:c>
      <x:c r="C352" s="4" t="str">
        <x:v>运营配置</x:v>
      </x:c>
      <x:c r="D352" s="4" t="str">
        <x:v>等级配置（平台管理员视角）</x:v>
      </x:c>
      <x:c r="E352" s="4" t="str">
        <x:v>功能需求</x:v>
      </x:c>
      <x:c r="F352" s="4" t="str">
        <x:v>P2</x:v>
      </x:c>
      <x:c r="G352" s="4" t="str">
        <x:v>验证图片无法读取时的等级配置结果</x:v>
      </x:c>
      <x:c r="H352" s="4" t="str">
        <x:v>等级配置条件结果</x:v>
      </x:c>
      <x:c r="I352" s="4" t="str">
        <x:v>1. 平台管理员账号已登录且具备当前页面权限
2. 图片无法读取</x:v>
      </x:c>
      <x:c r="J352" s="4" t="str">
        <x:v>1. 进入等级配置
2. 查看等级配置</x:v>
      </x:c>
      <x:c r="K352" s="4" t="str">
        <x:v>提示重选</x:v>
      </x:c>
      <x:c r="L352" s="4" t="str"/>
      <x:c r="M352" s="4" t="str">
        <x:v>未测</x:v>
      </x:c>
      <x:c r="N352" s="4" t="str"/>
      <x:c r="O352" s="4" t="str">
        <x:v>1. 来源（原型批注）：liveshow-proto/prototype/annotations/admin.js；admin-level-config.html
2. 页面：admin-level-config.html
3. 规则：BR-FD8FE615CB3CC6
4. 场景：SC-6A0730E4A70648
5. 未动态验证</x:v>
      </x:c>
    </x:row>
    <x:row r="353" ht="54" customHeight="1">
      <x:c r="A353" s="4" t="n">
        <x:v>352</x:v>
      </x:c>
      <x:c r="B353" s="4" t="str">
        <x:v>AOPS-0024</x:v>
      </x:c>
      <x:c r="C353" s="4" t="str">
        <x:v>运营配置</x:v>
      </x:c>
      <x:c r="D353" s="4" t="str">
        <x:v>公会推荐（平台管理员视角）</x:v>
      </x:c>
      <x:c r="E353" s="4" t="str">
        <x:v>功能需求</x:v>
      </x:c>
      <x:c r="F353" s="4" t="str">
        <x:v>P2</x:v>
      </x:c>
      <x:c r="G353" s="4" t="str">
        <x:v>验证公会推荐可查看更新时间</x:v>
      </x:c>
      <x:c r="H353" s="4" t="str">
        <x:v>更新时间展示</x:v>
      </x:c>
      <x:c r="I353" s="4" t="str">
        <x:v>1. 平台管理员账号已登录且具备当前页面权限</x:v>
      </x:c>
      <x:c r="J353" s="4" t="str">
        <x:v>1. 进入公会推荐
2. 查看更新时间</x:v>
      </x:c>
      <x:c r="K353" s="4" t="str">
        <x:v>公会推荐显示“更新时间”</x:v>
      </x:c>
      <x:c r="L353" s="4" t="str"/>
      <x:c r="M353" s="4" t="str">
        <x:v>未测</x:v>
      </x:c>
      <x:c r="N353" s="4" t="str"/>
      <x:c r="O353" s="4" t="str">
        <x:v>1. 来源（原型批注）：liveshow-proto/prototype/annotations/admin.js；admin-guild-recommendation.html
2. 页面：admin-guild-recommendation.html
3. 规则：BR-5965DF4550D0C8
4. 场景：SC-188FB3BD0ED2B2
5. 未动态验证</x:v>
      </x:c>
    </x:row>
    <x:row r="354" ht="54" customHeight="1">
      <x:c r="A354" s="4" t="n">
        <x:v>353</x:v>
      </x:c>
      <x:c r="B354" s="4" t="str">
        <x:v>AOPS-0025</x:v>
      </x:c>
      <x:c r="C354" s="4" t="str">
        <x:v>运营配置</x:v>
      </x:c>
      <x:c r="D354" s="4" t="str">
        <x:v>公会推荐（平台管理员视角）</x:v>
      </x:c>
      <x:c r="E354" s="4" t="str">
        <x:v>功能需求</x:v>
      </x:c>
      <x:c r="F354" s="4" t="str">
        <x:v>P2</x:v>
      </x:c>
      <x:c r="G354" s="4" t="str">
        <x:v>验证公会推荐可查看公会信息</x:v>
      </x:c>
      <x:c r="H354" s="4" t="str">
        <x:v>公会信息展示</x:v>
      </x:c>
      <x:c r="I354" s="4" t="str">
        <x:v>1. 平台管理员账号已登录且具备当前页面权限</x:v>
      </x:c>
      <x:c r="J354" s="4" t="str">
        <x:v>1. 进入公会推荐
2. 查看公会信息</x:v>
      </x:c>
      <x:c r="K354" s="4" t="str">
        <x:v>公会推荐显示“公会信息”</x:v>
      </x:c>
      <x:c r="L354" s="4" t="str"/>
      <x:c r="M354" s="4" t="str">
        <x:v>未测</x:v>
      </x:c>
      <x:c r="N354" s="4" t="str"/>
      <x:c r="O354" s="4" t="str">
        <x:v>1. 来源（原型批注）：liveshow-proto/prototype/annotations/admin.js；admin-guild-recommendation.html
2. 页面：admin-guild-recommendation.html
3. 规则：BR-FA1AD39F94DAB3、BR-530883DE907225
4. 场景：SC-009D5C68E390B0
5. 未动态验证</x:v>
      </x:c>
    </x:row>
    <x:row r="355" ht="54" customHeight="1">
      <x:c r="A355" s="4" t="n">
        <x:v>354</x:v>
      </x:c>
      <x:c r="B355" s="4" t="str">
        <x:v>AOPS-0026</x:v>
      </x:c>
      <x:c r="C355" s="4" t="str">
        <x:v>运营配置</x:v>
      </x:c>
      <x:c r="D355" s="4" t="str">
        <x:v>公会推荐（平台管理员视角）</x:v>
      </x:c>
      <x:c r="E355" s="4" t="str">
        <x:v>功能需求</x:v>
      </x:c>
      <x:c r="F355" s="4" t="str">
        <x:v>P2</x:v>
      </x:c>
      <x:c r="G355" s="4" t="str">
        <x:v>验证公会推荐可查看排序权重</x:v>
      </x:c>
      <x:c r="H355" s="4" t="str">
        <x:v>排序权重展示</x:v>
      </x:c>
      <x:c r="I355" s="4" t="str">
        <x:v>1. 平台管理员账号已登录且具备当前页面权限</x:v>
      </x:c>
      <x:c r="J355" s="4" t="str">
        <x:v>1. 进入公会推荐
2. 查看排序权重</x:v>
      </x:c>
      <x:c r="K355" s="4" t="str">
        <x:v>公会推荐显示“排序权重”</x:v>
      </x:c>
      <x:c r="L355" s="4" t="str"/>
      <x:c r="M355" s="4" t="str">
        <x:v>未测</x:v>
      </x:c>
      <x:c r="N355" s="4" t="str"/>
      <x:c r="O355" s="4" t="str">
        <x:v>1. 来源（原型批注）：liveshow-proto/prototype/annotations/admin.js；admin-guild-recommendation.html
2. 页面：admin-guild-recommendation.html
3. 规则：BR-700E0C7925EF64
4. 场景：SC-67E44ECB1CA356
5. 未动态验证</x:v>
      </x:c>
    </x:row>
    <x:row r="356" ht="54" customHeight="1">
      <x:c r="A356" s="4" t="n">
        <x:v>355</x:v>
      </x:c>
      <x:c r="B356" s="4" t="str">
        <x:v>AOPS-0027</x:v>
      </x:c>
      <x:c r="C356" s="4" t="str">
        <x:v>运营配置</x:v>
      </x:c>
      <x:c r="D356" s="4" t="str">
        <x:v>公会推荐（平台管理员视角）</x:v>
      </x:c>
      <x:c r="E356" s="4" t="str">
        <x:v>业务流程</x:v>
      </x:c>
      <x:c r="F356" s="4" t="str">
        <x:v>P2</x:v>
      </x:c>
      <x:c r="G356" s="4" t="str">
        <x:v>验证移除后的公会推荐状态</x:v>
      </x:c>
      <x:c r="H356" s="4" t="str">
        <x:v>公会推荐状态</x:v>
      </x:c>
      <x:c r="I356" s="4" t="str">
        <x:v>1. 平台管理员账号已登录且具备当前页面权限
2. 移除</x:v>
      </x:c>
      <x:c r="J356" s="4" t="str">
        <x:v>1. 进入公会推荐
2. 刷新公会推荐</x:v>
      </x:c>
      <x:c r="K356" s="4" t="str">
        <x:v>确认后退出推荐</x:v>
      </x:c>
      <x:c r="L356" s="4" t="str"/>
      <x:c r="M356" s="4" t="str">
        <x:v>未测</x:v>
      </x:c>
      <x:c r="N356" s="4" t="str"/>
      <x:c r="O356" s="4" t="str">
        <x:v>1. 来源（原型批注）：liveshow-proto/prototype/annotations/admin.js；admin-guild-recommendation.html
2. 页面：admin-guild-recommendation.html
3. 规则：BR-B86309A82A965C
4. 场景：SC-229E3452D0EC50
5. 未动态验证</x:v>
      </x:c>
    </x:row>
    <x:row r="357" ht="54" customHeight="1">
      <x:c r="A357" s="4" t="n">
        <x:v>356</x:v>
      </x:c>
      <x:c r="B357" s="4" t="str">
        <x:v>AOPS-0028</x:v>
      </x:c>
      <x:c r="C357" s="4" t="str">
        <x:v>运营配置</x:v>
      </x:c>
      <x:c r="D357" s="4" t="str">
        <x:v>公会推荐编辑（平台管理员视角）</x:v>
      </x:c>
      <x:c r="E357" s="4" t="str">
        <x:v>业务流程</x:v>
      </x:c>
      <x:c r="F357" s="4" t="str">
        <x:v>P2</x:v>
      </x:c>
      <x:c r="G357" s="4" t="str">
        <x:v>验证保存后的公会推荐编辑状态</x:v>
      </x:c>
      <x:c r="H357" s="4" t="str">
        <x:v>公会推荐编辑状态</x:v>
      </x:c>
      <x:c r="I357" s="4" t="str">
        <x:v>1. 平台管理员账号已登录且具备当前页面权限</x:v>
      </x:c>
      <x:c r="J357" s="4" t="str">
        <x:v>1. 进入公会推荐编辑
2. 保存</x:v>
      </x:c>
      <x:c r="K357" s="4" t="str">
        <x:v>校验公会有效性和重复配置</x:v>
      </x:c>
      <x:c r="L357" s="4" t="str"/>
      <x:c r="M357" s="4" t="str">
        <x:v>未测</x:v>
      </x:c>
      <x:c r="N357" s="4" t="str"/>
      <x:c r="O357" s="4" t="str">
        <x:v>1. 来源（原型批注）：liveshow-proto/prototype/annotations/admin.js；admin-guild-recommendation-detail.html
2. 页面：admin-guild-recommendation-detail.html
3. 规则：BR-B71B98A07BB142
4. 场景：SC-BE989C77AF54F5
5. 未动态验证</x:v>
      </x:c>
    </x:row>
    <x:row r="358" ht="54" customHeight="1">
      <x:c r="A358" s="4" t="n">
        <x:v>357</x:v>
      </x:c>
      <x:c r="B358" s="4" t="str">
        <x:v>AOPS-0029</x:v>
      </x:c>
      <x:c r="C358" s="4" t="str">
        <x:v>运营配置</x:v>
      </x:c>
      <x:c r="D358" s="4" t="str">
        <x:v>公会推荐编辑（平台管理员视角）</x:v>
      </x:c>
      <x:c r="E358" s="4" t="str">
        <x:v>功能需求</x:v>
      </x:c>
      <x:c r="F358" s="4" t="str">
        <x:v>P2</x:v>
      </x:c>
      <x:c r="G358" s="4" t="str">
        <x:v>验证编辑时的公会推荐编辑结果</x:v>
      </x:c>
      <x:c r="H358" s="4" t="str">
        <x:v>公会推荐编辑条件结果</x:v>
      </x:c>
      <x:c r="I358" s="4" t="str">
        <x:v>1. 平台管理员账号已登录且具备当前页面权限
2. 编辑</x:v>
      </x:c>
      <x:c r="J358" s="4" t="str">
        <x:v>1. 进入公会推荐编辑
2. 查看公会推荐编辑</x:v>
      </x:c>
      <x:c r="K358" s="4" t="str">
        <x:v>不可重复</x:v>
      </x:c>
      <x:c r="L358" s="4" t="str"/>
      <x:c r="M358" s="4" t="str">
        <x:v>未测</x:v>
      </x:c>
      <x:c r="N358" s="4" t="str"/>
      <x:c r="O358" s="4" t="str">
        <x:v>1. 来源（原型批注）：liveshow-proto/prototype/annotations/admin.js；admin-guild-recommendation-detail.html
2. 页面：admin-guild-recommendation-detail.html
3. 规则：BR-8DB49118922EE2
4. 场景：SC-D2D3FD21120FB8
5. 未动态验证</x:v>
      </x:c>
    </x:row>
    <x:row r="359" ht="54" customHeight="1">
      <x:c r="A359" s="4" t="n">
        <x:v>358</x:v>
      </x:c>
      <x:c r="B359" s="4" t="str">
        <x:v>AOPS-0030</x:v>
      </x:c>
      <x:c r="C359" s="4" t="str">
        <x:v>运营配置</x:v>
      </x:c>
      <x:c r="D359" s="4" t="str">
        <x:v>公会推荐编辑（平台管理员视角）</x:v>
      </x:c>
      <x:c r="E359" s="4" t="str">
        <x:v>功能需求</x:v>
      </x:c>
      <x:c r="F359" s="4" t="str">
        <x:v>P2</x:v>
      </x:c>
      <x:c r="G359" s="4" t="str">
        <x:v>验证公会推荐编辑可查看排序权重</x:v>
      </x:c>
      <x:c r="H359" s="4" t="str">
        <x:v>排序权重展示</x:v>
      </x:c>
      <x:c r="I359" s="4" t="str">
        <x:v>1. 平台管理员账号已登录且具备当前页面权限</x:v>
      </x:c>
      <x:c r="J359" s="4" t="str">
        <x:v>1. 进入公会推荐编辑
2. 查看排序权重</x:v>
      </x:c>
      <x:c r="K359" s="4" t="str">
        <x:v>公会推荐编辑显示“排序权重”</x:v>
      </x:c>
      <x:c r="L359" s="4" t="str"/>
      <x:c r="M359" s="4" t="str">
        <x:v>未测</x:v>
      </x:c>
      <x:c r="N359" s="4" t="str"/>
      <x:c r="O359" s="4" t="str">
        <x:v>1. 来源（原型批注）：liveshow-proto/prototype/annotations/admin.js；admin-guild-recommendation-detail.html
2. 页面：admin-guild-recommendation-detail.html
3. 规则：BR-7B3941D3B1AC33、BR-EDA05D2B90C086
4. 场景：SC-5CAFA6ACBEA38B
5. 未动态验证</x:v>
      </x:c>
    </x:row>
    <x:row r="360" ht="54" customHeight="1">
      <x:c r="A360" s="4" t="n">
        <x:v>359</x:v>
      </x:c>
      <x:c r="B360" s="4" t="str">
        <x:v>AOPS-0031</x:v>
      </x:c>
      <x:c r="C360" s="4" t="str">
        <x:v>运营配置</x:v>
      </x:c>
      <x:c r="D360" s="4" t="str">
        <x:v>公会推荐编辑（平台管理员视角）</x:v>
      </x:c>
      <x:c r="E360" s="4" t="str">
        <x:v>功能需求</x:v>
      </x:c>
      <x:c r="F360" s="4" t="str">
        <x:v>P2</x:v>
      </x:c>
      <x:c r="G360" s="4" t="str">
        <x:v>验证公会推荐编辑可查看推荐公会</x:v>
      </x:c>
      <x:c r="H360" s="4" t="str">
        <x:v>推荐公会展示</x:v>
      </x:c>
      <x:c r="I360" s="4" t="str">
        <x:v>1. 平台管理员账号已登录且具备当前页面权限</x:v>
      </x:c>
      <x:c r="J360" s="4" t="str">
        <x:v>1. 进入公会推荐编辑
2. 查看推荐公会</x:v>
      </x:c>
      <x:c r="K360" s="4" t="str">
        <x:v>公会推荐编辑显示“推荐公会”</x:v>
      </x:c>
      <x:c r="L360" s="4" t="str"/>
      <x:c r="M360" s="4" t="str">
        <x:v>未测</x:v>
      </x:c>
      <x:c r="N360" s="4" t="str"/>
      <x:c r="O360" s="4" t="str">
        <x:v>1. 来源（原型批注）：liveshow-proto/prototype/annotations/admin.js；admin-guild-recommendation-detail.html
2. 页面：admin-guild-recommendation-detail.html
3. 规则：BR-2F61055BA06E49、BR-8DB49118922EE2
4. 场景：SC-216570C1610378
5. 未动态验证</x:v>
      </x:c>
    </x:row>
    <x:row r="361" ht="54" customHeight="1">
      <x:c r="A361" s="4" t="n">
        <x:v>360</x:v>
      </x:c>
      <x:c r="B361" s="4" t="str">
        <x:v>AOPS-0032</x:v>
      </x:c>
      <x:c r="C361" s="4" t="str">
        <x:v>运营配置</x:v>
      </x:c>
      <x:c r="D361" s="4" t="str">
        <x:v>门票价格档位（平台管理员视角）</x:v>
      </x:c>
      <x:c r="E361" s="4" t="str">
        <x:v>功能需求</x:v>
      </x:c>
      <x:c r="F361" s="4" t="str">
        <x:v>P2</x:v>
      </x:c>
      <x:c r="G361" s="4" t="str">
        <x:v>验证门票价格档位可查看档位 ID</x:v>
      </x:c>
      <x:c r="H361" s="4" t="str">
        <x:v>档位 ID展示</x:v>
      </x:c>
      <x:c r="I361" s="4" t="str">
        <x:v>1. 平台管理员账号已登录且具备当前页面权限</x:v>
      </x:c>
      <x:c r="J361" s="4" t="str">
        <x:v>1. 进入门票价格档位
2. 查看档位 ID</x:v>
      </x:c>
      <x:c r="K361" s="4" t="str">
        <x:v>门票价格档位显示“档位 ID”</x:v>
      </x:c>
      <x:c r="L361" s="4" t="str"/>
      <x:c r="M361" s="4" t="str">
        <x:v>未测</x:v>
      </x:c>
      <x:c r="N361" s="4" t="str"/>
      <x:c r="O361" s="4" t="str">
        <x:v>1. 来源（原型批注）：liveshow-proto/prototype/annotations/admin.js；admin-ticket-price-level.html
2. 页面：admin-ticket-price-level.html
3. 规则：BR-DAFB761604EAB4
4. 场景：SC-07E25855240EB4
5. 未动态验证</x:v>
      </x:c>
    </x:row>
    <x:row r="362" ht="54" customHeight="1">
      <x:c r="A362" s="4" t="n">
        <x:v>361</x:v>
      </x:c>
      <x:c r="B362" s="4" t="str">
        <x:v>AOPS-0033</x:v>
      </x:c>
      <x:c r="C362" s="4" t="str">
        <x:v>运营配置</x:v>
      </x:c>
      <x:c r="D362" s="4" t="str">
        <x:v>门票价格档位（平台管理员视角）</x:v>
      </x:c>
      <x:c r="E362" s="4" t="str">
        <x:v>功能需求</x:v>
      </x:c>
      <x:c r="F362" s="4" t="str">
        <x:v>P2</x:v>
      </x:c>
      <x:c r="G362" s="4" t="str">
        <x:v>验证门票价格档位可查看门票价格</x:v>
      </x:c>
      <x:c r="H362" s="4" t="str">
        <x:v>门票价格展示</x:v>
      </x:c>
      <x:c r="I362" s="4" t="str">
        <x:v>1. 平台管理员账号已登录且具备当前页面权限</x:v>
      </x:c>
      <x:c r="J362" s="4" t="str">
        <x:v>1. 进入门票价格档位
2. 查看门票价格</x:v>
      </x:c>
      <x:c r="K362" s="4" t="str">
        <x:v>门票价格档位显示“门票价格”</x:v>
      </x:c>
      <x:c r="L362" s="4" t="str"/>
      <x:c r="M362" s="4" t="str">
        <x:v>未测</x:v>
      </x:c>
      <x:c r="N362" s="4" t="str"/>
      <x:c r="O362" s="4" t="str">
        <x:v>1. 来源（原型批注）：liveshow-proto/prototype/annotations/admin.js；admin-ticket-price-level.html
2. 页面：admin-ticket-price-level.html
3. 规则：BR-FFD5878D506130
4. 场景：SC-4F298FB1A1B34C
5. 未动态验证</x:v>
      </x:c>
    </x:row>
    <x:row r="363" ht="54" customHeight="1">
      <x:c r="A363" s="4" t="n">
        <x:v>362</x:v>
      </x:c>
      <x:c r="B363" s="4" t="str">
        <x:v>AOPS-0034</x:v>
      </x:c>
      <x:c r="C363" s="4" t="str">
        <x:v>运营配置</x:v>
      </x:c>
      <x:c r="D363" s="4" t="str">
        <x:v>门票价格档位（平台管理员视角）</x:v>
      </x:c>
      <x:c r="E363" s="4" t="str">
        <x:v>功能需求</x:v>
      </x:c>
      <x:c r="F363" s="4" t="str">
        <x:v>P2</x:v>
      </x:c>
      <x:c r="G363" s="4" t="str">
        <x:v>验证门票价格档位可查看排序</x:v>
      </x:c>
      <x:c r="H363" s="4" t="str">
        <x:v>排序展示</x:v>
      </x:c>
      <x:c r="I363" s="4" t="str">
        <x:v>1. 平台管理员账号已登录且具备当前页面权限</x:v>
      </x:c>
      <x:c r="J363" s="4" t="str">
        <x:v>1. 进入门票价格档位
2. 查看排序</x:v>
      </x:c>
      <x:c r="K363" s="4" t="str">
        <x:v>门票价格档位显示“排序”</x:v>
      </x:c>
      <x:c r="L363" s="4" t="str"/>
      <x:c r="M363" s="4" t="str">
        <x:v>未测</x:v>
      </x:c>
      <x:c r="N363" s="4" t="str"/>
      <x:c r="O363" s="4" t="str">
        <x:v>1. 来源（原型批注）：liveshow-proto/prototype/annotations/admin.js；admin-ticket-price-level.html
2. 页面：admin-ticket-price-level.html
3. 规则：BR-42BB9EE5F9F3A4
4. 场景：SC-2D5A586864B1EB
5. 未动态验证</x:v>
      </x:c>
    </x:row>
    <x:row r="364" ht="54" customHeight="1">
      <x:c r="A364" s="4" t="n">
        <x:v>363</x:v>
      </x:c>
      <x:c r="B364" s="4" t="str">
        <x:v>AOPS-0035</x:v>
      </x:c>
      <x:c r="C364" s="4" t="str">
        <x:v>运营配置</x:v>
      </x:c>
      <x:c r="D364" s="4" t="str">
        <x:v>门票价格档位（平台管理员视角）</x:v>
      </x:c>
      <x:c r="E364" s="4" t="str">
        <x:v>功能需求</x:v>
      </x:c>
      <x:c r="F364" s="4" t="str">
        <x:v>P2</x:v>
      </x:c>
      <x:c r="G364" s="4" t="str">
        <x:v>验证门票价格档位可查看状态</x:v>
      </x:c>
      <x:c r="H364" s="4" t="str">
        <x:v>状态展示</x:v>
      </x:c>
      <x:c r="I364" s="4" t="str">
        <x:v>1. 平台管理员账号已登录且具备当前页面权限</x:v>
      </x:c>
      <x:c r="J364" s="4" t="str">
        <x:v>1. 进入门票价格档位
2. 查看状态</x:v>
      </x:c>
      <x:c r="K364" s="4" t="str">
        <x:v>门票价格档位显示“状态”</x:v>
      </x:c>
      <x:c r="L364" s="4" t="str"/>
      <x:c r="M364" s="4" t="str">
        <x:v>未测</x:v>
      </x:c>
      <x:c r="N364" s="4" t="str"/>
      <x:c r="O364" s="4" t="str">
        <x:v>1. 来源（原型批注）：liveshow-proto/prototype/annotations/admin.js；admin-ticket-price-level.html
2. 页面：admin-ticket-price-level.html
3. 规则：BR-9C13A4281111E6
4. 场景：SC-54CA8AC6B6D2FC
5. 未动态验证</x:v>
      </x:c>
    </x:row>
    <x:row r="365" ht="54" customHeight="1">
      <x:c r="A365" s="4" t="n">
        <x:v>364</x:v>
      </x:c>
      <x:c r="B365" s="4" t="str">
        <x:v>AOPS-0036</x:v>
      </x:c>
      <x:c r="C365" s="4" t="str">
        <x:v>运营配置</x:v>
      </x:c>
      <x:c r="D365" s="4" t="str">
        <x:v>门票价格档位（平台管理员视角）</x:v>
      </x:c>
      <x:c r="E365" s="4" t="str">
        <x:v>异常用例</x:v>
      </x:c>
      <x:c r="F365" s="4" t="str">
        <x:v>P2</x:v>
      </x:c>
      <x:c r="G365" s="4" t="str">
        <x:v>验证停用后的门票价格档位状态</x:v>
      </x:c>
      <x:c r="H365" s="4" t="str">
        <x:v>门票价格档位状态</x:v>
      </x:c>
      <x:c r="I365" s="4" t="str">
        <x:v>1. 平台管理员账号已登录且具备当前页面权限
2. 停用</x:v>
      </x:c>
      <x:c r="J365" s="4" t="str">
        <x:v>1. 进入门票价格档位
2. 刷新门票价格档位</x:v>
      </x:c>
      <x:c r="K365" s="4" t="str">
        <x:v>不可用于新场次</x:v>
      </x:c>
      <x:c r="L365" s="4" t="str"/>
      <x:c r="M365" s="4" t="str">
        <x:v>未测</x:v>
      </x:c>
      <x:c r="N365" s="4" t="str"/>
      <x:c r="O365" s="4" t="str">
        <x:v>1. 来源（原型批注）：liveshow-proto/prototype/annotations/admin.js；admin-ticket-price-level.html
2. 页面：admin-ticket-price-level.html
3. 规则：BR-DF6B19A2DFBD85
4. 场景：SC-096AF366AC9445
5. 未动态验证</x:v>
      </x:c>
    </x:row>
    <x:row r="366" ht="54" customHeight="1">
      <x:c r="A366" s="4" t="n">
        <x:v>365</x:v>
      </x:c>
      <x:c r="B366" s="4" t="str">
        <x:v>AOPS-0037</x:v>
      </x:c>
      <x:c r="C366" s="4" t="str">
        <x:v>运营配置</x:v>
      </x:c>
      <x:c r="D366" s="4" t="str">
        <x:v>门票价格档位编辑（平台管理员视角）</x:v>
      </x:c>
      <x:c r="E366" s="4" t="str">
        <x:v>业务流程</x:v>
      </x:c>
      <x:c r="F366" s="4" t="str">
        <x:v>P2</x:v>
      </x:c>
      <x:c r="G366" s="4" t="str">
        <x:v>验证保存后的门票价格档位编辑状态</x:v>
      </x:c>
      <x:c r="H366" s="4" t="str">
        <x:v>门票价格档位编辑状态</x:v>
      </x:c>
      <x:c r="I366" s="4" t="str">
        <x:v>1. 平台管理员账号已登录且具备当前页面权限</x:v>
      </x:c>
      <x:c r="J366" s="4" t="str">
        <x:v>1. 进入门票价格档位编辑
2. 保存</x:v>
      </x:c>
      <x:c r="K366" s="4" t="str">
        <x:v>校验价格唯一、排序和至少一个启用档位</x:v>
      </x:c>
      <x:c r="L366" s="4" t="str"/>
      <x:c r="M366" s="4" t="str">
        <x:v>未测</x:v>
      </x:c>
      <x:c r="N366" s="4" t="str"/>
      <x:c r="O366" s="4" t="str">
        <x:v>1. 来源（原型批注）：liveshow-proto/prototype/annotations/admin.js；admin-ticket-price-level-detail.html
2. 页面：admin-ticket-price-level-detail.html
3. 规则：BR-662BF7CDE37814
4. 场景：SC-4F0B67C7DFF625
5. 未动态验证</x:v>
      </x:c>
    </x:row>
    <x:row r="367" ht="54" customHeight="1">
      <x:c r="A367" s="4" t="n">
        <x:v>366</x:v>
      </x:c>
      <x:c r="B367" s="4" t="str">
        <x:v>AOPS-0038</x:v>
      </x:c>
      <x:c r="C367" s="4" t="str">
        <x:v>运营配置</x:v>
      </x:c>
      <x:c r="D367" s="4" t="str">
        <x:v>门票价格档位编辑（平台管理员视角）</x:v>
      </x:c>
      <x:c r="E367" s="4" t="str">
        <x:v>功能需求</x:v>
      </x:c>
      <x:c r="F367" s="4" t="str">
        <x:v>P2</x:v>
      </x:c>
      <x:c r="G367" s="4" t="str">
        <x:v>验证门票价格档位编辑可查看档位 ID</x:v>
      </x:c>
      <x:c r="H367" s="4" t="str">
        <x:v>档位 ID展示</x:v>
      </x:c>
      <x:c r="I367" s="4" t="str">
        <x:v>1. 平台管理员账号已登录且具备当前页面权限</x:v>
      </x:c>
      <x:c r="J367" s="4" t="str">
        <x:v>1. 进入门票价格档位编辑
2. 查看档位 ID</x:v>
      </x:c>
      <x:c r="K367" s="4" t="str">
        <x:v>门票价格档位编辑显示“档位 ID”</x:v>
      </x:c>
      <x:c r="L367" s="4" t="str"/>
      <x:c r="M367" s="4" t="str">
        <x:v>未测</x:v>
      </x:c>
      <x:c r="N367" s="4" t="str"/>
      <x:c r="O367" s="4" t="str">
        <x:v>1. 来源（原型批注）：liveshow-proto/prototype/annotations/admin.js；admin-ticket-price-level-detail.html
2. 页面：admin-ticket-price-level-detail.html
3. 规则：BR-1A1EB0EF421441
4. 场景：SC-5AE01F3C723ACA
5. 未动态验证</x:v>
      </x:c>
    </x:row>
    <x:row r="368" ht="54" customHeight="1">
      <x:c r="A368" s="4" t="n">
        <x:v>367</x:v>
      </x:c>
      <x:c r="B368" s="4" t="str">
        <x:v>AOPS-0039</x:v>
      </x:c>
      <x:c r="C368" s="4" t="str">
        <x:v>运营配置</x:v>
      </x:c>
      <x:c r="D368" s="4" t="str">
        <x:v>门票价格档位编辑（平台管理员视角）</x:v>
      </x:c>
      <x:c r="E368" s="4" t="str">
        <x:v>功能需求</x:v>
      </x:c>
      <x:c r="F368" s="4" t="str">
        <x:v>P2</x:v>
      </x:c>
      <x:c r="G368" s="4" t="str">
        <x:v>验证门票价格档位编辑可查看门票价格</x:v>
      </x:c>
      <x:c r="H368" s="4" t="str">
        <x:v>门票价格展示</x:v>
      </x:c>
      <x:c r="I368" s="4" t="str">
        <x:v>1. 平台管理员账号已登录且具备当前页面权限</x:v>
      </x:c>
      <x:c r="J368" s="4" t="str">
        <x:v>1. 进入门票价格档位编辑
2. 查看门票价格</x:v>
      </x:c>
      <x:c r="K368" s="4" t="str">
        <x:v>门票价格档位编辑显示“门票价格”</x:v>
      </x:c>
      <x:c r="L368" s="4" t="str"/>
      <x:c r="M368" s="4" t="str">
        <x:v>未测</x:v>
      </x:c>
      <x:c r="N368" s="4" t="str"/>
      <x:c r="O368" s="4" t="str">
        <x:v>1. 来源（原型批注）：liveshow-proto/prototype/annotations/admin.js；admin-ticket-price-level-detail.html
2. 页面：admin-ticket-price-level-detail.html
3. 规则：BR-8A728CB7D8674B
4. 场景：SC-0306D2EF15DF5C
5. 未动态验证</x:v>
      </x:c>
    </x:row>
    <x:row r="369" ht="54" customHeight="1">
      <x:c r="A369" s="4" t="n">
        <x:v>368</x:v>
      </x:c>
      <x:c r="B369" s="4" t="str">
        <x:v>AOPS-0040</x:v>
      </x:c>
      <x:c r="C369" s="4" t="str">
        <x:v>运营配置</x:v>
      </x:c>
      <x:c r="D369" s="4" t="str">
        <x:v>门票价格档位编辑（平台管理员视角）</x:v>
      </x:c>
      <x:c r="E369" s="4" t="str">
        <x:v>功能需求</x:v>
      </x:c>
      <x:c r="F369" s="4" t="str">
        <x:v>P2</x:v>
      </x:c>
      <x:c r="G369" s="4" t="str">
        <x:v>验证门票价格档位编辑可查看排序</x:v>
      </x:c>
      <x:c r="H369" s="4" t="str">
        <x:v>排序展示</x:v>
      </x:c>
      <x:c r="I369" s="4" t="str">
        <x:v>1. 平台管理员账号已登录且具备当前页面权限</x:v>
      </x:c>
      <x:c r="J369" s="4" t="str">
        <x:v>1. 进入门票价格档位编辑
2. 查看排序</x:v>
      </x:c>
      <x:c r="K369" s="4" t="str">
        <x:v>门票价格档位编辑显示“排序”</x:v>
      </x:c>
      <x:c r="L369" s="4" t="str"/>
      <x:c r="M369" s="4" t="str">
        <x:v>未测</x:v>
      </x:c>
      <x:c r="N369" s="4" t="str"/>
      <x:c r="O369" s="4" t="str">
        <x:v>1. 来源（原型批注）：liveshow-proto/prototype/annotations/admin.js；admin-ticket-price-level-detail.html
2. 页面：admin-ticket-price-level-detail.html
3. 规则：BR-FFC54D1CE2BBEB
4. 场景：SC-5F22F802BCFC03
5. 未动态验证</x:v>
      </x:c>
    </x:row>
    <x:row r="370" ht="54" customHeight="1">
      <x:c r="A370" s="4" t="n">
        <x:v>369</x:v>
      </x:c>
      <x:c r="B370" s="4" t="str">
        <x:v>AOPS-0041</x:v>
      </x:c>
      <x:c r="C370" s="4" t="str">
        <x:v>运营配置</x:v>
      </x:c>
      <x:c r="D370" s="4" t="str">
        <x:v>门票价格档位编辑（平台管理员视角）</x:v>
      </x:c>
      <x:c r="E370" s="4" t="str">
        <x:v>功能需求</x:v>
      </x:c>
      <x:c r="F370" s="4" t="str">
        <x:v>P2</x:v>
      </x:c>
      <x:c r="G370" s="4" t="str">
        <x:v>验证门票价格档位编辑可查看启用状态</x:v>
      </x:c>
      <x:c r="H370" s="4" t="str">
        <x:v>启用状态展示</x:v>
      </x:c>
      <x:c r="I370" s="4" t="str">
        <x:v>1. 平台管理员账号已登录且具备当前页面权限</x:v>
      </x:c>
      <x:c r="J370" s="4" t="str">
        <x:v>1. 进入门票价格档位编辑
2. 查看启用状态</x:v>
      </x:c>
      <x:c r="K370" s="4" t="str">
        <x:v>门票价格档位编辑显示“启用状态”</x:v>
      </x:c>
      <x:c r="L370" s="4" t="str"/>
      <x:c r="M370" s="4" t="str">
        <x:v>未测</x:v>
      </x:c>
      <x:c r="N370" s="4" t="str"/>
      <x:c r="O370" s="4" t="str">
        <x:v>1. 来源（原型批注）：liveshow-proto/prototype/annotations/admin.js；admin-ticket-price-level-detail.html
2. 页面：admin-ticket-price-level-detail.html
3. 规则：BR-A5EAD9071A6003
4. 场景：SC-04C6838AFF02F3
5. 未动态验证</x:v>
      </x:c>
    </x:row>
    <x:row r="371" ht="54" customHeight="1">
      <x:c r="A371" s="4" t="n">
        <x:v>370</x:v>
      </x:c>
      <x:c r="B371" s="4" t="str">
        <x:v>AOPS-0042</x:v>
      </x:c>
      <x:c r="C371" s="4" t="str">
        <x:v>运营配置</x:v>
      </x:c>
      <x:c r="D371" s="4" t="str">
        <x:v>敏感词编辑（平台管理员视角）</x:v>
      </x:c>
      <x:c r="E371" s="4" t="str">
        <x:v>业务流程</x:v>
      </x:c>
      <x:c r="F371" s="4" t="str">
        <x:v>P2</x:v>
      </x:c>
      <x:c r="G371" s="4" t="str">
        <x:v>验证保存后的敏感词编辑状态</x:v>
      </x:c>
      <x:c r="H371" s="4" t="str">
        <x:v>敏感词编辑状态</x:v>
      </x:c>
      <x:c r="I371" s="4" t="str">
        <x:v>1. 平台管理员账号已登录且具备当前页面权限</x:v>
      </x:c>
      <x:c r="J371" s="4" t="str">
        <x:v>1. 进入敏感词编辑
2. 保存</x:v>
      </x:c>
      <x:c r="K371" s="4" t="str">
        <x:v>更新规则</x:v>
      </x:c>
      <x:c r="L371" s="4" t="str"/>
      <x:c r="M371" s="4" t="str">
        <x:v>未测</x:v>
      </x:c>
      <x:c r="N371" s="4" t="str"/>
      <x:c r="O371" s="4" t="str">
        <x:v>1. 来源（原型批注）：liveshow-proto/prototype/annotations/admin.js；admin-sensitive-words-detail.html
2. 页面：admin-sensitive-words-detail.html
3. 规则：BR-A3A81DF22FA17E
4. 场景：SC-C99F64E915CE94
5. 未动态验证</x:v>
      </x:c>
    </x:row>
    <x:row r="372" ht="54" customHeight="1">
      <x:c r="A372" s="4" t="n">
        <x:v>371</x:v>
      </x:c>
      <x:c r="B372" s="4" t="str">
        <x:v>AOPS-0043</x:v>
      </x:c>
      <x:c r="C372" s="4" t="str">
        <x:v>运营配置</x:v>
      </x:c>
      <x:c r="D372" s="4" t="str">
        <x:v>敏感词编辑（平台管理员视角）</x:v>
      </x:c>
      <x:c r="E372" s="4" t="str">
        <x:v>功能需求</x:v>
      </x:c>
      <x:c r="F372" s="4" t="str">
        <x:v>P2</x:v>
      </x:c>
      <x:c r="G372" s="4" t="str">
        <x:v>验证敏感词编辑可查看词条 ID</x:v>
      </x:c>
      <x:c r="H372" s="4" t="str">
        <x:v>词条 ID展示</x:v>
      </x:c>
      <x:c r="I372" s="4" t="str">
        <x:v>1. 平台管理员账号已登录且具备当前页面权限</x:v>
      </x:c>
      <x:c r="J372" s="4" t="str">
        <x:v>1. 进入敏感词编辑
2. 查看词条 ID</x:v>
      </x:c>
      <x:c r="K372" s="4" t="str">
        <x:v>敏感词编辑显示“词条 ID”</x:v>
      </x:c>
      <x:c r="L372" s="4" t="str"/>
      <x:c r="M372" s="4" t="str">
        <x:v>未测</x:v>
      </x:c>
      <x:c r="N372" s="4" t="str"/>
      <x:c r="O372" s="4" t="str">
        <x:v>1. 来源（原型批注）：liveshow-proto/prototype/annotations/admin.js；admin-sensitive-words-detail.html
2. 页面：admin-sensitive-words-detail.html
3. 规则：BR-FFC8844BF64E13
4. 场景：SC-44703622502D17
5. 未动态验证</x:v>
      </x:c>
    </x:row>
    <x:row r="373" ht="54" customHeight="1">
      <x:c r="A373" s="4" t="n">
        <x:v>372</x:v>
      </x:c>
      <x:c r="B373" s="4" t="str">
        <x:v>AOPS-0044</x:v>
      </x:c>
      <x:c r="C373" s="4" t="str">
        <x:v>运营配置</x:v>
      </x:c>
      <x:c r="D373" s="4" t="str">
        <x:v>敏感词编辑（平台管理员视角）</x:v>
      </x:c>
      <x:c r="E373" s="4" t="str">
        <x:v>功能需求</x:v>
      </x:c>
      <x:c r="F373" s="4" t="str">
        <x:v>P2</x:v>
      </x:c>
      <x:c r="G373" s="4" t="str">
        <x:v>验证敏感词编辑可查看敏感词 / 分类</x:v>
      </x:c>
      <x:c r="H373" s="4" t="str">
        <x:v>敏感词 / 分类展示</x:v>
      </x:c>
      <x:c r="I373" s="4" t="str">
        <x:v>1. 平台管理员账号已登录且具备当前页面权限</x:v>
      </x:c>
      <x:c r="J373" s="4" t="str">
        <x:v>1. 进入敏感词编辑
2. 查看敏感词 / 分类</x:v>
      </x:c>
      <x:c r="K373" s="4" t="str">
        <x:v>敏感词编辑显示“敏感词 / 分类”</x:v>
      </x:c>
      <x:c r="L373" s="4" t="str"/>
      <x:c r="M373" s="4" t="str">
        <x:v>未测</x:v>
      </x:c>
      <x:c r="N373" s="4" t="str"/>
      <x:c r="O373" s="4" t="str">
        <x:v>1. 来源（原型批注）：liveshow-proto/prototype/annotations/admin.js；admin-sensitive-words-detail.html
2. 页面：admin-sensitive-words-detail.html
3. 规则：BR-7228E543AA244B、BR-88692A119AB807
4. 场景：SC-80F62EF4A32E1F
5. 未动态验证</x:v>
      </x:c>
    </x:row>
    <x:row r="374" ht="54" customHeight="1">
      <x:c r="A374" s="4" t="n">
        <x:v>373</x:v>
      </x:c>
      <x:c r="B374" s="4" t="str">
        <x:v>AOPS-0045</x:v>
      </x:c>
      <x:c r="C374" s="4" t="str">
        <x:v>运营配置</x:v>
      </x:c>
      <x:c r="D374" s="4" t="str">
        <x:v>敏感词编辑（平台管理员视角）</x:v>
      </x:c>
      <x:c r="E374" s="4" t="str">
        <x:v>功能需求</x:v>
      </x:c>
      <x:c r="F374" s="4" t="str">
        <x:v>P2</x:v>
      </x:c>
      <x:c r="G374" s="4" t="str">
        <x:v>验证敏感词编辑可查看匹配规则</x:v>
      </x:c>
      <x:c r="H374" s="4" t="str">
        <x:v>匹配规则展示</x:v>
      </x:c>
      <x:c r="I374" s="4" t="str">
        <x:v>1. 平台管理员账号已登录且具备当前页面权限</x:v>
      </x:c>
      <x:c r="J374" s="4" t="str">
        <x:v>1. 进入敏感词编辑
2. 查看匹配规则</x:v>
      </x:c>
      <x:c r="K374" s="4" t="str">
        <x:v>敏感词编辑显示“匹配规则”</x:v>
      </x:c>
      <x:c r="L374" s="4" t="str"/>
      <x:c r="M374" s="4" t="str">
        <x:v>未测</x:v>
      </x:c>
      <x:c r="N374" s="4" t="str"/>
      <x:c r="O374" s="4" t="str">
        <x:v>1. 来源（原型批注）：liveshow-proto/prototype/annotations/admin.js；admin-sensitive-words-detail.html
2. 页面：admin-sensitive-words-detail.html
3. 规则：BR-9E922CDC3D50F1
4. 场景：SC-2272DBDD971BE4
5. 未动态验证</x:v>
      </x:c>
    </x:row>
    <x:row r="375" ht="54" customHeight="1">
      <x:c r="A375" s="4" t="n">
        <x:v>374</x:v>
      </x:c>
      <x:c r="B375" s="4" t="str">
        <x:v>AOPS-0046</x:v>
      </x:c>
      <x:c r="C375" s="4" t="str">
        <x:v>运营配置</x:v>
      </x:c>
      <x:c r="D375" s="4" t="str">
        <x:v>敏感词编辑（平台管理员视角）</x:v>
      </x:c>
      <x:c r="E375" s="4" t="str">
        <x:v>功能需求</x:v>
      </x:c>
      <x:c r="F375" s="4" t="str">
        <x:v>P2</x:v>
      </x:c>
      <x:c r="G375" s="4" t="str">
        <x:v>验证敏感词编辑可查看启用状态</x:v>
      </x:c>
      <x:c r="H375" s="4" t="str">
        <x:v>启用状态展示</x:v>
      </x:c>
      <x:c r="I375" s="4" t="str">
        <x:v>1. 平台管理员账号已登录且具备当前页面权限</x:v>
      </x:c>
      <x:c r="J375" s="4" t="str">
        <x:v>1. 进入敏感词编辑
2. 查看启用状态</x:v>
      </x:c>
      <x:c r="K375" s="4" t="str">
        <x:v>敏感词编辑显示“启用状态”</x:v>
      </x:c>
      <x:c r="L375" s="4" t="str"/>
      <x:c r="M375" s="4" t="str">
        <x:v>未测</x:v>
      </x:c>
      <x:c r="N375" s="4" t="str"/>
      <x:c r="O375" s="4" t="str">
        <x:v>1. 来源（原型批注）：liveshow-proto/prototype/annotations/admin.js；admin-sensitive-words-detail.html
2. 页面：admin-sensitive-words-detail.html
3. 规则：BR-9154798FE97321
4. 场景：SC-C2D60DBA5DA76F
5. 未动态验证</x:v>
      </x:c>
    </x:row>
    <x:row r="376" ht="54" customHeight="1">
      <x:c r="A376" s="4" t="n">
        <x:v>375</x:v>
      </x:c>
      <x:c r="B376" s="4" t="str">
        <x:v>AOPS-0047</x:v>
      </x:c>
      <x:c r="C376" s="4" t="str">
        <x:v>运营配置</x:v>
      </x:c>
      <x:c r="D376" s="4" t="str">
        <x:v>敏感词编辑（平台管理员视角）</x:v>
      </x:c>
      <x:c r="E376" s="4" t="str">
        <x:v>功能需求</x:v>
      </x:c>
      <x:c r="F376" s="4" t="str">
        <x:v>P2</x:v>
      </x:c>
      <x:c r="G376" s="4" t="str">
        <x:v>验证敏感词编辑可查看使用场景</x:v>
      </x:c>
      <x:c r="H376" s="4" t="str">
        <x:v>使用场景展示</x:v>
      </x:c>
      <x:c r="I376" s="4" t="str">
        <x:v>1. 平台管理员账号已登录且具备当前页面权限</x:v>
      </x:c>
      <x:c r="J376" s="4" t="str">
        <x:v>1. 进入敏感词编辑
2. 查看使用场景</x:v>
      </x:c>
      <x:c r="K376" s="4" t="str">
        <x:v>敏感词编辑显示“使用场景”</x:v>
      </x:c>
      <x:c r="L376" s="4" t="str"/>
      <x:c r="M376" s="4" t="str">
        <x:v>未测</x:v>
      </x:c>
      <x:c r="N376" s="4" t="str"/>
      <x:c r="O376" s="4" t="str">
        <x:v>1. 来源（原型批注）：liveshow-proto/prototype/annotations/admin.js；admin-sensitive-words-detail.html
2. 页面：admin-sensitive-words-detail.html
3. 规则：BR-24442E96BA3B1D
4. 场景：SC-A8F42ADE6F3C86
5. 未动态验证</x:v>
      </x:c>
    </x:row>
    <x:row r="377" ht="54" customHeight="1">
      <x:c r="A377" s="4" t="n">
        <x:v>376</x:v>
      </x:c>
      <x:c r="B377" s="4" t="str">
        <x:v>AOPS-0048</x:v>
      </x:c>
      <x:c r="C377" s="4" t="str">
        <x:v>运营配置</x:v>
      </x:c>
      <x:c r="D377" s="4" t="str">
        <x:v>敏感词编辑（平台管理员视角）</x:v>
      </x:c>
      <x:c r="E377" s="4" t="str">
        <x:v>功能需求</x:v>
      </x:c>
      <x:c r="F377" s="4" t="str">
        <x:v>P2</x:v>
      </x:c>
      <x:c r="G377" s="4" t="str">
        <x:v>验证敏感词编辑可查看替换内容</x:v>
      </x:c>
      <x:c r="H377" s="4" t="str">
        <x:v>替换内容展示</x:v>
      </x:c>
      <x:c r="I377" s="4" t="str">
        <x:v>1. 平台管理员账号已登录且具备当前页面权限</x:v>
      </x:c>
      <x:c r="J377" s="4" t="str">
        <x:v>1. 进入敏感词编辑
2. 查看替换内容</x:v>
      </x:c>
      <x:c r="K377" s="4" t="str">
        <x:v>敏感词编辑显示“替换内容”</x:v>
      </x:c>
      <x:c r="L377" s="4" t="str"/>
      <x:c r="M377" s="4" t="str">
        <x:v>未测</x:v>
      </x:c>
      <x:c r="N377" s="4" t="str"/>
      <x:c r="O377" s="4" t="str">
        <x:v>1. 来源（原型批注）：liveshow-proto/prototype/annotations/admin.js；admin-sensitive-words-detail.html
2. 页面：admin-sensitive-words-detail.html
3. 规则：BR-121DC1F408877E
4. 场景：SC-F5771C19551FB8
5. 未动态验证</x:v>
      </x:c>
    </x:row>
    <x:row r="378" ht="54" customHeight="1">
      <x:c r="A378" s="4" t="n">
        <x:v>377</x:v>
      </x:c>
      <x:c r="B378" s="4" t="str">
        <x:v>AOPS-0049</x:v>
      </x:c>
      <x:c r="C378" s="4" t="str">
        <x:v>运营配置</x:v>
      </x:c>
      <x:c r="D378" s="4" t="str">
        <x:v>敏感词库（平台管理员视角）</x:v>
      </x:c>
      <x:c r="E378" s="4" t="str">
        <x:v>功能需求</x:v>
      </x:c>
      <x:c r="F378" s="4" t="str">
        <x:v>P2</x:v>
      </x:c>
      <x:c r="G378" s="4" t="str">
        <x:v>验证敏感词库可查看敏感词 / 分类</x:v>
      </x:c>
      <x:c r="H378" s="4" t="str">
        <x:v>敏感词 / 分类展示</x:v>
      </x:c>
      <x:c r="I378" s="4" t="str">
        <x:v>1. 平台管理员账号已登录且具备当前页面权限</x:v>
      </x:c>
      <x:c r="J378" s="4" t="str">
        <x:v>1. 进入敏感词库
2. 查看敏感词 / 分类</x:v>
      </x:c>
      <x:c r="K378" s="4" t="str">
        <x:v>敏感词库显示“敏感词 / 分类”</x:v>
      </x:c>
      <x:c r="L378" s="4" t="str"/>
      <x:c r="M378" s="4" t="str">
        <x:v>未测</x:v>
      </x:c>
      <x:c r="N378" s="4" t="str"/>
      <x:c r="O378" s="4" t="str">
        <x:v>1. 来源（原型批注）：liveshow-proto/prototype/annotations/admin.js；admin-sensitive-words.html
2. 页面：admin-sensitive-words.html
3. 规则：BR-BE9B09D9938D86
4. 场景：SC-C2DF755F676D79
5. 未动态验证</x:v>
      </x:c>
    </x:row>
    <x:row r="379" ht="54" customHeight="1">
      <x:c r="A379" s="4" t="n">
        <x:v>378</x:v>
      </x:c>
      <x:c r="B379" s="4" t="str">
        <x:v>AOPS-0050</x:v>
      </x:c>
      <x:c r="C379" s="4" t="str">
        <x:v>运营配置</x:v>
      </x:c>
      <x:c r="D379" s="4" t="str">
        <x:v>敏感词库（平台管理员视角）</x:v>
      </x:c>
      <x:c r="E379" s="4" t="str">
        <x:v>功能需求</x:v>
      </x:c>
      <x:c r="F379" s="4" t="str">
        <x:v>P2</x:v>
      </x:c>
      <x:c r="G379" s="4" t="str">
        <x:v>验证敏感词库可查看匹配规则</x:v>
      </x:c>
      <x:c r="H379" s="4" t="str">
        <x:v>匹配规则展示</x:v>
      </x:c>
      <x:c r="I379" s="4" t="str">
        <x:v>1. 平台管理员账号已登录且具备当前页面权限</x:v>
      </x:c>
      <x:c r="J379" s="4" t="str">
        <x:v>1. 进入敏感词库
2. 查看匹配规则</x:v>
      </x:c>
      <x:c r="K379" s="4" t="str">
        <x:v>敏感词库显示“匹配规则”</x:v>
      </x:c>
      <x:c r="L379" s="4" t="str"/>
      <x:c r="M379" s="4" t="str">
        <x:v>未测</x:v>
      </x:c>
      <x:c r="N379" s="4" t="str"/>
      <x:c r="O379" s="4" t="str">
        <x:v>1. 来源（原型批注）：liveshow-proto/prototype/annotations/admin.js；admin-sensitive-words.html
2. 页面：admin-sensitive-words.html
3. 规则：BR-FD8E7E239724B7
4. 场景：SC-963E97C6D81E30
5. 未动态验证</x:v>
      </x:c>
    </x:row>
    <x:row r="380" ht="54" customHeight="1">
      <x:c r="A380" s="4" t="n">
        <x:v>379</x:v>
      </x:c>
      <x:c r="B380" s="4" t="str">
        <x:v>AOPS-0051</x:v>
      </x:c>
      <x:c r="C380" s="4" t="str">
        <x:v>运营配置</x:v>
      </x:c>
      <x:c r="D380" s="4" t="str">
        <x:v>敏感词库（平台管理员视角）</x:v>
      </x:c>
      <x:c r="E380" s="4" t="str">
        <x:v>功能需求</x:v>
      </x:c>
      <x:c r="F380" s="4" t="str">
        <x:v>P2</x:v>
      </x:c>
      <x:c r="G380" s="4" t="str">
        <x:v>验证敏感词库可查看使用场景</x:v>
      </x:c>
      <x:c r="H380" s="4" t="str">
        <x:v>使用场景展示</x:v>
      </x:c>
      <x:c r="I380" s="4" t="str">
        <x:v>1. 平台管理员账号已登录且具备当前页面权限</x:v>
      </x:c>
      <x:c r="J380" s="4" t="str">
        <x:v>1. 进入敏感词库
2. 查看使用场景</x:v>
      </x:c>
      <x:c r="K380" s="4" t="str">
        <x:v>敏感词库显示“使用场景”</x:v>
      </x:c>
      <x:c r="L380" s="4" t="str"/>
      <x:c r="M380" s="4" t="str">
        <x:v>未测</x:v>
      </x:c>
      <x:c r="N380" s="4" t="str"/>
      <x:c r="O380" s="4" t="str">
        <x:v>1. 来源（原型批注）：liveshow-proto/prototype/annotations/admin.js；admin-sensitive-words.html
2. 页面：admin-sensitive-words.html
3. 规则：BR-BC61CF1895D3E1
4. 场景：SC-6D8C5A58E1F7E8
5. 未动态验证</x:v>
      </x:c>
    </x:row>
    <x:row r="381" ht="54" customHeight="1">
      <x:c r="A381" s="4" t="n">
        <x:v>380</x:v>
      </x:c>
      <x:c r="B381" s="4" t="str">
        <x:v>AOPS-0052</x:v>
      </x:c>
      <x:c r="C381" s="4" t="str">
        <x:v>运营配置</x:v>
      </x:c>
      <x:c r="D381" s="4" t="str">
        <x:v>敏感词库（平台管理员视角）</x:v>
      </x:c>
      <x:c r="E381" s="4" t="str">
        <x:v>功能需求</x:v>
      </x:c>
      <x:c r="F381" s="4" t="str">
        <x:v>P2</x:v>
      </x:c>
      <x:c r="G381" s="4" t="str">
        <x:v>验证敏感词库可查看替换内容</x:v>
      </x:c>
      <x:c r="H381" s="4" t="str">
        <x:v>替换内容展示</x:v>
      </x:c>
      <x:c r="I381" s="4" t="str">
        <x:v>1. 平台管理员账号已登录且具备当前页面权限</x:v>
      </x:c>
      <x:c r="J381" s="4" t="str">
        <x:v>1. 进入敏感词库
2. 查看替换内容</x:v>
      </x:c>
      <x:c r="K381" s="4" t="str">
        <x:v>敏感词库显示“替换内容”</x:v>
      </x:c>
      <x:c r="L381" s="4" t="str"/>
      <x:c r="M381" s="4" t="str">
        <x:v>未测</x:v>
      </x:c>
      <x:c r="N381" s="4" t="str"/>
      <x:c r="O381" s="4" t="str">
        <x:v>1. 来源（原型批注）：liveshow-proto/prototype/annotations/admin.js；admin-sensitive-words.html
2. 页面：admin-sensitive-words.html
3. 规则：BR-F6E6FAA3718DBC
4. 场景：SC-3F91F9E60E0C73
5. 未动态验证</x:v>
      </x:c>
    </x:row>
    <x:row r="382" ht="54" customHeight="1">
      <x:c r="A382" s="4" t="n">
        <x:v>381</x:v>
      </x:c>
      <x:c r="B382" s="4" t="str">
        <x:v>AOPS-0053</x:v>
      </x:c>
      <x:c r="C382" s="4" t="str">
        <x:v>运营配置</x:v>
      </x:c>
      <x:c r="D382" s="4" t="str">
        <x:v>敏感词库（平台管理员视角）</x:v>
      </x:c>
      <x:c r="E382" s="4" t="str">
        <x:v>功能需求</x:v>
      </x:c>
      <x:c r="F382" s="4" t="str">
        <x:v>P2</x:v>
      </x:c>
      <x:c r="G382" s="4" t="str">
        <x:v>验证敏感词库可查看状态</x:v>
      </x:c>
      <x:c r="H382" s="4" t="str">
        <x:v>状态展示</x:v>
      </x:c>
      <x:c r="I382" s="4" t="str">
        <x:v>1. 平台管理员账号已登录且具备当前页面权限</x:v>
      </x:c>
      <x:c r="J382" s="4" t="str">
        <x:v>1. 进入敏感词库
2. 查看状态</x:v>
      </x:c>
      <x:c r="K382" s="4" t="str">
        <x:v>敏感词库显示“状态”</x:v>
      </x:c>
      <x:c r="L382" s="4" t="str"/>
      <x:c r="M382" s="4" t="str">
        <x:v>未测</x:v>
      </x:c>
      <x:c r="N382" s="4" t="str"/>
      <x:c r="O382" s="4" t="str">
        <x:v>1. 来源（原型批注）：liveshow-proto/prototype/annotations/admin.js；admin-sensitive-words.html
2. 页面：admin-sensitive-words.html
3. 规则：BR-BD36D1CAE46109、BR-B4B4489C4D190E
4. 场景：SC-E3AA8995F44F00
5. 未动态验证</x:v>
      </x:c>
    </x:row>
    <x:row r="383" ht="54" customHeight="1">
      <x:c r="A383" s="4" t="n">
        <x:v>382</x:v>
      </x:c>
      <x:c r="B383" s="4" t="str">
        <x:v>AOPS-0054</x:v>
      </x:c>
      <x:c r="C383" s="4" t="str">
        <x:v>运营配置</x:v>
      </x:c>
      <x:c r="D383" s="4" t="str">
        <x:v>敏感词库（平台管理员视角）</x:v>
      </x:c>
      <x:c r="E383" s="4" t="str">
        <x:v>业务流程</x:v>
      </x:c>
      <x:c r="F383" s="4" t="str">
        <x:v>P2</x:v>
      </x:c>
      <x:c r="G383" s="4" t="str">
        <x:v>验证命中后的敏感词库状态</x:v>
      </x:c>
      <x:c r="H383" s="4" t="str">
        <x:v>敏感词库状态</x:v>
      </x:c>
      <x:c r="I383" s="4" t="str">
        <x:v>1. 平台管理员账号已登录且具备当前页面权限
2. 命中</x:v>
      </x:c>
      <x:c r="J383" s="4" t="str">
        <x:v>1. 进入敏感词库
2. 刷新敏感词库</x:v>
      </x:c>
      <x:c r="K383" s="4" t="str">
        <x:v>用于替换展示</x:v>
      </x:c>
      <x:c r="L383" s="4" t="str"/>
      <x:c r="M383" s="4" t="str">
        <x:v>未测</x:v>
      </x:c>
      <x:c r="N383" s="4" t="str"/>
      <x:c r="O383" s="4" t="str">
        <x:v>1. 来源（原型批注）：liveshow-proto/prototype/annotations/admin.js；admin-sensitive-words.html
2. 页面：admin-sensitive-words.html
3. 规则：BR-F6E6FAA3718DBC
4. 场景：SC-0658CB01AFB972
5. 未动态验证</x:v>
      </x:c>
    </x:row>
    <x:row r="384" ht="54" customHeight="1">
      <x:c r="A384" s="4" t="n">
        <x:v>383</x:v>
      </x:c>
      <x:c r="B384" s="4" t="str">
        <x:v>AOPS-0055</x:v>
      </x:c>
      <x:c r="C384" s="4" t="str">
        <x:v>运营配置</x:v>
      </x:c>
      <x:c r="D384" s="4" t="str">
        <x:v>敏感词库（平台管理员视角）</x:v>
      </x:c>
      <x:c r="E384" s="4" t="str">
        <x:v>业务流程</x:v>
      </x:c>
      <x:c r="F384" s="4" t="str">
        <x:v>P2</x:v>
      </x:c>
      <x:c r="G384" s="4" t="str">
        <x:v>验证启停后的敏感词库状态</x:v>
      </x:c>
      <x:c r="H384" s="4" t="str">
        <x:v>敏感词库状态</x:v>
      </x:c>
      <x:c r="I384" s="4" t="str">
        <x:v>1. 平台管理员账号已登录且具备当前页面权限
2. 启停</x:v>
      </x:c>
      <x:c r="J384" s="4" t="str">
        <x:v>1. 进入敏感词库
2. 刷新敏感词库</x:v>
      </x:c>
      <x:c r="K384" s="4" t="str">
        <x:v>更新后续审核规则</x:v>
      </x:c>
      <x:c r="L384" s="4" t="str"/>
      <x:c r="M384" s="4" t="str">
        <x:v>未测</x:v>
      </x:c>
      <x:c r="N384" s="4" t="str"/>
      <x:c r="O384" s="4" t="str">
        <x:v>1. 来源（原型批注）：liveshow-proto/prototype/annotations/admin.js；admin-sensitive-words.html
2. 页面：admin-sensitive-words.html
3. 规则：BR-08F76D4A65A012
4. 场景：SC-F9AF3B41C974A2
5. 未动态验证</x:v>
      </x:c>
    </x:row>
    <x:row r="385" ht="54" customHeight="1">
      <x:c r="A385" s="4" t="n">
        <x:v>384</x:v>
      </x:c>
      <x:c r="B385" s="4" t="str">
        <x:v>AOPS-0056</x:v>
      </x:c>
      <x:c r="C385" s="4" t="str">
        <x:v>运营配置</x:v>
      </x:c>
      <x:c r="D385" s="4" t="str">
        <x:v>敏感词库（平台管理员视角）</x:v>
      </x:c>
      <x:c r="E385" s="4" t="str">
        <x:v>业务流程</x:v>
      </x:c>
      <x:c r="F385" s="4" t="str">
        <x:v>P2</x:v>
      </x:c>
      <x:c r="G385" s="4" t="str">
        <x:v>验证删除后的敏感词库状态</x:v>
      </x:c>
      <x:c r="H385" s="4" t="str">
        <x:v>敏感词库状态</x:v>
      </x:c>
      <x:c r="I385" s="4" t="str">
        <x:v>1. 平台管理员账号已登录且具备当前页面权限</x:v>
      </x:c>
      <x:c r="J385" s="4" t="str">
        <x:v>1. 进入敏感词库
2. 删除</x:v>
      </x:c>
      <x:c r="K385" s="4" t="str">
        <x:v>更新后续审核规则</x:v>
      </x:c>
      <x:c r="L385" s="4" t="str"/>
      <x:c r="M385" s="4" t="str">
        <x:v>未测</x:v>
      </x:c>
      <x:c r="N385" s="4" t="str"/>
      <x:c r="O385" s="4" t="str">
        <x:v>1. 来源（原型批注）：liveshow-proto/prototype/annotations/admin.js；admin-sensitive-words.html
2. 页面：admin-sensitive-words.html
3. 规则：BR-08F76D4A65A012
4. 场景：SC-70EF7C52B33B42
5. 未动态验证</x:v>
      </x:c>
    </x:row>
    <x:row r="386" ht="54" customHeight="1">
      <x:c r="A386" s="4" t="n">
        <x:v>385</x:v>
      </x:c>
      <x:c r="B386" s="4" t="str">
        <x:v>AOPS-0057</x:v>
      </x:c>
      <x:c r="C386" s="4" t="str">
        <x:v>运营配置</x:v>
      </x:c>
      <x:c r="D386" s="4" t="str">
        <x:v>敏感词库（平台管理员视角）</x:v>
      </x:c>
      <x:c r="E386" s="4" t="str">
        <x:v>业务流程</x:v>
      </x:c>
      <x:c r="F386" s="4" t="str">
        <x:v>P2</x:v>
      </x:c>
      <x:c r="G386" s="4" t="str">
        <x:v>验证停用后的敏感词库状态</x:v>
      </x:c>
      <x:c r="H386" s="4" t="str">
        <x:v>敏感词库状态</x:v>
      </x:c>
      <x:c r="I386" s="4" t="str">
        <x:v>1. 平台管理员账号已登录且具备当前页面权限
2. 停用</x:v>
      </x:c>
      <x:c r="J386" s="4" t="str">
        <x:v>1. 进入敏感词库
2. 刷新敏感词库</x:v>
      </x:c>
      <x:c r="K386" s="4" t="str">
        <x:v>不拦截新内容</x:v>
      </x:c>
      <x:c r="L386" s="4" t="str"/>
      <x:c r="M386" s="4" t="str">
        <x:v>未测</x:v>
      </x:c>
      <x:c r="N386" s="4" t="str"/>
      <x:c r="O386" s="4" t="str">
        <x:v>1. 来源（原型批注）：liveshow-proto/prototype/annotations/admin.js；admin-sensitive-words.html
2. 页面：admin-sensitive-words.html
3. 规则：BR-B4B4489C4D190E
4. 场景：SC-5B19A2633ECF23
5. 未动态验证</x:v>
      </x:c>
    </x:row>
    <x:row r="387" ht="54" customHeight="1">
      <x:c r="A387" s="4" t="n">
        <x:v>386</x:v>
      </x:c>
      <x:c r="B387" s="4" t="str">
        <x:v>AOPS-0058</x:v>
      </x:c>
      <x:c r="C387" s="4" t="str">
        <x:v>运营配置</x:v>
      </x:c>
      <x:c r="D387" s="4" t="str">
        <x:v>任务配置（平台管理员视角）</x:v>
      </x:c>
      <x:c r="E387" s="4" t="str">
        <x:v>功能需求</x:v>
      </x:c>
      <x:c r="F387" s="4" t="str">
        <x:v>P2</x:v>
      </x:c>
      <x:c r="G387" s="4" t="str">
        <x:v>验证任务配置可查看任务 ID / 名称</x:v>
      </x:c>
      <x:c r="H387" s="4" t="str">
        <x:v>任务 ID / 名称展示</x:v>
      </x:c>
      <x:c r="I387" s="4" t="str">
        <x:v>1. 平台管理员账号已登录且具备当前页面权限</x:v>
      </x:c>
      <x:c r="J387" s="4" t="str">
        <x:v>1. 进入任务配置
2. 查看任务 ID / 名称</x:v>
      </x:c>
      <x:c r="K387" s="4" t="str">
        <x:v>任务配置显示“任务 ID / 名称”</x:v>
      </x:c>
      <x:c r="L387" s="4" t="str"/>
      <x:c r="M387" s="4" t="str">
        <x:v>未测</x:v>
      </x:c>
      <x:c r="N387" s="4" t="str"/>
      <x:c r="O387" s="4" t="str">
        <x:v>1. 来源（原型批注）：liveshow-proto/prototype/annotations/admin.js；admin-task-config.html
2. 页面：admin-task-config.html
3. 规则：BR-A64C9E1796DB08、BR-3CF8F56FFBB983
4. 场景：SC-E0FEDD151CAE9F
5. 未动态验证</x:v>
      </x:c>
    </x:row>
    <x:row r="388" ht="54" customHeight="1">
      <x:c r="A388" s="4" t="n">
        <x:v>387</x:v>
      </x:c>
      <x:c r="B388" s="4" t="str">
        <x:v>AOPS-0059</x:v>
      </x:c>
      <x:c r="C388" s="4" t="str">
        <x:v>运营配置</x:v>
      </x:c>
      <x:c r="D388" s="4" t="str">
        <x:v>任务配置（平台管理员视角）</x:v>
      </x:c>
      <x:c r="E388" s="4" t="str">
        <x:v>功能需求</x:v>
      </x:c>
      <x:c r="F388" s="4" t="str">
        <x:v>P2</x:v>
      </x:c>
      <x:c r="G388" s="4" t="str">
        <x:v>验证任务配置可查看生效时间</x:v>
      </x:c>
      <x:c r="H388" s="4" t="str">
        <x:v>生效时间展示</x:v>
      </x:c>
      <x:c r="I388" s="4" t="str">
        <x:v>1. 平台管理员账号已登录且具备当前页面权限</x:v>
      </x:c>
      <x:c r="J388" s="4" t="str">
        <x:v>1. 进入任务配置
2. 查看生效时间</x:v>
      </x:c>
      <x:c r="K388" s="4" t="str">
        <x:v>任务配置显示“生效时间”</x:v>
      </x:c>
      <x:c r="L388" s="4" t="str"/>
      <x:c r="M388" s="4" t="str">
        <x:v>未测</x:v>
      </x:c>
      <x:c r="N388" s="4" t="str"/>
      <x:c r="O388" s="4" t="str">
        <x:v>1. 来源（原型批注）：liveshow-proto/prototype/annotations/admin.js；admin-task-config.html
2. 页面：admin-task-config.html
3. 规则：BR-0D848F12C957E1
4. 场景：SC-8430AD119CDAB3
5. 未动态验证</x:v>
      </x:c>
    </x:row>
    <x:row r="389" ht="54" customHeight="1">
      <x:c r="A389" s="4" t="n">
        <x:v>388</x:v>
      </x:c>
      <x:c r="B389" s="4" t="str">
        <x:v>AOPS-0060</x:v>
      </x:c>
      <x:c r="C389" s="4" t="str">
        <x:v>运营配置</x:v>
      </x:c>
      <x:c r="D389" s="4" t="str">
        <x:v>任务配置（平台管理员视角）</x:v>
      </x:c>
      <x:c r="E389" s="4" t="str">
        <x:v>功能需求</x:v>
      </x:c>
      <x:c r="F389" s="4" t="str">
        <x:v>P2</x:v>
      </x:c>
      <x:c r="G389" s="4" t="str">
        <x:v>验证任务配置可查看用户动作</x:v>
      </x:c>
      <x:c r="H389" s="4" t="str">
        <x:v>用户动作展示</x:v>
      </x:c>
      <x:c r="I389" s="4" t="str">
        <x:v>1. 平台管理员账号已登录且具备当前页面权限</x:v>
      </x:c>
      <x:c r="J389" s="4" t="str">
        <x:v>1. 进入任务配置
2. 查看用户动作</x:v>
      </x:c>
      <x:c r="K389" s="4" t="str">
        <x:v>任务配置显示“用户动作”</x:v>
      </x:c>
      <x:c r="L389" s="4" t="str"/>
      <x:c r="M389" s="4" t="str">
        <x:v>未测</x:v>
      </x:c>
      <x:c r="N389" s="4" t="str"/>
      <x:c r="O389" s="4" t="str">
        <x:v>1. 来源（原型批注）：liveshow-proto/prototype/annotations/admin.js；admin-task-config.html
2. 页面：admin-task-config.html
3. 规则：BR-1C62DE7FCCAB84
4. 场景：SC-A94A5933958D97
5. 未动态验证</x:v>
      </x:c>
    </x:row>
    <x:row r="390" ht="54" customHeight="1">
      <x:c r="A390" s="4" t="n">
        <x:v>389</x:v>
      </x:c>
      <x:c r="B390" s="4" t="str">
        <x:v>AOPS-0061</x:v>
      </x:c>
      <x:c r="C390" s="4" t="str">
        <x:v>运营配置</x:v>
      </x:c>
      <x:c r="D390" s="4" t="str">
        <x:v>任务配置（平台管理员视角）</x:v>
      </x:c>
      <x:c r="E390" s="4" t="str">
        <x:v>功能需求</x:v>
      </x:c>
      <x:c r="F390" s="4" t="str">
        <x:v>P2</x:v>
      </x:c>
      <x:c r="G390" s="4" t="str">
        <x:v>验证任务配置可查看状态</x:v>
      </x:c>
      <x:c r="H390" s="4" t="str">
        <x:v>状态展示</x:v>
      </x:c>
      <x:c r="I390" s="4" t="str">
        <x:v>1. 平台管理员账号已登录且具备当前页面权限</x:v>
      </x:c>
      <x:c r="J390" s="4" t="str">
        <x:v>1. 进入任务配置
2. 查看状态</x:v>
      </x:c>
      <x:c r="K390" s="4" t="str">
        <x:v>任务配置显示“状态”</x:v>
      </x:c>
      <x:c r="L390" s="4" t="str"/>
      <x:c r="M390" s="4" t="str">
        <x:v>未测</x:v>
      </x:c>
      <x:c r="N390" s="4" t="str"/>
      <x:c r="O390" s="4" t="str">
        <x:v>1. 来源（原型批注）：liveshow-proto/prototype/annotations/admin.js；admin-task-config.html
2. 页面：admin-task-config.html
3. 规则：BR-6C55A390CF9330、BR-FBA5DDBE9D4C7B
4. 场景：SC-E906DAEE439714
5. 未动态验证</x:v>
      </x:c>
    </x:row>
    <x:row r="391" ht="54" customHeight="1">
      <x:c r="A391" s="4" t="n">
        <x:v>390</x:v>
      </x:c>
      <x:c r="B391" s="4" t="str">
        <x:v>AOPS-0062</x:v>
      </x:c>
      <x:c r="C391" s="4" t="str">
        <x:v>运营配置</x:v>
      </x:c>
      <x:c r="D391" s="4" t="str">
        <x:v>通用任务编辑（平台管理员视角）</x:v>
      </x:c>
      <x:c r="E391" s="4" t="str">
        <x:v>功能需求</x:v>
      </x:c>
      <x:c r="F391" s="4" t="str">
        <x:v>P2</x:v>
      </x:c>
      <x:c r="G391" s="4" t="str">
        <x:v>验证通用任务编辑可查看达成奖励</x:v>
      </x:c>
      <x:c r="H391" s="4" t="str">
        <x:v>达成奖励展示</x:v>
      </x:c>
      <x:c r="I391" s="4" t="str">
        <x:v>1. 平台管理员账号已登录且具备当前页面权限</x:v>
      </x:c>
      <x:c r="J391" s="4" t="str">
        <x:v>1. 进入通用任务编辑
2. 查看达成奖励</x:v>
      </x:c>
      <x:c r="K391" s="4" t="str">
        <x:v>通用任务编辑显示“达成奖励”</x:v>
      </x:c>
      <x:c r="L391" s="4" t="str"/>
      <x:c r="M391" s="4" t="str">
        <x:v>未测</x:v>
      </x:c>
      <x:c r="N391" s="4" t="str"/>
      <x:c r="O391" s="4" t="str">
        <x:v>1. 来源（原型批注）：liveshow-proto/prototype/annotations/admin.js；admin-task-detail.html
2. 页面：admin-task-detail.html
3. 规则：BR-9C48B044060ADA、BR-85E63A709DEA34
4. 场景：SC-061337F93DFF8A
5. 未动态验证</x:v>
      </x:c>
    </x:row>
    <x:row r="392" ht="54" customHeight="1">
      <x:c r="A392" s="4" t="n">
        <x:v>391</x:v>
      </x:c>
      <x:c r="B392" s="4" t="str">
        <x:v>AOPS-0063</x:v>
      </x:c>
      <x:c r="C392" s="4" t="str">
        <x:v>运营配置</x:v>
      </x:c>
      <x:c r="D392" s="4" t="str">
        <x:v>通用任务编辑（平台管理员视角）</x:v>
      </x:c>
      <x:c r="E392" s="4" t="str">
        <x:v>功能需求</x:v>
      </x:c>
      <x:c r="F392" s="4" t="str">
        <x:v>P2</x:v>
      </x:c>
      <x:c r="G392" s="4" t="str">
        <x:v>验证通用任务编辑可查看达成条件</x:v>
      </x:c>
      <x:c r="H392" s="4" t="str">
        <x:v>达成条件展示</x:v>
      </x:c>
      <x:c r="I392" s="4" t="str">
        <x:v>1. 平台管理员账号已登录且具备当前页面权限</x:v>
      </x:c>
      <x:c r="J392" s="4" t="str">
        <x:v>1. 进入通用任务编辑
2. 查看达成条件</x:v>
      </x:c>
      <x:c r="K392" s="4" t="str">
        <x:v>通用任务编辑显示“达成条件”</x:v>
      </x:c>
      <x:c r="L392" s="4" t="str"/>
      <x:c r="M392" s="4" t="str">
        <x:v>未测</x:v>
      </x:c>
      <x:c r="N392" s="4" t="str"/>
      <x:c r="O392" s="4" t="str">
        <x:v>1. 来源（原型批注）：liveshow-proto/prototype/annotations/admin.js；admin-task-detail.html
2. 页面：admin-task-detail.html
3. 规则：BR-DDB8D1834107DE、BR-A8686B5B50D05A
4. 场景：SC-522A5E9F4FB784
5. 未动态验证</x:v>
      </x:c>
    </x:row>
    <x:row r="393" ht="54" customHeight="1">
      <x:c r="A393" s="4" t="n">
        <x:v>392</x:v>
      </x:c>
      <x:c r="B393" s="4" t="str">
        <x:v>AOPS-0064</x:v>
      </x:c>
      <x:c r="C393" s="4" t="str">
        <x:v>运营配置</x:v>
      </x:c>
      <x:c r="D393" s="4" t="str">
        <x:v>通用任务编辑（平台管理员视角）</x:v>
      </x:c>
      <x:c r="E393" s="4" t="str">
        <x:v>功能需求</x:v>
      </x:c>
      <x:c r="F393" s="4" t="str">
        <x:v>P2</x:v>
      </x:c>
      <x:c r="G393" s="4" t="str">
        <x:v>验证通用任务编辑可查看生效时间</x:v>
      </x:c>
      <x:c r="H393" s="4" t="str">
        <x:v>生效时间展示</x:v>
      </x:c>
      <x:c r="I393" s="4" t="str">
        <x:v>1. 平台管理员账号已登录且具备当前页面权限</x:v>
      </x:c>
      <x:c r="J393" s="4" t="str">
        <x:v>1. 进入通用任务编辑
2. 查看生效时间</x:v>
      </x:c>
      <x:c r="K393" s="4" t="str">
        <x:v>通用任务编辑显示“生效时间”</x:v>
      </x:c>
      <x:c r="L393" s="4" t="str"/>
      <x:c r="M393" s="4" t="str">
        <x:v>未测</x:v>
      </x:c>
      <x:c r="N393" s="4" t="str"/>
      <x:c r="O393" s="4" t="str">
        <x:v>1. 来源（原型批注）：liveshow-proto/prototype/annotations/admin.js；admin-task-detail.html
2. 页面：admin-task-detail.html
3. 规则：BR-B26380B2CCC7F6
4. 场景：SC-71A33442FF1189
5. 未动态验证</x:v>
      </x:c>
    </x:row>
    <x:row r="394" ht="54" customHeight="1">
      <x:c r="A394" s="4" t="n">
        <x:v>393</x:v>
      </x:c>
      <x:c r="B394" s="4" t="str">
        <x:v>AOPS-0065</x:v>
      </x:c>
      <x:c r="C394" s="4" t="str">
        <x:v>运营配置</x:v>
      </x:c>
      <x:c r="D394" s="4" t="str">
        <x:v>通用任务编辑（平台管理员视角）</x:v>
      </x:c>
      <x:c r="E394" s="4" t="str">
        <x:v>功能需求</x:v>
      </x:c>
      <x:c r="F394" s="4" t="str">
        <x:v>P2</x:v>
      </x:c>
      <x:c r="G394" s="4" t="str">
        <x:v>验证通用任务编辑可查看四语名称</x:v>
      </x:c>
      <x:c r="H394" s="4" t="str">
        <x:v>四语名称展示</x:v>
      </x:c>
      <x:c r="I394" s="4" t="str">
        <x:v>1. 平台管理员账号已登录且具备当前页面权限</x:v>
      </x:c>
      <x:c r="J394" s="4" t="str">
        <x:v>1. 进入通用任务编辑
2. 查看四语名称</x:v>
      </x:c>
      <x:c r="K394" s="4" t="str">
        <x:v>通用任务编辑显示“四语名称”</x:v>
      </x:c>
      <x:c r="L394" s="4" t="str"/>
      <x:c r="M394" s="4" t="str">
        <x:v>未测</x:v>
      </x:c>
      <x:c r="N394" s="4" t="str"/>
      <x:c r="O394" s="4" t="str">
        <x:v>1. 来源（原型批注）：liveshow-proto/prototype/annotations/admin.js；admin-task-detail.html
2. 页面：admin-task-detail.html
3. 规则：BR-0FFB1B9357A550
4. 场景：SC-B29F5B2731B31B
5. 未动态验证</x:v>
      </x:c>
    </x:row>
    <x:row r="395" ht="54" customHeight="1">
      <x:c r="A395" s="4" t="n">
        <x:v>394</x:v>
      </x:c>
      <x:c r="B395" s="4" t="str">
        <x:v>AOPS-0066</x:v>
      </x:c>
      <x:c r="C395" s="4" t="str">
        <x:v>运营配置</x:v>
      </x:c>
      <x:c r="D395" s="4" t="str">
        <x:v>通用任务编辑（平台管理员视角）</x:v>
      </x:c>
      <x:c r="E395" s="4" t="str">
        <x:v>功能需求</x:v>
      </x:c>
      <x:c r="F395" s="4" t="str">
        <x:v>P2</x:v>
      </x:c>
      <x:c r="G395" s="4" t="str">
        <x:v>验证通用任务编辑可查看统计周期</x:v>
      </x:c>
      <x:c r="H395" s="4" t="str">
        <x:v>统计周期展示</x:v>
      </x:c>
      <x:c r="I395" s="4" t="str">
        <x:v>1. 平台管理员账号已登录且具备当前页面权限</x:v>
      </x:c>
      <x:c r="J395" s="4" t="str">
        <x:v>1. 进入通用任务编辑
2. 查看统计周期</x:v>
      </x:c>
      <x:c r="K395" s="4" t="str">
        <x:v>通用任务编辑显示“统计周期”</x:v>
      </x:c>
      <x:c r="L395" s="4" t="str"/>
      <x:c r="M395" s="4" t="str">
        <x:v>未测</x:v>
      </x:c>
      <x:c r="N395" s="4" t="str"/>
      <x:c r="O395" s="4" t="str">
        <x:v>1. 来源（原型批注）：liveshow-proto/prototype/annotations/admin.js；admin-task-detail.html
2. 页面：admin-task-detail.html
3. 规则：BR-E78E0A8B3F6CA8
4. 场景：SC-7831EDA202EFF7
5. 未动态验证</x:v>
      </x:c>
    </x:row>
    <x:row r="396" ht="54" customHeight="1">
      <x:c r="A396" s="4" t="n">
        <x:v>395</x:v>
      </x:c>
      <x:c r="B396" s="4" t="str">
        <x:v>AOPS-0067</x:v>
      </x:c>
      <x:c r="C396" s="4" t="str">
        <x:v>运营配置</x:v>
      </x:c>
      <x:c r="D396" s="4" t="str">
        <x:v>通用任务编辑（平台管理员视角）</x:v>
      </x:c>
      <x:c r="E396" s="4" t="str">
        <x:v>功能需求</x:v>
      </x:c>
      <x:c r="F396" s="4" t="str">
        <x:v>P2</x:v>
      </x:c>
      <x:c r="G396" s="4" t="str">
        <x:v>验证通用任务编辑可查看用户动作 / 指标</x:v>
      </x:c>
      <x:c r="H396" s="4" t="str">
        <x:v>用户动作 / 指标展示</x:v>
      </x:c>
      <x:c r="I396" s="4" t="str">
        <x:v>1. 平台管理员账号已登录且具备当前页面权限</x:v>
      </x:c>
      <x:c r="J396" s="4" t="str">
        <x:v>1. 进入通用任务编辑
2. 查看用户动作 / 指标</x:v>
      </x:c>
      <x:c r="K396" s="4" t="str">
        <x:v>通用任务编辑显示“用户动作 / 指标”</x:v>
      </x:c>
      <x:c r="L396" s="4" t="str"/>
      <x:c r="M396" s="4" t="str">
        <x:v>未测</x:v>
      </x:c>
      <x:c r="N396" s="4" t="str"/>
      <x:c r="O396" s="4" t="str">
        <x:v>1. 来源（原型批注）：liveshow-proto/prototype/annotations/admin.js；admin-task-detail.html
2. 页面：admin-task-detail.html
3. 规则：BR-C4344D47AAFB55
4. 场景：SC-86B863941A7A90
5. 未动态验证</x:v>
      </x:c>
    </x:row>
    <x:row r="397" ht="54" customHeight="1">
      <x:c r="A397" s="4" t="n">
        <x:v>396</x:v>
      </x:c>
      <x:c r="B397" s="4" t="str">
        <x:v>AOPS-0068</x:v>
      </x:c>
      <x:c r="C397" s="4" t="str">
        <x:v>运营配置</x:v>
      </x:c>
      <x:c r="D397" s="4" t="str">
        <x:v>推送管理（平台管理员视角）</x:v>
      </x:c>
      <x:c r="E397" s="4" t="str">
        <x:v>功能需求</x:v>
      </x:c>
      <x:c r="F397" s="4" t="str">
        <x:v>P2</x:v>
      </x:c>
      <x:c r="G397" s="4" t="str">
        <x:v>验证列表标题按后台中文时的推送管理结果</x:v>
      </x:c>
      <x:c r="H397" s="4" t="str">
        <x:v>推送管理条件结果</x:v>
      </x:c>
      <x:c r="I397" s="4" t="str">
        <x:v>1. 平台管理员账号已登录且具备当前页面权限
2. 列表标题按后台中文</x:v>
      </x:c>
      <x:c r="J397" s="4" t="str">
        <x:v>1. 进入推送管理
2. 查看推送管理</x:v>
      </x:c>
      <x:c r="K397" s="4" t="str">
        <x:v>列表标题按后台中文展示</x:v>
      </x:c>
      <x:c r="L397" s="4" t="str"/>
      <x:c r="M397" s="4" t="str">
        <x:v>未测</x:v>
      </x:c>
      <x:c r="N397" s="4" t="str"/>
      <x:c r="O397" s="4" t="str">
        <x:v>1. 来源（原型批注）：liveshow-proto/prototype/annotations/admin.js；admin-push-management.html
2. 页面：admin-push-management.html
3. 规则：BR-39CA1B6A43EE96
4. 场景：SC-60EE6BD941FD31
5. 未动态验证</x:v>
      </x:c>
    </x:row>
    <x:row r="398" ht="54" customHeight="1">
      <x:c r="A398" s="4" t="n">
        <x:v>397</x:v>
      </x:c>
      <x:c r="B398" s="4" t="str">
        <x:v>AOPS-0069</x:v>
      </x:c>
      <x:c r="C398" s="4" t="str">
        <x:v>运营配置</x:v>
      </x:c>
      <x:c r="D398" s="4" t="str">
        <x:v>推送管理（平台管理员视角）</x:v>
      </x:c>
      <x:c r="E398" s="4" t="str">
        <x:v>功能需求</x:v>
      </x:c>
      <x:c r="F398" s="4" t="str">
        <x:v>P2</x:v>
      </x:c>
      <x:c r="G398" s="4" t="str">
        <x:v>验证推送管理可查看发送人数</x:v>
      </x:c>
      <x:c r="H398" s="4" t="str">
        <x:v>发送人数展示</x:v>
      </x:c>
      <x:c r="I398" s="4" t="str">
        <x:v>1. 平台管理员账号已登录且具备当前页面权限</x:v>
      </x:c>
      <x:c r="J398" s="4" t="str">
        <x:v>1. 进入推送管理
2. 查看发送人数</x:v>
      </x:c>
      <x:c r="K398" s="4" t="str">
        <x:v>推送管理显示“发送人数”</x:v>
      </x:c>
      <x:c r="L398" s="4" t="str"/>
      <x:c r="M398" s="4" t="str">
        <x:v>未测</x:v>
      </x:c>
      <x:c r="N398" s="4" t="str"/>
      <x:c r="O398" s="4" t="str">
        <x:v>1. 来源（原型批注）：liveshow-proto/prototype/annotations/admin.js；admin-push-management.html
2. 页面：admin-push-management.html
3. 规则：BR-9880DCE0A9CFC1
4. 场景：SC-6914EC14781D65
5. 未动态验证</x:v>
      </x:c>
    </x:row>
    <x:row r="399" ht="54" customHeight="1">
      <x:c r="A399" s="4" t="n">
        <x:v>398</x:v>
      </x:c>
      <x:c r="B399" s="4" t="str">
        <x:v>AOPS-0070</x:v>
      </x:c>
      <x:c r="C399" s="4" t="str">
        <x:v>运营配置</x:v>
      </x:c>
      <x:c r="D399" s="4" t="str">
        <x:v>推送管理（平台管理员视角）</x:v>
      </x:c>
      <x:c r="E399" s="4" t="str">
        <x:v>功能需求</x:v>
      </x:c>
      <x:c r="F399" s="4" t="str">
        <x:v>P2</x:v>
      </x:c>
      <x:c r="G399" s="4" t="str">
        <x:v>验证推送管理可查看发送时间</x:v>
      </x:c>
      <x:c r="H399" s="4" t="str">
        <x:v>发送时间展示</x:v>
      </x:c>
      <x:c r="I399" s="4" t="str">
        <x:v>1. 平台管理员账号已登录且具备当前页面权限</x:v>
      </x:c>
      <x:c r="J399" s="4" t="str">
        <x:v>1. 进入推送管理
2. 查看发送时间</x:v>
      </x:c>
      <x:c r="K399" s="4" t="str">
        <x:v>推送管理显示“发送时间”</x:v>
      </x:c>
      <x:c r="L399" s="4" t="str"/>
      <x:c r="M399" s="4" t="str">
        <x:v>未测</x:v>
      </x:c>
      <x:c r="N399" s="4" t="str"/>
      <x:c r="O399" s="4" t="str">
        <x:v>1. 来源（原型批注）：liveshow-proto/prototype/annotations/admin.js；admin-push-management.html
2. 页面：admin-push-management.html
3. 规则：BR-5B7AB20584B46B、BR-4CFC1C2E715362
4. 场景：SC-41861C472B281F
5. 未动态验证</x:v>
      </x:c>
    </x:row>
    <x:row r="400" ht="54" customHeight="1">
      <x:c r="A400" s="4" t="n">
        <x:v>399</x:v>
      </x:c>
      <x:c r="B400" s="4" t="str">
        <x:v>AOPS-0071</x:v>
      </x:c>
      <x:c r="C400" s="4" t="str">
        <x:v>运营配置</x:v>
      </x:c>
      <x:c r="D400" s="4" t="str">
        <x:v>推送管理（平台管理员视角）</x:v>
      </x:c>
      <x:c r="E400" s="4" t="str">
        <x:v>功能需求</x:v>
      </x:c>
      <x:c r="F400" s="4" t="str">
        <x:v>P2</x:v>
      </x:c>
      <x:c r="G400" s="4" t="str">
        <x:v>验证推送管理可查看目标用户</x:v>
      </x:c>
      <x:c r="H400" s="4" t="str">
        <x:v>目标用户展示</x:v>
      </x:c>
      <x:c r="I400" s="4" t="str">
        <x:v>1. 平台管理员账号已登录且具备当前页面权限</x:v>
      </x:c>
      <x:c r="J400" s="4" t="str">
        <x:v>1. 进入推送管理
2. 查看目标用户</x:v>
      </x:c>
      <x:c r="K400" s="4" t="str">
        <x:v>推送管理显示“目标用户”</x:v>
      </x:c>
      <x:c r="L400" s="4" t="str"/>
      <x:c r="M400" s="4" t="str">
        <x:v>未测</x:v>
      </x:c>
      <x:c r="N400" s="4" t="str"/>
      <x:c r="O400" s="4" t="str">
        <x:v>1. 来源（原型批注）：liveshow-proto/prototype/annotations/admin.js；admin-push-management.html
2. 页面：admin-push-management.html
3. 规则：BR-75CC7AF10ACCCC
4. 场景：SC-7C658986EE9270
5. 未动态验证</x:v>
      </x:c>
    </x:row>
    <x:row r="401" ht="54" customHeight="1">
      <x:c r="A401" s="4" t="n">
        <x:v>400</x:v>
      </x:c>
      <x:c r="B401" s="4" t="str">
        <x:v>AOPS-0072</x:v>
      </x:c>
      <x:c r="C401" s="4" t="str">
        <x:v>运营配置</x:v>
      </x:c>
      <x:c r="D401" s="4" t="str">
        <x:v>推送管理（平台管理员视角）</x:v>
      </x:c>
      <x:c r="E401" s="4" t="str">
        <x:v>功能需求</x:v>
      </x:c>
      <x:c r="F401" s="4" t="str">
        <x:v>P2</x:v>
      </x:c>
      <x:c r="G401" s="4" t="str">
        <x:v>验证推送管理可查看推送 ID / 标题</x:v>
      </x:c>
      <x:c r="H401" s="4" t="str">
        <x:v>推送 ID / 标题展示</x:v>
      </x:c>
      <x:c r="I401" s="4" t="str">
        <x:v>1. 平台管理员账号已登录且具备当前页面权限</x:v>
      </x:c>
      <x:c r="J401" s="4" t="str">
        <x:v>1. 进入推送管理
2. 查看推送 ID / 标题</x:v>
      </x:c>
      <x:c r="K401" s="4" t="str">
        <x:v>推送管理显示“推送 ID / 标题”</x:v>
      </x:c>
      <x:c r="L401" s="4" t="str"/>
      <x:c r="M401" s="4" t="str">
        <x:v>未测</x:v>
      </x:c>
      <x:c r="N401" s="4" t="str"/>
      <x:c r="O401" s="4" t="str">
        <x:v>1. 来源（原型批注）：liveshow-proto/prototype/annotations/admin.js；admin-push-management.html
2. 页面：admin-push-management.html
3. 规则：BR-15F257718E5D0D、BR-39CA1B6A43EE96
4. 场景：SC-75163B4E18E9FD
5. 未动态验证</x:v>
      </x:c>
    </x:row>
    <x:row r="402" ht="54" customHeight="1">
      <x:c r="A402" s="4" t="n">
        <x:v>401</x:v>
      </x:c>
      <x:c r="B402" s="4" t="str">
        <x:v>AOPS-0073</x:v>
      </x:c>
      <x:c r="C402" s="4" t="str">
        <x:v>运营配置</x:v>
      </x:c>
      <x:c r="D402" s="4" t="str">
        <x:v>推送管理（平台管理员视角）</x:v>
      </x:c>
      <x:c r="E402" s="4" t="str">
        <x:v>业务流程</x:v>
      </x:c>
      <x:c r="F402" s="4" t="str">
        <x:v>P2</x:v>
      </x:c>
      <x:c r="G402" s="4" t="str">
        <x:v>验证已发送后的推送管理状态</x:v>
      </x:c>
      <x:c r="H402" s="4" t="str">
        <x:v>推送管理状态</x:v>
      </x:c>
      <x:c r="I402" s="4" t="str">
        <x:v>1. 平台管理员账号已登录且具备当前页面权限
2. 已发送</x:v>
      </x:c>
      <x:c r="J402" s="4" t="str">
        <x:v>1. 进入推送管理
2. 刷新推送管理</x:v>
      </x:c>
      <x:c r="K402" s="4" t="str">
        <x:v>保留实际执行结果</x:v>
      </x:c>
      <x:c r="L402" s="4" t="str"/>
      <x:c r="M402" s="4" t="str">
        <x:v>未测</x:v>
      </x:c>
      <x:c r="N402" s="4" t="str"/>
      <x:c r="O402" s="4" t="str">
        <x:v>1. 来源（原型批注）：liveshow-proto/prototype/annotations/admin.js；admin-push-management.html
2. 页面：admin-push-management.html
3. 规则：BR-4CFC1C2E715362
4. 场景：SC-34DF37FB9DB4B4
5. 未动态验证</x:v>
      </x:c>
    </x:row>
    <x:row r="403" ht="54" customHeight="1">
      <x:c r="A403" s="4" t="n">
        <x:v>402</x:v>
      </x:c>
      <x:c r="B403" s="4" t="str">
        <x:v>AOPS-0074</x:v>
      </x:c>
      <x:c r="C403" s="4" t="str">
        <x:v>运营配置</x:v>
      </x:c>
      <x:c r="D403" s="4" t="str">
        <x:v>推送配置（平台管理员视角）</x:v>
      </x:c>
      <x:c r="E403" s="4" t="str">
        <x:v>功能需求</x:v>
      </x:c>
      <x:c r="F403" s="4" t="str">
        <x:v>P2</x:v>
      </x:c>
      <x:c r="G403" s="4" t="str">
        <x:v>验证推送配置可查看操作信息</x:v>
      </x:c>
      <x:c r="H403" s="4" t="str">
        <x:v>操作信息展示</x:v>
      </x:c>
      <x:c r="I403" s="4" t="str">
        <x:v>1. 平台管理员账号已登录且具备当前页面权限</x:v>
      </x:c>
      <x:c r="J403" s="4" t="str">
        <x:v>1. 进入推送配置
2. 查看操作信息</x:v>
      </x:c>
      <x:c r="K403" s="4" t="str">
        <x:v>推送配置显示“操作信息”</x:v>
      </x:c>
      <x:c r="L403" s="4" t="str"/>
      <x:c r="M403" s="4" t="str">
        <x:v>未测</x:v>
      </x:c>
      <x:c r="N403" s="4" t="str"/>
      <x:c r="O403" s="4" t="str">
        <x:v>1. 来源（原型批注）：liveshow-proto/prototype/annotations/admin.js；admin-push-detail.html
2. 页面：admin-push-detail.html
3. 规则：BR-180A46F6318447
4. 场景：SC-66B8BFCB34C16E
5. 未动态验证</x:v>
      </x:c>
    </x:row>
    <x:row r="404" ht="54" customHeight="1">
      <x:c r="A404" s="4" t="n">
        <x:v>403</x:v>
      </x:c>
      <x:c r="B404" s="4" t="str">
        <x:v>AOPS-0075</x:v>
      </x:c>
      <x:c r="C404" s="4" t="str">
        <x:v>运营配置</x:v>
      </x:c>
      <x:c r="D404" s="4" t="str">
        <x:v>推送配置（平台管理员视角）</x:v>
      </x:c>
      <x:c r="E404" s="4" t="str">
        <x:v>功能需求</x:v>
      </x:c>
      <x:c r="F404" s="4" t="str">
        <x:v>P2</x:v>
      </x:c>
      <x:c r="G404" s="4" t="str">
        <x:v>验证推送配置可查看目标用户</x:v>
      </x:c>
      <x:c r="H404" s="4" t="str">
        <x:v>目标用户展示</x:v>
      </x:c>
      <x:c r="I404" s="4" t="str">
        <x:v>1. 平台管理员账号已登录且具备当前页面权限</x:v>
      </x:c>
      <x:c r="J404" s="4" t="str">
        <x:v>1. 进入推送配置
2. 查看目标用户</x:v>
      </x:c>
      <x:c r="K404" s="4" t="str">
        <x:v>推送配置显示“目标用户”</x:v>
      </x:c>
      <x:c r="L404" s="4" t="str"/>
      <x:c r="M404" s="4" t="str">
        <x:v>未测</x:v>
      </x:c>
      <x:c r="N404" s="4" t="str"/>
      <x:c r="O404" s="4" t="str">
        <x:v>1. 来源（原型批注）：liveshow-proto/prototype/annotations/admin.js；admin-push-detail.html
2. 页面：admin-push-detail.html
3. 规则：BR-7299B40C5A3D8A
4. 场景：SC-42199A00B2D7A4
5. 未动态验证</x:v>
      </x:c>
    </x:row>
    <x:row r="405" ht="54" customHeight="1">
      <x:c r="A405" s="4" t="n">
        <x:v>404</x:v>
      </x:c>
      <x:c r="B405" s="4" t="str">
        <x:v>AOPS-0076</x:v>
      </x:c>
      <x:c r="C405" s="4" t="str">
        <x:v>运营配置</x:v>
      </x:c>
      <x:c r="D405" s="4" t="str">
        <x:v>推送配置（平台管理员视角）</x:v>
      </x:c>
      <x:c r="E405" s="4" t="str">
        <x:v>功能需求</x:v>
      </x:c>
      <x:c r="F405" s="4" t="str">
        <x:v>P2</x:v>
      </x:c>
      <x:c r="G405" s="4" t="str">
        <x:v>验证推送配置可查看四语标题 / 内容</x:v>
      </x:c>
      <x:c r="H405" s="4" t="str">
        <x:v>四语标题 / 内容展示</x:v>
      </x:c>
      <x:c r="I405" s="4" t="str">
        <x:v>1. 平台管理员账号已登录且具备当前页面权限</x:v>
      </x:c>
      <x:c r="J405" s="4" t="str">
        <x:v>1. 进入推送配置
2. 查看四语标题 / 内容</x:v>
      </x:c>
      <x:c r="K405" s="4" t="str">
        <x:v>推送配置显示“四语标题 / 内容”</x:v>
      </x:c>
      <x:c r="L405" s="4" t="str"/>
      <x:c r="M405" s="4" t="str">
        <x:v>未测</x:v>
      </x:c>
      <x:c r="N405" s="4" t="str"/>
      <x:c r="O405" s="4" t="str">
        <x:v>1. 来源（原型批注）：liveshow-proto/prototype/annotations/admin.js；admin-push-detail.html
2. 页面：admin-push-detail.html
3. 规则：BR-0C3D70EAC41772
4. 场景：SC-BE4031204D786B
5. 未动态验证</x:v>
      </x:c>
    </x:row>
    <x:row r="406" ht="54" customHeight="1">
      <x:c r="A406" s="4" t="n">
        <x:v>405</x:v>
      </x:c>
      <x:c r="B406" s="4" t="str">
        <x:v>AOPS-0077</x:v>
      </x:c>
      <x:c r="C406" s="4" t="str">
        <x:v>运营配置</x:v>
      </x:c>
      <x:c r="D406" s="4" t="str">
        <x:v>推送配置（平台管理员视角）</x:v>
      </x:c>
      <x:c r="E406" s="4" t="str">
        <x:v>功能需求</x:v>
      </x:c>
      <x:c r="F406" s="4" t="str">
        <x:v>P2</x:v>
      </x:c>
      <x:c r="G406" s="4" t="str">
        <x:v>验证推送配置可查看推送 ID</x:v>
      </x:c>
      <x:c r="H406" s="4" t="str">
        <x:v>推送 ID展示</x:v>
      </x:c>
      <x:c r="I406" s="4" t="str">
        <x:v>1. 平台管理员账号已登录且具备当前页面权限</x:v>
      </x:c>
      <x:c r="J406" s="4" t="str">
        <x:v>1. 进入推送配置
2. 查看推送 ID</x:v>
      </x:c>
      <x:c r="K406" s="4" t="str">
        <x:v>推送配置显示“推送 ID”</x:v>
      </x:c>
      <x:c r="L406" s="4" t="str"/>
      <x:c r="M406" s="4" t="str">
        <x:v>未测</x:v>
      </x:c>
      <x:c r="N406" s="4" t="str"/>
      <x:c r="O406" s="4" t="str">
        <x:v>1. 来源（原型批注）：liveshow-proto/prototype/annotations/admin.js；admin-push-detail.html
2. 页面：admin-push-detail.html
3. 规则：BR-5DAE7E17DE2D1D
4. 场景：SC-B92388B7FF0A2C
5. 未动态验证</x:v>
      </x:c>
    </x:row>
    <x:row r="407" ht="54" customHeight="1">
      <x:c r="A407" s="4" t="n">
        <x:v>406</x:v>
      </x:c>
      <x:c r="B407" s="4" t="str">
        <x:v>AOPS-0078</x:v>
      </x:c>
      <x:c r="C407" s="4" t="str">
        <x:v>运营配置</x:v>
      </x:c>
      <x:c r="D407" s="4" t="str">
        <x:v>展示素材编辑（平台管理员视角）</x:v>
      </x:c>
      <x:c r="E407" s="4" t="str">
        <x:v>功能需求</x:v>
      </x:c>
      <x:c r="F407" s="4" t="str">
        <x:v>P2</x:v>
      </x:c>
      <x:c r="G407" s="4" t="str">
        <x:v>验证每项包含时的展示素材编辑结果</x:v>
      </x:c>
      <x:c r="H407" s="4" t="str">
        <x:v>展示素材编辑条件结果</x:v>
      </x:c>
      <x:c r="I407" s="4" t="str">
        <x:v>1. 平台管理员账号已登录且具备当前页面权限
2. 每项包含</x:v>
      </x:c>
      <x:c r="J407" s="4" t="str">
        <x:v>1. 进入展示素材编辑
2. 查看展示素材编辑</x:v>
      </x:c>
      <x:c r="K407" s="4" t="str">
        <x:v>每项包含展示素材、跳转类型及对应目标内容，左侧序号即轮播顺序</x:v>
      </x:c>
      <x:c r="L407" s="4" t="str"/>
      <x:c r="M407" s="4" t="str">
        <x:v>未测</x:v>
      </x:c>
      <x:c r="N407" s="4" t="str"/>
      <x:c r="O407" s="4" t="str">
        <x:v>1. 来源（原型批注）：liveshow-proto/prototype/annotations/admin.js；admin-placement-detail.html
2. 页面：admin-placement-detail.html
3. 规则：BR-616CE188AD2F9D
4. 场景：SC-F1AF8F27533239
5. 未动态验证</x:v>
      </x:c>
    </x:row>
    <x:row r="408" ht="54" customHeight="1">
      <x:c r="A408" s="4" t="n">
        <x:v>407</x:v>
      </x:c>
      <x:c r="B408" s="4" t="str">
        <x:v>AOPS-0079</x:v>
      </x:c>
      <x:c r="C408" s="4" t="str">
        <x:v>运营配置</x:v>
      </x:c>
      <x:c r="D408" s="4" t="str">
        <x:v>展示素材编辑（平台管理员视角）</x:v>
      </x:c>
      <x:c r="E408" s="4" t="str">
        <x:v>业务流程</x:v>
      </x:c>
      <x:c r="F408" s="4" t="str">
        <x:v>P2</x:v>
      </x:c>
      <x:c r="G408" s="4" t="str">
        <x:v>验证切换跳转类型后的展示素材编辑状态</x:v>
      </x:c>
      <x:c r="H408" s="4" t="str">
        <x:v>展示素材编辑状态</x:v>
      </x:c>
      <x:c r="I408" s="4" t="str">
        <x:v>1. 平台管理员账号已登录且具备当前页面权限</x:v>
      </x:c>
      <x:c r="J408" s="4" t="str">
        <x:v>1. 进入展示素材编辑
2. 切换跳转类型</x:v>
      </x:c>
      <x:c r="K408" s="4" t="str">
        <x:v>在目标页面选择器和活动长图上传间切换</x:v>
      </x:c>
      <x:c r="L408" s="4" t="str"/>
      <x:c r="M408" s="4" t="str">
        <x:v>未测</x:v>
      </x:c>
      <x:c r="N408" s="4" t="str"/>
      <x:c r="O408" s="4" t="str">
        <x:v>1. 来源（原型批注）：liveshow-proto/prototype/annotations/admin.js；admin-placement-detail.html
2. 页面：admin-placement-detail.html
3. 规则：BR-486F46736E9ED4
4. 场景：SC-CFFB06DBB40616
5. 未动态验证</x:v>
      </x:c>
    </x:row>
    <x:row r="409" ht="54" customHeight="1">
      <x:c r="A409" s="4" t="n">
        <x:v>408</x:v>
      </x:c>
      <x:c r="B409" s="4" t="str">
        <x:v>AOPS-0080</x:v>
      </x:c>
      <x:c r="C409" s="4" t="str">
        <x:v>运营配置</x:v>
      </x:c>
      <x:c r="D409" s="4" t="str">
        <x:v>展示素材编辑（平台管理员视角）</x:v>
      </x:c>
      <x:c r="E409" s="4" t="str">
        <x:v>业务流程</x:v>
      </x:c>
      <x:c r="F409" s="4" t="str">
        <x:v>P2</x:v>
      </x:c>
      <x:c r="G409" s="4" t="str">
        <x:v>验证通过后的展示素材编辑状态</x:v>
      </x:c>
      <x:c r="H409" s="4" t="str">
        <x:v>展示素材编辑状态</x:v>
      </x:c>
      <x:c r="I409" s="4" t="str">
        <x:v>1. 平台管理员账号已登录且具备当前页面权限
2. 通过</x:v>
      </x:c>
      <x:c r="J409" s="4" t="str">
        <x:v>1. 进入展示素材编辑
2. 刷新展示素材编辑</x:v>
      </x:c>
      <x:c r="K409" s="4" t="str">
        <x:v>保留当前顺序</x:v>
      </x:c>
      <x:c r="L409" s="4" t="str"/>
      <x:c r="M409" s="4" t="str">
        <x:v>未测</x:v>
      </x:c>
      <x:c r="N409" s="4" t="str"/>
      <x:c r="O409" s="4" t="str">
        <x:v>1. 来源（原型批注）：liveshow-proto/prototype/annotations/admin.js；admin-placement-detail.html
2. 页面：admin-placement-detail.html
3. 规则：BR-0A74F48C34939F
4. 场景：SC-8E17BAF2B9A3BD
5. 未动态验证</x:v>
      </x:c>
    </x:row>
    <x:row r="410" ht="54" customHeight="1">
      <x:c r="A410" s="4" t="n">
        <x:v>409</x:v>
      </x:c>
      <x:c r="B410" s="4" t="str">
        <x:v>AOPS-0081</x:v>
      </x:c>
      <x:c r="C410" s="4" t="str">
        <x:v>运营配置</x:v>
      </x:c>
      <x:c r="D410" s="4" t="str">
        <x:v>展示素材编辑（平台管理员视角）</x:v>
      </x:c>
      <x:c r="E410" s="4" t="str">
        <x:v>功能需求</x:v>
      </x:c>
      <x:c r="F410" s="4" t="str">
        <x:v>P2</x:v>
      </x:c>
      <x:c r="G410" s="4" t="str">
        <x:v>验证展示素材编辑可查看轮播内容</x:v>
      </x:c>
      <x:c r="H410" s="4" t="str">
        <x:v>轮播内容展示</x:v>
      </x:c>
      <x:c r="I410" s="4" t="str">
        <x:v>1. 平台管理员账号已登录且具备当前页面权限</x:v>
      </x:c>
      <x:c r="J410" s="4" t="str">
        <x:v>1. 进入展示素材编辑
2. 查看轮播内容</x:v>
      </x:c>
      <x:c r="K410" s="4" t="str">
        <x:v>展示素材编辑显示“轮播内容”</x:v>
      </x:c>
      <x:c r="L410" s="4" t="str"/>
      <x:c r="M410" s="4" t="str">
        <x:v>未测</x:v>
      </x:c>
      <x:c r="N410" s="4" t="str"/>
      <x:c r="O410" s="4" t="str">
        <x:v>1. 来源（原型批注）：liveshow-proto/prototype/annotations/admin.js；admin-placement-detail.html
2. 页面：admin-placement-detail.html
3. 规则：BR-9A5E0103C407E5、BR-616CE188AD2F9D
4. 场景：SC-5820A46273F30C
5. 未动态验证</x:v>
      </x:c>
    </x:row>
    <x:row r="411" ht="54" customHeight="1">
      <x:c r="A411" s="4" t="n">
        <x:v>410</x:v>
      </x:c>
      <x:c r="B411" s="4" t="str">
        <x:v>AOPS-0082</x:v>
      </x:c>
      <x:c r="C411" s="4" t="str">
        <x:v>运营配置</x:v>
      </x:c>
      <x:c r="D411" s="4" t="str">
        <x:v>展示素材编辑（平台管理员视角）</x:v>
      </x:c>
      <x:c r="E411" s="4" t="str">
        <x:v>功能需求</x:v>
      </x:c>
      <x:c r="F411" s="4" t="str">
        <x:v>P2</x:v>
      </x:c>
      <x:c r="G411" s="4" t="str">
        <x:v>验证展示素材编辑可查看目标内容</x:v>
      </x:c>
      <x:c r="H411" s="4" t="str">
        <x:v>目标内容展示</x:v>
      </x:c>
      <x:c r="I411" s="4" t="str">
        <x:v>1. 平台管理员账号已登录且具备当前页面权限</x:v>
      </x:c>
      <x:c r="J411" s="4" t="str">
        <x:v>1. 进入展示素材编辑
2. 查看目标内容</x:v>
      </x:c>
      <x:c r="K411" s="4" t="str">
        <x:v>展示素材编辑显示“目标内容”</x:v>
      </x:c>
      <x:c r="L411" s="4" t="str"/>
      <x:c r="M411" s="4" t="str">
        <x:v>未测</x:v>
      </x:c>
      <x:c r="N411" s="4" t="str"/>
      <x:c r="O411" s="4" t="str">
        <x:v>1. 来源（原型批注）：liveshow-proto/prototype/annotations/admin.js；admin-placement-detail.html
2. 页面：admin-placement-detail.html
3. 规则：BR-33F6551F16D71D、BR-3C5D60DF5FF5B4
4. 场景：SC-30626296582C69
5. 未动态验证</x:v>
      </x:c>
    </x:row>
    <x:row r="412" ht="54" customHeight="1">
      <x:c r="A412" s="4" t="n">
        <x:v>411</x:v>
      </x:c>
      <x:c r="B412" s="4" t="str">
        <x:v>AOPS-0083</x:v>
      </x:c>
      <x:c r="C412" s="4" t="str">
        <x:v>运营配置</x:v>
      </x:c>
      <x:c r="D412" s="4" t="str">
        <x:v>展示素材编辑（平台管理员视角）</x:v>
      </x:c>
      <x:c r="E412" s="4" t="str">
        <x:v>功能需求</x:v>
      </x:c>
      <x:c r="F412" s="4" t="str">
        <x:v>P2</x:v>
      </x:c>
      <x:c r="G412" s="4" t="str">
        <x:v>验证展示素材编辑可查看跳转类型</x:v>
      </x:c>
      <x:c r="H412" s="4" t="str">
        <x:v>跳转类型展示</x:v>
      </x:c>
      <x:c r="I412" s="4" t="str">
        <x:v>1. 平台管理员账号已登录且具备当前页面权限</x:v>
      </x:c>
      <x:c r="J412" s="4" t="str">
        <x:v>1. 进入展示素材编辑
2. 查看跳转类型</x:v>
      </x:c>
      <x:c r="K412" s="4" t="str">
        <x:v>展示素材编辑显示“跳转类型”</x:v>
      </x:c>
      <x:c r="L412" s="4" t="str"/>
      <x:c r="M412" s="4" t="str">
        <x:v>未测</x:v>
      </x:c>
      <x:c r="N412" s="4" t="str"/>
      <x:c r="O412" s="4" t="str">
        <x:v>1. 来源（原型批注）：liveshow-proto/prototype/annotations/admin.js；admin-placement-detail.html
2. 页面：admin-placement-detail.html
3. 规则：BR-802B6D281543BF
4. 场景：SC-FCDCBD347F4869
5. 未动态验证</x:v>
      </x:c>
    </x:row>
    <x:row r="413" ht="54" customHeight="1">
      <x:c r="A413" s="4" t="n">
        <x:v>412</x:v>
      </x:c>
      <x:c r="B413" s="4" t="str">
        <x:v>AOPS-0084</x:v>
      </x:c>
      <x:c r="C413" s="4" t="str">
        <x:v>运营配置</x:v>
      </x:c>
      <x:c r="D413" s="4" t="str">
        <x:v>展示素材编辑（平台管理员视角）</x:v>
      </x:c>
      <x:c r="E413" s="4" t="str">
        <x:v>功能需求</x:v>
      </x:c>
      <x:c r="F413" s="4" t="str">
        <x:v>P2</x:v>
      </x:c>
      <x:c r="G413" s="4" t="str">
        <x:v>验证展示素材编辑可查看展示素材</x:v>
      </x:c>
      <x:c r="H413" s="4" t="str">
        <x:v>展示素材展示</x:v>
      </x:c>
      <x:c r="I413" s="4" t="str">
        <x:v>1. 平台管理员账号已登录且具备当前页面权限</x:v>
      </x:c>
      <x:c r="J413" s="4" t="str">
        <x:v>1. 进入展示素材编辑
2. 查看展示素材</x:v>
      </x:c>
      <x:c r="K413" s="4" t="str">
        <x:v>展示素材编辑显示“展示素材”</x:v>
      </x:c>
      <x:c r="L413" s="4" t="str"/>
      <x:c r="M413" s="4" t="str">
        <x:v>未测</x:v>
      </x:c>
      <x:c r="N413" s="4" t="str"/>
      <x:c r="O413" s="4" t="str">
        <x:v>1. 来源（原型批注）：liveshow-proto/prototype/annotations/admin.js；admin-placement-detail.html
2. 页面：admin-placement-detail.html
3. 规则：BR-07E1465ECE2EBF、BR-0C11D4CE6B6305
4. 场景：SC-DA5E8ED4829164
5. 未动态验证</x:v>
      </x:c>
    </x:row>
    <x:row r="414" ht="54" customHeight="1">
      <x:c r="A414" s="4" t="n">
        <x:v>413</x:v>
      </x:c>
      <x:c r="B414" s="4" t="str">
        <x:v>AOPS-0085</x:v>
      </x:c>
      <x:c r="C414" s="4" t="str">
        <x:v>运营配置</x:v>
      </x:c>
      <x:c r="D414" s="4" t="str">
        <x:v>展示素材编辑（平台管理员视角）</x:v>
      </x:c>
      <x:c r="E414" s="4" t="str">
        <x:v>功能需求</x:v>
      </x:c>
      <x:c r="F414" s="4" t="str">
        <x:v>P2</x:v>
      </x:c>
      <x:c r="G414" s="4" t="str">
        <x:v>验证展示素材编辑可查看展示位置 / 状态</x:v>
      </x:c>
      <x:c r="H414" s="4" t="str">
        <x:v>展示位置 / 状态展示</x:v>
      </x:c>
      <x:c r="I414" s="4" t="str">
        <x:v>1. 平台管理员账号已登录且具备当前页面权限</x:v>
      </x:c>
      <x:c r="J414" s="4" t="str">
        <x:v>1. 进入展示素材编辑
2. 查看展示位置 / 状态</x:v>
      </x:c>
      <x:c r="K414" s="4" t="str">
        <x:v>展示素材编辑显示“展示位置 / 状态”</x:v>
      </x:c>
      <x:c r="L414" s="4" t="str"/>
      <x:c r="M414" s="4" t="str">
        <x:v>未测</x:v>
      </x:c>
      <x:c r="N414" s="4" t="str"/>
      <x:c r="O414" s="4" t="str">
        <x:v>1. 来源（原型批注）：liveshow-proto/prototype/annotations/admin.js；admin-placement-detail.html
2. 页面：admin-placement-detail.html
3. 规则：BR-5F0866BDE269DF、BR-7689FF744E3C41
4. 场景：SC-DEBE4155A7D33F
5. 未动态验证</x:v>
      </x:c>
    </x:row>
    <x:row r="415" ht="54" customHeight="1">
      <x:c r="A415" s="4" t="n">
        <x:v>414</x:v>
      </x:c>
      <x:c r="B415" s="4" t="str">
        <x:v>AOPS-0086</x:v>
      </x:c>
      <x:c r="C415" s="4" t="str">
        <x:v>运营配置</x:v>
      </x:c>
      <x:c r="D415" s="4" t="str">
        <x:v>展示素材编辑（平台管理员视角）</x:v>
      </x:c>
      <x:c r="E415" s="4" t="str">
        <x:v>功能需求</x:v>
      </x:c>
      <x:c r="F415" s="4" t="str">
        <x:v>P2</x:v>
      </x:c>
      <x:c r="G415" s="4" t="str">
        <x:v>验证展示素材编辑可查看展示周期</x:v>
      </x:c>
      <x:c r="H415" s="4" t="str">
        <x:v>展示周期展示</x:v>
      </x:c>
      <x:c r="I415" s="4" t="str">
        <x:v>1. 平台管理员账号已登录且具备当前页面权限</x:v>
      </x:c>
      <x:c r="J415" s="4" t="str">
        <x:v>1. 进入展示素材编辑
2. 查看展示周期</x:v>
      </x:c>
      <x:c r="K415" s="4" t="str">
        <x:v>展示素材编辑显示“展示周期”</x:v>
      </x:c>
      <x:c r="L415" s="4" t="str"/>
      <x:c r="M415" s="4" t="str">
        <x:v>未测</x:v>
      </x:c>
      <x:c r="N415" s="4" t="str"/>
      <x:c r="O415" s="4" t="str">
        <x:v>1. 来源（原型批注）：liveshow-proto/prototype/annotations/admin.js；admin-placement-detail.html
2. 页面：admin-placement-detail.html
3. 规则：BR-2C63C3939BE515、BR-EBA29B4C8EB70C
4. 场景：SC-C656B2605BC6D9
5. 未动态验证</x:v>
      </x:c>
    </x:row>
    <x:row r="416" ht="54" customHeight="1">
      <x:c r="A416" s="4" t="n">
        <x:v>415</x:v>
      </x:c>
      <x:c r="B416" s="4" t="str">
        <x:v>AOPS-0087</x:v>
      </x:c>
      <x:c r="C416" s="4" t="str">
        <x:v>运营配置</x:v>
      </x:c>
      <x:c r="D416" s="4" t="str">
        <x:v>展示素材编辑（平台管理员视角）</x:v>
      </x:c>
      <x:c r="E416" s="4" t="str">
        <x:v>功能需求</x:v>
      </x:c>
      <x:c r="F416" s="4" t="str">
        <x:v>P2</x:v>
      </x:c>
      <x:c r="G416" s="4" t="str">
        <x:v>验证只剩 1 项时的展示素材编辑结果</x:v>
      </x:c>
      <x:c r="H416" s="4" t="str">
        <x:v>展示素材编辑条件结果</x:v>
      </x:c>
      <x:c r="I416" s="4" t="str">
        <x:v>1. 平台管理员账号已登录且具备当前页面权限
2. 只剩 1 项</x:v>
      </x:c>
      <x:c r="J416" s="4" t="str">
        <x:v>1. 进入展示素材编辑
2. 查看展示素材编辑</x:v>
      </x:c>
      <x:c r="K416" s="4" t="str">
        <x:v>禁止删除</x:v>
      </x:c>
      <x:c r="L416" s="4" t="str"/>
      <x:c r="M416" s="4" t="str">
        <x:v>未测</x:v>
      </x:c>
      <x:c r="N416" s="4" t="str"/>
      <x:c r="O416" s="4" t="str">
        <x:v>1. 来源（原型批注）：liveshow-proto/prototype/annotations/admin.js；admin-placement-detail.html
2. 页面：admin-placement-detail.html
3. 规则：BR-F8044A60E6FC01
4. 场景：SC-93D0C6072AE41B
5. 未动态验证</x:v>
      </x:c>
    </x:row>
    <x:row r="417" ht="54" customHeight="1">
      <x:c r="A417" s="4" t="n">
        <x:v>416</x:v>
      </x:c>
      <x:c r="B417" s="4" t="str">
        <x:v>AOPS-0088</x:v>
      </x:c>
      <x:c r="C417" s="4" t="str">
        <x:v>运营配置</x:v>
      </x:c>
      <x:c r="D417" s="4" t="str">
        <x:v>展位配置（平台管理员视角）</x:v>
      </x:c>
      <x:c r="E417" s="4" t="str">
        <x:v>功能需求</x:v>
      </x:c>
      <x:c r="F417" s="4" t="str">
        <x:v>P2</x:v>
      </x:c>
      <x:c r="G417" s="4" t="str">
        <x:v>验证同一时的展位配置结果</x:v>
      </x:c>
      <x:c r="H417" s="4" t="str">
        <x:v>展位配置条件结果</x:v>
      </x:c>
      <x:c r="I417" s="4" t="str">
        <x:v>1. 平台管理员账号已登录且具备当前页面权限
2. 同一</x:v>
      </x:c>
      <x:c r="J417" s="4" t="str">
        <x:v>1. 进入展位配置
2. 查看展位配置</x:v>
      </x:c>
      <x:c r="K417" s="4" t="str">
        <x:v>同一展示位置的配置有效时间不得重叠</x:v>
      </x:c>
      <x:c r="L417" s="4" t="str"/>
      <x:c r="M417" s="4" t="str">
        <x:v>未测</x:v>
      </x:c>
      <x:c r="N417" s="4" t="str"/>
      <x:c r="O417" s="4" t="str">
        <x:v>1. 来源（原型批注）：liveshow-proto/prototype/annotations/admin.js；admin-placement-config.html
2. 页面：admin-placement-config.html
3. 规则：BR-A34CE24652854D
4. 场景：SC-56D2485A979181
5. 未动态验证</x:v>
      </x:c>
    </x:row>
    <x:row r="418" ht="54" customHeight="1">
      <x:c r="A418" s="4" t="n">
        <x:v>417</x:v>
      </x:c>
      <x:c r="B418" s="4" t="str">
        <x:v>AOPS-0089</x:v>
      </x:c>
      <x:c r="C418" s="4" t="str">
        <x:v>运营配置</x:v>
      </x:c>
      <x:c r="D418" s="4" t="str">
        <x:v>展位配置（平台管理员视角）</x:v>
      </x:c>
      <x:c r="E418" s="4" t="str">
        <x:v>功能需求</x:v>
      </x:c>
      <x:c r="F418" s="4" t="str">
        <x:v>P2</x:v>
      </x:c>
      <x:c r="G418" s="4" t="str">
        <x:v>验证展位配置可查看展示素材</x:v>
      </x:c>
      <x:c r="H418" s="4" t="str">
        <x:v>展示素材展示</x:v>
      </x:c>
      <x:c r="I418" s="4" t="str">
        <x:v>1. 平台管理员账号已登录且具备当前页面权限</x:v>
      </x:c>
      <x:c r="J418" s="4" t="str">
        <x:v>1. 进入展位配置
2. 查看展示素材</x:v>
      </x:c>
      <x:c r="K418" s="4" t="str">
        <x:v>展位配置显示“展示素材”</x:v>
      </x:c>
      <x:c r="L418" s="4" t="str"/>
      <x:c r="M418" s="4" t="str">
        <x:v>未测</x:v>
      </x:c>
      <x:c r="N418" s="4" t="str"/>
      <x:c r="O418" s="4" t="str">
        <x:v>1. 来源（原型批注）：liveshow-proto/prototype/annotations/admin.js；admin-placement-config.html
2. 页面：admin-placement-config.html
3. 规则：BR-69D59C25D96DDA
4. 场景：SC-DB3D9DE0A71425
5. 未动态验证</x:v>
      </x:c>
    </x:row>
    <x:row r="419" ht="54" customHeight="1">
      <x:c r="A419" s="4" t="n">
        <x:v>418</x:v>
      </x:c>
      <x:c r="B419" s="4" t="str">
        <x:v>AOPS-0090</x:v>
      </x:c>
      <x:c r="C419" s="4" t="str">
        <x:v>运营配置</x:v>
      </x:c>
      <x:c r="D419" s="4" t="str">
        <x:v>展位配置（平台管理员视角）</x:v>
      </x:c>
      <x:c r="E419" s="4" t="str">
        <x:v>功能需求</x:v>
      </x:c>
      <x:c r="F419" s="4" t="str">
        <x:v>P2</x:v>
      </x:c>
      <x:c r="G419" s="4" t="str">
        <x:v>验证展位配置可查看展示位置</x:v>
      </x:c>
      <x:c r="H419" s="4" t="str">
        <x:v>展示位置展示</x:v>
      </x:c>
      <x:c r="I419" s="4" t="str">
        <x:v>1. 平台管理员账号已登录且具备当前页面权限</x:v>
      </x:c>
      <x:c r="J419" s="4" t="str">
        <x:v>1. 进入展位配置
2. 查看展示位置</x:v>
      </x:c>
      <x:c r="K419" s="4" t="str">
        <x:v>展位配置显示“展示位置”</x:v>
      </x:c>
      <x:c r="L419" s="4" t="str"/>
      <x:c r="M419" s="4" t="str">
        <x:v>未测</x:v>
      </x:c>
      <x:c r="N419" s="4" t="str"/>
      <x:c r="O419" s="4" t="str">
        <x:v>1. 来源（原型批注）：liveshow-proto/prototype/annotations/admin.js；admin-placement-config.html
2. 页面：admin-placement-config.html
3. 规则：BR-88E1809A584AC0
4. 场景：SC-9075708A4B9E31
5. 未动态验证</x:v>
      </x:c>
    </x:row>
    <x:row r="420" ht="54" customHeight="1">
      <x:c r="A420" s="4" t="n">
        <x:v>419</x:v>
      </x:c>
      <x:c r="B420" s="4" t="str">
        <x:v>AOPS-0091</x:v>
      </x:c>
      <x:c r="C420" s="4" t="str">
        <x:v>运营配置</x:v>
      </x:c>
      <x:c r="D420" s="4" t="str">
        <x:v>展位配置（平台管理员视角）</x:v>
      </x:c>
      <x:c r="E420" s="4" t="str">
        <x:v>功能需求</x:v>
      </x:c>
      <x:c r="F420" s="4" t="str">
        <x:v>P2</x:v>
      </x:c>
      <x:c r="G420" s="4" t="str">
        <x:v>验证展位配置可查看展示周期</x:v>
      </x:c>
      <x:c r="H420" s="4" t="str">
        <x:v>展示周期展示</x:v>
      </x:c>
      <x:c r="I420" s="4" t="str">
        <x:v>1. 平台管理员账号已登录且具备当前页面权限</x:v>
      </x:c>
      <x:c r="J420" s="4" t="str">
        <x:v>1. 进入展位配置
2. 查看展示周期</x:v>
      </x:c>
      <x:c r="K420" s="4" t="str">
        <x:v>展位配置显示“展示周期”</x:v>
      </x:c>
      <x:c r="L420" s="4" t="str"/>
      <x:c r="M420" s="4" t="str">
        <x:v>未测</x:v>
      </x:c>
      <x:c r="N420" s="4" t="str"/>
      <x:c r="O420" s="4" t="str">
        <x:v>1. 来源（原型批注）：liveshow-proto/prototype/annotations/admin.js；admin-placement-config.html
2. 页面：admin-placement-config.html
3. 规则：BR-B6FE495C810A62
4. 场景：SC-A5E73727118032
5. 未动态验证</x:v>
      </x:c>
    </x:row>
    <x:row r="421" ht="54" customHeight="1">
      <x:c r="A421" s="4" t="n">
        <x:v>420</x:v>
      </x:c>
      <x:c r="B421" s="4" t="str">
        <x:v>AOPS-0092</x:v>
      </x:c>
      <x:c r="C421" s="4" t="str">
        <x:v>运营配置</x:v>
      </x:c>
      <x:c r="D421" s="4" t="str">
        <x:v>展位配置（平台管理员视角）</x:v>
      </x:c>
      <x:c r="E421" s="4" t="str">
        <x:v>功能需求</x:v>
      </x:c>
      <x:c r="F421" s="4" t="str">
        <x:v>P2</x:v>
      </x:c>
      <x:c r="G421" s="4" t="str">
        <x:v>验证展位配置可查看状态</x:v>
      </x:c>
      <x:c r="H421" s="4" t="str">
        <x:v>状态展示</x:v>
      </x:c>
      <x:c r="I421" s="4" t="str">
        <x:v>1. 平台管理员账号已登录且具备当前页面权限</x:v>
      </x:c>
      <x:c r="J421" s="4" t="str">
        <x:v>1. 进入展位配置
2. 查看状态</x:v>
      </x:c>
      <x:c r="K421" s="4" t="str">
        <x:v>展位配置显示“状态”</x:v>
      </x:c>
      <x:c r="L421" s="4" t="str"/>
      <x:c r="M421" s="4" t="str">
        <x:v>未测</x:v>
      </x:c>
      <x:c r="N421" s="4" t="str"/>
      <x:c r="O421" s="4" t="str">
        <x:v>1. 来源（原型批注）：liveshow-proto/prototype/annotations/admin.js；admin-placement-config.html
2. 页面：admin-placement-config.html
3. 规则：BR-574CF075AB1051
4. 场景：SC-E8032F437CAE79
5. 未动态验证</x:v>
      </x:c>
    </x:row>
    <x:row r="422" ht="54" customHeight="1">
      <x:c r="A422" s="4" t="n">
        <x:v>421</x:v>
      </x:c>
      <x:c r="B422" s="4" t="str">
        <x:v>AOPS-0093</x:v>
      </x:c>
      <x:c r="C422" s="4" t="str">
        <x:v>运营配置</x:v>
      </x:c>
      <x:c r="D422" s="4" t="str">
        <x:v>直播房型（平台管理员视角）</x:v>
      </x:c>
      <x:c r="E422" s="4" t="str">
        <x:v>异常用例</x:v>
      </x:c>
      <x:c r="F422" s="4" t="str">
        <x:v>P1</x:v>
      </x:c>
      <x:c r="G422" s="4" t="str">
        <x:v>验证关闭房型后的直播房型状态</x:v>
      </x:c>
      <x:c r="H422" s="4" t="str">
        <x:v>直播房型状态</x:v>
      </x:c>
      <x:c r="I422" s="4" t="str">
        <x:v>1. 平台管理员账号已登录且具备当前页面权限</x:v>
      </x:c>
      <x:c r="J422" s="4" t="str">
        <x:v>1. 进入直播房型
2. 关闭房型</x:v>
      </x:c>
      <x:c r="K422" s="4" t="str">
        <x:v>主播不可新建对应场次</x:v>
      </x:c>
      <x:c r="L422" s="4" t="str"/>
      <x:c r="M422" s="4" t="str">
        <x:v>未测</x:v>
      </x:c>
      <x:c r="N422" s="4" t="str"/>
      <x:c r="O422" s="4" t="str">
        <x:v>1. 来源（原型批注）：liveshow-proto/prototype/annotations/admin.js；admin-feature-switch.html
2. 页面：admin-feature-switch.html
3. 规则：BR-632560CDDE7F29
4. 场景：SC-09D5B2D183C0BF
5. 未动态验证</x:v>
      </x:c>
    </x:row>
    <x:row r="423" ht="54" customHeight="1">
      <x:c r="A423" s="4" t="n">
        <x:v>422</x:v>
      </x:c>
      <x:c r="B423" s="4" t="str">
        <x:v>AOPS-0094</x:v>
      </x:c>
      <x:c r="C423" s="4" t="str">
        <x:v>运营配置</x:v>
      </x:c>
      <x:c r="D423" s="4" t="str">
        <x:v>直播房型（平台管理员视角）</x:v>
      </x:c>
      <x:c r="E423" s="4" t="str">
        <x:v>业务流程</x:v>
      </x:c>
      <x:c r="F423" s="4" t="str">
        <x:v>P1</x:v>
      </x:c>
      <x:c r="G423" s="4" t="str">
        <x:v>验证门票房价格配置后的直播房型状态</x:v>
      </x:c>
      <x:c r="H423" s="4" t="str">
        <x:v>直播房型状态</x:v>
      </x:c>
      <x:c r="I423" s="4" t="str">
        <x:v>1. 平台管理员账号已登录且具备当前页面权限
2. 门票房价格配置</x:v>
      </x:c>
      <x:c r="J423" s="4" t="str">
        <x:v>1. 进入直播房型
2. 刷新直播房型</x:v>
      </x:c>
      <x:c r="K423" s="4" t="str">
        <x:v>进入价格档位列表</x:v>
      </x:c>
      <x:c r="L423" s="4" t="str"/>
      <x:c r="M423" s="4" t="str">
        <x:v>未测</x:v>
      </x:c>
      <x:c r="N423" s="4" t="str"/>
      <x:c r="O423" s="4" t="str">
        <x:v>1. 来源（原型批注）：liveshow-proto/prototype/annotations/admin.js；admin-feature-switch.html
2. 页面：admin-feature-switch.html
3. 规则：BR-1EA8E2D1073B1B
4. 场景：SC-D165B76806D304
5. 未动态验证</x:v>
      </x:c>
    </x:row>
    <x:row r="424" ht="54" customHeight="1">
      <x:c r="A424" s="4" t="n">
        <x:v>423</x:v>
      </x:c>
      <x:c r="B424" s="4" t="str">
        <x:v>AOPS-0095</x:v>
      </x:c>
      <x:c r="C424" s="4" t="str">
        <x:v>运营配置</x:v>
      </x:c>
      <x:c r="D424" s="4" t="str">
        <x:v>直播房型（平台管理员视角）</x:v>
      </x:c>
      <x:c r="E424" s="4" t="str">
        <x:v>业务流程</x:v>
      </x:c>
      <x:c r="F424" s="4" t="str">
        <x:v>P1</x:v>
      </x:c>
      <x:c r="G424" s="4" t="str">
        <x:v>验证切换开关后的直播房型状态</x:v>
      </x:c>
      <x:c r="H424" s="4" t="str">
        <x:v>直播房型状态</x:v>
      </x:c>
      <x:c r="I424" s="4" t="str">
        <x:v>1. 平台管理员账号已登录且具备当前页面权限</x:v>
      </x:c>
      <x:c r="J424" s="4" t="str">
        <x:v>1. 进入直播房型
2. 切换开关</x:v>
      </x:c>
      <x:c r="K424" s="4" t="str">
        <x:v>立即更新房型状态</x:v>
      </x:c>
      <x:c r="L424" s="4" t="str"/>
      <x:c r="M424" s="4" t="str">
        <x:v>未测</x:v>
      </x:c>
      <x:c r="N424" s="4" t="str"/>
      <x:c r="O424" s="4" t="str">
        <x:v>1. 来源（原型批注）：liveshow-proto/prototype/annotations/admin.js；admin-feature-switch.html
2. 页面：admin-feature-switch.html
3. 规则：BR-62BCBB26A5232E
4. 场景：SC-29E71A4C4C23BF
5. 未动态验证</x:v>
      </x:c>
    </x:row>
    <x:row r="425" ht="54" customHeight="1">
      <x:c r="A425" s="4" t="n">
        <x:v>424</x:v>
      </x:c>
      <x:c r="B425" s="4" t="str">
        <x:v>AOPS-0096</x:v>
      </x:c>
      <x:c r="C425" s="4" t="str">
        <x:v>运营配置</x:v>
      </x:c>
      <x:c r="D425" s="4" t="str">
        <x:v>直播房型（平台管理员视角）</x:v>
      </x:c>
      <x:c r="E425" s="4" t="str">
        <x:v>功能需求</x:v>
      </x:c>
      <x:c r="F425" s="4" t="str">
        <x:v>P1</x:v>
      </x:c>
      <x:c r="G425" s="4" t="str">
        <x:v>验证直播房型可查看操作信息</x:v>
      </x:c>
      <x:c r="H425" s="4" t="str">
        <x:v>操作信息展示</x:v>
      </x:c>
      <x:c r="I425" s="4" t="str">
        <x:v>1. 平台管理员账号已登录且具备当前页面权限</x:v>
      </x:c>
      <x:c r="J425" s="4" t="str">
        <x:v>1. 进入直播房型
2. 查看操作信息</x:v>
      </x:c>
      <x:c r="K425" s="4" t="str">
        <x:v>直播房型显示“操作信息”</x:v>
      </x:c>
      <x:c r="L425" s="4" t="str"/>
      <x:c r="M425" s="4" t="str">
        <x:v>未测</x:v>
      </x:c>
      <x:c r="N425" s="4" t="str"/>
      <x:c r="O425" s="4" t="str">
        <x:v>1. 来源（原型批注）：liveshow-proto/prototype/annotations/admin.js；admin-feature-switch.html
2. 页面：admin-feature-switch.html
3. 规则：BR-9DFD7B2188B84F
4. 场景：SC-F4446BB49F5040
5. 未动态验证</x:v>
      </x:c>
    </x:row>
    <x:row r="426" ht="54" customHeight="1">
      <x:c r="A426" s="4" t="n">
        <x:v>425</x:v>
      </x:c>
      <x:c r="B426" s="4" t="str">
        <x:v>AOPS-0097</x:v>
      </x:c>
      <x:c r="C426" s="4" t="str">
        <x:v>运营配置</x:v>
      </x:c>
      <x:c r="D426" s="4" t="str">
        <x:v>直播房型（平台管理员视角）</x:v>
      </x:c>
      <x:c r="E426" s="4" t="str">
        <x:v>功能需求</x:v>
      </x:c>
      <x:c r="F426" s="4" t="str">
        <x:v>P1</x:v>
      </x:c>
      <x:c r="G426" s="4" t="str">
        <x:v>验证直播房型可查看当前状态</x:v>
      </x:c>
      <x:c r="H426" s="4" t="str">
        <x:v>当前状态展示</x:v>
      </x:c>
      <x:c r="I426" s="4" t="str">
        <x:v>1. 平台管理员账号已登录且具备当前页面权限</x:v>
      </x:c>
      <x:c r="J426" s="4" t="str">
        <x:v>1. 进入直播房型
2. 查看当前状态</x:v>
      </x:c>
      <x:c r="K426" s="4" t="str">
        <x:v>直播房型显示“当前状态”</x:v>
      </x:c>
      <x:c r="L426" s="4" t="str"/>
      <x:c r="M426" s="4" t="str">
        <x:v>未测</x:v>
      </x:c>
      <x:c r="N426" s="4" t="str"/>
      <x:c r="O426" s="4" t="str">
        <x:v>1. 来源（原型批注）：liveshow-proto/prototype/annotations/admin.js；admin-feature-switch.html
2. 页面：admin-feature-switch.html
3. 规则：BR-7F57CA9FA55E1B
4. 场景：SC-7C17CA62C10A89
5. 未动态验证</x:v>
      </x:c>
    </x:row>
    <x:row r="427" ht="54" customHeight="1">
      <x:c r="A427" s="4" t="n">
        <x:v>426</x:v>
      </x:c>
      <x:c r="B427" s="4" t="str">
        <x:v>AOPS-0098</x:v>
      </x:c>
      <x:c r="C427" s="4" t="str">
        <x:v>运营配置</x:v>
      </x:c>
      <x:c r="D427" s="4" t="str">
        <x:v>直播房型（平台管理员视角）</x:v>
      </x:c>
      <x:c r="E427" s="4" t="str">
        <x:v>功能需求</x:v>
      </x:c>
      <x:c r="F427" s="4" t="str">
        <x:v>P1</x:v>
      </x:c>
      <x:c r="G427" s="4" t="str">
        <x:v>验证直播房型可查看房型名称</x:v>
      </x:c>
      <x:c r="H427" s="4" t="str">
        <x:v>房型名称展示</x:v>
      </x:c>
      <x:c r="I427" s="4" t="str">
        <x:v>1. 平台管理员账号已登录且具备当前页面权限</x:v>
      </x:c>
      <x:c r="J427" s="4" t="str">
        <x:v>1. 进入直播房型
2. 查看房型名称</x:v>
      </x:c>
      <x:c r="K427" s="4" t="str">
        <x:v>直播房型显示“房型名称”</x:v>
      </x:c>
      <x:c r="L427" s="4" t="str"/>
      <x:c r="M427" s="4" t="str">
        <x:v>未测</x:v>
      </x:c>
      <x:c r="N427" s="4" t="str"/>
      <x:c r="O427" s="4" t="str">
        <x:v>1. 来源（原型批注）：liveshow-proto/prototype/annotations/admin.js；admin-feature-switch.html
2. 页面：admin-feature-switch.html
3. 规则：BR-72F7D7D17C1461
4. 场景：SC-1AF96BC2838B54
5. 未动态验证</x:v>
      </x:c>
    </x:row>
    <x:row r="428" ht="54" customHeight="1">
      <x:c r="A428" s="4" t="n">
        <x:v>427</x:v>
      </x:c>
      <x:c r="B428" s="4" t="str">
        <x:v>AOPS-0099</x:v>
      </x:c>
      <x:c r="C428" s="4" t="str">
        <x:v>运营配置</x:v>
      </x:c>
      <x:c r="D428" s="4" t="str">
        <x:v>直播类型（平台管理员视角）</x:v>
      </x:c>
      <x:c r="E428" s="4" t="str">
        <x:v>业务流程</x:v>
      </x:c>
      <x:c r="F428" s="4" t="str">
        <x:v>P1</x:v>
      </x:c>
      <x:c r="G428" s="4" t="str">
        <x:v>验证编辑后的直播类型状态</x:v>
      </x:c>
      <x:c r="H428" s="4" t="str">
        <x:v>直播类型状态</x:v>
      </x:c>
      <x:c r="I428" s="4" t="str">
        <x:v>1. 平台管理员账号已登录且具备当前页面权限
2. 编辑</x:v>
      </x:c>
      <x:c r="J428" s="4" t="str">
        <x:v>1. 进入直播类型
2. 刷新直播类型</x:v>
      </x:c>
      <x:c r="K428" s="4" t="str">
        <x:v>保存四语和状态</x:v>
      </x:c>
      <x:c r="L428" s="4" t="str"/>
      <x:c r="M428" s="4" t="str">
        <x:v>未测</x:v>
      </x:c>
      <x:c r="N428" s="4" t="str"/>
      <x:c r="O428" s="4" t="str">
        <x:v>1. 来源（原型批注）：liveshow-proto/prototype/annotations/admin.js；admin-live-type.html
2. 页面：admin-live-type.html
3. 规则：BR-2BD4258019BE58
4. 场景：SC-F6F380827BC61B
5. 未动态验证</x:v>
      </x:c>
    </x:row>
    <x:row r="429" ht="54" customHeight="1">
      <x:c r="A429" s="4" t="n">
        <x:v>428</x:v>
      </x:c>
      <x:c r="B429" s="4" t="str">
        <x:v>AOPS-0100</x:v>
      </x:c>
      <x:c r="C429" s="4" t="str">
        <x:v>运营配置</x:v>
      </x:c>
      <x:c r="D429" s="4" t="str">
        <x:v>直播类型（平台管理员视角）</x:v>
      </x:c>
      <x:c r="E429" s="4" t="str">
        <x:v>异常用例</x:v>
      </x:c>
      <x:c r="F429" s="4" t="str">
        <x:v>P1</x:v>
      </x:c>
      <x:c r="G429" s="4" t="str">
        <x:v>验证停用后的直播类型状态</x:v>
      </x:c>
      <x:c r="H429" s="4" t="str">
        <x:v>直播类型状态</x:v>
      </x:c>
      <x:c r="I429" s="4" t="str">
        <x:v>1. 平台管理员账号已登录且具备当前页面权限
2. 停用</x:v>
      </x:c>
      <x:c r="J429" s="4" t="str">
        <x:v>1. 进入直播类型
2. 刷新直播类型</x:v>
      </x:c>
      <x:c r="K429" s="4" t="str">
        <x:v>不可用于新开播</x:v>
      </x:c>
      <x:c r="L429" s="4" t="str"/>
      <x:c r="M429" s="4" t="str">
        <x:v>未测</x:v>
      </x:c>
      <x:c r="N429" s="4" t="str"/>
      <x:c r="O429" s="4" t="str">
        <x:v>1. 来源（原型批注）：liveshow-proto/prototype/annotations/admin.js；admin-live-type.html
2. 页面：admin-live-type.html
3. 规则：BR-B07887CBB0A65B
4. 场景：SC-AFABF79EDC1D4B
5. 未动态验证</x:v>
      </x:c>
    </x:row>
    <x:row r="430" ht="54" customHeight="1">
      <x:c r="A430" s="4" t="n">
        <x:v>429</x:v>
      </x:c>
      <x:c r="B430" s="4" t="str">
        <x:v>AOPS-0101</x:v>
      </x:c>
      <x:c r="C430" s="4" t="str">
        <x:v>运营配置</x:v>
      </x:c>
      <x:c r="D430" s="4" t="str">
        <x:v>直播类型（平台管理员视角）</x:v>
      </x:c>
      <x:c r="E430" s="4" t="str">
        <x:v>业务流程</x:v>
      </x:c>
      <x:c r="F430" s="4" t="str">
        <x:v>P1</x:v>
      </x:c>
      <x:c r="G430" s="4" t="str">
        <x:v>验证新建后的直播类型状态</x:v>
      </x:c>
      <x:c r="H430" s="4" t="str">
        <x:v>直播类型状态</x:v>
      </x:c>
      <x:c r="I430" s="4" t="str">
        <x:v>1. 平台管理员账号已登录且具备当前页面权限
2. 新建</x:v>
      </x:c>
      <x:c r="J430" s="4" t="str">
        <x:v>1. 进入直播类型
2. 刷新直播类型</x:v>
      </x:c>
      <x:c r="K430" s="4" t="str">
        <x:v>保存四语和状态</x:v>
      </x:c>
      <x:c r="L430" s="4" t="str"/>
      <x:c r="M430" s="4" t="str">
        <x:v>未测</x:v>
      </x:c>
      <x:c r="N430" s="4" t="str"/>
      <x:c r="O430" s="4" t="str">
        <x:v>1. 来源（原型批注）：liveshow-proto/prototype/annotations/admin.js；admin-live-type.html
2. 页面：admin-live-type.html
3. 规则：BR-2BD4258019BE58
4. 场景：SC-91801239C62BD7
5. 未动态验证</x:v>
      </x:c>
    </x:row>
    <x:row r="431" ht="54" customHeight="1">
      <x:c r="A431" s="4" t="n">
        <x:v>430</x:v>
      </x:c>
      <x:c r="B431" s="4" t="str">
        <x:v>AOPS-0102</x:v>
      </x:c>
      <x:c r="C431" s="4" t="str">
        <x:v>运营配置</x:v>
      </x:c>
      <x:c r="D431" s="4" t="str">
        <x:v>直播类型（平台管理员视角）</x:v>
      </x:c>
      <x:c r="E431" s="4" t="str">
        <x:v>功能需求</x:v>
      </x:c>
      <x:c r="F431" s="4" t="str">
        <x:v>P1</x:v>
      </x:c>
      <x:c r="G431" s="4" t="str">
        <x:v>验证直播类型可查看类型 ID</x:v>
      </x:c>
      <x:c r="H431" s="4" t="str">
        <x:v>类型 ID展示</x:v>
      </x:c>
      <x:c r="I431" s="4" t="str">
        <x:v>1. 平台管理员账号已登录且具备当前页面权限</x:v>
      </x:c>
      <x:c r="J431" s="4" t="str">
        <x:v>1. 进入直播类型
2. 查看类型 ID</x:v>
      </x:c>
      <x:c r="K431" s="4" t="str">
        <x:v>直播类型显示“类型 ID”</x:v>
      </x:c>
      <x:c r="L431" s="4" t="str"/>
      <x:c r="M431" s="4" t="str">
        <x:v>未测</x:v>
      </x:c>
      <x:c r="N431" s="4" t="str"/>
      <x:c r="O431" s="4" t="str">
        <x:v>1. 来源（原型批注）：liveshow-proto/prototype/annotations/admin.js；admin-live-type.html
2. 页面：admin-live-type.html
3. 规则：BR-9D2C1DD3039E69
4. 场景：SC-3D83402D4DBA67
5. 未动态验证</x:v>
      </x:c>
    </x:row>
    <x:row r="432" ht="54" customHeight="1">
      <x:c r="A432" s="4" t="n">
        <x:v>431</x:v>
      </x:c>
      <x:c r="B432" s="4" t="str">
        <x:v>AOPS-0103</x:v>
      </x:c>
      <x:c r="C432" s="4" t="str">
        <x:v>运营配置</x:v>
      </x:c>
      <x:c r="D432" s="4" t="str">
        <x:v>直播类型（平台管理员视角）</x:v>
      </x:c>
      <x:c r="E432" s="4" t="str">
        <x:v>功能需求</x:v>
      </x:c>
      <x:c r="F432" s="4" t="str">
        <x:v>P1</x:v>
      </x:c>
      <x:c r="G432" s="4" t="str">
        <x:v>验证直播类型可查看四语名称</x:v>
      </x:c>
      <x:c r="H432" s="4" t="str">
        <x:v>四语名称展示</x:v>
      </x:c>
      <x:c r="I432" s="4" t="str">
        <x:v>1. 平台管理员账号已登录且具备当前页面权限</x:v>
      </x:c>
      <x:c r="J432" s="4" t="str">
        <x:v>1. 进入直播类型
2. 查看四语名称</x:v>
      </x:c>
      <x:c r="K432" s="4" t="str">
        <x:v>直播类型显示“四语名称”</x:v>
      </x:c>
      <x:c r="L432" s="4" t="str"/>
      <x:c r="M432" s="4" t="str">
        <x:v>未测</x:v>
      </x:c>
      <x:c r="N432" s="4" t="str"/>
      <x:c r="O432" s="4" t="str">
        <x:v>1. 来源（原型批注）：liveshow-proto/prototype/annotations/admin.js；admin-live-type.html
2. 页面：admin-live-type.html
3. 规则：BR-FB97A9A58B09D5
4. 场景：SC-ECC45EE36D5079
5. 未动态验证</x:v>
      </x:c>
    </x:row>
    <x:row r="433" ht="54" customHeight="1">
      <x:c r="A433" s="4" t="n">
        <x:v>432</x:v>
      </x:c>
      <x:c r="B433" s="4" t="str">
        <x:v>AOPS-0104</x:v>
      </x:c>
      <x:c r="C433" s="4" t="str">
        <x:v>运营配置</x:v>
      </x:c>
      <x:c r="D433" s="4" t="str">
        <x:v>直播类型（平台管理员视角）</x:v>
      </x:c>
      <x:c r="E433" s="4" t="str">
        <x:v>功能需求</x:v>
      </x:c>
      <x:c r="F433" s="4" t="str">
        <x:v>P1</x:v>
      </x:c>
      <x:c r="G433" s="4" t="str">
        <x:v>验证直播类型可查看状态</x:v>
      </x:c>
      <x:c r="H433" s="4" t="str">
        <x:v>状态展示</x:v>
      </x:c>
      <x:c r="I433" s="4" t="str">
        <x:v>1. 平台管理员账号已登录且具备当前页面权限</x:v>
      </x:c>
      <x:c r="J433" s="4" t="str">
        <x:v>1. 进入直播类型
2. 查看状态</x:v>
      </x:c>
      <x:c r="K433" s="4" t="str">
        <x:v>直播类型显示“状态”</x:v>
      </x:c>
      <x:c r="L433" s="4" t="str"/>
      <x:c r="M433" s="4" t="str">
        <x:v>未测</x:v>
      </x:c>
      <x:c r="N433" s="4" t="str"/>
      <x:c r="O433" s="4" t="str">
        <x:v>1. 来源（原型批注）：liveshow-proto/prototype/annotations/admin.js；admin-live-type.html
2. 页面：admin-live-type.html
3. 规则：BR-F9AA6B120B0B7A、BR-B07887CBB0A65B
4. 场景：SC-BD1006DFBA3A41
5. 未动态验证</x:v>
      </x:c>
    </x:row>
    <x:row r="434" ht="54" customHeight="1">
      <x:c r="A434" s="4" t="n">
        <x:v>433</x:v>
      </x:c>
      <x:c r="B434" s="4" t="str">
        <x:v>AACCT-0001</x:v>
      </x:c>
      <x:c r="C434" s="4" t="str">
        <x:v>运营账号</x:v>
      </x:c>
      <x:c r="D434" s="4" t="str">
        <x:v>额度限制（平台管理员视角）</x:v>
      </x:c>
      <x:c r="E434" s="4" t="str">
        <x:v>功能需求</x:v>
      </x:c>
      <x:c r="F434" s="4" t="str">
        <x:v>P2</x:v>
      </x:c>
      <x:c r="G434" s="4" t="str">
        <x:v>验证额度限制可查看本月累计消费</x:v>
      </x:c>
      <x:c r="H434" s="4" t="str">
        <x:v>本月累计消费展示</x:v>
      </x:c>
      <x:c r="I434" s="4" t="str">
        <x:v>1. 平台管理员账号已登录且具备当前页面权限</x:v>
      </x:c>
      <x:c r="J434" s="4" t="str">
        <x:v>1. 进入额度限制
2. 查看本月累计消费</x:v>
      </x:c>
      <x:c r="K434" s="4" t="str">
        <x:v>额度限制显示“本月累计消费”</x:v>
      </x:c>
      <x:c r="L434" s="4" t="str"/>
      <x:c r="M434" s="4" t="str">
        <x:v>未测</x:v>
      </x:c>
      <x:c r="N434" s="4" t="str"/>
      <x:c r="O434" s="4" t="str">
        <x:v>1. 来源（原型批注）：liveshow-proto/prototype/annotations/admin.js；admin-operation-guild-controls.html
2. 页面：admin-operation-guild-controls.html
3. 规则：BR-03C861D5124FE2
4. 场景：SC-513FCBAE4CD2F0
5. 未动态验证</x:v>
      </x:c>
    </x:row>
    <x:row r="435" ht="54" customHeight="1">
      <x:c r="A435" s="4" t="n">
        <x:v>434</x:v>
      </x:c>
      <x:c r="B435" s="4" t="str">
        <x:v>AACCT-0002</x:v>
      </x:c>
      <x:c r="C435" s="4" t="str">
        <x:v>运营账号</x:v>
      </x:c>
      <x:c r="D435" s="4" t="str">
        <x:v>额度限制（平台管理员视角）</x:v>
      </x:c>
      <x:c r="E435" s="4" t="str">
        <x:v>功能需求</x:v>
      </x:c>
      <x:c r="F435" s="4" t="str">
        <x:v>P2</x:v>
      </x:c>
      <x:c r="G435" s="4" t="str">
        <x:v>验证额度限制可查看本月累计已发放</x:v>
      </x:c>
      <x:c r="H435" s="4" t="str">
        <x:v>本月累计已发放展示</x:v>
      </x:c>
      <x:c r="I435" s="4" t="str">
        <x:v>1. 平台管理员账号已登录且具备当前页面权限</x:v>
      </x:c>
      <x:c r="J435" s="4" t="str">
        <x:v>1. 进入额度限制
2. 查看本月累计已发放</x:v>
      </x:c>
      <x:c r="K435" s="4" t="str">
        <x:v>额度限制显示“本月累计已发放”</x:v>
      </x:c>
      <x:c r="L435" s="4" t="str"/>
      <x:c r="M435" s="4" t="str">
        <x:v>未测</x:v>
      </x:c>
      <x:c r="N435" s="4" t="str"/>
      <x:c r="O435" s="4" t="str">
        <x:v>1. 来源（原型批注）：liveshow-proto/prototype/annotations/admin.js；admin-operation-guild-controls.html
2. 页面：admin-operation-guild-controls.html
3. 规则：BR-8E772237014321
4. 场景：SC-5421594FE9C2A7
5. 未动态验证</x:v>
      </x:c>
    </x:row>
    <x:row r="436" ht="54" customHeight="1">
      <x:c r="A436" s="4" t="n">
        <x:v>435</x:v>
      </x:c>
      <x:c r="B436" s="4" t="str">
        <x:v>AACCT-0003</x:v>
      </x:c>
      <x:c r="C436" s="4" t="str">
        <x:v>运营账号</x:v>
      </x:c>
      <x:c r="D436" s="4" t="str">
        <x:v>额度限制（平台管理员视角）</x:v>
      </x:c>
      <x:c r="E436" s="4" t="str">
        <x:v>功能需求</x:v>
      </x:c>
      <x:c r="F436" s="4" t="str">
        <x:v>P2</x:v>
      </x:c>
      <x:c r="G436" s="4" t="str">
        <x:v>验证额度限制可查看本月剩余额度</x:v>
      </x:c>
      <x:c r="H436" s="4" t="str">
        <x:v>本月剩余额度展示</x:v>
      </x:c>
      <x:c r="I436" s="4" t="str">
        <x:v>1. 平台管理员账号已登录且具备当前页面权限</x:v>
      </x:c>
      <x:c r="J436" s="4" t="str">
        <x:v>1. 进入额度限制
2. 查看本月剩余额度</x:v>
      </x:c>
      <x:c r="K436" s="4" t="str">
        <x:v>额度限制显示“本月剩余额度”</x:v>
      </x:c>
      <x:c r="L436" s="4" t="str"/>
      <x:c r="M436" s="4" t="str">
        <x:v>未测</x:v>
      </x:c>
      <x:c r="N436" s="4" t="str"/>
      <x:c r="O436" s="4" t="str">
        <x:v>1. 来源（原型批注）：liveshow-proto/prototype/annotations/admin.js；admin-operation-guild-controls.html
2. 页面：admin-operation-guild-controls.html
3. 规则：BR-44DF945E04FEAC
4. 场景：SC-CBC6DE68708F3B
5. 未动态验证</x:v>
      </x:c>
    </x:row>
    <x:row r="437" ht="54" customHeight="1">
      <x:c r="A437" s="4" t="n">
        <x:v>436</x:v>
      </x:c>
      <x:c r="B437" s="4" t="str">
        <x:v>AACCT-0004</x:v>
      </x:c>
      <x:c r="C437" s="4" t="str">
        <x:v>运营账号</x:v>
      </x:c>
      <x:c r="D437" s="4" t="str">
        <x:v>额度限制（平台管理员视角）</x:v>
      </x:c>
      <x:c r="E437" s="4" t="str">
        <x:v>功能需求</x:v>
      </x:c>
      <x:c r="F437" s="4" t="str">
        <x:v>P2</x:v>
      </x:c>
      <x:c r="G437" s="4" t="str">
        <x:v>验证额度限制可查看单账号月度额度</x:v>
      </x:c>
      <x:c r="H437" s="4" t="str">
        <x:v>单账号月度额度展示</x:v>
      </x:c>
      <x:c r="I437" s="4" t="str">
        <x:v>1. 平台管理员账号已登录且具备当前页面权限</x:v>
      </x:c>
      <x:c r="J437" s="4" t="str">
        <x:v>1. 进入额度限制
2. 查看单账号月度额度</x:v>
      </x:c>
      <x:c r="K437" s="4" t="str">
        <x:v>额度限制显示“单账号月度额度”</x:v>
      </x:c>
      <x:c r="L437" s="4" t="str"/>
      <x:c r="M437" s="4" t="str">
        <x:v>未测</x:v>
      </x:c>
      <x:c r="N437" s="4" t="str"/>
      <x:c r="O437" s="4" t="str">
        <x:v>1. 来源（原型批注）：liveshow-proto/prototype/annotations/admin.js；admin-operation-guild-controls.html
2. 页面：admin-operation-guild-controls.html
3. 规则：BR-3F04CCD2E1E207
4. 场景：SC-7E05D56EF051A3
5. 未动态验证</x:v>
      </x:c>
    </x:row>
    <x:row r="438" ht="54" customHeight="1">
      <x:c r="A438" s="4" t="n">
        <x:v>437</x:v>
      </x:c>
      <x:c r="B438" s="4" t="str">
        <x:v>AACCT-0005</x:v>
      </x:c>
      <x:c r="C438" s="4" t="str">
        <x:v>运营账号</x:v>
      </x:c>
      <x:c r="D438" s="4" t="str">
        <x:v>额度限制（平台管理员视角）</x:v>
      </x:c>
      <x:c r="E438" s="4" t="str">
        <x:v>功能需求</x:v>
      </x:c>
      <x:c r="F438" s="4" t="str">
        <x:v>P2</x:v>
      </x:c>
      <x:c r="G438" s="4" t="str">
        <x:v>验证额度限制可查看公会月度额度</x:v>
      </x:c>
      <x:c r="H438" s="4" t="str">
        <x:v>公会月度额度展示</x:v>
      </x:c>
      <x:c r="I438" s="4" t="str">
        <x:v>1. 平台管理员账号已登录且具备当前页面权限</x:v>
      </x:c>
      <x:c r="J438" s="4" t="str">
        <x:v>1. 进入额度限制
2. 查看公会月度额度</x:v>
      </x:c>
      <x:c r="K438" s="4" t="str">
        <x:v>额度限制显示“公会月度额度”</x:v>
      </x:c>
      <x:c r="L438" s="4" t="str"/>
      <x:c r="M438" s="4" t="str">
        <x:v>未测</x:v>
      </x:c>
      <x:c r="N438" s="4" t="str"/>
      <x:c r="O438" s="4" t="str">
        <x:v>1. 来源（原型批注）：liveshow-proto/prototype/annotations/admin.js；admin-operation-guild-controls.html
2. 页面：admin-operation-guild-controls.html
3. 规则：BR-DEBFACBA809F81
4. 场景：SC-61957E164EB16F
5. 未动态验证</x:v>
      </x:c>
    </x:row>
    <x:row r="439" ht="54" customHeight="1">
      <x:c r="A439" s="4" t="n">
        <x:v>438</x:v>
      </x:c>
      <x:c r="B439" s="4" t="str">
        <x:v>AACCT-0006</x:v>
      </x:c>
      <x:c r="C439" s="4" t="str">
        <x:v>运营账号</x:v>
      </x:c>
      <x:c r="D439" s="4" t="str">
        <x:v>额度限制（平台管理员视角）</x:v>
      </x:c>
      <x:c r="E439" s="4" t="str">
        <x:v>功能需求</x:v>
      </x:c>
      <x:c r="F439" s="4" t="str">
        <x:v>P2</x:v>
      </x:c>
      <x:c r="G439" s="4" t="str">
        <x:v>验证额度限制可查看账户余额累计</x:v>
      </x:c>
      <x:c r="H439" s="4" t="str">
        <x:v>账户余额累计展示</x:v>
      </x:c>
      <x:c r="I439" s="4" t="str">
        <x:v>1. 平台管理员账号已登录且具备当前页面权限</x:v>
      </x:c>
      <x:c r="J439" s="4" t="str">
        <x:v>1. 进入额度限制
2. 查看账户余额累计</x:v>
      </x:c>
      <x:c r="K439" s="4" t="str">
        <x:v>额度限制显示“账户余额累计”</x:v>
      </x:c>
      <x:c r="L439" s="4" t="str"/>
      <x:c r="M439" s="4" t="str">
        <x:v>未测</x:v>
      </x:c>
      <x:c r="N439" s="4" t="str"/>
      <x:c r="O439" s="4" t="str">
        <x:v>1. 来源（原型批注）：liveshow-proto/prototype/annotations/admin.js；admin-operation-guild-controls.html
2. 页面：admin-operation-guild-controls.html
3. 规则：BR-BBF421C817D004
4. 场景：SC-C139C9E9D6B9FC
5. 未动态验证</x:v>
      </x:c>
    </x:row>
    <x:row r="440" ht="54" customHeight="1">
      <x:c r="A440" s="4" t="n">
        <x:v>439</x:v>
      </x:c>
      <x:c r="B440" s="4" t="str">
        <x:v>AACCT-0007</x:v>
      </x:c>
      <x:c r="C440" s="4" t="str">
        <x:v>运营账号</x:v>
      </x:c>
      <x:c r="D440" s="4" t="str">
        <x:v>额度限制（平台管理员视角）</x:v>
      </x:c>
      <x:c r="E440" s="4" t="str">
        <x:v>业务流程</x:v>
      </x:c>
      <x:c r="F440" s="4" t="str">
        <x:v>P2</x:v>
      </x:c>
      <x:c r="G440" s="4" t="str">
        <x:v>验证配置额度后的额度限制状态</x:v>
      </x:c>
      <x:c r="H440" s="4" t="str">
        <x:v>额度限制状态</x:v>
      </x:c>
      <x:c r="I440" s="4" t="str">
        <x:v>1. 平台管理员账号已登录且具备当前页面权限
2. 配置额度</x:v>
      </x:c>
      <x:c r="J440" s="4" t="str">
        <x:v>1. 进入额度限制
2. 刷新额度限制</x:v>
      </x:c>
      <x:c r="K440" s="4" t="str">
        <x:v>保存后限制公会后续发放</x:v>
      </x:c>
      <x:c r="L440" s="4" t="str"/>
      <x:c r="M440" s="4" t="str">
        <x:v>未测</x:v>
      </x:c>
      <x:c r="N440" s="4" t="str"/>
      <x:c r="O440" s="4" t="str">
        <x:v>1. 来源（原型批注）：liveshow-proto/prototype/annotations/admin.js；admin-operation-guild-controls.html
2. 页面：admin-operation-guild-controls.html
3. 规则：BR-6B99DD866C8A21
4. 场景：SC-164483A73053EC
5. 未动态验证</x:v>
      </x:c>
    </x:row>
    <x:row r="441" ht="54" customHeight="1">
      <x:c r="A441" s="4" t="n">
        <x:v>440</x:v>
      </x:c>
      <x:c r="B441" s="4" t="str">
        <x:v>AACCT-0008</x:v>
      </x:c>
      <x:c r="C441" s="4" t="str">
        <x:v>运营账号</x:v>
      </x:c>
      <x:c r="D441" s="4" t="str">
        <x:v>发放记录（平台管理员视角）</x:v>
      </x:c>
      <x:c r="E441" s="4" t="str">
        <x:v>功能需求</x:v>
      </x:c>
      <x:c r="F441" s="4" t="str">
        <x:v>P2</x:v>
      </x:c>
      <x:c r="G441" s="4" t="str">
        <x:v>验证发放记录可查看操作人</x:v>
      </x:c>
      <x:c r="H441" s="4" t="str">
        <x:v>操作人展示</x:v>
      </x:c>
      <x:c r="I441" s="4" t="str">
        <x:v>1. 平台管理员账号已登录且具备当前页面权限</x:v>
      </x:c>
      <x:c r="J441" s="4" t="str">
        <x:v>1. 进入发放记录
2. 查看操作人</x:v>
      </x:c>
      <x:c r="K441" s="4" t="str">
        <x:v>发放记录显示“操作人”</x:v>
      </x:c>
      <x:c r="L441" s="4" t="str"/>
      <x:c r="M441" s="4" t="str">
        <x:v>未测</x:v>
      </x:c>
      <x:c r="N441" s="4" t="str"/>
      <x:c r="O441" s="4" t="str">
        <x:v>1. 来源（原型批注）：liveshow-proto/prototype/annotations/admin.js；admin-operation-issue-records.html
2. 页面：admin-operation-issue-records.html
3. 规则：BR-CE344A9E6D7D4E
4. 场景：SC-DD9110C8E9C6B5
5. 未动态验证</x:v>
      </x:c>
    </x:row>
    <x:row r="442" ht="54" customHeight="1">
      <x:c r="A442" s="4" t="n">
        <x:v>441</x:v>
      </x:c>
      <x:c r="B442" s="4" t="str">
        <x:v>AACCT-0009</x:v>
      </x:c>
      <x:c r="C442" s="4" t="str">
        <x:v>运营账号</x:v>
      </x:c>
      <x:c r="D442" s="4" t="str">
        <x:v>发放记录（平台管理员视角）</x:v>
      </x:c>
      <x:c r="E442" s="4" t="str">
        <x:v>功能需求</x:v>
      </x:c>
      <x:c r="F442" s="4" t="str">
        <x:v>P2</x:v>
      </x:c>
      <x:c r="G442" s="4" t="str">
        <x:v>验证发放记录可查看发放后余额</x:v>
      </x:c>
      <x:c r="H442" s="4" t="str">
        <x:v>发放后余额展示</x:v>
      </x:c>
      <x:c r="I442" s="4" t="str">
        <x:v>1. 平台管理员账号已登录且具备当前页面权限</x:v>
      </x:c>
      <x:c r="J442" s="4" t="str">
        <x:v>1. 进入发放记录
2. 查看发放后余额</x:v>
      </x:c>
      <x:c r="K442" s="4" t="str">
        <x:v>发放记录显示“发放后余额”</x:v>
      </x:c>
      <x:c r="L442" s="4" t="str"/>
      <x:c r="M442" s="4" t="str">
        <x:v>未测</x:v>
      </x:c>
      <x:c r="N442" s="4" t="str"/>
      <x:c r="O442" s="4" t="str">
        <x:v>1. 来源（原型批注）：liveshow-proto/prototype/annotations/admin.js；admin-operation-issue-records.html
2. 页面：admin-operation-issue-records.html
3. 规则：BR-4871F8E1701E94
4. 场景：SC-1885A8F87B407B
5. 未动态验证</x:v>
      </x:c>
    </x:row>
    <x:row r="443" ht="54" customHeight="1">
      <x:c r="A443" s="4" t="n">
        <x:v>442</x:v>
      </x:c>
      <x:c r="B443" s="4" t="str">
        <x:v>AACCT-0010</x:v>
      </x:c>
      <x:c r="C443" s="4" t="str">
        <x:v>运营账号</x:v>
      </x:c>
      <x:c r="D443" s="4" t="str">
        <x:v>发放记录（平台管理员视角）</x:v>
      </x:c>
      <x:c r="E443" s="4" t="str">
        <x:v>功能需求</x:v>
      </x:c>
      <x:c r="F443" s="4" t="str">
        <x:v>P2</x:v>
      </x:c>
      <x:c r="G443" s="4" t="str">
        <x:v>验证发放记录可查看发放金币</x:v>
      </x:c>
      <x:c r="H443" s="4" t="str">
        <x:v>发放金币展示</x:v>
      </x:c>
      <x:c r="I443" s="4" t="str">
        <x:v>1. 平台管理员账号已登录且具备当前页面权限</x:v>
      </x:c>
      <x:c r="J443" s="4" t="str">
        <x:v>1. 进入发放记录
2. 查看发放金币</x:v>
      </x:c>
      <x:c r="K443" s="4" t="str">
        <x:v>发放记录显示“发放金币”</x:v>
      </x:c>
      <x:c r="L443" s="4" t="str"/>
      <x:c r="M443" s="4" t="str">
        <x:v>未测</x:v>
      </x:c>
      <x:c r="N443" s="4" t="str"/>
      <x:c r="O443" s="4" t="str">
        <x:v>1. 来源（原型批注）：liveshow-proto/prototype/annotations/admin.js；admin-operation-issue-records.html
2. 页面：admin-operation-issue-records.html
3. 规则：BR-FE3DBB747B7847
4. 场景：SC-35AA954A7E1948
5. 未动态验证</x:v>
      </x:c>
    </x:row>
    <x:row r="444" ht="54" customHeight="1">
      <x:c r="A444" s="4" t="n">
        <x:v>443</x:v>
      </x:c>
      <x:c r="B444" s="4" t="str">
        <x:v>AACCT-0011</x:v>
      </x:c>
      <x:c r="C444" s="4" t="str">
        <x:v>运营账号</x:v>
      </x:c>
      <x:c r="D444" s="4" t="str">
        <x:v>发放记录（平台管理员视角）</x:v>
      </x:c>
      <x:c r="E444" s="4" t="str">
        <x:v>功能需求</x:v>
      </x:c>
      <x:c r="F444" s="4" t="str">
        <x:v>P2</x:v>
      </x:c>
      <x:c r="G444" s="4" t="str">
        <x:v>验证发放记录可查看发放时间</x:v>
      </x:c>
      <x:c r="H444" s="4" t="str">
        <x:v>发放时间展示</x:v>
      </x:c>
      <x:c r="I444" s="4" t="str">
        <x:v>1. 平台管理员账号已登录且具备当前页面权限</x:v>
      </x:c>
      <x:c r="J444" s="4" t="str">
        <x:v>1. 进入发放记录
2. 查看发放时间</x:v>
      </x:c>
      <x:c r="K444" s="4" t="str">
        <x:v>发放记录显示“发放时间”</x:v>
      </x:c>
      <x:c r="L444" s="4" t="str"/>
      <x:c r="M444" s="4" t="str">
        <x:v>未测</x:v>
      </x:c>
      <x:c r="N444" s="4" t="str"/>
      <x:c r="O444" s="4" t="str">
        <x:v>1. 来源（原型批注）：liveshow-proto/prototype/annotations/admin.js；admin-operation-issue-records.html
2. 页面：admin-operation-issue-records.html
3. 规则：BR-4D1AD123227F94
4. 场景：SC-653B4A197ECA49
5. 未动态验证</x:v>
      </x:c>
    </x:row>
    <x:row r="445" ht="54" customHeight="1">
      <x:c r="A445" s="4" t="n">
        <x:v>444</x:v>
      </x:c>
      <x:c r="B445" s="4" t="str">
        <x:v>AACCT-0012</x:v>
      </x:c>
      <x:c r="C445" s="4" t="str">
        <x:v>运营账号</x:v>
      </x:c>
      <x:c r="D445" s="4" t="str">
        <x:v>送礼记录（平台管理员视角）</x:v>
      </x:c>
      <x:c r="E445" s="4" t="str">
        <x:v>功能需求</x:v>
      </x:c>
      <x:c r="F445" s="4" t="str">
        <x:v>P2</x:v>
      </x:c>
      <x:c r="G445" s="4" t="str">
        <x:v>验证送礼记录可查看礼物 / 主播</x:v>
      </x:c>
      <x:c r="H445" s="4" t="str">
        <x:v>礼物 / 主播展示</x:v>
      </x:c>
      <x:c r="I445" s="4" t="str">
        <x:v>1. 平台管理员账号已登录且具备当前页面权限</x:v>
      </x:c>
      <x:c r="J445" s="4" t="str">
        <x:v>1. 进入送礼记录
2. 查看礼物 / 主播</x:v>
      </x:c>
      <x:c r="K445" s="4" t="str">
        <x:v>送礼记录显示“礼物 / 主播”</x:v>
      </x:c>
      <x:c r="L445" s="4" t="str"/>
      <x:c r="M445" s="4" t="str">
        <x:v>未测</x:v>
      </x:c>
      <x:c r="N445" s="4" t="str"/>
      <x:c r="O445" s="4" t="str">
        <x:v>1. 来源（原型批注）：liveshow-proto/prototype/annotations/admin.js；admin-operation-gift-records.html
2. 页面：admin-operation-gift-records.html
3. 规则：BR-A136308DAA41FC
4. 场景：SC-07F71312931037
5. 未动态验证</x:v>
      </x:c>
    </x:row>
    <x:row r="446" ht="54" customHeight="1">
      <x:c r="A446" s="4" t="n">
        <x:v>445</x:v>
      </x:c>
      <x:c r="B446" s="4" t="str">
        <x:v>AACCT-0013</x:v>
      </x:c>
      <x:c r="C446" s="4" t="str">
        <x:v>运营账号</x:v>
      </x:c>
      <x:c r="D446" s="4" t="str">
        <x:v>送礼记录（平台管理员视角）</x:v>
      </x:c>
      <x:c r="E446" s="4" t="str">
        <x:v>功能需求</x:v>
      </x:c>
      <x:c r="F446" s="4" t="str">
        <x:v>P2</x:v>
      </x:c>
      <x:c r="G446" s="4" t="str">
        <x:v>验证送礼记录可查看消费金币</x:v>
      </x:c>
      <x:c r="H446" s="4" t="str">
        <x:v>消费金币展示</x:v>
      </x:c>
      <x:c r="I446" s="4" t="str">
        <x:v>1. 平台管理员账号已登录且具备当前页面权限</x:v>
      </x:c>
      <x:c r="J446" s="4" t="str">
        <x:v>1. 进入送礼记录
2. 查看消费金币</x:v>
      </x:c>
      <x:c r="K446" s="4" t="str">
        <x:v>送礼记录显示“消费金币”</x:v>
      </x:c>
      <x:c r="L446" s="4" t="str"/>
      <x:c r="M446" s="4" t="str">
        <x:v>未测</x:v>
      </x:c>
      <x:c r="N446" s="4" t="str"/>
      <x:c r="O446" s="4" t="str">
        <x:v>1. 来源（原型批注）：liveshow-proto/prototype/annotations/admin.js；admin-operation-gift-records.html
2. 页面：admin-operation-gift-records.html
3. 规则：BR-75A50CC897DC18
4. 场景：SC-8B4D86429701F5
5. 未动态验证</x:v>
      </x:c>
    </x:row>
    <x:row r="447" ht="54" customHeight="1">
      <x:c r="A447" s="4" t="n">
        <x:v>446</x:v>
      </x:c>
      <x:c r="B447" s="4" t="str">
        <x:v>AACCT-0014</x:v>
      </x:c>
      <x:c r="C447" s="4" t="str">
        <x:v>运营账号</x:v>
      </x:c>
      <x:c r="D447" s="4" t="str">
        <x:v>送礼记录（平台管理员视角）</x:v>
      </x:c>
      <x:c r="E447" s="4" t="str">
        <x:v>功能需求</x:v>
      </x:c>
      <x:c r="F447" s="4" t="str">
        <x:v>P2</x:v>
      </x:c>
      <x:c r="G447" s="4" t="str">
        <x:v>验证送礼记录可查看赠送时间</x:v>
      </x:c>
      <x:c r="H447" s="4" t="str">
        <x:v>赠送时间展示</x:v>
      </x:c>
      <x:c r="I447" s="4" t="str">
        <x:v>1. 平台管理员账号已登录且具备当前页面权限</x:v>
      </x:c>
      <x:c r="J447" s="4" t="str">
        <x:v>1. 进入送礼记录
2. 查看赠送时间</x:v>
      </x:c>
      <x:c r="K447" s="4" t="str">
        <x:v>送礼记录显示“赠送时间”</x:v>
      </x:c>
      <x:c r="L447" s="4" t="str"/>
      <x:c r="M447" s="4" t="str">
        <x:v>未测</x:v>
      </x:c>
      <x:c r="N447" s="4" t="str"/>
      <x:c r="O447" s="4" t="str">
        <x:v>1. 来源（原型批注）：liveshow-proto/prototype/annotations/admin.js；admin-operation-gift-records.html
2. 页面：admin-operation-gift-records.html
3. 规则：BR-3906F83C77DAA6
4. 场景：SC-CD9008C5430039
5. 未动态验证</x:v>
      </x:c>
    </x:row>
    <x:row r="448" ht="54" customHeight="1">
      <x:c r="A448" s="4" t="n">
        <x:v>447</x:v>
      </x:c>
      <x:c r="B448" s="4" t="str">
        <x:v>AACCT-0015</x:v>
      </x:c>
      <x:c r="C448" s="4" t="str">
        <x:v>运营账号</x:v>
      </x:c>
      <x:c r="D448" s="4" t="str">
        <x:v>运营账号主页（平台管理员视角）</x:v>
      </x:c>
      <x:c r="E448" s="4" t="str">
        <x:v>功能需求</x:v>
      </x:c>
      <x:c r="F448" s="4" t="str">
        <x:v>P2</x:v>
      </x:c>
      <x:c r="G448" s="4" t="str">
        <x:v>验证运营账号主页可查看发放记录</x:v>
      </x:c>
      <x:c r="H448" s="4" t="str">
        <x:v>发放记录展示</x:v>
      </x:c>
      <x:c r="I448" s="4" t="str">
        <x:v>1. 平台管理员账号已登录且具备当前页面权限</x:v>
      </x:c>
      <x:c r="J448" s="4" t="str">
        <x:v>1. 进入运营账号主页
2. 查看发放记录</x:v>
      </x:c>
      <x:c r="K448" s="4" t="str">
        <x:v>运营账号主页显示“发放记录”</x:v>
      </x:c>
      <x:c r="L448" s="4" t="str"/>
      <x:c r="M448" s="4" t="str">
        <x:v>未测</x:v>
      </x:c>
      <x:c r="N448" s="4" t="str"/>
      <x:c r="O448" s="4" t="str">
        <x:v>1. 来源（原型批注）：liveshow-proto/prototype/annotations/admin.js；admin-operation-account-detail.html
2. 页面：admin-operation-account-detail.html
3. 规则：BR-B1F2A4DB8D2ACA
4. 场景：SC-0E6D83BCC0A799
5. 未动态验证</x:v>
      </x:c>
    </x:row>
    <x:row r="449" ht="54" customHeight="1">
      <x:c r="A449" s="4" t="n">
        <x:v>448</x:v>
      </x:c>
      <x:c r="B449" s="4" t="str">
        <x:v>AACCT-0016</x:v>
      </x:c>
      <x:c r="C449" s="4" t="str">
        <x:v>运营账号</x:v>
      </x:c>
      <x:c r="D449" s="4" t="str">
        <x:v>运营账号主页（平台管理员视角）</x:v>
      </x:c>
      <x:c r="E449" s="4" t="str">
        <x:v>功能需求</x:v>
      </x:c>
      <x:c r="F449" s="4" t="str">
        <x:v>P2</x:v>
      </x:c>
      <x:c r="G449" s="4" t="str">
        <x:v>验证运营账号主页可查看送礼记录</x:v>
      </x:c>
      <x:c r="H449" s="4" t="str">
        <x:v>送礼记录展示</x:v>
      </x:c>
      <x:c r="I449" s="4" t="str">
        <x:v>1. 平台管理员账号已登录且具备当前页面权限</x:v>
      </x:c>
      <x:c r="J449" s="4" t="str">
        <x:v>1. 进入运营账号主页
2. 查看送礼记录</x:v>
      </x:c>
      <x:c r="K449" s="4" t="str">
        <x:v>运营账号主页显示“送礼记录”</x:v>
      </x:c>
      <x:c r="L449" s="4" t="str"/>
      <x:c r="M449" s="4" t="str">
        <x:v>未测</x:v>
      </x:c>
      <x:c r="N449" s="4" t="str"/>
      <x:c r="O449" s="4" t="str">
        <x:v>1. 来源（原型批注）：liveshow-proto/prototype/annotations/admin.js；admin-operation-account-detail.html
2. 页面：admin-operation-account-detail.html
3. 规则：BR-5FBD1D725D2A6C
4. 场景：SC-4C869D57F6437A
5. 未动态验证</x:v>
      </x:c>
    </x:row>
    <x:row r="450" ht="54" customHeight="1">
      <x:c r="A450" s="4" t="n">
        <x:v>449</x:v>
      </x:c>
      <x:c r="B450" s="4" t="str">
        <x:v>AACCT-0017</x:v>
      </x:c>
      <x:c r="C450" s="4" t="str">
        <x:v>运营账号</x:v>
      </x:c>
      <x:c r="D450" s="4" t="str">
        <x:v>运营账号主页（平台管理员视角）</x:v>
      </x:c>
      <x:c r="E450" s="4" t="str">
        <x:v>功能需求</x:v>
      </x:c>
      <x:c r="F450" s="4" t="str">
        <x:v>P2</x:v>
      </x:c>
      <x:c r="G450" s="4" t="str">
        <x:v>验证运营账号主页可查看虚拟金币余额</x:v>
      </x:c>
      <x:c r="H450" s="4" t="str">
        <x:v>虚拟金币余额展示</x:v>
      </x:c>
      <x:c r="I450" s="4" t="str">
        <x:v>1. 平台管理员账号已登录且具备当前页面权限</x:v>
      </x:c>
      <x:c r="J450" s="4" t="str">
        <x:v>1. 进入运营账号主页
2. 查看虚拟金币余额</x:v>
      </x:c>
      <x:c r="K450" s="4" t="str">
        <x:v>运营账号主页显示“虚拟金币余额”</x:v>
      </x:c>
      <x:c r="L450" s="4" t="str"/>
      <x:c r="M450" s="4" t="str">
        <x:v>未测</x:v>
      </x:c>
      <x:c r="N450" s="4" t="str"/>
      <x:c r="O450" s="4" t="str">
        <x:v>1. 来源（原型批注）：liveshow-proto/prototype/annotations/admin.js；admin-operation-account-detail.html
2. 页面：admin-operation-account-detail.html
3. 规则：BR-2B717F301C2E04
4. 场景：SC-08923693155B9F
5. 未动态验证</x:v>
      </x:c>
    </x:row>
    <x:row r="451" ht="54" customHeight="1">
      <x:c r="A451" s="4" t="n">
        <x:v>450</x:v>
      </x:c>
      <x:c r="B451" s="4" t="str">
        <x:v>AACCT-0018</x:v>
      </x:c>
      <x:c r="C451" s="4" t="str">
        <x:v>运营账号</x:v>
      </x:c>
      <x:c r="D451" s="4" t="str">
        <x:v>运营账号主页（平台管理员视角）</x:v>
      </x:c>
      <x:c r="E451" s="4" t="str">
        <x:v>功能需求</x:v>
      </x:c>
      <x:c r="F451" s="4" t="str">
        <x:v>P2</x:v>
      </x:c>
      <x:c r="G451" s="4" t="str">
        <x:v>验证运营账号主页可查看账号资料</x:v>
      </x:c>
      <x:c r="H451" s="4" t="str">
        <x:v>账号资料展示</x:v>
      </x:c>
      <x:c r="I451" s="4" t="str">
        <x:v>1. 平台管理员账号已登录且具备当前页面权限</x:v>
      </x:c>
      <x:c r="J451" s="4" t="str">
        <x:v>1. 进入运营账号主页
2. 查看账号资料</x:v>
      </x:c>
      <x:c r="K451" s="4" t="str">
        <x:v>运营账号主页显示“账号资料”</x:v>
      </x:c>
      <x:c r="L451" s="4" t="str"/>
      <x:c r="M451" s="4" t="str">
        <x:v>未测</x:v>
      </x:c>
      <x:c r="N451" s="4" t="str"/>
      <x:c r="O451" s="4" t="str">
        <x:v>1. 来源（原型批注）：liveshow-proto/prototype/annotations/admin.js；admin-operation-account-detail.html
2. 页面：admin-operation-account-detail.html
3. 规则：BR-C9A12604CAD764
4. 场景：SC-AEF8EC4C409795
5. 未动态验证</x:v>
      </x:c>
    </x:row>
    <x:row r="452" ht="54" customHeight="1">
      <x:c r="A452" s="4" t="n">
        <x:v>451</x:v>
      </x:c>
      <x:c r="B452" s="4" t="str">
        <x:v>AACCT-0019</x:v>
      </x:c>
      <x:c r="C452" s="4" t="str">
        <x:v>运营账号</x:v>
      </x:c>
      <x:c r="D452" s="4" t="str">
        <x:v>账号列表（平台管理员视角）</x:v>
      </x:c>
      <x:c r="E452" s="4" t="str">
        <x:v>业务流程</x:v>
      </x:c>
      <x:c r="F452" s="4" t="str">
        <x:v>P2</x:v>
      </x:c>
      <x:c r="G452" s="4" t="str">
        <x:v>验证详情后的账号列表状态</x:v>
      </x:c>
      <x:c r="H452" s="4" t="str">
        <x:v>账号列表状态</x:v>
      </x:c>
      <x:c r="I452" s="4" t="str">
        <x:v>1. 平台管理员账号已登录且具备当前页面权限
2. 详情</x:v>
      </x:c>
      <x:c r="J452" s="4" t="str">
        <x:v>1. 进入账号列表
2. 刷新账号列表</x:v>
      </x:c>
      <x:c r="K452" s="4" t="str">
        <x:v>查看账号、发放和送礼记录</x:v>
      </x:c>
      <x:c r="L452" s="4" t="str"/>
      <x:c r="M452" s="4" t="str">
        <x:v>未测</x:v>
      </x:c>
      <x:c r="N452" s="4" t="str"/>
      <x:c r="O452" s="4" t="str">
        <x:v>1. 来源（原型批注）：liveshow-proto/prototype/annotations/admin.js；admin-operation-accounts.html
2. 页面：admin-operation-accounts.html
3. 规则：BR-97DB85E3174339
4. 场景：SC-9A61409C0C663E
5. 未动态验证</x:v>
      </x:c>
    </x:row>
    <x:row r="453" ht="54" customHeight="1">
      <x:c r="A453" s="4" t="n">
        <x:v>452</x:v>
      </x:c>
      <x:c r="B453" s="4" t="str">
        <x:v>AACCT-0020</x:v>
      </x:c>
      <x:c r="C453" s="4" t="str">
        <x:v>运营账号</x:v>
      </x:c>
      <x:c r="D453" s="4" t="str">
        <x:v>账号列表（平台管理员视角）</x:v>
      </x:c>
      <x:c r="E453" s="4" t="str">
        <x:v>功能需求</x:v>
      </x:c>
      <x:c r="F453" s="4" t="str">
        <x:v>P2</x:v>
      </x:c>
      <x:c r="G453" s="4" t="str">
        <x:v>验证账号列表可查看本月发放</x:v>
      </x:c>
      <x:c r="H453" s="4" t="str">
        <x:v>本月发放展示</x:v>
      </x:c>
      <x:c r="I453" s="4" t="str">
        <x:v>1. 平台管理员账号已登录且具备当前页面权限</x:v>
      </x:c>
      <x:c r="J453" s="4" t="str">
        <x:v>1. 进入账号列表
2. 查看本月发放</x:v>
      </x:c>
      <x:c r="K453" s="4" t="str">
        <x:v>账号列表显示“本月发放”</x:v>
      </x:c>
      <x:c r="L453" s="4" t="str"/>
      <x:c r="M453" s="4" t="str">
        <x:v>未测</x:v>
      </x:c>
      <x:c r="N453" s="4" t="str"/>
      <x:c r="O453" s="4" t="str">
        <x:v>1. 来源（原型批注）：liveshow-proto/prototype/annotations/admin.js；admin-operation-accounts.html
2. 页面：admin-operation-accounts.html
3. 规则：BR-98E0B6F42C662F
4. 场景：SC-9671FCD9A34D62
5. 未动态验证</x:v>
      </x:c>
    </x:row>
    <x:row r="454" ht="54" customHeight="1">
      <x:c r="A454" s="4" t="n">
        <x:v>453</x:v>
      </x:c>
      <x:c r="B454" s="4" t="str">
        <x:v>AACCT-0021</x:v>
      </x:c>
      <x:c r="C454" s="4" t="str">
        <x:v>运营账号</x:v>
      </x:c>
      <x:c r="D454" s="4" t="str">
        <x:v>账号列表（平台管理员视角）</x:v>
      </x:c>
      <x:c r="E454" s="4" t="str">
        <x:v>功能需求</x:v>
      </x:c>
      <x:c r="F454" s="4" t="str">
        <x:v>P2</x:v>
      </x:c>
      <x:c r="G454" s="4" t="str">
        <x:v>验证账号列表可查看累计 / 本月消费</x:v>
      </x:c>
      <x:c r="H454" s="4" t="str">
        <x:v>累计 / 本月消费展示</x:v>
      </x:c>
      <x:c r="I454" s="4" t="str">
        <x:v>1. 平台管理员账号已登录且具备当前页面权限</x:v>
      </x:c>
      <x:c r="J454" s="4" t="str">
        <x:v>1. 进入账号列表
2. 查看累计 / 本月消费</x:v>
      </x:c>
      <x:c r="K454" s="4" t="str">
        <x:v>账号列表显示“累计 / 本月消费”</x:v>
      </x:c>
      <x:c r="L454" s="4" t="str"/>
      <x:c r="M454" s="4" t="str">
        <x:v>未测</x:v>
      </x:c>
      <x:c r="N454" s="4" t="str"/>
      <x:c r="O454" s="4" t="str">
        <x:v>1. 来源（原型批注）：liveshow-proto/prototype/annotations/admin.js；admin-operation-accounts.html
2. 页面：admin-operation-accounts.html
3. 规则：BR-08A84C8325455B
4. 场景：SC-860FCBC1B78C7C
5. 未动态验证</x:v>
      </x:c>
    </x:row>
    <x:row r="455" ht="54" customHeight="1">
      <x:c r="A455" s="4" t="n">
        <x:v>454</x:v>
      </x:c>
      <x:c r="B455" s="4" t="str">
        <x:v>AACCT-0022</x:v>
      </x:c>
      <x:c r="C455" s="4" t="str">
        <x:v>运营账号</x:v>
      </x:c>
      <x:c r="D455" s="4" t="str">
        <x:v>账号列表（平台管理员视角）</x:v>
      </x:c>
      <x:c r="E455" s="4" t="str">
        <x:v>功能需求</x:v>
      </x:c>
      <x:c r="F455" s="4" t="str">
        <x:v>P2</x:v>
      </x:c>
      <x:c r="G455" s="4" t="str">
        <x:v>验证账号列表可查看运营账号 / 公会</x:v>
      </x:c>
      <x:c r="H455" s="4" t="str">
        <x:v>运营账号 / 公会展示</x:v>
      </x:c>
      <x:c r="I455" s="4" t="str">
        <x:v>1. 平台管理员账号已登录且具备当前页面权限</x:v>
      </x:c>
      <x:c r="J455" s="4" t="str">
        <x:v>1. 进入账号列表
2. 查看运营账号 / 公会</x:v>
      </x:c>
      <x:c r="K455" s="4" t="str">
        <x:v>账号列表显示“运营账号 / 公会”</x:v>
      </x:c>
      <x:c r="L455" s="4" t="str"/>
      <x:c r="M455" s="4" t="str">
        <x:v>未测</x:v>
      </x:c>
      <x:c r="N455" s="4" t="str"/>
      <x:c r="O455" s="4" t="str">
        <x:v>1. 来源（原型批注）：liveshow-proto/prototype/annotations/admin.js；admin-operation-accounts.html
2. 页面：admin-operation-accounts.html
3. 规则：BR-76BAFFDE19C306
4. 场景：SC-4CED48A5F140B8
5. 未动态验证</x:v>
      </x:c>
    </x:row>
    <x:row r="456" ht="54" customHeight="1">
      <x:c r="A456" s="4" t="n">
        <x:v>455</x:v>
      </x:c>
      <x:c r="B456" s="4" t="str">
        <x:v>AACCT-0023</x:v>
      </x:c>
      <x:c r="C456" s="4" t="str">
        <x:v>运营账号</x:v>
      </x:c>
      <x:c r="D456" s="4" t="str">
        <x:v>账号列表（平台管理员视角）</x:v>
      </x:c>
      <x:c r="E456" s="4" t="str">
        <x:v>功能需求</x:v>
      </x:c>
      <x:c r="F456" s="4" t="str">
        <x:v>P2</x:v>
      </x:c>
      <x:c r="G456" s="4" t="str">
        <x:v>验证账号列表可查看账户余额</x:v>
      </x:c>
      <x:c r="H456" s="4" t="str">
        <x:v>账户余额展示</x:v>
      </x:c>
      <x:c r="I456" s="4" t="str">
        <x:v>1. 平台管理员账号已登录且具备当前页面权限</x:v>
      </x:c>
      <x:c r="J456" s="4" t="str">
        <x:v>1. 进入账号列表
2. 查看账户余额</x:v>
      </x:c>
      <x:c r="K456" s="4" t="str">
        <x:v>账号列表显示“账户余额”</x:v>
      </x:c>
      <x:c r="L456" s="4" t="str"/>
      <x:c r="M456" s="4" t="str">
        <x:v>未测</x:v>
      </x:c>
      <x:c r="N456" s="4" t="str"/>
      <x:c r="O456" s="4" t="str">
        <x:v>1. 来源（原型批注）：liveshow-proto/prototype/annotations/admin.js；admin-operation-accounts.html
2. 页面：admin-operation-accounts.html
3. 规则：BR-0868361AD87715
4. 场景：SC-698471E4FCD2A2
5. 未动态验证</x:v>
      </x:c>
    </x:row>
    <x:row r="457" ht="54" customHeight="1">
      <x:c r="A457" s="4" t="n">
        <x:v>456</x:v>
      </x:c>
      <x:c r="B457" s="4" t="str">
        <x:v>AACCT-0024</x:v>
      </x:c>
      <x:c r="C457" s="4" t="str">
        <x:v>运营账号</x:v>
      </x:c>
      <x:c r="D457" s="4" t="str">
        <x:v>账号列表（平台管理员视角）</x:v>
      </x:c>
      <x:c r="E457" s="4" t="str">
        <x:v>功能需求</x:v>
      </x:c>
      <x:c r="F457" s="4" t="str">
        <x:v>P2</x:v>
      </x:c>
      <x:c r="G457" s="4" t="str">
        <x:v>验证账号列表可查看状态</x:v>
      </x:c>
      <x:c r="H457" s="4" t="str">
        <x:v>状态展示</x:v>
      </x:c>
      <x:c r="I457" s="4" t="str">
        <x:v>1. 平台管理员账号已登录且具备当前页面权限</x:v>
      </x:c>
      <x:c r="J457" s="4" t="str">
        <x:v>1. 进入账号列表
2. 查看状态</x:v>
      </x:c>
      <x:c r="K457" s="4" t="str">
        <x:v>账号列表显示“状态”</x:v>
      </x:c>
      <x:c r="L457" s="4" t="str"/>
      <x:c r="M457" s="4" t="str">
        <x:v>未测</x:v>
      </x:c>
      <x:c r="N457" s="4" t="str"/>
      <x:c r="O457" s="4" t="str">
        <x:v>1. 来源（原型批注）：liveshow-proto/prototype/annotations/admin.js；admin-operation-accounts.html
2. 页面：admin-operation-accounts.html
3. 规则：BR-FB7974967BAD5E、BR-8FEF73C0416DAF
4. 场景：SC-428C2F620BDE30
5. 未动态验证</x:v>
      </x:c>
    </x:row>
    <x:row r="458" ht="54" customHeight="1">
      <x:c r="A458" s="4" t="n">
        <x:v>457</x:v>
      </x:c>
      <x:c r="B458" s="4" t="str">
        <x:v>AHOST-0001</x:v>
      </x:c>
      <x:c r="C458" s="4" t="str">
        <x:v>主播管理</x:v>
      </x:c>
      <x:c r="D458" s="4" t="str">
        <x:v>排班详情（平台管理员视角）</x:v>
      </x:c>
      <x:c r="E458" s="4" t="str">
        <x:v>功能需求</x:v>
      </x:c>
      <x:c r="F458" s="4" t="str">
        <x:v>P2</x:v>
      </x:c>
      <x:c r="G458" s="4" t="str">
        <x:v>验证排班详情可查看排班信息</x:v>
      </x:c>
      <x:c r="H458" s="4" t="str">
        <x:v>排班信息展示</x:v>
      </x:c>
      <x:c r="I458" s="4" t="str">
        <x:v>1. 平台管理员账号已登录且具备当前页面权限</x:v>
      </x:c>
      <x:c r="J458" s="4" t="str">
        <x:v>1. 进入排班详情
2. 查看排班信息</x:v>
      </x:c>
      <x:c r="K458" s="4" t="str">
        <x:v>排班详情显示“排班信息”</x:v>
      </x:c>
      <x:c r="L458" s="4" t="str"/>
      <x:c r="M458" s="4" t="str">
        <x:v>未测</x:v>
      </x:c>
      <x:c r="N458" s="4" t="str"/>
      <x:c r="O458" s="4" t="str">
        <x:v>1. 来源（原型批注）：liveshow-proto/prototype/annotations/admin.js；admin-inspection-schedule-detail.html
2. 页面：admin-inspection-schedule-detail.html
3. 规则：BR-D597A9C20ECBCB
4. 场景：SC-D036C382F315F3
5. 未动态验证</x:v>
      </x:c>
    </x:row>
    <x:row r="459" ht="54" customHeight="1">
      <x:c r="A459" s="4" t="n">
        <x:v>458</x:v>
      </x:c>
      <x:c r="B459" s="4" t="str">
        <x:v>AHOST-0002</x:v>
      </x:c>
      <x:c r="C459" s="4" t="str">
        <x:v>主播管理</x:v>
      </x:c>
      <x:c r="D459" s="4" t="str">
        <x:v>排班详情（平台管理员视角）</x:v>
      </x:c>
      <x:c r="E459" s="4" t="str">
        <x:v>功能需求</x:v>
      </x:c>
      <x:c r="F459" s="4" t="str">
        <x:v>P2</x:v>
      </x:c>
      <x:c r="G459" s="4" t="str">
        <x:v>验证排班详情可查看巡房人员</x:v>
      </x:c>
      <x:c r="H459" s="4" t="str">
        <x:v>巡房人员展示</x:v>
      </x:c>
      <x:c r="I459" s="4" t="str">
        <x:v>1. 平台管理员账号已登录且具备当前页面权限</x:v>
      </x:c>
      <x:c r="J459" s="4" t="str">
        <x:v>1. 进入排班详情
2. 查看巡房人员</x:v>
      </x:c>
      <x:c r="K459" s="4" t="str">
        <x:v>排班详情显示“巡房人员”</x:v>
      </x:c>
      <x:c r="L459" s="4" t="str"/>
      <x:c r="M459" s="4" t="str">
        <x:v>未测</x:v>
      </x:c>
      <x:c r="N459" s="4" t="str"/>
      <x:c r="O459" s="4" t="str">
        <x:v>1. 来源（原型批注）：liveshow-proto/prototype/annotations/admin.js；admin-inspection-schedule-detail.html
2. 页面：admin-inspection-schedule-detail.html
3. 规则：BR-B7F6248314BC00、BR-B4A0B8A1ED0630
4. 场景：SC-8185F92F7B918C
5. 未动态验证</x:v>
      </x:c>
    </x:row>
    <x:row r="460" ht="54" customHeight="1">
      <x:c r="A460" s="4" t="n">
        <x:v>459</x:v>
      </x:c>
      <x:c r="B460" s="4" t="str">
        <x:v>AHOST-0003</x:v>
      </x:c>
      <x:c r="C460" s="4" t="str">
        <x:v>主播管理</x:v>
      </x:c>
      <x:c r="D460" s="4" t="str">
        <x:v>审核详情（平台管理员视角）</x:v>
      </x:c>
      <x:c r="E460" s="4" t="str">
        <x:v>功能需求</x:v>
      </x:c>
      <x:c r="F460" s="4" t="str">
        <x:v>P1</x:v>
      </x:c>
      <x:c r="G460" s="4" t="str">
        <x:v>验证审核详情可查看驳回原因</x:v>
      </x:c>
      <x:c r="H460" s="4" t="str">
        <x:v>驳回原因展示</x:v>
      </x:c>
      <x:c r="I460" s="4" t="str">
        <x:v>1. 平台管理员账号已登录且具备当前页面权限</x:v>
      </x:c>
      <x:c r="J460" s="4" t="str">
        <x:v>1. 进入审核详情
2. 查看驳回原因</x:v>
      </x:c>
      <x:c r="K460" s="4" t="str">
        <x:v>审核详情显示“驳回原因”</x:v>
      </x:c>
      <x:c r="L460" s="4" t="str"/>
      <x:c r="M460" s="4" t="str">
        <x:v>未测</x:v>
      </x:c>
      <x:c r="N460" s="4" t="str"/>
      <x:c r="O460" s="4" t="str">
        <x:v>1. 来源（原型批注）：liveshow-proto/prototype/annotations/admin.js；admin-host-review-detail.html
2. 页面：admin-host-review-detail.html
3. 规则：BR-4690AEB900F7CC
4. 场景：SC-26F0F37718AE06
5. 未动态验证</x:v>
      </x:c>
    </x:row>
    <x:row r="461" ht="54" customHeight="1">
      <x:c r="A461" s="4" t="n">
        <x:v>460</x:v>
      </x:c>
      <x:c r="B461" s="4" t="str">
        <x:v>AHOST-0004</x:v>
      </x:c>
      <x:c r="C461" s="4" t="str">
        <x:v>主播管理</x:v>
      </x:c>
      <x:c r="D461" s="4" t="str">
        <x:v>审核详情（平台管理员视角）</x:v>
      </x:c>
      <x:c r="E461" s="4" t="str">
        <x:v>功能需求</x:v>
      </x:c>
      <x:c r="F461" s="4" t="str">
        <x:v>P1</x:v>
      </x:c>
      <x:c r="G461" s="4" t="str">
        <x:v>验证审核详情可查看公会管理权限</x:v>
      </x:c>
      <x:c r="H461" s="4" t="str">
        <x:v>公会管理权限展示</x:v>
      </x:c>
      <x:c r="I461" s="4" t="str">
        <x:v>1. 平台管理员账号已登录且具备当前页面权限</x:v>
      </x:c>
      <x:c r="J461" s="4" t="str">
        <x:v>1. 进入审核详情
2. 查看公会管理权限</x:v>
      </x:c>
      <x:c r="K461" s="4" t="str">
        <x:v>审核详情显示“公会管理权限”</x:v>
      </x:c>
      <x:c r="L461" s="4" t="str"/>
      <x:c r="M461" s="4" t="str">
        <x:v>未测</x:v>
      </x:c>
      <x:c r="N461" s="4" t="str"/>
      <x:c r="O461" s="4" t="str">
        <x:v>1. 来源（原型批注）：liveshow-proto/prototype/annotations/admin.js；admin-host-review-detail.html
2. 页面：admin-host-review-detail.html
3. 规则：BR-060938FEE578B3
4. 场景：SC-04F5FF5319595A
5. 未动态验证</x:v>
      </x:c>
    </x:row>
    <x:row r="462" ht="54" customHeight="1">
      <x:c r="A462" s="4" t="n">
        <x:v>461</x:v>
      </x:c>
      <x:c r="B462" s="4" t="str">
        <x:v>AHOST-0005</x:v>
      </x:c>
      <x:c r="C462" s="4" t="str">
        <x:v>主播管理</x:v>
      </x:c>
      <x:c r="D462" s="4" t="str">
        <x:v>审核详情（平台管理员视角）</x:v>
      </x:c>
      <x:c r="E462" s="4" t="str">
        <x:v>功能需求</x:v>
      </x:c>
      <x:c r="F462" s="4" t="str">
        <x:v>P1</x:v>
      </x:c>
      <x:c r="G462" s="4" t="str">
        <x:v>验证审核详情可查看认证材料</x:v>
      </x:c>
      <x:c r="H462" s="4" t="str">
        <x:v>认证材料展示</x:v>
      </x:c>
      <x:c r="I462" s="4" t="str">
        <x:v>1. 平台管理员账号已登录且具备当前页面权限</x:v>
      </x:c>
      <x:c r="J462" s="4" t="str">
        <x:v>1. 进入审核详情
2. 查看认证材料</x:v>
      </x:c>
      <x:c r="K462" s="4" t="str">
        <x:v>审核详情显示“认证材料”</x:v>
      </x:c>
      <x:c r="L462" s="4" t="str"/>
      <x:c r="M462" s="4" t="str">
        <x:v>未测</x:v>
      </x:c>
      <x:c r="N462" s="4" t="str"/>
      <x:c r="O462" s="4" t="str">
        <x:v>1. 来源（原型批注）：liveshow-proto/prototype/annotations/admin.js；admin-host-review-detail.html
2. 页面：admin-host-review-detail.html
3. 规则：BR-305ED356A297B2
4. 场景：SC-E8F0BE90706DF5
5. 未动态验证</x:v>
      </x:c>
    </x:row>
    <x:row r="463" ht="54" customHeight="1">
      <x:c r="A463" s="4" t="n">
        <x:v>462</x:v>
      </x:c>
      <x:c r="B463" s="4" t="str">
        <x:v>AHOST-0006</x:v>
      </x:c>
      <x:c r="C463" s="4" t="str">
        <x:v>主播管理</x:v>
      </x:c>
      <x:c r="D463" s="4" t="str">
        <x:v>审核详情（平台管理员视角）</x:v>
      </x:c>
      <x:c r="E463" s="4" t="str">
        <x:v>功能需求</x:v>
      </x:c>
      <x:c r="F463" s="4" t="str">
        <x:v>P1</x:v>
      </x:c>
      <x:c r="G463" s="4" t="str">
        <x:v>验证审核详情可查看申请单 / 申请人</x:v>
      </x:c>
      <x:c r="H463" s="4" t="str">
        <x:v>申请单 / 申请人展示</x:v>
      </x:c>
      <x:c r="I463" s="4" t="str">
        <x:v>1. 平台管理员账号已登录且具备当前页面权限</x:v>
      </x:c>
      <x:c r="J463" s="4" t="str">
        <x:v>1. 进入审核详情
2. 查看申请单 / 申请人</x:v>
      </x:c>
      <x:c r="K463" s="4" t="str">
        <x:v>审核详情显示“申请单 / 申请人”</x:v>
      </x:c>
      <x:c r="L463" s="4" t="str"/>
      <x:c r="M463" s="4" t="str">
        <x:v>未测</x:v>
      </x:c>
      <x:c r="N463" s="4" t="str"/>
      <x:c r="O463" s="4" t="str">
        <x:v>1. 来源（原型批注）：liveshow-proto/prototype/annotations/admin.js；admin-host-review-detail.html
2. 页面：admin-host-review-detail.html
3. 规则：BR-83287DF6696162
4. 场景：SC-EF94723B30598B
5. 未动态验证</x:v>
      </x:c>
    </x:row>
    <x:row r="464" ht="54" customHeight="1">
      <x:c r="A464" s="4" t="n">
        <x:v>463</x:v>
      </x:c>
      <x:c r="B464" s="4" t="str">
        <x:v>AHOST-0007</x:v>
      </x:c>
      <x:c r="C464" s="4" t="str">
        <x:v>主播管理</x:v>
      </x:c>
      <x:c r="D464" s="4" t="str">
        <x:v>审核详情（平台管理员视角）</x:v>
      </x:c>
      <x:c r="E464" s="4" t="str">
        <x:v>功能需求</x:v>
      </x:c>
      <x:c r="F464" s="4" t="str">
        <x:v>P1</x:v>
      </x:c>
      <x:c r="G464" s="4" t="str">
        <x:v>验证审核详情可查看审核结果</x:v>
      </x:c>
      <x:c r="H464" s="4" t="str">
        <x:v>审核结果展示</x:v>
      </x:c>
      <x:c r="I464" s="4" t="str">
        <x:v>1. 平台管理员账号已登录且具备当前页面权限</x:v>
      </x:c>
      <x:c r="J464" s="4" t="str">
        <x:v>1. 进入审核详情
2. 查看审核结果</x:v>
      </x:c>
      <x:c r="K464" s="4" t="str">
        <x:v>审核详情显示“审核结果”</x:v>
      </x:c>
      <x:c r="L464" s="4" t="str"/>
      <x:c r="M464" s="4" t="str">
        <x:v>未测</x:v>
      </x:c>
      <x:c r="N464" s="4" t="str"/>
      <x:c r="O464" s="4" t="str">
        <x:v>1. 来源（原型批注）：liveshow-proto/prototype/annotations/admin.js；admin-host-review-detail.html
2. 页面：admin-host-review-detail.html
3. 规则：BR-D384AC8F4934C2
4. 场景：SC-772CE7071C4978
5. 未动态验证</x:v>
      </x:c>
    </x:row>
    <x:row r="465" ht="54" customHeight="1">
      <x:c r="A465" s="4" t="n">
        <x:v>464</x:v>
      </x:c>
      <x:c r="B465" s="4" t="str">
        <x:v>AHOST-0008</x:v>
      </x:c>
      <x:c r="C465" s="4" t="str">
        <x:v>主播管理</x:v>
      </x:c>
      <x:c r="D465" s="4" t="str">
        <x:v>审核详情（平台管理员视角）</x:v>
      </x:c>
      <x:c r="E465" s="4" t="str">
        <x:v>功能需求</x:v>
      </x:c>
      <x:c r="F465" s="4" t="str">
        <x:v>P1</x:v>
      </x:c>
      <x:c r="G465" s="4" t="str">
        <x:v>验证审核详情可查看直播权限</x:v>
      </x:c>
      <x:c r="H465" s="4" t="str">
        <x:v>直播权限展示</x:v>
      </x:c>
      <x:c r="I465" s="4" t="str">
        <x:v>1. 平台管理员账号已登录且具备当前页面权限</x:v>
      </x:c>
      <x:c r="J465" s="4" t="str">
        <x:v>1. 进入审核详情
2. 查看直播权限</x:v>
      </x:c>
      <x:c r="K465" s="4" t="str">
        <x:v>审核详情显示“直播权限”</x:v>
      </x:c>
      <x:c r="L465" s="4" t="str"/>
      <x:c r="M465" s="4" t="str">
        <x:v>未测</x:v>
      </x:c>
      <x:c r="N465" s="4" t="str"/>
      <x:c r="O465" s="4" t="str">
        <x:v>1. 来源（原型批注）：liveshow-proto/prototype/annotations/admin.js；admin-host-review-detail.html
2. 页面：admin-host-review-detail.html
3. 规则：BR-63BCA244B2B580
4. 场景：SC-907090FBA121E7
5. 未动态验证</x:v>
      </x:c>
    </x:row>
    <x:row r="466" ht="54" customHeight="1">
      <x:c r="A466" s="4" t="n">
        <x:v>465</x:v>
      </x:c>
      <x:c r="B466" s="4" t="str">
        <x:v>AHOST-0009</x:v>
      </x:c>
      <x:c r="C466" s="4" t="str">
        <x:v>主播管理</x:v>
      </x:c>
      <x:c r="D466" s="4" t="str">
        <x:v>审核详情（平台管理员视角）</x:v>
      </x:c>
      <x:c r="E466" s="4" t="str">
        <x:v>业务流程</x:v>
      </x:c>
      <x:c r="F466" s="4" t="str">
        <x:v>P1</x:v>
      </x:c>
      <x:c r="G466" s="4" t="str">
        <x:v>验证通过后的审核详情状态</x:v>
      </x:c>
      <x:c r="H466" s="4" t="str">
        <x:v>审核详情状态</x:v>
      </x:c>
      <x:c r="I466" s="4" t="str">
        <x:v>1. 平台管理员账号已登录且具备当前页面权限
2. 通过</x:v>
      </x:c>
      <x:c r="J466" s="4" t="str">
        <x:v>1. 进入审核详情
2. 刷新审核详情</x:v>
      </x:c>
      <x:c r="K466" s="4" t="str">
        <x:v>加入申请公会并获得主播身份</x:v>
      </x:c>
      <x:c r="L466" s="4" t="str"/>
      <x:c r="M466" s="4" t="str">
        <x:v>未测</x:v>
      </x:c>
      <x:c r="N466" s="4" t="str"/>
      <x:c r="O466" s="4" t="str">
        <x:v>1. 来源（原型批注）：liveshow-proto/prototype/annotations/admin.js；admin-host-review-detail.html
2. 页面：admin-host-review-detail.html
3. 规则：BR-7BA7CDBF98F039
4. 场景：SC-2FFD7F2ACCEF21
5. 未动态验证</x:v>
      </x:c>
    </x:row>
    <x:row r="467" ht="54" customHeight="1">
      <x:c r="A467" s="4" t="n">
        <x:v>466</x:v>
      </x:c>
      <x:c r="B467" s="4" t="str">
        <x:v>AHOST-0010</x:v>
      </x:c>
      <x:c r="C467" s="4" t="str">
        <x:v>主播管理</x:v>
      </x:c>
      <x:c r="D467" s="4" t="str">
        <x:v>新建排班（平台管理员视角）</x:v>
      </x:c>
      <x:c r="E467" s="4" t="str">
        <x:v>业务流程</x:v>
      </x:c>
      <x:c r="F467" s="4" t="str">
        <x:v>P2</x:v>
      </x:c>
      <x:c r="G467" s="4" t="str">
        <x:v>验证保存后的新建排班状态</x:v>
      </x:c>
      <x:c r="H467" s="4" t="str">
        <x:v>新建排班状态</x:v>
      </x:c>
      <x:c r="I467" s="4" t="str">
        <x:v>1. 平台管理员账号已登录且具备当前页面权限</x:v>
      </x:c>
      <x:c r="J467" s="4" t="str">
        <x:v>1. 进入新建排班
2. 保存</x:v>
      </x:c>
      <x:c r="K467" s="4" t="str">
        <x:v>返回列表</x:v>
      </x:c>
      <x:c r="L467" s="4" t="str"/>
      <x:c r="M467" s="4" t="str">
        <x:v>未测</x:v>
      </x:c>
      <x:c r="N467" s="4" t="str"/>
      <x:c r="O467" s="4" t="str">
        <x:v>1. 来源（原型批注）：liveshow-proto/prototype/annotations/admin.js；admin-inspection-schedule-create.html
2. 页面：admin-inspection-schedule-create.html
3. 规则：BR-E8D8D7AC54296E
4. 场景：SC-FB19632BC1A64C
5. 未动态验证</x:v>
      </x:c>
    </x:row>
    <x:row r="468" ht="54" customHeight="1">
      <x:c r="A468" s="4" t="n">
        <x:v>467</x:v>
      </x:c>
      <x:c r="B468" s="4" t="str">
        <x:v>AHOST-0011</x:v>
      </x:c>
      <x:c r="C468" s="4" t="str">
        <x:v>主播管理</x:v>
      </x:c>
      <x:c r="D468" s="4" t="str">
        <x:v>新建排班（平台管理员视角）</x:v>
      </x:c>
      <x:c r="E468" s="4" t="str">
        <x:v>功能需求</x:v>
      </x:c>
      <x:c r="F468" s="4" t="str">
        <x:v>P2</x:v>
      </x:c>
      <x:c r="G468" s="4" t="str">
        <x:v>验证新建排班可查看日期</x:v>
      </x:c>
      <x:c r="H468" s="4" t="str">
        <x:v>日期展示</x:v>
      </x:c>
      <x:c r="I468" s="4" t="str">
        <x:v>1. 平台管理员账号已登录且具备当前页面权限</x:v>
      </x:c>
      <x:c r="J468" s="4" t="str">
        <x:v>1. 进入新建排班
2. 查看日期</x:v>
      </x:c>
      <x:c r="K468" s="4" t="str">
        <x:v>新建排班显示“日期”</x:v>
      </x:c>
      <x:c r="L468" s="4" t="str"/>
      <x:c r="M468" s="4" t="str">
        <x:v>未测</x:v>
      </x:c>
      <x:c r="N468" s="4" t="str"/>
      <x:c r="O468" s="4" t="str">
        <x:v>1. 来源（原型批注）：liveshow-proto/prototype/annotations/admin.js；admin-inspection-schedule-create.html
2. 页面：admin-inspection-schedule-create.html
3. 规则：BR-839EAB447D3DF9
4. 场景：SC-04FC616FA5A6D5
5. 未动态验证</x:v>
      </x:c>
    </x:row>
    <x:row r="469" ht="54" customHeight="1">
      <x:c r="A469" s="4" t="n">
        <x:v>468</x:v>
      </x:c>
      <x:c r="B469" s="4" t="str">
        <x:v>AHOST-0012</x:v>
      </x:c>
      <x:c r="C469" s="4" t="str">
        <x:v>主播管理</x:v>
      </x:c>
      <x:c r="D469" s="4" t="str">
        <x:v>新建排班（平台管理员视角）</x:v>
      </x:c>
      <x:c r="E469" s="4" t="str">
        <x:v>功能需求</x:v>
      </x:c>
      <x:c r="F469" s="4" t="str">
        <x:v>P2</x:v>
      </x:c>
      <x:c r="G469" s="4" t="str">
        <x:v>验证新建排班可查看时间段</x:v>
      </x:c>
      <x:c r="H469" s="4" t="str">
        <x:v>时间段展示</x:v>
      </x:c>
      <x:c r="I469" s="4" t="str">
        <x:v>1. 平台管理员账号已登录且具备当前页面权限</x:v>
      </x:c>
      <x:c r="J469" s="4" t="str">
        <x:v>1. 进入新建排班
2. 查看时间段</x:v>
      </x:c>
      <x:c r="K469" s="4" t="str">
        <x:v>新建排班显示“时间段”</x:v>
      </x:c>
      <x:c r="L469" s="4" t="str"/>
      <x:c r="M469" s="4" t="str">
        <x:v>未测</x:v>
      </x:c>
      <x:c r="N469" s="4" t="str"/>
      <x:c r="O469" s="4" t="str">
        <x:v>1. 来源（原型批注）：liveshow-proto/prototype/annotations/admin.js；admin-inspection-schedule-create.html
2. 页面：admin-inspection-schedule-create.html
3. 规则：BR-65CF6941A8DDAD
4. 场景：SC-024628C347915E
5. 未动态验证</x:v>
      </x:c>
    </x:row>
    <x:row r="470" ht="54" customHeight="1">
      <x:c r="A470" s="4" t="n">
        <x:v>469</x:v>
      </x:c>
      <x:c r="B470" s="4" t="str">
        <x:v>AHOST-0013</x:v>
      </x:c>
      <x:c r="C470" s="4" t="str">
        <x:v>主播管理</x:v>
      </x:c>
      <x:c r="D470" s="4" t="str">
        <x:v>新建排班（平台管理员视角）</x:v>
      </x:c>
      <x:c r="E470" s="4" t="str">
        <x:v>功能需求</x:v>
      </x:c>
      <x:c r="F470" s="4" t="str">
        <x:v>P2</x:v>
      </x:c>
      <x:c r="G470" s="4" t="str">
        <x:v>验证新建排班可查看巡房人员</x:v>
      </x:c>
      <x:c r="H470" s="4" t="str">
        <x:v>巡房人员展示</x:v>
      </x:c>
      <x:c r="I470" s="4" t="str">
        <x:v>1. 平台管理员账号已登录且具备当前页面权限</x:v>
      </x:c>
      <x:c r="J470" s="4" t="str">
        <x:v>1. 进入新建排班
2. 查看巡房人员</x:v>
      </x:c>
      <x:c r="K470" s="4" t="str">
        <x:v>新建排班显示“巡房人员”</x:v>
      </x:c>
      <x:c r="L470" s="4" t="str"/>
      <x:c r="M470" s="4" t="str">
        <x:v>未测</x:v>
      </x:c>
      <x:c r="N470" s="4" t="str"/>
      <x:c r="O470" s="4" t="str">
        <x:v>1. 来源（原型批注）：liveshow-proto/prototype/annotations/admin.js；admin-inspection-schedule-create.html
2. 页面：admin-inspection-schedule-create.html
3. 规则：BR-019AF9F20CFE7F
4. 场景：SC-9134CC440F1A71
5. 未动态验证</x:v>
      </x:c>
    </x:row>
    <x:row r="471" ht="54" customHeight="1">
      <x:c r="A471" s="4" t="n">
        <x:v>470</x:v>
      </x:c>
      <x:c r="B471" s="4" t="str">
        <x:v>AHOST-0014</x:v>
      </x:c>
      <x:c r="C471" s="4" t="str">
        <x:v>主播管理</x:v>
      </x:c>
      <x:c r="D471" s="4" t="str">
        <x:v>巡房排班（平台管理员视角）</x:v>
      </x:c>
      <x:c r="E471" s="4" t="str">
        <x:v>功能需求</x:v>
      </x:c>
      <x:c r="F471" s="4" t="str">
        <x:v>P2</x:v>
      </x:c>
      <x:c r="G471" s="4" t="str">
        <x:v>验证巡房排班可查看排班编号</x:v>
      </x:c>
      <x:c r="H471" s="4" t="str">
        <x:v>排班编号展示</x:v>
      </x:c>
      <x:c r="I471" s="4" t="str">
        <x:v>1. 平台管理员账号已登录且具备当前页面权限</x:v>
      </x:c>
      <x:c r="J471" s="4" t="str">
        <x:v>1. 进入巡房排班
2. 查看排班编号</x:v>
      </x:c>
      <x:c r="K471" s="4" t="str">
        <x:v>巡房排班显示“排班编号”</x:v>
      </x:c>
      <x:c r="L471" s="4" t="str"/>
      <x:c r="M471" s="4" t="str">
        <x:v>未测</x:v>
      </x:c>
      <x:c r="N471" s="4" t="str"/>
      <x:c r="O471" s="4" t="str">
        <x:v>1. 来源（原型批注）：liveshow-proto/prototype/annotations/admin.js；admin-inspection-schedule.html
2. 页面：admin-inspection-schedule.html
3. 规则：BR-419833B2BF0548
4. 场景：SC-AF9E524F22850A
5. 未动态验证</x:v>
      </x:c>
    </x:row>
    <x:row r="472" ht="54" customHeight="1">
      <x:c r="A472" s="4" t="n">
        <x:v>471</x:v>
      </x:c>
      <x:c r="B472" s="4" t="str">
        <x:v>AHOST-0015</x:v>
      </x:c>
      <x:c r="C472" s="4" t="str">
        <x:v>主播管理</x:v>
      </x:c>
      <x:c r="D472" s="4" t="str">
        <x:v>巡房排班（平台管理员视角）</x:v>
      </x:c>
      <x:c r="E472" s="4" t="str">
        <x:v>功能需求</x:v>
      </x:c>
      <x:c r="F472" s="4" t="str">
        <x:v>P2</x:v>
      </x:c>
      <x:c r="G472" s="4" t="str">
        <x:v>验证巡房排班可查看排班人数</x:v>
      </x:c>
      <x:c r="H472" s="4" t="str">
        <x:v>排班人数展示</x:v>
      </x:c>
      <x:c r="I472" s="4" t="str">
        <x:v>1. 平台管理员账号已登录且具备当前页面权限</x:v>
      </x:c>
      <x:c r="J472" s="4" t="str">
        <x:v>1. 进入巡房排班
2. 查看排班人数</x:v>
      </x:c>
      <x:c r="K472" s="4" t="str">
        <x:v>巡房排班显示“排班人数”</x:v>
      </x:c>
      <x:c r="L472" s="4" t="str"/>
      <x:c r="M472" s="4" t="str">
        <x:v>未测</x:v>
      </x:c>
      <x:c r="N472" s="4" t="str"/>
      <x:c r="O472" s="4" t="str">
        <x:v>1. 来源（原型批注）：liveshow-proto/prototype/annotations/admin.js；admin-inspection-schedule.html
2. 页面：admin-inspection-schedule.html
3. 规则：BR-5890B520A80718
4. 场景：SC-73FCBFF2F0496A
5. 未动态验证</x:v>
      </x:c>
    </x:row>
    <x:row r="473" ht="54" customHeight="1">
      <x:c r="A473" s="4" t="n">
        <x:v>472</x:v>
      </x:c>
      <x:c r="B473" s="4" t="str">
        <x:v>AHOST-0016</x:v>
      </x:c>
      <x:c r="C473" s="4" t="str">
        <x:v>主播管理</x:v>
      </x:c>
      <x:c r="D473" s="4" t="str">
        <x:v>巡房排班（平台管理员视角）</x:v>
      </x:c>
      <x:c r="E473" s="4" t="str">
        <x:v>功能需求</x:v>
      </x:c>
      <x:c r="F473" s="4" t="str">
        <x:v>P2</x:v>
      </x:c>
      <x:c r="G473" s="4" t="str">
        <x:v>验证巡房排班可查看日期 / 时间段</x:v>
      </x:c>
      <x:c r="H473" s="4" t="str">
        <x:v>日期 / 时间段展示</x:v>
      </x:c>
      <x:c r="I473" s="4" t="str">
        <x:v>1. 平台管理员账号已登录且具备当前页面权限</x:v>
      </x:c>
      <x:c r="J473" s="4" t="str">
        <x:v>1. 进入巡房排班
2. 查看日期 / 时间段</x:v>
      </x:c>
      <x:c r="K473" s="4" t="str">
        <x:v>巡房排班显示“日期 / 时间段”</x:v>
      </x:c>
      <x:c r="L473" s="4" t="str"/>
      <x:c r="M473" s="4" t="str">
        <x:v>未测</x:v>
      </x:c>
      <x:c r="N473" s="4" t="str"/>
      <x:c r="O473" s="4" t="str">
        <x:v>1. 来源（原型批注）：liveshow-proto/prototype/annotations/admin.js；admin-inspection-schedule.html
2. 页面：admin-inspection-schedule.html
3. 规则：BR-6A9485B9276459、BR-9A155700A83F27
4. 场景：SC-4033FEFE16DA1A
5. 未动态验证</x:v>
      </x:c>
    </x:row>
    <x:row r="474" ht="54" customHeight="1">
      <x:c r="A474" s="4" t="n">
        <x:v>473</x:v>
      </x:c>
      <x:c r="B474" s="4" t="str">
        <x:v>AHOST-0017</x:v>
      </x:c>
      <x:c r="C474" s="4" t="str">
        <x:v>主播管理</x:v>
      </x:c>
      <x:c r="D474" s="4" t="str">
        <x:v>巡房排班（平台管理员视角）</x:v>
      </x:c>
      <x:c r="E474" s="4" t="str">
        <x:v>功能需求</x:v>
      </x:c>
      <x:c r="F474" s="4" t="str">
        <x:v>P2</x:v>
      </x:c>
      <x:c r="G474" s="4" t="str">
        <x:v>验证巡房排班可查看状态</x:v>
      </x:c>
      <x:c r="H474" s="4" t="str">
        <x:v>状态展示</x:v>
      </x:c>
      <x:c r="I474" s="4" t="str">
        <x:v>1. 平台管理员账号已登录且具备当前页面权限</x:v>
      </x:c>
      <x:c r="J474" s="4" t="str">
        <x:v>1. 进入巡房排班
2. 查看状态</x:v>
      </x:c>
      <x:c r="K474" s="4" t="str">
        <x:v>巡房排班显示“状态”</x:v>
      </x:c>
      <x:c r="L474" s="4" t="str"/>
      <x:c r="M474" s="4" t="str">
        <x:v>未测</x:v>
      </x:c>
      <x:c r="N474" s="4" t="str"/>
      <x:c r="O474" s="4" t="str">
        <x:v>1. 来源（原型批注）：liveshow-proto/prototype/annotations/admin.js；admin-inspection-schedule.html
2. 页面：admin-inspection-schedule.html
3. 规则：BR-0E59E7D66EE252、BR-85AA3D786C0F32
4. 场景：SC-A4A5F0D382EC39
5. 未动态验证</x:v>
      </x:c>
    </x:row>
    <x:row r="475" ht="54" customHeight="1">
      <x:c r="A475" s="4" t="n">
        <x:v>474</x:v>
      </x:c>
      <x:c r="B475" s="4" t="str">
        <x:v>AHOST-0018</x:v>
      </x:c>
      <x:c r="C475" s="4" t="str">
        <x:v>主播管理</x:v>
      </x:c>
      <x:c r="D475" s="4" t="str">
        <x:v>直播场次（平台管理员视角）</x:v>
      </x:c>
      <x:c r="E475" s="4" t="str">
        <x:v>异常用例</x:v>
      </x:c>
      <x:c r="F475" s="4" t="str">
        <x:v>P1</x:v>
      </x:c>
      <x:c r="G475" s="4" t="str">
        <x:v>验证结束后的直播场次状态</x:v>
      </x:c>
      <x:c r="H475" s="4" t="str">
        <x:v>直播场次状态</x:v>
      </x:c>
      <x:c r="I475" s="4" t="str">
        <x:v>1. 平台管理员账号已登录且具备当前页面权限
2. 结束</x:v>
      </x:c>
      <x:c r="J475" s="4" t="str">
        <x:v>1. 进入直播场次
2. 刷新直播场次</x:v>
      </x:c>
      <x:c r="K475" s="4" t="str">
        <x:v>历史场次不可重开</x:v>
      </x:c>
      <x:c r="L475" s="4" t="str"/>
      <x:c r="M475" s="4" t="str">
        <x:v>未测</x:v>
      </x:c>
      <x:c r="N475" s="4" t="str"/>
      <x:c r="O475" s="4" t="str">
        <x:v>1. 来源（原型批注）：liveshow-proto/prototype/annotations/admin.js；admin-live-management.html
2. 页面：admin-live-management.html
3. 规则：BR-BEA19AC9F36D40
4. 场景：SC-CF379873A068C1
5. 未动态验证</x:v>
      </x:c>
    </x:row>
    <x:row r="476" ht="54" customHeight="1">
      <x:c r="A476" s="4" t="n">
        <x:v>475</x:v>
      </x:c>
      <x:c r="B476" s="4" t="str">
        <x:v>AHOST-0019</x:v>
      </x:c>
      <x:c r="C476" s="4" t="str">
        <x:v>主播管理</x:v>
      </x:c>
      <x:c r="D476" s="4" t="str">
        <x:v>直播场次（平台管理员视角）</x:v>
      </x:c>
      <x:c r="E476" s="4" t="str">
        <x:v>功能需求</x:v>
      </x:c>
      <x:c r="F476" s="4" t="str">
        <x:v>P1</x:v>
      </x:c>
      <x:c r="G476" s="4" t="str">
        <x:v>验证直播场次可查看房型</x:v>
      </x:c>
      <x:c r="H476" s="4" t="str">
        <x:v>房型展示</x:v>
      </x:c>
      <x:c r="I476" s="4" t="str">
        <x:v>1. 平台管理员账号已登录且具备当前页面权限</x:v>
      </x:c>
      <x:c r="J476" s="4" t="str">
        <x:v>1. 进入直播场次
2. 查看房型</x:v>
      </x:c>
      <x:c r="K476" s="4" t="str">
        <x:v>直播场次显示“房型”</x:v>
      </x:c>
      <x:c r="L476" s="4" t="str"/>
      <x:c r="M476" s="4" t="str">
        <x:v>未测</x:v>
      </x:c>
      <x:c r="N476" s="4" t="str"/>
      <x:c r="O476" s="4" t="str">
        <x:v>1. 来源（原型批注）：liveshow-proto/prototype/annotations/admin.js；admin-live-management.html
2. 页面：admin-live-management.html
3. 规则：BR-B2740F108C89A2
4. 场景：SC-A05358417EAECF
5. 未动态验证</x:v>
      </x:c>
    </x:row>
    <x:row r="477" ht="54" customHeight="1">
      <x:c r="A477" s="4" t="n">
        <x:v>476</x:v>
      </x:c>
      <x:c r="B477" s="4" t="str">
        <x:v>AHOST-0020</x:v>
      </x:c>
      <x:c r="C477" s="4" t="str">
        <x:v>主播管理</x:v>
      </x:c>
      <x:c r="D477" s="4" t="str">
        <x:v>直播场次（平台管理员视角）</x:v>
      </x:c>
      <x:c r="E477" s="4" t="str">
        <x:v>功能需求</x:v>
      </x:c>
      <x:c r="F477" s="4" t="str">
        <x:v>P1</x:v>
      </x:c>
      <x:c r="G477" s="4" t="str">
        <x:v>验证直播场次可查看观众人数</x:v>
      </x:c>
      <x:c r="H477" s="4" t="str">
        <x:v>观众人数展示</x:v>
      </x:c>
      <x:c r="I477" s="4" t="str">
        <x:v>1. 平台管理员账号已登录且具备当前页面权限</x:v>
      </x:c>
      <x:c r="J477" s="4" t="str">
        <x:v>1. 进入直播场次
2. 查看观众人数</x:v>
      </x:c>
      <x:c r="K477" s="4" t="str">
        <x:v>直播场次显示“观众人数”</x:v>
      </x:c>
      <x:c r="L477" s="4" t="str"/>
      <x:c r="M477" s="4" t="str">
        <x:v>未测</x:v>
      </x:c>
      <x:c r="N477" s="4" t="str"/>
      <x:c r="O477" s="4" t="str">
        <x:v>1. 来源（原型批注）：liveshow-proto/prototype/annotations/admin.js；admin-live-management.html
2. 页面：admin-live-management.html
3. 规则：BR-073A9C38C02A6C
4. 场景：SC-5A5222C15E4A3C
5. 未动态验证</x:v>
      </x:c>
    </x:row>
    <x:row r="478" ht="54" customHeight="1">
      <x:c r="A478" s="4" t="n">
        <x:v>477</x:v>
      </x:c>
      <x:c r="B478" s="4" t="str">
        <x:v>AHOST-0021</x:v>
      </x:c>
      <x:c r="C478" s="4" t="str">
        <x:v>主播管理</x:v>
      </x:c>
      <x:c r="D478" s="4" t="str">
        <x:v>直播场次（平台管理员视角）</x:v>
      </x:c>
      <x:c r="E478" s="4" t="str">
        <x:v>功能需求</x:v>
      </x:c>
      <x:c r="F478" s="4" t="str">
        <x:v>P1</x:v>
      </x:c>
      <x:c r="G478" s="4" t="str">
        <x:v>验证直播场次可查看收礼数量</x:v>
      </x:c>
      <x:c r="H478" s="4" t="str">
        <x:v>收礼数量展示</x:v>
      </x:c>
      <x:c r="I478" s="4" t="str">
        <x:v>1. 平台管理员账号已登录且具备当前页面权限</x:v>
      </x:c>
      <x:c r="J478" s="4" t="str">
        <x:v>1. 进入直播场次
2. 查看收礼数量</x:v>
      </x:c>
      <x:c r="K478" s="4" t="str">
        <x:v>直播场次显示“收礼数量”</x:v>
      </x:c>
      <x:c r="L478" s="4" t="str"/>
      <x:c r="M478" s="4" t="str">
        <x:v>未测</x:v>
      </x:c>
      <x:c r="N478" s="4" t="str"/>
      <x:c r="O478" s="4" t="str">
        <x:v>1. 来源（原型批注）：liveshow-proto/prototype/annotations/admin.js；admin-live-management.html
2. 页面：admin-live-management.html
3. 规则：BR-96634002401325、BR-E98EB9CD08CCE9
4. 场景：SC-925FB6CAABC92C
5. 未动态验证</x:v>
      </x:c>
    </x:row>
    <x:row r="479" ht="54" customHeight="1">
      <x:c r="A479" s="4" t="n">
        <x:v>478</x:v>
      </x:c>
      <x:c r="B479" s="4" t="str">
        <x:v>AHOST-0022</x:v>
      </x:c>
      <x:c r="C479" s="4" t="str">
        <x:v>主播管理</x:v>
      </x:c>
      <x:c r="D479" s="4" t="str">
        <x:v>直播场次（平台管理员视角）</x:v>
      </x:c>
      <x:c r="E479" s="4" t="str">
        <x:v>功能需求</x:v>
      </x:c>
      <x:c r="F479" s="4" t="str">
        <x:v>P1</x:v>
      </x:c>
      <x:c r="G479" s="4" t="str">
        <x:v>验证直播场次可查看消费金币</x:v>
      </x:c>
      <x:c r="H479" s="4" t="str">
        <x:v>消费金币展示</x:v>
      </x:c>
      <x:c r="I479" s="4" t="str">
        <x:v>1. 平台管理员账号已登录且具备当前页面权限</x:v>
      </x:c>
      <x:c r="J479" s="4" t="str">
        <x:v>1. 进入直播场次
2. 查看消费金币</x:v>
      </x:c>
      <x:c r="K479" s="4" t="str">
        <x:v>直播场次显示“消费金币”</x:v>
      </x:c>
      <x:c r="L479" s="4" t="str"/>
      <x:c r="M479" s="4" t="str">
        <x:v>未测</x:v>
      </x:c>
      <x:c r="N479" s="4" t="str"/>
      <x:c r="O479" s="4" t="str">
        <x:v>1. 来源（原型批注）：liveshow-proto/prototype/annotations/admin.js；admin-live-management.html
2. 页面：admin-live-management.html
3. 规则：BR-A67390F4C363CE、BR-0ED2D6584C540F
4. 场景：SC-C9C1CFF3E57530
5. 未动态验证</x:v>
      </x:c>
    </x:row>
    <x:row r="480" ht="54" customHeight="1">
      <x:c r="A480" s="4" t="n">
        <x:v>479</x:v>
      </x:c>
      <x:c r="B480" s="4" t="str">
        <x:v>AHOST-0023</x:v>
      </x:c>
      <x:c r="C480" s="4" t="str">
        <x:v>主播管理</x:v>
      </x:c>
      <x:c r="D480" s="4" t="str">
        <x:v>直播场次（平台管理员视角）</x:v>
      </x:c>
      <x:c r="E480" s="4" t="str">
        <x:v>功能需求</x:v>
      </x:c>
      <x:c r="F480" s="4" t="str">
        <x:v>P1</x:v>
      </x:c>
      <x:c r="G480" s="4" t="str">
        <x:v>验证直播场次可查看直播场次 ID</x:v>
      </x:c>
      <x:c r="H480" s="4" t="str">
        <x:v>直播场次 ID展示</x:v>
      </x:c>
      <x:c r="I480" s="4" t="str">
        <x:v>1. 平台管理员账号已登录且具备当前页面权限</x:v>
      </x:c>
      <x:c r="J480" s="4" t="str">
        <x:v>1. 进入直播场次
2. 查看直播场次 ID</x:v>
      </x:c>
      <x:c r="K480" s="4" t="str">
        <x:v>直播场次显示“直播场次 ID”</x:v>
      </x:c>
      <x:c r="L480" s="4" t="str"/>
      <x:c r="M480" s="4" t="str">
        <x:v>未测</x:v>
      </x:c>
      <x:c r="N480" s="4" t="str"/>
      <x:c r="O480" s="4" t="str">
        <x:v>1. 来源（原型批注）：liveshow-proto/prototype/annotations/admin.js；admin-live-management.html
2. 页面：admin-live-management.html
3. 规则：BR-BF1F7199315011、BR-428B34978C3C6C
4. 场景：SC-3D8FC95768AE5D
5. 未动态验证</x:v>
      </x:c>
    </x:row>
    <x:row r="481" ht="54" customHeight="1">
      <x:c r="A481" s="4" t="n">
        <x:v>480</x:v>
      </x:c>
      <x:c r="B481" s="4" t="str">
        <x:v>AHOST-0024</x:v>
      </x:c>
      <x:c r="C481" s="4" t="str">
        <x:v>主播管理</x:v>
      </x:c>
      <x:c r="D481" s="4" t="str">
        <x:v>直播场次（平台管理员视角）</x:v>
      </x:c>
      <x:c r="E481" s="4" t="str">
        <x:v>功能需求</x:v>
      </x:c>
      <x:c r="F481" s="4" t="str">
        <x:v>P1</x:v>
      </x:c>
      <x:c r="G481" s="4" t="str">
        <x:v>验证直播场次可查看直播时长</x:v>
      </x:c>
      <x:c r="H481" s="4" t="str">
        <x:v>直播时长展示</x:v>
      </x:c>
      <x:c r="I481" s="4" t="str">
        <x:v>1. 平台管理员账号已登录且具备当前页面权限</x:v>
      </x:c>
      <x:c r="J481" s="4" t="str">
        <x:v>1. 进入直播场次
2. 查看直播时长</x:v>
      </x:c>
      <x:c r="K481" s="4" t="str">
        <x:v>直播场次显示“直播时长”</x:v>
      </x:c>
      <x:c r="L481" s="4" t="str"/>
      <x:c r="M481" s="4" t="str">
        <x:v>未测</x:v>
      </x:c>
      <x:c r="N481" s="4" t="str"/>
      <x:c r="O481" s="4" t="str">
        <x:v>1. 来源（原型批注）：liveshow-proto/prototype/annotations/admin.js；admin-live-management.html
2. 页面：admin-live-management.html
3. 规则：BR-0B68D8E7067548、BR-B2EAC5EFB9238D
4. 场景：SC-8806BC199C8C17
5. 未动态验证</x:v>
      </x:c>
    </x:row>
    <x:row r="482" ht="54" customHeight="1">
      <x:c r="A482" s="4" t="n">
        <x:v>481</x:v>
      </x:c>
      <x:c r="B482" s="4" t="str">
        <x:v>AHOST-0025</x:v>
      </x:c>
      <x:c r="C482" s="4" t="str">
        <x:v>主播管理</x:v>
      </x:c>
      <x:c r="D482" s="4" t="str">
        <x:v>直播场次（平台管理员视角）</x:v>
      </x:c>
      <x:c r="E482" s="4" t="str">
        <x:v>功能需求</x:v>
      </x:c>
      <x:c r="F482" s="4" t="str">
        <x:v>P1</x:v>
      </x:c>
      <x:c r="G482" s="4" t="str">
        <x:v>验证直播场次可查看主播收益</x:v>
      </x:c>
      <x:c r="H482" s="4" t="str">
        <x:v>主播收益展示</x:v>
      </x:c>
      <x:c r="I482" s="4" t="str">
        <x:v>1. 平台管理员账号已登录且具备当前页面权限</x:v>
      </x:c>
      <x:c r="J482" s="4" t="str">
        <x:v>1. 进入直播场次
2. 查看主播收益</x:v>
      </x:c>
      <x:c r="K482" s="4" t="str">
        <x:v>直播场次显示“主播收益”</x:v>
      </x:c>
      <x:c r="L482" s="4" t="str"/>
      <x:c r="M482" s="4" t="str">
        <x:v>未测</x:v>
      </x:c>
      <x:c r="N482" s="4" t="str"/>
      <x:c r="O482" s="4" t="str">
        <x:v>1. 来源（原型批注）：liveshow-proto/prototype/annotations/admin.js；admin-live-management.html
2. 页面：admin-live-management.html
3. 规则：BR-2C49CE8701176B、BR-8CEC6CBCCAC97A、BR-65DC33855C966D
4. 场景：SC-B70E00441F6D12
5. 未动态验证</x:v>
      </x:c>
    </x:row>
    <x:row r="483" ht="54" customHeight="1">
      <x:c r="A483" s="4" t="n">
        <x:v>482</x:v>
      </x:c>
      <x:c r="B483" s="4" t="str">
        <x:v>AHOST-0026</x:v>
      </x:c>
      <x:c r="C483" s="4" t="str">
        <x:v>主播管理</x:v>
      </x:c>
      <x:c r="D483" s="4" t="str">
        <x:v>直播详情（平台管理员视角）</x:v>
      </x:c>
      <x:c r="E483" s="4" t="str">
        <x:v>功能需求</x:v>
      </x:c>
      <x:c r="F483" s="4" t="str">
        <x:v>P1</x:v>
      </x:c>
      <x:c r="G483" s="4" t="str">
        <x:v>验证直播详情可查看场次信息</x:v>
      </x:c>
      <x:c r="H483" s="4" t="str">
        <x:v>场次信息展示</x:v>
      </x:c>
      <x:c r="I483" s="4" t="str">
        <x:v>1. 平台管理员账号已登录且具备当前页面权限</x:v>
      </x:c>
      <x:c r="J483" s="4" t="str">
        <x:v>1. 进入直播详情
2. 查看场次信息</x:v>
      </x:c>
      <x:c r="K483" s="4" t="str">
        <x:v>直播详情显示“场次信息”</x:v>
      </x:c>
      <x:c r="L483" s="4" t="str"/>
      <x:c r="M483" s="4" t="str">
        <x:v>未测</x:v>
      </x:c>
      <x:c r="N483" s="4" t="str"/>
      <x:c r="O483" s="4" t="str">
        <x:v>1. 来源（原型批注）：liveshow-proto/prototype/annotations/admin.js；admin-live-detail.html
2. 页面：admin-live-detail.html
3. 规则：BR-98079EBEA43DE5
4. 场景：SC-06F600EE9E2820
5. 未动态验证</x:v>
      </x:c>
    </x:row>
    <x:row r="484" ht="54" customHeight="1">
      <x:c r="A484" s="4" t="n">
        <x:v>483</x:v>
      </x:c>
      <x:c r="B484" s="4" t="str">
        <x:v>AHOST-0027</x:v>
      </x:c>
      <x:c r="C484" s="4" t="str">
        <x:v>主播管理</x:v>
      </x:c>
      <x:c r="D484" s="4" t="str">
        <x:v>直播详情（平台管理员视角）</x:v>
      </x:c>
      <x:c r="E484" s="4" t="str">
        <x:v>功能需求</x:v>
      </x:c>
      <x:c r="F484" s="4" t="str">
        <x:v>P1</x:v>
      </x:c>
      <x:c r="G484" s="4" t="str">
        <x:v>验证直播详情可查看观众人数</x:v>
      </x:c>
      <x:c r="H484" s="4" t="str">
        <x:v>观众人数展示</x:v>
      </x:c>
      <x:c r="I484" s="4" t="str">
        <x:v>1. 平台管理员账号已登录且具备当前页面权限</x:v>
      </x:c>
      <x:c r="J484" s="4" t="str">
        <x:v>1. 进入直播详情
2. 查看观众人数</x:v>
      </x:c>
      <x:c r="K484" s="4" t="str">
        <x:v>直播详情显示“观众人数”</x:v>
      </x:c>
      <x:c r="L484" s="4" t="str"/>
      <x:c r="M484" s="4" t="str">
        <x:v>未测</x:v>
      </x:c>
      <x:c r="N484" s="4" t="str"/>
      <x:c r="O484" s="4" t="str">
        <x:v>1. 来源（原型批注）：liveshow-proto/prototype/annotations/admin.js；admin-live-detail.html
2. 页面：admin-live-detail.html
3. 规则：BR-B1AD0D7AFE52C4
4. 场景：SC-75B3CE1073A2B7
5. 未动态验证</x:v>
      </x:c>
    </x:row>
    <x:row r="485" ht="54" customHeight="1">
      <x:c r="A485" s="4" t="n">
        <x:v>484</x:v>
      </x:c>
      <x:c r="B485" s="4" t="str">
        <x:v>AHOST-0028</x:v>
      </x:c>
      <x:c r="C485" s="4" t="str">
        <x:v>主播管理</x:v>
      </x:c>
      <x:c r="D485" s="4" t="str">
        <x:v>直播详情（平台管理员视角）</x:v>
      </x:c>
      <x:c r="E485" s="4" t="str">
        <x:v>功能需求</x:v>
      </x:c>
      <x:c r="F485" s="4" t="str">
        <x:v>P1</x:v>
      </x:c>
      <x:c r="G485" s="4" t="str">
        <x:v>验证直播详情可查看金币收益</x:v>
      </x:c>
      <x:c r="H485" s="4" t="str">
        <x:v>金币收益展示</x:v>
      </x:c>
      <x:c r="I485" s="4" t="str">
        <x:v>1. 平台管理员账号已登录且具备当前页面权限</x:v>
      </x:c>
      <x:c r="J485" s="4" t="str">
        <x:v>1. 进入直播详情
2. 查看金币收益</x:v>
      </x:c>
      <x:c r="K485" s="4" t="str">
        <x:v>直播详情显示“金币收益”</x:v>
      </x:c>
      <x:c r="L485" s="4" t="str"/>
      <x:c r="M485" s="4" t="str">
        <x:v>未测</x:v>
      </x:c>
      <x:c r="N485" s="4" t="str"/>
      <x:c r="O485" s="4" t="str">
        <x:v>1. 来源（原型批注）：liveshow-proto/prototype/annotations/admin.js；admin-live-detail.html
2. 页面：admin-live-detail.html
3. 规则：BR-5D809DB2C92B3B、BR-653AF5E98FF805、BR-1B2C54048DE086
4. 场景：SC-CA31BB6AB4D6C3
5. 未动态验证</x:v>
      </x:c>
    </x:row>
    <x:row r="486" ht="54" customHeight="1">
      <x:c r="A486" s="4" t="n">
        <x:v>485</x:v>
      </x:c>
      <x:c r="B486" s="4" t="str">
        <x:v>AHOST-0029</x:v>
      </x:c>
      <x:c r="C486" s="4" t="str">
        <x:v>主播管理</x:v>
      </x:c>
      <x:c r="D486" s="4" t="str">
        <x:v>直播详情（平台管理员视角）</x:v>
      </x:c>
      <x:c r="E486" s="4" t="str">
        <x:v>功能需求</x:v>
      </x:c>
      <x:c r="F486" s="4" t="str">
        <x:v>P1</x:v>
      </x:c>
      <x:c r="G486" s="4" t="str">
        <x:v>验证直播详情可查看收礼数量</x:v>
      </x:c>
      <x:c r="H486" s="4" t="str">
        <x:v>收礼数量展示</x:v>
      </x:c>
      <x:c r="I486" s="4" t="str">
        <x:v>1. 平台管理员账号已登录且具备当前页面权限</x:v>
      </x:c>
      <x:c r="J486" s="4" t="str">
        <x:v>1. 进入直播详情
2. 查看收礼数量</x:v>
      </x:c>
      <x:c r="K486" s="4" t="str">
        <x:v>直播详情显示“收礼数量”</x:v>
      </x:c>
      <x:c r="L486" s="4" t="str"/>
      <x:c r="M486" s="4" t="str">
        <x:v>未测</x:v>
      </x:c>
      <x:c r="N486" s="4" t="str"/>
      <x:c r="O486" s="4" t="str">
        <x:v>1. 来源（原型批注）：liveshow-proto/prototype/annotations/admin.js；admin-live-detail.html
2. 页面：admin-live-detail.html
3. 规则：BR-716648EAB24200、BR-E19CA9F61A8895
4. 场景：SC-7D1AFA47E99EA3
5. 未动态验证</x:v>
      </x:c>
    </x:row>
    <x:row r="487" ht="54" customHeight="1">
      <x:c r="A487" s="4" t="n">
        <x:v>486</x:v>
      </x:c>
      <x:c r="B487" s="4" t="str">
        <x:v>AHOST-0030</x:v>
      </x:c>
      <x:c r="C487" s="4" t="str">
        <x:v>主播管理</x:v>
      </x:c>
      <x:c r="D487" s="4" t="str">
        <x:v>直播详情（平台管理员视角）</x:v>
      </x:c>
      <x:c r="E487" s="4" t="str">
        <x:v>功能需求</x:v>
      </x:c>
      <x:c r="F487" s="4" t="str">
        <x:v>P1</x:v>
      </x:c>
      <x:c r="G487" s="4" t="str">
        <x:v>验证直播详情可查看巡房记录</x:v>
      </x:c>
      <x:c r="H487" s="4" t="str">
        <x:v>巡房记录展示</x:v>
      </x:c>
      <x:c r="I487" s="4" t="str">
        <x:v>1. 平台管理员账号已登录且具备当前页面权限</x:v>
      </x:c>
      <x:c r="J487" s="4" t="str">
        <x:v>1. 进入直播详情
2. 查看巡房记录</x:v>
      </x:c>
      <x:c r="K487" s="4" t="str">
        <x:v>直播详情显示“巡房记录”</x:v>
      </x:c>
      <x:c r="L487" s="4" t="str"/>
      <x:c r="M487" s="4" t="str">
        <x:v>未测</x:v>
      </x:c>
      <x:c r="N487" s="4" t="str"/>
      <x:c r="O487" s="4" t="str">
        <x:v>1. 来源（原型批注）：liveshow-proto/prototype/annotations/admin.js；admin-live-detail.html
2. 页面：admin-live-detail.html
3. 规则：BR-B71E331566BC92
4. 场景：SC-80532EAFEF368C
5. 未动态验证</x:v>
      </x:c>
    </x:row>
    <x:row r="488" ht="54" customHeight="1">
      <x:c r="A488" s="4" t="n">
        <x:v>487</x:v>
      </x:c>
      <x:c r="B488" s="4" t="str">
        <x:v>AHOST-0031</x:v>
      </x:c>
      <x:c r="C488" s="4" t="str">
        <x:v>主播管理</x:v>
      </x:c>
      <x:c r="D488" s="4" t="str">
        <x:v>直播详情（平台管理员视角）</x:v>
      </x:c>
      <x:c r="E488" s="4" t="str">
        <x:v>功能需求</x:v>
      </x:c>
      <x:c r="F488" s="4" t="str">
        <x:v>P1</x:v>
      </x:c>
      <x:c r="G488" s="4" t="str">
        <x:v>验证直播详情可查看直播状态</x:v>
      </x:c>
      <x:c r="H488" s="4" t="str">
        <x:v>直播状态展示</x:v>
      </x:c>
      <x:c r="I488" s="4" t="str">
        <x:v>1. 平台管理员账号已登录且具备当前页面权限</x:v>
      </x:c>
      <x:c r="J488" s="4" t="str">
        <x:v>1. 进入直播详情
2. 查看直播状态</x:v>
      </x:c>
      <x:c r="K488" s="4" t="str">
        <x:v>直播详情显示“直播状态”</x:v>
      </x:c>
      <x:c r="L488" s="4" t="str"/>
      <x:c r="M488" s="4" t="str">
        <x:v>未测</x:v>
      </x:c>
      <x:c r="N488" s="4" t="str"/>
      <x:c r="O488" s="4" t="str">
        <x:v>1. 来源（原型批注）：liveshow-proto/prototype/annotations/admin.js；admin-live-detail.html
2. 页面：admin-live-detail.html
3. 规则：BR-1261DC1E6A3B39、BR-95DB47CB9D1DA8
4. 场景：SC-A399A1C7041181
5. 未动态验证</x:v>
      </x:c>
    </x:row>
    <x:row r="489" ht="54" customHeight="1">
      <x:c r="A489" s="4" t="n">
        <x:v>488</x:v>
      </x:c>
      <x:c r="B489" s="4" t="str">
        <x:v>AHOST-0032</x:v>
      </x:c>
      <x:c r="C489" s="4" t="str">
        <x:v>主播管理</x:v>
      </x:c>
      <x:c r="D489" s="4" t="str">
        <x:v>主播列表（平台管理员视角）</x:v>
      </x:c>
      <x:c r="E489" s="4" t="str">
        <x:v>业务流程</x:v>
      </x:c>
      <x:c r="F489" s="4" t="str">
        <x:v>P2</x:v>
      </x:c>
      <x:c r="G489" s="4" t="str">
        <x:v>验证解锁后的主播列表状态</x:v>
      </x:c>
      <x:c r="H489" s="4" t="str">
        <x:v>主播列表状态</x:v>
      </x:c>
      <x:c r="I489" s="4" t="str">
        <x:v>1. 平台管理员账号已登录且具备当前页面权限
2. 解锁</x:v>
      </x:c>
      <x:c r="J489" s="4" t="str">
        <x:v>1. 进入主播列表
2. 刷新主播列表</x:v>
      </x:c>
      <x:c r="K489" s="4" t="str">
        <x:v>恢复锁定前设置并重算权限</x:v>
      </x:c>
      <x:c r="L489" s="4" t="str"/>
      <x:c r="M489" s="4" t="str">
        <x:v>未测</x:v>
      </x:c>
      <x:c r="N489" s="4" t="str"/>
      <x:c r="O489" s="4" t="str">
        <x:v>1. 来源（原型批注）：liveshow-proto/prototype/annotations/admin.js；admin-host-list.html
2. 页面：admin-host-list.html
3. 规则：BR-0A0D3EAFF48D0A
4. 场景：SC-DF42DAB863CEC4
5. 未动态验证</x:v>
      </x:c>
    </x:row>
    <x:row r="490" ht="54" customHeight="1">
      <x:c r="A490" s="4" t="n">
        <x:v>489</x:v>
      </x:c>
      <x:c r="B490" s="4" t="str">
        <x:v>AHOST-0033</x:v>
      </x:c>
      <x:c r="C490" s="4" t="str">
        <x:v>主播管理</x:v>
      </x:c>
      <x:c r="D490" s="4" t="str">
        <x:v>主播列表（平台管理员视角）</x:v>
      </x:c>
      <x:c r="E490" s="4" t="str">
        <x:v>功能需求</x:v>
      </x:c>
      <x:c r="F490" s="4" t="str">
        <x:v>P2</x:v>
      </x:c>
      <x:c r="G490" s="4" t="str">
        <x:v>验证主播列表可查看金币收益</x:v>
      </x:c>
      <x:c r="H490" s="4" t="str">
        <x:v>金币收益展示</x:v>
      </x:c>
      <x:c r="I490" s="4" t="str">
        <x:v>1. 平台管理员账号已登录且具备当前页面权限</x:v>
      </x:c>
      <x:c r="J490" s="4" t="str">
        <x:v>1. 进入主播列表
2. 查看金币收益</x:v>
      </x:c>
      <x:c r="K490" s="4" t="str">
        <x:v>主播列表显示“金币收益”</x:v>
      </x:c>
      <x:c r="L490" s="4" t="str"/>
      <x:c r="M490" s="4" t="str">
        <x:v>未测</x:v>
      </x:c>
      <x:c r="N490" s="4" t="str"/>
      <x:c r="O490" s="4" t="str">
        <x:v>1. 来源（原型批注）：liveshow-proto/prototype/annotations/admin.js；admin-host-list.html
2. 页面：admin-host-list.html
3. 规则：BR-E50D1ED33A56CE、BR-8EC5FA6FDAF55E、BR-FC5ECE282B5A0A
4. 场景：SC-C209D66A9E95CD
5. 未动态验证</x:v>
      </x:c>
    </x:row>
    <x:row r="491" ht="54" customHeight="1">
      <x:c r="A491" s="4" t="n">
        <x:v>490</x:v>
      </x:c>
      <x:c r="B491" s="4" t="str">
        <x:v>AHOST-0034</x:v>
      </x:c>
      <x:c r="C491" s="4" t="str">
        <x:v>主播管理</x:v>
      </x:c>
      <x:c r="D491" s="4" t="str">
        <x:v>主播列表（平台管理员视角）</x:v>
      </x:c>
      <x:c r="E491" s="4" t="str">
        <x:v>功能需求</x:v>
      </x:c>
      <x:c r="F491" s="4" t="str">
        <x:v>P2</x:v>
      </x:c>
      <x:c r="G491" s="4" t="str">
        <x:v>验证主播列表可查看开播权限</x:v>
      </x:c>
      <x:c r="H491" s="4" t="str">
        <x:v>开播权限展示</x:v>
      </x:c>
      <x:c r="I491" s="4" t="str">
        <x:v>1. 平台管理员账号已登录且具备当前页面权限</x:v>
      </x:c>
      <x:c r="J491" s="4" t="str">
        <x:v>1. 进入主播列表
2. 查看开播权限</x:v>
      </x:c>
      <x:c r="K491" s="4" t="str">
        <x:v>主播列表显示“开播权限”</x:v>
      </x:c>
      <x:c r="L491" s="4" t="str"/>
      <x:c r="M491" s="4" t="str">
        <x:v>未测</x:v>
      </x:c>
      <x:c r="N491" s="4" t="str"/>
      <x:c r="O491" s="4" t="str">
        <x:v>1. 来源（原型批注）：liveshow-proto/prototype/annotations/admin.js；admin-host-list.html
2. 页面：admin-host-list.html
3. 规则：BR-E24EE6D5E47ED4
4. 场景：SC-4F524BFCEC8BCB
5. 未动态验证</x:v>
      </x:c>
    </x:row>
    <x:row r="492" ht="54" customHeight="1">
      <x:c r="A492" s="4" t="n">
        <x:v>491</x:v>
      </x:c>
      <x:c r="B492" s="4" t="str">
        <x:v>AHOST-0035</x:v>
      </x:c>
      <x:c r="C492" s="4" t="str">
        <x:v>主播管理</x:v>
      </x:c>
      <x:c r="D492" s="4" t="str">
        <x:v>主播列表（平台管理员视角）</x:v>
      </x:c>
      <x:c r="E492" s="4" t="str">
        <x:v>功能需求</x:v>
      </x:c>
      <x:c r="F492" s="4" t="str">
        <x:v>P2</x:v>
      </x:c>
      <x:c r="G492" s="4" t="str">
        <x:v>验证主播列表可查看违规次数</x:v>
      </x:c>
      <x:c r="H492" s="4" t="str">
        <x:v>违规次数展示</x:v>
      </x:c>
      <x:c r="I492" s="4" t="str">
        <x:v>1. 平台管理员账号已登录且具备当前页面权限</x:v>
      </x:c>
      <x:c r="J492" s="4" t="str">
        <x:v>1. 进入主播列表
2. 查看违规次数</x:v>
      </x:c>
      <x:c r="K492" s="4" t="str">
        <x:v>主播列表显示“违规次数”</x:v>
      </x:c>
      <x:c r="L492" s="4" t="str"/>
      <x:c r="M492" s="4" t="str">
        <x:v>未测</x:v>
      </x:c>
      <x:c r="N492" s="4" t="str"/>
      <x:c r="O492" s="4" t="str">
        <x:v>1. 来源（原型批注）：liveshow-proto/prototype/annotations/admin.js；admin-host-list.html
2. 页面：admin-host-list.html
3. 规则：BR-1E5AB9238F8CE5
4. 场景：SC-32792C57EF910C
5. 未动态验证</x:v>
      </x:c>
    </x:row>
    <x:row r="493" ht="54" customHeight="1">
      <x:c r="A493" s="4" t="n">
        <x:v>492</x:v>
      </x:c>
      <x:c r="B493" s="4" t="str">
        <x:v>AHOST-0036</x:v>
      </x:c>
      <x:c r="C493" s="4" t="str">
        <x:v>主播管理</x:v>
      </x:c>
      <x:c r="D493" s="4" t="str">
        <x:v>主播列表（平台管理员视角）</x:v>
      </x:c>
      <x:c r="E493" s="4" t="str">
        <x:v>功能需求</x:v>
      </x:c>
      <x:c r="F493" s="4" t="str">
        <x:v>P2</x:v>
      </x:c>
      <x:c r="G493" s="4" t="str">
        <x:v>验证主播列表可查看账号状态</x:v>
      </x:c>
      <x:c r="H493" s="4" t="str">
        <x:v>账号状态展示</x:v>
      </x:c>
      <x:c r="I493" s="4" t="str">
        <x:v>1. 平台管理员账号已登录且具备当前页面权限</x:v>
      </x:c>
      <x:c r="J493" s="4" t="str">
        <x:v>1. 进入主播列表
2. 查看账号状态</x:v>
      </x:c>
      <x:c r="K493" s="4" t="str">
        <x:v>主播列表显示“账号状态”</x:v>
      </x:c>
      <x:c r="L493" s="4" t="str"/>
      <x:c r="M493" s="4" t="str">
        <x:v>未测</x:v>
      </x:c>
      <x:c r="N493" s="4" t="str"/>
      <x:c r="O493" s="4" t="str">
        <x:v>1. 来源（原型批注）：liveshow-proto/prototype/annotations/admin.js；admin-host-list.html
2. 页面：admin-host-list.html
3. 规则：BR-126BD40EAF20A2
4. 场景：SC-A5600EC66A5EFB
5. 未动态验证</x:v>
      </x:c>
    </x:row>
    <x:row r="494" ht="54" customHeight="1">
      <x:c r="A494" s="4" t="n">
        <x:v>493</x:v>
      </x:c>
      <x:c r="B494" s="4" t="str">
        <x:v>AHOST-0037</x:v>
      </x:c>
      <x:c r="C494" s="4" t="str">
        <x:v>主播管理</x:v>
      </x:c>
      <x:c r="D494" s="4" t="str">
        <x:v>主播列表（平台管理员视角）</x:v>
      </x:c>
      <x:c r="E494" s="4" t="str">
        <x:v>功能需求</x:v>
      </x:c>
      <x:c r="F494" s="4" t="str">
        <x:v>P2</x:v>
      </x:c>
      <x:c r="G494" s="4" t="str">
        <x:v>验证主播列表可查看主播 / 公会</x:v>
      </x:c>
      <x:c r="H494" s="4" t="str">
        <x:v>主播 / 公会展示</x:v>
      </x:c>
      <x:c r="I494" s="4" t="str">
        <x:v>1. 平台管理员账号已登录且具备当前页面权限</x:v>
      </x:c>
      <x:c r="J494" s="4" t="str">
        <x:v>1. 进入主播列表
2. 查看主播 / 公会</x:v>
      </x:c>
      <x:c r="K494" s="4" t="str">
        <x:v>主播列表显示“主播 / 公会”</x:v>
      </x:c>
      <x:c r="L494" s="4" t="str"/>
      <x:c r="M494" s="4" t="str">
        <x:v>未测</x:v>
      </x:c>
      <x:c r="N494" s="4" t="str"/>
      <x:c r="O494" s="4" t="str">
        <x:v>1. 来源（原型批注）：liveshow-proto/prototype/annotations/admin.js；admin-host-list.html
2. 页面：admin-host-list.html
3. 规则：BR-1141620A403A46、BR-BAEC077B65FCA9
4. 场景：SC-52B7207946A0F6
5. 未动态验证</x:v>
      </x:c>
    </x:row>
    <x:row r="495" ht="54" customHeight="1">
      <x:c r="A495" s="4" t="n">
        <x:v>494</x:v>
      </x:c>
      <x:c r="B495" s="4" t="str">
        <x:v>AHOST-0038</x:v>
      </x:c>
      <x:c r="C495" s="4" t="str">
        <x:v>主播管理</x:v>
      </x:c>
      <x:c r="D495" s="4" t="str">
        <x:v>主播审核（平台管理员视角）</x:v>
      </x:c>
      <x:c r="E495" s="4" t="str">
        <x:v>功能需求</x:v>
      </x:c>
      <x:c r="F495" s="4" t="str">
        <x:v>P1</x:v>
      </x:c>
      <x:c r="G495" s="4" t="str">
        <x:v>验证主播审核可查看公会信息</x:v>
      </x:c>
      <x:c r="H495" s="4" t="str">
        <x:v>公会信息展示</x:v>
      </x:c>
      <x:c r="I495" s="4" t="str">
        <x:v>1. 平台管理员账号已登录且具备当前页面权限</x:v>
      </x:c>
      <x:c r="J495" s="4" t="str">
        <x:v>1. 进入主播审核
2. 查看公会信息</x:v>
      </x:c>
      <x:c r="K495" s="4" t="str">
        <x:v>主播审核显示“公会信息”</x:v>
      </x:c>
      <x:c r="L495" s="4" t="str"/>
      <x:c r="M495" s="4" t="str">
        <x:v>未测</x:v>
      </x:c>
      <x:c r="N495" s="4" t="str"/>
      <x:c r="O495" s="4" t="str">
        <x:v>1. 来源（原型批注）：liveshow-proto/prototype/annotations/admin.js；admin-host-review.html
2. 页面：admin-host-review.html
3. 规则：BR-6CAA980838AFE3
4. 场景：SC-5A3A26C82E1B0F
5. 未动态验证</x:v>
      </x:c>
    </x:row>
    <x:row r="496" ht="54" customHeight="1">
      <x:c r="A496" s="4" t="n">
        <x:v>495</x:v>
      </x:c>
      <x:c r="B496" s="4" t="str">
        <x:v>AHOST-0039</x:v>
      </x:c>
      <x:c r="C496" s="4" t="str">
        <x:v>主播管理</x:v>
      </x:c>
      <x:c r="D496" s="4" t="str">
        <x:v>主播审核（平台管理员视角）</x:v>
      </x:c>
      <x:c r="E496" s="4" t="str">
        <x:v>功能需求</x:v>
      </x:c>
      <x:c r="F496" s="4" t="str">
        <x:v>P1</x:v>
      </x:c>
      <x:c r="G496" s="4" t="str">
        <x:v>验证主播审核可查看认证状态</x:v>
      </x:c>
      <x:c r="H496" s="4" t="str">
        <x:v>认证状态展示</x:v>
      </x:c>
      <x:c r="I496" s="4" t="str">
        <x:v>1. 平台管理员账号已登录且具备当前页面权限</x:v>
      </x:c>
      <x:c r="J496" s="4" t="str">
        <x:v>1. 进入主播审核
2. 查看认证状态</x:v>
      </x:c>
      <x:c r="K496" s="4" t="str">
        <x:v>主播审核显示“认证状态”</x:v>
      </x:c>
      <x:c r="L496" s="4" t="str"/>
      <x:c r="M496" s="4" t="str">
        <x:v>未测</x:v>
      </x:c>
      <x:c r="N496" s="4" t="str"/>
      <x:c r="O496" s="4" t="str">
        <x:v>1. 来源（原型批注）：liveshow-proto/prototype/annotations/admin.js；admin-host-review.html
2. 页面：admin-host-review.html
3. 规则：BR-13F472DB72A543、BR-29858C5F7D8603
4. 场景：SC-06D93AB3939C14
5. 未动态验证</x:v>
      </x:c>
    </x:row>
    <x:row r="497" ht="54" customHeight="1">
      <x:c r="A497" s="4" t="n">
        <x:v>496</x:v>
      </x:c>
      <x:c r="B497" s="4" t="str">
        <x:v>AHOST-0040</x:v>
      </x:c>
      <x:c r="C497" s="4" t="str">
        <x:v>主播管理</x:v>
      </x:c>
      <x:c r="D497" s="4" t="str">
        <x:v>主播审核（平台管理员视角）</x:v>
      </x:c>
      <x:c r="E497" s="4" t="str">
        <x:v>功能需求</x:v>
      </x:c>
      <x:c r="F497" s="4" t="str">
        <x:v>P1</x:v>
      </x:c>
      <x:c r="G497" s="4" t="str">
        <x:v>验证主播审核可查看申请单号</x:v>
      </x:c>
      <x:c r="H497" s="4" t="str">
        <x:v>申请单号展示</x:v>
      </x:c>
      <x:c r="I497" s="4" t="str">
        <x:v>1. 平台管理员账号已登录且具备当前页面权限</x:v>
      </x:c>
      <x:c r="J497" s="4" t="str">
        <x:v>1. 进入主播审核
2. 查看申请单号</x:v>
      </x:c>
      <x:c r="K497" s="4" t="str">
        <x:v>主播审核显示“申请单号”</x:v>
      </x:c>
      <x:c r="L497" s="4" t="str"/>
      <x:c r="M497" s="4" t="str">
        <x:v>未测</x:v>
      </x:c>
      <x:c r="N497" s="4" t="str"/>
      <x:c r="O497" s="4" t="str">
        <x:v>1. 来源（原型批注）：liveshow-proto/prototype/annotations/admin.js；admin-host-review.html
2. 页面：admin-host-review.html
3. 规则：BR-60F7B1B91552FF、BR-77DE8B69880CDB
4. 场景：SC-1AF9F0336DBADD
5. 未动态验证</x:v>
      </x:c>
    </x:row>
    <x:row r="498" ht="54" customHeight="1">
      <x:c r="A498" s="4" t="n">
        <x:v>497</x:v>
      </x:c>
      <x:c r="B498" s="4" t="str">
        <x:v>AHOST-0041</x:v>
      </x:c>
      <x:c r="C498" s="4" t="str">
        <x:v>主播管理</x:v>
      </x:c>
      <x:c r="D498" s="4" t="str">
        <x:v>主播审核（平台管理员视角）</x:v>
      </x:c>
      <x:c r="E498" s="4" t="str">
        <x:v>功能需求</x:v>
      </x:c>
      <x:c r="F498" s="4" t="str">
        <x:v>P1</x:v>
      </x:c>
      <x:c r="G498" s="4" t="str">
        <x:v>验证主播审核可查看提交时间</x:v>
      </x:c>
      <x:c r="H498" s="4" t="str">
        <x:v>提交时间展示</x:v>
      </x:c>
      <x:c r="I498" s="4" t="str">
        <x:v>1. 平台管理员账号已登录且具备当前页面权限</x:v>
      </x:c>
      <x:c r="J498" s="4" t="str">
        <x:v>1. 进入主播审核
2. 查看提交时间</x:v>
      </x:c>
      <x:c r="K498" s="4" t="str">
        <x:v>主播审核显示“提交时间”</x:v>
      </x:c>
      <x:c r="L498" s="4" t="str"/>
      <x:c r="M498" s="4" t="str">
        <x:v>未测</x:v>
      </x:c>
      <x:c r="N498" s="4" t="str"/>
      <x:c r="O498" s="4" t="str">
        <x:v>1. 来源（原型批注）：liveshow-proto/prototype/annotations/admin.js；admin-host-review.html
2. 页面：admin-host-review.html
3. 规则：BR-F555994D96E55E
4. 场景：SC-F5104A02FBD7E4
5. 未动态验证</x:v>
      </x:c>
    </x:row>
    <x:row r="499" ht="54" customHeight="1">
      <x:c r="A499" s="4" t="n">
        <x:v>498</x:v>
      </x:c>
      <x:c r="B499" s="4" t="str">
        <x:v>AHOST-0042</x:v>
      </x:c>
      <x:c r="C499" s="4" t="str">
        <x:v>主播管理</x:v>
      </x:c>
      <x:c r="D499" s="4" t="str">
        <x:v>主播审核（平台管理员视角）</x:v>
      </x:c>
      <x:c r="E499" s="4" t="str">
        <x:v>功能需求</x:v>
      </x:c>
      <x:c r="F499" s="4" t="str">
        <x:v>P1</x:v>
      </x:c>
      <x:c r="G499" s="4" t="str">
        <x:v>验证主播审核可查看主播信息</x:v>
      </x:c>
      <x:c r="H499" s="4" t="str">
        <x:v>主播信息展示</x:v>
      </x:c>
      <x:c r="I499" s="4" t="str">
        <x:v>1. 平台管理员账号已登录且具备当前页面权限</x:v>
      </x:c>
      <x:c r="J499" s="4" t="str">
        <x:v>1. 进入主播审核
2. 查看主播信息</x:v>
      </x:c>
      <x:c r="K499" s="4" t="str">
        <x:v>主播审核显示“主播信息”</x:v>
      </x:c>
      <x:c r="L499" s="4" t="str"/>
      <x:c r="M499" s="4" t="str">
        <x:v>未测</x:v>
      </x:c>
      <x:c r="N499" s="4" t="str"/>
      <x:c r="O499" s="4" t="str">
        <x:v>1. 来源（原型批注）：liveshow-proto/prototype/annotations/admin.js；admin-host-review.html
2. 页面：admin-host-review.html
3. 规则：BR-8ABAABA6D2C85F
4. 场景：SC-BD90A303B943F6
5. 未动态验证</x:v>
      </x:c>
    </x:row>
    <x:row r="500" ht="54" customHeight="1">
      <x:c r="A500" s="4" t="n">
        <x:v>499</x:v>
      </x:c>
      <x:c r="B500" s="4" t="str">
        <x:v>AHOST-0043</x:v>
      </x:c>
      <x:c r="C500" s="4" t="str">
        <x:v>主播管理</x:v>
      </x:c>
      <x:c r="D500" s="4" t="str">
        <x:v>主播详情（平台管理员视角）</x:v>
      </x:c>
      <x:c r="E500" s="4" t="str">
        <x:v>异常用例</x:v>
      </x:c>
      <x:c r="F500" s="4" t="str">
        <x:v>P2</x:v>
      </x:c>
      <x:c r="G500" s="4" t="str">
        <x:v>验证关闭后的主播详情状态</x:v>
      </x:c>
      <x:c r="H500" s="4" t="str">
        <x:v>主播详情状态</x:v>
      </x:c>
      <x:c r="I500" s="4" t="str">
        <x:v>1. 平台管理员账号已登录且具备当前页面权限</x:v>
      </x:c>
      <x:c r="J500" s="4" t="str">
        <x:v>1. 进入主播详情
2. 关闭</x:v>
      </x:c>
      <x:c r="K500" s="4" t="str">
        <x:v>公会不可修改</x:v>
      </x:c>
      <x:c r="L500" s="4" t="str"/>
      <x:c r="M500" s="4" t="str">
        <x:v>未测</x:v>
      </x:c>
      <x:c r="N500" s="4" t="str"/>
      <x:c r="O500" s="4" t="str">
        <x:v>1. 来源（原型批注）：liveshow-proto/prototype/annotations/admin.js；admin-host-detail.html
2. 页面：admin-host-detail.html
3. 规则：BR-BE22EA770233B9
4. 场景：SC-BCF39B2C6484C6
5. 未动态验证</x:v>
      </x:c>
    </x:row>
    <x:row r="501" ht="54" customHeight="1">
      <x:c r="A501" s="4" t="n">
        <x:v>500</x:v>
      </x:c>
      <x:c r="B501" s="4" t="str">
        <x:v>AHOST-0044</x:v>
      </x:c>
      <x:c r="C501" s="4" t="str">
        <x:v>主播管理</x:v>
      </x:c>
      <x:c r="D501" s="4" t="str">
        <x:v>主播详情（平台管理员视角）</x:v>
      </x:c>
      <x:c r="E501" s="4" t="str">
        <x:v>业务流程</x:v>
      </x:c>
      <x:c r="F501" s="4" t="str">
        <x:v>P2</x:v>
      </x:c>
      <x:c r="G501" s="4" t="str">
        <x:v>验证权限后的主播详情状态</x:v>
      </x:c>
      <x:c r="H501" s="4" t="str">
        <x:v>主播详情状态</x:v>
      </x:c>
      <x:c r="I501" s="4" t="str">
        <x:v>1. 平台管理员账号已登录且具备当前页面权限
2. 权限</x:v>
      </x:c>
      <x:c r="J501" s="4" t="str">
        <x:v>1. 进入主播详情
2. 刷新主播详情</x:v>
      </x:c>
      <x:c r="K501" s="4" t="str">
        <x:v>更新并留痕</x:v>
      </x:c>
      <x:c r="L501" s="4" t="str"/>
      <x:c r="M501" s="4" t="str">
        <x:v>未测</x:v>
      </x:c>
      <x:c r="N501" s="4" t="str"/>
      <x:c r="O501" s="4" t="str">
        <x:v>1. 来源（原型批注）：liveshow-proto/prototype/annotations/admin.js；admin-host-detail.html
2. 页面：admin-host-detail.html
3. 规则：BR-FB76A16F57A493
4. 场景：SC-C5AFABCC3E932F
5. 未动态验证</x:v>
      </x:c>
    </x:row>
    <x:row r="502" ht="54" customHeight="1">
      <x:c r="A502" s="4" t="n">
        <x:v>501</x:v>
      </x:c>
      <x:c r="B502" s="4" t="str">
        <x:v>AHOST-0045</x:v>
      </x:c>
      <x:c r="C502" s="4" t="str">
        <x:v>主播管理</x:v>
      </x:c>
      <x:c r="D502" s="4" t="str">
        <x:v>主播详情（平台管理员视角）</x:v>
      </x:c>
      <x:c r="E502" s="4" t="str">
        <x:v>业务流程</x:v>
      </x:c>
      <x:c r="F502" s="4" t="str">
        <x:v>P2</x:v>
      </x:c>
      <x:c r="G502" s="4" t="str">
        <x:v>验证账号处置后的主播详情状态</x:v>
      </x:c>
      <x:c r="H502" s="4" t="str">
        <x:v>主播详情状态</x:v>
      </x:c>
      <x:c r="I502" s="4" t="str">
        <x:v>1. 平台管理员账号已登录且具备当前页面权限
2. 账号处置</x:v>
      </x:c>
      <x:c r="J502" s="4" t="str">
        <x:v>1. 进入主播详情
2. 刷新主播详情</x:v>
      </x:c>
      <x:c r="K502" s="4" t="str">
        <x:v>更新并留痕</x:v>
      </x:c>
      <x:c r="L502" s="4" t="str"/>
      <x:c r="M502" s="4" t="str">
        <x:v>未测</x:v>
      </x:c>
      <x:c r="N502" s="4" t="str"/>
      <x:c r="O502" s="4" t="str">
        <x:v>1. 来源（原型批注）：liveshow-proto/prototype/annotations/admin.js；admin-host-detail.html
2. 页面：admin-host-detail.html
3. 规则：BR-FB76A16F57A493
4. 场景：SC-D0FCAF4BE7F907
5. 未动态验证</x:v>
      </x:c>
    </x:row>
    <x:row r="503" ht="54" customHeight="1">
      <x:c r="A503" s="4" t="n">
        <x:v>502</x:v>
      </x:c>
      <x:c r="B503" s="4" t="str">
        <x:v>AHOST-0046</x:v>
      </x:c>
      <x:c r="C503" s="4" t="str">
        <x:v>主播管理</x:v>
      </x:c>
      <x:c r="D503" s="4" t="str">
        <x:v>主播详情（平台管理员视角）</x:v>
      </x:c>
      <x:c r="E503" s="4" t="str">
        <x:v>功能需求</x:v>
      </x:c>
      <x:c r="F503" s="4" t="str">
        <x:v>P2</x:v>
      </x:c>
      <x:c r="G503" s="4" t="str">
        <x:v>验证主播详情可查看公会管理权限</x:v>
      </x:c>
      <x:c r="H503" s="4" t="str">
        <x:v>公会管理权限展示</x:v>
      </x:c>
      <x:c r="I503" s="4" t="str">
        <x:v>1. 平台管理员账号已登录且具备当前页面权限</x:v>
      </x:c>
      <x:c r="J503" s="4" t="str">
        <x:v>1. 进入主播详情
2. 查看公会管理权限</x:v>
      </x:c>
      <x:c r="K503" s="4" t="str">
        <x:v>主播详情显示“公会管理权限”</x:v>
      </x:c>
      <x:c r="L503" s="4" t="str"/>
      <x:c r="M503" s="4" t="str">
        <x:v>未测</x:v>
      </x:c>
      <x:c r="N503" s="4" t="str"/>
      <x:c r="O503" s="4" t="str">
        <x:v>1. 来源（原型批注）：liveshow-proto/prototype/annotations/admin.js；admin-host-detail.html
2. 页面：admin-host-detail.html
3. 规则：BR-BE22EA770233B9、BR-D2B6A7EFE9F112
4. 场景：SC-A40F851CB40F06
5. 未动态验证</x:v>
      </x:c>
    </x:row>
    <x:row r="504" ht="54" customHeight="1">
      <x:c r="A504" s="4" t="n">
        <x:v>503</x:v>
      </x:c>
      <x:c r="B504" s="4" t="str">
        <x:v>AHOST-0047</x:v>
      </x:c>
      <x:c r="C504" s="4" t="str">
        <x:v>主播管理</x:v>
      </x:c>
      <x:c r="D504" s="4" t="str">
        <x:v>主播详情（平台管理员视角）</x:v>
      </x:c>
      <x:c r="E504" s="4" t="str">
        <x:v>功能需求</x:v>
      </x:c>
      <x:c r="F504" s="4" t="str">
        <x:v>P2</x:v>
      </x:c>
      <x:c r="G504" s="4" t="str">
        <x:v>验证主播详情可查看平台直播权限</x:v>
      </x:c>
      <x:c r="H504" s="4" t="str">
        <x:v>平台直播权限展示</x:v>
      </x:c>
      <x:c r="I504" s="4" t="str">
        <x:v>1. 平台管理员账号已登录且具备当前页面权限</x:v>
      </x:c>
      <x:c r="J504" s="4" t="str">
        <x:v>1. 进入主播详情
2. 查看平台直播权限</x:v>
      </x:c>
      <x:c r="K504" s="4" t="str">
        <x:v>主播详情显示“平台直播权限”</x:v>
      </x:c>
      <x:c r="L504" s="4" t="str"/>
      <x:c r="M504" s="4" t="str">
        <x:v>未测</x:v>
      </x:c>
      <x:c r="N504" s="4" t="str"/>
      <x:c r="O504" s="4" t="str">
        <x:v>1. 来源（原型批注）：liveshow-proto/prototype/annotations/admin.js；admin-host-detail.html
2. 页面：admin-host-detail.html
3. 规则：BR-CDF2AFFB800AB6、BR-20678E3AC98189
4. 场景：SC-99C61532BE3F14
5. 未动态验证</x:v>
      </x:c>
    </x:row>
    <x:row r="505" ht="54" customHeight="1">
      <x:c r="A505" s="4" t="n">
        <x:v>504</x:v>
      </x:c>
      <x:c r="B505" s="4" t="str">
        <x:v>AHOST-0048</x:v>
      </x:c>
      <x:c r="C505" s="4" t="str">
        <x:v>主播管理</x:v>
      </x:c>
      <x:c r="D505" s="4" t="str">
        <x:v>主播详情（平台管理员视角）</x:v>
      </x:c>
      <x:c r="E505" s="4" t="str">
        <x:v>功能需求</x:v>
      </x:c>
      <x:c r="F505" s="4" t="str">
        <x:v>P2</x:v>
      </x:c>
      <x:c r="G505" s="4" t="str">
        <x:v>验证主播详情可查看收益</x:v>
      </x:c>
      <x:c r="H505" s="4" t="str">
        <x:v>收益展示</x:v>
      </x:c>
      <x:c r="I505" s="4" t="str">
        <x:v>1. 平台管理员账号已登录且具备当前页面权限</x:v>
      </x:c>
      <x:c r="J505" s="4" t="str">
        <x:v>1. 进入主播详情
2. 查看收益</x:v>
      </x:c>
      <x:c r="K505" s="4" t="str">
        <x:v>主播详情显示“收益”</x:v>
      </x:c>
      <x:c r="L505" s="4" t="str"/>
      <x:c r="M505" s="4" t="str">
        <x:v>未测</x:v>
      </x:c>
      <x:c r="N505" s="4" t="str"/>
      <x:c r="O505" s="4" t="str">
        <x:v>1. 来源（原型批注）：liveshow-proto/prototype/annotations/admin.js；admin-host-detail.html
2. 页面：admin-host-detail.html
3. 规则：BR-2720A537041209、BR-1784122078F4D4
4. 场景：SC-2E6ADE6B89C274
5. 未动态验证</x:v>
      </x:c>
    </x:row>
    <x:row r="506" ht="54" customHeight="1">
      <x:c r="A506" s="4" t="n">
        <x:v>505</x:v>
      </x:c>
      <x:c r="B506" s="4" t="str">
        <x:v>AHOST-0049</x:v>
      </x:c>
      <x:c r="C506" s="4" t="str">
        <x:v>主播管理</x:v>
      </x:c>
      <x:c r="D506" s="4" t="str">
        <x:v>主播详情（平台管理员视角）</x:v>
      </x:c>
      <x:c r="E506" s="4" t="str">
        <x:v>功能需求</x:v>
      </x:c>
      <x:c r="F506" s="4" t="str">
        <x:v>P2</x:v>
      </x:c>
      <x:c r="G506" s="4" t="str">
        <x:v>验证主播详情可查看违规记录</x:v>
      </x:c>
      <x:c r="H506" s="4" t="str">
        <x:v>违规记录展示</x:v>
      </x:c>
      <x:c r="I506" s="4" t="str">
        <x:v>1. 平台管理员账号已登录且具备当前页面权限</x:v>
      </x:c>
      <x:c r="J506" s="4" t="str">
        <x:v>1. 进入主播详情
2. 查看违规记录</x:v>
      </x:c>
      <x:c r="K506" s="4" t="str">
        <x:v>主播详情显示“违规记录”</x:v>
      </x:c>
      <x:c r="L506" s="4" t="str"/>
      <x:c r="M506" s="4" t="str">
        <x:v>未测</x:v>
      </x:c>
      <x:c r="N506" s="4" t="str"/>
      <x:c r="O506" s="4" t="str">
        <x:v>1. 来源（原型批注）：liveshow-proto/prototype/annotations/admin.js；admin-host-detail.html
2. 页面：admin-host-detail.html
3. 规则：BR-BA64B62D6FA279
4. 场景：SC-7384174D842B36
5. 未动态验证</x:v>
      </x:c>
    </x:row>
    <x:row r="507" ht="54" customHeight="1">
      <x:c r="A507" s="4" t="n">
        <x:v>506</x:v>
      </x:c>
      <x:c r="B507" s="4" t="str">
        <x:v>AHOST-0050</x:v>
      </x:c>
      <x:c r="C507" s="4" t="str">
        <x:v>主播管理</x:v>
      </x:c>
      <x:c r="D507" s="4" t="str">
        <x:v>主播详情（平台管理员视角）</x:v>
      </x:c>
      <x:c r="E507" s="4" t="str">
        <x:v>功能需求</x:v>
      </x:c>
      <x:c r="F507" s="4" t="str">
        <x:v>P2</x:v>
      </x:c>
      <x:c r="G507" s="4" t="str">
        <x:v>验证主播详情可查看直播记录</x:v>
      </x:c>
      <x:c r="H507" s="4" t="str">
        <x:v>直播记录展示</x:v>
      </x:c>
      <x:c r="I507" s="4" t="str">
        <x:v>1. 平台管理员账号已登录且具备当前页面权限</x:v>
      </x:c>
      <x:c r="J507" s="4" t="str">
        <x:v>1. 进入主播详情
2. 查看直播记录</x:v>
      </x:c>
      <x:c r="K507" s="4" t="str">
        <x:v>主播详情显示“直播记录”</x:v>
      </x:c>
      <x:c r="L507" s="4" t="str"/>
      <x:c r="M507" s="4" t="str">
        <x:v>未测</x:v>
      </x:c>
      <x:c r="N507" s="4" t="str"/>
      <x:c r="O507" s="4" t="str">
        <x:v>1. 来源（原型批注）：liveshow-proto/prototype/annotations/admin.js；admin-host-detail.html
2. 页面：admin-host-detail.html
3. 规则：BR-4E96F31C8A24B6
4. 场景：SC-9F6CE7B03B4F42
5. 未动态验证</x:v>
      </x:c>
    </x:row>
  </x:sheetData>
  <x:dataValidations count="3">
    <x:dataValidation type="list" sqref="E2:E507">
      <x:formula1>"功能需求,业务流程,逻辑校验,异常用例"</x:formula1>
    </x:dataValidation>
    <x:dataValidation type="list" sqref="F2:F507">
      <x:formula1>"P0,P1,P2,P3"</x:formula1>
    </x:dataValidation>
    <x:dataValidation type="list" sqref="M2:M507">
      <x:formula1>"未测,通过,不通过,阻塞,不适用"</x:formula1>
    </x:dataValidation>
  </x:dataValidations>
  <x:pageMargins left="0.7" right="0.7" top="0.75" bottom="0.75" header="0.3" footer="0.3"/>
  <x:tableParts count="1">
    <x:tablePart xmlns:r="http://schemas.openxmlformats.org/officeDocument/2006/relationships" r:id="Rc48eedab8db1453a"/>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54" customHeight="1">
      <x:c r="A2" s="4" t="str">
        <x:v>AQ-001</x:v>
      </x:c>
      <x:c r="B2" s="4" t="str">
        <x:v>ARQ-001</x:v>
      </x:c>
      <x:c r="C2" s="4" t="str"/>
      <x:c r="D2" s="4" t="str"/>
      <x:c r="E2" s="4" t="str">
        <x:v>部分阻塞</x:v>
      </x:c>
      <x:c r="F2" s="4" t="str">
        <x:v>系统配置</x:v>
      </x:c>
      <x:c r="G2" s="4" t="str">
        <x:v>平台管理员在admin-level-config.html执行相关业务时需要确定唯一结果</x:v>
      </x:c>
      <x:c r="H2" s="4" t="str">
        <x:v>业务规则</x:v>
      </x:c>
      <x:c r="I2" s="4" t="str">
        <x:v>主播收益计入财富等级时应包含哪些收入类型？</x:v>
      </x:c>
      <x:c r="J2" s="4" t="str">
        <x:v>A. 仅计入礼物和门票收益
B. 计入全部已结算主播收入
C. 按后台可读取的收入类型配置执行</x:v>
      </x:c>
      <x:c r="K2" s="4" t="str">
        <x:v>优先采用可由当前端直接读取并稳定复现的规则，避免测试依赖人工解释</x:v>
      </x:c>
      <x:c r="L2" s="8" t="str"/>
      <x:c r="M2" s="8" t="str"/>
      <x:c r="N2" s="4" t="str">
        <x:v>1. liveshow-proto/prototype/annotations/admin.js；admin-level-config.html / 待确认 / 3.1；收益和送礼贡献的具体计入范围、等级判定及配置修改对已有等级的影响待确认；表内数值为虚构示例。</x:v>
      </x:c>
      <x:c r="O2" s="4" t="str">
        <x:v>1. 管理后台 系统配置 admin-level-config.html
2. 礼物或门票成交后的分成记录与线下结算核对</x:v>
      </x:c>
      <x:c r="P2" s="4" t="str"/>
      <x:c r="Q2" s="4" t="str">
        <x:v>1. 系统配置相关规则的正常、边界和历史数据场景</x:v>
      </x:c>
      <x:c r="R2" s="4" t="str">
        <x:v>产品</x:v>
      </x:c>
      <x:c r="S2" s="4" t="str">
        <x:v>进入对应功能测试前</x:v>
      </x:c>
      <x:c r="T2" s="4" t="str">
        <x:v>待确认</x:v>
      </x:c>
    </x:row>
    <x:row r="3" ht="54" customHeight="1">
      <x:c r="A3" s="4" t="str">
        <x:v>AQ-002</x:v>
      </x:c>
      <x:c r="B3" s="4" t="str">
        <x:v>ARQ-002</x:v>
      </x:c>
      <x:c r="C3" s="4" t="str"/>
      <x:c r="D3" s="4" t="str"/>
      <x:c r="E3" s="4" t="str">
        <x:v>部分阻塞</x:v>
      </x:c>
      <x:c r="F3" s="4" t="str">
        <x:v>系统配置</x:v>
      </x:c>
      <x:c r="G3" s="4" t="str">
        <x:v>平台管理员在admin-level-config.html执行相关业务时需要确定唯一结果</x:v>
      </x:c>
      <x:c r="H3" s="4" t="str">
        <x:v>业务规则</x:v>
      </x:c>
      <x:c r="I3" s="4" t="str">
        <x:v>送礼贡献计入财富等级时应包含哪些消费类型？</x:v>
      </x:c>
      <x:c r="J3" s="4" t="str">
        <x:v>A. 仅计入礼物消费
B. 计入礼物和门票消费
C. 按后台可读取的消费类型配置执行</x:v>
      </x:c>
      <x:c r="K3" s="4" t="str">
        <x:v>优先采用可由当前端直接读取并稳定复现的规则，避免测试依赖人工解释</x:v>
      </x:c>
      <x:c r="L3" s="8" t="str"/>
      <x:c r="M3" s="8" t="str"/>
      <x:c r="N3" s="4" t="str">
        <x:v>1. liveshow-proto/prototype/annotations/admin.js；admin-level-config.html / 待确认 / 3.1；收益和送礼贡献的具体计入范围、等级判定及配置修改对已有等级的影响待确认；表内数值为虚构示例。</x:v>
      </x:c>
      <x:c r="O3" s="4" t="str">
        <x:v>1. 管理后台 系统配置 admin-level-config.html
2. 礼物或门票成交后的分成记录与线下结算核对</x:v>
      </x:c>
      <x:c r="P3" s="4" t="str"/>
      <x:c r="Q3" s="4" t="str">
        <x:v>1. 系统配置相关规则的正常、边界和历史数据场景</x:v>
      </x:c>
      <x:c r="R3" s="4" t="str">
        <x:v>产品</x:v>
      </x:c>
      <x:c r="S3" s="4" t="str">
        <x:v>进入对应功能测试前</x:v>
      </x:c>
      <x:c r="T3" s="4" t="str">
        <x:v>待确认</x:v>
      </x:c>
    </x:row>
    <x:row r="4" ht="54" customHeight="1">
      <x:c r="A4" s="4" t="str">
        <x:v>AQ-003</x:v>
      </x:c>
      <x:c r="B4" s="4" t="str">
        <x:v>ARQ-003</x:v>
      </x:c>
      <x:c r="C4" s="4" t="str"/>
      <x:c r="D4" s="4" t="str"/>
      <x:c r="E4" s="4" t="str">
        <x:v>部分阻塞</x:v>
      </x:c>
      <x:c r="F4" s="4" t="str">
        <x:v>系统配置</x:v>
      </x:c>
      <x:c r="G4" s="4" t="str">
        <x:v>平台管理员在admin-level-config.html执行相关业务时需要确定唯一结果</x:v>
      </x:c>
      <x:c r="H4" s="4" t="str">
        <x:v>业务规则</x:v>
      </x:c>
      <x:c r="I4" s="4" t="str">
        <x:v>等级配置修改后应如何处理已有用户等级？</x:v>
      </x:c>
      <x:c r="J4" s="4" t="str">
        <x:v>A. 只影响配置保存后新增的等级变化
B. 保存后按新配置重算全部已有等级
C. 按明确生效时间重算生效后的等级变化</x:v>
      </x:c>
      <x:c r="K4" s="4" t="str">
        <x:v>优先采用可由当前端直接读取并稳定复现的规则，避免测试依赖人工解释</x:v>
      </x:c>
      <x:c r="L4" s="8" t="str"/>
      <x:c r="M4" s="8" t="str"/>
      <x:c r="N4" s="4" t="str">
        <x:v>1. liveshow-proto/prototype/annotations/admin.js；admin-level-config.html / 待确认 / 3.1；收益和送礼贡献的具体计入范围、等级判定及配置修改对已有等级的影响待确认；表内数值为虚构示例。</x:v>
      </x:c>
      <x:c r="O4" s="4" t="str">
        <x:v>1. 管理后台 系统配置 admin-level-config.html
2. 礼物或门票成交后的分成记录与线下结算核对</x:v>
      </x:c>
      <x:c r="P4" s="4" t="str"/>
      <x:c r="Q4" s="4" t="str">
        <x:v>1. 系统配置相关规则的正常、边界和历史数据场景</x:v>
      </x:c>
      <x:c r="R4" s="4" t="str">
        <x:v>产品</x:v>
      </x:c>
      <x:c r="S4" s="4" t="str">
        <x:v>进入对应功能测试前</x:v>
      </x:c>
      <x:c r="T4" s="4" t="str">
        <x:v>待确认</x:v>
      </x:c>
    </x:row>
    <x:row r="5" ht="54" customHeight="1">
      <x:c r="A5" s="4" t="str">
        <x:v>AQ-004</x:v>
      </x:c>
      <x:c r="B5" s="4" t="str">
        <x:v>ARQ-004</x:v>
      </x:c>
      <x:c r="C5" s="4" t="str"/>
      <x:c r="D5" s="4" t="str"/>
      <x:c r="E5" s="4" t="str">
        <x:v>部分阻塞</x:v>
      </x:c>
      <x:c r="F5" s="4" t="str">
        <x:v>财务结算</x:v>
      </x:c>
      <x:c r="G5" s="4" t="str">
        <x:v>平台管理员在admin-share-rule-config.html执行相关业务时需要确定唯一结果</x:v>
      </x:c>
      <x:c r="H5" s="4" t="str">
        <x:v>跨端与跨模块一致性</x:v>
      </x:c>
      <x:c r="I5" s="4" t="str">
        <x:v>商品成交时是否必须按绑定的分成规则版本自动生成分账台账？</x:v>
      </x:c>
      <x:c r="J5" s="4" t="str">
        <x:v>A. 采用当前问题所述规则
B. 不采用该规则并保持当前已确认行为</x:v>
      </x:c>
      <x:c r="K5" s="4" t="str">
        <x:v>优先采用可由当前端直接读取并稳定复现的规则，避免测试依赖人工解释</x:v>
      </x:c>
      <x:c r="L5" s="8" t="str"/>
      <x:c r="M5" s="8" t="str"/>
      <x:c r="N5" s="4" t="str">
        <x:v>1. context/03-管理后台-项目需求清单.md 写明商品绑定分成规则并按版本生成分账台账
2. context/系统概要 .md 与当前结算批注明确具体分成比例和应结金额由财务线下确定并上传结果</x:v>
      </x:c>
      <x:c r="O5" s="4" t="str">
        <x:v>1. 管理后台 财务结算 admin-share-rule-config.html
2. 礼物或门票成交后的分成记录与线下结算核对</x:v>
      </x:c>
      <x:c r="P5" s="4" t="str"/>
      <x:c r="Q5" s="4" t="str">
        <x:v>1. 财务结算相关规则的正常、边界和历史数据场景</x:v>
      </x:c>
      <x:c r="R5" s="4" t="str">
        <x:v>多方确认</x:v>
      </x:c>
      <x:c r="S5" s="4" t="str">
        <x:v>进入对应功能测试前</x:v>
      </x:c>
      <x:c r="T5" s="4" t="str">
        <x:v>待确认</x:v>
      </x:c>
    </x:row>
  </x:sheetData>
  <x:dataValidations count="5">
    <x:dataValidation type="list" sqref="E2:E5">
      <x:formula1>"阻塞测试,部分阻塞,不阻塞"</x:formula1>
    </x:dataValidation>
    <x:dataValidation type="list" sqref="H2:H5">
      <x:formula1>"需求范围,业务规则,角色与权限,流程与状态,字段与数据校验,计算与统计口径,异常处理,跨端与跨模块一致性,配置和历史数据影响,交互与文案规则"</x:formula1>
    </x:dataValidation>
    <x:dataValidation type="list" sqref="L2:L5">
      <x:formula1>"A,B,C,D,其他"</x:formula1>
    </x:dataValidation>
    <x:dataValidation type="list" sqref="R2:R5">
      <x:formula1>"产品,交互,技术,多方确认"</x:formula1>
    </x:dataValidation>
    <x:dataValidation type="list" sqref="T2:T5">
      <x:formula1>"待前置结论,待确认,确认中,已确认,无需处理"</x:formula1>
    </x:dataValidation>
  </x:dataValidations>
  <x:pageMargins left="0.7" right="0.7" top="0.75" bottom="0.75" header="0.3" footer="0.3"/>
  <x:tableParts count="1">
    <x:tablePart xmlns:r="http://schemas.openxmlformats.org/officeDocument/2006/relationships" r:id="R871a6ac2a5834f24"/>
  </x:tableParts>
</x:worksheet>
</file>