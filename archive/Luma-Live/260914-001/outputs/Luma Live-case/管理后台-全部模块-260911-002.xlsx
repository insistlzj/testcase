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c4e574486d74a88" /></Relationships>
</file>

<file path=xl/workbook.xml><?xml version="1.0" encoding="utf-8"?>
<x:workbook xmlns:x="http://schemas.openxmlformats.org/spreadsheetml/2006/main">
  <x:sheets>
    <x:sheet xmlns:r="http://schemas.openxmlformats.org/officeDocument/2006/relationships" name="产品决策概览" sheetId="1" r:id="R7eaf91dffc1d46a6"/>
    <x:sheet xmlns:r="http://schemas.openxmlformats.org/officeDocument/2006/relationships" name="功能测试用例" sheetId="2" r:id="R6d63c3471f0b483f"/>
    <x:sheet xmlns:r="http://schemas.openxmlformats.org/officeDocument/2006/relationships" name="需求待确认" sheetId="3" r:id="R8d18b49cf1a04cf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11827"/>
      <x:name val="Arial"/>
    </x:font>
    <x:font>
      <x:b/>
      <x:sz val="10"/>
      <x:color rgb="FFFFFFFF"/>
      <x:name val="Arial"/>
    </x:font>
    <x:font>
      <x:b/>
      <x:sz val="15"/>
      <x:color rgb="FF111827"/>
      <x:name val="Arial"/>
    </x:font>
    <x:font>
      <x:i/>
      <x:sz val="10"/>
      <x:color rgb="FF64748B"/>
      <x:name val="Arial"/>
    </x:font>
  </x:fonts>
  <x:fills count="5">
    <x:fill>
      <x:patternFill patternType="none"/>
    </x:fill>
    <x:fill>
      <x:patternFill patternType="gray125"/>
    </x:fill>
    <x:fill>
      <x:patternFill patternType="solid">
        <x:fgColor rgb="FF243447"/>
      </x:patternFill>
    </x:fill>
    <x:fill>
      <x:patternFill patternType="solid">
        <x:fgColor rgb="FFFFF4CC"/>
      </x:patternFill>
    </x:fill>
    <x:fill>
      <x:patternFill patternType="solid">
        <x:fgColor rgb="FFFFF4CC"/>
      </x:patternFill>
    </x:fill>
  </x:fills>
  <x:borders count="2">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17">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2" fillId="2" borderId="1" xfId="0" applyNumberFormat="1" applyFont="1" applyFill="1" applyBorder="1" applyAlignment="1">
      <x:alignment horizontal="center" vertical="center" wrapText="1"/>
    </x:xf>
    <x:xf numFmtId="0" fontId="1" fillId="3" borderId="1" xfId="0" applyNumberFormat="1" applyFont="1" applyFill="1" applyBorder="1" applyAlignment="1">
      <x:alignment vertical="center" wrapText="1"/>
    </x:xf>
    <x:xf numFmtId="0" fontId="1"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xf numFmtId="0" fontId="0" fillId="0" borderId="0" xfId="0" applyNumberFormat="1" applyFont="1" applyFill="1" applyBorder="1" applyAlignment="1">
      <x:alignment vertical="top"/>
    </x:xf>
    <x:xf numFmtId="0" fontId="0" fillId="4"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fb7673e866a4fe3" /><Relationship Type="http://schemas.openxmlformats.org/officeDocument/2006/relationships/theme" Target="/xl/theme/theme1.xml" Id="Rb1e6fd174b834ef3" /><Relationship Type="http://schemas.openxmlformats.org/officeDocument/2006/relationships/sharedStrings" Target="/xl/sharedStrings.xml" Id="R4293b25031cc4b75" /><Relationship Type="http://schemas.openxmlformats.org/officeDocument/2006/relationships/worksheet" Target="/xl/worksheets/sheet1.xml" Id="R7eaf91dffc1d46a6" /><Relationship Type="http://schemas.openxmlformats.org/officeDocument/2006/relationships/worksheet" Target="/xl/worksheets/sheet2.xml" Id="R6d63c3471f0b483f" /><Relationship Type="http://schemas.openxmlformats.org/officeDocument/2006/relationships/worksheet" Target="/xl/worksheets/sheet3.xml" Id="R8d18b49cf1a04cf5" /></Relationships>
</file>

<file path=xl/tables/table1.xml><?xml version="1.0" encoding="utf-8"?>
<x:table xmlns:x="http://schemas.openxmlformats.org/spreadsheetml/2006/main" id="1" name="AdminAllCases" displayName="AdminAllCases" ref="A1:O595" headerRowCount="1" totalsRowCount="0" totalsRowShown="0">
  <x:autoFilter ref="A1:O595"/>
  <x:tableColumns count="15">
    <x:tableColumn id="1" name="序号"/>
    <x:tableColumn id="2" name="用例编号"/>
    <x:tableColumn id="3" name="功能模块"/>
    <x:tableColumn id="4" name="功能结构"/>
    <x:tableColumn id="5" name="用例类型"/>
    <x:tableColumn id="6" name="优先级"/>
    <x:tableColumn id="7" name="用例描述"/>
    <x:tableColumn id="8" name="验证用例子项"/>
    <x:tableColumn id="9" name="前置条件"/>
    <x:tableColumn id="10" name="操作步骤"/>
    <x:tableColumn id="11" name="预期结果"/>
    <x:tableColumn id="12" name="流程编号"/>
    <x:tableColumn id="13" name="测试结果"/>
    <x:tableColumn id="14" name="测试人员"/>
    <x:tableColumn id="15" name="备注"/>
  </x:tableColumns>
  <x:tableStyleInfo name="TableStyleMedium2" showFirstColumn="0" showLastColumn="0" showRowStripes="1" showColumnStripes="0"/>
</x:table>
</file>

<file path=xl/tables/table2.xml><?xml version="1.0" encoding="utf-8"?>
<x:table xmlns:x="http://schemas.openxmlformats.org/spreadsheetml/2006/main" id="2" name="AdminAllPending" displayName="AdminAllPending" ref="A1:T36" headerRowCount="1" totalsRowCount="0" totalsRowShown="0">
  <x:autoFilter ref="A1:T36"/>
  <x:tableColumns count="20">
    <x:tableColumn id="1" name="问题编号"/>
    <x:tableColumn id="2" name="需求组编号"/>
    <x:tableColumn id="3" name="父问题编号"/>
    <x:tableColumn id="4" name="追问触发条件"/>
    <x:tableColumn id="5" name="阻塞等级"/>
    <x:tableColumn id="6" name="功能模块"/>
    <x:tableColumn id="7" name="具体场景"/>
    <x:tableColumn id="8" name="问题分类"/>
    <x:tableColumn id="9" name="待决策问题"/>
    <x:tableColumn id="10" name="可选方案"/>
    <x:tableColumn id="11" name="测试建议"/>
    <x:tableColumn id="12" name="产品结论"/>
    <x:tableColumn id="13" name="结论补充"/>
    <x:tableColumn id="14" name="已知依据"/>
    <x:tableColumn id="15" name="影响范围"/>
    <x:tableColumn id="16" name="已有用例编号"/>
    <x:tableColumn id="17" name="确认后待补用例"/>
    <x:tableColumn id="18" name="负责人"/>
    <x:tableColumn id="19" name="期望确认时间"/>
    <x:tableColumn id="20" name="确认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4916439179b4eff" /></Relationships>
</file>

<file path=xl/worksheets/_rels/sheet3.xml.rels>&#65279;<?xml version="1.0" encoding="utf-8"?><Relationships xmlns="http://schemas.openxmlformats.org/package/2006/relationships"><Relationship Type="http://schemas.openxmlformats.org/officeDocument/2006/relationships/table" Target="/xl/tables/table2.xml" Id="Raabb8674d481426e" /></Relationships>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2" hidden="0" customWidth="1"/>
    <x:col min="2" max="2" width="12" hidden="0" customWidth="1"/>
    <x:col min="3" max="3" width="4" hidden="0" customWidth="1"/>
    <x:col min="4" max="4" width="18" hidden="0" customWidth="1"/>
    <x:col min="5" max="5" width="14" hidden="0" customWidth="1"/>
    <x:col min="6" max="6" width="4" hidden="0" customWidth="1"/>
    <x:col min="7" max="7" width="18" hidden="0" customWidth="1"/>
    <x:col min="8" max="8" width="14" hidden="0" customWidth="1"/>
  </x:cols>
  <x:sheetData>
    <x:row r="1" ht="30" customHeight="1">
      <x:c r="A1" s="10" t="str">
        <x:v>管理后台-全部模块 产品决策概览</x:v>
      </x:c>
      <x:c r="B1" s="9"/>
      <x:c r="C1" s="9"/>
      <x:c r="D1" s="9"/>
      <x:c r="E1" s="9"/>
      <x:c r="F1" s="9"/>
      <x:c r="G1" s="9"/>
      <x:c r="H1" s="9"/>
    </x:row>
    <x:row r="2">
      <x:c r="A2" s="11" t="str">
        <x:v>数量由“需求待确认”工作表实时汇总</x:v>
      </x:c>
      <x:c r="B2" s="9"/>
      <x:c r="C2" s="9"/>
      <x:c r="D2" s="9"/>
      <x:c r="E2" s="9"/>
      <x:c r="F2" s="9"/>
      <x:c r="G2" s="9"/>
      <x:c r="H2" s="9"/>
    </x:row>
    <x:row r="3">
      <x:c r="A3" s="9"/>
      <x:c r="B3" s="9"/>
      <x:c r="C3" s="9"/>
      <x:c r="D3" s="9"/>
      <x:c r="E3" s="9"/>
      <x:c r="F3" s="9"/>
      <x:c r="G3" s="9"/>
      <x:c r="H3" s="9"/>
    </x:row>
    <x:row r="4">
      <x:c r="A4" s="7" t="str">
        <x:v>状态</x:v>
      </x:c>
      <x:c r="B4" s="7" t="str">
        <x:v>数量</x:v>
      </x:c>
      <x:c r="C4" s="9"/>
      <x:c r="D4" s="7" t="str">
        <x:v>阻塞等级</x:v>
      </x:c>
      <x:c r="E4" s="7" t="str">
        <x:v>当前待确认</x:v>
      </x:c>
      <x:c r="F4" s="9"/>
      <x:c r="G4" s="7" t="str">
        <x:v>负责人</x:v>
      </x:c>
      <x:c r="H4" s="7" t="str">
        <x:v>当前待确认</x:v>
      </x:c>
    </x:row>
    <x:row r="5">
      <x:c r="A5" s="12" t="str">
        <x:v>问题总数</x:v>
      </x:c>
      <x:c r="B5" s="12" t="n">
        <x:f>COUNTA('需求待确认'!$A$2:$A$36)</x:f>
        <x:v>35</x:v>
      </x:c>
      <x:c r="C5" s="9"/>
      <x:c r="D5" s="12" t="str">
        <x:v>阻塞测试</x:v>
      </x:c>
      <x:c r="E5" s="12" t="n">
        <x:f>COUNTIFS('需求待确认'!$E$2:$E$36,"阻塞测试",'需求待确认'!$T$2:$T$36,"待确认")</x:f>
        <x:v>0</x:v>
      </x:c>
      <x:c r="F5" s="9"/>
      <x:c r="G5" s="12" t="str">
        <x:v>产品</x:v>
      </x:c>
      <x:c r="H5" s="12" t="n">
        <x:f>COUNTIFS('需求待确认'!$R$2:$R$36,"产品",'需求待确认'!$T$2:$T$36,"待确认")</x:f>
        <x:v>34</x:v>
      </x:c>
    </x:row>
    <x:row r="6">
      <x:c r="A6" s="12" t="str">
        <x:v>当前可回答</x:v>
      </x:c>
      <x:c r="B6" s="12" t="n">
        <x:f>COUNTIF('需求待确认'!$T$2:$T$36,"待确认")</x:f>
        <x:v>35</x:v>
      </x:c>
      <x:c r="C6" s="9"/>
      <x:c r="D6" s="12" t="str">
        <x:v>部分阻塞</x:v>
      </x:c>
      <x:c r="E6" s="12" t="n">
        <x:f>COUNTIFS('需求待确认'!$E$2:$E$36,"部分阻塞",'需求待确认'!$T$2:$T$36,"待确认")</x:f>
        <x:v>8</x:v>
      </x:c>
      <x:c r="F6" s="9"/>
      <x:c r="G6" s="12" t="str">
        <x:v>交互</x:v>
      </x:c>
      <x:c r="H6" s="12" t="n">
        <x:f>COUNTIFS('需求待确认'!$R$2:$R$36,"交互",'需求待确认'!$T$2:$T$36,"待确认")</x:f>
        <x:v>0</x:v>
      </x:c>
    </x:row>
    <x:row r="7">
      <x:c r="A7" s="12" t="str">
        <x:v>待前置结论</x:v>
      </x:c>
      <x:c r="B7" s="12" t="n">
        <x:f>COUNTIF('需求待确认'!$T$2:$T$36,"待前置结论")</x:f>
        <x:v>0</x:v>
      </x:c>
      <x:c r="C7" s="9"/>
      <x:c r="D7" s="12" t="str">
        <x:v>不阻塞</x:v>
      </x:c>
      <x:c r="E7" s="12" t="n">
        <x:f>COUNTIFS('需求待确认'!$E$2:$E$36,"不阻塞",'需求待确认'!$T$2:$T$36,"待确认")</x:f>
        <x:v>27</x:v>
      </x:c>
      <x:c r="F7" s="9"/>
      <x:c r="G7" s="12" t="str">
        <x:v>技术</x:v>
      </x:c>
      <x:c r="H7" s="12" t="n">
        <x:f>COUNTIFS('需求待确认'!$R$2:$R$36,"技术",'需求待确认'!$T$2:$T$36,"待确认")</x:f>
        <x:v>0</x:v>
      </x:c>
    </x:row>
    <x:row r="8">
      <x:c r="A8" s="12" t="str">
        <x:v>确认中</x:v>
      </x:c>
      <x:c r="B8" s="12" t="n">
        <x:f>COUNTIF('需求待确认'!$T$2:$T$36,"确认中")</x:f>
        <x:v>0</x:v>
      </x:c>
      <x:c r="C8" s="9"/>
      <x:c r="D8" s="9"/>
      <x:c r="E8" s="9"/>
      <x:c r="F8" s="9"/>
      <x:c r="G8" s="12" t="str">
        <x:v>多方确认</x:v>
      </x:c>
      <x:c r="H8" s="12" t="n">
        <x:f>COUNTIFS('需求待确认'!$R$2:$R$36,"多方确认",'需求待确认'!$T$2:$T$36,"待确认")</x:f>
        <x:v>1</x:v>
      </x:c>
    </x:row>
    <x:row r="9">
      <x:c r="A9" s="12" t="str">
        <x:v>已确认</x:v>
      </x:c>
      <x:c r="B9" s="12" t="n">
        <x:f>COUNTIF('需求待确认'!$T$2:$T$36,"已确认")</x:f>
        <x:v>0</x:v>
      </x:c>
      <x:c r="C9" s="9"/>
      <x:c r="D9" s="9"/>
      <x:c r="E9" s="9"/>
      <x:c r="F9" s="9"/>
      <x:c r="G9" s="9"/>
      <x:c r="H9" s="9"/>
    </x:row>
    <x:row r="10">
      <x:c r="A10" s="12" t="str">
        <x:v>无需处理</x:v>
      </x:c>
      <x:c r="B10" s="12" t="n">
        <x:f>COUNTIF('需求待确认'!$T$2:$T$36,"无需处理")</x:f>
        <x:v>0</x:v>
      </x:c>
      <x:c r="C10" s="9"/>
      <x:c r="D10" s="9"/>
      <x:c r="E10" s="9"/>
      <x:c r="F10" s="9"/>
      <x:c r="G10" s="9"/>
      <x:c r="H10" s="9"/>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 hidden="0" customWidth="1"/>
    <x:col min="2" max="2" width="14" hidden="0" customWidth="1"/>
    <x:col min="3" max="3" width="13" hidden="0" customWidth="1"/>
    <x:col min="4" max="4" width="25" hidden="0" customWidth="1"/>
    <x:col min="5" max="5" width="12" hidden="0" customWidth="1"/>
    <x:col min="6" max="6" width="8" hidden="0" customWidth="1"/>
    <x:col min="7" max="7" width="29" hidden="0" customWidth="1"/>
    <x:col min="8" max="8" width="22" hidden="0" customWidth="1"/>
    <x:col min="9" max="9" width="31" hidden="0" customWidth="1"/>
    <x:col min="10" max="10" width="34" hidden="0" customWidth="1"/>
    <x:col min="11" max="11" width="39" hidden="0" customWidth="1"/>
    <x:col min="12" max="12" width="18" hidden="0" customWidth="1"/>
    <x:col min="13" max="13" width="10" hidden="0" customWidth="1"/>
    <x:col min="14" max="14" width="12" hidden="0" customWidth="1"/>
    <x:col min="15" max="15" width="43" hidden="0" customWidth="1"/>
  </x:cols>
  <x:sheetData>
    <x:row r="1" ht="34" customHeight="1">
      <x:c r="A1" s="7" t="str">
        <x:v>序号</x:v>
      </x:c>
      <x:c r="B1" s="7" t="str">
        <x:v>用例编号</x:v>
      </x:c>
      <x:c r="C1" s="7" t="str">
        <x:v>功能模块</x:v>
      </x:c>
      <x:c r="D1" s="7" t="str">
        <x:v>功能结构</x:v>
      </x:c>
      <x:c r="E1" s="7" t="str">
        <x:v>用例类型</x:v>
      </x:c>
      <x:c r="F1" s="7" t="str">
        <x:v>优先级</x:v>
      </x:c>
      <x:c r="G1" s="7" t="str">
        <x:v>用例描述</x:v>
      </x:c>
      <x:c r="H1" s="7" t="str">
        <x:v>验证用例子项</x:v>
      </x:c>
      <x:c r="I1" s="7" t="str">
        <x:v>前置条件</x:v>
      </x:c>
      <x:c r="J1" s="7" t="str">
        <x:v>操作步骤</x:v>
      </x:c>
      <x:c r="K1" s="7" t="str">
        <x:v>预期结果</x:v>
      </x:c>
      <x:c r="L1" s="7" t="str">
        <x:v>流程编号</x:v>
      </x:c>
      <x:c r="M1" s="7" t="str">
        <x:v>测试结果</x:v>
      </x:c>
      <x:c r="N1" s="7" t="str">
        <x:v>测试人员</x:v>
      </x:c>
      <x:c r="O1" s="7" t="str">
        <x:v>备注</x:v>
      </x:c>
    </x:row>
    <x:row r="2" ht="54" customHeight="1">
      <x:c r="A2" s="4" t="n">
        <x:v>1</x:v>
      </x:c>
      <x:c r="B2" s="4" t="str">
        <x:v>AFIN-0001</x:v>
      </x:c>
      <x:c r="C2" s="4" t="str">
        <x:v>财务结算</x:v>
      </x:c>
      <x:c r="D2" s="4" t="str">
        <x:v>充值订单（平台管理员视角）</x:v>
      </x:c>
      <x:c r="E2" s="4" t="str">
        <x:v>功能需求</x:v>
      </x:c>
      <x:c r="F2" s="4" t="str">
        <x:v>P1</x:v>
      </x:c>
      <x:c r="G2" s="4" t="str">
        <x:v>验证充值订单可查看成功时间</x:v>
      </x:c>
      <x:c r="H2" s="4" t="str">
        <x:v>成功时间展示</x:v>
      </x:c>
      <x:c r="I2" s="4" t="str">
        <x:v>1. 平台管理员账号已登录且具备当前页面权限</x:v>
      </x:c>
      <x:c r="J2" s="4" t="str">
        <x:v>1. 进入充值订单
2. 查看成功时间</x:v>
      </x:c>
      <x:c r="K2" s="4" t="str">
        <x:v>充值订单显示“成功时间”</x:v>
      </x:c>
      <x:c r="L2" s="4" t="str"/>
      <x:c r="M2" s="4" t="str">
        <x:v>未测</x:v>
      </x:c>
      <x:c r="N2" s="4" t="str"/>
      <x:c r="O2" s="4" t="str">
        <x:v>1. 来源（原型批注）：liveshow-proto/prototype/annotations/admin.js；admin-recharge-order.html
2. 页面：admin-recharge-order.html
3. 规则：BR-24AEA342B3AD8A
4. 场景：SC-215113A999F51A
5. 未动态验证</x:v>
      </x:c>
    </x:row>
    <x:row r="3" ht="54" customHeight="1">
      <x:c r="A3" s="4" t="n">
        <x:v>2</x:v>
      </x:c>
      <x:c r="B3" s="4" t="str">
        <x:v>AFIN-0002</x:v>
      </x:c>
      <x:c r="C3" s="4" t="str">
        <x:v>财务结算</x:v>
      </x:c>
      <x:c r="D3" s="4" t="str">
        <x:v>充值订单（平台管理员视角）</x:v>
      </x:c>
      <x:c r="E3" s="4" t="str">
        <x:v>功能需求</x:v>
      </x:c>
      <x:c r="F3" s="4" t="str">
        <x:v>P1</x:v>
      </x:c>
      <x:c r="G3" s="4" t="str">
        <x:v>验证充值订单可查看充值金额</x:v>
      </x:c>
      <x:c r="H3" s="4" t="str">
        <x:v>充值金额展示</x:v>
      </x:c>
      <x:c r="I3" s="4" t="str">
        <x:v>1. 平台管理员账号已登录且具备当前页面权限</x:v>
      </x:c>
      <x:c r="J3" s="4" t="str">
        <x:v>1. 进入充值订单
2. 查看充值金额</x:v>
      </x:c>
      <x:c r="K3" s="4" t="str">
        <x:v>充值订单显示“充值金额”</x:v>
      </x:c>
      <x:c r="L3" s="4" t="str"/>
      <x:c r="M3" s="4" t="str">
        <x:v>未测</x:v>
      </x:c>
      <x:c r="N3" s="4" t="str"/>
      <x:c r="O3" s="4" t="str">
        <x:v>1. 来源（原型批注）：liveshow-proto/prototype/annotations/admin.js；admin-recharge-order.html
2. 页面：admin-recharge-order.html
3. 规则：BR-E87EE326B24591
4. 场景：SC-D7D196D38C691A
5. 未动态验证</x:v>
      </x:c>
    </x:row>
    <x:row r="4" ht="54" customHeight="1">
      <x:c r="A4" s="4" t="n">
        <x:v>3</x:v>
      </x:c>
      <x:c r="B4" s="4" t="str">
        <x:v>AFIN-0003</x:v>
      </x:c>
      <x:c r="C4" s="4" t="str">
        <x:v>财务结算</x:v>
      </x:c>
      <x:c r="D4" s="4" t="str">
        <x:v>充值订单（平台管理员视角）</x:v>
      </x:c>
      <x:c r="E4" s="4" t="str">
        <x:v>功能需求</x:v>
      </x:c>
      <x:c r="F4" s="4" t="str">
        <x:v>P1</x:v>
      </x:c>
      <x:c r="G4" s="4" t="str">
        <x:v>验证充值订单可查看到账金币</x:v>
      </x:c>
      <x:c r="H4" s="4" t="str">
        <x:v>到账金币展示</x:v>
      </x:c>
      <x:c r="I4" s="4" t="str">
        <x:v>1. 平台管理员账号已登录且具备当前页面权限</x:v>
      </x:c>
      <x:c r="J4" s="4" t="str">
        <x:v>1. 进入充值订单
2. 查看到账金币</x:v>
      </x:c>
      <x:c r="K4" s="4" t="str">
        <x:v>充值订单显示“到账金币”</x:v>
      </x:c>
      <x:c r="L4" s="4" t="str"/>
      <x:c r="M4" s="4" t="str">
        <x:v>未测</x:v>
      </x:c>
      <x:c r="N4" s="4" t="str"/>
      <x:c r="O4" s="4" t="str">
        <x:v>1. 来源（原型批注）：liveshow-proto/prototype/annotations/admin.js；admin-recharge-order.html
2. 页面：admin-recharge-order.html
3. 规则：BR-24538AF991B437
4. 场景：SC-DF650465C1F7D9
5. 未动态验证</x:v>
      </x:c>
    </x:row>
    <x:row r="5" ht="54" customHeight="1">
      <x:c r="A5" s="4" t="n">
        <x:v>4</x:v>
      </x:c>
      <x:c r="B5" s="4" t="str">
        <x:v>AFIN-0004</x:v>
      </x:c>
      <x:c r="C5" s="4" t="str">
        <x:v>财务结算</x:v>
      </x:c>
      <x:c r="D5" s="4" t="str">
        <x:v>充值订单（平台管理员视角）</x:v>
      </x:c>
      <x:c r="E5" s="4" t="str">
        <x:v>功能需求</x:v>
      </x:c>
      <x:c r="F5" s="4" t="str">
        <x:v>P1</x:v>
      </x:c>
      <x:c r="G5" s="4" t="str">
        <x:v>验证充值订单可查看订单号 / 渠道交易号</x:v>
      </x:c>
      <x:c r="H5" s="4" t="str">
        <x:v>订单号 / 渠道交易号展示</x:v>
      </x:c>
      <x:c r="I5" s="4" t="str">
        <x:v>1. 平台管理员账号已登录且具备当前页面权限</x:v>
      </x:c>
      <x:c r="J5" s="4" t="str">
        <x:v>1. 进入充值订单
2. 查看订单号 / 渠道交易号</x:v>
      </x:c>
      <x:c r="K5" s="4" t="str">
        <x:v>充值订单显示“订单号 / 渠道交易号”</x:v>
      </x:c>
      <x:c r="L5" s="4" t="str"/>
      <x:c r="M5" s="4" t="str">
        <x:v>未测</x:v>
      </x:c>
      <x:c r="N5" s="4" t="str"/>
      <x:c r="O5" s="4" t="str">
        <x:v>1. 来源（原型批注）：liveshow-proto/prototype/annotations/admin.js；admin-recharge-order.html
2. 页面：admin-recharge-order.html
3. 规则：BR-B8BDF395684F28、BR-097AA5B0065222
4. 场景：SC-10A8B471F59042
5. 未动态验证</x:v>
      </x:c>
    </x:row>
    <x:row r="6" ht="54" customHeight="1">
      <x:c r="A6" s="4" t="n">
        <x:v>5</x:v>
      </x:c>
      <x:c r="B6" s="4" t="str">
        <x:v>AFIN-0005</x:v>
      </x:c>
      <x:c r="C6" s="4" t="str">
        <x:v>财务结算</x:v>
      </x:c>
      <x:c r="D6" s="4" t="str">
        <x:v>充值订单（平台管理员视角）</x:v>
      </x:c>
      <x:c r="E6" s="4" t="str">
        <x:v>功能需求</x:v>
      </x:c>
      <x:c r="F6" s="4" t="str">
        <x:v>P1</x:v>
      </x:c>
      <x:c r="G6" s="4" t="str">
        <x:v>验证充值订单可查看基础 / 赠送金币</x:v>
      </x:c>
      <x:c r="H6" s="4" t="str">
        <x:v>基础 / 赠送金币展示</x:v>
      </x:c>
      <x:c r="I6" s="4" t="str">
        <x:v>1. 平台管理员账号已登录且具备当前页面权限</x:v>
      </x:c>
      <x:c r="J6" s="4" t="str">
        <x:v>1. 进入充值订单
2. 查看基础 / 赠送金币</x:v>
      </x:c>
      <x:c r="K6" s="4" t="str">
        <x:v>充值订单显示“基础 / 赠送金币”</x:v>
      </x:c>
      <x:c r="L6" s="4" t="str"/>
      <x:c r="M6" s="4" t="str">
        <x:v>未测</x:v>
      </x:c>
      <x:c r="N6" s="4" t="str"/>
      <x:c r="O6" s="4" t="str">
        <x:v>1. 来源（原型批注）：liveshow-proto/prototype/annotations/admin.js；admin-recharge-order.html
2. 页面：admin-recharge-order.html
3. 规则：BR-D6E87307E53370
4. 场景：SC-79DA9063916064
5. 未动态验证</x:v>
      </x:c>
    </x:row>
    <x:row r="7" ht="54" customHeight="1">
      <x:c r="A7" s="4" t="n">
        <x:v>6</x:v>
      </x:c>
      <x:c r="B7" s="4" t="str">
        <x:v>AFIN-0006</x:v>
      </x:c>
      <x:c r="C7" s="4" t="str">
        <x:v>财务结算</x:v>
      </x:c>
      <x:c r="D7" s="4" t="str">
        <x:v>充值订单（平台管理员视角）</x:v>
      </x:c>
      <x:c r="E7" s="4" t="str">
        <x:v>功能需求</x:v>
      </x:c>
      <x:c r="F7" s="4" t="str">
        <x:v>P1</x:v>
      </x:c>
      <x:c r="G7" s="4" t="str">
        <x:v>验证充值订单可查看状态</x:v>
      </x:c>
      <x:c r="H7" s="4" t="str">
        <x:v>状态展示</x:v>
      </x:c>
      <x:c r="I7" s="4" t="str">
        <x:v>1. 平台管理员账号已登录且具备当前页面权限</x:v>
      </x:c>
      <x:c r="J7" s="4" t="str">
        <x:v>1. 进入充值订单
2. 查看状态</x:v>
      </x:c>
      <x:c r="K7" s="4" t="str">
        <x:v>充值订单显示“状态”</x:v>
      </x:c>
      <x:c r="L7" s="4" t="str"/>
      <x:c r="M7" s="4" t="str">
        <x:v>未测</x:v>
      </x:c>
      <x:c r="N7" s="4" t="str"/>
      <x:c r="O7" s="4" t="str">
        <x:v>1. 来源（原型批注）：liveshow-proto/prototype/annotations/admin.js；admin-recharge-order.html
2. 页面：admin-recharge-order.html
3. 规则：BR-FA3A19D95BF9E0、BR-05C76E08FED3DD
4. 场景：SC-66C476AD1E1F0F
5. 未动态验证</x:v>
      </x:c>
    </x:row>
    <x:row r="8" ht="54" customHeight="1">
      <x:c r="A8" s="4" t="n">
        <x:v>7</x:v>
      </x:c>
      <x:c r="B8" s="4" t="str">
        <x:v>AFIN-0007</x:v>
      </x:c>
      <x:c r="C8" s="4" t="str">
        <x:v>财务结算</x:v>
      </x:c>
      <x:c r="D8" s="4" t="str">
        <x:v>充值订单（平台管理员视角）</x:v>
      </x:c>
      <x:c r="E8" s="4" t="str">
        <x:v>业务流程</x:v>
      </x:c>
      <x:c r="F8" s="4" t="str">
        <x:v>P1</x:v>
      </x:c>
      <x:c r="G8" s="4" t="str">
        <x:v>验证详情后的充值订单状态</x:v>
      </x:c>
      <x:c r="H8" s="4" t="str">
        <x:v>充值订单状态</x:v>
      </x:c>
      <x:c r="I8" s="4" t="str">
        <x:v>1. 平台管理员账号已登录且具备当前页面权限
2. 详情</x:v>
      </x:c>
      <x:c r="J8" s="4" t="str">
        <x:v>1. 进入充值订单
2. 刷新充值订单</x:v>
      </x:c>
      <x:c r="K8" s="4" t="str">
        <x:v>核对支付、到账和退款</x:v>
      </x:c>
      <x:c r="L8" s="4" t="str"/>
      <x:c r="M8" s="4" t="str">
        <x:v>未测</x:v>
      </x:c>
      <x:c r="N8" s="4" t="str"/>
      <x:c r="O8" s="4" t="str">
        <x:v>1. 来源（原型批注）：liveshow-proto/prototype/annotations/admin.js；admin-recharge-order.html
2. 页面：admin-recharge-order.html
3. 规则：BR-42AA7364288B60
4. 场景：SC-5D58051FAF3D4C
5. 未动态验证</x:v>
      </x:c>
    </x:row>
    <x:row r="9" ht="54" customHeight="1">
      <x:c r="A9" s="4" t="n">
        <x:v>8</x:v>
      </x:c>
      <x:c r="B9" s="4" t="str">
        <x:v>AFIN-0008</x:v>
      </x:c>
      <x:c r="C9" s="4" t="str">
        <x:v>财务结算</x:v>
      </x:c>
      <x:c r="D9" s="4" t="str">
        <x:v>充值订单详情（平台管理员视角）</x:v>
      </x:c>
      <x:c r="E9" s="4" t="str">
        <x:v>功能需求</x:v>
      </x:c>
      <x:c r="F9" s="4" t="str">
        <x:v>P1</x:v>
      </x:c>
      <x:c r="G9" s="4" t="str">
        <x:v>验证充值订单详情可查看订单 / 渠道信息</x:v>
      </x:c>
      <x:c r="H9" s="4" t="str">
        <x:v>订单 / 渠道信息展示</x:v>
      </x:c>
      <x:c r="I9" s="4" t="str">
        <x:v>1. 平台管理员账号已登录且具备当前页面权限</x:v>
      </x:c>
      <x:c r="J9" s="4" t="str">
        <x:v>1. 进入充值订单详情
2. 查看订单 / 渠道信息</x:v>
      </x:c>
      <x:c r="K9" s="4" t="str">
        <x:v>充值订单详情显示“订单 / 渠道信息”</x:v>
      </x:c>
      <x:c r="L9" s="4" t="str"/>
      <x:c r="M9" s="4" t="str">
        <x:v>未测</x:v>
      </x:c>
      <x:c r="N9" s="4" t="str"/>
      <x:c r="O9" s="4" t="str">
        <x:v>1. 来源（原型批注）：liveshow-proto/prototype/annotations/admin.js；admin-recharge-order-detail.html
2. 页面：admin-recharge-order-detail.html
3. 规则：BR-D8BA06B0985482
4. 场景：SC-8F19A03503AFC8
5. 未动态验证</x:v>
      </x:c>
    </x:row>
    <x:row r="10" ht="54" customHeight="1">
      <x:c r="A10" s="4" t="n">
        <x:v>9</x:v>
      </x:c>
      <x:c r="B10" s="4" t="str">
        <x:v>AFIN-0009</x:v>
      </x:c>
      <x:c r="C10" s="4" t="str">
        <x:v>财务结算</x:v>
      </x:c>
      <x:c r="D10" s="4" t="str">
        <x:v>充值订单详情（平台管理员视角）</x:v>
      </x:c>
      <x:c r="E10" s="4" t="str">
        <x:v>功能需求</x:v>
      </x:c>
      <x:c r="F10" s="4" t="str">
        <x:v>P1</x:v>
      </x:c>
      <x:c r="G10" s="4" t="str">
        <x:v>验证充值订单详情可查看订单金额 / 实付金额</x:v>
      </x:c>
      <x:c r="H10" s="4" t="str">
        <x:v>订单金额 / 实付金额展示</x:v>
      </x:c>
      <x:c r="I10" s="4" t="str">
        <x:v>1. 平台管理员账号已登录且具备当前页面权限</x:v>
      </x:c>
      <x:c r="J10" s="4" t="str">
        <x:v>1. 进入充值订单详情
2. 查看订单金额 / 实付金额</x:v>
      </x:c>
      <x:c r="K10" s="4" t="str">
        <x:v>充值订单详情显示“订单金额 / 实付金额”</x:v>
      </x:c>
      <x:c r="L10" s="4" t="str"/>
      <x:c r="M10" s="4" t="str">
        <x:v>未测</x:v>
      </x:c>
      <x:c r="N10" s="4" t="str"/>
      <x:c r="O10" s="4" t="str">
        <x:v>1. 来源（原型批注）：liveshow-proto/prototype/annotations/admin.js；admin-recharge-order-detail.html
2. 页面：admin-recharge-order-detail.html
3. 规则：BR-4965E7C6A15905
4. 场景：SC-19CC1A3977B1F5
5. 未动态验证</x:v>
      </x:c>
    </x:row>
    <x:row r="11" ht="54" customHeight="1">
      <x:c r="A11" s="4" t="n">
        <x:v>10</x:v>
      </x:c>
      <x:c r="B11" s="4" t="str">
        <x:v>AFIN-0010</x:v>
      </x:c>
      <x:c r="C11" s="4" t="str">
        <x:v>财务结算</x:v>
      </x:c>
      <x:c r="D11" s="4" t="str">
        <x:v>充值订单详情（平台管理员视角）</x:v>
      </x:c>
      <x:c r="E11" s="4" t="str">
        <x:v>功能需求</x:v>
      </x:c>
      <x:c r="F11" s="4" t="str">
        <x:v>P1</x:v>
      </x:c>
      <x:c r="G11" s="4" t="str">
        <x:v>验证充值订单详情可查看扣回金币</x:v>
      </x:c>
      <x:c r="H11" s="4" t="str">
        <x:v>扣回金币展示</x:v>
      </x:c>
      <x:c r="I11" s="4" t="str">
        <x:v>1. 平台管理员账号已登录且具备当前页面权限</x:v>
      </x:c>
      <x:c r="J11" s="4" t="str">
        <x:v>1. 进入充值订单详情
2. 查看扣回金币</x:v>
      </x:c>
      <x:c r="K11" s="4" t="str">
        <x:v>充值订单详情显示“扣回金币”</x:v>
      </x:c>
      <x:c r="L11" s="4" t="str"/>
      <x:c r="M11" s="4" t="str">
        <x:v>未测</x:v>
      </x:c>
      <x:c r="N11" s="4" t="str"/>
      <x:c r="O11" s="4" t="str">
        <x:v>1. 来源（原型批注）：liveshow-proto/prototype/annotations/admin.js；admin-recharge-order-detail.html
2. 页面：admin-recharge-order-detail.html
3. 规则：BR-C1BF550AA3ED4A
4. 场景：SC-F8F00F8C0878F4
5. 未动态验证</x:v>
      </x:c>
    </x:row>
    <x:row r="12" ht="54" customHeight="1">
      <x:c r="A12" s="4" t="n">
        <x:v>11</x:v>
      </x:c>
      <x:c r="B12" s="4" t="str">
        <x:v>AFIN-0011</x:v>
      </x:c>
      <x:c r="C12" s="4" t="str">
        <x:v>财务结算</x:v>
      </x:c>
      <x:c r="D12" s="4" t="str">
        <x:v>充值订单详情（平台管理员视角）</x:v>
      </x:c>
      <x:c r="E12" s="4" t="str">
        <x:v>功能需求</x:v>
      </x:c>
      <x:c r="F12" s="4" t="str">
        <x:v>P1</x:v>
      </x:c>
      <x:c r="G12" s="4" t="str">
        <x:v>验证充值订单详情可查看退款记录</x:v>
      </x:c>
      <x:c r="H12" s="4" t="str">
        <x:v>退款记录展示</x:v>
      </x:c>
      <x:c r="I12" s="4" t="str">
        <x:v>1. 平台管理员账号已登录且具备当前页面权限</x:v>
      </x:c>
      <x:c r="J12" s="4" t="str">
        <x:v>1. 进入充值订单详情
2. 查看退款记录</x:v>
      </x:c>
      <x:c r="K12" s="4" t="str">
        <x:v>充值订单详情显示“退款记录”</x:v>
      </x:c>
      <x:c r="L12" s="4" t="str"/>
      <x:c r="M12" s="4" t="str">
        <x:v>未测</x:v>
      </x:c>
      <x:c r="N12" s="4" t="str"/>
      <x:c r="O12" s="4" t="str">
        <x:v>1. 来源（原型批注）：liveshow-proto/prototype/annotations/admin.js；admin-recharge-order-detail.html
2. 页面：admin-recharge-order-detail.html
3. 规则：BR-D2B5B9944BA6F6
4. 场景：SC-BF1874B74AF534
5. 未动态验证</x:v>
      </x:c>
    </x:row>
    <x:row r="13" ht="54" customHeight="1">
      <x:c r="A13" s="4" t="n">
        <x:v>12</x:v>
      </x:c>
      <x:c r="B13" s="4" t="str">
        <x:v>AFIN-0012</x:v>
      </x:c>
      <x:c r="C13" s="4" t="str">
        <x:v>财务结算</x:v>
      </x:c>
      <x:c r="D13" s="4" t="str">
        <x:v>充值订单详情（平台管理员视角）</x:v>
      </x:c>
      <x:c r="E13" s="4" t="str">
        <x:v>功能需求</x:v>
      </x:c>
      <x:c r="F13" s="4" t="str">
        <x:v>P1</x:v>
      </x:c>
      <x:c r="G13" s="4" t="str">
        <x:v>验证充值订单详情可查看退款金额</x:v>
      </x:c>
      <x:c r="H13" s="4" t="str">
        <x:v>退款金额展示</x:v>
      </x:c>
      <x:c r="I13" s="4" t="str">
        <x:v>1. 平台管理员账号已登录且具备当前页面权限</x:v>
      </x:c>
      <x:c r="J13" s="4" t="str">
        <x:v>1. 进入充值订单详情
2. 查看退款金额</x:v>
      </x:c>
      <x:c r="K13" s="4" t="str">
        <x:v>充值订单详情显示“退款金额”</x:v>
      </x:c>
      <x:c r="L13" s="4" t="str"/>
      <x:c r="M13" s="4" t="str">
        <x:v>未测</x:v>
      </x:c>
      <x:c r="N13" s="4" t="str"/>
      <x:c r="O13" s="4" t="str">
        <x:v>1. 来源（原型批注）：liveshow-proto/prototype/annotations/admin.js；admin-recharge-order-detail.html
2. 页面：admin-recharge-order-detail.html
3. 规则：BR-F3E66EDF56AC30
4. 场景：SC-61B6F04E2EEC18
5. 未动态验证</x:v>
      </x:c>
    </x:row>
    <x:row r="14" ht="54" customHeight="1">
      <x:c r="A14" s="4" t="n">
        <x:v>13</x:v>
      </x:c>
      <x:c r="B14" s="4" t="str">
        <x:v>AFIN-0013</x:v>
      </x:c>
      <x:c r="C14" s="4" t="str">
        <x:v>财务结算</x:v>
      </x:c>
      <x:c r="D14" s="4" t="str">
        <x:v>充值订单详情（平台管理员视角）</x:v>
      </x:c>
      <x:c r="E14" s="4" t="str">
        <x:v>功能需求</x:v>
      </x:c>
      <x:c r="F14" s="4" t="str">
        <x:v>P1</x:v>
      </x:c>
      <x:c r="G14" s="4" t="str">
        <x:v>验证充值订单详情可查看总到账金币</x:v>
      </x:c>
      <x:c r="H14" s="4" t="str">
        <x:v>总到账金币展示</x:v>
      </x:c>
      <x:c r="I14" s="4" t="str">
        <x:v>1. 平台管理员账号已登录且具备当前页面权限</x:v>
      </x:c>
      <x:c r="J14" s="4" t="str">
        <x:v>1. 进入充值订单详情
2. 查看总到账金币</x:v>
      </x:c>
      <x:c r="K14" s="4" t="str">
        <x:v>充值订单详情显示“总到账金币”</x:v>
      </x:c>
      <x:c r="L14" s="4" t="str"/>
      <x:c r="M14" s="4" t="str">
        <x:v>未测</x:v>
      </x:c>
      <x:c r="N14" s="4" t="str"/>
      <x:c r="O14" s="4" t="str">
        <x:v>1. 来源（原型批注）：liveshow-proto/prototype/annotations/admin.js；admin-recharge-order-detail.html
2. 页面：admin-recharge-order-detail.html
3. 规则：BR-C2AC2EC3CCE4DA
4. 场景：SC-E74215FD7D8436
5. 未动态验证</x:v>
      </x:c>
    </x:row>
    <x:row r="15" ht="54" customHeight="1">
      <x:c r="A15" s="4" t="n">
        <x:v>14</x:v>
      </x:c>
      <x:c r="B15" s="4" t="str">
        <x:v>AFIN-0014</x:v>
      </x:c>
      <x:c r="C15" s="4" t="str">
        <x:v>财务结算</x:v>
      </x:c>
      <x:c r="D15" s="4" t="str">
        <x:v>充值订单详情（平台管理员视角）</x:v>
      </x:c>
      <x:c r="E15" s="4" t="str">
        <x:v>业务流程</x:v>
      </x:c>
      <x:c r="F15" s="4" t="str">
        <x:v>P1</x:v>
      </x:c>
      <x:c r="G15" s="4" t="str">
        <x:v>验证手动退款后的充值订单详情状态</x:v>
      </x:c>
      <x:c r="H15" s="4" t="str">
        <x:v>充值订单详情状态</x:v>
      </x:c>
      <x:c r="I15" s="4" t="str">
        <x:v>1. 平台管理员账号已登录且具备当前页面权限
2. 手动退款</x:v>
      </x:c>
      <x:c r="J15" s="4" t="str">
        <x:v>1. 进入充值订单详情
2. 刷新充值订单详情</x:v>
      </x:c>
      <x:c r="K15" s="4" t="str">
        <x:v>原渠道全额退款、扣回金币</x:v>
      </x:c>
      <x:c r="L15" s="4" t="str"/>
      <x:c r="M15" s="4" t="str">
        <x:v>未测</x:v>
      </x:c>
      <x:c r="N15" s="4" t="str"/>
      <x:c r="O15" s="4" t="str">
        <x:v>1. 来源（原型批注）：liveshow-proto/prototype/annotations/admin.js；admin-recharge-order-detail.html
2. 页面：admin-recharge-order-detail.html
3. 规则：BR-D82AF84F7D21B5
4. 场景：SC-DFD2DBBF35A8E7
5. 未动态验证</x:v>
      </x:c>
    </x:row>
    <x:row r="16" ht="54" customHeight="1">
      <x:c r="A16" s="4" t="n">
        <x:v>15</x:v>
      </x:c>
      <x:c r="B16" s="4" t="str">
        <x:v>AFIN-0015</x:v>
      </x:c>
      <x:c r="C16" s="4" t="str">
        <x:v>财务结算</x:v>
      </x:c>
      <x:c r="D16" s="4" t="str">
        <x:v>公会分成记录（平台管理员视角）</x:v>
      </x:c>
      <x:c r="E16" s="4" t="str">
        <x:v>异常用例</x:v>
      </x:c>
      <x:c r="F16" s="4" t="str">
        <x:v>P1</x:v>
      </x:c>
      <x:c r="G16" s="4" t="str">
        <x:v>验证导入成功后的公会分成记录状态</x:v>
      </x:c>
      <x:c r="H16" s="4" t="str">
        <x:v>公会分成记录状态</x:v>
      </x:c>
      <x:c r="I16" s="4" t="str">
        <x:v>1. 平台管理员账号已登录且具备当前页面权限
2. 导入成功</x:v>
      </x:c>
      <x:c r="J16" s="4" t="str">
        <x:v>1. 进入公会分成记录
2. 刷新公会分成记录</x:v>
      </x:c>
      <x:c r="K16" s="4" t="str">
        <x:v>锁定且不可编辑或删除</x:v>
      </x:c>
      <x:c r="L16" s="4" t="str"/>
      <x:c r="M16" s="4" t="str">
        <x:v>未测</x:v>
      </x:c>
      <x:c r="N16" s="4" t="str"/>
      <x:c r="O16" s="4" t="str">
        <x:v>1. 来源（原型批注）：liveshow-proto/prototype/annotations/admin.js；admin-guild-settlement-record.html
2. 页面：admin-guild-settlement-record.html
3. 规则：BR-70373159EDD99D
4. 场景：SC-07637573DD522F
5. 未动态验证</x:v>
      </x:c>
    </x:row>
    <x:row r="17" ht="54" customHeight="1">
      <x:c r="A17" s="4" t="n">
        <x:v>16</x:v>
      </x:c>
      <x:c r="B17" s="4" t="str">
        <x:v>AFIN-0016</x:v>
      </x:c>
      <x:c r="C17" s="4" t="str">
        <x:v>财务结算</x:v>
      </x:c>
      <x:c r="D17" s="4" t="str">
        <x:v>公会分成记录（平台管理员视角）</x:v>
      </x:c>
      <x:c r="E17" s="4" t="str">
        <x:v>功能需求</x:v>
      </x:c>
      <x:c r="F17" s="4" t="str">
        <x:v>P1</x:v>
      </x:c>
      <x:c r="G17" s="4" t="str">
        <x:v>验证公会分成记录可查看分成备注</x:v>
      </x:c>
      <x:c r="H17" s="4" t="str">
        <x:v>分成备注展示</x:v>
      </x:c>
      <x:c r="I17" s="4" t="str">
        <x:v>1. 平台管理员账号已登录且具备当前页面权限</x:v>
      </x:c>
      <x:c r="J17" s="4" t="str">
        <x:v>1. 进入公会分成记录
2. 查看分成备注</x:v>
      </x:c>
      <x:c r="K17" s="4" t="str">
        <x:v>公会分成记录显示“分成备注”</x:v>
      </x:c>
      <x:c r="L17" s="4" t="str"/>
      <x:c r="M17" s="4" t="str">
        <x:v>未测</x:v>
      </x:c>
      <x:c r="N17" s="4" t="str"/>
      <x:c r="O17" s="4" t="str">
        <x:v>1. 来源（原型批注）：liveshow-proto/prototype/annotations/admin.js；admin-guild-settlement-record.html
2. 页面：admin-guild-settlement-record.html
3. 规则：BR-E66E716590808A
4. 场景：SC-522BEFB7A3D7FC
5. 未动态验证</x:v>
      </x:c>
    </x:row>
    <x:row r="18" ht="54" customHeight="1">
      <x:c r="A18" s="4" t="n">
        <x:v>17</x:v>
      </x:c>
      <x:c r="B18" s="4" t="str">
        <x:v>AFIN-0017</x:v>
      </x:c>
      <x:c r="C18" s="4" t="str">
        <x:v>财务结算</x:v>
      </x:c>
      <x:c r="D18" s="4" t="str">
        <x:v>公会分成记录（平台管理员视角）</x:v>
      </x:c>
      <x:c r="E18" s="4" t="str">
        <x:v>功能需求</x:v>
      </x:c>
      <x:c r="F18" s="4" t="str">
        <x:v>P1</x:v>
      </x:c>
      <x:c r="G18" s="4" t="str">
        <x:v>验证公会分成记录可查看分成总金额</x:v>
      </x:c>
      <x:c r="H18" s="4" t="str">
        <x:v>分成总金额展示</x:v>
      </x:c>
      <x:c r="I18" s="4" t="str">
        <x:v>1. 平台管理员账号已登录且具备当前页面权限</x:v>
      </x:c>
      <x:c r="J18" s="4" t="str">
        <x:v>1. 进入公会分成记录
2. 查看分成总金额</x:v>
      </x:c>
      <x:c r="K18" s="4" t="str">
        <x:v>公会分成记录显示“分成总金额”</x:v>
      </x:c>
      <x:c r="L18" s="4" t="str"/>
      <x:c r="M18" s="4" t="str">
        <x:v>未测</x:v>
      </x:c>
      <x:c r="N18" s="4" t="str"/>
      <x:c r="O18" s="4" t="str">
        <x:v>1. 来源（原型批注）：liveshow-proto/prototype/annotations/admin.js；admin-guild-settlement-record.html
2. 页面：admin-guild-settlement-record.html
3. 规则：BR-2BBC6B090EE48A
4. 场景：SC-A3DFE6B9FF951B
5. 未动态验证</x:v>
      </x:c>
    </x:row>
    <x:row r="19" ht="54" customHeight="1">
      <x:c r="A19" s="4" t="n">
        <x:v>18</x:v>
      </x:c>
      <x:c r="B19" s="4" t="str">
        <x:v>AFIN-0018</x:v>
      </x:c>
      <x:c r="C19" s="4" t="str">
        <x:v>财务结算</x:v>
      </x:c>
      <x:c r="D19" s="4" t="str">
        <x:v>公会分成记录（平台管理员视角）</x:v>
      </x:c>
      <x:c r="E19" s="4" t="str">
        <x:v>功能需求</x:v>
      </x:c>
      <x:c r="F19" s="4" t="str">
        <x:v>P1</x:v>
      </x:c>
      <x:c r="G19" s="4" t="str">
        <x:v>验证公会分成记录可查看公会数量</x:v>
      </x:c>
      <x:c r="H19" s="4" t="str">
        <x:v>公会数量展示</x:v>
      </x:c>
      <x:c r="I19" s="4" t="str">
        <x:v>1. 平台管理员账号已登录且具备当前页面权限</x:v>
      </x:c>
      <x:c r="J19" s="4" t="str">
        <x:v>1. 进入公会分成记录
2. 查看公会数量</x:v>
      </x:c>
      <x:c r="K19" s="4" t="str">
        <x:v>公会分成记录显示“公会数量”</x:v>
      </x:c>
      <x:c r="L19" s="4" t="str"/>
      <x:c r="M19" s="4" t="str">
        <x:v>未测</x:v>
      </x:c>
      <x:c r="N19" s="4" t="str"/>
      <x:c r="O19" s="4" t="str">
        <x:v>1. 来源（原型批注）：liveshow-proto/prototype/annotations/admin.js；admin-guild-settlement-record.html
2. 页面：admin-guild-settlement-record.html
3. 规则：BR-97EED4E5A13A9A
4. 场景：SC-71788752CCCBFE
5. 未动态验证</x:v>
      </x:c>
    </x:row>
    <x:row r="20" ht="54" customHeight="1">
      <x:c r="A20" s="4" t="n">
        <x:v>19</x:v>
      </x:c>
      <x:c r="B20" s="4" t="str">
        <x:v>AFIN-0019</x:v>
      </x:c>
      <x:c r="C20" s="4" t="str">
        <x:v>财务结算</x:v>
      </x:c>
      <x:c r="D20" s="4" t="str">
        <x:v>公会分成记录（平台管理员视角）</x:v>
      </x:c>
      <x:c r="E20" s="4" t="str">
        <x:v>功能需求</x:v>
      </x:c>
      <x:c r="F20" s="4" t="str">
        <x:v>P1</x:v>
      </x:c>
      <x:c r="G20" s="4" t="str">
        <x:v>验证公会分成记录可查看上传人 / 时间</x:v>
      </x:c>
      <x:c r="H20" s="4" t="str">
        <x:v>上传人 / 时间展示</x:v>
      </x:c>
      <x:c r="I20" s="4" t="str">
        <x:v>1. 平台管理员账号已登录且具备当前页面权限</x:v>
      </x:c>
      <x:c r="J20" s="4" t="str">
        <x:v>1. 进入公会分成记录
2. 查看上传人 / 时间</x:v>
      </x:c>
      <x:c r="K20" s="4" t="str">
        <x:v>公会分成记录显示“上传人 / 时间”</x:v>
      </x:c>
      <x:c r="L20" s="4" t="str"/>
      <x:c r="M20" s="4" t="str">
        <x:v>未测</x:v>
      </x:c>
      <x:c r="N20" s="4" t="str"/>
      <x:c r="O20" s="4" t="str">
        <x:v>1. 来源（原型批注）：liveshow-proto/prototype/annotations/admin.js；admin-guild-settlement-record.html
2. 页面：admin-guild-settlement-record.html
3. 规则：BR-12A8E2EF021D55
4. 场景：SC-2E53956B5801B2
5. 未动态验证</x:v>
      </x:c>
    </x:row>
    <x:row r="21" ht="54" customHeight="1">
      <x:c r="A21" s="4" t="n">
        <x:v>20</x:v>
      </x:c>
      <x:c r="B21" s="4" t="str">
        <x:v>AFIN-0020</x:v>
      </x:c>
      <x:c r="C21" s="4" t="str">
        <x:v>财务结算</x:v>
      </x:c>
      <x:c r="D21" s="4" t="str">
        <x:v>公会分成记录（平台管理员视角）</x:v>
      </x:c>
      <x:c r="E21" s="4" t="str">
        <x:v>功能需求</x:v>
      </x:c>
      <x:c r="F21" s="4" t="str">
        <x:v>P1</x:v>
      </x:c>
      <x:c r="G21" s="4" t="str">
        <x:v>验证公会分成记录可查看上传文件</x:v>
      </x:c>
      <x:c r="H21" s="4" t="str">
        <x:v>上传文件展示</x:v>
      </x:c>
      <x:c r="I21" s="4" t="str">
        <x:v>1. 平台管理员账号已登录且具备当前页面权限</x:v>
      </x:c>
      <x:c r="J21" s="4" t="str">
        <x:v>1. 进入公会分成记录
2. 查看上传文件</x:v>
      </x:c>
      <x:c r="K21" s="4" t="str">
        <x:v>公会分成记录显示“上传文件”</x:v>
      </x:c>
      <x:c r="L21" s="4" t="str"/>
      <x:c r="M21" s="4" t="str">
        <x:v>未测</x:v>
      </x:c>
      <x:c r="N21" s="4" t="str"/>
      <x:c r="O21" s="4" t="str">
        <x:v>1. 来源（原型批注）：liveshow-proto/prototype/annotations/admin.js；admin-guild-settlement-record.html
2. 页面：admin-guild-settlement-record.html
3. 规则：BR-DF73D36243D90B
4. 场景：SC-1EF508FB55B9C1
5. 未动态验证</x:v>
      </x:c>
    </x:row>
    <x:row r="22" ht="54" customHeight="1">
      <x:c r="A22" s="4" t="n">
        <x:v>21</x:v>
      </x:c>
      <x:c r="B22" s="4" t="str">
        <x:v>AFIN-0021</x:v>
      </x:c>
      <x:c r="C22" s="4" t="str">
        <x:v>财务结算</x:v>
      </x:c>
      <x:c r="D22" s="4" t="str">
        <x:v>公会分成记录详情（平台管理员视角）</x:v>
      </x:c>
      <x:c r="E22" s="4" t="str">
        <x:v>功能需求</x:v>
      </x:c>
      <x:c r="F22" s="4" t="str">
        <x:v>P1</x:v>
      </x:c>
      <x:c r="G22" s="4" t="str">
        <x:v>验证公会分成记录详情可查看分成总金额</x:v>
      </x:c>
      <x:c r="H22" s="4" t="str">
        <x:v>分成总金额展示</x:v>
      </x:c>
      <x:c r="I22" s="4" t="str">
        <x:v>1. 平台管理员账号已登录且具备当前页面权限</x:v>
      </x:c>
      <x:c r="J22" s="4" t="str">
        <x:v>1. 进入公会分成记录详情
2. 查看分成总金额</x:v>
      </x:c>
      <x:c r="K22" s="4" t="str">
        <x:v>公会分成记录详情显示“分成总金额”</x:v>
      </x:c>
      <x:c r="L22" s="4" t="str"/>
      <x:c r="M22" s="4" t="str">
        <x:v>未测</x:v>
      </x:c>
      <x:c r="N22" s="4" t="str"/>
      <x:c r="O22" s="4" t="str">
        <x:v>1. 来源（原型批注）：liveshow-proto/prototype/annotations/admin.js；admin-guild-settlement-record-detail.html
2. 页面：admin-guild-settlement-record-detail.html
3. 规则：BR-E5245D39CFD880
4. 场景：SC-CD5A72DB824C5A
5. 未动态验证</x:v>
      </x:c>
    </x:row>
    <x:row r="23" ht="54" customHeight="1">
      <x:c r="A23" s="4" t="n">
        <x:v>22</x:v>
      </x:c>
      <x:c r="B23" s="4" t="str">
        <x:v>AFIN-0022</x:v>
      </x:c>
      <x:c r="C23" s="4" t="str">
        <x:v>财务结算</x:v>
      </x:c>
      <x:c r="D23" s="4" t="str">
        <x:v>公会分成记录详情（平台管理员视角）</x:v>
      </x:c>
      <x:c r="E23" s="4" t="str">
        <x:v>功能需求</x:v>
      </x:c>
      <x:c r="F23" s="4" t="str">
        <x:v>P1</x:v>
      </x:c>
      <x:c r="G23" s="4" t="str">
        <x:v>验证公会分成记录详情可查看公会明细</x:v>
      </x:c>
      <x:c r="H23" s="4" t="str">
        <x:v>公会明细展示</x:v>
      </x:c>
      <x:c r="I23" s="4" t="str">
        <x:v>1. 平台管理员账号已登录且具备当前页面权限</x:v>
      </x:c>
      <x:c r="J23" s="4" t="str">
        <x:v>1. 进入公会分成记录详情
2. 查看公会明细</x:v>
      </x:c>
      <x:c r="K23" s="4" t="str">
        <x:v>公会分成记录详情显示“公会明细”</x:v>
      </x:c>
      <x:c r="L23" s="4" t="str"/>
      <x:c r="M23" s="4" t="str">
        <x:v>未测</x:v>
      </x:c>
      <x:c r="N23" s="4" t="str"/>
      <x:c r="O23" s="4" t="str">
        <x:v>1. 来源（原型批注）：liveshow-proto/prototype/annotations/admin.js；admin-guild-settlement-record-detail.html
2. 页面：admin-guild-settlement-record-detail.html
3. 规则：BR-367212CD2333CC
4. 场景：SC-46CBA37D7F1C2A
5. 未动态验证</x:v>
      </x:c>
    </x:row>
    <x:row r="24" ht="54" customHeight="1">
      <x:c r="A24" s="4" t="n">
        <x:v>23</x:v>
      </x:c>
      <x:c r="B24" s="4" t="str">
        <x:v>AFIN-0023</x:v>
      </x:c>
      <x:c r="C24" s="4" t="str">
        <x:v>财务结算</x:v>
      </x:c>
      <x:c r="D24" s="4" t="str">
        <x:v>公会分成记录详情（平台管理员视角）</x:v>
      </x:c>
      <x:c r="E24" s="4" t="str">
        <x:v>功能需求</x:v>
      </x:c>
      <x:c r="F24" s="4" t="str">
        <x:v>P1</x:v>
      </x:c>
      <x:c r="G24" s="4" t="str">
        <x:v>验证公会分成记录详情可查看公会数量</x:v>
      </x:c>
      <x:c r="H24" s="4" t="str">
        <x:v>公会数量展示</x:v>
      </x:c>
      <x:c r="I24" s="4" t="str">
        <x:v>1. 平台管理员账号已登录且具备当前页面权限</x:v>
      </x:c>
      <x:c r="J24" s="4" t="str">
        <x:v>1. 进入公会分成记录详情
2. 查看公会数量</x:v>
      </x:c>
      <x:c r="K24" s="4" t="str">
        <x:v>公会分成记录详情显示“公会数量”</x:v>
      </x:c>
      <x:c r="L24" s="4" t="str"/>
      <x:c r="M24" s="4" t="str">
        <x:v>未测</x:v>
      </x:c>
      <x:c r="N24" s="4" t="str"/>
      <x:c r="O24" s="4" t="str">
        <x:v>1. 来源（原型批注）：liveshow-proto/prototype/annotations/admin.js；admin-guild-settlement-record-detail.html
2. 页面：admin-guild-settlement-record-detail.html
3. 规则：BR-799A08B6968717
4. 场景：SC-86B18A451059E3
5. 未动态验证</x:v>
      </x:c>
    </x:row>
    <x:row r="25" ht="54" customHeight="1">
      <x:c r="A25" s="4" t="n">
        <x:v>24</x:v>
      </x:c>
      <x:c r="B25" s="4" t="str">
        <x:v>AFIN-0024</x:v>
      </x:c>
      <x:c r="C25" s="4" t="str">
        <x:v>财务结算</x:v>
      </x:c>
      <x:c r="D25" s="4" t="str">
        <x:v>公会分成记录详情（平台管理员视角）</x:v>
      </x:c>
      <x:c r="E25" s="4" t="str">
        <x:v>功能需求</x:v>
      </x:c>
      <x:c r="F25" s="4" t="str">
        <x:v>P1</x:v>
      </x:c>
      <x:c r="G25" s="4" t="str">
        <x:v>验证公会分成记录详情可查看批次信息</x:v>
      </x:c>
      <x:c r="H25" s="4" t="str">
        <x:v>批次信息展示</x:v>
      </x:c>
      <x:c r="I25" s="4" t="str">
        <x:v>1. 平台管理员账号已登录且具备当前页面权限</x:v>
      </x:c>
      <x:c r="J25" s="4" t="str">
        <x:v>1. 进入公会分成记录详情
2. 查看批次信息</x:v>
      </x:c>
      <x:c r="K25" s="4" t="str">
        <x:v>公会分成记录详情显示“批次信息”</x:v>
      </x:c>
      <x:c r="L25" s="4" t="str"/>
      <x:c r="M25" s="4" t="str">
        <x:v>未测</x:v>
      </x:c>
      <x:c r="N25" s="4" t="str"/>
      <x:c r="O25" s="4" t="str">
        <x:v>1. 来源（原型批注）：liveshow-proto/prototype/annotations/admin.js；admin-guild-settlement-record-detail.html
2. 页面：admin-guild-settlement-record-detail.html
3. 规则：BR-9A39CA43AF5EC4
4. 场景：SC-4ECF83DF0A1038
5. 未动态验证</x:v>
      </x:c>
    </x:row>
    <x:row r="26" ht="54" customHeight="1">
      <x:c r="A26" s="4" t="n">
        <x:v>25</x:v>
      </x:c>
      <x:c r="B26" s="4" t="str">
        <x:v>AFIN-0025</x:v>
      </x:c>
      <x:c r="C26" s="4" t="str">
        <x:v>财务结算</x:v>
      </x:c>
      <x:c r="D26" s="4" t="str">
        <x:v>公会账户余额（平台管理员视角）</x:v>
      </x:c>
      <x:c r="E26" s="4" t="str">
        <x:v>业务流程</x:v>
      </x:c>
      <x:c r="F26" s="4" t="str">
        <x:v>P1</x:v>
      </x:c>
      <x:c r="G26" s="4" t="str">
        <x:v>验证点击行后的公会账户余额状态</x:v>
      </x:c>
      <x:c r="H26" s="4" t="str">
        <x:v>公会账户余额状态</x:v>
      </x:c>
      <x:c r="I26" s="4" t="str">
        <x:v>1. 平台管理员账号已登录且具备当前页面权限</x:v>
      </x:c>
      <x:c r="J26" s="4" t="str">
        <x:v>1. 进入公会账户余额
2. 点击行</x:v>
      </x:c>
      <x:c r="K26" s="4" t="str">
        <x:v>进入公会变更流水</x:v>
      </x:c>
      <x:c r="L26" s="4" t="str"/>
      <x:c r="M26" s="4" t="str">
        <x:v>未测</x:v>
      </x:c>
      <x:c r="N26" s="4" t="str"/>
      <x:c r="O26" s="4" t="str">
        <x:v>1. 来源（原型批注）：liveshow-proto/prototype/annotations/admin.js；admin-guild-account-balance.html
2. 页面：admin-guild-account-balance.html
3. 规则：BR-929028A3347B4D
4. 场景：SC-2A2A22CA614E03
5. 未动态验证</x:v>
      </x:c>
    </x:row>
    <x:row r="27" ht="54" customHeight="1">
      <x:c r="A27" s="4" t="n">
        <x:v>26</x:v>
      </x:c>
      <x:c r="B27" s="4" t="str">
        <x:v>AFIN-0026</x:v>
      </x:c>
      <x:c r="C27" s="4" t="str">
        <x:v>财务结算</x:v>
      </x:c>
      <x:c r="D27" s="4" t="str">
        <x:v>公会账户余额（平台管理员视角）</x:v>
      </x:c>
      <x:c r="E27" s="4" t="str">
        <x:v>业务流程</x:v>
      </x:c>
      <x:c r="F27" s="4" t="str">
        <x:v>P1</x:v>
      </x:c>
      <x:c r="G27" s="4" t="str">
        <x:v>验证点击余额后的公会账户余额状态</x:v>
      </x:c>
      <x:c r="H27" s="4" t="str">
        <x:v>公会账户余额状态</x:v>
      </x:c>
      <x:c r="I27" s="4" t="str">
        <x:v>1. 平台管理员账号已登录且具备当前页面权限</x:v>
      </x:c>
      <x:c r="J27" s="4" t="str">
        <x:v>1. 进入公会账户余额
2. 点击余额</x:v>
      </x:c>
      <x:c r="K27" s="4" t="str">
        <x:v>进入公会变更流水</x:v>
      </x:c>
      <x:c r="L27" s="4" t="str"/>
      <x:c r="M27" s="4" t="str">
        <x:v>未测</x:v>
      </x:c>
      <x:c r="N27" s="4" t="str"/>
      <x:c r="O27" s="4" t="str">
        <x:v>1. 来源（原型批注）：liveshow-proto/prototype/annotations/admin.js；admin-guild-account-balance.html
2. 页面：admin-guild-account-balance.html
3. 规则：BR-929028A3347B4D
4. 场景：SC-6C7286AB11F146
5. 未动态验证</x:v>
      </x:c>
    </x:row>
    <x:row r="28" ht="54" customHeight="1">
      <x:c r="A28" s="4" t="n">
        <x:v>27</x:v>
      </x:c>
      <x:c r="B28" s="4" t="str">
        <x:v>AFIN-0027</x:v>
      </x:c>
      <x:c r="C28" s="4" t="str">
        <x:v>财务结算</x:v>
      </x:c>
      <x:c r="D28" s="4" t="str">
        <x:v>公会账户余额（平台管理员视角）</x:v>
      </x:c>
      <x:c r="E28" s="4" t="str">
        <x:v>功能需求</x:v>
      </x:c>
      <x:c r="F28" s="4" t="str">
        <x:v>P1</x:v>
      </x:c>
      <x:c r="G28" s="4" t="str">
        <x:v>验证公会账户余额可查看汇总卡</x:v>
      </x:c>
      <x:c r="H28" s="4" t="str">
        <x:v>汇总卡展示</x:v>
      </x:c>
      <x:c r="I28" s="4" t="str">
        <x:v>1. 平台管理员账号已登录且具备当前页面权限</x:v>
      </x:c>
      <x:c r="J28" s="4" t="str">
        <x:v>1. 进入公会账户余额
2. 查看汇总卡</x:v>
      </x:c>
      <x:c r="K28" s="4" t="str">
        <x:v>公会账户余额显示“汇总卡”</x:v>
      </x:c>
      <x:c r="L28" s="4" t="str"/>
      <x:c r="M28" s="4" t="str">
        <x:v>未测</x:v>
      </x:c>
      <x:c r="N28" s="4" t="str"/>
      <x:c r="O28" s="4" t="str">
        <x:v>1. 来源（原型批注）：liveshow-proto/prototype/annotations/admin.js；admin-guild-account-balance.html
2. 页面：admin-guild-account-balance.html
3. 规则：BR-DC62ABC590A8E4
4. 场景：SC-BB6B93545088F1
5. 未动态验证</x:v>
      </x:c>
    </x:row>
    <x:row r="29" ht="54" customHeight="1">
      <x:c r="A29" s="4" t="n">
        <x:v>28</x:v>
      </x:c>
      <x:c r="B29" s="4" t="str">
        <x:v>AFIN-0028</x:v>
      </x:c>
      <x:c r="C29" s="4" t="str">
        <x:v>财务结算</x:v>
      </x:c>
      <x:c r="D29" s="4" t="str">
        <x:v>公会账户余额（平台管理员视角）</x:v>
      </x:c>
      <x:c r="E29" s="4" t="str">
        <x:v>功能需求</x:v>
      </x:c>
      <x:c r="F29" s="4" t="str">
        <x:v>P1</x:v>
      </x:c>
      <x:c r="G29" s="4" t="str">
        <x:v>验证公会账户余额可查看账户余额</x:v>
      </x:c>
      <x:c r="H29" s="4" t="str">
        <x:v>账户余额展示</x:v>
      </x:c>
      <x:c r="I29" s="4" t="str">
        <x:v>1. 平台管理员账号已登录且具备当前页面权限</x:v>
      </x:c>
      <x:c r="J29" s="4" t="str">
        <x:v>1. 进入公会账户余额
2. 查看账户余额</x:v>
      </x:c>
      <x:c r="K29" s="4" t="str">
        <x:v>公会账户余额显示“账户余额”</x:v>
      </x:c>
      <x:c r="L29" s="4" t="str"/>
      <x:c r="M29" s="4" t="str">
        <x:v>未测</x:v>
      </x:c>
      <x:c r="N29" s="4" t="str"/>
      <x:c r="O29" s="4" t="str">
        <x:v>1. 来源（原型批注）：liveshow-proto/prototype/annotations/admin.js；admin-guild-account-balance.html
2. 页面：admin-guild-account-balance.html
3. 规则：BR-BF2C4EE4333E33
4. 场景：SC-21CC79A61176D4
5. 未动态验证</x:v>
      </x:c>
    </x:row>
    <x:row r="30" ht="54" customHeight="1">
      <x:c r="A30" s="4" t="n">
        <x:v>29</x:v>
      </x:c>
      <x:c r="B30" s="4" t="str">
        <x:v>AFIN-0029</x:v>
      </x:c>
      <x:c r="C30" s="4" t="str">
        <x:v>财务结算</x:v>
      </x:c>
      <x:c r="D30" s="4" t="str">
        <x:v>退款订单（平台管理员视角）</x:v>
      </x:c>
      <x:c r="E30" s="4" t="str">
        <x:v>业务流程</x:v>
      </x:c>
      <x:c r="F30" s="4" t="str">
        <x:v>P1</x:v>
      </x:c>
      <x:c r="G30" s="4" t="str">
        <x:v>验证查看后的退款订单状态</x:v>
      </x:c>
      <x:c r="H30" s="4" t="str">
        <x:v>退款订单状态</x:v>
      </x:c>
      <x:c r="I30" s="4" t="str">
        <x:v>1. 平台管理员账号已登录且具备当前页面权限</x:v>
      </x:c>
      <x:c r="J30" s="4" t="str">
        <x:v>1. 进入退款订单
2. 查看</x:v>
      </x:c>
      <x:c r="K30" s="4" t="str">
        <x:v>进入原充值订单详情</x:v>
      </x:c>
      <x:c r="L30" s="4" t="str"/>
      <x:c r="M30" s="4" t="str">
        <x:v>未测</x:v>
      </x:c>
      <x:c r="N30" s="4" t="str"/>
      <x:c r="O30" s="4" t="str">
        <x:v>1. 来源（原型批注）：liveshow-proto/prototype/annotations/admin.js；admin-refund-order.html
2. 页面：admin-refund-order.html
3. 规则：BR-F9A18DAC9CD732
4. 场景：SC-B80CAEBB75F362
5. 未动态验证</x:v>
      </x:c>
    </x:row>
    <x:row r="31" ht="54" customHeight="1">
      <x:c r="A31" s="4" t="n">
        <x:v>30</x:v>
      </x:c>
      <x:c r="B31" s="4" t="str">
        <x:v>AFIN-0030</x:v>
      </x:c>
      <x:c r="C31" s="4" t="str">
        <x:v>财务结算</x:v>
      </x:c>
      <x:c r="D31" s="4" t="str">
        <x:v>退款订单（平台管理员视角）</x:v>
      </x:c>
      <x:c r="E31" s="4" t="str">
        <x:v>功能需求</x:v>
      </x:c>
      <x:c r="F31" s="4" t="str">
        <x:v>P1</x:v>
      </x:c>
      <x:c r="G31" s="4" t="str">
        <x:v>验证退款订单可查看类型</x:v>
      </x:c>
      <x:c r="H31" s="4" t="str">
        <x:v>类型展示</x:v>
      </x:c>
      <x:c r="I31" s="4" t="str">
        <x:v>1. 平台管理员账号已登录且具备当前页面权限</x:v>
      </x:c>
      <x:c r="J31" s="4" t="str">
        <x:v>1. 进入退款订单
2. 查看类型</x:v>
      </x:c>
      <x:c r="K31" s="4" t="str">
        <x:v>退款订单显示“类型”</x:v>
      </x:c>
      <x:c r="L31" s="4" t="str"/>
      <x:c r="M31" s="4" t="str">
        <x:v>未测</x:v>
      </x:c>
      <x:c r="N31" s="4" t="str"/>
      <x:c r="O31" s="4" t="str">
        <x:v>1. 来源（原型批注）：liveshow-proto/prototype/annotations/admin.js；admin-refund-order.html
2. 页面：admin-refund-order.html
3. 规则：BR-F30EC4A7BE5A16、BR-E0F168D7D5EA13
4. 场景：SC-C07EF2622D86E5
5. 未动态验证</x:v>
      </x:c>
    </x:row>
    <x:row r="32" ht="54" customHeight="1">
      <x:c r="A32" s="4" t="n">
        <x:v>31</x:v>
      </x:c>
      <x:c r="B32" s="4" t="str">
        <x:v>AFIN-0031</x:v>
      </x:c>
      <x:c r="C32" s="4" t="str">
        <x:v>财务结算</x:v>
      </x:c>
      <x:c r="D32" s="4" t="str">
        <x:v>退款订单（平台管理员视角）</x:v>
      </x:c>
      <x:c r="E32" s="4" t="str">
        <x:v>功能需求</x:v>
      </x:c>
      <x:c r="F32" s="4" t="str">
        <x:v>P1</x:v>
      </x:c>
      <x:c r="G32" s="4" t="str">
        <x:v>验证退款订单可查看退款单号</x:v>
      </x:c>
      <x:c r="H32" s="4" t="str">
        <x:v>退款单号展示</x:v>
      </x:c>
      <x:c r="I32" s="4" t="str">
        <x:v>1. 平台管理员账号已登录且具备当前页面权限</x:v>
      </x:c>
      <x:c r="J32" s="4" t="str">
        <x:v>1. 进入退款订单
2. 查看退款单号</x:v>
      </x:c>
      <x:c r="K32" s="4" t="str">
        <x:v>退款订单显示“退款单号”</x:v>
      </x:c>
      <x:c r="L32" s="4" t="str"/>
      <x:c r="M32" s="4" t="str">
        <x:v>未测</x:v>
      </x:c>
      <x:c r="N32" s="4" t="str"/>
      <x:c r="O32" s="4" t="str">
        <x:v>1. 来源（原型批注）：liveshow-proto/prototype/annotations/admin.js；admin-refund-order.html
2. 页面：admin-refund-order.html
3. 规则：BR-1900F07BB7475C
4. 场景：SC-6992097569DD6A
5. 未动态验证</x:v>
      </x:c>
    </x:row>
    <x:row r="33" ht="54" customHeight="1">
      <x:c r="A33" s="4" t="n">
        <x:v>32</x:v>
      </x:c>
      <x:c r="B33" s="4" t="str">
        <x:v>AFIN-0032</x:v>
      </x:c>
      <x:c r="C33" s="4" t="str">
        <x:v>财务结算</x:v>
      </x:c>
      <x:c r="D33" s="4" t="str">
        <x:v>退款订单（平台管理员视角）</x:v>
      </x:c>
      <x:c r="E33" s="4" t="str">
        <x:v>功能需求</x:v>
      </x:c>
      <x:c r="F33" s="4" t="str">
        <x:v>P1</x:v>
      </x:c>
      <x:c r="G33" s="4" t="str">
        <x:v>验证退款订单可查看退款金额</x:v>
      </x:c>
      <x:c r="H33" s="4" t="str">
        <x:v>退款金额展示</x:v>
      </x:c>
      <x:c r="I33" s="4" t="str">
        <x:v>1. 平台管理员账号已登录且具备当前页面权限</x:v>
      </x:c>
      <x:c r="J33" s="4" t="str">
        <x:v>1. 进入退款订单
2. 查看退款金额</x:v>
      </x:c>
      <x:c r="K33" s="4" t="str">
        <x:v>退款订单显示“退款金额”</x:v>
      </x:c>
      <x:c r="L33" s="4" t="str"/>
      <x:c r="M33" s="4" t="str">
        <x:v>未测</x:v>
      </x:c>
      <x:c r="N33" s="4" t="str"/>
      <x:c r="O33" s="4" t="str">
        <x:v>1. 来源（原型批注）：liveshow-proto/prototype/annotations/admin.js；admin-refund-order.html
2. 页面：admin-refund-order.html
3. 规则：BR-543FAD00CA4A4E
4. 场景：SC-BF2A33581F77A3
5. 未动态验证</x:v>
      </x:c>
    </x:row>
    <x:row r="34" ht="54" customHeight="1">
      <x:c r="A34" s="4" t="n">
        <x:v>33</x:v>
      </x:c>
      <x:c r="B34" s="4" t="str">
        <x:v>AFIN-0033</x:v>
      </x:c>
      <x:c r="C34" s="4" t="str">
        <x:v>财务结算</x:v>
      </x:c>
      <x:c r="D34" s="4" t="str">
        <x:v>退款订单（平台管理员视角）</x:v>
      </x:c>
      <x:c r="E34" s="4" t="str">
        <x:v>功能需求</x:v>
      </x:c>
      <x:c r="F34" s="4" t="str">
        <x:v>P1</x:v>
      </x:c>
      <x:c r="G34" s="4" t="str">
        <x:v>验证退款订单可查看原充值订单</x:v>
      </x:c>
      <x:c r="H34" s="4" t="str">
        <x:v>原充值订单展示</x:v>
      </x:c>
      <x:c r="I34" s="4" t="str">
        <x:v>1. 平台管理员账号已登录且具备当前页面权限</x:v>
      </x:c>
      <x:c r="J34" s="4" t="str">
        <x:v>1. 进入退款订单
2. 查看原充值订单</x:v>
      </x:c>
      <x:c r="K34" s="4" t="str">
        <x:v>退款订单显示“原充值订单”</x:v>
      </x:c>
      <x:c r="L34" s="4" t="str"/>
      <x:c r="M34" s="4" t="str">
        <x:v>未测</x:v>
      </x:c>
      <x:c r="N34" s="4" t="str"/>
      <x:c r="O34" s="4" t="str">
        <x:v>1. 来源（原型批注）：liveshow-proto/prototype/annotations/admin.js；admin-refund-order.html
2. 页面：admin-refund-order.html
3. 规则：BR-CCA56676821E6D
4. 场景：SC-7CCBE8101F7B33
5. 未动态验证</x:v>
      </x:c>
    </x:row>
    <x:row r="35" ht="54" customHeight="1">
      <x:c r="A35" s="4" t="n">
        <x:v>34</x:v>
      </x:c>
      <x:c r="B35" s="4" t="str">
        <x:v>AFIN-0034</x:v>
      </x:c>
      <x:c r="C35" s="4" t="str">
        <x:v>财务结算</x:v>
      </x:c>
      <x:c r="D35" s="4" t="str">
        <x:v>退款订单（平台管理员视角）</x:v>
      </x:c>
      <x:c r="E35" s="4" t="str">
        <x:v>功能需求</x:v>
      </x:c>
      <x:c r="F35" s="4" t="str">
        <x:v>P1</x:v>
      </x:c>
      <x:c r="G35" s="4" t="str">
        <x:v>验证退款订单可查看状态 / 时间</x:v>
      </x:c>
      <x:c r="H35" s="4" t="str">
        <x:v>状态 / 时间展示</x:v>
      </x:c>
      <x:c r="I35" s="4" t="str">
        <x:v>1. 平台管理员账号已登录且具备当前页面权限</x:v>
      </x:c>
      <x:c r="J35" s="4" t="str">
        <x:v>1. 进入退款订单
2. 查看状态 / 时间</x:v>
      </x:c>
      <x:c r="K35" s="4" t="str">
        <x:v>退款订单显示“状态 / 时间”</x:v>
      </x:c>
      <x:c r="L35" s="4" t="str"/>
      <x:c r="M35" s="4" t="str">
        <x:v>未测</x:v>
      </x:c>
      <x:c r="N35" s="4" t="str"/>
      <x:c r="O35" s="4" t="str">
        <x:v>1. 来源（原型批注）：liveshow-proto/prototype/annotations/admin.js；admin-refund-order.html
2. 页面：admin-refund-order.html
3. 规则：BR-BF8B2A496516E4
4. 场景：SC-5705217A969EF8
5. 未动态验证</x:v>
      </x:c>
    </x:row>
    <x:row r="36" ht="54" customHeight="1">
      <x:c r="A36" s="4" t="n">
        <x:v>35</x:v>
      </x:c>
      <x:c r="B36" s="4" t="str">
        <x:v>AFIN-0035</x:v>
      </x:c>
      <x:c r="C36" s="4" t="str">
        <x:v>财务结算</x:v>
      </x:c>
      <x:c r="D36" s="4" t="str">
        <x:v>消费订单（平台管理员视角）</x:v>
      </x:c>
      <x:c r="E36" s="4" t="str">
        <x:v>业务流程</x:v>
      </x:c>
      <x:c r="F36" s="4" t="str">
        <x:v>P1</x:v>
      </x:c>
      <x:c r="G36" s="4" t="str">
        <x:v>验证详情后的消费订单状态</x:v>
      </x:c>
      <x:c r="H36" s="4" t="str">
        <x:v>消费订单状态</x:v>
      </x:c>
      <x:c r="I36" s="4" t="str">
        <x:v>1. 平台管理员账号已登录且具备当前页面权限
2. 详情</x:v>
      </x:c>
      <x:c r="J36" s="4" t="str">
        <x:v>1. 进入消费订单
2. 刷新消费订单</x:v>
      </x:c>
      <x:c r="K36" s="4" t="str">
        <x:v>进入只读订单</x:v>
      </x:c>
      <x:c r="L36" s="4" t="str"/>
      <x:c r="M36" s="4" t="str">
        <x:v>未测</x:v>
      </x:c>
      <x:c r="N36" s="4" t="str"/>
      <x:c r="O36" s="4" t="str">
        <x:v>1. 来源（原型批注）：liveshow-proto/prototype/annotations/admin.js；admin-consumption-order.html
2. 页面：admin-consumption-order.html
3. 规则：BR-41F2ACE29A8F89
4. 场景：SC-3FD0BE1EB82374
5. 未动态验证</x:v>
      </x:c>
    </x:row>
    <x:row r="37" ht="54" customHeight="1">
      <x:c r="A37" s="4" t="n">
        <x:v>36</x:v>
      </x:c>
      <x:c r="B37" s="4" t="str">
        <x:v>AFIN-0036</x:v>
      </x:c>
      <x:c r="C37" s="4" t="str">
        <x:v>财务结算</x:v>
      </x:c>
      <x:c r="D37" s="4" t="str">
        <x:v>消费订单（平台管理员视角）</x:v>
      </x:c>
      <x:c r="E37" s="4" t="str">
        <x:v>功能需求</x:v>
      </x:c>
      <x:c r="F37" s="4" t="str">
        <x:v>P1</x:v>
      </x:c>
      <x:c r="G37" s="4" t="str">
        <x:v>验证消费订单可查看数量</x:v>
      </x:c>
      <x:c r="H37" s="4" t="str">
        <x:v>数量展示</x:v>
      </x:c>
      <x:c r="I37" s="4" t="str">
        <x:v>1. 平台管理员账号已登录且具备当前页面权限</x:v>
      </x:c>
      <x:c r="J37" s="4" t="str">
        <x:v>1. 进入消费订单
2. 查看数量</x:v>
      </x:c>
      <x:c r="K37" s="4" t="str">
        <x:v>消费订单显示“数量”</x:v>
      </x:c>
      <x:c r="L37" s="4" t="str"/>
      <x:c r="M37" s="4" t="str">
        <x:v>未测</x:v>
      </x:c>
      <x:c r="N37" s="4" t="str"/>
      <x:c r="O37" s="4" t="str">
        <x:v>1. 来源（原型批注）：liveshow-proto/prototype/annotations/admin.js；admin-consumption-order.html
2. 页面：admin-consumption-order.html
3. 规则：BR-AF6A96710725E1、BR-2795E3E4110C69
4. 场景：SC-EE778B50109E54
5. 未动态验证</x:v>
      </x:c>
    </x:row>
    <x:row r="38" ht="54" customHeight="1">
      <x:c r="A38" s="4" t="n">
        <x:v>37</x:v>
      </x:c>
      <x:c r="B38" s="4" t="str">
        <x:v>AFIN-0037</x:v>
      </x:c>
      <x:c r="C38" s="4" t="str">
        <x:v>财务结算</x:v>
      </x:c>
      <x:c r="D38" s="4" t="str">
        <x:v>消费订单（平台管理员视角）</x:v>
      </x:c>
      <x:c r="E38" s="4" t="str">
        <x:v>功能需求</x:v>
      </x:c>
      <x:c r="F38" s="4" t="str">
        <x:v>P1</x:v>
      </x:c>
      <x:c r="G38" s="4" t="str">
        <x:v>验证消费订单可查看消费金币</x:v>
      </x:c>
      <x:c r="H38" s="4" t="str">
        <x:v>消费金币展示</x:v>
      </x:c>
      <x:c r="I38" s="4" t="str">
        <x:v>1. 平台管理员账号已登录且具备当前页面权限</x:v>
      </x:c>
      <x:c r="J38" s="4" t="str">
        <x:v>1. 进入消费订单
2. 查看消费金币</x:v>
      </x:c>
      <x:c r="K38" s="4" t="str">
        <x:v>消费订单显示“消费金币”</x:v>
      </x:c>
      <x:c r="L38" s="4" t="str"/>
      <x:c r="M38" s="4" t="str">
        <x:v>未测</x:v>
      </x:c>
      <x:c r="N38" s="4" t="str"/>
      <x:c r="O38" s="4" t="str">
        <x:v>1. 来源（原型批注）：liveshow-proto/prototype/annotations/admin.js；admin-consumption-order.html
2. 页面：admin-consumption-order.html
3. 规则：BR-DDFF692B8D8A74、BR-D7BC6AC35675D2
4. 场景：SC-ADFA6F1BCCF0A1
5. 未动态验证</x:v>
      </x:c>
    </x:row>
    <x:row r="39" ht="54" customHeight="1">
      <x:c r="A39" s="4" t="n">
        <x:v>38</x:v>
      </x:c>
      <x:c r="B39" s="4" t="str">
        <x:v>AFIN-0038</x:v>
      </x:c>
      <x:c r="C39" s="4" t="str">
        <x:v>财务结算</x:v>
      </x:c>
      <x:c r="D39" s="4" t="str">
        <x:v>消费订单（平台管理员视角）</x:v>
      </x:c>
      <x:c r="E39" s="4" t="str">
        <x:v>功能需求</x:v>
      </x:c>
      <x:c r="F39" s="4" t="str">
        <x:v>P1</x:v>
      </x:c>
      <x:c r="G39" s="4" t="str">
        <x:v>验证消费订单可查看消费类型</x:v>
      </x:c>
      <x:c r="H39" s="4" t="str">
        <x:v>消费类型展示</x:v>
      </x:c>
      <x:c r="I39" s="4" t="str">
        <x:v>1. 平台管理员账号已登录且具备当前页面权限</x:v>
      </x:c>
      <x:c r="J39" s="4" t="str">
        <x:v>1. 进入消费订单
2. 查看消费类型</x:v>
      </x:c>
      <x:c r="K39" s="4" t="str">
        <x:v>消费订单显示“消费类型”</x:v>
      </x:c>
      <x:c r="L39" s="4" t="str"/>
      <x:c r="M39" s="4" t="str">
        <x:v>未测</x:v>
      </x:c>
      <x:c r="N39" s="4" t="str"/>
      <x:c r="O39" s="4" t="str">
        <x:v>1. 来源（原型批注）：liveshow-proto/prototype/annotations/admin.js；admin-consumption-order.html
2. 页面：admin-consumption-order.html
3. 规则：BR-C9F8288A2D6619
4. 场景：SC-2C45C23AA14766
5. 未动态验证</x:v>
      </x:c>
    </x:row>
    <x:row r="40" ht="54" customHeight="1">
      <x:c r="A40" s="4" t="n">
        <x:v>39</x:v>
      </x:c>
      <x:c r="B40" s="4" t="str">
        <x:v>AFIN-0039</x:v>
      </x:c>
      <x:c r="C40" s="4" t="str">
        <x:v>财务结算</x:v>
      </x:c>
      <x:c r="D40" s="4" t="str">
        <x:v>消费订单（平台管理员视角）</x:v>
      </x:c>
      <x:c r="E40" s="4" t="str">
        <x:v>功能需求</x:v>
      </x:c>
      <x:c r="F40" s="4" t="str">
        <x:v>P1</x:v>
      </x:c>
      <x:c r="G40" s="4" t="str">
        <x:v>验证消费订单可查看用户净消耗</x:v>
      </x:c>
      <x:c r="H40" s="4" t="str">
        <x:v>用户净消耗展示</x:v>
      </x:c>
      <x:c r="I40" s="4" t="str">
        <x:v>1. 平台管理员账号已登录且具备当前页面权限</x:v>
      </x:c>
      <x:c r="J40" s="4" t="str">
        <x:v>1. 进入消费订单
2. 查看用户净消耗</x:v>
      </x:c>
      <x:c r="K40" s="4" t="str">
        <x:v>消费订单显示“用户净消耗”</x:v>
      </x:c>
      <x:c r="L40" s="4" t="str"/>
      <x:c r="M40" s="4" t="str">
        <x:v>未测</x:v>
      </x:c>
      <x:c r="N40" s="4" t="str"/>
      <x:c r="O40" s="4" t="str">
        <x:v>1. 来源（原型批注）：liveshow-proto/prototype/annotations/admin.js；admin-consumption-order.html
2. 页面：admin-consumption-order.html
3. 规则：BR-1123D93BEFF49D、BR-2C47BC5F54C78E
4. 场景：SC-0A460F127233C5
5. 未动态验证</x:v>
      </x:c>
    </x:row>
    <x:row r="41" ht="54" customHeight="1">
      <x:c r="A41" s="4" t="n">
        <x:v>40</x:v>
      </x:c>
      <x:c r="B41" s="4" t="str">
        <x:v>AFIN-0040</x:v>
      </x:c>
      <x:c r="C41" s="4" t="str">
        <x:v>财务结算</x:v>
      </x:c>
      <x:c r="D41" s="4" t="str">
        <x:v>消费订单（平台管理员视角）</x:v>
      </x:c>
      <x:c r="E41" s="4" t="str">
        <x:v>功能需求</x:v>
      </x:c>
      <x:c r="F41" s="4" t="str">
        <x:v>P1</x:v>
      </x:c>
      <x:c r="G41" s="4" t="str">
        <x:v>验证消费订单可查看主播信息</x:v>
      </x:c>
      <x:c r="H41" s="4" t="str">
        <x:v>主播信息展示</x:v>
      </x:c>
      <x:c r="I41" s="4" t="str">
        <x:v>1. 平台管理员账号已登录且具备当前页面权限</x:v>
      </x:c>
      <x:c r="J41" s="4" t="str">
        <x:v>1. 进入消费订单
2. 查看主播信息</x:v>
      </x:c>
      <x:c r="K41" s="4" t="str">
        <x:v>消费订单显示“主播信息”</x:v>
      </x:c>
      <x:c r="L41" s="4" t="str"/>
      <x:c r="M41" s="4" t="str">
        <x:v>未测</x:v>
      </x:c>
      <x:c r="N41" s="4" t="str"/>
      <x:c r="O41" s="4" t="str">
        <x:v>1. 来源（原型批注）：liveshow-proto/prototype/annotations/admin.js；admin-consumption-order.html
2. 页面：admin-consumption-order.html
3. 规则：BR-4E51C74F7BDBDA
4. 场景：SC-9354FF83EC3BC8
5. 未动态验证</x:v>
      </x:c>
    </x:row>
    <x:row r="42" ht="54" customHeight="1">
      <x:c r="A42" s="4" t="n">
        <x:v>41</x:v>
      </x:c>
      <x:c r="B42" s="4" t="str">
        <x:v>AFIN-0041</x:v>
      </x:c>
      <x:c r="C42" s="4" t="str">
        <x:v>财务结算</x:v>
      </x:c>
      <x:c r="D42" s="4" t="str">
        <x:v>消费订单（平台管理员视角）</x:v>
      </x:c>
      <x:c r="E42" s="4" t="str">
        <x:v>功能需求</x:v>
      </x:c>
      <x:c r="F42" s="4" t="str">
        <x:v>P1</x:v>
      </x:c>
      <x:c r="G42" s="4" t="str">
        <x:v>验证消费订单可查看状态</x:v>
      </x:c>
      <x:c r="H42" s="4" t="str">
        <x:v>状态展示</x:v>
      </x:c>
      <x:c r="I42" s="4" t="str">
        <x:v>1. 平台管理员账号已登录且具备当前页面权限</x:v>
      </x:c>
      <x:c r="J42" s="4" t="str">
        <x:v>1. 进入消费订单
2. 查看状态</x:v>
      </x:c>
      <x:c r="K42" s="4" t="str">
        <x:v>消费订单显示“状态”</x:v>
      </x:c>
      <x:c r="L42" s="4" t="str"/>
      <x:c r="M42" s="4" t="str">
        <x:v>未测</x:v>
      </x:c>
      <x:c r="N42" s="4" t="str"/>
      <x:c r="O42" s="4" t="str">
        <x:v>1. 来源（原型批注）：liveshow-proto/prototype/annotations/admin.js；admin-consumption-order.html
2. 页面：admin-consumption-order.html
3. 规则：BR-D35DC95995B9F7、BR-83116CD6356702
4. 场景：SC-C57E3C69EC46D9
5. 未动态验证</x:v>
      </x:c>
    </x:row>
    <x:row r="43" ht="54" customHeight="1">
      <x:c r="A43" s="4" t="n">
        <x:v>42</x:v>
      </x:c>
      <x:c r="B43" s="4" t="str">
        <x:v>AFIN-0042</x:v>
      </x:c>
      <x:c r="C43" s="4" t="str">
        <x:v>财务结算</x:v>
      </x:c>
      <x:c r="D43" s="4" t="str">
        <x:v>消费订单详情（平台管理员视角）</x:v>
      </x:c>
      <x:c r="E43" s="4" t="str">
        <x:v>功能需求</x:v>
      </x:c>
      <x:c r="F43" s="4" t="str">
        <x:v>P1</x:v>
      </x:c>
      <x:c r="G43" s="4" t="str">
        <x:v>验证消费订单详情可查看扣减金币</x:v>
      </x:c>
      <x:c r="H43" s="4" t="str">
        <x:v>扣减金币展示</x:v>
      </x:c>
      <x:c r="I43" s="4" t="str">
        <x:v>1. 平台管理员账号已登录且具备当前页面权限</x:v>
      </x:c>
      <x:c r="J43" s="4" t="str">
        <x:v>1. 进入消费订单详情
2. 查看扣减金币</x:v>
      </x:c>
      <x:c r="K43" s="4" t="str">
        <x:v>消费订单详情显示“扣减金币”</x:v>
      </x:c>
      <x:c r="L43" s="4" t="str"/>
      <x:c r="M43" s="4" t="str">
        <x:v>未测</x:v>
      </x:c>
      <x:c r="N43" s="4" t="str"/>
      <x:c r="O43" s="4" t="str">
        <x:v>1. 来源（原型批注）：liveshow-proto/prototype/annotations/admin.js；admin-consumption-order-detail.html
2. 页面：admin-consumption-order-detail.html
3. 规则：BR-B22F3A6103F102
4. 场景：SC-58C0CC49845CB8
5. 未动态验证</x:v>
      </x:c>
    </x:row>
    <x:row r="44" ht="54" customHeight="1">
      <x:c r="A44" s="4" t="n">
        <x:v>43</x:v>
      </x:c>
      <x:c r="B44" s="4" t="str">
        <x:v>AFIN-0043</x:v>
      </x:c>
      <x:c r="C44" s="4" t="str">
        <x:v>财务结算</x:v>
      </x:c>
      <x:c r="D44" s="4" t="str">
        <x:v>消费订单详情（平台管理员视角）</x:v>
      </x:c>
      <x:c r="E44" s="4" t="str">
        <x:v>功能需求</x:v>
      </x:c>
      <x:c r="F44" s="4" t="str">
        <x:v>P1</x:v>
      </x:c>
      <x:c r="G44" s="4" t="str">
        <x:v>验证消费订单详情可查看商品 / 数量 / 单价</x:v>
      </x:c>
      <x:c r="H44" s="4" t="str">
        <x:v>商品 / 数量 / 单价展示</x:v>
      </x:c>
      <x:c r="I44" s="4" t="str">
        <x:v>1. 平台管理员账号已登录且具备当前页面权限</x:v>
      </x:c>
      <x:c r="J44" s="4" t="str">
        <x:v>1. 进入消费订单详情
2. 查看商品 / 数量 / 单价</x:v>
      </x:c>
      <x:c r="K44" s="4" t="str">
        <x:v>消费订单详情显示“商品 / 数量 / 单价”</x:v>
      </x:c>
      <x:c r="L44" s="4" t="str"/>
      <x:c r="M44" s="4" t="str">
        <x:v>未测</x:v>
      </x:c>
      <x:c r="N44" s="4" t="str"/>
      <x:c r="O44" s="4" t="str">
        <x:v>1. 来源（原型批注）：liveshow-proto/prototype/annotations/admin.js；admin-consumption-order-detail.html
2. 页面：admin-consumption-order-detail.html
3. 规则：BR-A841C3CEA4A781
4. 场景：SC-D7D1FCB6E2FF0D
5. 未动态验证</x:v>
      </x:c>
    </x:row>
    <x:row r="45" ht="54" customHeight="1">
      <x:c r="A45" s="4" t="n">
        <x:v>44</x:v>
      </x:c>
      <x:c r="B45" s="4" t="str">
        <x:v>AFIN-0044</x:v>
      </x:c>
      <x:c r="C45" s="4" t="str">
        <x:v>财务结算</x:v>
      </x:c>
      <x:c r="D45" s="4" t="str">
        <x:v>消费订单详情（平台管理员视角）</x:v>
      </x:c>
      <x:c r="E45" s="4" t="str">
        <x:v>功能需求</x:v>
      </x:c>
      <x:c r="F45" s="4" t="str">
        <x:v>P1</x:v>
      </x:c>
      <x:c r="G45" s="4" t="str">
        <x:v>验证消费订单详情可查看消费去向</x:v>
      </x:c>
      <x:c r="H45" s="4" t="str">
        <x:v>消费去向展示</x:v>
      </x:c>
      <x:c r="I45" s="4" t="str">
        <x:v>1. 平台管理员账号已登录且具备当前页面权限</x:v>
      </x:c>
      <x:c r="J45" s="4" t="str">
        <x:v>1. 进入消费订单详情
2. 查看消费去向</x:v>
      </x:c>
      <x:c r="K45" s="4" t="str">
        <x:v>消费订单详情显示“消费去向”</x:v>
      </x:c>
      <x:c r="L45" s="4" t="str"/>
      <x:c r="M45" s="4" t="str">
        <x:v>未测</x:v>
      </x:c>
      <x:c r="N45" s="4" t="str"/>
      <x:c r="O45" s="4" t="str">
        <x:v>1. 来源（原型批注）：liveshow-proto/prototype/annotations/admin.js；admin-consumption-order-detail.html
2. 页面：admin-consumption-order-detail.html
3. 规则：BR-9E6C180DD49CD0
4. 场景：SC-D8359B5DF94A45
5. 未动态验证</x:v>
      </x:c>
    </x:row>
    <x:row r="46" ht="54" customHeight="1">
      <x:c r="A46" s="4" t="n">
        <x:v>45</x:v>
      </x:c>
      <x:c r="B46" s="4" t="str">
        <x:v>AFIN-0045</x:v>
      </x:c>
      <x:c r="C46" s="4" t="str">
        <x:v>财务结算</x:v>
      </x:c>
      <x:c r="D46" s="4" t="str">
        <x:v>消费订单详情（平台管理员视角）</x:v>
      </x:c>
      <x:c r="E46" s="4" t="str">
        <x:v>功能需求</x:v>
      </x:c>
      <x:c r="F46" s="4" t="str">
        <x:v>P1</x:v>
      </x:c>
      <x:c r="G46" s="4" t="str">
        <x:v>验证消费订单详情可查看幸运礼物返奖</x:v>
      </x:c>
      <x:c r="H46" s="4" t="str">
        <x:v>幸运礼物返奖展示</x:v>
      </x:c>
      <x:c r="I46" s="4" t="str">
        <x:v>1. 平台管理员账号已登录且具备当前页面权限</x:v>
      </x:c>
      <x:c r="J46" s="4" t="str">
        <x:v>1. 进入消费订单详情
2. 查看幸运礼物返奖</x:v>
      </x:c>
      <x:c r="K46" s="4" t="str">
        <x:v>消费订单详情显示“幸运礼物返奖”</x:v>
      </x:c>
      <x:c r="L46" s="4" t="str"/>
      <x:c r="M46" s="4" t="str">
        <x:v>未测</x:v>
      </x:c>
      <x:c r="N46" s="4" t="str"/>
      <x:c r="O46" s="4" t="str">
        <x:v>1. 来源（原型批注）：liveshow-proto/prototype/annotations/admin.js；admin-consumption-order-detail.html
2. 页面：admin-consumption-order-detail.html
3. 规则：BR-E345CE23397B01
4. 场景：SC-EBFE1228D8DC99
5. 未动态验证</x:v>
      </x:c>
    </x:row>
    <x:row r="47" ht="54" customHeight="1">
      <x:c r="A47" s="4" t="n">
        <x:v>46</x:v>
      </x:c>
      <x:c r="B47" s="4" t="str">
        <x:v>AFIN-0046</x:v>
      </x:c>
      <x:c r="C47" s="4" t="str">
        <x:v>财务结算</x:v>
      </x:c>
      <x:c r="D47" s="4" t="str">
        <x:v>消费订单详情（平台管理员视角）</x:v>
      </x:c>
      <x:c r="E47" s="4" t="str">
        <x:v>功能需求</x:v>
      </x:c>
      <x:c r="F47" s="4" t="str">
        <x:v>P1</x:v>
      </x:c>
      <x:c r="G47" s="4" t="str">
        <x:v>验证消费订单详情可查看用户净消耗</x:v>
      </x:c>
      <x:c r="H47" s="4" t="str">
        <x:v>用户净消耗展示</x:v>
      </x:c>
      <x:c r="I47" s="4" t="str">
        <x:v>1. 平台管理员账号已登录且具备当前页面权限</x:v>
      </x:c>
      <x:c r="J47" s="4" t="str">
        <x:v>1. 进入消费订单详情
2. 查看用户净消耗</x:v>
      </x:c>
      <x:c r="K47" s="4" t="str">
        <x:v>消费订单详情显示“用户净消耗”</x:v>
      </x:c>
      <x:c r="L47" s="4" t="str"/>
      <x:c r="M47" s="4" t="str">
        <x:v>未测</x:v>
      </x:c>
      <x:c r="N47" s="4" t="str"/>
      <x:c r="O47" s="4" t="str">
        <x:v>1. 来源（原型批注）：liveshow-proto/prototype/annotations/admin.js；admin-consumption-order-detail.html
2. 页面：admin-consumption-order-detail.html
3. 规则：BR-4D79A977A08550
4. 场景：SC-36635BD127B9E9
5. 未动态验证</x:v>
      </x:c>
    </x:row>
    <x:row r="48" ht="54" customHeight="1">
      <x:c r="A48" s="4" t="n">
        <x:v>47</x:v>
      </x:c>
      <x:c r="B48" s="4" t="str">
        <x:v>AFIN-0047</x:v>
      </x:c>
      <x:c r="C48" s="4" t="str">
        <x:v>财务结算</x:v>
      </x:c>
      <x:c r="D48" s="4" t="str">
        <x:v>消费订单详情（平台管理员视角）</x:v>
      </x:c>
      <x:c r="E48" s="4" t="str">
        <x:v>功能需求</x:v>
      </x:c>
      <x:c r="F48" s="4" t="str">
        <x:v>P1</x:v>
      </x:c>
      <x:c r="G48" s="4" t="str">
        <x:v>验证消费订单详情可查看主播收益</x:v>
      </x:c>
      <x:c r="H48" s="4" t="str">
        <x:v>主播收益展示</x:v>
      </x:c>
      <x:c r="I48" s="4" t="str">
        <x:v>1. 平台管理员账号已登录且具备当前页面权限</x:v>
      </x:c>
      <x:c r="J48" s="4" t="str">
        <x:v>1. 进入消费订单详情
2. 查看主播收益</x:v>
      </x:c>
      <x:c r="K48" s="4" t="str">
        <x:v>消费订单详情显示“主播收益”</x:v>
      </x:c>
      <x:c r="L48" s="4" t="str"/>
      <x:c r="M48" s="4" t="str">
        <x:v>未测</x:v>
      </x:c>
      <x:c r="N48" s="4" t="str"/>
      <x:c r="O48" s="4" t="str">
        <x:v>1. 来源（原型批注）：liveshow-proto/prototype/annotations/admin.js；admin-consumption-order-detail.html
2. 页面：admin-consumption-order-detail.html
3. 规则：BR-998985048316BD、BR-3A36A8CF95B186
4. 场景：SC-2153EAB8B787D5
5. 未动态验证</x:v>
      </x:c>
    </x:row>
    <x:row r="49" ht="54" customHeight="1">
      <x:c r="A49" s="4" t="n">
        <x:v>48</x:v>
      </x:c>
      <x:c r="B49" s="4" t="str">
        <x:v>AFIN-0048</x:v>
      </x:c>
      <x:c r="C49" s="4" t="str">
        <x:v>财务结算</x:v>
      </x:c>
      <x:c r="D49" s="4" t="str">
        <x:v>余额变更记录（平台管理员视角）</x:v>
      </x:c>
      <x:c r="E49" s="4" t="str">
        <x:v>异常用例</x:v>
      </x:c>
      <x:c r="F49" s="4" t="str">
        <x:v>P1</x:v>
      </x:c>
      <x:c r="G49" s="4" t="str">
        <x:v>验证余额变更后的余额变更记录状态</x:v>
      </x:c>
      <x:c r="H49" s="4" t="str">
        <x:v>余额变更记录状态</x:v>
      </x:c>
      <x:c r="I49" s="4" t="str">
        <x:v>1. 平台管理员账号已登录且具备当前页面权限
2. 余额变更</x:v>
      </x:c>
      <x:c r="J49" s="4" t="str">
        <x:v>1. 进入余额变更记录
2. 刷新余额变更记录</x:v>
      </x:c>
      <x:c r="K49" s="4" t="str">
        <x:v>生成不可修改的修正流水</x:v>
      </x:c>
      <x:c r="L49" s="4" t="str"/>
      <x:c r="M49" s="4" t="str">
        <x:v>未测</x:v>
      </x:c>
      <x:c r="N49" s="4" t="str"/>
      <x:c r="O49" s="4" t="str">
        <x:v>1. 来源（原型批注）：liveshow-proto/prototype/annotations/admin.js；admin-host-balance-change-record.html
2. 页面：admin-host-balance-change-record.html
3. 规则：BR-93FE8F3BBCB129
4. 场景：SC-EB7D7A8A192F21
5. 未动态验证</x:v>
      </x:c>
    </x:row>
    <x:row r="50" ht="54" customHeight="1">
      <x:c r="A50" s="4" t="n">
        <x:v>49</x:v>
      </x:c>
      <x:c r="B50" s="4" t="str">
        <x:v>AFIN-0049</x:v>
      </x:c>
      <x:c r="C50" s="4" t="str">
        <x:v>财务结算</x:v>
      </x:c>
      <x:c r="D50" s="4" t="str">
        <x:v>余额变更记录（平台管理员视角）</x:v>
      </x:c>
      <x:c r="E50" s="4" t="str">
        <x:v>功能需求</x:v>
      </x:c>
      <x:c r="F50" s="4" t="str">
        <x:v>P1</x:v>
      </x:c>
      <x:c r="G50" s="4" t="str">
        <x:v>验证余额变更记录可查看备注</x:v>
      </x:c>
      <x:c r="H50" s="4" t="str">
        <x:v>备注展示</x:v>
      </x:c>
      <x:c r="I50" s="4" t="str">
        <x:v>1. 平台管理员账号已登录且具备当前页面权限</x:v>
      </x:c>
      <x:c r="J50" s="4" t="str">
        <x:v>1. 进入余额变更记录
2. 查看备注</x:v>
      </x:c>
      <x:c r="K50" s="4" t="str">
        <x:v>余额变更记录显示“备注”</x:v>
      </x:c>
      <x:c r="L50" s="4" t="str"/>
      <x:c r="M50" s="4" t="str">
        <x:v>未测</x:v>
      </x:c>
      <x:c r="N50" s="4" t="str"/>
      <x:c r="O50" s="4" t="str">
        <x:v>1. 来源（原型批注）：liveshow-proto/prototype/annotations/admin.js；admin-host-balance-change-record.html
2. 页面：admin-host-balance-change-record.html
3. 规则：BR-36937BFD666BBD
4. 场景：SC-F48808C1034760
5. 未动态验证</x:v>
      </x:c>
    </x:row>
    <x:row r="51" ht="54" customHeight="1">
      <x:c r="A51" s="4" t="n">
        <x:v>50</x:v>
      </x:c>
      <x:c r="B51" s="4" t="str">
        <x:v>AFIN-0050</x:v>
      </x:c>
      <x:c r="C51" s="4" t="str">
        <x:v>财务结算</x:v>
      </x:c>
      <x:c r="D51" s="4" t="str">
        <x:v>余额变更记录（平台管理员视角）</x:v>
      </x:c>
      <x:c r="E51" s="4" t="str">
        <x:v>功能需求</x:v>
      </x:c>
      <x:c r="F51" s="4" t="str">
        <x:v>P1</x:v>
      </x:c>
      <x:c r="G51" s="4" t="str">
        <x:v>验证余额变更记录可查看变更后余额</x:v>
      </x:c>
      <x:c r="H51" s="4" t="str">
        <x:v>变更后余额展示</x:v>
      </x:c>
      <x:c r="I51" s="4" t="str">
        <x:v>1. 平台管理员账号已登录且具备当前页面权限</x:v>
      </x:c>
      <x:c r="J51" s="4" t="str">
        <x:v>1. 进入余额变更记录
2. 查看变更后余额</x:v>
      </x:c>
      <x:c r="K51" s="4" t="str">
        <x:v>余额变更记录显示“变更后余额”</x:v>
      </x:c>
      <x:c r="L51" s="4" t="str"/>
      <x:c r="M51" s="4" t="str">
        <x:v>未测</x:v>
      </x:c>
      <x:c r="N51" s="4" t="str"/>
      <x:c r="O51" s="4" t="str">
        <x:v>1. 来源（原型批注）：liveshow-proto/prototype/annotations/admin.js；admin-host-balance-change-record.html、admin-guild-balance-change-record.html
2. 页面：admin-host-balance-change-record.html
3. 规则：BR-ED4814C653ECA0
4. 场景：SC-C9CCDE2750614D
5. 未动态验证</x:v>
      </x:c>
    </x:row>
    <x:row r="52" ht="54" customHeight="1">
      <x:c r="A52" s="4" t="n">
        <x:v>51</x:v>
      </x:c>
      <x:c r="B52" s="4" t="str">
        <x:v>AFIN-0051</x:v>
      </x:c>
      <x:c r="C52" s="4" t="str">
        <x:v>财务结算</x:v>
      </x:c>
      <x:c r="D52" s="4" t="str">
        <x:v>余额变更记录（平台管理员视角）</x:v>
      </x:c>
      <x:c r="E52" s="4" t="str">
        <x:v>功能需求</x:v>
      </x:c>
      <x:c r="F52" s="4" t="str">
        <x:v>P1</x:v>
      </x:c>
      <x:c r="G52" s="4" t="str">
        <x:v>验证余额变更记录可查看变更金额</x:v>
      </x:c>
      <x:c r="H52" s="4" t="str">
        <x:v>变更金额展示</x:v>
      </x:c>
      <x:c r="I52" s="4" t="str">
        <x:v>1. 平台管理员账号已登录且具备当前页面权限</x:v>
      </x:c>
      <x:c r="J52" s="4" t="str">
        <x:v>1. 进入余额变更记录
2. 查看变更金额</x:v>
      </x:c>
      <x:c r="K52" s="4" t="str">
        <x:v>余额变更记录显示“变更金额”</x:v>
      </x:c>
      <x:c r="L52" s="4" t="str"/>
      <x:c r="M52" s="4" t="str">
        <x:v>未测</x:v>
      </x:c>
      <x:c r="N52" s="4" t="str"/>
      <x:c r="O52" s="4" t="str">
        <x:v>1. 来源（原型批注）：liveshow-proto/prototype/annotations/admin.js；admin-host-balance-change-record.html、admin-guild-balance-change-record.html
2. 页面：admin-host-balance-change-record.html
3. 规则：BR-140CA190513832、BR-3A1C8E9FBD1336
4. 场景：SC-84879BE8E45011
5. 未动态验证</x:v>
      </x:c>
    </x:row>
    <x:row r="53" ht="54" customHeight="1">
      <x:c r="A53" s="4" t="n">
        <x:v>52</x:v>
      </x:c>
      <x:c r="B53" s="4" t="str">
        <x:v>AFIN-0052</x:v>
      </x:c>
      <x:c r="C53" s="4" t="str">
        <x:v>财务结算</x:v>
      </x:c>
      <x:c r="D53" s="4" t="str">
        <x:v>余额变更记录（平台管理员视角）</x:v>
      </x:c>
      <x:c r="E53" s="4" t="str">
        <x:v>功能需求</x:v>
      </x:c>
      <x:c r="F53" s="4" t="str">
        <x:v>P1</x:v>
      </x:c>
      <x:c r="G53" s="4" t="str">
        <x:v>验证余额变更记录可查看变更类型</x:v>
      </x:c>
      <x:c r="H53" s="4" t="str">
        <x:v>变更类型展示</x:v>
      </x:c>
      <x:c r="I53" s="4" t="str">
        <x:v>1. 平台管理员账号已登录且具备当前页面权限</x:v>
      </x:c>
      <x:c r="J53" s="4" t="str">
        <x:v>1. 进入余额变更记录
2. 查看变更类型</x:v>
      </x:c>
      <x:c r="K53" s="4" t="str">
        <x:v>余额变更记录显示“变更类型”</x:v>
      </x:c>
      <x:c r="L53" s="4" t="str"/>
      <x:c r="M53" s="4" t="str">
        <x:v>未测</x:v>
      </x:c>
      <x:c r="N53" s="4" t="str"/>
      <x:c r="O53" s="4" t="str">
        <x:v>1. 来源（原型批注）：liveshow-proto/prototype/annotations/admin.js；admin-host-balance-change-record.html、admin-guild-balance-change-record.html
2. 页面：admin-host-balance-change-record.html
3. 规则：BR-615CDCCF1DD8CC
4. 场景：SC-E1CE827CD9C00F
5. 未动态验证</x:v>
      </x:c>
    </x:row>
    <x:row r="54" ht="54" customHeight="1">
      <x:c r="A54" s="4" t="n">
        <x:v>53</x:v>
      </x:c>
      <x:c r="B54" s="4" t="str">
        <x:v>AFIN-0053</x:v>
      </x:c>
      <x:c r="C54" s="4" t="str">
        <x:v>财务结算</x:v>
      </x:c>
      <x:c r="D54" s="4" t="str">
        <x:v>余额变更记录（平台管理员视角）</x:v>
      </x:c>
      <x:c r="E54" s="4" t="str">
        <x:v>功能需求</x:v>
      </x:c>
      <x:c r="F54" s="4" t="str">
        <x:v>P1</x:v>
      </x:c>
      <x:c r="G54" s="4" t="str">
        <x:v>验证余额变更记录可查看操作信息</x:v>
      </x:c>
      <x:c r="H54" s="4" t="str">
        <x:v>操作信息展示</x:v>
      </x:c>
      <x:c r="I54" s="4" t="str">
        <x:v>1. 平台管理员账号已登录且具备当前页面权限</x:v>
      </x:c>
      <x:c r="J54" s="4" t="str">
        <x:v>1. 进入余额变更记录
2. 查看操作信息</x:v>
      </x:c>
      <x:c r="K54" s="4" t="str">
        <x:v>余额变更记录显示“操作信息”</x:v>
      </x:c>
      <x:c r="L54" s="4" t="str"/>
      <x:c r="M54" s="4" t="str">
        <x:v>未测</x:v>
      </x:c>
      <x:c r="N54" s="4" t="str"/>
      <x:c r="O54" s="4" t="str">
        <x:v>1. 来源（原型批注）：liveshow-proto/prototype/annotations/admin.js；admin-host-balance-change-record.html、admin-guild-balance-change-record.html
2. 页面：admin-host-balance-change-record.html
3. 规则：BR-48E37190A33780
4. 场景：SC-12C751C1A47D70
5. 未动态验证</x:v>
      </x:c>
    </x:row>
    <x:row r="55" ht="54" customHeight="1">
      <x:c r="A55" s="4" t="n">
        <x:v>54</x:v>
      </x:c>
      <x:c r="B55" s="4" t="str">
        <x:v>AFIN-0054</x:v>
      </x:c>
      <x:c r="C55" s="4" t="str">
        <x:v>财务结算</x:v>
      </x:c>
      <x:c r="D55" s="4" t="str">
        <x:v>主播分成记录（平台管理员视角）</x:v>
      </x:c>
      <x:c r="E55" s="4" t="str">
        <x:v>异常用例</x:v>
      </x:c>
      <x:c r="F55" s="4" t="str">
        <x:v>P1</x:v>
      </x:c>
      <x:c r="G55" s="4" t="str">
        <x:v>验证导入成功后的主播分成记录状态</x:v>
      </x:c>
      <x:c r="H55" s="4" t="str">
        <x:v>主播分成记录状态</x:v>
      </x:c>
      <x:c r="I55" s="4" t="str">
        <x:v>1. 平台管理员账号已登录且具备当前页面权限
2. 导入成功</x:v>
      </x:c>
      <x:c r="J55" s="4" t="str">
        <x:v>1. 进入主播分成记录
2. 刷新主播分成记录</x:v>
      </x:c>
      <x:c r="K55" s="4" t="str">
        <x:v>不可编辑或删除</x:v>
      </x:c>
      <x:c r="L55" s="4" t="str"/>
      <x:c r="M55" s="4" t="str">
        <x:v>未测</x:v>
      </x:c>
      <x:c r="N55" s="4" t="str"/>
      <x:c r="O55" s="4" t="str">
        <x:v>1. 来源（原型批注）：liveshow-proto/prototype/annotations/admin.js；admin-settlement-record.html
2. 页面：admin-settlement-record.html
3. 规则：BR-472D9CE4ECFAD9
4. 场景：SC-CDDB520DF7C399
5. 未动态验证</x:v>
      </x:c>
    </x:row>
    <x:row r="56" ht="54" customHeight="1">
      <x:c r="A56" s="4" t="n">
        <x:v>55</x:v>
      </x:c>
      <x:c r="B56" s="4" t="str">
        <x:v>AFIN-0055</x:v>
      </x:c>
      <x:c r="C56" s="4" t="str">
        <x:v>财务结算</x:v>
      </x:c>
      <x:c r="D56" s="4" t="str">
        <x:v>主播分成记录（平台管理员视角）</x:v>
      </x:c>
      <x:c r="E56" s="4" t="str">
        <x:v>功能需求</x:v>
      </x:c>
      <x:c r="F56" s="4" t="str">
        <x:v>P1</x:v>
      </x:c>
      <x:c r="G56" s="4" t="str">
        <x:v>验证主播分成记录可查看分成备注</x:v>
      </x:c>
      <x:c r="H56" s="4" t="str">
        <x:v>分成备注展示</x:v>
      </x:c>
      <x:c r="I56" s="4" t="str">
        <x:v>1. 平台管理员账号已登录且具备当前页面权限</x:v>
      </x:c>
      <x:c r="J56" s="4" t="str">
        <x:v>1. 进入主播分成记录
2. 查看分成备注</x:v>
      </x:c>
      <x:c r="K56" s="4" t="str">
        <x:v>主播分成记录显示“分成备注”</x:v>
      </x:c>
      <x:c r="L56" s="4" t="str"/>
      <x:c r="M56" s="4" t="str">
        <x:v>未测</x:v>
      </x:c>
      <x:c r="N56" s="4" t="str"/>
      <x:c r="O56" s="4" t="str">
        <x:v>1. 来源（原型批注）：liveshow-proto/prototype/annotations/admin.js；admin-settlement-record.html
2. 页面：admin-settlement-record.html
3. 规则：BR-8F51BC689B9083
4. 场景：SC-94ED2AD3CFC617
5. 未动态验证</x:v>
      </x:c>
    </x:row>
    <x:row r="57" ht="54" customHeight="1">
      <x:c r="A57" s="4" t="n">
        <x:v>56</x:v>
      </x:c>
      <x:c r="B57" s="4" t="str">
        <x:v>AFIN-0056</x:v>
      </x:c>
      <x:c r="C57" s="4" t="str">
        <x:v>财务结算</x:v>
      </x:c>
      <x:c r="D57" s="4" t="str">
        <x:v>主播分成记录（平台管理员视角）</x:v>
      </x:c>
      <x:c r="E57" s="4" t="str">
        <x:v>功能需求</x:v>
      </x:c>
      <x:c r="F57" s="4" t="str">
        <x:v>P1</x:v>
      </x:c>
      <x:c r="G57" s="4" t="str">
        <x:v>验证主播分成记录可查看分成总金额</x:v>
      </x:c>
      <x:c r="H57" s="4" t="str">
        <x:v>分成总金额展示</x:v>
      </x:c>
      <x:c r="I57" s="4" t="str">
        <x:v>1. 平台管理员账号已登录且具备当前页面权限</x:v>
      </x:c>
      <x:c r="J57" s="4" t="str">
        <x:v>1. 进入主播分成记录
2. 查看分成总金额</x:v>
      </x:c>
      <x:c r="K57" s="4" t="str">
        <x:v>主播分成记录显示“分成总金额”</x:v>
      </x:c>
      <x:c r="L57" s="4" t="str"/>
      <x:c r="M57" s="4" t="str">
        <x:v>未测</x:v>
      </x:c>
      <x:c r="N57" s="4" t="str"/>
      <x:c r="O57" s="4" t="str">
        <x:v>1. 来源（原型批注）：liveshow-proto/prototype/annotations/admin.js；admin-settlement-record.html
2. 页面：admin-settlement-record.html
3. 规则：BR-154755A174C3B8
4. 场景：SC-96CFA70D2617E7
5. 未动态验证</x:v>
      </x:c>
    </x:row>
    <x:row r="58" ht="54" customHeight="1">
      <x:c r="A58" s="4" t="n">
        <x:v>57</x:v>
      </x:c>
      <x:c r="B58" s="4" t="str">
        <x:v>AFIN-0057</x:v>
      </x:c>
      <x:c r="C58" s="4" t="str">
        <x:v>财务结算</x:v>
      </x:c>
      <x:c r="D58" s="4" t="str">
        <x:v>主播分成记录（平台管理员视角）</x:v>
      </x:c>
      <x:c r="E58" s="4" t="str">
        <x:v>功能需求</x:v>
      </x:c>
      <x:c r="F58" s="4" t="str">
        <x:v>P1</x:v>
      </x:c>
      <x:c r="G58" s="4" t="str">
        <x:v>验证主播分成记录可查看上传人 / 时间</x:v>
      </x:c>
      <x:c r="H58" s="4" t="str">
        <x:v>上传人 / 时间展示</x:v>
      </x:c>
      <x:c r="I58" s="4" t="str">
        <x:v>1. 平台管理员账号已登录且具备当前页面权限</x:v>
      </x:c>
      <x:c r="J58" s="4" t="str">
        <x:v>1. 进入主播分成记录
2. 查看上传人 / 时间</x:v>
      </x:c>
      <x:c r="K58" s="4" t="str">
        <x:v>主播分成记录显示“上传人 / 时间”</x:v>
      </x:c>
      <x:c r="L58" s="4" t="str"/>
      <x:c r="M58" s="4" t="str">
        <x:v>未测</x:v>
      </x:c>
      <x:c r="N58" s="4" t="str"/>
      <x:c r="O58" s="4" t="str">
        <x:v>1. 来源（原型批注）：liveshow-proto/prototype/annotations/admin.js；admin-settlement-record.html
2. 页面：admin-settlement-record.html
3. 规则：BR-6C7B5DABA72D5A
4. 场景：SC-8C8875E5159E53
5. 未动态验证</x:v>
      </x:c>
    </x:row>
    <x:row r="59" ht="54" customHeight="1">
      <x:c r="A59" s="4" t="n">
        <x:v>58</x:v>
      </x:c>
      <x:c r="B59" s="4" t="str">
        <x:v>AFIN-0058</x:v>
      </x:c>
      <x:c r="C59" s="4" t="str">
        <x:v>财务结算</x:v>
      </x:c>
      <x:c r="D59" s="4" t="str">
        <x:v>主播分成记录（平台管理员视角）</x:v>
      </x:c>
      <x:c r="E59" s="4" t="str">
        <x:v>功能需求</x:v>
      </x:c>
      <x:c r="F59" s="4" t="str">
        <x:v>P1</x:v>
      </x:c>
      <x:c r="G59" s="4" t="str">
        <x:v>验证主播分成记录可查看上传文件</x:v>
      </x:c>
      <x:c r="H59" s="4" t="str">
        <x:v>上传文件展示</x:v>
      </x:c>
      <x:c r="I59" s="4" t="str">
        <x:v>1. 平台管理员账号已登录且具备当前页面权限</x:v>
      </x:c>
      <x:c r="J59" s="4" t="str">
        <x:v>1. 进入主播分成记录
2. 查看上传文件</x:v>
      </x:c>
      <x:c r="K59" s="4" t="str">
        <x:v>主播分成记录显示“上传文件”</x:v>
      </x:c>
      <x:c r="L59" s="4" t="str"/>
      <x:c r="M59" s="4" t="str">
        <x:v>未测</x:v>
      </x:c>
      <x:c r="N59" s="4" t="str"/>
      <x:c r="O59" s="4" t="str">
        <x:v>1. 来源（原型批注）：liveshow-proto/prototype/annotations/admin.js；admin-settlement-record.html
2. 页面：admin-settlement-record.html
3. 规则：BR-2C4E8AD8DCA357
4. 场景：SC-7582B7DAD8F871
5. 未动态验证</x:v>
      </x:c>
    </x:row>
    <x:row r="60" ht="54" customHeight="1">
      <x:c r="A60" s="4" t="n">
        <x:v>59</x:v>
      </x:c>
      <x:c r="B60" s="4" t="str">
        <x:v>AFIN-0059</x:v>
      </x:c>
      <x:c r="C60" s="4" t="str">
        <x:v>财务结算</x:v>
      </x:c>
      <x:c r="D60" s="4" t="str">
        <x:v>主播分成记录（平台管理员视角）</x:v>
      </x:c>
      <x:c r="E60" s="4" t="str">
        <x:v>功能需求</x:v>
      </x:c>
      <x:c r="F60" s="4" t="str">
        <x:v>P1</x:v>
      </x:c>
      <x:c r="G60" s="4" t="str">
        <x:v>验证主播分成记录可查看主播人数</x:v>
      </x:c>
      <x:c r="H60" s="4" t="str">
        <x:v>主播人数展示</x:v>
      </x:c>
      <x:c r="I60" s="4" t="str">
        <x:v>1. 平台管理员账号已登录且具备当前页面权限</x:v>
      </x:c>
      <x:c r="J60" s="4" t="str">
        <x:v>1. 进入主播分成记录
2. 查看主播人数</x:v>
      </x:c>
      <x:c r="K60" s="4" t="str">
        <x:v>主播分成记录显示“主播人数”</x:v>
      </x:c>
      <x:c r="L60" s="4" t="str"/>
      <x:c r="M60" s="4" t="str">
        <x:v>未测</x:v>
      </x:c>
      <x:c r="N60" s="4" t="str"/>
      <x:c r="O60" s="4" t="str">
        <x:v>1. 来源（原型批注）：liveshow-proto/prototype/annotations/admin.js；admin-settlement-record.html
2. 页面：admin-settlement-record.html
3. 规则：BR-A0FE1C5550F87A
4. 场景：SC-D9591F42B74FFC
5. 未动态验证</x:v>
      </x:c>
    </x:row>
    <x:row r="61" ht="54" customHeight="1">
      <x:c r="A61" s="4" t="n">
        <x:v>60</x:v>
      </x:c>
      <x:c r="B61" s="4" t="str">
        <x:v>AFIN-0060</x:v>
      </x:c>
      <x:c r="C61" s="4" t="str">
        <x:v>财务结算</x:v>
      </x:c>
      <x:c r="D61" s="4" t="str">
        <x:v>主播分成记录详情（平台管理员视角）</x:v>
      </x:c>
      <x:c r="E61" s="4" t="str">
        <x:v>功能需求</x:v>
      </x:c>
      <x:c r="F61" s="4" t="str">
        <x:v>P1</x:v>
      </x:c>
      <x:c r="G61" s="4" t="str">
        <x:v>验证主播分成记录详情可查看分成总金额</x:v>
      </x:c>
      <x:c r="H61" s="4" t="str">
        <x:v>分成总金额展示</x:v>
      </x:c>
      <x:c r="I61" s="4" t="str">
        <x:v>1. 平台管理员账号已登录且具备当前页面权限</x:v>
      </x:c>
      <x:c r="J61" s="4" t="str">
        <x:v>1. 进入主播分成记录详情
2. 查看分成总金额</x:v>
      </x:c>
      <x:c r="K61" s="4" t="str">
        <x:v>主播分成记录详情显示“分成总金额”</x:v>
      </x:c>
      <x:c r="L61" s="4" t="str"/>
      <x:c r="M61" s="4" t="str">
        <x:v>未测</x:v>
      </x:c>
      <x:c r="N61" s="4" t="str"/>
      <x:c r="O61" s="4" t="str">
        <x:v>1. 来源（原型批注）：liveshow-proto/prototype/annotations/admin.js；admin-settlement-record-detail.html
2. 页面：admin-settlement-record-detail.html
3. 规则：BR-A14F1AF4104715
4. 场景：SC-6921B18102F255
5. 未动态验证</x:v>
      </x:c>
    </x:row>
    <x:row r="62" ht="54" customHeight="1">
      <x:c r="A62" s="4" t="n">
        <x:v>61</x:v>
      </x:c>
      <x:c r="B62" s="4" t="str">
        <x:v>AFIN-0061</x:v>
      </x:c>
      <x:c r="C62" s="4" t="str">
        <x:v>财务结算</x:v>
      </x:c>
      <x:c r="D62" s="4" t="str">
        <x:v>主播分成记录详情（平台管理员视角）</x:v>
      </x:c>
      <x:c r="E62" s="4" t="str">
        <x:v>功能需求</x:v>
      </x:c>
      <x:c r="F62" s="4" t="str">
        <x:v>P1</x:v>
      </x:c>
      <x:c r="G62" s="4" t="str">
        <x:v>验证主播分成记录详情可查看批次信息</x:v>
      </x:c>
      <x:c r="H62" s="4" t="str">
        <x:v>批次信息展示</x:v>
      </x:c>
      <x:c r="I62" s="4" t="str">
        <x:v>1. 平台管理员账号已登录且具备当前页面权限</x:v>
      </x:c>
      <x:c r="J62" s="4" t="str">
        <x:v>1. 进入主播分成记录详情
2. 查看批次信息</x:v>
      </x:c>
      <x:c r="K62" s="4" t="str">
        <x:v>主播分成记录详情显示“批次信息”</x:v>
      </x:c>
      <x:c r="L62" s="4" t="str"/>
      <x:c r="M62" s="4" t="str">
        <x:v>未测</x:v>
      </x:c>
      <x:c r="N62" s="4" t="str"/>
      <x:c r="O62" s="4" t="str">
        <x:v>1. 来源（原型批注）：liveshow-proto/prototype/annotations/admin.js；admin-settlement-record-detail.html
2. 页面：admin-settlement-record-detail.html
3. 规则：BR-08219F9446FC4D
4. 场景：SC-0E6E665C867AC3
5. 未动态验证</x:v>
      </x:c>
    </x:row>
    <x:row r="63" ht="54" customHeight="1">
      <x:c r="A63" s="4" t="n">
        <x:v>62</x:v>
      </x:c>
      <x:c r="B63" s="4" t="str">
        <x:v>AFIN-0062</x:v>
      </x:c>
      <x:c r="C63" s="4" t="str">
        <x:v>财务结算</x:v>
      </x:c>
      <x:c r="D63" s="4" t="str">
        <x:v>主播分成记录详情（平台管理员视角）</x:v>
      </x:c>
      <x:c r="E63" s="4" t="str">
        <x:v>功能需求</x:v>
      </x:c>
      <x:c r="F63" s="4" t="str">
        <x:v>P1</x:v>
      </x:c>
      <x:c r="G63" s="4" t="str">
        <x:v>验证主播分成记录详情可查看主播明细</x:v>
      </x:c>
      <x:c r="H63" s="4" t="str">
        <x:v>主播明细展示</x:v>
      </x:c>
      <x:c r="I63" s="4" t="str">
        <x:v>1. 平台管理员账号已登录且具备当前页面权限</x:v>
      </x:c>
      <x:c r="J63" s="4" t="str">
        <x:v>1. 进入主播分成记录详情
2. 查看主播明细</x:v>
      </x:c>
      <x:c r="K63" s="4" t="str">
        <x:v>主播分成记录详情显示“主播明细”</x:v>
      </x:c>
      <x:c r="L63" s="4" t="str"/>
      <x:c r="M63" s="4" t="str">
        <x:v>未测</x:v>
      </x:c>
      <x:c r="N63" s="4" t="str"/>
      <x:c r="O63" s="4" t="str">
        <x:v>1. 来源（原型批注）：liveshow-proto/prototype/annotations/admin.js；admin-settlement-record-detail.html
2. 页面：admin-settlement-record-detail.html
3. 规则：BR-3D1D77F373A585
4. 场景：SC-78FBBF2BBAEC7E
5. 未动态验证</x:v>
      </x:c>
    </x:row>
    <x:row r="64" ht="54" customHeight="1">
      <x:c r="A64" s="4" t="n">
        <x:v>63</x:v>
      </x:c>
      <x:c r="B64" s="4" t="str">
        <x:v>AFIN-0063</x:v>
      </x:c>
      <x:c r="C64" s="4" t="str">
        <x:v>财务结算</x:v>
      </x:c>
      <x:c r="D64" s="4" t="str">
        <x:v>主播分成记录详情（平台管理员视角）</x:v>
      </x:c>
      <x:c r="E64" s="4" t="str">
        <x:v>功能需求</x:v>
      </x:c>
      <x:c r="F64" s="4" t="str">
        <x:v>P1</x:v>
      </x:c>
      <x:c r="G64" s="4" t="str">
        <x:v>验证主播分成记录详情可查看主播人数</x:v>
      </x:c>
      <x:c r="H64" s="4" t="str">
        <x:v>主播人数展示</x:v>
      </x:c>
      <x:c r="I64" s="4" t="str">
        <x:v>1. 平台管理员账号已登录且具备当前页面权限</x:v>
      </x:c>
      <x:c r="J64" s="4" t="str">
        <x:v>1. 进入主播分成记录详情
2. 查看主播人数</x:v>
      </x:c>
      <x:c r="K64" s="4" t="str">
        <x:v>主播分成记录详情显示“主播人数”</x:v>
      </x:c>
      <x:c r="L64" s="4" t="str"/>
      <x:c r="M64" s="4" t="str">
        <x:v>未测</x:v>
      </x:c>
      <x:c r="N64" s="4" t="str"/>
      <x:c r="O64" s="4" t="str">
        <x:v>1. 来源（原型批注）：liveshow-proto/prototype/annotations/admin.js；admin-settlement-record-detail.html
2. 页面：admin-settlement-record-detail.html
3. 规则：BR-46CE8512E65E67
4. 场景：SC-64E0BB1638F4A8
5. 未动态验证</x:v>
      </x:c>
    </x:row>
    <x:row r="65" ht="54" customHeight="1">
      <x:c r="A65" s="4" t="n">
        <x:v>64</x:v>
      </x:c>
      <x:c r="B65" s="4" t="str">
        <x:v>AFIN-0064</x:v>
      </x:c>
      <x:c r="C65" s="4" t="str">
        <x:v>财务结算</x:v>
      </x:c>
      <x:c r="D65" s="4" t="str">
        <x:v>主播账户余额（平台管理员视角）</x:v>
      </x:c>
      <x:c r="E65" s="4" t="str">
        <x:v>业务流程</x:v>
      </x:c>
      <x:c r="F65" s="4" t="str">
        <x:v>P1</x:v>
      </x:c>
      <x:c r="G65" s="4" t="str">
        <x:v>验证变更记录后的主播账户余额状态</x:v>
      </x:c>
      <x:c r="H65" s="4" t="str">
        <x:v>主播账户余额状态</x:v>
      </x:c>
      <x:c r="I65" s="4" t="str">
        <x:v>1. 平台管理员账号已登录且具备当前页面权限
2. 变更记录</x:v>
      </x:c>
      <x:c r="J65" s="4" t="str">
        <x:v>1. 进入主播账户余额
2. 刷新主播账户余额</x:v>
      </x:c>
      <x:c r="K65" s="4" t="str">
        <x:v>进入该主播流水</x:v>
      </x:c>
      <x:c r="L65" s="4" t="str"/>
      <x:c r="M65" s="4" t="str">
        <x:v>未测</x:v>
      </x:c>
      <x:c r="N65" s="4" t="str"/>
      <x:c r="O65" s="4" t="str">
        <x:v>1. 来源（原型批注）：liveshow-proto/prototype/annotations/admin.js；admin-host-account-balance.html
2. 页面：admin-host-account-balance.html
3. 规则：BR-48177FB6B46089
4. 场景：SC-1C7E65B55C014C
5. 未动态验证</x:v>
      </x:c>
    </x:row>
    <x:row r="66" ht="54" customHeight="1">
      <x:c r="A66" s="4" t="n">
        <x:v>65</x:v>
      </x:c>
      <x:c r="B66" s="4" t="str">
        <x:v>AFIN-0065</x:v>
      </x:c>
      <x:c r="C66" s="4" t="str">
        <x:v>财务结算</x:v>
      </x:c>
      <x:c r="D66" s="4" t="str">
        <x:v>主播账户余额（平台管理员视角）</x:v>
      </x:c>
      <x:c r="E66" s="4" t="str">
        <x:v>业务流程</x:v>
      </x:c>
      <x:c r="F66" s="4" t="str">
        <x:v>P1</x:v>
      </x:c>
      <x:c r="G66" s="4" t="str">
        <x:v>验证点击余额后的主播账户余额状态</x:v>
      </x:c>
      <x:c r="H66" s="4" t="str">
        <x:v>主播账户余额状态</x:v>
      </x:c>
      <x:c r="I66" s="4" t="str">
        <x:v>1. 平台管理员账号已登录且具备当前页面权限</x:v>
      </x:c>
      <x:c r="J66" s="4" t="str">
        <x:v>1. 进入主播账户余额
2. 点击余额</x:v>
      </x:c>
      <x:c r="K66" s="4" t="str">
        <x:v>进入该主播流水</x:v>
      </x:c>
      <x:c r="L66" s="4" t="str"/>
      <x:c r="M66" s="4" t="str">
        <x:v>未测</x:v>
      </x:c>
      <x:c r="N66" s="4" t="str"/>
      <x:c r="O66" s="4" t="str">
        <x:v>1. 来源（原型批注）：liveshow-proto/prototype/annotations/admin.js；admin-host-account-balance.html
2. 页面：admin-host-account-balance.html
3. 规则：BR-48177FB6B46089
4. 场景：SC-E0D834A7BC706B
5. 未动态验证</x:v>
      </x:c>
    </x:row>
    <x:row r="67" ht="54" customHeight="1">
      <x:c r="A67" s="4" t="n">
        <x:v>66</x:v>
      </x:c>
      <x:c r="B67" s="4" t="str">
        <x:v>AFIN-0066</x:v>
      </x:c>
      <x:c r="C67" s="4" t="str">
        <x:v>财务结算</x:v>
      </x:c>
      <x:c r="D67" s="4" t="str">
        <x:v>主播账户余额（平台管理员视角）</x:v>
      </x:c>
      <x:c r="E67" s="4" t="str">
        <x:v>功能需求</x:v>
      </x:c>
      <x:c r="F67" s="4" t="str">
        <x:v>P1</x:v>
      </x:c>
      <x:c r="G67" s="4" t="str">
        <x:v>验证主播账户余额可查看汇总卡</x:v>
      </x:c>
      <x:c r="H67" s="4" t="str">
        <x:v>汇总卡展示</x:v>
      </x:c>
      <x:c r="I67" s="4" t="str">
        <x:v>1. 平台管理员账号已登录且具备当前页面权限</x:v>
      </x:c>
      <x:c r="J67" s="4" t="str">
        <x:v>1. 进入主播账户余额
2. 查看汇总卡</x:v>
      </x:c>
      <x:c r="K67" s="4" t="str">
        <x:v>主播账户余额显示“汇总卡”</x:v>
      </x:c>
      <x:c r="L67" s="4" t="str"/>
      <x:c r="M67" s="4" t="str">
        <x:v>未测</x:v>
      </x:c>
      <x:c r="N67" s="4" t="str"/>
      <x:c r="O67" s="4" t="str">
        <x:v>1. 来源（原型批注）：liveshow-proto/prototype/annotations/admin.js；admin-host-account-balance.html
2. 页面：admin-host-account-balance.html
3. 规则：BR-8BCF8C8F1F780D
4. 场景：SC-92A6EDDE855BEF
5. 未动态验证</x:v>
      </x:c>
    </x:row>
    <x:row r="68" ht="54" customHeight="1">
      <x:c r="A68" s="4" t="n">
        <x:v>67</x:v>
      </x:c>
      <x:c r="B68" s="4" t="str">
        <x:v>AFIN-0067</x:v>
      </x:c>
      <x:c r="C68" s="4" t="str">
        <x:v>财务结算</x:v>
      </x:c>
      <x:c r="D68" s="4" t="str">
        <x:v>主播账户余额（平台管理员视角）</x:v>
      </x:c>
      <x:c r="E68" s="4" t="str">
        <x:v>功能需求</x:v>
      </x:c>
      <x:c r="F68" s="4" t="str">
        <x:v>P1</x:v>
      </x:c>
      <x:c r="G68" s="4" t="str">
        <x:v>验证主播账户余额可查看账户余额</x:v>
      </x:c>
      <x:c r="H68" s="4" t="str">
        <x:v>账户余额展示</x:v>
      </x:c>
      <x:c r="I68" s="4" t="str">
        <x:v>1. 平台管理员账号已登录且具备当前页面权限</x:v>
      </x:c>
      <x:c r="J68" s="4" t="str">
        <x:v>1. 进入主播账户余额
2. 查看账户余额</x:v>
      </x:c>
      <x:c r="K68" s="4" t="str">
        <x:v>主播账户余额显示“账户余额”</x:v>
      </x:c>
      <x:c r="L68" s="4" t="str"/>
      <x:c r="M68" s="4" t="str">
        <x:v>未测</x:v>
      </x:c>
      <x:c r="N68" s="4" t="str"/>
      <x:c r="O68" s="4" t="str">
        <x:v>1. 来源（原型批注）：liveshow-proto/prototype/annotations/admin.js；admin-host-account-balance.html
2. 页面：admin-host-account-balance.html
3. 规则：BR-332E6059CD9F90
4. 场景：SC-8130614A22106D
5. 未动态验证</x:v>
      </x:c>
    </x:row>
    <x:row r="69" ht="54" customHeight="1">
      <x:c r="A69" s="4" t="n">
        <x:v>68</x:v>
      </x:c>
      <x:c r="B69" s="4" t="str">
        <x:v>AGUILD-0001</x:v>
      </x:c>
      <x:c r="C69" s="4" t="str">
        <x:v>公会管理</x:v>
      </x:c>
      <x:c r="D69" s="4" t="str">
        <x:v>公会列表（平台管理员视角）</x:v>
      </x:c>
      <x:c r="E69" s="4" t="str">
        <x:v>功能需求</x:v>
      </x:c>
      <x:c r="F69" s="4" t="str">
        <x:v>P2</x:v>
      </x:c>
      <x:c r="G69" s="4" t="str">
        <x:v>验证公会列表可查看公会信息</x:v>
      </x:c>
      <x:c r="H69" s="4" t="str">
        <x:v>公会信息展示</x:v>
      </x:c>
      <x:c r="I69" s="4" t="str">
        <x:v>1. 平台管理员账号已登录且具备当前页面权限</x:v>
      </x:c>
      <x:c r="J69" s="4" t="str">
        <x:v>1. 进入公会列表
2. 查看公会信息</x:v>
      </x:c>
      <x:c r="K69" s="4" t="str">
        <x:v>公会列表显示“公会信息”</x:v>
      </x:c>
      <x:c r="L69" s="4" t="str"/>
      <x:c r="M69" s="4" t="str">
        <x:v>未测</x:v>
      </x:c>
      <x:c r="N69" s="4" t="str"/>
      <x:c r="O69" s="4" t="str">
        <x:v>1. 来源（原型批注）：liveshow-proto/prototype/annotations/admin.js；admin-guild-list.html
2. 页面：admin-guild-list.html
3. 规则：BR-F47DA633CE6463
4. 场景：SC-853C270C515EB6
5. 未动态验证</x:v>
      </x:c>
    </x:row>
    <x:row r="70" ht="54" customHeight="1">
      <x:c r="A70" s="4" t="n">
        <x:v>69</x:v>
      </x:c>
      <x:c r="B70" s="4" t="str">
        <x:v>AGUILD-0002</x:v>
      </x:c>
      <x:c r="C70" s="4" t="str">
        <x:v>公会管理</x:v>
      </x:c>
      <x:c r="D70" s="4" t="str">
        <x:v>公会列表（平台管理员视角）</x:v>
      </x:c>
      <x:c r="E70" s="4" t="str">
        <x:v>功能需求</x:v>
      </x:c>
      <x:c r="F70" s="4" t="str">
        <x:v>P2</x:v>
      </x:c>
      <x:c r="G70" s="4" t="str">
        <x:v>验证公会列表可查看公会长</x:v>
      </x:c>
      <x:c r="H70" s="4" t="str">
        <x:v>公会长展示</x:v>
      </x:c>
      <x:c r="I70" s="4" t="str">
        <x:v>1. 平台管理员账号已登录且具备当前页面权限</x:v>
      </x:c>
      <x:c r="J70" s="4" t="str">
        <x:v>1. 进入公会列表
2. 查看公会长</x:v>
      </x:c>
      <x:c r="K70" s="4" t="str">
        <x:v>公会列表显示“公会长”</x:v>
      </x:c>
      <x:c r="L70" s="4" t="str"/>
      <x:c r="M70" s="4" t="str">
        <x:v>未测</x:v>
      </x:c>
      <x:c r="N70" s="4" t="str"/>
      <x:c r="O70" s="4" t="str">
        <x:v>1. 来源（原型批注）：liveshow-proto/prototype/annotations/admin.js；admin-guild-list.html
2. 页面：admin-guild-list.html
3. 规则：BR-9C9E160B3C81B2
4. 场景：SC-ED6C9D8F63A70F
5. 未动态验证</x:v>
      </x:c>
    </x:row>
    <x:row r="71" ht="54" customHeight="1">
      <x:c r="A71" s="4" t="n">
        <x:v>70</x:v>
      </x:c>
      <x:c r="B71" s="4" t="str">
        <x:v>AGUILD-0003</x:v>
      </x:c>
      <x:c r="C71" s="4" t="str">
        <x:v>公会管理</x:v>
      </x:c>
      <x:c r="D71" s="4" t="str">
        <x:v>公会列表（平台管理员视角）</x:v>
      </x:c>
      <x:c r="E71" s="4" t="str">
        <x:v>功能需求</x:v>
      </x:c>
      <x:c r="F71" s="4" t="str">
        <x:v>P2</x:v>
      </x:c>
      <x:c r="G71" s="4" t="str">
        <x:v>验证公会列表可查看公会状态</x:v>
      </x:c>
      <x:c r="H71" s="4" t="str">
        <x:v>公会状态展示</x:v>
      </x:c>
      <x:c r="I71" s="4" t="str">
        <x:v>1. 平台管理员账号已登录且具备当前页面权限</x:v>
      </x:c>
      <x:c r="J71" s="4" t="str">
        <x:v>1. 进入公会列表
2. 查看公会状态</x:v>
      </x:c>
      <x:c r="K71" s="4" t="str">
        <x:v>公会列表显示“公会状态”</x:v>
      </x:c>
      <x:c r="L71" s="4" t="str"/>
      <x:c r="M71" s="4" t="str">
        <x:v>未测</x:v>
      </x:c>
      <x:c r="N71" s="4" t="str"/>
      <x:c r="O71" s="4" t="str">
        <x:v>1. 来源（原型批注）：liveshow-proto/prototype/annotations/admin.js；admin-guild-list.html
2. 页面：admin-guild-list.html
3. 规则：BR-0F3203F96CBA13、BR-E544AF0DFF35C7
4. 场景：SC-66E50A17BF9D2E
5. 未动态验证</x:v>
      </x:c>
    </x:row>
    <x:row r="72" ht="54" customHeight="1">
      <x:c r="A72" s="4" t="n">
        <x:v>71</x:v>
      </x:c>
      <x:c r="B72" s="4" t="str">
        <x:v>AGUILD-0004</x:v>
      </x:c>
      <x:c r="C72" s="4" t="str">
        <x:v>公会管理</x:v>
      </x:c>
      <x:c r="D72" s="4" t="str">
        <x:v>公会列表（平台管理员视角）</x:v>
      </x:c>
      <x:c r="E72" s="4" t="str">
        <x:v>功能需求</x:v>
      </x:c>
      <x:c r="F72" s="4" t="str">
        <x:v>P2</x:v>
      </x:c>
      <x:c r="G72" s="4" t="str">
        <x:v>验证公会列表可查看主播人数</x:v>
      </x:c>
      <x:c r="H72" s="4" t="str">
        <x:v>主播人数展示</x:v>
      </x:c>
      <x:c r="I72" s="4" t="str">
        <x:v>1. 平台管理员账号已登录且具备当前页面权限</x:v>
      </x:c>
      <x:c r="J72" s="4" t="str">
        <x:v>1. 进入公会列表
2. 查看主播人数</x:v>
      </x:c>
      <x:c r="K72" s="4" t="str">
        <x:v>公会列表显示“主播人数”</x:v>
      </x:c>
      <x:c r="L72" s="4" t="str"/>
      <x:c r="M72" s="4" t="str">
        <x:v>未测</x:v>
      </x:c>
      <x:c r="N72" s="4" t="str"/>
      <x:c r="O72" s="4" t="str">
        <x:v>1. 来源（原型批注）：liveshow-proto/prototype/annotations/admin.js；admin-guild-list.html
2. 页面：admin-guild-list.html
3. 规则：BR-C7E0681B82486A
4. 场景：SC-F303D24BD7E0C0
5. 未动态验证</x:v>
      </x:c>
    </x:row>
    <x:row r="73" ht="54" customHeight="1">
      <x:c r="A73" s="4" t="n">
        <x:v>72</x:v>
      </x:c>
      <x:c r="B73" s="4" t="str">
        <x:v>AGUILD-0005</x:v>
      </x:c>
      <x:c r="C73" s="4" t="str">
        <x:v>公会管理</x:v>
      </x:c>
      <x:c r="D73" s="4" t="str">
        <x:v>公会列表（平台管理员视角）</x:v>
      </x:c>
      <x:c r="E73" s="4" t="str">
        <x:v>功能需求</x:v>
      </x:c>
      <x:c r="F73" s="4" t="str">
        <x:v>P2</x:v>
      </x:c>
      <x:c r="G73" s="4" t="str">
        <x:v>验证公会停用时的公会列表结果</x:v>
      </x:c>
      <x:c r="H73" s="4" t="str">
        <x:v>公会列表条件结果</x:v>
      </x:c>
      <x:c r="I73" s="4" t="str">
        <x:v>1. 平台管理员账号已登录且具备当前页面权限
2. 公会停用</x:v>
      </x:c>
      <x:c r="J73" s="4" t="str">
        <x:v>1. 进入公会列表
2. 查看公会列表</x:v>
      </x:c>
      <x:c r="K73" s="4" t="str">
        <x:v>该公会所有管理账号均不能登录，但各账号自身状态不变</x:v>
      </x:c>
      <x:c r="L73" s="4" t="str"/>
      <x:c r="M73" s="4" t="str">
        <x:v>未测</x:v>
      </x:c>
      <x:c r="N73" s="4" t="str"/>
      <x:c r="O73" s="4" t="str">
        <x:v>1. 来源（原型批注）：liveshow-proto/prototype/annotations/admin.js；admin-guild-list.html
2. 页面：admin-guild-list.html
3. 规则：BR-43A3DA3C1719E2
4. 场景：SC-779E50C72BFC1F
5. 未动态验证</x:v>
      </x:c>
    </x:row>
    <x:row r="74" ht="54" customHeight="1">
      <x:c r="A74" s="4" t="n">
        <x:v>73</x:v>
      </x:c>
      <x:c r="B74" s="4" t="str">
        <x:v>AGUILD-0006</x:v>
      </x:c>
      <x:c r="C74" s="4" t="str">
        <x:v>公会管理</x:v>
      </x:c>
      <x:c r="D74" s="4" t="str">
        <x:v>公会列表（平台管理员视角）</x:v>
      </x:c>
      <x:c r="E74" s="4" t="str">
        <x:v>业务流程</x:v>
      </x:c>
      <x:c r="F74" s="4" t="str">
        <x:v>P2</x:v>
      </x:c>
      <x:c r="G74" s="4" t="str">
        <x:v>验证解散后的公会列表状态</x:v>
      </x:c>
      <x:c r="H74" s="4" t="str">
        <x:v>公会列表状态</x:v>
      </x:c>
      <x:c r="I74" s="4" t="str">
        <x:v>1. 平台管理员账号已登录且具备当前页面权限
2. 解散</x:v>
      </x:c>
      <x:c r="J74" s="4" t="str">
        <x:v>1. 进入公会列表
2. 刷新公会列表</x:v>
      </x:c>
      <x:c r="K74" s="4" t="str">
        <x:v>账号失效、关系解除、主播失去身份并停止开播</x:v>
      </x:c>
      <x:c r="L74" s="4" t="str"/>
      <x:c r="M74" s="4" t="str">
        <x:v>未测</x:v>
      </x:c>
      <x:c r="N74" s="4" t="str"/>
      <x:c r="O74" s="4" t="str">
        <x:v>1. 来源（原型批注）：liveshow-proto/prototype/annotations/admin.js；admin-guild-list.html
2. 页面：admin-guild-list.html
3. 规则：BR-8A2E503C7FF7B5
4. 场景：SC-27402BAF122AEC
5. 未动态验证</x:v>
      </x:c>
    </x:row>
    <x:row r="75" ht="54" customHeight="1">
      <x:c r="A75" s="4" t="n">
        <x:v>74</x:v>
      </x:c>
      <x:c r="B75" s="4" t="str">
        <x:v>AGUILD-0007</x:v>
      </x:c>
      <x:c r="C75" s="4" t="str">
        <x:v>公会管理</x:v>
      </x:c>
      <x:c r="D75" s="4" t="str">
        <x:v>公会详情（平台管理员视角）</x:v>
      </x:c>
      <x:c r="E75" s="4" t="str">
        <x:v>功能需求</x:v>
      </x:c>
      <x:c r="F75" s="4" t="str">
        <x:v>P2</x:v>
      </x:c>
      <x:c r="G75" s="4" t="str">
        <x:v>验证公会详情可查看初始密码</x:v>
      </x:c>
      <x:c r="H75" s="4" t="str">
        <x:v>初始密码展示</x:v>
      </x:c>
      <x:c r="I75" s="4" t="str">
        <x:v>1. 平台管理员账号已登录且具备当前页面权限</x:v>
      </x:c>
      <x:c r="J75" s="4" t="str">
        <x:v>1. 进入公会详情
2. 查看初始密码</x:v>
      </x:c>
      <x:c r="K75" s="4" t="str">
        <x:v>公会详情显示“初始密码”</x:v>
      </x:c>
      <x:c r="L75" s="4" t="str"/>
      <x:c r="M75" s="4" t="str">
        <x:v>未测</x:v>
      </x:c>
      <x:c r="N75" s="4" t="str"/>
      <x:c r="O75" s="4" t="str">
        <x:v>1. 来源（原型批注）：liveshow-proto/prototype/annotations/admin.js；admin-guild-detail.html
2. 页面：admin-guild-detail.html
3. 规则：BR-7086E0D36B24F4、BR-80A65558D8BA71
4. 场景：SC-5F86C166FD0FAE
5. 未动态验证</x:v>
      </x:c>
    </x:row>
    <x:row r="76" ht="54" customHeight="1">
      <x:c r="A76" s="4" t="n">
        <x:v>75</x:v>
      </x:c>
      <x:c r="B76" s="4" t="str">
        <x:v>AGUILD-0008</x:v>
      </x:c>
      <x:c r="C76" s="4" t="str">
        <x:v>公会管理</x:v>
      </x:c>
      <x:c r="D76" s="4" t="str">
        <x:v>公会详情（平台管理员视角）</x:v>
      </x:c>
      <x:c r="E76" s="4" t="str">
        <x:v>功能需求</x:v>
      </x:c>
      <x:c r="F76" s="4" t="str">
        <x:v>P2</x:v>
      </x:c>
      <x:c r="G76" s="4" t="str">
        <x:v>验证公会详情可查看公会 ID</x:v>
      </x:c>
      <x:c r="H76" s="4" t="str">
        <x:v>公会 ID展示</x:v>
      </x:c>
      <x:c r="I76" s="4" t="str">
        <x:v>1. 平台管理员账号已登录且具备当前页面权限</x:v>
      </x:c>
      <x:c r="J76" s="4" t="str">
        <x:v>1. 进入公会详情
2. 查看公会 ID</x:v>
      </x:c>
      <x:c r="K76" s="4" t="str">
        <x:v>公会详情显示“公会 ID”</x:v>
      </x:c>
      <x:c r="L76" s="4" t="str"/>
      <x:c r="M76" s="4" t="str">
        <x:v>未测</x:v>
      </x:c>
      <x:c r="N76" s="4" t="str"/>
      <x:c r="O76" s="4" t="str">
        <x:v>1. 来源（原型批注）：liveshow-proto/prototype/annotations/admin.js；admin-guild-detail.html
2. 页面：admin-guild-detail.html
3. 规则：BR-3C2B4E30B1F4A8
4. 场景：SC-264CAB5ACD824B
5. 未动态验证</x:v>
      </x:c>
    </x:row>
    <x:row r="77" ht="54" customHeight="1">
      <x:c r="A77" s="4" t="n">
        <x:v>76</x:v>
      </x:c>
      <x:c r="B77" s="4" t="str">
        <x:v>AGUILD-0009</x:v>
      </x:c>
      <x:c r="C77" s="4" t="str">
        <x:v>公会管理</x:v>
      </x:c>
      <x:c r="D77" s="4" t="str">
        <x:v>公会详情（平台管理员视角）</x:v>
      </x:c>
      <x:c r="E77" s="4" t="str">
        <x:v>功能需求</x:v>
      </x:c>
      <x:c r="F77" s="4" t="str">
        <x:v>P2</x:v>
      </x:c>
      <x:c r="G77" s="4" t="str">
        <x:v>验证公会详情可查看公会长 / 管理账号</x:v>
      </x:c>
      <x:c r="H77" s="4" t="str">
        <x:v>公会长 / 管理账号展示</x:v>
      </x:c>
      <x:c r="I77" s="4" t="str">
        <x:v>1. 平台管理员账号已登录且具备当前页面权限</x:v>
      </x:c>
      <x:c r="J77" s="4" t="str">
        <x:v>1. 进入公会详情
2. 查看公会长 / 管理账号</x:v>
      </x:c>
      <x:c r="K77" s="4" t="str">
        <x:v>公会详情显示“公会长 / 管理账号”</x:v>
      </x:c>
      <x:c r="L77" s="4" t="str"/>
      <x:c r="M77" s="4" t="str">
        <x:v>未测</x:v>
      </x:c>
      <x:c r="N77" s="4" t="str"/>
      <x:c r="O77" s="4" t="str">
        <x:v>1. 来源（原型批注）：liveshow-proto/prototype/annotations/admin.js；admin-guild-detail.html
2. 页面：admin-guild-detail.html
3. 规则：BR-66B28F60DCF1A3、BR-E102012CD9AD26
4. 场景：SC-1BA611E3F403C8
5. 未动态验证</x:v>
      </x:c>
    </x:row>
    <x:row r="78" ht="54" customHeight="1">
      <x:c r="A78" s="4" t="n">
        <x:v>77</x:v>
      </x:c>
      <x:c r="B78" s="4" t="str">
        <x:v>AGUILD-0010</x:v>
      </x:c>
      <x:c r="C78" s="4" t="str">
        <x:v>公会管理</x:v>
      </x:c>
      <x:c r="D78" s="4" t="str">
        <x:v>公会详情（平台管理员视角）</x:v>
      </x:c>
      <x:c r="E78" s="4" t="str">
        <x:v>功能需求</x:v>
      </x:c>
      <x:c r="F78" s="4" t="str">
        <x:v>P2</x:v>
      </x:c>
      <x:c r="G78" s="4" t="str">
        <x:v>验证公会详情可查看公会长账号状态</x:v>
      </x:c>
      <x:c r="H78" s="4" t="str">
        <x:v>公会长账号状态展示</x:v>
      </x:c>
      <x:c r="I78" s="4" t="str">
        <x:v>1. 平台管理员账号已登录且具备当前页面权限</x:v>
      </x:c>
      <x:c r="J78" s="4" t="str">
        <x:v>1. 进入公会详情
2. 查看公会长账号状态</x:v>
      </x:c>
      <x:c r="K78" s="4" t="str">
        <x:v>公会详情显示“公会长账号状态”</x:v>
      </x:c>
      <x:c r="L78" s="4" t="str"/>
      <x:c r="M78" s="4" t="str">
        <x:v>未测</x:v>
      </x:c>
      <x:c r="N78" s="4" t="str"/>
      <x:c r="O78" s="4" t="str">
        <x:v>1. 来源（原型批注）：liveshow-proto/prototype/annotations/admin.js；admin-guild-detail.html
2. 页面：admin-guild-detail.html
3. 规则：BR-1BBBDE51A71EA0、BR-654B969591A290
4. 场景：SC-B12051D081D57F
5. 未动态验证</x:v>
      </x:c>
    </x:row>
    <x:row r="79" ht="54" customHeight="1">
      <x:c r="A79" s="4" t="n">
        <x:v>78</x:v>
      </x:c>
      <x:c r="B79" s="4" t="str">
        <x:v>AGUILD-0011</x:v>
      </x:c>
      <x:c r="C79" s="4" t="str">
        <x:v>公会管理</x:v>
      </x:c>
      <x:c r="D79" s="4" t="str">
        <x:v>公会详情（平台管理员视角）</x:v>
      </x:c>
      <x:c r="E79" s="4" t="str">
        <x:v>功能需求</x:v>
      </x:c>
      <x:c r="F79" s="4" t="str">
        <x:v>P2</x:v>
      </x:c>
      <x:c r="G79" s="4" t="str">
        <x:v>验证公会详情可查看累计收益</x:v>
      </x:c>
      <x:c r="H79" s="4" t="str">
        <x:v>累计收益展示</x:v>
      </x:c>
      <x:c r="I79" s="4" t="str">
        <x:v>1. 平台管理员账号已登录且具备当前页面权限</x:v>
      </x:c>
      <x:c r="J79" s="4" t="str">
        <x:v>1. 进入公会详情
2. 查看累计收益</x:v>
      </x:c>
      <x:c r="K79" s="4" t="str">
        <x:v>公会详情显示“累计收益”</x:v>
      </x:c>
      <x:c r="L79" s="4" t="str"/>
      <x:c r="M79" s="4" t="str">
        <x:v>未测</x:v>
      </x:c>
      <x:c r="N79" s="4" t="str"/>
      <x:c r="O79" s="4" t="str">
        <x:v>1. 来源（原型批注）：liveshow-proto/prototype/annotations/admin.js；admin-guild-detail.html
2. 页面：admin-guild-detail.html
3. 规则：BR-FB52D23F1770D3
4. 场景：SC-6EE594EF0773E7
5. 未动态验证</x:v>
      </x:c>
    </x:row>
    <x:row r="80" ht="54" customHeight="1">
      <x:c r="A80" s="4" t="n">
        <x:v>79</x:v>
      </x:c>
      <x:c r="B80" s="4" t="str">
        <x:v>AGUILD-0012</x:v>
      </x:c>
      <x:c r="C80" s="4" t="str">
        <x:v>公会管理</x:v>
      </x:c>
      <x:c r="D80" s="4" t="str">
        <x:v>公会详情（平台管理员视角）</x:v>
      </x:c>
      <x:c r="E80" s="4" t="str">
        <x:v>功能需求</x:v>
      </x:c>
      <x:c r="F80" s="4" t="str">
        <x:v>P2</x:v>
      </x:c>
      <x:c r="G80" s="4" t="str">
        <x:v>验证公会详情可查看名称 / Logo / 简介</x:v>
      </x:c>
      <x:c r="H80" s="4" t="str">
        <x:v>名称 / Logo / 简介展示</x:v>
      </x:c>
      <x:c r="I80" s="4" t="str">
        <x:v>1. 平台管理员账号已登录且具备当前页面权限</x:v>
      </x:c>
      <x:c r="J80" s="4" t="str">
        <x:v>1. 进入公会详情
2. 查看名称 / Logo / 简介</x:v>
      </x:c>
      <x:c r="K80" s="4" t="str">
        <x:v>公会详情显示“名称 / Logo / 简介”</x:v>
      </x:c>
      <x:c r="L80" s="4" t="str"/>
      <x:c r="M80" s="4" t="str">
        <x:v>未测</x:v>
      </x:c>
      <x:c r="N80" s="4" t="str"/>
      <x:c r="O80" s="4" t="str">
        <x:v>1. 来源（原型批注）：liveshow-proto/prototype/annotations/admin.js；admin-guild-detail.html
2. 页面：admin-guild-detail.html
3. 规则：BR-FC791CE60902F3
4. 场景：SC-F19D84B2FD0F5D
5. 未动态验证</x:v>
      </x:c>
    </x:row>
    <x:row r="81" ht="54" customHeight="1">
      <x:c r="A81" s="4" t="n">
        <x:v>80</x:v>
      </x:c>
      <x:c r="B81" s="4" t="str">
        <x:v>AGUILD-0013</x:v>
      </x:c>
      <x:c r="C81" s="4" t="str">
        <x:v>公会管理</x:v>
      </x:c>
      <x:c r="D81" s="4" t="str">
        <x:v>公会详情（平台管理员视角）</x:v>
      </x:c>
      <x:c r="E81" s="4" t="str">
        <x:v>功能需求</x:v>
      </x:c>
      <x:c r="F81" s="4" t="str">
        <x:v>P2</x:v>
      </x:c>
      <x:c r="G81" s="4" t="str">
        <x:v>验证公会详情可查看主播列表</x:v>
      </x:c>
      <x:c r="H81" s="4" t="str">
        <x:v>主播列表展示</x:v>
      </x:c>
      <x:c r="I81" s="4" t="str">
        <x:v>1. 平台管理员账号已登录且具备当前页面权限</x:v>
      </x:c>
      <x:c r="J81" s="4" t="str">
        <x:v>1. 进入公会详情
2. 查看主播列表</x:v>
      </x:c>
      <x:c r="K81" s="4" t="str">
        <x:v>公会详情显示“主播列表”</x:v>
      </x:c>
      <x:c r="L81" s="4" t="str"/>
      <x:c r="M81" s="4" t="str">
        <x:v>未测</x:v>
      </x:c>
      <x:c r="N81" s="4" t="str"/>
      <x:c r="O81" s="4" t="str">
        <x:v>1. 来源（原型批注）：liveshow-proto/prototype/annotations/admin.js；admin-guild-detail.html
2. 页面：admin-guild-detail.html
3. 规则：BR-2AD907722C98C9
4. 场景：SC-7FB07DF9CD20C5
5. 未动态验证</x:v>
      </x:c>
    </x:row>
    <x:row r="82" ht="54" customHeight="1">
      <x:c r="A82" s="4" t="n">
        <x:v>81</x:v>
      </x:c>
      <x:c r="B82" s="4" t="str">
        <x:v>AGUILD-0014</x:v>
      </x:c>
      <x:c r="C82" s="4" t="str">
        <x:v>公会管理</x:v>
      </x:c>
      <x:c r="D82" s="4" t="str">
        <x:v>公会详情（平台管理员视角）</x:v>
      </x:c>
      <x:c r="E82" s="4" t="str">
        <x:v>逻辑校验</x:v>
      </x:c>
      <x:c r="F82" s="4" t="str">
        <x:v>P2</x:v>
      </x:c>
      <x:c r="G82" s="4" t="str">
        <x:v>验证主播列表按指定范围筛选</x:v>
      </x:c>
      <x:c r="H82" s="4" t="str">
        <x:v>主播列表数据范围</x:v>
      </x:c>
      <x:c r="I82" s="4" t="str">
        <x:v>1. 平台管理员账号已登录且具备当前页面权限
2. 存在符合和不符合“当前公会的主播”的记录</x:v>
      </x:c>
      <x:c r="J82" s="4" t="str">
        <x:v>1. 进入公会详情
2. 查看主播列表</x:v>
      </x:c>
      <x:c r="K82" s="4" t="str">
        <x:v>仅展示当前公会的主播</x:v>
      </x:c>
      <x:c r="L82" s="4" t="str"/>
      <x:c r="M82" s="4" t="str">
        <x:v>未测</x:v>
      </x:c>
      <x:c r="N82" s="4" t="str"/>
      <x:c r="O82" s="4" t="str">
        <x:v>1. 来源（原型批注）：liveshow-proto/prototype/annotations/admin.js；admin-guild-detail.html
2. 页面：admin-guild-detail.html
3. 规则：BR-2AD907722C98C9
4. 场景：SC-1457D34994D698
5. 未动态验证</x:v>
      </x:c>
    </x:row>
    <x:row r="83" ht="54" customHeight="1">
      <x:c r="A83" s="4" t="n">
        <x:v>82</x:v>
      </x:c>
      <x:c r="B83" s="4" t="str">
        <x:v>AGIFT-0001</x:v>
      </x:c>
      <x:c r="C83" s="4" t="str">
        <x:v>礼物与道具</x:v>
      </x:c>
      <x:c r="D83" s="4" t="str">
        <x:v>道具配置（平台管理员视角）</x:v>
      </x:c>
      <x:c r="E83" s="4" t="str">
        <x:v>功能需求</x:v>
      </x:c>
      <x:c r="F83" s="4" t="str">
        <x:v>P2</x:v>
      </x:c>
      <x:c r="G83" s="4" t="str">
        <x:v>验证到期自动停止时的道具配置结果</x:v>
      </x:c>
      <x:c r="H83" s="4" t="str">
        <x:v>道具配置条件结果</x:v>
      </x:c>
      <x:c r="I83" s="4" t="str">
        <x:v>1. 平台管理员账号已登录且具备当前页面权限
2. 到期自动停止</x:v>
      </x:c>
      <x:c r="J83" s="4" t="str">
        <x:v>1. 进入道具配置
2. 查看道具配置</x:v>
      </x:c>
      <x:c r="K83" s="4" t="str">
        <x:v>到期自动停止展示</x:v>
      </x:c>
      <x:c r="L83" s="4" t="str"/>
      <x:c r="M83" s="4" t="str">
        <x:v>未测</x:v>
      </x:c>
      <x:c r="N83" s="4" t="str"/>
      <x:c r="O83" s="4" t="str">
        <x:v>1. 来源（原型批注）：liveshow-proto/prototype/annotations/admin.js；admin-prop-list.html
2. 页面：admin-prop-list.html
3. 规则：BR-173506BD7E4D37
4. 场景：SC-ADAA0DC3A366A8
5. 未动态验证</x:v>
      </x:c>
    </x:row>
    <x:row r="84" ht="54" customHeight="1">
      <x:c r="A84" s="4" t="n">
        <x:v>83</x:v>
      </x:c>
      <x:c r="B84" s="4" t="str">
        <x:v>AGIFT-0002</x:v>
      </x:c>
      <x:c r="C84" s="4" t="str">
        <x:v>礼物与道具</x:v>
      </x:c>
      <x:c r="D84" s="4" t="str">
        <x:v>道具配置（平台管理员视角）</x:v>
      </x:c>
      <x:c r="E84" s="4" t="str">
        <x:v>功能需求</x:v>
      </x:c>
      <x:c r="F84" s="4" t="str">
        <x:v>P2</x:v>
      </x:c>
      <x:c r="G84" s="4" t="str">
        <x:v>验证道具配置可查看道具 ID</x:v>
      </x:c>
      <x:c r="H84" s="4" t="str">
        <x:v>道具 ID展示</x:v>
      </x:c>
      <x:c r="I84" s="4" t="str">
        <x:v>1. 平台管理员账号已登录且具备当前页面权限</x:v>
      </x:c>
      <x:c r="J84" s="4" t="str">
        <x:v>1. 进入道具配置
2. 查看道具 ID</x:v>
      </x:c>
      <x:c r="K84" s="4" t="str">
        <x:v>道具配置显示“道具 ID”</x:v>
      </x:c>
      <x:c r="L84" s="4" t="str"/>
      <x:c r="M84" s="4" t="str">
        <x:v>未测</x:v>
      </x:c>
      <x:c r="N84" s="4" t="str"/>
      <x:c r="O84" s="4" t="str">
        <x:v>1. 来源（原型批注）：liveshow-proto/prototype/annotations/admin.js；admin-prop-list.html
2. 页面：admin-prop-list.html
3. 规则：BR-799D9636E5397E
4. 场景：SC-586651D0B9E3F3
5. 未动态验证</x:v>
      </x:c>
    </x:row>
    <x:row r="85" ht="54" customHeight="1">
      <x:c r="A85" s="4" t="n">
        <x:v>84</x:v>
      </x:c>
      <x:c r="B85" s="4" t="str">
        <x:v>AGIFT-0003</x:v>
      </x:c>
      <x:c r="C85" s="4" t="str">
        <x:v>礼物与道具</x:v>
      </x:c>
      <x:c r="D85" s="4" t="str">
        <x:v>道具配置（平台管理员视角）</x:v>
      </x:c>
      <x:c r="E85" s="4" t="str">
        <x:v>功能需求</x:v>
      </x:c>
      <x:c r="F85" s="4" t="str">
        <x:v>P2</x:v>
      </x:c>
      <x:c r="G85" s="4" t="str">
        <x:v>验证道具配置可查看道具类型</x:v>
      </x:c>
      <x:c r="H85" s="4" t="str">
        <x:v>道具类型展示</x:v>
      </x:c>
      <x:c r="I85" s="4" t="str">
        <x:v>1. 平台管理员账号已登录且具备当前页面权限</x:v>
      </x:c>
      <x:c r="J85" s="4" t="str">
        <x:v>1. 进入道具配置
2. 查看道具类型</x:v>
      </x:c>
      <x:c r="K85" s="4" t="str">
        <x:v>道具配置显示“道具类型”</x:v>
      </x:c>
      <x:c r="L85" s="4" t="str"/>
      <x:c r="M85" s="4" t="str">
        <x:v>未测</x:v>
      </x:c>
      <x:c r="N85" s="4" t="str"/>
      <x:c r="O85" s="4" t="str">
        <x:v>1. 来源（原型批注）：liveshow-proto/prototype/annotations/admin.js；admin-prop-list.html
2. 页面：admin-prop-list.html
3. 规则：BR-556BCE43AAECF0、BR-78EA20C258AD01
4. 场景：SC-89EDF9CC22E76B
5. 未动态验证</x:v>
      </x:c>
    </x:row>
    <x:row r="86" ht="54" customHeight="1">
      <x:c r="A86" s="4" t="n">
        <x:v>85</x:v>
      </x:c>
      <x:c r="B86" s="4" t="str">
        <x:v>AGIFT-0004</x:v>
      </x:c>
      <x:c r="C86" s="4" t="str">
        <x:v>礼物与道具</x:v>
      </x:c>
      <x:c r="D86" s="4" t="str">
        <x:v>道具配置（平台管理员视角）</x:v>
      </x:c>
      <x:c r="E86" s="4" t="str">
        <x:v>功能需求</x:v>
      </x:c>
      <x:c r="F86" s="4" t="str">
        <x:v>P2</x:v>
      </x:c>
      <x:c r="G86" s="4" t="str">
        <x:v>验证道具配置可查看道具名称</x:v>
      </x:c>
      <x:c r="H86" s="4" t="str">
        <x:v>道具名称展示</x:v>
      </x:c>
      <x:c r="I86" s="4" t="str">
        <x:v>1. 平台管理员账号已登录且具备当前页面权限</x:v>
      </x:c>
      <x:c r="J86" s="4" t="str">
        <x:v>1. 进入道具配置
2. 查看道具名称</x:v>
      </x:c>
      <x:c r="K86" s="4" t="str">
        <x:v>道具配置显示“道具名称”</x:v>
      </x:c>
      <x:c r="L86" s="4" t="str"/>
      <x:c r="M86" s="4" t="str">
        <x:v>未测</x:v>
      </x:c>
      <x:c r="N86" s="4" t="str"/>
      <x:c r="O86" s="4" t="str">
        <x:v>1. 来源（原型批注）：liveshow-proto/prototype/annotations/admin.js；admin-prop-list.html
2. 页面：admin-prop-list.html
3. 规则：BR-F883D75FCF15E0
4. 场景：SC-01B015EABDD736
5. 未动态验证</x:v>
      </x:c>
    </x:row>
    <x:row r="87" ht="54" customHeight="1">
      <x:c r="A87" s="4" t="n">
        <x:v>86</x:v>
      </x:c>
      <x:c r="B87" s="4" t="str">
        <x:v>AGIFT-0005</x:v>
      </x:c>
      <x:c r="C87" s="4" t="str">
        <x:v>礼物与道具</x:v>
      </x:c>
      <x:c r="D87" s="4" t="str">
        <x:v>道具配置（平台管理员视角）</x:v>
      </x:c>
      <x:c r="E87" s="4" t="str">
        <x:v>功能需求</x:v>
      </x:c>
      <x:c r="F87" s="4" t="str">
        <x:v>P2</x:v>
      </x:c>
      <x:c r="G87" s="4" t="str">
        <x:v>验证道具配置可查看图标 / 排序</x:v>
      </x:c>
      <x:c r="H87" s="4" t="str">
        <x:v>图标 / 排序展示</x:v>
      </x:c>
      <x:c r="I87" s="4" t="str">
        <x:v>1. 平台管理员账号已登录且具备当前页面权限</x:v>
      </x:c>
      <x:c r="J87" s="4" t="str">
        <x:v>1. 进入道具配置
2. 查看图标 / 排序</x:v>
      </x:c>
      <x:c r="K87" s="4" t="str">
        <x:v>道具配置显示“图标 / 排序”</x:v>
      </x:c>
      <x:c r="L87" s="4" t="str"/>
      <x:c r="M87" s="4" t="str">
        <x:v>未测</x:v>
      </x:c>
      <x:c r="N87" s="4" t="str"/>
      <x:c r="O87" s="4" t="str">
        <x:v>1. 来源（原型批注）：liveshow-proto/prototype/annotations/admin.js；admin-prop-list.html
2. 页面：admin-prop-list.html
3. 规则：BR-E240E9C8667196、BR-4541B749BFBFC2
4. 场景：SC-8513A9069060C3
5. 未动态验证</x:v>
      </x:c>
    </x:row>
    <x:row r="88" ht="54" customHeight="1">
      <x:c r="A88" s="4" t="n">
        <x:v>87</x:v>
      </x:c>
      <x:c r="B88" s="4" t="str">
        <x:v>AGIFT-0006</x:v>
      </x:c>
      <x:c r="C88" s="4" t="str">
        <x:v>礼物与道具</x:v>
      </x:c>
      <x:c r="D88" s="4" t="str">
        <x:v>道具配置（平台管理员视角）</x:v>
      </x:c>
      <x:c r="E88" s="4" t="str">
        <x:v>功能需求</x:v>
      </x:c>
      <x:c r="F88" s="4" t="str">
        <x:v>P2</x:v>
      </x:c>
      <x:c r="G88" s="4" t="str">
        <x:v>验证道具配置可查看状态</x:v>
      </x:c>
      <x:c r="H88" s="4" t="str">
        <x:v>状态展示</x:v>
      </x:c>
      <x:c r="I88" s="4" t="str">
        <x:v>1. 平台管理员账号已登录且具备当前页面权限</x:v>
      </x:c>
      <x:c r="J88" s="4" t="str">
        <x:v>1. 进入道具配置
2. 查看状态</x:v>
      </x:c>
      <x:c r="K88" s="4" t="str">
        <x:v>道具配置显示“状态”</x:v>
      </x:c>
      <x:c r="L88" s="4" t="str"/>
      <x:c r="M88" s="4" t="str">
        <x:v>未测</x:v>
      </x:c>
      <x:c r="N88" s="4" t="str"/>
      <x:c r="O88" s="4" t="str">
        <x:v>1. 来源（原型批注）：liveshow-proto/prototype/annotations/admin.js；admin-prop-list.html
2. 页面：admin-prop-list.html
3. 规则：BR-95AA69E789FD0C
4. 场景：SC-3CB89B3159A97C
5. 未动态验证</x:v>
      </x:c>
    </x:row>
    <x:row r="89" ht="54" customHeight="1">
      <x:c r="A89" s="4" t="n">
        <x:v>88</x:v>
      </x:c>
      <x:c r="B89" s="4" t="str">
        <x:v>AGIFT-0007</x:v>
      </x:c>
      <x:c r="C89" s="4" t="str">
        <x:v>礼物与道具</x:v>
      </x:c>
      <x:c r="D89" s="4" t="str">
        <x:v>道具配置（平台管理员视角）</x:v>
      </x:c>
      <x:c r="E89" s="4" t="str">
        <x:v>业务流程</x:v>
      </x:c>
      <x:c r="F89" s="4" t="str">
        <x:v>P2</x:v>
      </x:c>
      <x:c r="G89" s="4" t="str">
        <x:v>验证类型 Tab后的道具配置状态</x:v>
      </x:c>
      <x:c r="H89" s="4" t="str">
        <x:v>道具配置状态</x:v>
      </x:c>
      <x:c r="I89" s="4" t="str">
        <x:v>1. 平台管理员账号已登录且具备当前页面权限
2. 类型 Tab</x:v>
      </x:c>
      <x:c r="J89" s="4" t="str">
        <x:v>1. 进入道具配置
2. 刷新道具配置</x:v>
      </x:c>
      <x:c r="K89" s="4" t="str">
        <x:v>切换列表</x:v>
      </x:c>
      <x:c r="L89" s="4" t="str"/>
      <x:c r="M89" s="4" t="str">
        <x:v>未测</x:v>
      </x:c>
      <x:c r="N89" s="4" t="str"/>
      <x:c r="O89" s="4" t="str">
        <x:v>1. 来源（原型批注）：liveshow-proto/prototype/annotations/admin.js；admin-prop-list.html
2. 页面：admin-prop-list.html
3. 规则：BR-DDF4A3CB32C67E
4. 场景：SC-50A98F374A4356
5. 未动态验证</x:v>
      </x:c>
    </x:row>
    <x:row r="90" ht="54" customHeight="1">
      <x:c r="A90" s="4" t="n">
        <x:v>89</x:v>
      </x:c>
      <x:c r="B90" s="4" t="str">
        <x:v>AGIFT-0008</x:v>
      </x:c>
      <x:c r="C90" s="4" t="str">
        <x:v>礼物与道具</x:v>
      </x:c>
      <x:c r="D90" s="4" t="str">
        <x:v>道具配置（平台管理员视角）</x:v>
      </x:c>
      <x:c r="E90" s="4" t="str">
        <x:v>功能需求</x:v>
      </x:c>
      <x:c r="F90" s="4" t="str">
        <x:v>P2</x:v>
      </x:c>
      <x:c r="G90" s="4" t="str">
        <x:v>验证四语配置，按客户端语言时的道具配置结果</x:v>
      </x:c>
      <x:c r="H90" s="4" t="str">
        <x:v>道具配置条件结果</x:v>
      </x:c>
      <x:c r="I90" s="4" t="str">
        <x:v>1. 平台管理员账号已登录且具备当前页面权限
2. 四语配置，按客户端语言</x:v>
      </x:c>
      <x:c r="J90" s="4" t="str">
        <x:v>1. 进入道具配置
2. 查看道具配置</x:v>
      </x:c>
      <x:c r="K90" s="4" t="str">
        <x:v>四语配置，按客户端语言展示</x:v>
      </x:c>
      <x:c r="L90" s="4" t="str"/>
      <x:c r="M90" s="4" t="str">
        <x:v>未测</x:v>
      </x:c>
      <x:c r="N90" s="4" t="str"/>
      <x:c r="O90" s="4" t="str">
        <x:v>1. 来源（原型批注）：liveshow-proto/prototype/annotations/admin.js；admin-prop-list.html
2. 页面：admin-prop-list.html
3. 规则：BR-F883D75FCF15E0
4. 场景：SC-3A3E74B054F679
5. 未动态验证</x:v>
      </x:c>
    </x:row>
    <x:row r="91" ht="54" customHeight="1">
      <x:c r="A91" s="4" t="n">
        <x:v>90</x:v>
      </x:c>
      <x:c r="B91" s="4" t="str">
        <x:v>AGIFT-0009</x:v>
      </x:c>
      <x:c r="C91" s="4" t="str">
        <x:v>礼物与道具</x:v>
      </x:c>
      <x:c r="D91" s="4" t="str">
        <x:v>道具详情（平台管理员视角）</x:v>
      </x:c>
      <x:c r="E91" s="4" t="str">
        <x:v>功能需求</x:v>
      </x:c>
      <x:c r="F91" s="4" t="str">
        <x:v>P2</x:v>
      </x:c>
      <x:c r="G91" s="4" t="str">
        <x:v>验证道具详情可查看操作记录</x:v>
      </x:c>
      <x:c r="H91" s="4" t="str">
        <x:v>操作记录展示</x:v>
      </x:c>
      <x:c r="I91" s="4" t="str">
        <x:v>1. 平台管理员账号已登录且具备当前页面权限</x:v>
      </x:c>
      <x:c r="J91" s="4" t="str">
        <x:v>1. 进入道具详情
2. 查看操作记录</x:v>
      </x:c>
      <x:c r="K91" s="4" t="str">
        <x:v>道具详情显示“操作记录”</x:v>
      </x:c>
      <x:c r="L91" s="4" t="str"/>
      <x:c r="M91" s="4" t="str">
        <x:v>未测</x:v>
      </x:c>
      <x:c r="N91" s="4" t="str"/>
      <x:c r="O91" s="4" t="str">
        <x:v>1. 来源（原型批注）：liveshow-proto/prototype/annotations/admin.js；admin-prop-detail.html
2. 页面：admin-prop-detail.html
3. 规则：BR-40927EC8DDECAE
4. 场景：SC-D8661B84D54696
5. 未动态验证</x:v>
      </x:c>
    </x:row>
    <x:row r="92" ht="54" customHeight="1">
      <x:c r="A92" s="4" t="n">
        <x:v>91</x:v>
      </x:c>
      <x:c r="B92" s="4" t="str">
        <x:v>AGIFT-0010</x:v>
      </x:c>
      <x:c r="C92" s="4" t="str">
        <x:v>礼物与道具</x:v>
      </x:c>
      <x:c r="D92" s="4" t="str">
        <x:v>道具详情（平台管理员视角）</x:v>
      </x:c>
      <x:c r="E92" s="4" t="str">
        <x:v>功能需求</x:v>
      </x:c>
      <x:c r="F92" s="4" t="str">
        <x:v>P2</x:v>
      </x:c>
      <x:c r="G92" s="4" t="str">
        <x:v>验证道具详情可查看道具 ID</x:v>
      </x:c>
      <x:c r="H92" s="4" t="str">
        <x:v>道具 ID展示</x:v>
      </x:c>
      <x:c r="I92" s="4" t="str">
        <x:v>1. 平台管理员账号已登录且具备当前页面权限</x:v>
      </x:c>
      <x:c r="J92" s="4" t="str">
        <x:v>1. 进入道具详情
2. 查看道具 ID</x:v>
      </x:c>
      <x:c r="K92" s="4" t="str">
        <x:v>道具详情显示“道具 ID”</x:v>
      </x:c>
      <x:c r="L92" s="4" t="str"/>
      <x:c r="M92" s="4" t="str">
        <x:v>未测</x:v>
      </x:c>
      <x:c r="N92" s="4" t="str"/>
      <x:c r="O92" s="4" t="str">
        <x:v>1. 来源（原型批注）：liveshow-proto/prototype/annotations/admin.js；admin-prop-detail.html
2. 页面：admin-prop-detail.html
3. 规则：BR-0533270F306F53
4. 场景：SC-AC6AB098D4E7FF
5. 未动态验证</x:v>
      </x:c>
    </x:row>
    <x:row r="93" ht="54" customHeight="1">
      <x:c r="A93" s="4" t="n">
        <x:v>92</x:v>
      </x:c>
      <x:c r="B93" s="4" t="str">
        <x:v>AGIFT-0011</x:v>
      </x:c>
      <x:c r="C93" s="4" t="str">
        <x:v>礼物与道具</x:v>
      </x:c>
      <x:c r="D93" s="4" t="str">
        <x:v>道具详情（平台管理员视角）</x:v>
      </x:c>
      <x:c r="E93" s="4" t="str">
        <x:v>功能需求</x:v>
      </x:c>
      <x:c r="F93" s="4" t="str">
        <x:v>P2</x:v>
      </x:c>
      <x:c r="G93" s="4" t="str">
        <x:v>验证道具详情可查看道具类型</x:v>
      </x:c>
      <x:c r="H93" s="4" t="str">
        <x:v>道具类型展示</x:v>
      </x:c>
      <x:c r="I93" s="4" t="str">
        <x:v>1. 平台管理员账号已登录且具备当前页面权限</x:v>
      </x:c>
      <x:c r="J93" s="4" t="str">
        <x:v>1. 进入道具详情
2. 查看道具类型</x:v>
      </x:c>
      <x:c r="K93" s="4" t="str">
        <x:v>道具详情显示“道具类型”</x:v>
      </x:c>
      <x:c r="L93" s="4" t="str"/>
      <x:c r="M93" s="4" t="str">
        <x:v>未测</x:v>
      </x:c>
      <x:c r="N93" s="4" t="str"/>
      <x:c r="O93" s="4" t="str">
        <x:v>1. 来源（原型批注）：liveshow-proto/prototype/annotations/admin.js；admin-prop-detail.html
2. 页面：admin-prop-detail.html
3. 规则：BR-74CECB89021CB9
4. 场景：SC-2A3E71A04E3E92
5. 未动态验证</x:v>
      </x:c>
    </x:row>
    <x:row r="94" ht="54" customHeight="1">
      <x:c r="A94" s="4" t="n">
        <x:v>93</x:v>
      </x:c>
      <x:c r="B94" s="4" t="str">
        <x:v>AGIFT-0012</x:v>
      </x:c>
      <x:c r="C94" s="4" t="str">
        <x:v>礼物与道具</x:v>
      </x:c>
      <x:c r="D94" s="4" t="str">
        <x:v>道具详情（平台管理员视角）</x:v>
      </x:c>
      <x:c r="E94" s="4" t="str">
        <x:v>功能需求</x:v>
      </x:c>
      <x:c r="F94" s="4" t="str">
        <x:v>P2</x:v>
      </x:c>
      <x:c r="G94" s="4" t="str">
        <x:v>验证道具详情可查看排序权重</x:v>
      </x:c>
      <x:c r="H94" s="4" t="str">
        <x:v>排序权重展示</x:v>
      </x:c>
      <x:c r="I94" s="4" t="str">
        <x:v>1. 平台管理员账号已登录且具备当前页面权限</x:v>
      </x:c>
      <x:c r="J94" s="4" t="str">
        <x:v>1. 进入道具详情
2. 查看排序权重</x:v>
      </x:c>
      <x:c r="K94" s="4" t="str">
        <x:v>道具详情显示“排序权重”</x:v>
      </x:c>
      <x:c r="L94" s="4" t="str"/>
      <x:c r="M94" s="4" t="str">
        <x:v>未测</x:v>
      </x:c>
      <x:c r="N94" s="4" t="str"/>
      <x:c r="O94" s="4" t="str">
        <x:v>1. 来源（原型批注）：liveshow-proto/prototype/annotations/admin.js；admin-prop-detail.html
2. 页面：admin-prop-detail.html
3. 规则：BR-B5725A6550C3A5
4. 场景：SC-D2368DF81A74D2
5. 未动态验证</x:v>
      </x:c>
    </x:row>
    <x:row r="95" ht="54" customHeight="1">
      <x:c r="A95" s="4" t="n">
        <x:v>94</x:v>
      </x:c>
      <x:c r="B95" s="4" t="str">
        <x:v>AGIFT-0013</x:v>
      </x:c>
      <x:c r="C95" s="4" t="str">
        <x:v>礼物与道具</x:v>
      </x:c>
      <x:c r="D95" s="4" t="str">
        <x:v>道具详情（平台管理员视角）</x:v>
      </x:c>
      <x:c r="E95" s="4" t="str">
        <x:v>功能需求</x:v>
      </x:c>
      <x:c r="F95" s="4" t="str">
        <x:v>P2</x:v>
      </x:c>
      <x:c r="G95" s="4" t="str">
        <x:v>验证道具详情可查看四语名称</x:v>
      </x:c>
      <x:c r="H95" s="4" t="str">
        <x:v>四语名称展示</x:v>
      </x:c>
      <x:c r="I95" s="4" t="str">
        <x:v>1. 平台管理员账号已登录且具备当前页面权限</x:v>
      </x:c>
      <x:c r="J95" s="4" t="str">
        <x:v>1. 进入道具详情
2. 查看四语名称</x:v>
      </x:c>
      <x:c r="K95" s="4" t="str">
        <x:v>道具详情显示“四语名称”</x:v>
      </x:c>
      <x:c r="L95" s="4" t="str"/>
      <x:c r="M95" s="4" t="str">
        <x:v>未测</x:v>
      </x:c>
      <x:c r="N95" s="4" t="str"/>
      <x:c r="O95" s="4" t="str">
        <x:v>1. 来源（原型批注）：liveshow-proto/prototype/annotations/admin.js；admin-prop-detail.html
2. 页面：admin-prop-detail.html
3. 规则：BR-0871733FE2298A
4. 场景：SC-BA5E4158ED8AAE
5. 未动态验证</x:v>
      </x:c>
    </x:row>
    <x:row r="96" ht="54" customHeight="1">
      <x:c r="A96" s="4" t="n">
        <x:v>95</x:v>
      </x:c>
      <x:c r="B96" s="4" t="str">
        <x:v>AGIFT-0014</x:v>
      </x:c>
      <x:c r="C96" s="4" t="str">
        <x:v>礼物与道具</x:v>
      </x:c>
      <x:c r="D96" s="4" t="str">
        <x:v>道具详情（平台管理员视角）</x:v>
      </x:c>
      <x:c r="E96" s="4" t="str">
        <x:v>功能需求</x:v>
      </x:c>
      <x:c r="F96" s="4" t="str">
        <x:v>P2</x:v>
      </x:c>
      <x:c r="G96" s="4" t="str">
        <x:v>验证道具详情可查看图标 / 素材</x:v>
      </x:c>
      <x:c r="H96" s="4" t="str">
        <x:v>图标 / 素材展示</x:v>
      </x:c>
      <x:c r="I96" s="4" t="str">
        <x:v>1. 平台管理员账号已登录且具备当前页面权限</x:v>
      </x:c>
      <x:c r="J96" s="4" t="str">
        <x:v>1. 进入道具详情
2. 查看图标 / 素材</x:v>
      </x:c>
      <x:c r="K96" s="4" t="str">
        <x:v>道具详情显示“图标 / 素材”</x:v>
      </x:c>
      <x:c r="L96" s="4" t="str"/>
      <x:c r="M96" s="4" t="str">
        <x:v>未测</x:v>
      </x:c>
      <x:c r="N96" s="4" t="str"/>
      <x:c r="O96" s="4" t="str">
        <x:v>1. 来源（原型批注）：liveshow-proto/prototype/annotations/admin.js；admin-prop-detail.html
2. 页面：admin-prop-detail.html
3. 规则：BR-0E7BAD62AA0CDC
4. 场景：SC-BF1B2673EAA909
5. 未动态验证</x:v>
      </x:c>
    </x:row>
    <x:row r="97" ht="54" customHeight="1">
      <x:c r="A97" s="4" t="n">
        <x:v>96</x:v>
      </x:c>
      <x:c r="B97" s="4" t="str">
        <x:v>AGIFT-0015</x:v>
      </x:c>
      <x:c r="C97" s="4" t="str">
        <x:v>礼物与道具</x:v>
      </x:c>
      <x:c r="D97" s="4" t="str">
        <x:v>道具详情（平台管理员视角）</x:v>
      </x:c>
      <x:c r="E97" s="4" t="str">
        <x:v>功能需求</x:v>
      </x:c>
      <x:c r="F97" s="4" t="str">
        <x:v>P2</x:v>
      </x:c>
      <x:c r="G97" s="4" t="str">
        <x:v>验证道具详情可查看状态</x:v>
      </x:c>
      <x:c r="H97" s="4" t="str">
        <x:v>状态展示</x:v>
      </x:c>
      <x:c r="I97" s="4" t="str">
        <x:v>1. 平台管理员账号已登录且具备当前页面权限</x:v>
      </x:c>
      <x:c r="J97" s="4" t="str">
        <x:v>1. 进入道具详情
2. 查看状态</x:v>
      </x:c>
      <x:c r="K97" s="4" t="str">
        <x:v>道具详情显示“状态”</x:v>
      </x:c>
      <x:c r="L97" s="4" t="str"/>
      <x:c r="M97" s="4" t="str">
        <x:v>未测</x:v>
      </x:c>
      <x:c r="N97" s="4" t="str"/>
      <x:c r="O97" s="4" t="str">
        <x:v>1. 来源（原型批注）：liveshow-proto/prototype/annotations/admin.js；admin-prop-detail.html
2. 页面：admin-prop-detail.html
3. 规则：BR-3333643387D836、BR-FB429A15B6C7A1
4. 场景：SC-BD120784D0744B
5. 未动态验证</x:v>
      </x:c>
    </x:row>
    <x:row r="98" ht="54" customHeight="1">
      <x:c r="A98" s="4" t="n">
        <x:v>97</x:v>
      </x:c>
      <x:c r="B98" s="4" t="str">
        <x:v>AGIFT-0016</x:v>
      </x:c>
      <x:c r="C98" s="4" t="str">
        <x:v>礼物与道具</x:v>
      </x:c>
      <x:c r="D98" s="4" t="str">
        <x:v>定制礼物（平台管理员视角）</x:v>
      </x:c>
      <x:c r="E98" s="4" t="str">
        <x:v>功能需求</x:v>
      </x:c>
      <x:c r="F98" s="4" t="str">
        <x:v>P2</x:v>
      </x:c>
      <x:c r="G98" s="4" t="str">
        <x:v>验证定制礼物可查看名称 / 单价 / 资源 / 排序</x:v>
      </x:c>
      <x:c r="H98" s="4" t="str">
        <x:v>名称 / 单价 / 资源 / 排序展示</x:v>
      </x:c>
      <x:c r="I98" s="4" t="str">
        <x:v>1. 平台管理员账号已登录且具备当前页面权限</x:v>
      </x:c>
      <x:c r="J98" s="4" t="str">
        <x:v>1. 进入定制礼物
2. 查看名称 / 单价 / 资源 / 排序</x:v>
      </x:c>
      <x:c r="K98" s="4" t="str">
        <x:v>定制礼物显示“名称 / 单价 / 资源 / 排序”</x:v>
      </x:c>
      <x:c r="L98" s="4" t="str"/>
      <x:c r="M98" s="4" t="str">
        <x:v>未测</x:v>
      </x:c>
      <x:c r="N98" s="4" t="str"/>
      <x:c r="O98" s="4" t="str">
        <x:v>1. 来源（原型批注）：liveshow-proto/prototype/annotations/admin.js；admin-custom-gift.html
2. 页面：admin-custom-gift.html
3. 规则：BR-D24C25B55FF22F
4. 场景：SC-53B066E557517C
5. 未动态验证</x:v>
      </x:c>
    </x:row>
    <x:row r="99" ht="54" customHeight="1">
      <x:c r="A99" s="4" t="n">
        <x:v>98</x:v>
      </x:c>
      <x:c r="B99" s="4" t="str">
        <x:v>AGIFT-0017</x:v>
      </x:c>
      <x:c r="C99" s="4" t="str">
        <x:v>礼物与道具</x:v>
      </x:c>
      <x:c r="D99" s="4" t="str">
        <x:v>定制礼物（平台管理员视角）</x:v>
      </x:c>
      <x:c r="E99" s="4" t="str">
        <x:v>功能需求</x:v>
      </x:c>
      <x:c r="F99" s="4" t="str">
        <x:v>P2</x:v>
      </x:c>
      <x:c r="G99" s="4" t="str">
        <x:v>验证定制礼物可查看上下架状态</x:v>
      </x:c>
      <x:c r="H99" s="4" t="str">
        <x:v>上下架状态展示</x:v>
      </x:c>
      <x:c r="I99" s="4" t="str">
        <x:v>1. 平台管理员账号已登录且具备当前页面权限</x:v>
      </x:c>
      <x:c r="J99" s="4" t="str">
        <x:v>1. 进入定制礼物
2. 查看上下架状态</x:v>
      </x:c>
      <x:c r="K99" s="4" t="str">
        <x:v>定制礼物显示“上下架状态”</x:v>
      </x:c>
      <x:c r="L99" s="4" t="str"/>
      <x:c r="M99" s="4" t="str">
        <x:v>未测</x:v>
      </x:c>
      <x:c r="N99" s="4" t="str"/>
      <x:c r="O99" s="4" t="str">
        <x:v>1. 来源（原型批注）：liveshow-proto/prototype/annotations/admin.js；admin-custom-gift.html
2. 页面：admin-custom-gift.html
3. 规则：BR-98EF03E96D4BE4、BR-2CD3B4B2820C08
4. 场景：SC-9D848F5EB1441C
5. 未动态验证</x:v>
      </x:c>
    </x:row>
    <x:row r="100" ht="54" customHeight="1">
      <x:c r="A100" s="4" t="n">
        <x:v>99</x:v>
      </x:c>
      <x:c r="B100" s="4" t="str">
        <x:v>AGIFT-0018</x:v>
      </x:c>
      <x:c r="C100" s="4" t="str">
        <x:v>礼物与道具</x:v>
      </x:c>
      <x:c r="D100" s="4" t="str">
        <x:v>定制礼物（平台管理员视角）</x:v>
      </x:c>
      <x:c r="E100" s="4" t="str">
        <x:v>功能需求</x:v>
      </x:c>
      <x:c r="F100" s="4" t="str">
        <x:v>P2</x:v>
      </x:c>
      <x:c r="G100" s="4" t="str">
        <x:v>验证定制礼物可查看生效 / 失效时间</x:v>
      </x:c>
      <x:c r="H100" s="4" t="str">
        <x:v>生效 / 失效时间展示</x:v>
      </x:c>
      <x:c r="I100" s="4" t="str">
        <x:v>1. 平台管理员账号已登录且具备当前页面权限</x:v>
      </x:c>
      <x:c r="J100" s="4" t="str">
        <x:v>1. 进入定制礼物
2. 查看生效 / 失效时间</x:v>
      </x:c>
      <x:c r="K100" s="4" t="str">
        <x:v>定制礼物显示“生效 / 失效时间”</x:v>
      </x:c>
      <x:c r="L100" s="4" t="str"/>
      <x:c r="M100" s="4" t="str">
        <x:v>未测</x:v>
      </x:c>
      <x:c r="N100" s="4" t="str"/>
      <x:c r="O100" s="4" t="str">
        <x:v>1. 来源（原型批注）：liveshow-proto/prototype/annotations/admin.js；admin-custom-gift.html
2. 页面：admin-custom-gift.html
3. 规则：BR-B86CAEFD5A6714、BR-D47AED946D5768
4. 场景：SC-837C6594E40FC9
5. 未动态验证</x:v>
      </x:c>
    </x:row>
    <x:row r="101" ht="54" customHeight="1">
      <x:c r="A101" s="4" t="n">
        <x:v>100</x:v>
      </x:c>
      <x:c r="B101" s="4" t="str">
        <x:v>AGIFT-0019</x:v>
      </x:c>
      <x:c r="C101" s="4" t="str">
        <x:v>礼物与道具</x:v>
      </x:c>
      <x:c r="D101" s="4" t="str">
        <x:v>购买份数配置（平台管理员视角）</x:v>
      </x:c>
      <x:c r="E101" s="4" t="str">
        <x:v>业务流程</x:v>
      </x:c>
      <x:c r="F101" s="4" t="str">
        <x:v>P2</x:v>
      </x:c>
      <x:c r="G101" s="4" t="str">
        <x:v>验证编辑后的购买份数配置状态</x:v>
      </x:c>
      <x:c r="H101" s="4" t="str">
        <x:v>购买份数配置状态</x:v>
      </x:c>
      <x:c r="I101" s="4" t="str">
        <x:v>1. 平台管理员账号已登录且具备当前页面权限
2. 编辑</x:v>
      </x:c>
      <x:c r="J101" s="4" t="str">
        <x:v>1. 进入购买份数配置
2. 刷新购买份数配置</x:v>
      </x:c>
      <x:c r="K101" s="4" t="str">
        <x:v>进入详情</x:v>
      </x:c>
      <x:c r="L101" s="4" t="str"/>
      <x:c r="M101" s="4" t="str">
        <x:v>未测</x:v>
      </x:c>
      <x:c r="N101" s="4" t="str"/>
      <x:c r="O101" s="4" t="str">
        <x:v>1. 来源（原型批注）：liveshow-proto/prototype/annotations/admin.js；admin-gift-send-count-rules.html
2. 页面：admin-gift-send-count-rules.html
3. 规则：BR-F1CB203601C563
4. 场景：SC-330CFBDCF3FD30
5. 未动态验证</x:v>
      </x:c>
    </x:row>
    <x:row r="102" ht="54" customHeight="1">
      <x:c r="A102" s="4" t="n">
        <x:v>101</x:v>
      </x:c>
      <x:c r="B102" s="4" t="str">
        <x:v>AGIFT-0020</x:v>
      </x:c>
      <x:c r="C102" s="4" t="str">
        <x:v>礼物与道具</x:v>
      </x:c>
      <x:c r="D102" s="4" t="str">
        <x:v>购买份数配置（平台管理员视角）</x:v>
      </x:c>
      <x:c r="E102" s="4" t="str">
        <x:v>功能需求</x:v>
      </x:c>
      <x:c r="F102" s="4" t="str">
        <x:v>P2</x:v>
      </x:c>
      <x:c r="G102" s="4" t="str">
        <x:v>验证购买份数配置可查看规则 ID</x:v>
      </x:c>
      <x:c r="H102" s="4" t="str">
        <x:v>规则 ID展示</x:v>
      </x:c>
      <x:c r="I102" s="4" t="str">
        <x:v>1. 平台管理员账号已登录且具备当前页面权限</x:v>
      </x:c>
      <x:c r="J102" s="4" t="str">
        <x:v>1. 进入购买份数配置
2. 查看规则 ID</x:v>
      </x:c>
      <x:c r="K102" s="4" t="str">
        <x:v>购买份数配置显示“规则 ID”</x:v>
      </x:c>
      <x:c r="L102" s="4" t="str"/>
      <x:c r="M102" s="4" t="str">
        <x:v>未测</x:v>
      </x:c>
      <x:c r="N102" s="4" t="str"/>
      <x:c r="O102" s="4" t="str">
        <x:v>1. 来源（原型批注）：liveshow-proto/prototype/annotations/admin.js；admin-gift-send-count-rules.html
2. 页面：admin-gift-send-count-rules.html
3. 规则：BR-D230B6E80BC952
4. 场景：SC-0C0EEA80E0288A
5. 未动态验证</x:v>
      </x:c>
    </x:row>
    <x:row r="103" ht="54" customHeight="1">
      <x:c r="A103" s="4" t="n">
        <x:v>102</x:v>
      </x:c>
      <x:c r="B103" s="4" t="str">
        <x:v>AGIFT-0021</x:v>
      </x:c>
      <x:c r="C103" s="4" t="str">
        <x:v>礼物与道具</x:v>
      </x:c>
      <x:c r="D103" s="4" t="str">
        <x:v>购买份数配置（平台管理员视角）</x:v>
      </x:c>
      <x:c r="E103" s="4" t="str">
        <x:v>功能需求</x:v>
      </x:c>
      <x:c r="F103" s="4" t="str">
        <x:v>P2</x:v>
      </x:c>
      <x:c r="G103" s="4" t="str">
        <x:v>验证购买份数配置可查看默认数量</x:v>
      </x:c>
      <x:c r="H103" s="4" t="str">
        <x:v>默认数量展示</x:v>
      </x:c>
      <x:c r="I103" s="4" t="str">
        <x:v>1. 平台管理员账号已登录且具备当前页面权限</x:v>
      </x:c>
      <x:c r="J103" s="4" t="str">
        <x:v>1. 进入购买份数配置
2. 查看默认数量</x:v>
      </x:c>
      <x:c r="K103" s="4" t="str">
        <x:v>购买份数配置显示“默认数量”</x:v>
      </x:c>
      <x:c r="L103" s="4" t="str"/>
      <x:c r="M103" s="4" t="str">
        <x:v>未测</x:v>
      </x:c>
      <x:c r="N103" s="4" t="str"/>
      <x:c r="O103" s="4" t="str">
        <x:v>1. 来源（原型批注）：liveshow-proto/prototype/annotations/admin.js；admin-gift-send-count-rules.html
2. 页面：admin-gift-send-count-rules.html
3. 规则：BR-064159933CD733
4. 场景：SC-033041C123783F
5. 未动态验证</x:v>
      </x:c>
    </x:row>
    <x:row r="104" ht="54" customHeight="1">
      <x:c r="A104" s="4" t="n">
        <x:v>103</x:v>
      </x:c>
      <x:c r="B104" s="4" t="str">
        <x:v>AGIFT-0022</x:v>
      </x:c>
      <x:c r="C104" s="4" t="str">
        <x:v>礼物与道具</x:v>
      </x:c>
      <x:c r="D104" s="4" t="str">
        <x:v>购买份数配置（平台管理员视角）</x:v>
      </x:c>
      <x:c r="E104" s="4" t="str">
        <x:v>功能需求</x:v>
      </x:c>
      <x:c r="F104" s="4" t="str">
        <x:v>P2</x:v>
      </x:c>
      <x:c r="G104" s="4" t="str">
        <x:v>验证购买份数配置可查看适用礼物</x:v>
      </x:c>
      <x:c r="H104" s="4" t="str">
        <x:v>适用礼物展示</x:v>
      </x:c>
      <x:c r="I104" s="4" t="str">
        <x:v>1. 平台管理员账号已登录且具备当前页面权限</x:v>
      </x:c>
      <x:c r="J104" s="4" t="str">
        <x:v>1. 进入购买份数配置
2. 查看适用礼物</x:v>
      </x:c>
      <x:c r="K104" s="4" t="str">
        <x:v>购买份数配置显示“适用礼物”</x:v>
      </x:c>
      <x:c r="L104" s="4" t="str"/>
      <x:c r="M104" s="4" t="str">
        <x:v>未测</x:v>
      </x:c>
      <x:c r="N104" s="4" t="str"/>
      <x:c r="O104" s="4" t="str">
        <x:v>1. 来源（原型批注）：liveshow-proto/prototype/annotations/admin.js；admin-gift-send-count-rules.html
2. 页面：admin-gift-send-count-rules.html
3. 规则：BR-4035F77A663893
4. 场景：SC-2B88FB6CEB5B37
5. 未动态验证</x:v>
      </x:c>
    </x:row>
    <x:row r="105" ht="54" customHeight="1">
      <x:c r="A105" s="4" t="n">
        <x:v>104</x:v>
      </x:c>
      <x:c r="B105" s="4" t="str">
        <x:v>AGIFT-0023</x:v>
      </x:c>
      <x:c r="C105" s="4" t="str">
        <x:v>礼物与道具</x:v>
      </x:c>
      <x:c r="D105" s="4" t="str">
        <x:v>购买份数配置（平台管理员视角）</x:v>
      </x:c>
      <x:c r="E105" s="4" t="str">
        <x:v>功能需求</x:v>
      </x:c>
      <x:c r="F105" s="4" t="str">
        <x:v>P2</x:v>
      </x:c>
      <x:c r="G105" s="4" t="str">
        <x:v>验证购买份数配置可查看赠送数量</x:v>
      </x:c>
      <x:c r="H105" s="4" t="str">
        <x:v>赠送数量展示</x:v>
      </x:c>
      <x:c r="I105" s="4" t="str">
        <x:v>1. 平台管理员账号已登录且具备当前页面权限</x:v>
      </x:c>
      <x:c r="J105" s="4" t="str">
        <x:v>1. 进入购买份数配置
2. 查看赠送数量</x:v>
      </x:c>
      <x:c r="K105" s="4" t="str">
        <x:v>购买份数配置显示“赠送数量”</x:v>
      </x:c>
      <x:c r="L105" s="4" t="str"/>
      <x:c r="M105" s="4" t="str">
        <x:v>未测</x:v>
      </x:c>
      <x:c r="N105" s="4" t="str"/>
      <x:c r="O105" s="4" t="str">
        <x:v>1. 来源（原型批注）：liveshow-proto/prototype/annotations/admin.js；admin-gift-send-count-rules.html
2. 页面：admin-gift-send-count-rules.html
3. 规则：BR-073CCF7E77CCE3
4. 场景：SC-EA7CCFBDEEEAFC
5. 未动态验证</x:v>
      </x:c>
    </x:row>
    <x:row r="106" ht="54" customHeight="1">
      <x:c r="A106" s="4" t="n">
        <x:v>105</x:v>
      </x:c>
      <x:c r="B106" s="4" t="str">
        <x:v>AGIFT-0024</x:v>
      </x:c>
      <x:c r="C106" s="4" t="str">
        <x:v>礼物与道具</x:v>
      </x:c>
      <x:c r="D106" s="4" t="str">
        <x:v>购买份数配置（平台管理员视角）</x:v>
      </x:c>
      <x:c r="E106" s="4" t="str">
        <x:v>功能需求</x:v>
      </x:c>
      <x:c r="F106" s="4" t="str">
        <x:v>P2</x:v>
      </x:c>
      <x:c r="G106" s="4" t="str">
        <x:v>验证购买份数配置可查看状态</x:v>
      </x:c>
      <x:c r="H106" s="4" t="str">
        <x:v>状态展示</x:v>
      </x:c>
      <x:c r="I106" s="4" t="str">
        <x:v>1. 平台管理员账号已登录且具备当前页面权限</x:v>
      </x:c>
      <x:c r="J106" s="4" t="str">
        <x:v>1. 进入购买份数配置
2. 查看状态</x:v>
      </x:c>
      <x:c r="K106" s="4" t="str">
        <x:v>购买份数配置显示“状态”</x:v>
      </x:c>
      <x:c r="L106" s="4" t="str"/>
      <x:c r="M106" s="4" t="str">
        <x:v>未测</x:v>
      </x:c>
      <x:c r="N106" s="4" t="str"/>
      <x:c r="O106" s="4" t="str">
        <x:v>1. 来源（原型批注）：liveshow-proto/prototype/annotations/admin.js；admin-gift-send-count-rules.html
2. 页面：admin-gift-send-count-rules.html
3. 规则：BR-8AC5F69AA87B8B
4. 场景：SC-256803FC5FF41F
5. 未动态验证</x:v>
      </x:c>
    </x:row>
    <x:row r="107" ht="54" customHeight="1">
      <x:c r="A107" s="4" t="n">
        <x:v>106</x:v>
      </x:c>
      <x:c r="B107" s="4" t="str">
        <x:v>AGIFT-0025</x:v>
      </x:c>
      <x:c r="C107" s="4" t="str">
        <x:v>礼物与道具</x:v>
      </x:c>
      <x:c r="D107" s="4" t="str">
        <x:v>购买份数配置（平台管理员视角）</x:v>
      </x:c>
      <x:c r="E107" s="4" t="str">
        <x:v>功能需求</x:v>
      </x:c>
      <x:c r="F107" s="4" t="str">
        <x:v>P2</x:v>
      </x:c>
      <x:c r="G107" s="4" t="str">
        <x:v>验证一条规则包含多个互不重复的正整数，按配置顺序时的购买份数配置结果</x:v>
      </x:c>
      <x:c r="H107" s="4" t="str">
        <x:v>购买份数配置条件结果</x:v>
      </x:c>
      <x:c r="I107" s="4" t="str">
        <x:v>1. 平台管理员账号已登录且具备当前页面权限
2. 一条规则包含多个互不重复的正整数，按配置顺序</x:v>
      </x:c>
      <x:c r="J107" s="4" t="str">
        <x:v>1. 进入购买份数配置
2. 查看购买份数配置</x:v>
      </x:c>
      <x:c r="K107" s="4" t="str">
        <x:v>一条规则包含多个互不重复的正整数，按配置顺序展示</x:v>
      </x:c>
      <x:c r="L107" s="4" t="str"/>
      <x:c r="M107" s="4" t="str">
        <x:v>未测</x:v>
      </x:c>
      <x:c r="N107" s="4" t="str"/>
      <x:c r="O107" s="4" t="str">
        <x:v>1. 来源（原型批注）：liveshow-proto/prototype/annotations/admin.js；admin-gift-send-count-rules.html
2. 页面：admin-gift-send-count-rules.html
3. 规则：BR-073CCF7E77CCE3
4. 场景：SC-F210784E8FFD6C
5. 未动态验证</x:v>
      </x:c>
    </x:row>
    <x:row r="108" ht="54" customHeight="1">
      <x:c r="A108" s="4" t="n">
        <x:v>107</x:v>
      </x:c>
      <x:c r="B108" s="4" t="str">
        <x:v>AGIFT-0026</x:v>
      </x:c>
      <x:c r="C108" s="4" t="str">
        <x:v>礼物与道具</x:v>
      </x:c>
      <x:c r="D108" s="4" t="str">
        <x:v>购买份数配置详情（平台管理员视角）</x:v>
      </x:c>
      <x:c r="E108" s="4" t="str">
        <x:v>功能需求</x:v>
      </x:c>
      <x:c r="F108" s="4" t="str">
        <x:v>P2</x:v>
      </x:c>
      <x:c r="G108" s="4" t="str">
        <x:v>验证购买份数配置详情可查看默认数量</x:v>
      </x:c>
      <x:c r="H108" s="4" t="str">
        <x:v>默认数量展示</x:v>
      </x:c>
      <x:c r="I108" s="4" t="str">
        <x:v>1. 平台管理员账号已登录且具备当前页面权限</x:v>
      </x:c>
      <x:c r="J108" s="4" t="str">
        <x:v>1. 进入购买份数配置详情
2. 查看默认数量</x:v>
      </x:c>
      <x:c r="K108" s="4" t="str">
        <x:v>购买份数配置详情显示“默认数量”</x:v>
      </x:c>
      <x:c r="L108" s="4" t="str"/>
      <x:c r="M108" s="4" t="str">
        <x:v>未测</x:v>
      </x:c>
      <x:c r="N108" s="4" t="str"/>
      <x:c r="O108" s="4" t="str">
        <x:v>1. 来源（原型批注）：liveshow-proto/prototype/annotations/admin.js；admin-gift-send-count-rule-detail.html
2. 页面：admin-gift-send-count-rule-detail.html
3. 规则：BR-6C4C9A1AAD49F0
4. 场景：SC-A6F260549E9B56
5. 未动态验证</x:v>
      </x:c>
    </x:row>
    <x:row r="109" ht="54" customHeight="1">
      <x:c r="A109" s="4" t="n">
        <x:v>108</x:v>
      </x:c>
      <x:c r="B109" s="4" t="str">
        <x:v>AGIFT-0027</x:v>
      </x:c>
      <x:c r="C109" s="4" t="str">
        <x:v>礼物与道具</x:v>
      </x:c>
      <x:c r="D109" s="4" t="str">
        <x:v>购买份数配置详情（平台管理员视角）</x:v>
      </x:c>
      <x:c r="E109" s="4" t="str">
        <x:v>功能需求</x:v>
      </x:c>
      <x:c r="F109" s="4" t="str">
        <x:v>P2</x:v>
      </x:c>
      <x:c r="G109" s="4" t="str">
        <x:v>验证购买份数配置详情可查看适用礼物</x:v>
      </x:c>
      <x:c r="H109" s="4" t="str">
        <x:v>适用礼物展示</x:v>
      </x:c>
      <x:c r="I109" s="4" t="str">
        <x:v>1. 平台管理员账号已登录且具备当前页面权限</x:v>
      </x:c>
      <x:c r="J109" s="4" t="str">
        <x:v>1. 进入购买份数配置详情
2. 查看适用礼物</x:v>
      </x:c>
      <x:c r="K109" s="4" t="str">
        <x:v>购买份数配置详情显示“适用礼物”</x:v>
      </x:c>
      <x:c r="L109" s="4" t="str"/>
      <x:c r="M109" s="4" t="str">
        <x:v>未测</x:v>
      </x:c>
      <x:c r="N109" s="4" t="str"/>
      <x:c r="O109" s="4" t="str">
        <x:v>1. 来源（原型批注）：liveshow-proto/prototype/annotations/admin.js；admin-gift-send-count-rule-detail.html
2. 页面：admin-gift-send-count-rule-detail.html
3. 规则：BR-2F94E0EE797FDD、BR-162651C87EC39B、BR-3B956D20553F90
4. 场景：SC-ACA4ED2F54E081
5. 未动态验证</x:v>
      </x:c>
    </x:row>
    <x:row r="110" ht="54" customHeight="1">
      <x:c r="A110" s="4" t="n">
        <x:v>109</x:v>
      </x:c>
      <x:c r="B110" s="4" t="str">
        <x:v>AGIFT-0028</x:v>
      </x:c>
      <x:c r="C110" s="4" t="str">
        <x:v>礼物与道具</x:v>
      </x:c>
      <x:c r="D110" s="4" t="str">
        <x:v>购买份数配置详情（平台管理员视角）</x:v>
      </x:c>
      <x:c r="E110" s="4" t="str">
        <x:v>功能需求</x:v>
      </x:c>
      <x:c r="F110" s="4" t="str">
        <x:v>P2</x:v>
      </x:c>
      <x:c r="G110" s="4" t="str">
        <x:v>验证购买份数配置详情可查看赠送数量</x:v>
      </x:c>
      <x:c r="H110" s="4" t="str">
        <x:v>赠送数量展示</x:v>
      </x:c>
      <x:c r="I110" s="4" t="str">
        <x:v>1. 平台管理员账号已登录且具备当前页面权限</x:v>
      </x:c>
      <x:c r="J110" s="4" t="str">
        <x:v>1. 进入购买份数配置详情
2. 查看赠送数量</x:v>
      </x:c>
      <x:c r="K110" s="4" t="str">
        <x:v>购买份数配置详情显示“赠送数量”</x:v>
      </x:c>
      <x:c r="L110" s="4" t="str"/>
      <x:c r="M110" s="4" t="str">
        <x:v>未测</x:v>
      </x:c>
      <x:c r="N110" s="4" t="str"/>
      <x:c r="O110" s="4" t="str">
        <x:v>1. 来源（原型批注）：liveshow-proto/prototype/annotations/admin.js；admin-gift-send-count-rule-detail.html
2. 页面：admin-gift-send-count-rule-detail.html
3. 规则：BR-804790D4DAF3E8
4. 场景：SC-AFBFAA85F8B3FE
5. 未动态验证</x:v>
      </x:c>
    </x:row>
    <x:row r="111" ht="54" customHeight="1">
      <x:c r="A111" s="4" t="n">
        <x:v>110</x:v>
      </x:c>
      <x:c r="B111" s="4" t="str">
        <x:v>AGIFT-0029</x:v>
      </x:c>
      <x:c r="C111" s="4" t="str">
        <x:v>礼物与道具</x:v>
      </x:c>
      <x:c r="D111" s="4" t="str">
        <x:v>购买份数配置详情（平台管理员视角）</x:v>
      </x:c>
      <x:c r="E111" s="4" t="str">
        <x:v>功能需求</x:v>
      </x:c>
      <x:c r="F111" s="4" t="str">
        <x:v>P2</x:v>
      </x:c>
      <x:c r="G111" s="4" t="str">
        <x:v>验证购买份数配置详情可查看状态</x:v>
      </x:c>
      <x:c r="H111" s="4" t="str">
        <x:v>状态展示</x:v>
      </x:c>
      <x:c r="I111" s="4" t="str">
        <x:v>1. 平台管理员账号已登录且具备当前页面权限</x:v>
      </x:c>
      <x:c r="J111" s="4" t="str">
        <x:v>1. 进入购买份数配置详情
2. 查看状态</x:v>
      </x:c>
      <x:c r="K111" s="4" t="str">
        <x:v>购买份数配置详情显示“状态”</x:v>
      </x:c>
      <x:c r="L111" s="4" t="str"/>
      <x:c r="M111" s="4" t="str">
        <x:v>未测</x:v>
      </x:c>
      <x:c r="N111" s="4" t="str"/>
      <x:c r="O111" s="4" t="str">
        <x:v>1. 来源（原型批注）：liveshow-proto/prototype/annotations/admin.js；admin-gift-send-count-rule-detail.html
2. 页面：admin-gift-send-count-rule-detail.html
3. 规则：BR-2DAA3F5F155EC6
4. 场景：SC-A6A93C609F5DD3
5. 未动态验证</x:v>
      </x:c>
    </x:row>
    <x:row r="112" ht="54" customHeight="1">
      <x:c r="A112" s="4" t="n">
        <x:v>111</x:v>
      </x:c>
      <x:c r="B112" s="4" t="str">
        <x:v>AGIFT-0030</x:v>
      </x:c>
      <x:c r="C112" s="4" t="str">
        <x:v>礼物与道具</x:v>
      </x:c>
      <x:c r="D112" s="4" t="str">
        <x:v>购买份数配置详情（平台管理员视角）</x:v>
      </x:c>
      <x:c r="E112" s="4" t="str">
        <x:v>业务流程</x:v>
      </x:c>
      <x:c r="F112" s="4" t="str">
        <x:v>P2</x:v>
      </x:c>
      <x:c r="G112" s="4" t="str">
        <x:v>验证删除后的购买份数配置详情状态</x:v>
      </x:c>
      <x:c r="H112" s="4" t="str">
        <x:v>购买份数配置详情状态</x:v>
      </x:c>
      <x:c r="I112" s="4" t="str">
        <x:v>1. 平台管理员账号已登录且具备当前页面权限</x:v>
      </x:c>
      <x:c r="J112" s="4" t="str">
        <x:v>1. 进入购买份数配置详情
2. 删除</x:v>
      </x:c>
      <x:c r="K112" s="4" t="str">
        <x:v>实时更新默认数量选项</x:v>
      </x:c>
      <x:c r="L112" s="4" t="str"/>
      <x:c r="M112" s="4" t="str">
        <x:v>未测</x:v>
      </x:c>
      <x:c r="N112" s="4" t="str"/>
      <x:c r="O112" s="4" t="str">
        <x:v>1. 来源（原型批注）：liveshow-proto/prototype/annotations/admin.js；admin-gift-send-count-rule-detail.html
2. 页面：admin-gift-send-count-rule-detail.html
3. 规则：BR-3C8CACF86D51B8
4. 场景：SC-AADE02D2B2D9E0
5. 未动态验证</x:v>
      </x:c>
    </x:row>
    <x:row r="113" ht="54" customHeight="1">
      <x:c r="A113" s="4" t="n">
        <x:v>112</x:v>
      </x:c>
      <x:c r="B113" s="4" t="str">
        <x:v>AGIFT-0031</x:v>
      </x:c>
      <x:c r="C113" s="4" t="str">
        <x:v>礼物与道具</x:v>
      </x:c>
      <x:c r="D113" s="4" t="str">
        <x:v>购买份数配置详情（平台管理员视角）</x:v>
      </x:c>
      <x:c r="E113" s="4" t="str">
        <x:v>业务流程</x:v>
      </x:c>
      <x:c r="F113" s="4" t="str">
        <x:v>P2</x:v>
      </x:c>
      <x:c r="G113" s="4" t="str">
        <x:v>验证删除拖动数量后的购买份数配置详情状态</x:v>
      </x:c>
      <x:c r="H113" s="4" t="str">
        <x:v>购买份数配置详情状态</x:v>
      </x:c>
      <x:c r="I113" s="4" t="str">
        <x:v>1. 平台管理员账号已登录且具备当前页面权限</x:v>
      </x:c>
      <x:c r="J113" s="4" t="str">
        <x:v>1. 进入购买份数配置详情
2. 删除拖动数量</x:v>
      </x:c>
      <x:c r="K113" s="4" t="str">
        <x:v>实时更新默认数量选项</x:v>
      </x:c>
      <x:c r="L113" s="4" t="str"/>
      <x:c r="M113" s="4" t="str">
        <x:v>未测</x:v>
      </x:c>
      <x:c r="N113" s="4" t="str"/>
      <x:c r="O113" s="4" t="str">
        <x:v>1. 来源（原型批注）：liveshow-proto/prototype/annotations/admin.js；admin-gift-send-count-rule-detail.html
2. 页面：admin-gift-send-count-rule-detail.html
3. 规则：BR-3C8CACF86D51B8
4. 场景：SC-989EFCCA3DEB1D
5. 未动态验证</x:v>
      </x:c>
    </x:row>
    <x:row r="114" ht="54" customHeight="1">
      <x:c r="A114" s="4" t="n">
        <x:v>113</x:v>
      </x:c>
      <x:c r="B114" s="4" t="str">
        <x:v>AGIFT-0032</x:v>
      </x:c>
      <x:c r="C114" s="4" t="str">
        <x:v>礼物与道具</x:v>
      </x:c>
      <x:c r="D114" s="4" t="str">
        <x:v>购买份数配置详情（平台管理员视角）</x:v>
      </x:c>
      <x:c r="E114" s="4" t="str">
        <x:v>业务流程</x:v>
      </x:c>
      <x:c r="F114" s="4" t="str">
        <x:v>P2</x:v>
      </x:c>
      <x:c r="G114" s="4" t="str">
        <x:v>验证添加后的购买份数配置详情状态</x:v>
      </x:c>
      <x:c r="H114" s="4" t="str">
        <x:v>购买份数配置详情状态</x:v>
      </x:c>
      <x:c r="I114" s="4" t="str">
        <x:v>1. 平台管理员账号已登录且具备当前页面权限
2. 添加</x:v>
      </x:c>
      <x:c r="J114" s="4" t="str">
        <x:v>1. 进入购买份数配置详情
2. 刷新购买份数配置详情</x:v>
      </x:c>
      <x:c r="K114" s="4" t="str">
        <x:v>实时更新默认数量选项</x:v>
      </x:c>
      <x:c r="L114" s="4" t="str"/>
      <x:c r="M114" s="4" t="str">
        <x:v>未测</x:v>
      </x:c>
      <x:c r="N114" s="4" t="str"/>
      <x:c r="O114" s="4" t="str">
        <x:v>1. 来源（原型批注）：liveshow-proto/prototype/annotations/admin.js；admin-gift-send-count-rule-detail.html
2. 页面：admin-gift-send-count-rule-detail.html
3. 规则：BR-3C8CACF86D51B8
4. 场景：SC-65C495FD86A305
5. 未动态验证</x:v>
      </x:c>
    </x:row>
    <x:row r="115" ht="54" customHeight="1">
      <x:c r="A115" s="4" t="n">
        <x:v>114</x:v>
      </x:c>
      <x:c r="B115" s="4" t="str">
        <x:v>AGIFT-0033</x:v>
      </x:c>
      <x:c r="C115" s="4" t="str">
        <x:v>礼物与道具</x:v>
      </x:c>
      <x:c r="D115" s="4" t="str">
        <x:v>礼物详情（平台管理员视角）</x:v>
      </x:c>
      <x:c r="E115" s="4" t="str">
        <x:v>功能需求</x:v>
      </x:c>
      <x:c r="F115" s="4" t="str">
        <x:v>P2</x:v>
      </x:c>
      <x:c r="G115" s="4" t="str">
        <x:v>验证定制礼物到时的礼物详情结果</x:v>
      </x:c>
      <x:c r="H115" s="4" t="str">
        <x:v>礼物详情条件结果</x:v>
      </x:c>
      <x:c r="I115" s="4" t="str">
        <x:v>1. 平台管理员账号已登录且具备当前页面权限
2. 定制礼物到</x:v>
      </x:c>
      <x:c r="J115" s="4" t="str">
        <x:v>1. 进入礼物详情
2. 查看礼物详情</x:v>
      </x:c>
      <x:c r="K115" s="4" t="str">
        <x:v>自动生效和失效，可提前下架</x:v>
      </x:c>
      <x:c r="L115" s="4" t="str"/>
      <x:c r="M115" s="4" t="str">
        <x:v>未测</x:v>
      </x:c>
      <x:c r="N115" s="4" t="str"/>
      <x:c r="O115" s="4" t="str">
        <x:v>1. 来源（原型批注）：liveshow-proto/prototype/annotations/admin.js；admin-gift-detail.html
2. 页面：admin-gift-detail.html
3. 规则：BR-819D820FD1065B
4. 场景：SC-EF1254FAC01F11
5. 未动态验证</x:v>
      </x:c>
    </x:row>
    <x:row r="116" ht="54" customHeight="1">
      <x:c r="A116" s="4" t="n">
        <x:v>115</x:v>
      </x:c>
      <x:c r="B116" s="4" t="str">
        <x:v>AGIFT-0034</x:v>
      </x:c>
      <x:c r="C116" s="4" t="str">
        <x:v>礼物与道具</x:v>
      </x:c>
      <x:c r="D116" s="4" t="str">
        <x:v>礼物详情（平台管理员视角）</x:v>
      </x:c>
      <x:c r="E116" s="4" t="str">
        <x:v>功能需求</x:v>
      </x:c>
      <x:c r="F116" s="4" t="str">
        <x:v>P2</x:v>
      </x:c>
      <x:c r="G116" s="4" t="str">
        <x:v>验证礼物详情可查看操作记录</x:v>
      </x:c>
      <x:c r="H116" s="4" t="str">
        <x:v>操作记录展示</x:v>
      </x:c>
      <x:c r="I116" s="4" t="str">
        <x:v>1. 平台管理员账号已登录且具备当前页面权限</x:v>
      </x:c>
      <x:c r="J116" s="4" t="str">
        <x:v>1. 进入礼物详情
2. 查看操作记录</x:v>
      </x:c>
      <x:c r="K116" s="4" t="str">
        <x:v>礼物详情显示“操作记录”</x:v>
      </x:c>
      <x:c r="L116" s="4" t="str"/>
      <x:c r="M116" s="4" t="str">
        <x:v>未测</x:v>
      </x:c>
      <x:c r="N116" s="4" t="str"/>
      <x:c r="O116" s="4" t="str">
        <x:v>1. 来源（原型批注）：liveshow-proto/prototype/annotations/admin.js；admin-gift-detail.html
2. 页面：admin-gift-detail.html
3. 规则：BR-F2510966E56E26
4. 场景：SC-C19CE9712A18BE
5. 未动态验证</x:v>
      </x:c>
    </x:row>
    <x:row r="117" ht="54" customHeight="1">
      <x:c r="A117" s="4" t="n">
        <x:v>116</x:v>
      </x:c>
      <x:c r="B117" s="4" t="str">
        <x:v>AGIFT-0035</x:v>
      </x:c>
      <x:c r="C117" s="4" t="str">
        <x:v>礼物与道具</x:v>
      </x:c>
      <x:c r="D117" s="4" t="str">
        <x:v>礼物详情（平台管理员视角）</x:v>
      </x:c>
      <x:c r="E117" s="4" t="str">
        <x:v>功能需求</x:v>
      </x:c>
      <x:c r="F117" s="4" t="str">
        <x:v>P2</x:v>
      </x:c>
      <x:c r="G117" s="4" t="str">
        <x:v>验证礼物详情可查看单价</x:v>
      </x:c>
      <x:c r="H117" s="4" t="str">
        <x:v>单价展示</x:v>
      </x:c>
      <x:c r="I117" s="4" t="str">
        <x:v>1. 平台管理员账号已登录且具备当前页面权限</x:v>
      </x:c>
      <x:c r="J117" s="4" t="str">
        <x:v>1. 进入礼物详情
2. 查看单价</x:v>
      </x:c>
      <x:c r="K117" s="4" t="str">
        <x:v>礼物详情显示“单价”</x:v>
      </x:c>
      <x:c r="L117" s="4" t="str"/>
      <x:c r="M117" s="4" t="str">
        <x:v>未测</x:v>
      </x:c>
      <x:c r="N117" s="4" t="str"/>
      <x:c r="O117" s="4" t="str">
        <x:v>1. 来源（原型批注）：liveshow-proto/prototype/annotations/admin.js；admin-gift-detail.html
2. 页面：admin-gift-detail.html
3. 规则：BR-998640F1C2ECEB
4. 场景：SC-63D7DAEF899FE3
5. 未动态验证</x:v>
      </x:c>
    </x:row>
    <x:row r="118" ht="54" customHeight="1">
      <x:c r="A118" s="4" t="n">
        <x:v>117</x:v>
      </x:c>
      <x:c r="B118" s="4" t="str">
        <x:v>AGIFT-0036</x:v>
      </x:c>
      <x:c r="C118" s="4" t="str">
        <x:v>礼物与道具</x:v>
      </x:c>
      <x:c r="D118" s="4" t="str">
        <x:v>礼物详情（平台管理员视角）</x:v>
      </x:c>
      <x:c r="E118" s="4" t="str">
        <x:v>功能需求</x:v>
      </x:c>
      <x:c r="F118" s="4" t="str">
        <x:v>P2</x:v>
      </x:c>
      <x:c r="G118" s="4" t="str">
        <x:v>验证礼物详情可查看礼物 ID</x:v>
      </x:c>
      <x:c r="H118" s="4" t="str">
        <x:v>礼物 ID展示</x:v>
      </x:c>
      <x:c r="I118" s="4" t="str">
        <x:v>1. 平台管理员账号已登录且具备当前页面权限</x:v>
      </x:c>
      <x:c r="J118" s="4" t="str">
        <x:v>1. 进入礼物详情
2. 查看礼物 ID</x:v>
      </x:c>
      <x:c r="K118" s="4" t="str">
        <x:v>礼物详情显示“礼物 ID”</x:v>
      </x:c>
      <x:c r="L118" s="4" t="str"/>
      <x:c r="M118" s="4" t="str">
        <x:v>未测</x:v>
      </x:c>
      <x:c r="N118" s="4" t="str"/>
      <x:c r="O118" s="4" t="str">
        <x:v>1. 来源（原型批注）：liveshow-proto/prototype/annotations/admin.js；admin-gift-detail.html
2. 页面：admin-gift-detail.html
3. 规则：BR-E6844291BE2B51
4. 场景：SC-F0FFE15F582827
5. 未动态验证</x:v>
      </x:c>
    </x:row>
    <x:row r="119" ht="54" customHeight="1">
      <x:c r="A119" s="4" t="n">
        <x:v>118</x:v>
      </x:c>
      <x:c r="B119" s="4" t="str">
        <x:v>AGIFT-0037</x:v>
      </x:c>
      <x:c r="C119" s="4" t="str">
        <x:v>礼物与道具</x:v>
      </x:c>
      <x:c r="D119" s="4" t="str">
        <x:v>礼物详情（平台管理员视角）</x:v>
      </x:c>
      <x:c r="E119" s="4" t="str">
        <x:v>功能需求</x:v>
      </x:c>
      <x:c r="F119" s="4" t="str">
        <x:v>P2</x:v>
      </x:c>
      <x:c r="G119" s="4" t="str">
        <x:v>验证礼物详情可查看排序权重</x:v>
      </x:c>
      <x:c r="H119" s="4" t="str">
        <x:v>排序权重展示</x:v>
      </x:c>
      <x:c r="I119" s="4" t="str">
        <x:v>1. 平台管理员账号已登录且具备当前页面权限</x:v>
      </x:c>
      <x:c r="J119" s="4" t="str">
        <x:v>1. 进入礼物详情
2. 查看排序权重</x:v>
      </x:c>
      <x:c r="K119" s="4" t="str">
        <x:v>礼物详情显示“排序权重”</x:v>
      </x:c>
      <x:c r="L119" s="4" t="str"/>
      <x:c r="M119" s="4" t="str">
        <x:v>未测</x:v>
      </x:c>
      <x:c r="N119" s="4" t="str"/>
      <x:c r="O119" s="4" t="str">
        <x:v>1. 来源（原型批注）：liveshow-proto/prototype/annotations/admin.js；admin-gift-detail.html
2. 页面：admin-gift-detail.html
3. 规则：BR-C9A9F5C1F4EF8F
4. 场景：SC-FCFFF72A227E6C
5. 未动态验证</x:v>
      </x:c>
    </x:row>
    <x:row r="120" ht="54" customHeight="1">
      <x:c r="A120" s="4" t="n">
        <x:v>119</x:v>
      </x:c>
      <x:c r="B120" s="4" t="str">
        <x:v>AGIFT-0038</x:v>
      </x:c>
      <x:c r="C120" s="4" t="str">
        <x:v>礼物与道具</x:v>
      </x:c>
      <x:c r="D120" s="4" t="str">
        <x:v>礼物详情（平台管理员视角）</x:v>
      </x:c>
      <x:c r="E120" s="4" t="str">
        <x:v>功能需求</x:v>
      </x:c>
      <x:c r="F120" s="4" t="str">
        <x:v>P2</x:v>
      </x:c>
      <x:c r="G120" s="4" t="str">
        <x:v>验证礼物详情可查看生效时间</x:v>
      </x:c>
      <x:c r="H120" s="4" t="str">
        <x:v>生效时间展示</x:v>
      </x:c>
      <x:c r="I120" s="4" t="str">
        <x:v>1. 平台管理员账号已登录且具备当前页面权限</x:v>
      </x:c>
      <x:c r="J120" s="4" t="str">
        <x:v>1. 进入礼物详情
2. 查看生效时间</x:v>
      </x:c>
      <x:c r="K120" s="4" t="str">
        <x:v>礼物详情显示“生效时间”</x:v>
      </x:c>
      <x:c r="L120" s="4" t="str"/>
      <x:c r="M120" s="4" t="str">
        <x:v>未测</x:v>
      </x:c>
      <x:c r="N120" s="4" t="str"/>
      <x:c r="O120" s="4" t="str">
        <x:v>1. 来源（原型批注）：liveshow-proto/prototype/annotations/admin.js；admin-gift-detail.html
2. 页面：admin-gift-detail.html
3. 规则：BR-BC64103F2B5333
4. 场景：SC-AFF28D2D1460B3
5. 未动态验证</x:v>
      </x:c>
    </x:row>
    <x:row r="121" ht="54" customHeight="1">
      <x:c r="A121" s="4" t="n">
        <x:v>120</x:v>
      </x:c>
      <x:c r="B121" s="4" t="str">
        <x:v>AGIFT-0039</x:v>
      </x:c>
      <x:c r="C121" s="4" t="str">
        <x:v>礼物与道具</x:v>
      </x:c>
      <x:c r="D121" s="4" t="str">
        <x:v>礼物详情（平台管理员视角）</x:v>
      </x:c>
      <x:c r="E121" s="4" t="str">
        <x:v>功能需求</x:v>
      </x:c>
      <x:c r="F121" s="4" t="str">
        <x:v>P2</x:v>
      </x:c>
      <x:c r="G121" s="4" t="str">
        <x:v>验证礼物详情可查看四语名称</x:v>
      </x:c>
      <x:c r="H121" s="4" t="str">
        <x:v>四语名称展示</x:v>
      </x:c>
      <x:c r="I121" s="4" t="str">
        <x:v>1. 平台管理员账号已登录且具备当前页面权限</x:v>
      </x:c>
      <x:c r="J121" s="4" t="str">
        <x:v>1. 进入礼物详情
2. 查看四语名称</x:v>
      </x:c>
      <x:c r="K121" s="4" t="str">
        <x:v>礼物详情显示“四语名称”</x:v>
      </x:c>
      <x:c r="L121" s="4" t="str"/>
      <x:c r="M121" s="4" t="str">
        <x:v>未测</x:v>
      </x:c>
      <x:c r="N121" s="4" t="str"/>
      <x:c r="O121" s="4" t="str">
        <x:v>1. 来源（原型批注）：liveshow-proto/prototype/annotations/admin.js；admin-gift-detail.html
2. 页面：admin-gift-detail.html
3. 规则：BR-94F23E8804BEE6
4. 场景：SC-218C795FEA794D
5. 未动态验证</x:v>
      </x:c>
    </x:row>
    <x:row r="122" ht="54" customHeight="1">
      <x:c r="A122" s="4" t="n">
        <x:v>121</x:v>
      </x:c>
      <x:c r="B122" s="4" t="str">
        <x:v>AGIFT-0040</x:v>
      </x:c>
      <x:c r="C122" s="4" t="str">
        <x:v>礼物与道具</x:v>
      </x:c>
      <x:c r="D122" s="4" t="str">
        <x:v>礼物详情（平台管理员视角）</x:v>
      </x:c>
      <x:c r="E122" s="4" t="str">
        <x:v>功能需求</x:v>
      </x:c>
      <x:c r="F122" s="4" t="str">
        <x:v>P2</x:v>
      </x:c>
      <x:c r="G122" s="4" t="str">
        <x:v>验证礼物详情可查看图标 / 特效</x:v>
      </x:c>
      <x:c r="H122" s="4" t="str">
        <x:v>图标 / 特效展示</x:v>
      </x:c>
      <x:c r="I122" s="4" t="str">
        <x:v>1. 平台管理员账号已登录且具备当前页面权限</x:v>
      </x:c>
      <x:c r="J122" s="4" t="str">
        <x:v>1. 进入礼物详情
2. 查看图标 / 特效</x:v>
      </x:c>
      <x:c r="K122" s="4" t="str">
        <x:v>礼物详情显示“图标 / 特效”</x:v>
      </x:c>
      <x:c r="L122" s="4" t="str"/>
      <x:c r="M122" s="4" t="str">
        <x:v>未测</x:v>
      </x:c>
      <x:c r="N122" s="4" t="str"/>
      <x:c r="O122" s="4" t="str">
        <x:v>1. 来源（原型批注）：liveshow-proto/prototype/annotations/admin.js；admin-gift-detail.html
2. 页面：admin-gift-detail.html
3. 规则：BR-606A616B5B6E27、BR-ABDF4F1BD500E6
4. 场景：SC-9DFF3929344294
5. 未动态验证</x:v>
      </x:c>
    </x:row>
    <x:row r="123" ht="54" customHeight="1">
      <x:c r="A123" s="4" t="n">
        <x:v>122</x:v>
      </x:c>
      <x:c r="B123" s="4" t="str">
        <x:v>AGIFT-0041</x:v>
      </x:c>
      <x:c r="C123" s="4" t="str">
        <x:v>礼物与道具</x:v>
      </x:c>
      <x:c r="D123" s="4" t="str">
        <x:v>礼物详情（平台管理员视角）</x:v>
      </x:c>
      <x:c r="E123" s="4" t="str">
        <x:v>业务流程</x:v>
      </x:c>
      <x:c r="F123" s="4" t="str">
        <x:v>P2</x:v>
      </x:c>
      <x:c r="G123" s="4" t="str">
        <x:v>验证删除后的礼物详情状态</x:v>
      </x:c>
      <x:c r="H123" s="4" t="str">
        <x:v>礼物详情状态</x:v>
      </x:c>
      <x:c r="I123" s="4" t="str">
        <x:v>1. 平台管理员账号已登录且具备当前页面权限</x:v>
      </x:c>
      <x:c r="J123" s="4" t="str">
        <x:v>1. 进入礼物详情
2. 删除</x:v>
      </x:c>
      <x:c r="K123" s="4" t="str">
        <x:v>确认后返回列表</x:v>
      </x:c>
      <x:c r="L123" s="4" t="str"/>
      <x:c r="M123" s="4" t="str">
        <x:v>未测</x:v>
      </x:c>
      <x:c r="N123" s="4" t="str"/>
      <x:c r="O123" s="4" t="str">
        <x:v>1. 来源（原型批注）：liveshow-proto/prototype/annotations/admin.js；admin-gift-detail.html
2. 页面：admin-gift-detail.html
3. 规则：BR-3FF7DA366043D6
4. 场景：SC-38AD072326947D
5. 未动态验证</x:v>
      </x:c>
    </x:row>
    <x:row r="124" ht="54" customHeight="1">
      <x:c r="A124" s="4" t="n">
        <x:v>123</x:v>
      </x:c>
      <x:c r="B124" s="4" t="str">
        <x:v>AGIFT-0042</x:v>
      </x:c>
      <x:c r="C124" s="4" t="str">
        <x:v>礼物与道具</x:v>
      </x:c>
      <x:c r="D124" s="4" t="str">
        <x:v>礼物详情（平台管理员视角）</x:v>
      </x:c>
      <x:c r="E124" s="4" t="str">
        <x:v>业务流程</x:v>
      </x:c>
      <x:c r="F124" s="4" t="str">
        <x:v>P2</x:v>
      </x:c>
      <x:c r="G124" s="4" t="str">
        <x:v>验证删除素材后的礼物详情状态</x:v>
      </x:c>
      <x:c r="H124" s="4" t="str">
        <x:v>礼物详情状态</x:v>
      </x:c>
      <x:c r="I124" s="4" t="str">
        <x:v>1. 平台管理员账号已登录且具备当前页面权限</x:v>
      </x:c>
      <x:c r="J124" s="4" t="str">
        <x:v>1. 进入礼物详情
2. 删除素材</x:v>
      </x:c>
      <x:c r="K124" s="4" t="str">
        <x:v>保存前须重新上传必填资源</x:v>
      </x:c>
      <x:c r="L124" s="4" t="str"/>
      <x:c r="M124" s="4" t="str">
        <x:v>未测</x:v>
      </x:c>
      <x:c r="N124" s="4" t="str"/>
      <x:c r="O124" s="4" t="str">
        <x:v>1. 来源（原型批注）：liveshow-proto/prototype/annotations/admin.js；admin-gift-detail.html
2. 页面：admin-gift-detail.html
3. 规则：BR-ABDF4F1BD500E6
4. 场景：SC-AF7DA940A3A619
5. 未动态验证</x:v>
      </x:c>
    </x:row>
    <x:row r="125" ht="54" customHeight="1">
      <x:c r="A125" s="4" t="n">
        <x:v>124</x:v>
      </x:c>
      <x:c r="B125" s="4" t="str">
        <x:v>AGIFT-0043</x:v>
      </x:c>
      <x:c r="C125" s="4" t="str">
        <x:v>礼物与道具</x:v>
      </x:c>
      <x:c r="D125" s="4" t="str">
        <x:v>礼物详情（平台管理员视角）</x:v>
      </x:c>
      <x:c r="E125" s="4" t="str">
        <x:v>功能需求</x:v>
      </x:c>
      <x:c r="F125" s="4" t="str">
        <x:v>P2</x:v>
      </x:c>
      <x:c r="G125" s="4" t="str">
        <x:v>验证四项均必填，按客户端语言时的礼物详情结果</x:v>
      </x:c>
      <x:c r="H125" s="4" t="str">
        <x:v>礼物详情条件结果</x:v>
      </x:c>
      <x:c r="I125" s="4" t="str">
        <x:v>1. 平台管理员账号已登录且具备当前页面权限
2. 四项均必填，按客户端语言</x:v>
      </x:c>
      <x:c r="J125" s="4" t="str">
        <x:v>1. 进入礼物详情
2. 查看礼物详情</x:v>
      </x:c>
      <x:c r="K125" s="4" t="str">
        <x:v>四项均必填，按客户端语言展示</x:v>
      </x:c>
      <x:c r="L125" s="4" t="str"/>
      <x:c r="M125" s="4" t="str">
        <x:v>未测</x:v>
      </x:c>
      <x:c r="N125" s="4" t="str"/>
      <x:c r="O125" s="4" t="str">
        <x:v>1. 来源（原型批注）：liveshow-proto/prototype/annotations/admin.js；admin-gift-detail.html
2. 页面：admin-gift-detail.html
3. 规则：BR-94F23E8804BEE6
4. 场景：SC-EF4C6A0AFC5E8E
5. 未动态验证</x:v>
      </x:c>
    </x:row>
    <x:row r="126" ht="54" customHeight="1">
      <x:c r="A126" s="4" t="n">
        <x:v>125</x:v>
      </x:c>
      <x:c r="B126" s="4" t="str">
        <x:v>AGIFT-0044</x:v>
      </x:c>
      <x:c r="C126" s="4" t="str">
        <x:v>礼物与道具</x:v>
      </x:c>
      <x:c r="D126" s="4" t="str">
        <x:v>普通礼物（平台管理员视角）</x:v>
      </x:c>
      <x:c r="E126" s="4" t="str">
        <x:v>业务流程</x:v>
      </x:c>
      <x:c r="F126" s="4" t="str">
        <x:v>P2</x:v>
      </x:c>
      <x:c r="G126" s="4" t="str">
        <x:v>验证保存后的普通礼物状态</x:v>
      </x:c>
      <x:c r="H126" s="4" t="str">
        <x:v>普通礼物状态</x:v>
      </x:c>
      <x:c r="I126" s="4" t="str">
        <x:v>1. 平台管理员账号已登录且具备当前页面权限</x:v>
      </x:c>
      <x:c r="J126" s="4" t="str">
        <x:v>1. 进入普通礼物
2. 保存</x:v>
      </x:c>
      <x:c r="K126" s="4" t="str">
        <x:v>更新列表</x:v>
      </x:c>
      <x:c r="L126" s="4" t="str"/>
      <x:c r="M126" s="4" t="str">
        <x:v>未测</x:v>
      </x:c>
      <x:c r="N126" s="4" t="str"/>
      <x:c r="O126" s="4" t="str">
        <x:v>1. 来源（原型批注）：liveshow-proto/prototype/annotations/admin.js；admin-gift-list.html
2. 页面：admin-gift-list.html
3. 规则：BR-C4A67679872A43
4. 场景：SC-85E24020B5E301
5. 未动态验证</x:v>
      </x:c>
    </x:row>
    <x:row r="127" ht="54" customHeight="1">
      <x:c r="A127" s="4" t="n">
        <x:v>126</x:v>
      </x:c>
      <x:c r="B127" s="4" t="str">
        <x:v>AGIFT-0045</x:v>
      </x:c>
      <x:c r="C127" s="4" t="str">
        <x:v>礼物与道具</x:v>
      </x:c>
      <x:c r="D127" s="4" t="str">
        <x:v>普通礼物（平台管理员视角）</x:v>
      </x:c>
      <x:c r="E127" s="4" t="str">
        <x:v>功能需求</x:v>
      </x:c>
      <x:c r="F127" s="4" t="str">
        <x:v>P2</x:v>
      </x:c>
      <x:c r="G127" s="4" t="str">
        <x:v>验证普通礼物可查看单价</x:v>
      </x:c>
      <x:c r="H127" s="4" t="str">
        <x:v>单价展示</x:v>
      </x:c>
      <x:c r="I127" s="4" t="str">
        <x:v>1. 平台管理员账号已登录且具备当前页面权限</x:v>
      </x:c>
      <x:c r="J127" s="4" t="str">
        <x:v>1. 进入普通礼物
2. 查看单价</x:v>
      </x:c>
      <x:c r="K127" s="4" t="str">
        <x:v>普通礼物显示“单价”</x:v>
      </x:c>
      <x:c r="L127" s="4" t="str"/>
      <x:c r="M127" s="4" t="str">
        <x:v>未测</x:v>
      </x:c>
      <x:c r="N127" s="4" t="str"/>
      <x:c r="O127" s="4" t="str">
        <x:v>1. 来源（原型批注）：liveshow-proto/prototype/annotations/admin.js；admin-gift-list.html
2. 页面：admin-gift-list.html
3. 规则：BR-42B758D03BD17B
4. 场景：SC-E9DF6B3EF7A419
5. 未动态验证</x:v>
      </x:c>
    </x:row>
    <x:row r="128" ht="54" customHeight="1">
      <x:c r="A128" s="4" t="n">
        <x:v>127</x:v>
      </x:c>
      <x:c r="B128" s="4" t="str">
        <x:v>AGIFT-0046</x:v>
      </x:c>
      <x:c r="C128" s="4" t="str">
        <x:v>礼物与道具</x:v>
      </x:c>
      <x:c r="D128" s="4" t="str">
        <x:v>普通礼物（平台管理员视角）</x:v>
      </x:c>
      <x:c r="E128" s="4" t="str">
        <x:v>功能需求</x:v>
      </x:c>
      <x:c r="F128" s="4" t="str">
        <x:v>P2</x:v>
      </x:c>
      <x:c r="G128" s="4" t="str">
        <x:v>验证普通礼物可查看礼物 ID</x:v>
      </x:c>
      <x:c r="H128" s="4" t="str">
        <x:v>礼物 ID展示</x:v>
      </x:c>
      <x:c r="I128" s="4" t="str">
        <x:v>1. 平台管理员账号已登录且具备当前页面权限</x:v>
      </x:c>
      <x:c r="J128" s="4" t="str">
        <x:v>1. 进入普通礼物
2. 查看礼物 ID</x:v>
      </x:c>
      <x:c r="K128" s="4" t="str">
        <x:v>普通礼物显示“礼物 ID”</x:v>
      </x:c>
      <x:c r="L128" s="4" t="str"/>
      <x:c r="M128" s="4" t="str">
        <x:v>未测</x:v>
      </x:c>
      <x:c r="N128" s="4" t="str"/>
      <x:c r="O128" s="4" t="str">
        <x:v>1. 来源（原型批注）：liveshow-proto/prototype/annotations/admin.js；admin-gift-list.html
2. 页面：admin-gift-list.html
3. 规则：BR-09EEAD694DE329
4. 场景：SC-1E7692707004FB
5. 未动态验证</x:v>
      </x:c>
    </x:row>
    <x:row r="129" ht="54" customHeight="1">
      <x:c r="A129" s="4" t="n">
        <x:v>128</x:v>
      </x:c>
      <x:c r="B129" s="4" t="str">
        <x:v>AGIFT-0047</x:v>
      </x:c>
      <x:c r="C129" s="4" t="str">
        <x:v>礼物与道具</x:v>
      </x:c>
      <x:c r="D129" s="4" t="str">
        <x:v>普通礼物（平台管理员视角）</x:v>
      </x:c>
      <x:c r="E129" s="4" t="str">
        <x:v>功能需求</x:v>
      </x:c>
      <x:c r="F129" s="4" t="str">
        <x:v>P2</x:v>
      </x:c>
      <x:c r="G129" s="4" t="str">
        <x:v>验证普通礼物可查看排序权重</x:v>
      </x:c>
      <x:c r="H129" s="4" t="str">
        <x:v>排序权重展示</x:v>
      </x:c>
      <x:c r="I129" s="4" t="str">
        <x:v>1. 平台管理员账号已登录且具备当前页面权限</x:v>
      </x:c>
      <x:c r="J129" s="4" t="str">
        <x:v>1. 进入普通礼物
2. 查看排序权重</x:v>
      </x:c>
      <x:c r="K129" s="4" t="str">
        <x:v>普通礼物显示“排序权重”</x:v>
      </x:c>
      <x:c r="L129" s="4" t="str"/>
      <x:c r="M129" s="4" t="str">
        <x:v>未测</x:v>
      </x:c>
      <x:c r="N129" s="4" t="str"/>
      <x:c r="O129" s="4" t="str">
        <x:v>1. 来源（原型批注）：liveshow-proto/prototype/annotations/admin.js；admin-gift-list.html
2. 页面：admin-gift-list.html
3. 规则：BR-E0181428FA4E11
4. 场景：SC-9538ECA1168921
5. 未动态验证</x:v>
      </x:c>
    </x:row>
    <x:row r="130" ht="54" customHeight="1">
      <x:c r="A130" s="4" t="n">
        <x:v>129</x:v>
      </x:c>
      <x:c r="B130" s="4" t="str">
        <x:v>AGIFT-0048</x:v>
      </x:c>
      <x:c r="C130" s="4" t="str">
        <x:v>礼物与道具</x:v>
      </x:c>
      <x:c r="D130" s="4" t="str">
        <x:v>普通礼物（平台管理员视角）</x:v>
      </x:c>
      <x:c r="E130" s="4" t="str">
        <x:v>功能需求</x:v>
      </x:c>
      <x:c r="F130" s="4" t="str">
        <x:v>P2</x:v>
      </x:c>
      <x:c r="G130" s="4" t="str">
        <x:v>验证普通礼物可查看四语名称</x:v>
      </x:c>
      <x:c r="H130" s="4" t="str">
        <x:v>四语名称展示</x:v>
      </x:c>
      <x:c r="I130" s="4" t="str">
        <x:v>1. 平台管理员账号已登录且具备当前页面权限</x:v>
      </x:c>
      <x:c r="J130" s="4" t="str">
        <x:v>1. 进入普通礼物
2. 查看四语名称</x:v>
      </x:c>
      <x:c r="K130" s="4" t="str">
        <x:v>普通礼物显示“四语名称”</x:v>
      </x:c>
      <x:c r="L130" s="4" t="str"/>
      <x:c r="M130" s="4" t="str">
        <x:v>未测</x:v>
      </x:c>
      <x:c r="N130" s="4" t="str"/>
      <x:c r="O130" s="4" t="str">
        <x:v>1. 来源（原型批注）：liveshow-proto/prototype/annotations/admin.js；admin-gift-list.html
2. 页面：admin-gift-list.html
3. 规则：BR-3CBEBC2283B273
4. 场景：SC-CE6CF6E103DEEE
5. 未动态验证</x:v>
      </x:c>
    </x:row>
    <x:row r="131" ht="54" customHeight="1">
      <x:c r="A131" s="4" t="n">
        <x:v>130</x:v>
      </x:c>
      <x:c r="B131" s="4" t="str">
        <x:v>AGIFT-0049</x:v>
      </x:c>
      <x:c r="C131" s="4" t="str">
        <x:v>礼物与道具</x:v>
      </x:c>
      <x:c r="D131" s="4" t="str">
        <x:v>普通礼物（平台管理员视角）</x:v>
      </x:c>
      <x:c r="E131" s="4" t="str">
        <x:v>功能需求</x:v>
      </x:c>
      <x:c r="F131" s="4" t="str">
        <x:v>P2</x:v>
      </x:c>
      <x:c r="G131" s="4" t="str">
        <x:v>验证普通礼物可查看图标 / 特效</x:v>
      </x:c>
      <x:c r="H131" s="4" t="str">
        <x:v>图标 / 特效展示</x:v>
      </x:c>
      <x:c r="I131" s="4" t="str">
        <x:v>1. 平台管理员账号已登录且具备当前页面权限</x:v>
      </x:c>
      <x:c r="J131" s="4" t="str">
        <x:v>1. 进入普通礼物
2. 查看图标 / 特效</x:v>
      </x:c>
      <x:c r="K131" s="4" t="str">
        <x:v>普通礼物显示“图标 / 特效”</x:v>
      </x:c>
      <x:c r="L131" s="4" t="str"/>
      <x:c r="M131" s="4" t="str">
        <x:v>未测</x:v>
      </x:c>
      <x:c r="N131" s="4" t="str"/>
      <x:c r="O131" s="4" t="str">
        <x:v>1. 来源（原型批注）：liveshow-proto/prototype/annotations/admin.js；admin-gift-list.html
2. 页面：admin-gift-list.html
3. 规则：BR-60A7D021F2F8F9、BR-B7A42E9F1C1B87
4. 场景：SC-6C0E8CF0CB8CEC
5. 未动态验证</x:v>
      </x:c>
    </x:row>
    <x:row r="132" ht="54" customHeight="1">
      <x:c r="A132" s="4" t="n">
        <x:v>131</x:v>
      </x:c>
      <x:c r="B132" s="4" t="str">
        <x:v>AGIFT-0050</x:v>
      </x:c>
      <x:c r="C132" s="4" t="str">
        <x:v>礼物与道具</x:v>
      </x:c>
      <x:c r="D132" s="4" t="str">
        <x:v>普通礼物（平台管理员视角）</x:v>
      </x:c>
      <x:c r="E132" s="4" t="str">
        <x:v>功能需求</x:v>
      </x:c>
      <x:c r="F132" s="4" t="str">
        <x:v>P2</x:v>
      </x:c>
      <x:c r="G132" s="4" t="str">
        <x:v>验证普通礼物可查看状态</x:v>
      </x:c>
      <x:c r="H132" s="4" t="str">
        <x:v>状态展示</x:v>
      </x:c>
      <x:c r="I132" s="4" t="str">
        <x:v>1. 平台管理员账号已登录且具备当前页面权限</x:v>
      </x:c>
      <x:c r="J132" s="4" t="str">
        <x:v>1. 进入普通礼物
2. 查看状态</x:v>
      </x:c>
      <x:c r="K132" s="4" t="str">
        <x:v>普通礼物显示“状态”</x:v>
      </x:c>
      <x:c r="L132" s="4" t="str"/>
      <x:c r="M132" s="4" t="str">
        <x:v>未测</x:v>
      </x:c>
      <x:c r="N132" s="4" t="str"/>
      <x:c r="O132" s="4" t="str">
        <x:v>1. 来源（原型批注）：liveshow-proto/prototype/annotations/admin.js；admin-gift-list.html
2. 页面：admin-gift-list.html
3. 规则：BR-51044D4931D681、BR-9E5CCC1B6F2BFC
4. 场景：SC-314B81335D5DFA
5. 未动态验证</x:v>
      </x:c>
    </x:row>
    <x:row r="133" ht="54" customHeight="1">
      <x:c r="A133" s="4" t="n">
        <x:v>132</x:v>
      </x:c>
      <x:c r="B133" s="4" t="str">
        <x:v>AGIFT-0051</x:v>
      </x:c>
      <x:c r="C133" s="4" t="str">
        <x:v>礼物与道具</x:v>
      </x:c>
      <x:c r="D133" s="4" t="str">
        <x:v>幸运礼物（平台管理员视角）</x:v>
      </x:c>
      <x:c r="E133" s="4" t="str">
        <x:v>业务流程</x:v>
      </x:c>
      <x:c r="F133" s="4" t="str">
        <x:v>P2</x:v>
      </x:c>
      <x:c r="G133" s="4" t="str">
        <x:v>验证保存后的幸运礼物状态</x:v>
      </x:c>
      <x:c r="H133" s="4" t="str">
        <x:v>幸运礼物状态</x:v>
      </x:c>
      <x:c r="I133" s="4" t="str">
        <x:v>1. 平台管理员账号已登录且具备当前页面权限</x:v>
      </x:c>
      <x:c r="J133" s="4" t="str">
        <x:v>1. 进入幸运礼物
2. 保存</x:v>
      </x:c>
      <x:c r="K133" s="4" t="str">
        <x:v>对保存后的新赠送生效</x:v>
      </x:c>
      <x:c r="L133" s="4" t="str"/>
      <x:c r="M133" s="4" t="str">
        <x:v>未测</x:v>
      </x:c>
      <x:c r="N133" s="4" t="str"/>
      <x:c r="O133" s="4" t="str">
        <x:v>1. 来源（原型批注）：liveshow-proto/prototype/annotations/admin.js；admin-lucky-gift-config.html
2. 页面：admin-lucky-gift-config.html
3. 规则：BR-694CFAE03E453E
4. 场景：SC-06FE5498DCF199
5. 未动态验证</x:v>
      </x:c>
    </x:row>
    <x:row r="134" ht="54" customHeight="1">
      <x:c r="A134" s="4" t="n">
        <x:v>133</x:v>
      </x:c>
      <x:c r="B134" s="4" t="str">
        <x:v>AGIFT-0052</x:v>
      </x:c>
      <x:c r="C134" s="4" t="str">
        <x:v>礼物与道具</x:v>
      </x:c>
      <x:c r="D134" s="4" t="str">
        <x:v>幸运礼物（平台管理员视角）</x:v>
      </x:c>
      <x:c r="E134" s="4" t="str">
        <x:v>业务流程</x:v>
      </x:c>
      <x:c r="F134" s="4" t="str">
        <x:v>P2</x:v>
      </x:c>
      <x:c r="G134" s="4" t="str">
        <x:v>验证点击编辑后的幸运礼物状态</x:v>
      </x:c>
      <x:c r="H134" s="4" t="str">
        <x:v>幸运礼物状态</x:v>
      </x:c>
      <x:c r="I134" s="4" t="str">
        <x:v>1. 平台管理员账号已登录且具备当前页面权限</x:v>
      </x:c>
      <x:c r="J134" s="4" t="str">
        <x:v>1. 进入幸运礼物
2. 点击编辑</x:v>
      </x:c>
      <x:c r="K134" s="4" t="str">
        <x:v>比例可输入、按钮变为保存</x:v>
      </x:c>
      <x:c r="L134" s="4" t="str"/>
      <x:c r="M134" s="4" t="str">
        <x:v>未测</x:v>
      </x:c>
      <x:c r="N134" s="4" t="str"/>
      <x:c r="O134" s="4" t="str">
        <x:v>1. 来源（原型批注）：liveshow-proto/prototype/annotations/admin.js；admin-lucky-gift-config.html
2. 页面：admin-lucky-gift-config.html
3. 规则：BR-8BBC2B83566020
4. 场景：SC-53BCE9BCBE0382
5. 未动态验证</x:v>
      </x:c>
    </x:row>
    <x:row r="135" ht="54" customHeight="1">
      <x:c r="A135" s="4" t="n">
        <x:v>134</x:v>
      </x:c>
      <x:c r="B135" s="4" t="str">
        <x:v>AGIFT-0053</x:v>
      </x:c>
      <x:c r="C135" s="4" t="str">
        <x:v>礼物与道具</x:v>
      </x:c>
      <x:c r="D135" s="4" t="str">
        <x:v>幸运礼物（平台管理员视角）</x:v>
      </x:c>
      <x:c r="E135" s="4" t="str">
        <x:v>功能需求</x:v>
      </x:c>
      <x:c r="F135" s="4" t="str">
        <x:v>P2</x:v>
      </x:c>
      <x:c r="G135" s="4" t="str">
        <x:v>验证功能总开关关闭时的幸运礼物结果</x:v>
      </x:c>
      <x:c r="H135" s="4" t="str">
        <x:v>幸运礼物条件结果</x:v>
      </x:c>
      <x:c r="I135" s="4" t="str">
        <x:v>1. 平台管理员账号已登录且具备当前页面权限
2. 功能总开关关闭</x:v>
      </x:c>
      <x:c r="J135" s="4" t="str">
        <x:v>1. 进入幸运礼物
2. 查看幸运礼物</x:v>
      </x:c>
      <x:c r="K135" s="4" t="str">
        <x:v>全部幸运礼物不可见</x:v>
      </x:c>
      <x:c r="L135" s="4" t="str"/>
      <x:c r="M135" s="4" t="str">
        <x:v>未测</x:v>
      </x:c>
      <x:c r="N135" s="4" t="str"/>
      <x:c r="O135" s="4" t="str">
        <x:v>1. 来源（原型批注）：liveshow-proto/prototype/annotations/admin.js；admin-lucky-gift-config.html
2. 页面：admin-lucky-gift-config.html
3. 规则：BR-F60EB89BCC9B9A
4. 场景：SC-6B30923C0218EC
5. 未动态验证</x:v>
      </x:c>
    </x:row>
    <x:row r="136" ht="54" customHeight="1">
      <x:c r="A136" s="4" t="n">
        <x:v>135</x:v>
      </x:c>
      <x:c r="B136" s="4" t="str">
        <x:v>AGIFT-0054</x:v>
      </x:c>
      <x:c r="C136" s="4" t="str">
        <x:v>礼物与道具</x:v>
      </x:c>
      <x:c r="D136" s="4" t="str">
        <x:v>幸运礼物（平台管理员视角）</x:v>
      </x:c>
      <x:c r="E136" s="4" t="str">
        <x:v>业务流程</x:v>
      </x:c>
      <x:c r="F136" s="4" t="str">
        <x:v>P2</x:v>
      </x:c>
      <x:c r="G136" s="4" t="str">
        <x:v>验证礼物编辑后的幸运礼物状态</x:v>
      </x:c>
      <x:c r="H136" s="4" t="str">
        <x:v>幸运礼物状态</x:v>
      </x:c>
      <x:c r="I136" s="4" t="str">
        <x:v>1. 平台管理员账号已登录且具备当前页面权限
2. 礼物编辑</x:v>
      </x:c>
      <x:c r="J136" s="4" t="str">
        <x:v>1. 进入幸运礼物
2. 刷新幸运礼物</x:v>
      </x:c>
      <x:c r="K136" s="4" t="str">
        <x:v>进入配置详情</x:v>
      </x:c>
      <x:c r="L136" s="4" t="str"/>
      <x:c r="M136" s="4" t="str">
        <x:v>未测</x:v>
      </x:c>
      <x:c r="N136" s="4" t="str"/>
      <x:c r="O136" s="4" t="str">
        <x:v>1. 来源（原型批注）：liveshow-proto/prototype/annotations/admin.js；admin-lucky-gift-config.html
2. 页面：admin-lucky-gift-config.html
3. 规则：BR-C3EA0127C8E0BD
4. 场景：SC-E2556F7556136E
5. 未动态验证</x:v>
      </x:c>
    </x:row>
    <x:row r="137" ht="54" customHeight="1">
      <x:c r="A137" s="4" t="n">
        <x:v>136</x:v>
      </x:c>
      <x:c r="B137" s="4" t="str">
        <x:v>AGIFT-0055</x:v>
      </x:c>
      <x:c r="C137" s="4" t="str">
        <x:v>礼物与道具</x:v>
      </x:c>
      <x:c r="D137" s="4" t="str">
        <x:v>幸运礼物（平台管理员视角）</x:v>
      </x:c>
      <x:c r="E137" s="4" t="str">
        <x:v>功能需求</x:v>
      </x:c>
      <x:c r="F137" s="4" t="str">
        <x:v>P2</x:v>
      </x:c>
      <x:c r="G137" s="4" t="str">
        <x:v>验证幸运礼物可查看单次消耗</x:v>
      </x:c>
      <x:c r="H137" s="4" t="str">
        <x:v>单次消耗展示</x:v>
      </x:c>
      <x:c r="I137" s="4" t="str">
        <x:v>1. 平台管理员账号已登录且具备当前页面权限</x:v>
      </x:c>
      <x:c r="J137" s="4" t="str">
        <x:v>1. 进入幸运礼物
2. 查看单次消耗</x:v>
      </x:c>
      <x:c r="K137" s="4" t="str">
        <x:v>幸运礼物显示“单次消耗”</x:v>
      </x:c>
      <x:c r="L137" s="4" t="str"/>
      <x:c r="M137" s="4" t="str">
        <x:v>未测</x:v>
      </x:c>
      <x:c r="N137" s="4" t="str"/>
      <x:c r="O137" s="4" t="str">
        <x:v>1. 来源（原型批注）：liveshow-proto/prototype/annotations/admin.js；admin-lucky-gift-config.html
2. 页面：admin-lucky-gift-config.html
3. 规则：BR-B158C25D7CEC03
4. 场景：SC-CF466D066D53B2
5. 未动态验证</x:v>
      </x:c>
    </x:row>
    <x:row r="138" ht="54" customHeight="1">
      <x:c r="A138" s="4" t="n">
        <x:v>137</x:v>
      </x:c>
      <x:c r="B138" s="4" t="str">
        <x:v>AGIFT-0056</x:v>
      </x:c>
      <x:c r="C138" s="4" t="str">
        <x:v>礼物与道具</x:v>
      </x:c>
      <x:c r="D138" s="4" t="str">
        <x:v>幸运礼物（平台管理员视角）</x:v>
      </x:c>
      <x:c r="E138" s="4" t="str">
        <x:v>功能需求</x:v>
      </x:c>
      <x:c r="F138" s="4" t="str">
        <x:v>P2</x:v>
      </x:c>
      <x:c r="G138" s="4" t="str">
        <x:v>验证幸运礼物可查看单价</x:v>
      </x:c>
      <x:c r="H138" s="4" t="str">
        <x:v>单价展示</x:v>
      </x:c>
      <x:c r="I138" s="4" t="str">
        <x:v>1. 平台管理员账号已登录且具备当前页面权限</x:v>
      </x:c>
      <x:c r="J138" s="4" t="str">
        <x:v>1. 进入幸运礼物
2. 查看单价</x:v>
      </x:c>
      <x:c r="K138" s="4" t="str">
        <x:v>幸运礼物显示“单价”</x:v>
      </x:c>
      <x:c r="L138" s="4" t="str"/>
      <x:c r="M138" s="4" t="str">
        <x:v>未测</x:v>
      </x:c>
      <x:c r="N138" s="4" t="str"/>
      <x:c r="O138" s="4" t="str">
        <x:v>1. 来源（原型批注）：liveshow-proto/prototype/annotations/admin.js；admin-lucky-gift-config.html
2. 页面：admin-lucky-gift-config.html
3. 规则：BR-45DB02495915A5
4. 场景：SC-CE7B5754152674
5. 未动态验证</x:v>
      </x:c>
    </x:row>
    <x:row r="139" ht="54" customHeight="1">
      <x:c r="A139" s="4" t="n">
        <x:v>138</x:v>
      </x:c>
      <x:c r="B139" s="4" t="str">
        <x:v>AGIFT-0057</x:v>
      </x:c>
      <x:c r="C139" s="4" t="str">
        <x:v>礼物与道具</x:v>
      </x:c>
      <x:c r="D139" s="4" t="str">
        <x:v>幸运礼物（平台管理员视角）</x:v>
      </x:c>
      <x:c r="E139" s="4" t="str">
        <x:v>功能需求</x:v>
      </x:c>
      <x:c r="F139" s="4" t="str">
        <x:v>P2</x:v>
      </x:c>
      <x:c r="G139" s="4" t="str">
        <x:v>验证幸运礼物可查看开奖次数</x:v>
      </x:c>
      <x:c r="H139" s="4" t="str">
        <x:v>开奖次数展示</x:v>
      </x:c>
      <x:c r="I139" s="4" t="str">
        <x:v>1. 平台管理员账号已登录且具备当前页面权限</x:v>
      </x:c>
      <x:c r="J139" s="4" t="str">
        <x:v>1. 进入幸运礼物
2. 查看开奖次数</x:v>
      </x:c>
      <x:c r="K139" s="4" t="str">
        <x:v>幸运礼物显示“开奖次数”</x:v>
      </x:c>
      <x:c r="L139" s="4" t="str"/>
      <x:c r="M139" s="4" t="str">
        <x:v>未测</x:v>
      </x:c>
      <x:c r="N139" s="4" t="str"/>
      <x:c r="O139" s="4" t="str">
        <x:v>1. 来源（原型批注）：liveshow-proto/prototype/annotations/admin.js；admin-lucky-gift-config.html
2. 页面：admin-lucky-gift-config.html
3. 规则：BR-10416747A7DB0B
4. 场景：SC-9FF9052F90F7BA
5. 未动态验证</x:v>
      </x:c>
    </x:row>
    <x:row r="140" ht="54" customHeight="1">
      <x:c r="A140" s="4" t="n">
        <x:v>139</x:v>
      </x:c>
      <x:c r="B140" s="4" t="str">
        <x:v>AGIFT-0058</x:v>
      </x:c>
      <x:c r="C140" s="4" t="str">
        <x:v>礼物与道具</x:v>
      </x:c>
      <x:c r="D140" s="4" t="str">
        <x:v>幸运礼物（平台管理员视角）</x:v>
      </x:c>
      <x:c r="E140" s="4" t="str">
        <x:v>功能需求</x:v>
      </x:c>
      <x:c r="F140" s="4" t="str">
        <x:v>P2</x:v>
      </x:c>
      <x:c r="G140" s="4" t="str">
        <x:v>验证幸运礼物可查看幸运礼物收益比例</x:v>
      </x:c>
      <x:c r="H140" s="4" t="str">
        <x:v>幸运礼物收益比例展示</x:v>
      </x:c>
      <x:c r="I140" s="4" t="str">
        <x:v>1. 平台管理员账号已登录且具备当前页面权限</x:v>
      </x:c>
      <x:c r="J140" s="4" t="str">
        <x:v>1. 进入幸运礼物
2. 查看幸运礼物收益比例</x:v>
      </x:c>
      <x:c r="K140" s="4" t="str">
        <x:v>幸运礼物显示“幸运礼物收益比例”</x:v>
      </x:c>
      <x:c r="L140" s="4" t="str"/>
      <x:c r="M140" s="4" t="str">
        <x:v>未测</x:v>
      </x:c>
      <x:c r="N140" s="4" t="str"/>
      <x:c r="O140" s="4" t="str">
        <x:v>1. 来源（原型批注）：liveshow-proto/prototype/annotations/admin.js；admin-lucky-gift-config.html
2. 页面：admin-lucky-gift-config.html
3. 规则：BR-37C628CDF02B49、BR-EF5F788A9DFFBF
4. 场景：SC-6AEEDD477D91B1
5. 未动态验证</x:v>
      </x:c>
    </x:row>
    <x:row r="141" ht="54" customHeight="1">
      <x:c r="A141" s="4" t="n">
        <x:v>140</x:v>
      </x:c>
      <x:c r="B141" s="4" t="str">
        <x:v>AGIFT-0059</x:v>
      </x:c>
      <x:c r="C141" s="4" t="str">
        <x:v>礼物与道具</x:v>
      </x:c>
      <x:c r="D141" s="4" t="str">
        <x:v>幸运礼物（平台管理员视角）</x:v>
      </x:c>
      <x:c r="E141" s="4" t="str">
        <x:v>功能需求</x:v>
      </x:c>
      <x:c r="F141" s="4" t="str">
        <x:v>P2</x:v>
      </x:c>
      <x:c r="G141" s="4" t="str">
        <x:v>验证幸运礼物可查看状态</x:v>
      </x:c>
      <x:c r="H141" s="4" t="str">
        <x:v>状态展示</x:v>
      </x:c>
      <x:c r="I141" s="4" t="str">
        <x:v>1. 平台管理员账号已登录且具备当前页面权限</x:v>
      </x:c>
      <x:c r="J141" s="4" t="str">
        <x:v>1. 进入幸运礼物
2. 查看状态</x:v>
      </x:c>
      <x:c r="K141" s="4" t="str">
        <x:v>幸运礼物显示“状态”</x:v>
      </x:c>
      <x:c r="L141" s="4" t="str"/>
      <x:c r="M141" s="4" t="str">
        <x:v>未测</x:v>
      </x:c>
      <x:c r="N141" s="4" t="str"/>
      <x:c r="O141" s="4" t="str">
        <x:v>1. 来源（原型批注）：liveshow-proto/prototype/annotations/admin.js；admin-lucky-gift-config.html
2. 页面：admin-lucky-gift-config.html
3. 规则：BR-C622A163817F9B、BR-F60EB89BCC9B9A
4. 场景：SC-107EDD9C41454B
5. 未动态验证</x:v>
      </x:c>
    </x:row>
    <x:row r="142" ht="54" customHeight="1">
      <x:c r="A142" s="4" t="n">
        <x:v>141</x:v>
      </x:c>
      <x:c r="B142" s="4" t="str">
        <x:v>AGIFT-0060</x:v>
      </x:c>
      <x:c r="C142" s="4" t="str">
        <x:v>礼物与道具</x:v>
      </x:c>
      <x:c r="D142" s="4" t="str">
        <x:v>幸运礼物（平台管理员视角）</x:v>
      </x:c>
      <x:c r="E142" s="4" t="str">
        <x:v>功能需求</x:v>
      </x:c>
      <x:c r="F142" s="4" t="str">
        <x:v>P2</x:v>
      </x:c>
      <x:c r="G142" s="4" t="str">
        <x:v>验证幸运礼物可查看RTP</x:v>
      </x:c>
      <x:c r="H142" s="4" t="str">
        <x:v>RTP展示</x:v>
      </x:c>
      <x:c r="I142" s="4" t="str">
        <x:v>1. 平台管理员账号已登录且具备当前页面权限</x:v>
      </x:c>
      <x:c r="J142" s="4" t="str">
        <x:v>1. 进入幸运礼物
2. 查看RTP</x:v>
      </x:c>
      <x:c r="K142" s="4" t="str">
        <x:v>幸运礼物显示“RTP”</x:v>
      </x:c>
      <x:c r="L142" s="4" t="str"/>
      <x:c r="M142" s="4" t="str">
        <x:v>未测</x:v>
      </x:c>
      <x:c r="N142" s="4" t="str"/>
      <x:c r="O142" s="4" t="str">
        <x:v>1. 来源（原型批注）：liveshow-proto/prototype/annotations/admin.js；admin-lucky-gift-config.html
2. 页面：admin-lucky-gift-config.html
3. 规则：BR-15BD2050EB4C76、BR-B0E0B336D468C1
4. 场景：SC-A1EFA452DDBB26
5. 未动态验证</x:v>
      </x:c>
    </x:row>
    <x:row r="143" ht="54" customHeight="1">
      <x:c r="A143" s="4" t="n">
        <x:v>142</x:v>
      </x:c>
      <x:c r="B143" s="4" t="str">
        <x:v>AGIFT-0061</x:v>
      </x:c>
      <x:c r="C143" s="4" t="str">
        <x:v>礼物与道具</x:v>
      </x:c>
      <x:c r="D143" s="4" t="str">
        <x:v>幸运礼物（平台管理员视角）</x:v>
      </x:c>
      <x:c r="E143" s="4" t="str">
        <x:v>功能需求</x:v>
      </x:c>
      <x:c r="F143" s="4" t="str">
        <x:v>P2</x:v>
      </x:c>
      <x:c r="G143" s="4" t="str">
        <x:v>验证幸运礼物收益比例的默认状态</x:v>
      </x:c>
      <x:c r="H143" s="4" t="str">
        <x:v>幸运礼物收益比例默认值</x:v>
      </x:c>
      <x:c r="I143" s="4" t="str">
        <x:v>1. 平台管理员账号已登录且具备当前页面权限</x:v>
      </x:c>
      <x:c r="J143" s="4" t="str">
        <x:v>1. 进入幸运礼物
2. 查看幸运礼物收益比例</x:v>
      </x:c>
      <x:c r="K143" s="4" t="str">
        <x:v>默认 1%，可配置 0% 至 100%</x:v>
      </x:c>
      <x:c r="L143" s="4" t="str"/>
      <x:c r="M143" s="4" t="str">
        <x:v>未测</x:v>
      </x:c>
      <x:c r="N143" s="4" t="str"/>
      <x:c r="O143" s="4" t="str">
        <x:v>1. 来源（原型批注）：liveshow-proto/prototype/annotations/admin.js；admin-lucky-gift-config.html
2. 页面：admin-lucky-gift-config.html
3. 规则：BR-EF5F788A9DFFBF
4. 场景：SC-D02D94EF0E6BF8
5. 未动态验证</x:v>
      </x:c>
    </x:row>
    <x:row r="144" ht="54" customHeight="1">
      <x:c r="A144" s="4" t="n">
        <x:v>143</x:v>
      </x:c>
      <x:c r="B144" s="4" t="str">
        <x:v>AGIFT-0062</x:v>
      </x:c>
      <x:c r="C144" s="4" t="str">
        <x:v>礼物与道具</x:v>
      </x:c>
      <x:c r="D144" s="4" t="str">
        <x:v>幸运礼物编辑（平台管理员视角）</x:v>
      </x:c>
      <x:c r="E144" s="4" t="str">
        <x:v>业务流程</x:v>
      </x:c>
      <x:c r="F144" s="4" t="str">
        <x:v>P2</x:v>
      </x:c>
      <x:c r="G144" s="4" t="str">
        <x:v>验证保存后的幸运礼物编辑状态</x:v>
      </x:c>
      <x:c r="H144" s="4" t="str">
        <x:v>幸运礼物编辑状态</x:v>
      </x:c>
      <x:c r="I144" s="4" t="str">
        <x:v>1. 平台管理员账号已登录且具备当前页面权限</x:v>
      </x:c>
      <x:c r="J144" s="4" t="str">
        <x:v>1. 进入幸运礼物编辑
2. 保存</x:v>
      </x:c>
      <x:c r="K144" s="4" t="str">
        <x:v>更新配置</x:v>
      </x:c>
      <x:c r="L144" s="4" t="str"/>
      <x:c r="M144" s="4" t="str">
        <x:v>未测</x:v>
      </x:c>
      <x:c r="N144" s="4" t="str"/>
      <x:c r="O144" s="4" t="str">
        <x:v>1. 来源（原型批注）：liveshow-proto/prototype/annotations/admin.js；admin-lucky-gift-detail.html
2. 页面：admin-lucky-gift-detail.html
3. 规则：BR-B8C64A59D30A41
4. 场景：SC-2A0619BE50FCF8
5. 未动态验证</x:v>
      </x:c>
    </x:row>
    <x:row r="145" ht="54" customHeight="1">
      <x:c r="A145" s="4" t="n">
        <x:v>144</x:v>
      </x:c>
      <x:c r="B145" s="4" t="str">
        <x:v>AGIFT-0063</x:v>
      </x:c>
      <x:c r="C145" s="4" t="str">
        <x:v>礼物与道具</x:v>
      </x:c>
      <x:c r="D145" s="4" t="str">
        <x:v>幸运礼物编辑（平台管理员视角）</x:v>
      </x:c>
      <x:c r="E145" s="4" t="str">
        <x:v>功能需求</x:v>
      </x:c>
      <x:c r="F145" s="4" t="str">
        <x:v>P2</x:v>
      </x:c>
      <x:c r="G145" s="4" t="str">
        <x:v>验证概率合计非 100%时的幸运礼物编辑结果</x:v>
      </x:c>
      <x:c r="H145" s="4" t="str">
        <x:v>幸运礼物编辑条件结果</x:v>
      </x:c>
      <x:c r="I145" s="4" t="str">
        <x:v>1. 平台管理员账号已登录且具备当前页面权限
2. 概率合计非 100%</x:v>
      </x:c>
      <x:c r="J145" s="4" t="str">
        <x:v>1. 进入幸运礼物编辑
2. 查看幸运礼物编辑</x:v>
      </x:c>
      <x:c r="K145" s="4" t="str">
        <x:v>不得生效</x:v>
      </x:c>
      <x:c r="L145" s="4" t="str"/>
      <x:c r="M145" s="4" t="str">
        <x:v>未测</x:v>
      </x:c>
      <x:c r="N145" s="4" t="str"/>
      <x:c r="O145" s="4" t="str">
        <x:v>1. 来源（原型批注）：liveshow-proto/prototype/annotations/admin.js；admin-lucky-gift-detail.html
2. 页面：admin-lucky-gift-detail.html
3. 规则：BR-CBAE60EE5B7C0D
4. 场景：SC-A911C2ED30B16E
5. 未动态验证</x:v>
      </x:c>
    </x:row>
    <x:row r="146" ht="54" customHeight="1">
      <x:c r="A146" s="4" t="n">
        <x:v>145</x:v>
      </x:c>
      <x:c r="B146" s="4" t="str">
        <x:v>AGIFT-0064</x:v>
      </x:c>
      <x:c r="C146" s="4" t="str">
        <x:v>礼物与道具</x:v>
      </x:c>
      <x:c r="D146" s="4" t="str">
        <x:v>幸运礼物编辑（平台管理员视角）</x:v>
      </x:c>
      <x:c r="E146" s="4" t="str">
        <x:v>功能需求</x:v>
      </x:c>
      <x:c r="F146" s="4" t="str">
        <x:v>P2</x:v>
      </x:c>
      <x:c r="G146" s="4" t="str">
        <x:v>验证结果超过一位小数时的幸运礼物编辑结果</x:v>
      </x:c>
      <x:c r="H146" s="4" t="str">
        <x:v>幸运礼物编辑条件结果</x:v>
      </x:c>
      <x:c r="I146" s="4" t="str">
        <x:v>1. 平台管理员账号已登录且具备当前页面权限
2. 结果超过一位小数</x:v>
      </x:c>
      <x:c r="J146" s="4" t="str">
        <x:v>1. 进入幸运礼物编辑
2. 查看幸运礼物编辑</x:v>
      </x:c>
      <x:c r="K146" s="4" t="str">
        <x:v>向上取整至一位小数，保存前自动校验</x:v>
      </x:c>
      <x:c r="L146" s="4" t="str"/>
      <x:c r="M146" s="4" t="str">
        <x:v>未测</x:v>
      </x:c>
      <x:c r="N146" s="4" t="str"/>
      <x:c r="O146" s="4" t="str">
        <x:v>1. 来源（原型批注）：liveshow-proto/prototype/annotations/admin.js；admin-lucky-gift-detail.html
2. 页面：admin-lucky-gift-detail.html
3. 规则：BR-237BAA8A69AC56
4. 场景：SC-5AAA8CB5A7738D
5. 未动态验证</x:v>
      </x:c>
    </x:row>
    <x:row r="147" ht="54" customHeight="1">
      <x:c r="A147" s="4" t="n">
        <x:v>146</x:v>
      </x:c>
      <x:c r="B147" s="4" t="str">
        <x:v>AGIFT-0065</x:v>
      </x:c>
      <x:c r="C147" s="4" t="str">
        <x:v>礼物与道具</x:v>
      </x:c>
      <x:c r="D147" s="4" t="str">
        <x:v>幸运礼物编辑（平台管理员视角）</x:v>
      </x:c>
      <x:c r="E147" s="4" t="str">
        <x:v>功能需求</x:v>
      </x:c>
      <x:c r="F147" s="4" t="str">
        <x:v>P2</x:v>
      </x:c>
      <x:c r="G147" s="4" t="str">
        <x:v>验证幸运礼物编辑可查看单次消耗</x:v>
      </x:c>
      <x:c r="H147" s="4" t="str">
        <x:v>单次消耗展示</x:v>
      </x:c>
      <x:c r="I147" s="4" t="str">
        <x:v>1. 平台管理员账号已登录且具备当前页面权限</x:v>
      </x:c>
      <x:c r="J147" s="4" t="str">
        <x:v>1. 进入幸运礼物编辑
2. 查看单次消耗</x:v>
      </x:c>
      <x:c r="K147" s="4" t="str">
        <x:v>幸运礼物编辑显示“单次消耗”</x:v>
      </x:c>
      <x:c r="L147" s="4" t="str"/>
      <x:c r="M147" s="4" t="str">
        <x:v>未测</x:v>
      </x:c>
      <x:c r="N147" s="4" t="str"/>
      <x:c r="O147" s="4" t="str">
        <x:v>1. 来源（原型批注）：liveshow-proto/prototype/annotations/admin.js；admin-lucky-gift-detail.html
2. 页面：admin-lucky-gift-detail.html
3. 规则：BR-3CFE4B128BF88A
4. 场景：SC-4B4F6CC57B543B
5. 未动态验证</x:v>
      </x:c>
    </x:row>
    <x:row r="148" ht="54" customHeight="1">
      <x:c r="A148" s="4" t="n">
        <x:v>147</x:v>
      </x:c>
      <x:c r="B148" s="4" t="str">
        <x:v>AGIFT-0066</x:v>
      </x:c>
      <x:c r="C148" s="4" t="str">
        <x:v>礼物与道具</x:v>
      </x:c>
      <x:c r="D148" s="4" t="str">
        <x:v>幸运礼物编辑（平台管理员视角）</x:v>
      </x:c>
      <x:c r="E148" s="4" t="str">
        <x:v>功能需求</x:v>
      </x:c>
      <x:c r="F148" s="4" t="str">
        <x:v>P2</x:v>
      </x:c>
      <x:c r="G148" s="4" t="str">
        <x:v>验证幸运礼物编辑可查看奖励金币</x:v>
      </x:c>
      <x:c r="H148" s="4" t="str">
        <x:v>奖励金币展示</x:v>
      </x:c>
      <x:c r="I148" s="4" t="str">
        <x:v>1. 平台管理员账号已登录且具备当前页面权限</x:v>
      </x:c>
      <x:c r="J148" s="4" t="str">
        <x:v>1. 进入幸运礼物编辑
2. 查看奖励金币</x:v>
      </x:c>
      <x:c r="K148" s="4" t="str">
        <x:v>幸运礼物编辑显示“奖励金币”</x:v>
      </x:c>
      <x:c r="L148" s="4" t="str"/>
      <x:c r="M148" s="4" t="str">
        <x:v>未测</x:v>
      </x:c>
      <x:c r="N148" s="4" t="str"/>
      <x:c r="O148" s="4" t="str">
        <x:v>1. 来源（原型批注）：liveshow-proto/prototype/annotations/admin.js；admin-lucky-gift-detail.html
2. 页面：admin-lucky-gift-detail.html
3. 规则：BR-0F2D32BB766C9E、BR-10938FEC2467AA
4. 场景：SC-0BFEED9CA9A4ED
5. 未动态验证</x:v>
      </x:c>
    </x:row>
    <x:row r="149" ht="54" customHeight="1">
      <x:c r="A149" s="4" t="n">
        <x:v>148</x:v>
      </x:c>
      <x:c r="B149" s="4" t="str">
        <x:v>AGIFT-0067</x:v>
      </x:c>
      <x:c r="C149" s="4" t="str">
        <x:v>礼物与道具</x:v>
      </x:c>
      <x:c r="D149" s="4" t="str">
        <x:v>幸运礼物编辑（平台管理员视角）</x:v>
      </x:c>
      <x:c r="E149" s="4" t="str">
        <x:v>功能需求</x:v>
      </x:c>
      <x:c r="F149" s="4" t="str">
        <x:v>P2</x:v>
      </x:c>
      <x:c r="G149" s="4" t="str">
        <x:v>验证幸运礼物编辑可查看开奖次数</x:v>
      </x:c>
      <x:c r="H149" s="4" t="str">
        <x:v>开奖次数展示</x:v>
      </x:c>
      <x:c r="I149" s="4" t="str">
        <x:v>1. 平台管理员账号已登录且具备当前页面权限</x:v>
      </x:c>
      <x:c r="J149" s="4" t="str">
        <x:v>1. 进入幸运礼物编辑
2. 查看开奖次数</x:v>
      </x:c>
      <x:c r="K149" s="4" t="str">
        <x:v>幸运礼物编辑显示“开奖次数”</x:v>
      </x:c>
      <x:c r="L149" s="4" t="str"/>
      <x:c r="M149" s="4" t="str">
        <x:v>未测</x:v>
      </x:c>
      <x:c r="N149" s="4" t="str"/>
      <x:c r="O149" s="4" t="str">
        <x:v>1. 来源（原型批注）：liveshow-proto/prototype/annotations/admin.js；admin-lucky-gift-detail.html
2. 页面：admin-lucky-gift-detail.html
3. 规则：BR-2D13C226B64106、BR-55ED3ECE2A9DD5
4. 场景：SC-8AA20A336D81E6
5. 未动态验证</x:v>
      </x:c>
    </x:row>
    <x:row r="150" ht="54" customHeight="1">
      <x:c r="A150" s="4" t="n">
        <x:v>149</x:v>
      </x:c>
      <x:c r="B150" s="4" t="str">
        <x:v>AGIFT-0068</x:v>
      </x:c>
      <x:c r="C150" s="4" t="str">
        <x:v>礼物与道具</x:v>
      </x:c>
      <x:c r="D150" s="4" t="str">
        <x:v>幸运礼物编辑（平台管理员视角）</x:v>
      </x:c>
      <x:c r="E150" s="4" t="str">
        <x:v>功能需求</x:v>
      </x:c>
      <x:c r="F150" s="4" t="str">
        <x:v>P2</x:v>
      </x:c>
      <x:c r="G150" s="4" t="str">
        <x:v>验证幸运礼物编辑可查看礼物 ID / 四语名称 / 资源</x:v>
      </x:c>
      <x:c r="H150" s="4" t="str">
        <x:v>礼物 ID / 四语名称 / 资源展示</x:v>
      </x:c>
      <x:c r="I150" s="4" t="str">
        <x:v>1. 平台管理员账号已登录且具备当前页面权限</x:v>
      </x:c>
      <x:c r="J150" s="4" t="str">
        <x:v>1. 进入幸运礼物编辑
2. 查看礼物 ID / 四语名称 / 资源</x:v>
      </x:c>
      <x:c r="K150" s="4" t="str">
        <x:v>幸运礼物编辑显示“礼物 ID / 四语名称 / 资源”</x:v>
      </x:c>
      <x:c r="L150" s="4" t="str"/>
      <x:c r="M150" s="4" t="str">
        <x:v>未测</x:v>
      </x:c>
      <x:c r="N150" s="4" t="str"/>
      <x:c r="O150" s="4" t="str">
        <x:v>1. 来源（原型批注）：liveshow-proto/prototype/annotations/admin.js；admin-lucky-gift-detail.html
2. 页面：admin-lucky-gift-detail.html
3. 规则：BR-EA7CBC8E750201、BR-9EF7FF127A8D65
4. 场景：SC-93B5581EEDE934
5. 未动态验证</x:v>
      </x:c>
    </x:row>
    <x:row r="151" ht="54" customHeight="1">
      <x:c r="A151" s="4" t="n">
        <x:v>150</x:v>
      </x:c>
      <x:c r="B151" s="4" t="str">
        <x:v>AGIFT-0069</x:v>
      </x:c>
      <x:c r="C151" s="4" t="str">
        <x:v>礼物与道具</x:v>
      </x:c>
      <x:c r="D151" s="4" t="str">
        <x:v>幸运礼物编辑（平台管理员视角）</x:v>
      </x:c>
      <x:c r="E151" s="4" t="str">
        <x:v>功能需求</x:v>
      </x:c>
      <x:c r="F151" s="4" t="str">
        <x:v>P2</x:v>
      </x:c>
      <x:c r="G151" s="4" t="str">
        <x:v>验证幸运礼物编辑可查看中奖概率</x:v>
      </x:c>
      <x:c r="H151" s="4" t="str">
        <x:v>中奖概率展示</x:v>
      </x:c>
      <x:c r="I151" s="4" t="str">
        <x:v>1. 平台管理员账号已登录且具备当前页面权限</x:v>
      </x:c>
      <x:c r="J151" s="4" t="str">
        <x:v>1. 进入幸运礼物编辑
2. 查看中奖概率</x:v>
      </x:c>
      <x:c r="K151" s="4" t="str">
        <x:v>幸运礼物编辑显示“中奖概率”</x:v>
      </x:c>
      <x:c r="L151" s="4" t="str"/>
      <x:c r="M151" s="4" t="str">
        <x:v>未测</x:v>
      </x:c>
      <x:c r="N151" s="4" t="str"/>
      <x:c r="O151" s="4" t="str">
        <x:v>1. 来源（原型批注）：liveshow-proto/prototype/annotations/admin.js；admin-lucky-gift-detail.html
2. 页面：admin-lucky-gift-detail.html
3. 规则：BR-7616F1C8432500
4. 场景：SC-D78F6FCE36B17B
5. 未动态验证</x:v>
      </x:c>
    </x:row>
    <x:row r="152" ht="54" customHeight="1">
      <x:c r="A152" s="4" t="n">
        <x:v>151</x:v>
      </x:c>
      <x:c r="B152" s="4" t="str">
        <x:v>AGIFT-0070</x:v>
      </x:c>
      <x:c r="C152" s="4" t="str">
        <x:v>礼物与道具</x:v>
      </x:c>
      <x:c r="D152" s="4" t="str">
        <x:v>幸运礼物编辑（平台管理员视角）</x:v>
      </x:c>
      <x:c r="E152" s="4" t="str">
        <x:v>功能需求</x:v>
      </x:c>
      <x:c r="F152" s="4" t="str">
        <x:v>P2</x:v>
      </x:c>
      <x:c r="G152" s="4" t="str">
        <x:v>验证幸运礼物编辑可查看RTP</x:v>
      </x:c>
      <x:c r="H152" s="4" t="str">
        <x:v>RTP展示</x:v>
      </x:c>
      <x:c r="I152" s="4" t="str">
        <x:v>1. 平台管理员账号已登录且具备当前页面权限</x:v>
      </x:c>
      <x:c r="J152" s="4" t="str">
        <x:v>1. 进入幸运礼物编辑
2. 查看RTP</x:v>
      </x:c>
      <x:c r="K152" s="4" t="str">
        <x:v>幸运礼物编辑显示“RTP”</x:v>
      </x:c>
      <x:c r="L152" s="4" t="str"/>
      <x:c r="M152" s="4" t="str">
        <x:v>未测</x:v>
      </x:c>
      <x:c r="N152" s="4" t="str"/>
      <x:c r="O152" s="4" t="str">
        <x:v>1. 来源（原型批注）：liveshow-proto/prototype/annotations/admin.js；admin-lucky-gift-detail.html
2. 页面：admin-lucky-gift-detail.html
3. 规则：BR-5E4A3C020FBF1F、BR-237BAA8A69AC56
4. 场景：SC-651ADB07BD5268
5. 未动态验证</x:v>
      </x:c>
    </x:row>
    <x:row r="153" ht="54" customHeight="1">
      <x:c r="A153" s="4" t="n">
        <x:v>152</x:v>
      </x:c>
      <x:c r="B153" s="4" t="str">
        <x:v>AGIFT-0071</x:v>
      </x:c>
      <x:c r="C153" s="4" t="str">
        <x:v>礼物与道具</x:v>
      </x:c>
      <x:c r="D153" s="4" t="str">
        <x:v>幸运礼物编辑（平台管理员视角）</x:v>
      </x:c>
      <x:c r="E153" s="4" t="str">
        <x:v>功能需求</x:v>
      </x:c>
      <x:c r="F153" s="4" t="str">
        <x:v>P2</x:v>
      </x:c>
      <x:c r="G153" s="4" t="str">
        <x:v>验证RTP 未验证时的幸运礼物编辑结果</x:v>
      </x:c>
      <x:c r="H153" s="4" t="str">
        <x:v>幸运礼物编辑条件结果</x:v>
      </x:c>
      <x:c r="I153" s="4" t="str">
        <x:v>1. 平台管理员账号已登录且具备当前页面权限
2. RTP 未验证</x:v>
      </x:c>
      <x:c r="J153" s="4" t="str">
        <x:v>1. 进入幸运礼物编辑
2. 查看幸运礼物编辑</x:v>
      </x:c>
      <x:c r="K153" s="4" t="str">
        <x:v>不得生效</x:v>
      </x:c>
      <x:c r="L153" s="4" t="str"/>
      <x:c r="M153" s="4" t="str">
        <x:v>未测</x:v>
      </x:c>
      <x:c r="N153" s="4" t="str"/>
      <x:c r="O153" s="4" t="str">
        <x:v>1. 来源（原型批注）：liveshow-proto/prototype/annotations/admin.js；admin-lucky-gift-detail.html
2. 页面：admin-lucky-gift-detail.html
3. 规则：BR-CBAE60EE5B7C0D
4. 场景：SC-59757C99F50F98
5. 未动态验证</x:v>
      </x:c>
    </x:row>
    <x:row r="154" ht="54" customHeight="1">
      <x:c r="A154" s="4" t="n">
        <x:v>153</x:v>
      </x:c>
      <x:c r="B154" s="4" t="str">
        <x:v>ACONT-0001</x:v>
      </x:c>
      <x:c r="C154" s="4" t="str">
        <x:v>内容审核</x:v>
      </x:c>
      <x:c r="D154" s="4" t="str">
        <x:v>举报详情（平台管理员视角）</x:v>
      </x:c>
      <x:c r="E154" s="4" t="str">
        <x:v>功能需求</x:v>
      </x:c>
      <x:c r="F154" s="4" t="str">
        <x:v>P1</x:v>
      </x:c>
      <x:c r="G154" s="4" t="str">
        <x:v>验证举报详情可查看举报对象</x:v>
      </x:c>
      <x:c r="H154" s="4" t="str">
        <x:v>举报对象展示</x:v>
      </x:c>
      <x:c r="I154" s="4" t="str">
        <x:v>1. 平台管理员账号已登录且具备当前页面权限</x:v>
      </x:c>
      <x:c r="J154" s="4" t="str">
        <x:v>1. 进入举报详情
2. 查看举报对象</x:v>
      </x:c>
      <x:c r="K154" s="4" t="str">
        <x:v>举报详情显示“举报对象”</x:v>
      </x:c>
      <x:c r="L154" s="4" t="str"/>
      <x:c r="M154" s="4" t="str">
        <x:v>未测</x:v>
      </x:c>
      <x:c r="N154" s="4" t="str"/>
      <x:c r="O154" s="4" t="str">
        <x:v>1. 来源（原型批注）：liveshow-proto/prototype/annotations/admin.js；admin-report-detail.html
2. 页面：admin-report-detail.html
3. 规则：BR-13E9C3412830B5、BR-DB6BBCB3159805
4. 场景：SC-A9F1890697674E
5. 未动态验证</x:v>
      </x:c>
    </x:row>
    <x:row r="155" ht="54" customHeight="1">
      <x:c r="A155" s="4" t="n">
        <x:v>154</x:v>
      </x:c>
      <x:c r="B155" s="4" t="str">
        <x:v>ACONT-0002</x:v>
      </x:c>
      <x:c r="C155" s="4" t="str">
        <x:v>内容审核</x:v>
      </x:c>
      <x:c r="D155" s="4" t="str">
        <x:v>举报详情（平台管理员视角）</x:v>
      </x:c>
      <x:c r="E155" s="4" t="str">
        <x:v>功能需求</x:v>
      </x:c>
      <x:c r="F155" s="4" t="str">
        <x:v>P1</x:v>
      </x:c>
      <x:c r="G155" s="4" t="str">
        <x:v>验证举报详情可查看内容 / 证据</x:v>
      </x:c>
      <x:c r="H155" s="4" t="str">
        <x:v>内容 / 证据展示</x:v>
      </x:c>
      <x:c r="I155" s="4" t="str">
        <x:v>1. 平台管理员账号已登录且具备当前页面权限</x:v>
      </x:c>
      <x:c r="J155" s="4" t="str">
        <x:v>1. 进入举报详情
2. 查看内容 / 证据</x:v>
      </x:c>
      <x:c r="K155" s="4" t="str">
        <x:v>举报详情显示“内容 / 证据”</x:v>
      </x:c>
      <x:c r="L155" s="4" t="str"/>
      <x:c r="M155" s="4" t="str">
        <x:v>未测</x:v>
      </x:c>
      <x:c r="N155" s="4" t="str"/>
      <x:c r="O155" s="4" t="str">
        <x:v>1. 来源（原型批注）：liveshow-proto/prototype/annotations/admin.js；admin-report-detail.html
2. 页面：admin-report-detail.html
3. 规则：BR-CC349F66B621E5
4. 场景：SC-3AD6BA6DB8ADFB
5. 未动态验证</x:v>
      </x:c>
    </x:row>
    <x:row r="156" ht="54" customHeight="1">
      <x:c r="A156" s="4" t="n">
        <x:v>155</x:v>
      </x:c>
      <x:c r="B156" s="4" t="str">
        <x:v>ACONT-0003</x:v>
      </x:c>
      <x:c r="C156" s="4" t="str">
        <x:v>内容审核</x:v>
      </x:c>
      <x:c r="D156" s="4" t="str">
        <x:v>举报详情（平台管理员视角）</x:v>
      </x:c>
      <x:c r="E156" s="4" t="str">
        <x:v>功能需求</x:v>
      </x:c>
      <x:c r="F156" s="4" t="str">
        <x:v>P1</x:v>
      </x:c>
      <x:c r="G156" s="4" t="str">
        <x:v>验证举报详情可查看通知</x:v>
      </x:c>
      <x:c r="H156" s="4" t="str">
        <x:v>通知展示</x:v>
      </x:c>
      <x:c r="I156" s="4" t="str">
        <x:v>1. 平台管理员账号已登录且具备当前页面权限</x:v>
      </x:c>
      <x:c r="J156" s="4" t="str">
        <x:v>1. 进入举报详情
2. 查看通知</x:v>
      </x:c>
      <x:c r="K156" s="4" t="str">
        <x:v>举报详情显示“通知”</x:v>
      </x:c>
      <x:c r="L156" s="4" t="str"/>
      <x:c r="M156" s="4" t="str">
        <x:v>未测</x:v>
      </x:c>
      <x:c r="N156" s="4" t="str"/>
      <x:c r="O156" s="4" t="str">
        <x:v>1. 来源（原型批注）：liveshow-proto/prototype/annotations/admin.js；admin-report-detail.html
2. 页面：admin-report-detail.html
3. 规则：BR-F011BF41F6A854、BR-EEE4B52312AD1F
4. 场景：SC-4C8F5408F92397
5. 未动态验证</x:v>
      </x:c>
    </x:row>
    <x:row r="157" ht="54" customHeight="1">
      <x:c r="A157" s="4" t="n">
        <x:v>156</x:v>
      </x:c>
      <x:c r="B157" s="4" t="str">
        <x:v>ACONT-0004</x:v>
      </x:c>
      <x:c r="C157" s="4" t="str">
        <x:v>内容审核</x:v>
      </x:c>
      <x:c r="D157" s="4" t="str">
        <x:v>举报详情（平台管理员视角）</x:v>
      </x:c>
      <x:c r="E157" s="4" t="str">
        <x:v>功能需求</x:v>
      </x:c>
      <x:c r="F157" s="4" t="str">
        <x:v>P1</x:v>
      </x:c>
      <x:c r="G157" s="4" t="str">
        <x:v>验证执行处罚时的举报详情结果</x:v>
      </x:c>
      <x:c r="H157" s="4" t="str">
        <x:v>举报详情条件结果</x:v>
      </x:c>
      <x:c r="I157" s="4" t="str">
        <x:v>1. 平台管理员账号已登录且具备当前页面权限
2. 执行处罚</x:v>
      </x:c>
      <x:c r="J157" s="4" t="str">
        <x:v>1. 进入举报详情
2. 查看举报详情</x:v>
      </x:c>
      <x:c r="K157" s="4" t="str">
        <x:v>必填并写入日志</x:v>
      </x:c>
      <x:c r="L157" s="4" t="str"/>
      <x:c r="M157" s="4" t="str">
        <x:v>未测</x:v>
      </x:c>
      <x:c r="N157" s="4" t="str"/>
      <x:c r="O157" s="4" t="str">
        <x:v>1. 来源（原型批注）：liveshow-proto/prototype/annotations/admin.js；admin-report-detail.html
2. 页面：admin-report-detail.html
3. 规则：BR-029E24ADF6C83B
4. 场景：SC-8C71D9DFF00AFF
5. 未动态验证</x:v>
      </x:c>
    </x:row>
    <x:row r="158" ht="54" customHeight="1">
      <x:c r="A158" s="4" t="n">
        <x:v>157</x:v>
      </x:c>
      <x:c r="B158" s="4" t="str">
        <x:v>ACONT-0005</x:v>
      </x:c>
      <x:c r="C158" s="4" t="str">
        <x:v>内容审核</x:v>
      </x:c>
      <x:c r="D158" s="4" t="str">
        <x:v>内容审核（平台管理员视角）</x:v>
      </x:c>
      <x:c r="E158" s="4" t="str">
        <x:v>功能需求</x:v>
      </x:c>
      <x:c r="F158" s="4" t="str">
        <x:v>P1</x:v>
      </x:c>
      <x:c r="G158" s="4" t="str">
        <x:v>验证内容审核可查看处置结果</x:v>
      </x:c>
      <x:c r="H158" s="4" t="str">
        <x:v>处置结果展示</x:v>
      </x:c>
      <x:c r="I158" s="4" t="str">
        <x:v>1. 平台管理员账号已登录且具备当前页面权限</x:v>
      </x:c>
      <x:c r="J158" s="4" t="str">
        <x:v>1. 进入内容审核
2. 查看处置结果</x:v>
      </x:c>
      <x:c r="K158" s="4" t="str">
        <x:v>内容审核显示“处置结果”</x:v>
      </x:c>
      <x:c r="L158" s="4" t="str"/>
      <x:c r="M158" s="4" t="str">
        <x:v>未测</x:v>
      </x:c>
      <x:c r="N158" s="4" t="str"/>
      <x:c r="O158" s="4" t="str">
        <x:v>1. 来源（原型批注）：liveshow-proto/prototype/annotations/admin.js；admin-content-audit.html
2. 页面：admin-content-audit.html
3. 规则：BR-4537F075CA22C9、BR-48EC77C1EB2BBA
4. 场景：SC-CC6A5E85955FD2
5. 未动态验证</x:v>
      </x:c>
    </x:row>
    <x:row r="159" ht="54" customHeight="1">
      <x:c r="A159" s="4" t="n">
        <x:v>158</x:v>
      </x:c>
      <x:c r="B159" s="4" t="str">
        <x:v>ACONT-0006</x:v>
      </x:c>
      <x:c r="C159" s="4" t="str">
        <x:v>内容审核</x:v>
      </x:c>
      <x:c r="D159" s="4" t="str">
        <x:v>内容审核（平台管理员视角）</x:v>
      </x:c>
      <x:c r="E159" s="4" t="str">
        <x:v>功能需求</x:v>
      </x:c>
      <x:c r="F159" s="4" t="str">
        <x:v>P1</x:v>
      </x:c>
      <x:c r="G159" s="4" t="str">
        <x:v>验证内容审核可查看告警截图</x:v>
      </x:c>
      <x:c r="H159" s="4" t="str">
        <x:v>告警截图展示</x:v>
      </x:c>
      <x:c r="I159" s="4" t="str">
        <x:v>1. 平台管理员账号已登录且具备当前页面权限</x:v>
      </x:c>
      <x:c r="J159" s="4" t="str">
        <x:v>1. 进入内容审核
2. 查看告警截图</x:v>
      </x:c>
      <x:c r="K159" s="4" t="str">
        <x:v>内容审核显示“告警截图”</x:v>
      </x:c>
      <x:c r="L159" s="4" t="str"/>
      <x:c r="M159" s="4" t="str">
        <x:v>未测</x:v>
      </x:c>
      <x:c r="N159" s="4" t="str"/>
      <x:c r="O159" s="4" t="str">
        <x:v>1. 来源（原型批注）：liveshow-proto/prototype/annotations/admin.js；admin-content-audit.html
2. 页面：admin-content-audit.html
3. 规则：BR-09E31E6405E238
4. 场景：SC-3FBBC577D32632
5. 未动态验证</x:v>
      </x:c>
    </x:row>
    <x:row r="160" ht="54" customHeight="1">
      <x:c r="A160" s="4" t="n">
        <x:v>159</x:v>
      </x:c>
      <x:c r="B160" s="4" t="str">
        <x:v>ACONT-0007</x:v>
      </x:c>
      <x:c r="C160" s="4" t="str">
        <x:v>内容审核</x:v>
      </x:c>
      <x:c r="D160" s="4" t="str">
        <x:v>内容审核（平台管理员视角）</x:v>
      </x:c>
      <x:c r="E160" s="4" t="str">
        <x:v>功能需求</x:v>
      </x:c>
      <x:c r="F160" s="4" t="str">
        <x:v>P1</x:v>
      </x:c>
      <x:c r="G160" s="4" t="str">
        <x:v>验证内容审核可查看命中类型 / 风险等级</x:v>
      </x:c>
      <x:c r="H160" s="4" t="str">
        <x:v>命中类型 / 风险等级展示</x:v>
      </x:c>
      <x:c r="I160" s="4" t="str">
        <x:v>1. 平台管理员账号已登录且具备当前页面权限</x:v>
      </x:c>
      <x:c r="J160" s="4" t="str">
        <x:v>1. 进入内容审核
2. 查看命中类型 / 风险等级</x:v>
      </x:c>
      <x:c r="K160" s="4" t="str">
        <x:v>内容审核显示“命中类型 / 风险等级”</x:v>
      </x:c>
      <x:c r="L160" s="4" t="str"/>
      <x:c r="M160" s="4" t="str">
        <x:v>未测</x:v>
      </x:c>
      <x:c r="N160" s="4" t="str"/>
      <x:c r="O160" s="4" t="str">
        <x:v>1. 来源（原型批注）：liveshow-proto/prototype/annotations/admin.js；admin-content-audit.html
2. 页面：admin-content-audit.html
3. 规则：BR-B85A7BAB88F250
4. 场景：SC-1F63585538441C
5. 未动态验证</x:v>
      </x:c>
    </x:row>
    <x:row r="161" ht="54" customHeight="1">
      <x:c r="A161" s="4" t="n">
        <x:v>160</x:v>
      </x:c>
      <x:c r="B161" s="4" t="str">
        <x:v>ACONT-0008</x:v>
      </x:c>
      <x:c r="C161" s="4" t="str">
        <x:v>内容审核</x:v>
      </x:c>
      <x:c r="D161" s="4" t="str">
        <x:v>内容审核（平台管理员视角）</x:v>
      </x:c>
      <x:c r="E161" s="4" t="str">
        <x:v>功能需求</x:v>
      </x:c>
      <x:c r="F161" s="4" t="str">
        <x:v>P1</x:v>
      </x:c>
      <x:c r="G161" s="4" t="str">
        <x:v>验证内容审核可查看审核单号</x:v>
      </x:c>
      <x:c r="H161" s="4" t="str">
        <x:v>审核单号展示</x:v>
      </x:c>
      <x:c r="I161" s="4" t="str">
        <x:v>1. 平台管理员账号已登录且具备当前页面权限</x:v>
      </x:c>
      <x:c r="J161" s="4" t="str">
        <x:v>1. 进入内容审核
2. 查看审核单号</x:v>
      </x:c>
      <x:c r="K161" s="4" t="str">
        <x:v>内容审核显示“审核单号”</x:v>
      </x:c>
      <x:c r="L161" s="4" t="str"/>
      <x:c r="M161" s="4" t="str">
        <x:v>未测</x:v>
      </x:c>
      <x:c r="N161" s="4" t="str"/>
      <x:c r="O161" s="4" t="str">
        <x:v>1. 来源（原型批注）：liveshow-proto/prototype/annotations/admin.js；admin-content-audit.html
2. 页面：admin-content-audit.html
3. 规则：BR-6CC6068F15C022
4. 场景：SC-6E0E231CE90FF0
5. 未动态验证</x:v>
      </x:c>
    </x:row>
    <x:row r="162" ht="54" customHeight="1">
      <x:c r="A162" s="4" t="n">
        <x:v>161</x:v>
      </x:c>
      <x:c r="B162" s="4" t="str">
        <x:v>ACONT-0009</x:v>
      </x:c>
      <x:c r="C162" s="4" t="str">
        <x:v>内容审核</x:v>
      </x:c>
      <x:c r="D162" s="4" t="str">
        <x:v>内容审核（平台管理员视角）</x:v>
      </x:c>
      <x:c r="E162" s="4" t="str">
        <x:v>功能需求</x:v>
      </x:c>
      <x:c r="F162" s="4" t="str">
        <x:v>P1</x:v>
      </x:c>
      <x:c r="G162" s="4" t="str">
        <x:v>验证内容审核可查看审核状态</x:v>
      </x:c>
      <x:c r="H162" s="4" t="str">
        <x:v>审核状态展示</x:v>
      </x:c>
      <x:c r="I162" s="4" t="str">
        <x:v>1. 平台管理员账号已登录且具备当前页面权限</x:v>
      </x:c>
      <x:c r="J162" s="4" t="str">
        <x:v>1. 进入内容审核
2. 查看审核状态</x:v>
      </x:c>
      <x:c r="K162" s="4" t="str">
        <x:v>内容审核显示“审核状态”</x:v>
      </x:c>
      <x:c r="L162" s="4" t="str"/>
      <x:c r="M162" s="4" t="str">
        <x:v>未测</x:v>
      </x:c>
      <x:c r="N162" s="4" t="str"/>
      <x:c r="O162" s="4" t="str">
        <x:v>1. 来源（原型批注）：liveshow-proto/prototype/annotations/admin.js；admin-content-audit.html
2. 页面：admin-content-audit.html
3. 规则：BR-464D0278568277
4. 场景：SC-16C263F9DD5F5B
5. 未动态验证</x:v>
      </x:c>
    </x:row>
    <x:row r="163" ht="54" customHeight="1">
      <x:c r="A163" s="4" t="n">
        <x:v>162</x:v>
      </x:c>
      <x:c r="B163" s="4" t="str">
        <x:v>ACONT-0010</x:v>
      </x:c>
      <x:c r="C163" s="4" t="str">
        <x:v>内容审核</x:v>
      </x:c>
      <x:c r="D163" s="4" t="str">
        <x:v>内容审核详情（平台管理员视角）</x:v>
      </x:c>
      <x:c r="E163" s="4" t="str">
        <x:v>功能需求</x:v>
      </x:c>
      <x:c r="F163" s="4" t="str">
        <x:v>P1</x:v>
      </x:c>
      <x:c r="G163" s="4" t="str">
        <x:v>验证内容审核详情可查看处置类型</x:v>
      </x:c>
      <x:c r="H163" s="4" t="str">
        <x:v>处置类型展示</x:v>
      </x:c>
      <x:c r="I163" s="4" t="str">
        <x:v>1. 平台管理员账号已登录且具备当前页面权限</x:v>
      </x:c>
      <x:c r="J163" s="4" t="str">
        <x:v>1. 进入内容审核详情
2. 查看处置类型</x:v>
      </x:c>
      <x:c r="K163" s="4" t="str">
        <x:v>内容审核详情显示“处置类型”</x:v>
      </x:c>
      <x:c r="L163" s="4" t="str"/>
      <x:c r="M163" s="4" t="str">
        <x:v>未测</x:v>
      </x:c>
      <x:c r="N163" s="4" t="str"/>
      <x:c r="O163" s="4" t="str">
        <x:v>1. 来源（原型批注）：liveshow-proto/prototype/annotations/admin.js；admin-content-audit-detail.html
2. 页面：admin-content-audit-detail.html
3. 规则：BR-54B4A60A37BFC4
4. 场景：SC-5B35C051A11E54
5. 未动态验证</x:v>
      </x:c>
    </x:row>
    <x:row r="164" ht="54" customHeight="1">
      <x:c r="A164" s="4" t="n">
        <x:v>163</x:v>
      </x:c>
      <x:c r="B164" s="4" t="str">
        <x:v>ACONT-0011</x:v>
      </x:c>
      <x:c r="C164" s="4" t="str">
        <x:v>内容审核</x:v>
      </x:c>
      <x:c r="D164" s="4" t="str">
        <x:v>内容审核详情（平台管理员视角）</x:v>
      </x:c>
      <x:c r="E164" s="4" t="str">
        <x:v>功能需求</x:v>
      </x:c>
      <x:c r="F164" s="4" t="str">
        <x:v>P1</x:v>
      </x:c>
      <x:c r="G164" s="4" t="str">
        <x:v>验证内容审核详情可查看处置原因</x:v>
      </x:c>
      <x:c r="H164" s="4" t="str">
        <x:v>处置原因展示</x:v>
      </x:c>
      <x:c r="I164" s="4" t="str">
        <x:v>1. 平台管理员账号已登录且具备当前页面权限</x:v>
      </x:c>
      <x:c r="J164" s="4" t="str">
        <x:v>1. 进入内容审核详情
2. 查看处置原因</x:v>
      </x:c>
      <x:c r="K164" s="4" t="str">
        <x:v>内容审核详情显示“处置原因”</x:v>
      </x:c>
      <x:c r="L164" s="4" t="str"/>
      <x:c r="M164" s="4" t="str">
        <x:v>未测</x:v>
      </x:c>
      <x:c r="N164" s="4" t="str"/>
      <x:c r="O164" s="4" t="str">
        <x:v>1. 来源（原型批注）：liveshow-proto/prototype/annotations/admin.js；admin-content-audit-detail.html
2. 页面：admin-content-audit-detail.html
3. 规则：BR-D10F25B93F08B3
4. 场景：SC-AD45FDEB8AA668
5. 未动态验证</x:v>
      </x:c>
    </x:row>
    <x:row r="165" ht="54" customHeight="1">
      <x:c r="A165" s="4" t="n">
        <x:v>164</x:v>
      </x:c>
      <x:c r="B165" s="4" t="str">
        <x:v>ACONT-0012</x:v>
      </x:c>
      <x:c r="C165" s="4" t="str">
        <x:v>内容审核</x:v>
      </x:c>
      <x:c r="D165" s="4" t="str">
        <x:v>内容审核详情（平台管理员视角）</x:v>
      </x:c>
      <x:c r="E165" s="4" t="str">
        <x:v>功能需求</x:v>
      </x:c>
      <x:c r="F165" s="4" t="str">
        <x:v>P1</x:v>
      </x:c>
      <x:c r="G165" s="4" t="str">
        <x:v>验证内容审核详情可查看告警材料</x:v>
      </x:c>
      <x:c r="H165" s="4" t="str">
        <x:v>告警材料展示</x:v>
      </x:c>
      <x:c r="I165" s="4" t="str">
        <x:v>1. 平台管理员账号已登录且具备当前页面权限</x:v>
      </x:c>
      <x:c r="J165" s="4" t="str">
        <x:v>1. 进入内容审核详情
2. 查看告警材料</x:v>
      </x:c>
      <x:c r="K165" s="4" t="str">
        <x:v>内容审核详情显示“告警材料”</x:v>
      </x:c>
      <x:c r="L165" s="4" t="str"/>
      <x:c r="M165" s="4" t="str">
        <x:v>未测</x:v>
      </x:c>
      <x:c r="N165" s="4" t="str"/>
      <x:c r="O165" s="4" t="str">
        <x:v>1. 来源（原型批注）：liveshow-proto/prototype/annotations/admin.js；admin-content-audit-detail.html
2. 页面：admin-content-audit-detail.html
3. 规则：BR-4E50F40B3C49E0
4. 场景：SC-4A33E214D92603
5. 未动态验证</x:v>
      </x:c>
    </x:row>
    <x:row r="166" ht="54" customHeight="1">
      <x:c r="A166" s="4" t="n">
        <x:v>165</x:v>
      </x:c>
      <x:c r="B166" s="4" t="str">
        <x:v>ACONT-0013</x:v>
      </x:c>
      <x:c r="C166" s="4" t="str">
        <x:v>内容审核</x:v>
      </x:c>
      <x:c r="D166" s="4" t="str">
        <x:v>内容审核详情（平台管理员视角）</x:v>
      </x:c>
      <x:c r="E166" s="4" t="str">
        <x:v>功能需求</x:v>
      </x:c>
      <x:c r="F166" s="4" t="str">
        <x:v>P1</x:v>
      </x:c>
      <x:c r="G166" s="4" t="str">
        <x:v>验证内容审核详情可查看基础信息</x:v>
      </x:c>
      <x:c r="H166" s="4" t="str">
        <x:v>基础信息展示</x:v>
      </x:c>
      <x:c r="I166" s="4" t="str">
        <x:v>1. 平台管理员账号已登录且具备当前页面权限</x:v>
      </x:c>
      <x:c r="J166" s="4" t="str">
        <x:v>1. 进入内容审核详情
2. 查看基础信息</x:v>
      </x:c>
      <x:c r="K166" s="4" t="str">
        <x:v>内容审核详情显示“基础信息”</x:v>
      </x:c>
      <x:c r="L166" s="4" t="str"/>
      <x:c r="M166" s="4" t="str">
        <x:v>未测</x:v>
      </x:c>
      <x:c r="N166" s="4" t="str"/>
      <x:c r="O166" s="4" t="str">
        <x:v>1. 来源（原型批注）：liveshow-proto/prototype/annotations/admin.js；admin-content-audit-detail.html
2. 页面：admin-content-audit-detail.html
3. 规则：BR-79D2845C101DE8
4. 场景：SC-033BC0A5E77684
5. 未动态验证</x:v>
      </x:c>
    </x:row>
    <x:row r="167" ht="54" customHeight="1">
      <x:c r="A167" s="4" t="n">
        <x:v>166</x:v>
      </x:c>
      <x:c r="B167" s="4" t="str">
        <x:v>ACONT-0014</x:v>
      </x:c>
      <x:c r="C167" s="4" t="str">
        <x:v>内容审核</x:v>
      </x:c>
      <x:c r="D167" s="4" t="str">
        <x:v>违规类型（平台管理员视角）</x:v>
      </x:c>
      <x:c r="E167" s="4" t="str">
        <x:v>业务流程</x:v>
      </x:c>
      <x:c r="F167" s="4" t="str">
        <x:v>P1</x:v>
      </x:c>
      <x:c r="G167" s="4" t="str">
        <x:v>验证编辑后的违规类型状态</x:v>
      </x:c>
      <x:c r="H167" s="4" t="str">
        <x:v>违规类型状态</x:v>
      </x:c>
      <x:c r="I167" s="4" t="str">
        <x:v>1. 平台管理员账号已登录且具备当前页面权限
2. 编辑</x:v>
      </x:c>
      <x:c r="J167" s="4" t="str">
        <x:v>1. 进入违规类型
2. 刷新违规类型</x:v>
      </x:c>
      <x:c r="K167" s="4" t="str">
        <x:v>进入详情</x:v>
      </x:c>
      <x:c r="L167" s="4" t="str"/>
      <x:c r="M167" s="4" t="str">
        <x:v>未测</x:v>
      </x:c>
      <x:c r="N167" s="4" t="str"/>
      <x:c r="O167" s="4" t="str">
        <x:v>1. 来源（原型批注）：liveshow-proto/prototype/annotations/admin.js；admin-violation-types.html
2. 页面：admin-violation-types.html
3. 规则：BR-526023CD723997
4. 场景：SC-1EF1011C5A9CD9
5. 未动态验证</x:v>
      </x:c>
    </x:row>
    <x:row r="168" ht="54" customHeight="1">
      <x:c r="A168" s="4" t="n">
        <x:v>167</x:v>
      </x:c>
      <x:c r="B168" s="4" t="str">
        <x:v>ACONT-0015</x:v>
      </x:c>
      <x:c r="C168" s="4" t="str">
        <x:v>内容审核</x:v>
      </x:c>
      <x:c r="D168" s="4" t="str">
        <x:v>违规类型（平台管理员视角）</x:v>
      </x:c>
      <x:c r="E168" s="4" t="str">
        <x:v>功能需求</x:v>
      </x:c>
      <x:c r="F168" s="4" t="str">
        <x:v>P1</x:v>
      </x:c>
      <x:c r="G168" s="4" t="str">
        <x:v>验证列表中文，用户端按语言时的违规类型结果</x:v>
      </x:c>
      <x:c r="H168" s="4" t="str">
        <x:v>违规类型条件结果</x:v>
      </x:c>
      <x:c r="I168" s="4" t="str">
        <x:v>1. 平台管理员账号已登录且具备当前页面权限
2. 列表中文，用户端按语言</x:v>
      </x:c>
      <x:c r="J168" s="4" t="str">
        <x:v>1. 进入违规类型
2. 查看违规类型</x:v>
      </x:c>
      <x:c r="K168" s="4" t="str">
        <x:v>列表中文，用户端按语言展示</x:v>
      </x:c>
      <x:c r="L168" s="4" t="str"/>
      <x:c r="M168" s="4" t="str">
        <x:v>未测</x:v>
      </x:c>
      <x:c r="N168" s="4" t="str"/>
      <x:c r="O168" s="4" t="str">
        <x:v>1. 来源（原型批注）：liveshow-proto/prototype/annotations/admin.js；admin-violation-types.html
2. 页面：admin-violation-types.html
3. 规则：BR-B5BF66C5C78C58
4. 场景：SC-8E1EC008CDA341
5. 未动态验证</x:v>
      </x:c>
    </x:row>
    <x:row r="169" ht="54" customHeight="1">
      <x:c r="A169" s="4" t="n">
        <x:v>168</x:v>
      </x:c>
      <x:c r="B169" s="4" t="str">
        <x:v>ACONT-0016</x:v>
      </x:c>
      <x:c r="C169" s="4" t="str">
        <x:v>内容审核</x:v>
      </x:c>
      <x:c r="D169" s="4" t="str">
        <x:v>违规类型（平台管理员视角）</x:v>
      </x:c>
      <x:c r="E169" s="4" t="str">
        <x:v>业务流程</x:v>
      </x:c>
      <x:c r="F169" s="4" t="str">
        <x:v>P1</x:v>
      </x:c>
      <x:c r="G169" s="4" t="str">
        <x:v>验证删除后的违规类型状态</x:v>
      </x:c>
      <x:c r="H169" s="4" t="str">
        <x:v>违规类型状态</x:v>
      </x:c>
      <x:c r="I169" s="4" t="str">
        <x:v>1. 平台管理员账号已登录且具备当前页面权限</x:v>
      </x:c>
      <x:c r="J169" s="4" t="str">
        <x:v>1. 进入违规类型
2. 删除</x:v>
      </x:c>
      <x:c r="K169" s="4" t="str">
        <x:v>历史保留提交时名称</x:v>
      </x:c>
      <x:c r="L169" s="4" t="str"/>
      <x:c r="M169" s="4" t="str">
        <x:v>未测</x:v>
      </x:c>
      <x:c r="N169" s="4" t="str"/>
      <x:c r="O169" s="4" t="str">
        <x:v>1. 来源（原型批注）：liveshow-proto/prototype/annotations/admin.js；admin-violation-types.html
2. 页面：admin-violation-types.html
3. 规则：BR-0AAC39839E2F35
4. 场景：SC-CBF60008F68C8F
5. 未动态验证</x:v>
      </x:c>
    </x:row>
    <x:row r="170" ht="54" customHeight="1">
      <x:c r="A170" s="4" t="n">
        <x:v>169</x:v>
      </x:c>
      <x:c r="B170" s="4" t="str">
        <x:v>ACONT-0017</x:v>
      </x:c>
      <x:c r="C170" s="4" t="str">
        <x:v>内容审核</x:v>
      </x:c>
      <x:c r="D170" s="4" t="str">
        <x:v>违规类型（平台管理员视角）</x:v>
      </x:c>
      <x:c r="E170" s="4" t="str">
        <x:v>业务流程</x:v>
      </x:c>
      <x:c r="F170" s="4" t="str">
        <x:v>P1</x:v>
      </x:c>
      <x:c r="G170" s="4" t="str">
        <x:v>验证上下移后的违规类型状态</x:v>
      </x:c>
      <x:c r="H170" s="4" t="str">
        <x:v>违规类型状态</x:v>
      </x:c>
      <x:c r="I170" s="4" t="str">
        <x:v>1. 平台管理员账号已登录且具备当前页面权限
2. 上下移</x:v>
      </x:c>
      <x:c r="J170" s="4" t="str">
        <x:v>1. 进入违规类型
2. 刷新违规类型</x:v>
      </x:c>
      <x:c r="K170" s="4" t="str">
        <x:v>更新排序</x:v>
      </x:c>
      <x:c r="L170" s="4" t="str"/>
      <x:c r="M170" s="4" t="str">
        <x:v>未测</x:v>
      </x:c>
      <x:c r="N170" s="4" t="str"/>
      <x:c r="O170" s="4" t="str">
        <x:v>1. 来源（原型批注）：liveshow-proto/prototype/annotations/admin.js；admin-violation-types.html
2. 页面：admin-violation-types.html
3. 规则：BR-D7B8BFDFCF7A1B
4. 场景：SC-C6EA91176413D3
5. 未动态验证</x:v>
      </x:c>
    </x:row>
    <x:row r="171" ht="54" customHeight="1">
      <x:c r="A171" s="4" t="n">
        <x:v>170</x:v>
      </x:c>
      <x:c r="B171" s="4" t="str">
        <x:v>ACONT-0018</x:v>
      </x:c>
      <x:c r="C171" s="4" t="str">
        <x:v>内容审核</x:v>
      </x:c>
      <x:c r="D171" s="4" t="str">
        <x:v>违规类型（平台管理员视角）</x:v>
      </x:c>
      <x:c r="E171" s="4" t="str">
        <x:v>业务流程</x:v>
      </x:c>
      <x:c r="F171" s="4" t="str">
        <x:v>P1</x:v>
      </x:c>
      <x:c r="G171" s="4" t="str">
        <x:v>验证停用后的违规类型状态</x:v>
      </x:c>
      <x:c r="H171" s="4" t="str">
        <x:v>违规类型状态</x:v>
      </x:c>
      <x:c r="I171" s="4" t="str">
        <x:v>1. 平台管理员账号已登录且具备当前页面权限
2. 停用</x:v>
      </x:c>
      <x:c r="J171" s="4" t="str">
        <x:v>1. 进入违规类型
2. 刷新违规类型</x:v>
      </x:c>
      <x:c r="K171" s="4" t="str">
        <x:v>历史保留提交时名称</x:v>
      </x:c>
      <x:c r="L171" s="4" t="str"/>
      <x:c r="M171" s="4" t="str">
        <x:v>未测</x:v>
      </x:c>
      <x:c r="N171" s="4" t="str"/>
      <x:c r="O171" s="4" t="str">
        <x:v>1. 来源（原型批注）：liveshow-proto/prototype/annotations/admin.js；admin-violation-types.html
2. 页面：admin-violation-types.html
3. 规则：BR-0AAC39839E2F35
4. 场景：SC-F621CE51AB3996
5. 未动态验证</x:v>
      </x:c>
    </x:row>
    <x:row r="172" ht="54" customHeight="1">
      <x:c r="A172" s="4" t="n">
        <x:v>171</x:v>
      </x:c>
      <x:c r="B172" s="4" t="str">
        <x:v>ACONT-0019</x:v>
      </x:c>
      <x:c r="C172" s="4" t="str">
        <x:v>内容审核</x:v>
      </x:c>
      <x:c r="D172" s="4" t="str">
        <x:v>违规类型（平台管理员视角）</x:v>
      </x:c>
      <x:c r="E172" s="4" t="str">
        <x:v>功能需求</x:v>
      </x:c>
      <x:c r="F172" s="4" t="str">
        <x:v>P1</x:v>
      </x:c>
      <x:c r="G172" s="4" t="str">
        <x:v>验证违规类型可查看多语言名称</x:v>
      </x:c>
      <x:c r="H172" s="4" t="str">
        <x:v>多语言名称展示</x:v>
      </x:c>
      <x:c r="I172" s="4" t="str">
        <x:v>1. 平台管理员账号已登录且具备当前页面权限</x:v>
      </x:c>
      <x:c r="J172" s="4" t="str">
        <x:v>1. 进入违规类型
2. 查看多语言名称</x:v>
      </x:c>
      <x:c r="K172" s="4" t="str">
        <x:v>违规类型显示“多语言名称”</x:v>
      </x:c>
      <x:c r="L172" s="4" t="str"/>
      <x:c r="M172" s="4" t="str">
        <x:v>未测</x:v>
      </x:c>
      <x:c r="N172" s="4" t="str"/>
      <x:c r="O172" s="4" t="str">
        <x:v>1. 来源（原型批注）：liveshow-proto/prototype/annotations/admin.js；admin-violation-types.html
2. 页面：admin-violation-types.html
3. 规则：BR-B5BF66C5C78C58
4. 场景：SC-B3F93E2C9E6B06
5. 未动态验证</x:v>
      </x:c>
    </x:row>
    <x:row r="173" ht="54" customHeight="1">
      <x:c r="A173" s="4" t="n">
        <x:v>172</x:v>
      </x:c>
      <x:c r="B173" s="4" t="str">
        <x:v>ACONT-0020</x:v>
      </x:c>
      <x:c r="C173" s="4" t="str">
        <x:v>内容审核</x:v>
      </x:c>
      <x:c r="D173" s="4" t="str">
        <x:v>违规类型（平台管理员视角）</x:v>
      </x:c>
      <x:c r="E173" s="4" t="str">
        <x:v>功能需求</x:v>
      </x:c>
      <x:c r="F173" s="4" t="str">
        <x:v>P1</x:v>
      </x:c>
      <x:c r="G173" s="4" t="str">
        <x:v>验证违规类型可查看类型 ID</x:v>
      </x:c>
      <x:c r="H173" s="4" t="str">
        <x:v>类型 ID展示</x:v>
      </x:c>
      <x:c r="I173" s="4" t="str">
        <x:v>1. 平台管理员账号已登录且具备当前页面权限</x:v>
      </x:c>
      <x:c r="J173" s="4" t="str">
        <x:v>1. 进入违规类型
2. 查看类型 ID</x:v>
      </x:c>
      <x:c r="K173" s="4" t="str">
        <x:v>违规类型显示“类型 ID”</x:v>
      </x:c>
      <x:c r="L173" s="4" t="str"/>
      <x:c r="M173" s="4" t="str">
        <x:v>未测</x:v>
      </x:c>
      <x:c r="N173" s="4" t="str"/>
      <x:c r="O173" s="4" t="str">
        <x:v>1. 来源（原型批注）：liveshow-proto/prototype/annotations/admin.js；admin-violation-types.html
2. 页面：admin-violation-types.html
3. 规则：BR-EB56E9D8896898
4. 场景：SC-00800FF957498F
5. 未动态验证</x:v>
      </x:c>
    </x:row>
    <x:row r="174" ht="54" customHeight="1">
      <x:c r="A174" s="4" t="n">
        <x:v>173</x:v>
      </x:c>
      <x:c r="B174" s="4" t="str">
        <x:v>ACONT-0021</x:v>
      </x:c>
      <x:c r="C174" s="4" t="str">
        <x:v>内容审核</x:v>
      </x:c>
      <x:c r="D174" s="4" t="str">
        <x:v>违规类型（平台管理员视角）</x:v>
      </x:c>
      <x:c r="E174" s="4" t="str">
        <x:v>功能需求</x:v>
      </x:c>
      <x:c r="F174" s="4" t="str">
        <x:v>P1</x:v>
      </x:c>
      <x:c r="G174" s="4" t="str">
        <x:v>验证违规类型可查看类型属性</x:v>
      </x:c>
      <x:c r="H174" s="4" t="str">
        <x:v>类型属性展示</x:v>
      </x:c>
      <x:c r="I174" s="4" t="str">
        <x:v>1. 平台管理员账号已登录且具备当前页面权限</x:v>
      </x:c>
      <x:c r="J174" s="4" t="str">
        <x:v>1. 进入违规类型
2. 查看类型属性</x:v>
      </x:c>
      <x:c r="K174" s="4" t="str">
        <x:v>违规类型显示“类型属性”</x:v>
      </x:c>
      <x:c r="L174" s="4" t="str"/>
      <x:c r="M174" s="4" t="str">
        <x:v>未测</x:v>
      </x:c>
      <x:c r="N174" s="4" t="str"/>
      <x:c r="O174" s="4" t="str">
        <x:v>1. 来源（原型批注）：liveshow-proto/prototype/annotations/admin.js；admin-violation-types.html
2. 页面：admin-violation-types.html
3. 规则：BR-2C9C2F5BA8D885、BR-CF646F3856C36D
4. 场景：SC-D755B46D38D8BD
5. 未动态验证</x:v>
      </x:c>
    </x:row>
    <x:row r="175" ht="54" customHeight="1">
      <x:c r="A175" s="4" t="n">
        <x:v>174</x:v>
      </x:c>
      <x:c r="B175" s="4" t="str">
        <x:v>ACONT-0022</x:v>
      </x:c>
      <x:c r="C175" s="4" t="str">
        <x:v>内容审核</x:v>
      </x:c>
      <x:c r="D175" s="4" t="str">
        <x:v>违规类型（平台管理员视角）</x:v>
      </x:c>
      <x:c r="E175" s="4" t="str">
        <x:v>功能需求</x:v>
      </x:c>
      <x:c r="F175" s="4" t="str">
        <x:v>P1</x:v>
      </x:c>
      <x:c r="G175" s="4" t="str">
        <x:v>验证违规类型可查看排序</x:v>
      </x:c>
      <x:c r="H175" s="4" t="str">
        <x:v>排序展示</x:v>
      </x:c>
      <x:c r="I175" s="4" t="str">
        <x:v>1. 平台管理员账号已登录且具备当前页面权限</x:v>
      </x:c>
      <x:c r="J175" s="4" t="str">
        <x:v>1. 进入违规类型
2. 查看排序</x:v>
      </x:c>
      <x:c r="K175" s="4" t="str">
        <x:v>违规类型显示“排序”</x:v>
      </x:c>
      <x:c r="L175" s="4" t="str"/>
      <x:c r="M175" s="4" t="str">
        <x:v>未测</x:v>
      </x:c>
      <x:c r="N175" s="4" t="str"/>
      <x:c r="O175" s="4" t="str">
        <x:v>1. 来源（原型批注）：liveshow-proto/prototype/annotations/admin.js；admin-violation-types.html
2. 页面：admin-violation-types.html
3. 规则：BR-0D41C90B7FAE4B
4. 场景：SC-09F7C3EC0DFD5A
5. 未动态验证</x:v>
      </x:c>
    </x:row>
    <x:row r="176" ht="54" customHeight="1">
      <x:c r="A176" s="4" t="n">
        <x:v>175</x:v>
      </x:c>
      <x:c r="B176" s="4" t="str">
        <x:v>ACONT-0023</x:v>
      </x:c>
      <x:c r="C176" s="4" t="str">
        <x:v>内容审核</x:v>
      </x:c>
      <x:c r="D176" s="4" t="str">
        <x:v>违规类型（平台管理员视角）</x:v>
      </x:c>
      <x:c r="E176" s="4" t="str">
        <x:v>功能需求</x:v>
      </x:c>
      <x:c r="F176" s="4" t="str">
        <x:v>P1</x:v>
      </x:c>
      <x:c r="G176" s="4" t="str">
        <x:v>验证违规类型可查看状态</x:v>
      </x:c>
      <x:c r="H176" s="4" t="str">
        <x:v>状态展示</x:v>
      </x:c>
      <x:c r="I176" s="4" t="str">
        <x:v>1. 平台管理员账号已登录且具备当前页面权限</x:v>
      </x:c>
      <x:c r="J176" s="4" t="str">
        <x:v>1. 进入违规类型
2. 查看状态</x:v>
      </x:c>
      <x:c r="K176" s="4" t="str">
        <x:v>违规类型显示“状态”</x:v>
      </x:c>
      <x:c r="L176" s="4" t="str"/>
      <x:c r="M176" s="4" t="str">
        <x:v>未测</x:v>
      </x:c>
      <x:c r="N176" s="4" t="str"/>
      <x:c r="O176" s="4" t="str">
        <x:v>1. 来源（原型批注）：liveshow-proto/prototype/annotations/admin.js；admin-violation-types.html
2. 页面：admin-violation-types.html
3. 规则：BR-9BC9282B1C4472、BR-ED21E75CEF0CD8
4. 场景：SC-85CA1BC3A9EFE0
5. 未动态验证</x:v>
      </x:c>
    </x:row>
    <x:row r="177" ht="54" customHeight="1">
      <x:c r="A177" s="4" t="n">
        <x:v>176</x:v>
      </x:c>
      <x:c r="B177" s="4" t="str">
        <x:v>ACONT-0024</x:v>
      </x:c>
      <x:c r="C177" s="4" t="str">
        <x:v>内容审核</x:v>
      </x:c>
      <x:c r="D177" s="4" t="str">
        <x:v>违规类型编辑（平台管理员视角）</x:v>
      </x:c>
      <x:c r="E177" s="4" t="str">
        <x:v>业务流程</x:v>
      </x:c>
      <x:c r="F177" s="4" t="str">
        <x:v>P1</x:v>
      </x:c>
      <x:c r="G177" s="4" t="str">
        <x:v>验证保存后的违规类型编辑状态</x:v>
      </x:c>
      <x:c r="H177" s="4" t="str">
        <x:v>违规类型编辑状态</x:v>
      </x:c>
      <x:c r="I177" s="4" t="str">
        <x:v>1. 平台管理员账号已登录且具备当前页面权限</x:v>
      </x:c>
      <x:c r="J177" s="4" t="str">
        <x:v>1. 进入违规类型编辑
2. 保存</x:v>
      </x:c>
      <x:c r="K177" s="4" t="str">
        <x:v>校验四语、唯一性和排序</x:v>
      </x:c>
      <x:c r="L177" s="4" t="str"/>
      <x:c r="M177" s="4" t="str">
        <x:v>未测</x:v>
      </x:c>
      <x:c r="N177" s="4" t="str"/>
      <x:c r="O177" s="4" t="str">
        <x:v>1. 来源（原型批注）：liveshow-proto/prototype/annotations/admin.js；admin-violation-type-detail.html
2. 页面：admin-violation-type-detail.html
3. 规则：BR-E125205F13228F
4. 场景：SC-8F61A598859A11
5. 未动态验证</x:v>
      </x:c>
    </x:row>
    <x:row r="178" ht="54" customHeight="1">
      <x:c r="A178" s="4" t="n">
        <x:v>177</x:v>
      </x:c>
      <x:c r="B178" s="4" t="str">
        <x:v>ACONT-0025</x:v>
      </x:c>
      <x:c r="C178" s="4" t="str">
        <x:v>内容审核</x:v>
      </x:c>
      <x:c r="D178" s="4" t="str">
        <x:v>违规类型编辑（平台管理员视角）</x:v>
      </x:c>
      <x:c r="E178" s="4" t="str">
        <x:v>异常用例</x:v>
      </x:c>
      <x:c r="F178" s="4" t="str">
        <x:v>P1</x:v>
      </x:c>
      <x:c r="G178" s="4" t="str">
        <x:v>验证创建后的违规类型编辑状态</x:v>
      </x:c>
      <x:c r="H178" s="4" t="str">
        <x:v>违规类型编辑状态</x:v>
      </x:c>
      <x:c r="I178" s="4" t="str">
        <x:v>1. 平台管理员账号已登录且具备当前页面权限
2. 创建</x:v>
      </x:c>
      <x:c r="J178" s="4" t="str">
        <x:v>1. 进入违规类型编辑
2. 刷新违规类型编辑</x:v>
      </x:c>
      <x:c r="K178" s="4" t="str">
        <x:v>不可切换预置 / 自定义</x:v>
      </x:c>
      <x:c r="L178" s="4" t="str"/>
      <x:c r="M178" s="4" t="str">
        <x:v>未测</x:v>
      </x:c>
      <x:c r="N178" s="4" t="str"/>
      <x:c r="O178" s="4" t="str">
        <x:v>1. 来源（原型批注）：liveshow-proto/prototype/annotations/admin.js；admin-violation-type-detail.html
2. 页面：admin-violation-type-detail.html
3. 规则：BR-9810643753E6BF
4. 场景：SC-CE022253190FA4
5. 未动态验证</x:v>
      </x:c>
    </x:row>
    <x:row r="179" ht="54" customHeight="1">
      <x:c r="A179" s="4" t="n">
        <x:v>178</x:v>
      </x:c>
      <x:c r="B179" s="4" t="str">
        <x:v>ACONT-0026</x:v>
      </x:c>
      <x:c r="C179" s="4" t="str">
        <x:v>内容审核</x:v>
      </x:c>
      <x:c r="D179" s="4" t="str">
        <x:v>违规类型编辑（平台管理员视角）</x:v>
      </x:c>
      <x:c r="E179" s="4" t="str">
        <x:v>功能需求</x:v>
      </x:c>
      <x:c r="F179" s="4" t="str">
        <x:v>P1</x:v>
      </x:c>
      <x:c r="G179" s="4" t="str">
        <x:v>验证违规类型编辑可查看类型 ID</x:v>
      </x:c>
      <x:c r="H179" s="4" t="str">
        <x:v>类型 ID展示</x:v>
      </x:c>
      <x:c r="I179" s="4" t="str">
        <x:v>1. 平台管理员账号已登录且具备当前页面权限</x:v>
      </x:c>
      <x:c r="J179" s="4" t="str">
        <x:v>1. 进入违规类型编辑
2. 查看类型 ID</x:v>
      </x:c>
      <x:c r="K179" s="4" t="str">
        <x:v>违规类型编辑显示“类型 ID”</x:v>
      </x:c>
      <x:c r="L179" s="4" t="str"/>
      <x:c r="M179" s="4" t="str">
        <x:v>未测</x:v>
      </x:c>
      <x:c r="N179" s="4" t="str"/>
      <x:c r="O179" s="4" t="str">
        <x:v>1. 来源（原型批注）：liveshow-proto/prototype/annotations/admin.js；admin-violation-type-detail.html
2. 页面：admin-violation-type-detail.html
3. 规则：BR-5D388AF683E822
4. 场景：SC-06D7E7732BE497
5. 未动态验证</x:v>
      </x:c>
    </x:row>
    <x:row r="180" ht="54" customHeight="1">
      <x:c r="A180" s="4" t="n">
        <x:v>179</x:v>
      </x:c>
      <x:c r="B180" s="4" t="str">
        <x:v>ACONT-0027</x:v>
      </x:c>
      <x:c r="C180" s="4" t="str">
        <x:v>内容审核</x:v>
      </x:c>
      <x:c r="D180" s="4" t="str">
        <x:v>违规类型编辑（平台管理员视角）</x:v>
      </x:c>
      <x:c r="E180" s="4" t="str">
        <x:v>功能需求</x:v>
      </x:c>
      <x:c r="F180" s="4" t="str">
        <x:v>P1</x:v>
      </x:c>
      <x:c r="G180" s="4" t="str">
        <x:v>验证违规类型编辑可查看类型属性</x:v>
      </x:c>
      <x:c r="H180" s="4" t="str">
        <x:v>类型属性展示</x:v>
      </x:c>
      <x:c r="I180" s="4" t="str">
        <x:v>1. 平台管理员账号已登录且具备当前页面权限</x:v>
      </x:c>
      <x:c r="J180" s="4" t="str">
        <x:v>1. 进入违规类型编辑
2. 查看类型属性</x:v>
      </x:c>
      <x:c r="K180" s="4" t="str">
        <x:v>违规类型编辑显示“类型属性”</x:v>
      </x:c>
      <x:c r="L180" s="4" t="str"/>
      <x:c r="M180" s="4" t="str">
        <x:v>未测</x:v>
      </x:c>
      <x:c r="N180" s="4" t="str"/>
      <x:c r="O180" s="4" t="str">
        <x:v>1. 来源（原型批注）：liveshow-proto/prototype/annotations/admin.js；admin-violation-type-detail.html
2. 页面：admin-violation-type-detail.html
3. 规则：BR-9810643753E6BF
4. 场景：SC-1B6155EC120679
5. 未动态验证</x:v>
      </x:c>
    </x:row>
    <x:row r="181" ht="54" customHeight="1">
      <x:c r="A181" s="4" t="n">
        <x:v>180</x:v>
      </x:c>
      <x:c r="B181" s="4" t="str">
        <x:v>ACONT-0028</x:v>
      </x:c>
      <x:c r="C181" s="4" t="str">
        <x:v>内容审核</x:v>
      </x:c>
      <x:c r="D181" s="4" t="str">
        <x:v>违规类型编辑（平台管理员视角）</x:v>
      </x:c>
      <x:c r="E181" s="4" t="str">
        <x:v>功能需求</x:v>
      </x:c>
      <x:c r="F181" s="4" t="str">
        <x:v>P1</x:v>
      </x:c>
      <x:c r="G181" s="4" t="str">
        <x:v>验证违规类型编辑可查看排序</x:v>
      </x:c>
      <x:c r="H181" s="4" t="str">
        <x:v>排序展示</x:v>
      </x:c>
      <x:c r="I181" s="4" t="str">
        <x:v>1. 平台管理员账号已登录且具备当前页面权限</x:v>
      </x:c>
      <x:c r="J181" s="4" t="str">
        <x:v>1. 进入违规类型编辑
2. 查看排序</x:v>
      </x:c>
      <x:c r="K181" s="4" t="str">
        <x:v>违规类型编辑显示“排序”</x:v>
      </x:c>
      <x:c r="L181" s="4" t="str"/>
      <x:c r="M181" s="4" t="str">
        <x:v>未测</x:v>
      </x:c>
      <x:c r="N181" s="4" t="str"/>
      <x:c r="O181" s="4" t="str">
        <x:v>1. 来源（原型批注）：liveshow-proto/prototype/annotations/admin.js；admin-violation-type-detail.html
2. 页面：admin-violation-type-detail.html
3. 规则：BR-D529FF7F9D8B40
4. 场景：SC-98473C33DD6BB7
5. 未动态验证</x:v>
      </x:c>
    </x:row>
    <x:row r="182" ht="54" customHeight="1">
      <x:c r="A182" s="4" t="n">
        <x:v>181</x:v>
      </x:c>
      <x:c r="B182" s="4" t="str">
        <x:v>ACONT-0029</x:v>
      </x:c>
      <x:c r="C182" s="4" t="str">
        <x:v>内容审核</x:v>
      </x:c>
      <x:c r="D182" s="4" t="str">
        <x:v>违规类型编辑（平台管理员视角）</x:v>
      </x:c>
      <x:c r="E182" s="4" t="str">
        <x:v>功能需求</x:v>
      </x:c>
      <x:c r="F182" s="4" t="str">
        <x:v>P1</x:v>
      </x:c>
      <x:c r="G182" s="4" t="str">
        <x:v>验证违规类型编辑可查看四语名称</x:v>
      </x:c>
      <x:c r="H182" s="4" t="str">
        <x:v>四语名称展示</x:v>
      </x:c>
      <x:c r="I182" s="4" t="str">
        <x:v>1. 平台管理员账号已登录且具备当前页面权限</x:v>
      </x:c>
      <x:c r="J182" s="4" t="str">
        <x:v>1. 进入违规类型编辑
2. 查看四语名称</x:v>
      </x:c>
      <x:c r="K182" s="4" t="str">
        <x:v>违规类型编辑显示“四语名称”</x:v>
      </x:c>
      <x:c r="L182" s="4" t="str"/>
      <x:c r="M182" s="4" t="str">
        <x:v>未测</x:v>
      </x:c>
      <x:c r="N182" s="4" t="str"/>
      <x:c r="O182" s="4" t="str">
        <x:v>1. 来源（原型批注）：liveshow-proto/prototype/annotations/admin.js；admin-violation-type-detail.html
2. 页面：admin-violation-type-detail.html
3. 规则：BR-BE69C08679963A
4. 场景：SC-44990CA1378A57
5. 未动态验证</x:v>
      </x:c>
    </x:row>
    <x:row r="183" ht="54" customHeight="1">
      <x:c r="A183" s="4" t="n">
        <x:v>182</x:v>
      </x:c>
      <x:c r="B183" s="4" t="str">
        <x:v>ACONT-0030</x:v>
      </x:c>
      <x:c r="C183" s="4" t="str">
        <x:v>内容审核</x:v>
      </x:c>
      <x:c r="D183" s="4" t="str">
        <x:v>违规类型编辑（平台管理员视角）</x:v>
      </x:c>
      <x:c r="E183" s="4" t="str">
        <x:v>功能需求</x:v>
      </x:c>
      <x:c r="F183" s="4" t="str">
        <x:v>P1</x:v>
      </x:c>
      <x:c r="G183" s="4" t="str">
        <x:v>验证违规类型编辑可查看状态</x:v>
      </x:c>
      <x:c r="H183" s="4" t="str">
        <x:v>状态展示</x:v>
      </x:c>
      <x:c r="I183" s="4" t="str">
        <x:v>1. 平台管理员账号已登录且具备当前页面权限</x:v>
      </x:c>
      <x:c r="J183" s="4" t="str">
        <x:v>1. 进入违规类型编辑
2. 查看状态</x:v>
      </x:c>
      <x:c r="K183" s="4" t="str">
        <x:v>违规类型编辑显示“状态”</x:v>
      </x:c>
      <x:c r="L183" s="4" t="str"/>
      <x:c r="M183" s="4" t="str">
        <x:v>未测</x:v>
      </x:c>
      <x:c r="N183" s="4" t="str"/>
      <x:c r="O183" s="4" t="str">
        <x:v>1. 来源（原型批注）：liveshow-proto/prototype/annotations/admin.js；admin-violation-type-detail.html
2. 页面：admin-violation-type-detail.html
3. 规则：BR-163C498AE572BE
4. 场景：SC-E26F53DCF17DD0
5. 未动态验证</x:v>
      </x:c>
    </x:row>
    <x:row r="184" ht="54" customHeight="1">
      <x:c r="A184" s="4" t="n">
        <x:v>183</x:v>
      </x:c>
      <x:c r="B184" s="4" t="str">
        <x:v>ACONT-0031</x:v>
      </x:c>
      <x:c r="C184" s="4" t="str">
        <x:v>内容审核</x:v>
      </x:c>
      <x:c r="D184" s="4" t="str">
        <x:v>账号违规（平台管理员视角）</x:v>
      </x:c>
      <x:c r="E184" s="4" t="str">
        <x:v>业务流程</x:v>
      </x:c>
      <x:c r="F184" s="4" t="str">
        <x:v>P1</x:v>
      </x:c>
      <x:c r="G184" s="4" t="str">
        <x:v>验证查看后的账号违规状态</x:v>
      </x:c>
      <x:c r="H184" s="4" t="str">
        <x:v>账号违规状态</x:v>
      </x:c>
      <x:c r="I184" s="4" t="str">
        <x:v>1. 平台管理员账号已登录且具备当前页面权限</x:v>
      </x:c>
      <x:c r="J184" s="4" t="str">
        <x:v>1. 进入账号违规
2. 查看</x:v>
      </x:c>
      <x:c r="K184" s="4" t="str">
        <x:v>进入详情处理或查看结果</x:v>
      </x:c>
      <x:c r="L184" s="4" t="str"/>
      <x:c r="M184" s="4" t="str">
        <x:v>未测</x:v>
      </x:c>
      <x:c r="N184" s="4" t="str"/>
      <x:c r="O184" s="4" t="str">
        <x:v>1. 来源（原型批注）：liveshow-proto/prototype/annotations/admin.js；admin-account-violation.html
2. 页面：admin-account-violation.html
3. 规则：BR-AD5992B4E82413
4. 场景：SC-9C90FF0E8382FE
5. 未动态验证</x:v>
      </x:c>
    </x:row>
    <x:row r="185" ht="54" customHeight="1">
      <x:c r="A185" s="4" t="n">
        <x:v>184</x:v>
      </x:c>
      <x:c r="B185" s="4" t="str">
        <x:v>ACONT-0032</x:v>
      </x:c>
      <x:c r="C185" s="4" t="str">
        <x:v>内容审核</x:v>
      </x:c>
      <x:c r="D185" s="4" t="str">
        <x:v>账号违规（平台管理员视角）</x:v>
      </x:c>
      <x:c r="E185" s="4" t="str">
        <x:v>功能需求</x:v>
      </x:c>
      <x:c r="F185" s="4" t="str">
        <x:v>P1</x:v>
      </x:c>
      <x:c r="G185" s="4" t="str">
        <x:v>验证账号违规可查看被举报账号</x:v>
      </x:c>
      <x:c r="H185" s="4" t="str">
        <x:v>被举报账号展示</x:v>
      </x:c>
      <x:c r="I185" s="4" t="str">
        <x:v>1. 平台管理员账号已登录且具备当前页面权限</x:v>
      </x:c>
      <x:c r="J185" s="4" t="str">
        <x:v>1. 进入账号违规
2. 查看被举报账号</x:v>
      </x:c>
      <x:c r="K185" s="4" t="str">
        <x:v>账号违规显示“被举报账号”</x:v>
      </x:c>
      <x:c r="L185" s="4" t="str"/>
      <x:c r="M185" s="4" t="str">
        <x:v>未测</x:v>
      </x:c>
      <x:c r="N185" s="4" t="str"/>
      <x:c r="O185" s="4" t="str">
        <x:v>1. 来源（原型批注）：liveshow-proto/prototype/annotations/admin.js；admin-account-violation.html
2. 页面：admin-account-violation.html
3. 规则：BR-C0686F543D7898
4. 场景：SC-80FA47FA737E33
5. 未动态验证</x:v>
      </x:c>
    </x:row>
    <x:row r="186" ht="54" customHeight="1">
      <x:c r="A186" s="4" t="n">
        <x:v>185</x:v>
      </x:c>
      <x:c r="B186" s="4" t="str">
        <x:v>ACONT-0033</x:v>
      </x:c>
      <x:c r="C186" s="4" t="str">
        <x:v>内容审核</x:v>
      </x:c>
      <x:c r="D186" s="4" t="str">
        <x:v>账号违规（平台管理员视角）</x:v>
      </x:c>
      <x:c r="E186" s="4" t="str">
        <x:v>功能需求</x:v>
      </x:c>
      <x:c r="F186" s="4" t="str">
        <x:v>P1</x:v>
      </x:c>
      <x:c r="G186" s="4" t="str">
        <x:v>验证账号违规可查看处理状态</x:v>
      </x:c>
      <x:c r="H186" s="4" t="str">
        <x:v>处理状态展示</x:v>
      </x:c>
      <x:c r="I186" s="4" t="str">
        <x:v>1. 平台管理员账号已登录且具备当前页面权限</x:v>
      </x:c>
      <x:c r="J186" s="4" t="str">
        <x:v>1. 进入账号违规
2. 查看处理状态</x:v>
      </x:c>
      <x:c r="K186" s="4" t="str">
        <x:v>账号违规显示“处理状态”</x:v>
      </x:c>
      <x:c r="L186" s="4" t="str"/>
      <x:c r="M186" s="4" t="str">
        <x:v>未测</x:v>
      </x:c>
      <x:c r="N186" s="4" t="str"/>
      <x:c r="O186" s="4" t="str">
        <x:v>1. 来源（原型批注）：liveshow-proto/prototype/annotations/admin.js；admin-account-violation.html
2. 页面：admin-account-violation.html
3. 规则：BR-287CB3D9D95717、BR-7274EC42294D22
4. 场景：SC-78CA958FFF6928
5. 未动态验证</x:v>
      </x:c>
    </x:row>
    <x:row r="187" ht="54" customHeight="1">
      <x:c r="A187" s="4" t="n">
        <x:v>186</x:v>
      </x:c>
      <x:c r="B187" s="4" t="str">
        <x:v>ACONT-0034</x:v>
      </x:c>
      <x:c r="C187" s="4" t="str">
        <x:v>内容审核</x:v>
      </x:c>
      <x:c r="D187" s="4" t="str">
        <x:v>账号违规（平台管理员视角）</x:v>
      </x:c>
      <x:c r="E187" s="4" t="str">
        <x:v>功能需求</x:v>
      </x:c>
      <x:c r="F187" s="4" t="str">
        <x:v>P1</x:v>
      </x:c>
      <x:c r="G187" s="4" t="str">
        <x:v>验证账号违规可查看举报类型</x:v>
      </x:c>
      <x:c r="H187" s="4" t="str">
        <x:v>举报类型展示</x:v>
      </x:c>
      <x:c r="I187" s="4" t="str">
        <x:v>1. 平台管理员账号已登录且具备当前页面权限</x:v>
      </x:c>
      <x:c r="J187" s="4" t="str">
        <x:v>1. 进入账号违规
2. 查看举报类型</x:v>
      </x:c>
      <x:c r="K187" s="4" t="str">
        <x:v>账号违规显示“举报类型”</x:v>
      </x:c>
      <x:c r="L187" s="4" t="str"/>
      <x:c r="M187" s="4" t="str">
        <x:v>未测</x:v>
      </x:c>
      <x:c r="N187" s="4" t="str"/>
      <x:c r="O187" s="4" t="str">
        <x:v>1. 来源（原型批注）：liveshow-proto/prototype/annotations/admin.js；admin-account-violation.html
2. 页面：admin-account-violation.html
3. 规则：BR-9160C60A26F63B、BR-04DF81F2F3D71F
4. 场景：SC-01DD5A6138FE5A
5. 未动态验证</x:v>
      </x:c>
    </x:row>
    <x:row r="188" ht="54" customHeight="1">
      <x:c r="A188" s="4" t="n">
        <x:v>187</x:v>
      </x:c>
      <x:c r="B188" s="4" t="str">
        <x:v>ACONT-0035</x:v>
      </x:c>
      <x:c r="C188" s="4" t="str">
        <x:v>内容审核</x:v>
      </x:c>
      <x:c r="D188" s="4" t="str">
        <x:v>账号违规（平台管理员视角）</x:v>
      </x:c>
      <x:c r="E188" s="4" t="str">
        <x:v>功能需求</x:v>
      </x:c>
      <x:c r="F188" s="4" t="str">
        <x:v>P1</x:v>
      </x:c>
      <x:c r="G188" s="4" t="str">
        <x:v>验证账号违规可查看提交时间</x:v>
      </x:c>
      <x:c r="H188" s="4" t="str">
        <x:v>提交时间展示</x:v>
      </x:c>
      <x:c r="I188" s="4" t="str">
        <x:v>1. 平台管理员账号已登录且具备当前页面权限</x:v>
      </x:c>
      <x:c r="J188" s="4" t="str">
        <x:v>1. 进入账号违规
2. 查看提交时间</x:v>
      </x:c>
      <x:c r="K188" s="4" t="str">
        <x:v>账号违规显示“提交时间”</x:v>
      </x:c>
      <x:c r="L188" s="4" t="str"/>
      <x:c r="M188" s="4" t="str">
        <x:v>未测</x:v>
      </x:c>
      <x:c r="N188" s="4" t="str"/>
      <x:c r="O188" s="4" t="str">
        <x:v>1. 来源（原型批注）：liveshow-proto/prototype/annotations/admin.js；admin-account-violation.html
2. 页面：admin-account-violation.html
3. 规则：BR-6F0BE6CF3711BC
4. 场景：SC-30DFA19C1F7914
5. 未动态验证</x:v>
      </x:c>
    </x:row>
    <x:row r="189" ht="54" customHeight="1">
      <x:c r="A189" s="4" t="n">
        <x:v>188</x:v>
      </x:c>
      <x:c r="B189" s="4" t="str">
        <x:v>ACONT-0036</x:v>
      </x:c>
      <x:c r="C189" s="4" t="str">
        <x:v>内容审核</x:v>
      </x:c>
      <x:c r="D189" s="4" t="str">
        <x:v>账号违规（平台管理员视角）</x:v>
      </x:c>
      <x:c r="E189" s="4" t="str">
        <x:v>功能需求</x:v>
      </x:c>
      <x:c r="F189" s="4" t="str">
        <x:v>P1</x:v>
      </x:c>
      <x:c r="G189" s="4" t="str">
        <x:v>验证账号违规可查看账号状态</x:v>
      </x:c>
      <x:c r="H189" s="4" t="str">
        <x:v>账号状态展示</x:v>
      </x:c>
      <x:c r="I189" s="4" t="str">
        <x:v>1. 平台管理员账号已登录且具备当前页面权限</x:v>
      </x:c>
      <x:c r="J189" s="4" t="str">
        <x:v>1. 进入账号违规
2. 查看账号状态</x:v>
      </x:c>
      <x:c r="K189" s="4" t="str">
        <x:v>账号违规显示“账号状态”</x:v>
      </x:c>
      <x:c r="L189" s="4" t="str"/>
      <x:c r="M189" s="4" t="str">
        <x:v>未测</x:v>
      </x:c>
      <x:c r="N189" s="4" t="str"/>
      <x:c r="O189" s="4" t="str">
        <x:v>1. 来源（原型批注）：liveshow-proto/prototype/annotations/admin.js；admin-account-violation.html
2. 页面：admin-account-violation.html
3. 规则：BR-93745C593E7B85
4. 场景：SC-7DD4A3C66C1D18
5. 未动态验证</x:v>
      </x:c>
    </x:row>
    <x:row r="190" ht="54" customHeight="1">
      <x:c r="A190" s="4" t="n">
        <x:v>189</x:v>
      </x:c>
      <x:c r="B190" s="4" t="str">
        <x:v>ACONT-0037</x:v>
      </x:c>
      <x:c r="C190" s="4" t="str">
        <x:v>内容审核</x:v>
      </x:c>
      <x:c r="D190" s="4" t="str">
        <x:v>直播间违规（平台管理员视角）</x:v>
      </x:c>
      <x:c r="E190" s="4" t="str">
        <x:v>业务流程</x:v>
      </x:c>
      <x:c r="F190" s="4" t="str">
        <x:v>P1</x:v>
      </x:c>
      <x:c r="G190" s="4" t="str">
        <x:v>验证查看后的直播间违规状态</x:v>
      </x:c>
      <x:c r="H190" s="4" t="str">
        <x:v>直播间违规状态</x:v>
      </x:c>
      <x:c r="I190" s="4" t="str">
        <x:v>1. 平台管理员账号已登录且具备当前页面权限</x:v>
      </x:c>
      <x:c r="J190" s="4" t="str">
        <x:v>1. 进入直播间违规
2. 查看</x:v>
      </x:c>
      <x:c r="K190" s="4" t="str">
        <x:v>进入详情</x:v>
      </x:c>
      <x:c r="L190" s="4" t="str"/>
      <x:c r="M190" s="4" t="str">
        <x:v>未测</x:v>
      </x:c>
      <x:c r="N190" s="4" t="str"/>
      <x:c r="O190" s="4" t="str">
        <x:v>1. 来源（原型批注）：liveshow-proto/prototype/annotations/admin.js；admin-report-handling.html
2. 页面：admin-report-handling.html
3. 规则：BR-8B69920B3CCFD8
4. 场景：SC-D92E5F79F0A140
5. 未动态验证</x:v>
      </x:c>
    </x:row>
    <x:row r="191" ht="54" customHeight="1">
      <x:c r="A191" s="4" t="n">
        <x:v>190</x:v>
      </x:c>
      <x:c r="B191" s="4" t="str">
        <x:v>ACONT-0038</x:v>
      </x:c>
      <x:c r="C191" s="4" t="str">
        <x:v>内容审核</x:v>
      </x:c>
      <x:c r="D191" s="4" t="str">
        <x:v>直播间违规（平台管理员视角）</x:v>
      </x:c>
      <x:c r="E191" s="4" t="str">
        <x:v>功能需求</x:v>
      </x:c>
      <x:c r="F191" s="4" t="str">
        <x:v>P1</x:v>
      </x:c>
      <x:c r="G191" s="4" t="str">
        <x:v>验证直播间违规可查看处理状态</x:v>
      </x:c>
      <x:c r="H191" s="4" t="str">
        <x:v>处理状态展示</x:v>
      </x:c>
      <x:c r="I191" s="4" t="str">
        <x:v>1. 平台管理员账号已登录且具备当前页面权限</x:v>
      </x:c>
      <x:c r="J191" s="4" t="str">
        <x:v>1. 进入直播间违规
2. 查看处理状态</x:v>
      </x:c>
      <x:c r="K191" s="4" t="str">
        <x:v>直播间违规显示“处理状态”</x:v>
      </x:c>
      <x:c r="L191" s="4" t="str"/>
      <x:c r="M191" s="4" t="str">
        <x:v>未测</x:v>
      </x:c>
      <x:c r="N191" s="4" t="str"/>
      <x:c r="O191" s="4" t="str">
        <x:v>1. 来源（原型批注）：liveshow-proto/prototype/annotations/admin.js；admin-report-handling.html
2. 页面：admin-report-handling.html
3. 规则：BR-61E29D6B66AA2F
4. 场景：SC-BEB7DAC88FE227
5. 未动态验证</x:v>
      </x:c>
    </x:row>
    <x:row r="192" ht="54" customHeight="1">
      <x:c r="A192" s="4" t="n">
        <x:v>191</x:v>
      </x:c>
      <x:c r="B192" s="4" t="str">
        <x:v>ACONT-0039</x:v>
      </x:c>
      <x:c r="C192" s="4" t="str">
        <x:v>内容审核</x:v>
      </x:c>
      <x:c r="D192" s="4" t="str">
        <x:v>直播间违规（平台管理员视角）</x:v>
      </x:c>
      <x:c r="E192" s="4" t="str">
        <x:v>功能需求</x:v>
      </x:c>
      <x:c r="F192" s="4" t="str">
        <x:v>P1</x:v>
      </x:c>
      <x:c r="G192" s="4" t="str">
        <x:v>验证直播间违规可查看举报类型</x:v>
      </x:c>
      <x:c r="H192" s="4" t="str">
        <x:v>举报类型展示</x:v>
      </x:c>
      <x:c r="I192" s="4" t="str">
        <x:v>1. 平台管理员账号已登录且具备当前页面权限</x:v>
      </x:c>
      <x:c r="J192" s="4" t="str">
        <x:v>1. 进入直播间违规
2. 查看举报类型</x:v>
      </x:c>
      <x:c r="K192" s="4" t="str">
        <x:v>直播间违规显示“举报类型”</x:v>
      </x:c>
      <x:c r="L192" s="4" t="str"/>
      <x:c r="M192" s="4" t="str">
        <x:v>未测</x:v>
      </x:c>
      <x:c r="N192" s="4" t="str"/>
      <x:c r="O192" s="4" t="str">
        <x:v>1. 来源（原型批注）：liveshow-proto/prototype/annotations/admin.js；admin-report-handling.html
2. 页面：admin-report-handling.html
3. 规则：BR-C59C5FBB5BF2A4
4. 场景：SC-56D418F5CB0D1A
5. 未动态验证</x:v>
      </x:c>
    </x:row>
    <x:row r="193" ht="54" customHeight="1">
      <x:c r="A193" s="4" t="n">
        <x:v>192</x:v>
      </x:c>
      <x:c r="B193" s="4" t="str">
        <x:v>ACONT-0040</x:v>
      </x:c>
      <x:c r="C193" s="4" t="str">
        <x:v>内容审核</x:v>
      </x:c>
      <x:c r="D193" s="4" t="str">
        <x:v>直播间违规（平台管理员视角）</x:v>
      </x:c>
      <x:c r="E193" s="4" t="str">
        <x:v>功能需求</x:v>
      </x:c>
      <x:c r="F193" s="4" t="str">
        <x:v>P1</x:v>
      </x:c>
      <x:c r="G193" s="4" t="str">
        <x:v>验证直播间违规可查看提交时间</x:v>
      </x:c>
      <x:c r="H193" s="4" t="str">
        <x:v>提交时间展示</x:v>
      </x:c>
      <x:c r="I193" s="4" t="str">
        <x:v>1. 平台管理员账号已登录且具备当前页面权限</x:v>
      </x:c>
      <x:c r="J193" s="4" t="str">
        <x:v>1. 进入直播间违规
2. 查看提交时间</x:v>
      </x:c>
      <x:c r="K193" s="4" t="str">
        <x:v>直播间违规显示“提交时间”</x:v>
      </x:c>
      <x:c r="L193" s="4" t="str"/>
      <x:c r="M193" s="4" t="str">
        <x:v>未测</x:v>
      </x:c>
      <x:c r="N193" s="4" t="str"/>
      <x:c r="O193" s="4" t="str">
        <x:v>1. 来源（原型批注）：liveshow-proto/prototype/annotations/admin.js；admin-report-handling.html
2. 页面：admin-report-handling.html
3. 规则：BR-9A517C0F945D37
4. 场景：SC-AEB27CB4C5B590
5. 未动态验证</x:v>
      </x:c>
    </x:row>
    <x:row r="194" ht="54" customHeight="1">
      <x:c r="A194" s="4" t="n">
        <x:v>193</x:v>
      </x:c>
      <x:c r="B194" s="4" t="str">
        <x:v>ACONT-0041</x:v>
      </x:c>
      <x:c r="C194" s="4" t="str">
        <x:v>内容审核</x:v>
      </x:c>
      <x:c r="D194" s="4" t="str">
        <x:v>直播间违规（平台管理员视角）</x:v>
      </x:c>
      <x:c r="E194" s="4" t="str">
        <x:v>功能需求</x:v>
      </x:c>
      <x:c r="F194" s="4" t="str">
        <x:v>P1</x:v>
      </x:c>
      <x:c r="G194" s="4" t="str">
        <x:v>验证直播间违规可查看直播场次 ID</x:v>
      </x:c>
      <x:c r="H194" s="4" t="str">
        <x:v>直播场次 ID展示</x:v>
      </x:c>
      <x:c r="I194" s="4" t="str">
        <x:v>1. 平台管理员账号已登录且具备当前页面权限</x:v>
      </x:c>
      <x:c r="J194" s="4" t="str">
        <x:v>1. 进入直播间违规
2. 查看直播场次 ID</x:v>
      </x:c>
      <x:c r="K194" s="4" t="str">
        <x:v>直播间违规显示“直播场次 ID”</x:v>
      </x:c>
      <x:c r="L194" s="4" t="str"/>
      <x:c r="M194" s="4" t="str">
        <x:v>未测</x:v>
      </x:c>
      <x:c r="N194" s="4" t="str"/>
      <x:c r="O194" s="4" t="str">
        <x:v>1. 来源（原型批注）：liveshow-proto/prototype/annotations/admin.js；admin-report-handling.html
2. 页面：admin-report-handling.html
3. 规则：BR-9B2E11A84235B3
4. 场景：SC-D5E66B04CD597D
5. 未动态验证</x:v>
      </x:c>
    </x:row>
    <x:row r="195" ht="54" customHeight="1">
      <x:c r="A195" s="4" t="n">
        <x:v>194</x:v>
      </x:c>
      <x:c r="B195" s="4" t="str">
        <x:v>ACONT-0042</x:v>
      </x:c>
      <x:c r="C195" s="4" t="str">
        <x:v>内容审核</x:v>
      </x:c>
      <x:c r="D195" s="4" t="str">
        <x:v>直播间违规（平台管理员视角）</x:v>
      </x:c>
      <x:c r="E195" s="4" t="str">
        <x:v>功能需求</x:v>
      </x:c>
      <x:c r="F195" s="4" t="str">
        <x:v>P1</x:v>
      </x:c>
      <x:c r="G195" s="4" t="str">
        <x:v>验证直播间违规可查看直播状态</x:v>
      </x:c>
      <x:c r="H195" s="4" t="str">
        <x:v>直播状态展示</x:v>
      </x:c>
      <x:c r="I195" s="4" t="str">
        <x:v>1. 平台管理员账号已登录且具备当前页面权限</x:v>
      </x:c>
      <x:c r="J195" s="4" t="str">
        <x:v>1. 进入直播间违规
2. 查看直播状态</x:v>
      </x:c>
      <x:c r="K195" s="4" t="str">
        <x:v>直播间违规显示“直播状态”</x:v>
      </x:c>
      <x:c r="L195" s="4" t="str"/>
      <x:c r="M195" s="4" t="str">
        <x:v>未测</x:v>
      </x:c>
      <x:c r="N195" s="4" t="str"/>
      <x:c r="O195" s="4" t="str">
        <x:v>1. 来源（原型批注）：liveshow-proto/prototype/annotations/admin.js；admin-report-handling.html
2. 页面：admin-report-handling.html
3. 规则：BR-4DB6869CCDE2C8
4. 场景：SC-FC3F9A06518B79
5. 未动态验证</x:v>
      </x:c>
    </x:row>
    <x:row r="196" ht="54" customHeight="1">
      <x:c r="A196" s="4" t="n">
        <x:v>195</x:v>
      </x:c>
      <x:c r="B196" s="4" t="str">
        <x:v>ADATA-0001</x:v>
      </x:c>
      <x:c r="C196" s="4" t="str">
        <x:v>数据报表</x:v>
      </x:c>
      <x:c r="D196" s="4" t="str">
        <x:v>报表中心（平台管理员视角）</x:v>
      </x:c>
      <x:c r="E196" s="4" t="str">
        <x:v>逻辑校验</x:v>
      </x:c>
      <x:c r="F196" s="4" t="str">
        <x:v>P2</x:v>
      </x:c>
      <x:c r="G196" s="4" t="str">
        <x:v>验证报表中心按指定范围筛选</x:v>
      </x:c>
      <x:c r="H196" s="4" t="str">
        <x:v>报表中心数据范围</x:v>
      </x:c>
      <x:c r="I196" s="4" t="str">
        <x:v>1. 平台管理员账号已登录且具备当前页面权限
2. 存在符合和不符合“当前角色有权查看的入口”的记录</x:v>
      </x:c>
      <x:c r="J196" s="4" t="str">
        <x:v>1. 进入报表中心
2. 查看报表中心</x:v>
      </x:c>
      <x:c r="K196" s="4" t="str">
        <x:v>仅展示当前角色有权查看的入口</x:v>
      </x:c>
      <x:c r="L196" s="4" t="str"/>
      <x:c r="M196" s="4" t="str">
        <x:v>未测</x:v>
      </x:c>
      <x:c r="N196" s="4" t="str"/>
      <x:c r="O196" s="4" t="str">
        <x:v>1. 来源（原型批注）：liveshow-proto/prototype/annotations/admin.js；admin-report-center.html
2. 页面：admin-report-center.html
3. 规则：BR-80CF32E72CEF5E
4. 场景：SC-C1F8CA9B019AAC
5. 未动态验证</x:v>
      </x:c>
    </x:row>
    <x:row r="197" ht="54" customHeight="1">
      <x:c r="A197" s="4" t="n">
        <x:v>196</x:v>
      </x:c>
      <x:c r="B197" s="4" t="str">
        <x:v>ADATA-0002</x:v>
      </x:c>
      <x:c r="C197" s="4" t="str">
        <x:v>数据报表</x:v>
      </x:c>
      <x:c r="D197" s="4" t="str">
        <x:v>报表中心（平台管理员视角）</x:v>
      </x:c>
      <x:c r="E197" s="4" t="str">
        <x:v>功能需求</x:v>
      </x:c>
      <x:c r="F197" s="4" t="str">
        <x:v>P2</x:v>
      </x:c>
      <x:c r="G197" s="4" t="str">
        <x:v>验证报表中心可查看财务对账</x:v>
      </x:c>
      <x:c r="H197" s="4" t="str">
        <x:v>财务对账展示</x:v>
      </x:c>
      <x:c r="I197" s="4" t="str">
        <x:v>1. 平台管理员账号已登录且具备当前页面权限</x:v>
      </x:c>
      <x:c r="J197" s="4" t="str">
        <x:v>1. 进入报表中心
2. 查看财务对账</x:v>
      </x:c>
      <x:c r="K197" s="4" t="str">
        <x:v>报表中心显示“财务对账”</x:v>
      </x:c>
      <x:c r="L197" s="4" t="str"/>
      <x:c r="M197" s="4" t="str">
        <x:v>未测</x:v>
      </x:c>
      <x:c r="N197" s="4" t="str"/>
      <x:c r="O197" s="4" t="str">
        <x:v>1. 来源（原型批注）：liveshow-proto/prototype/annotations/admin.js；admin-report-center.html
2. 页面：admin-report-center.html
3. 规则：BR-C175054130B946
4. 场景：SC-682CD8F2039CE0
5. 未动态验证</x:v>
      </x:c>
    </x:row>
    <x:row r="198" ht="54" customHeight="1">
      <x:c r="A198" s="4" t="n">
        <x:v>197</x:v>
      </x:c>
      <x:c r="B198" s="4" t="str">
        <x:v>ADATA-0003</x:v>
      </x:c>
      <x:c r="C198" s="4" t="str">
        <x:v>数据报表</x:v>
      </x:c>
      <x:c r="D198" s="4" t="str">
        <x:v>报表中心（平台管理员视角）</x:v>
      </x:c>
      <x:c r="E198" s="4" t="str">
        <x:v>功能需求</x:v>
      </x:c>
      <x:c r="F198" s="4" t="str">
        <x:v>P2</x:v>
      </x:c>
      <x:c r="G198" s="4" t="str">
        <x:v>验证报表中心可查看基础数据</x:v>
      </x:c>
      <x:c r="H198" s="4" t="str">
        <x:v>基础数据展示</x:v>
      </x:c>
      <x:c r="I198" s="4" t="str">
        <x:v>1. 平台管理员账号已登录且具备当前页面权限</x:v>
      </x:c>
      <x:c r="J198" s="4" t="str">
        <x:v>1. 进入报表中心
2. 查看基础数据</x:v>
      </x:c>
      <x:c r="K198" s="4" t="str">
        <x:v>报表中心显示“基础数据”</x:v>
      </x:c>
      <x:c r="L198" s="4" t="str"/>
      <x:c r="M198" s="4" t="str">
        <x:v>未测</x:v>
      </x:c>
      <x:c r="N198" s="4" t="str"/>
      <x:c r="O198" s="4" t="str">
        <x:v>1. 来源（原型批注）：liveshow-proto/prototype/annotations/admin.js；admin-report-center.html
2. 页面：admin-report-center.html
3. 规则：BR-F21B3E4F0733A4
4. 场景：SC-F33CC021D506BE
5. 未动态验证</x:v>
      </x:c>
    </x:row>
    <x:row r="199" ht="54" customHeight="1">
      <x:c r="A199" s="4" t="n">
        <x:v>198</x:v>
      </x:c>
      <x:c r="B199" s="4" t="str">
        <x:v>ADATA-0004</x:v>
      </x:c>
      <x:c r="C199" s="4" t="str">
        <x:v>数据报表</x:v>
      </x:c>
      <x:c r="D199" s="4" t="str">
        <x:v>报表中心（平台管理员视角）</x:v>
      </x:c>
      <x:c r="E199" s="4" t="str">
        <x:v>业务流程</x:v>
      </x:c>
      <x:c r="F199" s="4" t="str">
        <x:v>P2</x:v>
      </x:c>
      <x:c r="G199" s="4" t="str">
        <x:v>验证点击入口后的报表中心状态</x:v>
      </x:c>
      <x:c r="H199" s="4" t="str">
        <x:v>报表中心状态</x:v>
      </x:c>
      <x:c r="I199" s="4" t="str">
        <x:v>1. 平台管理员账号已登录且具备当前页面权限</x:v>
      </x:c>
      <x:c r="J199" s="4" t="str">
        <x:v>1. 进入报表中心
2. 点击入口</x:v>
      </x:c>
      <x:c r="K199" s="4" t="str">
        <x:v>进入对应报表</x:v>
      </x:c>
      <x:c r="L199" s="4" t="str"/>
      <x:c r="M199" s="4" t="str">
        <x:v>未测</x:v>
      </x:c>
      <x:c r="N199" s="4" t="str"/>
      <x:c r="O199" s="4" t="str">
        <x:v>1. 来源（原型批注）：liveshow-proto/prototype/annotations/admin.js；admin-report-center.html
2. 页面：admin-report-center.html
3. 规则：BR-1567FDD88DDB4F
4. 场景：SC-F5849DB3C9E24A
5. 未动态验证</x:v>
      </x:c>
    </x:row>
    <x:row r="200" ht="54" customHeight="1">
      <x:c r="A200" s="4" t="n">
        <x:v>199</x:v>
      </x:c>
      <x:c r="B200" s="4" t="str">
        <x:v>ADATA-0005</x:v>
      </x:c>
      <x:c r="C200" s="4" t="str">
        <x:v>数据报表</x:v>
      </x:c>
      <x:c r="D200" s="4" t="str">
        <x:v>充值订单明细（平台管理员视角）</x:v>
      </x:c>
      <x:c r="E200" s="4" t="str">
        <x:v>功能需求</x:v>
      </x:c>
      <x:c r="F200" s="4" t="str">
        <x:v>P1</x:v>
      </x:c>
      <x:c r="G200" s="4" t="str">
        <x:v>验证充值订单明细可查看充值金额</x:v>
      </x:c>
      <x:c r="H200" s="4" t="str">
        <x:v>充值金额展示</x:v>
      </x:c>
      <x:c r="I200" s="4" t="str">
        <x:v>1. 平台管理员账号已登录且具备当前页面权限</x:v>
      </x:c>
      <x:c r="J200" s="4" t="str">
        <x:v>1. 进入充值订单明细
2. 查看充值金额</x:v>
      </x:c>
      <x:c r="K200" s="4" t="str">
        <x:v>充值订单明细显示“充值金额”</x:v>
      </x:c>
      <x:c r="L200" s="4" t="str"/>
      <x:c r="M200" s="4" t="str">
        <x:v>未测</x:v>
      </x:c>
      <x:c r="N200" s="4" t="str"/>
      <x:c r="O200" s="4" t="str">
        <x:v>1. 来源（原型批注）：liveshow-proto/prototype/annotations/admin.js；admin-recharge-order-detail-report.html
2. 页面：admin-recharge-order-detail-report.html
3. 规则：BR-39CB31246B4E23
4. 场景：SC-087CFD8F1459C1
5. 未动态验证</x:v>
      </x:c>
    </x:row>
    <x:row r="201" ht="54" customHeight="1">
      <x:c r="A201" s="4" t="n">
        <x:v>200</x:v>
      </x:c>
      <x:c r="B201" s="4" t="str">
        <x:v>ADATA-0006</x:v>
      </x:c>
      <x:c r="C201" s="4" t="str">
        <x:v>数据报表</x:v>
      </x:c>
      <x:c r="D201" s="4" t="str">
        <x:v>充值订单明细（平台管理员视角）</x:v>
      </x:c>
      <x:c r="E201" s="4" t="str">
        <x:v>功能需求</x:v>
      </x:c>
      <x:c r="F201" s="4" t="str">
        <x:v>P1</x:v>
      </x:c>
      <x:c r="G201" s="4" t="str">
        <x:v>验证充值订单明细可查看充值时间</x:v>
      </x:c>
      <x:c r="H201" s="4" t="str">
        <x:v>充值时间展示</x:v>
      </x:c>
      <x:c r="I201" s="4" t="str">
        <x:v>1. 平台管理员账号已登录且具备当前页面权限</x:v>
      </x:c>
      <x:c r="J201" s="4" t="str">
        <x:v>1. 进入充值订单明细
2. 查看充值时间</x:v>
      </x:c>
      <x:c r="K201" s="4" t="str">
        <x:v>充值订单明细显示“充值时间”</x:v>
      </x:c>
      <x:c r="L201" s="4" t="str"/>
      <x:c r="M201" s="4" t="str">
        <x:v>未测</x:v>
      </x:c>
      <x:c r="N201" s="4" t="str"/>
      <x:c r="O201" s="4" t="str">
        <x:v>1. 来源（原型批注）：liveshow-proto/prototype/annotations/admin.js；admin-recharge-order-detail-report.html
2. 页面：admin-recharge-order-detail-report.html
3. 规则：BR-D29ABDCA992DE3
4. 场景：SC-D99CF79F2BCEED
5. 未动态验证</x:v>
      </x:c>
    </x:row>
    <x:row r="202" ht="54" customHeight="1">
      <x:c r="A202" s="4" t="n">
        <x:v>201</x:v>
      </x:c>
      <x:c r="B202" s="4" t="str">
        <x:v>ADATA-0007</x:v>
      </x:c>
      <x:c r="C202" s="4" t="str">
        <x:v>数据报表</x:v>
      </x:c>
      <x:c r="D202" s="4" t="str">
        <x:v>充值订单明细（平台管理员视角）</x:v>
      </x:c>
      <x:c r="E202" s="4" t="str">
        <x:v>功能需求</x:v>
      </x:c>
      <x:c r="F202" s="4" t="str">
        <x:v>P1</x:v>
      </x:c>
      <x:c r="G202" s="4" t="str">
        <x:v>验证充值订单明细可查看充值用户 / 套餐</x:v>
      </x:c>
      <x:c r="H202" s="4" t="str">
        <x:v>充值用户 / 套餐展示</x:v>
      </x:c>
      <x:c r="I202" s="4" t="str">
        <x:v>1. 平台管理员账号已登录且具备当前页面权限</x:v>
      </x:c>
      <x:c r="J202" s="4" t="str">
        <x:v>1. 进入充值订单明细
2. 查看充值用户 / 套餐</x:v>
      </x:c>
      <x:c r="K202" s="4" t="str">
        <x:v>充值订单明细显示“充值用户 / 套餐”</x:v>
      </x:c>
      <x:c r="L202" s="4" t="str"/>
      <x:c r="M202" s="4" t="str">
        <x:v>未测</x:v>
      </x:c>
      <x:c r="N202" s="4" t="str"/>
      <x:c r="O202" s="4" t="str">
        <x:v>1. 来源（原型批注）：liveshow-proto/prototype/annotations/admin.js；admin-recharge-order-detail-report.html
2. 页面：admin-recharge-order-detail-report.html
3. 规则：BR-D71A699E64DF72
4. 场景：SC-9E5811A191F57D
5. 未动态验证</x:v>
      </x:c>
    </x:row>
    <x:row r="203" ht="54" customHeight="1">
      <x:c r="A203" s="4" t="n">
        <x:v>202</x:v>
      </x:c>
      <x:c r="B203" s="4" t="str">
        <x:v>ADATA-0008</x:v>
      </x:c>
      <x:c r="C203" s="4" t="str">
        <x:v>数据报表</x:v>
      </x:c>
      <x:c r="D203" s="4" t="str">
        <x:v>充值订单明细（平台管理员视角）</x:v>
      </x:c>
      <x:c r="E203" s="4" t="str">
        <x:v>功能需求</x:v>
      </x:c>
      <x:c r="F203" s="4" t="str">
        <x:v>P1</x:v>
      </x:c>
      <x:c r="G203" s="4" t="str">
        <x:v>验证充值订单明细可查看支付渠道</x:v>
      </x:c>
      <x:c r="H203" s="4" t="str">
        <x:v>支付渠道展示</x:v>
      </x:c>
      <x:c r="I203" s="4" t="str">
        <x:v>1. 平台管理员账号已登录且具备当前页面权限</x:v>
      </x:c>
      <x:c r="J203" s="4" t="str">
        <x:v>1. 进入充值订单明细
2. 查看支付渠道</x:v>
      </x:c>
      <x:c r="K203" s="4" t="str">
        <x:v>充值订单明细显示“支付渠道”</x:v>
      </x:c>
      <x:c r="L203" s="4" t="str"/>
      <x:c r="M203" s="4" t="str">
        <x:v>未测</x:v>
      </x:c>
      <x:c r="N203" s="4" t="str"/>
      <x:c r="O203" s="4" t="str">
        <x:v>1. 来源（原型批注）：liveshow-proto/prototype/annotations/admin.js；admin-recharge-order-detail-report.html
2. 页面：admin-recharge-order-detail-report.html
3. 规则：BR-98C2261333495B
4. 场景：SC-1BD73FA1699A04
5. 未动态验证</x:v>
      </x:c>
    </x:row>
    <x:row r="204" ht="54" customHeight="1">
      <x:c r="A204" s="4" t="n">
        <x:v>203</x:v>
      </x:c>
      <x:c r="B204" s="4" t="str">
        <x:v>ADATA-0009</x:v>
      </x:c>
      <x:c r="C204" s="4" t="str">
        <x:v>数据报表</x:v>
      </x:c>
      <x:c r="D204" s="4" t="str">
        <x:v>充值消费汇总（每日）（平台管理员视角）</x:v>
      </x:c>
      <x:c r="E204" s="4" t="str">
        <x:v>功能需求</x:v>
      </x:c>
      <x:c r="F204" s="4" t="str">
        <x:v>P1</x:v>
      </x:c>
      <x:c r="G204" s="4" t="str">
        <x:v>验证充值消费汇总（每日）可查看充值金币</x:v>
      </x:c>
      <x:c r="H204" s="4" t="str">
        <x:v>充值金币展示</x:v>
      </x:c>
      <x:c r="I204" s="4" t="str">
        <x:v>1. 平台管理员账号已登录且具备当前页面权限</x:v>
      </x:c>
      <x:c r="J204" s="4" t="str">
        <x:v>1. 进入充值消费汇总（每日）
2. 查看充值金币</x:v>
      </x:c>
      <x:c r="K204" s="4" t="str">
        <x:v>充值消费汇总（每日）显示“充值金币”</x:v>
      </x:c>
      <x:c r="L204" s="4" t="str"/>
      <x:c r="M204" s="4" t="str">
        <x:v>未测</x:v>
      </x:c>
      <x:c r="N204" s="4" t="str"/>
      <x:c r="O204" s="4" t="str">
        <x:v>1. 来源（原型批注）：liveshow-proto/prototype/annotations/admin.js；admin-recharge-statistics.html
2. 页面：admin-recharge-statistics.html
3. 规则：BR-EC49B7A9821CF4
4. 场景：SC-AF25032D724128
5. 未动态验证</x:v>
      </x:c>
    </x:row>
    <x:row r="205" ht="54" customHeight="1">
      <x:c r="A205" s="4" t="n">
        <x:v>204</x:v>
      </x:c>
      <x:c r="B205" s="4" t="str">
        <x:v>ADATA-0010</x:v>
      </x:c>
      <x:c r="C205" s="4" t="str">
        <x:v>数据报表</x:v>
      </x:c>
      <x:c r="D205" s="4" t="str">
        <x:v>充值消费汇总（每日）（平台管理员视角）</x:v>
      </x:c>
      <x:c r="E205" s="4" t="str">
        <x:v>功能需求</x:v>
      </x:c>
      <x:c r="F205" s="4" t="str">
        <x:v>P1</x:v>
      </x:c>
      <x:c r="G205" s="4" t="str">
        <x:v>验证充值消费汇总（每日）可查看充值赠送 / 系统赠送金币</x:v>
      </x:c>
      <x:c r="H205" s="4" t="str">
        <x:v>充值赠送 / 系统赠送金币展示</x:v>
      </x:c>
      <x:c r="I205" s="4" t="str">
        <x:v>1. 平台管理员账号已登录且具备当前页面权限</x:v>
      </x:c>
      <x:c r="J205" s="4" t="str">
        <x:v>1. 进入充值消费汇总（每日）
2. 查看充值赠送 / 系统赠送金币</x:v>
      </x:c>
      <x:c r="K205" s="4" t="str">
        <x:v>充值消费汇总（每日）显示“充值赠送 / 系统赠送金币”</x:v>
      </x:c>
      <x:c r="L205" s="4" t="str"/>
      <x:c r="M205" s="4" t="str">
        <x:v>未测</x:v>
      </x:c>
      <x:c r="N205" s="4" t="str"/>
      <x:c r="O205" s="4" t="str">
        <x:v>1. 来源（原型批注）：liveshow-proto/prototype/annotations/admin.js；admin-recharge-statistics.html
2. 页面：admin-recharge-statistics.html
3. 规则：BR-C4CE67C06407C7
4. 场景：SC-9DC037F9021F40
5. 未动态验证</x:v>
      </x:c>
    </x:row>
    <x:row r="206" ht="54" customHeight="1">
      <x:c r="A206" s="4" t="n">
        <x:v>205</x:v>
      </x:c>
      <x:c r="B206" s="4" t="str">
        <x:v>ADATA-0011</x:v>
      </x:c>
      <x:c r="C206" s="4" t="str">
        <x:v>数据报表</x:v>
      </x:c>
      <x:c r="D206" s="4" t="str">
        <x:v>充值消费汇总（每日）（平台管理员视角）</x:v>
      </x:c>
      <x:c r="E206" s="4" t="str">
        <x:v>功能需求</x:v>
      </x:c>
      <x:c r="F206" s="4" t="str">
        <x:v>P1</x:v>
      </x:c>
      <x:c r="G206" s="4" t="str">
        <x:v>验证充值消费汇总（每日）可查看金币净增量</x:v>
      </x:c>
      <x:c r="H206" s="4" t="str">
        <x:v>金币净增量展示</x:v>
      </x:c>
      <x:c r="I206" s="4" t="str">
        <x:v>1. 平台管理员账号已登录且具备当前页面权限</x:v>
      </x:c>
      <x:c r="J206" s="4" t="str">
        <x:v>1. 进入充值消费汇总（每日）
2. 查看金币净增量</x:v>
      </x:c>
      <x:c r="K206" s="4" t="str">
        <x:v>充值消费汇总（每日）显示“金币净增量”</x:v>
      </x:c>
      <x:c r="L206" s="4" t="str"/>
      <x:c r="M206" s="4" t="str">
        <x:v>未测</x:v>
      </x:c>
      <x:c r="N206" s="4" t="str"/>
      <x:c r="O206" s="4" t="str">
        <x:v>1. 来源（原型批注）：liveshow-proto/prototype/annotations/admin.js；admin-recharge-statistics.html
2. 页面：admin-recharge-statistics.html
3. 规则：BR-5E03E6278BCA24
4. 场景：SC-A5109CB1469E38
5. 未动态验证</x:v>
      </x:c>
    </x:row>
    <x:row r="207" ht="54" customHeight="1">
      <x:c r="A207" s="4" t="n">
        <x:v>206</x:v>
      </x:c>
      <x:c r="B207" s="4" t="str">
        <x:v>ADATA-0012</x:v>
      </x:c>
      <x:c r="C207" s="4" t="str">
        <x:v>数据报表</x:v>
      </x:c>
      <x:c r="D207" s="4" t="str">
        <x:v>充值消费汇总（每日）（平台管理员视角）</x:v>
      </x:c>
      <x:c r="E207" s="4" t="str">
        <x:v>功能需求</x:v>
      </x:c>
      <x:c r="F207" s="4" t="str">
        <x:v>P1</x:v>
      </x:c>
      <x:c r="G207" s="4" t="str">
        <x:v>验证充值消费汇总（每日）可查看客单价</x:v>
      </x:c>
      <x:c r="H207" s="4" t="str">
        <x:v>客单价展示</x:v>
      </x:c>
      <x:c r="I207" s="4" t="str">
        <x:v>1. 平台管理员账号已登录且具备当前页面权限</x:v>
      </x:c>
      <x:c r="J207" s="4" t="str">
        <x:v>1. 进入充值消费汇总（每日）
2. 查看客单价</x:v>
      </x:c>
      <x:c r="K207" s="4" t="str">
        <x:v>充值消费汇总（每日）显示“客单价”</x:v>
      </x:c>
      <x:c r="L207" s="4" t="str"/>
      <x:c r="M207" s="4" t="str">
        <x:v>未测</x:v>
      </x:c>
      <x:c r="N207" s="4" t="str"/>
      <x:c r="O207" s="4" t="str">
        <x:v>1. 来源（原型批注）：liveshow-proto/prototype/annotations/admin.js；admin-recharge-statistics.html
2. 页面：admin-recharge-statistics.html
3. 规则：BR-25A2B03A6A2715、BR-FA38D999E73B04
4. 场景：SC-77C7BBEDC8DCD7
5. 未动态验证</x:v>
      </x:c>
    </x:row>
    <x:row r="208" ht="54" customHeight="1">
      <x:c r="A208" s="4" t="n">
        <x:v>207</x:v>
      </x:c>
      <x:c r="B208" s="4" t="str">
        <x:v>ADATA-0013</x:v>
      </x:c>
      <x:c r="C208" s="4" t="str">
        <x:v>数据报表</x:v>
      </x:c>
      <x:c r="D208" s="4" t="str">
        <x:v>充值消费汇总（每日）（平台管理员视角）</x:v>
      </x:c>
      <x:c r="E208" s="4" t="str">
        <x:v>功能需求</x:v>
      </x:c>
      <x:c r="F208" s="4" t="str">
        <x:v>P1</x:v>
      </x:c>
      <x:c r="G208" s="4" t="str">
        <x:v>验证充值消费汇总（每日）可查看消费金币</x:v>
      </x:c>
      <x:c r="H208" s="4" t="str">
        <x:v>消费金币展示</x:v>
      </x:c>
      <x:c r="I208" s="4" t="str">
        <x:v>1. 平台管理员账号已登录且具备当前页面权限</x:v>
      </x:c>
      <x:c r="J208" s="4" t="str">
        <x:v>1. 进入充值消费汇总（每日）
2. 查看消费金币</x:v>
      </x:c>
      <x:c r="K208" s="4" t="str">
        <x:v>充值消费汇总（每日）显示“消费金币”</x:v>
      </x:c>
      <x:c r="L208" s="4" t="str"/>
      <x:c r="M208" s="4" t="str">
        <x:v>未测</x:v>
      </x:c>
      <x:c r="N208" s="4" t="str"/>
      <x:c r="O208" s="4" t="str">
        <x:v>1. 来源（原型批注）：liveshow-proto/prototype/annotations/admin.js；admin-recharge-statistics.html
2. 页面：admin-recharge-statistics.html
3. 规则：BR-05CF7C8A281D4D
4. 场景：SC-A37C2F4D1709F8
5. 未动态验证</x:v>
      </x:c>
    </x:row>
    <x:row r="209" ht="54" customHeight="1">
      <x:c r="A209" s="4" t="n">
        <x:v>208</x:v>
      </x:c>
      <x:c r="B209" s="4" t="str">
        <x:v>ADATA-0014</x:v>
      </x:c>
      <x:c r="C209" s="4" t="str">
        <x:v>数据报表</x:v>
      </x:c>
      <x:c r="D209" s="4" t="str">
        <x:v>充值消费汇总（每日）（平台管理员视角）</x:v>
      </x:c>
      <x:c r="E209" s="4" t="str">
        <x:v>功能需求</x:v>
      </x:c>
      <x:c r="F209" s="4" t="str">
        <x:v>P1</x:v>
      </x:c>
      <x:c r="G209" s="4" t="str">
        <x:v>验证充值消费汇总（每日）可查看总充值金额 / 人数 / 订单</x:v>
      </x:c>
      <x:c r="H209" s="4" t="str">
        <x:v>总充值金额 / 人数 / 订单展示</x:v>
      </x:c>
      <x:c r="I209" s="4" t="str">
        <x:v>1. 平台管理员账号已登录且具备当前页面权限</x:v>
      </x:c>
      <x:c r="J209" s="4" t="str">
        <x:v>1. 进入充值消费汇总（每日）
2. 查看总充值金额 / 人数 / 订单</x:v>
      </x:c>
      <x:c r="K209" s="4" t="str">
        <x:v>充值消费汇总（每日）显示“总充值金额 / 人数 / 订单”</x:v>
      </x:c>
      <x:c r="L209" s="4" t="str"/>
      <x:c r="M209" s="4" t="str">
        <x:v>未测</x:v>
      </x:c>
      <x:c r="N209" s="4" t="str"/>
      <x:c r="O209" s="4" t="str">
        <x:v>1. 来源（原型批注）：liveshow-proto/prototype/annotations/admin.js；admin-recharge-statistics.html
2. 页面：admin-recharge-statistics.html
3. 规则：BR-ADB302D52E602D
4. 场景：SC-FADCFEA20489C2
5. 未动态验证</x:v>
      </x:c>
    </x:row>
    <x:row r="210" ht="54" customHeight="1">
      <x:c r="A210" s="4" t="n">
        <x:v>209</x:v>
      </x:c>
      <x:c r="B210" s="4" t="str">
        <x:v>ADATA-0015</x:v>
      </x:c>
      <x:c r="C210" s="4" t="str">
        <x:v>数据报表</x:v>
      </x:c>
      <x:c r="D210" s="4" t="str">
        <x:v>充值用户分层汇总（每日）（平台管理员视角）</x:v>
      </x:c>
      <x:c r="E210" s="4" t="str">
        <x:v>功能需求</x:v>
      </x:c>
      <x:c r="F210" s="4" t="str">
        <x:v>P1</x:v>
      </x:c>
      <x:c r="G210" s="4" t="str">
        <x:v>验证充值用户分层汇总（每日）可查看老用户 ARPU</x:v>
      </x:c>
      <x:c r="H210" s="4" t="str">
        <x:v>老用户 ARPU展示</x:v>
      </x:c>
      <x:c r="I210" s="4" t="str">
        <x:v>1. 平台管理员账号已登录且具备当前页面权限</x:v>
      </x:c>
      <x:c r="J210" s="4" t="str">
        <x:v>1. 进入充值用户分层汇总（每日）
2. 查看老用户 ARPU</x:v>
      </x:c>
      <x:c r="K210" s="4" t="str">
        <x:v>充值用户分层汇总（每日）显示“老用户 ARPU”</x:v>
      </x:c>
      <x:c r="L210" s="4" t="str"/>
      <x:c r="M210" s="4" t="str">
        <x:v>未测</x:v>
      </x:c>
      <x:c r="N210" s="4" t="str"/>
      <x:c r="O210" s="4" t="str">
        <x:v>1. 来源（原型批注）：liveshow-proto/prototype/annotations/admin.js；admin-user-activity-statistics.html
2. 页面：admin-user-activity-statistics.html
3. 规则：BR-7B1504B0352711、BR-4E6DA9D35D3633
4. 场景：SC-584B93470F6B31
5. 未动态验证</x:v>
      </x:c>
    </x:row>
    <x:row r="211" ht="54" customHeight="1">
      <x:c r="A211" s="4" t="n">
        <x:v>210</x:v>
      </x:c>
      <x:c r="B211" s="4" t="str">
        <x:v>ADATA-0016</x:v>
      </x:c>
      <x:c r="C211" s="4" t="str">
        <x:v>数据报表</x:v>
      </x:c>
      <x:c r="D211" s="4" t="str">
        <x:v>充值用户分层汇总（每日）（平台管理员视角）</x:v>
      </x:c>
      <x:c r="E211" s="4" t="str">
        <x:v>功能需求</x:v>
      </x:c>
      <x:c r="F211" s="4" t="str">
        <x:v>P1</x:v>
      </x:c>
      <x:c r="G211" s="4" t="str">
        <x:v>验证充值用户分层汇总（每日）可查看新 / 老用户</x:v>
      </x:c>
      <x:c r="H211" s="4" t="str">
        <x:v>新 / 老用户展示</x:v>
      </x:c>
      <x:c r="I211" s="4" t="str">
        <x:v>1. 平台管理员账号已登录且具备当前页面权限</x:v>
      </x:c>
      <x:c r="J211" s="4" t="str">
        <x:v>1. 进入充值用户分层汇总（每日）
2. 查看新 / 老用户</x:v>
      </x:c>
      <x:c r="K211" s="4" t="str">
        <x:v>充值用户分层汇总（每日）显示“新 / 老用户”</x:v>
      </x:c>
      <x:c r="L211" s="4" t="str"/>
      <x:c r="M211" s="4" t="str">
        <x:v>未测</x:v>
      </x:c>
      <x:c r="N211" s="4" t="str"/>
      <x:c r="O211" s="4" t="str">
        <x:v>1. 来源（原型批注）：liveshow-proto/prototype/annotations/admin.js；admin-user-activity-statistics.html
2. 页面：admin-user-activity-statistics.html
3. 规则：BR-257972C3B26DBA
4. 场景：SC-7E324AA1E9D4A9
5. 未动态验证</x:v>
      </x:c>
    </x:row>
    <x:row r="212" ht="54" customHeight="1">
      <x:c r="A212" s="4" t="n">
        <x:v>211</x:v>
      </x:c>
      <x:c r="B212" s="4" t="str">
        <x:v>ADATA-0017</x:v>
      </x:c>
      <x:c r="C212" s="4" t="str">
        <x:v>数据报表</x:v>
      </x:c>
      <x:c r="D212" s="4" t="str">
        <x:v>充值用户分层汇总（每日）（平台管理员视角）</x:v>
      </x:c>
      <x:c r="E212" s="4" t="str">
        <x:v>功能需求</x:v>
      </x:c>
      <x:c r="F212" s="4" t="str">
        <x:v>P1</x:v>
      </x:c>
      <x:c r="G212" s="4" t="str">
        <x:v>验证充值用户分层汇总（每日）可查看新用户 ARPU</x:v>
      </x:c>
      <x:c r="H212" s="4" t="str">
        <x:v>新用户 ARPU展示</x:v>
      </x:c>
      <x:c r="I212" s="4" t="str">
        <x:v>1. 平台管理员账号已登录且具备当前页面权限</x:v>
      </x:c>
      <x:c r="J212" s="4" t="str">
        <x:v>1. 进入充值用户分层汇总（每日）
2. 查看新用户 ARPU</x:v>
      </x:c>
      <x:c r="K212" s="4" t="str">
        <x:v>充值用户分层汇总（每日）显示“新用户 ARPU”</x:v>
      </x:c>
      <x:c r="L212" s="4" t="str"/>
      <x:c r="M212" s="4" t="str">
        <x:v>未测</x:v>
      </x:c>
      <x:c r="N212" s="4" t="str"/>
      <x:c r="O212" s="4" t="str">
        <x:v>1. 来源（原型批注）：liveshow-proto/prototype/annotations/admin.js；admin-user-activity-statistics.html
2. 页面：admin-user-activity-statistics.html
3. 规则：BR-3E1D731B2D3FC2、BR-2CF7112C834C0B
4. 场景：SC-477FFAA08F78BB
5. 未动态验证</x:v>
      </x:c>
    </x:row>
    <x:row r="213" ht="54" customHeight="1">
      <x:c r="A213" s="4" t="n">
        <x:v>212</x:v>
      </x:c>
      <x:c r="B213" s="4" t="str">
        <x:v>ADATA-0018</x:v>
      </x:c>
      <x:c r="C213" s="4" t="str">
        <x:v>数据报表</x:v>
      </x:c>
      <x:c r="D213" s="4" t="str">
        <x:v>充值用户分层汇总（每日）（平台管理员视角）</x:v>
      </x:c>
      <x:c r="E213" s="4" t="str">
        <x:v>功能需求</x:v>
      </x:c>
      <x:c r="F213" s="4" t="str">
        <x:v>P1</x:v>
      </x:c>
      <x:c r="G213" s="4" t="str">
        <x:v>验证充值用户分层汇总（每日）可查看总充值金额</x:v>
      </x:c>
      <x:c r="H213" s="4" t="str">
        <x:v>总充值金额展示</x:v>
      </x:c>
      <x:c r="I213" s="4" t="str">
        <x:v>1. 平台管理员账号已登录且具备当前页面权限</x:v>
      </x:c>
      <x:c r="J213" s="4" t="str">
        <x:v>1. 进入充值用户分层汇总（每日）
2. 查看总充值金额</x:v>
      </x:c>
      <x:c r="K213" s="4" t="str">
        <x:v>充值用户分层汇总（每日）显示“总充值金额”</x:v>
      </x:c>
      <x:c r="L213" s="4" t="str"/>
      <x:c r="M213" s="4" t="str">
        <x:v>未测</x:v>
      </x:c>
      <x:c r="N213" s="4" t="str"/>
      <x:c r="O213" s="4" t="str">
        <x:v>1. 来源（原型批注）：liveshow-proto/prototype/annotations/admin.js；admin-user-activity-statistics.html
2. 页面：admin-user-activity-statistics.html
3. 规则：BR-2989BAD09D6F73
4. 场景：SC-FDB36DA02C456E
5. 未动态验证</x:v>
      </x:c>
    </x:row>
    <x:row r="214" ht="54" customHeight="1">
      <x:c r="A214" s="4" t="n">
        <x:v>213</x:v>
      </x:c>
      <x:c r="B214" s="4" t="str">
        <x:v>ADATA-0019</x:v>
      </x:c>
      <x:c r="C214" s="4" t="str">
        <x:v>数据报表</x:v>
      </x:c>
      <x:c r="D214" s="4" t="str">
        <x:v>充值用户分层汇总（每日）（平台管理员视角）</x:v>
      </x:c>
      <x:c r="E214" s="4" t="str">
        <x:v>功能需求</x:v>
      </x:c>
      <x:c r="F214" s="4" t="str">
        <x:v>P1</x:v>
      </x:c>
      <x:c r="G214" s="4" t="str">
        <x:v>验证充值用户分层汇总（每日）可查看总充值人数</x:v>
      </x:c>
      <x:c r="H214" s="4" t="str">
        <x:v>总充值人数展示</x:v>
      </x:c>
      <x:c r="I214" s="4" t="str">
        <x:v>1. 平台管理员账号已登录且具备当前页面权限</x:v>
      </x:c>
      <x:c r="J214" s="4" t="str">
        <x:v>1. 进入充值用户分层汇总（每日）
2. 查看总充值人数</x:v>
      </x:c>
      <x:c r="K214" s="4" t="str">
        <x:v>充值用户分层汇总（每日）显示“总充值人数”</x:v>
      </x:c>
      <x:c r="L214" s="4" t="str"/>
      <x:c r="M214" s="4" t="str">
        <x:v>未测</x:v>
      </x:c>
      <x:c r="N214" s="4" t="str"/>
      <x:c r="O214" s="4" t="str">
        <x:v>1. 来源（原型批注）：liveshow-proto/prototype/annotations/admin.js；admin-user-activity-statistics.html
2. 页面：admin-user-activity-statistics.html
3. 规则：BR-C12EEAA942E9BA
4. 场景：SC-9266FE1AB4DD87
5. 未动态验证</x:v>
      </x:c>
    </x:row>
    <x:row r="215" ht="54" customHeight="1">
      <x:c r="A215" s="4" t="n">
        <x:v>214</x:v>
      </x:c>
      <x:c r="B215" s="4" t="str">
        <x:v>ADATA-0020</x:v>
      </x:c>
      <x:c r="C215" s="4" t="str">
        <x:v>数据报表</x:v>
      </x:c>
      <x:c r="D215" s="4" t="str">
        <x:v>工作台（平台管理员视角）</x:v>
      </x:c>
      <x:c r="E215" s="4" t="str">
        <x:v>业务流程</x:v>
      </x:c>
      <x:c r="F215" s="4" t="str">
        <x:v>P2</x:v>
      </x:c>
      <x:c r="G215" s="4" t="str">
        <x:v>验证点击快捷入口后的工作台状态</x:v>
      </x:c>
      <x:c r="H215" s="4" t="str">
        <x:v>工作台状态</x:v>
      </x:c>
      <x:c r="I215" s="4" t="str">
        <x:v>1. 平台管理员账号已登录且具备当前页面权限</x:v>
      </x:c>
      <x:c r="J215" s="4" t="str">
        <x:v>1. 进入工作台
2. 点击快捷入口</x:v>
      </x:c>
      <x:c r="K215" s="4" t="str">
        <x:v>进入对应页面</x:v>
      </x:c>
      <x:c r="L215" s="4" t="str"/>
      <x:c r="M215" s="4" t="str">
        <x:v>未测</x:v>
      </x:c>
      <x:c r="N215" s="4" t="str"/>
      <x:c r="O215" s="4" t="str">
        <x:v>1. 来源（原型批注）：liveshow-proto/prototype/annotations/admin.js；admin-dashboard.html
2. 页面：admin-dashboard.html
3. 规则：BR-8D09A49E67ACED
4. 场景：SC-FFAF65134A73CA
5. 未动态验证</x:v>
      </x:c>
    </x:row>
    <x:row r="216" ht="54" customHeight="1">
      <x:c r="A216" s="4" t="n">
        <x:v>215</x:v>
      </x:c>
      <x:c r="B216" s="4" t="str">
        <x:v>ADATA-0021</x:v>
      </x:c>
      <x:c r="C216" s="4" t="str">
        <x:v>数据报表</x:v>
      </x:c>
      <x:c r="D216" s="4" t="str">
        <x:v>工作台（平台管理员视角）</x:v>
      </x:c>
      <x:c r="E216" s="4" t="str">
        <x:v>业务流程</x:v>
      </x:c>
      <x:c r="F216" s="4" t="str">
        <x:v>P2</x:v>
      </x:c>
      <x:c r="G216" s="4" t="str">
        <x:v>验证点击退款记录后的工作台状态</x:v>
      </x:c>
      <x:c r="H216" s="4" t="str">
        <x:v>工作台状态</x:v>
      </x:c>
      <x:c r="I216" s="4" t="str">
        <x:v>1. 平台管理员账号已登录且具备当前页面权限</x:v>
      </x:c>
      <x:c r="J216" s="4" t="str">
        <x:v>1. 进入工作台
2. 点击退款记录</x:v>
      </x:c>
      <x:c r="K216" s="4" t="str">
        <x:v>进入对应页面</x:v>
      </x:c>
      <x:c r="L216" s="4" t="str"/>
      <x:c r="M216" s="4" t="str">
        <x:v>未测</x:v>
      </x:c>
      <x:c r="N216" s="4" t="str"/>
      <x:c r="O216" s="4" t="str">
        <x:v>1. 来源（原型批注）：liveshow-proto/prototype/annotations/admin.js；admin-dashboard.html
2. 页面：admin-dashboard.html
3. 规则：BR-8D09A49E67ACED
4. 场景：SC-4730003C00CEBF
5. 未动态验证</x:v>
      </x:c>
    </x:row>
    <x:row r="217" ht="54" customHeight="1">
      <x:c r="A217" s="4" t="n">
        <x:v>216</x:v>
      </x:c>
      <x:c r="B217" s="4" t="str">
        <x:v>ADATA-0022</x:v>
      </x:c>
      <x:c r="C217" s="4" t="str">
        <x:v>数据报表</x:v>
      </x:c>
      <x:c r="D217" s="4" t="str">
        <x:v>工作台（平台管理员视角）</x:v>
      </x:c>
      <x:c r="E217" s="4" t="str">
        <x:v>业务流程</x:v>
      </x:c>
      <x:c r="F217" s="4" t="str">
        <x:v>P2</x:v>
      </x:c>
      <x:c r="G217" s="4" t="str">
        <x:v>验证点击指标卡后的工作台状态</x:v>
      </x:c>
      <x:c r="H217" s="4" t="str">
        <x:v>工作台状态</x:v>
      </x:c>
      <x:c r="I217" s="4" t="str">
        <x:v>1. 平台管理员账号已登录且具备当前页面权限</x:v>
      </x:c>
      <x:c r="J217" s="4" t="str">
        <x:v>1. 进入工作台
2. 点击指标卡</x:v>
      </x:c>
      <x:c r="K217" s="4" t="str">
        <x:v>切换趋势</x:v>
      </x:c>
      <x:c r="L217" s="4" t="str"/>
      <x:c r="M217" s="4" t="str">
        <x:v>未测</x:v>
      </x:c>
      <x:c r="N217" s="4" t="str"/>
      <x:c r="O217" s="4" t="str">
        <x:v>1. 来源（原型批注）：liveshow-proto/prototype/annotations/admin.js；admin-dashboard.html
2. 页面：admin-dashboard.html
3. 规则：BR-E3590D4E8671AA
4. 场景：SC-6069AB527BEA24
5. 未动态验证</x:v>
      </x:c>
    </x:row>
    <x:row r="218" ht="54" customHeight="1">
      <x:c r="A218" s="4" t="n">
        <x:v>217</x:v>
      </x:c>
      <x:c r="B218" s="4" t="str">
        <x:v>ADATA-0023</x:v>
      </x:c>
      <x:c r="C218" s="4" t="str">
        <x:v>数据报表</x:v>
      </x:c>
      <x:c r="D218" s="4" t="str">
        <x:v>工作台（平台管理员视角）</x:v>
      </x:c>
      <x:c r="E218" s="4" t="str">
        <x:v>功能需求</x:v>
      </x:c>
      <x:c r="F218" s="4" t="str">
        <x:v>P2</x:v>
      </x:c>
      <x:c r="G218" s="4" t="str">
        <x:v>验证工作台可查看被动退款</x:v>
      </x:c>
      <x:c r="H218" s="4" t="str">
        <x:v>被动退款展示</x:v>
      </x:c>
      <x:c r="I218" s="4" t="str">
        <x:v>1. 平台管理员账号已登录且具备当前页面权限</x:v>
      </x:c>
      <x:c r="J218" s="4" t="str">
        <x:v>1. 进入工作台
2. 查看被动退款</x:v>
      </x:c>
      <x:c r="K218" s="4" t="str">
        <x:v>工作台显示“被动退款”</x:v>
      </x:c>
      <x:c r="L218" s="4" t="str"/>
      <x:c r="M218" s="4" t="str">
        <x:v>未测</x:v>
      </x:c>
      <x:c r="N218" s="4" t="str"/>
      <x:c r="O218" s="4" t="str">
        <x:v>1. 来源（原型批注）：liveshow-proto/prototype/annotations/admin.js；admin-dashboard.html
2. 页面：admin-dashboard.html
3. 规则：BR-35A32C5CAF250F
4. 场景：SC-99A5941DCEBE6B
5. 未动态验证</x:v>
      </x:c>
    </x:row>
    <x:row r="219" ht="54" customHeight="1">
      <x:c r="A219" s="4" t="n">
        <x:v>218</x:v>
      </x:c>
      <x:c r="B219" s="4" t="str">
        <x:v>ADATA-0024</x:v>
      </x:c>
      <x:c r="C219" s="4" t="str">
        <x:v>数据报表</x:v>
      </x:c>
      <x:c r="D219" s="4" t="str">
        <x:v>工作台（平台管理员视角）</x:v>
      </x:c>
      <x:c r="E219" s="4" t="str">
        <x:v>功能需求</x:v>
      </x:c>
      <x:c r="F219" s="4" t="str">
        <x:v>P2</x:v>
      </x:c>
      <x:c r="G219" s="4" t="str">
        <x:v>验证工作台可查看达成有效天主播</x:v>
      </x:c>
      <x:c r="H219" s="4" t="str">
        <x:v>达成有效天主播展示</x:v>
      </x:c>
      <x:c r="I219" s="4" t="str">
        <x:v>1. 平台管理员账号已登录且具备当前页面权限</x:v>
      </x:c>
      <x:c r="J219" s="4" t="str">
        <x:v>1. 进入工作台
2. 查看达成有效天主播</x:v>
      </x:c>
      <x:c r="K219" s="4" t="str">
        <x:v>工作台显示“达成有效天主播”</x:v>
      </x:c>
      <x:c r="L219" s="4" t="str"/>
      <x:c r="M219" s="4" t="str">
        <x:v>未测</x:v>
      </x:c>
      <x:c r="N219" s="4" t="str"/>
      <x:c r="O219" s="4" t="str">
        <x:v>1. 来源（原型批注）：liveshow-proto/prototype/annotations/admin.js；admin-dashboard.html
2. 页面：admin-dashboard.html
3. 规则：BR-0EBF7C1630BE83
4. 场景：SC-1332C6B26A1CE5
5. 未动态验证</x:v>
      </x:c>
    </x:row>
    <x:row r="220" ht="54" customHeight="1">
      <x:c r="A220" s="4" t="n">
        <x:v>219</x:v>
      </x:c>
      <x:c r="B220" s="4" t="str">
        <x:v>ADATA-0025</x:v>
      </x:c>
      <x:c r="C220" s="4" t="str">
        <x:v>数据报表</x:v>
      </x:c>
      <x:c r="D220" s="4" t="str">
        <x:v>工作台（平台管理员视角）</x:v>
      </x:c>
      <x:c r="E220" s="4" t="str">
        <x:v>功能需求</x:v>
      </x:c>
      <x:c r="F220" s="4" t="str">
        <x:v>P2</x:v>
      </x:c>
      <x:c r="G220" s="4" t="str">
        <x:v>验证工作台可查看活跃用户 / 新增用户</x:v>
      </x:c>
      <x:c r="H220" s="4" t="str">
        <x:v>活跃用户 / 新增用户展示</x:v>
      </x:c>
      <x:c r="I220" s="4" t="str">
        <x:v>1. 平台管理员账号已登录且具备当前页面权限</x:v>
      </x:c>
      <x:c r="J220" s="4" t="str">
        <x:v>1. 进入工作台
2. 查看活跃用户 / 新增用户</x:v>
      </x:c>
      <x:c r="K220" s="4" t="str">
        <x:v>工作台显示“活跃用户 / 新增用户”</x:v>
      </x:c>
      <x:c r="L220" s="4" t="str"/>
      <x:c r="M220" s="4" t="str">
        <x:v>未测</x:v>
      </x:c>
      <x:c r="N220" s="4" t="str"/>
      <x:c r="O220" s="4" t="str">
        <x:v>1. 来源（原型批注）：liveshow-proto/prototype/annotations/admin.js；admin-dashboard.html
2. 页面：admin-dashboard.html
3. 规则：BR-4E66C49F3B12CC
4. 场景：SC-365707C3490A74
5. 未动态验证</x:v>
      </x:c>
    </x:row>
    <x:row r="221" ht="54" customHeight="1">
      <x:c r="A221" s="4" t="n">
        <x:v>220</x:v>
      </x:c>
      <x:c r="B221" s="4" t="str">
        <x:v>ADATA-0026</x:v>
      </x:c>
      <x:c r="C221" s="4" t="str">
        <x:v>数据报表</x:v>
      </x:c>
      <x:c r="D221" s="4" t="str">
        <x:v>工作台（平台管理员视角）</x:v>
      </x:c>
      <x:c r="E221" s="4" t="str">
        <x:v>功能需求</x:v>
      </x:c>
      <x:c r="F221" s="4" t="str">
        <x:v>P2</x:v>
      </x:c>
      <x:c r="G221" s="4" t="str">
        <x:v>验证工作台可查看新用户 ARPU</x:v>
      </x:c>
      <x:c r="H221" s="4" t="str">
        <x:v>新用户 ARPU展示</x:v>
      </x:c>
      <x:c r="I221" s="4" t="str">
        <x:v>1. 平台管理员账号已登录且具备当前页面权限</x:v>
      </x:c>
      <x:c r="J221" s="4" t="str">
        <x:v>1. 进入工作台
2. 查看新用户 ARPU</x:v>
      </x:c>
      <x:c r="K221" s="4" t="str">
        <x:v>工作台显示“新用户 ARPU”</x:v>
      </x:c>
      <x:c r="L221" s="4" t="str"/>
      <x:c r="M221" s="4" t="str">
        <x:v>未测</x:v>
      </x:c>
      <x:c r="N221" s="4" t="str"/>
      <x:c r="O221" s="4" t="str">
        <x:v>1. 来源（原型批注）：liveshow-proto/prototype/annotations/admin.js；admin-dashboard.html
2. 页面：admin-dashboard.html
3. 规则：BR-6311740F9B347A、BR-E2A59B9E76C8A7
4. 场景：SC-4CD84058EEBAB1
5. 未动态验证</x:v>
      </x:c>
    </x:row>
    <x:row r="222" ht="54" customHeight="1">
      <x:c r="A222" s="4" t="n">
        <x:v>221</x:v>
      </x:c>
      <x:c r="B222" s="4" t="str">
        <x:v>ADATA-0027</x:v>
      </x:c>
      <x:c r="C222" s="4" t="str">
        <x:v>数据报表</x:v>
      </x:c>
      <x:c r="D222" s="4" t="str">
        <x:v>工作台（平台管理员视角）</x:v>
      </x:c>
      <x:c r="E222" s="4" t="str">
        <x:v>功能需求</x:v>
      </x:c>
      <x:c r="F222" s="4" t="str">
        <x:v>P2</x:v>
      </x:c>
      <x:c r="G222" s="4" t="str">
        <x:v>验证工作台可查看新用户充值金额</x:v>
      </x:c>
      <x:c r="H222" s="4" t="str">
        <x:v>新用户充值金额展示</x:v>
      </x:c>
      <x:c r="I222" s="4" t="str">
        <x:v>1. 平台管理员账号已登录且具备当前页面权限</x:v>
      </x:c>
      <x:c r="J222" s="4" t="str">
        <x:v>1. 进入工作台
2. 查看新用户充值金额</x:v>
      </x:c>
      <x:c r="K222" s="4" t="str">
        <x:v>工作台显示“新用户充值金额”</x:v>
      </x:c>
      <x:c r="L222" s="4" t="str"/>
      <x:c r="M222" s="4" t="str">
        <x:v>未测</x:v>
      </x:c>
      <x:c r="N222" s="4" t="str"/>
      <x:c r="O222" s="4" t="str">
        <x:v>1. 来源（原型批注）：liveshow-proto/prototype/annotations/admin.js；admin-dashboard.html
2. 页面：admin-dashboard.html
3. 规则：BR-F55F532309BF1C
4. 场景：SC-264E32E0DF57EF
5. 未动态验证</x:v>
      </x:c>
    </x:row>
    <x:row r="223" ht="54" customHeight="1">
      <x:c r="A223" s="4" t="n">
        <x:v>222</x:v>
      </x:c>
      <x:c r="B223" s="4" t="str">
        <x:v>ADATA-0028</x:v>
      </x:c>
      <x:c r="C223" s="4" t="str">
        <x:v>数据报表</x:v>
      </x:c>
      <x:c r="D223" s="4" t="str">
        <x:v>工作台（平台管理员视角）</x:v>
      </x:c>
      <x:c r="E223" s="4" t="str">
        <x:v>功能需求</x:v>
      </x:c>
      <x:c r="F223" s="4" t="str">
        <x:v>P2</x:v>
      </x:c>
      <x:c r="G223" s="4" t="str">
        <x:v>验证工作台可查看总充值金额 / 人数</x:v>
      </x:c>
      <x:c r="H223" s="4" t="str">
        <x:v>总充值金额 / 人数展示</x:v>
      </x:c>
      <x:c r="I223" s="4" t="str">
        <x:v>1. 平台管理员账号已登录且具备当前页面权限</x:v>
      </x:c>
      <x:c r="J223" s="4" t="str">
        <x:v>1. 进入工作台
2. 查看总充值金额 / 人数</x:v>
      </x:c>
      <x:c r="K223" s="4" t="str">
        <x:v>工作台显示“总充值金额 / 人数”</x:v>
      </x:c>
      <x:c r="L223" s="4" t="str"/>
      <x:c r="M223" s="4" t="str">
        <x:v>未测</x:v>
      </x:c>
      <x:c r="N223" s="4" t="str"/>
      <x:c r="O223" s="4" t="str">
        <x:v>1. 来源（原型批注）：liveshow-proto/prototype/annotations/admin.js；admin-dashboard.html
2. 页面：admin-dashboard.html
3. 规则：BR-767A8E6A53A258
4. 场景：SC-1E8F80D19BBBB6
5. 未动态验证</x:v>
      </x:c>
    </x:row>
    <x:row r="224" ht="54" customHeight="1">
      <x:c r="A224" s="4" t="n">
        <x:v>223</x:v>
      </x:c>
      <x:c r="B224" s="4" t="str">
        <x:v>ADATA-0029</x:v>
      </x:c>
      <x:c r="C224" s="4" t="str">
        <x:v>数据报表</x:v>
      </x:c>
      <x:c r="D224" s="4" t="str">
        <x:v>礼物消费汇总报表（平台管理员视角）</x:v>
      </x:c>
      <x:c r="E224" s="4" t="str">
        <x:v>功能需求</x:v>
      </x:c>
      <x:c r="F224" s="4" t="str">
        <x:v>P2</x:v>
      </x:c>
      <x:c r="G224" s="4" t="str">
        <x:v>验证礼物消费汇总报表可查看单价</x:v>
      </x:c>
      <x:c r="H224" s="4" t="str">
        <x:v>单价展示</x:v>
      </x:c>
      <x:c r="I224" s="4" t="str">
        <x:v>1. 平台管理员账号已登录且具备当前页面权限</x:v>
      </x:c>
      <x:c r="J224" s="4" t="str">
        <x:v>1. 进入礼物消费汇总报表
2. 查看单价</x:v>
      </x:c>
      <x:c r="K224" s="4" t="str">
        <x:v>礼物消费汇总报表显示“单价”</x:v>
      </x:c>
      <x:c r="L224" s="4" t="str"/>
      <x:c r="M224" s="4" t="str">
        <x:v>未测</x:v>
      </x:c>
      <x:c r="N224" s="4" t="str"/>
      <x:c r="O224" s="4" t="str">
        <x:v>1. 来源（原型批注）：liveshow-proto/prototype/annotations/admin.js；admin-monthly-gift-sales.html
2. 页面：admin-monthly-gift-sales.html
3. 规则：BR-DBB3D73EF0D261
4. 场景：SC-F41B76C93EA6CE
5. 未动态验证</x:v>
      </x:c>
    </x:row>
    <x:row r="225" ht="54" customHeight="1">
      <x:c r="A225" s="4" t="n">
        <x:v>224</x:v>
      </x:c>
      <x:c r="B225" s="4" t="str">
        <x:v>ADATA-0030</x:v>
      </x:c>
      <x:c r="C225" s="4" t="str">
        <x:v>数据报表</x:v>
      </x:c>
      <x:c r="D225" s="4" t="str">
        <x:v>礼物消费汇总报表（平台管理员视角）</x:v>
      </x:c>
      <x:c r="E225" s="4" t="str">
        <x:v>功能需求</x:v>
      </x:c>
      <x:c r="F225" s="4" t="str">
        <x:v>P2</x:v>
      </x:c>
      <x:c r="G225" s="4" t="str">
        <x:v>验证礼物消费汇总报表可查看销量</x:v>
      </x:c>
      <x:c r="H225" s="4" t="str">
        <x:v>销量展示</x:v>
      </x:c>
      <x:c r="I225" s="4" t="str">
        <x:v>1. 平台管理员账号已登录且具备当前页面权限</x:v>
      </x:c>
      <x:c r="J225" s="4" t="str">
        <x:v>1. 进入礼物消费汇总报表
2. 查看销量</x:v>
      </x:c>
      <x:c r="K225" s="4" t="str">
        <x:v>礼物消费汇总报表显示“销量”</x:v>
      </x:c>
      <x:c r="L225" s="4" t="str"/>
      <x:c r="M225" s="4" t="str">
        <x:v>未测</x:v>
      </x:c>
      <x:c r="N225" s="4" t="str"/>
      <x:c r="O225" s="4" t="str">
        <x:v>1. 来源（原型批注）：liveshow-proto/prototype/annotations/admin.js；admin-monthly-gift-sales.html
2. 页面：admin-monthly-gift-sales.html
3. 规则：BR-CBFD522A04B2F5
4. 场景：SC-0FFCCD91953615
5. 未动态验证</x:v>
      </x:c>
    </x:row>
    <x:row r="226" ht="54" customHeight="1">
      <x:c r="A226" s="4" t="n">
        <x:v>225</x:v>
      </x:c>
      <x:c r="B226" s="4" t="str">
        <x:v>ADATA-0031</x:v>
      </x:c>
      <x:c r="C226" s="4" t="str">
        <x:v>数据报表</x:v>
      </x:c>
      <x:c r="D226" s="4" t="str">
        <x:v>礼物消费汇总报表（平台管理员视角）</x:v>
      </x:c>
      <x:c r="E226" s="4" t="str">
        <x:v>功能需求</x:v>
      </x:c>
      <x:c r="F226" s="4" t="str">
        <x:v>P2</x:v>
      </x:c>
      <x:c r="G226" s="4" t="str">
        <x:v>验证礼物消费汇总报表可查看销售额</x:v>
      </x:c>
      <x:c r="H226" s="4" t="str">
        <x:v>销售额展示</x:v>
      </x:c>
      <x:c r="I226" s="4" t="str">
        <x:v>1. 平台管理员账号已登录且具备当前页面权限</x:v>
      </x:c>
      <x:c r="J226" s="4" t="str">
        <x:v>1. 进入礼物消费汇总报表
2. 查看销售额</x:v>
      </x:c>
      <x:c r="K226" s="4" t="str">
        <x:v>礼物消费汇总报表显示“销售额”</x:v>
      </x:c>
      <x:c r="L226" s="4" t="str"/>
      <x:c r="M226" s="4" t="str">
        <x:v>未测</x:v>
      </x:c>
      <x:c r="N226" s="4" t="str"/>
      <x:c r="O226" s="4" t="str">
        <x:v>1. 来源（原型批注）：liveshow-proto/prototype/annotations/admin.js；admin-monthly-gift-sales.html
2. 页面：admin-monthly-gift-sales.html
3. 规则：BR-5656F74615E43D、BR-584694250B852E
4. 场景：SC-7E5F1532A06F8A
5. 未动态验证</x:v>
      </x:c>
    </x:row>
    <x:row r="227" ht="54" customHeight="1">
      <x:c r="A227" s="4" t="n">
        <x:v>226</x:v>
      </x:c>
      <x:c r="B227" s="4" t="str">
        <x:v>ADATA-0032</x:v>
      </x:c>
      <x:c r="C227" s="4" t="str">
        <x:v>数据报表</x:v>
      </x:c>
      <x:c r="D227" s="4" t="str">
        <x:v>每日统计（平台管理员视角）</x:v>
      </x:c>
      <x:c r="E227" s="4" t="str">
        <x:v>功能需求</x:v>
      </x:c>
      <x:c r="F227" s="4" t="str">
        <x:v>P2</x:v>
      </x:c>
      <x:c r="G227" s="4" t="str">
        <x:v>验证每日统计可查看达成有效天主播</x:v>
      </x:c>
      <x:c r="H227" s="4" t="str">
        <x:v>达成有效天主播展示</x:v>
      </x:c>
      <x:c r="I227" s="4" t="str">
        <x:v>1. 平台管理员账号已登录且具备当前页面权限</x:v>
      </x:c>
      <x:c r="J227" s="4" t="str">
        <x:v>1. 进入每日统计
2. 查看达成有效天主播</x:v>
      </x:c>
      <x:c r="K227" s="4" t="str">
        <x:v>每日统计显示“达成有效天主播”</x:v>
      </x:c>
      <x:c r="L227" s="4" t="str"/>
      <x:c r="M227" s="4" t="str">
        <x:v>未测</x:v>
      </x:c>
      <x:c r="N227" s="4" t="str"/>
      <x:c r="O227" s="4" t="str">
        <x:v>1. 来源（原型批注）：liveshow-proto/prototype/annotations/admin.js；admin-daily-statistics.html
2. 页面：admin-daily-statistics.html
3. 规则：BR-6C985B056A6068
4. 场景：SC-791E828A51E152
5. 未动态验证</x:v>
      </x:c>
    </x:row>
    <x:row r="228" ht="54" customHeight="1">
      <x:c r="A228" s="4" t="n">
        <x:v>227</x:v>
      </x:c>
      <x:c r="B228" s="4" t="str">
        <x:v>ADATA-0033</x:v>
      </x:c>
      <x:c r="C228" s="4" t="str">
        <x:v>数据报表</x:v>
      </x:c>
      <x:c r="D228" s="4" t="str">
        <x:v>每日统计（平台管理员视角）</x:v>
      </x:c>
      <x:c r="E228" s="4" t="str">
        <x:v>功能需求</x:v>
      </x:c>
      <x:c r="F228" s="4" t="str">
        <x:v>P2</x:v>
      </x:c>
      <x:c r="G228" s="4" t="str">
        <x:v>验证每日统计可查看活跃 / 新增用户</x:v>
      </x:c>
      <x:c r="H228" s="4" t="str">
        <x:v>活跃 / 新增用户展示</x:v>
      </x:c>
      <x:c r="I228" s="4" t="str">
        <x:v>1. 平台管理员账号已登录且具备当前页面权限</x:v>
      </x:c>
      <x:c r="J228" s="4" t="str">
        <x:v>1. 进入每日统计
2. 查看活跃 / 新增用户</x:v>
      </x:c>
      <x:c r="K228" s="4" t="str">
        <x:v>每日统计显示“活跃 / 新增用户”</x:v>
      </x:c>
      <x:c r="L228" s="4" t="str"/>
      <x:c r="M228" s="4" t="str">
        <x:v>未测</x:v>
      </x:c>
      <x:c r="N228" s="4" t="str"/>
      <x:c r="O228" s="4" t="str">
        <x:v>1. 来源（原型批注）：liveshow-proto/prototype/annotations/admin.js；admin-daily-statistics.html
2. 页面：admin-daily-statistics.html
3. 规则：BR-D0AB489E9BAF8D
4. 场景：SC-A330013F5A7C58
5. 未动态验证</x:v>
      </x:c>
    </x:row>
    <x:row r="229" ht="54" customHeight="1">
      <x:c r="A229" s="4" t="n">
        <x:v>228</x:v>
      </x:c>
      <x:c r="B229" s="4" t="str">
        <x:v>ADATA-0034</x:v>
      </x:c>
      <x:c r="C229" s="4" t="str">
        <x:v>数据报表</x:v>
      </x:c>
      <x:c r="D229" s="4" t="str">
        <x:v>每日统计（平台管理员视角）</x:v>
      </x:c>
      <x:c r="E229" s="4" t="str">
        <x:v>功能需求</x:v>
      </x:c>
      <x:c r="F229" s="4" t="str">
        <x:v>P2</x:v>
      </x:c>
      <x:c r="G229" s="4" t="str">
        <x:v>验证每日统计可查看开播人数</x:v>
      </x:c>
      <x:c r="H229" s="4" t="str">
        <x:v>开播人数展示</x:v>
      </x:c>
      <x:c r="I229" s="4" t="str">
        <x:v>1. 平台管理员账号已登录且具备当前页面权限</x:v>
      </x:c>
      <x:c r="J229" s="4" t="str">
        <x:v>1. 进入每日统计
2. 查看开播人数</x:v>
      </x:c>
      <x:c r="K229" s="4" t="str">
        <x:v>每日统计显示“开播人数”</x:v>
      </x:c>
      <x:c r="L229" s="4" t="str"/>
      <x:c r="M229" s="4" t="str">
        <x:v>未测</x:v>
      </x:c>
      <x:c r="N229" s="4" t="str"/>
      <x:c r="O229" s="4" t="str">
        <x:v>1. 来源（原型批注）：liveshow-proto/prototype/annotations/admin.js；admin-daily-statistics.html
2. 页面：admin-daily-statistics.html
3. 规则：BR-21A479CCD8E5B9
4. 场景：SC-464173E43DF87D
5. 未动态验证</x:v>
      </x:c>
    </x:row>
    <x:row r="230" ht="54" customHeight="1">
      <x:c r="A230" s="4" t="n">
        <x:v>229</x:v>
      </x:c>
      <x:c r="B230" s="4" t="str">
        <x:v>ADATA-0035</x:v>
      </x:c>
      <x:c r="C230" s="4" t="str">
        <x:v>数据报表</x:v>
      </x:c>
      <x:c r="D230" s="4" t="str">
        <x:v>每日统计（平台管理员视角）</x:v>
      </x:c>
      <x:c r="E230" s="4" t="str">
        <x:v>功能需求</x:v>
      </x:c>
      <x:c r="F230" s="4" t="str">
        <x:v>P2</x:v>
      </x:c>
      <x:c r="G230" s="4" t="str">
        <x:v>验证每日统计可查看开播时长中位数</x:v>
      </x:c>
      <x:c r="H230" s="4" t="str">
        <x:v>开播时长中位数展示</x:v>
      </x:c>
      <x:c r="I230" s="4" t="str">
        <x:v>1. 平台管理员账号已登录且具备当前页面权限</x:v>
      </x:c>
      <x:c r="J230" s="4" t="str">
        <x:v>1. 进入每日统计
2. 查看开播时长中位数</x:v>
      </x:c>
      <x:c r="K230" s="4" t="str">
        <x:v>每日统计显示“开播时长中位数”</x:v>
      </x:c>
      <x:c r="L230" s="4" t="str"/>
      <x:c r="M230" s="4" t="str">
        <x:v>未测</x:v>
      </x:c>
      <x:c r="N230" s="4" t="str"/>
      <x:c r="O230" s="4" t="str">
        <x:v>1. 来源（原型批注）：liveshow-proto/prototype/annotations/admin.js；admin-daily-statistics.html
2. 页面：admin-daily-statistics.html
3. 规则：BR-B612A3CDBAEDB0、BR-FCF0743DE3B172
4. 场景：SC-099101E691D1A9
5. 未动态验证</x:v>
      </x:c>
    </x:row>
    <x:row r="231" ht="54" customHeight="1">
      <x:c r="A231" s="4" t="n">
        <x:v>230</x:v>
      </x:c>
      <x:c r="B231" s="4" t="str">
        <x:v>ADATA-0036</x:v>
      </x:c>
      <x:c r="C231" s="4" t="str">
        <x:v>数据报表</x:v>
      </x:c>
      <x:c r="D231" s="4" t="str">
        <x:v>每日统计（平台管理员视角）</x:v>
      </x:c>
      <x:c r="E231" s="4" t="str">
        <x:v>功能需求</x:v>
      </x:c>
      <x:c r="F231" s="4" t="str">
        <x:v>P2</x:v>
      </x:c>
      <x:c r="G231" s="4" t="str">
        <x:v>验证每日统计可查看退款订单数 / 金额</x:v>
      </x:c>
      <x:c r="H231" s="4" t="str">
        <x:v>退款订单数 / 金额展示</x:v>
      </x:c>
      <x:c r="I231" s="4" t="str">
        <x:v>1. 平台管理员账号已登录且具备当前页面权限</x:v>
      </x:c>
      <x:c r="J231" s="4" t="str">
        <x:v>1. 进入每日统计
2. 查看退款订单数 / 金额</x:v>
      </x:c>
      <x:c r="K231" s="4" t="str">
        <x:v>每日统计显示“退款订单数 / 金额”</x:v>
      </x:c>
      <x:c r="L231" s="4" t="str"/>
      <x:c r="M231" s="4" t="str">
        <x:v>未测</x:v>
      </x:c>
      <x:c r="N231" s="4" t="str"/>
      <x:c r="O231" s="4" t="str">
        <x:v>1. 来源（原型批注）：liveshow-proto/prototype/annotations/admin.js；admin-daily-statistics.html
2. 页面：admin-daily-statistics.html
3. 规则：BR-37D006AC1F9631
4. 场景：SC-E14D5A606C8BE9
5. 未动态验证</x:v>
      </x:c>
    </x:row>
    <x:row r="232" ht="54" customHeight="1">
      <x:c r="A232" s="4" t="n">
        <x:v>231</x:v>
      </x:c>
      <x:c r="B232" s="4" t="str">
        <x:v>ADATA-0037</x:v>
      </x:c>
      <x:c r="C232" s="4" t="str">
        <x:v>数据报表</x:v>
      </x:c>
      <x:c r="D232" s="4" t="str">
        <x:v>每日统计（平台管理员视角）</x:v>
      </x:c>
      <x:c r="E232" s="4" t="str">
        <x:v>功能需求</x:v>
      </x:c>
      <x:c r="F232" s="4" t="str">
        <x:v>P2</x:v>
      </x:c>
      <x:c r="G232" s="4" t="str">
        <x:v>验证每日统计可查看新用户 ARPU</x:v>
      </x:c>
      <x:c r="H232" s="4" t="str">
        <x:v>新用户 ARPU展示</x:v>
      </x:c>
      <x:c r="I232" s="4" t="str">
        <x:v>1. 平台管理员账号已登录且具备当前页面权限</x:v>
      </x:c>
      <x:c r="J232" s="4" t="str">
        <x:v>1. 进入每日统计
2. 查看新用户 ARPU</x:v>
      </x:c>
      <x:c r="K232" s="4" t="str">
        <x:v>每日统计显示“新用户 ARPU”</x:v>
      </x:c>
      <x:c r="L232" s="4" t="str"/>
      <x:c r="M232" s="4" t="str">
        <x:v>未测</x:v>
      </x:c>
      <x:c r="N232" s="4" t="str"/>
      <x:c r="O232" s="4" t="str">
        <x:v>1. 来源（原型批注）：liveshow-proto/prototype/annotations/admin.js；admin-daily-statistics.html
2. 页面：admin-daily-statistics.html
3. 规则：BR-7DC044EFB7C84D、BR-AA96758722E980
4. 场景：SC-8988FA5733C7F8
5. 未动态验证</x:v>
      </x:c>
    </x:row>
    <x:row r="233" ht="54" customHeight="1">
      <x:c r="A233" s="4" t="n">
        <x:v>232</x:v>
      </x:c>
      <x:c r="B233" s="4" t="str">
        <x:v>ADATA-0038</x:v>
      </x:c>
      <x:c r="C233" s="4" t="str">
        <x:v>数据报表</x:v>
      </x:c>
      <x:c r="D233" s="4" t="str">
        <x:v>每日统计（平台管理员视角）</x:v>
      </x:c>
      <x:c r="E233" s="4" t="str">
        <x:v>功能需求</x:v>
      </x:c>
      <x:c r="F233" s="4" t="str">
        <x:v>P2</x:v>
      </x:c>
      <x:c r="G233" s="4" t="str">
        <x:v>验证每日统计可查看新用户充值人数 / 金额</x:v>
      </x:c>
      <x:c r="H233" s="4" t="str">
        <x:v>新用户充值人数 / 金额展示</x:v>
      </x:c>
      <x:c r="I233" s="4" t="str">
        <x:v>1. 平台管理员账号已登录且具备当前页面权限</x:v>
      </x:c>
      <x:c r="J233" s="4" t="str">
        <x:v>1. 进入每日统计
2. 查看新用户充值人数 / 金额</x:v>
      </x:c>
      <x:c r="K233" s="4" t="str">
        <x:v>每日统计显示“新用户充值人数 / 金额”</x:v>
      </x:c>
      <x:c r="L233" s="4" t="str"/>
      <x:c r="M233" s="4" t="str">
        <x:v>未测</x:v>
      </x:c>
      <x:c r="N233" s="4" t="str"/>
      <x:c r="O233" s="4" t="str">
        <x:v>1. 来源（原型批注）：liveshow-proto/prototype/annotations/admin.js；admin-daily-statistics.html
2. 页面：admin-daily-statistics.html
3. 规则：BR-A8F146293812B4
4. 场景：SC-428AB8CDA34725
5. 未动态验证</x:v>
      </x:c>
    </x:row>
    <x:row r="234" ht="54" customHeight="1">
      <x:c r="A234" s="4" t="n">
        <x:v>233</x:v>
      </x:c>
      <x:c r="B234" s="4" t="str">
        <x:v>ADATA-0039</x:v>
      </x:c>
      <x:c r="C234" s="4" t="str">
        <x:v>数据报表</x:v>
      </x:c>
      <x:c r="D234" s="4" t="str">
        <x:v>每日统计（平台管理员视角）</x:v>
      </x:c>
      <x:c r="E234" s="4" t="str">
        <x:v>功能需求</x:v>
      </x:c>
      <x:c r="F234" s="4" t="str">
        <x:v>P2</x:v>
      </x:c>
      <x:c r="G234" s="4" t="str">
        <x:v>验证每日统计可查看总充值金额 / 人数</x:v>
      </x:c>
      <x:c r="H234" s="4" t="str">
        <x:v>总充值金额 / 人数展示</x:v>
      </x:c>
      <x:c r="I234" s="4" t="str">
        <x:v>1. 平台管理员账号已登录且具备当前页面权限</x:v>
      </x:c>
      <x:c r="J234" s="4" t="str">
        <x:v>1. 进入每日统计
2. 查看总充值金额 / 人数</x:v>
      </x:c>
      <x:c r="K234" s="4" t="str">
        <x:v>每日统计显示“总充值金额 / 人数”</x:v>
      </x:c>
      <x:c r="L234" s="4" t="str"/>
      <x:c r="M234" s="4" t="str">
        <x:v>未测</x:v>
      </x:c>
      <x:c r="N234" s="4" t="str"/>
      <x:c r="O234" s="4" t="str">
        <x:v>1. 来源（原型批注）：liveshow-proto/prototype/annotations/admin.js；admin-daily-statistics.html
2. 页面：admin-daily-statistics.html
3. 规则：BR-146E91B5D7E076
4. 场景：SC-9811A2D5B77C8A
5. 未动态验证</x:v>
      </x:c>
    </x:row>
    <x:row r="235" ht="54" customHeight="1">
      <x:c r="A235" s="4" t="n">
        <x:v>234</x:v>
      </x:c>
      <x:c r="B235" s="4" t="str">
        <x:v>ADATA-0040</x:v>
      </x:c>
      <x:c r="C235" s="4" t="str">
        <x:v>数据报表</x:v>
      </x:c>
      <x:c r="D235" s="4" t="str">
        <x:v>数据概览（平台管理员视角）</x:v>
      </x:c>
      <x:c r="E235" s="4" t="str">
        <x:v>业务流程</x:v>
      </x:c>
      <x:c r="F235" s="4" t="str">
        <x:v>P2</x:v>
      </x:c>
      <x:c r="G235" s="4" t="str">
        <x:v>验证点击指标卡后的数据概览状态</x:v>
      </x:c>
      <x:c r="H235" s="4" t="str">
        <x:v>数据概览状态</x:v>
      </x:c>
      <x:c r="I235" s="4" t="str">
        <x:v>1. 平台管理员账号已登录且具备当前页面权限</x:v>
      </x:c>
      <x:c r="J235" s="4" t="str">
        <x:v>1. 进入数据概览
2. 点击指标卡</x:v>
      </x:c>
      <x:c r="K235" s="4" t="str">
        <x:v>切换趋势</x:v>
      </x:c>
      <x:c r="L235" s="4" t="str"/>
      <x:c r="M235" s="4" t="str">
        <x:v>未测</x:v>
      </x:c>
      <x:c r="N235" s="4" t="str"/>
      <x:c r="O235" s="4" t="str">
        <x:v>1. 来源（原型批注）：liveshow-proto/prototype/annotations/admin.js；admin-data-overview.html
2. 页面：admin-data-overview.html
3. 规则：BR-828FDB825C4FA6
4. 场景：SC-4FDDB73B00FD6D
5. 未动态验证</x:v>
      </x:c>
    </x:row>
    <x:row r="236" ht="54" customHeight="1">
      <x:c r="A236" s="4" t="n">
        <x:v>235</x:v>
      </x:c>
      <x:c r="B236" s="4" t="str">
        <x:v>ADATA-0041</x:v>
      </x:c>
      <x:c r="C236" s="4" t="str">
        <x:v>数据报表</x:v>
      </x:c>
      <x:c r="D236" s="4" t="str">
        <x:v>数据概览（平台管理员视角）</x:v>
      </x:c>
      <x:c r="E236" s="4" t="str">
        <x:v>功能需求</x:v>
      </x:c>
      <x:c r="F236" s="4" t="str">
        <x:v>P2</x:v>
      </x:c>
      <x:c r="G236" s="4" t="str">
        <x:v>验证数据概览可查看达成有效天主播</x:v>
      </x:c>
      <x:c r="H236" s="4" t="str">
        <x:v>达成有效天主播展示</x:v>
      </x:c>
      <x:c r="I236" s="4" t="str">
        <x:v>1. 平台管理员账号已登录且具备当前页面权限</x:v>
      </x:c>
      <x:c r="J236" s="4" t="str">
        <x:v>1. 进入数据概览
2. 查看达成有效天主播</x:v>
      </x:c>
      <x:c r="K236" s="4" t="str">
        <x:v>数据概览显示“达成有效天主播”</x:v>
      </x:c>
      <x:c r="L236" s="4" t="str"/>
      <x:c r="M236" s="4" t="str">
        <x:v>未测</x:v>
      </x:c>
      <x:c r="N236" s="4" t="str"/>
      <x:c r="O236" s="4" t="str">
        <x:v>1. 来源（原型批注）：liveshow-proto/prototype/annotations/admin.js；admin-data-overview.html
2. 页面：admin-data-overview.html
3. 规则：BR-34C8E9962BF570
4. 场景：SC-1F09CFDE1DDC57
5. 未动态验证</x:v>
      </x:c>
    </x:row>
    <x:row r="237" ht="54" customHeight="1">
      <x:c r="A237" s="4" t="n">
        <x:v>236</x:v>
      </x:c>
      <x:c r="B237" s="4" t="str">
        <x:v>ADATA-0042</x:v>
      </x:c>
      <x:c r="C237" s="4" t="str">
        <x:v>数据报表</x:v>
      </x:c>
      <x:c r="D237" s="4" t="str">
        <x:v>数据概览（平台管理员视角）</x:v>
      </x:c>
      <x:c r="E237" s="4" t="str">
        <x:v>功能需求</x:v>
      </x:c>
      <x:c r="F237" s="4" t="str">
        <x:v>P2</x:v>
      </x:c>
      <x:c r="G237" s="4" t="str">
        <x:v>验证数据概览可查看活跃 / 新增用户</x:v>
      </x:c>
      <x:c r="H237" s="4" t="str">
        <x:v>活跃 / 新增用户展示</x:v>
      </x:c>
      <x:c r="I237" s="4" t="str">
        <x:v>1. 平台管理员账号已登录且具备当前页面权限</x:v>
      </x:c>
      <x:c r="J237" s="4" t="str">
        <x:v>1. 进入数据概览
2. 查看活跃 / 新增用户</x:v>
      </x:c>
      <x:c r="K237" s="4" t="str">
        <x:v>数据概览显示“活跃 / 新增用户”</x:v>
      </x:c>
      <x:c r="L237" s="4" t="str"/>
      <x:c r="M237" s="4" t="str">
        <x:v>未测</x:v>
      </x:c>
      <x:c r="N237" s="4" t="str"/>
      <x:c r="O237" s="4" t="str">
        <x:v>1. 来源（原型批注）：liveshow-proto/prototype/annotations/admin.js；admin-data-overview.html
2. 页面：admin-data-overview.html
3. 规则：BR-94548FE40357C7
4. 场景：SC-4BE94AA08FC740
5. 未动态验证</x:v>
      </x:c>
    </x:row>
    <x:row r="238" ht="54" customHeight="1">
      <x:c r="A238" s="4" t="n">
        <x:v>237</x:v>
      </x:c>
      <x:c r="B238" s="4" t="str">
        <x:v>ADATA-0043</x:v>
      </x:c>
      <x:c r="C238" s="4" t="str">
        <x:v>数据报表</x:v>
      </x:c>
      <x:c r="D238" s="4" t="str">
        <x:v>数据概览（平台管理员视角）</x:v>
      </x:c>
      <x:c r="E238" s="4" t="str">
        <x:v>功能需求</x:v>
      </x:c>
      <x:c r="F238" s="4" t="str">
        <x:v>P2</x:v>
      </x:c>
      <x:c r="G238" s="4" t="str">
        <x:v>验证数据概览可查看新用户 ARPU</x:v>
      </x:c>
      <x:c r="H238" s="4" t="str">
        <x:v>新用户 ARPU展示</x:v>
      </x:c>
      <x:c r="I238" s="4" t="str">
        <x:v>1. 平台管理员账号已登录且具备当前页面权限</x:v>
      </x:c>
      <x:c r="J238" s="4" t="str">
        <x:v>1. 进入数据概览
2. 查看新用户 ARPU</x:v>
      </x:c>
      <x:c r="K238" s="4" t="str">
        <x:v>数据概览显示“新用户 ARPU”</x:v>
      </x:c>
      <x:c r="L238" s="4" t="str"/>
      <x:c r="M238" s="4" t="str">
        <x:v>未测</x:v>
      </x:c>
      <x:c r="N238" s="4" t="str"/>
      <x:c r="O238" s="4" t="str">
        <x:v>1. 来源（原型批注）：liveshow-proto/prototype/annotations/admin.js；admin-data-overview.html
2. 页面：admin-data-overview.html
3. 规则：BR-F38D68D7F0792A、BR-3DD9102995190E
4. 场景：SC-F5787F3E21D33B
5. 未动态验证</x:v>
      </x:c>
    </x:row>
    <x:row r="239" ht="54" customHeight="1">
      <x:c r="A239" s="4" t="n">
        <x:v>238</x:v>
      </x:c>
      <x:c r="B239" s="4" t="str">
        <x:v>ADATA-0044</x:v>
      </x:c>
      <x:c r="C239" s="4" t="str">
        <x:v>数据报表</x:v>
      </x:c>
      <x:c r="D239" s="4" t="str">
        <x:v>数据概览（平台管理员视角）</x:v>
      </x:c>
      <x:c r="E239" s="4" t="str">
        <x:v>功能需求</x:v>
      </x:c>
      <x:c r="F239" s="4" t="str">
        <x:v>P2</x:v>
      </x:c>
      <x:c r="G239" s="4" t="str">
        <x:v>验证数据概览可查看新用户充值金额</x:v>
      </x:c>
      <x:c r="H239" s="4" t="str">
        <x:v>新用户充值金额展示</x:v>
      </x:c>
      <x:c r="I239" s="4" t="str">
        <x:v>1. 平台管理员账号已登录且具备当前页面权限</x:v>
      </x:c>
      <x:c r="J239" s="4" t="str">
        <x:v>1. 进入数据概览
2. 查看新用户充值金额</x:v>
      </x:c>
      <x:c r="K239" s="4" t="str">
        <x:v>数据概览显示“新用户充值金额”</x:v>
      </x:c>
      <x:c r="L239" s="4" t="str"/>
      <x:c r="M239" s="4" t="str">
        <x:v>未测</x:v>
      </x:c>
      <x:c r="N239" s="4" t="str"/>
      <x:c r="O239" s="4" t="str">
        <x:v>1. 来源（原型批注）：liveshow-proto/prototype/annotations/admin.js；admin-data-overview.html
2. 页面：admin-data-overview.html
3. 规则：BR-6242D0059C401B
4. 场景：SC-35E87C1559C6AF
5. 未动态验证</x:v>
      </x:c>
    </x:row>
    <x:row r="240" ht="54" customHeight="1">
      <x:c r="A240" s="4" t="n">
        <x:v>239</x:v>
      </x:c>
      <x:c r="B240" s="4" t="str">
        <x:v>ADATA-0045</x:v>
      </x:c>
      <x:c r="C240" s="4" t="str">
        <x:v>数据报表</x:v>
      </x:c>
      <x:c r="D240" s="4" t="str">
        <x:v>数据概览（平台管理员视角）</x:v>
      </x:c>
      <x:c r="E240" s="4" t="str">
        <x:v>功能需求</x:v>
      </x:c>
      <x:c r="F240" s="4" t="str">
        <x:v>P2</x:v>
      </x:c>
      <x:c r="G240" s="4" t="str">
        <x:v>验证数据概览可查看总充值金额 / 人数</x:v>
      </x:c>
      <x:c r="H240" s="4" t="str">
        <x:v>总充值金额 / 人数展示</x:v>
      </x:c>
      <x:c r="I240" s="4" t="str">
        <x:v>1. 平台管理员账号已登录且具备当前页面权限</x:v>
      </x:c>
      <x:c r="J240" s="4" t="str">
        <x:v>1. 进入数据概览
2. 查看总充值金额 / 人数</x:v>
      </x:c>
      <x:c r="K240" s="4" t="str">
        <x:v>数据概览显示“总充值金额 / 人数”</x:v>
      </x:c>
      <x:c r="L240" s="4" t="str"/>
      <x:c r="M240" s="4" t="str">
        <x:v>未测</x:v>
      </x:c>
      <x:c r="N240" s="4" t="str"/>
      <x:c r="O240" s="4" t="str">
        <x:v>1. 来源（原型批注）：liveshow-proto/prototype/annotations/admin.js；admin-data-overview.html
2. 页面：admin-data-overview.html
3. 规则：BR-14232F8BF5D385
4. 场景：SC-D9CACE011A6F28
5. 未动态验证</x:v>
      </x:c>
    </x:row>
    <x:row r="241" ht="54" customHeight="1">
      <x:c r="A241" s="4" t="n">
        <x:v>240</x:v>
      </x:c>
      <x:c r="B241" s="4" t="str">
        <x:v>ADATA-0046</x:v>
      </x:c>
      <x:c r="C241" s="4" t="str">
        <x:v>数据报表</x:v>
      </x:c>
      <x:c r="D241" s="4" t="str">
        <x:v>数据概览（平台管理员视角）</x:v>
      </x:c>
      <x:c r="E241" s="4" t="str">
        <x:v>功能需求</x:v>
      </x:c>
      <x:c r="F241" s="4" t="str">
        <x:v>P2</x:v>
      </x:c>
      <x:c r="G241" s="4" t="str">
        <x:v>验证指标卡按日期范围汇总，趋势逐自然日时的数据概览结果</x:v>
      </x:c>
      <x:c r="H241" s="4" t="str">
        <x:v>数据概览条件结果</x:v>
      </x:c>
      <x:c r="I241" s="4" t="str">
        <x:v>1. 平台管理员账号已登录且具备当前页面权限
2. 指标卡按日期范围汇总，趋势逐自然日</x:v>
      </x:c>
      <x:c r="J241" s="4" t="str">
        <x:v>1. 进入数据概览
2. 查看数据概览</x:v>
      </x:c>
      <x:c r="K241" s="4" t="str">
        <x:v>指标卡按日期范围汇总，趋势逐自然日展示</x:v>
      </x:c>
      <x:c r="L241" s="4" t="str"/>
      <x:c r="M241" s="4" t="str">
        <x:v>未测</x:v>
      </x:c>
      <x:c r="N241" s="4" t="str"/>
      <x:c r="O241" s="4" t="str">
        <x:v>1. 来源（原型批注）：liveshow-proto/prototype/annotations/admin.js；admin-data-overview.html
2. 页面：admin-data-overview.html
3. 规则：BR-942A9C7FE0FA9E
4. 场景：SC-25321DC1E3D9E2
5. 未动态验证</x:v>
      </x:c>
    </x:row>
    <x:row r="242" ht="54" customHeight="1">
      <x:c r="A242" s="4" t="n">
        <x:v>241</x:v>
      </x:c>
      <x:c r="B242" s="4" t="str">
        <x:v>ADATA-0047</x:v>
      </x:c>
      <x:c r="C242" s="4" t="str">
        <x:v>数据报表</x:v>
      </x:c>
      <x:c r="D242" s="4" t="str">
        <x:v>退款订单明细（平台管理员视角）</x:v>
      </x:c>
      <x:c r="E242" s="4" t="str">
        <x:v>功能需求</x:v>
      </x:c>
      <x:c r="F242" s="4" t="str">
        <x:v>P2</x:v>
      </x:c>
      <x:c r="G242" s="4" t="str">
        <x:v>验证退款订单明细可查看退款金额</x:v>
      </x:c>
      <x:c r="H242" s="4" t="str">
        <x:v>退款金额展示</x:v>
      </x:c>
      <x:c r="I242" s="4" t="str">
        <x:v>1. 平台管理员账号已登录且具备当前页面权限</x:v>
      </x:c>
      <x:c r="J242" s="4" t="str">
        <x:v>1. 进入退款订单明细
2. 查看退款金额</x:v>
      </x:c>
      <x:c r="K242" s="4" t="str">
        <x:v>退款订单明细显示“退款金额”</x:v>
      </x:c>
      <x:c r="L242" s="4" t="str"/>
      <x:c r="M242" s="4" t="str">
        <x:v>未测</x:v>
      </x:c>
      <x:c r="N242" s="4" t="str"/>
      <x:c r="O242" s="4" t="str">
        <x:v>1. 来源（原型批注）：liveshow-proto/prototype/annotations/admin.js；admin-refund-order-detail-report.html
2. 页面：admin-refund-order-detail-report.html
3. 规则：BR-D22D36F1620C28
4. 场景：SC-339916B089A73D
5. 未动态验证</x:v>
      </x:c>
    </x:row>
    <x:row r="243" ht="54" customHeight="1">
      <x:c r="A243" s="4" t="n">
        <x:v>242</x:v>
      </x:c>
      <x:c r="B243" s="4" t="str">
        <x:v>ADATA-0048</x:v>
      </x:c>
      <x:c r="C243" s="4" t="str">
        <x:v>数据报表</x:v>
      </x:c>
      <x:c r="D243" s="4" t="str">
        <x:v>退款订单明细（平台管理员视角）</x:v>
      </x:c>
      <x:c r="E243" s="4" t="str">
        <x:v>功能需求</x:v>
      </x:c>
      <x:c r="F243" s="4" t="str">
        <x:v>P2</x:v>
      </x:c>
      <x:c r="G243" s="4" t="str">
        <x:v>验证退款订单明细可查看退款时间</x:v>
      </x:c>
      <x:c r="H243" s="4" t="str">
        <x:v>退款时间展示</x:v>
      </x:c>
      <x:c r="I243" s="4" t="str">
        <x:v>1. 平台管理员账号已登录且具备当前页面权限</x:v>
      </x:c>
      <x:c r="J243" s="4" t="str">
        <x:v>1. 进入退款订单明细
2. 查看退款时间</x:v>
      </x:c>
      <x:c r="K243" s="4" t="str">
        <x:v>退款订单明细显示“退款时间”</x:v>
      </x:c>
      <x:c r="L243" s="4" t="str"/>
      <x:c r="M243" s="4" t="str">
        <x:v>未测</x:v>
      </x:c>
      <x:c r="N243" s="4" t="str"/>
      <x:c r="O243" s="4" t="str">
        <x:v>1. 来源（原型批注）：liveshow-proto/prototype/annotations/admin.js；admin-refund-order-detail-report.html
2. 页面：admin-refund-order-detail-report.html
3. 规则：BR-1BAEA12DD2465A
4. 场景：SC-A2CF3A94AE7555
5. 未动态验证</x:v>
      </x:c>
    </x:row>
    <x:row r="244" ht="54" customHeight="1">
      <x:c r="A244" s="4" t="n">
        <x:v>243</x:v>
      </x:c>
      <x:c r="B244" s="4" t="str">
        <x:v>ADATA-0049</x:v>
      </x:c>
      <x:c r="C244" s="4" t="str">
        <x:v>数据报表</x:v>
      </x:c>
      <x:c r="D244" s="4" t="str">
        <x:v>退款订单明细（平台管理员视角）</x:v>
      </x:c>
      <x:c r="E244" s="4" t="str">
        <x:v>功能需求</x:v>
      </x:c>
      <x:c r="F244" s="4" t="str">
        <x:v>P2</x:v>
      </x:c>
      <x:c r="G244" s="4" t="str">
        <x:v>验证退款订单明细可查看退款用户 / 商品</x:v>
      </x:c>
      <x:c r="H244" s="4" t="str">
        <x:v>退款用户 / 商品展示</x:v>
      </x:c>
      <x:c r="I244" s="4" t="str">
        <x:v>1. 平台管理员账号已登录且具备当前页面权限</x:v>
      </x:c>
      <x:c r="J244" s="4" t="str">
        <x:v>1. 进入退款订单明细
2. 查看退款用户 / 商品</x:v>
      </x:c>
      <x:c r="K244" s="4" t="str">
        <x:v>退款订单明细显示“退款用户 / 商品”</x:v>
      </x:c>
      <x:c r="L244" s="4" t="str"/>
      <x:c r="M244" s="4" t="str">
        <x:v>未测</x:v>
      </x:c>
      <x:c r="N244" s="4" t="str"/>
      <x:c r="O244" s="4" t="str">
        <x:v>1. 来源（原型批注）：liveshow-proto/prototype/annotations/admin.js；admin-refund-order-detail-report.html
2. 页面：admin-refund-order-detail-report.html
3. 规则：BR-6ABABE1B40E9AE
4. 场景：SC-61C0FA9C910B0E
5. 未动态验证</x:v>
      </x:c>
    </x:row>
    <x:row r="245" ht="54" customHeight="1">
      <x:c r="A245" s="4" t="n">
        <x:v>244</x:v>
      </x:c>
      <x:c r="B245" s="4" t="str">
        <x:v>ADATA-0050</x:v>
      </x:c>
      <x:c r="C245" s="4" t="str">
        <x:v>数据报表</x:v>
      </x:c>
      <x:c r="D245" s="4" t="str">
        <x:v>消费订单明细（平台管理员视角）</x:v>
      </x:c>
      <x:c r="E245" s="4" t="str">
        <x:v>功能需求</x:v>
      </x:c>
      <x:c r="F245" s="4" t="str">
        <x:v>P2</x:v>
      </x:c>
      <x:c r="G245" s="4" t="str">
        <x:v>验证消费订单明细可查看场次 ID</x:v>
      </x:c>
      <x:c r="H245" s="4" t="str">
        <x:v>场次 ID展示</x:v>
      </x:c>
      <x:c r="I245" s="4" t="str">
        <x:v>1. 平台管理员账号已登录且具备当前页面权限</x:v>
      </x:c>
      <x:c r="J245" s="4" t="str">
        <x:v>1. 进入消费订单明细
2. 查看场次 ID</x:v>
      </x:c>
      <x:c r="K245" s="4" t="str">
        <x:v>消费订单明细显示“场次 ID”</x:v>
      </x:c>
      <x:c r="L245" s="4" t="str"/>
      <x:c r="M245" s="4" t="str">
        <x:v>未测</x:v>
      </x:c>
      <x:c r="N245" s="4" t="str"/>
      <x:c r="O245" s="4" t="str">
        <x:v>1. 来源（原型批注）：liveshow-proto/prototype/annotations/admin.js；admin-consumption-order-detail-report.html
2. 页面：admin-consumption-order-detail-report.html
3. 规则：BR-E6ED6457718C77
4. 场景：SC-20A71F744E7243
5. 未动态验证</x:v>
      </x:c>
    </x:row>
    <x:row r="246" ht="54" customHeight="1">
      <x:c r="A246" s="4" t="n">
        <x:v>245</x:v>
      </x:c>
      <x:c r="B246" s="4" t="str">
        <x:v>ADATA-0051</x:v>
      </x:c>
      <x:c r="C246" s="4" t="str">
        <x:v>数据报表</x:v>
      </x:c>
      <x:c r="D246" s="4" t="str">
        <x:v>消费订单明细（平台管理员视角）</x:v>
      </x:c>
      <x:c r="E246" s="4" t="str">
        <x:v>功能需求</x:v>
      </x:c>
      <x:c r="F246" s="4" t="str">
        <x:v>P2</x:v>
      </x:c>
      <x:c r="G246" s="4" t="str">
        <x:v>验证消费订单明细可查看礼物单价 / 份数</x:v>
      </x:c>
      <x:c r="H246" s="4" t="str">
        <x:v>礼物单价 / 份数展示</x:v>
      </x:c>
      <x:c r="I246" s="4" t="str">
        <x:v>1. 平台管理员账号已登录且具备当前页面权限</x:v>
      </x:c>
      <x:c r="J246" s="4" t="str">
        <x:v>1. 进入消费订单明细
2. 查看礼物单价 / 份数</x:v>
      </x:c>
      <x:c r="K246" s="4" t="str">
        <x:v>消费订单明细显示“礼物单价 / 份数”</x:v>
      </x:c>
      <x:c r="L246" s="4" t="str"/>
      <x:c r="M246" s="4" t="str">
        <x:v>未测</x:v>
      </x:c>
      <x:c r="N246" s="4" t="str"/>
      <x:c r="O246" s="4" t="str">
        <x:v>1. 来源（原型批注）：liveshow-proto/prototype/annotations/admin.js；admin-consumption-order-detail-report.html
2. 页面：admin-consumption-order-detail-report.html
3. 规则：BR-921343BFD9C947
4. 场景：SC-7B0A60B6D47F76
5. 未动态验证</x:v>
      </x:c>
    </x:row>
    <x:row r="247" ht="54" customHeight="1">
      <x:c r="A247" s="4" t="n">
        <x:v>246</x:v>
      </x:c>
      <x:c r="B247" s="4" t="str">
        <x:v>ADATA-0052</x:v>
      </x:c>
      <x:c r="C247" s="4" t="str">
        <x:v>数据报表</x:v>
      </x:c>
      <x:c r="D247" s="4" t="str">
        <x:v>消费订单明细（平台管理员视角）</x:v>
      </x:c>
      <x:c r="E247" s="4" t="str">
        <x:v>功能需求</x:v>
      </x:c>
      <x:c r="F247" s="4" t="str">
        <x:v>P2</x:v>
      </x:c>
      <x:c r="G247" s="4" t="str">
        <x:v>验证消费订单明细可查看消费金币</x:v>
      </x:c>
      <x:c r="H247" s="4" t="str">
        <x:v>消费金币展示</x:v>
      </x:c>
      <x:c r="I247" s="4" t="str">
        <x:v>1. 平台管理员账号已登录且具备当前页面权限</x:v>
      </x:c>
      <x:c r="J247" s="4" t="str">
        <x:v>1. 进入消费订单明细
2. 查看消费金币</x:v>
      </x:c>
      <x:c r="K247" s="4" t="str">
        <x:v>消费订单明细显示“消费金币”</x:v>
      </x:c>
      <x:c r="L247" s="4" t="str"/>
      <x:c r="M247" s="4" t="str">
        <x:v>未测</x:v>
      </x:c>
      <x:c r="N247" s="4" t="str"/>
      <x:c r="O247" s="4" t="str">
        <x:v>1. 来源（原型批注）：liveshow-proto/prototype/annotations/admin.js；admin-consumption-order-detail-report.html
2. 页面：admin-consumption-order-detail-report.html
3. 规则：BR-437C05FE5A33CD、BR-80F9247D4C6E3C
4. 场景：SC-F8D6380545C795
5. 未动态验证</x:v>
      </x:c>
    </x:row>
    <x:row r="248" ht="54" customHeight="1">
      <x:c r="A248" s="4" t="n">
        <x:v>247</x:v>
      </x:c>
      <x:c r="B248" s="4" t="str">
        <x:v>ADATA-0053</x:v>
      </x:c>
      <x:c r="C248" s="4" t="str">
        <x:v>数据报表</x:v>
      </x:c>
      <x:c r="D248" s="4" t="str">
        <x:v>消费订单明细（平台管理员视角）</x:v>
      </x:c>
      <x:c r="E248" s="4" t="str">
        <x:v>功能需求</x:v>
      </x:c>
      <x:c r="F248" s="4" t="str">
        <x:v>P2</x:v>
      </x:c>
      <x:c r="G248" s="4" t="str">
        <x:v>验证消费订单明细可查看主播收益</x:v>
      </x:c>
      <x:c r="H248" s="4" t="str">
        <x:v>主播收益展示</x:v>
      </x:c>
      <x:c r="I248" s="4" t="str">
        <x:v>1. 平台管理员账号已登录且具备当前页面权限</x:v>
      </x:c>
      <x:c r="J248" s="4" t="str">
        <x:v>1. 进入消费订单明细
2. 查看主播收益</x:v>
      </x:c>
      <x:c r="K248" s="4" t="str">
        <x:v>消费订单明细显示“主播收益”</x:v>
      </x:c>
      <x:c r="L248" s="4" t="str"/>
      <x:c r="M248" s="4" t="str">
        <x:v>未测</x:v>
      </x:c>
      <x:c r="N248" s="4" t="str"/>
      <x:c r="O248" s="4" t="str">
        <x:v>1. 来源（原型批注）：liveshow-proto/prototype/annotations/admin.js；admin-consumption-order-detail-report.html
2. 页面：admin-consumption-order-detail-report.html
3. 规则：BR-C25FF1760EA3A5、BR-4C2737AB2FA90C
4. 场景：SC-1AE4650CCF5A6F
5. 未动态验证</x:v>
      </x:c>
    </x:row>
    <x:row r="249" ht="54" customHeight="1">
      <x:c r="A249" s="4" t="n">
        <x:v>248</x:v>
      </x:c>
      <x:c r="B249" s="4" t="str">
        <x:v>ADATA-0054</x:v>
      </x:c>
      <x:c r="C249" s="4" t="str">
        <x:v>数据报表</x:v>
      </x:c>
      <x:c r="D249" s="4" t="str">
        <x:v>用户活跃汇总（每日）（平台管理员视角）</x:v>
      </x:c>
      <x:c r="E249" s="4" t="str">
        <x:v>功能需求</x:v>
      </x:c>
      <x:c r="F249" s="4" t="str">
        <x:v>P2</x:v>
      </x:c>
      <x:c r="G249" s="4" t="str">
        <x:v>验证用户活跃汇总（每日）可查看登录用户</x:v>
      </x:c>
      <x:c r="H249" s="4" t="str">
        <x:v>登录用户展示</x:v>
      </x:c>
      <x:c r="I249" s="4" t="str">
        <x:v>1. 平台管理员账号已登录且具备当前页面权限</x:v>
      </x:c>
      <x:c r="J249" s="4" t="str">
        <x:v>1. 进入用户活跃汇总（每日）
2. 查看登录用户</x:v>
      </x:c>
      <x:c r="K249" s="4" t="str">
        <x:v>用户活跃汇总（每日）显示“登录用户”</x:v>
      </x:c>
      <x:c r="L249" s="4" t="str"/>
      <x:c r="M249" s="4" t="str">
        <x:v>未测</x:v>
      </x:c>
      <x:c r="N249" s="4" t="str"/>
      <x:c r="O249" s="4" t="str">
        <x:v>1. 来源（原型批注）：liveshow-proto/prototype/annotations/admin.js；admin-user-active-statistics.html
2. 页面：admin-user-active-statistics.html
3. 规则：BR-F80C20219F0698
4. 场景：SC-CA92BF39E471AD
5. 未动态验证</x:v>
      </x:c>
    </x:row>
    <x:row r="250" ht="54" customHeight="1">
      <x:c r="A250" s="4" t="n">
        <x:v>249</x:v>
      </x:c>
      <x:c r="B250" s="4" t="str">
        <x:v>ADATA-0055</x:v>
      </x:c>
      <x:c r="C250" s="4" t="str">
        <x:v>数据报表</x:v>
      </x:c>
      <x:c r="D250" s="4" t="str">
        <x:v>用户活跃汇总（每日）（平台管理员视角）</x:v>
      </x:c>
      <x:c r="E250" s="4" t="str">
        <x:v>功能需求</x:v>
      </x:c>
      <x:c r="F250" s="4" t="str">
        <x:v>P2</x:v>
      </x:c>
      <x:c r="G250" s="4" t="str">
        <x:v>验证用户活跃汇总（每日）可查看付费用户</x:v>
      </x:c>
      <x:c r="H250" s="4" t="str">
        <x:v>付费用户展示</x:v>
      </x:c>
      <x:c r="I250" s="4" t="str">
        <x:v>1. 平台管理员账号已登录且具备当前页面权限</x:v>
      </x:c>
      <x:c r="J250" s="4" t="str">
        <x:v>1. 进入用户活跃汇总（每日）
2. 查看付费用户</x:v>
      </x:c>
      <x:c r="K250" s="4" t="str">
        <x:v>用户活跃汇总（每日）显示“付费用户”</x:v>
      </x:c>
      <x:c r="L250" s="4" t="str"/>
      <x:c r="M250" s="4" t="str">
        <x:v>未测</x:v>
      </x:c>
      <x:c r="N250" s="4" t="str"/>
      <x:c r="O250" s="4" t="str">
        <x:v>1. 来源（原型批注）：liveshow-proto/prototype/annotations/admin.js；admin-user-active-statistics.html
2. 页面：admin-user-active-statistics.html
3. 规则：BR-4DA37E225C1C89
4. 场景：SC-D5C29D96F44B98
5. 未动态验证</x:v>
      </x:c>
    </x:row>
    <x:row r="251" ht="54" customHeight="1">
      <x:c r="A251" s="4" t="n">
        <x:v>250</x:v>
      </x:c>
      <x:c r="B251" s="4" t="str">
        <x:v>ADATA-0056</x:v>
      </x:c>
      <x:c r="C251" s="4" t="str">
        <x:v>数据报表</x:v>
      </x:c>
      <x:c r="D251" s="4" t="str">
        <x:v>用户活跃汇总（每日）（平台管理员视角）</x:v>
      </x:c>
      <x:c r="E251" s="4" t="str">
        <x:v>功能需求</x:v>
      </x:c>
      <x:c r="F251" s="4" t="str">
        <x:v>P2</x:v>
      </x:c>
      <x:c r="G251" s="4" t="str">
        <x:v>验证用户活跃汇总（每日）可查看汇总卡</x:v>
      </x:c>
      <x:c r="H251" s="4" t="str">
        <x:v>汇总卡展示</x:v>
      </x:c>
      <x:c r="I251" s="4" t="str">
        <x:v>1. 平台管理员账号已登录且具备当前页面权限</x:v>
      </x:c>
      <x:c r="J251" s="4" t="str">
        <x:v>1. 进入用户活跃汇总（每日）
2. 查看汇总卡</x:v>
      </x:c>
      <x:c r="K251" s="4" t="str">
        <x:v>用户活跃汇总（每日）显示“汇总卡”</x:v>
      </x:c>
      <x:c r="L251" s="4" t="str"/>
      <x:c r="M251" s="4" t="str">
        <x:v>未测</x:v>
      </x:c>
      <x:c r="N251" s="4" t="str"/>
      <x:c r="O251" s="4" t="str">
        <x:v>1. 来源（原型批注）：liveshow-proto/prototype/annotations/admin.js；admin-user-active-statistics.html
2. 页面：admin-user-active-statistics.html
3. 规则：BR-A854DDFB28FB3C
4. 场景：SC-0D9DC3A0C42D4E
5. 未动态验证</x:v>
      </x:c>
    </x:row>
    <x:row r="252" ht="54" customHeight="1">
      <x:c r="A252" s="4" t="n">
        <x:v>251</x:v>
      </x:c>
      <x:c r="B252" s="4" t="str">
        <x:v>ADATA-0057</x:v>
      </x:c>
      <x:c r="C252" s="4" t="str">
        <x:v>数据报表</x:v>
      </x:c>
      <x:c r="D252" s="4" t="str">
        <x:v>用户活跃汇总（每日）（平台管理员视角）</x:v>
      </x:c>
      <x:c r="E252" s="4" t="str">
        <x:v>功能需求</x:v>
      </x:c>
      <x:c r="F252" s="4" t="str">
        <x:v>P2</x:v>
      </x:c>
      <x:c r="G252" s="4" t="str">
        <x:v>验证用户活跃汇总（每日）可查看老用户</x:v>
      </x:c>
      <x:c r="H252" s="4" t="str">
        <x:v>老用户展示</x:v>
      </x:c>
      <x:c r="I252" s="4" t="str">
        <x:v>1. 平台管理员账号已登录且具备当前页面权限</x:v>
      </x:c>
      <x:c r="J252" s="4" t="str">
        <x:v>1. 进入用户活跃汇总（每日）
2. 查看老用户</x:v>
      </x:c>
      <x:c r="K252" s="4" t="str">
        <x:v>用户活跃汇总（每日）显示“老用户”</x:v>
      </x:c>
      <x:c r="L252" s="4" t="str"/>
      <x:c r="M252" s="4" t="str">
        <x:v>未测</x:v>
      </x:c>
      <x:c r="N252" s="4" t="str"/>
      <x:c r="O252" s="4" t="str">
        <x:v>1. 来源（原型批注）：liveshow-proto/prototype/annotations/admin.js；admin-user-active-statistics.html
2. 页面：admin-user-active-statistics.html
3. 规则：BR-020A552CAAFEE4、BR-06C154E4DD853C
4. 场景：SC-21D2F2474401B7
5. 未动态验证</x:v>
      </x:c>
    </x:row>
    <x:row r="253" ht="54" customHeight="1">
      <x:c r="A253" s="4" t="n">
        <x:v>252</x:v>
      </x:c>
      <x:c r="B253" s="4" t="str">
        <x:v>ADATA-0058</x:v>
      </x:c>
      <x:c r="C253" s="4" t="str">
        <x:v>数据报表</x:v>
      </x:c>
      <x:c r="D253" s="4" t="str">
        <x:v>用户活跃汇总（每日）（平台管理员视角）</x:v>
      </x:c>
      <x:c r="E253" s="4" t="str">
        <x:v>功能需求</x:v>
      </x:c>
      <x:c r="F253" s="4" t="str">
        <x:v>P2</x:v>
      </x:c>
      <x:c r="G253" s="4" t="str">
        <x:v>验证用户活跃汇总（每日）可查看新用户</x:v>
      </x:c>
      <x:c r="H253" s="4" t="str">
        <x:v>新用户展示</x:v>
      </x:c>
      <x:c r="I253" s="4" t="str">
        <x:v>1. 平台管理员账号已登录且具备当前页面权限</x:v>
      </x:c>
      <x:c r="J253" s="4" t="str">
        <x:v>1. 进入用户活跃汇总（每日）
2. 查看新用户</x:v>
      </x:c>
      <x:c r="K253" s="4" t="str">
        <x:v>用户活跃汇总（每日）显示“新用户”</x:v>
      </x:c>
      <x:c r="L253" s="4" t="str"/>
      <x:c r="M253" s="4" t="str">
        <x:v>未测</x:v>
      </x:c>
      <x:c r="N253" s="4" t="str"/>
      <x:c r="O253" s="4" t="str">
        <x:v>1. 来源（原型批注）：liveshow-proto/prototype/annotations/admin.js；admin-user-active-statistics.html
2. 页面：admin-user-active-statistics.html
3. 规则：BR-8047E7E2AB7829
4. 场景：SC-AAC836049AB9E7
5. 未动态验证</x:v>
      </x:c>
    </x:row>
    <x:row r="254" ht="54" customHeight="1">
      <x:c r="A254" s="4" t="n">
        <x:v>253</x:v>
      </x:c>
      <x:c r="B254" s="4" t="str">
        <x:v>ADATA-0059</x:v>
      </x:c>
      <x:c r="C254" s="4" t="str">
        <x:v>数据报表</x:v>
      </x:c>
      <x:c r="D254" s="4" t="str">
        <x:v>用户消费汇总报表（平台管理员视角）</x:v>
      </x:c>
      <x:c r="E254" s="4" t="str">
        <x:v>功能需求</x:v>
      </x:c>
      <x:c r="F254" s="4" t="str">
        <x:v>P2</x:v>
      </x:c>
      <x:c r="G254" s="4" t="str">
        <x:v>验证用户消费汇总报表可查看累计消费</x:v>
      </x:c>
      <x:c r="H254" s="4" t="str">
        <x:v>累计消费展示</x:v>
      </x:c>
      <x:c r="I254" s="4" t="str">
        <x:v>1. 平台管理员账号已登录且具备当前页面权限</x:v>
      </x:c>
      <x:c r="J254" s="4" t="str">
        <x:v>1. 进入用户消费汇总报表
2. 查看累计消费</x:v>
      </x:c>
      <x:c r="K254" s="4" t="str">
        <x:v>用户消费汇总报表显示“累计消费”</x:v>
      </x:c>
      <x:c r="L254" s="4" t="str"/>
      <x:c r="M254" s="4" t="str">
        <x:v>未测</x:v>
      </x:c>
      <x:c r="N254" s="4" t="str"/>
      <x:c r="O254" s="4" t="str">
        <x:v>1. 来源（原型批注）：liveshow-proto/prototype/annotations/admin.js；admin-monthly-viewer-consumption.html
2. 页面：admin-monthly-viewer-consumption.html
3. 规则：BR-DE3191A7A8F07A
4. 场景：SC-1DA809FC256FD6
5. 未动态验证</x:v>
      </x:c>
    </x:row>
    <x:row r="255" ht="54" customHeight="1">
      <x:c r="A255" s="4" t="n">
        <x:v>254</x:v>
      </x:c>
      <x:c r="B255" s="4" t="str">
        <x:v>ADATA-0060</x:v>
      </x:c>
      <x:c r="C255" s="4" t="str">
        <x:v>数据报表</x:v>
      </x:c>
      <x:c r="D255" s="4" t="str">
        <x:v>用户消费汇总报表（平台管理员视角）</x:v>
      </x:c>
      <x:c r="E255" s="4" t="str">
        <x:v>功能需求</x:v>
      </x:c>
      <x:c r="F255" s="4" t="str">
        <x:v>P2</x:v>
      </x:c>
      <x:c r="G255" s="4" t="str">
        <x:v>验证用户消费汇总报表可查看普通 / 定制 / 门票</x:v>
      </x:c>
      <x:c r="H255" s="4" t="str">
        <x:v>普通 / 定制 / 门票展示</x:v>
      </x:c>
      <x:c r="I255" s="4" t="str">
        <x:v>1. 平台管理员账号已登录且具备当前页面权限</x:v>
      </x:c>
      <x:c r="J255" s="4" t="str">
        <x:v>1. 进入用户消费汇总报表
2. 查看普通 / 定制 / 门票</x:v>
      </x:c>
      <x:c r="K255" s="4" t="str">
        <x:v>用户消费汇总报表显示“普通 / 定制 / 门票”</x:v>
      </x:c>
      <x:c r="L255" s="4" t="str"/>
      <x:c r="M255" s="4" t="str">
        <x:v>未测</x:v>
      </x:c>
      <x:c r="N255" s="4" t="str"/>
      <x:c r="O255" s="4" t="str">
        <x:v>1. 来源（原型批注）：liveshow-proto/prototype/annotations/admin.js；admin-monthly-viewer-consumption.html
2. 页面：admin-monthly-viewer-consumption.html
3. 规则：BR-E378B4E1E87911
4. 场景：SC-454242F5C5C775
5. 未动态验证</x:v>
      </x:c>
    </x:row>
    <x:row r="256" ht="54" customHeight="1">
      <x:c r="A256" s="4" t="n">
        <x:v>255</x:v>
      </x:c>
      <x:c r="B256" s="4" t="str">
        <x:v>ADATA-0061</x:v>
      </x:c>
      <x:c r="C256" s="4" t="str">
        <x:v>数据报表</x:v>
      </x:c>
      <x:c r="D256" s="4" t="str">
        <x:v>用户消费汇总报表（平台管理员视角）</x:v>
      </x:c>
      <x:c r="E256" s="4" t="str">
        <x:v>功能需求</x:v>
      </x:c>
      <x:c r="F256" s="4" t="str">
        <x:v>P2</x:v>
      </x:c>
      <x:c r="G256" s="4" t="str">
        <x:v>验证用户消费汇总报表可查看幸运礼物</x:v>
      </x:c>
      <x:c r="H256" s="4" t="str">
        <x:v>幸运礼物展示</x:v>
      </x:c>
      <x:c r="I256" s="4" t="str">
        <x:v>1. 平台管理员账号已登录且具备当前页面权限</x:v>
      </x:c>
      <x:c r="J256" s="4" t="str">
        <x:v>1. 进入用户消费汇总报表
2. 查看幸运礼物</x:v>
      </x:c>
      <x:c r="K256" s="4" t="str">
        <x:v>用户消费汇总报表显示“幸运礼物”</x:v>
      </x:c>
      <x:c r="L256" s="4" t="str"/>
      <x:c r="M256" s="4" t="str">
        <x:v>未测</x:v>
      </x:c>
      <x:c r="N256" s="4" t="str"/>
      <x:c r="O256" s="4" t="str">
        <x:v>1. 来源（原型批注）：liveshow-proto/prototype/annotations/admin.js；admin-monthly-viewer-consumption.html
2. 页面：admin-monthly-viewer-consumption.html
3. 规则：BR-D7FAC6613BD9C1
4. 场景：SC-652ACF6D842842
5. 未动态验证</x:v>
      </x:c>
    </x:row>
    <x:row r="257" ht="54" customHeight="1">
      <x:c r="A257" s="4" t="n">
        <x:v>256</x:v>
      </x:c>
      <x:c r="B257" s="4" t="str">
        <x:v>ADATA-0062</x:v>
      </x:c>
      <x:c r="C257" s="4" t="str">
        <x:v>数据报表</x:v>
      </x:c>
      <x:c r="D257" s="4" t="str">
        <x:v>月度收益支出汇总（平台管理员视角）</x:v>
      </x:c>
      <x:c r="E257" s="4" t="str">
        <x:v>功能需求</x:v>
      </x:c>
      <x:c r="F257" s="4" t="str">
        <x:v>P2</x:v>
      </x:c>
      <x:c r="G257" s="4" t="str">
        <x:v>验证列表时的月度收益支出汇总结果</x:v>
      </x:c>
      <x:c r="H257" s="4" t="str">
        <x:v>月度收益支出汇总条件结果</x:v>
      </x:c>
      <x:c r="I257" s="4" t="str">
        <x:v>1. 平台管理员账号已登录且具备当前页面权限
2. 列表</x:v>
      </x:c>
      <x:c r="J257" s="4" t="str">
        <x:v>1. 进入月度收益支出汇总
2. 查看月度收益支出汇总</x:v>
      </x:c>
      <x:c r="K257" s="4" t="str">
        <x:v>列表展示全部月份</x:v>
      </x:c>
      <x:c r="L257" s="4" t="str"/>
      <x:c r="M257" s="4" t="str">
        <x:v>未测</x:v>
      </x:c>
      <x:c r="N257" s="4" t="str"/>
      <x:c r="O257" s="4" t="str">
        <x:v>1. 来源（原型批注）：liveshow-proto/prototype/annotations/admin.js；admin-monthly-income-expense.html
2. 页面：admin-monthly-income-expense.html
3. 规则：BR-EDA0ED975A1DAD
4. 场景：SC-1EC68B85D083B5
5. 未动态验证</x:v>
      </x:c>
    </x:row>
    <x:row r="258" ht="54" customHeight="1">
      <x:c r="A258" s="4" t="n">
        <x:v>257</x:v>
      </x:c>
      <x:c r="B258" s="4" t="str">
        <x:v>ADATA-0063</x:v>
      </x:c>
      <x:c r="C258" s="4" t="str">
        <x:v>数据报表</x:v>
      </x:c>
      <x:c r="D258" s="4" t="str">
        <x:v>月度收益支出汇总（平台管理员视角）</x:v>
      </x:c>
      <x:c r="E258" s="4" t="str">
        <x:v>功能需求</x:v>
      </x:c>
      <x:c r="F258" s="4" t="str">
        <x:v>P2</x:v>
      </x:c>
      <x:c r="G258" s="4" t="str">
        <x:v>验证月度收益支出汇总可查看累计充值</x:v>
      </x:c>
      <x:c r="H258" s="4" t="str">
        <x:v>累计充值展示</x:v>
      </x:c>
      <x:c r="I258" s="4" t="str">
        <x:v>1. 平台管理员账号已登录且具备当前页面权限</x:v>
      </x:c>
      <x:c r="J258" s="4" t="str">
        <x:v>1. 进入月度收益支出汇总
2. 查看累计充值</x:v>
      </x:c>
      <x:c r="K258" s="4" t="str">
        <x:v>月度收益支出汇总显示“累计充值”</x:v>
      </x:c>
      <x:c r="L258" s="4" t="str"/>
      <x:c r="M258" s="4" t="str">
        <x:v>未测</x:v>
      </x:c>
      <x:c r="N258" s="4" t="str"/>
      <x:c r="O258" s="4" t="str">
        <x:v>1. 来源（原型批注）：liveshow-proto/prototype/annotations/admin.js；admin-monthly-income-expense.html
2. 页面：admin-monthly-income-expense.html
3. 规则：BR-8465582ABCAAE6
4. 场景：SC-606F5D4AE30D28
5. 未动态验证</x:v>
      </x:c>
    </x:row>
    <x:row r="259" ht="54" customHeight="1">
      <x:c r="A259" s="4" t="n">
        <x:v>258</x:v>
      </x:c>
      <x:c r="B259" s="4" t="str">
        <x:v>ADATA-0064</x:v>
      </x:c>
      <x:c r="C259" s="4" t="str">
        <x:v>数据报表</x:v>
      </x:c>
      <x:c r="D259" s="4" t="str">
        <x:v>月度收益支出汇总（平台管理员视角）</x:v>
      </x:c>
      <x:c r="E259" s="4" t="str">
        <x:v>功能需求</x:v>
      </x:c>
      <x:c r="F259" s="4" t="str">
        <x:v>P2</x:v>
      </x:c>
      <x:c r="G259" s="4" t="str">
        <x:v>验证月度收益支出汇总可查看累计退款</x:v>
      </x:c>
      <x:c r="H259" s="4" t="str">
        <x:v>累计退款展示</x:v>
      </x:c>
      <x:c r="I259" s="4" t="str">
        <x:v>1. 平台管理员账号已登录且具备当前页面权限</x:v>
      </x:c>
      <x:c r="J259" s="4" t="str">
        <x:v>1. 进入月度收益支出汇总
2. 查看累计退款</x:v>
      </x:c>
      <x:c r="K259" s="4" t="str">
        <x:v>月度收益支出汇总显示“累计退款”</x:v>
      </x:c>
      <x:c r="L259" s="4" t="str"/>
      <x:c r="M259" s="4" t="str">
        <x:v>未测</x:v>
      </x:c>
      <x:c r="N259" s="4" t="str"/>
      <x:c r="O259" s="4" t="str">
        <x:v>1. 来源（原型批注）：liveshow-proto/prototype/annotations/admin.js；admin-monthly-income-expense.html
2. 页面：admin-monthly-income-expense.html
3. 规则：BR-82DA377ED8B644
4. 场景：SC-5F6B8CED71D926
5. 未动态验证</x:v>
      </x:c>
    </x:row>
    <x:row r="260" ht="54" customHeight="1">
      <x:c r="A260" s="4" t="n">
        <x:v>259</x:v>
      </x:c>
      <x:c r="B260" s="4" t="str">
        <x:v>ADATA-0065</x:v>
      </x:c>
      <x:c r="C260" s="4" t="str">
        <x:v>数据报表</x:v>
      </x:c>
      <x:c r="D260" s="4" t="str">
        <x:v>月度收益支出汇总（平台管理员视角）</x:v>
      </x:c>
      <x:c r="E260" s="4" t="str">
        <x:v>功能需求</x:v>
      </x:c>
      <x:c r="F260" s="4" t="str">
        <x:v>P2</x:v>
      </x:c>
      <x:c r="G260" s="4" t="str">
        <x:v>验证月度收益支出汇总可查看收益</x:v>
      </x:c>
      <x:c r="H260" s="4" t="str">
        <x:v>收益展示</x:v>
      </x:c>
      <x:c r="I260" s="4" t="str">
        <x:v>1. 平台管理员账号已登录且具备当前页面权限</x:v>
      </x:c>
      <x:c r="J260" s="4" t="str">
        <x:v>1. 进入月度收益支出汇总
2. 查看收益</x:v>
      </x:c>
      <x:c r="K260" s="4" t="str">
        <x:v>月度收益支出汇总显示“收益”</x:v>
      </x:c>
      <x:c r="L260" s="4" t="str"/>
      <x:c r="M260" s="4" t="str">
        <x:v>未测</x:v>
      </x:c>
      <x:c r="N260" s="4" t="str"/>
      <x:c r="O260" s="4" t="str">
        <x:v>1. 来源（原型批注）：liveshow-proto/prototype/annotations/admin.js；admin-monthly-income-expense.html
2. 页面：admin-monthly-income-expense.html
3. 规则：BR-C162CDFF2EFBFD
4. 场景：SC-0B20612F9C193A
5. 未动态验证</x:v>
      </x:c>
    </x:row>
    <x:row r="261" ht="54" customHeight="1">
      <x:c r="A261" s="4" t="n">
        <x:v>260</x:v>
      </x:c>
      <x:c r="B261" s="4" t="str">
        <x:v>ADATA-0066</x:v>
      </x:c>
      <x:c r="C261" s="4" t="str">
        <x:v>数据报表</x:v>
      </x:c>
      <x:c r="D261" s="4" t="str">
        <x:v>直播记录明细报表（平台管理员视角）</x:v>
      </x:c>
      <x:c r="E261" s="4" t="str">
        <x:v>功能需求</x:v>
      </x:c>
      <x:c r="F261" s="4" t="str">
        <x:v>P1</x:v>
      </x:c>
      <x:c r="G261" s="4" t="str">
        <x:v>验证直播记录明细报表可查看房型</x:v>
      </x:c>
      <x:c r="H261" s="4" t="str">
        <x:v>房型展示</x:v>
      </x:c>
      <x:c r="I261" s="4" t="str">
        <x:v>1. 平台管理员账号已登录且具备当前页面权限</x:v>
      </x:c>
      <x:c r="J261" s="4" t="str">
        <x:v>1. 进入直播记录明细报表
2. 查看房型</x:v>
      </x:c>
      <x:c r="K261" s="4" t="str">
        <x:v>直播记录明细报表显示“房型”</x:v>
      </x:c>
      <x:c r="L261" s="4" t="str"/>
      <x:c r="M261" s="4" t="str">
        <x:v>未测</x:v>
      </x:c>
      <x:c r="N261" s="4" t="str"/>
      <x:c r="O261" s="4" t="str">
        <x:v>1. 来源（原型批注）：liveshow-proto/prototype/annotations/admin.js；admin-host-live-record-report.html
2. 页面：admin-host-live-record-report.html
3. 规则：BR-03E45A0B281C64
4. 场景：SC-480BF5FCC997A9
5. 未动态验证</x:v>
      </x:c>
    </x:row>
    <x:row r="262" ht="54" customHeight="1">
      <x:c r="A262" s="4" t="n">
        <x:v>261</x:v>
      </x:c>
      <x:c r="B262" s="4" t="str">
        <x:v>ADATA-0067</x:v>
      </x:c>
      <x:c r="C262" s="4" t="str">
        <x:v>数据报表</x:v>
      </x:c>
      <x:c r="D262" s="4" t="str">
        <x:v>直播记录明细报表（平台管理员视角）</x:v>
      </x:c>
      <x:c r="E262" s="4" t="str">
        <x:v>功能需求</x:v>
      </x:c>
      <x:c r="F262" s="4" t="str">
        <x:v>P1</x:v>
      </x:c>
      <x:c r="G262" s="4" t="str">
        <x:v>验证直播记录明细报表可查看观众人数</x:v>
      </x:c>
      <x:c r="H262" s="4" t="str">
        <x:v>观众人数展示</x:v>
      </x:c>
      <x:c r="I262" s="4" t="str">
        <x:v>1. 平台管理员账号已登录且具备当前页面权限</x:v>
      </x:c>
      <x:c r="J262" s="4" t="str">
        <x:v>1. 进入直播记录明细报表
2. 查看观众人数</x:v>
      </x:c>
      <x:c r="K262" s="4" t="str">
        <x:v>直播记录明细报表显示“观众人数”</x:v>
      </x:c>
      <x:c r="L262" s="4" t="str"/>
      <x:c r="M262" s="4" t="str">
        <x:v>未测</x:v>
      </x:c>
      <x:c r="N262" s="4" t="str"/>
      <x:c r="O262" s="4" t="str">
        <x:v>1. 来源（原型批注）：liveshow-proto/prototype/annotations/admin.js；admin-host-live-record-report.html
2. 页面：admin-host-live-record-report.html
3. 规则：BR-74C5F05FCBC6CC
4. 场景：SC-EC2E9B57DC2D9D
5. 未动态验证</x:v>
      </x:c>
    </x:row>
    <x:row r="263" ht="54" customHeight="1">
      <x:c r="A263" s="4" t="n">
        <x:v>262</x:v>
      </x:c>
      <x:c r="B263" s="4" t="str">
        <x:v>ADATA-0068</x:v>
      </x:c>
      <x:c r="C263" s="4" t="str">
        <x:v>数据报表</x:v>
      </x:c>
      <x:c r="D263" s="4" t="str">
        <x:v>直播记录明细报表（平台管理员视角）</x:v>
      </x:c>
      <x:c r="E263" s="4" t="str">
        <x:v>功能需求</x:v>
      </x:c>
      <x:c r="F263" s="4" t="str">
        <x:v>P1</x:v>
      </x:c>
      <x:c r="G263" s="4" t="str">
        <x:v>验证直播记录明细报表可查看时长</x:v>
      </x:c>
      <x:c r="H263" s="4" t="str">
        <x:v>时长展示</x:v>
      </x:c>
      <x:c r="I263" s="4" t="str">
        <x:v>1. 平台管理员账号已登录且具备当前页面权限</x:v>
      </x:c>
      <x:c r="J263" s="4" t="str">
        <x:v>1. 进入直播记录明细报表
2. 查看时长</x:v>
      </x:c>
      <x:c r="K263" s="4" t="str">
        <x:v>直播记录明细报表显示“时长”</x:v>
      </x:c>
      <x:c r="L263" s="4" t="str"/>
      <x:c r="M263" s="4" t="str">
        <x:v>未测</x:v>
      </x:c>
      <x:c r="N263" s="4" t="str"/>
      <x:c r="O263" s="4" t="str">
        <x:v>1. 来源（原型批注）：liveshow-proto/prototype/annotations/admin.js；admin-host-live-record-report.html
2. 页面：admin-host-live-record-report.html
3. 规则：BR-CF23D84BCC7F2B
4. 场景：SC-1C5E81F5CC1063
5. 未动态验证</x:v>
      </x:c>
    </x:row>
    <x:row r="264" ht="54" customHeight="1">
      <x:c r="A264" s="4" t="n">
        <x:v>263</x:v>
      </x:c>
      <x:c r="B264" s="4" t="str">
        <x:v>ADATA-0069</x:v>
      </x:c>
      <x:c r="C264" s="4" t="str">
        <x:v>数据报表</x:v>
      </x:c>
      <x:c r="D264" s="4" t="str">
        <x:v>直播记录明细报表（平台管理员视角）</x:v>
      </x:c>
      <x:c r="E264" s="4" t="str">
        <x:v>功能需求</x:v>
      </x:c>
      <x:c r="F264" s="4" t="str">
        <x:v>P1</x:v>
      </x:c>
      <x:c r="G264" s="4" t="str">
        <x:v>验证直播记录明细报表可查看是否达标</x:v>
      </x:c>
      <x:c r="H264" s="4" t="str">
        <x:v>是否达标展示</x:v>
      </x:c>
      <x:c r="I264" s="4" t="str">
        <x:v>1. 平台管理员账号已登录且具备当前页面权限</x:v>
      </x:c>
      <x:c r="J264" s="4" t="str">
        <x:v>1. 进入直播记录明细报表
2. 查看是否达标</x:v>
      </x:c>
      <x:c r="K264" s="4" t="str">
        <x:v>直播记录明细报表显示“是否达标”</x:v>
      </x:c>
      <x:c r="L264" s="4" t="str"/>
      <x:c r="M264" s="4" t="str">
        <x:v>未测</x:v>
      </x:c>
      <x:c r="N264" s="4" t="str"/>
      <x:c r="O264" s="4" t="str">
        <x:v>1. 来源（原型批注）：liveshow-proto/prototype/annotations/admin.js；admin-host-live-record-report.html
2. 页面：admin-host-live-record-report.html
3. 规则：BR-0BCE09CA6697A4
4. 场景：SC-8CD93641C41B68
5. 未动态验证</x:v>
      </x:c>
    </x:row>
    <x:row r="265" ht="54" customHeight="1">
      <x:c r="A265" s="4" t="n">
        <x:v>264</x:v>
      </x:c>
      <x:c r="B265" s="4" t="str">
        <x:v>ADATA-0070</x:v>
      </x:c>
      <x:c r="C265" s="4" t="str">
        <x:v>数据报表</x:v>
      </x:c>
      <x:c r="D265" s="4" t="str">
        <x:v>直播记录明细报表（平台管理员视角）</x:v>
      </x:c>
      <x:c r="E265" s="4" t="str">
        <x:v>功能需求</x:v>
      </x:c>
      <x:c r="F265" s="4" t="str">
        <x:v>P1</x:v>
      </x:c>
      <x:c r="G265" s="4" t="str">
        <x:v>验证直播记录明细报表可查看消费金币</x:v>
      </x:c>
      <x:c r="H265" s="4" t="str">
        <x:v>消费金币展示</x:v>
      </x:c>
      <x:c r="I265" s="4" t="str">
        <x:v>1. 平台管理员账号已登录且具备当前页面权限</x:v>
      </x:c>
      <x:c r="J265" s="4" t="str">
        <x:v>1. 进入直播记录明细报表
2. 查看消费金币</x:v>
      </x:c>
      <x:c r="K265" s="4" t="str">
        <x:v>直播记录明细报表显示“消费金币”</x:v>
      </x:c>
      <x:c r="L265" s="4" t="str"/>
      <x:c r="M265" s="4" t="str">
        <x:v>未测</x:v>
      </x:c>
      <x:c r="N265" s="4" t="str"/>
      <x:c r="O265" s="4" t="str">
        <x:v>1. 来源（原型批注）：liveshow-proto/prototype/annotations/admin.js；admin-host-live-record-report.html
2. 页面：admin-host-live-record-report.html
3. 规则：BR-A9C264DAD31F31、BR-AEF22D8C4BAEA2
4. 场景：SC-49861E605AC8ED
5. 未动态验证</x:v>
      </x:c>
    </x:row>
    <x:row r="266" ht="54" customHeight="1">
      <x:c r="A266" s="4" t="n">
        <x:v>265</x:v>
      </x:c>
      <x:c r="B266" s="4" t="str">
        <x:v>ADATA-0071</x:v>
      </x:c>
      <x:c r="C266" s="4" t="str">
        <x:v>数据报表</x:v>
      </x:c>
      <x:c r="D266" s="4" t="str">
        <x:v>直播记录明细报表（平台管理员视角）</x:v>
      </x:c>
      <x:c r="E266" s="4" t="str">
        <x:v>功能需求</x:v>
      </x:c>
      <x:c r="F266" s="4" t="str">
        <x:v>P1</x:v>
      </x:c>
      <x:c r="G266" s="4" t="str">
        <x:v>验证直播记录明细报表可查看主播 / 直播间 ID</x:v>
      </x:c>
      <x:c r="H266" s="4" t="str">
        <x:v>主播 / 直播间 ID展示</x:v>
      </x:c>
      <x:c r="I266" s="4" t="str">
        <x:v>1. 平台管理员账号已登录且具备当前页面权限</x:v>
      </x:c>
      <x:c r="J266" s="4" t="str">
        <x:v>1. 进入直播记录明细报表
2. 查看主播 / 直播间 ID</x:v>
      </x:c>
      <x:c r="K266" s="4" t="str">
        <x:v>直播记录明细报表显示“主播 / 直播间 ID”</x:v>
      </x:c>
      <x:c r="L266" s="4" t="str"/>
      <x:c r="M266" s="4" t="str">
        <x:v>未测</x:v>
      </x:c>
      <x:c r="N266" s="4" t="str"/>
      <x:c r="O266" s="4" t="str">
        <x:v>1. 来源（原型批注）：liveshow-proto/prototype/annotations/admin.js；admin-host-live-record-report.html
2. 页面：admin-host-live-record-report.html
3. 规则：BR-C1D7774B89C167、BR-1D05160553D686
4. 场景：SC-C2E412A605D2C5
5. 未动态验证</x:v>
      </x:c>
    </x:row>
    <x:row r="267" ht="54" customHeight="1">
      <x:c r="A267" s="4" t="n">
        <x:v>266</x:v>
      </x:c>
      <x:c r="B267" s="4" t="str">
        <x:v>ADATA-0072</x:v>
      </x:c>
      <x:c r="C267" s="4" t="str">
        <x:v>数据报表</x:v>
      </x:c>
      <x:c r="D267" s="4" t="str">
        <x:v>直播间互动汇总（每日）（平台管理员视角）</x:v>
      </x:c>
      <x:c r="E267" s="4" t="str">
        <x:v>功能需求</x:v>
      </x:c>
      <x:c r="F267" s="4" t="str">
        <x:v>P1</x:v>
      </x:c>
      <x:c r="G267" s="4" t="str">
        <x:v>验证直播间互动汇总（每日）可查看观看时长</x:v>
      </x:c>
      <x:c r="H267" s="4" t="str">
        <x:v>观看时长展示</x:v>
      </x:c>
      <x:c r="I267" s="4" t="str">
        <x:v>1. 平台管理员账号已登录且具备当前页面权限</x:v>
      </x:c>
      <x:c r="J267" s="4" t="str">
        <x:v>1. 进入直播间互动汇总（每日）
2. 查看观看时长</x:v>
      </x:c>
      <x:c r="K267" s="4" t="str">
        <x:v>直播间互动汇总（每日）显示“观看时长”</x:v>
      </x:c>
      <x:c r="L267" s="4" t="str"/>
      <x:c r="M267" s="4" t="str">
        <x:v>未测</x:v>
      </x:c>
      <x:c r="N267" s="4" t="str"/>
      <x:c r="O267" s="4" t="str">
        <x:v>1. 来源（原型批注）：liveshow-proto/prototype/annotations/admin.js；admin-live-statistics.html
2. 页面：admin-live-statistics.html
3. 规则：BR-55B030480101FA
4. 场景：SC-D7073968D06D5C
5. 未动态验证</x:v>
      </x:c>
    </x:row>
    <x:row r="268" ht="54" customHeight="1">
      <x:c r="A268" s="4" t="n">
        <x:v>267</x:v>
      </x:c>
      <x:c r="B268" s="4" t="str">
        <x:v>ADATA-0073</x:v>
      </x:c>
      <x:c r="C268" s="4" t="str">
        <x:v>数据报表</x:v>
      </x:c>
      <x:c r="D268" s="4" t="str">
        <x:v>直播间互动汇总（每日）（平台管理员视角）</x:v>
      </x:c>
      <x:c r="E268" s="4" t="str">
        <x:v>功能需求</x:v>
      </x:c>
      <x:c r="F268" s="4" t="str">
        <x:v>P1</x:v>
      </x:c>
      <x:c r="G268" s="4" t="str">
        <x:v>验证直播间互动汇总（每日）可查看观众人数</x:v>
      </x:c>
      <x:c r="H268" s="4" t="str">
        <x:v>观众人数展示</x:v>
      </x:c>
      <x:c r="I268" s="4" t="str">
        <x:v>1. 平台管理员账号已登录且具备当前页面权限</x:v>
      </x:c>
      <x:c r="J268" s="4" t="str">
        <x:v>1. 进入直播间互动汇总（每日）
2. 查看观众人数</x:v>
      </x:c>
      <x:c r="K268" s="4" t="str">
        <x:v>直播间互动汇总（每日）显示“观众人数”</x:v>
      </x:c>
      <x:c r="L268" s="4" t="str"/>
      <x:c r="M268" s="4" t="str">
        <x:v>未测</x:v>
      </x:c>
      <x:c r="N268" s="4" t="str"/>
      <x:c r="O268" s="4" t="str">
        <x:v>1. 来源（原型批注）：liveshow-proto/prototype/annotations/admin.js；admin-live-statistics.html
2. 页面：admin-live-statistics.html
3. 规则：BR-7AD837A90FDEBC
4. 场景：SC-9F07CC57F839A7
5. 未动态验证</x:v>
      </x:c>
    </x:row>
    <x:row r="269" ht="54" customHeight="1">
      <x:c r="A269" s="4" t="n">
        <x:v>268</x:v>
      </x:c>
      <x:c r="B269" s="4" t="str">
        <x:v>ADATA-0074</x:v>
      </x:c>
      <x:c r="C269" s="4" t="str">
        <x:v>数据报表</x:v>
      </x:c>
      <x:c r="D269" s="4" t="str">
        <x:v>直播间互动汇总（每日）（平台管理员视角）</x:v>
      </x:c>
      <x:c r="E269" s="4" t="str">
        <x:v>功能需求</x:v>
      </x:c>
      <x:c r="F269" s="4" t="str">
        <x:v>P1</x:v>
      </x:c>
      <x:c r="G269" s="4" t="str">
        <x:v>验证直播间互动汇总（每日）可查看人均观看时长</x:v>
      </x:c>
      <x:c r="H269" s="4" t="str">
        <x:v>人均观看时长展示</x:v>
      </x:c>
      <x:c r="I269" s="4" t="str">
        <x:v>1. 平台管理员账号已登录且具备当前页面权限</x:v>
      </x:c>
      <x:c r="J269" s="4" t="str">
        <x:v>1. 进入直播间互动汇总（每日）
2. 查看人均观看时长</x:v>
      </x:c>
      <x:c r="K269" s="4" t="str">
        <x:v>直播间互动汇总（每日）显示“人均观看时长”</x:v>
      </x:c>
      <x:c r="L269" s="4" t="str"/>
      <x:c r="M269" s="4" t="str">
        <x:v>未测</x:v>
      </x:c>
      <x:c r="N269" s="4" t="str"/>
      <x:c r="O269" s="4" t="str">
        <x:v>1. 来源（原型批注）：liveshow-proto/prototype/annotations/admin.js；admin-live-statistics.html
2. 页面：admin-live-statistics.html
3. 规则：BR-72B1E19CAAB9AA、BR-A8052C9E8986D7
4. 场景：SC-87829EDBC09512
5. 未动态验证</x:v>
      </x:c>
    </x:row>
    <x:row r="270" ht="54" customHeight="1">
      <x:c r="A270" s="4" t="n">
        <x:v>269</x:v>
      </x:c>
      <x:c r="B270" s="4" t="str">
        <x:v>ADATA-0075</x:v>
      </x:c>
      <x:c r="C270" s="4" t="str">
        <x:v>数据报表</x:v>
      </x:c>
      <x:c r="D270" s="4" t="str">
        <x:v>直播间互动汇总（每日）（平台管理员视角）</x:v>
      </x:c>
      <x:c r="E270" s="4" t="str">
        <x:v>功能需求</x:v>
      </x:c>
      <x:c r="F270" s="4" t="str">
        <x:v>P1</x:v>
      </x:c>
      <x:c r="G270" s="4" t="str">
        <x:v>验证直播间互动汇总（每日）可查看直播间访问率</x:v>
      </x:c>
      <x:c r="H270" s="4" t="str">
        <x:v>直播间访问率展示</x:v>
      </x:c>
      <x:c r="I270" s="4" t="str">
        <x:v>1. 平台管理员账号已登录且具备当前页面权限</x:v>
      </x:c>
      <x:c r="J270" s="4" t="str">
        <x:v>1. 进入直播间互动汇总（每日）
2. 查看直播间访问率</x:v>
      </x:c>
      <x:c r="K270" s="4" t="str">
        <x:v>直播间互动汇总（每日）显示“直播间访问率”</x:v>
      </x:c>
      <x:c r="L270" s="4" t="str"/>
      <x:c r="M270" s="4" t="str">
        <x:v>未测</x:v>
      </x:c>
      <x:c r="N270" s="4" t="str"/>
      <x:c r="O270" s="4" t="str">
        <x:v>1. 来源（原型批注）：liveshow-proto/prototype/annotations/admin.js；admin-live-statistics.html
2. 页面：admin-live-statistics.html
3. 规则：BR-86E98BB7E16611、BR-2E48B9B057410F
4. 场景：SC-AA2575B79E8F0D
5. 未动态验证</x:v>
      </x:c>
    </x:row>
    <x:row r="271" ht="54" customHeight="1">
      <x:c r="A271" s="4" t="n">
        <x:v>270</x:v>
      </x:c>
      <x:c r="B271" s="4" t="str">
        <x:v>ADATA-0076</x:v>
      </x:c>
      <x:c r="C271" s="4" t="str">
        <x:v>数据报表</x:v>
      </x:c>
      <x:c r="D271" s="4" t="str">
        <x:v>主播活跃汇总（每日）（平台管理员视角）</x:v>
      </x:c>
      <x:c r="E271" s="4" t="str">
        <x:v>功能需求</x:v>
      </x:c>
      <x:c r="F271" s="4" t="str">
        <x:v>P2</x:v>
      </x:c>
      <x:c r="G271" s="4" t="str">
        <x:v>验证主播活跃汇总（每日）可查看开播率</x:v>
      </x:c>
      <x:c r="H271" s="4" t="str">
        <x:v>开播率展示</x:v>
      </x:c>
      <x:c r="I271" s="4" t="str">
        <x:v>1. 平台管理员账号已登录且具备当前页面权限</x:v>
      </x:c>
      <x:c r="J271" s="4" t="str">
        <x:v>1. 进入主播活跃汇总（每日）
2. 查看开播率</x:v>
      </x:c>
      <x:c r="K271" s="4" t="str">
        <x:v>主播活跃汇总（每日）显示“开播率”</x:v>
      </x:c>
      <x:c r="L271" s="4" t="str"/>
      <x:c r="M271" s="4" t="str">
        <x:v>未测</x:v>
      </x:c>
      <x:c r="N271" s="4" t="str"/>
      <x:c r="O271" s="4" t="str">
        <x:v>1. 来源（原型批注）：liveshow-proto/prototype/annotations/admin.js；admin-host-statistics.html
2. 页面：admin-host-statistics.html
3. 规则：BR-A593E14BE6E8B6、BR-CD4C1F5B37ABB9
4. 场景：SC-8BEEF7324EA7A9
5. 未动态验证</x:v>
      </x:c>
    </x:row>
    <x:row r="272" ht="54" customHeight="1">
      <x:c r="A272" s="4" t="n">
        <x:v>271</x:v>
      </x:c>
      <x:c r="B272" s="4" t="str">
        <x:v>ADATA-0077</x:v>
      </x:c>
      <x:c r="C272" s="4" t="str">
        <x:v>数据报表</x:v>
      </x:c>
      <x:c r="D272" s="4" t="str">
        <x:v>主播活跃汇总（每日）（平台管理员视角）</x:v>
      </x:c>
      <x:c r="E272" s="4" t="str">
        <x:v>功能需求</x:v>
      </x:c>
      <x:c r="F272" s="4" t="str">
        <x:v>P2</x:v>
      </x:c>
      <x:c r="G272" s="4" t="str">
        <x:v>验证主播活跃汇总（每日）可查看开播人数 / 场次</x:v>
      </x:c>
      <x:c r="H272" s="4" t="str">
        <x:v>开播人数 / 场次展示</x:v>
      </x:c>
      <x:c r="I272" s="4" t="str">
        <x:v>1. 平台管理员账号已登录且具备当前页面权限</x:v>
      </x:c>
      <x:c r="J272" s="4" t="str">
        <x:v>1. 进入主播活跃汇总（每日）
2. 查看开播人数 / 场次</x:v>
      </x:c>
      <x:c r="K272" s="4" t="str">
        <x:v>主播活跃汇总（每日）显示“开播人数 / 场次”</x:v>
      </x:c>
      <x:c r="L272" s="4" t="str"/>
      <x:c r="M272" s="4" t="str">
        <x:v>未测</x:v>
      </x:c>
      <x:c r="N272" s="4" t="str"/>
      <x:c r="O272" s="4" t="str">
        <x:v>1. 来源（原型批注）：liveshow-proto/prototype/annotations/admin.js；admin-host-statistics.html
2. 页面：admin-host-statistics.html
3. 规则：BR-1240269BB3472C
4. 场景：SC-A8ADCA649F4B0B
5. 未动态验证</x:v>
      </x:c>
    </x:row>
    <x:row r="273" ht="54" customHeight="1">
      <x:c r="A273" s="4" t="n">
        <x:v>272</x:v>
      </x:c>
      <x:c r="B273" s="4" t="str">
        <x:v>ADATA-0078</x:v>
      </x:c>
      <x:c r="C273" s="4" t="str">
        <x:v>数据报表</x:v>
      </x:c>
      <x:c r="D273" s="4" t="str">
        <x:v>主播活跃汇总（每日）（平台管理员视角）</x:v>
      </x:c>
      <x:c r="E273" s="4" t="str">
        <x:v>功能需求</x:v>
      </x:c>
      <x:c r="F273" s="4" t="str">
        <x:v>P2</x:v>
      </x:c>
      <x:c r="G273" s="4" t="str">
        <x:v>验证主播活跃汇总（每日）可查看开播时长中位数</x:v>
      </x:c>
      <x:c r="H273" s="4" t="str">
        <x:v>开播时长中位数展示</x:v>
      </x:c>
      <x:c r="I273" s="4" t="str">
        <x:v>1. 平台管理员账号已登录且具备当前页面权限</x:v>
      </x:c>
      <x:c r="J273" s="4" t="str">
        <x:v>1. 进入主播活跃汇总（每日）
2. 查看开播时长中位数</x:v>
      </x:c>
      <x:c r="K273" s="4" t="str">
        <x:v>主播活跃汇总（每日）显示“开播时长中位数”</x:v>
      </x:c>
      <x:c r="L273" s="4" t="str"/>
      <x:c r="M273" s="4" t="str">
        <x:v>未测</x:v>
      </x:c>
      <x:c r="N273" s="4" t="str"/>
      <x:c r="O273" s="4" t="str">
        <x:v>1. 来源（原型批注）：liveshow-proto/prototype/annotations/admin.js；admin-host-statistics.html
2. 页面：admin-host-statistics.html
3. 规则：BR-71C4D4957A147D、BR-AB056A14CDED9B
4. 场景：SC-67D81285260E1F
5. 未动态验证</x:v>
      </x:c>
    </x:row>
    <x:row r="274" ht="54" customHeight="1">
      <x:c r="A274" s="4" t="n">
        <x:v>273</x:v>
      </x:c>
      <x:c r="B274" s="4" t="str">
        <x:v>ADATA-0079</x:v>
      </x:c>
      <x:c r="C274" s="4" t="str">
        <x:v>数据报表</x:v>
      </x:c>
      <x:c r="D274" s="4" t="str">
        <x:v>主播活跃汇总（每日）（平台管理员视角）</x:v>
      </x:c>
      <x:c r="E274" s="4" t="str">
        <x:v>功能需求</x:v>
      </x:c>
      <x:c r="F274" s="4" t="str">
        <x:v>P2</x:v>
      </x:c>
      <x:c r="G274" s="4" t="str">
        <x:v>验证主播活跃汇总（每日）可查看连麦场次</x:v>
      </x:c>
      <x:c r="H274" s="4" t="str">
        <x:v>连麦场次展示</x:v>
      </x:c>
      <x:c r="I274" s="4" t="str">
        <x:v>1. 平台管理员账号已登录且具备当前页面权限</x:v>
      </x:c>
      <x:c r="J274" s="4" t="str">
        <x:v>1. 进入主播活跃汇总（每日）
2. 查看连麦场次</x:v>
      </x:c>
      <x:c r="K274" s="4" t="str">
        <x:v>主播活跃汇总（每日）显示“连麦场次”</x:v>
      </x:c>
      <x:c r="L274" s="4" t="str"/>
      <x:c r="M274" s="4" t="str">
        <x:v>未测</x:v>
      </x:c>
      <x:c r="N274" s="4" t="str"/>
      <x:c r="O274" s="4" t="str">
        <x:v>1. 来源（原型批注）：liveshow-proto/prototype/annotations/admin.js；admin-host-statistics.html
2. 页面：admin-host-statistics.html
3. 规则：BR-9CBBF6DDFFDA84
4. 场景：SC-1C3489C5A1A678
5. 未动态验证</x:v>
      </x:c>
    </x:row>
    <x:row r="275" ht="54" customHeight="1">
      <x:c r="A275" s="4" t="n">
        <x:v>274</x:v>
      </x:c>
      <x:c r="B275" s="4" t="str">
        <x:v>ADATA-0080</x:v>
      </x:c>
      <x:c r="C275" s="4" t="str">
        <x:v>数据报表</x:v>
      </x:c>
      <x:c r="D275" s="4" t="str">
        <x:v>主播活跃汇总（每日）（平台管理员视角）</x:v>
      </x:c>
      <x:c r="E275" s="4" t="str">
        <x:v>功能需求</x:v>
      </x:c>
      <x:c r="F275" s="4" t="str">
        <x:v>P2</x:v>
      </x:c>
      <x:c r="G275" s="4" t="str">
        <x:v>验证主播活跃汇总（每日）可查看违规主播 / 场次</x:v>
      </x:c>
      <x:c r="H275" s="4" t="str">
        <x:v>违规主播 / 场次展示</x:v>
      </x:c>
      <x:c r="I275" s="4" t="str">
        <x:v>1. 平台管理员账号已登录且具备当前页面权限</x:v>
      </x:c>
      <x:c r="J275" s="4" t="str">
        <x:v>1. 进入主播活跃汇总（每日）
2. 查看违规主播 / 场次</x:v>
      </x:c>
      <x:c r="K275" s="4" t="str">
        <x:v>主播活跃汇总（每日）显示“违规主播 / 场次”</x:v>
      </x:c>
      <x:c r="L275" s="4" t="str"/>
      <x:c r="M275" s="4" t="str">
        <x:v>未测</x:v>
      </x:c>
      <x:c r="N275" s="4" t="str"/>
      <x:c r="O275" s="4" t="str">
        <x:v>1. 来源（原型批注）：liveshow-proto/prototype/annotations/admin.js；admin-host-statistics.html
2. 页面：admin-host-statistics.html
3. 规则：BR-EF970B7D4DBA67
4. 场景：SC-D71CE3B139070B
5. 未动态验证</x:v>
      </x:c>
    </x:row>
    <x:row r="276" ht="54" customHeight="1">
      <x:c r="A276" s="4" t="n">
        <x:v>275</x:v>
      </x:c>
      <x:c r="B276" s="4" t="str">
        <x:v>ADATA-0081</x:v>
      </x:c>
      <x:c r="C276" s="4" t="str">
        <x:v>数据报表</x:v>
      </x:c>
      <x:c r="D276" s="4" t="str">
        <x:v>主播活跃汇总（每日）（平台管理员视角）</x:v>
      </x:c>
      <x:c r="E276" s="4" t="str">
        <x:v>功能需求</x:v>
      </x:c>
      <x:c r="F276" s="4" t="str">
        <x:v>P2</x:v>
      </x:c>
      <x:c r="G276" s="4" t="str">
        <x:v>验证主播活跃汇总（每日）可查看新增主播</x:v>
      </x:c>
      <x:c r="H276" s="4" t="str">
        <x:v>新增主播展示</x:v>
      </x:c>
      <x:c r="I276" s="4" t="str">
        <x:v>1. 平台管理员账号已登录且具备当前页面权限</x:v>
      </x:c>
      <x:c r="J276" s="4" t="str">
        <x:v>1. 进入主播活跃汇总（每日）
2. 查看新增主播</x:v>
      </x:c>
      <x:c r="K276" s="4" t="str">
        <x:v>主播活跃汇总（每日）显示“新增主播”</x:v>
      </x:c>
      <x:c r="L276" s="4" t="str"/>
      <x:c r="M276" s="4" t="str">
        <x:v>未测</x:v>
      </x:c>
      <x:c r="N276" s="4" t="str"/>
      <x:c r="O276" s="4" t="str">
        <x:v>1. 来源（原型批注）：liveshow-proto/prototype/annotations/admin.js；admin-host-statistics.html
2. 页面：admin-host-statistics.html
3. 规则：BR-FAF9F81661D648
4. 场景：SC-75EEF1A4712722
5. 未动态验证</x:v>
      </x:c>
    </x:row>
    <x:row r="277" ht="54" customHeight="1">
      <x:c r="A277" s="4" t="n">
        <x:v>276</x:v>
      </x:c>
      <x:c r="B277" s="4" t="str">
        <x:v>ADATA-0082</x:v>
      </x:c>
      <x:c r="C277" s="4" t="str">
        <x:v>数据报表</x:v>
      </x:c>
      <x:c r="D277" s="4" t="str">
        <x:v>主播活跃汇总（每日）（平台管理员视角）</x:v>
      </x:c>
      <x:c r="E277" s="4" t="str">
        <x:v>功能需求</x:v>
      </x:c>
      <x:c r="F277" s="4" t="str">
        <x:v>P2</x:v>
      </x:c>
      <x:c r="G277" s="4" t="str">
        <x:v>验证主播活跃汇总（每日）可查看有效天达标人数</x:v>
      </x:c>
      <x:c r="H277" s="4" t="str">
        <x:v>有效天达标人数展示</x:v>
      </x:c>
      <x:c r="I277" s="4" t="str">
        <x:v>1. 平台管理员账号已登录且具备当前页面权限</x:v>
      </x:c>
      <x:c r="J277" s="4" t="str">
        <x:v>1. 进入主播活跃汇总（每日）
2. 查看有效天达标人数</x:v>
      </x:c>
      <x:c r="K277" s="4" t="str">
        <x:v>主播活跃汇总（每日）显示“有效天达标人数”</x:v>
      </x:c>
      <x:c r="L277" s="4" t="str"/>
      <x:c r="M277" s="4" t="str">
        <x:v>未测</x:v>
      </x:c>
      <x:c r="N277" s="4" t="str"/>
      <x:c r="O277" s="4" t="str">
        <x:v>1. 来源（原型批注）：liveshow-proto/prototype/annotations/admin.js；admin-host-statistics.html
2. 页面：admin-host-statistics.html
3. 规则：BR-53745C6F39BE9A
4. 场景：SC-6AB6C67C669877
5. 未动态验证</x:v>
      </x:c>
    </x:row>
    <x:row r="278" ht="54" customHeight="1">
      <x:c r="A278" s="4" t="n">
        <x:v>277</x:v>
      </x:c>
      <x:c r="B278" s="4" t="str">
        <x:v>ADATA-0083</x:v>
      </x:c>
      <x:c r="C278" s="4" t="str">
        <x:v>数据报表</x:v>
      </x:c>
      <x:c r="D278" s="4" t="str">
        <x:v>主播礼物打赏明细报表（平台管理员视角）</x:v>
      </x:c>
      <x:c r="E278" s="4" t="str">
        <x:v>功能需求</x:v>
      </x:c>
      <x:c r="F278" s="4" t="str">
        <x:v>P2</x:v>
      </x:c>
      <x:c r="G278" s="4" t="str">
        <x:v>验证主播礼物打赏明细报表可查看单价 / 份数</x:v>
      </x:c>
      <x:c r="H278" s="4" t="str">
        <x:v>单价 / 份数展示</x:v>
      </x:c>
      <x:c r="I278" s="4" t="str">
        <x:v>1. 平台管理员账号已登录且具备当前页面权限</x:v>
      </x:c>
      <x:c r="J278" s="4" t="str">
        <x:v>1. 进入主播礼物打赏明细报表
2. 查看单价 / 份数</x:v>
      </x:c>
      <x:c r="K278" s="4" t="str">
        <x:v>主播礼物打赏明细报表显示“单价 / 份数”</x:v>
      </x:c>
      <x:c r="L278" s="4" t="str"/>
      <x:c r="M278" s="4" t="str">
        <x:v>未测</x:v>
      </x:c>
      <x:c r="N278" s="4" t="str"/>
      <x:c r="O278" s="4" t="str">
        <x:v>1. 来源（原型批注）：liveshow-proto/prototype/annotations/admin.js；admin-monthly-host-earnings.html
2. 页面：admin-monthly-host-earnings.html
3. 规则：BR-060170709FEA75
4. 场景：SC-C8514FF434AC56
5. 未动态验证</x:v>
      </x:c>
    </x:row>
    <x:row r="279" ht="54" customHeight="1">
      <x:c r="A279" s="4" t="n">
        <x:v>278</x:v>
      </x:c>
      <x:c r="B279" s="4" t="str">
        <x:v>ADATA-0084</x:v>
      </x:c>
      <x:c r="C279" s="4" t="str">
        <x:v>数据报表</x:v>
      </x:c>
      <x:c r="D279" s="4" t="str">
        <x:v>主播礼物打赏明细报表（平台管理员视角）</x:v>
      </x:c>
      <x:c r="E279" s="4" t="str">
        <x:v>功能需求</x:v>
      </x:c>
      <x:c r="F279" s="4" t="str">
        <x:v>P2</x:v>
      </x:c>
      <x:c r="G279" s="4" t="str">
        <x:v>验证主播礼物打赏明细报表可查看普通 / 定制收益</x:v>
      </x:c>
      <x:c r="H279" s="4" t="str">
        <x:v>普通 / 定制收益展示</x:v>
      </x:c>
      <x:c r="I279" s="4" t="str">
        <x:v>1. 平台管理员账号已登录且具备当前页面权限</x:v>
      </x:c>
      <x:c r="J279" s="4" t="str">
        <x:v>1. 进入主播礼物打赏明细报表
2. 查看普通 / 定制收益</x:v>
      </x:c>
      <x:c r="K279" s="4" t="str">
        <x:v>主播礼物打赏明细报表显示“普通 / 定制收益”</x:v>
      </x:c>
      <x:c r="L279" s="4" t="str"/>
      <x:c r="M279" s="4" t="str">
        <x:v>未测</x:v>
      </x:c>
      <x:c r="N279" s="4" t="str"/>
      <x:c r="O279" s="4" t="str">
        <x:v>1. 来源（原型批注）：liveshow-proto/prototype/annotations/admin.js；admin-monthly-host-earnings.html
2. 页面：admin-monthly-host-earnings.html
3. 规则：BR-C743A1959C4A79
4. 场景：SC-980ABA9001A780
5. 未动态验证</x:v>
      </x:c>
    </x:row>
    <x:row r="280" ht="54" customHeight="1">
      <x:c r="A280" s="4" t="n">
        <x:v>279</x:v>
      </x:c>
      <x:c r="B280" s="4" t="str">
        <x:v>ADATA-0085</x:v>
      </x:c>
      <x:c r="C280" s="4" t="str">
        <x:v>数据报表</x:v>
      </x:c>
      <x:c r="D280" s="4" t="str">
        <x:v>主播礼物打赏明细报表（平台管理员视角）</x:v>
      </x:c>
      <x:c r="E280" s="4" t="str">
        <x:v>功能需求</x:v>
      </x:c>
      <x:c r="F280" s="4" t="str">
        <x:v>P2</x:v>
      </x:c>
      <x:c r="G280" s="4" t="str">
        <x:v>验证主播礼物打赏明细报表可查看幸运礼物收益</x:v>
      </x:c>
      <x:c r="H280" s="4" t="str">
        <x:v>幸运礼物收益展示</x:v>
      </x:c>
      <x:c r="I280" s="4" t="str">
        <x:v>1. 平台管理员账号已登录且具备当前页面权限</x:v>
      </x:c>
      <x:c r="J280" s="4" t="str">
        <x:v>1. 进入主播礼物打赏明细报表
2. 查看幸运礼物收益</x:v>
      </x:c>
      <x:c r="K280" s="4" t="str">
        <x:v>主播礼物打赏明细报表显示“幸运礼物收益”</x:v>
      </x:c>
      <x:c r="L280" s="4" t="str"/>
      <x:c r="M280" s="4" t="str">
        <x:v>未测</x:v>
      </x:c>
      <x:c r="N280" s="4" t="str"/>
      <x:c r="O280" s="4" t="str">
        <x:v>1. 来源（原型批注）：liveshow-proto/prototype/annotations/admin.js；admin-monthly-host-earnings.html
2. 页面：admin-monthly-host-earnings.html
3. 规则：BR-17D9EE5DCF0862、BR-6BAEDC0A71B9D5
4. 场景：SC-6B08E219F83929
5. 未动态验证</x:v>
      </x:c>
    </x:row>
    <x:row r="281" ht="54" customHeight="1">
      <x:c r="A281" s="4" t="n">
        <x:v>280</x:v>
      </x:c>
      <x:c r="B281" s="4" t="str">
        <x:v>ADATA-0086</x:v>
      </x:c>
      <x:c r="C281" s="4" t="str">
        <x:v>数据报表</x:v>
      </x:c>
      <x:c r="D281" s="4" t="str">
        <x:v>主播礼物打赏明细报表（平台管理员视角）</x:v>
      </x:c>
      <x:c r="E281" s="4" t="str">
        <x:v>功能需求</x:v>
      </x:c>
      <x:c r="F281" s="4" t="str">
        <x:v>P2</x:v>
      </x:c>
      <x:c r="G281" s="4" t="str">
        <x:v>验证主播礼物打赏明细报表可查看虚拟金币记录</x:v>
      </x:c>
      <x:c r="H281" s="4" t="str">
        <x:v>虚拟金币记录展示</x:v>
      </x:c>
      <x:c r="I281" s="4" t="str">
        <x:v>1. 平台管理员账号已登录且具备当前页面权限</x:v>
      </x:c>
      <x:c r="J281" s="4" t="str">
        <x:v>1. 进入主播礼物打赏明细报表
2. 查看虚拟金币记录</x:v>
      </x:c>
      <x:c r="K281" s="4" t="str">
        <x:v>主播礼物打赏明细报表显示“虚拟金币记录”</x:v>
      </x:c>
      <x:c r="L281" s="4" t="str"/>
      <x:c r="M281" s="4" t="str">
        <x:v>未测</x:v>
      </x:c>
      <x:c r="N281" s="4" t="str"/>
      <x:c r="O281" s="4" t="str">
        <x:v>1. 来源（原型批注）：liveshow-proto/prototype/annotations/admin.js；admin-monthly-host-earnings.html
2. 页面：admin-monthly-host-earnings.html
3. 规则：BR-02A362428A4237
4. 场景：SC-18A4811E219B03
5. 未动态验证</x:v>
      </x:c>
    </x:row>
    <x:row r="282" ht="54" customHeight="1">
      <x:c r="A282" s="4" t="n">
        <x:v>281</x:v>
      </x:c>
      <x:c r="B282" s="4" t="str">
        <x:v>ADATA-0087</x:v>
      </x:c>
      <x:c r="C282" s="4" t="str">
        <x:v>数据报表</x:v>
      </x:c>
      <x:c r="D282" s="4" t="str">
        <x:v>主播业绩分成报表（平台管理员视角）</x:v>
      </x:c>
      <x:c r="E282" s="4" t="str">
        <x:v>功能需求</x:v>
      </x:c>
      <x:c r="F282" s="4" t="str">
        <x:v>P2</x:v>
      </x:c>
      <x:c r="G282" s="4" t="str">
        <x:v>验证主播业绩分成报表可查看达标天数</x:v>
      </x:c>
      <x:c r="H282" s="4" t="str">
        <x:v>达标天数展示</x:v>
      </x:c>
      <x:c r="I282" s="4" t="str">
        <x:v>1. 平台管理员账号已登录且具备当前页面权限</x:v>
      </x:c>
      <x:c r="J282" s="4" t="str">
        <x:v>1. 进入主播业绩分成报表
2. 查看达标天数</x:v>
      </x:c>
      <x:c r="K282" s="4" t="str">
        <x:v>主播业绩分成报表显示“达标天数”</x:v>
      </x:c>
      <x:c r="L282" s="4" t="str"/>
      <x:c r="M282" s="4" t="str">
        <x:v>未测</x:v>
      </x:c>
      <x:c r="N282" s="4" t="str"/>
      <x:c r="O282" s="4" t="str">
        <x:v>1. 来源（原型批注）：liveshow-proto/prototype/annotations/admin.js；admin-monthly-host-share.html
2. 页面：admin-monthly-host-share.html
3. 规则：BR-AA78EF9A338329
4. 场景：SC-C613A8B5799823
5. 未动态验证</x:v>
      </x:c>
    </x:row>
    <x:row r="283" ht="54" customHeight="1">
      <x:c r="A283" s="4" t="n">
        <x:v>282</x:v>
      </x:c>
      <x:c r="B283" s="4" t="str">
        <x:v>ADATA-0088</x:v>
      </x:c>
      <x:c r="C283" s="4" t="str">
        <x:v>数据报表</x:v>
      </x:c>
      <x:c r="D283" s="4" t="str">
        <x:v>主播业绩分成报表（平台管理员视角）</x:v>
      </x:c>
      <x:c r="E283" s="4" t="str">
        <x:v>功能需求</x:v>
      </x:c>
      <x:c r="F283" s="4" t="str">
        <x:v>P2</x:v>
      </x:c>
      <x:c r="G283" s="4" t="str">
        <x:v>验证主播业绩分成报表可查看普通 / 定制 / 门票收益</x:v>
      </x:c>
      <x:c r="H283" s="4" t="str">
        <x:v>普通 / 定制 / 门票收益展示</x:v>
      </x:c>
      <x:c r="I283" s="4" t="str">
        <x:v>1. 平台管理员账号已登录且具备当前页面权限</x:v>
      </x:c>
      <x:c r="J283" s="4" t="str">
        <x:v>1. 进入主播业绩分成报表
2. 查看普通 / 定制 / 门票收益</x:v>
      </x:c>
      <x:c r="K283" s="4" t="str">
        <x:v>主播业绩分成报表显示“普通 / 定制 / 门票收益”</x:v>
      </x:c>
      <x:c r="L283" s="4" t="str"/>
      <x:c r="M283" s="4" t="str">
        <x:v>未测</x:v>
      </x:c>
      <x:c r="N283" s="4" t="str"/>
      <x:c r="O283" s="4" t="str">
        <x:v>1. 来源（原型批注）：liveshow-proto/prototype/annotations/admin.js；admin-monthly-host-share.html
2. 页面：admin-monthly-host-share.html
3. 规则：BR-6712968AC879E4
4. 场景：SC-D60DC58587E4FE
5. 未动态验证</x:v>
      </x:c>
    </x:row>
    <x:row r="284" ht="54" customHeight="1">
      <x:c r="A284" s="4" t="n">
        <x:v>283</x:v>
      </x:c>
      <x:c r="B284" s="4" t="str">
        <x:v>ADATA-0089</x:v>
      </x:c>
      <x:c r="C284" s="4" t="str">
        <x:v>数据报表</x:v>
      </x:c>
      <x:c r="D284" s="4" t="str">
        <x:v>主播业绩分成报表（平台管理员视角）</x:v>
      </x:c>
      <x:c r="E284" s="4" t="str">
        <x:v>功能需求</x:v>
      </x:c>
      <x:c r="F284" s="4" t="str">
        <x:v>P2</x:v>
      </x:c>
      <x:c r="G284" s="4" t="str">
        <x:v>验证主播业绩分成报表可查看统计天数</x:v>
      </x:c>
      <x:c r="H284" s="4" t="str">
        <x:v>统计天数展示</x:v>
      </x:c>
      <x:c r="I284" s="4" t="str">
        <x:v>1. 平台管理员账号已登录且具备当前页面权限</x:v>
      </x:c>
      <x:c r="J284" s="4" t="str">
        <x:v>1. 进入主播业绩分成报表
2. 查看统计天数</x:v>
      </x:c>
      <x:c r="K284" s="4" t="str">
        <x:v>主播业绩分成报表显示“统计天数”</x:v>
      </x:c>
      <x:c r="L284" s="4" t="str"/>
      <x:c r="M284" s="4" t="str">
        <x:v>未测</x:v>
      </x:c>
      <x:c r="N284" s="4" t="str"/>
      <x:c r="O284" s="4" t="str">
        <x:v>1. 来源（原型批注）：liveshow-proto/prototype/annotations/admin.js；admin-monthly-host-share.html
2. 页面：admin-monthly-host-share.html
3. 规则：BR-6ED3024F3E99DF
4. 场景：SC-3BC59562015E97
5. 未动态验证</x:v>
      </x:c>
    </x:row>
    <x:row r="285" ht="54" customHeight="1">
      <x:c r="A285" s="4" t="n">
        <x:v>284</x:v>
      </x:c>
      <x:c r="B285" s="4" t="str">
        <x:v>ADATA-0090</x:v>
      </x:c>
      <x:c r="C285" s="4" t="str">
        <x:v>数据报表</x:v>
      </x:c>
      <x:c r="D285" s="4" t="str">
        <x:v>主播业绩分成报表（平台管理员视角）</x:v>
      </x:c>
      <x:c r="E285" s="4" t="str">
        <x:v>功能需求</x:v>
      </x:c>
      <x:c r="F285" s="4" t="str">
        <x:v>P2</x:v>
      </x:c>
      <x:c r="G285" s="4" t="str">
        <x:v>验证主播业绩分成报表可查看幸运礼物收益</x:v>
      </x:c>
      <x:c r="H285" s="4" t="str">
        <x:v>幸运礼物收益展示</x:v>
      </x:c>
      <x:c r="I285" s="4" t="str">
        <x:v>1. 平台管理员账号已登录且具备当前页面权限</x:v>
      </x:c>
      <x:c r="J285" s="4" t="str">
        <x:v>1. 进入主播业绩分成报表
2. 查看幸运礼物收益</x:v>
      </x:c>
      <x:c r="K285" s="4" t="str">
        <x:v>主播业绩分成报表显示“幸运礼物收益”</x:v>
      </x:c>
      <x:c r="L285" s="4" t="str"/>
      <x:c r="M285" s="4" t="str">
        <x:v>未测</x:v>
      </x:c>
      <x:c r="N285" s="4" t="str"/>
      <x:c r="O285" s="4" t="str">
        <x:v>1. 来源（原型批注）：liveshow-proto/prototype/annotations/admin.js；admin-monthly-host-share.html
2. 页面：admin-monthly-host-share.html
3. 规则：BR-447178D8C52E66
4. 场景：SC-186091CA2D9D87
5. 未动态验证</x:v>
      </x:c>
    </x:row>
    <x:row r="286" ht="54" customHeight="1">
      <x:c r="A286" s="4" t="n">
        <x:v>285</x:v>
      </x:c>
      <x:c r="B286" s="4" t="str">
        <x:v>ADATA-0091</x:v>
      </x:c>
      <x:c r="C286" s="4" t="str">
        <x:v>数据报表</x:v>
      </x:c>
      <x:c r="D286" s="4" t="str">
        <x:v>主播业绩分成报表（平台管理员视角）</x:v>
      </x:c>
      <x:c r="E286" s="4" t="str">
        <x:v>功能需求</x:v>
      </x:c>
      <x:c r="F286" s="4" t="str">
        <x:v>P2</x:v>
      </x:c>
      <x:c r="G286" s="4" t="str">
        <x:v>验证主播业绩分成报表可查看直播场次</x:v>
      </x:c>
      <x:c r="H286" s="4" t="str">
        <x:v>直播场次展示</x:v>
      </x:c>
      <x:c r="I286" s="4" t="str">
        <x:v>1. 平台管理员账号已登录且具备当前页面权限</x:v>
      </x:c>
      <x:c r="J286" s="4" t="str">
        <x:v>1. 进入主播业绩分成报表
2. 查看直播场次</x:v>
      </x:c>
      <x:c r="K286" s="4" t="str">
        <x:v>主播业绩分成报表显示“直播场次”</x:v>
      </x:c>
      <x:c r="L286" s="4" t="str"/>
      <x:c r="M286" s="4" t="str">
        <x:v>未测</x:v>
      </x:c>
      <x:c r="N286" s="4" t="str"/>
      <x:c r="O286" s="4" t="str">
        <x:v>1. 来源（原型批注）：liveshow-proto/prototype/annotations/admin.js；admin-monthly-host-share.html
2. 页面：admin-monthly-host-share.html
3. 规则：BR-7D54AE1E2D8412
4. 场景：SC-ED193A86A72F09
5. 未动态验证</x:v>
      </x:c>
    </x:row>
    <x:row r="287" ht="54" customHeight="1">
      <x:c r="A287" s="4" t="n">
        <x:v>286</x:v>
      </x:c>
      <x:c r="B287" s="4" t="str">
        <x:v>ADATA-0092</x:v>
      </x:c>
      <x:c r="C287" s="4" t="str">
        <x:v>数据报表</x:v>
      </x:c>
      <x:c r="D287" s="4" t="str">
        <x:v>主播业绩分成报表（平台管理员视角）</x:v>
      </x:c>
      <x:c r="E287" s="4" t="str">
        <x:v>功能需求</x:v>
      </x:c>
      <x:c r="F287" s="4" t="str">
        <x:v>P2</x:v>
      </x:c>
      <x:c r="G287" s="4" t="str">
        <x:v>验证主播业绩分成报表可查看主播收益</x:v>
      </x:c>
      <x:c r="H287" s="4" t="str">
        <x:v>主播收益展示</x:v>
      </x:c>
      <x:c r="I287" s="4" t="str">
        <x:v>1. 平台管理员账号已登录且具备当前页面权限</x:v>
      </x:c>
      <x:c r="J287" s="4" t="str">
        <x:v>1. 进入主播业绩分成报表
2. 查看主播收益</x:v>
      </x:c>
      <x:c r="K287" s="4" t="str">
        <x:v>主播业绩分成报表显示“主播收益”</x:v>
      </x:c>
      <x:c r="L287" s="4" t="str"/>
      <x:c r="M287" s="4" t="str">
        <x:v>未测</x:v>
      </x:c>
      <x:c r="N287" s="4" t="str"/>
      <x:c r="O287" s="4" t="str">
        <x:v>1. 来源（原型批注）：liveshow-proto/prototype/annotations/admin.js；admin-monthly-host-share.html
2. 页面：admin-monthly-host-share.html
3. 规则：BR-4B636E1BE24755
4. 场景：SC-BF471E36C9BBE7
5. 未动态验证</x:v>
      </x:c>
    </x:row>
    <x:row r="288" ht="54" customHeight="1">
      <x:c r="A288" s="4" t="n">
        <x:v>287</x:v>
      </x:c>
      <x:c r="B288" s="4" t="str">
        <x:v>ASYS-0001</x:v>
      </x:c>
      <x:c r="C288" s="4" t="str">
        <x:v>系统配置</x:v>
      </x:c>
      <x:c r="D288" s="4" t="str">
        <x:v>后台账号（平台管理员视角）</x:v>
      </x:c>
      <x:c r="E288" s="4" t="str">
        <x:v>功能需求</x:v>
      </x:c>
      <x:c r="F288" s="4" t="str">
        <x:v>P2</x:v>
      </x:c>
      <x:c r="G288" s="4" t="str">
        <x:v>验证后台账号可查看登录 / 更新时间</x:v>
      </x:c>
      <x:c r="H288" s="4" t="str">
        <x:v>登录 / 更新时间展示</x:v>
      </x:c>
      <x:c r="I288" s="4" t="str">
        <x:v>1. 平台管理员账号已登录且具备当前页面权限</x:v>
      </x:c>
      <x:c r="J288" s="4" t="str">
        <x:v>1. 进入后台账号
2. 查看登录 / 更新时间</x:v>
      </x:c>
      <x:c r="K288" s="4" t="str">
        <x:v>后台账号显示“登录 / 更新时间”</x:v>
      </x:c>
      <x:c r="L288" s="4" t="str"/>
      <x:c r="M288" s="4" t="str">
        <x:v>未测</x:v>
      </x:c>
      <x:c r="N288" s="4" t="str"/>
      <x:c r="O288" s="4" t="str">
        <x:v>1. 来源（原型批注）：liveshow-proto/prototype/annotations/admin.js；admin-system-account.html
2. 页面：admin-system-account.html
3. 规则：BR-A5EF70EF36E552
4. 场景：SC-4F3E2ADBAA77AB
5. 未动态验证</x:v>
      </x:c>
    </x:row>
    <x:row r="289" ht="54" customHeight="1">
      <x:c r="A289" s="4" t="n">
        <x:v>288</x:v>
      </x:c>
      <x:c r="B289" s="4" t="str">
        <x:v>ASYS-0002</x:v>
      </x:c>
      <x:c r="C289" s="4" t="str">
        <x:v>系统配置</x:v>
      </x:c>
      <x:c r="D289" s="4" t="str">
        <x:v>后台账号（平台管理员视角）</x:v>
      </x:c>
      <x:c r="E289" s="4" t="str">
        <x:v>功能需求</x:v>
      </x:c>
      <x:c r="F289" s="4" t="str">
        <x:v>P2</x:v>
      </x:c>
      <x:c r="G289" s="4" t="str">
        <x:v>验证后台账号可查看后台账号</x:v>
      </x:c>
      <x:c r="H289" s="4" t="str">
        <x:v>后台账号展示</x:v>
      </x:c>
      <x:c r="I289" s="4" t="str">
        <x:v>1. 平台管理员账号已登录且具备当前页面权限</x:v>
      </x:c>
      <x:c r="J289" s="4" t="str">
        <x:v>1. 进入后台账号
2. 查看后台账号</x:v>
      </x:c>
      <x:c r="K289" s="4" t="str">
        <x:v>后台账号显示“后台账号”</x:v>
      </x:c>
      <x:c r="L289" s="4" t="str"/>
      <x:c r="M289" s="4" t="str">
        <x:v>未测</x:v>
      </x:c>
      <x:c r="N289" s="4" t="str"/>
      <x:c r="O289" s="4" t="str">
        <x:v>1. 来源（原型批注）：liveshow-proto/prototype/annotations/admin.js；admin-system-account.html
2. 页面：admin-system-account.html
3. 规则：BR-56D93C6DCBD9C3
4. 场景：SC-F9FA2089E5E47F
5. 未动态验证</x:v>
      </x:c>
    </x:row>
    <x:row r="290" ht="54" customHeight="1">
      <x:c r="A290" s="4" t="n">
        <x:v>289</x:v>
      </x:c>
      <x:c r="B290" s="4" t="str">
        <x:v>ASYS-0003</x:v>
      </x:c>
      <x:c r="C290" s="4" t="str">
        <x:v>系统配置</x:v>
      </x:c>
      <x:c r="D290" s="4" t="str">
        <x:v>后台账号（平台管理员视角）</x:v>
      </x:c>
      <x:c r="E290" s="4" t="str">
        <x:v>功能需求</x:v>
      </x:c>
      <x:c r="F290" s="4" t="str">
        <x:v>P2</x:v>
      </x:c>
      <x:c r="G290" s="4" t="str">
        <x:v>验证后台账号可查看姓名 / 角色</x:v>
      </x:c>
      <x:c r="H290" s="4" t="str">
        <x:v>姓名 / 角色展示</x:v>
      </x:c>
      <x:c r="I290" s="4" t="str">
        <x:v>1. 平台管理员账号已登录且具备当前页面权限</x:v>
      </x:c>
      <x:c r="J290" s="4" t="str">
        <x:v>1. 进入后台账号
2. 查看姓名 / 角色</x:v>
      </x:c>
      <x:c r="K290" s="4" t="str">
        <x:v>后台账号显示“姓名 / 角色”</x:v>
      </x:c>
      <x:c r="L290" s="4" t="str"/>
      <x:c r="M290" s="4" t="str">
        <x:v>未测</x:v>
      </x:c>
      <x:c r="N290" s="4" t="str"/>
      <x:c r="O290" s="4" t="str">
        <x:v>1. 来源（原型批注）：liveshow-proto/prototype/annotations/admin.js；admin-system-account.html
2. 页面：admin-system-account.html
3. 规则：BR-FF6DDA2CFBA2C7、BR-1410465479C01D
4. 场景：SC-FED17435EE9D10
5. 未动态验证</x:v>
      </x:c>
    </x:row>
    <x:row r="291" ht="54" customHeight="1">
      <x:c r="A291" s="4" t="n">
        <x:v>290</x:v>
      </x:c>
      <x:c r="B291" s="4" t="str">
        <x:v>ASYS-0004</x:v>
      </x:c>
      <x:c r="C291" s="4" t="str">
        <x:v>系统配置</x:v>
      </x:c>
      <x:c r="D291" s="4" t="str">
        <x:v>后台账号（平台管理员视角）</x:v>
      </x:c>
      <x:c r="E291" s="4" t="str">
        <x:v>功能需求</x:v>
      </x:c>
      <x:c r="F291" s="4" t="str">
        <x:v>P2</x:v>
      </x:c>
      <x:c r="G291" s="4" t="str">
        <x:v>验证后台账号可查看账号 ID</x:v>
      </x:c>
      <x:c r="H291" s="4" t="str">
        <x:v>账号 ID展示</x:v>
      </x:c>
      <x:c r="I291" s="4" t="str">
        <x:v>1. 平台管理员账号已登录且具备当前页面权限</x:v>
      </x:c>
      <x:c r="J291" s="4" t="str">
        <x:v>1. 进入后台账号
2. 查看账号 ID</x:v>
      </x:c>
      <x:c r="K291" s="4" t="str">
        <x:v>后台账号显示“账号 ID”</x:v>
      </x:c>
      <x:c r="L291" s="4" t="str"/>
      <x:c r="M291" s="4" t="str">
        <x:v>未测</x:v>
      </x:c>
      <x:c r="N291" s="4" t="str"/>
      <x:c r="O291" s="4" t="str">
        <x:v>1. 来源（原型批注）：liveshow-proto/prototype/annotations/admin.js；admin-system-account.html
2. 页面：admin-system-account.html
3. 规则：BR-4186E3830EF6F5
4. 场景：SC-1530854CEA225B
5. 未动态验证</x:v>
      </x:c>
    </x:row>
    <x:row r="292" ht="54" customHeight="1">
      <x:c r="A292" s="4" t="n">
        <x:v>291</x:v>
      </x:c>
      <x:c r="B292" s="4" t="str">
        <x:v>ASYS-0005</x:v>
      </x:c>
      <x:c r="C292" s="4" t="str">
        <x:v>系统配置</x:v>
      </x:c>
      <x:c r="D292" s="4" t="str">
        <x:v>后台账号（平台管理员视角）</x:v>
      </x:c>
      <x:c r="E292" s="4" t="str">
        <x:v>功能需求</x:v>
      </x:c>
      <x:c r="F292" s="4" t="str">
        <x:v>P2</x:v>
      </x:c>
      <x:c r="G292" s="4" t="str">
        <x:v>验证后台账号可查看状态</x:v>
      </x:c>
      <x:c r="H292" s="4" t="str">
        <x:v>状态展示</x:v>
      </x:c>
      <x:c r="I292" s="4" t="str">
        <x:v>1. 平台管理员账号已登录且具备当前页面权限</x:v>
      </x:c>
      <x:c r="J292" s="4" t="str">
        <x:v>1. 进入后台账号
2. 查看状态</x:v>
      </x:c>
      <x:c r="K292" s="4" t="str">
        <x:v>后台账号显示“状态”</x:v>
      </x:c>
      <x:c r="L292" s="4" t="str"/>
      <x:c r="M292" s="4" t="str">
        <x:v>未测</x:v>
      </x:c>
      <x:c r="N292" s="4" t="str"/>
      <x:c r="O292" s="4" t="str">
        <x:v>1. 来源（原型批注）：liveshow-proto/prototype/annotations/admin.js；admin-system-account.html
2. 页面：admin-system-account.html
3. 规则：BR-A5306562479B76、BR-360E497D1467D7
4. 场景：SC-A98F18A9FCFF59
5. 未动态验证</x:v>
      </x:c>
    </x:row>
    <x:row r="293" ht="54" customHeight="1">
      <x:c r="A293" s="4" t="n">
        <x:v>292</x:v>
      </x:c>
      <x:c r="B293" s="4" t="str">
        <x:v>ASYS-0006</x:v>
      </x:c>
      <x:c r="C293" s="4" t="str">
        <x:v>系统配置</x:v>
      </x:c>
      <x:c r="D293" s="4" t="str">
        <x:v>角色编辑（平台管理员视角）</x:v>
      </x:c>
      <x:c r="E293" s="4" t="str">
        <x:v>功能需求</x:v>
      </x:c>
      <x:c r="F293" s="4" t="str">
        <x:v>P2</x:v>
      </x:c>
      <x:c r="G293" s="4" t="str">
        <x:v>验证角色编辑的默认状态</x:v>
      </x:c>
      <x:c r="H293" s="4" t="str">
        <x:v>角色编辑默认值</x:v>
      </x:c>
      <x:c r="I293" s="4" t="str">
        <x:v>1. 平台管理员账号已登录且具备当前页面权限</x:v>
      </x:c>
      <x:c r="J293" s="4" t="str">
        <x:v>1. 进入角色编辑
2. 查看角色编辑</x:v>
      </x:c>
      <x:c r="K293" s="4" t="str">
        <x:v>内置超级管理员默认全部权限且不可修改</x:v>
      </x:c>
      <x:c r="L293" s="4" t="str"/>
      <x:c r="M293" s="4" t="str">
        <x:v>未测</x:v>
      </x:c>
      <x:c r="N293" s="4" t="str"/>
      <x:c r="O293" s="4" t="str">
        <x:v>1. 来源（原型批注）：liveshow-proto/prototype/annotations/admin.js；admin-system-role-detail.html
2. 页面：admin-system-role-detail.html
3. 规则：BR-5F3E047E716DD4
4. 场景：SC-513ED56AE85F64
5. 未动态验证</x:v>
      </x:c>
    </x:row>
    <x:row r="294" ht="54" customHeight="1">
      <x:c r="A294" s="4" t="n">
        <x:v>293</x:v>
      </x:c>
      <x:c r="B294" s="4" t="str">
        <x:v>ASYS-0007</x:v>
      </x:c>
      <x:c r="C294" s="4" t="str">
        <x:v>系统配置</x:v>
      </x:c>
      <x:c r="D294" s="4" t="str">
        <x:v>角色编辑（平台管理员视角）</x:v>
      </x:c>
      <x:c r="E294" s="4" t="str">
        <x:v>功能需求</x:v>
      </x:c>
      <x:c r="F294" s="4" t="str">
        <x:v>P2</x:v>
      </x:c>
      <x:c r="G294" s="4" t="str">
        <x:v>验证角色编辑可查看菜单权限</x:v>
      </x:c>
      <x:c r="H294" s="4" t="str">
        <x:v>菜单权限展示</x:v>
      </x:c>
      <x:c r="I294" s="4" t="str">
        <x:v>1. 平台管理员账号已登录且具备当前页面权限</x:v>
      </x:c>
      <x:c r="J294" s="4" t="str">
        <x:v>1. 进入角色编辑
2. 查看菜单权限</x:v>
      </x:c>
      <x:c r="K294" s="4" t="str">
        <x:v>角色编辑显示“菜单权限”</x:v>
      </x:c>
      <x:c r="L294" s="4" t="str"/>
      <x:c r="M294" s="4" t="str">
        <x:v>未测</x:v>
      </x:c>
      <x:c r="N294" s="4" t="str"/>
      <x:c r="O294" s="4" t="str">
        <x:v>1. 来源（原型批注）：liveshow-proto/prototype/annotations/admin.js；admin-system-role-detail.html
2. 页面：admin-system-role-detail.html
3. 规则：BR-61B2BD04E9EF7E、BR-6777DAE3489D9F
4. 场景：SC-14E9C0342485F0
5. 未动态验证</x:v>
      </x:c>
    </x:row>
    <x:row r="295" ht="54" customHeight="1">
      <x:c r="A295" s="4" t="n">
        <x:v>294</x:v>
      </x:c>
      <x:c r="B295" s="4" t="str">
        <x:v>ASYS-0008</x:v>
      </x:c>
      <x:c r="C295" s="4" t="str">
        <x:v>系统配置</x:v>
      </x:c>
      <x:c r="D295" s="4" t="str">
        <x:v>角色编辑（平台管理员视角）</x:v>
      </x:c>
      <x:c r="E295" s="4" t="str">
        <x:v>功能需求</x:v>
      </x:c>
      <x:c r="F295" s="4" t="str">
        <x:v>P2</x:v>
      </x:c>
      <x:c r="G295" s="4" t="str">
        <x:v>验证角色编辑可查看角色 ID</x:v>
      </x:c>
      <x:c r="H295" s="4" t="str">
        <x:v>角色 ID展示</x:v>
      </x:c>
      <x:c r="I295" s="4" t="str">
        <x:v>1. 平台管理员账号已登录且具备当前页面权限</x:v>
      </x:c>
      <x:c r="J295" s="4" t="str">
        <x:v>1. 进入角色编辑
2. 查看角色 ID</x:v>
      </x:c>
      <x:c r="K295" s="4" t="str">
        <x:v>角色编辑显示“角色 ID”</x:v>
      </x:c>
      <x:c r="L295" s="4" t="str"/>
      <x:c r="M295" s="4" t="str">
        <x:v>未测</x:v>
      </x:c>
      <x:c r="N295" s="4" t="str"/>
      <x:c r="O295" s="4" t="str">
        <x:v>1. 来源（原型批注）：liveshow-proto/prototype/annotations/admin.js；admin-system-role-detail.html
2. 页面：admin-system-role-detail.html
3. 规则：BR-23A6F1A01DCC4B
4. 场景：SC-A9DD8A2D37B629
5. 未动态验证</x:v>
      </x:c>
    </x:row>
    <x:row r="296" ht="54" customHeight="1">
      <x:c r="A296" s="4" t="n">
        <x:v>295</x:v>
      </x:c>
      <x:c r="B296" s="4" t="str">
        <x:v>ASYS-0009</x:v>
      </x:c>
      <x:c r="C296" s="4" t="str">
        <x:v>系统配置</x:v>
      </x:c>
      <x:c r="D296" s="4" t="str">
        <x:v>角色编辑（平台管理员视角）</x:v>
      </x:c>
      <x:c r="E296" s="4" t="str">
        <x:v>功能需求</x:v>
      </x:c>
      <x:c r="F296" s="4" t="str">
        <x:v>P2</x:v>
      </x:c>
      <x:c r="G296" s="4" t="str">
        <x:v>验证角色编辑可查看角色名称</x:v>
      </x:c>
      <x:c r="H296" s="4" t="str">
        <x:v>角色名称展示</x:v>
      </x:c>
      <x:c r="I296" s="4" t="str">
        <x:v>1. 平台管理员账号已登录且具备当前页面权限</x:v>
      </x:c>
      <x:c r="J296" s="4" t="str">
        <x:v>1. 进入角色编辑
2. 查看角色名称</x:v>
      </x:c>
      <x:c r="K296" s="4" t="str">
        <x:v>角色编辑显示“角色名称”</x:v>
      </x:c>
      <x:c r="L296" s="4" t="str"/>
      <x:c r="M296" s="4" t="str">
        <x:v>未测</x:v>
      </x:c>
      <x:c r="N296" s="4" t="str"/>
      <x:c r="O296" s="4" t="str">
        <x:v>1. 来源（原型批注）：liveshow-proto/prototype/annotations/admin.js；admin-system-role-detail.html
2. 页面：admin-system-role-detail.html
3. 规则：BR-D60117D764CE97
4. 场景：SC-679EFC68F489F7
5. 未动态验证</x:v>
      </x:c>
    </x:row>
    <x:row r="297" ht="54" customHeight="1">
      <x:c r="A297" s="4" t="n">
        <x:v>296</x:v>
      </x:c>
      <x:c r="B297" s="4" t="str">
        <x:v>ASYS-0010</x:v>
      </x:c>
      <x:c r="C297" s="4" t="str">
        <x:v>系统配置</x:v>
      </x:c>
      <x:c r="D297" s="4" t="str">
        <x:v>角色编辑（平台管理员视角）</x:v>
      </x:c>
      <x:c r="E297" s="4" t="str">
        <x:v>功能需求</x:v>
      </x:c>
      <x:c r="F297" s="4" t="str">
        <x:v>P2</x:v>
      </x:c>
      <x:c r="G297" s="4" t="str">
        <x:v>验证角色编辑可查看角色状态</x:v>
      </x:c>
      <x:c r="H297" s="4" t="str">
        <x:v>角色状态展示</x:v>
      </x:c>
      <x:c r="I297" s="4" t="str">
        <x:v>1. 平台管理员账号已登录且具备当前页面权限</x:v>
      </x:c>
      <x:c r="J297" s="4" t="str">
        <x:v>1. 进入角色编辑
2. 查看角色状态</x:v>
      </x:c>
      <x:c r="K297" s="4" t="str">
        <x:v>角色编辑显示“角色状态”</x:v>
      </x:c>
      <x:c r="L297" s="4" t="str"/>
      <x:c r="M297" s="4" t="str">
        <x:v>未测</x:v>
      </x:c>
      <x:c r="N297" s="4" t="str"/>
      <x:c r="O297" s="4" t="str">
        <x:v>1. 来源（原型批注）：liveshow-proto/prototype/annotations/admin.js；admin-system-role-detail.html
2. 页面：admin-system-role-detail.html
3. 规则：BR-C3FBDB49E5F56A
4. 场景：SC-73454661DF7D2B
5. 未动态验证</x:v>
      </x:c>
    </x:row>
    <x:row r="298" ht="54" customHeight="1">
      <x:c r="A298" s="4" t="n">
        <x:v>297</x:v>
      </x:c>
      <x:c r="B298" s="4" t="str">
        <x:v>ASYS-0011</x:v>
      </x:c>
      <x:c r="C298" s="4" t="str">
        <x:v>系统配置</x:v>
      </x:c>
      <x:c r="D298" s="4" t="str">
        <x:v>角色编辑（平台管理员视角）</x:v>
      </x:c>
      <x:c r="E298" s="4" t="str">
        <x:v>业务流程</x:v>
      </x:c>
      <x:c r="F298" s="4" t="str">
        <x:v>P2</x:v>
      </x:c>
      <x:c r="G298" s="4" t="str">
        <x:v>验证全不选后的角色编辑状态</x:v>
      </x:c>
      <x:c r="H298" s="4" t="str">
        <x:v>角色编辑状态</x:v>
      </x:c>
      <x:c r="I298" s="4" t="str">
        <x:v>1. 平台管理员账号已登录且具备当前页面权限
2. 全不选</x:v>
      </x:c>
      <x:c r="J298" s="4" t="str">
        <x:v>1. 进入角色编辑
2. 刷新角色编辑</x:v>
      </x:c>
      <x:c r="K298" s="4" t="str">
        <x:v>更新权限树</x:v>
      </x:c>
      <x:c r="L298" s="4" t="str"/>
      <x:c r="M298" s="4" t="str">
        <x:v>未测</x:v>
      </x:c>
      <x:c r="N298" s="4" t="str"/>
      <x:c r="O298" s="4" t="str">
        <x:v>1. 来源（原型批注）：liveshow-proto/prototype/annotations/admin.js；admin-system-role-detail.html
2. 页面：admin-system-role-detail.html
3. 规则：BR-A9ED2BA5DD2910
4. 场景：SC-197B7F46B88038
5. 未动态验证</x:v>
      </x:c>
    </x:row>
    <x:row r="299" ht="54" customHeight="1">
      <x:c r="A299" s="4" t="n">
        <x:v>298</x:v>
      </x:c>
      <x:c r="B299" s="4" t="str">
        <x:v>ASYS-0012</x:v>
      </x:c>
      <x:c r="C299" s="4" t="str">
        <x:v>系统配置</x:v>
      </x:c>
      <x:c r="D299" s="4" t="str">
        <x:v>角色编辑（平台管理员视角）</x:v>
      </x:c>
      <x:c r="E299" s="4" t="str">
        <x:v>业务流程</x:v>
      </x:c>
      <x:c r="F299" s="4" t="str">
        <x:v>P2</x:v>
      </x:c>
      <x:c r="G299" s="4" t="str">
        <x:v>验证全选后的角色编辑状态</x:v>
      </x:c>
      <x:c r="H299" s="4" t="str">
        <x:v>角色编辑状态</x:v>
      </x:c>
      <x:c r="I299" s="4" t="str">
        <x:v>1. 平台管理员账号已登录且具备当前页面权限
2. 全选</x:v>
      </x:c>
      <x:c r="J299" s="4" t="str">
        <x:v>1. 进入角色编辑
2. 刷新角色编辑</x:v>
      </x:c>
      <x:c r="K299" s="4" t="str">
        <x:v>更新权限树</x:v>
      </x:c>
      <x:c r="L299" s="4" t="str"/>
      <x:c r="M299" s="4" t="str">
        <x:v>未测</x:v>
      </x:c>
      <x:c r="N299" s="4" t="str"/>
      <x:c r="O299" s="4" t="str">
        <x:v>1. 来源（原型批注）：liveshow-proto/prototype/annotations/admin.js；admin-system-role-detail.html
2. 页面：admin-system-role-detail.html
3. 规则：BR-A9ED2BA5DD2910
4. 场景：SC-B3D2FD8135F139
5. 未动态验证</x:v>
      </x:c>
    </x:row>
    <x:row r="300" ht="54" customHeight="1">
      <x:c r="A300" s="4" t="n">
        <x:v>299</x:v>
      </x:c>
      <x:c r="B300" s="4" t="str">
        <x:v>ASYS-0013</x:v>
      </x:c>
      <x:c r="C300" s="4" t="str">
        <x:v>系统配置</x:v>
      </x:c>
      <x:c r="D300" s="4" t="str">
        <x:v>角色管理（平台管理员视角）</x:v>
      </x:c>
      <x:c r="E300" s="4" t="str">
        <x:v>功能需求</x:v>
      </x:c>
      <x:c r="F300" s="4" t="str">
        <x:v>P2</x:v>
      </x:c>
      <x:c r="G300" s="4" t="str">
        <x:v>验证角色管理可查看关联账号</x:v>
      </x:c>
      <x:c r="H300" s="4" t="str">
        <x:v>关联账号展示</x:v>
      </x:c>
      <x:c r="I300" s="4" t="str">
        <x:v>1. 平台管理员账号已登录且具备当前页面权限</x:v>
      </x:c>
      <x:c r="J300" s="4" t="str">
        <x:v>1. 进入角色管理
2. 查看关联账号</x:v>
      </x:c>
      <x:c r="K300" s="4" t="str">
        <x:v>角色管理显示“关联账号”</x:v>
      </x:c>
      <x:c r="L300" s="4" t="str"/>
      <x:c r="M300" s="4" t="str">
        <x:v>未测</x:v>
      </x:c>
      <x:c r="N300" s="4" t="str"/>
      <x:c r="O300" s="4" t="str">
        <x:v>1. 来源（原型批注）：liveshow-proto/prototype/annotations/admin.js；admin-system-role.html
2. 页面：admin-system-role.html
3. 规则：BR-4B842EB1742047
4. 场景：SC-82104A10E0B4DB
5. 未动态验证</x:v>
      </x:c>
    </x:row>
    <x:row r="301" ht="54" customHeight="1">
      <x:c r="A301" s="4" t="n">
        <x:v>300</x:v>
      </x:c>
      <x:c r="B301" s="4" t="str">
        <x:v>ASYS-0014</x:v>
      </x:c>
      <x:c r="C301" s="4" t="str">
        <x:v>系统配置</x:v>
      </x:c>
      <x:c r="D301" s="4" t="str">
        <x:v>角色管理（平台管理员视角）</x:v>
      </x:c>
      <x:c r="E301" s="4" t="str">
        <x:v>功能需求</x:v>
      </x:c>
      <x:c r="F301" s="4" t="str">
        <x:v>P2</x:v>
      </x:c>
      <x:c r="G301" s="4" t="str">
        <x:v>验证角色管理可查看角色 ID</x:v>
      </x:c>
      <x:c r="H301" s="4" t="str">
        <x:v>角色 ID展示</x:v>
      </x:c>
      <x:c r="I301" s="4" t="str">
        <x:v>1. 平台管理员账号已登录且具备当前页面权限</x:v>
      </x:c>
      <x:c r="J301" s="4" t="str">
        <x:v>1. 进入角色管理
2. 查看角色 ID</x:v>
      </x:c>
      <x:c r="K301" s="4" t="str">
        <x:v>角色管理显示“角色 ID”</x:v>
      </x:c>
      <x:c r="L301" s="4" t="str"/>
      <x:c r="M301" s="4" t="str">
        <x:v>未测</x:v>
      </x:c>
      <x:c r="N301" s="4" t="str"/>
      <x:c r="O301" s="4" t="str">
        <x:v>1. 来源（原型批注）：liveshow-proto/prototype/annotations/admin.js；admin-system-role.html
2. 页面：admin-system-role.html
3. 规则：BR-9F302F3CC62931
4. 场景：SC-669223752346AD
5. 未动态验证</x:v>
      </x:c>
    </x:row>
    <x:row r="302" ht="54" customHeight="1">
      <x:c r="A302" s="4" t="n">
        <x:v>301</x:v>
      </x:c>
      <x:c r="B302" s="4" t="str">
        <x:v>ASYS-0015</x:v>
      </x:c>
      <x:c r="C302" s="4" t="str">
        <x:v>系统配置</x:v>
      </x:c>
      <x:c r="D302" s="4" t="str">
        <x:v>角色管理（平台管理员视角）</x:v>
      </x:c>
      <x:c r="E302" s="4" t="str">
        <x:v>功能需求</x:v>
      </x:c>
      <x:c r="F302" s="4" t="str">
        <x:v>P2</x:v>
      </x:c>
      <x:c r="G302" s="4" t="str">
        <x:v>验证角色管理可查看角色名称</x:v>
      </x:c>
      <x:c r="H302" s="4" t="str">
        <x:v>角色名称展示</x:v>
      </x:c>
      <x:c r="I302" s="4" t="str">
        <x:v>1. 平台管理员账号已登录且具备当前页面权限</x:v>
      </x:c>
      <x:c r="J302" s="4" t="str">
        <x:v>1. 进入角色管理
2. 查看角色名称</x:v>
      </x:c>
      <x:c r="K302" s="4" t="str">
        <x:v>角色管理显示“角色名称”</x:v>
      </x:c>
      <x:c r="L302" s="4" t="str"/>
      <x:c r="M302" s="4" t="str">
        <x:v>未测</x:v>
      </x:c>
      <x:c r="N302" s="4" t="str"/>
      <x:c r="O302" s="4" t="str">
        <x:v>1. 来源（原型批注）：liveshow-proto/prototype/annotations/admin.js；admin-system-role.html
2. 页面：admin-system-role.html
3. 规则：BR-BCE9C630B7549F
4. 场景：SC-63DB70F519CA55
5. 未动态验证</x:v>
      </x:c>
    </x:row>
    <x:row r="303" ht="54" customHeight="1">
      <x:c r="A303" s="4" t="n">
        <x:v>302</x:v>
      </x:c>
      <x:c r="B303" s="4" t="str">
        <x:v>ASYS-0016</x:v>
      </x:c>
      <x:c r="C303" s="4" t="str">
        <x:v>系统配置</x:v>
      </x:c>
      <x:c r="D303" s="4" t="str">
        <x:v>角色管理（平台管理员视角）</x:v>
      </x:c>
      <x:c r="E303" s="4" t="str">
        <x:v>功能需求</x:v>
      </x:c>
      <x:c r="F303" s="4" t="str">
        <x:v>P2</x:v>
      </x:c>
      <x:c r="G303" s="4" t="str">
        <x:v>验证角色管理可查看状态</x:v>
      </x:c>
      <x:c r="H303" s="4" t="str">
        <x:v>状态展示</x:v>
      </x:c>
      <x:c r="I303" s="4" t="str">
        <x:v>1. 平台管理员账号已登录且具备当前页面权限</x:v>
      </x:c>
      <x:c r="J303" s="4" t="str">
        <x:v>1. 进入角色管理
2. 查看状态</x:v>
      </x:c>
      <x:c r="K303" s="4" t="str">
        <x:v>角色管理显示“状态”</x:v>
      </x:c>
      <x:c r="L303" s="4" t="str"/>
      <x:c r="M303" s="4" t="str">
        <x:v>未测</x:v>
      </x:c>
      <x:c r="N303" s="4" t="str"/>
      <x:c r="O303" s="4" t="str">
        <x:v>1. 来源（原型批注）：liveshow-proto/prototype/annotations/admin.js；admin-system-role.html
2. 页面：admin-system-role.html
3. 规则：BR-F96C0F67F2FC8A、BR-52AEE545A69ABD
4. 场景：SC-EC96692B127351
5. 未动态验证</x:v>
      </x:c>
    </x:row>
    <x:row r="304" ht="54" customHeight="1">
      <x:c r="A304" s="4" t="n">
        <x:v>303</x:v>
      </x:c>
      <x:c r="B304" s="4" t="str">
        <x:v>ASYS-0017</x:v>
      </x:c>
      <x:c r="C304" s="4" t="str">
        <x:v>系统配置</x:v>
      </x:c>
      <x:c r="D304" s="4" t="str">
        <x:v>角色管理（平台管理员视角）</x:v>
      </x:c>
      <x:c r="E304" s="4" t="str">
        <x:v>业务流程</x:v>
      </x:c>
      <x:c r="F304" s="4" t="str">
        <x:v>P2</x:v>
      </x:c>
      <x:c r="G304" s="4" t="str">
        <x:v>验证停用后的角色管理状态</x:v>
      </x:c>
      <x:c r="H304" s="4" t="str">
        <x:v>角色管理状态</x:v>
      </x:c>
      <x:c r="I304" s="4" t="str">
        <x:v>1. 平台管理员账号已登录且具备当前页面权限
2. 停用</x:v>
      </x:c>
      <x:c r="J304" s="4" t="str">
        <x:v>1. 进入角色管理
2. 刷新角色管理</x:v>
      </x:c>
      <x:c r="K304" s="4" t="str">
        <x:v>关联账号立即失去该角色权限</x:v>
      </x:c>
      <x:c r="L304" s="4" t="str"/>
      <x:c r="M304" s="4" t="str">
        <x:v>未测</x:v>
      </x:c>
      <x:c r="N304" s="4" t="str"/>
      <x:c r="O304" s="4" t="str">
        <x:v>1. 来源（原型批注）：liveshow-proto/prototype/annotations/admin.js；admin-system-role.html
2. 页面：admin-system-role.html
3. 规则：BR-52AEE545A69ABD
4. 场景：SC-CB5B5744B88FF5
5. 未动态验证</x:v>
      </x:c>
    </x:row>
    <x:row r="305" ht="54" customHeight="1">
      <x:c r="A305" s="4" t="n">
        <x:v>304</x:v>
      </x:c>
      <x:c r="B305" s="4" t="str">
        <x:v>ASYS-0018</x:v>
      </x:c>
      <x:c r="C305" s="4" t="str">
        <x:v>系统配置</x:v>
      </x:c>
      <x:c r="D305" s="4" t="str">
        <x:v>账号编辑（平台管理员视角）</x:v>
      </x:c>
      <x:c r="E305" s="4" t="str">
        <x:v>功能需求</x:v>
      </x:c>
      <x:c r="F305" s="4" t="str">
        <x:v>P2</x:v>
      </x:c>
      <x:c r="G305" s="4" t="str">
        <x:v>验证账号编辑可查看初始密码</x:v>
      </x:c>
      <x:c r="H305" s="4" t="str">
        <x:v>初始密码展示</x:v>
      </x:c>
      <x:c r="I305" s="4" t="str">
        <x:v>1. 平台管理员账号已登录且具备当前页面权限</x:v>
      </x:c>
      <x:c r="J305" s="4" t="str">
        <x:v>1. 进入账号编辑
2. 查看初始密码</x:v>
      </x:c>
      <x:c r="K305" s="4" t="str">
        <x:v>账号编辑显示“初始密码”</x:v>
      </x:c>
      <x:c r="L305" s="4" t="str"/>
      <x:c r="M305" s="4" t="str">
        <x:v>未测</x:v>
      </x:c>
      <x:c r="N305" s="4" t="str"/>
      <x:c r="O305" s="4" t="str">
        <x:v>1. 来源（原型批注）：liveshow-proto/prototype/annotations/admin.js；admin-system-account-detail.html
2. 页面：admin-system-account-detail.html
3. 规则：BR-4930FFEC202BC1
4. 场景：SC-C8AC88E090B132
5. 未动态验证</x:v>
      </x:c>
    </x:row>
    <x:row r="306" ht="54" customHeight="1">
      <x:c r="A306" s="4" t="n">
        <x:v>305</x:v>
      </x:c>
      <x:c r="B306" s="4" t="str">
        <x:v>ASYS-0019</x:v>
      </x:c>
      <x:c r="C306" s="4" t="str">
        <x:v>系统配置</x:v>
      </x:c>
      <x:c r="D306" s="4" t="str">
        <x:v>账号编辑（平台管理员视角）</x:v>
      </x:c>
      <x:c r="E306" s="4" t="str">
        <x:v>功能需求</x:v>
      </x:c>
      <x:c r="F306" s="4" t="str">
        <x:v>P2</x:v>
      </x:c>
      <x:c r="G306" s="4" t="str">
        <x:v>验证账号编辑可查看后台账号 / 姓名</x:v>
      </x:c>
      <x:c r="H306" s="4" t="str">
        <x:v>后台账号 / 姓名展示</x:v>
      </x:c>
      <x:c r="I306" s="4" t="str">
        <x:v>1. 平台管理员账号已登录且具备当前页面权限</x:v>
      </x:c>
      <x:c r="J306" s="4" t="str">
        <x:v>1. 进入账号编辑
2. 查看后台账号 / 姓名</x:v>
      </x:c>
      <x:c r="K306" s="4" t="str">
        <x:v>账号编辑显示“后台账号 / 姓名”</x:v>
      </x:c>
      <x:c r="L306" s="4" t="str"/>
      <x:c r="M306" s="4" t="str">
        <x:v>未测</x:v>
      </x:c>
      <x:c r="N306" s="4" t="str"/>
      <x:c r="O306" s="4" t="str">
        <x:v>1. 来源（原型批注）：liveshow-proto/prototype/annotations/admin.js；admin-system-account-detail.html
2. 页面：admin-system-account-detail.html
3. 规则：BR-3134152CA21C41、BR-04AAACBE5C6B67
4. 场景：SC-7D43B71E6068C7
5. 未动态验证</x:v>
      </x:c>
    </x:row>
    <x:row r="307" ht="54" customHeight="1">
      <x:c r="A307" s="4" t="n">
        <x:v>306</x:v>
      </x:c>
      <x:c r="B307" s="4" t="str">
        <x:v>ASYS-0020</x:v>
      </x:c>
      <x:c r="C307" s="4" t="str">
        <x:v>系统配置</x:v>
      </x:c>
      <x:c r="D307" s="4" t="str">
        <x:v>账号编辑（平台管理员视角）</x:v>
      </x:c>
      <x:c r="E307" s="4" t="str">
        <x:v>功能需求</x:v>
      </x:c>
      <x:c r="F307" s="4" t="str">
        <x:v>P2</x:v>
      </x:c>
      <x:c r="G307" s="4" t="str">
        <x:v>验证账号编辑可查看所属角色</x:v>
      </x:c>
      <x:c r="H307" s="4" t="str">
        <x:v>所属角色展示</x:v>
      </x:c>
      <x:c r="I307" s="4" t="str">
        <x:v>1. 平台管理员账号已登录且具备当前页面权限</x:v>
      </x:c>
      <x:c r="J307" s="4" t="str">
        <x:v>1. 进入账号编辑
2. 查看所属角色</x:v>
      </x:c>
      <x:c r="K307" s="4" t="str">
        <x:v>账号编辑显示“所属角色”</x:v>
      </x:c>
      <x:c r="L307" s="4" t="str"/>
      <x:c r="M307" s="4" t="str">
        <x:v>未测</x:v>
      </x:c>
      <x:c r="N307" s="4" t="str"/>
      <x:c r="O307" s="4" t="str">
        <x:v>1. 来源（原型批注）：liveshow-proto/prototype/annotations/admin.js；admin-system-account-detail.html
2. 页面：admin-system-account-detail.html
3. 规则：BR-2EE1B9ED9C044D
4. 场景：SC-FFD509FE45F1CC
5. 未动态验证</x:v>
      </x:c>
    </x:row>
    <x:row r="308" ht="54" customHeight="1">
      <x:c r="A308" s="4" t="n">
        <x:v>307</x:v>
      </x:c>
      <x:c r="B308" s="4" t="str">
        <x:v>ASYS-0021</x:v>
      </x:c>
      <x:c r="C308" s="4" t="str">
        <x:v>系统配置</x:v>
      </x:c>
      <x:c r="D308" s="4" t="str">
        <x:v>账号编辑（平台管理员视角）</x:v>
      </x:c>
      <x:c r="E308" s="4" t="str">
        <x:v>功能需求</x:v>
      </x:c>
      <x:c r="F308" s="4" t="str">
        <x:v>P2</x:v>
      </x:c>
      <x:c r="G308" s="4" t="str">
        <x:v>验证账号编辑可查看新密码 / 确认</x:v>
      </x:c>
      <x:c r="H308" s="4" t="str">
        <x:v>新密码 / 确认展示</x:v>
      </x:c>
      <x:c r="I308" s="4" t="str">
        <x:v>1. 平台管理员账号已登录且具备当前页面权限</x:v>
      </x:c>
      <x:c r="J308" s="4" t="str">
        <x:v>1. 进入账号编辑
2. 查看新密码 / 确认</x:v>
      </x:c>
      <x:c r="K308" s="4" t="str">
        <x:v>账号编辑显示“新密码 / 确认”</x:v>
      </x:c>
      <x:c r="L308" s="4" t="str"/>
      <x:c r="M308" s="4" t="str">
        <x:v>未测</x:v>
      </x:c>
      <x:c r="N308" s="4" t="str"/>
      <x:c r="O308" s="4" t="str">
        <x:v>1. 来源（原型批注）：liveshow-proto/prototype/annotations/admin.js；admin-system-account-detail.html
2. 页面：admin-system-account-detail.html
3. 规则：BR-37E5C3B388E7FF
4. 场景：SC-0014AD6AC77D9A
5. 未动态验证</x:v>
      </x:c>
    </x:row>
    <x:row r="309" ht="54" customHeight="1">
      <x:c r="A309" s="4" t="n">
        <x:v>308</x:v>
      </x:c>
      <x:c r="B309" s="4" t="str">
        <x:v>ASYS-0022</x:v>
      </x:c>
      <x:c r="C309" s="4" t="str">
        <x:v>系统配置</x:v>
      </x:c>
      <x:c r="D309" s="4" t="str">
        <x:v>账号编辑（平台管理员视角）</x:v>
      </x:c>
      <x:c r="E309" s="4" t="str">
        <x:v>功能需求</x:v>
      </x:c>
      <x:c r="F309" s="4" t="str">
        <x:v>P2</x:v>
      </x:c>
      <x:c r="G309" s="4" t="str">
        <x:v>验证账号编辑可查看账号 ID</x:v>
      </x:c>
      <x:c r="H309" s="4" t="str">
        <x:v>账号 ID展示</x:v>
      </x:c>
      <x:c r="I309" s="4" t="str">
        <x:v>1. 平台管理员账号已登录且具备当前页面权限</x:v>
      </x:c>
      <x:c r="J309" s="4" t="str">
        <x:v>1. 进入账号编辑
2. 查看账号 ID</x:v>
      </x:c>
      <x:c r="K309" s="4" t="str">
        <x:v>账号编辑显示“账号 ID”</x:v>
      </x:c>
      <x:c r="L309" s="4" t="str"/>
      <x:c r="M309" s="4" t="str">
        <x:v>未测</x:v>
      </x:c>
      <x:c r="N309" s="4" t="str"/>
      <x:c r="O309" s="4" t="str">
        <x:v>1. 来源（原型批注）：liveshow-proto/prototype/annotations/admin.js；admin-system-account-detail.html
2. 页面：admin-system-account-detail.html
3. 规则：BR-ED888AD8444161
4. 场景：SC-44972187B9088E
5. 未动态验证</x:v>
      </x:c>
    </x:row>
    <x:row r="310" ht="54" customHeight="1">
      <x:c r="A310" s="4" t="n">
        <x:v>309</x:v>
      </x:c>
      <x:c r="B310" s="4" t="str">
        <x:v>ASYS-0023</x:v>
      </x:c>
      <x:c r="C310" s="4" t="str">
        <x:v>系统配置</x:v>
      </x:c>
      <x:c r="D310" s="4" t="str">
        <x:v>账号编辑（平台管理员视角）</x:v>
      </x:c>
      <x:c r="E310" s="4" t="str">
        <x:v>功能需求</x:v>
      </x:c>
      <x:c r="F310" s="4" t="str">
        <x:v>P2</x:v>
      </x:c>
      <x:c r="G310" s="4" t="str">
        <x:v>验证账号编辑可查看状态</x:v>
      </x:c>
      <x:c r="H310" s="4" t="str">
        <x:v>状态展示</x:v>
      </x:c>
      <x:c r="I310" s="4" t="str">
        <x:v>1. 平台管理员账号已登录且具备当前页面权限</x:v>
      </x:c>
      <x:c r="J310" s="4" t="str">
        <x:v>1. 进入账号编辑
2. 查看状态</x:v>
      </x:c>
      <x:c r="K310" s="4" t="str">
        <x:v>账号编辑显示“状态”</x:v>
      </x:c>
      <x:c r="L310" s="4" t="str"/>
      <x:c r="M310" s="4" t="str">
        <x:v>未测</x:v>
      </x:c>
      <x:c r="N310" s="4" t="str"/>
      <x:c r="O310" s="4" t="str">
        <x:v>1. 来源（原型批注）：liveshow-proto/prototype/annotations/admin.js；admin-system-account-detail.html
2. 页面：admin-system-account-detail.html
3. 规则：BR-23EC2C64607A09
4. 场景：SC-44AAA80151956A
5. 未动态验证</x:v>
      </x:c>
    </x:row>
    <x:row r="311" ht="54" customHeight="1">
      <x:c r="A311" s="4" t="n">
        <x:v>310</x:v>
      </x:c>
      <x:c r="B311" s="4" t="str">
        <x:v>AUSER-0001</x:v>
      </x:c>
      <x:c r="C311" s="4" t="str">
        <x:v>用户管理</x:v>
      </x:c>
      <x:c r="D311" s="4" t="str">
        <x:v>用户列表（平台管理员视角）</x:v>
      </x:c>
      <x:c r="E311" s="4" t="str">
        <x:v>功能需求</x:v>
      </x:c>
      <x:c r="F311" s="4" t="str">
        <x:v>P2</x:v>
      </x:c>
      <x:c r="G311" s="4" t="str">
        <x:v>验证当前有效关系，无公会时的用户列表结果</x:v>
      </x:c>
      <x:c r="H311" s="4" t="str">
        <x:v>用户列表条件结果</x:v>
      </x:c>
      <x:c r="I311" s="4" t="str">
        <x:v>1. 平台管理员账号已登录且具备当前页面权限
2. 当前有效关系，无公会</x:v>
      </x:c>
      <x:c r="J311" s="4" t="str">
        <x:v>1. 进入用户列表
2. 查看用户列表</x:v>
      </x:c>
      <x:c r="K311" s="4" t="str">
        <x:v>当前有效关系，无公会显示“-”</x:v>
      </x:c>
      <x:c r="L311" s="4" t="str"/>
      <x:c r="M311" s="4" t="str">
        <x:v>未测</x:v>
      </x:c>
      <x:c r="N311" s="4" t="str"/>
      <x:c r="O311" s="4" t="str">
        <x:v>1. 来源（原型批注）：liveshow-proto/prototype/annotations/admin.js；admin-user-list.html
2. 页面：admin-user-list.html
3. 规则：BR-D351E100C9485A
4. 场景：SC-C402A599601A3C
5. 未动态验证</x:v>
      </x:c>
    </x:row>
    <x:row r="312" ht="54" customHeight="1">
      <x:c r="A312" s="4" t="n">
        <x:v>311</x:v>
      </x:c>
      <x:c r="B312" s="4" t="str">
        <x:v>AUSER-0002</x:v>
      </x:c>
      <x:c r="C312" s="4" t="str">
        <x:v>用户管理</x:v>
      </x:c>
      <x:c r="D312" s="4" t="str">
        <x:v>用户列表（平台管理员视角）</x:v>
      </x:c>
      <x:c r="E312" s="4" t="str">
        <x:v>业务流程</x:v>
      </x:c>
      <x:c r="F312" s="4" t="str">
        <x:v>P2</x:v>
      </x:c>
      <x:c r="G312" s="4" t="str">
        <x:v>验证封禁后的用户列表状态</x:v>
      </x:c>
      <x:c r="H312" s="4" t="str">
        <x:v>用户列表状态</x:v>
      </x:c>
      <x:c r="I312" s="4" t="str">
        <x:v>1. 平台管理员账号已登录且具备当前页面权限
2. 封禁</x:v>
      </x:c>
      <x:c r="J312" s="4" t="str">
        <x:v>1. 进入用户列表
2. 刷新用户列表</x:v>
      </x:c>
      <x:c r="K312" s="4" t="str">
        <x:v>更新并留痕</x:v>
      </x:c>
      <x:c r="L312" s="4" t="str"/>
      <x:c r="M312" s="4" t="str">
        <x:v>未测</x:v>
      </x:c>
      <x:c r="N312" s="4" t="str"/>
      <x:c r="O312" s="4" t="str">
        <x:v>1. 来源（原型批注）：liveshow-proto/prototype/annotations/admin.js；admin-user-list.html
2. 页面：admin-user-list.html
3. 规则：BR-2BB62314879AB3
4. 场景：SC-DB8AF3DE4FE931
5. 未动态验证</x:v>
      </x:c>
    </x:row>
    <x:row r="313" ht="54" customHeight="1">
      <x:c r="A313" s="4" t="n">
        <x:v>312</x:v>
      </x:c>
      <x:c r="B313" s="4" t="str">
        <x:v>AUSER-0003</x:v>
      </x:c>
      <x:c r="C313" s="4" t="str">
        <x:v>用户管理</x:v>
      </x:c>
      <x:c r="D313" s="4" t="str">
        <x:v>用户列表（平台管理员视角）</x:v>
      </x:c>
      <x:c r="E313" s="4" t="str">
        <x:v>业务流程</x:v>
      </x:c>
      <x:c r="F313" s="4" t="str">
        <x:v>P2</x:v>
      </x:c>
      <x:c r="G313" s="4" t="str">
        <x:v>验证解封后的用户列表状态</x:v>
      </x:c>
      <x:c r="H313" s="4" t="str">
        <x:v>用户列表状态</x:v>
      </x:c>
      <x:c r="I313" s="4" t="str">
        <x:v>1. 平台管理员账号已登录且具备当前页面权限
2. 解封</x:v>
      </x:c>
      <x:c r="J313" s="4" t="str">
        <x:v>1. 进入用户列表
2. 刷新用户列表</x:v>
      </x:c>
      <x:c r="K313" s="4" t="str">
        <x:v>更新并留痕</x:v>
      </x:c>
      <x:c r="L313" s="4" t="str"/>
      <x:c r="M313" s="4" t="str">
        <x:v>未测</x:v>
      </x:c>
      <x:c r="N313" s="4" t="str"/>
      <x:c r="O313" s="4" t="str">
        <x:v>1. 来源（原型批注）：liveshow-proto/prototype/annotations/admin.js；admin-user-list.html
2. 页面：admin-user-list.html
3. 规则：BR-2BB62314879AB3
4. 场景：SC-BA1CDB3F87147B
5. 未动态验证</x:v>
      </x:c>
    </x:row>
    <x:row r="314" ht="54" customHeight="1">
      <x:c r="A314" s="4" t="n">
        <x:v>313</x:v>
      </x:c>
      <x:c r="B314" s="4" t="str">
        <x:v>AUSER-0004</x:v>
      </x:c>
      <x:c r="C314" s="4" t="str">
        <x:v>用户管理</x:v>
      </x:c>
      <x:c r="D314" s="4" t="str">
        <x:v>用户列表（平台管理员视角）</x:v>
      </x:c>
      <x:c r="E314" s="4" t="str">
        <x:v>功能需求</x:v>
      </x:c>
      <x:c r="F314" s="4" t="str">
        <x:v>P2</x:v>
      </x:c>
      <x:c r="G314" s="4" t="str">
        <x:v>验证用户列表可查看财富等级</x:v>
      </x:c>
      <x:c r="H314" s="4" t="str">
        <x:v>财富等级展示</x:v>
      </x:c>
      <x:c r="I314" s="4" t="str">
        <x:v>1. 平台管理员账号已登录且具备当前页面权限</x:v>
      </x:c>
      <x:c r="J314" s="4" t="str">
        <x:v>1. 进入用户列表
2. 查看财富等级</x:v>
      </x:c>
      <x:c r="K314" s="4" t="str">
        <x:v>用户列表显示“财富等级”</x:v>
      </x:c>
      <x:c r="L314" s="4" t="str"/>
      <x:c r="M314" s="4" t="str">
        <x:v>未测</x:v>
      </x:c>
      <x:c r="N314" s="4" t="str"/>
      <x:c r="O314" s="4" t="str">
        <x:v>1. 来源（原型批注）：liveshow-proto/prototype/annotations/admin.js；admin-user-list.html
2. 页面：admin-user-list.html
3. 规则：BR-9478D552CB4490、BR-79F496E704BECC
4. 场景：SC-D807653B70EEC3
5. 未动态验证</x:v>
      </x:c>
    </x:row>
    <x:row r="315" ht="54" customHeight="1">
      <x:c r="A315" s="4" t="n">
        <x:v>314</x:v>
      </x:c>
      <x:c r="B315" s="4" t="str">
        <x:v>AUSER-0005</x:v>
      </x:c>
      <x:c r="C315" s="4" t="str">
        <x:v>用户管理</x:v>
      </x:c>
      <x:c r="D315" s="4" t="str">
        <x:v>用户列表（平台管理员视角）</x:v>
      </x:c>
      <x:c r="E315" s="4" t="str">
        <x:v>功能需求</x:v>
      </x:c>
      <x:c r="F315" s="4" t="str">
        <x:v>P2</x:v>
      </x:c>
      <x:c r="G315" s="4" t="str">
        <x:v>验证用户列表可查看金币余额</x:v>
      </x:c>
      <x:c r="H315" s="4" t="str">
        <x:v>金币余额展示</x:v>
      </x:c>
      <x:c r="I315" s="4" t="str">
        <x:v>1. 平台管理员账号已登录且具备当前页面权限</x:v>
      </x:c>
      <x:c r="J315" s="4" t="str">
        <x:v>1. 进入用户列表
2. 查看金币余额</x:v>
      </x:c>
      <x:c r="K315" s="4" t="str">
        <x:v>用户列表显示“金币余额”</x:v>
      </x:c>
      <x:c r="L315" s="4" t="str"/>
      <x:c r="M315" s="4" t="str">
        <x:v>未测</x:v>
      </x:c>
      <x:c r="N315" s="4" t="str"/>
      <x:c r="O315" s="4" t="str">
        <x:v>1. 来源（原型批注）：liveshow-proto/prototype/annotations/admin.js；admin-user-list.html
2. 页面：admin-user-list.html
3. 规则：BR-13BA291F60646D、BR-6B55E94552C9C9
4. 场景：SC-E0F1A9B6B9EF1D
5. 未动态验证</x:v>
      </x:c>
    </x:row>
    <x:row r="316" ht="54" customHeight="1">
      <x:c r="A316" s="4" t="n">
        <x:v>315</x:v>
      </x:c>
      <x:c r="B316" s="4" t="str">
        <x:v>AUSER-0006</x:v>
      </x:c>
      <x:c r="C316" s="4" t="str">
        <x:v>用户管理</x:v>
      </x:c>
      <x:c r="D316" s="4" t="str">
        <x:v>用户列表（平台管理员视角）</x:v>
      </x:c>
      <x:c r="E316" s="4" t="str">
        <x:v>功能需求</x:v>
      </x:c>
      <x:c r="F316" s="4" t="str">
        <x:v>P2</x:v>
      </x:c>
      <x:c r="G316" s="4" t="str">
        <x:v>验证用户列表可查看累计充值</x:v>
      </x:c>
      <x:c r="H316" s="4" t="str">
        <x:v>累计充值展示</x:v>
      </x:c>
      <x:c r="I316" s="4" t="str">
        <x:v>1. 平台管理员账号已登录且具备当前页面权限</x:v>
      </x:c>
      <x:c r="J316" s="4" t="str">
        <x:v>1. 进入用户列表
2. 查看累计充值</x:v>
      </x:c>
      <x:c r="K316" s="4" t="str">
        <x:v>用户列表显示“累计充值”</x:v>
      </x:c>
      <x:c r="L316" s="4" t="str"/>
      <x:c r="M316" s="4" t="str">
        <x:v>未测</x:v>
      </x:c>
      <x:c r="N316" s="4" t="str"/>
      <x:c r="O316" s="4" t="str">
        <x:v>1. 来源（原型批注）：liveshow-proto/prototype/annotations/admin.js；admin-user-list.html
2. 页面：admin-user-list.html
3. 规则：BR-CAA130F070238B
4. 场景：SC-AEF0479D80157E
5. 未动态验证</x:v>
      </x:c>
    </x:row>
    <x:row r="317" ht="54" customHeight="1">
      <x:c r="A317" s="4" t="n">
        <x:v>316</x:v>
      </x:c>
      <x:c r="B317" s="4" t="str">
        <x:v>AUSER-0007</x:v>
      </x:c>
      <x:c r="C317" s="4" t="str">
        <x:v>用户管理</x:v>
      </x:c>
      <x:c r="D317" s="4" t="str">
        <x:v>用户列表（平台管理员视角）</x:v>
      </x:c>
      <x:c r="E317" s="4" t="str">
        <x:v>功能需求</x:v>
      </x:c>
      <x:c r="F317" s="4" t="str">
        <x:v>P2</x:v>
      </x:c>
      <x:c r="G317" s="4" t="str">
        <x:v>验证用户列表可查看累计消费</x:v>
      </x:c>
      <x:c r="H317" s="4" t="str">
        <x:v>累计消费展示</x:v>
      </x:c>
      <x:c r="I317" s="4" t="str">
        <x:v>1. 平台管理员账号已登录且具备当前页面权限</x:v>
      </x:c>
      <x:c r="J317" s="4" t="str">
        <x:v>1. 进入用户列表
2. 查看累计消费</x:v>
      </x:c>
      <x:c r="K317" s="4" t="str">
        <x:v>用户列表显示“累计消费”</x:v>
      </x:c>
      <x:c r="L317" s="4" t="str"/>
      <x:c r="M317" s="4" t="str">
        <x:v>未测</x:v>
      </x:c>
      <x:c r="N317" s="4" t="str"/>
      <x:c r="O317" s="4" t="str">
        <x:v>1. 来源（原型批注）：liveshow-proto/prototype/annotations/admin.js；admin-user-list.html
2. 页面：admin-user-list.html
3. 规则：BR-643E47D405C420、BR-67CE9567E1EE44
4. 场景：SC-3F4375165B416C
5. 未动态验证</x:v>
      </x:c>
    </x:row>
    <x:row r="318" ht="54" customHeight="1">
      <x:c r="A318" s="4" t="n">
        <x:v>317</x:v>
      </x:c>
      <x:c r="B318" s="4" t="str">
        <x:v>AUSER-0008</x:v>
      </x:c>
      <x:c r="C318" s="4" t="str">
        <x:v>用户管理</x:v>
      </x:c>
      <x:c r="D318" s="4" t="str">
        <x:v>用户列表（平台管理员视角）</x:v>
      </x:c>
      <x:c r="E318" s="4" t="str">
        <x:v>功能需求</x:v>
      </x:c>
      <x:c r="F318" s="4" t="str">
        <x:v>P2</x:v>
      </x:c>
      <x:c r="G318" s="4" t="str">
        <x:v>验证用户列表可查看所属公会</x:v>
      </x:c>
      <x:c r="H318" s="4" t="str">
        <x:v>所属公会展示</x:v>
      </x:c>
      <x:c r="I318" s="4" t="str">
        <x:v>1. 平台管理员账号已登录且具备当前页面权限</x:v>
      </x:c>
      <x:c r="J318" s="4" t="str">
        <x:v>1. 进入用户列表
2. 查看所属公会</x:v>
      </x:c>
      <x:c r="K318" s="4" t="str">
        <x:v>用户列表显示“所属公会”</x:v>
      </x:c>
      <x:c r="L318" s="4" t="str"/>
      <x:c r="M318" s="4" t="str">
        <x:v>未测</x:v>
      </x:c>
      <x:c r="N318" s="4" t="str"/>
      <x:c r="O318" s="4" t="str">
        <x:v>1. 来源（原型批注）：liveshow-proto/prototype/annotations/admin.js；admin-user-list.html
2. 页面：admin-user-list.html
3. 规则：BR-D351E100C9485A
4. 场景：SC-D053BD83ED7B7E
5. 未动态验证</x:v>
      </x:c>
    </x:row>
    <x:row r="319" ht="54" customHeight="1">
      <x:c r="A319" s="4" t="n">
        <x:v>318</x:v>
      </x:c>
      <x:c r="B319" s="4" t="str">
        <x:v>AUSER-0009</x:v>
      </x:c>
      <x:c r="C319" s="4" t="str">
        <x:v>用户管理</x:v>
      </x:c>
      <x:c r="D319" s="4" t="str">
        <x:v>用户列表（平台管理员视角）</x:v>
      </x:c>
      <x:c r="E319" s="4" t="str">
        <x:v>功能需求</x:v>
      </x:c>
      <x:c r="F319" s="4" t="str">
        <x:v>P2</x:v>
      </x:c>
      <x:c r="G319" s="4" t="str">
        <x:v>验证用户列表可查看用户信息</x:v>
      </x:c>
      <x:c r="H319" s="4" t="str">
        <x:v>用户信息展示</x:v>
      </x:c>
      <x:c r="I319" s="4" t="str">
        <x:v>1. 平台管理员账号已登录且具备当前页面权限</x:v>
      </x:c>
      <x:c r="J319" s="4" t="str">
        <x:v>1. 进入用户列表
2. 查看用户信息</x:v>
      </x:c>
      <x:c r="K319" s="4" t="str">
        <x:v>用户列表显示“用户信息”</x:v>
      </x:c>
      <x:c r="L319" s="4" t="str"/>
      <x:c r="M319" s="4" t="str">
        <x:v>未测</x:v>
      </x:c>
      <x:c r="N319" s="4" t="str"/>
      <x:c r="O319" s="4" t="str">
        <x:v>1. 来源（原型批注）：liveshow-proto/prototype/annotations/admin.js；admin-user-list.html
2. 页面：admin-user-list.html
3. 规则：BR-8C103B4579C78A
4. 场景：SC-E153A2C62F5138
5. 未动态验证</x:v>
      </x:c>
    </x:row>
    <x:row r="320" ht="54" customHeight="1">
      <x:c r="A320" s="4" t="n">
        <x:v>319</x:v>
      </x:c>
      <x:c r="B320" s="4" t="str">
        <x:v>AUSER-0010</x:v>
      </x:c>
      <x:c r="C320" s="4" t="str">
        <x:v>用户管理</x:v>
      </x:c>
      <x:c r="D320" s="4" t="str">
        <x:v>用户列表（平台管理员视角）</x:v>
      </x:c>
      <x:c r="E320" s="4" t="str">
        <x:v>功能需求</x:v>
      </x:c>
      <x:c r="F320" s="4" t="str">
        <x:v>P2</x:v>
      </x:c>
      <x:c r="G320" s="4" t="str">
        <x:v>验证用户列表可查看账号状态</x:v>
      </x:c>
      <x:c r="H320" s="4" t="str">
        <x:v>账号状态展示</x:v>
      </x:c>
      <x:c r="I320" s="4" t="str">
        <x:v>1. 平台管理员账号已登录且具备当前页面权限</x:v>
      </x:c>
      <x:c r="J320" s="4" t="str">
        <x:v>1. 进入用户列表
2. 查看账号状态</x:v>
      </x:c>
      <x:c r="K320" s="4" t="str">
        <x:v>用户列表显示“账号状态”</x:v>
      </x:c>
      <x:c r="L320" s="4" t="str"/>
      <x:c r="M320" s="4" t="str">
        <x:v>未测</x:v>
      </x:c>
      <x:c r="N320" s="4" t="str"/>
      <x:c r="O320" s="4" t="str">
        <x:v>1. 来源（原型批注）：liveshow-proto/prototype/annotations/admin.js；admin-user-list.html
2. 页面：admin-user-list.html
3. 规则：BR-F5F69680001686
4. 场景：SC-17036C0421FD83
5. 未动态验证</x:v>
      </x:c>
    </x:row>
    <x:row r="321" ht="54" customHeight="1">
      <x:c r="A321" s="4" t="n">
        <x:v>320</x:v>
      </x:c>
      <x:c r="B321" s="4" t="str">
        <x:v>AUSER-0011</x:v>
      </x:c>
      <x:c r="C321" s="4" t="str">
        <x:v>用户管理</x:v>
      </x:c>
      <x:c r="D321" s="4" t="str">
        <x:v>用户列表（平台管理员视角）</x:v>
      </x:c>
      <x:c r="E321" s="4" t="str">
        <x:v>功能需求</x:v>
      </x:c>
      <x:c r="F321" s="4" t="str">
        <x:v>P2</x:v>
      </x:c>
      <x:c r="G321" s="4" t="str">
        <x:v>验证用户列表可查看注册时间</x:v>
      </x:c>
      <x:c r="H321" s="4" t="str">
        <x:v>注册时间展示</x:v>
      </x:c>
      <x:c r="I321" s="4" t="str">
        <x:v>1. 平台管理员账号已登录且具备当前页面权限</x:v>
      </x:c>
      <x:c r="J321" s="4" t="str">
        <x:v>1. 进入用户列表
2. 查看注册时间</x:v>
      </x:c>
      <x:c r="K321" s="4" t="str">
        <x:v>用户列表显示“注册时间”</x:v>
      </x:c>
      <x:c r="L321" s="4" t="str"/>
      <x:c r="M321" s="4" t="str">
        <x:v>未测</x:v>
      </x:c>
      <x:c r="N321" s="4" t="str"/>
      <x:c r="O321" s="4" t="str">
        <x:v>1. 来源（原型批注）：liveshow-proto/prototype/annotations/admin.js；admin-user-list.html
2. 页面：admin-user-list.html
3. 规则：BR-C7760EFD49D636、BR-64B73EC0852A77
4. 场景：SC-ABF1E126CB7CAC
5. 未动态验证</x:v>
      </x:c>
    </x:row>
    <x:row r="322" ht="54" customHeight="1">
      <x:c r="A322" s="4" t="n">
        <x:v>321</x:v>
      </x:c>
      <x:c r="B322" s="4" t="str">
        <x:v>AUSER-0012</x:v>
      </x:c>
      <x:c r="C322" s="4" t="str">
        <x:v>用户管理</x:v>
      </x:c>
      <x:c r="D322" s="4" t="str">
        <x:v>用户详情（平台管理员视角）</x:v>
      </x:c>
      <x:c r="E322" s="4" t="str">
        <x:v>功能需求</x:v>
      </x:c>
      <x:c r="F322" s="4" t="str">
        <x:v>P2</x:v>
      </x:c>
      <x:c r="G322" s="4" t="str">
        <x:v>验证用户详情可查看充值流水</x:v>
      </x:c>
      <x:c r="H322" s="4" t="str">
        <x:v>充值流水展示</x:v>
      </x:c>
      <x:c r="I322" s="4" t="str">
        <x:v>1. 平台管理员账号已登录且具备当前页面权限</x:v>
      </x:c>
      <x:c r="J322" s="4" t="str">
        <x:v>1. 进入用户详情
2. 查看充值流水</x:v>
      </x:c>
      <x:c r="K322" s="4" t="str">
        <x:v>用户详情显示“充值流水”</x:v>
      </x:c>
      <x:c r="L322" s="4" t="str"/>
      <x:c r="M322" s="4" t="str">
        <x:v>未测</x:v>
      </x:c>
      <x:c r="N322" s="4" t="str"/>
      <x:c r="O322" s="4" t="str">
        <x:v>1. 来源（原型批注）：liveshow-proto/prototype/annotations/admin.js；admin-user-detail.html
2. 页面：admin-user-detail.html
3. 规则：BR-831CC5A0DBBB67
4. 场景：SC-E9D3FF736964AF
5. 未动态验证</x:v>
      </x:c>
    </x:row>
    <x:row r="323" ht="54" customHeight="1">
      <x:c r="A323" s="4" t="n">
        <x:v>322</x:v>
      </x:c>
      <x:c r="B323" s="4" t="str">
        <x:v>AUSER-0013</x:v>
      </x:c>
      <x:c r="C323" s="4" t="str">
        <x:v>用户管理</x:v>
      </x:c>
      <x:c r="D323" s="4" t="str">
        <x:v>用户详情（平台管理员视角）</x:v>
      </x:c>
      <x:c r="E323" s="4" t="str">
        <x:v>功能需求</x:v>
      </x:c>
      <x:c r="F323" s="4" t="str">
        <x:v>P2</x:v>
      </x:c>
      <x:c r="G323" s="4" t="str">
        <x:v>验证用户详情可查看登录设备</x:v>
      </x:c>
      <x:c r="H323" s="4" t="str">
        <x:v>登录设备展示</x:v>
      </x:c>
      <x:c r="I323" s="4" t="str">
        <x:v>1. 平台管理员账号已登录且具备当前页面权限</x:v>
      </x:c>
      <x:c r="J323" s="4" t="str">
        <x:v>1. 进入用户详情
2. 查看登录设备</x:v>
      </x:c>
      <x:c r="K323" s="4" t="str">
        <x:v>用户详情显示“登录设备”</x:v>
      </x:c>
      <x:c r="L323" s="4" t="str"/>
      <x:c r="M323" s="4" t="str">
        <x:v>未测</x:v>
      </x:c>
      <x:c r="N323" s="4" t="str"/>
      <x:c r="O323" s="4" t="str">
        <x:v>1. 来源（原型批注）：liveshow-proto/prototype/annotations/admin.js；admin-user-detail.html
2. 页面：admin-user-detail.html
3. 规则：BR-1C556446A0987E
4. 场景：SC-ACD01A42D536E2
5. 未动态验证</x:v>
      </x:c>
    </x:row>
    <x:row r="324" ht="54" customHeight="1">
      <x:c r="A324" s="4" t="n">
        <x:v>323</x:v>
      </x:c>
      <x:c r="B324" s="4" t="str">
        <x:v>AUSER-0014</x:v>
      </x:c>
      <x:c r="C324" s="4" t="str">
        <x:v>用户管理</x:v>
      </x:c>
      <x:c r="D324" s="4" t="str">
        <x:v>用户详情（平台管理员视角）</x:v>
      </x:c>
      <x:c r="E324" s="4" t="str">
        <x:v>功能需求</x:v>
      </x:c>
      <x:c r="F324" s="4" t="str">
        <x:v>P2</x:v>
      </x:c>
      <x:c r="G324" s="4" t="str">
        <x:v>验证用户详情可查看关注 / 粉丝</x:v>
      </x:c>
      <x:c r="H324" s="4" t="str">
        <x:v>关注 / 粉丝展示</x:v>
      </x:c>
      <x:c r="I324" s="4" t="str">
        <x:v>1. 平台管理员账号已登录且具备当前页面权限</x:v>
      </x:c>
      <x:c r="J324" s="4" t="str">
        <x:v>1. 进入用户详情
2. 查看关注 / 粉丝</x:v>
      </x:c>
      <x:c r="K324" s="4" t="str">
        <x:v>用户详情显示“关注 / 粉丝”</x:v>
      </x:c>
      <x:c r="L324" s="4" t="str"/>
      <x:c r="M324" s="4" t="str">
        <x:v>未测</x:v>
      </x:c>
      <x:c r="N324" s="4" t="str"/>
      <x:c r="O324" s="4" t="str">
        <x:v>1. 来源（原型批注）：liveshow-proto/prototype/annotations/admin.js；admin-user-detail.html
2. 页面：admin-user-detail.html
3. 规则：BR-49C4621D187511
4. 场景：SC-42F6D500310395
5. 未动态验证</x:v>
      </x:c>
    </x:row>
    <x:row r="325" ht="54" customHeight="1">
      <x:c r="A325" s="4" t="n">
        <x:v>324</x:v>
      </x:c>
      <x:c r="B325" s="4" t="str">
        <x:v>AUSER-0015</x:v>
      </x:c>
      <x:c r="C325" s="4" t="str">
        <x:v>用户管理</x:v>
      </x:c>
      <x:c r="D325" s="4" t="str">
        <x:v>用户详情（平台管理员视角）</x:v>
      </x:c>
      <x:c r="E325" s="4" t="str">
        <x:v>功能需求</x:v>
      </x:c>
      <x:c r="F325" s="4" t="str">
        <x:v>P2</x:v>
      </x:c>
      <x:c r="G325" s="4" t="str">
        <x:v>验证用户详情可查看基础资料</x:v>
      </x:c>
      <x:c r="H325" s="4" t="str">
        <x:v>基础资料展示</x:v>
      </x:c>
      <x:c r="I325" s="4" t="str">
        <x:v>1. 平台管理员账号已登录且具备当前页面权限</x:v>
      </x:c>
      <x:c r="J325" s="4" t="str">
        <x:v>1. 进入用户详情
2. 查看基础资料</x:v>
      </x:c>
      <x:c r="K325" s="4" t="str">
        <x:v>用户详情显示“基础资料”</x:v>
      </x:c>
      <x:c r="L325" s="4" t="str"/>
      <x:c r="M325" s="4" t="str">
        <x:v>未测</x:v>
      </x:c>
      <x:c r="N325" s="4" t="str"/>
      <x:c r="O325" s="4" t="str">
        <x:v>1. 来源（原型批注）：liveshow-proto/prototype/annotations/admin.js；admin-user-detail.html
2. 页面：admin-user-detail.html
3. 规则：BR-02C90CFA30F7E7
4. 场景：SC-ACE94E4F61277F
5. 未动态验证</x:v>
      </x:c>
    </x:row>
    <x:row r="326" ht="54" customHeight="1">
      <x:c r="A326" s="4" t="n">
        <x:v>325</x:v>
      </x:c>
      <x:c r="B326" s="4" t="str">
        <x:v>AUSER-0016</x:v>
      </x:c>
      <x:c r="C326" s="4" t="str">
        <x:v>用户管理</x:v>
      </x:c>
      <x:c r="D326" s="4" t="str">
        <x:v>用户详情（平台管理员视角）</x:v>
      </x:c>
      <x:c r="E326" s="4" t="str">
        <x:v>功能需求</x:v>
      </x:c>
      <x:c r="F326" s="4" t="str">
        <x:v>P2</x:v>
      </x:c>
      <x:c r="G326" s="4" t="str">
        <x:v>验证用户详情可查看金币余额</x:v>
      </x:c>
      <x:c r="H326" s="4" t="str">
        <x:v>金币余额展示</x:v>
      </x:c>
      <x:c r="I326" s="4" t="str">
        <x:v>1. 平台管理员账号已登录且具备当前页面权限</x:v>
      </x:c>
      <x:c r="J326" s="4" t="str">
        <x:v>1. 进入用户详情
2. 查看金币余额</x:v>
      </x:c>
      <x:c r="K326" s="4" t="str">
        <x:v>用户详情显示“金币余额”</x:v>
      </x:c>
      <x:c r="L326" s="4" t="str"/>
      <x:c r="M326" s="4" t="str">
        <x:v>未测</x:v>
      </x:c>
      <x:c r="N326" s="4" t="str"/>
      <x:c r="O326" s="4" t="str">
        <x:v>1. 来源（原型批注）：liveshow-proto/prototype/annotations/admin.js；admin-user-detail.html
2. 页面：admin-user-detail.html
3. 规则：BR-6AB0F89DA39F1F、BR-0345626A3A2D2F
4. 场景：SC-86CE3399025B25
5. 未动态验证</x:v>
      </x:c>
    </x:row>
    <x:row r="327" ht="54" customHeight="1">
      <x:c r="A327" s="4" t="n">
        <x:v>326</x:v>
      </x:c>
      <x:c r="B327" s="4" t="str">
        <x:v>AUSER-0017</x:v>
      </x:c>
      <x:c r="C327" s="4" t="str">
        <x:v>用户管理</x:v>
      </x:c>
      <x:c r="D327" s="4" t="str">
        <x:v>用户详情（平台管理员视角）</x:v>
      </x:c>
      <x:c r="E327" s="4" t="str">
        <x:v>功能需求</x:v>
      </x:c>
      <x:c r="F327" s="4" t="str">
        <x:v>P2</x:v>
      </x:c>
      <x:c r="G327" s="4" t="str">
        <x:v>验证用户详情可查看违规记录</x:v>
      </x:c>
      <x:c r="H327" s="4" t="str">
        <x:v>违规记录展示</x:v>
      </x:c>
      <x:c r="I327" s="4" t="str">
        <x:v>1. 平台管理员账号已登录且具备当前页面权限</x:v>
      </x:c>
      <x:c r="J327" s="4" t="str">
        <x:v>1. 进入用户详情
2. 查看违规记录</x:v>
      </x:c>
      <x:c r="K327" s="4" t="str">
        <x:v>用户详情显示“违规记录”</x:v>
      </x:c>
      <x:c r="L327" s="4" t="str"/>
      <x:c r="M327" s="4" t="str">
        <x:v>未测</x:v>
      </x:c>
      <x:c r="N327" s="4" t="str"/>
      <x:c r="O327" s="4" t="str">
        <x:v>1. 来源（原型批注）：liveshow-proto/prototype/annotations/admin.js；admin-user-detail.html
2. 页面：admin-user-detail.html
3. 规则：BR-4E9A7D0E1CEC44
4. 场景：SC-9B164C482DBB1E
5. 未动态验证</x:v>
      </x:c>
    </x:row>
    <x:row r="328" ht="54" customHeight="1">
      <x:c r="A328" s="4" t="n">
        <x:v>327</x:v>
      </x:c>
      <x:c r="B328" s="4" t="str">
        <x:v>AUSER-0018</x:v>
      </x:c>
      <x:c r="C328" s="4" t="str">
        <x:v>用户管理</x:v>
      </x:c>
      <x:c r="D328" s="4" t="str">
        <x:v>用户详情（平台管理员视角）</x:v>
      </x:c>
      <x:c r="E328" s="4" t="str">
        <x:v>功能需求</x:v>
      </x:c>
      <x:c r="F328" s="4" t="str">
        <x:v>P2</x:v>
      </x:c>
      <x:c r="G328" s="4" t="str">
        <x:v>验证用户详情可查看消费流水</x:v>
      </x:c>
      <x:c r="H328" s="4" t="str">
        <x:v>消费流水展示</x:v>
      </x:c>
      <x:c r="I328" s="4" t="str">
        <x:v>1. 平台管理员账号已登录且具备当前页面权限</x:v>
      </x:c>
      <x:c r="J328" s="4" t="str">
        <x:v>1. 进入用户详情
2. 查看消费流水</x:v>
      </x:c>
      <x:c r="K328" s="4" t="str">
        <x:v>用户详情显示“消费流水”</x:v>
      </x:c>
      <x:c r="L328" s="4" t="str"/>
      <x:c r="M328" s="4" t="str">
        <x:v>未测</x:v>
      </x:c>
      <x:c r="N328" s="4" t="str"/>
      <x:c r="O328" s="4" t="str">
        <x:v>1. 来源（原型批注）：liveshow-proto/prototype/annotations/admin.js；admin-user-detail.html
2. 页面：admin-user-detail.html
3. 规则：BR-BF2033237ECD86
4. 场景：SC-680FDFE6AD68B3
5. 未动态验证</x:v>
      </x:c>
    </x:row>
    <x:row r="329" ht="54" customHeight="1">
      <x:c r="A329" s="4" t="n">
        <x:v>328</x:v>
      </x:c>
      <x:c r="B329" s="4" t="str">
        <x:v>AUSER-0019</x:v>
      </x:c>
      <x:c r="C329" s="4" t="str">
        <x:v>用户管理</x:v>
      </x:c>
      <x:c r="D329" s="4" t="str">
        <x:v>用户详情（平台管理员视角）</x:v>
      </x:c>
      <x:c r="E329" s="4" t="str">
        <x:v>业务流程</x:v>
      </x:c>
      <x:c r="F329" s="4" t="str">
        <x:v>P2</x:v>
      </x:c>
      <x:c r="G329" s="4" t="str">
        <x:v>验证账号处置后的用户详情状态</x:v>
      </x:c>
      <x:c r="H329" s="4" t="str">
        <x:v>用户详情状态</x:v>
      </x:c>
      <x:c r="I329" s="4" t="str">
        <x:v>1. 平台管理员账号已登录且具备当前页面权限
2. 账号处置</x:v>
      </x:c>
      <x:c r="J329" s="4" t="str">
        <x:v>1. 进入用户详情
2. 刷新用户详情</x:v>
      </x:c>
      <x:c r="K329" s="4" t="str">
        <x:v>更新并留痕</x:v>
      </x:c>
      <x:c r="L329" s="4" t="str"/>
      <x:c r="M329" s="4" t="str">
        <x:v>未测</x:v>
      </x:c>
      <x:c r="N329" s="4" t="str"/>
      <x:c r="O329" s="4" t="str">
        <x:v>1. 来源（原型批注）：liveshow-proto/prototype/annotations/admin.js；admin-user-detail.html
2. 页面：admin-user-detail.html
3. 规则：BR-100A02C5977873
4. 场景：SC-434A9F4211B3F9
5. 未动态验证</x:v>
      </x:c>
    </x:row>
    <x:row r="330" ht="54" customHeight="1">
      <x:c r="A330" s="4" t="n">
        <x:v>329</x:v>
      </x:c>
      <x:c r="B330" s="4" t="str">
        <x:v>AOPS-0001</x:v>
      </x:c>
      <x:c r="C330" s="4" t="str">
        <x:v>运营配置</x:v>
      </x:c>
      <x:c r="D330" s="4" t="str">
        <x:v>充值套餐（平台管理员视角）</x:v>
      </x:c>
      <x:c r="E330" s="4" t="str">
        <x:v>功能需求</x:v>
      </x:c>
      <x:c r="F330" s="4" t="str">
        <x:v>P1</x:v>
      </x:c>
      <x:c r="G330" s="4" t="str">
        <x:v>验证常规长期时的充值套餐结果</x:v>
      </x:c>
      <x:c r="H330" s="4" t="str">
        <x:v>充值套餐条件结果</x:v>
      </x:c>
      <x:c r="I330" s="4" t="str">
        <x:v>1. 平台管理员账号已登录且具备当前页面权限
2. 常规长期</x:v>
      </x:c>
      <x:c r="J330" s="4" t="str">
        <x:v>1. 进入充值套餐
2. 查看充值套餐</x:v>
      </x:c>
      <x:c r="K330" s="4" t="str">
        <x:v>常规长期展示</x:v>
      </x:c>
      <x:c r="L330" s="4" t="str"/>
      <x:c r="M330" s="4" t="str">
        <x:v>未测</x:v>
      </x:c>
      <x:c r="N330" s="4" t="str"/>
      <x:c r="O330" s="4" t="str">
        <x:v>1. 来源（原型批注）：liveshow-proto/prototype/annotations/admin.js；admin-recharge-package.html
2. 页面：admin-recharge-package.html
3. 规则：BR-77EAE32C46AFB5
4. 场景：SC-BBA34D106A63F0
5. 未动态验证</x:v>
      </x:c>
    </x:row>
    <x:row r="331" ht="54" customHeight="1">
      <x:c r="A331" s="4" t="n">
        <x:v>330</x:v>
      </x:c>
      <x:c r="B331" s="4" t="str">
        <x:v>AOPS-0002</x:v>
      </x:c>
      <x:c r="C331" s="4" t="str">
        <x:v>运营配置</x:v>
      </x:c>
      <x:c r="D331" s="4" t="str">
        <x:v>充值套餐（平台管理员视角）</x:v>
      </x:c>
      <x:c r="E331" s="4" t="str">
        <x:v>功能需求</x:v>
      </x:c>
      <x:c r="F331" s="4" t="str">
        <x:v>P1</x:v>
      </x:c>
      <x:c r="G331" s="4" t="str">
        <x:v>验证充值套餐可查看充值 / 赠送金币</x:v>
      </x:c>
      <x:c r="H331" s="4" t="str">
        <x:v>充值 / 赠送金币展示</x:v>
      </x:c>
      <x:c r="I331" s="4" t="str">
        <x:v>1. 平台管理员账号已登录且具备当前页面权限</x:v>
      </x:c>
      <x:c r="J331" s="4" t="str">
        <x:v>1. 进入充值套餐
2. 查看充值 / 赠送金币</x:v>
      </x:c>
      <x:c r="K331" s="4" t="str">
        <x:v>充值套餐显示“充值 / 赠送金币”</x:v>
      </x:c>
      <x:c r="L331" s="4" t="str"/>
      <x:c r="M331" s="4" t="str">
        <x:v>未测</x:v>
      </x:c>
      <x:c r="N331" s="4" t="str"/>
      <x:c r="O331" s="4" t="str">
        <x:v>1. 来源（原型批注）：liveshow-proto/prototype/annotations/admin.js；admin-recharge-package.html
2. 页面：admin-recharge-package.html
3. 规则：BR-74D310180942E2、BR-8D66A569C5B7AB
4. 场景：SC-9DEDE00E94E494
5. 未动态验证</x:v>
      </x:c>
    </x:row>
    <x:row r="332" ht="54" customHeight="1">
      <x:c r="A332" s="4" t="n">
        <x:v>331</x:v>
      </x:c>
      <x:c r="B332" s="4" t="str">
        <x:v>AOPS-0003</x:v>
      </x:c>
      <x:c r="C332" s="4" t="str">
        <x:v>运营配置</x:v>
      </x:c>
      <x:c r="D332" s="4" t="str">
        <x:v>充值套餐（平台管理员视角）</x:v>
      </x:c>
      <x:c r="E332" s="4" t="str">
        <x:v>功能需求</x:v>
      </x:c>
      <x:c r="F332" s="4" t="str">
        <x:v>P1</x:v>
      </x:c>
      <x:c r="G332" s="4" t="str">
        <x:v>验证充值套餐可查看单用户限购</x:v>
      </x:c>
      <x:c r="H332" s="4" t="str">
        <x:v>单用户限购展示</x:v>
      </x:c>
      <x:c r="I332" s="4" t="str">
        <x:v>1. 平台管理员账号已登录且具备当前页面权限</x:v>
      </x:c>
      <x:c r="J332" s="4" t="str">
        <x:v>1. 进入充值套餐
2. 查看单用户限购</x:v>
      </x:c>
      <x:c r="K332" s="4" t="str">
        <x:v>充值套餐显示“单用户限购”</x:v>
      </x:c>
      <x:c r="L332" s="4" t="str"/>
      <x:c r="M332" s="4" t="str">
        <x:v>未测</x:v>
      </x:c>
      <x:c r="N332" s="4" t="str"/>
      <x:c r="O332" s="4" t="str">
        <x:v>1. 来源（原型批注）：liveshow-proto/prototype/annotations/admin.js；admin-recharge-package.html
2. 页面：admin-recharge-package.html
3. 规则：BR-58E41F683D3371、BR-6202A61EE7CA99
4. 场景：SC-7F8318172BD49B
5. 未动态验证</x:v>
      </x:c>
    </x:row>
    <x:row r="333" ht="54" customHeight="1">
      <x:c r="A333" s="4" t="n">
        <x:v>332</x:v>
      </x:c>
      <x:c r="B333" s="4" t="str">
        <x:v>AOPS-0004</x:v>
      </x:c>
      <x:c r="C333" s="4" t="str">
        <x:v>运营配置</x:v>
      </x:c>
      <x:c r="D333" s="4" t="str">
        <x:v>充值套餐（平台管理员视角）</x:v>
      </x:c>
      <x:c r="E333" s="4" t="str">
        <x:v>功能需求</x:v>
      </x:c>
      <x:c r="F333" s="4" t="str">
        <x:v>P1</x:v>
      </x:c>
      <x:c r="G333" s="4" t="str">
        <x:v>验证充值套餐可查看排序 / 状态</x:v>
      </x:c>
      <x:c r="H333" s="4" t="str">
        <x:v>排序 / 状态展示</x:v>
      </x:c>
      <x:c r="I333" s="4" t="str">
        <x:v>1. 平台管理员账号已登录且具备当前页面权限</x:v>
      </x:c>
      <x:c r="J333" s="4" t="str">
        <x:v>1. 进入充值套餐
2. 查看排序 / 状态</x:v>
      </x:c>
      <x:c r="K333" s="4" t="str">
        <x:v>充值套餐显示“排序 / 状态”</x:v>
      </x:c>
      <x:c r="L333" s="4" t="str"/>
      <x:c r="M333" s="4" t="str">
        <x:v>未测</x:v>
      </x:c>
      <x:c r="N333" s="4" t="str"/>
      <x:c r="O333" s="4" t="str">
        <x:v>1. 来源（原型批注）：liveshow-proto/prototype/annotations/admin.js；admin-recharge-package.html
2. 页面：admin-recharge-package.html
3. 规则：BR-61E2EB77AA3212、BR-D76DE6EFB37CBD
4. 场景：SC-672104EE51CC19
5. 未动态验证</x:v>
      </x:c>
    </x:row>
    <x:row r="334" ht="54" customHeight="1">
      <x:c r="A334" s="4" t="n">
        <x:v>333</x:v>
      </x:c>
      <x:c r="B334" s="4" t="str">
        <x:v>AOPS-0005</x:v>
      </x:c>
      <x:c r="C334" s="4" t="str">
        <x:v>运营配置</x:v>
      </x:c>
      <x:c r="D334" s="4" t="str">
        <x:v>充值套餐（平台管理员视角）</x:v>
      </x:c>
      <x:c r="E334" s="4" t="str">
        <x:v>功能需求</x:v>
      </x:c>
      <x:c r="F334" s="4" t="str">
        <x:v>P1</x:v>
      </x:c>
      <x:c r="G334" s="4" t="str">
        <x:v>验证充值套餐可查看套餐类型</x:v>
      </x:c>
      <x:c r="H334" s="4" t="str">
        <x:v>套餐类型展示</x:v>
      </x:c>
      <x:c r="I334" s="4" t="str">
        <x:v>1. 平台管理员账号已登录且具备当前页面权限</x:v>
      </x:c>
      <x:c r="J334" s="4" t="str">
        <x:v>1. 进入充值套餐
2. 查看套餐类型</x:v>
      </x:c>
      <x:c r="K334" s="4" t="str">
        <x:v>充值套餐显示“套餐类型”</x:v>
      </x:c>
      <x:c r="L334" s="4" t="str"/>
      <x:c r="M334" s="4" t="str">
        <x:v>未测</x:v>
      </x:c>
      <x:c r="N334" s="4" t="str"/>
      <x:c r="O334" s="4" t="str">
        <x:v>1. 来源（原型批注）：liveshow-proto/prototype/annotations/admin.js；admin-recharge-package.html
2. 页面：admin-recharge-package.html
3. 规则：BR-77EAE32C46AFB5、BR-D3EC9ACFA6134A
4. 场景：SC-FD776CB288F23C
5. 未动态验证</x:v>
      </x:c>
    </x:row>
    <x:row r="335" ht="54" customHeight="1">
      <x:c r="A335" s="4" t="n">
        <x:v>334</x:v>
      </x:c>
      <x:c r="B335" s="4" t="str">
        <x:v>AOPS-0006</x:v>
      </x:c>
      <x:c r="C335" s="4" t="str">
        <x:v>运营配置</x:v>
      </x:c>
      <x:c r="D335" s="4" t="str">
        <x:v>充值套餐（平台管理员视角）</x:v>
      </x:c>
      <x:c r="E335" s="4" t="str">
        <x:v>功能需求</x:v>
      </x:c>
      <x:c r="F335" s="4" t="str">
        <x:v>P1</x:v>
      </x:c>
      <x:c r="G335" s="4" t="str">
        <x:v>验证充值套餐可查看销售价格</x:v>
      </x:c>
      <x:c r="H335" s="4" t="str">
        <x:v>销售价格展示</x:v>
      </x:c>
      <x:c r="I335" s="4" t="str">
        <x:v>1. 平台管理员账号已登录且具备当前页面权限</x:v>
      </x:c>
      <x:c r="J335" s="4" t="str">
        <x:v>1. 进入充值套餐
2. 查看销售价格</x:v>
      </x:c>
      <x:c r="K335" s="4" t="str">
        <x:v>充值套餐显示“销售价格”</x:v>
      </x:c>
      <x:c r="L335" s="4" t="str"/>
      <x:c r="M335" s="4" t="str">
        <x:v>未测</x:v>
      </x:c>
      <x:c r="N335" s="4" t="str"/>
      <x:c r="O335" s="4" t="str">
        <x:v>1. 来源（原型批注）：liveshow-proto/prototype/annotations/admin.js；admin-recharge-package.html
2. 页面：admin-recharge-package.html
3. 规则：BR-536FB534F46565
4. 场景：SC-6900A17143007F
5. 未动态验证</x:v>
      </x:c>
    </x:row>
    <x:row r="336" ht="54" customHeight="1">
      <x:c r="A336" s="4" t="n">
        <x:v>335</x:v>
      </x:c>
      <x:c r="B336" s="4" t="str">
        <x:v>AOPS-0007</x:v>
      </x:c>
      <x:c r="C336" s="4" t="str">
        <x:v>运营配置</x:v>
      </x:c>
      <x:c r="D336" s="4" t="str">
        <x:v>充值套餐（平台管理员视角）</x:v>
      </x:c>
      <x:c r="E336" s="4" t="str">
        <x:v>功能需求</x:v>
      </x:c>
      <x:c r="F336" s="4" t="str">
        <x:v>P1</x:v>
      </x:c>
      <x:c r="G336" s="4" t="str">
        <x:v>验证活动按有效期时的充值套餐结果</x:v>
      </x:c>
      <x:c r="H336" s="4" t="str">
        <x:v>充值套餐条件结果</x:v>
      </x:c>
      <x:c r="I336" s="4" t="str">
        <x:v>1. 平台管理员账号已登录且具备当前页面权限
2. 活动按有效期</x:v>
      </x:c>
      <x:c r="J336" s="4" t="str">
        <x:v>1. 进入充值套餐
2. 查看充值套餐</x:v>
      </x:c>
      <x:c r="K336" s="4" t="str">
        <x:v>活动按有效期展示</x:v>
      </x:c>
      <x:c r="L336" s="4" t="str"/>
      <x:c r="M336" s="4" t="str">
        <x:v>未测</x:v>
      </x:c>
      <x:c r="N336" s="4" t="str"/>
      <x:c r="O336" s="4" t="str">
        <x:v>1. 来源（原型批注）：liveshow-proto/prototype/annotations/admin.js；admin-recharge-package.html
2. 页面：admin-recharge-package.html
3. 规则：BR-D3EC9ACFA6134A
4. 场景：SC-CF289FCB4D378F
5. 未动态验证</x:v>
      </x:c>
    </x:row>
    <x:row r="337" ht="54" customHeight="1">
      <x:c r="A337" s="4" t="n">
        <x:v>336</x:v>
      </x:c>
      <x:c r="B337" s="4" t="str">
        <x:v>AOPS-0008</x:v>
      </x:c>
      <x:c r="C337" s="4" t="str">
        <x:v>运营配置</x:v>
      </x:c>
      <x:c r="D337" s="4" t="str">
        <x:v>充值套餐（平台管理员视角）</x:v>
      </x:c>
      <x:c r="E337" s="4" t="str">
        <x:v>异常用例</x:v>
      </x:c>
      <x:c r="F337" s="4" t="str">
        <x:v>P1</x:v>
      </x:c>
      <x:c r="G337" s="4" t="str">
        <x:v>验证下架后的充值套餐状态</x:v>
      </x:c>
      <x:c r="H337" s="4" t="str">
        <x:v>充值套餐状态</x:v>
      </x:c>
      <x:c r="I337" s="4" t="str">
        <x:v>1. 平台管理员账号已登录且具备当前页面权限
2. 下架</x:v>
      </x:c>
      <x:c r="J337" s="4" t="str">
        <x:v>1. 进入充值套餐
2. 刷新充值套餐</x:v>
      </x:c>
      <x:c r="K337" s="4" t="str">
        <x:v>不可新购</x:v>
      </x:c>
      <x:c r="L337" s="4" t="str"/>
      <x:c r="M337" s="4" t="str">
        <x:v>未测</x:v>
      </x:c>
      <x:c r="N337" s="4" t="str"/>
      <x:c r="O337" s="4" t="str">
        <x:v>1. 来源（原型批注）：liveshow-proto/prototype/annotations/admin.js；admin-recharge-package.html
2. 页面：admin-recharge-package.html
3. 规则：BR-D76DE6EFB37CBD
4. 场景：SC-E3AEFF88903EFE
5. 未动态验证</x:v>
      </x:c>
    </x:row>
    <x:row r="338" ht="54" customHeight="1">
      <x:c r="A338" s="4" t="n">
        <x:v>337</x:v>
      </x:c>
      <x:c r="B338" s="4" t="str">
        <x:v>AOPS-0009</x:v>
      </x:c>
      <x:c r="C338" s="4" t="str">
        <x:v>运营配置</x:v>
      </x:c>
      <x:c r="D338" s="4" t="str">
        <x:v>充值套餐编辑（平台管理员视角）</x:v>
      </x:c>
      <x:c r="E338" s="4" t="str">
        <x:v>业务流程</x:v>
      </x:c>
      <x:c r="F338" s="4" t="str">
        <x:v>P1</x:v>
      </x:c>
      <x:c r="G338" s="4" t="str">
        <x:v>验证保存后的充值套餐编辑状态</x:v>
      </x:c>
      <x:c r="H338" s="4" t="str">
        <x:v>充值套餐编辑状态</x:v>
      </x:c>
      <x:c r="I338" s="4" t="str">
        <x:v>1. 平台管理员账号已登录且具备当前页面权限</x:v>
      </x:c>
      <x:c r="J338" s="4" t="str">
        <x:v>1. 进入充值套餐编辑
2. 保存</x:v>
      </x:c>
      <x:c r="K338" s="4" t="str">
        <x:v>校验后更新</x:v>
      </x:c>
      <x:c r="L338" s="4" t="str"/>
      <x:c r="M338" s="4" t="str">
        <x:v>未测</x:v>
      </x:c>
      <x:c r="N338" s="4" t="str"/>
      <x:c r="O338" s="4" t="str">
        <x:v>1. 来源（原型批注）：liveshow-proto/prototype/annotations/admin.js；admin-recharge-package-detail.html
2. 页面：admin-recharge-package-detail.html
3. 规则：BR-FAA8659C28D533
4. 场景：SC-85747C7A3ACEE8
5. 未动态验证</x:v>
      </x:c>
    </x:row>
    <x:row r="339" ht="54" customHeight="1">
      <x:c r="A339" s="4" t="n">
        <x:v>338</x:v>
      </x:c>
      <x:c r="B339" s="4" t="str">
        <x:v>AOPS-0010</x:v>
      </x:c>
      <x:c r="C339" s="4" t="str">
        <x:v>运营配置</x:v>
      </x:c>
      <x:c r="D339" s="4" t="str">
        <x:v>充值套餐编辑（平台管理员视角）</x:v>
      </x:c>
      <x:c r="E339" s="4" t="str">
        <x:v>功能需求</x:v>
      </x:c>
      <x:c r="F339" s="4" t="str">
        <x:v>P1</x:v>
      </x:c>
      <x:c r="G339" s="4" t="str">
        <x:v>验证充值套餐编辑可查看充值 / 赠送金币</x:v>
      </x:c>
      <x:c r="H339" s="4" t="str">
        <x:v>充值 / 赠送金币展示</x:v>
      </x:c>
      <x:c r="I339" s="4" t="str">
        <x:v>1. 平台管理员账号已登录且具备当前页面权限</x:v>
      </x:c>
      <x:c r="J339" s="4" t="str">
        <x:v>1. 进入充值套餐编辑
2. 查看充值 / 赠送金币</x:v>
      </x:c>
      <x:c r="K339" s="4" t="str">
        <x:v>充值套餐编辑显示“充值 / 赠送金币”</x:v>
      </x:c>
      <x:c r="L339" s="4" t="str"/>
      <x:c r="M339" s="4" t="str">
        <x:v>未测</x:v>
      </x:c>
      <x:c r="N339" s="4" t="str"/>
      <x:c r="O339" s="4" t="str">
        <x:v>1. 来源（原型批注）：liveshow-proto/prototype/annotations/admin.js；admin-recharge-package-detail.html
2. 页面：admin-recharge-package-detail.html
3. 规则：BR-3E171DD12BC0AA、BR-F85742D66E0C43
4. 场景：SC-5EC39D950BEB81
5. 未动态验证</x:v>
      </x:c>
    </x:row>
    <x:row r="340" ht="54" customHeight="1">
      <x:c r="A340" s="4" t="n">
        <x:v>339</x:v>
      </x:c>
      <x:c r="B340" s="4" t="str">
        <x:v>AOPS-0011</x:v>
      </x:c>
      <x:c r="C340" s="4" t="str">
        <x:v>运营配置</x:v>
      </x:c>
      <x:c r="D340" s="4" t="str">
        <x:v>充值套餐编辑（平台管理员视角）</x:v>
      </x:c>
      <x:c r="E340" s="4" t="str">
        <x:v>功能需求</x:v>
      </x:c>
      <x:c r="F340" s="4" t="str">
        <x:v>P1</x:v>
      </x:c>
      <x:c r="G340" s="4" t="str">
        <x:v>验证充值套餐编辑可查看类型 / 封面</x:v>
      </x:c>
      <x:c r="H340" s="4" t="str">
        <x:v>类型 / 封面展示</x:v>
      </x:c>
      <x:c r="I340" s="4" t="str">
        <x:v>1. 平台管理员账号已登录且具备当前页面权限</x:v>
      </x:c>
      <x:c r="J340" s="4" t="str">
        <x:v>1. 进入充值套餐编辑
2. 查看类型 / 封面</x:v>
      </x:c>
      <x:c r="K340" s="4" t="str">
        <x:v>充值套餐编辑显示“类型 / 封面”</x:v>
      </x:c>
      <x:c r="L340" s="4" t="str"/>
      <x:c r="M340" s="4" t="str">
        <x:v>未测</x:v>
      </x:c>
      <x:c r="N340" s="4" t="str"/>
      <x:c r="O340" s="4" t="str">
        <x:v>1. 来源（原型批注）：liveshow-proto/prototype/annotations/admin.js；admin-recharge-package-detail.html
2. 页面：admin-recharge-package-detail.html
3. 规则：BR-1BDABCC211D5E9
4. 场景：SC-07802F67FF8AB4
5. 未动态验证</x:v>
      </x:c>
    </x:row>
    <x:row r="341" ht="54" customHeight="1">
      <x:c r="A341" s="4" t="n">
        <x:v>340</x:v>
      </x:c>
      <x:c r="B341" s="4" t="str">
        <x:v>AOPS-0012</x:v>
      </x:c>
      <x:c r="C341" s="4" t="str">
        <x:v>运营配置</x:v>
      </x:c>
      <x:c r="D341" s="4" t="str">
        <x:v>充值套餐编辑（平台管理员视角）</x:v>
      </x:c>
      <x:c r="E341" s="4" t="str">
        <x:v>功能需求</x:v>
      </x:c>
      <x:c r="F341" s="4" t="str">
        <x:v>P1</x:v>
      </x:c>
      <x:c r="G341" s="4" t="str">
        <x:v>验证充值套餐编辑可查看排序 / 状态</x:v>
      </x:c>
      <x:c r="H341" s="4" t="str">
        <x:v>排序 / 状态展示</x:v>
      </x:c>
      <x:c r="I341" s="4" t="str">
        <x:v>1. 平台管理员账号已登录且具备当前页面权限</x:v>
      </x:c>
      <x:c r="J341" s="4" t="str">
        <x:v>1. 进入充值套餐编辑
2. 查看排序 / 状态</x:v>
      </x:c>
      <x:c r="K341" s="4" t="str">
        <x:v>充值套餐编辑显示“排序 / 状态”</x:v>
      </x:c>
      <x:c r="L341" s="4" t="str"/>
      <x:c r="M341" s="4" t="str">
        <x:v>未测</x:v>
      </x:c>
      <x:c r="N341" s="4" t="str"/>
      <x:c r="O341" s="4" t="str">
        <x:v>1. 来源（原型批注）：liveshow-proto/prototype/annotations/admin.js；admin-recharge-package-detail.html
2. 页面：admin-recharge-package-detail.html
3. 规则：BR-32097BEEA0B885、BR-41329D91A752D3
4. 场景：SC-6F2D0AF3C52BCF
5. 未动态验证</x:v>
      </x:c>
    </x:row>
    <x:row r="342" ht="54" customHeight="1">
      <x:c r="A342" s="4" t="n">
        <x:v>341</x:v>
      </x:c>
      <x:c r="B342" s="4" t="str">
        <x:v>AOPS-0013</x:v>
      </x:c>
      <x:c r="C342" s="4" t="str">
        <x:v>运营配置</x:v>
      </x:c>
      <x:c r="D342" s="4" t="str">
        <x:v>充值套餐编辑（平台管理员视角）</x:v>
      </x:c>
      <x:c r="E342" s="4" t="str">
        <x:v>功能需求</x:v>
      </x:c>
      <x:c r="F342" s="4" t="str">
        <x:v>P1</x:v>
      </x:c>
      <x:c r="G342" s="4" t="str">
        <x:v>验证充值套餐编辑可查看套餐 ID</x:v>
      </x:c>
      <x:c r="H342" s="4" t="str">
        <x:v>套餐 ID展示</x:v>
      </x:c>
      <x:c r="I342" s="4" t="str">
        <x:v>1. 平台管理员账号已登录且具备当前页面权限</x:v>
      </x:c>
      <x:c r="J342" s="4" t="str">
        <x:v>1. 进入充值套餐编辑
2. 查看套餐 ID</x:v>
      </x:c>
      <x:c r="K342" s="4" t="str">
        <x:v>充值套餐编辑显示“套餐 ID”</x:v>
      </x:c>
      <x:c r="L342" s="4" t="str"/>
      <x:c r="M342" s="4" t="str">
        <x:v>未测</x:v>
      </x:c>
      <x:c r="N342" s="4" t="str"/>
      <x:c r="O342" s="4" t="str">
        <x:v>1. 来源（原型批注）：liveshow-proto/prototype/annotations/admin.js；admin-recharge-package-detail.html
2. 页面：admin-recharge-package-detail.html
3. 规则：BR-4D92D5BB9DFEB7
4. 场景：SC-47FD660E070E99
5. 未动态验证</x:v>
      </x:c>
    </x:row>
    <x:row r="343" ht="54" customHeight="1">
      <x:c r="A343" s="4" t="n">
        <x:v>342</x:v>
      </x:c>
      <x:c r="B343" s="4" t="str">
        <x:v>AOPS-0014</x:v>
      </x:c>
      <x:c r="C343" s="4" t="str">
        <x:v>运营配置</x:v>
      </x:c>
      <x:c r="D343" s="4" t="str">
        <x:v>充值套餐编辑（平台管理员视角）</x:v>
      </x:c>
      <x:c r="E343" s="4" t="str">
        <x:v>功能需求</x:v>
      </x:c>
      <x:c r="F343" s="4" t="str">
        <x:v>P1</x:v>
      </x:c>
      <x:c r="G343" s="4" t="str">
        <x:v>验证充值套餐编辑可查看限购次数</x:v>
      </x:c>
      <x:c r="H343" s="4" t="str">
        <x:v>限购次数展示</x:v>
      </x:c>
      <x:c r="I343" s="4" t="str">
        <x:v>1. 平台管理员账号已登录且具备当前页面权限</x:v>
      </x:c>
      <x:c r="J343" s="4" t="str">
        <x:v>1. 进入充值套餐编辑
2. 查看限购次数</x:v>
      </x:c>
      <x:c r="K343" s="4" t="str">
        <x:v>充值套餐编辑显示“限购次数”</x:v>
      </x:c>
      <x:c r="L343" s="4" t="str"/>
      <x:c r="M343" s="4" t="str">
        <x:v>未测</x:v>
      </x:c>
      <x:c r="N343" s="4" t="str"/>
      <x:c r="O343" s="4" t="str">
        <x:v>1. 来源（原型批注）：liveshow-proto/prototype/annotations/admin.js；admin-recharge-package-detail.html
2. 页面：admin-recharge-package-detail.html
3. 规则：BR-D44F4A7E2B28F8、BR-9E0B4B77D9B689
4. 场景：SC-4D1A5302979865
5. 未动态验证</x:v>
      </x:c>
    </x:row>
    <x:row r="344" ht="54" customHeight="1">
      <x:c r="A344" s="4" t="n">
        <x:v>343</x:v>
      </x:c>
      <x:c r="B344" s="4" t="str">
        <x:v>AOPS-0015</x:v>
      </x:c>
      <x:c r="C344" s="4" t="str">
        <x:v>运营配置</x:v>
      </x:c>
      <x:c r="D344" s="4" t="str">
        <x:v>充值套餐编辑（平台管理员视角）</x:v>
      </x:c>
      <x:c r="E344" s="4" t="str">
        <x:v>功能需求</x:v>
      </x:c>
      <x:c r="F344" s="4" t="str">
        <x:v>P1</x:v>
      </x:c>
      <x:c r="G344" s="4" t="str">
        <x:v>验证充值套餐编辑可查看销售价格</x:v>
      </x:c>
      <x:c r="H344" s="4" t="str">
        <x:v>销售价格展示</x:v>
      </x:c>
      <x:c r="I344" s="4" t="str">
        <x:v>1. 平台管理员账号已登录且具备当前页面权限</x:v>
      </x:c>
      <x:c r="J344" s="4" t="str">
        <x:v>1. 进入充值套餐编辑
2. 查看销售价格</x:v>
      </x:c>
      <x:c r="K344" s="4" t="str">
        <x:v>充值套餐编辑显示“销售价格”</x:v>
      </x:c>
      <x:c r="L344" s="4" t="str"/>
      <x:c r="M344" s="4" t="str">
        <x:v>未测</x:v>
      </x:c>
      <x:c r="N344" s="4" t="str"/>
      <x:c r="O344" s="4" t="str">
        <x:v>1. 来源（原型批注）：liveshow-proto/prototype/annotations/admin.js；admin-recharge-package-detail.html
2. 页面：admin-recharge-package-detail.html
3. 规则：BR-9548EFBCF0310D
4. 场景：SC-127A3C0D0BBBDC
5. 未动态验证</x:v>
      </x:c>
    </x:row>
    <x:row r="345" ht="54" customHeight="1">
      <x:c r="A345" s="4" t="n">
        <x:v>344</x:v>
      </x:c>
      <x:c r="B345" s="4" t="str">
        <x:v>AOPS-0016</x:v>
      </x:c>
      <x:c r="C345" s="4" t="str">
        <x:v>运营配置</x:v>
      </x:c>
      <x:c r="D345" s="4" t="str">
        <x:v>充值套餐编辑（平台管理员视角）</x:v>
      </x:c>
      <x:c r="E345" s="4" t="str">
        <x:v>功能需求</x:v>
      </x:c>
      <x:c r="F345" s="4" t="str">
        <x:v>P1</x:v>
      </x:c>
      <x:c r="G345" s="4" t="str">
        <x:v>验证充值套餐编辑可查看有效时间</x:v>
      </x:c>
      <x:c r="H345" s="4" t="str">
        <x:v>有效时间展示</x:v>
      </x:c>
      <x:c r="I345" s="4" t="str">
        <x:v>1. 平台管理员账号已登录且具备当前页面权限</x:v>
      </x:c>
      <x:c r="J345" s="4" t="str">
        <x:v>1. 进入充值套餐编辑
2. 查看有效时间</x:v>
      </x:c>
      <x:c r="K345" s="4" t="str">
        <x:v>充值套餐编辑显示“有效时间”</x:v>
      </x:c>
      <x:c r="L345" s="4" t="str"/>
      <x:c r="M345" s="4" t="str">
        <x:v>未测</x:v>
      </x:c>
      <x:c r="N345" s="4" t="str"/>
      <x:c r="O345" s="4" t="str">
        <x:v>1. 来源（原型批注）：liveshow-proto/prototype/annotations/admin.js；admin-recharge-package-detail.html
2. 页面：admin-recharge-package-detail.html
3. 规则：BR-5FA0FBB324BEB0
4. 场景：SC-542C15827C9040
5. 未动态验证</x:v>
      </x:c>
    </x:row>
    <x:row r="346" ht="54" customHeight="1">
      <x:c r="A346" s="4" t="n">
        <x:v>345</x:v>
      </x:c>
      <x:c r="B346" s="4" t="str">
        <x:v>AOPS-0017</x:v>
      </x:c>
      <x:c r="C346" s="4" t="str">
        <x:v>运营配置</x:v>
      </x:c>
      <x:c r="D346" s="4" t="str">
        <x:v>充值套餐编辑（平台管理员视角）</x:v>
      </x:c>
      <x:c r="E346" s="4" t="str">
        <x:v>业务流程</x:v>
      </x:c>
      <x:c r="F346" s="4" t="str">
        <x:v>P1</x:v>
      </x:c>
      <x:c r="G346" s="4" t="str">
        <x:v>验证上架后的充值套餐编辑状态</x:v>
      </x:c>
      <x:c r="H346" s="4" t="str">
        <x:v>充值套餐编辑状态</x:v>
      </x:c>
      <x:c r="I346" s="4" t="str">
        <x:v>1. 平台管理员账号已登录且具备当前页面权限
2. 上架</x:v>
      </x:c>
      <x:c r="J346" s="4" t="str">
        <x:v>1. 进入充值套餐编辑
2. 刷新充值套餐编辑</x:v>
      </x:c>
      <x:c r="K346" s="4" t="str">
        <x:v>按类型和有效期展示</x:v>
      </x:c>
      <x:c r="L346" s="4" t="str"/>
      <x:c r="M346" s="4" t="str">
        <x:v>未测</x:v>
      </x:c>
      <x:c r="N346" s="4" t="str"/>
      <x:c r="O346" s="4" t="str">
        <x:v>1. 来源（原型批注）：liveshow-proto/prototype/annotations/admin.js；admin-recharge-package-detail.html
2. 页面：admin-recharge-package-detail.html
3. 规则：BR-41329D91A752D3
4. 场景：SC-D842ADA6111CE7
5. 未动态验证</x:v>
      </x:c>
    </x:row>
    <x:row r="347" ht="54" customHeight="1">
      <x:c r="A347" s="4" t="n">
        <x:v>346</x:v>
      </x:c>
      <x:c r="B347" s="4" t="str">
        <x:v>AOPS-0018</x:v>
      </x:c>
      <x:c r="C347" s="4" t="str">
        <x:v>运营配置</x:v>
      </x:c>
      <x:c r="D347" s="4" t="str">
        <x:v>等级配置（平台管理员视角）</x:v>
      </x:c>
      <x:c r="E347" s="4" t="str">
        <x:v>功能需求</x:v>
      </x:c>
      <x:c r="F347" s="4" t="str">
        <x:v>P2</x:v>
      </x:c>
      <x:c r="G347" s="4" t="str">
        <x:v>验证等级配置可查看财富等级</x:v>
      </x:c>
      <x:c r="H347" s="4" t="str">
        <x:v>财富等级展示</x:v>
      </x:c>
      <x:c r="I347" s="4" t="str">
        <x:v>1. 平台管理员账号已登录且具备当前页面权限</x:v>
      </x:c>
      <x:c r="J347" s="4" t="str">
        <x:v>1. 进入等级配置
2. 查看财富等级</x:v>
      </x:c>
      <x:c r="K347" s="4" t="str">
        <x:v>等级配置显示“财富等级”</x:v>
      </x:c>
      <x:c r="L347" s="4" t="str"/>
      <x:c r="M347" s="4" t="str">
        <x:v>未测</x:v>
      </x:c>
      <x:c r="N347" s="4" t="str"/>
      <x:c r="O347" s="4" t="str">
        <x:v>1. 来源（原型批注）：liveshow-proto/prototype/annotations/admin.js；admin-level-config.html
2. 页面：admin-level-config.html
3. 规则：BR-8728F33C28A90D
4. 场景：SC-4854D2C790D34C
5. 未动态验证</x:v>
      </x:c>
    </x:row>
    <x:row r="348" ht="54" customHeight="1">
      <x:c r="A348" s="4" t="n">
        <x:v>347</x:v>
      </x:c>
      <x:c r="B348" s="4" t="str">
        <x:v>AOPS-0019</x:v>
      </x:c>
      <x:c r="C348" s="4" t="str">
        <x:v>运营配置</x:v>
      </x:c>
      <x:c r="D348" s="4" t="str">
        <x:v>等级配置（平台管理员视角）</x:v>
      </x:c>
      <x:c r="E348" s="4" t="str">
        <x:v>功能需求</x:v>
      </x:c>
      <x:c r="F348" s="4" t="str">
        <x:v>P2</x:v>
      </x:c>
      <x:c r="G348" s="4" t="str">
        <x:v>验证等级配置可查看粉丝等级</x:v>
      </x:c>
      <x:c r="H348" s="4" t="str">
        <x:v>粉丝等级展示</x:v>
      </x:c>
      <x:c r="I348" s="4" t="str">
        <x:v>1. 平台管理员账号已登录且具备当前页面权限</x:v>
      </x:c>
      <x:c r="J348" s="4" t="str">
        <x:v>1. 进入等级配置
2. 查看粉丝等级</x:v>
      </x:c>
      <x:c r="K348" s="4" t="str">
        <x:v>等级配置显示“粉丝等级”</x:v>
      </x:c>
      <x:c r="L348" s="4" t="str"/>
      <x:c r="M348" s="4" t="str">
        <x:v>未测</x:v>
      </x:c>
      <x:c r="N348" s="4" t="str"/>
      <x:c r="O348" s="4" t="str">
        <x:v>1. 来源（原型批注）：liveshow-proto/prototype/annotations/admin.js；admin-level-config.html
2. 页面：admin-level-config.html
3. 规则：BR-E7A224C4C8B1AF
4. 场景：SC-45A85045C96487
5. 未动态验证</x:v>
      </x:c>
    </x:row>
    <x:row r="349" ht="54" customHeight="1">
      <x:c r="A349" s="4" t="n">
        <x:v>348</x:v>
      </x:c>
      <x:c r="B349" s="4" t="str">
        <x:v>AOPS-0020</x:v>
      </x:c>
      <x:c r="C349" s="4" t="str">
        <x:v>运营配置</x:v>
      </x:c>
      <x:c r="D349" s="4" t="str">
        <x:v>等级配置（平台管理员视角）</x:v>
      </x:c>
      <x:c r="E349" s="4" t="str">
        <x:v>功能需求</x:v>
      </x:c>
      <x:c r="F349" s="4" t="str">
        <x:v>P2</x:v>
      </x:c>
      <x:c r="G349" s="4" t="str">
        <x:v>验证等级配置可查看粉丝团等级</x:v>
      </x:c>
      <x:c r="H349" s="4" t="str">
        <x:v>粉丝团等级展示</x:v>
      </x:c>
      <x:c r="I349" s="4" t="str">
        <x:v>1. 平台管理员账号已登录且具备当前页面权限</x:v>
      </x:c>
      <x:c r="J349" s="4" t="str">
        <x:v>1. 进入等级配置
2. 查看粉丝团等级</x:v>
      </x:c>
      <x:c r="K349" s="4" t="str">
        <x:v>等级配置显示“粉丝团等级”</x:v>
      </x:c>
      <x:c r="L349" s="4" t="str"/>
      <x:c r="M349" s="4" t="str">
        <x:v>未测</x:v>
      </x:c>
      <x:c r="N349" s="4" t="str"/>
      <x:c r="O349" s="4" t="str">
        <x:v>1. 来源（原型批注）：liveshow-proto/prototype/annotations/admin.js；admin-level-config.html
2. 页面：admin-level-config.html
3. 规则：BR-6556BECE0D36D7
4. 场景：SC-460E3132122293
5. 未动态验证</x:v>
      </x:c>
    </x:row>
    <x:row r="350" ht="54" customHeight="1">
      <x:c r="A350" s="4" t="n">
        <x:v>349</x:v>
      </x:c>
      <x:c r="B350" s="4" t="str">
        <x:v>AOPS-0021</x:v>
      </x:c>
      <x:c r="C350" s="4" t="str">
        <x:v>运营配置</x:v>
      </x:c>
      <x:c r="D350" s="4" t="str">
        <x:v>等级配置（平台管理员视角）</x:v>
      </x:c>
      <x:c r="E350" s="4" t="str">
        <x:v>功能需求</x:v>
      </x:c>
      <x:c r="F350" s="4" t="str">
        <x:v>P2</x:v>
      </x:c>
      <x:c r="G350" s="4" t="str">
        <x:v>验证等级配置可查看主播等级</x:v>
      </x:c>
      <x:c r="H350" s="4" t="str">
        <x:v>主播等级展示</x:v>
      </x:c>
      <x:c r="I350" s="4" t="str">
        <x:v>1. 平台管理员账号已登录且具备当前页面权限</x:v>
      </x:c>
      <x:c r="J350" s="4" t="str">
        <x:v>1. 进入等级配置
2. 查看主播等级</x:v>
      </x:c>
      <x:c r="K350" s="4" t="str">
        <x:v>等级配置显示“主播等级”</x:v>
      </x:c>
      <x:c r="L350" s="4" t="str"/>
      <x:c r="M350" s="4" t="str">
        <x:v>未测</x:v>
      </x:c>
      <x:c r="N350" s="4" t="str"/>
      <x:c r="O350" s="4" t="str">
        <x:v>1. 来源（原型批注）：liveshow-proto/prototype/annotations/admin.js；admin-level-config.html
2. 页面：admin-level-config.html
3. 规则：BR-16A30334237BB3
4. 场景：SC-6F8280908215B3
5. 未动态验证</x:v>
      </x:c>
    </x:row>
    <x:row r="351" ht="54" customHeight="1">
      <x:c r="A351" s="4" t="n">
        <x:v>350</x:v>
      </x:c>
      <x:c r="B351" s="4" t="str">
        <x:v>AOPS-0022</x:v>
      </x:c>
      <x:c r="C351" s="4" t="str">
        <x:v>运营配置</x:v>
      </x:c>
      <x:c r="D351" s="4" t="str">
        <x:v>等级配置（平台管理员视角）</x:v>
      </x:c>
      <x:c r="E351" s="4" t="str">
        <x:v>功能需求</x:v>
      </x:c>
      <x:c r="F351" s="4" t="str">
        <x:v>P2</x:v>
      </x:c>
      <x:c r="G351" s="4" t="str">
        <x:v>验证每行可上传或更换勋章图，选择有效图片后时的等级配置结果</x:v>
      </x:c>
      <x:c r="H351" s="4" t="str">
        <x:v>等级配置条件结果</x:v>
      </x:c>
      <x:c r="I351" s="4" t="str">
        <x:v>1. 平台管理员账号已登录且具备当前页面权限
2. 每行可上传或更换勋章图，选择有效图片后</x:v>
      </x:c>
      <x:c r="J351" s="4" t="str">
        <x:v>1. 进入等级配置
2. 查看等级配置</x:v>
      </x:c>
      <x:c r="K351" s="4" t="str">
        <x:v>每行可上传或更换勋章图，选择有效图片后显示预览</x:v>
      </x:c>
      <x:c r="L351" s="4" t="str"/>
      <x:c r="M351" s="4" t="str">
        <x:v>未测</x:v>
      </x:c>
      <x:c r="N351" s="4" t="str"/>
      <x:c r="O351" s="4" t="str">
        <x:v>1. 来源（原型批注）：liveshow-proto/prototype/annotations/admin.js；admin-level-config.html
2. 页面：admin-level-config.html
3. 规则：BR-3383AF2D798AC0
4. 场景：SC-2D75760F3FC4CC
5. 未动态验证</x:v>
      </x:c>
    </x:row>
    <x:row r="352" ht="54" customHeight="1">
      <x:c r="A352" s="4" t="n">
        <x:v>351</x:v>
      </x:c>
      <x:c r="B352" s="4" t="str">
        <x:v>AOPS-0023</x:v>
      </x:c>
      <x:c r="C352" s="4" t="str">
        <x:v>运营配置</x:v>
      </x:c>
      <x:c r="D352" s="4" t="str">
        <x:v>等级配置（平台管理员视角）</x:v>
      </x:c>
      <x:c r="E352" s="4" t="str">
        <x:v>功能需求</x:v>
      </x:c>
      <x:c r="F352" s="4" t="str">
        <x:v>P2</x:v>
      </x:c>
      <x:c r="G352" s="4" t="str">
        <x:v>验证图片无法读取时的等级配置结果</x:v>
      </x:c>
      <x:c r="H352" s="4" t="str">
        <x:v>等级配置条件结果</x:v>
      </x:c>
      <x:c r="I352" s="4" t="str">
        <x:v>1. 平台管理员账号已登录且具备当前页面权限
2. 图片无法读取</x:v>
      </x:c>
      <x:c r="J352" s="4" t="str">
        <x:v>1. 进入等级配置
2. 查看等级配置</x:v>
      </x:c>
      <x:c r="K352" s="4" t="str">
        <x:v>提示重选</x:v>
      </x:c>
      <x:c r="L352" s="4" t="str"/>
      <x:c r="M352" s="4" t="str">
        <x:v>未测</x:v>
      </x:c>
      <x:c r="N352" s="4" t="str"/>
      <x:c r="O352" s="4" t="str">
        <x:v>1. 来源（原型批注）：liveshow-proto/prototype/annotations/admin.js；admin-level-config.html
2. 页面：admin-level-config.html
3. 规则：BR-FD8FE615CB3CC6
4. 场景：SC-6A0730E4A70648
5. 未动态验证</x:v>
      </x:c>
    </x:row>
    <x:row r="353" ht="54" customHeight="1">
      <x:c r="A353" s="4" t="n">
        <x:v>352</x:v>
      </x:c>
      <x:c r="B353" s="4" t="str">
        <x:v>AOPS-0024</x:v>
      </x:c>
      <x:c r="C353" s="4" t="str">
        <x:v>运营配置</x:v>
      </x:c>
      <x:c r="D353" s="4" t="str">
        <x:v>公会推荐（平台管理员视角）</x:v>
      </x:c>
      <x:c r="E353" s="4" t="str">
        <x:v>功能需求</x:v>
      </x:c>
      <x:c r="F353" s="4" t="str">
        <x:v>P2</x:v>
      </x:c>
      <x:c r="G353" s="4" t="str">
        <x:v>验证公会推荐可查看更新时间</x:v>
      </x:c>
      <x:c r="H353" s="4" t="str">
        <x:v>更新时间展示</x:v>
      </x:c>
      <x:c r="I353" s="4" t="str">
        <x:v>1. 平台管理员账号已登录且具备当前页面权限</x:v>
      </x:c>
      <x:c r="J353" s="4" t="str">
        <x:v>1. 进入公会推荐
2. 查看更新时间</x:v>
      </x:c>
      <x:c r="K353" s="4" t="str">
        <x:v>公会推荐显示“更新时间”</x:v>
      </x:c>
      <x:c r="L353" s="4" t="str"/>
      <x:c r="M353" s="4" t="str">
        <x:v>未测</x:v>
      </x:c>
      <x:c r="N353" s="4" t="str"/>
      <x:c r="O353" s="4" t="str">
        <x:v>1. 来源（原型批注）：liveshow-proto/prototype/annotations/admin.js；admin-guild-recommendation.html
2. 页面：admin-guild-recommendation.html
3. 规则：BR-5965DF4550D0C8
4. 场景：SC-188FB3BD0ED2B2
5. 未动态验证</x:v>
      </x:c>
    </x:row>
    <x:row r="354" ht="54" customHeight="1">
      <x:c r="A354" s="4" t="n">
        <x:v>353</x:v>
      </x:c>
      <x:c r="B354" s="4" t="str">
        <x:v>AOPS-0025</x:v>
      </x:c>
      <x:c r="C354" s="4" t="str">
        <x:v>运营配置</x:v>
      </x:c>
      <x:c r="D354" s="4" t="str">
        <x:v>公会推荐（平台管理员视角）</x:v>
      </x:c>
      <x:c r="E354" s="4" t="str">
        <x:v>功能需求</x:v>
      </x:c>
      <x:c r="F354" s="4" t="str">
        <x:v>P2</x:v>
      </x:c>
      <x:c r="G354" s="4" t="str">
        <x:v>验证公会推荐可查看公会信息</x:v>
      </x:c>
      <x:c r="H354" s="4" t="str">
        <x:v>公会信息展示</x:v>
      </x:c>
      <x:c r="I354" s="4" t="str">
        <x:v>1. 平台管理员账号已登录且具备当前页面权限</x:v>
      </x:c>
      <x:c r="J354" s="4" t="str">
        <x:v>1. 进入公会推荐
2. 查看公会信息</x:v>
      </x:c>
      <x:c r="K354" s="4" t="str">
        <x:v>公会推荐显示“公会信息”</x:v>
      </x:c>
      <x:c r="L354" s="4" t="str"/>
      <x:c r="M354" s="4" t="str">
        <x:v>未测</x:v>
      </x:c>
      <x:c r="N354" s="4" t="str"/>
      <x:c r="O354" s="4" t="str">
        <x:v>1. 来源（原型批注）：liveshow-proto/prototype/annotations/admin.js；admin-guild-recommendation.html
2. 页面：admin-guild-recommendation.html
3. 规则：BR-FA1AD39F94DAB3、BR-530883DE907225
4. 场景：SC-009D5C68E390B0
5. 未动态验证</x:v>
      </x:c>
    </x:row>
    <x:row r="355" ht="54" customHeight="1">
      <x:c r="A355" s="4" t="n">
        <x:v>354</x:v>
      </x:c>
      <x:c r="B355" s="4" t="str">
        <x:v>AOPS-0026</x:v>
      </x:c>
      <x:c r="C355" s="4" t="str">
        <x:v>运营配置</x:v>
      </x:c>
      <x:c r="D355" s="4" t="str">
        <x:v>公会推荐（平台管理员视角）</x:v>
      </x:c>
      <x:c r="E355" s="4" t="str">
        <x:v>功能需求</x:v>
      </x:c>
      <x:c r="F355" s="4" t="str">
        <x:v>P2</x:v>
      </x:c>
      <x:c r="G355" s="4" t="str">
        <x:v>验证公会推荐可查看排序权重</x:v>
      </x:c>
      <x:c r="H355" s="4" t="str">
        <x:v>排序权重展示</x:v>
      </x:c>
      <x:c r="I355" s="4" t="str">
        <x:v>1. 平台管理员账号已登录且具备当前页面权限</x:v>
      </x:c>
      <x:c r="J355" s="4" t="str">
        <x:v>1. 进入公会推荐
2. 查看排序权重</x:v>
      </x:c>
      <x:c r="K355" s="4" t="str">
        <x:v>公会推荐显示“排序权重”</x:v>
      </x:c>
      <x:c r="L355" s="4" t="str"/>
      <x:c r="M355" s="4" t="str">
        <x:v>未测</x:v>
      </x:c>
      <x:c r="N355" s="4" t="str"/>
      <x:c r="O355" s="4" t="str">
        <x:v>1. 来源（原型批注）：liveshow-proto/prototype/annotations/admin.js；admin-guild-recommendation.html
2. 页面：admin-guild-recommendation.html
3. 规则：BR-700E0C7925EF64
4. 场景：SC-67E44ECB1CA356
5. 未动态验证</x:v>
      </x:c>
    </x:row>
    <x:row r="356" ht="54" customHeight="1">
      <x:c r="A356" s="4" t="n">
        <x:v>355</x:v>
      </x:c>
      <x:c r="B356" s="4" t="str">
        <x:v>AOPS-0027</x:v>
      </x:c>
      <x:c r="C356" s="4" t="str">
        <x:v>运营配置</x:v>
      </x:c>
      <x:c r="D356" s="4" t="str">
        <x:v>公会推荐（平台管理员视角）</x:v>
      </x:c>
      <x:c r="E356" s="4" t="str">
        <x:v>业务流程</x:v>
      </x:c>
      <x:c r="F356" s="4" t="str">
        <x:v>P2</x:v>
      </x:c>
      <x:c r="G356" s="4" t="str">
        <x:v>验证移除后的公会推荐状态</x:v>
      </x:c>
      <x:c r="H356" s="4" t="str">
        <x:v>公会推荐状态</x:v>
      </x:c>
      <x:c r="I356" s="4" t="str">
        <x:v>1. 平台管理员账号已登录且具备当前页面权限
2. 移除</x:v>
      </x:c>
      <x:c r="J356" s="4" t="str">
        <x:v>1. 进入公会推荐
2. 刷新公会推荐</x:v>
      </x:c>
      <x:c r="K356" s="4" t="str">
        <x:v>确认后退出推荐</x:v>
      </x:c>
      <x:c r="L356" s="4" t="str"/>
      <x:c r="M356" s="4" t="str">
        <x:v>未测</x:v>
      </x:c>
      <x:c r="N356" s="4" t="str"/>
      <x:c r="O356" s="4" t="str">
        <x:v>1. 来源（原型批注）：liveshow-proto/prototype/annotations/admin.js；admin-guild-recommendation.html
2. 页面：admin-guild-recommendation.html
3. 规则：BR-B86309A82A965C
4. 场景：SC-229E3452D0EC50
5. 未动态验证</x:v>
      </x:c>
    </x:row>
    <x:row r="357" ht="54" customHeight="1">
      <x:c r="A357" s="4" t="n">
        <x:v>356</x:v>
      </x:c>
      <x:c r="B357" s="4" t="str">
        <x:v>AOPS-0028</x:v>
      </x:c>
      <x:c r="C357" s="4" t="str">
        <x:v>运营配置</x:v>
      </x:c>
      <x:c r="D357" s="4" t="str">
        <x:v>公会推荐编辑（平台管理员视角）</x:v>
      </x:c>
      <x:c r="E357" s="4" t="str">
        <x:v>业务流程</x:v>
      </x:c>
      <x:c r="F357" s="4" t="str">
        <x:v>P2</x:v>
      </x:c>
      <x:c r="G357" s="4" t="str">
        <x:v>验证保存后的公会推荐编辑状态</x:v>
      </x:c>
      <x:c r="H357" s="4" t="str">
        <x:v>公会推荐编辑状态</x:v>
      </x:c>
      <x:c r="I357" s="4" t="str">
        <x:v>1. 平台管理员账号已登录且具备当前页面权限</x:v>
      </x:c>
      <x:c r="J357" s="4" t="str">
        <x:v>1. 进入公会推荐编辑
2. 保存</x:v>
      </x:c>
      <x:c r="K357" s="4" t="str">
        <x:v>校验公会有效性和重复配置</x:v>
      </x:c>
      <x:c r="L357" s="4" t="str"/>
      <x:c r="M357" s="4" t="str">
        <x:v>未测</x:v>
      </x:c>
      <x:c r="N357" s="4" t="str"/>
      <x:c r="O357" s="4" t="str">
        <x:v>1. 来源（原型批注）：liveshow-proto/prototype/annotations/admin.js；admin-guild-recommendation-detail.html
2. 页面：admin-guild-recommendation-detail.html
3. 规则：BR-B71B98A07BB142
4. 场景：SC-BE989C77AF54F5
5. 未动态验证</x:v>
      </x:c>
    </x:row>
    <x:row r="358" ht="54" customHeight="1">
      <x:c r="A358" s="4" t="n">
        <x:v>357</x:v>
      </x:c>
      <x:c r="B358" s="4" t="str">
        <x:v>AOPS-0029</x:v>
      </x:c>
      <x:c r="C358" s="4" t="str">
        <x:v>运营配置</x:v>
      </x:c>
      <x:c r="D358" s="4" t="str">
        <x:v>公会推荐编辑（平台管理员视角）</x:v>
      </x:c>
      <x:c r="E358" s="4" t="str">
        <x:v>功能需求</x:v>
      </x:c>
      <x:c r="F358" s="4" t="str">
        <x:v>P2</x:v>
      </x:c>
      <x:c r="G358" s="4" t="str">
        <x:v>验证编辑时的公会推荐编辑结果</x:v>
      </x:c>
      <x:c r="H358" s="4" t="str">
        <x:v>公会推荐编辑条件结果</x:v>
      </x:c>
      <x:c r="I358" s="4" t="str">
        <x:v>1. 平台管理员账号已登录且具备当前页面权限
2. 编辑</x:v>
      </x:c>
      <x:c r="J358" s="4" t="str">
        <x:v>1. 进入公会推荐编辑
2. 查看公会推荐编辑</x:v>
      </x:c>
      <x:c r="K358" s="4" t="str">
        <x:v>不可重复</x:v>
      </x:c>
      <x:c r="L358" s="4" t="str"/>
      <x:c r="M358" s="4" t="str">
        <x:v>未测</x:v>
      </x:c>
      <x:c r="N358" s="4" t="str"/>
      <x:c r="O358" s="4" t="str">
        <x:v>1. 来源（原型批注）：liveshow-proto/prototype/annotations/admin.js；admin-guild-recommendation-detail.html
2. 页面：admin-guild-recommendation-detail.html
3. 规则：BR-8DB49118922EE2
4. 场景：SC-D2D3FD21120FB8
5. 未动态验证</x:v>
      </x:c>
    </x:row>
    <x:row r="359" ht="54" customHeight="1">
      <x:c r="A359" s="4" t="n">
        <x:v>358</x:v>
      </x:c>
      <x:c r="B359" s="4" t="str">
        <x:v>AOPS-0030</x:v>
      </x:c>
      <x:c r="C359" s="4" t="str">
        <x:v>运营配置</x:v>
      </x:c>
      <x:c r="D359" s="4" t="str">
        <x:v>公会推荐编辑（平台管理员视角）</x:v>
      </x:c>
      <x:c r="E359" s="4" t="str">
        <x:v>功能需求</x:v>
      </x:c>
      <x:c r="F359" s="4" t="str">
        <x:v>P2</x:v>
      </x:c>
      <x:c r="G359" s="4" t="str">
        <x:v>验证公会推荐编辑可查看排序权重</x:v>
      </x:c>
      <x:c r="H359" s="4" t="str">
        <x:v>排序权重展示</x:v>
      </x:c>
      <x:c r="I359" s="4" t="str">
        <x:v>1. 平台管理员账号已登录且具备当前页面权限</x:v>
      </x:c>
      <x:c r="J359" s="4" t="str">
        <x:v>1. 进入公会推荐编辑
2. 查看排序权重</x:v>
      </x:c>
      <x:c r="K359" s="4" t="str">
        <x:v>公会推荐编辑显示“排序权重”</x:v>
      </x:c>
      <x:c r="L359" s="4" t="str"/>
      <x:c r="M359" s="4" t="str">
        <x:v>未测</x:v>
      </x:c>
      <x:c r="N359" s="4" t="str"/>
      <x:c r="O359" s="4" t="str">
        <x:v>1. 来源（原型批注）：liveshow-proto/prototype/annotations/admin.js；admin-guild-recommendation-detail.html
2. 页面：admin-guild-recommendation-detail.html
3. 规则：BR-7B3941D3B1AC33、BR-EDA05D2B90C086
4. 场景：SC-5CAFA6ACBEA38B
5. 未动态验证</x:v>
      </x:c>
    </x:row>
    <x:row r="360" ht="54" customHeight="1">
      <x:c r="A360" s="4" t="n">
        <x:v>359</x:v>
      </x:c>
      <x:c r="B360" s="4" t="str">
        <x:v>AOPS-0031</x:v>
      </x:c>
      <x:c r="C360" s="4" t="str">
        <x:v>运营配置</x:v>
      </x:c>
      <x:c r="D360" s="4" t="str">
        <x:v>公会推荐编辑（平台管理员视角）</x:v>
      </x:c>
      <x:c r="E360" s="4" t="str">
        <x:v>功能需求</x:v>
      </x:c>
      <x:c r="F360" s="4" t="str">
        <x:v>P2</x:v>
      </x:c>
      <x:c r="G360" s="4" t="str">
        <x:v>验证公会推荐编辑可查看推荐公会</x:v>
      </x:c>
      <x:c r="H360" s="4" t="str">
        <x:v>推荐公会展示</x:v>
      </x:c>
      <x:c r="I360" s="4" t="str">
        <x:v>1. 平台管理员账号已登录且具备当前页面权限</x:v>
      </x:c>
      <x:c r="J360" s="4" t="str">
        <x:v>1. 进入公会推荐编辑
2. 查看推荐公会</x:v>
      </x:c>
      <x:c r="K360" s="4" t="str">
        <x:v>公会推荐编辑显示“推荐公会”</x:v>
      </x:c>
      <x:c r="L360" s="4" t="str"/>
      <x:c r="M360" s="4" t="str">
        <x:v>未测</x:v>
      </x:c>
      <x:c r="N360" s="4" t="str"/>
      <x:c r="O360" s="4" t="str">
        <x:v>1. 来源（原型批注）：liveshow-proto/prototype/annotations/admin.js；admin-guild-recommendation-detail.html
2. 页面：admin-guild-recommendation-detail.html
3. 规则：BR-2F61055BA06E49、BR-8DB49118922EE2
4. 场景：SC-216570C1610378
5. 未动态验证</x:v>
      </x:c>
    </x:row>
    <x:row r="361" ht="54" customHeight="1">
      <x:c r="A361" s="4" t="n">
        <x:v>360</x:v>
      </x:c>
      <x:c r="B361" s="4" t="str">
        <x:v>AOPS-0032</x:v>
      </x:c>
      <x:c r="C361" s="4" t="str">
        <x:v>运营配置</x:v>
      </x:c>
      <x:c r="D361" s="4" t="str">
        <x:v>门票价格档位（平台管理员视角）</x:v>
      </x:c>
      <x:c r="E361" s="4" t="str">
        <x:v>功能需求</x:v>
      </x:c>
      <x:c r="F361" s="4" t="str">
        <x:v>P2</x:v>
      </x:c>
      <x:c r="G361" s="4" t="str">
        <x:v>验证门票价格档位可查看档位 ID</x:v>
      </x:c>
      <x:c r="H361" s="4" t="str">
        <x:v>档位 ID展示</x:v>
      </x:c>
      <x:c r="I361" s="4" t="str">
        <x:v>1. 平台管理员账号已登录且具备当前页面权限</x:v>
      </x:c>
      <x:c r="J361" s="4" t="str">
        <x:v>1. 进入门票价格档位
2. 查看档位 ID</x:v>
      </x:c>
      <x:c r="K361" s="4" t="str">
        <x:v>门票价格档位显示“档位 ID”</x:v>
      </x:c>
      <x:c r="L361" s="4" t="str"/>
      <x:c r="M361" s="4" t="str">
        <x:v>未测</x:v>
      </x:c>
      <x:c r="N361" s="4" t="str"/>
      <x:c r="O361" s="4" t="str">
        <x:v>1. 来源（原型批注）：liveshow-proto/prototype/annotations/admin.js；admin-ticket-price-level.html
2. 页面：admin-ticket-price-level.html
3. 规则：BR-DAFB761604EAB4
4. 场景：SC-07E25855240EB4
5. 未动态验证</x:v>
      </x:c>
    </x:row>
    <x:row r="362" ht="54" customHeight="1">
      <x:c r="A362" s="4" t="n">
        <x:v>361</x:v>
      </x:c>
      <x:c r="B362" s="4" t="str">
        <x:v>AOPS-0033</x:v>
      </x:c>
      <x:c r="C362" s="4" t="str">
        <x:v>运营配置</x:v>
      </x:c>
      <x:c r="D362" s="4" t="str">
        <x:v>门票价格档位（平台管理员视角）</x:v>
      </x:c>
      <x:c r="E362" s="4" t="str">
        <x:v>功能需求</x:v>
      </x:c>
      <x:c r="F362" s="4" t="str">
        <x:v>P2</x:v>
      </x:c>
      <x:c r="G362" s="4" t="str">
        <x:v>验证门票价格档位可查看门票价格</x:v>
      </x:c>
      <x:c r="H362" s="4" t="str">
        <x:v>门票价格展示</x:v>
      </x:c>
      <x:c r="I362" s="4" t="str">
        <x:v>1. 平台管理员账号已登录且具备当前页面权限</x:v>
      </x:c>
      <x:c r="J362" s="4" t="str">
        <x:v>1. 进入门票价格档位
2. 查看门票价格</x:v>
      </x:c>
      <x:c r="K362" s="4" t="str">
        <x:v>门票价格档位显示“门票价格”</x:v>
      </x:c>
      <x:c r="L362" s="4" t="str"/>
      <x:c r="M362" s="4" t="str">
        <x:v>未测</x:v>
      </x:c>
      <x:c r="N362" s="4" t="str"/>
      <x:c r="O362" s="4" t="str">
        <x:v>1. 来源（原型批注）：liveshow-proto/prototype/annotations/admin.js；admin-ticket-price-level.html
2. 页面：admin-ticket-price-level.html
3. 规则：BR-FFD5878D506130
4. 场景：SC-4F298FB1A1B34C
5. 未动态验证</x:v>
      </x:c>
    </x:row>
    <x:row r="363" ht="54" customHeight="1">
      <x:c r="A363" s="4" t="n">
        <x:v>362</x:v>
      </x:c>
      <x:c r="B363" s="4" t="str">
        <x:v>AOPS-0034</x:v>
      </x:c>
      <x:c r="C363" s="4" t="str">
        <x:v>运营配置</x:v>
      </x:c>
      <x:c r="D363" s="4" t="str">
        <x:v>门票价格档位（平台管理员视角）</x:v>
      </x:c>
      <x:c r="E363" s="4" t="str">
        <x:v>功能需求</x:v>
      </x:c>
      <x:c r="F363" s="4" t="str">
        <x:v>P2</x:v>
      </x:c>
      <x:c r="G363" s="4" t="str">
        <x:v>验证门票价格档位可查看排序</x:v>
      </x:c>
      <x:c r="H363" s="4" t="str">
        <x:v>排序展示</x:v>
      </x:c>
      <x:c r="I363" s="4" t="str">
        <x:v>1. 平台管理员账号已登录且具备当前页面权限</x:v>
      </x:c>
      <x:c r="J363" s="4" t="str">
        <x:v>1. 进入门票价格档位
2. 查看排序</x:v>
      </x:c>
      <x:c r="K363" s="4" t="str">
        <x:v>门票价格档位显示“排序”</x:v>
      </x:c>
      <x:c r="L363" s="4" t="str"/>
      <x:c r="M363" s="4" t="str">
        <x:v>未测</x:v>
      </x:c>
      <x:c r="N363" s="4" t="str"/>
      <x:c r="O363" s="4" t="str">
        <x:v>1. 来源（原型批注）：liveshow-proto/prototype/annotations/admin.js；admin-ticket-price-level.html
2. 页面：admin-ticket-price-level.html
3. 规则：BR-42BB9EE5F9F3A4
4. 场景：SC-2D5A586864B1EB
5. 未动态验证</x:v>
      </x:c>
    </x:row>
    <x:row r="364" ht="54" customHeight="1">
      <x:c r="A364" s="4" t="n">
        <x:v>363</x:v>
      </x:c>
      <x:c r="B364" s="4" t="str">
        <x:v>AOPS-0035</x:v>
      </x:c>
      <x:c r="C364" s="4" t="str">
        <x:v>运营配置</x:v>
      </x:c>
      <x:c r="D364" s="4" t="str">
        <x:v>门票价格档位（平台管理员视角）</x:v>
      </x:c>
      <x:c r="E364" s="4" t="str">
        <x:v>功能需求</x:v>
      </x:c>
      <x:c r="F364" s="4" t="str">
        <x:v>P2</x:v>
      </x:c>
      <x:c r="G364" s="4" t="str">
        <x:v>验证门票价格档位可查看状态</x:v>
      </x:c>
      <x:c r="H364" s="4" t="str">
        <x:v>状态展示</x:v>
      </x:c>
      <x:c r="I364" s="4" t="str">
        <x:v>1. 平台管理员账号已登录且具备当前页面权限</x:v>
      </x:c>
      <x:c r="J364" s="4" t="str">
        <x:v>1. 进入门票价格档位
2. 查看状态</x:v>
      </x:c>
      <x:c r="K364" s="4" t="str">
        <x:v>门票价格档位显示“状态”</x:v>
      </x:c>
      <x:c r="L364" s="4" t="str"/>
      <x:c r="M364" s="4" t="str">
        <x:v>未测</x:v>
      </x:c>
      <x:c r="N364" s="4" t="str"/>
      <x:c r="O364" s="4" t="str">
        <x:v>1. 来源（原型批注）：liveshow-proto/prototype/annotations/admin.js；admin-ticket-price-level.html
2. 页面：admin-ticket-price-level.html
3. 规则：BR-9C13A4281111E6
4. 场景：SC-54CA8AC6B6D2FC
5. 未动态验证</x:v>
      </x:c>
    </x:row>
    <x:row r="365" ht="54" customHeight="1">
      <x:c r="A365" s="4" t="n">
        <x:v>364</x:v>
      </x:c>
      <x:c r="B365" s="4" t="str">
        <x:v>AOPS-0036</x:v>
      </x:c>
      <x:c r="C365" s="4" t="str">
        <x:v>运营配置</x:v>
      </x:c>
      <x:c r="D365" s="4" t="str">
        <x:v>门票价格档位（平台管理员视角）</x:v>
      </x:c>
      <x:c r="E365" s="4" t="str">
        <x:v>异常用例</x:v>
      </x:c>
      <x:c r="F365" s="4" t="str">
        <x:v>P2</x:v>
      </x:c>
      <x:c r="G365" s="4" t="str">
        <x:v>验证停用后的门票价格档位状态</x:v>
      </x:c>
      <x:c r="H365" s="4" t="str">
        <x:v>门票价格档位状态</x:v>
      </x:c>
      <x:c r="I365" s="4" t="str">
        <x:v>1. 平台管理员账号已登录且具备当前页面权限
2. 停用</x:v>
      </x:c>
      <x:c r="J365" s="4" t="str">
        <x:v>1. 进入门票价格档位
2. 刷新门票价格档位</x:v>
      </x:c>
      <x:c r="K365" s="4" t="str">
        <x:v>不可用于新场次</x:v>
      </x:c>
      <x:c r="L365" s="4" t="str"/>
      <x:c r="M365" s="4" t="str">
        <x:v>未测</x:v>
      </x:c>
      <x:c r="N365" s="4" t="str"/>
      <x:c r="O365" s="4" t="str">
        <x:v>1. 来源（原型批注）：liveshow-proto/prototype/annotations/admin.js；admin-ticket-price-level.html
2. 页面：admin-ticket-price-level.html
3. 规则：BR-DF6B19A2DFBD85
4. 场景：SC-096AF366AC9445
5. 未动态验证</x:v>
      </x:c>
    </x:row>
    <x:row r="366" ht="54" customHeight="1">
      <x:c r="A366" s="4" t="n">
        <x:v>365</x:v>
      </x:c>
      <x:c r="B366" s="4" t="str">
        <x:v>AOPS-0037</x:v>
      </x:c>
      <x:c r="C366" s="4" t="str">
        <x:v>运营配置</x:v>
      </x:c>
      <x:c r="D366" s="4" t="str">
        <x:v>门票价格档位编辑（平台管理员视角）</x:v>
      </x:c>
      <x:c r="E366" s="4" t="str">
        <x:v>业务流程</x:v>
      </x:c>
      <x:c r="F366" s="4" t="str">
        <x:v>P2</x:v>
      </x:c>
      <x:c r="G366" s="4" t="str">
        <x:v>验证保存后的门票价格档位编辑状态</x:v>
      </x:c>
      <x:c r="H366" s="4" t="str">
        <x:v>门票价格档位编辑状态</x:v>
      </x:c>
      <x:c r="I366" s="4" t="str">
        <x:v>1. 平台管理员账号已登录且具备当前页面权限</x:v>
      </x:c>
      <x:c r="J366" s="4" t="str">
        <x:v>1. 进入门票价格档位编辑
2. 保存</x:v>
      </x:c>
      <x:c r="K366" s="4" t="str">
        <x:v>校验价格唯一、排序和至少一个启用档位</x:v>
      </x:c>
      <x:c r="L366" s="4" t="str"/>
      <x:c r="M366" s="4" t="str">
        <x:v>未测</x:v>
      </x:c>
      <x:c r="N366" s="4" t="str"/>
      <x:c r="O366" s="4" t="str">
        <x:v>1. 来源（原型批注）：liveshow-proto/prototype/annotations/admin.js；admin-ticket-price-level-detail.html
2. 页面：admin-ticket-price-level-detail.html
3. 规则：BR-662BF7CDE37814
4. 场景：SC-4F0B67C7DFF625
5. 未动态验证</x:v>
      </x:c>
    </x:row>
    <x:row r="367" ht="54" customHeight="1">
      <x:c r="A367" s="4" t="n">
        <x:v>366</x:v>
      </x:c>
      <x:c r="B367" s="4" t="str">
        <x:v>AOPS-0038</x:v>
      </x:c>
      <x:c r="C367" s="4" t="str">
        <x:v>运营配置</x:v>
      </x:c>
      <x:c r="D367" s="4" t="str">
        <x:v>门票价格档位编辑（平台管理员视角）</x:v>
      </x:c>
      <x:c r="E367" s="4" t="str">
        <x:v>功能需求</x:v>
      </x:c>
      <x:c r="F367" s="4" t="str">
        <x:v>P2</x:v>
      </x:c>
      <x:c r="G367" s="4" t="str">
        <x:v>验证门票价格档位编辑可查看档位 ID</x:v>
      </x:c>
      <x:c r="H367" s="4" t="str">
        <x:v>档位 ID展示</x:v>
      </x:c>
      <x:c r="I367" s="4" t="str">
        <x:v>1. 平台管理员账号已登录且具备当前页面权限</x:v>
      </x:c>
      <x:c r="J367" s="4" t="str">
        <x:v>1. 进入门票价格档位编辑
2. 查看档位 ID</x:v>
      </x:c>
      <x:c r="K367" s="4" t="str">
        <x:v>门票价格档位编辑显示“档位 ID”</x:v>
      </x:c>
      <x:c r="L367" s="4" t="str"/>
      <x:c r="M367" s="4" t="str">
        <x:v>未测</x:v>
      </x:c>
      <x:c r="N367" s="4" t="str"/>
      <x:c r="O367" s="4" t="str">
        <x:v>1. 来源（原型批注）：liveshow-proto/prototype/annotations/admin.js；admin-ticket-price-level-detail.html
2. 页面：admin-ticket-price-level-detail.html
3. 规则：BR-1A1EB0EF421441
4. 场景：SC-5AE01F3C723ACA
5. 未动态验证</x:v>
      </x:c>
    </x:row>
    <x:row r="368" ht="54" customHeight="1">
      <x:c r="A368" s="4" t="n">
        <x:v>367</x:v>
      </x:c>
      <x:c r="B368" s="4" t="str">
        <x:v>AOPS-0039</x:v>
      </x:c>
      <x:c r="C368" s="4" t="str">
        <x:v>运营配置</x:v>
      </x:c>
      <x:c r="D368" s="4" t="str">
        <x:v>门票价格档位编辑（平台管理员视角）</x:v>
      </x:c>
      <x:c r="E368" s="4" t="str">
        <x:v>功能需求</x:v>
      </x:c>
      <x:c r="F368" s="4" t="str">
        <x:v>P2</x:v>
      </x:c>
      <x:c r="G368" s="4" t="str">
        <x:v>验证门票价格档位编辑可查看门票价格</x:v>
      </x:c>
      <x:c r="H368" s="4" t="str">
        <x:v>门票价格展示</x:v>
      </x:c>
      <x:c r="I368" s="4" t="str">
        <x:v>1. 平台管理员账号已登录且具备当前页面权限</x:v>
      </x:c>
      <x:c r="J368" s="4" t="str">
        <x:v>1. 进入门票价格档位编辑
2. 查看门票价格</x:v>
      </x:c>
      <x:c r="K368" s="4" t="str">
        <x:v>门票价格档位编辑显示“门票价格”</x:v>
      </x:c>
      <x:c r="L368" s="4" t="str"/>
      <x:c r="M368" s="4" t="str">
        <x:v>未测</x:v>
      </x:c>
      <x:c r="N368" s="4" t="str"/>
      <x:c r="O368" s="4" t="str">
        <x:v>1. 来源（原型批注）：liveshow-proto/prototype/annotations/admin.js；admin-ticket-price-level-detail.html
2. 页面：admin-ticket-price-level-detail.html
3. 规则：BR-8A728CB7D8674B
4. 场景：SC-0306D2EF15DF5C
5. 未动态验证</x:v>
      </x:c>
    </x:row>
    <x:row r="369" ht="54" customHeight="1">
      <x:c r="A369" s="4" t="n">
        <x:v>368</x:v>
      </x:c>
      <x:c r="B369" s="4" t="str">
        <x:v>AOPS-0040</x:v>
      </x:c>
      <x:c r="C369" s="4" t="str">
        <x:v>运营配置</x:v>
      </x:c>
      <x:c r="D369" s="4" t="str">
        <x:v>门票价格档位编辑（平台管理员视角）</x:v>
      </x:c>
      <x:c r="E369" s="4" t="str">
        <x:v>功能需求</x:v>
      </x:c>
      <x:c r="F369" s="4" t="str">
        <x:v>P2</x:v>
      </x:c>
      <x:c r="G369" s="4" t="str">
        <x:v>验证门票价格档位编辑可查看排序</x:v>
      </x:c>
      <x:c r="H369" s="4" t="str">
        <x:v>排序展示</x:v>
      </x:c>
      <x:c r="I369" s="4" t="str">
        <x:v>1. 平台管理员账号已登录且具备当前页面权限</x:v>
      </x:c>
      <x:c r="J369" s="4" t="str">
        <x:v>1. 进入门票价格档位编辑
2. 查看排序</x:v>
      </x:c>
      <x:c r="K369" s="4" t="str">
        <x:v>门票价格档位编辑显示“排序”</x:v>
      </x:c>
      <x:c r="L369" s="4" t="str"/>
      <x:c r="M369" s="4" t="str">
        <x:v>未测</x:v>
      </x:c>
      <x:c r="N369" s="4" t="str"/>
      <x:c r="O369" s="4" t="str">
        <x:v>1. 来源（原型批注）：liveshow-proto/prototype/annotations/admin.js；admin-ticket-price-level-detail.html
2. 页面：admin-ticket-price-level-detail.html
3. 规则：BR-FFC54D1CE2BBEB
4. 场景：SC-5F22F802BCFC03
5. 未动态验证</x:v>
      </x:c>
    </x:row>
    <x:row r="370" ht="54" customHeight="1">
      <x:c r="A370" s="4" t="n">
        <x:v>369</x:v>
      </x:c>
      <x:c r="B370" s="4" t="str">
        <x:v>AOPS-0041</x:v>
      </x:c>
      <x:c r="C370" s="4" t="str">
        <x:v>运营配置</x:v>
      </x:c>
      <x:c r="D370" s="4" t="str">
        <x:v>门票价格档位编辑（平台管理员视角）</x:v>
      </x:c>
      <x:c r="E370" s="4" t="str">
        <x:v>功能需求</x:v>
      </x:c>
      <x:c r="F370" s="4" t="str">
        <x:v>P2</x:v>
      </x:c>
      <x:c r="G370" s="4" t="str">
        <x:v>验证门票价格档位编辑可查看启用状态</x:v>
      </x:c>
      <x:c r="H370" s="4" t="str">
        <x:v>启用状态展示</x:v>
      </x:c>
      <x:c r="I370" s="4" t="str">
        <x:v>1. 平台管理员账号已登录且具备当前页面权限</x:v>
      </x:c>
      <x:c r="J370" s="4" t="str">
        <x:v>1. 进入门票价格档位编辑
2. 查看启用状态</x:v>
      </x:c>
      <x:c r="K370" s="4" t="str">
        <x:v>门票价格档位编辑显示“启用状态”</x:v>
      </x:c>
      <x:c r="L370" s="4" t="str"/>
      <x:c r="M370" s="4" t="str">
        <x:v>未测</x:v>
      </x:c>
      <x:c r="N370" s="4" t="str"/>
      <x:c r="O370" s="4" t="str">
        <x:v>1. 来源（原型批注）：liveshow-proto/prototype/annotations/admin.js；admin-ticket-price-level-detail.html
2. 页面：admin-ticket-price-level-detail.html
3. 规则：BR-A5EAD9071A6003
4. 场景：SC-04C6838AFF02F3
5. 未动态验证</x:v>
      </x:c>
    </x:row>
    <x:row r="371" ht="54" customHeight="1">
      <x:c r="A371" s="4" t="n">
        <x:v>370</x:v>
      </x:c>
      <x:c r="B371" s="4" t="str">
        <x:v>AOPS-0042</x:v>
      </x:c>
      <x:c r="C371" s="4" t="str">
        <x:v>运营配置</x:v>
      </x:c>
      <x:c r="D371" s="4" t="str">
        <x:v>敏感词编辑（平台管理员视角）</x:v>
      </x:c>
      <x:c r="E371" s="4" t="str">
        <x:v>业务流程</x:v>
      </x:c>
      <x:c r="F371" s="4" t="str">
        <x:v>P2</x:v>
      </x:c>
      <x:c r="G371" s="4" t="str">
        <x:v>验证保存后的敏感词编辑状态</x:v>
      </x:c>
      <x:c r="H371" s="4" t="str">
        <x:v>敏感词编辑状态</x:v>
      </x:c>
      <x:c r="I371" s="4" t="str">
        <x:v>1. 平台管理员账号已登录且具备当前页面权限</x:v>
      </x:c>
      <x:c r="J371" s="4" t="str">
        <x:v>1. 进入敏感词编辑
2. 保存</x:v>
      </x:c>
      <x:c r="K371" s="4" t="str">
        <x:v>更新规则</x:v>
      </x:c>
      <x:c r="L371" s="4" t="str"/>
      <x:c r="M371" s="4" t="str">
        <x:v>未测</x:v>
      </x:c>
      <x:c r="N371" s="4" t="str"/>
      <x:c r="O371" s="4" t="str">
        <x:v>1. 来源（原型批注）：liveshow-proto/prototype/annotations/admin.js；admin-sensitive-words-detail.html
2. 页面：admin-sensitive-words-detail.html
3. 规则：BR-A3A81DF22FA17E
4. 场景：SC-C99F64E915CE94
5. 未动态验证</x:v>
      </x:c>
    </x:row>
    <x:row r="372" ht="54" customHeight="1">
      <x:c r="A372" s="4" t="n">
        <x:v>371</x:v>
      </x:c>
      <x:c r="B372" s="4" t="str">
        <x:v>AOPS-0043</x:v>
      </x:c>
      <x:c r="C372" s="4" t="str">
        <x:v>运营配置</x:v>
      </x:c>
      <x:c r="D372" s="4" t="str">
        <x:v>敏感词编辑（平台管理员视角）</x:v>
      </x:c>
      <x:c r="E372" s="4" t="str">
        <x:v>功能需求</x:v>
      </x:c>
      <x:c r="F372" s="4" t="str">
        <x:v>P2</x:v>
      </x:c>
      <x:c r="G372" s="4" t="str">
        <x:v>验证敏感词编辑可查看词条 ID</x:v>
      </x:c>
      <x:c r="H372" s="4" t="str">
        <x:v>词条 ID展示</x:v>
      </x:c>
      <x:c r="I372" s="4" t="str">
        <x:v>1. 平台管理员账号已登录且具备当前页面权限</x:v>
      </x:c>
      <x:c r="J372" s="4" t="str">
        <x:v>1. 进入敏感词编辑
2. 查看词条 ID</x:v>
      </x:c>
      <x:c r="K372" s="4" t="str">
        <x:v>敏感词编辑显示“词条 ID”</x:v>
      </x:c>
      <x:c r="L372" s="4" t="str"/>
      <x:c r="M372" s="4" t="str">
        <x:v>未测</x:v>
      </x:c>
      <x:c r="N372" s="4" t="str"/>
      <x:c r="O372" s="4" t="str">
        <x:v>1. 来源（原型批注）：liveshow-proto/prototype/annotations/admin.js；admin-sensitive-words-detail.html
2. 页面：admin-sensitive-words-detail.html
3. 规则：BR-FFC8844BF64E13
4. 场景：SC-44703622502D17
5. 未动态验证</x:v>
      </x:c>
    </x:row>
    <x:row r="373" ht="54" customHeight="1">
      <x:c r="A373" s="4" t="n">
        <x:v>372</x:v>
      </x:c>
      <x:c r="B373" s="4" t="str">
        <x:v>AOPS-0044</x:v>
      </x:c>
      <x:c r="C373" s="4" t="str">
        <x:v>运营配置</x:v>
      </x:c>
      <x:c r="D373" s="4" t="str">
        <x:v>敏感词编辑（平台管理员视角）</x:v>
      </x:c>
      <x:c r="E373" s="4" t="str">
        <x:v>功能需求</x:v>
      </x:c>
      <x:c r="F373" s="4" t="str">
        <x:v>P2</x:v>
      </x:c>
      <x:c r="G373" s="4" t="str">
        <x:v>验证敏感词编辑可查看敏感词 / 分类</x:v>
      </x:c>
      <x:c r="H373" s="4" t="str">
        <x:v>敏感词 / 分类展示</x:v>
      </x:c>
      <x:c r="I373" s="4" t="str">
        <x:v>1. 平台管理员账号已登录且具备当前页面权限</x:v>
      </x:c>
      <x:c r="J373" s="4" t="str">
        <x:v>1. 进入敏感词编辑
2. 查看敏感词 / 分类</x:v>
      </x:c>
      <x:c r="K373" s="4" t="str">
        <x:v>敏感词编辑显示“敏感词 / 分类”</x:v>
      </x:c>
      <x:c r="L373" s="4" t="str"/>
      <x:c r="M373" s="4" t="str">
        <x:v>未测</x:v>
      </x:c>
      <x:c r="N373" s="4" t="str"/>
      <x:c r="O373" s="4" t="str">
        <x:v>1. 来源（原型批注）：liveshow-proto/prototype/annotations/admin.js；admin-sensitive-words-detail.html
2. 页面：admin-sensitive-words-detail.html
3. 规则：BR-7228E543AA244B、BR-88692A119AB807
4. 场景：SC-80F62EF4A32E1F
5. 未动态验证</x:v>
      </x:c>
    </x:row>
    <x:row r="374" ht="54" customHeight="1">
      <x:c r="A374" s="4" t="n">
        <x:v>373</x:v>
      </x:c>
      <x:c r="B374" s="4" t="str">
        <x:v>AOPS-0045</x:v>
      </x:c>
      <x:c r="C374" s="4" t="str">
        <x:v>运营配置</x:v>
      </x:c>
      <x:c r="D374" s="4" t="str">
        <x:v>敏感词编辑（平台管理员视角）</x:v>
      </x:c>
      <x:c r="E374" s="4" t="str">
        <x:v>功能需求</x:v>
      </x:c>
      <x:c r="F374" s="4" t="str">
        <x:v>P2</x:v>
      </x:c>
      <x:c r="G374" s="4" t="str">
        <x:v>验证敏感词编辑可查看匹配规则</x:v>
      </x:c>
      <x:c r="H374" s="4" t="str">
        <x:v>匹配规则展示</x:v>
      </x:c>
      <x:c r="I374" s="4" t="str">
        <x:v>1. 平台管理员账号已登录且具备当前页面权限</x:v>
      </x:c>
      <x:c r="J374" s="4" t="str">
        <x:v>1. 进入敏感词编辑
2. 查看匹配规则</x:v>
      </x:c>
      <x:c r="K374" s="4" t="str">
        <x:v>敏感词编辑显示“匹配规则”</x:v>
      </x:c>
      <x:c r="L374" s="4" t="str"/>
      <x:c r="M374" s="4" t="str">
        <x:v>未测</x:v>
      </x:c>
      <x:c r="N374" s="4" t="str"/>
      <x:c r="O374" s="4" t="str">
        <x:v>1. 来源（原型批注）：liveshow-proto/prototype/annotations/admin.js；admin-sensitive-words-detail.html
2. 页面：admin-sensitive-words-detail.html
3. 规则：BR-9E922CDC3D50F1
4. 场景：SC-2272DBDD971BE4
5. 未动态验证</x:v>
      </x:c>
    </x:row>
    <x:row r="375" ht="54" customHeight="1">
      <x:c r="A375" s="4" t="n">
        <x:v>374</x:v>
      </x:c>
      <x:c r="B375" s="4" t="str">
        <x:v>AOPS-0046</x:v>
      </x:c>
      <x:c r="C375" s="4" t="str">
        <x:v>运营配置</x:v>
      </x:c>
      <x:c r="D375" s="4" t="str">
        <x:v>敏感词编辑（平台管理员视角）</x:v>
      </x:c>
      <x:c r="E375" s="4" t="str">
        <x:v>功能需求</x:v>
      </x:c>
      <x:c r="F375" s="4" t="str">
        <x:v>P2</x:v>
      </x:c>
      <x:c r="G375" s="4" t="str">
        <x:v>验证敏感词编辑可查看启用状态</x:v>
      </x:c>
      <x:c r="H375" s="4" t="str">
        <x:v>启用状态展示</x:v>
      </x:c>
      <x:c r="I375" s="4" t="str">
        <x:v>1. 平台管理员账号已登录且具备当前页面权限</x:v>
      </x:c>
      <x:c r="J375" s="4" t="str">
        <x:v>1. 进入敏感词编辑
2. 查看启用状态</x:v>
      </x:c>
      <x:c r="K375" s="4" t="str">
        <x:v>敏感词编辑显示“启用状态”</x:v>
      </x:c>
      <x:c r="L375" s="4" t="str"/>
      <x:c r="M375" s="4" t="str">
        <x:v>未测</x:v>
      </x:c>
      <x:c r="N375" s="4" t="str"/>
      <x:c r="O375" s="4" t="str">
        <x:v>1. 来源（原型批注）：liveshow-proto/prototype/annotations/admin.js；admin-sensitive-words-detail.html
2. 页面：admin-sensitive-words-detail.html
3. 规则：BR-9154798FE97321
4. 场景：SC-C2D60DBA5DA76F
5. 未动态验证</x:v>
      </x:c>
    </x:row>
    <x:row r="376" ht="54" customHeight="1">
      <x:c r="A376" s="4" t="n">
        <x:v>375</x:v>
      </x:c>
      <x:c r="B376" s="4" t="str">
        <x:v>AOPS-0047</x:v>
      </x:c>
      <x:c r="C376" s="4" t="str">
        <x:v>运营配置</x:v>
      </x:c>
      <x:c r="D376" s="4" t="str">
        <x:v>敏感词编辑（平台管理员视角）</x:v>
      </x:c>
      <x:c r="E376" s="4" t="str">
        <x:v>功能需求</x:v>
      </x:c>
      <x:c r="F376" s="4" t="str">
        <x:v>P2</x:v>
      </x:c>
      <x:c r="G376" s="4" t="str">
        <x:v>验证敏感词编辑可查看使用场景</x:v>
      </x:c>
      <x:c r="H376" s="4" t="str">
        <x:v>使用场景展示</x:v>
      </x:c>
      <x:c r="I376" s="4" t="str">
        <x:v>1. 平台管理员账号已登录且具备当前页面权限</x:v>
      </x:c>
      <x:c r="J376" s="4" t="str">
        <x:v>1. 进入敏感词编辑
2. 查看使用场景</x:v>
      </x:c>
      <x:c r="K376" s="4" t="str">
        <x:v>敏感词编辑显示“使用场景”</x:v>
      </x:c>
      <x:c r="L376" s="4" t="str"/>
      <x:c r="M376" s="4" t="str">
        <x:v>未测</x:v>
      </x:c>
      <x:c r="N376" s="4" t="str"/>
      <x:c r="O376" s="4" t="str">
        <x:v>1. 来源（原型批注）：liveshow-proto/prototype/annotations/admin.js；admin-sensitive-words-detail.html
2. 页面：admin-sensitive-words-detail.html
3. 规则：BR-24442E96BA3B1D
4. 场景：SC-A8F42ADE6F3C86
5. 未动态验证</x:v>
      </x:c>
    </x:row>
    <x:row r="377" ht="54" customHeight="1">
      <x:c r="A377" s="4" t="n">
        <x:v>376</x:v>
      </x:c>
      <x:c r="B377" s="4" t="str">
        <x:v>AOPS-0048</x:v>
      </x:c>
      <x:c r="C377" s="4" t="str">
        <x:v>运营配置</x:v>
      </x:c>
      <x:c r="D377" s="4" t="str">
        <x:v>敏感词编辑（平台管理员视角）</x:v>
      </x:c>
      <x:c r="E377" s="4" t="str">
        <x:v>功能需求</x:v>
      </x:c>
      <x:c r="F377" s="4" t="str">
        <x:v>P2</x:v>
      </x:c>
      <x:c r="G377" s="4" t="str">
        <x:v>验证敏感词编辑可查看替换内容</x:v>
      </x:c>
      <x:c r="H377" s="4" t="str">
        <x:v>替换内容展示</x:v>
      </x:c>
      <x:c r="I377" s="4" t="str">
        <x:v>1. 平台管理员账号已登录且具备当前页面权限</x:v>
      </x:c>
      <x:c r="J377" s="4" t="str">
        <x:v>1. 进入敏感词编辑
2. 查看替换内容</x:v>
      </x:c>
      <x:c r="K377" s="4" t="str">
        <x:v>敏感词编辑显示“替换内容”</x:v>
      </x:c>
      <x:c r="L377" s="4" t="str"/>
      <x:c r="M377" s="4" t="str">
        <x:v>未测</x:v>
      </x:c>
      <x:c r="N377" s="4" t="str"/>
      <x:c r="O377" s="4" t="str">
        <x:v>1. 来源（原型批注）：liveshow-proto/prototype/annotations/admin.js；admin-sensitive-words-detail.html
2. 页面：admin-sensitive-words-detail.html
3. 规则：BR-121DC1F408877E
4. 场景：SC-F5771C19551FB8
5. 未动态验证</x:v>
      </x:c>
    </x:row>
    <x:row r="378" ht="54" customHeight="1">
      <x:c r="A378" s="4" t="n">
        <x:v>377</x:v>
      </x:c>
      <x:c r="B378" s="4" t="str">
        <x:v>AOPS-0049</x:v>
      </x:c>
      <x:c r="C378" s="4" t="str">
        <x:v>运营配置</x:v>
      </x:c>
      <x:c r="D378" s="4" t="str">
        <x:v>敏感词库（平台管理员视角）</x:v>
      </x:c>
      <x:c r="E378" s="4" t="str">
        <x:v>功能需求</x:v>
      </x:c>
      <x:c r="F378" s="4" t="str">
        <x:v>P2</x:v>
      </x:c>
      <x:c r="G378" s="4" t="str">
        <x:v>验证敏感词库可查看敏感词 / 分类</x:v>
      </x:c>
      <x:c r="H378" s="4" t="str">
        <x:v>敏感词 / 分类展示</x:v>
      </x:c>
      <x:c r="I378" s="4" t="str">
        <x:v>1. 平台管理员账号已登录且具备当前页面权限</x:v>
      </x:c>
      <x:c r="J378" s="4" t="str">
        <x:v>1. 进入敏感词库
2. 查看敏感词 / 分类</x:v>
      </x:c>
      <x:c r="K378" s="4" t="str">
        <x:v>敏感词库显示“敏感词 / 分类”</x:v>
      </x:c>
      <x:c r="L378" s="4" t="str"/>
      <x:c r="M378" s="4" t="str">
        <x:v>未测</x:v>
      </x:c>
      <x:c r="N378" s="4" t="str"/>
      <x:c r="O378" s="4" t="str">
        <x:v>1. 来源（原型批注）：liveshow-proto/prototype/annotations/admin.js；admin-sensitive-words.html
2. 页面：admin-sensitive-words.html
3. 规则：BR-BE9B09D9938D86
4. 场景：SC-C2DF755F676D79
5. 未动态验证</x:v>
      </x:c>
    </x:row>
    <x:row r="379" ht="54" customHeight="1">
      <x:c r="A379" s="4" t="n">
        <x:v>378</x:v>
      </x:c>
      <x:c r="B379" s="4" t="str">
        <x:v>AOPS-0050</x:v>
      </x:c>
      <x:c r="C379" s="4" t="str">
        <x:v>运营配置</x:v>
      </x:c>
      <x:c r="D379" s="4" t="str">
        <x:v>敏感词库（平台管理员视角）</x:v>
      </x:c>
      <x:c r="E379" s="4" t="str">
        <x:v>功能需求</x:v>
      </x:c>
      <x:c r="F379" s="4" t="str">
        <x:v>P2</x:v>
      </x:c>
      <x:c r="G379" s="4" t="str">
        <x:v>验证敏感词库可查看匹配规则</x:v>
      </x:c>
      <x:c r="H379" s="4" t="str">
        <x:v>匹配规则展示</x:v>
      </x:c>
      <x:c r="I379" s="4" t="str">
        <x:v>1. 平台管理员账号已登录且具备当前页面权限</x:v>
      </x:c>
      <x:c r="J379" s="4" t="str">
        <x:v>1. 进入敏感词库
2. 查看匹配规则</x:v>
      </x:c>
      <x:c r="K379" s="4" t="str">
        <x:v>敏感词库显示“匹配规则”</x:v>
      </x:c>
      <x:c r="L379" s="4" t="str"/>
      <x:c r="M379" s="4" t="str">
        <x:v>未测</x:v>
      </x:c>
      <x:c r="N379" s="4" t="str"/>
      <x:c r="O379" s="4" t="str">
        <x:v>1. 来源（原型批注）：liveshow-proto/prototype/annotations/admin.js；admin-sensitive-words.html
2. 页面：admin-sensitive-words.html
3. 规则：BR-FD8E7E239724B7
4. 场景：SC-963E97C6D81E30
5. 未动态验证</x:v>
      </x:c>
    </x:row>
    <x:row r="380" ht="54" customHeight="1">
      <x:c r="A380" s="4" t="n">
        <x:v>379</x:v>
      </x:c>
      <x:c r="B380" s="4" t="str">
        <x:v>AOPS-0051</x:v>
      </x:c>
      <x:c r="C380" s="4" t="str">
        <x:v>运营配置</x:v>
      </x:c>
      <x:c r="D380" s="4" t="str">
        <x:v>敏感词库（平台管理员视角）</x:v>
      </x:c>
      <x:c r="E380" s="4" t="str">
        <x:v>功能需求</x:v>
      </x:c>
      <x:c r="F380" s="4" t="str">
        <x:v>P2</x:v>
      </x:c>
      <x:c r="G380" s="4" t="str">
        <x:v>验证敏感词库可查看使用场景</x:v>
      </x:c>
      <x:c r="H380" s="4" t="str">
        <x:v>使用场景展示</x:v>
      </x:c>
      <x:c r="I380" s="4" t="str">
        <x:v>1. 平台管理员账号已登录且具备当前页面权限</x:v>
      </x:c>
      <x:c r="J380" s="4" t="str">
        <x:v>1. 进入敏感词库
2. 查看使用场景</x:v>
      </x:c>
      <x:c r="K380" s="4" t="str">
        <x:v>敏感词库显示“使用场景”</x:v>
      </x:c>
      <x:c r="L380" s="4" t="str"/>
      <x:c r="M380" s="4" t="str">
        <x:v>未测</x:v>
      </x:c>
      <x:c r="N380" s="4" t="str"/>
      <x:c r="O380" s="4" t="str">
        <x:v>1. 来源（原型批注）：liveshow-proto/prototype/annotations/admin.js；admin-sensitive-words.html
2. 页面：admin-sensitive-words.html
3. 规则：BR-BC61CF1895D3E1
4. 场景：SC-6D8C5A58E1F7E8
5. 未动态验证</x:v>
      </x:c>
    </x:row>
    <x:row r="381" ht="54" customHeight="1">
      <x:c r="A381" s="4" t="n">
        <x:v>380</x:v>
      </x:c>
      <x:c r="B381" s="4" t="str">
        <x:v>AOPS-0052</x:v>
      </x:c>
      <x:c r="C381" s="4" t="str">
        <x:v>运营配置</x:v>
      </x:c>
      <x:c r="D381" s="4" t="str">
        <x:v>敏感词库（平台管理员视角）</x:v>
      </x:c>
      <x:c r="E381" s="4" t="str">
        <x:v>功能需求</x:v>
      </x:c>
      <x:c r="F381" s="4" t="str">
        <x:v>P2</x:v>
      </x:c>
      <x:c r="G381" s="4" t="str">
        <x:v>验证敏感词库可查看替换内容</x:v>
      </x:c>
      <x:c r="H381" s="4" t="str">
        <x:v>替换内容展示</x:v>
      </x:c>
      <x:c r="I381" s="4" t="str">
        <x:v>1. 平台管理员账号已登录且具备当前页面权限</x:v>
      </x:c>
      <x:c r="J381" s="4" t="str">
        <x:v>1. 进入敏感词库
2. 查看替换内容</x:v>
      </x:c>
      <x:c r="K381" s="4" t="str">
        <x:v>敏感词库显示“替换内容”</x:v>
      </x:c>
      <x:c r="L381" s="4" t="str"/>
      <x:c r="M381" s="4" t="str">
        <x:v>未测</x:v>
      </x:c>
      <x:c r="N381" s="4" t="str"/>
      <x:c r="O381" s="4" t="str">
        <x:v>1. 来源（原型批注）：liveshow-proto/prototype/annotations/admin.js；admin-sensitive-words.html
2. 页面：admin-sensitive-words.html
3. 规则：BR-F6E6FAA3718DBC
4. 场景：SC-3F91F9E60E0C73
5. 未动态验证</x:v>
      </x:c>
    </x:row>
    <x:row r="382" ht="54" customHeight="1">
      <x:c r="A382" s="4" t="n">
        <x:v>381</x:v>
      </x:c>
      <x:c r="B382" s="4" t="str">
        <x:v>AOPS-0053</x:v>
      </x:c>
      <x:c r="C382" s="4" t="str">
        <x:v>运营配置</x:v>
      </x:c>
      <x:c r="D382" s="4" t="str">
        <x:v>敏感词库（平台管理员视角）</x:v>
      </x:c>
      <x:c r="E382" s="4" t="str">
        <x:v>功能需求</x:v>
      </x:c>
      <x:c r="F382" s="4" t="str">
        <x:v>P2</x:v>
      </x:c>
      <x:c r="G382" s="4" t="str">
        <x:v>验证敏感词库可查看状态</x:v>
      </x:c>
      <x:c r="H382" s="4" t="str">
        <x:v>状态展示</x:v>
      </x:c>
      <x:c r="I382" s="4" t="str">
        <x:v>1. 平台管理员账号已登录且具备当前页面权限</x:v>
      </x:c>
      <x:c r="J382" s="4" t="str">
        <x:v>1. 进入敏感词库
2. 查看状态</x:v>
      </x:c>
      <x:c r="K382" s="4" t="str">
        <x:v>敏感词库显示“状态”</x:v>
      </x:c>
      <x:c r="L382" s="4" t="str"/>
      <x:c r="M382" s="4" t="str">
        <x:v>未测</x:v>
      </x:c>
      <x:c r="N382" s="4" t="str"/>
      <x:c r="O382" s="4" t="str">
        <x:v>1. 来源（原型批注）：liveshow-proto/prototype/annotations/admin.js；admin-sensitive-words.html
2. 页面：admin-sensitive-words.html
3. 规则：BR-BD36D1CAE46109、BR-B4B4489C4D190E
4. 场景：SC-E3AA8995F44F00
5. 未动态验证</x:v>
      </x:c>
    </x:row>
    <x:row r="383" ht="54" customHeight="1">
      <x:c r="A383" s="4" t="n">
        <x:v>382</x:v>
      </x:c>
      <x:c r="B383" s="4" t="str">
        <x:v>AOPS-0054</x:v>
      </x:c>
      <x:c r="C383" s="4" t="str">
        <x:v>运营配置</x:v>
      </x:c>
      <x:c r="D383" s="4" t="str">
        <x:v>敏感词库（平台管理员视角）</x:v>
      </x:c>
      <x:c r="E383" s="4" t="str">
        <x:v>业务流程</x:v>
      </x:c>
      <x:c r="F383" s="4" t="str">
        <x:v>P2</x:v>
      </x:c>
      <x:c r="G383" s="4" t="str">
        <x:v>验证命中后的敏感词库状态</x:v>
      </x:c>
      <x:c r="H383" s="4" t="str">
        <x:v>敏感词库状态</x:v>
      </x:c>
      <x:c r="I383" s="4" t="str">
        <x:v>1. 平台管理员账号已登录且具备当前页面权限
2. 命中</x:v>
      </x:c>
      <x:c r="J383" s="4" t="str">
        <x:v>1. 进入敏感词库
2. 刷新敏感词库</x:v>
      </x:c>
      <x:c r="K383" s="4" t="str">
        <x:v>用于替换展示</x:v>
      </x:c>
      <x:c r="L383" s="4" t="str"/>
      <x:c r="M383" s="4" t="str">
        <x:v>未测</x:v>
      </x:c>
      <x:c r="N383" s="4" t="str"/>
      <x:c r="O383" s="4" t="str">
        <x:v>1. 来源（原型批注）：liveshow-proto/prototype/annotations/admin.js；admin-sensitive-words.html
2. 页面：admin-sensitive-words.html
3. 规则：BR-F6E6FAA3718DBC
4. 场景：SC-0658CB01AFB972
5. 未动态验证</x:v>
      </x:c>
    </x:row>
    <x:row r="384" ht="54" customHeight="1">
      <x:c r="A384" s="4" t="n">
        <x:v>383</x:v>
      </x:c>
      <x:c r="B384" s="4" t="str">
        <x:v>AOPS-0055</x:v>
      </x:c>
      <x:c r="C384" s="4" t="str">
        <x:v>运营配置</x:v>
      </x:c>
      <x:c r="D384" s="4" t="str">
        <x:v>敏感词库（平台管理员视角）</x:v>
      </x:c>
      <x:c r="E384" s="4" t="str">
        <x:v>业务流程</x:v>
      </x:c>
      <x:c r="F384" s="4" t="str">
        <x:v>P2</x:v>
      </x:c>
      <x:c r="G384" s="4" t="str">
        <x:v>验证启停后的敏感词库状态</x:v>
      </x:c>
      <x:c r="H384" s="4" t="str">
        <x:v>敏感词库状态</x:v>
      </x:c>
      <x:c r="I384" s="4" t="str">
        <x:v>1. 平台管理员账号已登录且具备当前页面权限
2. 启停</x:v>
      </x:c>
      <x:c r="J384" s="4" t="str">
        <x:v>1. 进入敏感词库
2. 刷新敏感词库</x:v>
      </x:c>
      <x:c r="K384" s="4" t="str">
        <x:v>更新后续审核规则</x:v>
      </x:c>
      <x:c r="L384" s="4" t="str"/>
      <x:c r="M384" s="4" t="str">
        <x:v>未测</x:v>
      </x:c>
      <x:c r="N384" s="4" t="str"/>
      <x:c r="O384" s="4" t="str">
        <x:v>1. 来源（原型批注）：liveshow-proto/prototype/annotations/admin.js；admin-sensitive-words.html
2. 页面：admin-sensitive-words.html
3. 规则：BR-08F76D4A65A012
4. 场景：SC-F9AF3B41C974A2
5. 未动态验证</x:v>
      </x:c>
    </x:row>
    <x:row r="385" ht="54" customHeight="1">
      <x:c r="A385" s="4" t="n">
        <x:v>384</x:v>
      </x:c>
      <x:c r="B385" s="4" t="str">
        <x:v>AOPS-0056</x:v>
      </x:c>
      <x:c r="C385" s="4" t="str">
        <x:v>运营配置</x:v>
      </x:c>
      <x:c r="D385" s="4" t="str">
        <x:v>敏感词库（平台管理员视角）</x:v>
      </x:c>
      <x:c r="E385" s="4" t="str">
        <x:v>业务流程</x:v>
      </x:c>
      <x:c r="F385" s="4" t="str">
        <x:v>P2</x:v>
      </x:c>
      <x:c r="G385" s="4" t="str">
        <x:v>验证删除后的敏感词库状态</x:v>
      </x:c>
      <x:c r="H385" s="4" t="str">
        <x:v>敏感词库状态</x:v>
      </x:c>
      <x:c r="I385" s="4" t="str">
        <x:v>1. 平台管理员账号已登录且具备当前页面权限</x:v>
      </x:c>
      <x:c r="J385" s="4" t="str">
        <x:v>1. 进入敏感词库
2. 删除</x:v>
      </x:c>
      <x:c r="K385" s="4" t="str">
        <x:v>更新后续审核规则</x:v>
      </x:c>
      <x:c r="L385" s="4" t="str"/>
      <x:c r="M385" s="4" t="str">
        <x:v>未测</x:v>
      </x:c>
      <x:c r="N385" s="4" t="str"/>
      <x:c r="O385" s="4" t="str">
        <x:v>1. 来源（原型批注）：liveshow-proto/prototype/annotations/admin.js；admin-sensitive-words.html
2. 页面：admin-sensitive-words.html
3. 规则：BR-08F76D4A65A012
4. 场景：SC-70EF7C52B33B42
5. 未动态验证</x:v>
      </x:c>
    </x:row>
    <x:row r="386" ht="54" customHeight="1">
      <x:c r="A386" s="4" t="n">
        <x:v>385</x:v>
      </x:c>
      <x:c r="B386" s="4" t="str">
        <x:v>AOPS-0057</x:v>
      </x:c>
      <x:c r="C386" s="4" t="str">
        <x:v>运营配置</x:v>
      </x:c>
      <x:c r="D386" s="4" t="str">
        <x:v>敏感词库（平台管理员视角）</x:v>
      </x:c>
      <x:c r="E386" s="4" t="str">
        <x:v>业务流程</x:v>
      </x:c>
      <x:c r="F386" s="4" t="str">
        <x:v>P2</x:v>
      </x:c>
      <x:c r="G386" s="4" t="str">
        <x:v>验证停用后的敏感词库状态</x:v>
      </x:c>
      <x:c r="H386" s="4" t="str">
        <x:v>敏感词库状态</x:v>
      </x:c>
      <x:c r="I386" s="4" t="str">
        <x:v>1. 平台管理员账号已登录且具备当前页面权限
2. 停用</x:v>
      </x:c>
      <x:c r="J386" s="4" t="str">
        <x:v>1. 进入敏感词库
2. 刷新敏感词库</x:v>
      </x:c>
      <x:c r="K386" s="4" t="str">
        <x:v>不拦截新内容</x:v>
      </x:c>
      <x:c r="L386" s="4" t="str"/>
      <x:c r="M386" s="4" t="str">
        <x:v>未测</x:v>
      </x:c>
      <x:c r="N386" s="4" t="str"/>
      <x:c r="O386" s="4" t="str">
        <x:v>1. 来源（原型批注）：liveshow-proto/prototype/annotations/admin.js；admin-sensitive-words.html
2. 页面：admin-sensitive-words.html
3. 规则：BR-B4B4489C4D190E
4. 场景：SC-5B19A2633ECF23
5. 未动态验证</x:v>
      </x:c>
    </x:row>
    <x:row r="387" ht="54" customHeight="1">
      <x:c r="A387" s="4" t="n">
        <x:v>386</x:v>
      </x:c>
      <x:c r="B387" s="4" t="str">
        <x:v>AOPS-0058</x:v>
      </x:c>
      <x:c r="C387" s="4" t="str">
        <x:v>运营配置</x:v>
      </x:c>
      <x:c r="D387" s="4" t="str">
        <x:v>任务配置（平台管理员视角）</x:v>
      </x:c>
      <x:c r="E387" s="4" t="str">
        <x:v>功能需求</x:v>
      </x:c>
      <x:c r="F387" s="4" t="str">
        <x:v>P2</x:v>
      </x:c>
      <x:c r="G387" s="4" t="str">
        <x:v>验证任务配置可查看任务 ID / 名称</x:v>
      </x:c>
      <x:c r="H387" s="4" t="str">
        <x:v>任务 ID / 名称展示</x:v>
      </x:c>
      <x:c r="I387" s="4" t="str">
        <x:v>1. 平台管理员账号已登录且具备当前页面权限</x:v>
      </x:c>
      <x:c r="J387" s="4" t="str">
        <x:v>1. 进入任务配置
2. 查看任务 ID / 名称</x:v>
      </x:c>
      <x:c r="K387" s="4" t="str">
        <x:v>任务配置显示“任务 ID / 名称”</x:v>
      </x:c>
      <x:c r="L387" s="4" t="str"/>
      <x:c r="M387" s="4" t="str">
        <x:v>未测</x:v>
      </x:c>
      <x:c r="N387" s="4" t="str"/>
      <x:c r="O387" s="4" t="str">
        <x:v>1. 来源（原型批注）：liveshow-proto/prototype/annotations/admin.js；admin-task-config.html
2. 页面：admin-task-config.html
3. 规则：BR-A64C9E1796DB08、BR-3CF8F56FFBB983
4. 场景：SC-E0FEDD151CAE9F
5. 未动态验证</x:v>
      </x:c>
    </x:row>
    <x:row r="388" ht="54" customHeight="1">
      <x:c r="A388" s="4" t="n">
        <x:v>387</x:v>
      </x:c>
      <x:c r="B388" s="4" t="str">
        <x:v>AOPS-0059</x:v>
      </x:c>
      <x:c r="C388" s="4" t="str">
        <x:v>运营配置</x:v>
      </x:c>
      <x:c r="D388" s="4" t="str">
        <x:v>任务配置（平台管理员视角）</x:v>
      </x:c>
      <x:c r="E388" s="4" t="str">
        <x:v>功能需求</x:v>
      </x:c>
      <x:c r="F388" s="4" t="str">
        <x:v>P2</x:v>
      </x:c>
      <x:c r="G388" s="4" t="str">
        <x:v>验证任务配置可查看生效时间</x:v>
      </x:c>
      <x:c r="H388" s="4" t="str">
        <x:v>生效时间展示</x:v>
      </x:c>
      <x:c r="I388" s="4" t="str">
        <x:v>1. 平台管理员账号已登录且具备当前页面权限</x:v>
      </x:c>
      <x:c r="J388" s="4" t="str">
        <x:v>1. 进入任务配置
2. 查看生效时间</x:v>
      </x:c>
      <x:c r="K388" s="4" t="str">
        <x:v>任务配置显示“生效时间”</x:v>
      </x:c>
      <x:c r="L388" s="4" t="str"/>
      <x:c r="M388" s="4" t="str">
        <x:v>未测</x:v>
      </x:c>
      <x:c r="N388" s="4" t="str"/>
      <x:c r="O388" s="4" t="str">
        <x:v>1. 来源（原型批注）：liveshow-proto/prototype/annotations/admin.js；admin-task-config.html
2. 页面：admin-task-config.html
3. 规则：BR-0D848F12C957E1
4. 场景：SC-8430AD119CDAB3
5. 未动态验证</x:v>
      </x:c>
    </x:row>
    <x:row r="389" ht="54" customHeight="1">
      <x:c r="A389" s="4" t="n">
        <x:v>388</x:v>
      </x:c>
      <x:c r="B389" s="4" t="str">
        <x:v>AOPS-0060</x:v>
      </x:c>
      <x:c r="C389" s="4" t="str">
        <x:v>运营配置</x:v>
      </x:c>
      <x:c r="D389" s="4" t="str">
        <x:v>任务配置（平台管理员视角）</x:v>
      </x:c>
      <x:c r="E389" s="4" t="str">
        <x:v>功能需求</x:v>
      </x:c>
      <x:c r="F389" s="4" t="str">
        <x:v>P2</x:v>
      </x:c>
      <x:c r="G389" s="4" t="str">
        <x:v>验证任务配置可查看用户动作</x:v>
      </x:c>
      <x:c r="H389" s="4" t="str">
        <x:v>用户动作展示</x:v>
      </x:c>
      <x:c r="I389" s="4" t="str">
        <x:v>1. 平台管理员账号已登录且具备当前页面权限</x:v>
      </x:c>
      <x:c r="J389" s="4" t="str">
        <x:v>1. 进入任务配置
2. 查看用户动作</x:v>
      </x:c>
      <x:c r="K389" s="4" t="str">
        <x:v>任务配置显示“用户动作”</x:v>
      </x:c>
      <x:c r="L389" s="4" t="str"/>
      <x:c r="M389" s="4" t="str">
        <x:v>未测</x:v>
      </x:c>
      <x:c r="N389" s="4" t="str"/>
      <x:c r="O389" s="4" t="str">
        <x:v>1. 来源（原型批注）：liveshow-proto/prototype/annotations/admin.js；admin-task-config.html
2. 页面：admin-task-config.html
3. 规则：BR-1C62DE7FCCAB84
4. 场景：SC-A94A5933958D97
5. 未动态验证</x:v>
      </x:c>
    </x:row>
    <x:row r="390" ht="54" customHeight="1">
      <x:c r="A390" s="4" t="n">
        <x:v>389</x:v>
      </x:c>
      <x:c r="B390" s="4" t="str">
        <x:v>AOPS-0061</x:v>
      </x:c>
      <x:c r="C390" s="4" t="str">
        <x:v>运营配置</x:v>
      </x:c>
      <x:c r="D390" s="4" t="str">
        <x:v>任务配置（平台管理员视角）</x:v>
      </x:c>
      <x:c r="E390" s="4" t="str">
        <x:v>功能需求</x:v>
      </x:c>
      <x:c r="F390" s="4" t="str">
        <x:v>P2</x:v>
      </x:c>
      <x:c r="G390" s="4" t="str">
        <x:v>验证任务配置可查看状态</x:v>
      </x:c>
      <x:c r="H390" s="4" t="str">
        <x:v>状态展示</x:v>
      </x:c>
      <x:c r="I390" s="4" t="str">
        <x:v>1. 平台管理员账号已登录且具备当前页面权限</x:v>
      </x:c>
      <x:c r="J390" s="4" t="str">
        <x:v>1. 进入任务配置
2. 查看状态</x:v>
      </x:c>
      <x:c r="K390" s="4" t="str">
        <x:v>任务配置显示“状态”</x:v>
      </x:c>
      <x:c r="L390" s="4" t="str"/>
      <x:c r="M390" s="4" t="str">
        <x:v>未测</x:v>
      </x:c>
      <x:c r="N390" s="4" t="str"/>
      <x:c r="O390" s="4" t="str">
        <x:v>1. 来源（原型批注）：liveshow-proto/prototype/annotations/admin.js；admin-task-config.html
2. 页面：admin-task-config.html
3. 规则：BR-6C55A390CF9330、BR-FBA5DDBE9D4C7B
4. 场景：SC-E906DAEE439714
5. 未动态验证</x:v>
      </x:c>
    </x:row>
    <x:row r="391" ht="54" customHeight="1">
      <x:c r="A391" s="4" t="n">
        <x:v>390</x:v>
      </x:c>
      <x:c r="B391" s="4" t="str">
        <x:v>AOPS-0062</x:v>
      </x:c>
      <x:c r="C391" s="4" t="str">
        <x:v>运营配置</x:v>
      </x:c>
      <x:c r="D391" s="4" t="str">
        <x:v>通用任务编辑（平台管理员视角）</x:v>
      </x:c>
      <x:c r="E391" s="4" t="str">
        <x:v>功能需求</x:v>
      </x:c>
      <x:c r="F391" s="4" t="str">
        <x:v>P2</x:v>
      </x:c>
      <x:c r="G391" s="4" t="str">
        <x:v>验证通用任务编辑可查看达成奖励</x:v>
      </x:c>
      <x:c r="H391" s="4" t="str">
        <x:v>达成奖励展示</x:v>
      </x:c>
      <x:c r="I391" s="4" t="str">
        <x:v>1. 平台管理员账号已登录且具备当前页面权限</x:v>
      </x:c>
      <x:c r="J391" s="4" t="str">
        <x:v>1. 进入通用任务编辑
2. 查看达成奖励</x:v>
      </x:c>
      <x:c r="K391" s="4" t="str">
        <x:v>通用任务编辑显示“达成奖励”</x:v>
      </x:c>
      <x:c r="L391" s="4" t="str"/>
      <x:c r="M391" s="4" t="str">
        <x:v>未测</x:v>
      </x:c>
      <x:c r="N391" s="4" t="str"/>
      <x:c r="O391" s="4" t="str">
        <x:v>1. 来源（原型批注）：liveshow-proto/prototype/annotations/admin.js；admin-task-detail.html
2. 页面：admin-task-detail.html
3. 规则：BR-9C48B044060ADA、BR-85E63A709DEA34
4. 场景：SC-061337F93DFF8A
5. 未动态验证</x:v>
      </x:c>
    </x:row>
    <x:row r="392" ht="54" customHeight="1">
      <x:c r="A392" s="4" t="n">
        <x:v>391</x:v>
      </x:c>
      <x:c r="B392" s="4" t="str">
        <x:v>AOPS-0063</x:v>
      </x:c>
      <x:c r="C392" s="4" t="str">
        <x:v>运营配置</x:v>
      </x:c>
      <x:c r="D392" s="4" t="str">
        <x:v>通用任务编辑（平台管理员视角）</x:v>
      </x:c>
      <x:c r="E392" s="4" t="str">
        <x:v>功能需求</x:v>
      </x:c>
      <x:c r="F392" s="4" t="str">
        <x:v>P2</x:v>
      </x:c>
      <x:c r="G392" s="4" t="str">
        <x:v>验证通用任务编辑可查看达成条件</x:v>
      </x:c>
      <x:c r="H392" s="4" t="str">
        <x:v>达成条件展示</x:v>
      </x:c>
      <x:c r="I392" s="4" t="str">
        <x:v>1. 平台管理员账号已登录且具备当前页面权限</x:v>
      </x:c>
      <x:c r="J392" s="4" t="str">
        <x:v>1. 进入通用任务编辑
2. 查看达成条件</x:v>
      </x:c>
      <x:c r="K392" s="4" t="str">
        <x:v>通用任务编辑显示“达成条件”</x:v>
      </x:c>
      <x:c r="L392" s="4" t="str"/>
      <x:c r="M392" s="4" t="str">
        <x:v>未测</x:v>
      </x:c>
      <x:c r="N392" s="4" t="str"/>
      <x:c r="O392" s="4" t="str">
        <x:v>1. 来源（原型批注）：liveshow-proto/prototype/annotations/admin.js；admin-task-detail.html
2. 页面：admin-task-detail.html
3. 规则：BR-DDB8D1834107DE、BR-A8686B5B50D05A
4. 场景：SC-522A5E9F4FB784
5. 未动态验证</x:v>
      </x:c>
    </x:row>
    <x:row r="393" ht="54" customHeight="1">
      <x:c r="A393" s="4" t="n">
        <x:v>392</x:v>
      </x:c>
      <x:c r="B393" s="4" t="str">
        <x:v>AOPS-0064</x:v>
      </x:c>
      <x:c r="C393" s="4" t="str">
        <x:v>运营配置</x:v>
      </x:c>
      <x:c r="D393" s="4" t="str">
        <x:v>通用任务编辑（平台管理员视角）</x:v>
      </x:c>
      <x:c r="E393" s="4" t="str">
        <x:v>功能需求</x:v>
      </x:c>
      <x:c r="F393" s="4" t="str">
        <x:v>P2</x:v>
      </x:c>
      <x:c r="G393" s="4" t="str">
        <x:v>验证通用任务编辑可查看生效时间</x:v>
      </x:c>
      <x:c r="H393" s="4" t="str">
        <x:v>生效时间展示</x:v>
      </x:c>
      <x:c r="I393" s="4" t="str">
        <x:v>1. 平台管理员账号已登录且具备当前页面权限</x:v>
      </x:c>
      <x:c r="J393" s="4" t="str">
        <x:v>1. 进入通用任务编辑
2. 查看生效时间</x:v>
      </x:c>
      <x:c r="K393" s="4" t="str">
        <x:v>通用任务编辑显示“生效时间”</x:v>
      </x:c>
      <x:c r="L393" s="4" t="str"/>
      <x:c r="M393" s="4" t="str">
        <x:v>未测</x:v>
      </x:c>
      <x:c r="N393" s="4" t="str"/>
      <x:c r="O393" s="4" t="str">
        <x:v>1. 来源（原型批注）：liveshow-proto/prototype/annotations/admin.js；admin-task-detail.html
2. 页面：admin-task-detail.html
3. 规则：BR-B26380B2CCC7F6
4. 场景：SC-71A33442FF1189
5. 未动态验证</x:v>
      </x:c>
    </x:row>
    <x:row r="394" ht="54" customHeight="1">
      <x:c r="A394" s="4" t="n">
        <x:v>393</x:v>
      </x:c>
      <x:c r="B394" s="4" t="str">
        <x:v>AOPS-0065</x:v>
      </x:c>
      <x:c r="C394" s="4" t="str">
        <x:v>运营配置</x:v>
      </x:c>
      <x:c r="D394" s="4" t="str">
        <x:v>通用任务编辑（平台管理员视角）</x:v>
      </x:c>
      <x:c r="E394" s="4" t="str">
        <x:v>功能需求</x:v>
      </x:c>
      <x:c r="F394" s="4" t="str">
        <x:v>P2</x:v>
      </x:c>
      <x:c r="G394" s="4" t="str">
        <x:v>验证通用任务编辑可查看四语名称</x:v>
      </x:c>
      <x:c r="H394" s="4" t="str">
        <x:v>四语名称展示</x:v>
      </x:c>
      <x:c r="I394" s="4" t="str">
        <x:v>1. 平台管理员账号已登录且具备当前页面权限</x:v>
      </x:c>
      <x:c r="J394" s="4" t="str">
        <x:v>1. 进入通用任务编辑
2. 查看四语名称</x:v>
      </x:c>
      <x:c r="K394" s="4" t="str">
        <x:v>通用任务编辑显示“四语名称”</x:v>
      </x:c>
      <x:c r="L394" s="4" t="str"/>
      <x:c r="M394" s="4" t="str">
        <x:v>未测</x:v>
      </x:c>
      <x:c r="N394" s="4" t="str"/>
      <x:c r="O394" s="4" t="str">
        <x:v>1. 来源（原型批注）：liveshow-proto/prototype/annotations/admin.js；admin-task-detail.html
2. 页面：admin-task-detail.html
3. 规则：BR-0FFB1B9357A550
4. 场景：SC-B29F5B2731B31B
5. 未动态验证</x:v>
      </x:c>
    </x:row>
    <x:row r="395" ht="54" customHeight="1">
      <x:c r="A395" s="4" t="n">
        <x:v>394</x:v>
      </x:c>
      <x:c r="B395" s="4" t="str">
        <x:v>AOPS-0066</x:v>
      </x:c>
      <x:c r="C395" s="4" t="str">
        <x:v>运营配置</x:v>
      </x:c>
      <x:c r="D395" s="4" t="str">
        <x:v>通用任务编辑（平台管理员视角）</x:v>
      </x:c>
      <x:c r="E395" s="4" t="str">
        <x:v>功能需求</x:v>
      </x:c>
      <x:c r="F395" s="4" t="str">
        <x:v>P2</x:v>
      </x:c>
      <x:c r="G395" s="4" t="str">
        <x:v>验证通用任务编辑可查看统计周期</x:v>
      </x:c>
      <x:c r="H395" s="4" t="str">
        <x:v>统计周期展示</x:v>
      </x:c>
      <x:c r="I395" s="4" t="str">
        <x:v>1. 平台管理员账号已登录且具备当前页面权限</x:v>
      </x:c>
      <x:c r="J395" s="4" t="str">
        <x:v>1. 进入通用任务编辑
2. 查看统计周期</x:v>
      </x:c>
      <x:c r="K395" s="4" t="str">
        <x:v>通用任务编辑显示“统计周期”</x:v>
      </x:c>
      <x:c r="L395" s="4" t="str"/>
      <x:c r="M395" s="4" t="str">
        <x:v>未测</x:v>
      </x:c>
      <x:c r="N395" s="4" t="str"/>
      <x:c r="O395" s="4" t="str">
        <x:v>1. 来源（原型批注）：liveshow-proto/prototype/annotations/admin.js；admin-task-detail.html
2. 页面：admin-task-detail.html
3. 规则：BR-E78E0A8B3F6CA8
4. 场景：SC-7831EDA202EFF7
5. 未动态验证</x:v>
      </x:c>
    </x:row>
    <x:row r="396" ht="54" customHeight="1">
      <x:c r="A396" s="4" t="n">
        <x:v>395</x:v>
      </x:c>
      <x:c r="B396" s="4" t="str">
        <x:v>AOPS-0067</x:v>
      </x:c>
      <x:c r="C396" s="4" t="str">
        <x:v>运营配置</x:v>
      </x:c>
      <x:c r="D396" s="4" t="str">
        <x:v>通用任务编辑（平台管理员视角）</x:v>
      </x:c>
      <x:c r="E396" s="4" t="str">
        <x:v>功能需求</x:v>
      </x:c>
      <x:c r="F396" s="4" t="str">
        <x:v>P2</x:v>
      </x:c>
      <x:c r="G396" s="4" t="str">
        <x:v>验证通用任务编辑可查看用户动作 / 指标</x:v>
      </x:c>
      <x:c r="H396" s="4" t="str">
        <x:v>用户动作 / 指标展示</x:v>
      </x:c>
      <x:c r="I396" s="4" t="str">
        <x:v>1. 平台管理员账号已登录且具备当前页面权限</x:v>
      </x:c>
      <x:c r="J396" s="4" t="str">
        <x:v>1. 进入通用任务编辑
2. 查看用户动作 / 指标</x:v>
      </x:c>
      <x:c r="K396" s="4" t="str">
        <x:v>通用任务编辑显示“用户动作 / 指标”</x:v>
      </x:c>
      <x:c r="L396" s="4" t="str"/>
      <x:c r="M396" s="4" t="str">
        <x:v>未测</x:v>
      </x:c>
      <x:c r="N396" s="4" t="str"/>
      <x:c r="O396" s="4" t="str">
        <x:v>1. 来源（原型批注）：liveshow-proto/prototype/annotations/admin.js；admin-task-detail.html
2. 页面：admin-task-detail.html
3. 规则：BR-C4344D47AAFB55
4. 场景：SC-86B863941A7A90
5. 未动态验证</x:v>
      </x:c>
    </x:row>
    <x:row r="397" ht="54" customHeight="1">
      <x:c r="A397" s="4" t="n">
        <x:v>396</x:v>
      </x:c>
      <x:c r="B397" s="4" t="str">
        <x:v>AOPS-0068</x:v>
      </x:c>
      <x:c r="C397" s="4" t="str">
        <x:v>运营配置</x:v>
      </x:c>
      <x:c r="D397" s="4" t="str">
        <x:v>推送管理（平台管理员视角）</x:v>
      </x:c>
      <x:c r="E397" s="4" t="str">
        <x:v>功能需求</x:v>
      </x:c>
      <x:c r="F397" s="4" t="str">
        <x:v>P2</x:v>
      </x:c>
      <x:c r="G397" s="4" t="str">
        <x:v>验证列表标题按后台中文时的推送管理结果</x:v>
      </x:c>
      <x:c r="H397" s="4" t="str">
        <x:v>推送管理条件结果</x:v>
      </x:c>
      <x:c r="I397" s="4" t="str">
        <x:v>1. 平台管理员账号已登录且具备当前页面权限
2. 列表标题按后台中文</x:v>
      </x:c>
      <x:c r="J397" s="4" t="str">
        <x:v>1. 进入推送管理
2. 查看推送管理</x:v>
      </x:c>
      <x:c r="K397" s="4" t="str">
        <x:v>列表标题按后台中文展示</x:v>
      </x:c>
      <x:c r="L397" s="4" t="str"/>
      <x:c r="M397" s="4" t="str">
        <x:v>未测</x:v>
      </x:c>
      <x:c r="N397" s="4" t="str"/>
      <x:c r="O397" s="4" t="str">
        <x:v>1. 来源（原型批注）：liveshow-proto/prototype/annotations/admin.js；admin-push-management.html
2. 页面：admin-push-management.html
3. 规则：BR-39CA1B6A43EE96
4. 场景：SC-60EE6BD941FD31
5. 未动态验证</x:v>
      </x:c>
    </x:row>
    <x:row r="398" ht="54" customHeight="1">
      <x:c r="A398" s="4" t="n">
        <x:v>397</x:v>
      </x:c>
      <x:c r="B398" s="4" t="str">
        <x:v>AOPS-0069</x:v>
      </x:c>
      <x:c r="C398" s="4" t="str">
        <x:v>运营配置</x:v>
      </x:c>
      <x:c r="D398" s="4" t="str">
        <x:v>推送管理（平台管理员视角）</x:v>
      </x:c>
      <x:c r="E398" s="4" t="str">
        <x:v>功能需求</x:v>
      </x:c>
      <x:c r="F398" s="4" t="str">
        <x:v>P2</x:v>
      </x:c>
      <x:c r="G398" s="4" t="str">
        <x:v>验证推送管理可查看发送人数</x:v>
      </x:c>
      <x:c r="H398" s="4" t="str">
        <x:v>发送人数展示</x:v>
      </x:c>
      <x:c r="I398" s="4" t="str">
        <x:v>1. 平台管理员账号已登录且具备当前页面权限</x:v>
      </x:c>
      <x:c r="J398" s="4" t="str">
        <x:v>1. 进入推送管理
2. 查看发送人数</x:v>
      </x:c>
      <x:c r="K398" s="4" t="str">
        <x:v>推送管理显示“发送人数”</x:v>
      </x:c>
      <x:c r="L398" s="4" t="str"/>
      <x:c r="M398" s="4" t="str">
        <x:v>未测</x:v>
      </x:c>
      <x:c r="N398" s="4" t="str"/>
      <x:c r="O398" s="4" t="str">
        <x:v>1. 来源（原型批注）：liveshow-proto/prototype/annotations/admin.js；admin-push-management.html
2. 页面：admin-push-management.html
3. 规则：BR-9880DCE0A9CFC1
4. 场景：SC-6914EC14781D65
5. 未动态验证</x:v>
      </x:c>
    </x:row>
    <x:row r="399" ht="54" customHeight="1">
      <x:c r="A399" s="4" t="n">
        <x:v>398</x:v>
      </x:c>
      <x:c r="B399" s="4" t="str">
        <x:v>AOPS-0070</x:v>
      </x:c>
      <x:c r="C399" s="4" t="str">
        <x:v>运营配置</x:v>
      </x:c>
      <x:c r="D399" s="4" t="str">
        <x:v>推送管理（平台管理员视角）</x:v>
      </x:c>
      <x:c r="E399" s="4" t="str">
        <x:v>功能需求</x:v>
      </x:c>
      <x:c r="F399" s="4" t="str">
        <x:v>P2</x:v>
      </x:c>
      <x:c r="G399" s="4" t="str">
        <x:v>验证推送管理可查看发送时间</x:v>
      </x:c>
      <x:c r="H399" s="4" t="str">
        <x:v>发送时间展示</x:v>
      </x:c>
      <x:c r="I399" s="4" t="str">
        <x:v>1. 平台管理员账号已登录且具备当前页面权限</x:v>
      </x:c>
      <x:c r="J399" s="4" t="str">
        <x:v>1. 进入推送管理
2. 查看发送时间</x:v>
      </x:c>
      <x:c r="K399" s="4" t="str">
        <x:v>推送管理显示“发送时间”</x:v>
      </x:c>
      <x:c r="L399" s="4" t="str"/>
      <x:c r="M399" s="4" t="str">
        <x:v>未测</x:v>
      </x:c>
      <x:c r="N399" s="4" t="str"/>
      <x:c r="O399" s="4" t="str">
        <x:v>1. 来源（原型批注）：liveshow-proto/prototype/annotations/admin.js；admin-push-management.html
2. 页面：admin-push-management.html
3. 规则：BR-5B7AB20584B46B、BR-4CFC1C2E715362
4. 场景：SC-41861C472B281F
5. 未动态验证</x:v>
      </x:c>
    </x:row>
    <x:row r="400" ht="54" customHeight="1">
      <x:c r="A400" s="4" t="n">
        <x:v>399</x:v>
      </x:c>
      <x:c r="B400" s="4" t="str">
        <x:v>AOPS-0071</x:v>
      </x:c>
      <x:c r="C400" s="4" t="str">
        <x:v>运营配置</x:v>
      </x:c>
      <x:c r="D400" s="4" t="str">
        <x:v>推送管理（平台管理员视角）</x:v>
      </x:c>
      <x:c r="E400" s="4" t="str">
        <x:v>功能需求</x:v>
      </x:c>
      <x:c r="F400" s="4" t="str">
        <x:v>P2</x:v>
      </x:c>
      <x:c r="G400" s="4" t="str">
        <x:v>验证推送管理可查看目标用户</x:v>
      </x:c>
      <x:c r="H400" s="4" t="str">
        <x:v>目标用户展示</x:v>
      </x:c>
      <x:c r="I400" s="4" t="str">
        <x:v>1. 平台管理员账号已登录且具备当前页面权限</x:v>
      </x:c>
      <x:c r="J400" s="4" t="str">
        <x:v>1. 进入推送管理
2. 查看目标用户</x:v>
      </x:c>
      <x:c r="K400" s="4" t="str">
        <x:v>推送管理显示“目标用户”</x:v>
      </x:c>
      <x:c r="L400" s="4" t="str"/>
      <x:c r="M400" s="4" t="str">
        <x:v>未测</x:v>
      </x:c>
      <x:c r="N400" s="4" t="str"/>
      <x:c r="O400" s="4" t="str">
        <x:v>1. 来源（原型批注）：liveshow-proto/prototype/annotations/admin.js；admin-push-management.html
2. 页面：admin-push-management.html
3. 规则：BR-75CC7AF10ACCCC
4. 场景：SC-7C658986EE9270
5. 未动态验证</x:v>
      </x:c>
    </x:row>
    <x:row r="401" ht="54" customHeight="1">
      <x:c r="A401" s="4" t="n">
        <x:v>400</x:v>
      </x:c>
      <x:c r="B401" s="4" t="str">
        <x:v>AOPS-0072</x:v>
      </x:c>
      <x:c r="C401" s="4" t="str">
        <x:v>运营配置</x:v>
      </x:c>
      <x:c r="D401" s="4" t="str">
        <x:v>推送管理（平台管理员视角）</x:v>
      </x:c>
      <x:c r="E401" s="4" t="str">
        <x:v>功能需求</x:v>
      </x:c>
      <x:c r="F401" s="4" t="str">
        <x:v>P2</x:v>
      </x:c>
      <x:c r="G401" s="4" t="str">
        <x:v>验证推送管理可查看推送 ID / 标题</x:v>
      </x:c>
      <x:c r="H401" s="4" t="str">
        <x:v>推送 ID / 标题展示</x:v>
      </x:c>
      <x:c r="I401" s="4" t="str">
        <x:v>1. 平台管理员账号已登录且具备当前页面权限</x:v>
      </x:c>
      <x:c r="J401" s="4" t="str">
        <x:v>1. 进入推送管理
2. 查看推送 ID / 标题</x:v>
      </x:c>
      <x:c r="K401" s="4" t="str">
        <x:v>推送管理显示“推送 ID / 标题”</x:v>
      </x:c>
      <x:c r="L401" s="4" t="str"/>
      <x:c r="M401" s="4" t="str">
        <x:v>未测</x:v>
      </x:c>
      <x:c r="N401" s="4" t="str"/>
      <x:c r="O401" s="4" t="str">
        <x:v>1. 来源（原型批注）：liveshow-proto/prototype/annotations/admin.js；admin-push-management.html
2. 页面：admin-push-management.html
3. 规则：BR-15F257718E5D0D、BR-39CA1B6A43EE96
4. 场景：SC-75163B4E18E9FD
5. 未动态验证</x:v>
      </x:c>
    </x:row>
    <x:row r="402" ht="54" customHeight="1">
      <x:c r="A402" s="4" t="n">
        <x:v>401</x:v>
      </x:c>
      <x:c r="B402" s="4" t="str">
        <x:v>AOPS-0073</x:v>
      </x:c>
      <x:c r="C402" s="4" t="str">
        <x:v>运营配置</x:v>
      </x:c>
      <x:c r="D402" s="4" t="str">
        <x:v>推送管理（平台管理员视角）</x:v>
      </x:c>
      <x:c r="E402" s="4" t="str">
        <x:v>业务流程</x:v>
      </x:c>
      <x:c r="F402" s="4" t="str">
        <x:v>P2</x:v>
      </x:c>
      <x:c r="G402" s="4" t="str">
        <x:v>验证已发送后的推送管理状态</x:v>
      </x:c>
      <x:c r="H402" s="4" t="str">
        <x:v>推送管理状态</x:v>
      </x:c>
      <x:c r="I402" s="4" t="str">
        <x:v>1. 平台管理员账号已登录且具备当前页面权限
2. 已发送</x:v>
      </x:c>
      <x:c r="J402" s="4" t="str">
        <x:v>1. 进入推送管理
2. 刷新推送管理</x:v>
      </x:c>
      <x:c r="K402" s="4" t="str">
        <x:v>保留实际执行结果</x:v>
      </x:c>
      <x:c r="L402" s="4" t="str"/>
      <x:c r="M402" s="4" t="str">
        <x:v>未测</x:v>
      </x:c>
      <x:c r="N402" s="4" t="str"/>
      <x:c r="O402" s="4" t="str">
        <x:v>1. 来源（原型批注）：liveshow-proto/prototype/annotations/admin.js；admin-push-management.html
2. 页面：admin-push-management.html
3. 规则：BR-4CFC1C2E715362
4. 场景：SC-34DF37FB9DB4B4
5. 未动态验证</x:v>
      </x:c>
    </x:row>
    <x:row r="403" ht="54" customHeight="1">
      <x:c r="A403" s="4" t="n">
        <x:v>402</x:v>
      </x:c>
      <x:c r="B403" s="4" t="str">
        <x:v>AOPS-0074</x:v>
      </x:c>
      <x:c r="C403" s="4" t="str">
        <x:v>运营配置</x:v>
      </x:c>
      <x:c r="D403" s="4" t="str">
        <x:v>推送配置（平台管理员视角）</x:v>
      </x:c>
      <x:c r="E403" s="4" t="str">
        <x:v>功能需求</x:v>
      </x:c>
      <x:c r="F403" s="4" t="str">
        <x:v>P2</x:v>
      </x:c>
      <x:c r="G403" s="4" t="str">
        <x:v>验证推送配置可查看操作信息</x:v>
      </x:c>
      <x:c r="H403" s="4" t="str">
        <x:v>操作信息展示</x:v>
      </x:c>
      <x:c r="I403" s="4" t="str">
        <x:v>1. 平台管理员账号已登录且具备当前页面权限</x:v>
      </x:c>
      <x:c r="J403" s="4" t="str">
        <x:v>1. 进入推送配置
2. 查看操作信息</x:v>
      </x:c>
      <x:c r="K403" s="4" t="str">
        <x:v>推送配置显示“操作信息”</x:v>
      </x:c>
      <x:c r="L403" s="4" t="str"/>
      <x:c r="M403" s="4" t="str">
        <x:v>未测</x:v>
      </x:c>
      <x:c r="N403" s="4" t="str"/>
      <x:c r="O403" s="4" t="str">
        <x:v>1. 来源（原型批注）：liveshow-proto/prototype/annotations/admin.js；admin-push-detail.html
2. 页面：admin-push-detail.html
3. 规则：BR-180A46F6318447
4. 场景：SC-66B8BFCB34C16E
5. 未动态验证</x:v>
      </x:c>
    </x:row>
    <x:row r="404" ht="54" customHeight="1">
      <x:c r="A404" s="4" t="n">
        <x:v>403</x:v>
      </x:c>
      <x:c r="B404" s="4" t="str">
        <x:v>AOPS-0075</x:v>
      </x:c>
      <x:c r="C404" s="4" t="str">
        <x:v>运营配置</x:v>
      </x:c>
      <x:c r="D404" s="4" t="str">
        <x:v>推送配置（平台管理员视角）</x:v>
      </x:c>
      <x:c r="E404" s="4" t="str">
        <x:v>功能需求</x:v>
      </x:c>
      <x:c r="F404" s="4" t="str">
        <x:v>P2</x:v>
      </x:c>
      <x:c r="G404" s="4" t="str">
        <x:v>验证推送配置可查看目标用户</x:v>
      </x:c>
      <x:c r="H404" s="4" t="str">
        <x:v>目标用户展示</x:v>
      </x:c>
      <x:c r="I404" s="4" t="str">
        <x:v>1. 平台管理员账号已登录且具备当前页面权限</x:v>
      </x:c>
      <x:c r="J404" s="4" t="str">
        <x:v>1. 进入推送配置
2. 查看目标用户</x:v>
      </x:c>
      <x:c r="K404" s="4" t="str">
        <x:v>推送配置显示“目标用户”</x:v>
      </x:c>
      <x:c r="L404" s="4" t="str"/>
      <x:c r="M404" s="4" t="str">
        <x:v>未测</x:v>
      </x:c>
      <x:c r="N404" s="4" t="str"/>
      <x:c r="O404" s="4" t="str">
        <x:v>1. 来源（原型批注）：liveshow-proto/prototype/annotations/admin.js；admin-push-detail.html
2. 页面：admin-push-detail.html
3. 规则：BR-7299B40C5A3D8A
4. 场景：SC-42199A00B2D7A4
5. 未动态验证</x:v>
      </x:c>
    </x:row>
    <x:row r="405" ht="54" customHeight="1">
      <x:c r="A405" s="4" t="n">
        <x:v>404</x:v>
      </x:c>
      <x:c r="B405" s="4" t="str">
        <x:v>AOPS-0076</x:v>
      </x:c>
      <x:c r="C405" s="4" t="str">
        <x:v>运营配置</x:v>
      </x:c>
      <x:c r="D405" s="4" t="str">
        <x:v>推送配置（平台管理员视角）</x:v>
      </x:c>
      <x:c r="E405" s="4" t="str">
        <x:v>功能需求</x:v>
      </x:c>
      <x:c r="F405" s="4" t="str">
        <x:v>P2</x:v>
      </x:c>
      <x:c r="G405" s="4" t="str">
        <x:v>验证推送配置可查看四语标题 / 内容</x:v>
      </x:c>
      <x:c r="H405" s="4" t="str">
        <x:v>四语标题 / 内容展示</x:v>
      </x:c>
      <x:c r="I405" s="4" t="str">
        <x:v>1. 平台管理员账号已登录且具备当前页面权限</x:v>
      </x:c>
      <x:c r="J405" s="4" t="str">
        <x:v>1. 进入推送配置
2. 查看四语标题 / 内容</x:v>
      </x:c>
      <x:c r="K405" s="4" t="str">
        <x:v>推送配置显示“四语标题 / 内容”</x:v>
      </x:c>
      <x:c r="L405" s="4" t="str"/>
      <x:c r="M405" s="4" t="str">
        <x:v>未测</x:v>
      </x:c>
      <x:c r="N405" s="4" t="str"/>
      <x:c r="O405" s="4" t="str">
        <x:v>1. 来源（原型批注）：liveshow-proto/prototype/annotations/admin.js；admin-push-detail.html
2. 页面：admin-push-detail.html
3. 规则：BR-0C3D70EAC41772
4. 场景：SC-BE4031204D786B
5. 未动态验证</x:v>
      </x:c>
    </x:row>
    <x:row r="406" ht="54" customHeight="1">
      <x:c r="A406" s="4" t="n">
        <x:v>405</x:v>
      </x:c>
      <x:c r="B406" s="4" t="str">
        <x:v>AOPS-0077</x:v>
      </x:c>
      <x:c r="C406" s="4" t="str">
        <x:v>运营配置</x:v>
      </x:c>
      <x:c r="D406" s="4" t="str">
        <x:v>推送配置（平台管理员视角）</x:v>
      </x:c>
      <x:c r="E406" s="4" t="str">
        <x:v>功能需求</x:v>
      </x:c>
      <x:c r="F406" s="4" t="str">
        <x:v>P2</x:v>
      </x:c>
      <x:c r="G406" s="4" t="str">
        <x:v>验证推送配置可查看推送 ID</x:v>
      </x:c>
      <x:c r="H406" s="4" t="str">
        <x:v>推送 ID展示</x:v>
      </x:c>
      <x:c r="I406" s="4" t="str">
        <x:v>1. 平台管理员账号已登录且具备当前页面权限</x:v>
      </x:c>
      <x:c r="J406" s="4" t="str">
        <x:v>1. 进入推送配置
2. 查看推送 ID</x:v>
      </x:c>
      <x:c r="K406" s="4" t="str">
        <x:v>推送配置显示“推送 ID”</x:v>
      </x:c>
      <x:c r="L406" s="4" t="str"/>
      <x:c r="M406" s="4" t="str">
        <x:v>未测</x:v>
      </x:c>
      <x:c r="N406" s="4" t="str"/>
      <x:c r="O406" s="4" t="str">
        <x:v>1. 来源（原型批注）：liveshow-proto/prototype/annotations/admin.js；admin-push-detail.html
2. 页面：admin-push-detail.html
3. 规则：BR-5DAE7E17DE2D1D
4. 场景：SC-B92388B7FF0A2C
5. 未动态验证</x:v>
      </x:c>
    </x:row>
    <x:row r="407" ht="54" customHeight="1">
      <x:c r="A407" s="4" t="n">
        <x:v>406</x:v>
      </x:c>
      <x:c r="B407" s="4" t="str">
        <x:v>AOPS-0078</x:v>
      </x:c>
      <x:c r="C407" s="4" t="str">
        <x:v>运营配置</x:v>
      </x:c>
      <x:c r="D407" s="4" t="str">
        <x:v>展示素材编辑（平台管理员视角）</x:v>
      </x:c>
      <x:c r="E407" s="4" t="str">
        <x:v>功能需求</x:v>
      </x:c>
      <x:c r="F407" s="4" t="str">
        <x:v>P2</x:v>
      </x:c>
      <x:c r="G407" s="4" t="str">
        <x:v>验证每项包含时的展示素材编辑结果</x:v>
      </x:c>
      <x:c r="H407" s="4" t="str">
        <x:v>展示素材编辑条件结果</x:v>
      </x:c>
      <x:c r="I407" s="4" t="str">
        <x:v>1. 平台管理员账号已登录且具备当前页面权限
2. 每项包含</x:v>
      </x:c>
      <x:c r="J407" s="4" t="str">
        <x:v>1. 进入展示素材编辑
2. 查看展示素材编辑</x:v>
      </x:c>
      <x:c r="K407" s="4" t="str">
        <x:v>每项包含展示素材、跳转类型及对应目标内容，左侧序号即轮播顺序</x:v>
      </x:c>
      <x:c r="L407" s="4" t="str"/>
      <x:c r="M407" s="4" t="str">
        <x:v>未测</x:v>
      </x:c>
      <x:c r="N407" s="4" t="str"/>
      <x:c r="O407" s="4" t="str">
        <x:v>1. 来源（原型批注）：liveshow-proto/prototype/annotations/admin.js；admin-placement-detail.html
2. 页面：admin-placement-detail.html
3. 规则：BR-616CE188AD2F9D
4. 场景：SC-F1AF8F27533239
5. 未动态验证</x:v>
      </x:c>
    </x:row>
    <x:row r="408" ht="54" customHeight="1">
      <x:c r="A408" s="4" t="n">
        <x:v>407</x:v>
      </x:c>
      <x:c r="B408" s="4" t="str">
        <x:v>AOPS-0079</x:v>
      </x:c>
      <x:c r="C408" s="4" t="str">
        <x:v>运营配置</x:v>
      </x:c>
      <x:c r="D408" s="4" t="str">
        <x:v>展示素材编辑（平台管理员视角）</x:v>
      </x:c>
      <x:c r="E408" s="4" t="str">
        <x:v>业务流程</x:v>
      </x:c>
      <x:c r="F408" s="4" t="str">
        <x:v>P2</x:v>
      </x:c>
      <x:c r="G408" s="4" t="str">
        <x:v>验证切换跳转类型后的展示素材编辑状态</x:v>
      </x:c>
      <x:c r="H408" s="4" t="str">
        <x:v>展示素材编辑状态</x:v>
      </x:c>
      <x:c r="I408" s="4" t="str">
        <x:v>1. 平台管理员账号已登录且具备当前页面权限</x:v>
      </x:c>
      <x:c r="J408" s="4" t="str">
        <x:v>1. 进入展示素材编辑
2. 切换跳转类型</x:v>
      </x:c>
      <x:c r="K408" s="4" t="str">
        <x:v>在目标页面选择器和活动长图上传间切换</x:v>
      </x:c>
      <x:c r="L408" s="4" t="str"/>
      <x:c r="M408" s="4" t="str">
        <x:v>未测</x:v>
      </x:c>
      <x:c r="N408" s="4" t="str"/>
      <x:c r="O408" s="4" t="str">
        <x:v>1. 来源（原型批注）：liveshow-proto/prototype/annotations/admin.js；admin-placement-detail.html
2. 页面：admin-placement-detail.html
3. 规则：BR-486F46736E9ED4
4. 场景：SC-CFFB06DBB40616
5. 未动态验证</x:v>
      </x:c>
    </x:row>
    <x:row r="409" ht="54" customHeight="1">
      <x:c r="A409" s="4" t="n">
        <x:v>408</x:v>
      </x:c>
      <x:c r="B409" s="4" t="str">
        <x:v>AOPS-0080</x:v>
      </x:c>
      <x:c r="C409" s="4" t="str">
        <x:v>运营配置</x:v>
      </x:c>
      <x:c r="D409" s="4" t="str">
        <x:v>展示素材编辑（平台管理员视角）</x:v>
      </x:c>
      <x:c r="E409" s="4" t="str">
        <x:v>业务流程</x:v>
      </x:c>
      <x:c r="F409" s="4" t="str">
        <x:v>P2</x:v>
      </x:c>
      <x:c r="G409" s="4" t="str">
        <x:v>验证通过后的展示素材编辑状态</x:v>
      </x:c>
      <x:c r="H409" s="4" t="str">
        <x:v>展示素材编辑状态</x:v>
      </x:c>
      <x:c r="I409" s="4" t="str">
        <x:v>1. 平台管理员账号已登录且具备当前页面权限
2. 通过</x:v>
      </x:c>
      <x:c r="J409" s="4" t="str">
        <x:v>1. 进入展示素材编辑
2. 刷新展示素材编辑</x:v>
      </x:c>
      <x:c r="K409" s="4" t="str">
        <x:v>保留当前顺序</x:v>
      </x:c>
      <x:c r="L409" s="4" t="str"/>
      <x:c r="M409" s="4" t="str">
        <x:v>未测</x:v>
      </x:c>
      <x:c r="N409" s="4" t="str"/>
      <x:c r="O409" s="4" t="str">
        <x:v>1. 来源（原型批注）：liveshow-proto/prototype/annotations/admin.js；admin-placement-detail.html
2. 页面：admin-placement-detail.html
3. 规则：BR-0A74F48C34939F
4. 场景：SC-8E17BAF2B9A3BD
5. 未动态验证</x:v>
      </x:c>
    </x:row>
    <x:row r="410" ht="54" customHeight="1">
      <x:c r="A410" s="4" t="n">
        <x:v>409</x:v>
      </x:c>
      <x:c r="B410" s="4" t="str">
        <x:v>AOPS-0081</x:v>
      </x:c>
      <x:c r="C410" s="4" t="str">
        <x:v>运营配置</x:v>
      </x:c>
      <x:c r="D410" s="4" t="str">
        <x:v>展示素材编辑（平台管理员视角）</x:v>
      </x:c>
      <x:c r="E410" s="4" t="str">
        <x:v>功能需求</x:v>
      </x:c>
      <x:c r="F410" s="4" t="str">
        <x:v>P2</x:v>
      </x:c>
      <x:c r="G410" s="4" t="str">
        <x:v>验证展示素材编辑可查看轮播内容</x:v>
      </x:c>
      <x:c r="H410" s="4" t="str">
        <x:v>轮播内容展示</x:v>
      </x:c>
      <x:c r="I410" s="4" t="str">
        <x:v>1. 平台管理员账号已登录且具备当前页面权限</x:v>
      </x:c>
      <x:c r="J410" s="4" t="str">
        <x:v>1. 进入展示素材编辑
2. 查看轮播内容</x:v>
      </x:c>
      <x:c r="K410" s="4" t="str">
        <x:v>展示素材编辑显示“轮播内容”</x:v>
      </x:c>
      <x:c r="L410" s="4" t="str"/>
      <x:c r="M410" s="4" t="str">
        <x:v>未测</x:v>
      </x:c>
      <x:c r="N410" s="4" t="str"/>
      <x:c r="O410" s="4" t="str">
        <x:v>1. 来源（原型批注）：liveshow-proto/prototype/annotations/admin.js；admin-placement-detail.html
2. 页面：admin-placement-detail.html
3. 规则：BR-9A5E0103C407E5、BR-616CE188AD2F9D
4. 场景：SC-5820A46273F30C
5. 未动态验证</x:v>
      </x:c>
    </x:row>
    <x:row r="411" ht="54" customHeight="1">
      <x:c r="A411" s="4" t="n">
        <x:v>410</x:v>
      </x:c>
      <x:c r="B411" s="4" t="str">
        <x:v>AOPS-0082</x:v>
      </x:c>
      <x:c r="C411" s="4" t="str">
        <x:v>运营配置</x:v>
      </x:c>
      <x:c r="D411" s="4" t="str">
        <x:v>展示素材编辑（平台管理员视角）</x:v>
      </x:c>
      <x:c r="E411" s="4" t="str">
        <x:v>功能需求</x:v>
      </x:c>
      <x:c r="F411" s="4" t="str">
        <x:v>P2</x:v>
      </x:c>
      <x:c r="G411" s="4" t="str">
        <x:v>验证展示素材编辑可查看目标内容</x:v>
      </x:c>
      <x:c r="H411" s="4" t="str">
        <x:v>目标内容展示</x:v>
      </x:c>
      <x:c r="I411" s="4" t="str">
        <x:v>1. 平台管理员账号已登录且具备当前页面权限</x:v>
      </x:c>
      <x:c r="J411" s="4" t="str">
        <x:v>1. 进入展示素材编辑
2. 查看目标内容</x:v>
      </x:c>
      <x:c r="K411" s="4" t="str">
        <x:v>展示素材编辑显示“目标内容”</x:v>
      </x:c>
      <x:c r="L411" s="4" t="str"/>
      <x:c r="M411" s="4" t="str">
        <x:v>未测</x:v>
      </x:c>
      <x:c r="N411" s="4" t="str"/>
      <x:c r="O411" s="4" t="str">
        <x:v>1. 来源（原型批注）：liveshow-proto/prototype/annotations/admin.js；admin-placement-detail.html
2. 页面：admin-placement-detail.html
3. 规则：BR-33F6551F16D71D、BR-3C5D60DF5FF5B4
4. 场景：SC-30626296582C69
5. 未动态验证</x:v>
      </x:c>
    </x:row>
    <x:row r="412" ht="54" customHeight="1">
      <x:c r="A412" s="4" t="n">
        <x:v>411</x:v>
      </x:c>
      <x:c r="B412" s="4" t="str">
        <x:v>AOPS-0083</x:v>
      </x:c>
      <x:c r="C412" s="4" t="str">
        <x:v>运营配置</x:v>
      </x:c>
      <x:c r="D412" s="4" t="str">
        <x:v>展示素材编辑（平台管理员视角）</x:v>
      </x:c>
      <x:c r="E412" s="4" t="str">
        <x:v>功能需求</x:v>
      </x:c>
      <x:c r="F412" s="4" t="str">
        <x:v>P2</x:v>
      </x:c>
      <x:c r="G412" s="4" t="str">
        <x:v>验证展示素材编辑可查看跳转类型</x:v>
      </x:c>
      <x:c r="H412" s="4" t="str">
        <x:v>跳转类型展示</x:v>
      </x:c>
      <x:c r="I412" s="4" t="str">
        <x:v>1. 平台管理员账号已登录且具备当前页面权限</x:v>
      </x:c>
      <x:c r="J412" s="4" t="str">
        <x:v>1. 进入展示素材编辑
2. 查看跳转类型</x:v>
      </x:c>
      <x:c r="K412" s="4" t="str">
        <x:v>展示素材编辑显示“跳转类型”</x:v>
      </x:c>
      <x:c r="L412" s="4" t="str"/>
      <x:c r="M412" s="4" t="str">
        <x:v>未测</x:v>
      </x:c>
      <x:c r="N412" s="4" t="str"/>
      <x:c r="O412" s="4" t="str">
        <x:v>1. 来源（原型批注）：liveshow-proto/prototype/annotations/admin.js；admin-placement-detail.html
2. 页面：admin-placement-detail.html
3. 规则：BR-802B6D281543BF
4. 场景：SC-FCDCBD347F4869
5. 未动态验证</x:v>
      </x:c>
    </x:row>
    <x:row r="413" ht="54" customHeight="1">
      <x:c r="A413" s="4" t="n">
        <x:v>412</x:v>
      </x:c>
      <x:c r="B413" s="4" t="str">
        <x:v>AOPS-0084</x:v>
      </x:c>
      <x:c r="C413" s="4" t="str">
        <x:v>运营配置</x:v>
      </x:c>
      <x:c r="D413" s="4" t="str">
        <x:v>展示素材编辑（平台管理员视角）</x:v>
      </x:c>
      <x:c r="E413" s="4" t="str">
        <x:v>功能需求</x:v>
      </x:c>
      <x:c r="F413" s="4" t="str">
        <x:v>P2</x:v>
      </x:c>
      <x:c r="G413" s="4" t="str">
        <x:v>验证展示素材编辑可查看展示素材</x:v>
      </x:c>
      <x:c r="H413" s="4" t="str">
        <x:v>展示素材展示</x:v>
      </x:c>
      <x:c r="I413" s="4" t="str">
        <x:v>1. 平台管理员账号已登录且具备当前页面权限</x:v>
      </x:c>
      <x:c r="J413" s="4" t="str">
        <x:v>1. 进入展示素材编辑
2. 查看展示素材</x:v>
      </x:c>
      <x:c r="K413" s="4" t="str">
        <x:v>展示素材编辑显示“展示素材”</x:v>
      </x:c>
      <x:c r="L413" s="4" t="str"/>
      <x:c r="M413" s="4" t="str">
        <x:v>未测</x:v>
      </x:c>
      <x:c r="N413" s="4" t="str"/>
      <x:c r="O413" s="4" t="str">
        <x:v>1. 来源（原型批注）：liveshow-proto/prototype/annotations/admin.js；admin-placement-detail.html
2. 页面：admin-placement-detail.html
3. 规则：BR-07E1465ECE2EBF、BR-0C11D4CE6B6305
4. 场景：SC-DA5E8ED4829164
5. 未动态验证</x:v>
      </x:c>
    </x:row>
    <x:row r="414" ht="54" customHeight="1">
      <x:c r="A414" s="4" t="n">
        <x:v>413</x:v>
      </x:c>
      <x:c r="B414" s="4" t="str">
        <x:v>AOPS-0085</x:v>
      </x:c>
      <x:c r="C414" s="4" t="str">
        <x:v>运营配置</x:v>
      </x:c>
      <x:c r="D414" s="4" t="str">
        <x:v>展示素材编辑（平台管理员视角）</x:v>
      </x:c>
      <x:c r="E414" s="4" t="str">
        <x:v>功能需求</x:v>
      </x:c>
      <x:c r="F414" s="4" t="str">
        <x:v>P2</x:v>
      </x:c>
      <x:c r="G414" s="4" t="str">
        <x:v>验证展示素材编辑可查看展示位置 / 状态</x:v>
      </x:c>
      <x:c r="H414" s="4" t="str">
        <x:v>展示位置 / 状态展示</x:v>
      </x:c>
      <x:c r="I414" s="4" t="str">
        <x:v>1. 平台管理员账号已登录且具备当前页面权限</x:v>
      </x:c>
      <x:c r="J414" s="4" t="str">
        <x:v>1. 进入展示素材编辑
2. 查看展示位置 / 状态</x:v>
      </x:c>
      <x:c r="K414" s="4" t="str">
        <x:v>展示素材编辑显示“展示位置 / 状态”</x:v>
      </x:c>
      <x:c r="L414" s="4" t="str"/>
      <x:c r="M414" s="4" t="str">
        <x:v>未测</x:v>
      </x:c>
      <x:c r="N414" s="4" t="str"/>
      <x:c r="O414" s="4" t="str">
        <x:v>1. 来源（原型批注）：liveshow-proto/prototype/annotations/admin.js；admin-placement-detail.html
2. 页面：admin-placement-detail.html
3. 规则：BR-5F0866BDE269DF、BR-7689FF744E3C41
4. 场景：SC-DEBE4155A7D33F
5. 未动态验证</x:v>
      </x:c>
    </x:row>
    <x:row r="415" ht="54" customHeight="1">
      <x:c r="A415" s="4" t="n">
        <x:v>414</x:v>
      </x:c>
      <x:c r="B415" s="4" t="str">
        <x:v>AOPS-0086</x:v>
      </x:c>
      <x:c r="C415" s="4" t="str">
        <x:v>运营配置</x:v>
      </x:c>
      <x:c r="D415" s="4" t="str">
        <x:v>展示素材编辑（平台管理员视角）</x:v>
      </x:c>
      <x:c r="E415" s="4" t="str">
        <x:v>功能需求</x:v>
      </x:c>
      <x:c r="F415" s="4" t="str">
        <x:v>P2</x:v>
      </x:c>
      <x:c r="G415" s="4" t="str">
        <x:v>验证展示素材编辑可查看展示周期</x:v>
      </x:c>
      <x:c r="H415" s="4" t="str">
        <x:v>展示周期展示</x:v>
      </x:c>
      <x:c r="I415" s="4" t="str">
        <x:v>1. 平台管理员账号已登录且具备当前页面权限</x:v>
      </x:c>
      <x:c r="J415" s="4" t="str">
        <x:v>1. 进入展示素材编辑
2. 查看展示周期</x:v>
      </x:c>
      <x:c r="K415" s="4" t="str">
        <x:v>展示素材编辑显示“展示周期”</x:v>
      </x:c>
      <x:c r="L415" s="4" t="str"/>
      <x:c r="M415" s="4" t="str">
        <x:v>未测</x:v>
      </x:c>
      <x:c r="N415" s="4" t="str"/>
      <x:c r="O415" s="4" t="str">
        <x:v>1. 来源（原型批注）：liveshow-proto/prototype/annotations/admin.js；admin-placement-detail.html
2. 页面：admin-placement-detail.html
3. 规则：BR-2C63C3939BE515、BR-EBA29B4C8EB70C
4. 场景：SC-C656B2605BC6D9
5. 未动态验证</x:v>
      </x:c>
    </x:row>
    <x:row r="416" ht="54" customHeight="1">
      <x:c r="A416" s="4" t="n">
        <x:v>415</x:v>
      </x:c>
      <x:c r="B416" s="4" t="str">
        <x:v>AOPS-0087</x:v>
      </x:c>
      <x:c r="C416" s="4" t="str">
        <x:v>运营配置</x:v>
      </x:c>
      <x:c r="D416" s="4" t="str">
        <x:v>展示素材编辑（平台管理员视角）</x:v>
      </x:c>
      <x:c r="E416" s="4" t="str">
        <x:v>功能需求</x:v>
      </x:c>
      <x:c r="F416" s="4" t="str">
        <x:v>P2</x:v>
      </x:c>
      <x:c r="G416" s="4" t="str">
        <x:v>验证只剩 1 项时的展示素材编辑结果</x:v>
      </x:c>
      <x:c r="H416" s="4" t="str">
        <x:v>展示素材编辑条件结果</x:v>
      </x:c>
      <x:c r="I416" s="4" t="str">
        <x:v>1. 平台管理员账号已登录且具备当前页面权限
2. 只剩 1 项</x:v>
      </x:c>
      <x:c r="J416" s="4" t="str">
        <x:v>1. 进入展示素材编辑
2. 查看展示素材编辑</x:v>
      </x:c>
      <x:c r="K416" s="4" t="str">
        <x:v>禁止删除</x:v>
      </x:c>
      <x:c r="L416" s="4" t="str"/>
      <x:c r="M416" s="4" t="str">
        <x:v>未测</x:v>
      </x:c>
      <x:c r="N416" s="4" t="str"/>
      <x:c r="O416" s="4" t="str">
        <x:v>1. 来源（原型批注）：liveshow-proto/prototype/annotations/admin.js；admin-placement-detail.html
2. 页面：admin-placement-detail.html
3. 规则：BR-F8044A60E6FC01
4. 场景：SC-93D0C6072AE41B
5. 未动态验证</x:v>
      </x:c>
    </x:row>
    <x:row r="417" ht="54" customHeight="1">
      <x:c r="A417" s="4" t="n">
        <x:v>416</x:v>
      </x:c>
      <x:c r="B417" s="4" t="str">
        <x:v>AOPS-0088</x:v>
      </x:c>
      <x:c r="C417" s="4" t="str">
        <x:v>运营配置</x:v>
      </x:c>
      <x:c r="D417" s="4" t="str">
        <x:v>展位配置（平台管理员视角）</x:v>
      </x:c>
      <x:c r="E417" s="4" t="str">
        <x:v>功能需求</x:v>
      </x:c>
      <x:c r="F417" s="4" t="str">
        <x:v>P2</x:v>
      </x:c>
      <x:c r="G417" s="4" t="str">
        <x:v>验证同一时的展位配置结果</x:v>
      </x:c>
      <x:c r="H417" s="4" t="str">
        <x:v>展位配置条件结果</x:v>
      </x:c>
      <x:c r="I417" s="4" t="str">
        <x:v>1. 平台管理员账号已登录且具备当前页面权限
2. 同一</x:v>
      </x:c>
      <x:c r="J417" s="4" t="str">
        <x:v>1. 进入展位配置
2. 查看展位配置</x:v>
      </x:c>
      <x:c r="K417" s="4" t="str">
        <x:v>同一展示位置的配置有效时间不得重叠</x:v>
      </x:c>
      <x:c r="L417" s="4" t="str"/>
      <x:c r="M417" s="4" t="str">
        <x:v>未测</x:v>
      </x:c>
      <x:c r="N417" s="4" t="str"/>
      <x:c r="O417" s="4" t="str">
        <x:v>1. 来源（原型批注）：liveshow-proto/prototype/annotations/admin.js；admin-placement-config.html
2. 页面：admin-placement-config.html
3. 规则：BR-A34CE24652854D
4. 场景：SC-56D2485A979181
5. 未动态验证</x:v>
      </x:c>
    </x:row>
    <x:row r="418" ht="54" customHeight="1">
      <x:c r="A418" s="4" t="n">
        <x:v>417</x:v>
      </x:c>
      <x:c r="B418" s="4" t="str">
        <x:v>AOPS-0089</x:v>
      </x:c>
      <x:c r="C418" s="4" t="str">
        <x:v>运营配置</x:v>
      </x:c>
      <x:c r="D418" s="4" t="str">
        <x:v>展位配置（平台管理员视角）</x:v>
      </x:c>
      <x:c r="E418" s="4" t="str">
        <x:v>功能需求</x:v>
      </x:c>
      <x:c r="F418" s="4" t="str">
        <x:v>P2</x:v>
      </x:c>
      <x:c r="G418" s="4" t="str">
        <x:v>验证展位配置可查看展示素材</x:v>
      </x:c>
      <x:c r="H418" s="4" t="str">
        <x:v>展示素材展示</x:v>
      </x:c>
      <x:c r="I418" s="4" t="str">
        <x:v>1. 平台管理员账号已登录且具备当前页面权限</x:v>
      </x:c>
      <x:c r="J418" s="4" t="str">
        <x:v>1. 进入展位配置
2. 查看展示素材</x:v>
      </x:c>
      <x:c r="K418" s="4" t="str">
        <x:v>展位配置显示“展示素材”</x:v>
      </x:c>
      <x:c r="L418" s="4" t="str"/>
      <x:c r="M418" s="4" t="str">
        <x:v>未测</x:v>
      </x:c>
      <x:c r="N418" s="4" t="str"/>
      <x:c r="O418" s="4" t="str">
        <x:v>1. 来源（原型批注）：liveshow-proto/prototype/annotations/admin.js；admin-placement-config.html
2. 页面：admin-placement-config.html
3. 规则：BR-69D59C25D96DDA
4. 场景：SC-DB3D9DE0A71425
5. 未动态验证</x:v>
      </x:c>
    </x:row>
    <x:row r="419" ht="54" customHeight="1">
      <x:c r="A419" s="4" t="n">
        <x:v>418</x:v>
      </x:c>
      <x:c r="B419" s="4" t="str">
        <x:v>AOPS-0090</x:v>
      </x:c>
      <x:c r="C419" s="4" t="str">
        <x:v>运营配置</x:v>
      </x:c>
      <x:c r="D419" s="4" t="str">
        <x:v>展位配置（平台管理员视角）</x:v>
      </x:c>
      <x:c r="E419" s="4" t="str">
        <x:v>功能需求</x:v>
      </x:c>
      <x:c r="F419" s="4" t="str">
        <x:v>P2</x:v>
      </x:c>
      <x:c r="G419" s="4" t="str">
        <x:v>验证展位配置可查看展示位置</x:v>
      </x:c>
      <x:c r="H419" s="4" t="str">
        <x:v>展示位置展示</x:v>
      </x:c>
      <x:c r="I419" s="4" t="str">
        <x:v>1. 平台管理员账号已登录且具备当前页面权限</x:v>
      </x:c>
      <x:c r="J419" s="4" t="str">
        <x:v>1. 进入展位配置
2. 查看展示位置</x:v>
      </x:c>
      <x:c r="K419" s="4" t="str">
        <x:v>展位配置显示“展示位置”</x:v>
      </x:c>
      <x:c r="L419" s="4" t="str"/>
      <x:c r="M419" s="4" t="str">
        <x:v>未测</x:v>
      </x:c>
      <x:c r="N419" s="4" t="str"/>
      <x:c r="O419" s="4" t="str">
        <x:v>1. 来源（原型批注）：liveshow-proto/prototype/annotations/admin.js；admin-placement-config.html
2. 页面：admin-placement-config.html
3. 规则：BR-88E1809A584AC0
4. 场景：SC-9075708A4B9E31
5. 未动态验证</x:v>
      </x:c>
    </x:row>
    <x:row r="420" ht="54" customHeight="1">
      <x:c r="A420" s="4" t="n">
        <x:v>419</x:v>
      </x:c>
      <x:c r="B420" s="4" t="str">
        <x:v>AOPS-0091</x:v>
      </x:c>
      <x:c r="C420" s="4" t="str">
        <x:v>运营配置</x:v>
      </x:c>
      <x:c r="D420" s="4" t="str">
        <x:v>展位配置（平台管理员视角）</x:v>
      </x:c>
      <x:c r="E420" s="4" t="str">
        <x:v>功能需求</x:v>
      </x:c>
      <x:c r="F420" s="4" t="str">
        <x:v>P2</x:v>
      </x:c>
      <x:c r="G420" s="4" t="str">
        <x:v>验证展位配置可查看展示周期</x:v>
      </x:c>
      <x:c r="H420" s="4" t="str">
        <x:v>展示周期展示</x:v>
      </x:c>
      <x:c r="I420" s="4" t="str">
        <x:v>1. 平台管理员账号已登录且具备当前页面权限</x:v>
      </x:c>
      <x:c r="J420" s="4" t="str">
        <x:v>1. 进入展位配置
2. 查看展示周期</x:v>
      </x:c>
      <x:c r="K420" s="4" t="str">
        <x:v>展位配置显示“展示周期”</x:v>
      </x:c>
      <x:c r="L420" s="4" t="str"/>
      <x:c r="M420" s="4" t="str">
        <x:v>未测</x:v>
      </x:c>
      <x:c r="N420" s="4" t="str"/>
      <x:c r="O420" s="4" t="str">
        <x:v>1. 来源（原型批注）：liveshow-proto/prototype/annotations/admin.js；admin-placement-config.html
2. 页面：admin-placement-config.html
3. 规则：BR-B6FE495C810A62
4. 场景：SC-A5E73727118032
5. 未动态验证</x:v>
      </x:c>
    </x:row>
    <x:row r="421" ht="54" customHeight="1">
      <x:c r="A421" s="4" t="n">
        <x:v>420</x:v>
      </x:c>
      <x:c r="B421" s="4" t="str">
        <x:v>AOPS-0092</x:v>
      </x:c>
      <x:c r="C421" s="4" t="str">
        <x:v>运营配置</x:v>
      </x:c>
      <x:c r="D421" s="4" t="str">
        <x:v>展位配置（平台管理员视角）</x:v>
      </x:c>
      <x:c r="E421" s="4" t="str">
        <x:v>功能需求</x:v>
      </x:c>
      <x:c r="F421" s="4" t="str">
        <x:v>P2</x:v>
      </x:c>
      <x:c r="G421" s="4" t="str">
        <x:v>验证展位配置可查看状态</x:v>
      </x:c>
      <x:c r="H421" s="4" t="str">
        <x:v>状态展示</x:v>
      </x:c>
      <x:c r="I421" s="4" t="str">
        <x:v>1. 平台管理员账号已登录且具备当前页面权限</x:v>
      </x:c>
      <x:c r="J421" s="4" t="str">
        <x:v>1. 进入展位配置
2. 查看状态</x:v>
      </x:c>
      <x:c r="K421" s="4" t="str">
        <x:v>展位配置显示“状态”</x:v>
      </x:c>
      <x:c r="L421" s="4" t="str"/>
      <x:c r="M421" s="4" t="str">
        <x:v>未测</x:v>
      </x:c>
      <x:c r="N421" s="4" t="str"/>
      <x:c r="O421" s="4" t="str">
        <x:v>1. 来源（原型批注）：liveshow-proto/prototype/annotations/admin.js；admin-placement-config.html
2. 页面：admin-placement-config.html
3. 规则：BR-574CF075AB1051
4. 场景：SC-E8032F437CAE79
5. 未动态验证</x:v>
      </x:c>
    </x:row>
    <x:row r="422" ht="54" customHeight="1">
      <x:c r="A422" s="4" t="n">
        <x:v>421</x:v>
      </x:c>
      <x:c r="B422" s="4" t="str">
        <x:v>AOPS-0093</x:v>
      </x:c>
      <x:c r="C422" s="4" t="str">
        <x:v>运营配置</x:v>
      </x:c>
      <x:c r="D422" s="4" t="str">
        <x:v>直播房型（平台管理员视角）</x:v>
      </x:c>
      <x:c r="E422" s="4" t="str">
        <x:v>异常用例</x:v>
      </x:c>
      <x:c r="F422" s="4" t="str">
        <x:v>P1</x:v>
      </x:c>
      <x:c r="G422" s="4" t="str">
        <x:v>验证关闭房型后的直播房型状态</x:v>
      </x:c>
      <x:c r="H422" s="4" t="str">
        <x:v>直播房型状态</x:v>
      </x:c>
      <x:c r="I422" s="4" t="str">
        <x:v>1. 平台管理员账号已登录且具备当前页面权限</x:v>
      </x:c>
      <x:c r="J422" s="4" t="str">
        <x:v>1. 进入直播房型
2. 关闭房型</x:v>
      </x:c>
      <x:c r="K422" s="4" t="str">
        <x:v>主播不可新建对应场次</x:v>
      </x:c>
      <x:c r="L422" s="4" t="str"/>
      <x:c r="M422" s="4" t="str">
        <x:v>未测</x:v>
      </x:c>
      <x:c r="N422" s="4" t="str"/>
      <x:c r="O422" s="4" t="str">
        <x:v>1. 来源（原型批注）：liveshow-proto/prototype/annotations/admin.js；admin-feature-switch.html
2. 页面：admin-feature-switch.html
3. 规则：BR-632560CDDE7F29
4. 场景：SC-09D5B2D183C0BF
5. 未动态验证</x:v>
      </x:c>
    </x:row>
    <x:row r="423" ht="54" customHeight="1">
      <x:c r="A423" s="4" t="n">
        <x:v>422</x:v>
      </x:c>
      <x:c r="B423" s="4" t="str">
        <x:v>AOPS-0094</x:v>
      </x:c>
      <x:c r="C423" s="4" t="str">
        <x:v>运营配置</x:v>
      </x:c>
      <x:c r="D423" s="4" t="str">
        <x:v>直播房型（平台管理员视角）</x:v>
      </x:c>
      <x:c r="E423" s="4" t="str">
        <x:v>业务流程</x:v>
      </x:c>
      <x:c r="F423" s="4" t="str">
        <x:v>P1</x:v>
      </x:c>
      <x:c r="G423" s="4" t="str">
        <x:v>验证门票房价格配置后的直播房型状态</x:v>
      </x:c>
      <x:c r="H423" s="4" t="str">
        <x:v>直播房型状态</x:v>
      </x:c>
      <x:c r="I423" s="4" t="str">
        <x:v>1. 平台管理员账号已登录且具备当前页面权限
2. 门票房价格配置</x:v>
      </x:c>
      <x:c r="J423" s="4" t="str">
        <x:v>1. 进入直播房型
2. 刷新直播房型</x:v>
      </x:c>
      <x:c r="K423" s="4" t="str">
        <x:v>进入价格档位列表</x:v>
      </x:c>
      <x:c r="L423" s="4" t="str"/>
      <x:c r="M423" s="4" t="str">
        <x:v>未测</x:v>
      </x:c>
      <x:c r="N423" s="4" t="str"/>
      <x:c r="O423" s="4" t="str">
        <x:v>1. 来源（原型批注）：liveshow-proto/prototype/annotations/admin.js；admin-feature-switch.html
2. 页面：admin-feature-switch.html
3. 规则：BR-1EA8E2D1073B1B
4. 场景：SC-D165B76806D304
5. 未动态验证</x:v>
      </x:c>
    </x:row>
    <x:row r="424" ht="54" customHeight="1">
      <x:c r="A424" s="4" t="n">
        <x:v>423</x:v>
      </x:c>
      <x:c r="B424" s="4" t="str">
        <x:v>AOPS-0095</x:v>
      </x:c>
      <x:c r="C424" s="4" t="str">
        <x:v>运营配置</x:v>
      </x:c>
      <x:c r="D424" s="4" t="str">
        <x:v>直播房型（平台管理员视角）</x:v>
      </x:c>
      <x:c r="E424" s="4" t="str">
        <x:v>业务流程</x:v>
      </x:c>
      <x:c r="F424" s="4" t="str">
        <x:v>P1</x:v>
      </x:c>
      <x:c r="G424" s="4" t="str">
        <x:v>验证切换开关后的直播房型状态</x:v>
      </x:c>
      <x:c r="H424" s="4" t="str">
        <x:v>直播房型状态</x:v>
      </x:c>
      <x:c r="I424" s="4" t="str">
        <x:v>1. 平台管理员账号已登录且具备当前页面权限</x:v>
      </x:c>
      <x:c r="J424" s="4" t="str">
        <x:v>1. 进入直播房型
2. 切换开关</x:v>
      </x:c>
      <x:c r="K424" s="4" t="str">
        <x:v>立即更新房型状态</x:v>
      </x:c>
      <x:c r="L424" s="4" t="str"/>
      <x:c r="M424" s="4" t="str">
        <x:v>未测</x:v>
      </x:c>
      <x:c r="N424" s="4" t="str"/>
      <x:c r="O424" s="4" t="str">
        <x:v>1. 来源（原型批注）：liveshow-proto/prototype/annotations/admin.js；admin-feature-switch.html
2. 页面：admin-feature-switch.html
3. 规则：BR-62BCBB26A5232E
4. 场景：SC-29E71A4C4C23BF
5. 未动态验证</x:v>
      </x:c>
    </x:row>
    <x:row r="425" ht="54" customHeight="1">
      <x:c r="A425" s="4" t="n">
        <x:v>424</x:v>
      </x:c>
      <x:c r="B425" s="4" t="str">
        <x:v>AOPS-0096</x:v>
      </x:c>
      <x:c r="C425" s="4" t="str">
        <x:v>运营配置</x:v>
      </x:c>
      <x:c r="D425" s="4" t="str">
        <x:v>直播房型（平台管理员视角）</x:v>
      </x:c>
      <x:c r="E425" s="4" t="str">
        <x:v>功能需求</x:v>
      </x:c>
      <x:c r="F425" s="4" t="str">
        <x:v>P1</x:v>
      </x:c>
      <x:c r="G425" s="4" t="str">
        <x:v>验证直播房型可查看操作信息</x:v>
      </x:c>
      <x:c r="H425" s="4" t="str">
        <x:v>操作信息展示</x:v>
      </x:c>
      <x:c r="I425" s="4" t="str">
        <x:v>1. 平台管理员账号已登录且具备当前页面权限</x:v>
      </x:c>
      <x:c r="J425" s="4" t="str">
        <x:v>1. 进入直播房型
2. 查看操作信息</x:v>
      </x:c>
      <x:c r="K425" s="4" t="str">
        <x:v>直播房型显示“操作信息”</x:v>
      </x:c>
      <x:c r="L425" s="4" t="str"/>
      <x:c r="M425" s="4" t="str">
        <x:v>未测</x:v>
      </x:c>
      <x:c r="N425" s="4" t="str"/>
      <x:c r="O425" s="4" t="str">
        <x:v>1. 来源（原型批注）：liveshow-proto/prototype/annotations/admin.js；admin-feature-switch.html
2. 页面：admin-feature-switch.html
3. 规则：BR-9DFD7B2188B84F
4. 场景：SC-F4446BB49F5040
5. 未动态验证</x:v>
      </x:c>
    </x:row>
    <x:row r="426" ht="54" customHeight="1">
      <x:c r="A426" s="4" t="n">
        <x:v>425</x:v>
      </x:c>
      <x:c r="B426" s="4" t="str">
        <x:v>AOPS-0097</x:v>
      </x:c>
      <x:c r="C426" s="4" t="str">
        <x:v>运营配置</x:v>
      </x:c>
      <x:c r="D426" s="4" t="str">
        <x:v>直播房型（平台管理员视角）</x:v>
      </x:c>
      <x:c r="E426" s="4" t="str">
        <x:v>功能需求</x:v>
      </x:c>
      <x:c r="F426" s="4" t="str">
        <x:v>P1</x:v>
      </x:c>
      <x:c r="G426" s="4" t="str">
        <x:v>验证直播房型可查看当前状态</x:v>
      </x:c>
      <x:c r="H426" s="4" t="str">
        <x:v>当前状态展示</x:v>
      </x:c>
      <x:c r="I426" s="4" t="str">
        <x:v>1. 平台管理员账号已登录且具备当前页面权限</x:v>
      </x:c>
      <x:c r="J426" s="4" t="str">
        <x:v>1. 进入直播房型
2. 查看当前状态</x:v>
      </x:c>
      <x:c r="K426" s="4" t="str">
        <x:v>直播房型显示“当前状态”</x:v>
      </x:c>
      <x:c r="L426" s="4" t="str"/>
      <x:c r="M426" s="4" t="str">
        <x:v>未测</x:v>
      </x:c>
      <x:c r="N426" s="4" t="str"/>
      <x:c r="O426" s="4" t="str">
        <x:v>1. 来源（原型批注）：liveshow-proto/prototype/annotations/admin.js；admin-feature-switch.html
2. 页面：admin-feature-switch.html
3. 规则：BR-7F57CA9FA55E1B
4. 场景：SC-7C17CA62C10A89
5. 未动态验证</x:v>
      </x:c>
    </x:row>
    <x:row r="427" ht="54" customHeight="1">
      <x:c r="A427" s="4" t="n">
        <x:v>426</x:v>
      </x:c>
      <x:c r="B427" s="4" t="str">
        <x:v>AOPS-0098</x:v>
      </x:c>
      <x:c r="C427" s="4" t="str">
        <x:v>运营配置</x:v>
      </x:c>
      <x:c r="D427" s="4" t="str">
        <x:v>直播房型（平台管理员视角）</x:v>
      </x:c>
      <x:c r="E427" s="4" t="str">
        <x:v>功能需求</x:v>
      </x:c>
      <x:c r="F427" s="4" t="str">
        <x:v>P1</x:v>
      </x:c>
      <x:c r="G427" s="4" t="str">
        <x:v>验证直播房型可查看房型名称</x:v>
      </x:c>
      <x:c r="H427" s="4" t="str">
        <x:v>房型名称展示</x:v>
      </x:c>
      <x:c r="I427" s="4" t="str">
        <x:v>1. 平台管理员账号已登录且具备当前页面权限</x:v>
      </x:c>
      <x:c r="J427" s="4" t="str">
        <x:v>1. 进入直播房型
2. 查看房型名称</x:v>
      </x:c>
      <x:c r="K427" s="4" t="str">
        <x:v>直播房型显示“房型名称”</x:v>
      </x:c>
      <x:c r="L427" s="4" t="str"/>
      <x:c r="M427" s="4" t="str">
        <x:v>未测</x:v>
      </x:c>
      <x:c r="N427" s="4" t="str"/>
      <x:c r="O427" s="4" t="str">
        <x:v>1. 来源（原型批注）：liveshow-proto/prototype/annotations/admin.js；admin-feature-switch.html
2. 页面：admin-feature-switch.html
3. 规则：BR-72F7D7D17C1461
4. 场景：SC-1AF96BC2838B54
5. 未动态验证</x:v>
      </x:c>
    </x:row>
    <x:row r="428" ht="54" customHeight="1">
      <x:c r="A428" s="4" t="n">
        <x:v>427</x:v>
      </x:c>
      <x:c r="B428" s="4" t="str">
        <x:v>AOPS-0099</x:v>
      </x:c>
      <x:c r="C428" s="4" t="str">
        <x:v>运营配置</x:v>
      </x:c>
      <x:c r="D428" s="4" t="str">
        <x:v>直播类型（平台管理员视角）</x:v>
      </x:c>
      <x:c r="E428" s="4" t="str">
        <x:v>业务流程</x:v>
      </x:c>
      <x:c r="F428" s="4" t="str">
        <x:v>P1</x:v>
      </x:c>
      <x:c r="G428" s="4" t="str">
        <x:v>验证编辑后的直播类型状态</x:v>
      </x:c>
      <x:c r="H428" s="4" t="str">
        <x:v>直播类型状态</x:v>
      </x:c>
      <x:c r="I428" s="4" t="str">
        <x:v>1. 平台管理员账号已登录且具备当前页面权限
2. 编辑</x:v>
      </x:c>
      <x:c r="J428" s="4" t="str">
        <x:v>1. 进入直播类型
2. 刷新直播类型</x:v>
      </x:c>
      <x:c r="K428" s="4" t="str">
        <x:v>保存四语和状态</x:v>
      </x:c>
      <x:c r="L428" s="4" t="str"/>
      <x:c r="M428" s="4" t="str">
        <x:v>未测</x:v>
      </x:c>
      <x:c r="N428" s="4" t="str"/>
      <x:c r="O428" s="4" t="str">
        <x:v>1. 来源（原型批注）：liveshow-proto/prototype/annotations/admin.js；admin-live-type.html
2. 页面：admin-live-type.html
3. 规则：BR-2BD4258019BE58
4. 场景：SC-F6F380827BC61B
5. 未动态验证</x:v>
      </x:c>
    </x:row>
    <x:row r="429" ht="54" customHeight="1">
      <x:c r="A429" s="4" t="n">
        <x:v>428</x:v>
      </x:c>
      <x:c r="B429" s="4" t="str">
        <x:v>AOPS-0100</x:v>
      </x:c>
      <x:c r="C429" s="4" t="str">
        <x:v>运营配置</x:v>
      </x:c>
      <x:c r="D429" s="4" t="str">
        <x:v>直播类型（平台管理员视角）</x:v>
      </x:c>
      <x:c r="E429" s="4" t="str">
        <x:v>异常用例</x:v>
      </x:c>
      <x:c r="F429" s="4" t="str">
        <x:v>P1</x:v>
      </x:c>
      <x:c r="G429" s="4" t="str">
        <x:v>验证停用后的直播类型状态</x:v>
      </x:c>
      <x:c r="H429" s="4" t="str">
        <x:v>直播类型状态</x:v>
      </x:c>
      <x:c r="I429" s="4" t="str">
        <x:v>1. 平台管理员账号已登录且具备当前页面权限
2. 停用</x:v>
      </x:c>
      <x:c r="J429" s="4" t="str">
        <x:v>1. 进入直播类型
2. 刷新直播类型</x:v>
      </x:c>
      <x:c r="K429" s="4" t="str">
        <x:v>不可用于新开播</x:v>
      </x:c>
      <x:c r="L429" s="4" t="str"/>
      <x:c r="M429" s="4" t="str">
        <x:v>未测</x:v>
      </x:c>
      <x:c r="N429" s="4" t="str"/>
      <x:c r="O429" s="4" t="str">
        <x:v>1. 来源（原型批注）：liveshow-proto/prototype/annotations/admin.js；admin-live-type.html
2. 页面：admin-live-type.html
3. 规则：BR-B07887CBB0A65B
4. 场景：SC-AFABF79EDC1D4B
5. 未动态验证</x:v>
      </x:c>
    </x:row>
    <x:row r="430" ht="54" customHeight="1">
      <x:c r="A430" s="4" t="n">
        <x:v>429</x:v>
      </x:c>
      <x:c r="B430" s="4" t="str">
        <x:v>AOPS-0101</x:v>
      </x:c>
      <x:c r="C430" s="4" t="str">
        <x:v>运营配置</x:v>
      </x:c>
      <x:c r="D430" s="4" t="str">
        <x:v>直播类型（平台管理员视角）</x:v>
      </x:c>
      <x:c r="E430" s="4" t="str">
        <x:v>业务流程</x:v>
      </x:c>
      <x:c r="F430" s="4" t="str">
        <x:v>P1</x:v>
      </x:c>
      <x:c r="G430" s="4" t="str">
        <x:v>验证新建后的直播类型状态</x:v>
      </x:c>
      <x:c r="H430" s="4" t="str">
        <x:v>直播类型状态</x:v>
      </x:c>
      <x:c r="I430" s="4" t="str">
        <x:v>1. 平台管理员账号已登录且具备当前页面权限
2. 新建</x:v>
      </x:c>
      <x:c r="J430" s="4" t="str">
        <x:v>1. 进入直播类型
2. 刷新直播类型</x:v>
      </x:c>
      <x:c r="K430" s="4" t="str">
        <x:v>保存四语和状态</x:v>
      </x:c>
      <x:c r="L430" s="4" t="str"/>
      <x:c r="M430" s="4" t="str">
        <x:v>未测</x:v>
      </x:c>
      <x:c r="N430" s="4" t="str"/>
      <x:c r="O430" s="4" t="str">
        <x:v>1. 来源（原型批注）：liveshow-proto/prototype/annotations/admin.js；admin-live-type.html
2. 页面：admin-live-type.html
3. 规则：BR-2BD4258019BE58
4. 场景：SC-91801239C62BD7
5. 未动态验证</x:v>
      </x:c>
    </x:row>
    <x:row r="431" ht="54" customHeight="1">
      <x:c r="A431" s="4" t="n">
        <x:v>430</x:v>
      </x:c>
      <x:c r="B431" s="4" t="str">
        <x:v>AOPS-0102</x:v>
      </x:c>
      <x:c r="C431" s="4" t="str">
        <x:v>运营配置</x:v>
      </x:c>
      <x:c r="D431" s="4" t="str">
        <x:v>直播类型（平台管理员视角）</x:v>
      </x:c>
      <x:c r="E431" s="4" t="str">
        <x:v>功能需求</x:v>
      </x:c>
      <x:c r="F431" s="4" t="str">
        <x:v>P1</x:v>
      </x:c>
      <x:c r="G431" s="4" t="str">
        <x:v>验证直播类型可查看类型 ID</x:v>
      </x:c>
      <x:c r="H431" s="4" t="str">
        <x:v>类型 ID展示</x:v>
      </x:c>
      <x:c r="I431" s="4" t="str">
        <x:v>1. 平台管理员账号已登录且具备当前页面权限</x:v>
      </x:c>
      <x:c r="J431" s="4" t="str">
        <x:v>1. 进入直播类型
2. 查看类型 ID</x:v>
      </x:c>
      <x:c r="K431" s="4" t="str">
        <x:v>直播类型显示“类型 ID”</x:v>
      </x:c>
      <x:c r="L431" s="4" t="str"/>
      <x:c r="M431" s="4" t="str">
        <x:v>未测</x:v>
      </x:c>
      <x:c r="N431" s="4" t="str"/>
      <x:c r="O431" s="4" t="str">
        <x:v>1. 来源（原型批注）：liveshow-proto/prototype/annotations/admin.js；admin-live-type.html
2. 页面：admin-live-type.html
3. 规则：BR-9D2C1DD3039E69
4. 场景：SC-3D83402D4DBA67
5. 未动态验证</x:v>
      </x:c>
    </x:row>
    <x:row r="432" ht="54" customHeight="1">
      <x:c r="A432" s="4" t="n">
        <x:v>431</x:v>
      </x:c>
      <x:c r="B432" s="4" t="str">
        <x:v>AOPS-0103</x:v>
      </x:c>
      <x:c r="C432" s="4" t="str">
        <x:v>运营配置</x:v>
      </x:c>
      <x:c r="D432" s="4" t="str">
        <x:v>直播类型（平台管理员视角）</x:v>
      </x:c>
      <x:c r="E432" s="4" t="str">
        <x:v>功能需求</x:v>
      </x:c>
      <x:c r="F432" s="4" t="str">
        <x:v>P1</x:v>
      </x:c>
      <x:c r="G432" s="4" t="str">
        <x:v>验证直播类型可查看四语名称</x:v>
      </x:c>
      <x:c r="H432" s="4" t="str">
        <x:v>四语名称展示</x:v>
      </x:c>
      <x:c r="I432" s="4" t="str">
        <x:v>1. 平台管理员账号已登录且具备当前页面权限</x:v>
      </x:c>
      <x:c r="J432" s="4" t="str">
        <x:v>1. 进入直播类型
2. 查看四语名称</x:v>
      </x:c>
      <x:c r="K432" s="4" t="str">
        <x:v>直播类型显示“四语名称”</x:v>
      </x:c>
      <x:c r="L432" s="4" t="str"/>
      <x:c r="M432" s="4" t="str">
        <x:v>未测</x:v>
      </x:c>
      <x:c r="N432" s="4" t="str"/>
      <x:c r="O432" s="4" t="str">
        <x:v>1. 来源（原型批注）：liveshow-proto/prototype/annotations/admin.js；admin-live-type.html
2. 页面：admin-live-type.html
3. 规则：BR-FB97A9A58B09D5
4. 场景：SC-ECC45EE36D5079
5. 未动态验证</x:v>
      </x:c>
    </x:row>
    <x:row r="433" ht="54" customHeight="1">
      <x:c r="A433" s="4" t="n">
        <x:v>432</x:v>
      </x:c>
      <x:c r="B433" s="4" t="str">
        <x:v>AOPS-0104</x:v>
      </x:c>
      <x:c r="C433" s="4" t="str">
        <x:v>运营配置</x:v>
      </x:c>
      <x:c r="D433" s="4" t="str">
        <x:v>直播类型（平台管理员视角）</x:v>
      </x:c>
      <x:c r="E433" s="4" t="str">
        <x:v>功能需求</x:v>
      </x:c>
      <x:c r="F433" s="4" t="str">
        <x:v>P1</x:v>
      </x:c>
      <x:c r="G433" s="4" t="str">
        <x:v>验证直播类型可查看状态</x:v>
      </x:c>
      <x:c r="H433" s="4" t="str">
        <x:v>状态展示</x:v>
      </x:c>
      <x:c r="I433" s="4" t="str">
        <x:v>1. 平台管理员账号已登录且具备当前页面权限</x:v>
      </x:c>
      <x:c r="J433" s="4" t="str">
        <x:v>1. 进入直播类型
2. 查看状态</x:v>
      </x:c>
      <x:c r="K433" s="4" t="str">
        <x:v>直播类型显示“状态”</x:v>
      </x:c>
      <x:c r="L433" s="4" t="str"/>
      <x:c r="M433" s="4" t="str">
        <x:v>未测</x:v>
      </x:c>
      <x:c r="N433" s="4" t="str"/>
      <x:c r="O433" s="4" t="str">
        <x:v>1. 来源（原型批注）：liveshow-proto/prototype/annotations/admin.js；admin-live-type.html
2. 页面：admin-live-type.html
3. 规则：BR-F9AA6B120B0B7A、BR-B07887CBB0A65B
4. 场景：SC-BD1006DFBA3A41
5. 未动态验证</x:v>
      </x:c>
    </x:row>
    <x:row r="434" ht="54" customHeight="1">
      <x:c r="A434" s="4" t="n">
        <x:v>433</x:v>
      </x:c>
      <x:c r="B434" s="4" t="str">
        <x:v>AACCT-0001</x:v>
      </x:c>
      <x:c r="C434" s="4" t="str">
        <x:v>运营账号</x:v>
      </x:c>
      <x:c r="D434" s="4" t="str">
        <x:v>额度限制（平台管理员视角）</x:v>
      </x:c>
      <x:c r="E434" s="4" t="str">
        <x:v>功能需求</x:v>
      </x:c>
      <x:c r="F434" s="4" t="str">
        <x:v>P2</x:v>
      </x:c>
      <x:c r="G434" s="4" t="str">
        <x:v>验证额度限制可查看本月累计消费</x:v>
      </x:c>
      <x:c r="H434" s="4" t="str">
        <x:v>本月累计消费展示</x:v>
      </x:c>
      <x:c r="I434" s="4" t="str">
        <x:v>1. 平台管理员账号已登录且具备当前页面权限</x:v>
      </x:c>
      <x:c r="J434" s="4" t="str">
        <x:v>1. 进入额度限制
2. 查看本月累计消费</x:v>
      </x:c>
      <x:c r="K434" s="4" t="str">
        <x:v>额度限制显示“本月累计消费”</x:v>
      </x:c>
      <x:c r="L434" s="4" t="str"/>
      <x:c r="M434" s="4" t="str">
        <x:v>未测</x:v>
      </x:c>
      <x:c r="N434" s="4" t="str"/>
      <x:c r="O434" s="4" t="str">
        <x:v>1. 来源（原型批注）：liveshow-proto/prototype/annotations/admin.js；admin-operation-guild-controls.html
2. 页面：admin-operation-guild-controls.html
3. 规则：BR-03C861D5124FE2
4. 场景：SC-513FCBAE4CD2F0
5. 未动态验证</x:v>
      </x:c>
    </x:row>
    <x:row r="435" ht="54" customHeight="1">
      <x:c r="A435" s="4" t="n">
        <x:v>434</x:v>
      </x:c>
      <x:c r="B435" s="4" t="str">
        <x:v>AACCT-0002</x:v>
      </x:c>
      <x:c r="C435" s="4" t="str">
        <x:v>运营账号</x:v>
      </x:c>
      <x:c r="D435" s="4" t="str">
        <x:v>额度限制（平台管理员视角）</x:v>
      </x:c>
      <x:c r="E435" s="4" t="str">
        <x:v>功能需求</x:v>
      </x:c>
      <x:c r="F435" s="4" t="str">
        <x:v>P2</x:v>
      </x:c>
      <x:c r="G435" s="4" t="str">
        <x:v>验证额度限制可查看本月累计已发放</x:v>
      </x:c>
      <x:c r="H435" s="4" t="str">
        <x:v>本月累计已发放展示</x:v>
      </x:c>
      <x:c r="I435" s="4" t="str">
        <x:v>1. 平台管理员账号已登录且具备当前页面权限</x:v>
      </x:c>
      <x:c r="J435" s="4" t="str">
        <x:v>1. 进入额度限制
2. 查看本月累计已发放</x:v>
      </x:c>
      <x:c r="K435" s="4" t="str">
        <x:v>额度限制显示“本月累计已发放”</x:v>
      </x:c>
      <x:c r="L435" s="4" t="str"/>
      <x:c r="M435" s="4" t="str">
        <x:v>未测</x:v>
      </x:c>
      <x:c r="N435" s="4" t="str"/>
      <x:c r="O435" s="4" t="str">
        <x:v>1. 来源（原型批注）：liveshow-proto/prototype/annotations/admin.js；admin-operation-guild-controls.html
2. 页面：admin-operation-guild-controls.html
3. 规则：BR-8E772237014321
4. 场景：SC-5421594FE9C2A7
5. 未动态验证</x:v>
      </x:c>
    </x:row>
    <x:row r="436" ht="54" customHeight="1">
      <x:c r="A436" s="4" t="n">
        <x:v>435</x:v>
      </x:c>
      <x:c r="B436" s="4" t="str">
        <x:v>AACCT-0003</x:v>
      </x:c>
      <x:c r="C436" s="4" t="str">
        <x:v>运营账号</x:v>
      </x:c>
      <x:c r="D436" s="4" t="str">
        <x:v>额度限制（平台管理员视角）</x:v>
      </x:c>
      <x:c r="E436" s="4" t="str">
        <x:v>功能需求</x:v>
      </x:c>
      <x:c r="F436" s="4" t="str">
        <x:v>P2</x:v>
      </x:c>
      <x:c r="G436" s="4" t="str">
        <x:v>验证额度限制可查看本月剩余额度</x:v>
      </x:c>
      <x:c r="H436" s="4" t="str">
        <x:v>本月剩余额度展示</x:v>
      </x:c>
      <x:c r="I436" s="4" t="str">
        <x:v>1. 平台管理员账号已登录且具备当前页面权限</x:v>
      </x:c>
      <x:c r="J436" s="4" t="str">
        <x:v>1. 进入额度限制
2. 查看本月剩余额度</x:v>
      </x:c>
      <x:c r="K436" s="4" t="str">
        <x:v>额度限制显示“本月剩余额度”</x:v>
      </x:c>
      <x:c r="L436" s="4" t="str"/>
      <x:c r="M436" s="4" t="str">
        <x:v>未测</x:v>
      </x:c>
      <x:c r="N436" s="4" t="str"/>
      <x:c r="O436" s="4" t="str">
        <x:v>1. 来源（原型批注）：liveshow-proto/prototype/annotations/admin.js；admin-operation-guild-controls.html
2. 页面：admin-operation-guild-controls.html
3. 规则：BR-44DF945E04FEAC
4. 场景：SC-CBC6DE68708F3B
5. 未动态验证</x:v>
      </x:c>
    </x:row>
    <x:row r="437" ht="54" customHeight="1">
      <x:c r="A437" s="4" t="n">
        <x:v>436</x:v>
      </x:c>
      <x:c r="B437" s="4" t="str">
        <x:v>AACCT-0004</x:v>
      </x:c>
      <x:c r="C437" s="4" t="str">
        <x:v>运营账号</x:v>
      </x:c>
      <x:c r="D437" s="4" t="str">
        <x:v>额度限制（平台管理员视角）</x:v>
      </x:c>
      <x:c r="E437" s="4" t="str">
        <x:v>功能需求</x:v>
      </x:c>
      <x:c r="F437" s="4" t="str">
        <x:v>P2</x:v>
      </x:c>
      <x:c r="G437" s="4" t="str">
        <x:v>验证额度限制可查看单账号月度额度</x:v>
      </x:c>
      <x:c r="H437" s="4" t="str">
        <x:v>单账号月度额度展示</x:v>
      </x:c>
      <x:c r="I437" s="4" t="str">
        <x:v>1. 平台管理员账号已登录且具备当前页面权限</x:v>
      </x:c>
      <x:c r="J437" s="4" t="str">
        <x:v>1. 进入额度限制
2. 查看单账号月度额度</x:v>
      </x:c>
      <x:c r="K437" s="4" t="str">
        <x:v>额度限制显示“单账号月度额度”</x:v>
      </x:c>
      <x:c r="L437" s="4" t="str"/>
      <x:c r="M437" s="4" t="str">
        <x:v>未测</x:v>
      </x:c>
      <x:c r="N437" s="4" t="str"/>
      <x:c r="O437" s="4" t="str">
        <x:v>1. 来源（原型批注）：liveshow-proto/prototype/annotations/admin.js；admin-operation-guild-controls.html
2. 页面：admin-operation-guild-controls.html
3. 规则：BR-3F04CCD2E1E207
4. 场景：SC-7E05D56EF051A3
5. 未动态验证</x:v>
      </x:c>
    </x:row>
    <x:row r="438" ht="54" customHeight="1">
      <x:c r="A438" s="4" t="n">
        <x:v>437</x:v>
      </x:c>
      <x:c r="B438" s="4" t="str">
        <x:v>AACCT-0005</x:v>
      </x:c>
      <x:c r="C438" s="4" t="str">
        <x:v>运营账号</x:v>
      </x:c>
      <x:c r="D438" s="4" t="str">
        <x:v>额度限制（平台管理员视角）</x:v>
      </x:c>
      <x:c r="E438" s="4" t="str">
        <x:v>功能需求</x:v>
      </x:c>
      <x:c r="F438" s="4" t="str">
        <x:v>P2</x:v>
      </x:c>
      <x:c r="G438" s="4" t="str">
        <x:v>验证额度限制可查看公会月度额度</x:v>
      </x:c>
      <x:c r="H438" s="4" t="str">
        <x:v>公会月度额度展示</x:v>
      </x:c>
      <x:c r="I438" s="4" t="str">
        <x:v>1. 平台管理员账号已登录且具备当前页面权限</x:v>
      </x:c>
      <x:c r="J438" s="4" t="str">
        <x:v>1. 进入额度限制
2. 查看公会月度额度</x:v>
      </x:c>
      <x:c r="K438" s="4" t="str">
        <x:v>额度限制显示“公会月度额度”</x:v>
      </x:c>
      <x:c r="L438" s="4" t="str"/>
      <x:c r="M438" s="4" t="str">
        <x:v>未测</x:v>
      </x:c>
      <x:c r="N438" s="4" t="str"/>
      <x:c r="O438" s="4" t="str">
        <x:v>1. 来源（原型批注）：liveshow-proto/prototype/annotations/admin.js；admin-operation-guild-controls.html
2. 页面：admin-operation-guild-controls.html
3. 规则：BR-DEBFACBA809F81
4. 场景：SC-61957E164EB16F
5. 未动态验证</x:v>
      </x:c>
    </x:row>
    <x:row r="439" ht="54" customHeight="1">
      <x:c r="A439" s="4" t="n">
        <x:v>438</x:v>
      </x:c>
      <x:c r="B439" s="4" t="str">
        <x:v>AACCT-0006</x:v>
      </x:c>
      <x:c r="C439" s="4" t="str">
        <x:v>运营账号</x:v>
      </x:c>
      <x:c r="D439" s="4" t="str">
        <x:v>额度限制（平台管理员视角）</x:v>
      </x:c>
      <x:c r="E439" s="4" t="str">
        <x:v>功能需求</x:v>
      </x:c>
      <x:c r="F439" s="4" t="str">
        <x:v>P2</x:v>
      </x:c>
      <x:c r="G439" s="4" t="str">
        <x:v>验证额度限制可查看账户余额累计</x:v>
      </x:c>
      <x:c r="H439" s="4" t="str">
        <x:v>账户余额累计展示</x:v>
      </x:c>
      <x:c r="I439" s="4" t="str">
        <x:v>1. 平台管理员账号已登录且具备当前页面权限</x:v>
      </x:c>
      <x:c r="J439" s="4" t="str">
        <x:v>1. 进入额度限制
2. 查看账户余额累计</x:v>
      </x:c>
      <x:c r="K439" s="4" t="str">
        <x:v>额度限制显示“账户余额累计”</x:v>
      </x:c>
      <x:c r="L439" s="4" t="str"/>
      <x:c r="M439" s="4" t="str">
        <x:v>未测</x:v>
      </x:c>
      <x:c r="N439" s="4" t="str"/>
      <x:c r="O439" s="4" t="str">
        <x:v>1. 来源（原型批注）：liveshow-proto/prototype/annotations/admin.js；admin-operation-guild-controls.html
2. 页面：admin-operation-guild-controls.html
3. 规则：BR-BBF421C817D004
4. 场景：SC-C139C9E9D6B9FC
5. 未动态验证</x:v>
      </x:c>
    </x:row>
    <x:row r="440" ht="54" customHeight="1">
      <x:c r="A440" s="4" t="n">
        <x:v>439</x:v>
      </x:c>
      <x:c r="B440" s="4" t="str">
        <x:v>AACCT-0007</x:v>
      </x:c>
      <x:c r="C440" s="4" t="str">
        <x:v>运营账号</x:v>
      </x:c>
      <x:c r="D440" s="4" t="str">
        <x:v>额度限制（平台管理员视角）</x:v>
      </x:c>
      <x:c r="E440" s="4" t="str">
        <x:v>业务流程</x:v>
      </x:c>
      <x:c r="F440" s="4" t="str">
        <x:v>P2</x:v>
      </x:c>
      <x:c r="G440" s="4" t="str">
        <x:v>验证配置额度后的额度限制状态</x:v>
      </x:c>
      <x:c r="H440" s="4" t="str">
        <x:v>额度限制状态</x:v>
      </x:c>
      <x:c r="I440" s="4" t="str">
        <x:v>1. 平台管理员账号已登录且具备当前页面权限
2. 配置额度</x:v>
      </x:c>
      <x:c r="J440" s="4" t="str">
        <x:v>1. 进入额度限制
2. 刷新额度限制</x:v>
      </x:c>
      <x:c r="K440" s="4" t="str">
        <x:v>保存后限制公会后续发放</x:v>
      </x:c>
      <x:c r="L440" s="4" t="str"/>
      <x:c r="M440" s="4" t="str">
        <x:v>未测</x:v>
      </x:c>
      <x:c r="N440" s="4" t="str"/>
      <x:c r="O440" s="4" t="str">
        <x:v>1. 来源（原型批注）：liveshow-proto/prototype/annotations/admin.js；admin-operation-guild-controls.html
2. 页面：admin-operation-guild-controls.html
3. 规则：BR-6B99DD866C8A21
4. 场景：SC-164483A73053EC
5. 未动态验证</x:v>
      </x:c>
    </x:row>
    <x:row r="441" ht="54" customHeight="1">
      <x:c r="A441" s="4" t="n">
        <x:v>440</x:v>
      </x:c>
      <x:c r="B441" s="4" t="str">
        <x:v>AACCT-0008</x:v>
      </x:c>
      <x:c r="C441" s="4" t="str">
        <x:v>运营账号</x:v>
      </x:c>
      <x:c r="D441" s="4" t="str">
        <x:v>发放记录（平台管理员视角）</x:v>
      </x:c>
      <x:c r="E441" s="4" t="str">
        <x:v>功能需求</x:v>
      </x:c>
      <x:c r="F441" s="4" t="str">
        <x:v>P2</x:v>
      </x:c>
      <x:c r="G441" s="4" t="str">
        <x:v>验证发放记录可查看操作人</x:v>
      </x:c>
      <x:c r="H441" s="4" t="str">
        <x:v>操作人展示</x:v>
      </x:c>
      <x:c r="I441" s="4" t="str">
        <x:v>1. 平台管理员账号已登录且具备当前页面权限</x:v>
      </x:c>
      <x:c r="J441" s="4" t="str">
        <x:v>1. 进入发放记录
2. 查看操作人</x:v>
      </x:c>
      <x:c r="K441" s="4" t="str">
        <x:v>发放记录显示“操作人”</x:v>
      </x:c>
      <x:c r="L441" s="4" t="str"/>
      <x:c r="M441" s="4" t="str">
        <x:v>未测</x:v>
      </x:c>
      <x:c r="N441" s="4" t="str"/>
      <x:c r="O441" s="4" t="str">
        <x:v>1. 来源（原型批注）：liveshow-proto/prototype/annotations/admin.js；admin-operation-issue-records.html
2. 页面：admin-operation-issue-records.html
3. 规则：BR-CE344A9E6D7D4E
4. 场景：SC-DD9110C8E9C6B5
5. 未动态验证</x:v>
      </x:c>
    </x:row>
    <x:row r="442" ht="54" customHeight="1">
      <x:c r="A442" s="4" t="n">
        <x:v>441</x:v>
      </x:c>
      <x:c r="B442" s="4" t="str">
        <x:v>AACCT-0009</x:v>
      </x:c>
      <x:c r="C442" s="4" t="str">
        <x:v>运营账号</x:v>
      </x:c>
      <x:c r="D442" s="4" t="str">
        <x:v>发放记录（平台管理员视角）</x:v>
      </x:c>
      <x:c r="E442" s="4" t="str">
        <x:v>功能需求</x:v>
      </x:c>
      <x:c r="F442" s="4" t="str">
        <x:v>P2</x:v>
      </x:c>
      <x:c r="G442" s="4" t="str">
        <x:v>验证发放记录可查看发放后余额</x:v>
      </x:c>
      <x:c r="H442" s="4" t="str">
        <x:v>发放后余额展示</x:v>
      </x:c>
      <x:c r="I442" s="4" t="str">
        <x:v>1. 平台管理员账号已登录且具备当前页面权限</x:v>
      </x:c>
      <x:c r="J442" s="4" t="str">
        <x:v>1. 进入发放记录
2. 查看发放后余额</x:v>
      </x:c>
      <x:c r="K442" s="4" t="str">
        <x:v>发放记录显示“发放后余额”</x:v>
      </x:c>
      <x:c r="L442" s="4" t="str"/>
      <x:c r="M442" s="4" t="str">
        <x:v>未测</x:v>
      </x:c>
      <x:c r="N442" s="4" t="str"/>
      <x:c r="O442" s="4" t="str">
        <x:v>1. 来源（原型批注）：liveshow-proto/prototype/annotations/admin.js；admin-operation-issue-records.html
2. 页面：admin-operation-issue-records.html
3. 规则：BR-4871F8E1701E94
4. 场景：SC-1885A8F87B407B
5. 未动态验证</x:v>
      </x:c>
    </x:row>
    <x:row r="443" ht="54" customHeight="1">
      <x:c r="A443" s="4" t="n">
        <x:v>442</x:v>
      </x:c>
      <x:c r="B443" s="4" t="str">
        <x:v>AACCT-0010</x:v>
      </x:c>
      <x:c r="C443" s="4" t="str">
        <x:v>运营账号</x:v>
      </x:c>
      <x:c r="D443" s="4" t="str">
        <x:v>发放记录（平台管理员视角）</x:v>
      </x:c>
      <x:c r="E443" s="4" t="str">
        <x:v>功能需求</x:v>
      </x:c>
      <x:c r="F443" s="4" t="str">
        <x:v>P2</x:v>
      </x:c>
      <x:c r="G443" s="4" t="str">
        <x:v>验证发放记录可查看发放金币</x:v>
      </x:c>
      <x:c r="H443" s="4" t="str">
        <x:v>发放金币展示</x:v>
      </x:c>
      <x:c r="I443" s="4" t="str">
        <x:v>1. 平台管理员账号已登录且具备当前页面权限</x:v>
      </x:c>
      <x:c r="J443" s="4" t="str">
        <x:v>1. 进入发放记录
2. 查看发放金币</x:v>
      </x:c>
      <x:c r="K443" s="4" t="str">
        <x:v>发放记录显示“发放金币”</x:v>
      </x:c>
      <x:c r="L443" s="4" t="str"/>
      <x:c r="M443" s="4" t="str">
        <x:v>未测</x:v>
      </x:c>
      <x:c r="N443" s="4" t="str"/>
      <x:c r="O443" s="4" t="str">
        <x:v>1. 来源（原型批注）：liveshow-proto/prototype/annotations/admin.js；admin-operation-issue-records.html
2. 页面：admin-operation-issue-records.html
3. 规则：BR-FE3DBB747B7847
4. 场景：SC-35AA954A7E1948
5. 未动态验证</x:v>
      </x:c>
    </x:row>
    <x:row r="444" ht="54" customHeight="1">
      <x:c r="A444" s="4" t="n">
        <x:v>443</x:v>
      </x:c>
      <x:c r="B444" s="4" t="str">
        <x:v>AACCT-0011</x:v>
      </x:c>
      <x:c r="C444" s="4" t="str">
        <x:v>运营账号</x:v>
      </x:c>
      <x:c r="D444" s="4" t="str">
        <x:v>发放记录（平台管理员视角）</x:v>
      </x:c>
      <x:c r="E444" s="4" t="str">
        <x:v>功能需求</x:v>
      </x:c>
      <x:c r="F444" s="4" t="str">
        <x:v>P2</x:v>
      </x:c>
      <x:c r="G444" s="4" t="str">
        <x:v>验证发放记录可查看发放时间</x:v>
      </x:c>
      <x:c r="H444" s="4" t="str">
        <x:v>发放时间展示</x:v>
      </x:c>
      <x:c r="I444" s="4" t="str">
        <x:v>1. 平台管理员账号已登录且具备当前页面权限</x:v>
      </x:c>
      <x:c r="J444" s="4" t="str">
        <x:v>1. 进入发放记录
2. 查看发放时间</x:v>
      </x:c>
      <x:c r="K444" s="4" t="str">
        <x:v>发放记录显示“发放时间”</x:v>
      </x:c>
      <x:c r="L444" s="4" t="str"/>
      <x:c r="M444" s="4" t="str">
        <x:v>未测</x:v>
      </x:c>
      <x:c r="N444" s="4" t="str"/>
      <x:c r="O444" s="4" t="str">
        <x:v>1. 来源（原型批注）：liveshow-proto/prototype/annotations/admin.js；admin-operation-issue-records.html
2. 页面：admin-operation-issue-records.html
3. 规则：BR-4D1AD123227F94
4. 场景：SC-653B4A197ECA49
5. 未动态验证</x:v>
      </x:c>
    </x:row>
    <x:row r="445" ht="54" customHeight="1">
      <x:c r="A445" s="4" t="n">
        <x:v>444</x:v>
      </x:c>
      <x:c r="B445" s="4" t="str">
        <x:v>AACCT-0012</x:v>
      </x:c>
      <x:c r="C445" s="4" t="str">
        <x:v>运营账号</x:v>
      </x:c>
      <x:c r="D445" s="4" t="str">
        <x:v>送礼记录（平台管理员视角）</x:v>
      </x:c>
      <x:c r="E445" s="4" t="str">
        <x:v>功能需求</x:v>
      </x:c>
      <x:c r="F445" s="4" t="str">
        <x:v>P2</x:v>
      </x:c>
      <x:c r="G445" s="4" t="str">
        <x:v>验证送礼记录可查看礼物 / 主播</x:v>
      </x:c>
      <x:c r="H445" s="4" t="str">
        <x:v>礼物 / 主播展示</x:v>
      </x:c>
      <x:c r="I445" s="4" t="str">
        <x:v>1. 平台管理员账号已登录且具备当前页面权限</x:v>
      </x:c>
      <x:c r="J445" s="4" t="str">
        <x:v>1. 进入送礼记录
2. 查看礼物 / 主播</x:v>
      </x:c>
      <x:c r="K445" s="4" t="str">
        <x:v>送礼记录显示“礼物 / 主播”</x:v>
      </x:c>
      <x:c r="L445" s="4" t="str"/>
      <x:c r="M445" s="4" t="str">
        <x:v>未测</x:v>
      </x:c>
      <x:c r="N445" s="4" t="str"/>
      <x:c r="O445" s="4" t="str">
        <x:v>1. 来源（原型批注）：liveshow-proto/prototype/annotations/admin.js；admin-operation-gift-records.html
2. 页面：admin-operation-gift-records.html
3. 规则：BR-A136308DAA41FC
4. 场景：SC-07F71312931037
5. 未动态验证</x:v>
      </x:c>
    </x:row>
    <x:row r="446" ht="54" customHeight="1">
      <x:c r="A446" s="4" t="n">
        <x:v>445</x:v>
      </x:c>
      <x:c r="B446" s="4" t="str">
        <x:v>AACCT-0013</x:v>
      </x:c>
      <x:c r="C446" s="4" t="str">
        <x:v>运营账号</x:v>
      </x:c>
      <x:c r="D446" s="4" t="str">
        <x:v>送礼记录（平台管理员视角）</x:v>
      </x:c>
      <x:c r="E446" s="4" t="str">
        <x:v>功能需求</x:v>
      </x:c>
      <x:c r="F446" s="4" t="str">
        <x:v>P2</x:v>
      </x:c>
      <x:c r="G446" s="4" t="str">
        <x:v>验证送礼记录可查看消费金币</x:v>
      </x:c>
      <x:c r="H446" s="4" t="str">
        <x:v>消费金币展示</x:v>
      </x:c>
      <x:c r="I446" s="4" t="str">
        <x:v>1. 平台管理员账号已登录且具备当前页面权限</x:v>
      </x:c>
      <x:c r="J446" s="4" t="str">
        <x:v>1. 进入送礼记录
2. 查看消费金币</x:v>
      </x:c>
      <x:c r="K446" s="4" t="str">
        <x:v>送礼记录显示“消费金币”</x:v>
      </x:c>
      <x:c r="L446" s="4" t="str"/>
      <x:c r="M446" s="4" t="str">
        <x:v>未测</x:v>
      </x:c>
      <x:c r="N446" s="4" t="str"/>
      <x:c r="O446" s="4" t="str">
        <x:v>1. 来源（原型批注）：liveshow-proto/prototype/annotations/admin.js；admin-operation-gift-records.html
2. 页面：admin-operation-gift-records.html
3. 规则：BR-75A50CC897DC18
4. 场景：SC-8B4D86429701F5
5. 未动态验证</x:v>
      </x:c>
    </x:row>
    <x:row r="447" ht="54" customHeight="1">
      <x:c r="A447" s="4" t="n">
        <x:v>446</x:v>
      </x:c>
      <x:c r="B447" s="4" t="str">
        <x:v>AACCT-0014</x:v>
      </x:c>
      <x:c r="C447" s="4" t="str">
        <x:v>运营账号</x:v>
      </x:c>
      <x:c r="D447" s="4" t="str">
        <x:v>送礼记录（平台管理员视角）</x:v>
      </x:c>
      <x:c r="E447" s="4" t="str">
        <x:v>功能需求</x:v>
      </x:c>
      <x:c r="F447" s="4" t="str">
        <x:v>P2</x:v>
      </x:c>
      <x:c r="G447" s="4" t="str">
        <x:v>验证送礼记录可查看赠送时间</x:v>
      </x:c>
      <x:c r="H447" s="4" t="str">
        <x:v>赠送时间展示</x:v>
      </x:c>
      <x:c r="I447" s="4" t="str">
        <x:v>1. 平台管理员账号已登录且具备当前页面权限</x:v>
      </x:c>
      <x:c r="J447" s="4" t="str">
        <x:v>1. 进入送礼记录
2. 查看赠送时间</x:v>
      </x:c>
      <x:c r="K447" s="4" t="str">
        <x:v>送礼记录显示“赠送时间”</x:v>
      </x:c>
      <x:c r="L447" s="4" t="str"/>
      <x:c r="M447" s="4" t="str">
        <x:v>未测</x:v>
      </x:c>
      <x:c r="N447" s="4" t="str"/>
      <x:c r="O447" s="4" t="str">
        <x:v>1. 来源（原型批注）：liveshow-proto/prototype/annotations/admin.js；admin-operation-gift-records.html
2. 页面：admin-operation-gift-records.html
3. 规则：BR-3906F83C77DAA6
4. 场景：SC-CD9008C5430039
5. 未动态验证</x:v>
      </x:c>
    </x:row>
    <x:row r="448" ht="54" customHeight="1">
      <x:c r="A448" s="4" t="n">
        <x:v>447</x:v>
      </x:c>
      <x:c r="B448" s="4" t="str">
        <x:v>AACCT-0015</x:v>
      </x:c>
      <x:c r="C448" s="4" t="str">
        <x:v>运营账号</x:v>
      </x:c>
      <x:c r="D448" s="4" t="str">
        <x:v>运营账号主页（平台管理员视角）</x:v>
      </x:c>
      <x:c r="E448" s="4" t="str">
        <x:v>功能需求</x:v>
      </x:c>
      <x:c r="F448" s="4" t="str">
        <x:v>P2</x:v>
      </x:c>
      <x:c r="G448" s="4" t="str">
        <x:v>验证运营账号主页可查看发放记录</x:v>
      </x:c>
      <x:c r="H448" s="4" t="str">
        <x:v>发放记录展示</x:v>
      </x:c>
      <x:c r="I448" s="4" t="str">
        <x:v>1. 平台管理员账号已登录且具备当前页面权限</x:v>
      </x:c>
      <x:c r="J448" s="4" t="str">
        <x:v>1. 进入运营账号主页
2. 查看发放记录</x:v>
      </x:c>
      <x:c r="K448" s="4" t="str">
        <x:v>运营账号主页显示“发放记录”</x:v>
      </x:c>
      <x:c r="L448" s="4" t="str"/>
      <x:c r="M448" s="4" t="str">
        <x:v>未测</x:v>
      </x:c>
      <x:c r="N448" s="4" t="str"/>
      <x:c r="O448" s="4" t="str">
        <x:v>1. 来源（原型批注）：liveshow-proto/prototype/annotations/admin.js；admin-operation-account-detail.html
2. 页面：admin-operation-account-detail.html
3. 规则：BR-B1F2A4DB8D2ACA
4. 场景：SC-0E6D83BCC0A799
5. 未动态验证</x:v>
      </x:c>
    </x:row>
    <x:row r="449" ht="54" customHeight="1">
      <x:c r="A449" s="4" t="n">
        <x:v>448</x:v>
      </x:c>
      <x:c r="B449" s="4" t="str">
        <x:v>AACCT-0016</x:v>
      </x:c>
      <x:c r="C449" s="4" t="str">
        <x:v>运营账号</x:v>
      </x:c>
      <x:c r="D449" s="4" t="str">
        <x:v>运营账号主页（平台管理员视角）</x:v>
      </x:c>
      <x:c r="E449" s="4" t="str">
        <x:v>功能需求</x:v>
      </x:c>
      <x:c r="F449" s="4" t="str">
        <x:v>P2</x:v>
      </x:c>
      <x:c r="G449" s="4" t="str">
        <x:v>验证运营账号主页可查看送礼记录</x:v>
      </x:c>
      <x:c r="H449" s="4" t="str">
        <x:v>送礼记录展示</x:v>
      </x:c>
      <x:c r="I449" s="4" t="str">
        <x:v>1. 平台管理员账号已登录且具备当前页面权限</x:v>
      </x:c>
      <x:c r="J449" s="4" t="str">
        <x:v>1. 进入运营账号主页
2. 查看送礼记录</x:v>
      </x:c>
      <x:c r="K449" s="4" t="str">
        <x:v>运营账号主页显示“送礼记录”</x:v>
      </x:c>
      <x:c r="L449" s="4" t="str"/>
      <x:c r="M449" s="4" t="str">
        <x:v>未测</x:v>
      </x:c>
      <x:c r="N449" s="4" t="str"/>
      <x:c r="O449" s="4" t="str">
        <x:v>1. 来源（原型批注）：liveshow-proto/prototype/annotations/admin.js；admin-operation-account-detail.html
2. 页面：admin-operation-account-detail.html
3. 规则：BR-5FBD1D725D2A6C
4. 场景：SC-4C869D57F6437A
5. 未动态验证</x:v>
      </x:c>
    </x:row>
    <x:row r="450" ht="54" customHeight="1">
      <x:c r="A450" s="4" t="n">
        <x:v>449</x:v>
      </x:c>
      <x:c r="B450" s="4" t="str">
        <x:v>AACCT-0017</x:v>
      </x:c>
      <x:c r="C450" s="4" t="str">
        <x:v>运营账号</x:v>
      </x:c>
      <x:c r="D450" s="4" t="str">
        <x:v>运营账号主页（平台管理员视角）</x:v>
      </x:c>
      <x:c r="E450" s="4" t="str">
        <x:v>功能需求</x:v>
      </x:c>
      <x:c r="F450" s="4" t="str">
        <x:v>P2</x:v>
      </x:c>
      <x:c r="G450" s="4" t="str">
        <x:v>验证运营账号主页可查看虚拟金币余额</x:v>
      </x:c>
      <x:c r="H450" s="4" t="str">
        <x:v>虚拟金币余额展示</x:v>
      </x:c>
      <x:c r="I450" s="4" t="str">
        <x:v>1. 平台管理员账号已登录且具备当前页面权限</x:v>
      </x:c>
      <x:c r="J450" s="4" t="str">
        <x:v>1. 进入运营账号主页
2. 查看虚拟金币余额</x:v>
      </x:c>
      <x:c r="K450" s="4" t="str">
        <x:v>运营账号主页显示“虚拟金币余额”</x:v>
      </x:c>
      <x:c r="L450" s="4" t="str"/>
      <x:c r="M450" s="4" t="str">
        <x:v>未测</x:v>
      </x:c>
      <x:c r="N450" s="4" t="str"/>
      <x:c r="O450" s="4" t="str">
        <x:v>1. 来源（原型批注）：liveshow-proto/prototype/annotations/admin.js；admin-operation-account-detail.html
2. 页面：admin-operation-account-detail.html
3. 规则：BR-2B717F301C2E04
4. 场景：SC-08923693155B9F
5. 未动态验证</x:v>
      </x:c>
    </x:row>
    <x:row r="451" ht="54" customHeight="1">
      <x:c r="A451" s="4" t="n">
        <x:v>450</x:v>
      </x:c>
      <x:c r="B451" s="4" t="str">
        <x:v>AACCT-0018</x:v>
      </x:c>
      <x:c r="C451" s="4" t="str">
        <x:v>运营账号</x:v>
      </x:c>
      <x:c r="D451" s="4" t="str">
        <x:v>运营账号主页（平台管理员视角）</x:v>
      </x:c>
      <x:c r="E451" s="4" t="str">
        <x:v>功能需求</x:v>
      </x:c>
      <x:c r="F451" s="4" t="str">
        <x:v>P2</x:v>
      </x:c>
      <x:c r="G451" s="4" t="str">
        <x:v>验证运营账号主页可查看账号资料</x:v>
      </x:c>
      <x:c r="H451" s="4" t="str">
        <x:v>账号资料展示</x:v>
      </x:c>
      <x:c r="I451" s="4" t="str">
        <x:v>1. 平台管理员账号已登录且具备当前页面权限</x:v>
      </x:c>
      <x:c r="J451" s="4" t="str">
        <x:v>1. 进入运营账号主页
2. 查看账号资料</x:v>
      </x:c>
      <x:c r="K451" s="4" t="str">
        <x:v>运营账号主页显示“账号资料”</x:v>
      </x:c>
      <x:c r="L451" s="4" t="str"/>
      <x:c r="M451" s="4" t="str">
        <x:v>未测</x:v>
      </x:c>
      <x:c r="N451" s="4" t="str"/>
      <x:c r="O451" s="4" t="str">
        <x:v>1. 来源（原型批注）：liveshow-proto/prototype/annotations/admin.js；admin-operation-account-detail.html
2. 页面：admin-operation-account-detail.html
3. 规则：BR-C9A12604CAD764
4. 场景：SC-AEF8EC4C409795
5. 未动态验证</x:v>
      </x:c>
    </x:row>
    <x:row r="452" ht="54" customHeight="1">
      <x:c r="A452" s="4" t="n">
        <x:v>451</x:v>
      </x:c>
      <x:c r="B452" s="4" t="str">
        <x:v>AACCT-0019</x:v>
      </x:c>
      <x:c r="C452" s="4" t="str">
        <x:v>运营账号</x:v>
      </x:c>
      <x:c r="D452" s="4" t="str">
        <x:v>账号列表（平台管理员视角）</x:v>
      </x:c>
      <x:c r="E452" s="4" t="str">
        <x:v>业务流程</x:v>
      </x:c>
      <x:c r="F452" s="4" t="str">
        <x:v>P2</x:v>
      </x:c>
      <x:c r="G452" s="4" t="str">
        <x:v>验证详情后的账号列表状态</x:v>
      </x:c>
      <x:c r="H452" s="4" t="str">
        <x:v>账号列表状态</x:v>
      </x:c>
      <x:c r="I452" s="4" t="str">
        <x:v>1. 平台管理员账号已登录且具备当前页面权限
2. 详情</x:v>
      </x:c>
      <x:c r="J452" s="4" t="str">
        <x:v>1. 进入账号列表
2. 刷新账号列表</x:v>
      </x:c>
      <x:c r="K452" s="4" t="str">
        <x:v>查看账号、发放和送礼记录</x:v>
      </x:c>
      <x:c r="L452" s="4" t="str"/>
      <x:c r="M452" s="4" t="str">
        <x:v>未测</x:v>
      </x:c>
      <x:c r="N452" s="4" t="str"/>
      <x:c r="O452" s="4" t="str">
        <x:v>1. 来源（原型批注）：liveshow-proto/prototype/annotations/admin.js；admin-operation-accounts.html
2. 页面：admin-operation-accounts.html
3. 规则：BR-97DB85E3174339
4. 场景：SC-9A61409C0C663E
5. 未动态验证</x:v>
      </x:c>
    </x:row>
    <x:row r="453" ht="54" customHeight="1">
      <x:c r="A453" s="4" t="n">
        <x:v>452</x:v>
      </x:c>
      <x:c r="B453" s="4" t="str">
        <x:v>AACCT-0020</x:v>
      </x:c>
      <x:c r="C453" s="4" t="str">
        <x:v>运营账号</x:v>
      </x:c>
      <x:c r="D453" s="4" t="str">
        <x:v>账号列表（平台管理员视角）</x:v>
      </x:c>
      <x:c r="E453" s="4" t="str">
        <x:v>功能需求</x:v>
      </x:c>
      <x:c r="F453" s="4" t="str">
        <x:v>P2</x:v>
      </x:c>
      <x:c r="G453" s="4" t="str">
        <x:v>验证账号列表可查看本月发放</x:v>
      </x:c>
      <x:c r="H453" s="4" t="str">
        <x:v>本月发放展示</x:v>
      </x:c>
      <x:c r="I453" s="4" t="str">
        <x:v>1. 平台管理员账号已登录且具备当前页面权限</x:v>
      </x:c>
      <x:c r="J453" s="4" t="str">
        <x:v>1. 进入账号列表
2. 查看本月发放</x:v>
      </x:c>
      <x:c r="K453" s="4" t="str">
        <x:v>账号列表显示“本月发放”</x:v>
      </x:c>
      <x:c r="L453" s="4" t="str"/>
      <x:c r="M453" s="4" t="str">
        <x:v>未测</x:v>
      </x:c>
      <x:c r="N453" s="4" t="str"/>
      <x:c r="O453" s="4" t="str">
        <x:v>1. 来源（原型批注）：liveshow-proto/prototype/annotations/admin.js；admin-operation-accounts.html
2. 页面：admin-operation-accounts.html
3. 规则：BR-98E0B6F42C662F
4. 场景：SC-9671FCD9A34D62
5. 未动态验证</x:v>
      </x:c>
    </x:row>
    <x:row r="454" ht="54" customHeight="1">
      <x:c r="A454" s="4" t="n">
        <x:v>453</x:v>
      </x:c>
      <x:c r="B454" s="4" t="str">
        <x:v>AACCT-0021</x:v>
      </x:c>
      <x:c r="C454" s="4" t="str">
        <x:v>运营账号</x:v>
      </x:c>
      <x:c r="D454" s="4" t="str">
        <x:v>账号列表（平台管理员视角）</x:v>
      </x:c>
      <x:c r="E454" s="4" t="str">
        <x:v>功能需求</x:v>
      </x:c>
      <x:c r="F454" s="4" t="str">
        <x:v>P2</x:v>
      </x:c>
      <x:c r="G454" s="4" t="str">
        <x:v>验证账号列表可查看累计 / 本月消费</x:v>
      </x:c>
      <x:c r="H454" s="4" t="str">
        <x:v>累计 / 本月消费展示</x:v>
      </x:c>
      <x:c r="I454" s="4" t="str">
        <x:v>1. 平台管理员账号已登录且具备当前页面权限</x:v>
      </x:c>
      <x:c r="J454" s="4" t="str">
        <x:v>1. 进入账号列表
2. 查看累计 / 本月消费</x:v>
      </x:c>
      <x:c r="K454" s="4" t="str">
        <x:v>账号列表显示“累计 / 本月消费”</x:v>
      </x:c>
      <x:c r="L454" s="4" t="str"/>
      <x:c r="M454" s="4" t="str">
        <x:v>未测</x:v>
      </x:c>
      <x:c r="N454" s="4" t="str"/>
      <x:c r="O454" s="4" t="str">
        <x:v>1. 来源（原型批注）：liveshow-proto/prototype/annotations/admin.js；admin-operation-accounts.html
2. 页面：admin-operation-accounts.html
3. 规则：BR-08A84C8325455B
4. 场景：SC-860FCBC1B78C7C
5. 未动态验证</x:v>
      </x:c>
    </x:row>
    <x:row r="455" ht="54" customHeight="1">
      <x:c r="A455" s="4" t="n">
        <x:v>454</x:v>
      </x:c>
      <x:c r="B455" s="4" t="str">
        <x:v>AACCT-0022</x:v>
      </x:c>
      <x:c r="C455" s="4" t="str">
        <x:v>运营账号</x:v>
      </x:c>
      <x:c r="D455" s="4" t="str">
        <x:v>账号列表（平台管理员视角）</x:v>
      </x:c>
      <x:c r="E455" s="4" t="str">
        <x:v>功能需求</x:v>
      </x:c>
      <x:c r="F455" s="4" t="str">
        <x:v>P2</x:v>
      </x:c>
      <x:c r="G455" s="4" t="str">
        <x:v>验证账号列表可查看运营账号 / 公会</x:v>
      </x:c>
      <x:c r="H455" s="4" t="str">
        <x:v>运营账号 / 公会展示</x:v>
      </x:c>
      <x:c r="I455" s="4" t="str">
        <x:v>1. 平台管理员账号已登录且具备当前页面权限</x:v>
      </x:c>
      <x:c r="J455" s="4" t="str">
        <x:v>1. 进入账号列表
2. 查看运营账号 / 公会</x:v>
      </x:c>
      <x:c r="K455" s="4" t="str">
        <x:v>账号列表显示“运营账号 / 公会”</x:v>
      </x:c>
      <x:c r="L455" s="4" t="str"/>
      <x:c r="M455" s="4" t="str">
        <x:v>未测</x:v>
      </x:c>
      <x:c r="N455" s="4" t="str"/>
      <x:c r="O455" s="4" t="str">
        <x:v>1. 来源（原型批注）：liveshow-proto/prototype/annotations/admin.js；admin-operation-accounts.html
2. 页面：admin-operation-accounts.html
3. 规则：BR-76BAFFDE19C306
4. 场景：SC-4CED48A5F140B8
5. 未动态验证</x:v>
      </x:c>
    </x:row>
    <x:row r="456" ht="54" customHeight="1">
      <x:c r="A456" s="4" t="n">
        <x:v>455</x:v>
      </x:c>
      <x:c r="B456" s="4" t="str">
        <x:v>AACCT-0023</x:v>
      </x:c>
      <x:c r="C456" s="4" t="str">
        <x:v>运营账号</x:v>
      </x:c>
      <x:c r="D456" s="4" t="str">
        <x:v>账号列表（平台管理员视角）</x:v>
      </x:c>
      <x:c r="E456" s="4" t="str">
        <x:v>功能需求</x:v>
      </x:c>
      <x:c r="F456" s="4" t="str">
        <x:v>P2</x:v>
      </x:c>
      <x:c r="G456" s="4" t="str">
        <x:v>验证账号列表可查看账户余额</x:v>
      </x:c>
      <x:c r="H456" s="4" t="str">
        <x:v>账户余额展示</x:v>
      </x:c>
      <x:c r="I456" s="4" t="str">
        <x:v>1. 平台管理员账号已登录且具备当前页面权限</x:v>
      </x:c>
      <x:c r="J456" s="4" t="str">
        <x:v>1. 进入账号列表
2. 查看账户余额</x:v>
      </x:c>
      <x:c r="K456" s="4" t="str">
        <x:v>账号列表显示“账户余额”</x:v>
      </x:c>
      <x:c r="L456" s="4" t="str"/>
      <x:c r="M456" s="4" t="str">
        <x:v>未测</x:v>
      </x:c>
      <x:c r="N456" s="4" t="str"/>
      <x:c r="O456" s="4" t="str">
        <x:v>1. 来源（原型批注）：liveshow-proto/prototype/annotations/admin.js；admin-operation-accounts.html
2. 页面：admin-operation-accounts.html
3. 规则：BR-0868361AD87715
4. 场景：SC-698471E4FCD2A2
5. 未动态验证</x:v>
      </x:c>
    </x:row>
    <x:row r="457" ht="54" customHeight="1">
      <x:c r="A457" s="4" t="n">
        <x:v>456</x:v>
      </x:c>
      <x:c r="B457" s="4" t="str">
        <x:v>AACCT-0024</x:v>
      </x:c>
      <x:c r="C457" s="4" t="str">
        <x:v>运营账号</x:v>
      </x:c>
      <x:c r="D457" s="4" t="str">
        <x:v>账号列表（平台管理员视角）</x:v>
      </x:c>
      <x:c r="E457" s="4" t="str">
        <x:v>功能需求</x:v>
      </x:c>
      <x:c r="F457" s="4" t="str">
        <x:v>P2</x:v>
      </x:c>
      <x:c r="G457" s="4" t="str">
        <x:v>验证账号列表可查看状态</x:v>
      </x:c>
      <x:c r="H457" s="4" t="str">
        <x:v>状态展示</x:v>
      </x:c>
      <x:c r="I457" s="4" t="str">
        <x:v>1. 平台管理员账号已登录且具备当前页面权限</x:v>
      </x:c>
      <x:c r="J457" s="4" t="str">
        <x:v>1. 进入账号列表
2. 查看状态</x:v>
      </x:c>
      <x:c r="K457" s="4" t="str">
        <x:v>账号列表显示“状态”</x:v>
      </x:c>
      <x:c r="L457" s="4" t="str"/>
      <x:c r="M457" s="4" t="str">
        <x:v>未测</x:v>
      </x:c>
      <x:c r="N457" s="4" t="str"/>
      <x:c r="O457" s="4" t="str">
        <x:v>1. 来源（原型批注）：liveshow-proto/prototype/annotations/admin.js；admin-operation-accounts.html
2. 页面：admin-operation-accounts.html
3. 规则：BR-FB7974967BAD5E、BR-8FEF73C0416DAF
4. 场景：SC-428C2F620BDE30
5. 未动态验证</x:v>
      </x:c>
    </x:row>
    <x:row r="458" ht="54" customHeight="1">
      <x:c r="A458" s="4" t="n">
        <x:v>457</x:v>
      </x:c>
      <x:c r="B458" s="4" t="str">
        <x:v>AHOST-0001</x:v>
      </x:c>
      <x:c r="C458" s="4" t="str">
        <x:v>主播管理</x:v>
      </x:c>
      <x:c r="D458" s="4" t="str">
        <x:v>排班详情（平台管理员视角）</x:v>
      </x:c>
      <x:c r="E458" s="4" t="str">
        <x:v>功能需求</x:v>
      </x:c>
      <x:c r="F458" s="4" t="str">
        <x:v>P2</x:v>
      </x:c>
      <x:c r="G458" s="4" t="str">
        <x:v>验证排班详情可查看排班信息</x:v>
      </x:c>
      <x:c r="H458" s="4" t="str">
        <x:v>排班信息展示</x:v>
      </x:c>
      <x:c r="I458" s="4" t="str">
        <x:v>1. 平台管理员账号已登录且具备当前页面权限</x:v>
      </x:c>
      <x:c r="J458" s="4" t="str">
        <x:v>1. 进入排班详情
2. 查看排班信息</x:v>
      </x:c>
      <x:c r="K458" s="4" t="str">
        <x:v>排班详情显示“排班信息”</x:v>
      </x:c>
      <x:c r="L458" s="4" t="str"/>
      <x:c r="M458" s="4" t="str">
        <x:v>未测</x:v>
      </x:c>
      <x:c r="N458" s="4" t="str"/>
      <x:c r="O458" s="4" t="str">
        <x:v>1. 来源（原型批注）：liveshow-proto/prototype/annotations/admin.js；admin-inspection-schedule-detail.html
2. 页面：admin-inspection-schedule-detail.html
3. 规则：BR-D597A9C20ECBCB
4. 场景：SC-D036C382F315F3
5. 未动态验证</x:v>
      </x:c>
    </x:row>
    <x:row r="459" ht="54" customHeight="1">
      <x:c r="A459" s="4" t="n">
        <x:v>458</x:v>
      </x:c>
      <x:c r="B459" s="4" t="str">
        <x:v>AHOST-0002</x:v>
      </x:c>
      <x:c r="C459" s="4" t="str">
        <x:v>主播管理</x:v>
      </x:c>
      <x:c r="D459" s="4" t="str">
        <x:v>排班详情（平台管理员视角）</x:v>
      </x:c>
      <x:c r="E459" s="4" t="str">
        <x:v>功能需求</x:v>
      </x:c>
      <x:c r="F459" s="4" t="str">
        <x:v>P2</x:v>
      </x:c>
      <x:c r="G459" s="4" t="str">
        <x:v>验证排班详情可查看巡房人员</x:v>
      </x:c>
      <x:c r="H459" s="4" t="str">
        <x:v>巡房人员展示</x:v>
      </x:c>
      <x:c r="I459" s="4" t="str">
        <x:v>1. 平台管理员账号已登录且具备当前页面权限</x:v>
      </x:c>
      <x:c r="J459" s="4" t="str">
        <x:v>1. 进入排班详情
2. 查看巡房人员</x:v>
      </x:c>
      <x:c r="K459" s="4" t="str">
        <x:v>排班详情显示“巡房人员”</x:v>
      </x:c>
      <x:c r="L459" s="4" t="str"/>
      <x:c r="M459" s="4" t="str">
        <x:v>未测</x:v>
      </x:c>
      <x:c r="N459" s="4" t="str"/>
      <x:c r="O459" s="4" t="str">
        <x:v>1. 来源（原型批注）：liveshow-proto/prototype/annotations/admin.js；admin-inspection-schedule-detail.html
2. 页面：admin-inspection-schedule-detail.html
3. 规则：BR-B7F6248314BC00、BR-B4A0B8A1ED0630
4. 场景：SC-8185F92F7B918C
5. 未动态验证</x:v>
      </x:c>
    </x:row>
    <x:row r="460" ht="54" customHeight="1">
      <x:c r="A460" s="4" t="n">
        <x:v>459</x:v>
      </x:c>
      <x:c r="B460" s="4" t="str">
        <x:v>AHOST-0003</x:v>
      </x:c>
      <x:c r="C460" s="4" t="str">
        <x:v>主播管理</x:v>
      </x:c>
      <x:c r="D460" s="4" t="str">
        <x:v>审核详情（平台管理员视角）</x:v>
      </x:c>
      <x:c r="E460" s="4" t="str">
        <x:v>功能需求</x:v>
      </x:c>
      <x:c r="F460" s="4" t="str">
        <x:v>P1</x:v>
      </x:c>
      <x:c r="G460" s="4" t="str">
        <x:v>验证审核详情可查看驳回原因</x:v>
      </x:c>
      <x:c r="H460" s="4" t="str">
        <x:v>驳回原因展示</x:v>
      </x:c>
      <x:c r="I460" s="4" t="str">
        <x:v>1. 平台管理员账号已登录且具备当前页面权限</x:v>
      </x:c>
      <x:c r="J460" s="4" t="str">
        <x:v>1. 进入审核详情
2. 查看驳回原因</x:v>
      </x:c>
      <x:c r="K460" s="4" t="str">
        <x:v>审核详情显示“驳回原因”</x:v>
      </x:c>
      <x:c r="L460" s="4" t="str"/>
      <x:c r="M460" s="4" t="str">
        <x:v>未测</x:v>
      </x:c>
      <x:c r="N460" s="4" t="str"/>
      <x:c r="O460" s="4" t="str">
        <x:v>1. 来源（原型批注）：liveshow-proto/prototype/annotations/admin.js；admin-host-review-detail.html
2. 页面：admin-host-review-detail.html
3. 规则：BR-4690AEB900F7CC
4. 场景：SC-26F0F37718AE06
5. 未动态验证</x:v>
      </x:c>
    </x:row>
    <x:row r="461" ht="54" customHeight="1">
      <x:c r="A461" s="4" t="n">
        <x:v>460</x:v>
      </x:c>
      <x:c r="B461" s="4" t="str">
        <x:v>AHOST-0004</x:v>
      </x:c>
      <x:c r="C461" s="4" t="str">
        <x:v>主播管理</x:v>
      </x:c>
      <x:c r="D461" s="4" t="str">
        <x:v>审核详情（平台管理员视角）</x:v>
      </x:c>
      <x:c r="E461" s="4" t="str">
        <x:v>功能需求</x:v>
      </x:c>
      <x:c r="F461" s="4" t="str">
        <x:v>P1</x:v>
      </x:c>
      <x:c r="G461" s="4" t="str">
        <x:v>验证审核详情可查看公会管理权限</x:v>
      </x:c>
      <x:c r="H461" s="4" t="str">
        <x:v>公会管理权限展示</x:v>
      </x:c>
      <x:c r="I461" s="4" t="str">
        <x:v>1. 平台管理员账号已登录且具备当前页面权限</x:v>
      </x:c>
      <x:c r="J461" s="4" t="str">
        <x:v>1. 进入审核详情
2. 查看公会管理权限</x:v>
      </x:c>
      <x:c r="K461" s="4" t="str">
        <x:v>审核详情显示“公会管理权限”</x:v>
      </x:c>
      <x:c r="L461" s="4" t="str"/>
      <x:c r="M461" s="4" t="str">
        <x:v>未测</x:v>
      </x:c>
      <x:c r="N461" s="4" t="str"/>
      <x:c r="O461" s="4" t="str">
        <x:v>1. 来源（原型批注）：liveshow-proto/prototype/annotations/admin.js；admin-host-review-detail.html
2. 页面：admin-host-review-detail.html
3. 规则：BR-060938FEE578B3
4. 场景：SC-04F5FF5319595A
5. 未动态验证</x:v>
      </x:c>
    </x:row>
    <x:row r="462" ht="54" customHeight="1">
      <x:c r="A462" s="4" t="n">
        <x:v>461</x:v>
      </x:c>
      <x:c r="B462" s="4" t="str">
        <x:v>AHOST-0005</x:v>
      </x:c>
      <x:c r="C462" s="4" t="str">
        <x:v>主播管理</x:v>
      </x:c>
      <x:c r="D462" s="4" t="str">
        <x:v>审核详情（平台管理员视角）</x:v>
      </x:c>
      <x:c r="E462" s="4" t="str">
        <x:v>功能需求</x:v>
      </x:c>
      <x:c r="F462" s="4" t="str">
        <x:v>P1</x:v>
      </x:c>
      <x:c r="G462" s="4" t="str">
        <x:v>验证审核详情可查看认证材料</x:v>
      </x:c>
      <x:c r="H462" s="4" t="str">
        <x:v>认证材料展示</x:v>
      </x:c>
      <x:c r="I462" s="4" t="str">
        <x:v>1. 平台管理员账号已登录且具备当前页面权限</x:v>
      </x:c>
      <x:c r="J462" s="4" t="str">
        <x:v>1. 进入审核详情
2. 查看认证材料</x:v>
      </x:c>
      <x:c r="K462" s="4" t="str">
        <x:v>审核详情显示“认证材料”</x:v>
      </x:c>
      <x:c r="L462" s="4" t="str"/>
      <x:c r="M462" s="4" t="str">
        <x:v>未测</x:v>
      </x:c>
      <x:c r="N462" s="4" t="str"/>
      <x:c r="O462" s="4" t="str">
        <x:v>1. 来源（原型批注）：liveshow-proto/prototype/annotations/admin.js；admin-host-review-detail.html
2. 页面：admin-host-review-detail.html
3. 规则：BR-305ED356A297B2
4. 场景：SC-E8F0BE90706DF5
5. 未动态验证</x:v>
      </x:c>
    </x:row>
    <x:row r="463" ht="54" customHeight="1">
      <x:c r="A463" s="4" t="n">
        <x:v>462</x:v>
      </x:c>
      <x:c r="B463" s="4" t="str">
        <x:v>AHOST-0006</x:v>
      </x:c>
      <x:c r="C463" s="4" t="str">
        <x:v>主播管理</x:v>
      </x:c>
      <x:c r="D463" s="4" t="str">
        <x:v>审核详情（平台管理员视角）</x:v>
      </x:c>
      <x:c r="E463" s="4" t="str">
        <x:v>功能需求</x:v>
      </x:c>
      <x:c r="F463" s="4" t="str">
        <x:v>P1</x:v>
      </x:c>
      <x:c r="G463" s="4" t="str">
        <x:v>验证审核详情可查看申请单 / 申请人</x:v>
      </x:c>
      <x:c r="H463" s="4" t="str">
        <x:v>申请单 / 申请人展示</x:v>
      </x:c>
      <x:c r="I463" s="4" t="str">
        <x:v>1. 平台管理员账号已登录且具备当前页面权限</x:v>
      </x:c>
      <x:c r="J463" s="4" t="str">
        <x:v>1. 进入审核详情
2. 查看申请单 / 申请人</x:v>
      </x:c>
      <x:c r="K463" s="4" t="str">
        <x:v>审核详情显示“申请单 / 申请人”</x:v>
      </x:c>
      <x:c r="L463" s="4" t="str"/>
      <x:c r="M463" s="4" t="str">
        <x:v>未测</x:v>
      </x:c>
      <x:c r="N463" s="4" t="str"/>
      <x:c r="O463" s="4" t="str">
        <x:v>1. 来源（原型批注）：liveshow-proto/prototype/annotations/admin.js；admin-host-review-detail.html
2. 页面：admin-host-review-detail.html
3. 规则：BR-83287DF6696162
4. 场景：SC-EF94723B30598B
5. 未动态验证</x:v>
      </x:c>
    </x:row>
    <x:row r="464" ht="54" customHeight="1">
      <x:c r="A464" s="4" t="n">
        <x:v>463</x:v>
      </x:c>
      <x:c r="B464" s="4" t="str">
        <x:v>AHOST-0007</x:v>
      </x:c>
      <x:c r="C464" s="4" t="str">
        <x:v>主播管理</x:v>
      </x:c>
      <x:c r="D464" s="4" t="str">
        <x:v>审核详情（平台管理员视角）</x:v>
      </x:c>
      <x:c r="E464" s="4" t="str">
        <x:v>功能需求</x:v>
      </x:c>
      <x:c r="F464" s="4" t="str">
        <x:v>P1</x:v>
      </x:c>
      <x:c r="G464" s="4" t="str">
        <x:v>验证审核详情可查看审核结果</x:v>
      </x:c>
      <x:c r="H464" s="4" t="str">
        <x:v>审核结果展示</x:v>
      </x:c>
      <x:c r="I464" s="4" t="str">
        <x:v>1. 平台管理员账号已登录且具备当前页面权限</x:v>
      </x:c>
      <x:c r="J464" s="4" t="str">
        <x:v>1. 进入审核详情
2. 查看审核结果</x:v>
      </x:c>
      <x:c r="K464" s="4" t="str">
        <x:v>审核详情显示“审核结果”</x:v>
      </x:c>
      <x:c r="L464" s="4" t="str"/>
      <x:c r="M464" s="4" t="str">
        <x:v>未测</x:v>
      </x:c>
      <x:c r="N464" s="4" t="str"/>
      <x:c r="O464" s="4" t="str">
        <x:v>1. 来源（原型批注）：liveshow-proto/prototype/annotations/admin.js；admin-host-review-detail.html
2. 页面：admin-host-review-detail.html
3. 规则：BR-D384AC8F4934C2
4. 场景：SC-772CE7071C4978
5. 未动态验证</x:v>
      </x:c>
    </x:row>
    <x:row r="465" ht="54" customHeight="1">
      <x:c r="A465" s="4" t="n">
        <x:v>464</x:v>
      </x:c>
      <x:c r="B465" s="4" t="str">
        <x:v>AHOST-0008</x:v>
      </x:c>
      <x:c r="C465" s="4" t="str">
        <x:v>主播管理</x:v>
      </x:c>
      <x:c r="D465" s="4" t="str">
        <x:v>审核详情（平台管理员视角）</x:v>
      </x:c>
      <x:c r="E465" s="4" t="str">
        <x:v>功能需求</x:v>
      </x:c>
      <x:c r="F465" s="4" t="str">
        <x:v>P1</x:v>
      </x:c>
      <x:c r="G465" s="4" t="str">
        <x:v>验证审核详情可查看直播权限</x:v>
      </x:c>
      <x:c r="H465" s="4" t="str">
        <x:v>直播权限展示</x:v>
      </x:c>
      <x:c r="I465" s="4" t="str">
        <x:v>1. 平台管理员账号已登录且具备当前页面权限</x:v>
      </x:c>
      <x:c r="J465" s="4" t="str">
        <x:v>1. 进入审核详情
2. 查看直播权限</x:v>
      </x:c>
      <x:c r="K465" s="4" t="str">
        <x:v>审核详情显示“直播权限”</x:v>
      </x:c>
      <x:c r="L465" s="4" t="str"/>
      <x:c r="M465" s="4" t="str">
        <x:v>未测</x:v>
      </x:c>
      <x:c r="N465" s="4" t="str"/>
      <x:c r="O465" s="4" t="str">
        <x:v>1. 来源（原型批注）：liveshow-proto/prototype/annotations/admin.js；admin-host-review-detail.html
2. 页面：admin-host-review-detail.html
3. 规则：BR-63BCA244B2B580
4. 场景：SC-907090FBA121E7
5. 未动态验证</x:v>
      </x:c>
    </x:row>
    <x:row r="466" ht="54" customHeight="1">
      <x:c r="A466" s="4" t="n">
        <x:v>465</x:v>
      </x:c>
      <x:c r="B466" s="4" t="str">
        <x:v>AHOST-0009</x:v>
      </x:c>
      <x:c r="C466" s="4" t="str">
        <x:v>主播管理</x:v>
      </x:c>
      <x:c r="D466" s="4" t="str">
        <x:v>审核详情（平台管理员视角）</x:v>
      </x:c>
      <x:c r="E466" s="4" t="str">
        <x:v>业务流程</x:v>
      </x:c>
      <x:c r="F466" s="4" t="str">
        <x:v>P1</x:v>
      </x:c>
      <x:c r="G466" s="4" t="str">
        <x:v>验证通过后的审核详情状态</x:v>
      </x:c>
      <x:c r="H466" s="4" t="str">
        <x:v>审核详情状态</x:v>
      </x:c>
      <x:c r="I466" s="4" t="str">
        <x:v>1. 平台管理员账号已登录且具备当前页面权限
2. 通过</x:v>
      </x:c>
      <x:c r="J466" s="4" t="str">
        <x:v>1. 进入审核详情
2. 刷新审核详情</x:v>
      </x:c>
      <x:c r="K466" s="4" t="str">
        <x:v>加入申请公会并获得主播身份</x:v>
      </x:c>
      <x:c r="L466" s="4" t="str"/>
      <x:c r="M466" s="4" t="str">
        <x:v>未测</x:v>
      </x:c>
      <x:c r="N466" s="4" t="str"/>
      <x:c r="O466" s="4" t="str">
        <x:v>1. 来源（原型批注）：liveshow-proto/prototype/annotations/admin.js；admin-host-review-detail.html
2. 页面：admin-host-review-detail.html
3. 规则：BR-7BA7CDBF98F039
4. 场景：SC-2FFD7F2ACCEF21
5. 未动态验证</x:v>
      </x:c>
    </x:row>
    <x:row r="467" ht="54" customHeight="1">
      <x:c r="A467" s="4" t="n">
        <x:v>466</x:v>
      </x:c>
      <x:c r="B467" s="4" t="str">
        <x:v>AHOST-0010</x:v>
      </x:c>
      <x:c r="C467" s="4" t="str">
        <x:v>主播管理</x:v>
      </x:c>
      <x:c r="D467" s="4" t="str">
        <x:v>新建排班（平台管理员视角）</x:v>
      </x:c>
      <x:c r="E467" s="4" t="str">
        <x:v>业务流程</x:v>
      </x:c>
      <x:c r="F467" s="4" t="str">
        <x:v>P2</x:v>
      </x:c>
      <x:c r="G467" s="4" t="str">
        <x:v>验证保存后的新建排班状态</x:v>
      </x:c>
      <x:c r="H467" s="4" t="str">
        <x:v>新建排班状态</x:v>
      </x:c>
      <x:c r="I467" s="4" t="str">
        <x:v>1. 平台管理员账号已登录且具备当前页面权限</x:v>
      </x:c>
      <x:c r="J467" s="4" t="str">
        <x:v>1. 进入新建排班
2. 保存</x:v>
      </x:c>
      <x:c r="K467" s="4" t="str">
        <x:v>返回列表</x:v>
      </x:c>
      <x:c r="L467" s="4" t="str"/>
      <x:c r="M467" s="4" t="str">
        <x:v>未测</x:v>
      </x:c>
      <x:c r="N467" s="4" t="str"/>
      <x:c r="O467" s="4" t="str">
        <x:v>1. 来源（原型批注）：liveshow-proto/prototype/annotations/admin.js；admin-inspection-schedule-create.html
2. 页面：admin-inspection-schedule-create.html
3. 规则：BR-E8D8D7AC54296E
4. 场景：SC-FB19632BC1A64C
5. 未动态验证</x:v>
      </x:c>
    </x:row>
    <x:row r="468" ht="54" customHeight="1">
      <x:c r="A468" s="4" t="n">
        <x:v>467</x:v>
      </x:c>
      <x:c r="B468" s="4" t="str">
        <x:v>AHOST-0011</x:v>
      </x:c>
      <x:c r="C468" s="4" t="str">
        <x:v>主播管理</x:v>
      </x:c>
      <x:c r="D468" s="4" t="str">
        <x:v>新建排班（平台管理员视角）</x:v>
      </x:c>
      <x:c r="E468" s="4" t="str">
        <x:v>功能需求</x:v>
      </x:c>
      <x:c r="F468" s="4" t="str">
        <x:v>P2</x:v>
      </x:c>
      <x:c r="G468" s="4" t="str">
        <x:v>验证新建排班可查看日期</x:v>
      </x:c>
      <x:c r="H468" s="4" t="str">
        <x:v>日期展示</x:v>
      </x:c>
      <x:c r="I468" s="4" t="str">
        <x:v>1. 平台管理员账号已登录且具备当前页面权限</x:v>
      </x:c>
      <x:c r="J468" s="4" t="str">
        <x:v>1. 进入新建排班
2. 查看日期</x:v>
      </x:c>
      <x:c r="K468" s="4" t="str">
        <x:v>新建排班显示“日期”</x:v>
      </x:c>
      <x:c r="L468" s="4" t="str"/>
      <x:c r="M468" s="4" t="str">
        <x:v>未测</x:v>
      </x:c>
      <x:c r="N468" s="4" t="str"/>
      <x:c r="O468" s="4" t="str">
        <x:v>1. 来源（原型批注）：liveshow-proto/prototype/annotations/admin.js；admin-inspection-schedule-create.html
2. 页面：admin-inspection-schedule-create.html
3. 规则：BR-839EAB447D3DF9
4. 场景：SC-04FC616FA5A6D5
5. 未动态验证</x:v>
      </x:c>
    </x:row>
    <x:row r="469" ht="54" customHeight="1">
      <x:c r="A469" s="4" t="n">
        <x:v>468</x:v>
      </x:c>
      <x:c r="B469" s="4" t="str">
        <x:v>AHOST-0012</x:v>
      </x:c>
      <x:c r="C469" s="4" t="str">
        <x:v>主播管理</x:v>
      </x:c>
      <x:c r="D469" s="4" t="str">
        <x:v>新建排班（平台管理员视角）</x:v>
      </x:c>
      <x:c r="E469" s="4" t="str">
        <x:v>功能需求</x:v>
      </x:c>
      <x:c r="F469" s="4" t="str">
        <x:v>P2</x:v>
      </x:c>
      <x:c r="G469" s="4" t="str">
        <x:v>验证新建排班可查看时间段</x:v>
      </x:c>
      <x:c r="H469" s="4" t="str">
        <x:v>时间段展示</x:v>
      </x:c>
      <x:c r="I469" s="4" t="str">
        <x:v>1. 平台管理员账号已登录且具备当前页面权限</x:v>
      </x:c>
      <x:c r="J469" s="4" t="str">
        <x:v>1. 进入新建排班
2. 查看时间段</x:v>
      </x:c>
      <x:c r="K469" s="4" t="str">
        <x:v>新建排班显示“时间段”</x:v>
      </x:c>
      <x:c r="L469" s="4" t="str"/>
      <x:c r="M469" s="4" t="str">
        <x:v>未测</x:v>
      </x:c>
      <x:c r="N469" s="4" t="str"/>
      <x:c r="O469" s="4" t="str">
        <x:v>1. 来源（原型批注）：liveshow-proto/prototype/annotations/admin.js；admin-inspection-schedule-create.html
2. 页面：admin-inspection-schedule-create.html
3. 规则：BR-65CF6941A8DDAD
4. 场景：SC-024628C347915E
5. 未动态验证</x:v>
      </x:c>
    </x:row>
    <x:row r="470" ht="54" customHeight="1">
      <x:c r="A470" s="4" t="n">
        <x:v>469</x:v>
      </x:c>
      <x:c r="B470" s="4" t="str">
        <x:v>AHOST-0013</x:v>
      </x:c>
      <x:c r="C470" s="4" t="str">
        <x:v>主播管理</x:v>
      </x:c>
      <x:c r="D470" s="4" t="str">
        <x:v>新建排班（平台管理员视角）</x:v>
      </x:c>
      <x:c r="E470" s="4" t="str">
        <x:v>功能需求</x:v>
      </x:c>
      <x:c r="F470" s="4" t="str">
        <x:v>P2</x:v>
      </x:c>
      <x:c r="G470" s="4" t="str">
        <x:v>验证新建排班可查看巡房人员</x:v>
      </x:c>
      <x:c r="H470" s="4" t="str">
        <x:v>巡房人员展示</x:v>
      </x:c>
      <x:c r="I470" s="4" t="str">
        <x:v>1. 平台管理员账号已登录且具备当前页面权限</x:v>
      </x:c>
      <x:c r="J470" s="4" t="str">
        <x:v>1. 进入新建排班
2. 查看巡房人员</x:v>
      </x:c>
      <x:c r="K470" s="4" t="str">
        <x:v>新建排班显示“巡房人员”</x:v>
      </x:c>
      <x:c r="L470" s="4" t="str"/>
      <x:c r="M470" s="4" t="str">
        <x:v>未测</x:v>
      </x:c>
      <x:c r="N470" s="4" t="str"/>
      <x:c r="O470" s="4" t="str">
        <x:v>1. 来源（原型批注）：liveshow-proto/prototype/annotations/admin.js；admin-inspection-schedule-create.html
2. 页面：admin-inspection-schedule-create.html
3. 规则：BR-019AF9F20CFE7F
4. 场景：SC-9134CC440F1A71
5. 未动态验证</x:v>
      </x:c>
    </x:row>
    <x:row r="471" ht="54" customHeight="1">
      <x:c r="A471" s="4" t="n">
        <x:v>470</x:v>
      </x:c>
      <x:c r="B471" s="4" t="str">
        <x:v>AHOST-0014</x:v>
      </x:c>
      <x:c r="C471" s="4" t="str">
        <x:v>主播管理</x:v>
      </x:c>
      <x:c r="D471" s="4" t="str">
        <x:v>巡房排班（平台管理员视角）</x:v>
      </x:c>
      <x:c r="E471" s="4" t="str">
        <x:v>功能需求</x:v>
      </x:c>
      <x:c r="F471" s="4" t="str">
        <x:v>P2</x:v>
      </x:c>
      <x:c r="G471" s="4" t="str">
        <x:v>验证巡房排班可查看排班编号</x:v>
      </x:c>
      <x:c r="H471" s="4" t="str">
        <x:v>排班编号展示</x:v>
      </x:c>
      <x:c r="I471" s="4" t="str">
        <x:v>1. 平台管理员账号已登录且具备当前页面权限</x:v>
      </x:c>
      <x:c r="J471" s="4" t="str">
        <x:v>1. 进入巡房排班
2. 查看排班编号</x:v>
      </x:c>
      <x:c r="K471" s="4" t="str">
        <x:v>巡房排班显示“排班编号”</x:v>
      </x:c>
      <x:c r="L471" s="4" t="str"/>
      <x:c r="M471" s="4" t="str">
        <x:v>未测</x:v>
      </x:c>
      <x:c r="N471" s="4" t="str"/>
      <x:c r="O471" s="4" t="str">
        <x:v>1. 来源（原型批注）：liveshow-proto/prototype/annotations/admin.js；admin-inspection-schedule.html
2. 页面：admin-inspection-schedule.html
3. 规则：BR-419833B2BF0548
4. 场景：SC-AF9E524F22850A
5. 未动态验证</x:v>
      </x:c>
    </x:row>
    <x:row r="472" ht="54" customHeight="1">
      <x:c r="A472" s="4" t="n">
        <x:v>471</x:v>
      </x:c>
      <x:c r="B472" s="4" t="str">
        <x:v>AHOST-0015</x:v>
      </x:c>
      <x:c r="C472" s="4" t="str">
        <x:v>主播管理</x:v>
      </x:c>
      <x:c r="D472" s="4" t="str">
        <x:v>巡房排班（平台管理员视角）</x:v>
      </x:c>
      <x:c r="E472" s="4" t="str">
        <x:v>功能需求</x:v>
      </x:c>
      <x:c r="F472" s="4" t="str">
        <x:v>P2</x:v>
      </x:c>
      <x:c r="G472" s="4" t="str">
        <x:v>验证巡房排班可查看排班人数</x:v>
      </x:c>
      <x:c r="H472" s="4" t="str">
        <x:v>排班人数展示</x:v>
      </x:c>
      <x:c r="I472" s="4" t="str">
        <x:v>1. 平台管理员账号已登录且具备当前页面权限</x:v>
      </x:c>
      <x:c r="J472" s="4" t="str">
        <x:v>1. 进入巡房排班
2. 查看排班人数</x:v>
      </x:c>
      <x:c r="K472" s="4" t="str">
        <x:v>巡房排班显示“排班人数”</x:v>
      </x:c>
      <x:c r="L472" s="4" t="str"/>
      <x:c r="M472" s="4" t="str">
        <x:v>未测</x:v>
      </x:c>
      <x:c r="N472" s="4" t="str"/>
      <x:c r="O472" s="4" t="str">
        <x:v>1. 来源（原型批注）：liveshow-proto/prototype/annotations/admin.js；admin-inspection-schedule.html
2. 页面：admin-inspection-schedule.html
3. 规则：BR-5890B520A80718
4. 场景：SC-73FCBFF2F0496A
5. 未动态验证</x:v>
      </x:c>
    </x:row>
    <x:row r="473" ht="54" customHeight="1">
      <x:c r="A473" s="4" t="n">
        <x:v>472</x:v>
      </x:c>
      <x:c r="B473" s="4" t="str">
        <x:v>AHOST-0016</x:v>
      </x:c>
      <x:c r="C473" s="4" t="str">
        <x:v>主播管理</x:v>
      </x:c>
      <x:c r="D473" s="4" t="str">
        <x:v>巡房排班（平台管理员视角）</x:v>
      </x:c>
      <x:c r="E473" s="4" t="str">
        <x:v>功能需求</x:v>
      </x:c>
      <x:c r="F473" s="4" t="str">
        <x:v>P2</x:v>
      </x:c>
      <x:c r="G473" s="4" t="str">
        <x:v>验证巡房排班可查看日期 / 时间段</x:v>
      </x:c>
      <x:c r="H473" s="4" t="str">
        <x:v>日期 / 时间段展示</x:v>
      </x:c>
      <x:c r="I473" s="4" t="str">
        <x:v>1. 平台管理员账号已登录且具备当前页面权限</x:v>
      </x:c>
      <x:c r="J473" s="4" t="str">
        <x:v>1. 进入巡房排班
2. 查看日期 / 时间段</x:v>
      </x:c>
      <x:c r="K473" s="4" t="str">
        <x:v>巡房排班显示“日期 / 时间段”</x:v>
      </x:c>
      <x:c r="L473" s="4" t="str"/>
      <x:c r="M473" s="4" t="str">
        <x:v>未测</x:v>
      </x:c>
      <x:c r="N473" s="4" t="str"/>
      <x:c r="O473" s="4" t="str">
        <x:v>1. 来源（原型批注）：liveshow-proto/prototype/annotations/admin.js；admin-inspection-schedule.html
2. 页面：admin-inspection-schedule.html
3. 规则：BR-6A9485B9276459、BR-9A155700A83F27
4. 场景：SC-4033FEFE16DA1A
5. 未动态验证</x:v>
      </x:c>
    </x:row>
    <x:row r="474" ht="54" customHeight="1">
      <x:c r="A474" s="4" t="n">
        <x:v>473</x:v>
      </x:c>
      <x:c r="B474" s="4" t="str">
        <x:v>AHOST-0017</x:v>
      </x:c>
      <x:c r="C474" s="4" t="str">
        <x:v>主播管理</x:v>
      </x:c>
      <x:c r="D474" s="4" t="str">
        <x:v>巡房排班（平台管理员视角）</x:v>
      </x:c>
      <x:c r="E474" s="4" t="str">
        <x:v>功能需求</x:v>
      </x:c>
      <x:c r="F474" s="4" t="str">
        <x:v>P2</x:v>
      </x:c>
      <x:c r="G474" s="4" t="str">
        <x:v>验证巡房排班可查看状态</x:v>
      </x:c>
      <x:c r="H474" s="4" t="str">
        <x:v>状态展示</x:v>
      </x:c>
      <x:c r="I474" s="4" t="str">
        <x:v>1. 平台管理员账号已登录且具备当前页面权限</x:v>
      </x:c>
      <x:c r="J474" s="4" t="str">
        <x:v>1. 进入巡房排班
2. 查看状态</x:v>
      </x:c>
      <x:c r="K474" s="4" t="str">
        <x:v>巡房排班显示“状态”</x:v>
      </x:c>
      <x:c r="L474" s="4" t="str"/>
      <x:c r="M474" s="4" t="str">
        <x:v>未测</x:v>
      </x:c>
      <x:c r="N474" s="4" t="str"/>
      <x:c r="O474" s="4" t="str">
        <x:v>1. 来源（原型批注）：liveshow-proto/prototype/annotations/admin.js；admin-inspection-schedule.html
2. 页面：admin-inspection-schedule.html
3. 规则：BR-0E59E7D66EE252、BR-85AA3D786C0F32
4. 场景：SC-A4A5F0D382EC39
5. 未动态验证</x:v>
      </x:c>
    </x:row>
    <x:row r="475" ht="54" customHeight="1">
      <x:c r="A475" s="4" t="n">
        <x:v>474</x:v>
      </x:c>
      <x:c r="B475" s="4" t="str">
        <x:v>AHOST-0018</x:v>
      </x:c>
      <x:c r="C475" s="4" t="str">
        <x:v>主播管理</x:v>
      </x:c>
      <x:c r="D475" s="4" t="str">
        <x:v>直播场次（平台管理员视角）</x:v>
      </x:c>
      <x:c r="E475" s="4" t="str">
        <x:v>异常用例</x:v>
      </x:c>
      <x:c r="F475" s="4" t="str">
        <x:v>P1</x:v>
      </x:c>
      <x:c r="G475" s="4" t="str">
        <x:v>验证结束后的直播场次状态</x:v>
      </x:c>
      <x:c r="H475" s="4" t="str">
        <x:v>直播场次状态</x:v>
      </x:c>
      <x:c r="I475" s="4" t="str">
        <x:v>1. 平台管理员账号已登录且具备当前页面权限
2. 结束</x:v>
      </x:c>
      <x:c r="J475" s="4" t="str">
        <x:v>1. 进入直播场次
2. 刷新直播场次</x:v>
      </x:c>
      <x:c r="K475" s="4" t="str">
        <x:v>历史场次不可重开</x:v>
      </x:c>
      <x:c r="L475" s="4" t="str"/>
      <x:c r="M475" s="4" t="str">
        <x:v>未测</x:v>
      </x:c>
      <x:c r="N475" s="4" t="str"/>
      <x:c r="O475" s="4" t="str">
        <x:v>1. 来源（原型批注）：liveshow-proto/prototype/annotations/admin.js；admin-live-management.html
2. 页面：admin-live-management.html
3. 规则：BR-BEA19AC9F36D40
4. 场景：SC-CF379873A068C1
5. 未动态验证</x:v>
      </x:c>
    </x:row>
    <x:row r="476" ht="54" customHeight="1">
      <x:c r="A476" s="4" t="n">
        <x:v>475</x:v>
      </x:c>
      <x:c r="B476" s="4" t="str">
        <x:v>AHOST-0019</x:v>
      </x:c>
      <x:c r="C476" s="4" t="str">
        <x:v>主播管理</x:v>
      </x:c>
      <x:c r="D476" s="4" t="str">
        <x:v>直播场次（平台管理员视角）</x:v>
      </x:c>
      <x:c r="E476" s="4" t="str">
        <x:v>功能需求</x:v>
      </x:c>
      <x:c r="F476" s="4" t="str">
        <x:v>P1</x:v>
      </x:c>
      <x:c r="G476" s="4" t="str">
        <x:v>验证直播场次可查看房型</x:v>
      </x:c>
      <x:c r="H476" s="4" t="str">
        <x:v>房型展示</x:v>
      </x:c>
      <x:c r="I476" s="4" t="str">
        <x:v>1. 平台管理员账号已登录且具备当前页面权限</x:v>
      </x:c>
      <x:c r="J476" s="4" t="str">
        <x:v>1. 进入直播场次
2. 查看房型</x:v>
      </x:c>
      <x:c r="K476" s="4" t="str">
        <x:v>直播场次显示“房型”</x:v>
      </x:c>
      <x:c r="L476" s="4" t="str"/>
      <x:c r="M476" s="4" t="str">
        <x:v>未测</x:v>
      </x:c>
      <x:c r="N476" s="4" t="str"/>
      <x:c r="O476" s="4" t="str">
        <x:v>1. 来源（原型批注）：liveshow-proto/prototype/annotations/admin.js；admin-live-management.html
2. 页面：admin-live-management.html
3. 规则：BR-B2740F108C89A2
4. 场景：SC-A05358417EAECF
5. 未动态验证</x:v>
      </x:c>
    </x:row>
    <x:row r="477" ht="54" customHeight="1">
      <x:c r="A477" s="4" t="n">
        <x:v>476</x:v>
      </x:c>
      <x:c r="B477" s="4" t="str">
        <x:v>AHOST-0020</x:v>
      </x:c>
      <x:c r="C477" s="4" t="str">
        <x:v>主播管理</x:v>
      </x:c>
      <x:c r="D477" s="4" t="str">
        <x:v>直播场次（平台管理员视角）</x:v>
      </x:c>
      <x:c r="E477" s="4" t="str">
        <x:v>功能需求</x:v>
      </x:c>
      <x:c r="F477" s="4" t="str">
        <x:v>P1</x:v>
      </x:c>
      <x:c r="G477" s="4" t="str">
        <x:v>验证直播场次可查看观众人数</x:v>
      </x:c>
      <x:c r="H477" s="4" t="str">
        <x:v>观众人数展示</x:v>
      </x:c>
      <x:c r="I477" s="4" t="str">
        <x:v>1. 平台管理员账号已登录且具备当前页面权限</x:v>
      </x:c>
      <x:c r="J477" s="4" t="str">
        <x:v>1. 进入直播场次
2. 查看观众人数</x:v>
      </x:c>
      <x:c r="K477" s="4" t="str">
        <x:v>直播场次显示“观众人数”</x:v>
      </x:c>
      <x:c r="L477" s="4" t="str"/>
      <x:c r="M477" s="4" t="str">
        <x:v>未测</x:v>
      </x:c>
      <x:c r="N477" s="4" t="str"/>
      <x:c r="O477" s="4" t="str">
        <x:v>1. 来源（原型批注）：liveshow-proto/prototype/annotations/admin.js；admin-live-management.html
2. 页面：admin-live-management.html
3. 规则：BR-073A9C38C02A6C
4. 场景：SC-5A5222C15E4A3C
5. 未动态验证</x:v>
      </x:c>
    </x:row>
    <x:row r="478" ht="54" customHeight="1">
      <x:c r="A478" s="4" t="n">
        <x:v>477</x:v>
      </x:c>
      <x:c r="B478" s="4" t="str">
        <x:v>AHOST-0021</x:v>
      </x:c>
      <x:c r="C478" s="4" t="str">
        <x:v>主播管理</x:v>
      </x:c>
      <x:c r="D478" s="4" t="str">
        <x:v>直播场次（平台管理员视角）</x:v>
      </x:c>
      <x:c r="E478" s="4" t="str">
        <x:v>功能需求</x:v>
      </x:c>
      <x:c r="F478" s="4" t="str">
        <x:v>P1</x:v>
      </x:c>
      <x:c r="G478" s="4" t="str">
        <x:v>验证直播场次可查看收礼数量</x:v>
      </x:c>
      <x:c r="H478" s="4" t="str">
        <x:v>收礼数量展示</x:v>
      </x:c>
      <x:c r="I478" s="4" t="str">
        <x:v>1. 平台管理员账号已登录且具备当前页面权限</x:v>
      </x:c>
      <x:c r="J478" s="4" t="str">
        <x:v>1. 进入直播场次
2. 查看收礼数量</x:v>
      </x:c>
      <x:c r="K478" s="4" t="str">
        <x:v>直播场次显示“收礼数量”</x:v>
      </x:c>
      <x:c r="L478" s="4" t="str"/>
      <x:c r="M478" s="4" t="str">
        <x:v>未测</x:v>
      </x:c>
      <x:c r="N478" s="4" t="str"/>
      <x:c r="O478" s="4" t="str">
        <x:v>1. 来源（原型批注）：liveshow-proto/prototype/annotations/admin.js；admin-live-management.html
2. 页面：admin-live-management.html
3. 规则：BR-96634002401325、BR-E98EB9CD08CCE9
4. 场景：SC-925FB6CAABC92C
5. 未动态验证</x:v>
      </x:c>
    </x:row>
    <x:row r="479" ht="54" customHeight="1">
      <x:c r="A479" s="4" t="n">
        <x:v>478</x:v>
      </x:c>
      <x:c r="B479" s="4" t="str">
        <x:v>AHOST-0022</x:v>
      </x:c>
      <x:c r="C479" s="4" t="str">
        <x:v>主播管理</x:v>
      </x:c>
      <x:c r="D479" s="4" t="str">
        <x:v>直播场次（平台管理员视角）</x:v>
      </x:c>
      <x:c r="E479" s="4" t="str">
        <x:v>功能需求</x:v>
      </x:c>
      <x:c r="F479" s="4" t="str">
        <x:v>P1</x:v>
      </x:c>
      <x:c r="G479" s="4" t="str">
        <x:v>验证直播场次可查看消费金币</x:v>
      </x:c>
      <x:c r="H479" s="4" t="str">
        <x:v>消费金币展示</x:v>
      </x:c>
      <x:c r="I479" s="4" t="str">
        <x:v>1. 平台管理员账号已登录且具备当前页面权限</x:v>
      </x:c>
      <x:c r="J479" s="4" t="str">
        <x:v>1. 进入直播场次
2. 查看消费金币</x:v>
      </x:c>
      <x:c r="K479" s="4" t="str">
        <x:v>直播场次显示“消费金币”</x:v>
      </x:c>
      <x:c r="L479" s="4" t="str"/>
      <x:c r="M479" s="4" t="str">
        <x:v>未测</x:v>
      </x:c>
      <x:c r="N479" s="4" t="str"/>
      <x:c r="O479" s="4" t="str">
        <x:v>1. 来源（原型批注）：liveshow-proto/prototype/annotations/admin.js；admin-live-management.html
2. 页面：admin-live-management.html
3. 规则：BR-A67390F4C363CE、BR-0ED2D6584C540F
4. 场景：SC-C9C1CFF3E57530
5. 未动态验证</x:v>
      </x:c>
    </x:row>
    <x:row r="480" ht="54" customHeight="1">
      <x:c r="A480" s="4" t="n">
        <x:v>479</x:v>
      </x:c>
      <x:c r="B480" s="4" t="str">
        <x:v>AHOST-0023</x:v>
      </x:c>
      <x:c r="C480" s="4" t="str">
        <x:v>主播管理</x:v>
      </x:c>
      <x:c r="D480" s="4" t="str">
        <x:v>直播场次（平台管理员视角）</x:v>
      </x:c>
      <x:c r="E480" s="4" t="str">
        <x:v>功能需求</x:v>
      </x:c>
      <x:c r="F480" s="4" t="str">
        <x:v>P1</x:v>
      </x:c>
      <x:c r="G480" s="4" t="str">
        <x:v>验证直播场次可查看直播场次 ID</x:v>
      </x:c>
      <x:c r="H480" s="4" t="str">
        <x:v>直播场次 ID展示</x:v>
      </x:c>
      <x:c r="I480" s="4" t="str">
        <x:v>1. 平台管理员账号已登录且具备当前页面权限</x:v>
      </x:c>
      <x:c r="J480" s="4" t="str">
        <x:v>1. 进入直播场次
2. 查看直播场次 ID</x:v>
      </x:c>
      <x:c r="K480" s="4" t="str">
        <x:v>直播场次显示“直播场次 ID”</x:v>
      </x:c>
      <x:c r="L480" s="4" t="str"/>
      <x:c r="M480" s="4" t="str">
        <x:v>未测</x:v>
      </x:c>
      <x:c r="N480" s="4" t="str"/>
      <x:c r="O480" s="4" t="str">
        <x:v>1. 来源（原型批注）：liveshow-proto/prototype/annotations/admin.js；admin-live-management.html
2. 页面：admin-live-management.html
3. 规则：BR-BF1F7199315011、BR-428B34978C3C6C
4. 场景：SC-3D8FC95768AE5D
5. 未动态验证</x:v>
      </x:c>
    </x:row>
    <x:row r="481" ht="54" customHeight="1">
      <x:c r="A481" s="4" t="n">
        <x:v>480</x:v>
      </x:c>
      <x:c r="B481" s="4" t="str">
        <x:v>AHOST-0024</x:v>
      </x:c>
      <x:c r="C481" s="4" t="str">
        <x:v>主播管理</x:v>
      </x:c>
      <x:c r="D481" s="4" t="str">
        <x:v>直播场次（平台管理员视角）</x:v>
      </x:c>
      <x:c r="E481" s="4" t="str">
        <x:v>功能需求</x:v>
      </x:c>
      <x:c r="F481" s="4" t="str">
        <x:v>P1</x:v>
      </x:c>
      <x:c r="G481" s="4" t="str">
        <x:v>验证直播场次可查看直播时长</x:v>
      </x:c>
      <x:c r="H481" s="4" t="str">
        <x:v>直播时长展示</x:v>
      </x:c>
      <x:c r="I481" s="4" t="str">
        <x:v>1. 平台管理员账号已登录且具备当前页面权限</x:v>
      </x:c>
      <x:c r="J481" s="4" t="str">
        <x:v>1. 进入直播场次
2. 查看直播时长</x:v>
      </x:c>
      <x:c r="K481" s="4" t="str">
        <x:v>直播场次显示“直播时长”</x:v>
      </x:c>
      <x:c r="L481" s="4" t="str"/>
      <x:c r="M481" s="4" t="str">
        <x:v>未测</x:v>
      </x:c>
      <x:c r="N481" s="4" t="str"/>
      <x:c r="O481" s="4" t="str">
        <x:v>1. 来源（原型批注）：liveshow-proto/prototype/annotations/admin.js；admin-live-management.html
2. 页面：admin-live-management.html
3. 规则：BR-0B68D8E7067548、BR-B2EAC5EFB9238D
4. 场景：SC-8806BC199C8C17
5. 未动态验证</x:v>
      </x:c>
    </x:row>
    <x:row r="482" ht="54" customHeight="1">
      <x:c r="A482" s="4" t="n">
        <x:v>481</x:v>
      </x:c>
      <x:c r="B482" s="4" t="str">
        <x:v>AHOST-0025</x:v>
      </x:c>
      <x:c r="C482" s="4" t="str">
        <x:v>主播管理</x:v>
      </x:c>
      <x:c r="D482" s="4" t="str">
        <x:v>直播场次（平台管理员视角）</x:v>
      </x:c>
      <x:c r="E482" s="4" t="str">
        <x:v>功能需求</x:v>
      </x:c>
      <x:c r="F482" s="4" t="str">
        <x:v>P1</x:v>
      </x:c>
      <x:c r="G482" s="4" t="str">
        <x:v>验证直播场次可查看主播收益</x:v>
      </x:c>
      <x:c r="H482" s="4" t="str">
        <x:v>主播收益展示</x:v>
      </x:c>
      <x:c r="I482" s="4" t="str">
        <x:v>1. 平台管理员账号已登录且具备当前页面权限</x:v>
      </x:c>
      <x:c r="J482" s="4" t="str">
        <x:v>1. 进入直播场次
2. 查看主播收益</x:v>
      </x:c>
      <x:c r="K482" s="4" t="str">
        <x:v>直播场次显示“主播收益”</x:v>
      </x:c>
      <x:c r="L482" s="4" t="str"/>
      <x:c r="M482" s="4" t="str">
        <x:v>未测</x:v>
      </x:c>
      <x:c r="N482" s="4" t="str"/>
      <x:c r="O482" s="4" t="str">
        <x:v>1. 来源（原型批注）：liveshow-proto/prototype/annotations/admin.js；admin-live-management.html
2. 页面：admin-live-management.html
3. 规则：BR-2C49CE8701176B、BR-8CEC6CBCCAC97A、BR-65DC33855C966D
4. 场景：SC-B70E00441F6D12
5. 未动态验证</x:v>
      </x:c>
    </x:row>
    <x:row r="483" ht="54" customHeight="1">
      <x:c r="A483" s="4" t="n">
        <x:v>482</x:v>
      </x:c>
      <x:c r="B483" s="4" t="str">
        <x:v>AHOST-0026</x:v>
      </x:c>
      <x:c r="C483" s="4" t="str">
        <x:v>主播管理</x:v>
      </x:c>
      <x:c r="D483" s="4" t="str">
        <x:v>直播详情（平台管理员视角）</x:v>
      </x:c>
      <x:c r="E483" s="4" t="str">
        <x:v>功能需求</x:v>
      </x:c>
      <x:c r="F483" s="4" t="str">
        <x:v>P1</x:v>
      </x:c>
      <x:c r="G483" s="4" t="str">
        <x:v>验证直播详情可查看场次信息</x:v>
      </x:c>
      <x:c r="H483" s="4" t="str">
        <x:v>场次信息展示</x:v>
      </x:c>
      <x:c r="I483" s="4" t="str">
        <x:v>1. 平台管理员账号已登录且具备当前页面权限</x:v>
      </x:c>
      <x:c r="J483" s="4" t="str">
        <x:v>1. 进入直播详情
2. 查看场次信息</x:v>
      </x:c>
      <x:c r="K483" s="4" t="str">
        <x:v>直播详情显示“场次信息”</x:v>
      </x:c>
      <x:c r="L483" s="4" t="str"/>
      <x:c r="M483" s="4" t="str">
        <x:v>未测</x:v>
      </x:c>
      <x:c r="N483" s="4" t="str"/>
      <x:c r="O483" s="4" t="str">
        <x:v>1. 来源（原型批注）：liveshow-proto/prototype/annotations/admin.js；admin-live-detail.html
2. 页面：admin-live-detail.html
3. 规则：BR-98079EBEA43DE5
4. 场景：SC-06F600EE9E2820
5. 未动态验证</x:v>
      </x:c>
    </x:row>
    <x:row r="484" ht="54" customHeight="1">
      <x:c r="A484" s="4" t="n">
        <x:v>483</x:v>
      </x:c>
      <x:c r="B484" s="4" t="str">
        <x:v>AHOST-0027</x:v>
      </x:c>
      <x:c r="C484" s="4" t="str">
        <x:v>主播管理</x:v>
      </x:c>
      <x:c r="D484" s="4" t="str">
        <x:v>直播详情（平台管理员视角）</x:v>
      </x:c>
      <x:c r="E484" s="4" t="str">
        <x:v>功能需求</x:v>
      </x:c>
      <x:c r="F484" s="4" t="str">
        <x:v>P1</x:v>
      </x:c>
      <x:c r="G484" s="4" t="str">
        <x:v>验证直播详情可查看观众人数</x:v>
      </x:c>
      <x:c r="H484" s="4" t="str">
        <x:v>观众人数展示</x:v>
      </x:c>
      <x:c r="I484" s="4" t="str">
        <x:v>1. 平台管理员账号已登录且具备当前页面权限</x:v>
      </x:c>
      <x:c r="J484" s="4" t="str">
        <x:v>1. 进入直播详情
2. 查看观众人数</x:v>
      </x:c>
      <x:c r="K484" s="4" t="str">
        <x:v>直播详情显示“观众人数”</x:v>
      </x:c>
      <x:c r="L484" s="4" t="str"/>
      <x:c r="M484" s="4" t="str">
        <x:v>未测</x:v>
      </x:c>
      <x:c r="N484" s="4" t="str"/>
      <x:c r="O484" s="4" t="str">
        <x:v>1. 来源（原型批注）：liveshow-proto/prototype/annotations/admin.js；admin-live-detail.html
2. 页面：admin-live-detail.html
3. 规则：BR-B1AD0D7AFE52C4
4. 场景：SC-75B3CE1073A2B7
5. 未动态验证</x:v>
      </x:c>
    </x:row>
    <x:row r="485" ht="54" customHeight="1">
      <x:c r="A485" s="4" t="n">
        <x:v>484</x:v>
      </x:c>
      <x:c r="B485" s="4" t="str">
        <x:v>AHOST-0028</x:v>
      </x:c>
      <x:c r="C485" s="4" t="str">
        <x:v>主播管理</x:v>
      </x:c>
      <x:c r="D485" s="4" t="str">
        <x:v>直播详情（平台管理员视角）</x:v>
      </x:c>
      <x:c r="E485" s="4" t="str">
        <x:v>功能需求</x:v>
      </x:c>
      <x:c r="F485" s="4" t="str">
        <x:v>P1</x:v>
      </x:c>
      <x:c r="G485" s="4" t="str">
        <x:v>验证直播详情可查看金币收益</x:v>
      </x:c>
      <x:c r="H485" s="4" t="str">
        <x:v>金币收益展示</x:v>
      </x:c>
      <x:c r="I485" s="4" t="str">
        <x:v>1. 平台管理员账号已登录且具备当前页面权限</x:v>
      </x:c>
      <x:c r="J485" s="4" t="str">
        <x:v>1. 进入直播详情
2. 查看金币收益</x:v>
      </x:c>
      <x:c r="K485" s="4" t="str">
        <x:v>直播详情显示“金币收益”</x:v>
      </x:c>
      <x:c r="L485" s="4" t="str"/>
      <x:c r="M485" s="4" t="str">
        <x:v>未测</x:v>
      </x:c>
      <x:c r="N485" s="4" t="str"/>
      <x:c r="O485" s="4" t="str">
        <x:v>1. 来源（原型批注）：liveshow-proto/prototype/annotations/admin.js；admin-live-detail.html
2. 页面：admin-live-detail.html
3. 规则：BR-5D809DB2C92B3B、BR-653AF5E98FF805、BR-1B2C54048DE086
4. 场景：SC-CA31BB6AB4D6C3
5. 未动态验证</x:v>
      </x:c>
    </x:row>
    <x:row r="486" ht="54" customHeight="1">
      <x:c r="A486" s="4" t="n">
        <x:v>485</x:v>
      </x:c>
      <x:c r="B486" s="4" t="str">
        <x:v>AHOST-0029</x:v>
      </x:c>
      <x:c r="C486" s="4" t="str">
        <x:v>主播管理</x:v>
      </x:c>
      <x:c r="D486" s="4" t="str">
        <x:v>直播详情（平台管理员视角）</x:v>
      </x:c>
      <x:c r="E486" s="4" t="str">
        <x:v>功能需求</x:v>
      </x:c>
      <x:c r="F486" s="4" t="str">
        <x:v>P1</x:v>
      </x:c>
      <x:c r="G486" s="4" t="str">
        <x:v>验证直播详情可查看收礼数量</x:v>
      </x:c>
      <x:c r="H486" s="4" t="str">
        <x:v>收礼数量展示</x:v>
      </x:c>
      <x:c r="I486" s="4" t="str">
        <x:v>1. 平台管理员账号已登录且具备当前页面权限</x:v>
      </x:c>
      <x:c r="J486" s="4" t="str">
        <x:v>1. 进入直播详情
2. 查看收礼数量</x:v>
      </x:c>
      <x:c r="K486" s="4" t="str">
        <x:v>直播详情显示“收礼数量”</x:v>
      </x:c>
      <x:c r="L486" s="4" t="str"/>
      <x:c r="M486" s="4" t="str">
        <x:v>未测</x:v>
      </x:c>
      <x:c r="N486" s="4" t="str"/>
      <x:c r="O486" s="4" t="str">
        <x:v>1. 来源（原型批注）：liveshow-proto/prototype/annotations/admin.js；admin-live-detail.html
2. 页面：admin-live-detail.html
3. 规则：BR-716648EAB24200、BR-E19CA9F61A8895
4. 场景：SC-7D1AFA47E99EA3
5. 未动态验证</x:v>
      </x:c>
    </x:row>
    <x:row r="487" ht="54" customHeight="1">
      <x:c r="A487" s="4" t="n">
        <x:v>486</x:v>
      </x:c>
      <x:c r="B487" s="4" t="str">
        <x:v>AHOST-0030</x:v>
      </x:c>
      <x:c r="C487" s="4" t="str">
        <x:v>主播管理</x:v>
      </x:c>
      <x:c r="D487" s="4" t="str">
        <x:v>直播详情（平台管理员视角）</x:v>
      </x:c>
      <x:c r="E487" s="4" t="str">
        <x:v>功能需求</x:v>
      </x:c>
      <x:c r="F487" s="4" t="str">
        <x:v>P1</x:v>
      </x:c>
      <x:c r="G487" s="4" t="str">
        <x:v>验证直播详情可查看巡房记录</x:v>
      </x:c>
      <x:c r="H487" s="4" t="str">
        <x:v>巡房记录展示</x:v>
      </x:c>
      <x:c r="I487" s="4" t="str">
        <x:v>1. 平台管理员账号已登录且具备当前页面权限</x:v>
      </x:c>
      <x:c r="J487" s="4" t="str">
        <x:v>1. 进入直播详情
2. 查看巡房记录</x:v>
      </x:c>
      <x:c r="K487" s="4" t="str">
        <x:v>直播详情显示“巡房记录”</x:v>
      </x:c>
      <x:c r="L487" s="4" t="str"/>
      <x:c r="M487" s="4" t="str">
        <x:v>未测</x:v>
      </x:c>
      <x:c r="N487" s="4" t="str"/>
      <x:c r="O487" s="4" t="str">
        <x:v>1. 来源（原型批注）：liveshow-proto/prototype/annotations/admin.js；admin-live-detail.html
2. 页面：admin-live-detail.html
3. 规则：BR-B71E331566BC92
4. 场景：SC-80532EAFEF368C
5. 未动态验证</x:v>
      </x:c>
    </x:row>
    <x:row r="488" ht="54" customHeight="1">
      <x:c r="A488" s="4" t="n">
        <x:v>487</x:v>
      </x:c>
      <x:c r="B488" s="4" t="str">
        <x:v>AHOST-0031</x:v>
      </x:c>
      <x:c r="C488" s="4" t="str">
        <x:v>主播管理</x:v>
      </x:c>
      <x:c r="D488" s="4" t="str">
        <x:v>直播详情（平台管理员视角）</x:v>
      </x:c>
      <x:c r="E488" s="4" t="str">
        <x:v>功能需求</x:v>
      </x:c>
      <x:c r="F488" s="4" t="str">
        <x:v>P1</x:v>
      </x:c>
      <x:c r="G488" s="4" t="str">
        <x:v>验证直播详情可查看直播状态</x:v>
      </x:c>
      <x:c r="H488" s="4" t="str">
        <x:v>直播状态展示</x:v>
      </x:c>
      <x:c r="I488" s="4" t="str">
        <x:v>1. 平台管理员账号已登录且具备当前页面权限</x:v>
      </x:c>
      <x:c r="J488" s="4" t="str">
        <x:v>1. 进入直播详情
2. 查看直播状态</x:v>
      </x:c>
      <x:c r="K488" s="4" t="str">
        <x:v>直播详情显示“直播状态”</x:v>
      </x:c>
      <x:c r="L488" s="4" t="str"/>
      <x:c r="M488" s="4" t="str">
        <x:v>未测</x:v>
      </x:c>
      <x:c r="N488" s="4" t="str"/>
      <x:c r="O488" s="4" t="str">
        <x:v>1. 来源（原型批注）：liveshow-proto/prototype/annotations/admin.js；admin-live-detail.html
2. 页面：admin-live-detail.html
3. 规则：BR-1261DC1E6A3B39、BR-95DB47CB9D1DA8
4. 场景：SC-A399A1C7041181
5. 未动态验证</x:v>
      </x:c>
    </x:row>
    <x:row r="489" ht="54" customHeight="1">
      <x:c r="A489" s="4" t="n">
        <x:v>488</x:v>
      </x:c>
      <x:c r="B489" s="4" t="str">
        <x:v>AHOST-0032</x:v>
      </x:c>
      <x:c r="C489" s="4" t="str">
        <x:v>主播管理</x:v>
      </x:c>
      <x:c r="D489" s="4" t="str">
        <x:v>主播列表（平台管理员视角）</x:v>
      </x:c>
      <x:c r="E489" s="4" t="str">
        <x:v>业务流程</x:v>
      </x:c>
      <x:c r="F489" s="4" t="str">
        <x:v>P2</x:v>
      </x:c>
      <x:c r="G489" s="4" t="str">
        <x:v>验证解锁后的主播列表状态</x:v>
      </x:c>
      <x:c r="H489" s="4" t="str">
        <x:v>主播列表状态</x:v>
      </x:c>
      <x:c r="I489" s="4" t="str">
        <x:v>1. 平台管理员账号已登录且具备当前页面权限
2. 解锁</x:v>
      </x:c>
      <x:c r="J489" s="4" t="str">
        <x:v>1. 进入主播列表
2. 刷新主播列表</x:v>
      </x:c>
      <x:c r="K489" s="4" t="str">
        <x:v>恢复锁定前设置并重算权限</x:v>
      </x:c>
      <x:c r="L489" s="4" t="str"/>
      <x:c r="M489" s="4" t="str">
        <x:v>未测</x:v>
      </x:c>
      <x:c r="N489" s="4" t="str"/>
      <x:c r="O489" s="4" t="str">
        <x:v>1. 来源（原型批注）：liveshow-proto/prototype/annotations/admin.js；admin-host-list.html
2. 页面：admin-host-list.html
3. 规则：BR-0A0D3EAFF48D0A
4. 场景：SC-DF42DAB863CEC4
5. 未动态验证</x:v>
      </x:c>
    </x:row>
    <x:row r="490" ht="54" customHeight="1">
      <x:c r="A490" s="4" t="n">
        <x:v>489</x:v>
      </x:c>
      <x:c r="B490" s="4" t="str">
        <x:v>AHOST-0033</x:v>
      </x:c>
      <x:c r="C490" s="4" t="str">
        <x:v>主播管理</x:v>
      </x:c>
      <x:c r="D490" s="4" t="str">
        <x:v>主播列表（平台管理员视角）</x:v>
      </x:c>
      <x:c r="E490" s="4" t="str">
        <x:v>功能需求</x:v>
      </x:c>
      <x:c r="F490" s="4" t="str">
        <x:v>P2</x:v>
      </x:c>
      <x:c r="G490" s="4" t="str">
        <x:v>验证主播列表可查看金币收益</x:v>
      </x:c>
      <x:c r="H490" s="4" t="str">
        <x:v>金币收益展示</x:v>
      </x:c>
      <x:c r="I490" s="4" t="str">
        <x:v>1. 平台管理员账号已登录且具备当前页面权限</x:v>
      </x:c>
      <x:c r="J490" s="4" t="str">
        <x:v>1. 进入主播列表
2. 查看金币收益</x:v>
      </x:c>
      <x:c r="K490" s="4" t="str">
        <x:v>主播列表显示“金币收益”</x:v>
      </x:c>
      <x:c r="L490" s="4" t="str"/>
      <x:c r="M490" s="4" t="str">
        <x:v>未测</x:v>
      </x:c>
      <x:c r="N490" s="4" t="str"/>
      <x:c r="O490" s="4" t="str">
        <x:v>1. 来源（原型批注）：liveshow-proto/prototype/annotations/admin.js；admin-host-list.html
2. 页面：admin-host-list.html
3. 规则：BR-E50D1ED33A56CE、BR-8EC5FA6FDAF55E、BR-FC5ECE282B5A0A
4. 场景：SC-C209D66A9E95CD
5. 未动态验证</x:v>
      </x:c>
    </x:row>
    <x:row r="491" ht="54" customHeight="1">
      <x:c r="A491" s="4" t="n">
        <x:v>490</x:v>
      </x:c>
      <x:c r="B491" s="4" t="str">
        <x:v>AHOST-0034</x:v>
      </x:c>
      <x:c r="C491" s="4" t="str">
        <x:v>主播管理</x:v>
      </x:c>
      <x:c r="D491" s="4" t="str">
        <x:v>主播列表（平台管理员视角）</x:v>
      </x:c>
      <x:c r="E491" s="4" t="str">
        <x:v>功能需求</x:v>
      </x:c>
      <x:c r="F491" s="4" t="str">
        <x:v>P2</x:v>
      </x:c>
      <x:c r="G491" s="4" t="str">
        <x:v>验证主播列表可查看开播权限</x:v>
      </x:c>
      <x:c r="H491" s="4" t="str">
        <x:v>开播权限展示</x:v>
      </x:c>
      <x:c r="I491" s="4" t="str">
        <x:v>1. 平台管理员账号已登录且具备当前页面权限</x:v>
      </x:c>
      <x:c r="J491" s="4" t="str">
        <x:v>1. 进入主播列表
2. 查看开播权限</x:v>
      </x:c>
      <x:c r="K491" s="4" t="str">
        <x:v>主播列表显示“开播权限”</x:v>
      </x:c>
      <x:c r="L491" s="4" t="str"/>
      <x:c r="M491" s="4" t="str">
        <x:v>未测</x:v>
      </x:c>
      <x:c r="N491" s="4" t="str"/>
      <x:c r="O491" s="4" t="str">
        <x:v>1. 来源（原型批注）：liveshow-proto/prototype/annotations/admin.js；admin-host-list.html
2. 页面：admin-host-list.html
3. 规则：BR-E24EE6D5E47ED4
4. 场景：SC-4F524BFCEC8BCB
5. 未动态验证</x:v>
      </x:c>
    </x:row>
    <x:row r="492" ht="54" customHeight="1">
      <x:c r="A492" s="4" t="n">
        <x:v>491</x:v>
      </x:c>
      <x:c r="B492" s="4" t="str">
        <x:v>AHOST-0035</x:v>
      </x:c>
      <x:c r="C492" s="4" t="str">
        <x:v>主播管理</x:v>
      </x:c>
      <x:c r="D492" s="4" t="str">
        <x:v>主播列表（平台管理员视角）</x:v>
      </x:c>
      <x:c r="E492" s="4" t="str">
        <x:v>功能需求</x:v>
      </x:c>
      <x:c r="F492" s="4" t="str">
        <x:v>P2</x:v>
      </x:c>
      <x:c r="G492" s="4" t="str">
        <x:v>验证主播列表可查看违规次数</x:v>
      </x:c>
      <x:c r="H492" s="4" t="str">
        <x:v>违规次数展示</x:v>
      </x:c>
      <x:c r="I492" s="4" t="str">
        <x:v>1. 平台管理员账号已登录且具备当前页面权限</x:v>
      </x:c>
      <x:c r="J492" s="4" t="str">
        <x:v>1. 进入主播列表
2. 查看违规次数</x:v>
      </x:c>
      <x:c r="K492" s="4" t="str">
        <x:v>主播列表显示“违规次数”</x:v>
      </x:c>
      <x:c r="L492" s="4" t="str"/>
      <x:c r="M492" s="4" t="str">
        <x:v>未测</x:v>
      </x:c>
      <x:c r="N492" s="4" t="str"/>
      <x:c r="O492" s="4" t="str">
        <x:v>1. 来源（原型批注）：liveshow-proto/prototype/annotations/admin.js；admin-host-list.html
2. 页面：admin-host-list.html
3. 规则：BR-1E5AB9238F8CE5
4. 场景：SC-32792C57EF910C
5. 未动态验证</x:v>
      </x:c>
    </x:row>
    <x:row r="493" ht="54" customHeight="1">
      <x:c r="A493" s="4" t="n">
        <x:v>492</x:v>
      </x:c>
      <x:c r="B493" s="4" t="str">
        <x:v>AHOST-0036</x:v>
      </x:c>
      <x:c r="C493" s="4" t="str">
        <x:v>主播管理</x:v>
      </x:c>
      <x:c r="D493" s="4" t="str">
        <x:v>主播列表（平台管理员视角）</x:v>
      </x:c>
      <x:c r="E493" s="4" t="str">
        <x:v>功能需求</x:v>
      </x:c>
      <x:c r="F493" s="4" t="str">
        <x:v>P2</x:v>
      </x:c>
      <x:c r="G493" s="4" t="str">
        <x:v>验证主播列表可查看账号状态</x:v>
      </x:c>
      <x:c r="H493" s="4" t="str">
        <x:v>账号状态展示</x:v>
      </x:c>
      <x:c r="I493" s="4" t="str">
        <x:v>1. 平台管理员账号已登录且具备当前页面权限</x:v>
      </x:c>
      <x:c r="J493" s="4" t="str">
        <x:v>1. 进入主播列表
2. 查看账号状态</x:v>
      </x:c>
      <x:c r="K493" s="4" t="str">
        <x:v>主播列表显示“账号状态”</x:v>
      </x:c>
      <x:c r="L493" s="4" t="str"/>
      <x:c r="M493" s="4" t="str">
        <x:v>未测</x:v>
      </x:c>
      <x:c r="N493" s="4" t="str"/>
      <x:c r="O493" s="4" t="str">
        <x:v>1. 来源（原型批注）：liveshow-proto/prototype/annotations/admin.js；admin-host-list.html
2. 页面：admin-host-list.html
3. 规则：BR-126BD40EAF20A2
4. 场景：SC-A5600EC66A5EFB
5. 未动态验证</x:v>
      </x:c>
    </x:row>
    <x:row r="494" ht="54" customHeight="1">
      <x:c r="A494" s="4" t="n">
        <x:v>493</x:v>
      </x:c>
      <x:c r="B494" s="4" t="str">
        <x:v>AHOST-0037</x:v>
      </x:c>
      <x:c r="C494" s="4" t="str">
        <x:v>主播管理</x:v>
      </x:c>
      <x:c r="D494" s="4" t="str">
        <x:v>主播列表（平台管理员视角）</x:v>
      </x:c>
      <x:c r="E494" s="4" t="str">
        <x:v>功能需求</x:v>
      </x:c>
      <x:c r="F494" s="4" t="str">
        <x:v>P2</x:v>
      </x:c>
      <x:c r="G494" s="4" t="str">
        <x:v>验证主播列表可查看主播 / 公会</x:v>
      </x:c>
      <x:c r="H494" s="4" t="str">
        <x:v>主播 / 公会展示</x:v>
      </x:c>
      <x:c r="I494" s="4" t="str">
        <x:v>1. 平台管理员账号已登录且具备当前页面权限</x:v>
      </x:c>
      <x:c r="J494" s="4" t="str">
        <x:v>1. 进入主播列表
2. 查看主播 / 公会</x:v>
      </x:c>
      <x:c r="K494" s="4" t="str">
        <x:v>主播列表显示“主播 / 公会”</x:v>
      </x:c>
      <x:c r="L494" s="4" t="str"/>
      <x:c r="M494" s="4" t="str">
        <x:v>未测</x:v>
      </x:c>
      <x:c r="N494" s="4" t="str"/>
      <x:c r="O494" s="4" t="str">
        <x:v>1. 来源（原型批注）：liveshow-proto/prototype/annotations/admin.js；admin-host-list.html
2. 页面：admin-host-list.html
3. 规则：BR-1141620A403A46、BR-BAEC077B65FCA9
4. 场景：SC-52B7207946A0F6
5. 未动态验证</x:v>
      </x:c>
    </x:row>
    <x:row r="495" ht="54" customHeight="1">
      <x:c r="A495" s="4" t="n">
        <x:v>494</x:v>
      </x:c>
      <x:c r="B495" s="4" t="str">
        <x:v>AHOST-0038</x:v>
      </x:c>
      <x:c r="C495" s="4" t="str">
        <x:v>主播管理</x:v>
      </x:c>
      <x:c r="D495" s="4" t="str">
        <x:v>主播审核（平台管理员视角）</x:v>
      </x:c>
      <x:c r="E495" s="4" t="str">
        <x:v>功能需求</x:v>
      </x:c>
      <x:c r="F495" s="4" t="str">
        <x:v>P1</x:v>
      </x:c>
      <x:c r="G495" s="4" t="str">
        <x:v>验证主播审核可查看公会信息</x:v>
      </x:c>
      <x:c r="H495" s="4" t="str">
        <x:v>公会信息展示</x:v>
      </x:c>
      <x:c r="I495" s="4" t="str">
        <x:v>1. 平台管理员账号已登录且具备当前页面权限</x:v>
      </x:c>
      <x:c r="J495" s="4" t="str">
        <x:v>1. 进入主播审核
2. 查看公会信息</x:v>
      </x:c>
      <x:c r="K495" s="4" t="str">
        <x:v>主播审核显示“公会信息”</x:v>
      </x:c>
      <x:c r="L495" s="4" t="str"/>
      <x:c r="M495" s="4" t="str">
        <x:v>未测</x:v>
      </x:c>
      <x:c r="N495" s="4" t="str"/>
      <x:c r="O495" s="4" t="str">
        <x:v>1. 来源（原型批注）：liveshow-proto/prototype/annotations/admin.js；admin-host-review.html
2. 页面：admin-host-review.html
3. 规则：BR-6CAA980838AFE3
4. 场景：SC-5A3A26C82E1B0F
5. 未动态验证</x:v>
      </x:c>
    </x:row>
    <x:row r="496" ht="54" customHeight="1">
      <x:c r="A496" s="4" t="n">
        <x:v>495</x:v>
      </x:c>
      <x:c r="B496" s="4" t="str">
        <x:v>AHOST-0039</x:v>
      </x:c>
      <x:c r="C496" s="4" t="str">
        <x:v>主播管理</x:v>
      </x:c>
      <x:c r="D496" s="4" t="str">
        <x:v>主播审核（平台管理员视角）</x:v>
      </x:c>
      <x:c r="E496" s="4" t="str">
        <x:v>功能需求</x:v>
      </x:c>
      <x:c r="F496" s="4" t="str">
        <x:v>P1</x:v>
      </x:c>
      <x:c r="G496" s="4" t="str">
        <x:v>验证主播审核可查看认证状态</x:v>
      </x:c>
      <x:c r="H496" s="4" t="str">
        <x:v>认证状态展示</x:v>
      </x:c>
      <x:c r="I496" s="4" t="str">
        <x:v>1. 平台管理员账号已登录且具备当前页面权限</x:v>
      </x:c>
      <x:c r="J496" s="4" t="str">
        <x:v>1. 进入主播审核
2. 查看认证状态</x:v>
      </x:c>
      <x:c r="K496" s="4" t="str">
        <x:v>主播审核显示“认证状态”</x:v>
      </x:c>
      <x:c r="L496" s="4" t="str"/>
      <x:c r="M496" s="4" t="str">
        <x:v>未测</x:v>
      </x:c>
      <x:c r="N496" s="4" t="str"/>
      <x:c r="O496" s="4" t="str">
        <x:v>1. 来源（原型批注）：liveshow-proto/prototype/annotations/admin.js；admin-host-review.html
2. 页面：admin-host-review.html
3. 规则：BR-13F472DB72A543、BR-29858C5F7D8603
4. 场景：SC-06D93AB3939C14
5. 未动态验证</x:v>
      </x:c>
    </x:row>
    <x:row r="497" ht="54" customHeight="1">
      <x:c r="A497" s="4" t="n">
        <x:v>496</x:v>
      </x:c>
      <x:c r="B497" s="4" t="str">
        <x:v>AHOST-0040</x:v>
      </x:c>
      <x:c r="C497" s="4" t="str">
        <x:v>主播管理</x:v>
      </x:c>
      <x:c r="D497" s="4" t="str">
        <x:v>主播审核（平台管理员视角）</x:v>
      </x:c>
      <x:c r="E497" s="4" t="str">
        <x:v>功能需求</x:v>
      </x:c>
      <x:c r="F497" s="4" t="str">
        <x:v>P1</x:v>
      </x:c>
      <x:c r="G497" s="4" t="str">
        <x:v>验证主播审核可查看申请单号</x:v>
      </x:c>
      <x:c r="H497" s="4" t="str">
        <x:v>申请单号展示</x:v>
      </x:c>
      <x:c r="I497" s="4" t="str">
        <x:v>1. 平台管理员账号已登录且具备当前页面权限</x:v>
      </x:c>
      <x:c r="J497" s="4" t="str">
        <x:v>1. 进入主播审核
2. 查看申请单号</x:v>
      </x:c>
      <x:c r="K497" s="4" t="str">
        <x:v>主播审核显示“申请单号”</x:v>
      </x:c>
      <x:c r="L497" s="4" t="str"/>
      <x:c r="M497" s="4" t="str">
        <x:v>未测</x:v>
      </x:c>
      <x:c r="N497" s="4" t="str"/>
      <x:c r="O497" s="4" t="str">
        <x:v>1. 来源（原型批注）：liveshow-proto/prototype/annotations/admin.js；admin-host-review.html
2. 页面：admin-host-review.html
3. 规则：BR-60F7B1B91552FF、BR-77DE8B69880CDB
4. 场景：SC-1AF9F0336DBADD
5. 未动态验证</x:v>
      </x:c>
    </x:row>
    <x:row r="498" ht="54" customHeight="1">
      <x:c r="A498" s="4" t="n">
        <x:v>497</x:v>
      </x:c>
      <x:c r="B498" s="4" t="str">
        <x:v>AHOST-0041</x:v>
      </x:c>
      <x:c r="C498" s="4" t="str">
        <x:v>主播管理</x:v>
      </x:c>
      <x:c r="D498" s="4" t="str">
        <x:v>主播审核（平台管理员视角）</x:v>
      </x:c>
      <x:c r="E498" s="4" t="str">
        <x:v>功能需求</x:v>
      </x:c>
      <x:c r="F498" s="4" t="str">
        <x:v>P1</x:v>
      </x:c>
      <x:c r="G498" s="4" t="str">
        <x:v>验证主播审核可查看提交时间</x:v>
      </x:c>
      <x:c r="H498" s="4" t="str">
        <x:v>提交时间展示</x:v>
      </x:c>
      <x:c r="I498" s="4" t="str">
        <x:v>1. 平台管理员账号已登录且具备当前页面权限</x:v>
      </x:c>
      <x:c r="J498" s="4" t="str">
        <x:v>1. 进入主播审核
2. 查看提交时间</x:v>
      </x:c>
      <x:c r="K498" s="4" t="str">
        <x:v>主播审核显示“提交时间”</x:v>
      </x:c>
      <x:c r="L498" s="4" t="str"/>
      <x:c r="M498" s="4" t="str">
        <x:v>未测</x:v>
      </x:c>
      <x:c r="N498" s="4" t="str"/>
      <x:c r="O498" s="4" t="str">
        <x:v>1. 来源（原型批注）：liveshow-proto/prototype/annotations/admin.js；admin-host-review.html
2. 页面：admin-host-review.html
3. 规则：BR-F555994D96E55E
4. 场景：SC-F5104A02FBD7E4
5. 未动态验证</x:v>
      </x:c>
    </x:row>
    <x:row r="499" ht="54" customHeight="1">
      <x:c r="A499" s="4" t="n">
        <x:v>498</x:v>
      </x:c>
      <x:c r="B499" s="4" t="str">
        <x:v>AHOST-0042</x:v>
      </x:c>
      <x:c r="C499" s="4" t="str">
        <x:v>主播管理</x:v>
      </x:c>
      <x:c r="D499" s="4" t="str">
        <x:v>主播审核（平台管理员视角）</x:v>
      </x:c>
      <x:c r="E499" s="4" t="str">
        <x:v>功能需求</x:v>
      </x:c>
      <x:c r="F499" s="4" t="str">
        <x:v>P1</x:v>
      </x:c>
      <x:c r="G499" s="4" t="str">
        <x:v>验证主播审核可查看主播信息</x:v>
      </x:c>
      <x:c r="H499" s="4" t="str">
        <x:v>主播信息展示</x:v>
      </x:c>
      <x:c r="I499" s="4" t="str">
        <x:v>1. 平台管理员账号已登录且具备当前页面权限</x:v>
      </x:c>
      <x:c r="J499" s="4" t="str">
        <x:v>1. 进入主播审核
2. 查看主播信息</x:v>
      </x:c>
      <x:c r="K499" s="4" t="str">
        <x:v>主播审核显示“主播信息”</x:v>
      </x:c>
      <x:c r="L499" s="4" t="str"/>
      <x:c r="M499" s="4" t="str">
        <x:v>未测</x:v>
      </x:c>
      <x:c r="N499" s="4" t="str"/>
      <x:c r="O499" s="4" t="str">
        <x:v>1. 来源（原型批注）：liveshow-proto/prototype/annotations/admin.js；admin-host-review.html
2. 页面：admin-host-review.html
3. 规则：BR-8ABAABA6D2C85F
4. 场景：SC-BD90A303B943F6
5. 未动态验证</x:v>
      </x:c>
    </x:row>
    <x:row r="500" ht="54" customHeight="1">
      <x:c r="A500" s="4" t="n">
        <x:v>499</x:v>
      </x:c>
      <x:c r="B500" s="4" t="str">
        <x:v>AHOST-0043</x:v>
      </x:c>
      <x:c r="C500" s="4" t="str">
        <x:v>主播管理</x:v>
      </x:c>
      <x:c r="D500" s="4" t="str">
        <x:v>主播详情（平台管理员视角）</x:v>
      </x:c>
      <x:c r="E500" s="4" t="str">
        <x:v>异常用例</x:v>
      </x:c>
      <x:c r="F500" s="4" t="str">
        <x:v>P2</x:v>
      </x:c>
      <x:c r="G500" s="4" t="str">
        <x:v>验证关闭后的主播详情状态</x:v>
      </x:c>
      <x:c r="H500" s="4" t="str">
        <x:v>主播详情状态</x:v>
      </x:c>
      <x:c r="I500" s="4" t="str">
        <x:v>1. 平台管理员账号已登录且具备当前页面权限</x:v>
      </x:c>
      <x:c r="J500" s="4" t="str">
        <x:v>1. 进入主播详情
2. 关闭</x:v>
      </x:c>
      <x:c r="K500" s="4" t="str">
        <x:v>公会不可修改</x:v>
      </x:c>
      <x:c r="L500" s="4" t="str"/>
      <x:c r="M500" s="4" t="str">
        <x:v>未测</x:v>
      </x:c>
      <x:c r="N500" s="4" t="str"/>
      <x:c r="O500" s="4" t="str">
        <x:v>1. 来源（原型批注）：liveshow-proto/prototype/annotations/admin.js；admin-host-detail.html
2. 页面：admin-host-detail.html
3. 规则：BR-BE22EA770233B9
4. 场景：SC-BCF39B2C6484C6
5. 未动态验证</x:v>
      </x:c>
    </x:row>
    <x:row r="501" ht="54" customHeight="1">
      <x:c r="A501" s="4" t="n">
        <x:v>500</x:v>
      </x:c>
      <x:c r="B501" s="4" t="str">
        <x:v>AHOST-0044</x:v>
      </x:c>
      <x:c r="C501" s="4" t="str">
        <x:v>主播管理</x:v>
      </x:c>
      <x:c r="D501" s="4" t="str">
        <x:v>主播详情（平台管理员视角）</x:v>
      </x:c>
      <x:c r="E501" s="4" t="str">
        <x:v>业务流程</x:v>
      </x:c>
      <x:c r="F501" s="4" t="str">
        <x:v>P2</x:v>
      </x:c>
      <x:c r="G501" s="4" t="str">
        <x:v>验证权限后的主播详情状态</x:v>
      </x:c>
      <x:c r="H501" s="4" t="str">
        <x:v>主播详情状态</x:v>
      </x:c>
      <x:c r="I501" s="4" t="str">
        <x:v>1. 平台管理员账号已登录且具备当前页面权限
2. 权限</x:v>
      </x:c>
      <x:c r="J501" s="4" t="str">
        <x:v>1. 进入主播详情
2. 刷新主播详情</x:v>
      </x:c>
      <x:c r="K501" s="4" t="str">
        <x:v>更新并留痕</x:v>
      </x:c>
      <x:c r="L501" s="4" t="str"/>
      <x:c r="M501" s="4" t="str">
        <x:v>未测</x:v>
      </x:c>
      <x:c r="N501" s="4" t="str"/>
      <x:c r="O501" s="4" t="str">
        <x:v>1. 来源（原型批注）：liveshow-proto/prototype/annotations/admin.js；admin-host-detail.html
2. 页面：admin-host-detail.html
3. 规则：BR-FB76A16F57A493
4. 场景：SC-C5AFABCC3E932F
5. 未动态验证</x:v>
      </x:c>
    </x:row>
    <x:row r="502" ht="54" customHeight="1">
      <x:c r="A502" s="4" t="n">
        <x:v>501</x:v>
      </x:c>
      <x:c r="B502" s="4" t="str">
        <x:v>AHOST-0045</x:v>
      </x:c>
      <x:c r="C502" s="4" t="str">
        <x:v>主播管理</x:v>
      </x:c>
      <x:c r="D502" s="4" t="str">
        <x:v>主播详情（平台管理员视角）</x:v>
      </x:c>
      <x:c r="E502" s="4" t="str">
        <x:v>业务流程</x:v>
      </x:c>
      <x:c r="F502" s="4" t="str">
        <x:v>P2</x:v>
      </x:c>
      <x:c r="G502" s="4" t="str">
        <x:v>验证账号处置后的主播详情状态</x:v>
      </x:c>
      <x:c r="H502" s="4" t="str">
        <x:v>主播详情状态</x:v>
      </x:c>
      <x:c r="I502" s="4" t="str">
        <x:v>1. 平台管理员账号已登录且具备当前页面权限
2. 账号处置</x:v>
      </x:c>
      <x:c r="J502" s="4" t="str">
        <x:v>1. 进入主播详情
2. 刷新主播详情</x:v>
      </x:c>
      <x:c r="K502" s="4" t="str">
        <x:v>更新并留痕</x:v>
      </x:c>
      <x:c r="L502" s="4" t="str"/>
      <x:c r="M502" s="4" t="str">
        <x:v>未测</x:v>
      </x:c>
      <x:c r="N502" s="4" t="str"/>
      <x:c r="O502" s="4" t="str">
        <x:v>1. 来源（原型批注）：liveshow-proto/prototype/annotations/admin.js；admin-host-detail.html
2. 页面：admin-host-detail.html
3. 规则：BR-FB76A16F57A493
4. 场景：SC-D0FCAF4BE7F907
5. 未动态验证</x:v>
      </x:c>
    </x:row>
    <x:row r="503" ht="54" customHeight="1">
      <x:c r="A503" s="4" t="n">
        <x:v>502</x:v>
      </x:c>
      <x:c r="B503" s="4" t="str">
        <x:v>AHOST-0046</x:v>
      </x:c>
      <x:c r="C503" s="4" t="str">
        <x:v>主播管理</x:v>
      </x:c>
      <x:c r="D503" s="4" t="str">
        <x:v>主播详情（平台管理员视角）</x:v>
      </x:c>
      <x:c r="E503" s="4" t="str">
        <x:v>功能需求</x:v>
      </x:c>
      <x:c r="F503" s="4" t="str">
        <x:v>P2</x:v>
      </x:c>
      <x:c r="G503" s="4" t="str">
        <x:v>验证主播详情可查看公会管理权限</x:v>
      </x:c>
      <x:c r="H503" s="4" t="str">
        <x:v>公会管理权限展示</x:v>
      </x:c>
      <x:c r="I503" s="4" t="str">
        <x:v>1. 平台管理员账号已登录且具备当前页面权限</x:v>
      </x:c>
      <x:c r="J503" s="4" t="str">
        <x:v>1. 进入主播详情
2. 查看公会管理权限</x:v>
      </x:c>
      <x:c r="K503" s="4" t="str">
        <x:v>主播详情显示“公会管理权限”</x:v>
      </x:c>
      <x:c r="L503" s="4" t="str"/>
      <x:c r="M503" s="4" t="str">
        <x:v>未测</x:v>
      </x:c>
      <x:c r="N503" s="4" t="str"/>
      <x:c r="O503" s="4" t="str">
        <x:v>1. 来源（原型批注）：liveshow-proto/prototype/annotations/admin.js；admin-host-detail.html
2. 页面：admin-host-detail.html
3. 规则：BR-BE22EA770233B9、BR-D2B6A7EFE9F112
4. 场景：SC-A40F851CB40F06
5. 未动态验证</x:v>
      </x:c>
    </x:row>
    <x:row r="504" ht="54" customHeight="1">
      <x:c r="A504" s="4" t="n">
        <x:v>503</x:v>
      </x:c>
      <x:c r="B504" s="4" t="str">
        <x:v>AHOST-0047</x:v>
      </x:c>
      <x:c r="C504" s="4" t="str">
        <x:v>主播管理</x:v>
      </x:c>
      <x:c r="D504" s="4" t="str">
        <x:v>主播详情（平台管理员视角）</x:v>
      </x:c>
      <x:c r="E504" s="4" t="str">
        <x:v>功能需求</x:v>
      </x:c>
      <x:c r="F504" s="4" t="str">
        <x:v>P2</x:v>
      </x:c>
      <x:c r="G504" s="4" t="str">
        <x:v>验证主播详情可查看平台直播权限</x:v>
      </x:c>
      <x:c r="H504" s="4" t="str">
        <x:v>平台直播权限展示</x:v>
      </x:c>
      <x:c r="I504" s="4" t="str">
        <x:v>1. 平台管理员账号已登录且具备当前页面权限</x:v>
      </x:c>
      <x:c r="J504" s="4" t="str">
        <x:v>1. 进入主播详情
2. 查看平台直播权限</x:v>
      </x:c>
      <x:c r="K504" s="4" t="str">
        <x:v>主播详情显示“平台直播权限”</x:v>
      </x:c>
      <x:c r="L504" s="4" t="str"/>
      <x:c r="M504" s="4" t="str">
        <x:v>未测</x:v>
      </x:c>
      <x:c r="N504" s="4" t="str"/>
      <x:c r="O504" s="4" t="str">
        <x:v>1. 来源（原型批注）：liveshow-proto/prototype/annotations/admin.js；admin-host-detail.html
2. 页面：admin-host-detail.html
3. 规则：BR-CDF2AFFB800AB6、BR-20678E3AC98189
4. 场景：SC-99C61532BE3F14
5. 未动态验证</x:v>
      </x:c>
    </x:row>
    <x:row r="505" ht="54" customHeight="1">
      <x:c r="A505" s="4" t="n">
        <x:v>504</x:v>
      </x:c>
      <x:c r="B505" s="4" t="str">
        <x:v>AHOST-0048</x:v>
      </x:c>
      <x:c r="C505" s="4" t="str">
        <x:v>主播管理</x:v>
      </x:c>
      <x:c r="D505" s="4" t="str">
        <x:v>主播详情（平台管理员视角）</x:v>
      </x:c>
      <x:c r="E505" s="4" t="str">
        <x:v>功能需求</x:v>
      </x:c>
      <x:c r="F505" s="4" t="str">
        <x:v>P2</x:v>
      </x:c>
      <x:c r="G505" s="4" t="str">
        <x:v>验证主播详情可查看收益</x:v>
      </x:c>
      <x:c r="H505" s="4" t="str">
        <x:v>收益展示</x:v>
      </x:c>
      <x:c r="I505" s="4" t="str">
        <x:v>1. 平台管理员账号已登录且具备当前页面权限</x:v>
      </x:c>
      <x:c r="J505" s="4" t="str">
        <x:v>1. 进入主播详情
2. 查看收益</x:v>
      </x:c>
      <x:c r="K505" s="4" t="str">
        <x:v>主播详情显示“收益”</x:v>
      </x:c>
      <x:c r="L505" s="4" t="str"/>
      <x:c r="M505" s="4" t="str">
        <x:v>未测</x:v>
      </x:c>
      <x:c r="N505" s="4" t="str"/>
      <x:c r="O505" s="4" t="str">
        <x:v>1. 来源（原型批注）：liveshow-proto/prototype/annotations/admin.js；admin-host-detail.html
2. 页面：admin-host-detail.html
3. 规则：BR-2720A537041209、BR-1784122078F4D4
4. 场景：SC-2E6ADE6B89C274
5. 未动态验证</x:v>
      </x:c>
    </x:row>
    <x:row r="506" ht="54" customHeight="1">
      <x:c r="A506" s="4" t="n">
        <x:v>505</x:v>
      </x:c>
      <x:c r="B506" s="4" t="str">
        <x:v>AHOST-0049</x:v>
      </x:c>
      <x:c r="C506" s="4" t="str">
        <x:v>主播管理</x:v>
      </x:c>
      <x:c r="D506" s="4" t="str">
        <x:v>主播详情（平台管理员视角）</x:v>
      </x:c>
      <x:c r="E506" s="4" t="str">
        <x:v>功能需求</x:v>
      </x:c>
      <x:c r="F506" s="4" t="str">
        <x:v>P2</x:v>
      </x:c>
      <x:c r="G506" s="4" t="str">
        <x:v>验证主播详情可查看违规记录</x:v>
      </x:c>
      <x:c r="H506" s="4" t="str">
        <x:v>违规记录展示</x:v>
      </x:c>
      <x:c r="I506" s="4" t="str">
        <x:v>1. 平台管理员账号已登录且具备当前页面权限</x:v>
      </x:c>
      <x:c r="J506" s="4" t="str">
        <x:v>1. 进入主播详情
2. 查看违规记录</x:v>
      </x:c>
      <x:c r="K506" s="4" t="str">
        <x:v>主播详情显示“违规记录”</x:v>
      </x:c>
      <x:c r="L506" s="4" t="str"/>
      <x:c r="M506" s="4" t="str">
        <x:v>未测</x:v>
      </x:c>
      <x:c r="N506" s="4" t="str"/>
      <x:c r="O506" s="4" t="str">
        <x:v>1. 来源（原型批注）：liveshow-proto/prototype/annotations/admin.js；admin-host-detail.html
2. 页面：admin-host-detail.html
3. 规则：BR-BA64B62D6FA279
4. 场景：SC-7384174D842B36
5. 未动态验证</x:v>
      </x:c>
    </x:row>
    <x:row r="507" ht="54" customHeight="1">
      <x:c r="A507" s="4" t="n">
        <x:v>506</x:v>
      </x:c>
      <x:c r="B507" s="4" t="str">
        <x:v>AHOST-0050</x:v>
      </x:c>
      <x:c r="C507" s="4" t="str">
        <x:v>主播管理</x:v>
      </x:c>
      <x:c r="D507" s="4" t="str">
        <x:v>主播详情（平台管理员视角）</x:v>
      </x:c>
      <x:c r="E507" s="4" t="str">
        <x:v>功能需求</x:v>
      </x:c>
      <x:c r="F507" s="4" t="str">
        <x:v>P2</x:v>
      </x:c>
      <x:c r="G507" s="4" t="str">
        <x:v>验证主播详情可查看直播记录</x:v>
      </x:c>
      <x:c r="H507" s="4" t="str">
        <x:v>直播记录展示</x:v>
      </x:c>
      <x:c r="I507" s="4" t="str">
        <x:v>1. 平台管理员账号已登录且具备当前页面权限</x:v>
      </x:c>
      <x:c r="J507" s="4" t="str">
        <x:v>1. 进入主播详情
2. 查看直播记录</x:v>
      </x:c>
      <x:c r="K507" s="4" t="str">
        <x:v>主播详情显示“直播记录”</x:v>
      </x:c>
      <x:c r="L507" s="4" t="str"/>
      <x:c r="M507" s="4" t="str">
        <x:v>未测</x:v>
      </x:c>
      <x:c r="N507" s="4" t="str"/>
      <x:c r="O507" s="4" t="str">
        <x:v>1. 来源（原型批注）：liveshow-proto/prototype/annotations/admin.js；admin-host-detail.html
2. 页面：admin-host-detail.html
3. 规则：BR-4E96F31C8A24B6
4. 场景：SC-9F6CE7B03B4F42
5. 未动态验证</x:v>
      </x:c>
    </x:row>
    <x:row r="508" ht="132" customHeight="1">
      <x:c r="A508" s="15" t="n">
        <x:v>507</x:v>
      </x:c>
      <x:c r="B508" s="15" t="str">
        <x:v>IDN-A-0001</x:v>
      </x:c>
      <x:c r="C508" s="15" t="str">
        <x:v>账号与资料</x:v>
      </x:c>
      <x:c r="D508" s="15" t="str">
        <x:v>后台语言（平台管理员视角）</x:v>
      </x:c>
      <x:c r="E508" s="15" t="str">
        <x:v>功能需求</x:v>
      </x:c>
      <x:c r="F508" s="15" t="str">
        <x:v>P2</x:v>
      </x:c>
      <x:c r="G508" s="15" t="str">
        <x:v>验证后台语言（平台管理员视角）在“要求中文”场景下的处理</x:v>
      </x:c>
      <x:c r="H508" s="15" t="str">
        <x:v>要求中文观察项</x:v>
      </x:c>
      <x:c r="I508" s="15" t="str">
        <x:v>1. 平台管理员账号及关联业务数据已准备，账号可进入当前页面</x:v>
      </x:c>
      <x:c r="J508" s="15" t="str">
        <x:v>1. 使用平台管理员账号从当前端导航进入【后台语言（平台管理员视角）】
2. 依次选择或切换规格要求的语言并重新进入目标页，记录页面文案语言
3. 刷新【后台语言（平台管理员视角）】，查询“要求中文”对应的业务记录或界面反馈</x:v>
      </x:c>
      <x:c r="K508" s="15" t="str">
        <x:v>管理后台仅要求中文</x:v>
      </x:c>
      <x:c r="L508" s="15" t="str"/>
      <x:c r="M508" s="15" t="str">
        <x:v>未测</x:v>
      </x:c>
      <x:c r="N508" s="15" t="str"/>
      <x:c r="O508" s="15" t="str">
        <x:v>1. 需求：REQ-ACC-001
2. 业务规则来源：需求规格说明.md:11
3. 原始问答：Q007
4. 入口证据：liveshow-proto/prototype/pages/admin/dashboard/admin-dashboard.html
5. 规则：BR-F27FACE1FB9FC2
6. 基线场景：SCN-ACC-001-03-1
7. 补充前覆盖：未覆盖；最佳匹配 AOPS-0068；预期分数 0.2125
8. 未动态验证</x:v>
      </x:c>
    </x:row>
    <x:row r="509" ht="132" customHeight="1">
      <x:c r="A509" s="15" t="n">
        <x:v>508</x:v>
      </x:c>
      <x:c r="B509" s="15" t="str">
        <x:v>IDN-A-0002</x:v>
      </x:c>
      <x:c r="C509" s="15" t="str">
        <x:v>账号与资料</x:v>
      </x:c>
      <x:c r="D509" s="15" t="str">
        <x:v>用户资料管理（平台管理员视角）</x:v>
      </x:c>
      <x:c r="E509" s="15" t="str">
        <x:v>异常用例</x:v>
      </x:c>
      <x:c r="F509" s="15" t="str">
        <x:v>P2</x:v>
      </x:c>
      <x:c r="G509" s="15" t="str">
        <x:v>验证用户资料管理（平台管理员视角）在“违规头像或昵称的资料重置功能”场景下的处理</x:v>
      </x:c>
      <x:c r="H509" s="15" t="str">
        <x:v>违规头像或昵称的资料重置功能观察项</x:v>
      </x:c>
      <x:c r="I509" s="15" t="str">
        <x:v>1. 平台管理员账号及关联业务数据已准备，账号可进入当前页面</x:v>
      </x:c>
      <x:c r="J509" s="15" t="str">
        <x:v>1. 使用平台管理员账号从当前端导航进入【用户资料管理（平台管理员视角）】
2. 上传已标记违规的头像或输入违规昵称并提交；后台场景同时检查用户资料操作区
3. 刷新【用户资料管理（平台管理员视角）】，查询“违规头像或昵称的资料重置功能”对应的业务记录或界面反馈</x:v>
      </x:c>
      <x:c r="K509" s="15" t="str">
        <x:v>管理后台不提供违规头像或昵称的资料重置功能</x:v>
      </x:c>
      <x:c r="L509" s="15" t="str"/>
      <x:c r="M509" s="15" t="str">
        <x:v>未测</x:v>
      </x:c>
      <x:c r="N509" s="15" t="str"/>
      <x:c r="O509" s="15" t="str">
        <x:v>1. 需求：REQ-ACC-010
2. 业务规则来源：需求规格说明.md:20
3. 原始问答：Q107
4. 入口证据：liveshow-proto/prototype/pages/admin/user/admin-user-detail.html
5. 规则：BR-19A5E7AEB616CE
6. 基线场景：SCN-ACC-010-03-1
7. 补充前覆盖：未覆盖；最佳匹配 ACONT-0019；预期分数 0.125
8. 未动态验证</x:v>
      </x:c>
    </x:row>
    <x:row r="510" ht="132" customHeight="1">
      <x:c r="A510" s="15" t="n">
        <x:v>509</x:v>
      </x:c>
      <x:c r="B510" s="15" t="str">
        <x:v>IDN-A-0003</x:v>
      </x:c>
      <x:c r="C510" s="15" t="str">
        <x:v>账号与资料</x:v>
      </x:c>
      <x:c r="D510" s="15" t="str">
        <x:v>用户资料重置（平台管理员视角）</x:v>
      </x:c>
      <x:c r="E510" s="15" t="str">
        <x:v>功能需求</x:v>
      </x:c>
      <x:c r="F510" s="15" t="str">
        <x:v>P2</x:v>
      </x:c>
      <x:c r="G510" s="15" t="str">
        <x:v>验证用户资料重置（平台管理员视角）在“重置用户资料后向用户发送通知”场景下的处理</x:v>
      </x:c>
      <x:c r="H510" s="15" t="str">
        <x:v>重置用户资料后向用户发送通知观察项</x:v>
      </x:c>
      <x:c r="I510" s="15" t="str">
        <x:v>1. 平台管理员账号及关联业务数据已准备，账号可进入当前页面</x:v>
      </x:c>
      <x:c r="J510" s="15" t="str">
        <x:v>1. 使用平台管理员账号从当前端导航进入【用户资料重置（平台管理员视角）】
2. 平台管理员重置测试用户资料后，使用该用户账号刷新系统通知列表
3. 刷新【用户资料重置（平台管理员视角）】，查询“重置用户资料后向用户发送通知”对应的业务记录或界面反馈</x:v>
      </x:c>
      <x:c r="K510" s="15" t="str">
        <x:v>后台重置用户资料后向用户发送通知</x:v>
      </x:c>
      <x:c r="L510" s="15" t="str">
        <x:v>FLOW-ACC-011-A</x:v>
      </x:c>
      <x:c r="M510" s="15" t="str">
        <x:v>未测</x:v>
      </x:c>
      <x:c r="N510" s="15" t="str"/>
      <x:c r="O510" s="15" t="str">
        <x:v>1. 需求：REQ-ACC-011
2. 业务规则来源：需求规格说明.md:21
3. 原始问答：Q061
4. 入口证据：liveshow-proto/prototype/pages/admin/user/admin-user-detail.html
5. 规则：BR-ED4D214911B805
6. 基线场景：SCN-ACC-011-01-2
7. 补充前覆盖：未覆盖；最佳匹配 ACONT-0003；预期分数 0.1409
8. 未动态验证</x:v>
      </x:c>
    </x:row>
    <x:row r="511" ht="132" customHeight="1">
      <x:c r="A511" s="15" t="n">
        <x:v>510</x:v>
      </x:c>
      <x:c r="B511" s="15" t="str">
        <x:v>IDN-A-0004</x:v>
      </x:c>
      <x:c r="C511" s="15" t="str">
        <x:v>直播</x:v>
      </x:c>
      <x:c r="D511" s="15" t="str">
        <x:v>礼物特效文件（平台管理员视角）</x:v>
      </x:c>
      <x:c r="E511" s="15" t="str">
        <x:v>功能需求</x:v>
      </x:c>
      <x:c r="F511" s="15" t="str">
        <x:v>P2</x:v>
      </x:c>
      <x:c r="G511" s="15" t="str">
        <x:v>验证礼物特效文件（平台管理员视角）在“礼物详情页礼物特效文件”场景下的处理</x:v>
      </x:c>
      <x:c r="H511" s="15" t="str">
        <x:v>礼物详情页礼物特效文件观察项</x:v>
      </x:c>
      <x:c r="I511" s="15" t="str">
        <x:v>1. 平台管理员账号及关联业务数据已准备，账号可进入当前页面</x:v>
      </x:c>
      <x:c r="J511" s="15" t="str">
        <x:v>1. 使用平台管理员账号从当前端导航进入【礼物特效文件（平台管理员视角）】
2. 打开同一礼物的列表行和详情页，定位特效文件字段或预览区域
3. 刷新【礼物特效文件（平台管理员视角）】，查询“礼物详情页礼物特效文件”对应的业务记录或界面反馈</x:v>
      </x:c>
      <x:c r="K511" s="15" t="str">
        <x:v>礼物详情页展示礼物特效文件</x:v>
      </x:c>
      <x:c r="L511" s="15" t="str"/>
      <x:c r="M511" s="15" t="str">
        <x:v>未测</x:v>
      </x:c>
      <x:c r="N511" s="15" t="str"/>
      <x:c r="O511" s="15" t="str">
        <x:v>1. 需求：REQ-LIVE-003
2. 业务规则来源：需求规格说明.md:30
3. 原始问答：Q014
4. 入口证据：liveshow-proto/prototype/pages/admin/gifts/admin-gift-detail.html
5. 规则：BR-E4B9DAE16D5FF6
6. 基线场景：SCN-LIVE-003-01-1
7. 补充前覆盖：部分覆盖；最佳匹配 AGIFT-0040；预期分数 0.4
8. 未动态验证</x:v>
      </x:c>
    </x:row>
    <x:row r="512" ht="132" customHeight="1">
      <x:c r="A512" s="15" t="n">
        <x:v>511</x:v>
      </x:c>
      <x:c r="B512" s="15" t="str">
        <x:v>IDN-A-0005</x:v>
      </x:c>
      <x:c r="C512" s="15" t="str">
        <x:v>直播</x:v>
      </x:c>
      <x:c r="D512" s="15" t="str">
        <x:v>礼物特效文件（平台管理员视角）</x:v>
      </x:c>
      <x:c r="E512" s="15" t="str">
        <x:v>异常用例</x:v>
      </x:c>
      <x:c r="F512" s="15" t="str">
        <x:v>P2</x:v>
      </x:c>
      <x:c r="G512" s="15" t="str">
        <x:v>验证礼物特效文件（平台管理员视角）在“礼物列表页不礼物特效文件”场景下的处理</x:v>
      </x:c>
      <x:c r="H512" s="15" t="str">
        <x:v>礼物列表页不礼物特效文件观察项</x:v>
      </x:c>
      <x:c r="I512" s="15" t="str">
        <x:v>1. 平台管理员账号及关联业务数据已准备，账号可进入当前页面</x:v>
      </x:c>
      <x:c r="J512" s="15" t="str">
        <x:v>1. 使用平台管理员账号从当前端导航进入【礼物特效文件（平台管理员视角）】
2. 打开同一礼物的列表行和详情页，定位特效文件字段或预览区域
3. 刷新【礼物特效文件（平台管理员视角）】，查询“礼物列表页不礼物特效文件”对应的业务记录或界面反馈</x:v>
      </x:c>
      <x:c r="K512" s="15" t="str">
        <x:v>礼物列表页不展示礼物特效文件</x:v>
      </x:c>
      <x:c r="L512" s="15" t="str"/>
      <x:c r="M512" s="15" t="str">
        <x:v>未测</x:v>
      </x:c>
      <x:c r="N512" s="15" t="str"/>
      <x:c r="O512" s="15" t="str">
        <x:v>1. 需求：REQ-LIVE-003
2. 业务规则来源：需求规格说明.md:30
3. 原始问答：Q014
4. 入口证据：liveshow-proto/prototype/pages/admin/gifts/admin-gift-detail.html
5. 规则：BR-3E11EB5662445E
6. 基线场景：SCN-LIVE-003-02-1
7. 补充前覆盖：未覆盖；最佳匹配 AGIFT-0040；预期分数 0.19
8. 未动态验证</x:v>
      </x:c>
    </x:row>
    <x:row r="513" ht="132" customHeight="1">
      <x:c r="A513" s="15" t="n">
        <x:v>512</x:v>
      </x:c>
      <x:c r="B513" s="15" t="str">
        <x:v>IDN-A-0006</x:v>
      </x:c>
      <x:c r="C513" s="15" t="str">
        <x:v>直播</x:v>
      </x:c>
      <x:c r="D513" s="15" t="str">
        <x:v>直播统计（平台管理员视角）</x:v>
      </x:c>
      <x:c r="E513" s="15" t="str">
        <x:v>异常用例</x:v>
      </x:c>
      <x:c r="F513" s="15" t="str">
        <x:v>P1</x:v>
      </x:c>
      <x:c r="G513" s="15" t="str">
        <x:v>验证直播统计（平台管理员视角）在“直播访问量按进入次数统计且不按账号去重”场景下的处理</x:v>
      </x:c>
      <x:c r="H513" s="15" t="str">
        <x:v>直播访问量按进入次数统计且不按账号去重观察项</x:v>
      </x:c>
      <x:c r="I513" s="15" t="str">
        <x:v>1. 平台管理员账号及关联业务数据已准备，账号可进入当前页面</x:v>
      </x:c>
      <x:c r="J513" s="15" t="str">
        <x:v>1. 使用平台管理员账号从当前端导航进入【直播统计（平台管理员视角）】
2. 使用同一账号连续进入并退出同一直播间 5 次，再刷新各端访问统计
3. 刷新【直播统计（平台管理员视角）】，查询“直播访问量按进入次数统计且不按账号去重”对应的业务记录或界面反馈</x:v>
      </x:c>
      <x:c r="K513" s="15" t="str">
        <x:v>直播访问量按进入次数统计且不按账号去重</x:v>
      </x:c>
      <x:c r="L513" s="15" t="str"/>
      <x:c r="M513" s="15" t="str">
        <x:v>未测</x:v>
      </x:c>
      <x:c r="N513" s="15" t="str"/>
      <x:c r="O513" s="15" t="str">
        <x:v>1. 需求：REQ-LIVE-004
2. 业务规则来源：需求规格说明.md:31
3. 原始问答：Q015
4. 入口证据：liveshow-proto/prototype/pages/admin/analytics/admin-live-statistics.html
5. 规则：BR-FBCEF99513823B
6. 基线场景：SCN-LIVE-004-01-3
7. 补充前覆盖：未覆盖；最佳匹配 ADATA-0075；预期分数 0.15
8. 未动态验证</x:v>
      </x:c>
    </x:row>
    <x:row r="514" ht="132" customHeight="1">
      <x:c r="A514" s="15" t="n">
        <x:v>513</x:v>
      </x:c>
      <x:c r="B514" s="15" t="str">
        <x:v>IDN-A-0007</x:v>
      </x:c>
      <x:c r="C514" s="15" t="str">
        <x:v>直播</x:v>
      </x:c>
      <x:c r="D514" s="15" t="str">
        <x:v>直播统计（平台管理员视角）</x:v>
      </x:c>
      <x:c r="E514" s="15" t="str">
        <x:v>功能需求</x:v>
      </x:c>
      <x:c r="F514" s="15" t="str">
        <x:v>P1</x:v>
      </x:c>
      <x:c r="G514" s="15" t="str">
        <x:v>验证直播统计（平台管理员视角）在“同一账号进入 5 次时访问量增加 5”场景下的处理</x:v>
      </x:c>
      <x:c r="H514" s="15" t="str">
        <x:v>同一账号进入 5 次时访问量增加 5观察项</x:v>
      </x:c>
      <x:c r="I514" s="15" t="str">
        <x:v>1. 平台管理员账号及关联业务数据已准备，账号可进入当前页面
2. 记录首次进入前的访问量基线</x:v>
      </x:c>
      <x:c r="J514" s="15" t="str">
        <x:v>1. 使用平台管理员账号从当前端导航进入【直播统计（平台管理员视角）】
2. 使用同一账号连续进入并退出同一直播间 5 次，再刷新各端访问统计
3. 刷新【直播统计（平台管理员视角）】，查询“同一账号进入 5 次时访问量增加 5”对应的业务记录或界面反馈</x:v>
      </x:c>
      <x:c r="K514" s="15" t="str">
        <x:v>同一账号进入 5 次时访问量增加 5</x:v>
      </x:c>
      <x:c r="L514" s="15" t="str"/>
      <x:c r="M514" s="15" t="str">
        <x:v>未测</x:v>
      </x:c>
      <x:c r="N514" s="15" t="str"/>
      <x:c r="O514" s="15" t="str">
        <x:v>1. 需求：REQ-LIVE-004
2. 业务规则来源：需求规格说明.md:31
3. 原始问答：Q015
4. 入口证据：liveshow-proto/prototype/pages/admin/analytics/admin-live-statistics.html
5. 规则：BR-6FFE54D1D404D5
6. 基线场景：SCN-LIVE-004-02-3
7. 补充前覆盖：未覆盖；最佳匹配 ADATA-0075；预期分数 0.0321
8. 未动态验证</x:v>
      </x:c>
    </x:row>
    <x:row r="515" ht="132" customHeight="1">
      <x:c r="A515" s="15" t="n">
        <x:v>514</x:v>
      </x:c>
      <x:c r="B515" s="15" t="str">
        <x:v>IDN-A-0008</x:v>
      </x:c>
      <x:c r="C515" s="15" t="str">
        <x:v>直播</x:v>
      </x:c>
      <x:c r="D515" s="15" t="str">
        <x:v>直播管理（平台管理员视角）</x:v>
      </x:c>
      <x:c r="E515" s="15" t="str">
        <x:v>异常用例</x:v>
      </x:c>
      <x:c r="F515" s="15" t="str">
        <x:v>P1</x:v>
      </x:c>
      <x:c r="G515" s="15" t="str">
        <x:v>验证直播管理（平台管理员视角）在“强制关闭门票直播间后不退还观众已支付门票”场景下的处理</x:v>
      </x:c>
      <x:c r="H515" s="15" t="str">
        <x:v>强制关闭门票直播间后不退还观众已支付门票观察项</x:v>
      </x:c>
      <x:c r="I515" s="15" t="str">
        <x:v>1. 平台管理员账号及关联业务数据已准备，账号可进入当前页面</x:v>
      </x:c>
      <x:c r="J515" s="15" t="str">
        <x:v>1. 使用平台管理员账号从当前端导航进入【直播管理（平台管理员视角）】
2. 平台管理员强制关闭已有付费观众的门票房，再刷新观众订单与余额
3. 刷新【直播管理（平台管理员视角）】，查询“强制关闭门票直播间后不退还观众已支付门票”对应的业务记录或界面反馈</x:v>
      </x:c>
      <x:c r="K515" s="15" t="str">
        <x:v>后台强制关闭门票直播间后不自动退还观众已支付门票</x:v>
      </x:c>
      <x:c r="L515" s="15" t="str">
        <x:v>FLOW-LIVE-006-A</x:v>
      </x:c>
      <x:c r="M515" s="15" t="str">
        <x:v>未测</x:v>
      </x:c>
      <x:c r="N515" s="15" t="str"/>
      <x:c r="O515" s="15" t="str">
        <x:v>1. 需求：REQ-LIVE-006
2. 业务规则来源：需求规格说明.md:33
3. 原始问答：Q017
4. 入口证据：liveshow-proto/prototype/pages/admin/host/admin-live-management.html
5. 规则：BR-FF09CB40AB3435
6. 基线场景：SCN-LIVE-006-01-2
7. 补充前覆盖：未覆盖；最佳匹配 ADATA-0073；预期分数 0.1818
8. 未动态验证</x:v>
      </x:c>
    </x:row>
    <x:row r="516" ht="132" customHeight="1">
      <x:c r="A516" s="15" t="n">
        <x:v>515</x:v>
      </x:c>
      <x:c r="B516" s="15" t="str">
        <x:v>IDN-A-0009</x:v>
      </x:c>
      <x:c r="C516" s="15" t="str">
        <x:v>直播</x:v>
      </x:c>
      <x:c r="D516" s="15" t="str">
        <x:v>主播历史记录（平台管理员视角）</x:v>
      </x:c>
      <x:c r="E516" s="15" t="str">
        <x:v>功能需求</x:v>
      </x:c>
      <x:c r="F516" s="15" t="str">
        <x:v>P2</x:v>
      </x:c>
      <x:c r="G516" s="15" t="str">
        <x:v>验证主播历史记录（平台管理员视角）在“主播退出旧公会并加入新公会后后台保留全部历史记录”场景下的处理</x:v>
      </x:c>
      <x:c r="H516" s="15" t="str">
        <x:v>主播退出旧公会并加入新公会后后台保留全部历史记录观察项</x:v>
      </x:c>
      <x:c r="I516" s="15" t="str">
        <x:v>1. 平台管理员账号及关联业务数据已准备，账号可进入当前页面</x:v>
      </x:c>
      <x:c r="J516" s="15" t="str">
        <x:v>1. 使用平台管理员账号从当前端导航进入【主播历史记录（平台管理员视角）】
2. 让主播退出旧公会并加入新公会，在三个目标端分别查询变更前后直播历史
3. 刷新【主播历史记录（平台管理员视角）】，查询“主播退出旧公会并加入新公会后后台保留全部历史记录”对应的业务记录或界面反馈</x:v>
      </x:c>
      <x:c r="K516" s="15" t="str">
        <x:v>后台保留主播在旧公会期间及加入新公会后的全部历史记录</x:v>
      </x:c>
      <x:c r="L516" s="15" t="str">
        <x:v>FLOW-LIVE-007-A</x:v>
      </x:c>
      <x:c r="M516" s="15" t="str">
        <x:v>未测</x:v>
      </x:c>
      <x:c r="N516" s="15" t="str"/>
      <x:c r="O516" s="15" t="str">
        <x:v>1. 需求：REQ-LIVE-007
2. 业务规则来源：需求规格说明.md:34
3. 原始问答：Q018
4. 入口证据：liveshow-proto/prototype/pages/admin/host/admin-host-detail.html
5. 规则：BR-97DE609D5BB6D9
6. 基线场景：SCN-LIVE-007-01-1
7. 补充前覆盖：未覆盖；最佳匹配 AHOST-0009；预期分数 0.2023
8. 未动态验证</x:v>
      </x:c>
    </x:row>
    <x:row r="517" ht="132" customHeight="1">
      <x:c r="A517" s="15" t="n">
        <x:v>516</x:v>
      </x:c>
      <x:c r="B517" s="15" t="str">
        <x:v>IDN-A-0010</x:v>
      </x:c>
      <x:c r="C517" s="15" t="str">
        <x:v>直播</x:v>
      </x:c>
      <x:c r="D517" s="15" t="str">
        <x:v>运营位配置（平台管理员视角）</x:v>
      </x:c>
      <x:c r="E517" s="15" t="str">
        <x:v>功能需求</x:v>
      </x:c>
      <x:c r="F517" s="15" t="str">
        <x:v>P2</x:v>
      </x:c>
      <x:c r="G517" s="15" t="str">
        <x:v>验证运营位配置（平台管理员视角）在“同一条轮播规则配置多条轮播内容”场景下的处理</x:v>
      </x:c>
      <x:c r="H517" s="15" t="str">
        <x:v>同一条轮播规则配置多条轮播内容观察项</x:v>
      </x:c>
      <x:c r="I517" s="15" t="str">
        <x:v>1. 平台管理员账号及关联业务数据已准备，账号可进入当前页面</x:v>
      </x:c>
      <x:c r="J517" s="15" t="str">
        <x:v>1. 使用平台管理员账号从当前端导航进入【运营位配置（平台管理员视角）】
2. 后台为同一轮播规则配置多条素材并启用，用户端停留一个完整轮播周期
3. 刷新【运营位配置（平台管理员视角）】，查询“同一条轮播规则配置多条轮播内容”对应的业务记录或界面反馈</x:v>
      </x:c>
      <x:c r="K517" s="15" t="str">
        <x:v>同一条轮播规则可配置多条轮播内容</x:v>
      </x:c>
      <x:c r="L517" s="15" t="str">
        <x:v>FLOW-LIVE-012-A</x:v>
      </x:c>
      <x:c r="M517" s="15" t="str">
        <x:v>未测</x:v>
      </x:c>
      <x:c r="N517" s="15" t="str"/>
      <x:c r="O517" s="15" t="str">
        <x:v>1. 需求：REQ-LIVE-012
2. 业务规则来源：需求规格说明.md:39
3. 原始问答：Q041
4. 入口证据：liveshow-proto/prototype/pages/admin/operations/admin-placement-detail.html
5. 规则：BR-B0C2AE7239F47F
6. 基线场景：SCN-LIVE-012-02-1
7. 补充前覆盖：未覆盖；最佳匹配 AOPS-0081；预期分数 0.2731
8. 未动态验证</x:v>
      </x:c>
    </x:row>
    <x:row r="518" ht="132" customHeight="1">
      <x:c r="A518" s="15" t="n">
        <x:v>517</x:v>
      </x:c>
      <x:c r="B518" s="15" t="str">
        <x:v>IDN-A-0011</x:v>
      </x:c>
      <x:c r="C518" s="15" t="str">
        <x:v>直播</x:v>
      </x:c>
      <x:c r="D518" s="15" t="str">
        <x:v>推送管理（平台管理员视角）</x:v>
      </x:c>
      <x:c r="E518" s="15" t="str">
        <x:v>功能需求</x:v>
      </x:c>
      <x:c r="F518" s="15" t="str">
        <x:v>P2</x:v>
      </x:c>
      <x:c r="G518" s="15" t="str">
        <x:v>验证推送管理（平台管理员视角）在“推送对象选择全部时推送给所有用户”场景下的处理</x:v>
      </x:c>
      <x:c r="H518" s="15" t="str">
        <x:v>推送对象选择全部时推送给所有用户观察项</x:v>
      </x:c>
      <x:c r="I518" s="15" t="str">
        <x:v>1. 平台管理员账号及关联业务数据已准备，账号可进入当前页面</x:v>
      </x:c>
      <x:c r="J518" s="15" t="str">
        <x:v>1. 使用平台管理员账号从当前端导航进入【推送管理（平台管理员视角）】
2. 分别创建推送对象为全部和指定公会的消息，使用公会内外账号检查接收结果
3. 刷新【推送管理（平台管理员视角）】，查询“推送对象选择全部时推送给所有用户”对应的业务记录或界面反馈</x:v>
      </x:c>
      <x:c r="K518" s="15" t="str">
        <x:v>推送对象选择全部时推送给所有用户</x:v>
      </x:c>
      <x:c r="L518" s="15" t="str">
        <x:v>FLOW-LIVE-013-A</x:v>
      </x:c>
      <x:c r="M518" s="15" t="str">
        <x:v>未测</x:v>
      </x:c>
      <x:c r="N518" s="15" t="str"/>
      <x:c r="O518" s="15" t="str">
        <x:v>1. 需求：REQ-LIVE-013
2. 业务规则来源：需求规格说明.md:40
3. 原始问答：Q046
4. 入口证据：liveshow-proto/prototype/pages/admin/operations/admin-push-management.html
5. 规则：BR-93467CCDB50546
6. 基线场景：SCN-LIVE-013-01-2
7. 补充前覆盖：未覆盖；最佳匹配 AGUILD-0005；预期分数 0.1375
8. 未动态验证</x:v>
      </x:c>
    </x:row>
    <x:row r="519" ht="132" customHeight="1">
      <x:c r="A519" s="15" t="n">
        <x:v>518</x:v>
      </x:c>
      <x:c r="B519" s="15" t="str">
        <x:v>IDN-A-0012</x:v>
      </x:c>
      <x:c r="C519" s="15" t="str">
        <x:v>直播</x:v>
      </x:c>
      <x:c r="D519" s="15" t="str">
        <x:v>推送管理（平台管理员视角）</x:v>
      </x:c>
      <x:c r="E519" s="15" t="str">
        <x:v>功能需求</x:v>
      </x:c>
      <x:c r="F519" s="15" t="str">
        <x:v>P2</x:v>
      </x:c>
      <x:c r="G519" s="15" t="str">
        <x:v>验证推送管理（平台管理员视角）在“推送对象选择指定公会时只推送给该公会成员”场景下的处理</x:v>
      </x:c>
      <x:c r="H519" s="15" t="str">
        <x:v>推送对象选择指定公会时只推送给该公会成员观察项</x:v>
      </x:c>
      <x:c r="I519" s="15" t="str">
        <x:v>1. 平台管理员账号及关联业务数据已准备，账号可进入当前页面</x:v>
      </x:c>
      <x:c r="J519" s="15" t="str">
        <x:v>1. 使用平台管理员账号从当前端导航进入【推送管理（平台管理员视角）】
2. 分别创建推送对象为全部和指定公会的消息，使用公会内外账号检查接收结果
3. 刷新【推送管理（平台管理员视角）】，查询“推送对象选择指定公会时只推送给该公会成员”对应的业务记录或界面反馈</x:v>
      </x:c>
      <x:c r="K519" s="15" t="str">
        <x:v>推送对象选择指定公会时只推送给该公会成员</x:v>
      </x:c>
      <x:c r="L519" s="15" t="str">
        <x:v>FLOW-LIVE-013-A</x:v>
      </x:c>
      <x:c r="M519" s="15" t="str">
        <x:v>未测</x:v>
      </x:c>
      <x:c r="N519" s="15" t="str"/>
      <x:c r="O519" s="15" t="str">
        <x:v>1. 需求：REQ-LIVE-013
2. 业务规则来源：需求规格说明.md:40
3. 原始问答：Q046
4. 入口证据：liveshow-proto/prototype/pages/admin/operations/admin-push-management.html
5. 规则：BR-B07A99CF981DBC
6. 基线场景：SCN-LIVE-013-02-2
7. 补充前覆盖：未覆盖；最佳匹配 AGUILD-0005；预期分数 0.1779
8. 未动态验证</x:v>
      </x:c>
    </x:row>
    <x:row r="520" ht="132" customHeight="1">
      <x:c r="A520" s="15" t="n">
        <x:v>519</x:v>
      </x:c>
      <x:c r="B520" s="15" t="str">
        <x:v>IDN-A-0013</x:v>
      </x:c>
      <x:c r="C520" s="15" t="str">
        <x:v>直播</x:v>
      </x:c>
      <x:c r="D520" s="15" t="str">
        <x:v>礼物适用范围（平台管理员视角）</x:v>
      </x:c>
      <x:c r="E520" s="15" t="str">
        <x:v>功能需求</x:v>
      </x:c>
      <x:c r="F520" s="15" t="str">
        <x:v>P2</x:v>
      </x:c>
      <x:c r="G520" s="15" t="str">
        <x:v>验证礼物适用范围（平台管理员视角）在“礼物适用范围选择器已上架礼物”场景下的处理</x:v>
      </x:c>
      <x:c r="H520" s="15" t="str">
        <x:v>礼物适用范围选择器已上架礼物观察项</x:v>
      </x:c>
      <x:c r="I520" s="15" t="str">
        <x:v>1. 平台管理员账号及关联业务数据已准备，账号可进入当前页面</x:v>
      </x:c>
      <x:c r="J520" s="15" t="str">
        <x:v>1. 使用平台管理员账号从当前端导航进入【礼物适用范围（平台管理员视角）】
2. 打开礼物适用范围选择器，分别搜索一件已上架礼物和一件未上架礼物
3. 刷新【礼物适用范围（平台管理员视角）】，查询“礼物适用范围选择器已上架礼物”对应的业务记录或界面反馈</x:v>
      </x:c>
      <x:c r="K520" s="15" t="str">
        <x:v>礼物适用范围选择器展示已上架礼物</x:v>
      </x:c>
      <x:c r="L520" s="15" t="str"/>
      <x:c r="M520" s="15" t="str">
        <x:v>未测</x:v>
      </x:c>
      <x:c r="N520" s="15" t="str"/>
      <x:c r="O520" s="15" t="str">
        <x:v>1. 需求：REQ-LIVE-014
2. 业务规则来源：需求规格说明.md:41
3. 原始问答：Q074
4. 入口证据：liveshow-proto/prototype/pages/admin/gifts/admin-gift-detail.html
5. 规则：BR-D1F7DF9E7F9C15
6. 基线场景：SCN-LIVE-014-01-1
7. 补充前覆盖：未覆盖；最佳匹配 AOPS-0079；预期分数 0.2125
8. 未动态验证</x:v>
      </x:c>
    </x:row>
    <x:row r="521" ht="132" customHeight="1">
      <x:c r="A521" s="15" t="n">
        <x:v>520</x:v>
      </x:c>
      <x:c r="B521" s="15" t="str">
        <x:v>IDN-A-0014</x:v>
      </x:c>
      <x:c r="C521" s="15" t="str">
        <x:v>直播</x:v>
      </x:c>
      <x:c r="D521" s="15" t="str">
        <x:v>礼物适用范围（平台管理员视角）</x:v>
      </x:c>
      <x:c r="E521" s="15" t="str">
        <x:v>功能需求</x:v>
      </x:c>
      <x:c r="F521" s="15" t="str">
        <x:v>P2</x:v>
      </x:c>
      <x:c r="G521" s="15" t="str">
        <x:v>验证礼物适用范围（平台管理员视角）在“礼物适用范围选择器未上架礼物”场景下的处理</x:v>
      </x:c>
      <x:c r="H521" s="15" t="str">
        <x:v>礼物适用范围选择器未上架礼物观察项</x:v>
      </x:c>
      <x:c r="I521" s="15" t="str">
        <x:v>1. 平台管理员账号及关联业务数据已准备，账号可进入当前页面</x:v>
      </x:c>
      <x:c r="J521" s="15" t="str">
        <x:v>1. 使用平台管理员账号从当前端导航进入【礼物适用范围（平台管理员视角）】
2. 打开礼物适用范围选择器，分别搜索一件已上架礼物和一件未上架礼物
3. 刷新【礼物适用范围（平台管理员视角）】，查询“礼物适用范围选择器未上架礼物”对应的业务记录或界面反馈</x:v>
      </x:c>
      <x:c r="K521" s="15" t="str">
        <x:v>礼物适用范围选择器展示未上架礼物</x:v>
      </x:c>
      <x:c r="L521" s="15" t="str"/>
      <x:c r="M521" s="15" t="str">
        <x:v>未测</x:v>
      </x:c>
      <x:c r="N521" s="15" t="str"/>
      <x:c r="O521" s="15" t="str">
        <x:v>1. 需求：REQ-LIVE-014
2. 业务规则来源：需求规格说明.md:41
3. 原始问答：Q074
4. 入口证据：liveshow-proto/prototype/pages/admin/gifts/admin-gift-detail.html
5. 规则：BR-8457C265C9C402
6. 基线场景：SCN-LIVE-014-02-1
7. 补充前覆盖：未覆盖；最佳匹配 AOPS-0079；预期分数 0.2125
8. 未动态验证</x:v>
      </x:c>
    </x:row>
    <x:row r="522" ht="132" customHeight="1">
      <x:c r="A522" s="15" t="n">
        <x:v>521</x:v>
      </x:c>
      <x:c r="B522" s="15" t="str">
        <x:v>IDN-A-0015</x:v>
      </x:c>
      <x:c r="C522" s="15" t="str">
        <x:v>直播</x:v>
      </x:c>
      <x:c r="D522" s="15" t="str">
        <x:v>主播列表（平台管理员视角）</x:v>
      </x:c>
      <x:c r="E522" s="15" t="str">
        <x:v>功能需求</x:v>
      </x:c>
      <x:c r="F522" s="15" t="str">
        <x:v>P1</x:v>
      </x:c>
      <x:c r="G522" s="15" t="str">
        <x:v>验证主播列表（平台管理员视角）在“主播列表状态字段表示主播开播权限是否正常”场景下的处理</x:v>
      </x:c>
      <x:c r="H522" s="15" t="str">
        <x:v>主播列表状态字段表示主播开播权限是否正常观察项</x:v>
      </x:c>
      <x:c r="I522" s="15" t="str">
        <x:v>1. 平台管理员账号及关联业务数据已准备，账号可进入当前页面</x:v>
      </x:c>
      <x:c r="J522" s="15" t="str">
        <x:v>1. 使用平台管理员账号从当前端导航进入【主播列表（平台管理员视角）】
2. 准备开播权限正常和受限的主播，在主播列表对比状态字段并打开详情核对
3. 刷新【主播列表（平台管理员视角）】，查询“主播列表状态字段表示主播开播权限是否正常”对应的业务记录或界面反馈</x:v>
      </x:c>
      <x:c r="K522" s="15" t="str">
        <x:v>主播列表状态字段表示主播开播权限是否正常</x:v>
      </x:c>
      <x:c r="L522" s="15" t="str"/>
      <x:c r="M522" s="15" t="str">
        <x:v>未测</x:v>
      </x:c>
      <x:c r="N522" s="15" t="str"/>
      <x:c r="O522" s="15" t="str">
        <x:v>1. 需求：REQ-LIVE-021
2. 业务规则来源：需求规格说明.md:48
3. 原始问答：Q123
4. 入口证据：liveshow-proto/prototype/pages/admin/host/admin-host-list.html
5. 规则：BR-27BDCA81ADFEF2
6. 基线场景：SCN-LIVE-021-01-1
7. 补充前覆盖：部分覆盖；最佳匹配 AHOST-0034；预期分数 0.35
8. 未动态验证</x:v>
      </x:c>
    </x:row>
    <x:row r="523" ht="132" customHeight="1">
      <x:c r="A523" s="15" t="n">
        <x:v>522</x:v>
      </x:c>
      <x:c r="B523" s="15" t="str">
        <x:v>IDN-A-0016</x:v>
      </x:c>
      <x:c r="C523" s="15" t="str">
        <x:v>金币、礼物与订单</x:v>
      </x:c>
      <x:c r="D523" s="15" t="str">
        <x:v>金币配置（平台管理员视角）</x:v>
      </x:c>
      <x:c r="E523" s="15" t="str">
        <x:v>功能需求</x:v>
      </x:c>
      <x:c r="F523" s="15" t="str">
        <x:v>P1</x:v>
      </x:c>
      <x:c r="G523" s="15" t="str">
        <x:v>验证金币配置（平台管理员视角）在“金币以整数形式存储”场景下的处理</x:v>
      </x:c>
      <x:c r="H523" s="15" t="str">
        <x:v>金币以整数形式存储观察项</x:v>
      </x:c>
      <x:c r="I523" s="15" t="str">
        <x:v>1. 平台管理员账号及关联业务数据已准备，账号可进入当前页面</x:v>
      </x:c>
      <x:c r="J523" s="15" t="str">
        <x:v>1. 使用平台管理员账号从当前端导航进入【金币配置（平台管理员视角）】
2. 在可输入金币数量的业务入口分别提交整数 1 和小数 1.5，并核对余额或保存结果
3. 刷新【金币配置（平台管理员视角）】，查询“金币以整数形式存储”对应的业务记录或界面反馈</x:v>
      </x:c>
      <x:c r="K523" s="15" t="str">
        <x:v>金币以整数形式存储</x:v>
      </x:c>
      <x:c r="L523" s="15" t="str"/>
      <x:c r="M523" s="15" t="str">
        <x:v>未测</x:v>
      </x:c>
      <x:c r="N523" s="15" t="str"/>
      <x:c r="O523" s="15" t="str">
        <x:v>1. 需求：REQ-FIN-001
2. 业务规则来源：需求规格说明.md:79
3. 原始问答：Q024
4. 入口证据：liveshow-proto/prototype/pages/admin/operations/admin-recharge-package-detail.html
5. 规则：BR-6A58082DDA3BAB
6. 基线场景：SCN-FIN-001-01-2
7. 补充前覆盖：未覆盖；最佳匹配 AFIN-0003；预期分数 0.1563
8. 未动态验证</x:v>
      </x:c>
    </x:row>
    <x:row r="524" ht="132" customHeight="1">
      <x:c r="A524" s="15" t="n">
        <x:v>523</x:v>
      </x:c>
      <x:c r="B524" s="15" t="str">
        <x:v>IDN-A-0017</x:v>
      </x:c>
      <x:c r="C524" s="15" t="str">
        <x:v>金币、礼物与订单</x:v>
      </x:c>
      <x:c r="D524" s="15" t="str">
        <x:v>金币配置（平台管理员视角）</x:v>
      </x:c>
      <x:c r="E524" s="15" t="str">
        <x:v>异常用例</x:v>
      </x:c>
      <x:c r="F524" s="15" t="str">
        <x:v>P1</x:v>
      </x:c>
      <x:c r="G524" s="15" t="str">
        <x:v>验证金币配置（平台管理员视角）在“小数金币”场景下的处理</x:v>
      </x:c>
      <x:c r="H524" s="15" t="str">
        <x:v>小数金币观察项</x:v>
      </x:c>
      <x:c r="I524" s="15" t="str">
        <x:v>1. 平台管理员账号及关联业务数据已准备，账号可进入当前页面</x:v>
      </x:c>
      <x:c r="J524" s="15" t="str">
        <x:v>1. 使用平台管理员账号从当前端导航进入【金币配置（平台管理员视角）】
2. 在可输入金币数量的业务入口分别提交整数 1 和小数 1.5，并核对余额或保存结果
3. 刷新【金币配置（平台管理员视角）】，查询“小数金币”对应的业务记录或界面反馈</x:v>
      </x:c>
      <x:c r="K524" s="15" t="str">
        <x:v>系统不接受小数金币</x:v>
      </x:c>
      <x:c r="L524" s="15" t="str"/>
      <x:c r="M524" s="15" t="str">
        <x:v>未测</x:v>
      </x:c>
      <x:c r="N524" s="15" t="str"/>
      <x:c r="O524" s="15" t="str">
        <x:v>1. 需求：REQ-FIN-001
2. 业务规则来源：需求规格说明.md:79
3. 原始问答：Q024
4. 入口证据：liveshow-proto/prototype/pages/admin/operations/admin-recharge-package-detail.html
5. 规则：BR-24D2327CD0998C
6. 基线场景：SCN-FIN-001-02-2
7. 补充前覆盖：未覆盖；最佳匹配 AFIN-0003；预期分数 0.175
8. 未动态验证</x:v>
      </x:c>
    </x:row>
    <x:row r="525" ht="132" customHeight="1">
      <x:c r="A525" s="15" t="n">
        <x:v>524</x:v>
      </x:c>
      <x:c r="B525" s="15" t="str">
        <x:v>IDN-A-0018</x:v>
      </x:c>
      <x:c r="C525" s="15" t="str">
        <x:v>金币、礼物与订单</x:v>
      </x:c>
      <x:c r="D525" s="15" t="str">
        <x:v>幸运礼物概率（平台管理员视角）</x:v>
      </x:c>
      <x:c r="E525" s="15" t="str">
        <x:v>功能需求</x:v>
      </x:c>
      <x:c r="F525" s="15" t="str">
        <x:v>P2</x:v>
      </x:c>
      <x:c r="G525" s="15" t="str">
        <x:v>验证幸运礼物概率（平台管理员视角）在“幸运礼物概率配置保留 1 位小数”场景下的处理</x:v>
      </x:c>
      <x:c r="H525" s="15" t="str">
        <x:v>幸运礼物概率配置保留 1 位小数观察项</x:v>
      </x:c>
      <x:c r="I525" s="15" t="str">
        <x:v>1. 平台管理员账号及关联业务数据已准备，账号可进入当前页面</x:v>
      </x:c>
      <x:c r="J525" s="15" t="str">
        <x:v>1. 使用平台管理员账号从当前端导航进入【幸运礼物概率（平台管理员视角）】
2. 在幸运礼物概率配置中输入多位小数并保存，重新打开详情读取保存值
3. 刷新【幸运礼物概率（平台管理员视角）】，查询“幸运礼物概率配置保留 1 位小数”对应的业务记录或界面反馈</x:v>
      </x:c>
      <x:c r="K525" s="15" t="str">
        <x:v>幸运礼物概率配置保留 1 位小数</x:v>
      </x:c>
      <x:c r="L525" s="15" t="str"/>
      <x:c r="M525" s="15" t="str">
        <x:v>未测</x:v>
      </x:c>
      <x:c r="N525" s="15" t="str"/>
      <x:c r="O525" s="15" t="str">
        <x:v>1. 需求：REQ-FIN-002
2. 业务规则来源：需求规格说明.md:80
3. 原始问答：Q027
4. 入口证据：liveshow-proto/prototype/pages/admin/gifts/admin-lucky-gift-config.html
5. 规则：BR-1FB2AC3B428501
6. 基线场景：SCN-FIN-002-01-1
7. 补充前覆盖：未覆盖；最佳匹配 AGIFT-0069；预期分数 0.2135
8. 未动态验证</x:v>
      </x:c>
    </x:row>
    <x:row r="526" ht="132" customHeight="1">
      <x:c r="A526" s="15" t="n">
        <x:v>525</x:v>
      </x:c>
      <x:c r="B526" s="15" t="str">
        <x:v>IDN-A-0019</x:v>
      </x:c>
      <x:c r="C526" s="15" t="str">
        <x:v>金币、礼物与订单</x:v>
      </x:c>
      <x:c r="D526" s="15" t="str">
        <x:v>幸运礼物 RTP（平台管理员视角）</x:v>
      </x:c>
      <x:c r="E526" s="15" t="str">
        <x:v>异常用例</x:v>
      </x:c>
      <x:c r="F526" s="15" t="str">
        <x:v>P2</x:v>
      </x:c>
      <x:c r="G526" s="15" t="str">
        <x:v>验证幸运礼物 RTP（平台管理员视角）在“幸运礼物 RTP 计算结果除不尽时向上取整”场景下的处理</x:v>
      </x:c>
      <x:c r="H526" s="15" t="str">
        <x:v>幸运礼物 RTP 计算结果除不尽时向上取整观察项</x:v>
      </x:c>
      <x:c r="I526" s="15" t="str">
        <x:v>1. 平台管理员账号及关联业务数据已准备，账号可进入当前页面
2. 单次消耗 7 金币、开奖 1 次；两个奖励档位各 1 金币，中奖概率分别为 86.2% 和 13.8%，按页面公式得到未舍入 RTP 14.2857%</x:v>
      </x:c>
      <x:c r="J526" s="15" t="str">
        <x:v>1. 使用平台管理员账号从当前端导航进入【幸运礼物 RTP（平台管理员视角）】
2. 点击编辑，输入单次消耗 7 金币、开奖 1 次以及两档奖励和概率，点击保存并刷新详情
3. 刷新【幸运礼物 RTP（平台管理员视角）】，查询“幸运礼物 RTP 计算结果除不尽时向上取整”对应的业务记录或界面反馈</x:v>
      </x:c>
      <x:c r="K526" s="15" t="str">
        <x:v>按当前页面公式得到 14.2857% 时，RTP 计算结果为 14.3%</x:v>
      </x:c>
      <x:c r="L526" s="15" t="str"/>
      <x:c r="M526" s="15" t="str">
        <x:v>未测</x:v>
      </x:c>
      <x:c r="N526" s="15" t="str"/>
      <x:c r="O526" s="15" t="str">
        <x:v>1. 需求：REQ-FIN-003
2. 业务规则来源：需求规格说明.md:81
3. 原始问答：Q028
4. 入口证据：liveshow-proto/prototype/pages/admin/gifts/admin-lucky-gift-detail.html
5. 规则：BR-35903EFADA1E24
6. 基线场景：SCN-FIN-003-01-1
7. 补充前覆盖：部分覆盖；最佳匹配 AGIFT-0060；预期分数 0.35
8. 未动态验证</x:v>
      </x:c>
    </x:row>
    <x:row r="527" ht="132" customHeight="1">
      <x:c r="A527" s="15" t="n">
        <x:v>526</x:v>
      </x:c>
      <x:c r="B527" s="15" t="str">
        <x:v>IDN-A-0020</x:v>
      </x:c>
      <x:c r="C527" s="15" t="str">
        <x:v>金币、礼物与订单</x:v>
      </x:c>
      <x:c r="D527" s="15" t="str">
        <x:v>幸运礼物 RTP（平台管理员视角）</x:v>
      </x:c>
      <x:c r="E527" s="15" t="str">
        <x:v>功能需求</x:v>
      </x:c>
      <x:c r="F527" s="15" t="str">
        <x:v>P2</x:v>
      </x:c>
      <x:c r="G527" s="15" t="str">
        <x:v>验证幸运礼物 RTP（平台管理员视角）在“幸运礼物 RTP 结果保留 1 位小数”场景下的处理</x:v>
      </x:c>
      <x:c r="H527" s="15" t="str">
        <x:v>幸运礼物 RTP 结果保留 1 位小数观察项</x:v>
      </x:c>
      <x:c r="I527" s="15" t="str">
        <x:v>1. 平台管理员账号及关联业务数据已准备，账号可进入当前页面
2. 单次消耗 7 金币、开奖 1 次；两个奖励档位各 1 金币，中奖概率分别为 86.2% 和 13.8%，按页面公式得到未舍入 RTP 14.2857%</x:v>
      </x:c>
      <x:c r="J527" s="15" t="str">
        <x:v>1. 使用平台管理员账号从当前端导航进入【幸运礼物 RTP（平台管理员视角）】
2. 点击编辑，输入单次消耗 7 金币、开奖 1 次以及两档奖励和概率，点击保存并刷新详情
3. 刷新【幸运礼物 RTP（平台管理员视角）】，查询“幸运礼物 RTP 结果保留 1 位小数”对应的业务记录或界面反馈</x:v>
      </x:c>
      <x:c r="K527" s="15" t="str">
        <x:v>RTP 以 1 位小数格式显示为 14.3%</x:v>
      </x:c>
      <x:c r="L527" s="15" t="str"/>
      <x:c r="M527" s="15" t="str">
        <x:v>未测</x:v>
      </x:c>
      <x:c r="N527" s="15" t="str"/>
      <x:c r="O527" s="15" t="str">
        <x:v>1. 需求：REQ-FIN-003
2. 业务规则来源：需求规格说明.md:81
3. 原始问答：Q028
4. 入口证据：liveshow-proto/prototype/pages/admin/gifts/admin-lucky-gift-detail.html
5. 规则：BR-B153406A5E81AB
6. 基线场景：SCN-FIN-003-02-1
7. 补充前覆盖：部分覆盖；最佳匹配 AGIFT-0060；预期分数 0.4
8. 未动态验证</x:v>
      </x:c>
    </x:row>
    <x:row r="528" ht="132" customHeight="1">
      <x:c r="A528" s="15" t="n">
        <x:v>527</x:v>
      </x:c>
      <x:c r="B528" s="15" t="str">
        <x:v>IDN-A-0021</x:v>
      </x:c>
      <x:c r="C528" s="15" t="str">
        <x:v>金币、礼物与订单</x:v>
      </x:c>
      <x:c r="D528" s="15" t="str">
        <x:v>道具配置（平台管理员视角）</x:v>
      </x:c>
      <x:c r="E528" s="15" t="str">
        <x:v>异常用例</x:v>
      </x:c>
      <x:c r="F528" s="15" t="str">
        <x:v>P2</x:v>
      </x:c>
      <x:c r="G528" s="15" t="str">
        <x:v>验证道具配置（平台管理员视角）在“道具上架后不会发放给所有用户”场景下的处理</x:v>
      </x:c>
      <x:c r="H528" s="15" t="str">
        <x:v>道具上架后不会发放给所有用户观察项</x:v>
      </x:c>
      <x:c r="I528" s="15" t="str">
        <x:v>1. 平台管理员账号及关联业务数据已准备，账号可进入当前页面</x:v>
      </x:c>
      <x:c r="J528" s="15" t="str">
        <x:v>1. 使用平台管理员账号从当前端导航进入【道具配置（平台管理员视角）】
2. 后台上架测试道具后使用未获取该道具的用户登录，并检查任务、购买和等级入口
3. 刷新【道具配置（平台管理员视角）】，查询“道具上架后不会发放给所有用户”对应的业务记录或界面反馈</x:v>
      </x:c>
      <x:c r="K528" s="15" t="str">
        <x:v>道具上架后不会自动发放给所有用户</x:v>
      </x:c>
      <x:c r="L528" s="15" t="str"/>
      <x:c r="M528" s="15" t="str">
        <x:v>未测</x:v>
      </x:c>
      <x:c r="N528" s="15" t="str"/>
      <x:c r="O528" s="15" t="str">
        <x:v>1. 需求：REQ-FIN-004
2. 业务规则来源：需求规格说明.md:82
3. 原始问答：Q030
4. 入口证据：liveshow-proto/prototype/pages/admin/gifts/admin-prop-detail.html
5. 规则：BR-606C95B8647F94
6. 基线场景：SCN-FIN-004-01-2
7. 补充前覆盖：未覆盖；最佳匹配 AGIFT-0001；预期分数 0.1346
8. 未动态验证</x:v>
      </x:c>
    </x:row>
    <x:row r="529" ht="132" customHeight="1">
      <x:c r="A529" s="15" t="n">
        <x:v>528</x:v>
      </x:c>
      <x:c r="B529" s="15" t="str">
        <x:v>IDN-A-0022</x:v>
      </x:c>
      <x:c r="C529" s="15" t="str">
        <x:v>金币、礼物与订单</x:v>
      </x:c>
      <x:c r="D529" s="15" t="str">
        <x:v>道具配置（平台管理员视角）</x:v>
      </x:c>
      <x:c r="E529" s="15" t="str">
        <x:v>异常用例</x:v>
      </x:c>
      <x:c r="F529" s="15" t="str">
        <x:v>P2</x:v>
      </x:c>
      <x:c r="G529" s="15" t="str">
        <x:v>验证道具配置（平台管理员视角）在“本期不实现任务获得道具逻辑”场景下的处理</x:v>
      </x:c>
      <x:c r="H529" s="15" t="str">
        <x:v>本期不实现任务获得道具逻辑观察项</x:v>
      </x:c>
      <x:c r="I529" s="15" t="str">
        <x:v>1. 平台管理员账号及关联业务数据已准备，账号可进入当前页面</x:v>
      </x:c>
      <x:c r="J529" s="15" t="str">
        <x:v>1. 使用平台管理员账号从当前端导航进入【道具配置（平台管理员视角）】
2. 后台上架测试道具后使用未获取该道具的用户登录，并检查任务、购买和等级入口
3. 刷新【道具配置（平台管理员视角）】，查询“本期不实现任务获得道具逻辑”对应的业务记录或界面反馈</x:v>
      </x:c>
      <x:c r="K529" s="15" t="str">
        <x:v>本期不实现任务获得道具逻辑</x:v>
      </x:c>
      <x:c r="L529" s="15" t="str"/>
      <x:c r="M529" s="15" t="str">
        <x:v>未测</x:v>
      </x:c>
      <x:c r="N529" s="15" t="str"/>
      <x:c r="O529" s="15" t="str">
        <x:v>1. 需求：REQ-FIN-004
2. 业务规则来源：需求规格说明.md:82
3. 原始问答：Q030
4. 入口证据：liveshow-proto/prototype/pages/admin/gifts/admin-prop-detail.html
5. 规则：BR-2B6C914A6AC4AB
6. 基线场景：SCN-FIN-004-03-2
7. 补充前覆盖：未覆盖；最佳匹配 AGIFT-0002；预期分数 0.1375
8. 未动态验证</x:v>
      </x:c>
    </x:row>
    <x:row r="530" ht="132" customHeight="1">
      <x:c r="A530" s="15" t="n">
        <x:v>529</x:v>
      </x:c>
      <x:c r="B530" s="15" t="str">
        <x:v>IDN-A-0023</x:v>
      </x:c>
      <x:c r="C530" s="15" t="str">
        <x:v>金币、礼物与订单</x:v>
      </x:c>
      <x:c r="D530" s="15" t="str">
        <x:v>道具配置（平台管理员视角）</x:v>
      </x:c>
      <x:c r="E530" s="15" t="str">
        <x:v>异常用例</x:v>
      </x:c>
      <x:c r="F530" s="15" t="str">
        <x:v>P1</x:v>
      </x:c>
      <x:c r="G530" s="15" t="str">
        <x:v>验证道具配置（平台管理员视角）在“本期不实现金币购买道具逻辑”场景下的处理</x:v>
      </x:c>
      <x:c r="H530" s="15" t="str">
        <x:v>本期不实现金币购买道具逻辑观察项</x:v>
      </x:c>
      <x:c r="I530" s="15" t="str">
        <x:v>1. 平台管理员账号及关联业务数据已准备，账号可进入当前页面</x:v>
      </x:c>
      <x:c r="J530" s="15" t="str">
        <x:v>1. 使用平台管理员账号从当前端导航进入【道具配置（平台管理员视角）】
2. 后台上架测试道具后使用未获取该道具的用户登录，并检查任务、购买和等级入口
3. 刷新【道具配置（平台管理员视角）】，查询“本期不实现金币购买道具逻辑”对应的业务记录或界面反馈</x:v>
      </x:c>
      <x:c r="K530" s="15" t="str">
        <x:v>本期不实现金币购买道具逻辑</x:v>
      </x:c>
      <x:c r="L530" s="15" t="str"/>
      <x:c r="M530" s="15" t="str">
        <x:v>未测</x:v>
      </x:c>
      <x:c r="N530" s="15" t="str"/>
      <x:c r="O530" s="15" t="str">
        <x:v>1. 需求：REQ-FIN-004
2. 业务规则来源：需求规格说明.md:82
3. 原始问答：Q030
4. 入口证据：liveshow-proto/prototype/pages/admin/gifts/admin-prop-detail.html
5. 规则：BR-86A3DE325D5F98
6. 基线场景：SCN-FIN-004-04-2
7. 补充前覆盖：未覆盖；最佳匹配 AGIFT-0020；预期分数 0.1375
8. 未动态验证</x:v>
      </x:c>
    </x:row>
    <x:row r="531" ht="132" customHeight="1">
      <x:c r="A531" s="15" t="n">
        <x:v>530</x:v>
      </x:c>
      <x:c r="B531" s="15" t="str">
        <x:v>IDN-A-0024</x:v>
      </x:c>
      <x:c r="C531" s="15" t="str">
        <x:v>金币、礼物与订单</x:v>
      </x:c>
      <x:c r="D531" s="15" t="str">
        <x:v>道具配置（平台管理员视角）</x:v>
      </x:c>
      <x:c r="E531" s="15" t="str">
        <x:v>异常用例</x:v>
      </x:c>
      <x:c r="F531" s="15" t="str">
        <x:v>P2</x:v>
      </x:c>
      <x:c r="G531" s="15" t="str">
        <x:v>验证道具配置（平台管理员视角）在“本期不实现达到等级获得道具逻辑”场景下的处理</x:v>
      </x:c>
      <x:c r="H531" s="15" t="str">
        <x:v>本期不实现达到等级获得道具逻辑观察项</x:v>
      </x:c>
      <x:c r="I531" s="15" t="str">
        <x:v>1. 平台管理员账号及关联业务数据已准备，账号可进入当前页面</x:v>
      </x:c>
      <x:c r="J531" s="15" t="str">
        <x:v>1. 使用平台管理员账号从当前端导航进入【道具配置（平台管理员视角）】
2. 后台上架测试道具后使用未获取该道具的用户登录，并检查任务、购买和等级入口
3. 刷新【道具配置（平台管理员视角）】，查询“本期不实现达到等级获得道具逻辑”对应的业务记录或界面反馈</x:v>
      </x:c>
      <x:c r="K531" s="15" t="str">
        <x:v>本期不实现达到等级获得道具逻辑</x:v>
      </x:c>
      <x:c r="L531" s="15" t="str"/>
      <x:c r="M531" s="15" t="str">
        <x:v>未测</x:v>
      </x:c>
      <x:c r="N531" s="15" t="str"/>
      <x:c r="O531" s="15" t="str">
        <x:v>1. 需求：REQ-FIN-004
2. 业务规则来源：需求规格说明.md:82
3. 原始问答：Q030
4. 入口证据：liveshow-proto/prototype/pages/admin/gifts/admin-prop-detail.html
5. 规则：BR-5C127905563539
6. 基线场景：SCN-FIN-004-05-2
7. 补充前覆盖：未覆盖；最佳匹配 AGIFT-0002；预期分数 0.1321
8. 未动态验证</x:v>
      </x:c>
    </x:row>
    <x:row r="532" ht="132" customHeight="1">
      <x:c r="A532" s="15" t="n">
        <x:v>531</x:v>
      </x:c>
      <x:c r="B532" s="15" t="str">
        <x:v>IDN-A-0025</x:v>
      </x:c>
      <x:c r="C532" s="15" t="str">
        <x:v>金币、礼物与订单</x:v>
      </x:c>
      <x:c r="D532" s="15" t="str">
        <x:v>主播收益报表（平台管理员视角）</x:v>
      </x:c>
      <x:c r="E532" s="15" t="str">
        <x:v>功能需求</x:v>
      </x:c>
      <x:c r="F532" s="15" t="str">
        <x:v>P1</x:v>
      </x:c>
      <x:c r="G532" s="15" t="str">
        <x:v>验证主播收益报表（平台管理员视角）在“门票按礼物价值计入主播收益”场景下的处理</x:v>
      </x:c>
      <x:c r="H532" s="15" t="str">
        <x:v>门票按礼物价值计入主播收益观察项</x:v>
      </x:c>
      <x:c r="I532" s="15" t="str">
        <x:v>1. 平台管理员账号及关联业务数据已准备，账号可进入当前页面</x:v>
      </x:c>
      <x:c r="J532" s="15" t="str">
        <x:v>1. 使用平台管理员账号从当前端导航进入【主播收益报表（平台管理员视角）】
2. 购买一张门票并分别发送普通礼物、定制礼物和幸运礼物，再查询礼物价值、返奖及主播收益
3. 刷新【主播收益报表（平台管理员视角）】，查询“门票按礼物价值计入主播收益”对应的业务记录或界面反馈</x:v>
      </x:c>
      <x:c r="K532" s="15" t="str">
        <x:v>门票按礼物价值计入主播收益</x:v>
      </x:c>
      <x:c r="L532" s="15" t="str">
        <x:v>FLOW-FIN-005-A</x:v>
      </x:c>
      <x:c r="M532" s="15" t="str">
        <x:v>未测</x:v>
      </x:c>
      <x:c r="N532" s="15" t="str"/>
      <x:c r="O532" s="15" t="str">
        <x:v>1. 需求：REQ-FIN-005
2. 业务规则来源：需求规格说明.md:83
3. 原始问答：Q036
4. 入口证据：liveshow-proto/prototype/pages/admin/analytics/admin-monthly-host-earnings.html
5. 规则：BR-20025D69668860
6. 基线场景：SCN-FIN-005-01-3
7. 补充前覆盖：未覆盖；最佳匹配 AFIN-0047；预期分数 0.25
8. 未动态验证</x:v>
      </x:c>
    </x:row>
    <x:row r="533" ht="132" customHeight="1">
      <x:c r="A533" s="15" t="n">
        <x:v>532</x:v>
      </x:c>
      <x:c r="B533" s="15" t="str">
        <x:v>IDN-A-0026</x:v>
      </x:c>
      <x:c r="C533" s="15" t="str">
        <x:v>金币、礼物与订单</x:v>
      </x:c>
      <x:c r="D533" s="15" t="str">
        <x:v>主播收益报表（平台管理员视角）</x:v>
      </x:c>
      <x:c r="E533" s="15" t="str">
        <x:v>功能需求</x:v>
      </x:c>
      <x:c r="F533" s="15" t="str">
        <x:v>P1</x:v>
      </x:c>
      <x:c r="G533" s="15" t="str">
        <x:v>验证主播收益报表（平台管理员视角）在“普通礼物按礼物价值计入主播收益”场景下的处理</x:v>
      </x:c>
      <x:c r="H533" s="15" t="str">
        <x:v>普通礼物按礼物价值计入主播收益观察项</x:v>
      </x:c>
      <x:c r="I533" s="15" t="str">
        <x:v>1. 平台管理员账号及关联业务数据已准备，账号可进入当前页面</x:v>
      </x:c>
      <x:c r="J533" s="15" t="str">
        <x:v>1. 使用平台管理员账号从当前端导航进入【主播收益报表（平台管理员视角）】
2. 购买一张门票并分别发送普通礼物、定制礼物和幸运礼物，再查询礼物价值、返奖及主播收益
3. 刷新【主播收益报表（平台管理员视角）】，查询“普通礼物按礼物价值计入主播收益”对应的业务记录或界面反馈</x:v>
      </x:c>
      <x:c r="K533" s="15" t="str">
        <x:v>普通礼物按礼物价值计入主播收益</x:v>
      </x:c>
      <x:c r="L533" s="15" t="str">
        <x:v>FLOW-FIN-005-A</x:v>
      </x:c>
      <x:c r="M533" s="15" t="str">
        <x:v>未测</x:v>
      </x:c>
      <x:c r="N533" s="15" t="str"/>
      <x:c r="O533" s="15" t="str">
        <x:v>1. 需求：REQ-FIN-005
2. 业务规则来源：需求规格说明.md:83
3. 原始问答：Q036
4. 入口证据：liveshow-proto/prototype/pages/admin/analytics/admin-monthly-host-earnings.html
5. 规则：BR-2F7C6CC11FC0E7
6. 基线场景：SCN-FIN-005-02-3
7. 补充前覆盖：未覆盖；最佳匹配 ADATA-0084；预期分数 0.2385
8. 未动态验证</x:v>
      </x:c>
    </x:row>
    <x:row r="534" ht="132" customHeight="1">
      <x:c r="A534" s="15" t="n">
        <x:v>533</x:v>
      </x:c>
      <x:c r="B534" s="15" t="str">
        <x:v>IDN-A-0027</x:v>
      </x:c>
      <x:c r="C534" s="15" t="str">
        <x:v>金币、礼物与订单</x:v>
      </x:c>
      <x:c r="D534" s="15" t="str">
        <x:v>主播收益报表（平台管理员视角）</x:v>
      </x:c>
      <x:c r="E534" s="15" t="str">
        <x:v>功能需求</x:v>
      </x:c>
      <x:c r="F534" s="15" t="str">
        <x:v>P1</x:v>
      </x:c>
      <x:c r="G534" s="15" t="str">
        <x:v>验证主播收益报表（平台管理员视角）在“定制礼物按礼物价值计入主播收益”场景下的处理</x:v>
      </x:c>
      <x:c r="H534" s="15" t="str">
        <x:v>定制礼物按礼物价值计入主播收益观察项</x:v>
      </x:c>
      <x:c r="I534" s="15" t="str">
        <x:v>1. 平台管理员账号及关联业务数据已准备，账号可进入当前页面</x:v>
      </x:c>
      <x:c r="J534" s="15" t="str">
        <x:v>1. 使用平台管理员账号从当前端导航进入【主播收益报表（平台管理员视角）】
2. 购买一张门票并分别发送普通礼物、定制礼物和幸运礼物，再查询礼物价值、返奖及主播收益
3. 刷新【主播收益报表（平台管理员视角）】，查询“定制礼物按礼物价值计入主播收益”对应的业务记录或界面反馈</x:v>
      </x:c>
      <x:c r="K534" s="15" t="str">
        <x:v>定制礼物按礼物价值计入主播收益</x:v>
      </x:c>
      <x:c r="L534" s="15" t="str">
        <x:v>FLOW-FIN-005-A</x:v>
      </x:c>
      <x:c r="M534" s="15" t="str">
        <x:v>未测</x:v>
      </x:c>
      <x:c r="N534" s="15" t="str"/>
      <x:c r="O534" s="15" t="str">
        <x:v>1. 需求：REQ-FIN-005
2. 业务规则来源：需求规格说明.md:83
3. 原始问答：Q036
4. 入口证据：liveshow-proto/prototype/pages/admin/analytics/admin-monthly-host-earnings.html
5. 规则：BR-BC89AEB95CA0FE
6. 基线场景：SCN-FIN-005-03-3
7. 补充前覆盖：未覆盖；最佳匹配 ADATA-0084；预期分数 0.2385
8. 未动态验证</x:v>
      </x:c>
    </x:row>
    <x:row r="535" ht="132" customHeight="1">
      <x:c r="A535" s="15" t="n">
        <x:v>534</x:v>
      </x:c>
      <x:c r="B535" s="15" t="str">
        <x:v>IDN-A-0028</x:v>
      </x:c>
      <x:c r="C535" s="15" t="str">
        <x:v>金币、礼物与订单</x:v>
      </x:c>
      <x:c r="D535" s="15" t="str">
        <x:v>主播收益报表（平台管理员视角）</x:v>
      </x:c>
      <x:c r="E535" s="15" t="str">
        <x:v>功能需求</x:v>
      </x:c>
      <x:c r="F535" s="15" t="str">
        <x:v>P1</x:v>
      </x:c>
      <x:c r="G535" s="15" t="str">
        <x:v>验证主播收益报表（平台管理员视角）在“幸运礼物按礼物价值的 1% 计入主播收益”场景下的处理</x:v>
      </x:c>
      <x:c r="H535" s="15" t="str">
        <x:v>幸运礼物按礼物价值的 1% 计入主播收益观察项</x:v>
      </x:c>
      <x:c r="I535" s="15" t="str">
        <x:v>1. 平台管理员账号及关联业务数据已准备，账号可进入当前页面
2. 测试礼物价值应使 1% 收益可以独立人工核算</x:v>
      </x:c>
      <x:c r="J535" s="15" t="str">
        <x:v>1. 使用平台管理员账号从当前端导航进入【主播收益报表（平台管理员视角）】
2. 购买一张门票并分别发送普通礼物、定制礼物和幸运礼物，再查询礼物价值、返奖及主播收益
3. 刷新【主播收益报表（平台管理员视角）】，查询“幸运礼物按礼物价值的 1% 计入主播收益”对应的业务记录或界面反馈</x:v>
      </x:c>
      <x:c r="K535" s="15" t="str">
        <x:v>幸运礼物按礼物价值的 1% 计入主播收益</x:v>
      </x:c>
      <x:c r="L535" s="15" t="str">
        <x:v>FLOW-FIN-005-A</x:v>
      </x:c>
      <x:c r="M535" s="15" t="str">
        <x:v>未测</x:v>
      </x:c>
      <x:c r="N535" s="15" t="str"/>
      <x:c r="O535" s="15" t="str">
        <x:v>1. 需求：REQ-FIN-005
2. 业务规则来源：需求规格说明.md:83
3. 原始问答：Q036
4. 入口证据：liveshow-proto/prototype/pages/admin/analytics/admin-monthly-host-earnings.html
5. 规则：BR-1058E272A68256
6. 基线场景：SCN-FIN-005-04-3
7. 补充前覆盖：未覆盖；最佳匹配 ADATA-0085；预期分数 0.21
8. 未动态验证</x:v>
      </x:c>
    </x:row>
    <x:row r="536" ht="132" customHeight="1">
      <x:c r="A536" s="15" t="n">
        <x:v>535</x:v>
      </x:c>
      <x:c r="B536" s="15" t="str">
        <x:v>IDN-A-0029</x:v>
      </x:c>
      <x:c r="C536" s="15" t="str">
        <x:v>金币、礼物与订单</x:v>
      </x:c>
      <x:c r="D536" s="15" t="str">
        <x:v>主播收益报表（平台管理员视角）</x:v>
      </x:c>
      <x:c r="E536" s="15" t="str">
        <x:v>功能需求</x:v>
      </x:c>
      <x:c r="F536" s="15" t="str">
        <x:v>P1</x:v>
      </x:c>
      <x:c r="G536" s="15" t="str">
        <x:v>验证主播收益报表（平台管理员视角）在“幸运礼物主播收益与返奖无关”场景下的处理</x:v>
      </x:c>
      <x:c r="H536" s="15" t="str">
        <x:v>幸运礼物主播收益与返奖无关观察项</x:v>
      </x:c>
      <x:c r="I536" s="15" t="str">
        <x:v>1. 平台管理员账号及关联业务数据已准备，账号可进入当前页面</x:v>
      </x:c>
      <x:c r="J536" s="15" t="str">
        <x:v>1. 使用平台管理员账号从当前端导航进入【主播收益报表（平台管理员视角）】
2. 购买一张门票并分别发送普通礼物、定制礼物和幸运礼物，再查询礼物价值、返奖及主播收益
3. 刷新【主播收益报表（平台管理员视角）】，查询“幸运礼物主播收益与返奖无关”对应的业务记录或界面反馈</x:v>
      </x:c>
      <x:c r="K536" s="15" t="str">
        <x:v>幸运礼物主播收益与返奖无关</x:v>
      </x:c>
      <x:c r="L536" s="15" t="str">
        <x:v>FLOW-FIN-005-A</x:v>
      </x:c>
      <x:c r="M536" s="15" t="str">
        <x:v>未测</x:v>
      </x:c>
      <x:c r="N536" s="15" t="str"/>
      <x:c r="O536" s="15" t="str">
        <x:v>1. 需求：REQ-FIN-005
2. 业务规则来源：需求规格说明.md:83
3. 原始问答：Q036
4. 入口证据：liveshow-proto/prototype/pages/admin/analytics/admin-monthly-host-earnings.html
5. 规则：BR-CDD42E4D6354C1
6. 基线场景：SCN-FIN-005-05-3
7. 补充前覆盖：未覆盖；最佳匹配 AFIN-0045；预期分数 0.25
8. 未动态验证</x:v>
      </x:c>
    </x:row>
    <x:row r="537" ht="132" customHeight="1">
      <x:c r="A537" s="15" t="n">
        <x:v>536</x:v>
      </x:c>
      <x:c r="B537" s="15" t="str">
        <x:v>IDN-A-0030</x:v>
      </x:c>
      <x:c r="C537" s="15" t="str">
        <x:v>金币、礼物与订单</x:v>
      </x:c>
      <x:c r="D537" s="15" t="str">
        <x:v>贡献统计（平台管理员视角）</x:v>
      </x:c>
      <x:c r="E537" s="15" t="str">
        <x:v>功能需求</x:v>
      </x:c>
      <x:c r="F537" s="15" t="str">
        <x:v>P1</x:v>
      </x:c>
      <x:c r="G537" s="15" t="str">
        <x:v>验证贡献统计（平台管理员视角）在“门票按礼物价值计入榜单贡献”场景下的处理</x:v>
      </x:c>
      <x:c r="H537" s="15" t="str">
        <x:v>门票按礼物价值计入榜单贡献观察项</x:v>
      </x:c>
      <x:c r="I537" s="15" t="str">
        <x:v>1. 平台管理员账号及关联业务数据已准备，账号可进入当前页面</x:v>
      </x:c>
      <x:c r="J537" s="15" t="str">
        <x:v>1. 使用平台管理员账号从当前端导航进入【贡献统计（平台管理员视角）】
2. 分别产生门票、普通礼物、定制礼物和幸运礼物交易，刷新贡献榜并记录贡献增量
3. 刷新【贡献统计（平台管理员视角）】，查询“门票按礼物价值计入榜单贡献”对应的业务记录或界面反馈</x:v>
      </x:c>
      <x:c r="K537" s="15" t="str">
        <x:v>门票按礼物价值计入榜单贡献</x:v>
      </x:c>
      <x:c r="L537" s="15" t="str">
        <x:v>FLOW-FIN-006-A</x:v>
      </x:c>
      <x:c r="M537" s="15" t="str">
        <x:v>未测</x:v>
      </x:c>
      <x:c r="N537" s="15" t="str"/>
      <x:c r="O537" s="15" t="str">
        <x:v>1. 需求：REQ-FIN-006
2. 业务规则来源：需求规格说明.md:84
3. 原始问答：Q036
4. 入口证据：liveshow-proto/prototype/pages/admin/analytics/admin-host-statistics.html
5. 规则：BR-60D58AB575ADEF
6. 基线场景：SCN-FIN-006-01-2
7. 补充前覆盖：未覆盖；最佳匹配 AFIN-0045；预期分数 0.1375
8. 未动态验证</x:v>
      </x:c>
    </x:row>
    <x:row r="538" ht="132" customHeight="1">
      <x:c r="A538" s="15" t="n">
        <x:v>537</x:v>
      </x:c>
      <x:c r="B538" s="15" t="str">
        <x:v>IDN-A-0031</x:v>
      </x:c>
      <x:c r="C538" s="15" t="str">
        <x:v>金币、礼物与订单</x:v>
      </x:c>
      <x:c r="D538" s="15" t="str">
        <x:v>贡献统计（平台管理员视角）</x:v>
      </x:c>
      <x:c r="E538" s="15" t="str">
        <x:v>功能需求</x:v>
      </x:c>
      <x:c r="F538" s="15" t="str">
        <x:v>P2</x:v>
      </x:c>
      <x:c r="G538" s="15" t="str">
        <x:v>验证贡献统计（平台管理员视角）在“普通礼物按礼物价值计入榜单贡献”场景下的处理</x:v>
      </x:c>
      <x:c r="H538" s="15" t="str">
        <x:v>普通礼物按礼物价值计入榜单贡献观察项</x:v>
      </x:c>
      <x:c r="I538" s="15" t="str">
        <x:v>1. 平台管理员账号及关联业务数据已准备，账号可进入当前页面</x:v>
      </x:c>
      <x:c r="J538" s="15" t="str">
        <x:v>1. 使用平台管理员账号从当前端导航进入【贡献统计（平台管理员视角）】
2. 分别产生门票、普通礼物、定制礼物和幸运礼物交易，刷新贡献榜并记录贡献增量
3. 刷新【贡献统计（平台管理员视角）】，查询“普通礼物按礼物价值计入榜单贡献”对应的业务记录或界面反馈</x:v>
      </x:c>
      <x:c r="K538" s="15" t="str">
        <x:v>普通礼物按礼物价值计入榜单贡献</x:v>
      </x:c>
      <x:c r="L538" s="15" t="str">
        <x:v>FLOW-FIN-006-A</x:v>
      </x:c>
      <x:c r="M538" s="15" t="str">
        <x:v>未测</x:v>
      </x:c>
      <x:c r="N538" s="15" t="str"/>
      <x:c r="O538" s="15" t="str">
        <x:v>1. 需求：REQ-FIN-006
2. 业务规则来源：需求规格说明.md:84
3. 原始问答：Q036
4. 入口证据：liveshow-proto/prototype/pages/admin/analytics/admin-host-statistics.html
5. 规则：BR-7B7E11B4EE9A32
6. 基线场景：SCN-FIN-006-02-2
7. 补充前覆盖：未覆盖；最佳匹配 AGIFT-0045；预期分数 0.2731
8. 未动态验证</x:v>
      </x:c>
    </x:row>
    <x:row r="539" ht="132" customHeight="1">
      <x:c r="A539" s="15" t="n">
        <x:v>538</x:v>
      </x:c>
      <x:c r="B539" s="15" t="str">
        <x:v>IDN-A-0032</x:v>
      </x:c>
      <x:c r="C539" s="15" t="str">
        <x:v>金币、礼物与订单</x:v>
      </x:c>
      <x:c r="D539" s="15" t="str">
        <x:v>贡献统计（平台管理员视角）</x:v>
      </x:c>
      <x:c r="E539" s="15" t="str">
        <x:v>功能需求</x:v>
      </x:c>
      <x:c r="F539" s="15" t="str">
        <x:v>P2</x:v>
      </x:c>
      <x:c r="G539" s="15" t="str">
        <x:v>验证贡献统计（平台管理员视角）在“定制礼物按礼物价值计入榜单贡献”场景下的处理</x:v>
      </x:c>
      <x:c r="H539" s="15" t="str">
        <x:v>定制礼物按礼物价值计入榜单贡献观察项</x:v>
      </x:c>
      <x:c r="I539" s="15" t="str">
        <x:v>1. 平台管理员账号及关联业务数据已准备，账号可进入当前页面</x:v>
      </x:c>
      <x:c r="J539" s="15" t="str">
        <x:v>1. 使用平台管理员账号从当前端导航进入【贡献统计（平台管理员视角）】
2. 分别产生门票、普通礼物、定制礼物和幸运礼物交易，刷新贡献榜并记录贡献增量
3. 刷新【贡献统计（平台管理员视角）】，查询“定制礼物按礼物价值计入榜单贡献”对应的业务记录或界面反馈</x:v>
      </x:c>
      <x:c r="K539" s="15" t="str">
        <x:v>定制礼物按礼物价值计入榜单贡献</x:v>
      </x:c>
      <x:c r="L539" s="15" t="str">
        <x:v>FLOW-FIN-006-A</x:v>
      </x:c>
      <x:c r="M539" s="15" t="str">
        <x:v>未测</x:v>
      </x:c>
      <x:c r="N539" s="15" t="str"/>
      <x:c r="O539" s="15" t="str">
        <x:v>1. 需求：REQ-FIN-006
2. 业务规则来源：需求规格说明.md:84
3. 原始问答：Q036
4. 入口证据：liveshow-proto/prototype/pages/admin/analytics/admin-host-statistics.html
5. 规则：BR-DD231D24CAC6DF
6. 基线场景：SCN-FIN-006-03-2
7. 补充前覆盖：未覆盖；最佳匹配 AGIFT-0016；预期分数 0.2731
8. 未动态验证</x:v>
      </x:c>
    </x:row>
    <x:row r="540" ht="132" customHeight="1">
      <x:c r="A540" s="15" t="n">
        <x:v>539</x:v>
      </x:c>
      <x:c r="B540" s="15" t="str">
        <x:v>IDN-A-0033</x:v>
      </x:c>
      <x:c r="C540" s="15" t="str">
        <x:v>金币、礼物与订单</x:v>
      </x:c>
      <x:c r="D540" s="15" t="str">
        <x:v>贡献统计（平台管理员视角）</x:v>
      </x:c>
      <x:c r="E540" s="15" t="str">
        <x:v>功能需求</x:v>
      </x:c>
      <x:c r="F540" s="15" t="str">
        <x:v>P2</x:v>
      </x:c>
      <x:c r="G540" s="15" t="str">
        <x:v>验证贡献统计（平台管理员视角）在“幸运礼物按礼物价值计入榜单贡献”场景下的处理</x:v>
      </x:c>
      <x:c r="H540" s="15" t="str">
        <x:v>幸运礼物按礼物价值计入榜单贡献观察项</x:v>
      </x:c>
      <x:c r="I540" s="15" t="str">
        <x:v>1. 平台管理员账号及关联业务数据已准备，账号可进入当前页面</x:v>
      </x:c>
      <x:c r="J540" s="15" t="str">
        <x:v>1. 使用平台管理员账号从当前端导航进入【贡献统计（平台管理员视角）】
2. 分别产生门票、普通礼物、定制礼物和幸运礼物交易，刷新贡献榜并记录贡献增量
3. 刷新【贡献统计（平台管理员视角）】，查询“幸运礼物按礼物价值计入榜单贡献”对应的业务记录或界面反馈</x:v>
      </x:c>
      <x:c r="K540" s="15" t="str">
        <x:v>幸运礼物按礼物价值计入榜单贡献</x:v>
      </x:c>
      <x:c r="L540" s="15" t="str">
        <x:v>FLOW-FIN-006-A</x:v>
      </x:c>
      <x:c r="M540" s="15" t="str">
        <x:v>未测</x:v>
      </x:c>
      <x:c r="N540" s="15" t="str"/>
      <x:c r="O540" s="15" t="str">
        <x:v>1. 需求：REQ-FIN-006
2. 业务规则来源：需求规格说明.md:84
3. 原始问答：Q036
4. 入口证据：liveshow-proto/prototype/pages/admin/analytics/admin-host-statistics.html
5. 规则：BR-7BE34A74AFA314
6. 基线场景：SCN-FIN-006-04-2
7. 补充前覆盖：未覆盖；最佳匹配 AFIN-0045；预期分数 0.25
8. 未动态验证</x:v>
      </x:c>
    </x:row>
    <x:row r="541" ht="132" customHeight="1">
      <x:c r="A541" s="15" t="n">
        <x:v>540</x:v>
      </x:c>
      <x:c r="B541" s="15" t="str">
        <x:v>IDN-A-0034</x:v>
      </x:c>
      <x:c r="C541" s="15" t="str">
        <x:v>金币、礼物与订单</x:v>
      </x:c>
      <x:c r="D541" s="15" t="str">
        <x:v>金额展示（后台视角）</x:v>
      </x:c>
      <x:c r="E541" s="15" t="str">
        <x:v>功能需求</x:v>
      </x:c>
      <x:c r="F541" s="15" t="str">
        <x:v>P2</x:v>
      </x:c>
      <x:c r="G541" s="15" t="str">
        <x:v>验证金额展示（后台视角）在“金额 USD”场景下的处理</x:v>
      </x:c>
      <x:c r="H541" s="15" t="str">
        <x:v>金额 USD观察项</x:v>
      </x:c>
      <x:c r="I541" s="15" t="str">
        <x:v>1. 平台管理员账号及关联业务数据已准备，账号可进入当前页面</x:v>
      </x:c>
      <x:c r="J541" s="15" t="str">
        <x:v>1. 使用平台管理员账号从当前端导航进入【金额展示（后台视角）】
2. 打开包含金额的目标页面并完成一笔交易，核对输入、明细和汇总币种
3. 刷新【金额展示（后台视角）】，查询“金额 USD”对应的业务记录或界面反馈</x:v>
      </x:c>
      <x:c r="K541" s="15" t="str">
        <x:v>金额展示统一使用 USD</x:v>
      </x:c>
      <x:c r="L541" s="15" t="str"/>
      <x:c r="M541" s="15" t="str">
        <x:v>未测</x:v>
      </x:c>
      <x:c r="N541" s="15" t="str"/>
      <x:c r="O541" s="15" t="str">
        <x:v>1. 需求：REQ-FIN-007
2. 业务规则来源：需求规格说明.md:85
3. 原始问答：Q068、Q069
4. 入口证据：liveshow-proto/prototype/pages/admin/analytics/admin-report-center.html
5. 规则：BR-EE11029E984B31
6. 基线场景：SCN-FIN-007-02-3
7. 补充前覆盖：未覆盖；最佳匹配 AFIN-0002；预期分数 0.0563
8. 未动态验证</x:v>
      </x:c>
    </x:row>
    <x:row r="542" ht="132" customHeight="1">
      <x:c r="A542" s="15" t="n">
        <x:v>541</x:v>
      </x:c>
      <x:c r="B542" s="15" t="str">
        <x:v>IDN-A-0035</x:v>
      </x:c>
      <x:c r="C542" s="15" t="str">
        <x:v>金币、礼物与订单</x:v>
      </x:c>
      <x:c r="D542" s="15" t="str">
        <x:v>退款订单（平台管理员视角）</x:v>
      </x:c>
      <x:c r="E542" s="15" t="str">
        <x:v>异常用例</x:v>
      </x:c>
      <x:c r="F542" s="15" t="str">
        <x:v>P1</x:v>
      </x:c>
      <x:c r="G542" s="15" t="str">
        <x:v>验证退款订单（平台管理员视角）在“支付成功订单全额退款后不恢复已占用的活动套餐限购”场景下的处理</x:v>
      </x:c>
      <x:c r="H542" s="15" t="str">
        <x:v>支付成功订单全额退款后不恢复已占用的活动套餐限购观察项</x:v>
      </x:c>
      <x:c r="I542" s="15" t="str">
        <x:v>1. 平台管理员账号及关联业务数据已准备，账号可进入当前页面
2. 准备一笔已支付且满足退款或冲正条件的订单</x:v>
      </x:c>
      <x:c r="J542" s="15" t="str">
        <x:v>1. 使用平台管理员账号从当前端导航进入【退款订单（平台管理员视角）】
2. 购买达到活动套餐限购上限后完成全额退款，再次尝试购买同一活动套餐
3. 刷新【退款订单（平台管理员视角）】，查询“支付成功订单全额退款后不恢复已占用的活动套餐限购”对应的业务记录或界面反馈</x:v>
      </x:c>
      <x:c r="K542" s="15" t="str">
        <x:v>支付成功订单全额退款后不恢复已占用的活动套餐限购次数</x:v>
      </x:c>
      <x:c r="L542" s="15" t="str">
        <x:v>FLOW-FIN-008-A</x:v>
      </x:c>
      <x:c r="M542" s="15" t="str">
        <x:v>未测</x:v>
      </x:c>
      <x:c r="N542" s="15" t="str"/>
      <x:c r="O542" s="15" t="str">
        <x:v>1. 需求：REQ-FIN-008
2. 业务规则来源：需求规格说明.md:86
3. 原始问答：Q073
4. 入口证据：liveshow-proto/prototype/pages/admin/orders/admin-refund-order.html
5. 规则：BR-6FE1E7385571E7
6. 基线场景：SCN-FIN-008-01-2
7. 补充前覆盖：未覆盖；最佳匹配 AOPS-0014；预期分数 0.2095
8. 未动态验证</x:v>
      </x:c>
    </x:row>
    <x:row r="543" ht="132" customHeight="1">
      <x:c r="A543" s="15" t="n">
        <x:v>542</x:v>
      </x:c>
      <x:c r="B543" s="15" t="str">
        <x:v>IDN-A-0036</x:v>
      </x:c>
      <x:c r="C543" s="15" t="str">
        <x:v>金币、礼物与订单</x:v>
      </x:c>
      <x:c r="D543" s="15" t="str">
        <x:v>退款后主播收益（后台视角）</x:v>
      </x:c>
      <x:c r="E543" s="15" t="str">
        <x:v>异常用例</x:v>
      </x:c>
      <x:c r="F543" s="15" t="str">
        <x:v>P1</x:v>
      </x:c>
      <x:c r="G543" s="15" t="str">
        <x:v>验证退款后主播收益（后台视角）在“订单退款不影响主播收益计算”场景下的处理</x:v>
      </x:c>
      <x:c r="H543" s="15" t="str">
        <x:v>订单退款不影响主播收益计算观察项</x:v>
      </x:c>
      <x:c r="I543" s="15" t="str">
        <x:v>1. 平台管理员账号及关联业务数据已准备，账号可进入当前页面
2. 准备一笔已支付且满足退款或冲正条件的订单</x:v>
      </x:c>
      <x:c r="J543" s="15" t="str">
        <x:v>1. 使用平台管理员账号从当前端导航进入【退款后主播收益（后台视角）】
2. 记录退款前主播收益，对订单分别执行退款和冲正后重新查询收益
3. 刷新【退款后主播收益（后台视角）】，查询“订单退款不影响主播收益计算”对应的业务记录或界面反馈</x:v>
      </x:c>
      <x:c r="K543" s="15" t="str">
        <x:v>订单退款不影响主播收益计算</x:v>
      </x:c>
      <x:c r="L543" s="15" t="str">
        <x:v>FLOW-FIN-009-A</x:v>
      </x:c>
      <x:c r="M543" s="15" t="str">
        <x:v>未测</x:v>
      </x:c>
      <x:c r="N543" s="15" t="str"/>
      <x:c r="O543" s="15" t="str">
        <x:v>1. 需求：REQ-FIN-009
2. 业务规则来源：需求规格说明.md:87
3. 原始问答：Q075
4. 入口证据：liveshow-proto/prototype/pages/admin/analytics/admin-monthly-host-earnings.html
5. 规则：BR-475E135AD45D0D
6. 基线场景：SCN-FIN-009-01-3
7. 补充前覆盖：未覆盖；最佳匹配 AFIN-0031；预期分数 0.25
8. 未动态验证</x:v>
      </x:c>
    </x:row>
    <x:row r="544" ht="132" customHeight="1">
      <x:c r="A544" s="15" t="n">
        <x:v>543</x:v>
      </x:c>
      <x:c r="B544" s="15" t="str">
        <x:v>IDN-A-0037</x:v>
      </x:c>
      <x:c r="C544" s="15" t="str">
        <x:v>金币、礼物与订单</x:v>
      </x:c>
      <x:c r="D544" s="15" t="str">
        <x:v>退款后主播收益（后台视角）</x:v>
      </x:c>
      <x:c r="E544" s="15" t="str">
        <x:v>异常用例</x:v>
      </x:c>
      <x:c r="F544" s="15" t="str">
        <x:v>P1</x:v>
      </x:c>
      <x:c r="G544" s="15" t="str">
        <x:v>验证退款后主播收益（后台视角）在“订单冲正不影响主播收益计算”场景下的处理</x:v>
      </x:c>
      <x:c r="H544" s="15" t="str">
        <x:v>订单冲正不影响主播收益计算观察项</x:v>
      </x:c>
      <x:c r="I544" s="15" t="str">
        <x:v>1. 平台管理员账号及关联业务数据已准备，账号可进入当前页面
2. 准备一笔已支付且满足退款或冲正条件的订单</x:v>
      </x:c>
      <x:c r="J544" s="15" t="str">
        <x:v>1. 使用平台管理员账号从当前端导航进入【退款后主播收益（后台视角）】
2. 记录退款前主播收益，对订单分别执行退款和冲正后重新查询收益
3. 刷新【退款后主播收益（后台视角）】，查询“订单冲正不影响主播收益计算”对应的业务记录或界面反馈</x:v>
      </x:c>
      <x:c r="K544" s="15" t="str">
        <x:v>订单冲正不影响主播收益计算</x:v>
      </x:c>
      <x:c r="L544" s="15" t="str">
        <x:v>FLOW-FIN-009-A</x:v>
      </x:c>
      <x:c r="M544" s="15" t="str">
        <x:v>未测</x:v>
      </x:c>
      <x:c r="N544" s="15" t="str"/>
      <x:c r="O544" s="15" t="str">
        <x:v>1. 需求：REQ-FIN-009
2. 业务规则来源：需求规格说明.md:87
3. 原始问答：Q075
4. 入口证据：liveshow-proto/prototype/pages/admin/analytics/admin-monthly-host-earnings.html
5. 规则：BR-1EF9B5D293B0BF
6. 基线场景：SCN-FIN-009-02-3
7. 补充前覆盖：部分覆盖；最佳匹配 AFIN-0047；预期分数 0.3318
8. 未动态验证</x:v>
      </x:c>
    </x:row>
    <x:row r="545" ht="132" customHeight="1">
      <x:c r="A545" s="15" t="n">
        <x:v>544</x:v>
      </x:c>
      <x:c r="B545" s="15" t="str">
        <x:v>IDN-A-0038</x:v>
      </x:c>
      <x:c r="C545" s="15" t="str">
        <x:v>金币、礼物与订单</x:v>
      </x:c>
      <x:c r="D545" s="15" t="str">
        <x:v>订单退款（平台管理员视角）</x:v>
      </x:c>
      <x:c r="E545" s="15" t="str">
        <x:v>功能需求</x:v>
      </x:c>
      <x:c r="F545" s="15" t="str">
        <x:v>P1</x:v>
      </x:c>
      <x:c r="G545" s="15" t="str">
        <x:v>验证订单退款（平台管理员视角）在“充值金币订单后台退款”场景下的处理</x:v>
      </x:c>
      <x:c r="H545" s="15" t="str">
        <x:v>充值金币订单后台退款观察项</x:v>
      </x:c>
      <x:c r="I545" s="15" t="str">
        <x:v>1. 平台管理员账号及关联业务数据已准备，账号可进入当前页面
2. 准备一笔已支付且满足退款或冲正条件的订单</x:v>
      </x:c>
      <x:c r="J545" s="15" t="str">
        <x:v>1. 使用平台管理员账号从当前端导航进入【订单退款（平台管理员视角）】
2. 在后台分别打开充值金币订单和购买礼物订单详情，检查并尝试执行退款
3. 刷新【订单退款（平台管理员视角）】，查询“充值金币订单后台退款”对应的业务记录或界面反馈</x:v>
      </x:c>
      <x:c r="K545" s="15" t="str">
        <x:v>充值金币订单支持后台退款</x:v>
      </x:c>
      <x:c r="L545" s="15" t="str"/>
      <x:c r="M545" s="15" t="str">
        <x:v>未测</x:v>
      </x:c>
      <x:c r="N545" s="15" t="str"/>
      <x:c r="O545" s="15" t="str">
        <x:v>1. 需求：REQ-FIN-010
2. 业务规则来源：需求规格说明.md:88
3. 原始问答：Q080
4. 入口证据：liveshow-proto/prototype/pages/admin/orders/admin-recharge-order-detail.html
5. 规则：BR-C049064E546B34
6. 基线场景：SCN-FIN-010-01-1
7. 补充前覆盖：未覆盖；最佳匹配 AFIN-0002；预期分数 0.25
8. 未动态验证</x:v>
      </x:c>
    </x:row>
    <x:row r="546" ht="132" customHeight="1">
      <x:c r="A546" s="15" t="n">
        <x:v>545</x:v>
      </x:c>
      <x:c r="B546" s="15" t="str">
        <x:v>IDN-A-0039</x:v>
      </x:c>
      <x:c r="C546" s="15" t="str">
        <x:v>金币、礼物与订单</x:v>
      </x:c>
      <x:c r="D546" s="15" t="str">
        <x:v>订单退款（平台管理员视角）</x:v>
      </x:c>
      <x:c r="E546" s="15" t="str">
        <x:v>异常用例</x:v>
      </x:c>
      <x:c r="F546" s="15" t="str">
        <x:v>P1</x:v>
      </x:c>
      <x:c r="G546" s="15" t="str">
        <x:v>验证订单退款（平台管理员视角）在“购买礼物订单不后台退款”场景下的处理</x:v>
      </x:c>
      <x:c r="H546" s="15" t="str">
        <x:v>购买礼物订单不后台退款观察项</x:v>
      </x:c>
      <x:c r="I546" s="15" t="str">
        <x:v>1. 平台管理员账号及关联业务数据已准备，账号可进入当前页面
2. 准备一笔已支付且满足退款或冲正条件的订单</x:v>
      </x:c>
      <x:c r="J546" s="15" t="str">
        <x:v>1. 使用平台管理员账号从当前端导航进入【订单退款（平台管理员视角）】
2. 在后台分别打开充值金币订单和购买礼物订单详情，检查并尝试执行退款
3. 刷新【订单退款（平台管理员视角）】，查询“购买礼物订单不后台退款”对应的业务记录或界面反馈</x:v>
      </x:c>
      <x:c r="K546" s="15" t="str">
        <x:v>购买礼物订单不支持后台退款</x:v>
      </x:c>
      <x:c r="L546" s="15" t="str"/>
      <x:c r="M546" s="15" t="str">
        <x:v>未测</x:v>
      </x:c>
      <x:c r="N546" s="15" t="str"/>
      <x:c r="O546" s="15" t="str">
        <x:v>1. 需求：REQ-FIN-010
2. 业务规则来源：需求规格说明.md:88
3. 原始问答：Q080
4. 入口证据：liveshow-proto/prototype/pages/admin/orders/admin-recharge-order-detail.html
5. 规则：BR-97DBD75147467F
6. 基线场景：SCN-FIN-010-02-1
7. 补充前覆盖：未覆盖；最佳匹配 AFIN-0011；预期分数 0.19
8. 未动态验证</x:v>
      </x:c>
    </x:row>
    <x:row r="547" ht="132" customHeight="1">
      <x:c r="A547" s="15" t="n">
        <x:v>546</x:v>
      </x:c>
      <x:c r="B547" s="15" t="str">
        <x:v>IDN-A-0040</x:v>
      </x:c>
      <x:c r="C547" s="15" t="str">
        <x:v>金币、礼物与订单</x:v>
      </x:c>
      <x:c r="D547" s="15" t="str">
        <x:v>资金功能（后台视角）</x:v>
      </x:c>
      <x:c r="E547" s="15" t="str">
        <x:v>异常用例</x:v>
      </x:c>
      <x:c r="F547" s="15" t="str">
        <x:v>P2</x:v>
      </x:c>
      <x:c r="G547" s="15" t="str">
        <x:v>验证资金功能（后台视角）在“提现功能”场景下的处理</x:v>
      </x:c>
      <x:c r="H547" s="15" t="str">
        <x:v>提现功能观察项</x:v>
      </x:c>
      <x:c r="I547" s="15" t="str">
        <x:v>1. 平台管理员账号及关联业务数据已准备，账号可进入当前页面</x:v>
      </x:c>
      <x:c r="J547" s="15" t="str">
        <x:v>1. 使用平台管理员账号从当前端导航进入【资金功能（后台视角）】
2. 遍历资金相关页面及操作菜单，搜索并尝试进入提现入口
3. 刷新【资金功能（后台视角）】，查询“提现功能”对应的业务记录或界面反馈</x:v>
      </x:c>
      <x:c r="K547" s="15" t="str">
        <x:v>系统不提供提现功能</x:v>
      </x:c>
      <x:c r="L547" s="15" t="str"/>
      <x:c r="M547" s="15" t="str">
        <x:v>未测</x:v>
      </x:c>
      <x:c r="N547" s="15" t="str"/>
      <x:c r="O547" s="15" t="str">
        <x:v>1. 需求：REQ-FIN-011
2. 业务规则来源：需求规格说明.md:89
3. 原始问答：Q089
4. 入口证据：liveshow-proto/prototype/pages/admin/finance/admin-host-account-balance.html
5. 规则：BR-5EF460A1BF79DE
6. 基线场景：SCN-FIN-011-01-3
7. 补充前覆盖：未覆盖；最佳匹配 AFIN-0001；预期分数 0.1
8. 未动态验证</x:v>
      </x:c>
    </x:row>
    <x:row r="548" ht="132" customHeight="1">
      <x:c r="A548" s="15" t="n">
        <x:v>547</x:v>
      </x:c>
      <x:c r="B548" s="15" t="str">
        <x:v>IDN-A-0041</x:v>
      </x:c>
      <x:c r="C548" s="15" t="str">
        <x:v>金币、礼物与订单</x:v>
      </x:c>
      <x:c r="D548" s="15" t="str">
        <x:v>财务统计（平台管理员视角）</x:v>
      </x:c>
      <x:c r="E548" s="15" t="str">
        <x:v>功能需求</x:v>
      </x:c>
      <x:c r="F548" s="15" t="str">
        <x:v>P1</x:v>
      </x:c>
      <x:c r="G548" s="15" t="str">
        <x:v>验证财务统计（平台管理员视角）在“财务统计保留收益指标”场景下的处理</x:v>
      </x:c>
      <x:c r="H548" s="15" t="str">
        <x:v>财务统计保留收益指标观察项</x:v>
      </x:c>
      <x:c r="I548" s="15" t="str">
        <x:v>1. 平台管理员账号及关联业务数据已准备，账号可进入当前页面</x:v>
      </x:c>
      <x:c r="J548" s="15" t="str">
        <x:v>1. 使用平台管理员账号从当前端导航进入【财务统计（平台管理员视角）】
2. 打开财务统计页并核对指标列表，再与收益、累计充值、累计退款的源订单汇总比对
3. 刷新【财务统计（平台管理员视角）】，查询“财务统计保留收益指标”对应的业务记录或界面反馈</x:v>
      </x:c>
      <x:c r="K548" s="15" t="str">
        <x:v>财务统计保留收益指标</x:v>
      </x:c>
      <x:c r="L548" s="15" t="str"/>
      <x:c r="M548" s="15" t="str">
        <x:v>未测</x:v>
      </x:c>
      <x:c r="N548" s="15" t="str"/>
      <x:c r="O548" s="15" t="str">
        <x:v>1. 需求：REQ-FIN-012
2. 业务规则来源：需求规格说明.md:90
3. 原始问答：Q091
4. 入口证据：liveshow-proto/prototype/pages/admin/analytics/admin-monthly-income-expense.html
5. 规则：BR-A25CF7D14F5504
6. 基线场景：SCN-FIN-012-01-1
7. 补充前覆盖：未覆盖；最佳匹配 AFIN-0047；预期分数 0.15
8. 未动态验证</x:v>
      </x:c>
    </x:row>
    <x:row r="549" ht="132" customHeight="1">
      <x:c r="A549" s="15" t="n">
        <x:v>548</x:v>
      </x:c>
      <x:c r="B549" s="15" t="str">
        <x:v>IDN-A-0042</x:v>
      </x:c>
      <x:c r="C549" s="15" t="str">
        <x:v>金币、礼物与订单</x:v>
      </x:c>
      <x:c r="D549" s="15" t="str">
        <x:v>财务统计（平台管理员视角）</x:v>
      </x:c>
      <x:c r="E549" s="15" t="str">
        <x:v>功能需求</x:v>
      </x:c>
      <x:c r="F549" s="15" t="str">
        <x:v>P1</x:v>
      </x:c>
      <x:c r="G549" s="15" t="str">
        <x:v>验证财务统计（平台管理员视角）在“财务统计保留累计充值指标”场景下的处理</x:v>
      </x:c>
      <x:c r="H549" s="15" t="str">
        <x:v>财务统计保留累计充值指标观察项</x:v>
      </x:c>
      <x:c r="I549" s="15" t="str">
        <x:v>1. 平台管理员账号及关联业务数据已准备，账号可进入当前页面</x:v>
      </x:c>
      <x:c r="J549" s="15" t="str">
        <x:v>1. 使用平台管理员账号从当前端导航进入【财务统计（平台管理员视角）】
2. 打开财务统计页并核对指标列表，再与收益、累计充值、累计退款的源订单汇总比对
3. 刷新【财务统计（平台管理员视角）】，查询“财务统计保留累计充值指标”对应的业务记录或界面反馈</x:v>
      </x:c>
      <x:c r="K549" s="15" t="str">
        <x:v>财务统计保留累计充值指标</x:v>
      </x:c>
      <x:c r="L549" s="15" t="str"/>
      <x:c r="M549" s="15" t="str">
        <x:v>未测</x:v>
      </x:c>
      <x:c r="N549" s="15" t="str"/>
      <x:c r="O549" s="15" t="str">
        <x:v>1. 需求：REQ-FIN-012
2. 业务规则来源：需求规格说明.md:90
3. 原始问答：Q091
4. 入口证据：liveshow-proto/prototype/pages/admin/analytics/admin-monthly-income-expense.html
5. 规则：BR-31E4326AEFBB27
6. 基线场景：SCN-FIN-012-02-1
7. 补充前覆盖：未覆盖；最佳匹配 ADATA-0063；预期分数 0.3127
8. 未动态验证</x:v>
      </x:c>
    </x:row>
    <x:row r="550" ht="132" customHeight="1">
      <x:c r="A550" s="15" t="n">
        <x:v>549</x:v>
      </x:c>
      <x:c r="B550" s="15" t="str">
        <x:v>IDN-A-0043</x:v>
      </x:c>
      <x:c r="C550" s="15" t="str">
        <x:v>金币、礼物与订单</x:v>
      </x:c>
      <x:c r="D550" s="15" t="str">
        <x:v>财务统计（平台管理员视角）</x:v>
      </x:c>
      <x:c r="E550" s="15" t="str">
        <x:v>功能需求</x:v>
      </x:c>
      <x:c r="F550" s="15" t="str">
        <x:v>P1</x:v>
      </x:c>
      <x:c r="G550" s="15" t="str">
        <x:v>验证财务统计（平台管理员视角）在“财务统计保留累计退款指标”场景下的处理</x:v>
      </x:c>
      <x:c r="H550" s="15" t="str">
        <x:v>财务统计保留累计退款指标观察项</x:v>
      </x:c>
      <x:c r="I550" s="15" t="str">
        <x:v>1. 平台管理员账号及关联业务数据已准备，账号可进入当前页面
2. 准备一笔已支付且满足退款或冲正条件的订单</x:v>
      </x:c>
      <x:c r="J550" s="15" t="str">
        <x:v>1. 使用平台管理员账号从当前端导航进入【财务统计（平台管理员视角）】
2. 打开财务统计页并核对指标列表，再与收益、累计充值、累计退款的源订单汇总比对
3. 刷新【财务统计（平台管理员视角）】，查询“财务统计保留累计退款指标”对应的业务记录或界面反馈</x:v>
      </x:c>
      <x:c r="K550" s="15" t="str">
        <x:v>财务统计保留累计退款指标</x:v>
      </x:c>
      <x:c r="L550" s="15" t="str"/>
      <x:c r="M550" s="15" t="str">
        <x:v>未测</x:v>
      </x:c>
      <x:c r="N550" s="15" t="str"/>
      <x:c r="O550" s="15" t="str">
        <x:v>1. 需求：REQ-FIN-012
2. 业务规则来源：需求规格说明.md:90
3. 原始问答：Q091
4. 入口证据：liveshow-proto/prototype/pages/admin/analytics/admin-monthly-income-expense.html
5. 规则：BR-1F7B98E75A0512
6. 基线场景：SCN-FIN-012-03-1
7. 补充前覆盖：未覆盖；最佳匹配 ADATA-0064；预期分数 0.3127
8. 未动态验证</x:v>
      </x:c>
    </x:row>
    <x:row r="551" ht="132" customHeight="1">
      <x:c r="A551" s="15" t="n">
        <x:v>550</x:v>
      </x:c>
      <x:c r="B551" s="15" t="str">
        <x:v>IDN-A-0044</x:v>
      </x:c>
      <x:c r="C551" s="15" t="str">
        <x:v>金币、礼物与订单</x:v>
      </x:c>
      <x:c r="D551" s="15" t="str">
        <x:v>财务统计（平台管理员视角）</x:v>
      </x:c>
      <x:c r="E551" s="15" t="str">
        <x:v>异常用例</x:v>
      </x:c>
      <x:c r="F551" s="15" t="str">
        <x:v>P2</x:v>
      </x:c>
      <x:c r="G551" s="15" t="str">
        <x:v>验证财务统计（平台管理员视角）在“财务统计其他未列明指标”场景下的处理</x:v>
      </x:c>
      <x:c r="H551" s="15" t="str">
        <x:v>财务统计其他未列明指标观察项</x:v>
      </x:c>
      <x:c r="I551" s="15" t="str">
        <x:v>1. 平台管理员账号及关联业务数据已准备，账号可进入当前页面</x:v>
      </x:c>
      <x:c r="J551" s="15" t="str">
        <x:v>1. 使用平台管理员账号从当前端导航进入【财务统计（平台管理员视角）】
2. 打开财务统计页并核对指标列表，再与收益、累计充值、累计退款的源订单汇总比对
3. 刷新【财务统计（平台管理员视角）】，查询“财务统计其他未列明指标”对应的业务记录或界面反馈</x:v>
      </x:c>
      <x:c r="K551" s="15" t="str">
        <x:v>财务统计不保留其他未列明指标</x:v>
      </x:c>
      <x:c r="L551" s="15" t="str"/>
      <x:c r="M551" s="15" t="str">
        <x:v>未测</x:v>
      </x:c>
      <x:c r="N551" s="15" t="str"/>
      <x:c r="O551" s="15" t="str">
        <x:v>1. 需求：REQ-FIN-012
2. 业务规则来源：需求规格说明.md:90
3. 原始问答：Q091
4. 入口证据：liveshow-proto/prototype/pages/admin/analytics/admin-monthly-income-expense.html
5. 规则：BR-5EDA80AEF276FB
6. 基线场景：SCN-FIN-012-04-1
7. 补充前覆盖：未覆盖；最佳匹配 ACONT-0016；预期分数 0.1346
8. 未动态验证</x:v>
      </x:c>
    </x:row>
    <x:row r="552" ht="132" customHeight="1">
      <x:c r="A552" s="15" t="n">
        <x:v>551</x:v>
      </x:c>
      <x:c r="B552" s="15" t="str">
        <x:v>IDN-A-0045</x:v>
      </x:c>
      <x:c r="C552" s="15" t="str">
        <x:v>金币、礼物与订单</x:v>
      </x:c>
      <x:c r="D552" s="15" t="str">
        <x:v>充值套餐配置（平台管理员视角）</x:v>
      </x:c>
      <x:c r="E552" s="15" t="str">
        <x:v>功能需求</x:v>
      </x:c>
      <x:c r="F552" s="15" t="str">
        <x:v>P1</x:v>
      </x:c>
      <x:c r="G552" s="15" t="str">
        <x:v>验证充值套餐配置（平台管理员视角）在“充值套餐赠送比例由套餐本金和赠送金币计算”场景下的处理</x:v>
      </x:c>
      <x:c r="H552" s="15" t="str">
        <x:v>充值套餐赠送比例由套餐本金和赠送金币计算观察项</x:v>
      </x:c>
      <x:c r="I552" s="15" t="str">
        <x:v>1. 平台管理员账号及关联业务数据已准备，账号可进入当前页面</x:v>
      </x:c>
      <x:c r="J552" s="15" t="str">
        <x:v>1. 使用平台管理员账号从当前端导航进入【充值套餐配置（平台管理员视角）】
2. 后台配置套餐本金与赠送金币，用户端打开套餐并按两项数值人工计算赠送比例
3. 刷新【充值套餐配置（平台管理员视角）】，查询“充值套餐赠送比例由套餐本金和赠送金币计算”对应的业务记录或界面反馈</x:v>
      </x:c>
      <x:c r="K552" s="15" t="str">
        <x:v>充值套餐赠送比例由套餐本金和赠送金币计算</x:v>
      </x:c>
      <x:c r="L552" s="15" t="str">
        <x:v>FLOW-FIN-013-A</x:v>
      </x:c>
      <x:c r="M552" s="15" t="str">
        <x:v>未测</x:v>
      </x:c>
      <x:c r="N552" s="15" t="str"/>
      <x:c r="O552" s="15" t="str">
        <x:v>1. 需求：REQ-FIN-013
2. 业务规则来源：需求规格说明.md:91
3. 原始问答：Q101
4. 入口证据：liveshow-proto/prototype/pages/admin/operations/admin-recharge-package-detail.html
5. 规则：BR-18894858CDAFB9
6. 基线场景：SCN-FIN-013-01-2
7. 补充前覆盖：部分覆盖；最佳匹配 AOPS-0002；预期分数 0.3588
8. 未动态验证</x:v>
      </x:c>
    </x:row>
    <x:row r="553" ht="132" customHeight="1">
      <x:c r="A553" s="15" t="n">
        <x:v>552</x:v>
      </x:c>
      <x:c r="B553" s="15" t="str">
        <x:v>IDN-A-0046</x:v>
      </x:c>
      <x:c r="C553" s="15" t="str">
        <x:v>金币、礼物与订单</x:v>
      </x:c>
      <x:c r="D553" s="15" t="str">
        <x:v>充值套餐配置（平台管理员视角）</x:v>
      </x:c>
      <x:c r="E553" s="15" t="str">
        <x:v>功能需求</x:v>
      </x:c>
      <x:c r="F553" s="15" t="str">
        <x:v>P1</x:v>
      </x:c>
      <x:c r="G553" s="15" t="str">
        <x:v>验证充值套餐配置（平台管理员视角）在“的赠送比例与实际赠送金币数量一致”场景下的处理</x:v>
      </x:c>
      <x:c r="H553" s="15" t="str">
        <x:v>的赠送比例与实际赠送金币数量一致观察项</x:v>
      </x:c>
      <x:c r="I553" s="15" t="str">
        <x:v>1. 平台管理员账号及关联业务数据已准备，账号可进入当前页面</x:v>
      </x:c>
      <x:c r="J553" s="15" t="str">
        <x:v>1. 使用平台管理员账号从当前端导航进入【充值套餐配置（平台管理员视角）】
2. 后台配置套餐本金与赠送金币，用户端打开套餐并按两项数值人工计算赠送比例
3. 刷新【充值套餐配置（平台管理员视角）】，查询“的赠送比例与实际赠送金币数量一致”对应的业务记录或界面反馈</x:v>
      </x:c>
      <x:c r="K553" s="15" t="str">
        <x:v>展示的赠送比例与实际赠送金币数量一致</x:v>
      </x:c>
      <x:c r="L553" s="15" t="str">
        <x:v>FLOW-FIN-013-A</x:v>
      </x:c>
      <x:c r="M553" s="15" t="str">
        <x:v>未测</x:v>
      </x:c>
      <x:c r="N553" s="15" t="str"/>
      <x:c r="O553" s="15" t="str">
        <x:v>1. 需求：REQ-FIN-013
2. 业务规则来源：需求规格说明.md:91
3. 原始问答：Q101
4. 入口证据：liveshow-proto/prototype/pages/admin/operations/admin-recharge-package-detail.html
5. 规则：BR-BCB4A4C95216C8
6. 基线场景：SCN-FIN-013-02-2
7. 补充前覆盖：未覆盖；最佳匹配 AFIN-0005；预期分数 0.2607
8. 未动态验证</x:v>
      </x:c>
    </x:row>
    <x:row r="554" ht="132" customHeight="1">
      <x:c r="A554" s="15" t="n">
        <x:v>553</x:v>
      </x:c>
      <x:c r="B554" s="15" t="str">
        <x:v>IDN-A-0047</x:v>
      </x:c>
      <x:c r="C554" s="15" t="str">
        <x:v>金币、礼物与订单</x:v>
      </x:c>
      <x:c r="D554" s="15" t="str">
        <x:v>资金账户报表（平台管理员视角）</x:v>
      </x:c>
      <x:c r="E554" s="15" t="str">
        <x:v>功能需求</x:v>
      </x:c>
      <x:c r="F554" s="15" t="str">
        <x:v>P2</x:v>
      </x:c>
      <x:c r="G554" s="15" t="str">
        <x:v>验证资金账户报表（平台管理员视角）在“用户只有 1 个资金账户”场景下的处理</x:v>
      </x:c>
      <x:c r="H554" s="15" t="str">
        <x:v>用户只有 1 个资金账户观察项</x:v>
      </x:c>
      <x:c r="I554" s="15" t="str">
        <x:v>1. 平台管理员账号及关联业务数据已准备，账号可进入当前页面</x:v>
      </x:c>
      <x:c r="J554" s="15" t="str">
        <x:v>1. 使用平台管理员账号从当前端导航进入【资金账户报表（平台管理员视角）】
2. 让同一用户通过充值和非充值途径获得金币，查询余额账户及后台报表分类
3. 刷新【资金账户报表（平台管理员视角）】，查询“用户只有 1 个资金账户”对应的业务记录或界面反馈</x:v>
      </x:c>
      <x:c r="K554" s="15" t="str">
        <x:v>用户只有 1 个资金账户</x:v>
      </x:c>
      <x:c r="L554" s="15" t="str">
        <x:v>FLOW-FIN-014-A</x:v>
      </x:c>
      <x:c r="M554" s="15" t="str">
        <x:v>未测</x:v>
      </x:c>
      <x:c r="N554" s="15" t="str"/>
      <x:c r="O554" s="15" t="str">
        <x:v>1. 需求：REQ-FIN-014
2. 业务规则来源：需求规格说明.md:92
3. 原始问答：Q135
4. 入口证据：liveshow-proto/prototype/pages/admin/analytics/admin-recharge-order-detail-report.html
5. 规则：BR-972AF24312ADC6
6. 基线场景：SCN-FIN-014-01-2
7. 补充前覆盖：未覆盖；最佳匹配 AGIFT-0061；预期分数 0.1
8. 未动态验证</x:v>
      </x:c>
    </x:row>
    <x:row r="555" ht="132" customHeight="1">
      <x:c r="A555" s="15" t="n">
        <x:v>554</x:v>
      </x:c>
      <x:c r="B555" s="15" t="str">
        <x:v>IDN-A-0048</x:v>
      </x:c>
      <x:c r="C555" s="15" t="str">
        <x:v>金币、礼物与订单</x:v>
      </x:c>
      <x:c r="D555" s="15" t="str">
        <x:v>资金账户报表（平台管理员视角）</x:v>
      </x:c>
      <x:c r="E555" s="15" t="str">
        <x:v>异常用例</x:v>
      </x:c>
      <x:c r="F555" s="15" t="str">
        <x:v>P2</x:v>
      </x:c>
      <x:c r="G555" s="15" t="str">
        <x:v>验证资金账户报表（平台管理员视角）在“不拆分本金账户和赠金账户”场景下的处理</x:v>
      </x:c>
      <x:c r="H555" s="15" t="str">
        <x:v>不拆分本金账户和赠金账户观察项</x:v>
      </x:c>
      <x:c r="I555" s="15" t="str">
        <x:v>1. 平台管理员账号及关联业务数据已准备，账号可进入当前页面</x:v>
      </x:c>
      <x:c r="J555" s="15" t="str">
        <x:v>1. 使用平台管理员账号从当前端导航进入【资金账户报表（平台管理员视角）】
2. 让同一用户通过充值和非充值途径获得金币，查询余额账户及后台报表分类
3. 刷新【资金账户报表（平台管理员视角）】，查询“不拆分本金账户和赠金账户”对应的业务记录或界面反馈</x:v>
      </x:c>
      <x:c r="K555" s="15" t="str">
        <x:v>不拆分本金账户和赠金账户</x:v>
      </x:c>
      <x:c r="L555" s="15" t="str">
        <x:v>FLOW-FIN-014-A</x:v>
      </x:c>
      <x:c r="M555" s="15" t="str">
        <x:v>未测</x:v>
      </x:c>
      <x:c r="N555" s="15" t="str"/>
      <x:c r="O555" s="15" t="str">
        <x:v>1. 需求：REQ-FIN-014
2. 业务规则来源：需求规格说明.md:92
3. 原始问答：Q135
4. 入口证据：liveshow-proto/prototype/pages/admin/analytics/admin-recharge-order-detail-report.html
5. 规则：BR-AB1D6E21B80B87
6. 基线场景：SCN-FIN-014-02-2
7. 补充前覆盖：未覆盖；最佳匹配 AFIN-0027；预期分数 0.15
8. 未动态验证</x:v>
      </x:c>
    </x:row>
    <x:row r="556" ht="132" customHeight="1">
      <x:c r="A556" s="15" t="n">
        <x:v>555</x:v>
      </x:c>
      <x:c r="B556" s="15" t="str">
        <x:v>IDN-A-0049</x:v>
      </x:c>
      <x:c r="C556" s="15" t="str">
        <x:v>金币、礼物与订单</x:v>
      </x:c>
      <x:c r="D556" s="15" t="str">
        <x:v>资金账户报表（平台管理员视角）</x:v>
      </x:c>
      <x:c r="E556" s="15" t="str">
        <x:v>功能需求</x:v>
      </x:c>
      <x:c r="F556" s="15" t="str">
        <x:v>P1</x:v>
      </x:c>
      <x:c r="G556" s="15" t="str">
        <x:v>验证资金账户报表（平台管理员视角）在“除充值外获得的金币在报表中归类为赠金”场景下的处理</x:v>
      </x:c>
      <x:c r="H556" s="15" t="str">
        <x:v>除充值外获得的金币在报表中归类为赠金观察项</x:v>
      </x:c>
      <x:c r="I556" s="15" t="str">
        <x:v>1. 平台管理员账号及关联业务数据已准备，账号可进入当前页面</x:v>
      </x:c>
      <x:c r="J556" s="15" t="str">
        <x:v>1. 使用平台管理员账号从当前端导航进入【资金账户报表（平台管理员视角）】
2. 让同一用户通过充值和非充值途径获得金币，查询余额账户及后台报表分类
3. 刷新【资金账户报表（平台管理员视角）】，查询“除充值外获得的金币在报表中归类为赠金”对应的业务记录或界面反馈</x:v>
      </x:c>
      <x:c r="K556" s="15" t="str">
        <x:v>除充值外获得的金币在报表中归类为赠金</x:v>
      </x:c>
      <x:c r="L556" s="15" t="str">
        <x:v>FLOW-FIN-014-A</x:v>
      </x:c>
      <x:c r="M556" s="15" t="str">
        <x:v>未测</x:v>
      </x:c>
      <x:c r="N556" s="15" t="str"/>
      <x:c r="O556" s="15" t="str">
        <x:v>1. 需求：REQ-FIN-014
2. 业务规则来源：需求规格说明.md:92
3. 原始问答：Q135
4. 入口证据：liveshow-proto/prototype/pages/admin/analytics/admin-recharge-order-detail-report.html
5. 规则：BR-FF7569C0C89F98
6. 基线场景：SCN-FIN-014-03-2
7. 补充前覆盖：未覆盖；最佳匹配 ADATA-0002；预期分数 0.1811
8. 未动态验证</x:v>
      </x:c>
    </x:row>
    <x:row r="557" ht="132" customHeight="1">
      <x:c r="A557" s="15" t="n">
        <x:v>556</x:v>
      </x:c>
      <x:c r="B557" s="15" t="str">
        <x:v>IDN-A-0050</x:v>
      </x:c>
      <x:c r="C557" s="15" t="str">
        <x:v>金币、礼物与订单</x:v>
      </x:c>
      <x:c r="D557" s="15" t="str">
        <x:v>消费订单（平台管理员视角）</x:v>
      </x:c>
      <x:c r="E557" s="15" t="str">
        <x:v>功能需求</x:v>
      </x:c>
      <x:c r="F557" s="15" t="str">
        <x:v>P1</x:v>
      </x:c>
      <x:c r="G557" s="15" t="str">
        <x:v>验证消费订单（平台管理员视角）在“所有消费从余额扣减”场景下的处理</x:v>
      </x:c>
      <x:c r="H557" s="15" t="str">
        <x:v>所有消费从余额扣减观察项</x:v>
      </x:c>
      <x:c r="I557" s="15" t="str">
        <x:v>1. 平台管理员账号及关联业务数据已准备，账号可进入当前页面</x:v>
      </x:c>
      <x:c r="J557" s="15" t="str">
        <x:v>1. 使用平台管理员账号从当前端导航进入【消费订单（平台管理员视角）】
2. 让余额包含多次充值和赠金后完成消费，查询余额扣减及订单明细的资金追踪字段
3. 刷新【消费订单（平台管理员视角）】，查询“所有消费从余额扣减”对应的业务记录或界面反馈</x:v>
      </x:c>
      <x:c r="K557" s="15" t="str">
        <x:v>所有消费统一从余额扣减</x:v>
      </x:c>
      <x:c r="L557" s="15" t="str">
        <x:v>FLOW-FIN-015-A</x:v>
      </x:c>
      <x:c r="M557" s="15" t="str">
        <x:v>未测</x:v>
      </x:c>
      <x:c r="N557" s="15" t="str"/>
      <x:c r="O557" s="15" t="str">
        <x:v>1. 需求：REQ-FIN-015
2. 业务规则来源：需求规格说明.md:93
3. 原始问答：Q135
4. 入口证据：liveshow-proto/prototype/pages/admin/orders/admin-consumption-order-detail.html
5. 规则：BR-38B3244B19C020
6. 基线场景：SCN-FIN-015-01-2
7. 补充前覆盖：未覆盖；最佳匹配 AFIN-0042；预期分数 0.19
8. 未动态验证</x:v>
      </x:c>
    </x:row>
    <x:row r="558" ht="132" customHeight="1">
      <x:c r="A558" s="15" t="n">
        <x:v>557</x:v>
      </x:c>
      <x:c r="B558" s="15" t="str">
        <x:v>IDN-A-0051</x:v>
      </x:c>
      <x:c r="C558" s="15" t="str">
        <x:v>金币、礼物与订单</x:v>
      </x:c>
      <x:c r="D558" s="15" t="str">
        <x:v>消费订单（平台管理员视角）</x:v>
      </x:c>
      <x:c r="E558" s="15" t="str">
        <x:v>异常用例</x:v>
      </x:c>
      <x:c r="F558" s="15" t="str">
        <x:v>P1</x:v>
      </x:c>
      <x:c r="G558" s="15" t="str">
        <x:v>验证消费订单（平台管理员视角）在“不逐笔追踪消费了哪次充值获得的金币”场景下的处理</x:v>
      </x:c>
      <x:c r="H558" s="15" t="str">
        <x:v>不逐笔追踪消费了哪次充值获得的金币观察项</x:v>
      </x:c>
      <x:c r="I558" s="15" t="str">
        <x:v>1. 平台管理员账号及关联业务数据已准备，账号可进入当前页面</x:v>
      </x:c>
      <x:c r="J558" s="15" t="str">
        <x:v>1. 使用平台管理员账号从当前端导航进入【消费订单（平台管理员视角）】
2. 让余额包含多次充值和赠金后完成消费，查询余额扣减及订单明细的资金追踪字段
3. 刷新【消费订单（平台管理员视角）】，查询“不逐笔追踪消费了哪次充值获得的金币”对应的业务记录或界面反馈</x:v>
      </x:c>
      <x:c r="K558" s="15" t="str">
        <x:v>系统不逐笔追踪消费使用了哪次充值获得的金币</x:v>
      </x:c>
      <x:c r="L558" s="15" t="str">
        <x:v>FLOW-FIN-015-A</x:v>
      </x:c>
      <x:c r="M558" s="15" t="str">
        <x:v>未测</x:v>
      </x:c>
      <x:c r="N558" s="15" t="str"/>
      <x:c r="O558" s="15" t="str">
        <x:v>1. 需求：REQ-FIN-015
2. 业务规则来源：需求规格说明.md:93
3. 原始问答：Q135
4. 入口证据：liveshow-proto/prototype/pages/admin/orders/admin-consumption-order-detail.html
5. 规则：BR-8A4845273AB660
6. 基线场景：SCN-FIN-015-02-2
7. 补充前覆盖：未覆盖；最佳匹配 ADATA-0009；预期分数 0.175
8. 未动态验证</x:v>
      </x:c>
    </x:row>
    <x:row r="559" ht="132" customHeight="1">
      <x:c r="A559" s="15" t="n">
        <x:v>558</x:v>
      </x:c>
      <x:c r="B559" s="15" t="str">
        <x:v>IDN-A-0052</x:v>
      </x:c>
      <x:c r="C559" s="15" t="str">
        <x:v>金币、礼物与订单</x:v>
      </x:c>
      <x:c r="D559" s="15" t="str">
        <x:v>充值退款（平台管理员视角）</x:v>
      </x:c>
      <x:c r="E559" s="15" t="str">
        <x:v>功能需求</x:v>
      </x:c>
      <x:c r="F559" s="15" t="str">
        <x:v>P1</x:v>
      </x:c>
      <x:c r="G559" s="15" t="str">
        <x:v>验证充值退款（平台管理员视角）在“充值订单退款时从当前余额扣除套餐本金金币与赠送金”场景下的处理</x:v>
      </x:c>
      <x:c r="H559" s="15" t="str">
        <x:v>充值订单退款时从当前余额扣除套餐本金金币与赠送金观察项</x:v>
      </x:c>
      <x:c r="I559" s="15" t="str">
        <x:v>1. 平台管理员账号及关联业务数据已准备，账号可进入当前页面
2. 准备一笔已支付且满足退款或冲正条件的订单</x:v>
      </x:c>
      <x:c r="J559" s="15" t="str">
        <x:v>1. 使用平台管理员账号从当前端导航进入【充值退款（平台管理员视角）】
2. 记录退款前余额，对含本金金币和赠送金币的充值订单执行退款，再读取当前余额
3. 刷新【充值退款（平台管理员视角）】，查询“充值订单退款时从当前余额扣除套餐本金金币与赠送金”对应的业务记录或界面反馈</x:v>
      </x:c>
      <x:c r="K559" s="15" t="str">
        <x:v>充值订单退款时从当前余额扣除套餐本金金币与赠送金币总额</x:v>
      </x:c>
      <x:c r="L559" s="15" t="str">
        <x:v>FLOW-FIN-016-A</x:v>
      </x:c>
      <x:c r="M559" s="15" t="str">
        <x:v>未测</x:v>
      </x:c>
      <x:c r="N559" s="15" t="str"/>
      <x:c r="O559" s="15" t="str">
        <x:v>1. 需求：REQ-FIN-016
2. 业务规则来源：需求规格说明.md:94
3. 原始问答：Q135
4. 入口证据：liveshow-proto/prototype/pages/admin/orders/admin-refund-order.html
5. 规则：BR-95E397A89DD964
6. 基线场景：SCN-FIN-016-01-2
7. 补充前覆盖：未覆盖；最佳匹配 AFIN-0005；预期分数 0.25
8. 未动态验证</x:v>
      </x:c>
    </x:row>
    <x:row r="560" ht="132" customHeight="1">
      <x:c r="A560" s="15" t="n">
        <x:v>559</x:v>
      </x:c>
      <x:c r="B560" s="15" t="str">
        <x:v>IDN-A-0053</x:v>
      </x:c>
      <x:c r="C560" s="15" t="str">
        <x:v>金币、礼物与订单</x:v>
      </x:c>
      <x:c r="D560" s="15" t="str">
        <x:v>充值套餐配置（平台管理员视角）</x:v>
      </x:c>
      <x:c r="E560" s="15" t="str">
        <x:v>功能需求</x:v>
      </x:c>
      <x:c r="F560" s="15" t="str">
        <x:v>P1</x:v>
      </x:c>
      <x:c r="G560" s="15" t="str">
        <x:v>验证充值套餐配置（平台管理员视角）在“配置套餐赠送金币绝对数量”场景下的处理</x:v>
      </x:c>
      <x:c r="H560" s="15" t="str">
        <x:v>配置套餐赠送金币绝对数量观察项</x:v>
      </x:c>
      <x:c r="I560" s="15" t="str">
        <x:v>1. 平台管理员账号及关联业务数据已准备，账号可进入当前页面</x:v>
      </x:c>
      <x:c r="J560" s="15" t="str">
        <x:v>1. 使用平台管理员账号从当前端导航进入【充值套餐配置（平台管理员视角）】
2. 后台录入套餐本金和赠送金币绝对值并保存，用户端刷新套餐卡片和最高赠送提示
3. 刷新【充值套餐配置（平台管理员视角）】，查询“配置套餐赠送金币绝对数量”对应的业务记录或界面反馈</x:v>
      </x:c>
      <x:c r="K560" s="15" t="str">
        <x:v>后台配置套餐赠送金币绝对数量</x:v>
      </x:c>
      <x:c r="L560" s="15" t="str">
        <x:v>FLOW-FIN-017-A</x:v>
      </x:c>
      <x:c r="M560" s="15" t="str">
        <x:v>未测</x:v>
      </x:c>
      <x:c r="N560" s="15" t="str"/>
      <x:c r="O560" s="15" t="str">
        <x:v>1. 需求：REQ-FIN-017
2. 业务规则来源：需求规格说明.md:95
3. 原始问答：Q137、Q139
4. 入口证据：liveshow-proto/prototype/pages/admin/operations/admin-recharge-package-detail.html
5. 规则：BR-5E9161D183C398
6. 基线场景：SCN-FIN-017-01-1
7. 补充前覆盖：未覆盖；最佳匹配 AOPS-0002；预期分数 0.3135
8. 未动态验证</x:v>
      </x:c>
    </x:row>
    <x:row r="561" ht="132" customHeight="1">
      <x:c r="A561" s="15" t="n">
        <x:v>560</x:v>
      </x:c>
      <x:c r="B561" s="15" t="str">
        <x:v>IDN-A-0054</x:v>
      </x:c>
      <x:c r="C561" s="15" t="str">
        <x:v>金币、礼物与订单</x:v>
      </x:c>
      <x:c r="D561" s="15" t="str">
        <x:v>充值套餐配置（平台管理员视角）</x:v>
      </x:c>
      <x:c r="E561" s="15" t="str">
        <x:v>异常用例</x:v>
      </x:c>
      <x:c r="F561" s="15" t="str">
        <x:v>P2</x:v>
      </x:c>
      <x:c r="G561" s="15" t="str">
        <x:v>验证充值套餐配置（平台管理员视角）在“不直接配置赠送百分比”场景下的处理</x:v>
      </x:c>
      <x:c r="H561" s="15" t="str">
        <x:v>不直接配置赠送百分比观察项</x:v>
      </x:c>
      <x:c r="I561" s="15" t="str">
        <x:v>1. 平台管理员账号及关联业务数据已准备，账号可进入当前页面</x:v>
      </x:c>
      <x:c r="J561" s="15" t="str">
        <x:v>1. 使用平台管理员账号从当前端导航进入【充值套餐配置（平台管理员视角）】
2. 后台录入套餐本金和赠送金币绝对值并保存，用户端刷新套餐卡片和最高赠送提示
3. 刷新【充值套餐配置（平台管理员视角）】，查询“不直接配置赠送百分比”对应的业务记录或界面反馈</x:v>
      </x:c>
      <x:c r="K561" s="15" t="str">
        <x:v>后台不直接配置赠送百分比</x:v>
      </x:c>
      <x:c r="L561" s="15" t="str">
        <x:v>FLOW-FIN-017-A</x:v>
      </x:c>
      <x:c r="M561" s="15" t="str">
        <x:v>未测</x:v>
      </x:c>
      <x:c r="N561" s="15" t="str"/>
      <x:c r="O561" s="15" t="str">
        <x:v>1. 需求：REQ-FIN-017
2. 业务规则来源：需求规格说明.md:95
3. 原始问答：Q137、Q139
4. 入口证据：liveshow-proto/prototype/pages/admin/operations/admin-recharge-package-detail.html
5. 规则：BR-56A83E7966C847
6. 基线场景：SCN-FIN-017-02-1
7. 补充前覆盖：未覆盖；最佳匹配 AGIFT-0023；预期分数 0.3127
8. 未动态验证</x:v>
      </x:c>
    </x:row>
    <x:row r="562" ht="132" customHeight="1">
      <x:c r="A562" s="15" t="n">
        <x:v>561</x:v>
      </x:c>
      <x:c r="B562" s="15" t="str">
        <x:v>IDN-A-0055</x:v>
      </x:c>
      <x:c r="C562" s="15" t="str">
        <x:v>金币、礼物与订单</x:v>
      </x:c>
      <x:c r="D562" s="15" t="str">
        <x:v>运营账号管理（后台视角）</x:v>
      </x:c>
      <x:c r="E562" s="15" t="str">
        <x:v>异常用例</x:v>
      </x:c>
      <x:c r="F562" s="15" t="str">
        <x:v>P1</x:v>
      </x:c>
      <x:c r="G562" s="15" t="str">
        <x:v>验证运营账号管理（后台视角）在“运营账号不持有真实金币”场景下的处理</x:v>
      </x:c>
      <x:c r="H562" s="15" t="str">
        <x:v>运营账号不持有真实金币观察项</x:v>
      </x:c>
      <x:c r="I562" s="15" t="str">
        <x:v>1. 平台管理员账号及关联业务数据已准备，账号可进入当前页面</x:v>
      </x:c>
      <x:c r="J562" s="15" t="str">
        <x:v>1. 使用平台管理员账号从当前端导航进入【运营账号管理（后台视角）】
2. 使用运营账号分别查看余额、尝试充值、领取任务和发送幸运礼物；公会与后台同时核对发放记录
3. 刷新【运营账号管理（后台视角）】，查询“运营账号不持有真实金币”对应的业务记录或界面反馈</x:v>
      </x:c>
      <x:c r="K562" s="15" t="str">
        <x:v>运营账号不持有真实金币</x:v>
      </x:c>
      <x:c r="L562" s="15" t="str">
        <x:v>FLOW-FIN-018-A</x:v>
      </x:c>
      <x:c r="M562" s="15" t="str">
        <x:v>未测</x:v>
      </x:c>
      <x:c r="N562" s="15" t="str"/>
      <x:c r="O562" s="15" t="str">
        <x:v>1. 需求：REQ-FIN-018
2. 业务规则来源：需求规格说明.md:96
3. 原始问答：Q111
4. 入口证据：liveshow-proto/prototype/pages/admin/accounts/admin-operation-account-detail.html
5. 规则：BR-ACB7608D5B17BE
6. 基线场景：SCN-FIN-018-01-3
7. 补充前覆盖：未覆盖；最佳匹配 AACCT-0015；预期分数 0.25
8. 未动态验证</x:v>
      </x:c>
    </x:row>
    <x:row r="563" ht="132" customHeight="1">
      <x:c r="A563" s="15" t="n">
        <x:v>562</x:v>
      </x:c>
      <x:c r="B563" s="15" t="str">
        <x:v>IDN-A-0056</x:v>
      </x:c>
      <x:c r="C563" s="15" t="str">
        <x:v>金币、礼物与订单</x:v>
      </x:c>
      <x:c r="D563" s="15" t="str">
        <x:v>运营账号管理（后台视角）</x:v>
      </x:c>
      <x:c r="E563" s="15" t="str">
        <x:v>功能需求</x:v>
      </x:c>
      <x:c r="F563" s="15" t="str">
        <x:v>P1</x:v>
      </x:c>
      <x:c r="G563" s="15" t="str">
        <x:v>验证运营账号管理（后台视角）在“运营账号只持有公会发放的虚拟金币”场景下的处理</x:v>
      </x:c>
      <x:c r="H563" s="15" t="str">
        <x:v>运营账号只持有公会发放的虚拟金币观察项</x:v>
      </x:c>
      <x:c r="I563" s="15" t="str">
        <x:v>1. 平台管理员账号及关联业务数据已准备，账号可进入当前页面</x:v>
      </x:c>
      <x:c r="J563" s="15" t="str">
        <x:v>1. 使用平台管理员账号从当前端导航进入【运营账号管理（后台视角）】
2. 使用运营账号分别查看余额、尝试充值、领取任务和发送幸运礼物；公会与后台同时核对发放记录
3. 刷新【运营账号管理（后台视角）】，查询“运营账号只持有公会发放的虚拟金币”对应的业务记录或界面反馈</x:v>
      </x:c>
      <x:c r="K563" s="15" t="str">
        <x:v>运营账号只持有公会发放的虚拟金币</x:v>
      </x:c>
      <x:c r="L563" s="15" t="str">
        <x:v>FLOW-FIN-018-A</x:v>
      </x:c>
      <x:c r="M563" s="15" t="str">
        <x:v>未测</x:v>
      </x:c>
      <x:c r="N563" s="15" t="str"/>
      <x:c r="O563" s="15" t="str">
        <x:v>1. 需求：REQ-FIN-018
2. 业务规则来源：需求规格说明.md:96
3. 原始问答：Q111
4. 入口证据：liveshow-proto/prototype/pages/admin/accounts/admin-operation-account-detail.html
5. 规则：BR-5B403594B715C3
6. 基线场景：SCN-FIN-018-02-3
7. 补充前覆盖：未覆盖；最佳匹配 ADATA-0086；预期分数 0.25
8. 未动态验证</x:v>
      </x:c>
    </x:row>
    <x:row r="564" ht="132" customHeight="1">
      <x:c r="A564" s="15" t="n">
        <x:v>563</x:v>
      </x:c>
      <x:c r="B564" s="15" t="str">
        <x:v>IDN-A-0057</x:v>
      </x:c>
      <x:c r="C564" s="15" t="str">
        <x:v>金币、礼物与订单</x:v>
      </x:c>
      <x:c r="D564" s="15" t="str">
        <x:v>运营账号管理（后台视角）</x:v>
      </x:c>
      <x:c r="E564" s="15" t="str">
        <x:v>异常用例</x:v>
      </x:c>
      <x:c r="F564" s="15" t="str">
        <x:v>P1</x:v>
      </x:c>
      <x:c r="G564" s="15" t="str">
        <x:v>验证运营账号管理（后台视角）在“运营账号充值”场景下的处理</x:v>
      </x:c>
      <x:c r="H564" s="15" t="str">
        <x:v>运营账号充值观察项</x:v>
      </x:c>
      <x:c r="I564" s="15" t="str">
        <x:v>1. 平台管理员账号及关联业务数据已准备，账号可进入当前页面</x:v>
      </x:c>
      <x:c r="J564" s="15" t="str">
        <x:v>1. 使用平台管理员账号从当前端导航进入【运营账号管理（后台视角）】
2. 使用运营账号分别查看余额、尝试充值、领取任务和发送幸运礼物；公会与后台同时核对发放记录
3. 刷新【运营账号管理（后台视角）】，查询“运营账号充值”对应的业务记录或界面反馈</x:v>
      </x:c>
      <x:c r="K564" s="15" t="str">
        <x:v>运营账号不能充值</x:v>
      </x:c>
      <x:c r="L564" s="15" t="str">
        <x:v>FLOW-FIN-018-A</x:v>
      </x:c>
      <x:c r="M564" s="15" t="str">
        <x:v>未测</x:v>
      </x:c>
      <x:c r="N564" s="15" t="str"/>
      <x:c r="O564" s="15" t="str">
        <x:v>1. 需求：REQ-FIN-018
2. 业务规则来源：需求规格说明.md:96
3. 原始问答：Q111
4. 入口证据：liveshow-proto/prototype/pages/admin/accounts/admin-operation-account-detail.html
5. 规则：BR-BFE2676753D271
6. 基线场景：SCN-FIN-018-03-3
7. 补充前覆盖：未覆盖；最佳匹配 AACCT-0015；预期分数 0.25
8. 未动态验证</x:v>
      </x:c>
    </x:row>
    <x:row r="565" ht="132" customHeight="1">
      <x:c r="A565" s="15" t="n">
        <x:v>564</x:v>
      </x:c>
      <x:c r="B565" s="15" t="str">
        <x:v>IDN-A-0058</x:v>
      </x:c>
      <x:c r="C565" s="15" t="str">
        <x:v>金币、礼物与订单</x:v>
      </x:c>
      <x:c r="D565" s="15" t="str">
        <x:v>运营账号管理（后台视角）</x:v>
      </x:c>
      <x:c r="E565" s="15" t="str">
        <x:v>异常用例</x:v>
      </x:c>
      <x:c r="F565" s="15" t="str">
        <x:v>P1</x:v>
      </x:c>
      <x:c r="G565" s="15" t="str">
        <x:v>验证运营账号管理（后台视角）在“运营账号做任务”场景下的处理</x:v>
      </x:c>
      <x:c r="H565" s="15" t="str">
        <x:v>运营账号做任务观察项</x:v>
      </x:c>
      <x:c r="I565" s="15" t="str">
        <x:v>1. 平台管理员账号及关联业务数据已准备，账号可进入当前页面</x:v>
      </x:c>
      <x:c r="J565" s="15" t="str">
        <x:v>1. 使用平台管理员账号从当前端导航进入【运营账号管理（后台视角）】
2. 使用运营账号分别查看余额、尝试充值、领取任务和发送幸运礼物；公会与后台同时核对发放记录
3. 刷新【运营账号管理（后台视角）】，查询“运营账号做任务”对应的业务记录或界面反馈</x:v>
      </x:c>
      <x:c r="K565" s="15" t="str">
        <x:v>运营账号不能做任务</x:v>
      </x:c>
      <x:c r="L565" s="15" t="str">
        <x:v>FLOW-FIN-018-A</x:v>
      </x:c>
      <x:c r="M565" s="15" t="str">
        <x:v>未测</x:v>
      </x:c>
      <x:c r="N565" s="15" t="str"/>
      <x:c r="O565" s="15" t="str">
        <x:v>1. 需求：REQ-FIN-018
2. 业务规则来源：需求规格说明.md:96
3. 原始问答：Q111
4. 入口证据：liveshow-proto/prototype/pages/admin/accounts/admin-operation-account-detail.html
5. 规则：BR-E40A82A8C22589
6. 基线场景：SCN-FIN-018-04-3
7. 补充前覆盖：未覆盖；最佳匹配 AACCT-0015；预期分数 0.25
8. 未动态验证</x:v>
      </x:c>
    </x:row>
    <x:row r="566" ht="132" customHeight="1">
      <x:c r="A566" s="15" t="n">
        <x:v>565</x:v>
      </x:c>
      <x:c r="B566" s="15" t="str">
        <x:v>IDN-A-0059</x:v>
      </x:c>
      <x:c r="C566" s="15" t="str">
        <x:v>金币、礼物与订单</x:v>
      </x:c>
      <x:c r="D566" s="15" t="str">
        <x:v>运营账号管理（后台视角）</x:v>
      </x:c>
      <x:c r="E566" s="15" t="str">
        <x:v>异常用例</x:v>
      </x:c>
      <x:c r="F566" s="15" t="str">
        <x:v>P1</x:v>
      </x:c>
      <x:c r="G566" s="15" t="str">
        <x:v>验证运营账号管理（后台视角）在“运营账号发送幸运礼物”场景下的处理</x:v>
      </x:c>
      <x:c r="H566" s="15" t="str">
        <x:v>运营账号发送幸运礼物观察项</x:v>
      </x:c>
      <x:c r="I566" s="15" t="str">
        <x:v>1. 平台管理员账号及关联业务数据已准备，账号可进入当前页面</x:v>
      </x:c>
      <x:c r="J566" s="15" t="str">
        <x:v>1. 使用平台管理员账号从当前端导航进入【运营账号管理（后台视角）】
2. 使用运营账号分别查看余额、尝试充值、领取任务和发送幸运礼物；公会与后台同时核对发放记录
3. 刷新【运营账号管理（后台视角）】，查询“运营账号发送幸运礼物”对应的业务记录或界面反馈</x:v>
      </x:c>
      <x:c r="K566" s="15" t="str">
        <x:v>运营账号不能发送幸运礼物</x:v>
      </x:c>
      <x:c r="L566" s="15" t="str">
        <x:v>FLOW-FIN-018-A</x:v>
      </x:c>
      <x:c r="M566" s="15" t="str">
        <x:v>未测</x:v>
      </x:c>
      <x:c r="N566" s="15" t="str"/>
      <x:c r="O566" s="15" t="str">
        <x:v>1. 需求：REQ-FIN-018
2. 业务规则来源：需求规格说明.md:96
3. 原始问答：Q111
4. 入口证据：liveshow-proto/prototype/pages/admin/accounts/admin-operation-account-detail.html
5. 规则：BR-5B1EFEDF48C03F
6. 基线场景：SCN-FIN-018-05-3
7. 补充前覆盖：未覆盖；最佳匹配 AFIN-0045；预期分数 0.25
8. 未动态验证</x:v>
      </x:c>
    </x:row>
    <x:row r="567" ht="132" customHeight="1">
      <x:c r="A567" s="15" t="n">
        <x:v>566</x:v>
      </x:c>
      <x:c r="B567" s="15" t="str">
        <x:v>IDN-A-0060</x:v>
      </x:c>
      <x:c r="C567" s="15" t="str">
        <x:v>任务与等级</x:v>
      </x:c>
      <x:c r="D567" s="15" t="str">
        <x:v>任务配置（平台管理员视角）</x:v>
      </x:c>
      <x:c r="E567" s="15" t="str">
        <x:v>异常用例</x:v>
      </x:c>
      <x:c r="F567" s="15" t="str">
        <x:v>P2</x:v>
      </x:c>
      <x:c r="G567" s="15" t="str">
        <x:v>验证任务配置（平台管理员视角）在“本期后台不新建任务”场景下的处理</x:v>
      </x:c>
      <x:c r="H567" s="15" t="str">
        <x:v>本期后台不新建任务观察项</x:v>
      </x:c>
      <x:c r="I567" s="15" t="str">
        <x:v>1. 平台管理员账号及关联业务数据已准备，账号可进入当前页面</x:v>
      </x:c>
      <x:c r="J567" s="15" t="str">
        <x:v>1. 使用平台管理员账号从当前端导航进入【任务配置（平台管理员视角）】
2. 后台进入任务配置检查新建入口及可编辑字段，用户端打开全部任务列表
3. 刷新【任务配置（平台管理员视角）】，查询“本期后台不新建任务”对应的业务记录或界面反馈</x:v>
      </x:c>
      <x:c r="K567" s="15" t="str">
        <x:v>本期后台不支持新建任务</x:v>
      </x:c>
      <x:c r="L567" s="15" t="str"/>
      <x:c r="M567" s="15" t="str">
        <x:v>未测</x:v>
      </x:c>
      <x:c r="N567" s="15" t="str"/>
      <x:c r="O567" s="15" t="str">
        <x:v>1. 需求：REQ-TASK-001
2. 业务规则来源：需求规格说明.md:103
3. 原始问答：Q077
4. 入口证据：liveshow-proto/prototype/pages/admin/operations/admin-task-config.html
5. 规则：BR-56C495CFBBE65B
6. 基线场景：SCN-TASK-001-01-1
7. 补充前覆盖：未覆盖；最佳匹配 ASYS-0001；预期分数 0.1563
8. 未动态验证</x:v>
      </x:c>
    </x:row>
    <x:row r="568" ht="132" customHeight="1">
      <x:c r="A568" s="15" t="n">
        <x:v>567</x:v>
      </x:c>
      <x:c r="B568" s="15" t="str">
        <x:v>IDN-A-0061</x:v>
      </x:c>
      <x:c r="C568" s="15" t="str">
        <x:v>任务与等级</x:v>
      </x:c>
      <x:c r="D568" s="15" t="str">
        <x:v>任务配置（平台管理员视角）</x:v>
      </x:c>
      <x:c r="E568" s="15" t="str">
        <x:v>功能需求</x:v>
      </x:c>
      <x:c r="F568" s="15" t="str">
        <x:v>P2</x:v>
      </x:c>
      <x:c r="G568" s="15" t="str">
        <x:v>验证任务配置（平台管理员视角）在“本期只提供连续登录奖励任务”场景下的处理</x:v>
      </x:c>
      <x:c r="H568" s="15" t="str">
        <x:v>本期只提供连续登录奖励任务观察项</x:v>
      </x:c>
      <x:c r="I568" s="15" t="str">
        <x:v>1. 平台管理员账号及关联业务数据已准备，账号可进入当前页面</x:v>
      </x:c>
      <x:c r="J568" s="15" t="str">
        <x:v>1. 使用平台管理员账号从当前端导航进入【任务配置（平台管理员视角）】
2. 后台进入任务配置检查新建入口及可编辑字段，用户端打开全部任务列表
3. 刷新【任务配置（平台管理员视角）】，查询“本期只提供连续登录奖励任务”对应的业务记录或界面反馈</x:v>
      </x:c>
      <x:c r="K568" s="15" t="str">
        <x:v>本期只提供连续登录奖励任务</x:v>
      </x:c>
      <x:c r="L568" s="15" t="str"/>
      <x:c r="M568" s="15" t="str">
        <x:v>未测</x:v>
      </x:c>
      <x:c r="N568" s="15" t="str"/>
      <x:c r="O568" s="15" t="str">
        <x:v>1. 需求：REQ-TASK-001
2. 业务规则来源：需求规格说明.md:103
3. 原始问答：Q077
4. 入口证据：liveshow-proto/prototype/pages/admin/operations/admin-task-config.html
5. 规则：BR-9149F698D74EB6
6. 基线场景：SCN-TASK-001-02-2
7. 补充前覆盖：未覆盖；最佳匹配 AOPS-0062；预期分数 0.175
8. 未动态验证</x:v>
      </x:c>
    </x:row>
    <x:row r="569" ht="132" customHeight="1">
      <x:c r="A569" s="15" t="n">
        <x:v>568</x:v>
      </x:c>
      <x:c r="B569" s="15" t="str">
        <x:v>IDN-A-0062</x:v>
      </x:c>
      <x:c r="C569" s="15" t="str">
        <x:v>任务与等级</x:v>
      </x:c>
      <x:c r="D569" s="15" t="str">
        <x:v>任务配置（平台管理员视角）</x:v>
      </x:c>
      <x:c r="E569" s="15" t="str">
        <x:v>异常用例</x:v>
      </x:c>
      <x:c r="F569" s="15" t="str">
        <x:v>P2</x:v>
      </x:c>
      <x:c r="G569" s="15" t="str">
        <x:v>验证任务配置（平台管理员视角）在“用户动作由开发预置且后台修改”场景下的处理</x:v>
      </x:c>
      <x:c r="H569" s="15" t="str">
        <x:v>用户动作由开发预置且后台修改观察项</x:v>
      </x:c>
      <x:c r="I569" s="15" t="str">
        <x:v>1. 平台管理员账号及关联业务数据已准备，账号可进入当前页面</x:v>
      </x:c>
      <x:c r="J569" s="15" t="str">
        <x:v>1. 使用平台管理员账号从当前端导航进入【任务配置（平台管理员视角）】
2. 后台进入任务配置检查新建入口及可编辑字段，用户端打开全部任务列表
3. 刷新【任务配置（平台管理员视角）】，查询“用户动作由开发预置且后台修改”对应的业务记录或界面反馈</x:v>
      </x:c>
      <x:c r="K569" s="15" t="str">
        <x:v>用户动作由开发预置且后台不能修改</x:v>
      </x:c>
      <x:c r="L569" s="15" t="str"/>
      <x:c r="M569" s="15" t="str">
        <x:v>未测</x:v>
      </x:c>
      <x:c r="N569" s="15" t="str"/>
      <x:c r="O569" s="15" t="str">
        <x:v>1. 需求：REQ-TASK-001
2. 业务规则来源：需求规格说明.md:103
3. 原始问答：Q077
4. 入口证据：liveshow-proto/prototype/pages/admin/operations/admin-task-config.html
5. 规则：BR-4E48DBDDA21A42
6. 基线场景：SCN-TASK-001-03-1
7. 补充前覆盖：未覆盖；最佳匹配 AFIN-0048；预期分数 0.1346
8. 未动态验证</x:v>
      </x:c>
    </x:row>
    <x:row r="570" ht="132" customHeight="1">
      <x:c r="A570" s="15" t="n">
        <x:v>569</x:v>
      </x:c>
      <x:c r="B570" s="15" t="str">
        <x:v>IDN-A-0063</x:v>
      </x:c>
      <x:c r="C570" s="15" t="str">
        <x:v>任务与等级</x:v>
      </x:c>
      <x:c r="D570" s="15" t="str">
        <x:v>任务配置（平台管理员视角）</x:v>
      </x:c>
      <x:c r="E570" s="15" t="str">
        <x:v>异常用例</x:v>
      </x:c>
      <x:c r="F570" s="15" t="str">
        <x:v>P2</x:v>
      </x:c>
      <x:c r="G570" s="15" t="str">
        <x:v>验证任务配置（平台管理员视角）在“统计维度由开发预置且后台修改”场景下的处理</x:v>
      </x:c>
      <x:c r="H570" s="15" t="str">
        <x:v>统计维度由开发预置且后台修改观察项</x:v>
      </x:c>
      <x:c r="I570" s="15" t="str">
        <x:v>1. 平台管理员账号及关联业务数据已准备，账号可进入当前页面</x:v>
      </x:c>
      <x:c r="J570" s="15" t="str">
        <x:v>1. 使用平台管理员账号从当前端导航进入【任务配置（平台管理员视角）】
2. 后台进入任务配置检查新建入口及可编辑字段，用户端打开全部任务列表
3. 刷新【任务配置（平台管理员视角）】，查询“统计维度由开发预置且后台修改”对应的业务记录或界面反馈</x:v>
      </x:c>
      <x:c r="K570" s="15" t="str">
        <x:v>统计维度由开发预置且后台不能修改</x:v>
      </x:c>
      <x:c r="L570" s="15" t="str"/>
      <x:c r="M570" s="15" t="str">
        <x:v>未测</x:v>
      </x:c>
      <x:c r="N570" s="15" t="str"/>
      <x:c r="O570" s="15" t="str">
        <x:v>1. 需求：REQ-TASK-001
2. 业务规则来源：需求规格说明.md:103
3. 原始问答：Q077
4. 入口证据：liveshow-proto/prototype/pages/admin/operations/admin-task-config.html
5. 规则：BR-E1DC2C2268B345
6. 基线场景：SCN-TASK-001-04-1
7. 补充前覆盖：未覆盖；最佳匹配 AFIN-0048；预期分数 0.13
8. 未动态验证</x:v>
      </x:c>
    </x:row>
    <x:row r="571" ht="132" customHeight="1">
      <x:c r="A571" s="15" t="n">
        <x:v>570</x:v>
      </x:c>
      <x:c r="B571" s="15" t="str">
        <x:v>IDN-A-0064</x:v>
      </x:c>
      <x:c r="C571" s="15" t="str">
        <x:v>任务与等级</x:v>
      </x:c>
      <x:c r="D571" s="15" t="str">
        <x:v>任务配置（平台管理员视角）</x:v>
      </x:c>
      <x:c r="E571" s="15" t="str">
        <x:v>异常用例</x:v>
      </x:c>
      <x:c r="F571" s="15" t="str">
        <x:v>P2</x:v>
      </x:c>
      <x:c r="G571" s="15" t="str">
        <x:v>验证任务配置（平台管理员视角）在“统计周期由开发预置且后台修改”场景下的处理</x:v>
      </x:c>
      <x:c r="H571" s="15" t="str">
        <x:v>统计周期由开发预置且后台修改观察项</x:v>
      </x:c>
      <x:c r="I571" s="15" t="str">
        <x:v>1. 平台管理员账号及关联业务数据已准备，账号可进入当前页面</x:v>
      </x:c>
      <x:c r="J571" s="15" t="str">
        <x:v>1. 使用平台管理员账号从当前端导航进入【任务配置（平台管理员视角）】
2. 后台进入任务配置检查新建入口及可编辑字段，用户端打开全部任务列表
3. 刷新【任务配置（平台管理员视角）】，查询“统计周期由开发预置且后台修改”对应的业务记录或界面反馈</x:v>
      </x:c>
      <x:c r="K571" s="15" t="str">
        <x:v>统计周期由开发预置且后台不能修改</x:v>
      </x:c>
      <x:c r="L571" s="15" t="str"/>
      <x:c r="M571" s="15" t="str">
        <x:v>未测</x:v>
      </x:c>
      <x:c r="N571" s="15" t="str"/>
      <x:c r="O571" s="15" t="str">
        <x:v>1. 需求：REQ-TASK-001
2. 业务规则来源：需求规格说明.md:103
3. 原始问答：Q077
4. 入口证据：liveshow-proto/prototype/pages/admin/operations/admin-task-config.html
5. 规则：BR-835A137826D6D7
6. 基线场景：SCN-TASK-001-05-1
7. 补充前覆盖：未覆盖；最佳匹配 AOPS-0066；预期分数 0.2543
8. 未动态验证</x:v>
      </x:c>
    </x:row>
    <x:row r="572" ht="132" customHeight="1">
      <x:c r="A572" s="15" t="n">
        <x:v>571</x:v>
      </x:c>
      <x:c r="B572" s="15" t="str">
        <x:v>IDN-A-0065</x:v>
      </x:c>
      <x:c r="C572" s="15" t="str">
        <x:v>任务与等级</x:v>
      </x:c>
      <x:c r="D572" s="15" t="str">
        <x:v>奖励档位配置（平台管理员视角）</x:v>
      </x:c>
      <x:c r="E572" s="15" t="str">
        <x:v>异常用例</x:v>
      </x:c>
      <x:c r="F572" s="15" t="str">
        <x:v>P2</x:v>
      </x:c>
      <x:c r="G572" s="15" t="str">
        <x:v>验证奖励档位配置（平台管理员视角）在“同一任务中的奖励档位值重复”场景下的处理</x:v>
      </x:c>
      <x:c r="H572" s="15" t="str">
        <x:v>同一任务中的奖励档位值重复观察项</x:v>
      </x:c>
      <x:c r="I572" s="15" t="str">
        <x:v>1. 平台管理员账号及关联业务数据已准备，账号可进入当前页面</x:v>
      </x:c>
      <x:c r="J572" s="15" t="str">
        <x:v>1. 使用平台管理员账号从当前端导航进入【奖励档位配置（平台管理员视角）】
2. 在同一任务中新增两个相同奖励档位值并保存
3. 刷新【奖励档位配置（平台管理员视角）】，查询“同一任务中的奖励档位值重复”对应的业务记录或界面反馈</x:v>
      </x:c>
      <x:c r="K572" s="15" t="str">
        <x:v>同一任务中的奖励档位值不能重复</x:v>
      </x:c>
      <x:c r="L572" s="15" t="str"/>
      <x:c r="M572" s="15" t="str">
        <x:v>未测</x:v>
      </x:c>
      <x:c r="N572" s="15" t="str"/>
      <x:c r="O572" s="15" t="str">
        <x:v>1. 需求：REQ-TASK-002
2. 业务规则来源：需求规格说明.md:104
3. 原始问答：Q078
4. 入口证据：liveshow-proto/prototype/pages/admin/operations/admin-task-detail.html
5. 规则：BR-BD3EB814FD282A
6. 基线场景：SCN-TASK-002-01-1
7. 补充前覆盖：未覆盖；最佳匹配 AOPS-0062；预期分数 0.1643
8. 未动态验证</x:v>
      </x:c>
    </x:row>
    <x:row r="573" ht="132" customHeight="1">
      <x:c r="A573" s="15" t="n">
        <x:v>572</x:v>
      </x:c>
      <x:c r="B573" s="15" t="str">
        <x:v>IDN-A-0066</x:v>
      </x:c>
      <x:c r="C573" s="15" t="str">
        <x:v>任务与等级</x:v>
      </x:c>
      <x:c r="D573" s="15" t="str">
        <x:v>任务奖励配置（平台管理员视角）</x:v>
      </x:c>
      <x:c r="E573" s="15" t="str">
        <x:v>功能需求</x:v>
      </x:c>
      <x:c r="F573" s="15" t="str">
        <x:v>P2</x:v>
      </x:c>
      <x:c r="G573" s="15" t="str">
        <x:v>验证任务奖励配置（平台管理员视角）在“邀请奖励固定规则”场景下的处理</x:v>
      </x:c>
      <x:c r="H573" s="15" t="str">
        <x:v>邀请奖励固定规则观察项</x:v>
      </x:c>
      <x:c r="I573" s="15" t="str">
        <x:v>1. 平台管理员账号及关联业务数据已准备，账号可进入当前页面</x:v>
      </x:c>
      <x:c r="J573" s="15" t="str">
        <x:v>1. 使用平台管理员账号从当前端导航进入【任务奖励配置（平台管理员视角）】
2. 分别打开邀请奖励和普通任务奖励配置，尝试修改规则并在用户端刷新
3. 刷新【任务奖励配置（平台管理员视角）】，查询“邀请奖励固定规则”对应的业务记录或界面反馈</x:v>
      </x:c>
      <x:c r="K573" s="15" t="str">
        <x:v>邀请奖励使用固定规则</x:v>
      </x:c>
      <x:c r="L573" s="15" t="str">
        <x:v>FLOW-TASK-003-A</x:v>
      </x:c>
      <x:c r="M573" s="15" t="str">
        <x:v>未测</x:v>
      </x:c>
      <x:c r="N573" s="15" t="str"/>
      <x:c r="O573" s="15" t="str">
        <x:v>1. 需求：REQ-TASK-003
2. 业务规则来源：需求规格说明.md:105
3. 原始问答：Q081
4. 入口证据：liveshow-proto/prototype/pages/admin/operations/admin-task-config.html
5. 规则：BR-CE958E323A7823
6. 基线场景：SCN-TASK-003-01-2
7. 补充前覆盖：未覆盖；最佳匹配 AGIFT-0020；预期分数 0.15
8. 未动态验证</x:v>
      </x:c>
    </x:row>
    <x:row r="574" ht="132" customHeight="1">
      <x:c r="A574" s="15" t="n">
        <x:v>573</x:v>
      </x:c>
      <x:c r="B574" s="15" t="str">
        <x:v>IDN-A-0067</x:v>
      </x:c>
      <x:c r="C574" s="15" t="str">
        <x:v>任务与等级</x:v>
      </x:c>
      <x:c r="D574" s="15" t="str">
        <x:v>任务奖励配置（平台管理员视角）</x:v>
      </x:c>
      <x:c r="E574" s="15" t="str">
        <x:v>功能需求</x:v>
      </x:c>
      <x:c r="F574" s="15" t="str">
        <x:v>P2</x:v>
      </x:c>
      <x:c r="G574" s="15" t="str">
        <x:v>验证任务奖励配置（平台管理员视角）在“任务奖励允许后台配置”场景下的处理</x:v>
      </x:c>
      <x:c r="H574" s="15" t="str">
        <x:v>任务奖励允许后台配置观察项</x:v>
      </x:c>
      <x:c r="I574" s="15" t="str">
        <x:v>1. 平台管理员账号及关联业务数据已准备，账号可进入当前页面</x:v>
      </x:c>
      <x:c r="J574" s="15" t="str">
        <x:v>1. 使用平台管理员账号从当前端导航进入【任务奖励配置（平台管理员视角）】
2. 分别打开邀请奖励和普通任务奖励配置，尝试修改规则并在用户端刷新
3. 刷新【任务奖励配置（平台管理员视角）】，查询“任务奖励允许后台配置”对应的业务记录或界面反馈</x:v>
      </x:c>
      <x:c r="K574" s="15" t="str">
        <x:v>任务奖励允许后台配置</x:v>
      </x:c>
      <x:c r="L574" s="15" t="str">
        <x:v>FLOW-TASK-003-A</x:v>
      </x:c>
      <x:c r="M574" s="15" t="str">
        <x:v>未测</x:v>
      </x:c>
      <x:c r="N574" s="15" t="str"/>
      <x:c r="O574" s="15" t="str">
        <x:v>1. 需求：REQ-TASK-003
2. 业务规则来源：需求规格说明.md:105
3. 原始问答：Q081
4. 入口证据：liveshow-proto/prototype/pages/admin/operations/admin-task-config.html
5. 规则：BR-4214AA9B38986F
6. 基线场景：SCN-TASK-003-02-1
7. 补充前覆盖：未覆盖；最佳匹配 AOPS-0062；预期分数 0.2
8. 未动态验证</x:v>
      </x:c>
    </x:row>
    <x:row r="575" ht="132" customHeight="1">
      <x:c r="A575" s="15" t="n">
        <x:v>574</x:v>
      </x:c>
      <x:c r="B575" s="15" t="str">
        <x:v>IDN-A-0068</x:v>
      </x:c>
      <x:c r="C575" s="15" t="str">
        <x:v>任务与等级</x:v>
      </x:c>
      <x:c r="D575" s="15" t="str">
        <x:v>奖励档位配置（平台管理员视角）</x:v>
      </x:c>
      <x:c r="E575" s="15" t="str">
        <x:v>功能需求</x:v>
      </x:c>
      <x:c r="F575" s="15" t="str">
        <x:v>P2</x:v>
      </x:c>
      <x:c r="G575" s="15" t="str">
        <x:v>验证奖励档位配置（平台管理员视角）在“用户达到较高档位后新增较低档位时立即具备领取新增”场景下的处理</x:v>
      </x:c>
      <x:c r="H575" s="15" t="str">
        <x:v>用户达到较高档位后新增较低档位时立即具备领取新增观察项</x:v>
      </x:c>
      <x:c r="I575" s="15" t="str">
        <x:v>1. 平台管理员账号及关联业务数据已准备，账号可进入当前页面</x:v>
      </x:c>
      <x:c r="J575" s="15" t="str">
        <x:v>1. 使用平台管理员账号从当前端导航进入【奖励档位配置（平台管理员视角）】
2. 先让用户达到较高档位，再由后台新增较低档位并保存，用户端立即刷新任务页
3. 刷新【奖励档位配置（平台管理员视角）】，查询“用户达到较高档位后新增较低档位时立即具备领取新增”对应的业务记录或界面反馈</x:v>
      </x:c>
      <x:c r="K575" s="15" t="str">
        <x:v>用户达到较高档位后新增较低档位时立即具备领取新增档位奖励的资格</x:v>
      </x:c>
      <x:c r="L575" s="15" t="str">
        <x:v>FLOW-TASK-004-A</x:v>
      </x:c>
      <x:c r="M575" s="15" t="str">
        <x:v>未测</x:v>
      </x:c>
      <x:c r="N575" s="15" t="str"/>
      <x:c r="O575" s="15" t="str">
        <x:v>1. 需求：REQ-TASK-004
2. 业务规则来源：需求规格说明.md:106
3. 原始问答：Q084
4. 入口证据：liveshow-proto/prototype/pages/admin/operations/admin-task-detail.html
5. 规则：BR-869380D34DC347
6. 基线场景：SCN-TASK-004-01-2
7. 补充前覆盖：未覆盖；最佳匹配 AGIFT-0066；预期分数 0.1196
8. 未动态验证</x:v>
      </x:c>
    </x:row>
    <x:row r="576" ht="132" customHeight="1">
      <x:c r="A576" s="15" t="n">
        <x:v>575</x:v>
      </x:c>
      <x:c r="B576" s="15" t="str">
        <x:v>IDN-A-0069</x:v>
      </x:c>
      <x:c r="C576" s="15" t="str">
        <x:v>任务与等级</x:v>
      </x:c>
      <x:c r="D576" s="15" t="str">
        <x:v>连续登录奖励配置（平台管理员视角）</x:v>
      </x:c>
      <x:c r="E576" s="15" t="str">
        <x:v>功能需求</x:v>
      </x:c>
      <x:c r="F576" s="15" t="str">
        <x:v>P2</x:v>
      </x:c>
      <x:c r="G576" s="15" t="str">
        <x:v>验证连续登录奖励配置（平台管理员视角）在“连续登录达到配置最高第 z 天后继续按第 z 天”场景下的处理</x:v>
      </x:c>
      <x:c r="H576" s="15" t="str">
        <x:v>连续登录达到配置最高第 z 天后继续按第 z 天观察项</x:v>
      </x:c>
      <x:c r="I576" s="15" t="str">
        <x:v>1. 平台管理员账号及关联业务数据已准备，账号可进入当前页面</x:v>
      </x:c>
      <x:c r="J576" s="15" t="str">
        <x:v>1. 使用平台管理员账号从当前端导航进入【连续登录奖励配置（平台管理员视角）】
2. 后台将连续登录最高档配置到第 z 天，用户连续登录到 z+1 天及以后并领取奖励
3. 刷新【连续登录奖励配置（平台管理员视角）】，查询“连续登录达到配置最高第 z 天后继续按第 z 天”对应的业务记录或界面反馈</x:v>
      </x:c>
      <x:c r="K576" s="15" t="str">
        <x:v>连续登录达到配置最高第 z 天后继续按第 z 天最高档奖励发放</x:v>
      </x:c>
      <x:c r="L576" s="15" t="str">
        <x:v>FLOW-TASK-007-A</x:v>
      </x:c>
      <x:c r="M576" s="15" t="str">
        <x:v>未测</x:v>
      </x:c>
      <x:c r="N576" s="15" t="str"/>
      <x:c r="O576" s="15" t="str">
        <x:v>1. 需求：REQ-TASK-007
2. 业务规则来源：需求规格说明.md:109
3. 原始问答：Q140
4. 入口证据：liveshow-proto/prototype/pages/admin/operations/admin-task-detail.html
5. 规则：BR-2A2AD7FE9ACE23
6. 基线场景：SCN-TASK-007-01-2
7. 补充前覆盖：未覆盖；最佳匹配 AOPS-0062；预期分数 0.1196
8. 未动态验证</x:v>
      </x:c>
    </x:row>
    <x:row r="577" ht="132" customHeight="1">
      <x:c r="A577" s="15" t="n">
        <x:v>576</x:v>
      </x:c>
      <x:c r="B577" s="15" t="str">
        <x:v>IDN-A-0070</x:v>
      </x:c>
      <x:c r="C577" s="15" t="str">
        <x:v>任务与等级</x:v>
      </x:c>
      <x:c r="D577" s="15" t="str">
        <x:v>财富等级配置（平台管理员视角）</x:v>
      </x:c>
      <x:c r="E577" s="15" t="str">
        <x:v>功能需求</x:v>
      </x:c>
      <x:c r="F577" s="15" t="str">
        <x:v>P2</x:v>
      </x:c>
      <x:c r="G577" s="15" t="str">
        <x:v>验证财富等级配置（平台管理员视角）在“财富等级与用户累计打赏金额相关”场景下的处理</x:v>
      </x:c>
      <x:c r="H577" s="15" t="str">
        <x:v>财富等级与用户累计打赏金额相关观察项</x:v>
      </x:c>
      <x:c r="I577" s="15" t="str">
        <x:v>1. 平台管理员账号及关联业务数据已准备，账号可进入当前页面</x:v>
      </x:c>
      <x:c r="J577" s="15" t="str">
        <x:v>1. 使用平台管理员账号从当前端导航进入【财富等级配置（平台管理员视角）】
2. 准备累计打赏金额不同的用户，刷新财富等级并在后台核对等级数据
3. 刷新【财富等级配置（平台管理员视角）】，查询“财富等级与用户累计打赏金额相关”对应的业务记录或界面反馈</x:v>
      </x:c>
      <x:c r="K577" s="15" t="str">
        <x:v>财富等级与用户累计打赏金额相关</x:v>
      </x:c>
      <x:c r="L577" s="15" t="str"/>
      <x:c r="M577" s="15" t="str">
        <x:v>未测</x:v>
      </x:c>
      <x:c r="N577" s="15" t="str"/>
      <x:c r="O577" s="15" t="str">
        <x:v>1. 需求：REQ-TASK-009
2. 业务规则来源：需求规格说明.md:111
3. 原始问答：Q142
4. 入口证据：liveshow-proto/prototype/pages/admin/operations/admin-level-config.html
5. 规则：BR-BDF73DDCA8A385
6. 基线场景：SCN-TASK-009-01-2
7. 补充前覆盖：部分覆盖；最佳匹配 AUSER-0004；预期分数 0.335
8. 未动态验证</x:v>
      </x:c>
    </x:row>
    <x:row r="578" ht="132" customHeight="1">
      <x:c r="A578" s="15" t="n">
        <x:v>577</x:v>
      </x:c>
      <x:c r="B578" s="15" t="str">
        <x:v>IDN-A-0071</x:v>
      </x:c>
      <x:c r="C578" s="15" t="str">
        <x:v>公会与运营</x:v>
      </x:c>
      <x:c r="D578" s="15" t="str">
        <x:v>公会推荐（平台管理员视角）</x:v>
      </x:c>
      <x:c r="E578" s="15" t="str">
        <x:v>异常用例</x:v>
      </x:c>
      <x:c r="F578" s="15" t="str">
        <x:v>P2</x:v>
      </x:c>
      <x:c r="G578" s="15" t="str">
        <x:v>验证公会推荐（平台管理员视角）在“公会停用时从公会推荐中移除”场景下的处理</x:v>
      </x:c>
      <x:c r="H578" s="15" t="str">
        <x:v>公会停用时从公会推荐中移除观察项</x:v>
      </x:c>
      <x:c r="I578" s="15" t="str">
        <x:v>1. 平台管理员账号及关联业务数据已准备，账号可进入当前页面</x:v>
      </x:c>
      <x:c r="J578" s="15" t="str">
        <x:v>1. 使用平台管理员账号从当前端导航进入【公会推荐（平台管理员视角）】
2. 后台停用当前推荐公会并刷新用户端推荐，再重新启用该公会并再次刷新
3. 刷新【公会推荐（平台管理员视角）】，查询“公会停用时从公会推荐中移除”对应的业务记录或界面反馈</x:v>
      </x:c>
      <x:c r="K578" s="15" t="str">
        <x:v>公会停用时自动从公会推荐中移除</x:v>
      </x:c>
      <x:c r="L578" s="15" t="str">
        <x:v>FLOW-GUILD-001-A</x:v>
      </x:c>
      <x:c r="M578" s="15" t="str">
        <x:v>未测</x:v>
      </x:c>
      <x:c r="N578" s="15" t="str"/>
      <x:c r="O578" s="15" t="str">
        <x:v>1. 需求：REQ-GUILD-001
2. 业务规则来源：需求规格说明.md:117
3. 原始问答：Q079
4. 入口证据：liveshow-proto/prototype/pages/admin/operations/admin-guild-recommendation.html
5. 规则：BR-9F3DF88FDCE67C
6. 基线场景：SCN-GUILD-001-01-3
7. 补充前覆盖：未覆盖；最佳匹配 AOPS-0024；预期分数 0.2731
8. 未动态验证</x:v>
      </x:c>
    </x:row>
    <x:row r="579" ht="132" customHeight="1">
      <x:c r="A579" s="15" t="n">
        <x:v>578</x:v>
      </x:c>
      <x:c r="B579" s="15" t="str">
        <x:v>IDN-A-0072</x:v>
      </x:c>
      <x:c r="C579" s="15" t="str">
        <x:v>公会与运营</x:v>
      </x:c>
      <x:c r="D579" s="15" t="str">
        <x:v>公会推荐（平台管理员视角）</x:v>
      </x:c>
      <x:c r="E579" s="15" t="str">
        <x:v>异常用例</x:v>
      </x:c>
      <x:c r="F579" s="15" t="str">
        <x:v>P2</x:v>
      </x:c>
      <x:c r="G579" s="15" t="str">
        <x:v>验证公会推荐（平台管理员视角）在“公会重新启用时不恢复原推荐”场景下的处理</x:v>
      </x:c>
      <x:c r="H579" s="15" t="str">
        <x:v>公会重新启用时不恢复原推荐观察项</x:v>
      </x:c>
      <x:c r="I579" s="15" t="str">
        <x:v>1. 平台管理员账号及关联业务数据已准备，账号可进入当前页面</x:v>
      </x:c>
      <x:c r="J579" s="15" t="str">
        <x:v>1. 使用平台管理员账号从当前端导航进入【公会推荐（平台管理员视角）】
2. 后台停用当前推荐公会并刷新用户端推荐，再重新启用该公会并再次刷新
3. 刷新【公会推荐（平台管理员视角）】，查询“公会重新启用时不恢复原推荐”对应的业务记录或界面反馈</x:v>
      </x:c>
      <x:c r="K579" s="15" t="str">
        <x:v>公会重新启用时不自动恢复原推荐</x:v>
      </x:c>
      <x:c r="L579" s="15" t="str">
        <x:v>FLOW-GUILD-001-A</x:v>
      </x:c>
      <x:c r="M579" s="15" t="str">
        <x:v>未测</x:v>
      </x:c>
      <x:c r="N579" s="15" t="str"/>
      <x:c r="O579" s="15" t="str">
        <x:v>1. 需求：REQ-GUILD-001
2. 业务规则来源：需求规格说明.md:117
3. 原始问答：Q079
4. 入口证据：liveshow-proto/prototype/pages/admin/operations/admin-guild-recommendation.html
5. 规则：BR-56BCF39C4C526F
6. 基线场景：SCN-GUILD-001-02-3
7. 补充前覆盖：未覆盖；最佳匹配 AOPS-0024；预期分数 0.1643
8. 未动态验证</x:v>
      </x:c>
    </x:row>
    <x:row r="580" ht="132" customHeight="1">
      <x:c r="A580" s="15" t="n">
        <x:v>579</x:v>
      </x:c>
      <x:c r="B580" s="15" t="str">
        <x:v>IDN-A-0073</x:v>
      </x:c>
      <x:c r="C580" s="15" t="str">
        <x:v>公会与运营</x:v>
      </x:c>
      <x:c r="D580" s="15" t="str">
        <x:v>公会详情（平台管理员视角）</x:v>
      </x:c>
      <x:c r="E580" s="15" t="str">
        <x:v>功能需求</x:v>
      </x:c>
      <x:c r="F580" s="15" t="str">
        <x:v>P2</x:v>
      </x:c>
      <x:c r="G580" s="15" t="str">
        <x:v>验证公会详情（平台管理员视角）在“公会成员中只存在主播成员”场景下的处理</x:v>
      </x:c>
      <x:c r="H580" s="15" t="str">
        <x:v>公会成员中只存在主播成员观察项</x:v>
      </x:c>
      <x:c r="I580" s="15" t="str">
        <x:v>1. 平台管理员账号及关联业务数据已准备，账号可进入当前页面</x:v>
      </x:c>
      <x:c r="J580" s="15" t="str">
        <x:v>1. 使用平台管理员账号从当前端导航进入【公会详情（平台管理员视角）】
2. 在公会成员列表筛选或新增成员类型，核对可选类型和现有成员类型
3. 刷新【公会详情（平台管理员视角）】，查询“公会成员中只存在主播成员”对应的业务记录或界面反馈</x:v>
      </x:c>
      <x:c r="K580" s="15" t="str">
        <x:v>公会成员中只存在主播成员</x:v>
      </x:c>
      <x:c r="L580" s="15" t="str"/>
      <x:c r="M580" s="15" t="str">
        <x:v>未测</x:v>
      </x:c>
      <x:c r="N580" s="15" t="str"/>
      <x:c r="O580" s="15" t="str">
        <x:v>1. 需求：REQ-GUILD-002
2. 业务规则来源：需求规格说明.md:118
3. 原始问答：Q082
4. 入口证据：liveshow-proto/prototype/pages/admin/guild/admin-guild-detail.html
5. 规则：BR-FCECC598D68DBB
6. 基线场景：SCN-GUILD-002-01-2
7. 补充前覆盖：未覆盖；最佳匹配 AGUILD-0014；预期分数 0.19
8. 未动态验证</x:v>
      </x:c>
    </x:row>
    <x:row r="581" ht="132" customHeight="1">
      <x:c r="A581" s="15" t="n">
        <x:v>580</x:v>
      </x:c>
      <x:c r="B581" s="15" t="str">
        <x:v>IDN-A-0074</x:v>
      </x:c>
      <x:c r="C581" s="15" t="str">
        <x:v>公会与运营</x:v>
      </x:c>
      <x:c r="D581" s="15" t="str">
        <x:v>公会详情（平台管理员视角）</x:v>
      </x:c>
      <x:c r="E581" s="15" t="str">
        <x:v>异常用例</x:v>
      </x:c>
      <x:c r="F581" s="15" t="str">
        <x:v>P2</x:v>
      </x:c>
      <x:c r="G581" s="15" t="str">
        <x:v>验证公会详情（平台管理员视角）在“公会中普通成员类型”场景下的处理</x:v>
      </x:c>
      <x:c r="H581" s="15" t="str">
        <x:v>公会中普通成员类型观察项</x:v>
      </x:c>
      <x:c r="I581" s="15" t="str">
        <x:v>1. 平台管理员账号及关联业务数据已准备，账号可进入当前页面</x:v>
      </x:c>
      <x:c r="J581" s="15" t="str">
        <x:v>1. 使用平台管理员账号从当前端导航进入【公会详情（平台管理员视角）】
2. 在公会成员列表筛选或新增成员类型，核对可选类型和现有成员类型
3. 刷新【公会详情（平台管理员视角）】，查询“公会中普通成员类型”对应的业务记录或界面反馈</x:v>
      </x:c>
      <x:c r="K581" s="15" t="str">
        <x:v>公会中不保留普通成员类型</x:v>
      </x:c>
      <x:c r="L581" s="15" t="str"/>
      <x:c r="M581" s="15" t="str">
        <x:v>未测</x:v>
      </x:c>
      <x:c r="N581" s="15" t="str"/>
      <x:c r="O581" s="15" t="str">
        <x:v>1. 需求：REQ-GUILD-002
2. 业务规则来源：需求规格说明.md:118
3. 原始问答：Q082
4. 入口证据：liveshow-proto/prototype/pages/admin/guild/admin-guild-detail.html
5. 规则：BR-0D0D8050FD6D94
6. 基线场景：SCN-GUILD-002-02-2
7. 补充前覆盖：未覆盖；最佳匹配 ACONT-0016；预期分数 0.1409
8. 未动态验证</x:v>
      </x:c>
    </x:row>
    <x:row r="582" ht="132" customHeight="1">
      <x:c r="A582" s="15" t="n">
        <x:v>581</x:v>
      </x:c>
      <x:c r="B582" s="15" t="str">
        <x:v>IDN-A-0075</x:v>
      </x:c>
      <x:c r="C582" s="15" t="str">
        <x:v>公会与运营</x:v>
      </x:c>
      <x:c r="D582" s="15" t="str">
        <x:v>主播认证详情（平台管理员视角）</x:v>
      </x:c>
      <x:c r="E582" s="15" t="str">
        <x:v>功能需求</x:v>
      </x:c>
      <x:c r="F582" s="15" t="str">
        <x:v>P2</x:v>
      </x:c>
      <x:c r="G582" s="15" t="str">
        <x:v>验证主播认证详情（平台管理员视角）在“公会申请详情身份字段来自用户上传的 KTP”场景下的处理</x:v>
      </x:c>
      <x:c r="H582" s="15" t="str">
        <x:v>公会申请详情身份字段来自用户上传的 KTP观察项</x:v>
      </x:c>
      <x:c r="I582" s="15" t="str">
        <x:v>1. 平台管理员账号及关联业务数据已准备，账号可进入当前页面</x:v>
      </x:c>
      <x:c r="J582" s="15" t="str">
        <x:v>1. 使用平台管理员账号从当前端导航进入【主播认证详情（平台管理员视角）】
2. 用户分别用 KTP 和驾驶证提交认证，公会或后台打开对应申请详情读取身份字段
3. 刷新【主播认证详情（平台管理员视角）】，查询“公会申请详情身份字段来自用户上传的 KTP”对应的业务记录或界面反馈</x:v>
      </x:c>
      <x:c r="K582" s="15" t="str">
        <x:v>公会申请详情身份字段来自用户上传的 KTP</x:v>
      </x:c>
      <x:c r="L582" s="15" t="str">
        <x:v>FLOW-GUILD-003-A</x:v>
      </x:c>
      <x:c r="M582" s="15" t="str">
        <x:v>未测</x:v>
      </x:c>
      <x:c r="N582" s="15" t="str"/>
      <x:c r="O582" s="15" t="str">
        <x:v>1. 需求：REQ-GUILD-003
2. 业务规则来源：需求规格说明.md:119
3. 原始问答：Q106
4. 入口证据：liveshow-proto/prototype/pages/admin/host/admin-host-review-detail.html
5. 规则：BR-7C1EC83265463D
6. 基线场景：SCN-GUILD-003-01-2
7. 补充前覆盖：未覆盖；最佳匹配 AHOST-0009；预期分数 0.0794
8. 未动态验证</x:v>
      </x:c>
    </x:row>
    <x:row r="583" ht="132" customHeight="1">
      <x:c r="A583" s="15" t="n">
        <x:v>582</x:v>
      </x:c>
      <x:c r="B583" s="15" t="str">
        <x:v>IDN-A-0076</x:v>
      </x:c>
      <x:c r="C583" s="15" t="str">
        <x:v>公会与运营</x:v>
      </x:c>
      <x:c r="D583" s="15" t="str">
        <x:v>主播认证详情（平台管理员视角）</x:v>
      </x:c>
      <x:c r="E583" s="15" t="str">
        <x:v>功能需求</x:v>
      </x:c>
      <x:c r="F583" s="15" t="str">
        <x:v>P2</x:v>
      </x:c>
      <x:c r="G583" s="15" t="str">
        <x:v>验证主播认证详情（平台管理员视角）在“公会申请详情身份字段来自用户上传的驾驶证认证材料”场景下的处理</x:v>
      </x:c>
      <x:c r="H583" s="15" t="str">
        <x:v>公会申请详情身份字段来自用户上传的驾驶证认证材料观察项</x:v>
      </x:c>
      <x:c r="I583" s="15" t="str">
        <x:v>1. 平台管理员账号及关联业务数据已准备，账号可进入当前页面</x:v>
      </x:c>
      <x:c r="J583" s="15" t="str">
        <x:v>1. 使用平台管理员账号从当前端导航进入【主播认证详情（平台管理员视角）】
2. 用户分别用 KTP 和驾驶证提交认证，公会或后台打开对应申请详情读取身份字段
3. 刷新【主播认证详情（平台管理员视角）】，查询“公会申请详情身份字段来自用户上传的驾驶证认证材料”对应的业务记录或界面反馈</x:v>
      </x:c>
      <x:c r="K583" s="15" t="str">
        <x:v>公会申请详情身份字段来自用户上传的驾驶证认证材料</x:v>
      </x:c>
      <x:c r="L583" s="15" t="str">
        <x:v>FLOW-GUILD-003-A</x:v>
      </x:c>
      <x:c r="M583" s="15" t="str">
        <x:v>未测</x:v>
      </x:c>
      <x:c r="N583" s="15" t="str"/>
      <x:c r="O583" s="15" t="str">
        <x:v>1. 需求：REQ-GUILD-003
2. 业务规则来源：需求规格说明.md:119
3. 原始问答：Q106
4. 入口证据：liveshow-proto/prototype/pages/admin/host/admin-host-review-detail.html
5. 规则：BR-1D9E71BBE06A17
6. 基线场景：SCN-GUILD-003-02-2
7. 补充前覆盖：未覆盖；最佳匹配 AHOST-0005；预期分数 0.2307
8. 未动态验证</x:v>
      </x:c>
    </x:row>
    <x:row r="584" ht="132" customHeight="1">
      <x:c r="A584" s="15" t="n">
        <x:v>583</x:v>
      </x:c>
      <x:c r="B584" s="15" t="str">
        <x:v>IDN-A-0077</x:v>
      </x:c>
      <x:c r="C584" s="15" t="str">
        <x:v>公会与运营</x:v>
      </x:c>
      <x:c r="D584" s="15" t="str">
        <x:v>运营账号管理（平台管理员视角）</x:v>
      </x:c>
      <x:c r="E584" s="15" t="str">
        <x:v>功能需求</x:v>
      </x:c>
      <x:c r="F584" s="15" t="str">
        <x:v>P1</x:v>
      </x:c>
      <x:c r="G584" s="15" t="str">
        <x:v>验证运营账号管理（平台管理员视角）在“启用运营账号”场景下的处理</x:v>
      </x:c>
      <x:c r="H584" s="15" t="str">
        <x:v>启用运营账号观察项</x:v>
      </x:c>
      <x:c r="I584" s="15" t="str">
        <x:v>1. 平台管理员账号及关联业务数据已准备，账号可进入当前页面</x:v>
      </x:c>
      <x:c r="J584" s="15" t="str">
        <x:v>1. 使用平台管理员账号从当前端导航进入【运营账号管理（平台管理员视角）】
2. 平台后台检查运营账号操作菜单并分别执行启用、停用和额度限制；公会端刷新账号状态
3. 刷新【运营账号管理（平台管理员视角）】，查询“启用运营账号”对应的业务记录或界面反馈</x:v>
      </x:c>
      <x:c r="K584" s="15" t="str">
        <x:v>平台后台可启用运营账号</x:v>
      </x:c>
      <x:c r="L584" s="15" t="str">
        <x:v>FLOW-GUILD-004-A</x:v>
      </x:c>
      <x:c r="M584" s="15" t="str">
        <x:v>未测</x:v>
      </x:c>
      <x:c r="N584" s="15" t="str"/>
      <x:c r="O584" s="15" t="str">
        <x:v>1. 需求：REQ-GUILD-004
2. 业务规则来源：需求规格说明.md:120
3. 原始问答：Q124
4. 入口证据：liveshow-proto/prototype/pages/admin/accounts/admin-operation-accounts.html
5. 规则：BR-7CC08ACF887EA9
6. 基线场景：SCN-GUILD-004-01-2
7. 补充前覆盖：未覆盖；最佳匹配 AACCT-0015；预期分数 0.25
8. 未动态验证</x:v>
      </x:c>
    </x:row>
    <x:row r="585" ht="132" customHeight="1">
      <x:c r="A585" s="15" t="n">
        <x:v>584</x:v>
      </x:c>
      <x:c r="B585" s="15" t="str">
        <x:v>IDN-A-0078</x:v>
      </x:c>
      <x:c r="C585" s="15" t="str">
        <x:v>公会与运营</x:v>
      </x:c>
      <x:c r="D585" s="15" t="str">
        <x:v>运营账号管理（平台管理员视角）</x:v>
      </x:c>
      <x:c r="E585" s="15" t="str">
        <x:v>功能需求</x:v>
      </x:c>
      <x:c r="F585" s="15" t="str">
        <x:v>P1</x:v>
      </x:c>
      <x:c r="G585" s="15" t="str">
        <x:v>验证运营账号管理（平台管理员视角）在“停用运营账号”场景下的处理</x:v>
      </x:c>
      <x:c r="H585" s="15" t="str">
        <x:v>停用运营账号观察项</x:v>
      </x:c>
      <x:c r="I585" s="15" t="str">
        <x:v>1. 平台管理员账号及关联业务数据已准备，账号可进入当前页面</x:v>
      </x:c>
      <x:c r="J585" s="15" t="str">
        <x:v>1. 使用平台管理员账号从当前端导航进入【运营账号管理（平台管理员视角）】
2. 平台后台检查运营账号操作菜单并分别执行启用、停用和额度限制；公会端刷新账号状态
3. 刷新【运营账号管理（平台管理员视角）】，查询“停用运营账号”对应的业务记录或界面反馈</x:v>
      </x:c>
      <x:c r="K585" s="15" t="str">
        <x:v>平台后台可停用运营账号</x:v>
      </x:c>
      <x:c r="L585" s="15" t="str">
        <x:v>FLOW-GUILD-004-A</x:v>
      </x:c>
      <x:c r="M585" s="15" t="str">
        <x:v>未测</x:v>
      </x:c>
      <x:c r="N585" s="15" t="str"/>
      <x:c r="O585" s="15" t="str">
        <x:v>1. 需求：REQ-GUILD-004
2. 业务规则来源：需求规格说明.md:120
3. 原始问答：Q124
4. 入口证据：liveshow-proto/prototype/pages/admin/accounts/admin-operation-accounts.html
5. 规则：BR-AB49C0BA0CAB08
6. 基线场景：SCN-GUILD-004-02-2
7. 补充前覆盖：未覆盖；最佳匹配 AACCT-0015；预期分数 0.25
8. 未动态验证</x:v>
      </x:c>
    </x:row>
    <x:row r="586" ht="132" customHeight="1">
      <x:c r="A586" s="15" t="n">
        <x:v>585</x:v>
      </x:c>
      <x:c r="B586" s="15" t="str">
        <x:v>IDN-A-0079</x:v>
      </x:c>
      <x:c r="C586" s="15" t="str">
        <x:v>公会与运营</x:v>
      </x:c>
      <x:c r="D586" s="15" t="str">
        <x:v>运营账号管理（平台管理员视角）</x:v>
      </x:c>
      <x:c r="E586" s="15" t="str">
        <x:v>功能需求</x:v>
      </x:c>
      <x:c r="F586" s="15" t="str">
        <x:v>P1</x:v>
      </x:c>
      <x:c r="G586" s="15" t="str">
        <x:v>验证运营账号管理（平台管理员视角）在“限制运营账号发放额度”场景下的处理</x:v>
      </x:c>
      <x:c r="H586" s="15" t="str">
        <x:v>限制运营账号发放额度观察项</x:v>
      </x:c>
      <x:c r="I586" s="15" t="str">
        <x:v>1. 平台管理员账号及关联业务数据已准备，账号可进入当前页面</x:v>
      </x:c>
      <x:c r="J586" s="15" t="str">
        <x:v>1. 使用平台管理员账号从当前端导航进入【运营账号管理（平台管理员视角）】
2. 平台后台检查运营账号操作菜单并分别执行启用、停用和额度限制；公会端刷新账号状态
3. 刷新【运营账号管理（平台管理员视角）】，查询“限制运营账号发放额度”对应的业务记录或界面反馈</x:v>
      </x:c>
      <x:c r="K586" s="15" t="str">
        <x:v>平台后台可限制运营账号发放额度</x:v>
      </x:c>
      <x:c r="L586" s="15" t="str">
        <x:v>FLOW-GUILD-004-A</x:v>
      </x:c>
      <x:c r="M586" s="15" t="str">
        <x:v>未测</x:v>
      </x:c>
      <x:c r="N586" s="15" t="str"/>
      <x:c r="O586" s="15" t="str">
        <x:v>1. 需求：REQ-GUILD-004
2. 业务规则来源：需求规格说明.md:120
3. 原始问答：Q124
4. 入口证据：liveshow-proto/prototype/pages/admin/accounts/admin-operation-accounts.html
5. 规则：BR-B45E8B9955C3F2
6. 基线场景：SCN-GUILD-004-03-2
7. 补充前覆盖：部分覆盖；最佳匹配 AACCT-0019；预期分数 0.2657
8. 未动态验证</x:v>
      </x:c>
    </x:row>
    <x:row r="587" ht="132" customHeight="1">
      <x:c r="A587" s="15" t="n">
        <x:v>586</x:v>
      </x:c>
      <x:c r="B587" s="15" t="str">
        <x:v>IDN-A-0080</x:v>
      </x:c>
      <x:c r="C587" s="15" t="str">
        <x:v>公会与运营</x:v>
      </x:c>
      <x:c r="D587" s="15" t="str">
        <x:v>运营账号管理（平台管理员视角）</x:v>
      </x:c>
      <x:c r="E587" s="15" t="str">
        <x:v>异常用例</x:v>
      </x:c>
      <x:c r="F587" s="15" t="str">
        <x:v>P1</x:v>
      </x:c>
      <x:c r="G587" s="15" t="str">
        <x:v>验证运营账号管理（平台管理员视角）在“创建运营账号能力”场景下的处理</x:v>
      </x:c>
      <x:c r="H587" s="15" t="str">
        <x:v>创建运营账号能力观察项</x:v>
      </x:c>
      <x:c r="I587" s="15" t="str">
        <x:v>1. 平台管理员账号及关联业务数据已准备，账号可进入当前页面</x:v>
      </x:c>
      <x:c r="J587" s="15" t="str">
        <x:v>1. 使用平台管理员账号从当前端导航进入【运营账号管理（平台管理员视角）】
2. 平台后台检查运营账号操作菜单并分别执行启用、停用和额度限制；公会端刷新账号状态
3. 刷新【运营账号管理（平台管理员视角）】，查询“创建运营账号能力”对应的业务记录或界面反馈</x:v>
      </x:c>
      <x:c r="K587" s="15" t="str">
        <x:v>平台后台不提供创建运营账号能力</x:v>
      </x:c>
      <x:c r="L587" s="15" t="str">
        <x:v>FLOW-GUILD-004-A</x:v>
      </x:c>
      <x:c r="M587" s="15" t="str">
        <x:v>未测</x:v>
      </x:c>
      <x:c r="N587" s="15" t="str"/>
      <x:c r="O587" s="15" t="str">
        <x:v>1. 需求：REQ-GUILD-004
2. 业务规则来源：需求规格说明.md:120
3. 原始问答：Q124
4. 入口证据：liveshow-proto/prototype/pages/admin/accounts/admin-operation-accounts.html
5. 规则：BR-2CEF424702482A
6. 基线场景：SCN-GUILD-004-04-2
7. 补充前覆盖：未覆盖；最佳匹配 AACCT-0015；预期分数 0.25
8. 未动态验证</x:v>
      </x:c>
    </x:row>
    <x:row r="588" ht="132" customHeight="1">
      <x:c r="A588" s="15" t="n">
        <x:v>587</x:v>
      </x:c>
      <x:c r="B588" s="15" t="str">
        <x:v>IDN-A-0081</x:v>
      </x:c>
      <x:c r="C588" s="15" t="str">
        <x:v>公会与运营</x:v>
      </x:c>
      <x:c r="D588" s="15" t="str">
        <x:v>用户列表（平台管理员视角）</x:v>
      </x:c>
      <x:c r="E588" s="15" t="str">
        <x:v>功能需求</x:v>
      </x:c>
      <x:c r="F588" s="15" t="str">
        <x:v>P2</x:v>
      </x:c>
      <x:c r="G588" s="15" t="str">
        <x:v>验证用户列表（平台管理员视角）在“用户数据范围包含用户 App 中全部用户”场景下的处理</x:v>
      </x:c>
      <x:c r="H588" s="15" t="str">
        <x:v>用户数据范围包含用户 App 中全部用户观察项</x:v>
      </x:c>
      <x:c r="I588" s="15" t="str">
        <x:v>1. 平台管理员账号及关联业务数据已准备，账号可进入当前页面</x:v>
      </x:c>
      <x:c r="J588" s="15" t="str">
        <x:v>1. 使用平台管理员账号从当前端导航进入【用户列表（平台管理员视角）】
2. 准备用户 App 中不同身份和状态的用户，后台用户列表逐一查询并核对总数
3. 刷新【用户列表（平台管理员视角）】，查询“用户数据范围包含用户 App 中全部用户”对应的业务记录或界面反馈</x:v>
      </x:c>
      <x:c r="K588" s="15" t="str">
        <x:v>后台用户数据范围包含用户 App 中全部用户</x:v>
      </x:c>
      <x:c r="L588" s="15" t="str"/>
      <x:c r="M588" s="15" t="str">
        <x:v>未测</x:v>
      </x:c>
      <x:c r="N588" s="15" t="str"/>
      <x:c r="O588" s="15" t="str">
        <x:v>1. 需求：REQ-GUILD-005
2. 业务规则来源：需求规格说明.md:121
3. 原始问答：Q050
4. 入口证据：liveshow-proto/prototype/pages/admin/user/admin-user-list.html
5. 规则：BR-0A50B7CA637B59
6. 基线场景：SCN-GUILD-005-01-1
7. 补充前覆盖：未覆盖；最佳匹配 AGUILD-0014；预期分数 0.1
8. 未动态验证</x:v>
      </x:c>
    </x:row>
    <x:row r="589" ht="132" customHeight="1">
      <x:c r="A589" s="15" t="n">
        <x:v>588</x:v>
      </x:c>
      <x:c r="B589" s="15" t="str">
        <x:v>IDN-A-0082</x:v>
      </x:c>
      <x:c r="C589" s="15" t="str">
        <x:v>公会与运营</x:v>
      </x:c>
      <x:c r="D589" s="15" t="str">
        <x:v>运营位配置（平台管理员视角）</x:v>
      </x:c>
      <x:c r="E589" s="15" t="str">
        <x:v>功能需求</x:v>
      </x:c>
      <x:c r="F589" s="15" t="str">
        <x:v>P2</x:v>
      </x:c>
      <x:c r="G589" s="15" t="str">
        <x:v>验证运营位配置（平台管理员视角）在“运营位保留直播广场运营位”场景下的处理</x:v>
      </x:c>
      <x:c r="H589" s="15" t="str">
        <x:v>运营位保留直播广场运营位观察项</x:v>
      </x:c>
      <x:c r="I589" s="15" t="str">
        <x:v>1. 平台管理员账号及关联业务数据已准备，账号可进入当前页面</x:v>
      </x:c>
      <x:c r="J589" s="15" t="str">
        <x:v>1. 使用平台管理员账号从当前端导航进入【运营位配置（平台管理员视角）】
2. 打开运营位类型选择器，核对可选类型并尝试搜索已取消的类型
3. 刷新【运营位配置（平台管理员视角）】，查询“运营位保留直播广场运营位”对应的业务记录或界面反馈</x:v>
      </x:c>
      <x:c r="K589" s="15" t="str">
        <x:v>运营位保留直播广场运营位</x:v>
      </x:c>
      <x:c r="L589" s="15" t="str"/>
      <x:c r="M589" s="15" t="str">
        <x:v>未测</x:v>
      </x:c>
      <x:c r="N589" s="15" t="str"/>
      <x:c r="O589" s="15" t="str">
        <x:v>1. 需求：REQ-GUILD-006
2. 业务规则来源：需求规格说明.md:122
3. 原始问答：Q099
4. 入口证据：liveshow-proto/prototype/pages/admin/operations/admin-placement-config.html
5. 规则：BR-70872CEFB4A1DE
6. 基线场景：SCN-GUILD-006-01-1
7. 补充前覆盖：未覆盖；最佳匹配 AOPS-0073；预期分数 0.15
8. 未动态验证</x:v>
      </x:c>
    </x:row>
    <x:row r="590" ht="132" customHeight="1">
      <x:c r="A590" s="15" t="n">
        <x:v>589</x:v>
      </x:c>
      <x:c r="B590" s="15" t="str">
        <x:v>IDN-A-0083</x:v>
      </x:c>
      <x:c r="C590" s="15" t="str">
        <x:v>公会与运营</x:v>
      </x:c>
      <x:c r="D590" s="15" t="str">
        <x:v>运营位配置（平台管理员视角）</x:v>
      </x:c>
      <x:c r="E590" s="15" t="str">
        <x:v>功能需求</x:v>
      </x:c>
      <x:c r="F590" s="15" t="str">
        <x:v>P2</x:v>
      </x:c>
      <x:c r="G590" s="15" t="str">
        <x:v>验证运营位配置（平台管理员视角）在“运营位保留福利中心轮播位”场景下的处理</x:v>
      </x:c>
      <x:c r="H590" s="15" t="str">
        <x:v>运营位保留福利中心轮播位观察项</x:v>
      </x:c>
      <x:c r="I590" s="15" t="str">
        <x:v>1. 平台管理员账号及关联业务数据已准备，账号可进入当前页面</x:v>
      </x:c>
      <x:c r="J590" s="15" t="str">
        <x:v>1. 使用平台管理员账号从当前端导航进入【运营位配置（平台管理员视角）】
2. 打开运营位类型选择器，核对可选类型并尝试搜索已取消的类型
3. 刷新【运营位配置（平台管理员视角）】，查询“运营位保留福利中心轮播位”对应的业务记录或界面反馈</x:v>
      </x:c>
      <x:c r="K590" s="15" t="str">
        <x:v>运营位保留福利中心轮播位</x:v>
      </x:c>
      <x:c r="L590" s="15" t="str"/>
      <x:c r="M590" s="15" t="str">
        <x:v>未测</x:v>
      </x:c>
      <x:c r="N590" s="15" t="str"/>
      <x:c r="O590" s="15" t="str">
        <x:v>1. 需求：REQ-GUILD-006
2. 业务规则来源：需求规格说明.md:122
3. 原始问答：Q099
4. 入口证据：liveshow-proto/prototype/pages/admin/operations/admin-placement-config.html
5. 规则：BR-B5C157B1EA3386
6. 基线场景：SCN-GUILD-006-02-1
7. 补充前覆盖：未覆盖；最佳匹配 AOPS-0073；预期分数 0.1409
8. 未动态验证</x:v>
      </x:c>
    </x:row>
    <x:row r="591" ht="132" customHeight="1">
      <x:c r="A591" s="15" t="n">
        <x:v>590</x:v>
      </x:c>
      <x:c r="B591" s="15" t="str">
        <x:v>IDN-A-0084</x:v>
      </x:c>
      <x:c r="C591" s="15" t="str">
        <x:v>公会与运营</x:v>
      </x:c>
      <x:c r="D591" s="15" t="str">
        <x:v>运营位配置（平台管理员视角）</x:v>
      </x:c>
      <x:c r="E591" s="15" t="str">
        <x:v>异常用例</x:v>
      </x:c>
      <x:c r="F591" s="15" t="str">
        <x:v>P2</x:v>
      </x:c>
      <x:c r="G591" s="15" t="str">
        <x:v>验证运营位配置（平台管理员视角）在“首页轮播位”场景下的处理</x:v>
      </x:c>
      <x:c r="H591" s="15" t="str">
        <x:v>首页轮播位观察项</x:v>
      </x:c>
      <x:c r="I591" s="15" t="str">
        <x:v>1. 平台管理员账号及关联业务数据已准备，账号可进入当前页面</x:v>
      </x:c>
      <x:c r="J591" s="15" t="str">
        <x:v>1. 使用平台管理员账号从当前端导航进入【运营位配置（平台管理员视角）】
2. 打开运营位类型选择器，核对可选类型并尝试搜索已取消的类型
3. 刷新【运营位配置（平台管理员视角）】，查询“首页轮播位”对应的业务记录或界面反馈</x:v>
      </x:c>
      <x:c r="K591" s="15" t="str">
        <x:v>不提供首页轮播位</x:v>
      </x:c>
      <x:c r="L591" s="15" t="str"/>
      <x:c r="M591" s="15" t="str">
        <x:v>未测</x:v>
      </x:c>
      <x:c r="N591" s="15" t="str"/>
      <x:c r="O591" s="15" t="str">
        <x:v>1. 需求：REQ-GUILD-006
2. 业务规则来源：需求规格说明.md:122
3. 原始问答：Q099
4. 入口证据：liveshow-proto/prototype/pages/admin/operations/admin-placement-config.html
5. 规则：BR-7F0CB2C0CE9F9F
6. 基线场景：SCN-GUILD-006-03-1
7. 补充前覆盖：未覆盖；最佳匹配 AOPS-0078；预期分数 0.1643
8. 未动态验证</x:v>
      </x:c>
    </x:row>
    <x:row r="592" ht="132" customHeight="1">
      <x:c r="A592" s="15" t="n">
        <x:v>591</x:v>
      </x:c>
      <x:c r="B592" s="15" t="str">
        <x:v>IDN-A-0085</x:v>
      </x:c>
      <x:c r="C592" s="15" t="str">
        <x:v>公会与运营</x:v>
      </x:c>
      <x:c r="D592" s="15" t="str">
        <x:v>运营位配置（平台管理员视角）</x:v>
      </x:c>
      <x:c r="E592" s="15" t="str">
        <x:v>异常用例</x:v>
      </x:c>
      <x:c r="F592" s="15" t="str">
        <x:v>P2</x:v>
      </x:c>
      <x:c r="G592" s="15" t="str">
        <x:v>验证运营位配置（平台管理员视角）在“个人中心运营位”场景下的处理</x:v>
      </x:c>
      <x:c r="H592" s="15" t="str">
        <x:v>个人中心运营位观察项</x:v>
      </x:c>
      <x:c r="I592" s="15" t="str">
        <x:v>1. 平台管理员账号及关联业务数据已准备，账号可进入当前页面</x:v>
      </x:c>
      <x:c r="J592" s="15" t="str">
        <x:v>1. 使用平台管理员账号从当前端导航进入【运营位配置（平台管理员视角）】
2. 打开运营位类型选择器，核对可选类型并尝试搜索已取消的类型
3. 刷新【运营位配置（平台管理员视角）】，查询“个人中心运营位”对应的业务记录或界面反馈</x:v>
      </x:c>
      <x:c r="K592" s="15" t="str">
        <x:v>不提供个人中心运营位</x:v>
      </x:c>
      <x:c r="L592" s="15" t="str"/>
      <x:c r="M592" s="15" t="str">
        <x:v>未测</x:v>
      </x:c>
      <x:c r="N592" s="15" t="str"/>
      <x:c r="O592" s="15" t="str">
        <x:v>1. 需求：REQ-GUILD-006
2. 业务规则来源：需求规格说明.md:122
3. 原始问答：Q099
4. 入口证据：liveshow-proto/prototype/pages/admin/operations/admin-placement-config.html
5. 规则：BR-4DB6BF1E84D715
6. 基线场景：SCN-GUILD-006-04-1
7. 补充前覆盖：未覆盖；最佳匹配 ADATA-0002；预期分数 0.15
8. 未动态验证</x:v>
      </x:c>
    </x:row>
    <x:row r="593" ht="132" customHeight="1">
      <x:c r="A593" s="15" t="n">
        <x:v>592</x:v>
      </x:c>
      <x:c r="B593" s="15" t="str">
        <x:v>IDN-A-0086</x:v>
      </x:c>
      <x:c r="C593" s="15" t="str">
        <x:v>公会与运营</x:v>
      </x:c>
      <x:c r="D593" s="15" t="str">
        <x:v>运营位排序（平台管理员视角）</x:v>
      </x:c>
      <x:c r="E593" s="15" t="str">
        <x:v>功能需求</x:v>
      </x:c>
      <x:c r="F593" s="15" t="str">
        <x:v>P2</x:v>
      </x:c>
      <x:c r="G593" s="15" t="str">
        <x:v>验证运营位排序（平台管理员视角）在“同一运营位类型内素材按本类型权重排序”场景下的处理</x:v>
      </x:c>
      <x:c r="H593" s="15" t="str">
        <x:v>同一运营位类型内素材按本类型权重排序观察项</x:v>
      </x:c>
      <x:c r="I593" s="15" t="str">
        <x:v>1. 平台管理员账号及关联业务数据已准备，账号可进入当前页面</x:v>
      </x:c>
      <x:c r="J593" s="15" t="str">
        <x:v>1. 使用平台管理员账号从当前端导航进入【运营位排序（平台管理员视角）】
2. 为两个运营位类型分别配置不同权重，保存后刷新各类型素材顺序
3. 刷新【运营位排序（平台管理员视角）】，查询“同一运营位类型内素材按本类型权重排序”对应的业务记录或界面反馈</x:v>
      </x:c>
      <x:c r="K593" s="15" t="str">
        <x:v>同一运营位类型内素材按本类型权重排序</x:v>
      </x:c>
      <x:c r="L593" s="15" t="str"/>
      <x:c r="M593" s="15" t="str">
        <x:v>未测</x:v>
      </x:c>
      <x:c r="N593" s="15" t="str"/>
      <x:c r="O593" s="15" t="str">
        <x:v>1. 需求：REQ-GUILD-007
2. 业务规则来源：需求规格说明.md:123
3. 原始问答：Q104
4. 入口证据：liveshow-proto/prototype/pages/admin/operations/admin-placement-config.html
5. 规则：BR-B90FB6EF4EFF5F
6. 基线场景：SCN-GUILD-007-01-1
7. 补充前覆盖：未覆盖；最佳匹配 AOPS-0026；预期分数 0.1563
8. 未动态验证</x:v>
      </x:c>
    </x:row>
    <x:row r="594" ht="132" customHeight="1">
      <x:c r="A594" s="15" t="n">
        <x:v>593</x:v>
      </x:c>
      <x:c r="B594" s="15" t="str">
        <x:v>IDN-A-0087</x:v>
      </x:c>
      <x:c r="C594" s="15" t="str">
        <x:v>公会与运营</x:v>
      </x:c>
      <x:c r="D594" s="15" t="str">
        <x:v>运营位排序（平台管理员视角）</x:v>
      </x:c>
      <x:c r="E594" s="15" t="str">
        <x:v>异常用例</x:v>
      </x:c>
      <x:c r="F594" s="15" t="str">
        <x:v>P2</x:v>
      </x:c>
      <x:c r="G594" s="15" t="str">
        <x:v>验证运营位排序（平台管理员视角）在“不同运营位类型的素材不跨类型混排”场景下的处理</x:v>
      </x:c>
      <x:c r="H594" s="15" t="str">
        <x:v>不同运营位类型的素材不跨类型混排观察项</x:v>
      </x:c>
      <x:c r="I594" s="15" t="str">
        <x:v>1. 平台管理员账号及关联业务数据已准备，账号可进入当前页面</x:v>
      </x:c>
      <x:c r="J594" s="15" t="str">
        <x:v>1. 使用平台管理员账号从当前端导航进入【运营位排序（平台管理员视角）】
2. 为两个运营位类型分别配置不同权重，保存后刷新各类型素材顺序
3. 刷新【运营位排序（平台管理员视角）】，查询“不同运营位类型的素材不跨类型混排”对应的业务记录或界面反馈</x:v>
      </x:c>
      <x:c r="K594" s="15" t="str">
        <x:v>不同运营位类型的素材不跨类型混排</x:v>
      </x:c>
      <x:c r="L594" s="15" t="str"/>
      <x:c r="M594" s="15" t="str">
        <x:v>未测</x:v>
      </x:c>
      <x:c r="N594" s="15" t="str"/>
      <x:c r="O594" s="15" t="str">
        <x:v>1. 需求：REQ-GUILD-007
2. 业务规则来源：需求规格说明.md:123
3. 原始问答：Q104
4. 入口证据：liveshow-proto/prototype/pages/admin/operations/admin-placement-config.html
5. 规则：BR-9D56314C7AF5AE
6. 基线场景：SCN-GUILD-007-02-1
7. 补充前覆盖：未覆盖；最佳匹配 AOPS-0078；预期分数 0.1643
8. 未动态验证</x:v>
      </x:c>
    </x:row>
    <x:row r="595" ht="132" customHeight="1">
      <x:c r="A595" s="15" t="n">
        <x:v>594</x:v>
      </x:c>
      <x:c r="B595" s="15" t="str">
        <x:v>IDN-A-0088</x:v>
      </x:c>
      <x:c r="C595" s="15" t="str">
        <x:v>公会与运营</x:v>
      </x:c>
      <x:c r="D595" s="15" t="str">
        <x:v>推送详情（平台管理员视角）</x:v>
      </x:c>
      <x:c r="E595" s="15" t="str">
        <x:v>异常用例</x:v>
      </x:c>
      <x:c r="F595" s="15" t="str">
        <x:v>P2</x:v>
      </x:c>
      <x:c r="G595" s="15" t="str">
        <x:v>验证推送详情（平台管理员视角）在“已发送推送取消”场景下的处理</x:v>
      </x:c>
      <x:c r="H595" s="15" t="str">
        <x:v>已发送推送取消观察项</x:v>
      </x:c>
      <x:c r="I595" s="15" t="str">
        <x:v>1. 平台管理员账号及关联业务数据已准备，账号可进入当前页面</x:v>
      </x:c>
      <x:c r="J595" s="15" t="str">
        <x:v>1. 使用平台管理员账号从当前端导航进入【推送详情（平台管理员视角）】
2. 创建并发送一条推送，进入已发送详情后检查并尝试取消
3. 刷新【推送详情（平台管理员视角）】，查询“已发送推送取消”对应的业务记录或界面反馈</x:v>
      </x:c>
      <x:c r="K595" s="15" t="str">
        <x:v>已发送推送不能取消</x:v>
      </x:c>
      <x:c r="L595" s="15" t="str"/>
      <x:c r="M595" s="15" t="str">
        <x:v>未测</x:v>
      </x:c>
      <x:c r="N595" s="15" t="str"/>
      <x:c r="O595" s="15" t="str">
        <x:v>1. 需求：REQ-GUILD-008
2. 业务规则来源：需求规格说明.md:124
3. 原始问答：Q138
4. 入口证据：liveshow-proto/prototype/pages/admin/operations/admin-push-detail.html
5. 规则：BR-05282A76EC3CB8
6. 基线场景：SCN-GUILD-008-01-1
7. 补充前覆盖：未覆盖；最佳匹配 AOPS-0069；预期分数 0.2125
8. 未动态验证</x:v>
      </x:c>
    </x:row>
  </x:sheetData>
  <x:dataValidations count="6">
    <x:dataValidation type="list" sqref="E2:E507">
      <x:formula1>"功能需求,业务流程,逻辑校验,异常用例"</x:formula1>
    </x:dataValidation>
    <x:dataValidation type="list" sqref="F2:F507">
      <x:formula1>"P0,P1,P2,P3"</x:formula1>
    </x:dataValidation>
    <x:dataValidation type="list" sqref="M2:M507">
      <x:formula1>"未测,通过,不通过,阻塞,不适用"</x:formula1>
    </x:dataValidation>
    <x:dataValidation type="list" sqref="E508:E595">
      <x:formula1>"功能需求,业务流程,逻辑校验,异常用例"</x:formula1>
    </x:dataValidation>
    <x:dataValidation type="list" sqref="F508:F595">
      <x:formula1>"P0,P1,P2,P3"</x:formula1>
    </x:dataValidation>
    <x:dataValidation type="list" sqref="M508:M595">
      <x:formula1>"未测,通过,不通过,阻塞,不适用"</x:formula1>
    </x:dataValidation>
  </x:dataValidations>
  <x:pageMargins left="0.7" right="0.7" top="0.75" bottom="0.75" header="0.3" footer="0.3"/>
  <x:tableParts count="1">
    <x:tablePart xmlns:r="http://schemas.openxmlformats.org/officeDocument/2006/relationships" r:id="R54916439179b4eff"/>
  </x:tableParts>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13" hidden="0" customWidth="1"/>
    <x:col min="3" max="3" width="13" hidden="0" customWidth="1"/>
    <x:col min="4" max="4" width="22" hidden="0" customWidth="1"/>
    <x:col min="5" max="5" width="11" hidden="0" customWidth="1"/>
    <x:col min="6" max="6" width="13" hidden="0" customWidth="1"/>
    <x:col min="7" max="7" width="31" hidden="0" customWidth="1"/>
    <x:col min="8" max="8" width="19" hidden="0" customWidth="1"/>
    <x:col min="9" max="9" width="38" hidden="0" customWidth="1"/>
    <x:col min="10" max="10" width="44" hidden="0" customWidth="1"/>
    <x:col min="11" max="11" width="38" hidden="0" customWidth="1"/>
    <x:col min="12" max="12" width="12" hidden="0" customWidth="1"/>
    <x:col min="13" max="13" width="24" hidden="0" customWidth="1"/>
    <x:col min="14" max="14" width="38" hidden="0" customWidth="1"/>
    <x:col min="15" max="15" width="32" hidden="0" customWidth="1"/>
    <x:col min="16" max="16" width="20" hidden="0" customWidth="1"/>
    <x:col min="17" max="17" width="32" hidden="0" customWidth="1"/>
    <x:col min="18" max="18" width="12" hidden="0" customWidth="1"/>
    <x:col min="19" max="19" width="22" hidden="0" customWidth="1"/>
    <x:col min="20" max="20" width="12" hidden="0" customWidth="1"/>
  </x:cols>
  <x:sheetData>
    <x:row r="1" ht="34" customHeight="1">
      <x:c r="A1" s="7" t="str">
        <x:v>问题编号</x:v>
      </x:c>
      <x:c r="B1" s="7" t="str">
        <x:v>需求组编号</x:v>
      </x:c>
      <x:c r="C1" s="7" t="str">
        <x:v>父问题编号</x:v>
      </x:c>
      <x:c r="D1" s="7" t="str">
        <x:v>追问触发条件</x:v>
      </x:c>
      <x:c r="E1" s="7" t="str">
        <x:v>阻塞等级</x:v>
      </x:c>
      <x:c r="F1" s="7" t="str">
        <x:v>功能模块</x:v>
      </x:c>
      <x:c r="G1" s="7" t="str">
        <x:v>具体场景</x:v>
      </x:c>
      <x:c r="H1" s="7" t="str">
        <x:v>问题分类</x:v>
      </x:c>
      <x:c r="I1" s="7" t="str">
        <x:v>待决策问题</x:v>
      </x:c>
      <x:c r="J1" s="7" t="str">
        <x:v>可选方案</x:v>
      </x:c>
      <x:c r="K1" s="7" t="str">
        <x:v>测试建议</x:v>
      </x:c>
      <x:c r="L1" s="7" t="str">
        <x:v>产品结论</x:v>
      </x:c>
      <x:c r="M1" s="7" t="str">
        <x:v>结论补充</x:v>
      </x:c>
      <x:c r="N1" s="7" t="str">
        <x:v>已知依据</x:v>
      </x:c>
      <x:c r="O1" s="7" t="str">
        <x:v>影响范围</x:v>
      </x:c>
      <x:c r="P1" s="7" t="str">
        <x:v>已有用例编号</x:v>
      </x:c>
      <x:c r="Q1" s="7" t="str">
        <x:v>确认后待补用例</x:v>
      </x:c>
      <x:c r="R1" s="7" t="str">
        <x:v>负责人</x:v>
      </x:c>
      <x:c r="S1" s="7" t="str">
        <x:v>期望确认时间</x:v>
      </x:c>
      <x:c r="T1" s="7" t="str">
        <x:v>确认状态</x:v>
      </x:c>
    </x:row>
    <x:row r="2" ht="54" customHeight="1">
      <x:c r="A2" s="4" t="str">
        <x:v>AQ-001</x:v>
      </x:c>
      <x:c r="B2" s="4" t="str">
        <x:v>ARQ-001</x:v>
      </x:c>
      <x:c r="C2" s="4" t="str"/>
      <x:c r="D2" s="4" t="str"/>
      <x:c r="E2" s="4" t="str">
        <x:v>部分阻塞</x:v>
      </x:c>
      <x:c r="F2" s="4" t="str">
        <x:v>系统配置</x:v>
      </x:c>
      <x:c r="G2" s="4" t="str">
        <x:v>平台管理员在admin-level-config.html执行相关业务时需要确定唯一结果</x:v>
      </x:c>
      <x:c r="H2" s="4" t="str">
        <x:v>业务规则</x:v>
      </x:c>
      <x:c r="I2" s="4" t="str">
        <x:v>主播收益计入财富等级时应包含哪些收入类型？</x:v>
      </x:c>
      <x:c r="J2" s="4" t="str">
        <x:v>A. 仅计入礼物和门票收益
B. 计入全部已结算主播收入
C. 按后台可读取的收入类型配置执行</x:v>
      </x:c>
      <x:c r="K2" s="4" t="str">
        <x:v>优先采用可由当前端直接读取并稳定复现的规则，避免测试依赖人工解释</x:v>
      </x:c>
      <x:c r="L2" s="8" t="str"/>
      <x:c r="M2" s="8" t="str"/>
      <x:c r="N2" s="4" t="str">
        <x:v>1. liveshow-proto/prototype/annotations/admin.js；admin-level-config.html / 待确认 / 3.1；收益和送礼贡献的具体计入范围、等级判定及配置修改对已有等级的影响待确认；表内数值为虚构示例。</x:v>
      </x:c>
      <x:c r="O2" s="4" t="str">
        <x:v>1. 管理后台 系统配置 admin-level-config.html
2. 礼物或门票成交后的分成记录与线下结算核对</x:v>
      </x:c>
      <x:c r="P2" s="4" t="str"/>
      <x:c r="Q2" s="4" t="str">
        <x:v>1. 系统配置相关规则的正常、边界和历史数据场景</x:v>
      </x:c>
      <x:c r="R2" s="4" t="str">
        <x:v>产品</x:v>
      </x:c>
      <x:c r="S2" s="4" t="str">
        <x:v>进入对应功能测试前</x:v>
      </x:c>
      <x:c r="T2" s="4" t="str">
        <x:v>待确认</x:v>
      </x:c>
    </x:row>
    <x:row r="3" ht="54" customHeight="1">
      <x:c r="A3" s="4" t="str">
        <x:v>AQ-002</x:v>
      </x:c>
      <x:c r="B3" s="4" t="str">
        <x:v>ARQ-002</x:v>
      </x:c>
      <x:c r="C3" s="4" t="str"/>
      <x:c r="D3" s="4" t="str"/>
      <x:c r="E3" s="4" t="str">
        <x:v>部分阻塞</x:v>
      </x:c>
      <x:c r="F3" s="4" t="str">
        <x:v>系统配置</x:v>
      </x:c>
      <x:c r="G3" s="4" t="str">
        <x:v>平台管理员在admin-level-config.html执行相关业务时需要确定唯一结果</x:v>
      </x:c>
      <x:c r="H3" s="4" t="str">
        <x:v>业务规则</x:v>
      </x:c>
      <x:c r="I3" s="4" t="str">
        <x:v>送礼贡献计入财富等级时应包含哪些消费类型？</x:v>
      </x:c>
      <x:c r="J3" s="4" t="str">
        <x:v>A. 仅计入礼物消费
B. 计入礼物和门票消费
C. 按后台可读取的消费类型配置执行</x:v>
      </x:c>
      <x:c r="K3" s="4" t="str">
        <x:v>优先采用可由当前端直接读取并稳定复现的规则，避免测试依赖人工解释</x:v>
      </x:c>
      <x:c r="L3" s="8" t="str"/>
      <x:c r="M3" s="8" t="str"/>
      <x:c r="N3" s="4" t="str">
        <x:v>1. liveshow-proto/prototype/annotations/admin.js；admin-level-config.html / 待确认 / 3.1；收益和送礼贡献的具体计入范围、等级判定及配置修改对已有等级的影响待确认；表内数值为虚构示例。</x:v>
      </x:c>
      <x:c r="O3" s="4" t="str">
        <x:v>1. 管理后台 系统配置 admin-level-config.html
2. 礼物或门票成交后的分成记录与线下结算核对</x:v>
      </x:c>
      <x:c r="P3" s="4" t="str"/>
      <x:c r="Q3" s="4" t="str">
        <x:v>1. 系统配置相关规则的正常、边界和历史数据场景</x:v>
      </x:c>
      <x:c r="R3" s="4" t="str">
        <x:v>产品</x:v>
      </x:c>
      <x:c r="S3" s="4" t="str">
        <x:v>进入对应功能测试前</x:v>
      </x:c>
      <x:c r="T3" s="4" t="str">
        <x:v>待确认</x:v>
      </x:c>
    </x:row>
    <x:row r="4" ht="54" customHeight="1">
      <x:c r="A4" s="4" t="str">
        <x:v>AQ-003</x:v>
      </x:c>
      <x:c r="B4" s="4" t="str">
        <x:v>ARQ-003</x:v>
      </x:c>
      <x:c r="C4" s="4" t="str"/>
      <x:c r="D4" s="4" t="str"/>
      <x:c r="E4" s="4" t="str">
        <x:v>部分阻塞</x:v>
      </x:c>
      <x:c r="F4" s="4" t="str">
        <x:v>系统配置</x:v>
      </x:c>
      <x:c r="G4" s="4" t="str">
        <x:v>平台管理员在admin-level-config.html执行相关业务时需要确定唯一结果</x:v>
      </x:c>
      <x:c r="H4" s="4" t="str">
        <x:v>业务规则</x:v>
      </x:c>
      <x:c r="I4" s="4" t="str">
        <x:v>等级配置修改后应如何处理已有用户等级？</x:v>
      </x:c>
      <x:c r="J4" s="4" t="str">
        <x:v>A. 只影响配置保存后新增的等级变化
B. 保存后按新配置重算全部已有等级
C. 按明确生效时间重算生效后的等级变化</x:v>
      </x:c>
      <x:c r="K4" s="4" t="str">
        <x:v>优先采用可由当前端直接读取并稳定复现的规则，避免测试依赖人工解释</x:v>
      </x:c>
      <x:c r="L4" s="8" t="str"/>
      <x:c r="M4" s="8" t="str"/>
      <x:c r="N4" s="4" t="str">
        <x:v>1. liveshow-proto/prototype/annotations/admin.js；admin-level-config.html / 待确认 / 3.1；收益和送礼贡献的具体计入范围、等级判定及配置修改对已有等级的影响待确认；表内数值为虚构示例。</x:v>
      </x:c>
      <x:c r="O4" s="4" t="str">
        <x:v>1. 管理后台 系统配置 admin-level-config.html
2. 礼物或门票成交后的分成记录与线下结算核对</x:v>
      </x:c>
      <x:c r="P4" s="4" t="str"/>
      <x:c r="Q4" s="4" t="str">
        <x:v>1. 系统配置相关规则的正常、边界和历史数据场景</x:v>
      </x:c>
      <x:c r="R4" s="4" t="str">
        <x:v>产品</x:v>
      </x:c>
      <x:c r="S4" s="4" t="str">
        <x:v>进入对应功能测试前</x:v>
      </x:c>
      <x:c r="T4" s="4" t="str">
        <x:v>待确认</x:v>
      </x:c>
    </x:row>
    <x:row r="5" ht="54" customHeight="1">
      <x:c r="A5" s="4" t="str">
        <x:v>AQ-004</x:v>
      </x:c>
      <x:c r="B5" s="4" t="str">
        <x:v>ARQ-004</x:v>
      </x:c>
      <x:c r="C5" s="4" t="str"/>
      <x:c r="D5" s="4" t="str"/>
      <x:c r="E5" s="4" t="str">
        <x:v>部分阻塞</x:v>
      </x:c>
      <x:c r="F5" s="4" t="str">
        <x:v>财务结算</x:v>
      </x:c>
      <x:c r="G5" s="4" t="str">
        <x:v>平台管理员在admin-share-rule-config.html执行相关业务时需要确定唯一结果</x:v>
      </x:c>
      <x:c r="H5" s="4" t="str">
        <x:v>跨端与跨模块一致性</x:v>
      </x:c>
      <x:c r="I5" s="4" t="str">
        <x:v>商品成交时是否必须按绑定的分成规则版本自动生成分账台账？</x:v>
      </x:c>
      <x:c r="J5" s="4" t="str">
        <x:v>A. 采用当前问题所述规则
B. 不采用该规则并保持当前已确认行为</x:v>
      </x:c>
      <x:c r="K5" s="4" t="str">
        <x:v>优先采用可由当前端直接读取并稳定复现的规则，避免测试依赖人工解释</x:v>
      </x:c>
      <x:c r="L5" s="8" t="str"/>
      <x:c r="M5" s="8" t="str"/>
      <x:c r="N5" s="4" t="str">
        <x:v>1. context/03-管理后台-项目需求清单.md 写明商品绑定分成规则并按版本生成分账台账
2. context/系统概要 .md 与当前结算批注明确具体分成比例和应结金额由财务线下确定并上传结果</x:v>
      </x:c>
      <x:c r="O5" s="4" t="str">
        <x:v>1. 管理后台 财务结算 admin-share-rule-config.html
2. 礼物或门票成交后的分成记录与线下结算核对</x:v>
      </x:c>
      <x:c r="P5" s="4" t="str"/>
      <x:c r="Q5" s="4" t="str">
        <x:v>1. 财务结算相关规则的正常、边界和历史数据场景</x:v>
      </x:c>
      <x:c r="R5" s="4" t="str">
        <x:v>多方确认</x:v>
      </x:c>
      <x:c r="S5" s="4" t="str">
        <x:v>进入对应功能测试前</x:v>
      </x:c>
      <x:c r="T5" s="4" t="str">
        <x:v>待确认</x:v>
      </x:c>
    </x:row>
    <x:row r="6" ht="96" customHeight="1">
      <x:c r="A6" s="15" t="str">
        <x:v>IDN-A-PENDING-001</x:v>
      </x:c>
      <x:c r="B6" s="15" t="str">
        <x:v>PENDING-001</x:v>
      </x:c>
      <x:c r="C6" s="15" t="str"/>
      <x:c r="D6" s="15" t="str"/>
      <x:c r="E6" s="15" t="str">
        <x:v>部分阻塞</x:v>
      </x:c>
      <x:c r="F6" s="15" t="str">
        <x:v>印尼直播需求缺口</x:v>
      </x:c>
      <x:c r="G6" s="15" t="str">
        <x:v>管理后台：用户资料是否存在“待审核”状态，以及后台重置资料是否撤销待审核记录？</x:v>
      </x:c>
      <x:c r="H6" s="15" t="str">
        <x:v>业务规则</x:v>
      </x:c>
      <x:c r="I6" s="15" t="str">
        <x:v>需补充原始证据后再形成可测试规则</x:v>
      </x:c>
      <x:c r="J6" s="15" t="str">
        <x:v>A. 补充可测试的正式结论及适用范围
B. 明确本期不实现并记录后续版本范围</x:v>
      </x:c>
      <x:c r="K6" s="15" t="str">
        <x:v>确认后按最终规则补充正常、异常、边界及跨端一致性用例</x:v>
      </x:c>
      <x:c r="L6" s="16" t="str"/>
      <x:c r="M6" s="16" t="str"/>
      <x:c r="N6" s="15" t="str">
        <x:v>1. 需求待确认.md:11
2. 来源：李浩确认应撤销，但同一上下文中李星明称当前没有待审核状态。
3. 原问题或答案依赖未附截图、撤回内容或完整上下文，现有文本不足以形成确定规则</x:v>
      </x:c>
      <x:c r="O6" s="15" t="str">
        <x:v>1. 管理后台 用户资料是否存在“待审核”状态，以及后台重置资料是否撤销待审核记录？</x:v>
      </x:c>
      <x:c r="P6" s="15" t="str"/>
      <x:c r="Q6" s="15" t="str">
        <x:v>1. 需补充原始证据后再形成可测试规则</x:v>
      </x:c>
      <x:c r="R6" s="15" t="str">
        <x:v>产品</x:v>
      </x:c>
      <x:c r="S6" s="15" t="str">
        <x:v>进入对应功能测试前</x:v>
      </x:c>
      <x:c r="T6" s="15" t="str">
        <x:v>待确认</x:v>
      </x:c>
    </x:row>
    <x:row r="7" ht="96" customHeight="1">
      <x:c r="A7" s="15" t="str">
        <x:v>IDN-A-PENDING-003</x:v>
      </x:c>
      <x:c r="B7" s="15" t="str">
        <x:v>PENDING-003</x:v>
      </x:c>
      <x:c r="C7" s="15" t="str"/>
      <x:c r="D7" s="15" t="str"/>
      <x:c r="E7" s="15" t="str">
        <x:v>部分阻塞</x:v>
      </x:c>
      <x:c r="F7" s="15" t="str">
        <x:v>印尼直播需求缺口</x:v>
      </x:c>
      <x:c r="G7" s="15" t="str">
        <x:v>管理后台：主播切后台后，观众端是否显示“主播暂时离开”提示？</x:v>
      </x:c>
      <x:c r="H7" s="15" t="str">
        <x:v>业务规则</x:v>
      </x:c>
      <x:c r="I7" s="15" t="str">
        <x:v>需补充原始证据后再形成可测试规则</x:v>
      </x:c>
      <x:c r="J7" s="15" t="str">
        <x:v>A. 补充可测试的正式结论及适用范围
B. 明确本期不实现并记录后续版本范围</x:v>
      </x:c>
      <x:c r="K7" s="15" t="str">
        <x:v>确认后按最终规则补充正常、异常、边界及跨端一致性用例</x:v>
      </x:c>
      <x:c r="L7" s="16" t="str"/>
      <x:c r="M7" s="16" t="str"/>
      <x:c r="N7" s="15" t="str">
        <x:v>1. 需求待确认.md:13
2. 来源：先确认展示提示，后因可能无法实现又接受只停在最后一帧。
3. 原问题或答案依赖未附截图、撤回内容或完整上下文，现有文本不足以形成确定规则</x:v>
      </x:c>
      <x:c r="O7" s="15" t="str">
        <x:v>1. 管理后台 主播切后台后，观众端是否显示“主播暂时离开”提示？</x:v>
      </x:c>
      <x:c r="P7" s="15" t="str"/>
      <x:c r="Q7" s="15" t="str">
        <x:v>1. 需补充原始证据后再形成可测试规则</x:v>
      </x:c>
      <x:c r="R7" s="15" t="str">
        <x:v>产品</x:v>
      </x:c>
      <x:c r="S7" s="15" t="str">
        <x:v>进入对应功能测试前</x:v>
      </x:c>
      <x:c r="T7" s="15" t="str">
        <x:v>待确认</x:v>
      </x:c>
    </x:row>
    <x:row r="8" ht="96" customHeight="1">
      <x:c r="A8" s="15" t="str">
        <x:v>IDN-A-PENDING-005</x:v>
      </x:c>
      <x:c r="B8" s="15" t="str">
        <x:v>PENDING-005</x:v>
      </x:c>
      <x:c r="C8" s="15" t="str"/>
      <x:c r="D8" s="15" t="str"/>
      <x:c r="E8" s="15" t="str">
        <x:v>部分阻塞</x:v>
      </x:c>
      <x:c r="F8" s="15" t="str">
        <x:v>印尼直播需求缺口</x:v>
      </x:c>
      <x:c r="G8" s="15" t="str">
        <x:v>管理后台：贡献榜同贡献值时的完整排序条件及顺序是什么？</x:v>
      </x:c>
      <x:c r="H8" s="15" t="str">
        <x:v>业务规则</x:v>
      </x:c>
      <x:c r="I8" s="15" t="str">
        <x:v>需补充原始证据后再形成可测试规则</x:v>
      </x:c>
      <x:c r="J8" s="15" t="str">
        <x:v>A. 补充可测试的正式结论及适用范围
B. 明确本期不实现并记录后续版本范围</x:v>
      </x:c>
      <x:c r="K8" s="15" t="str">
        <x:v>确认后按最终规则补充正常、异常、边界及跨端一致性用例</x:v>
      </x:c>
      <x:c r="L8" s="16" t="str"/>
      <x:c r="M8" s="16" t="str"/>
      <x:c r="N8" s="15" t="str">
        <x:v>1. 需求待确认.md:15
2. 来源：回复先给出“贡献值、财富等级、用户 ID”三层，随后又称财富等级是第 4、用户 ID 是第 5，缺少第 2、3 条说明。
3. 原问题或答案依赖未附截图、撤回内容或完整上下文，现有文本不足以形成确定规则</x:v>
      </x:c>
      <x:c r="O8" s="15" t="str">
        <x:v>1. 管理后台 贡献榜同贡献值时的完整排序条件及顺序是什么？</x:v>
      </x:c>
      <x:c r="P8" s="15" t="str"/>
      <x:c r="Q8" s="15" t="str">
        <x:v>1. 需补充原始证据后再形成可测试规则</x:v>
      </x:c>
      <x:c r="R8" s="15" t="str">
        <x:v>产品</x:v>
      </x:c>
      <x:c r="S8" s="15" t="str">
        <x:v>进入对应功能测试前</x:v>
      </x:c>
      <x:c r="T8" s="15" t="str">
        <x:v>待确认</x:v>
      </x:c>
    </x:row>
    <x:row r="9" ht="96" customHeight="1">
      <x:c r="A9" s="15" t="str">
        <x:v>IDN-A-PENDING-009</x:v>
      </x:c>
      <x:c r="B9" s="15" t="str">
        <x:v>PENDING-009</x:v>
      </x:c>
      <x:c r="C9" s="15" t="str"/>
      <x:c r="D9" s="15" t="str"/>
      <x:c r="E9" s="15" t="str">
        <x:v>不阻塞</x:v>
      </x:c>
      <x:c r="F9" s="15" t="str">
        <x:v>印尼直播需求缺口</x:v>
      </x:c>
      <x:c r="G9" s="15" t="str">
        <x:v>管理后台：榜单和贡献榜的统计周期及同值排序</x:v>
      </x:c>
      <x:c r="H9" s="15" t="str">
        <x:v>流程与状态</x:v>
      </x:c>
      <x:c r="I9" s="15" t="str">
        <x:v>“当日”截至当前时刻还是前一日零点；同值排序完整规则。</x:v>
      </x:c>
      <x:c r="J9" s="15" t="str">
        <x:v>A. 补充可测试的正式结论及适用范围
B. 明确本期不实现并记录后续版本范围</x:v>
      </x:c>
      <x:c r="K9" s="15" t="str">
        <x:v>确认后按最终规则补充正常、异常、边界及跨端一致性用例</x:v>
      </x:c>
      <x:c r="L9" s="16" t="str"/>
      <x:c r="M9" s="16" t="str"/>
      <x:c r="N9" s="15" t="str">
        <x:v>1. 需求待确认.md:24
2. 来源：Q005
3. 已承诺补充。</x:v>
      </x:c>
      <x:c r="O9" s="15" t="str">
        <x:v>1. 管理后台 榜单和贡献榜的统计周期及同值排序</x:v>
      </x:c>
      <x:c r="P9" s="15" t="str"/>
      <x:c r="Q9" s="15" t="str">
        <x:v>1. “当日”截至当前时刻还是前一日零点；同值排序完整规则。</x:v>
      </x:c>
      <x:c r="R9" s="15" t="str">
        <x:v>产品</x:v>
      </x:c>
      <x:c r="S9" s="15" t="str">
        <x:v>进入对应功能测试前</x:v>
      </x:c>
      <x:c r="T9" s="15" t="str">
        <x:v>待确认</x:v>
      </x:c>
    </x:row>
    <x:row r="10" ht="96" customHeight="1">
      <x:c r="A10" s="15" t="str">
        <x:v>IDN-A-PENDING-010</x:v>
      </x:c>
      <x:c r="B10" s="15" t="str">
        <x:v>PENDING-010</x:v>
      </x:c>
      <x:c r="C10" s="15" t="str"/>
      <x:c r="D10" s="15" t="str"/>
      <x:c r="E10" s="15" t="str">
        <x:v>不阻塞</x:v>
      </x:c>
      <x:c r="F10" s="15" t="str">
        <x:v>印尼直播需求缺口</x:v>
      </x:c>
      <x:c r="G10" s="15" t="str">
        <x:v>管理后台：关闭、封禁等原因是写死还是后台配置</x:v>
      </x:c>
      <x:c r="H10" s="15" t="str">
        <x:v>流程与状态</x:v>
      </x:c>
      <x:c r="I10" s="15" t="str">
        <x:v>原因来源、配置入口、启停和多语言规则。</x:v>
      </x:c>
      <x:c r="J10" s="15" t="str">
        <x:v>A. 补充可测试的正式结论及适用范围
B. 明确本期不实现并记录后续版本范围</x:v>
      </x:c>
      <x:c r="K10" s="15" t="str">
        <x:v>确认后按最终规则补充正常、异常、边界及跨端一致性用例</x:v>
      </x:c>
      <x:c r="L10" s="16" t="str"/>
      <x:c r="M10" s="16" t="str"/>
      <x:c r="N10" s="15" t="str">
        <x:v>1. 需求待确认.md:25
2. 来源：Q021
3. 原型已更新并附截图。</x:v>
      </x:c>
      <x:c r="O10" s="15" t="str">
        <x:v>1. 管理后台 关闭、封禁等原因是写死还是后台配置</x:v>
      </x:c>
      <x:c r="P10" s="15" t="str"/>
      <x:c r="Q10" s="15" t="str">
        <x:v>1. 原因来源、配置入口、启停和多语言规则。</x:v>
      </x:c>
      <x:c r="R10" s="15" t="str">
        <x:v>产品</x:v>
      </x:c>
      <x:c r="S10" s="15" t="str">
        <x:v>进入对应功能测试前</x:v>
      </x:c>
      <x:c r="T10" s="15" t="str">
        <x:v>待确认</x:v>
      </x:c>
    </x:row>
    <x:row r="11" ht="96" customHeight="1">
      <x:c r="A11" s="15" t="str">
        <x:v>IDN-A-PENDING-012</x:v>
      </x:c>
      <x:c r="B11" s="15" t="str">
        <x:v>PENDING-012</x:v>
      </x:c>
      <x:c r="C11" s="15" t="str"/>
      <x:c r="D11" s="15" t="str"/>
      <x:c r="E11" s="15" t="str">
        <x:v>不阻塞</x:v>
      </x:c>
      <x:c r="F11" s="15" t="str">
        <x:v>印尼直播需求缺口</x:v>
      </x:c>
      <x:c r="G11" s="15" t="str">
        <x:v>管理后台：道具获取与任务奖励范围</x:v>
      </x:c>
      <x:c r="H11" s="15" t="str">
        <x:v>流程与状态</x:v>
      </x:c>
      <x:c r="I11" s="15" t="str">
        <x:v>道具通过任务、购买、等级获得的详细条件和后续版本范围。</x:v>
      </x:c>
      <x:c r="J11" s="15" t="str">
        <x:v>A. 补充可测试的正式结论及适用范围
B. 明确本期不实现并记录后续版本范围</x:v>
      </x:c>
      <x:c r="K11" s="15" t="str">
        <x:v>确认后按最终规则补充正常、异常、边界及跨端一致性用例</x:v>
      </x:c>
      <x:c r="L11" s="16" t="str"/>
      <x:c r="M11" s="16" t="str"/>
      <x:c r="N11" s="15" t="str">
        <x:v>1. 需求待确认.md:27
2. 来源：Q031
3. 本期任务中心只奖励金币；道具只做配置。</x:v>
      </x:c>
      <x:c r="O11" s="15" t="str">
        <x:v>1. 管理后台 道具获取与任务奖励范围</x:v>
      </x:c>
      <x:c r="P11" s="15" t="str"/>
      <x:c r="Q11" s="15" t="str">
        <x:v>1. 道具通过任务、购买、等级获得的详细条件和后续版本范围。</x:v>
      </x:c>
      <x:c r="R11" s="15" t="str">
        <x:v>产品</x:v>
      </x:c>
      <x:c r="S11" s="15" t="str">
        <x:v>进入对应功能测试前</x:v>
      </x:c>
      <x:c r="T11" s="15" t="str">
        <x:v>待确认</x:v>
      </x:c>
    </x:row>
    <x:row r="12" ht="96" customHeight="1">
      <x:c r="A12" s="15" t="str">
        <x:v>IDN-A-PENDING-013</x:v>
      </x:c>
      <x:c r="B12" s="15" t="str">
        <x:v>PENDING-013</x:v>
      </x:c>
      <x:c r="C12" s="15" t="str"/>
      <x:c r="D12" s="15" t="str"/>
      <x:c r="E12" s="15" t="str">
        <x:v>不阻塞</x:v>
      </x:c>
      <x:c r="F12" s="15" t="str">
        <x:v>印尼直播需求缺口</x:v>
      </x:c>
      <x:c r="G12" s="15" t="str">
        <x:v>管理后台：推送是否区分站内和站外</x:v>
      </x:c>
      <x:c r="H12" s="15" t="str">
        <x:v>流程与状态</x:v>
      </x:c>
      <x:c r="I12" s="15" t="str">
        <x:v>是否正式采用，以及通知权限关闭、离线、失败重试等场景。</x:v>
      </x:c>
      <x:c r="J12" s="15" t="str">
        <x:v>A. 补充可测试的正式结论及适用范围
B. 明确本期不实现并记录后续版本范围</x:v>
      </x:c>
      <x:c r="K12" s="15" t="str">
        <x:v>确认后按最终规则补充正常、异常、边界及跨端一致性用例</x:v>
      </x:c>
      <x:c r="L12" s="16" t="str"/>
      <x:c r="M12" s="16" t="str"/>
      <x:c r="N12" s="15" t="str">
        <x:v>1. 需求待确认.md:28
2. 来源：Q042
3. 提出“可不区分，站内外都推”。</x:v>
      </x:c>
      <x:c r="O12" s="15" t="str">
        <x:v>1. 管理后台 推送是否区分站内和站外</x:v>
      </x:c>
      <x:c r="P12" s="15" t="str"/>
      <x:c r="Q12" s="15" t="str">
        <x:v>1. 是否正式采用，以及通知权限关闭、离线、失败重试等场景。</x:v>
      </x:c>
      <x:c r="R12" s="15" t="str">
        <x:v>产品</x:v>
      </x:c>
      <x:c r="S12" s="15" t="str">
        <x:v>进入对应功能测试前</x:v>
      </x:c>
      <x:c r="T12" s="15" t="str">
        <x:v>待确认</x:v>
      </x:c>
    </x:row>
    <x:row r="13" ht="96" customHeight="1">
      <x:c r="A13" s="15" t="str">
        <x:v>IDN-A-PENDING-014</x:v>
      </x:c>
      <x:c r="B13" s="15" t="str">
        <x:v>PENDING-014</x:v>
      </x:c>
      <x:c r="C13" s="15" t="str"/>
      <x:c r="D13" s="15" t="str"/>
      <x:c r="E13" s="15" t="str">
        <x:v>不阻塞</x:v>
      </x:c>
      <x:c r="F13" s="15" t="str">
        <x:v>印尼直播需求缺口</x:v>
      </x:c>
      <x:c r="G13" s="15" t="str">
        <x:v>管理后台：进房提示和全局等级体系</x:v>
      </x:c>
      <x:c r="H13" s="15" t="str">
        <x:v>流程与状态</x:v>
      </x:c>
      <x:c r="I13" s="15" t="str">
        <x:v>进房提示的触发条件、文案；亲密度配置位置；完整等级种类。</x:v>
      </x:c>
      <x:c r="J13" s="15" t="str">
        <x:v>A. 补充可测试的正式结论及适用范围
B. 明确本期不实现并记录后续版本范围</x:v>
      </x:c>
      <x:c r="K13" s="15" t="str">
        <x:v>确认后按最终规则补充正常、异常、边界及跨端一致性用例</x:v>
      </x:c>
      <x:c r="L13" s="16" t="str"/>
      <x:c r="M13" s="16" t="str"/>
      <x:c r="N13" s="15" t="str">
        <x:v>1. 需求待确认.md:29
2. 来源：Q043、Q044
3. 只承诺整理。</x:v>
      </x:c>
      <x:c r="O13" s="15" t="str">
        <x:v>1. 管理后台 进房提示和全局等级体系</x:v>
      </x:c>
      <x:c r="P13" s="15" t="str"/>
      <x:c r="Q13" s="15" t="str">
        <x:v>1. 进房提示的触发条件、文案；亲密度配置位置；完整等级种类。</x:v>
      </x:c>
      <x:c r="R13" s="15" t="str">
        <x:v>产品</x:v>
      </x:c>
      <x:c r="S13" s="15" t="str">
        <x:v>进入对应功能测试前</x:v>
      </x:c>
      <x:c r="T13" s="15" t="str">
        <x:v>待确认</x:v>
      </x:c>
    </x:row>
    <x:row r="14" ht="96" customHeight="1">
      <x:c r="A14" s="15" t="str">
        <x:v>IDN-A-PENDING-015</x:v>
      </x:c>
      <x:c r="B14" s="15" t="str">
        <x:v>PENDING-015</x:v>
      </x:c>
      <x:c r="C14" s="15" t="str"/>
      <x:c r="D14" s="15" t="str"/>
      <x:c r="E14" s="15" t="str">
        <x:v>不阻塞</x:v>
      </x:c>
      <x:c r="F14" s="15" t="str">
        <x:v>印尼直播需求缺口</x:v>
      </x:c>
      <x:c r="G14" s="15" t="str">
        <x:v>管理后台：充值限制和直播间返奖统计</x:v>
      </x:c>
      <x:c r="H14" s="15" t="str">
        <x:v>流程与状态</x:v>
      </x:c>
      <x:c r="I14" s="15" t="str">
        <x:v>第三方账号、运营账号充值限制；绑定手机号引导；统计时间和次数配置。</x:v>
      </x:c>
      <x:c r="J14" s="15" t="str">
        <x:v>A. 补充可测试的正式结论及适用范围
B. 明确本期不实现并记录后续版本范围</x:v>
      </x:c>
      <x:c r="K14" s="15" t="str">
        <x:v>确认后按最终规则补充正常、异常、边界及跨端一致性用例</x:v>
      </x:c>
      <x:c r="L14" s="16" t="str"/>
      <x:c r="M14" s="16" t="str"/>
      <x:c r="N14" s="15" t="str">
        <x:v>1. 需求待确认.md:30
2. 来源：Q047
3. 已确认圈出的金币是用户送出幸运礼物时的返奖数量。</x:v>
      </x:c>
      <x:c r="O14" s="15" t="str">
        <x:v>1. 管理后台 充值限制和直播间返奖统计</x:v>
      </x:c>
      <x:c r="P14" s="15" t="str"/>
      <x:c r="Q14" s="15" t="str">
        <x:v>1. 第三方账号、运营账号充值限制；绑定手机号引导；统计时间和次数配置。</x:v>
      </x:c>
      <x:c r="R14" s="15" t="str">
        <x:v>产品</x:v>
      </x:c>
      <x:c r="S14" s="15" t="str">
        <x:v>进入对应功能测试前</x:v>
      </x:c>
      <x:c r="T14" s="15" t="str">
        <x:v>待确认</x:v>
      </x:c>
    </x:row>
    <x:row r="15" ht="96" customHeight="1">
      <x:c r="A15" s="15" t="str">
        <x:v>IDN-A-PENDING-016</x:v>
      </x:c>
      <x:c r="B15" s="15" t="str">
        <x:v>PENDING-016</x:v>
      </x:c>
      <x:c r="C15" s="15" t="str"/>
      <x:c r="D15" s="15" t="str"/>
      <x:c r="E15" s="15" t="str">
        <x:v>不阻塞</x:v>
      </x:c>
      <x:c r="F15" s="15" t="str">
        <x:v>印尼直播需求缺口</x:v>
      </x:c>
      <x:c r="G15" s="15" t="str">
        <x:v>管理后台：支付渠道</x:v>
      </x:c>
      <x:c r="H15" s="15" t="str">
        <x:v>流程与状态</x:v>
      </x:c>
      <x:c r="I15" s="15" t="str">
        <x:v>iOS、Google Play 或其他渠道的最终选择、地区和失败处理。</x:v>
      </x:c>
      <x:c r="J15" s="15" t="str">
        <x:v>A. 补充可测试的正式结论及适用范围
B. 明确本期不实现并记录后续版本范围</x:v>
      </x:c>
      <x:c r="K15" s="15" t="str">
        <x:v>确认后按最终规则补充正常、异常、边界及跨端一致性用例</x:v>
      </x:c>
      <x:c r="L15" s="16" t="str"/>
      <x:c r="M15" s="16" t="str"/>
      <x:c r="N15" s="15" t="str">
        <x:v>1. 需求待确认.md:31
2. 来源：Q058
3. 先接原生支付。</x:v>
      </x:c>
      <x:c r="O15" s="15" t="str">
        <x:v>1. 管理后台 支付渠道</x:v>
      </x:c>
      <x:c r="P15" s="15" t="str"/>
      <x:c r="Q15" s="15" t="str">
        <x:v>1. iOS、Google Play 或其他渠道的最终选择、地区和失败处理。</x:v>
      </x:c>
      <x:c r="R15" s="15" t="str">
        <x:v>产品</x:v>
      </x:c>
      <x:c r="S15" s="15" t="str">
        <x:v>进入对应功能测试前</x:v>
      </x:c>
      <x:c r="T15" s="15" t="str">
        <x:v>待确认</x:v>
      </x:c>
    </x:row>
    <x:row r="16" ht="96" customHeight="1">
      <x:c r="A16" s="15" t="str">
        <x:v>IDN-A-PENDING-017</x:v>
      </x:c>
      <x:c r="B16" s="15" t="str">
        <x:v>PENDING-017</x:v>
      </x:c>
      <x:c r="C16" s="15" t="str"/>
      <x:c r="D16" s="15" t="str"/>
      <x:c r="E16" s="15" t="str">
        <x:v>不阻塞</x:v>
      </x:c>
      <x:c r="F16" s="15" t="str">
        <x:v>印尼直播需求缺口</x:v>
      </x:c>
      <x:c r="G16" s="15" t="str">
        <x:v>管理后台：客服方案</x:v>
      </x:c>
      <x:c r="H16" s="15" t="str">
        <x:v>流程与状态</x:v>
      </x:c>
      <x:c r="I16" s="15" t="str">
        <x:v>最终方案；若采用 WhatsApp，需确认号码配置、未安装时降级和跳转失败处理。</x:v>
      </x:c>
      <x:c r="J16" s="15" t="str">
        <x:v>A. 补充可测试的正式结论及适用范围
B. 明确本期不实现并记录后续版本范围</x:v>
      </x:c>
      <x:c r="K16" s="15" t="str">
        <x:v>确认后按最终规则补充正常、异常、边界及跨端一致性用例</x:v>
      </x:c>
      <x:c r="L16" s="16" t="str"/>
      <x:c r="M16" s="16" t="str"/>
      <x:c r="N16" s="15" t="str">
        <x:v>1. 需求待确认.md:32
2. 来源：Q065、Q133
3. 可能接平台或直接放联系方式。</x:v>
      </x:c>
      <x:c r="O16" s="15" t="str">
        <x:v>1. 管理后台 客服方案</x:v>
      </x:c>
      <x:c r="P16" s="15" t="str"/>
      <x:c r="Q16" s="15" t="str">
        <x:v>1. 最终方案；若采用 WhatsApp，需确认号码配置、未安装时降级和跳转失败处理。</x:v>
      </x:c>
      <x:c r="R16" s="15" t="str">
        <x:v>产品</x:v>
      </x:c>
      <x:c r="S16" s="15" t="str">
        <x:v>进入对应功能测试前</x:v>
      </x:c>
      <x:c r="T16" s="15" t="str">
        <x:v>待确认</x:v>
      </x:c>
    </x:row>
    <x:row r="17" ht="96" customHeight="1">
      <x:c r="A17" s="15" t="str">
        <x:v>IDN-A-PENDING-018</x:v>
      </x:c>
      <x:c r="B17" s="15" t="str">
        <x:v>PENDING-018</x:v>
      </x:c>
      <x:c r="C17" s="15" t="str"/>
      <x:c r="D17" s="15" t="str"/>
      <x:c r="E17" s="15" t="str">
        <x:v>不阻塞</x:v>
      </x:c>
      <x:c r="F17" s="15" t="str">
        <x:v>印尼直播需求缺口</x:v>
      </x:c>
      <x:c r="G17" s="15" t="str">
        <x:v>管理后台：私信敏感词服务</x:v>
      </x:c>
      <x:c r="H17" s="15" t="str">
        <x:v>流程与状态</x:v>
      </x:c>
      <x:c r="I17" s="15" t="str">
        <x:v>服务商、费用、检测范围、后台是否保留配置和违规处理方式。</x:v>
      </x:c>
      <x:c r="J17" s="15" t="str">
        <x:v>A. 补充可测试的正式结论及适用范围
B. 明确本期不实现并记录后续版本范围</x:v>
      </x:c>
      <x:c r="K17" s="15" t="str">
        <x:v>确认后按最终规则补充正常、异常、边界及跨端一致性用例</x:v>
      </x:c>
      <x:c r="L17" s="16" t="str"/>
      <x:c r="M17" s="16" t="str"/>
      <x:c r="N17" s="15" t="str">
        <x:v>1. 需求待确认.md:33
2. 来源：Q067
3. 本期先不做，倾向接第三方。</x:v>
      </x:c>
      <x:c r="O17" s="15" t="str">
        <x:v>1. 管理后台 私信敏感词服务</x:v>
      </x:c>
      <x:c r="P17" s="15" t="str"/>
      <x:c r="Q17" s="15" t="str">
        <x:v>1. 服务商、费用、检测范围、后台是否保留配置和违规处理方式。</x:v>
      </x:c>
      <x:c r="R17" s="15" t="str">
        <x:v>产品</x:v>
      </x:c>
      <x:c r="S17" s="15" t="str">
        <x:v>进入对应功能测试前</x:v>
      </x:c>
      <x:c r="T17" s="15" t="str">
        <x:v>待确认</x:v>
      </x:c>
    </x:row>
    <x:row r="18" ht="96" customHeight="1">
      <x:c r="A18" s="15" t="str">
        <x:v>IDN-A-PENDING-020</x:v>
      </x:c>
      <x:c r="B18" s="15" t="str">
        <x:v>PENDING-020</x:v>
      </x:c>
      <x:c r="C18" s="15" t="str"/>
      <x:c r="D18" s="15" t="str"/>
      <x:c r="E18" s="15" t="str">
        <x:v>不阻塞</x:v>
      </x:c>
      <x:c r="F18" s="15" t="str">
        <x:v>印尼直播需求缺口</x:v>
      </x:c>
      <x:c r="G18" s="15" t="str">
        <x:v>管理后台：运营位在直播数量不足时如何顺延</x:v>
      </x:c>
      <x:c r="H18" s="15" t="str">
        <x:v>流程与状态</x:v>
      </x:c>
      <x:c r="I18" s="15" t="str">
        <x:v>最终位置；只有 1 场或 0 场直播时的顺延；无 Banner 时是否占位。</x:v>
      </x:c>
      <x:c r="J18" s="15" t="str">
        <x:v>A. 补充可测试的正式结论及适用范围
B. 明确本期不实现并记录后续版本范围</x:v>
      </x:c>
      <x:c r="K18" s="15" t="str">
        <x:v>确认后按最终规则补充正常、异常、边界及跨端一致性用例</x:v>
      </x:c>
      <x:c r="L18" s="16" t="str"/>
      <x:c r="M18" s="16" t="str"/>
      <x:c r="N18" s="15" t="str">
        <x:v>1. 需求待确认.md:35
2. 来源：Q098、Q100
3. 曾提固定第三位或前四位随机。</x:v>
      </x:c>
      <x:c r="O18" s="15" t="str">
        <x:v>1. 管理后台 运营位在直播数量不足时如何顺延</x:v>
      </x:c>
      <x:c r="P18" s="15" t="str"/>
      <x:c r="Q18" s="15" t="str">
        <x:v>1. 最终位置；只有 1 场或 0 场直播时的顺延；无 Banner 时是否占位。</x:v>
      </x:c>
      <x:c r="R18" s="15" t="str">
        <x:v>产品</x:v>
      </x:c>
      <x:c r="S18" s="15" t="str">
        <x:v>进入对应功能测试前</x:v>
      </x:c>
      <x:c r="T18" s="15" t="str">
        <x:v>待确认</x:v>
      </x:c>
    </x:row>
    <x:row r="19" ht="96" customHeight="1">
      <x:c r="A19" s="15" t="str">
        <x:v>IDN-A-PENDING-021</x:v>
      </x:c>
      <x:c r="B19" s="15" t="str">
        <x:v>PENDING-021</x:v>
      </x:c>
      <x:c r="C19" s="15" t="str"/>
      <x:c r="D19" s="15" t="str"/>
      <x:c r="E19" s="15" t="str">
        <x:v>不阻塞</x:v>
      </x:c>
      <x:c r="F19" s="15" t="str">
        <x:v>印尼直播需求缺口</x:v>
      </x:c>
      <x:c r="G19" s="15" t="str">
        <x:v>管理后台：充值套餐赠送百分比由谁计算</x:v>
      </x:c>
      <x:c r="H19" s="15" t="str">
        <x:v>流程与状态</x:v>
      </x:c>
      <x:c r="I19" s="15" t="str">
        <x:v>百分比由前端还是后端计算；精度和舍入规则。</x:v>
      </x:c>
      <x:c r="J19" s="15" t="str">
        <x:v>A. 补充可测试的正式结论及适用范围
B. 明确本期不实现并记录后续版本范围</x:v>
      </x:c>
      <x:c r="K19" s="15" t="str">
        <x:v>确认后按最终规则补充正常、异常、边界及跨端一致性用例</x:v>
      </x:c>
      <x:c r="L19" s="16" t="str"/>
      <x:c r="M19" s="16" t="str"/>
      <x:c r="N19" s="15" t="str">
        <x:v>1. 需求待确认.md:36
2. 来源：Q103
3. 后台只录入赠送金币绝对值。</x:v>
      </x:c>
      <x:c r="O19" s="15" t="str">
        <x:v>1. 管理后台 充值套餐赠送百分比由谁计算</x:v>
      </x:c>
      <x:c r="P19" s="15" t="str"/>
      <x:c r="Q19" s="15" t="str">
        <x:v>1. 百分比由前端还是后端计算；精度和舍入规则。</x:v>
      </x:c>
      <x:c r="R19" s="15" t="str">
        <x:v>产品</x:v>
      </x:c>
      <x:c r="S19" s="15" t="str">
        <x:v>进入对应功能测试前</x:v>
      </x:c>
      <x:c r="T19" s="15" t="str">
        <x:v>待确认</x:v>
      </x:c>
    </x:row>
    <x:row r="20" ht="96" customHeight="1">
      <x:c r="A20" s="15" t="str">
        <x:v>IDN-A-PENDING-022</x:v>
      </x:c>
      <x:c r="B20" s="15" t="str">
        <x:v>PENDING-022</x:v>
      </x:c>
      <x:c r="C20" s="15" t="str"/>
      <x:c r="D20" s="15" t="str"/>
      <x:c r="E20" s="15" t="str">
        <x:v>不阻塞</x:v>
      </x:c>
      <x:c r="F20" s="15" t="str">
        <x:v>印尼直播需求缺口</x:v>
      </x:c>
      <x:c r="G20" s="15" t="str">
        <x:v>管理后台：主播认证 OCR</x:v>
      </x:c>
      <x:c r="H20" s="15" t="str">
        <x:v>流程与状态</x:v>
      </x:c>
      <x:c r="I20" s="15" t="str">
        <x:v>是否接 OCR、供应商、失败降级、人工复核和费用承担。</x:v>
      </x:c>
      <x:c r="J20" s="15" t="str">
        <x:v>A. 补充可测试的正式结论及适用范围
B. 明确本期不实现并记录后续版本范围</x:v>
      </x:c>
      <x:c r="K20" s="15" t="str">
        <x:v>确认后按最终规则补充正常、异常、边界及跨端一致性用例</x:v>
      </x:c>
      <x:c r="L20" s="16" t="str"/>
      <x:c r="M20" s="16" t="str"/>
      <x:c r="N20" s="15" t="str">
        <x:v>1. 需求待确认.md:37
2. 来源：Q106、Q112、Q136
3. 一处回复称证件人工核对、不做系统校验；此前和随后仍在讨论 OCR 接入。</x:v>
      </x:c>
      <x:c r="O20" s="15" t="str">
        <x:v>1. 管理后台 主播认证 OCR</x:v>
      </x:c>
      <x:c r="P20" s="15" t="str"/>
      <x:c r="Q20" s="15" t="str">
        <x:v>1. 是否接 OCR、供应商、失败降级、人工复核和费用承担。</x:v>
      </x:c>
      <x:c r="R20" s="15" t="str">
        <x:v>产品</x:v>
      </x:c>
      <x:c r="S20" s="15" t="str">
        <x:v>进入对应功能测试前</x:v>
      </x:c>
      <x:c r="T20" s="15" t="str">
        <x:v>待确认</x:v>
      </x:c>
    </x:row>
    <x:row r="21" ht="96" customHeight="1">
      <x:c r="A21" s="15" t="str">
        <x:v>IDN-A-PENDING-024</x:v>
      </x:c>
      <x:c r="B21" s="15" t="str">
        <x:v>PENDING-024</x:v>
      </x:c>
      <x:c r="C21" s="15" t="str"/>
      <x:c r="D21" s="15" t="str"/>
      <x:c r="E21" s="15" t="str">
        <x:v>不阻塞</x:v>
      </x:c>
      <x:c r="F21" s="15" t="str">
        <x:v>印尼直播需求缺口</x:v>
      </x:c>
      <x:c r="G21" s="15" t="str">
        <x:v>管理后台：粉丝团的 IM 套餐和容量方案</x:v>
      </x:c>
      <x:c r="H21" s="15" t="str">
        <x:v>流程与状态</x:v>
      </x:c>
      <x:c r="I21" s="15" t="str">
        <x:v>最终套餐、免费/Pro/Enterprise 上限、扩容费用及达到上限后的创建策略。</x:v>
      </x:c>
      <x:c r="J21" s="15" t="str">
        <x:v>A. 补充可测试的正式结论及适用范围
B. 明确本期不实现并记录后续版本范围</x:v>
      </x:c>
      <x:c r="K21" s="15" t="str">
        <x:v>确认后按最终规则补充正常、异常、边界及跨端一致性用例</x:v>
      </x:c>
      <x:c r="L21" s="16" t="str"/>
      <x:c r="M21" s="16" t="str"/>
      <x:c r="N21" s="15" t="str">
        <x:v>1. 需求待确认.md:39
2. 来源：Q129
3. 粉丝团与群为同一概念，聊天提到每月 999 美元。</x:v>
      </x:c>
      <x:c r="O21" s="15" t="str">
        <x:v>1. 管理后台 粉丝团的 IM 套餐和容量方案</x:v>
      </x:c>
      <x:c r="P21" s="15" t="str"/>
      <x:c r="Q21" s="15" t="str">
        <x:v>1. 最终套餐、免费/Pro/Enterprise 上限、扩容费用及达到上限后的创建策略。</x:v>
      </x:c>
      <x:c r="R21" s="15" t="str">
        <x:v>产品</x:v>
      </x:c>
      <x:c r="S21" s="15" t="str">
        <x:v>进入对应功能测试前</x:v>
      </x:c>
      <x:c r="T21" s="15" t="str">
        <x:v>待确认</x:v>
      </x:c>
    </x:row>
    <x:row r="22" ht="96" customHeight="1">
      <x:c r="A22" s="15" t="str">
        <x:v>IDN-A-PENDING-025</x:v>
      </x:c>
      <x:c r="B22" s="15" t="str">
        <x:v>PENDING-025</x:v>
      </x:c>
      <x:c r="C22" s="15" t="str"/>
      <x:c r="D22" s="15" t="str"/>
      <x:c r="E22" s="15" t="str">
        <x:v>不阻塞</x:v>
      </x:c>
      <x:c r="F22" s="15" t="str">
        <x:v>印尼直播需求缺口</x:v>
      </x:c>
      <x:c r="G22" s="15" t="str">
        <x:v>管理后台：首页“热门”和“新人”的分类算法</x:v>
      </x:c>
      <x:c r="H22" s="15" t="str">
        <x:v>流程与状态</x:v>
      </x:c>
      <x:c r="I22" s="15" t="str">
        <x:v>入选条件、排序、刷新频率、冷启动和无数据规则。</x:v>
      </x:c>
      <x:c r="J22" s="15" t="str">
        <x:v>A. 补充可测试的正式结论及适用范围
B. 明确本期不实现并记录后续版本范围</x:v>
      </x:c>
      <x:c r="K22" s="15" t="str">
        <x:v>确认后按最终规则补充正常、异常、边界及跨端一致性用例</x:v>
      </x:c>
      <x:c r="L22" s="16" t="str"/>
      <x:c r="M22" s="16" t="str"/>
      <x:c r="N22" s="15" t="str">
        <x:v>1. 需求待确认.md:40
2. 来源：Q131
3. 两者不是关注列表，将用简单算法过滤。</x:v>
      </x:c>
      <x:c r="O22" s="15" t="str">
        <x:v>1. 管理后台 首页“热门”和“新人”的分类算法</x:v>
      </x:c>
      <x:c r="P22" s="15" t="str"/>
      <x:c r="Q22" s="15" t="str">
        <x:v>1. 入选条件、排序、刷新频率、冷启动和无数据规则。</x:v>
      </x:c>
      <x:c r="R22" s="15" t="str">
        <x:v>产品</x:v>
      </x:c>
      <x:c r="S22" s="15" t="str">
        <x:v>进入对应功能测试前</x:v>
      </x:c>
      <x:c r="T22" s="15" t="str">
        <x:v>待确认</x:v>
      </x:c>
    </x:row>
    <x:row r="23" ht="96" customHeight="1">
      <x:c r="A23" s="15" t="str">
        <x:v>IDN-A-PENDING-026</x:v>
      </x:c>
      <x:c r="B23" s="15" t="str">
        <x:v>PENDING-026</x:v>
      </x:c>
      <x:c r="C23" s="15" t="str"/>
      <x:c r="D23" s="15" t="str"/>
      <x:c r="E23" s="15" t="str">
        <x:v>不阻塞</x:v>
      </x:c>
      <x:c r="F23" s="15" t="str">
        <x:v>印尼直播需求缺口</x:v>
      </x:c>
      <x:c r="G23" s="15" t="str">
        <x:v>管理后台：勋章获取条件</x:v>
      </x:c>
      <x:c r="H23" s="15" t="str">
        <x:v>流程与状态</x:v>
      </x:c>
      <x:c r="I23" s="15" t="str">
        <x:v>可配置维度、阈值、累计周期、重复获取、撤销和补发规则。</x:v>
      </x:c>
      <x:c r="J23" s="15" t="str">
        <x:v>A. 补充可测试的正式结论及适用范围
B. 明确本期不实现并记录后续版本范围</x:v>
      </x:c>
      <x:c r="K23" s="15" t="str">
        <x:v>确认后按最终规则补充正常、异常、边界及跨端一致性用例</x:v>
      </x:c>
      <x:c r="L23" s="16" t="str"/>
      <x:c r="M23" s="16" t="str"/>
      <x:c r="N23" s="15" t="str">
        <x:v>1. 需求待确认.md:41
2. 来源：Q134
3. 客户已确认存在获取条件。</x:v>
      </x:c>
      <x:c r="O23" s="15" t="str">
        <x:v>1. 管理后台 勋章获取条件</x:v>
      </x:c>
      <x:c r="P23" s="15" t="str"/>
      <x:c r="Q23" s="15" t="str">
        <x:v>1. 可配置维度、阈值、累计周期、重复获取、撤销和补发规则。</x:v>
      </x:c>
      <x:c r="R23" s="15" t="str">
        <x:v>产品</x:v>
      </x:c>
      <x:c r="S23" s="15" t="str">
        <x:v>进入对应功能测试前</x:v>
      </x:c>
      <x:c r="T23" s="15" t="str">
        <x:v>待确认</x:v>
      </x:c>
    </x:row>
    <x:row r="24" ht="96" customHeight="1">
      <x:c r="A24" s="15" t="str">
        <x:v>IDN-A-PENDING-027</x:v>
      </x:c>
      <x:c r="B24" s="15" t="str">
        <x:v>PENDING-027</x:v>
      </x:c>
      <x:c r="C24" s="15" t="str"/>
      <x:c r="D24" s="15" t="str"/>
      <x:c r="E24" s="15" t="str">
        <x:v>不阻塞</x:v>
      </x:c>
      <x:c r="F24" s="15" t="str">
        <x:v>印尼直播需求缺口</x:v>
      </x:c>
      <x:c r="G24" s="15" t="str">
        <x:v>管理后台：连续签到任务完成后的展示</x:v>
      </x:c>
      <x:c r="H24" s="15" t="str">
        <x:v>流程与状态</x:v>
      </x:c>
      <x:c r="I24" s="15" t="str">
        <x:v>所有任务完成后是否继续展示；循环、重置或隐藏条件。</x:v>
      </x:c>
      <x:c r="J24" s="15" t="str">
        <x:v>A. 补充可测试的正式结论及适用范围
B. 明确本期不实现并记录后续版本范围</x:v>
      </x:c>
      <x:c r="K24" s="15" t="str">
        <x:v>确认后按最终规则补充正常、异常、边界及跨端一致性用例</x:v>
      </x:c>
      <x:c r="L24" s="16" t="str"/>
      <x:c r="M24" s="16" t="str"/>
      <x:c r="N24" s="15" t="str">
        <x:v>1. 需求待确认.md:42
2. 来源：Q140
3. 已给出超过最大配置天数后沿用最高奖励的规则。</x:v>
      </x:c>
      <x:c r="O24" s="15" t="str">
        <x:v>1. 管理后台 连续签到任务完成后的展示</x:v>
      </x:c>
      <x:c r="P24" s="15" t="str"/>
      <x:c r="Q24" s="15" t="str">
        <x:v>1. 所有任务完成后是否继续展示；循环、重置或隐藏条件。</x:v>
      </x:c>
      <x:c r="R24" s="15" t="str">
        <x:v>产品</x:v>
      </x:c>
      <x:c r="S24" s="15" t="str">
        <x:v>进入对应功能测试前</x:v>
      </x:c>
      <x:c r="T24" s="15" t="str">
        <x:v>待确认</x:v>
      </x:c>
    </x:row>
    <x:row r="25" ht="96" customHeight="1">
      <x:c r="A25" s="15" t="str">
        <x:v>IDN-A-PENDING-029</x:v>
      </x:c>
      <x:c r="B25" s="15" t="str">
        <x:v>PENDING-029</x:v>
      </x:c>
      <x:c r="C25" s="15" t="str"/>
      <x:c r="D25" s="15" t="str"/>
      <x:c r="E25" s="15" t="str">
        <x:v>不阻塞</x:v>
      </x:c>
      <x:c r="F25" s="15" t="str">
        <x:v>印尼直播需求缺口</x:v>
      </x:c>
      <x:c r="G25" s="15" t="str">
        <x:v>管理后台：财富等级计算</x:v>
      </x:c>
      <x:c r="H25" s="15" t="str">
        <x:v>流程与状态</x:v>
      </x:c>
      <x:c r="I25" s="15" t="str">
        <x:v>等级阈值、币种口径、退款影响、历史累计范围和后台配置入口。</x:v>
      </x:c>
      <x:c r="J25" s="15" t="str">
        <x:v>A. 补充可测试的正式结论及适用范围
B. 明确本期不实现并记录后续版本范围</x:v>
      </x:c>
      <x:c r="K25" s="15" t="str">
        <x:v>确认后按最终规则补充正常、异常、边界及跨端一致性用例</x:v>
      </x:c>
      <x:c r="L25" s="16" t="str"/>
      <x:c r="M25" s="16" t="str"/>
      <x:c r="N25" s="15" t="str">
        <x:v>1. 需求待确认.md:44
2. 来源：Q142
3. 已知与累计打赏相关。</x:v>
      </x:c>
      <x:c r="O25" s="15" t="str">
        <x:v>1. 管理后台 财富等级计算</x:v>
      </x:c>
      <x:c r="P25" s="15" t="str"/>
      <x:c r="Q25" s="15" t="str">
        <x:v>1. 等级阈值、币种口径、退款影响、历史累计范围和后台配置入口。</x:v>
      </x:c>
      <x:c r="R25" s="15" t="str">
        <x:v>产品</x:v>
      </x:c>
      <x:c r="S25" s="15" t="str">
        <x:v>进入对应功能测试前</x:v>
      </x:c>
      <x:c r="T25" s="15" t="str">
        <x:v>待确认</x:v>
      </x:c>
    </x:row>
    <x:row r="26" ht="96" customHeight="1">
      <x:c r="A26" s="15" t="str">
        <x:v>IDN-A-PENDING-030</x:v>
      </x:c>
      <x:c r="B26" s="15" t="str">
        <x:v>PENDING-030</x:v>
      </x:c>
      <x:c r="C26" s="15" t="str"/>
      <x:c r="D26" s="15" t="str"/>
      <x:c r="E26" s="15" t="str">
        <x:v>不阻塞</x:v>
      </x:c>
      <x:c r="F26" s="15" t="str">
        <x:v>印尼直播需求缺口</x:v>
      </x:c>
      <x:c r="G26" s="15" t="str">
        <x:v>管理后台：主播等级与财富等级配置</x:v>
      </x:c>
      <x:c r="H26" s="15" t="str">
        <x:v>流程与状态</x:v>
      </x:c>
      <x:c r="I26" s="15" t="str">
        <x:v>两类等级的指标、阈值、权益、升降级和配置页面。</x:v>
      </x:c>
      <x:c r="J26" s="15" t="str">
        <x:v>A. 补充可测试的正式结论及适用范围
B. 明确本期不实现并记录后续版本范围</x:v>
      </x:c>
      <x:c r="K26" s="15" t="str">
        <x:v>确认后按最终规则补充正常、异常、边界及跨端一致性用例</x:v>
      </x:c>
      <x:c r="L26" s="16" t="str"/>
      <x:c r="M26" s="16" t="str"/>
      <x:c r="N26" s="15" t="str">
        <x:v>1. 需求待确认.md:45
2. 来源：Q144
3. 已知存在这两类等级，原型仍在制作。</x:v>
      </x:c>
      <x:c r="O26" s="15" t="str">
        <x:v>1. 管理后台 主播等级与财富等级配置</x:v>
      </x:c>
      <x:c r="P26" s="15" t="str"/>
      <x:c r="Q26" s="15" t="str">
        <x:v>1. 两类等级的指标、阈值、权益、升降级和配置页面。</x:v>
      </x:c>
      <x:c r="R26" s="15" t="str">
        <x:v>产品</x:v>
      </x:c>
      <x:c r="S26" s="15" t="str">
        <x:v>进入对应功能测试前</x:v>
      </x:c>
      <x:c r="T26" s="15" t="str">
        <x:v>待确认</x:v>
      </x:c>
    </x:row>
    <x:row r="27" ht="96" customHeight="1">
      <x:c r="A27" s="15" t="str">
        <x:v>IDN-A-PENDING-036</x:v>
      </x:c>
      <x:c r="B27" s="15" t="str">
        <x:v>PENDING-036</x:v>
      </x:c>
      <x:c r="C27" s="15" t="str"/>
      <x:c r="D27" s="15" t="str"/>
      <x:c r="E27" s="15" t="str">
        <x:v>不阻塞</x:v>
      </x:c>
      <x:c r="F27" s="15" t="str">
        <x:v>印尼直播需求缺口</x:v>
      </x:c>
      <x:c r="G27" s="15" t="str">
        <x:v>管理后台：资料审核失败页面、风控记录对用户的展示方式。</x:v>
      </x:c>
      <x:c r="H27" s="15" t="str">
        <x:v>流程与状态</x:v>
      </x:c>
      <x:c r="I27" s="15" t="str">
        <x:v>需补充原始证据后再形成可测试规则</x:v>
      </x:c>
      <x:c r="J27" s="15" t="str">
        <x:v>A. 补充可测试的正式结论及适用范围
B. 明确本期不实现并记录后续版本范围</x:v>
      </x:c>
      <x:c r="K27" s="15" t="str">
        <x:v>确认后按最终规则补充正常、异常、边界及跨端一致性用例</x:v>
      </x:c>
      <x:c r="L27" s="16" t="str"/>
      <x:c r="M27" s="16" t="str"/>
      <x:c r="N27" s="15" t="str">
        <x:v>1. 需求待确认.md:56
2. 来源：Q009
3. 原问题或答案依赖未附截图、撤回内容或完整上下文，现有文本不足以形成确定规则</x:v>
      </x:c>
      <x:c r="O27" s="15" t="str">
        <x:v>1. 管理后台 资料审核失败页面、风控记录对用户的展示方式。</x:v>
      </x:c>
      <x:c r="P27" s="15" t="str"/>
      <x:c r="Q27" s="15" t="str">
        <x:v>1. 需补充原始证据后再形成可测试规则</x:v>
      </x:c>
      <x:c r="R27" s="15" t="str">
        <x:v>产品</x:v>
      </x:c>
      <x:c r="S27" s="15" t="str">
        <x:v>进入对应功能测试前</x:v>
      </x:c>
      <x:c r="T27" s="15" t="str">
        <x:v>待确认</x:v>
      </x:c>
    </x:row>
    <x:row r="28" ht="96" customHeight="1">
      <x:c r="A28" s="15" t="str">
        <x:v>IDN-A-PENDING-040</x:v>
      </x:c>
      <x:c r="B28" s="15" t="str">
        <x:v>PENDING-040</x:v>
      </x:c>
      <x:c r="C28" s="15" t="str"/>
      <x:c r="D28" s="15" t="str"/>
      <x:c r="E28" s="15" t="str">
        <x:v>不阻塞</x:v>
      </x:c>
      <x:c r="F28" s="15" t="str">
        <x:v>印尼直播需求缺口</x:v>
      </x:c>
      <x:c r="G28" s="15" t="str">
        <x:v>管理后台：推送对象截图中的字段定义；当前仅能保留回答给出的“全部/公会”规则。</x:v>
      </x:c>
      <x:c r="H28" s="15" t="str">
        <x:v>流程与状态</x:v>
      </x:c>
      <x:c r="I28" s="15" t="str">
        <x:v>需补充原始证据后再形成可测试规则</x:v>
      </x:c>
      <x:c r="J28" s="15" t="str">
        <x:v>A. 补充可测试的正式结论及适用范围
B. 明确本期不实现并记录后续版本范围</x:v>
      </x:c>
      <x:c r="K28" s="15" t="str">
        <x:v>确认后按最终规则补充正常、异常、边界及跨端一致性用例</x:v>
      </x:c>
      <x:c r="L28" s="16" t="str"/>
      <x:c r="M28" s="16" t="str"/>
      <x:c r="N28" s="15" t="str">
        <x:v>1. 需求待确认.md:60
2. 来源：Q046
3. 原问题或答案依赖未附截图、撤回内容或完整上下文，现有文本不足以形成确定规则</x:v>
      </x:c>
      <x:c r="O28" s="15" t="str">
        <x:v>1. 管理后台 推送对象截图中的字段定义；当前仅能保留回答给出的“全部/公会”规则。</x:v>
      </x:c>
      <x:c r="P28" s="15" t="str"/>
      <x:c r="Q28" s="15" t="str">
        <x:v>1. 需补充原始证据后再形成可测试规则</x:v>
      </x:c>
      <x:c r="R28" s="15" t="str">
        <x:v>产品</x:v>
      </x:c>
      <x:c r="S28" s="15" t="str">
        <x:v>进入对应功能测试前</x:v>
      </x:c>
      <x:c r="T28" s="15" t="str">
        <x:v>待确认</x:v>
      </x:c>
    </x:row>
    <x:row r="29" ht="96" customHeight="1">
      <x:c r="A29" s="15" t="str">
        <x:v>IDN-A-PENDING-045</x:v>
      </x:c>
      <x:c r="B29" s="15" t="str">
        <x:v>PENDING-045</x:v>
      </x:c>
      <x:c r="C29" s="15" t="str"/>
      <x:c r="D29" s="15" t="str"/>
      <x:c r="E29" s="15" t="str">
        <x:v>不阻塞</x:v>
      </x:c>
      <x:c r="F29" s="15" t="str">
        <x:v>印尼直播需求缺口</x:v>
      </x:c>
      <x:c r="G29" s="15" t="str">
        <x:v>管理后台：分成月份仅写备注所对应的页面，以及后续结构化统计要求。</x:v>
      </x:c>
      <x:c r="H29" s="15" t="str">
        <x:v>流程与状态</x:v>
      </x:c>
      <x:c r="I29" s="15" t="str">
        <x:v>需补充原始证据后再形成可测试规则</x:v>
      </x:c>
      <x:c r="J29" s="15" t="str">
        <x:v>A. 补充可测试的正式结论及适用范围
B. 明确本期不实现并记录后续版本范围</x:v>
      </x:c>
      <x:c r="K29" s="15" t="str">
        <x:v>确认后按最终规则补充正常、异常、边界及跨端一致性用例</x:v>
      </x:c>
      <x:c r="L29" s="16" t="str"/>
      <x:c r="M29" s="16" t="str"/>
      <x:c r="N29" s="15" t="str">
        <x:v>1. 需求待确认.md:65
2. 来源：Q090
3. 原问题或答案依赖未附截图、撤回内容或完整上下文，现有文本不足以形成确定规则</x:v>
      </x:c>
      <x:c r="O29" s="15" t="str">
        <x:v>1. 管理后台 分成月份仅写备注所对应的页面，以及后续结构化统计要求。</x:v>
      </x:c>
      <x:c r="P29" s="15" t="str"/>
      <x:c r="Q29" s="15" t="str">
        <x:v>1. 需补充原始证据后再形成可测试规则</x:v>
      </x:c>
      <x:c r="R29" s="15" t="str">
        <x:v>产品</x:v>
      </x:c>
      <x:c r="S29" s="15" t="str">
        <x:v>进入对应功能测试前</x:v>
      </x:c>
      <x:c r="T29" s="15" t="str">
        <x:v>待确认</x:v>
      </x:c>
    </x:row>
    <x:row r="30" ht="96" customHeight="1">
      <x:c r="A30" s="15" t="str">
        <x:v>IDN-A-PENDING-047</x:v>
      </x:c>
      <x:c r="B30" s="15" t="str">
        <x:v>PENDING-047</x:v>
      </x:c>
      <x:c r="C30" s="15" t="str"/>
      <x:c r="D30" s="15" t="str"/>
      <x:c r="E30" s="15" t="str">
        <x:v>不阻塞</x:v>
      </x:c>
      <x:c r="F30" s="15" t="str">
        <x:v>印尼直播需求缺口</x:v>
      </x:c>
      <x:c r="G30" s="15" t="str">
        <x:v>管理后台：“有效行为、被动退款、拒付记录”的回答已撤回，需要重新回答。</x:v>
      </x:c>
      <x:c r="H30" s="15" t="str">
        <x:v>流程与状态</x:v>
      </x:c>
      <x:c r="I30" s="15" t="str">
        <x:v>需补充原始证据后再形成可测试规则</x:v>
      </x:c>
      <x:c r="J30" s="15" t="str">
        <x:v>A. 补充可测试的正式结论及适用范围
B. 明确本期不实现并记录后续版本范围</x:v>
      </x:c>
      <x:c r="K30" s="15" t="str">
        <x:v>确认后按最终规则补充正常、异常、边界及跨端一致性用例</x:v>
      </x:c>
      <x:c r="L30" s="16" t="str"/>
      <x:c r="M30" s="16" t="str"/>
      <x:c r="N30" s="15" t="str">
        <x:v>1. 需求待确认.md:67
2. 来源：Q095
3. 原问题或答案依赖未附截图、撤回内容或完整上下文，现有文本不足以形成确定规则</x:v>
      </x:c>
      <x:c r="O30" s="15" t="str">
        <x:v>1. 管理后台 “有效行为、被动退款、拒付记录”的回答已撤回，需要重新回答。</x:v>
      </x:c>
      <x:c r="P30" s="15" t="str"/>
      <x:c r="Q30" s="15" t="str">
        <x:v>1. 需补充原始证据后再形成可测试规则</x:v>
      </x:c>
      <x:c r="R30" s="15" t="str">
        <x:v>产品</x:v>
      </x:c>
      <x:c r="S30" s="15" t="str">
        <x:v>进入对应功能测试前</x:v>
      </x:c>
      <x:c r="T30" s="15" t="str">
        <x:v>待确认</x:v>
      </x:c>
    </x:row>
    <x:row r="31" ht="96" customHeight="1">
      <x:c r="A31" s="15" t="str">
        <x:v>IDN-A-PENDING-048</x:v>
      </x:c>
      <x:c r="B31" s="15" t="str">
        <x:v>PENDING-048</x:v>
      </x:c>
      <x:c r="C31" s="15" t="str"/>
      <x:c r="D31" s="15" t="str"/>
      <x:c r="E31" s="15" t="str">
        <x:v>不阻塞</x:v>
      </x:c>
      <x:c r="F31" s="15" t="str">
        <x:v>印尼直播需求缺口</x:v>
      </x:c>
      <x:c r="G31" s="15" t="str">
        <x:v>管理后台：后台配置页面需要调整的具体字段和规则。</x:v>
      </x:c>
      <x:c r="H31" s="15" t="str">
        <x:v>流程与状态</x:v>
      </x:c>
      <x:c r="I31" s="15" t="str">
        <x:v>需补充原始证据后再形成可测试规则</x:v>
      </x:c>
      <x:c r="J31" s="15" t="str">
        <x:v>A. 补充可测试的正式结论及适用范围
B. 明确本期不实现并记录后续版本范围</x:v>
      </x:c>
      <x:c r="K31" s="15" t="str">
        <x:v>确认后按最终规则补充正常、异常、边界及跨端一致性用例</x:v>
      </x:c>
      <x:c r="L31" s="16" t="str"/>
      <x:c r="M31" s="16" t="str"/>
      <x:c r="N31" s="15" t="str">
        <x:v>1. 需求待确认.md:68
2. 来源：Q108
3. 原问题或答案依赖未附截图、撤回内容或完整上下文，现有文本不足以形成确定规则</x:v>
      </x:c>
      <x:c r="O31" s="15" t="str">
        <x:v>1. 管理后台 后台配置页面需要调整的具体字段和规则。</x:v>
      </x:c>
      <x:c r="P31" s="15" t="str"/>
      <x:c r="Q31" s="15" t="str">
        <x:v>1. 需补充原始证据后再形成可测试规则</x:v>
      </x:c>
      <x:c r="R31" s="15" t="str">
        <x:v>产品</x:v>
      </x:c>
      <x:c r="S31" s="15" t="str">
        <x:v>进入对应功能测试前</x:v>
      </x:c>
      <x:c r="T31" s="15" t="str">
        <x:v>待确认</x:v>
      </x:c>
    </x:row>
    <x:row r="32" ht="96" customHeight="1">
      <x:c r="A32" s="15" t="str">
        <x:v>IDN-A-PENDING-053</x:v>
      </x:c>
      <x:c r="B32" s="15" t="str">
        <x:v>PENDING-053</x:v>
      </x:c>
      <x:c r="C32" s="15" t="str"/>
      <x:c r="D32" s="15" t="str"/>
      <x:c r="E32" s="15" t="str">
        <x:v>不阻塞</x:v>
      </x:c>
      <x:c r="F32" s="15" t="str">
        <x:v>印尼直播需求缺口</x:v>
      </x:c>
      <x:c r="G32" s="15" t="str">
        <x:v>管理后台：两个资金问题的原始截图字段；当前只可保留单账户、余额扣减和退款口径。</x:v>
      </x:c>
      <x:c r="H32" s="15" t="str">
        <x:v>流程与状态</x:v>
      </x:c>
      <x:c r="I32" s="15" t="str">
        <x:v>需补充原始证据后再形成可测试规则</x:v>
      </x:c>
      <x:c r="J32" s="15" t="str">
        <x:v>A. 补充可测试的正式结论及适用范围
B. 明确本期不实现并记录后续版本范围</x:v>
      </x:c>
      <x:c r="K32" s="15" t="str">
        <x:v>确认后按最终规则补充正常、异常、边界及跨端一致性用例</x:v>
      </x:c>
      <x:c r="L32" s="16" t="str"/>
      <x:c r="M32" s="16" t="str"/>
      <x:c r="N32" s="15" t="str">
        <x:v>1. 需求待确认.md:73
2. 来源：Q135
3. 原问题或答案依赖未附截图、撤回内容或完整上下文，现有文本不足以形成确定规则</x:v>
      </x:c>
      <x:c r="O32" s="15" t="str">
        <x:v>1. 管理后台 两个资金问题的原始截图字段；当前只可保留单账户、余额扣减和退款口径。</x:v>
      </x:c>
      <x:c r="P32" s="15" t="str"/>
      <x:c r="Q32" s="15" t="str">
        <x:v>1. 需补充原始证据后再形成可测试规则</x:v>
      </x:c>
      <x:c r="R32" s="15" t="str">
        <x:v>产品</x:v>
      </x:c>
      <x:c r="S32" s="15" t="str">
        <x:v>进入对应功能测试前</x:v>
      </x:c>
      <x:c r="T32" s="15" t="str">
        <x:v>待确认</x:v>
      </x:c>
    </x:row>
    <x:row r="33" ht="96" customHeight="1">
      <x:c r="A33" s="15" t="str">
        <x:v>IDN-A-PENDING-055</x:v>
      </x:c>
      <x:c r="B33" s="15" t="str">
        <x:v>PENDING-055</x:v>
      </x:c>
      <x:c r="C33" s="15" t="str"/>
      <x:c r="D33" s="15" t="str"/>
      <x:c r="E33" s="15" t="str">
        <x:v>不阻塞</x:v>
      </x:c>
      <x:c r="F33" s="15" t="str">
        <x:v>印尼直播需求缺口</x:v>
      </x:c>
      <x:c r="G33" s="15" t="str">
        <x:v>管理后台：已承诺补充资料审核失败原型。</x:v>
      </x:c>
      <x:c r="H33" s="15" t="str">
        <x:v>流程与状态</x:v>
      </x:c>
      <x:c r="I33" s="15" t="str">
        <x:v>需补充原始证据后再形成可测试规则</x:v>
      </x:c>
      <x:c r="J33" s="15" t="str">
        <x:v>A. 补充可测试的正式结论及适用范围
B. 明确本期不实现并记录后续版本范围</x:v>
      </x:c>
      <x:c r="K33" s="15" t="str">
        <x:v>确认后按最终规则补充正常、异常、边界及跨端一致性用例</x:v>
      </x:c>
      <x:c r="L33" s="16" t="str"/>
      <x:c r="M33" s="16" t="str"/>
      <x:c r="N33" s="15" t="str">
        <x:v>1. 需求待确认.md:82
2. 来源：Q009
3. 原问题或答案依赖未附截图、撤回内容或完整上下文，现有文本不足以形成确定规则</x:v>
      </x:c>
      <x:c r="O33" s="15" t="str">
        <x:v>1. 管理后台 已承诺补充资料审核失败原型。</x:v>
      </x:c>
      <x:c r="P33" s="15" t="str"/>
      <x:c r="Q33" s="15" t="str">
        <x:v>1. 需补充原始证据后再形成可测试规则</x:v>
      </x:c>
      <x:c r="R33" s="15" t="str">
        <x:v>产品</x:v>
      </x:c>
      <x:c r="S33" s="15" t="str">
        <x:v>进入对应功能测试前</x:v>
      </x:c>
      <x:c r="T33" s="15" t="str">
        <x:v>待确认</x:v>
      </x:c>
    </x:row>
    <x:row r="34" ht="96" customHeight="1">
      <x:c r="A34" s="15" t="str">
        <x:v>IDN-A-PENDING-059</x:v>
      </x:c>
      <x:c r="B34" s="15" t="str">
        <x:v>PENDING-059</x:v>
      </x:c>
      <x:c r="C34" s="15" t="str"/>
      <x:c r="D34" s="15" t="str"/>
      <x:c r="E34" s="15" t="str">
        <x:v>不阻塞</x:v>
      </x:c>
      <x:c r="F34" s="15" t="str">
        <x:v>印尼直播需求缺口</x:v>
      </x:c>
      <x:c r="G34" s="15" t="str">
        <x:v>管理后台：已承诺调整后台配置页面和 OCR 页面。</x:v>
      </x:c>
      <x:c r="H34" s="15" t="str">
        <x:v>流程与状态</x:v>
      </x:c>
      <x:c r="I34" s="15" t="str">
        <x:v>需补充原始证据后再形成可测试规则</x:v>
      </x:c>
      <x:c r="J34" s="15" t="str">
        <x:v>A. 补充可测试的正式结论及适用范围
B. 明确本期不实现并记录后续版本范围</x:v>
      </x:c>
      <x:c r="K34" s="15" t="str">
        <x:v>确认后按最终规则补充正常、异常、边界及跨端一致性用例</x:v>
      </x:c>
      <x:c r="L34" s="16" t="str"/>
      <x:c r="M34" s="16" t="str"/>
      <x:c r="N34" s="15" t="str">
        <x:v>1. 需求待确认.md:86
2. 来源：Q108、Q112
3. 原问题或答案依赖未附截图、撤回内容或完整上下文，现有文本不足以形成确定规则</x:v>
      </x:c>
      <x:c r="O34" s="15" t="str">
        <x:v>1. 管理后台 已承诺调整后台配置页面和 OCR 页面。</x:v>
      </x:c>
      <x:c r="P34" s="15" t="str"/>
      <x:c r="Q34" s="15" t="str">
        <x:v>1. 需补充原始证据后再形成可测试规则</x:v>
      </x:c>
      <x:c r="R34" s="15" t="str">
        <x:v>产品</x:v>
      </x:c>
      <x:c r="S34" s="15" t="str">
        <x:v>进入对应功能测试前</x:v>
      </x:c>
      <x:c r="T34" s="15" t="str">
        <x:v>待确认</x:v>
      </x:c>
    </x:row>
    <x:row r="35" ht="96" customHeight="1">
      <x:c r="A35" s="15" t="str">
        <x:v>IDN-A-PENDING-060</x:v>
      </x:c>
      <x:c r="B35" s="15" t="str">
        <x:v>PENDING-060</x:v>
      </x:c>
      <x:c r="C35" s="15" t="str"/>
      <x:c r="D35" s="15" t="str"/>
      <x:c r="E35" s="15" t="str">
        <x:v>不阻塞</x:v>
      </x:c>
      <x:c r="F35" s="15" t="str">
        <x:v>印尼直播需求缺口</x:v>
      </x:c>
      <x:c r="G35" s="15" t="str">
        <x:v>管理后台：已承诺补充首充特惠配置。</x:v>
      </x:c>
      <x:c r="H35" s="15" t="str">
        <x:v>流程与状态</x:v>
      </x:c>
      <x:c r="I35" s="15" t="str">
        <x:v>需补充原始证据后再形成可测试规则</x:v>
      </x:c>
      <x:c r="J35" s="15" t="str">
        <x:v>A. 补充可测试的正式结论及适用范围
B. 明确本期不实现并记录后续版本范围</x:v>
      </x:c>
      <x:c r="K35" s="15" t="str">
        <x:v>确认后按最终规则补充正常、异常、边界及跨端一致性用例</x:v>
      </x:c>
      <x:c r="L35" s="16" t="str"/>
      <x:c r="M35" s="16" t="str"/>
      <x:c r="N35" s="15" t="str">
        <x:v>1. 需求待确认.md:87
2. 来源：Q126
3. 原问题或答案依赖未附截图、撤回内容或完整上下文，现有文本不足以形成确定规则</x:v>
      </x:c>
      <x:c r="O35" s="15" t="str">
        <x:v>1. 管理后台 已承诺补充首充特惠配置。</x:v>
      </x:c>
      <x:c r="P35" s="15" t="str"/>
      <x:c r="Q35" s="15" t="str">
        <x:v>1. 需补充原始证据后再形成可测试规则</x:v>
      </x:c>
      <x:c r="R35" s="15" t="str">
        <x:v>产品</x:v>
      </x:c>
      <x:c r="S35" s="15" t="str">
        <x:v>进入对应功能测试前</x:v>
      </x:c>
      <x:c r="T35" s="15" t="str">
        <x:v>待确认</x:v>
      </x:c>
    </x:row>
    <x:row r="36" ht="96" customHeight="1">
      <x:c r="A36" s="15" t="str">
        <x:v>IDN-A-ENTRY-001</x:v>
      </x:c>
      <x:c r="B36" s="15" t="str">
        <x:v>REQ-FIN-007</x:v>
      </x:c>
      <x:c r="C36" s="15" t="str"/>
      <x:c r="D36" s="15" t="str"/>
      <x:c r="E36" s="15" t="str">
        <x:v>部分阻塞</x:v>
      </x:c>
      <x:c r="F36" s="15" t="str">
        <x:v>金币、礼物与订单</x:v>
      </x:c>
      <x:c r="G36" s="15" t="str">
        <x:v>管理后台缺少可确认的当前入口：系统金额统一使用 USD</x:v>
      </x:c>
      <x:c r="H36" s="15" t="str">
        <x:v>角色与权限</x:v>
      </x:c>
      <x:c r="I36" s="15" t="str">
        <x:v>请确认 REQ-FIN-007 是否适用于管理后台；如适用，请提供页面入口、执行角色和可观察位置</x:v>
      </x:c>
      <x:c r="J36" s="15" t="str">
        <x:v>A. 适用并补充明确入口
B. 本端不适用并指定覆盖端</x:v>
      </x:c>
      <x:c r="K36" s="15" t="str">
        <x:v>入口确认后再生成正式用例，不使用其他端或历史用例推定本端入口</x:v>
      </x:c>
      <x:c r="L36" s="16" t="str"/>
      <x:c r="M36" s="16" t="str"/>
      <x:c r="N36" s="15" t="str">
        <x:v>1. 需求规格说明.md:85
2. 需求：REQ-FIN-007</x:v>
      </x:c>
      <x:c r="O36" s="15" t="str">
        <x:v>1. 管理后台 SCN-FIN-007-01-3</x:v>
      </x:c>
      <x:c r="P36" s="15" t="str">
        <x:v>1. AFIN-0002</x:v>
      </x:c>
      <x:c r="Q36" s="15" t="str">
        <x:v>1. 系统金额统一使用 USD</x:v>
      </x:c>
      <x:c r="R36" s="15" t="str">
        <x:v>产品</x:v>
      </x:c>
      <x:c r="S36" s="15" t="str">
        <x:v>进入对应功能测试前</x:v>
      </x:c>
      <x:c r="T36" s="15" t="str">
        <x:v>待确认</x:v>
      </x:c>
    </x:row>
  </x:sheetData>
  <x:dataValidations count="10">
    <x:dataValidation type="list" sqref="E2:E5">
      <x:formula1>"阻塞测试,部分阻塞,不阻塞"</x:formula1>
    </x:dataValidation>
    <x:dataValidation type="list" sqref="H2:H5">
      <x:formula1>"需求范围,业务规则,角色与权限,流程与状态,字段与数据校验,计算与统计口径,异常处理,跨端与跨模块一致性,配置和历史数据影响,交互与文案规则"</x:formula1>
    </x:dataValidation>
    <x:dataValidation type="list" sqref="L2:L5">
      <x:formula1>"A,B,C,D,其他"</x:formula1>
    </x:dataValidation>
    <x:dataValidation type="list" sqref="R2:R5">
      <x:formula1>"产品,交互,技术,多方确认"</x:formula1>
    </x:dataValidation>
    <x:dataValidation type="list" sqref="T2:T5">
      <x:formula1>"待前置结论,待确认,确认中,已确认,无需处理"</x:formula1>
    </x:dataValidation>
    <x:dataValidation type="list" sqref="E6:E36">
      <x:formula1>"阻塞测试,部分阻塞,不阻塞"</x:formula1>
    </x:dataValidation>
    <x:dataValidation type="list" sqref="H6:H36">
      <x:formula1>"需求范围,业务规则,角色与权限,流程与状态,字段与数据校验,计算与统计口径,异常处理,跨端与跨模块一致性,配置和历史数据影响,交互与文案规则"</x:formula1>
    </x:dataValidation>
    <x:dataValidation type="list" sqref="L6:L36">
      <x:formula1>"A,B,C,D,其他"</x:formula1>
    </x:dataValidation>
    <x:dataValidation type="list" sqref="R6:R36">
      <x:formula1>"产品,交互,技术,多方确认"</x:formula1>
    </x:dataValidation>
    <x:dataValidation type="list" sqref="T6:T36">
      <x:formula1>"待前置结论,待确认,确认中,已确认,无需处理"</x:formula1>
    </x:dataValidation>
  </x:dataValidations>
  <x:pageMargins left="0.7" right="0.7" top="0.75" bottom="0.75" header="0.3" footer="0.3"/>
  <x:tableParts count="1">
    <x:tablePart xmlns:r="http://schemas.openxmlformats.org/officeDocument/2006/relationships" r:id="Raabb8674d481426e"/>
  </x:tableParts>
</x:worksheet>
</file>