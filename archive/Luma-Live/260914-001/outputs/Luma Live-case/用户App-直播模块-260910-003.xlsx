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6953c50f3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66f906f177154a7d"/>
    <x:sheet xmlns:r="http://schemas.openxmlformats.org/officeDocument/2006/relationships" name="功能测试用例" sheetId="2" r:id="Rd88f2534a77243d2"/>
    <x:sheet xmlns:r="http://schemas.openxmlformats.org/officeDocument/2006/relationships" name="需求待确认" sheetId="3" r:id="Rf819889423f6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17f05f06a4159" /><Relationship Type="http://schemas.openxmlformats.org/officeDocument/2006/relationships/theme" Target="/xl/theme/theme1.xml" Id="Rb0daeba4b3f04c0f" /><Relationship Type="http://schemas.openxmlformats.org/officeDocument/2006/relationships/sharedStrings" Target="/xl/sharedStrings.xml" Id="R4ce4f941ae3d47c8" /><Relationship Type="http://schemas.openxmlformats.org/officeDocument/2006/relationships/worksheet" Target="/xl/worksheets/sheet1.xml" Id="R66f906f177154a7d" /><Relationship Type="http://schemas.openxmlformats.org/officeDocument/2006/relationships/worksheet" Target="/xl/worksheets/sheet2.xml" Id="Rd88f2534a77243d2" /><Relationship Type="http://schemas.openxmlformats.org/officeDocument/2006/relationships/worksheet" Target="/xl/worksheets/sheet3.xml" Id="Rf819889423f64c3c" /></Relationships>
</file>

<file path=xl/tables/table1.xml><?xml version="1.0" encoding="utf-8"?>
<x:table xmlns:x="http://schemas.openxmlformats.org/spreadsheetml/2006/main" id="1" name="LiveCasesTable" displayName="LiveCasesTable" ref="A1:O215" headerRowCount="1" totalsRowCount="0" totalsRowShown="0">
  <x:autoFilter ref="A1:O215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5" headerRowCount="1" totalsRowCount="0" totalsRowShown="0">
  <x:autoFilter ref="A1:T5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0e80139ba34f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2caa633b424e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用户App-直播模块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COUNTA('需求待确认'!$A$2:$A$5)</x:f>
        <x:v>4</x:v>
      </x:c>
      <x:c r="C5" s="13"/>
      <x:c r="D5" s="20" t="str">
        <x:v>阻塞测试</x:v>
      </x:c>
      <x:c r="E5" s="22" t="n">
        <x:f>COUNTIFS('需求待确认'!$E$2:$E$5,"阻塞测试",'需求待确认'!$T$2:$T$5,"待确认")</x:f>
        <x:v>0</x:v>
      </x:c>
      <x:c r="F5" s="13"/>
      <x:c r="G5" s="20" t="str">
        <x:v>产品</x:v>
      </x:c>
      <x:c r="H5" s="22" t="n">
        <x:f>COUNTIFS('需求待确认'!$R$2:$R$5,"产品",'需求待确认'!$T$2:$T$5,"待确认")</x:f>
        <x:v>4</x:v>
      </x:c>
    </x:row>
    <x:row r="6">
      <x:c r="A6" s="20" t="str">
        <x:v>当前可回答</x:v>
      </x:c>
      <x:c r="B6" s="22" t="n">
        <x:f>COUNTIF('需求待确认'!$T$2:$T$5,"待确认")</x:f>
        <x:v>4</x:v>
      </x:c>
      <x:c r="C6" s="13"/>
      <x:c r="D6" s="20" t="str">
        <x:v>部分阻塞</x:v>
      </x:c>
      <x:c r="E6" s="22" t="n">
        <x:f>COUNTIFS('需求待确认'!$E$2:$E$5,"部分阻塞",'需求待确认'!$T$2:$T$5,"待确认")</x:f>
        <x:v>4</x:v>
      </x:c>
      <x:c r="F6" s="13"/>
      <x:c r="G6" s="20" t="str">
        <x:v>交互</x:v>
      </x:c>
      <x:c r="H6" s="22" t="n">
        <x:f>COUNTIFS('需求待确认'!$R$2:$R$5,"交互",'需求待确认'!$T$2:$T$5,"待确认")</x:f>
        <x:v>0</x:v>
      </x:c>
    </x:row>
    <x:row r="7">
      <x:c r="A7" s="20" t="str">
        <x:v>待前置结论</x:v>
      </x:c>
      <x:c r="B7" s="22" t="n">
        <x:f>COUNTIF('需求待确认'!$T$2:$T$5,"待前置结论")</x:f>
        <x:v>0</x:v>
      </x:c>
      <x:c r="C7" s="13"/>
      <x:c r="D7" s="20" t="str">
        <x:v>不阻塞</x:v>
      </x:c>
      <x:c r="E7" s="22" t="n">
        <x:f>COUNTIFS('需求待确认'!$E$2:$E$5,"不阻塞",'需求待确认'!$T$2:$T$5,"待确认")</x:f>
        <x:v>0</x:v>
      </x:c>
      <x:c r="F7" s="13"/>
      <x:c r="G7" s="20" t="str">
        <x:v>技术</x:v>
      </x:c>
      <x:c r="H7" s="22" t="n">
        <x:f>COUNTIFS('需求待确认'!$R$2:$R$5,"技术",'需求待确认'!$T$2:$T$5,"待确认")</x:f>
        <x:v>0</x:v>
      </x:c>
    </x:row>
    <x:row r="8">
      <x:c r="A8" s="20" t="str">
        <x:v>确认中</x:v>
      </x:c>
      <x:c r="B8" s="22" t="n">
        <x:f>COUNTIF('需求待确认'!$T$2:$T$5,"确认中")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COUNTIFS('需求待确认'!$R$2:$R$5,"多方确认",'需求待确认'!$T$2:$T$5,"待确认")</x:f>
        <x:v>0</x:v>
      </x:c>
    </x:row>
    <x:row r="9">
      <x:c r="A9" s="20" t="str">
        <x:v>已确认</x:v>
      </x:c>
      <x:c r="B9" s="22" t="n">
        <x:f>COUNTIF('需求待确认'!$T$2:$T$5,"已确认")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COUNTIF('需求待确认'!$T$2:$T$5,"无需处理")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00" customHeight="1">
      <x:c r="A2" s="10" t="n">
        <x:v>1</x:v>
      </x:c>
      <x:c r="B2" s="10" t="str">
        <x:v>LIVE-0001</x:v>
      </x:c>
      <x:c r="C2" s="10" t="str">
        <x:v>直播模块</x:v>
      </x:c>
      <x:c r="D2" s="10" t="str">
        <x:v>直播广场（用户视角）</x:v>
      </x:c>
      <x:c r="E2" s="10" t="str">
        <x:v>功能需求</x:v>
      </x:c>
      <x:c r="F2" s="10" t="str">
        <x:v>P0</x:v>
      </x:c>
      <x:c r="G2" s="9" t="str">
        <x:v>验证直播卡片关键信息</x:v>
      </x:c>
      <x:c r="H2" s="9" t="str">
        <x:v>卡片信息</x:v>
      </x:c>
      <x:c r="I2" s="9" t="str">
        <x:v>1. 用户账号已登录
2. 存在一场正在进行的直播</x:v>
      </x:c>
      <x:c r="J2" s="9" t="str">
        <x:v>1. 进入直播广场
2. 查看直播卡片</x:v>
      </x:c>
      <x:c r="K2" s="9" t="str">
        <x:v>直播卡片字段包含本场封面、主题、主播、分类和访问次数</x:v>
      </x:c>
      <x:c r="L2" s="10" t="str"/>
      <x:c r="M2" s="10" t="str">
        <x:v>未测</x:v>
      </x:c>
      <x:c r="N2" s="10" t="str"/>
      <x:c r="O2" s="9" t="str">
        <x:v>1. 来源（原型批注）：liveshow-proto/prototype/annotations/user.js；位置：live-plaza.html 结构化批注
2. 规则：BR-LIVE-GROUP-680694C94C
3. 分支：BR-LIVE-GROUP-680694C94C-B01
4. 未动态验证</x:v>
      </x:c>
    </x:row>
    <x:row r="3" ht="100" customHeight="1">
      <x:c r="A3" s="10" t="n">
        <x:v>2</x:v>
      </x:c>
      <x:c r="B3" s="10" t="str">
        <x:v>LIVE-0002</x:v>
      </x:c>
      <x:c r="C3" s="10" t="str">
        <x:v>直播模块</x:v>
      </x:c>
      <x:c r="D3" s="10" t="str">
        <x:v>直播广场（用户视角）</x:v>
      </x:c>
      <x:c r="E3" s="10" t="str">
        <x:v>逻辑校验</x:v>
      </x:c>
      <x:c r="F3" s="10" t="str">
        <x:v>P1</x:v>
      </x:c>
      <x:c r="G3" s="9" t="str">
        <x:v>验证重复进房计入访问次数</x:v>
      </x:c>
      <x:c r="H3" s="9" t="str">
        <x:v>访问次数累计</x:v>
      </x:c>
      <x:c r="I3" s="9" t="str">
        <x:v>1. 用户账号已登录
2. 同一直播场次可正常进入</x:v>
      </x:c>
      <x:c r="J3" s="9" t="str">
        <x:v>1. 进入目标直播间
2. 返回直播广场
3. 再次进入同一直播间</x:v>
      </x:c>
      <x:c r="K3" s="9" t="str">
        <x:v>本场访问次数累计 2 次成功进入事件</x:v>
      </x:c>
      <x:c r="L3" s="10" t="str"/>
      <x:c r="M3" s="10" t="str">
        <x:v>未测</x:v>
      </x:c>
      <x:c r="N3" s="10" t="str"/>
      <x:c r="O3" s="9" t="str">
        <x:v>1. 来源（原型批注）：liveshow-proto/prototype/annotations/user.js；位置：live-plaza.html 结构化批注
2. 规则：BR-LIVE-GROUP-680694C94C
3. 分支：BR-LIVE-GROUP-680694C94C-B02
4. 未动态验证</x:v>
      </x:c>
    </x:row>
    <x:row r="4" ht="100" customHeight="1">
      <x:c r="A4" s="10" t="n">
        <x:v>3</x:v>
      </x:c>
      <x:c r="B4" s="10" t="str">
        <x:v>LIVE-0003</x:v>
      </x:c>
      <x:c r="C4" s="10" t="str">
        <x:v>直播模块</x:v>
      </x:c>
      <x:c r="D4" s="10" t="str">
        <x:v>直播广场（用户视角）</x:v>
      </x:c>
      <x:c r="E4" s="10" t="str">
        <x:v>逻辑校验</x:v>
      </x:c>
      <x:c r="F4" s="10" t="str">
        <x:v>P1</x:v>
      </x:c>
      <x:c r="G4" s="9" t="str">
        <x:v>验证进房失败不计访问次数</x:v>
      </x:c>
      <x:c r="H4" s="9" t="str">
        <x:v>失败访问排除</x:v>
      </x:c>
      <x:c r="I4" s="9" t="str">
        <x:v>1. 用户账号已登录
2. 目标密码房当前访问次数为 0
3. 测试数据：错误密码 1234</x:v>
      </x:c>
      <x:c r="J4" s="9" t="str">
        <x:v>1. 进入目标密码房
2. 输入密码 1234
3. 点击确认</x:v>
      </x:c>
      <x:c r="K4" s="9" t="str">
        <x:v>目标房间访问次数仍为 0</x:v>
      </x:c>
      <x:c r="L4" s="10" t="str"/>
      <x:c r="M4" s="10" t="str">
        <x:v>未测</x:v>
      </x:c>
      <x:c r="N4" s="10" t="str"/>
      <x:c r="O4" s="9" t="str">
        <x:v>1. 来源（原型批注）：liveshow-proto/prototype/annotations/user.js；位置：live-plaza.html 结构化批注
2. 规则：BR-LIVE-GROUP-680694C94C
3. 分支：BR-LIVE-GROUP-680694C94C-B03
4. 未动态验证</x:v>
      </x:c>
    </x:row>
    <x:row r="5" ht="100" customHeight="1">
      <x:c r="A5" s="10" t="n">
        <x:v>4</x:v>
      </x:c>
      <x:c r="B5" s="10" t="str">
        <x:v>LIVE-0004</x:v>
      </x:c>
      <x:c r="C5" s="10" t="str">
        <x:v>直播模块</x:v>
      </x:c>
      <x:c r="D5" s="10" t="str">
        <x:v>直播广场（用户视角）</x:v>
      </x:c>
      <x:c r="E5" s="10" t="str">
        <x:v>逻辑校验</x:v>
      </x:c>
      <x:c r="F5" s="10" t="str">
        <x:v>P1</x:v>
      </x:c>
      <x:c r="G5" s="9" t="str">
        <x:v>验证新场次访问次数重置</x:v>
      </x:c>
      <x:c r="H5" s="9" t="str">
        <x:v>场次初始计数</x:v>
      </x:c>
      <x:c r="I5" s="9" t="str">
        <x:v>1. 用户账号已登录
2. 主播创建新的直播场次</x:v>
      </x:c>
      <x:c r="J5" s="9" t="str">
        <x:v>1. 进入直播广场
2. 查看该主播的新场次卡片</x:v>
      </x:c>
      <x:c r="K5" s="9" t="str">
        <x:v>新场次访问次数从 0 开始累计</x:v>
      </x:c>
      <x:c r="L5" s="10" t="str"/>
      <x:c r="M5" s="10" t="str">
        <x:v>未测</x:v>
      </x:c>
      <x:c r="N5" s="10" t="str"/>
      <x:c r="O5" s="9" t="str">
        <x:v>1. 来源（原型批注）：liveshow-proto/prototype/annotations/user.js；位置：live-plaza.html 结构化批注
2. 规则：BR-LIVE-GROUP-680694C94C
3. 分支：BR-LIVE-GROUP-680694C94C-B04
4. 未动态验证</x:v>
      </x:c>
    </x:row>
    <x:row r="6" ht="100" customHeight="1">
      <x:c r="A6" s="10" t="n">
        <x:v>5</x:v>
      </x:c>
      <x:c r="B6" s="10" t="str">
        <x:v>LIVE-0005</x:v>
      </x:c>
      <x:c r="C6" s="10" t="str">
        <x:v>直播模块</x:v>
      </x:c>
      <x:c r="D6" s="10" t="str">
        <x:v>直播广场（用户视角）</x:v>
      </x:c>
      <x:c r="E6" s="10" t="str">
        <x:v>功能需求</x:v>
      </x:c>
      <x:c r="F6" s="10" t="str">
        <x:v>P0</x:v>
      </x:c>
      <x:c r="G6" s="9" t="str">
        <x:v>验证热门与新人列表切换</x:v>
      </x:c>
      <x:c r="H6" s="9" t="str">
        <x:v>列表 Tab</x:v>
      </x:c>
      <x:c r="I6" s="9" t="str">
        <x:v>1. 用户账号已登录
2. 热门和新人列表均有数据</x:v>
      </x:c>
      <x:c r="J6" s="9" t="str">
        <x:v>1. 进入直播广场
2. 切换至“新人”</x:v>
      </x:c>
      <x:c r="K6" s="9" t="str">
        <x:v>直播列表刷新为新人数据</x:v>
      </x:c>
      <x:c r="L6" s="10" t="str"/>
      <x:c r="M6" s="10" t="str">
        <x:v>未测</x:v>
      </x:c>
      <x:c r="N6" s="10" t="str"/>
      <x:c r="O6" s="9" t="str">
        <x:v>1. 来源（原型批注）：liveshow-proto/prototype/annotations/user.js；位置：live-plaza.html 结构化批注
2. 规则：BR-LIVE-GROUP-680694C94C
3. 分支：BR-LIVE-GROUP-680694C94C-B05
4. 未动态验证</x:v>
      </x:c>
    </x:row>
    <x:row r="7" ht="100" customHeight="1">
      <x:c r="A7" s="10" t="n">
        <x:v>6</x:v>
      </x:c>
      <x:c r="B7" s="10" t="str">
        <x:v>LIVE-0006</x:v>
      </x:c>
      <x:c r="C7" s="10" t="str">
        <x:v>直播模块</x:v>
      </x:c>
      <x:c r="D7" s="10" t="str">
        <x:v>直播广场（用户视角）</x:v>
      </x:c>
      <x:c r="E7" s="10" t="str">
        <x:v>功能需求</x:v>
      </x:c>
      <x:c r="F7" s="10" t="str">
        <x:v>P1</x:v>
      </x:c>
      <x:c r="G7" s="9" t="str">
        <x:v>验证直播分类筛选</x:v>
      </x:c>
      <x:c r="H7" s="9" t="str">
        <x:v>分类筛选</x:v>
      </x:c>
      <x:c r="I7" s="9" t="str">
        <x:v>1. 用户账号已登录
2. 测试数据：分类“唱歌”下有直播</x:v>
      </x:c>
      <x:c r="J7" s="9" t="str">
        <x:v>1. 进入直播广场
2. 选择“唱歌”分类</x:v>
      </x:c>
      <x:c r="K7" s="9" t="str">
        <x:v>列表只显示“唱歌”分类的直播</x:v>
      </x:c>
      <x:c r="L7" s="10" t="str"/>
      <x:c r="M7" s="10" t="str">
        <x:v>未测</x:v>
      </x:c>
      <x:c r="N7" s="10" t="str"/>
      <x:c r="O7" s="9" t="str">
        <x:v>1. 来源（原型批注）：liveshow-proto/prototype/annotations/user.js；位置：live-plaza.html 结构化批注
2. 规则：BR-LIVE-GROUP-680694C94C
3. 分支：BR-LIVE-GROUP-680694C94C-B06
4. 未动态验证</x:v>
      </x:c>
    </x:row>
    <x:row r="8" ht="100" customHeight="1">
      <x:c r="A8" s="10" t="n">
        <x:v>7</x:v>
      </x:c>
      <x:c r="B8" s="10" t="str">
        <x:v>LIVE-0007</x:v>
      </x:c>
      <x:c r="C8" s="10" t="str">
        <x:v>直播模块</x:v>
      </x:c>
      <x:c r="D8" s="10" t="str">
        <x:v>直播广场（用户视角）</x:v>
      </x:c>
      <x:c r="E8" s="10" t="str">
        <x:v>功能需求</x:v>
      </x:c>
      <x:c r="F8" s="10" t="str">
        <x:v>P1</x:v>
      </x:c>
      <x:c r="G8" s="9" t="str">
        <x:v>验证关注主播直播入口</x:v>
      </x:c>
      <x:c r="H8" s="9" t="str">
        <x:v>关注直播区</x:v>
      </x:c>
      <x:c r="I8" s="9" t="str">
        <x:v>1. 用户账号已登录
2. 已关注主播 A 且主播 A 正在直播</x:v>
      </x:c>
      <x:c r="J8" s="9" t="str">
        <x:v>1. 进入直播广场
2. 查看关注直播区</x:v>
      </x:c>
      <x:c r="K8" s="9" t="str">
        <x:v>关注直播区显示主播 A</x:v>
      </x:c>
      <x:c r="L8" s="10" t="str"/>
      <x:c r="M8" s="10" t="str">
        <x:v>未测</x:v>
      </x:c>
      <x:c r="N8" s="10" t="str"/>
      <x:c r="O8" s="9" t="str">
        <x:v>1. 来源（原型批注）：liveshow-proto/prototype/annotations/user.js；位置：live-plaza.html 结构化批注
2. 规则：BR-LIVE-GROUP-680694C94C
3. 分支：BR-LIVE-GROUP-680694C94C-B07
4. 未动态验证</x:v>
      </x:c>
    </x:row>
    <x:row r="9" ht="100" customHeight="1">
      <x:c r="A9" s="10" t="n">
        <x:v>8</x:v>
      </x:c>
      <x:c r="B9" s="10" t="str">
        <x:v>LIVE-0008</x:v>
      </x:c>
      <x:c r="C9" s="10" t="str">
        <x:v>直播模块</x:v>
      </x:c>
      <x:c r="D9" s="10" t="str">
        <x:v>直播广场（用户视角）</x:v>
      </x:c>
      <x:c r="E9" s="10" t="str">
        <x:v>功能需求</x:v>
      </x:c>
      <x:c r="F9" s="10" t="str">
        <x:v>P1</x:v>
      </x:c>
      <x:c r="G9" s="9" t="str">
        <x:v>验证无关注直播时隐藏入口</x:v>
      </x:c>
      <x:c r="H9" s="9" t="str">
        <x:v>关注区空态</x:v>
      </x:c>
      <x:c r="I9" s="9" t="str">
        <x:v>1. 用户账号已登录
2. 已关注主播均未开播</x:v>
      </x:c>
      <x:c r="J9" s="9" t="str">
        <x:v>1. 进入直播广场
2. 查看关注直播区</x:v>
      </x:c>
      <x:c r="K9" s="9" t="str">
        <x:v>关注直播区不显示</x:v>
      </x:c>
      <x:c r="L9" s="10" t="str"/>
      <x:c r="M9" s="10" t="str">
        <x:v>未测</x:v>
      </x:c>
      <x:c r="N9" s="10" t="str"/>
      <x:c r="O9" s="9" t="str">
        <x:v>1. 来源（原型批注）：liveshow-proto/prototype/annotations/user.js；位置：live-plaza.html 结构化批注
2. 规则：BR-LIVE-GROUP-680694C94C
3. 分支：BR-LIVE-GROUP-680694C94C-B08
4. 未动态验证</x:v>
      </x:c>
    </x:row>
    <x:row r="10" ht="100" customHeight="1">
      <x:c r="A10" s="10" t="n">
        <x:v>9</x:v>
      </x:c>
      <x:c r="B10" s="10" t="str">
        <x:v>LIVE-0009</x:v>
      </x:c>
      <x:c r="C10" s="10" t="str">
        <x:v>直播模块</x:v>
      </x:c>
      <x:c r="D10" s="10" t="str">
        <x:v>直播广场（用户视角）</x:v>
      </x:c>
      <x:c r="E10" s="10" t="str">
        <x:v>功能需求</x:v>
      </x:c>
      <x:c r="F10" s="10" t="str">
        <x:v>P1</x:v>
      </x:c>
      <x:c r="G10" s="9" t="str">
        <x:v>验证运营 Banner 跳转</x:v>
      </x:c>
      <x:c r="H10" s="9" t="str">
        <x:v>Banner 跳转</x:v>
      </x:c>
      <x:c r="I10" s="9" t="str">
        <x:v>1. 用户账号已登录
2. 存在有效运营 Banner</x:v>
      </x:c>
      <x:c r="J10" s="9" t="str">
        <x:v>1. 进入直播广场
2. 点击运营 Banner</x:v>
      </x:c>
      <x:c r="K10" s="9" t="str">
        <x:v>页面进入该 Banner 配置的目标</x:v>
      </x:c>
      <x:c r="L10" s="10" t="str"/>
      <x:c r="M10" s="10" t="str">
        <x:v>未测</x:v>
      </x:c>
      <x:c r="N10" s="10" t="str"/>
      <x:c r="O10" s="9" t="str">
        <x:v>1. 来源（原型批注）：liveshow-proto/prototype/annotations/user.js；位置：live-plaza.html 结构化批注
2. 规则：BR-LIVE-GROUP-680694C94C
3. 分支：BR-LIVE-GROUP-680694C94C-B09
4. 未动态验证</x:v>
      </x:c>
    </x:row>
    <x:row r="11" ht="100" customHeight="1">
      <x:c r="A11" s="10" t="n">
        <x:v>10</x:v>
      </x:c>
      <x:c r="B11" s="10" t="str">
        <x:v>LIVE-0010</x:v>
      </x:c>
      <x:c r="C11" s="10" t="str">
        <x:v>直播模块</x:v>
      </x:c>
      <x:c r="D11" s="10" t="str">
        <x:v>直播广场（游客视角）</x:v>
      </x:c>
      <x:c r="E11" s="10" t="str">
        <x:v>功能需求</x:v>
      </x:c>
      <x:c r="F11" s="10" t="str">
        <x:v>P1</x:v>
      </x:c>
      <x:c r="G11" s="9" t="str">
        <x:v>验证游客可查看榜单</x:v>
      </x:c>
      <x:c r="H11" s="9" t="str">
        <x:v>游客榜单入口</x:v>
      </x:c>
      <x:c r="I11" s="9" t="str">
        <x:v>1. 用户未登录</x:v>
      </x:c>
      <x:c r="J11" s="9" t="str">
        <x:v>1. 进入直播广场
2. 点击主播榜</x:v>
      </x:c>
      <x:c r="K11" s="9" t="str">
        <x:v>页面进入主播榜</x:v>
      </x:c>
      <x:c r="L11" s="10" t="str"/>
      <x:c r="M11" s="10" t="str">
        <x:v>未测</x:v>
      </x:c>
      <x:c r="N11" s="10" t="str"/>
      <x:c r="O11" s="9" t="str">
        <x:v>1. 来源（原型批注）：liveshow-proto/prototype/annotations/user.js；位置：live-plaza.html 结构化批注
2. 规则：BR-LIVE-GROUP-680694C94C
3. 分支：BR-LIVE-GROUP-680694C94C-B10
4. 未动态验证</x:v>
      </x:c>
    </x:row>
    <x:row r="12" ht="100" customHeight="1">
      <x:c r="A12" s="10" t="n">
        <x:v>11</x:v>
      </x:c>
      <x:c r="B12" s="10" t="str">
        <x:v>LIVE-0011</x:v>
      </x:c>
      <x:c r="C12" s="10" t="str">
        <x:v>直播模块</x:v>
      </x:c>
      <x:c r="D12" s="10" t="str">
        <x:v>直播广场（游客视角）</x:v>
      </x:c>
      <x:c r="E12" s="10" t="str">
        <x:v>异常用例</x:v>
      </x:c>
      <x:c r="F12" s="10" t="str">
        <x:v>P0</x:v>
      </x:c>
      <x:c r="G12" s="9" t="str">
        <x:v>验证游客进房先登录</x:v>
      </x:c>
      <x:c r="H12" s="9" t="str">
        <x:v>游客进房限制</x:v>
      </x:c>
      <x:c r="I12" s="9" t="str">
        <x:v>1. 用户未登录
2. 存在正在直播的普通房</x:v>
      </x:c>
      <x:c r="J12" s="9" t="str">
        <x:v>1. 进入直播广场
2. 点击普通房卡片</x:v>
      </x:c>
      <x:c r="K12" s="9" t="str">
        <x:v>页面直接进入登录页</x:v>
      </x:c>
      <x:c r="L12" s="10" t="str"/>
      <x:c r="M12" s="10" t="str">
        <x:v>未测</x:v>
      </x:c>
      <x:c r="N12" s="10" t="str"/>
      <x:c r="O12" s="9" t="str">
        <x:v>1. 来源（原型批注）：liveshow-proto/prototype/annotations/user.js；位置：live-plaza.html 结构化批注
2. 规则：BR-LIVE-GROUP-680694C94C
3. 分支：BR-LIVE-GROUP-680694C94C-B11
4. 未动态验证</x:v>
      </x:c>
    </x:row>
    <x:row r="13" ht="100" customHeight="1">
      <x:c r="A13" s="10" t="n">
        <x:v>12</x:v>
      </x:c>
      <x:c r="B13" s="10" t="str">
        <x:v>LIVE-0012</x:v>
      </x:c>
      <x:c r="C13" s="10" t="str">
        <x:v>直播模块</x:v>
      </x:c>
      <x:c r="D13" s="10" t="str">
        <x:v>通知授权（用户视角）</x:v>
      </x:c>
      <x:c r="E13" s="10" t="str">
        <x:v>功能需求</x:v>
      </x:c>
      <x:c r="F13" s="10" t="str">
        <x:v>P1</x:v>
      </x:c>
      <x:c r="G13" s="9" t="str">
        <x:v>验证首次登录展示通知说明</x:v>
      </x:c>
      <x:c r="H13" s="9" t="str">
        <x:v>首次通知说明</x:v>
      </x:c>
      <x:c r="I13" s="9" t="str">
        <x:v>1. 用户首次登录成功
2. 通知说明尚未处理</x:v>
      </x:c>
      <x:c r="J13" s="9" t="str">
        <x:v>1. 进入直播广场</x:v>
      </x:c>
      <x:c r="K13" s="9" t="str">
        <x:v>页面显示“开启通知”说明</x:v>
      </x:c>
      <x:c r="L13" s="10" t="str"/>
      <x:c r="M13" s="10" t="str">
        <x:v>未测</x:v>
      </x:c>
      <x:c r="N13" s="10" t="str"/>
      <x:c r="O13" s="9" t="str">
        <x:v>1. 来源（原型批注）：liveshow-proto/prototype/annotations/user.js；位置：live-plaza.html 结构化批注
2. 规则：BR-LIVE-GROUP-6DFD9883EC
3. 分支：BR-LIVE-GROUP-6DFD9883EC-B01
4. 未动态验证</x:v>
      </x:c>
    </x:row>
    <x:row r="14" ht="100" customHeight="1">
      <x:c r="A14" s="10" t="n">
        <x:v>13</x:v>
      </x:c>
      <x:c r="B14" s="10" t="str">
        <x:v>LIVE-0013</x:v>
      </x:c>
      <x:c r="C14" s="10" t="str">
        <x:v>直播模块</x:v>
      </x:c>
      <x:c r="D14" s="10" t="str">
        <x:v>通知授权（用户视角）</x:v>
      </x:c>
      <x:c r="E14" s="10" t="str">
        <x:v>功能需求</x:v>
      </x:c>
      <x:c r="F14" s="10" t="str">
        <x:v>P1</x:v>
      </x:c>
      <x:c r="G14" s="9" t="str">
        <x:v>验证暂不开启不请求系统权限</x:v>
      </x:c>
      <x:c r="H14" s="9" t="str">
        <x:v>暂不开启</x:v>
      </x:c>
      <x:c r="I14" s="9" t="str">
        <x:v>1. 用户首次登录成功
2. 页面显示通知说明</x:v>
      </x:c>
      <x:c r="J14" s="9" t="str">
        <x:v>1. 点击“暂不开启”</x:v>
      </x:c>
      <x:c r="K14" s="9" t="str">
        <x:v>系统通知授权弹窗不显示</x:v>
      </x:c>
      <x:c r="L14" s="10" t="str"/>
      <x:c r="M14" s="10" t="str">
        <x:v>未测</x:v>
      </x:c>
      <x:c r="N14" s="10" t="str"/>
      <x:c r="O14" s="9" t="str">
        <x:v>1. 来源（原型批注）：liveshow-proto/prototype/annotations/user.js；位置：live-plaza.html 结构化批注
2. 规则：BR-LIVE-GROUP-6DFD9883EC
3. 分支：BR-LIVE-GROUP-6DFD9883EC-B02
4. 未动态验证</x:v>
      </x:c>
    </x:row>
    <x:row r="15" ht="100" customHeight="1">
      <x:c r="A15" s="10" t="n">
        <x:v>14</x:v>
      </x:c>
      <x:c r="B15" s="10" t="str">
        <x:v>LIVE-0014</x:v>
      </x:c>
      <x:c r="C15" s="10" t="str">
        <x:v>直播模块</x:v>
      </x:c>
      <x:c r="D15" s="10" t="str">
        <x:v>通知授权（用户视角）</x:v>
      </x:c>
      <x:c r="E15" s="10" t="str">
        <x:v>功能需求</x:v>
      </x:c>
      <x:c r="F15" s="10" t="str">
        <x:v>P1</x:v>
      </x:c>
      <x:c r="G15" s="9" t="str">
        <x:v>验证开启通知调用系统授权</x:v>
      </x:c>
      <x:c r="H15" s="9" t="str">
        <x:v>系统授权调用</x:v>
      </x:c>
      <x:c r="I15" s="9" t="str">
        <x:v>1. 用户首次登录成功
2. 页面显示通知说明</x:v>
      </x:c>
      <x:c r="J15" s="9" t="str">
        <x:v>1. 点击“开启通知”</x:v>
      </x:c>
      <x:c r="K15" s="9" t="str">
        <x:v>页面显示系统通知授权弹窗</x:v>
      </x:c>
      <x:c r="L15" s="10" t="str"/>
      <x:c r="M15" s="10" t="str">
        <x:v>未测</x:v>
      </x:c>
      <x:c r="N15" s="10" t="str"/>
      <x:c r="O15" s="9" t="str">
        <x:v>1. 来源（原型批注）：liveshow-proto/prototype/annotations/user.js；位置：live-plaza.html 结构化批注
2. 规则：BR-LIVE-GROUP-6DFD9883EC
3. 分支：BR-LIVE-GROUP-6DFD9883EC-B03
4. 未动态验证</x:v>
      </x:c>
    </x:row>
    <x:row r="16" ht="100" customHeight="1">
      <x:c r="A16" s="10" t="n">
        <x:v>15</x:v>
      </x:c>
      <x:c r="B16" s="10" t="str">
        <x:v>LIVE-0015</x:v>
      </x:c>
      <x:c r="C16" s="10" t="str">
        <x:v>直播模块</x:v>
      </x:c>
      <x:c r="D16" s="10" t="str">
        <x:v>通知授权（用户视角）</x:v>
      </x:c>
      <x:c r="E16" s="10" t="str">
        <x:v>功能需求</x:v>
      </x:c>
      <x:c r="F16" s="10" t="str">
        <x:v>P1</x:v>
      </x:c>
      <x:c r="G16" s="9" t="str">
        <x:v>验证通知说明不重复展示</x:v>
      </x:c>
      <x:c r="H16" s="9" t="str">
        <x:v>说明一次性</x:v>
      </x:c>
      <x:c r="I16" s="9" t="str">
        <x:v>1. 用户已处理过通知说明</x:v>
      </x:c>
      <x:c r="J16" s="9" t="str">
        <x:v>1. 退出登录
2. 再次登录
3. 进入直播广场</x:v>
      </x:c>
      <x:c r="K16" s="9" t="str">
        <x:v>通知说明不再显示</x:v>
      </x:c>
      <x:c r="L16" s="10" t="str"/>
      <x:c r="M16" s="10" t="str">
        <x:v>未测</x:v>
      </x:c>
      <x:c r="N16" s="10" t="str"/>
      <x:c r="O16" s="9" t="str">
        <x:v>1. 来源（原型批注）：liveshow-proto/prototype/annotations/user.js；位置：live-plaza.html 结构化批注
2. 规则：BR-LIVE-GROUP-6DFD9883EC
3. 分支：BR-LIVE-GROUP-6DFD9883EC-B04
4. 未动态验证</x:v>
      </x:c>
    </x:row>
    <x:row r="17" ht="100" customHeight="1">
      <x:c r="A17" s="10" t="n">
        <x:v>16</x:v>
      </x:c>
      <x:c r="B17" s="10" t="str">
        <x:v>LIVE-0016</x:v>
      </x:c>
      <x:c r="C17" s="10" t="str">
        <x:v>直播模块</x:v>
      </x:c>
      <x:c r="D17" s="10" t="str">
        <x:v>直播间准入（观众视角）</x:v>
      </x:c>
      <x:c r="E17" s="10" t="str">
        <x:v>业务流程</x:v>
      </x:c>
      <x:c r="F17" s="10" t="str">
        <x:v>P0</x:v>
      </x:c>
      <x:c r="G17" s="9" t="str">
        <x:v>验证普通房直接进入</x:v>
      </x:c>
      <x:c r="H17" s="9" t="str">
        <x:v>普通房准入</x:v>
      </x:c>
      <x:c r="I17" s="9" t="str">
        <x:v>1. 观众账号可用
2. 观众与主播无拉黑关系
3. 观众未被本场踢出</x:v>
      </x:c>
      <x:c r="J17" s="9" t="str">
        <x:v>1. 进入直播广场
2. 点击普通房卡片</x:v>
      </x:c>
      <x:c r="K17" s="9" t="str">
        <x:v>页面直接展示直播内容</x:v>
      </x:c>
      <x:c r="L17" s="10" t="str">
        <x:v>FLOW-LIVE-ENTRY</x:v>
      </x:c>
      <x:c r="M17" s="10" t="str">
        <x:v>未测</x:v>
      </x:c>
      <x:c r="N17" s="10" t="str"/>
      <x:c r="O17" s="9" t="str">
        <x:v>1. 来源（原型批注）：liveshow-proto/prototype/annotations/user.js；位置：live-room.html 结构化批注
2. 规则：BR-LIVE-GROUP-1446A4BF0E
3. 分支：BR-LIVE-GROUP-1446A4BF0E-B01
4. 未动态验证</x:v>
      </x:c>
    </x:row>
    <x:row r="18" ht="115" customHeight="1">
      <x:c r="A18" s="10" t="n">
        <x:v>17</x:v>
      </x:c>
      <x:c r="B18" s="10" t="str">
        <x:v>LIVE-0017</x:v>
      </x:c>
      <x:c r="C18" s="10" t="str">
        <x:v>直播模块</x:v>
      </x:c>
      <x:c r="D18" s="10" t="str">
        <x:v>直播间准入（观众视角）</x:v>
      </x:c>
      <x:c r="E18" s="10" t="str">
        <x:v>异常用例</x:v>
      </x:c>
      <x:c r="F18" s="10" t="str">
        <x:v>P0</x:v>
      </x:c>
      <x:c r="G18" s="9" t="str">
        <x:v>验证拉黑或踢出拦截进房</x:v>
      </x:c>
      <x:c r="H18" s="9" t="str">
        <x:v>关系限制优先</x:v>
      </x:c>
      <x:c r="I18" s="9" t="str">
        <x:v>1. 观众账号已登录
2. 观众已被主播拉黑</x:v>
      </x:c>
      <x:c r="J18" s="9" t="str">
        <x:v>1. 进入直播广场
2. 点击目标直播间</x:v>
      </x:c>
      <x:c r="K18" s="9" t="str">
        <x:v>页面显示“与主播存在拉黑或被踢出关系”</x:v>
      </x:c>
      <x:c r="L18" s="10" t="str">
        <x:v>FLOW-LIVE-ENTRY</x:v>
      </x:c>
      <x:c r="M18" s="10" t="str">
        <x:v>未测</x:v>
      </x:c>
      <x:c r="N18" s="10" t="str"/>
      <x:c r="O18" s="9" t="str">
        <x:v>1. 来源（原型批注）：liveshow-proto/prototype/annotations/user.js；位置：views/live-room/blocked-room-restricted.html 结构化批注
2. 规则：BR-LIVE-GROUP-1446A4BF0E
3. 分支：BR-LIVE-GROUP-1446A4BF0E-B02
4. 未动态验证</x:v>
      </x:c>
    </x:row>
    <x:row r="19" ht="115" customHeight="1">
      <x:c r="A19" s="10" t="n">
        <x:v>18</x:v>
      </x:c>
      <x:c r="B19" s="10" t="str">
        <x:v>LIVE-0018</x:v>
      </x:c>
      <x:c r="C19" s="10" t="str">
        <x:v>直播模块</x:v>
      </x:c>
      <x:c r="D19" s="10" t="str">
        <x:v>直播间准入（巡房视角）</x:v>
      </x:c>
      <x:c r="E19" s="10" t="str">
        <x:v>业务流程</x:v>
      </x:c>
      <x:c r="F19" s="10" t="str">
        <x:v>P0</x:v>
      </x:c>
      <x:c r="G19" s="9" t="str">
        <x:v>验证有效巡房绕过房间限制</x:v>
      </x:c>
      <x:c r="H19" s="9" t="str">
        <x:v>巡房准入</x:v>
      </x:c>
      <x:c r="I19" s="9" t="str">
        <x:v>1. 巡房任务有效
2. 目标为受限直播间</x:v>
      </x:c>
      <x:c r="J19" s="9" t="str">
        <x:v>1. 从巡房任务进入目标直播间</x:v>
      </x:c>
      <x:c r="K19" s="9" t="str">
        <x:v>页面显示带“巡房中”标识的直播内容</x:v>
      </x:c>
      <x:c r="L19" s="10" t="str">
        <x:v>FLOW-LIVE-PATROL</x:v>
      </x:c>
      <x:c r="M19" s="10" t="str">
        <x:v>未测</x:v>
      </x:c>
      <x:c r="N19" s="10" t="str"/>
      <x:c r="O19" s="9" t="str">
        <x:v>1. 来源（原型批注）：liveshow-proto/prototype/annotations/user.js；位置：views/live-room/patrol-room-allowed.html 结构化批注
2. 规则：BR-LIVE-GROUP-1446A4BF0E
3. 分支：BR-LIVE-GROUP-1446A4BF0E-B03
4. 未动态验证</x:v>
      </x:c>
    </x:row>
    <x:row r="20" ht="115" customHeight="1">
      <x:c r="A20" s="10" t="n">
        <x:v>19</x:v>
      </x:c>
      <x:c r="B20" s="10" t="str">
        <x:v>LIVE-0019</x:v>
      </x:c>
      <x:c r="C20" s="10" t="str">
        <x:v>直播模块</x:v>
      </x:c>
      <x:c r="D20" s="10" t="str">
        <x:v>门票房准入（观众视角）</x:v>
      </x:c>
      <x:c r="E20" s="10" t="str">
        <x:v>功能需求</x:v>
      </x:c>
      <x:c r="F20" s="10" t="str">
        <x:v>P1</x:v>
      </x:c>
      <x:c r="G20" s="9" t="str">
        <x:v>验证购票前遮挡直播内容</x:v>
      </x:c>
      <x:c r="H20" s="9" t="str">
        <x:v>购票前遮挡</x:v>
      </x:c>
      <x:c r="I20" s="9" t="str">
        <x:v>1. 观众账号已登录
2. 观众未购买本场门票</x:v>
      </x:c>
      <x:c r="J20" s="9" t="str">
        <x:v>1. 进入直播广场
2. 点击门票房卡片</x:v>
      </x:c>
      <x:c r="K20" s="9" t="str">
        <x:v>直播内容由封面和毛玻璃完全遮挡</x:v>
      </x:c>
      <x:c r="L20" s="10" t="str"/>
      <x:c r="M20" s="10" t="str">
        <x:v>未测</x:v>
      </x:c>
      <x:c r="N20" s="10" t="str"/>
      <x:c r="O20" s="9" t="str">
        <x:v>1. 来源（原型批注）：liveshow-proto/prototype/annotations/user.js；位置：views/live-room/ticket-room-restricted.html 结构化批注
2. 规则：BR-LIVE-GROUP-3394C7A29E
3. 分支：BR-LIVE-GROUP-3394C7A29E-B01
4. 未动态验证</x:v>
      </x:c>
    </x:row>
    <x:row r="21" ht="115" customHeight="1">
      <x:c r="A21" s="10" t="n">
        <x:v>20</x:v>
      </x:c>
      <x:c r="B21" s="10" t="str">
        <x:v>LIVE-0020</x:v>
      </x:c>
      <x:c r="C21" s="10" t="str">
        <x:v>直播模块</x:v>
      </x:c>
      <x:c r="D21" s="10" t="str">
        <x:v>门票房准入（观众视角）</x:v>
      </x:c>
      <x:c r="E21" s="10" t="str">
        <x:v>业务流程</x:v>
      </x:c>
      <x:c r="F21" s="10" t="str">
        <x:v>P0</x:v>
      </x:c>
      <x:c r="G21" s="9" t="str">
        <x:v>验证余额充足购买门票</x:v>
      </x:c>
      <x:c r="H21" s="9" t="str">
        <x:v>门票扣款</x:v>
      </x:c>
      <x:c r="I21" s="9" t="str">
        <x:v>1. 观众账号已登录
2. 测试数据：门票 10 金币，余额 100 金币</x:v>
      </x:c>
      <x:c r="J21" s="9" t="str">
        <x:v>1. 进入门票房
2. 点击确认购买</x:v>
      </x:c>
      <x:c r="K21" s="9" t="str">
        <x:v>观众金币余额扣减 10 金币</x:v>
      </x:c>
      <x:c r="L21" s="10" t="str">
        <x:v>FLOW-LIVE-TICKET</x:v>
      </x:c>
      <x:c r="M21" s="10" t="str">
        <x:v>未测</x:v>
      </x:c>
      <x:c r="N21" s="10" t="str"/>
      <x:c r="O21" s="9" t="str">
        <x:v>1. 来源（原型批注）：liveshow-proto/prototype/annotations/user.js；位置：views/live-room/ticket-room-restricted.html 结构化批注
2. 规则：BR-LIVE-GROUP-3394C7A29E
3. 分支：BR-LIVE-GROUP-3394C7A29E-B02
4. 未动态验证</x:v>
      </x:c>
    </x:row>
    <x:row r="22" ht="115" customHeight="1">
      <x:c r="A22" s="10" t="n">
        <x:v>21</x:v>
      </x:c>
      <x:c r="B22" s="10" t="str">
        <x:v>LIVE-0021</x:v>
      </x:c>
      <x:c r="C22" s="10" t="str">
        <x:v>直播模块</x:v>
      </x:c>
      <x:c r="D22" s="10" t="str">
        <x:v>门票房准入（观众视角）</x:v>
      </x:c>
      <x:c r="E22" s="10" t="str">
        <x:v>异常用例</x:v>
      </x:c>
      <x:c r="F22" s="10" t="str">
        <x:v>P0</x:v>
      </x:c>
      <x:c r="G22" s="9" t="str">
        <x:v>验证余额不足不扣款</x:v>
      </x:c>
      <x:c r="H22" s="9" t="str">
        <x:v>购票余额不足</x:v>
      </x:c>
      <x:c r="I22" s="9" t="str">
        <x:v>1. 观众账号已登录
2. 测试数据：门票 10 金币，余额 5 金币</x:v>
      </x:c>
      <x:c r="J22" s="9" t="str">
        <x:v>1. 进入门票房
2. 点击确认购买</x:v>
      </x:c>
      <x:c r="K22" s="9" t="str">
        <x:v>观众金币余额保持 5 金币</x:v>
      </x:c>
      <x:c r="L22" s="10" t="str">
        <x:v>FLOW-LIVE-TICKET</x:v>
      </x:c>
      <x:c r="M22" s="10" t="str">
        <x:v>未测</x:v>
      </x:c>
      <x:c r="N22" s="10" t="str"/>
      <x:c r="O22" s="9" t="str">
        <x:v>1. 来源（原型批注）：liveshow-proto/prototype/annotations/user.js；位置：views/live-room/ticket-room-restricted.html 结构化批注
2. 规则：BR-LIVE-GROUP-3394C7A29E
3. 分支：BR-LIVE-GROUP-3394C7A29E-B03
4. 未动态验证</x:v>
      </x:c>
    </x:row>
    <x:row r="23" ht="115" customHeight="1">
      <x:c r="A23" s="10" t="n">
        <x:v>22</x:v>
      </x:c>
      <x:c r="B23" s="10" t="str">
        <x:v>LIVE-0022</x:v>
      </x:c>
      <x:c r="C23" s="10" t="str">
        <x:v>直播模块</x:v>
      </x:c>
      <x:c r="D23" s="10" t="str">
        <x:v>门票房准入（观众视角）</x:v>
      </x:c>
      <x:c r="E23" s="10" t="str">
        <x:v>逻辑校验</x:v>
      </x:c>
      <x:c r="F23" s="10" t="str">
        <x:v>P1</x:v>
      </x:c>
      <x:c r="G23" s="9" t="str">
        <x:v>验证同场重复进入不收费</x:v>
      </x:c>
      <x:c r="H23" s="9" t="str">
        <x:v>门票复用</x:v>
      </x:c>
      <x:c r="I23" s="9" t="str">
        <x:v>1. 观众已购买当前场次门票
2. 测试数据：余额 90 金币</x:v>
      </x:c>
      <x:c r="J23" s="9" t="str">
        <x:v>1. 退出当前直播间
2. 再次进入同一场次</x:v>
      </x:c>
      <x:c r="K23" s="9" t="str">
        <x:v>观众金币余额保持 90 金币</x:v>
      </x:c>
      <x:c r="L23" s="10" t="str">
        <x:v>FLOW-LIVE-TICKET</x:v>
      </x:c>
      <x:c r="M23" s="10" t="str">
        <x:v>未测</x:v>
      </x:c>
      <x:c r="N23" s="10" t="str"/>
      <x:c r="O23" s="9" t="str">
        <x:v>1. 来源（原型批注）：liveshow-proto/prototype/annotations/user.js；位置：views/live-room/ticket-room-restricted.html 结构化批注
2. 规则：BR-LIVE-GROUP-3394C7A29E
3. 分支：BR-LIVE-GROUP-3394C7A29E-B04
4. 未动态验证</x:v>
      </x:c>
    </x:row>
    <x:row r="24" ht="115" customHeight="1">
      <x:c r="A24" s="10" t="n">
        <x:v>23</x:v>
      </x:c>
      <x:c r="B24" s="10" t="str">
        <x:v>LIVE-0023</x:v>
      </x:c>
      <x:c r="C24" s="10" t="str">
        <x:v>直播模块</x:v>
      </x:c>
      <x:c r="D24" s="10" t="str">
        <x:v>门票房准入（观众视角）</x:v>
      </x:c>
      <x:c r="E24" s="10" t="str">
        <x:v>业务流程</x:v>
      </x:c>
      <x:c r="F24" s="10" t="str">
        <x:v>P1</x:v>
      </x:c>
      <x:c r="G24" s="9" t="str">
        <x:v>验证场次结束后门票失效</x:v>
      </x:c>
      <x:c r="H24" s="9" t="str">
        <x:v>门票场次边界</x:v>
      </x:c>
      <x:c r="I24" s="9" t="str">
        <x:v>1. 观众已购买上一场门票
2. 主播已创建新场次</x:v>
      </x:c>
      <x:c r="J24" s="9" t="str">
        <x:v>1. 进入主播的新门票场次</x:v>
      </x:c>
      <x:c r="K24" s="9" t="str">
        <x:v>页面重新显示购票弹窗</x:v>
      </x:c>
      <x:c r="L24" s="10" t="str">
        <x:v>FLOW-LIVE-TICKET</x:v>
      </x:c>
      <x:c r="M24" s="10" t="str">
        <x:v>未测</x:v>
      </x:c>
      <x:c r="N24" s="10" t="str"/>
      <x:c r="O24" s="9" t="str">
        <x:v>1. 来源（原型批注）：liveshow-proto/prototype/annotations/user.js；位置：views/live-room/ticket-room-restricted.html 结构化批注
2. 规则：BR-LIVE-GROUP-3394C7A29E
3. 分支：BR-LIVE-GROUP-3394C7A29E-B05
4. 未动态验证</x:v>
      </x:c>
    </x:row>
    <x:row r="25" ht="115" customHeight="1">
      <x:c r="A25" s="10" t="n">
        <x:v>24</x:v>
      </x:c>
      <x:c r="B25" s="10" t="str">
        <x:v>LIVE-0024</x:v>
      </x:c>
      <x:c r="C25" s="10" t="str">
        <x:v>直播模块</x:v>
      </x:c>
      <x:c r="D25" s="10" t="str">
        <x:v>门票房准入（观众视角）</x:v>
      </x:c>
      <x:c r="E25" s="10" t="str">
        <x:v>业务流程</x:v>
      </x:c>
      <x:c r="F25" s="10" t="str">
        <x:v>P1</x:v>
      </x:c>
      <x:c r="G25" s="9" t="str">
        <x:v>验证被踢出后门票不退款</x:v>
      </x:c>
      <x:c r="H25" s="9" t="str">
        <x:v>踢出不退款</x:v>
      </x:c>
      <x:c r="I25" s="9" t="str">
        <x:v>1. 观众已购买当前场次门票
2. 测试数据：购票后余额 90 金币</x:v>
      </x:c>
      <x:c r="J25" s="9" t="str">
        <x:v>1. 接收主播踢出操作
2. 查看金币余额</x:v>
      </x:c>
      <x:c r="K25" s="9" t="str">
        <x:v>观众金币余额保持 90 金币</x:v>
      </x:c>
      <x:c r="L25" s="10" t="str">
        <x:v>FLOW-LIVE-TICKET</x:v>
      </x:c>
      <x:c r="M25" s="10" t="str">
        <x:v>未测</x:v>
      </x:c>
      <x:c r="N25" s="10" t="str"/>
      <x:c r="O25" s="9" t="str">
        <x:v>1. 来源（原型批注）：liveshow-proto/prototype/annotations/user.js；位置：views/live-room/ticket-room-restricted.html 结构化批注
2. 规则：BR-LIVE-GROUP-3394C7A29E
3. 分支：BR-LIVE-GROUP-3394C7A29E-B06
4. 未动态验证</x:v>
      </x:c>
    </x:row>
    <x:row r="26" ht="100" customHeight="1">
      <x:c r="A26" s="10" t="n">
        <x:v>25</x:v>
      </x:c>
      <x:c r="B26" s="10" t="str">
        <x:v>LIVE-0025</x:v>
      </x:c>
      <x:c r="C26" s="10" t="str">
        <x:v>直播模块</x:v>
      </x:c>
      <x:c r="D26" s="10" t="str">
        <x:v>门票房准入（运营账号视角）</x:v>
      </x:c>
      <x:c r="E26" s="10" t="str">
        <x:v>业务流程</x:v>
      </x:c>
      <x:c r="F26" s="10" t="str">
        <x:v>P1</x:v>
      </x:c>
      <x:c r="G26" s="9" t="str">
        <x:v>验证运营账号免门票进入</x:v>
      </x:c>
      <x:c r="H26" s="9" t="str">
        <x:v>运营账号门票豁免</x:v>
      </x:c>
      <x:c r="I26" s="9" t="str">
        <x:v>1. 运营账号已启用
2. 目标为门票房</x:v>
      </x:c>
      <x:c r="J26" s="9" t="str">
        <x:v>1. 进入目标门票房</x:v>
      </x:c>
      <x:c r="K26" s="9" t="str">
        <x:v>页面不显示购票弹窗</x:v>
      </x:c>
      <x:c r="L26" s="10" t="str">
        <x:v>FLOW-LIVE-OPS</x:v>
      </x:c>
      <x:c r="M26" s="10" t="str">
        <x:v>未测</x:v>
      </x:c>
      <x:c r="N26" s="10" t="str"/>
      <x:c r="O26" s="9" t="str">
        <x:v>1. 来源（需求文档）：liveshow-proto/context/系统概要 .md；位置：系统概要 3.7.1
2. 规则：BR-LIVE-GROUP-3394C7A29E
3. 分支：BR-LIVE-GROUP-3394C7A29E-B07
4. 未动态验证</x:v>
      </x:c>
    </x:row>
    <x:row r="27" ht="115" customHeight="1">
      <x:c r="A27" s="10" t="n">
        <x:v>26</x:v>
      </x:c>
      <x:c r="B27" s="10" t="str">
        <x:v>LIVE-0026</x:v>
      </x:c>
      <x:c r="C27" s="10" t="str">
        <x:v>直播模块</x:v>
      </x:c>
      <x:c r="D27" s="10" t="str">
        <x:v>门票房准入（观众视角）</x:v>
      </x:c>
      <x:c r="E27" s="10" t="str">
        <x:v>异常用例</x:v>
      </x:c>
      <x:c r="F27" s="10" t="str">
        <x:v>P1</x:v>
      </x:c>
      <x:c r="G27" s="9" t="str">
        <x:v>验证取消购票不扣金币</x:v>
      </x:c>
      <x:c r="H27" s="9" t="str">
        <x:v>购票取消</x:v>
      </x:c>
      <x:c r="I27" s="9" t="str">
        <x:v>1. 观众未购买本场门票
2. 测试数据：余额 100 金币</x:v>
      </x:c>
      <x:c r="J27" s="9" t="str">
        <x:v>1. 进入门票房
2. 点击取消</x:v>
      </x:c>
      <x:c r="K27" s="9" t="str">
        <x:v>观众金币余额保持 100 金币</x:v>
      </x:c>
      <x:c r="L27" s="10" t="str">
        <x:v>FLOW-LIVE-TICKET</x:v>
      </x:c>
      <x:c r="M27" s="10" t="str">
        <x:v>未测</x:v>
      </x:c>
      <x:c r="N27" s="10" t="str"/>
      <x:c r="O27" s="9" t="str">
        <x:v>1. 来源（原型批注）：liveshow-proto/prototype/annotations/user.js；位置：views/live-room/ticket-room-restricted.html 结构化批注
2. 规则：BR-LIVE-GROUP-3394C7A29E
3. 分支：BR-LIVE-GROUP-3394C7A29E-B08
4. 未动态验证</x:v>
      </x:c>
    </x:row>
    <x:row r="28" ht="115" customHeight="1">
      <x:c r="A28" s="10" t="n">
        <x:v>27</x:v>
      </x:c>
      <x:c r="B28" s="10" t="str">
        <x:v>LIVE-0027</x:v>
      </x:c>
      <x:c r="C28" s="10" t="str">
        <x:v>直播模块</x:v>
      </x:c>
      <x:c r="D28" s="10" t="str">
        <x:v>密码房准入（观众视角）</x:v>
      </x:c>
      <x:c r="E28" s="10" t="str">
        <x:v>异常用例</x:v>
      </x:c>
      <x:c r="F28" s="10" t="str">
        <x:v>P0</x:v>
      </x:c>
      <x:c r="G28" s="9" t="str">
        <x:v>验证密码格式错误</x:v>
      </x:c>
      <x:c r="H28" s="9" t="str">
        <x:v>密码格式</x:v>
      </x:c>
      <x:c r="I28" s="9" t="str">
        <x:v>1. 观众账号已登录
2. 测试数据：密码 12ab</x:v>
      </x:c>
      <x:c r="J28" s="9" t="str">
        <x:v>1. 进入密码房
2. 输入密码 12ab
3. 点击确认</x:v>
      </x:c>
      <x:c r="K28" s="9" t="str">
        <x:v>页面提示“密码必须是4-12个数字”</x:v>
      </x:c>
      <x:c r="L28" s="10" t="str"/>
      <x:c r="M28" s="10" t="str">
        <x:v>未测</x:v>
      </x:c>
      <x:c r="N28" s="10" t="str"/>
      <x:c r="O28" s="9" t="str">
        <x:v>1. 来源（原型批注）：liveshow-proto/prototype/annotations/user.js；位置：views/live-room/password-room-restricted.html 结构化批注
2. 规则：BR-LIVE-GROUP-65C0145AA2
3. 分支：BR-LIVE-GROUP-65C0145AA2-B01
4. 未动态验证</x:v>
      </x:c>
    </x:row>
    <x:row r="29" ht="115" customHeight="1">
      <x:c r="A29" s="10" t="n">
        <x:v>28</x:v>
      </x:c>
      <x:c r="B29" s="10" t="str">
        <x:v>LIVE-0028</x:v>
      </x:c>
      <x:c r="C29" s="10" t="str">
        <x:v>直播模块</x:v>
      </x:c>
      <x:c r="D29" s="10" t="str">
        <x:v>密码房准入（观众视角）</x:v>
      </x:c>
      <x:c r="E29" s="10" t="str">
        <x:v>异常用例</x:v>
      </x:c>
      <x:c r="F29" s="10" t="str">
        <x:v>P0</x:v>
      </x:c>
      <x:c r="G29" s="9" t="str">
        <x:v>验证有效格式的错误密码</x:v>
      </x:c>
      <x:c r="H29" s="9" t="str">
        <x:v>密码校验</x:v>
      </x:c>
      <x:c r="I29" s="9" t="str">
        <x:v>1. 观众账号已登录
2. 本场密码为 123456
3. 测试数据：错误密码 654321</x:v>
      </x:c>
      <x:c r="J29" s="9" t="str">
        <x:v>1. 进入密码房
2. 输入密码 654321
3. 点击确认</x:v>
      </x:c>
      <x:c r="K29" s="9" t="str">
        <x:v>页面提示“密码错误，请重新输入”</x:v>
      </x:c>
      <x:c r="L29" s="10" t="str"/>
      <x:c r="M29" s="10" t="str">
        <x:v>未测</x:v>
      </x:c>
      <x:c r="N29" s="10" t="str"/>
      <x:c r="O29" s="9" t="str">
        <x:v>1. 来源（原型批注）：liveshow-proto/prototype/annotations/user.js；位置：views/live-room/password-room-restricted.html 结构化批注
2. 规则：BR-LIVE-GROUP-65C0145AA2
3. 分支：BR-LIVE-GROUP-65C0145AA2-B02
4. 未动态验证</x:v>
      </x:c>
    </x:row>
    <x:row r="30" ht="115" customHeight="1">
      <x:c r="A30" s="10" t="n">
        <x:v>29</x:v>
      </x:c>
      <x:c r="B30" s="10" t="str">
        <x:v>LIVE-0029</x:v>
      </x:c>
      <x:c r="C30" s="10" t="str">
        <x:v>直播模块</x:v>
      </x:c>
      <x:c r="D30" s="10" t="str">
        <x:v>密码房准入（观众视角）</x:v>
      </x:c>
      <x:c r="E30" s="10" t="str">
        <x:v>业务流程</x:v>
      </x:c>
      <x:c r="F30" s="10" t="str">
        <x:v>P0</x:v>
      </x:c>
      <x:c r="G30" s="9" t="str">
        <x:v>验证正确密码进入直播</x:v>
      </x:c>
      <x:c r="H30" s="9" t="str">
        <x:v>正确密码</x:v>
      </x:c>
      <x:c r="I30" s="9" t="str">
        <x:v>1. 观众账号已登录
2. 本场密码为 123456</x:v>
      </x:c>
      <x:c r="J30" s="9" t="str">
        <x:v>1. 进入密码房
2. 输入密码 123456
3. 点击确认</x:v>
      </x:c>
      <x:c r="K30" s="9" t="str">
        <x:v>页面进入直播间</x:v>
      </x:c>
      <x:c r="L30" s="10" t="str">
        <x:v>FLOW-LIVE-ENTRY</x:v>
      </x:c>
      <x:c r="M30" s="10" t="str">
        <x:v>未测</x:v>
      </x:c>
      <x:c r="N30" s="10" t="str"/>
      <x:c r="O30" s="9" t="str">
        <x:v>1. 来源（原型批注）：liveshow-proto/prototype/annotations/user.js；位置：views/live-room/password-room-restricted.html 结构化批注
2. 规则：BR-LIVE-GROUP-65C0145AA2
3. 分支：BR-LIVE-GROUP-65C0145AA2-B03
4. 未动态验证</x:v>
      </x:c>
    </x:row>
    <x:row r="31" ht="100" customHeight="1">
      <x:c r="A31" s="10" t="n">
        <x:v>30</x:v>
      </x:c>
      <x:c r="B31" s="10" t="str">
        <x:v>LIVE-0030</x:v>
      </x:c>
      <x:c r="C31" s="10" t="str">
        <x:v>直播模块</x:v>
      </x:c>
      <x:c r="D31" s="10" t="str">
        <x:v>密码房准入（运营账号视角）</x:v>
      </x:c>
      <x:c r="E31" s="10" t="str">
        <x:v>业务流程</x:v>
      </x:c>
      <x:c r="F31" s="10" t="str">
        <x:v>P1</x:v>
      </x:c>
      <x:c r="G31" s="9" t="str">
        <x:v>验证运营账号免密码进入</x:v>
      </x:c>
      <x:c r="H31" s="9" t="str">
        <x:v>运营账号密码豁免</x:v>
      </x:c>
      <x:c r="I31" s="9" t="str">
        <x:v>1. 运营账号已启用
2. 目标为密码房</x:v>
      </x:c>
      <x:c r="J31" s="9" t="str">
        <x:v>1. 进入目标密码房</x:v>
      </x:c>
      <x:c r="K31" s="9" t="str">
        <x:v>页面不显示密码输入弹窗</x:v>
      </x:c>
      <x:c r="L31" s="10" t="str">
        <x:v>FLOW-LIVE-OPS</x:v>
      </x:c>
      <x:c r="M31" s="10" t="str">
        <x:v>未测</x:v>
      </x:c>
      <x:c r="N31" s="10" t="str"/>
      <x:c r="O31" s="9" t="str">
        <x:v>1. 来源（需求文档）：liveshow-proto/context/系统概要 .md；位置：系统概要 3.7.1
2. 规则：BR-LIVE-GROUP-65C0145AA2
3. 分支：BR-LIVE-GROUP-65C0145AA2-B04
4. 未动态验证</x:v>
      </x:c>
    </x:row>
    <x:row r="32" ht="115" customHeight="1">
      <x:c r="A32" s="10" t="n">
        <x:v>31</x:v>
      </x:c>
      <x:c r="B32" s="10" t="str">
        <x:v>LIVE-0031</x:v>
      </x:c>
      <x:c r="C32" s="10" t="str">
        <x:v>直播模块</x:v>
      </x:c>
      <x:c r="D32" s="10" t="str">
        <x:v>密码房准入（观众视角）</x:v>
      </x:c>
      <x:c r="E32" s="10" t="str">
        <x:v>异常用例</x:v>
      </x:c>
      <x:c r="F32" s="10" t="str">
        <x:v>P1</x:v>
      </x:c>
      <x:c r="G32" s="9" t="str">
        <x:v>验证关闭密码输入返回来源页</x:v>
      </x:c>
      <x:c r="H32" s="9" t="str">
        <x:v>密码输入取消</x:v>
      </x:c>
      <x:c r="I32" s="9" t="str">
        <x:v>1. 观众从直播广场进入密码房
2. 密码输入页已打开</x:v>
      </x:c>
      <x:c r="J32" s="9" t="str">
        <x:v>1. 点击关闭</x:v>
      </x:c>
      <x:c r="K32" s="9" t="str">
        <x:v>页面返回直播广场</x:v>
      </x:c>
      <x:c r="L32" s="10" t="str"/>
      <x:c r="M32" s="10" t="str">
        <x:v>未测</x:v>
      </x:c>
      <x:c r="N32" s="10" t="str"/>
      <x:c r="O32" s="9" t="str">
        <x:v>1. 来源（原型批注）：liveshow-proto/prototype/annotations/user.js；位置：views/live-room/password-room-restricted.html 结构化批注
2. 规则：BR-LIVE-GROUP-65C0145AA2
3. 分支：BR-LIVE-GROUP-65C0145AA2-B05
4. 未动态验证</x:v>
      </x:c>
    </x:row>
    <x:row r="33" ht="100" customHeight="1">
      <x:c r="A33" s="10" t="n">
        <x:v>32</x:v>
      </x:c>
      <x:c r="B33" s="10" t="str">
        <x:v>LIVE-0032</x:v>
      </x:c>
      <x:c r="C33" s="10" t="str">
        <x:v>直播模块</x:v>
      </x:c>
      <x:c r="D33" s="10" t="str">
        <x:v>公屏互动（观众视角）</x:v>
      </x:c>
      <x:c r="E33" s="10" t="str">
        <x:v>功能需求</x:v>
      </x:c>
      <x:c r="F33" s="10" t="str">
        <x:v>P0</x:v>
      </x:c>
      <x:c r="G33" s="9" t="str">
        <x:v>验证发送公屏评论</x:v>
      </x:c>
      <x:c r="H33" s="9" t="str">
        <x:v>评论发送</x:v>
      </x:c>
      <x:c r="I33" s="9" t="str">
        <x:v>1. 观众已进入直播间
2. 观众本场未被禁言
3. 测试数据：评论“晚上好”</x:v>
      </x:c>
      <x:c r="J33" s="9" t="str">
        <x:v>1. 输入评论“晚上好”
2. 点击发送</x:v>
      </x:c>
      <x:c r="K33" s="9" t="str">
        <x:v>公屏新增评论“晚上好”</x:v>
      </x:c>
      <x:c r="L33" s="10" t="str"/>
      <x:c r="M33" s="10" t="str">
        <x:v>未测</x:v>
      </x:c>
      <x:c r="N33" s="10" t="str"/>
      <x:c r="O33" s="9" t="str">
        <x:v>1. 来源（原型批注）：liveshow-proto/prototype/annotations/user.js；位置：live-room.html 结构化批注
2. 规则：BR-LIVE-GROUP-ABAABCCA93
3. 分支：BR-LIVE-GROUP-ABAABCCA93-B01
4. 未动态验证</x:v>
      </x:c>
    </x:row>
    <x:row r="34" ht="115" customHeight="1">
      <x:c r="A34" s="10" t="n">
        <x:v>33</x:v>
      </x:c>
      <x:c r="B34" s="10" t="str">
        <x:v>LIVE-0033</x:v>
      </x:c>
      <x:c r="C34" s="10" t="str">
        <x:v>直播模块</x:v>
      </x:c>
      <x:c r="D34" s="10" t="str">
        <x:v>公屏互动（观众视角）</x:v>
      </x:c>
      <x:c r="E34" s="10" t="str">
        <x:v>异常用例</x:v>
      </x:c>
      <x:c r="F34" s="10" t="str">
        <x:v>P0</x:v>
      </x:c>
      <x:c r="G34" s="9" t="str">
        <x:v>验证被禁言后不能评论</x:v>
      </x:c>
      <x:c r="H34" s="9" t="str">
        <x:v>禁言输入限制</x:v>
      </x:c>
      <x:c r="I34" s="9" t="str">
        <x:v>1. 观众已进入直播间
2. 观众处于本场禁言状态</x:v>
      </x:c>
      <x:c r="J34" s="9" t="str">
        <x:v>1. 输入评论“晚上好”
2. 点击发送</x:v>
      </x:c>
      <x:c r="K34" s="9" t="str">
        <x:v>公屏不生成该条评论</x:v>
      </x:c>
      <x:c r="L34" s="10" t="str"/>
      <x:c r="M34" s="10" t="str">
        <x:v>未测</x:v>
      </x:c>
      <x:c r="N34" s="10" t="str"/>
      <x:c r="O34" s="9" t="str">
        <x:v>1. 来源（原型批注）：liveshow-proto/prototype/annotations/user.js；位置：views/live-room/comment-muted.html 结构化批注
2. 规则：BR-LIVE-GROUP-ABAABCCA93
3. 分支：BR-LIVE-GROUP-ABAABCCA93-B02
4. 未动态验证</x:v>
      </x:c>
    </x:row>
    <x:row r="35" ht="115" customHeight="1">
      <x:c r="A35" s="10" t="n">
        <x:v>34</x:v>
      </x:c>
      <x:c r="B35" s="10" t="str">
        <x:v>LIVE-0034</x:v>
      </x:c>
      <x:c r="C35" s="10" t="str">
        <x:v>直播模块</x:v>
      </x:c>
      <x:c r="D35" s="10" t="str">
        <x:v>公屏互动（观众视角）</x:v>
      </x:c>
      <x:c r="E35" s="10" t="str">
        <x:v>功能需求</x:v>
      </x:c>
      <x:c r="F35" s="10" t="str">
        <x:v>P1</x:v>
      </x:c>
      <x:c r="G35" s="9" t="str">
        <x:v>验证解除禁言后恢复评论</x:v>
      </x:c>
      <x:c r="H35" s="9" t="str">
        <x:v>恢复发言</x:v>
      </x:c>
      <x:c r="I35" s="9" t="str">
        <x:v>1. 观众已进入直播间
2. 主播已解除观众本场禁言</x:v>
      </x:c>
      <x:c r="J35" s="9" t="str">
        <x:v>1. 输入评论“谢谢”
2. 点击发送</x:v>
      </x:c>
      <x:c r="K35" s="9" t="str">
        <x:v>公屏新增评论“谢谢”</x:v>
      </x:c>
      <x:c r="L35" s="10" t="str"/>
      <x:c r="M35" s="10" t="str">
        <x:v>未测</x:v>
      </x:c>
      <x:c r="N35" s="10" t="str"/>
      <x:c r="O35" s="9" t="str">
        <x:v>1. 来源（原型批注）：liveshow-proto/prototype/annotations/user.js；位置：views/live-room/comment-muted.html 结构化批注
2. 规则：BR-LIVE-GROUP-ABAABCCA93
3. 分支：BR-LIVE-GROUP-ABAABCCA93-B03
4. 未动态验证</x:v>
      </x:c>
    </x:row>
    <x:row r="36" ht="115" customHeight="1">
      <x:c r="A36" s="10" t="n">
        <x:v>35</x:v>
      </x:c>
      <x:c r="B36" s="10" t="str">
        <x:v>LIVE-0035</x:v>
      </x:c>
      <x:c r="C36" s="10" t="str">
        <x:v>直播模块</x:v>
      </x:c>
      <x:c r="D36" s="10" t="str">
        <x:v>公屏互动（观众视角）</x:v>
      </x:c>
      <x:c r="E36" s="10" t="str">
        <x:v>功能需求</x:v>
      </x:c>
      <x:c r="F36" s="10" t="str">
        <x:v>P1</x:v>
      </x:c>
      <x:c r="G36" s="9" t="str">
        <x:v>验证禁言在下一场恢复</x:v>
      </x:c>
      <x:c r="H36" s="9" t="str">
        <x:v>禁言场次边界</x:v>
      </x:c>
      <x:c r="I36" s="9" t="str">
        <x:v>1. 观众上一场被禁言
2. 主播已创建新场次</x:v>
      </x:c>
      <x:c r="J36" s="9" t="str">
        <x:v>1. 进入主播的新场次
2. 输入评论“新场次”
3. 点击发送</x:v>
      </x:c>
      <x:c r="K36" s="9" t="str">
        <x:v>公屏新增评论“新场次”</x:v>
      </x:c>
      <x:c r="L36" s="10" t="str"/>
      <x:c r="M36" s="10" t="str">
        <x:v>未测</x:v>
      </x:c>
      <x:c r="N36" s="10" t="str"/>
      <x:c r="O36" s="9" t="str">
        <x:v>1. 来源（原型批注）：liveshow-proto/prototype/annotations/user.js；位置：views/live-room/comment-muted.html 结构化批注
2. 规则：BR-LIVE-GROUP-ABAABCCA93
3. 分支：BR-LIVE-GROUP-ABAABCCA93-B04
4. 未动态验证</x:v>
      </x:c>
    </x:row>
    <x:row r="37" ht="115" customHeight="1">
      <x:c r="A37" s="10" t="n">
        <x:v>36</x:v>
      </x:c>
      <x:c r="B37" s="10" t="str">
        <x:v>LIVE-0036</x:v>
      </x:c>
      <x:c r="C37" s="10" t="str">
        <x:v>直播模块</x:v>
      </x:c>
      <x:c r="D37" s="10" t="str">
        <x:v>直播互动（观众视角）</x:v>
      </x:c>
      <x:c r="E37" s="10" t="str">
        <x:v>功能需求</x:v>
      </x:c>
      <x:c r="F37" s="10" t="str">
        <x:v>P1</x:v>
      </x:c>
      <x:c r="G37" s="9" t="str">
        <x:v>验证关注主播</x:v>
      </x:c>
      <x:c r="H37" s="9" t="str">
        <x:v>关注状态</x:v>
      </x:c>
      <x:c r="I37" s="9" t="str">
        <x:v>1. 观众已进入直播间
2. 观众尚未关注主播</x:v>
      </x:c>
      <x:c r="J37" s="9" t="str">
        <x:v>1. 点击关注</x:v>
      </x:c>
      <x:c r="K37" s="9" t="str">
        <x:v>关注按钮更新为已关注状态</x:v>
      </x:c>
      <x:c r="L37" s="10" t="str"/>
      <x:c r="M37" s="10" t="str">
        <x:v>未测</x:v>
      </x:c>
      <x:c r="N37" s="10" t="str"/>
      <x:c r="O37" s="9" t="str">
        <x:v>1. 来源（原型批注）：liveshow-proto/prototype/annotations/user.js；位置：views/live-room/host-profile.html 结构化批注
2. 规则：BR-LIVE-GROUP-9DE56D94FB
3. 分支：BR-LIVE-GROUP-9DE56D94FB-B01
4. 未动态验证</x:v>
      </x:c>
    </x:row>
    <x:row r="38" ht="115" customHeight="1">
      <x:c r="A38" s="10" t="n">
        <x:v>37</x:v>
      </x:c>
      <x:c r="B38" s="10" t="str">
        <x:v>LIVE-0037</x:v>
      </x:c>
      <x:c r="C38" s="10" t="str">
        <x:v>直播模块</x:v>
      </x:c>
      <x:c r="D38" s="10" t="str">
        <x:v>直播互动（观众视角）</x:v>
      </x:c>
      <x:c r="E38" s="10" t="str">
        <x:v>功能需求</x:v>
      </x:c>
      <x:c r="F38" s="10" t="str">
        <x:v>P1</x:v>
      </x:c>
      <x:c r="G38" s="9" t="str">
        <x:v>验证系统分享入口</x:v>
      </x:c>
      <x:c r="H38" s="9" t="str">
        <x:v>直播分享</x:v>
      </x:c>
      <x:c r="I38" s="9" t="str">
        <x:v>1. 观众已进入直播间</x:v>
      </x:c>
      <x:c r="J38" s="9" t="str">
        <x:v>1. 点击更多
2. 选择转发</x:v>
      </x:c>
      <x:c r="K38" s="9" t="str">
        <x:v>页面调起系统分享</x:v>
      </x:c>
      <x:c r="L38" s="10" t="str"/>
      <x:c r="M38" s="10" t="str">
        <x:v>未测</x:v>
      </x:c>
      <x:c r="N38" s="10" t="str"/>
      <x:c r="O38" s="9" t="str">
        <x:v>1. 来源（原型批注）：liveshow-proto/prototype/annotations/user.js；位置：views/live-room/more-actions.html 结构化批注
2. 规则：BR-LIVE-GROUP-9DE56D94FB
3. 分支：BR-LIVE-GROUP-9DE56D94FB-B02
4. 未动态验证</x:v>
      </x:c>
    </x:row>
    <x:row r="39" ht="115" customHeight="1">
      <x:c r="A39" s="10" t="n">
        <x:v>38</x:v>
      </x:c>
      <x:c r="B39" s="10" t="str">
        <x:v>LIVE-0038</x:v>
      </x:c>
      <x:c r="C39" s="10" t="str">
        <x:v>直播模块</x:v>
      </x:c>
      <x:c r="D39" s="10" t="str">
        <x:v>观众列表（观众视角）</x:v>
      </x:c>
      <x:c r="E39" s="10" t="str">
        <x:v>功能需求</x:v>
      </x:c>
      <x:c r="F39" s="10" t="str">
        <x:v>P1</x:v>
      </x:c>
      <x:c r="G39" s="9" t="str">
        <x:v>验证在线观众范围</x:v>
      </x:c>
      <x:c r="H39" s="9" t="str">
        <x:v>在线用户范围</x:v>
      </x:c>
      <x:c r="I39" s="9" t="str">
        <x:v>1. 观众已进入直播间
2. 测试数据：A 在线、B 已离线</x:v>
      </x:c>
      <x:c r="J39" s="9" t="str">
        <x:v>1. 打开在线观众列表</x:v>
      </x:c>
      <x:c r="K39" s="9" t="str">
        <x:v>列表内容仅包含仍在线的 A</x:v>
      </x:c>
      <x:c r="L39" s="10" t="str"/>
      <x:c r="M39" s="10" t="str">
        <x:v>未测</x:v>
      </x:c>
      <x:c r="N39" s="10" t="str"/>
      <x:c r="O39" s="9" t="str">
        <x:v>1. 来源（原型批注）：liveshow-proto/prototype/annotations/user.js；位置：views/live-room/audience-online.html 结构化批注
2. 规则：BR-LIVE-GROUP-468C156DC4
3. 分支：BR-LIVE-GROUP-468C156DC4-B01
4. 未动态验证</x:v>
      </x:c>
    </x:row>
    <x:row r="40" ht="115" customHeight="1">
      <x:c r="A40" s="10" t="n">
        <x:v>39</x:v>
      </x:c>
      <x:c r="B40" s="10" t="str">
        <x:v>LIVE-0039</x:v>
      </x:c>
      <x:c r="C40" s="10" t="str">
        <x:v>直播模块</x:v>
      </x:c>
      <x:c r="D40" s="10" t="str">
        <x:v>贡献榜（观众视角）</x:v>
      </x:c>
      <x:c r="E40" s="10" t="str">
        <x:v>功能需求</x:v>
      </x:c>
      <x:c r="F40" s="10" t="str">
        <x:v>P1</x:v>
      </x:c>
      <x:c r="G40" s="9" t="str">
        <x:v>验证贡献榜排序优先级</x:v>
      </x:c>
      <x:c r="H40" s="9" t="str">
        <x:v>贡献排序</x:v>
      </x:c>
      <x:c r="I40" s="9" t="str">
        <x:v>1. 观众已进入直播间
2. 测试数据：多名用户贡献值和等级存在并列</x:v>
      </x:c>
      <x:c r="J40" s="9" t="str">
        <x:v>1. 打开本场贡献榜</x:v>
      </x:c>
      <x:c r="K40" s="9" t="str">
        <x:v>榜单依次按贡献值、粉丝等级、财富等级和用户 ID 排序</x:v>
      </x:c>
      <x:c r="L40" s="10" t="str"/>
      <x:c r="M40" s="10" t="str">
        <x:v>未测</x:v>
      </x:c>
      <x:c r="N40" s="10" t="str"/>
      <x:c r="O40" s="9" t="str">
        <x:v>1. 来源（原型批注）：liveshow-proto/prototype/annotations/user.js；位置：views/live-room/contribution-rank.html 结构化批注
2. 规则：BR-LIVE-GROUP-132794ECE5
3. 分支：BR-LIVE-GROUP-132794ECE5-B01
4. 未动态验证</x:v>
      </x:c>
    </x:row>
    <x:row r="41" ht="115" customHeight="1">
      <x:c r="A41" s="10" t="n">
        <x:v>40</x:v>
      </x:c>
      <x:c r="B41" s="10" t="str">
        <x:v>LIVE-0040</x:v>
      </x:c>
      <x:c r="C41" s="10" t="str">
        <x:v>直播模块</x:v>
      </x:c>
      <x:c r="D41" s="10" t="str">
        <x:v>贡献榜（观众视角）</x:v>
      </x:c>
      <x:c r="E41" s="10" t="str">
        <x:v>功能需求</x:v>
      </x:c>
      <x:c r="F41" s="10" t="str">
        <x:v>P1</x:v>
      </x:c>
      <x:c r="G41" s="9" t="str">
        <x:v>验证贡献榜最多显示 99 名</x:v>
      </x:c>
      <x:c r="H41" s="9" t="str">
        <x:v>榜单数量</x:v>
      </x:c>
      <x:c r="I41" s="9" t="str">
        <x:v>1. 观众已进入直播间
2. 本场有 100 名有效贡献用户</x:v>
      </x:c>
      <x:c r="J41" s="9" t="str">
        <x:v>1. 打开本场贡献榜
2. 滚动至列表底部</x:v>
      </x:c>
      <x:c r="K41" s="9" t="str">
        <x:v>榜单只显示完整排序后的前 99 名</x:v>
      </x:c>
      <x:c r="L41" s="10" t="str"/>
      <x:c r="M41" s="10" t="str">
        <x:v>未测</x:v>
      </x:c>
      <x:c r="N41" s="10" t="str"/>
      <x:c r="O41" s="9" t="str">
        <x:v>1. 来源（原型批注）：liveshow-proto/prototype/annotations/user.js；位置：views/live-room/contribution-rank.html 结构化批注
2. 规则：BR-LIVE-GROUP-132794ECE5
3. 分支：BR-LIVE-GROUP-132794ECE5-B02
4. 未动态验证</x:v>
      </x:c>
    </x:row>
    <x:row r="42" ht="115" customHeight="1">
      <x:c r="A42" s="10" t="n">
        <x:v>41</x:v>
      </x:c>
      <x:c r="B42" s="10" t="str">
        <x:v>LIVE-0041</x:v>
      </x:c>
      <x:c r="C42" s="10" t="str">
        <x:v>直播模块</x:v>
      </x:c>
      <x:c r="D42" s="10" t="str">
        <x:v>贡献榜（观众视角）</x:v>
      </x:c>
      <x:c r="E42" s="10" t="str">
        <x:v>功能需求</x:v>
      </x:c>
      <x:c r="F42" s="10" t="str">
        <x:v>P1</x:v>
      </x:c>
      <x:c r="G42" s="9" t="str">
        <x:v>验证我的排名固定展示</x:v>
      </x:c>
      <x:c r="H42" s="9" t="str">
        <x:v>我的排名</x:v>
      </x:c>
      <x:c r="I42" s="9" t="str">
        <x:v>1. 观众已进入直播间
2. 观众本场有有效贡献</x:v>
      </x:c>
      <x:c r="J42" s="9" t="str">
        <x:v>1. 打开本场贡献榜
2. 滚动榜单</x:v>
      </x:c>
      <x:c r="K42" s="9" t="str">
        <x:v>我的排名固定显示在榜单底部</x:v>
      </x:c>
      <x:c r="L42" s="10" t="str"/>
      <x:c r="M42" s="10" t="str">
        <x:v>未测</x:v>
      </x:c>
      <x:c r="N42" s="10" t="str"/>
      <x:c r="O42" s="9" t="str">
        <x:v>1. 来源（原型批注）：liveshow-proto/prototype/annotations/user.js；位置：views/live-room/contribution-rank.html 结构化批注
2. 规则：BR-LIVE-GROUP-132794ECE5
3. 分支：BR-LIVE-GROUP-132794ECE5-B03
4. 未动态验证</x:v>
      </x:c>
    </x:row>
    <x:row r="43" ht="115" customHeight="1">
      <x:c r="A43" s="10" t="n">
        <x:v>42</x:v>
      </x:c>
      <x:c r="B43" s="10" t="str">
        <x:v>LIVE-0042</x:v>
      </x:c>
      <x:c r="C43" s="10" t="str">
        <x:v>直播模块</x:v>
      </x:c>
      <x:c r="D43" s="10" t="str">
        <x:v>更多功能（观众视角）</x:v>
      </x:c>
      <x:c r="E43" s="10" t="str">
        <x:v>功能需求</x:v>
      </x:c>
      <x:c r="F43" s="10" t="str">
        <x:v>P2</x:v>
      </x:c>
      <x:c r="G43" s="9" t="str">
        <x:v>验证清屏只影响当前设备</x:v>
      </x:c>
      <x:c r="H43" s="9" t="str">
        <x:v>本地清屏</x:v>
      </x:c>
      <x:c r="I43" s="9" t="str">
        <x:v>1. 观众已进入直播间
2. 公屏已有消息</x:v>
      </x:c>
      <x:c r="J43" s="9" t="str">
        <x:v>1. 点击更多
2. 选择清屏</x:v>
      </x:c>
      <x:c r="K43" s="9" t="str">
        <x:v>当前设备公屏显示被清空</x:v>
      </x:c>
      <x:c r="L43" s="10" t="str"/>
      <x:c r="M43" s="10" t="str">
        <x:v>未测</x:v>
      </x:c>
      <x:c r="N43" s="10" t="str"/>
      <x:c r="O43" s="9" t="str">
        <x:v>1. 来源（原型批注）：liveshow-proto/prototype/annotations/user.js；位置：views/live-room/more-actions.html 结构化批注
2. 规则：BR-LIVE-GROUP-9C7A9FCEE9
3. 分支：BR-LIVE-GROUP-9C7A9FCEE9-B01
4. 未动态验证</x:v>
      </x:c>
    </x:row>
    <x:row r="44" ht="100" customHeight="1">
      <x:c r="A44" s="10" t="n">
        <x:v>43</x:v>
      </x:c>
      <x:c r="B44" s="10" t="str">
        <x:v>LIVE-0043</x:v>
      </x:c>
      <x:c r="C44" s="10" t="str">
        <x:v>直播模块</x:v>
      </x:c>
      <x:c r="D44" s="10" t="str">
        <x:v>直播举报（观众视角）</x:v>
      </x:c>
      <x:c r="E44" s="10" t="str">
        <x:v>异常用例</x:v>
      </x:c>
      <x:c r="F44" s="10" t="str">
        <x:v>P1</x:v>
      </x:c>
      <x:c r="G44" s="9" t="str">
        <x:v>验证未选原因不能提交</x:v>
      </x:c>
      <x:c r="H44" s="9" t="str">
        <x:v>举报必填项</x:v>
      </x:c>
      <x:c r="I44" s="9" t="str">
        <x:v>1. 观众已进入直播间
2. 举报原因未选择</x:v>
      </x:c>
      <x:c r="J44" s="9" t="str">
        <x:v>1. 点击更多
2. 选择举报
3. 查看提交按钮</x:v>
      </x:c>
      <x:c r="K44" s="9" t="str">
        <x:v>提交按钮不可用</x:v>
      </x:c>
      <x:c r="L44" s="10" t="str"/>
      <x:c r="M44" s="10" t="str">
        <x:v>未测</x:v>
      </x:c>
      <x:c r="N44" s="10" t="str"/>
      <x:c r="O44" s="9" t="str">
        <x:v>1. 来源（原型批注）：liveshow-proto/prototype/annotations/user.js；位置：live-room-report.html 结构化批注
2. 规则：BR-LIVE-GROUP-3D4EDB4380
3. 分支：BR-LIVE-GROUP-3D4EDB4380-B01
4. 未动态验证</x:v>
      </x:c>
    </x:row>
    <x:row r="45" ht="100" customHeight="1">
      <x:c r="A45" s="10" t="n">
        <x:v>44</x:v>
      </x:c>
      <x:c r="B45" s="10" t="str">
        <x:v>LIVE-0044</x:v>
      </x:c>
      <x:c r="C45" s="10" t="str">
        <x:v>直播模块</x:v>
      </x:c>
      <x:c r="D45" s="10" t="str">
        <x:v>直播举报（观众视角）</x:v>
      </x:c>
      <x:c r="E45" s="10" t="str">
        <x:v>业务流程</x:v>
      </x:c>
      <x:c r="F45" s="10" t="str">
        <x:v>P1</x:v>
      </x:c>
      <x:c r="G45" s="9" t="str">
        <x:v>验证提交直播举报</x:v>
      </x:c>
      <x:c r="H45" s="9" t="str">
        <x:v>直播举报工单</x:v>
      </x:c>
      <x:c r="I45" s="9" t="str">
        <x:v>1. 观众已进入直播间
2. 测试数据：原因“色情低俗”</x:v>
      </x:c>
      <x:c r="J45" s="9" t="str">
        <x:v>1. 点击更多
2. 选择举报
3. 选择“色情低俗”
4. 点击提交</x:v>
      </x:c>
      <x:c r="K45" s="9" t="str">
        <x:v>系统生成当前直播场次举报工单</x:v>
      </x:c>
      <x:c r="L45" s="10" t="str">
        <x:v>FLOW-LIVE-REPORT</x:v>
      </x:c>
      <x:c r="M45" s="10" t="str">
        <x:v>未测</x:v>
      </x:c>
      <x:c r="N45" s="10" t="str"/>
      <x:c r="O45" s="9" t="str">
        <x:v>1. 来源（原型批注）：liveshow-proto/prototype/annotations/user.js；位置：live-room-report.html 结构化批注
2. 规则：BR-LIVE-GROUP-3D4EDB4380
3. 分支：BR-LIVE-GROUP-3D4EDB4380-B02
4. 未动态验证</x:v>
      </x:c>
    </x:row>
    <x:row r="46" ht="100" customHeight="1">
      <x:c r="A46" s="10" t="n">
        <x:v>45</x:v>
      </x:c>
      <x:c r="B46" s="10" t="str">
        <x:v>LIVE-0045</x:v>
      </x:c>
      <x:c r="C46" s="10" t="str">
        <x:v>直播模块</x:v>
      </x:c>
      <x:c r="D46" s="10" t="str">
        <x:v>直播举报（观众视角）</x:v>
      </x:c>
      <x:c r="E46" s="10" t="str">
        <x:v>逻辑校验</x:v>
      </x:c>
      <x:c r="F46" s="10" t="str">
        <x:v>P1</x:v>
      </x:c>
      <x:c r="G46" s="9" t="str">
        <x:v>验证补充说明可输入 200 字</x:v>
      </x:c>
      <x:c r="H46" s="9" t="str">
        <x:v>举报说明上限</x:v>
      </x:c>
      <x:c r="I46" s="9" t="str">
        <x:v>1. 观众已进入直播举报页
2. 测试数据：200 个字符</x:v>
      </x:c>
      <x:c r="J46" s="9" t="str">
        <x:v>1. 输入 200 个字符</x:v>
      </x:c>
      <x:c r="K46" s="9" t="str">
        <x:v>补充说明输入框显示完整的 200 个字符</x:v>
      </x:c>
      <x:c r="L46" s="10" t="str"/>
      <x:c r="M46" s="10" t="str">
        <x:v>未测</x:v>
      </x:c>
      <x:c r="N46" s="10" t="str"/>
      <x:c r="O46" s="9" t="str">
        <x:v>1. 来源（原型批注）：liveshow-proto/prototype/annotations/user.js；位置：live-room-report.html 结构化批注
2. 规则：BR-LIVE-GROUP-3D4EDB4380
3. 分支：BR-LIVE-GROUP-3D4EDB4380-B03
4. 未动态验证</x:v>
      </x:c>
    </x:row>
    <x:row r="47" ht="100" customHeight="1">
      <x:c r="A47" s="10" t="n">
        <x:v>46</x:v>
      </x:c>
      <x:c r="B47" s="10" t="str">
        <x:v>LIVE-0046</x:v>
      </x:c>
      <x:c r="C47" s="10" t="str">
        <x:v>直播模块</x:v>
      </x:c>
      <x:c r="D47" s="10" t="str">
        <x:v>账号举报（观众视角）</x:v>
      </x:c>
      <x:c r="E47" s="10" t="str">
        <x:v>业务流程</x:v>
      </x:c>
      <x:c r="F47" s="10" t="str">
        <x:v>P1</x:v>
      </x:c>
      <x:c r="G47" s="9" t="str">
        <x:v>验证提交用户举报</x:v>
      </x:c>
      <x:c r="H47" s="9" t="str">
        <x:v>账号举报工单</x:v>
      </x:c>
      <x:c r="I47" s="9" t="str">
        <x:v>1. 观众已进入直播间
2. 测试数据：目标用户 A，原因“其他”</x:v>
      </x:c>
      <x:c r="J47" s="9" t="str">
        <x:v>1. 点击用户 A
2. 选择举报
3. 选择“其他”
4. 点击提交</x:v>
      </x:c>
      <x:c r="K47" s="9" t="str">
        <x:v>系统生成用户 A 的账号举报工单</x:v>
      </x:c>
      <x:c r="L47" s="10" t="str">
        <x:v>FLOW-LIVE-REPORT</x:v>
      </x:c>
      <x:c r="M47" s="10" t="str">
        <x:v>未测</x:v>
      </x:c>
      <x:c r="N47" s="10" t="str"/>
      <x:c r="O47" s="9" t="str">
        <x:v>1. 来源（原型批注）：liveshow-proto/prototype/annotations/user.js；位置：live-room-user-report.html 结构化批注
2. 规则：BR-LIVE-GROUP-7E5FA76CC4
3. 分支：BR-LIVE-GROUP-7E5FA76CC4-B01
4. 未动态验证</x:v>
      </x:c>
    </x:row>
    <x:row r="48" ht="115" customHeight="1">
      <x:c r="A48" s="10" t="n">
        <x:v>47</x:v>
      </x:c>
      <x:c r="B48" s="10" t="str">
        <x:v>LIVE-0047</x:v>
      </x:c>
      <x:c r="C48" s="10" t="str">
        <x:v>直播模块</x:v>
      </x:c>
      <x:c r="D48" s="10" t="str">
        <x:v>粉丝团（观众视角）</x:v>
      </x:c>
      <x:c r="E48" s="10" t="str">
        <x:v>异常用例</x:v>
      </x:c>
      <x:c r="F48" s="10" t="str">
        <x:v>P1</x:v>
      </x:c>
      <x:c r="G48" s="9" t="str">
        <x:v>验证未满足条件不能加入</x:v>
      </x:c>
      <x:c r="H48" s="9" t="str">
        <x:v>入团条件</x:v>
      </x:c>
      <x:c r="I48" s="9" t="str">
        <x:v>1. 观众已进入直播间
2. 观众未满足主播配置的全部加入条件</x:v>
      </x:c>
      <x:c r="J48" s="9" t="str">
        <x:v>1. 打开粉丝团
2. 点击加入</x:v>
      </x:c>
      <x:c r="K48" s="9" t="str">
        <x:v>观众未加入粉丝团并提示“未满足进群条件”</x:v>
      </x:c>
      <x:c r="L48" s="10" t="str"/>
      <x:c r="M48" s="10" t="str">
        <x:v>未测</x:v>
      </x:c>
      <x:c r="N48" s="10" t="str"/>
      <x:c r="O48" s="9" t="str">
        <x:v>1. 来源（原型批注）：liveshow-proto/prototype/annotations/user.js；位置：views/live-room/fan-club-not-joined.html 结构化批注
2. 规则：BR-LIVE-GROUP-287805ABB1
3. 分支：BR-LIVE-GROUP-287805ABB1-B01
4. 未动态验证</x:v>
      </x:c>
    </x:row>
    <x:row r="49" ht="115" customHeight="1">
      <x:c r="A49" s="10" t="n">
        <x:v>48</x:v>
      </x:c>
      <x:c r="B49" s="10" t="str">
        <x:v>LIVE-0048</x:v>
      </x:c>
      <x:c r="C49" s="10" t="str">
        <x:v>直播模块</x:v>
      </x:c>
      <x:c r="D49" s="10" t="str">
        <x:v>粉丝团（观众视角）</x:v>
      </x:c>
      <x:c r="E49" s="10" t="str">
        <x:v>异常用例</x:v>
      </x:c>
      <x:c r="F49" s="10" t="str">
        <x:v>P1</x:v>
      </x:c>
      <x:c r="G49" s="9" t="str">
        <x:v>验证粉丝团满员不能加入</x:v>
      </x:c>
      <x:c r="H49" s="9" t="str">
        <x:v>成员上限</x:v>
      </x:c>
      <x:c r="I49" s="9" t="str">
        <x:v>1. 观众已进入直播间
2. 主播粉丝团已有 500 人</x:v>
      </x:c>
      <x:c r="J49" s="9" t="str">
        <x:v>1. 打开粉丝团
2. 点击加入</x:v>
      </x:c>
      <x:c r="K49" s="9" t="str">
        <x:v>观众不能加入该粉丝团</x:v>
      </x:c>
      <x:c r="L49" s="10" t="str"/>
      <x:c r="M49" s="10" t="str">
        <x:v>未测</x:v>
      </x:c>
      <x:c r="N49" s="10" t="str"/>
      <x:c r="O49" s="9" t="str">
        <x:v>1. 来源（原型批注）：liveshow-proto/prototype/annotations/user.js；位置：views/live-room/fan-club-not-joined.html 结构化批注
2. 规则：BR-LIVE-GROUP-287805ABB1
3. 分支：BR-LIVE-GROUP-287805ABB1-B02
4. 未动态验证</x:v>
      </x:c>
    </x:row>
    <x:row r="50" ht="115" customHeight="1">
      <x:c r="A50" s="10" t="n">
        <x:v>49</x:v>
      </x:c>
      <x:c r="B50" s="10" t="str">
        <x:v>LIVE-0049</x:v>
      </x:c>
      <x:c r="C50" s="10" t="str">
        <x:v>直播模块</x:v>
      </x:c>
      <x:c r="D50" s="10" t="str">
        <x:v>粉丝团（观众视角）</x:v>
      </x:c>
      <x:c r="E50" s="10" t="str">
        <x:v>业务流程</x:v>
      </x:c>
      <x:c r="F50" s="10" t="str">
        <x:v>P1</x:v>
      </x:c>
      <x:c r="G50" s="9" t="str">
        <x:v>验证满足条件加入粉丝团</x:v>
      </x:c>
      <x:c r="H50" s="9" t="str">
        <x:v>入团成功</x:v>
      </x:c>
      <x:c r="I50" s="9" t="str">
        <x:v>1. 观众已进入直播间
2. 观众满足全部加入条件
3. 粉丝团未满 500 人</x:v>
      </x:c>
      <x:c r="J50" s="9" t="str">
        <x:v>1. 打开粉丝团
2. 点击加入</x:v>
      </x:c>
      <x:c r="K50" s="9" t="str">
        <x:v>页面切换为已加入视图</x:v>
      </x:c>
      <x:c r="L50" s="10" t="str">
        <x:v>FLOW-LIVE-FANCLUB</x:v>
      </x:c>
      <x:c r="M50" s="10" t="str">
        <x:v>未测</x:v>
      </x:c>
      <x:c r="N50" s="10" t="str"/>
      <x:c r="O50" s="9" t="str">
        <x:v>1. 来源（原型批注）：liveshow-proto/prototype/annotations/user.js；位置：views/live-room/fan-club-not-joined.html 结构化批注
2. 规则：BR-LIVE-GROUP-287805ABB1
3. 分支：BR-LIVE-GROUP-287805ABB1-B03
4. 未动态验证</x:v>
      </x:c>
    </x:row>
    <x:row r="51" ht="115" customHeight="1">
      <x:c r="A51" s="10" t="n">
        <x:v>50</x:v>
      </x:c>
      <x:c r="B51" s="10" t="str">
        <x:v>LIVE-0050</x:v>
      </x:c>
      <x:c r="C51" s="10" t="str">
        <x:v>直播模块</x:v>
      </x:c>
      <x:c r="D51" s="10" t="str">
        <x:v>粉丝团（观众视角）</x:v>
      </x:c>
      <x:c r="E51" s="10" t="str">
        <x:v>功能需求</x:v>
      </x:c>
      <x:c r="F51" s="10" t="str">
        <x:v>P1</x:v>
      </x:c>
      <x:c r="G51" s="9" t="str">
        <x:v>验证有效团籍开放粉丝群</x:v>
      </x:c>
      <x:c r="H51" s="9" t="str">
        <x:v>粉丝群入口</x:v>
      </x:c>
      <x:c r="I51" s="9" t="str">
        <x:v>1. 观众已加入当前主播粉丝团</x:v>
      </x:c>
      <x:c r="J51" s="9" t="str">
        <x:v>1. 打开粉丝团</x:v>
      </x:c>
      <x:c r="K51" s="9" t="str">
        <x:v>页面显示可用的粉丝群入口</x:v>
      </x:c>
      <x:c r="L51" s="10" t="str"/>
      <x:c r="M51" s="10" t="str">
        <x:v>未测</x:v>
      </x:c>
      <x:c r="N51" s="10" t="str"/>
      <x:c r="O51" s="9" t="str">
        <x:v>1. 来源（原型批注）：liveshow-proto/prototype/annotations/user.js；位置：views/live-room/fan-club-joined.html 结构化批注
2. 规则：BR-LIVE-GROUP-287805ABB1
3. 分支：BR-LIVE-GROUP-287805ABB1-B04
4. 未动态验证</x:v>
      </x:c>
    </x:row>
    <x:row r="52" ht="115" customHeight="1">
      <x:c r="A52" s="10" t="n">
        <x:v>51</x:v>
      </x:c>
      <x:c r="B52" s="10" t="str">
        <x:v>LIVE-0051</x:v>
      </x:c>
      <x:c r="C52" s="10" t="str">
        <x:v>直播模块</x:v>
      </x:c>
      <x:c r="D52" s="10" t="str">
        <x:v>粉丝团（观众视角）</x:v>
      </x:c>
      <x:c r="E52" s="10" t="str">
        <x:v>异常用例</x:v>
      </x:c>
      <x:c r="F52" s="10" t="str">
        <x:v>P1</x:v>
      </x:c>
      <x:c r="G52" s="9" t="str">
        <x:v>验证加入请求失败不改变团籍</x:v>
      </x:c>
      <x:c r="H52" s="9" t="str">
        <x:v>入团请求失败</x:v>
      </x:c>
      <x:c r="I52" s="9" t="str">
        <x:v>1. 观众满足全部加入条件
2. 粉丝团未满 500 人
3. 加入请求返回失败</x:v>
      </x:c>
      <x:c r="J52" s="9" t="str">
        <x:v>1. 打开粉丝团
2. 点击加入</x:v>
      </x:c>
      <x:c r="K52" s="9" t="str">
        <x:v>观众仍为未加入粉丝团</x:v>
      </x:c>
      <x:c r="L52" s="10" t="str"/>
      <x:c r="M52" s="10" t="str">
        <x:v>未测</x:v>
      </x:c>
      <x:c r="N52" s="10" t="str"/>
      <x:c r="O52" s="9" t="str">
        <x:v>1. 来源（原型批注）：liveshow-proto/prototype/annotations/user.js；位置：views/live-room/fan-club-not-joined.html 结构化批注
2. 规则：BR-LIVE-GROUP-287805ABB1
3. 分支：BR-LIVE-GROUP-287805ABB1-B06
4. 未动态验证</x:v>
      </x:c>
    </x:row>
    <x:row r="53" ht="115" customHeight="1">
      <x:c r="A53" s="10" t="n">
        <x:v>52</x:v>
      </x:c>
      <x:c r="B53" s="10" t="str">
        <x:v>LIVE-0052</x:v>
      </x:c>
      <x:c r="C53" s="10" t="str">
        <x:v>直播模块</x:v>
      </x:c>
      <x:c r="D53" s="10" t="str">
        <x:v>粉丝团（观众视角）</x:v>
      </x:c>
      <x:c r="E53" s="10" t="str">
        <x:v>业务流程</x:v>
      </x:c>
      <x:c r="F53" s="10" t="str">
        <x:v>P1</x:v>
      </x:c>
      <x:c r="G53" s="9" t="str">
        <x:v>验证重新加入不恢复历史等级</x:v>
      </x:c>
      <x:c r="H53" s="9" t="str">
        <x:v>重新入团状态</x:v>
      </x:c>
      <x:c r="I53" s="9" t="str">
        <x:v>1. 观众已退出粉丝团
2. 历史粉丝等级为 3
3. 观众重新满足加入条件</x:v>
      </x:c>
      <x:c r="J53" s="9" t="str">
        <x:v>1. 打开粉丝团
2. 点击加入</x:v>
      </x:c>
      <x:c r="K53" s="9" t="str">
        <x:v>观众粉丝等级从 0 开始</x:v>
      </x:c>
      <x:c r="L53" s="10" t="str"/>
      <x:c r="M53" s="10" t="str">
        <x:v>未测</x:v>
      </x:c>
      <x:c r="N53" s="10" t="str"/>
      <x:c r="O53" s="9" t="str">
        <x:v>1. 来源（原型批注）：liveshow-proto/prototype/annotations/user.js；位置：views/live-room/fan-club-joined.html 结构化批注
2. 规则：BR-LIVE-GROUP-287805ABB1
3. 分支：BR-LIVE-GROUP-287805ABB1-B07
4. 未动态验证</x:v>
      </x:c>
    </x:row>
    <x:row r="54" ht="100" customHeight="1">
      <x:c r="A54" s="10" t="n">
        <x:v>53</x:v>
      </x:c>
      <x:c r="B54" s="10" t="str">
        <x:v>LIVE-0053</x:v>
      </x:c>
      <x:c r="C54" s="10" t="str">
        <x:v>直播模块</x:v>
      </x:c>
      <x:c r="D54" s="10" t="str">
        <x:v>礼物面板（观众视角）</x:v>
      </x:c>
      <x:c r="E54" s="10" t="str">
        <x:v>功能需求</x:v>
      </x:c>
      <x:c r="F54" s="10" t="str">
        <x:v>P1</x:v>
      </x:c>
      <x:c r="G54" s="9" t="str">
        <x:v>验证礼物面板展示配置</x:v>
      </x:c>
      <x:c r="H54" s="9" t="str">
        <x:v>礼物信息</x:v>
      </x:c>
      <x:c r="I54" s="9" t="str">
        <x:v>1. 观众已进入直播间
2. 平台已上架礼物 A</x:v>
      </x:c>
      <x:c r="J54" s="9" t="str">
        <x:v>1. 打开礼物面板
2. 查看礼物 A</x:v>
      </x:c>
      <x:c r="K54" s="9" t="str">
        <x:v>礼物 A 信息包含名称、图标、单价和可用状态</x:v>
      </x:c>
      <x:c r="L54" s="10" t="str"/>
      <x:c r="M54" s="10" t="str">
        <x:v>未测</x:v>
      </x:c>
      <x:c r="N54" s="10" t="str"/>
      <x:c r="O54" s="9" t="str">
        <x:v>1. 来源（原型批注）：liveshow-proto/prototype/annotations/user.js；位置：views/live-room/gift.html 结构化批注
2. 规则：BR-LIVE-GROUP-633DDA4026
3. 分支：BR-LIVE-GROUP-633DDA4026-B01
4. 未动态验证</x:v>
      </x:c>
    </x:row>
    <x:row r="55" ht="100" customHeight="1">
      <x:c r="A55" s="10" t="n">
        <x:v>54</x:v>
      </x:c>
      <x:c r="B55" s="10" t="str">
        <x:v>LIVE-0054</x:v>
      </x:c>
      <x:c r="C55" s="10" t="str">
        <x:v>直播模块</x:v>
      </x:c>
      <x:c r="D55" s="10" t="str">
        <x:v>礼物面板（观众视角）</x:v>
      </x:c>
      <x:c r="E55" s="10" t="str">
        <x:v>逻辑校验</x:v>
      </x:c>
      <x:c r="F55" s="10" t="str">
        <x:v>P1</x:v>
      </x:c>
      <x:c r="G55" s="9" t="str">
        <x:v>验证赠送所需金币计算</x:v>
      </x:c>
      <x:c r="H55" s="9" t="str">
        <x:v>所需金币</x:v>
      </x:c>
      <x:c r="I55" s="9" t="str">
        <x:v>1. 观众已进入直播间
2. 测试数据：礼物单价 10 金币，数量 10</x:v>
      </x:c>
      <x:c r="J55" s="9" t="str">
        <x:v>1. 打开礼物面板
2. 选择目标礼物
3. 选择数量 10</x:v>
      </x:c>
      <x:c r="K55" s="9" t="str">
        <x:v>本次所需金币显示为 10 × 10 = 100 金币</x:v>
      </x:c>
      <x:c r="L55" s="10" t="str"/>
      <x:c r="M55" s="10" t="str">
        <x:v>未测</x:v>
      </x:c>
      <x:c r="N55" s="10" t="str"/>
      <x:c r="O55" s="9" t="str">
        <x:v>1. 来源（原型批注）：liveshow-proto/prototype/annotations/user.js；位置：views/live-room/gift.html 结构化批注
2. 规则：BR-LIVE-GROUP-633DDA4026
3. 分支：BR-LIVE-GROUP-633DDA4026-B02
4. 未动态验证</x:v>
      </x:c>
    </x:row>
    <x:row r="56" ht="100" customHeight="1">
      <x:c r="A56" s="10" t="n">
        <x:v>55</x:v>
      </x:c>
      <x:c r="B56" s="10" t="str">
        <x:v>LIVE-0055</x:v>
      </x:c>
      <x:c r="C56" s="10" t="str">
        <x:v>直播模块</x:v>
      </x:c>
      <x:c r="D56" s="10" t="str">
        <x:v>礼物赠送（观众视角）</x:v>
      </x:c>
      <x:c r="E56" s="10" t="str">
        <x:v>逻辑校验</x:v>
      </x:c>
      <x:c r="F56" s="10" t="str">
        <x:v>P0</x:v>
      </x:c>
      <x:c r="G56" s="9" t="str">
        <x:v>验证普通礼物扣减余额</x:v>
      </x:c>
      <x:c r="H56" s="9" t="str">
        <x:v>赠礼扣款</x:v>
      </x:c>
      <x:c r="I56" s="9" t="str">
        <x:v>1. 观众已进入直播间
2. 测试数据：余额 100 金币，礼物 10 金币 × 2</x:v>
      </x:c>
      <x:c r="J56" s="9" t="str">
        <x:v>1. 打开礼物面板
2. 选择目标礼物
3. 选择数量 2
4. 点击赠送</x:v>
      </x:c>
      <x:c r="K56" s="9" t="str">
        <x:v>观众金币余额计算结果为 80 金币（100 - 10 × 2 = 80）</x:v>
      </x:c>
      <x:c r="L56" s="10" t="str">
        <x:v>FLOW-LIVE-GIFT</x:v>
      </x:c>
      <x:c r="M56" s="10" t="str">
        <x:v>未测</x:v>
      </x:c>
      <x:c r="N56" s="10" t="str"/>
      <x:c r="O56" s="9" t="str">
        <x:v>1. 来源（原型批注）：liveshow-proto/prototype/annotations/user.js；位置：views/live-room/gift.html 结构化批注
2. 规则：BR-LIVE-GROUP-3460B5215F
3. 分支：BR-LIVE-GROUP-3460B5215F-B01
4. 未动态验证</x:v>
      </x:c>
    </x:row>
    <x:row r="57" ht="100" customHeight="1">
      <x:c r="A57" s="10" t="n">
        <x:v>56</x:v>
      </x:c>
      <x:c r="B57" s="10" t="str">
        <x:v>LIVE-0056</x:v>
      </x:c>
      <x:c r="C57" s="10" t="str">
        <x:v>直播模块</x:v>
      </x:c>
      <x:c r="D57" s="10" t="str">
        <x:v>礼物赠送（观众视角）</x:v>
      </x:c>
      <x:c r="E57" s="10" t="str">
        <x:v>异常用例</x:v>
      </x:c>
      <x:c r="F57" s="10" t="str">
        <x:v>P0</x:v>
      </x:c>
      <x:c r="G57" s="9" t="str">
        <x:v>验证余额不足不扣金币</x:v>
      </x:c>
      <x:c r="H57" s="9" t="str">
        <x:v>赠礼余额不足</x:v>
      </x:c>
      <x:c r="I57" s="9" t="str">
        <x:v>1. 观众已进入直播间
2. 测试数据：余额 5 金币，礼物需 10 金币</x:v>
      </x:c>
      <x:c r="J57" s="9" t="str">
        <x:v>1. 打开礼物面板
2. 选择目标礼物
3. 点击赠送</x:v>
      </x:c>
      <x:c r="K57" s="9" t="str">
        <x:v>观众金币余额保持 5 金币</x:v>
      </x:c>
      <x:c r="L57" s="10" t="str">
        <x:v>FLOW-LIVE-GIFT</x:v>
      </x:c>
      <x:c r="M57" s="10" t="str">
        <x:v>未测</x:v>
      </x:c>
      <x:c r="N57" s="10" t="str"/>
      <x:c r="O57" s="9" t="str">
        <x:v>1. 来源（原型批注）：liveshow-proto/prototype/annotations/user.js；位置：views/live-room/gift.html 结构化批注
2. 规则：BR-LIVE-GROUP-3460B5215F
3. 分支：BR-LIVE-GROUP-3460B5215F-B02
4. 未动态验证</x:v>
      </x:c>
    </x:row>
    <x:row r="58" ht="100" customHeight="1">
      <x:c r="A58" s="10" t="n">
        <x:v>57</x:v>
      </x:c>
      <x:c r="B58" s="10" t="str">
        <x:v>LIVE-0057</x:v>
      </x:c>
      <x:c r="C58" s="10" t="str">
        <x:v>直播模块</x:v>
      </x:c>
      <x:c r="D58" s="10" t="str">
        <x:v>礼物赠送（观众视角）</x:v>
      </x:c>
      <x:c r="E58" s="10" t="str">
        <x:v>异常用例</x:v>
      </x:c>
      <x:c r="F58" s="10" t="str">
        <x:v>P1</x:v>
      </x:c>
      <x:c r="G58" s="9" t="str">
        <x:v>验证下架礼物不可赠送</x:v>
      </x:c>
      <x:c r="H58" s="9" t="str">
        <x:v>礼物下架</x:v>
      </x:c>
      <x:c r="I58" s="9" t="str">
        <x:v>1. 观众已进入直播间
2. 礼物 A 已下架</x:v>
      </x:c>
      <x:c r="J58" s="9" t="str">
        <x:v>1. 打开礼物面板
2. 查看礼物 A</x:v>
      </x:c>
      <x:c r="K58" s="9" t="str">
        <x:v>礼物 A 不可赠送</x:v>
      </x:c>
      <x:c r="L58" s="10" t="str"/>
      <x:c r="M58" s="10" t="str">
        <x:v>未测</x:v>
      </x:c>
      <x:c r="N58" s="10" t="str"/>
      <x:c r="O58" s="9" t="str">
        <x:v>1. 来源（原型批注）：liveshow-proto/prototype/annotations/user.js；位置：views/live-room/gift.html 结构化批注
2. 规则：BR-LIVE-GROUP-3460B5215F
3. 分支：BR-LIVE-GROUP-3460B5215F-B03
4. 未动态验证</x:v>
      </x:c>
    </x:row>
    <x:row r="59" ht="100" customHeight="1">
      <x:c r="A59" s="10" t="n">
        <x:v>58</x:v>
      </x:c>
      <x:c r="B59" s="10" t="str">
        <x:v>LIVE-0058</x:v>
      </x:c>
      <x:c r="C59" s="10" t="str">
        <x:v>直播模块</x:v>
      </x:c>
      <x:c r="D59" s="10" t="str">
        <x:v>礼物赠送（观众视角）</x:v>
      </x:c>
      <x:c r="E59" s="10" t="str">
        <x:v>异常用例</x:v>
      </x:c>
      <x:c r="F59" s="10" t="str">
        <x:v>P0</x:v>
      </x:c>
      <x:c r="G59" s="9" t="str">
        <x:v>验证赠礼请求失败不扣金币</x:v>
      </x:c>
      <x:c r="H59" s="9" t="str">
        <x:v>赠礼请求失败</x:v>
      </x:c>
      <x:c r="I59" s="9" t="str">
        <x:v>1. 观众已进入直播间
2. 测试数据：余额 100 金币，赠礼请求返回失败</x:v>
      </x:c>
      <x:c r="J59" s="9" t="str">
        <x:v>1. 打开礼物面板
2. 选择目标礼物
3. 点击赠送</x:v>
      </x:c>
      <x:c r="K59" s="9" t="str">
        <x:v>观众金币余额保持 100 金币</x:v>
      </x:c>
      <x:c r="L59" s="10" t="str">
        <x:v>FLOW-LIVE-GIFT</x:v>
      </x:c>
      <x:c r="M59" s="10" t="str">
        <x:v>未测</x:v>
      </x:c>
      <x:c r="N59" s="10" t="str"/>
      <x:c r="O59" s="9" t="str">
        <x:v>1. 来源（原型批注）：liveshow-proto/prototype/annotations/user.js；位置：views/live-room/gift.html 结构化批注
2. 规则：BR-LIVE-GROUP-3460B5215F
3. 分支：BR-LIVE-GROUP-3460B5215F-B04
4. 未动态验证</x:v>
      </x:c>
    </x:row>
    <x:row r="60" ht="115" customHeight="1">
      <x:c r="A60" s="10" t="n">
        <x:v>59</x:v>
      </x:c>
      <x:c r="B60" s="10" t="str">
        <x:v>LIVE-0059</x:v>
      </x:c>
      <x:c r="C60" s="10" t="str">
        <x:v>直播模块</x:v>
      </x:c>
      <x:c r="D60" s="10" t="str">
        <x:v>快捷充值（观众视角）</x:v>
      </x:c>
      <x:c r="E60" s="10" t="str">
        <x:v>业务流程</x:v>
      </x:c>
      <x:c r="F60" s="10" t="str">
        <x:v>P1</x:v>
      </x:c>
      <x:c r="G60" s="9" t="str">
        <x:v>验证充值后不自动补送礼物</x:v>
      </x:c>
      <x:c r="H60" s="9" t="str">
        <x:v>充值返回</x:v>
      </x:c>
      <x:c r="I60" s="9" t="str">
        <x:v>1. 观众金币不足
2. 已选择礼物 A 和数量 2
3. 测试数据：充值 100 金币</x:v>
      </x:c>
      <x:c r="J60" s="9" t="str">
        <x:v>1. 打开快捷充值
2. 选择 100 金币套餐
3. 点击确认支付</x:v>
      </x:c>
      <x:c r="K60" s="9" t="str">
        <x:v>页面返回礼物视图且礼物 A 未自动送出</x:v>
      </x:c>
      <x:c r="L60" s="10" t="str">
        <x:v>FLOW-LIVE-RECHARGE</x:v>
      </x:c>
      <x:c r="M60" s="10" t="str">
        <x:v>未测</x:v>
      </x:c>
      <x:c r="N60" s="10" t="str"/>
      <x:c r="O60" s="9" t="str">
        <x:v>1. 来源（原型批注）：liveshow-proto/prototype/annotations/user.js；位置：views/live-room/gift-recharge.html 结构化批注
2. 规则：BR-LIVE-GROUP-2136BA2201
3. 分支：BR-LIVE-GROUP-2136BA2201-B01
4. 未动态验证</x:v>
      </x:c>
    </x:row>
    <x:row r="61" ht="115" customHeight="1">
      <x:c r="A61" s="10" t="n">
        <x:v>60</x:v>
      </x:c>
      <x:c r="B61" s="10" t="str">
        <x:v>LIVE-0060</x:v>
      </x:c>
      <x:c r="C61" s="10" t="str">
        <x:v>直播模块</x:v>
      </x:c>
      <x:c r="D61" s="10" t="str">
        <x:v>快捷充值（观众视角）</x:v>
      </x:c>
      <x:c r="E61" s="10" t="str">
        <x:v>功能需求</x:v>
      </x:c>
      <x:c r="F61" s="10" t="str">
        <x:v>P1</x:v>
      </x:c>
      <x:c r="G61" s="9" t="str">
        <x:v>验证取消充值保留礼物选择</x:v>
      </x:c>
      <x:c r="H61" s="9" t="str">
        <x:v>充值取消</x:v>
      </x:c>
      <x:c r="I61" s="9" t="str">
        <x:v>1. 观众金币不足
2. 已选择礼物 A 和数量 2</x:v>
      </x:c>
      <x:c r="J61" s="9" t="str">
        <x:v>1. 打开快捷充值
2. 关闭充值视图</x:v>
      </x:c>
      <x:c r="K61" s="9" t="str">
        <x:v>礼物视图仍选中礼物 A 和数量 2</x:v>
      </x:c>
      <x:c r="L61" s="10" t="str"/>
      <x:c r="M61" s="10" t="str">
        <x:v>未测</x:v>
      </x:c>
      <x:c r="N61" s="10" t="str"/>
      <x:c r="O61" s="9" t="str">
        <x:v>1. 来源（原型批注）：liveshow-proto/prototype/annotations/user.js；位置：views/live-room/gift-recharge.html 结构化批注
2. 规则：BR-LIVE-GROUP-2136BA2201
3. 分支：BR-LIVE-GROUP-2136BA2201-B02
4. 未动态验证</x:v>
      </x:c>
    </x:row>
    <x:row r="62" ht="115" customHeight="1">
      <x:c r="A62" s="10" t="n">
        <x:v>61</x:v>
      </x:c>
      <x:c r="B62" s="10" t="str">
        <x:v>LIVE-0061</x:v>
      </x:c>
      <x:c r="C62" s="10" t="str">
        <x:v>直播模块</x:v>
      </x:c>
      <x:c r="D62" s="10" t="str">
        <x:v>快捷充值（观众视角）</x:v>
      </x:c>
      <x:c r="E62" s="10" t="str">
        <x:v>异常用例</x:v>
      </x:c>
      <x:c r="F62" s="10" t="str">
        <x:v>P0</x:v>
      </x:c>
      <x:c r="G62" s="9" t="str">
        <x:v>验证支付失败不增加余额</x:v>
      </x:c>
      <x:c r="H62" s="9" t="str">
        <x:v>充值失败</x:v>
      </x:c>
      <x:c r="I62" s="9" t="str">
        <x:v>1. 观众已打开快捷充值
2. 测试数据：余额 5 金币，支付返回失败</x:v>
      </x:c>
      <x:c r="J62" s="9" t="str">
        <x:v>1. 选择充值套餐
2. 点击确认支付</x:v>
      </x:c>
      <x:c r="K62" s="9" t="str">
        <x:v>观众金币余额保持 5 金币</x:v>
      </x:c>
      <x:c r="L62" s="10" t="str">
        <x:v>FLOW-LIVE-RECHARGE</x:v>
      </x:c>
      <x:c r="M62" s="10" t="str">
        <x:v>未测</x:v>
      </x:c>
      <x:c r="N62" s="10" t="str"/>
      <x:c r="O62" s="9" t="str">
        <x:v>1. 来源（原型批注）：liveshow-proto/prototype/annotations/user.js；位置：views/live-room/gift-recharge.html 结构化批注
2. 规则：BR-LIVE-GROUP-2136BA2201
3. 分支：BR-LIVE-GROUP-2136BA2201-B03
4. 未动态验证</x:v>
      </x:c>
    </x:row>
    <x:row r="63" ht="115" customHeight="1">
      <x:c r="A63" s="10" t="n">
        <x:v>62</x:v>
      </x:c>
      <x:c r="B63" s="10" t="str">
        <x:v>LIVE-0062</x:v>
      </x:c>
      <x:c r="C63" s="10" t="str">
        <x:v>直播模块</x:v>
      </x:c>
      <x:c r="D63" s="10" t="str">
        <x:v>快捷充值（观众视角）</x:v>
      </x:c>
      <x:c r="E63" s="10" t="str">
        <x:v>异常用例</x:v>
      </x:c>
      <x:c r="F63" s="10" t="str">
        <x:v>P1</x:v>
      </x:c>
      <x:c r="G63" s="9" t="str">
        <x:v>验证支付超时不增加余额</x:v>
      </x:c>
      <x:c r="H63" s="9" t="str">
        <x:v>充值超时</x:v>
      </x:c>
      <x:c r="I63" s="9" t="str">
        <x:v>1. 观众已打开快捷充值
2. 测试数据：余额 5 金币，支付请求超时</x:v>
      </x:c>
      <x:c r="J63" s="9" t="str">
        <x:v>1. 选择充值套餐
2. 点击确认支付</x:v>
      </x:c>
      <x:c r="K63" s="9" t="str">
        <x:v>观众金币余额保持 5 金币</x:v>
      </x:c>
      <x:c r="L63" s="10" t="str">
        <x:v>FLOW-LIVE-RECHARGE</x:v>
      </x:c>
      <x:c r="M63" s="10" t="str">
        <x:v>未测</x:v>
      </x:c>
      <x:c r="N63" s="10" t="str"/>
      <x:c r="O63" s="9" t="str">
        <x:v>1. 来源（原型批注）：liveshow-proto/prototype/annotations/user.js；位置：views/live-room/gift-recharge.html 结构化批注
2. 规则：BR-LIVE-GROUP-2136BA2201
3. 分支：BR-LIVE-GROUP-2136BA2201-B04
4. 未动态验证</x:v>
      </x:c>
    </x:row>
    <x:row r="64" ht="100" customHeight="1">
      <x:c r="A64" s="10" t="n">
        <x:v>63</x:v>
      </x:c>
      <x:c r="B64" s="10" t="str">
        <x:v>LIVE-0063</x:v>
      </x:c>
      <x:c r="C64" s="10" t="str">
        <x:v>直播模块</x:v>
      </x:c>
      <x:c r="D64" s="10" t="str">
        <x:v>连续赠送（观众视角）</x:v>
      </x:c>
      <x:c r="E64" s="10" t="str">
        <x:v>业务流程</x:v>
      </x:c>
      <x:c r="F64" s="10" t="str">
        <x:v>P1</x:v>
      </x:c>
      <x:c r="G64" s="9" t="str">
        <x:v>验证连送逐个记录</x:v>
      </x:c>
      <x:c r="H64" s="9" t="str">
        <x:v>连送记录</x:v>
      </x:c>
      <x:c r="I64" s="9" t="str">
        <x:v>1. 观众已进入直播间
2. 测试数据：礼物 10 金币 × 10，余额 200 金币</x:v>
      </x:c>
      <x:c r="J64" s="9" t="str">
        <x:v>1. 打开礼物面板
2. 选择目标礼物
3. 选择数量 10
4. 点击赠送</x:v>
      </x:c>
      <x:c r="K64" s="9" t="str">
        <x:v>系统生成 10 条独立礼物结果记录</x:v>
      </x:c>
      <x:c r="L64" s="10" t="str">
        <x:v>FLOW-LIVE-GIFT</x:v>
      </x:c>
      <x:c r="M64" s="10" t="str">
        <x:v>未测</x:v>
      </x:c>
      <x:c r="N64" s="10" t="str"/>
      <x:c r="O64" s="9" t="str">
        <x:v>1. 来源（需求文档）：liveshow-proto/context/系统概要 .md；位置：系统概要 3.5.2
2. 规则：BR-LIVE-GROUP-283465B884
3. 分支：BR-LIVE-GROUP-283465B884-B01
4. 未动态验证</x:v>
      </x:c>
    </x:row>
    <x:row r="65" ht="100" customHeight="1">
      <x:c r="A65" s="10" t="n">
        <x:v>64</x:v>
      </x:c>
      <x:c r="B65" s="10" t="str">
        <x:v>LIVE-0064</x:v>
      </x:c>
      <x:c r="C65" s="10" t="str">
        <x:v>直播模块</x:v>
      </x:c>
      <x:c r="D65" s="10" t="str">
        <x:v>幸运礼物（观众视角）</x:v>
      </x:c>
      <x:c r="E65" s="10" t="str">
        <x:v>逻辑校验</x:v>
      </x:c>
      <x:c r="F65" s="10" t="str">
        <x:v>P1</x:v>
      </x:c>
      <x:c r="G65" s="9" t="str">
        <x:v>验证单次返奖后的实际消耗</x:v>
      </x:c>
      <x:c r="H65" s="9" t="str">
        <x:v>幸运礼物净消耗</x:v>
      </x:c>
      <x:c r="I65" s="9" t="str">
        <x:v>1. 观众已进入直播间
2. 测试数据：幸运礼物 10 金币，固定返奖 50 金币，初始余额 100 金币</x:v>
      </x:c>
      <x:c r="J65" s="9" t="str">
        <x:v>1. 打开礼物面板
2. 选择幸运礼物
3. 选择数量 1
4. 点击赠送</x:v>
      </x:c>
      <x:c r="K65" s="9" t="str">
        <x:v>观众余额更新为 100 - 10 + 50 = 140 金币</x:v>
      </x:c>
      <x:c r="L65" s="10" t="str">
        <x:v>FLOW-LIVE-LUCKY</x:v>
      </x:c>
      <x:c r="M65" s="10" t="str">
        <x:v>未测</x:v>
      </x:c>
      <x:c r="N65" s="10" t="str"/>
      <x:c r="O65" s="9" t="str">
        <x:v>1. 来源（需求文档）：liveshow-proto/context/系统概要 .md；位置：系统概要 3.5.3
2. 规则：BR-LIVE-GROUP-E6946F6F74
3. 分支：BR-LIVE-GROUP-E6946F6F74-B01
4. 未动态验证</x:v>
      </x:c>
    </x:row>
    <x:row r="66" ht="100" customHeight="1">
      <x:c r="A66" s="10" t="n">
        <x:v>65</x:v>
      </x:c>
      <x:c r="B66" s="10" t="str">
        <x:v>LIVE-0065</x:v>
      </x:c>
      <x:c r="C66" s="10" t="str">
        <x:v>直播模块</x:v>
      </x:c>
      <x:c r="D66" s="10" t="str">
        <x:v>幸运礼物（观众视角）</x:v>
      </x:c>
      <x:c r="E66" s="10" t="str">
        <x:v>业务流程</x:v>
      </x:c>
      <x:c r="F66" s="10" t="str">
        <x:v>P1</x:v>
      </x:c>
      <x:c r="G66" s="9" t="str">
        <x:v>验证十连每个礼物独立开奖</x:v>
      </x:c>
      <x:c r="H66" s="9" t="str">
        <x:v>十连开奖次数</x:v>
      </x:c>
      <x:c r="I66" s="9" t="str">
        <x:v>1. 观众已进入直播间
2. 测试数据：幸运礼物数量 10</x:v>
      </x:c>
      <x:c r="J66" s="9" t="str">
        <x:v>1. 打开礼物面板
2. 选择幸运礼物
3. 选择数量 10
4. 点击赠送</x:v>
      </x:c>
      <x:c r="K66" s="9" t="str">
        <x:v>系统生成 10 个独立开奖结果</x:v>
      </x:c>
      <x:c r="L66" s="10" t="str">
        <x:v>FLOW-LIVE-LUCKY</x:v>
      </x:c>
      <x:c r="M66" s="10" t="str">
        <x:v>未测</x:v>
      </x:c>
      <x:c r="N66" s="10" t="str"/>
      <x:c r="O66" s="9" t="str">
        <x:v>1. 来源（需求文档）：liveshow-proto/context/系统概要 .md；位置：系统概要 3.5.3
2. 规则：BR-LIVE-GROUP-E6946F6F74
3. 分支：BR-LIVE-GROUP-E6946F6F74-B02
4. 未动态验证</x:v>
      </x:c>
    </x:row>
    <x:row r="67" ht="100" customHeight="1">
      <x:c r="A67" s="10" t="n">
        <x:v>66</x:v>
      </x:c>
      <x:c r="B67" s="10" t="str">
        <x:v>LIVE-0066</x:v>
      </x:c>
      <x:c r="C67" s="10" t="str">
        <x:v>直播模块</x:v>
      </x:c>
      <x:c r="D67" s="10" t="str">
        <x:v>幸运礼物（主播视角）</x:v>
      </x:c>
      <x:c r="E67" s="10" t="str">
        <x:v>逻辑校验</x:v>
      </x:c>
      <x:c r="F67" s="10" t="str">
        <x:v>P1</x:v>
      </x:c>
      <x:c r="G67" s="9" t="str">
        <x:v>验证幸运礼物主播收益</x:v>
      </x:c>
      <x:c r="H67" s="9" t="str">
        <x:v>幸运礼物收益</x:v>
      </x:c>
      <x:c r="I67" s="9" t="str">
        <x:v>1. 主播正在直播
2. 测试数据：幸运礼物送出价值 1000 金币，收益比例 1%</x:v>
      </x:c>
      <x:c r="J67" s="9" t="str">
        <x:v>1. 打开本场收益</x:v>
      </x:c>
      <x:c r="K67" s="9" t="str">
        <x:v>本场幸运礼物收益显示为 1000 × 1% = 10 金币</x:v>
      </x:c>
      <x:c r="L67" s="10" t="str">
        <x:v>FLOW-LIVE-LUCKY</x:v>
      </x:c>
      <x:c r="M67" s="10" t="str">
        <x:v>未测</x:v>
      </x:c>
      <x:c r="N67" s="10" t="str"/>
      <x:c r="O67" s="9" t="str">
        <x:v>1. 来源（需求文档）：liveshow-proto/context/系统概要 .md；位置：系统概要 3.6.1
2. 规则：BR-LIVE-GROUP-E6946F6F74
3. 分支：BR-LIVE-GROUP-E6946F6F74-B03
4. 未动态验证</x:v>
      </x:c>
    </x:row>
    <x:row r="68" ht="100" customHeight="1">
      <x:c r="A68" s="10" t="n">
        <x:v>67</x:v>
      </x:c>
      <x:c r="B68" s="10" t="str">
        <x:v>LIVE-0067</x:v>
      </x:c>
      <x:c r="C68" s="10" t="str">
        <x:v>直播模块</x:v>
      </x:c>
      <x:c r="D68" s="10" t="str">
        <x:v>虚拟赠礼（运营账号视角）</x:v>
      </x:c>
      <x:c r="E68" s="10" t="str">
        <x:v>业务流程</x:v>
      </x:c>
      <x:c r="F68" s="10" t="str">
        <x:v>P1</x:v>
      </x:c>
      <x:c r="G68" s="9" t="str">
        <x:v>验证虚拟金币可送普通礼物</x:v>
      </x:c>
      <x:c r="H68" s="9" t="str">
        <x:v>虚拟赠礼</x:v>
      </x:c>
      <x:c r="I68" s="9" t="str">
        <x:v>1. 运营账号已进入直播间
2. 测试数据：虚拟金币 100，普通礼物 10 金币</x:v>
      </x:c>
      <x:c r="J68" s="9" t="str">
        <x:v>1. 打开礼物面板
2. 选择普通礼物
3. 点击赠送</x:v>
      </x:c>
      <x:c r="K68" s="9" t="str">
        <x:v>直播间公屏显示该礼物消息</x:v>
      </x:c>
      <x:c r="L68" s="10" t="str">
        <x:v>FLOW-LIVE-OPS</x:v>
      </x:c>
      <x:c r="M68" s="10" t="str">
        <x:v>未测</x:v>
      </x:c>
      <x:c r="N68" s="10" t="str"/>
      <x:c r="O68" s="9" t="str">
        <x:v>1. 来源（原型批注）：liveshow-proto/prototype/annotations/user.js；位置：views/live-room/gift.html 结构化批注
2. 规则：BR-LIVE-GROUP-3A4E3A9C64
3. 分支：BR-LIVE-GROUP-3A4E3A9C64-B01
4. 未动态验证</x:v>
      </x:c>
    </x:row>
    <x:row r="69" ht="100" customHeight="1">
      <x:c r="A69" s="10" t="n">
        <x:v>68</x:v>
      </x:c>
      <x:c r="B69" s="10" t="str">
        <x:v>LIVE-0068</x:v>
      </x:c>
      <x:c r="C69" s="10" t="str">
        <x:v>直播模块</x:v>
      </x:c>
      <x:c r="D69" s="10" t="str">
        <x:v>虚拟赠礼（运营账号视角）</x:v>
      </x:c>
      <x:c r="E69" s="10" t="str">
        <x:v>业务流程</x:v>
      </x:c>
      <x:c r="F69" s="10" t="str">
        <x:v>P0</x:v>
      </x:c>
      <x:c r="G69" s="9" t="str">
        <x:v>验证虚拟赠礼不形成主播收益</x:v>
      </x:c>
      <x:c r="H69" s="9" t="str">
        <x:v>虚拟收益隔离</x:v>
      </x:c>
      <x:c r="I69" s="9" t="str">
        <x:v>1. 运营账号已进入直播间
2. 测试数据：虚拟金币礼物价值 100</x:v>
      </x:c>
      <x:c r="J69" s="9" t="str">
        <x:v>1. 打开礼物面板
2. 选择普通礼物
3. 点击赠送</x:v>
      </x:c>
      <x:c r="K69" s="9" t="str">
        <x:v>主播本场收益不增加</x:v>
      </x:c>
      <x:c r="L69" s="10" t="str">
        <x:v>FLOW-LIVE-OPS</x:v>
      </x:c>
      <x:c r="M69" s="10" t="str">
        <x:v>未测</x:v>
      </x:c>
      <x:c r="N69" s="10" t="str"/>
      <x:c r="O69" s="9" t="str">
        <x:v>1. 来源（原型批注）：liveshow-proto/prototype/annotations/user.js；位置：views/live-room/gift.html 结构化批注
2. 规则：BR-LIVE-GROUP-3A4E3A9C64
3. 分支：BR-LIVE-GROUP-3A4E3A9C64-B02
4. 未动态验证</x:v>
      </x:c>
    </x:row>
    <x:row r="70" ht="100" customHeight="1">
      <x:c r="A70" s="10" t="n">
        <x:v>69</x:v>
      </x:c>
      <x:c r="B70" s="10" t="str">
        <x:v>LIVE-0069</x:v>
      </x:c>
      <x:c r="C70" s="10" t="str">
        <x:v>直播模块</x:v>
      </x:c>
      <x:c r="D70" s="10" t="str">
        <x:v>虚拟赠礼（运营账号视角）</x:v>
      </x:c>
      <x:c r="E70" s="10" t="str">
        <x:v>异常用例</x:v>
      </x:c>
      <x:c r="F70" s="10" t="str">
        <x:v>P1</x:v>
      </x:c>
      <x:c r="G70" s="9" t="str">
        <x:v>验证运营账号不能送幸运礼物</x:v>
      </x:c>
      <x:c r="H70" s="9" t="str">
        <x:v>幸运礼物权限</x:v>
      </x:c>
      <x:c r="I70" s="9" t="str">
        <x:v>1. 运营账号已进入直播间</x:v>
      </x:c>
      <x:c r="J70" s="9" t="str">
        <x:v>1. 打开礼物面板
2. 查看幸运礼物</x:v>
      </x:c>
      <x:c r="K70" s="9" t="str">
        <x:v>幸运礼物不可赠送</x:v>
      </x:c>
      <x:c r="L70" s="10" t="str">
        <x:v>FLOW-LIVE-OPS</x:v>
      </x:c>
      <x:c r="M70" s="10" t="str">
        <x:v>未测</x:v>
      </x:c>
      <x:c r="N70" s="10" t="str"/>
      <x:c r="O70" s="9" t="str">
        <x:v>1. 来源（原型批注）：liveshow-proto/prototype/annotations/user.js；位置：views/live-room/gift.html 结构化批注
2. 规则：BR-LIVE-GROUP-3A4E3A9C64
3. 分支：BR-LIVE-GROUP-3A4E3A9C64-B03
4. 未动态验证</x:v>
      </x:c>
    </x:row>
    <x:row r="71" ht="100" customHeight="1">
      <x:c r="A71" s="10" t="n">
        <x:v>70</x:v>
      </x:c>
      <x:c r="B71" s="10" t="str">
        <x:v>LIVE-0070</x:v>
      </x:c>
      <x:c r="C71" s="10" t="str">
        <x:v>直播模块</x:v>
      </x:c>
      <x:c r="D71" s="10" t="str">
        <x:v>开播权限（主播视角）</x:v>
      </x:c>
      <x:c r="E71" s="10" t="str">
        <x:v>业务流程</x:v>
      </x:c>
      <x:c r="F71" s="10" t="str">
        <x:v>P0</x:v>
      </x:c>
      <x:c r="G71" s="9" t="str">
        <x:v>验证满足条件可开始直播</x:v>
      </x:c>
      <x:c r="H71" s="9" t="str">
        <x:v>开播资格</x:v>
      </x:c>
      <x:c r="I71" s="9" t="str">
        <x:v>1. 主播账号可用
2. 主播所属公会有效
3. 主播认证通过
4. 主播直播权限已开启
5. 本场必填配置有效</x:v>
      </x:c>
      <x:c r="J71" s="9" t="str">
        <x:v>1. 进入开播设置
2. 点击开始直播</x:v>
      </x:c>
      <x:c r="K71" s="9" t="str">
        <x:v>系统创建新的直播场次</x:v>
      </x:c>
      <x:c r="L71" s="10" t="str">
        <x:v>FLOW-LIVE-START</x:v>
      </x:c>
      <x:c r="M71" s="10" t="str">
        <x:v>未测</x:v>
      </x:c>
      <x:c r="N71" s="10" t="str"/>
      <x:c r="O71" s="9" t="str">
        <x:v>1. 来源（原型批注）：liveshow-proto/prototype/annotations/user.js；位置：start-live-settings.html 结构化批注
2. 规则：BR-LIVE-GROUP-B994D746A6
3. 分支：BR-LIVE-GROUP-B994D746A6-B01
4. 未动态验证</x:v>
      </x:c>
    </x:row>
    <x:row r="72" ht="100" customHeight="1">
      <x:c r="A72" s="10" t="n">
        <x:v>71</x:v>
      </x:c>
      <x:c r="B72" s="10" t="str">
        <x:v>LIVE-0071</x:v>
      </x:c>
      <x:c r="C72" s="10" t="str">
        <x:v>直播模块</x:v>
      </x:c>
      <x:c r="D72" s="10" t="str">
        <x:v>开播权限（主播视角）</x:v>
      </x:c>
      <x:c r="E72" s="10" t="str">
        <x:v>异常用例</x:v>
      </x:c>
      <x:c r="F72" s="10" t="str">
        <x:v>P0</x:v>
      </x:c>
      <x:c r="G72" s="9" t="str">
        <x:v>验证账号不可用时不能开播</x:v>
      </x:c>
      <x:c r="H72" s="9" t="str">
        <x:v>账号不可用</x:v>
      </x:c>
      <x:c r="I72" s="9" t="str">
        <x:v>1. 主播账号已封禁
2. 本场必填配置有效</x:v>
      </x:c>
      <x:c r="J72" s="9" t="str">
        <x:v>1. 进入开播设置
2. 点击开始直播</x:v>
      </x:c>
      <x:c r="K72" s="9" t="str">
        <x:v>系统不创建直播场次</x:v>
      </x:c>
      <x:c r="L72" s="10" t="str">
        <x:v>FLOW-LIVE-START</x:v>
      </x:c>
      <x:c r="M72" s="10" t="str">
        <x:v>未测</x:v>
      </x:c>
      <x:c r="N72" s="10" t="str"/>
      <x:c r="O72" s="9" t="str">
        <x:v>1. 来源（原型批注）：liveshow-proto/prototype/annotations/user.js；位置：start-live-settings.html 结构化批注
2. 规则：BR-LIVE-GROUP-B994D746A6
3. 分支：BR-LIVE-GROUP-B994D746A6-B02
4. 未动态验证</x:v>
      </x:c>
    </x:row>
    <x:row r="73" ht="100" customHeight="1">
      <x:c r="A73" s="10" t="n">
        <x:v>72</x:v>
      </x:c>
      <x:c r="B73" s="10" t="str">
        <x:v>LIVE-0072</x:v>
      </x:c>
      <x:c r="C73" s="10" t="str">
        <x:v>直播模块</x:v>
      </x:c>
      <x:c r="D73" s="10" t="str">
        <x:v>开播权限（主播视角）</x:v>
      </x:c>
      <x:c r="E73" s="10" t="str">
        <x:v>异常用例</x:v>
      </x:c>
      <x:c r="F73" s="10" t="str">
        <x:v>P0</x:v>
      </x:c>
      <x:c r="G73" s="9" t="str">
        <x:v>验证公会失效时不能开播</x:v>
      </x:c>
      <x:c r="H73" s="9" t="str">
        <x:v>公会失效</x:v>
      </x:c>
      <x:c r="I73" s="9" t="str">
        <x:v>1. 主播所属公会已停用
2. 本场必填配置有效</x:v>
      </x:c>
      <x:c r="J73" s="9" t="str">
        <x:v>1. 进入开播设置
2. 点击开始直播</x:v>
      </x:c>
      <x:c r="K73" s="9" t="str">
        <x:v>系统不创建直播场次</x:v>
      </x:c>
      <x:c r="L73" s="10" t="str">
        <x:v>FLOW-LIVE-START</x:v>
      </x:c>
      <x:c r="M73" s="10" t="str">
        <x:v>未测</x:v>
      </x:c>
      <x:c r="N73" s="10" t="str"/>
      <x:c r="O73" s="9" t="str">
        <x:v>1. 来源（原型批注）：liveshow-proto/prototype/annotations/user.js；位置：start-live-settings.html 结构化批注
2. 规则：BR-LIVE-GROUP-B994D746A6
3. 分支：BR-LIVE-GROUP-B994D746A6-B03
4. 未动态验证</x:v>
      </x:c>
    </x:row>
    <x:row r="74" ht="100" customHeight="1">
      <x:c r="A74" s="10" t="n">
        <x:v>73</x:v>
      </x:c>
      <x:c r="B74" s="10" t="str">
        <x:v>LIVE-0073</x:v>
      </x:c>
      <x:c r="C74" s="10" t="str">
        <x:v>直播模块</x:v>
      </x:c>
      <x:c r="D74" s="10" t="str">
        <x:v>开播权限（主播视角）</x:v>
      </x:c>
      <x:c r="E74" s="10" t="str">
        <x:v>异常用例</x:v>
      </x:c>
      <x:c r="F74" s="10" t="str">
        <x:v>P0</x:v>
      </x:c>
      <x:c r="G74" s="9" t="str">
        <x:v>验证认证未通过时不能开播</x:v>
      </x:c>
      <x:c r="H74" s="9" t="str">
        <x:v>认证未通过</x:v>
      </x:c>
      <x:c r="I74" s="9" t="str">
        <x:v>1. 主播认证未通过
2. 本场必填配置有效</x:v>
      </x:c>
      <x:c r="J74" s="9" t="str">
        <x:v>1. 进入开播设置
2. 点击开始直播</x:v>
      </x:c>
      <x:c r="K74" s="9" t="str">
        <x:v>系统不创建直播场次</x:v>
      </x:c>
      <x:c r="L74" s="10" t="str">
        <x:v>FLOW-LIVE-START</x:v>
      </x:c>
      <x:c r="M74" s="10" t="str">
        <x:v>未测</x:v>
      </x:c>
      <x:c r="N74" s="10" t="str"/>
      <x:c r="O74" s="9" t="str">
        <x:v>1. 来源（原型批注）：liveshow-proto/prototype/annotations/user.js；位置：start-live-settings.html 结构化批注
2. 规则：BR-LIVE-GROUP-B994D746A6
3. 分支：BR-LIVE-GROUP-B994D746A6-B04
4. 未动态验证</x:v>
      </x:c>
    </x:row>
    <x:row r="75" ht="100" customHeight="1">
      <x:c r="A75" s="10" t="n">
        <x:v>74</x:v>
      </x:c>
      <x:c r="B75" s="10" t="str">
        <x:v>LIVE-0074</x:v>
      </x:c>
      <x:c r="C75" s="10" t="str">
        <x:v>直播模块</x:v>
      </x:c>
      <x:c r="D75" s="10" t="str">
        <x:v>开播权限（主播视角）</x:v>
      </x:c>
      <x:c r="E75" s="10" t="str">
        <x:v>异常用例</x:v>
      </x:c>
      <x:c r="F75" s="10" t="str">
        <x:v>P0</x:v>
      </x:c>
      <x:c r="G75" s="9" t="str">
        <x:v>验证直播权限关闭时不能开播</x:v>
      </x:c>
      <x:c r="H75" s="9" t="str">
        <x:v>直播权限关闭</x:v>
      </x:c>
      <x:c r="I75" s="9" t="str">
        <x:v>1. 主播直播权限已关闭
2. 本场必填配置有效</x:v>
      </x:c>
      <x:c r="J75" s="9" t="str">
        <x:v>1. 进入开播设置
2. 点击开始直播</x:v>
      </x:c>
      <x:c r="K75" s="9" t="str">
        <x:v>系统不创建直播场次</x:v>
      </x:c>
      <x:c r="L75" s="10" t="str">
        <x:v>FLOW-LIVE-START</x:v>
      </x:c>
      <x:c r="M75" s="10" t="str">
        <x:v>未测</x:v>
      </x:c>
      <x:c r="N75" s="10" t="str"/>
      <x:c r="O75" s="9" t="str">
        <x:v>1. 来源（原型批注）：liveshow-proto/prototype/annotations/user.js；位置：start-live-settings.html 结构化批注
2. 规则：BR-LIVE-GROUP-B994D746A6
3. 分支：BR-LIVE-GROUP-B994D746A6-B05
4. 未动态验证</x:v>
      </x:c>
    </x:row>
    <x:row r="76" ht="100" customHeight="1">
      <x:c r="A76" s="10" t="n">
        <x:v>75</x:v>
      </x:c>
      <x:c r="B76" s="10" t="str">
        <x:v>LIVE-0075</x:v>
      </x:c>
      <x:c r="C76" s="10" t="str">
        <x:v>直播模块</x:v>
      </x:c>
      <x:c r="D76" s="10" t="str">
        <x:v>开播权限（主播视角）</x:v>
      </x:c>
      <x:c r="E76" s="10" t="str">
        <x:v>业务流程</x:v>
      </x:c>
      <x:c r="F76" s="10" t="str">
        <x:v>P0</x:v>
      </x:c>
      <x:c r="G76" s="9" t="str">
        <x:v>验证首次开播申请相机权限</x:v>
      </x:c>
      <x:c r="H76" s="9" t="str">
        <x:v>相机权限</x:v>
      </x:c>
      <x:c r="I76" s="9" t="str">
        <x:v>1. 主播具备开播资格
2. 相机权限尚未申请
3. 本场必填配置有效</x:v>
      </x:c>
      <x:c r="J76" s="9" t="str">
        <x:v>1. 进入开播设置
2. 点击开始直播</x:v>
      </x:c>
      <x:c r="K76" s="9" t="str">
        <x:v>系统直接显示相机授权弹窗</x:v>
      </x:c>
      <x:c r="L76" s="10" t="str">
        <x:v>FLOW-LIVE-START</x:v>
      </x:c>
      <x:c r="M76" s="10" t="str">
        <x:v>未测</x:v>
      </x:c>
      <x:c r="N76" s="10" t="str"/>
      <x:c r="O76" s="9" t="str">
        <x:v>1. 来源（原型批注）：liveshow-proto/prototype/annotations/user.js；位置：start-live-settings.html 结构化批注
2. 规则：BR-LIVE-GROUP-B994D746A6
3. 分支：BR-LIVE-GROUP-B994D746A6-B06
4. 未动态验证</x:v>
      </x:c>
    </x:row>
    <x:row r="77" ht="100" customHeight="1">
      <x:c r="A77" s="10" t="n">
        <x:v>76</x:v>
      </x:c>
      <x:c r="B77" s="10" t="str">
        <x:v>LIVE-0076</x:v>
      </x:c>
      <x:c r="C77" s="10" t="str">
        <x:v>直播模块</x:v>
      </x:c>
      <x:c r="D77" s="10" t="str">
        <x:v>开播权限（主播视角）</x:v>
      </x:c>
      <x:c r="E77" s="10" t="str">
        <x:v>异常用例</x:v>
      </x:c>
      <x:c r="F77" s="10" t="str">
        <x:v>P0</x:v>
      </x:c>
      <x:c r="G77" s="9" t="str">
        <x:v>验证权限拒绝时停留设置页</x:v>
      </x:c>
      <x:c r="H77" s="9" t="str">
        <x:v>权限拒绝</x:v>
      </x:c>
      <x:c r="I77" s="9" t="str">
        <x:v>1. 主播具备开播资格
2. 相机或麦克风权限被拒绝
3. 本场必填配置有效</x:v>
      </x:c>
      <x:c r="J77" s="9" t="str">
        <x:v>1. 进入开播设置
2. 点击开始直播</x:v>
      </x:c>
      <x:c r="K77" s="9" t="str">
        <x:v>页面提示“权限未开启，请前往系统设置”</x:v>
      </x:c>
      <x:c r="L77" s="10" t="str">
        <x:v>FLOW-LIVE-START</x:v>
      </x:c>
      <x:c r="M77" s="10" t="str">
        <x:v>未测</x:v>
      </x:c>
      <x:c r="N77" s="10" t="str"/>
      <x:c r="O77" s="9" t="str">
        <x:v>1. 来源（原型批注）：liveshow-proto/prototype/annotations/user.js；位置：start-live-settings.html 结构化批注
2. 规则：BR-LIVE-GROUP-B994D746A6
3. 分支：BR-LIVE-GROUP-B994D746A6-B07
4. 未动态验证</x:v>
      </x:c>
    </x:row>
    <x:row r="78" ht="100" customHeight="1">
      <x:c r="A78" s="10" t="n">
        <x:v>77</x:v>
      </x:c>
      <x:c r="B78" s="10" t="str">
        <x:v>LIVE-0077</x:v>
      </x:c>
      <x:c r="C78" s="10" t="str">
        <x:v>直播模块</x:v>
      </x:c>
      <x:c r="D78" s="10" t="str">
        <x:v>开播设置（主播视角）</x:v>
      </x:c>
      <x:c r="E78" s="10" t="str">
        <x:v>异常用例</x:v>
      </x:c>
      <x:c r="F78" s="10" t="str">
        <x:v>P0</x:v>
      </x:c>
      <x:c r="G78" s="9" t="str">
        <x:v>验证直播分类必选</x:v>
      </x:c>
      <x:c r="H78" s="9" t="str">
        <x:v>分类必填</x:v>
      </x:c>
      <x:c r="I78" s="9" t="str">
        <x:v>1. 主播具备开播资格
2. 直播分类未选择</x:v>
      </x:c>
      <x:c r="J78" s="9" t="str">
        <x:v>1. 进入开播设置
2. 点击开始直播</x:v>
      </x:c>
      <x:c r="K78" s="9" t="str">
        <x:v>系统不创建直播场次</x:v>
      </x:c>
      <x:c r="L78" s="10" t="str"/>
      <x:c r="M78" s="10" t="str">
        <x:v>未测</x:v>
      </x:c>
      <x:c r="N78" s="10" t="str"/>
      <x:c r="O78" s="9" t="str">
        <x:v>1. 来源（原型批注）：liveshow-proto/prototype/annotations/user.js；位置：start-live-settings.html 结构化批注
2. 规则：BR-LIVE-GROUP-AA270AF69D
3. 分支：BR-LIVE-GROUP-AA270AF69D-B01
4. 未动态验证</x:v>
      </x:c>
    </x:row>
    <x:row r="79" ht="115" customHeight="1">
      <x:c r="A79" s="10" t="n">
        <x:v>78</x:v>
      </x:c>
      <x:c r="B79" s="10" t="str">
        <x:v>LIVE-0078</x:v>
      </x:c>
      <x:c r="C79" s="10" t="str">
        <x:v>直播模块</x:v>
      </x:c>
      <x:c r="D79" s="10" t="str">
        <x:v>开播设置（主播视角）</x:v>
      </x:c>
      <x:c r="E79" s="10" t="str">
        <x:v>功能需求</x:v>
      </x:c>
      <x:c r="F79" s="10" t="str">
        <x:v>P1</x:v>
      </x:c>
      <x:c r="G79" s="9" t="str">
        <x:v>验证只展示已启用分类</x:v>
      </x:c>
      <x:c r="H79" s="9" t="str">
        <x:v>分类范围</x:v>
      </x:c>
      <x:c r="I79" s="9" t="str">
        <x:v>1. 主播具备开播资格
2. 平台已启用分类 A 并下架分类 B</x:v>
      </x:c>
      <x:c r="J79" s="9" t="str">
        <x:v>1. 进入开播设置
2. 打开分类选择</x:v>
      </x:c>
      <x:c r="K79" s="9" t="str">
        <x:v>分类列表仅包含已启用的分类 A</x:v>
      </x:c>
      <x:c r="L79" s="10" t="str"/>
      <x:c r="M79" s="10" t="str">
        <x:v>未测</x:v>
      </x:c>
      <x:c r="N79" s="10" t="str"/>
      <x:c r="O79" s="9" t="str">
        <x:v>1. 来源（原型批注）：liveshow-proto/prototype/annotations/user.js；位置：views/start-live-settings/category.html 结构化批注
2. 规则：BR-LIVE-GROUP-AA270AF69D
3. 分支：BR-LIVE-GROUP-AA270AF69D-B02
4. 未动态验证</x:v>
      </x:c>
    </x:row>
    <x:row r="80" ht="100" customHeight="1">
      <x:c r="A80" s="10" t="n">
        <x:v>79</x:v>
      </x:c>
      <x:c r="B80" s="10" t="str">
        <x:v>LIVE-0079</x:v>
      </x:c>
      <x:c r="C80" s="10" t="str">
        <x:v>直播模块</x:v>
      </x:c>
      <x:c r="D80" s="10" t="str">
        <x:v>开播设置（主播视角）</x:v>
      </x:c>
      <x:c r="E80" s="10" t="str">
        <x:v>功能需求</x:v>
      </x:c>
      <x:c r="F80" s="10" t="str">
        <x:v>P1</x:v>
      </x:c>
      <x:c r="G80" s="9" t="str">
        <x:v>验证取消选图保留原封面</x:v>
      </x:c>
      <x:c r="H80" s="9" t="str">
        <x:v>封面选择取消</x:v>
      </x:c>
      <x:c r="I80" s="9" t="str">
        <x:v>1. 主播具备开播资格
2. 当前封面为图片 A</x:v>
      </x:c>
      <x:c r="J80" s="9" t="str">
        <x:v>1. 进入开播设置
2. 点击修改封面
3. 取消系统照片选择</x:v>
      </x:c>
      <x:c r="K80" s="9" t="str">
        <x:v>当前封面仍为图片 A</x:v>
      </x:c>
      <x:c r="L80" s="10" t="str"/>
      <x:c r="M80" s="10" t="str">
        <x:v>未测</x:v>
      </x:c>
      <x:c r="N80" s="10" t="str"/>
      <x:c r="O80" s="9" t="str">
        <x:v>1. 来源（原型批注）：liveshow-proto/prototype/annotations/user.js；位置：start-live-settings.html 结构化批注
2. 规则：BR-LIVE-GROUP-AA270AF69D
3. 分支：BR-LIVE-GROUP-AA270AF69D-B03
4. 未动态验证</x:v>
      </x:c>
    </x:row>
    <x:row r="81" ht="100" customHeight="1">
      <x:c r="A81" s="10" t="n">
        <x:v>80</x:v>
      </x:c>
      <x:c r="B81" s="10" t="str">
        <x:v>LIVE-0080</x:v>
      </x:c>
      <x:c r="C81" s="10" t="str">
        <x:v>直播模块</x:v>
      </x:c>
      <x:c r="D81" s="10" t="str">
        <x:v>开播设置（主播视角）</x:v>
      </x:c>
      <x:c r="E81" s="10" t="str">
        <x:v>功能需求</x:v>
      </x:c>
      <x:c r="F81" s="10" t="str">
        <x:v>P1</x:v>
      </x:c>
      <x:c r="G81" s="9" t="str">
        <x:v>验证选封面不申请完整相册权限</x:v>
      </x:c>
      <x:c r="H81" s="9" t="str">
        <x:v>相册权限</x:v>
      </x:c>
      <x:c r="I81" s="9" t="str">
        <x:v>1. 主播具备开播资格
2. 系统未授予完整相册权限</x:v>
      </x:c>
      <x:c r="J81" s="9" t="str">
        <x:v>1. 进入开播设置
2. 点击修改封面
3. 选择图片 A</x:v>
      </x:c>
      <x:c r="K81" s="9" t="str">
        <x:v>页面只读取图片 A</x:v>
      </x:c>
      <x:c r="L81" s="10" t="str"/>
      <x:c r="M81" s="10" t="str">
        <x:v>未测</x:v>
      </x:c>
      <x:c r="N81" s="10" t="str"/>
      <x:c r="O81" s="9" t="str">
        <x:v>1. 来源（原型批注）：liveshow-proto/prototype/annotations/user.js；位置：start-live-settings.html 结构化批注
2. 规则：BR-LIVE-GROUP-AA270AF69D
3. 分支：BR-LIVE-GROUP-AA270AF69D-B04
4. 未动态验证</x:v>
      </x:c>
    </x:row>
    <x:row r="82" ht="115" customHeight="1">
      <x:c r="A82" s="10" t="n">
        <x:v>81</x:v>
      </x:c>
      <x:c r="B82" s="10" t="str">
        <x:v>LIVE-0081</x:v>
      </x:c>
      <x:c r="C82" s="10" t="str">
        <x:v>直播模块</x:v>
      </x:c>
      <x:c r="D82" s="10" t="str">
        <x:v>房型设置（主播视角）</x:v>
      </x:c>
      <x:c r="E82" s="10" t="str">
        <x:v>功能需求</x:v>
      </x:c>
      <x:c r="F82" s="10" t="str">
        <x:v>P1</x:v>
      </x:c>
      <x:c r="G82" s="9" t="str">
        <x:v>验证普通房无附加必填项</x:v>
      </x:c>
      <x:c r="H82" s="9" t="str">
        <x:v>普通房配置</x:v>
      </x:c>
      <x:c r="I82" s="9" t="str">
        <x:v>1. 主播具备开播资格</x:v>
      </x:c>
      <x:c r="J82" s="9" t="str">
        <x:v>1. 进入开播设置
2. 打开房型设置
3. 选择普通房
4. 点击确认</x:v>
      </x:c>
      <x:c r="K82" s="9" t="str">
        <x:v>房型回填为普通房</x:v>
      </x:c>
      <x:c r="L82" s="10" t="str"/>
      <x:c r="M82" s="10" t="str">
        <x:v>未测</x:v>
      </x:c>
      <x:c r="N82" s="10" t="str"/>
      <x:c r="O82" s="9" t="str">
        <x:v>1. 来源（原型批注）：liveshow-proto/prototype/annotations/user.js；位置：views/start-live-settings/room-normal.html 结构化批注
2. 规则：BR-LIVE-GROUP-7F20FF164D
3. 分支：BR-LIVE-GROUP-7F20FF164D-B01
4. 未动态验证</x:v>
      </x:c>
    </x:row>
    <x:row r="83" ht="115" customHeight="1">
      <x:c r="A83" s="10" t="n">
        <x:v>82</x:v>
      </x:c>
      <x:c r="B83" s="10" t="str">
        <x:v>LIVE-0082</x:v>
      </x:c>
      <x:c r="C83" s="10" t="str">
        <x:v>直播模块</x:v>
      </x:c>
      <x:c r="D83" s="10" t="str">
        <x:v>房型设置（主播视角）</x:v>
      </x:c>
      <x:c r="E83" s="10" t="str">
        <x:v>异常用例</x:v>
      </x:c>
      <x:c r="F83" s="10" t="str">
        <x:v>P0</x:v>
      </x:c>
      <x:c r="G83" s="9" t="str">
        <x:v>验证门票房开关关闭时不可选</x:v>
      </x:c>
      <x:c r="H83" s="9" t="str">
        <x:v>门票房开关</x:v>
      </x:c>
      <x:c r="I83" s="9" t="str">
        <x:v>1. 主播具备开播资格
2. 平台已关闭门票房开关</x:v>
      </x:c>
      <x:c r="J83" s="9" t="str">
        <x:v>1. 进入开播设置
2. 打开房型设置</x:v>
      </x:c>
      <x:c r="K83" s="9" t="str">
        <x:v>门票房不可选择</x:v>
      </x:c>
      <x:c r="L83" s="10" t="str">
        <x:v>FLOW-LIVE-CONFIG</x:v>
      </x:c>
      <x:c r="M83" s="10" t="str">
        <x:v>未测</x:v>
      </x:c>
      <x:c r="N83" s="10" t="str"/>
      <x:c r="O83" s="9" t="str">
        <x:v>1. 来源（原型批注）：liveshow-proto/prototype/annotations/user.js；位置：views/start-live-settings/room-ticket.html 结构化批注
2. 规则：BR-LIVE-GROUP-7F20FF164D
3. 分支：BR-LIVE-GROUP-7F20FF164D-B02
4. 未动态验证</x:v>
      </x:c>
    </x:row>
    <x:row r="84" ht="115" customHeight="1">
      <x:c r="A84" s="10" t="n">
        <x:v>83</x:v>
      </x:c>
      <x:c r="B84" s="10" t="str">
        <x:v>LIVE-0083</x:v>
      </x:c>
      <x:c r="C84" s="10" t="str">
        <x:v>直播模块</x:v>
      </x:c>
      <x:c r="D84" s="10" t="str">
        <x:v>房型设置（主播视角）</x:v>
      </x:c>
      <x:c r="E84" s="10" t="str">
        <x:v>功能需求</x:v>
      </x:c>
      <x:c r="F84" s="10" t="str">
        <x:v>P1</x:v>
      </x:c>
      <x:c r="G84" s="9" t="str">
        <x:v>验证门票档位来自启用配置</x:v>
      </x:c>
      <x:c r="H84" s="9" t="str">
        <x:v>门票档位范围</x:v>
      </x:c>
      <x:c r="I84" s="9" t="str">
        <x:v>1. 主播具备开播资格
2. 平台启用 10、20 金币档位并停用 30 金币档位</x:v>
      </x:c>
      <x:c r="J84" s="9" t="str">
        <x:v>1. 进入开播设置
2. 打开房型设置
3. 选择门票房</x:v>
      </x:c>
      <x:c r="K84" s="9" t="str">
        <x:v>可选门票档位为 10 和 20 金币</x:v>
      </x:c>
      <x:c r="L84" s="10" t="str"/>
      <x:c r="M84" s="10" t="str">
        <x:v>未测</x:v>
      </x:c>
      <x:c r="N84" s="10" t="str"/>
      <x:c r="O84" s="9" t="str">
        <x:v>1. 来源（原型批注）：liveshow-proto/prototype/annotations/user.js；位置：views/start-live-settings/room-ticket.html 结构化批注
2. 规则：BR-LIVE-GROUP-7F20FF164D
3. 分支：BR-LIVE-GROUP-7F20FF164D-B03
4. 未动态验证</x:v>
      </x:c>
    </x:row>
    <x:row r="85" ht="115" customHeight="1">
      <x:c r="A85" s="10" t="n">
        <x:v>84</x:v>
      </x:c>
      <x:c r="B85" s="10" t="str">
        <x:v>LIVE-0084</x:v>
      </x:c>
      <x:c r="C85" s="10" t="str">
        <x:v>直播模块</x:v>
      </x:c>
      <x:c r="D85" s="10" t="str">
        <x:v>房型设置（主播视角）</x:v>
      </x:c>
      <x:c r="E85" s="10" t="str">
        <x:v>异常用例</x:v>
      </x:c>
      <x:c r="F85" s="10" t="str">
        <x:v>P0</x:v>
      </x:c>
      <x:c r="G85" s="9" t="str">
        <x:v>验证门票价格未选不能保存</x:v>
      </x:c>
      <x:c r="H85" s="9" t="str">
        <x:v>门票价格必选</x:v>
      </x:c>
      <x:c r="I85" s="9" t="str">
        <x:v>1. 主播具备开播资格
2. 已选择门票房
3. 门票价格未选择</x:v>
      </x:c>
      <x:c r="J85" s="9" t="str">
        <x:v>1. 点击确认</x:v>
      </x:c>
      <x:c r="K85" s="9" t="str">
        <x:v>页面提示“请选择有效的门票价格”</x:v>
      </x:c>
      <x:c r="L85" s="10" t="str"/>
      <x:c r="M85" s="10" t="str">
        <x:v>未测</x:v>
      </x:c>
      <x:c r="N85" s="10" t="str"/>
      <x:c r="O85" s="9" t="str">
        <x:v>1. 来源（原型批注）：liveshow-proto/prototype/annotations/user.js；位置：views/start-live-settings/room-ticket.html 结构化批注
2. 规则：BR-LIVE-GROUP-7F20FF164D
3. 分支：BR-LIVE-GROUP-7F20FF164D-B04
4. 未动态验证</x:v>
      </x:c>
    </x:row>
    <x:row r="86" ht="115" customHeight="1">
      <x:c r="A86" s="10" t="n">
        <x:v>85</x:v>
      </x:c>
      <x:c r="B86" s="10" t="str">
        <x:v>LIVE-0085</x:v>
      </x:c>
      <x:c r="C86" s="10" t="str">
        <x:v>直播模块</x:v>
      </x:c>
      <x:c r="D86" s="10" t="str">
        <x:v>房型设置（主播视角）</x:v>
      </x:c>
      <x:c r="E86" s="10" t="str">
        <x:v>异常用例</x:v>
      </x:c>
      <x:c r="F86" s="10" t="str">
        <x:v>P1</x:v>
      </x:c>
      <x:c r="G86" s="9" t="str">
        <x:v>验证已停用门票档位不能保存</x:v>
      </x:c>
      <x:c r="H86" s="9" t="str">
        <x:v>门票档位失效</x:v>
      </x:c>
      <x:c r="I86" s="9" t="str">
        <x:v>1. 主播具备开播资格
2. 已选择门票房
3. 原选中档位已被平台停用</x:v>
      </x:c>
      <x:c r="J86" s="9" t="str">
        <x:v>1. 点击确认</x:v>
      </x:c>
      <x:c r="K86" s="9" t="str">
        <x:v>页面提示“请选择有效的门票价格”</x:v>
      </x:c>
      <x:c r="L86" s="10" t="str"/>
      <x:c r="M86" s="10" t="str">
        <x:v>未测</x:v>
      </x:c>
      <x:c r="N86" s="10" t="str"/>
      <x:c r="O86" s="9" t="str">
        <x:v>1. 来源（原型批注）：liveshow-proto/prototype/annotations/user.js；位置：views/start-live-settings/room-ticket.html 结构化批注
2. 规则：BR-LIVE-GROUP-7F20FF164D
3. 分支：BR-LIVE-GROUP-7F20FF164D-B05
4. 未动态验证</x:v>
      </x:c>
    </x:row>
    <x:row r="87" ht="115" customHeight="1">
      <x:c r="A87" s="10" t="n">
        <x:v>86</x:v>
      </x:c>
      <x:c r="B87" s="10" t="str">
        <x:v>LIVE-0086</x:v>
      </x:c>
      <x:c r="C87" s="10" t="str">
        <x:v>直播模块</x:v>
      </x:c>
      <x:c r="D87" s="10" t="str">
        <x:v>房型设置（主播视角）</x:v>
      </x:c>
      <x:c r="E87" s="10" t="str">
        <x:v>异常用例</x:v>
      </x:c>
      <x:c r="F87" s="10" t="str">
        <x:v>P0</x:v>
      </x:c>
      <x:c r="G87" s="9" t="str">
        <x:v>验证密码房开关关闭时不可选</x:v>
      </x:c>
      <x:c r="H87" s="9" t="str">
        <x:v>密码房开关</x:v>
      </x:c>
      <x:c r="I87" s="9" t="str">
        <x:v>1. 主播具备开播资格
2. 平台已关闭密码房开关</x:v>
      </x:c>
      <x:c r="J87" s="9" t="str">
        <x:v>1. 进入开播设置
2. 打开房型设置</x:v>
      </x:c>
      <x:c r="K87" s="9" t="str">
        <x:v>密码房不可选择</x:v>
      </x:c>
      <x:c r="L87" s="10" t="str">
        <x:v>FLOW-LIVE-CONFIG</x:v>
      </x:c>
      <x:c r="M87" s="10" t="str">
        <x:v>未测</x:v>
      </x:c>
      <x:c r="N87" s="10" t="str"/>
      <x:c r="O87" s="9" t="str">
        <x:v>1. 来源（原型批注）：liveshow-proto/prototype/annotations/user.js；位置：views/start-live-settings/room-password.html 结构化批注
2. 规则：BR-LIVE-GROUP-7F20FF164D
3. 分支：BR-LIVE-GROUP-7F20FF164D-B06
4. 未动态验证</x:v>
      </x:c>
    </x:row>
    <x:row r="88" ht="115" customHeight="1">
      <x:c r="A88" s="10" t="n">
        <x:v>87</x:v>
      </x:c>
      <x:c r="B88" s="10" t="str">
        <x:v>LIVE-0087</x:v>
      </x:c>
      <x:c r="C88" s="10" t="str">
        <x:v>直播模块</x:v>
      </x:c>
      <x:c r="D88" s="10" t="str">
        <x:v>房型设置（主播视角）</x:v>
      </x:c>
      <x:c r="E88" s="10" t="str">
        <x:v>异常用例</x:v>
      </x:c>
      <x:c r="F88" s="10" t="str">
        <x:v>P1</x:v>
      </x:c>
      <x:c r="G88" s="9" t="str">
        <x:v>验证密码长度下限</x:v>
      </x:c>
      <x:c r="H88" s="9" t="str">
        <x:v>密码最短值</x:v>
      </x:c>
      <x:c r="I88" s="9" t="str">
        <x:v>1. 主播具备开播资格
2. 已选择密码房
3. 测试数据：密码 123</x:v>
      </x:c>
      <x:c r="J88" s="9" t="str">
        <x:v>1. 输入密码 123
2. 点击确认</x:v>
      </x:c>
      <x:c r="K88" s="9" t="str">
        <x:v>页面提示“密码必须是4-12个数字”</x:v>
      </x:c>
      <x:c r="L88" s="10" t="str"/>
      <x:c r="M88" s="10" t="str">
        <x:v>未测</x:v>
      </x:c>
      <x:c r="N88" s="10" t="str"/>
      <x:c r="O88" s="9" t="str">
        <x:v>1. 来源（原型批注）：liveshow-proto/prototype/annotations/user.js；位置：views/start-live-settings/room-password.html 结构化批注
2. 规则：BR-LIVE-GROUP-7F20FF164D
3. 分支：BR-LIVE-GROUP-7F20FF164D-B07
4. 未动态验证</x:v>
      </x:c>
    </x:row>
    <x:row r="89" ht="115" customHeight="1">
      <x:c r="A89" s="10" t="n">
        <x:v>88</x:v>
      </x:c>
      <x:c r="B89" s="10" t="str">
        <x:v>LIVE-0088</x:v>
      </x:c>
      <x:c r="C89" s="10" t="str">
        <x:v>直播模块</x:v>
      </x:c>
      <x:c r="D89" s="10" t="str">
        <x:v>房型设置（主播视角）</x:v>
      </x:c>
      <x:c r="E89" s="10" t="str">
        <x:v>异常用例</x:v>
      </x:c>
      <x:c r="F89" s="10" t="str">
        <x:v>P1</x:v>
      </x:c>
      <x:c r="G89" s="9" t="str">
        <x:v>验证密码长度上限</x:v>
      </x:c>
      <x:c r="H89" s="9" t="str">
        <x:v>密码最长值</x:v>
      </x:c>
      <x:c r="I89" s="9" t="str">
        <x:v>1. 主播具备开播资格
2. 已选择密码房
3. 测试数据：13 位数字密码 1234567890123</x:v>
      </x:c>
      <x:c r="J89" s="9" t="str">
        <x:v>1. 输入密码 1234567890123
2. 点击确认</x:v>
      </x:c>
      <x:c r="K89" s="9" t="str">
        <x:v>页面提示“密码必须是4-12个数字”</x:v>
      </x:c>
      <x:c r="L89" s="10" t="str"/>
      <x:c r="M89" s="10" t="str">
        <x:v>未测</x:v>
      </x:c>
      <x:c r="N89" s="10" t="str"/>
      <x:c r="O89" s="9" t="str">
        <x:v>1. 来源（原型批注）：liveshow-proto/prototype/annotations/user.js；位置：views/start-live-settings/room-password.html 结构化批注
2. 规则：BR-LIVE-GROUP-7F20FF164D
3. 分支：BR-LIVE-GROUP-7F20FF164D-B08
4. 未动态验证</x:v>
      </x:c>
    </x:row>
    <x:row r="90" ht="115" customHeight="1">
      <x:c r="A90" s="10" t="n">
        <x:v>89</x:v>
      </x:c>
      <x:c r="B90" s="10" t="str">
        <x:v>LIVE-0089</x:v>
      </x:c>
      <x:c r="C90" s="10" t="str">
        <x:v>直播模块</x:v>
      </x:c>
      <x:c r="D90" s="10" t="str">
        <x:v>房型设置（主播视角）</x:v>
      </x:c>
      <x:c r="E90" s="10" t="str">
        <x:v>异常用例</x:v>
      </x:c>
      <x:c r="F90" s="10" t="str">
        <x:v>P1</x:v>
      </x:c>
      <x:c r="G90" s="9" t="str">
        <x:v>验证密码只允许数字</x:v>
      </x:c>
      <x:c r="H90" s="9" t="str">
        <x:v>密码字符</x:v>
      </x:c>
      <x:c r="I90" s="9" t="str">
        <x:v>1. 主播具备开播资格
2. 已选择密码房
3. 测试数据：密码 12ab</x:v>
      </x:c>
      <x:c r="J90" s="9" t="str">
        <x:v>1. 输入密码 12ab
2. 点击确认</x:v>
      </x:c>
      <x:c r="K90" s="9" t="str">
        <x:v>页面提示“密码必须是4-12个数字”</x:v>
      </x:c>
      <x:c r="L90" s="10" t="str"/>
      <x:c r="M90" s="10" t="str">
        <x:v>未测</x:v>
      </x:c>
      <x:c r="N90" s="10" t="str"/>
      <x:c r="O90" s="9" t="str">
        <x:v>1. 来源（原型批注）：liveshow-proto/prototype/annotations/user.js；位置：views/start-live-settings/room-password.html 结构化批注
2. 规则：BR-LIVE-GROUP-7F20FF164D
3. 分支：BR-LIVE-GROUP-7F20FF164D-B09
4. 未动态验证</x:v>
      </x:c>
    </x:row>
    <x:row r="91" ht="115" customHeight="1">
      <x:c r="A91" s="10" t="n">
        <x:v>90</x:v>
      </x:c>
      <x:c r="B91" s="10" t="str">
        <x:v>LIVE-0090</x:v>
      </x:c>
      <x:c r="C91" s="10" t="str">
        <x:v>直播模块</x:v>
      </x:c>
      <x:c r="D91" s="10" t="str">
        <x:v>房型设置（主播视角）</x:v>
      </x:c>
      <x:c r="E91" s="10" t="str">
        <x:v>业务流程</x:v>
      </x:c>
      <x:c r="F91" s="10" t="str">
        <x:v>P0</x:v>
      </x:c>
      <x:c r="G91" s="9" t="str">
        <x:v>验证有效门票档位可以保存</x:v>
      </x:c>
      <x:c r="H91" s="9" t="str">
        <x:v>门票价格有效</x:v>
      </x:c>
      <x:c r="I91" s="9" t="str">
        <x:v>1. 主播具备开播资格
2. 平台启用 10 金币档位</x:v>
      </x:c>
      <x:c r="J91" s="9" t="str">
        <x:v>1. 进入开播设置
2. 打开房型设置
3. 选择门票房
4. 选择 10 金币档位
5. 点击确认</x:v>
      </x:c>
      <x:c r="K91" s="9" t="str">
        <x:v>房型回填为门票房和 10 金币</x:v>
      </x:c>
      <x:c r="L91" s="10" t="str">
        <x:v>FLOW-LIVE-CONFIG</x:v>
      </x:c>
      <x:c r="M91" s="10" t="str">
        <x:v>未测</x:v>
      </x:c>
      <x:c r="N91" s="10" t="str"/>
      <x:c r="O91" s="9" t="str">
        <x:v>1. 来源（原型批注）：liveshow-proto/prototype/annotations/user.js；位置：views/start-live-settings/room-ticket.html 结构化批注
2. 规则：BR-LIVE-GROUP-7F20FF164D
3. 分支：BR-LIVE-GROUP-7F20FF164D-B10
4. 未动态验证</x:v>
      </x:c>
    </x:row>
    <x:row r="92" ht="115" customHeight="1">
      <x:c r="A92" s="10" t="n">
        <x:v>91</x:v>
      </x:c>
      <x:c r="B92" s="10" t="str">
        <x:v>LIVE-0091</x:v>
      </x:c>
      <x:c r="C92" s="10" t="str">
        <x:v>直播模块</x:v>
      </x:c>
      <x:c r="D92" s="10" t="str">
        <x:v>房型设置（主播视角）</x:v>
      </x:c>
      <x:c r="E92" s="10" t="str">
        <x:v>逻辑校验</x:v>
      </x:c>
      <x:c r="F92" s="10" t="str">
        <x:v>P1</x:v>
      </x:c>
      <x:c r="G92" s="9" t="str">
        <x:v>验证 4 位数字密码可以保存</x:v>
      </x:c>
      <x:c r="H92" s="9" t="str">
        <x:v>密码最小有效值</x:v>
      </x:c>
      <x:c r="I92" s="9" t="str">
        <x:v>1. 主播具备开播资格
2. 已选择密码房
3. 测试数据：密码 1234</x:v>
      </x:c>
      <x:c r="J92" s="9" t="str">
        <x:v>1. 输入密码 1234
2. 点击确认</x:v>
      </x:c>
      <x:c r="K92" s="9" t="str">
        <x:v>房型回填为密码房</x:v>
      </x:c>
      <x:c r="L92" s="10" t="str"/>
      <x:c r="M92" s="10" t="str">
        <x:v>未测</x:v>
      </x:c>
      <x:c r="N92" s="10" t="str"/>
      <x:c r="O92" s="9" t="str">
        <x:v>1. 来源（原型批注）：liveshow-proto/prototype/annotations/user.js；位置：views/start-live-settings/room-password.html 结构化批注
2. 规则：BR-LIVE-GROUP-7F20FF164D
3. 分支：BR-LIVE-GROUP-7F20FF164D-B11
4. 未动态验证</x:v>
      </x:c>
    </x:row>
    <x:row r="93" ht="115" customHeight="1">
      <x:c r="A93" s="10" t="n">
        <x:v>92</x:v>
      </x:c>
      <x:c r="B93" s="10" t="str">
        <x:v>LIVE-0092</x:v>
      </x:c>
      <x:c r="C93" s="10" t="str">
        <x:v>直播模块</x:v>
      </x:c>
      <x:c r="D93" s="10" t="str">
        <x:v>房型设置（主播视角）</x:v>
      </x:c>
      <x:c r="E93" s="10" t="str">
        <x:v>逻辑校验</x:v>
      </x:c>
      <x:c r="F93" s="10" t="str">
        <x:v>P1</x:v>
      </x:c>
      <x:c r="G93" s="9" t="str">
        <x:v>验证 12 位数字密码可以保存</x:v>
      </x:c>
      <x:c r="H93" s="9" t="str">
        <x:v>密码最大有效值</x:v>
      </x:c>
      <x:c r="I93" s="9" t="str">
        <x:v>1. 主播具备开播资格
2. 已选择密码房
3. 测试数据：密码 123456789012</x:v>
      </x:c>
      <x:c r="J93" s="9" t="str">
        <x:v>1. 输入密码 123456789012
2. 点击确认</x:v>
      </x:c>
      <x:c r="K93" s="9" t="str">
        <x:v>房型回填为密码房</x:v>
      </x:c>
      <x:c r="L93" s="10" t="str"/>
      <x:c r="M93" s="10" t="str">
        <x:v>未测</x:v>
      </x:c>
      <x:c r="N93" s="10" t="str"/>
      <x:c r="O93" s="9" t="str">
        <x:v>1. 来源（原型批注）：liveshow-proto/prototype/annotations/user.js；位置：views/start-live-settings/room-password.html 结构化批注
2. 规则：BR-LIVE-GROUP-7F20FF164D
3. 分支：BR-LIVE-GROUP-7F20FF164D-B12
4. 未动态验证</x:v>
      </x:c>
    </x:row>
    <x:row r="94" ht="100" customHeight="1">
      <x:c r="A94" s="10" t="n">
        <x:v>93</x:v>
      </x:c>
      <x:c r="B94" s="10" t="str">
        <x:v>LIVE-0093</x:v>
      </x:c>
      <x:c r="C94" s="10" t="str">
        <x:v>直播模块</x:v>
      </x:c>
      <x:c r="D94" s="10" t="str">
        <x:v>可见粉丝（主播视角）</x:v>
      </x:c>
      <x:c r="E94" s="10" t="str">
        <x:v>功能需求</x:v>
      </x:c>
      <x:c r="F94" s="10" t="str">
        <x:v>P1</x:v>
      </x:c>
      <x:c r="G94" s="9" t="str">
        <x:v>验证名单只包含有效关注粉丝</x:v>
      </x:c>
      <x:c r="H94" s="9" t="str">
        <x:v>可选粉丝范围</x:v>
      </x:c>
      <x:c r="I94" s="9" t="str">
        <x:v>1. 主播具备开播资格
2. 测试数据：A 仍关注，B 已取消关注</x:v>
      </x:c>
      <x:c r="J94" s="9" t="str">
        <x:v>1. 进入密码房设置
2. 点击粉丝授权开关
3. 点击编辑名单</x:v>
      </x:c>
      <x:c r="K94" s="9" t="str">
        <x:v>可选粉丝列表仅包含仍关注的 A</x:v>
      </x:c>
      <x:c r="L94" s="10" t="str"/>
      <x:c r="M94" s="10" t="str">
        <x:v>未测</x:v>
      </x:c>
      <x:c r="N94" s="10" t="str"/>
      <x:c r="O94" s="9" t="str">
        <x:v>1. 来源（原型批注）：liveshow-proto/prototype/annotations/user.js；位置：visible-fan-select.html 结构化批注
2. 规则：BR-LIVE-GROUP-A6D3E69451
3. 分支：BR-LIVE-GROUP-A6D3E69451-B01
4. 未动态验证</x:v>
      </x:c>
    </x:row>
    <x:row r="95" ht="100" customHeight="1">
      <x:c r="A95" s="10" t="n">
        <x:v>94</x:v>
      </x:c>
      <x:c r="B95" s="10" t="str">
        <x:v>LIVE-0094</x:v>
      </x:c>
      <x:c r="C95" s="10" t="str">
        <x:v>直播模块</x:v>
      </x:c>
      <x:c r="D95" s="10" t="str">
        <x:v>可见粉丝（主播视角）</x:v>
      </x:c>
      <x:c r="E95" s="10" t="str">
        <x:v>逻辑校验</x:v>
      </x:c>
      <x:c r="F95" s="10" t="str">
        <x:v>P1</x:v>
      </x:c>
      <x:c r="G95" s="9" t="str">
        <x:v>验证全选覆盖全部有效粉丝</x:v>
      </x:c>
      <x:c r="H95" s="9" t="str">
        <x:v>全选范围</x:v>
      </x:c>
      <x:c r="I95" s="9" t="str">
        <x:v>1. 主播具备开播资格
2. 当前有 8 名有效关注粉丝
3. 搜索结果仅显示 2 人</x:v>
      </x:c>
      <x:c r="J95" s="9" t="str">
        <x:v>1. 进入可见粉丝选择页
2. 输入昵称筛选
3. 点击全选</x:v>
      </x:c>
      <x:c r="K95" s="9" t="str">
        <x:v>已选数量显示 8</x:v>
      </x:c>
      <x:c r="L95" s="10" t="str"/>
      <x:c r="M95" s="10" t="str">
        <x:v>未测</x:v>
      </x:c>
      <x:c r="N95" s="10" t="str"/>
      <x:c r="O95" s="9" t="str">
        <x:v>1. 来源（原型批注）：liveshow-proto/prototype/annotations/user.js；位置：visible-fan-select.html 结构化批注
2. 规则：BR-LIVE-GROUP-A6D3E69451
3. 分支：BR-LIVE-GROUP-A6D3E69451-B02
4. 未动态验证</x:v>
      </x:c>
    </x:row>
    <x:row r="96" ht="100" customHeight="1">
      <x:c r="A96" s="10" t="n">
        <x:v>95</x:v>
      </x:c>
      <x:c r="B96" s="10" t="str">
        <x:v>LIVE-0095</x:v>
      </x:c>
      <x:c r="C96" s="10" t="str">
        <x:v>直播模块</x:v>
      </x:c>
      <x:c r="D96" s="10" t="str">
        <x:v>可见粉丝（主播视角）</x:v>
      </x:c>
      <x:c r="E96" s="10" t="str">
        <x:v>功能需求</x:v>
      </x:c>
      <x:c r="F96" s="10" t="str">
        <x:v>P1</x:v>
      </x:c>
      <x:c r="G96" s="9" t="str">
        <x:v>验证确认后保存名单</x:v>
      </x:c>
      <x:c r="H96" s="9" t="str">
        <x:v>名单保存</x:v>
      </x:c>
      <x:c r="I96" s="9" t="str">
        <x:v>1. 主播具备开播资格
2. 已勾选粉丝 A、B</x:v>
      </x:c>
      <x:c r="J96" s="9" t="str">
        <x:v>1. 点击确认</x:v>
      </x:c>
      <x:c r="K96" s="9" t="str">
        <x:v>密码房设置显示已选 2 人</x:v>
      </x:c>
      <x:c r="L96" s="10" t="str"/>
      <x:c r="M96" s="10" t="str">
        <x:v>未测</x:v>
      </x:c>
      <x:c r="N96" s="10" t="str"/>
      <x:c r="O96" s="9" t="str">
        <x:v>1. 来源（原型批注）：liveshow-proto/prototype/annotations/user.js；位置：visible-fan-select.html 结构化批注
2. 规则：BR-LIVE-GROUP-A6D3E69451
3. 分支：BR-LIVE-GROUP-A6D3E69451-B03
4. 未动态验证</x:v>
      </x:c>
    </x:row>
    <x:row r="97" ht="100" customHeight="1">
      <x:c r="A97" s="10" t="n">
        <x:v>96</x:v>
      </x:c>
      <x:c r="B97" s="10" t="str">
        <x:v>LIVE-0096</x:v>
      </x:c>
      <x:c r="C97" s="10" t="str">
        <x:v>直播模块</x:v>
      </x:c>
      <x:c r="D97" s="10" t="str">
        <x:v>可见粉丝（主播视角）</x:v>
      </x:c>
      <x:c r="E97" s="10" t="str">
        <x:v>功能需求</x:v>
      </x:c>
      <x:c r="F97" s="10" t="str">
        <x:v>P1</x:v>
      </x:c>
      <x:c r="G97" s="9" t="str">
        <x:v>验证返回不保存名单修改</x:v>
      </x:c>
      <x:c r="H97" s="9" t="str">
        <x:v>名单取消</x:v>
      </x:c>
      <x:c r="I97" s="9" t="str">
        <x:v>1. 主播原名单为粉丝 A
2. 本次取消 A 并勾选 B</x:v>
      </x:c>
      <x:c r="J97" s="9" t="str">
        <x:v>1. 点击返回</x:v>
      </x:c>
      <x:c r="K97" s="9" t="str">
        <x:v>密码房设置仍显示粉丝 A</x:v>
      </x:c>
      <x:c r="L97" s="10" t="str"/>
      <x:c r="M97" s="10" t="str">
        <x:v>未测</x:v>
      </x:c>
      <x:c r="N97" s="10" t="str"/>
      <x:c r="O97" s="9" t="str">
        <x:v>1. 来源（原型批注）：liveshow-proto/prototype/annotations/user.js；位置：visible-fan-select.html 结构化批注
2. 规则：BR-LIVE-GROUP-A6D3E69451
3. 分支：BR-LIVE-GROUP-A6D3E69451-B04
4. 未动态验证</x:v>
      </x:c>
    </x:row>
    <x:row r="98" ht="115" customHeight="1">
      <x:c r="A98" s="10" t="n">
        <x:v>97</x:v>
      </x:c>
      <x:c r="B98" s="10" t="str">
        <x:v>LIVE-0097</x:v>
      </x:c>
      <x:c r="C98" s="10" t="str">
        <x:v>直播模块</x:v>
      </x:c>
      <x:c r="D98" s="10" t="str">
        <x:v>可见粉丝（主播视角）</x:v>
      </x:c>
      <x:c r="E98" s="10" t="str">
        <x:v>逻辑校验</x:v>
      </x:c>
      <x:c r="F98" s="10" t="str">
        <x:v>P1</x:v>
      </x:c>
      <x:c r="G98" s="9" t="str">
        <x:v>验证超过 5 人显示省略标识</x:v>
      </x:c>
      <x:c r="H98" s="9" t="str">
        <x:v>名单头像上限</x:v>
      </x:c>
      <x:c r="I98" s="9" t="str">
        <x:v>1. 主播具备开播资格
2. 已选 6 名有效粉丝</x:v>
      </x:c>
      <x:c r="J98" s="9" t="str">
        <x:v>1. 进入密码房设置
2. 打开粉丝授权名单</x:v>
      </x:c>
      <x:c r="K98" s="9" t="str">
        <x:v>名单区域以 5 个头像后接“...”的形式显示</x:v>
      </x:c>
      <x:c r="L98" s="10" t="str"/>
      <x:c r="M98" s="10" t="str">
        <x:v>未测</x:v>
      </x:c>
      <x:c r="N98" s="10" t="str"/>
      <x:c r="O98" s="9" t="str">
        <x:v>1. 来源（原型批注）：liveshow-proto/prototype/annotations/user.js；位置：views/start-live-settings/room-password.html 结构化批注
2. 规则：BR-LIVE-GROUP-A6D3E69451
3. 分支：BR-LIVE-GROUP-A6D3E69451-B05
4. 未动态验证</x:v>
      </x:c>
    </x:row>
    <x:row r="99" ht="115" customHeight="1">
      <x:c r="A99" s="10" t="n">
        <x:v>98</x:v>
      </x:c>
      <x:c r="B99" s="10" t="str">
        <x:v>LIVE-0098</x:v>
      </x:c>
      <x:c r="C99" s="10" t="str">
        <x:v>直播模块</x:v>
      </x:c>
      <x:c r="D99" s="10" t="str">
        <x:v>可见粉丝（主播视角）</x:v>
      </x:c>
      <x:c r="E99" s="10" t="str">
        <x:v>逻辑校验</x:v>
      </x:c>
      <x:c r="F99" s="10" t="str">
        <x:v>P1</x:v>
      </x:c>
      <x:c r="G99" s="9" t="str">
        <x:v>验证关闭授权保留历史名单</x:v>
      </x:c>
      <x:c r="H99" s="9" t="str">
        <x:v>授权关闭保持</x:v>
      </x:c>
      <x:c r="I99" s="9" t="str">
        <x:v>1. 主播具备开播资格
2. 历史名单包含粉丝 A
3. 粉丝授权已开启</x:v>
      </x:c>
      <x:c r="J99" s="9" t="str">
        <x:v>1. 进入密码房设置
2. 关闭粉丝授权</x:v>
      </x:c>
      <x:c r="K99" s="9" t="str">
        <x:v>历史名单仍包含粉丝 A</x:v>
      </x:c>
      <x:c r="L99" s="10" t="str"/>
      <x:c r="M99" s="10" t="str">
        <x:v>未测</x:v>
      </x:c>
      <x:c r="N99" s="10" t="str"/>
      <x:c r="O99" s="9" t="str">
        <x:v>1. 来源（原型批注）：liveshow-proto/prototype/annotations/user.js；位置：views/start-live-settings/room-password.html 结构化批注
2. 规则：BR-LIVE-GROUP-A6D3E69451
3. 分支：BR-LIVE-GROUP-A6D3E69451-B06
4. 未动态验证</x:v>
      </x:c>
    </x:row>
    <x:row r="100" ht="115" customHeight="1">
      <x:c r="A100" s="10" t="n">
        <x:v>99</x:v>
      </x:c>
      <x:c r="B100" s="10" t="str">
        <x:v>LIVE-0099</x:v>
      </x:c>
      <x:c r="C100" s="10" t="str">
        <x:v>直播模块</x:v>
      </x:c>
      <x:c r="D100" s="10" t="str">
        <x:v>美颜设置（主播视角）</x:v>
      </x:c>
      <x:c r="E100" s="10" t="str">
        <x:v>功能需求</x:v>
      </x:c>
      <x:c r="F100" s="10" t="str">
        <x:v>P1</x:v>
      </x:c>
      <x:c r="G100" s="9" t="str">
        <x:v>验证美颜强度默认值</x:v>
      </x:c>
      <x:c r="H100" s="9" t="str">
        <x:v>美颜默认值</x:v>
      </x:c>
      <x:c r="I100" s="9" t="str">
        <x:v>1. 主播具备开播资格
2. 首次打开本场美颜设置</x:v>
      </x:c>
      <x:c r="J100" s="9" t="str">
        <x:v>1. 进入开播设置
2. 打开美颜</x:v>
      </x:c>
      <x:c r="K100" s="9" t="str">
        <x:v>当前项目强度显示 50</x:v>
      </x:c>
      <x:c r="L100" s="10" t="str"/>
      <x:c r="M100" s="10" t="str">
        <x:v>未测</x:v>
      </x:c>
      <x:c r="N100" s="10" t="str"/>
      <x:c r="O100" s="9" t="str">
        <x:v>1. 来源（原型批注）：liveshow-proto/prototype/annotations/user.js；位置：views/start-live-settings/beauty.html 结构化批注
2. 规则：BR-LIVE-GROUP-8CE5EA3CE6
3. 分支：BR-LIVE-GROUP-8CE5EA3CE6-B01
4. 未动态验证</x:v>
      </x:c>
    </x:row>
    <x:row r="101" ht="115" customHeight="1">
      <x:c r="A101" s="10" t="n">
        <x:v>100</x:v>
      </x:c>
      <x:c r="B101" s="10" t="str">
        <x:v>LIVE-0100</x:v>
      </x:c>
      <x:c r="C101" s="10" t="str">
        <x:v>直播模块</x:v>
      </x:c>
      <x:c r="D101" s="10" t="str">
        <x:v>美颜设置（主播视角）</x:v>
      </x:c>
      <x:c r="E101" s="10" t="str">
        <x:v>功能需求</x:v>
      </x:c>
      <x:c r="F101" s="10" t="str">
        <x:v>P1</x:v>
      </x:c>
      <x:c r="G101" s="9" t="str">
        <x:v>验证美颜和美型参数独立</x:v>
      </x:c>
      <x:c r="H101" s="9" t="str">
        <x:v>模式参数隔离</x:v>
      </x:c>
      <x:c r="I101" s="9" t="str">
        <x:v>1. 主播具备开播资格
2. 美颜强度 30，美型强度 70</x:v>
      </x:c>
      <x:c r="J101" s="9" t="str">
        <x:v>1. 进入开播设置
2. 打开美颜
3. 切换美颜与美型</x:v>
      </x:c>
      <x:c r="K101" s="9" t="str">
        <x:v>美颜强度为 30，美型强度为 70</x:v>
      </x:c>
      <x:c r="L101" s="10" t="str"/>
      <x:c r="M101" s="10" t="str">
        <x:v>未测</x:v>
      </x:c>
      <x:c r="N101" s="10" t="str"/>
      <x:c r="O101" s="9" t="str">
        <x:v>1. 来源（原型批注）：liveshow-proto/prototype/annotations/user.js；位置：views/start-live-settings/beauty.html 结构化批注
2. 规则：BR-LIVE-GROUP-8CE5EA3CE6
3. 分支：BR-LIVE-GROUP-8CE5EA3CE6-B02
4. 未动态验证</x:v>
      </x:c>
    </x:row>
    <x:row r="102" ht="115" customHeight="1">
      <x:c r="A102" s="10" t="n">
        <x:v>101</x:v>
      </x:c>
      <x:c r="B102" s="10" t="str">
        <x:v>LIVE-0101</x:v>
      </x:c>
      <x:c r="C102" s="10" t="str">
        <x:v>直播模块</x:v>
      </x:c>
      <x:c r="D102" s="10" t="str">
        <x:v>美颜设置（主播视角）</x:v>
      </x:c>
      <x:c r="E102" s="10" t="str">
        <x:v>功能需求</x:v>
      </x:c>
      <x:c r="F102" s="10" t="str">
        <x:v>P1</x:v>
      </x:c>
      <x:c r="G102" s="9" t="str">
        <x:v>验证恢复默认重置参数</x:v>
      </x:c>
      <x:c r="H102" s="9" t="str">
        <x:v>恢复默认</x:v>
      </x:c>
      <x:c r="I102" s="9" t="str">
        <x:v>1. 主播具备开播资格
2. 美颜和美型存在非默认参数</x:v>
      </x:c>
      <x:c r="J102" s="9" t="str">
        <x:v>1. 进入开播设置
2. 打开美颜
3. 点击恢复默认</x:v>
      </x:c>
      <x:c r="K102" s="9" t="str">
        <x:v>全部美颜和美型参数重置为 50</x:v>
      </x:c>
      <x:c r="L102" s="10" t="str"/>
      <x:c r="M102" s="10" t="str">
        <x:v>未测</x:v>
      </x:c>
      <x:c r="N102" s="10" t="str"/>
      <x:c r="O102" s="9" t="str">
        <x:v>1. 来源（原型批注）：liveshow-proto/prototype/annotations/user.js；位置：views/start-live-settings/beauty.html 结构化批注
2. 规则：BR-LIVE-GROUP-8CE5EA3CE6
3. 分支：BR-LIVE-GROUP-8CE5EA3CE6-B03
4. 未动态验证</x:v>
      </x:c>
    </x:row>
    <x:row r="103" ht="115" customHeight="1">
      <x:c r="A103" s="10" t="n">
        <x:v>102</x:v>
      </x:c>
      <x:c r="B103" s="10" t="str">
        <x:v>LIVE-0102</x:v>
      </x:c>
      <x:c r="C103" s="10" t="str">
        <x:v>直播模块</x:v>
      </x:c>
      <x:c r="D103" s="10" t="str">
        <x:v>美颜设置（主播视角）</x:v>
      </x:c>
      <x:c r="E103" s="10" t="str">
        <x:v>逻辑校验</x:v>
      </x:c>
      <x:c r="F103" s="10" t="str">
        <x:v>P1</x:v>
      </x:c>
      <x:c r="G103" s="9" t="str">
        <x:v>验证美颜强度最小值</x:v>
      </x:c>
      <x:c r="H103" s="9" t="str">
        <x:v>美颜强度下界</x:v>
      </x:c>
      <x:c r="I103" s="9" t="str">
        <x:v>1. 主播具备开播资格
2. 美颜设置已打开</x:v>
      </x:c>
      <x:c r="J103" s="9" t="str">
        <x:v>1. 选择美颜项目
2. 拖动强度到 0</x:v>
      </x:c>
      <x:c r="K103" s="9" t="str">
        <x:v>当前美颜项目强度显示 0</x:v>
      </x:c>
      <x:c r="L103" s="10" t="str"/>
      <x:c r="M103" s="10" t="str">
        <x:v>未测</x:v>
      </x:c>
      <x:c r="N103" s="10" t="str"/>
      <x:c r="O103" s="9" t="str">
        <x:v>1. 来源（原型批注）：liveshow-proto/prototype/annotations/user.js；位置：views/start-live-settings/beauty.html 结构化批注
2. 规则：BR-LIVE-GROUP-8CE5EA3CE6
3. 分支：BR-LIVE-GROUP-8CE5EA3CE6-B04
4. 未动态验证</x:v>
      </x:c>
    </x:row>
    <x:row r="104" ht="115" customHeight="1">
      <x:c r="A104" s="10" t="n">
        <x:v>103</x:v>
      </x:c>
      <x:c r="B104" s="10" t="str">
        <x:v>LIVE-0103</x:v>
      </x:c>
      <x:c r="C104" s="10" t="str">
        <x:v>直播模块</x:v>
      </x:c>
      <x:c r="D104" s="10" t="str">
        <x:v>美颜设置（主播视角）</x:v>
      </x:c>
      <x:c r="E104" s="10" t="str">
        <x:v>逻辑校验</x:v>
      </x:c>
      <x:c r="F104" s="10" t="str">
        <x:v>P1</x:v>
      </x:c>
      <x:c r="G104" s="9" t="str">
        <x:v>验证美颜强度最大值</x:v>
      </x:c>
      <x:c r="H104" s="9" t="str">
        <x:v>美颜强度上界</x:v>
      </x:c>
      <x:c r="I104" s="9" t="str">
        <x:v>1. 主播具备开播资格
2. 美颜设置已打开</x:v>
      </x:c>
      <x:c r="J104" s="9" t="str">
        <x:v>1. 选择美颜项目
2. 拖动强度到 100</x:v>
      </x:c>
      <x:c r="K104" s="9" t="str">
        <x:v>当前美颜项目强度显示 100</x:v>
      </x:c>
      <x:c r="L104" s="10" t="str"/>
      <x:c r="M104" s="10" t="str">
        <x:v>未测</x:v>
      </x:c>
      <x:c r="N104" s="10" t="str"/>
      <x:c r="O104" s="9" t="str">
        <x:v>1. 来源（原型批注）：liveshow-proto/prototype/annotations/user.js；位置：views/start-live-settings/beauty.html 结构化批注
2. 规则：BR-LIVE-GROUP-8CE5EA3CE6
3. 分支：BR-LIVE-GROUP-8CE5EA3CE6-B05
4. 未动态验证</x:v>
      </x:c>
    </x:row>
    <x:row r="105" ht="100" customHeight="1">
      <x:c r="A105" s="10" t="n">
        <x:v>104</x:v>
      </x:c>
      <x:c r="B105" s="10" t="str">
        <x:v>LIVE-0104</x:v>
      </x:c>
      <x:c r="C105" s="10" t="str">
        <x:v>直播模块</x:v>
      </x:c>
      <x:c r="D105" s="10" t="str">
        <x:v>主播直播间（主播视角）</x:v>
      </x:c>
      <x:c r="E105" s="10" t="str">
        <x:v>功能需求</x:v>
      </x:c>
      <x:c r="F105" s="10" t="str">
        <x:v>P1</x:v>
      </x:c>
      <x:c r="G105" s="9" t="str">
        <x:v>验证直播间现场数据展示</x:v>
      </x:c>
      <x:c r="H105" s="9" t="str">
        <x:v>现场数据</x:v>
      </x:c>
      <x:c r="I105" s="9" t="str">
        <x:v>1. 主播正在直播
2. 本场已有观众和礼物数据</x:v>
      </x:c>
      <x:c r="J105" s="9" t="str">
        <x:v>1. 进入主播直播间
2. 查看顶部数据</x:v>
      </x:c>
      <x:c r="K105" s="9" t="str">
        <x:v>页面数据包含本场在线人数和本场贡献</x:v>
      </x:c>
      <x:c r="L105" s="10" t="str"/>
      <x:c r="M105" s="10" t="str">
        <x:v>未测</x:v>
      </x:c>
      <x:c r="N105" s="10" t="str"/>
      <x:c r="O105" s="9" t="str">
        <x:v>1. 来源（原型批注）：liveshow-proto/prototype/annotations/user.js；位置：live-room-host.html 结构化批注
2. 规则：BR-LIVE-GROUP-E9F8A419C6
3. 分支：BR-LIVE-GROUP-E9F8A419C6-B01
4. 未动态验证</x:v>
      </x:c>
    </x:row>
    <x:row r="106" ht="115" customHeight="1">
      <x:c r="A106" s="10" t="n">
        <x:v>105</x:v>
      </x:c>
      <x:c r="B106" s="10" t="str">
        <x:v>LIVE-0105</x:v>
      </x:c>
      <x:c r="C106" s="10" t="str">
        <x:v>直播模块</x:v>
      </x:c>
      <x:c r="D106" s="10" t="str">
        <x:v>观众管理（主播视角）</x:v>
      </x:c>
      <x:c r="E106" s="10" t="str">
        <x:v>功能需求</x:v>
      </x:c>
      <x:c r="F106" s="10" t="str">
        <x:v>P1</x:v>
      </x:c>
      <x:c r="G106" s="9" t="str">
        <x:v>验证在线观众离开后移出列表</x:v>
      </x:c>
      <x:c r="H106" s="9" t="str">
        <x:v>离线移除</x:v>
      </x:c>
      <x:c r="I106" s="9" t="str">
        <x:v>1. 主播正在直播
2. 观众 A 当前在线</x:v>
      </x:c>
      <x:c r="J106" s="9" t="str">
        <x:v>1. 打开观众列表
2. 接收观众 A 离开事件</x:v>
      </x:c>
      <x:c r="K106" s="9" t="str">
        <x:v>观众列表不再显示 A</x:v>
      </x:c>
      <x:c r="L106" s="10" t="str"/>
      <x:c r="M106" s="10" t="str">
        <x:v>未测</x:v>
      </x:c>
      <x:c r="N106" s="10" t="str"/>
      <x:c r="O106" s="9" t="str">
        <x:v>1. 来源（原型批注）：liveshow-proto/prototype/annotations/user.js；位置：views/live-room-host/audience-viewers.html 结构化批注
2. 规则：BR-LIVE-GROUP-3639D1165C
3. 分支：BR-LIVE-GROUP-3639D1165C-B01
4. 未动态验证</x:v>
      </x:c>
    </x:row>
    <x:row r="107" ht="115" customHeight="1">
      <x:c r="A107" s="10" t="n">
        <x:v>106</x:v>
      </x:c>
      <x:c r="B107" s="10" t="str">
        <x:v>LIVE-0106</x:v>
      </x:c>
      <x:c r="C107" s="10" t="str">
        <x:v>直播模块</x:v>
      </x:c>
      <x:c r="D107" s="10" t="str">
        <x:v>观众管理（主播视角）</x:v>
      </x:c>
      <x:c r="E107" s="10" t="str">
        <x:v>功能需求</x:v>
      </x:c>
      <x:c r="F107" s="10" t="str">
        <x:v>P1</x:v>
      </x:c>
      <x:c r="G107" s="9" t="str">
        <x:v>验证离线观众仍保留贡献排名</x:v>
      </x:c>
      <x:c r="H107" s="9" t="str">
        <x:v>离线贡献</x:v>
      </x:c>
      <x:c r="I107" s="9" t="str">
        <x:v>1. 主播正在直播
2. 观众 A 已贡献 100 并离线</x:v>
      </x:c>
      <x:c r="J107" s="9" t="str">
        <x:v>1. 打开本场贡献榜</x:v>
      </x:c>
      <x:c r="K107" s="9" t="str">
        <x:v>贡献榜仍显示观众 A 的 100 贡献值</x:v>
      </x:c>
      <x:c r="L107" s="10" t="str"/>
      <x:c r="M107" s="10" t="str">
        <x:v>未测</x:v>
      </x:c>
      <x:c r="N107" s="10" t="str"/>
      <x:c r="O107" s="9" t="str">
        <x:v>1. 来源（原型批注）：liveshow-proto/prototype/annotations/user.js；位置：views/live-room-host/contribution-rank.html 结构化批注
2. 规则：BR-LIVE-GROUP-3639D1165C
3. 分支：BR-LIVE-GROUP-3639D1165C-B02
4. 未动态验证</x:v>
      </x:c>
    </x:row>
    <x:row r="108" ht="115" customHeight="1">
      <x:c r="A108" s="10" t="n">
        <x:v>107</x:v>
      </x:c>
      <x:c r="B108" s="10" t="str">
        <x:v>LIVE-0107</x:v>
      </x:c>
      <x:c r="C108" s="10" t="str">
        <x:v>直播模块</x:v>
      </x:c>
      <x:c r="D108" s="10" t="str">
        <x:v>观众管理（主播视角）</x:v>
      </x:c>
      <x:c r="E108" s="10" t="str">
        <x:v>逻辑校验</x:v>
      </x:c>
      <x:c r="F108" s="10" t="str">
        <x:v>P1</x:v>
      </x:c>
      <x:c r="G108" s="9" t="str">
        <x:v>验证按贡献切换后立即重排</x:v>
      </x:c>
      <x:c r="H108" s="9" t="str">
        <x:v>观众贡献排序</x:v>
      </x:c>
      <x:c r="I108" s="9" t="str">
        <x:v>1. 主播正在直播
2. 多名在线观众贡献值不同</x:v>
      </x:c>
      <x:c r="J108" s="9" t="str">
        <x:v>1. 打开观众列表
2. 切换至按贡献</x:v>
      </x:c>
      <x:c r="K108" s="9" t="str">
        <x:v>在线观众按本场贡献值从高到低排列</x:v>
      </x:c>
      <x:c r="L108" s="10" t="str"/>
      <x:c r="M108" s="10" t="str">
        <x:v>未测</x:v>
      </x:c>
      <x:c r="N108" s="10" t="str"/>
      <x:c r="O108" s="9" t="str">
        <x:v>1. 来源（原型批注）：liveshow-proto/prototype/annotations/user.js；位置：views/live-room-host/audience-viewers.html 结构化批注
2. 规则：BR-LIVE-GROUP-3639D1165C
3. 分支：BR-LIVE-GROUP-3639D1165C-B03
4. 未动态验证</x:v>
      </x:c>
    </x:row>
    <x:row r="109" ht="115" customHeight="1">
      <x:c r="A109" s="10" t="n">
        <x:v>108</x:v>
      </x:c>
      <x:c r="B109" s="10" t="str">
        <x:v>LIVE-0108</x:v>
      </x:c>
      <x:c r="C109" s="10" t="str">
        <x:v>直播模块</x:v>
      </x:c>
      <x:c r="D109" s="10" t="str">
        <x:v>观众管理（主播视角）</x:v>
      </x:c>
      <x:c r="E109" s="10" t="str">
        <x:v>逻辑校验</x:v>
      </x:c>
      <x:c r="F109" s="10" t="str">
        <x:v>P1</x:v>
      </x:c>
      <x:c r="G109" s="9" t="str">
        <x:v>验证按停留时长切换后立即重排</x:v>
      </x:c>
      <x:c r="H109" s="9" t="str">
        <x:v>观众停留排序</x:v>
      </x:c>
      <x:c r="I109" s="9" t="str">
        <x:v>1. 主播正在直播
2. 多名在线观众停留时长不同</x:v>
      </x:c>
      <x:c r="J109" s="9" t="str">
        <x:v>1. 打开观众列表
2. 切换至按停留时长</x:v>
      </x:c>
      <x:c r="K109" s="9" t="str">
        <x:v>在线观众按本场累计停留时长从高到低排列</x:v>
      </x:c>
      <x:c r="L109" s="10" t="str"/>
      <x:c r="M109" s="10" t="str">
        <x:v>未测</x:v>
      </x:c>
      <x:c r="N109" s="10" t="str"/>
      <x:c r="O109" s="9" t="str">
        <x:v>1. 来源（原型批注）：liveshow-proto/prototype/annotations/user.js；位置：views/live-room-host/audience-viewers.html 结构化批注
2. 规则：BR-LIVE-GROUP-3639D1165C
3. 分支：BR-LIVE-GROUP-3639D1165C-B04
4. 未动态验证</x:v>
      </x:c>
    </x:row>
    <x:row r="110" ht="100" customHeight="1">
      <x:c r="A110" s="10" t="n">
        <x:v>109</x:v>
      </x:c>
      <x:c r="B110" s="10" t="str">
        <x:v>LIVE-0109</x:v>
      </x:c>
      <x:c r="C110" s="10" t="str">
        <x:v>直播模块</x:v>
      </x:c>
      <x:c r="D110" s="10" t="str">
        <x:v>房管管理（主播视角）</x:v>
      </x:c>
      <x:c r="E110" s="10" t="str">
        <x:v>功能需求</x:v>
      </x:c>
      <x:c r="F110" s="10" t="str">
        <x:v>P1</x:v>
      </x:c>
      <x:c r="G110" s="9" t="str">
        <x:v>验证按用户 ID 添加房管</x:v>
      </x:c>
      <x:c r="H110" s="9" t="str">
        <x:v>新增房管</x:v>
      </x:c>
      <x:c r="I110" s="9" t="str">
        <x:v>1. 主播具备房管管理权限
2. 目标用户未被拉黑且当前不是房管
3. 当前房管 2 人
4. 测试数据：目标用户 ID 88231007</x:v>
      </x:c>
      <x:c r="J110" s="9" t="str">
        <x:v>1. 进入房管管理
2. 输入用户 ID 88231007
3. 点击添加
4. 确认添加</x:v>
      </x:c>
      <x:c r="K110" s="9" t="str">
        <x:v>房管列表新增用户 88231007</x:v>
      </x:c>
      <x:c r="L110" s="10" t="str"/>
      <x:c r="M110" s="10" t="str">
        <x:v>未测</x:v>
      </x:c>
      <x:c r="N110" s="10" t="str"/>
      <x:c r="O110" s="9" t="str">
        <x:v>1. 来源（原型批注）：liveshow-proto/prototype/annotations/user.js；位置：moderator-management.html 结构化批注
2. 规则：BR-LIVE-GROUP-A244B72DD2
3. 分支：BR-LIVE-GROUP-A244B72DD2-B01
4. 未动态验证</x:v>
      </x:c>
    </x:row>
    <x:row r="111" ht="100" customHeight="1">
      <x:c r="A111" s="10" t="n">
        <x:v>110</x:v>
      </x:c>
      <x:c r="B111" s="10" t="str">
        <x:v>LIVE-0110</x:v>
      </x:c>
      <x:c r="C111" s="10" t="str">
        <x:v>直播模块</x:v>
      </x:c>
      <x:c r="D111" s="10" t="str">
        <x:v>房管管理（主播视角）</x:v>
      </x:c>
      <x:c r="E111" s="10" t="str">
        <x:v>异常用例</x:v>
      </x:c>
      <x:c r="F111" s="10" t="str">
        <x:v>P0</x:v>
      </x:c>
      <x:c r="G111" s="9" t="str">
        <x:v>验证房管最多 3 人</x:v>
      </x:c>
      <x:c r="H111" s="9" t="str">
        <x:v>房管上限</x:v>
      </x:c>
      <x:c r="I111" s="9" t="str">
        <x:v>1. 主播具备房管管理权限
2. 当前已有 3 名房管</x:v>
      </x:c>
      <x:c r="J111" s="9" t="str">
        <x:v>1. 进入房管管理
2. 点击添加房管</x:v>
      </x:c>
      <x:c r="K111" s="9" t="str">
        <x:v>页面提示“已达3人上限”</x:v>
      </x:c>
      <x:c r="L111" s="10" t="str"/>
      <x:c r="M111" s="10" t="str">
        <x:v>未测</x:v>
      </x:c>
      <x:c r="N111" s="10" t="str"/>
      <x:c r="O111" s="9" t="str">
        <x:v>1. 来源（原型批注）：liveshow-proto/prototype/annotations/user.js；位置：moderator-management.html 结构化批注
2. 规则：BR-LIVE-GROUP-A244B72DD2
3. 分支：BR-LIVE-GROUP-A244B72DD2-B02
4. 未动态验证</x:v>
      </x:c>
    </x:row>
    <x:row r="112" ht="100" customHeight="1">
      <x:c r="A112" s="10" t="n">
        <x:v>111</x:v>
      </x:c>
      <x:c r="B112" s="10" t="str">
        <x:v>LIVE-0111</x:v>
      </x:c>
      <x:c r="C112" s="10" t="str">
        <x:v>直播模块</x:v>
      </x:c>
      <x:c r="D112" s="10" t="str">
        <x:v>房管管理（主播视角）</x:v>
      </x:c>
      <x:c r="E112" s="10" t="str">
        <x:v>异常用例</x:v>
      </x:c>
      <x:c r="F112" s="10" t="str">
        <x:v>P1</x:v>
      </x:c>
      <x:c r="G112" s="9" t="str">
        <x:v>验证拉黑用户不进入搜索结果</x:v>
      </x:c>
      <x:c r="H112" s="9" t="str">
        <x:v>房管候选限制</x:v>
      </x:c>
      <x:c r="I112" s="9" t="str">
        <x:v>1. 主播具备房管管理权限
2. 目标用户在主播直播间黑名单内
3. 测试数据：目标用户 ID 88231007</x:v>
      </x:c>
      <x:c r="J112" s="9" t="str">
        <x:v>1. 进入房管管理
2. 输入用户 ID 88231007
3. 点击搜索</x:v>
      </x:c>
      <x:c r="K112" s="9" t="str">
        <x:v>搜索结果不显示用户 88231007</x:v>
      </x:c>
      <x:c r="L112" s="10" t="str"/>
      <x:c r="M112" s="10" t="str">
        <x:v>未测</x:v>
      </x:c>
      <x:c r="N112" s="10" t="str"/>
      <x:c r="O112" s="9" t="str">
        <x:v>1. 来源（原型批注）：liveshow-proto/prototype/annotations/user.js；位置：moderator-management.html 结构化批注
2. 规则：BR-LIVE-GROUP-A244B72DD2
3. 分支：BR-LIVE-GROUP-A244B72DD2-B03
4. 未动态验证</x:v>
      </x:c>
    </x:row>
    <x:row r="113" ht="100" customHeight="1">
      <x:c r="A113" s="10" t="n">
        <x:v>112</x:v>
      </x:c>
      <x:c r="B113" s="10" t="str">
        <x:v>LIVE-0112</x:v>
      </x:c>
      <x:c r="C113" s="10" t="str">
        <x:v>直播模块</x:v>
      </x:c>
      <x:c r="D113" s="10" t="str">
        <x:v>房管管理（主播视角）</x:v>
      </x:c>
      <x:c r="E113" s="10" t="str">
        <x:v>功能需求</x:v>
      </x:c>
      <x:c r="F113" s="10" t="str">
        <x:v>P1</x:v>
      </x:c>
      <x:c r="G113" s="9" t="str">
        <x:v>验证建立拉黑关系自动解除房管</x:v>
      </x:c>
      <x:c r="H113" s="9" t="str">
        <x:v>拉黑解除授权</x:v>
      </x:c>
      <x:c r="I113" s="9" t="str">
        <x:v>1. 主播已授权用户 A 为房管</x:v>
      </x:c>
      <x:c r="J113" s="9" t="str">
        <x:v>1. 更新与用户 A 的关系为互相拉黑
2. 进入房管管理</x:v>
      </x:c>
      <x:c r="K113" s="9" t="str">
        <x:v>房管列表不再显示用户 A</x:v>
      </x:c>
      <x:c r="L113" s="10" t="str"/>
      <x:c r="M113" s="10" t="str">
        <x:v>未测</x:v>
      </x:c>
      <x:c r="N113" s="10" t="str"/>
      <x:c r="O113" s="9" t="str">
        <x:v>1. 来源（原型批注）：liveshow-proto/prototype/annotations/user.js；位置：moderator-management.html 结构化批注
2. 规则：BR-LIVE-GROUP-A244B72DD2
3. 分支：BR-LIVE-GROUP-A244B72DD2-B04
4. 未动态验证</x:v>
      </x:c>
    </x:row>
    <x:row r="114" ht="100" customHeight="1">
      <x:c r="A114" s="10" t="n">
        <x:v>113</x:v>
      </x:c>
      <x:c r="B114" s="10" t="str">
        <x:v>LIVE-0113</x:v>
      </x:c>
      <x:c r="C114" s="10" t="str">
        <x:v>直播模块</x:v>
      </x:c>
      <x:c r="D114" s="10" t="str">
        <x:v>房管管理（主播视角）</x:v>
      </x:c>
      <x:c r="E114" s="10" t="str">
        <x:v>功能需求</x:v>
      </x:c>
      <x:c r="F114" s="10" t="str">
        <x:v>P1</x:v>
      </x:c>
      <x:c r="G114" s="9" t="str">
        <x:v>验证取消拉黑不恢复房管</x:v>
      </x:c>
      <x:c r="H114" s="9" t="str">
        <x:v>授权不自动恢复</x:v>
      </x:c>
      <x:c r="I114" s="9" t="str">
        <x:v>1. 用户 A 的房管身份已因拉黑解除</x:v>
      </x:c>
      <x:c r="J114" s="9" t="str">
        <x:v>1. 取消与用户 A 的拉黑关系
2. 进入房管管理</x:v>
      </x:c>
      <x:c r="K114" s="9" t="str">
        <x:v>用户 A 仍不是房管</x:v>
      </x:c>
      <x:c r="L114" s="10" t="str"/>
      <x:c r="M114" s="10" t="str">
        <x:v>未测</x:v>
      </x:c>
      <x:c r="N114" s="10" t="str"/>
      <x:c r="O114" s="9" t="str">
        <x:v>1. 来源（原型批注）：liveshow-proto/prototype/annotations/user.js；位置：moderator-management.html 结构化批注
2. 规则：BR-LIVE-GROUP-A244B72DD2
3. 分支：BR-LIVE-GROUP-A244B72DD2-B05
4. 未动态验证</x:v>
      </x:c>
    </x:row>
    <x:row r="115" ht="115" customHeight="1">
      <x:c r="A115" s="10" t="n">
        <x:v>114</x:v>
      </x:c>
      <x:c r="B115" s="10" t="str">
        <x:v>LIVE-0114</x:v>
      </x:c>
      <x:c r="C115" s="10" t="str">
        <x:v>直播模块</x:v>
      </x:c>
      <x:c r="D115" s="10" t="str">
        <x:v>房管管理（主播视角）</x:v>
      </x:c>
      <x:c r="E115" s="10" t="str">
        <x:v>功能需求</x:v>
      </x:c>
      <x:c r="F115" s="10" t="str">
        <x:v>P1</x:v>
      </x:c>
      <x:c r="G115" s="9" t="str">
        <x:v>验证取消房管立即撤权</x:v>
      </x:c>
      <x:c r="H115" s="9" t="str">
        <x:v>取消房管</x:v>
      </x:c>
      <x:c r="I115" s="9" t="str">
        <x:v>1. 主播已授权用户 A 为房管</x:v>
      </x:c>
      <x:c r="J115" s="9" t="str">
        <x:v>1. 进入房管管理
2. 点击用户 A 的取消房管
3. 确认取消</x:v>
      </x:c>
      <x:c r="K115" s="9" t="str">
        <x:v>用户 A 的房管管理权限立即失效</x:v>
      </x:c>
      <x:c r="L115" s="10" t="str"/>
      <x:c r="M115" s="10" t="str">
        <x:v>未测</x:v>
      </x:c>
      <x:c r="N115" s="10" t="str"/>
      <x:c r="O115" s="9" t="str">
        <x:v>1. 来源（原型批注）：liveshow-proto/prototype/annotations/user.js；位置：views/live-room/audience-managers.html 结构化批注
2. 规则：BR-LIVE-GROUP-A244B72DD2
3. 分支：BR-LIVE-GROUP-A244B72DD2-B06
4. 未动态验证</x:v>
      </x:c>
    </x:row>
    <x:row r="116" ht="115" customHeight="1">
      <x:c r="A116" s="10" t="n">
        <x:v>115</x:v>
      </x:c>
      <x:c r="B116" s="10" t="str">
        <x:v>LIVE-0115</x:v>
      </x:c>
      <x:c r="C116" s="10" t="str">
        <x:v>直播模块</x:v>
      </x:c>
      <x:c r="D116" s="10" t="str">
        <x:v>房管管理（主播视角）</x:v>
      </x:c>
      <x:c r="E116" s="10" t="str">
        <x:v>功能需求</x:v>
      </x:c>
      <x:c r="F116" s="10" t="str">
        <x:v>P1</x:v>
      </x:c>
      <x:c r="G116" s="9" t="str">
        <x:v>验证房管授权跨场次保留</x:v>
      </x:c>
      <x:c r="H116" s="9" t="str">
        <x:v>长期授权</x:v>
      </x:c>
      <x:c r="I116" s="9" t="str">
        <x:v>1. 主播已授权用户 A 为房管
2. 上一场直播已结束</x:v>
      </x:c>
      <x:c r="J116" s="9" t="str">
        <x:v>1. 点击开始直播创建新的直播场次
2. 打开房管列表</x:v>
      </x:c>
      <x:c r="K116" s="9" t="str">
        <x:v>房管列表仍显示用户 A</x:v>
      </x:c>
      <x:c r="L116" s="10" t="str"/>
      <x:c r="M116" s="10" t="str">
        <x:v>未测</x:v>
      </x:c>
      <x:c r="N116" s="10" t="str"/>
      <x:c r="O116" s="9" t="str">
        <x:v>1. 来源（原型批注）：liveshow-proto/prototype/annotations/user.js；位置：views/live-room/audience-managers.html 结构化批注
2. 规则：BR-LIVE-GROUP-A244B72DD2
3. 分支：BR-LIVE-GROUP-A244B72DD2-B07
4. 未动态验证</x:v>
      </x:c>
    </x:row>
    <x:row r="117" ht="115" customHeight="1">
      <x:c r="A117" s="10" t="n">
        <x:v>116</x:v>
      </x:c>
      <x:c r="B117" s="10" t="str">
        <x:v>LIVE-0116</x:v>
      </x:c>
      <x:c r="C117" s="10" t="str">
        <x:v>直播模块</x:v>
      </x:c>
      <x:c r="D117" s="10" t="str">
        <x:v>观众处置（房管视角）</x:v>
      </x:c>
      <x:c r="E117" s="10" t="str">
        <x:v>业务流程</x:v>
      </x:c>
      <x:c r="F117" s="10" t="str">
        <x:v>P0</x:v>
      </x:c>
      <x:c r="G117" s="9" t="str">
        <x:v>验证房管可禁言普通观众</x:v>
      </x:c>
      <x:c r="H117" s="9" t="str">
        <x:v>房管禁言</x:v>
      </x:c>
      <x:c r="I117" s="9" t="str">
        <x:v>1. 房管已进入当前主播直播间
2. 目标观众 A 本场未禁言</x:v>
      </x:c>
      <x:c r="J117" s="9" t="str">
        <x:v>1. 点击观众 A
2. 选择禁言
3. 确认禁言</x:v>
      </x:c>
      <x:c r="K117" s="9" t="str">
        <x:v>观众 A 的公屏输入不可提交</x:v>
      </x:c>
      <x:c r="L117" s="10" t="str">
        <x:v>FLOW-LIVE-MODERATION</x:v>
      </x:c>
      <x:c r="M117" s="10" t="str">
        <x:v>未测</x:v>
      </x:c>
      <x:c r="N117" s="10" t="str"/>
      <x:c r="O117" s="9" t="str">
        <x:v>1. 来源（原型批注）：liveshow-proto/prototype/annotations/user.js；位置：views/live-room/profile-moderator-mute.html 结构化批注
2. 规则：BR-LIVE-GROUP-F81104CA42
3. 分支：BR-LIVE-GROUP-F81104CA42-B01
4. 未动态验证</x:v>
      </x:c>
    </x:row>
    <x:row r="118" ht="115" customHeight="1">
      <x:c r="A118" s="10" t="n">
        <x:v>117</x:v>
      </x:c>
      <x:c r="B118" s="10" t="str">
        <x:v>LIVE-0117</x:v>
      </x:c>
      <x:c r="C118" s="10" t="str">
        <x:v>直播模块</x:v>
      </x:c>
      <x:c r="D118" s="10" t="str">
        <x:v>观众处置（房管视角）</x:v>
      </x:c>
      <x:c r="E118" s="10" t="str">
        <x:v>异常用例</x:v>
      </x:c>
      <x:c r="F118" s="10" t="str">
        <x:v>P1</x:v>
      </x:c>
      <x:c r="G118" s="9" t="str">
        <x:v>验证房管不能处置主播</x:v>
      </x:c>
      <x:c r="H118" s="9" t="str">
        <x:v>主播保护</x:v>
      </x:c>
      <x:c r="I118" s="9" t="str">
        <x:v>1. 房管已进入当前主播直播间</x:v>
      </x:c>
      <x:c r="J118" s="9" t="str">
        <x:v>1. 点击主播资料</x:v>
      </x:c>
      <x:c r="K118" s="9" t="str">
        <x:v>资料卡的观众处置操作为空</x:v>
      </x:c>
      <x:c r="L118" s="10" t="str"/>
      <x:c r="M118" s="10" t="str">
        <x:v>未测</x:v>
      </x:c>
      <x:c r="N118" s="10" t="str"/>
      <x:c r="O118" s="9" t="str">
        <x:v>1. 来源（原型批注）：liveshow-proto/prototype/annotations/user.js；位置：views/live-room/profile-moderator.html 结构化批注
2. 规则：BR-LIVE-GROUP-F81104CA42
3. 分支：BR-LIVE-GROUP-F81104CA42-B02
4. 未动态验证</x:v>
      </x:c>
    </x:row>
    <x:row r="119" ht="115" customHeight="1">
      <x:c r="A119" s="10" t="n">
        <x:v>118</x:v>
      </x:c>
      <x:c r="B119" s="10" t="str">
        <x:v>LIVE-0118</x:v>
      </x:c>
      <x:c r="C119" s="10" t="str">
        <x:v>直播模块</x:v>
      </x:c>
      <x:c r="D119" s="10" t="str">
        <x:v>观众处置（房管视角）</x:v>
      </x:c>
      <x:c r="E119" s="10" t="str">
        <x:v>异常用例</x:v>
      </x:c>
      <x:c r="F119" s="10" t="str">
        <x:v>P0</x:v>
      </x:c>
      <x:c r="G119" s="9" t="str">
        <x:v>验证巡房人员不可被踢出</x:v>
      </x:c>
      <x:c r="H119" s="9" t="str">
        <x:v>巡房保护</x:v>
      </x:c>
      <x:c r="I119" s="9" t="str">
        <x:v>1. 房管已进入直播间
2. 巡房人员 A 处于有效巡房会话</x:v>
      </x:c>
      <x:c r="J119" s="9" t="str">
        <x:v>1. 点击巡房人员 A</x:v>
      </x:c>
      <x:c r="K119" s="9" t="str">
        <x:v>资料卡不显示踢出操作</x:v>
      </x:c>
      <x:c r="L119" s="10" t="str">
        <x:v>FLOW-LIVE-PATROL</x:v>
      </x:c>
      <x:c r="M119" s="10" t="str">
        <x:v>未测</x:v>
      </x:c>
      <x:c r="N119" s="10" t="str"/>
      <x:c r="O119" s="9" t="str">
        <x:v>1. 来源（原型批注）：liveshow-proto/prototype/annotations/user.js；位置：views/live-room/profile-moderator.html 结构化批注
2. 规则：BR-LIVE-GROUP-F81104CA42
3. 分支：BR-LIVE-GROUP-F81104CA42-B03
4. 未动态验证</x:v>
      </x:c>
    </x:row>
    <x:row r="120" ht="115" customHeight="1">
      <x:c r="A120" s="10" t="n">
        <x:v>119</x:v>
      </x:c>
      <x:c r="B120" s="10" t="str">
        <x:v>LIVE-0119</x:v>
      </x:c>
      <x:c r="C120" s="10" t="str">
        <x:v>直播模块</x:v>
      </x:c>
      <x:c r="D120" s="10" t="str">
        <x:v>观众处置（主播视角）</x:v>
      </x:c>
      <x:c r="E120" s="10" t="str">
        <x:v>业务流程</x:v>
      </x:c>
      <x:c r="F120" s="10" t="str">
        <x:v>P0</x:v>
      </x:c>
      <x:c r="G120" s="9" t="str">
        <x:v>验证确认禁言后限制发言</x:v>
      </x:c>
      <x:c r="H120" s="9" t="str">
        <x:v>主播禁言</x:v>
      </x:c>
      <x:c r="I120" s="9" t="str">
        <x:v>1. 主播正在直播
2. 观众 A 本场未禁言</x:v>
      </x:c>
      <x:c r="J120" s="9" t="str">
        <x:v>1. 点击观众 A
2. 选择禁言
3. 确认禁言</x:v>
      </x:c>
      <x:c r="K120" s="9" t="str">
        <x:v>观众 A 的公屏输入不可提交</x:v>
      </x:c>
      <x:c r="L120" s="10" t="str">
        <x:v>FLOW-LIVE-MODERATION</x:v>
      </x:c>
      <x:c r="M120" s="10" t="str">
        <x:v>未测</x:v>
      </x:c>
      <x:c r="N120" s="10" t="str"/>
      <x:c r="O120" s="9" t="str">
        <x:v>1. 来源（原型批注）：liveshow-proto/prototype/annotations/user.js；位置：views/live-room-host/profile-host.html 结构化批注
2. 规则：BR-LIVE-GROUP-F81104CA42
3. 分支：BR-LIVE-GROUP-F81104CA42-B04
4. 未动态验证</x:v>
      </x:c>
    </x:row>
    <x:row r="121" ht="115" customHeight="1">
      <x:c r="A121" s="10" t="n">
        <x:v>120</x:v>
      </x:c>
      <x:c r="B121" s="10" t="str">
        <x:v>LIVE-0120</x:v>
      </x:c>
      <x:c r="C121" s="10" t="str">
        <x:v>直播模块</x:v>
      </x:c>
      <x:c r="D121" s="10" t="str">
        <x:v>观众处置（主播视角）</x:v>
      </x:c>
      <x:c r="E121" s="10" t="str">
        <x:v>功能需求</x:v>
      </x:c>
      <x:c r="F121" s="10" t="str">
        <x:v>P1</x:v>
      </x:c>
      <x:c r="G121" s="9" t="str">
        <x:v>验证取消禁言不改变状态</x:v>
      </x:c>
      <x:c r="H121" s="9" t="str">
        <x:v>禁言取消</x:v>
      </x:c>
      <x:c r="I121" s="9" t="str">
        <x:v>1. 主播正在直播
2. 观众 A 本场未禁言</x:v>
      </x:c>
      <x:c r="J121" s="9" t="str">
        <x:v>1. 点击观众 A
2. 选择禁言
3. 点击取消</x:v>
      </x:c>
      <x:c r="K121" s="9" t="str">
        <x:v>观众 A 仍可发送公屏消息</x:v>
      </x:c>
      <x:c r="L121" s="10" t="str"/>
      <x:c r="M121" s="10" t="str">
        <x:v>未测</x:v>
      </x:c>
      <x:c r="N121" s="10" t="str"/>
      <x:c r="O121" s="9" t="str">
        <x:v>1. 来源（原型批注）：liveshow-proto/prototype/annotations/user.js；位置：views/live-room/profile-moderator-mute.html 结构化批注
2. 规则：BR-LIVE-GROUP-F81104CA42
3. 分支：BR-LIVE-GROUP-F81104CA42-B05
4. 未动态验证</x:v>
      </x:c>
    </x:row>
    <x:row r="122" ht="115" customHeight="1">
      <x:c r="A122" s="10" t="n">
        <x:v>121</x:v>
      </x:c>
      <x:c r="B122" s="10" t="str">
        <x:v>LIVE-0121</x:v>
      </x:c>
      <x:c r="C122" s="10" t="str">
        <x:v>直播模块</x:v>
      </x:c>
      <x:c r="D122" s="10" t="str">
        <x:v>观众处置（主播视角）</x:v>
      </x:c>
      <x:c r="E122" s="10" t="str">
        <x:v>功能需求</x:v>
      </x:c>
      <x:c r="F122" s="10" t="str">
        <x:v>P1</x:v>
      </x:c>
      <x:c r="G122" s="9" t="str">
        <x:v>验证恢复发言同步移出禁言列表</x:v>
      </x:c>
      <x:c r="H122" s="9" t="str">
        <x:v>恢复发言同步</x:v>
      </x:c>
      <x:c r="I122" s="9" t="str">
        <x:v>1. 主播正在直播
2. 观众 A 处于本场禁言状态</x:v>
      </x:c>
      <x:c r="J122" s="9" t="str">
        <x:v>1. 打开禁用用户
2. 点击观众 A 的恢复发言
3. 点击确认</x:v>
      </x:c>
      <x:c r="K122" s="9" t="str">
        <x:v>禁言列表不再显示观众 A</x:v>
      </x:c>
      <x:c r="L122" s="10" t="str"/>
      <x:c r="M122" s="10" t="str">
        <x:v>未测</x:v>
      </x:c>
      <x:c r="N122" s="10" t="str"/>
      <x:c r="O122" s="9" t="str">
        <x:v>1. 来源（原型批注）：liveshow-proto/prototype/annotations/user.js；位置：views/live-room-host/muted-users.html 结构化批注
2. 规则：BR-LIVE-GROUP-F81104CA42
3. 分支：BR-LIVE-GROUP-F81104CA42-B06
4. 未动态验证</x:v>
      </x:c>
    </x:row>
    <x:row r="123" ht="115" customHeight="1">
      <x:c r="A123" s="10" t="n">
        <x:v>122</x:v>
      </x:c>
      <x:c r="B123" s="10" t="str">
        <x:v>LIVE-0122</x:v>
      </x:c>
      <x:c r="C123" s="10" t="str">
        <x:v>直播模块</x:v>
      </x:c>
      <x:c r="D123" s="10" t="str">
        <x:v>观众处置（主播视角）</x:v>
      </x:c>
      <x:c r="E123" s="10" t="str">
        <x:v>业务流程</x:v>
      </x:c>
      <x:c r="F123" s="10" t="str">
        <x:v>P0</x:v>
      </x:c>
      <x:c r="G123" s="9" t="str">
        <x:v>验证踢出后用户立即离开</x:v>
      </x:c>
      <x:c r="H123" s="9" t="str">
        <x:v>本场踢出</x:v>
      </x:c>
      <x:c r="I123" s="9" t="str">
        <x:v>1. 主播正在直播
2. 观众 A 当前在线</x:v>
      </x:c>
      <x:c r="J123" s="9" t="str">
        <x:v>1. 点击观众 A
2. 选择踢出直播间
3. 确认踢出</x:v>
      </x:c>
      <x:c r="K123" s="9" t="str">
        <x:v>观众 A 退出当前直播间</x:v>
      </x:c>
      <x:c r="L123" s="10" t="str">
        <x:v>FLOW-LIVE-MODERATION</x:v>
      </x:c>
      <x:c r="M123" s="10" t="str">
        <x:v>未测</x:v>
      </x:c>
      <x:c r="N123" s="10" t="str"/>
      <x:c r="O123" s="9" t="str">
        <x:v>1. 来源（原型批注）：liveshow-proto/prototype/annotations/user.js；位置：views/live-room/profile-moderator-remove.html 结构化批注
2. 规则：BR-LIVE-GROUP-F81104CA42
3. 分支：BR-LIVE-GROUP-F81104CA42-B07
4. 未动态验证</x:v>
      </x:c>
    </x:row>
    <x:row r="124" ht="115" customHeight="1">
      <x:c r="A124" s="10" t="n">
        <x:v>123</x:v>
      </x:c>
      <x:c r="B124" s="10" t="str">
        <x:v>LIVE-0123</x:v>
      </x:c>
      <x:c r="C124" s="10" t="str">
        <x:v>直播模块</x:v>
      </x:c>
      <x:c r="D124" s="10" t="str">
        <x:v>观众处置（主播视角）</x:v>
      </x:c>
      <x:c r="E124" s="10" t="str">
        <x:v>业务流程</x:v>
      </x:c>
      <x:c r="F124" s="10" t="str">
        <x:v>P1</x:v>
      </x:c>
      <x:c r="G124" s="9" t="str">
        <x:v>验证被踢用户下一场可进入</x:v>
      </x:c>
      <x:c r="H124" s="9" t="str">
        <x:v>踢出场次边界</x:v>
      </x:c>
      <x:c r="I124" s="9" t="str">
        <x:v>1. 观众 A 上一场被主播踢出
2. 主播已创建新普通房场次
3. 双方无拉黑关系</x:v>
      </x:c>
      <x:c r="J124" s="9" t="str">
        <x:v>1. 使用观众 A 进入新场次</x:v>
      </x:c>
      <x:c r="K124" s="9" t="str">
        <x:v>观众 A 进入直播间</x:v>
      </x:c>
      <x:c r="L124" s="10" t="str">
        <x:v>FLOW-LIVE-MODERATION</x:v>
      </x:c>
      <x:c r="M124" s="10" t="str">
        <x:v>未测</x:v>
      </x:c>
      <x:c r="N124" s="10" t="str"/>
      <x:c r="O124" s="9" t="str">
        <x:v>1. 来源（原型批注）：liveshow-proto/prototype/annotations/user.js；位置：views/live-room/profile-moderator-remove.html 结构化批注
2. 规则：BR-LIVE-GROUP-F81104CA42
3. 分支：BR-LIVE-GROUP-F81104CA42-B08
4. 未动态验证</x:v>
      </x:c>
    </x:row>
    <x:row r="125" ht="115" customHeight="1">
      <x:c r="A125" s="10" t="n">
        <x:v>124</x:v>
      </x:c>
      <x:c r="B125" s="10" t="str">
        <x:v>LIVE-0124</x:v>
      </x:c>
      <x:c r="C125" s="10" t="str">
        <x:v>直播模块</x:v>
      </x:c>
      <x:c r="D125" s="10" t="str">
        <x:v>观众处置（主播视角）</x:v>
      </x:c>
      <x:c r="E125" s="10" t="str">
        <x:v>异常用例</x:v>
      </x:c>
      <x:c r="F125" s="10" t="str">
        <x:v>P0</x:v>
      </x:c>
      <x:c r="G125" s="9" t="str">
        <x:v>验证恢复发言失败保持禁言</x:v>
      </x:c>
      <x:c r="H125" s="9" t="str">
        <x:v>恢复发言失败</x:v>
      </x:c>
      <x:c r="I125" s="9" t="str">
        <x:v>1. 主播正在直播
2. 观众 A 处于本场禁言状态
3. 恢复请求返回失败</x:v>
      </x:c>
      <x:c r="J125" s="9" t="str">
        <x:v>1. 打开禁用用户
2. 点击观众 A 的恢复发言
3. 点击确认</x:v>
      </x:c>
      <x:c r="K125" s="9" t="str">
        <x:v>禁言列表仍显示观众 A</x:v>
      </x:c>
      <x:c r="L125" s="10" t="str">
        <x:v>FLOW-LIVE-MODERATION</x:v>
      </x:c>
      <x:c r="M125" s="10" t="str">
        <x:v>未测</x:v>
      </x:c>
      <x:c r="N125" s="10" t="str"/>
      <x:c r="O125" s="9" t="str">
        <x:v>1. 来源（原型批注）：liveshow-proto/prototype/annotations/user.js；位置：views/live-room-host/muted-users.html 结构化批注
2. 规则：BR-LIVE-GROUP-F81104CA42
3. 分支：BR-LIVE-GROUP-F81104CA42-B09
4. 未动态验证</x:v>
      </x:c>
    </x:row>
    <x:row r="126" ht="100" customHeight="1">
      <x:c r="A126" s="10" t="n">
        <x:v>125</x:v>
      </x:c>
      <x:c r="B126" s="10" t="str">
        <x:v>LIVE-0125</x:v>
      </x:c>
      <x:c r="C126" s="10" t="str">
        <x:v>直播模块</x:v>
      </x:c>
      <x:c r="D126" s="10" t="str">
        <x:v>评论管理（主播视角）</x:v>
      </x:c>
      <x:c r="E126" s="10" t="str">
        <x:v>业务流程</x:v>
      </x:c>
      <x:c r="F126" s="10" t="str">
        <x:v>P0</x:v>
      </x:c>
      <x:c r="G126" s="9" t="str">
        <x:v>验证屏蔽指定评论</x:v>
      </x:c>
      <x:c r="H126" s="9" t="str">
        <x:v>单条评论屏蔽</x:v>
      </x:c>
      <x:c r="I126" s="9" t="str">
        <x:v>1. 主播正在直播
2. 公屏存在评论 A 和评论 B</x:v>
      </x:c>
      <x:c r="J126" s="9" t="str">
        <x:v>1. 点击评论 A
2. 点击“屏蔽此评论”</x:v>
      </x:c>
      <x:c r="K126" s="9" t="str">
        <x:v>主播与观众公屏均不显示评论 A</x:v>
      </x:c>
      <x:c r="L126" s="10" t="str">
        <x:v>FLOW-LIVE-MODERATION</x:v>
      </x:c>
      <x:c r="M126" s="10" t="str">
        <x:v>未测</x:v>
      </x:c>
      <x:c r="N126" s="10" t="str"/>
      <x:c r="O126" s="9" t="str">
        <x:v>1. 来源（需求文档）：liveshow-proto/context/系统概要 .md；位置：系统概要 3.3.2
2. 规则：BR-LIVE-GROUP-E7C87EA7EF
3. 分支：BR-LIVE-GROUP-E7C87EA7EF-B01
4. 未动态验证</x:v>
      </x:c>
    </x:row>
    <x:row r="127" ht="115" customHeight="1">
      <x:c r="A127" s="10" t="n">
        <x:v>126</x:v>
      </x:c>
      <x:c r="B127" s="10" t="str">
        <x:v>LIVE-0126</x:v>
      </x:c>
      <x:c r="C127" s="10" t="str">
        <x:v>直播模块</x:v>
      </x:c>
      <x:c r="D127" s="10" t="str">
        <x:v>快捷互动（主播视角）</x:v>
      </x:c>
      <x:c r="E127" s="10" t="str">
        <x:v>功能需求</x:v>
      </x:c>
      <x:c r="F127" s="10" t="str">
        <x:v>P1</x:v>
      </x:c>
      <x:c r="G127" s="9" t="str">
        <x:v>验证 @ 用户预填评论</x:v>
      </x:c>
      <x:c r="H127" s="9" t="str">
        <x:v>@ 预填</x:v>
      </x:c>
      <x:c r="I127" s="9" t="str">
        <x:v>1. 主播正在直播
2. 观众 A 当前在线</x:v>
      </x:c>
      <x:c r="J127" s="9" t="str">
        <x:v>1. 点击观众 A
2. 点击“@Ta”</x:v>
      </x:c>
      <x:c r="K127" s="9" t="str">
        <x:v>评论输入框预填“@A ”</x:v>
      </x:c>
      <x:c r="L127" s="10" t="str"/>
      <x:c r="M127" s="10" t="str">
        <x:v>未测</x:v>
      </x:c>
      <x:c r="N127" s="10" t="str"/>
      <x:c r="O127" s="9" t="str">
        <x:v>1. 来源（原型批注）：liveshow-proto/prototype/annotations/user.js；位置：views/live-room-host/profile-host.html 结构化批注
2. 规则：BR-LIVE-GROUP-3DDE48FBD6
3. 分支：BR-LIVE-GROUP-3DDE48FBD6-B01
4. 未动态验证</x:v>
      </x:c>
    </x:row>
    <x:row r="128" ht="115" customHeight="1">
      <x:c r="A128" s="10" t="n">
        <x:v>127</x:v>
      </x:c>
      <x:c r="B128" s="10" t="str">
        <x:v>LIVE-0127</x:v>
      </x:c>
      <x:c r="C128" s="10" t="str">
        <x:v>直播模块</x:v>
      </x:c>
      <x:c r="D128" s="10" t="str">
        <x:v>快捷互动（主播视角）</x:v>
      </x:c>
      <x:c r="E128" s="10" t="str">
        <x:v>功能需求</x:v>
      </x:c>
      <x:c r="F128" s="10" t="str">
        <x:v>P1</x:v>
      </x:c>
      <x:c r="G128" s="9" t="str">
        <x:v>验证答谢不会自动发消息</x:v>
      </x:c>
      <x:c r="H128" s="9" t="str">
        <x:v>答谢待发送</x:v>
      </x:c>
      <x:c r="I128" s="9" t="str">
        <x:v>1. 主播正在直播
2. 观众 A 当前在线</x:v>
      </x:c>
      <x:c r="J128" s="9" t="str">
        <x:v>1. 点击观众 A
2. 点击答谢</x:v>
      </x:c>
      <x:c r="K128" s="9" t="str">
        <x:v>公屏不自动新增答谢消息</x:v>
      </x:c>
      <x:c r="L128" s="10" t="str"/>
      <x:c r="M128" s="10" t="str">
        <x:v>未测</x:v>
      </x:c>
      <x:c r="N128" s="10" t="str"/>
      <x:c r="O128" s="9" t="str">
        <x:v>1. 来源（原型批注）：liveshow-proto/prototype/annotations/user.js；位置：views/live-room-host/thank-message.html 结构化批注
2. 规则：BR-LIVE-GROUP-3DDE48FBD6
3. 分支：BR-LIVE-GROUP-3DDE48FBD6-B02
4. 未动态验证</x:v>
      </x:c>
    </x:row>
    <x:row r="129" ht="115" customHeight="1">
      <x:c r="A129" s="10" t="n">
        <x:v>128</x:v>
      </x:c>
      <x:c r="B129" s="10" t="str">
        <x:v>LIVE-0128</x:v>
      </x:c>
      <x:c r="C129" s="10" t="str">
        <x:v>直播模块</x:v>
      </x:c>
      <x:c r="D129" s="10" t="str">
        <x:v>快捷互动（主播视角）</x:v>
      </x:c>
      <x:c r="E129" s="10" t="str">
        <x:v>功能需求</x:v>
      </x:c>
      <x:c r="F129" s="10" t="str">
        <x:v>P1</x:v>
      </x:c>
      <x:c r="G129" s="9" t="str">
        <x:v>验证答谢不产生礼物记录</x:v>
      </x:c>
      <x:c r="H129" s="9" t="str">
        <x:v>答谢资产隔离</x:v>
      </x:c>
      <x:c r="I129" s="9" t="str">
        <x:v>1. 主播正在直播
2. 观众 A 当前在线</x:v>
      </x:c>
      <x:c r="J129" s="9" t="str">
        <x:v>1. 点击观众 A
2. 点击答谢</x:v>
      </x:c>
      <x:c r="K129" s="9" t="str">
        <x:v>系统不生成礼物记录</x:v>
      </x:c>
      <x:c r="L129" s="10" t="str"/>
      <x:c r="M129" s="10" t="str">
        <x:v>未测</x:v>
      </x:c>
      <x:c r="N129" s="10" t="str"/>
      <x:c r="O129" s="9" t="str">
        <x:v>1. 来源（原型批注）：liveshow-proto/prototype/annotations/user.js；位置：views/live-room-host/thank-message.html 结构化批注
2. 规则：BR-LIVE-GROUP-3DDE48FBD6
3. 分支：BR-LIVE-GROUP-3DDE48FBD6-B03
4. 未动态验证</x:v>
      </x:c>
    </x:row>
    <x:row r="130" ht="115" customHeight="1">
      <x:c r="A130" s="10" t="n">
        <x:v>129</x:v>
      </x:c>
      <x:c r="B130" s="10" t="str">
        <x:v>LIVE-0129</x:v>
      </x:c>
      <x:c r="C130" s="10" t="str">
        <x:v>直播模块</x:v>
      </x:c>
      <x:c r="D130" s="10" t="str">
        <x:v>连麦邀请（主播视角）</x:v>
      </x:c>
      <x:c r="E130" s="10" t="str">
        <x:v>业务流程</x:v>
      </x:c>
      <x:c r="F130" s="10" t="str">
        <x:v>P0</x:v>
      </x:c>
      <x:c r="G130" s="9" t="str">
        <x:v>验证只返回可连麦主播</x:v>
      </x:c>
      <x:c r="H130" s="9" t="str">
        <x:v>连麦候选范围</x:v>
      </x:c>
      <x:c r="I130" s="9" t="str">
        <x:v>1. 主播 A 正在普通房直播且未连麦
2. 测试数据：主播 B 普通房在播，主播 C 门票房在播</x:v>
      </x:c>
      <x:c r="J130" s="9" t="str">
        <x:v>1. 打开连麦主播
2. 输入主播名称
3. 点击搜索</x:v>
      </x:c>
      <x:c r="K130" s="9" t="str">
        <x:v>连麦搜索结果仅包含主播 B</x:v>
      </x:c>
      <x:c r="L130" s="10" t="str">
        <x:v>FLOW-LIVE-COHOST</x:v>
      </x:c>
      <x:c r="M130" s="10" t="str">
        <x:v>未测</x:v>
      </x:c>
      <x:c r="N130" s="10" t="str"/>
      <x:c r="O130" s="9" t="str">
        <x:v>1. 来源（原型批注）：liveshow-proto/prototype/annotations/user.js；位置：views/live-room-host/cohost-hosts-search-result.html 结构化批注
2. 规则：BR-LIVE-GROUP-4A7D12A708
3. 分支：BR-LIVE-GROUP-4A7D12A708-B01
4. 未动态验证</x:v>
      </x:c>
    </x:row>
    <x:row r="131" ht="115" customHeight="1">
      <x:c r="A131" s="10" t="n">
        <x:v>130</x:v>
      </x:c>
      <x:c r="B131" s="10" t="str">
        <x:v>LIVE-0130</x:v>
      </x:c>
      <x:c r="C131" s="10" t="str">
        <x:v>直播模块</x:v>
      </x:c>
      <x:c r="D131" s="10" t="str">
        <x:v>连麦邀请（主播视角）</x:v>
      </x:c>
      <x:c r="E131" s="10" t="str">
        <x:v>异常用例</x:v>
      </x:c>
      <x:c r="F131" s="10" t="str">
        <x:v>P0</x:v>
      </x:c>
      <x:c r="G131" s="9" t="str">
        <x:v>验证已有发出邀请时不能重复邀请</x:v>
      </x:c>
      <x:c r="H131" s="9" t="str">
        <x:v>单个发出邀请</x:v>
      </x:c>
      <x:c r="I131" s="9" t="str">
        <x:v>1. 主播 A 已有一个待处理连麦邀请</x:v>
      </x:c>
      <x:c r="J131" s="9" t="str">
        <x:v>1. 打开连麦主播
2. 选择主播 B
3. 点击邀请</x:v>
      </x:c>
      <x:c r="K131" s="9" t="str">
        <x:v>页面提示“已有发出请求，请先取消”</x:v>
      </x:c>
      <x:c r="L131" s="10" t="str">
        <x:v>FLOW-LIVE-COHOST</x:v>
      </x:c>
      <x:c r="M131" s="10" t="str">
        <x:v>未测</x:v>
      </x:c>
      <x:c r="N131" s="10" t="str"/>
      <x:c r="O131" s="9" t="str">
        <x:v>1. 来源（原型批注）：liveshow-proto/prototype/annotations/user.js；位置：views/live-room-host/cohost-hosts-search-result.html 结构化批注
2. 规则：BR-LIVE-GROUP-4A7D12A708
3. 分支：BR-LIVE-GROUP-4A7D12A708-B02
4. 未动态验证</x:v>
      </x:c>
    </x:row>
    <x:row r="132" ht="115" customHeight="1">
      <x:c r="A132" s="10" t="n">
        <x:v>131</x:v>
      </x:c>
      <x:c r="B132" s="10" t="str">
        <x:v>LIVE-0131</x:v>
      </x:c>
      <x:c r="C132" s="10" t="str">
        <x:v>直播模块</x:v>
      </x:c>
      <x:c r="D132" s="10" t="str">
        <x:v>连麦邀请（主播视角）</x:v>
      </x:c>
      <x:c r="E132" s="10" t="str">
        <x:v>功能需求</x:v>
      </x:c>
      <x:c r="F132" s="10" t="str">
        <x:v>P1</x:v>
      </x:c>
      <x:c r="G132" s="9" t="str">
        <x:v>验证邀请提示停留 4 秒</x:v>
      </x:c>
      <x:c r="H132" s="9" t="str">
        <x:v>邀请提示时长</x:v>
      </x:c>
      <x:c r="I132" s="9" t="str">
        <x:v>1. 主播 B 正在普通房直播且未连麦</x:v>
      </x:c>
      <x:c r="J132" s="9" t="str">
        <x:v>1. 接收主播 A 的连麦邀请</x:v>
      </x:c>
      <x:c r="K132" s="9" t="str">
        <x:v>连麦邀请提示显示 4 秒</x:v>
      </x:c>
      <x:c r="L132" s="10" t="str">
        <x:v>FLOW-LIVE-COHOST</x:v>
      </x:c>
      <x:c r="M132" s="10" t="str">
        <x:v>未测</x:v>
      </x:c>
      <x:c r="N132" s="10" t="str"/>
      <x:c r="O132" s="9" t="str">
        <x:v>1. 来源（原型批注）：liveshow-proto/prototype/annotations/user.js；位置：views/live-room-host/cohost-invite-notice.html 结构化批注
2. 规则：BR-LIVE-GROUP-4A7D12A708
3. 分支：BR-LIVE-GROUP-4A7D12A708-B03
4. 未动态验证</x:v>
      </x:c>
    </x:row>
    <x:row r="133" ht="115" customHeight="1">
      <x:c r="A133" s="10" t="n">
        <x:v>132</x:v>
      </x:c>
      <x:c r="B133" s="10" t="str">
        <x:v>LIVE-0132</x:v>
      </x:c>
      <x:c r="C133" s="10" t="str">
        <x:v>直播模块</x:v>
      </x:c>
      <x:c r="D133" s="10" t="str">
        <x:v>连麦邀请（主播视角）</x:v>
      </x:c>
      <x:c r="E133" s="10" t="str">
        <x:v>业务流程</x:v>
      </x:c>
      <x:c r="F133" s="10" t="str">
        <x:v>P0</x:v>
      </x:c>
      <x:c r="G133" s="9" t="str">
        <x:v>验证接受邀请建立两人连麦</x:v>
      </x:c>
      <x:c r="H133" s="9" t="str">
        <x:v>接受连麦</x:v>
      </x:c>
      <x:c r="I133" s="9" t="str">
        <x:v>1. 主播 A、B 均在普通房直播
2. 双方均未连麦且无拉黑关系
3. 主播 B 收到 A 的有效邀请</x:v>
      </x:c>
      <x:c r="J133" s="9" t="str">
        <x:v>1. 点击接受</x:v>
      </x:c>
      <x:c r="K133" s="9" t="str">
        <x:v>页面进入两位主播分屏连麦状态</x:v>
      </x:c>
      <x:c r="L133" s="10" t="str">
        <x:v>FLOW-LIVE-COHOST</x:v>
      </x:c>
      <x:c r="M133" s="10" t="str">
        <x:v>未测</x:v>
      </x:c>
      <x:c r="N133" s="10" t="str"/>
      <x:c r="O133" s="9" t="str">
        <x:v>1. 来源（原型批注）：liveshow-proto/prototype/annotations/user.js；位置：views/live-room-host/cohost-invite-notice.html 结构化批注
2. 规则：BR-LIVE-GROUP-4A7D12A708
3. 分支：BR-LIVE-GROUP-4A7D12A708-B04
4. 未动态验证</x:v>
      </x:c>
    </x:row>
    <x:row r="134" ht="115" customHeight="1">
      <x:c r="A134" s="10" t="n">
        <x:v>133</x:v>
      </x:c>
      <x:c r="B134" s="10" t="str">
        <x:v>LIVE-0133</x:v>
      </x:c>
      <x:c r="C134" s="10" t="str">
        <x:v>直播模块</x:v>
      </x:c>
      <x:c r="D134" s="10" t="str">
        <x:v>连麦邀请（主播视角）</x:v>
      </x:c>
      <x:c r="E134" s="10" t="str">
        <x:v>异常用例</x:v>
      </x:c>
      <x:c r="F134" s="10" t="str">
        <x:v>P1</x:v>
      </x:c>
      <x:c r="G134" s="9" t="str">
        <x:v>验证拒绝邀请不建立连麦</x:v>
      </x:c>
      <x:c r="H134" s="9" t="str">
        <x:v>拒绝连麦</x:v>
      </x:c>
      <x:c r="I134" s="9" t="str">
        <x:v>1. 主播收到一个有效连麦邀请</x:v>
      </x:c>
      <x:c r="J134" s="9" t="str">
        <x:v>1. 点击拒绝</x:v>
      </x:c>
      <x:c r="K134" s="9" t="str">
        <x:v>直播画面保持单人状态</x:v>
      </x:c>
      <x:c r="L134" s="10" t="str">
        <x:v>FLOW-LIVE-COHOST</x:v>
      </x:c>
      <x:c r="M134" s="10" t="str">
        <x:v>未测</x:v>
      </x:c>
      <x:c r="N134" s="10" t="str"/>
      <x:c r="O134" s="9" t="str">
        <x:v>1. 来源（原型批注）：liveshow-proto/prototype/annotations/user.js；位置：views/live-room-host/cohost-invite-notice.html 结构化批注
2. 规则：BR-LIVE-GROUP-4A7D12A708
3. 分支：BR-LIVE-GROUP-4A7D12A708-B05
4. 未动态验证</x:v>
      </x:c>
    </x:row>
    <x:row r="135" ht="115" customHeight="1">
      <x:c r="A135" s="10" t="n">
        <x:v>134</x:v>
      </x:c>
      <x:c r="B135" s="10" t="str">
        <x:v>LIVE-0134</x:v>
      </x:c>
      <x:c r="C135" s="10" t="str">
        <x:v>直播模块</x:v>
      </x:c>
      <x:c r="D135" s="10" t="str">
        <x:v>连麦邀请（主播视角）</x:v>
      </x:c>
      <x:c r="E135" s="10" t="str">
        <x:v>异常用例</x:v>
      </x:c>
      <x:c r="F135" s="10" t="str">
        <x:v>P0</x:v>
      </x:c>
      <x:c r="G135" s="9" t="str">
        <x:v>验证邀请请求失败不生成邀请</x:v>
      </x:c>
      <x:c r="H135" s="9" t="str">
        <x:v>连麦邀请失败</x:v>
      </x:c>
      <x:c r="I135" s="9" t="str">
        <x:v>1. 主播 A、B 均在普通房直播
2. 双方未连麦且无拉黑关系
3. 邀请请求返回失败</x:v>
      </x:c>
      <x:c r="J135" s="9" t="str">
        <x:v>1. 打开连麦主播
2. 选择主播 B
3. 点击邀请</x:v>
      </x:c>
      <x:c r="K135" s="9" t="str">
        <x:v>待处理邀请列表不新增主播 B</x:v>
      </x:c>
      <x:c r="L135" s="10" t="str">
        <x:v>FLOW-LIVE-COHOST</x:v>
      </x:c>
      <x:c r="M135" s="10" t="str">
        <x:v>未测</x:v>
      </x:c>
      <x:c r="N135" s="10" t="str"/>
      <x:c r="O135" s="9" t="str">
        <x:v>1. 来源（原型批注）：liveshow-proto/prototype/annotations/user.js；位置：views/live-room-host/cohost-hosts.html 结构化批注
2. 规则：BR-LIVE-GROUP-4A7D12A708
3. 分支：BR-LIVE-GROUP-4A7D12A708-B06
4. 未动态验证</x:v>
      </x:c>
    </x:row>
    <x:row r="136" ht="115" customHeight="1">
      <x:c r="A136" s="10" t="n">
        <x:v>135</x:v>
      </x:c>
      <x:c r="B136" s="10" t="str">
        <x:v>LIVE-0135</x:v>
      </x:c>
      <x:c r="C136" s="10" t="str">
        <x:v>直播模块</x:v>
      </x:c>
      <x:c r="D136" s="10" t="str">
        <x:v>连麦中（主播视角）</x:v>
      </x:c>
      <x:c r="E136" s="10" t="str">
        <x:v>业务流程</x:v>
      </x:c>
      <x:c r="F136" s="10" t="str">
        <x:v>P0</x:v>
      </x:c>
      <x:c r="G136" s="9" t="str">
        <x:v>验证主动退出只结束连麦</x:v>
      </x:c>
      <x:c r="H136" s="9" t="str">
        <x:v>退出连麦</x:v>
      </x:c>
      <x:c r="I136" s="9" t="str">
        <x:v>1. 主播 A、B 正在连麦</x:v>
      </x:c>
      <x:c r="J136" s="9" t="str">
        <x:v>1. 点击退出连麦
2. 点击确认</x:v>
      </x:c>
      <x:c r="K136" s="9" t="str">
        <x:v>主播 A 恢复单人直播画面</x:v>
      </x:c>
      <x:c r="L136" s="10" t="str">
        <x:v>FLOW-LIVE-COHOST</x:v>
      </x:c>
      <x:c r="M136" s="10" t="str">
        <x:v>未测</x:v>
      </x:c>
      <x:c r="N136" s="10" t="str"/>
      <x:c r="O136" s="9" t="str">
        <x:v>1. 来源（原型批注）：liveshow-proto/prototype/annotations/user.js；位置：views/live-room-cohost-active/cohost-exit-confirm.html 结构化批注
2. 规则：BR-LIVE-GROUP-BE60B6D6C7
3. 分支：BR-LIVE-GROUP-BE60B6D6C7-B01
4. 未动态验证</x:v>
      </x:c>
    </x:row>
    <x:row r="137" ht="115" customHeight="1">
      <x:c r="A137" s="10" t="n">
        <x:v>136</x:v>
      </x:c>
      <x:c r="B137" s="10" t="str">
        <x:v>LIVE-0136</x:v>
      </x:c>
      <x:c r="C137" s="10" t="str">
        <x:v>直播模块</x:v>
      </x:c>
      <x:c r="D137" s="10" t="str">
        <x:v>连麦中（主播视角）</x:v>
      </x:c>
      <x:c r="E137" s="10" t="str">
        <x:v>功能需求</x:v>
      </x:c>
      <x:c r="F137" s="10" t="str">
        <x:v>P1</x:v>
      </x:c>
      <x:c r="G137" s="9" t="str">
        <x:v>验证取消退出保持连麦</x:v>
      </x:c>
      <x:c r="H137" s="9" t="str">
        <x:v>退出取消</x:v>
      </x:c>
      <x:c r="I137" s="9" t="str">
        <x:v>1. 主播 A、B 正在连麦</x:v>
      </x:c>
      <x:c r="J137" s="9" t="str">
        <x:v>1. 点击退出连麦
2. 点击取消</x:v>
      </x:c>
      <x:c r="K137" s="9" t="str">
        <x:v>页面保持两人连麦画面</x:v>
      </x:c>
      <x:c r="L137" s="10" t="str"/>
      <x:c r="M137" s="10" t="str">
        <x:v>未测</x:v>
      </x:c>
      <x:c r="N137" s="10" t="str"/>
      <x:c r="O137" s="9" t="str">
        <x:v>1. 来源（原型批注）：liveshow-proto/prototype/annotations/user.js；位置：views/live-room-cohost-active/cohost-exit-confirm.html 结构化批注
2. 规则：BR-LIVE-GROUP-BE60B6D6C7
3. 分支：BR-LIVE-GROUP-BE60B6D6C7-B02
4. 未动态验证</x:v>
      </x:c>
    </x:row>
    <x:row r="138" ht="100" customHeight="1">
      <x:c r="A138" s="10" t="n">
        <x:v>137</x:v>
      </x:c>
      <x:c r="B138" s="10" t="str">
        <x:v>LIVE-0137</x:v>
      </x:c>
      <x:c r="C138" s="10" t="str">
        <x:v>直播模块</x:v>
      </x:c>
      <x:c r="D138" s="10" t="str">
        <x:v>连麦中（主播视角）</x:v>
      </x:c>
      <x:c r="E138" s="10" t="str">
        <x:v>业务流程</x:v>
      </x:c>
      <x:c r="F138" s="10" t="str">
        <x:v>P0</x:v>
      </x:c>
      <x:c r="G138" s="9" t="str">
        <x:v>验证一方关播不结束另一方直播</x:v>
      </x:c>
      <x:c r="H138" s="9" t="str">
        <x:v>单方关播</x:v>
      </x:c>
      <x:c r="I138" s="9" t="str">
        <x:v>1. 主播 A、B 正在连麦</x:v>
      </x:c>
      <x:c r="J138" s="9" t="str">
        <x:v>1. 使用主播 A 点击结束直播</x:v>
      </x:c>
      <x:c r="K138" s="9" t="str">
        <x:v>主播 B 恢复单人直播并继续当前场次</x:v>
      </x:c>
      <x:c r="L138" s="10" t="str">
        <x:v>FLOW-LIVE-COHOST</x:v>
      </x:c>
      <x:c r="M138" s="10" t="str">
        <x:v>未测</x:v>
      </x:c>
      <x:c r="N138" s="10" t="str"/>
      <x:c r="O138" s="9" t="str">
        <x:v>1. 来源（原型批注）：liveshow-proto/prototype/annotations/user.js；位置：live-room-cohost-active.html 结构化批注
2. 规则：BR-LIVE-GROUP-BE60B6D6C7
3. 分支：BR-LIVE-GROUP-BE60B6D6C7-B03
4. 未动态验证</x:v>
      </x:c>
    </x:row>
    <x:row r="139" ht="115" customHeight="1">
      <x:c r="A139" s="10" t="n">
        <x:v>138</x:v>
      </x:c>
      <x:c r="B139" s="10" t="str">
        <x:v>LIVE-0138</x:v>
      </x:c>
      <x:c r="C139" s="10" t="str">
        <x:v>直播模块</x:v>
      </x:c>
      <x:c r="D139" s="10" t="str">
        <x:v>连麦中（主播视角）</x:v>
      </x:c>
      <x:c r="E139" s="10" t="str">
        <x:v>异常用例</x:v>
      </x:c>
      <x:c r="F139" s="10" t="str">
        <x:v>P0</x:v>
      </x:c>
      <x:c r="G139" s="9" t="str">
        <x:v>验证退出连麦失败保持当前画面</x:v>
      </x:c>
      <x:c r="H139" s="9" t="str">
        <x:v>退出连麦失败</x:v>
      </x:c>
      <x:c r="I139" s="9" t="str">
        <x:v>1. 主播 A、B 正在连麦
2. 退出请求返回失败</x:v>
      </x:c>
      <x:c r="J139" s="9" t="str">
        <x:v>1. 点击退出连麦
2. 点击确认</x:v>
      </x:c>
      <x:c r="K139" s="9" t="str">
        <x:v>页面保持两人连麦画面</x:v>
      </x:c>
      <x:c r="L139" s="10" t="str">
        <x:v>FLOW-LIVE-COHOST</x:v>
      </x:c>
      <x:c r="M139" s="10" t="str">
        <x:v>未测</x:v>
      </x:c>
      <x:c r="N139" s="10" t="str"/>
      <x:c r="O139" s="9" t="str">
        <x:v>1. 来源（原型批注）：liveshow-proto/prototype/annotations/user.js；位置：views/live-room-cohost-active/cohost-exit-confirm.html 结构化批注
2. 规则：BR-LIVE-GROUP-BE60B6D6C7
3. 分支：BR-LIVE-GROUP-BE60B6D6C7-B04
4. 未动态验证</x:v>
      </x:c>
    </x:row>
    <x:row r="140" ht="115" customHeight="1">
      <x:c r="A140" s="10" t="n">
        <x:v>139</x:v>
      </x:c>
      <x:c r="B140" s="10" t="str">
        <x:v>LIVE-0139</x:v>
      </x:c>
      <x:c r="C140" s="10" t="str">
        <x:v>直播模块</x:v>
      </x:c>
      <x:c r="D140" s="10" t="str">
        <x:v>连麦入口（主播视角）</x:v>
      </x:c>
      <x:c r="E140" s="10" t="str">
        <x:v>异常用例</x:v>
      </x:c>
      <x:c r="F140" s="10" t="str">
        <x:v>P0</x:v>
      </x:c>
      <x:c r="G140" s="9" t="str">
        <x:v>验证密码房不提供连麦入口</x:v>
      </x:c>
      <x:c r="H140" s="9" t="str">
        <x:v>密码房连麦限制</x:v>
      </x:c>
      <x:c r="I140" s="9" t="str">
        <x:v>1. 主播正在密码房直播</x:v>
      </x:c>
      <x:c r="J140" s="9" t="str">
        <x:v>1. 打开更多功能</x:v>
      </x:c>
      <x:c r="K140" s="9" t="str">
        <x:v>页面不显示连麦入口</x:v>
      </x:c>
      <x:c r="L140" s="10" t="str">
        <x:v>FLOW-LIVE-COHOST</x:v>
      </x:c>
      <x:c r="M140" s="10" t="str">
        <x:v>未测</x:v>
      </x:c>
      <x:c r="N140" s="10" t="str"/>
      <x:c r="O140" s="9" t="str">
        <x:v>1. 来源（原型批注）：liveshow-proto/prototype/annotations/user.js；位置：views/live-room-host-password/more-actions.html 结构化批注
2. 规则：BR-LIVE-GROUP-0E33A5F5AD
3. 分支：BR-LIVE-GROUP-0E33A5F5AD-B01
4. 未动态验证</x:v>
      </x:c>
    </x:row>
    <x:row r="141" ht="115" customHeight="1">
      <x:c r="A141" s="10" t="n">
        <x:v>140</x:v>
      </x:c>
      <x:c r="B141" s="10" t="str">
        <x:v>LIVE-0140</x:v>
      </x:c>
      <x:c r="C141" s="10" t="str">
        <x:v>直播模块</x:v>
      </x:c>
      <x:c r="D141" s="10" t="str">
        <x:v>直播转发（主播视角）</x:v>
      </x:c>
      <x:c r="E141" s="10" t="str">
        <x:v>业务流程</x:v>
      </x:c>
      <x:c r="F141" s="10" t="str">
        <x:v>P1</x:v>
      </x:c>
      <x:c r="G141" s="9" t="str">
        <x:v>验证转发不绕过准入规则</x:v>
      </x:c>
      <x:c r="H141" s="9" t="str">
        <x:v>转发准入</x:v>
      </x:c>
      <x:c r="I141" s="9" t="str">
        <x:v>1. 主播正在门票房直播
2. 接收人未购买本场门票</x:v>
      </x:c>
      <x:c r="J141" s="9" t="str">
        <x:v>1. 打开更多功能
2. 选择转发
3. 选择好友 A
4. 点击确认
5. 使用好友 A 打开房间卡片</x:v>
      </x:c>
      <x:c r="K141" s="9" t="str">
        <x:v>好友 A 进入购票拦截页</x:v>
      </x:c>
      <x:c r="L141" s="10" t="str">
        <x:v>FLOW-LIVE-SHARE</x:v>
      </x:c>
      <x:c r="M141" s="10" t="str">
        <x:v>未测</x:v>
      </x:c>
      <x:c r="N141" s="10" t="str"/>
      <x:c r="O141" s="9" t="str">
        <x:v>1. 来源（原型批注）：liveshow-proto/prototype/annotations/user.js；位置：views/live-room-host/share-recipient.html 结构化批注
2. 规则：BR-LIVE-GROUP-D8E8659AF8
3. 分支：BR-LIVE-GROUP-D8E8659AF8-B01
4. 未动态验证</x:v>
      </x:c>
    </x:row>
    <x:row r="142" ht="115" customHeight="1">
      <x:c r="A142" s="10" t="n">
        <x:v>141</x:v>
      </x:c>
      <x:c r="B142" s="10" t="str">
        <x:v>LIVE-0141</x:v>
      </x:c>
      <x:c r="C142" s="10" t="str">
        <x:v>直播模块</x:v>
      </x:c>
      <x:c r="D142" s="10" t="str">
        <x:v>直播转发（主播视角）</x:v>
      </x:c>
      <x:c r="E142" s="10" t="str">
        <x:v>异常用例</x:v>
      </x:c>
      <x:c r="F142" s="10" t="str">
        <x:v>P1</x:v>
      </x:c>
      <x:c r="G142" s="9" t="str">
        <x:v>验证取消转发不发送房间卡片</x:v>
      </x:c>
      <x:c r="H142" s="9" t="str">
        <x:v>转发取消</x:v>
      </x:c>
      <x:c r="I142" s="9" t="str">
        <x:v>1. 主播正在直播
2. 转发对象页已打开</x:v>
      </x:c>
      <x:c r="J142" s="9" t="str">
        <x:v>1. 选择好友 A
2. 点击取消</x:v>
      </x:c>
      <x:c r="K142" s="9" t="str">
        <x:v>好友 A 的会话不新增房间卡片</x:v>
      </x:c>
      <x:c r="L142" s="10" t="str"/>
      <x:c r="M142" s="10" t="str">
        <x:v>未测</x:v>
      </x:c>
      <x:c r="N142" s="10" t="str"/>
      <x:c r="O142" s="9" t="str">
        <x:v>1. 来源（原型批注）：liveshow-proto/prototype/annotations/user.js；位置：views/live-room-host/share-recipient.html 结构化批注
2. 规则：BR-LIVE-GROUP-D8E8659AF8
3. 分支：BR-LIVE-GROUP-D8E8659AF8-B02
4. 未动态验证</x:v>
      </x:c>
    </x:row>
    <x:row r="143" ht="115" customHeight="1">
      <x:c r="A143" s="10" t="n">
        <x:v>142</x:v>
      </x:c>
      <x:c r="B143" s="10" t="str">
        <x:v>LIVE-0142</x:v>
      </x:c>
      <x:c r="C143" s="10" t="str">
        <x:v>直播模块</x:v>
      </x:c>
      <x:c r="D143" s="10" t="str">
        <x:v>直播转发（主播视角）</x:v>
      </x:c>
      <x:c r="E143" s="10" t="str">
        <x:v>异常用例</x:v>
      </x:c>
      <x:c r="F143" s="10" t="str">
        <x:v>P1</x:v>
      </x:c>
      <x:c r="G143" s="9" t="str">
        <x:v>验证转发失败不发送房间卡片</x:v>
      </x:c>
      <x:c r="H143" s="9" t="str">
        <x:v>转发失败</x:v>
      </x:c>
      <x:c r="I143" s="9" t="str">
        <x:v>1. 主播正在直播
2. 转发请求返回失败</x:v>
      </x:c>
      <x:c r="J143" s="9" t="str">
        <x:v>1. 选择好友 A
2. 点击确认</x:v>
      </x:c>
      <x:c r="K143" s="9" t="str">
        <x:v>好友 A 的会话不新增房间卡片</x:v>
      </x:c>
      <x:c r="L143" s="10" t="str"/>
      <x:c r="M143" s="10" t="str">
        <x:v>未测</x:v>
      </x:c>
      <x:c r="N143" s="10" t="str"/>
      <x:c r="O143" s="9" t="str">
        <x:v>1. 来源（原型批注）：liveshow-proto/prototype/annotations/user.js；位置：views/live-room-host/share-recipient.html 结构化批注
2. 规则：BR-LIVE-GROUP-D8E8659AF8
3. 分支：BR-LIVE-GROUP-D8E8659AF8-B03
4. 未动态验证</x:v>
      </x:c>
    </x:row>
    <x:row r="144" ht="115" customHeight="1">
      <x:c r="A144" s="10" t="n">
        <x:v>143</x:v>
      </x:c>
      <x:c r="B144" s="10" t="str">
        <x:v>LIVE-0143</x:v>
      </x:c>
      <x:c r="C144" s="10" t="str">
        <x:v>直播模块</x:v>
      </x:c>
      <x:c r="D144" s="10" t="str">
        <x:v>密码房管理（主播视角）</x:v>
      </x:c>
      <x:c r="E144" s="10" t="str">
        <x:v>异常用例</x:v>
      </x:c>
      <x:c r="F144" s="10" t="str">
        <x:v>P1</x:v>
      </x:c>
      <x:c r="G144" s="9" t="str">
        <x:v>验证修改密码格式错误</x:v>
      </x:c>
      <x:c r="H144" s="9" t="str">
        <x:v>直播中密码格式</x:v>
      </x:c>
      <x:c r="I144" s="9" t="str">
        <x:v>1. 主播正在密码房直播
2. 当前密码为 123456
3. 测试数据：新密码 12ab</x:v>
      </x:c>
      <x:c r="J144" s="9" t="str">
        <x:v>1. 打开更多功能
2. 选择房间密码
3. 输入密码 12ab
4. 点击保存</x:v>
      </x:c>
      <x:c r="K144" s="9" t="str">
        <x:v>页面提示“密码必须是4-12个数字”</x:v>
      </x:c>
      <x:c r="L144" s="10" t="str"/>
      <x:c r="M144" s="10" t="str">
        <x:v>未测</x:v>
      </x:c>
      <x:c r="N144" s="10" t="str"/>
      <x:c r="O144" s="9" t="str">
        <x:v>1. 来源（原型批注）：liveshow-proto/prototype/annotations/user.js；位置：views/live-room-host-password/room-password.html 结构化批注
2. 规则：BR-LIVE-GROUP-B412DD29A5
3. 分支：BR-LIVE-GROUP-B412DD29A5-B01
4. 未动态验证</x:v>
      </x:c>
    </x:row>
    <x:row r="145" ht="115" customHeight="1">
      <x:c r="A145" s="10" t="n">
        <x:v>144</x:v>
      </x:c>
      <x:c r="B145" s="10" t="str">
        <x:v>LIVE-0144</x:v>
      </x:c>
      <x:c r="C145" s="10" t="str">
        <x:v>直播模块</x:v>
      </x:c>
      <x:c r="D145" s="10" t="str">
        <x:v>密码房管理（主播视角）</x:v>
      </x:c>
      <x:c r="E145" s="10" t="str">
        <x:v>功能需求</x:v>
      </x:c>
      <x:c r="F145" s="10" t="str">
        <x:v>P1</x:v>
      </x:c>
      <x:c r="G145" s="9" t="str">
        <x:v>验证修改密码不踢出现有观众</x:v>
      </x:c>
      <x:c r="H145" s="9" t="str">
        <x:v>在线用户旧授权</x:v>
      </x:c>
      <x:c r="I145" s="9" t="str">
        <x:v>1. 主播正在密码房直播
2. 观众 A 已通过旧密码进入</x:v>
      </x:c>
      <x:c r="J145" s="9" t="str">
        <x:v>1. 打开更多功能
2. 选择房间密码
3. 输入新密码 654321
4. 点击保存</x:v>
      </x:c>
      <x:c r="K145" s="9" t="str">
        <x:v>观众 A 仍留在当前直播间</x:v>
      </x:c>
      <x:c r="L145" s="10" t="str"/>
      <x:c r="M145" s="10" t="str">
        <x:v>未测</x:v>
      </x:c>
      <x:c r="N145" s="10" t="str"/>
      <x:c r="O145" s="9" t="str">
        <x:v>1. 来源（原型批注）：liveshow-proto/prototype/annotations/user.js；位置：views/live-room-host-password/room-password.html 结构化批注
2. 规则：BR-LIVE-GROUP-B412DD29A5
3. 分支：BR-LIVE-GROUP-B412DD29A5-B02
4. 未动态验证</x:v>
      </x:c>
    </x:row>
    <x:row r="146" ht="100" customHeight="1">
      <x:c r="A146" s="10" t="n">
        <x:v>145</x:v>
      </x:c>
      <x:c r="B146" s="10" t="str">
        <x:v>LIVE-0145</x:v>
      </x:c>
      <x:c r="C146" s="10" t="str">
        <x:v>直播模块</x:v>
      </x:c>
      <x:c r="D146" s="10" t="str">
        <x:v>密码房管理（观众视角）</x:v>
      </x:c>
      <x:c r="E146" s="10" t="str">
        <x:v>异常用例</x:v>
      </x:c>
      <x:c r="F146" s="10" t="str">
        <x:v>P1</x:v>
      </x:c>
      <x:c r="G146" s="9" t="str">
        <x:v>验证退出后按新密码重验</x:v>
      </x:c>
      <x:c r="H146" s="9" t="str">
        <x:v>新密码重验</x:v>
      </x:c>
      <x:c r="I146" s="9" t="str">
        <x:v>1. 观众已用旧密码进入
2. 主播已将本场密码改为 654321</x:v>
      </x:c>
      <x:c r="J146" s="9" t="str">
        <x:v>1. 退出直播间
2. 再次进入同一密码房
3. 输入旧密码
4. 点击确认</x:v>
      </x:c>
      <x:c r="K146" s="9" t="str">
        <x:v>页面提示“密码错误，请重新输入”</x:v>
      </x:c>
      <x:c r="L146" s="10" t="str"/>
      <x:c r="M146" s="10" t="str">
        <x:v>未测</x:v>
      </x:c>
      <x:c r="N146" s="10" t="str"/>
      <x:c r="O146" s="9" t="str">
        <x:v>1. 来源（原型批注）：liveshow-proto/prototype/annotations/user.js；位置：live-room-host-password.html 结构化批注
2. 规则：BR-LIVE-GROUP-B412DD29A5
3. 分支：BR-LIVE-GROUP-B412DD29A5-B03
4. 未动态验证</x:v>
      </x:c>
    </x:row>
    <x:row r="147" ht="115" customHeight="1">
      <x:c r="A147" s="10" t="n">
        <x:v>146</x:v>
      </x:c>
      <x:c r="B147" s="10" t="str">
        <x:v>LIVE-0146</x:v>
      </x:c>
      <x:c r="C147" s="10" t="str">
        <x:v>直播模块</x:v>
      </x:c>
      <x:c r="D147" s="10" t="str">
        <x:v>密码房管理（主播视角）</x:v>
      </x:c>
      <x:c r="E147" s="10" t="str">
        <x:v>异常用例</x:v>
      </x:c>
      <x:c r="F147" s="10" t="str">
        <x:v>P1</x:v>
      </x:c>
      <x:c r="G147" s="9" t="str">
        <x:v>验证取消修改保留原密码</x:v>
      </x:c>
      <x:c r="H147" s="9" t="str">
        <x:v>修改密码取消</x:v>
      </x:c>
      <x:c r="I147" s="9" t="str">
        <x:v>1. 主播正在密码房直播
2. 当前密码为 123456</x:v>
      </x:c>
      <x:c r="J147" s="9" t="str">
        <x:v>1. 打开房间密码
2. 输入新密码 654321
3. 点击取消</x:v>
      </x:c>
      <x:c r="K147" s="9" t="str">
        <x:v>当前有效密码仍为 123456</x:v>
      </x:c>
      <x:c r="L147" s="10" t="str"/>
      <x:c r="M147" s="10" t="str">
        <x:v>未测</x:v>
      </x:c>
      <x:c r="N147" s="10" t="str"/>
      <x:c r="O147" s="9" t="str">
        <x:v>1. 来源（原型批注）：liveshow-proto/prototype/annotations/user.js；位置：views/live-room-host-password/room-password.html 结构化批注
2. 规则：BR-LIVE-GROUP-B412DD29A5
3. 分支：BR-LIVE-GROUP-B412DD29A5-B04
4. 未动态验证</x:v>
      </x:c>
    </x:row>
    <x:row r="148" ht="115" customHeight="1">
      <x:c r="A148" s="10" t="n">
        <x:v>147</x:v>
      </x:c>
      <x:c r="B148" s="10" t="str">
        <x:v>LIVE-0147</x:v>
      </x:c>
      <x:c r="C148" s="10" t="str">
        <x:v>直播模块</x:v>
      </x:c>
      <x:c r="D148" s="10" t="str">
        <x:v>直播结束（主播视角）</x:v>
      </x:c>
      <x:c r="E148" s="10" t="str">
        <x:v>异常用例</x:v>
      </x:c>
      <x:c r="F148" s="10" t="str">
        <x:v>P0</x:v>
      </x:c>
      <x:c r="G148" s="9" t="str">
        <x:v>验证取消结束继续直播</x:v>
      </x:c>
      <x:c r="H148" s="9" t="str">
        <x:v>关播取消</x:v>
      </x:c>
      <x:c r="I148" s="9" t="str">
        <x:v>1. 主播正在直播</x:v>
      </x:c>
      <x:c r="J148" s="9" t="str">
        <x:v>1. 点击结束直播
2. 点击取消</x:v>
      </x:c>
      <x:c r="K148" s="9" t="str">
        <x:v>主播直播状态保持为直播中</x:v>
      </x:c>
      <x:c r="L148" s="10" t="str"/>
      <x:c r="M148" s="10" t="str">
        <x:v>未测</x:v>
      </x:c>
      <x:c r="N148" s="10" t="str"/>
      <x:c r="O148" s="9" t="str">
        <x:v>1. 来源（原型批注）：liveshow-proto/prototype/annotations/user.js；位置：views/live-room-host/end-confirm.html 结构化批注
2. 规则：BR-LIVE-GROUP-39D0CE2005
3. 分支：BR-LIVE-GROUP-39D0CE2005-B01
4. 未动态验证</x:v>
      </x:c>
    </x:row>
    <x:row r="149" ht="115" customHeight="1">
      <x:c r="A149" s="10" t="n">
        <x:v>148</x:v>
      </x:c>
      <x:c r="B149" s="10" t="str">
        <x:v>LIVE-0148</x:v>
      </x:c>
      <x:c r="C149" s="10" t="str">
        <x:v>直播模块</x:v>
      </x:c>
      <x:c r="D149" s="10" t="str">
        <x:v>直播结束（主播视角）</x:v>
      </x:c>
      <x:c r="E149" s="10" t="str">
        <x:v>业务流程</x:v>
      </x:c>
      <x:c r="F149" s="10" t="str">
        <x:v>P0</x:v>
      </x:c>
      <x:c r="G149" s="9" t="str">
        <x:v>验证确认结束关闭本场</x:v>
      </x:c>
      <x:c r="H149" s="9" t="str">
        <x:v>确认关播</x:v>
      </x:c>
      <x:c r="I149" s="9" t="str">
        <x:v>1. 主播正在直播</x:v>
      </x:c>
      <x:c r="J149" s="9" t="str">
        <x:v>1. 点击结束直播
2. 点击确认</x:v>
      </x:c>
      <x:c r="K149" s="9" t="str">
        <x:v>页面进入主播结束页</x:v>
      </x:c>
      <x:c r="L149" s="10" t="str">
        <x:v>FLOW-LIVE-END</x:v>
      </x:c>
      <x:c r="M149" s="10" t="str">
        <x:v>未测</x:v>
      </x:c>
      <x:c r="N149" s="10" t="str"/>
      <x:c r="O149" s="9" t="str">
        <x:v>1. 来源（原型批注）：liveshow-proto/prototype/annotations/user.js；位置：views/live-room-host/end-confirm.html 结构化批注
2. 规则：BR-LIVE-GROUP-39D0CE2005
3. 分支：BR-LIVE-GROUP-39D0CE2005-B02
4. 未动态验证</x:v>
      </x:c>
    </x:row>
    <x:row r="150" ht="115" customHeight="1">
      <x:c r="A150" s="10" t="n">
        <x:v>149</x:v>
      </x:c>
      <x:c r="B150" s="10" t="str">
        <x:v>LIVE-0149</x:v>
      </x:c>
      <x:c r="C150" s="10" t="str">
        <x:v>直播模块</x:v>
      </x:c>
      <x:c r="D150" s="10" t="str">
        <x:v>直播结束（主播视角）</x:v>
      </x:c>
      <x:c r="E150" s="10" t="str">
        <x:v>异常用例</x:v>
      </x:c>
      <x:c r="F150" s="10" t="str">
        <x:v>P1</x:v>
      </x:c>
      <x:c r="G150" s="9" t="str">
        <x:v>验证重复确认只关播一次</x:v>
      </x:c>
      <x:c r="H150" s="9" t="str">
        <x:v>关播幂等</x:v>
      </x:c>
      <x:c r="I150" s="9" t="str">
        <x:v>1. 主播正在直播
2. 结束直播确认视图已打开</x:v>
      </x:c>
      <x:c r="J150" s="9" t="str">
        <x:v>1. 连续点击确认两次</x:v>
      </x:c>
      <x:c r="K150" s="9" t="str">
        <x:v>系统只关闭一个直播场次</x:v>
      </x:c>
      <x:c r="L150" s="10" t="str">
        <x:v>FLOW-LIVE-END</x:v>
      </x:c>
      <x:c r="M150" s="10" t="str">
        <x:v>未测</x:v>
      </x:c>
      <x:c r="N150" s="10" t="str"/>
      <x:c r="O150" s="9" t="str">
        <x:v>1. 来源（原型批注）：liveshow-proto/prototype/annotations/user.js；位置：views/live-room-host/end-confirm.html 结构化批注
2. 规则：BR-LIVE-GROUP-39D0CE2005
3. 分支：BR-LIVE-GROUP-39D0CE2005-B03
4. 未动态验证</x:v>
      </x:c>
    </x:row>
    <x:row r="151" ht="100" customHeight="1">
      <x:c r="A151" s="10" t="n">
        <x:v>150</x:v>
      </x:c>
      <x:c r="B151" s="10" t="str">
        <x:v>LIVE-0150</x:v>
      </x:c>
      <x:c r="C151" s="10" t="str">
        <x:v>直播模块</x:v>
      </x:c>
      <x:c r="D151" s="10" t="str">
        <x:v>直播结束页（观众视角）</x:v>
      </x:c>
      <x:c r="E151" s="10" t="str">
        <x:v>异常用例</x:v>
      </x:c>
      <x:c r="F151" s="10" t="str">
        <x:v>P0</x:v>
      </x:c>
      <x:c r="G151" s="9" t="str">
        <x:v>验证结束后不能继续评论</x:v>
      </x:c>
      <x:c r="H151" s="9" t="str">
        <x:v>结束页评论限制</x:v>
      </x:c>
      <x:c r="I151" s="9" t="str">
        <x:v>1. 观众正在观看直播
2. 当前场次已结束</x:v>
      </x:c>
      <x:c r="J151" s="9" t="str">
        <x:v>1. 查看直播结束页</x:v>
      </x:c>
      <x:c r="K151" s="9" t="str">
        <x:v>页面不提供评论输入框</x:v>
      </x:c>
      <x:c r="L151" s="10" t="str"/>
      <x:c r="M151" s="10" t="str">
        <x:v>未测</x:v>
      </x:c>
      <x:c r="N151" s="10" t="str"/>
      <x:c r="O151" s="9" t="str">
        <x:v>1. 来源（原型批注）：liveshow-proto/prototype/annotations/user.js；位置：live-end-viewer.html 结构化批注
2. 规则：BR-LIVE-GROUP-79D91220FF
3. 分支：BR-LIVE-GROUP-79D91220FF-B01
4. 未动态验证</x:v>
      </x:c>
    </x:row>
    <x:row r="152" ht="100" customHeight="1">
      <x:c r="A152" s="10" t="n">
        <x:v>151</x:v>
      </x:c>
      <x:c r="B152" s="10" t="str">
        <x:v>LIVE-0151</x:v>
      </x:c>
      <x:c r="C152" s="10" t="str">
        <x:v>直播模块</x:v>
      </x:c>
      <x:c r="D152" s="10" t="str">
        <x:v>直播结束页（观众视角）</x:v>
      </x:c>
      <x:c r="E152" s="10" t="str">
        <x:v>功能需求</x:v>
      </x:c>
      <x:c r="F152" s="10" t="str">
        <x:v>P1</x:v>
      </x:c>
      <x:c r="G152" s="9" t="str">
        <x:v>验证重复打开结束场次</x:v>
      </x:c>
      <x:c r="H152" s="9" t="str">
        <x:v>结束状态保持</x:v>
      </x:c>
      <x:c r="I152" s="9" t="str">
        <x:v>1. 当前直播场次已结束</x:v>
      </x:c>
      <x:c r="J152" s="9" t="str">
        <x:v>1. 再次打开该场次入口</x:v>
      </x:c>
      <x:c r="K152" s="9" t="str">
        <x:v>页面仍显示直播结束状态</x:v>
      </x:c>
      <x:c r="L152" s="10" t="str"/>
      <x:c r="M152" s="10" t="str">
        <x:v>未测</x:v>
      </x:c>
      <x:c r="N152" s="10" t="str"/>
      <x:c r="O152" s="9" t="str">
        <x:v>1. 来源（原型批注）：liveshow-proto/prototype/annotations/user.js；位置：live-end-viewer.html 结构化批注
2. 规则：BR-LIVE-GROUP-79D91220FF
3. 分支：BR-LIVE-GROUP-79D91220FF-B02
4. 未动态验证</x:v>
      </x:c>
    </x:row>
    <x:row r="153" ht="100" customHeight="1">
      <x:c r="A153" s="10" t="n">
        <x:v>152</x:v>
      </x:c>
      <x:c r="B153" s="10" t="str">
        <x:v>LIVE-0152</x:v>
      </x:c>
      <x:c r="C153" s="10" t="str">
        <x:v>直播模块</x:v>
      </x:c>
      <x:c r="D153" s="10" t="str">
        <x:v>直播结束页（观众视角）</x:v>
      </x:c>
      <x:c r="E153" s="10" t="str">
        <x:v>业务流程</x:v>
      </x:c>
      <x:c r="F153" s="10" t="str">
        <x:v>P1</x:v>
      </x:c>
      <x:c r="G153" s="9" t="str">
        <x:v>验证新场次重新校验门票</x:v>
      </x:c>
      <x:c r="H153" s="9" t="str">
        <x:v>新场次准入</x:v>
      </x:c>
      <x:c r="I153" s="9" t="str">
        <x:v>1. 观众购买过上一场门票
2. 主播已创建新门票场次</x:v>
      </x:c>
      <x:c r="J153" s="9" t="str">
        <x:v>1. 进入主播的新场次</x:v>
      </x:c>
      <x:c r="K153" s="9" t="str">
        <x:v>页面显示购票弹窗</x:v>
      </x:c>
      <x:c r="L153" s="10" t="str">
        <x:v>FLOW-LIVE-TICKET</x:v>
      </x:c>
      <x:c r="M153" s="10" t="str">
        <x:v>未测</x:v>
      </x:c>
      <x:c r="N153" s="10" t="str"/>
      <x:c r="O153" s="9" t="str">
        <x:v>1. 来源（原型批注）：liveshow-proto/prototype/annotations/user.js；位置：live-end-viewer.html 结构化批注
2. 规则：BR-LIVE-GROUP-79D91220FF
3. 分支：BR-LIVE-GROUP-79D91220FF-B03
4. 未动态验证</x:v>
      </x:c>
    </x:row>
    <x:row r="154" ht="100" customHeight="1">
      <x:c r="A154" s="10" t="n">
        <x:v>153</x:v>
      </x:c>
      <x:c r="B154" s="10" t="str">
        <x:v>LIVE-0153</x:v>
      </x:c>
      <x:c r="C154" s="10" t="str">
        <x:v>直播模块</x:v>
      </x:c>
      <x:c r="D154" s="10" t="str">
        <x:v>直播结束页（主播视角）</x:v>
      </x:c>
      <x:c r="E154" s="10" t="str">
        <x:v>逻辑校验</x:v>
      </x:c>
      <x:c r="F154" s="10" t="str">
        <x:v>P1</x:v>
      </x:c>
      <x:c r="G154" s="9" t="str">
        <x:v>验证结束页直播时长</x:v>
      </x:c>
      <x:c r="H154" s="9" t="str">
        <x:v>本场时长</x:v>
      </x:c>
      <x:c r="I154" s="9" t="str">
        <x:v>1. 主播已结束直播
2. 测试数据：10:00 开始，10:30 结束</x:v>
      </x:c>
      <x:c r="J154" s="9" t="str">
        <x:v>1. 查看主播结束页</x:v>
      </x:c>
      <x:c r="K154" s="9" t="str">
        <x:v>直播时长显示 30 分钟</x:v>
      </x:c>
      <x:c r="L154" s="10" t="str"/>
      <x:c r="M154" s="10" t="str">
        <x:v>未测</x:v>
      </x:c>
      <x:c r="N154" s="10" t="str"/>
      <x:c r="O154" s="9" t="str">
        <x:v>1. 来源（原型批注）：liveshow-proto/prototype/annotations/user.js；位置：live-end-host.html 结构化批注
2. 规则：BR-LIVE-GROUP-79D91220FF
3. 分支：BR-LIVE-GROUP-79D91220FF-B04
4. 未动态验证</x:v>
      </x:c>
    </x:row>
    <x:row r="155" ht="100" customHeight="1">
      <x:c r="A155" s="10" t="n">
        <x:v>154</x:v>
      </x:c>
      <x:c r="B155" s="10" t="str">
        <x:v>LIVE-0154</x:v>
      </x:c>
      <x:c r="C155" s="10" t="str">
        <x:v>直播模块</x:v>
      </x:c>
      <x:c r="D155" s="10" t="str">
        <x:v>直播结束页（主播视角）</x:v>
      </x:c>
      <x:c r="E155" s="10" t="str">
        <x:v>逻辑校验</x:v>
      </x:c>
      <x:c r="F155" s="10" t="str">
        <x:v>P1</x:v>
      </x:c>
      <x:c r="G155" s="9" t="str">
        <x:v>验证结束页观看人次</x:v>
      </x:c>
      <x:c r="H155" s="9" t="str">
        <x:v>观看人次</x:v>
      </x:c>
      <x:c r="I155" s="9" t="str">
        <x:v>1. 主播已结束直播
2. 测试数据：观众 A 进入 2 次，观众 B 进入 1 次</x:v>
      </x:c>
      <x:c r="J155" s="9" t="str">
        <x:v>1. 查看主播结束页</x:v>
      </x:c>
      <x:c r="K155" s="9" t="str">
        <x:v>观看人数显示 3 人次</x:v>
      </x:c>
      <x:c r="L155" s="10" t="str"/>
      <x:c r="M155" s="10" t="str">
        <x:v>未测</x:v>
      </x:c>
      <x:c r="N155" s="10" t="str"/>
      <x:c r="O155" s="9" t="str">
        <x:v>1. 来源（原型批注）：liveshow-proto/prototype/annotations/user.js；位置：live-end-host.html 结构化批注
2. 规则：BR-LIVE-GROUP-79D91220FF
3. 分支：BR-LIVE-GROUP-79D91220FF-B05
4. 未动态验证</x:v>
      </x:c>
    </x:row>
    <x:row r="156" ht="100" customHeight="1">
      <x:c r="A156" s="10" t="n">
        <x:v>155</x:v>
      </x:c>
      <x:c r="B156" s="10" t="str">
        <x:v>LIVE-0155</x:v>
      </x:c>
      <x:c r="C156" s="10" t="str">
        <x:v>直播模块</x:v>
      </x:c>
      <x:c r="D156" s="10" t="str">
        <x:v>直播结束页（主播视角）</x:v>
      </x:c>
      <x:c r="E156" s="10" t="str">
        <x:v>逻辑校验</x:v>
      </x:c>
      <x:c r="F156" s="10" t="str">
        <x:v>P1</x:v>
      </x:c>
      <x:c r="G156" s="9" t="str">
        <x:v>验证结束页本场收益</x:v>
      </x:c>
      <x:c r="H156" s="9" t="str">
        <x:v>本场收益</x:v>
      </x:c>
      <x:c r="I156" s="9" t="str">
        <x:v>1. 主播已结束直播
2. 测试数据：普通礼物 100、门票 20、幸运礼物价值 1000、幸运收益比例 1%</x:v>
      </x:c>
      <x:c r="J156" s="9" t="str">
        <x:v>1. 查看主播结束页</x:v>
      </x:c>
      <x:c r="K156" s="9" t="str">
        <x:v>本场收益显示为 100 + 20 + 1000 × 1% = 130 金币</x:v>
      </x:c>
      <x:c r="L156" s="10" t="str">
        <x:v>FLOW-LIVE-INCOME</x:v>
      </x:c>
      <x:c r="M156" s="10" t="str">
        <x:v>未测</x:v>
      </x:c>
      <x:c r="N156" s="10" t="str"/>
      <x:c r="O156" s="9" t="str">
        <x:v>1. 来源（原型批注）：liveshow-proto/prototype/annotations/user.js；位置：live-end-host.html 结构化批注
2. 规则：BR-LIVE-GROUP-79D91220FF
3. 分支：BR-LIVE-GROUP-79D91220FF-B06
4. 未动态验证</x:v>
      </x:c>
    </x:row>
    <x:row r="157" ht="100" customHeight="1">
      <x:c r="A157" s="10" t="n">
        <x:v>156</x:v>
      </x:c>
      <x:c r="B157" s="10" t="str">
        <x:v>LIVE-0156</x:v>
      </x:c>
      <x:c r="C157" s="10" t="str">
        <x:v>直播模块</x:v>
      </x:c>
      <x:c r="D157" s="10" t="str">
        <x:v>直播数据（主播视角）</x:v>
      </x:c>
      <x:c r="E157" s="10" t="str">
        <x:v>功能需求</x:v>
      </x:c>
      <x:c r="F157" s="10" t="str">
        <x:v>P1</x:v>
      </x:c>
      <x:c r="G157" s="9" t="str">
        <x:v>验证日月范围切换更新指标</x:v>
      </x:c>
      <x:c r="H157" s="9" t="str">
        <x:v>统计范围切换</x:v>
      </x:c>
      <x:c r="I157" s="9" t="str">
        <x:v>1. 主播已有跨日和跨月直播数据</x:v>
      </x:c>
      <x:c r="J157" s="9" t="str">
        <x:v>1. 进入直播数据
2. 切换至月范围</x:v>
      </x:c>
      <x:c r="K157" s="9" t="str">
        <x:v>页面全部指标更新为所选月份数据</x:v>
      </x:c>
      <x:c r="L157" s="10" t="str"/>
      <x:c r="M157" s="10" t="str">
        <x:v>未测</x:v>
      </x:c>
      <x:c r="N157" s="10" t="str"/>
      <x:c r="O157" s="9" t="str">
        <x:v>1. 来源（原型批注）：liveshow-proto/prototype/annotations/user.js；位置：live-data.html 结构化批注
2. 规则：BR-LIVE-GROUP-427355016E
3. 分支：BR-LIVE-GROUP-427355016E-B01
4. 未动态验证</x:v>
      </x:c>
    </x:row>
    <x:row r="158" ht="100" customHeight="1">
      <x:c r="A158" s="10" t="n">
        <x:v>157</x:v>
      </x:c>
      <x:c r="B158" s="10" t="str">
        <x:v>LIVE-0157</x:v>
      </x:c>
      <x:c r="C158" s="10" t="str">
        <x:v>直播模块</x:v>
      </x:c>
      <x:c r="D158" s="10" t="str">
        <x:v>直播数据（主播视角）</x:v>
      </x:c>
      <x:c r="E158" s="10" t="str">
        <x:v>逻辑校验</x:v>
      </x:c>
      <x:c r="F158" s="10" t="str">
        <x:v>P1</x:v>
      </x:c>
      <x:c r="G158" s="9" t="str">
        <x:v>验证 179 分钟不计有效天</x:v>
      </x:c>
      <x:c r="H158" s="9" t="str">
        <x:v>有效天未达标</x:v>
      </x:c>
      <x:c r="I158" s="9" t="str">
        <x:v>1. 主播当日有效直播时长 179 分钟</x:v>
      </x:c>
      <x:c r="J158" s="9" t="str">
        <x:v>1. 进入直播数据
2. 选择当日</x:v>
      </x:c>
      <x:c r="K158" s="9" t="str">
        <x:v>有效天显示 0 天</x:v>
      </x:c>
      <x:c r="L158" s="10" t="str"/>
      <x:c r="M158" s="10" t="str">
        <x:v>未测</x:v>
      </x:c>
      <x:c r="N158" s="10" t="str"/>
      <x:c r="O158" s="9" t="str">
        <x:v>1. 来源（原型批注）：liveshow-proto/prototype/annotations/user.js；位置：live-data.html 结构化批注
2. 规则：BR-LIVE-GROUP-427355016E
3. 分支：BR-LIVE-GROUP-427355016E-B02
4. 未动态验证</x:v>
      </x:c>
    </x:row>
    <x:row r="159" ht="100" customHeight="1">
      <x:c r="A159" s="10" t="n">
        <x:v>158</x:v>
      </x:c>
      <x:c r="B159" s="10" t="str">
        <x:v>LIVE-0158</x:v>
      </x:c>
      <x:c r="C159" s="10" t="str">
        <x:v>直播模块</x:v>
      </x:c>
      <x:c r="D159" s="10" t="str">
        <x:v>直播数据（主播视角）</x:v>
      </x:c>
      <x:c r="E159" s="10" t="str">
        <x:v>逻辑校验</x:v>
      </x:c>
      <x:c r="F159" s="10" t="str">
        <x:v>P1</x:v>
      </x:c>
      <x:c r="G159" s="9" t="str">
        <x:v>验证 180 分钟计一个有效天</x:v>
      </x:c>
      <x:c r="H159" s="9" t="str">
        <x:v>有效天边界</x:v>
      </x:c>
      <x:c r="I159" s="9" t="str">
        <x:v>1. 主播当日有效直播时长 180 分钟</x:v>
      </x:c>
      <x:c r="J159" s="9" t="str">
        <x:v>1. 进入直播数据
2. 选择当日</x:v>
      </x:c>
      <x:c r="K159" s="9" t="str">
        <x:v>有效天显示 1 天</x:v>
      </x:c>
      <x:c r="L159" s="10" t="str"/>
      <x:c r="M159" s="10" t="str">
        <x:v>未测</x:v>
      </x:c>
      <x:c r="N159" s="10" t="str"/>
      <x:c r="O159" s="9" t="str">
        <x:v>1. 来源（原型批注）：liveshow-proto/prototype/annotations/user.js；位置：live-data.html 结构化批注
2. 规则：BR-LIVE-GROUP-427355016E
3. 分支：BR-LIVE-GROUP-427355016E-B03
4. 未动态验证</x:v>
      </x:c>
    </x:row>
    <x:row r="160" ht="100" customHeight="1">
      <x:c r="A160" s="10" t="n">
        <x:v>159</x:v>
      </x:c>
      <x:c r="B160" s="10" t="str">
        <x:v>LIVE-0159</x:v>
      </x:c>
      <x:c r="C160" s="10" t="str">
        <x:v>直播模块</x:v>
      </x:c>
      <x:c r="D160" s="10" t="str">
        <x:v>直播数据（主播视角）</x:v>
      </x:c>
      <x:c r="E160" s="10" t="str">
        <x:v>逻辑校验</x:v>
      </x:c>
      <x:c r="F160" s="10" t="str">
        <x:v>P1</x:v>
      </x:c>
      <x:c r="G160" s="9" t="str">
        <x:v>验证同日多场最多计一天</x:v>
      </x:c>
      <x:c r="H160" s="9" t="str">
        <x:v>有效天上限</x:v>
      </x:c>
      <x:c r="I160" s="9" t="str">
        <x:v>1. 主播同一自然日有 2 场直播
2. 测试数据：两场有效时长合计 360 分钟</x:v>
      </x:c>
      <x:c r="J160" s="9" t="str">
        <x:v>1. 进入直播数据
2. 选择当日</x:v>
      </x:c>
      <x:c r="K160" s="9" t="str">
        <x:v>有效天显示 1 天</x:v>
      </x:c>
      <x:c r="L160" s="10" t="str"/>
      <x:c r="M160" s="10" t="str">
        <x:v>未测</x:v>
      </x:c>
      <x:c r="N160" s="10" t="str"/>
      <x:c r="O160" s="9" t="str">
        <x:v>1. 来源（原型批注）：liveshow-proto/prototype/annotations/user.js；位置：live-data.html 结构化批注
2. 规则：BR-LIVE-GROUP-427355016E
3. 分支：BR-LIVE-GROUP-427355016E-B04
4. 未动态验证</x:v>
      </x:c>
    </x:row>
    <x:row r="161" ht="100" customHeight="1">
      <x:c r="A161" s="10" t="n">
        <x:v>160</x:v>
      </x:c>
      <x:c r="B161" s="10" t="str">
        <x:v>LIVE-0160</x:v>
      </x:c>
      <x:c r="C161" s="10" t="str">
        <x:v>直播模块</x:v>
      </x:c>
      <x:c r="D161" s="10" t="str">
        <x:v>直播数据（主播视角）</x:v>
      </x:c>
      <x:c r="E161" s="10" t="str">
        <x:v>异常用例</x:v>
      </x:c>
      <x:c r="F161" s="10" t="str">
        <x:v>P1</x:v>
      </x:c>
      <x:c r="G161" s="9" t="str">
        <x:v>验证无数据月份指标归零</x:v>
      </x:c>
      <x:c r="H161" s="9" t="str">
        <x:v>月份空数据</x:v>
      </x:c>
      <x:c r="I161" s="9" t="str">
        <x:v>1. 主播目标月份无直播数据</x:v>
      </x:c>
      <x:c r="J161" s="9" t="str">
        <x:v>1. 进入直播数据
2. 切换至目标月份</x:v>
      </x:c>
      <x:c r="K161" s="9" t="str">
        <x:v>页面全部指标显示 0</x:v>
      </x:c>
      <x:c r="L161" s="10" t="str"/>
      <x:c r="M161" s="10" t="str">
        <x:v>未测</x:v>
      </x:c>
      <x:c r="N161" s="10" t="str"/>
      <x:c r="O161" s="9" t="str">
        <x:v>1. 来源（原型批注）：liveshow-proto/prototype/annotations/user.js；位置：views/live-data/month.html 结构化批注
2. 规则：BR-LIVE-GROUP-427355016E
3. 分支：BR-LIVE-GROUP-427355016E-B05
4. 未动态验证</x:v>
      </x:c>
    </x:row>
    <x:row r="162" ht="100" customHeight="1">
      <x:c r="A162" s="10" t="n">
        <x:v>161</x:v>
      </x:c>
      <x:c r="B162" s="10" t="str">
        <x:v>LIVE-0161</x:v>
      </x:c>
      <x:c r="C162" s="10" t="str">
        <x:v>直播模块</x:v>
      </x:c>
      <x:c r="D162" s="10" t="str">
        <x:v>直播数据（主播视角）</x:v>
      </x:c>
      <x:c r="E162" s="10" t="str">
        <x:v>逻辑校验</x:v>
      </x:c>
      <x:c r="F162" s="10" t="str">
        <x:v>P0</x:v>
      </x:c>
      <x:c r="G162" s="9" t="str">
        <x:v>验证虚拟金币不计收益</x:v>
      </x:c>
      <x:c r="H162" s="9" t="str">
        <x:v>收益排除项</x:v>
      </x:c>
      <x:c r="I162" s="9" t="str">
        <x:v>1. 主播目标月份收到 100 虚拟金币礼物
2. 无其他有效收益</x:v>
      </x:c>
      <x:c r="J162" s="9" t="str">
        <x:v>1. 进入直播数据
2. 切换至目标月份</x:v>
      </x:c>
      <x:c r="K162" s="9" t="str">
        <x:v>收益显示 0 金币</x:v>
      </x:c>
      <x:c r="L162" s="10" t="str">
        <x:v>FLOW-LIVE-INCOME</x:v>
      </x:c>
      <x:c r="M162" s="10" t="str">
        <x:v>未测</x:v>
      </x:c>
      <x:c r="N162" s="10" t="str"/>
      <x:c r="O162" s="9" t="str">
        <x:v>1. 来源（原型批注）：liveshow-proto/prototype/annotations/user.js；位置：live-data.html 结构化批注
2. 规则：BR-LIVE-GROUP-427355016E
3. 分支：BR-LIVE-GROUP-427355016E-B06
4. 未动态验证</x:v>
      </x:c>
    </x:row>
    <x:row r="163" ht="100" customHeight="1">
      <x:c r="A163" s="10" t="n">
        <x:v>162</x:v>
      </x:c>
      <x:c r="B163" s="10" t="str">
        <x:v>LIVE-0162</x:v>
      </x:c>
      <x:c r="C163" s="10" t="str">
        <x:v>直播模块</x:v>
      </x:c>
      <x:c r="D163" s="10" t="str">
        <x:v>直播记录（主播视角）</x:v>
      </x:c>
      <x:c r="E163" s="10" t="str">
        <x:v>功能需求</x:v>
      </x:c>
      <x:c r="F163" s="10" t="str">
        <x:v>P1</x:v>
      </x:c>
      <x:c r="G163" s="9" t="str">
        <x:v>验证默认查询近 7 天</x:v>
      </x:c>
      <x:c r="H163" s="9" t="str">
        <x:v>默认日期范围</x:v>
      </x:c>
      <x:c r="I163" s="9" t="str">
        <x:v>1. 主播近 8 天每天有一场直播</x:v>
      </x:c>
      <x:c r="J163" s="9" t="str">
        <x:v>1. 进入直播记录</x:v>
      </x:c>
      <x:c r="K163" s="9" t="str">
        <x:v>列表只显示近 7 天内的直播场次</x:v>
      </x:c>
      <x:c r="L163" s="10" t="str"/>
      <x:c r="M163" s="10" t="str">
        <x:v>未测</x:v>
      </x:c>
      <x:c r="N163" s="10" t="str"/>
      <x:c r="O163" s="9" t="str">
        <x:v>1. 来源（原型批注）：liveshow-proto/prototype/annotations/user.js；位置：live-records.html 结构化批注
2. 规则：BR-LIVE-GROUP-20DF672AB7
3. 分支：BR-LIVE-GROUP-20DF672AB7-B01
4. 未动态验证</x:v>
      </x:c>
    </x:row>
    <x:row r="164" ht="100" customHeight="1">
      <x:c r="A164" s="10" t="n">
        <x:v>163</x:v>
      </x:c>
      <x:c r="B164" s="10" t="str">
        <x:v>LIVE-0163</x:v>
      </x:c>
      <x:c r="C164" s="10" t="str">
        <x:v>直播模块</x:v>
      </x:c>
      <x:c r="D164" s="10" t="str">
        <x:v>直播记录（主播视角）</x:v>
      </x:c>
      <x:c r="E164" s="10" t="str">
        <x:v>功能需求</x:v>
      </x:c>
      <x:c r="F164" s="10" t="str">
        <x:v>P1</x:v>
      </x:c>
      <x:c r="G164" s="9" t="str">
        <x:v>验证日期范围更新汇总</x:v>
      </x:c>
      <x:c r="H164" s="9" t="str">
        <x:v>日期筛选</x:v>
      </x:c>
      <x:c r="I164" s="9" t="str">
        <x:v>1. 主播本周和上周均有直播记录</x:v>
      </x:c>
      <x:c r="J164" s="9" t="str">
        <x:v>1. 进入直播记录
2. 选择本周</x:v>
      </x:c>
      <x:c r="K164" s="9" t="str">
        <x:v>汇总指标只统计本周场次</x:v>
      </x:c>
      <x:c r="L164" s="10" t="str"/>
      <x:c r="M164" s="10" t="str">
        <x:v>未测</x:v>
      </x:c>
      <x:c r="N164" s="10" t="str"/>
      <x:c r="O164" s="9" t="str">
        <x:v>1. 来源（原型批注）：liveshow-proto/prototype/annotations/user.js；位置：live-records.html 结构化批注
2. 规则：BR-LIVE-GROUP-20DF672AB7
3. 分支：BR-LIVE-GROUP-20DF672AB7-B02
4. 未动态验证</x:v>
      </x:c>
    </x:row>
    <x:row r="165" ht="100" customHeight="1">
      <x:c r="A165" s="10" t="n">
        <x:v>164</x:v>
      </x:c>
      <x:c r="B165" s="10" t="str">
        <x:v>LIVE-0164</x:v>
      </x:c>
      <x:c r="C165" s="10" t="str">
        <x:v>直播模块</x:v>
      </x:c>
      <x:c r="D165" s="10" t="str">
        <x:v>直播记录（主播视角）</x:v>
      </x:c>
      <x:c r="E165" s="10" t="str">
        <x:v>功能需求</x:v>
      </x:c>
      <x:c r="F165" s="10" t="str">
        <x:v>P1</x:v>
      </x:c>
      <x:c r="G165" s="9" t="str">
        <x:v>验证记录按开播时间倒序</x:v>
      </x:c>
      <x:c r="H165" s="9" t="str">
        <x:v>记录排序</x:v>
      </x:c>
      <x:c r="I165" s="9" t="str">
        <x:v>1. 主播筛选范围内有多场直播</x:v>
      </x:c>
      <x:c r="J165" s="9" t="str">
        <x:v>1. 进入直播记录
2. 查看场次顺序</x:v>
      </x:c>
      <x:c r="K165" s="9" t="str">
        <x:v>场次按开播时间倒序显示</x:v>
      </x:c>
      <x:c r="L165" s="10" t="str"/>
      <x:c r="M165" s="10" t="str">
        <x:v>未测</x:v>
      </x:c>
      <x:c r="N165" s="10" t="str"/>
      <x:c r="O165" s="9" t="str">
        <x:v>1. 来源（原型批注）：liveshow-proto/prototype/annotations/user.js；位置：live-records.html 结构化批注
2. 规则：BR-LIVE-GROUP-20DF672AB7
3. 分支：BR-LIVE-GROUP-20DF672AB7-B03
4. 未动态验证</x:v>
      </x:c>
    </x:row>
    <x:row r="166" ht="100" customHeight="1">
      <x:c r="A166" s="10" t="n">
        <x:v>165</x:v>
      </x:c>
      <x:c r="B166" s="10" t="str">
        <x:v>LIVE-0165</x:v>
      </x:c>
      <x:c r="C166" s="10" t="str">
        <x:v>直播模块</x:v>
      </x:c>
      <x:c r="D166" s="10" t="str">
        <x:v>直播记录（主播视角）</x:v>
      </x:c>
      <x:c r="E166" s="10" t="str">
        <x:v>功能需求</x:v>
      </x:c>
      <x:c r="F166" s="10" t="str">
        <x:v>P1</x:v>
      </x:c>
      <x:c r="G166" s="9" t="str">
        <x:v>验证历史配置使用场次快照</x:v>
      </x:c>
      <x:c r="H166" s="9" t="str">
        <x:v>场次配置快照</x:v>
      </x:c>
      <x:c r="I166" s="9" t="str">
        <x:v>1. 主播已有历史门票房记录
2. 当前门票档位已修改</x:v>
      </x:c>
      <x:c r="J166" s="9" t="str">
        <x:v>1. 进入直播记录
2. 点击历史场次</x:v>
      </x:c>
      <x:c r="K166" s="9" t="str">
        <x:v>场次详情显示开播时的门票配置</x:v>
      </x:c>
      <x:c r="L166" s="10" t="str"/>
      <x:c r="M166" s="10" t="str">
        <x:v>未测</x:v>
      </x:c>
      <x:c r="N166" s="10" t="str"/>
      <x:c r="O166" s="9" t="str">
        <x:v>1. 来源（原型批注）：liveshow-proto/prototype/annotations/user.js；位置：live-records.html 结构化批注
2. 规则：BR-LIVE-GROUP-20DF672AB7
3. 分支：BR-LIVE-GROUP-20DF672AB7-B04
4. 未动态验证</x:v>
      </x:c>
    </x:row>
    <x:row r="167" ht="100" customHeight="1">
      <x:c r="A167" s="10" t="n">
        <x:v>166</x:v>
      </x:c>
      <x:c r="B167" s="10" t="str">
        <x:v>LIVE-0166</x:v>
      </x:c>
      <x:c r="C167" s="10" t="str">
        <x:v>直播模块</x:v>
      </x:c>
      <x:c r="D167" s="10" t="str">
        <x:v>直播记录（主播视角）</x:v>
      </x:c>
      <x:c r="E167" s="10" t="str">
        <x:v>功能需求</x:v>
      </x:c>
      <x:c r="F167" s="10" t="str">
        <x:v>P1</x:v>
      </x:c>
      <x:c r="G167" s="9" t="str">
        <x:v>验证直播中记录结束时间为空</x:v>
      </x:c>
      <x:c r="H167" s="9" t="str">
        <x:v>进行中记录</x:v>
      </x:c>
      <x:c r="I167" s="9" t="str">
        <x:v>1. 主播当前正在直播</x:v>
      </x:c>
      <x:c r="J167" s="9" t="str">
        <x:v>1. 进入直播记录
2. 查看当前场次</x:v>
      </x:c>
      <x:c r="K167" s="9" t="str">
        <x:v>当前场次结束时间为空</x:v>
      </x:c>
      <x:c r="L167" s="10" t="str"/>
      <x:c r="M167" s="10" t="str">
        <x:v>未测</x:v>
      </x:c>
      <x:c r="N167" s="10" t="str"/>
      <x:c r="O167" s="9" t="str">
        <x:v>1. 来源（原型批注）：liveshow-proto/prototype/annotations/user.js；位置：live-records.html 结构化批注
2. 规则：BR-LIVE-GROUP-20DF672AB7
3. 分支：BR-LIVE-GROUP-20DF672AB7-B05
4. 未动态验证</x:v>
      </x:c>
    </x:row>
    <x:row r="168" ht="100" customHeight="1">
      <x:c r="A168" s="10" t="n">
        <x:v>167</x:v>
      </x:c>
      <x:c r="B168" s="10" t="str">
        <x:v>LIVE-0167</x:v>
      </x:c>
      <x:c r="C168" s="10" t="str">
        <x:v>直播模块</x:v>
      </x:c>
      <x:c r="D168" s="10" t="str">
        <x:v>直播记录（主播视角）</x:v>
      </x:c>
      <x:c r="E168" s="10" t="str">
        <x:v>功能需求</x:v>
      </x:c>
      <x:c r="F168" s="10" t="str">
        <x:v>P1</x:v>
      </x:c>
      <x:c r="G168" s="9" t="str">
        <x:v>验证点击场次进入单场数据</x:v>
      </x:c>
      <x:c r="H168" s="9" t="str">
        <x:v>单场详情入口</x:v>
      </x:c>
      <x:c r="I168" s="9" t="str">
        <x:v>1. 主播已有至少一场直播记录</x:v>
      </x:c>
      <x:c r="J168" s="9" t="str">
        <x:v>1. 进入直播记录
2. 点击目标场次</x:v>
      </x:c>
      <x:c r="K168" s="9" t="str">
        <x:v>单场详情包含数据和礼物明细</x:v>
      </x:c>
      <x:c r="L168" s="10" t="str"/>
      <x:c r="M168" s="10" t="str">
        <x:v>未测</x:v>
      </x:c>
      <x:c r="N168" s="10" t="str"/>
      <x:c r="O168" s="9" t="str">
        <x:v>1. 来源（原型批注）：liveshow-proto/prototype/annotations/user.js；位置：live-records.html 结构化批注
2. 规则：BR-LIVE-GROUP-20DF672AB7
3. 分支：BR-LIVE-GROUP-20DF672AB7-B06
4. 未动态验证</x:v>
      </x:c>
    </x:row>
    <x:row r="169" ht="100" customHeight="1">
      <x:c r="A169" s="10" t="n">
        <x:v>168</x:v>
      </x:c>
      <x:c r="B169" s="10" t="str">
        <x:v>LIVE-0168</x:v>
      </x:c>
      <x:c r="C169" s="10" t="str">
        <x:v>直播模块</x:v>
      </x:c>
      <x:c r="D169" s="10" t="str">
        <x:v>直播间（主播视角）</x:v>
      </x:c>
      <x:c r="E169" s="10" t="str">
        <x:v>业务流程</x:v>
      </x:c>
      <x:c r="F169" s="10" t="str">
        <x:v>P1</x:v>
      </x:c>
      <x:c r="G169" s="9" t="str">
        <x:v>验证任一方结束直播后的邀请失效</x:v>
      </x:c>
      <x:c r="H169" s="9" t="str">
        <x:v>待处理邀请状态</x:v>
      </x:c>
      <x:c r="I169" s="9" t="str">
        <x:v>1. 执行者为主播B；主播A、B、C均在普通房直播、未连麦且互不拉黑
2. 主播A、C分别向主播B发送了待处理邀请</x:v>
      </x:c>
      <x:c r="J169" s="9" t="str">
        <x:v>1. 打开连麦主播面板的收到的邀请
2. 接收主播A结束直播事件
3. 查看收到的邀请</x:v>
      </x:c>
      <x:c r="K169" s="9" t="str">
        <x:v>收到的邀请不再显示主播A的邀请</x:v>
      </x:c>
      <x:c r="L169" s="10" t="str"/>
      <x:c r="M169" s="10" t="str">
        <x:v>未测</x:v>
      </x:c>
      <x:c r="N169" s="10" t="str"/>
      <x:c r="O169" s="9" t="str">
        <x:v>1. 来源（原型批注）：liveshow-proto/prototype/annotations/user.js；live-room-host.html
2. 规则：BR-4060C5E967A8E7
3. 场景：SC-F4944CCE88DEB8
4. 未动态验证</x:v>
      </x:c>
    </x:row>
    <x:row r="170" ht="100" customHeight="1">
      <x:c r="A170" s="10" t="n">
        <x:v>169</x:v>
      </x:c>
      <x:c r="B170" s="10" t="str">
        <x:v>LIVE-0169</x:v>
      </x:c>
      <x:c r="C170" s="10" t="str">
        <x:v>直播模块</x:v>
      </x:c>
      <x:c r="D170" s="10" t="str">
        <x:v>直播间（主播视角）</x:v>
      </x:c>
      <x:c r="E170" s="10" t="str">
        <x:v>逻辑校验</x:v>
      </x:c>
      <x:c r="F170" s="10" t="str">
        <x:v>P1</x:v>
      </x:c>
      <x:c r="G170" s="9" t="str">
        <x:v>验证3位密码无法提交</x:v>
      </x:c>
      <x:c r="H170" s="9" t="str">
        <x:v>密码输入边界</x:v>
      </x:c>
      <x:c r="I170" s="9" t="str">
        <x:v>1. 主播正在密码房直播</x:v>
      </x:c>
      <x:c r="J170" s="9" t="str">
        <x:v>1. 打开更多功能
2. 点击房间密码
3. 输入密码111
4. 点击保存</x:v>
      </x:c>
      <x:c r="K170" s="9" t="str">
        <x:v>页面提示“密码必须是4-12个数字”</x:v>
      </x:c>
      <x:c r="L170" s="10" t="str"/>
      <x:c r="M170" s="10" t="str">
        <x:v>未测</x:v>
      </x:c>
      <x:c r="N170" s="10" t="str"/>
      <x:c r="O170" s="9" t="str">
        <x:v>1. 来源（原型批注）：liveshow-proto/prototype/annotations/user.js；live-room-host-password.html
2. 规则：BR-39D8006B89998C
3. 场景：SC-F6C3211A26D8EF
4. 未动态验证</x:v>
      </x:c>
    </x:row>
    <x:row r="171" ht="100" customHeight="1">
      <x:c r="A171" s="10" t="n">
        <x:v>170</x:v>
      </x:c>
      <x:c r="B171" s="10" t="str">
        <x:v>LIVE-0170</x:v>
      </x:c>
      <x:c r="C171" s="10" t="str">
        <x:v>直播模块</x:v>
      </x:c>
      <x:c r="D171" s="10" t="str">
        <x:v>直播间（主播视角）</x:v>
      </x:c>
      <x:c r="E171" s="10" t="str">
        <x:v>逻辑校验</x:v>
      </x:c>
      <x:c r="F171" s="10" t="str">
        <x:v>P1</x:v>
      </x:c>
      <x:c r="G171" s="9" t="str">
        <x:v>验证4位密码符合格式要求</x:v>
      </x:c>
      <x:c r="H171" s="9" t="str">
        <x:v>密码输入边界</x:v>
      </x:c>
      <x:c r="I171" s="9" t="str">
        <x:v>1. 主播正在密码房直播</x:v>
      </x:c>
      <x:c r="J171" s="9" t="str">
        <x:v>1. 打开更多功能
2. 点击房间密码
3. 输入密码1111
4. 点击保存</x:v>
      </x:c>
      <x:c r="K171" s="9" t="str">
        <x:v>当前有效密码为1111</x:v>
      </x:c>
      <x:c r="L171" s="10" t="str"/>
      <x:c r="M171" s="10" t="str">
        <x:v>未测</x:v>
      </x:c>
      <x:c r="N171" s="10" t="str"/>
      <x:c r="O171" s="9" t="str">
        <x:v>1. 来源（原型批注）：liveshow-proto/prototype/annotations/user.js；live-room-host-password.html
2. 规则：BR-39D8006B89998C
3. 场景：SC-64CB9D8ED28A72
4. 未动态验证</x:v>
      </x:c>
    </x:row>
    <x:row r="172" ht="100" customHeight="1">
      <x:c r="A172" s="10" t="n">
        <x:v>171</x:v>
      </x:c>
      <x:c r="B172" s="10" t="str">
        <x:v>LIVE-0171</x:v>
      </x:c>
      <x:c r="C172" s="10" t="str">
        <x:v>直播模块</x:v>
      </x:c>
      <x:c r="D172" s="10" t="str">
        <x:v>直播间（主播视角）</x:v>
      </x:c>
      <x:c r="E172" s="10" t="str">
        <x:v>逻辑校验</x:v>
      </x:c>
      <x:c r="F172" s="10" t="str">
        <x:v>P1</x:v>
      </x:c>
      <x:c r="G172" s="9" t="str">
        <x:v>验证12位密码符合格式要求</x:v>
      </x:c>
      <x:c r="H172" s="9" t="str">
        <x:v>密码输入边界</x:v>
      </x:c>
      <x:c r="I172" s="9" t="str">
        <x:v>1. 主播正在密码房直播</x:v>
      </x:c>
      <x:c r="J172" s="9" t="str">
        <x:v>1. 打开更多功能
2. 点击房间密码
3. 输入密码111111111111
4. 点击保存</x:v>
      </x:c>
      <x:c r="K172" s="9" t="str">
        <x:v>当前有效密码为111111111111</x:v>
      </x:c>
      <x:c r="L172" s="10" t="str"/>
      <x:c r="M172" s="10" t="str">
        <x:v>未测</x:v>
      </x:c>
      <x:c r="N172" s="10" t="str"/>
      <x:c r="O172" s="9" t="str">
        <x:v>1. 来源（原型批注）：liveshow-proto/prototype/annotations/user.js；live-room-host-password.html
2. 规则：BR-39D8006B89998C
3. 场景：SC-60A8094D78D293
4. 未动态验证</x:v>
      </x:c>
    </x:row>
    <x:row r="173" ht="100" customHeight="1">
      <x:c r="A173" s="10" t="n">
        <x:v>172</x:v>
      </x:c>
      <x:c r="B173" s="10" t="str">
        <x:v>LIVE-0172</x:v>
      </x:c>
      <x:c r="C173" s="10" t="str">
        <x:v>直播模块</x:v>
      </x:c>
      <x:c r="D173" s="10" t="str">
        <x:v>直播间（主播视角）</x:v>
      </x:c>
      <x:c r="E173" s="10" t="str">
        <x:v>逻辑校验</x:v>
      </x:c>
      <x:c r="F173" s="10" t="str">
        <x:v>P1</x:v>
      </x:c>
      <x:c r="G173" s="9" t="str">
        <x:v>验证13位密码无法提交</x:v>
      </x:c>
      <x:c r="H173" s="9" t="str">
        <x:v>密码输入边界</x:v>
      </x:c>
      <x:c r="I173" s="9" t="str">
        <x:v>1. 主播正在密码房直播</x:v>
      </x:c>
      <x:c r="J173" s="9" t="str">
        <x:v>1. 打开更多功能
2. 点击房间密码
3. 输入密码1111111111111
4. 点击保存</x:v>
      </x:c>
      <x:c r="K173" s="9" t="str">
        <x:v>页面提示“密码必须是4-12个数字”</x:v>
      </x:c>
      <x:c r="L173" s="10" t="str"/>
      <x:c r="M173" s="10" t="str">
        <x:v>未测</x:v>
      </x:c>
      <x:c r="N173" s="10" t="str"/>
      <x:c r="O173" s="9" t="str">
        <x:v>1. 来源（原型批注）：liveshow-proto/prototype/annotations/user.js；live-room-host-password.html
2. 规则：BR-39D8006B89998C
3. 场景：SC-4E5FBC03D19E68
4. 未动态验证</x:v>
      </x:c>
    </x:row>
    <x:row r="174" ht="100" customHeight="1">
      <x:c r="A174" s="10" t="n">
        <x:v>173</x:v>
      </x:c>
      <x:c r="B174" s="10" t="str">
        <x:v>LIVE-0173</x:v>
      </x:c>
      <x:c r="C174" s="10" t="str">
        <x:v>直播模块</x:v>
      </x:c>
      <x:c r="D174" s="10" t="str">
        <x:v>直播间（主播视角）</x:v>
      </x:c>
      <x:c r="E174" s="10" t="str">
        <x:v>逻辑校验</x:v>
      </x:c>
      <x:c r="F174" s="10" t="str">
        <x:v>P1</x:v>
      </x:c>
      <x:c r="G174" s="9" t="str">
        <x:v>验证空密码无法提交</x:v>
      </x:c>
      <x:c r="H174" s="9" t="str">
        <x:v>密码输入边界</x:v>
      </x:c>
      <x:c r="I174" s="9" t="str">
        <x:v>1. 主播正在密码房直播</x:v>
      </x:c>
      <x:c r="J174" s="9" t="str">
        <x:v>1. 打开更多功能
2. 点击房间密码
3. 清空密码
4. 点击保存</x:v>
      </x:c>
      <x:c r="K174" s="9" t="str">
        <x:v>页面提示“密码必须是4-12个数字”</x:v>
      </x:c>
      <x:c r="L174" s="10" t="str"/>
      <x:c r="M174" s="10" t="str">
        <x:v>未测</x:v>
      </x:c>
      <x:c r="N174" s="10" t="str"/>
      <x:c r="O174" s="9" t="str">
        <x:v>1. 来源（原型批注）：liveshow-proto/prototype/annotations/user.js；live-room-host-password.html
2. 规则：BR-39D8006B89998C
3. 场景：SC-8D97886EF979CF
4. 未动态验证</x:v>
      </x:c>
    </x:row>
    <x:row r="175" ht="115" customHeight="1">
      <x:c r="A175" s="10" t="n">
        <x:v>174</x:v>
      </x:c>
      <x:c r="B175" s="10" t="str">
        <x:v>LIVE-0174</x:v>
      </x:c>
      <x:c r="C175" s="10" t="str">
        <x:v>直播模块</x:v>
      </x:c>
      <x:c r="D175" s="10" t="str">
        <x:v>本场贡献-贡献榜（主播视角）</x:v>
      </x:c>
      <x:c r="E175" s="10" t="str">
        <x:v>业务流程</x:v>
      </x:c>
      <x:c r="F175" s="10" t="str">
        <x:v>P1</x:v>
      </x:c>
      <x:c r="G175" s="9" t="str">
        <x:v>验证按贡献值排序</x:v>
      </x:c>
      <x:c r="H175" s="9" t="str">
        <x:v>贡献值排序优先级</x:v>
      </x:c>
      <x:c r="I175" s="9" t="str">
        <x:v>1. 主播正在直播
2. 用户A、B均在当前直播间，贡献值：A=2，B=1；粉丝等级：A、B均为1；财富等级：A、B均为1；用户 ID：A=2，B=1</x:v>
      </x:c>
      <x:c r="J175" s="9" t="str">
        <x:v>1. 打开本场贡献榜</x:v>
      </x:c>
      <x:c r="K175" s="9" t="str">
        <x:v>本场贡献榜中用户A排在用户B之前</x:v>
      </x:c>
      <x:c r="L175" s="10" t="str"/>
      <x:c r="M175" s="10" t="str">
        <x:v>未测</x:v>
      </x:c>
      <x:c r="N175" s="10" t="str"/>
      <x:c r="O175" s="9" t="str">
        <x:v>1. 来源（原型批注）：liveshow-proto/prototype/annotations/user.js；live-room-host-password.html、live-room-cohost-active.html
2. 规则：BR-3E0FF0D23712DC
3. 场景：SC-EF0CD08053DE6B
4. 未动态验证</x:v>
      </x:c>
    </x:row>
    <x:row r="176" ht="115" customHeight="1">
      <x:c r="A176" s="10" t="n">
        <x:v>175</x:v>
      </x:c>
      <x:c r="B176" s="10" t="str">
        <x:v>LIVE-0175</x:v>
      </x:c>
      <x:c r="C176" s="10" t="str">
        <x:v>直播模块</x:v>
      </x:c>
      <x:c r="D176" s="10" t="str">
        <x:v>本场贡献-贡献榜（主播视角）</x:v>
      </x:c>
      <x:c r="E176" s="10" t="str">
        <x:v>业务流程</x:v>
      </x:c>
      <x:c r="F176" s="10" t="str">
        <x:v>P1</x:v>
      </x:c>
      <x:c r="G176" s="9" t="str">
        <x:v>验证前序条件相同时按粉丝等级排序</x:v>
      </x:c>
      <x:c r="H176" s="9" t="str">
        <x:v>粉丝等级排序优先级</x:v>
      </x:c>
      <x:c r="I176" s="9" t="str">
        <x:v>1. 主播正在直播
2. 用户A、B均在当前直播间，贡献值：A、B均为1；粉丝等级：A=2，B=1；财富等级：A、B均为1；用户 ID：A=2，B=1</x:v>
      </x:c>
      <x:c r="J176" s="9" t="str">
        <x:v>1. 打开本场贡献榜</x:v>
      </x:c>
      <x:c r="K176" s="9" t="str">
        <x:v>本场贡献榜中用户A排在用户B之前</x:v>
      </x:c>
      <x:c r="L176" s="10" t="str"/>
      <x:c r="M176" s="10" t="str">
        <x:v>未测</x:v>
      </x:c>
      <x:c r="N176" s="10" t="str"/>
      <x:c r="O176" s="9" t="str">
        <x:v>1. 来源（原型批注）：liveshow-proto/prototype/annotations/user.js；live-room-host-password.html、live-room-cohost-active.html
2. 规则：BR-3E0FF0D23712DC
3. 场景：SC-1995D12713DD7A
4. 未动态验证</x:v>
      </x:c>
    </x:row>
    <x:row r="177" ht="115" customHeight="1">
      <x:c r="A177" s="10" t="n">
        <x:v>176</x:v>
      </x:c>
      <x:c r="B177" s="10" t="str">
        <x:v>LIVE-0176</x:v>
      </x:c>
      <x:c r="C177" s="10" t="str">
        <x:v>直播模块</x:v>
      </x:c>
      <x:c r="D177" s="10" t="str">
        <x:v>本场贡献-贡献榜（主播视角）</x:v>
      </x:c>
      <x:c r="E177" s="10" t="str">
        <x:v>业务流程</x:v>
      </x:c>
      <x:c r="F177" s="10" t="str">
        <x:v>P1</x:v>
      </x:c>
      <x:c r="G177" s="9" t="str">
        <x:v>验证前序条件相同时按财富等级排序</x:v>
      </x:c>
      <x:c r="H177" s="9" t="str">
        <x:v>财富等级排序优先级</x:v>
      </x:c>
      <x:c r="I177" s="9" t="str">
        <x:v>1. 主播正在直播
2. 用户A、B均在当前直播间，贡献值：A、B均为1；粉丝等级：A、B均为1；财富等级：A=2，B=1；用户 ID：A=2，B=1</x:v>
      </x:c>
      <x:c r="J177" s="9" t="str">
        <x:v>1. 打开本场贡献榜</x:v>
      </x:c>
      <x:c r="K177" s="9" t="str">
        <x:v>本场贡献榜中用户A排在用户B之前</x:v>
      </x:c>
      <x:c r="L177" s="10" t="str"/>
      <x:c r="M177" s="10" t="str">
        <x:v>未测</x:v>
      </x:c>
      <x:c r="N177" s="10" t="str"/>
      <x:c r="O177" s="9" t="str">
        <x:v>1. 来源（原型批注）：liveshow-proto/prototype/annotations/user.js；live-room-host-password.html、live-room-cohost-active.html
2. 规则：BR-3E0FF0D23712DC
3. 场景：SC-EAB94D1A17E2AF
4. 未动态验证</x:v>
      </x:c>
    </x:row>
    <x:row r="178" ht="115" customHeight="1">
      <x:c r="A178" s="10" t="n">
        <x:v>177</x:v>
      </x:c>
      <x:c r="B178" s="10" t="str">
        <x:v>LIVE-0177</x:v>
      </x:c>
      <x:c r="C178" s="10" t="str">
        <x:v>直播模块</x:v>
      </x:c>
      <x:c r="D178" s="10" t="str">
        <x:v>本场贡献-贡献榜（主播视角）</x:v>
      </x:c>
      <x:c r="E178" s="10" t="str">
        <x:v>业务流程</x:v>
      </x:c>
      <x:c r="F178" s="10" t="str">
        <x:v>P1</x:v>
      </x:c>
      <x:c r="G178" s="9" t="str">
        <x:v>验证前序条件相同时按用户 ID排序</x:v>
      </x:c>
      <x:c r="H178" s="9" t="str">
        <x:v>用户 ID排序优先级</x:v>
      </x:c>
      <x:c r="I178" s="9" t="str">
        <x:v>1. 主播正在直播
2. 用户A、B均在当前直播间，贡献值：A、B均为1；粉丝等级：A、B均为1；财富等级：A、B均为1；用户 ID：A=1，B=2</x:v>
      </x:c>
      <x:c r="J178" s="9" t="str">
        <x:v>1. 打开本场贡献榜</x:v>
      </x:c>
      <x:c r="K178" s="9" t="str">
        <x:v>本场贡献榜中用户A排在用户B之前</x:v>
      </x:c>
      <x:c r="L178" s="10" t="str"/>
      <x:c r="M178" s="10" t="str">
        <x:v>未测</x:v>
      </x:c>
      <x:c r="N178" s="10" t="str"/>
      <x:c r="O178" s="9" t="str">
        <x:v>1. 来源（原型批注）：liveshow-proto/prototype/annotations/user.js；live-room-host-password.html、live-room-cohost-active.html
2. 规则：BR-3E0FF0D23712DC
3. 场景：SC-262AB2D98A6FB0
4. 未动态验证</x:v>
      </x:c>
    </x:row>
    <x:row r="179" ht="115" customHeight="1">
      <x:c r="A179" s="10" t="n">
        <x:v>178</x:v>
      </x:c>
      <x:c r="B179" s="10" t="str">
        <x:v>LIVE-0178</x:v>
      </x:c>
      <x:c r="C179" s="10" t="str">
        <x:v>直播模块</x:v>
      </x:c>
      <x:c r="D179" s="10" t="str">
        <x:v>本场贡献-贡献榜（主播视角）</x:v>
      </x:c>
      <x:c r="E179" s="10" t="str">
        <x:v>业务流程</x:v>
      </x:c>
      <x:c r="F179" s="10" t="str">
        <x:v>P1</x:v>
      </x:c>
      <x:c r="G179" s="9" t="str">
        <x:v>验证粉丝等级缺失按0级排序</x:v>
      </x:c>
      <x:c r="H179" s="9" t="str">
        <x:v>粉丝等级缺省排序值</x:v>
      </x:c>
      <x:c r="I179" s="9" t="str">
        <x:v>1. 主播正在直播
2. 用户A（ID 10）、B（ID 20）均在当前直播间，贡献均为100，粉丝等级分别为缺失和0，其他等级均为1</x:v>
      </x:c>
      <x:c r="J179" s="9" t="str">
        <x:v>1. 打开本场贡献榜</x:v>
      </x:c>
      <x:c r="K179" s="9" t="str">
        <x:v>本场贡献榜中用户A排在用户B之前</x:v>
      </x:c>
      <x:c r="L179" s="10" t="str"/>
      <x:c r="M179" s="10" t="str">
        <x:v>未测</x:v>
      </x:c>
      <x:c r="N179" s="10" t="str"/>
      <x:c r="O179" s="9" t="str">
        <x:v>1. 来源（原型批注）：liveshow-proto/prototype/annotations/user.js；live-room-host-password.html、live-room-cohost-active.html
2. 规则：BR-2E392F414B7A26
3. 场景：SC-855C2079875CD4
4. 未动态验证</x:v>
      </x:c>
    </x:row>
    <x:row r="180" ht="115" customHeight="1">
      <x:c r="A180" s="10" t="n">
        <x:v>179</x:v>
      </x:c>
      <x:c r="B180" s="10" t="str">
        <x:v>LIVE-0179</x:v>
      </x:c>
      <x:c r="C180" s="10" t="str">
        <x:v>直播模块</x:v>
      </x:c>
      <x:c r="D180" s="10" t="str">
        <x:v>本场贡献-贡献榜（主播视角）</x:v>
      </x:c>
      <x:c r="E180" s="10" t="str">
        <x:v>业务流程</x:v>
      </x:c>
      <x:c r="F180" s="10" t="str">
        <x:v>P1</x:v>
      </x:c>
      <x:c r="G180" s="9" t="str">
        <x:v>验证财富等级缺失按0级排序</x:v>
      </x:c>
      <x:c r="H180" s="9" t="str">
        <x:v>财富等级缺省排序值</x:v>
      </x:c>
      <x:c r="I180" s="9" t="str">
        <x:v>1. 主播正在直播
2. 用户A（ID 10）、B（ID 20）均在当前直播间，贡献均为100，财富等级分别为缺失和0，其他等级均为1</x:v>
      </x:c>
      <x:c r="J180" s="9" t="str">
        <x:v>1. 打开本场贡献榜</x:v>
      </x:c>
      <x:c r="K180" s="9" t="str">
        <x:v>本场贡献榜中用户A排在用户B之前</x:v>
      </x:c>
      <x:c r="L180" s="10" t="str"/>
      <x:c r="M180" s="10" t="str">
        <x:v>未测</x:v>
      </x:c>
      <x:c r="N180" s="10" t="str"/>
      <x:c r="O180" s="9" t="str">
        <x:v>1. 来源（原型批注）：liveshow-proto/prototype/annotations/user.js；live-room-host-password.html、live-room-cohost-active.html
2. 规则：BR-2E392F414B7A26
3. 场景：SC-0A4A5F208DF124
4. 未动态验证</x:v>
      </x:c>
    </x:row>
    <x:row r="181" ht="100" customHeight="1">
      <x:c r="A181" s="10" t="n">
        <x:v>180</x:v>
      </x:c>
      <x:c r="B181" s="10" t="str">
        <x:v>LIVE-0180</x:v>
      </x:c>
      <x:c r="C181" s="10" t="str">
        <x:v>直播模块</x:v>
      </x:c>
      <x:c r="D181" s="10" t="str">
        <x:v>开播设置（主播视角）</x:v>
      </x:c>
      <x:c r="E181" s="10" t="str">
        <x:v>逻辑校验</x:v>
      </x:c>
      <x:c r="F181" s="10" t="str">
        <x:v>P1</x:v>
      </x:c>
      <x:c r="G181" s="9" t="str">
        <x:v>验证空密码无法提交</x:v>
      </x:c>
      <x:c r="H181" s="9" t="str">
        <x:v>密码输入边界</x:v>
      </x:c>
      <x:c r="I181" s="9" t="str">
        <x:v>1. 主播具备开播资格</x:v>
      </x:c>
      <x:c r="J181" s="9" t="str">
        <x:v>1. 进入开播设置
2. 打开房型设置
3. 选择密码房
4. 清空密码
5. 点击确认</x:v>
      </x:c>
      <x:c r="K181" s="9" t="str">
        <x:v>页面提示“密码必须是4-12个数字”</x:v>
      </x:c>
      <x:c r="L181" s="10" t="str"/>
      <x:c r="M181" s="10" t="str">
        <x:v>未测</x:v>
      </x:c>
      <x:c r="N181" s="10" t="str"/>
      <x:c r="O181" s="9" t="str">
        <x:v>1. 来源（原型批注）：liveshow-proto/prototype/annotations/user.js；start-live-settings.html
2. 规则：BR-CC122F1854D378
3. 场景：SC-0ED3EDA0741C4A
4. 未动态验证</x:v>
      </x:c>
    </x:row>
    <x:row r="182" ht="100" customHeight="1">
      <x:c r="A182" s="10" t="n">
        <x:v>181</x:v>
      </x:c>
      <x:c r="B182" s="10" t="str">
        <x:v>LIVE-0181</x:v>
      </x:c>
      <x:c r="C182" s="10" t="str">
        <x:v>直播模块</x:v>
      </x:c>
      <x:c r="D182" s="10" t="str">
        <x:v>粉丝团-已加入（观众视角）</x:v>
      </x:c>
      <x:c r="E182" s="10" t="str">
        <x:v>业务流程</x:v>
      </x:c>
      <x:c r="F182" s="10" t="str">
        <x:v>P1</x:v>
      </x:c>
      <x:c r="G182" s="9" t="str">
        <x:v>验证主动退出后团籍解除</x:v>
      </x:c>
      <x:c r="H182" s="9" t="str">
        <x:v>团籍清理</x:v>
      </x:c>
      <x:c r="I182" s="9" t="str">
        <x:v>1. 观众已加入当前主播粉丝团
2. 粉丝等级为3，亲密度为100</x:v>
      </x:c>
      <x:c r="J182" s="9" t="str">
        <x:v>1. 打开粉丝团
2. 点击退出粉丝团
3. 确认退出</x:v>
      </x:c>
      <x:c r="K182" s="9" t="str">
        <x:v>粉丝团面板显示未加入状态</x:v>
      </x:c>
      <x:c r="L182" s="10" t="str"/>
      <x:c r="M182" s="10" t="str">
        <x:v>未测</x:v>
      </x:c>
      <x:c r="N182" s="10" t="str"/>
      <x:c r="O182" s="9" t="str">
        <x:v>1. 来源（原型批注）：liveshow-proto/prototype/annotations/user.js；views/live-room/fan-club-joined.html
2. 规则：BR-AE76C6259D7C85
3. 场景：SC-7B7324ED867459
4. 未动态验证</x:v>
      </x:c>
    </x:row>
    <x:row r="183" ht="115" customHeight="1">
      <x:c r="A183" s="10" t="n">
        <x:v>182</x:v>
      </x:c>
      <x:c r="B183" s="10" t="str">
        <x:v>LIVE-0182</x:v>
      </x:c>
      <x:c r="C183" s="10" t="str">
        <x:v>直播模块</x:v>
      </x:c>
      <x:c r="D183" s="10" t="str">
        <x:v>粉丝团-已加入（观众视角）</x:v>
      </x:c>
      <x:c r="E183" s="10" t="str">
        <x:v>业务流程</x:v>
      </x:c>
      <x:c r="F183" s="10" t="str">
        <x:v>P1</x:v>
      </x:c>
      <x:c r="G183" s="9" t="str">
        <x:v>验证主动退出后重新加入的粉丝等级</x:v>
      </x:c>
      <x:c r="H183" s="9" t="str">
        <x:v>粉丝等级清理</x:v>
      </x:c>
      <x:c r="I183" s="9" t="str">
        <x:v>1. 观众已加入当前主播粉丝团
2. 粉丝等级为3，亲密度为100
3. 退出后仍满足加入条件，粉丝团未满员</x:v>
      </x:c>
      <x:c r="J183" s="9" t="str">
        <x:v>1. 打开粉丝团
2. 点击退出粉丝团
3. 确认退出
4. 重新打开粉丝团
5. 点击加入
6. 查看粉丝等级</x:v>
      </x:c>
      <x:c r="K183" s="9" t="str">
        <x:v>当前主播粉丝团的粉丝等级显示0</x:v>
      </x:c>
      <x:c r="L183" s="10" t="str"/>
      <x:c r="M183" s="10" t="str">
        <x:v>未测</x:v>
      </x:c>
      <x:c r="N183" s="10" t="str"/>
      <x:c r="O183" s="9" t="str">
        <x:v>1. 来源（原型批注）：liveshow-proto/prototype/annotations/user.js；views/live-room/fan-club-joined.html
2. 规则：BR-AE76C6259D7C85、BR-CA32D5A72F24BD
3. 场景：SC-4FC8B221FBAE37
4. 未动态验证</x:v>
      </x:c>
    </x:row>
    <x:row r="184" ht="115" customHeight="1">
      <x:c r="A184" s="10" t="n">
        <x:v>183</x:v>
      </x:c>
      <x:c r="B184" s="10" t="str">
        <x:v>LIVE-0183</x:v>
      </x:c>
      <x:c r="C184" s="10" t="str">
        <x:v>直播模块</x:v>
      </x:c>
      <x:c r="D184" s="10" t="str">
        <x:v>粉丝团-已加入（观众视角）</x:v>
      </x:c>
      <x:c r="E184" s="10" t="str">
        <x:v>业务流程</x:v>
      </x:c>
      <x:c r="F184" s="10" t="str">
        <x:v>P1</x:v>
      </x:c>
      <x:c r="G184" s="9" t="str">
        <x:v>验证主动退出后重新加入的亲密度</x:v>
      </x:c>
      <x:c r="H184" s="9" t="str">
        <x:v>亲密度清理</x:v>
      </x:c>
      <x:c r="I184" s="9" t="str">
        <x:v>1. 观众已加入当前主播粉丝团
2. 粉丝等级为3，亲密度为100
3. 退出后仍满足加入条件，粉丝团未满员</x:v>
      </x:c>
      <x:c r="J184" s="9" t="str">
        <x:v>1. 打开粉丝团
2. 点击退出粉丝团
3. 确认退出
4. 重新打开粉丝团
5. 点击加入
6. 查看亲密度</x:v>
      </x:c>
      <x:c r="K184" s="9" t="str">
        <x:v>当前主播粉丝团的亲密度显示0</x:v>
      </x:c>
      <x:c r="L184" s="10" t="str"/>
      <x:c r="M184" s="10" t="str">
        <x:v>未测</x:v>
      </x:c>
      <x:c r="N184" s="10" t="str"/>
      <x:c r="O184" s="9" t="str">
        <x:v>1. 来源（原型批注）：liveshow-proto/prototype/annotations/user.js；views/live-room/fan-club-joined.html
2. 规则：BR-AE76C6259D7C85、BR-CA32D5A72F24BD
3. 场景：SC-F79C65FF72866B
4. 未动态验证</x:v>
      </x:c>
    </x:row>
    <x:row r="185" ht="100" customHeight="1">
      <x:c r="A185" s="10" t="n">
        <x:v>184</x:v>
      </x:c>
      <x:c r="B185" s="10" t="str">
        <x:v>LIVE-0184</x:v>
      </x:c>
      <x:c r="C185" s="10" t="str">
        <x:v>直播模块</x:v>
      </x:c>
      <x:c r="D185" s="10" t="str">
        <x:v>粉丝团-已加入（观众视角）</x:v>
      </x:c>
      <x:c r="E185" s="10" t="str">
        <x:v>业务流程</x:v>
      </x:c>
      <x:c r="F185" s="10" t="str">
        <x:v>P1</x:v>
      </x:c>
      <x:c r="G185" s="9" t="str">
        <x:v>验证被主播移出后团籍解除</x:v>
      </x:c>
      <x:c r="H185" s="9" t="str">
        <x:v>团籍清理</x:v>
      </x:c>
      <x:c r="I185" s="9" t="str">
        <x:v>1. 观众已加入当前主播粉丝团
2. 粉丝等级为3，亲密度为100</x:v>
      </x:c>
      <x:c r="J185" s="9" t="str">
        <x:v>1. 打开粉丝团
2. 接收被移出粉丝团事件</x:v>
      </x:c>
      <x:c r="K185" s="9" t="str">
        <x:v>粉丝团面板显示未加入状态</x:v>
      </x:c>
      <x:c r="L185" s="10" t="str"/>
      <x:c r="M185" s="10" t="str">
        <x:v>未测</x:v>
      </x:c>
      <x:c r="N185" s="10" t="str"/>
      <x:c r="O185" s="9" t="str">
        <x:v>1. 来源（原型批注）：liveshow-proto/prototype/annotations/user.js；views/live-room/fan-club-joined.html
2. 规则：BR-AE76C6259D7C85
3. 场景：SC-977E500B244C3C
4. 未动态验证</x:v>
      </x:c>
    </x:row>
    <x:row r="186" ht="115" customHeight="1">
      <x:c r="A186" s="10" t="n">
        <x:v>185</x:v>
      </x:c>
      <x:c r="B186" s="10" t="str">
        <x:v>LIVE-0185</x:v>
      </x:c>
      <x:c r="C186" s="10" t="str">
        <x:v>直播模块</x:v>
      </x:c>
      <x:c r="D186" s="10" t="str">
        <x:v>粉丝团-已加入（观众视角）</x:v>
      </x:c>
      <x:c r="E186" s="10" t="str">
        <x:v>业务流程</x:v>
      </x:c>
      <x:c r="F186" s="10" t="str">
        <x:v>P1</x:v>
      </x:c>
      <x:c r="G186" s="9" t="str">
        <x:v>验证被主播移出后重新加入的粉丝等级</x:v>
      </x:c>
      <x:c r="H186" s="9" t="str">
        <x:v>粉丝等级清理</x:v>
      </x:c>
      <x:c r="I186" s="9" t="str">
        <x:v>1. 观众已加入当前主播粉丝团
2. 粉丝等级为3，亲密度为100
3. 退出后仍满足加入条件，粉丝团未满员</x:v>
      </x:c>
      <x:c r="J186" s="9" t="str">
        <x:v>1. 打开粉丝团
2. 接收被移出粉丝团事件
3. 重新打开粉丝团
4. 点击加入
5. 查看粉丝等级</x:v>
      </x:c>
      <x:c r="K186" s="9" t="str">
        <x:v>当前主播粉丝团的粉丝等级显示0</x:v>
      </x:c>
      <x:c r="L186" s="10" t="str"/>
      <x:c r="M186" s="10" t="str">
        <x:v>未测</x:v>
      </x:c>
      <x:c r="N186" s="10" t="str"/>
      <x:c r="O186" s="9" t="str">
        <x:v>1. 来源（原型批注）：liveshow-proto/prototype/annotations/user.js；views/live-room/fan-club-joined.html
2. 规则：BR-AE76C6259D7C85、BR-CA32D5A72F24BD
3. 场景：SC-03F799545E6C97
4. 未动态验证</x:v>
      </x:c>
    </x:row>
    <x:row r="187" ht="115" customHeight="1">
      <x:c r="A187" s="10" t="n">
        <x:v>186</x:v>
      </x:c>
      <x:c r="B187" s="10" t="str">
        <x:v>LIVE-0186</x:v>
      </x:c>
      <x:c r="C187" s="10" t="str">
        <x:v>直播模块</x:v>
      </x:c>
      <x:c r="D187" s="10" t="str">
        <x:v>粉丝团-已加入（观众视角）</x:v>
      </x:c>
      <x:c r="E187" s="10" t="str">
        <x:v>业务流程</x:v>
      </x:c>
      <x:c r="F187" s="10" t="str">
        <x:v>P1</x:v>
      </x:c>
      <x:c r="G187" s="9" t="str">
        <x:v>验证被主播移出后重新加入的亲密度</x:v>
      </x:c>
      <x:c r="H187" s="9" t="str">
        <x:v>亲密度清理</x:v>
      </x:c>
      <x:c r="I187" s="9" t="str">
        <x:v>1. 观众已加入当前主播粉丝团
2. 粉丝等级为3，亲密度为100
3. 退出后仍满足加入条件，粉丝团未满员</x:v>
      </x:c>
      <x:c r="J187" s="9" t="str">
        <x:v>1. 打开粉丝团
2. 接收被移出粉丝团事件
3. 重新打开粉丝团
4. 点击加入
5. 查看亲密度</x:v>
      </x:c>
      <x:c r="K187" s="9" t="str">
        <x:v>当前主播粉丝团的亲密度显示0</x:v>
      </x:c>
      <x:c r="L187" s="10" t="str"/>
      <x:c r="M187" s="10" t="str">
        <x:v>未测</x:v>
      </x:c>
      <x:c r="N187" s="10" t="str"/>
      <x:c r="O187" s="9" t="str">
        <x:v>1. 来源（原型批注）：liveshow-proto/prototype/annotations/user.js；views/live-room/fan-club-joined.html
2. 规则：BR-AE76C6259D7C85、BR-CA32D5A72F24BD
3. 场景：SC-0968D16D744A0C
4. 未动态验证</x:v>
      </x:c>
    </x:row>
    <x:row r="188" ht="100" customHeight="1">
      <x:c r="A188" s="10" t="n">
        <x:v>187</x:v>
      </x:c>
      <x:c r="B188" s="10" t="str">
        <x:v>LIVE-0187</x:v>
      </x:c>
      <x:c r="C188" s="10" t="str">
        <x:v>直播模块</x:v>
      </x:c>
      <x:c r="D188" s="10" t="str">
        <x:v>密码房-访问受限（观众视角）</x:v>
      </x:c>
      <x:c r="E188" s="10" t="str">
        <x:v>逻辑校验</x:v>
      </x:c>
      <x:c r="F188" s="10" t="str">
        <x:v>P1</x:v>
      </x:c>
      <x:c r="G188" s="9" t="str">
        <x:v>验证3位密码无法提交</x:v>
      </x:c>
      <x:c r="H188" s="9" t="str">
        <x:v>密码输入边界</x:v>
      </x:c>
      <x:c r="I188" s="9" t="str">
        <x:v>1. 观众账号可用，未被主播拉黑或本场踢出</x:v>
      </x:c>
      <x:c r="J188" s="9" t="str">
        <x:v>1. 进入目标密码房
2. 输入密码111
3. 点击确认</x:v>
      </x:c>
      <x:c r="K188" s="9" t="str">
        <x:v>页面提示“密码必须是4-12个数字”</x:v>
      </x:c>
      <x:c r="L188" s="10" t="str"/>
      <x:c r="M188" s="10" t="str">
        <x:v>未测</x:v>
      </x:c>
      <x:c r="N188" s="10" t="str"/>
      <x:c r="O188" s="9" t="str">
        <x:v>1. 来源（原型批注）：liveshow-proto/prototype/annotations/user.js；views/live-room/password-room-restricted.html
2. 规则：BR-8C9B74CDC041A1
3. 场景：SC-B19E25348BDD95
4. 未动态验证</x:v>
      </x:c>
    </x:row>
    <x:row r="189" ht="100" customHeight="1">
      <x:c r="A189" s="10" t="n">
        <x:v>188</x:v>
      </x:c>
      <x:c r="B189" s="10" t="str">
        <x:v>LIVE-0188</x:v>
      </x:c>
      <x:c r="C189" s="10" t="str">
        <x:v>直播模块</x:v>
      </x:c>
      <x:c r="D189" s="10" t="str">
        <x:v>密码房-访问受限（观众视角）</x:v>
      </x:c>
      <x:c r="E189" s="10" t="str">
        <x:v>逻辑校验</x:v>
      </x:c>
      <x:c r="F189" s="10" t="str">
        <x:v>P1</x:v>
      </x:c>
      <x:c r="G189" s="9" t="str">
        <x:v>验证4位密码符合格式要求</x:v>
      </x:c>
      <x:c r="H189" s="9" t="str">
        <x:v>密码输入边界</x:v>
      </x:c>
      <x:c r="I189" s="9" t="str">
        <x:v>1. 观众账号可用，未被主播拉黑或本场踢出
2. 当前场次密码为1111</x:v>
      </x:c>
      <x:c r="J189" s="9" t="str">
        <x:v>1. 进入目标密码房
2. 输入密码1111
3. 点击确认</x:v>
      </x:c>
      <x:c r="K189" s="9" t="str">
        <x:v>页面进入当前直播间</x:v>
      </x:c>
      <x:c r="L189" s="10" t="str"/>
      <x:c r="M189" s="10" t="str">
        <x:v>未测</x:v>
      </x:c>
      <x:c r="N189" s="10" t="str"/>
      <x:c r="O189" s="9" t="str">
        <x:v>1. 来源（原型批注）：liveshow-proto/prototype/annotations/user.js；views/live-room/password-room-restricted.html
2. 规则：BR-8C9B74CDC041A1
3. 场景：SC-2A6A600C4E7E13
4. 未动态验证</x:v>
      </x:c>
    </x:row>
    <x:row r="190" ht="100" customHeight="1">
      <x:c r="A190" s="10" t="n">
        <x:v>189</x:v>
      </x:c>
      <x:c r="B190" s="10" t="str">
        <x:v>LIVE-0189</x:v>
      </x:c>
      <x:c r="C190" s="10" t="str">
        <x:v>直播模块</x:v>
      </x:c>
      <x:c r="D190" s="10" t="str">
        <x:v>密码房-访问受限（观众视角）</x:v>
      </x:c>
      <x:c r="E190" s="10" t="str">
        <x:v>逻辑校验</x:v>
      </x:c>
      <x:c r="F190" s="10" t="str">
        <x:v>P1</x:v>
      </x:c>
      <x:c r="G190" s="9" t="str">
        <x:v>验证12位密码符合格式要求</x:v>
      </x:c>
      <x:c r="H190" s="9" t="str">
        <x:v>密码输入边界</x:v>
      </x:c>
      <x:c r="I190" s="9" t="str">
        <x:v>1. 观众账号可用，未被主播拉黑或本场踢出
2. 当前场次密码为111111111111</x:v>
      </x:c>
      <x:c r="J190" s="9" t="str">
        <x:v>1. 进入目标密码房
2. 输入密码111111111111
3. 点击确认</x:v>
      </x:c>
      <x:c r="K190" s="9" t="str">
        <x:v>页面进入当前直播间</x:v>
      </x:c>
      <x:c r="L190" s="10" t="str"/>
      <x:c r="M190" s="10" t="str">
        <x:v>未测</x:v>
      </x:c>
      <x:c r="N190" s="10" t="str"/>
      <x:c r="O190" s="9" t="str">
        <x:v>1. 来源（原型批注）：liveshow-proto/prototype/annotations/user.js；views/live-room/password-room-restricted.html
2. 规则：BR-8C9B74CDC041A1
3. 场景：SC-F4775755C3BACC
4. 未动态验证</x:v>
      </x:c>
    </x:row>
    <x:row r="191" ht="100" customHeight="1">
      <x:c r="A191" s="10" t="n">
        <x:v>190</x:v>
      </x:c>
      <x:c r="B191" s="10" t="str">
        <x:v>LIVE-0190</x:v>
      </x:c>
      <x:c r="C191" s="10" t="str">
        <x:v>直播模块</x:v>
      </x:c>
      <x:c r="D191" s="10" t="str">
        <x:v>密码房-访问受限（观众视角）</x:v>
      </x:c>
      <x:c r="E191" s="10" t="str">
        <x:v>逻辑校验</x:v>
      </x:c>
      <x:c r="F191" s="10" t="str">
        <x:v>P1</x:v>
      </x:c>
      <x:c r="G191" s="9" t="str">
        <x:v>验证13位密码无法提交</x:v>
      </x:c>
      <x:c r="H191" s="9" t="str">
        <x:v>密码输入边界</x:v>
      </x:c>
      <x:c r="I191" s="9" t="str">
        <x:v>1. 观众账号可用，未被主播拉黑或本场踢出</x:v>
      </x:c>
      <x:c r="J191" s="9" t="str">
        <x:v>1. 进入目标密码房
2. 输入密码1111111111111
3. 点击确认</x:v>
      </x:c>
      <x:c r="K191" s="9" t="str">
        <x:v>页面提示“密码必须是4-12个数字”</x:v>
      </x:c>
      <x:c r="L191" s="10" t="str"/>
      <x:c r="M191" s="10" t="str">
        <x:v>未测</x:v>
      </x:c>
      <x:c r="N191" s="10" t="str"/>
      <x:c r="O191" s="9" t="str">
        <x:v>1. 来源（原型批注）：liveshow-proto/prototype/annotations/user.js；views/live-room/password-room-restricted.html
2. 规则：BR-8C9B74CDC041A1
3. 场景：SC-9E930ACB4947AA
4. 未动态验证</x:v>
      </x:c>
    </x:row>
    <x:row r="192" ht="100" customHeight="1">
      <x:c r="A192" s="10" t="n">
        <x:v>191</x:v>
      </x:c>
      <x:c r="B192" s="10" t="str">
        <x:v>LIVE-0191</x:v>
      </x:c>
      <x:c r="C192" s="10" t="str">
        <x:v>直播模块</x:v>
      </x:c>
      <x:c r="D192" s="10" t="str">
        <x:v>密码房-访问受限（观众视角）</x:v>
      </x:c>
      <x:c r="E192" s="10" t="str">
        <x:v>逻辑校验</x:v>
      </x:c>
      <x:c r="F192" s="10" t="str">
        <x:v>P1</x:v>
      </x:c>
      <x:c r="G192" s="9" t="str">
        <x:v>验证空密码无法提交</x:v>
      </x:c>
      <x:c r="H192" s="9" t="str">
        <x:v>密码输入边界</x:v>
      </x:c>
      <x:c r="I192" s="9" t="str">
        <x:v>1. 观众账号可用，未被主播拉黑或本场踢出</x:v>
      </x:c>
      <x:c r="J192" s="9" t="str">
        <x:v>1. 进入目标密码房
2. 清空密码
3. 点击确认</x:v>
      </x:c>
      <x:c r="K192" s="9" t="str">
        <x:v>页面提示“密码必须是4-12个数字”</x:v>
      </x:c>
      <x:c r="L192" s="10" t="str"/>
      <x:c r="M192" s="10" t="str">
        <x:v>未测</x:v>
      </x:c>
      <x:c r="N192" s="10" t="str"/>
      <x:c r="O192" s="9" t="str">
        <x:v>1. 来源（原型批注）：liveshow-proto/prototype/annotations/user.js；views/live-room/password-room-restricted.html
2. 规则：BR-8C9B74CDC041A1
3. 场景：SC-D24DC4B7ACEC0E
4. 未动态验证</x:v>
      </x:c>
    </x:row>
    <x:row r="193" ht="115" customHeight="1">
      <x:c r="A193" s="10" t="n">
        <x:v>192</x:v>
      </x:c>
      <x:c r="B193" s="10" t="str">
        <x:v>LIVE-0192</x:v>
      </x:c>
      <x:c r="C193" s="10" t="str">
        <x:v>直播模块</x:v>
      </x:c>
      <x:c r="D193" s="10" t="str">
        <x:v>本场贡献-贡献榜（观众视角）</x:v>
      </x:c>
      <x:c r="E193" s="10" t="str">
        <x:v>逻辑校验</x:v>
      </x:c>
      <x:c r="F193" s="10" t="str">
        <x:v>P1</x:v>
      </x:c>
      <x:c r="G193" s="9" t="str">
        <x:v>验证第99名同分时按后续条件入榜</x:v>
      </x:c>
      <x:c r="H193" s="9" t="str">
        <x:v>入榜同分边界</x:v>
      </x:c>
      <x:c r="I193" s="9" t="str">
        <x:v>1. 观众已进入当前直播间
2. 本场共100名贡献用户，前98名贡献均为1000
3. 用户A、B贡献值均为500，粉丝等级分别为2和1，财富等级均为1，用户 ID分别为10和20</x:v>
      </x:c>
      <x:c r="J193" s="9" t="str">
        <x:v>1. 打开本场贡献榜</x:v>
      </x:c>
      <x:c r="K193" s="9" t="str">
        <x:v>第99名为用户A，用户B不在榜单内</x:v>
      </x:c>
      <x:c r="L193" s="10" t="str"/>
      <x:c r="M193" s="10" t="str">
        <x:v>未测</x:v>
      </x:c>
      <x:c r="N193" s="10" t="str"/>
      <x:c r="O193" s="9" t="str">
        <x:v>1. 来源（原型批注）：liveshow-proto/prototype/annotations/user.js；views/live-room/contribution-rank.html
2. 规则：BR-08E3AEBA29A552、BR-E33B2236974962
3. 场景：SC-D6602DD044A85D
4. 未动态验证</x:v>
      </x:c>
    </x:row>
    <x:row r="194" ht="100" customHeight="1">
      <x:c r="A194" s="10" t="n">
        <x:v>193</x:v>
      </x:c>
      <x:c r="B194" s="10" t="str">
        <x:v>LIVE-0193</x:v>
      </x:c>
      <x:c r="C194" s="10" t="str">
        <x:v>直播模块</x:v>
      </x:c>
      <x:c r="D194" s="10" t="str">
        <x:v>本场贡献-贡献榜（观众视角）</x:v>
      </x:c>
      <x:c r="E194" s="10" t="str">
        <x:v>业务流程</x:v>
      </x:c>
      <x:c r="F194" s="10" t="str">
        <x:v>P1</x:v>
      </x:c>
      <x:c r="G194" s="9" t="str">
        <x:v>验证按贡献值排序</x:v>
      </x:c>
      <x:c r="H194" s="9" t="str">
        <x:v>贡献值排序优先级</x:v>
      </x:c>
      <x:c r="I194" s="9" t="str">
        <x:v>1. 观众已进入当前直播间
2. 用户A、B均在当前直播间，贡献值：A=2，B=1；粉丝等级：A、B均为1；财富等级：A、B均为1；用户 ID：A=2，B=1</x:v>
      </x:c>
      <x:c r="J194" s="9" t="str">
        <x:v>1. 打开本场贡献榜</x:v>
      </x:c>
      <x:c r="K194" s="9" t="str">
        <x:v>本场贡献榜中用户A排在用户B之前</x:v>
      </x:c>
      <x:c r="L194" s="10" t="str"/>
      <x:c r="M194" s="10" t="str">
        <x:v>未测</x:v>
      </x:c>
      <x:c r="N194" s="10" t="str"/>
      <x:c r="O194" s="9" t="str">
        <x:v>1. 来源（原型批注）：liveshow-proto/prototype/annotations/user.js；views/live-room/contribution-rank.html
2. 规则：BR-E33B2236974962
3. 场景：SC-8BFA42704D9B64
4. 未动态验证</x:v>
      </x:c>
    </x:row>
    <x:row r="195" ht="100" customHeight="1">
      <x:c r="A195" s="10" t="n">
        <x:v>194</x:v>
      </x:c>
      <x:c r="B195" s="10" t="str">
        <x:v>LIVE-0194</x:v>
      </x:c>
      <x:c r="C195" s="10" t="str">
        <x:v>直播模块</x:v>
      </x:c>
      <x:c r="D195" s="10" t="str">
        <x:v>本场贡献-贡献榜（观众视角）</x:v>
      </x:c>
      <x:c r="E195" s="10" t="str">
        <x:v>业务流程</x:v>
      </x:c>
      <x:c r="F195" s="10" t="str">
        <x:v>P1</x:v>
      </x:c>
      <x:c r="G195" s="9" t="str">
        <x:v>验证前序条件相同时按粉丝等级排序</x:v>
      </x:c>
      <x:c r="H195" s="9" t="str">
        <x:v>粉丝等级排序优先级</x:v>
      </x:c>
      <x:c r="I195" s="9" t="str">
        <x:v>1. 观众已进入当前直播间
2. 用户A、B均在当前直播间，贡献值：A、B均为1；粉丝等级：A=2，B=1；财富等级：A、B均为1；用户 ID：A=2，B=1</x:v>
      </x:c>
      <x:c r="J195" s="9" t="str">
        <x:v>1. 打开本场贡献榜</x:v>
      </x:c>
      <x:c r="K195" s="9" t="str">
        <x:v>本场贡献榜中用户A排在用户B之前</x:v>
      </x:c>
      <x:c r="L195" s="10" t="str"/>
      <x:c r="M195" s="10" t="str">
        <x:v>未测</x:v>
      </x:c>
      <x:c r="N195" s="10" t="str"/>
      <x:c r="O195" s="9" t="str">
        <x:v>1. 来源（原型批注）：liveshow-proto/prototype/annotations/user.js；views/live-room/contribution-rank.html
2. 规则：BR-E33B2236974962
3. 场景：SC-DA33C90489D29C
4. 未动态验证</x:v>
      </x:c>
    </x:row>
    <x:row r="196" ht="100" customHeight="1">
      <x:c r="A196" s="10" t="n">
        <x:v>195</x:v>
      </x:c>
      <x:c r="B196" s="10" t="str">
        <x:v>LIVE-0195</x:v>
      </x:c>
      <x:c r="C196" s="10" t="str">
        <x:v>直播模块</x:v>
      </x:c>
      <x:c r="D196" s="10" t="str">
        <x:v>本场贡献-贡献榜（观众视角）</x:v>
      </x:c>
      <x:c r="E196" s="10" t="str">
        <x:v>业务流程</x:v>
      </x:c>
      <x:c r="F196" s="10" t="str">
        <x:v>P1</x:v>
      </x:c>
      <x:c r="G196" s="9" t="str">
        <x:v>验证前序条件相同时按财富等级排序</x:v>
      </x:c>
      <x:c r="H196" s="9" t="str">
        <x:v>财富等级排序优先级</x:v>
      </x:c>
      <x:c r="I196" s="9" t="str">
        <x:v>1. 观众已进入当前直播间
2. 用户A、B均在当前直播间，贡献值：A、B均为1；粉丝等级：A、B均为1；财富等级：A=2，B=1；用户 ID：A=2，B=1</x:v>
      </x:c>
      <x:c r="J196" s="9" t="str">
        <x:v>1. 打开本场贡献榜</x:v>
      </x:c>
      <x:c r="K196" s="9" t="str">
        <x:v>本场贡献榜中用户A排在用户B之前</x:v>
      </x:c>
      <x:c r="L196" s="10" t="str"/>
      <x:c r="M196" s="10" t="str">
        <x:v>未测</x:v>
      </x:c>
      <x:c r="N196" s="10" t="str"/>
      <x:c r="O196" s="9" t="str">
        <x:v>1. 来源（原型批注）：liveshow-proto/prototype/annotations/user.js；views/live-room/contribution-rank.html
2. 规则：BR-E33B2236974962
3. 场景：SC-8C60E7C9ECEC45
4. 未动态验证</x:v>
      </x:c>
    </x:row>
    <x:row r="197" ht="100" customHeight="1">
      <x:c r="A197" s="10" t="n">
        <x:v>196</x:v>
      </x:c>
      <x:c r="B197" s="10" t="str">
        <x:v>LIVE-0196</x:v>
      </x:c>
      <x:c r="C197" s="10" t="str">
        <x:v>直播模块</x:v>
      </x:c>
      <x:c r="D197" s="10" t="str">
        <x:v>本场贡献-贡献榜（观众视角）</x:v>
      </x:c>
      <x:c r="E197" s="10" t="str">
        <x:v>业务流程</x:v>
      </x:c>
      <x:c r="F197" s="10" t="str">
        <x:v>P1</x:v>
      </x:c>
      <x:c r="G197" s="9" t="str">
        <x:v>验证前序条件相同时按用户 ID排序</x:v>
      </x:c>
      <x:c r="H197" s="9" t="str">
        <x:v>用户 ID排序优先级</x:v>
      </x:c>
      <x:c r="I197" s="9" t="str">
        <x:v>1. 观众已进入当前直播间
2. 用户A、B均在当前直播间，贡献值：A、B均为1；粉丝等级：A、B均为1；财富等级：A、B均为1；用户 ID：A=1，B=2</x:v>
      </x:c>
      <x:c r="J197" s="9" t="str">
        <x:v>1. 打开本场贡献榜</x:v>
      </x:c>
      <x:c r="K197" s="9" t="str">
        <x:v>本场贡献榜中用户A排在用户B之前</x:v>
      </x:c>
      <x:c r="L197" s="10" t="str"/>
      <x:c r="M197" s="10" t="str">
        <x:v>未测</x:v>
      </x:c>
      <x:c r="N197" s="10" t="str"/>
      <x:c r="O197" s="9" t="str">
        <x:v>1. 来源（原型批注）：liveshow-proto/prototype/annotations/user.js；views/live-room/contribution-rank.html
2. 规则：BR-E33B2236974962
3. 场景：SC-FA7354E3431D0B
4. 未动态验证</x:v>
      </x:c>
    </x:row>
    <x:row r="198" ht="100" customHeight="1">
      <x:c r="A198" s="10" t="n">
        <x:v>197</x:v>
      </x:c>
      <x:c r="B198" s="10" t="str">
        <x:v>LIVE-0197</x:v>
      </x:c>
      <x:c r="C198" s="10" t="str">
        <x:v>直播模块</x:v>
      </x:c>
      <x:c r="D198" s="10" t="str">
        <x:v>本场贡献-贡献榜（观众视角）</x:v>
      </x:c>
      <x:c r="E198" s="10" t="str">
        <x:v>业务流程</x:v>
      </x:c>
      <x:c r="F198" s="10" t="str">
        <x:v>P1</x:v>
      </x:c>
      <x:c r="G198" s="9" t="str">
        <x:v>验证粉丝等级缺失按0级排序</x:v>
      </x:c>
      <x:c r="H198" s="9" t="str">
        <x:v>粉丝等级缺省排序值</x:v>
      </x:c>
      <x:c r="I198" s="9" t="str">
        <x:v>1. 观众已进入当前直播间
2. 用户A（ID 10）、B（ID 20）均在当前直播间，贡献均为100，粉丝等级分别为缺失和0，其他等级均为1</x:v>
      </x:c>
      <x:c r="J198" s="9" t="str">
        <x:v>1. 打开本场贡献榜</x:v>
      </x:c>
      <x:c r="K198" s="9" t="str">
        <x:v>本场贡献榜中用户A排在用户B之前</x:v>
      </x:c>
      <x:c r="L198" s="10" t="str"/>
      <x:c r="M198" s="10" t="str">
        <x:v>未测</x:v>
      </x:c>
      <x:c r="N198" s="10" t="str"/>
      <x:c r="O198" s="9" t="str">
        <x:v>1. 来源（原型批注）：liveshow-proto/prototype/annotations/user.js；views/live-room/contribution-rank.html
2. 规则：BR-32A051C3215745
3. 场景：SC-C80FFED9ADF03B
4. 未动态验证</x:v>
      </x:c>
    </x:row>
    <x:row r="199" ht="100" customHeight="1">
      <x:c r="A199" s="10" t="n">
        <x:v>198</x:v>
      </x:c>
      <x:c r="B199" s="10" t="str">
        <x:v>LIVE-0198</x:v>
      </x:c>
      <x:c r="C199" s="10" t="str">
        <x:v>直播模块</x:v>
      </x:c>
      <x:c r="D199" s="10" t="str">
        <x:v>本场贡献-贡献榜（观众视角）</x:v>
      </x:c>
      <x:c r="E199" s="10" t="str">
        <x:v>业务流程</x:v>
      </x:c>
      <x:c r="F199" s="10" t="str">
        <x:v>P1</x:v>
      </x:c>
      <x:c r="G199" s="9" t="str">
        <x:v>验证财富等级缺失按0级排序</x:v>
      </x:c>
      <x:c r="H199" s="9" t="str">
        <x:v>财富等级缺省排序值</x:v>
      </x:c>
      <x:c r="I199" s="9" t="str">
        <x:v>1. 观众已进入当前直播间
2. 用户A（ID 10）、B（ID 20）均在当前直播间，贡献均为100，财富等级分别为缺失和0，其他等级均为1</x:v>
      </x:c>
      <x:c r="J199" s="9" t="str">
        <x:v>1. 打开本场贡献榜</x:v>
      </x:c>
      <x:c r="K199" s="9" t="str">
        <x:v>本场贡献榜中用户A排在用户B之前</x:v>
      </x:c>
      <x:c r="L199" s="10" t="str"/>
      <x:c r="M199" s="10" t="str">
        <x:v>未测</x:v>
      </x:c>
      <x:c r="N199" s="10" t="str"/>
      <x:c r="O199" s="9" t="str">
        <x:v>1. 来源（原型批注）：liveshow-proto/prototype/annotations/user.js；views/live-room/contribution-rank.html
2. 规则：BR-32A051C3215745
3. 场景：SC-9DDA419E5A3EFD
4. 未动态验证</x:v>
      </x:c>
    </x:row>
    <x:row r="200" ht="130" customHeight="1">
      <x:c r="A200" s="10" t="n">
        <x:v>199</x:v>
      </x:c>
      <x:c r="B200" s="10" t="str">
        <x:v>LIVE-0199</x:v>
      </x:c>
      <x:c r="C200" s="10" t="str">
        <x:v>直播模块</x:v>
      </x:c>
      <x:c r="D200" s="10" t="str">
        <x:v>本场贡献-贡献榜（主播视角）</x:v>
      </x:c>
      <x:c r="E200" s="10" t="str">
        <x:v>逻辑校验</x:v>
      </x:c>
      <x:c r="F200" s="10" t="str">
        <x:v>P1</x:v>
      </x:c>
      <x:c r="G200" s="9" t="str">
        <x:v>验证第99名同分时按后续条件入榜</x:v>
      </x:c>
      <x:c r="H200" s="9" t="str">
        <x:v>入榜同分边界</x:v>
      </x:c>
      <x:c r="I200" s="9" t="str">
        <x:v>1. 主播正在直播
2. 本场共100名贡献用户，前98名贡献均为1000
3. 用户A、B贡献值均为500，粉丝等级分别为2和1，财富等级均为1，用户 ID分别为10和20</x:v>
      </x:c>
      <x:c r="J200" s="9" t="str">
        <x:v>1. 打开本场贡献榜</x:v>
      </x:c>
      <x:c r="K200" s="9" t="str">
        <x:v>第99名为用户A，用户B不在榜单内</x:v>
      </x:c>
      <x:c r="L200" s="10" t="str"/>
      <x:c r="M200" s="10" t="str">
        <x:v>未测</x:v>
      </x:c>
      <x:c r="N200" s="10" t="str"/>
      <x:c r="O200" s="9" t="str">
        <x:v>1. 来源（原型批注）：liveshow-proto/prototype/annotations/user.js；views/live-room-host/contribution-rank.html、views/live-room/contribution-rank.html
2. 规则：BR-345B92113AAE45、BR-E33B2236974962
3. 场景：SC-A0D661C72DD8CA
4. 未动态验证</x:v>
      </x:c>
    </x:row>
    <x:row r="201" ht="100" customHeight="1">
      <x:c r="A201" s="10" t="n">
        <x:v>200</x:v>
      </x:c>
      <x:c r="B201" s="10" t="str">
        <x:v>LIVE-0200</x:v>
      </x:c>
      <x:c r="C201" s="10" t="str">
        <x:v>直播模块</x:v>
      </x:c>
      <x:c r="D201" s="10" t="str">
        <x:v>在线观众-观众列表（主播视角）</x:v>
      </x:c>
      <x:c r="E201" s="10" t="str">
        <x:v>业务流程</x:v>
      </x:c>
      <x:c r="F201" s="10" t="str">
        <x:v>P1</x:v>
      </x:c>
      <x:c r="G201" s="9" t="str">
        <x:v>验证按贡献值排序</x:v>
      </x:c>
      <x:c r="H201" s="9" t="str">
        <x:v>贡献值排序优先级</x:v>
      </x:c>
      <x:c r="I201" s="9" t="str">
        <x:v>1. 主播正在直播
2. 用户A、B均在当前直播间，贡献值：A=2，B=1；粉丝等级：A、B均为1；财富等级：A、B均为1；用户 ID：A=2，B=1</x:v>
      </x:c>
      <x:c r="J201" s="9" t="str">
        <x:v>1. 打开在线观众-观众列表
2. 切换至按贡献</x:v>
      </x:c>
      <x:c r="K201" s="9" t="str">
        <x:v>在线观众列表中用户A排在用户B之前</x:v>
      </x:c>
      <x:c r="L201" s="10" t="str"/>
      <x:c r="M201" s="10" t="str">
        <x:v>未测</x:v>
      </x:c>
      <x:c r="N201" s="10" t="str"/>
      <x:c r="O201" s="9" t="str">
        <x:v>1. 来源（原型批注）：liveshow-proto/prototype/annotations/user.js；views/live-room-host/audience-viewers.html
2. 规则：BR-FC0B835AB75B28
3. 场景：SC-532584C2889F00
4. 未动态验证</x:v>
      </x:c>
    </x:row>
    <x:row r="202" ht="100" customHeight="1">
      <x:c r="A202" s="10" t="n">
        <x:v>201</x:v>
      </x:c>
      <x:c r="B202" s="10" t="str">
        <x:v>LIVE-0201</x:v>
      </x:c>
      <x:c r="C202" s="10" t="str">
        <x:v>直播模块</x:v>
      </x:c>
      <x:c r="D202" s="10" t="str">
        <x:v>在线观众-观众列表（主播视角）</x:v>
      </x:c>
      <x:c r="E202" s="10" t="str">
        <x:v>业务流程</x:v>
      </x:c>
      <x:c r="F202" s="10" t="str">
        <x:v>P1</x:v>
      </x:c>
      <x:c r="G202" s="9" t="str">
        <x:v>验证前序条件相同时按粉丝等级排序</x:v>
      </x:c>
      <x:c r="H202" s="9" t="str">
        <x:v>粉丝等级排序优先级</x:v>
      </x:c>
      <x:c r="I202" s="9" t="str">
        <x:v>1. 主播正在直播
2. 用户A、B均在当前直播间，贡献值：A、B均为1；粉丝等级：A=2，B=1；财富等级：A、B均为1；用户 ID：A=2，B=1</x:v>
      </x:c>
      <x:c r="J202" s="9" t="str">
        <x:v>1. 打开在线观众-观众列表
2. 切换至按贡献</x:v>
      </x:c>
      <x:c r="K202" s="9" t="str">
        <x:v>在线观众列表中用户A排在用户B之前</x:v>
      </x:c>
      <x:c r="L202" s="10" t="str"/>
      <x:c r="M202" s="10" t="str">
        <x:v>未测</x:v>
      </x:c>
      <x:c r="N202" s="10" t="str"/>
      <x:c r="O202" s="9" t="str">
        <x:v>1. 来源（原型批注）：liveshow-proto/prototype/annotations/user.js；views/live-room-host/audience-viewers.html
2. 规则：BR-FC0B835AB75B28
3. 场景：SC-A841E59F23A79C
4. 未动态验证</x:v>
      </x:c>
    </x:row>
    <x:row r="203" ht="100" customHeight="1">
      <x:c r="A203" s="10" t="n">
        <x:v>202</x:v>
      </x:c>
      <x:c r="B203" s="10" t="str">
        <x:v>LIVE-0202</x:v>
      </x:c>
      <x:c r="C203" s="10" t="str">
        <x:v>直播模块</x:v>
      </x:c>
      <x:c r="D203" s="10" t="str">
        <x:v>在线观众-观众列表（主播视角）</x:v>
      </x:c>
      <x:c r="E203" s="10" t="str">
        <x:v>业务流程</x:v>
      </x:c>
      <x:c r="F203" s="10" t="str">
        <x:v>P1</x:v>
      </x:c>
      <x:c r="G203" s="9" t="str">
        <x:v>验证前序条件相同时按财富等级排序</x:v>
      </x:c>
      <x:c r="H203" s="9" t="str">
        <x:v>财富等级排序优先级</x:v>
      </x:c>
      <x:c r="I203" s="9" t="str">
        <x:v>1. 主播正在直播
2. 用户A、B均在当前直播间，贡献值：A、B均为1；粉丝等级：A、B均为1；财富等级：A=2，B=1；用户 ID：A=2，B=1</x:v>
      </x:c>
      <x:c r="J203" s="9" t="str">
        <x:v>1. 打开在线观众-观众列表
2. 切换至按贡献</x:v>
      </x:c>
      <x:c r="K203" s="9" t="str">
        <x:v>在线观众列表中用户A排在用户B之前</x:v>
      </x:c>
      <x:c r="L203" s="10" t="str"/>
      <x:c r="M203" s="10" t="str">
        <x:v>未测</x:v>
      </x:c>
      <x:c r="N203" s="10" t="str"/>
      <x:c r="O203" s="9" t="str">
        <x:v>1. 来源（原型批注）：liveshow-proto/prototype/annotations/user.js；views/live-room-host/audience-viewers.html
2. 规则：BR-FC0B835AB75B28
3. 场景：SC-9AE451BD4CA2D4
4. 未动态验证</x:v>
      </x:c>
    </x:row>
    <x:row r="204" ht="100" customHeight="1">
      <x:c r="A204" s="10" t="n">
        <x:v>203</x:v>
      </x:c>
      <x:c r="B204" s="10" t="str">
        <x:v>LIVE-0203</x:v>
      </x:c>
      <x:c r="C204" s="10" t="str">
        <x:v>直播模块</x:v>
      </x:c>
      <x:c r="D204" s="10" t="str">
        <x:v>在线观众-观众列表（主播视角）</x:v>
      </x:c>
      <x:c r="E204" s="10" t="str">
        <x:v>业务流程</x:v>
      </x:c>
      <x:c r="F204" s="10" t="str">
        <x:v>P1</x:v>
      </x:c>
      <x:c r="G204" s="9" t="str">
        <x:v>验证前序条件相同时按用户 ID排序</x:v>
      </x:c>
      <x:c r="H204" s="9" t="str">
        <x:v>用户 ID排序优先级</x:v>
      </x:c>
      <x:c r="I204" s="9" t="str">
        <x:v>1. 主播正在直播
2. 用户A、B均在当前直播间，贡献值：A、B均为1；粉丝等级：A、B均为1；财富等级：A、B均为1；用户 ID：A=1，B=2</x:v>
      </x:c>
      <x:c r="J204" s="9" t="str">
        <x:v>1. 打开在线观众-观众列表
2. 切换至按贡献</x:v>
      </x:c>
      <x:c r="K204" s="9" t="str">
        <x:v>在线观众列表中用户A排在用户B之前</x:v>
      </x:c>
      <x:c r="L204" s="10" t="str"/>
      <x:c r="M204" s="10" t="str">
        <x:v>未测</x:v>
      </x:c>
      <x:c r="N204" s="10" t="str"/>
      <x:c r="O204" s="9" t="str">
        <x:v>1. 来源（原型批注）：liveshow-proto/prototype/annotations/user.js；views/live-room-host/audience-viewers.html
2. 规则：BR-FC0B835AB75B28
3. 场景：SC-CB56A3F54BFF40
4. 未动态验证</x:v>
      </x:c>
    </x:row>
    <x:row r="205" ht="100" customHeight="1">
      <x:c r="A205" s="10" t="n">
        <x:v>204</x:v>
      </x:c>
      <x:c r="B205" s="10" t="str">
        <x:v>LIVE-0204</x:v>
      </x:c>
      <x:c r="C205" s="10" t="str">
        <x:v>直播模块</x:v>
      </x:c>
      <x:c r="D205" s="10" t="str">
        <x:v>在线观众-观众列表（主播视角）</x:v>
      </x:c>
      <x:c r="E205" s="10" t="str">
        <x:v>业务流程</x:v>
      </x:c>
      <x:c r="F205" s="10" t="str">
        <x:v>P1</x:v>
      </x:c>
      <x:c r="G205" s="9" t="str">
        <x:v>验证按在线时长排序</x:v>
      </x:c>
      <x:c r="H205" s="9" t="str">
        <x:v>在线时长排序优先级</x:v>
      </x:c>
      <x:c r="I205" s="9" t="str">
        <x:v>1. 主播正在直播
2. 用户A、B均在当前直播间，在线时长：A=2，B=1；贡献值：A、B均为1；粉丝等级：A、B均为1；财富等级：A、B均为1；用户 ID：A=2，B=1</x:v>
      </x:c>
      <x:c r="J205" s="9" t="str">
        <x:v>1. 打开在线观众-观众列表
2. 切换至按停留时长</x:v>
      </x:c>
      <x:c r="K205" s="9" t="str">
        <x:v>在线观众列表中用户A排在用户B之前</x:v>
      </x:c>
      <x:c r="L205" s="10" t="str"/>
      <x:c r="M205" s="10" t="str">
        <x:v>未测</x:v>
      </x:c>
      <x:c r="N205" s="10" t="str"/>
      <x:c r="O205" s="9" t="str">
        <x:v>1. 来源（原型批注）：liveshow-proto/prototype/annotations/user.js；views/live-room-host/audience-viewers.html
2. 规则：BR-C2616B10FE33D2
3. 场景：SC-85E3AC18315AF8
4. 未动态验证</x:v>
      </x:c>
    </x:row>
    <x:row r="206" ht="100" customHeight="1">
      <x:c r="A206" s="10" t="n">
        <x:v>205</x:v>
      </x:c>
      <x:c r="B206" s="10" t="str">
        <x:v>LIVE-0205</x:v>
      </x:c>
      <x:c r="C206" s="10" t="str">
        <x:v>直播模块</x:v>
      </x:c>
      <x:c r="D206" s="10" t="str">
        <x:v>在线观众-观众列表（主播视角）</x:v>
      </x:c>
      <x:c r="E206" s="10" t="str">
        <x:v>业务流程</x:v>
      </x:c>
      <x:c r="F206" s="10" t="str">
        <x:v>P1</x:v>
      </x:c>
      <x:c r="G206" s="9" t="str">
        <x:v>验证前序条件相同时按贡献值排序</x:v>
      </x:c>
      <x:c r="H206" s="9" t="str">
        <x:v>贡献值排序优先级</x:v>
      </x:c>
      <x:c r="I206" s="9" t="str">
        <x:v>1. 主播正在直播
2. 用户A、B均在当前直播间，在线时长：A、B均为1；贡献值：A=2，B=1；粉丝等级：A、B均为1；财富等级：A、B均为1；用户 ID：A=2，B=1</x:v>
      </x:c>
      <x:c r="J206" s="9" t="str">
        <x:v>1. 打开在线观众-观众列表
2. 切换至按停留时长</x:v>
      </x:c>
      <x:c r="K206" s="9" t="str">
        <x:v>在线观众列表中用户A排在用户B之前</x:v>
      </x:c>
      <x:c r="L206" s="10" t="str"/>
      <x:c r="M206" s="10" t="str">
        <x:v>未测</x:v>
      </x:c>
      <x:c r="N206" s="10" t="str"/>
      <x:c r="O206" s="9" t="str">
        <x:v>1. 来源（原型批注）：liveshow-proto/prototype/annotations/user.js；views/live-room-host/audience-viewers.html
2. 规则：BR-C2616B10FE33D2
3. 场景：SC-06D229C3ED0812
4. 未动态验证</x:v>
      </x:c>
    </x:row>
    <x:row r="207" ht="100" customHeight="1">
      <x:c r="A207" s="10" t="n">
        <x:v>206</x:v>
      </x:c>
      <x:c r="B207" s="10" t="str">
        <x:v>LIVE-0206</x:v>
      </x:c>
      <x:c r="C207" s="10" t="str">
        <x:v>直播模块</x:v>
      </x:c>
      <x:c r="D207" s="10" t="str">
        <x:v>在线观众-观众列表（主播视角）</x:v>
      </x:c>
      <x:c r="E207" s="10" t="str">
        <x:v>业务流程</x:v>
      </x:c>
      <x:c r="F207" s="10" t="str">
        <x:v>P1</x:v>
      </x:c>
      <x:c r="G207" s="9" t="str">
        <x:v>验证前序条件相同时按粉丝等级排序</x:v>
      </x:c>
      <x:c r="H207" s="9" t="str">
        <x:v>粉丝等级排序优先级</x:v>
      </x:c>
      <x:c r="I207" s="9" t="str">
        <x:v>1. 主播正在直播
2. 用户A、B均在当前直播间，在线时长：A、B均为1；贡献值：A、B均为1；粉丝等级：A=2，B=1；财富等级：A、B均为1；用户 ID：A=2，B=1</x:v>
      </x:c>
      <x:c r="J207" s="9" t="str">
        <x:v>1. 打开在线观众-观众列表
2. 切换至按停留时长</x:v>
      </x:c>
      <x:c r="K207" s="9" t="str">
        <x:v>在线观众列表中用户A排在用户B之前</x:v>
      </x:c>
      <x:c r="L207" s="10" t="str"/>
      <x:c r="M207" s="10" t="str">
        <x:v>未测</x:v>
      </x:c>
      <x:c r="N207" s="10" t="str"/>
      <x:c r="O207" s="9" t="str">
        <x:v>1. 来源（原型批注）：liveshow-proto/prototype/annotations/user.js；views/live-room-host/audience-viewers.html
2. 规则：BR-C2616B10FE33D2
3. 场景：SC-F4D32132F2D2CA
4. 未动态验证</x:v>
      </x:c>
    </x:row>
    <x:row r="208" ht="100" customHeight="1">
      <x:c r="A208" s="10" t="n">
        <x:v>207</x:v>
      </x:c>
      <x:c r="B208" s="10" t="str">
        <x:v>LIVE-0207</x:v>
      </x:c>
      <x:c r="C208" s="10" t="str">
        <x:v>直播模块</x:v>
      </x:c>
      <x:c r="D208" s="10" t="str">
        <x:v>在线观众-观众列表（主播视角）</x:v>
      </x:c>
      <x:c r="E208" s="10" t="str">
        <x:v>业务流程</x:v>
      </x:c>
      <x:c r="F208" s="10" t="str">
        <x:v>P1</x:v>
      </x:c>
      <x:c r="G208" s="9" t="str">
        <x:v>验证前序条件相同时按财富等级排序</x:v>
      </x:c>
      <x:c r="H208" s="9" t="str">
        <x:v>财富等级排序优先级</x:v>
      </x:c>
      <x:c r="I208" s="9" t="str">
        <x:v>1. 主播正在直播
2. 用户A、B均在当前直播间，在线时长：A、B均为1；贡献值：A、B均为1；粉丝等级：A、B均为1；财富等级：A=2，B=1；用户 ID：A=2，B=1</x:v>
      </x:c>
      <x:c r="J208" s="9" t="str">
        <x:v>1. 打开在线观众-观众列表
2. 切换至按停留时长</x:v>
      </x:c>
      <x:c r="K208" s="9" t="str">
        <x:v>在线观众列表中用户A排在用户B之前</x:v>
      </x:c>
      <x:c r="L208" s="10" t="str"/>
      <x:c r="M208" s="10" t="str">
        <x:v>未测</x:v>
      </x:c>
      <x:c r="N208" s="10" t="str"/>
      <x:c r="O208" s="9" t="str">
        <x:v>1. 来源（原型批注）：liveshow-proto/prototype/annotations/user.js；views/live-room-host/audience-viewers.html
2. 规则：BR-C2616B10FE33D2
3. 场景：SC-11BEB8B1CD16B1
4. 未动态验证</x:v>
      </x:c>
    </x:row>
    <x:row r="209" ht="100" customHeight="1">
      <x:c r="A209" s="10" t="n">
        <x:v>208</x:v>
      </x:c>
      <x:c r="B209" s="10" t="str">
        <x:v>LIVE-0208</x:v>
      </x:c>
      <x:c r="C209" s="10" t="str">
        <x:v>直播模块</x:v>
      </x:c>
      <x:c r="D209" s="10" t="str">
        <x:v>在线观众-观众列表（主播视角）</x:v>
      </x:c>
      <x:c r="E209" s="10" t="str">
        <x:v>业务流程</x:v>
      </x:c>
      <x:c r="F209" s="10" t="str">
        <x:v>P1</x:v>
      </x:c>
      <x:c r="G209" s="9" t="str">
        <x:v>验证前序条件相同时按用户 ID排序</x:v>
      </x:c>
      <x:c r="H209" s="9" t="str">
        <x:v>用户 ID排序优先级</x:v>
      </x:c>
      <x:c r="I209" s="9" t="str">
        <x:v>1. 主播正在直播
2. 用户A、B均在当前直播间，在线时长：A、B均为1；贡献值：A、B均为1；粉丝等级：A、B均为1；财富等级：A、B均为1；用户 ID：A=1，B=2</x:v>
      </x:c>
      <x:c r="J209" s="9" t="str">
        <x:v>1. 打开在线观众-观众列表
2. 切换至按停留时长</x:v>
      </x:c>
      <x:c r="K209" s="9" t="str">
        <x:v>在线观众列表中用户A排在用户B之前</x:v>
      </x:c>
      <x:c r="L209" s="10" t="str"/>
      <x:c r="M209" s="10" t="str">
        <x:v>未测</x:v>
      </x:c>
      <x:c r="N209" s="10" t="str"/>
      <x:c r="O209" s="9" t="str">
        <x:v>1. 来源（原型批注）：liveshow-proto/prototype/annotations/user.js；views/live-room-host/audience-viewers.html
2. 规则：BR-C2616B10FE33D2
3. 场景：SC-884A41CF3E9057
4. 未动态验证</x:v>
      </x:c>
    </x:row>
    <x:row r="210" ht="100" customHeight="1">
      <x:c r="A210" s="10" t="n">
        <x:v>209</x:v>
      </x:c>
      <x:c r="B210" s="10" t="str">
        <x:v>LIVE-0209</x:v>
      </x:c>
      <x:c r="C210" s="10" t="str">
        <x:v>直播模块</x:v>
      </x:c>
      <x:c r="D210" s="10" t="str">
        <x:v>在线观众-观众列表（主播视角）</x:v>
      </x:c>
      <x:c r="E210" s="10" t="str">
        <x:v>业务流程</x:v>
      </x:c>
      <x:c r="F210" s="10" t="str">
        <x:v>P1</x:v>
      </x:c>
      <x:c r="G210" s="9" t="str">
        <x:v>验证粉丝等级缺失按0级排序</x:v>
      </x:c>
      <x:c r="H210" s="9" t="str">
        <x:v>粉丝等级缺省排序值</x:v>
      </x:c>
      <x:c r="I210" s="9" t="str">
        <x:v>1. 主播正在直播
2. 用户A（ID 10）、B（ID 20）均在当前直播间，贡献均为100，粉丝等级分别为缺失和0，其他等级均为1</x:v>
      </x:c>
      <x:c r="J210" s="9" t="str">
        <x:v>1. 打开在线观众-观众列表
2. 切换至按贡献</x:v>
      </x:c>
      <x:c r="K210" s="9" t="str">
        <x:v>在线观众列表中用户A排在用户B之前</x:v>
      </x:c>
      <x:c r="L210" s="10" t="str"/>
      <x:c r="M210" s="10" t="str">
        <x:v>未测</x:v>
      </x:c>
      <x:c r="N210" s="10" t="str"/>
      <x:c r="O210" s="9" t="str">
        <x:v>1. 来源（原型批注）：liveshow-proto/prototype/annotations/user.js；views/live-room-host/audience-viewers.html
2. 规则：BR-7691A1C5D6CCE8
3. 场景：SC-98E1EF88B60F2C
4. 未动态验证</x:v>
      </x:c>
    </x:row>
    <x:row r="211" ht="100" customHeight="1">
      <x:c r="A211" s="10" t="n">
        <x:v>210</x:v>
      </x:c>
      <x:c r="B211" s="10" t="str">
        <x:v>LIVE-0210</x:v>
      </x:c>
      <x:c r="C211" s="10" t="str">
        <x:v>直播模块</x:v>
      </x:c>
      <x:c r="D211" s="10" t="str">
        <x:v>在线观众-观众列表（主播视角）</x:v>
      </x:c>
      <x:c r="E211" s="10" t="str">
        <x:v>业务流程</x:v>
      </x:c>
      <x:c r="F211" s="10" t="str">
        <x:v>P1</x:v>
      </x:c>
      <x:c r="G211" s="9" t="str">
        <x:v>验证财富等级缺失按0级排序</x:v>
      </x:c>
      <x:c r="H211" s="9" t="str">
        <x:v>财富等级缺省排序值</x:v>
      </x:c>
      <x:c r="I211" s="9" t="str">
        <x:v>1. 主播正在直播
2. 用户A（ID 10）、B（ID 20）均在当前直播间，贡献均为100，财富等级分别为缺失和0，其他等级均为1</x:v>
      </x:c>
      <x:c r="J211" s="9" t="str">
        <x:v>1. 打开在线观众-观众列表
2. 切换至按贡献</x:v>
      </x:c>
      <x:c r="K211" s="9" t="str">
        <x:v>在线观众列表中用户A排在用户B之前</x:v>
      </x:c>
      <x:c r="L211" s="10" t="str"/>
      <x:c r="M211" s="10" t="str">
        <x:v>未测</x:v>
      </x:c>
      <x:c r="N211" s="10" t="str"/>
      <x:c r="O211" s="9" t="str">
        <x:v>1. 来源（原型批注）：liveshow-proto/prototype/annotations/user.js；views/live-room-host/audience-viewers.html
2. 规则：BR-7691A1C5D6CCE8
3. 场景：SC-2DBF7FCDA4BC27
4. 未动态验证</x:v>
      </x:c>
    </x:row>
    <x:row r="212" ht="100" customHeight="1">
      <x:c r="A212" s="10" t="n">
        <x:v>211</x:v>
      </x:c>
      <x:c r="B212" s="10" t="str">
        <x:v>LIVE-0211</x:v>
      </x:c>
      <x:c r="C212" s="10" t="str">
        <x:v>直播模块</x:v>
      </x:c>
      <x:c r="D212" s="10" t="str">
        <x:v>连麦主播（主播视角）</x:v>
      </x:c>
      <x:c r="E212" s="10" t="str">
        <x:v>业务流程</x:v>
      </x:c>
      <x:c r="F212" s="10" t="str">
        <x:v>P1</x:v>
      </x:c>
      <x:c r="G212" s="9" t="str">
        <x:v>验证任一方变更为受限房型后的邀请失效</x:v>
      </x:c>
      <x:c r="H212" s="9" t="str">
        <x:v>待处理邀请状态</x:v>
      </x:c>
      <x:c r="I212" s="9" t="str">
        <x:v>1. 执行者为主播B；主播A、B、C均在普通房直播、未连麦且互不拉黑
2. 主播A、C分别向主播B发送了待处理邀请</x:v>
      </x:c>
      <x:c r="J212" s="9" t="str">
        <x:v>1. 打开连麦主播面板的收到的邀请
2. 接收主播A变更为门票房事件
3. 查看收到的邀请</x:v>
      </x:c>
      <x:c r="K212" s="9" t="str">
        <x:v>收到的邀请不再显示主播A的邀请</x:v>
      </x:c>
      <x:c r="L212" s="10" t="str"/>
      <x:c r="M212" s="10" t="str">
        <x:v>未测</x:v>
      </x:c>
      <x:c r="N212" s="10" t="str"/>
      <x:c r="O212" s="9" t="str">
        <x:v>1. 来源（原型批注）：liveshow-proto/prototype/annotations/user.js；views/live-room-host/cohost-hosts.html
2. 规则：BR-271E016D8332F1
3. 场景：SC-D961FF09009A65
4. 未动态验证</x:v>
      </x:c>
    </x:row>
    <x:row r="213" ht="115" customHeight="1">
      <x:c r="A213" s="10" t="n">
        <x:v>212</x:v>
      </x:c>
      <x:c r="B213" s="10" t="str">
        <x:v>LIVE-0212</x:v>
      </x:c>
      <x:c r="C213" s="10" t="str">
        <x:v>直播模块</x:v>
      </x:c>
      <x:c r="D213" s="10" t="str">
        <x:v>连麦主播（主播视角）</x:v>
      </x:c>
      <x:c r="E213" s="10" t="str">
        <x:v>业务流程</x:v>
      </x:c>
      <x:c r="F213" s="10" t="str">
        <x:v>P1</x:v>
      </x:c>
      <x:c r="G213" s="9" t="str">
        <x:v>验证任一方进入连麦后的邀请失效</x:v>
      </x:c>
      <x:c r="H213" s="9" t="str">
        <x:v>待处理邀请状态</x:v>
      </x:c>
      <x:c r="I213" s="9" t="str">
        <x:v>1. 执行者为主播B；主播A、B、C均在普通房直播、未连麦且互不拉黑
2. 主播A、C分别向主播B发送了待处理邀请
3. 主播D在普通房直播、未连麦且与主播A无拉黑关系</x:v>
      </x:c>
      <x:c r="J213" s="9" t="str">
        <x:v>1. 打开连麦主播面板的收到的邀请
2. 接收主播A与主播D建立连麦事件
3. 查看收到的邀请</x:v>
      </x:c>
      <x:c r="K213" s="9" t="str">
        <x:v>收到的邀请不再显示主播A的邀请</x:v>
      </x:c>
      <x:c r="L213" s="10" t="str"/>
      <x:c r="M213" s="10" t="str">
        <x:v>未测</x:v>
      </x:c>
      <x:c r="N213" s="10" t="str"/>
      <x:c r="O213" s="9" t="str">
        <x:v>1. 来源（原型批注）：liveshow-proto/prototype/annotations/user.js；views/live-room-host/cohost-hosts.html
2. 规则：BR-271E016D8332F1
3. 场景：SC-E17DB4F9A6C7E6
4. 未动态验证</x:v>
      </x:c>
    </x:row>
    <x:row r="214" ht="100" customHeight="1">
      <x:c r="A214" s="10" t="n">
        <x:v>213</x:v>
      </x:c>
      <x:c r="B214" s="10" t="str">
        <x:v>LIVE-0213</x:v>
      </x:c>
      <x:c r="C214" s="10" t="str">
        <x:v>直播模块</x:v>
      </x:c>
      <x:c r="D214" s="10" t="str">
        <x:v>收到连麦邀请（主播视角）</x:v>
      </x:c>
      <x:c r="E214" s="10" t="str">
        <x:v>业务流程</x:v>
      </x:c>
      <x:c r="F214" s="10" t="str">
        <x:v>P1</x:v>
      </x:c>
      <x:c r="G214" s="9" t="str">
        <x:v>验证提示期间新增邀请更新原提示</x:v>
      </x:c>
      <x:c r="H214" s="9" t="str">
        <x:v>邀请提示叠加</x:v>
      </x:c>
      <x:c r="I214" s="9" t="str">
        <x:v>1. 主播B正在普通房直播且未连麦
2. 主播A、C均具备邀请资格</x:v>
      </x:c>
      <x:c r="J214" s="9" t="str">
        <x:v>1. 接收主播A的邀请
2. 提示尚未消失时接收主播C的邀请</x:v>
      </x:c>
      <x:c r="K214" s="9" t="str">
        <x:v>页面只显示一个邀请提示</x:v>
      </x:c>
      <x:c r="L214" s="10" t="str"/>
      <x:c r="M214" s="10" t="str">
        <x:v>未测</x:v>
      </x:c>
      <x:c r="N214" s="10" t="str"/>
      <x:c r="O214" s="9" t="str">
        <x:v>1. 来源（原型批注）：liveshow-proto/prototype/annotations/user.js；views/live-room-host/cohost-invite-notice.html
2. 规则：BR-907BFB7C78C69F
3. 场景：SC-847F572B228D70
4. 未动态验证</x:v>
      </x:c>
    </x:row>
    <x:row r="215" ht="100" customHeight="1">
      <x:c r="A215" s="10" t="n">
        <x:v>214</x:v>
      </x:c>
      <x:c r="B215" s="10" t="str">
        <x:v>LIVE-0214</x:v>
      </x:c>
      <x:c r="C215" s="10" t="str">
        <x:v>直播模块</x:v>
      </x:c>
      <x:c r="D215" s="10" t="str">
        <x:v>连麦主播（主播视角）</x:v>
      </x:c>
      <x:c r="E215" s="10" t="str">
        <x:v>业务流程</x:v>
      </x:c>
      <x:c r="F215" s="10" t="str">
        <x:v>P1</x:v>
      </x:c>
      <x:c r="G215" s="9" t="str">
        <x:v>验证接受邀请后的邀请保留</x:v>
      </x:c>
      <x:c r="H215" s="9" t="str">
        <x:v>待处理邀请状态</x:v>
      </x:c>
      <x:c r="I215" s="9" t="str">
        <x:v>1. 执行者为主播B；主播A、B、C均在普通房直播、未连麦且互不拉黑
2. 主播A、C分别向主播B发送了待处理邀请</x:v>
      </x:c>
      <x:c r="J215" s="9" t="str">
        <x:v>1. 打开连麦主播面板的收到的邀请
2. 选择主播A的邀请
3. 点击接受
4. 重新打开连麦主播面板的收到的邀请</x:v>
      </x:c>
      <x:c r="K215" s="9" t="str">
        <x:v>收到的邀请仍保留主播C的邀请</x:v>
      </x:c>
      <x:c r="L215" s="10" t="str"/>
      <x:c r="M215" s="10" t="str">
        <x:v>未测</x:v>
      </x:c>
      <x:c r="N215" s="10" t="str"/>
      <x:c r="O215" s="9" t="str">
        <x:v>1. 来源（需求文档）：liveshow-proto/context/系统概要 .md；views/live-room-host/cohost-hosts.html
2. 规则：BR-E2B73CE7D10724
3. 场景：SC-3DA056395EBAA4
4. 未动态验证</x:v>
      </x:c>
    </x:row>
  </x:sheetData>
  <x:dataValidations count="3">
    <x:dataValidation type="list" sqref="E2:E215">
      <x:formula1>"功能需求,业务流程,逻辑校验,异常用例"</x:formula1>
    </x:dataValidation>
    <x:dataValidation type="list" sqref="F2:F215">
      <x:formula1>"P0,P1,P2,P3"</x:formula1>
    </x:dataValidation>
    <x:dataValidation type="list" sqref="M2:M215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0e80139ba34ff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85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直播模块</x:v>
      </x:c>
      <x:c r="G2" s="9" t="str">
        <x:v>房管管理：排序依据待确认</x:v>
      </x:c>
      <x:c r="H2" s="9" t="str">
        <x:v>业务规则</x:v>
      </x:c>
      <x:c r="I2" s="9" t="str">
        <x:v>排序依据待确认</x:v>
      </x:c>
      <x:c r="J2" s="9" t="str">
        <x:v>A. 按用户 ID 数字部分升序排列
B. 按关系建立时间倒序排列（需要提供时间字段）</x:v>
      </x:c>
      <x:c r="K2" s="9" t="str">
        <x:v>上述方案仅供产品决策，不作为已确认规则。</x:v>
      </x:c>
      <x:c r="L2" s="12" t="str"/>
      <x:c r="M2" s="12" t="str"/>
      <x:c r="N2" s="10" t="str">
        <x:v>1. liveshow-proto/prototype/annotations/user.js；moderator-management.html / 业务规则 / 3.5：5. 数据范围：当前主播仍有效的房管授权；排序依据待确认。</x:v>
      </x:c>
      <x:c r="O2" s="9" t="str">
        <x:v>1. 用户App-直播模块-房管管理</x:v>
      </x:c>
      <x:c r="P2" s="9" t="str"/>
      <x:c r="Q2" s="9" t="str">
        <x:v>1. 排序依据规则确认后的验证</x:v>
      </x:c>
      <x:c r="R2" s="9" t="str">
        <x:v>产品</x:v>
      </x:c>
      <x:c r="S2" s="9" t="str">
        <x:v>对应场景测试前</x:v>
      </x:c>
      <x:c r="T2" s="9" t="str">
        <x:v>待确认</x:v>
      </x:c>
    </x:row>
    <x:row r="3" ht="10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直播模块</x:v>
      </x:c>
      <x:c r="G3" s="9" t="str">
        <x:v>选择可见粉丝：排序：可选粉丝列表的排序依据待确认</x:v>
      </x:c>
      <x:c r="H3" s="9" t="str">
        <x:v>业务规则</x:v>
      </x:c>
      <x:c r="I3" s="9" t="str">
        <x:v>排序：可选粉丝列表的排序依据待确认</x:v>
      </x:c>
      <x:c r="J3" s="9" t="str">
        <x:v>A. 按用户 ID 数字部分升序排列
B. 按关系建立时间倒序排列（需要提供时间字段）</x:v>
      </x:c>
      <x:c r="K3" s="9" t="str">
        <x:v>上述方案仅供产品决策，不作为已确认规则。</x:v>
      </x:c>
      <x:c r="L3" s="12" t="str"/>
      <x:c r="M3" s="12" t="str"/>
      <x:c r="N3" s="10" t="str">
        <x:v>1. liveshow-proto/prototype/annotations/user.js；visible-fan-select.html / 业务规则 / 3.3：3. 排序：可选粉丝列表的排序依据待确认；搜索不改变匹配结果的相对顺序。</x:v>
      </x:c>
      <x:c r="O3" s="9" t="str">
        <x:v>1. 用户App-直播模块-选择可见粉丝</x:v>
      </x:c>
      <x:c r="P3" s="9" t="str"/>
      <x:c r="Q3" s="9" t="str">
        <x:v>1. 排序：可选粉丝列表的排序依据规则确认后的验证</x:v>
      </x:c>
      <x:c r="R3" s="9" t="str">
        <x:v>产品</x:v>
      </x:c>
      <x:c r="S3" s="9" t="str">
        <x:v>对应场景测试前</x:v>
      </x:c>
      <x:c r="T3" s="9" t="str">
        <x:v>待确认</x:v>
      </x:c>
    </x:row>
    <x:row r="4" ht="190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直播模块</x:v>
      </x:c>
      <x:c r="G4" s="9" t="str">
        <x:v>直播数据：直播数据明细列表采用哪种排序规则？</x:v>
      </x:c>
      <x:c r="H4" s="9" t="str">
        <x:v>业务规则</x:v>
      </x:c>
      <x:c r="I4" s="9" t="str">
        <x:v>直播数据明细列表采用哪种排序规则？</x:v>
      </x:c>
      <x:c r="J4" s="9" t="str">
        <x:v>A. 按日期倒序排列
B. 按日期正序排列
C. 按收益从高到低排列</x:v>
      </x:c>
      <x:c r="K4" s="9" t="str">
        <x:v>上述方案仅供产品决策，不作为已确认规则。</x:v>
      </x:c>
      <x:c r="L4" s="12" t="str"/>
      <x:c r="M4" s="12" t="str"/>
      <x:c r="N4" s="10" t="str">
        <x:v>1. liveshow-proto/prototype/annotations/user.js；live-data.html / 业务规则 / 3.2：2. 数据范围：仅当前主播、当前日或月范围内的直播数据；日期趋势按时间顺序展示，明细列表的排序依据待确认。
2. liveshow-proto/prototype/annotations/user.js；views/live-data/month.html / 业务规则 / 3.2：数据范围：当前主播所选自然月的有效直播记录；按时间顺序展示趋势，明细列表排序依据待确认。</x:v>
      </x:c>
      <x:c r="O4" s="9" t="str">
        <x:v>1. 用户App-直播模块-直播数据</x:v>
      </x:c>
      <x:c r="P4" s="9" t="str"/>
      <x:c r="Q4" s="9" t="str">
        <x:v>1. 直播数据明细列表采用哪种排序规则？</x:v>
      </x:c>
      <x:c r="R4" s="9" t="str">
        <x:v>产品</x:v>
      </x:c>
      <x:c r="S4" s="9" t="str">
        <x:v>对应场景测试前</x:v>
      </x:c>
      <x:c r="T4" s="9" t="str">
        <x:v>待确认</x:v>
      </x:c>
    </x:row>
    <x:row r="5" ht="115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直播模块</x:v>
      </x:c>
      <x:c r="G5" s="9" t="str">
        <x:v>直播间（普通房）：敏感词命中后，消息应如何处理？</x:v>
      </x:c>
      <x:c r="H5" s="9" t="str">
        <x:v>业务规则</x:v>
      </x:c>
      <x:c r="I5" s="9" t="str">
        <x:v>敏感词命中后，消息应如何处理？</x:v>
      </x:c>
      <x:c r="J5" s="9" t="str">
        <x:v>A. 整条消息禁止发送并保留输入，提示需另行明确
B. 替换命中片段后发送其余内容，替换形式需明确</x:v>
      </x:c>
      <x:c r="K5" s="9" t="str">
        <x:v>上述方案仅供产品决策，不作为已确认规则。</x:v>
      </x:c>
      <x:c r="L5" s="12" t="str"/>
      <x:c r="M5" s="12" t="str"/>
      <x:c r="N5" s="10" t="str">
        <x:v>1. liveshow-proto/context/01-用户主播App-项目需求清单.md；第44行 / 直播观看与互动：		- 公屏聊天/弹幕：发送文字消息、系统进场提示、表情。敏感词库由后台维护；命中后的拦截、替换和提示方式待确认。</x:v>
      </x:c>
      <x:c r="O5" s="9" t="str">
        <x:v>1. 用户App-直播模块-直播间（普通房）</x:v>
      </x:c>
      <x:c r="P5" s="9" t="str"/>
      <x:c r="Q5" s="9" t="str">
        <x:v>1. 敏感词命中后，消息应如何处理？</x:v>
      </x:c>
      <x:c r="R5" s="9" t="str">
        <x:v>产品</x:v>
      </x:c>
      <x:c r="S5" s="9" t="str">
        <x:v>对应场景测试前</x:v>
      </x:c>
      <x:c r="T5" s="9" t="str">
        <x:v>待确认</x:v>
      </x:c>
    </x:row>
  </x:sheetData>
  <x:dataValidations count="5">
    <x:dataValidation type="list" sqref="E2:E5">
      <x:formula1>"阻塞测试,部分阻塞,不阻塞"</x:formula1>
    </x:dataValidation>
    <x:dataValidation type="list" sqref="H2:H5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5">
      <x:formula1>"A,B,C,D,其他"</x:formula1>
    </x:dataValidation>
    <x:dataValidation type="list" sqref="R2:R5">
      <x:formula1>"产品,交互,技术,多方确认"</x:formula1>
    </x:dataValidation>
    <x:dataValidation type="list" sqref="T2:T5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2caa633b424ec2"/>
  </x:tableParts>
</x:worksheet>
</file>