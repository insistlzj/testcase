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65a1a1c34c43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2c8dc23a66974c38"/>
    <x:sheet xmlns:r="http://schemas.openxmlformats.org/officeDocument/2006/relationships" name="功能测试用例" sheetId="2" r:id="Rff9ce1ff01c04ef5"/>
    <x:sheet xmlns:r="http://schemas.openxmlformats.org/officeDocument/2006/relationships" name="需求待确认" sheetId="3" r:id="R3d696a62efe44e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e5bbe221fe4d19" /><Relationship Type="http://schemas.openxmlformats.org/officeDocument/2006/relationships/theme" Target="/xl/theme/theme1.xml" Id="Rbaec408f60fb4f6a" /><Relationship Type="http://schemas.openxmlformats.org/officeDocument/2006/relationships/sharedStrings" Target="/xl/sharedStrings.xml" Id="R8fcee16245664853" /><Relationship Type="http://schemas.openxmlformats.org/officeDocument/2006/relationships/worksheet" Target="/xl/worksheets/sheet1.xml" Id="R2c8dc23a66974c38" /><Relationship Type="http://schemas.openxmlformats.org/officeDocument/2006/relationships/worksheet" Target="/xl/worksheets/sheet2.xml" Id="Rff9ce1ff01c04ef5" /><Relationship Type="http://schemas.openxmlformats.org/officeDocument/2006/relationships/worksheet" Target="/xl/worksheets/sheet3.xml" Id="R3d696a62efe44eb5" /></Relationships>
</file>

<file path=xl/tables/table1.xml><?xml version="1.0" encoding="utf-8"?>
<x:table xmlns:x="http://schemas.openxmlformats.org/spreadsheetml/2006/main" id="1" name="LiveCasesTable" displayName="LiveCasesTable" ref="A1:O664" headerRowCount="1" totalsRowCount="0" totalsRowShown="0">
  <x:autoFilter ref="A1:O664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64" headerRowCount="1" totalsRowCount="0" totalsRowShown="0">
  <x:autoFilter ref="A1:T64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c640b650934f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7e7bb87535489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管理后台-全部模块-260914-002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数量由“需求待确认”工作表实时汇总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COUNTA('需求待确认'!$A$2:$A$64)</x:f>
        <x:v>63</x:v>
      </x:c>
      <x:c r="C5" s="13"/>
      <x:c r="D5" s="20" t="str">
        <x:v>阻塞测试</x:v>
      </x:c>
      <x:c r="E5" s="22" t="n">
        <x:f>COUNTIFS('需求待确认'!$E$2:$E$64,"阻塞测试",'需求待确认'!$T$2:$T$64,"待确认")</x:f>
        <x:v>0</x:v>
      </x:c>
      <x:c r="F5" s="13"/>
      <x:c r="G5" s="20" t="str">
        <x:v>产品</x:v>
      </x:c>
      <x:c r="H5" s="22" t="n">
        <x:f>COUNTIFS('需求待确认'!$R$2:$R$64,"产品",'需求待确认'!$T$2:$T$64,"待确认")</x:f>
        <x:v>61</x:v>
      </x:c>
    </x:row>
    <x:row r="6">
      <x:c r="A6" s="20" t="str">
        <x:v>当前可回答</x:v>
      </x:c>
      <x:c r="B6" s="22" t="n">
        <x:f>COUNTIF('需求待确认'!$T$2:$T$64,"待确认")</x:f>
        <x:v>63</x:v>
      </x:c>
      <x:c r="C6" s="13"/>
      <x:c r="D6" s="20" t="str">
        <x:v>部分阻塞</x:v>
      </x:c>
      <x:c r="E6" s="22" t="n">
        <x:f>COUNTIFS('需求待确认'!$E$2:$E$64,"部分阻塞",'需求待确认'!$T$2:$T$64,"待确认")</x:f>
        <x:v>63</x:v>
      </x:c>
      <x:c r="F6" s="13"/>
      <x:c r="G6" s="20" t="str">
        <x:v>交互</x:v>
      </x:c>
      <x:c r="H6" s="22" t="n">
        <x:f>COUNTIFS('需求待确认'!$R$2:$R$64,"交互",'需求待确认'!$T$2:$T$64,"待确认")</x:f>
        <x:v>0</x:v>
      </x:c>
    </x:row>
    <x:row r="7">
      <x:c r="A7" s="20" t="str">
        <x:v>待前置结论</x:v>
      </x:c>
      <x:c r="B7" s="22" t="n">
        <x:f>COUNTIF('需求待确认'!$T$2:$T$64,"待前置结论")</x:f>
        <x:v>0</x:v>
      </x:c>
      <x:c r="C7" s="13"/>
      <x:c r="D7" s="20" t="str">
        <x:v>不阻塞</x:v>
      </x:c>
      <x:c r="E7" s="22" t="n">
        <x:f>COUNTIFS('需求待确认'!$E$2:$E$64,"不阻塞",'需求待确认'!$T$2:$T$64,"待确认")</x:f>
        <x:v>0</x:v>
      </x:c>
      <x:c r="F7" s="13"/>
      <x:c r="G7" s="20" t="str">
        <x:v>技术</x:v>
      </x:c>
      <x:c r="H7" s="22" t="n">
        <x:f>COUNTIFS('需求待确认'!$R$2:$R$64,"技术",'需求待确认'!$T$2:$T$64,"待确认")</x:f>
        <x:v>0</x:v>
      </x:c>
    </x:row>
    <x:row r="8">
      <x:c r="A8" s="20" t="str">
        <x:v>确认中</x:v>
      </x:c>
      <x:c r="B8" s="22" t="n">
        <x:f>COUNTIF('需求待确认'!$T$2:$T$64,"确认中")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COUNTIFS('需求待确认'!$R$2:$R$64,"多方确认",'需求待确认'!$T$2:$T$64,"待确认")</x:f>
        <x:v>2</x:v>
      </x:c>
    </x:row>
    <x:row r="9">
      <x:c r="A9" s="20" t="str">
        <x:v>已确认</x:v>
      </x:c>
      <x:c r="B9" s="22" t="n">
        <x:f>COUNTIF('需求待确认'!$T$2:$T$64,"已确认")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COUNTIF('需求待确认'!$T$2:$T$64,"无需处理")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130" customHeight="1">
      <x:c r="A2" s="10" t="n">
        <x:v>1</x:v>
      </x:c>
      <x:c r="B2" s="10" t="str">
        <x:v>ADMIN-0001</x:v>
      </x:c>
      <x:c r="C2" s="10" t="str">
        <x:v>财务结算</x:v>
      </x:c>
      <x:c r="D2" s="10" t="str">
        <x:v>消费订单（平台管理员）</x:v>
      </x:c>
      <x:c r="E2" s="10" t="str">
        <x:v>业务流程</x:v>
      </x:c>
      <x:c r="F2" s="10" t="str">
        <x:v>P1</x:v>
      </x:c>
      <x:c r="G2" s="9" t="str">
        <x:v>验证主动下播后历史消费记录保留</x:v>
      </x:c>
      <x:c r="H2" s="9" t="str">
        <x:v>历史消费状态</x:v>
      </x:c>
      <x:c r="I2" s="9" t="str">
        <x:v>1. 平台管理员测试账号已有管理后台可访问会话
2. 主播B的S1正在直播；S1成功消费订单C1金额100金币已存在
3. 由主播在直播间（主播） → 结束直播确认完成配合操作：打开结束直播确认视图；点击“确认”</x:v>
      </x:c>
      <x:c r="J2" s="9" t="str">
        <x:v>1. 打开消费订单
2. 查询原场次S1对应消费订单</x:v>
      </x:c>
      <x:c r="K2" s="9" t="str">
        <x:v>历史消费记录保留</x:v>
      </x:c>
      <x:c r="L2" s="10" t="str">
        <x:v>FLOW-LIVE</x:v>
      </x:c>
      <x:c r="M2" s="10" t="str">
        <x:v>未测</x:v>
      </x:c>
      <x:c r="N2" s="10" t="str"/>
      <x:c r="O2" s="9" t="str">
        <x:v>1. 来源（当前证据）：liveshow-proto/MainBasis/统一需求文档.md；位置：第1709行、第2810行、第2808行、第2809行
2. 规则：BR-25197303c06db3dc
3. 未动态验证</x:v>
      </x:c>
    </x:row>
    <x:row r="3" ht="145" customHeight="1">
      <x:c r="A3" s="10" t="n">
        <x:v>2</x:v>
      </x:c>
      <x:c r="B3" s="10" t="str">
        <x:v>ADMIN-0002</x:v>
      </x:c>
      <x:c r="C3" s="10" t="str">
        <x:v>主播管理</x:v>
      </x:c>
      <x:c r="D3" s="10" t="str">
        <x:v>直播详情（平台管理员）</x:v>
      </x:c>
      <x:c r="E3" s="10" t="str">
        <x:v>业务流程</x:v>
      </x:c>
      <x:c r="F3" s="10" t="str">
        <x:v>P1</x:v>
      </x:c>
      <x:c r="G3" s="9" t="str">
        <x:v>验证主动下播后历史处置记录保留</x:v>
      </x:c>
      <x:c r="H3" s="9" t="str">
        <x:v>历史处置状态</x:v>
      </x:c>
      <x:c r="I3" s="9" t="str">
        <x:v>1. 平台管理员测试账号已有管理后台可访问会话
2. 主播B的S1正在直播；S1已有警告处置V1，操作人及处置时间已保存
3. 由主播在直播间（主播） → 结束直播确认完成配合操作：打开结束直播确认视图；点击“确认”</x:v>
      </x:c>
      <x:c r="J3" s="9" t="str">
        <x:v>1. 打开直播详情
2. 查看原场次S1对应的历史处置记录</x:v>
      </x:c>
      <x:c r="K3" s="9" t="str">
        <x:v>历史处置记录保留</x:v>
      </x:c>
      <x:c r="L3" s="10" t="str">
        <x:v>FLOW-LIVE</x:v>
      </x:c>
      <x:c r="M3" s="10" t="str">
        <x:v>未测</x:v>
      </x:c>
      <x:c r="N3" s="10" t="str"/>
      <x:c r="O3" s="9" t="str">
        <x:v>1. 来源（当前证据）：liveshow-proto/MainBasis/统一需求文档.md；位置：第1709行、第2298行、第2296行、第2297行
2. 规则：BR-c8bd533531956ac2
3. 未动态验证</x:v>
      </x:c>
    </x:row>
    <x:row r="4" ht="205" customHeight="1">
      <x:c r="A4" s="10" t="n">
        <x:v>3</x:v>
      </x:c>
      <x:c r="B4" s="10" t="str">
        <x:v>ADMIN-0003</x:v>
      </x:c>
      <x:c r="C4" s="10" t="str">
        <x:v>财务结算</x:v>
      </x:c>
      <x:c r="D4" s="10" t="str">
        <x:v>消费订单详情（平台管理员）</x:v>
      </x:c>
      <x:c r="E4" s="10" t="str">
        <x:v>业务流程</x:v>
      </x:c>
      <x:c r="F4" s="10" t="str">
        <x:v>P0</x:v>
      </x:c>
      <x:c r="G4" s="9" t="str">
        <x:v>验证主动下播后历史收益记录保留</x:v>
      </x:c>
      <x:c r="H4" s="9" t="str">
        <x:v>历史收益状态</x:v>
      </x:c>
      <x:c r="I4" s="9" t="str">
        <x:v>1. 当前执行账号为平台管理员，具有管理后台的有效会话
2. 平台管理员测试账号已有管理后台可访问会话
3. 主播B的S1正在直播；S1已形成100金币收益且已保存来源消费记录
4. 由主播在直播间（主播） → 结束直播确认完成配合操作：打开结束直播确认视图；点击“确认”
5. S1只有成功消费C1产生主播收益100金币，无其他消费</x:v>
      </x:c>
      <x:c r="J4" s="9" t="str">
        <x:v>1. 打开S1原消费订单C1详情
2. 查看主播收益</x:v>
      </x:c>
      <x:c r="K4" s="9" t="str">
        <x:v>C1主播收益仍为100金币</x:v>
      </x:c>
      <x:c r="L4" s="10" t="str">
        <x:v>FLOW-LIVE</x:v>
      </x:c>
      <x:c r="M4" s="10" t="str">
        <x:v>未测</x:v>
      </x:c>
      <x:c r="N4" s="10" t="str"/>
      <x:c r="O4" s="9" t="str">
        <x:v>1. 来源（当前证据）：liveshow-proto/MainBasis/统一需求文档.md；位置：第1709行、第3067行、第2829行、第2822行、第2823行
2. 规则：BR-1cf1d8df9dfbc1a7
3. 未动态验证</x:v>
      </x:c>
    </x:row>
    <x:row r="5" ht="160" customHeight="1">
      <x:c r="A5" s="10" t="n">
        <x:v>4</x:v>
      </x:c>
      <x:c r="B5" s="10" t="str">
        <x:v>ADMIN-0004</x:v>
      </x:c>
      <x:c r="C5" s="10" t="str">
        <x:v>财务结算</x:v>
      </x:c>
      <x:c r="D5" s="10" t="str">
        <x:v>充值订单详情（平台管理员）</x:v>
      </x:c>
      <x:c r="E5" s="10" t="str">
        <x:v>逻辑校验</x:v>
      </x:c>
      <x:c r="F5" s="10" t="str">
        <x:v>P0</x:v>
      </x:c>
      <x:c r="G5" s="9" t="str">
        <x:v>验证充值退款扣回1100金币、退款前余额2000</x:v>
      </x:c>
      <x:c r="H5" s="9" t="str">
        <x:v>充值退款余额计算</x:v>
      </x:c>
      <x:c r="I5" s="9" t="str">
        <x:v>1. 当前执行账号具有管理后台会话，身份为平台管理员；具体账号及权限变化按以下条件准备
2. 订单R1支付成功未退款，实付10USD，基础1000金币、赠送100金币
3. 当前用户余额2000金币，R1此前到账1100金币
4. 本例充值订单所属账号为A</x:v>
      </x:c>
      <x:c r="J5" s="9" t="str">
        <x:v>1. 打开充值订单R1详情
2. 点击“手动退款”
3. 输入原因“测试全额退款”
4. 确认退款
5. 打开用户A详情
6. 查看金币余额</x:v>
      </x:c>
      <x:c r="K5" s="9" t="str">
        <x:v>退款后余额=900金币</x:v>
      </x:c>
      <x:c r="L5" s="10" t="str">
        <x:v>FLOW-RECHARGE-REFUND</x:v>
      </x:c>
      <x:c r="M5" s="10" t="str">
        <x:v>未测</x:v>
      </x:c>
      <x:c r="N5" s="10" t="str"/>
      <x:c r="O5" s="9" t="str">
        <x:v>1. 来源（当前证据）：liveshow-proto/MainBasis/统一需求文档.md；位置：第2804行、第2225行、第2794行、第2795行
2. 规则：BR-64d2ce76645a91a8
3. 未动态验证</x:v>
      </x:c>
    </x:row>
    <x:row r="6" ht="160" customHeight="1">
      <x:c r="A6" s="10" t="n">
        <x:v>5</x:v>
      </x:c>
      <x:c r="B6" s="10" t="str">
        <x:v>ADMIN-0005</x:v>
      </x:c>
      <x:c r="C6" s="10" t="str">
        <x:v>财务结算</x:v>
      </x:c>
      <x:c r="D6" s="10" t="str">
        <x:v>充值订单详情（平台管理员）</x:v>
      </x:c>
      <x:c r="E6" s="10" t="str">
        <x:v>逻辑校验</x:v>
      </x:c>
      <x:c r="F6" s="10" t="str">
        <x:v>P0</x:v>
      </x:c>
      <x:c r="G6" s="9" t="str">
        <x:v>验证充值退款扣回1100金币、退款前余额1100</x:v>
      </x:c>
      <x:c r="H6" s="9" t="str">
        <x:v>充值退款余额计算</x:v>
      </x:c>
      <x:c r="I6" s="9" t="str">
        <x:v>1. 当前执行账号具有管理后台会话，身份为平台管理员；具体账号及权限变化按以下条件准备
2. 订单R1支付成功未退款，实付10USD，基础1000金币、赠送100金币
3. 当前用户余额1100金币，R1此前到账1100金币
4. 本例充值订单所属账号为A</x:v>
      </x:c>
      <x:c r="J6" s="9" t="str">
        <x:v>1. 打开充值订单R1详情
2. 点击“手动退款”
3. 输入原因“测试全额退款”
4. 确认退款
5. 打开用户A详情
6. 查看金币余额</x:v>
      </x:c>
      <x:c r="K6" s="9" t="str">
        <x:v>退款后余额=0金币</x:v>
      </x:c>
      <x:c r="L6" s="10" t="str">
        <x:v>FLOW-RECHARGE-REFUND</x:v>
      </x:c>
      <x:c r="M6" s="10" t="str">
        <x:v>未测</x:v>
      </x:c>
      <x:c r="N6" s="10" t="str"/>
      <x:c r="O6" s="9" t="str">
        <x:v>1. 来源（当前证据）：liveshow-proto/MainBasis/统一需求文档.md；位置：第2804行、第2225行、第2794行、第2795行
2. 规则：BR-479b81c3b67e9da6
3. 未动态验证</x:v>
      </x:c>
    </x:row>
    <x:row r="7" ht="160" customHeight="1">
      <x:c r="A7" s="10" t="n">
        <x:v>6</x:v>
      </x:c>
      <x:c r="B7" s="10" t="str">
        <x:v>ADMIN-0006</x:v>
      </x:c>
      <x:c r="C7" s="10" t="str">
        <x:v>财务结算</x:v>
      </x:c>
      <x:c r="D7" s="10" t="str">
        <x:v>充值订单详情（平台管理员）</x:v>
      </x:c>
      <x:c r="E7" s="10" t="str">
        <x:v>逻辑校验</x:v>
      </x:c>
      <x:c r="F7" s="10" t="str">
        <x:v>P0</x:v>
      </x:c>
      <x:c r="G7" s="9" t="str">
        <x:v>验证充值退款扣回1100金币、退款前余额100</x:v>
      </x:c>
      <x:c r="H7" s="9" t="str">
        <x:v>充值退款余额计算</x:v>
      </x:c>
      <x:c r="I7" s="9" t="str">
        <x:v>1. 当前执行账号具有管理后台会话，身份为平台管理员；具体账号及权限变化按以下条件准备
2. 订单R1支付成功未退款，实付10USD，基础1000金币、赠送100金币
3. 当前用户余额100金币，R1此前到账1100金币
4. 本例充值订单所属账号为A</x:v>
      </x:c>
      <x:c r="J7" s="9" t="str">
        <x:v>1. 打开充值订单R1详情
2. 点击“手动退款”
3. 输入原因“测试全额退款”
4. 确认退款
5. 打开用户A详情
6. 查看金币余额</x:v>
      </x:c>
      <x:c r="K7" s="9" t="str">
        <x:v>退款后余额=-1000金币</x:v>
      </x:c>
      <x:c r="L7" s="10" t="str">
        <x:v>FLOW-RECHARGE-REFUND</x:v>
      </x:c>
      <x:c r="M7" s="10" t="str">
        <x:v>未测</x:v>
      </x:c>
      <x:c r="N7" s="10" t="str"/>
      <x:c r="O7" s="9" t="str">
        <x:v>1. 来源（当前证据）：liveshow-proto/MainBasis/统一需求文档.md；位置：第2804行、第2225行、第2794行、第2795行
2. 规则：BR-9cd3ec086742c7d3
3. 未动态验证</x:v>
      </x:c>
    </x:row>
    <x:row r="8" ht="115" customHeight="1">
      <x:c r="A8" s="10" t="n">
        <x:v>7</x:v>
      </x:c>
      <x:c r="B8" s="10" t="str">
        <x:v>ADMIN-0007</x:v>
      </x:c>
      <x:c r="C8" s="10" t="str">
        <x:v>财务结算</x:v>
      </x:c>
      <x:c r="D8" s="10" t="str">
        <x:v>充值订单详情（平台管理员）</x:v>
      </x:c>
      <x:c r="E8" s="10" t="str">
        <x:v>业务流程</x:v>
      </x:c>
      <x:c r="F8" s="10" t="str">
        <x:v>P0</x:v>
      </x:c>
      <x:c r="G8" s="9" t="str">
        <x:v>验证充值手动退款金额与原实付一致</x:v>
      </x:c>
      <x:c r="H8" s="9" t="str">
        <x:v>全额退款金额</x:v>
      </x:c>
      <x:c r="I8" s="9" t="str">
        <x:v>1. 当前执行账号具有管理后台会话，身份为平台管理员；具体账号及权限变化按以下条件准备
2. R1支付成功未退款，原支付渠道C1，实付10USD，到账1100金币</x:v>
      </x:c>
      <x:c r="J8" s="9" t="str">
        <x:v>1. 打开R1充值订单详情
2. 点击“手动退款”
3. 输入原因“测试退款”
4. 确认退款
5. 查看订单退款金额</x:v>
      </x:c>
      <x:c r="K8" s="9" t="str">
        <x:v>退款金额为10USD</x:v>
      </x:c>
      <x:c r="L8" s="10" t="str">
        <x:v>FLOW-RECHARGE-REFUND</x:v>
      </x:c>
      <x:c r="M8" s="10" t="str">
        <x:v>未测</x:v>
      </x:c>
      <x:c r="N8" s="10" t="str"/>
      <x:c r="O8" s="9" t="str">
        <x:v>1. 来源（当前证据）：liveshow-proto/MainBasis/统一需求文档.md；位置：第2806行、第2794行、第2795行
2. 规则：BR-5a0467ec53518fcc
3. 未动态验证</x:v>
      </x:c>
    </x:row>
    <x:row r="9" ht="115" customHeight="1">
      <x:c r="A9" s="10" t="n">
        <x:v>8</x:v>
      </x:c>
      <x:c r="B9" s="10" t="str">
        <x:v>ADMIN-0008</x:v>
      </x:c>
      <x:c r="C9" s="10" t="str">
        <x:v>财务结算</x:v>
      </x:c>
      <x:c r="D9" s="10" t="str">
        <x:v>充值订单详情（平台管理员）</x:v>
      </x:c>
      <x:c r="E9" s="10" t="str">
        <x:v>业务流程</x:v>
      </x:c>
      <x:c r="F9" s="10" t="str">
        <x:v>P0</x:v>
      </x:c>
      <x:c r="G9" s="9" t="str">
        <x:v>验证充值手动全退生成一笔关联R1的退款单</x:v>
      </x:c>
      <x:c r="H9" s="9" t="str">
        <x:v>退款单状态</x:v>
      </x:c>
      <x:c r="I9" s="9" t="str">
        <x:v>1. 当前执行账号具有管理后台会话，身份为平台管理员；具体账号及权限变化按以下条件准备
2. R1支付成功未退款，原支付渠道C1，实付10USD，到账1100金币</x:v>
      </x:c>
      <x:c r="J9" s="9" t="str">
        <x:v>1. 打开R1充值订单详情
2. 点击“手动退款”
3. 输入原因“测试退款”
4. 确认退款
5. 打开退款订单列表
6. 查看关联原充值订单R1的记录</x:v>
      </x:c>
      <x:c r="K9" s="9" t="str">
        <x:v>生成一笔关联R1的退款单</x:v>
      </x:c>
      <x:c r="L9" s="10" t="str">
        <x:v>FLOW-RECHARGE-REFUND</x:v>
      </x:c>
      <x:c r="M9" s="10" t="str">
        <x:v>未测</x:v>
      </x:c>
      <x:c r="N9" s="10" t="str"/>
      <x:c r="O9" s="9" t="str">
        <x:v>1. 来源（当前证据）：liveshow-proto/MainBasis/统一需求文档.md；位置：第2806行、第2840行、第2794行、第2795行
2. 规则：BR-f53d2d2c4f6a9900
3. 未动态验证</x:v>
      </x:c>
    </x:row>
    <x:row r="10" ht="115" customHeight="1">
      <x:c r="A10" s="10" t="n">
        <x:v>9</x:v>
      </x:c>
      <x:c r="B10" s="10" t="str">
        <x:v>ADMIN-0009</x:v>
      </x:c>
      <x:c r="C10" s="10" t="str">
        <x:v>财务结算</x:v>
      </x:c>
      <x:c r="D10" s="10" t="str">
        <x:v>充值订单详情（平台管理员）</x:v>
      </x:c>
      <x:c r="E10" s="10" t="str">
        <x:v>业务流程</x:v>
      </x:c>
      <x:c r="F10" s="10" t="str">
        <x:v>P0</x:v>
      </x:c>
      <x:c r="G10" s="9" t="str">
        <x:v>验证充值手动全退R1状态更新为已退款</x:v>
      </x:c>
      <x:c r="H10" s="9" t="str">
        <x:v>状态更新状态</x:v>
      </x:c>
      <x:c r="I10" s="9" t="str">
        <x:v>1. 当前执行账号具有管理后台会话，身份为平台管理员；具体账号及权限变化按以下条件准备
2. R1支付成功未退款，原支付渠道C1，实付10USD，到账1100金币</x:v>
      </x:c>
      <x:c r="J10" s="9" t="str">
        <x:v>1. 打开R1充值订单详情
2. 点击“手动退款”
3. 输入原因“测试退款”
4. 确认退款</x:v>
      </x:c>
      <x:c r="K10" s="9" t="str">
        <x:v>R1状态更新为已退款</x:v>
      </x:c>
      <x:c r="L10" s="10" t="str">
        <x:v>FLOW-RECHARGE-REFUND</x:v>
      </x:c>
      <x:c r="M10" s="10" t="str">
        <x:v>未测</x:v>
      </x:c>
      <x:c r="N10" s="10" t="str"/>
      <x:c r="O10" s="9" t="str">
        <x:v>1. 来源（当前证据）：liveshow-proto/MainBasis/统一需求文档.md；位置：第2806行、第2794行、第2795行
2. 规则：BR-e4a3d6da20050200
3. 未动态验证</x:v>
      </x:c>
    </x:row>
    <x:row r="11" ht="85" customHeight="1">
      <x:c r="A11" s="10" t="n">
        <x:v>10</x:v>
      </x:c>
      <x:c r="B11" s="10" t="str">
        <x:v>ADMIN-0010</x:v>
      </x:c>
      <x:c r="C11" s="10" t="str">
        <x:v>财务结算</x:v>
      </x:c>
      <x:c r="D11" s="10" t="str">
        <x:v>充值订单详情（平台管理员）</x:v>
      </x:c>
      <x:c r="E11" s="10" t="str">
        <x:v>功能需求</x:v>
      </x:c>
      <x:c r="F11" s="10" t="str">
        <x:v>P0</x:v>
      </x:c>
      <x:c r="G11" s="9" t="str">
        <x:v>验证支付失败充值订单不可退款</x:v>
      </x:c>
      <x:c r="H11" s="9" t="str">
        <x:v>充值退款资格</x:v>
      </x:c>
      <x:c r="I11" s="9" t="str">
        <x:v>1. 当前执行账号具有管理后台会话，身份为平台管理员；具体账号及权限变化按以下条件准备
2. R1状态为支付失败</x:v>
      </x:c>
      <x:c r="J11" s="9" t="str">
        <x:v>1. 打开R1充值订单详情</x:v>
      </x:c>
      <x:c r="K11" s="9" t="str">
        <x:v>不提供可执行的退款操作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来源（当前证据）：liveshow-proto/MainBasis/统一需求文档.md；位置：第2803行、第2794行、第2795行
2. 规则：BR-ef69815839485e4e
3. 未动态验证</x:v>
      </x:c>
    </x:row>
    <x:row r="12" ht="85" customHeight="1">
      <x:c r="A12" s="10" t="n">
        <x:v>11</x:v>
      </x:c>
      <x:c r="B12" s="10" t="str">
        <x:v>ADMIN-0011</x:v>
      </x:c>
      <x:c r="C12" s="10" t="str">
        <x:v>财务结算</x:v>
      </x:c>
      <x:c r="D12" s="10" t="str">
        <x:v>充值订单详情（平台管理员）</x:v>
      </x:c>
      <x:c r="E12" s="10" t="str">
        <x:v>功能需求</x:v>
      </x:c>
      <x:c r="F12" s="10" t="str">
        <x:v>P0</x:v>
      </x:c>
      <x:c r="G12" s="9" t="str">
        <x:v>验证已退款充值订单不可退款</x:v>
      </x:c>
      <x:c r="H12" s="9" t="str">
        <x:v>充值退款资格</x:v>
      </x:c>
      <x:c r="I12" s="9" t="str">
        <x:v>1. 当前执行账号具有管理后台会话，身份为平台管理员；具体账号及权限变化按以下条件准备
2. R1状态为已退款</x:v>
      </x:c>
      <x:c r="J12" s="9" t="str">
        <x:v>1. 打开R1充值订单详情</x:v>
      </x:c>
      <x:c r="K12" s="9" t="str">
        <x:v>不提供可执行的退款操作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来源（当前证据）：liveshow-proto/MainBasis/统一需求文档.md；位置：第2803行、第2794行、第2795行
2. 规则：BR-2e25b02347c6598a
3. 未动态验证</x:v>
      </x:c>
    </x:row>
    <x:row r="13" ht="100" customHeight="1">
      <x:c r="A13" s="10" t="n">
        <x:v>12</x:v>
      </x:c>
      <x:c r="B13" s="10" t="str">
        <x:v>ADMIN-0012</x:v>
      </x:c>
      <x:c r="C13" s="10" t="str">
        <x:v>财务结算</x:v>
      </x:c>
      <x:c r="D13" s="10" t="str">
        <x:v>充值订单详情（平台管理员）</x:v>
      </x:c>
      <x:c r="E13" s="10" t="str">
        <x:v>功能需求</x:v>
      </x:c>
      <x:c r="F13" s="10" t="str">
        <x:v>P0</x:v>
      </x:c>
      <x:c r="G13" s="9" t="str">
        <x:v>验证充值不支持部分退款</x:v>
      </x:c>
      <x:c r="H13" s="9" t="str">
        <x:v>整单退款金额</x:v>
      </x:c>
      <x:c r="I13" s="9" t="str">
        <x:v>1. 当前执行账号具有管理后台会话，身份为平台管理员；具体账号及权限变化按以下条件准备
2. R1实付10USD，支付成功未退款</x:v>
      </x:c>
      <x:c r="J13" s="9" t="str">
        <x:v>1. 打开R1充值订单详情
2. 点击“手动退款”</x:v>
      </x:c>
      <x:c r="K13" s="9" t="str">
        <x:v>退款金额固定为原实付10USD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来源（当前证据）：liveshow-proto/MainBasis/统一需求文档.md；位置：第2803行、第2794行、第2795行
2. 规则：BR-e0ed7459df5a7128
3. 未动态验证</x:v>
      </x:c>
    </x:row>
    <x:row r="14" ht="145" customHeight="1">
      <x:c r="A14" s="10" t="n">
        <x:v>13</x:v>
      </x:c>
      <x:c r="B14" s="10" t="str">
        <x:v>ADMIN-0013</x:v>
      </x:c>
      <x:c r="C14" s="10" t="str">
        <x:v>财务结算</x:v>
      </x:c>
      <x:c r="D14" s="10" t="str">
        <x:v>充值订单详情（平台管理员）</x:v>
      </x:c>
      <x:c r="E14" s="10" t="str">
        <x:v>业务流程</x:v>
      </x:c>
      <x:c r="F14" s="10" t="str">
        <x:v>P0</x:v>
      </x:c>
      <x:c r="G14" s="9" t="str">
        <x:v>验证充值退款不回滚礼物消费</x:v>
      </x:c>
      <x:c r="H14" s="9" t="str">
        <x:v>充值退款下游隔离</x:v>
      </x:c>
      <x:c r="I14" s="9" t="str">
        <x:v>1. 当前执行账号具有管理后台会话，身份为平台管理员；具体账号及权限变化按以下条件准备
2. R1充值已用于完成礼物消费相关业务；业务记录编号和值已留存，R1可退款
3. 礼物订单C1成功消费60金币，本次没有其他变更</x:v>
      </x:c>
      <x:c r="J14" s="9" t="str">
        <x:v>1. 打开R1充值订单详情
2. 点击“手动退款”
3. 输入原因“测试退款”
4. 确认退款
5. 打开已记录的礼物消费订单详情</x:v>
      </x:c>
      <x:c r="K14" s="9" t="str">
        <x:v>C1已完成消费仍为60金币</x:v>
      </x:c>
      <x:c r="L14" s="10" t="str">
        <x:v>FLOW-RECHARGE-REFUND</x:v>
      </x:c>
      <x:c r="M14" s="10" t="str">
        <x:v>未测</x:v>
      </x:c>
      <x:c r="N14" s="10" t="str"/>
      <x:c r="O14" s="9" t="str">
        <x:v>1. 来源（当前证据）：liveshow-proto/MainBasis/统一需求文档.md；位置：第2805行、第2824行、第2794行、第2795行
2. 规则：BR-74546e24d0199ade
3. 未动态验证</x:v>
      </x:c>
    </x:row>
    <x:row r="15" ht="145" customHeight="1">
      <x:c r="A15" s="10" t="n">
        <x:v>14</x:v>
      </x:c>
      <x:c r="B15" s="10" t="str">
        <x:v>ADMIN-0014</x:v>
      </x:c>
      <x:c r="C15" s="10" t="str">
        <x:v>财务结算</x:v>
      </x:c>
      <x:c r="D15" s="10" t="str">
        <x:v>充值订单详情（平台管理员）</x:v>
      </x:c>
      <x:c r="E15" s="10" t="str">
        <x:v>业务流程</x:v>
      </x:c>
      <x:c r="F15" s="10" t="str">
        <x:v>P0</x:v>
      </x:c>
      <x:c r="G15" s="9" t="str">
        <x:v>验证充值退款不回滚门票消费</x:v>
      </x:c>
      <x:c r="H15" s="9" t="str">
        <x:v>充值退款下游隔离</x:v>
      </x:c>
      <x:c r="I15" s="9" t="str">
        <x:v>1. 当前执行账号具有管理后台会话，身份为平台管理员；具体账号及权限变化按以下条件准备
2. R1充值已用于完成门票消费相关业务；业务记录编号和值已留存，R1可退款
3. 门票订单T1成功消费20金币，本次没有其他变更</x:v>
      </x:c>
      <x:c r="J15" s="9" t="str">
        <x:v>1. 打开R1充值订单详情
2. 点击“手动退款”
3. 输入原因“测试退款”
4. 确认退款
5. 打开已记录的门票消费订单详情</x:v>
      </x:c>
      <x:c r="K15" s="9" t="str">
        <x:v>T1已完成消费仍为20金币</x:v>
      </x:c>
      <x:c r="L15" s="10" t="str">
        <x:v>FLOW-RECHARGE-REFUND</x:v>
      </x:c>
      <x:c r="M15" s="10" t="str">
        <x:v>未测</x:v>
      </x:c>
      <x:c r="N15" s="10" t="str"/>
      <x:c r="O15" s="9" t="str">
        <x:v>1. 来源（当前证据）：liveshow-proto/MainBasis/统一需求文档.md；位置：第2805行、第2824行、第2794行、第2795行
2. 规则：BR-67e992ca063bcb3c
3. 未动态验证</x:v>
      </x:c>
    </x:row>
    <x:row r="16" ht="145" customHeight="1">
      <x:c r="A16" s="10" t="n">
        <x:v>15</x:v>
      </x:c>
      <x:c r="B16" s="10" t="str">
        <x:v>ADMIN-0015</x:v>
      </x:c>
      <x:c r="C16" s="10" t="str">
        <x:v>财务结算</x:v>
      </x:c>
      <x:c r="D16" s="10" t="str">
        <x:v>充值订单详情（平台管理员）</x:v>
      </x:c>
      <x:c r="E16" s="10" t="str">
        <x:v>业务流程</x:v>
      </x:c>
      <x:c r="F16" s="10" t="str">
        <x:v>P0</x:v>
      </x:c>
      <x:c r="G16" s="9" t="str">
        <x:v>验证充值退款不回滚主播收益</x:v>
      </x:c>
      <x:c r="H16" s="9" t="str">
        <x:v>充值退款下游隔离</x:v>
      </x:c>
      <x:c r="I16" s="9" t="str">
        <x:v>1. 当前执行账号具有管理后台会话，身份为平台管理员；具体账号及权限变化按以下条件准备
2. R1充值已用于完成主播收益相关业务；业务记录编号和值已留存，R1可退款
3. 礼物消费C1产生主播收益60金币，本次没有其他变更</x:v>
      </x:c>
      <x:c r="J16" s="9" t="str">
        <x:v>1. 打开R1充值订单详情
2. 点击“手动退款”
3. 输入原因“测试退款”
4. 确认退款
5. 打开原消费订单详情的主播收益</x:v>
      </x:c>
      <x:c r="K16" s="9" t="str">
        <x:v>C1主播收益仍为60金币</x:v>
      </x:c>
      <x:c r="L16" s="10" t="str">
        <x:v>FLOW-RECHARGE-REFUND</x:v>
      </x:c>
      <x:c r="M16" s="10" t="str">
        <x:v>未测</x:v>
      </x:c>
      <x:c r="N16" s="10" t="str"/>
      <x:c r="O16" s="9" t="str">
        <x:v>1. 来源（当前证据）：liveshow-proto/MainBasis/统一需求文档.md；位置：第2805行、第2824行、第2794行、第2795行
2. 规则：BR-147cf53b2440fd0b
3. 未动态验证</x:v>
      </x:c>
    </x:row>
    <x:row r="17" ht="160" customHeight="1">
      <x:c r="A17" s="10" t="n">
        <x:v>16</x:v>
      </x:c>
      <x:c r="B17" s="10" t="str">
        <x:v>ADMIN-0016</x:v>
      </x:c>
      <x:c r="C17" s="10" t="str">
        <x:v>财务结算</x:v>
      </x:c>
      <x:c r="D17" s="10" t="str">
        <x:v>充值订单详情（平台管理员）</x:v>
      </x:c>
      <x:c r="E17" s="10" t="str">
        <x:v>业务流程</x:v>
      </x:c>
      <x:c r="F17" s="10" t="str">
        <x:v>P0</x:v>
      </x:c>
      <x:c r="G17" s="9" t="str">
        <x:v>验证充值退款不回滚分成</x:v>
      </x:c>
      <x:c r="H17" s="9" t="str">
        <x:v>充值退款下游隔离</x:v>
      </x:c>
      <x:c r="I17" s="9" t="str">
        <x:v>1. 当前执行账号具有管理后台会话，身份为平台管理员；具体账号及权限变化按以下条件准备
2. R1充值已用于完成分成相关业务；业务记录编号和值已留存，R1可退款
3. 已上传的原分成批次B1含主播A分成10USD，本次没有其他变更</x:v>
      </x:c>
      <x:c r="J17" s="9" t="str">
        <x:v>1. 打开R1充值订单详情
2. 点击“手动退款”
3. 输入原因“测试退款”
4. 确认退款
5. 打开主播分成记录中已记录的原批次</x:v>
      </x:c>
      <x:c r="K17" s="9" t="str">
        <x:v>B1中主播A的原分成仍为10USD</x:v>
      </x:c>
      <x:c r="L17" s="10" t="str">
        <x:v>FLOW-RECHARGE-REFUND</x:v>
      </x:c>
      <x:c r="M17" s="10" t="str">
        <x:v>未测</x:v>
      </x:c>
      <x:c r="N17" s="10" t="str"/>
      <x:c r="O17" s="9" t="str">
        <x:v>1. 来源（当前证据）：liveshow-proto/MainBasis/统一需求文档.md；位置：第2805行、第2851行、第2794行、第2795行
2. 规则：BR-a1565f2447c36c35
3. 未动态验证</x:v>
      </x:c>
    </x:row>
    <x:row r="18" ht="130" customHeight="1">
      <x:c r="A18" s="10" t="n">
        <x:v>17</x:v>
      </x:c>
      <x:c r="B18" s="10" t="str">
        <x:v>ADMIN-0017</x:v>
      </x:c>
      <x:c r="C18" s="10" t="str">
        <x:v>财务结算</x:v>
      </x:c>
      <x:c r="D18" s="10" t="str">
        <x:v>充值订单详情（平台管理员）</x:v>
      </x:c>
      <x:c r="E18" s="10" t="str">
        <x:v>逻辑校验</x:v>
      </x:c>
      <x:c r="F18" s="10" t="str">
        <x:v>P0</x:v>
      </x:c>
      <x:c r="G18" s="9" t="str">
        <x:v>验证负余额后续充值先抵扣</x:v>
      </x:c>
      <x:c r="H18" s="9" t="str">
        <x:v>负余额充值恢复</x:v>
      </x:c>
      <x:c r="I18" s="9" t="str">
        <x:v>1. 当前执行账号具有管理后台会话，身份为平台管理员；具体账号及权限变化按以下条件准备
2. 账号A当前余额-1000金币，新充值订单R2将到账1500金币，支付成功回调已到达
3. 本例充值订单所属账号为A</x:v>
      </x:c>
      <x:c r="J18" s="9" t="str">
        <x:v>1. 打开R2充值订单详情
2. 打开用户A详情
3. 查看金币余额</x:v>
      </x:c>
      <x:c r="K18" s="9" t="str">
        <x:v>账号余额=500金币</x:v>
      </x:c>
      <x:c r="L18" s="10" t="str">
        <x:v>FLOW-RECHARGE-REFUND</x:v>
      </x:c>
      <x:c r="M18" s="10" t="str">
        <x:v>未测</x:v>
      </x:c>
      <x:c r="N18" s="10" t="str"/>
      <x:c r="O18" s="9" t="str">
        <x:v>1. 来源（当前证据）：liveshow-proto/MainBasis/统一需求文档.md；位置：第2804行、第2225行、第2794行、第2795行
2. 规则：BR-ef7e26f8ab231844
3. 未动态验证</x:v>
      </x:c>
    </x:row>
    <x:row r="19" ht="100" customHeight="1">
      <x:c r="A19" s="10" t="n">
        <x:v>18</x:v>
      </x:c>
      <x:c r="B19" s="10" t="str">
        <x:v>ADMIN-0018</x:v>
      </x:c>
      <x:c r="C19" s="10" t="str">
        <x:v>财务结算</x:v>
      </x:c>
      <x:c r="D19" s="10" t="str">
        <x:v>退款订单（平台管理员）</x:v>
      </x:c>
      <x:c r="E19" s="10" t="str">
        <x:v>业务流程</x:v>
      </x:c>
      <x:c r="F19" s="10" t="str">
        <x:v>P0</x:v>
      </x:c>
      <x:c r="G19" s="9" t="str">
        <x:v>验证渠道发起的全额退款记录</x:v>
      </x:c>
      <x:c r="H19" s="9" t="str">
        <x:v>渠道被动退款</x:v>
      </x:c>
      <x:c r="I19" s="9" t="str">
        <x:v>1. 当前执行账号具有管理后台会话，身份为平台管理员；具体账号及权限变化按以下条件准备
2. 渠道对R1完成全额退款10USD，原到账1100金币</x:v>
      </x:c>
      <x:c r="J19" s="9" t="str">
        <x:v>1. 打开退款订单列表
2. 查询R1</x:v>
      </x:c>
      <x:c r="K19" s="9" t="str">
        <x:v>R1退款类型显示被动退款</x:v>
      </x:c>
      <x:c r="L19" s="10" t="str">
        <x:v>FLOW-RECHARGE-REFUND</x:v>
      </x:c>
      <x:c r="M19" s="10" t="str">
        <x:v>未测</x:v>
      </x:c>
      <x:c r="N19" s="10" t="str"/>
      <x:c r="O19" s="9" t="str">
        <x:v>1. 来源（当前证据）：liveshow-proto/MainBasis/统一需求文档.md；位置：第2841行、第2836行、第2837行
2. 规则：BR-0f87f9c91676df8e
3. 未动态验证</x:v>
      </x:c>
    </x:row>
    <x:row r="20" ht="100" customHeight="1">
      <x:c r="A20" s="10" t="n">
        <x:v>19</x:v>
      </x:c>
      <x:c r="B20" s="10" t="str">
        <x:v>ADMIN-0019</x:v>
      </x:c>
      <x:c r="C20" s="10" t="str">
        <x:v>财务结算</x:v>
      </x:c>
      <x:c r="D20" s="10" t="str">
        <x:v>消费订单详情（平台管理员）</x:v>
      </x:c>
      <x:c r="E20" s="10" t="str">
        <x:v>业务流程</x:v>
      </x:c>
      <x:c r="F20" s="10" t="str">
        <x:v>P0</x:v>
      </x:c>
      <x:c r="G20" s="9" t="str">
        <x:v>验证普通礼物消费订单不可退款</x:v>
      </x:c>
      <x:c r="H20" s="9" t="str">
        <x:v>消费订单只读</x:v>
      </x:c>
      <x:c r="I20" s="9" t="str">
        <x:v>1. 当前执行账号具有管理后台会话，身份为平台管理员；具体账号及权限变化按以下条件准备
2. C1为已成功普通礼物消费订单</x:v>
      </x:c>
      <x:c r="J20" s="9" t="str">
        <x:v>1. 打开C1消费订单详情</x:v>
      </x:c>
      <x:c r="K20" s="9" t="str">
        <x:v>不提供退款操作</x:v>
      </x:c>
      <x:c r="L20" s="10" t="str">
        <x:v>FLOW-RECHARGE-REFUND</x:v>
      </x:c>
      <x:c r="M20" s="10" t="str">
        <x:v>未测</x:v>
      </x:c>
      <x:c r="N20" s="10" t="str"/>
      <x:c r="O20" s="9" t="str">
        <x:v>1. 来源（当前证据）：liveshow-proto/MainBasis/统一需求文档.md；位置：第2831行、第2822行、第2823行
2. 规则：BR-0b459c83549c65f0
3. 未动态验证</x:v>
      </x:c>
    </x:row>
    <x:row r="21" ht="100" customHeight="1">
      <x:c r="A21" s="10" t="n">
        <x:v>20</x:v>
      </x:c>
      <x:c r="B21" s="10" t="str">
        <x:v>ADMIN-0020</x:v>
      </x:c>
      <x:c r="C21" s="10" t="str">
        <x:v>财务结算</x:v>
      </x:c>
      <x:c r="D21" s="10" t="str">
        <x:v>消费订单详情（平台管理员）</x:v>
      </x:c>
      <x:c r="E21" s="10" t="str">
        <x:v>业务流程</x:v>
      </x:c>
      <x:c r="F21" s="10" t="str">
        <x:v>P0</x:v>
      </x:c>
      <x:c r="G21" s="9" t="str">
        <x:v>验证定制礼物消费订单不可退款</x:v>
      </x:c>
      <x:c r="H21" s="9" t="str">
        <x:v>消费订单只读</x:v>
      </x:c>
      <x:c r="I21" s="9" t="str">
        <x:v>1. 当前执行账号具有管理后台会话，身份为平台管理员；具体账号及权限变化按以下条件准备
2. C1为已成功定制礼物消费订单</x:v>
      </x:c>
      <x:c r="J21" s="9" t="str">
        <x:v>1. 打开C1消费订单详情</x:v>
      </x:c>
      <x:c r="K21" s="9" t="str">
        <x:v>不提供退款操作</x:v>
      </x:c>
      <x:c r="L21" s="10" t="str">
        <x:v>FLOW-RECHARGE-REFUND</x:v>
      </x:c>
      <x:c r="M21" s="10" t="str">
        <x:v>未测</x:v>
      </x:c>
      <x:c r="N21" s="10" t="str"/>
      <x:c r="O21" s="9" t="str">
        <x:v>1. 来源（当前证据）：liveshow-proto/MainBasis/统一需求文档.md；位置：第2831行、第2822行、第2823行
2. 规则：BR-e674feee93afc79b
3. 未动态验证</x:v>
      </x:c>
    </x:row>
    <x:row r="22" ht="100" customHeight="1">
      <x:c r="A22" s="10" t="n">
        <x:v>21</x:v>
      </x:c>
      <x:c r="B22" s="10" t="str">
        <x:v>ADMIN-0021</x:v>
      </x:c>
      <x:c r="C22" s="10" t="str">
        <x:v>财务结算</x:v>
      </x:c>
      <x:c r="D22" s="10" t="str">
        <x:v>消费订单详情（平台管理员）</x:v>
      </x:c>
      <x:c r="E22" s="10" t="str">
        <x:v>业务流程</x:v>
      </x:c>
      <x:c r="F22" s="10" t="str">
        <x:v>P0</x:v>
      </x:c>
      <x:c r="G22" s="9" t="str">
        <x:v>验证幸运礼物消费订单不可退款</x:v>
      </x:c>
      <x:c r="H22" s="9" t="str">
        <x:v>消费订单只读</x:v>
      </x:c>
      <x:c r="I22" s="9" t="str">
        <x:v>1. 当前执行账号具有管理后台会话，身份为平台管理员；具体账号及权限变化按以下条件准备
2. C1为已成功幸运礼物消费订单</x:v>
      </x:c>
      <x:c r="J22" s="9" t="str">
        <x:v>1. 打开C1消费订单详情</x:v>
      </x:c>
      <x:c r="K22" s="9" t="str">
        <x:v>不提供退款操作</x:v>
      </x:c>
      <x:c r="L22" s="10" t="str">
        <x:v>FLOW-RECHARGE-REFUND</x:v>
      </x:c>
      <x:c r="M22" s="10" t="str">
        <x:v>未测</x:v>
      </x:c>
      <x:c r="N22" s="10" t="str"/>
      <x:c r="O22" s="9" t="str">
        <x:v>1. 来源（当前证据）：liveshow-proto/MainBasis/统一需求文档.md；位置：第2831行、第2822行、第2823行
2. 规则：BR-927fd73ff9465052
3. 未动态验证</x:v>
      </x:c>
    </x:row>
    <x:row r="23" ht="85" customHeight="1">
      <x:c r="A23" s="10" t="n">
        <x:v>22</x:v>
      </x:c>
      <x:c r="B23" s="10" t="str">
        <x:v>ADMIN-0022</x:v>
      </x:c>
      <x:c r="C23" s="10" t="str">
        <x:v>财务结算</x:v>
      </x:c>
      <x:c r="D23" s="10" t="str">
        <x:v>消费订单详情（平台管理员）</x:v>
      </x:c>
      <x:c r="E23" s="10" t="str">
        <x:v>业务流程</x:v>
      </x:c>
      <x:c r="F23" s="10" t="str">
        <x:v>P0</x:v>
      </x:c>
      <x:c r="G23" s="9" t="str">
        <x:v>验证门票消费订单不可退款</x:v>
      </x:c>
      <x:c r="H23" s="9" t="str">
        <x:v>消费订单只读</x:v>
      </x:c>
      <x:c r="I23" s="9" t="str">
        <x:v>1. 当前执行账号具有管理后台会话，身份为平台管理员；具体账号及权限变化按以下条件准备
2. C1为已成功门票消费订单</x:v>
      </x:c>
      <x:c r="J23" s="9" t="str">
        <x:v>1. 打开C1消费订单详情</x:v>
      </x:c>
      <x:c r="K23" s="9" t="str">
        <x:v>不提供退款操作</x:v>
      </x:c>
      <x:c r="L23" s="10" t="str">
        <x:v>FLOW-RECHARGE-REFUND</x:v>
      </x:c>
      <x:c r="M23" s="10" t="str">
        <x:v>未测</x:v>
      </x:c>
      <x:c r="N23" s="10" t="str"/>
      <x:c r="O23" s="9" t="str">
        <x:v>1. 来源（当前证据）：liveshow-proto/MainBasis/统一需求文档.md；位置：第2831行、第2822行、第2823行
2. 规则：BR-e96bbe64ccae80fd
3. 未动态验证</x:v>
      </x:c>
    </x:row>
    <x:row r="24" ht="115" customHeight="1">
      <x:c r="A24" s="10" t="n">
        <x:v>23</x:v>
      </x:c>
      <x:c r="B24" s="10" t="str">
        <x:v>ADMIN-0023</x:v>
      </x:c>
      <x:c r="C24" s="10" t="str">
        <x:v>财务结算</x:v>
      </x:c>
      <x:c r="D24" s="10" t="str">
        <x:v>消费订单详情（平台管理员）</x:v>
      </x:c>
      <x:c r="E24" s="10" t="str">
        <x:v>逻辑校验</x:v>
      </x:c>
      <x:c r="F24" s="10" t="str">
        <x:v>P1</x:v>
      </x:c>
      <x:c r="G24" s="9" t="str">
        <x:v>验证普通礼物成功消费收入</x:v>
      </x:c>
      <x:c r="H24" s="9" t="str">
        <x:v>普通消费收益</x:v>
      </x:c>
      <x:c r="I24" s="9" t="str">
        <x:v>1. 当前执行账号具有管理后台会话，身份为平台管理员；具体账号及权限变化按以下条件准备
2. C1单价20金币、数量3，消费成功，非运营账号
3. C1消费类型为普通礼物</x:v>
      </x:c>
      <x:c r="J24" s="9" t="str">
        <x:v>1. 打开C1消费订单详情</x:v>
      </x:c>
      <x:c r="K24" s="9" t="str">
        <x:v>主播收益=60金币</x:v>
      </x:c>
      <x:c r="L24" s="10" t="str"/>
      <x:c r="M24" s="10" t="str">
        <x:v>未测</x:v>
      </x:c>
      <x:c r="N24" s="10" t="str"/>
      <x:c r="O24" s="9" t="str">
        <x:v>1. 来源（当前证据）：liveshow-proto/MainBasis/统一需求文档.md；位置：第2829行、第2822行、第2823行
2. 规则：BR-aef9390a66507a81
3. 未动态验证</x:v>
      </x:c>
    </x:row>
    <x:row r="25" ht="115" customHeight="1">
      <x:c r="A25" s="10" t="n">
        <x:v>24</x:v>
      </x:c>
      <x:c r="B25" s="10" t="str">
        <x:v>ADMIN-0024</x:v>
      </x:c>
      <x:c r="C25" s="10" t="str">
        <x:v>财务结算</x:v>
      </x:c>
      <x:c r="D25" s="10" t="str">
        <x:v>消费订单详情（平台管理员）</x:v>
      </x:c>
      <x:c r="E25" s="10" t="str">
        <x:v>逻辑校验</x:v>
      </x:c>
      <x:c r="F25" s="10" t="str">
        <x:v>P1</x:v>
      </x:c>
      <x:c r="G25" s="9" t="str">
        <x:v>验证定制礼物成功消费收入</x:v>
      </x:c>
      <x:c r="H25" s="9" t="str">
        <x:v>普通消费收益</x:v>
      </x:c>
      <x:c r="I25" s="9" t="str">
        <x:v>1. 当前执行账号具有管理后台会话，身份为平台管理员；具体账号及权限变化按以下条件准备
2. C1单价20金币、数量3，消费成功，非运营账号
3. C1消费类型为定制礼物</x:v>
      </x:c>
      <x:c r="J25" s="9" t="str">
        <x:v>1. 打开C1消费订单详情</x:v>
      </x:c>
      <x:c r="K25" s="9" t="str">
        <x:v>主播收益=60金币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来源（当前证据）：liveshow-proto/MainBasis/统一需求文档.md；位置：第2829行、第2822行、第2823行
2. 规则：BR-dfd0e8621e0ee1d7
3. 未动态验证</x:v>
      </x:c>
    </x:row>
    <x:row r="26" ht="115" customHeight="1">
      <x:c r="A26" s="10" t="n">
        <x:v>25</x:v>
      </x:c>
      <x:c r="B26" s="10" t="str">
        <x:v>ADMIN-0025</x:v>
      </x:c>
      <x:c r="C26" s="10" t="str">
        <x:v>财务结算</x:v>
      </x:c>
      <x:c r="D26" s="10" t="str">
        <x:v>消费订单详情（平台管理员）</x:v>
      </x:c>
      <x:c r="E26" s="10" t="str">
        <x:v>逻辑校验</x:v>
      </x:c>
      <x:c r="F26" s="10" t="str">
        <x:v>P1</x:v>
      </x:c>
      <x:c r="G26" s="9" t="str">
        <x:v>验证门票成功消费收入</x:v>
      </x:c>
      <x:c r="H26" s="9" t="str">
        <x:v>普通消费收益</x:v>
      </x:c>
      <x:c r="I26" s="9" t="str">
        <x:v>1. 当前执行账号具有管理后台会话，身份为平台管理员；具体账号及权限变化按以下条件准备
2. C1单价20金币、数量1，消费成功，非运营账号
3. C1消费类型为门票</x:v>
      </x:c>
      <x:c r="J26" s="9" t="str">
        <x:v>1. 打开C1消费订单详情</x:v>
      </x:c>
      <x:c r="K26" s="9" t="str">
        <x:v>主播收益=20金币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来源（当前证据）：liveshow-proto/MainBasis/统一需求文档.md；位置：第2829行、第2822行、第2823行
2. 规则：BR-ab747a89d76ae2c1
3. 未动态验证</x:v>
      </x:c>
    </x:row>
    <x:row r="27" ht="100" customHeight="1">
      <x:c r="A27" s="10" t="n">
        <x:v>26</x:v>
      </x:c>
      <x:c r="B27" s="10" t="str">
        <x:v>ADMIN-0026</x:v>
      </x:c>
      <x:c r="C27" s="10" t="str">
        <x:v>财务结算</x:v>
      </x:c>
      <x:c r="D27" s="10" t="str">
        <x:v>消费订单详情（平台管理员）</x:v>
      </x:c>
      <x:c r="E27" s="10" t="str">
        <x:v>逻辑校验</x:v>
      </x:c>
      <x:c r="F27" s="10" t="str">
        <x:v>P1</x:v>
      </x:c>
      <x:c r="G27" s="9" t="str">
        <x:v>验证幸运礼物返奖0后的用户净消耗</x:v>
      </x:c>
      <x:c r="H27" s="9" t="str">
        <x:v>幸运礼物用户净消耗</x:v>
      </x:c>
      <x:c r="I27" s="9" t="str">
        <x:v>1. 当前执行账号具有管理后台会话，身份为平台管理员；具体账号及权限变化按以下条件准备
2. C1幸运礼物实际扣款100金币，实际返奖0金币</x:v>
      </x:c>
      <x:c r="J27" s="9" t="str">
        <x:v>1. 打开C1消费订单详情</x:v>
      </x:c>
      <x:c r="K27" s="9" t="str">
        <x:v>用户净消耗=100金币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来源（当前证据）：liveshow-proto/MainBasis/统一需求文档.md；位置：第2828行、第2822行、第2823行
2. 规则：BR-7d83ae72cd3d9e56
3. 未动态验证</x:v>
      </x:c>
    </x:row>
    <x:row r="28" ht="100" customHeight="1">
      <x:c r="A28" s="10" t="n">
        <x:v>27</x:v>
      </x:c>
      <x:c r="B28" s="10" t="str">
        <x:v>ADMIN-0027</x:v>
      </x:c>
      <x:c r="C28" s="10" t="str">
        <x:v>财务结算</x:v>
      </x:c>
      <x:c r="D28" s="10" t="str">
        <x:v>消费订单详情（平台管理员）</x:v>
      </x:c>
      <x:c r="E28" s="10" t="str">
        <x:v>逻辑校验</x:v>
      </x:c>
      <x:c r="F28" s="10" t="str">
        <x:v>P0</x:v>
      </x:c>
      <x:c r="G28" s="9" t="str">
        <x:v>验证幸运礼物返奖0不改变收益</x:v>
      </x:c>
      <x:c r="H28" s="9" t="str">
        <x:v>幸运礼物收益独立</x:v>
      </x:c>
      <x:c r="I28" s="9" t="str">
        <x:v>1. 当前执行账号具有管理后台会话，身份为平台管理员；具体账号及权限变化按以下条件准备
2. C1送出价值100金币，赠送时收益比例1%，实际返奖0</x:v>
      </x:c>
      <x:c r="J28" s="9" t="str">
        <x:v>1. 打开C1消费订单详情</x:v>
      </x:c>
      <x:c r="K28" s="9" t="str">
        <x:v>主播收益=1金币</x:v>
      </x:c>
      <x:c r="L28" s="10" t="str"/>
      <x:c r="M28" s="10" t="str">
        <x:v>未测</x:v>
      </x:c>
      <x:c r="N28" s="10" t="str"/>
      <x:c r="O28" s="9" t="str">
        <x:v>1. 来源（当前证据）：liveshow-proto/MainBasis/统一需求文档.md；位置：第2829行、第2822行、第2823行
2. 规则：BR-664fb9043820f630
3. 未动态验证</x:v>
      </x:c>
    </x:row>
    <x:row r="29" ht="100" customHeight="1">
      <x:c r="A29" s="10" t="n">
        <x:v>28</x:v>
      </x:c>
      <x:c r="B29" s="10" t="str">
        <x:v>ADMIN-0028</x:v>
      </x:c>
      <x:c r="C29" s="10" t="str">
        <x:v>财务结算</x:v>
      </x:c>
      <x:c r="D29" s="10" t="str">
        <x:v>消费订单详情（平台管理员）</x:v>
      </x:c>
      <x:c r="E29" s="10" t="str">
        <x:v>逻辑校验</x:v>
      </x:c>
      <x:c r="F29" s="10" t="str">
        <x:v>P1</x:v>
      </x:c>
      <x:c r="G29" s="9" t="str">
        <x:v>验证幸运礼物返奖50后的用户净消耗</x:v>
      </x:c>
      <x:c r="H29" s="9" t="str">
        <x:v>幸运礼物用户净消耗</x:v>
      </x:c>
      <x:c r="I29" s="9" t="str">
        <x:v>1. 当前执行账号具有管理后台会话，身份为平台管理员；具体账号及权限变化按以下条件准备
2. C1幸运礼物实际扣款100金币，实际返奖50金币</x:v>
      </x:c>
      <x:c r="J29" s="9" t="str">
        <x:v>1. 打开C1消费订单详情</x:v>
      </x:c>
      <x:c r="K29" s="9" t="str">
        <x:v>用户净消耗=50金币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来源（当前证据）：liveshow-proto/MainBasis/统一需求文档.md；位置：第2828行、第2822行、第2823行
2. 规则：BR-cd69477ae4cd726a
3. 未动态验证</x:v>
      </x:c>
    </x:row>
    <x:row r="30" ht="100" customHeight="1">
      <x:c r="A30" s="10" t="n">
        <x:v>29</x:v>
      </x:c>
      <x:c r="B30" s="10" t="str">
        <x:v>ADMIN-0029</x:v>
      </x:c>
      <x:c r="C30" s="10" t="str">
        <x:v>财务结算</x:v>
      </x:c>
      <x:c r="D30" s="10" t="str">
        <x:v>消费订单详情（平台管理员）</x:v>
      </x:c>
      <x:c r="E30" s="10" t="str">
        <x:v>逻辑校验</x:v>
      </x:c>
      <x:c r="F30" s="10" t="str">
        <x:v>P0</x:v>
      </x:c>
      <x:c r="G30" s="9" t="str">
        <x:v>验证幸运礼物返奖50不改变收益</x:v>
      </x:c>
      <x:c r="H30" s="9" t="str">
        <x:v>幸运礼物收益独立</x:v>
      </x:c>
      <x:c r="I30" s="9" t="str">
        <x:v>1. 当前执行账号具有管理后台会话，身份为平台管理员；具体账号及权限变化按以下条件准备
2. C1送出价值100金币，赠送时收益比例1%，实际返奖50</x:v>
      </x:c>
      <x:c r="J30" s="9" t="str">
        <x:v>1. 打开C1消费订单详情</x:v>
      </x:c>
      <x:c r="K30" s="9" t="str">
        <x:v>主播收益=1金币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来源（当前证据）：liveshow-proto/MainBasis/统一需求文档.md；位置：第2829行、第2822行、第2823行
2. 规则：BR-aa53ccbc080aedba
3. 未动态验证</x:v>
      </x:c>
    </x:row>
    <x:row r="31" ht="100" customHeight="1">
      <x:c r="A31" s="10" t="n">
        <x:v>30</x:v>
      </x:c>
      <x:c r="B31" s="10" t="str">
        <x:v>ADMIN-0030</x:v>
      </x:c>
      <x:c r="C31" s="10" t="str">
        <x:v>财务结算</x:v>
      </x:c>
      <x:c r="D31" s="10" t="str">
        <x:v>消费订单详情（平台管理员）</x:v>
      </x:c>
      <x:c r="E31" s="10" t="str">
        <x:v>逻辑校验</x:v>
      </x:c>
      <x:c r="F31" s="10" t="str">
        <x:v>P1</x:v>
      </x:c>
      <x:c r="G31" s="9" t="str">
        <x:v>验证幸运礼物返奖1000后的用户净消耗</x:v>
      </x:c>
      <x:c r="H31" s="9" t="str">
        <x:v>幸运礼物用户净消耗</x:v>
      </x:c>
      <x:c r="I31" s="9" t="str">
        <x:v>1. 当前执行账号具有管理后台会话，身份为平台管理员；具体账号及权限变化按以下条件准备
2. C1幸运礼物实际扣款100金币，实际返奖1000金币</x:v>
      </x:c>
      <x:c r="J31" s="9" t="str">
        <x:v>1. 打开C1消费订单详情</x:v>
      </x:c>
      <x:c r="K31" s="9" t="str">
        <x:v>用户净消耗=-900金币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来源（当前证据）：liveshow-proto/MainBasis/统一需求文档.md；位置：第2828行、第2822行、第2823行
2. 规则：BR-134ad292ae36ebcf
3. 未动态验证</x:v>
      </x:c>
    </x:row>
    <x:row r="32" ht="100" customHeight="1">
      <x:c r="A32" s="10" t="n">
        <x:v>31</x:v>
      </x:c>
      <x:c r="B32" s="10" t="str">
        <x:v>ADMIN-0031</x:v>
      </x:c>
      <x:c r="C32" s="10" t="str">
        <x:v>财务结算</x:v>
      </x:c>
      <x:c r="D32" s="10" t="str">
        <x:v>消费订单详情（平台管理员）</x:v>
      </x:c>
      <x:c r="E32" s="10" t="str">
        <x:v>逻辑校验</x:v>
      </x:c>
      <x:c r="F32" s="10" t="str">
        <x:v>P0</x:v>
      </x:c>
      <x:c r="G32" s="9" t="str">
        <x:v>验证幸运礼物返奖1000不改变收益</x:v>
      </x:c>
      <x:c r="H32" s="9" t="str">
        <x:v>幸运礼物收益独立</x:v>
      </x:c>
      <x:c r="I32" s="9" t="str">
        <x:v>1. 当前执行账号具有管理后台会话，身份为平台管理员；具体账号及权限变化按以下条件准备
2. C1送出价值100金币，赠送时收益比例1%，实际返奖1000</x:v>
      </x:c>
      <x:c r="J32" s="9" t="str">
        <x:v>1. 打开C1消费订单详情</x:v>
      </x:c>
      <x:c r="K32" s="9" t="str">
        <x:v>主播收益=1金币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来源（当前证据）：liveshow-proto/MainBasis/统一需求文档.md；位置：第2829行、第2822行、第2823行
2. 规则：BR-489adf22881e934b
3. 未动态验证</x:v>
      </x:c>
    </x:row>
    <x:row r="33" ht="130" customHeight="1">
      <x:c r="A33" s="10" t="n">
        <x:v>32</x:v>
      </x:c>
      <x:c r="B33" s="10" t="str">
        <x:v>ADMIN-0032</x:v>
      </x:c>
      <x:c r="C33" s="10" t="str">
        <x:v>财务结算</x:v>
      </x:c>
      <x:c r="D33" s="10" t="str">
        <x:v>主播分成记录（平台管理员）</x:v>
      </x:c>
      <x:c r="E33" s="10" t="str">
        <x:v>业务流程</x:v>
      </x:c>
      <x:c r="F33" s="10" t="str">
        <x:v>P1</x:v>
      </x:c>
      <x:c r="G33" s="9" t="str">
        <x:v>验证主播分成上传XLSX</x:v>
      </x:c>
      <x:c r="H33" s="9" t="str">
        <x:v>分成文件格式</x:v>
      </x:c>
      <x:c r="I33" s="9" t="str">
        <x:v>1. 当前执行账号具有管理后台会话，身份为平台管理员；具体账号及权限变化按以下条件准备
2. 有效XLSX文件A按本页模板准备，包含主播A分成100USD、主播B分成200USD；线下财务已确定金额</x:v>
      </x:c>
      <x:c r="J33" s="9" t="str">
        <x:v>1. 打开主播分成记录
2. 点击“上传”
3. 上传文件A.xlsx
4. 输入备注“九月已核算结果”
5. 点击“确认上传”</x:v>
      </x:c>
      <x:c r="K33" s="9" t="str">
        <x:v>进入导入预览</x:v>
      </x:c>
      <x:c r="L33" s="10" t="str">
        <x:v>FLOW-SETTLEMENT</x:v>
      </x:c>
      <x:c r="M33" s="10" t="str">
        <x:v>未测</x:v>
      </x:c>
      <x:c r="N33" s="10" t="str"/>
      <x:c r="O33" s="9" t="str">
        <x:v>1. 来源（当前证据）：liveshow-proto/MainBasis/统一需求文档.md；位置：第2858行、第2849行、第2850行
2. 规则：BR-27e2c1ea0ef18010
3. 未动态验证</x:v>
      </x:c>
    </x:row>
    <x:row r="34" ht="130" customHeight="1">
      <x:c r="A34" s="10" t="n">
        <x:v>33</x:v>
      </x:c>
      <x:c r="B34" s="10" t="str">
        <x:v>ADMIN-0033</x:v>
      </x:c>
      <x:c r="C34" s="10" t="str">
        <x:v>财务结算</x:v>
      </x:c>
      <x:c r="D34" s="10" t="str">
        <x:v>主播分成记录（平台管理员）</x:v>
      </x:c>
      <x:c r="E34" s="10" t="str">
        <x:v>业务流程</x:v>
      </x:c>
      <x:c r="F34" s="10" t="str">
        <x:v>P1</x:v>
      </x:c>
      <x:c r="G34" s="9" t="str">
        <x:v>验证主播分成上传XLS</x:v>
      </x:c>
      <x:c r="H34" s="9" t="str">
        <x:v>分成文件格式</x:v>
      </x:c>
      <x:c r="I34" s="9" t="str">
        <x:v>1. 当前执行账号具有管理后台会话，身份为平台管理员；具体账号及权限变化按以下条件准备
2. 有效XLS文件A按本页模板准备，包含主播A分成100USD、主播B分成200USD；线下财务已确定金额</x:v>
      </x:c>
      <x:c r="J34" s="9" t="str">
        <x:v>1. 打开主播分成记录
2. 点击“上传”
3. 上传文件A.xls
4. 输入备注“九月已核算结果”
5. 点击“确认上传”</x:v>
      </x:c>
      <x:c r="K34" s="9" t="str">
        <x:v>进入导入预览</x:v>
      </x:c>
      <x:c r="L34" s="10" t="str">
        <x:v>FLOW-SETTLEMENT</x:v>
      </x:c>
      <x:c r="M34" s="10" t="str">
        <x:v>未测</x:v>
      </x:c>
      <x:c r="N34" s="10" t="str"/>
      <x:c r="O34" s="9" t="str">
        <x:v>1. 来源（当前证据）：liveshow-proto/MainBasis/统一需求文档.md；位置：第2858行、第2849行、第2850行
2. 规则：BR-4bedcfbff657e072
3. 未动态验证</x:v>
      </x:c>
    </x:row>
    <x:row r="35" ht="130" customHeight="1">
      <x:c r="A35" s="10" t="n">
        <x:v>34</x:v>
      </x:c>
      <x:c r="B35" s="10" t="str">
        <x:v>ADMIN-0034</x:v>
      </x:c>
      <x:c r="C35" s="10" t="str">
        <x:v>财务结算</x:v>
      </x:c>
      <x:c r="D35" s="10" t="str">
        <x:v>主播分成记录（平台管理员）</x:v>
      </x:c>
      <x:c r="E35" s="10" t="str">
        <x:v>业务流程</x:v>
      </x:c>
      <x:c r="F35" s="10" t="str">
        <x:v>P1</x:v>
      </x:c>
      <x:c r="G35" s="9" t="str">
        <x:v>验证主播分成上传CSV</x:v>
      </x:c>
      <x:c r="H35" s="9" t="str">
        <x:v>分成文件格式</x:v>
      </x:c>
      <x:c r="I35" s="9" t="str">
        <x:v>1. 当前执行账号具有管理后台会话，身份为平台管理员；具体账号及权限变化按以下条件准备
2. 有效CSV文件A按本页模板准备，包含主播A分成100USD、主播B分成200USD；线下财务已确定金额</x:v>
      </x:c>
      <x:c r="J35" s="9" t="str">
        <x:v>1. 打开主播分成记录
2. 点击“上传”
3. 上传文件A.csv
4. 输入备注“九月已核算结果”
5. 点击“确认上传”</x:v>
      </x:c>
      <x:c r="K35" s="9" t="str">
        <x:v>进入导入预览</x:v>
      </x:c>
      <x:c r="L35" s="10" t="str">
        <x:v>FLOW-SETTLEMENT</x:v>
      </x:c>
      <x:c r="M35" s="10" t="str">
        <x:v>未测</x:v>
      </x:c>
      <x:c r="N35" s="10" t="str"/>
      <x:c r="O35" s="9" t="str">
        <x:v>1. 来源（当前证据）：liveshow-proto/MainBasis/统一需求文档.md；位置：第2858行、第2849行、第2850行
2. 规则：BR-e2745bf00d8ca815
3. 未动态验证</x:v>
      </x:c>
    </x:row>
    <x:row r="36" ht="145" customHeight="1">
      <x:c r="A36" s="10" t="n">
        <x:v>35</x:v>
      </x:c>
      <x:c r="B36" s="10" t="str">
        <x:v>ADMIN-0035</x:v>
      </x:c>
      <x:c r="C36" s="10" t="str">
        <x:v>财务结算</x:v>
      </x:c>
      <x:c r="D36" s="10" t="str">
        <x:v>主播分成记录（平台管理员）</x:v>
      </x:c>
      <x:c r="E36" s="10" t="str">
        <x:v>业务流程</x:v>
      </x:c>
      <x:c r="F36" s="10" t="str">
        <x:v>P1</x:v>
      </x:c>
      <x:c r="G36" s="9" t="str">
        <x:v>验证主播上传预览不立即入账</x:v>
      </x:c>
      <x:c r="H36" s="9" t="str">
        <x:v>分成预览阶段</x:v>
      </x:c>
      <x:c r="I36" s="9" t="str">
        <x:v>1. 当前执行账号具有管理后台会话，身份为平台管理员；具体账号及权限变化按以下条件准备
2. 文件A有两条有效分成100USD、200USD，尚未确认导入
3. 本次批次A首次导入，正式记录中尚无A；另一个窗口使用同一账号会话</x:v>
      </x:c>
      <x:c r="J36" s="9" t="str">
        <x:v>1. 打开主播分成记录
2. 点击“上传”
3. 上传文件A.csv
4. 输入备注“测试批次”
5. 点击“确认上传”
6. 打开同一管理页面的另一个窗口
7. 查看正式分成记录</x:v>
      </x:c>
      <x:c r="K36" s="9" t="str">
        <x:v>正式分成列表没有本次批次A记录</x:v>
      </x:c>
      <x:c r="L36" s="10" t="str">
        <x:v>FLOW-SETTLEMENT</x:v>
      </x:c>
      <x:c r="M36" s="10" t="str">
        <x:v>未测</x:v>
      </x:c>
      <x:c r="N36" s="10" t="str"/>
      <x:c r="O36" s="9" t="str">
        <x:v>1. 来源（当前证据）：liveshow-proto/MainBasis/统一需求文档.md；位置：第2853行、第2849行、第2850行
2. 规则：BR-591202aabe4e8f42
3. 未动态验证</x:v>
      </x:c>
    </x:row>
    <x:row r="37" ht="100" customHeight="1">
      <x:c r="A37" s="10" t="n">
        <x:v>36</x:v>
      </x:c>
      <x:c r="B37" s="10" t="str">
        <x:v>ADMIN-0036</x:v>
      </x:c>
      <x:c r="C37" s="10" t="str">
        <x:v>财务结算</x:v>
      </x:c>
      <x:c r="D37" s="10" t="str">
        <x:v>主播分成记录（平台管理员）</x:v>
      </x:c>
      <x:c r="E37" s="10" t="str">
        <x:v>功能需求</x:v>
      </x:c>
      <x:c r="F37" s="10" t="str">
        <x:v>P1</x:v>
      </x:c>
      <x:c r="G37" s="9" t="str">
        <x:v>验证主播上传缺少文件</x:v>
      </x:c>
      <x:c r="H37" s="9" t="str">
        <x:v>上传必填</x:v>
      </x:c>
      <x:c r="I37" s="9" t="str">
        <x:v>1. 当前执行账号具有管理后台会话，身份为平台管理员；具体账号及权限变化按以下条件准备
2. 上传对话框已打开，另一必填项完整</x:v>
      </x:c>
      <x:c r="J37" s="9" t="str">
        <x:v>1. 清空文件
2. 点击“确认上传”</x:v>
      </x:c>
      <x:c r="K37" s="9" t="str">
        <x:v>不进入导入预览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来源（当前证据）：liveshow-proto/MainBasis/统一需求文档.md；位置：第2853行、第2849行、第2850行
2. 规则：BR-ca74db2b67ec5b79
3. 未动态验证</x:v>
      </x:c>
    </x:row>
    <x:row r="38" ht="100" customHeight="1">
      <x:c r="A38" s="10" t="n">
        <x:v>37</x:v>
      </x:c>
      <x:c r="B38" s="10" t="str">
        <x:v>ADMIN-0037</x:v>
      </x:c>
      <x:c r="C38" s="10" t="str">
        <x:v>财务结算</x:v>
      </x:c>
      <x:c r="D38" s="10" t="str">
        <x:v>主播分成记录（平台管理员）</x:v>
      </x:c>
      <x:c r="E38" s="10" t="str">
        <x:v>功能需求</x:v>
      </x:c>
      <x:c r="F38" s="10" t="str">
        <x:v>P1</x:v>
      </x:c>
      <x:c r="G38" s="9" t="str">
        <x:v>验证主播上传缺少备注</x:v>
      </x:c>
      <x:c r="H38" s="9" t="str">
        <x:v>上传必填</x:v>
      </x:c>
      <x:c r="I38" s="9" t="str">
        <x:v>1. 当前执行账号具有管理后台会话，身份为平台管理员；具体账号及权限变化按以下条件准备
2. 上传对话框已打开，另一必填项完整</x:v>
      </x:c>
      <x:c r="J38" s="9" t="str">
        <x:v>1. 清空备注
2. 点击“确认上传”</x:v>
      </x:c>
      <x:c r="K38" s="9" t="str">
        <x:v>不进入导入预览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来源（当前证据）：liveshow-proto/MainBasis/统一需求文档.md；位置：第2853行、第2849行、第2850行
2. 规则：BR-4b18f18e2bc2da72
3. 未动态验证</x:v>
      </x:c>
    </x:row>
    <x:row r="39" ht="100" customHeight="1">
      <x:c r="A39" s="10" t="n">
        <x:v>38</x:v>
      </x:c>
      <x:c r="B39" s="10" t="str">
        <x:v>ADMIN-0038</x:v>
      </x:c>
      <x:c r="C39" s="10" t="str">
        <x:v>财务结算</x:v>
      </x:c>
      <x:c r="D39" s="10" t="str">
        <x:v>主播分成记录（平台管理员）</x:v>
      </x:c>
      <x:c r="E39" s="10" t="str">
        <x:v>功能需求</x:v>
      </x:c>
      <x:c r="F39" s="10" t="str">
        <x:v>P1</x:v>
      </x:c>
      <x:c r="G39" s="9" t="str">
        <x:v>验证主播上传文件名回显</x:v>
      </x:c>
      <x:c r="H39" s="9" t="str">
        <x:v>文件选择回显</x:v>
      </x:c>
      <x:c r="I39" s="9" t="str">
        <x:v>1. 当前执行账号具有管理后台会话，身份为平台管理员；具体账号及权限变化按以下条件准备
2. 文件名为test-settlement.csv且内容按模板准备</x:v>
      </x:c>
      <x:c r="J39" s="9" t="str">
        <x:v>1. 打开主播分成记录
2. 点击“上传”
3. 上传test-settlement.csv</x:v>
      </x:c>
      <x:c r="K39" s="9" t="str">
        <x:v>对话框显示test-settlement.csv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来源（当前证据）：liveshow-proto/MainBasis/统一需求文档.md；位置：第2853行、第2849行、第2850行
2. 规则：BR-0e7d70608ef0fadf
3. 未动态验证</x:v>
      </x:c>
    </x:row>
    <x:row r="40" ht="130" customHeight="1">
      <x:c r="A40" s="10" t="n">
        <x:v>39</x:v>
      </x:c>
      <x:c r="B40" s="10" t="str">
        <x:v>ADMIN-0039</x:v>
      </x:c>
      <x:c r="C40" s="10" t="str">
        <x:v>财务结算</x:v>
      </x:c>
      <x:c r="D40" s="10" t="str">
        <x:v>主播分成记录（平台管理员）</x:v>
      </x:c>
      <x:c r="E40" s="10" t="str">
        <x:v>功能需求</x:v>
      </x:c>
      <x:c r="F40" s="10" t="str">
        <x:v>P1</x:v>
      </x:c>
      <x:c r="G40" s="9" t="str">
        <x:v>验证主播分成取消预览</x:v>
      </x:c>
      <x:c r="H40" s="9" t="str">
        <x:v>导入预览取消</x:v>
      </x:c>
      <x:c r="I40" s="9" t="str">
        <x:v>1. 当前执行账号具有管理后台会话，身份为平台管理员；具体账号及权限变化按以下条件准备
2. 已上传并预览有效批次A，尚未确认导入
3. 本次批次A首次导入，列表没有此前A记录</x:v>
      </x:c>
      <x:c r="J40" s="9" t="str">
        <x:v>1. 关闭导入预览
2. 查看正式分成列表</x:v>
      </x:c>
      <x:c r="K40" s="9" t="str">
        <x:v>不生成批次A分成记录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来源（当前证据）：liveshow-proto/MainBasis/统一需求文档.md；位置：第2853行、第2849行、第2850行
2. 规则：BR-58e8e330e65ecf4f
3. 未动态验证</x:v>
      </x:c>
    </x:row>
    <x:row r="41" ht="100" customHeight="1">
      <x:c r="A41" s="10" t="n">
        <x:v>40</x:v>
      </x:c>
      <x:c r="B41" s="10" t="str">
        <x:v>ADMIN-0040</x:v>
      </x:c>
      <x:c r="C41" s="10" t="str">
        <x:v>财务结算</x:v>
      </x:c>
      <x:c r="D41" s="10" t="str">
        <x:v>主播分成记录（平台管理员）</x:v>
      </x:c>
      <x:c r="E41" s="10" t="str">
        <x:v>业务流程</x:v>
      </x:c>
      <x:c r="F41" s="10" t="str">
        <x:v>P1</x:v>
      </x:c>
      <x:c r="G41" s="9" t="str">
        <x:v>验证主播导入确认生成锁定记录</x:v>
      </x:c>
      <x:c r="H41" s="9" t="str">
        <x:v>分成导入提交</x:v>
      </x:c>
      <x:c r="I41" s="9" t="str">
        <x:v>1. 当前执行账号具有管理后台会话，身份为平台管理员；具体账号及权限变化按以下条件准备
2. 有效批次A已预览，条目金额100USD和200USD</x:v>
      </x:c>
      <x:c r="J41" s="9" t="str">
        <x:v>1. 点击“确认导入”</x:v>
      </x:c>
      <x:c r="K41" s="9" t="str">
        <x:v>生成不可编辑或删除的批次A记录</x:v>
      </x:c>
      <x:c r="L41" s="10" t="str">
        <x:v>FLOW-SETTLEMENT</x:v>
      </x:c>
      <x:c r="M41" s="10" t="str">
        <x:v>未测</x:v>
      </x:c>
      <x:c r="N41" s="10" t="str"/>
      <x:c r="O41" s="9" t="str">
        <x:v>1. 来源（当前证据）：liveshow-proto/MainBasis/统一需求文档.md；位置：第2853行、第2849行、第2850行
2. 规则：BR-50e948ce8a278e1b
3. 未动态验证</x:v>
      </x:c>
    </x:row>
    <x:row r="42" ht="100" customHeight="1">
      <x:c r="A42" s="10" t="n">
        <x:v>41</x:v>
      </x:c>
      <x:c r="B42" s="10" t="str">
        <x:v>ADMIN-0041</x:v>
      </x:c>
      <x:c r="C42" s="10" t="str">
        <x:v>财务结算</x:v>
      </x:c>
      <x:c r="D42" s="10" t="str">
        <x:v>主播分成记录详情（平台管理员）</x:v>
      </x:c>
      <x:c r="E42" s="10" t="str">
        <x:v>逻辑校验</x:v>
      </x:c>
      <x:c r="F42" s="10" t="str">
        <x:v>P1</x:v>
      </x:c>
      <x:c r="G42" s="9" t="str">
        <x:v>验证主播批次总额按明细汇总</x:v>
      </x:c>
      <x:c r="H42" s="9" t="str">
        <x:v>分成批次合计</x:v>
      </x:c>
      <x:c r="I42" s="9" t="str">
        <x:v>1. 当前执行账号具有管理后台会话，身份为平台管理员；具体账号及权限变化按以下条件准备
2. 批次A包含主播A金额100USD、主播B金额200USD</x:v>
      </x:c>
      <x:c r="J42" s="9" t="str">
        <x:v>1. 打开批次A的主播分成详情</x:v>
      </x:c>
      <x:c r="K42" s="9" t="str">
        <x:v>分成总金额=300USD</x:v>
      </x:c>
      <x:c r="L42" s="10" t="str">
        <x:v>FLOW-SETTLEMENT</x:v>
      </x:c>
      <x:c r="M42" s="10" t="str">
        <x:v>未测</x:v>
      </x:c>
      <x:c r="N42" s="10" t="str"/>
      <x:c r="O42" s="9" t="str">
        <x:v>1. 来源（当前证据）：liveshow-proto/MainBasis/统一需求文档.md；位置：第2871行、第2865行、第2866行
2. 规则：BR-b765cac727951b6a
3. 未动态验证</x:v>
      </x:c>
    </x:row>
    <x:row r="43" ht="100" customHeight="1">
      <x:c r="A43" s="10" t="n">
        <x:v>42</x:v>
      </x:c>
      <x:c r="B43" s="10" t="str">
        <x:v>ADMIN-0042</x:v>
      </x:c>
      <x:c r="C43" s="10" t="str">
        <x:v>财务结算</x:v>
      </x:c>
      <x:c r="D43" s="10" t="str">
        <x:v>主播分成记录（平台管理员）</x:v>
      </x:c>
      <x:c r="E43" s="10" t="str">
        <x:v>功能需求</x:v>
      </x:c>
      <x:c r="F43" s="10" t="str">
        <x:v>P1</x:v>
      </x:c>
      <x:c r="G43" s="9" t="str">
        <x:v>验证主播导入操作人快照</x:v>
      </x:c>
      <x:c r="H43" s="9" t="str">
        <x:v>财务操作留痕</x:v>
      </x:c>
      <x:c r="I43" s="9" t="str">
        <x:v>1. 当前执行账号具有管理后台会话，身份为平台管理员；具体账号及权限变化按以下条件准备
2. 当前后台账号为财务A，文件A数据有效</x:v>
      </x:c>
      <x:c r="J43" s="9" t="str">
        <x:v>1. 打开主播分成记录
2. 点击“上传”
3. 上传文件A.csv
4. 输入备注“测试”
5. 点击“确认上传”
6. 点击“确认导入”</x:v>
      </x:c>
      <x:c r="K43" s="9" t="str">
        <x:v>上传人记录为财务A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来源（当前证据）：liveshow-proto/MainBasis/统一需求文档.md；位置：第2859行、第2849行、第2850行
2. 规则：BR-8a5f2304fb458475
3. 未动态验证</x:v>
      </x:c>
    </x:row>
    <x:row r="44" ht="85" customHeight="1">
      <x:c r="A44" s="10" t="n">
        <x:v>43</x:v>
      </x:c>
      <x:c r="B44" s="10" t="str">
        <x:v>ADMIN-0043</x:v>
      </x:c>
      <x:c r="C44" s="10" t="str">
        <x:v>财务结算</x:v>
      </x:c>
      <x:c r="D44" s="10" t="str">
        <x:v>主播分成记录（平台管理员）</x:v>
      </x:c>
      <x:c r="E44" s="10" t="str">
        <x:v>功能需求</x:v>
      </x:c>
      <x:c r="F44" s="10" t="str">
        <x:v>P1</x:v>
      </x:c>
      <x:c r="G44" s="9" t="str">
        <x:v>验证主播下载导入模板</x:v>
      </x:c>
      <x:c r="H44" s="9" t="str">
        <x:v>分成模板内容</x:v>
      </x:c>
      <x:c r="I44" s="9" t="str">
        <x:v>1. 当前执行账号具有管理后台会话，身份为平台管理员；具体账号及权限变化按以下条件准备</x:v>
      </x:c>
      <x:c r="J44" s="9" t="str">
        <x:v>1. 打开主播分成记录
2. 点击“上传”
3. 点击“下载模板”</x:v>
      </x:c>
      <x:c r="K44" s="9" t="str">
        <x:v>CSV首行依次为主播名称、主播ID、公会名称、公会ID、分成金额</x:v>
      </x:c>
      <x:c r="L44" s="10" t="str"/>
      <x:c r="M44" s="10" t="str">
        <x:v>未测</x:v>
      </x:c>
      <x:c r="N44" s="10" t="str"/>
      <x:c r="O44" s="9" t="str">
        <x:v>1. 来源（当前证据）：liveshow-proto/MainBasis/统一需求文档.md；位置：第2851行、第2849行、第2850行
2. 规则：BR-881d263585fb704e
3. 未动态验证</x:v>
      </x:c>
    </x:row>
    <x:row r="45" ht="115" customHeight="1">
      <x:c r="A45" s="10" t="n">
        <x:v>44</x:v>
      </x:c>
      <x:c r="B45" s="10" t="str">
        <x:v>ADMIN-0044</x:v>
      </x:c>
      <x:c r="C45" s="10" t="str">
        <x:v>财务结算</x:v>
      </x:c>
      <x:c r="D45" s="10" t="str">
        <x:v>主播分成记录（平台管理员）</x:v>
      </x:c>
      <x:c r="E45" s="10" t="str">
        <x:v>功能需求</x:v>
      </x:c>
      <x:c r="F45" s="10" t="str">
        <x:v>P1</x:v>
      </x:c>
      <x:c r="G45" s="9" t="str">
        <x:v>验证主播上传日期开始日</x:v>
      </x:c>
      <x:c r="H45" s="9" t="str">
        <x:v>上传日期边界</x:v>
      </x:c>
      <x:c r="I45" s="9" t="str">
        <x:v>1. 当前执行账号具有管理后台会话，身份为平台管理员；具体账号及权限变化按以下条件准备
2. 筛选范围2026-09-01至2026-09-14
3. 批次A上传时间处于开始日</x:v>
      </x:c>
      <x:c r="J45" s="9" t="str">
        <x:v>1. 打开主播分成记录
2. 选择上传日期2026-09-01至2026-09-14
3. 点击“查询”</x:v>
      </x:c>
      <x:c r="K45" s="9" t="str">
        <x:v>结果包含批次A</x:v>
      </x:c>
      <x:c r="L45" s="10" t="str"/>
      <x:c r="M45" s="10" t="str">
        <x:v>未测</x:v>
      </x:c>
      <x:c r="N45" s="10" t="str"/>
      <x:c r="O45" s="9" t="str">
        <x:v>1. 来源（当前证据）：liveshow-proto/MainBasis/统一需求文档.md；位置：第2852行、第2849行、第2850行
2. 规则：BR-39dcac03792165ae
3. 未动态验证</x:v>
      </x:c>
    </x:row>
    <x:row r="46" ht="115" customHeight="1">
      <x:c r="A46" s="10" t="n">
        <x:v>45</x:v>
      </x:c>
      <x:c r="B46" s="10" t="str">
        <x:v>ADMIN-0045</x:v>
      </x:c>
      <x:c r="C46" s="10" t="str">
        <x:v>财务结算</x:v>
      </x:c>
      <x:c r="D46" s="10" t="str">
        <x:v>主播分成记录（平台管理员）</x:v>
      </x:c>
      <x:c r="E46" s="10" t="str">
        <x:v>功能需求</x:v>
      </x:c>
      <x:c r="F46" s="10" t="str">
        <x:v>P1</x:v>
      </x:c>
      <x:c r="G46" s="9" t="str">
        <x:v>验证主播上传日期区间内</x:v>
      </x:c>
      <x:c r="H46" s="9" t="str">
        <x:v>上传日期边界</x:v>
      </x:c>
      <x:c r="I46" s="9" t="str">
        <x:v>1. 当前执行账号具有管理后台会话，身份为平台管理员；具体账号及权限变化按以下条件准备
2. 筛选范围2026-09-01至2026-09-14
3. 批次A上传时间处于区间内</x:v>
      </x:c>
      <x:c r="J46" s="9" t="str">
        <x:v>1. 打开主播分成记录
2. 选择上传日期2026-09-01至2026-09-14
3. 点击“查询”</x:v>
      </x:c>
      <x:c r="K46" s="9" t="str">
        <x:v>结果包含批次A</x:v>
      </x:c>
      <x:c r="L46" s="10" t="str"/>
      <x:c r="M46" s="10" t="str">
        <x:v>未测</x:v>
      </x:c>
      <x:c r="N46" s="10" t="str"/>
      <x:c r="O46" s="9" t="str">
        <x:v>1. 来源（当前证据）：liveshow-proto/MainBasis/统一需求文档.md；位置：第2852行、第2849行、第2850行
2. 规则：BR-0c5cadb60ac212b8
3. 未动态验证</x:v>
      </x:c>
    </x:row>
    <x:row r="47" ht="115" customHeight="1">
      <x:c r="A47" s="10" t="n">
        <x:v>46</x:v>
      </x:c>
      <x:c r="B47" s="10" t="str">
        <x:v>ADMIN-0046</x:v>
      </x:c>
      <x:c r="C47" s="10" t="str">
        <x:v>财务结算</x:v>
      </x:c>
      <x:c r="D47" s="10" t="str">
        <x:v>主播分成记录（平台管理员）</x:v>
      </x:c>
      <x:c r="E47" s="10" t="str">
        <x:v>功能需求</x:v>
      </x:c>
      <x:c r="F47" s="10" t="str">
        <x:v>P1</x:v>
      </x:c>
      <x:c r="G47" s="9" t="str">
        <x:v>验证主播上传日期结束日</x:v>
      </x:c>
      <x:c r="H47" s="9" t="str">
        <x:v>上传日期边界</x:v>
      </x:c>
      <x:c r="I47" s="9" t="str">
        <x:v>1. 当前执行账号具有管理后台会话，身份为平台管理员；具体账号及权限变化按以下条件准备
2. 筛选范围2026-09-01至2026-09-14
3. 批次A上传时间处于结束日</x:v>
      </x:c>
      <x:c r="J47" s="9" t="str">
        <x:v>1. 打开主播分成记录
2. 选择上传日期2026-09-01至2026-09-14
3. 点击“查询”</x:v>
      </x:c>
      <x:c r="K47" s="9" t="str">
        <x:v>结果包含批次A</x:v>
      </x:c>
      <x:c r="L47" s="10" t="str"/>
      <x:c r="M47" s="10" t="str">
        <x:v>未测</x:v>
      </x:c>
      <x:c r="N47" s="10" t="str"/>
      <x:c r="O47" s="9" t="str">
        <x:v>1. 来源（当前证据）：liveshow-proto/MainBasis/统一需求文档.md；位置：第2852行、第2849行、第2850行
2. 规则：BR-372b32e14fa6e85e
3. 未动态验证</x:v>
      </x:c>
    </x:row>
    <x:row r="48" ht="130" customHeight="1">
      <x:c r="A48" s="10" t="n">
        <x:v>47</x:v>
      </x:c>
      <x:c r="B48" s="10" t="str">
        <x:v>ADMIN-0047</x:v>
      </x:c>
      <x:c r="C48" s="10" t="str">
        <x:v>财务结算</x:v>
      </x:c>
      <x:c r="D48" s="10" t="str">
        <x:v>主播分成记录（平台管理员）</x:v>
      </x:c>
      <x:c r="E48" s="10" t="str">
        <x:v>功能需求</x:v>
      </x:c>
      <x:c r="F48" s="10" t="str">
        <x:v>P1</x:v>
      </x:c>
      <x:c r="G48" s="9" t="str">
        <x:v>验证主播上传日期开始日前</x:v>
      </x:c>
      <x:c r="H48" s="9" t="str">
        <x:v>上传日期边界</x:v>
      </x:c>
      <x:c r="I48" s="9" t="str">
        <x:v>1. 当前执行账号具有管理后台会话，身份为平台管理员；具体账号及权限变化按以下条件准备
2. 筛选范围2026-09-01至2026-09-14
3. 批次A上传时间处于开始日前</x:v>
      </x:c>
      <x:c r="J48" s="9" t="str">
        <x:v>1. 打开主播分成记录
2. 选择上传日期2026-09-01至2026-09-14
3. 点击“查询”</x:v>
      </x:c>
      <x:c r="K48" s="9" t="str">
        <x:v>结果不包含批次A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来源（当前证据）：liveshow-proto/MainBasis/统一需求文档.md；位置：第2852行、第2849行、第2850行
2. 规则：BR-d2308ca0a267fd47
3. 未动态验证</x:v>
      </x:c>
    </x:row>
    <x:row r="49" ht="130" customHeight="1">
      <x:c r="A49" s="10" t="n">
        <x:v>48</x:v>
      </x:c>
      <x:c r="B49" s="10" t="str">
        <x:v>ADMIN-0048</x:v>
      </x:c>
      <x:c r="C49" s="10" t="str">
        <x:v>财务结算</x:v>
      </x:c>
      <x:c r="D49" s="10" t="str">
        <x:v>主播分成记录（平台管理员）</x:v>
      </x:c>
      <x:c r="E49" s="10" t="str">
        <x:v>功能需求</x:v>
      </x:c>
      <x:c r="F49" s="10" t="str">
        <x:v>P1</x:v>
      </x:c>
      <x:c r="G49" s="9" t="str">
        <x:v>验证主播上传日期结束日后</x:v>
      </x:c>
      <x:c r="H49" s="9" t="str">
        <x:v>上传日期边界</x:v>
      </x:c>
      <x:c r="I49" s="9" t="str">
        <x:v>1. 当前执行账号具有管理后台会话，身份为平台管理员；具体账号及权限变化按以下条件准备
2. 筛选范围2026-09-01至2026-09-14
3. 批次A上传时间处于结束日后</x:v>
      </x:c>
      <x:c r="J49" s="9" t="str">
        <x:v>1. 打开主播分成记录
2. 选择上传日期2026-09-01至2026-09-14
3. 点击“查询”</x:v>
      </x:c>
      <x:c r="K49" s="9" t="str">
        <x:v>结果不包含批次A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来源（当前证据）：liveshow-proto/MainBasis/统一需求文档.md；位置：第2852行、第2849行、第2850行
2. 规则：BR-669b5d90f8ee7dcb
3. 未动态验证</x:v>
      </x:c>
    </x:row>
    <x:row r="50" ht="85" customHeight="1">
      <x:c r="A50" s="10" t="n">
        <x:v>49</x:v>
      </x:c>
      <x:c r="B50" s="10" t="str">
        <x:v>ADMIN-0049</x:v>
      </x:c>
      <x:c r="C50" s="10" t="str">
        <x:v>财务结算</x:v>
      </x:c>
      <x:c r="D50" s="10" t="str">
        <x:v>主播分成记录（平台管理员）</x:v>
      </x:c>
      <x:c r="E50" s="10" t="str">
        <x:v>功能需求</x:v>
      </x:c>
      <x:c r="F50" s="10" t="str">
        <x:v>P1</x:v>
      </x:c>
      <x:c r="G50" s="9" t="str">
        <x:v>验证主播上传日期反序</x:v>
      </x:c>
      <x:c r="H50" s="9" t="str">
        <x:v>上传日期合法性</x:v>
      </x:c>
      <x:c r="I50" s="9" t="str">
        <x:v>1. 当前执行账号具有管理后台会话，身份为平台管理员；具体账号及权限变化按以下条件准备</x:v>
      </x:c>
      <x:c r="J50" s="9" t="str">
        <x:v>1. 打开主播分成记录
2. 选择开始日2026-09-14、结束日2026-09-01
3. 点击“查询”</x:v>
      </x:c>
      <x:c r="K50" s="9" t="str">
        <x:v>显示“结束日期不能早于开始日期”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来源（当前证据）：liveshow-proto/MainBasis/统一需求文档.md；位置：第2852行、第2849行、第2850行
2. 规则：BR-7258eee42464d0e7
3. 未动态验证</x:v>
      </x:c>
    </x:row>
    <x:row r="51" ht="130" customHeight="1">
      <x:c r="A51" s="10" t="n">
        <x:v>50</x:v>
      </x:c>
      <x:c r="B51" s="10" t="str">
        <x:v>ADMIN-0050</x:v>
      </x:c>
      <x:c r="C51" s="10" t="str">
        <x:v>财务结算</x:v>
      </x:c>
      <x:c r="D51" s="10" t="str">
        <x:v>公会分成记录（平台管理员）</x:v>
      </x:c>
      <x:c r="E51" s="10" t="str">
        <x:v>业务流程</x:v>
      </x:c>
      <x:c r="F51" s="10" t="str">
        <x:v>P1</x:v>
      </x:c>
      <x:c r="G51" s="9" t="str">
        <x:v>验证公会分成上传XLSX</x:v>
      </x:c>
      <x:c r="H51" s="9" t="str">
        <x:v>分成文件格式</x:v>
      </x:c>
      <x:c r="I51" s="9" t="str">
        <x:v>1. 当前执行账号具有管理后台会话，身份为平台管理员；具体账号及权限变化按以下条件准备
2. 有效XLSX文件A按本页模板准备，包含公会A分成100USD、公会B分成200USD；线下财务已确定金额</x:v>
      </x:c>
      <x:c r="J51" s="9" t="str">
        <x:v>1. 打开公会分成记录
2. 点击“上传”
3. 上传文件A.xlsx
4. 输入备注“九月已核算结果”
5. 点击“确认上传”</x:v>
      </x:c>
      <x:c r="K51" s="9" t="str">
        <x:v>进入导入预览</x:v>
      </x:c>
      <x:c r="L51" s="10" t="str">
        <x:v>FLOW-SETTLEMENT</x:v>
      </x:c>
      <x:c r="M51" s="10" t="str">
        <x:v>未测</x:v>
      </x:c>
      <x:c r="N51" s="10" t="str"/>
      <x:c r="O51" s="9" t="str">
        <x:v>1. 来源（当前证据）：liveshow-proto/MainBasis/统一需求文档.md；位置：第2908行、第2899行、第2900行
2. 规则：BR-d6a48f8176579803
3. 未动态验证</x:v>
      </x:c>
    </x:row>
    <x:row r="52" ht="130" customHeight="1">
      <x:c r="A52" s="10" t="n">
        <x:v>51</x:v>
      </x:c>
      <x:c r="B52" s="10" t="str">
        <x:v>ADMIN-0051</x:v>
      </x:c>
      <x:c r="C52" s="10" t="str">
        <x:v>财务结算</x:v>
      </x:c>
      <x:c r="D52" s="10" t="str">
        <x:v>公会分成记录（平台管理员）</x:v>
      </x:c>
      <x:c r="E52" s="10" t="str">
        <x:v>业务流程</x:v>
      </x:c>
      <x:c r="F52" s="10" t="str">
        <x:v>P1</x:v>
      </x:c>
      <x:c r="G52" s="9" t="str">
        <x:v>验证公会分成上传XLS</x:v>
      </x:c>
      <x:c r="H52" s="9" t="str">
        <x:v>分成文件格式</x:v>
      </x:c>
      <x:c r="I52" s="9" t="str">
        <x:v>1. 当前执行账号具有管理后台会话，身份为平台管理员；具体账号及权限变化按以下条件准备
2. 有效XLS文件A按本页模板准备，包含公会A分成100USD、公会B分成200USD；线下财务已确定金额</x:v>
      </x:c>
      <x:c r="J52" s="9" t="str">
        <x:v>1. 打开公会分成记录
2. 点击“上传”
3. 上传文件A.xls
4. 输入备注“九月已核算结果”
5. 点击“确认上传”</x:v>
      </x:c>
      <x:c r="K52" s="9" t="str">
        <x:v>进入导入预览</x:v>
      </x:c>
      <x:c r="L52" s="10" t="str">
        <x:v>FLOW-SETTLEMENT</x:v>
      </x:c>
      <x:c r="M52" s="10" t="str">
        <x:v>未测</x:v>
      </x:c>
      <x:c r="N52" s="10" t="str"/>
      <x:c r="O52" s="9" t="str">
        <x:v>1. 来源（当前证据）：liveshow-proto/MainBasis/统一需求文档.md；位置：第2908行、第2899行、第2900行
2. 规则：BR-de0cf493281d74f9
3. 未动态验证</x:v>
      </x:c>
    </x:row>
    <x:row r="53" ht="130" customHeight="1">
      <x:c r="A53" s="10" t="n">
        <x:v>52</x:v>
      </x:c>
      <x:c r="B53" s="10" t="str">
        <x:v>ADMIN-0052</x:v>
      </x:c>
      <x:c r="C53" s="10" t="str">
        <x:v>财务结算</x:v>
      </x:c>
      <x:c r="D53" s="10" t="str">
        <x:v>公会分成记录（平台管理员）</x:v>
      </x:c>
      <x:c r="E53" s="10" t="str">
        <x:v>业务流程</x:v>
      </x:c>
      <x:c r="F53" s="10" t="str">
        <x:v>P1</x:v>
      </x:c>
      <x:c r="G53" s="9" t="str">
        <x:v>验证公会分成上传CSV</x:v>
      </x:c>
      <x:c r="H53" s="9" t="str">
        <x:v>分成文件格式</x:v>
      </x:c>
      <x:c r="I53" s="9" t="str">
        <x:v>1. 当前执行账号具有管理后台会话，身份为平台管理员；具体账号及权限变化按以下条件准备
2. 有效CSV文件A按本页模板准备，包含公会A分成100USD、公会B分成200USD；线下财务已确定金额</x:v>
      </x:c>
      <x:c r="J53" s="9" t="str">
        <x:v>1. 打开公会分成记录
2. 点击“上传”
3. 上传文件A.csv
4. 输入备注“九月已核算结果”
5. 点击“确认上传”</x:v>
      </x:c>
      <x:c r="K53" s="9" t="str">
        <x:v>进入导入预览</x:v>
      </x:c>
      <x:c r="L53" s="10" t="str">
        <x:v>FLOW-SETTLEMENT</x:v>
      </x:c>
      <x:c r="M53" s="10" t="str">
        <x:v>未测</x:v>
      </x:c>
      <x:c r="N53" s="10" t="str"/>
      <x:c r="O53" s="9" t="str">
        <x:v>1. 来源（当前证据）：liveshow-proto/MainBasis/统一需求文档.md；位置：第2908行、第2899行、第2900行
2. 规则：BR-6a5e35d3ecacdfeb
3. 未动态验证</x:v>
      </x:c>
    </x:row>
    <x:row r="54" ht="145" customHeight="1">
      <x:c r="A54" s="10" t="n">
        <x:v>53</x:v>
      </x:c>
      <x:c r="B54" s="10" t="str">
        <x:v>ADMIN-0053</x:v>
      </x:c>
      <x:c r="C54" s="10" t="str">
        <x:v>财务结算</x:v>
      </x:c>
      <x:c r="D54" s="10" t="str">
        <x:v>公会分成记录（平台管理员）</x:v>
      </x:c>
      <x:c r="E54" s="10" t="str">
        <x:v>业务流程</x:v>
      </x:c>
      <x:c r="F54" s="10" t="str">
        <x:v>P1</x:v>
      </x:c>
      <x:c r="G54" s="9" t="str">
        <x:v>验证公会上传预览不立即入账</x:v>
      </x:c>
      <x:c r="H54" s="9" t="str">
        <x:v>分成预览阶段</x:v>
      </x:c>
      <x:c r="I54" s="9" t="str">
        <x:v>1. 当前执行账号具有管理后台会话，身份为平台管理员；具体账号及权限变化按以下条件准备
2. 文件A有两条有效分成100USD、200USD，尚未确认导入
3. 本次批次A首次导入，正式记录中尚无A；另一个窗口使用同一账号会话</x:v>
      </x:c>
      <x:c r="J54" s="9" t="str">
        <x:v>1. 打开公会分成记录
2. 点击“上传”
3. 上传文件A.csv
4. 输入备注“测试批次”
5. 点击“确认上传”
6. 打开同一管理页面的另一个窗口
7. 查看正式分成记录</x:v>
      </x:c>
      <x:c r="K54" s="9" t="str">
        <x:v>正式分成列表没有本次批次A记录</x:v>
      </x:c>
      <x:c r="L54" s="10" t="str">
        <x:v>FLOW-SETTLEMENT</x:v>
      </x:c>
      <x:c r="M54" s="10" t="str">
        <x:v>未测</x:v>
      </x:c>
      <x:c r="N54" s="10" t="str"/>
      <x:c r="O54" s="9" t="str">
        <x:v>1. 来源（当前证据）：liveshow-proto/MainBasis/统一需求文档.md；位置：第2903行、第2899行、第2900行
2. 规则：BR-bc789514e62c4de9
3. 未动态验证</x:v>
      </x:c>
    </x:row>
    <x:row r="55" ht="100" customHeight="1">
      <x:c r="A55" s="10" t="n">
        <x:v>54</x:v>
      </x:c>
      <x:c r="B55" s="10" t="str">
        <x:v>ADMIN-0054</x:v>
      </x:c>
      <x:c r="C55" s="10" t="str">
        <x:v>财务结算</x:v>
      </x:c>
      <x:c r="D55" s="10" t="str">
        <x:v>公会分成记录（平台管理员）</x:v>
      </x:c>
      <x:c r="E55" s="10" t="str">
        <x:v>功能需求</x:v>
      </x:c>
      <x:c r="F55" s="10" t="str">
        <x:v>P1</x:v>
      </x:c>
      <x:c r="G55" s="9" t="str">
        <x:v>验证公会上传缺少文件</x:v>
      </x:c>
      <x:c r="H55" s="9" t="str">
        <x:v>上传必填</x:v>
      </x:c>
      <x:c r="I55" s="9" t="str">
        <x:v>1. 当前执行账号具有管理后台会话，身份为平台管理员；具体账号及权限变化按以下条件准备
2. 上传对话框已打开，另一必填项完整</x:v>
      </x:c>
      <x:c r="J55" s="9" t="str">
        <x:v>1. 清空文件
2. 点击“确认上传”</x:v>
      </x:c>
      <x:c r="K55" s="9" t="str">
        <x:v>不进入导入预览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来源（当前证据）：liveshow-proto/MainBasis/统一需求文档.md；位置：第2903行、第2899行、第2900行
2. 规则：BR-726e2c161f1c25d2
3. 未动态验证</x:v>
      </x:c>
    </x:row>
    <x:row r="56" ht="100" customHeight="1">
      <x:c r="A56" s="10" t="n">
        <x:v>55</x:v>
      </x:c>
      <x:c r="B56" s="10" t="str">
        <x:v>ADMIN-0055</x:v>
      </x:c>
      <x:c r="C56" s="10" t="str">
        <x:v>财务结算</x:v>
      </x:c>
      <x:c r="D56" s="10" t="str">
        <x:v>公会分成记录（平台管理员）</x:v>
      </x:c>
      <x:c r="E56" s="10" t="str">
        <x:v>功能需求</x:v>
      </x:c>
      <x:c r="F56" s="10" t="str">
        <x:v>P1</x:v>
      </x:c>
      <x:c r="G56" s="9" t="str">
        <x:v>验证公会上传缺少备注</x:v>
      </x:c>
      <x:c r="H56" s="9" t="str">
        <x:v>上传必填</x:v>
      </x:c>
      <x:c r="I56" s="9" t="str">
        <x:v>1. 当前执行账号具有管理后台会话，身份为平台管理员；具体账号及权限变化按以下条件准备
2. 上传对话框已打开，另一必填项完整</x:v>
      </x:c>
      <x:c r="J56" s="9" t="str">
        <x:v>1. 清空备注
2. 点击“确认上传”</x:v>
      </x:c>
      <x:c r="K56" s="9" t="str">
        <x:v>不进入导入预览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来源（当前证据）：liveshow-proto/MainBasis/统一需求文档.md；位置：第2903行、第2899行、第2900行
2. 规则：BR-cde8c7514449453f
3. 未动态验证</x:v>
      </x:c>
    </x:row>
    <x:row r="57" ht="100" customHeight="1">
      <x:c r="A57" s="10" t="n">
        <x:v>56</x:v>
      </x:c>
      <x:c r="B57" s="10" t="str">
        <x:v>ADMIN-0056</x:v>
      </x:c>
      <x:c r="C57" s="10" t="str">
        <x:v>财务结算</x:v>
      </x:c>
      <x:c r="D57" s="10" t="str">
        <x:v>公会分成记录（平台管理员）</x:v>
      </x:c>
      <x:c r="E57" s="10" t="str">
        <x:v>功能需求</x:v>
      </x:c>
      <x:c r="F57" s="10" t="str">
        <x:v>P1</x:v>
      </x:c>
      <x:c r="G57" s="9" t="str">
        <x:v>验证公会上传文件名回显</x:v>
      </x:c>
      <x:c r="H57" s="9" t="str">
        <x:v>文件选择回显</x:v>
      </x:c>
      <x:c r="I57" s="9" t="str">
        <x:v>1. 当前执行账号具有管理后台会话，身份为平台管理员；具体账号及权限变化按以下条件准备
2. 文件名为test-settlement.csv且内容按模板准备</x:v>
      </x:c>
      <x:c r="J57" s="9" t="str">
        <x:v>1. 打开公会分成记录
2. 点击“上传”
3. 上传test-settlement.csv</x:v>
      </x:c>
      <x:c r="K57" s="9" t="str">
        <x:v>对话框显示test-settlement.csv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来源（当前证据）：liveshow-proto/MainBasis/统一需求文档.md；位置：第2903行、第2899行、第2900行
2. 规则：BR-27d275bb4be9f9de
3. 未动态验证</x:v>
      </x:c>
    </x:row>
    <x:row r="58" ht="130" customHeight="1">
      <x:c r="A58" s="10" t="n">
        <x:v>57</x:v>
      </x:c>
      <x:c r="B58" s="10" t="str">
        <x:v>ADMIN-0057</x:v>
      </x:c>
      <x:c r="C58" s="10" t="str">
        <x:v>财务结算</x:v>
      </x:c>
      <x:c r="D58" s="10" t="str">
        <x:v>公会分成记录（平台管理员）</x:v>
      </x:c>
      <x:c r="E58" s="10" t="str">
        <x:v>功能需求</x:v>
      </x:c>
      <x:c r="F58" s="10" t="str">
        <x:v>P1</x:v>
      </x:c>
      <x:c r="G58" s="9" t="str">
        <x:v>验证公会分成取消预览</x:v>
      </x:c>
      <x:c r="H58" s="9" t="str">
        <x:v>导入预览取消</x:v>
      </x:c>
      <x:c r="I58" s="9" t="str">
        <x:v>1. 当前执行账号具有管理后台会话，身份为平台管理员；具体账号及权限变化按以下条件准备
2. 已上传并预览有效批次A，尚未确认导入
3. 本次批次A首次导入，列表没有此前A记录</x:v>
      </x:c>
      <x:c r="J58" s="9" t="str">
        <x:v>1. 关闭导入预览
2. 查看正式分成列表</x:v>
      </x:c>
      <x:c r="K58" s="9" t="str">
        <x:v>不生成批次A分成记录</x:v>
      </x:c>
      <x:c r="L58" s="10" t="str"/>
      <x:c r="M58" s="10" t="str">
        <x:v>未测</x:v>
      </x:c>
      <x:c r="N58" s="10" t="str"/>
      <x:c r="O58" s="9" t="str">
        <x:v>1. 来源（当前证据）：liveshow-proto/MainBasis/统一需求文档.md；位置：第2903行、第2899行、第2900行
2. 规则：BR-c9ab6442ad0cdf99
3. 未动态验证</x:v>
      </x:c>
    </x:row>
    <x:row r="59" ht="100" customHeight="1">
      <x:c r="A59" s="10" t="n">
        <x:v>58</x:v>
      </x:c>
      <x:c r="B59" s="10" t="str">
        <x:v>ADMIN-0058</x:v>
      </x:c>
      <x:c r="C59" s="10" t="str">
        <x:v>财务结算</x:v>
      </x:c>
      <x:c r="D59" s="10" t="str">
        <x:v>公会分成记录（平台管理员）</x:v>
      </x:c>
      <x:c r="E59" s="10" t="str">
        <x:v>业务流程</x:v>
      </x:c>
      <x:c r="F59" s="10" t="str">
        <x:v>P1</x:v>
      </x:c>
      <x:c r="G59" s="9" t="str">
        <x:v>验证公会导入确认生成锁定记录</x:v>
      </x:c>
      <x:c r="H59" s="9" t="str">
        <x:v>分成导入提交</x:v>
      </x:c>
      <x:c r="I59" s="9" t="str">
        <x:v>1. 当前执行账号具有管理后台会话，身份为平台管理员；具体账号及权限变化按以下条件准备
2. 有效批次A已预览，条目金额100USD和200USD</x:v>
      </x:c>
      <x:c r="J59" s="9" t="str">
        <x:v>1. 点击“确认导入”</x:v>
      </x:c>
      <x:c r="K59" s="9" t="str">
        <x:v>生成不可编辑或删除的批次A记录</x:v>
      </x:c>
      <x:c r="L59" s="10" t="str">
        <x:v>FLOW-SETTLEMENT</x:v>
      </x:c>
      <x:c r="M59" s="10" t="str">
        <x:v>未测</x:v>
      </x:c>
      <x:c r="N59" s="10" t="str"/>
      <x:c r="O59" s="9" t="str">
        <x:v>1. 来源（当前证据）：liveshow-proto/MainBasis/统一需求文档.md；位置：第2903行、第2899行、第2900行
2. 规则：BR-0dca0c2d544a8a93
3. 未动态验证</x:v>
      </x:c>
    </x:row>
    <x:row r="60" ht="100" customHeight="1">
      <x:c r="A60" s="10" t="n">
        <x:v>59</x:v>
      </x:c>
      <x:c r="B60" s="10" t="str">
        <x:v>ADMIN-0059</x:v>
      </x:c>
      <x:c r="C60" s="10" t="str">
        <x:v>财务结算</x:v>
      </x:c>
      <x:c r="D60" s="10" t="str">
        <x:v>公会分成记录详情（平台管理员）</x:v>
      </x:c>
      <x:c r="E60" s="10" t="str">
        <x:v>逻辑校验</x:v>
      </x:c>
      <x:c r="F60" s="10" t="str">
        <x:v>P1</x:v>
      </x:c>
      <x:c r="G60" s="9" t="str">
        <x:v>验证公会批次总额按明细汇总</x:v>
      </x:c>
      <x:c r="H60" s="9" t="str">
        <x:v>分成批次合计</x:v>
      </x:c>
      <x:c r="I60" s="9" t="str">
        <x:v>1. 当前执行账号具有管理后台会话，身份为平台管理员；具体账号及权限变化按以下条件准备
2. 批次A包含公会A金额100USD、公会B金额200USD</x:v>
      </x:c>
      <x:c r="J60" s="9" t="str">
        <x:v>1. 打开批次A的公会分成详情</x:v>
      </x:c>
      <x:c r="K60" s="9" t="str">
        <x:v>分成总金额=300USD</x:v>
      </x:c>
      <x:c r="L60" s="10" t="str">
        <x:v>FLOW-SETTLEMENT</x:v>
      </x:c>
      <x:c r="M60" s="10" t="str">
        <x:v>未测</x:v>
      </x:c>
      <x:c r="N60" s="10" t="str"/>
      <x:c r="O60" s="9" t="str">
        <x:v>1. 来源（当前证据）：liveshow-proto/MainBasis/统一需求文档.md；位置：第2921行、第2915行、第2916行
2. 规则：BR-6ea396d17ffe5125
3. 未动态验证</x:v>
      </x:c>
    </x:row>
    <x:row r="61" ht="100" customHeight="1">
      <x:c r="A61" s="10" t="n">
        <x:v>60</x:v>
      </x:c>
      <x:c r="B61" s="10" t="str">
        <x:v>ADMIN-0060</x:v>
      </x:c>
      <x:c r="C61" s="10" t="str">
        <x:v>财务结算</x:v>
      </x:c>
      <x:c r="D61" s="10" t="str">
        <x:v>公会分成记录（平台管理员）</x:v>
      </x:c>
      <x:c r="E61" s="10" t="str">
        <x:v>功能需求</x:v>
      </x:c>
      <x:c r="F61" s="10" t="str">
        <x:v>P1</x:v>
      </x:c>
      <x:c r="G61" s="9" t="str">
        <x:v>验证公会导入操作人快照</x:v>
      </x:c>
      <x:c r="H61" s="9" t="str">
        <x:v>财务操作留痕</x:v>
      </x:c>
      <x:c r="I61" s="9" t="str">
        <x:v>1. 当前执行账号具有管理后台会话，身份为平台管理员；具体账号及权限变化按以下条件准备
2. 当前后台账号为财务A，文件A数据有效</x:v>
      </x:c>
      <x:c r="J61" s="9" t="str">
        <x:v>1. 打开公会分成记录
2. 点击“上传”
3. 上传文件A.csv
4. 输入备注“测试”
5. 点击“确认上传”
6. 点击“确认导入”</x:v>
      </x:c>
      <x:c r="K61" s="9" t="str">
        <x:v>上传人记录为财务A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来源（当前证据）：liveshow-proto/MainBasis/统一需求文档.md；位置：第2909行、第2899行、第2900行
2. 规则：BR-c748a21c013e7b06
3. 未动态验证</x:v>
      </x:c>
    </x:row>
    <x:row r="62" ht="85" customHeight="1">
      <x:c r="A62" s="10" t="n">
        <x:v>61</x:v>
      </x:c>
      <x:c r="B62" s="10" t="str">
        <x:v>ADMIN-0061</x:v>
      </x:c>
      <x:c r="C62" s="10" t="str">
        <x:v>财务结算</x:v>
      </x:c>
      <x:c r="D62" s="10" t="str">
        <x:v>公会分成记录（平台管理员）</x:v>
      </x:c>
      <x:c r="E62" s="10" t="str">
        <x:v>功能需求</x:v>
      </x:c>
      <x:c r="F62" s="10" t="str">
        <x:v>P1</x:v>
      </x:c>
      <x:c r="G62" s="9" t="str">
        <x:v>验证公会下载导入模板</x:v>
      </x:c>
      <x:c r="H62" s="9" t="str">
        <x:v>分成模板内容</x:v>
      </x:c>
      <x:c r="I62" s="9" t="str">
        <x:v>1. 当前执行账号具有管理后台会话，身份为平台管理员；具体账号及权限变化按以下条件准备</x:v>
      </x:c>
      <x:c r="J62" s="9" t="str">
        <x:v>1. 打开公会分成记录
2. 点击“上传”
3. 点击“下载模板”</x:v>
      </x:c>
      <x:c r="K62" s="9" t="str">
        <x:v>CSV首行依次为公会名称、公会ID、分成金额(USD)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来源（当前证据）：liveshow-proto/MainBasis/统一需求文档.md；位置：第2901行、第2899行、第2900行
2. 规则：BR-2e5a60e1b8fca2d7
3. 未动态验证</x:v>
      </x:c>
    </x:row>
    <x:row r="63" ht="115" customHeight="1">
      <x:c r="A63" s="10" t="n">
        <x:v>62</x:v>
      </x:c>
      <x:c r="B63" s="10" t="str">
        <x:v>ADMIN-0062</x:v>
      </x:c>
      <x:c r="C63" s="10" t="str">
        <x:v>财务结算</x:v>
      </x:c>
      <x:c r="D63" s="10" t="str">
        <x:v>公会分成记录（平台管理员）</x:v>
      </x:c>
      <x:c r="E63" s="10" t="str">
        <x:v>功能需求</x:v>
      </x:c>
      <x:c r="F63" s="10" t="str">
        <x:v>P1</x:v>
      </x:c>
      <x:c r="G63" s="9" t="str">
        <x:v>验证公会上传日期开始日</x:v>
      </x:c>
      <x:c r="H63" s="9" t="str">
        <x:v>上传日期边界</x:v>
      </x:c>
      <x:c r="I63" s="9" t="str">
        <x:v>1. 当前执行账号具有管理后台会话，身份为平台管理员；具体账号及权限变化按以下条件准备
2. 筛选范围2026-09-01至2026-09-14
3. 批次A上传时间处于开始日</x:v>
      </x:c>
      <x:c r="J63" s="9" t="str">
        <x:v>1. 打开公会分成记录
2. 选择上传日期2026-09-01至2026-09-14
3. 点击“查询”</x:v>
      </x:c>
      <x:c r="K63" s="9" t="str">
        <x:v>结果包含批次A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来源（当前证据）：liveshow-proto/MainBasis/统一需求文档.md；位置：第2902行、第2899行、第2900行
2. 规则：BR-954e8e5f50291f2a
3. 未动态验证</x:v>
      </x:c>
    </x:row>
    <x:row r="64" ht="115" customHeight="1">
      <x:c r="A64" s="10" t="n">
        <x:v>63</x:v>
      </x:c>
      <x:c r="B64" s="10" t="str">
        <x:v>ADMIN-0063</x:v>
      </x:c>
      <x:c r="C64" s="10" t="str">
        <x:v>财务结算</x:v>
      </x:c>
      <x:c r="D64" s="10" t="str">
        <x:v>公会分成记录（平台管理员）</x:v>
      </x:c>
      <x:c r="E64" s="10" t="str">
        <x:v>功能需求</x:v>
      </x:c>
      <x:c r="F64" s="10" t="str">
        <x:v>P1</x:v>
      </x:c>
      <x:c r="G64" s="9" t="str">
        <x:v>验证公会上传日期区间内</x:v>
      </x:c>
      <x:c r="H64" s="9" t="str">
        <x:v>上传日期边界</x:v>
      </x:c>
      <x:c r="I64" s="9" t="str">
        <x:v>1. 当前执行账号具有管理后台会话，身份为平台管理员；具体账号及权限变化按以下条件准备
2. 筛选范围2026-09-01至2026-09-14
3. 批次A上传时间处于区间内</x:v>
      </x:c>
      <x:c r="J64" s="9" t="str">
        <x:v>1. 打开公会分成记录
2. 选择上传日期2026-09-01至2026-09-14
3. 点击“查询”</x:v>
      </x:c>
      <x:c r="K64" s="9" t="str">
        <x:v>结果包含批次A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来源（当前证据）：liveshow-proto/MainBasis/统一需求文档.md；位置：第2902行、第2899行、第2900行
2. 规则：BR-782d7b6117bf23b1
3. 未动态验证</x:v>
      </x:c>
    </x:row>
    <x:row r="65" ht="115" customHeight="1">
      <x:c r="A65" s="10" t="n">
        <x:v>64</x:v>
      </x:c>
      <x:c r="B65" s="10" t="str">
        <x:v>ADMIN-0064</x:v>
      </x:c>
      <x:c r="C65" s="10" t="str">
        <x:v>财务结算</x:v>
      </x:c>
      <x:c r="D65" s="10" t="str">
        <x:v>公会分成记录（平台管理员）</x:v>
      </x:c>
      <x:c r="E65" s="10" t="str">
        <x:v>功能需求</x:v>
      </x:c>
      <x:c r="F65" s="10" t="str">
        <x:v>P1</x:v>
      </x:c>
      <x:c r="G65" s="9" t="str">
        <x:v>验证公会上传日期结束日</x:v>
      </x:c>
      <x:c r="H65" s="9" t="str">
        <x:v>上传日期边界</x:v>
      </x:c>
      <x:c r="I65" s="9" t="str">
        <x:v>1. 当前执行账号具有管理后台会话，身份为平台管理员；具体账号及权限变化按以下条件准备
2. 筛选范围2026-09-01至2026-09-14
3. 批次A上传时间处于结束日</x:v>
      </x:c>
      <x:c r="J65" s="9" t="str">
        <x:v>1. 打开公会分成记录
2. 选择上传日期2026-09-01至2026-09-14
3. 点击“查询”</x:v>
      </x:c>
      <x:c r="K65" s="9" t="str">
        <x:v>结果包含批次A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来源（当前证据）：liveshow-proto/MainBasis/统一需求文档.md；位置：第2902行、第2899行、第2900行
2. 规则：BR-e9e96fb52313f186
3. 未动态验证</x:v>
      </x:c>
    </x:row>
    <x:row r="66" ht="130" customHeight="1">
      <x:c r="A66" s="10" t="n">
        <x:v>65</x:v>
      </x:c>
      <x:c r="B66" s="10" t="str">
        <x:v>ADMIN-0065</x:v>
      </x:c>
      <x:c r="C66" s="10" t="str">
        <x:v>财务结算</x:v>
      </x:c>
      <x:c r="D66" s="10" t="str">
        <x:v>公会分成记录（平台管理员）</x:v>
      </x:c>
      <x:c r="E66" s="10" t="str">
        <x:v>功能需求</x:v>
      </x:c>
      <x:c r="F66" s="10" t="str">
        <x:v>P1</x:v>
      </x:c>
      <x:c r="G66" s="9" t="str">
        <x:v>验证公会上传日期开始日前</x:v>
      </x:c>
      <x:c r="H66" s="9" t="str">
        <x:v>上传日期边界</x:v>
      </x:c>
      <x:c r="I66" s="9" t="str">
        <x:v>1. 当前执行账号具有管理后台会话，身份为平台管理员；具体账号及权限变化按以下条件准备
2. 筛选范围2026-09-01至2026-09-14
3. 批次A上传时间处于开始日前</x:v>
      </x:c>
      <x:c r="J66" s="9" t="str">
        <x:v>1. 打开公会分成记录
2. 选择上传日期2026-09-01至2026-09-14
3. 点击“查询”</x:v>
      </x:c>
      <x:c r="K66" s="9" t="str">
        <x:v>结果不包含批次A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来源（当前证据）：liveshow-proto/MainBasis/统一需求文档.md；位置：第2902行、第2899行、第2900行
2. 规则：BR-7b6ce2fb142cd72d
3. 未动态验证</x:v>
      </x:c>
    </x:row>
    <x:row r="67" ht="130" customHeight="1">
      <x:c r="A67" s="10" t="n">
        <x:v>66</x:v>
      </x:c>
      <x:c r="B67" s="10" t="str">
        <x:v>ADMIN-0066</x:v>
      </x:c>
      <x:c r="C67" s="10" t="str">
        <x:v>财务结算</x:v>
      </x:c>
      <x:c r="D67" s="10" t="str">
        <x:v>公会分成记录（平台管理员）</x:v>
      </x:c>
      <x:c r="E67" s="10" t="str">
        <x:v>功能需求</x:v>
      </x:c>
      <x:c r="F67" s="10" t="str">
        <x:v>P1</x:v>
      </x:c>
      <x:c r="G67" s="9" t="str">
        <x:v>验证公会上传日期结束日后</x:v>
      </x:c>
      <x:c r="H67" s="9" t="str">
        <x:v>上传日期边界</x:v>
      </x:c>
      <x:c r="I67" s="9" t="str">
        <x:v>1. 当前执行账号具有管理后台会话，身份为平台管理员；具体账号及权限变化按以下条件准备
2. 筛选范围2026-09-01至2026-09-14
3. 批次A上传时间处于结束日后</x:v>
      </x:c>
      <x:c r="J67" s="9" t="str">
        <x:v>1. 打开公会分成记录
2. 选择上传日期2026-09-01至2026-09-14
3. 点击“查询”</x:v>
      </x:c>
      <x:c r="K67" s="9" t="str">
        <x:v>结果不包含批次A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来源（当前证据）：liveshow-proto/MainBasis/统一需求文档.md；位置：第2902行、第2899行、第2900行
2. 规则：BR-cfd404257cbccc3a
3. 未动态验证</x:v>
      </x:c>
    </x:row>
    <x:row r="68" ht="85" customHeight="1">
      <x:c r="A68" s="10" t="n">
        <x:v>67</x:v>
      </x:c>
      <x:c r="B68" s="10" t="str">
        <x:v>ADMIN-0067</x:v>
      </x:c>
      <x:c r="C68" s="10" t="str">
        <x:v>财务结算</x:v>
      </x:c>
      <x:c r="D68" s="10" t="str">
        <x:v>公会分成记录（平台管理员）</x:v>
      </x:c>
      <x:c r="E68" s="10" t="str">
        <x:v>功能需求</x:v>
      </x:c>
      <x:c r="F68" s="10" t="str">
        <x:v>P1</x:v>
      </x:c>
      <x:c r="G68" s="9" t="str">
        <x:v>验证公会上传日期反序</x:v>
      </x:c>
      <x:c r="H68" s="9" t="str">
        <x:v>上传日期合法性</x:v>
      </x:c>
      <x:c r="I68" s="9" t="str">
        <x:v>1. 当前执行账号具有管理后台会话，身份为平台管理员；具体账号及权限变化按以下条件准备</x:v>
      </x:c>
      <x:c r="J68" s="9" t="str">
        <x:v>1. 打开公会分成记录
2. 选择开始日2026-09-14、结束日2026-09-01
3. 点击“查询”</x:v>
      </x:c>
      <x:c r="K68" s="9" t="str">
        <x:v>显示“结束日期不能早于开始日期”</x:v>
      </x:c>
      <x:c r="L68" s="10" t="str"/>
      <x:c r="M68" s="10" t="str">
        <x:v>未测</x:v>
      </x:c>
      <x:c r="N68" s="10" t="str"/>
      <x:c r="O68" s="9" t="str">
        <x:v>1. 来源（当前证据）：liveshow-proto/MainBasis/统一需求文档.md；位置：第2902行、第2899行、第2900行
2. 规则：BR-e22cb897b87fd6fb
3. 未动态验证</x:v>
      </x:c>
    </x:row>
    <x:row r="69" ht="100" customHeight="1">
      <x:c r="A69" s="10" t="n">
        <x:v>68</x:v>
      </x:c>
      <x:c r="B69" s="10" t="str">
        <x:v>ADMIN-0068</x:v>
      </x:c>
      <x:c r="C69" s="10" t="str">
        <x:v>财务结算</x:v>
      </x:c>
      <x:c r="D69" s="10" t="str">
        <x:v>余额变更记录（平台管理员）</x:v>
      </x:c>
      <x:c r="E69" s="10" t="str">
        <x:v>业务流程</x:v>
      </x:c>
      <x:c r="F69" s="10" t="str">
        <x:v>P0</x:v>
      </x:c>
      <x:c r="G69" s="9" t="str">
        <x:v>验证主播余额100时修正-100.01USD</x:v>
      </x:c>
      <x:c r="H69" s="9" t="str">
        <x:v>手工修正金额边界</x:v>
      </x:c>
      <x:c r="I69" s="9" t="str">
        <x:v>1. 当前执行账号具有管理后台会话，身份为平台管理员；具体账号及权限变化按以下条件准备
2. 主播A当前余额100USD，备注“测试修正”</x:v>
      </x:c>
      <x:c r="J69" s="9" t="str">
        <x:v>1. 打开主播A的余额变更记录
2. 点击“余额变更”
3. 输入变更金额“-100.01”
4. 输入备注“测试修正”
5. 点击“确认”</x:v>
      </x:c>
      <x:c r="K69" s="9" t="str">
        <x:v>不生成非法金额的修正流水</x:v>
      </x:c>
      <x:c r="L69" s="10" t="str">
        <x:v>FLOW-SETTLEMENT-ADJUST</x:v>
      </x:c>
      <x:c r="M69" s="10" t="str">
        <x:v>未测</x:v>
      </x:c>
      <x:c r="N69" s="10" t="str"/>
      <x:c r="O69" s="9" t="str">
        <x:v>1. 来源（当前证据）：liveshow-proto/MainBasis/统一需求文档.md；位置：第2890行、第2894行、第2885行、第2886行
2. 规则：BR-027ff46b1960f070
3. 未动态验证</x:v>
      </x:c>
    </x:row>
    <x:row r="70" ht="100" customHeight="1">
      <x:c r="A70" s="10" t="n">
        <x:v>69</x:v>
      </x:c>
      <x:c r="B70" s="10" t="str">
        <x:v>ADMIN-0069</x:v>
      </x:c>
      <x:c r="C70" s="10" t="str">
        <x:v>财务结算</x:v>
      </x:c>
      <x:c r="D70" s="10" t="str">
        <x:v>余额变更记录（平台管理员）</x:v>
      </x:c>
      <x:c r="E70" s="10" t="str">
        <x:v>逻辑校验</x:v>
      </x:c>
      <x:c r="F70" s="10" t="str">
        <x:v>P0</x:v>
      </x:c>
      <x:c r="G70" s="9" t="str">
        <x:v>验证主播余额100时修正-100USD</x:v>
      </x:c>
      <x:c r="H70" s="9" t="str">
        <x:v>手工修正金额边界</x:v>
      </x:c>
      <x:c r="I70" s="9" t="str">
        <x:v>1. 当前执行账号具有管理后台会话，身份为平台管理员；具体账号及权限变化按以下条件准备
2. 主播A当前余额100USD，备注“测试修正”</x:v>
      </x:c>
      <x:c r="J70" s="9" t="str">
        <x:v>1. 打开主播A的余额变更记录
2. 点击“余额变更”
3. 输入变更金额“-100”
4. 输入备注“测试修正”
5. 点击“确认”</x:v>
      </x:c>
      <x:c r="K70" s="9" t="str">
        <x:v>变更后余额=0USD</x:v>
      </x:c>
      <x:c r="L70" s="10" t="str">
        <x:v>FLOW-SETTLEMENT-ADJUST</x:v>
      </x:c>
      <x:c r="M70" s="10" t="str">
        <x:v>未测</x:v>
      </x:c>
      <x:c r="N70" s="10" t="str"/>
      <x:c r="O70" s="9" t="str">
        <x:v>1. 来源（当前证据）：liveshow-proto/MainBasis/统一需求文档.md；位置：第2890行、第2894行、第2885行、第2886行
2. 规则：BR-42070aaf76d2925f
3. 未动态验证</x:v>
      </x:c>
    </x:row>
    <x:row r="71" ht="100" customHeight="1">
      <x:c r="A71" s="10" t="n">
        <x:v>70</x:v>
      </x:c>
      <x:c r="B71" s="10" t="str">
        <x:v>ADMIN-0070</x:v>
      </x:c>
      <x:c r="C71" s="10" t="str">
        <x:v>财务结算</x:v>
      </x:c>
      <x:c r="D71" s="10" t="str">
        <x:v>余额变更记录（平台管理员）</x:v>
      </x:c>
      <x:c r="E71" s="10" t="str">
        <x:v>逻辑校验</x:v>
      </x:c>
      <x:c r="F71" s="10" t="str">
        <x:v>P0</x:v>
      </x:c>
      <x:c r="G71" s="9" t="str">
        <x:v>验证主播余额100时修正-99.99USD</x:v>
      </x:c>
      <x:c r="H71" s="9" t="str">
        <x:v>手工修正金额边界</x:v>
      </x:c>
      <x:c r="I71" s="9" t="str">
        <x:v>1. 当前执行账号具有管理后台会话，身份为平台管理员；具体账号及权限变化按以下条件准备
2. 主播A当前余额100USD，备注“测试修正”</x:v>
      </x:c>
      <x:c r="J71" s="9" t="str">
        <x:v>1. 打开主播A的余额变更记录
2. 点击“余额变更”
3. 输入变更金额“-99.99”
4. 输入备注“测试修正”
5. 点击“确认”</x:v>
      </x:c>
      <x:c r="K71" s="9" t="str">
        <x:v>变更后余额=0.01USD</x:v>
      </x:c>
      <x:c r="L71" s="10" t="str">
        <x:v>FLOW-SETTLEMENT-ADJUST</x:v>
      </x:c>
      <x:c r="M71" s="10" t="str">
        <x:v>未测</x:v>
      </x:c>
      <x:c r="N71" s="10" t="str"/>
      <x:c r="O71" s="9" t="str">
        <x:v>1. 来源（当前证据）：liveshow-proto/MainBasis/统一需求文档.md；位置：第2890行、第2894行、第2885行、第2886行
2. 规则：BR-f739ca2d9bc18c70
3. 未动态验证</x:v>
      </x:c>
    </x:row>
    <x:row r="72" ht="100" customHeight="1">
      <x:c r="A72" s="10" t="n">
        <x:v>71</x:v>
      </x:c>
      <x:c r="B72" s="10" t="str">
        <x:v>ADMIN-0071</x:v>
      </x:c>
      <x:c r="C72" s="10" t="str">
        <x:v>财务结算</x:v>
      </x:c>
      <x:c r="D72" s="10" t="str">
        <x:v>余额变更记录（平台管理员）</x:v>
      </x:c>
      <x:c r="E72" s="10" t="str">
        <x:v>逻辑校验</x:v>
      </x:c>
      <x:c r="F72" s="10" t="str">
        <x:v>P0</x:v>
      </x:c>
      <x:c r="G72" s="9" t="str">
        <x:v>验证主播余额100时修正-0.01USD</x:v>
      </x:c>
      <x:c r="H72" s="9" t="str">
        <x:v>手工修正金额边界</x:v>
      </x:c>
      <x:c r="I72" s="9" t="str">
        <x:v>1. 当前执行账号具有管理后台会话，身份为平台管理员；具体账号及权限变化按以下条件准备
2. 主播A当前余额100USD，备注“测试修正”</x:v>
      </x:c>
      <x:c r="J72" s="9" t="str">
        <x:v>1. 打开主播A的余额变更记录
2. 点击“余额变更”
3. 输入变更金额“-0.01”
4. 输入备注“测试修正”
5. 点击“确认”</x:v>
      </x:c>
      <x:c r="K72" s="9" t="str">
        <x:v>变更后余额=99.99USD</x:v>
      </x:c>
      <x:c r="L72" s="10" t="str">
        <x:v>FLOW-SETTLEMENT-ADJUST</x:v>
      </x:c>
      <x:c r="M72" s="10" t="str">
        <x:v>未测</x:v>
      </x:c>
      <x:c r="N72" s="10" t="str"/>
      <x:c r="O72" s="9" t="str">
        <x:v>1. 来源（当前证据）：liveshow-proto/MainBasis/统一需求文档.md；位置：第2890行、第2894行、第2885行、第2886行
2. 规则：BR-a29efd2161775f9e
3. 未动态验证</x:v>
      </x:c>
    </x:row>
    <x:row r="73" ht="100" customHeight="1">
      <x:c r="A73" s="10" t="n">
        <x:v>72</x:v>
      </x:c>
      <x:c r="B73" s="10" t="str">
        <x:v>ADMIN-0072</x:v>
      </x:c>
      <x:c r="C73" s="10" t="str">
        <x:v>财务结算</x:v>
      </x:c>
      <x:c r="D73" s="10" t="str">
        <x:v>余额变更记录（平台管理员）</x:v>
      </x:c>
      <x:c r="E73" s="10" t="str">
        <x:v>业务流程</x:v>
      </x:c>
      <x:c r="F73" s="10" t="str">
        <x:v>P0</x:v>
      </x:c>
      <x:c r="G73" s="9" t="str">
        <x:v>验证主播余额100时修正0USD</x:v>
      </x:c>
      <x:c r="H73" s="9" t="str">
        <x:v>手工修正金额边界</x:v>
      </x:c>
      <x:c r="I73" s="9" t="str">
        <x:v>1. 当前执行账号具有管理后台会话，身份为平台管理员；具体账号及权限变化按以下条件准备
2. 主播A当前余额100USD，备注“测试修正”</x:v>
      </x:c>
      <x:c r="J73" s="9" t="str">
        <x:v>1. 打开主播A的余额变更记录
2. 点击“余额变更”
3. 输入变更金额“0”
4. 输入备注“测试修正”
5. 点击“确认”</x:v>
      </x:c>
      <x:c r="K73" s="9" t="str">
        <x:v>不生成非法金额的修正流水</x:v>
      </x:c>
      <x:c r="L73" s="10" t="str">
        <x:v>FLOW-SETTLEMENT-ADJUST</x:v>
      </x:c>
      <x:c r="M73" s="10" t="str">
        <x:v>未测</x:v>
      </x:c>
      <x:c r="N73" s="10" t="str"/>
      <x:c r="O73" s="9" t="str">
        <x:v>1. 来源（当前证据）：liveshow-proto/MainBasis/统一需求文档.md；位置：第2890行、第2894行、第2885行、第2886行
2. 规则：BR-c5f23cf746759653
3. 未动态验证</x:v>
      </x:c>
    </x:row>
    <x:row r="74" ht="100" customHeight="1">
      <x:c r="A74" s="10" t="n">
        <x:v>73</x:v>
      </x:c>
      <x:c r="B74" s="10" t="str">
        <x:v>ADMIN-0073</x:v>
      </x:c>
      <x:c r="C74" s="10" t="str">
        <x:v>财务结算</x:v>
      </x:c>
      <x:c r="D74" s="10" t="str">
        <x:v>余额变更记录（平台管理员）</x:v>
      </x:c>
      <x:c r="E74" s="10" t="str">
        <x:v>逻辑校验</x:v>
      </x:c>
      <x:c r="F74" s="10" t="str">
        <x:v>P0</x:v>
      </x:c>
      <x:c r="G74" s="9" t="str">
        <x:v>验证主播余额100时修正0.01USD</x:v>
      </x:c>
      <x:c r="H74" s="9" t="str">
        <x:v>手工修正金额边界</x:v>
      </x:c>
      <x:c r="I74" s="9" t="str">
        <x:v>1. 当前执行账号具有管理后台会话，身份为平台管理员；具体账号及权限变化按以下条件准备
2. 主播A当前余额100USD，备注“测试修正”</x:v>
      </x:c>
      <x:c r="J74" s="9" t="str">
        <x:v>1. 打开主播A的余额变更记录
2. 点击“余额变更”
3. 输入变更金额“0.01”
4. 输入备注“测试修正”
5. 点击“确认”</x:v>
      </x:c>
      <x:c r="K74" s="9" t="str">
        <x:v>变更后余额=100.01USD</x:v>
      </x:c>
      <x:c r="L74" s="10" t="str">
        <x:v>FLOW-SETTLEMENT-ADJUST</x:v>
      </x:c>
      <x:c r="M74" s="10" t="str">
        <x:v>未测</x:v>
      </x:c>
      <x:c r="N74" s="10" t="str"/>
      <x:c r="O74" s="9" t="str">
        <x:v>1. 来源（当前证据）：liveshow-proto/MainBasis/统一需求文档.md；位置：第2890行、第2894行、第2885行、第2886行
2. 规则：BR-0d6bdae00cf86344
3. 未动态验证</x:v>
      </x:c>
    </x:row>
    <x:row r="75" ht="100" customHeight="1">
      <x:c r="A75" s="10" t="n">
        <x:v>74</x:v>
      </x:c>
      <x:c r="B75" s="10" t="str">
        <x:v>ADMIN-0074</x:v>
      </x:c>
      <x:c r="C75" s="10" t="str">
        <x:v>财务结算</x:v>
      </x:c>
      <x:c r="D75" s="10" t="str">
        <x:v>余额变更记录（平台管理员）</x:v>
      </x:c>
      <x:c r="E75" s="10" t="str">
        <x:v>逻辑校验</x:v>
      </x:c>
      <x:c r="F75" s="10" t="str">
        <x:v>P0</x:v>
      </x:c>
      <x:c r="G75" s="9" t="str">
        <x:v>验证主播余额100时修正100USD</x:v>
      </x:c>
      <x:c r="H75" s="9" t="str">
        <x:v>手工修正金额边界</x:v>
      </x:c>
      <x:c r="I75" s="9" t="str">
        <x:v>1. 当前执行账号具有管理后台会话，身份为平台管理员；具体账号及权限变化按以下条件准备
2. 主播A当前余额100USD，备注“测试修正”</x:v>
      </x:c>
      <x:c r="J75" s="9" t="str">
        <x:v>1. 打开主播A的余额变更记录
2. 点击“余额变更”
3. 输入变更金额“100”
4. 输入备注“测试修正”
5. 点击“确认”</x:v>
      </x:c>
      <x:c r="K75" s="9" t="str">
        <x:v>变更后余额=200USD</x:v>
      </x:c>
      <x:c r="L75" s="10" t="str">
        <x:v>FLOW-SETTLEMENT-ADJUST</x:v>
      </x:c>
      <x:c r="M75" s="10" t="str">
        <x:v>未测</x:v>
      </x:c>
      <x:c r="N75" s="10" t="str"/>
      <x:c r="O75" s="9" t="str">
        <x:v>1. 来源（当前证据）：liveshow-proto/MainBasis/统一需求文档.md；位置：第2890行、第2894行、第2885行、第2886行
2. 规则：BR-546a072b4efde010
3. 未动态验证</x:v>
      </x:c>
    </x:row>
    <x:row r="76" ht="100" customHeight="1">
      <x:c r="A76" s="10" t="n">
        <x:v>75</x:v>
      </x:c>
      <x:c r="B76" s="10" t="str">
        <x:v>ADMIN-0075</x:v>
      </x:c>
      <x:c r="C76" s="10" t="str">
        <x:v>财务结算</x:v>
      </x:c>
      <x:c r="D76" s="10" t="str">
        <x:v>余额变更记录（平台管理员）</x:v>
      </x:c>
      <x:c r="E76" s="10" t="str">
        <x:v>业务流程</x:v>
      </x:c>
      <x:c r="F76" s="10" t="str">
        <x:v>P0</x:v>
      </x:c>
      <x:c r="G76" s="9" t="str">
        <x:v>验证主播余额100时修正1.001USD</x:v>
      </x:c>
      <x:c r="H76" s="9" t="str">
        <x:v>手工修正金额边界</x:v>
      </x:c>
      <x:c r="I76" s="9" t="str">
        <x:v>1. 当前执行账号具有管理后台会话，身份为平台管理员；具体账号及权限变化按以下条件准备
2. 主播A当前余额100USD，备注“测试修正”</x:v>
      </x:c>
      <x:c r="J76" s="9" t="str">
        <x:v>1. 打开主播A的余额变更记录
2. 点击“余额变更”
3. 输入变更金额“1.001”
4. 输入备注“测试修正”
5. 点击“确认”</x:v>
      </x:c>
      <x:c r="K76" s="9" t="str">
        <x:v>不生成非法金额的修正流水</x:v>
      </x:c>
      <x:c r="L76" s="10" t="str">
        <x:v>FLOW-SETTLEMENT-ADJUST</x:v>
      </x:c>
      <x:c r="M76" s="10" t="str">
        <x:v>未测</x:v>
      </x:c>
      <x:c r="N76" s="10" t="str"/>
      <x:c r="O76" s="9" t="str">
        <x:v>1. 来源（当前证据）：liveshow-proto/MainBasis/统一需求文档.md；位置：第2890行、第2894行、第2885行、第2886行
2. 规则：BR-4b80415e6194e794
3. 未动态验证</x:v>
      </x:c>
    </x:row>
    <x:row r="77" ht="115" customHeight="1">
      <x:c r="A77" s="10" t="n">
        <x:v>76</x:v>
      </x:c>
      <x:c r="B77" s="10" t="str">
        <x:v>ADMIN-0076</x:v>
      </x:c>
      <x:c r="C77" s="10" t="str">
        <x:v>财务结算</x:v>
      </x:c>
      <x:c r="D77" s="10" t="str">
        <x:v>余额变更记录（平台管理员）</x:v>
      </x:c>
      <x:c r="E77" s="10" t="str">
        <x:v>功能需求</x:v>
      </x:c>
      <x:c r="F77" s="10" t="str">
        <x:v>P0</x:v>
      </x:c>
      <x:c r="G77" s="9" t="str">
        <x:v>验证主播余额变更取消</x:v>
      </x:c>
      <x:c r="H77" s="9" t="str">
        <x:v>取消后的账户余额</x:v>
      </x:c>
      <x:c r="I77" s="9" t="str">
        <x:v>1. 当前执行账号具有管理后台会话，身份为平台管理员；具体账号及权限变化按以下条件准备
2. 主播A余额100USD，变更对话框已填写+10及备注，但尚未提交</x:v>
      </x:c>
      <x:c r="J77" s="9" t="str">
        <x:v>1. 点击“取消”</x:v>
      </x:c>
      <x:c r="K77" s="9" t="str">
        <x:v>A余额仍为100USD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来源（当前证据）：liveshow-proto/MainBasis/统一需求文档.md；位置：第2887行、第2885行、第2886行
2. 规则：BR-3311666381bd3918
3. 未动态验证</x:v>
      </x:c>
    </x:row>
    <x:row r="78" ht="115" customHeight="1">
      <x:c r="A78" s="10" t="n">
        <x:v>77</x:v>
      </x:c>
      <x:c r="B78" s="10" t="str">
        <x:v>ADMIN-0077</x:v>
      </x:c>
      <x:c r="C78" s="10" t="str">
        <x:v>财务结算</x:v>
      </x:c>
      <x:c r="D78" s="10" t="str">
        <x:v>余额变更记录（平台管理员）</x:v>
      </x:c>
      <x:c r="E78" s="10" t="str">
        <x:v>功能需求</x:v>
      </x:c>
      <x:c r="F78" s="10" t="str">
        <x:v>P0</x:v>
      </x:c>
      <x:c r="G78" s="9" t="str">
        <x:v>验证主播余额变更关闭</x:v>
      </x:c>
      <x:c r="H78" s="9" t="str">
        <x:v>余额变更取消</x:v>
      </x:c>
      <x:c r="I78" s="9" t="str">
        <x:v>1. 当前执行账号具有管理后台会话，身份为平台管理员；具体账号及权限变化按以下条件准备
2. 主播A余额100USD，变更对话框已填写+10及备注，但尚未提交</x:v>
      </x:c>
      <x:c r="J78" s="9" t="str">
        <x:v>1. 点击“关闭”</x:v>
      </x:c>
      <x:c r="K78" s="9" t="str">
        <x:v>A余额仍为100USD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来源（当前证据）：liveshow-proto/MainBasis/统一需求文档.md；位置：第2887行、第2885行、第2886行
2. 规则：BR-6e3effb5b00e210c
3. 未动态验证</x:v>
      </x:c>
    </x:row>
    <x:row r="79" ht="115" customHeight="1">
      <x:c r="A79" s="10" t="n">
        <x:v>78</x:v>
      </x:c>
      <x:c r="B79" s="10" t="str">
        <x:v>ADMIN-0078</x:v>
      </x:c>
      <x:c r="C79" s="10" t="str">
        <x:v>财务结算</x:v>
      </x:c>
      <x:c r="D79" s="10" t="str">
        <x:v>余额变更记录（平台管理员）</x:v>
      </x:c>
      <x:c r="E79" s="10" t="str">
        <x:v>功能需求</x:v>
      </x:c>
      <x:c r="F79" s="10" t="str">
        <x:v>P0</x:v>
      </x:c>
      <x:c r="G79" s="9" t="str">
        <x:v>验证主播余额变更遮罩</x:v>
      </x:c>
      <x:c r="H79" s="9" t="str">
        <x:v>余额变更取消</x:v>
      </x:c>
      <x:c r="I79" s="9" t="str">
        <x:v>1. 当前执行账号具有管理后台会话，身份为平台管理员；具体账号及权限变化按以下条件准备
2. 主播A余额100USD，变更对话框已填写+10及备注，但尚未提交</x:v>
      </x:c>
      <x:c r="J79" s="9" t="str">
        <x:v>1. 点击变更弹窗外遮罩</x:v>
      </x:c>
      <x:c r="K79" s="9" t="str">
        <x:v>A余额仍为100USD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来源（当前证据）：liveshow-proto/MainBasis/统一需求文档.md；位置：第2887行、第2885行、第2886行
2. 规则：BR-0486a0da6c007609
3. 未动态验证</x:v>
      </x:c>
    </x:row>
    <x:row r="80" ht="85" customHeight="1">
      <x:c r="A80" s="10" t="n">
        <x:v>79</x:v>
      </x:c>
      <x:c r="B80" s="10" t="str">
        <x:v>ADMIN-0079</x:v>
      </x:c>
      <x:c r="C80" s="10" t="str">
        <x:v>财务结算</x:v>
      </x:c>
      <x:c r="D80" s="10" t="str">
        <x:v>余额变更记录（平台管理员）</x:v>
      </x:c>
      <x:c r="E80" s="10" t="str">
        <x:v>功能需求</x:v>
      </x:c>
      <x:c r="F80" s="10" t="str">
        <x:v>P1</x:v>
      </x:c>
      <x:c r="G80" s="9" t="str">
        <x:v>验证主播修正原因必填</x:v>
      </x:c>
      <x:c r="H80" s="9" t="str">
        <x:v>余额修正留痕必填</x:v>
      </x:c>
      <x:c r="I80" s="9" t="str">
        <x:v>1. 当前执行账号具有管理后台会话，身份为平台管理员；具体账号及权限变化按以下条件准备
2. 主播A余额100USD</x:v>
      </x:c>
      <x:c r="J80" s="9" t="str">
        <x:v>1. 打开主播A余额变更记录
2. 点击“余额变更”
3. 输入金额“10”
4. 清空备注
5. 点击“确认”</x:v>
      </x:c>
      <x:c r="K80" s="9" t="str">
        <x:v>不生成缺少原因的修正流水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来源（当前证据）：liveshow-proto/MainBasis/统一需求文档.md；位置：第2892行、第2885行、第2886行
2. 规则：BR-51aa2da050effd2f
3. 未动态验证</x:v>
      </x:c>
    </x:row>
    <x:row r="81" ht="85" customHeight="1">
      <x:c r="A81" s="10" t="n">
        <x:v>80</x:v>
      </x:c>
      <x:c r="B81" s="10" t="str">
        <x:v>ADMIN-0080</x:v>
      </x:c>
      <x:c r="C81" s="10" t="str">
        <x:v>财务结算</x:v>
      </x:c>
      <x:c r="D81" s="10" t="str">
        <x:v>余额变更记录（平台管理员）</x:v>
      </x:c>
      <x:c r="E81" s="10" t="str">
        <x:v>功能需求</x:v>
      </x:c>
      <x:c r="F81" s="10" t="str">
        <x:v>P1</x:v>
      </x:c>
      <x:c r="G81" s="9" t="str">
        <x:v>验证主播修正流水不可改写</x:v>
      </x:c>
      <x:c r="H81" s="9" t="str">
        <x:v>修正流水不可变更</x:v>
      </x:c>
      <x:c r="I81" s="9" t="str">
        <x:v>1. 当前执行账号具有管理后台会话，身份为平台管理员；具体账号及权限变化按以下条件准备
2. 修正流水A已成功生成</x:v>
      </x:c>
      <x:c r="J81" s="9" t="str">
        <x:v>1. 打开主播A余额变更记录
2. 查看流水A</x:v>
      </x:c>
      <x:c r="K81" s="9" t="str">
        <x:v>不提供修改流水A的操作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来源（当前证据）：liveshow-proto/MainBasis/统一需求文档.md；位置：第2895行、第2885行、第2886行
2. 规则：BR-3b5245a39d5006a4
3. 未动态验证</x:v>
      </x:c>
    </x:row>
    <x:row r="82" ht="100" customHeight="1">
      <x:c r="A82" s="10" t="n">
        <x:v>81</x:v>
      </x:c>
      <x:c r="B82" s="10" t="str">
        <x:v>ADMIN-0081</x:v>
      </x:c>
      <x:c r="C82" s="10" t="str">
        <x:v>财务结算</x:v>
      </x:c>
      <x:c r="D82" s="10" t="str">
        <x:v>余额变更记录（平台管理员）</x:v>
      </x:c>
      <x:c r="E82" s="10" t="str">
        <x:v>业务流程</x:v>
      </x:c>
      <x:c r="F82" s="10" t="str">
        <x:v>P0</x:v>
      </x:c>
      <x:c r="G82" s="9" t="str">
        <x:v>验证公会余额100时修正-100.01USD</x:v>
      </x:c>
      <x:c r="H82" s="9" t="str">
        <x:v>手工修正金额边界</x:v>
      </x:c>
      <x:c r="I82" s="9" t="str">
        <x:v>1. 当前执行账号具有管理后台会话，身份为平台管理员；具体账号及权限变化按以下条件准备
2. 公会A当前余额100USD，备注“测试修正”</x:v>
      </x:c>
      <x:c r="J82" s="9" t="str">
        <x:v>1. 打开公会A的余额变更记录
2. 点击“余额变更”
3. 输入变更金额“-100.01”
4. 输入备注“测试修正”
5. 点击“确认”</x:v>
      </x:c>
      <x:c r="K82" s="9" t="str">
        <x:v>不生成非法金额的修正流水</x:v>
      </x:c>
      <x:c r="L82" s="10" t="str">
        <x:v>FLOW-SETTLEMENT-ADJUST</x:v>
      </x:c>
      <x:c r="M82" s="10" t="str">
        <x:v>未测</x:v>
      </x:c>
      <x:c r="N82" s="10" t="str"/>
      <x:c r="O82" s="9" t="str">
        <x:v>1. 来源（当前证据）：liveshow-proto/MainBasis/统一需求文档.md；位置：第2940行、第2944行、第2935行、第2936行
2. 规则：BR-da1e6608c7e045cc
3. 未动态验证</x:v>
      </x:c>
    </x:row>
    <x:row r="83" ht="100" customHeight="1">
      <x:c r="A83" s="10" t="n">
        <x:v>82</x:v>
      </x:c>
      <x:c r="B83" s="10" t="str">
        <x:v>ADMIN-0082</x:v>
      </x:c>
      <x:c r="C83" s="10" t="str">
        <x:v>财务结算</x:v>
      </x:c>
      <x:c r="D83" s="10" t="str">
        <x:v>余额变更记录（平台管理员）</x:v>
      </x:c>
      <x:c r="E83" s="10" t="str">
        <x:v>逻辑校验</x:v>
      </x:c>
      <x:c r="F83" s="10" t="str">
        <x:v>P0</x:v>
      </x:c>
      <x:c r="G83" s="9" t="str">
        <x:v>验证公会余额100时修正-100USD</x:v>
      </x:c>
      <x:c r="H83" s="9" t="str">
        <x:v>手工修正金额边界</x:v>
      </x:c>
      <x:c r="I83" s="9" t="str">
        <x:v>1. 当前执行账号具有管理后台会话，身份为平台管理员；具体账号及权限变化按以下条件准备
2. 公会A当前余额100USD，备注“测试修正”</x:v>
      </x:c>
      <x:c r="J83" s="9" t="str">
        <x:v>1. 打开公会A的余额变更记录
2. 点击“余额变更”
3. 输入变更金额“-100”
4. 输入备注“测试修正”
5. 点击“确认”</x:v>
      </x:c>
      <x:c r="K83" s="9" t="str">
        <x:v>变更后余额=0USD</x:v>
      </x:c>
      <x:c r="L83" s="10" t="str">
        <x:v>FLOW-SETTLEMENT-ADJUST</x:v>
      </x:c>
      <x:c r="M83" s="10" t="str">
        <x:v>未测</x:v>
      </x:c>
      <x:c r="N83" s="10" t="str"/>
      <x:c r="O83" s="9" t="str">
        <x:v>1. 来源（当前证据）：liveshow-proto/MainBasis/统一需求文档.md；位置：第2940行、第2944行、第2935行、第2936行
2. 规则：BR-7fa443308f2c46a3
3. 未动态验证</x:v>
      </x:c>
    </x:row>
    <x:row r="84" ht="100" customHeight="1">
      <x:c r="A84" s="10" t="n">
        <x:v>83</x:v>
      </x:c>
      <x:c r="B84" s="10" t="str">
        <x:v>ADMIN-0083</x:v>
      </x:c>
      <x:c r="C84" s="10" t="str">
        <x:v>财务结算</x:v>
      </x:c>
      <x:c r="D84" s="10" t="str">
        <x:v>余额变更记录（平台管理员）</x:v>
      </x:c>
      <x:c r="E84" s="10" t="str">
        <x:v>逻辑校验</x:v>
      </x:c>
      <x:c r="F84" s="10" t="str">
        <x:v>P0</x:v>
      </x:c>
      <x:c r="G84" s="9" t="str">
        <x:v>验证公会余额100时修正-99.99USD</x:v>
      </x:c>
      <x:c r="H84" s="9" t="str">
        <x:v>手工修正金额边界</x:v>
      </x:c>
      <x:c r="I84" s="9" t="str">
        <x:v>1. 当前执行账号具有管理后台会话，身份为平台管理员；具体账号及权限变化按以下条件准备
2. 公会A当前余额100USD，备注“测试修正”</x:v>
      </x:c>
      <x:c r="J84" s="9" t="str">
        <x:v>1. 打开公会A的余额变更记录
2. 点击“余额变更”
3. 输入变更金额“-99.99”
4. 输入备注“测试修正”
5. 点击“确认”</x:v>
      </x:c>
      <x:c r="K84" s="9" t="str">
        <x:v>变更后余额=0.01USD</x:v>
      </x:c>
      <x:c r="L84" s="10" t="str">
        <x:v>FLOW-SETTLEMENT-ADJUST</x:v>
      </x:c>
      <x:c r="M84" s="10" t="str">
        <x:v>未测</x:v>
      </x:c>
      <x:c r="N84" s="10" t="str"/>
      <x:c r="O84" s="9" t="str">
        <x:v>1. 来源（当前证据）：liveshow-proto/MainBasis/统一需求文档.md；位置：第2940行、第2944行、第2935行、第2936行
2. 规则：BR-9161f6ccd8906423
3. 未动态验证</x:v>
      </x:c>
    </x:row>
    <x:row r="85" ht="100" customHeight="1">
      <x:c r="A85" s="10" t="n">
        <x:v>84</x:v>
      </x:c>
      <x:c r="B85" s="10" t="str">
        <x:v>ADMIN-0084</x:v>
      </x:c>
      <x:c r="C85" s="10" t="str">
        <x:v>财务结算</x:v>
      </x:c>
      <x:c r="D85" s="10" t="str">
        <x:v>余额变更记录（平台管理员）</x:v>
      </x:c>
      <x:c r="E85" s="10" t="str">
        <x:v>逻辑校验</x:v>
      </x:c>
      <x:c r="F85" s="10" t="str">
        <x:v>P0</x:v>
      </x:c>
      <x:c r="G85" s="9" t="str">
        <x:v>验证公会余额100时修正-0.01USD</x:v>
      </x:c>
      <x:c r="H85" s="9" t="str">
        <x:v>手工修正金额边界</x:v>
      </x:c>
      <x:c r="I85" s="9" t="str">
        <x:v>1. 当前执行账号具有管理后台会话，身份为平台管理员；具体账号及权限变化按以下条件准备
2. 公会A当前余额100USD，备注“测试修正”</x:v>
      </x:c>
      <x:c r="J85" s="9" t="str">
        <x:v>1. 打开公会A的余额变更记录
2. 点击“余额变更”
3. 输入变更金额“-0.01”
4. 输入备注“测试修正”
5. 点击“确认”</x:v>
      </x:c>
      <x:c r="K85" s="9" t="str">
        <x:v>变更后余额=99.99USD</x:v>
      </x:c>
      <x:c r="L85" s="10" t="str">
        <x:v>FLOW-SETTLEMENT-ADJUST</x:v>
      </x:c>
      <x:c r="M85" s="10" t="str">
        <x:v>未测</x:v>
      </x:c>
      <x:c r="N85" s="10" t="str"/>
      <x:c r="O85" s="9" t="str">
        <x:v>1. 来源（当前证据）：liveshow-proto/MainBasis/统一需求文档.md；位置：第2940行、第2944行、第2935行、第2936行
2. 规则：BR-301b0f1168d350a2
3. 未动态验证</x:v>
      </x:c>
    </x:row>
    <x:row r="86" ht="100" customHeight="1">
      <x:c r="A86" s="10" t="n">
        <x:v>85</x:v>
      </x:c>
      <x:c r="B86" s="10" t="str">
        <x:v>ADMIN-0085</x:v>
      </x:c>
      <x:c r="C86" s="10" t="str">
        <x:v>财务结算</x:v>
      </x:c>
      <x:c r="D86" s="10" t="str">
        <x:v>余额变更记录（平台管理员）</x:v>
      </x:c>
      <x:c r="E86" s="10" t="str">
        <x:v>业务流程</x:v>
      </x:c>
      <x:c r="F86" s="10" t="str">
        <x:v>P0</x:v>
      </x:c>
      <x:c r="G86" s="9" t="str">
        <x:v>验证公会余额100时修正0USD</x:v>
      </x:c>
      <x:c r="H86" s="9" t="str">
        <x:v>手工修正金额边界</x:v>
      </x:c>
      <x:c r="I86" s="9" t="str">
        <x:v>1. 当前执行账号具有管理后台会话，身份为平台管理员；具体账号及权限变化按以下条件准备
2. 公会A当前余额100USD，备注“测试修正”</x:v>
      </x:c>
      <x:c r="J86" s="9" t="str">
        <x:v>1. 打开公会A的余额变更记录
2. 点击“余额变更”
3. 输入变更金额“0”
4. 输入备注“测试修正”
5. 点击“确认”</x:v>
      </x:c>
      <x:c r="K86" s="9" t="str">
        <x:v>不生成非法金额的修正流水</x:v>
      </x:c>
      <x:c r="L86" s="10" t="str">
        <x:v>FLOW-SETTLEMENT-ADJUST</x:v>
      </x:c>
      <x:c r="M86" s="10" t="str">
        <x:v>未测</x:v>
      </x:c>
      <x:c r="N86" s="10" t="str"/>
      <x:c r="O86" s="9" t="str">
        <x:v>1. 来源（当前证据）：liveshow-proto/MainBasis/统一需求文档.md；位置：第2940行、第2944行、第2935行、第2936行
2. 规则：BR-11476e6c80a7cc3b
3. 未动态验证</x:v>
      </x:c>
    </x:row>
    <x:row r="87" ht="100" customHeight="1">
      <x:c r="A87" s="10" t="n">
        <x:v>86</x:v>
      </x:c>
      <x:c r="B87" s="10" t="str">
        <x:v>ADMIN-0086</x:v>
      </x:c>
      <x:c r="C87" s="10" t="str">
        <x:v>财务结算</x:v>
      </x:c>
      <x:c r="D87" s="10" t="str">
        <x:v>余额变更记录（平台管理员）</x:v>
      </x:c>
      <x:c r="E87" s="10" t="str">
        <x:v>逻辑校验</x:v>
      </x:c>
      <x:c r="F87" s="10" t="str">
        <x:v>P0</x:v>
      </x:c>
      <x:c r="G87" s="9" t="str">
        <x:v>验证公会余额100时修正0.01USD</x:v>
      </x:c>
      <x:c r="H87" s="9" t="str">
        <x:v>手工修正金额边界</x:v>
      </x:c>
      <x:c r="I87" s="9" t="str">
        <x:v>1. 当前执行账号具有管理后台会话，身份为平台管理员；具体账号及权限变化按以下条件准备
2. 公会A当前余额100USD，备注“测试修正”</x:v>
      </x:c>
      <x:c r="J87" s="9" t="str">
        <x:v>1. 打开公会A的余额变更记录
2. 点击“余额变更”
3. 输入变更金额“0.01”
4. 输入备注“测试修正”
5. 点击“确认”</x:v>
      </x:c>
      <x:c r="K87" s="9" t="str">
        <x:v>变更后余额=100.01USD</x:v>
      </x:c>
      <x:c r="L87" s="10" t="str">
        <x:v>FLOW-SETTLEMENT-ADJUST</x:v>
      </x:c>
      <x:c r="M87" s="10" t="str">
        <x:v>未测</x:v>
      </x:c>
      <x:c r="N87" s="10" t="str"/>
      <x:c r="O87" s="9" t="str">
        <x:v>1. 来源（当前证据）：liveshow-proto/MainBasis/统一需求文档.md；位置：第2940行、第2944行、第2935行、第2936行
2. 规则：BR-f9ab0b434c6988c0
3. 未动态验证</x:v>
      </x:c>
    </x:row>
    <x:row r="88" ht="100" customHeight="1">
      <x:c r="A88" s="10" t="n">
        <x:v>87</x:v>
      </x:c>
      <x:c r="B88" s="10" t="str">
        <x:v>ADMIN-0087</x:v>
      </x:c>
      <x:c r="C88" s="10" t="str">
        <x:v>财务结算</x:v>
      </x:c>
      <x:c r="D88" s="10" t="str">
        <x:v>余额变更记录（平台管理员）</x:v>
      </x:c>
      <x:c r="E88" s="10" t="str">
        <x:v>逻辑校验</x:v>
      </x:c>
      <x:c r="F88" s="10" t="str">
        <x:v>P0</x:v>
      </x:c>
      <x:c r="G88" s="9" t="str">
        <x:v>验证公会余额100时修正100USD</x:v>
      </x:c>
      <x:c r="H88" s="9" t="str">
        <x:v>手工修正金额边界</x:v>
      </x:c>
      <x:c r="I88" s="9" t="str">
        <x:v>1. 当前执行账号具有管理后台会话，身份为平台管理员；具体账号及权限变化按以下条件准备
2. 公会A当前余额100USD，备注“测试修正”</x:v>
      </x:c>
      <x:c r="J88" s="9" t="str">
        <x:v>1. 打开公会A的余额变更记录
2. 点击“余额变更”
3. 输入变更金额“100”
4. 输入备注“测试修正”
5. 点击“确认”</x:v>
      </x:c>
      <x:c r="K88" s="9" t="str">
        <x:v>变更后余额=200USD</x:v>
      </x:c>
      <x:c r="L88" s="10" t="str">
        <x:v>FLOW-SETTLEMENT-ADJUST</x:v>
      </x:c>
      <x:c r="M88" s="10" t="str">
        <x:v>未测</x:v>
      </x:c>
      <x:c r="N88" s="10" t="str"/>
      <x:c r="O88" s="9" t="str">
        <x:v>1. 来源（当前证据）：liveshow-proto/MainBasis/统一需求文档.md；位置：第2940行、第2944行、第2935行、第2936行
2. 规则：BR-4050fd132a29f45a
3. 未动态验证</x:v>
      </x:c>
    </x:row>
    <x:row r="89" ht="100" customHeight="1">
      <x:c r="A89" s="10" t="n">
        <x:v>88</x:v>
      </x:c>
      <x:c r="B89" s="10" t="str">
        <x:v>ADMIN-0088</x:v>
      </x:c>
      <x:c r="C89" s="10" t="str">
        <x:v>财务结算</x:v>
      </x:c>
      <x:c r="D89" s="10" t="str">
        <x:v>余额变更记录（平台管理员）</x:v>
      </x:c>
      <x:c r="E89" s="10" t="str">
        <x:v>业务流程</x:v>
      </x:c>
      <x:c r="F89" s="10" t="str">
        <x:v>P0</x:v>
      </x:c>
      <x:c r="G89" s="9" t="str">
        <x:v>验证公会余额100时修正1.001USD</x:v>
      </x:c>
      <x:c r="H89" s="9" t="str">
        <x:v>手工修正金额边界</x:v>
      </x:c>
      <x:c r="I89" s="9" t="str">
        <x:v>1. 当前执行账号具有管理后台会话，身份为平台管理员；具体账号及权限变化按以下条件准备
2. 公会A当前余额100USD，备注“测试修正”</x:v>
      </x:c>
      <x:c r="J89" s="9" t="str">
        <x:v>1. 打开公会A的余额变更记录
2. 点击“余额变更”
3. 输入变更金额“1.001”
4. 输入备注“测试修正”
5. 点击“确认”</x:v>
      </x:c>
      <x:c r="K89" s="9" t="str">
        <x:v>不生成非法金额的修正流水</x:v>
      </x:c>
      <x:c r="L89" s="10" t="str">
        <x:v>FLOW-SETTLEMENT-ADJUST</x:v>
      </x:c>
      <x:c r="M89" s="10" t="str">
        <x:v>未测</x:v>
      </x:c>
      <x:c r="N89" s="10" t="str"/>
      <x:c r="O89" s="9" t="str">
        <x:v>1. 来源（当前证据）：liveshow-proto/MainBasis/统一需求文档.md；位置：第2940行、第2944行、第2935行、第2936行
2. 规则：BR-47e94574e2b356dd
3. 未动态验证</x:v>
      </x:c>
    </x:row>
    <x:row r="90" ht="115" customHeight="1">
      <x:c r="A90" s="10" t="n">
        <x:v>89</x:v>
      </x:c>
      <x:c r="B90" s="10" t="str">
        <x:v>ADMIN-0089</x:v>
      </x:c>
      <x:c r="C90" s="10" t="str">
        <x:v>财务结算</x:v>
      </x:c>
      <x:c r="D90" s="10" t="str">
        <x:v>余额变更记录（平台管理员）</x:v>
      </x:c>
      <x:c r="E90" s="10" t="str">
        <x:v>功能需求</x:v>
      </x:c>
      <x:c r="F90" s="10" t="str">
        <x:v>P0</x:v>
      </x:c>
      <x:c r="G90" s="9" t="str">
        <x:v>验证公会余额变更取消</x:v>
      </x:c>
      <x:c r="H90" s="9" t="str">
        <x:v>余额变更取消</x:v>
      </x:c>
      <x:c r="I90" s="9" t="str">
        <x:v>1. 当前执行账号具有管理后台会话，身份为平台管理员；具体账号及权限变化按以下条件准备
2. 公会A余额100USD，变更对话框已填写+10及备注，但尚未提交</x:v>
      </x:c>
      <x:c r="J90" s="9" t="str">
        <x:v>1. 点击“取消”</x:v>
      </x:c>
      <x:c r="K90" s="9" t="str">
        <x:v>A余额仍为100USD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来源（当前证据）：liveshow-proto/MainBasis/统一需求文档.md；位置：第2937行、第2935行、第2936行
2. 规则：BR-7ed968bd37800144
3. 未动态验证</x:v>
      </x:c>
    </x:row>
    <x:row r="91" ht="115" customHeight="1">
      <x:c r="A91" s="10" t="n">
        <x:v>90</x:v>
      </x:c>
      <x:c r="B91" s="10" t="str">
        <x:v>ADMIN-0090</x:v>
      </x:c>
      <x:c r="C91" s="10" t="str">
        <x:v>财务结算</x:v>
      </x:c>
      <x:c r="D91" s="10" t="str">
        <x:v>余额变更记录（平台管理员）</x:v>
      </x:c>
      <x:c r="E91" s="10" t="str">
        <x:v>功能需求</x:v>
      </x:c>
      <x:c r="F91" s="10" t="str">
        <x:v>P0</x:v>
      </x:c>
      <x:c r="G91" s="9" t="str">
        <x:v>验证公会余额变更关闭</x:v>
      </x:c>
      <x:c r="H91" s="9" t="str">
        <x:v>余额变更取消</x:v>
      </x:c>
      <x:c r="I91" s="9" t="str">
        <x:v>1. 当前执行账号具有管理后台会话，身份为平台管理员；具体账号及权限变化按以下条件准备
2. 公会A余额100USD，变更对话框已填写+10及备注，但尚未提交</x:v>
      </x:c>
      <x:c r="J91" s="9" t="str">
        <x:v>1. 点击“关闭”</x:v>
      </x:c>
      <x:c r="K91" s="9" t="str">
        <x:v>A余额仍为100USD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来源（当前证据）：liveshow-proto/MainBasis/统一需求文档.md；位置：第2937行、第2935行、第2936行
2. 规则：BR-3aeed24e338997dd
3. 未动态验证</x:v>
      </x:c>
    </x:row>
    <x:row r="92" ht="115" customHeight="1">
      <x:c r="A92" s="10" t="n">
        <x:v>91</x:v>
      </x:c>
      <x:c r="B92" s="10" t="str">
        <x:v>ADMIN-0091</x:v>
      </x:c>
      <x:c r="C92" s="10" t="str">
        <x:v>财务结算</x:v>
      </x:c>
      <x:c r="D92" s="10" t="str">
        <x:v>余额变更记录（平台管理员）</x:v>
      </x:c>
      <x:c r="E92" s="10" t="str">
        <x:v>功能需求</x:v>
      </x:c>
      <x:c r="F92" s="10" t="str">
        <x:v>P0</x:v>
      </x:c>
      <x:c r="G92" s="9" t="str">
        <x:v>验证公会余额变更遮罩</x:v>
      </x:c>
      <x:c r="H92" s="9" t="str">
        <x:v>余额变更取消</x:v>
      </x:c>
      <x:c r="I92" s="9" t="str">
        <x:v>1. 当前执行账号具有管理后台会话，身份为平台管理员；具体账号及权限变化按以下条件准备
2. 公会A余额100USD，变更对话框已填写+10及备注，但尚未提交</x:v>
      </x:c>
      <x:c r="J92" s="9" t="str">
        <x:v>1. 点击变更弹窗外遮罩</x:v>
      </x:c>
      <x:c r="K92" s="9" t="str">
        <x:v>A余额仍为100USD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来源（当前证据）：liveshow-proto/MainBasis/统一需求文档.md；位置：第2937行、第2935行、第2936行
2. 规则：BR-7029ac5fc263d338
3. 未动态验证</x:v>
      </x:c>
    </x:row>
    <x:row r="93" ht="85" customHeight="1">
      <x:c r="A93" s="10" t="n">
        <x:v>92</x:v>
      </x:c>
      <x:c r="B93" s="10" t="str">
        <x:v>ADMIN-0092</x:v>
      </x:c>
      <x:c r="C93" s="10" t="str">
        <x:v>财务结算</x:v>
      </x:c>
      <x:c r="D93" s="10" t="str">
        <x:v>余额变更记录（平台管理员）</x:v>
      </x:c>
      <x:c r="E93" s="10" t="str">
        <x:v>功能需求</x:v>
      </x:c>
      <x:c r="F93" s="10" t="str">
        <x:v>P1</x:v>
      </x:c>
      <x:c r="G93" s="9" t="str">
        <x:v>验证公会修正原因必填</x:v>
      </x:c>
      <x:c r="H93" s="9" t="str">
        <x:v>余额修正留痕必填</x:v>
      </x:c>
      <x:c r="I93" s="9" t="str">
        <x:v>1. 当前执行账号具有管理后台会话，身份为平台管理员；具体账号及权限变化按以下条件准备
2. 公会A余额100USD</x:v>
      </x:c>
      <x:c r="J93" s="9" t="str">
        <x:v>1. 打开公会A余额变更记录
2. 点击“余额变更”
3. 输入金额“10”
4. 清空备注
5. 点击“确认”</x:v>
      </x:c>
      <x:c r="K93" s="9" t="str">
        <x:v>不生成缺少原因的修正流水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来源（当前证据）：liveshow-proto/MainBasis/统一需求文档.md；位置：第2942行、第2935行、第2936行
2. 规则：BR-fbf17e62bd3975a0
3. 未动态验证</x:v>
      </x:c>
    </x:row>
    <x:row r="94" ht="85" customHeight="1">
      <x:c r="A94" s="10" t="n">
        <x:v>93</x:v>
      </x:c>
      <x:c r="B94" s="10" t="str">
        <x:v>ADMIN-0093</x:v>
      </x:c>
      <x:c r="C94" s="10" t="str">
        <x:v>财务结算</x:v>
      </x:c>
      <x:c r="D94" s="10" t="str">
        <x:v>余额变更记录（平台管理员）</x:v>
      </x:c>
      <x:c r="E94" s="10" t="str">
        <x:v>功能需求</x:v>
      </x:c>
      <x:c r="F94" s="10" t="str">
        <x:v>P1</x:v>
      </x:c>
      <x:c r="G94" s="9" t="str">
        <x:v>验证公会修正流水不可改写</x:v>
      </x:c>
      <x:c r="H94" s="9" t="str">
        <x:v>修正流水不可变更</x:v>
      </x:c>
      <x:c r="I94" s="9" t="str">
        <x:v>1. 当前执行账号具有管理后台会话，身份为平台管理员；具体账号及权限变化按以下条件准备
2. 修正流水A已成功生成</x:v>
      </x:c>
      <x:c r="J94" s="9" t="str">
        <x:v>1. 打开公会A余额变更记录
2. 查看流水A</x:v>
      </x:c>
      <x:c r="K94" s="9" t="str">
        <x:v>不提供修改流水A的操作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来源（当前证据）：liveshow-proto/MainBasis/统一需求文档.md；位置：第2945行、第2935行、第2936行
2. 规则：BR-39b5dd48a7c03d7e
3. 未动态验证</x:v>
      </x:c>
    </x:row>
    <x:row r="95" ht="100" customHeight="1">
      <x:c r="A95" s="10" t="n">
        <x:v>94</x:v>
      </x:c>
      <x:c r="B95" s="10" t="str">
        <x:v>ADMIN-0094</x:v>
      </x:c>
      <x:c r="C95" s="10" t="str">
        <x:v>财务结算</x:v>
      </x:c>
      <x:c r="D95" s="10" t="str">
        <x:v>主播账户余额（平台管理员）</x:v>
      </x:c>
      <x:c r="E95" s="10" t="str">
        <x:v>逻辑校验</x:v>
      </x:c>
      <x:c r="F95" s="10" t="str">
        <x:v>P1</x:v>
      </x:c>
      <x:c r="G95" s="9" t="str">
        <x:v>验证主播账户按入账和正负修正累计</x:v>
      </x:c>
      <x:c r="H95" s="9" t="str">
        <x:v>结算账户余额</x:v>
      </x:c>
      <x:c r="I95" s="9" t="str">
        <x:v>1. 当前执行账号具有管理后台会话，身份为平台管理员；具体账号及权限变化按以下条件准备
2. 主播A分成入账100USD、正修正20USD、负修正-30USD</x:v>
      </x:c>
      <x:c r="J95" s="9" t="str">
        <x:v>1. 打开主播账户余额
2. 查询A</x:v>
      </x:c>
      <x:c r="K95" s="9" t="str">
        <x:v>A账户余额=90USD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来源（当前证据）：liveshow-proto/MainBasis/统一需求文档.md；位置：第2879行、第2875行、第2876行
2. 规则：BR-b4eff823ba95d2f0
3. 未动态验证</x:v>
      </x:c>
    </x:row>
    <x:row r="96" ht="160" customHeight="1">
      <x:c r="A96" s="10" t="n">
        <x:v>95</x:v>
      </x:c>
      <x:c r="B96" s="10" t="str">
        <x:v>ADMIN-0095</x:v>
      </x:c>
      <x:c r="C96" s="10" t="str">
        <x:v>财务结算</x:v>
      </x:c>
      <x:c r="D96" s="10" t="str">
        <x:v>主播账户余额（平台管理员）</x:v>
      </x:c>
      <x:c r="E96" s="10" t="str">
        <x:v>逻辑校验</x:v>
      </x:c>
      <x:c r="F96" s="10" t="str">
        <x:v>P1</x:v>
      </x:c>
      <x:c r="G96" s="9" t="str">
        <x:v>验证主播账户汇总只取筛选结果</x:v>
      </x:c>
      <x:c r="H96" s="9" t="str">
        <x:v>账户筛选合计</x:v>
      </x:c>
      <x:c r="I96" s="9" t="str">
        <x:v>1. 当前执行账号具有管理后台会话，身份为平台管理员；具体账号及权限变化按以下条件准备
2. A余额100USD、B余额200USD、C余额900USD，筛选条件只匹配A和B
3. A名称为测试甲，B名称为测试乙，C名称为其他丙；测试环境名称字段支持关键字匹配</x:v>
      </x:c>
      <x:c r="J96" s="9" t="str">
        <x:v>1. 打开主播账户余额
2. 输入名称关键词“测试”
3. 点击“查询”</x:v>
      </x:c>
      <x:c r="K96" s="9" t="str">
        <x:v>汇总余额=300USD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来源（当前证据）：liveshow-proto/MainBasis/统一需求文档.md；位置：第2880行、第2877行、第2875行、第2876行
2. 规则：BR-93ea6bff382978dc
3. 未动态验证</x:v>
      </x:c>
    </x:row>
    <x:row r="97" ht="100" customHeight="1">
      <x:c r="A97" s="10" t="n">
        <x:v>96</x:v>
      </x:c>
      <x:c r="B97" s="10" t="str">
        <x:v>ADMIN-0096</x:v>
      </x:c>
      <x:c r="C97" s="10" t="str">
        <x:v>财务结算</x:v>
      </x:c>
      <x:c r="D97" s="10" t="str">
        <x:v>主播账户余额（平台管理员）</x:v>
      </x:c>
      <x:c r="E97" s="10" t="str">
        <x:v>功能需求</x:v>
      </x:c>
      <x:c r="F97" s="10" t="str">
        <x:v>P0</x:v>
      </x:c>
      <x:c r="G97" s="9" t="str">
        <x:v>验证主播余额查询重置</x:v>
      </x:c>
      <x:c r="H97" s="9" t="str">
        <x:v>余额筛选重置</x:v>
      </x:c>
      <x:c r="I97" s="9" t="str">
        <x:v>1. 当前执行账号具有管理后台会话，身份为平台管理员；具体账号及权限变化按以下条件准备
2. A、B、C三账户余额分别100、200、900，当前筛选仅A</x:v>
      </x:c>
      <x:c r="J97" s="9" t="str">
        <x:v>1. 打开主播账户余额
2. 点击“重置”</x:v>
      </x:c>
      <x:c r="K97" s="9" t="str">
        <x:v>恢复全部三个账户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来源（当前证据）：liveshow-proto/MainBasis/统一需求文档.md；位置：第2877行、第2875行、第2876行
2. 规则：BR-370a0c7acc00dbe8
3. 未动态验证</x:v>
      </x:c>
    </x:row>
    <x:row r="98" ht="100" customHeight="1">
      <x:c r="A98" s="10" t="n">
        <x:v>97</x:v>
      </x:c>
      <x:c r="B98" s="10" t="str">
        <x:v>ADMIN-0097</x:v>
      </x:c>
      <x:c r="C98" s="10" t="str">
        <x:v>财务结算</x:v>
      </x:c>
      <x:c r="D98" s="10" t="str">
        <x:v>公会账户余额（平台管理员）</x:v>
      </x:c>
      <x:c r="E98" s="10" t="str">
        <x:v>逻辑校验</x:v>
      </x:c>
      <x:c r="F98" s="10" t="str">
        <x:v>P1</x:v>
      </x:c>
      <x:c r="G98" s="9" t="str">
        <x:v>验证公会账户按入账和正负修正累计</x:v>
      </x:c>
      <x:c r="H98" s="9" t="str">
        <x:v>结算账户余额</x:v>
      </x:c>
      <x:c r="I98" s="9" t="str">
        <x:v>1. 当前执行账号具有管理后台会话，身份为平台管理员；具体账号及权限变化按以下条件准备
2. 公会A分成入账100USD、正修正20USD、负修正-30USD</x:v>
      </x:c>
      <x:c r="J98" s="9" t="str">
        <x:v>1. 打开公会账户余额
2. 查询A</x:v>
      </x:c>
      <x:c r="K98" s="9" t="str">
        <x:v>A账户余额=90USD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来源（当前证据）：liveshow-proto/MainBasis/统一需求文档.md；位置：第2929行、第2925行、第2926行
2. 规则：BR-658c2dac6ebc9e63
3. 未动态验证</x:v>
      </x:c>
    </x:row>
    <x:row r="99" ht="160" customHeight="1">
      <x:c r="A99" s="10" t="n">
        <x:v>98</x:v>
      </x:c>
      <x:c r="B99" s="10" t="str">
        <x:v>ADMIN-0098</x:v>
      </x:c>
      <x:c r="C99" s="10" t="str">
        <x:v>财务结算</x:v>
      </x:c>
      <x:c r="D99" s="10" t="str">
        <x:v>公会账户余额（平台管理员）</x:v>
      </x:c>
      <x:c r="E99" s="10" t="str">
        <x:v>逻辑校验</x:v>
      </x:c>
      <x:c r="F99" s="10" t="str">
        <x:v>P1</x:v>
      </x:c>
      <x:c r="G99" s="9" t="str">
        <x:v>验证公会账户汇总只取筛选结果</x:v>
      </x:c>
      <x:c r="H99" s="9" t="str">
        <x:v>账户筛选合计</x:v>
      </x:c>
      <x:c r="I99" s="9" t="str">
        <x:v>1. 当前执行账号具有管理后台会话，身份为平台管理员；具体账号及权限变化按以下条件准备
2. A余额100USD、B余额200USD、C余额900USD，筛选条件只匹配A和B
3. A名称为测试甲，B名称为测试乙，C名称为其他丙；测试环境名称字段支持关键字匹配</x:v>
      </x:c>
      <x:c r="J99" s="9" t="str">
        <x:v>1. 打开公会账户余额
2. 输入名称关键词“测试”
3. 点击“查询”</x:v>
      </x:c>
      <x:c r="K99" s="9" t="str">
        <x:v>汇总余额=300USD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来源（当前证据）：liveshow-proto/MainBasis/统一需求文档.md；位置：第2930行、第2927行、第2925行、第2926行
2. 规则：BR-7cdeaf277df22a94
3. 未动态验证</x:v>
      </x:c>
    </x:row>
    <x:row r="100" ht="100" customHeight="1">
      <x:c r="A100" s="10" t="n">
        <x:v>99</x:v>
      </x:c>
      <x:c r="B100" s="10" t="str">
        <x:v>ADMIN-0099</x:v>
      </x:c>
      <x:c r="C100" s="10" t="str">
        <x:v>财务结算</x:v>
      </x:c>
      <x:c r="D100" s="10" t="str">
        <x:v>公会账户余额（平台管理员）</x:v>
      </x:c>
      <x:c r="E100" s="10" t="str">
        <x:v>功能需求</x:v>
      </x:c>
      <x:c r="F100" s="10" t="str">
        <x:v>P0</x:v>
      </x:c>
      <x:c r="G100" s="9" t="str">
        <x:v>验证公会余额查询重置</x:v>
      </x:c>
      <x:c r="H100" s="9" t="str">
        <x:v>余额筛选重置</x:v>
      </x:c>
      <x:c r="I100" s="9" t="str">
        <x:v>1. 当前执行账号具有管理后台会话，身份为平台管理员；具体账号及权限变化按以下条件准备
2. A、B、C三账户余额分别100、200、900，当前筛选仅A</x:v>
      </x:c>
      <x:c r="J100" s="9" t="str">
        <x:v>1. 打开公会账户余额
2. 点击“重置”</x:v>
      </x:c>
      <x:c r="K100" s="9" t="str">
        <x:v>恢复全部三个账户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来源（当前证据）：liveshow-proto/MainBasis/统一需求文档.md；位置：第2927行、第2925行、第2926行
2. 规则：BR-0a6fdaa6bd01a98d
3. 未动态验证</x:v>
      </x:c>
    </x:row>
    <x:row r="101" ht="115" customHeight="1">
      <x:c r="A101" s="10" t="n">
        <x:v>100</x:v>
      </x:c>
      <x:c r="B101" s="10" t="str">
        <x:v>ADMIN-0100</x:v>
      </x:c>
      <x:c r="C101" s="10" t="str">
        <x:v>数据报表</x:v>
      </x:c>
      <x:c r="D101" s="10" t="str">
        <x:v>工作台（平台管理员）</x:v>
      </x:c>
      <x:c r="E101" s="10" t="str">
        <x:v>功能需求</x:v>
      </x:c>
      <x:c r="F101" s="10" t="str">
        <x:v>P1</x:v>
      </x:c>
      <x:c r="G101" s="9" t="str">
        <x:v>验证工作台单日179分钟有效天</x:v>
      </x:c>
      <x:c r="H101" s="9" t="str">
        <x:v>有效天达标人数阈值</x:v>
      </x:c>
      <x:c r="I101" s="9" t="str">
        <x:v>1. 当前执行账号具有管理后台会话，身份为平台管理员；具体账号及权限变化按以下条件准备
2. 主播A当日有效直播累计179分钟，当前统计范围仅该自然日和该主播</x:v>
      </x:c>
      <x:c r="J101" s="9" t="str">
        <x:v>1. 打开工作台
2. 查看达成有效天主播</x:v>
      </x:c>
      <x:c r="K101" s="9" t="str">
        <x:v>达成有效天主播=0人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来源（当前证据）：liveshow-proto/MainBasis/统一需求文档.md；位置：第2199行、第2191行、第2192行
2. 规则：BR-ae13981f5c3d98b6
3. 未动态验证</x:v>
      </x:c>
    </x:row>
    <x:row r="102" ht="115" customHeight="1">
      <x:c r="A102" s="10" t="n">
        <x:v>101</x:v>
      </x:c>
      <x:c r="B102" s="10" t="str">
        <x:v>ADMIN-0101</x:v>
      </x:c>
      <x:c r="C102" s="10" t="str">
        <x:v>数据报表</x:v>
      </x:c>
      <x:c r="D102" s="10" t="str">
        <x:v>工作台（平台管理员）</x:v>
      </x:c>
      <x:c r="E102" s="10" t="str">
        <x:v>功能需求</x:v>
      </x:c>
      <x:c r="F102" s="10" t="str">
        <x:v>P1</x:v>
      </x:c>
      <x:c r="G102" s="9" t="str">
        <x:v>验证工作台单日180分钟有效天</x:v>
      </x:c>
      <x:c r="H102" s="9" t="str">
        <x:v>有效天达标人数阈值</x:v>
      </x:c>
      <x:c r="I102" s="9" t="str">
        <x:v>1. 当前执行账号具有管理后台会话，身份为平台管理员；具体账号及权限变化按以下条件准备
2. 主播A当日有效直播累计180分钟，当前统计范围仅该自然日和该主播</x:v>
      </x:c>
      <x:c r="J102" s="9" t="str">
        <x:v>1. 打开工作台
2. 查看达成有效天主播</x:v>
      </x:c>
      <x:c r="K102" s="9" t="str">
        <x:v>达成有效天主播=1人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来源（当前证据）：liveshow-proto/MainBasis/统一需求文档.md；位置：第2199行、第2191行、第2192行
2. 规则：BR-418d2898db965d1a
3. 未动态验证</x:v>
      </x:c>
    </x:row>
    <x:row r="103" ht="115" customHeight="1">
      <x:c r="A103" s="10" t="n">
        <x:v>102</x:v>
      </x:c>
      <x:c r="B103" s="10" t="str">
        <x:v>ADMIN-0102</x:v>
      </x:c>
      <x:c r="C103" s="10" t="str">
        <x:v>数据报表</x:v>
      </x:c>
      <x:c r="D103" s="10" t="str">
        <x:v>工作台（平台管理员）</x:v>
      </x:c>
      <x:c r="E103" s="10" t="str">
        <x:v>功能需求</x:v>
      </x:c>
      <x:c r="F103" s="10" t="str">
        <x:v>P1</x:v>
      </x:c>
      <x:c r="G103" s="9" t="str">
        <x:v>验证工作台单日181分钟有效天</x:v>
      </x:c>
      <x:c r="H103" s="9" t="str">
        <x:v>有效天达标人数阈值</x:v>
      </x:c>
      <x:c r="I103" s="9" t="str">
        <x:v>1. 当前执行账号具有管理后台会话，身份为平台管理员；具体账号及权限变化按以下条件准备
2. 主播A当日有效直播累计181分钟，当前统计范围仅该自然日和该主播</x:v>
      </x:c>
      <x:c r="J103" s="9" t="str">
        <x:v>1. 打开工作台
2. 查看达成有效天主播</x:v>
      </x:c>
      <x:c r="K103" s="9" t="str">
        <x:v>达成有效天主播=1人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来源（当前证据）：liveshow-proto/MainBasis/统一需求文档.md；位置：第2199行、第2191行、第2192行
2. 规则：BR-aa9768c2eb3e58ea
3. 未动态验证</x:v>
      </x:c>
    </x:row>
    <x:row r="104" ht="115" customHeight="1">
      <x:c r="A104" s="10" t="n">
        <x:v>103</x:v>
      </x:c>
      <x:c r="B104" s="10" t="str">
        <x:v>ADMIN-0103</x:v>
      </x:c>
      <x:c r="C104" s="10" t="str">
        <x:v>数据报表</x:v>
      </x:c>
      <x:c r="D104" s="10" t="str">
        <x:v>工作台（平台管理员）</x:v>
      </x:c>
      <x:c r="E104" s="10" t="str">
        <x:v>功能需求</x:v>
      </x:c>
      <x:c r="F104" s="10" t="str">
        <x:v>P1</x:v>
      </x:c>
      <x:c r="G104" s="9" t="str">
        <x:v>验证工作台单日360分钟有效天</x:v>
      </x:c>
      <x:c r="H104" s="9" t="str">
        <x:v>有效天达标人数阈值</x:v>
      </x:c>
      <x:c r="I104" s="9" t="str">
        <x:v>1. 当前执行账号具有管理后台会话，身份为平台管理员；具体账号及权限变化按以下条件准备
2. 主播A当日有效直播累计360分钟，当前统计范围仅该自然日和该主播</x:v>
      </x:c>
      <x:c r="J104" s="9" t="str">
        <x:v>1. 打开工作台
2. 查看达成有效天主播</x:v>
      </x:c>
      <x:c r="K104" s="9" t="str">
        <x:v>达成有效天主播=1人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来源（当前证据）：liveshow-proto/MainBasis/统一需求文档.md；位置：第2199行、第2191行、第2192行
2. 规则：BR-b0d7b8f7c5288ea4
3. 未动态验证</x:v>
      </x:c>
    </x:row>
    <x:row r="105" ht="115" customHeight="1">
      <x:c r="A105" s="10" t="n">
        <x:v>104</x:v>
      </x:c>
      <x:c r="B105" s="10" t="str">
        <x:v>ADMIN-0104</x:v>
      </x:c>
      <x:c r="C105" s="10" t="str">
        <x:v>数据报表</x:v>
      </x:c>
      <x:c r="D105" s="10" t="str">
        <x:v>数据概览（平台管理员）</x:v>
      </x:c>
      <x:c r="E105" s="10" t="str">
        <x:v>功能需求</x:v>
      </x:c>
      <x:c r="F105" s="10" t="str">
        <x:v>P1</x:v>
      </x:c>
      <x:c r="G105" s="9" t="str">
        <x:v>验证数据概览单日179分钟有效天</x:v>
      </x:c>
      <x:c r="H105" s="9" t="str">
        <x:v>有效天达标人数阈值</x:v>
      </x:c>
      <x:c r="I105" s="9" t="str">
        <x:v>1. 当前执行账号具有管理后台会话，身份为平台管理员；具体账号及权限变化按以下条件准备
2. 主播A当日有效直播累计179分钟，当前统计范围仅该自然日和该主播</x:v>
      </x:c>
      <x:c r="J105" s="9" t="str">
        <x:v>1. 打开数据概览
2. 查看达成有效天主播</x:v>
      </x:c>
      <x:c r="K105" s="9" t="str">
        <x:v>达成有效天主播=0人次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来源（当前证据）：liveshow-proto/MainBasis/统一需求文档.md；位置：第2968行、第2960行、第2961行
2. 规则：BR-5b5b37b6a311e9b8
3. 未动态验证</x:v>
      </x:c>
    </x:row>
    <x:row r="106" ht="115" customHeight="1">
      <x:c r="A106" s="10" t="n">
        <x:v>105</x:v>
      </x:c>
      <x:c r="B106" s="10" t="str">
        <x:v>ADMIN-0105</x:v>
      </x:c>
      <x:c r="C106" s="10" t="str">
        <x:v>数据报表</x:v>
      </x:c>
      <x:c r="D106" s="10" t="str">
        <x:v>数据概览（平台管理员）</x:v>
      </x:c>
      <x:c r="E106" s="10" t="str">
        <x:v>功能需求</x:v>
      </x:c>
      <x:c r="F106" s="10" t="str">
        <x:v>P1</x:v>
      </x:c>
      <x:c r="G106" s="9" t="str">
        <x:v>验证数据概览单日180分钟有效天</x:v>
      </x:c>
      <x:c r="H106" s="9" t="str">
        <x:v>有效天达标人数阈值</x:v>
      </x:c>
      <x:c r="I106" s="9" t="str">
        <x:v>1. 当前执行账号具有管理后台会话，身份为平台管理员；具体账号及权限变化按以下条件准备
2. 主播A当日有效直播累计180分钟，当前统计范围仅该自然日和该主播</x:v>
      </x:c>
      <x:c r="J106" s="9" t="str">
        <x:v>1. 打开数据概览
2. 查看达成有效天主播</x:v>
      </x:c>
      <x:c r="K106" s="9" t="str">
        <x:v>达成有效天主播=1人次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来源（当前证据）：liveshow-proto/MainBasis/统一需求文档.md；位置：第2968行、第2960行、第2961行
2. 规则：BR-21e8031bdfede32f
3. 未动态验证</x:v>
      </x:c>
    </x:row>
    <x:row r="107" ht="115" customHeight="1">
      <x:c r="A107" s="10" t="n">
        <x:v>106</x:v>
      </x:c>
      <x:c r="B107" s="10" t="str">
        <x:v>ADMIN-0106</x:v>
      </x:c>
      <x:c r="C107" s="10" t="str">
        <x:v>数据报表</x:v>
      </x:c>
      <x:c r="D107" s="10" t="str">
        <x:v>数据概览（平台管理员）</x:v>
      </x:c>
      <x:c r="E107" s="10" t="str">
        <x:v>功能需求</x:v>
      </x:c>
      <x:c r="F107" s="10" t="str">
        <x:v>P1</x:v>
      </x:c>
      <x:c r="G107" s="9" t="str">
        <x:v>验证数据概览单日181分钟有效天</x:v>
      </x:c>
      <x:c r="H107" s="9" t="str">
        <x:v>有效天达标人数阈值</x:v>
      </x:c>
      <x:c r="I107" s="9" t="str">
        <x:v>1. 当前执行账号具有管理后台会话，身份为平台管理员；具体账号及权限变化按以下条件准备
2. 主播A当日有效直播累计181分钟，当前统计范围仅该自然日和该主播</x:v>
      </x:c>
      <x:c r="J107" s="9" t="str">
        <x:v>1. 打开数据概览
2. 查看达成有效天主播</x:v>
      </x:c>
      <x:c r="K107" s="9" t="str">
        <x:v>达成有效天主播=1人次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来源（当前证据）：liveshow-proto/MainBasis/统一需求文档.md；位置：第2968行、第2960行、第2961行
2. 规则：BR-7d55a3e6a9696357
3. 未动态验证</x:v>
      </x:c>
    </x:row>
    <x:row r="108" ht="115" customHeight="1">
      <x:c r="A108" s="10" t="n">
        <x:v>107</x:v>
      </x:c>
      <x:c r="B108" s="10" t="str">
        <x:v>ADMIN-0107</x:v>
      </x:c>
      <x:c r="C108" s="10" t="str">
        <x:v>数据报表</x:v>
      </x:c>
      <x:c r="D108" s="10" t="str">
        <x:v>数据概览（平台管理员）</x:v>
      </x:c>
      <x:c r="E108" s="10" t="str">
        <x:v>功能需求</x:v>
      </x:c>
      <x:c r="F108" s="10" t="str">
        <x:v>P1</x:v>
      </x:c>
      <x:c r="G108" s="9" t="str">
        <x:v>验证数据概览单日360分钟有效天</x:v>
      </x:c>
      <x:c r="H108" s="9" t="str">
        <x:v>有效天达标人数阈值</x:v>
      </x:c>
      <x:c r="I108" s="9" t="str">
        <x:v>1. 当前执行账号具有管理后台会话，身份为平台管理员；具体账号及权限变化按以下条件准备
2. 主播A当日有效直播累计360分钟，当前统计范围仅该自然日和该主播</x:v>
      </x:c>
      <x:c r="J108" s="9" t="str">
        <x:v>1. 打开数据概览
2. 查看达成有效天主播</x:v>
      </x:c>
      <x:c r="K108" s="9" t="str">
        <x:v>达成有效天主播=1人次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来源（当前证据）：liveshow-proto/MainBasis/统一需求文档.md；位置：第2968行、第2960行、第2961行
2. 规则：BR-cade2e3b3aeb9ebd
3. 未动态验证</x:v>
      </x:c>
    </x:row>
    <x:row r="109" ht="115" customHeight="1">
      <x:c r="A109" s="10" t="n">
        <x:v>108</x:v>
      </x:c>
      <x:c r="B109" s="10" t="str">
        <x:v>ADMIN-0108</x:v>
      </x:c>
      <x:c r="C109" s="10" t="str">
        <x:v>数据报表</x:v>
      </x:c>
      <x:c r="D109" s="10" t="str">
        <x:v>每日统计（平台管理员）</x:v>
      </x:c>
      <x:c r="E109" s="10" t="str">
        <x:v>功能需求</x:v>
      </x:c>
      <x:c r="F109" s="10" t="str">
        <x:v>P1</x:v>
      </x:c>
      <x:c r="G109" s="9" t="str">
        <x:v>验证每日统计单日179分钟有效天</x:v>
      </x:c>
      <x:c r="H109" s="9" t="str">
        <x:v>有效天达标人数阈值</x:v>
      </x:c>
      <x:c r="I109" s="9" t="str">
        <x:v>1. 当前执行账号具有管理后台会话，身份为平台管理员；具体账号及权限变化按以下条件准备
2. 主播A当日有效直播累计179分钟，当前统计范围仅该自然日和该主播</x:v>
      </x:c>
      <x:c r="J109" s="9" t="str">
        <x:v>1. 打开每日统计
2. 查看达成有效天主播</x:v>
      </x:c>
      <x:c r="K109" s="9" t="str">
        <x:v>达成有效天主播=0人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来源（当前证据）：liveshow-proto/MainBasis/统一需求文档.md；位置：第2981行、第2973行、第2974行
2. 规则：BR-bd8863870a1ac643
3. 未动态验证</x:v>
      </x:c>
    </x:row>
    <x:row r="110" ht="115" customHeight="1">
      <x:c r="A110" s="10" t="n">
        <x:v>109</x:v>
      </x:c>
      <x:c r="B110" s="10" t="str">
        <x:v>ADMIN-0109</x:v>
      </x:c>
      <x:c r="C110" s="10" t="str">
        <x:v>数据报表</x:v>
      </x:c>
      <x:c r="D110" s="10" t="str">
        <x:v>每日统计（平台管理员）</x:v>
      </x:c>
      <x:c r="E110" s="10" t="str">
        <x:v>功能需求</x:v>
      </x:c>
      <x:c r="F110" s="10" t="str">
        <x:v>P1</x:v>
      </x:c>
      <x:c r="G110" s="9" t="str">
        <x:v>验证每日统计单日180分钟有效天</x:v>
      </x:c>
      <x:c r="H110" s="9" t="str">
        <x:v>有效天达标人数阈值</x:v>
      </x:c>
      <x:c r="I110" s="9" t="str">
        <x:v>1. 当前执行账号具有管理后台会话，身份为平台管理员；具体账号及权限变化按以下条件准备
2. 主播A当日有效直播累计180分钟，当前统计范围仅该自然日和该主播</x:v>
      </x:c>
      <x:c r="J110" s="9" t="str">
        <x:v>1. 打开每日统计
2. 查看达成有效天主播</x:v>
      </x:c>
      <x:c r="K110" s="9" t="str">
        <x:v>达成有效天主播=1人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来源（当前证据）：liveshow-proto/MainBasis/统一需求文档.md；位置：第2981行、第2973行、第2974行
2. 规则：BR-825ea56ad91dfd82
3. 未动态验证</x:v>
      </x:c>
    </x:row>
    <x:row r="111" ht="115" customHeight="1">
      <x:c r="A111" s="10" t="n">
        <x:v>110</x:v>
      </x:c>
      <x:c r="B111" s="10" t="str">
        <x:v>ADMIN-0110</x:v>
      </x:c>
      <x:c r="C111" s="10" t="str">
        <x:v>数据报表</x:v>
      </x:c>
      <x:c r="D111" s="10" t="str">
        <x:v>每日统计（平台管理员）</x:v>
      </x:c>
      <x:c r="E111" s="10" t="str">
        <x:v>功能需求</x:v>
      </x:c>
      <x:c r="F111" s="10" t="str">
        <x:v>P1</x:v>
      </x:c>
      <x:c r="G111" s="9" t="str">
        <x:v>验证每日统计单日181分钟有效天</x:v>
      </x:c>
      <x:c r="H111" s="9" t="str">
        <x:v>有效天达标人数阈值</x:v>
      </x:c>
      <x:c r="I111" s="9" t="str">
        <x:v>1. 当前执行账号具有管理后台会话，身份为平台管理员；具体账号及权限变化按以下条件准备
2. 主播A当日有效直播累计181分钟，当前统计范围仅该自然日和该主播</x:v>
      </x:c>
      <x:c r="J111" s="9" t="str">
        <x:v>1. 打开每日统计
2. 查看达成有效天主播</x:v>
      </x:c>
      <x:c r="K111" s="9" t="str">
        <x:v>达成有效天主播=1人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来源（当前证据）：liveshow-proto/MainBasis/统一需求文档.md；位置：第2981行、第2973行、第2974行
2. 规则：BR-afaa00c427db5967
3. 未动态验证</x:v>
      </x:c>
    </x:row>
    <x:row r="112" ht="115" customHeight="1">
      <x:c r="A112" s="10" t="n">
        <x:v>111</x:v>
      </x:c>
      <x:c r="B112" s="10" t="str">
        <x:v>ADMIN-0111</x:v>
      </x:c>
      <x:c r="C112" s="10" t="str">
        <x:v>数据报表</x:v>
      </x:c>
      <x:c r="D112" s="10" t="str">
        <x:v>每日统计（平台管理员）</x:v>
      </x:c>
      <x:c r="E112" s="10" t="str">
        <x:v>功能需求</x:v>
      </x:c>
      <x:c r="F112" s="10" t="str">
        <x:v>P1</x:v>
      </x:c>
      <x:c r="G112" s="9" t="str">
        <x:v>验证每日统计单日360分钟有效天</x:v>
      </x:c>
      <x:c r="H112" s="9" t="str">
        <x:v>有效天达标人数阈值</x:v>
      </x:c>
      <x:c r="I112" s="9" t="str">
        <x:v>1. 当前执行账号具有管理后台会话，身份为平台管理员；具体账号及权限变化按以下条件准备
2. 主播A当日有效直播累计360分钟，当前统计范围仅该自然日和该主播</x:v>
      </x:c>
      <x:c r="J112" s="9" t="str">
        <x:v>1. 打开每日统计
2. 查看达成有效天主播</x:v>
      </x:c>
      <x:c r="K112" s="9" t="str">
        <x:v>达成有效天主播=1人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来源（当前证据）：liveshow-proto/MainBasis/统一需求文档.md；位置：第2981行、第2973行、第2974行
2. 规则：BR-0ff70f49f478d208
3. 未动态验证</x:v>
      </x:c>
    </x:row>
    <x:row r="113" ht="115" customHeight="1">
      <x:c r="A113" s="10" t="n">
        <x:v>112</x:v>
      </x:c>
      <x:c r="B113" s="10" t="str">
        <x:v>ADMIN-0112</x:v>
      </x:c>
      <x:c r="C113" s="10" t="str">
        <x:v>数据报表</x:v>
      </x:c>
      <x:c r="D113" s="10" t="str">
        <x:v>主播活跃汇总（每日）（平台管理员）</x:v>
      </x:c>
      <x:c r="E113" s="10" t="str">
        <x:v>功能需求</x:v>
      </x:c>
      <x:c r="F113" s="10" t="str">
        <x:v>P1</x:v>
      </x:c>
      <x:c r="G113" s="9" t="str">
        <x:v>验证主播活跃汇总（每日）单日179分钟有效天</x:v>
      </x:c>
      <x:c r="H113" s="9" t="str">
        <x:v>有效天达标人数阈值</x:v>
      </x:c>
      <x:c r="I113" s="9" t="str">
        <x:v>1. 当前执行账号具有管理后台会话，身份为平台管理员；具体账号及权限变化按以下条件准备
2. 主播A当日有效直播累计179分钟，当前统计范围仅该自然日和该主播</x:v>
      </x:c>
      <x:c r="J113" s="9" t="str">
        <x:v>1. 打开主播活跃汇总（每日）
2. 查看有效天达标人数</x:v>
      </x:c>
      <x:c r="K113" s="9" t="str">
        <x:v>有效天达标人数=0人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来源（当前证据）：liveshow-proto/MainBasis/统一需求文档.md；位置：第3004行、第2998行、第2999行
2. 规则：BR-ba2936a22e8231e5
3. 未动态验证</x:v>
      </x:c>
    </x:row>
    <x:row r="114" ht="115" customHeight="1">
      <x:c r="A114" s="10" t="n">
        <x:v>113</x:v>
      </x:c>
      <x:c r="B114" s="10" t="str">
        <x:v>ADMIN-0113</x:v>
      </x:c>
      <x:c r="C114" s="10" t="str">
        <x:v>数据报表</x:v>
      </x:c>
      <x:c r="D114" s="10" t="str">
        <x:v>主播活跃汇总（每日）（平台管理员）</x:v>
      </x:c>
      <x:c r="E114" s="10" t="str">
        <x:v>功能需求</x:v>
      </x:c>
      <x:c r="F114" s="10" t="str">
        <x:v>P1</x:v>
      </x:c>
      <x:c r="G114" s="9" t="str">
        <x:v>验证主播活跃汇总（每日）单日180分钟有效天</x:v>
      </x:c>
      <x:c r="H114" s="9" t="str">
        <x:v>有效天达标人数阈值</x:v>
      </x:c>
      <x:c r="I114" s="9" t="str">
        <x:v>1. 当前执行账号具有管理后台会话，身份为平台管理员；具体账号及权限变化按以下条件准备
2. 主播A当日有效直播累计180分钟，当前统计范围仅该自然日和该主播</x:v>
      </x:c>
      <x:c r="J114" s="9" t="str">
        <x:v>1. 打开主播活跃汇总（每日）
2. 查看有效天达标人数</x:v>
      </x:c>
      <x:c r="K114" s="9" t="str">
        <x:v>有效天达标人数=1人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来源（当前证据）：liveshow-proto/MainBasis/统一需求文档.md；位置：第3004行、第2998行、第2999行
2. 规则：BR-df78e78123d0af1f
3. 未动态验证</x:v>
      </x:c>
    </x:row>
    <x:row r="115" ht="115" customHeight="1">
      <x:c r="A115" s="10" t="n">
        <x:v>114</x:v>
      </x:c>
      <x:c r="B115" s="10" t="str">
        <x:v>ADMIN-0114</x:v>
      </x:c>
      <x:c r="C115" s="10" t="str">
        <x:v>数据报表</x:v>
      </x:c>
      <x:c r="D115" s="10" t="str">
        <x:v>主播活跃汇总（每日）（平台管理员）</x:v>
      </x:c>
      <x:c r="E115" s="10" t="str">
        <x:v>功能需求</x:v>
      </x:c>
      <x:c r="F115" s="10" t="str">
        <x:v>P1</x:v>
      </x:c>
      <x:c r="G115" s="9" t="str">
        <x:v>验证主播活跃汇总（每日）单日181分钟有效天</x:v>
      </x:c>
      <x:c r="H115" s="9" t="str">
        <x:v>有效天达标人数阈值</x:v>
      </x:c>
      <x:c r="I115" s="9" t="str">
        <x:v>1. 当前执行账号具有管理后台会话，身份为平台管理员；具体账号及权限变化按以下条件准备
2. 主播A当日有效直播累计181分钟，当前统计范围仅该自然日和该主播</x:v>
      </x:c>
      <x:c r="J115" s="9" t="str">
        <x:v>1. 打开主播活跃汇总（每日）
2. 查看有效天达标人数</x:v>
      </x:c>
      <x:c r="K115" s="9" t="str">
        <x:v>有效天达标人数=1人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来源（当前证据）：liveshow-proto/MainBasis/统一需求文档.md；位置：第3004行、第2998行、第2999行
2. 规则：BR-1a8c3209222e24d1
3. 未动态验证</x:v>
      </x:c>
    </x:row>
    <x:row r="116" ht="115" customHeight="1">
      <x:c r="A116" s="10" t="n">
        <x:v>115</x:v>
      </x:c>
      <x:c r="B116" s="10" t="str">
        <x:v>ADMIN-0115</x:v>
      </x:c>
      <x:c r="C116" s="10" t="str">
        <x:v>数据报表</x:v>
      </x:c>
      <x:c r="D116" s="10" t="str">
        <x:v>主播活跃汇总（每日）（平台管理员）</x:v>
      </x:c>
      <x:c r="E116" s="10" t="str">
        <x:v>功能需求</x:v>
      </x:c>
      <x:c r="F116" s="10" t="str">
        <x:v>P1</x:v>
      </x:c>
      <x:c r="G116" s="9" t="str">
        <x:v>验证主播活跃汇总（每日）单日360分钟有效天</x:v>
      </x:c>
      <x:c r="H116" s="9" t="str">
        <x:v>有效天达标人数阈值</x:v>
      </x:c>
      <x:c r="I116" s="9" t="str">
        <x:v>1. 当前执行账号具有管理后台会话，身份为平台管理员；具体账号及权限变化按以下条件准备
2. 主播A当日有效直播累计360分钟，当前统计范围仅该自然日和该主播</x:v>
      </x:c>
      <x:c r="J116" s="9" t="str">
        <x:v>1. 打开主播活跃汇总（每日）
2. 查看有效天达标人数</x:v>
      </x:c>
      <x:c r="K116" s="9" t="str">
        <x:v>有效天达标人数=1人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来源（当前证据）：liveshow-proto/MainBasis/统一需求文档.md；位置：第3004行、第2998行、第2999行
2. 规则：BR-5ac3ff4e0ca2a9e8
3. 未动态验证</x:v>
      </x:c>
    </x:row>
    <x:row r="117" ht="130" customHeight="1">
      <x:c r="A117" s="10" t="n">
        <x:v>116</x:v>
      </x:c>
      <x:c r="B117" s="10" t="str">
        <x:v>ADMIN-0116</x:v>
      </x:c>
      <x:c r="C117" s="10" t="str">
        <x:v>数据报表</x:v>
      </x:c>
      <x:c r="D117" s="10" t="str">
        <x:v>消费订单明细（平台管理员）</x:v>
      </x:c>
      <x:c r="E117" s="10" t="str">
        <x:v>逻辑校验</x:v>
      </x:c>
      <x:c r="F117" s="10" t="str">
        <x:v>P0</x:v>
      </x:c>
      <x:c r="G117" s="9" t="str">
        <x:v>验证消费订单明细统计普通礼物收益</x:v>
      </x:c>
      <x:c r="H117" s="9" t="str">
        <x:v>礼物分类收益</x:v>
      </x:c>
      <x:c r="I117" s="9" t="str">
        <x:v>1. 当前执行账号具有管理后台会话，身份为平台管理员；具体账号及权限变化按以下条件准备
2. 当前对象和统计范围内仅一笔普通礼物成功赠送，单价20金币、数量3；幸运礼物赠送时收益比例1%</x:v>
      </x:c>
      <x:c r="J117" s="9" t="str">
        <x:v>1. 打开消费订单明细
2. 查看消费订单明细收益指标</x:v>
      </x:c>
      <x:c r="K117" s="9" t="str">
        <x:v>收益=60金币</x:v>
      </x:c>
      <x:c r="L117" s="10" t="str"/>
      <x:c r="M117" s="10" t="str">
        <x:v>未测</x:v>
      </x:c>
      <x:c r="N117" s="10" t="str"/>
      <x:c r="O117" s="9" t="str">
        <x:v>1. 来源（当前证据）：liveshow-proto/MainBasis/统一需求文档.md；位置：第3113行、第3108行、第3109行
2. 规则：BR-b3db07d4d3fc4374
3. 未动态验证</x:v>
      </x:c>
    </x:row>
    <x:row r="118" ht="130" customHeight="1">
      <x:c r="A118" s="10" t="n">
        <x:v>117</x:v>
      </x:c>
      <x:c r="B118" s="10" t="str">
        <x:v>ADMIN-0117</x:v>
      </x:c>
      <x:c r="C118" s="10" t="str">
        <x:v>数据报表</x:v>
      </x:c>
      <x:c r="D118" s="10" t="str">
        <x:v>消费订单明细（平台管理员）</x:v>
      </x:c>
      <x:c r="E118" s="10" t="str">
        <x:v>逻辑校验</x:v>
      </x:c>
      <x:c r="F118" s="10" t="str">
        <x:v>P0</x:v>
      </x:c>
      <x:c r="G118" s="9" t="str">
        <x:v>验证消费订单明细统计定制礼物收益</x:v>
      </x:c>
      <x:c r="H118" s="9" t="str">
        <x:v>礼物分类收益</x:v>
      </x:c>
      <x:c r="I118" s="9" t="str">
        <x:v>1. 当前执行账号具有管理后台会话，身份为平台管理员；具体账号及权限变化按以下条件准备
2. 当前对象和统计范围内仅一笔定制礼物成功赠送，单价20金币、数量3；幸运礼物赠送时收益比例1%</x:v>
      </x:c>
      <x:c r="J118" s="9" t="str">
        <x:v>1. 打开消费订单明细
2. 查看消费订单明细收益指标</x:v>
      </x:c>
      <x:c r="K118" s="9" t="str">
        <x:v>收益=60金币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来源（当前证据）：liveshow-proto/MainBasis/统一需求文档.md；位置：第3113行、第3108行、第3109行
2. 规则：BR-204f5643911a9cfd
3. 未动态验证</x:v>
      </x:c>
    </x:row>
    <x:row r="119" ht="130" customHeight="1">
      <x:c r="A119" s="10" t="n">
        <x:v>118</x:v>
      </x:c>
      <x:c r="B119" s="10" t="str">
        <x:v>ADMIN-0118</x:v>
      </x:c>
      <x:c r="C119" s="10" t="str">
        <x:v>数据报表</x:v>
      </x:c>
      <x:c r="D119" s="10" t="str">
        <x:v>消费订单明细（平台管理员）</x:v>
      </x:c>
      <x:c r="E119" s="10" t="str">
        <x:v>逻辑校验</x:v>
      </x:c>
      <x:c r="F119" s="10" t="str">
        <x:v>P0</x:v>
      </x:c>
      <x:c r="G119" s="9" t="str">
        <x:v>验证消费订单明细统计幸运礼物收益</x:v>
      </x:c>
      <x:c r="H119" s="9" t="str">
        <x:v>礼物分类收益</x:v>
      </x:c>
      <x:c r="I119" s="9" t="str">
        <x:v>1. 当前执行账号具有管理后台会话，身份为平台管理员；具体账号及权限变化按以下条件准备
2. 当前对象和统计范围内仅一笔幸运礼物成功赠送，单价20金币、数量3；幸运礼物赠送时收益比例1%</x:v>
      </x:c>
      <x:c r="J119" s="9" t="str">
        <x:v>1. 打开消费订单明细
2. 查看消费订单明细收益指标</x:v>
      </x:c>
      <x:c r="K119" s="9" t="str">
        <x:v>收益=0.6金币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来源（当前证据）：liveshow-proto/MainBasis/统一需求文档.md；位置：第3113行、第3108行、第3109行
2. 规则：BR-5d3f137bfdb5b9e4
3. 未动态验证</x:v>
      </x:c>
    </x:row>
    <x:row r="120" ht="115" customHeight="1">
      <x:c r="A120" s="10" t="n">
        <x:v>119</x:v>
      </x:c>
      <x:c r="B120" s="10" t="str">
        <x:v>ADMIN-0119</x:v>
      </x:c>
      <x:c r="C120" s="10" t="str">
        <x:v>运营账号</x:v>
      </x:c>
      <x:c r="D120" s="10" t="str">
        <x:v>运营账号主页（平台管理员）</x:v>
      </x:c>
      <x:c r="E120" s="10" t="str">
        <x:v>业务流程</x:v>
      </x:c>
      <x:c r="F120" s="10" t="str">
        <x:v>P1</x:v>
      </x:c>
      <x:c r="G120" s="9" t="str">
        <x:v>验证平台停用运营账号</x:v>
      </x:c>
      <x:c r="H120" s="9" t="str">
        <x:v>平台运营账号状态</x:v>
      </x:c>
      <x:c r="I120" s="9" t="str">
        <x:v>1. 当前执行账号具有管理后台会话，身份为平台管理员；具体账号及权限变化按以下条件准备
2. 运营账号A由G1创建，当前状态允许该次变化
3. A当前处于启用状态</x:v>
      </x:c>
      <x:c r="J120" s="9" t="str">
        <x:v>1. 打开A运营账号主页
2. 点击“停用”
3. 确认变更</x:v>
      </x:c>
      <x:c r="K120" s="9" t="str">
        <x:v>运营账号状态显示停用</x:v>
      </x:c>
      <x:c r="L120" s="10" t="str">
        <x:v>FLOW-OPERATION-STATUS</x:v>
      </x:c>
      <x:c r="M120" s="10" t="str">
        <x:v>未测</x:v>
      </x:c>
      <x:c r="N120" s="10" t="str"/>
      <x:c r="O120" s="9" t="str">
        <x:v>1. 来源（当前证据）：liveshow-proto/MainBasis/统一需求文档.md；位置：第3164行、第3155行、第3156行
2. 规则：BR-6532736a7fd1e984
3. 未动态验证</x:v>
      </x:c>
    </x:row>
    <x:row r="121" ht="115" customHeight="1">
      <x:c r="A121" s="10" t="n">
        <x:v>120</x:v>
      </x:c>
      <x:c r="B121" s="10" t="str">
        <x:v>ADMIN-0120</x:v>
      </x:c>
      <x:c r="C121" s="10" t="str">
        <x:v>运营账号</x:v>
      </x:c>
      <x:c r="D121" s="10" t="str">
        <x:v>运营账号主页（平台管理员）</x:v>
      </x:c>
      <x:c r="E121" s="10" t="str">
        <x:v>业务流程</x:v>
      </x:c>
      <x:c r="F121" s="10" t="str">
        <x:v>P1</x:v>
      </x:c>
      <x:c r="G121" s="9" t="str">
        <x:v>验证平台启用运营账号</x:v>
      </x:c>
      <x:c r="H121" s="9" t="str">
        <x:v>平台运营账号控制</x:v>
      </x:c>
      <x:c r="I121" s="9" t="str">
        <x:v>1. 当前执行账号具有管理后台会话，身份为平台管理员；具体账号及权限变化按以下条件准备
2. 运营账号A由G1创建，当前状态允许该次变化
3. A当前处于停用状态</x:v>
      </x:c>
      <x:c r="J121" s="9" t="str">
        <x:v>1. 打开A运营账号主页
2. 点击“启用”
3. 确认变更</x:v>
      </x:c>
      <x:c r="K121" s="9" t="str">
        <x:v>运营账号恢复启用状态</x:v>
      </x:c>
      <x:c r="L121" s="10" t="str">
        <x:v>FLOW-OPERATION-STATUS</x:v>
      </x:c>
      <x:c r="M121" s="10" t="str">
        <x:v>未测</x:v>
      </x:c>
      <x:c r="N121" s="10" t="str"/>
      <x:c r="O121" s="9" t="str">
        <x:v>1. 来源（当前证据）：liveshow-proto/MainBasis/统一需求文档.md；位置：第3164行、第3155行、第3156行
2. 规则：BR-5db17eb9a7cbbdf4
3. 未动态验证</x:v>
      </x:c>
    </x:row>
    <x:row r="122" ht="85" customHeight="1">
      <x:c r="A122" s="10" t="n">
        <x:v>121</x:v>
      </x:c>
      <x:c r="B122" s="10" t="str">
        <x:v>ADMIN-0121</x:v>
      </x:c>
      <x:c r="C122" s="10" t="str">
        <x:v>运营账号</x:v>
      </x:c>
      <x:c r="D122" s="10" t="str">
        <x:v>账号列表（平台管理员）</x:v>
      </x:c>
      <x:c r="E122" s="10" t="str">
        <x:v>功能需求</x:v>
      </x:c>
      <x:c r="F122" s="10" t="str">
        <x:v>P1</x:v>
      </x:c>
      <x:c r="G122" s="9" t="str">
        <x:v>验证账号列表不越权发币</x:v>
      </x:c>
      <x:c r="H122" s="9" t="str">
        <x:v>虚拟金币发放职责</x:v>
      </x:c>
      <x:c r="I122" s="9" t="str">
        <x:v>1. 当前执行账号具有管理后台会话，身份为平台管理员；具体账号及权限变化按以下条件准备
2. 运营账号A属于G1</x:v>
      </x:c>
      <x:c r="J122" s="9" t="str">
        <x:v>1. 打开账号列表</x:v>
      </x:c>
      <x:c r="K122" s="9" t="str">
        <x:v>不提供平台发放虚拟金币操作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来源（当前证据）：liveshow-proto/MainBasis/统一需求文档.md；位置：第3148行、第3140行、第3141行
2. 规则：BR-f67a20c9b4e46f18
3. 未动态验证</x:v>
      </x:c>
    </x:row>
    <x:row r="123" ht="85" customHeight="1">
      <x:c r="A123" s="10" t="n">
        <x:v>122</x:v>
      </x:c>
      <x:c r="B123" s="10" t="str">
        <x:v>ADMIN-0122</x:v>
      </x:c>
      <x:c r="C123" s="10" t="str">
        <x:v>运营账号</x:v>
      </x:c>
      <x:c r="D123" s="10" t="str">
        <x:v>发放记录（平台管理员）</x:v>
      </x:c>
      <x:c r="E123" s="10" t="str">
        <x:v>功能需求</x:v>
      </x:c>
      <x:c r="F123" s="10" t="str">
        <x:v>P0</x:v>
      </x:c>
      <x:c r="G123" s="9" t="str">
        <x:v>验证发放记录不越权发币</x:v>
      </x:c>
      <x:c r="H123" s="9" t="str">
        <x:v>虚拟金币发放职责</x:v>
      </x:c>
      <x:c r="I123" s="9" t="str">
        <x:v>1. 当前执行账号具有管理后台会话，身份为平台管理员；具体账号及权限变化按以下条件准备
2. 运营账号A属于G1</x:v>
      </x:c>
      <x:c r="J123" s="9" t="str">
        <x:v>1. 打开发放记录</x:v>
      </x:c>
      <x:c r="K123" s="9" t="str">
        <x:v>不提供平台发放虚拟金币操作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来源（当前证据）：liveshow-proto/MainBasis/统一需求文档.md；位置：第3177行、第3170行、第3171行
2. 规则：BR-6103d1aefdafd034
3. 未动态验证</x:v>
      </x:c>
    </x:row>
    <x:row r="124" ht="100" customHeight="1">
      <x:c r="A124" s="10" t="n">
        <x:v>123</x:v>
      </x:c>
      <x:c r="B124" s="10" t="str">
        <x:v>ADMIN-0123</x:v>
      </x:c>
      <x:c r="C124" s="10" t="str">
        <x:v>运营账号</x:v>
      </x:c>
      <x:c r="D124" s="10" t="str">
        <x:v>额度限制（平台管理员）</x:v>
      </x:c>
      <x:c r="E124" s="10" t="str">
        <x:v>业务流程</x:v>
      </x:c>
      <x:c r="F124" s="10" t="str">
        <x:v>P1</x:v>
      </x:c>
      <x:c r="G124" s="9" t="str">
        <x:v>验证公会月已发100时上限改为99</x:v>
      </x:c>
      <x:c r="H124" s="9" t="str">
        <x:v>公会总额度下界</x:v>
      </x:c>
      <x:c r="I124" s="9" t="str">
        <x:v>1. 当前执行账号具有管理后台会话，身份为平台管理员；具体账号及权限变化按以下条件准备
2. G1本月累计已发100，单账号最高已发50，单账号上限50</x:v>
      </x:c>
      <x:c r="J124" s="9" t="str">
        <x:v>1. 打开G1额度限制
2. 输入公会总上限“99”
3. 点击“保存”</x:v>
      </x:c>
      <x:c r="K124" s="9" t="str">
        <x:v>不保存低于本月已发放额的上限</x:v>
      </x:c>
      <x:c r="L124" s="10" t="str">
        <x:v>FLOW-VIRTUAL-ISSUE</x:v>
      </x:c>
      <x:c r="M124" s="10" t="str">
        <x:v>未测</x:v>
      </x:c>
      <x:c r="N124" s="10" t="str"/>
      <x:c r="O124" s="9" t="str">
        <x:v>1. 来源（当前证据）：liveshow-proto/MainBasis/统一需求文档.md；位置：第3205行、第3195行、第3196行
2. 规则：BR-a866bde02a3d9138
3. 未动态验证</x:v>
      </x:c>
    </x:row>
    <x:row r="125" ht="100" customHeight="1">
      <x:c r="A125" s="10" t="n">
        <x:v>124</x:v>
      </x:c>
      <x:c r="B125" s="10" t="str">
        <x:v>ADMIN-0124</x:v>
      </x:c>
      <x:c r="C125" s="10" t="str">
        <x:v>运营账号</x:v>
      </x:c>
      <x:c r="D125" s="10" t="str">
        <x:v>额度限制（平台管理员）</x:v>
      </x:c>
      <x:c r="E125" s="10" t="str">
        <x:v>业务流程</x:v>
      </x:c>
      <x:c r="F125" s="10" t="str">
        <x:v>P1</x:v>
      </x:c>
      <x:c r="G125" s="9" t="str">
        <x:v>验证公会月已发100时上限改为100</x:v>
      </x:c>
      <x:c r="H125" s="9" t="str">
        <x:v>公会总额度下界</x:v>
      </x:c>
      <x:c r="I125" s="9" t="str">
        <x:v>1. 当前执行账号具有管理后台会话，身份为平台管理员；具体账号及权限变化按以下条件准备
2. G1本月累计已发100，单账号最高已发50，单账号上限50</x:v>
      </x:c>
      <x:c r="J125" s="9" t="str">
        <x:v>1. 打开G1额度限制
2. 输入公会总上限“100”
3. 点击“保存”</x:v>
      </x:c>
      <x:c r="K125" s="9" t="str">
        <x:v>保存公会总上限100</x:v>
      </x:c>
      <x:c r="L125" s="10" t="str">
        <x:v>FLOW-VIRTUAL-ISSUE</x:v>
      </x:c>
      <x:c r="M125" s="10" t="str">
        <x:v>未测</x:v>
      </x:c>
      <x:c r="N125" s="10" t="str"/>
      <x:c r="O125" s="9" t="str">
        <x:v>1. 来源（当前证据）：liveshow-proto/MainBasis/统一需求文档.md；位置：第3205行、第3195行、第3196行
2. 规则：BR-69fde710fe5c2074
3. 未动态验证</x:v>
      </x:c>
    </x:row>
    <x:row r="126" ht="100" customHeight="1">
      <x:c r="A126" s="10" t="n">
        <x:v>125</x:v>
      </x:c>
      <x:c r="B126" s="10" t="str">
        <x:v>ADMIN-0125</x:v>
      </x:c>
      <x:c r="C126" s="10" t="str">
        <x:v>运营账号</x:v>
      </x:c>
      <x:c r="D126" s="10" t="str">
        <x:v>额度限制（平台管理员）</x:v>
      </x:c>
      <x:c r="E126" s="10" t="str">
        <x:v>业务流程</x:v>
      </x:c>
      <x:c r="F126" s="10" t="str">
        <x:v>P1</x:v>
      </x:c>
      <x:c r="G126" s="9" t="str">
        <x:v>验证公会月已发100时上限改为101</x:v>
      </x:c>
      <x:c r="H126" s="9" t="str">
        <x:v>公会总额度下界</x:v>
      </x:c>
      <x:c r="I126" s="9" t="str">
        <x:v>1. 当前执行账号具有管理后台会话，身份为平台管理员；具体账号及权限变化按以下条件准备
2. G1本月累计已发100，单账号最高已发50，单账号上限50</x:v>
      </x:c>
      <x:c r="J126" s="9" t="str">
        <x:v>1. 打开G1额度限制
2. 输入公会总上限“101”
3. 点击“保存”</x:v>
      </x:c>
      <x:c r="K126" s="9" t="str">
        <x:v>保存公会总上限101</x:v>
      </x:c>
      <x:c r="L126" s="10" t="str">
        <x:v>FLOW-VIRTUAL-ISSUE</x:v>
      </x:c>
      <x:c r="M126" s="10" t="str">
        <x:v>未测</x:v>
      </x:c>
      <x:c r="N126" s="10" t="str"/>
      <x:c r="O126" s="9" t="str">
        <x:v>1. 来源（当前证据）：liveshow-proto/MainBasis/统一需求文档.md；位置：第3205行、第3195行、第3196行
2. 规则：BR-b8007f4b32be14eb
3. 未动态验证</x:v>
      </x:c>
    </x:row>
    <x:row r="127" ht="100" customHeight="1">
      <x:c r="A127" s="10" t="n">
        <x:v>126</x:v>
      </x:c>
      <x:c r="B127" s="10" t="str">
        <x:v>ADMIN-0126</x:v>
      </x:c>
      <x:c r="C127" s="10" t="str">
        <x:v>运营账号</x:v>
      </x:c>
      <x:c r="D127" s="10" t="str">
        <x:v>额度限制（平台管理员）</x:v>
      </x:c>
      <x:c r="E127" s="10" t="str">
        <x:v>业务流程</x:v>
      </x:c>
      <x:c r="F127" s="10" t="str">
        <x:v>P1</x:v>
      </x:c>
      <x:c r="G127" s="9" t="str">
        <x:v>验证单账号月已发最高50、总上限100时保存49</x:v>
      </x:c>
      <x:c r="H127" s="9" t="str">
        <x:v>单账号额度双边界</x:v>
      </x:c>
      <x:c r="I127" s="9" t="str">
        <x:v>1. 当前执行账号具有管理后台会话，身份为平台管理员；具体账号及权限变化按以下条件准备
2. G1单账号本月最高已发50，公会总上限100且已发总额100</x:v>
      </x:c>
      <x:c r="J127" s="9" t="str">
        <x:v>1. 打开G1额度限制
2. 输入单账号上限“49”
3. 点击“保存”</x:v>
      </x:c>
      <x:c r="K127" s="9" t="str">
        <x:v>不保存超出50至100的单账号上限</x:v>
      </x:c>
      <x:c r="L127" s="10" t="str">
        <x:v>FLOW-VIRTUAL-ISSUE</x:v>
      </x:c>
      <x:c r="M127" s="10" t="str">
        <x:v>未测</x:v>
      </x:c>
      <x:c r="N127" s="10" t="str"/>
      <x:c r="O127" s="9" t="str">
        <x:v>1. 来源（当前证据）：liveshow-proto/MainBasis/统一需求文档.md；位置：第3205行、第3195行、第3196行
2. 规则：BR-e37982aaf04f80f6
3. 未动态验证</x:v>
      </x:c>
    </x:row>
    <x:row r="128" ht="100" customHeight="1">
      <x:c r="A128" s="10" t="n">
        <x:v>127</x:v>
      </x:c>
      <x:c r="B128" s="10" t="str">
        <x:v>ADMIN-0127</x:v>
      </x:c>
      <x:c r="C128" s="10" t="str">
        <x:v>运营账号</x:v>
      </x:c>
      <x:c r="D128" s="10" t="str">
        <x:v>额度限制（平台管理员）</x:v>
      </x:c>
      <x:c r="E128" s="10" t="str">
        <x:v>业务流程</x:v>
      </x:c>
      <x:c r="F128" s="10" t="str">
        <x:v>P1</x:v>
      </x:c>
      <x:c r="G128" s="9" t="str">
        <x:v>验证单账号月已发最高50、总上限100时保存50</x:v>
      </x:c>
      <x:c r="H128" s="9" t="str">
        <x:v>单账号额度双边界</x:v>
      </x:c>
      <x:c r="I128" s="9" t="str">
        <x:v>1. 当前执行账号具有管理后台会话，身份为平台管理员；具体账号及权限变化按以下条件准备
2. G1单账号本月最高已发50，公会总上限100且已发总额100</x:v>
      </x:c>
      <x:c r="J128" s="9" t="str">
        <x:v>1. 打开G1额度限制
2. 输入单账号上限“50”
3. 点击“保存”</x:v>
      </x:c>
      <x:c r="K128" s="9" t="str">
        <x:v>保存单账号上限50</x:v>
      </x:c>
      <x:c r="L128" s="10" t="str">
        <x:v>FLOW-VIRTUAL-ISSUE</x:v>
      </x:c>
      <x:c r="M128" s="10" t="str">
        <x:v>未测</x:v>
      </x:c>
      <x:c r="N128" s="10" t="str"/>
      <x:c r="O128" s="9" t="str">
        <x:v>1. 来源（当前证据）：liveshow-proto/MainBasis/统一需求文档.md；位置：第3205行、第3195行、第3196行
2. 规则：BR-8cfb681cdbf18260
3. 未动态验证</x:v>
      </x:c>
    </x:row>
    <x:row r="129" ht="100" customHeight="1">
      <x:c r="A129" s="10" t="n">
        <x:v>128</x:v>
      </x:c>
      <x:c r="B129" s="10" t="str">
        <x:v>ADMIN-0128</x:v>
      </x:c>
      <x:c r="C129" s="10" t="str">
        <x:v>运营账号</x:v>
      </x:c>
      <x:c r="D129" s="10" t="str">
        <x:v>额度限制（平台管理员）</x:v>
      </x:c>
      <x:c r="E129" s="10" t="str">
        <x:v>业务流程</x:v>
      </x:c>
      <x:c r="F129" s="10" t="str">
        <x:v>P1</x:v>
      </x:c>
      <x:c r="G129" s="9" t="str">
        <x:v>验证单账号月已发最高50、总上限100时保存99</x:v>
      </x:c>
      <x:c r="H129" s="9" t="str">
        <x:v>单账号额度双边界</x:v>
      </x:c>
      <x:c r="I129" s="9" t="str">
        <x:v>1. 当前执行账号具有管理后台会话，身份为平台管理员；具体账号及权限变化按以下条件准备
2. G1单账号本月最高已发50，公会总上限100且已发总额100</x:v>
      </x:c>
      <x:c r="J129" s="9" t="str">
        <x:v>1. 打开G1额度限制
2. 输入单账号上限“99”
3. 点击“保存”</x:v>
      </x:c>
      <x:c r="K129" s="9" t="str">
        <x:v>保存单账号上限99</x:v>
      </x:c>
      <x:c r="L129" s="10" t="str">
        <x:v>FLOW-VIRTUAL-ISSUE</x:v>
      </x:c>
      <x:c r="M129" s="10" t="str">
        <x:v>未测</x:v>
      </x:c>
      <x:c r="N129" s="10" t="str"/>
      <x:c r="O129" s="9" t="str">
        <x:v>1. 来源（当前证据）：liveshow-proto/MainBasis/统一需求文档.md；位置：第3205行、第3195行、第3196行
2. 规则：BR-06fe17a7bcac1636
3. 未动态验证</x:v>
      </x:c>
    </x:row>
    <x:row r="130" ht="100" customHeight="1">
      <x:c r="A130" s="10" t="n">
        <x:v>129</x:v>
      </x:c>
      <x:c r="B130" s="10" t="str">
        <x:v>ADMIN-0129</x:v>
      </x:c>
      <x:c r="C130" s="10" t="str">
        <x:v>运营账号</x:v>
      </x:c>
      <x:c r="D130" s="10" t="str">
        <x:v>额度限制（平台管理员）</x:v>
      </x:c>
      <x:c r="E130" s="10" t="str">
        <x:v>业务流程</x:v>
      </x:c>
      <x:c r="F130" s="10" t="str">
        <x:v>P1</x:v>
      </x:c>
      <x:c r="G130" s="9" t="str">
        <x:v>验证单账号月已发最高50、总上限100时保存100</x:v>
      </x:c>
      <x:c r="H130" s="9" t="str">
        <x:v>单账号额度双边界</x:v>
      </x:c>
      <x:c r="I130" s="9" t="str">
        <x:v>1. 当前执行账号具有管理后台会话，身份为平台管理员；具体账号及权限变化按以下条件准备
2. G1单账号本月最高已发50，公会总上限100且已发总额100</x:v>
      </x:c>
      <x:c r="J130" s="9" t="str">
        <x:v>1. 打开G1额度限制
2. 输入单账号上限“100”
3. 点击“保存”</x:v>
      </x:c>
      <x:c r="K130" s="9" t="str">
        <x:v>保存单账号上限100</x:v>
      </x:c>
      <x:c r="L130" s="10" t="str">
        <x:v>FLOW-VIRTUAL-ISSUE</x:v>
      </x:c>
      <x:c r="M130" s="10" t="str">
        <x:v>未测</x:v>
      </x:c>
      <x:c r="N130" s="10" t="str"/>
      <x:c r="O130" s="9" t="str">
        <x:v>1. 来源（当前证据）：liveshow-proto/MainBasis/统一需求文档.md；位置：第3205行、第3195行、第3196行
2. 规则：BR-576c603b672fd0cb
3. 未动态验证</x:v>
      </x:c>
    </x:row>
    <x:row r="131" ht="100" customHeight="1">
      <x:c r="A131" s="10" t="n">
        <x:v>130</x:v>
      </x:c>
      <x:c r="B131" s="10" t="str">
        <x:v>ADMIN-0130</x:v>
      </x:c>
      <x:c r="C131" s="10" t="str">
        <x:v>运营账号</x:v>
      </x:c>
      <x:c r="D131" s="10" t="str">
        <x:v>额度限制（平台管理员）</x:v>
      </x:c>
      <x:c r="E131" s="10" t="str">
        <x:v>业务流程</x:v>
      </x:c>
      <x:c r="F131" s="10" t="str">
        <x:v>P1</x:v>
      </x:c>
      <x:c r="G131" s="9" t="str">
        <x:v>验证单账号月已发最高50、总上限100时保存101</x:v>
      </x:c>
      <x:c r="H131" s="9" t="str">
        <x:v>单账号额度双边界</x:v>
      </x:c>
      <x:c r="I131" s="9" t="str">
        <x:v>1. 当前执行账号具有管理后台会话，身份为平台管理员；具体账号及权限变化按以下条件准备
2. G1单账号本月最高已发50，公会总上限100且已发总额100</x:v>
      </x:c>
      <x:c r="J131" s="9" t="str">
        <x:v>1. 打开G1额度限制
2. 输入单账号上限“101”
3. 点击“保存”</x:v>
      </x:c>
      <x:c r="K131" s="9" t="str">
        <x:v>不保存超出50至100的单账号上限</x:v>
      </x:c>
      <x:c r="L131" s="10" t="str">
        <x:v>FLOW-VIRTUAL-ISSUE</x:v>
      </x:c>
      <x:c r="M131" s="10" t="str">
        <x:v>未测</x:v>
      </x:c>
      <x:c r="N131" s="10" t="str"/>
      <x:c r="O131" s="9" t="str">
        <x:v>1. 来源（当前证据）：liveshow-proto/MainBasis/统一需求文档.md；位置：第3205行、第3195行、第3196行
2. 规则：BR-3e9aad827c588e11
3. 未动态验证</x:v>
      </x:c>
    </x:row>
    <x:row r="132" ht="85" customHeight="1">
      <x:c r="A132" s="10" t="n">
        <x:v>131</x:v>
      </x:c>
      <x:c r="B132" s="10" t="str">
        <x:v>ADMIN-0131</x:v>
      </x:c>
      <x:c r="C132" s="10" t="str">
        <x:v>运营账号</x:v>
      </x:c>
      <x:c r="D132" s="10" t="str">
        <x:v>额度限制（平台管理员）</x:v>
      </x:c>
      <x:c r="E132" s="10" t="str">
        <x:v>逻辑校验</x:v>
      </x:c>
      <x:c r="F132" s="10" t="str">
        <x:v>P0</x:v>
      </x:c>
      <x:c r="G132" s="9" t="str">
        <x:v>验证公会剩余额度总100已发100</x:v>
      </x:c>
      <x:c r="H132" s="9" t="str">
        <x:v>公会剩余额度</x:v>
      </x:c>
      <x:c r="I132" s="9" t="str">
        <x:v>1. 当前执行账号具有管理后台会话，身份为平台管理员；具体账号及权限变化按以下条件准备
2. 公会上限100，本月已发100</x:v>
      </x:c>
      <x:c r="J132" s="9" t="str">
        <x:v>1. 打开G1额度限制</x:v>
      </x:c>
      <x:c r="K132" s="9" t="str">
        <x:v>本月剩余额度=0虚拟金币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来源（当前证据）：liveshow-proto/MainBasis/统一需求文档.md；位置：第3203行、第3195行、第3196行
2. 规则：BR-864fc79ead34a5b4
3. 未动态验证</x:v>
      </x:c>
    </x:row>
    <x:row r="133" ht="85" customHeight="1">
      <x:c r="A133" s="10" t="n">
        <x:v>132</x:v>
      </x:c>
      <x:c r="B133" s="10" t="str">
        <x:v>ADMIN-0132</x:v>
      </x:c>
      <x:c r="C133" s="10" t="str">
        <x:v>运营账号</x:v>
      </x:c>
      <x:c r="D133" s="10" t="str">
        <x:v>额度限制（平台管理员）</x:v>
      </x:c>
      <x:c r="E133" s="10" t="str">
        <x:v>逻辑校验</x:v>
      </x:c>
      <x:c r="F133" s="10" t="str">
        <x:v>P0</x:v>
      </x:c>
      <x:c r="G133" s="9" t="str">
        <x:v>验证公会剩余额度总200已发100</x:v>
      </x:c>
      <x:c r="H133" s="9" t="str">
        <x:v>公会剩余额度</x:v>
      </x:c>
      <x:c r="I133" s="9" t="str">
        <x:v>1. 当前执行账号具有管理后台会话，身份为平台管理员；具体账号及权限变化按以下条件准备
2. 公会上限200，本月已发100</x:v>
      </x:c>
      <x:c r="J133" s="9" t="str">
        <x:v>1. 打开G1额度限制</x:v>
      </x:c>
      <x:c r="K133" s="9" t="str">
        <x:v>本月剩余额度=100虚拟金币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来源（当前证据）：liveshow-proto/MainBasis/统一需求文档.md；位置：第3203行、第3195行、第3196行
2. 规则：BR-1724df0a50c97dcc
3. 未动态验证</x:v>
      </x:c>
    </x:row>
    <x:row r="134" ht="115" customHeight="1">
      <x:c r="A134" s="10" t="n">
        <x:v>133</x:v>
      </x:c>
      <x:c r="B134" s="10" t="str">
        <x:v>ADMIN-0133</x:v>
      </x:c>
      <x:c r="C134" s="10" t="str">
        <x:v>数据报表</x:v>
      </x:c>
      <x:c r="D134" s="10" t="str">
        <x:v>主播礼物打赏明细报表（平台管理员）</x:v>
      </x:c>
      <x:c r="E134" s="10" t="str">
        <x:v>业务流程</x:v>
      </x:c>
      <x:c r="F134" s="10" t="str">
        <x:v>P1</x:v>
      </x:c>
      <x:c r="G134" s="9" t="str">
        <x:v>验证运营虚拟金币不计公会分成</x:v>
      </x:c>
      <x:c r="H134" s="9" t="str">
        <x:v>虚拟与真实账务隔离</x:v>
      </x:c>
      <x:c r="I134" s="9" t="str">
        <x:v>1. 平台管理员测试账号已有管理后台可访问会话
2. 运营账号A向主播B成功送出价值100虚拟金币的普通礼物
3. 由公会长在送礼记录完成配合操作：打开运营账号送礼记录；查看该笔送礼详情</x:v>
      </x:c>
      <x:c r="J134" s="9" t="str">
        <x:v>1. 打开主播礼物打赏明细报表
2. 选择该笔送礼日期及主播
3. 点击“查询”</x:v>
      </x:c>
      <x:c r="K134" s="9" t="str">
        <x:v>该笔虚拟赠礼不进入真实金币礼物报表</x:v>
      </x:c>
      <x:c r="L134" s="10" t="str">
        <x:v>FLOW-VIRTUAL-SPEND</x:v>
      </x:c>
      <x:c r="M134" s="10" t="str">
        <x:v>未测</x:v>
      </x:c>
      <x:c r="N134" s="10" t="str"/>
      <x:c r="O134" s="9" t="str">
        <x:v>1. 来源（当前证据）：liveshow-proto/MainBasis/统一需求文档.md；位置：第2080行、第3084行、第3078行、第3079行
2. 规则：BR-0e1aa90cdc21ead8
3. 未动态验证</x:v>
      </x:c>
    </x:row>
    <x:row r="135" ht="100" customHeight="1">
      <x:c r="A135" s="10" t="n">
        <x:v>134</x:v>
      </x:c>
      <x:c r="B135" s="10" t="str">
        <x:v>ADMIN-0134</x:v>
      </x:c>
      <x:c r="C135" s="10" t="str">
        <x:v>运营账号</x:v>
      </x:c>
      <x:c r="D135" s="10" t="str">
        <x:v>送礼记录（平台管理员）</x:v>
      </x:c>
      <x:c r="E135" s="10" t="str">
        <x:v>逻辑校验</x:v>
      </x:c>
      <x:c r="F135" s="10" t="str">
        <x:v>P1</x:v>
      </x:c>
      <x:c r="G135" s="9" t="str">
        <x:v>验证虚拟送礼按单价数量计算</x:v>
      </x:c>
      <x:c r="H135" s="9" t="str">
        <x:v>虚拟礼物扣款计算</x:v>
      </x:c>
      <x:c r="I135" s="9" t="str">
        <x:v>1. 当前执行账号具有管理后台会话，身份为平台管理员；具体账号及权限变化按以下条件准备
2. 运营账号A以虚拟金币赠送普通礼物，单价20、数量3</x:v>
      </x:c>
      <x:c r="J135" s="9" t="str">
        <x:v>1. 打开该笔运营账号送礼详情</x:v>
      </x:c>
      <x:c r="K135" s="9" t="str">
        <x:v>消费金币=60虚拟金币</x:v>
      </x:c>
      <x:c r="L135" s="10" t="str">
        <x:v>FLOW-VIRTUAL-SPEND</x:v>
      </x:c>
      <x:c r="M135" s="10" t="str">
        <x:v>未测</x:v>
      </x:c>
      <x:c r="N135" s="10" t="str"/>
      <x:c r="O135" s="9" t="str">
        <x:v>1. 来源（当前证据）：liveshow-proto/MainBasis/统一需求文档.md；位置：第3187行、第3183行、第3184行
2. 规则：BR-c5a3c349e4c9d240
3. 未动态验证</x:v>
      </x:c>
    </x:row>
    <x:row r="136" ht="100" customHeight="1">
      <x:c r="A136" s="10" t="n">
        <x:v>135</x:v>
      </x:c>
      <x:c r="B136" s="10" t="str">
        <x:v>ADMIN-0135</x:v>
      </x:c>
      <x:c r="C136" s="10" t="str">
        <x:v>运营账号</x:v>
      </x:c>
      <x:c r="D136" s="10" t="str">
        <x:v>发放记录（平台管理员）</x:v>
      </x:c>
      <x:c r="E136" s="10" t="str">
        <x:v>逻辑校验</x:v>
      </x:c>
      <x:c r="F136" s="10" t="str">
        <x:v>P0</x:v>
      </x:c>
      <x:c r="G136" s="9" t="str">
        <x:v>验证公会发币后余额计算</x:v>
      </x:c>
      <x:c r="H136" s="9" t="str">
        <x:v>虚拟发放余额</x:v>
      </x:c>
      <x:c r="I136" s="9" t="str">
        <x:v>1. 当前执行账号具有管理后台会话，身份为平台管理员；具体账号及权限变化按以下条件准备
2. 运营账号A发放前余额50，所属公会成功发放100</x:v>
      </x:c>
      <x:c r="J136" s="9" t="str">
        <x:v>1. 打开该笔发放记录</x:v>
      </x:c>
      <x:c r="K136" s="9" t="str">
        <x:v>发放后余额=150虚拟金币</x:v>
      </x:c>
      <x:c r="L136" s="10" t="str">
        <x:v>FLOW-VIRTUAL-ISSUE</x:v>
      </x:c>
      <x:c r="M136" s="10" t="str">
        <x:v>未测</x:v>
      </x:c>
      <x:c r="N136" s="10" t="str"/>
      <x:c r="O136" s="9" t="str">
        <x:v>1. 来源（当前证据）：liveshow-proto/MainBasis/统一需求文档.md；位置：第3174行、第3170行、第3171行
2. 规则：BR-88eec327af96fc28
3. 未动态验证</x:v>
      </x:c>
    </x:row>
    <x:row r="137" ht="115" customHeight="1">
      <x:c r="A137" s="10" t="n">
        <x:v>136</x:v>
      </x:c>
      <x:c r="B137" s="10" t="str">
        <x:v>ADMIN-0136</x:v>
      </x:c>
      <x:c r="C137" s="10" t="str">
        <x:v>主播管理</x:v>
      </x:c>
      <x:c r="D137" s="10" t="str">
        <x:v>审核详情（平台管理员）</x:v>
      </x:c>
      <x:c r="E137" s="10" t="str">
        <x:v>业务流程</x:v>
      </x:c>
      <x:c r="F137" s="10" t="str">
        <x:v>P0</x:v>
      </x:c>
      <x:c r="G137" s="9" t="str">
        <x:v>验证平台终审通过</x:v>
      </x:c>
      <x:c r="H137" s="9" t="str">
        <x:v>平台终审结果</x:v>
      </x:c>
      <x:c r="I137" s="9" t="str">
        <x:v>1. 当前执行账号具有管理后台会话，身份为平台管理员；具体账号及权限变化按以下条件准备
2. 申请J1已公会初审通过、待平台终审，申请人A仍为普通用户</x:v>
      </x:c>
      <x:c r="J137" s="9" t="str">
        <x:v>1. 打开J1审核详情
2. 选择“通过”
3. 选择平台直播权限开启和允许公会管理
4. 点击“确认”</x:v>
      </x:c>
      <x:c r="K137" s="9" t="str">
        <x:v>J1审核结果固化为通过</x:v>
      </x:c>
      <x:c r="L137" s="10" t="str">
        <x:v>FLOW-GUILD-JOIN</x:v>
      </x:c>
      <x:c r="M137" s="10" t="str">
        <x:v>未测</x:v>
      </x:c>
      <x:c r="N137" s="10" t="str"/>
      <x:c r="O137" s="9" t="str">
        <x:v>1. 来源（当前证据）：liveshow-proto/MainBasis/统一需求文档.md；位置：第2280行、第2270行、第2271行
2. 规则：BR-27c76dbdb6b73c79
3. 未动态验证</x:v>
      </x:c>
    </x:row>
    <x:row r="138" ht="115" customHeight="1">
      <x:c r="A138" s="10" t="n">
        <x:v>137</x:v>
      </x:c>
      <x:c r="B138" s="10" t="str">
        <x:v>ADMIN-0137</x:v>
      </x:c>
      <x:c r="C138" s="10" t="str">
        <x:v>主播管理</x:v>
      </x:c>
      <x:c r="D138" s="10" t="str">
        <x:v>审核详情（平台管理员）</x:v>
      </x:c>
      <x:c r="E138" s="10" t="str">
        <x:v>业务流程</x:v>
      </x:c>
      <x:c r="F138" s="10" t="str">
        <x:v>P0</x:v>
      </x:c>
      <x:c r="G138" s="9" t="str">
        <x:v>验证平台终审驳回</x:v>
      </x:c>
      <x:c r="H138" s="9" t="str">
        <x:v>平台终审结果</x:v>
      </x:c>
      <x:c r="I138" s="9" t="str">
        <x:v>1. 当前执行账号具有管理后台会话，身份为平台管理员；具体账号及权限变化按以下条件准备
2. 申请J1已公会初审通过、待平台终审，申请人A仍为普通用户</x:v>
      </x:c>
      <x:c r="J138" s="9" t="str">
        <x:v>1. 打开J1审核详情
2. 选择“驳回”
3. 输入驳回原因“证件不清晰”
4. 点击“确认”</x:v>
      </x:c>
      <x:c r="K138" s="9" t="str">
        <x:v>J1审核结果固化为驳回</x:v>
      </x:c>
      <x:c r="L138" s="10" t="str">
        <x:v>FLOW-GUILD-JOIN</x:v>
      </x:c>
      <x:c r="M138" s="10" t="str">
        <x:v>未测</x:v>
      </x:c>
      <x:c r="N138" s="10" t="str"/>
      <x:c r="O138" s="9" t="str">
        <x:v>1. 来源（当前证据）：liveshow-proto/MainBasis/统一需求文档.md；位置：第2280行、第2270行、第2271行
2. 规则：BR-78f4a5ca53c1221c
3. 未动态验证</x:v>
      </x:c>
    </x:row>
    <x:row r="139" ht="100" customHeight="1">
      <x:c r="A139" s="10" t="n">
        <x:v>138</x:v>
      </x:c>
      <x:c r="B139" s="10" t="str">
        <x:v>ADMIN-0138</x:v>
      </x:c>
      <x:c r="C139" s="10" t="str">
        <x:v>主播管理</x:v>
      </x:c>
      <x:c r="D139" s="10" t="str">
        <x:v>审核详情（平台管理员）</x:v>
      </x:c>
      <x:c r="E139" s="10" t="str">
        <x:v>业务流程</x:v>
      </x:c>
      <x:c r="F139" s="10" t="str">
        <x:v>P1</x:v>
      </x:c>
      <x:c r="G139" s="9" t="str">
        <x:v>验证平台通过生成主播身份</x:v>
      </x:c>
      <x:c r="H139" s="9" t="str">
        <x:v>终审身份转换</x:v>
      </x:c>
      <x:c r="I139" s="9" t="str">
        <x:v>1. 当前执行账号具有管理后台会话，身份为平台管理员；具体账号及权限变化按以下条件准备
2. A申请加入G1，J1已公会初审通过，认证材料完整</x:v>
      </x:c>
      <x:c r="J139" s="9" t="str">
        <x:v>1. 打开J1审核详情
2. 选择“通过”
3. 点击“确认”
4. 打开主播列表
5. 查询用户A</x:v>
      </x:c>
      <x:c r="K139" s="9" t="str">
        <x:v>A以主播身份归属G1</x:v>
      </x:c>
      <x:c r="L139" s="10" t="str">
        <x:v>FLOW-GUILD-JOIN</x:v>
      </x:c>
      <x:c r="M139" s="10" t="str">
        <x:v>未测</x:v>
      </x:c>
      <x:c r="N139" s="10" t="str"/>
      <x:c r="O139" s="9" t="str">
        <x:v>1. 来源（当前证据）：liveshow-proto/MainBasis/统一需求文档.md；位置：第2279行、第2270行、第2271行
2. 规则：BR-484fc5d3f9a5aa50
3. 未动态验证</x:v>
      </x:c>
    </x:row>
    <x:row r="140" ht="85" customHeight="1">
      <x:c r="A140" s="10" t="n">
        <x:v>139</x:v>
      </x:c>
      <x:c r="B140" s="10" t="str">
        <x:v>ADMIN-0139</x:v>
      </x:c>
      <x:c r="C140" s="10" t="str">
        <x:v>主播管理</x:v>
      </x:c>
      <x:c r="D140" s="10" t="str">
        <x:v>审核详情（平台管理员）</x:v>
      </x:c>
      <x:c r="E140" s="10" t="str">
        <x:v>功能需求</x:v>
      </x:c>
      <x:c r="F140" s="10" t="str">
        <x:v>P1</x:v>
      </x:c>
      <x:c r="G140" s="9" t="str">
        <x:v>验证平台驳回原因必填</x:v>
      </x:c>
      <x:c r="H140" s="9" t="str">
        <x:v>终审驳回原因</x:v>
      </x:c>
      <x:c r="I140" s="9" t="str">
        <x:v>1. 当前执行账号具有管理后台会话，身份为平台管理员；具体账号及权限变化按以下条件准备
2. J1待平台终审</x:v>
      </x:c>
      <x:c r="J140" s="9" t="str">
        <x:v>1. 打开J1审核详情
2. 选择“驳回”
3. 清空驳回原因
4. 点击“确认”</x:v>
      </x:c>
      <x:c r="K140" s="9" t="str">
        <x:v>不提交无原因的驳回结论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来源（当前证据）：liveshow-proto/MainBasis/统一需求文档.md；位置：第2278行、第2270行、第2271行
2. 规则：BR-a172ccef16fa196a
3. 未动态验证</x:v>
      </x:c>
    </x:row>
    <x:row r="141" ht="85" customHeight="1">
      <x:c r="A141" s="10" t="n">
        <x:v>140</x:v>
      </x:c>
      <x:c r="B141" s="10" t="str">
        <x:v>ADMIN-0140</x:v>
      </x:c>
      <x:c r="C141" s="10" t="str">
        <x:v>主播管理</x:v>
      </x:c>
      <x:c r="D141" s="10" t="str">
        <x:v>审核详情（平台管理员）</x:v>
      </x:c>
      <x:c r="E141" s="10" t="str">
        <x:v>功能需求</x:v>
      </x:c>
      <x:c r="F141" s="10" t="str">
        <x:v>P0</x:v>
      </x:c>
      <x:c r="G141" s="9" t="str">
        <x:v>验证平台终审已通过不可再处理</x:v>
      </x:c>
      <x:c r="H141" s="9" t="str">
        <x:v>平台终审终态</x:v>
      </x:c>
      <x:c r="I141" s="9" t="str">
        <x:v>1. 当前执行账号具有管理后台会话，身份为平台管理员；具体账号及权限变化按以下条件准备
2. J1已通过</x:v>
      </x:c>
      <x:c r="J141" s="9" t="str">
        <x:v>1. 打开J1审核详情</x:v>
      </x:c>
      <x:c r="K141" s="9" t="str">
        <x:v>不提供再次提交审核结果的操作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来源（当前证据）：liveshow-proto/MainBasis/统一需求文档.md；位置：第2280行、第2270行、第2271行
2. 规则：BR-d8602104028aa501
3. 未动态验证</x:v>
      </x:c>
    </x:row>
    <x:row r="142" ht="85" customHeight="1">
      <x:c r="A142" s="10" t="n">
        <x:v>141</x:v>
      </x:c>
      <x:c r="B142" s="10" t="str">
        <x:v>ADMIN-0141</x:v>
      </x:c>
      <x:c r="C142" s="10" t="str">
        <x:v>主播管理</x:v>
      </x:c>
      <x:c r="D142" s="10" t="str">
        <x:v>审核详情（平台管理员）</x:v>
      </x:c>
      <x:c r="E142" s="10" t="str">
        <x:v>功能需求</x:v>
      </x:c>
      <x:c r="F142" s="10" t="str">
        <x:v>P0</x:v>
      </x:c>
      <x:c r="G142" s="9" t="str">
        <x:v>验证平台终审已驳回不可再处理</x:v>
      </x:c>
      <x:c r="H142" s="9" t="str">
        <x:v>平台终审终态</x:v>
      </x:c>
      <x:c r="I142" s="9" t="str">
        <x:v>1. 当前执行账号具有管理后台会话，身份为平台管理员；具体账号及权限变化按以下条件准备
2. J1已驳回</x:v>
      </x:c>
      <x:c r="J142" s="9" t="str">
        <x:v>1. 打开J1审核详情</x:v>
      </x:c>
      <x:c r="K142" s="9" t="str">
        <x:v>不提供再次提交审核结果的操作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来源（当前证据）：liveshow-proto/MainBasis/统一需求文档.md；位置：第2280行、第2270行、第2271行
2. 规则：BR-6f03709b27f88d62
3. 未动态验证</x:v>
      </x:c>
    </x:row>
    <x:row r="143" ht="115" customHeight="1">
      <x:c r="A143" s="10" t="n">
        <x:v>142</x:v>
      </x:c>
      <x:c r="B143" s="10" t="str">
        <x:v>ADMIN-0142</x:v>
      </x:c>
      <x:c r="C143" s="10" t="str">
        <x:v>主播管理</x:v>
      </x:c>
      <x:c r="D143" s="10" t="str">
        <x:v>审核详情（平台管理员）</x:v>
      </x:c>
      <x:c r="E143" s="10" t="str">
        <x:v>功能需求</x:v>
      </x:c>
      <x:c r="F143" s="10" t="str">
        <x:v>P1</x:v>
      </x:c>
      <x:c r="G143" s="9" t="str">
        <x:v>验证审核材料不跟随后续资料变化</x:v>
      </x:c>
      <x:c r="H143" s="9" t="str">
        <x:v>审核材料快照</x:v>
      </x:c>
      <x:c r="I143" s="9" t="str">
        <x:v>1. 当前执行账号具有管理后台会话，身份为平台管理员；具体账号及权限变化按以下条件准备
2. J1提交时实名为测试A，照片为材料A；个人资料后来变为测试B</x:v>
      </x:c>
      <x:c r="J143" s="9" t="str">
        <x:v>1. 打开J1审核详情
2. 查看认证材料</x:v>
      </x:c>
      <x:c r="K143" s="9" t="str">
        <x:v>J1继续展示提交时的测试A与材料A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来源（当前证据）：liveshow-proto/MainBasis/统一需求文档.md；位置：第2274行、第2270行、第2271行
2. 规则：BR-bfc2c074c1d785d4
3. 未动态验证</x:v>
      </x:c>
    </x:row>
    <x:row r="144" ht="100" customHeight="1">
      <x:c r="A144" s="10" t="n">
        <x:v>143</x:v>
      </x:c>
      <x:c r="B144" s="10" t="str">
        <x:v>ADMIN-0143</x:v>
      </x:c>
      <x:c r="C144" s="10" t="str">
        <x:v>用户管理</x:v>
      </x:c>
      <x:c r="D144" s="10" t="str">
        <x:v>用户列表（平台管理员）</x:v>
      </x:c>
      <x:c r="E144" s="10" t="str">
        <x:v>功能需求</x:v>
      </x:c>
      <x:c r="F144" s="10" t="str">
        <x:v>P1</x:v>
      </x:c>
      <x:c r="G144" s="9" t="str">
        <x:v>验证用户等级区间0至0</x:v>
      </x:c>
      <x:c r="H144" s="9" t="str">
        <x:v>等级筛选边界</x:v>
      </x:c>
      <x:c r="I144" s="9" t="str">
        <x:v>1. 当前执行账号具有管理后台会话，身份为平台管理员；具体账号及权限变化按以下条件准备
2. 系统存在当前等级0、1、2的测试用户</x:v>
      </x:c>
      <x:c r="J144" s="9" t="str">
        <x:v>1. 打开用户列表
2. 输入财富等级下限0与上限0
3. 点击“查询”</x:v>
      </x:c>
      <x:c r="K144" s="9" t="str">
        <x:v>结果仅包含等级在0至0的用户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来源（当前证据）：liveshow-proto/MainBasis/统一需求文档.md；位置：第2210行、第2205行、第2206行
2. 规则：BR-f248e1ce7a5d1993
3. 未动态验证</x:v>
      </x:c>
    </x:row>
    <x:row r="145" ht="100" customHeight="1">
      <x:c r="A145" s="10" t="n">
        <x:v>144</x:v>
      </x:c>
      <x:c r="B145" s="10" t="str">
        <x:v>ADMIN-0144</x:v>
      </x:c>
      <x:c r="C145" s="10" t="str">
        <x:v>用户管理</x:v>
      </x:c>
      <x:c r="D145" s="10" t="str">
        <x:v>用户列表（平台管理员）</x:v>
      </x:c>
      <x:c r="E145" s="10" t="str">
        <x:v>功能需求</x:v>
      </x:c>
      <x:c r="F145" s="10" t="str">
        <x:v>P1</x:v>
      </x:c>
      <x:c r="G145" s="9" t="str">
        <x:v>验证用户等级区间0至1</x:v>
      </x:c>
      <x:c r="H145" s="9" t="str">
        <x:v>等级筛选边界</x:v>
      </x:c>
      <x:c r="I145" s="9" t="str">
        <x:v>1. 当前执行账号具有管理后台会话，身份为平台管理员；具体账号及权限变化按以下条件准备
2. 系统存在当前等级0、1、2的测试用户</x:v>
      </x:c>
      <x:c r="J145" s="9" t="str">
        <x:v>1. 打开用户列表
2. 输入财富等级下限0与上限1
3. 点击“查询”</x:v>
      </x:c>
      <x:c r="K145" s="9" t="str">
        <x:v>结果仅包含等级在0至1的用户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来源（当前证据）：liveshow-proto/MainBasis/统一需求文档.md；位置：第2210行、第2205行、第2206行
2. 规则：BR-d5a377e94a863632
3. 未动态验证</x:v>
      </x:c>
    </x:row>
    <x:row r="146" ht="100" customHeight="1">
      <x:c r="A146" s="10" t="n">
        <x:v>145</x:v>
      </x:c>
      <x:c r="B146" s="10" t="str">
        <x:v>ADMIN-0145</x:v>
      </x:c>
      <x:c r="C146" s="10" t="str">
        <x:v>用户管理</x:v>
      </x:c>
      <x:c r="D146" s="10" t="str">
        <x:v>用户列表（平台管理员）</x:v>
      </x:c>
      <x:c r="E146" s="10" t="str">
        <x:v>功能需求</x:v>
      </x:c>
      <x:c r="F146" s="10" t="str">
        <x:v>P1</x:v>
      </x:c>
      <x:c r="G146" s="9" t="str">
        <x:v>验证用户等级区间1至0</x:v>
      </x:c>
      <x:c r="H146" s="9" t="str">
        <x:v>等级筛选边界</x:v>
      </x:c>
      <x:c r="I146" s="9" t="str">
        <x:v>1. 当前执行账号具有管理后台会话，身份为平台管理员；具体账号及权限变化按以下条件准备
2. 系统存在当前等级0、1、2的测试用户</x:v>
      </x:c>
      <x:c r="J146" s="9" t="str">
        <x:v>1. 打开用户列表
2. 输入财富等级下限1与上限0
3. 点击“查询”</x:v>
      </x:c>
      <x:c r="K146" s="9" t="str">
        <x:v>不执行非法等级区间查询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来源（当前证据）：liveshow-proto/MainBasis/统一需求文档.md；位置：第2210行、第2205行、第2206行
2. 规则：BR-f32bc4d4a167a3c9
3. 未动态验证</x:v>
      </x:c>
    </x:row>
    <x:row r="147" ht="100" customHeight="1">
      <x:c r="A147" s="10" t="n">
        <x:v>146</x:v>
      </x:c>
      <x:c r="B147" s="10" t="str">
        <x:v>ADMIN-0146</x:v>
      </x:c>
      <x:c r="C147" s="10" t="str">
        <x:v>用户管理</x:v>
      </x:c>
      <x:c r="D147" s="10" t="str">
        <x:v>用户列表（平台管理员）</x:v>
      </x:c>
      <x:c r="E147" s="10" t="str">
        <x:v>功能需求</x:v>
      </x:c>
      <x:c r="F147" s="10" t="str">
        <x:v>P1</x:v>
      </x:c>
      <x:c r="G147" s="9" t="str">
        <x:v>验证用户等级区间-1至2</x:v>
      </x:c>
      <x:c r="H147" s="9" t="str">
        <x:v>等级筛选边界</x:v>
      </x:c>
      <x:c r="I147" s="9" t="str">
        <x:v>1. 当前执行账号具有管理后台会话，身份为平台管理员；具体账号及权限变化按以下条件准备
2. 系统存在当前等级0、1、2的测试用户</x:v>
      </x:c>
      <x:c r="J147" s="9" t="str">
        <x:v>1. 打开用户列表
2. 输入财富等级下限-1与上限2
3. 点击“查询”</x:v>
      </x:c>
      <x:c r="K147" s="9" t="str">
        <x:v>不执行非法等级区间查询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来源（当前证据）：liveshow-proto/MainBasis/统一需求文档.md；位置：第2210行、第2205行、第2206行
2. 规则：BR-13dcdefa25fee505
3. 未动态验证</x:v>
      </x:c>
    </x:row>
    <x:row r="148" ht="100" customHeight="1">
      <x:c r="A148" s="10" t="n">
        <x:v>147</x:v>
      </x:c>
      <x:c r="B148" s="10" t="str">
        <x:v>ADMIN-0147</x:v>
      </x:c>
      <x:c r="C148" s="10" t="str">
        <x:v>用户管理</x:v>
      </x:c>
      <x:c r="D148" s="10" t="str">
        <x:v>用户列表（平台管理员）</x:v>
      </x:c>
      <x:c r="E148" s="10" t="str">
        <x:v>功能需求</x:v>
      </x:c>
      <x:c r="F148" s="10" t="str">
        <x:v>P1</x:v>
      </x:c>
      <x:c r="G148" s="9" t="str">
        <x:v>验证用户等级区间1.5至2</x:v>
      </x:c>
      <x:c r="H148" s="9" t="str">
        <x:v>等级筛选边界</x:v>
      </x:c>
      <x:c r="I148" s="9" t="str">
        <x:v>1. 当前执行账号具有管理后台会话，身份为平台管理员；具体账号及权限变化按以下条件准备
2. 系统存在当前等级0、1、2的测试用户</x:v>
      </x:c>
      <x:c r="J148" s="9" t="str">
        <x:v>1. 打开用户列表
2. 输入财富等级下限1.5与上限2
3. 点击“查询”</x:v>
      </x:c>
      <x:c r="K148" s="9" t="str">
        <x:v>不执行非法等级区间查询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来源（当前证据）：liveshow-proto/MainBasis/统一需求文档.md；位置：第2210行、第2205行、第2206行
2. 规则：BR-3bd98e1c2bc11873
3. 未动态验证</x:v>
      </x:c>
    </x:row>
    <x:row r="149" ht="100" customHeight="1">
      <x:c r="A149" s="10" t="n">
        <x:v>148</x:v>
      </x:c>
      <x:c r="B149" s="10" t="str">
        <x:v>ADMIN-0148</x:v>
      </x:c>
      <x:c r="C149" s="10" t="str">
        <x:v>用户管理</x:v>
      </x:c>
      <x:c r="D149" s="10" t="str">
        <x:v>用户详情（平台管理员）</x:v>
      </x:c>
      <x:c r="E149" s="10" t="str">
        <x:v>业务流程</x:v>
      </x:c>
      <x:c r="F149" s="10" t="str">
        <x:v>P0</x:v>
      </x:c>
      <x:c r="G149" s="9" t="str">
        <x:v>验证账号解封不恢复直播权限</x:v>
      </x:c>
      <x:c r="H149" s="9" t="str">
        <x:v>账号权限相互独立</x:v>
      </x:c>
      <x:c r="I149" s="9" t="str">
        <x:v>1. 当前执行账号具有管理后台会话，身份为平台管理员；具体账号及权限变化按以下条件准备
2. 主播A处于账号封禁且平台直播权限关闭</x:v>
      </x:c>
      <x:c r="J149" s="9" t="str">
        <x:v>1. 打开A的用户详情
2. 点击“解封”
3. 输入原因“测试解封”
4. 点击“确认”
5. 打开A的主播详情</x:v>
      </x:c>
      <x:c r="K149" s="9" t="str">
        <x:v>A的平台直播权限仍关闭</x:v>
      </x:c>
      <x:c r="L149" s="10" t="str">
        <x:v>FLOW-ACCOUNT-BAN</x:v>
      </x:c>
      <x:c r="M149" s="10" t="str">
        <x:v>未测</x:v>
      </x:c>
      <x:c r="N149" s="10" t="str"/>
      <x:c r="O149" s="9" t="str">
        <x:v>1. 来源（当前证据）：liveshow-proto/MainBasis/统一需求文档.md；位置：第2231行、第2221行、第2222行
2. 规则：BR-b8592a8a0097bb20
3. 未动态验证</x:v>
      </x:c>
    </x:row>
    <x:row r="150" ht="85" customHeight="1">
      <x:c r="A150" s="10" t="n">
        <x:v>149</x:v>
      </x:c>
      <x:c r="B150" s="10" t="str">
        <x:v>ADMIN-0149</x:v>
      </x:c>
      <x:c r="C150" s="10" t="str">
        <x:v>主播管理</x:v>
      </x:c>
      <x:c r="D150" s="10" t="str">
        <x:v>直播详情（平台管理员）</x:v>
      </x:c>
      <x:c r="E150" s="10" t="str">
        <x:v>业务流程</x:v>
      </x:c>
      <x:c r="F150" s="10" t="str">
        <x:v>P1</x:v>
      </x:c>
      <x:c r="G150" s="9" t="str">
        <x:v>验证平台直播详情警告</x:v>
      </x:c>
      <x:c r="H150" s="9" t="str">
        <x:v>直播即时处置</x:v>
      </x:c>
      <x:c r="I150" s="9" t="str">
        <x:v>1. 当前执行账号具有管理后台会话，身份为平台管理员；具体账号及权限变化按以下条件准备
2. 场次S1正在直播</x:v>
      </x:c>
      <x:c r="J150" s="9" t="str">
        <x:v>1. 打开S1直播详情
2. 点击“警告”
3. 输入原因“测试处置”
4. 点击“确认”</x:v>
      </x:c>
      <x:c r="K150" s="9" t="str">
        <x:v>S1状态保持直播中</x:v>
      </x:c>
      <x:c r="L150" s="10" t="str">
        <x:v>FLOW-LIVE-DISPOSITION</x:v>
      </x:c>
      <x:c r="M150" s="10" t="str">
        <x:v>未测</x:v>
      </x:c>
      <x:c r="N150" s="10" t="str"/>
      <x:c r="O150" s="9" t="str">
        <x:v>1. 来源（当前证据）：liveshow-proto/MainBasis/统一需求文档.md；位置：第2305行、第2296行、第2297行
2. 规则：BR-6845f1087a99e8a3
3. 未动态验证</x:v>
      </x:c>
    </x:row>
    <x:row r="151" ht="85" customHeight="1">
      <x:c r="A151" s="10" t="n">
        <x:v>150</x:v>
      </x:c>
      <x:c r="B151" s="10" t="str">
        <x:v>ADMIN-0150</x:v>
      </x:c>
      <x:c r="C151" s="10" t="str">
        <x:v>主播管理</x:v>
      </x:c>
      <x:c r="D151" s="10" t="str">
        <x:v>直播详情（平台管理员）</x:v>
      </x:c>
      <x:c r="E151" s="10" t="str">
        <x:v>业务流程</x:v>
      </x:c>
      <x:c r="F151" s="10" t="str">
        <x:v>P1</x:v>
      </x:c>
      <x:c r="G151" s="9" t="str">
        <x:v>验证平台直播详情关播</x:v>
      </x:c>
      <x:c r="H151" s="9" t="str">
        <x:v>直播即时处置</x:v>
      </x:c>
      <x:c r="I151" s="9" t="str">
        <x:v>1. 当前执行账号具有管理后台会话，身份为平台管理员；具体账号及权限变化按以下条件准备
2. 场次S1正在直播</x:v>
      </x:c>
      <x:c r="J151" s="9" t="str">
        <x:v>1. 打开S1直播详情
2. 点击“关播”
3. 输入原因“测试处置”
4. 点击“确认”</x:v>
      </x:c>
      <x:c r="K151" s="9" t="str">
        <x:v>S1状态更新为已结束</x:v>
      </x:c>
      <x:c r="L151" s="10" t="str">
        <x:v>FLOW-LIVE-DISPOSITION</x:v>
      </x:c>
      <x:c r="M151" s="10" t="str">
        <x:v>未测</x:v>
      </x:c>
      <x:c r="N151" s="10" t="str"/>
      <x:c r="O151" s="9" t="str">
        <x:v>1. 来源（当前证据）：liveshow-proto/MainBasis/统一需求文档.md；位置：第2305行、第2296行、第2297行
2. 规则：BR-6b202fc938701b03
3. 未动态验证</x:v>
      </x:c>
    </x:row>
    <x:row r="152" ht="85" customHeight="1">
      <x:c r="A152" s="10" t="n">
        <x:v>151</x:v>
      </x:c>
      <x:c r="B152" s="10" t="str">
        <x:v>ADMIN-0151</x:v>
      </x:c>
      <x:c r="C152" s="10" t="str">
        <x:v>主播管理</x:v>
      </x:c>
      <x:c r="D152" s="10" t="str">
        <x:v>直播详情（平台管理员）</x:v>
      </x:c>
      <x:c r="E152" s="10" t="str">
        <x:v>功能需求</x:v>
      </x:c>
      <x:c r="F152" s="10" t="str">
        <x:v>P1</x:v>
      </x:c>
      <x:c r="G152" s="9" t="str">
        <x:v>验证已结束场次不可即时处置</x:v>
      </x:c>
      <x:c r="H152" s="9" t="str">
        <x:v>历史场次只读</x:v>
      </x:c>
      <x:c r="I152" s="9" t="str">
        <x:v>1. 当前执行账号具有管理后台会话，身份为平台管理员；具体账号及权限变化按以下条件准备
2. S1已结束，主播另开S2</x:v>
      </x:c>
      <x:c r="J152" s="9" t="str">
        <x:v>1. 打开S1直播详情</x:v>
      </x:c>
      <x:c r="K152" s="9" t="str">
        <x:v>不提供对S1的即时警告或关播操作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来源（当前证据）：liveshow-proto/MainBasis/统一需求文档.md；位置：第2304行、第2296行、第2297行
2. 规则：BR-209033fbce8d9611
3. 未动态验证</x:v>
      </x:c>
    </x:row>
    <x:row r="153" ht="100" customHeight="1">
      <x:c r="A153" s="10" t="n">
        <x:v>152</x:v>
      </x:c>
      <x:c r="B153" s="10" t="str">
        <x:v>ADMIN-0152</x:v>
      </x:c>
      <x:c r="C153" s="10" t="str">
        <x:v>内容审核</x:v>
      </x:c>
      <x:c r="D153" s="10" t="str">
        <x:v>内容审核（平台管理员）</x:v>
      </x:c>
      <x:c r="E153" s="10" t="str">
        <x:v>业务流程</x:v>
      </x:c>
      <x:c r="F153" s="10" t="str">
        <x:v>P1</x:v>
      </x:c>
      <x:c r="G153" s="9" t="str">
        <x:v>验证机审告警忽略</x:v>
      </x:c>
      <x:c r="H153" s="9" t="str">
        <x:v>告警人工分流</x:v>
      </x:c>
      <x:c r="I153" s="9" t="str">
        <x:v>1. 当前执行账号具有管理后台会话，身份为平台管理员；具体账号及权限变化按以下条件准备
2. 机审告警A待处理，关联S1直播中</x:v>
      </x:c>
      <x:c r="J153" s="9" t="str">
        <x:v>1. 打开内容审核
2. 打开告警A
3. 选择“忽略”
4. 输入原因“测试复核”
5. 点击“提交”</x:v>
      </x:c>
      <x:c r="K153" s="9" t="str">
        <x:v>A更新为已忽略</x:v>
      </x:c>
      <x:c r="L153" s="10" t="str">
        <x:v>FLOW-CONTENT-AUDIT</x:v>
      </x:c>
      <x:c r="M153" s="10" t="str">
        <x:v>未测</x:v>
      </x:c>
      <x:c r="N153" s="10" t="str"/>
      <x:c r="O153" s="9" t="str">
        <x:v>1. 来源（当前证据）：liveshow-proto/MainBasis/统一需求文档.md；位置：第2346行、第2338行、第2339行
2. 规则：BR-4f8073e64781118b
3. 未动态验证</x:v>
      </x:c>
    </x:row>
    <x:row r="154" ht="100" customHeight="1">
      <x:c r="A154" s="10" t="n">
        <x:v>153</x:v>
      </x:c>
      <x:c r="B154" s="10" t="str">
        <x:v>ADMIN-0153</x:v>
      </x:c>
      <x:c r="C154" s="10" t="str">
        <x:v>内容审核</x:v>
      </x:c>
      <x:c r="D154" s="10" t="str">
        <x:v>内容审核（平台管理员）</x:v>
      </x:c>
      <x:c r="E154" s="10" t="str">
        <x:v>业务流程</x:v>
      </x:c>
      <x:c r="F154" s="10" t="str">
        <x:v>P1</x:v>
      </x:c>
      <x:c r="G154" s="9" t="str">
        <x:v>验证机审告警转人工复审</x:v>
      </x:c>
      <x:c r="H154" s="9" t="str">
        <x:v>告警人工分流</x:v>
      </x:c>
      <x:c r="I154" s="9" t="str">
        <x:v>1. 当前执行账号具有管理后台会话，身份为平台管理员；具体账号及权限变化按以下条件准备
2. 机审告警A待处理，关联S1直播中</x:v>
      </x:c>
      <x:c r="J154" s="9" t="str">
        <x:v>1. 打开内容审核
2. 打开告警A
3. 选择“转人工复审”
4. 输入原因“测试复核”
5. 点击“提交”</x:v>
      </x:c>
      <x:c r="K154" s="9" t="str">
        <x:v>A更新为人工复审中</x:v>
      </x:c>
      <x:c r="L154" s="10" t="str">
        <x:v>FLOW-CONTENT-AUDIT</x:v>
      </x:c>
      <x:c r="M154" s="10" t="str">
        <x:v>未测</x:v>
      </x:c>
      <x:c r="N154" s="10" t="str"/>
      <x:c r="O154" s="9" t="str">
        <x:v>1. 来源（当前证据）：liveshow-proto/MainBasis/统一需求文档.md；位置：第2346行、第2338行、第2339行
2. 规则：BR-902e53b6aaa811d1
3. 未动态验证</x:v>
      </x:c>
    </x:row>
    <x:row r="155" ht="100" customHeight="1">
      <x:c r="A155" s="10" t="n">
        <x:v>154</x:v>
      </x:c>
      <x:c r="B155" s="10" t="str">
        <x:v>ADMIN-0154</x:v>
      </x:c>
      <x:c r="C155" s="10" t="str">
        <x:v>内容审核</x:v>
      </x:c>
      <x:c r="D155" s="10" t="str">
        <x:v>内容审核（平台管理员）</x:v>
      </x:c>
      <x:c r="E155" s="10" t="str">
        <x:v>功能需求</x:v>
      </x:c>
      <x:c r="F155" s="10" t="str">
        <x:v>P1</x:v>
      </x:c>
      <x:c r="G155" s="9" t="str">
        <x:v>验证机审命中不直接处罚</x:v>
      </x:c>
      <x:c r="H155" s="9" t="str">
        <x:v>机审与处置分离</x:v>
      </x:c>
      <x:c r="I155" s="9" t="str">
        <x:v>1. 当前执行账号具有管理后台会话，身份为平台管理员；具体账号及权限变化按以下条件准备
2. 机审生成高风险告警A，尚未人工处理，S1正在直播</x:v>
      </x:c>
      <x:c r="J155" s="9" t="str">
        <x:v>1. 打开内容审核
2. 查看告警A
3. 打开S1直播详情
4. 查看场次状态</x:v>
      </x:c>
      <x:c r="K155" s="9" t="str">
        <x:v>S1仍显示直播中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来源（当前证据）：liveshow-proto/MainBasis/统一需求文档.md；位置：第2342行、第2304行、第2338行、第2339行
2. 规则：BR-5c91b499e5d2f10c
3. 未动态验证</x:v>
      </x:c>
    </x:row>
    <x:row r="156" ht="85" customHeight="1">
      <x:c r="A156" s="10" t="n">
        <x:v>155</x:v>
      </x:c>
      <x:c r="B156" s="10" t="str">
        <x:v>ADMIN-0155</x:v>
      </x:c>
      <x:c r="C156" s="10" t="str">
        <x:v>内容审核</x:v>
      </x:c>
      <x:c r="D156" s="10" t="str">
        <x:v>内容审核详情（平台管理员）</x:v>
      </x:c>
      <x:c r="E156" s="10" t="str">
        <x:v>功能需求</x:v>
      </x:c>
      <x:c r="F156" s="10" t="str">
        <x:v>P1</x:v>
      </x:c>
      <x:c r="G156" s="9" t="str">
        <x:v>验证机审复审原因必填</x:v>
      </x:c>
      <x:c r="H156" s="9" t="str">
        <x:v>内容复审原因</x:v>
      </x:c>
      <x:c r="I156" s="9" t="str">
        <x:v>1. 当前执行账号具有管理后台会话，身份为平台管理员；具体账号及权限变化按以下条件准备
2. 告警A待处理</x:v>
      </x:c>
      <x:c r="J156" s="9" t="str">
        <x:v>1. 打开A审核详情
2. 选择“忽略”
3. 清空原因
4. 点击“提交”</x:v>
      </x:c>
      <x:c r="K156" s="9" t="str">
        <x:v>不提交缺少原因的复审结果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来源（当前证据）：liveshow-proto/MainBasis/统一需求文档.md；位置：第2355行、第2349行、第2350行
2. 规则：BR-12258826f0e48199
3. 未动态验证</x:v>
      </x:c>
    </x:row>
    <x:row r="157" ht="85" customHeight="1">
      <x:c r="A157" s="10" t="n">
        <x:v>156</x:v>
      </x:c>
      <x:c r="B157" s="10" t="str">
        <x:v>ADMIN-0156</x:v>
      </x:c>
      <x:c r="C157" s="10" t="str">
        <x:v>内容审核</x:v>
      </x:c>
      <x:c r="D157" s="10" t="str">
        <x:v>内容审核详情（平台管理员）</x:v>
      </x:c>
      <x:c r="E157" s="10" t="str">
        <x:v>功能需求</x:v>
      </x:c>
      <x:c r="F157" s="10" t="str">
        <x:v>P1</x:v>
      </x:c>
      <x:c r="G157" s="9" t="str">
        <x:v>验证机审已忽略终态</x:v>
      </x:c>
      <x:c r="H157" s="9" t="str">
        <x:v>内容审核终态</x:v>
      </x:c>
      <x:c r="I157" s="9" t="str">
        <x:v>1. 当前执行账号具有管理后台会话，身份为平台管理员；具体账号及权限变化按以下条件准备
2. 告警A已忽略</x:v>
      </x:c>
      <x:c r="J157" s="9" t="str">
        <x:v>1. 打开A审核详情</x:v>
      </x:c>
      <x:c r="K157" s="9" t="str">
        <x:v>不可再次提交处理结果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来源（当前证据）：liveshow-proto/MainBasis/统一需求文档.md；位置：第2356行、第2349行、第2350行
2. 规则：BR-a5aa9eac60283bae
3. 未动态验证</x:v>
      </x:c>
    </x:row>
    <x:row r="158" ht="85" customHeight="1">
      <x:c r="A158" s="10" t="n">
        <x:v>157</x:v>
      </x:c>
      <x:c r="B158" s="10" t="str">
        <x:v>ADMIN-0157</x:v>
      </x:c>
      <x:c r="C158" s="10" t="str">
        <x:v>内容审核</x:v>
      </x:c>
      <x:c r="D158" s="10" t="str">
        <x:v>内容审核详情（平台管理员）</x:v>
      </x:c>
      <x:c r="E158" s="10" t="str">
        <x:v>功能需求</x:v>
      </x:c>
      <x:c r="F158" s="10" t="str">
        <x:v>P1</x:v>
      </x:c>
      <x:c r="G158" s="9" t="str">
        <x:v>验证机审已处置终态</x:v>
      </x:c>
      <x:c r="H158" s="9" t="str">
        <x:v>内容审核终态</x:v>
      </x:c>
      <x:c r="I158" s="9" t="str">
        <x:v>1. 当前执行账号具有管理后台会话，身份为平台管理员；具体账号及权限变化按以下条件准备
2. 告警A已处置</x:v>
      </x:c>
      <x:c r="J158" s="9" t="str">
        <x:v>1. 打开A审核详情</x:v>
      </x:c>
      <x:c r="K158" s="9" t="str">
        <x:v>不可再次提交处理结果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来源（当前证据）：liveshow-proto/MainBasis/统一需求文档.md；位置：第2356行、第2349行、第2350行
2. 规则：BR-8b97a715903c0274
3. 未动态验证</x:v>
      </x:c>
    </x:row>
    <x:row r="159" ht="100" customHeight="1">
      <x:c r="A159" s="10" t="n">
        <x:v>158</x:v>
      </x:c>
      <x:c r="B159" s="10" t="str">
        <x:v>ADMIN-0158</x:v>
      </x:c>
      <x:c r="C159" s="10" t="str">
        <x:v>内容审核</x:v>
      </x:c>
      <x:c r="D159" s="10" t="str">
        <x:v>举报详情（平台管理员）</x:v>
      </x:c>
      <x:c r="E159" s="10" t="str">
        <x:v>业务流程</x:v>
      </x:c>
      <x:c r="F159" s="10" t="str">
        <x:v>P1</x:v>
      </x:c>
      <x:c r="G159" s="9" t="str">
        <x:v>验证账号举报可选不处置</x:v>
      </x:c>
      <x:c r="H159" s="9" t="str">
        <x:v>账号举报处置种类</x:v>
      </x:c>
      <x:c r="I159" s="9" t="str">
        <x:v>1. 当前执行账号具有管理后台会话，身份为平台管理员；具体账号及权限变化按以下条件准备
2. 账号举报R1待处理且举报成立；直播场次仍在播</x:v>
      </x:c>
      <x:c r="J159" s="9" t="str">
        <x:v>1. 打开R1举报详情
2. 选择“不处置”
3. 点击“提交”</x:v>
      </x:c>
      <x:c r="K159" s="9" t="str">
        <x:v>R1状态更新为已处理</x:v>
      </x:c>
      <x:c r="L159" s="10" t="str">
        <x:v>FLOW-ACCOUNT-REPORT</x:v>
      </x:c>
      <x:c r="M159" s="10" t="str">
        <x:v>未测</x:v>
      </x:c>
      <x:c r="N159" s="10" t="str"/>
      <x:c r="O159" s="9" t="str">
        <x:v>1. 来源（当前证据）：liveshow-proto/MainBasis/统一需求文档.md；位置：第2391行、第2386行、第2387行
2. 规则：BR-e35ceaa9016da3b3
3. 未动态验证</x:v>
      </x:c>
    </x:row>
    <x:row r="160" ht="100" customHeight="1">
      <x:c r="A160" s="10" t="n">
        <x:v>159</x:v>
      </x:c>
      <x:c r="B160" s="10" t="str">
        <x:v>ADMIN-0159</x:v>
      </x:c>
      <x:c r="C160" s="10" t="str">
        <x:v>内容审核</x:v>
      </x:c>
      <x:c r="D160" s="10" t="str">
        <x:v>举报详情（平台管理员）</x:v>
      </x:c>
      <x:c r="E160" s="10" t="str">
        <x:v>业务流程</x:v>
      </x:c>
      <x:c r="F160" s="10" t="str">
        <x:v>P1</x:v>
      </x:c>
      <x:c r="G160" s="9" t="str">
        <x:v>验证账号举报可选封禁</x:v>
      </x:c>
      <x:c r="H160" s="9" t="str">
        <x:v>账号举报处置种类</x:v>
      </x:c>
      <x:c r="I160" s="9" t="str">
        <x:v>1. 当前执行账号具有管理后台会话，身份为平台管理员；具体账号及权限变化按以下条件准备
2. 账号举报R1待处理且举报成立；直播场次仍在播</x:v>
      </x:c>
      <x:c r="J160" s="9" t="str">
        <x:v>1. 打开R1举报详情
2. 选择“封禁”
3. 输入处置原因“测试举报处置”
4. 点击“提交”</x:v>
      </x:c>
      <x:c r="K160" s="9" t="str">
        <x:v>R1状态更新为已处理</x:v>
      </x:c>
      <x:c r="L160" s="10" t="str">
        <x:v>FLOW-ACCOUNT-REPORT</x:v>
      </x:c>
      <x:c r="M160" s="10" t="str">
        <x:v>未测</x:v>
      </x:c>
      <x:c r="N160" s="10" t="str"/>
      <x:c r="O160" s="9" t="str">
        <x:v>1. 来源（当前证据）：liveshow-proto/MainBasis/统一需求文档.md；位置：第2391行、第2386行、第2387行
2. 规则：BR-c0ba3d1576d8ed39
3. 未动态验证</x:v>
      </x:c>
    </x:row>
    <x:row r="161" ht="100" customHeight="1">
      <x:c r="A161" s="10" t="n">
        <x:v>160</x:v>
      </x:c>
      <x:c r="B161" s="10" t="str">
        <x:v>ADMIN-0160</x:v>
      </x:c>
      <x:c r="C161" s="10" t="str">
        <x:v>内容审核</x:v>
      </x:c>
      <x:c r="D161" s="10" t="str">
        <x:v>举报详情（平台管理员）</x:v>
      </x:c>
      <x:c r="E161" s="10" t="str">
        <x:v>业务流程</x:v>
      </x:c>
      <x:c r="F161" s="10" t="str">
        <x:v>P1</x:v>
      </x:c>
      <x:c r="G161" s="9" t="str">
        <x:v>验证直播举报可选不处置</x:v>
      </x:c>
      <x:c r="H161" s="9" t="str">
        <x:v>直播举报处置种类</x:v>
      </x:c>
      <x:c r="I161" s="9" t="str">
        <x:v>1. 当前执行账号具有管理后台会话，身份为平台管理员；具体账号及权限变化按以下条件准备
2. 直播举报R1待处理且举报成立；直播场次仍在播</x:v>
      </x:c>
      <x:c r="J161" s="9" t="str">
        <x:v>1. 打开R1举报详情
2. 选择“不处置”
3. 点击“提交”</x:v>
      </x:c>
      <x:c r="K161" s="9" t="str">
        <x:v>R1状态更新为已处理</x:v>
      </x:c>
      <x:c r="L161" s="10" t="str">
        <x:v>FLOW-LIVE-REPORT</x:v>
      </x:c>
      <x:c r="M161" s="10" t="str">
        <x:v>未测</x:v>
      </x:c>
      <x:c r="N161" s="10" t="str"/>
      <x:c r="O161" s="9" t="str">
        <x:v>1. 来源（当前证据）：liveshow-proto/MainBasis/统一需求文档.md；位置：第2391行、第2386行、第2387行
2. 规则：BR-37efa39c1db829f3
3. 未动态验证</x:v>
      </x:c>
    </x:row>
    <x:row r="162" ht="100" customHeight="1">
      <x:c r="A162" s="10" t="n">
        <x:v>161</x:v>
      </x:c>
      <x:c r="B162" s="10" t="str">
        <x:v>ADMIN-0161</x:v>
      </x:c>
      <x:c r="C162" s="10" t="str">
        <x:v>内容审核</x:v>
      </x:c>
      <x:c r="D162" s="10" t="str">
        <x:v>举报详情（平台管理员）</x:v>
      </x:c>
      <x:c r="E162" s="10" t="str">
        <x:v>业务流程</x:v>
      </x:c>
      <x:c r="F162" s="10" t="str">
        <x:v>P1</x:v>
      </x:c>
      <x:c r="G162" s="9" t="str">
        <x:v>验证直播举报可选警告</x:v>
      </x:c>
      <x:c r="H162" s="9" t="str">
        <x:v>直播举报处置种类</x:v>
      </x:c>
      <x:c r="I162" s="9" t="str">
        <x:v>1. 当前执行账号具有管理后台会话，身份为平台管理员；具体账号及权限变化按以下条件准备
2. 直播举报R1待处理且举报成立；直播场次仍在播</x:v>
      </x:c>
      <x:c r="J162" s="9" t="str">
        <x:v>1. 打开R1举报详情
2. 选择“警告”
3. 输入处置原因“测试举报处置”
4. 点击“提交”</x:v>
      </x:c>
      <x:c r="K162" s="9" t="str">
        <x:v>R1状态更新为已处理</x:v>
      </x:c>
      <x:c r="L162" s="10" t="str">
        <x:v>FLOW-LIVE-REPORT</x:v>
      </x:c>
      <x:c r="M162" s="10" t="str">
        <x:v>未测</x:v>
      </x:c>
      <x:c r="N162" s="10" t="str"/>
      <x:c r="O162" s="9" t="str">
        <x:v>1. 来源（当前证据）：liveshow-proto/MainBasis/统一需求文档.md；位置：第2391行、第2386行、第2387行
2. 规则：BR-e44db7216c194d4b
3. 未动态验证</x:v>
      </x:c>
    </x:row>
    <x:row r="163" ht="100" customHeight="1">
      <x:c r="A163" s="10" t="n">
        <x:v>162</x:v>
      </x:c>
      <x:c r="B163" s="10" t="str">
        <x:v>ADMIN-0162</x:v>
      </x:c>
      <x:c r="C163" s="10" t="str">
        <x:v>内容审核</x:v>
      </x:c>
      <x:c r="D163" s="10" t="str">
        <x:v>举报详情（平台管理员）</x:v>
      </x:c>
      <x:c r="E163" s="10" t="str">
        <x:v>业务流程</x:v>
      </x:c>
      <x:c r="F163" s="10" t="str">
        <x:v>P1</x:v>
      </x:c>
      <x:c r="G163" s="9" t="str">
        <x:v>验证直播举报可选关播</x:v>
      </x:c>
      <x:c r="H163" s="9" t="str">
        <x:v>直播举报处置种类</x:v>
      </x:c>
      <x:c r="I163" s="9" t="str">
        <x:v>1. 当前执行账号具有管理后台会话，身份为平台管理员；具体账号及权限变化按以下条件准备
2. 直播举报R1待处理且举报成立；直播场次仍在播</x:v>
      </x:c>
      <x:c r="J163" s="9" t="str">
        <x:v>1. 打开R1举报详情
2. 选择“关播”
3. 输入处置原因“测试举报处置”
4. 点击“提交”</x:v>
      </x:c>
      <x:c r="K163" s="9" t="str">
        <x:v>R1状态更新为已处理</x:v>
      </x:c>
      <x:c r="L163" s="10" t="str">
        <x:v>FLOW-LIVE-REPORT</x:v>
      </x:c>
      <x:c r="M163" s="10" t="str">
        <x:v>未测</x:v>
      </x:c>
      <x:c r="N163" s="10" t="str"/>
      <x:c r="O163" s="9" t="str">
        <x:v>1. 来源（当前证据）：liveshow-proto/MainBasis/统一需求文档.md；位置：第2391行、第2386行、第2387行
2. 规则：BR-cd8a901cbf07a256
3. 未动态验证</x:v>
      </x:c>
    </x:row>
    <x:row r="164" ht="100" customHeight="1">
      <x:c r="A164" s="10" t="n">
        <x:v>163</x:v>
      </x:c>
      <x:c r="B164" s="10" t="str">
        <x:v>ADMIN-0163</x:v>
      </x:c>
      <x:c r="C164" s="10" t="str">
        <x:v>内容审核</x:v>
      </x:c>
      <x:c r="D164" s="10" t="str">
        <x:v>举报详情（平台管理员）</x:v>
      </x:c>
      <x:c r="E164" s="10" t="str">
        <x:v>业务流程</x:v>
      </x:c>
      <x:c r="F164" s="10" t="str">
        <x:v>P0</x:v>
      </x:c>
      <x:c r="G164" s="9" t="str">
        <x:v>验证直播举报可选关闭直播权限</x:v>
      </x:c>
      <x:c r="H164" s="9" t="str">
        <x:v>直播举报处置种类</x:v>
      </x:c>
      <x:c r="I164" s="9" t="str">
        <x:v>1. 当前执行账号具有管理后台会话，身份为平台管理员；具体账号及权限变化按以下条件准备
2. 直播举报R1待处理且举报成立；直播场次仍在播</x:v>
      </x:c>
      <x:c r="J164" s="9" t="str">
        <x:v>1. 打开R1举报详情
2. 选择“关闭直播权限”
3. 输入处置原因“测试举报处置”
4. 点击“提交”</x:v>
      </x:c>
      <x:c r="K164" s="9" t="str">
        <x:v>R1状态更新为已处理</x:v>
      </x:c>
      <x:c r="L164" s="10" t="str">
        <x:v>FLOW-LIVE-REPORT</x:v>
      </x:c>
      <x:c r="M164" s="10" t="str">
        <x:v>未测</x:v>
      </x:c>
      <x:c r="N164" s="10" t="str"/>
      <x:c r="O164" s="9" t="str">
        <x:v>1. 来源（当前证据）：liveshow-proto/MainBasis/统一需求文档.md；位置：第2391行、第2386行、第2387行
2. 规则：BR-179fbe2f697950fe
3. 未动态验证</x:v>
      </x:c>
    </x:row>
    <x:row r="165" ht="100" customHeight="1">
      <x:c r="A165" s="10" t="n">
        <x:v>164</x:v>
      </x:c>
      <x:c r="B165" s="10" t="str">
        <x:v>ADMIN-0164</x:v>
      </x:c>
      <x:c r="C165" s="10" t="str">
        <x:v>内容审核</x:v>
      </x:c>
      <x:c r="D165" s="10" t="str">
        <x:v>举报详情（平台管理员）</x:v>
      </x:c>
      <x:c r="E165" s="10" t="str">
        <x:v>功能需求</x:v>
      </x:c>
      <x:c r="F165" s="10" t="str">
        <x:v>P1</x:v>
      </x:c>
      <x:c r="G165" s="9" t="str">
        <x:v>验证举报不成立不得处罚</x:v>
      </x:c>
      <x:c r="H165" s="9" t="str">
        <x:v>不成立举报边界</x:v>
      </x:c>
      <x:c r="I165" s="9" t="str">
        <x:v>1. 当前执行账号具有管理后台会话，身份为平台管理员；具体账号及权限变化按以下条件准备
2. 举报R1待处理，结论选择不成立</x:v>
      </x:c>
      <x:c r="J165" s="9" t="str">
        <x:v>1. 打开R1举报详情
2. 选择举报结论“不成立”
3. 查看可选处置类型</x:v>
      </x:c>
      <x:c r="K165" s="9" t="str">
        <x:v>仅允许不处置结果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来源（当前证据）：liveshow-proto/MainBasis/统一需求文档.md；位置：第2399行、第2386行、第2387行
2. 规则：BR-be2d297ef8ee515b
3. 未动态验证</x:v>
      </x:c>
    </x:row>
    <x:row r="166" ht="100" customHeight="1">
      <x:c r="A166" s="10" t="n">
        <x:v>165</x:v>
      </x:c>
      <x:c r="B166" s="10" t="str">
        <x:v>ADMIN-0165</x:v>
      </x:c>
      <x:c r="C166" s="10" t="str">
        <x:v>内容审核</x:v>
      </x:c>
      <x:c r="D166" s="10" t="str">
        <x:v>举报详情（平台管理员）</x:v>
      </x:c>
      <x:c r="E166" s="10" t="str">
        <x:v>功能需求</x:v>
      </x:c>
      <x:c r="F166" s="10" t="str">
        <x:v>P1</x:v>
      </x:c>
      <x:c r="G166" s="9" t="str">
        <x:v>验证警告缺少原因拒绝提交</x:v>
      </x:c>
      <x:c r="H166" s="9" t="str">
        <x:v>举报处罚原因</x:v>
      </x:c>
      <x:c r="I166" s="9" t="str">
        <x:v>1. 当前执行账号具有管理后台会话，身份为平台管理员；具体账号及权限变化按以下条件准备
2. 直播举报R1成立且当前场次仍在播</x:v>
      </x:c>
      <x:c r="J166" s="9" t="str">
        <x:v>1. 打开R1举报详情
2. 选择“警告”
3. 清空处置原因
4. 点击“提交”</x:v>
      </x:c>
      <x:c r="K166" s="9" t="str">
        <x:v>不提交缺少原因的处罚结果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来源（当前证据）：liveshow-proto/MainBasis/统一需求文档.md；位置：第2392行、第2386行、第2387行
2. 规则：BR-c425c201c4bee0d1
3. 未动态验证</x:v>
      </x:c>
    </x:row>
    <x:row r="167" ht="100" customHeight="1">
      <x:c r="A167" s="10" t="n">
        <x:v>166</x:v>
      </x:c>
      <x:c r="B167" s="10" t="str">
        <x:v>ADMIN-0166</x:v>
      </x:c>
      <x:c r="C167" s="10" t="str">
        <x:v>内容审核</x:v>
      </x:c>
      <x:c r="D167" s="10" t="str">
        <x:v>举报详情（平台管理员）</x:v>
      </x:c>
      <x:c r="E167" s="10" t="str">
        <x:v>功能需求</x:v>
      </x:c>
      <x:c r="F167" s="10" t="str">
        <x:v>P1</x:v>
      </x:c>
      <x:c r="G167" s="9" t="str">
        <x:v>验证关播缺少原因拒绝提交</x:v>
      </x:c>
      <x:c r="H167" s="9" t="str">
        <x:v>举报处罚原因</x:v>
      </x:c>
      <x:c r="I167" s="9" t="str">
        <x:v>1. 当前执行账号具有管理后台会话，身份为平台管理员；具体账号及权限变化按以下条件准备
2. 直播举报R1成立且当前场次仍在播</x:v>
      </x:c>
      <x:c r="J167" s="9" t="str">
        <x:v>1. 打开R1举报详情
2. 选择“关播”
3. 清空处置原因
4. 点击“提交”</x:v>
      </x:c>
      <x:c r="K167" s="9" t="str">
        <x:v>不提交缺少原因的处罚结果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来源（当前证据）：liveshow-proto/MainBasis/统一需求文档.md；位置：第2392行、第2386行、第2387行
2. 规则：BR-da8db2619a9ae299
3. 未动态验证</x:v>
      </x:c>
    </x:row>
    <x:row r="168" ht="100" customHeight="1">
      <x:c r="A168" s="10" t="n">
        <x:v>167</x:v>
      </x:c>
      <x:c r="B168" s="10" t="str">
        <x:v>ADMIN-0167</x:v>
      </x:c>
      <x:c r="C168" s="10" t="str">
        <x:v>内容审核</x:v>
      </x:c>
      <x:c r="D168" s="10" t="str">
        <x:v>举报详情（平台管理员）</x:v>
      </x:c>
      <x:c r="E168" s="10" t="str">
        <x:v>功能需求</x:v>
      </x:c>
      <x:c r="F168" s="10" t="str">
        <x:v>P0</x:v>
      </x:c>
      <x:c r="G168" s="9" t="str">
        <x:v>验证关闭直播权限缺少原因拒绝提交</x:v>
      </x:c>
      <x:c r="H168" s="9" t="str">
        <x:v>举报处罚原因</x:v>
      </x:c>
      <x:c r="I168" s="9" t="str">
        <x:v>1. 当前执行账号具有管理后台会话，身份为平台管理员；具体账号及权限变化按以下条件准备
2. 直播举报R1成立且当前场次仍在播</x:v>
      </x:c>
      <x:c r="J168" s="9" t="str">
        <x:v>1. 打开R1举报详情
2. 选择“关闭直播权限”
3. 清空处置原因
4. 点击“提交”</x:v>
      </x:c>
      <x:c r="K168" s="9" t="str">
        <x:v>不提交缺少原因的处罚结果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来源（当前证据）：liveshow-proto/MainBasis/统一需求文档.md；位置：第2392行、第2386行、第2387行
2. 规则：BR-b067391f955847cd
3. 未动态验证</x:v>
      </x:c>
    </x:row>
    <x:row r="169" ht="85" customHeight="1">
      <x:c r="A169" s="10" t="n">
        <x:v>168</x:v>
      </x:c>
      <x:c r="B169" s="10" t="str">
        <x:v>ADMIN-0168</x:v>
      </x:c>
      <x:c r="C169" s="10" t="str">
        <x:v>内容审核</x:v>
      </x:c>
      <x:c r="D169" s="10" t="str">
        <x:v>直播间违规（平台管理员）</x:v>
      </x:c>
      <x:c r="E169" s="10" t="str">
        <x:v>业务流程</x:v>
      </x:c>
      <x:c r="F169" s="10" t="str">
        <x:v>P1</x:v>
      </x:c>
      <x:c r="G169" s="9" t="str">
        <x:v>验证直播举报已处理只读</x:v>
      </x:c>
      <x:c r="H169" s="9" t="str">
        <x:v>直播举报终态</x:v>
      </x:c>
      <x:c r="I169" s="9" t="str">
        <x:v>1. 当前执行账号具有管理后台会话，身份为平台管理员；具体账号及权限变化按以下条件准备
2. R1已处理</x:v>
      </x:c>
      <x:c r="J169" s="9" t="str">
        <x:v>1. 打开R1直播举报详情</x:v>
      </x:c>
      <x:c r="K169" s="9" t="str">
        <x:v>不提供再次处置操作</x:v>
      </x:c>
      <x:c r="L169" s="10" t="str">
        <x:v>FLOW-LIVE-REPORT</x:v>
      </x:c>
      <x:c r="M169" s="10" t="str">
        <x:v>未测</x:v>
      </x:c>
      <x:c r="N169" s="10" t="str"/>
      <x:c r="O169" s="9" t="str">
        <x:v>1. 来源（当前证据）：liveshow-proto/MainBasis/统一需求文档.md；位置：第2381行、第2372行、第2373行
2. 规则：BR-3cb062bd7768c047
3. 未动态验证</x:v>
      </x:c>
    </x:row>
    <x:row r="170" ht="85" customHeight="1">
      <x:c r="A170" s="10" t="n">
        <x:v>169</x:v>
      </x:c>
      <x:c r="B170" s="10" t="str">
        <x:v>ADMIN-0169</x:v>
      </x:c>
      <x:c r="C170" s="10" t="str">
        <x:v>内容审核</x:v>
      </x:c>
      <x:c r="D170" s="10" t="str">
        <x:v>直播间违规（平台管理员）</x:v>
      </x:c>
      <x:c r="E170" s="10" t="str">
        <x:v>业务流程</x:v>
      </x:c>
      <x:c r="F170" s="10" t="str">
        <x:v>P1</x:v>
      </x:c>
      <x:c r="G170" s="9" t="str">
        <x:v>验证直播举报已作废只读</x:v>
      </x:c>
      <x:c r="H170" s="9" t="str">
        <x:v>直播举报终态</x:v>
      </x:c>
      <x:c r="I170" s="9" t="str">
        <x:v>1. 当前执行账号具有管理后台会话，身份为平台管理员；具体账号及权限变化按以下条件准备
2. R1已作废</x:v>
      </x:c>
      <x:c r="J170" s="9" t="str">
        <x:v>1. 打开R1直播举报详情</x:v>
      </x:c>
      <x:c r="K170" s="9" t="str">
        <x:v>不提供再次处置操作</x:v>
      </x:c>
      <x:c r="L170" s="10" t="str">
        <x:v>FLOW-LIVE-REPORT</x:v>
      </x:c>
      <x:c r="M170" s="10" t="str">
        <x:v>未测</x:v>
      </x:c>
      <x:c r="N170" s="10" t="str"/>
      <x:c r="O170" s="9" t="str">
        <x:v>1. 来源（当前证据）：liveshow-proto/MainBasis/统一需求文档.md；位置：第2381行、第2372行、第2373行
2. 规则：BR-9625af92c20d0aa8
3. 未动态验证</x:v>
      </x:c>
    </x:row>
    <x:row r="171" ht="100" customHeight="1">
      <x:c r="A171" s="10" t="n">
        <x:v>170</x:v>
      </x:c>
      <x:c r="B171" s="10" t="str">
        <x:v>ADMIN-0170</x:v>
      </x:c>
      <x:c r="C171" s="10" t="str">
        <x:v>内容审核</x:v>
      </x:c>
      <x:c r="D171" s="10" t="str">
        <x:v>直播间违规（平台管理员）</x:v>
      </x:c>
      <x:c r="E171" s="10" t="str">
        <x:v>业务流程</x:v>
      </x:c>
      <x:c r="F171" s="10" t="str">
        <x:v>P1</x:v>
      </x:c>
      <x:c r="G171" s="9" t="str">
        <x:v>验证直播结束使待处理举报作废</x:v>
      </x:c>
      <x:c r="H171" s="9" t="str">
        <x:v>直播举报场次结束</x:v>
      </x:c>
      <x:c r="I171" s="9" t="str">
        <x:v>1. 当前执行账号具有管理后台会话，身份为平台管理员；具体账号及权限变化按以下条件准备
2. S1有待处理举报R1，S1现已结束</x:v>
      </x:c>
      <x:c r="J171" s="9" t="str">
        <x:v>1. 打开直播举报列表
2. 查询R1</x:v>
      </x:c>
      <x:c r="K171" s="9" t="str">
        <x:v>R1显示已作废</x:v>
      </x:c>
      <x:c r="L171" s="10" t="str">
        <x:v>FLOW-LIVE-REPORT</x:v>
      </x:c>
      <x:c r="M171" s="10" t="str">
        <x:v>未测</x:v>
      </x:c>
      <x:c r="N171" s="10" t="str"/>
      <x:c r="O171" s="9" t="str">
        <x:v>1. 来源（当前证据）：liveshow-proto/MainBasis/统一需求文档.md；位置：第2380行、第2378行、第2372行、第2373行
2. 规则：BR-fc0b8d02cde3dd76
3. 未动态验证</x:v>
      </x:c>
    </x:row>
    <x:row r="172" ht="100" customHeight="1">
      <x:c r="A172" s="10" t="n">
        <x:v>171</x:v>
      </x:c>
      <x:c r="B172" s="10" t="str">
        <x:v>ADMIN-0171</x:v>
      </x:c>
      <x:c r="C172" s="10" t="str">
        <x:v>内容审核</x:v>
      </x:c>
      <x:c r="D172" s="10" t="str">
        <x:v>举报详情（平台管理员）</x:v>
      </x:c>
      <x:c r="E172" s="10" t="str">
        <x:v>业务流程</x:v>
      </x:c>
      <x:c r="F172" s="10" t="str">
        <x:v>P1</x:v>
      </x:c>
      <x:c r="G172" s="9" t="str">
        <x:v>验证旧举报不能处置新场</x:v>
      </x:c>
      <x:c r="H172" s="9" t="str">
        <x:v>举报场次隔离</x:v>
      </x:c>
      <x:c r="I172" s="9" t="str">
        <x:v>1. 当前执行账号具有管理后台会话，身份为平台管理员；具体账号及权限变化按以下条件准备
2. R1属于已结束S1且未处理，主播已开S2</x:v>
      </x:c>
      <x:c r="J172" s="9" t="str">
        <x:v>1. 打开R1举报详情</x:v>
      </x:c>
      <x:c r="K172" s="9" t="str">
        <x:v>不提供对S2补充关播的操作</x:v>
      </x:c>
      <x:c r="L172" s="10" t="str">
        <x:v>FLOW-LIVE-REPORT</x:v>
      </x:c>
      <x:c r="M172" s="10" t="str">
        <x:v>未测</x:v>
      </x:c>
      <x:c r="N172" s="10" t="str"/>
      <x:c r="O172" s="9" t="str">
        <x:v>1. 来源（当前证据）：liveshow-proto/MainBasis/统一需求文档.md；位置：第2398行、第2386行、第2387行
2. 规则：BR-6892b9ed866d8e18
3. 未动态验证</x:v>
      </x:c>
    </x:row>
    <x:row r="173" ht="85" customHeight="1">
      <x:c r="A173" s="10" t="n">
        <x:v>172</x:v>
      </x:c>
      <x:c r="B173" s="10" t="str">
        <x:v>ADMIN-0172</x:v>
      </x:c>
      <x:c r="C173" s="10" t="str">
        <x:v>内容审核</x:v>
      </x:c>
      <x:c r="D173" s="10" t="str">
        <x:v>举报详情（平台管理员）</x:v>
      </x:c>
      <x:c r="E173" s="10" t="str">
        <x:v>业务流程</x:v>
      </x:c>
      <x:c r="F173" s="10" t="str">
        <x:v>P1</x:v>
      </x:c>
      <x:c r="G173" s="9" t="str">
        <x:v>验证直播举报警告后的场次状态</x:v>
      </x:c>
      <x:c r="H173" s="9" t="str">
        <x:v>举报处置场次结果</x:v>
      </x:c>
      <x:c r="I173" s="9" t="str">
        <x:v>1. 当前执行账号具有管理后台会话，身份为平台管理员；具体账号及权限变化按以下条件准备
2. R1举报成立且关联S1仍在播</x:v>
      </x:c>
      <x:c r="J173" s="9" t="str">
        <x:v>1. 打开R1举报详情
2. 选择“警告”
3. 输入原因“测试”
4. 点击“提交”
5. 打开S1直播详情</x:v>
      </x:c>
      <x:c r="K173" s="9" t="str">
        <x:v>S1显示直播中</x:v>
      </x:c>
      <x:c r="L173" s="10" t="str">
        <x:v>FLOW-LIVE-REPORT</x:v>
      </x:c>
      <x:c r="M173" s="10" t="str">
        <x:v>未测</x:v>
      </x:c>
      <x:c r="N173" s="10" t="str"/>
      <x:c r="O173" s="9" t="str">
        <x:v>1. 来源（当前证据）：liveshow-proto/MainBasis/统一需求文档.md；位置：第2394行、第2386行、第2387行
2. 规则：BR-a3c80cda7b79ee67
3. 未动态验证</x:v>
      </x:c>
    </x:row>
    <x:row r="174" ht="85" customHeight="1">
      <x:c r="A174" s="10" t="n">
        <x:v>173</x:v>
      </x:c>
      <x:c r="B174" s="10" t="str">
        <x:v>ADMIN-0173</x:v>
      </x:c>
      <x:c r="C174" s="10" t="str">
        <x:v>内容审核</x:v>
      </x:c>
      <x:c r="D174" s="10" t="str">
        <x:v>举报详情（平台管理员）</x:v>
      </x:c>
      <x:c r="E174" s="10" t="str">
        <x:v>业务流程</x:v>
      </x:c>
      <x:c r="F174" s="10" t="str">
        <x:v>P1</x:v>
      </x:c>
      <x:c r="G174" s="9" t="str">
        <x:v>验证直播举报关播后的场次状态</x:v>
      </x:c>
      <x:c r="H174" s="9" t="str">
        <x:v>举报处置场次结果</x:v>
      </x:c>
      <x:c r="I174" s="9" t="str">
        <x:v>1. 当前执行账号具有管理后台会话，身份为平台管理员；具体账号及权限变化按以下条件准备
2. R1举报成立且关联S1仍在播</x:v>
      </x:c>
      <x:c r="J174" s="9" t="str">
        <x:v>1. 打开R1举报详情
2. 选择“关播”
3. 输入原因“测试”
4. 点击“提交”
5. 打开S1直播详情</x:v>
      </x:c>
      <x:c r="K174" s="9" t="str">
        <x:v>S1显示已结束</x:v>
      </x:c>
      <x:c r="L174" s="10" t="str">
        <x:v>FLOW-LIVE-REPORT</x:v>
      </x:c>
      <x:c r="M174" s="10" t="str">
        <x:v>未测</x:v>
      </x:c>
      <x:c r="N174" s="10" t="str"/>
      <x:c r="O174" s="9" t="str">
        <x:v>1. 来源（当前证据）：liveshow-proto/MainBasis/统一需求文档.md；位置：第2394行、第2386行、第2387行
2. 规则：BR-52dcb2cb27a720b2
3. 未动态验证</x:v>
      </x:c>
    </x:row>
    <x:row r="175" ht="85" customHeight="1">
      <x:c r="A175" s="10" t="n">
        <x:v>174</x:v>
      </x:c>
      <x:c r="B175" s="10" t="str">
        <x:v>ADMIN-0174</x:v>
      </x:c>
      <x:c r="C175" s="10" t="str">
        <x:v>内容审核</x:v>
      </x:c>
      <x:c r="D175" s="10" t="str">
        <x:v>举报详情（平台管理员）</x:v>
      </x:c>
      <x:c r="E175" s="10" t="str">
        <x:v>业务流程</x:v>
      </x:c>
      <x:c r="F175" s="10" t="str">
        <x:v>P0</x:v>
      </x:c>
      <x:c r="G175" s="9" t="str">
        <x:v>验证直播举报关闭直播权限后的场次状态</x:v>
      </x:c>
      <x:c r="H175" s="9" t="str">
        <x:v>举报处置场次结果</x:v>
      </x:c>
      <x:c r="I175" s="9" t="str">
        <x:v>1. 当前执行账号具有管理后台会话，身份为平台管理员；具体账号及权限变化按以下条件准备
2. R1举报成立且关联S1仍在播</x:v>
      </x:c>
      <x:c r="J175" s="9" t="str">
        <x:v>1. 打开R1举报详情
2. 选择“关闭直播权限”
3. 输入原因“测试”
4. 点击“提交”
5. 打开S1直播详情</x:v>
      </x:c>
      <x:c r="K175" s="9" t="str">
        <x:v>S1显示已结束</x:v>
      </x:c>
      <x:c r="L175" s="10" t="str">
        <x:v>FLOW-LIVE-REPORT</x:v>
      </x:c>
      <x:c r="M175" s="10" t="str">
        <x:v>未测</x:v>
      </x:c>
      <x:c r="N175" s="10" t="str"/>
      <x:c r="O175" s="9" t="str">
        <x:v>1. 来源（当前证据）：liveshow-proto/MainBasis/统一需求文档.md；位置：第2394行、第2386行、第2387行
2. 规则：BR-a266d6a90cdf0a72
3. 未动态验证</x:v>
      </x:c>
    </x:row>
    <x:row r="176" ht="100" customHeight="1">
      <x:c r="A176" s="10" t="n">
        <x:v>175</x:v>
      </x:c>
      <x:c r="B176" s="10" t="str">
        <x:v>ADMIN-0175</x:v>
      </x:c>
      <x:c r="C176" s="10" t="str">
        <x:v>公会管理</x:v>
      </x:c>
      <x:c r="D176" s="10" t="str">
        <x:v>公会详情（平台管理员）</x:v>
      </x:c>
      <x:c r="E176" s="10" t="str">
        <x:v>业务流程</x:v>
      </x:c>
      <x:c r="F176" s="10" t="str">
        <x:v>P1</x:v>
      </x:c>
      <x:c r="G176" s="9" t="str">
        <x:v>验证停用公会长后公会状态保持启用</x:v>
      </x:c>
      <x:c r="H176" s="9" t="str">
        <x:v>公会长账号独立状态</x:v>
      </x:c>
      <x:c r="I176" s="9" t="str">
        <x:v>1. 当前执行账号具有管理后台会话，身份为平台管理员；具体账号及权限变化按以下条件准备
2. G1启用，公会长A启用，主播B在G1且直播权限开启</x:v>
      </x:c>
      <x:c r="J176" s="9" t="str">
        <x:v>1. 打开G1公会详情
2. 关闭公会长A账号开关
3. 点击第一次“确认”
4. 点击第二次“确认”</x:v>
      </x:c>
      <x:c r="K176" s="9" t="str">
        <x:v>公会状态保持启用</x:v>
      </x:c>
      <x:c r="L176" s="10" t="str">
        <x:v>FLOW-GUILD-ACCOUNT</x:v>
      </x:c>
      <x:c r="M176" s="10" t="str">
        <x:v>未测</x:v>
      </x:c>
      <x:c r="N176" s="10" t="str"/>
      <x:c r="O176" s="9" t="str">
        <x:v>1. 来源（当前证据）：liveshow-proto/MainBasis/统一需求文档.md；位置：第2459行、第2442行、第2443行
2. 规则：BR-ac17ec3a612dac44
3. 未动态验证</x:v>
      </x:c>
    </x:row>
    <x:row r="177" ht="100" customHeight="1">
      <x:c r="A177" s="10" t="n">
        <x:v>176</x:v>
      </x:c>
      <x:c r="B177" s="10" t="str">
        <x:v>ADMIN-0176</x:v>
      </x:c>
      <x:c r="C177" s="10" t="str">
        <x:v>公会管理</x:v>
      </x:c>
      <x:c r="D177" s="10" t="str">
        <x:v>公会详情（平台管理员）</x:v>
      </x:c>
      <x:c r="E177" s="10" t="str">
        <x:v>业务流程</x:v>
      </x:c>
      <x:c r="F177" s="10" t="str">
        <x:v>P1</x:v>
      </x:c>
      <x:c r="G177" s="9" t="str">
        <x:v>验证停用公会长后该公会主播保持原身份</x:v>
      </x:c>
      <x:c r="H177" s="9" t="str">
        <x:v>公会长账号独立状态</x:v>
      </x:c>
      <x:c r="I177" s="9" t="str">
        <x:v>1. 当前执行账号具有管理后台会话，身份为平台管理员；具体账号及权限变化按以下条件准备
2. G1启用，公会长A启用，主播B在G1且直播权限开启</x:v>
      </x:c>
      <x:c r="J177" s="9" t="str">
        <x:v>1. 打开G1公会详情
2. 关闭公会长A账号开关
3. 点击第一次“确认”
4. 点击第二次“确认”
5. 打开主播B详情
6. 查看主播身份</x:v>
      </x:c>
      <x:c r="K177" s="9" t="str">
        <x:v>该公会主播保持原身份</x:v>
      </x:c>
      <x:c r="L177" s="10" t="str">
        <x:v>FLOW-GUILD-ACCOUNT</x:v>
      </x:c>
      <x:c r="M177" s="10" t="str">
        <x:v>未测</x:v>
      </x:c>
      <x:c r="N177" s="10" t="str"/>
      <x:c r="O177" s="9" t="str">
        <x:v>1. 来源（当前证据）：liveshow-proto/MainBasis/统一需求文档.md；位置：第2459行、第2442行、第2443行
2. 规则：BR-02f5fc95ddf2e77c
3. 未动态验证</x:v>
      </x:c>
    </x:row>
    <x:row r="178" ht="100" customHeight="1">
      <x:c r="A178" s="10" t="n">
        <x:v>177</x:v>
      </x:c>
      <x:c r="B178" s="10" t="str">
        <x:v>ADMIN-0177</x:v>
      </x:c>
      <x:c r="C178" s="10" t="str">
        <x:v>公会管理</x:v>
      </x:c>
      <x:c r="D178" s="10" t="str">
        <x:v>公会详情（平台管理员）</x:v>
      </x:c>
      <x:c r="E178" s="10" t="str">
        <x:v>业务流程</x:v>
      </x:c>
      <x:c r="F178" s="10" t="str">
        <x:v>P0</x:v>
      </x:c>
      <x:c r="G178" s="9" t="str">
        <x:v>验证停用公会长后该公会主播开播权限保持原值</x:v>
      </x:c>
      <x:c r="H178" s="9" t="str">
        <x:v>公会长账号独立状态</x:v>
      </x:c>
      <x:c r="I178" s="9" t="str">
        <x:v>1. 当前执行账号具有管理后台会话，身份为平台管理员；具体账号及权限变化按以下条件准备
2. G1启用，公会长A启用，主播B在G1且直播权限开启</x:v>
      </x:c>
      <x:c r="J178" s="9" t="str">
        <x:v>1. 打开G1公会详情
2. 关闭公会长A账号开关
3. 点击第一次“确认”
4. 点击第二次“确认”
5. 打开主播B详情
6. 查看开播权限</x:v>
      </x:c>
      <x:c r="K178" s="9" t="str">
        <x:v>该公会主播开播权限保持原值</x:v>
      </x:c>
      <x:c r="L178" s="10" t="str">
        <x:v>FLOW-GUILD-ACCOUNT</x:v>
      </x:c>
      <x:c r="M178" s="10" t="str">
        <x:v>未测</x:v>
      </x:c>
      <x:c r="N178" s="10" t="str"/>
      <x:c r="O178" s="9" t="str">
        <x:v>1. 来源（当前证据）：liveshow-proto/MainBasis/统一需求文档.md；位置：第2459行、第2442行、第2443行
2. 规则：BR-05d98dbd8a741c91
3. 未动态验证</x:v>
      </x:c>
    </x:row>
    <x:row r="179" ht="85" customHeight="1">
      <x:c r="A179" s="10" t="n">
        <x:v>178</x:v>
      </x:c>
      <x:c r="B179" s="10" t="str">
        <x:v>ADMIN-0178</x:v>
      </x:c>
      <x:c r="C179" s="10" t="str">
        <x:v>公会管理</x:v>
      </x:c>
      <x:c r="D179" s="10" t="str">
        <x:v>公会详情（平台管理员）</x:v>
      </x:c>
      <x:c r="E179" s="10" t="str">
        <x:v>功能需求</x:v>
      </x:c>
      <x:c r="F179" s="10" t="str">
        <x:v>P1</x:v>
      </x:c>
      <x:c r="G179" s="9" t="str">
        <x:v>验证公会长停用第1次取消</x:v>
      </x:c>
      <x:c r="H179" s="9" t="str">
        <x:v>公会长两次确认</x:v>
      </x:c>
      <x:c r="I179" s="9" t="str">
        <x:v>1. 当前执行账号具有管理后台会话，身份为平台管理员；具体账号及权限变化按以下条件准备
2. G1公会长A已启用</x:v>
      </x:c>
      <x:c r="J179" s="9" t="str">
        <x:v>1. 打开G1公会详情
2. 关闭公会长A账号开关
3. 点击“取消”</x:v>
      </x:c>
      <x:c r="K179" s="9" t="str">
        <x:v>公会长A账号保留启用状态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来源（当前证据）：liveshow-proto/MainBasis/统一需求文档.md；位置：第2459行、第2442行、第2443行
2. 规则：BR-7492265419c89e22
3. 未动态验证</x:v>
      </x:c>
    </x:row>
    <x:row r="180" ht="85" customHeight="1">
      <x:c r="A180" s="10" t="n">
        <x:v>179</x:v>
      </x:c>
      <x:c r="B180" s="10" t="str">
        <x:v>ADMIN-0179</x:v>
      </x:c>
      <x:c r="C180" s="10" t="str">
        <x:v>公会管理</x:v>
      </x:c>
      <x:c r="D180" s="10" t="str">
        <x:v>公会详情（平台管理员）</x:v>
      </x:c>
      <x:c r="E180" s="10" t="str">
        <x:v>功能需求</x:v>
      </x:c>
      <x:c r="F180" s="10" t="str">
        <x:v>P1</x:v>
      </x:c>
      <x:c r="G180" s="9" t="str">
        <x:v>验证公会长停用第2次取消</x:v>
      </x:c>
      <x:c r="H180" s="9" t="str">
        <x:v>公会长两次确认</x:v>
      </x:c>
      <x:c r="I180" s="9" t="str">
        <x:v>1. 当前执行账号具有管理后台会话，身份为平台管理员；具体账号及权限变化按以下条件准备
2. G1公会长A已启用</x:v>
      </x:c>
      <x:c r="J180" s="9" t="str">
        <x:v>1. 打开G1公会详情
2. 关闭公会长A账号开关
3. 点击第一次“确认”
4. 点击“取消”</x:v>
      </x:c>
      <x:c r="K180" s="9" t="str">
        <x:v>公会长A账号保留启用状态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来源（当前证据）：liveshow-proto/MainBasis/统一需求文档.md；位置：第2459行、第2442行、第2443行
2. 规则：BR-4bd8f8bc437c12a3
3. 未动态验证</x:v>
      </x:c>
    </x:row>
    <x:row r="181" ht="85" customHeight="1">
      <x:c r="A181" s="10" t="n">
        <x:v>180</x:v>
      </x:c>
      <x:c r="B181" s="10" t="str">
        <x:v>ADMIN-0180</x:v>
      </x:c>
      <x:c r="C181" s="10" t="str">
        <x:v>公会管理</x:v>
      </x:c>
      <x:c r="D181" s="10" t="str">
        <x:v>公会列表（平台管理员）</x:v>
      </x:c>
      <x:c r="E181" s="10" t="str">
        <x:v>业务流程</x:v>
      </x:c>
      <x:c r="F181" s="10" t="str">
        <x:v>P0</x:v>
      </x:c>
      <x:c r="G181" s="9" t="str">
        <x:v>验证公会解散未结收益1</x:v>
      </x:c>
      <x:c r="H181" s="9" t="str">
        <x:v>公会解散财务门槛</x:v>
      </x:c>
      <x:c r="I181" s="9" t="str">
        <x:v>1. 当前执行账号具有管理后台会话，身份为平台管理员；具体账号及权限变化按以下条件准备
2. G1未结收益1USD</x:v>
      </x:c>
      <x:c r="J181" s="9" t="str">
        <x:v>1. 打开公会列表
2. 查询G1
3. 点击“解散”
4. 确认解散</x:v>
      </x:c>
      <x:c r="K181" s="9" t="str">
        <x:v>不能解散G1</x:v>
      </x:c>
      <x:c r="L181" s="10" t="str">
        <x:v>FLOW-GUILD-DISSOLVE</x:v>
      </x:c>
      <x:c r="M181" s="10" t="str">
        <x:v>未测</x:v>
      </x:c>
      <x:c r="N181" s="10" t="str"/>
      <x:c r="O181" s="9" t="str">
        <x:v>1. 来源（当前证据）：liveshow-proto/MainBasis/统一需求文档.md；位置：第2440行、第2428行、第2429行
2. 规则：BR-9223d9006e115534
3. 未动态验证</x:v>
      </x:c>
    </x:row>
    <x:row r="182" ht="85" customHeight="1">
      <x:c r="A182" s="10" t="n">
        <x:v>181</x:v>
      </x:c>
      <x:c r="B182" s="10" t="str">
        <x:v>ADMIN-0181</x:v>
      </x:c>
      <x:c r="C182" s="10" t="str">
        <x:v>公会管理</x:v>
      </x:c>
      <x:c r="D182" s="10" t="str">
        <x:v>公会列表（平台管理员）</x:v>
      </x:c>
      <x:c r="E182" s="10" t="str">
        <x:v>业务流程</x:v>
      </x:c>
      <x:c r="F182" s="10" t="str">
        <x:v>P0</x:v>
      </x:c>
      <x:c r="G182" s="9" t="str">
        <x:v>验证公会解散未结收益0</x:v>
      </x:c>
      <x:c r="H182" s="9" t="str">
        <x:v>公会解散财务门槛</x:v>
      </x:c>
      <x:c r="I182" s="9" t="str">
        <x:v>1. 当前执行账号具有管理后台会话，身份为平台管理员；具体账号及权限变化按以下条件准备
2. G1未结收益0USD</x:v>
      </x:c>
      <x:c r="J182" s="9" t="str">
        <x:v>1. 打开公会列表
2. 查询G1
3. 点击“解散”
4. 确认解散</x:v>
      </x:c>
      <x:c r="K182" s="9" t="str">
        <x:v>G1状态更新为已解散</x:v>
      </x:c>
      <x:c r="L182" s="10" t="str">
        <x:v>FLOW-GUILD-DISSOLVE</x:v>
      </x:c>
      <x:c r="M182" s="10" t="str">
        <x:v>未测</x:v>
      </x:c>
      <x:c r="N182" s="10" t="str"/>
      <x:c r="O182" s="9" t="str">
        <x:v>1. 来源（当前证据）：liveshow-proto/MainBasis/统一需求文档.md；位置：第2440行、第2428行、第2429行
2. 规则：BR-e62610e480f4c326
3. 未动态验证</x:v>
      </x:c>
    </x:row>
    <x:row r="183" ht="85" customHeight="1">
      <x:c r="A183" s="10" t="n">
        <x:v>182</x:v>
      </x:c>
      <x:c r="B183" s="10" t="str">
        <x:v>ADMIN-0182</x:v>
      </x:c>
      <x:c r="C183" s="10" t="str">
        <x:v>公会管理</x:v>
      </x:c>
      <x:c r="D183" s="10" t="str">
        <x:v>公会列表（平台管理员）</x:v>
      </x:c>
      <x:c r="E183" s="10" t="str">
        <x:v>功能需求</x:v>
      </x:c>
      <x:c r="F183" s="10" t="str">
        <x:v>P1</x:v>
      </x:c>
      <x:c r="G183" s="9" t="str">
        <x:v>验证已解散公会不可恢复</x:v>
      </x:c>
      <x:c r="H183" s="9" t="str">
        <x:v>公会解散终态</x:v>
      </x:c>
      <x:c r="I183" s="9" t="str">
        <x:v>1. 当前执行账号具有管理后台会话，身份为平台管理员；具体账号及权限变化按以下条件准备
2. G1已解散</x:v>
      </x:c>
      <x:c r="J183" s="9" t="str">
        <x:v>1. 打开公会列表
2. 查询G1</x:v>
      </x:c>
      <x:c r="K183" s="9" t="str">
        <x:v>不提供重新启用G1的操作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来源（当前证据）：liveshow-proto/MainBasis/统一需求文档.md；位置：第2434行、第2428行、第2429行
2. 规则：BR-9fe27a1b42f281ae
3. 未动态验证</x:v>
      </x:c>
    </x:row>
    <x:row r="184" ht="100" customHeight="1">
      <x:c r="A184" s="10" t="n">
        <x:v>183</x:v>
      </x:c>
      <x:c r="B184" s="10" t="str">
        <x:v>ADMIN-0183</x:v>
      </x:c>
      <x:c r="C184" s="10" t="str">
        <x:v>公会管理</x:v>
      </x:c>
      <x:c r="D184" s="10" t="str">
        <x:v>公会列表（平台管理员）</x:v>
      </x:c>
      <x:c r="E184" s="10" t="str">
        <x:v>业务流程</x:v>
      </x:c>
      <x:c r="F184" s="10" t="str">
        <x:v>P1</x:v>
      </x:c>
      <x:c r="G184" s="9" t="str">
        <x:v>验证停用公会后公会状态更新为停用</x:v>
      </x:c>
      <x:c r="H184" s="9" t="str">
        <x:v>状态更新状态</x:v>
      </x:c>
      <x:c r="I184" s="9" t="str">
        <x:v>1. 当前执行账号具有管理后台会话，身份为平台管理员；具体账号及权限变化按以下条件准备
2. G1启用，管理账号A启用、账号B停用，主播C在会</x:v>
      </x:c>
      <x:c r="J184" s="9" t="str">
        <x:v>1. 打开公会列表
2. 查询G1
3. 点击“停用”
4. 确认停用</x:v>
      </x:c>
      <x:c r="K184" s="9" t="str">
        <x:v>公会状态更新为停用</x:v>
      </x:c>
      <x:c r="L184" s="10" t="str">
        <x:v>FLOW-GUILD-DISABLE</x:v>
      </x:c>
      <x:c r="M184" s="10" t="str">
        <x:v>未测</x:v>
      </x:c>
      <x:c r="N184" s="10" t="str"/>
      <x:c r="O184" s="9" t="str">
        <x:v>1. 来源（当前证据）：liveshow-proto/MainBasis/统一需求文档.md；位置：第2435行、第2439行、第2428行、第2429行
2. 规则：BR-048fd198c65db347
3. 未动态验证</x:v>
      </x:c>
    </x:row>
    <x:row r="185" ht="100" customHeight="1">
      <x:c r="A185" s="10" t="n">
        <x:v>184</x:v>
      </x:c>
      <x:c r="B185" s="10" t="str">
        <x:v>ADMIN-0184</x:v>
      </x:c>
      <x:c r="C185" s="10" t="str">
        <x:v>公会管理</x:v>
      </x:c>
      <x:c r="D185" s="10" t="str">
        <x:v>公会列表（平台管理员）</x:v>
      </x:c>
      <x:c r="E185" s="10" t="str">
        <x:v>业务流程</x:v>
      </x:c>
      <x:c r="F185" s="10" t="str">
        <x:v>P1</x:v>
      </x:c>
      <x:c r="G185" s="9" t="str">
        <x:v>验证停用公会后各管理账号自身启停值保留</x:v>
      </x:c>
      <x:c r="H185" s="9" t="str">
        <x:v>公会停用范围</x:v>
      </x:c>
      <x:c r="I185" s="9" t="str">
        <x:v>1. 当前执行账号具有管理后台会话，身份为平台管理员；具体账号及权限变化按以下条件准备
2. G1启用，管理账号A启用、账号B停用，主播C在会</x:v>
      </x:c>
      <x:c r="J185" s="9" t="str">
        <x:v>1. 打开公会列表
2. 查询G1
3. 点击“停用”
4. 确认停用
5. 打开G1公会详情
6. 查看管理账号A与B的启停状态</x:v>
      </x:c>
      <x:c r="K185" s="9" t="str">
        <x:v>各管理账号自身启停值保留</x:v>
      </x:c>
      <x:c r="L185" s="10" t="str">
        <x:v>FLOW-GUILD-DISABLE</x:v>
      </x:c>
      <x:c r="M185" s="10" t="str">
        <x:v>未测</x:v>
      </x:c>
      <x:c r="N185" s="10" t="str"/>
      <x:c r="O185" s="9" t="str">
        <x:v>1. 来源（当前证据）：liveshow-proto/MainBasis/统一需求文档.md；位置：第2435行、第2439行、第2428行、第2429行
2. 规则：BR-594709f552720159
3. 未动态验证</x:v>
      </x:c>
    </x:row>
    <x:row r="186" ht="100" customHeight="1">
      <x:c r="A186" s="10" t="n">
        <x:v>185</x:v>
      </x:c>
      <x:c r="B186" s="10" t="str">
        <x:v>ADMIN-0185</x:v>
      </x:c>
      <x:c r="C186" s="10" t="str">
        <x:v>公会管理</x:v>
      </x:c>
      <x:c r="D186" s="10" t="str">
        <x:v>公会列表（平台管理员）</x:v>
      </x:c>
      <x:c r="E186" s="10" t="str">
        <x:v>业务流程</x:v>
      </x:c>
      <x:c r="F186" s="10" t="str">
        <x:v>P1</x:v>
      </x:c>
      <x:c r="G186" s="9" t="str">
        <x:v>验证停用公会后旗下主播公会关系解除</x:v>
      </x:c>
      <x:c r="H186" s="9" t="str">
        <x:v>公会关系状态</x:v>
      </x:c>
      <x:c r="I186" s="9" t="str">
        <x:v>1. 当前执行账号具有管理后台会话，身份为平台管理员；具体账号及权限变化按以下条件准备
2. G1启用，管理账号A启用、账号B停用，主播C在会</x:v>
      </x:c>
      <x:c r="J186" s="9" t="str">
        <x:v>1. 打开公会列表
2. 查询G1
3. 点击“停用”
4. 确认停用
5. 打开主播C详情
6. 查看当前公会关系</x:v>
      </x:c>
      <x:c r="K186" s="9" t="str">
        <x:v>旗下主播公会关系解除</x:v>
      </x:c>
      <x:c r="L186" s="10" t="str">
        <x:v>FLOW-GUILD-DISABLE</x:v>
      </x:c>
      <x:c r="M186" s="10" t="str">
        <x:v>未测</x:v>
      </x:c>
      <x:c r="N186" s="10" t="str"/>
      <x:c r="O186" s="9" t="str">
        <x:v>1. 来源（当前证据）：liveshow-proto/MainBasis/统一需求文档.md；位置：第2435行、第2439行、第2428行、第2429行
2. 规则：BR-018908bc4b57cc70
3. 未动态验证</x:v>
      </x:c>
    </x:row>
    <x:row r="187" ht="100" customHeight="1">
      <x:c r="A187" s="10" t="n">
        <x:v>186</x:v>
      </x:c>
      <x:c r="B187" s="10" t="str">
        <x:v>ADMIN-0186</x:v>
      </x:c>
      <x:c r="C187" s="10" t="str">
        <x:v>主播管理</x:v>
      </x:c>
      <x:c r="D187" s="10" t="str">
        <x:v>新建排班（平台管理员）</x:v>
      </x:c>
      <x:c r="E187" s="10" t="str">
        <x:v>功能需求</x:v>
      </x:c>
      <x:c r="F187" s="10" t="str">
        <x:v>P1</x:v>
      </x:c>
      <x:c r="G187" s="9" t="str">
        <x:v>验证巡房日期相对当前-1天</x:v>
      </x:c>
      <x:c r="H187" s="9" t="str">
        <x:v>巡房日期下界</x:v>
      </x:c>
      <x:c r="I187" s="9" t="str">
        <x:v>1. 当前执行账号具有管理后台会话，身份为平台管理员；具体账号及权限变化按以下条件准备
2. 测试业务日期2026-09-14，人员A可用，时段20:00至21:00</x:v>
      </x:c>
      <x:c r="J187" s="9" t="str">
        <x:v>1. 打开新建排班
2. 选择日期2026-09-13
3. 输入开始时间20:00与结束时间21:00
4. 选择人员A
5. 点击“保存”</x:v>
      </x:c>
      <x:c r="K187" s="9" t="str">
        <x:v>不保存早于当前日期的排班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来源（当前证据）：liveshow-proto/MainBasis/统一需求文档.md；位置：第2324行、第2321行、第2322行
2. 规则：BR-ccc2399bebbaaadc
3. 未动态验证</x:v>
      </x:c>
    </x:row>
    <x:row r="188" ht="100" customHeight="1">
      <x:c r="A188" s="10" t="n">
        <x:v>187</x:v>
      </x:c>
      <x:c r="B188" s="10" t="str">
        <x:v>ADMIN-0187</x:v>
      </x:c>
      <x:c r="C188" s="10" t="str">
        <x:v>主播管理</x:v>
      </x:c>
      <x:c r="D188" s="10" t="str">
        <x:v>新建排班（平台管理员）</x:v>
      </x:c>
      <x:c r="E188" s="10" t="str">
        <x:v>功能需求</x:v>
      </x:c>
      <x:c r="F188" s="10" t="str">
        <x:v>P1</x:v>
      </x:c>
      <x:c r="G188" s="9" t="str">
        <x:v>验证巡房日期相对当前0天</x:v>
      </x:c>
      <x:c r="H188" s="9" t="str">
        <x:v>巡房日期下界</x:v>
      </x:c>
      <x:c r="I188" s="9" t="str">
        <x:v>1. 当前执行账号具有管理后台会话，身份为平台管理员；具体账号及权限变化按以下条件准备
2. 测试业务日期2026-09-14，人员A可用，时段20:00至21:00</x:v>
      </x:c>
      <x:c r="J188" s="9" t="str">
        <x:v>1. 打开新建排班
2. 选择日期2026-09-14
3. 输入开始时间20:00与结束时间21:00
4. 选择人员A
5. 点击“保存”</x:v>
      </x:c>
      <x:c r="K188" s="9" t="str">
        <x:v>创建所选日期排班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来源（当前证据）：liveshow-proto/MainBasis/统一需求文档.md；位置：第2324行、第2321行、第2322行
2. 规则：BR-01b6ef4942785f4f
3. 未动态验证</x:v>
      </x:c>
    </x:row>
    <x:row r="189" ht="100" customHeight="1">
      <x:c r="A189" s="10" t="n">
        <x:v>188</x:v>
      </x:c>
      <x:c r="B189" s="10" t="str">
        <x:v>ADMIN-0188</x:v>
      </x:c>
      <x:c r="C189" s="10" t="str">
        <x:v>主播管理</x:v>
      </x:c>
      <x:c r="D189" s="10" t="str">
        <x:v>新建排班（平台管理员）</x:v>
      </x:c>
      <x:c r="E189" s="10" t="str">
        <x:v>功能需求</x:v>
      </x:c>
      <x:c r="F189" s="10" t="str">
        <x:v>P1</x:v>
      </x:c>
      <x:c r="G189" s="9" t="str">
        <x:v>验证巡房日期相对当前1天</x:v>
      </x:c>
      <x:c r="H189" s="9" t="str">
        <x:v>巡房日期下界</x:v>
      </x:c>
      <x:c r="I189" s="9" t="str">
        <x:v>1. 当前执行账号具有管理后台会话，身份为平台管理员；具体账号及权限变化按以下条件准备
2. 测试业务日期2026-09-14，人员A可用，时段20:00至21:00</x:v>
      </x:c>
      <x:c r="J189" s="9" t="str">
        <x:v>1. 打开新建排班
2. 选择日期2026-09-15
3. 输入开始时间20:00与结束时间21:00
4. 选择人员A
5. 点击“保存”</x:v>
      </x:c>
      <x:c r="K189" s="9" t="str">
        <x:v>创建所选日期排班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来源（当前证据）：liveshow-proto/MainBasis/统一需求文档.md；位置：第2324行、第2321行、第2322行
2. 规则：BR-17598d228f073e19
3. 未动态验证</x:v>
      </x:c>
    </x:row>
    <x:row r="190" ht="100" customHeight="1">
      <x:c r="A190" s="10" t="n">
        <x:v>189</x:v>
      </x:c>
      <x:c r="B190" s="10" t="str">
        <x:v>ADMIN-0189</x:v>
      </x:c>
      <x:c r="C190" s="10" t="str">
        <x:v>主播管理</x:v>
      </x:c>
      <x:c r="D190" s="10" t="str">
        <x:v>新建排班（平台管理员）</x:v>
      </x:c>
      <x:c r="E190" s="10" t="str">
        <x:v>功能需求</x:v>
      </x:c>
      <x:c r="F190" s="10" t="str">
        <x:v>P1</x:v>
      </x:c>
      <x:c r="G190" s="9" t="str">
        <x:v>验证巡房时段20:00至19:59</x:v>
      </x:c>
      <x:c r="H190" s="9" t="str">
        <x:v>巡房时段边界</x:v>
      </x:c>
      <x:c r="I190" s="9" t="str">
        <x:v>1. 当前执行账号具有管理后台会话，身份为平台管理员；具体账号及权限变化按以下条件准备
2. 排班日期为今日，人员A可用</x:v>
      </x:c>
      <x:c r="J190" s="9" t="str">
        <x:v>1. 打开新建排班
2. 输入开始20:00、结束19:59
3. 选择人员A
4. 点击“保存”</x:v>
      </x:c>
      <x:c r="K190" s="9" t="str">
        <x:v>不保存结束不晚于开始的排班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来源（当前证据）：liveshow-proto/MainBasis/统一需求文档.md；位置：第2325行、第2321行、第2322行
2. 规则：BR-57e1d37d23706078
3. 未动态验证</x:v>
      </x:c>
    </x:row>
    <x:row r="191" ht="100" customHeight="1">
      <x:c r="A191" s="10" t="n">
        <x:v>190</x:v>
      </x:c>
      <x:c r="B191" s="10" t="str">
        <x:v>ADMIN-0190</x:v>
      </x:c>
      <x:c r="C191" s="10" t="str">
        <x:v>主播管理</x:v>
      </x:c>
      <x:c r="D191" s="10" t="str">
        <x:v>新建排班（平台管理员）</x:v>
      </x:c>
      <x:c r="E191" s="10" t="str">
        <x:v>功能需求</x:v>
      </x:c>
      <x:c r="F191" s="10" t="str">
        <x:v>P1</x:v>
      </x:c>
      <x:c r="G191" s="9" t="str">
        <x:v>验证巡房时段20:00至20:00</x:v>
      </x:c>
      <x:c r="H191" s="9" t="str">
        <x:v>巡房时段边界</x:v>
      </x:c>
      <x:c r="I191" s="9" t="str">
        <x:v>1. 当前执行账号具有管理后台会话，身份为平台管理员；具体账号及权限变化按以下条件准备
2. 排班日期为今日，人员A可用</x:v>
      </x:c>
      <x:c r="J191" s="9" t="str">
        <x:v>1. 打开新建排班
2. 输入开始20:00、结束20:00
3. 选择人员A
4. 点击“保存”</x:v>
      </x:c>
      <x:c r="K191" s="9" t="str">
        <x:v>不保存结束不晚于开始的排班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来源（当前证据）：liveshow-proto/MainBasis/统一需求文档.md；位置：第2325行、第2321行、第2322行
2. 规则：BR-3a60b37e49b9bd5e
3. 未动态验证</x:v>
      </x:c>
    </x:row>
    <x:row r="192" ht="100" customHeight="1">
      <x:c r="A192" s="10" t="n">
        <x:v>191</x:v>
      </x:c>
      <x:c r="B192" s="10" t="str">
        <x:v>ADMIN-0191</x:v>
      </x:c>
      <x:c r="C192" s="10" t="str">
        <x:v>主播管理</x:v>
      </x:c>
      <x:c r="D192" s="10" t="str">
        <x:v>新建排班（平台管理员）</x:v>
      </x:c>
      <x:c r="E192" s="10" t="str">
        <x:v>功能需求</x:v>
      </x:c>
      <x:c r="F192" s="10" t="str">
        <x:v>P1</x:v>
      </x:c>
      <x:c r="G192" s="9" t="str">
        <x:v>验证巡房时段20:00至20:01</x:v>
      </x:c>
      <x:c r="H192" s="9" t="str">
        <x:v>巡房时段边界</x:v>
      </x:c>
      <x:c r="I192" s="9" t="str">
        <x:v>1. 当前执行账号具有管理后台会话，身份为平台管理员；具体账号及权限变化按以下条件准备
2. 排班日期为今日，人员A可用</x:v>
      </x:c>
      <x:c r="J192" s="9" t="str">
        <x:v>1. 打开新建排班
2. 输入开始20:00、结束20:01
3. 选择人员A
4. 点击“保存”</x:v>
      </x:c>
      <x:c r="K192" s="9" t="str">
        <x:v>创建巡房排班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来源（当前证据）：liveshow-proto/MainBasis/统一需求文档.md；位置：第2325行、第2321行、第2322行
2. 规则：BR-42142e8ff87c4fd6
3. 未动态验证</x:v>
      </x:c>
    </x:row>
    <x:row r="193" ht="85" customHeight="1">
      <x:c r="A193" s="10" t="n">
        <x:v>192</x:v>
      </x:c>
      <x:c r="B193" s="10" t="str">
        <x:v>ADMIN-0192</x:v>
      </x:c>
      <x:c r="C193" s="10" t="str">
        <x:v>主播管理</x:v>
      </x:c>
      <x:c r="D193" s="10" t="str">
        <x:v>新建排班（平台管理员）</x:v>
      </x:c>
      <x:c r="E193" s="10" t="str">
        <x:v>功能需求</x:v>
      </x:c>
      <x:c r="F193" s="10" t="str">
        <x:v>P1</x:v>
      </x:c>
      <x:c r="G193" s="9" t="str">
        <x:v>验证巡房选择0名人员</x:v>
      </x:c>
      <x:c r="H193" s="9" t="str">
        <x:v>巡房人数下界</x:v>
      </x:c>
      <x:c r="I193" s="9" t="str">
        <x:v>1. 当前执行账号具有管理后台会话，身份为平台管理员；具体账号及权限变化按以下条件准备
2. 日期与时段均有效</x:v>
      </x:c>
      <x:c r="J193" s="9" t="str">
        <x:v>1. 打开新建排班
2. 清空全部人员选择
3. 点击“保存”</x:v>
      </x:c>
      <x:c r="K193" s="9" t="str">
        <x:v>不保存无人员排班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来源（当前证据）：liveshow-proto/MainBasis/统一需求文档.md；位置：第2326行、第2321行、第2322行
2. 规则：BR-3fca0666f03b6797
3. 未动态验证</x:v>
      </x:c>
    </x:row>
    <x:row r="194" ht="85" customHeight="1">
      <x:c r="A194" s="10" t="n">
        <x:v>193</x:v>
      </x:c>
      <x:c r="B194" s="10" t="str">
        <x:v>ADMIN-0193</x:v>
      </x:c>
      <x:c r="C194" s="10" t="str">
        <x:v>主播管理</x:v>
      </x:c>
      <x:c r="D194" s="10" t="str">
        <x:v>新建排班（平台管理员）</x:v>
      </x:c>
      <x:c r="E194" s="10" t="str">
        <x:v>功能需求</x:v>
      </x:c>
      <x:c r="F194" s="10" t="str">
        <x:v>P1</x:v>
      </x:c>
      <x:c r="G194" s="9" t="str">
        <x:v>验证巡房选择1名人员</x:v>
      </x:c>
      <x:c r="H194" s="9" t="str">
        <x:v>巡房人数下界</x:v>
      </x:c>
      <x:c r="I194" s="9" t="str">
        <x:v>1. 当前执行账号具有管理后台会话，身份为平台管理员；具体账号及权限变化按以下条件准备
2. 日期与时段均有效</x:v>
      </x:c>
      <x:c r="J194" s="9" t="str">
        <x:v>1. 打开新建排班
2. 选择可用账号A
3. 点击“保存”</x:v>
      </x:c>
      <x:c r="K194" s="9" t="str">
        <x:v>创建包含人员A的排班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来源（当前证据）：liveshow-proto/MainBasis/统一需求文档.md；位置：第2326行、第2321行、第2322行
2. 规则：BR-da24e11f110430de
3. 未动态验证</x:v>
      </x:c>
    </x:row>
    <x:row r="195" ht="85" customHeight="1">
      <x:c r="A195" s="10" t="n">
        <x:v>194</x:v>
      </x:c>
      <x:c r="B195" s="10" t="str">
        <x:v>ADMIN-0194</x:v>
      </x:c>
      <x:c r="C195" s="10" t="str">
        <x:v>主播管理</x:v>
      </x:c>
      <x:c r="D195" s="10" t="str">
        <x:v>新建排班（平台管理员）</x:v>
      </x:c>
      <x:c r="E195" s="10" t="str">
        <x:v>功能需求</x:v>
      </x:c>
      <x:c r="F195" s="10" t="str">
        <x:v>P1</x:v>
      </x:c>
      <x:c r="G195" s="9" t="str">
        <x:v>验证巡房排班排除封禁账号</x:v>
      </x:c>
      <x:c r="H195" s="9" t="str">
        <x:v>巡房账号资格</x:v>
      </x:c>
      <x:c r="I195" s="9" t="str">
        <x:v>1. 当前执行账号具有管理后台会话，身份为平台管理员；具体账号及权限变化按以下条件准备
2. A已被平台封禁</x:v>
      </x:c>
      <x:c r="J195" s="9" t="str">
        <x:v>1. 打开新建排班
2. 打开添加人员
3. 输入账号A的搜索关键词</x:v>
      </x:c>
      <x:c r="K195" s="9" t="str">
        <x:v>A不可加入巡房人员名单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来源（当前证据）：liveshow-proto/MainBasis/统一需求文档.md；位置：第2327行、第2321行、第2322行
2. 规则：BR-b437bc1f6de6684d
3. 未动态验证</x:v>
      </x:c>
    </x:row>
    <x:row r="196" ht="100" customHeight="1">
      <x:c r="A196" s="10" t="n">
        <x:v>195</x:v>
      </x:c>
      <x:c r="B196" s="10" t="str">
        <x:v>ADMIN-0195</x:v>
      </x:c>
      <x:c r="C196" s="10" t="str">
        <x:v>主播管理</x:v>
      </x:c>
      <x:c r="D196" s="10" t="str">
        <x:v>新建排班（平台管理员）</x:v>
      </x:c>
      <x:c r="E196" s="10" t="str">
        <x:v>功能需求</x:v>
      </x:c>
      <x:c r="F196" s="10" t="str">
        <x:v>P1</x:v>
      </x:c>
      <x:c r="G196" s="9" t="str">
        <x:v>验证巡房人员全选只作用搜索结果</x:v>
      </x:c>
      <x:c r="H196" s="9" t="str">
        <x:v>巡房人员全选范围</x:v>
      </x:c>
      <x:c r="I196" s="9" t="str">
        <x:v>1. 当前执行账号具有管理后台会话，身份为平台管理员；具体账号及权限变化按以下条件准备
2. 可用账号A、B、C，当前搜索仅显示A、B</x:v>
      </x:c>
      <x:c r="J196" s="9" t="str">
        <x:v>1. 打开添加巡房人员
2. 点击“全选”</x:v>
      </x:c>
      <x:c r="K196" s="9" t="str">
        <x:v>仅勾选A、B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来源（当前证据）：liveshow-proto/MainBasis/统一需求文档.md；位置：第2328行、第2321行、第2322行
2. 规则：BR-2b9585fa7072b346
3. 未动态验证</x:v>
      </x:c>
    </x:row>
    <x:row r="197" ht="100" customHeight="1">
      <x:c r="A197" s="10" t="n">
        <x:v>196</x:v>
      </x:c>
      <x:c r="B197" s="10" t="str">
        <x:v>ADMIN-0196</x:v>
      </x:c>
      <x:c r="C197" s="10" t="str">
        <x:v>主播管理</x:v>
      </x:c>
      <x:c r="D197" s="10" t="str">
        <x:v>巡房排班（平台管理员）</x:v>
      </x:c>
      <x:c r="E197" s="10" t="str">
        <x:v>业务流程</x:v>
      </x:c>
      <x:c r="F197" s="10" t="str">
        <x:v>P1</x:v>
      </x:c>
      <x:c r="G197" s="9" t="str">
        <x:v>验证巡房排班停用</x:v>
      </x:c>
      <x:c r="H197" s="9" t="str">
        <x:v>巡房排班启停</x:v>
      </x:c>
      <x:c r="I197" s="9" t="str">
        <x:v>1. 当前执行账号具有管理后台会话，身份为平台管理员；具体账号及权限变化按以下条件准备
2. 排班P1时间仍处于当前有效时段</x:v>
      </x:c>
      <x:c r="J197" s="9" t="str">
        <x:v>1. 打开巡房排班
2. 选择P1
3. 点击“停用”
4. 确认变更
5. 查看P1状态</x:v>
      </x:c>
      <x:c r="K197" s="9" t="str">
        <x:v>P1状态显示已停用</x:v>
      </x:c>
      <x:c r="L197" s="10" t="str">
        <x:v>FLOW-PATROL</x:v>
      </x:c>
      <x:c r="M197" s="10" t="str">
        <x:v>未测</x:v>
      </x:c>
      <x:c r="N197" s="10" t="str"/>
      <x:c r="O197" s="9" t="str">
        <x:v>1. 来源（当前证据）：liveshow-proto/MainBasis/统一需求文档.md；位置：第2319行、第2309行、第2310行
2. 规则：BR-4399688ac1d4e6d4
3. 未动态验证</x:v>
      </x:c>
    </x:row>
    <x:row r="198" ht="100" customHeight="1">
      <x:c r="A198" s="10" t="n">
        <x:v>197</x:v>
      </x:c>
      <x:c r="B198" s="10" t="str">
        <x:v>ADMIN-0197</x:v>
      </x:c>
      <x:c r="C198" s="10" t="str">
        <x:v>主播管理</x:v>
      </x:c>
      <x:c r="D198" s="10" t="str">
        <x:v>巡房排班（平台管理员）</x:v>
      </x:c>
      <x:c r="E198" s="10" t="str">
        <x:v>业务流程</x:v>
      </x:c>
      <x:c r="F198" s="10" t="str">
        <x:v>P1</x:v>
      </x:c>
      <x:c r="G198" s="9" t="str">
        <x:v>验证巡房排班重新启用</x:v>
      </x:c>
      <x:c r="H198" s="9" t="str">
        <x:v>巡房排班启停</x:v>
      </x:c>
      <x:c r="I198" s="9" t="str">
        <x:v>1. 当前执行账号具有管理后台会话，身份为平台管理员；具体账号及权限变化按以下条件准备
2. 排班P1时间仍处于当前有效时段</x:v>
      </x:c>
      <x:c r="J198" s="9" t="str">
        <x:v>1. 打开巡房排班
2. 选择P1
3. 点击“重新启用”
4. 确认变更</x:v>
      </x:c>
      <x:c r="K198" s="9" t="str">
        <x:v>P1恢复生效中状态</x:v>
      </x:c>
      <x:c r="L198" s="10" t="str">
        <x:v>FLOW-PATROL</x:v>
      </x:c>
      <x:c r="M198" s="10" t="str">
        <x:v>未测</x:v>
      </x:c>
      <x:c r="N198" s="10" t="str"/>
      <x:c r="O198" s="9" t="str">
        <x:v>1. 来源（当前证据）：liveshow-proto/MainBasis/统一需求文档.md；位置：第2319行、第2309行、第2310行
2. 规则：BR-536207a375a0d48b
3. 未动态验证</x:v>
      </x:c>
    </x:row>
    <x:row r="199" ht="100" customHeight="1">
      <x:c r="A199" s="10" t="n">
        <x:v>198</x:v>
      </x:c>
      <x:c r="B199" s="10" t="str">
        <x:v>ADMIN-0198</x:v>
      </x:c>
      <x:c r="C199" s="10" t="str">
        <x:v>系统配置</x:v>
      </x:c>
      <x:c r="D199" s="10" t="str">
        <x:v>后台账号（超级管理员）</x:v>
      </x:c>
      <x:c r="E199" s="10" t="str">
        <x:v>功能需求</x:v>
      </x:c>
      <x:c r="F199" s="10" t="str">
        <x:v>P1</x:v>
      </x:c>
      <x:c r="G199" s="9" t="str">
        <x:v>验证内置超级管理员后台账号保护</x:v>
      </x:c>
      <x:c r="H199" s="9" t="str">
        <x:v>内置维护权限保护</x:v>
      </x:c>
      <x:c r="I199" s="9" t="str">
        <x:v>1. 当前执行账号具有管理后台会话，身份为超级管理员；具体账号及权限变化按以下条件准备
2. 当前查看内置超级管理员对象</x:v>
      </x:c>
      <x:c r="J199" s="9" t="str">
        <x:v>1. 打开后台账号</x:v>
      </x:c>
      <x:c r="K199" s="9" t="str">
        <x:v>不可停用内置超级管理员对象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来源（当前证据）：liveshow-proto/MainBasis/统一需求文档.md；位置：第3213行、第3211行、第3212行
2. 规则：BR-7e5a751c7cf8e847
3. 未动态验证</x:v>
      </x:c>
    </x:row>
    <x:row r="200" ht="100" customHeight="1">
      <x:c r="A200" s="10" t="n">
        <x:v>199</x:v>
      </x:c>
      <x:c r="B200" s="10" t="str">
        <x:v>ADMIN-0199</x:v>
      </x:c>
      <x:c r="C200" s="10" t="str">
        <x:v>系统配置</x:v>
      </x:c>
      <x:c r="D200" s="10" t="str">
        <x:v>后台账号（超级管理员）</x:v>
      </x:c>
      <x:c r="E200" s="10" t="str">
        <x:v>业务流程</x:v>
      </x:c>
      <x:c r="F200" s="10" t="str">
        <x:v>P1</x:v>
      </x:c>
      <x:c r="G200" s="9" t="str">
        <x:v>验证停用普通后台账号</x:v>
      </x:c>
      <x:c r="H200" s="9" t="str">
        <x:v>后台账号启停状态</x:v>
      </x:c>
      <x:c r="I200" s="9" t="str">
        <x:v>1. 当前执行账号具有管理后台会话，身份为超级管理员；具体账号及权限变化按以下条件准备
2. 普通对象A已启用，绑定后台登录账号B</x:v>
      </x:c>
      <x:c r="J200" s="9" t="str">
        <x:v>1. 打开后台账号
2. 关闭A启用开关
3. 输入原因“测试停用”
4. 确认停用
5. 查看A状态</x:v>
      </x:c>
      <x:c r="K200" s="9" t="str">
        <x:v>账号A状态显示停用</x:v>
      </x:c>
      <x:c r="L200" s="10" t="str">
        <x:v>FLOW-ADMIN-PERMISSION</x:v>
      </x:c>
      <x:c r="M200" s="10" t="str">
        <x:v>未测</x:v>
      </x:c>
      <x:c r="N200" s="10" t="str"/>
      <x:c r="O200" s="9" t="str">
        <x:v>1. 来源（当前证据）：liveshow-proto/MainBasis/统一需求文档.md；位置：第3217行、第3211行、第3212行
2. 规则：BR-899e978bd46abb8b
3. 未动态验证</x:v>
      </x:c>
    </x:row>
    <x:row r="201" ht="100" customHeight="1">
      <x:c r="A201" s="10" t="n">
        <x:v>200</x:v>
      </x:c>
      <x:c r="B201" s="10" t="str">
        <x:v>ADMIN-0200</x:v>
      </x:c>
      <x:c r="C201" s="10" t="str">
        <x:v>系统配置</x:v>
      </x:c>
      <x:c r="D201" s="10" t="str">
        <x:v>角色管理（超级管理员）</x:v>
      </x:c>
      <x:c r="E201" s="10" t="str">
        <x:v>功能需求</x:v>
      </x:c>
      <x:c r="F201" s="10" t="str">
        <x:v>P1</x:v>
      </x:c>
      <x:c r="G201" s="9" t="str">
        <x:v>验证内置超级管理员后台角色保护</x:v>
      </x:c>
      <x:c r="H201" s="9" t="str">
        <x:v>内置维护权限保护</x:v>
      </x:c>
      <x:c r="I201" s="9" t="str">
        <x:v>1. 当前执行账号具有管理后台会话，身份为超级管理员；具体账号及权限变化按以下条件准备
2. 当前查看内置超级管理员对象</x:v>
      </x:c>
      <x:c r="J201" s="9" t="str">
        <x:v>1. 打开角色管理</x:v>
      </x:c>
      <x:c r="K201" s="9" t="str">
        <x:v>不可停用内置超级管理员对象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来源（当前证据）：liveshow-proto/MainBasis/统一需求文档.md；位置：第3241行、第3239行、第3240行
2. 规则：BR-26afc0c257d0a2d0
3. 未动态验证</x:v>
      </x:c>
    </x:row>
    <x:row r="202" ht="115" customHeight="1">
      <x:c r="A202" s="10" t="n">
        <x:v>201</x:v>
      </x:c>
      <x:c r="B202" s="10" t="str">
        <x:v>ADMIN-0201</x:v>
      </x:c>
      <x:c r="C202" s="10" t="str">
        <x:v>数据报表</x:v>
      </x:c>
      <x:c r="D202" s="10" t="str">
        <x:v>工作台（后台账号B）</x:v>
      </x:c>
      <x:c r="E202" s="10" t="str">
        <x:v>业务流程</x:v>
      </x:c>
      <x:c r="F202" s="10" t="str">
        <x:v>P1</x:v>
      </x:c>
      <x:c r="G202" s="9" t="str">
        <x:v>验证停用普通后台角色</x:v>
      </x:c>
      <x:c r="H202" s="9" t="str">
        <x:v>后台账号角色停用</x:v>
      </x:c>
      <x:c r="I202" s="9" t="str">
        <x:v>1. 后台账号B测试账号已有管理后台可访问会话
2. 普通对象A已启用，绑定后台登录账号B
3. 由超级管理员在角色管理完成配合操作：打开角色管理；关闭A启用开关；确认停用</x:v>
      </x:c>
      <x:c r="J202" s="9" t="str">
        <x:v>1. 打开管理后台
2. 查看角色A原授予的菜单入口</x:v>
      </x:c>
      <x:c r="K202" s="9" t="str">
        <x:v>不展示仅由角色A授予的菜单</x:v>
      </x:c>
      <x:c r="L202" s="10" t="str">
        <x:v>FLOW-ADMIN-PERMISSION</x:v>
      </x:c>
      <x:c r="M202" s="10" t="str">
        <x:v>未测</x:v>
      </x:c>
      <x:c r="N202" s="10" t="str"/>
      <x:c r="O202" s="9" t="str">
        <x:v>1. 来源（当前证据）：liveshow-proto/MainBasis/统一需求文档.md；位置：第3245行、第3216行、第2194行、第2191行、第2192行
2. 规则：BR-f252f7de991df3a2
3. 未动态验证</x:v>
      </x:c>
    </x:row>
    <x:row r="203" ht="100" customHeight="1">
      <x:c r="A203" s="10" t="n">
        <x:v>202</x:v>
      </x:c>
      <x:c r="B203" s="10" t="str">
        <x:v>ADMIN-0202</x:v>
      </x:c>
      <x:c r="C203" s="10" t="str">
        <x:v>系统配置</x:v>
      </x:c>
      <x:c r="D203" s="10" t="str">
        <x:v>角色编辑（超级管理员）</x:v>
      </x:c>
      <x:c r="E203" s="10" t="str">
        <x:v>功能需求</x:v>
      </x:c>
      <x:c r="F203" s="10" t="str">
        <x:v>P0</x:v>
      </x:c>
      <x:c r="G203" s="9" t="str">
        <x:v>验证角色权限树取消全部子级</x:v>
      </x:c>
      <x:c r="H203" s="9" t="str">
        <x:v>权限树联动</x:v>
      </x:c>
      <x:c r="I203" s="9" t="str">
        <x:v>1. 当前执行账号具有管理后台会话，身份为超级管理员；具体账号及权限变化按以下条件准备
2. 角色R1非内置，父菜单P含子菜单A和B</x:v>
      </x:c>
      <x:c r="J203" s="9" t="str">
        <x:v>1. 打开R1角色编辑
2. 取消勾选P下全部子菜单</x:v>
      </x:c>
      <x:c r="K203" s="9" t="str">
        <x:v>父菜单P同步取消选中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来源（当前证据）：liveshow-proto/MainBasis/统一需求文档.md；位置：第3258行、第3251行、第3252行
2. 规则：BR-60e77b5a9624ed08
3. 未动态验证</x:v>
      </x:c>
    </x:row>
    <x:row r="204" ht="100" customHeight="1">
      <x:c r="A204" s="10" t="n">
        <x:v>203</x:v>
      </x:c>
      <x:c r="B204" s="10" t="str">
        <x:v>ADMIN-0203</x:v>
      </x:c>
      <x:c r="C204" s="10" t="str">
        <x:v>系统配置</x:v>
      </x:c>
      <x:c r="D204" s="10" t="str">
        <x:v>角色编辑（超级管理员）</x:v>
      </x:c>
      <x:c r="E204" s="10" t="str">
        <x:v>功能需求</x:v>
      </x:c>
      <x:c r="F204" s="10" t="str">
        <x:v>P0</x:v>
      </x:c>
      <x:c r="G204" s="9" t="str">
        <x:v>验证角色权限树全选</x:v>
      </x:c>
      <x:c r="H204" s="9" t="str">
        <x:v>权限树联动</x:v>
      </x:c>
      <x:c r="I204" s="9" t="str">
        <x:v>1. 当前执行账号具有管理后台会话，身份为超级管理员；具体账号及权限变化按以下条件准备
2. 角色R1非内置，父菜单P含子菜单A和B</x:v>
      </x:c>
      <x:c r="J204" s="9" t="str">
        <x:v>1. 打开R1角色编辑
2. 点击“全选”</x:v>
      </x:c>
      <x:c r="K204" s="9" t="str">
        <x:v>全部叶子权限被勾选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来源（当前证据）：liveshow-proto/MainBasis/统一需求文档.md；位置：第3258行、第3251行、第3252行
2. 规则：BR-f22905ec45d7248a
3. 未动态验证</x:v>
      </x:c>
    </x:row>
    <x:row r="205" ht="100" customHeight="1">
      <x:c r="A205" s="10" t="n">
        <x:v>204</x:v>
      </x:c>
      <x:c r="B205" s="10" t="str">
        <x:v>ADMIN-0204</x:v>
      </x:c>
      <x:c r="C205" s="10" t="str">
        <x:v>系统配置</x:v>
      </x:c>
      <x:c r="D205" s="10" t="str">
        <x:v>角色编辑（超级管理员）</x:v>
      </x:c>
      <x:c r="E205" s="10" t="str">
        <x:v>功能需求</x:v>
      </x:c>
      <x:c r="F205" s="10" t="str">
        <x:v>P0</x:v>
      </x:c>
      <x:c r="G205" s="9" t="str">
        <x:v>验证角色权限树全不选</x:v>
      </x:c>
      <x:c r="H205" s="9" t="str">
        <x:v>权限树联动</x:v>
      </x:c>
      <x:c r="I205" s="9" t="str">
        <x:v>1. 当前执行账号具有管理后台会话，身份为超级管理员；具体账号及权限变化按以下条件准备
2. 角色R1非内置，父菜单P含子菜单A和B</x:v>
      </x:c>
      <x:c r="J205" s="9" t="str">
        <x:v>1. 打开R1角色编辑
2. 点击“全不选”</x:v>
      </x:c>
      <x:c r="K205" s="9" t="str">
        <x:v>全部叶子权限取消勾选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来源（当前证据）：liveshow-proto/MainBasis/统一需求文档.md；位置：第3258行、第3251行、第3252行
2. 规则：BR-19df3a52231d4347
3. 未动态验证</x:v>
      </x:c>
    </x:row>
    <x:row r="206" ht="100" customHeight="1">
      <x:c r="A206" s="10" t="n">
        <x:v>205</x:v>
      </x:c>
      <x:c r="B206" s="10" t="str">
        <x:v>ADMIN-0205</x:v>
      </x:c>
      <x:c r="C206" s="10" t="str">
        <x:v>系统配置</x:v>
      </x:c>
      <x:c r="D206" s="10" t="str">
        <x:v>角色编辑（超级管理员）</x:v>
      </x:c>
      <x:c r="E206" s="10" t="str">
        <x:v>功能需求</x:v>
      </x:c>
      <x:c r="F206" s="10" t="str">
        <x:v>P0</x:v>
      </x:c>
      <x:c r="G206" s="9" t="str">
        <x:v>验证角色权限数只计叶子节点</x:v>
      </x:c>
      <x:c r="H206" s="9" t="str">
        <x:v>叶子权限计数</x:v>
      </x:c>
      <x:c r="I206" s="9" t="str">
        <x:v>1. 当前执行账号具有管理后台会话，身份为超级管理员；具体账号及权限变化按以下条件准备
2. 父菜单P有两个子叶A、B，另有独立叶C</x:v>
      </x:c>
      <x:c r="J206" s="9" t="str">
        <x:v>1. 打开角色编辑
2. 勾选父菜单P
3. 勾选叶C</x:v>
      </x:c>
      <x:c r="K206" s="9" t="str">
        <x:v>已选择权限数显示3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来源（当前证据）：liveshow-proto/MainBasis/统一需求文档.md；位置：第3257行、第3251行、第3252行
2. 规则：BR-23753d4e33ddd861
3. 未动态验证</x:v>
      </x:c>
    </x:row>
    <x:row r="207" ht="130" customHeight="1">
      <x:c r="A207" s="10" t="n">
        <x:v>206</x:v>
      </x:c>
      <x:c r="B207" s="10" t="str">
        <x:v>ADMIN-0206</x:v>
      </x:c>
      <x:c r="C207" s="10" t="str">
        <x:v>数据报表</x:v>
      </x:c>
      <x:c r="D207" s="10" t="str">
        <x:v>工作台（后台账号A）</x:v>
      </x:c>
      <x:c r="E207" s="10" t="str">
        <x:v>业务流程</x:v>
      </x:c>
      <x:c r="F207" s="10" t="str">
        <x:v>P0</x:v>
      </x:c>
      <x:c r="G207" s="9" t="str">
        <x:v>验证角色权限保存应用到关联账号</x:v>
      </x:c>
      <x:c r="H207" s="9" t="str">
        <x:v>角色权限生效</x:v>
      </x:c>
      <x:c r="I207" s="9" t="str">
        <x:v>1. 后台账号A测试账号已有管理后台可访问会话
2. R1绑定账号A，当前无用户管理菜单权限
3. 由超级管理员在角色编辑完成配合操作：打开R1角色编辑；勾选用户管理叶子权限；点击“保存”</x:v>
      </x:c>
      <x:c r="J207" s="9" t="str">
        <x:v>1. 打开管理后台
2. 查看用户管理菜单</x:v>
      </x:c>
      <x:c r="K207" s="9" t="str">
        <x:v>显示用户管理菜单</x:v>
      </x:c>
      <x:c r="L207" s="10" t="str">
        <x:v>FLOW-ADMIN-PERMISSION</x:v>
      </x:c>
      <x:c r="M207" s="10" t="str">
        <x:v>未测</x:v>
      </x:c>
      <x:c r="N207" s="10" t="str"/>
      <x:c r="O207" s="9" t="str">
        <x:v>1. 来源（当前证据）：liveshow-proto/MainBasis/统一需求文档.md；位置：第3260行、第3216行、第2194行、第2191行、第2192行
2. 规则：BR-d98b33fcdcb9142a
3. 未动态验证</x:v>
      </x:c>
    </x:row>
    <x:row r="208" ht="130" customHeight="1">
      <x:c r="A208" s="10" t="n">
        <x:v>207</x:v>
      </x:c>
      <x:c r="B208" s="10" t="str">
        <x:v>ADMIN-0207</x:v>
      </x:c>
      <x:c r="C208" s="10" t="str">
        <x:v>礼物与道具</x:v>
      </x:c>
      <x:c r="D208" s="10" t="str">
        <x:v>礼物详情（平台管理员）</x:v>
      </x:c>
      <x:c r="E208" s="10" t="str">
        <x:v>功能需求</x:v>
      </x:c>
      <x:c r="F208" s="10" t="str">
        <x:v>P1</x:v>
      </x:c>
      <x:c r="G208" s="9" t="str">
        <x:v>验证礼物详情缺少中文名称</x:v>
      </x:c>
      <x:c r="H208" s="9" t="str">
        <x:v>四语必填</x:v>
      </x:c>
      <x:c r="I208" s="9" t="str">
        <x:v>1. 当前执行账号具有管理后台会话，身份为平台管理员；具体账号及权限变化按以下条件准备
2. 礼物A：唯一ID已生成，四语名称分别为礼物A/Gift A/Hadiah A/Hadiah A、图标A、单价10、排序1</x:v>
      </x:c>
      <x:c r="J208" s="9" t="str">
        <x:v>1. 打开礼物详情
2. 清空中文名称
3. 点击“保存”</x:v>
      </x:c>
      <x:c r="K208" s="9" t="str">
        <x:v>不保存缺少中文名称的配置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来源（当前证据）：liveshow-proto/MainBasis/统一需求文档.md；位置：第2478行、第2474行、第2475行
2. 规则：BR-7df76de35264fba8
3. 未动态验证</x:v>
      </x:c>
    </x:row>
    <x:row r="209" ht="130" customHeight="1">
      <x:c r="A209" s="10" t="n">
        <x:v>208</x:v>
      </x:c>
      <x:c r="B209" s="10" t="str">
        <x:v>ADMIN-0208</x:v>
      </x:c>
      <x:c r="C209" s="10" t="str">
        <x:v>礼物与道具</x:v>
      </x:c>
      <x:c r="D209" s="10" t="str">
        <x:v>礼物详情（平台管理员）</x:v>
      </x:c>
      <x:c r="E209" s="10" t="str">
        <x:v>功能需求</x:v>
      </x:c>
      <x:c r="F209" s="10" t="str">
        <x:v>P1</x:v>
      </x:c>
      <x:c r="G209" s="9" t="str">
        <x:v>验证礼物详情缺少英文名称</x:v>
      </x:c>
      <x:c r="H209" s="9" t="str">
        <x:v>四语必填</x:v>
      </x:c>
      <x:c r="I209" s="9" t="str">
        <x:v>1. 当前执行账号具有管理后台会话，身份为平台管理员；具体账号及权限变化按以下条件准备
2. 礼物A：唯一ID已生成，四语名称分别为礼物A/Gift A/Hadiah A/Hadiah A、图标A、单价10、排序1</x:v>
      </x:c>
      <x:c r="J209" s="9" t="str">
        <x:v>1. 打开礼物详情
2. 清空英文名称
3. 点击“保存”</x:v>
      </x:c>
      <x:c r="K209" s="9" t="str">
        <x:v>不保存缺少英文名称的配置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来源（当前证据）：liveshow-proto/MainBasis/统一需求文档.md；位置：第2478行、第2474行、第2475行
2. 规则：BR-d70d63c523214f03
3. 未动态验证</x:v>
      </x:c>
    </x:row>
    <x:row r="210" ht="130" customHeight="1">
      <x:c r="A210" s="10" t="n">
        <x:v>209</x:v>
      </x:c>
      <x:c r="B210" s="10" t="str">
        <x:v>ADMIN-0209</x:v>
      </x:c>
      <x:c r="C210" s="10" t="str">
        <x:v>礼物与道具</x:v>
      </x:c>
      <x:c r="D210" s="10" t="str">
        <x:v>礼物详情（平台管理员）</x:v>
      </x:c>
      <x:c r="E210" s="10" t="str">
        <x:v>功能需求</x:v>
      </x:c>
      <x:c r="F210" s="10" t="str">
        <x:v>P1</x:v>
      </x:c>
      <x:c r="G210" s="9" t="str">
        <x:v>验证礼物详情缺少印尼语名称</x:v>
      </x:c>
      <x:c r="H210" s="9" t="str">
        <x:v>四语必填</x:v>
      </x:c>
      <x:c r="I210" s="9" t="str">
        <x:v>1. 当前执行账号具有管理后台会话，身份为平台管理员；具体账号及权限变化按以下条件准备
2. 礼物A：唯一ID已生成，四语名称分别为礼物A/Gift A/Hadiah A/Hadiah A、图标A、单价10、排序1</x:v>
      </x:c>
      <x:c r="J210" s="9" t="str">
        <x:v>1. 打开礼物详情
2. 清空印尼语名称
3. 点击“保存”</x:v>
      </x:c>
      <x:c r="K210" s="9" t="str">
        <x:v>不保存缺少印尼语名称的配置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来源（当前证据）：liveshow-proto/MainBasis/统一需求文档.md；位置：第2478行、第2474行、第2475行
2. 规则：BR-5a71a3b11fcee204
3. 未动态验证</x:v>
      </x:c>
    </x:row>
    <x:row r="211" ht="130" customHeight="1">
      <x:c r="A211" s="10" t="n">
        <x:v>210</x:v>
      </x:c>
      <x:c r="B211" s="10" t="str">
        <x:v>ADMIN-0210</x:v>
      </x:c>
      <x:c r="C211" s="10" t="str">
        <x:v>礼物与道具</x:v>
      </x:c>
      <x:c r="D211" s="10" t="str">
        <x:v>礼物详情（平台管理员）</x:v>
      </x:c>
      <x:c r="E211" s="10" t="str">
        <x:v>功能需求</x:v>
      </x:c>
      <x:c r="F211" s="10" t="str">
        <x:v>P1</x:v>
      </x:c>
      <x:c r="G211" s="9" t="str">
        <x:v>验证礼物详情缺少马来语名称</x:v>
      </x:c>
      <x:c r="H211" s="9" t="str">
        <x:v>四语必填</x:v>
      </x:c>
      <x:c r="I211" s="9" t="str">
        <x:v>1. 当前执行账号具有管理后台会话，身份为平台管理员；具体账号及权限变化按以下条件准备
2. 礼物A：唯一ID已生成，四语名称分别为礼物A/Gift A/Hadiah A/Hadiah A、图标A、单价10、排序1</x:v>
      </x:c>
      <x:c r="J211" s="9" t="str">
        <x:v>1. 打开礼物详情
2. 清空马来语名称
3. 点击“保存”</x:v>
      </x:c>
      <x:c r="K211" s="9" t="str">
        <x:v>不保存缺少马来语名称的配置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来源（当前证据）：liveshow-proto/MainBasis/统一需求文档.md；位置：第2478行、第2474行、第2475行
2. 规则：BR-c9a4d948b4de162d
3. 未动态验证</x:v>
      </x:c>
    </x:row>
    <x:row r="212" ht="130" customHeight="1">
      <x:c r="A212" s="10" t="n">
        <x:v>211</x:v>
      </x:c>
      <x:c r="B212" s="10" t="str">
        <x:v>ADMIN-0211</x:v>
      </x:c>
      <x:c r="C212" s="10" t="str">
        <x:v>礼物与道具</x:v>
      </x:c>
      <x:c r="D212" s="10" t="str">
        <x:v>幸运礼物编辑（平台管理员）</x:v>
      </x:c>
      <x:c r="E212" s="10" t="str">
        <x:v>功能需求</x:v>
      </x:c>
      <x:c r="F212" s="10" t="str">
        <x:v>P1</x:v>
      </x:c>
      <x:c r="G212" s="9" t="str">
        <x:v>验证幸运礼物编辑缺少中文名称</x:v>
      </x:c>
      <x:c r="H212" s="9" t="str">
        <x:v>四语必填</x:v>
      </x:c>
      <x:c r="I212" s="9" t="str">
        <x:v>1. 当前执行账号具有管理后台会话，身份为平台管理员；具体账号及权限变化按以下条件准备
2. 幸运礼物A：唯一ID已生成，四语名称均为Gift A、图标A、单次消耗100、开奖次数1、奖励0和100各50%，RTP已自动验证</x:v>
      </x:c>
      <x:c r="J212" s="9" t="str">
        <x:v>1. 打开幸运礼物编辑
2. 清空中文名称
3. 点击“保存”</x:v>
      </x:c>
      <x:c r="K212" s="9" t="str">
        <x:v>不保存缺少中文名称的配置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来源（当前证据）：liveshow-proto/MainBasis/统一需求文档.md；位置：第2516行、第2513行、第2514行
2. 规则：BR-97b212e5a7be1757
3. 未动态验证</x:v>
      </x:c>
    </x:row>
    <x:row r="213" ht="130" customHeight="1">
      <x:c r="A213" s="10" t="n">
        <x:v>212</x:v>
      </x:c>
      <x:c r="B213" s="10" t="str">
        <x:v>ADMIN-0212</x:v>
      </x:c>
      <x:c r="C213" s="10" t="str">
        <x:v>礼物与道具</x:v>
      </x:c>
      <x:c r="D213" s="10" t="str">
        <x:v>幸运礼物编辑（平台管理员）</x:v>
      </x:c>
      <x:c r="E213" s="10" t="str">
        <x:v>功能需求</x:v>
      </x:c>
      <x:c r="F213" s="10" t="str">
        <x:v>P1</x:v>
      </x:c>
      <x:c r="G213" s="9" t="str">
        <x:v>验证幸运礼物编辑缺少英文名称</x:v>
      </x:c>
      <x:c r="H213" s="9" t="str">
        <x:v>四语必填</x:v>
      </x:c>
      <x:c r="I213" s="9" t="str">
        <x:v>1. 当前执行账号具有管理后台会话，身份为平台管理员；具体账号及权限变化按以下条件准备
2. 幸运礼物A：唯一ID已生成，四语名称均为Gift A、图标A、单次消耗100、开奖次数1、奖励0和100各50%，RTP已自动验证</x:v>
      </x:c>
      <x:c r="J213" s="9" t="str">
        <x:v>1. 打开幸运礼物编辑
2. 清空英文名称
3. 点击“保存”</x:v>
      </x:c>
      <x:c r="K213" s="9" t="str">
        <x:v>不保存缺少英文名称的配置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来源（当前证据）：liveshow-proto/MainBasis/统一需求文档.md；位置：第2516行、第2513行、第2514行
2. 规则：BR-bca460f3f3283d6a
3. 未动态验证</x:v>
      </x:c>
    </x:row>
    <x:row r="214" ht="130" customHeight="1">
      <x:c r="A214" s="10" t="n">
        <x:v>213</x:v>
      </x:c>
      <x:c r="B214" s="10" t="str">
        <x:v>ADMIN-0213</x:v>
      </x:c>
      <x:c r="C214" s="10" t="str">
        <x:v>礼物与道具</x:v>
      </x:c>
      <x:c r="D214" s="10" t="str">
        <x:v>幸运礼物编辑（平台管理员）</x:v>
      </x:c>
      <x:c r="E214" s="10" t="str">
        <x:v>功能需求</x:v>
      </x:c>
      <x:c r="F214" s="10" t="str">
        <x:v>P1</x:v>
      </x:c>
      <x:c r="G214" s="9" t="str">
        <x:v>验证幸运礼物编辑缺少印尼语名称</x:v>
      </x:c>
      <x:c r="H214" s="9" t="str">
        <x:v>四语必填</x:v>
      </x:c>
      <x:c r="I214" s="9" t="str">
        <x:v>1. 当前执行账号具有管理后台会话，身份为平台管理员；具体账号及权限变化按以下条件准备
2. 幸运礼物A：唯一ID已生成，四语名称均为Gift A、图标A、单次消耗100、开奖次数1、奖励0和100各50%，RTP已自动验证</x:v>
      </x:c>
      <x:c r="J214" s="9" t="str">
        <x:v>1. 打开幸运礼物编辑
2. 清空印尼语名称
3. 点击“保存”</x:v>
      </x:c>
      <x:c r="K214" s="9" t="str">
        <x:v>不保存缺少印尼语名称的配置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来源（当前证据）：liveshow-proto/MainBasis/统一需求文档.md；位置：第2516行、第2513行、第2514行
2. 规则：BR-bf84444f87a18295
3. 未动态验证</x:v>
      </x:c>
    </x:row>
    <x:row r="215" ht="130" customHeight="1">
      <x:c r="A215" s="10" t="n">
        <x:v>214</x:v>
      </x:c>
      <x:c r="B215" s="10" t="str">
        <x:v>ADMIN-0214</x:v>
      </x:c>
      <x:c r="C215" s="10" t="str">
        <x:v>礼物与道具</x:v>
      </x:c>
      <x:c r="D215" s="10" t="str">
        <x:v>幸运礼物编辑（平台管理员）</x:v>
      </x:c>
      <x:c r="E215" s="10" t="str">
        <x:v>功能需求</x:v>
      </x:c>
      <x:c r="F215" s="10" t="str">
        <x:v>P1</x:v>
      </x:c>
      <x:c r="G215" s="9" t="str">
        <x:v>验证幸运礼物编辑缺少马来语名称</x:v>
      </x:c>
      <x:c r="H215" s="9" t="str">
        <x:v>四语必填</x:v>
      </x:c>
      <x:c r="I215" s="9" t="str">
        <x:v>1. 当前执行账号具有管理后台会话，身份为平台管理员；具体账号及权限变化按以下条件准备
2. 幸运礼物A：唯一ID已生成，四语名称均为Gift A、图标A、单次消耗100、开奖次数1、奖励0和100各50%，RTP已自动验证</x:v>
      </x:c>
      <x:c r="J215" s="9" t="str">
        <x:v>1. 打开幸运礼物编辑
2. 清空马来语名称
3. 点击“保存”</x:v>
      </x:c>
      <x:c r="K215" s="9" t="str">
        <x:v>不保存缺少马来语名称的配置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来源（当前证据）：liveshow-proto/MainBasis/统一需求文档.md；位置：第2516行、第2513行、第2514行
2. 规则：BR-8b00b4bb5d876548
3. 未动态验证</x:v>
      </x:c>
    </x:row>
    <x:row r="216" ht="130" customHeight="1">
      <x:c r="A216" s="10" t="n">
        <x:v>215</x:v>
      </x:c>
      <x:c r="B216" s="10" t="str">
        <x:v>ADMIN-0215</x:v>
      </x:c>
      <x:c r="C216" s="10" t="str">
        <x:v>礼物与道具</x:v>
      </x:c>
      <x:c r="D216" s="10" t="str">
        <x:v>道具详情（平台管理员）</x:v>
      </x:c>
      <x:c r="E216" s="10" t="str">
        <x:v>功能需求</x:v>
      </x:c>
      <x:c r="F216" s="10" t="str">
        <x:v>P1</x:v>
      </x:c>
      <x:c r="G216" s="9" t="str">
        <x:v>验证道具详情缺少中文名称</x:v>
      </x:c>
      <x:c r="H216" s="9" t="str">
        <x:v>四语必填</x:v>
      </x:c>
      <x:c r="I216" s="9" t="str">
        <x:v>1. 当前执行账号具有管理后台会话，身份为平台管理员；具体账号及权限变化按以下条件准备
2. 道具A：唯一ID已生成，四语名称均为Prop A、有效头像框类型、图标A、类型要求的素材A、排序1</x:v>
      </x:c>
      <x:c r="J216" s="9" t="str">
        <x:v>1. 打开道具详情
2. 清空中文名称
3. 点击“保存”</x:v>
      </x:c>
      <x:c r="K216" s="9" t="str">
        <x:v>不保存缺少中文名称的配置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来源（当前证据）：liveshow-proto/MainBasis/统一需求文档.md；位置：第2549行、第2545行、第2546行
2. 规则：BR-238051a98f007caf
3. 未动态验证</x:v>
      </x:c>
    </x:row>
    <x:row r="217" ht="130" customHeight="1">
      <x:c r="A217" s="10" t="n">
        <x:v>216</x:v>
      </x:c>
      <x:c r="B217" s="10" t="str">
        <x:v>ADMIN-0216</x:v>
      </x:c>
      <x:c r="C217" s="10" t="str">
        <x:v>礼物与道具</x:v>
      </x:c>
      <x:c r="D217" s="10" t="str">
        <x:v>道具详情（平台管理员）</x:v>
      </x:c>
      <x:c r="E217" s="10" t="str">
        <x:v>功能需求</x:v>
      </x:c>
      <x:c r="F217" s="10" t="str">
        <x:v>P1</x:v>
      </x:c>
      <x:c r="G217" s="9" t="str">
        <x:v>验证道具详情缺少英文名称</x:v>
      </x:c>
      <x:c r="H217" s="9" t="str">
        <x:v>四语必填</x:v>
      </x:c>
      <x:c r="I217" s="9" t="str">
        <x:v>1. 当前执行账号具有管理后台会话，身份为平台管理员；具体账号及权限变化按以下条件准备
2. 道具A：唯一ID已生成，四语名称均为Prop A、有效头像框类型、图标A、类型要求的素材A、排序1</x:v>
      </x:c>
      <x:c r="J217" s="9" t="str">
        <x:v>1. 打开道具详情
2. 清空英文名称
3. 点击“保存”</x:v>
      </x:c>
      <x:c r="K217" s="9" t="str">
        <x:v>不保存缺少英文名称的配置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来源（当前证据）：liveshow-proto/MainBasis/统一需求文档.md；位置：第2549行、第2545行、第2546行
2. 规则：BR-e0a796395d206e3d
3. 未动态验证</x:v>
      </x:c>
    </x:row>
    <x:row r="218" ht="130" customHeight="1">
      <x:c r="A218" s="10" t="n">
        <x:v>217</x:v>
      </x:c>
      <x:c r="B218" s="10" t="str">
        <x:v>ADMIN-0217</x:v>
      </x:c>
      <x:c r="C218" s="10" t="str">
        <x:v>礼物与道具</x:v>
      </x:c>
      <x:c r="D218" s="10" t="str">
        <x:v>道具详情（平台管理员）</x:v>
      </x:c>
      <x:c r="E218" s="10" t="str">
        <x:v>功能需求</x:v>
      </x:c>
      <x:c r="F218" s="10" t="str">
        <x:v>P1</x:v>
      </x:c>
      <x:c r="G218" s="9" t="str">
        <x:v>验证道具详情缺少印尼语名称</x:v>
      </x:c>
      <x:c r="H218" s="9" t="str">
        <x:v>四语必填</x:v>
      </x:c>
      <x:c r="I218" s="9" t="str">
        <x:v>1. 当前执行账号具有管理后台会话，身份为平台管理员；具体账号及权限变化按以下条件准备
2. 道具A：唯一ID已生成，四语名称均为Prop A、有效头像框类型、图标A、类型要求的素材A、排序1</x:v>
      </x:c>
      <x:c r="J218" s="9" t="str">
        <x:v>1. 打开道具详情
2. 清空印尼语名称
3. 点击“保存”</x:v>
      </x:c>
      <x:c r="K218" s="9" t="str">
        <x:v>不保存缺少印尼语名称的配置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来源（当前证据）：liveshow-proto/MainBasis/统一需求文档.md；位置：第2549行、第2545行、第2546行
2. 规则：BR-f7528c70eb47d2a5
3. 未动态验证</x:v>
      </x:c>
    </x:row>
    <x:row r="219" ht="130" customHeight="1">
      <x:c r="A219" s="10" t="n">
        <x:v>218</x:v>
      </x:c>
      <x:c r="B219" s="10" t="str">
        <x:v>ADMIN-0218</x:v>
      </x:c>
      <x:c r="C219" s="10" t="str">
        <x:v>礼物与道具</x:v>
      </x:c>
      <x:c r="D219" s="10" t="str">
        <x:v>道具详情（平台管理员）</x:v>
      </x:c>
      <x:c r="E219" s="10" t="str">
        <x:v>功能需求</x:v>
      </x:c>
      <x:c r="F219" s="10" t="str">
        <x:v>P1</x:v>
      </x:c>
      <x:c r="G219" s="9" t="str">
        <x:v>验证道具详情缺少马来语名称</x:v>
      </x:c>
      <x:c r="H219" s="9" t="str">
        <x:v>四语必填</x:v>
      </x:c>
      <x:c r="I219" s="9" t="str">
        <x:v>1. 当前执行账号具有管理后台会话，身份为平台管理员；具体账号及权限变化按以下条件准备
2. 道具A：唯一ID已生成，四语名称均为Prop A、有效头像框类型、图标A、类型要求的素材A、排序1</x:v>
      </x:c>
      <x:c r="J219" s="9" t="str">
        <x:v>1. 打开道具详情
2. 清空马来语名称
3. 点击“保存”</x:v>
      </x:c>
      <x:c r="K219" s="9" t="str">
        <x:v>不保存缺少马来语名称的配置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来源（当前证据）：liveshow-proto/MainBasis/统一需求文档.md；位置：第2549行、第2545行、第2546行
2. 规则：BR-c43384f2d34cc522
3. 未动态验证</x:v>
      </x:c>
    </x:row>
    <x:row r="220" ht="130" customHeight="1">
      <x:c r="A220" s="10" t="n">
        <x:v>219</x:v>
      </x:c>
      <x:c r="B220" s="10" t="str">
        <x:v>ADMIN-0219</x:v>
      </x:c>
      <x:c r="C220" s="10" t="str">
        <x:v>运营配置</x:v>
      </x:c>
      <x:c r="D220" s="10" t="str">
        <x:v>通用任务编辑（平台管理员）</x:v>
      </x:c>
      <x:c r="E220" s="10" t="str">
        <x:v>功能需求</x:v>
      </x:c>
      <x:c r="F220" s="10" t="str">
        <x:v>P1</x:v>
      </x:c>
      <x:c r="G220" s="9" t="str">
        <x:v>验证通用任务编辑缺少中文名称</x:v>
      </x:c>
      <x:c r="H220" s="9" t="str">
        <x:v>四语必填</x:v>
      </x:c>
      <x:c r="I220" s="9" t="str">
        <x:v>1. 当前执行账号具有管理后台会话，身份为平台管理员；具体账号及权限变化按以下条件准备
2. 任务A：四语名称均为Task A，登录动作及对应连续登录天数指标、阈值1奖励20金币、生效区间2026-09-14至2026-10-14</x:v>
      </x:c>
      <x:c r="J220" s="9" t="str">
        <x:v>1. 打开通用任务编辑
2. 清空中文名称
3. 点击“保存”</x:v>
      </x:c>
      <x:c r="K220" s="9" t="str">
        <x:v>不保存缺少中文名称的配置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来源（当前证据）：liveshow-proto/MainBasis/统一需求文档.md；位置：第2676行、第2673行、第2674行
2. 规则：BR-450d1d68b7858806
3. 未动态验证</x:v>
      </x:c>
    </x:row>
    <x:row r="221" ht="130" customHeight="1">
      <x:c r="A221" s="10" t="n">
        <x:v>220</x:v>
      </x:c>
      <x:c r="B221" s="10" t="str">
        <x:v>ADMIN-0220</x:v>
      </x:c>
      <x:c r="C221" s="10" t="str">
        <x:v>运营配置</x:v>
      </x:c>
      <x:c r="D221" s="10" t="str">
        <x:v>通用任务编辑（平台管理员）</x:v>
      </x:c>
      <x:c r="E221" s="10" t="str">
        <x:v>功能需求</x:v>
      </x:c>
      <x:c r="F221" s="10" t="str">
        <x:v>P1</x:v>
      </x:c>
      <x:c r="G221" s="9" t="str">
        <x:v>验证通用任务编辑缺少英文名称</x:v>
      </x:c>
      <x:c r="H221" s="9" t="str">
        <x:v>四语必填</x:v>
      </x:c>
      <x:c r="I221" s="9" t="str">
        <x:v>1. 当前执行账号具有管理后台会话，身份为平台管理员；具体账号及权限变化按以下条件准备
2. 任务A：四语名称均为Task A，登录动作及对应连续登录天数指标、阈值1奖励20金币、生效区间2026-09-14至2026-10-14</x:v>
      </x:c>
      <x:c r="J221" s="9" t="str">
        <x:v>1. 打开通用任务编辑
2. 清空英文名称
3. 点击“保存”</x:v>
      </x:c>
      <x:c r="K221" s="9" t="str">
        <x:v>不保存缺少英文名称的配置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来源（当前证据）：liveshow-proto/MainBasis/统一需求文档.md；位置：第2676行、第2673行、第2674行
2. 规则：BR-b433842cc6659839
3. 未动态验证</x:v>
      </x:c>
    </x:row>
    <x:row r="222" ht="130" customHeight="1">
      <x:c r="A222" s="10" t="n">
        <x:v>221</x:v>
      </x:c>
      <x:c r="B222" s="10" t="str">
        <x:v>ADMIN-0221</x:v>
      </x:c>
      <x:c r="C222" s="10" t="str">
        <x:v>运营配置</x:v>
      </x:c>
      <x:c r="D222" s="10" t="str">
        <x:v>通用任务编辑（平台管理员）</x:v>
      </x:c>
      <x:c r="E222" s="10" t="str">
        <x:v>功能需求</x:v>
      </x:c>
      <x:c r="F222" s="10" t="str">
        <x:v>P1</x:v>
      </x:c>
      <x:c r="G222" s="9" t="str">
        <x:v>验证通用任务编辑缺少印尼语名称</x:v>
      </x:c>
      <x:c r="H222" s="9" t="str">
        <x:v>四语必填</x:v>
      </x:c>
      <x:c r="I222" s="9" t="str">
        <x:v>1. 当前执行账号具有管理后台会话，身份为平台管理员；具体账号及权限变化按以下条件准备
2. 任务A：四语名称均为Task A，登录动作及对应连续登录天数指标、阈值1奖励20金币、生效区间2026-09-14至2026-10-14</x:v>
      </x:c>
      <x:c r="J222" s="9" t="str">
        <x:v>1. 打开通用任务编辑
2. 清空印尼语名称
3. 点击“保存”</x:v>
      </x:c>
      <x:c r="K222" s="9" t="str">
        <x:v>不保存缺少印尼语名称的配置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来源（当前证据）：liveshow-proto/MainBasis/统一需求文档.md；位置：第2676行、第2673行、第2674行
2. 规则：BR-f1518cf5c6b77e15
3. 未动态验证</x:v>
      </x:c>
    </x:row>
    <x:row r="223" ht="130" customHeight="1">
      <x:c r="A223" s="10" t="n">
        <x:v>222</x:v>
      </x:c>
      <x:c r="B223" s="10" t="str">
        <x:v>ADMIN-0222</x:v>
      </x:c>
      <x:c r="C223" s="10" t="str">
        <x:v>运营配置</x:v>
      </x:c>
      <x:c r="D223" s="10" t="str">
        <x:v>通用任务编辑（平台管理员）</x:v>
      </x:c>
      <x:c r="E223" s="10" t="str">
        <x:v>功能需求</x:v>
      </x:c>
      <x:c r="F223" s="10" t="str">
        <x:v>P1</x:v>
      </x:c>
      <x:c r="G223" s="9" t="str">
        <x:v>验证通用任务编辑缺少马来语名称</x:v>
      </x:c>
      <x:c r="H223" s="9" t="str">
        <x:v>四语必填</x:v>
      </x:c>
      <x:c r="I223" s="9" t="str">
        <x:v>1. 当前执行账号具有管理后台会话，身份为平台管理员；具体账号及权限变化按以下条件准备
2. 任务A：四语名称均为Task A，登录动作及对应连续登录天数指标、阈值1奖励20金币、生效区间2026-09-14至2026-10-14</x:v>
      </x:c>
      <x:c r="J223" s="9" t="str">
        <x:v>1. 打开通用任务编辑
2. 清空马来语名称
3. 点击“保存”</x:v>
      </x:c>
      <x:c r="K223" s="9" t="str">
        <x:v>不保存缺少马来语名称的配置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来源（当前证据）：liveshow-proto/MainBasis/统一需求文档.md；位置：第2676行、第2673行、第2674行
2. 规则：BR-82d919d17ab26d28
3. 未动态验证</x:v>
      </x:c>
    </x:row>
    <x:row r="224" ht="115" customHeight="1">
      <x:c r="A224" s="10" t="n">
        <x:v>223</x:v>
      </x:c>
      <x:c r="B224" s="10" t="str">
        <x:v>ADMIN-0223</x:v>
      </x:c>
      <x:c r="C224" s="10" t="str">
        <x:v>运营配置</x:v>
      </x:c>
      <x:c r="D224" s="10" t="str">
        <x:v>直播类型（平台管理员）</x:v>
      </x:c>
      <x:c r="E224" s="10" t="str">
        <x:v>功能需求</x:v>
      </x:c>
      <x:c r="F224" s="10" t="str">
        <x:v>P1</x:v>
      </x:c>
      <x:c r="G224" s="9" t="str">
        <x:v>验证直播类型缺少中文名称</x:v>
      </x:c>
      <x:c r="H224" s="9" t="str">
        <x:v>四语必填</x:v>
      </x:c>
      <x:c r="I224" s="9" t="str">
        <x:v>1. 当前执行账号具有管理后台会话，身份为平台管理员；具体账号及权限变化按以下条件准备
2. 类型A：四语名称分别为类型A/Type A/Jenis A/Jenis A，状态启用</x:v>
      </x:c>
      <x:c r="J224" s="9" t="str">
        <x:v>1. 打开直播类型
2. 点击类型A“编辑”
3. 清空中文名称
4. 点击“保存”</x:v>
      </x:c>
      <x:c r="K224" s="9" t="str">
        <x:v>不保存缺少中文名称的配置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来源（当前证据）：liveshow-proto/MainBasis/统一需求文档.md；位置：第2722行、第2717行、第2718行
2. 规则：BR-866acedf9673d3f5
3. 未动态验证</x:v>
      </x:c>
    </x:row>
    <x:row r="225" ht="115" customHeight="1">
      <x:c r="A225" s="10" t="n">
        <x:v>224</x:v>
      </x:c>
      <x:c r="B225" s="10" t="str">
        <x:v>ADMIN-0224</x:v>
      </x:c>
      <x:c r="C225" s="10" t="str">
        <x:v>运营配置</x:v>
      </x:c>
      <x:c r="D225" s="10" t="str">
        <x:v>直播类型（平台管理员）</x:v>
      </x:c>
      <x:c r="E225" s="10" t="str">
        <x:v>功能需求</x:v>
      </x:c>
      <x:c r="F225" s="10" t="str">
        <x:v>P1</x:v>
      </x:c>
      <x:c r="G225" s="9" t="str">
        <x:v>验证直播类型缺少英文名称</x:v>
      </x:c>
      <x:c r="H225" s="9" t="str">
        <x:v>四语必填</x:v>
      </x:c>
      <x:c r="I225" s="9" t="str">
        <x:v>1. 当前执行账号具有管理后台会话，身份为平台管理员；具体账号及权限变化按以下条件准备
2. 类型A：四语名称分别为类型A/Type A/Jenis A/Jenis A，状态启用</x:v>
      </x:c>
      <x:c r="J225" s="9" t="str">
        <x:v>1. 打开直播类型
2. 点击类型A“编辑”
3. 清空英文名称
4. 点击“保存”</x:v>
      </x:c>
      <x:c r="K225" s="9" t="str">
        <x:v>不保存缺少英文名称的配置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来源（当前证据）：liveshow-proto/MainBasis/统一需求文档.md；位置：第2722行、第2717行、第2718行
2. 规则：BR-149a3225b2c749c5
3. 未动态验证</x:v>
      </x:c>
    </x:row>
    <x:row r="226" ht="115" customHeight="1">
      <x:c r="A226" s="10" t="n">
        <x:v>225</x:v>
      </x:c>
      <x:c r="B226" s="10" t="str">
        <x:v>ADMIN-0225</x:v>
      </x:c>
      <x:c r="C226" s="10" t="str">
        <x:v>运营配置</x:v>
      </x:c>
      <x:c r="D226" s="10" t="str">
        <x:v>直播类型（平台管理员）</x:v>
      </x:c>
      <x:c r="E226" s="10" t="str">
        <x:v>功能需求</x:v>
      </x:c>
      <x:c r="F226" s="10" t="str">
        <x:v>P1</x:v>
      </x:c>
      <x:c r="G226" s="9" t="str">
        <x:v>验证直播类型缺少印尼语名称</x:v>
      </x:c>
      <x:c r="H226" s="9" t="str">
        <x:v>四语必填</x:v>
      </x:c>
      <x:c r="I226" s="9" t="str">
        <x:v>1. 当前执行账号具有管理后台会话，身份为平台管理员；具体账号及权限变化按以下条件准备
2. 类型A：四语名称分别为类型A/Type A/Jenis A/Jenis A，状态启用</x:v>
      </x:c>
      <x:c r="J226" s="9" t="str">
        <x:v>1. 打开直播类型
2. 点击类型A“编辑”
3. 清空印尼语名称
4. 点击“保存”</x:v>
      </x:c>
      <x:c r="K226" s="9" t="str">
        <x:v>不保存缺少印尼语名称的配置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来源（当前证据）：liveshow-proto/MainBasis/统一需求文档.md；位置：第2722行、第2717行、第2718行
2. 规则：BR-474b5fc280847ada
3. 未动态验证</x:v>
      </x:c>
    </x:row>
    <x:row r="227" ht="115" customHeight="1">
      <x:c r="A227" s="10" t="n">
        <x:v>226</x:v>
      </x:c>
      <x:c r="B227" s="10" t="str">
        <x:v>ADMIN-0226</x:v>
      </x:c>
      <x:c r="C227" s="10" t="str">
        <x:v>运营配置</x:v>
      </x:c>
      <x:c r="D227" s="10" t="str">
        <x:v>直播类型（平台管理员）</x:v>
      </x:c>
      <x:c r="E227" s="10" t="str">
        <x:v>功能需求</x:v>
      </x:c>
      <x:c r="F227" s="10" t="str">
        <x:v>P1</x:v>
      </x:c>
      <x:c r="G227" s="9" t="str">
        <x:v>验证直播类型缺少马来语名称</x:v>
      </x:c>
      <x:c r="H227" s="9" t="str">
        <x:v>四语必填</x:v>
      </x:c>
      <x:c r="I227" s="9" t="str">
        <x:v>1. 当前执行账号具有管理后台会话，身份为平台管理员；具体账号及权限变化按以下条件准备
2. 类型A：四语名称分别为类型A/Type A/Jenis A/Jenis A，状态启用</x:v>
      </x:c>
      <x:c r="J227" s="9" t="str">
        <x:v>1. 打开直播类型
2. 点击类型A“编辑”
3. 清空马来语名称
4. 点击“保存”</x:v>
      </x:c>
      <x:c r="K227" s="9" t="str">
        <x:v>不保存缺少马来语名称的配置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来源（当前证据）：liveshow-proto/MainBasis/统一需求文档.md；位置：第2722行、第2717行、第2718行
2. 规则：BR-900f476609a540e9
3. 未动态验证</x:v>
      </x:c>
    </x:row>
    <x:row r="228" ht="115" customHeight="1">
      <x:c r="A228" s="10" t="n">
        <x:v>227</x:v>
      </x:c>
      <x:c r="B228" s="10" t="str">
        <x:v>ADMIN-0227</x:v>
      </x:c>
      <x:c r="C228" s="10" t="str">
        <x:v>运营配置</x:v>
      </x:c>
      <x:c r="D228" s="10" t="str">
        <x:v>推送配置（平台管理员）</x:v>
      </x:c>
      <x:c r="E228" s="10" t="str">
        <x:v>功能需求</x:v>
      </x:c>
      <x:c r="F228" s="10" t="str">
        <x:v>P1</x:v>
      </x:c>
      <x:c r="G228" s="9" t="str">
        <x:v>验证推送配置缺少中文名称</x:v>
      </x:c>
      <x:c r="H228" s="9" t="str">
        <x:v>四语必填</x:v>
      </x:c>
      <x:c r="I228" s="9" t="str">
        <x:v>1. 当前执行账号具有管理后台会话，身份为平台管理员；具体账号及权限变化按以下条件准备
2. 未发送推送A：四语标题均为Title A、四语正文均为Content A，目标为有效公会G</x:v>
      </x:c>
      <x:c r="J228" s="9" t="str">
        <x:v>1. 打开推送配置
2. 清空中文标题
3. 点击“立即发送”</x:v>
      </x:c>
      <x:c r="K228" s="9" t="str">
        <x:v>不发送缺少标题的推送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来源（当前证据）：liveshow-proto/MainBasis/统一需求文档.md；位置：第2627行、第2622行、第2623行
2. 规则：BR-874cc9ddbbfccc12
3. 未动态验证</x:v>
      </x:c>
    </x:row>
    <x:row r="229" ht="115" customHeight="1">
      <x:c r="A229" s="10" t="n">
        <x:v>228</x:v>
      </x:c>
      <x:c r="B229" s="10" t="str">
        <x:v>ADMIN-0228</x:v>
      </x:c>
      <x:c r="C229" s="10" t="str">
        <x:v>运营配置</x:v>
      </x:c>
      <x:c r="D229" s="10" t="str">
        <x:v>推送配置（平台管理员）</x:v>
      </x:c>
      <x:c r="E229" s="10" t="str">
        <x:v>功能需求</x:v>
      </x:c>
      <x:c r="F229" s="10" t="str">
        <x:v>P1</x:v>
      </x:c>
      <x:c r="G229" s="9" t="str">
        <x:v>验证推送配置缺少英文名称</x:v>
      </x:c>
      <x:c r="H229" s="9" t="str">
        <x:v>四语必填</x:v>
      </x:c>
      <x:c r="I229" s="9" t="str">
        <x:v>1. 当前执行账号具有管理后台会话，身份为平台管理员；具体账号及权限变化按以下条件准备
2. 未发送推送A：四语标题均为Title A、四语正文均为Content A，目标为有效公会G</x:v>
      </x:c>
      <x:c r="J229" s="9" t="str">
        <x:v>1. 打开推送配置
2. 清空英文标题
3. 点击“立即发送”</x:v>
      </x:c>
      <x:c r="K229" s="9" t="str">
        <x:v>不发送缺少标题的推送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来源（当前证据）：liveshow-proto/MainBasis/统一需求文档.md；位置：第2627行、第2622行、第2623行
2. 规则：BR-673bda939e360643
3. 未动态验证</x:v>
      </x:c>
    </x:row>
    <x:row r="230" ht="115" customHeight="1">
      <x:c r="A230" s="10" t="n">
        <x:v>229</x:v>
      </x:c>
      <x:c r="B230" s="10" t="str">
        <x:v>ADMIN-0229</x:v>
      </x:c>
      <x:c r="C230" s="10" t="str">
        <x:v>运营配置</x:v>
      </x:c>
      <x:c r="D230" s="10" t="str">
        <x:v>推送配置（平台管理员）</x:v>
      </x:c>
      <x:c r="E230" s="10" t="str">
        <x:v>功能需求</x:v>
      </x:c>
      <x:c r="F230" s="10" t="str">
        <x:v>P1</x:v>
      </x:c>
      <x:c r="G230" s="9" t="str">
        <x:v>验证推送配置缺少印尼语名称</x:v>
      </x:c>
      <x:c r="H230" s="9" t="str">
        <x:v>四语必填</x:v>
      </x:c>
      <x:c r="I230" s="9" t="str">
        <x:v>1. 当前执行账号具有管理后台会话，身份为平台管理员；具体账号及权限变化按以下条件准备
2. 未发送推送A：四语标题均为Title A、四语正文均为Content A，目标为有效公会G</x:v>
      </x:c>
      <x:c r="J230" s="9" t="str">
        <x:v>1. 打开推送配置
2. 清空印尼语标题
3. 点击“立即发送”</x:v>
      </x:c>
      <x:c r="K230" s="9" t="str">
        <x:v>不发送缺少标题的推送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来源（当前证据）：liveshow-proto/MainBasis/统一需求文档.md；位置：第2627行、第2622行、第2623行
2. 规则：BR-96a2ab28b798211f
3. 未动态验证</x:v>
      </x:c>
    </x:row>
    <x:row r="231" ht="115" customHeight="1">
      <x:c r="A231" s="10" t="n">
        <x:v>230</x:v>
      </x:c>
      <x:c r="B231" s="10" t="str">
        <x:v>ADMIN-0230</x:v>
      </x:c>
      <x:c r="C231" s="10" t="str">
        <x:v>运营配置</x:v>
      </x:c>
      <x:c r="D231" s="10" t="str">
        <x:v>推送配置（平台管理员）</x:v>
      </x:c>
      <x:c r="E231" s="10" t="str">
        <x:v>功能需求</x:v>
      </x:c>
      <x:c r="F231" s="10" t="str">
        <x:v>P1</x:v>
      </x:c>
      <x:c r="G231" s="9" t="str">
        <x:v>验证推送配置缺少马来语名称</x:v>
      </x:c>
      <x:c r="H231" s="9" t="str">
        <x:v>四语必填</x:v>
      </x:c>
      <x:c r="I231" s="9" t="str">
        <x:v>1. 当前执行账号具有管理后台会话，身份为平台管理员；具体账号及权限变化按以下条件准备
2. 未发送推送A：四语标题均为Title A、四语正文均为Content A，目标为有效公会G</x:v>
      </x:c>
      <x:c r="J231" s="9" t="str">
        <x:v>1. 打开推送配置
2. 清空马来语标题
3. 点击“立即发送”</x:v>
      </x:c>
      <x:c r="K231" s="9" t="str">
        <x:v>不发送缺少标题的推送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来源（当前证据）：liveshow-proto/MainBasis/统一需求文档.md；位置：第2627行、第2622行、第2623行
2. 规则：BR-508db59eaec42e34
3. 未动态验证</x:v>
      </x:c>
    </x:row>
    <x:row r="232" ht="130" customHeight="1">
      <x:c r="A232" s="10" t="n">
        <x:v>231</x:v>
      </x:c>
      <x:c r="B232" s="10" t="str">
        <x:v>ADMIN-0231</x:v>
      </x:c>
      <x:c r="C232" s="10" t="str">
        <x:v>礼物与道具</x:v>
      </x:c>
      <x:c r="D232" s="10" t="str">
        <x:v>礼物详情（平台管理员）</x:v>
      </x:c>
      <x:c r="E232" s="10" t="str">
        <x:v>功能需求</x:v>
      </x:c>
      <x:c r="F232" s="10" t="str">
        <x:v>P1</x:v>
      </x:c>
      <x:c r="G232" s="9" t="str">
        <x:v>验证礼物详情单价为-1</x:v>
      </x:c>
      <x:c r="H232" s="9" t="str">
        <x:v>单价边界</x:v>
      </x:c>
      <x:c r="I232" s="9" t="str">
        <x:v>1. 当前执行账号具有管理后台会话，身份为平台管理员；具体账号及权限变化按以下条件准备
2. 礼物A：唯一ID已生成，四语名称分别为礼物A/Gift A/Hadiah A/Hadiah A、图标A、单价10、排序1</x:v>
      </x:c>
      <x:c r="J232" s="9" t="str">
        <x:v>1. 打开礼物详情
2. 输入单价“-1”
3. 点击“保存”</x:v>
      </x:c>
      <x:c r="K232" s="9" t="str">
        <x:v>不保存单价的非法值-1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来源（当前证据）：liveshow-proto/MainBasis/统一需求文档.md；位置：第2480行、第2474行、第2475行
2. 规则：BR-7c82729323231ed0
3. 未动态验证</x:v>
      </x:c>
    </x:row>
    <x:row r="233" ht="130" customHeight="1">
      <x:c r="A233" s="10" t="n">
        <x:v>232</x:v>
      </x:c>
      <x:c r="B233" s="10" t="str">
        <x:v>ADMIN-0232</x:v>
      </x:c>
      <x:c r="C233" s="10" t="str">
        <x:v>礼物与道具</x:v>
      </x:c>
      <x:c r="D233" s="10" t="str">
        <x:v>礼物详情（平台管理员）</x:v>
      </x:c>
      <x:c r="E233" s="10" t="str">
        <x:v>功能需求</x:v>
      </x:c>
      <x:c r="F233" s="10" t="str">
        <x:v>P1</x:v>
      </x:c>
      <x:c r="G233" s="9" t="str">
        <x:v>验证礼物详情单价为0</x:v>
      </x:c>
      <x:c r="H233" s="9" t="str">
        <x:v>单价边界</x:v>
      </x:c>
      <x:c r="I233" s="9" t="str">
        <x:v>1. 当前执行账号具有管理后台会话，身份为平台管理员；具体账号及权限变化按以下条件准备
2. 礼物A：唯一ID已生成，四语名称分别为礼物A/Gift A/Hadiah A/Hadiah A、图标A、单价10、排序1</x:v>
      </x:c>
      <x:c r="J233" s="9" t="str">
        <x:v>1. 打开礼物详情
2. 输入单价“0”
3. 点击“保存”</x:v>
      </x:c>
      <x:c r="K233" s="9" t="str">
        <x:v>不保存单价的非法值0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来源（当前证据）：liveshow-proto/MainBasis/统一需求文档.md；位置：第2480行、第2474行、第2475行
2. 规则：BR-6f726c0f3a0ad1dc
3. 未动态验证</x:v>
      </x:c>
    </x:row>
    <x:row r="234" ht="130" customHeight="1">
      <x:c r="A234" s="10" t="n">
        <x:v>233</x:v>
      </x:c>
      <x:c r="B234" s="10" t="str">
        <x:v>ADMIN-0233</x:v>
      </x:c>
      <x:c r="C234" s="10" t="str">
        <x:v>礼物与道具</x:v>
      </x:c>
      <x:c r="D234" s="10" t="str">
        <x:v>礼物详情（平台管理员）</x:v>
      </x:c>
      <x:c r="E234" s="10" t="str">
        <x:v>功能需求</x:v>
      </x:c>
      <x:c r="F234" s="10" t="str">
        <x:v>P1</x:v>
      </x:c>
      <x:c r="G234" s="9" t="str">
        <x:v>验证礼物详情单价为1</x:v>
      </x:c>
      <x:c r="H234" s="9" t="str">
        <x:v>单价边界</x:v>
      </x:c>
      <x:c r="I234" s="9" t="str">
        <x:v>1. 当前执行账号具有管理后台会话，身份为平台管理员；具体账号及权限变化按以下条件准备
2. 礼物A：唯一ID已生成，四语名称分别为礼物A/Gift A/Hadiah A/Hadiah A、图标A、单价10、排序1</x:v>
      </x:c>
      <x:c r="J234" s="9" t="str">
        <x:v>1. 打开礼物详情
2. 输入单价“1”
3. 点击“保存”</x:v>
      </x:c>
      <x:c r="K234" s="9" t="str">
        <x:v>单价保存为1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来源（当前证据）：liveshow-proto/MainBasis/统一需求文档.md；位置：第2480行、第2474行、第2475行
2. 规则：BR-a18b3b021b82bb36
3. 未动态验证</x:v>
      </x:c>
    </x:row>
    <x:row r="235" ht="130" customHeight="1">
      <x:c r="A235" s="10" t="n">
        <x:v>234</x:v>
      </x:c>
      <x:c r="B235" s="10" t="str">
        <x:v>ADMIN-0234</x:v>
      </x:c>
      <x:c r="C235" s="10" t="str">
        <x:v>礼物与道具</x:v>
      </x:c>
      <x:c r="D235" s="10" t="str">
        <x:v>礼物详情（平台管理员）</x:v>
      </x:c>
      <x:c r="E235" s="10" t="str">
        <x:v>功能需求</x:v>
      </x:c>
      <x:c r="F235" s="10" t="str">
        <x:v>P1</x:v>
      </x:c>
      <x:c r="G235" s="9" t="str">
        <x:v>验证礼物详情单价为1.5</x:v>
      </x:c>
      <x:c r="H235" s="9" t="str">
        <x:v>单价边界</x:v>
      </x:c>
      <x:c r="I235" s="9" t="str">
        <x:v>1. 当前执行账号具有管理后台会话，身份为平台管理员；具体账号及权限变化按以下条件准备
2. 礼物A：唯一ID已生成，四语名称分别为礼物A/Gift A/Hadiah A/Hadiah A、图标A、单价10、排序1</x:v>
      </x:c>
      <x:c r="J235" s="9" t="str">
        <x:v>1. 打开礼物详情
2. 输入单价“1.5”
3. 点击“保存”</x:v>
      </x:c>
      <x:c r="K235" s="9" t="str">
        <x:v>不保存单价的非法值1.5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来源（当前证据）：liveshow-proto/MainBasis/统一需求文档.md；位置：第2480行、第2474行、第2475行
2. 规则：BR-81c64810d351d240
3. 未动态验证</x:v>
      </x:c>
    </x:row>
    <x:row r="236" ht="130" customHeight="1">
      <x:c r="A236" s="10" t="n">
        <x:v>235</x:v>
      </x:c>
      <x:c r="B236" s="10" t="str">
        <x:v>ADMIN-0235</x:v>
      </x:c>
      <x:c r="C236" s="10" t="str">
        <x:v>礼物与道具</x:v>
      </x:c>
      <x:c r="D236" s="10" t="str">
        <x:v>幸运礼物编辑（平台管理员）</x:v>
      </x:c>
      <x:c r="E236" s="10" t="str">
        <x:v>功能需求</x:v>
      </x:c>
      <x:c r="F236" s="10" t="str">
        <x:v>P1</x:v>
      </x:c>
      <x:c r="G236" s="9" t="str">
        <x:v>验证幸运礼物编辑单次消耗为-1</x:v>
      </x:c>
      <x:c r="H236" s="9" t="str">
        <x:v>单次消耗边界</x:v>
      </x:c>
      <x:c r="I236" s="9" t="str">
        <x:v>1. 当前执行账号具有管理后台会话，身份为平台管理员；具体账号及权限变化按以下条件准备
2. 幸运礼物A：唯一ID已生成，四语名称均为Gift A、图标A、单次消耗100、开奖次数1、奖励0和100各50%，RTP已自动验证</x:v>
      </x:c>
      <x:c r="J236" s="9" t="str">
        <x:v>1. 打开幸运礼物编辑
2. 输入单次消耗“-1”
3. 点击“保存”</x:v>
      </x:c>
      <x:c r="K236" s="9" t="str">
        <x:v>不保存单次消耗的非法值-1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来源（当前证据）：liveshow-proto/MainBasis/统一需求文档.md；位置：第2517行、第2513行、第2514行
2. 规则：BR-6c7e0d7b1e7fd399
3. 未动态验证</x:v>
      </x:c>
    </x:row>
    <x:row r="237" ht="130" customHeight="1">
      <x:c r="A237" s="10" t="n">
        <x:v>236</x:v>
      </x:c>
      <x:c r="B237" s="10" t="str">
        <x:v>ADMIN-0236</x:v>
      </x:c>
      <x:c r="C237" s="10" t="str">
        <x:v>礼物与道具</x:v>
      </x:c>
      <x:c r="D237" s="10" t="str">
        <x:v>幸运礼物编辑（平台管理员）</x:v>
      </x:c>
      <x:c r="E237" s="10" t="str">
        <x:v>功能需求</x:v>
      </x:c>
      <x:c r="F237" s="10" t="str">
        <x:v>P1</x:v>
      </x:c>
      <x:c r="G237" s="9" t="str">
        <x:v>验证幸运礼物编辑单次消耗为0</x:v>
      </x:c>
      <x:c r="H237" s="9" t="str">
        <x:v>单次消耗边界</x:v>
      </x:c>
      <x:c r="I237" s="9" t="str">
        <x:v>1. 当前执行账号具有管理后台会话，身份为平台管理员；具体账号及权限变化按以下条件准备
2. 幸运礼物A：唯一ID已生成，四语名称均为Gift A、图标A、单次消耗100、开奖次数1、奖励0和100各50%，RTP已自动验证</x:v>
      </x:c>
      <x:c r="J237" s="9" t="str">
        <x:v>1. 打开幸运礼物编辑
2. 输入单次消耗“0”
3. 点击“保存”</x:v>
      </x:c>
      <x:c r="K237" s="9" t="str">
        <x:v>不保存单次消耗的非法值0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来源（当前证据）：liveshow-proto/MainBasis/统一需求文档.md；位置：第2517行、第2513行、第2514行
2. 规则：BR-ea7c9ab34a3566d8
3. 未动态验证</x:v>
      </x:c>
    </x:row>
    <x:row r="238" ht="130" customHeight="1">
      <x:c r="A238" s="10" t="n">
        <x:v>237</x:v>
      </x:c>
      <x:c r="B238" s="10" t="str">
        <x:v>ADMIN-0237</x:v>
      </x:c>
      <x:c r="C238" s="10" t="str">
        <x:v>礼物与道具</x:v>
      </x:c>
      <x:c r="D238" s="10" t="str">
        <x:v>幸运礼物编辑（平台管理员）</x:v>
      </x:c>
      <x:c r="E238" s="10" t="str">
        <x:v>功能需求</x:v>
      </x:c>
      <x:c r="F238" s="10" t="str">
        <x:v>P1</x:v>
      </x:c>
      <x:c r="G238" s="9" t="str">
        <x:v>验证幸运礼物编辑单次消耗为1</x:v>
      </x:c>
      <x:c r="H238" s="9" t="str">
        <x:v>单次消耗边界</x:v>
      </x:c>
      <x:c r="I238" s="9" t="str">
        <x:v>1. 当前执行账号具有管理后台会话，身份为平台管理员；具体账号及权限变化按以下条件准备
2. 幸运礼物A：唯一ID已生成，四语名称均为Gift A、图标A、单次消耗100、开奖次数1、奖励0和100各50%，RTP已自动验证</x:v>
      </x:c>
      <x:c r="J238" s="9" t="str">
        <x:v>1. 打开幸运礼物编辑
2. 输入单次消耗“1”
3. 点击“保存”</x:v>
      </x:c>
      <x:c r="K238" s="9" t="str">
        <x:v>单次消耗保存为1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来源（当前证据）：liveshow-proto/MainBasis/统一需求文档.md；位置：第2517行、第2513行、第2514行
2. 规则：BR-e64b3c353968060e
3. 未动态验证</x:v>
      </x:c>
    </x:row>
    <x:row r="239" ht="130" customHeight="1">
      <x:c r="A239" s="10" t="n">
        <x:v>238</x:v>
      </x:c>
      <x:c r="B239" s="10" t="str">
        <x:v>ADMIN-0238</x:v>
      </x:c>
      <x:c r="C239" s="10" t="str">
        <x:v>礼物与道具</x:v>
      </x:c>
      <x:c r="D239" s="10" t="str">
        <x:v>幸运礼物编辑（平台管理员）</x:v>
      </x:c>
      <x:c r="E239" s="10" t="str">
        <x:v>功能需求</x:v>
      </x:c>
      <x:c r="F239" s="10" t="str">
        <x:v>P1</x:v>
      </x:c>
      <x:c r="G239" s="9" t="str">
        <x:v>验证幸运礼物编辑单次消耗为1.5</x:v>
      </x:c>
      <x:c r="H239" s="9" t="str">
        <x:v>单次消耗边界</x:v>
      </x:c>
      <x:c r="I239" s="9" t="str">
        <x:v>1. 当前执行账号具有管理后台会话，身份为平台管理员；具体账号及权限变化按以下条件准备
2. 幸运礼物A：唯一ID已生成，四语名称均为Gift A、图标A、单次消耗100、开奖次数1、奖励0和100各50%，RTP已自动验证</x:v>
      </x:c>
      <x:c r="J239" s="9" t="str">
        <x:v>1. 打开幸运礼物编辑
2. 输入单次消耗“1.5”
3. 点击“保存”</x:v>
      </x:c>
      <x:c r="K239" s="9" t="str">
        <x:v>不保存单次消耗的非法值1.5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来源（当前证据）：liveshow-proto/MainBasis/统一需求文档.md；位置：第2517行、第2513行、第2514行
2. 规则：BR-eacd8726f4849129
3. 未动态验证</x:v>
      </x:c>
    </x:row>
    <x:row r="240" ht="130" customHeight="1">
      <x:c r="A240" s="10" t="n">
        <x:v>239</x:v>
      </x:c>
      <x:c r="B240" s="10" t="str">
        <x:v>ADMIN-0239</x:v>
      </x:c>
      <x:c r="C240" s="10" t="str">
        <x:v>礼物与道具</x:v>
      </x:c>
      <x:c r="D240" s="10" t="str">
        <x:v>幸运礼物编辑（平台管理员）</x:v>
      </x:c>
      <x:c r="E240" s="10" t="str">
        <x:v>功能需求</x:v>
      </x:c>
      <x:c r="F240" s="10" t="str">
        <x:v>P1</x:v>
      </x:c>
      <x:c r="G240" s="9" t="str">
        <x:v>验证幸运礼物编辑开奖次数为-1</x:v>
      </x:c>
      <x:c r="H240" s="9" t="str">
        <x:v>开奖次数边界</x:v>
      </x:c>
      <x:c r="I240" s="9" t="str">
        <x:v>1. 当前执行账号具有管理后台会话，身份为平台管理员；具体账号及权限变化按以下条件准备
2. 幸运礼物A：唯一ID已生成，四语名称均为Gift A、图标A、单次消耗100、开奖次数1、奖励0和100各50%，RTP已自动验证</x:v>
      </x:c>
      <x:c r="J240" s="9" t="str">
        <x:v>1. 打开幸运礼物编辑
2. 输入开奖次数“-1”
3. 点击“保存”</x:v>
      </x:c>
      <x:c r="K240" s="9" t="str">
        <x:v>不保存开奖次数的非法值-1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来源（当前证据）：liveshow-proto/MainBasis/统一需求文档.md；位置：第2518行、第2513行、第2514行
2. 规则：BR-283234c815463bab
3. 未动态验证</x:v>
      </x:c>
    </x:row>
    <x:row r="241" ht="130" customHeight="1">
      <x:c r="A241" s="10" t="n">
        <x:v>240</x:v>
      </x:c>
      <x:c r="B241" s="10" t="str">
        <x:v>ADMIN-0240</x:v>
      </x:c>
      <x:c r="C241" s="10" t="str">
        <x:v>礼物与道具</x:v>
      </x:c>
      <x:c r="D241" s="10" t="str">
        <x:v>幸运礼物编辑（平台管理员）</x:v>
      </x:c>
      <x:c r="E241" s="10" t="str">
        <x:v>功能需求</x:v>
      </x:c>
      <x:c r="F241" s="10" t="str">
        <x:v>P1</x:v>
      </x:c>
      <x:c r="G241" s="9" t="str">
        <x:v>验证幸运礼物编辑开奖次数为0</x:v>
      </x:c>
      <x:c r="H241" s="9" t="str">
        <x:v>开奖次数边界</x:v>
      </x:c>
      <x:c r="I241" s="9" t="str">
        <x:v>1. 当前执行账号具有管理后台会话，身份为平台管理员；具体账号及权限变化按以下条件准备
2. 幸运礼物A：唯一ID已生成，四语名称均为Gift A、图标A、单次消耗100、开奖次数1、奖励0和100各50%，RTP已自动验证</x:v>
      </x:c>
      <x:c r="J241" s="9" t="str">
        <x:v>1. 打开幸运礼物编辑
2. 输入开奖次数“0”
3. 点击“保存”</x:v>
      </x:c>
      <x:c r="K241" s="9" t="str">
        <x:v>不保存开奖次数的非法值0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来源（当前证据）：liveshow-proto/MainBasis/统一需求文档.md；位置：第2518行、第2513行、第2514行
2. 规则：BR-ece190bea95382fe
3. 未动态验证</x:v>
      </x:c>
    </x:row>
    <x:row r="242" ht="130" customHeight="1">
      <x:c r="A242" s="10" t="n">
        <x:v>241</x:v>
      </x:c>
      <x:c r="B242" s="10" t="str">
        <x:v>ADMIN-0241</x:v>
      </x:c>
      <x:c r="C242" s="10" t="str">
        <x:v>礼物与道具</x:v>
      </x:c>
      <x:c r="D242" s="10" t="str">
        <x:v>幸运礼物编辑（平台管理员）</x:v>
      </x:c>
      <x:c r="E242" s="10" t="str">
        <x:v>功能需求</x:v>
      </x:c>
      <x:c r="F242" s="10" t="str">
        <x:v>P1</x:v>
      </x:c>
      <x:c r="G242" s="9" t="str">
        <x:v>验证幸运礼物编辑开奖次数为1</x:v>
      </x:c>
      <x:c r="H242" s="9" t="str">
        <x:v>开奖次数边界</x:v>
      </x:c>
      <x:c r="I242" s="9" t="str">
        <x:v>1. 当前执行账号具有管理后台会话，身份为平台管理员；具体账号及权限变化按以下条件准备
2. 幸运礼物A：唯一ID已生成，四语名称均为Gift A、图标A、单次消耗100、开奖次数1、奖励0和100各50%，RTP已自动验证</x:v>
      </x:c>
      <x:c r="J242" s="9" t="str">
        <x:v>1. 打开幸运礼物编辑
2. 输入开奖次数“1”
3. 点击“保存”</x:v>
      </x:c>
      <x:c r="K242" s="9" t="str">
        <x:v>开奖次数保存为1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来源（当前证据）：liveshow-proto/MainBasis/统一需求文档.md；位置：第2518行、第2513行、第2514行
2. 规则：BR-2cbe985fa66a511e
3. 未动态验证</x:v>
      </x:c>
    </x:row>
    <x:row r="243" ht="130" customHeight="1">
      <x:c r="A243" s="10" t="n">
        <x:v>242</x:v>
      </x:c>
      <x:c r="B243" s="10" t="str">
        <x:v>ADMIN-0242</x:v>
      </x:c>
      <x:c r="C243" s="10" t="str">
        <x:v>礼物与道具</x:v>
      </x:c>
      <x:c r="D243" s="10" t="str">
        <x:v>幸运礼物编辑（平台管理员）</x:v>
      </x:c>
      <x:c r="E243" s="10" t="str">
        <x:v>功能需求</x:v>
      </x:c>
      <x:c r="F243" s="10" t="str">
        <x:v>P1</x:v>
      </x:c>
      <x:c r="G243" s="9" t="str">
        <x:v>验证幸运礼物编辑开奖次数为1.5</x:v>
      </x:c>
      <x:c r="H243" s="9" t="str">
        <x:v>开奖次数边界</x:v>
      </x:c>
      <x:c r="I243" s="9" t="str">
        <x:v>1. 当前执行账号具有管理后台会话，身份为平台管理员；具体账号及权限变化按以下条件准备
2. 幸运礼物A：唯一ID已生成，四语名称均为Gift A、图标A、单次消耗100、开奖次数1、奖励0和100各50%，RTP已自动验证</x:v>
      </x:c>
      <x:c r="J243" s="9" t="str">
        <x:v>1. 打开幸运礼物编辑
2. 输入开奖次数“1.5”
3. 点击“保存”</x:v>
      </x:c>
      <x:c r="K243" s="9" t="str">
        <x:v>不保存开奖次数的非法值1.5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来源（当前证据）：liveshow-proto/MainBasis/统一需求文档.md；位置：第2518行、第2513行、第2514行
2. 规则：BR-d7cf81b166574d14
3. 未动态验证</x:v>
      </x:c>
    </x:row>
    <x:row r="244" ht="130" customHeight="1">
      <x:c r="A244" s="10" t="n">
        <x:v>243</x:v>
      </x:c>
      <x:c r="B244" s="10" t="str">
        <x:v>ADMIN-0243</x:v>
      </x:c>
      <x:c r="C244" s="10" t="str">
        <x:v>礼物与道具</x:v>
      </x:c>
      <x:c r="D244" s="10" t="str">
        <x:v>幸运礼物编辑（平台管理员）</x:v>
      </x:c>
      <x:c r="E244" s="10" t="str">
        <x:v>功能需求</x:v>
      </x:c>
      <x:c r="F244" s="10" t="str">
        <x:v>P1</x:v>
      </x:c>
      <x:c r="G244" s="9" t="str">
        <x:v>验证幸运礼物编辑奖励金币为-1</x:v>
      </x:c>
      <x:c r="H244" s="9" t="str">
        <x:v>奖励金币边界</x:v>
      </x:c>
      <x:c r="I244" s="9" t="str">
        <x:v>1. 当前执行账号具有管理后台会话，身份为平台管理员；具体账号及权限变化按以下条件准备
2. 幸运礼物A：唯一ID已生成，四语名称均为Gift A、图标A、单次消耗100、开奖次数1、奖励0和100各50%，RTP已自动验证</x:v>
      </x:c>
      <x:c r="J244" s="9" t="str">
        <x:v>1. 打开幸运礼物编辑
2. 输入第一档奖励金币“-1”
3. 点击“保存”</x:v>
      </x:c>
      <x:c r="K244" s="9" t="str">
        <x:v>不保存奖励金币的非法值-1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来源（当前证据）：liveshow-proto/MainBasis/统一需求文档.md；位置：第2519行、第2513行、第2514行
2. 规则：BR-1a4f5c6fe4ffc359
3. 未动态验证</x:v>
      </x:c>
    </x:row>
    <x:row r="245" ht="130" customHeight="1">
      <x:c r="A245" s="10" t="n">
        <x:v>244</x:v>
      </x:c>
      <x:c r="B245" s="10" t="str">
        <x:v>ADMIN-0244</x:v>
      </x:c>
      <x:c r="C245" s="10" t="str">
        <x:v>礼物与道具</x:v>
      </x:c>
      <x:c r="D245" s="10" t="str">
        <x:v>幸运礼物编辑（平台管理员）</x:v>
      </x:c>
      <x:c r="E245" s="10" t="str">
        <x:v>功能需求</x:v>
      </x:c>
      <x:c r="F245" s="10" t="str">
        <x:v>P1</x:v>
      </x:c>
      <x:c r="G245" s="9" t="str">
        <x:v>验证幸运礼物编辑奖励金币为0</x:v>
      </x:c>
      <x:c r="H245" s="9" t="str">
        <x:v>奖励金币边界</x:v>
      </x:c>
      <x:c r="I245" s="9" t="str">
        <x:v>1. 当前执行账号具有管理后台会话，身份为平台管理员；具体账号及权限变化按以下条件准备
2. 幸运礼物A：唯一ID已生成，四语名称均为Gift A、图标A、单次消耗100、开奖次数1、奖励0和100各50%，RTP已自动验证</x:v>
      </x:c>
      <x:c r="J245" s="9" t="str">
        <x:v>1. 打开幸运礼物编辑
2. 输入第一档奖励金币“0”
3. 点击“保存”</x:v>
      </x:c>
      <x:c r="K245" s="9" t="str">
        <x:v>奖励金币保存为0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来源（当前证据）：liveshow-proto/MainBasis/统一需求文档.md；位置：第2519行、第2513行、第2514行
2. 规则：BR-d35358a375c65a13
3. 未动态验证</x:v>
      </x:c>
    </x:row>
    <x:row r="246" ht="130" customHeight="1">
      <x:c r="A246" s="10" t="n">
        <x:v>245</x:v>
      </x:c>
      <x:c r="B246" s="10" t="str">
        <x:v>ADMIN-0245</x:v>
      </x:c>
      <x:c r="C246" s="10" t="str">
        <x:v>礼物与道具</x:v>
      </x:c>
      <x:c r="D246" s="10" t="str">
        <x:v>幸运礼物编辑（平台管理员）</x:v>
      </x:c>
      <x:c r="E246" s="10" t="str">
        <x:v>功能需求</x:v>
      </x:c>
      <x:c r="F246" s="10" t="str">
        <x:v>P1</x:v>
      </x:c>
      <x:c r="G246" s="9" t="str">
        <x:v>验证幸运礼物编辑奖励金币为1</x:v>
      </x:c>
      <x:c r="H246" s="9" t="str">
        <x:v>奖励金币边界</x:v>
      </x:c>
      <x:c r="I246" s="9" t="str">
        <x:v>1. 当前执行账号具有管理后台会话，身份为平台管理员；具体账号及权限变化按以下条件准备
2. 幸运礼物A：唯一ID已生成，四语名称均为Gift A、图标A、单次消耗100、开奖次数1、奖励0和100各50%，RTP已自动验证</x:v>
      </x:c>
      <x:c r="J246" s="9" t="str">
        <x:v>1. 打开幸运礼物编辑
2. 输入第一档奖励金币“1”
3. 点击“保存”</x:v>
      </x:c>
      <x:c r="K246" s="9" t="str">
        <x:v>奖励金币保存为1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来源（当前证据）：liveshow-proto/MainBasis/统一需求文档.md；位置：第2519行、第2513行、第2514行
2. 规则：BR-1d3945162e8c0214
3. 未动态验证</x:v>
      </x:c>
    </x:row>
    <x:row r="247" ht="130" customHeight="1">
      <x:c r="A247" s="10" t="n">
        <x:v>246</x:v>
      </x:c>
      <x:c r="B247" s="10" t="str">
        <x:v>ADMIN-0246</x:v>
      </x:c>
      <x:c r="C247" s="10" t="str">
        <x:v>礼物与道具</x:v>
      </x:c>
      <x:c r="D247" s="10" t="str">
        <x:v>幸运礼物编辑（平台管理员）</x:v>
      </x:c>
      <x:c r="E247" s="10" t="str">
        <x:v>功能需求</x:v>
      </x:c>
      <x:c r="F247" s="10" t="str">
        <x:v>P1</x:v>
      </x:c>
      <x:c r="G247" s="9" t="str">
        <x:v>验证幸运礼物编辑奖励金币为1.5</x:v>
      </x:c>
      <x:c r="H247" s="9" t="str">
        <x:v>奖励金币边界</x:v>
      </x:c>
      <x:c r="I247" s="9" t="str">
        <x:v>1. 当前执行账号具有管理后台会话，身份为平台管理员；具体账号及权限变化按以下条件准备
2. 幸运礼物A：唯一ID已生成，四语名称均为Gift A、图标A、单次消耗100、开奖次数1、奖励0和100各50%，RTP已自动验证</x:v>
      </x:c>
      <x:c r="J247" s="9" t="str">
        <x:v>1. 打开幸运礼物编辑
2. 输入第一档奖励金币“1.5”
3. 点击“保存”</x:v>
      </x:c>
      <x:c r="K247" s="9" t="str">
        <x:v>不保存奖励金币的非法值1.5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来源（当前证据）：liveshow-proto/MainBasis/统一需求文档.md；位置：第2519行、第2513行、第2514行
2. 规则：BR-d40d4c4f9d915cb5
3. 未动态验证</x:v>
      </x:c>
    </x:row>
    <x:row r="248" ht="115" customHeight="1">
      <x:c r="A248" s="10" t="n">
        <x:v>247</x:v>
      </x:c>
      <x:c r="B248" s="10" t="str">
        <x:v>ADMIN-0247</x:v>
      </x:c>
      <x:c r="C248" s="10" t="str">
        <x:v>运营配置</x:v>
      </x:c>
      <x:c r="D248" s="10" t="str">
        <x:v>充值套餐编辑（平台管理员）</x:v>
      </x:c>
      <x:c r="E248" s="10" t="str">
        <x:v>功能需求</x:v>
      </x:c>
      <x:c r="F248" s="10" t="str">
        <x:v>P0</x:v>
      </x:c>
      <x:c r="G248" s="9" t="str">
        <x:v>验证充值套餐编辑销售价格为-1</x:v>
      </x:c>
      <x:c r="H248" s="9" t="str">
        <x:v>销售价格边界</x:v>
      </x:c>
      <x:c r="I248" s="9" t="str">
        <x:v>1. 当前执行账号具有管理后台会话，身份为平台管理员；具体账号及权限变化按以下条件准备
2. 已有常规套餐A，封面A、基础100金币、赠送10金币、销售价格1 USD，排序1</x:v>
      </x:c>
      <x:c r="J248" s="9" t="str">
        <x:v>1. 打开充值套餐编辑
2. 输入销售价格“-1”
3. 点击“保存”</x:v>
      </x:c>
      <x:c r="K248" s="9" t="str">
        <x:v>不保存销售价格的非法值-1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来源（当前证据）：liveshow-proto/MainBasis/统一需求文档.md；位置：第2652行、第2647行、第2648行
2. 规则：BR-83581e74254d0c3c
3. 未动态验证</x:v>
      </x:c>
    </x:row>
    <x:row r="249" ht="115" customHeight="1">
      <x:c r="A249" s="10" t="n">
        <x:v>248</x:v>
      </x:c>
      <x:c r="B249" s="10" t="str">
        <x:v>ADMIN-0248</x:v>
      </x:c>
      <x:c r="C249" s="10" t="str">
        <x:v>运营配置</x:v>
      </x:c>
      <x:c r="D249" s="10" t="str">
        <x:v>充值套餐编辑（平台管理员）</x:v>
      </x:c>
      <x:c r="E249" s="10" t="str">
        <x:v>功能需求</x:v>
      </x:c>
      <x:c r="F249" s="10" t="str">
        <x:v>P0</x:v>
      </x:c>
      <x:c r="G249" s="9" t="str">
        <x:v>验证充值套餐编辑销售价格为0</x:v>
      </x:c>
      <x:c r="H249" s="9" t="str">
        <x:v>销售价格边界</x:v>
      </x:c>
      <x:c r="I249" s="9" t="str">
        <x:v>1. 当前执行账号具有管理后台会话，身份为平台管理员；具体账号及权限变化按以下条件准备
2. 已有常规套餐A，封面A、基础100金币、赠送10金币、销售价格1 USD，排序1</x:v>
      </x:c>
      <x:c r="J249" s="9" t="str">
        <x:v>1. 打开充值套餐编辑
2. 输入销售价格“0”
3. 点击“保存”</x:v>
      </x:c>
      <x:c r="K249" s="9" t="str">
        <x:v>不保存销售价格的非法值0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来源（当前证据）：liveshow-proto/MainBasis/统一需求文档.md；位置：第2652行、第2647行、第2648行
2. 规则：BR-408058eaa459c5fc
3. 未动态验证</x:v>
      </x:c>
    </x:row>
    <x:row r="250" ht="115" customHeight="1">
      <x:c r="A250" s="10" t="n">
        <x:v>249</x:v>
      </x:c>
      <x:c r="B250" s="10" t="str">
        <x:v>ADMIN-0249</x:v>
      </x:c>
      <x:c r="C250" s="10" t="str">
        <x:v>运营配置</x:v>
      </x:c>
      <x:c r="D250" s="10" t="str">
        <x:v>充值套餐编辑（平台管理员）</x:v>
      </x:c>
      <x:c r="E250" s="10" t="str">
        <x:v>功能需求</x:v>
      </x:c>
      <x:c r="F250" s="10" t="str">
        <x:v>P0</x:v>
      </x:c>
      <x:c r="G250" s="9" t="str">
        <x:v>验证充值套餐编辑销售价格为0.01</x:v>
      </x:c>
      <x:c r="H250" s="9" t="str">
        <x:v>销售价格边界</x:v>
      </x:c>
      <x:c r="I250" s="9" t="str">
        <x:v>1. 当前执行账号具有管理后台会话，身份为平台管理员；具体账号及权限变化按以下条件准备
2. 已有常规套餐A，封面A、基础100金币、赠送10金币、销售价格1 USD，排序1</x:v>
      </x:c>
      <x:c r="J250" s="9" t="str">
        <x:v>1. 打开充值套餐编辑
2. 输入销售价格“0.01”
3. 点击“保存”</x:v>
      </x:c>
      <x:c r="K250" s="9" t="str">
        <x:v>销售价格保存为0.01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来源（当前证据）：liveshow-proto/MainBasis/统一需求文档.md；位置：第2652行、第2647行、第2648行
2. 规则：BR-59205f98b91fc337
3. 未动态验证</x:v>
      </x:c>
    </x:row>
    <x:row r="251" ht="115" customHeight="1">
      <x:c r="A251" s="10" t="n">
        <x:v>250</x:v>
      </x:c>
      <x:c r="B251" s="10" t="str">
        <x:v>ADMIN-0250</x:v>
      </x:c>
      <x:c r="C251" s="10" t="str">
        <x:v>运营配置</x:v>
      </x:c>
      <x:c r="D251" s="10" t="str">
        <x:v>充值套餐编辑（平台管理员）</x:v>
      </x:c>
      <x:c r="E251" s="10" t="str">
        <x:v>功能需求</x:v>
      </x:c>
      <x:c r="F251" s="10" t="str">
        <x:v>P0</x:v>
      </x:c>
      <x:c r="G251" s="9" t="str">
        <x:v>验证充值套餐编辑销售价格为1.001</x:v>
      </x:c>
      <x:c r="H251" s="9" t="str">
        <x:v>销售价格边界</x:v>
      </x:c>
      <x:c r="I251" s="9" t="str">
        <x:v>1. 当前执行账号具有管理后台会话，身份为平台管理员；具体账号及权限变化按以下条件准备
2. 已有常规套餐A，封面A、基础100金币、赠送10金币、销售价格1 USD，排序1</x:v>
      </x:c>
      <x:c r="J251" s="9" t="str">
        <x:v>1. 打开充值套餐编辑
2. 输入销售价格“1.001”
3. 点击“保存”</x:v>
      </x:c>
      <x:c r="K251" s="9" t="str">
        <x:v>不保存销售价格的非法值1.001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来源（当前证据）：liveshow-proto/MainBasis/统一需求文档.md；位置：第2652行、第2647行、第2648行
2. 规则：BR-0ceea448e62425f3
3. 未动态验证</x:v>
      </x:c>
    </x:row>
    <x:row r="252" ht="115" customHeight="1">
      <x:c r="A252" s="10" t="n">
        <x:v>251</x:v>
      </x:c>
      <x:c r="B252" s="10" t="str">
        <x:v>ADMIN-0251</x:v>
      </x:c>
      <x:c r="C252" s="10" t="str">
        <x:v>运营配置</x:v>
      </x:c>
      <x:c r="D252" s="10" t="str">
        <x:v>充值套餐编辑（平台管理员）</x:v>
      </x:c>
      <x:c r="E252" s="10" t="str">
        <x:v>功能需求</x:v>
      </x:c>
      <x:c r="F252" s="10" t="str">
        <x:v>P0</x:v>
      </x:c>
      <x:c r="G252" s="9" t="str">
        <x:v>验证充值套餐编辑充值金币为-1</x:v>
      </x:c>
      <x:c r="H252" s="9" t="str">
        <x:v>充值金币边界</x:v>
      </x:c>
      <x:c r="I252" s="9" t="str">
        <x:v>1. 当前执行账号具有管理后台会话，身份为平台管理员；具体账号及权限变化按以下条件准备
2. 已有常规套餐A，封面A、基础100金币、赠送10金币、销售价格1 USD，排序1</x:v>
      </x:c>
      <x:c r="J252" s="9" t="str">
        <x:v>1. 打开充值套餐编辑
2. 输入充值金币“-1”
3. 点击“保存”</x:v>
      </x:c>
      <x:c r="K252" s="9" t="str">
        <x:v>不保存充值金币的非法值-1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来源（当前证据）：liveshow-proto/MainBasis/统一需求文档.md；位置：第2653行、第2647行、第2648行
2. 规则：BR-82f62db26f31fa74
3. 未动态验证</x:v>
      </x:c>
    </x:row>
    <x:row r="253" ht="115" customHeight="1">
      <x:c r="A253" s="10" t="n">
        <x:v>252</x:v>
      </x:c>
      <x:c r="B253" s="10" t="str">
        <x:v>ADMIN-0252</x:v>
      </x:c>
      <x:c r="C253" s="10" t="str">
        <x:v>运营配置</x:v>
      </x:c>
      <x:c r="D253" s="10" t="str">
        <x:v>充值套餐编辑（平台管理员）</x:v>
      </x:c>
      <x:c r="E253" s="10" t="str">
        <x:v>功能需求</x:v>
      </x:c>
      <x:c r="F253" s="10" t="str">
        <x:v>P0</x:v>
      </x:c>
      <x:c r="G253" s="9" t="str">
        <x:v>验证充值套餐编辑充值金币为0</x:v>
      </x:c>
      <x:c r="H253" s="9" t="str">
        <x:v>充值金币边界</x:v>
      </x:c>
      <x:c r="I253" s="9" t="str">
        <x:v>1. 当前执行账号具有管理后台会话，身份为平台管理员；具体账号及权限变化按以下条件准备
2. 已有常规套餐A，封面A、基础100金币、赠送10金币、销售价格1 USD，排序1</x:v>
      </x:c>
      <x:c r="J253" s="9" t="str">
        <x:v>1. 打开充值套餐编辑
2. 输入充值金币“0”
3. 点击“保存”</x:v>
      </x:c>
      <x:c r="K253" s="9" t="str">
        <x:v>不保存充值金币的非法值0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来源（当前证据）：liveshow-proto/MainBasis/统一需求文档.md；位置：第2653行、第2647行、第2648行
2. 规则：BR-d859f9190282d8de
3. 未动态验证</x:v>
      </x:c>
    </x:row>
    <x:row r="254" ht="115" customHeight="1">
      <x:c r="A254" s="10" t="n">
        <x:v>253</x:v>
      </x:c>
      <x:c r="B254" s="10" t="str">
        <x:v>ADMIN-0253</x:v>
      </x:c>
      <x:c r="C254" s="10" t="str">
        <x:v>运营配置</x:v>
      </x:c>
      <x:c r="D254" s="10" t="str">
        <x:v>充值套餐编辑（平台管理员）</x:v>
      </x:c>
      <x:c r="E254" s="10" t="str">
        <x:v>功能需求</x:v>
      </x:c>
      <x:c r="F254" s="10" t="str">
        <x:v>P0</x:v>
      </x:c>
      <x:c r="G254" s="9" t="str">
        <x:v>验证充值套餐编辑充值金币为1</x:v>
      </x:c>
      <x:c r="H254" s="9" t="str">
        <x:v>充值金币边界</x:v>
      </x:c>
      <x:c r="I254" s="9" t="str">
        <x:v>1. 当前执行账号具有管理后台会话，身份为平台管理员；具体账号及权限变化按以下条件准备
2. 已有常规套餐A，封面A、基础100金币、赠送10金币、销售价格1 USD，排序1</x:v>
      </x:c>
      <x:c r="J254" s="9" t="str">
        <x:v>1. 打开充值套餐编辑
2. 输入充值金币“1”
3. 点击“保存”</x:v>
      </x:c>
      <x:c r="K254" s="9" t="str">
        <x:v>充值金币保存为1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来源（当前证据）：liveshow-proto/MainBasis/统一需求文档.md；位置：第2653行、第2647行、第2648行
2. 规则：BR-13e0eb41ae006818
3. 未动态验证</x:v>
      </x:c>
    </x:row>
    <x:row r="255" ht="115" customHeight="1">
      <x:c r="A255" s="10" t="n">
        <x:v>254</x:v>
      </x:c>
      <x:c r="B255" s="10" t="str">
        <x:v>ADMIN-0254</x:v>
      </x:c>
      <x:c r="C255" s="10" t="str">
        <x:v>运营配置</x:v>
      </x:c>
      <x:c r="D255" s="10" t="str">
        <x:v>充值套餐编辑（平台管理员）</x:v>
      </x:c>
      <x:c r="E255" s="10" t="str">
        <x:v>功能需求</x:v>
      </x:c>
      <x:c r="F255" s="10" t="str">
        <x:v>P0</x:v>
      </x:c>
      <x:c r="G255" s="9" t="str">
        <x:v>验证充值套餐编辑充值金币为1.5</x:v>
      </x:c>
      <x:c r="H255" s="9" t="str">
        <x:v>充值金币边界</x:v>
      </x:c>
      <x:c r="I255" s="9" t="str">
        <x:v>1. 当前执行账号具有管理后台会话，身份为平台管理员；具体账号及权限变化按以下条件准备
2. 已有常规套餐A，封面A、基础100金币、赠送10金币、销售价格1 USD，排序1</x:v>
      </x:c>
      <x:c r="J255" s="9" t="str">
        <x:v>1. 打开充值套餐编辑
2. 输入充值金币“1.5”
3. 点击“保存”</x:v>
      </x:c>
      <x:c r="K255" s="9" t="str">
        <x:v>不保存充值金币的非法值1.5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来源（当前证据）：liveshow-proto/MainBasis/统一需求文档.md；位置：第2653行、第2647行、第2648行
2. 规则：BR-0e15d97a0bd4da33
3. 未动态验证</x:v>
      </x:c>
    </x:row>
    <x:row r="256" ht="115" customHeight="1">
      <x:c r="A256" s="10" t="n">
        <x:v>255</x:v>
      </x:c>
      <x:c r="B256" s="10" t="str">
        <x:v>ADMIN-0255</x:v>
      </x:c>
      <x:c r="C256" s="10" t="str">
        <x:v>运营配置</x:v>
      </x:c>
      <x:c r="D256" s="10" t="str">
        <x:v>充值套餐编辑（平台管理员）</x:v>
      </x:c>
      <x:c r="E256" s="10" t="str">
        <x:v>功能需求</x:v>
      </x:c>
      <x:c r="F256" s="10" t="str">
        <x:v>P0</x:v>
      </x:c>
      <x:c r="G256" s="9" t="str">
        <x:v>验证充值套餐编辑赠送金币为-1</x:v>
      </x:c>
      <x:c r="H256" s="9" t="str">
        <x:v>赠送金币边界</x:v>
      </x:c>
      <x:c r="I256" s="9" t="str">
        <x:v>1. 当前执行账号具有管理后台会话，身份为平台管理员；具体账号及权限变化按以下条件准备
2. 已有常规套餐A，封面A、基础100金币、赠送10金币、销售价格1 USD，排序1</x:v>
      </x:c>
      <x:c r="J256" s="9" t="str">
        <x:v>1. 打开充值套餐编辑
2. 输入赠送金币“-1”
3. 点击“保存”</x:v>
      </x:c>
      <x:c r="K256" s="9" t="str">
        <x:v>不保存赠送金币的非法值-1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来源（当前证据）：liveshow-proto/MainBasis/统一需求文档.md；位置：第2653行、第2647行、第2648行
2. 规则：BR-72ebb34f4ed15093
3. 未动态验证</x:v>
      </x:c>
    </x:row>
    <x:row r="257" ht="115" customHeight="1">
      <x:c r="A257" s="10" t="n">
        <x:v>256</x:v>
      </x:c>
      <x:c r="B257" s="10" t="str">
        <x:v>ADMIN-0256</x:v>
      </x:c>
      <x:c r="C257" s="10" t="str">
        <x:v>运营配置</x:v>
      </x:c>
      <x:c r="D257" s="10" t="str">
        <x:v>充值套餐编辑（平台管理员）</x:v>
      </x:c>
      <x:c r="E257" s="10" t="str">
        <x:v>功能需求</x:v>
      </x:c>
      <x:c r="F257" s="10" t="str">
        <x:v>P0</x:v>
      </x:c>
      <x:c r="G257" s="9" t="str">
        <x:v>验证充值套餐编辑赠送金币为0</x:v>
      </x:c>
      <x:c r="H257" s="9" t="str">
        <x:v>赠送金币边界</x:v>
      </x:c>
      <x:c r="I257" s="9" t="str">
        <x:v>1. 当前执行账号具有管理后台会话，身份为平台管理员；具体账号及权限变化按以下条件准备
2. 已有常规套餐A，封面A、基础100金币、赠送10金币、销售价格1 USD，排序1</x:v>
      </x:c>
      <x:c r="J257" s="9" t="str">
        <x:v>1. 打开充值套餐编辑
2. 输入赠送金币“0”
3. 点击“保存”</x:v>
      </x:c>
      <x:c r="K257" s="9" t="str">
        <x:v>赠送金币保存为0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来源（当前证据）：liveshow-proto/MainBasis/统一需求文档.md；位置：第2653行、第2647行、第2648行
2. 规则：BR-55f8e2eeb08674ad
3. 未动态验证</x:v>
      </x:c>
    </x:row>
    <x:row r="258" ht="115" customHeight="1">
      <x:c r="A258" s="10" t="n">
        <x:v>257</x:v>
      </x:c>
      <x:c r="B258" s="10" t="str">
        <x:v>ADMIN-0257</x:v>
      </x:c>
      <x:c r="C258" s="10" t="str">
        <x:v>运营配置</x:v>
      </x:c>
      <x:c r="D258" s="10" t="str">
        <x:v>充值套餐编辑（平台管理员）</x:v>
      </x:c>
      <x:c r="E258" s="10" t="str">
        <x:v>功能需求</x:v>
      </x:c>
      <x:c r="F258" s="10" t="str">
        <x:v>P0</x:v>
      </x:c>
      <x:c r="G258" s="9" t="str">
        <x:v>验证充值套餐编辑赠送金币为1</x:v>
      </x:c>
      <x:c r="H258" s="9" t="str">
        <x:v>赠送金币边界</x:v>
      </x:c>
      <x:c r="I258" s="9" t="str">
        <x:v>1. 当前执行账号具有管理后台会话，身份为平台管理员；具体账号及权限变化按以下条件准备
2. 已有常规套餐A，封面A、基础100金币、赠送10金币、销售价格1 USD，排序1</x:v>
      </x:c>
      <x:c r="J258" s="9" t="str">
        <x:v>1. 打开充值套餐编辑
2. 输入赠送金币“1”
3. 点击“保存”</x:v>
      </x:c>
      <x:c r="K258" s="9" t="str">
        <x:v>赠送金币保存为1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来源（当前证据）：liveshow-proto/MainBasis/统一需求文档.md；位置：第2653行、第2647行、第2648行
2. 规则：BR-a2765b844d241f0e
3. 未动态验证</x:v>
      </x:c>
    </x:row>
    <x:row r="259" ht="115" customHeight="1">
      <x:c r="A259" s="10" t="n">
        <x:v>258</x:v>
      </x:c>
      <x:c r="B259" s="10" t="str">
        <x:v>ADMIN-0258</x:v>
      </x:c>
      <x:c r="C259" s="10" t="str">
        <x:v>运营配置</x:v>
      </x:c>
      <x:c r="D259" s="10" t="str">
        <x:v>充值套餐编辑（平台管理员）</x:v>
      </x:c>
      <x:c r="E259" s="10" t="str">
        <x:v>功能需求</x:v>
      </x:c>
      <x:c r="F259" s="10" t="str">
        <x:v>P0</x:v>
      </x:c>
      <x:c r="G259" s="9" t="str">
        <x:v>验证充值套餐编辑赠送金币为1.5</x:v>
      </x:c>
      <x:c r="H259" s="9" t="str">
        <x:v>赠送金币边界</x:v>
      </x:c>
      <x:c r="I259" s="9" t="str">
        <x:v>1. 当前执行账号具有管理后台会话，身份为平台管理员；具体账号及权限变化按以下条件准备
2. 已有常规套餐A，封面A、基础100金币、赠送10金币、销售价格1 USD，排序1</x:v>
      </x:c>
      <x:c r="J259" s="9" t="str">
        <x:v>1. 打开充值套餐编辑
2. 输入赠送金币“1.5”
3. 点击“保存”</x:v>
      </x:c>
      <x:c r="K259" s="9" t="str">
        <x:v>不保存赠送金币的非法值1.5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来源（当前证据）：liveshow-proto/MainBasis/统一需求文档.md；位置：第2653行、第2647行、第2648行
2. 规则：BR-314702a6383d87fc
3. 未动态验证</x:v>
      </x:c>
    </x:row>
    <x:row r="260" ht="100" customHeight="1">
      <x:c r="A260" s="10" t="n">
        <x:v>259</x:v>
      </x:c>
      <x:c r="B260" s="10" t="str">
        <x:v>ADMIN-0259</x:v>
      </x:c>
      <x:c r="C260" s="10" t="str">
        <x:v>运营配置</x:v>
      </x:c>
      <x:c r="D260" s="10" t="str">
        <x:v>门票价格档位编辑（平台管理员）</x:v>
      </x:c>
      <x:c r="E260" s="10" t="str">
        <x:v>功能需求</x:v>
      </x:c>
      <x:c r="F260" s="10" t="str">
        <x:v>P1</x:v>
      </x:c>
      <x:c r="G260" s="9" t="str">
        <x:v>验证门票价格档位编辑门票价格为-1</x:v>
      </x:c>
      <x:c r="H260" s="9" t="str">
        <x:v>门票价格边界</x:v>
      </x:c>
      <x:c r="I260" s="9" t="str">
        <x:v>1. 当前执行账号具有管理后台会话，身份为平台管理员；具体账号及权限变化按以下条件准备
2. 已有门票档位A价格100、排序1；另有启用档位B价格200</x:v>
      </x:c>
      <x:c r="J260" s="9" t="str">
        <x:v>1. 打开门票价格档位编辑
2. 输入门票价格“-1”
3. 点击“保存”</x:v>
      </x:c>
      <x:c r="K260" s="9" t="str">
        <x:v>不保存门票价格的非法值-1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来源（当前证据）：liveshow-proto/MainBasis/统一需求文档.md；位置：第2754行、第2750行、第2751行
2. 规则：BR-dcd5d89fb61b7453
3. 未动态验证</x:v>
      </x:c>
    </x:row>
    <x:row r="261" ht="100" customHeight="1">
      <x:c r="A261" s="10" t="n">
        <x:v>260</x:v>
      </x:c>
      <x:c r="B261" s="10" t="str">
        <x:v>ADMIN-0260</x:v>
      </x:c>
      <x:c r="C261" s="10" t="str">
        <x:v>运营配置</x:v>
      </x:c>
      <x:c r="D261" s="10" t="str">
        <x:v>门票价格档位编辑（平台管理员）</x:v>
      </x:c>
      <x:c r="E261" s="10" t="str">
        <x:v>功能需求</x:v>
      </x:c>
      <x:c r="F261" s="10" t="str">
        <x:v>P1</x:v>
      </x:c>
      <x:c r="G261" s="9" t="str">
        <x:v>验证门票价格档位编辑门票价格为0</x:v>
      </x:c>
      <x:c r="H261" s="9" t="str">
        <x:v>门票价格边界</x:v>
      </x:c>
      <x:c r="I261" s="9" t="str">
        <x:v>1. 当前执行账号具有管理后台会话，身份为平台管理员；具体账号及权限变化按以下条件准备
2. 已有门票档位A价格100、排序1；另有启用档位B价格200</x:v>
      </x:c>
      <x:c r="J261" s="9" t="str">
        <x:v>1. 打开门票价格档位编辑
2. 输入门票价格“0”
3. 点击“保存”</x:v>
      </x:c>
      <x:c r="K261" s="9" t="str">
        <x:v>不保存门票价格的非法值0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来源（当前证据）：liveshow-proto/MainBasis/统一需求文档.md；位置：第2754行、第2750行、第2751行
2. 规则：BR-7aac7bff9bc8a9b3
3. 未动态验证</x:v>
      </x:c>
    </x:row>
    <x:row r="262" ht="100" customHeight="1">
      <x:c r="A262" s="10" t="n">
        <x:v>261</x:v>
      </x:c>
      <x:c r="B262" s="10" t="str">
        <x:v>ADMIN-0261</x:v>
      </x:c>
      <x:c r="C262" s="10" t="str">
        <x:v>运营配置</x:v>
      </x:c>
      <x:c r="D262" s="10" t="str">
        <x:v>门票价格档位编辑（平台管理员）</x:v>
      </x:c>
      <x:c r="E262" s="10" t="str">
        <x:v>功能需求</x:v>
      </x:c>
      <x:c r="F262" s="10" t="str">
        <x:v>P1</x:v>
      </x:c>
      <x:c r="G262" s="9" t="str">
        <x:v>验证门票价格档位编辑门票价格为1</x:v>
      </x:c>
      <x:c r="H262" s="9" t="str">
        <x:v>门票价格边界</x:v>
      </x:c>
      <x:c r="I262" s="9" t="str">
        <x:v>1. 当前执行账号具有管理后台会话，身份为平台管理员；具体账号及权限变化按以下条件准备
2. 已有门票档位A价格100、排序1；另有启用档位B价格200</x:v>
      </x:c>
      <x:c r="J262" s="9" t="str">
        <x:v>1. 打开门票价格档位编辑
2. 输入门票价格“1”
3. 点击“保存”</x:v>
      </x:c>
      <x:c r="K262" s="9" t="str">
        <x:v>门票价格保存为1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来源（当前证据）：liveshow-proto/MainBasis/统一需求文档.md；位置：第2754行、第2750行、第2751行
2. 规则：BR-2f654bae75bf0063
3. 未动态验证</x:v>
      </x:c>
    </x:row>
    <x:row r="263" ht="100" customHeight="1">
      <x:c r="A263" s="10" t="n">
        <x:v>262</x:v>
      </x:c>
      <x:c r="B263" s="10" t="str">
        <x:v>ADMIN-0262</x:v>
      </x:c>
      <x:c r="C263" s="10" t="str">
        <x:v>运营配置</x:v>
      </x:c>
      <x:c r="D263" s="10" t="str">
        <x:v>门票价格档位编辑（平台管理员）</x:v>
      </x:c>
      <x:c r="E263" s="10" t="str">
        <x:v>功能需求</x:v>
      </x:c>
      <x:c r="F263" s="10" t="str">
        <x:v>P1</x:v>
      </x:c>
      <x:c r="G263" s="9" t="str">
        <x:v>验证门票价格档位编辑门票价格为1.5</x:v>
      </x:c>
      <x:c r="H263" s="9" t="str">
        <x:v>门票价格边界</x:v>
      </x:c>
      <x:c r="I263" s="9" t="str">
        <x:v>1. 当前执行账号具有管理后台会话，身份为平台管理员；具体账号及权限变化按以下条件准备
2. 已有门票档位A价格100、排序1；另有启用档位B价格200</x:v>
      </x:c>
      <x:c r="J263" s="9" t="str">
        <x:v>1. 打开门票价格档位编辑
2. 输入门票价格“1.5”
3. 点击“保存”</x:v>
      </x:c>
      <x:c r="K263" s="9" t="str">
        <x:v>不保存门票价格的非法值1.5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来源（当前证据）：liveshow-proto/MainBasis/统一需求文档.md；位置：第2754行、第2750行、第2751行
2. 规则：BR-c4d79387d3683bc5
3. 未动态验证</x:v>
      </x:c>
    </x:row>
    <x:row r="264" ht="100" customHeight="1">
      <x:c r="A264" s="10" t="n">
        <x:v>263</x:v>
      </x:c>
      <x:c r="B264" s="10" t="str">
        <x:v>ADMIN-0263</x:v>
      </x:c>
      <x:c r="C264" s="10" t="str">
        <x:v>运营配置</x:v>
      </x:c>
      <x:c r="D264" s="10" t="str">
        <x:v>门票价格档位编辑（平台管理员）</x:v>
      </x:c>
      <x:c r="E264" s="10" t="str">
        <x:v>功能需求</x:v>
      </x:c>
      <x:c r="F264" s="10" t="str">
        <x:v>P1</x:v>
      </x:c>
      <x:c r="G264" s="9" t="str">
        <x:v>验证门票价格档位编辑排序为-1</x:v>
      </x:c>
      <x:c r="H264" s="9" t="str">
        <x:v>排序边界</x:v>
      </x:c>
      <x:c r="I264" s="9" t="str">
        <x:v>1. 当前执行账号具有管理后台会话，身份为平台管理员；具体账号及权限变化按以下条件准备
2. 已有门票档位A价格100、排序1；另有启用档位B价格200</x:v>
      </x:c>
      <x:c r="J264" s="9" t="str">
        <x:v>1. 打开门票价格档位编辑
2. 输入排序“-1”
3. 点击“保存”</x:v>
      </x:c>
      <x:c r="K264" s="9" t="str">
        <x:v>不保存排序的非法值-1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来源（当前证据）：liveshow-proto/MainBasis/统一需求文档.md；位置：第2755行、第2750行、第2751行
2. 规则：BR-c5466e28bc4d3ee1
3. 未动态验证</x:v>
      </x:c>
    </x:row>
    <x:row r="265" ht="100" customHeight="1">
      <x:c r="A265" s="10" t="n">
        <x:v>264</x:v>
      </x:c>
      <x:c r="B265" s="10" t="str">
        <x:v>ADMIN-0264</x:v>
      </x:c>
      <x:c r="C265" s="10" t="str">
        <x:v>运营配置</x:v>
      </x:c>
      <x:c r="D265" s="10" t="str">
        <x:v>门票价格档位编辑（平台管理员）</x:v>
      </x:c>
      <x:c r="E265" s="10" t="str">
        <x:v>功能需求</x:v>
      </x:c>
      <x:c r="F265" s="10" t="str">
        <x:v>P1</x:v>
      </x:c>
      <x:c r="G265" s="9" t="str">
        <x:v>验证门票价格档位编辑排序为0</x:v>
      </x:c>
      <x:c r="H265" s="9" t="str">
        <x:v>排序边界</x:v>
      </x:c>
      <x:c r="I265" s="9" t="str">
        <x:v>1. 当前执行账号具有管理后台会话，身份为平台管理员；具体账号及权限变化按以下条件准备
2. 已有门票档位A价格100、排序1；另有启用档位B价格200</x:v>
      </x:c>
      <x:c r="J265" s="9" t="str">
        <x:v>1. 打开门票价格档位编辑
2. 输入排序“0”
3. 点击“保存”</x:v>
      </x:c>
      <x:c r="K265" s="9" t="str">
        <x:v>不保存排序的非法值0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来源（当前证据）：liveshow-proto/MainBasis/统一需求文档.md；位置：第2755行、第2750行、第2751行
2. 规则：BR-668bfb2080dcb439
3. 未动态验证</x:v>
      </x:c>
    </x:row>
    <x:row r="266" ht="100" customHeight="1">
      <x:c r="A266" s="10" t="n">
        <x:v>265</x:v>
      </x:c>
      <x:c r="B266" s="10" t="str">
        <x:v>ADMIN-0265</x:v>
      </x:c>
      <x:c r="C266" s="10" t="str">
        <x:v>运营配置</x:v>
      </x:c>
      <x:c r="D266" s="10" t="str">
        <x:v>门票价格档位编辑（平台管理员）</x:v>
      </x:c>
      <x:c r="E266" s="10" t="str">
        <x:v>功能需求</x:v>
      </x:c>
      <x:c r="F266" s="10" t="str">
        <x:v>P1</x:v>
      </x:c>
      <x:c r="G266" s="9" t="str">
        <x:v>验证门票价格档位编辑排序为1</x:v>
      </x:c>
      <x:c r="H266" s="9" t="str">
        <x:v>排序边界</x:v>
      </x:c>
      <x:c r="I266" s="9" t="str">
        <x:v>1. 当前执行账号具有管理后台会话，身份为平台管理员；具体账号及权限变化按以下条件准备
2. 已有门票档位A价格100、排序1；另有启用档位B价格200</x:v>
      </x:c>
      <x:c r="J266" s="9" t="str">
        <x:v>1. 打开门票价格档位编辑
2. 输入排序“1”
3. 点击“保存”</x:v>
      </x:c>
      <x:c r="K266" s="9" t="str">
        <x:v>排序保存为1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来源（当前证据）：liveshow-proto/MainBasis/统一需求文档.md；位置：第2755行、第2750行、第2751行
2. 规则：BR-444bd87e2d7c5777
3. 未动态验证</x:v>
      </x:c>
    </x:row>
    <x:row r="267" ht="100" customHeight="1">
      <x:c r="A267" s="10" t="n">
        <x:v>266</x:v>
      </x:c>
      <x:c r="B267" s="10" t="str">
        <x:v>ADMIN-0266</x:v>
      </x:c>
      <x:c r="C267" s="10" t="str">
        <x:v>运营配置</x:v>
      </x:c>
      <x:c r="D267" s="10" t="str">
        <x:v>门票价格档位编辑（平台管理员）</x:v>
      </x:c>
      <x:c r="E267" s="10" t="str">
        <x:v>功能需求</x:v>
      </x:c>
      <x:c r="F267" s="10" t="str">
        <x:v>P1</x:v>
      </x:c>
      <x:c r="G267" s="9" t="str">
        <x:v>验证门票价格档位编辑排序为1.5</x:v>
      </x:c>
      <x:c r="H267" s="9" t="str">
        <x:v>排序边界</x:v>
      </x:c>
      <x:c r="I267" s="9" t="str">
        <x:v>1. 当前执行账号具有管理后台会话，身份为平台管理员；具体账号及权限变化按以下条件准备
2. 已有门票档位A价格100、排序1；另有启用档位B价格200</x:v>
      </x:c>
      <x:c r="J267" s="9" t="str">
        <x:v>1. 打开门票价格档位编辑
2. 输入排序“1.5”
3. 点击“保存”</x:v>
      </x:c>
      <x:c r="K267" s="9" t="str">
        <x:v>不保存排序的非法值1.5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来源（当前证据）：liveshow-proto/MainBasis/统一需求文档.md；位置：第2755行、第2750行、第2751行
2. 规则：BR-dd23a328c2b341f1
3. 未动态验证</x:v>
      </x:c>
    </x:row>
    <x:row r="268" ht="100" customHeight="1">
      <x:c r="A268" s="10" t="n">
        <x:v>267</x:v>
      </x:c>
      <x:c r="B268" s="10" t="str">
        <x:v>ADMIN-0267</x:v>
      </x:c>
      <x:c r="C268" s="10" t="str">
        <x:v>运营配置</x:v>
      </x:c>
      <x:c r="D268" s="10" t="str">
        <x:v>公会推荐编辑（平台管理员）</x:v>
      </x:c>
      <x:c r="E268" s="10" t="str">
        <x:v>功能需求</x:v>
      </x:c>
      <x:c r="F268" s="10" t="str">
        <x:v>P1</x:v>
      </x:c>
      <x:c r="G268" s="9" t="str">
        <x:v>验证公会推荐编辑排序权重为-1</x:v>
      </x:c>
      <x:c r="H268" s="9" t="str">
        <x:v>排序权重边界</x:v>
      </x:c>
      <x:c r="I268" s="9" t="str">
        <x:v>1. 当前执行账号具有管理后台会话，身份为平台管理员；具体账号及权限变化按以下条件准备
2. 有效公会G尚未推荐；已在新增推荐表单选择公会G</x:v>
      </x:c>
      <x:c r="J268" s="9" t="str">
        <x:v>1. 打开公会推荐编辑
2. 输入排序权重“-1”
3. 点击“保存”</x:v>
      </x:c>
      <x:c r="K268" s="9" t="str">
        <x:v>不保存排序权重的非法值-1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来源（当前证据）：liveshow-proto/MainBasis/统一需求文档.md；位置：第2703行、第2699行、第2700行
2. 规则：BR-0f85cea49e42e6c9
3. 未动态验证</x:v>
      </x:c>
    </x:row>
    <x:row r="269" ht="100" customHeight="1">
      <x:c r="A269" s="10" t="n">
        <x:v>268</x:v>
      </x:c>
      <x:c r="B269" s="10" t="str">
        <x:v>ADMIN-0268</x:v>
      </x:c>
      <x:c r="C269" s="10" t="str">
        <x:v>运营配置</x:v>
      </x:c>
      <x:c r="D269" s="10" t="str">
        <x:v>公会推荐编辑（平台管理员）</x:v>
      </x:c>
      <x:c r="E269" s="10" t="str">
        <x:v>功能需求</x:v>
      </x:c>
      <x:c r="F269" s="10" t="str">
        <x:v>P1</x:v>
      </x:c>
      <x:c r="G269" s="9" t="str">
        <x:v>验证公会推荐编辑排序权重为0</x:v>
      </x:c>
      <x:c r="H269" s="9" t="str">
        <x:v>排序权重边界</x:v>
      </x:c>
      <x:c r="I269" s="9" t="str">
        <x:v>1. 当前执行账号具有管理后台会话，身份为平台管理员；具体账号及权限变化按以下条件准备
2. 有效公会G尚未推荐；已在新增推荐表单选择公会G</x:v>
      </x:c>
      <x:c r="J269" s="9" t="str">
        <x:v>1. 打开公会推荐编辑
2. 输入排序权重“0”
3. 点击“保存”</x:v>
      </x:c>
      <x:c r="K269" s="9" t="str">
        <x:v>不保存排序权重的非法值0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来源（当前证据）：liveshow-proto/MainBasis/统一需求文档.md；位置：第2703行、第2699行、第2700行
2. 规则：BR-ab992c14cfdebf16
3. 未动态验证</x:v>
      </x:c>
    </x:row>
    <x:row r="270" ht="100" customHeight="1">
      <x:c r="A270" s="10" t="n">
        <x:v>269</x:v>
      </x:c>
      <x:c r="B270" s="10" t="str">
        <x:v>ADMIN-0269</x:v>
      </x:c>
      <x:c r="C270" s="10" t="str">
        <x:v>运营配置</x:v>
      </x:c>
      <x:c r="D270" s="10" t="str">
        <x:v>公会推荐编辑（平台管理员）</x:v>
      </x:c>
      <x:c r="E270" s="10" t="str">
        <x:v>功能需求</x:v>
      </x:c>
      <x:c r="F270" s="10" t="str">
        <x:v>P1</x:v>
      </x:c>
      <x:c r="G270" s="9" t="str">
        <x:v>验证公会推荐编辑排序权重为1</x:v>
      </x:c>
      <x:c r="H270" s="9" t="str">
        <x:v>排序权重边界</x:v>
      </x:c>
      <x:c r="I270" s="9" t="str">
        <x:v>1. 当前执行账号具有管理后台会话，身份为平台管理员；具体账号及权限变化按以下条件准备
2. 有效公会G尚未推荐；已在新增推荐表单选择公会G</x:v>
      </x:c>
      <x:c r="J270" s="9" t="str">
        <x:v>1. 打开公会推荐编辑
2. 输入排序权重“1”
3. 点击“保存”</x:v>
      </x:c>
      <x:c r="K270" s="9" t="str">
        <x:v>排序权重保存为1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来源（当前证据）：liveshow-proto/MainBasis/统一需求文档.md；位置：第2703行、第2699行、第2700行
2. 规则：BR-e3cff5a11574385f
3. 未动态验证</x:v>
      </x:c>
    </x:row>
    <x:row r="271" ht="100" customHeight="1">
      <x:c r="A271" s="10" t="n">
        <x:v>270</x:v>
      </x:c>
      <x:c r="B271" s="10" t="str">
        <x:v>ADMIN-0270</x:v>
      </x:c>
      <x:c r="C271" s="10" t="str">
        <x:v>运营配置</x:v>
      </x:c>
      <x:c r="D271" s="10" t="str">
        <x:v>公会推荐编辑（平台管理员）</x:v>
      </x:c>
      <x:c r="E271" s="10" t="str">
        <x:v>功能需求</x:v>
      </x:c>
      <x:c r="F271" s="10" t="str">
        <x:v>P1</x:v>
      </x:c>
      <x:c r="G271" s="9" t="str">
        <x:v>验证公会推荐编辑排序权重为1.5</x:v>
      </x:c>
      <x:c r="H271" s="9" t="str">
        <x:v>排序权重边界</x:v>
      </x:c>
      <x:c r="I271" s="9" t="str">
        <x:v>1. 当前执行账号具有管理后台会话，身份为平台管理员；具体账号及权限变化按以下条件准备
2. 有效公会G尚未推荐；已在新增推荐表单选择公会G</x:v>
      </x:c>
      <x:c r="J271" s="9" t="str">
        <x:v>1. 打开公会推荐编辑
2. 输入排序权重“1.5”
3. 点击“保存”</x:v>
      </x:c>
      <x:c r="K271" s="9" t="str">
        <x:v>不保存排序权重的非法值1.5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来源（当前证据）：liveshow-proto/MainBasis/统一需求文档.md；位置：第2703行、第2699行、第2700行
2. 规则：BR-91ffe5c30d6ef08e
3. 未动态验证</x:v>
      </x:c>
    </x:row>
    <x:row r="272" ht="85" customHeight="1">
      <x:c r="A272" s="10" t="n">
        <x:v>271</x:v>
      </x:c>
      <x:c r="B272" s="10" t="str">
        <x:v>ADMIN-0271</x:v>
      </x:c>
      <x:c r="C272" s="10" t="str">
        <x:v>礼物与道具</x:v>
      </x:c>
      <x:c r="D272" s="10" t="str">
        <x:v>幸运礼物（平台管理员）</x:v>
      </x:c>
      <x:c r="E272" s="10" t="str">
        <x:v>功能需求</x:v>
      </x:c>
      <x:c r="F272" s="10" t="str">
        <x:v>P0</x:v>
      </x:c>
      <x:c r="G272" s="9" t="str">
        <x:v>验证幸运礼物收益比例-1%</x:v>
      </x:c>
      <x:c r="H272" s="9" t="str">
        <x:v>全局比例范围</x:v>
      </x:c>
      <x:c r="I272" s="9" t="str">
        <x:v>1. 当前执行账号具有管理后台会话，身份为平台管理员；具体账号及权限变化按以下条件准备
2. 当前全局比例1%</x:v>
      </x:c>
      <x:c r="J272" s="9" t="str">
        <x:v>1. 打开幸运礼物
2. 点击比例“编辑”
3. 输入比例“-1”
4. 点击“保存”</x:v>
      </x:c>
      <x:c r="K272" s="9" t="str">
        <x:v>不保存超出0%至100%的比例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来源（当前证据）：liveshow-proto/MainBasis/统一需求文档.md；位置：第2510行、第2497行、第2498行
2. 规则：BR-bd7e0033ea32c967
3. 未动态验证</x:v>
      </x:c>
    </x:row>
    <x:row r="273" ht="85" customHeight="1">
      <x:c r="A273" s="10" t="n">
        <x:v>272</x:v>
      </x:c>
      <x:c r="B273" s="10" t="str">
        <x:v>ADMIN-0272</x:v>
      </x:c>
      <x:c r="C273" s="10" t="str">
        <x:v>礼物与道具</x:v>
      </x:c>
      <x:c r="D273" s="10" t="str">
        <x:v>幸运礼物（平台管理员）</x:v>
      </x:c>
      <x:c r="E273" s="10" t="str">
        <x:v>功能需求</x:v>
      </x:c>
      <x:c r="F273" s="10" t="str">
        <x:v>P0</x:v>
      </x:c>
      <x:c r="G273" s="9" t="str">
        <x:v>验证幸运礼物收益比例0%</x:v>
      </x:c>
      <x:c r="H273" s="9" t="str">
        <x:v>全局比例范围</x:v>
      </x:c>
      <x:c r="I273" s="9" t="str">
        <x:v>1. 当前执行账号具有管理后台会话，身份为平台管理员；具体账号及权限变化按以下条件准备
2. 当前全局比例1%</x:v>
      </x:c>
      <x:c r="J273" s="9" t="str">
        <x:v>1. 打开幸运礼物
2. 点击比例“编辑”
3. 输入比例“0”
4. 点击“保存”</x:v>
      </x:c>
      <x:c r="K273" s="9" t="str">
        <x:v>全局比例保存为0%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来源（当前证据）：liveshow-proto/MainBasis/统一需求文档.md；位置：第2510行、第2497行、第2498行
2. 规则：BR-5bcb8c98f0308f3d
3. 未动态验证</x:v>
      </x:c>
    </x:row>
    <x:row r="274" ht="85" customHeight="1">
      <x:c r="A274" s="10" t="n">
        <x:v>273</x:v>
      </x:c>
      <x:c r="B274" s="10" t="str">
        <x:v>ADMIN-0273</x:v>
      </x:c>
      <x:c r="C274" s="10" t="str">
        <x:v>礼物与道具</x:v>
      </x:c>
      <x:c r="D274" s="10" t="str">
        <x:v>幸运礼物（平台管理员）</x:v>
      </x:c>
      <x:c r="E274" s="10" t="str">
        <x:v>功能需求</x:v>
      </x:c>
      <x:c r="F274" s="10" t="str">
        <x:v>P0</x:v>
      </x:c>
      <x:c r="G274" s="9" t="str">
        <x:v>验证幸运礼物收益比例1%</x:v>
      </x:c>
      <x:c r="H274" s="9" t="str">
        <x:v>全局比例范围</x:v>
      </x:c>
      <x:c r="I274" s="9" t="str">
        <x:v>1. 当前执行账号具有管理后台会话，身份为平台管理员；具体账号及权限变化按以下条件准备
2. 当前全局比例1%</x:v>
      </x:c>
      <x:c r="J274" s="9" t="str">
        <x:v>1. 打开幸运礼物
2. 点击比例“编辑”
3. 输入比例“1”
4. 点击“保存”</x:v>
      </x:c>
      <x:c r="K274" s="9" t="str">
        <x:v>全局比例保存为1%</x:v>
      </x:c>
      <x:c r="L274" s="10" t="str"/>
      <x:c r="M274" s="10" t="str">
        <x:v>未测</x:v>
      </x:c>
      <x:c r="N274" s="10" t="str"/>
      <x:c r="O274" s="9" t="str">
        <x:v>1. 来源（当前证据）：liveshow-proto/MainBasis/统一需求文档.md；位置：第2510行、第2497行、第2498行
2. 规则：BR-274aee00d1719ae1
3. 未动态验证</x:v>
      </x:c>
    </x:row>
    <x:row r="275" ht="85" customHeight="1">
      <x:c r="A275" s="10" t="n">
        <x:v>274</x:v>
      </x:c>
      <x:c r="B275" s="10" t="str">
        <x:v>ADMIN-0274</x:v>
      </x:c>
      <x:c r="C275" s="10" t="str">
        <x:v>礼物与道具</x:v>
      </x:c>
      <x:c r="D275" s="10" t="str">
        <x:v>幸运礼物（平台管理员）</x:v>
      </x:c>
      <x:c r="E275" s="10" t="str">
        <x:v>功能需求</x:v>
      </x:c>
      <x:c r="F275" s="10" t="str">
        <x:v>P0</x:v>
      </x:c>
      <x:c r="G275" s="9" t="str">
        <x:v>验证幸运礼物收益比例100%</x:v>
      </x:c>
      <x:c r="H275" s="9" t="str">
        <x:v>全局比例范围</x:v>
      </x:c>
      <x:c r="I275" s="9" t="str">
        <x:v>1. 当前执行账号具有管理后台会话，身份为平台管理员；具体账号及权限变化按以下条件准备
2. 当前全局比例1%</x:v>
      </x:c>
      <x:c r="J275" s="9" t="str">
        <x:v>1. 打开幸运礼物
2. 点击比例“编辑”
3. 输入比例“100”
4. 点击“保存”</x:v>
      </x:c>
      <x:c r="K275" s="9" t="str">
        <x:v>全局比例保存为100%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来源（当前证据）：liveshow-proto/MainBasis/统一需求文档.md；位置：第2510行、第2497行、第2498行
2. 规则：BR-be8623f15615b413
3. 未动态验证</x:v>
      </x:c>
    </x:row>
    <x:row r="276" ht="85" customHeight="1">
      <x:c r="A276" s="10" t="n">
        <x:v>275</x:v>
      </x:c>
      <x:c r="B276" s="10" t="str">
        <x:v>ADMIN-0275</x:v>
      </x:c>
      <x:c r="C276" s="10" t="str">
        <x:v>礼物与道具</x:v>
      </x:c>
      <x:c r="D276" s="10" t="str">
        <x:v>幸运礼物（平台管理员）</x:v>
      </x:c>
      <x:c r="E276" s="10" t="str">
        <x:v>功能需求</x:v>
      </x:c>
      <x:c r="F276" s="10" t="str">
        <x:v>P0</x:v>
      </x:c>
      <x:c r="G276" s="9" t="str">
        <x:v>验证幸运礼物收益比例101%</x:v>
      </x:c>
      <x:c r="H276" s="9" t="str">
        <x:v>全局比例范围</x:v>
      </x:c>
      <x:c r="I276" s="9" t="str">
        <x:v>1. 当前执行账号具有管理后台会话，身份为平台管理员；具体账号及权限变化按以下条件准备
2. 当前全局比例1%</x:v>
      </x:c>
      <x:c r="J276" s="9" t="str">
        <x:v>1. 打开幸运礼物
2. 点击比例“编辑”
3. 输入比例“101”
4. 点击“保存”</x:v>
      </x:c>
      <x:c r="K276" s="9" t="str">
        <x:v>不保存超出0%至100%的比例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来源（当前证据）：liveshow-proto/MainBasis/统一需求文档.md；位置：第2510行、第2497行、第2498行
2. 规则：BR-1bc51462a31f6950
3. 未动态验证</x:v>
      </x:c>
    </x:row>
    <x:row r="277" ht="115" customHeight="1">
      <x:c r="A277" s="10" t="n">
        <x:v>276</x:v>
      </x:c>
      <x:c r="B277" s="10" t="str">
        <x:v>ADMIN-0276</x:v>
      </x:c>
      <x:c r="C277" s="10" t="str">
        <x:v>礼物与道具</x:v>
      </x:c>
      <x:c r="D277" s="10" t="str">
        <x:v>幸运礼物编辑（平台管理员）</x:v>
      </x:c>
      <x:c r="E277" s="10" t="str">
        <x:v>功能需求</x:v>
      </x:c>
      <x:c r="F277" s="10" t="str">
        <x:v>P1</x:v>
      </x:c>
      <x:c r="G277" s="9" t="str">
        <x:v>验证幸运礼物概率合计99%</x:v>
      </x:c>
      <x:c r="H277" s="9" t="str">
        <x:v>概率总和</x:v>
      </x:c>
      <x:c r="I277" s="9" t="str">
        <x:v>1. 当前执行账号具有管理后台会话，身份为平台管理员；具体账号及权限变化按以下条件准备
2. 已有礼物A，单次消耗100、开奖1次、四语名称图标完整；奖励0与100两个不重复档位</x:v>
      </x:c>
      <x:c r="J277" s="9" t="str">
        <x:v>1. 打开幸运礼物编辑
2. 输入奖励0的概率“50”
3. 输入奖励100的概率“49”
4. 点击“保存”</x:v>
      </x:c>
      <x:c r="K277" s="9" t="str">
        <x:v>配置不能生效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来源（当前证据）：liveshow-proto/MainBasis/统一需求文档.md；位置：第2520行、第2513行、第2514行
2. 规则：BR-84287c190239c8b3
3. 未动态验证</x:v>
      </x:c>
    </x:row>
    <x:row r="278" ht="115" customHeight="1">
      <x:c r="A278" s="10" t="n">
        <x:v>277</x:v>
      </x:c>
      <x:c r="B278" s="10" t="str">
        <x:v>ADMIN-0277</x:v>
      </x:c>
      <x:c r="C278" s="10" t="str">
        <x:v>礼物与道具</x:v>
      </x:c>
      <x:c r="D278" s="10" t="str">
        <x:v>幸运礼物编辑（平台管理员）</x:v>
      </x:c>
      <x:c r="E278" s="10" t="str">
        <x:v>功能需求</x:v>
      </x:c>
      <x:c r="F278" s="10" t="str">
        <x:v>P1</x:v>
      </x:c>
      <x:c r="G278" s="9" t="str">
        <x:v>验证幸运礼物概率合计100%</x:v>
      </x:c>
      <x:c r="H278" s="9" t="str">
        <x:v>概率总和</x:v>
      </x:c>
      <x:c r="I278" s="9" t="str">
        <x:v>1. 当前执行账号具有管理后台会话，身份为平台管理员；具体账号及权限变化按以下条件准备
2. 已有礼物A，单次消耗100、开奖1次、四语名称图标完整；奖励0与100两个不重复档位</x:v>
      </x:c>
      <x:c r="J278" s="9" t="str">
        <x:v>1. 打开幸运礼物编辑
2. 输入奖励0的概率“50”
3. 输入奖励100的概率“50”
4. 点击“保存”</x:v>
      </x:c>
      <x:c r="K278" s="9" t="str">
        <x:v>配置保存成功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来源（当前证据）：liveshow-proto/MainBasis/统一需求文档.md；位置：第2520行、第2513行、第2514行
2. 规则：BR-681d4b609a15b2ff
3. 未动态验证</x:v>
      </x:c>
    </x:row>
    <x:row r="279" ht="115" customHeight="1">
      <x:c r="A279" s="10" t="n">
        <x:v>278</x:v>
      </x:c>
      <x:c r="B279" s="10" t="str">
        <x:v>ADMIN-0278</x:v>
      </x:c>
      <x:c r="C279" s="10" t="str">
        <x:v>礼物与道具</x:v>
      </x:c>
      <x:c r="D279" s="10" t="str">
        <x:v>幸运礼物编辑（平台管理员）</x:v>
      </x:c>
      <x:c r="E279" s="10" t="str">
        <x:v>功能需求</x:v>
      </x:c>
      <x:c r="F279" s="10" t="str">
        <x:v>P1</x:v>
      </x:c>
      <x:c r="G279" s="9" t="str">
        <x:v>验证幸运礼物概率合计101%</x:v>
      </x:c>
      <x:c r="H279" s="9" t="str">
        <x:v>概率总和</x:v>
      </x:c>
      <x:c r="I279" s="9" t="str">
        <x:v>1. 当前执行账号具有管理后台会话，身份为平台管理员；具体账号及权限变化按以下条件准备
2. 已有礼物A，单次消耗100、开奖1次、四语名称图标完整；奖励0与100两个不重复档位</x:v>
      </x:c>
      <x:c r="J279" s="9" t="str">
        <x:v>1. 打开幸运礼物编辑
2. 输入奖励0的概率“50”
3. 输入奖励100的概率“51”
4. 点击“保存”</x:v>
      </x:c>
      <x:c r="K279" s="9" t="str">
        <x:v>配置不能生效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来源（当前证据）：liveshow-proto/MainBasis/统一需求文档.md；位置：第2520行、第2513行、第2514行
2. 规则：BR-6c67613968e09a1e
3. 未动态验证</x:v>
      </x:c>
    </x:row>
    <x:row r="280" ht="100" customHeight="1">
      <x:c r="A280" s="10" t="n">
        <x:v>279</x:v>
      </x:c>
      <x:c r="B280" s="10" t="str">
        <x:v>ADMIN-0279</x:v>
      </x:c>
      <x:c r="C280" s="10" t="str">
        <x:v>礼物与道具</x:v>
      </x:c>
      <x:c r="D280" s="10" t="str">
        <x:v>幸运礼物编辑（平台管理员）</x:v>
      </x:c>
      <x:c r="E280" s="10" t="str">
        <x:v>功能需求</x:v>
      </x:c>
      <x:c r="F280" s="10" t="str">
        <x:v>P1</x:v>
      </x:c>
      <x:c r="G280" s="9" t="str">
        <x:v>验证重复奖励档位</x:v>
      </x:c>
      <x:c r="H280" s="9" t="str">
        <x:v>奖档唯一性</x:v>
      </x:c>
      <x:c r="I280" s="9" t="str">
        <x:v>1. 当前执行账号具有管理后台会话，身份为平台管理员；具体账号及权限变化按以下条件准备
2. 已有礼物A，两个档位奖励0与100，各概率50%</x:v>
      </x:c>
      <x:c r="J280" s="9" t="str">
        <x:v>1. 打开幸运礼物编辑
2. 输入第二档奖励金币“0”
3. 点击“保存”</x:v>
      </x:c>
      <x:c r="K280" s="9" t="str">
        <x:v>不保存重复奖励档位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来源（当前证据）：liveshow-proto/MainBasis/统一需求文档.md；位置：第2519行、第2513行、第2514行
2. 规则：BR-221f66a94e081066
3. 未动态验证</x:v>
      </x:c>
    </x:row>
    <x:row r="281" ht="100" customHeight="1">
      <x:c r="A281" s="10" t="n">
        <x:v>280</x:v>
      </x:c>
      <x:c r="B281" s="10" t="str">
        <x:v>ADMIN-0280</x:v>
      </x:c>
      <x:c r="C281" s="10" t="str">
        <x:v>礼物与道具</x:v>
      </x:c>
      <x:c r="D281" s="10" t="str">
        <x:v>幸运礼物编辑（平台管理员）</x:v>
      </x:c>
      <x:c r="E281" s="10" t="str">
        <x:v>逻辑校验</x:v>
      </x:c>
      <x:c r="F281" s="10" t="str">
        <x:v>P1</x:v>
      </x:c>
      <x:c r="G281" s="9" t="str">
        <x:v>验证幸运礼物单价计算</x:v>
      </x:c>
      <x:c r="H281" s="9" t="str">
        <x:v>幸运单价公式</x:v>
      </x:c>
      <x:c r="I281" s="9" t="str">
        <x:v>1. 当前执行账号具有管理后台会话，身份为平台管理员；具体账号及权限变化按以下条件准备
2. 单次消耗100金币、开奖次数10，其他字段有效</x:v>
      </x:c>
      <x:c r="J281" s="9" t="str">
        <x:v>1. 打开幸运礼物编辑
2. 查看单价</x:v>
      </x:c>
      <x:c r="K281" s="9" t="str">
        <x:v>单价=1000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来源（当前证据）：liveshow-proto/MainBasis/统一需求文档.md；位置：第2527行、第2513行、第2514行
2. 规则：BR-9b7f047e99245e97
3. 未动态验证</x:v>
      </x:c>
    </x:row>
    <x:row r="282" ht="100" customHeight="1">
      <x:c r="A282" s="10" t="n">
        <x:v>281</x:v>
      </x:c>
      <x:c r="B282" s="10" t="str">
        <x:v>ADMIN-0281</x:v>
      </x:c>
      <x:c r="C282" s="10" t="str">
        <x:v>礼物与道具</x:v>
      </x:c>
      <x:c r="D282" s="10" t="str">
        <x:v>幸运礼物编辑（平台管理员）</x:v>
      </x:c>
      <x:c r="E282" s="10" t="str">
        <x:v>功能需求</x:v>
      </x:c>
      <x:c r="F282" s="10" t="str">
        <x:v>P1</x:v>
      </x:c>
      <x:c r="G282" s="9" t="str">
        <x:v>验证RTP期望值50%</x:v>
      </x:c>
      <x:c r="H282" s="9" t="str">
        <x:v>RTP概率加权</x:v>
      </x:c>
      <x:c r="I282" s="9" t="str">
        <x:v>1. 当前执行账号具有管理后台会话，身份为平台管理员；具体账号及权限变化按以下条件准备
2. 单次消耗100金币、开奖1次，奖励金币档位0和100</x:v>
      </x:c>
      <x:c r="J282" s="9" t="str">
        <x:v>1. 打开幸运礼物编辑
2. 输入零奖励概率“50”
3. 输入100金币奖励概率“50”
4. 查看RTP</x:v>
      </x:c>
      <x:c r="K282" s="9" t="str">
        <x:v>RTP显示50%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来源（当前证据）：liveshow-proto/MainBasis/统一需求文档.md；位置：第2521行、第2528行、第2513行、第2514行
2. 规则：BR-aa5fe45be7aa44f1
3. 未动态验证</x:v>
      </x:c>
    </x:row>
    <x:row r="283" ht="100" customHeight="1">
      <x:c r="A283" s="10" t="n">
        <x:v>282</x:v>
      </x:c>
      <x:c r="B283" s="10" t="str">
        <x:v>ADMIN-0282</x:v>
      </x:c>
      <x:c r="C283" s="10" t="str">
        <x:v>礼物与道具</x:v>
      </x:c>
      <x:c r="D283" s="10" t="str">
        <x:v>幸运礼物编辑（平台管理员）</x:v>
      </x:c>
      <x:c r="E283" s="10" t="str">
        <x:v>功能需求</x:v>
      </x:c>
      <x:c r="F283" s="10" t="str">
        <x:v>P1</x:v>
      </x:c>
      <x:c r="G283" s="9" t="str">
        <x:v>验证RTP期望值100%</x:v>
      </x:c>
      <x:c r="H283" s="9" t="str">
        <x:v>RTP概率加权</x:v>
      </x:c>
      <x:c r="I283" s="9" t="str">
        <x:v>1. 当前执行账号具有管理后台会话，身份为平台管理员；具体账号及权限变化按以下条件准备
2. 单次消耗100金币、开奖1次，奖励金币档位0和100</x:v>
      </x:c>
      <x:c r="J283" s="9" t="str">
        <x:v>1. 打开幸运礼物编辑
2. 输入零奖励概率“0”
3. 输入100金币奖励概率“100”
4. 查看RTP</x:v>
      </x:c>
      <x:c r="K283" s="9" t="str">
        <x:v>RTP显示100%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来源（当前证据）：liveshow-proto/MainBasis/统一需求文档.md；位置：第2521行、第2513行、第2514行
2. 规则：BR-f6466b206b64dca0
3. 未动态验证</x:v>
      </x:c>
    </x:row>
    <x:row r="284" ht="100" customHeight="1">
      <x:c r="A284" s="10" t="n">
        <x:v>283</x:v>
      </x:c>
      <x:c r="B284" s="10" t="str">
        <x:v>ADMIN-0283</x:v>
      </x:c>
      <x:c r="C284" s="10" t="str">
        <x:v>礼物与道具</x:v>
      </x:c>
      <x:c r="D284" s="10" t="str">
        <x:v>幸运礼物编辑（平台管理员）</x:v>
      </x:c>
      <x:c r="E284" s="10" t="str">
        <x:v>功能需求</x:v>
      </x:c>
      <x:c r="F284" s="10" t="str">
        <x:v>P1</x:v>
      </x:c>
      <x:c r="G284" s="9" t="str">
        <x:v>验证RTP期望值0%</x:v>
      </x:c>
      <x:c r="H284" s="9" t="str">
        <x:v>RTP概率加权</x:v>
      </x:c>
      <x:c r="I284" s="9" t="str">
        <x:v>1. 当前执行账号具有管理后台会话，身份为平台管理员；具体账号及权限变化按以下条件准备
2. 单次消耗100金币、开奖1次，奖励金币档位0和100</x:v>
      </x:c>
      <x:c r="J284" s="9" t="str">
        <x:v>1. 打开幸运礼物编辑
2. 输入零奖励概率“100”
3. 输入100金币奖励概率“0”
4. 查看RTP</x:v>
      </x:c>
      <x:c r="K284" s="9" t="str">
        <x:v>RTP显示0%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来源（当前证据）：liveshow-proto/MainBasis/统一需求文档.md；位置：第2521行、第2513行、第2514行
2. 规则：BR-34f82ced11708a63
3. 未动态验证</x:v>
      </x:c>
    </x:row>
    <x:row r="285" ht="100" customHeight="1">
      <x:c r="A285" s="10" t="n">
        <x:v>284</x:v>
      </x:c>
      <x:c r="B285" s="10" t="str">
        <x:v>ADMIN-0284</x:v>
      </x:c>
      <x:c r="C285" s="10" t="str">
        <x:v>礼物与道具</x:v>
      </x:c>
      <x:c r="D285" s="10" t="str">
        <x:v>幸运礼物编辑（平台管理员）</x:v>
      </x:c>
      <x:c r="E285" s="10" t="str">
        <x:v>功能需求</x:v>
      </x:c>
      <x:c r="F285" s="10" t="str">
        <x:v>P1</x:v>
      </x:c>
      <x:c r="G285" s="9" t="str">
        <x:v>验证RTP向上取一位小数</x:v>
      </x:c>
      <x:c r="H285" s="9" t="str">
        <x:v>RTP取整</x:v>
      </x:c>
      <x:c r="I285" s="9" t="str">
        <x:v>1. 当前执行账号具有管理后台会话，身份为平台管理员；具体账号及权限变化按以下条件准备
2. 单次消耗3金币；奖励1金币概率100%</x:v>
      </x:c>
      <x:c r="J285" s="9" t="str">
        <x:v>1. 打开幸运礼物编辑
2. 查看RTP</x:v>
      </x:c>
      <x:c r="K285" s="9" t="str">
        <x:v>RTP显示33.4%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来源（当前证据）：liveshow-proto/MainBasis/统一需求文档.md；位置：第2521行、第2513行、第2514行
2. 规则：BR-973a0131508aa3da
3. 未动态验证</x:v>
      </x:c>
    </x:row>
    <x:row r="286" ht="130" customHeight="1">
      <x:c r="A286" s="10" t="n">
        <x:v>285</x:v>
      </x:c>
      <x:c r="B286" s="10" t="str">
        <x:v>ADMIN-0285</x:v>
      </x:c>
      <x:c r="C286" s="10" t="str">
        <x:v>礼物与道具</x:v>
      </x:c>
      <x:c r="D286" s="10" t="str">
        <x:v>礼物详情（平台管理员）</x:v>
      </x:c>
      <x:c r="E286" s="10" t="str">
        <x:v>功能需求</x:v>
      </x:c>
      <x:c r="F286" s="10" t="str">
        <x:v>P1</x:v>
      </x:c>
      <x:c r="G286" s="9" t="str">
        <x:v>验证礼物详情结束时间2026-09-13 10:00</x:v>
      </x:c>
      <x:c r="H286" s="9" t="str">
        <x:v>时间顺序</x:v>
      </x:c>
      <x:c r="I286" s="9" t="str">
        <x:v>1. 当前执行账号具有管理后台会话，身份为平台管理员；具体账号及权限变化按以下条件准备
2. 已有配置A，开始时间2026-09-14 10:00；礼物类型为定制礼物；其余必填字段保留已保存值</x:v>
      </x:c>
      <x:c r="J286" s="9" t="str">
        <x:v>1. 打开礼物详情
2. 输入失效时间“2026-09-13 10:00”
3. 点击“保存”</x:v>
      </x:c>
      <x:c r="K286" s="9" t="str">
        <x:v>不保存结束不晚于开始的有效期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来源（当前证据）：liveshow-proto/MainBasis/统一需求文档.md；位置：第2482行、第2474行、第2475行
2. 规则：BR-0a24f54eadad964b
3. 未动态验证</x:v>
      </x:c>
    </x:row>
    <x:row r="287" ht="130" customHeight="1">
      <x:c r="A287" s="10" t="n">
        <x:v>286</x:v>
      </x:c>
      <x:c r="B287" s="10" t="str">
        <x:v>ADMIN-0286</x:v>
      </x:c>
      <x:c r="C287" s="10" t="str">
        <x:v>礼物与道具</x:v>
      </x:c>
      <x:c r="D287" s="10" t="str">
        <x:v>礼物详情（平台管理员）</x:v>
      </x:c>
      <x:c r="E287" s="10" t="str">
        <x:v>功能需求</x:v>
      </x:c>
      <x:c r="F287" s="10" t="str">
        <x:v>P1</x:v>
      </x:c>
      <x:c r="G287" s="9" t="str">
        <x:v>验证礼物详情结束时间2026-09-14 10:00</x:v>
      </x:c>
      <x:c r="H287" s="9" t="str">
        <x:v>时间顺序</x:v>
      </x:c>
      <x:c r="I287" s="9" t="str">
        <x:v>1. 当前执行账号具有管理后台会话，身份为平台管理员；具体账号及权限变化按以下条件准备
2. 已有配置A，开始时间2026-09-14 10:00；礼物类型为定制礼物；其余必填字段保留已保存值</x:v>
      </x:c>
      <x:c r="J287" s="9" t="str">
        <x:v>1. 打开礼物详情
2. 输入失效时间“2026-09-14 10:00”
3. 点击“保存”</x:v>
      </x:c>
      <x:c r="K287" s="9" t="str">
        <x:v>不保存结束不晚于开始的有效期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来源（当前证据）：liveshow-proto/MainBasis/统一需求文档.md；位置：第2482行、第2474行、第2475行
2. 规则：BR-2829366861944ce8
3. 未动态验证</x:v>
      </x:c>
    </x:row>
    <x:row r="288" ht="130" customHeight="1">
      <x:c r="A288" s="10" t="n">
        <x:v>287</x:v>
      </x:c>
      <x:c r="B288" s="10" t="str">
        <x:v>ADMIN-0287</x:v>
      </x:c>
      <x:c r="C288" s="10" t="str">
        <x:v>礼物与道具</x:v>
      </x:c>
      <x:c r="D288" s="10" t="str">
        <x:v>礼物详情（平台管理员）</x:v>
      </x:c>
      <x:c r="E288" s="10" t="str">
        <x:v>功能需求</x:v>
      </x:c>
      <x:c r="F288" s="10" t="str">
        <x:v>P1</x:v>
      </x:c>
      <x:c r="G288" s="9" t="str">
        <x:v>验证礼物详情结束时间2026-09-15 10:00</x:v>
      </x:c>
      <x:c r="H288" s="9" t="str">
        <x:v>时间顺序</x:v>
      </x:c>
      <x:c r="I288" s="9" t="str">
        <x:v>1. 当前执行账号具有管理后台会话，身份为平台管理员；具体账号及权限变化按以下条件准备
2. 已有配置A，开始时间2026-09-14 10:00；礼物类型为定制礼物；其余必填字段保留已保存值</x:v>
      </x:c>
      <x:c r="J288" s="9" t="str">
        <x:v>1. 打开礼物详情
2. 输入失效时间“2026-09-15 10:00”
3. 点击“保存”</x:v>
      </x:c>
      <x:c r="K288" s="9" t="str">
        <x:v>保存新的有效期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来源（当前证据）：liveshow-proto/MainBasis/统一需求文档.md；位置：第2482行、第2474行、第2475行
2. 规则：BR-01eac0ecbe84a4f7
3. 未动态验证</x:v>
      </x:c>
    </x:row>
    <x:row r="289" ht="130" customHeight="1">
      <x:c r="A289" s="10" t="n">
        <x:v>288</x:v>
      </x:c>
      <x:c r="B289" s="10" t="str">
        <x:v>ADMIN-0288</x:v>
      </x:c>
      <x:c r="C289" s="10" t="str">
        <x:v>运营配置</x:v>
      </x:c>
      <x:c r="D289" s="10" t="str">
        <x:v>充值套餐编辑（平台管理员）</x:v>
      </x:c>
      <x:c r="E289" s="10" t="str">
        <x:v>功能需求</x:v>
      </x:c>
      <x:c r="F289" s="10" t="str">
        <x:v>P0</x:v>
      </x:c>
      <x:c r="G289" s="9" t="str">
        <x:v>验证充值套餐编辑结束时间2026-09-13 10:00</x:v>
      </x:c>
      <x:c r="H289" s="9" t="str">
        <x:v>时间顺序</x:v>
      </x:c>
      <x:c r="I289" s="9" t="str">
        <x:v>1. 当前执行账号具有管理后台会话，身份为平台管理员；具体账号及权限变化按以下条件准备
2. 已有配置A，开始时间2026-09-14 10:00；套餐类型为活动套餐；其余必填字段保留已保存值</x:v>
      </x:c>
      <x:c r="J289" s="9" t="str">
        <x:v>1. 打开充值套餐编辑
2. 输入结束时间“2026-09-13 10:00”
3. 点击“保存”</x:v>
      </x:c>
      <x:c r="K289" s="9" t="str">
        <x:v>不保存结束不晚于开始的有效期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来源（当前证据）：liveshow-proto/MainBasis/统一需求文档.md；位置：第2655行、第2647行、第2648行
2. 规则：BR-5c5d126bad473fd2
3. 未动态验证</x:v>
      </x:c>
    </x:row>
    <x:row r="290" ht="130" customHeight="1">
      <x:c r="A290" s="10" t="n">
        <x:v>289</x:v>
      </x:c>
      <x:c r="B290" s="10" t="str">
        <x:v>ADMIN-0289</x:v>
      </x:c>
      <x:c r="C290" s="10" t="str">
        <x:v>运营配置</x:v>
      </x:c>
      <x:c r="D290" s="10" t="str">
        <x:v>充值套餐编辑（平台管理员）</x:v>
      </x:c>
      <x:c r="E290" s="10" t="str">
        <x:v>功能需求</x:v>
      </x:c>
      <x:c r="F290" s="10" t="str">
        <x:v>P0</x:v>
      </x:c>
      <x:c r="G290" s="9" t="str">
        <x:v>验证充值套餐编辑结束时间2026-09-14 10:00</x:v>
      </x:c>
      <x:c r="H290" s="9" t="str">
        <x:v>时间顺序</x:v>
      </x:c>
      <x:c r="I290" s="9" t="str">
        <x:v>1. 当前执行账号具有管理后台会话，身份为平台管理员；具体账号及权限变化按以下条件准备
2. 已有配置A，开始时间2026-09-14 10:00；套餐类型为活动套餐；其余必填字段保留已保存值</x:v>
      </x:c>
      <x:c r="J290" s="9" t="str">
        <x:v>1. 打开充值套餐编辑
2. 输入结束时间“2026-09-14 10:00”
3. 点击“保存”</x:v>
      </x:c>
      <x:c r="K290" s="9" t="str">
        <x:v>不保存结束不晚于开始的有效期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来源（当前证据）：liveshow-proto/MainBasis/统一需求文档.md；位置：第2655行、第2647行、第2648行
2. 规则：BR-ec326aa9a8ec505f
3. 未动态验证</x:v>
      </x:c>
    </x:row>
    <x:row r="291" ht="130" customHeight="1">
      <x:c r="A291" s="10" t="n">
        <x:v>290</x:v>
      </x:c>
      <x:c r="B291" s="10" t="str">
        <x:v>ADMIN-0290</x:v>
      </x:c>
      <x:c r="C291" s="10" t="str">
        <x:v>运营配置</x:v>
      </x:c>
      <x:c r="D291" s="10" t="str">
        <x:v>充值套餐编辑（平台管理员）</x:v>
      </x:c>
      <x:c r="E291" s="10" t="str">
        <x:v>功能需求</x:v>
      </x:c>
      <x:c r="F291" s="10" t="str">
        <x:v>P0</x:v>
      </x:c>
      <x:c r="G291" s="9" t="str">
        <x:v>验证充值套餐编辑结束时间2026-09-15 10:00</x:v>
      </x:c>
      <x:c r="H291" s="9" t="str">
        <x:v>时间顺序</x:v>
      </x:c>
      <x:c r="I291" s="9" t="str">
        <x:v>1. 当前执行账号具有管理后台会话，身份为平台管理员；具体账号及权限变化按以下条件准备
2. 已有配置A，开始时间2026-09-14 10:00；套餐类型为活动套餐；其余必填字段保留已保存值</x:v>
      </x:c>
      <x:c r="J291" s="9" t="str">
        <x:v>1. 打开充值套餐编辑
2. 输入结束时间“2026-09-15 10:00”
3. 点击“保存”</x:v>
      </x:c>
      <x:c r="K291" s="9" t="str">
        <x:v>保存新的有效期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来源（当前证据）：liveshow-proto/MainBasis/统一需求文档.md；位置：第2655行、第2647行、第2648行
2. 规则：BR-ec6eaaac834d1cff
3. 未动态验证</x:v>
      </x:c>
    </x:row>
    <x:row r="292" ht="130" customHeight="1">
      <x:c r="A292" s="10" t="n">
        <x:v>291</x:v>
      </x:c>
      <x:c r="B292" s="10" t="str">
        <x:v>ADMIN-0291</x:v>
      </x:c>
      <x:c r="C292" s="10" t="str">
        <x:v>运营配置</x:v>
      </x:c>
      <x:c r="D292" s="10" t="str">
        <x:v>通用任务编辑（平台管理员）</x:v>
      </x:c>
      <x:c r="E292" s="10" t="str">
        <x:v>功能需求</x:v>
      </x:c>
      <x:c r="F292" s="10" t="str">
        <x:v>P1</x:v>
      </x:c>
      <x:c r="G292" s="9" t="str">
        <x:v>验证通用任务编辑结束时间2026-09-13 10:00</x:v>
      </x:c>
      <x:c r="H292" s="9" t="str">
        <x:v>时间顺序</x:v>
      </x:c>
      <x:c r="I292" s="9" t="str">
        <x:v>1. 当前执行账号具有管理后台会话，身份为平台管理员；具体账号及权限变化按以下条件准备
2. 已有配置A，开始时间2026-09-14 10:00；任务为有明确生效期的登录任务；其余必填字段保留已保存值</x:v>
      </x:c>
      <x:c r="J292" s="9" t="str">
        <x:v>1. 打开通用任务编辑
2. 输入结束时间“2026-09-13 10:00”
3. 点击“保存”</x:v>
      </x:c>
      <x:c r="K292" s="9" t="str">
        <x:v>不保存结束不晚于开始的有效期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来源（当前证据）：liveshow-proto/MainBasis/统一需求文档.md；位置：第2677行、第2673行、第2674行
2. 规则：BR-30cafa0c2c54d068
3. 未动态验证</x:v>
      </x:c>
    </x:row>
    <x:row r="293" ht="130" customHeight="1">
      <x:c r="A293" s="10" t="n">
        <x:v>292</x:v>
      </x:c>
      <x:c r="B293" s="10" t="str">
        <x:v>ADMIN-0292</x:v>
      </x:c>
      <x:c r="C293" s="10" t="str">
        <x:v>运营配置</x:v>
      </x:c>
      <x:c r="D293" s="10" t="str">
        <x:v>通用任务编辑（平台管理员）</x:v>
      </x:c>
      <x:c r="E293" s="10" t="str">
        <x:v>功能需求</x:v>
      </x:c>
      <x:c r="F293" s="10" t="str">
        <x:v>P1</x:v>
      </x:c>
      <x:c r="G293" s="9" t="str">
        <x:v>验证通用任务编辑结束时间2026-09-14 10:00</x:v>
      </x:c>
      <x:c r="H293" s="9" t="str">
        <x:v>时间顺序</x:v>
      </x:c>
      <x:c r="I293" s="9" t="str">
        <x:v>1. 当前执行账号具有管理后台会话，身份为平台管理员；具体账号及权限变化按以下条件准备
2. 已有配置A，开始时间2026-09-14 10:00；任务为有明确生效期的登录任务；其余必填字段保留已保存值</x:v>
      </x:c>
      <x:c r="J293" s="9" t="str">
        <x:v>1. 打开通用任务编辑
2. 输入结束时间“2026-09-14 10:00”
3. 点击“保存”</x:v>
      </x:c>
      <x:c r="K293" s="9" t="str">
        <x:v>不保存结束不晚于开始的有效期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来源（当前证据）：liveshow-proto/MainBasis/统一需求文档.md；位置：第2677行、第2673行、第2674行
2. 规则：BR-32ae927d24e355a8
3. 未动态验证</x:v>
      </x:c>
    </x:row>
    <x:row r="294" ht="130" customHeight="1">
      <x:c r="A294" s="10" t="n">
        <x:v>293</x:v>
      </x:c>
      <x:c r="B294" s="10" t="str">
        <x:v>ADMIN-0293</x:v>
      </x:c>
      <x:c r="C294" s="10" t="str">
        <x:v>运营配置</x:v>
      </x:c>
      <x:c r="D294" s="10" t="str">
        <x:v>通用任务编辑（平台管理员）</x:v>
      </x:c>
      <x:c r="E294" s="10" t="str">
        <x:v>功能需求</x:v>
      </x:c>
      <x:c r="F294" s="10" t="str">
        <x:v>P1</x:v>
      </x:c>
      <x:c r="G294" s="9" t="str">
        <x:v>验证通用任务编辑结束时间2026-09-15 10:00</x:v>
      </x:c>
      <x:c r="H294" s="9" t="str">
        <x:v>时间顺序</x:v>
      </x:c>
      <x:c r="I294" s="9" t="str">
        <x:v>1. 当前执行账号具有管理后台会话，身份为平台管理员；具体账号及权限变化按以下条件准备
2. 已有配置A，开始时间2026-09-14 10:00；任务为有明确生效期的登录任务；其余必填字段保留已保存值</x:v>
      </x:c>
      <x:c r="J294" s="9" t="str">
        <x:v>1. 打开通用任务编辑
2. 输入结束时间“2026-09-15 10:00”
3. 点击“保存”</x:v>
      </x:c>
      <x:c r="K294" s="9" t="str">
        <x:v>保存新的有效期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来源（当前证据）：liveshow-proto/MainBasis/统一需求文档.md；位置：第2677行、第2673行、第2674行
2. 规则：BR-f56e5239ffee806f
3. 未动态验证</x:v>
      </x:c>
    </x:row>
    <x:row r="295" ht="85" customHeight="1">
      <x:c r="A295" s="10" t="n">
        <x:v>294</x:v>
      </x:c>
      <x:c r="B295" s="10" t="str">
        <x:v>ADMIN-0294</x:v>
      </x:c>
      <x:c r="C295" s="10" t="str">
        <x:v>礼物与道具</x:v>
      </x:c>
      <x:c r="D295" s="10" t="str">
        <x:v>礼物详情（平台管理员）</x:v>
      </x:c>
      <x:c r="E295" s="10" t="str">
        <x:v>功能需求</x:v>
      </x:c>
      <x:c r="F295" s="10" t="str">
        <x:v>P1</x:v>
      </x:c>
      <x:c r="G295" s="9" t="str">
        <x:v>验证礼物详情已有ID只读</x:v>
      </x:c>
      <x:c r="H295" s="9" t="str">
        <x:v>标识不可变</x:v>
      </x:c>
      <x:c r="I295" s="9" t="str">
        <x:v>1. 当前执行账号具有管理后台会话，身份为平台管理员；具体账号及权限变化按以下条件准备
2. 记录A已创建，ID已记录</x:v>
      </x:c>
      <x:c r="J295" s="9" t="str">
        <x:v>1. 打开礼物详情
2. 查看ID输入区</x:v>
      </x:c>
      <x:c r="K295" s="9" t="str">
        <x:v>ID不可修改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来源（当前证据）：liveshow-proto/MainBasis/统一需求文档.md；位置：第2476行、第2474行、第2475行
2. 规则：BR-2a4dfe032d63a7a8
3. 未动态验证</x:v>
      </x:c>
    </x:row>
    <x:row r="296" ht="85" customHeight="1">
      <x:c r="A296" s="10" t="n">
        <x:v>295</x:v>
      </x:c>
      <x:c r="B296" s="10" t="str">
        <x:v>ADMIN-0295</x:v>
      </x:c>
      <x:c r="C296" s="10" t="str">
        <x:v>礼物与道具</x:v>
      </x:c>
      <x:c r="D296" s="10" t="str">
        <x:v>道具详情（平台管理员）</x:v>
      </x:c>
      <x:c r="E296" s="10" t="str">
        <x:v>功能需求</x:v>
      </x:c>
      <x:c r="F296" s="10" t="str">
        <x:v>P1</x:v>
      </x:c>
      <x:c r="G296" s="9" t="str">
        <x:v>验证道具详情已有ID只读</x:v>
      </x:c>
      <x:c r="H296" s="9" t="str">
        <x:v>标识不可变</x:v>
      </x:c>
      <x:c r="I296" s="9" t="str">
        <x:v>1. 当前执行账号具有管理后台会话，身份为平台管理员；具体账号及权限变化按以下条件准备
2. 记录A已创建，ID已记录</x:v>
      </x:c>
      <x:c r="J296" s="9" t="str">
        <x:v>1. 打开道具详情
2. 查看ID输入区</x:v>
      </x:c>
      <x:c r="K296" s="9" t="str">
        <x:v>ID不可修改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来源（当前证据）：liveshow-proto/MainBasis/统一需求文档.md；位置：第2547行、第2545行、第2546行
2. 规则：BR-2922e7f5d93330ad
3. 未动态验证</x:v>
      </x:c>
    </x:row>
    <x:row r="297" ht="100" customHeight="1">
      <x:c r="A297" s="10" t="n">
        <x:v>296</x:v>
      </x:c>
      <x:c r="B297" s="10" t="str">
        <x:v>ADMIN-0296</x:v>
      </x:c>
      <x:c r="C297" s="10" t="str">
        <x:v>运营配置</x:v>
      </x:c>
      <x:c r="D297" s="10" t="str">
        <x:v>展示素材编辑（平台管理员）</x:v>
      </x:c>
      <x:c r="E297" s="10" t="str">
        <x:v>功能需求</x:v>
      </x:c>
      <x:c r="F297" s="10" t="str">
        <x:v>P1</x:v>
      </x:c>
      <x:c r="G297" s="9" t="str">
        <x:v>验证轮播素材数量0</x:v>
      </x:c>
      <x:c r="H297" s="9" t="str">
        <x:v>轮播项数量</x:v>
      </x:c>
      <x:c r="I297" s="9" t="str">
        <x:v>1. 当前执行账号具有管理后台会话，身份为平台管理员；具体账号及权限变化按以下条件准备
2. 已有一条配置，包含1项有效图片及有效App目标页</x:v>
      </x:c>
      <x:c r="J297" s="9" t="str">
        <x:v>1. 打开展示素材编辑
2. 点击唯一一项“删除”</x:v>
      </x:c>
      <x:c r="K297" s="9" t="str">
        <x:v>唯一一项不可删除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来源（当前证据）：liveshow-proto/MainBasis/统一需求文档.md；位置：第2597行、第2593行、第2594行
2. 规则：BR-cefb3d715e1a7c5e
3. 未动态验证</x:v>
      </x:c>
    </x:row>
    <x:row r="298" ht="100" customHeight="1">
      <x:c r="A298" s="10" t="n">
        <x:v>297</x:v>
      </x:c>
      <x:c r="B298" s="10" t="str">
        <x:v>ADMIN-0297</x:v>
      </x:c>
      <x:c r="C298" s="10" t="str">
        <x:v>运营配置</x:v>
      </x:c>
      <x:c r="D298" s="10" t="str">
        <x:v>展示素材编辑（平台管理员）</x:v>
      </x:c>
      <x:c r="E298" s="10" t="str">
        <x:v>功能需求</x:v>
      </x:c>
      <x:c r="F298" s="10" t="str">
        <x:v>P1</x:v>
      </x:c>
      <x:c r="G298" s="9" t="str">
        <x:v>验证轮播素材数量1</x:v>
      </x:c>
      <x:c r="H298" s="9" t="str">
        <x:v>轮播项数量</x:v>
      </x:c>
      <x:c r="I298" s="9" t="str">
        <x:v>1. 当前执行账号具有管理后台会话，身份为平台管理员；具体账号及权限变化按以下条件准备
2. 已有一条配置，包含1项有效图片及有效App目标页</x:v>
      </x:c>
      <x:c r="J298" s="9" t="str">
        <x:v>1. 打开展示素材编辑
2. 点击“保存”</x:v>
      </x:c>
      <x:c r="K298" s="9" t="str">
        <x:v>保存1项轮播内容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来源（当前证据）：liveshow-proto/MainBasis/统一需求文档.md；位置：第2597行、第2593行、第2594行
2. 规则：BR-07a7833faf25eeb4
3. 未动态验证</x:v>
      </x:c>
    </x:row>
    <x:row r="299" ht="100" customHeight="1">
      <x:c r="A299" s="10" t="n">
        <x:v>298</x:v>
      </x:c>
      <x:c r="B299" s="10" t="str">
        <x:v>ADMIN-0298</x:v>
      </x:c>
      <x:c r="C299" s="10" t="str">
        <x:v>运营配置</x:v>
      </x:c>
      <x:c r="D299" s="10" t="str">
        <x:v>展示素材编辑（平台管理员）</x:v>
      </x:c>
      <x:c r="E299" s="10" t="str">
        <x:v>功能需求</x:v>
      </x:c>
      <x:c r="F299" s="10" t="str">
        <x:v>P1</x:v>
      </x:c>
      <x:c r="G299" s="9" t="str">
        <x:v>验证轮播素材数量5</x:v>
      </x:c>
      <x:c r="H299" s="9" t="str">
        <x:v>轮播项数量</x:v>
      </x:c>
      <x:c r="I299" s="9" t="str">
        <x:v>1. 当前执行账号具有管理后台会话，身份为平台管理员；具体账号及权限变化按以下条件准备
2. 已有一条配置，包含5项有效图片及有效App目标页</x:v>
      </x:c>
      <x:c r="J299" s="9" t="str">
        <x:v>1. 打开展示素材编辑
2. 点击“保存”</x:v>
      </x:c>
      <x:c r="K299" s="9" t="str">
        <x:v>保存5项轮播内容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来源（当前证据）：liveshow-proto/MainBasis/统一需求文档.md；位置：第2597行、第2593行、第2594行
2. 规则：BR-8a2f364fba9a69f8
3. 未动态验证</x:v>
      </x:c>
    </x:row>
    <x:row r="300" ht="100" customHeight="1">
      <x:c r="A300" s="10" t="n">
        <x:v>299</x:v>
      </x:c>
      <x:c r="B300" s="10" t="str">
        <x:v>ADMIN-0299</x:v>
      </x:c>
      <x:c r="C300" s="10" t="str">
        <x:v>运营配置</x:v>
      </x:c>
      <x:c r="D300" s="10" t="str">
        <x:v>展示素材编辑（平台管理员）</x:v>
      </x:c>
      <x:c r="E300" s="10" t="str">
        <x:v>功能需求</x:v>
      </x:c>
      <x:c r="F300" s="10" t="str">
        <x:v>P1</x:v>
      </x:c>
      <x:c r="G300" s="9" t="str">
        <x:v>验证轮播素材数量6</x:v>
      </x:c>
      <x:c r="H300" s="9" t="str">
        <x:v>轮播项数量</x:v>
      </x:c>
      <x:c r="I300" s="9" t="str">
        <x:v>1. 当前执行账号具有管理后台会话，身份为平台管理员；具体账号及权限变化按以下条件准备
2. 已有一条配置，包含5项有效图片及有效App目标页</x:v>
      </x:c>
      <x:c r="J300" s="9" t="str">
        <x:v>1. 打开展示素材编辑
2. 点击“添加”</x:v>
      </x:c>
      <x:c r="K300" s="9" t="str">
        <x:v>不能添加第6项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来源（当前证据）：liveshow-proto/MainBasis/统一需求文档.md；位置：第2597行、第2593行、第2594行
2. 规则：BR-0eaa949a8111154e
3. 未动态验证</x:v>
      </x:c>
    </x:row>
    <x:row r="301" ht="100" customHeight="1">
      <x:c r="A301" s="10" t="n">
        <x:v>300</x:v>
      </x:c>
      <x:c r="B301" s="10" t="str">
        <x:v>ADMIN-0300</x:v>
      </x:c>
      <x:c r="C301" s="10" t="str">
        <x:v>运营配置</x:v>
      </x:c>
      <x:c r="D301" s="10" t="str">
        <x:v>展示素材编辑（平台管理员）</x:v>
      </x:c>
      <x:c r="E301" s="10" t="str">
        <x:v>功能需求</x:v>
      </x:c>
      <x:c r="F301" s="10" t="str">
        <x:v>P1</x:v>
      </x:c>
      <x:c r="G301" s="9" t="str">
        <x:v>验证删除已保存轮播项</x:v>
      </x:c>
      <x:c r="H301" s="9" t="str">
        <x:v>删除确认边界</x:v>
      </x:c>
      <x:c r="I301" s="9" t="str">
        <x:v>1. 当前执行账号具有管理后台会话，身份为平台管理员；具体账号及权限变化按以下条件准备
2. 配置当前有2项；第二项已经保存</x:v>
      </x:c>
      <x:c r="J301" s="9" t="str">
        <x:v>1. 打开展示素材编辑
2. 点击第二项“删除”</x:v>
      </x:c>
      <x:c r="K301" s="9" t="str">
        <x:v>展示删除确认弹窗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来源（当前证据）：liveshow-proto/MainBasis/统一需求文档.md；位置：第2603行、第2593行、第2594行
2. 规则：BR-100366e2c341a588
3. 未动态验证</x:v>
      </x:c>
    </x:row>
    <x:row r="302" ht="100" customHeight="1">
      <x:c r="A302" s="10" t="n">
        <x:v>301</x:v>
      </x:c>
      <x:c r="B302" s="10" t="str">
        <x:v>ADMIN-0301</x:v>
      </x:c>
      <x:c r="C302" s="10" t="str">
        <x:v>运营配置</x:v>
      </x:c>
      <x:c r="D302" s="10" t="str">
        <x:v>展示素材编辑（平台管理员）</x:v>
      </x:c>
      <x:c r="E302" s="10" t="str">
        <x:v>功能需求</x:v>
      </x:c>
      <x:c r="F302" s="10" t="str">
        <x:v>P1</x:v>
      </x:c>
      <x:c r="G302" s="9" t="str">
        <x:v>验证删除未保存轮播项</x:v>
      </x:c>
      <x:c r="H302" s="9" t="str">
        <x:v>删除确认边界</x:v>
      </x:c>
      <x:c r="I302" s="9" t="str">
        <x:v>1. 当前执行账号具有管理后台会话，身份为平台管理员；具体账号及权限变化按以下条件准备
2. 配置当前有2项；第二项刚添加尚未保存</x:v>
      </x:c>
      <x:c r="J302" s="9" t="str">
        <x:v>1. 打开展示素材编辑
2. 点击第二项“删除”</x:v>
      </x:c>
      <x:c r="K302" s="9" t="str">
        <x:v>第二项立即移除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来源（当前证据）：liveshow-proto/MainBasis/统一需求文档.md；位置：第2603行、第2593行、第2594行
2. 规则：BR-52f3f55f6a285419
3. 未动态验证</x:v>
      </x:c>
    </x:row>
    <x:row r="303" ht="100" customHeight="1">
      <x:c r="A303" s="10" t="n">
        <x:v>302</x:v>
      </x:c>
      <x:c r="B303" s="10" t="str">
        <x:v>ADMIN-0302</x:v>
      </x:c>
      <x:c r="C303" s="10" t="str">
        <x:v>运营配置</x:v>
      </x:c>
      <x:c r="D303" s="10" t="str">
        <x:v>展示素材编辑（平台管理员）</x:v>
      </x:c>
      <x:c r="E303" s="10" t="str">
        <x:v>功能需求</x:v>
      </x:c>
      <x:c r="F303" s="10" t="str">
        <x:v>P1</x:v>
      </x:c>
      <x:c r="G303" s="9" t="str">
        <x:v>验证轮播拖动排序</x:v>
      </x:c>
      <x:c r="H303" s="9" t="str">
        <x:v>素材排序</x:v>
      </x:c>
      <x:c r="I303" s="9" t="str">
        <x:v>1. 当前执行账号具有管理后台会话，身份为平台管理员；具体账号及权限变化按以下条件准备
2. 当前轮播顺序为素材A、B、C，各项素材目标完整</x:v>
      </x:c>
      <x:c r="J303" s="9" t="str">
        <x:v>1. 打开展示素材编辑
2. 拖动素材C至第一位
3. 点击“保存”</x:v>
      </x:c>
      <x:c r="K303" s="9" t="str">
        <x:v>保存顺序为C、A、B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来源（当前证据）：liveshow-proto/MainBasis/统一需求文档.md；位置：第2603行、第2593行、第2594行
2. 规则：BR-6b7935730c1fd599
3. 未动态验证</x:v>
      </x:c>
    </x:row>
    <x:row r="304" ht="145" customHeight="1">
      <x:c r="A304" s="10" t="n">
        <x:v>303</x:v>
      </x:c>
      <x:c r="B304" s="10" t="str">
        <x:v>ADMIN-0303</x:v>
      </x:c>
      <x:c r="C304" s="10" t="str">
        <x:v>运营配置</x:v>
      </x:c>
      <x:c r="D304" s="10" t="str">
        <x:v>展位配置（平台管理员）</x:v>
      </x:c>
      <x:c r="E304" s="10" t="str">
        <x:v>功能需求</x:v>
      </x:c>
      <x:c r="F304" s="10" t="str">
        <x:v>P1</x:v>
      </x:c>
      <x:c r="G304" s="9" t="str">
        <x:v>验证同展示位相交周期</x:v>
      </x:c>
      <x:c r="H304" s="9" t="str">
        <x:v>排期冲突</x:v>
      </x:c>
      <x:c r="I304" s="9" t="str">
        <x:v>1. 当前执行账号具有管理后台会话，身份为平台管理员；具体账号及权限变化按以下条件准备
2. 已有启用广场运营位A展示9月14日至16日；待保存配置B展示9月16日至18日</x:v>
      </x:c>
      <x:c r="J304" s="9" t="str">
        <x:v>1. 打开展位配置
2. 点击“新增”
3. 选择展示位置“直播广场运营位”
4. 上传素材B
5. 选择有效App目标页
6. 输入展示周期2026-09-16至2026-09-18
7. 点击“保存”</x:v>
      </x:c>
      <x:c r="K304" s="9" t="str">
        <x:v>不保存重叠周期的同位置配置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来源（当前证据）：liveshow-proto/MainBasis/统一需求文档.md；位置：第2590行、第2583行、第2584行
2. 规则：BR-e1d9c9197919bdff
3. 未动态验证</x:v>
      </x:c>
    </x:row>
    <x:row r="305" ht="145" customHeight="1">
      <x:c r="A305" s="10" t="n">
        <x:v>304</x:v>
      </x:c>
      <x:c r="B305" s="10" t="str">
        <x:v>ADMIN-0304</x:v>
      </x:c>
      <x:c r="C305" s="10" t="str">
        <x:v>运营配置</x:v>
      </x:c>
      <x:c r="D305" s="10" t="str">
        <x:v>展位配置（平台管理员）</x:v>
      </x:c>
      <x:c r="E305" s="10" t="str">
        <x:v>功能需求</x:v>
      </x:c>
      <x:c r="F305" s="10" t="str">
        <x:v>P1</x:v>
      </x:c>
      <x:c r="G305" s="9" t="str">
        <x:v>验证不同展示位相交周期</x:v>
      </x:c>
      <x:c r="H305" s="9" t="str">
        <x:v>排期冲突</x:v>
      </x:c>
      <x:c r="I305" s="9" t="str">
        <x:v>1. 当前执行账号具有管理后台会话，身份为平台管理员；具体账号及权限变化按以下条件准备
2. 已有启用广场运营位A展示9月14日至16日；待保存配置B展示9月16日至18日</x:v>
      </x:c>
      <x:c r="J305" s="9" t="str">
        <x:v>1. 打开展位配置
2. 点击“新增”
3. 选择展示位置“福利中心轮播位”
4. 上传素材B
5. 选择有效App目标页
6. 输入展示周期2026-09-16至2026-09-18
7. 点击“保存”</x:v>
      </x:c>
      <x:c r="K305" s="9" t="str">
        <x:v>保存配置B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来源（当前证据）：liveshow-proto/MainBasis/统一需求文档.md；位置：第2590行、第2583行、第2584行
2. 规则：BR-b8459fe6d05a1368
3. 未动态验证</x:v>
      </x:c>
    </x:row>
    <x:row r="306" ht="115" customHeight="1">
      <x:c r="A306" s="10" t="n">
        <x:v>305</x:v>
      </x:c>
      <x:c r="B306" s="10" t="str">
        <x:v>ADMIN-0305</x:v>
      </x:c>
      <x:c r="C306" s="10" t="str">
        <x:v>运营配置</x:v>
      </x:c>
      <x:c r="D306" s="10" t="str">
        <x:v>推送配置（平台管理员）</x:v>
      </x:c>
      <x:c r="E306" s="10" t="str">
        <x:v>功能需求</x:v>
      </x:c>
      <x:c r="F306" s="10" t="str">
        <x:v>P1</x:v>
      </x:c>
      <x:c r="G306" s="9" t="str">
        <x:v>验证中文标题40字</x:v>
      </x:c>
      <x:c r="H306" s="9" t="str">
        <x:v>推送文案长度</x:v>
      </x:c>
      <x:c r="I306" s="9" t="str">
        <x:v>1. 当前执行账号具有管理后台会话，身份为平台管理员；具体账号及权限变化按以下条件准备
2. 未发送推送A：四语标题均为Title A、四语正文均为Content A，目标为有效公会G</x:v>
      </x:c>
      <x:c r="J306" s="9" t="str">
        <x:v>1. 打开推送配置
2. 输入由40个“测”组成的中文标题
3. 点击“立即发送”
4. 查看当前推送任务状态</x:v>
      </x:c>
      <x:c r="K306" s="9" t="str">
        <x:v>推送任务状态为已发送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来源（当前证据）：liveshow-proto/MainBasis/统一需求文档.md；位置：第2624行、第2622行、第2623行
2. 规则：BR-05ae520335661b93
3. 未动态验证</x:v>
      </x:c>
    </x:row>
    <x:row r="307" ht="115" customHeight="1">
      <x:c r="A307" s="10" t="n">
        <x:v>306</x:v>
      </x:c>
      <x:c r="B307" s="10" t="str">
        <x:v>ADMIN-0306</x:v>
      </x:c>
      <x:c r="C307" s="10" t="str">
        <x:v>运营配置</x:v>
      </x:c>
      <x:c r="D307" s="10" t="str">
        <x:v>推送配置（平台管理员）</x:v>
      </x:c>
      <x:c r="E307" s="10" t="str">
        <x:v>功能需求</x:v>
      </x:c>
      <x:c r="F307" s="10" t="str">
        <x:v>P1</x:v>
      </x:c>
      <x:c r="G307" s="9" t="str">
        <x:v>验证中文标题41字</x:v>
      </x:c>
      <x:c r="H307" s="9" t="str">
        <x:v>推送文案长度</x:v>
      </x:c>
      <x:c r="I307" s="9" t="str">
        <x:v>1. 当前执行账号具有管理后台会话，身份为平台管理员；具体账号及权限变化按以下条件准备
2. 未发送推送A：四语标题均为Title A、四语正文均为Content A，目标为有效公会G</x:v>
      </x:c>
      <x:c r="J307" s="9" t="str">
        <x:v>1. 打开推送配置
2. 输入由41个“测”组成的中文标题
3. 点击“立即发送”</x:v>
      </x:c>
      <x:c r="K307" s="9" t="str">
        <x:v>不发送超过40字的推送文案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来源（当前证据）：liveshow-proto/MainBasis/统一需求文档.md；位置：第2624行、第2622行、第2623行
2. 规则：BR-472cca25c45af4f5
3. 未动态验证</x:v>
      </x:c>
    </x:row>
    <x:row r="308" ht="115" customHeight="1">
      <x:c r="A308" s="10" t="n">
        <x:v>307</x:v>
      </x:c>
      <x:c r="B308" s="10" t="str">
        <x:v>ADMIN-0307</x:v>
      </x:c>
      <x:c r="C308" s="10" t="str">
        <x:v>运营配置</x:v>
      </x:c>
      <x:c r="D308" s="10" t="str">
        <x:v>推送配置（平台管理员）</x:v>
      </x:c>
      <x:c r="E308" s="10" t="str">
        <x:v>功能需求</x:v>
      </x:c>
      <x:c r="F308" s="10" t="str">
        <x:v>P1</x:v>
      </x:c>
      <x:c r="G308" s="9" t="str">
        <x:v>验证中文正文120字</x:v>
      </x:c>
      <x:c r="H308" s="9" t="str">
        <x:v>推送文案长度</x:v>
      </x:c>
      <x:c r="I308" s="9" t="str">
        <x:v>1. 当前执行账号具有管理后台会话，身份为平台管理员；具体账号及权限变化按以下条件准备
2. 未发送推送A：四语标题均为Title A、四语正文均为Content A，目标为有效公会G</x:v>
      </x:c>
      <x:c r="J308" s="9" t="str">
        <x:v>1. 打开推送配置
2. 输入由120个“测”组成的中文正文
3. 点击“立即发送”
4. 查看当前推送任务状态</x:v>
      </x:c>
      <x:c r="K308" s="9" t="str">
        <x:v>推送任务状态为已发送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来源（当前证据）：liveshow-proto/MainBasis/统一需求文档.md；位置：第2624行、第2622行、第2623行
2. 规则：BR-2cc1b11ec5e9fa83
3. 未动态验证</x:v>
      </x:c>
    </x:row>
    <x:row r="309" ht="115" customHeight="1">
      <x:c r="A309" s="10" t="n">
        <x:v>308</x:v>
      </x:c>
      <x:c r="B309" s="10" t="str">
        <x:v>ADMIN-0308</x:v>
      </x:c>
      <x:c r="C309" s="10" t="str">
        <x:v>运营配置</x:v>
      </x:c>
      <x:c r="D309" s="10" t="str">
        <x:v>推送配置（平台管理员）</x:v>
      </x:c>
      <x:c r="E309" s="10" t="str">
        <x:v>功能需求</x:v>
      </x:c>
      <x:c r="F309" s="10" t="str">
        <x:v>P1</x:v>
      </x:c>
      <x:c r="G309" s="9" t="str">
        <x:v>验证中文正文121字</x:v>
      </x:c>
      <x:c r="H309" s="9" t="str">
        <x:v>推送文案长度</x:v>
      </x:c>
      <x:c r="I309" s="9" t="str">
        <x:v>1. 当前执行账号具有管理后台会话，身份为平台管理员；具体账号及权限变化按以下条件准备
2. 未发送推送A：四语标题均为Title A、四语正文均为Content A，目标为有效公会G</x:v>
      </x:c>
      <x:c r="J309" s="9" t="str">
        <x:v>1. 打开推送配置
2. 输入由121个“测”组成的中文正文
3. 点击“立即发送”</x:v>
      </x:c>
      <x:c r="K309" s="9" t="str">
        <x:v>不发送超过120字的推送文案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来源（当前证据）：liveshow-proto/MainBasis/统一需求文档.md；位置：第2624行、第2622行、第2623行
2. 规则：BR-184ce0c3d1f1e4fe
3. 未动态验证</x:v>
      </x:c>
    </x:row>
    <x:row r="310" ht="115" customHeight="1">
      <x:c r="A310" s="10" t="n">
        <x:v>309</x:v>
      </x:c>
      <x:c r="B310" s="10" t="str">
        <x:v>ADMIN-0309</x:v>
      </x:c>
      <x:c r="C310" s="10" t="str">
        <x:v>运营配置</x:v>
      </x:c>
      <x:c r="D310" s="10" t="str">
        <x:v>推送配置（平台管理员）</x:v>
      </x:c>
      <x:c r="E310" s="10" t="str">
        <x:v>功能需求</x:v>
      </x:c>
      <x:c r="F310" s="10" t="str">
        <x:v>P1</x:v>
      </x:c>
      <x:c r="G310" s="9" t="str">
        <x:v>验证英文标题80字</x:v>
      </x:c>
      <x:c r="H310" s="9" t="str">
        <x:v>推送文案长度</x:v>
      </x:c>
      <x:c r="I310" s="9" t="str">
        <x:v>1. 当前执行账号具有管理后台会话，身份为平台管理员；具体账号及权限变化按以下条件准备
2. 未发送推送A：四语标题均为Title A、四语正文均为Content A，目标为有效公会G</x:v>
      </x:c>
      <x:c r="J310" s="9" t="str">
        <x:v>1. 打开推送配置
2. 输入由80个“测”组成的英文标题
3. 点击“立即发送”
4. 查看当前推送任务状态</x:v>
      </x:c>
      <x:c r="K310" s="9" t="str">
        <x:v>推送任务状态为已发送</x:v>
      </x:c>
      <x:c r="L310" s="10" t="str"/>
      <x:c r="M310" s="10" t="str">
        <x:v>未测</x:v>
      </x:c>
      <x:c r="N310" s="10" t="str"/>
      <x:c r="O310" s="9" t="str">
        <x:v>1. 来源（当前证据）：liveshow-proto/MainBasis/统一需求文档.md；位置：第2624行、第2622行、第2623行
2. 规则：BR-4a060a22b1f28d97
3. 未动态验证</x:v>
      </x:c>
    </x:row>
    <x:row r="311" ht="115" customHeight="1">
      <x:c r="A311" s="10" t="n">
        <x:v>310</x:v>
      </x:c>
      <x:c r="B311" s="10" t="str">
        <x:v>ADMIN-0310</x:v>
      </x:c>
      <x:c r="C311" s="10" t="str">
        <x:v>运营配置</x:v>
      </x:c>
      <x:c r="D311" s="10" t="str">
        <x:v>推送配置（平台管理员）</x:v>
      </x:c>
      <x:c r="E311" s="10" t="str">
        <x:v>功能需求</x:v>
      </x:c>
      <x:c r="F311" s="10" t="str">
        <x:v>P1</x:v>
      </x:c>
      <x:c r="G311" s="9" t="str">
        <x:v>验证英文标题81字</x:v>
      </x:c>
      <x:c r="H311" s="9" t="str">
        <x:v>推送文案长度</x:v>
      </x:c>
      <x:c r="I311" s="9" t="str">
        <x:v>1. 当前执行账号具有管理后台会话，身份为平台管理员；具体账号及权限变化按以下条件准备
2. 未发送推送A：四语标题均为Title A、四语正文均为Content A，目标为有效公会G</x:v>
      </x:c>
      <x:c r="J311" s="9" t="str">
        <x:v>1. 打开推送配置
2. 输入由81个“测”组成的英文标题
3. 点击“立即发送”</x:v>
      </x:c>
      <x:c r="K311" s="9" t="str">
        <x:v>不发送超过80字的推送文案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来源（当前证据）：liveshow-proto/MainBasis/统一需求文档.md；位置：第2624行、第2622行、第2623行
2. 规则：BR-7c2bc1ace6caafb8
3. 未动态验证</x:v>
      </x:c>
    </x:row>
    <x:row r="312" ht="115" customHeight="1">
      <x:c r="A312" s="10" t="n">
        <x:v>311</x:v>
      </x:c>
      <x:c r="B312" s="10" t="str">
        <x:v>ADMIN-0311</x:v>
      </x:c>
      <x:c r="C312" s="10" t="str">
        <x:v>运营配置</x:v>
      </x:c>
      <x:c r="D312" s="10" t="str">
        <x:v>推送配置（平台管理员）</x:v>
      </x:c>
      <x:c r="E312" s="10" t="str">
        <x:v>功能需求</x:v>
      </x:c>
      <x:c r="F312" s="10" t="str">
        <x:v>P1</x:v>
      </x:c>
      <x:c r="G312" s="9" t="str">
        <x:v>验证英文正文240字</x:v>
      </x:c>
      <x:c r="H312" s="9" t="str">
        <x:v>推送文案长度</x:v>
      </x:c>
      <x:c r="I312" s="9" t="str">
        <x:v>1. 当前执行账号具有管理后台会话，身份为平台管理员；具体账号及权限变化按以下条件准备
2. 未发送推送A：四语标题均为Title A、四语正文均为Content A，目标为有效公会G</x:v>
      </x:c>
      <x:c r="J312" s="9" t="str">
        <x:v>1. 打开推送配置
2. 输入由240个“测”组成的英文正文
3. 点击“立即发送”
4. 查看当前推送任务状态</x:v>
      </x:c>
      <x:c r="K312" s="9" t="str">
        <x:v>推送任务状态为已发送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来源（当前证据）：liveshow-proto/MainBasis/统一需求文档.md；位置：第2624行、第2622行、第2623行
2. 规则：BR-0b121e274651ea60
3. 未动态验证</x:v>
      </x:c>
    </x:row>
    <x:row r="313" ht="115" customHeight="1">
      <x:c r="A313" s="10" t="n">
        <x:v>312</x:v>
      </x:c>
      <x:c r="B313" s="10" t="str">
        <x:v>ADMIN-0312</x:v>
      </x:c>
      <x:c r="C313" s="10" t="str">
        <x:v>运营配置</x:v>
      </x:c>
      <x:c r="D313" s="10" t="str">
        <x:v>推送配置（平台管理员）</x:v>
      </x:c>
      <x:c r="E313" s="10" t="str">
        <x:v>功能需求</x:v>
      </x:c>
      <x:c r="F313" s="10" t="str">
        <x:v>P1</x:v>
      </x:c>
      <x:c r="G313" s="9" t="str">
        <x:v>验证英文正文241字</x:v>
      </x:c>
      <x:c r="H313" s="9" t="str">
        <x:v>推送文案长度</x:v>
      </x:c>
      <x:c r="I313" s="9" t="str">
        <x:v>1. 当前执行账号具有管理后台会话，身份为平台管理员；具体账号及权限变化按以下条件准备
2. 未发送推送A：四语标题均为Title A、四语正文均为Content A，目标为有效公会G</x:v>
      </x:c>
      <x:c r="J313" s="9" t="str">
        <x:v>1. 打开推送配置
2. 输入由241个“测”组成的英文正文
3. 点击“立即发送”</x:v>
      </x:c>
      <x:c r="K313" s="9" t="str">
        <x:v>不发送超过240字的推送文案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来源（当前证据）：liveshow-proto/MainBasis/统一需求文档.md；位置：第2624行、第2622行、第2623行
2. 规则：BR-184721b8a2e16cfa
3. 未动态验证</x:v>
      </x:c>
    </x:row>
    <x:row r="314" ht="115" customHeight="1">
      <x:c r="A314" s="10" t="n">
        <x:v>313</x:v>
      </x:c>
      <x:c r="B314" s="10" t="str">
        <x:v>ADMIN-0313</x:v>
      </x:c>
      <x:c r="C314" s="10" t="str">
        <x:v>运营配置</x:v>
      </x:c>
      <x:c r="D314" s="10" t="str">
        <x:v>推送配置（平台管理员）</x:v>
      </x:c>
      <x:c r="E314" s="10" t="str">
        <x:v>功能需求</x:v>
      </x:c>
      <x:c r="F314" s="10" t="str">
        <x:v>P1</x:v>
      </x:c>
      <x:c r="G314" s="9" t="str">
        <x:v>验证印尼语标题80字</x:v>
      </x:c>
      <x:c r="H314" s="9" t="str">
        <x:v>推送文案长度</x:v>
      </x:c>
      <x:c r="I314" s="9" t="str">
        <x:v>1. 当前执行账号具有管理后台会话，身份为平台管理员；具体账号及权限变化按以下条件准备
2. 未发送推送A：四语标题均为Title A、四语正文均为Content A，目标为有效公会G</x:v>
      </x:c>
      <x:c r="J314" s="9" t="str">
        <x:v>1. 打开推送配置
2. 输入由80个“测”组成的印尼语标题
3. 点击“立即发送”
4. 查看当前推送任务状态</x:v>
      </x:c>
      <x:c r="K314" s="9" t="str">
        <x:v>推送任务状态为已发送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来源（当前证据）：liveshow-proto/MainBasis/统一需求文档.md；位置：第2624行、第2622行、第2623行
2. 规则：BR-bd8b3539f6bc4dcc
3. 未动态验证</x:v>
      </x:c>
    </x:row>
    <x:row r="315" ht="115" customHeight="1">
      <x:c r="A315" s="10" t="n">
        <x:v>314</x:v>
      </x:c>
      <x:c r="B315" s="10" t="str">
        <x:v>ADMIN-0314</x:v>
      </x:c>
      <x:c r="C315" s="10" t="str">
        <x:v>运营配置</x:v>
      </x:c>
      <x:c r="D315" s="10" t="str">
        <x:v>推送配置（平台管理员）</x:v>
      </x:c>
      <x:c r="E315" s="10" t="str">
        <x:v>功能需求</x:v>
      </x:c>
      <x:c r="F315" s="10" t="str">
        <x:v>P1</x:v>
      </x:c>
      <x:c r="G315" s="9" t="str">
        <x:v>验证印尼语标题81字</x:v>
      </x:c>
      <x:c r="H315" s="9" t="str">
        <x:v>推送文案长度</x:v>
      </x:c>
      <x:c r="I315" s="9" t="str">
        <x:v>1. 当前执行账号具有管理后台会话，身份为平台管理员；具体账号及权限变化按以下条件准备
2. 未发送推送A：四语标题均为Title A、四语正文均为Content A，目标为有效公会G</x:v>
      </x:c>
      <x:c r="J315" s="9" t="str">
        <x:v>1. 打开推送配置
2. 输入由81个“测”组成的印尼语标题
3. 点击“立即发送”</x:v>
      </x:c>
      <x:c r="K315" s="9" t="str">
        <x:v>不发送超过80字的推送文案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来源（当前证据）：liveshow-proto/MainBasis/统一需求文档.md；位置：第2624行、第2622行、第2623行
2. 规则：BR-acaa8edf2775bc2f
3. 未动态验证</x:v>
      </x:c>
    </x:row>
    <x:row r="316" ht="115" customHeight="1">
      <x:c r="A316" s="10" t="n">
        <x:v>315</x:v>
      </x:c>
      <x:c r="B316" s="10" t="str">
        <x:v>ADMIN-0315</x:v>
      </x:c>
      <x:c r="C316" s="10" t="str">
        <x:v>运营配置</x:v>
      </x:c>
      <x:c r="D316" s="10" t="str">
        <x:v>推送配置（平台管理员）</x:v>
      </x:c>
      <x:c r="E316" s="10" t="str">
        <x:v>功能需求</x:v>
      </x:c>
      <x:c r="F316" s="10" t="str">
        <x:v>P1</x:v>
      </x:c>
      <x:c r="G316" s="9" t="str">
        <x:v>验证印尼语正文240字</x:v>
      </x:c>
      <x:c r="H316" s="9" t="str">
        <x:v>推送文案长度</x:v>
      </x:c>
      <x:c r="I316" s="9" t="str">
        <x:v>1. 当前执行账号具有管理后台会话，身份为平台管理员；具体账号及权限变化按以下条件准备
2. 未发送推送A：四语标题均为Title A、四语正文均为Content A，目标为有效公会G</x:v>
      </x:c>
      <x:c r="J316" s="9" t="str">
        <x:v>1. 打开推送配置
2. 输入由240个“测”组成的印尼语正文
3. 点击“立即发送”
4. 查看当前推送任务状态</x:v>
      </x:c>
      <x:c r="K316" s="9" t="str">
        <x:v>推送任务状态为已发送</x:v>
      </x:c>
      <x:c r="L316" s="10" t="str"/>
      <x:c r="M316" s="10" t="str">
        <x:v>未测</x:v>
      </x:c>
      <x:c r="N316" s="10" t="str"/>
      <x:c r="O316" s="9" t="str">
        <x:v>1. 来源（当前证据）：liveshow-proto/MainBasis/统一需求文档.md；位置：第2624行、第2622行、第2623行
2. 规则：BR-e963f55b548726e3
3. 未动态验证</x:v>
      </x:c>
    </x:row>
    <x:row r="317" ht="115" customHeight="1">
      <x:c r="A317" s="10" t="n">
        <x:v>316</x:v>
      </x:c>
      <x:c r="B317" s="10" t="str">
        <x:v>ADMIN-0316</x:v>
      </x:c>
      <x:c r="C317" s="10" t="str">
        <x:v>运营配置</x:v>
      </x:c>
      <x:c r="D317" s="10" t="str">
        <x:v>推送配置（平台管理员）</x:v>
      </x:c>
      <x:c r="E317" s="10" t="str">
        <x:v>功能需求</x:v>
      </x:c>
      <x:c r="F317" s="10" t="str">
        <x:v>P1</x:v>
      </x:c>
      <x:c r="G317" s="9" t="str">
        <x:v>验证印尼语正文241字</x:v>
      </x:c>
      <x:c r="H317" s="9" t="str">
        <x:v>推送文案长度</x:v>
      </x:c>
      <x:c r="I317" s="9" t="str">
        <x:v>1. 当前执行账号具有管理后台会话，身份为平台管理员；具体账号及权限变化按以下条件准备
2. 未发送推送A：四语标题均为Title A、四语正文均为Content A，目标为有效公会G</x:v>
      </x:c>
      <x:c r="J317" s="9" t="str">
        <x:v>1. 打开推送配置
2. 输入由241个“测”组成的印尼语正文
3. 点击“立即发送”</x:v>
      </x:c>
      <x:c r="K317" s="9" t="str">
        <x:v>不发送超过240字的推送文案</x:v>
      </x:c>
      <x:c r="L317" s="10" t="str"/>
      <x:c r="M317" s="10" t="str">
        <x:v>未测</x:v>
      </x:c>
      <x:c r="N317" s="10" t="str"/>
      <x:c r="O317" s="9" t="str">
        <x:v>1. 来源（当前证据）：liveshow-proto/MainBasis/统一需求文档.md；位置：第2624行、第2622行、第2623行
2. 规则：BR-72d27bded7bcd7ce
3. 未动态验证</x:v>
      </x:c>
    </x:row>
    <x:row r="318" ht="115" customHeight="1">
      <x:c r="A318" s="10" t="n">
        <x:v>317</x:v>
      </x:c>
      <x:c r="B318" s="10" t="str">
        <x:v>ADMIN-0317</x:v>
      </x:c>
      <x:c r="C318" s="10" t="str">
        <x:v>运营配置</x:v>
      </x:c>
      <x:c r="D318" s="10" t="str">
        <x:v>推送配置（平台管理员）</x:v>
      </x:c>
      <x:c r="E318" s="10" t="str">
        <x:v>功能需求</x:v>
      </x:c>
      <x:c r="F318" s="10" t="str">
        <x:v>P1</x:v>
      </x:c>
      <x:c r="G318" s="9" t="str">
        <x:v>验证马来语标题80字</x:v>
      </x:c>
      <x:c r="H318" s="9" t="str">
        <x:v>推送文案长度</x:v>
      </x:c>
      <x:c r="I318" s="9" t="str">
        <x:v>1. 当前执行账号具有管理后台会话，身份为平台管理员；具体账号及权限变化按以下条件准备
2. 未发送推送A：四语标题均为Title A、四语正文均为Content A，目标为有效公会G</x:v>
      </x:c>
      <x:c r="J318" s="9" t="str">
        <x:v>1. 打开推送配置
2. 输入由80个“测”组成的马来语标题
3. 点击“立即发送”
4. 查看当前推送任务状态</x:v>
      </x:c>
      <x:c r="K318" s="9" t="str">
        <x:v>推送任务状态为已发送</x:v>
      </x:c>
      <x:c r="L318" s="10" t="str"/>
      <x:c r="M318" s="10" t="str">
        <x:v>未测</x:v>
      </x:c>
      <x:c r="N318" s="10" t="str"/>
      <x:c r="O318" s="9" t="str">
        <x:v>1. 来源（当前证据）：liveshow-proto/MainBasis/统一需求文档.md；位置：第2624行、第2622行、第2623行
2. 规则：BR-4d59238bc506b9a2
3. 未动态验证</x:v>
      </x:c>
    </x:row>
    <x:row r="319" ht="115" customHeight="1">
      <x:c r="A319" s="10" t="n">
        <x:v>318</x:v>
      </x:c>
      <x:c r="B319" s="10" t="str">
        <x:v>ADMIN-0318</x:v>
      </x:c>
      <x:c r="C319" s="10" t="str">
        <x:v>运营配置</x:v>
      </x:c>
      <x:c r="D319" s="10" t="str">
        <x:v>推送配置（平台管理员）</x:v>
      </x:c>
      <x:c r="E319" s="10" t="str">
        <x:v>功能需求</x:v>
      </x:c>
      <x:c r="F319" s="10" t="str">
        <x:v>P1</x:v>
      </x:c>
      <x:c r="G319" s="9" t="str">
        <x:v>验证马来语标题81字</x:v>
      </x:c>
      <x:c r="H319" s="9" t="str">
        <x:v>推送文案长度</x:v>
      </x:c>
      <x:c r="I319" s="9" t="str">
        <x:v>1. 当前执行账号具有管理后台会话，身份为平台管理员；具体账号及权限变化按以下条件准备
2. 未发送推送A：四语标题均为Title A、四语正文均为Content A，目标为有效公会G</x:v>
      </x:c>
      <x:c r="J319" s="9" t="str">
        <x:v>1. 打开推送配置
2. 输入由81个“测”组成的马来语标题
3. 点击“立即发送”</x:v>
      </x:c>
      <x:c r="K319" s="9" t="str">
        <x:v>不发送超过80字的推送文案</x:v>
      </x:c>
      <x:c r="L319" s="10" t="str"/>
      <x:c r="M319" s="10" t="str">
        <x:v>未测</x:v>
      </x:c>
      <x:c r="N319" s="10" t="str"/>
      <x:c r="O319" s="9" t="str">
        <x:v>1. 来源（当前证据）：liveshow-proto/MainBasis/统一需求文档.md；位置：第2624行、第2622行、第2623行
2. 规则：BR-02eccf1449c2cd77
3. 未动态验证</x:v>
      </x:c>
    </x:row>
    <x:row r="320" ht="115" customHeight="1">
      <x:c r="A320" s="10" t="n">
        <x:v>319</x:v>
      </x:c>
      <x:c r="B320" s="10" t="str">
        <x:v>ADMIN-0319</x:v>
      </x:c>
      <x:c r="C320" s="10" t="str">
        <x:v>运营配置</x:v>
      </x:c>
      <x:c r="D320" s="10" t="str">
        <x:v>推送配置（平台管理员）</x:v>
      </x:c>
      <x:c r="E320" s="10" t="str">
        <x:v>功能需求</x:v>
      </x:c>
      <x:c r="F320" s="10" t="str">
        <x:v>P1</x:v>
      </x:c>
      <x:c r="G320" s="9" t="str">
        <x:v>验证马来语正文240字</x:v>
      </x:c>
      <x:c r="H320" s="9" t="str">
        <x:v>推送文案长度</x:v>
      </x:c>
      <x:c r="I320" s="9" t="str">
        <x:v>1. 当前执行账号具有管理后台会话，身份为平台管理员；具体账号及权限变化按以下条件准备
2. 未发送推送A：四语标题均为Title A、四语正文均为Content A，目标为有效公会G</x:v>
      </x:c>
      <x:c r="J320" s="9" t="str">
        <x:v>1. 打开推送配置
2. 输入由240个“测”组成的马来语正文
3. 点击“立即发送”
4. 查看当前推送任务状态</x:v>
      </x:c>
      <x:c r="K320" s="9" t="str">
        <x:v>推送任务状态为已发送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来源（当前证据）：liveshow-proto/MainBasis/统一需求文档.md；位置：第2624行、第2622行、第2623行
2. 规则：BR-24a15f42106a644e
3. 未动态验证</x:v>
      </x:c>
    </x:row>
    <x:row r="321" ht="115" customHeight="1">
      <x:c r="A321" s="10" t="n">
        <x:v>320</x:v>
      </x:c>
      <x:c r="B321" s="10" t="str">
        <x:v>ADMIN-0320</x:v>
      </x:c>
      <x:c r="C321" s="10" t="str">
        <x:v>运营配置</x:v>
      </x:c>
      <x:c r="D321" s="10" t="str">
        <x:v>推送配置（平台管理员）</x:v>
      </x:c>
      <x:c r="E321" s="10" t="str">
        <x:v>功能需求</x:v>
      </x:c>
      <x:c r="F321" s="10" t="str">
        <x:v>P1</x:v>
      </x:c>
      <x:c r="G321" s="9" t="str">
        <x:v>验证马来语正文241字</x:v>
      </x:c>
      <x:c r="H321" s="9" t="str">
        <x:v>推送文案长度</x:v>
      </x:c>
      <x:c r="I321" s="9" t="str">
        <x:v>1. 当前执行账号具有管理后台会话，身份为平台管理员；具体账号及权限变化按以下条件准备
2. 未发送推送A：四语标题均为Title A、四语正文均为Content A，目标为有效公会G</x:v>
      </x:c>
      <x:c r="J321" s="9" t="str">
        <x:v>1. 打开推送配置
2. 输入由241个“测”组成的马来语正文
3. 点击“立即发送”</x:v>
      </x:c>
      <x:c r="K321" s="9" t="str">
        <x:v>不发送超过240字的推送文案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来源（当前证据）：liveshow-proto/MainBasis/统一需求文档.md；位置：第2624行、第2622行、第2623行
2. 规则：BR-79d5df45f92fc19c
3. 未动态验证</x:v>
      </x:c>
    </x:row>
    <x:row r="322" ht="115" customHeight="1">
      <x:c r="A322" s="10" t="n">
        <x:v>321</x:v>
      </x:c>
      <x:c r="B322" s="10" t="str">
        <x:v>ADMIN-0321</x:v>
      </x:c>
      <x:c r="C322" s="10" t="str">
        <x:v>运营配置</x:v>
      </x:c>
      <x:c r="D322" s="10" t="str">
        <x:v>推送配置（平台管理员）</x:v>
      </x:c>
      <x:c r="E322" s="10" t="str">
        <x:v>功能需求</x:v>
      </x:c>
      <x:c r="F322" s="10" t="str">
        <x:v>P1</x:v>
      </x:c>
      <x:c r="G322" s="9" t="str">
        <x:v>验证推送成功后禁止再编辑</x:v>
      </x:c>
      <x:c r="H322" s="9" t="str">
        <x:v>已发送终态</x:v>
      </x:c>
      <x:c r="I322" s="9" t="str">
        <x:v>1. 当前执行账号具有管理后台会话，身份为平台管理员；具体账号及权限变化按以下条件准备
2. 未发送推送A：四语标题均为Title A、四语正文均为Content A，目标为有效公会G</x:v>
      </x:c>
      <x:c r="J322" s="9" t="str">
        <x:v>1. 打开推送配置
2. 点击“立即发送”
3. 查看文案和目标用户编辑区</x:v>
      </x:c>
      <x:c r="K322" s="9" t="str">
        <x:v>当前推送任务只读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来源（当前证据）：liveshow-proto/MainBasis/统一需求文档.md；位置：第2630行、第2622行、第2623行
2. 规则：BR-6be33fec26d040ee
3. 未动态验证</x:v>
      </x:c>
    </x:row>
    <x:row r="323" ht="100" customHeight="1">
      <x:c r="A323" s="10" t="n">
        <x:v>322</x:v>
      </x:c>
      <x:c r="B323" s="10" t="str">
        <x:v>ADMIN-0322</x:v>
      </x:c>
      <x:c r="C323" s="10" t="str">
        <x:v>礼物与道具</x:v>
      </x:c>
      <x:c r="D323" s="10" t="str">
        <x:v>购买份数配置详情（平台管理员）</x:v>
      </x:c>
      <x:c r="E323" s="10" t="str">
        <x:v>功能需求</x:v>
      </x:c>
      <x:c r="F323" s="10" t="str">
        <x:v>P1</x:v>
      </x:c>
      <x:c r="G323" s="9" t="str">
        <x:v>验证赠送数量集合空</x:v>
      </x:c>
      <x:c r="H323" s="9" t="str">
        <x:v>赠送数量集合</x:v>
      </x:c>
      <x:c r="I323" s="9" t="str">
        <x:v>1. 当前执行账号具有管理后台会话，身份为平台管理员；具体账号及权限变化按以下条件准备
2. 编辑数量规则A，关联礼物G没有其他启用规则</x:v>
      </x:c>
      <x:c r="J323" s="9" t="str">
        <x:v>1. 打开购买份数配置详情
2. 清空赠送数量
3. 点击“保存”</x:v>
      </x:c>
      <x:c r="K323" s="9" t="str">
        <x:v>不保存非法数量集合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来源（当前证据）：liveshow-proto/MainBasis/统一需求文档.md；位置：第2575行、第2572行、第2573行
2. 规则：BR-fd3ff1353f908f57
3. 未动态验证</x:v>
      </x:c>
    </x:row>
    <x:row r="324" ht="100" customHeight="1">
      <x:c r="A324" s="10" t="n">
        <x:v>323</x:v>
      </x:c>
      <x:c r="B324" s="10" t="str">
        <x:v>ADMIN-0323</x:v>
      </x:c>
      <x:c r="C324" s="10" t="str">
        <x:v>礼物与道具</x:v>
      </x:c>
      <x:c r="D324" s="10" t="str">
        <x:v>购买份数配置详情（平台管理员）</x:v>
      </x:c>
      <x:c r="E324" s="10" t="str">
        <x:v>功能需求</x:v>
      </x:c>
      <x:c r="F324" s="10" t="str">
        <x:v>P1</x:v>
      </x:c>
      <x:c r="G324" s="9" t="str">
        <x:v>验证赠送数量集合1</x:v>
      </x:c>
      <x:c r="H324" s="9" t="str">
        <x:v>赠送数量集合</x:v>
      </x:c>
      <x:c r="I324" s="9" t="str">
        <x:v>1. 当前执行账号具有管理后台会话，身份为平台管理员；具体账号及权限变化按以下条件准备
2. 编辑数量规则A，关联礼物G没有其他启用规则</x:v>
      </x:c>
      <x:c r="J324" s="9" t="str">
        <x:v>1. 打开购买份数配置详情
2. 清空赠送数量
3. 输入并添加赠送数量“1”
4. 选择默认数量1
5. 点击“保存”</x:v>
      </x:c>
      <x:c r="K324" s="9" t="str">
        <x:v>保存数量规则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来源（当前证据）：liveshow-proto/MainBasis/统一需求文档.md；位置：第2575行、第2572行、第2573行
2. 规则：BR-b464e00369f0ab09
3. 未动态验证</x:v>
      </x:c>
    </x:row>
    <x:row r="325" ht="100" customHeight="1">
      <x:c r="A325" s="10" t="n">
        <x:v>324</x:v>
      </x:c>
      <x:c r="B325" s="10" t="str">
        <x:v>ADMIN-0324</x:v>
      </x:c>
      <x:c r="C325" s="10" t="str">
        <x:v>礼物与道具</x:v>
      </x:c>
      <x:c r="D325" s="10" t="str">
        <x:v>购买份数配置详情（平台管理员）</x:v>
      </x:c>
      <x:c r="E325" s="10" t="str">
        <x:v>功能需求</x:v>
      </x:c>
      <x:c r="F325" s="10" t="str">
        <x:v>P1</x:v>
      </x:c>
      <x:c r="G325" s="9" t="str">
        <x:v>验证赠送数量集合1、1</x:v>
      </x:c>
      <x:c r="H325" s="9" t="str">
        <x:v>赠送数量集合</x:v>
      </x:c>
      <x:c r="I325" s="9" t="str">
        <x:v>1. 当前执行账号具有管理后台会话，身份为平台管理员；具体账号及权限变化按以下条件准备
2. 编辑数量规则A，关联礼物G没有其他启用规则</x:v>
      </x:c>
      <x:c r="J325" s="9" t="str">
        <x:v>1. 打开购买份数配置详情
2. 清空赠送数量
3. 输入并添加赠送数量“1”
4. 输入并添加赠送数量“1”
5. 选择默认数量1
6. 点击“保存”</x:v>
      </x:c>
      <x:c r="K325" s="9" t="str">
        <x:v>不保存非法数量集合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来源（当前证据）：liveshow-proto/MainBasis/统一需求文档.md；位置：第2575行、第2572行、第2573行
2. 规则：BR-475fe2b0f54249c4
3. 未动态验证</x:v>
      </x:c>
    </x:row>
    <x:row r="326" ht="100" customHeight="1">
      <x:c r="A326" s="10" t="n">
        <x:v>325</x:v>
      </x:c>
      <x:c r="B326" s="10" t="str">
        <x:v>ADMIN-0325</x:v>
      </x:c>
      <x:c r="C326" s="10" t="str">
        <x:v>礼物与道具</x:v>
      </x:c>
      <x:c r="D326" s="10" t="str">
        <x:v>购买份数配置详情（平台管理员）</x:v>
      </x:c>
      <x:c r="E326" s="10" t="str">
        <x:v>功能需求</x:v>
      </x:c>
      <x:c r="F326" s="10" t="str">
        <x:v>P1</x:v>
      </x:c>
      <x:c r="G326" s="9" t="str">
        <x:v>验证赠送数量集合0、1</x:v>
      </x:c>
      <x:c r="H326" s="9" t="str">
        <x:v>赠送数量集合</x:v>
      </x:c>
      <x:c r="I326" s="9" t="str">
        <x:v>1. 当前执行账号具有管理后台会话，身份为平台管理员；具体账号及权限变化按以下条件准备
2. 编辑数量规则A，关联礼物G没有其他启用规则</x:v>
      </x:c>
      <x:c r="J326" s="9" t="str">
        <x:v>1. 打开购买份数配置详情
2. 清空赠送数量
3. 输入并添加赠送数量“0”
4. 输入并添加赠送数量“1”
5. 选择默认数量1
6. 点击“保存”</x:v>
      </x:c>
      <x:c r="K326" s="9" t="str">
        <x:v>不保存非法数量集合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来源（当前证据）：liveshow-proto/MainBasis/统一需求文档.md；位置：第2575行、第2572行、第2573行
2. 规则：BR-cfa7012597417a4b
3. 未动态验证</x:v>
      </x:c>
    </x:row>
    <x:row r="327" ht="100" customHeight="1">
      <x:c r="A327" s="10" t="n">
        <x:v>326</x:v>
      </x:c>
      <x:c r="B327" s="10" t="str">
        <x:v>ADMIN-0326</x:v>
      </x:c>
      <x:c r="C327" s="10" t="str">
        <x:v>礼物与道具</x:v>
      </x:c>
      <x:c r="D327" s="10" t="str">
        <x:v>购买份数配置详情（平台管理员）</x:v>
      </x:c>
      <x:c r="E327" s="10" t="str">
        <x:v>功能需求</x:v>
      </x:c>
      <x:c r="F327" s="10" t="str">
        <x:v>P1</x:v>
      </x:c>
      <x:c r="G327" s="9" t="str">
        <x:v>验证赠送数量集合-1、1</x:v>
      </x:c>
      <x:c r="H327" s="9" t="str">
        <x:v>赠送数量集合</x:v>
      </x:c>
      <x:c r="I327" s="9" t="str">
        <x:v>1. 当前执行账号具有管理后台会话，身份为平台管理员；具体账号及权限变化按以下条件准备
2. 编辑数量规则A，关联礼物G没有其他启用规则</x:v>
      </x:c>
      <x:c r="J327" s="9" t="str">
        <x:v>1. 打开购买份数配置详情
2. 清空赠送数量
3. 输入并添加赠送数量“-1”
4. 输入并添加赠送数量“1”
5. 选择默认数量1
6. 点击“保存”</x:v>
      </x:c>
      <x:c r="K327" s="9" t="str">
        <x:v>不保存非法数量集合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来源（当前证据）：liveshow-proto/MainBasis/统一需求文档.md；位置：第2575行、第2572行、第2573行
2. 规则：BR-c2c454409a681935
3. 未动态验证</x:v>
      </x:c>
    </x:row>
    <x:row r="328" ht="100" customHeight="1">
      <x:c r="A328" s="10" t="n">
        <x:v>327</x:v>
      </x:c>
      <x:c r="B328" s="10" t="str">
        <x:v>ADMIN-0327</x:v>
      </x:c>
      <x:c r="C328" s="10" t="str">
        <x:v>礼物与道具</x:v>
      </x:c>
      <x:c r="D328" s="10" t="str">
        <x:v>购买份数配置详情（平台管理员）</x:v>
      </x:c>
      <x:c r="E328" s="10" t="str">
        <x:v>功能需求</x:v>
      </x:c>
      <x:c r="F328" s="10" t="str">
        <x:v>P1</x:v>
      </x:c>
      <x:c r="G328" s="9" t="str">
        <x:v>验证赠送数量集合1、1.5</x:v>
      </x:c>
      <x:c r="H328" s="9" t="str">
        <x:v>赠送数量集合</x:v>
      </x:c>
      <x:c r="I328" s="9" t="str">
        <x:v>1. 当前执行账号具有管理后台会话，身份为平台管理员；具体账号及权限变化按以下条件准备
2. 编辑数量规则A，关联礼物G没有其他启用规则</x:v>
      </x:c>
      <x:c r="J328" s="9" t="str">
        <x:v>1. 打开购买份数配置详情
2. 清空赠送数量
3. 输入并添加赠送数量“1”
4. 输入并添加赠送数量“1.5”
5. 选择默认数量1
6. 点击“保存”</x:v>
      </x:c>
      <x:c r="K328" s="9" t="str">
        <x:v>不保存非法数量集合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来源（当前证据）：liveshow-proto/MainBasis/统一需求文档.md；位置：第2575行、第2572行、第2573行
2. 规则：BR-9b08aaf7f1affd1f
3. 未动态验证</x:v>
      </x:c>
    </x:row>
    <x:row r="329" ht="115" customHeight="1">
      <x:c r="A329" s="10" t="n">
        <x:v>328</x:v>
      </x:c>
      <x:c r="B329" s="10" t="str">
        <x:v>ADMIN-0328</x:v>
      </x:c>
      <x:c r="C329" s="10" t="str">
        <x:v>礼物与道具</x:v>
      </x:c>
      <x:c r="D329" s="10" t="str">
        <x:v>购买份数配置详情（平台管理员）</x:v>
      </x:c>
      <x:c r="E329" s="10" t="str">
        <x:v>功能需求</x:v>
      </x:c>
      <x:c r="F329" s="10" t="str">
        <x:v>P1</x:v>
      </x:c>
      <x:c r="G329" s="9" t="str">
        <x:v>验证赠送数量集合1、10、100</x:v>
      </x:c>
      <x:c r="H329" s="9" t="str">
        <x:v>赠送数量集合</x:v>
      </x:c>
      <x:c r="I329" s="9" t="str">
        <x:v>1. 当前执行账号具有管理后台会话，身份为平台管理员；具体账号及权限变化按以下条件准备
2. 编辑数量规则A，关联礼物G没有其他启用规则</x:v>
      </x:c>
      <x:c r="J329" s="9" t="str">
        <x:v>1. 打开购买份数配置详情
2. 清空赠送数量
3. 输入并添加赠送数量“1”
4. 输入并添加赠送数量“10”
5. 输入并添加赠送数量“100”
6. 选择默认数量1
7. 点击“保存”</x:v>
      </x:c>
      <x:c r="K329" s="9" t="str">
        <x:v>保存数量规则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来源（当前证据）：liveshow-proto/MainBasis/统一需求文档.md；位置：第2575行、第2572行、第2573行
2. 规则：BR-27690cc6c11b51e4
3. 未动态验证</x:v>
      </x:c>
    </x:row>
    <x:row r="330" ht="100" customHeight="1">
      <x:c r="A330" s="10" t="n">
        <x:v>329</x:v>
      </x:c>
      <x:c r="B330" s="10" t="str">
        <x:v>ADMIN-0329</x:v>
      </x:c>
      <x:c r="C330" s="10" t="str">
        <x:v>礼物与道具</x:v>
      </x:c>
      <x:c r="D330" s="10" t="str">
        <x:v>购买份数配置详情（平台管理员）</x:v>
      </x:c>
      <x:c r="E330" s="10" t="str">
        <x:v>功能需求</x:v>
      </x:c>
      <x:c r="F330" s="10" t="str">
        <x:v>P1</x:v>
      </x:c>
      <x:c r="G330" s="9" t="str">
        <x:v>验证同礼物启用规则冲突</x:v>
      </x:c>
      <x:c r="H330" s="9" t="str">
        <x:v>礼物关联唯一</x:v>
      </x:c>
      <x:c r="I330" s="9" t="str">
        <x:v>1. 当前执行账号具有管理后台会话，身份为平台管理员；具体账号及权限变化按以下条件准备
2. 礼物G已关联启用规则A；正在编辑另一规则B，数量1默认1</x:v>
      </x:c>
      <x:c r="J330" s="9" t="str">
        <x:v>1. 打开购买份数配置详情
2. 选择礼物G
3. 选择启用状态
4. 点击“保存”</x:v>
      </x:c>
      <x:c r="K330" s="9" t="str">
        <x:v>规则B不能启用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来源（当前证据）：liveshow-proto/MainBasis/统一需求文档.md；位置：第2577行、第2572行、第2573行
2. 规则：BR-aab5a5b65a6dbc50
3. 未动态验证</x:v>
      </x:c>
    </x:row>
    <x:row r="331" ht="100" customHeight="1">
      <x:c r="A331" s="10" t="n">
        <x:v>330</x:v>
      </x:c>
      <x:c r="B331" s="10" t="str">
        <x:v>ADMIN-0330</x:v>
      </x:c>
      <x:c r="C331" s="10" t="str">
        <x:v>运营配置</x:v>
      </x:c>
      <x:c r="D331" s="10" t="str">
        <x:v>门票价格档位（平台管理员）</x:v>
      </x:c>
      <x:c r="E331" s="10" t="str">
        <x:v>功能需求</x:v>
      </x:c>
      <x:c r="F331" s="10" t="str">
        <x:v>P1</x:v>
      </x:c>
      <x:c r="G331" s="9" t="str">
        <x:v>验证最后有效门票档位保护</x:v>
      </x:c>
      <x:c r="H331" s="9" t="str">
        <x:v>末个档位保护</x:v>
      </x:c>
      <x:c r="I331" s="9" t="str">
        <x:v>1. 当前执行账号具有管理后台会话，身份为平台管理员；具体账号及权限变化按以下条件准备
2. 全平台只剩价格100档位A启用</x:v>
      </x:c>
      <x:c r="J331" s="9" t="str">
        <x:v>1. 打开门票价格档位
2. 点击档位A“停用”</x:v>
      </x:c>
      <x:c r="K331" s="9" t="str">
        <x:v>档位A保持启用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来源（当前证据）：liveshow-proto/MainBasis/统一需求文档.md；位置：第2748行、第2738行、第2739行
2. 规则：BR-290099019ca3ae37
3. 未动态验证</x:v>
      </x:c>
    </x:row>
    <x:row r="332" ht="100" customHeight="1">
      <x:c r="A332" s="10" t="n">
        <x:v>331</x:v>
      </x:c>
      <x:c r="B332" s="10" t="str">
        <x:v>ADMIN-0331</x:v>
      </x:c>
      <x:c r="C332" s="10" t="str">
        <x:v>运营配置</x:v>
      </x:c>
      <x:c r="D332" s="10" t="str">
        <x:v>门票价格档位编辑（平台管理员）</x:v>
      </x:c>
      <x:c r="E332" s="10" t="str">
        <x:v>功能需求</x:v>
      </x:c>
      <x:c r="F332" s="10" t="str">
        <x:v>P1</x:v>
      </x:c>
      <x:c r="G332" s="9" t="str">
        <x:v>验证门票价格重复</x:v>
      </x:c>
      <x:c r="H332" s="9" t="str">
        <x:v>票价唯一性</x:v>
      </x:c>
      <x:c r="I332" s="9" t="str">
        <x:v>1. 当前执行账号具有管理后台会话，身份为平台管理员；具体账号及权限变化按以下条件准备
2. 已有档位A价格100，当前编辑B价格200</x:v>
      </x:c>
      <x:c r="J332" s="9" t="str">
        <x:v>1. 打开门票价格档位编辑
2. 输入门票价格“100”
3. 点击“保存”</x:v>
      </x:c>
      <x:c r="K332" s="9" t="str">
        <x:v>不保存重复价格100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来源（当前证据）：liveshow-proto/MainBasis/统一需求文档.md；位置：第2758行、第2750行、第2751行
2. 规则：BR-27135a31b9d836a8
3. 未动态验证</x:v>
      </x:c>
    </x:row>
    <x:row r="333" ht="100" customHeight="1">
      <x:c r="A333" s="10" t="n">
        <x:v>332</x:v>
      </x:c>
      <x:c r="B333" s="10" t="str">
        <x:v>ADMIN-0332</x:v>
      </x:c>
      <x:c r="C333" s="10" t="str">
        <x:v>运营配置</x:v>
      </x:c>
      <x:c r="D333" s="10" t="str">
        <x:v>等级配置（平台管理员）</x:v>
      </x:c>
      <x:c r="E333" s="10" t="str">
        <x:v>功能需求</x:v>
      </x:c>
      <x:c r="F333" s="10" t="str">
        <x:v>P1</x:v>
      </x:c>
      <x:c r="G333" s="9" t="str">
        <x:v>验证主播等级未保存值切换保留</x:v>
      </x:c>
      <x:c r="H333" s="9" t="str">
        <x:v>等级草稿隔离</x:v>
      </x:c>
      <x:c r="I333" s="9" t="str">
        <x:v>1. 当前执行账号具有管理后台会话，身份为平台管理员；具体账号及权限变化按以下条件准备
2. 当前主播等级等级1的金币值10，已记录原图A</x:v>
      </x:c>
      <x:c r="J333" s="9" t="str">
        <x:v>1. 打开等级配置
2. 点击“主播等级”
3. 输入等级1金币值“20”
4. 点击另一等级Tab
5. 点击“主播等级”</x:v>
      </x:c>
      <x:c r="K333" s="9" t="str">
        <x:v>等级1金币值仍为20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来源（当前证据）：liveshow-proto/MainBasis/统一需求文档.md；位置：第2712行、第2706行、第2707行
2. 规则：BR-fa664e884949b1eb
3. 未动态验证</x:v>
      </x:c>
    </x:row>
    <x:row r="334" ht="100" customHeight="1">
      <x:c r="A334" s="10" t="n">
        <x:v>333</x:v>
      </x:c>
      <x:c r="B334" s="10" t="str">
        <x:v>ADMIN-0333</x:v>
      </x:c>
      <x:c r="C334" s="10" t="str">
        <x:v>运营配置</x:v>
      </x:c>
      <x:c r="D334" s="10" t="str">
        <x:v>等级配置（平台管理员）</x:v>
      </x:c>
      <x:c r="E334" s="10" t="str">
        <x:v>功能需求</x:v>
      </x:c>
      <x:c r="F334" s="10" t="str">
        <x:v>P1</x:v>
      </x:c>
      <x:c r="G334" s="9" t="str">
        <x:v>验证财富等级未保存值切换保留</x:v>
      </x:c>
      <x:c r="H334" s="9" t="str">
        <x:v>等级草稿隔离</x:v>
      </x:c>
      <x:c r="I334" s="9" t="str">
        <x:v>1. 当前执行账号具有管理后台会话，身份为平台管理员；具体账号及权限变化按以下条件准备
2. 当前财富等级等级1的金币值10，已记录原图A</x:v>
      </x:c>
      <x:c r="J334" s="9" t="str">
        <x:v>1. 打开等级配置
2. 点击“财富等级”
3. 输入等级1金币值“20”
4. 点击另一等级Tab
5. 点击“财富等级”</x:v>
      </x:c>
      <x:c r="K334" s="9" t="str">
        <x:v>等级1金币值仍为20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来源（当前证据）：liveshow-proto/MainBasis/统一需求文档.md；位置：第2712行、第2706行、第2707行
2. 规则：BR-40264d737795ae55
3. 未动态验证</x:v>
      </x:c>
    </x:row>
    <x:row r="335" ht="100" customHeight="1">
      <x:c r="A335" s="10" t="n">
        <x:v>334</x:v>
      </x:c>
      <x:c r="B335" s="10" t="str">
        <x:v>ADMIN-0334</x:v>
      </x:c>
      <x:c r="C335" s="10" t="str">
        <x:v>运营配置</x:v>
      </x:c>
      <x:c r="D335" s="10" t="str">
        <x:v>等级配置（平台管理员）</x:v>
      </x:c>
      <x:c r="E335" s="10" t="str">
        <x:v>功能需求</x:v>
      </x:c>
      <x:c r="F335" s="10" t="str">
        <x:v>P1</x:v>
      </x:c>
      <x:c r="G335" s="9" t="str">
        <x:v>验证粉丝等级未保存值切换保留</x:v>
      </x:c>
      <x:c r="H335" s="9" t="str">
        <x:v>等级草稿隔离</x:v>
      </x:c>
      <x:c r="I335" s="9" t="str">
        <x:v>1. 当前执行账号具有管理后台会话，身份为平台管理员；具体账号及权限变化按以下条件准备
2. 当前粉丝等级等级1的金币值10，已记录原图A</x:v>
      </x:c>
      <x:c r="J335" s="9" t="str">
        <x:v>1. 打开等级配置
2. 点击“粉丝等级”
3. 输入等级1金币值“20”
4. 点击另一等级Tab
5. 点击“粉丝等级”</x:v>
      </x:c>
      <x:c r="K335" s="9" t="str">
        <x:v>等级1金币值仍为20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来源（当前证据）：liveshow-proto/MainBasis/统一需求文档.md；位置：第2712行、第2706行、第2707行
2. 规则：BR-df0a5fa293eda3c8
3. 未动态验证</x:v>
      </x:c>
    </x:row>
    <x:row r="336" ht="100" customHeight="1">
      <x:c r="A336" s="10" t="n">
        <x:v>335</x:v>
      </x:c>
      <x:c r="B336" s="10" t="str">
        <x:v>ADMIN-0335</x:v>
      </x:c>
      <x:c r="C336" s="10" t="str">
        <x:v>运营配置</x:v>
      </x:c>
      <x:c r="D336" s="10" t="str">
        <x:v>等级配置（平台管理员）</x:v>
      </x:c>
      <x:c r="E336" s="10" t="str">
        <x:v>功能需求</x:v>
      </x:c>
      <x:c r="F336" s="10" t="str">
        <x:v>P1</x:v>
      </x:c>
      <x:c r="G336" s="9" t="str">
        <x:v>验证粉丝团等级未保存值切换保留</x:v>
      </x:c>
      <x:c r="H336" s="9" t="str">
        <x:v>等级草稿隔离</x:v>
      </x:c>
      <x:c r="I336" s="9" t="str">
        <x:v>1. 当前执行账号具有管理后台会话，身份为平台管理员；具体账号及权限变化按以下条件准备
2. 当前粉丝团等级等级1的金币值10，已记录原图A</x:v>
      </x:c>
      <x:c r="J336" s="9" t="str">
        <x:v>1. 打开等级配置
2. 点击“粉丝团等级”
3. 输入等级1金币值“20”
4. 点击另一等级Tab
5. 点击“粉丝团等级”</x:v>
      </x:c>
      <x:c r="K336" s="9" t="str">
        <x:v>等级1金币值仍为20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来源（当前证据）：liveshow-proto/MainBasis/统一需求文档.md；位置：第2712行、第2706行、第2707行
2. 规则：BR-6b3882940a84ef8e
3. 未动态验证</x:v>
      </x:c>
    </x:row>
    <x:row r="337" ht="130" customHeight="1">
      <x:c r="A337" s="10" t="n">
        <x:v>336</x:v>
      </x:c>
      <x:c r="B337" s="10" t="str">
        <x:v>ADMIN-0336</x:v>
      </x:c>
      <x:c r="C337" s="10" t="str">
        <x:v>运营配置</x:v>
      </x:c>
      <x:c r="D337" s="10" t="str">
        <x:v>等级配置（平台管理员）</x:v>
      </x:c>
      <x:c r="E337" s="10" t="str">
        <x:v>功能需求</x:v>
      </x:c>
      <x:c r="F337" s="10" t="str">
        <x:v>P1</x:v>
      </x:c>
      <x:c r="G337" s="9" t="str">
        <x:v>验证等级编号0</x:v>
      </x:c>
      <x:c r="H337" s="9" t="str">
        <x:v>等级编号边界</x:v>
      </x:c>
      <x:c r="I337" s="9" t="str">
        <x:v>1. 当前执行账号具有管理后台会话，身份为平台管理员；具体账号及权限变化按以下条件准备
2. 当前Tab只有等级2、金币值100
3. 本例在主播等级Tab，准备有效勋章图qa-level.png</x:v>
      </x:c>
      <x:c r="J337" s="9" t="str">
        <x:v>1. 打开等级配置
2. 点击“主播等级”
3. 点击“新增等级”
4. 输入等级“0”
5. 输入金币值“0”
6. 上传等级勋章图qa-level.png
7. 点击“保存”</x:v>
      </x:c>
      <x:c r="K337" s="9" t="str">
        <x:v>不保存非法等级编号</x:v>
      </x:c>
      <x:c r="L337" s="10" t="str"/>
      <x:c r="M337" s="10" t="str">
        <x:v>未测</x:v>
      </x:c>
      <x:c r="N337" s="10" t="str"/>
      <x:c r="O337" s="9" t="str">
        <x:v>1. 来源（当前证据）：liveshow-proto/MainBasis/统一需求文档.md；位置：第2713行、第2706行、第2707行
2. 规则：BR-4e62a5547d108593
3. 未动态验证</x:v>
      </x:c>
    </x:row>
    <x:row r="338" ht="130" customHeight="1">
      <x:c r="A338" s="10" t="n">
        <x:v>337</x:v>
      </x:c>
      <x:c r="B338" s="10" t="str">
        <x:v>ADMIN-0337</x:v>
      </x:c>
      <x:c r="C338" s="10" t="str">
        <x:v>运营配置</x:v>
      </x:c>
      <x:c r="D338" s="10" t="str">
        <x:v>等级配置（平台管理员）</x:v>
      </x:c>
      <x:c r="E338" s="10" t="str">
        <x:v>功能需求</x:v>
      </x:c>
      <x:c r="F338" s="10" t="str">
        <x:v>P1</x:v>
      </x:c>
      <x:c r="G338" s="9" t="str">
        <x:v>验证等级编号-1</x:v>
      </x:c>
      <x:c r="H338" s="9" t="str">
        <x:v>等级编号边界</x:v>
      </x:c>
      <x:c r="I338" s="9" t="str">
        <x:v>1. 当前执行账号具有管理后台会话，身份为平台管理员；具体账号及权限变化按以下条件准备
2. 当前Tab只有等级2、金币值100
3. 本例在主播等级Tab，准备有效勋章图qa-level.png</x:v>
      </x:c>
      <x:c r="J338" s="9" t="str">
        <x:v>1. 打开等级配置
2. 点击“主播等级”
3. 点击“新增等级”
4. 输入等级“-1”
5. 输入金币值“0”
6. 上传等级勋章图qa-level.png
7. 点击“保存”</x:v>
      </x:c>
      <x:c r="K338" s="9" t="str">
        <x:v>不保存非法等级编号</x:v>
      </x:c>
      <x:c r="L338" s="10" t="str"/>
      <x:c r="M338" s="10" t="str">
        <x:v>未测</x:v>
      </x:c>
      <x:c r="N338" s="10" t="str"/>
      <x:c r="O338" s="9" t="str">
        <x:v>1. 来源（当前证据）：liveshow-proto/MainBasis/统一需求文档.md；位置：第2713行、第2706行、第2707行
2. 规则：BR-f14b4c312a775df4
3. 未动态验证</x:v>
      </x:c>
    </x:row>
    <x:row r="339" ht="130" customHeight="1">
      <x:c r="A339" s="10" t="n">
        <x:v>338</x:v>
      </x:c>
      <x:c r="B339" s="10" t="str">
        <x:v>ADMIN-0338</x:v>
      </x:c>
      <x:c r="C339" s="10" t="str">
        <x:v>运营配置</x:v>
      </x:c>
      <x:c r="D339" s="10" t="str">
        <x:v>等级配置（平台管理员）</x:v>
      </x:c>
      <x:c r="E339" s="10" t="str">
        <x:v>功能需求</x:v>
      </x:c>
      <x:c r="F339" s="10" t="str">
        <x:v>P1</x:v>
      </x:c>
      <x:c r="G339" s="9" t="str">
        <x:v>验证等级编号1</x:v>
      </x:c>
      <x:c r="H339" s="9" t="str">
        <x:v>等级编号边界</x:v>
      </x:c>
      <x:c r="I339" s="9" t="str">
        <x:v>1. 当前执行账号具有管理后台会话，身份为平台管理员；具体账号及权限变化按以下条件准备
2. 当前Tab只有等级2、金币值100
3. 本例在主播等级Tab，准备有效勋章图qa-level.png</x:v>
      </x:c>
      <x:c r="J339" s="9" t="str">
        <x:v>1. 打开等级配置
2. 点击“主播等级”
3. 点击“新增等级”
4. 输入等级“1”
5. 输入金币值“0”
6. 上传等级勋章图qa-level.png
7. 点击“保存”</x:v>
      </x:c>
      <x:c r="K339" s="9" t="str">
        <x:v>保存等级1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来源（当前证据）：liveshow-proto/MainBasis/统一需求文档.md；位置：第2713行、第2706行、第2707行
2. 规则：BR-3bd1776f36866a8d
3. 未动态验证</x:v>
      </x:c>
    </x:row>
    <x:row r="340" ht="130" customHeight="1">
      <x:c r="A340" s="10" t="n">
        <x:v>339</x:v>
      </x:c>
      <x:c r="B340" s="10" t="str">
        <x:v>ADMIN-0339</x:v>
      </x:c>
      <x:c r="C340" s="10" t="str">
        <x:v>运营配置</x:v>
      </x:c>
      <x:c r="D340" s="10" t="str">
        <x:v>等级配置（平台管理员）</x:v>
      </x:c>
      <x:c r="E340" s="10" t="str">
        <x:v>功能需求</x:v>
      </x:c>
      <x:c r="F340" s="10" t="str">
        <x:v>P1</x:v>
      </x:c>
      <x:c r="G340" s="9" t="str">
        <x:v>验证等级编号1.5</x:v>
      </x:c>
      <x:c r="H340" s="9" t="str">
        <x:v>等级编号边界</x:v>
      </x:c>
      <x:c r="I340" s="9" t="str">
        <x:v>1. 当前执行账号具有管理后台会话，身份为平台管理员；具体账号及权限变化按以下条件准备
2. 当前Tab只有等级2、金币值100
3. 本例在主播等级Tab，准备有效勋章图qa-level.png</x:v>
      </x:c>
      <x:c r="J340" s="9" t="str">
        <x:v>1. 打开等级配置
2. 点击“主播等级”
3. 点击“新增等级”
4. 输入等级“1.5”
5. 输入金币值“0”
6. 上传等级勋章图qa-level.png
7. 点击“保存”</x:v>
      </x:c>
      <x:c r="K340" s="9" t="str">
        <x:v>不保存非法等级编号</x:v>
      </x:c>
      <x:c r="L340" s="10" t="str"/>
      <x:c r="M340" s="10" t="str">
        <x:v>未测</x:v>
      </x:c>
      <x:c r="N340" s="10" t="str"/>
      <x:c r="O340" s="9" t="str">
        <x:v>1. 来源（当前证据）：liveshow-proto/MainBasis/统一需求文档.md；位置：第2713行、第2706行、第2707行
2. 规则：BR-12746f89592f08ea
3. 未动态验证</x:v>
      </x:c>
    </x:row>
    <x:row r="341" ht="130" customHeight="1">
      <x:c r="A341" s="10" t="n">
        <x:v>340</x:v>
      </x:c>
      <x:c r="B341" s="10" t="str">
        <x:v>ADMIN-0340</x:v>
      </x:c>
      <x:c r="C341" s="10" t="str">
        <x:v>运营配置</x:v>
      </x:c>
      <x:c r="D341" s="10" t="str">
        <x:v>敏感词编辑（平台管理员）</x:v>
      </x:c>
      <x:c r="E341" s="10" t="str">
        <x:v>功能需求</x:v>
      </x:c>
      <x:c r="F341" s="10" t="str">
        <x:v>P1</x:v>
      </x:c>
      <x:c r="G341" s="9" t="str">
        <x:v>验证敏感词应用于公屏</x:v>
      </x:c>
      <x:c r="H341" s="9" t="str">
        <x:v>敏感词场景</x:v>
      </x:c>
      <x:c r="I341" s="9" t="str">
        <x:v>1. 当前执行账号具有管理后台会话，身份为平台管理员；具体账号及权限变化按以下条件准备
2. 正在新增词条测试词A，包含匹配、分类辱骂攻击、替换内容***、状态启用</x:v>
      </x:c>
      <x:c r="J341" s="9" t="str">
        <x:v>1. 打开敏感词编辑
2. 输入敏感词“测试词A”
3. 选择分类“辱骂攻击”
4. 选择“包含匹配”
5. 输入替换内容“***”
6. 选择状态“启用”
7. 选择使用场景“公屏”
8. 点击“保存”</x:v>
      </x:c>
      <x:c r="K341" s="9" t="str">
        <x:v>保存使用场景公屏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来源（当前证据）：liveshow-proto/MainBasis/统一需求文档.md；位置：第2777行、第2771行、第2772行
2. 规则：BR-729531bb90436635
3. 未动态验证</x:v>
      </x:c>
    </x:row>
    <x:row r="342" ht="130" customHeight="1">
      <x:c r="A342" s="10" t="n">
        <x:v>341</x:v>
      </x:c>
      <x:c r="B342" s="10" t="str">
        <x:v>ADMIN-0341</x:v>
      </x:c>
      <x:c r="C342" s="10" t="str">
        <x:v>运营配置</x:v>
      </x:c>
      <x:c r="D342" s="10" t="str">
        <x:v>敏感词编辑（平台管理员）</x:v>
      </x:c>
      <x:c r="E342" s="10" t="str">
        <x:v>功能需求</x:v>
      </x:c>
      <x:c r="F342" s="10" t="str">
        <x:v>P1</x:v>
      </x:c>
      <x:c r="G342" s="9" t="str">
        <x:v>验证敏感词应用于私信</x:v>
      </x:c>
      <x:c r="H342" s="9" t="str">
        <x:v>敏感词场景</x:v>
      </x:c>
      <x:c r="I342" s="9" t="str">
        <x:v>1. 当前执行账号具有管理后台会话，身份为平台管理员；具体账号及权限变化按以下条件准备
2. 正在新增词条测试词A，包含匹配、分类辱骂攻击、替换内容***、状态启用</x:v>
      </x:c>
      <x:c r="J342" s="9" t="str">
        <x:v>1. 打开敏感词编辑
2. 输入敏感词“测试词A”
3. 选择分类“辱骂攻击”
4. 选择“包含匹配”
5. 输入替换内容“***”
6. 选择状态“启用”
7. 选择使用场景“私信”
8. 点击“保存”</x:v>
      </x:c>
      <x:c r="K342" s="9" t="str">
        <x:v>保存使用场景私信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来源（当前证据）：liveshow-proto/MainBasis/统一需求文档.md；位置：第2777行、第2771行、第2772行
2. 规则：BR-d0b78a15ce9bc1d2
3. 未动态验证</x:v>
      </x:c>
    </x:row>
    <x:row r="343" ht="130" customHeight="1">
      <x:c r="A343" s="10" t="n">
        <x:v>342</x:v>
      </x:c>
      <x:c r="B343" s="10" t="str">
        <x:v>ADMIN-0342</x:v>
      </x:c>
      <x:c r="C343" s="10" t="str">
        <x:v>运营配置</x:v>
      </x:c>
      <x:c r="D343" s="10" t="str">
        <x:v>敏感词编辑（平台管理员）</x:v>
      </x:c>
      <x:c r="E343" s="10" t="str">
        <x:v>功能需求</x:v>
      </x:c>
      <x:c r="F343" s="10" t="str">
        <x:v>P1</x:v>
      </x:c>
      <x:c r="G343" s="9" t="str">
        <x:v>验证敏感词应用于昵称</x:v>
      </x:c>
      <x:c r="H343" s="9" t="str">
        <x:v>敏感词场景</x:v>
      </x:c>
      <x:c r="I343" s="9" t="str">
        <x:v>1. 当前执行账号具有管理后台会话，身份为平台管理员；具体账号及权限变化按以下条件准备
2. 正在新增词条测试词A，包含匹配、分类辱骂攻击、替换内容***、状态启用</x:v>
      </x:c>
      <x:c r="J343" s="9" t="str">
        <x:v>1. 打开敏感词编辑
2. 输入敏感词“测试词A”
3. 选择分类“辱骂攻击”
4. 选择“包含匹配”
5. 输入替换内容“***”
6. 选择状态“启用”
7. 选择使用场景“昵称”
8. 点击“保存”</x:v>
      </x:c>
      <x:c r="K343" s="9" t="str">
        <x:v>保存使用场景昵称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来源（当前证据）：liveshow-proto/MainBasis/统一需求文档.md；位置：第2777行、第2771行、第2772行
2. 规则：BR-6a8a234fd71106ce
3. 未动态验证</x:v>
      </x:c>
    </x:row>
    <x:row r="344" ht="130" customHeight="1">
      <x:c r="A344" s="10" t="n">
        <x:v>343</x:v>
      </x:c>
      <x:c r="B344" s="10" t="str">
        <x:v>ADMIN-0343</x:v>
      </x:c>
      <x:c r="C344" s="10" t="str">
        <x:v>运营配置</x:v>
      </x:c>
      <x:c r="D344" s="10" t="str">
        <x:v>敏感词编辑（平台管理员）</x:v>
      </x:c>
      <x:c r="E344" s="10" t="str">
        <x:v>功能需求</x:v>
      </x:c>
      <x:c r="F344" s="10" t="str">
        <x:v>P1</x:v>
      </x:c>
      <x:c r="G344" s="9" t="str">
        <x:v>验证敏感词应用于动态</x:v>
      </x:c>
      <x:c r="H344" s="9" t="str">
        <x:v>敏感词场景</x:v>
      </x:c>
      <x:c r="I344" s="9" t="str">
        <x:v>1. 当前执行账号具有管理后台会话，身份为平台管理员；具体账号及权限变化按以下条件准备
2. 正在新增词条测试词A，包含匹配、分类辱骂攻击、替换内容***、状态启用</x:v>
      </x:c>
      <x:c r="J344" s="9" t="str">
        <x:v>1. 打开敏感词编辑
2. 输入敏感词“测试词A”
3. 选择分类“辱骂攻击”
4. 选择“包含匹配”
5. 输入替换内容“***”
6. 选择状态“启用”
7. 选择使用场景“动态”
8. 点击“保存”</x:v>
      </x:c>
      <x:c r="K344" s="9" t="str">
        <x:v>保存使用场景动态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来源（当前证据）：liveshow-proto/MainBasis/统一需求文档.md；位置：第2777行、第2771行、第2772行
2. 规则：BR-40a5ac6bd8f48e35
3. 未动态验证</x:v>
      </x:c>
    </x:row>
    <x:row r="345" ht="100" customHeight="1">
      <x:c r="A345" s="10" t="n">
        <x:v>344</x:v>
      </x:c>
      <x:c r="B345" s="10" t="str">
        <x:v>ADMIN-0344</x:v>
      </x:c>
      <x:c r="C345" s="10" t="str">
        <x:v>运营配置</x:v>
      </x:c>
      <x:c r="D345" s="10" t="str">
        <x:v>敏感词编辑（平台管理员）</x:v>
      </x:c>
      <x:c r="E345" s="10" t="str">
        <x:v>功能需求</x:v>
      </x:c>
      <x:c r="F345" s="10" t="str">
        <x:v>P1</x:v>
      </x:c>
      <x:c r="G345" s="9" t="str">
        <x:v>验证敏感词无使用场景</x:v>
      </x:c>
      <x:c r="H345" s="9" t="str">
        <x:v>场景必选</x:v>
      </x:c>
      <x:c r="I345" s="9" t="str">
        <x:v>1. 当前执行账号具有管理后台会话，身份为平台管理员；具体账号及权限变化按以下条件准备
2. 已有规则A至少选中一个使用场景</x:v>
      </x:c>
      <x:c r="J345" s="9" t="str">
        <x:v>1. 打开敏感词编辑
2. 取消勾选全部使用场景
3. 点击“保存”</x:v>
      </x:c>
      <x:c r="K345" s="9" t="str">
        <x:v>不保存没有使用场景的规则</x:v>
      </x:c>
      <x:c r="L345" s="10" t="str"/>
      <x:c r="M345" s="10" t="str">
        <x:v>未测</x:v>
      </x:c>
      <x:c r="N345" s="10" t="str"/>
      <x:c r="O345" s="9" t="str">
        <x:v>1. 来源（当前证据）：liveshow-proto/MainBasis/统一需求文档.md；位置：第2777行、第2771行、第2772行
2. 规则：BR-5ec02d86cfb7c4ed
3. 未动态验证</x:v>
      </x:c>
    </x:row>
    <x:row r="346" ht="100" customHeight="1">
      <x:c r="A346" s="10" t="n">
        <x:v>345</x:v>
      </x:c>
      <x:c r="B346" s="10" t="str">
        <x:v>ADMIN-0345</x:v>
      </x:c>
      <x:c r="C346" s="10" t="str">
        <x:v>礼物与道具</x:v>
      </x:c>
      <x:c r="D346" s="10" t="str">
        <x:v>普通礼物（平台管理员）</x:v>
      </x:c>
      <x:c r="E346" s="10" t="str">
        <x:v>功能需求</x:v>
      </x:c>
      <x:c r="F346" s="10" t="str">
        <x:v>P1</x:v>
      </x:c>
      <x:c r="G346" s="9" t="str">
        <x:v>验证普通礼物下架确认</x:v>
      </x:c>
      <x:c r="H346" s="9" t="str">
        <x:v>配置状态确认</x:v>
      </x:c>
      <x:c r="I346" s="9" t="str">
        <x:v>1. 当前执行账号具有管理后台会话，身份为平台管理员；具体账号及权限变化按以下条件准备
2. 记录A当前有效并启用，已有成功业务记录B</x:v>
      </x:c>
      <x:c r="J346" s="9" t="str">
        <x:v>1. 打开普通礼物
2. 点击记录A“下架”
3. 点击“确认”</x:v>
      </x:c>
      <x:c r="K346" s="9" t="str">
        <x:v>记录A状态变为下架</x:v>
      </x:c>
      <x:c r="L346" s="10" t="str"/>
      <x:c r="M346" s="10" t="str">
        <x:v>未测</x:v>
      </x:c>
      <x:c r="N346" s="10" t="str"/>
      <x:c r="O346" s="9" t="str">
        <x:v>1. 来源（当前证据）：liveshow-proto/MainBasis/统一需求文档.md；位置：第2472行、第2462行、第2463行
2. 规则：BR-ef7a869024c190dc
3. 未动态验证</x:v>
      </x:c>
    </x:row>
    <x:row r="347" ht="100" customHeight="1">
      <x:c r="A347" s="10" t="n">
        <x:v>346</x:v>
      </x:c>
      <x:c r="B347" s="10" t="str">
        <x:v>ADMIN-0346</x:v>
      </x:c>
      <x:c r="C347" s="10" t="str">
        <x:v>礼物与道具</x:v>
      </x:c>
      <x:c r="D347" s="10" t="str">
        <x:v>普通礼物（平台管理员）</x:v>
      </x:c>
      <x:c r="E347" s="10" t="str">
        <x:v>功能需求</x:v>
      </x:c>
      <x:c r="F347" s="10" t="str">
        <x:v>P1</x:v>
      </x:c>
      <x:c r="G347" s="9" t="str">
        <x:v>验证普通礼物下架取消</x:v>
      </x:c>
      <x:c r="H347" s="9" t="str">
        <x:v>配置状态确认</x:v>
      </x:c>
      <x:c r="I347" s="9" t="str">
        <x:v>1. 当前执行账号具有管理后台会话，身份为平台管理员；具体账号及权限变化按以下条件准备
2. 记录A当前有效并启用，已有成功业务记录B</x:v>
      </x:c>
      <x:c r="J347" s="9" t="str">
        <x:v>1. 打开普通礼物
2. 点击记录A“下架”
3. 点击“取消”</x:v>
      </x:c>
      <x:c r="K347" s="9" t="str">
        <x:v>记录A保留操作前状态</x:v>
      </x:c>
      <x:c r="L347" s="10" t="str"/>
      <x:c r="M347" s="10" t="str">
        <x:v>未测</x:v>
      </x:c>
      <x:c r="N347" s="10" t="str"/>
      <x:c r="O347" s="9" t="str">
        <x:v>1. 来源（当前证据）：liveshow-proto/MainBasis/统一需求文档.md；位置：第2472行、第2462行、第2463行
2. 规则：BR-91ca4b5da87fcefd
3. 未动态验证</x:v>
      </x:c>
    </x:row>
    <x:row r="348" ht="100" customHeight="1">
      <x:c r="A348" s="10" t="n">
        <x:v>347</x:v>
      </x:c>
      <x:c r="B348" s="10" t="str">
        <x:v>ADMIN-0347</x:v>
      </x:c>
      <x:c r="C348" s="10" t="str">
        <x:v>礼物与道具</x:v>
      </x:c>
      <x:c r="D348" s="10" t="str">
        <x:v>定制礼物（平台管理员）</x:v>
      </x:c>
      <x:c r="E348" s="10" t="str">
        <x:v>功能需求</x:v>
      </x:c>
      <x:c r="F348" s="10" t="str">
        <x:v>P1</x:v>
      </x:c>
      <x:c r="G348" s="9" t="str">
        <x:v>验证定制礼物提前下架确认</x:v>
      </x:c>
      <x:c r="H348" s="9" t="str">
        <x:v>配置状态确认</x:v>
      </x:c>
      <x:c r="I348" s="9" t="str">
        <x:v>1. 当前执行账号具有管理后台会话，身份为平台管理员；具体账号及权限变化按以下条件准备
2. 记录A当前有效并启用，已有成功业务记录B</x:v>
      </x:c>
      <x:c r="J348" s="9" t="str">
        <x:v>1. 打开定制礼物
2. 点击记录A“提前下架”
3. 点击“确认”</x:v>
      </x:c>
      <x:c r="K348" s="9" t="str">
        <x:v>记录A状态变为已下架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来源（当前证据）：liveshow-proto/MainBasis/统一需求文档.md；位置：第2493行、第2488行、第2489行
2. 规则：BR-d58405581f69a043
3. 未动态验证</x:v>
      </x:c>
    </x:row>
    <x:row r="349" ht="100" customHeight="1">
      <x:c r="A349" s="10" t="n">
        <x:v>348</x:v>
      </x:c>
      <x:c r="B349" s="10" t="str">
        <x:v>ADMIN-0348</x:v>
      </x:c>
      <x:c r="C349" s="10" t="str">
        <x:v>礼物与道具</x:v>
      </x:c>
      <x:c r="D349" s="10" t="str">
        <x:v>定制礼物（平台管理员）</x:v>
      </x:c>
      <x:c r="E349" s="10" t="str">
        <x:v>功能需求</x:v>
      </x:c>
      <x:c r="F349" s="10" t="str">
        <x:v>P1</x:v>
      </x:c>
      <x:c r="G349" s="9" t="str">
        <x:v>验证定制礼物提前下架取消</x:v>
      </x:c>
      <x:c r="H349" s="9" t="str">
        <x:v>配置状态确认</x:v>
      </x:c>
      <x:c r="I349" s="9" t="str">
        <x:v>1. 当前执行账号具有管理后台会话，身份为平台管理员；具体账号及权限变化按以下条件准备
2. 记录A当前有效并启用，已有成功业务记录B</x:v>
      </x:c>
      <x:c r="J349" s="9" t="str">
        <x:v>1. 打开定制礼物
2. 点击记录A“提前下架”
3. 点击“取消”</x:v>
      </x:c>
      <x:c r="K349" s="9" t="str">
        <x:v>记录A保留操作前状态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来源（当前证据）：liveshow-proto/MainBasis/统一需求文档.md；位置：第2493行、第2488行、第2489行
2. 规则：BR-b459e32e12ca2c33
3. 未动态验证</x:v>
      </x:c>
    </x:row>
    <x:row r="350" ht="100" customHeight="1">
      <x:c r="A350" s="10" t="n">
        <x:v>349</x:v>
      </x:c>
      <x:c r="B350" s="10" t="str">
        <x:v>ADMIN-0349</x:v>
      </x:c>
      <x:c r="C350" s="10" t="str">
        <x:v>礼物与道具</x:v>
      </x:c>
      <x:c r="D350" s="10" t="str">
        <x:v>道具配置（平台管理员）</x:v>
      </x:c>
      <x:c r="E350" s="10" t="str">
        <x:v>功能需求</x:v>
      </x:c>
      <x:c r="F350" s="10" t="str">
        <x:v>P1</x:v>
      </x:c>
      <x:c r="G350" s="9" t="str">
        <x:v>验证道具配置下架确认</x:v>
      </x:c>
      <x:c r="H350" s="9" t="str">
        <x:v>配置状态确认</x:v>
      </x:c>
      <x:c r="I350" s="9" t="str">
        <x:v>1. 当前执行账号具有管理后台会话，身份为平台管理员；具体账号及权限变化按以下条件准备
2. 记录A当前有效并启用，已有成功业务记录B</x:v>
      </x:c>
      <x:c r="J350" s="9" t="str">
        <x:v>1. 打开道具配置
2. 点击记录A“下架”
3. 点击“确认”</x:v>
      </x:c>
      <x:c r="K350" s="9" t="str">
        <x:v>记录A状态变为下架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来源（当前证据）：liveshow-proto/MainBasis/统一需求文档.md；位置：第2539行、第2531行、第2532行
2. 规则：BR-99474ae7b8272441
3. 未动态验证</x:v>
      </x:c>
    </x:row>
    <x:row r="351" ht="100" customHeight="1">
      <x:c r="A351" s="10" t="n">
        <x:v>350</x:v>
      </x:c>
      <x:c r="B351" s="10" t="str">
        <x:v>ADMIN-0350</x:v>
      </x:c>
      <x:c r="C351" s="10" t="str">
        <x:v>礼物与道具</x:v>
      </x:c>
      <x:c r="D351" s="10" t="str">
        <x:v>道具配置（平台管理员）</x:v>
      </x:c>
      <x:c r="E351" s="10" t="str">
        <x:v>功能需求</x:v>
      </x:c>
      <x:c r="F351" s="10" t="str">
        <x:v>P1</x:v>
      </x:c>
      <x:c r="G351" s="9" t="str">
        <x:v>验证道具配置下架取消</x:v>
      </x:c>
      <x:c r="H351" s="9" t="str">
        <x:v>配置状态确认</x:v>
      </x:c>
      <x:c r="I351" s="9" t="str">
        <x:v>1. 当前执行账号具有管理后台会话，身份为平台管理员；具体账号及权限变化按以下条件准备
2. 记录A当前有效并启用，已有成功业务记录B</x:v>
      </x:c>
      <x:c r="J351" s="9" t="str">
        <x:v>1. 打开道具配置
2. 点击记录A“下架”
3. 点击“取消”</x:v>
      </x:c>
      <x:c r="K351" s="9" t="str">
        <x:v>记录A保留操作前状态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来源（当前证据）：liveshow-proto/MainBasis/统一需求文档.md；位置：第2539行、第2531行、第2532行
2. 规则：BR-3a5c11e97700818b
3. 未动态验证</x:v>
      </x:c>
    </x:row>
    <x:row r="352" ht="100" customHeight="1">
      <x:c r="A352" s="10" t="n">
        <x:v>351</x:v>
      </x:c>
      <x:c r="B352" s="10" t="str">
        <x:v>ADMIN-0351</x:v>
      </x:c>
      <x:c r="C352" s="10" t="str">
        <x:v>运营配置</x:v>
      </x:c>
      <x:c r="D352" s="10" t="str">
        <x:v>任务配置（平台管理员）</x:v>
      </x:c>
      <x:c r="E352" s="10" t="str">
        <x:v>功能需求</x:v>
      </x:c>
      <x:c r="F352" s="10" t="str">
        <x:v>P1</x:v>
      </x:c>
      <x:c r="G352" s="9" t="str">
        <x:v>验证任务配置停用确认</x:v>
      </x:c>
      <x:c r="H352" s="9" t="str">
        <x:v>配置状态确认</x:v>
      </x:c>
      <x:c r="I352" s="9" t="str">
        <x:v>1. 当前执行账号具有管理后台会话，身份为平台管理员；具体账号及权限变化按以下条件准备
2. 记录A当前有效并启用，已有成功业务记录B</x:v>
      </x:c>
      <x:c r="J352" s="9" t="str">
        <x:v>1. 打开任务配置
2. 点击记录A“停用”
3. 点击“确认”</x:v>
      </x:c>
      <x:c r="K352" s="9" t="str">
        <x:v>记录A状态变为停用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来源（当前证据）：liveshow-proto/MainBasis/统一需求文档.md；位置：第2669行、第2661行、第2662行
2. 规则：BR-c9bb6bc00882339c
3. 未动态验证</x:v>
      </x:c>
    </x:row>
    <x:row r="353" ht="100" customHeight="1">
      <x:c r="A353" s="10" t="n">
        <x:v>352</x:v>
      </x:c>
      <x:c r="B353" s="10" t="str">
        <x:v>ADMIN-0352</x:v>
      </x:c>
      <x:c r="C353" s="10" t="str">
        <x:v>运营配置</x:v>
      </x:c>
      <x:c r="D353" s="10" t="str">
        <x:v>任务配置（平台管理员）</x:v>
      </x:c>
      <x:c r="E353" s="10" t="str">
        <x:v>功能需求</x:v>
      </x:c>
      <x:c r="F353" s="10" t="str">
        <x:v>P1</x:v>
      </x:c>
      <x:c r="G353" s="9" t="str">
        <x:v>验证任务配置停用取消</x:v>
      </x:c>
      <x:c r="H353" s="9" t="str">
        <x:v>配置状态确认</x:v>
      </x:c>
      <x:c r="I353" s="9" t="str">
        <x:v>1. 当前执行账号具有管理后台会话，身份为平台管理员；具体账号及权限变化按以下条件准备
2. 记录A当前有效并启用，已有成功业务记录B</x:v>
      </x:c>
      <x:c r="J353" s="9" t="str">
        <x:v>1. 打开任务配置
2. 点击记录A“停用”
3. 点击“取消”</x:v>
      </x:c>
      <x:c r="K353" s="9" t="str">
        <x:v>记录A保留操作前状态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来源（当前证据）：liveshow-proto/MainBasis/统一需求文档.md；位置：第2669行、第2661行、第2662行
2. 规则：BR-2a078fad1a994763
3. 未动态验证</x:v>
      </x:c>
    </x:row>
    <x:row r="354" ht="100" customHeight="1">
      <x:c r="A354" s="10" t="n">
        <x:v>353</x:v>
      </x:c>
      <x:c r="B354" s="10" t="str">
        <x:v>ADMIN-0353</x:v>
      </x:c>
      <x:c r="C354" s="10" t="str">
        <x:v>运营配置</x:v>
      </x:c>
      <x:c r="D354" s="10" t="str">
        <x:v>充值套餐（平台管理员）</x:v>
      </x:c>
      <x:c r="E354" s="10" t="str">
        <x:v>功能需求</x:v>
      </x:c>
      <x:c r="F354" s="10" t="str">
        <x:v>P0</x:v>
      </x:c>
      <x:c r="G354" s="9" t="str">
        <x:v>验证充值套餐下架确认</x:v>
      </x:c>
      <x:c r="H354" s="9" t="str">
        <x:v>配置状态确认</x:v>
      </x:c>
      <x:c r="I354" s="9" t="str">
        <x:v>1. 当前执行账号具有管理后台会话，身份为平台管理员；具体账号及权限变化按以下条件准备
2. 记录A当前有效并启用，已有成功业务记录B</x:v>
      </x:c>
      <x:c r="J354" s="9" t="str">
        <x:v>1. 打开充值套餐
2. 点击记录A“下架”
3. 点击“确认”</x:v>
      </x:c>
      <x:c r="K354" s="9" t="str">
        <x:v>记录A状态变为下架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来源（当前证据）：liveshow-proto/MainBasis/统一需求文档.md；位置：第2643行、第2634行、第2635行
2. 规则：BR-d759590314586052
3. 未动态验证</x:v>
      </x:c>
    </x:row>
    <x:row r="355" ht="100" customHeight="1">
      <x:c r="A355" s="10" t="n">
        <x:v>354</x:v>
      </x:c>
      <x:c r="B355" s="10" t="str">
        <x:v>ADMIN-0354</x:v>
      </x:c>
      <x:c r="C355" s="10" t="str">
        <x:v>运营配置</x:v>
      </x:c>
      <x:c r="D355" s="10" t="str">
        <x:v>充值套餐（平台管理员）</x:v>
      </x:c>
      <x:c r="E355" s="10" t="str">
        <x:v>功能需求</x:v>
      </x:c>
      <x:c r="F355" s="10" t="str">
        <x:v>P0</x:v>
      </x:c>
      <x:c r="G355" s="9" t="str">
        <x:v>验证充值套餐下架取消</x:v>
      </x:c>
      <x:c r="H355" s="9" t="str">
        <x:v>配置状态确认</x:v>
      </x:c>
      <x:c r="I355" s="9" t="str">
        <x:v>1. 当前执行账号具有管理后台会话，身份为平台管理员；具体账号及权限变化按以下条件准备
2. 记录A当前有效并启用，已有成功业务记录B</x:v>
      </x:c>
      <x:c r="J355" s="9" t="str">
        <x:v>1. 打开充值套餐
2. 点击记录A“下架”
3. 点击“取消”</x:v>
      </x:c>
      <x:c r="K355" s="9" t="str">
        <x:v>记录A保留操作前状态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来源（当前证据）：liveshow-proto/MainBasis/统一需求文档.md；位置：第2643行、第2634行、第2635行
2. 规则：BR-dd672e2458faa589
3. 未动态验证</x:v>
      </x:c>
    </x:row>
    <x:row r="356" ht="115" customHeight="1">
      <x:c r="A356" s="10" t="n">
        <x:v>355</x:v>
      </x:c>
      <x:c r="B356" s="10" t="str">
        <x:v>ADMIN-0355</x:v>
      </x:c>
      <x:c r="C356" s="10" t="str">
        <x:v>数据报表</x:v>
      </x:c>
      <x:c r="D356" s="10" t="str">
        <x:v>数据概览（平台管理员）</x:v>
      </x:c>
      <x:c r="E356" s="10" t="str">
        <x:v>功能需求</x:v>
      </x:c>
      <x:c r="F356" s="10" t="str">
        <x:v>P1</x:v>
      </x:c>
      <x:c r="G356" s="9" t="str">
        <x:v>验证活跃用户按打开App去重</x:v>
      </x:c>
      <x:c r="H356" s="9" t="str">
        <x:v>统计指标值</x:v>
      </x:c>
      <x:c r="I356" s="9" t="str">
        <x:v>1. 当前执行账号具有管理后台会话，身份为平台管理员；具体账号及权限变化按以下条件准备
2. 9月14日登录用户B启动2次、切回前台1次；C只切回前台1次；游客D启动1次，其他无事件</x:v>
      </x:c>
      <x:c r="J356" s="9" t="str">
        <x:v>1. 打开数据概览
2. 选择统计日期2026-09-14至2026-09-14
3. 点击“查询”</x:v>
      </x:c>
      <x:c r="K356" s="9" t="str">
        <x:v>活跃用户为2</x:v>
      </x:c>
      <x:c r="L356" s="10" t="str"/>
      <x:c r="M356" s="10" t="str">
        <x:v>未测</x:v>
      </x:c>
      <x:c r="N356" s="10" t="str"/>
      <x:c r="O356" s="9" t="str">
        <x:v>1. 来源（当前证据）：liveshow-proto/MainBasis/统一需求文档.md；位置：第2964行、第2960行、第2961行
2. 规则：BR-1046cfece4b0c8e9
3. 未动态验证</x:v>
      </x:c>
    </x:row>
    <x:row r="357" ht="115" customHeight="1">
      <x:c r="A357" s="10" t="n">
        <x:v>356</x:v>
      </x:c>
      <x:c r="B357" s="10" t="str">
        <x:v>ADMIN-0356</x:v>
      </x:c>
      <x:c r="C357" s="10" t="str">
        <x:v>数据报表</x:v>
      </x:c>
      <x:c r="D357" s="10" t="str">
        <x:v>数据概览（平台管理员）</x:v>
      </x:c>
      <x:c r="E357" s="10" t="str">
        <x:v>逻辑校验</x:v>
      </x:c>
      <x:c r="F357" s="10" t="str">
        <x:v>P0</x:v>
      </x:c>
      <x:c r="G357" s="9" t="str">
        <x:v>验证成功充值金额和状态范围</x:v>
      </x:c>
      <x:c r="H357" s="9" t="str">
        <x:v>指标计算值</x:v>
      </x:c>
      <x:c r="I357" s="9" t="str">
        <x:v>1. 当前执行账号具有管理后台会话，身份为平台管理员；具体账号及权限变化按以下条件准备
2. 9月14日B成功订单10 USD和20 USD、C成功订单30 USD；D失败订单40 USD</x:v>
      </x:c>
      <x:c r="J357" s="9" t="str">
        <x:v>1. 打开数据概览
2. 选择统计日期2026-09-14至2026-09-14
3. 点击“查询”</x:v>
      </x:c>
      <x:c r="K357" s="9" t="str">
        <x:v>总充值金额=60</x:v>
      </x:c>
      <x:c r="L357" s="10" t="str"/>
      <x:c r="M357" s="10" t="str">
        <x:v>未测</x:v>
      </x:c>
      <x:c r="N357" s="10" t="str"/>
      <x:c r="O357" s="9" t="str">
        <x:v>1. 来源（当前证据）：liveshow-proto/MainBasis/统一需求文档.md；位置：第2965行、第2960行、第2961行
2. 规则：BR-d17db79fe825cf9d
3. 未动态验证</x:v>
      </x:c>
    </x:row>
    <x:row r="358" ht="100" customHeight="1">
      <x:c r="A358" s="10" t="n">
        <x:v>357</x:v>
      </x:c>
      <x:c r="B358" s="10" t="str">
        <x:v>ADMIN-0357</x:v>
      </x:c>
      <x:c r="C358" s="10" t="str">
        <x:v>数据报表</x:v>
      </x:c>
      <x:c r="D358" s="10" t="str">
        <x:v>数据概览（平台管理员）</x:v>
      </x:c>
      <x:c r="E358" s="10" t="str">
        <x:v>功能需求</x:v>
      </x:c>
      <x:c r="F358" s="10" t="str">
        <x:v>P1</x:v>
      </x:c>
      <x:c r="G358" s="9" t="str">
        <x:v>验证新用户ARPU分母0</x:v>
      </x:c>
      <x:c r="H358" s="9" t="str">
        <x:v>统计指标值</x:v>
      </x:c>
      <x:c r="I358" s="9" t="str">
        <x:v>1. 当前执行账号具有管理后台会话，身份为平台管理员；具体账号及权限变化按以下条件准备
2. 9月14日没有新用户充值成功</x:v>
      </x:c>
      <x:c r="J358" s="9" t="str">
        <x:v>1. 打开数据概览
2. 选择统计日期2026-09-14至2026-09-14
3. 点击“查询”</x:v>
      </x:c>
      <x:c r="K358" s="9" t="str">
        <x:v>新用户ARPU显示0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来源（当前证据）：liveshow-proto/MainBasis/统一需求文档.md；位置：第2967行、第2960行、第2961行
2. 规则：BR-3d4e17e37b532476
3. 未动态验证</x:v>
      </x:c>
    </x:row>
    <x:row r="359" ht="115" customHeight="1">
      <x:c r="A359" s="10" t="n">
        <x:v>358</x:v>
      </x:c>
      <x:c r="B359" s="10" t="str">
        <x:v>ADMIN-0358</x:v>
      </x:c>
      <x:c r="C359" s="10" t="str">
        <x:v>数据报表</x:v>
      </x:c>
      <x:c r="D359" s="10" t="str">
        <x:v>数据概览（平台管理员）</x:v>
      </x:c>
      <x:c r="E359" s="10" t="str">
        <x:v>逻辑校验</x:v>
      </x:c>
      <x:c r="F359" s="10" t="str">
        <x:v>P1</x:v>
      </x:c>
      <x:c r="G359" s="9" t="str">
        <x:v>验证新用户ARPU分母2</x:v>
      </x:c>
      <x:c r="H359" s="9" t="str">
        <x:v>指标计算值</x:v>
      </x:c>
      <x:c r="I359" s="9" t="str">
        <x:v>1. 当前执行账号具有管理后台会话，身份为平台管理员；具体账号及权限变化按以下条件准备
2. 9月14日注册新用户B和C；B当天成功充值10 USD和20 USD，C充值30 USD</x:v>
      </x:c>
      <x:c r="J359" s="9" t="str">
        <x:v>1. 打开数据概览
2. 选择统计日期2026-09-14至2026-09-14
3. 点击“查询”</x:v>
      </x:c>
      <x:c r="K359" s="9" t="str">
        <x:v>新用户ARPU=30</x:v>
      </x:c>
      <x:c r="L359" s="10" t="str"/>
      <x:c r="M359" s="10" t="str">
        <x:v>未测</x:v>
      </x:c>
      <x:c r="N359" s="10" t="str"/>
      <x:c r="O359" s="9" t="str">
        <x:v>1. 来源（当前证据）：liveshow-proto/MainBasis/统一需求文档.md；位置：第2967行、第2960行、第2961行
2. 规则：BR-1a170a96cdbf9e90
3. 未动态验证</x:v>
      </x:c>
    </x:row>
    <x:row r="360" ht="115" customHeight="1">
      <x:c r="A360" s="10" t="n">
        <x:v>359</x:v>
      </x:c>
      <x:c r="B360" s="10" t="str">
        <x:v>ADMIN-0359</x:v>
      </x:c>
      <x:c r="C360" s="10" t="str">
        <x:v>数据报表</x:v>
      </x:c>
      <x:c r="D360" s="10" t="str">
        <x:v>每日统计（平台管理员）</x:v>
      </x:c>
      <x:c r="E360" s="10" t="str">
        <x:v>功能需求</x:v>
      </x:c>
      <x:c r="F360" s="10" t="str">
        <x:v>P1</x:v>
      </x:c>
      <x:c r="G360" s="9" t="str">
        <x:v>验证活跃用户按打开App去重</x:v>
      </x:c>
      <x:c r="H360" s="9" t="str">
        <x:v>统计指标值</x:v>
      </x:c>
      <x:c r="I360" s="9" t="str">
        <x:v>1. 当前执行账号具有管理后台会话，身份为平台管理员；具体账号及权限变化按以下条件准备
2. 9月14日登录用户B启动2次、切回前台1次；C只切回前台1次；游客D启动1次，其他无事件</x:v>
      </x:c>
      <x:c r="J360" s="9" t="str">
        <x:v>1. 打开每日统计
2. 选择统计日期2026-09-14至2026-09-14
3. 点击“查询”</x:v>
      </x:c>
      <x:c r="K360" s="9" t="str">
        <x:v>活跃用户为2</x:v>
      </x:c>
      <x:c r="L360" s="10" t="str"/>
      <x:c r="M360" s="10" t="str">
        <x:v>未测</x:v>
      </x:c>
      <x:c r="N360" s="10" t="str"/>
      <x:c r="O360" s="9" t="str">
        <x:v>1. 来源（当前证据）：liveshow-proto/MainBasis/统一需求文档.md；位置：第2976行、第2973行、第2974行
2. 规则：BR-da03a5ce10b564c5
3. 未动态验证</x:v>
      </x:c>
    </x:row>
    <x:row r="361" ht="115" customHeight="1">
      <x:c r="A361" s="10" t="n">
        <x:v>360</x:v>
      </x:c>
      <x:c r="B361" s="10" t="str">
        <x:v>ADMIN-0360</x:v>
      </x:c>
      <x:c r="C361" s="10" t="str">
        <x:v>数据报表</x:v>
      </x:c>
      <x:c r="D361" s="10" t="str">
        <x:v>每日统计（平台管理员）</x:v>
      </x:c>
      <x:c r="E361" s="10" t="str">
        <x:v>逻辑校验</x:v>
      </x:c>
      <x:c r="F361" s="10" t="str">
        <x:v>P0</x:v>
      </x:c>
      <x:c r="G361" s="9" t="str">
        <x:v>验证成功充值金额和状态范围</x:v>
      </x:c>
      <x:c r="H361" s="9" t="str">
        <x:v>指标计算值</x:v>
      </x:c>
      <x:c r="I361" s="9" t="str">
        <x:v>1. 当前执行账号具有管理后台会话，身份为平台管理员；具体账号及权限变化按以下条件准备
2. 9月14日B成功订单10 USD和20 USD、C成功订单30 USD；D失败订单40 USD</x:v>
      </x:c>
      <x:c r="J361" s="9" t="str">
        <x:v>1. 打开每日统计
2. 选择统计日期2026-09-14至2026-09-14
3. 点击“查询”</x:v>
      </x:c>
      <x:c r="K361" s="9" t="str">
        <x:v>总充值金额=60</x:v>
      </x:c>
      <x:c r="L361" s="10" t="str"/>
      <x:c r="M361" s="10" t="str">
        <x:v>未测</x:v>
      </x:c>
      <x:c r="N361" s="10" t="str"/>
      <x:c r="O361" s="9" t="str">
        <x:v>1. 来源（当前证据）：liveshow-proto/MainBasis/统一需求文档.md；位置：第2977行、第2973行、第2974行
2. 规则：BR-e9acd83dbe0399bb
3. 未动态验证</x:v>
      </x:c>
    </x:row>
    <x:row r="362" ht="100" customHeight="1">
      <x:c r="A362" s="10" t="n">
        <x:v>361</x:v>
      </x:c>
      <x:c r="B362" s="10" t="str">
        <x:v>ADMIN-0361</x:v>
      </x:c>
      <x:c r="C362" s="10" t="str">
        <x:v>数据报表</x:v>
      </x:c>
      <x:c r="D362" s="10" t="str">
        <x:v>每日统计（平台管理员）</x:v>
      </x:c>
      <x:c r="E362" s="10" t="str">
        <x:v>功能需求</x:v>
      </x:c>
      <x:c r="F362" s="10" t="str">
        <x:v>P1</x:v>
      </x:c>
      <x:c r="G362" s="9" t="str">
        <x:v>验证新用户ARPU分母0</x:v>
      </x:c>
      <x:c r="H362" s="9" t="str">
        <x:v>统计指标值</x:v>
      </x:c>
      <x:c r="I362" s="9" t="str">
        <x:v>1. 当前执行账号具有管理后台会话，身份为平台管理员；具体账号及权限变化按以下条件准备
2. 9月14日没有新用户充值成功</x:v>
      </x:c>
      <x:c r="J362" s="9" t="str">
        <x:v>1. 打开每日统计
2. 选择统计日期2026-09-14至2026-09-14
3. 点击“查询”</x:v>
      </x:c>
      <x:c r="K362" s="9" t="str">
        <x:v>新用户ARPU显示0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来源（当前证据）：liveshow-proto/MainBasis/统一需求文档.md；位置：第2979行、第2973行、第2974行
2. 规则：BR-f69e7a2365dc40af
3. 未动态验证</x:v>
      </x:c>
    </x:row>
    <x:row r="363" ht="115" customHeight="1">
      <x:c r="A363" s="10" t="n">
        <x:v>362</x:v>
      </x:c>
      <x:c r="B363" s="10" t="str">
        <x:v>ADMIN-0362</x:v>
      </x:c>
      <x:c r="C363" s="10" t="str">
        <x:v>数据报表</x:v>
      </x:c>
      <x:c r="D363" s="10" t="str">
        <x:v>每日统计（平台管理员）</x:v>
      </x:c>
      <x:c r="E363" s="10" t="str">
        <x:v>逻辑校验</x:v>
      </x:c>
      <x:c r="F363" s="10" t="str">
        <x:v>P1</x:v>
      </x:c>
      <x:c r="G363" s="9" t="str">
        <x:v>验证新用户ARPU分母2</x:v>
      </x:c>
      <x:c r="H363" s="9" t="str">
        <x:v>指标计算值</x:v>
      </x:c>
      <x:c r="I363" s="9" t="str">
        <x:v>1. 当前执行账号具有管理后台会话，身份为平台管理员；具体账号及权限变化按以下条件准备
2. 9月14日注册新用户B和C；B当天成功充值10 USD和20 USD，C充值30 USD</x:v>
      </x:c>
      <x:c r="J363" s="9" t="str">
        <x:v>1. 打开每日统计
2. 选择统计日期2026-09-14至2026-09-14
3. 点击“查询”</x:v>
      </x:c>
      <x:c r="K363" s="9" t="str">
        <x:v>新用户ARPU=30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来源（当前证据）：liveshow-proto/MainBasis/统一需求文档.md；位置：第2979行、第2973行、第2974行
2. 规则：BR-e84e75e8ff3172c7
3. 未动态验证</x:v>
      </x:c>
    </x:row>
    <x:row r="364" ht="115" customHeight="1">
      <x:c r="A364" s="10" t="n">
        <x:v>363</x:v>
      </x:c>
      <x:c r="B364" s="10" t="str">
        <x:v>ADMIN-0363</x:v>
      </x:c>
      <x:c r="C364" s="10" t="str">
        <x:v>数据报表</x:v>
      </x:c>
      <x:c r="D364" s="10" t="str">
        <x:v>数据概览（平台管理员）</x:v>
      </x:c>
      <x:c r="E364" s="10" t="str">
        <x:v>功能需求</x:v>
      </x:c>
      <x:c r="F364" s="10" t="str">
        <x:v>P0</x:v>
      </x:c>
      <x:c r="G364" s="9" t="str">
        <x:v>验证范围内充值人数按日相加</x:v>
      </x:c>
      <x:c r="H364" s="9" t="str">
        <x:v>统计指标值</x:v>
      </x:c>
      <x:c r="I364" s="9" t="str">
        <x:v>1. 当前执行账号具有管理后台会话，身份为平台管理员；具体账号及权限变化按以下条件准备
2. B在9月14日与15日分别成功充值一次；C在15日成功充值一次</x:v>
      </x:c>
      <x:c r="J364" s="9" t="str">
        <x:v>1. 打开数据概览
2. 选择统计日期2026-09-14至2026-09-14
3. 点击“查询”</x:v>
      </x:c>
      <x:c r="K364" s="9" t="str">
        <x:v>9月14日单日充值人数为1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来源（当前证据）：liveshow-proto/MainBasis/统一需求文档.md；位置：第2965行、第2960行、第2961行
2. 规则：BR-012fdd3396bc9885
3. 未动态验证</x:v>
      </x:c>
    </x:row>
    <x:row r="365" ht="115" customHeight="1">
      <x:c r="A365" s="10" t="n">
        <x:v>364</x:v>
      </x:c>
      <x:c r="B365" s="10" t="str">
        <x:v>ADMIN-0364</x:v>
      </x:c>
      <x:c r="C365" s="10" t="str">
        <x:v>数据报表</x:v>
      </x:c>
      <x:c r="D365" s="10" t="str">
        <x:v>数据概览（平台管理员）</x:v>
      </x:c>
      <x:c r="E365" s="10" t="str">
        <x:v>功能需求</x:v>
      </x:c>
      <x:c r="F365" s="10" t="str">
        <x:v>P0</x:v>
      </x:c>
      <x:c r="G365" s="9" t="str">
        <x:v>验证跨日充值人数不再次去重</x:v>
      </x:c>
      <x:c r="H365" s="9" t="str">
        <x:v>按日人次汇总</x:v>
      </x:c>
      <x:c r="I365" s="9" t="str">
        <x:v>1. 当前执行账号具有管理后台会话，身份为平台管理员；具体账号及权限变化按以下条件准备
2. B在9月14日与15日分别成功充值一次；C在15日成功充值一次</x:v>
      </x:c>
      <x:c r="J365" s="9" t="str">
        <x:v>1. 打开数据概览
2. 选择统计日期2026-09-14至2026-09-15
3. 点击“查询”</x:v>
      </x:c>
      <x:c r="K365" s="9" t="str">
        <x:v>总充值人数为3</x:v>
      </x:c>
      <x:c r="L365" s="10" t="str"/>
      <x:c r="M365" s="10" t="str">
        <x:v>未测</x:v>
      </x:c>
      <x:c r="N365" s="10" t="str"/>
      <x:c r="O365" s="9" t="str">
        <x:v>1. 来源（当前证据）：liveshow-proto/MainBasis/统一需求文档.md；位置：第2965行、第2960行、第2961行
2. 规则：BR-c91784789e21bfa2
3. 未动态验证</x:v>
      </x:c>
    </x:row>
    <x:row r="366" ht="100" customHeight="1">
      <x:c r="A366" s="10" t="n">
        <x:v>365</x:v>
      </x:c>
      <x:c r="B366" s="10" t="str">
        <x:v>ADMIN-0365</x:v>
      </x:c>
      <x:c r="C366" s="10" t="str">
        <x:v>数据报表</x:v>
      </x:c>
      <x:c r="D366" s="10" t="str">
        <x:v>数据概览（平台管理员）</x:v>
      </x:c>
      <x:c r="E366" s="10" t="str">
        <x:v>功能需求</x:v>
      </x:c>
      <x:c r="F366" s="10" t="str">
        <x:v>P1</x:v>
      </x:c>
      <x:c r="G366" s="9" t="str">
        <x:v>验证趋势点日期指标值</x:v>
      </x:c>
      <x:c r="H366" s="9" t="str">
        <x:v>趋势点信息</x:v>
      </x:c>
      <x:c r="I366" s="9" t="str">
        <x:v>1. 当前执行账号具有管理后台会话，身份为平台管理员；具体账号及权限变化按以下条件准备
2. 9月14日新增用户2人，9月15日新增用户3人</x:v>
      </x:c>
      <x:c r="J366" s="9" t="str">
        <x:v>1. 打开数据概览
2. 选择统计日期2026-09-14至2026-09-15
3. 点击“查询”
4. 点击新增用户指标卡
5. 点击9月15日的数据点</x:v>
      </x:c>
      <x:c r="K366" s="9" t="str">
        <x:v>数据点显示9月15日新增用户3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来源（当前证据）：liveshow-proto/MainBasis/统一需求文档.md；位置：第2962行、第2960行、第2961行
2. 规则：BR-d9e16b1233ab65bf
3. 未动态验证</x:v>
      </x:c>
    </x:row>
    <x:row r="367" ht="100" customHeight="1">
      <x:c r="A367" s="10" t="n">
        <x:v>366</x:v>
      </x:c>
      <x:c r="B367" s="10" t="str">
        <x:v>ADMIN-0366</x:v>
      </x:c>
      <x:c r="C367" s="10" t="str">
        <x:v>数据报表</x:v>
      </x:c>
      <x:c r="D367" s="10" t="str">
        <x:v>每日统计（平台管理员）</x:v>
      </x:c>
      <x:c r="E367" s="10" t="str">
        <x:v>功能需求</x:v>
      </x:c>
      <x:c r="F367" s="10" t="str">
        <x:v>P1</x:v>
      </x:c>
      <x:c r="G367" s="9" t="str">
        <x:v>验证有效天累计179分钟</x:v>
      </x:c>
      <x:c r="H367" s="9" t="str">
        <x:v>报表结果范围</x:v>
      </x:c>
      <x:c r="I367" s="9" t="str">
        <x:v>1. 当前执行账号具有管理后台会话，身份为平台管理员；具体账号及权限变化按以下条件准备
2. 仅主播B于9月14日有两场有效直播，累计179分钟</x:v>
      </x:c>
      <x:c r="J367" s="9" t="str">
        <x:v>1. 打开每日统计
2. 选择统计日期2026-09-14至2026-09-14
3. 点击“查询”</x:v>
      </x:c>
      <x:c r="K367" s="9" t="str">
        <x:v>达成有效天主播为0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来源（当前证据）：liveshow-proto/MainBasis/统一需求文档.md；位置：第2981行、第2973行、第2974行
2. 规则：BR-b05d8660102e7141
3. 未动态验证</x:v>
      </x:c>
    </x:row>
    <x:row r="368" ht="100" customHeight="1">
      <x:c r="A368" s="10" t="n">
        <x:v>367</x:v>
      </x:c>
      <x:c r="B368" s="10" t="str">
        <x:v>ADMIN-0367</x:v>
      </x:c>
      <x:c r="C368" s="10" t="str">
        <x:v>数据报表</x:v>
      </x:c>
      <x:c r="D368" s="10" t="str">
        <x:v>每日统计（平台管理员）</x:v>
      </x:c>
      <x:c r="E368" s="10" t="str">
        <x:v>功能需求</x:v>
      </x:c>
      <x:c r="F368" s="10" t="str">
        <x:v>P1</x:v>
      </x:c>
      <x:c r="G368" s="9" t="str">
        <x:v>验证有效天累计180分钟</x:v>
      </x:c>
      <x:c r="H368" s="9" t="str">
        <x:v>报表结果范围</x:v>
      </x:c>
      <x:c r="I368" s="9" t="str">
        <x:v>1. 当前执行账号具有管理后台会话，身份为平台管理员；具体账号及权限变化按以下条件准备
2. 仅主播B于9月14日有两场有效直播，累计180分钟</x:v>
      </x:c>
      <x:c r="J368" s="9" t="str">
        <x:v>1. 打开每日统计
2. 选择统计日期2026-09-14至2026-09-14
3. 点击“查询”</x:v>
      </x:c>
      <x:c r="K368" s="9" t="str">
        <x:v>达成有效天主播为1</x:v>
      </x:c>
      <x:c r="L368" s="10" t="str"/>
      <x:c r="M368" s="10" t="str">
        <x:v>未测</x:v>
      </x:c>
      <x:c r="N368" s="10" t="str"/>
      <x:c r="O368" s="9" t="str">
        <x:v>1. 来源（当前证据）：liveshow-proto/MainBasis/统一需求文档.md；位置：第2981行、第2973行、第2974行
2. 规则：BR-7c660b11b4cc9d8c
3. 未动态验证</x:v>
      </x:c>
    </x:row>
    <x:row r="369" ht="100" customHeight="1">
      <x:c r="A369" s="10" t="n">
        <x:v>368</x:v>
      </x:c>
      <x:c r="B369" s="10" t="str">
        <x:v>ADMIN-0368</x:v>
      </x:c>
      <x:c r="C369" s="10" t="str">
        <x:v>数据报表</x:v>
      </x:c>
      <x:c r="D369" s="10" t="str">
        <x:v>每日统计（平台管理员）</x:v>
      </x:c>
      <x:c r="E369" s="10" t="str">
        <x:v>功能需求</x:v>
      </x:c>
      <x:c r="F369" s="10" t="str">
        <x:v>P1</x:v>
      </x:c>
      <x:c r="G369" s="9" t="str">
        <x:v>验证有效天累计181分钟</x:v>
      </x:c>
      <x:c r="H369" s="9" t="str">
        <x:v>报表结果范围</x:v>
      </x:c>
      <x:c r="I369" s="9" t="str">
        <x:v>1. 当前执行账号具有管理后台会话，身份为平台管理员；具体账号及权限变化按以下条件准备
2. 仅主播B于9月14日有两场有效直播，累计181分钟</x:v>
      </x:c>
      <x:c r="J369" s="9" t="str">
        <x:v>1. 打开每日统计
2. 选择统计日期2026-09-14至2026-09-14
3. 点击“查询”</x:v>
      </x:c>
      <x:c r="K369" s="9" t="str">
        <x:v>达成有效天主播为1</x:v>
      </x:c>
      <x:c r="L369" s="10" t="str"/>
      <x:c r="M369" s="10" t="str">
        <x:v>未测</x:v>
      </x:c>
      <x:c r="N369" s="10" t="str"/>
      <x:c r="O369" s="9" t="str">
        <x:v>1. 来源（当前证据）：liveshow-proto/MainBasis/统一需求文档.md；位置：第2981行、第2973行、第2974行
2. 规则：BR-dd44d2b63ea8d3a2
3. 未动态验证</x:v>
      </x:c>
    </x:row>
    <x:row r="370" ht="100" customHeight="1">
      <x:c r="A370" s="10" t="n">
        <x:v>369</x:v>
      </x:c>
      <x:c r="B370" s="10" t="str">
        <x:v>ADMIN-0369</x:v>
      </x:c>
      <x:c r="C370" s="10" t="str">
        <x:v>数据报表</x:v>
      </x:c>
      <x:c r="D370" s="10" t="str">
        <x:v>每日统计（平台管理员）</x:v>
      </x:c>
      <x:c r="E370" s="10" t="str">
        <x:v>功能需求</x:v>
      </x:c>
      <x:c r="F370" s="10" t="str">
        <x:v>P1</x:v>
      </x:c>
      <x:c r="G370" s="9" t="str">
        <x:v>验证直播时长0场中位数</x:v>
      </x:c>
      <x:c r="H370" s="9" t="str">
        <x:v>统计指标值</x:v>
      </x:c>
      <x:c r="I370" s="9" t="str">
        <x:v>1. 当前执行账号具有管理后台会话，身份为平台管理员；具体账号及权限变化按以下条件准备
2. 9月14日有效场次时长（分钟）为无数据</x:v>
      </x:c>
      <x:c r="J370" s="9" t="str">
        <x:v>1. 打开每日统计
2. 选择统计日期2026-09-14至2026-09-14
3. 点击“查询”</x:v>
      </x:c>
      <x:c r="K370" s="9" t="str">
        <x:v>开播时长中位数为0分钟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来源（当前证据）：liveshow-proto/MainBasis/统一需求文档.md；位置：第2982行、第2973行、第2974行
2. 规则：BR-063a909c47986a34
3. 未动态验证</x:v>
      </x:c>
    </x:row>
    <x:row r="371" ht="100" customHeight="1">
      <x:c r="A371" s="10" t="n">
        <x:v>370</x:v>
      </x:c>
      <x:c r="B371" s="10" t="str">
        <x:v>ADMIN-0370</x:v>
      </x:c>
      <x:c r="C371" s="10" t="str">
        <x:v>数据报表</x:v>
      </x:c>
      <x:c r="D371" s="10" t="str">
        <x:v>每日统计（平台管理员）</x:v>
      </x:c>
      <x:c r="E371" s="10" t="str">
        <x:v>功能需求</x:v>
      </x:c>
      <x:c r="F371" s="10" t="str">
        <x:v>P1</x:v>
      </x:c>
      <x:c r="G371" s="9" t="str">
        <x:v>验证直播时长3场中位数</x:v>
      </x:c>
      <x:c r="H371" s="9" t="str">
        <x:v>统计指标值</x:v>
      </x:c>
      <x:c r="I371" s="9" t="str">
        <x:v>1. 当前执行账号具有管理后台会话，身份为平台管理员；具体账号及权限变化按以下条件准备
2. 9月14日有效场次时长（分钟）为10、20、30</x:v>
      </x:c>
      <x:c r="J371" s="9" t="str">
        <x:v>1. 打开每日统计
2. 选择统计日期2026-09-14至2026-09-14
3. 点击“查询”</x:v>
      </x:c>
      <x:c r="K371" s="9" t="str">
        <x:v>开播时长中位数为20分钟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来源（当前证据）：liveshow-proto/MainBasis/统一需求文档.md；位置：第2982行、第2973行、第2974行
2. 规则：BR-850593c271c08532
3. 未动态验证</x:v>
      </x:c>
    </x:row>
    <x:row r="372" ht="100" customHeight="1">
      <x:c r="A372" s="10" t="n">
        <x:v>371</x:v>
      </x:c>
      <x:c r="B372" s="10" t="str">
        <x:v>ADMIN-0371</x:v>
      </x:c>
      <x:c r="C372" s="10" t="str">
        <x:v>数据报表</x:v>
      </x:c>
      <x:c r="D372" s="10" t="str">
        <x:v>每日统计（平台管理员）</x:v>
      </x:c>
      <x:c r="E372" s="10" t="str">
        <x:v>功能需求</x:v>
      </x:c>
      <x:c r="F372" s="10" t="str">
        <x:v>P1</x:v>
      </x:c>
      <x:c r="G372" s="9" t="str">
        <x:v>验证直播时长4场中位数</x:v>
      </x:c>
      <x:c r="H372" s="9" t="str">
        <x:v>统计指标值</x:v>
      </x:c>
      <x:c r="I372" s="9" t="str">
        <x:v>1. 当前执行账号具有管理后台会话，身份为平台管理员；具体账号及权限变化按以下条件准备
2. 9月14日有效场次时长（分钟）为10、20、30、40</x:v>
      </x:c>
      <x:c r="J372" s="9" t="str">
        <x:v>1. 打开每日统计
2. 选择统计日期2026-09-14至2026-09-14
3. 点击“查询”</x:v>
      </x:c>
      <x:c r="K372" s="9" t="str">
        <x:v>开播时长中位数为25分钟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来源（当前证据）：liveshow-proto/MainBasis/统一需求文档.md；位置：第2982行、第2973行、第2974行
2. 规则：BR-a2f78df42edb2610
3. 未动态验证</x:v>
      </x:c>
    </x:row>
    <x:row r="373" ht="130" customHeight="1">
      <x:c r="A373" s="10" t="n">
        <x:v>372</x:v>
      </x:c>
      <x:c r="B373" s="10" t="str">
        <x:v>ADMIN-0372</x:v>
      </x:c>
      <x:c r="C373" s="10" t="str">
        <x:v>数据报表</x:v>
      </x:c>
      <x:c r="D373" s="10" t="str">
        <x:v>每日统计（平台管理员）</x:v>
      </x:c>
      <x:c r="E373" s="10" t="str">
        <x:v>逻辑校验</x:v>
      </x:c>
      <x:c r="F373" s="10" t="str">
        <x:v>P0</x:v>
      </x:c>
      <x:c r="G373" s="9" t="str">
        <x:v>验证跨日退款归完成日</x:v>
      </x:c>
      <x:c r="H373" s="9" t="str">
        <x:v>指标计算值</x:v>
      </x:c>
      <x:c r="I373" s="9" t="str">
        <x:v>1. 当前执行账号具有管理后台会话，身份为平台管理员；具体账号及权限变化按以下条件准备
2. 订单原支付日9月12日；平台主动退款A 10 USD、渠道退款B 20 USD均于9月14日完成；C 30 USD于9月15日完成</x:v>
      </x:c>
      <x:c r="J373" s="9" t="str">
        <x:v>1. 打开每日统计
2. 选择统计日期2026-09-14至2026-09-14
3. 点击“查询”</x:v>
      </x:c>
      <x:c r="K373" s="9" t="str">
        <x:v>9月14日退款金额=30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来源（当前证据）：liveshow-proto/MainBasis/统一需求文档.md；位置：第2984行、第2973行、第2974行
2. 规则：BR-478748b8891833fc
3. 未动态验证</x:v>
      </x:c>
    </x:row>
    <x:row r="374" ht="115" customHeight="1">
      <x:c r="A374" s="10" t="n">
        <x:v>373</x:v>
      </x:c>
      <x:c r="B374" s="10" t="str">
        <x:v>ADMIN-0373</x:v>
      </x:c>
      <x:c r="C374" s="10" t="str">
        <x:v>数据报表</x:v>
      </x:c>
      <x:c r="D374" s="10" t="str">
        <x:v>用户活跃汇总（每日）（平台管理员）</x:v>
      </x:c>
      <x:c r="E374" s="10" t="str">
        <x:v>功能需求</x:v>
      </x:c>
      <x:c r="F374" s="10" t="str">
        <x:v>P1</x:v>
      </x:c>
      <x:c r="G374" s="9" t="str">
        <x:v>验证登录用户与仅打开App区分</x:v>
      </x:c>
      <x:c r="H374" s="9" t="str">
        <x:v>统计指标值</x:v>
      </x:c>
      <x:c r="I374" s="9" t="str">
        <x:v>1. 当前执行账号具有管理后台会话，身份为平台管理员；具体账号及权限变化按以下条件准备
2. 9月14日B成功登录两次；C只打开已有会话的App但没有成功登录事件</x:v>
      </x:c>
      <x:c r="J374" s="9" t="str">
        <x:v>1. 打开用户活跃汇总（每日）
2. 选择统计日期2026-09-14至2026-09-14
3. 点击“查询”</x:v>
      </x:c>
      <x:c r="K374" s="9" t="str">
        <x:v>登录用户为1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来源（当前证据）：liveshow-proto/MainBasis/统一需求文档.md；位置：第2991行、第2988行、第2989行
2. 规则：BR-ed8b35c5058e452f
3. 未动态验证</x:v>
      </x:c>
    </x:row>
    <x:row r="375" ht="115" customHeight="1">
      <x:c r="A375" s="10" t="n">
        <x:v>374</x:v>
      </x:c>
      <x:c r="B375" s="10" t="str">
        <x:v>ADMIN-0374</x:v>
      </x:c>
      <x:c r="C375" s="10" t="str">
        <x:v>数据报表</x:v>
      </x:c>
      <x:c r="D375" s="10" t="str">
        <x:v>用户活跃汇总（每日）（平台管理员）</x:v>
      </x:c>
      <x:c r="E375" s="10" t="str">
        <x:v>逻辑校验</x:v>
      </x:c>
      <x:c r="F375" s="10" t="str">
        <x:v>P1</x:v>
      </x:c>
      <x:c r="G375" s="9" t="str">
        <x:v>验证登录新老用户分层</x:v>
      </x:c>
      <x:c r="H375" s="9" t="str">
        <x:v>指标计算值</x:v>
      </x:c>
      <x:c r="I375" s="9" t="str">
        <x:v>1. 当前执行账号具有管理后台会话，身份为平台管理员；具体账号及权限变化按以下条件准备
2. 9月14日新注册并登录B、C；9月13日注册且14日登录D；当天注册未登录E</x:v>
      </x:c>
      <x:c r="J375" s="9" t="str">
        <x:v>1. 打开用户活跃汇总（每日）
2. 选择统计日期2026-09-14至2026-09-14
3. 点击“查询”</x:v>
      </x:c>
      <x:c r="K375" s="9" t="str">
        <x:v>登录用户=3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来源（当前证据）：liveshow-proto/MainBasis/统一需求文档.md；位置：第2993行、第2988行、第2989行
2. 规则：BR-1dbb78bc17285295
3. 未动态验证</x:v>
      </x:c>
    </x:row>
    <x:row r="376" ht="100" customHeight="1">
      <x:c r="A376" s="10" t="n">
        <x:v>375</x:v>
      </x:c>
      <x:c r="B376" s="10" t="str">
        <x:v>ADMIN-0375</x:v>
      </x:c>
      <x:c r="C376" s="10" t="str">
        <x:v>数据报表</x:v>
      </x:c>
      <x:c r="D376" s="10" t="str">
        <x:v>主播活跃汇总（每日）（平台管理员）</x:v>
      </x:c>
      <x:c r="E376" s="10" t="str">
        <x:v>功能需求</x:v>
      </x:c>
      <x:c r="F376" s="10" t="str">
        <x:v>P1</x:v>
      </x:c>
      <x:c r="G376" s="9" t="str">
        <x:v>验证开播率分母0</x:v>
      </x:c>
      <x:c r="H376" s="9" t="str">
        <x:v>统计指标值</x:v>
      </x:c>
      <x:c r="I376" s="9" t="str">
        <x:v>1. 当前执行账号具有管理后台会话，身份为平台管理员；具体账号及权限变化按以下条件准备
2. 9月14日无有效主播、无开播</x:v>
      </x:c>
      <x:c r="J376" s="9" t="str">
        <x:v>1. 打开主播活跃汇总（每日）
2. 选择统计日期2026-09-14至2026-09-14
3. 点击“查询”</x:v>
      </x:c>
      <x:c r="K376" s="9" t="str">
        <x:v>开播率显示0%</x:v>
      </x:c>
      <x:c r="L376" s="10" t="str"/>
      <x:c r="M376" s="10" t="str">
        <x:v>未测</x:v>
      </x:c>
      <x:c r="N376" s="10" t="str"/>
      <x:c r="O376" s="9" t="str">
        <x:v>1. 来源（当前证据）：liveshow-proto/MainBasis/统一需求文档.md；位置：第3003行、第2998行、第2999行
2. 规则：BR-1a29f736f8acfb34
3. 未动态验证</x:v>
      </x:c>
    </x:row>
    <x:row r="377" ht="100" customHeight="1">
      <x:c r="A377" s="10" t="n">
        <x:v>376</x:v>
      </x:c>
      <x:c r="B377" s="10" t="str">
        <x:v>ADMIN-0376</x:v>
      </x:c>
      <x:c r="C377" s="10" t="str">
        <x:v>数据报表</x:v>
      </x:c>
      <x:c r="D377" s="10" t="str">
        <x:v>主播活跃汇总（每日）（平台管理员）</x:v>
      </x:c>
      <x:c r="E377" s="10" t="str">
        <x:v>功能需求</x:v>
      </x:c>
      <x:c r="F377" s="10" t="str">
        <x:v>P1</x:v>
      </x:c>
      <x:c r="G377" s="9" t="str">
        <x:v>验证开播率分母4</x:v>
      </x:c>
      <x:c r="H377" s="9" t="str">
        <x:v>统计指标值</x:v>
      </x:c>
      <x:c r="I377" s="9" t="str">
        <x:v>1. 当前执行账号具有管理后台会话，身份为平台管理员；具体账号及权限变化按以下条件准备
2. 9月14日有效主播总数4，B开播2场、C开播1场</x:v>
      </x:c>
      <x:c r="J377" s="9" t="str">
        <x:v>1. 打开主播活跃汇总（每日）
2. 选择统计日期2026-09-14至2026-09-14
3. 点击“查询”</x:v>
      </x:c>
      <x:c r="K377" s="9" t="str">
        <x:v>开播率显示50%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来源（当前证据）：liveshow-proto/MainBasis/统一需求文档.md；位置：第3003行、第2998行、第2999行
2. 规则：BR-c038e9df60ed36e5
3. 未动态验证</x:v>
      </x:c>
    </x:row>
    <x:row r="378" ht="100" customHeight="1">
      <x:c r="A378" s="10" t="n">
        <x:v>377</x:v>
      </x:c>
      <x:c r="B378" s="10" t="str">
        <x:v>ADMIN-0377</x:v>
      </x:c>
      <x:c r="C378" s="10" t="str">
        <x:v>数据报表</x:v>
      </x:c>
      <x:c r="D378" s="10" t="str">
        <x:v>主播活跃汇总（每日）（平台管理员）</x:v>
      </x:c>
      <x:c r="E378" s="10" t="str">
        <x:v>功能需求</x:v>
      </x:c>
      <x:c r="F378" s="10" t="str">
        <x:v>P1</x:v>
      </x:c>
      <x:c r="G378" s="9" t="str">
        <x:v>验证重复连麦不重复计场次</x:v>
      </x:c>
      <x:c r="H378" s="9" t="str">
        <x:v>报表结果范围</x:v>
      </x:c>
      <x:c r="I378" s="9" t="str">
        <x:v>1. 当前执行账号具有管理后台会话，身份为平台管理员；具体账号及权限变化按以下条件准备
2. 9月14日场次A有效连麦2次，场次B一次，场次C无连麦</x:v>
      </x:c>
      <x:c r="J378" s="9" t="str">
        <x:v>1. 打开主播活跃汇总（每日）
2. 选择统计日期2026-09-14至2026-09-14
3. 点击“查询”</x:v>
      </x:c>
      <x:c r="K378" s="9" t="str">
        <x:v>连麦场次为2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来源（当前证据）：liveshow-proto/MainBasis/统一需求文档.md；位置：第3006行、第2998行、第2999行
2. 规则：BR-bf7f6d12fabccd17
3. 未动态验证</x:v>
      </x:c>
    </x:row>
    <x:row r="379" ht="100" customHeight="1">
      <x:c r="A379" s="10" t="n">
        <x:v>378</x:v>
      </x:c>
      <x:c r="B379" s="10" t="str">
        <x:v>ADMIN-0378</x:v>
      </x:c>
      <x:c r="C379" s="10" t="str">
        <x:v>数据报表</x:v>
      </x:c>
      <x:c r="D379" s="10" t="str">
        <x:v>主播活跃汇总（每日）（平台管理员）</x:v>
      </x:c>
      <x:c r="E379" s="10" t="str">
        <x:v>功能需求</x:v>
      </x:c>
      <x:c r="F379" s="10" t="str">
        <x:v>P1</x:v>
      </x:c>
      <x:c r="G379" s="9" t="str">
        <x:v>验证未确认违规不计主播违规</x:v>
      </x:c>
      <x:c r="H379" s="9" t="str">
        <x:v>报表结果范围</x:v>
      </x:c>
      <x:c r="I379" s="9" t="str">
        <x:v>1. 当前执行账号具有管理后台会话，身份为平台管理员；具体账号及权限变化按以下条件准备
2. 9月14日主播B的两个场次确认违规；C仅有未处理举报</x:v>
      </x:c>
      <x:c r="J379" s="9" t="str">
        <x:v>1. 打开主播活跃汇总（每日）
2. 选择统计日期2026-09-14至2026-09-14
3. 点击“查询”</x:v>
      </x:c>
      <x:c r="K379" s="9" t="str">
        <x:v>违规主播为1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来源（当前证据）：liveshow-proto/MainBasis/统一需求文档.md；位置：第3007行、第2998行、第2999行
2. 规则：BR-c4add4ac9c86516c
3. 未动态验证</x:v>
      </x:c>
    </x:row>
    <x:row r="380" ht="100" customHeight="1">
      <x:c r="A380" s="10" t="n">
        <x:v>379</x:v>
      </x:c>
      <x:c r="B380" s="10" t="str">
        <x:v>ADMIN-0379</x:v>
      </x:c>
      <x:c r="C380" s="10" t="str">
        <x:v>数据报表</x:v>
      </x:c>
      <x:c r="D380" s="10" t="str">
        <x:v>直播间互动汇总（每日）（平台管理员）</x:v>
      </x:c>
      <x:c r="E380" s="10" t="str">
        <x:v>功能需求</x:v>
      </x:c>
      <x:c r="F380" s="10" t="str">
        <x:v>P1</x:v>
      </x:c>
      <x:c r="G380" s="9" t="str">
        <x:v>验证观看时长29秒取整</x:v>
      </x:c>
      <x:c r="H380" s="9" t="str">
        <x:v>报表结果范围</x:v>
      </x:c>
      <x:c r="I380" s="9" t="str">
        <x:v>1. 当前执行账号具有管理后台会话，身份为平台管理员；具体账号及权限变化按以下条件准备
2. 9月14日有效观看时长总计29秒，真实观众1人</x:v>
      </x:c>
      <x:c r="J380" s="9" t="str">
        <x:v>1. 打开直播间互动汇总（每日）
2. 选择统计日期2026-09-14至2026-09-14
3. 点击“查询”</x:v>
      </x:c>
      <x:c r="K380" s="9" t="str">
        <x:v>观看时长为0分钟</x:v>
      </x:c>
      <x:c r="L380" s="10" t="str"/>
      <x:c r="M380" s="10" t="str">
        <x:v>未测</x:v>
      </x:c>
      <x:c r="N380" s="10" t="str"/>
      <x:c r="O380" s="9" t="str">
        <x:v>1. 来源（当前证据）：liveshow-proto/MainBasis/统一需求文档.md；位置：第3014行、第3010行、第3011行
2. 规则：BR-21c4a81eefb5165d
3. 未动态验证</x:v>
      </x:c>
    </x:row>
    <x:row r="381" ht="100" customHeight="1">
      <x:c r="A381" s="10" t="n">
        <x:v>380</x:v>
      </x:c>
      <x:c r="B381" s="10" t="str">
        <x:v>ADMIN-0380</x:v>
      </x:c>
      <x:c r="C381" s="10" t="str">
        <x:v>数据报表</x:v>
      </x:c>
      <x:c r="D381" s="10" t="str">
        <x:v>直播间互动汇总（每日）（平台管理员）</x:v>
      </x:c>
      <x:c r="E381" s="10" t="str">
        <x:v>功能需求</x:v>
      </x:c>
      <x:c r="F381" s="10" t="str">
        <x:v>P1</x:v>
      </x:c>
      <x:c r="G381" s="9" t="str">
        <x:v>验证观看时长30秒取整</x:v>
      </x:c>
      <x:c r="H381" s="9" t="str">
        <x:v>报表结果范围</x:v>
      </x:c>
      <x:c r="I381" s="9" t="str">
        <x:v>1. 当前执行账号具有管理后台会话，身份为平台管理员；具体账号及权限变化按以下条件准备
2. 9月14日有效观看时长总计30秒，真实观众1人</x:v>
      </x:c>
      <x:c r="J381" s="9" t="str">
        <x:v>1. 打开直播间互动汇总（每日）
2. 选择统计日期2026-09-14至2026-09-14
3. 点击“查询”</x:v>
      </x:c>
      <x:c r="K381" s="9" t="str">
        <x:v>观看时长为1分钟</x:v>
      </x:c>
      <x:c r="L381" s="10" t="str"/>
      <x:c r="M381" s="10" t="str">
        <x:v>未测</x:v>
      </x:c>
      <x:c r="N381" s="10" t="str"/>
      <x:c r="O381" s="9" t="str">
        <x:v>1. 来源（当前证据）：liveshow-proto/MainBasis/统一需求文档.md；位置：第3014行、第3010行、第3011行
2. 规则：BR-40ed2b96ce193fb1
3. 未动态验证</x:v>
      </x:c>
    </x:row>
    <x:row r="382" ht="100" customHeight="1">
      <x:c r="A382" s="10" t="n">
        <x:v>381</x:v>
      </x:c>
      <x:c r="B382" s="10" t="str">
        <x:v>ADMIN-0381</x:v>
      </x:c>
      <x:c r="C382" s="10" t="str">
        <x:v>数据报表</x:v>
      </x:c>
      <x:c r="D382" s="10" t="str">
        <x:v>直播间互动汇总（每日）（平台管理员）</x:v>
      </x:c>
      <x:c r="E382" s="10" t="str">
        <x:v>功能需求</x:v>
      </x:c>
      <x:c r="F382" s="10" t="str">
        <x:v>P1</x:v>
      </x:c>
      <x:c r="G382" s="9" t="str">
        <x:v>验证观看时长31秒取整</x:v>
      </x:c>
      <x:c r="H382" s="9" t="str">
        <x:v>报表结果范围</x:v>
      </x:c>
      <x:c r="I382" s="9" t="str">
        <x:v>1. 当前执行账号具有管理后台会话，身份为平台管理员；具体账号及权限变化按以下条件准备
2. 9月14日有效观看时长总计31秒，真实观众1人</x:v>
      </x:c>
      <x:c r="J382" s="9" t="str">
        <x:v>1. 打开直播间互动汇总（每日）
2. 选择统计日期2026-09-14至2026-09-14
3. 点击“查询”</x:v>
      </x:c>
      <x:c r="K382" s="9" t="str">
        <x:v>观看时长为1分钟</x:v>
      </x:c>
      <x:c r="L382" s="10" t="str"/>
      <x:c r="M382" s="10" t="str">
        <x:v>未测</x:v>
      </x:c>
      <x:c r="N382" s="10" t="str"/>
      <x:c r="O382" s="9" t="str">
        <x:v>1. 来源（当前证据）：liveshow-proto/MainBasis/统一需求文档.md；位置：第3014行、第3010行、第3011行
2. 规则：BR-dd453d24c20cf40b
3. 未动态验证</x:v>
      </x:c>
    </x:row>
    <x:row r="383" ht="100" customHeight="1">
      <x:c r="A383" s="10" t="n">
        <x:v>382</x:v>
      </x:c>
      <x:c r="B383" s="10" t="str">
        <x:v>ADMIN-0382</x:v>
      </x:c>
      <x:c r="C383" s="10" t="str">
        <x:v>数据报表</x:v>
      </x:c>
      <x:c r="D383" s="10" t="str">
        <x:v>直播间互动汇总（每日）（平台管理员）</x:v>
      </x:c>
      <x:c r="E383" s="10" t="str">
        <x:v>功能需求</x:v>
      </x:c>
      <x:c r="F383" s="10" t="str">
        <x:v>P1</x:v>
      </x:c>
      <x:c r="G383" s="9" t="str">
        <x:v>验证人均观看分母0</x:v>
      </x:c>
      <x:c r="H383" s="9" t="str">
        <x:v>报表结果范围</x:v>
      </x:c>
      <x:c r="I383" s="9" t="str">
        <x:v>1. 当前执行账号具有管理后台会话，身份为平台管理员；具体账号及权限变化按以下条件准备
2. 9月14日无观众、无观看时长</x:v>
      </x:c>
      <x:c r="J383" s="9" t="str">
        <x:v>1. 打开直播间互动汇总（每日）
2. 选择统计日期2026-09-14至2026-09-14
3. 点击“查询”</x:v>
      </x:c>
      <x:c r="K383" s="9" t="str">
        <x:v>人均观看时长为0分钟</x:v>
      </x:c>
      <x:c r="L383" s="10" t="str"/>
      <x:c r="M383" s="10" t="str">
        <x:v>未测</x:v>
      </x:c>
      <x:c r="N383" s="10" t="str"/>
      <x:c r="O383" s="9" t="str">
        <x:v>1. 来源（当前证据）：liveshow-proto/MainBasis/统一需求文档.md；位置：第3015行、第3010行、第3011行
2. 规则：BR-f78d612115d567ea
3. 未动态验证</x:v>
      </x:c>
    </x:row>
    <x:row r="384" ht="100" customHeight="1">
      <x:c r="A384" s="10" t="n">
        <x:v>383</x:v>
      </x:c>
      <x:c r="B384" s="10" t="str">
        <x:v>ADMIN-0383</x:v>
      </x:c>
      <x:c r="C384" s="10" t="str">
        <x:v>数据报表</x:v>
      </x:c>
      <x:c r="D384" s="10" t="str">
        <x:v>直播间互动汇总（每日）（平台管理员）</x:v>
      </x:c>
      <x:c r="E384" s="10" t="str">
        <x:v>功能需求</x:v>
      </x:c>
      <x:c r="F384" s="10" t="str">
        <x:v>P1</x:v>
      </x:c>
      <x:c r="G384" s="9" t="str">
        <x:v>验证人均观看分母2</x:v>
      </x:c>
      <x:c r="H384" s="9" t="str">
        <x:v>报表结果范围</x:v>
      </x:c>
      <x:c r="I384" s="9" t="str">
        <x:v>1. 当前执行账号具有管理后台会话，身份为平台管理员；具体账号及权限变化按以下条件准备
2. 9月14日有效观看180秒，真实观众2人</x:v>
      </x:c>
      <x:c r="J384" s="9" t="str">
        <x:v>1. 打开直播间互动汇总（每日）
2. 选择统计日期2026-09-14至2026-09-14
3. 点击“查询”</x:v>
      </x:c>
      <x:c r="K384" s="9" t="str">
        <x:v>人均观看时长为2分钟</x:v>
      </x:c>
      <x:c r="L384" s="10" t="str"/>
      <x:c r="M384" s="10" t="str">
        <x:v>未测</x:v>
      </x:c>
      <x:c r="N384" s="10" t="str"/>
      <x:c r="O384" s="9" t="str">
        <x:v>1. 来源（当前证据）：liveshow-proto/MainBasis/统一需求文档.md；位置：第3015行、第3010行、第3011行
2. 规则：BR-767af99505a0c0db
3. 未动态验证</x:v>
      </x:c>
    </x:row>
    <x:row r="385" ht="115" customHeight="1">
      <x:c r="A385" s="10" t="n">
        <x:v>384</x:v>
      </x:c>
      <x:c r="B385" s="10" t="str">
        <x:v>ADMIN-0384</x:v>
      </x:c>
      <x:c r="C385" s="10" t="str">
        <x:v>数据报表</x:v>
      </x:c>
      <x:c r="D385" s="10" t="str">
        <x:v>直播间互动汇总（每日）（平台管理员）</x:v>
      </x:c>
      <x:c r="E385" s="10" t="str">
        <x:v>功能需求</x:v>
      </x:c>
      <x:c r="F385" s="10" t="str">
        <x:v>P1</x:v>
      </x:c>
      <x:c r="G385" s="9" t="str">
        <x:v>验证重复访问后的访问率</x:v>
      </x:c>
      <x:c r="H385" s="9" t="str">
        <x:v>报表结果范围</x:v>
      </x:c>
      <x:c r="I385" s="9" t="str">
        <x:v>1. 当前执行账号具有管理后台会话，身份为平台管理员；具体账号及权限变化按以下条件准备
2. 9月14日B成功进房2次，C成功进房1次，共3次访问、2名真实观众</x:v>
      </x:c>
      <x:c r="J385" s="9" t="str">
        <x:v>1. 打开直播间互动汇总（每日）
2. 选择统计日期2026-09-14至2026-09-14
3. 点击“查询”</x:v>
      </x:c>
      <x:c r="K385" s="9" t="str">
        <x:v>直播间访问率显示66.7%</x:v>
      </x:c>
      <x:c r="L385" s="10" t="str"/>
      <x:c r="M385" s="10" t="str">
        <x:v>未测</x:v>
      </x:c>
      <x:c r="N385" s="10" t="str"/>
      <x:c r="O385" s="9" t="str">
        <x:v>1. 来源（当前证据）：liveshow-proto/MainBasis/统一需求文档.md；位置：第3016行、第3010行、第3011行
2. 规则：BR-304cb1ad08b5b6b6
3. 未动态验证</x:v>
      </x:c>
    </x:row>
    <x:row r="386" ht="85" customHeight="1">
      <x:c r="A386" s="10" t="n">
        <x:v>385</x:v>
      </x:c>
      <x:c r="B386" s="10" t="str">
        <x:v>ADMIN-0385</x:v>
      </x:c>
      <x:c r="C386" s="10" t="str">
        <x:v>数据报表</x:v>
      </x:c>
      <x:c r="D386" s="10" t="str">
        <x:v>直播间互动汇总（每日）（平台管理员）</x:v>
      </x:c>
      <x:c r="E386" s="10" t="str">
        <x:v>功能需求</x:v>
      </x:c>
      <x:c r="F386" s="10" t="str">
        <x:v>P1</x:v>
      </x:c>
      <x:c r="G386" s="9" t="str">
        <x:v>验证无访问时访问率</x:v>
      </x:c>
      <x:c r="H386" s="9" t="str">
        <x:v>报表结果范围</x:v>
      </x:c>
      <x:c r="I386" s="9" t="str">
        <x:v>1. 当前执行账号具有管理后台会话，身份为平台管理员；具体账号及权限变化按以下条件准备
2. 9月14日无访问、无观众</x:v>
      </x:c>
      <x:c r="J386" s="9" t="str">
        <x:v>1. 打开直播间互动汇总（每日）
2. 选择统计日期2026-09-14至2026-09-14
3. 点击“查询”</x:v>
      </x:c>
      <x:c r="K386" s="9" t="str">
        <x:v>直播间访问率显示0%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来源（当前证据）：liveshow-proto/MainBasis/统一需求文档.md；位置：第3015行、第3010行、第3011行
2. 规则：BR-d14d0c89cdd0811a
3. 未动态验证</x:v>
      </x:c>
    </x:row>
    <x:row r="387" ht="100" customHeight="1">
      <x:c r="A387" s="10" t="n">
        <x:v>386</x:v>
      </x:c>
      <x:c r="B387" s="10" t="str">
        <x:v>ADMIN-0386</x:v>
      </x:c>
      <x:c r="C387" s="10" t="str">
        <x:v>数据报表</x:v>
      </x:c>
      <x:c r="D387" s="10" t="str">
        <x:v>直播记录明细报表（平台管理员）</x:v>
      </x:c>
      <x:c r="E387" s="10" t="str">
        <x:v>功能需求</x:v>
      </x:c>
      <x:c r="F387" s="10" t="str">
        <x:v>P1</x:v>
      </x:c>
      <x:c r="G387" s="9" t="str">
        <x:v>验证多场累计有效天标记</x:v>
      </x:c>
      <x:c r="H387" s="9" t="str">
        <x:v>报表结果范围</x:v>
      </x:c>
      <x:c r="I387" s="9" t="str">
        <x:v>1. 当前执行账号具有管理后台会话，身份为平台管理员；具体账号及权限变化按以下条件准备
2. 主播B在9月14日两场有效直播，分别120和60分钟</x:v>
      </x:c>
      <x:c r="J387" s="9" t="str">
        <x:v>1. 打开直播记录明细报表
2. 选择统计日期2026-09-14至2026-09-14
3. 点击“查询”</x:v>
      </x:c>
      <x:c r="K387" s="9" t="str">
        <x:v>两场记录的是否达标均为是</x:v>
      </x:c>
      <x:c r="L387" s="10" t="str"/>
      <x:c r="M387" s="10" t="str">
        <x:v>未测</x:v>
      </x:c>
      <x:c r="N387" s="10" t="str"/>
      <x:c r="O387" s="9" t="str">
        <x:v>1. 来源（当前证据）：liveshow-proto/MainBasis/统一需求文档.md；位置：第3025行、第3019行、第3020行
2. 规则：BR-e941edb1fb148130
3. 未动态验证</x:v>
      </x:c>
    </x:row>
    <x:row r="388" ht="115" customHeight="1">
      <x:c r="A388" s="10" t="n">
        <x:v>387</x:v>
      </x:c>
      <x:c r="B388" s="10" t="str">
        <x:v>ADMIN-0387</x:v>
      </x:c>
      <x:c r="C388" s="10" t="str">
        <x:v>数据报表</x:v>
      </x:c>
      <x:c r="D388" s="10" t="str">
        <x:v>直播记录明细报表（平台管理员）</x:v>
      </x:c>
      <x:c r="E388" s="10" t="str">
        <x:v>逻辑校验</x:v>
      </x:c>
      <x:c r="F388" s="10" t="str">
        <x:v>P1</x:v>
      </x:c>
      <x:c r="G388" s="9" t="str">
        <x:v>验证场次消费扣除幸运返奖</x:v>
      </x:c>
      <x:c r="H388" s="9" t="str">
        <x:v>指标计算值</x:v>
      </x:c>
      <x:c r="I388" s="9" t="str">
        <x:v>1. 当前执行账号具有管理后台会话，身份为平台管理员；具体账号及权限变化按以下条件准备
2. 场次A普通礼物100、定制20、门票30、幸运扣款200返奖150，另有虚拟送礼500</x:v>
      </x:c>
      <x:c r="J388" s="9" t="str">
        <x:v>1. 打开直播记录明细报表
2. 选择统计日期2026-09-14至2026-09-14
3. 点击“查询”</x:v>
      </x:c>
      <x:c r="K388" s="9" t="str">
        <x:v>场次消费金币=200</x:v>
      </x:c>
      <x:c r="L388" s="10" t="str"/>
      <x:c r="M388" s="10" t="str">
        <x:v>未测</x:v>
      </x:c>
      <x:c r="N388" s="10" t="str"/>
      <x:c r="O388" s="9" t="str">
        <x:v>1. 来源（当前证据）：liveshow-proto/MainBasis/统一需求文档.md；位置：第3027行、第3019行、第3020行
2. 规则：BR-5204838077553647
3. 未动态验证</x:v>
      </x:c>
    </x:row>
    <x:row r="389" ht="130" customHeight="1">
      <x:c r="A389" s="10" t="n">
        <x:v>388</x:v>
      </x:c>
      <x:c r="B389" s="10" t="str">
        <x:v>ADMIN-0388</x:v>
      </x:c>
      <x:c r="C389" s="10" t="str">
        <x:v>数据报表</x:v>
      </x:c>
      <x:c r="D389" s="10" t="str">
        <x:v>充值消费汇总（每日）（平台管理员）</x:v>
      </x:c>
      <x:c r="E389" s="10" t="str">
        <x:v>逻辑校验</x:v>
      </x:c>
      <x:c r="F389" s="10" t="str">
        <x:v>P1</x:v>
      </x:c>
      <x:c r="G389" s="9" t="str">
        <x:v>验证金币净增量包含三种发行</x:v>
      </x:c>
      <x:c r="H389" s="9" t="str">
        <x:v>指标计算值</x:v>
      </x:c>
      <x:c r="I389" s="9" t="str">
        <x:v>1. 当前执行账号具有管理后台会话，身份为平台管理员；具体账号及权限变化按以下条件准备
2. 9月14日充值基础1000、套餐赠送100、签到任务活动赠送50、真实消费净扣400、充值退款扣回200单列</x:v>
      </x:c>
      <x:c r="J389" s="9" t="str">
        <x:v>1. 打开充值消费汇总（每日）
2. 选择统计日期2026-09-14至2026-09-14
3. 点击“查询”</x:v>
      </x:c>
      <x:c r="K389" s="9" t="str">
        <x:v>金币净增量=750</x:v>
      </x:c>
      <x:c r="L389" s="10" t="str"/>
      <x:c r="M389" s="10" t="str">
        <x:v>未测</x:v>
      </x:c>
      <x:c r="N389" s="10" t="str"/>
      <x:c r="O389" s="9" t="str">
        <x:v>1. 来源（当前证据）：liveshow-proto/MainBasis/统一需求文档.md；位置：第3040行、第3032行、第3033行
2. 规则：BR-b6de96c64e713eca
3. 未动态验证</x:v>
      </x:c>
    </x:row>
    <x:row r="390" ht="100" customHeight="1">
      <x:c r="A390" s="10" t="n">
        <x:v>389</x:v>
      </x:c>
      <x:c r="B390" s="10" t="str">
        <x:v>ADMIN-0389</x:v>
      </x:c>
      <x:c r="C390" s="10" t="str">
        <x:v>数据报表</x:v>
      </x:c>
      <x:c r="D390" s="10" t="str">
        <x:v>充值消费汇总（每日）（平台管理员）</x:v>
      </x:c>
      <x:c r="E390" s="10" t="str">
        <x:v>功能需求</x:v>
      </x:c>
      <x:c r="F390" s="10" t="str">
        <x:v>P0</x:v>
      </x:c>
      <x:c r="G390" s="9" t="str">
        <x:v>验证退款资产与消费分离</x:v>
      </x:c>
      <x:c r="H390" s="9" t="str">
        <x:v>财务统计值</x:v>
      </x:c>
      <x:c r="I390" s="9" t="str">
        <x:v>1. 当前执行账号具有管理后台会话，身份为平台管理员；具体账号及权限变化按以下条件准备
2. 9月14日消费100金币，充值退款独立扣回200金币</x:v>
      </x:c>
      <x:c r="J390" s="9" t="str">
        <x:v>1. 打开充值消费汇总（每日）
2. 选择统计日期2026-09-14至2026-09-14
3. 点击“查询”</x:v>
      </x:c>
      <x:c r="K390" s="9" t="str">
        <x:v>消费金币为100</x:v>
      </x:c>
      <x:c r="L390" s="10" t="str"/>
      <x:c r="M390" s="10" t="str">
        <x:v>未测</x:v>
      </x:c>
      <x:c r="N390" s="10" t="str"/>
      <x:c r="O390" s="9" t="str">
        <x:v>1. 来源（当前证据）：liveshow-proto/MainBasis/统一需求文档.md；位置：第3041行、第3032行、第3033行
2. 规则：BR-ec9144c8b50c04d9
3. 未动态验证</x:v>
      </x:c>
    </x:row>
    <x:row r="391" ht="85" customHeight="1">
      <x:c r="A391" s="10" t="n">
        <x:v>390</x:v>
      </x:c>
      <x:c r="B391" s="10" t="str">
        <x:v>ADMIN-0390</x:v>
      </x:c>
      <x:c r="C391" s="10" t="str">
        <x:v>数据报表</x:v>
      </x:c>
      <x:c r="D391" s="10" t="str">
        <x:v>充值用户分层汇总（每日）（平台管理员）</x:v>
      </x:c>
      <x:c r="E391" s="10" t="str">
        <x:v>功能需求</x:v>
      </x:c>
      <x:c r="F391" s="10" t="str">
        <x:v>P1</x:v>
      </x:c>
      <x:c r="G391" s="9" t="str">
        <x:v>验证新用户ARPU人数0</x:v>
      </x:c>
      <x:c r="H391" s="9" t="str">
        <x:v>统计指标值</x:v>
      </x:c>
      <x:c r="I391" s="9" t="str">
        <x:v>1. 当前执行账号具有管理后台会话，身份为平台管理员；具体账号及权限变化按以下条件准备
2. 9月14日无新用户充值</x:v>
      </x:c>
      <x:c r="J391" s="9" t="str">
        <x:v>1. 打开充值用户分层汇总（每日）
2. 选择统计日期2026-09-14至2026-09-14
3. 点击“查询”</x:v>
      </x:c>
      <x:c r="K391" s="9" t="str">
        <x:v>新用户ARPU显示0 USD</x:v>
      </x:c>
      <x:c r="L391" s="10" t="str"/>
      <x:c r="M391" s="10" t="str">
        <x:v>未测</x:v>
      </x:c>
      <x:c r="N391" s="10" t="str"/>
      <x:c r="O391" s="9" t="str">
        <x:v>1. 来源（当前证据）：liveshow-proto/MainBasis/统一需求文档.md；位置：第3050行、第3044行、第3045行
2. 规则：BR-2bc443f95499ed6b
3. 未动态验证</x:v>
      </x:c>
    </x:row>
    <x:row r="392" ht="100" customHeight="1">
      <x:c r="A392" s="10" t="n">
        <x:v>391</x:v>
      </x:c>
      <x:c r="B392" s="10" t="str">
        <x:v>ADMIN-0391</x:v>
      </x:c>
      <x:c r="C392" s="10" t="str">
        <x:v>数据报表</x:v>
      </x:c>
      <x:c r="D392" s="10" t="str">
        <x:v>充值用户分层汇总（每日）（平台管理员）</x:v>
      </x:c>
      <x:c r="E392" s="10" t="str">
        <x:v>功能需求</x:v>
      </x:c>
      <x:c r="F392" s="10" t="str">
        <x:v>P1</x:v>
      </x:c>
      <x:c r="G392" s="9" t="str">
        <x:v>验证新用户ARPU人数2</x:v>
      </x:c>
      <x:c r="H392" s="9" t="str">
        <x:v>统计指标值</x:v>
      </x:c>
      <x:c r="I392" s="9" t="str">
        <x:v>1. 当前执行账号具有管理后台会话，身份为平台管理员；具体账号及权限变化按以下条件准备
2. 9月14日新用户B、C成功充值合计60 USD</x:v>
      </x:c>
      <x:c r="J392" s="9" t="str">
        <x:v>1. 打开充值用户分层汇总（每日）
2. 选择统计日期2026-09-14至2026-09-14
3. 点击“查询”</x:v>
      </x:c>
      <x:c r="K392" s="9" t="str">
        <x:v>新用户ARPU显示30 USD</x:v>
      </x:c>
      <x:c r="L392" s="10" t="str"/>
      <x:c r="M392" s="10" t="str">
        <x:v>未测</x:v>
      </x:c>
      <x:c r="N392" s="10" t="str"/>
      <x:c r="O392" s="9" t="str">
        <x:v>1. 来源（当前证据）：liveshow-proto/MainBasis/统一需求文档.md；位置：第3050行、第3044行、第3045行
2. 规则：BR-5f365e70cf3f80aa
3. 未动态验证</x:v>
      </x:c>
    </x:row>
    <x:row r="393" ht="85" customHeight="1">
      <x:c r="A393" s="10" t="n">
        <x:v>392</x:v>
      </x:c>
      <x:c r="B393" s="10" t="str">
        <x:v>ADMIN-0392</x:v>
      </x:c>
      <x:c r="C393" s="10" t="str">
        <x:v>数据报表</x:v>
      </x:c>
      <x:c r="D393" s="10" t="str">
        <x:v>充值用户分层汇总（每日）（平台管理员）</x:v>
      </x:c>
      <x:c r="E393" s="10" t="str">
        <x:v>功能需求</x:v>
      </x:c>
      <x:c r="F393" s="10" t="str">
        <x:v>P1</x:v>
      </x:c>
      <x:c r="G393" s="9" t="str">
        <x:v>验证老用户ARPU人数0</x:v>
      </x:c>
      <x:c r="H393" s="9" t="str">
        <x:v>统计指标值</x:v>
      </x:c>
      <x:c r="I393" s="9" t="str">
        <x:v>1. 当前执行账号具有管理后台会话，身份为平台管理员；具体账号及权限变化按以下条件准备
2. 9月14日无老用户充值</x:v>
      </x:c>
      <x:c r="J393" s="9" t="str">
        <x:v>1. 打开充值用户分层汇总（每日）
2. 选择统计日期2026-09-14至2026-09-14
3. 点击“查询”</x:v>
      </x:c>
      <x:c r="K393" s="9" t="str">
        <x:v>老用户ARPU显示0 USD</x:v>
      </x:c>
      <x:c r="L393" s="10" t="str"/>
      <x:c r="M393" s="10" t="str">
        <x:v>未测</x:v>
      </x:c>
      <x:c r="N393" s="10" t="str"/>
      <x:c r="O393" s="9" t="str">
        <x:v>1. 来源（当前证据）：liveshow-proto/MainBasis/统一需求文档.md；位置：第3051行、第3044行、第3045行
2. 规则：BR-f78a6622758a6df9
3. 未动态验证</x:v>
      </x:c>
    </x:row>
    <x:row r="394" ht="100" customHeight="1">
      <x:c r="A394" s="10" t="n">
        <x:v>393</x:v>
      </x:c>
      <x:c r="B394" s="10" t="str">
        <x:v>ADMIN-0393</x:v>
      </x:c>
      <x:c r="C394" s="10" t="str">
        <x:v>数据报表</x:v>
      </x:c>
      <x:c r="D394" s="10" t="str">
        <x:v>充值用户分层汇总（每日）（平台管理员）</x:v>
      </x:c>
      <x:c r="E394" s="10" t="str">
        <x:v>功能需求</x:v>
      </x:c>
      <x:c r="F394" s="10" t="str">
        <x:v>P1</x:v>
      </x:c>
      <x:c r="G394" s="9" t="str">
        <x:v>验证老用户ARPU人数2</x:v>
      </x:c>
      <x:c r="H394" s="9" t="str">
        <x:v>统计指标值</x:v>
      </x:c>
      <x:c r="I394" s="9" t="str">
        <x:v>1. 当前执行账号具有管理后台会话，身份为平台管理员；具体账号及权限变化按以下条件准备
2. 9月14日老用户B、C成功充值合计60 USD</x:v>
      </x:c>
      <x:c r="J394" s="9" t="str">
        <x:v>1. 打开充值用户分层汇总（每日）
2. 选择统计日期2026-09-14至2026-09-14
3. 点击“查询”</x:v>
      </x:c>
      <x:c r="K394" s="9" t="str">
        <x:v>老用户ARPU显示30 USD</x:v>
      </x:c>
      <x:c r="L394" s="10" t="str"/>
      <x:c r="M394" s="10" t="str">
        <x:v>未测</x:v>
      </x:c>
      <x:c r="N394" s="10" t="str"/>
      <x:c r="O394" s="9" t="str">
        <x:v>1. 来源（当前证据）：liveshow-proto/MainBasis/统一需求文档.md；位置：第3051行、第3044行、第3045行
2. 规则：BR-587bb7f195e78c87
3. 未动态验证</x:v>
      </x:c>
    </x:row>
    <x:row r="395" ht="100" customHeight="1">
      <x:c r="A395" s="10" t="n">
        <x:v>394</x:v>
      </x:c>
      <x:c r="B395" s="10" t="str">
        <x:v>ADMIN-0394</x:v>
      </x:c>
      <x:c r="C395" s="10" t="str">
        <x:v>数据报表</x:v>
      </x:c>
      <x:c r="D395" s="10" t="str">
        <x:v>主播礼物打赏明细报表（平台管理员）</x:v>
      </x:c>
      <x:c r="E395" s="10" t="str">
        <x:v>逻辑校验</x:v>
      </x:c>
      <x:c r="F395" s="10" t="str">
        <x:v>P1</x:v>
      </x:c>
      <x:c r="G395" s="9" t="str">
        <x:v>验证主播礼物打赏明细报表金额口径</x:v>
      </x:c>
      <x:c r="H395" s="9" t="str">
        <x:v>指标计算值</x:v>
      </x:c>
      <x:c r="I395" s="9" t="str">
        <x:v>1. 当前执行账号具有管理后台会话，身份为平台管理员；具体账号及权限变化按以下条件准备
2. 普通礼物单价10金币，成功送出3份，失败1份不计</x:v>
      </x:c>
      <x:c r="J395" s="9" t="str">
        <x:v>1. 打开主播礼物打赏明细报表
2. 选择统计日期2026-09-14至2026-09-14
3. 点击“查询”</x:v>
      </x:c>
      <x:c r="K395" s="9" t="str">
        <x:v>普通礼物收益=30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来源（当前证据）：liveshow-proto/MainBasis/统一需求文档.md；位置：第3082行、第3078行、第3079行
2. 规则：BR-09bdbd810e628c6b
3. 未动态验证</x:v>
      </x:c>
    </x:row>
    <x:row r="396" ht="115" customHeight="1">
      <x:c r="A396" s="10" t="n">
        <x:v>395</x:v>
      </x:c>
      <x:c r="B396" s="10" t="str">
        <x:v>ADMIN-0395</x:v>
      </x:c>
      <x:c r="C396" s="10" t="str">
        <x:v>数据报表</x:v>
      </x:c>
      <x:c r="D396" s="10" t="str">
        <x:v>主播礼物打赏明细报表（平台管理员）</x:v>
      </x:c>
      <x:c r="E396" s="10" t="str">
        <x:v>逻辑校验</x:v>
      </x:c>
      <x:c r="F396" s="10" t="str">
        <x:v>P1</x:v>
      </x:c>
      <x:c r="G396" s="9" t="str">
        <x:v>验证主播礼物打赏明细报表金额口径</x:v>
      </x:c>
      <x:c r="H396" s="9" t="str">
        <x:v>指标计算值</x:v>
      </x:c>
      <x:c r="I396" s="9" t="str">
        <x:v>1. 当前执行账号具有管理后台会话，身份为平台管理员；具体账号及权限变化按以下条件准备
2. 幸运礼物单价100金币、成功送出10份，赠送时比例1%，返奖900金币</x:v>
      </x:c>
      <x:c r="J396" s="9" t="str">
        <x:v>1. 打开主播礼物打赏明细报表
2. 选择统计日期2026-09-14至2026-09-14
3. 点击“查询”</x:v>
      </x:c>
      <x:c r="K396" s="9" t="str">
        <x:v>幸运礼物收益=10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来源（当前证据）：liveshow-proto/MainBasis/统一需求文档.md；位置：第3083行、第3078行、第3079行
2. 规则：BR-4a08b299c5fb4218
3. 未动态验证</x:v>
      </x:c>
    </x:row>
    <x:row r="397" ht="100" customHeight="1">
      <x:c r="A397" s="10" t="n">
        <x:v>396</x:v>
      </x:c>
      <x:c r="B397" s="10" t="str">
        <x:v>ADMIN-0396</x:v>
      </x:c>
      <x:c r="C397" s="10" t="str">
        <x:v>数据报表</x:v>
      </x:c>
      <x:c r="D397" s="10" t="str">
        <x:v>礼物消费汇总报表（平台管理员）</x:v>
      </x:c>
      <x:c r="E397" s="10" t="str">
        <x:v>逻辑校验</x:v>
      </x:c>
      <x:c r="F397" s="10" t="str">
        <x:v>P1</x:v>
      </x:c>
      <x:c r="G397" s="9" t="str">
        <x:v>验证礼物消费汇总报表金额口径</x:v>
      </x:c>
      <x:c r="H397" s="9" t="str">
        <x:v>指标计算值</x:v>
      </x:c>
      <x:c r="I397" s="9" t="str">
        <x:v>1. 当前执行账号具有管理后台会话，身份为平台管理员；具体账号及权限变化按以下条件准备
2. 幸运礼物单价100金币、成功送出10份、返奖900金币</x:v>
      </x:c>
      <x:c r="J397" s="9" t="str">
        <x:v>1. 打开礼物消费汇总报表
2. 选择统计日期2026-09-14至2026-09-14
3. 点击“查询”</x:v>
      </x:c>
      <x:c r="K397" s="9" t="str">
        <x:v>销售额=1000</x:v>
      </x:c>
      <x:c r="L397" s="10" t="str"/>
      <x:c r="M397" s="10" t="str">
        <x:v>未测</x:v>
      </x:c>
      <x:c r="N397" s="10" t="str"/>
      <x:c r="O397" s="9" t="str">
        <x:v>1. 来源（当前证据）：liveshow-proto/MainBasis/统一需求文档.md；位置：第3103行、第3098行、第3099行
2. 规则：BR-fc8d18eec6a28606
3. 未动态验证</x:v>
      </x:c>
    </x:row>
    <x:row r="398" ht="115" customHeight="1">
      <x:c r="A398" s="10" t="n">
        <x:v>397</x:v>
      </x:c>
      <x:c r="B398" s="10" t="str">
        <x:v>ADMIN-0397</x:v>
      </x:c>
      <x:c r="C398" s="10" t="str">
        <x:v>数据报表</x:v>
      </x:c>
      <x:c r="D398" s="10" t="str">
        <x:v>用户消费汇总报表（平台管理员）</x:v>
      </x:c>
      <x:c r="E398" s="10" t="str">
        <x:v>逻辑校验</x:v>
      </x:c>
      <x:c r="F398" s="10" t="str">
        <x:v>P1</x:v>
      </x:c>
      <x:c r="G398" s="9" t="str">
        <x:v>验证用户消费汇总报表金额口径</x:v>
      </x:c>
      <x:c r="H398" s="9" t="str">
        <x:v>指标计算值</x:v>
      </x:c>
      <x:c r="I398" s="9" t="str">
        <x:v>1. 当前执行账号具有管理后台会话，身份为平台管理员；具体账号及权限变化按以下条件准备
2. 用户B普通100、定制20、门票30、幸运扣200返250，虚拟送礼500不计</x:v>
      </x:c>
      <x:c r="J398" s="9" t="str">
        <x:v>1. 打开用户消费汇总报表
2. 选择统计日期2026-09-14至2026-09-14
3. 点击“查询”</x:v>
      </x:c>
      <x:c r="K398" s="9" t="str">
        <x:v>累计消费=100</x:v>
      </x:c>
      <x:c r="L398" s="10" t="str"/>
      <x:c r="M398" s="10" t="str">
        <x:v>未测</x:v>
      </x:c>
      <x:c r="N398" s="10" t="str"/>
      <x:c r="O398" s="9" t="str">
        <x:v>1. 来源（当前证据）：liveshow-proto/MainBasis/统一需求文档.md；位置：第3093行、第3088行、第3089行
2. 规则：BR-b92860b111b22e5d
3. 未动态验证</x:v>
      </x:c>
    </x:row>
    <x:row r="399" ht="100" customHeight="1">
      <x:c r="A399" s="10" t="n">
        <x:v>398</x:v>
      </x:c>
      <x:c r="B399" s="10" t="str">
        <x:v>ADMIN-0398</x:v>
      </x:c>
      <x:c r="C399" s="10" t="str">
        <x:v>数据报表</x:v>
      </x:c>
      <x:c r="D399" s="10" t="str">
        <x:v>消费订单明细（平台管理员）</x:v>
      </x:c>
      <x:c r="E399" s="10" t="str">
        <x:v>逻辑校验</x:v>
      </x:c>
      <x:c r="F399" s="10" t="str">
        <x:v>P1</x:v>
      </x:c>
      <x:c r="G399" s="9" t="str">
        <x:v>验证消费订单明细金额口径</x:v>
      </x:c>
      <x:c r="H399" s="9" t="str">
        <x:v>指标计算值</x:v>
      </x:c>
      <x:c r="I399" s="9" t="str">
        <x:v>1. 当前执行账号具有管理后台会话，身份为平台管理员；具体账号及权限变化按以下条件准备
2. 普通礼物订单A单价10金币、数量3份</x:v>
      </x:c>
      <x:c r="J399" s="9" t="str">
        <x:v>1. 打开消费订单明细
2. 选择统计日期2026-09-14至2026-09-14
3. 点击“查询”</x:v>
      </x:c>
      <x:c r="K399" s="9" t="str">
        <x:v>消费金币=30</x:v>
      </x:c>
      <x:c r="L399" s="10" t="str"/>
      <x:c r="M399" s="10" t="str">
        <x:v>未测</x:v>
      </x:c>
      <x:c r="N399" s="10" t="str"/>
      <x:c r="O399" s="9" t="str">
        <x:v>1. 来源（当前证据）：liveshow-proto/MainBasis/统一需求文档.md；位置：第3112行、第3108行、第3109行
2. 规则：BR-0ad4653ce15ec5a6
3. 未动态验证</x:v>
      </x:c>
    </x:row>
    <x:row r="400" ht="115" customHeight="1">
      <x:c r="A400" s="10" t="n">
        <x:v>399</x:v>
      </x:c>
      <x:c r="B400" s="10" t="str">
        <x:v>ADMIN-0399</x:v>
      </x:c>
      <x:c r="C400" s="10" t="str">
        <x:v>数据报表</x:v>
      </x:c>
      <x:c r="D400" s="10" t="str">
        <x:v>主播礼物打赏明细报表（平台管理员）</x:v>
      </x:c>
      <x:c r="E400" s="10" t="str">
        <x:v>功能需求</x:v>
      </x:c>
      <x:c r="F400" s="10" t="str">
        <x:v>P1</x:v>
      </x:c>
      <x:c r="G400" s="9" t="str">
        <x:v>验证主播礼物打赏明细报表排除虚拟金币</x:v>
      </x:c>
      <x:c r="H400" s="9" t="str">
        <x:v>财务统计值</x:v>
      </x:c>
      <x:c r="I400" s="9" t="str">
        <x:v>1. 当前执行账号具有管理后台会话，身份为平台管理员；具体账号及权限变化按以下条件准备
2. 9月14日仅有运营账号以500虚拟金币送礼记录A，无真实金币消费</x:v>
      </x:c>
      <x:c r="J400" s="9" t="str">
        <x:v>1. 打开主播礼物打赏明细报表
2. 选择统计日期2026-09-14至2026-09-14
3. 点击“查询”</x:v>
      </x:c>
      <x:c r="K400" s="9" t="str">
        <x:v>列表不包含虚拟金币记录A</x:v>
      </x:c>
      <x:c r="L400" s="10" t="str"/>
      <x:c r="M400" s="10" t="str">
        <x:v>未测</x:v>
      </x:c>
      <x:c r="N400" s="10" t="str"/>
      <x:c r="O400" s="9" t="str">
        <x:v>1. 来源（当前证据）：liveshow-proto/MainBasis/统一需求文档.md；位置：第3084行、第3078行、第3079行
2. 规则：BR-6e99cb1fface7618
3. 未动态验证</x:v>
      </x:c>
    </x:row>
    <x:row r="401" ht="115" customHeight="1">
      <x:c r="A401" s="10" t="n">
        <x:v>400</x:v>
      </x:c>
      <x:c r="B401" s="10" t="str">
        <x:v>ADMIN-0400</x:v>
      </x:c>
      <x:c r="C401" s="10" t="str">
        <x:v>数据报表</x:v>
      </x:c>
      <x:c r="D401" s="10" t="str">
        <x:v>礼物消费汇总报表（平台管理员）</x:v>
      </x:c>
      <x:c r="E401" s="10" t="str">
        <x:v>功能需求</x:v>
      </x:c>
      <x:c r="F401" s="10" t="str">
        <x:v>P1</x:v>
      </x:c>
      <x:c r="G401" s="9" t="str">
        <x:v>验证礼物消费汇总报表排除虚拟金币</x:v>
      </x:c>
      <x:c r="H401" s="9" t="str">
        <x:v>财务统计值</x:v>
      </x:c>
      <x:c r="I401" s="9" t="str">
        <x:v>1. 当前执行账号具有管理后台会话，身份为平台管理员；具体账号及权限变化按以下条件准备
2. 9月14日仅有运营账号以500虚拟金币送礼记录A，无真实金币消费</x:v>
      </x:c>
      <x:c r="J401" s="9" t="str">
        <x:v>1. 打开礼物消费汇总报表
2. 选择统计日期2026-09-14至2026-09-14
3. 点击“查询”</x:v>
      </x:c>
      <x:c r="K401" s="9" t="str">
        <x:v>列表不包含虚拟金币记录A</x:v>
      </x:c>
      <x:c r="L401" s="10" t="str"/>
      <x:c r="M401" s="10" t="str">
        <x:v>未测</x:v>
      </x:c>
      <x:c r="N401" s="10" t="str"/>
      <x:c r="O401" s="9" t="str">
        <x:v>1. 来源（当前证据）：liveshow-proto/MainBasis/统一需求文档.md；位置：第3104行、第3098行、第3099行
2. 规则：BR-8e0aea180fe28840
3. 未动态验证</x:v>
      </x:c>
    </x:row>
    <x:row r="402" ht="115" customHeight="1">
      <x:c r="A402" s="10" t="n">
        <x:v>401</x:v>
      </x:c>
      <x:c r="B402" s="10" t="str">
        <x:v>ADMIN-0401</x:v>
      </x:c>
      <x:c r="C402" s="10" t="str">
        <x:v>数据报表</x:v>
      </x:c>
      <x:c r="D402" s="10" t="str">
        <x:v>主播业绩分成报表（平台管理员）</x:v>
      </x:c>
      <x:c r="E402" s="10" t="str">
        <x:v>逻辑校验</x:v>
      </x:c>
      <x:c r="F402" s="10" t="str">
        <x:v>P0</x:v>
      </x:c>
      <x:c r="G402" s="9" t="str">
        <x:v>验证主播业绩分成报表四类收益合计</x:v>
      </x:c>
      <x:c r="H402" s="9" t="str">
        <x:v>指标计算值</x:v>
      </x:c>
      <x:c r="I402" s="9" t="str">
        <x:v>1. 当前执行账号具有管理后台会话，身份为平台管理员；具体账号及权限变化按以下条件准备
2. 普通收益100、定制20、门票30、幸运收益10；赠礼后原充值退款不撤销消费</x:v>
      </x:c>
      <x:c r="J402" s="9" t="str">
        <x:v>1. 打开主播业绩分成报表
2. 选择统计日期2026-09-14至2026-09-14
3. 点击“查询”</x:v>
      </x:c>
      <x:c r="K402" s="9" t="str">
        <x:v>主播收益金币=160</x:v>
      </x:c>
      <x:c r="L402" s="10" t="str"/>
      <x:c r="M402" s="10" t="str">
        <x:v>未测</x:v>
      </x:c>
      <x:c r="N402" s="10" t="str"/>
      <x:c r="O402" s="9" t="str">
        <x:v>1. 来源（当前证据）：liveshow-proto/MainBasis/统一需求文档.md；位置：第3073行、第3065行、第3066行
2. 规则：BR-5eeabf890d12996a
3. 未动态验证</x:v>
      </x:c>
    </x:row>
    <x:row r="403" ht="115" customHeight="1">
      <x:c r="A403" s="10" t="n">
        <x:v>402</x:v>
      </x:c>
      <x:c r="B403" s="10" t="str">
        <x:v>ADMIN-0402</x:v>
      </x:c>
      <x:c r="C403" s="10" t="str">
        <x:v>数据报表</x:v>
      </x:c>
      <x:c r="D403" s="10" t="str">
        <x:v>月度收益支出汇总（平台管理员）</x:v>
      </x:c>
      <x:c r="E403" s="10" t="str">
        <x:v>逻辑校验</x:v>
      </x:c>
      <x:c r="F403" s="10" t="str">
        <x:v>P0</x:v>
      </x:c>
      <x:c r="G403" s="9" t="str">
        <x:v>验证月度收益支出汇总四类收益合计</x:v>
      </x:c>
      <x:c r="H403" s="9" t="str">
        <x:v>指标计算值</x:v>
      </x:c>
      <x:c r="I403" s="9" t="str">
        <x:v>1. 当前执行账号具有管理后台会话，身份为平台管理员；具体账号及权限变化按以下条件准备
2. 普通收益100、定制20、门票30、幸运收益10；赠礼后原充值退款不撤销消费</x:v>
      </x:c>
      <x:c r="J403" s="9" t="str">
        <x:v>1. 打开月度收益支出汇总
2. 查看2026年9月汇总行</x:v>
      </x:c>
      <x:c r="K403" s="9" t="str">
        <x:v>主播收益金币=160</x:v>
      </x:c>
      <x:c r="L403" s="10" t="str"/>
      <x:c r="M403" s="10" t="str">
        <x:v>未测</x:v>
      </x:c>
      <x:c r="N403" s="10" t="str"/>
      <x:c r="O403" s="9" t="str">
        <x:v>1. 来源（当前证据）：liveshow-proto/MainBasis/统一需求文档.md；位置：第3058行、第3055行、第3056行
2. 规则：BR-5b96c422be5b9288
3. 未动态验证</x:v>
      </x:c>
    </x:row>
    <x:row r="404" ht="100" customHeight="1">
      <x:c r="A404" s="10" t="n">
        <x:v>403</x:v>
      </x:c>
      <x:c r="B404" s="10" t="str">
        <x:v>ADMIN-0403</x:v>
      </x:c>
      <x:c r="C404" s="10" t="str">
        <x:v>数据报表</x:v>
      </x:c>
      <x:c r="D404" s="10" t="str">
        <x:v>充值订单明细（平台管理员）</x:v>
      </x:c>
      <x:c r="E404" s="10" t="str">
        <x:v>功能需求</x:v>
      </x:c>
      <x:c r="F404" s="10" t="str">
        <x:v>P0</x:v>
      </x:c>
      <x:c r="G404" s="9" t="str">
        <x:v>验证充值订单明细状态待支付</x:v>
      </x:c>
      <x:c r="H404" s="9" t="str">
        <x:v>报表结果范围</x:v>
      </x:c>
      <x:c r="I404" s="9" t="str">
        <x:v>1. 当前执行账号具有管理后台会话，身份为平台管理员；具体账号及权限变化按以下条件准备
2. 订单A相关处理时间为9月14日，当前状态待支付</x:v>
      </x:c>
      <x:c r="J404" s="9" t="str">
        <x:v>1. 打开充值订单明细
2. 选择统计日期2026-09-14至2026-09-14
3. 点击“查询”</x:v>
      </x:c>
      <x:c r="K404" s="9" t="str">
        <x:v>结果不包含订单A</x:v>
      </x:c>
      <x:c r="L404" s="10" t="str"/>
      <x:c r="M404" s="10" t="str">
        <x:v>未测</x:v>
      </x:c>
      <x:c r="N404" s="10" t="str"/>
      <x:c r="O404" s="9" t="str">
        <x:v>1. 来源（当前证据）：liveshow-proto/MainBasis/统一需求文档.md；位置：第3136行、第3129行、第3130行
2. 规则：BR-690bc2830d6be62c
3. 未动态验证</x:v>
      </x:c>
    </x:row>
    <x:row r="405" ht="100" customHeight="1">
      <x:c r="A405" s="10" t="n">
        <x:v>404</x:v>
      </x:c>
      <x:c r="B405" s="10" t="str">
        <x:v>ADMIN-0404</x:v>
      </x:c>
      <x:c r="C405" s="10" t="str">
        <x:v>数据报表</x:v>
      </x:c>
      <x:c r="D405" s="10" t="str">
        <x:v>充值订单明细（平台管理员）</x:v>
      </x:c>
      <x:c r="E405" s="10" t="str">
        <x:v>功能需求</x:v>
      </x:c>
      <x:c r="F405" s="10" t="str">
        <x:v>P0</x:v>
      </x:c>
      <x:c r="G405" s="9" t="str">
        <x:v>验证充值订单明细状态支付成功</x:v>
      </x:c>
      <x:c r="H405" s="9" t="str">
        <x:v>报表结果范围</x:v>
      </x:c>
      <x:c r="I405" s="9" t="str">
        <x:v>1. 当前执行账号具有管理后台会话，身份为平台管理员；具体账号及权限变化按以下条件准备
2. 订单A相关处理时间为9月14日，当前状态支付成功</x:v>
      </x:c>
      <x:c r="J405" s="9" t="str">
        <x:v>1. 打开充值订单明细
2. 选择统计日期2026-09-14至2026-09-14
3. 点击“查询”</x:v>
      </x:c>
      <x:c r="K405" s="9" t="str">
        <x:v>结果包含订单A</x:v>
      </x:c>
      <x:c r="L405" s="10" t="str"/>
      <x:c r="M405" s="10" t="str">
        <x:v>未测</x:v>
      </x:c>
      <x:c r="N405" s="10" t="str"/>
      <x:c r="O405" s="9" t="str">
        <x:v>1. 来源（当前证据）：liveshow-proto/MainBasis/统一需求文档.md；位置：第3136行、第3129行、第3130行
2. 规则：BR-bd44d8dfe6c95be7
3. 未动态验证</x:v>
      </x:c>
    </x:row>
    <x:row r="406" ht="100" customHeight="1">
      <x:c r="A406" s="10" t="n">
        <x:v>405</x:v>
      </x:c>
      <x:c r="B406" s="10" t="str">
        <x:v>ADMIN-0405</x:v>
      </x:c>
      <x:c r="C406" s="10" t="str">
        <x:v>数据报表</x:v>
      </x:c>
      <x:c r="D406" s="10" t="str">
        <x:v>充值订单明细（平台管理员）</x:v>
      </x:c>
      <x:c r="E406" s="10" t="str">
        <x:v>功能需求</x:v>
      </x:c>
      <x:c r="F406" s="10" t="str">
        <x:v>P0</x:v>
      </x:c>
      <x:c r="G406" s="9" t="str">
        <x:v>验证充值订单明细状态用户已取消</x:v>
      </x:c>
      <x:c r="H406" s="9" t="str">
        <x:v>统计指标值</x:v>
      </x:c>
      <x:c r="I406" s="9" t="str">
        <x:v>1. 当前执行账号具有管理后台会话，身份为平台管理员；具体账号及权限变化按以下条件准备
2. 订单A相关处理时间为9月14日，当前状态用户已取消</x:v>
      </x:c>
      <x:c r="J406" s="9" t="str">
        <x:v>1. 打开充值订单明细
2. 选择统计日期2026-09-14至2026-09-14
3. 点击“查询”</x:v>
      </x:c>
      <x:c r="K406" s="9" t="str">
        <x:v>结果不包含订单A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来源（当前证据）：liveshow-proto/MainBasis/统一需求文档.md；位置：第3136行、第3129行、第3130行
2. 规则：BR-54737ade3f9e9595
3. 未动态验证</x:v>
      </x:c>
    </x:row>
    <x:row r="407" ht="100" customHeight="1">
      <x:c r="A407" s="10" t="n">
        <x:v>406</x:v>
      </x:c>
      <x:c r="B407" s="10" t="str">
        <x:v>ADMIN-0406</x:v>
      </x:c>
      <x:c r="C407" s="10" t="str">
        <x:v>数据报表</x:v>
      </x:c>
      <x:c r="D407" s="10" t="str">
        <x:v>充值订单明细（平台管理员）</x:v>
      </x:c>
      <x:c r="E407" s="10" t="str">
        <x:v>功能需求</x:v>
      </x:c>
      <x:c r="F407" s="10" t="str">
        <x:v>P0</x:v>
      </x:c>
      <x:c r="G407" s="9" t="str">
        <x:v>验证充值订单明细状态超时自动取消</x:v>
      </x:c>
      <x:c r="H407" s="9" t="str">
        <x:v>报表结果范围</x:v>
      </x:c>
      <x:c r="I407" s="9" t="str">
        <x:v>1. 当前执行账号具有管理后台会话，身份为平台管理员；具体账号及权限变化按以下条件准备
2. 订单A相关处理时间为9月14日，当前状态超时自动取消</x:v>
      </x:c>
      <x:c r="J407" s="9" t="str">
        <x:v>1. 打开充值订单明细
2. 选择统计日期2026-09-14至2026-09-14
3. 点击“查询”</x:v>
      </x:c>
      <x:c r="K407" s="9" t="str">
        <x:v>结果不包含订单A</x:v>
      </x:c>
      <x:c r="L407" s="10" t="str"/>
      <x:c r="M407" s="10" t="str">
        <x:v>未测</x:v>
      </x:c>
      <x:c r="N407" s="10" t="str"/>
      <x:c r="O407" s="9" t="str">
        <x:v>1. 来源（当前证据）：liveshow-proto/MainBasis/统一需求文档.md；位置：第3136行、第3129行、第3130行
2. 规则：BR-0dea8fcd9ea808cf
3. 未动态验证</x:v>
      </x:c>
    </x:row>
    <x:row r="408" ht="145" customHeight="1">
      <x:c r="A408" s="10" t="n">
        <x:v>407</x:v>
      </x:c>
      <x:c r="B408" s="10" t="str">
        <x:v>ADMIN-0407</x:v>
      </x:c>
      <x:c r="C408" s="10" t="str">
        <x:v>数据报表</x:v>
      </x:c>
      <x:c r="D408" s="10" t="str">
        <x:v>退款订单明细（平台管理员）</x:v>
      </x:c>
      <x:c r="E408" s="10" t="str">
        <x:v>功能需求</x:v>
      </x:c>
      <x:c r="F408" s="10" t="str">
        <x:v>P0</x:v>
      </x:c>
      <x:c r="G408" s="9" t="str">
        <x:v>验证退款订单明细状态处理中</x:v>
      </x:c>
      <x:c r="H408" s="9" t="str">
        <x:v>财务统计值</x:v>
      </x:c>
      <x:c r="I408" s="9" t="str">
        <x:v>1. 当前执行账号具有管理后台会话，身份为平台管理员；具体账号及权限变化按以下条件准备
2. 订单A相关处理时间为9月14日，当前状态处理中
3. A是支付渠道对原充值订单R1的退款请求，当前处理中，尚未生成已完成退款单</x:v>
      </x:c>
      <x:c r="J408" s="9" t="str">
        <x:v>1. 打开退款订单明细
2. 选择统计日期2026-09-14至2026-09-14
3. 点击“查询”</x:v>
      </x:c>
      <x:c r="K408" s="9" t="str">
        <x:v>报表不包含R1对应的已完成退款记录</x:v>
      </x:c>
      <x:c r="L408" s="10" t="str"/>
      <x:c r="M408" s="10" t="str">
        <x:v>未测</x:v>
      </x:c>
      <x:c r="N408" s="10" t="str"/>
      <x:c r="O408" s="9" t="str">
        <x:v>1. 来源（当前证据）：liveshow-proto/MainBasis/统一需求文档.md；位置：第3127行、第3119行、第3120行
2. 规则：BR-f5e2641d7fd435a6
3. 未动态验证</x:v>
      </x:c>
    </x:row>
    <x:row r="409" ht="100" customHeight="1">
      <x:c r="A409" s="10" t="n">
        <x:v>408</x:v>
      </x:c>
      <x:c r="B409" s="10" t="str">
        <x:v>ADMIN-0408</x:v>
      </x:c>
      <x:c r="C409" s="10" t="str">
        <x:v>数据报表</x:v>
      </x:c>
      <x:c r="D409" s="10" t="str">
        <x:v>退款订单明细（平台管理员）</x:v>
      </x:c>
      <x:c r="E409" s="10" t="str">
        <x:v>功能需求</x:v>
      </x:c>
      <x:c r="F409" s="10" t="str">
        <x:v>P0</x:v>
      </x:c>
      <x:c r="G409" s="9" t="str">
        <x:v>验证退款订单明细状态已完成</x:v>
      </x:c>
      <x:c r="H409" s="9" t="str">
        <x:v>财务统计值</x:v>
      </x:c>
      <x:c r="I409" s="9" t="str">
        <x:v>1. 当前执行账号具有管理后台会话，身份为平台管理员；具体账号及权限变化按以下条件准备
2. 订单A相关处理时间为9月14日，当前状态已完成</x:v>
      </x:c>
      <x:c r="J409" s="9" t="str">
        <x:v>1. 打开退款订单明细
2. 选择统计日期2026-09-14至2026-09-14
3. 点击“查询”</x:v>
      </x:c>
      <x:c r="K409" s="9" t="str">
        <x:v>结果包含订单A</x:v>
      </x:c>
      <x:c r="L409" s="10" t="str"/>
      <x:c r="M409" s="10" t="str">
        <x:v>未测</x:v>
      </x:c>
      <x:c r="N409" s="10" t="str"/>
      <x:c r="O409" s="9" t="str">
        <x:v>1. 来源（当前证据）：liveshow-proto/MainBasis/统一需求文档.md；位置：第3127行、第3119行、第3120行
2. 规则：BR-62fc8ccdfe56d918
3. 未动态验证</x:v>
      </x:c>
    </x:row>
    <x:row r="410" ht="145" customHeight="1">
      <x:c r="A410" s="10" t="n">
        <x:v>409</x:v>
      </x:c>
      <x:c r="B410" s="10" t="str">
        <x:v>ADMIN-0409</x:v>
      </x:c>
      <x:c r="C410" s="10" t="str">
        <x:v>数据报表</x:v>
      </x:c>
      <x:c r="D410" s="10" t="str">
        <x:v>退款订单明细（平台管理员）</x:v>
      </x:c>
      <x:c r="E410" s="10" t="str">
        <x:v>功能需求</x:v>
      </x:c>
      <x:c r="F410" s="10" t="str">
        <x:v>P0</x:v>
      </x:c>
      <x:c r="G410" s="9" t="str">
        <x:v>验证退款订单明细状态失败</x:v>
      </x:c>
      <x:c r="H410" s="9" t="str">
        <x:v>财务统计值</x:v>
      </x:c>
      <x:c r="I410" s="9" t="str">
        <x:v>1. 当前执行账号具有管理后台会话，身份为平台管理员；具体账号及权限变化按以下条件准备
2. 订单A相关处理时间为9月14日，当前状态失败
3. A是支付渠道对原充值订单R1的退款请求，当前失败，尚未生成已完成退款单</x:v>
      </x:c>
      <x:c r="J410" s="9" t="str">
        <x:v>1. 打开退款订单明细
2. 选择统计日期2026-09-14至2026-09-14
3. 点击“查询”</x:v>
      </x:c>
      <x:c r="K410" s="9" t="str">
        <x:v>报表不包含R1对应的已完成退款记录</x:v>
      </x:c>
      <x:c r="L410" s="10" t="str"/>
      <x:c r="M410" s="10" t="str">
        <x:v>未测</x:v>
      </x:c>
      <x:c r="N410" s="10" t="str"/>
      <x:c r="O410" s="9" t="str">
        <x:v>1. 来源（当前证据）：liveshow-proto/MainBasis/统一需求文档.md；位置：第3127行、第3119行、第3120行
2. 规则：BR-a03d569f603c211e
3. 未动态验证</x:v>
      </x:c>
    </x:row>
    <x:row r="411" ht="115" customHeight="1">
      <x:c r="A411" s="10" t="n">
        <x:v>410</x:v>
      </x:c>
      <x:c r="B411" s="10" t="str">
        <x:v>ADMIN-0410</x:v>
      </x:c>
      <x:c r="C411" s="10" t="str">
        <x:v>数据报表</x:v>
      </x:c>
      <x:c r="D411" s="10" t="str">
        <x:v>每日统计（平台管理员）</x:v>
      </x:c>
      <x:c r="E411" s="10" t="str">
        <x:v>功能需求</x:v>
      </x:c>
      <x:c r="F411" s="10" t="str">
        <x:v>P1</x:v>
      </x:c>
      <x:c r="G411" s="9" t="str">
        <x:v>验证每日统计导出筛选范围</x:v>
      </x:c>
      <x:c r="H411" s="9" t="str">
        <x:v>导出范围</x:v>
      </x:c>
      <x:c r="I411" s="9" t="str">
        <x:v>1. 当前执行账号具有管理后台会话，身份为平台管理员；具体账号及权限变化按以下条件准备
2. 9月14日存在范围内记录A，9月13日有范围外记录B；当前角色有查询和导出权限</x:v>
      </x:c>
      <x:c r="J411" s="9" t="str">
        <x:v>1. 打开每日统计
2. 选择统计日期2026-09-14至2026-09-14
3. 点击“查询”
4. 点击“导出”
5. 打开导出文件</x:v>
      </x:c>
      <x:c r="K411" s="9" t="str">
        <x:v>导出文件仅包含当前筛选范围的记录A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来源（当前证据）：liveshow-proto/MainBasis/统一需求文档.md；位置：第2985行、第2973行、第2974行
2. 规则：BR-018177638c18d7c8
3. 未动态验证</x:v>
      </x:c>
    </x:row>
    <x:row r="412" ht="115" customHeight="1">
      <x:c r="A412" s="10" t="n">
        <x:v>411</x:v>
      </x:c>
      <x:c r="B412" s="10" t="str">
        <x:v>ADMIN-0411</x:v>
      </x:c>
      <x:c r="C412" s="10" t="str">
        <x:v>数据报表</x:v>
      </x:c>
      <x:c r="D412" s="10" t="str">
        <x:v>用户活跃汇总（每日）（平台管理员）</x:v>
      </x:c>
      <x:c r="E412" s="10" t="str">
        <x:v>功能需求</x:v>
      </x:c>
      <x:c r="F412" s="10" t="str">
        <x:v>P1</x:v>
      </x:c>
      <x:c r="G412" s="9" t="str">
        <x:v>验证用户活跃汇总（每日）导出筛选范围</x:v>
      </x:c>
      <x:c r="H412" s="9" t="str">
        <x:v>导出范围</x:v>
      </x:c>
      <x:c r="I412" s="9" t="str">
        <x:v>1. 当前执行账号具有管理后台会话，身份为平台管理员；具体账号及权限变化按以下条件准备
2. 9月14日存在范围内记录A，9月13日有范围外记录B；当前角色有查询和导出权限</x:v>
      </x:c>
      <x:c r="J412" s="9" t="str">
        <x:v>1. 打开用户活跃汇总（每日）
2. 选择统计日期2026-09-14至2026-09-14
3. 点击“查询”
4. 点击“导出”
5. 打开导出文件</x:v>
      </x:c>
      <x:c r="K412" s="9" t="str">
        <x:v>导出文件仅包含当前筛选范围的记录A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来源（当前证据）：liveshow-proto/MainBasis/统一需求文档.md；位置：第2996行、第2988行、第2989行
2. 规则：BR-48b67f12388b3f3b
3. 未动态验证</x:v>
      </x:c>
    </x:row>
    <x:row r="413" ht="115" customHeight="1">
      <x:c r="A413" s="10" t="n">
        <x:v>412</x:v>
      </x:c>
      <x:c r="B413" s="10" t="str">
        <x:v>ADMIN-0412</x:v>
      </x:c>
      <x:c r="C413" s="10" t="str">
        <x:v>数据报表</x:v>
      </x:c>
      <x:c r="D413" s="10" t="str">
        <x:v>主播活跃汇总（每日）（平台管理员）</x:v>
      </x:c>
      <x:c r="E413" s="10" t="str">
        <x:v>功能需求</x:v>
      </x:c>
      <x:c r="F413" s="10" t="str">
        <x:v>P1</x:v>
      </x:c>
      <x:c r="G413" s="9" t="str">
        <x:v>验证主播活跃汇总（每日）导出筛选范围</x:v>
      </x:c>
      <x:c r="H413" s="9" t="str">
        <x:v>导出范围</x:v>
      </x:c>
      <x:c r="I413" s="9" t="str">
        <x:v>1. 当前执行账号具有管理后台会话，身份为平台管理员；具体账号及权限变化按以下条件准备
2. 9月14日存在范围内记录A，9月13日有范围外记录B；当前角色有查询和导出权限</x:v>
      </x:c>
      <x:c r="J413" s="9" t="str">
        <x:v>1. 打开主播活跃汇总（每日）
2. 选择统计日期2026-09-14至2026-09-14
3. 点击“查询”
4. 点击“导出”
5. 打开导出文件</x:v>
      </x:c>
      <x:c r="K413" s="9" t="str">
        <x:v>导出文件仅包含当前筛选范围的记录A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来源（当前证据）：liveshow-proto/MainBasis/统一需求文档.md；位置：第3008行、第2998行、第2999行
2. 规则：BR-97185d2aba995d45
3. 未动态验证</x:v>
      </x:c>
    </x:row>
    <x:row r="414" ht="115" customHeight="1">
      <x:c r="A414" s="10" t="n">
        <x:v>413</x:v>
      </x:c>
      <x:c r="B414" s="10" t="str">
        <x:v>ADMIN-0413</x:v>
      </x:c>
      <x:c r="C414" s="10" t="str">
        <x:v>数据报表</x:v>
      </x:c>
      <x:c r="D414" s="10" t="str">
        <x:v>直播间互动汇总（每日）（平台管理员）</x:v>
      </x:c>
      <x:c r="E414" s="10" t="str">
        <x:v>功能需求</x:v>
      </x:c>
      <x:c r="F414" s="10" t="str">
        <x:v>P1</x:v>
      </x:c>
      <x:c r="G414" s="9" t="str">
        <x:v>验证直播间互动汇总（每日）导出筛选范围</x:v>
      </x:c>
      <x:c r="H414" s="9" t="str">
        <x:v>导出范围</x:v>
      </x:c>
      <x:c r="I414" s="9" t="str">
        <x:v>1. 当前执行账号具有管理后台会话，身份为平台管理员；具体账号及权限变化按以下条件准备
2. 9月14日存在范围内记录A，9月13日有范围外记录B；当前角色有查询和导出权限</x:v>
      </x:c>
      <x:c r="J414" s="9" t="str">
        <x:v>1. 打开直播间互动汇总（每日）
2. 选择统计日期2026-09-14至2026-09-14
3. 点击“查询”
4. 点击“导出”
5. 打开导出文件</x:v>
      </x:c>
      <x:c r="K414" s="9" t="str">
        <x:v>导出文件仅包含当前筛选范围的记录A</x:v>
      </x:c>
      <x:c r="L414" s="10" t="str"/>
      <x:c r="M414" s="10" t="str">
        <x:v>未测</x:v>
      </x:c>
      <x:c r="N414" s="10" t="str"/>
      <x:c r="O414" s="9" t="str">
        <x:v>1. 来源（当前证据）：liveshow-proto/MainBasis/统一需求文档.md；位置：第3017行、第3010行、第3011行
2. 规则：BR-b4717067068aee19
3. 未动态验证</x:v>
      </x:c>
    </x:row>
    <x:row r="415" ht="115" customHeight="1">
      <x:c r="A415" s="10" t="n">
        <x:v>414</x:v>
      </x:c>
      <x:c r="B415" s="10" t="str">
        <x:v>ADMIN-0414</x:v>
      </x:c>
      <x:c r="C415" s="10" t="str">
        <x:v>数据报表</x:v>
      </x:c>
      <x:c r="D415" s="10" t="str">
        <x:v>直播记录明细报表（平台管理员）</x:v>
      </x:c>
      <x:c r="E415" s="10" t="str">
        <x:v>功能需求</x:v>
      </x:c>
      <x:c r="F415" s="10" t="str">
        <x:v>P1</x:v>
      </x:c>
      <x:c r="G415" s="9" t="str">
        <x:v>验证直播记录明细报表导出筛选范围</x:v>
      </x:c>
      <x:c r="H415" s="9" t="str">
        <x:v>导出范围</x:v>
      </x:c>
      <x:c r="I415" s="9" t="str">
        <x:v>1. 当前执行账号具有管理后台会话，身份为平台管理员；具体账号及权限变化按以下条件准备
2. 9月14日存在范围内记录A，9月13日有范围外记录B；当前角色有查询和导出权限</x:v>
      </x:c>
      <x:c r="J415" s="9" t="str">
        <x:v>1. 打开直播记录明细报表
2. 选择统计日期2026-09-14至2026-09-14
3. 点击“查询”
4. 点击“导出”
5. 打开导出文件</x:v>
      </x:c>
      <x:c r="K415" s="9" t="str">
        <x:v>导出文件仅包含当前筛选范围的记录A</x:v>
      </x:c>
      <x:c r="L415" s="10" t="str"/>
      <x:c r="M415" s="10" t="str">
        <x:v>未测</x:v>
      </x:c>
      <x:c r="N415" s="10" t="str"/>
      <x:c r="O415" s="9" t="str">
        <x:v>1. 来源（当前证据）：liveshow-proto/MainBasis/统一需求文档.md；位置：第3029行、第3019行、第3020行
2. 规则：BR-3e055c2ad3eaedc5
3. 未动态验证</x:v>
      </x:c>
    </x:row>
    <x:row r="416" ht="115" customHeight="1">
      <x:c r="A416" s="10" t="n">
        <x:v>415</x:v>
      </x:c>
      <x:c r="B416" s="10" t="str">
        <x:v>ADMIN-0415</x:v>
      </x:c>
      <x:c r="C416" s="10" t="str">
        <x:v>数据报表</x:v>
      </x:c>
      <x:c r="D416" s="10" t="str">
        <x:v>充值消费汇总（每日）（平台管理员）</x:v>
      </x:c>
      <x:c r="E416" s="10" t="str">
        <x:v>功能需求</x:v>
      </x:c>
      <x:c r="F416" s="10" t="str">
        <x:v>P0</x:v>
      </x:c>
      <x:c r="G416" s="9" t="str">
        <x:v>验证充值消费汇总（每日）导出筛选范围</x:v>
      </x:c>
      <x:c r="H416" s="9" t="str">
        <x:v>导出范围</x:v>
      </x:c>
      <x:c r="I416" s="9" t="str">
        <x:v>1. 当前执行账号具有管理后台会话，身份为平台管理员；具体账号及权限变化按以下条件准备
2. 9月14日存在范围内记录A，9月13日有范围外记录B；当前角色有查询和导出权限</x:v>
      </x:c>
      <x:c r="J416" s="9" t="str">
        <x:v>1. 打开充值消费汇总（每日）
2. 选择统计日期2026-09-14至2026-09-14
3. 点击“查询”
4. 点击“导出”
5. 打开导出文件</x:v>
      </x:c>
      <x:c r="K416" s="9" t="str">
        <x:v>导出文件仅包含当前筛选范围的记录A</x:v>
      </x:c>
      <x:c r="L416" s="10" t="str"/>
      <x:c r="M416" s="10" t="str">
        <x:v>未测</x:v>
      </x:c>
      <x:c r="N416" s="10" t="str"/>
      <x:c r="O416" s="9" t="str">
        <x:v>1. 来源（当前证据）：liveshow-proto/MainBasis/统一需求文档.md；位置：第3042行、第3032行、第3033行
2. 规则：BR-36f8019981db0f41
3. 未动态验证</x:v>
      </x:c>
    </x:row>
    <x:row r="417" ht="115" customHeight="1">
      <x:c r="A417" s="10" t="n">
        <x:v>416</x:v>
      </x:c>
      <x:c r="B417" s="10" t="str">
        <x:v>ADMIN-0416</x:v>
      </x:c>
      <x:c r="C417" s="10" t="str">
        <x:v>数据报表</x:v>
      </x:c>
      <x:c r="D417" s="10" t="str">
        <x:v>充值用户分层汇总（每日）（平台管理员）</x:v>
      </x:c>
      <x:c r="E417" s="10" t="str">
        <x:v>功能需求</x:v>
      </x:c>
      <x:c r="F417" s="10" t="str">
        <x:v>P0</x:v>
      </x:c>
      <x:c r="G417" s="9" t="str">
        <x:v>验证充值用户分层汇总（每日）导出筛选范围</x:v>
      </x:c>
      <x:c r="H417" s="9" t="str">
        <x:v>导出范围</x:v>
      </x:c>
      <x:c r="I417" s="9" t="str">
        <x:v>1. 当前执行账号具有管理后台会话，身份为平台管理员；具体账号及权限变化按以下条件准备
2. 9月14日存在范围内记录A，9月13日有范围外记录B；当前角色有查询和导出权限</x:v>
      </x:c>
      <x:c r="J417" s="9" t="str">
        <x:v>1. 打开充值用户分层汇总（每日）
2. 选择统计日期2026-09-14至2026-09-14
3. 点击“查询”
4. 点击“导出”
5. 打开导出文件</x:v>
      </x:c>
      <x:c r="K417" s="9" t="str">
        <x:v>导出文件仅包含当前筛选范围的记录A</x:v>
      </x:c>
      <x:c r="L417" s="10" t="str"/>
      <x:c r="M417" s="10" t="str">
        <x:v>未测</x:v>
      </x:c>
      <x:c r="N417" s="10" t="str"/>
      <x:c r="O417" s="9" t="str">
        <x:v>1. 来源（当前证据）：liveshow-proto/MainBasis/统一需求文档.md；位置：第3052行、第3044行、第3045行
2. 规则：BR-369335ec764a7c3b
3. 未动态验证</x:v>
      </x:c>
    </x:row>
    <x:row r="418" ht="115" customHeight="1">
      <x:c r="A418" s="10" t="n">
        <x:v>417</x:v>
      </x:c>
      <x:c r="B418" s="10" t="str">
        <x:v>ADMIN-0417</x:v>
      </x:c>
      <x:c r="C418" s="10" t="str">
        <x:v>数据报表</x:v>
      </x:c>
      <x:c r="D418" s="10" t="str">
        <x:v>主播业绩分成报表（平台管理员）</x:v>
      </x:c>
      <x:c r="E418" s="10" t="str">
        <x:v>功能需求</x:v>
      </x:c>
      <x:c r="F418" s="10" t="str">
        <x:v>P1</x:v>
      </x:c>
      <x:c r="G418" s="9" t="str">
        <x:v>验证主播业绩分成报表导出筛选范围</x:v>
      </x:c>
      <x:c r="H418" s="9" t="str">
        <x:v>导出范围</x:v>
      </x:c>
      <x:c r="I418" s="9" t="str">
        <x:v>1. 当前执行账号具有管理后台会话，身份为平台管理员；具体账号及权限变化按以下条件准备
2. 9月14日存在范围内记录A，9月13日有范围外记录B；当前角色有查询和导出权限</x:v>
      </x:c>
      <x:c r="J418" s="9" t="str">
        <x:v>1. 打开主播业绩分成报表
2. 选择统计日期2026-09-14至2026-09-14
3. 点击“查询”
4. 点击“导出”
5. 打开导出文件</x:v>
      </x:c>
      <x:c r="K418" s="9" t="str">
        <x:v>导出文件仅包含当前筛选范围的记录A</x:v>
      </x:c>
      <x:c r="L418" s="10" t="str"/>
      <x:c r="M418" s="10" t="str">
        <x:v>未测</x:v>
      </x:c>
      <x:c r="N418" s="10" t="str"/>
      <x:c r="O418" s="9" t="str">
        <x:v>1. 来源（当前证据）：liveshow-proto/MainBasis/统一需求文档.md；位置：第3075行、第3065行、第3066行
2. 规则：BR-20b9c45f31734083
3. 未动态验证</x:v>
      </x:c>
    </x:row>
    <x:row r="419" ht="115" customHeight="1">
      <x:c r="A419" s="10" t="n">
        <x:v>418</x:v>
      </x:c>
      <x:c r="B419" s="10" t="str">
        <x:v>ADMIN-0418</x:v>
      </x:c>
      <x:c r="C419" s="10" t="str">
        <x:v>数据报表</x:v>
      </x:c>
      <x:c r="D419" s="10" t="str">
        <x:v>主播礼物打赏明细报表（平台管理员）</x:v>
      </x:c>
      <x:c r="E419" s="10" t="str">
        <x:v>功能需求</x:v>
      </x:c>
      <x:c r="F419" s="10" t="str">
        <x:v>P1</x:v>
      </x:c>
      <x:c r="G419" s="9" t="str">
        <x:v>验证主播礼物打赏明细报表导出筛选范围</x:v>
      </x:c>
      <x:c r="H419" s="9" t="str">
        <x:v>导出范围</x:v>
      </x:c>
      <x:c r="I419" s="9" t="str">
        <x:v>1. 当前执行账号具有管理后台会话，身份为平台管理员；具体账号及权限变化按以下条件准备
2. 9月14日存在范围内记录A，9月13日有范围外记录B；当前角色有查询和导出权限</x:v>
      </x:c>
      <x:c r="J419" s="9" t="str">
        <x:v>1. 打开主播礼物打赏明细报表
2. 选择统计日期2026-09-14至2026-09-14
3. 点击“查询”
4. 点击“导出”
5. 打开导出文件</x:v>
      </x:c>
      <x:c r="K419" s="9" t="str">
        <x:v>导出文件仅包含当前筛选范围的记录A</x:v>
      </x:c>
      <x:c r="L419" s="10" t="str"/>
      <x:c r="M419" s="10" t="str">
        <x:v>未测</x:v>
      </x:c>
      <x:c r="N419" s="10" t="str"/>
      <x:c r="O419" s="9" t="str">
        <x:v>1. 来源（当前证据）：liveshow-proto/MainBasis/统一需求文档.md；位置：第3085行、第3078行、第3079行
2. 规则：BR-f8136b82876265c0
3. 未动态验证</x:v>
      </x:c>
    </x:row>
    <x:row r="420" ht="115" customHeight="1">
      <x:c r="A420" s="10" t="n">
        <x:v>419</x:v>
      </x:c>
      <x:c r="B420" s="10" t="str">
        <x:v>ADMIN-0419</x:v>
      </x:c>
      <x:c r="C420" s="10" t="str">
        <x:v>数据报表</x:v>
      </x:c>
      <x:c r="D420" s="10" t="str">
        <x:v>用户消费汇总报表（平台管理员）</x:v>
      </x:c>
      <x:c r="E420" s="10" t="str">
        <x:v>功能需求</x:v>
      </x:c>
      <x:c r="F420" s="10" t="str">
        <x:v>P1</x:v>
      </x:c>
      <x:c r="G420" s="9" t="str">
        <x:v>验证用户消费汇总报表导出筛选范围</x:v>
      </x:c>
      <x:c r="H420" s="9" t="str">
        <x:v>导出范围</x:v>
      </x:c>
      <x:c r="I420" s="9" t="str">
        <x:v>1. 当前执行账号具有管理后台会话，身份为平台管理员；具体账号及权限变化按以下条件准备
2. 9月14日存在范围内记录A，9月13日有范围外记录B；当前角色有查询和导出权限</x:v>
      </x:c>
      <x:c r="J420" s="9" t="str">
        <x:v>1. 打开用户消费汇总报表
2. 选择统计日期2026-09-14至2026-09-14
3. 点击“查询”
4. 点击“导出”
5. 打开导出文件</x:v>
      </x:c>
      <x:c r="K420" s="9" t="str">
        <x:v>导出文件仅包含当前筛选范围的记录A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来源（当前证据）：liveshow-proto/MainBasis/统一需求文档.md；位置：第3095行、第3088行、第3089行
2. 规则：BR-cb597e2483e52c90
3. 未动态验证</x:v>
      </x:c>
    </x:row>
    <x:row r="421" ht="115" customHeight="1">
      <x:c r="A421" s="10" t="n">
        <x:v>420</x:v>
      </x:c>
      <x:c r="B421" s="10" t="str">
        <x:v>ADMIN-0420</x:v>
      </x:c>
      <x:c r="C421" s="10" t="str">
        <x:v>数据报表</x:v>
      </x:c>
      <x:c r="D421" s="10" t="str">
        <x:v>礼物消费汇总报表（平台管理员）</x:v>
      </x:c>
      <x:c r="E421" s="10" t="str">
        <x:v>功能需求</x:v>
      </x:c>
      <x:c r="F421" s="10" t="str">
        <x:v>P1</x:v>
      </x:c>
      <x:c r="G421" s="9" t="str">
        <x:v>验证礼物消费汇总报表导出筛选范围</x:v>
      </x:c>
      <x:c r="H421" s="9" t="str">
        <x:v>导出范围</x:v>
      </x:c>
      <x:c r="I421" s="9" t="str">
        <x:v>1. 当前执行账号具有管理后台会话，身份为平台管理员；具体账号及权限变化按以下条件准备
2. 9月14日存在范围内记录A，9月13日有范围外记录B；当前角色有查询和导出权限</x:v>
      </x:c>
      <x:c r="J421" s="9" t="str">
        <x:v>1. 打开礼物消费汇总报表
2. 选择统计日期2026-09-14至2026-09-14
3. 点击“查询”
4. 点击“导出”
5. 打开导出文件</x:v>
      </x:c>
      <x:c r="K421" s="9" t="str">
        <x:v>导出文件仅包含当前筛选范围的记录A</x:v>
      </x:c>
      <x:c r="L421" s="10" t="str"/>
      <x:c r="M421" s="10" t="str">
        <x:v>未测</x:v>
      </x:c>
      <x:c r="N421" s="10" t="str"/>
      <x:c r="O421" s="9" t="str">
        <x:v>1. 来源（当前证据）：liveshow-proto/MainBasis/统一需求文档.md；位置：第3105行、第3098行、第3099行
2. 规则：BR-ba74b215d6d9b473
3. 未动态验证</x:v>
      </x:c>
    </x:row>
    <x:row r="422" ht="115" customHeight="1">
      <x:c r="A422" s="10" t="n">
        <x:v>421</x:v>
      </x:c>
      <x:c r="B422" s="10" t="str">
        <x:v>ADMIN-0421</x:v>
      </x:c>
      <x:c r="C422" s="10" t="str">
        <x:v>数据报表</x:v>
      </x:c>
      <x:c r="D422" s="10" t="str">
        <x:v>消费订单明细（平台管理员）</x:v>
      </x:c>
      <x:c r="E422" s="10" t="str">
        <x:v>功能需求</x:v>
      </x:c>
      <x:c r="F422" s="10" t="str">
        <x:v>P1</x:v>
      </x:c>
      <x:c r="G422" s="9" t="str">
        <x:v>验证消费订单明细导出筛选范围</x:v>
      </x:c>
      <x:c r="H422" s="9" t="str">
        <x:v>导出范围</x:v>
      </x:c>
      <x:c r="I422" s="9" t="str">
        <x:v>1. 当前执行账号具有管理后台会话，身份为平台管理员；具体账号及权限变化按以下条件准备
2. 9月14日存在范围内记录A，9月13日有范围外记录B；当前角色有查询和导出权限</x:v>
      </x:c>
      <x:c r="J422" s="9" t="str">
        <x:v>1. 打开消费订单明细
2. 选择统计日期2026-09-14至2026-09-14
3. 点击“查询”
4. 点击“导出”
5. 打开导出文件</x:v>
      </x:c>
      <x:c r="K422" s="9" t="str">
        <x:v>导出文件仅包含当前筛选范围的记录A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来源（当前证据）：liveshow-proto/MainBasis/统一需求文档.md；位置：第3116行、第3108行、第3109行
2. 规则：BR-cbe641130223fafc
3. 未动态验证</x:v>
      </x:c>
    </x:row>
    <x:row r="423" ht="115" customHeight="1">
      <x:c r="A423" s="10" t="n">
        <x:v>422</x:v>
      </x:c>
      <x:c r="B423" s="10" t="str">
        <x:v>ADMIN-0422</x:v>
      </x:c>
      <x:c r="C423" s="10" t="str">
        <x:v>数据报表</x:v>
      </x:c>
      <x:c r="D423" s="10" t="str">
        <x:v>退款订单明细（平台管理员）</x:v>
      </x:c>
      <x:c r="E423" s="10" t="str">
        <x:v>功能需求</x:v>
      </x:c>
      <x:c r="F423" s="10" t="str">
        <x:v>P0</x:v>
      </x:c>
      <x:c r="G423" s="9" t="str">
        <x:v>验证退款订单明细导出筛选范围</x:v>
      </x:c>
      <x:c r="H423" s="9" t="str">
        <x:v>导出范围</x:v>
      </x:c>
      <x:c r="I423" s="9" t="str">
        <x:v>1. 当前执行账号具有管理后台会话，身份为平台管理员；具体账号及权限变化按以下条件准备
2. 9月14日存在范围内记录A，9月13日有范围外记录B；当前角色有查询和导出权限</x:v>
      </x:c>
      <x:c r="J423" s="9" t="str">
        <x:v>1. 打开退款订单明细
2. 选择统计日期2026-09-14至2026-09-14
3. 点击“查询”
4. 点击“导出”
5. 打开导出文件</x:v>
      </x:c>
      <x:c r="K423" s="9" t="str">
        <x:v>导出文件仅包含当前筛选范围的记录A</x:v>
      </x:c>
      <x:c r="L423" s="10" t="str"/>
      <x:c r="M423" s="10" t="str">
        <x:v>未测</x:v>
      </x:c>
      <x:c r="N423" s="10" t="str"/>
      <x:c r="O423" s="9" t="str">
        <x:v>1. 来源（当前证据）：liveshow-proto/MainBasis/统一需求文档.md；位置：第3126行、第3119行、第3120行
2. 规则：BR-54b25bf905131e08
3. 未动态验证</x:v>
      </x:c>
    </x:row>
    <x:row r="424" ht="115" customHeight="1">
      <x:c r="A424" s="10" t="n">
        <x:v>423</x:v>
      </x:c>
      <x:c r="B424" s="10" t="str">
        <x:v>ADMIN-0423</x:v>
      </x:c>
      <x:c r="C424" s="10" t="str">
        <x:v>数据报表</x:v>
      </x:c>
      <x:c r="D424" s="10" t="str">
        <x:v>充值订单明细（平台管理员）</x:v>
      </x:c>
      <x:c r="E424" s="10" t="str">
        <x:v>功能需求</x:v>
      </x:c>
      <x:c r="F424" s="10" t="str">
        <x:v>P0</x:v>
      </x:c>
      <x:c r="G424" s="9" t="str">
        <x:v>验证充值订单明细导出筛选范围</x:v>
      </x:c>
      <x:c r="H424" s="9" t="str">
        <x:v>导出范围</x:v>
      </x:c>
      <x:c r="I424" s="9" t="str">
        <x:v>1. 当前执行账号具有管理后台会话，身份为平台管理员；具体账号及权限变化按以下条件准备
2. 9月14日存在范围内记录A，9月13日有范围外记录B；当前角色有查询和导出权限</x:v>
      </x:c>
      <x:c r="J424" s="9" t="str">
        <x:v>1. 打开充值订单明细
2. 选择统计日期2026-09-14至2026-09-14
3. 点击“查询”
4. 点击“导出”
5. 打开导出文件</x:v>
      </x:c>
      <x:c r="K424" s="9" t="str">
        <x:v>导出文件仅包含当前筛选范围的记录A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来源（当前证据）：liveshow-proto/MainBasis/统一需求文档.md；位置：第3137行、第3129行、第3130行
2. 规则：BR-d0eabed8c6bb1c77
3. 未动态验证</x:v>
      </x:c>
    </x:row>
    <x:row r="425" ht="100" customHeight="1">
      <x:c r="A425" s="10" t="n">
        <x:v>424</x:v>
      </x:c>
      <x:c r="B425" s="10" t="str">
        <x:v>ADMIN-0424</x:v>
      </x:c>
      <x:c r="C425" s="10" t="str">
        <x:v>运营配置</x:v>
      </x:c>
      <x:c r="D425" s="10" t="str">
        <x:v>直播房型（平台管理员）</x:v>
      </x:c>
      <x:c r="E425" s="10" t="str">
        <x:v>业务流程</x:v>
      </x:c>
      <x:c r="F425" s="10" t="str">
        <x:v>P1</x:v>
      </x:c>
      <x:c r="G425" s="9" t="str">
        <x:v>验证关闭门票房保留已开播场次</x:v>
      </x:c>
      <x:c r="H425" s="9" t="str">
        <x:v>房型关闭影响</x:v>
      </x:c>
      <x:c r="I425" s="9" t="str">
        <x:v>1. 当前执行账号具有管理后台会话，身份为平台管理员；具体账号及权限变化按以下条件准备
2. 已有门票房场次S直播中，历史场次T已结束</x:v>
      </x:c>
      <x:c r="J425" s="9" t="str">
        <x:v>1. 打开直播房型
2. 关闭门票房开关
3. 打开直播场次
4. 查看场次S状态</x:v>
      </x:c>
      <x:c r="K425" s="9" t="str">
        <x:v>场次S仍为直播中</x:v>
      </x:c>
      <x:c r="L425" s="10" t="str">
        <x:v>FLOW-ROOM-CONFIG</x:v>
      </x:c>
      <x:c r="M425" s="10" t="str">
        <x:v>未测</x:v>
      </x:c>
      <x:c r="N425" s="10" t="str"/>
      <x:c r="O425" s="9" t="str">
        <x:v>1. 来源（当前证据）：liveshow-proto/MainBasis/统一需求文档.md；位置：第2734行、第2294行、第2728行、第2729行
2. 规则：BR-8d8136f69068f200
3. 未动态验证</x:v>
      </x:c>
    </x:row>
    <x:row r="426" ht="100" customHeight="1">
      <x:c r="A426" s="10" t="n">
        <x:v>425</x:v>
      </x:c>
      <x:c r="B426" s="10" t="str">
        <x:v>ADMIN-0425</x:v>
      </x:c>
      <x:c r="C426" s="10" t="str">
        <x:v>运营配置</x:v>
      </x:c>
      <x:c r="D426" s="10" t="str">
        <x:v>直播房型（平台管理员）</x:v>
      </x:c>
      <x:c r="E426" s="10" t="str">
        <x:v>业务流程</x:v>
      </x:c>
      <x:c r="F426" s="10" t="str">
        <x:v>P1</x:v>
      </x:c>
      <x:c r="G426" s="9" t="str">
        <x:v>验证关闭密码房保留已开播场次</x:v>
      </x:c>
      <x:c r="H426" s="9" t="str">
        <x:v>房型关闭影响</x:v>
      </x:c>
      <x:c r="I426" s="9" t="str">
        <x:v>1. 当前执行账号具有管理后台会话，身份为平台管理员；具体账号及权限变化按以下条件准备
2. 已有密码房场次S直播中，历史场次T已结束</x:v>
      </x:c>
      <x:c r="J426" s="9" t="str">
        <x:v>1. 打开直播房型
2. 关闭密码房开关
3. 打开直播场次
4. 查看场次S状态</x:v>
      </x:c>
      <x:c r="K426" s="9" t="str">
        <x:v>场次S仍为直播中</x:v>
      </x:c>
      <x:c r="L426" s="10" t="str">
        <x:v>FLOW-ROOM-CONFIG</x:v>
      </x:c>
      <x:c r="M426" s="10" t="str">
        <x:v>未测</x:v>
      </x:c>
      <x:c r="N426" s="10" t="str"/>
      <x:c r="O426" s="9" t="str">
        <x:v>1. 来源（当前证据）：liveshow-proto/MainBasis/统一需求文档.md；位置：第2734行、第2294行、第2728行、第2729行
2. 规则：BR-e4fdca848109511e
3. 未动态验证</x:v>
      </x:c>
    </x:row>
    <x:row r="427" ht="100" customHeight="1">
      <x:c r="A427" s="10" t="n">
        <x:v>426</x:v>
      </x:c>
      <x:c r="B427" s="10" t="str">
        <x:v>ADMIN-0426</x:v>
      </x:c>
      <x:c r="C427" s="10" t="str">
        <x:v>内容审核</x:v>
      </x:c>
      <x:c r="D427" s="10" t="str">
        <x:v>违规类型（平台管理员）</x:v>
      </x:c>
      <x:c r="E427" s="10" t="str">
        <x:v>功能需求</x:v>
      </x:c>
      <x:c r="F427" s="10" t="str">
        <x:v>P1</x:v>
      </x:c>
      <x:c r="G427" s="9" t="str">
        <x:v>验证系统违规类型不可停用</x:v>
      </x:c>
      <x:c r="H427" s="9" t="str">
        <x:v>系统类型启停权限</x:v>
      </x:c>
      <x:c r="I427" s="9" t="str">
        <x:v>1. 当前执行账号具有管理后台会话，身份为平台管理员；具体账号及权限变化按以下条件准备
2. 类型A为默认前三个系统预置类型之一</x:v>
      </x:c>
      <x:c r="J427" s="9" t="str">
        <x:v>1. 打开违规类型
2. 查看类型A操作区</x:v>
      </x:c>
      <x:c r="K427" s="9" t="str">
        <x:v>类型A不能停用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来源（当前证据）：liveshow-proto/MainBasis/统一需求文档.md；位置：第2411行、第2401行、第2402行
2. 规则：BR-3075143fdb620a23
3. 未动态验证</x:v>
      </x:c>
    </x:row>
    <x:row r="428" ht="100" customHeight="1">
      <x:c r="A428" s="10" t="n">
        <x:v>427</x:v>
      </x:c>
      <x:c r="B428" s="10" t="str">
        <x:v>ADMIN-0427</x:v>
      </x:c>
      <x:c r="C428" s="10" t="str">
        <x:v>内容审核</x:v>
      </x:c>
      <x:c r="D428" s="10" t="str">
        <x:v>违规类型（平台管理员）</x:v>
      </x:c>
      <x:c r="E428" s="10" t="str">
        <x:v>功能需求</x:v>
      </x:c>
      <x:c r="F428" s="10" t="str">
        <x:v>P1</x:v>
      </x:c>
      <x:c r="G428" s="9" t="str">
        <x:v>验证系统违规类型不可删除</x:v>
      </x:c>
      <x:c r="H428" s="9" t="str">
        <x:v>系统类型删除权限</x:v>
      </x:c>
      <x:c r="I428" s="9" t="str">
        <x:v>1. 当前执行账号具有管理后台会话，身份为平台管理员；具体账号及权限变化按以下条件准备
2. 类型A为默认前三个系统预置类型之一</x:v>
      </x:c>
      <x:c r="J428" s="9" t="str">
        <x:v>1. 打开违规类型
2. 查看类型A操作区</x:v>
      </x:c>
      <x:c r="K428" s="9" t="str">
        <x:v>类型A不能删除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来源（当前证据）：liveshow-proto/MainBasis/统一需求文档.md；位置：第2411行、第2401行、第2402行
2. 规则：BR-d5b6f86ffd27253a
3. 未动态验证</x:v>
      </x:c>
    </x:row>
    <x:row r="429" ht="100" customHeight="1">
      <x:c r="A429" s="10" t="n">
        <x:v>428</x:v>
      </x:c>
      <x:c r="B429" s="10" t="str">
        <x:v>ADMIN-0428</x:v>
      </x:c>
      <x:c r="C429" s="10" t="str">
        <x:v>内容审核</x:v>
      </x:c>
      <x:c r="D429" s="10" t="str">
        <x:v>违规类型编辑（平台管理员）</x:v>
      </x:c>
      <x:c r="E429" s="10" t="str">
        <x:v>功能需求</x:v>
      </x:c>
      <x:c r="F429" s="10" t="str">
        <x:v>P1</x:v>
      </x:c>
      <x:c r="G429" s="9" t="str">
        <x:v>验证违规类型中文名称重复</x:v>
      </x:c>
      <x:c r="H429" s="9" t="str">
        <x:v>类型名称唯一</x:v>
      </x:c>
      <x:c r="I429" s="9" t="str">
        <x:v>1. 当前执行账号具有管理后台会话，身份为平台管理员；具体账号及权限变化按以下条件准备
2. 已存在类型A；正在新增类型B，四语名称和排序1已填写</x:v>
      </x:c>
      <x:c r="J429" s="9" t="str">
        <x:v>1. 打开违规类型编辑
2. 输入中文名称为类型A的同语言名称
3. 点击“保存”</x:v>
      </x:c>
      <x:c r="K429" s="9" t="str">
        <x:v>不保存同语言重复名称</x:v>
      </x:c>
      <x:c r="L429" s="10" t="str"/>
      <x:c r="M429" s="10" t="str">
        <x:v>未测</x:v>
      </x:c>
      <x:c r="N429" s="10" t="str"/>
      <x:c r="O429" s="9" t="str">
        <x:v>1. 来源（当前证据）：liveshow-proto/MainBasis/统一需求文档.md；位置：第2420行、第2415行、第2416行
2. 规则：BR-705a8a71a5035eb2
3. 未动态验证</x:v>
      </x:c>
    </x:row>
    <x:row r="430" ht="100" customHeight="1">
      <x:c r="A430" s="10" t="n">
        <x:v>429</x:v>
      </x:c>
      <x:c r="B430" s="10" t="str">
        <x:v>ADMIN-0429</x:v>
      </x:c>
      <x:c r="C430" s="10" t="str">
        <x:v>内容审核</x:v>
      </x:c>
      <x:c r="D430" s="10" t="str">
        <x:v>违规类型编辑（平台管理员）</x:v>
      </x:c>
      <x:c r="E430" s="10" t="str">
        <x:v>功能需求</x:v>
      </x:c>
      <x:c r="F430" s="10" t="str">
        <x:v>P1</x:v>
      </x:c>
      <x:c r="G430" s="9" t="str">
        <x:v>验证违规类型英文名称重复</x:v>
      </x:c>
      <x:c r="H430" s="9" t="str">
        <x:v>类型名称唯一</x:v>
      </x:c>
      <x:c r="I430" s="9" t="str">
        <x:v>1. 当前执行账号具有管理后台会话，身份为平台管理员；具体账号及权限变化按以下条件准备
2. 已存在类型A；正在新增类型B，四语名称和排序1已填写</x:v>
      </x:c>
      <x:c r="J430" s="9" t="str">
        <x:v>1. 打开违规类型编辑
2. 输入英文名称为类型A的同语言名称
3. 点击“保存”</x:v>
      </x:c>
      <x:c r="K430" s="9" t="str">
        <x:v>不保存同语言重复名称</x:v>
      </x:c>
      <x:c r="L430" s="10" t="str"/>
      <x:c r="M430" s="10" t="str">
        <x:v>未测</x:v>
      </x:c>
      <x:c r="N430" s="10" t="str"/>
      <x:c r="O430" s="9" t="str">
        <x:v>1. 来源（当前证据）：liveshow-proto/MainBasis/统一需求文档.md；位置：第2420行、第2415行、第2416行
2. 规则：BR-7c98d593c8205e74
3. 未动态验证</x:v>
      </x:c>
    </x:row>
    <x:row r="431" ht="100" customHeight="1">
      <x:c r="A431" s="10" t="n">
        <x:v>430</x:v>
      </x:c>
      <x:c r="B431" s="10" t="str">
        <x:v>ADMIN-0430</x:v>
      </x:c>
      <x:c r="C431" s="10" t="str">
        <x:v>内容审核</x:v>
      </x:c>
      <x:c r="D431" s="10" t="str">
        <x:v>违规类型编辑（平台管理员）</x:v>
      </x:c>
      <x:c r="E431" s="10" t="str">
        <x:v>功能需求</x:v>
      </x:c>
      <x:c r="F431" s="10" t="str">
        <x:v>P1</x:v>
      </x:c>
      <x:c r="G431" s="9" t="str">
        <x:v>验证违规类型印尼语名称重复</x:v>
      </x:c>
      <x:c r="H431" s="9" t="str">
        <x:v>类型名称唯一</x:v>
      </x:c>
      <x:c r="I431" s="9" t="str">
        <x:v>1. 当前执行账号具有管理后台会话，身份为平台管理员；具体账号及权限变化按以下条件准备
2. 已存在类型A；正在新增类型B，四语名称和排序1已填写</x:v>
      </x:c>
      <x:c r="J431" s="9" t="str">
        <x:v>1. 打开违规类型编辑
2. 输入印尼语名称为类型A的同语言名称
3. 点击“保存”</x:v>
      </x:c>
      <x:c r="K431" s="9" t="str">
        <x:v>不保存同语言重复名称</x:v>
      </x:c>
      <x:c r="L431" s="10" t="str"/>
      <x:c r="M431" s="10" t="str">
        <x:v>未测</x:v>
      </x:c>
      <x:c r="N431" s="10" t="str"/>
      <x:c r="O431" s="9" t="str">
        <x:v>1. 来源（当前证据）：liveshow-proto/MainBasis/统一需求文档.md；位置：第2420行、第2415行、第2416行
2. 规则：BR-61d9826a7c443ded
3. 未动态验证</x:v>
      </x:c>
    </x:row>
    <x:row r="432" ht="100" customHeight="1">
      <x:c r="A432" s="10" t="n">
        <x:v>431</x:v>
      </x:c>
      <x:c r="B432" s="10" t="str">
        <x:v>ADMIN-0431</x:v>
      </x:c>
      <x:c r="C432" s="10" t="str">
        <x:v>内容审核</x:v>
      </x:c>
      <x:c r="D432" s="10" t="str">
        <x:v>违规类型编辑（平台管理员）</x:v>
      </x:c>
      <x:c r="E432" s="10" t="str">
        <x:v>功能需求</x:v>
      </x:c>
      <x:c r="F432" s="10" t="str">
        <x:v>P1</x:v>
      </x:c>
      <x:c r="G432" s="9" t="str">
        <x:v>验证违规类型马来语名称重复</x:v>
      </x:c>
      <x:c r="H432" s="9" t="str">
        <x:v>类型名称唯一</x:v>
      </x:c>
      <x:c r="I432" s="9" t="str">
        <x:v>1. 当前执行账号具有管理后台会话，身份为平台管理员；具体账号及权限变化按以下条件准备
2. 已存在类型A；正在新增类型B，四语名称和排序1已填写</x:v>
      </x:c>
      <x:c r="J432" s="9" t="str">
        <x:v>1. 打开违规类型编辑
2. 输入马来语名称为类型A的同语言名称
3. 点击“保存”</x:v>
      </x:c>
      <x:c r="K432" s="9" t="str">
        <x:v>不保存同语言重复名称</x:v>
      </x:c>
      <x:c r="L432" s="10" t="str"/>
      <x:c r="M432" s="10" t="str">
        <x:v>未测</x:v>
      </x:c>
      <x:c r="N432" s="10" t="str"/>
      <x:c r="O432" s="9" t="str">
        <x:v>1. 来源（当前证据）：liveshow-proto/MainBasis/统一需求文档.md；位置：第2420行、第2415行、第2416行
2. 规则：BR-ac8dfa698adda1aa
3. 未动态验证</x:v>
      </x:c>
    </x:row>
    <x:row r="433" ht="100" customHeight="1">
      <x:c r="A433" s="10" t="n">
        <x:v>432</x:v>
      </x:c>
      <x:c r="B433" s="10" t="str">
        <x:v>ADMIN-0432</x:v>
      </x:c>
      <x:c r="C433" s="10" t="str">
        <x:v>主播管理</x:v>
      </x:c>
      <x:c r="D433" s="10" t="str">
        <x:v>主播列表（平台管理员）</x:v>
      </x:c>
      <x:c r="E433" s="10" t="str">
        <x:v>功能需求</x:v>
      </x:c>
      <x:c r="F433" s="10" t="str">
        <x:v>P1</x:v>
      </x:c>
      <x:c r="G433" s="9" t="str">
        <x:v>验证违规次数排除作废与不成立</x:v>
      </x:c>
      <x:c r="H433" s="9" t="str">
        <x:v>违规计数</x:v>
      </x:c>
      <x:c r="I433" s="9" t="str">
        <x:v>1. 当前执行账号具有管理后台会话，身份为平台管理员；具体账号及权限变化按以下条件准备
2. 主播B确认违规2条、不成立1条、作废1条</x:v>
      </x:c>
      <x:c r="J433" s="9" t="str">
        <x:v>1. 打开主播列表
2. 查询主播B</x:v>
      </x:c>
      <x:c r="K433" s="9" t="str">
        <x:v>违规次数显示2</x:v>
      </x:c>
      <x:c r="L433" s="10" t="str"/>
      <x:c r="M433" s="10" t="str">
        <x:v>未测</x:v>
      </x:c>
      <x:c r="N433" s="10" t="str"/>
      <x:c r="O433" s="9" t="str">
        <x:v>1. 来源（当前证据）：liveshow-proto/MainBasis/统一需求文档.md；位置：第2242行、第2235行、第2236行
2. 规则：BR-5958357b6be1c7dc
3. 未动态验证</x:v>
      </x:c>
    </x:row>
    <x:row r="434" ht="100" customHeight="1">
      <x:c r="A434" s="10" t="n">
        <x:v>433</x:v>
      </x:c>
      <x:c r="B434" s="10" t="str">
        <x:v>ADMIN-0433</x:v>
      </x:c>
      <x:c r="C434" s="10" t="str">
        <x:v>主播管理</x:v>
      </x:c>
      <x:c r="D434" s="10" t="str">
        <x:v>直播场次（平台管理员）</x:v>
      </x:c>
      <x:c r="E434" s="10" t="str">
        <x:v>功能需求</x:v>
      </x:c>
      <x:c r="F434" s="10" t="str">
        <x:v>P1</x:v>
      </x:c>
      <x:c r="G434" s="9" t="str">
        <x:v>验证连送按成功份数计数</x:v>
      </x:c>
      <x:c r="H434" s="9" t="str">
        <x:v>连送数量</x:v>
      </x:c>
      <x:c r="I434" s="9" t="str">
        <x:v>1. 当前执行账号具有管理后台会话，身份为平台管理员；具体账号及权限变化按以下条件准备
2. 场次S成功连送礼物G10份、H1份，另有失败G5份</x:v>
      </x:c>
      <x:c r="J434" s="9" t="str">
        <x:v>1. 打开直播场次
2. 查询场次S</x:v>
      </x:c>
      <x:c r="K434" s="9" t="str">
        <x:v>收礼数量为11</x:v>
      </x:c>
      <x:c r="L434" s="10" t="str"/>
      <x:c r="M434" s="10" t="str">
        <x:v>未测</x:v>
      </x:c>
      <x:c r="N434" s="10" t="str"/>
      <x:c r="O434" s="9" t="str">
        <x:v>1. 来源（当前证据）：liveshow-proto/MainBasis/统一需求文档.md；位置：第2290行、第2282行、第2283行
2. 规则：BR-4a6ecb0daa935331
3. 未动态验证</x:v>
      </x:c>
    </x:row>
    <x:row r="435" ht="100" customHeight="1">
      <x:c r="A435" s="10" t="n">
        <x:v>434</x:v>
      </x:c>
      <x:c r="B435" s="10" t="str">
        <x:v>ADMIN-0434</x:v>
      </x:c>
      <x:c r="C435" s="10" t="str">
        <x:v>财务结算</x:v>
      </x:c>
      <x:c r="D435" s="10" t="str">
        <x:v>消费订单（平台管理员）</x:v>
      </x:c>
      <x:c r="E435" s="10" t="str">
        <x:v>功能需求</x:v>
      </x:c>
      <x:c r="F435" s="10" t="str">
        <x:v>P1</x:v>
      </x:c>
      <x:c r="G435" s="9" t="str">
        <x:v>验证按消费主播筛选</x:v>
      </x:c>
      <x:c r="H435" s="9" t="str">
        <x:v>消费对象筛选</x:v>
      </x:c>
      <x:c r="I435" s="9" t="str">
        <x:v>1. 当前执行账号具有管理后台会话，身份为平台管理员；具体账号及权限变化按以下条件准备
2. 订单A接收主播B，订单C接收主播D；已记录B的主播ID</x:v>
      </x:c>
      <x:c r="J435" s="9" t="str">
        <x:v>1. 打开消费订单
2. 输入主播ID为B的实际ID
3. 点击“查询”</x:v>
      </x:c>
      <x:c r="K435" s="9" t="str">
        <x:v>结果仅包含主播B的订单A</x:v>
      </x:c>
      <x:c r="L435" s="10" t="str"/>
      <x:c r="M435" s="10" t="str">
        <x:v>未测</x:v>
      </x:c>
      <x:c r="N435" s="10" t="str"/>
      <x:c r="O435" s="9" t="str">
        <x:v>1. 来源（当前证据）：liveshow-proto/MainBasis/统一需求文档.md；位置：第2820行、第2808行、第2809行
2. 规则：BR-4301155f5239c689
3. 未动态验证</x:v>
      </x:c>
    </x:row>
    <x:row r="436" ht="115" customHeight="1">
      <x:c r="A436" s="10" t="n">
        <x:v>435</x:v>
      </x:c>
      <x:c r="B436" s="10" t="str">
        <x:v>ADMIN-0435</x:v>
      </x:c>
      <x:c r="C436" s="10" t="str">
        <x:v>公会管理</x:v>
      </x:c>
      <x:c r="D436" s="10" t="str">
        <x:v>公会详情（平台管理员）</x:v>
      </x:c>
      <x:c r="E436" s="10" t="str">
        <x:v>功能需求</x:v>
      </x:c>
      <x:c r="F436" s="10" t="str">
        <x:v>P1</x:v>
      </x:c>
      <x:c r="G436" s="9" t="str">
        <x:v>验证管理账号不允许重复</x:v>
      </x:c>
      <x:c r="H436" s="9" t="str">
        <x:v>管理账号唯一性</x:v>
      </x:c>
      <x:c r="I436" s="9" t="str">
        <x:v>1. 当前执行账号具有管理后台会话，身份为平台管理员；具体账号及权限变化按以下条件准备
2. 已有记录A的管理账号已记录；新建表单其他字段已填入独立有效值</x:v>
      </x:c>
      <x:c r="J436" s="9" t="str">
        <x:v>1. 打开公会详情
2. 输入管理账号为记录A已有值
3. 点击“保存”</x:v>
      </x:c>
      <x:c r="K436" s="9" t="str">
        <x:v>不保存重复的管理账号</x:v>
      </x:c>
      <x:c r="L436" s="10" t="str"/>
      <x:c r="M436" s="10" t="str">
        <x:v>未测</x:v>
      </x:c>
      <x:c r="N436" s="10" t="str"/>
      <x:c r="O436" s="9" t="str">
        <x:v>1. 来源（当前证据）：liveshow-proto/MainBasis/统一需求文档.md；位置：第2447行、第2442行、第2443行
2. 规则：BR-0e2ab8ffb79889a2
3. 未动态验证</x:v>
      </x:c>
    </x:row>
    <x:row r="437" ht="115" customHeight="1">
      <x:c r="A437" s="10" t="n">
        <x:v>436</x:v>
      </x:c>
      <x:c r="B437" s="10" t="str">
        <x:v>ADMIN-0436</x:v>
      </x:c>
      <x:c r="C437" s="10" t="str">
        <x:v>系统配置</x:v>
      </x:c>
      <x:c r="D437" s="10" t="str">
        <x:v>账号编辑（超级管理员）</x:v>
      </x:c>
      <x:c r="E437" s="10" t="str">
        <x:v>功能需求</x:v>
      </x:c>
      <x:c r="F437" s="10" t="str">
        <x:v>P1</x:v>
      </x:c>
      <x:c r="G437" s="9" t="str">
        <x:v>验证后台账号不允许重复</x:v>
      </x:c>
      <x:c r="H437" s="9" t="str">
        <x:v>后台账号唯一性</x:v>
      </x:c>
      <x:c r="I437" s="9" t="str">
        <x:v>1. 当前执行账号具有管理后台会话，身份为超级管理员；具体账号及权限变化按以下条件准备
2. 已有记录A的后台账号已记录；新建表单其他字段已填入独立有效值</x:v>
      </x:c>
      <x:c r="J437" s="9" t="str">
        <x:v>1. 打开账号编辑
2. 输入后台账号为记录A已有值
3. 点击“保存”</x:v>
      </x:c>
      <x:c r="K437" s="9" t="str">
        <x:v>不保存重复的后台账号</x:v>
      </x:c>
      <x:c r="L437" s="10" t="str"/>
      <x:c r="M437" s="10" t="str">
        <x:v>未测</x:v>
      </x:c>
      <x:c r="N437" s="10" t="str"/>
      <x:c r="O437" s="9" t="str">
        <x:v>1. 来源（当前证据）：liveshow-proto/MainBasis/统一需求文档.md；位置：第3228行、第3224行、第3225行
2. 规则：BR-12c85ac717dd0c11
3. 未动态验证</x:v>
      </x:c>
    </x:row>
    <x:row r="438" ht="115" customHeight="1">
      <x:c r="A438" s="10" t="n">
        <x:v>437</x:v>
      </x:c>
      <x:c r="B438" s="10" t="str">
        <x:v>ADMIN-0437</x:v>
      </x:c>
      <x:c r="C438" s="10" t="str">
        <x:v>系统配置</x:v>
      </x:c>
      <x:c r="D438" s="10" t="str">
        <x:v>角色编辑（超级管理员）</x:v>
      </x:c>
      <x:c r="E438" s="10" t="str">
        <x:v>功能需求</x:v>
      </x:c>
      <x:c r="F438" s="10" t="str">
        <x:v>P1</x:v>
      </x:c>
      <x:c r="G438" s="9" t="str">
        <x:v>验证角色名称不允许重复</x:v>
      </x:c>
      <x:c r="H438" s="9" t="str">
        <x:v>角色名称唯一性</x:v>
      </x:c>
      <x:c r="I438" s="9" t="str">
        <x:v>1. 当前执行账号具有管理后台会话，身份为超级管理员；具体账号及权限变化按以下条件准备
2. 已有记录A的角色名称已记录；新建表单其他字段已填入独立有效值</x:v>
      </x:c>
      <x:c r="J438" s="9" t="str">
        <x:v>1. 打开角色编辑
2. 输入角色名称为记录A已有值
3. 点击“保存”</x:v>
      </x:c>
      <x:c r="K438" s="9" t="str">
        <x:v>不保存重复的角色名称</x:v>
      </x:c>
      <x:c r="L438" s="10" t="str"/>
      <x:c r="M438" s="10" t="str">
        <x:v>未测</x:v>
      </x:c>
      <x:c r="N438" s="10" t="str"/>
      <x:c r="O438" s="9" t="str">
        <x:v>1. 来源（当前证据）：liveshow-proto/MainBasis/统一需求文档.md；位置：第3255行、第3251行、第3252行
2. 规则：BR-19f1440bda1ee25c
3. 未动态验证</x:v>
      </x:c>
    </x:row>
    <x:row r="439" ht="115" customHeight="1">
      <x:c r="A439" s="10" t="n">
        <x:v>438</x:v>
      </x:c>
      <x:c r="B439" s="10" t="str">
        <x:v>ADMIN-0438</x:v>
      </x:c>
      <x:c r="C439" s="10" t="str">
        <x:v>礼物与道具</x:v>
      </x:c>
      <x:c r="D439" s="10" t="str">
        <x:v>礼物详情（平台管理员）</x:v>
      </x:c>
      <x:c r="E439" s="10" t="str">
        <x:v>功能需求</x:v>
      </x:c>
      <x:c r="F439" s="10" t="str">
        <x:v>P1</x:v>
      </x:c>
      <x:c r="G439" s="9" t="str">
        <x:v>验证礼物ID不允许重复</x:v>
      </x:c>
      <x:c r="H439" s="9" t="str">
        <x:v>礼物ID唯一性</x:v>
      </x:c>
      <x:c r="I439" s="9" t="str">
        <x:v>1. 当前执行账号具有管理后台会话，身份为平台管理员；具体账号及权限变化按以下条件准备
2. 已有记录A的礼物ID已记录；新建表单其他字段已填入独立有效值</x:v>
      </x:c>
      <x:c r="J439" s="9" t="str">
        <x:v>1. 打开礼物详情
2. 输入礼物ID为记录A已有值
3. 点击“保存”</x:v>
      </x:c>
      <x:c r="K439" s="9" t="str">
        <x:v>不保存重复的礼物ID</x:v>
      </x:c>
      <x:c r="L439" s="10" t="str"/>
      <x:c r="M439" s="10" t="str">
        <x:v>未测</x:v>
      </x:c>
      <x:c r="N439" s="10" t="str"/>
      <x:c r="O439" s="9" t="str">
        <x:v>1. 来源（当前证据）：liveshow-proto/MainBasis/统一需求文档.md；位置：第2477行、第2474行、第2475行
2. 规则：BR-7646f3a3bc124dbb
3. 未动态验证</x:v>
      </x:c>
    </x:row>
    <x:row r="440" ht="115" customHeight="1">
      <x:c r="A440" s="10" t="n">
        <x:v>439</x:v>
      </x:c>
      <x:c r="B440" s="10" t="str">
        <x:v>ADMIN-0439</x:v>
      </x:c>
      <x:c r="C440" s="10" t="str">
        <x:v>礼物与道具</x:v>
      </x:c>
      <x:c r="D440" s="10" t="str">
        <x:v>道具详情（平台管理员）</x:v>
      </x:c>
      <x:c r="E440" s="10" t="str">
        <x:v>功能需求</x:v>
      </x:c>
      <x:c r="F440" s="10" t="str">
        <x:v>P1</x:v>
      </x:c>
      <x:c r="G440" s="9" t="str">
        <x:v>验证道具ID不允许重复</x:v>
      </x:c>
      <x:c r="H440" s="9" t="str">
        <x:v>道具ID唯一性</x:v>
      </x:c>
      <x:c r="I440" s="9" t="str">
        <x:v>1. 当前执行账号具有管理后台会话，身份为平台管理员；具体账号及权限变化按以下条件准备
2. 已有记录A的道具ID已记录；新建表单其他字段已填入独立有效值</x:v>
      </x:c>
      <x:c r="J440" s="9" t="str">
        <x:v>1. 打开道具详情
2. 输入道具ID为记录A已有值
3. 点击“保存”</x:v>
      </x:c>
      <x:c r="K440" s="9" t="str">
        <x:v>不保存重复的道具ID</x:v>
      </x:c>
      <x:c r="L440" s="10" t="str"/>
      <x:c r="M440" s="10" t="str">
        <x:v>未测</x:v>
      </x:c>
      <x:c r="N440" s="10" t="str"/>
      <x:c r="O440" s="9" t="str">
        <x:v>1. 来源（当前证据）：liveshow-proto/MainBasis/统一需求文档.md；位置：第2548行、第2545行、第2546行
2. 规则：BR-f6048cd9a75091df
3. 未动态验证</x:v>
      </x:c>
    </x:row>
    <x:row r="441" ht="115" customHeight="1">
      <x:c r="A441" s="10" t="n">
        <x:v>440</x:v>
      </x:c>
      <x:c r="B441" s="10" t="str">
        <x:v>ADMIN-0440</x:v>
      </x:c>
      <x:c r="C441" s="10" t="str">
        <x:v>运营配置</x:v>
      </x:c>
      <x:c r="D441" s="10" t="str">
        <x:v>充值套餐编辑（平台管理员）</x:v>
      </x:c>
      <x:c r="E441" s="10" t="str">
        <x:v>功能需求</x:v>
      </x:c>
      <x:c r="F441" s="10" t="str">
        <x:v>P1</x:v>
      </x:c>
      <x:c r="G441" s="9" t="str">
        <x:v>验证套餐ID不允许重复</x:v>
      </x:c>
      <x:c r="H441" s="9" t="str">
        <x:v>套餐ID唯一性</x:v>
      </x:c>
      <x:c r="I441" s="9" t="str">
        <x:v>1. 当前执行账号具有管理后台会话，身份为平台管理员；具体账号及权限变化按以下条件准备
2. 已有记录A的套餐ID已记录；新建表单其他字段已填入独立有效值</x:v>
      </x:c>
      <x:c r="J441" s="9" t="str">
        <x:v>1. 打开充值套餐编辑
2. 输入套餐ID为记录A已有值
3. 点击“保存”</x:v>
      </x:c>
      <x:c r="K441" s="9" t="str">
        <x:v>不保存重复的套餐ID</x:v>
      </x:c>
      <x:c r="L441" s="10" t="str"/>
      <x:c r="M441" s="10" t="str">
        <x:v>未测</x:v>
      </x:c>
      <x:c r="N441" s="10" t="str"/>
      <x:c r="O441" s="9" t="str">
        <x:v>1. 来源（当前证据）：liveshow-proto/MainBasis/统一需求文档.md；位置：第2650行、第2647行、第2648行
2. 规则：BR-70121a8ae30e61d8
3. 未动态验证</x:v>
      </x:c>
    </x:row>
    <x:row r="442" ht="115" customHeight="1">
      <x:c r="A442" s="10" t="n">
        <x:v>441</x:v>
      </x:c>
      <x:c r="B442" s="10" t="str">
        <x:v>ADMIN-0441</x:v>
      </x:c>
      <x:c r="C442" s="10" t="str">
        <x:v>公会管理</x:v>
      </x:c>
      <x:c r="D442" s="10" t="str">
        <x:v>公会详情（平台管理员）</x:v>
      </x:c>
      <x:c r="E442" s="10" t="str">
        <x:v>功能需求</x:v>
      </x:c>
      <x:c r="F442" s="10" t="str">
        <x:v>P1</x:v>
      </x:c>
      <x:c r="G442" s="9" t="str">
        <x:v>验证公会详情缺少名称</x:v>
      </x:c>
      <x:c r="H442" s="9" t="str">
        <x:v>名称必填</x:v>
      </x:c>
      <x:c r="I442" s="9" t="str">
        <x:v>1. 当前执行账号具有管理后台会话，身份为平台管理员；具体账号及权限变化按以下条件准备
2. 当前编辑一条已有有效记录A，除本条指定缺失项之外保留原值</x:v>
      </x:c>
      <x:c r="J442" s="9" t="str">
        <x:v>1. 打开公会详情
2. 清空名称
3. 点击“保存”</x:v>
      </x:c>
      <x:c r="K442" s="9" t="str">
        <x:v>不保存缺少名称的记录</x:v>
      </x:c>
      <x:c r="L442" s="10" t="str"/>
      <x:c r="M442" s="10" t="str">
        <x:v>未测</x:v>
      </x:c>
      <x:c r="N442" s="10" t="str"/>
      <x:c r="O442" s="9" t="str">
        <x:v>1. 来源（当前证据）：liveshow-proto/MainBasis/统一需求文档.md；位置：第2446行、第2442行、第2443行
2. 规则：BR-f243be4381350eeb
3. 未动态验证</x:v>
      </x:c>
    </x:row>
    <x:row r="443" ht="115" customHeight="1">
      <x:c r="A443" s="10" t="n">
        <x:v>442</x:v>
      </x:c>
      <x:c r="B443" s="10" t="str">
        <x:v>ADMIN-0442</x:v>
      </x:c>
      <x:c r="C443" s="10" t="str">
        <x:v>公会管理</x:v>
      </x:c>
      <x:c r="D443" s="10" t="str">
        <x:v>公会详情（平台管理员）</x:v>
      </x:c>
      <x:c r="E443" s="10" t="str">
        <x:v>功能需求</x:v>
      </x:c>
      <x:c r="F443" s="10" t="str">
        <x:v>P1</x:v>
      </x:c>
      <x:c r="G443" s="9" t="str">
        <x:v>验证公会详情缺少Logo</x:v>
      </x:c>
      <x:c r="H443" s="9" t="str">
        <x:v>Logo必填</x:v>
      </x:c>
      <x:c r="I443" s="9" t="str">
        <x:v>1. 当前执行账号具有管理后台会话，身份为平台管理员；具体账号及权限变化按以下条件准备
2. 当前编辑一条已有有效记录A，除本条指定缺失项之外保留原值</x:v>
      </x:c>
      <x:c r="J443" s="9" t="str">
        <x:v>1. 打开公会详情
2. 删除已上传Logo
3. 点击“保存”</x:v>
      </x:c>
      <x:c r="K443" s="9" t="str">
        <x:v>不保存缺少Logo的记录</x:v>
      </x:c>
      <x:c r="L443" s="10" t="str"/>
      <x:c r="M443" s="10" t="str">
        <x:v>未测</x:v>
      </x:c>
      <x:c r="N443" s="10" t="str"/>
      <x:c r="O443" s="9" t="str">
        <x:v>1. 来源（当前证据）：liveshow-proto/MainBasis/统一需求文档.md；位置：第2446行、第2442行、第2443行
2. 规则：BR-8c8c9bc178364c71
3. 未动态验证</x:v>
      </x:c>
    </x:row>
    <x:row r="444" ht="115" customHeight="1">
      <x:c r="A444" s="10" t="n">
        <x:v>443</x:v>
      </x:c>
      <x:c r="B444" s="10" t="str">
        <x:v>ADMIN-0443</x:v>
      </x:c>
      <x:c r="C444" s="10" t="str">
        <x:v>系统配置</x:v>
      </x:c>
      <x:c r="D444" s="10" t="str">
        <x:v>账号编辑（超级管理员）</x:v>
      </x:c>
      <x:c r="E444" s="10" t="str">
        <x:v>功能需求</x:v>
      </x:c>
      <x:c r="F444" s="10" t="str">
        <x:v>P1</x:v>
      </x:c>
      <x:c r="G444" s="9" t="str">
        <x:v>验证账号编辑缺少姓名</x:v>
      </x:c>
      <x:c r="H444" s="9" t="str">
        <x:v>姓名必填</x:v>
      </x:c>
      <x:c r="I444" s="9" t="str">
        <x:v>1. 当前执行账号具有管理后台会话，身份为超级管理员；具体账号及权限变化按以下条件准备
2. 当前编辑一条已有有效记录A，除本条指定缺失项之外保留原值</x:v>
      </x:c>
      <x:c r="J444" s="9" t="str">
        <x:v>1. 打开账号编辑
2. 清空姓名
3. 点击“保存”</x:v>
      </x:c>
      <x:c r="K444" s="9" t="str">
        <x:v>不保存缺少姓名的记录</x:v>
      </x:c>
      <x:c r="L444" s="10" t="str"/>
      <x:c r="M444" s="10" t="str">
        <x:v>未测</x:v>
      </x:c>
      <x:c r="N444" s="10" t="str"/>
      <x:c r="O444" s="9" t="str">
        <x:v>1. 来源（当前证据）：liveshow-proto/MainBasis/统一需求文档.md；位置：第3228行、第3224行、第3225行
2. 规则：BR-7df782f77c0f3efb
3. 未动态验证</x:v>
      </x:c>
    </x:row>
    <x:row r="445" ht="115" customHeight="1">
      <x:c r="A445" s="10" t="n">
        <x:v>444</x:v>
      </x:c>
      <x:c r="B445" s="10" t="str">
        <x:v>ADMIN-0444</x:v>
      </x:c>
      <x:c r="C445" s="10" t="str">
        <x:v>系统配置</x:v>
      </x:c>
      <x:c r="D445" s="10" t="str">
        <x:v>账号编辑（超级管理员）</x:v>
      </x:c>
      <x:c r="E445" s="10" t="str">
        <x:v>功能需求</x:v>
      </x:c>
      <x:c r="F445" s="10" t="str">
        <x:v>P1</x:v>
      </x:c>
      <x:c r="G445" s="9" t="str">
        <x:v>验证账号编辑缺少后台账号</x:v>
      </x:c>
      <x:c r="H445" s="9" t="str">
        <x:v>后台账号必填</x:v>
      </x:c>
      <x:c r="I445" s="9" t="str">
        <x:v>1. 当前执行账号具有管理后台会话，身份为超级管理员；具体账号及权限变化按以下条件准备
2. 当前编辑一条已有有效记录A，除本条指定缺失项之外保留原值</x:v>
      </x:c>
      <x:c r="J445" s="9" t="str">
        <x:v>1. 打开账号编辑
2. 清空后台账号
3. 点击“保存”</x:v>
      </x:c>
      <x:c r="K445" s="9" t="str">
        <x:v>不保存缺少后台账号的记录</x:v>
      </x:c>
      <x:c r="L445" s="10" t="str"/>
      <x:c r="M445" s="10" t="str">
        <x:v>未测</x:v>
      </x:c>
      <x:c r="N445" s="10" t="str"/>
      <x:c r="O445" s="9" t="str">
        <x:v>1. 来源（当前证据）：liveshow-proto/MainBasis/统一需求文档.md；位置：第3228行、第3224行、第3225行
2. 规则：BR-a823803d28ec3aab
3. 未动态验证</x:v>
      </x:c>
    </x:row>
    <x:row r="446" ht="115" customHeight="1">
      <x:c r="A446" s="10" t="n">
        <x:v>445</x:v>
      </x:c>
      <x:c r="B446" s="10" t="str">
        <x:v>ADMIN-0445</x:v>
      </x:c>
      <x:c r="C446" s="10" t="str">
        <x:v>系统配置</x:v>
      </x:c>
      <x:c r="D446" s="10" t="str">
        <x:v>角色编辑（超级管理员）</x:v>
      </x:c>
      <x:c r="E446" s="10" t="str">
        <x:v>功能需求</x:v>
      </x:c>
      <x:c r="F446" s="10" t="str">
        <x:v>P1</x:v>
      </x:c>
      <x:c r="G446" s="9" t="str">
        <x:v>验证角色编辑缺少角色名称</x:v>
      </x:c>
      <x:c r="H446" s="9" t="str">
        <x:v>角色名称必填</x:v>
      </x:c>
      <x:c r="I446" s="9" t="str">
        <x:v>1. 当前执行账号具有管理后台会话，身份为超级管理员；具体账号及权限变化按以下条件准备
2. 当前编辑一条已有有效记录A，除本条指定缺失项之外保留原值</x:v>
      </x:c>
      <x:c r="J446" s="9" t="str">
        <x:v>1. 打开角色编辑
2. 清空角色名称
3. 点击“保存”</x:v>
      </x:c>
      <x:c r="K446" s="9" t="str">
        <x:v>不保存缺少角色名称的记录</x:v>
      </x:c>
      <x:c r="L446" s="10" t="str"/>
      <x:c r="M446" s="10" t="str">
        <x:v>未测</x:v>
      </x:c>
      <x:c r="N446" s="10" t="str"/>
      <x:c r="O446" s="9" t="str">
        <x:v>1. 来源（当前证据）：liveshow-proto/MainBasis/统一需求文档.md；位置：第3255行、第3251行、第3252行
2. 规则：BR-53339b6ddcd9de7c
3. 未动态验证</x:v>
      </x:c>
    </x:row>
    <x:row r="447" ht="115" customHeight="1">
      <x:c r="A447" s="10" t="n">
        <x:v>446</x:v>
      </x:c>
      <x:c r="B447" s="10" t="str">
        <x:v>ADMIN-0446</x:v>
      </x:c>
      <x:c r="C447" s="10" t="str">
        <x:v>运营配置</x:v>
      </x:c>
      <x:c r="D447" s="10" t="str">
        <x:v>敏感词编辑（平台管理员）</x:v>
      </x:c>
      <x:c r="E447" s="10" t="str">
        <x:v>功能需求</x:v>
      </x:c>
      <x:c r="F447" s="10" t="str">
        <x:v>P1</x:v>
      </x:c>
      <x:c r="G447" s="9" t="str">
        <x:v>验证敏感词编辑缺少替换内容</x:v>
      </x:c>
      <x:c r="H447" s="9" t="str">
        <x:v>替换内容必填</x:v>
      </x:c>
      <x:c r="I447" s="9" t="str">
        <x:v>1. 当前执行账号具有管理后台会话，身份为平台管理员；具体账号及权限变化按以下条件准备
2. 当前编辑一条已有有效记录A，除本条指定缺失项之外保留原值</x:v>
      </x:c>
      <x:c r="J447" s="9" t="str">
        <x:v>1. 打开敏感词编辑
2. 清空替换内容
3. 点击“保存”</x:v>
      </x:c>
      <x:c r="K447" s="9" t="str">
        <x:v>不保存缺少替换内容的记录</x:v>
      </x:c>
      <x:c r="L447" s="10" t="str"/>
      <x:c r="M447" s="10" t="str">
        <x:v>未测</x:v>
      </x:c>
      <x:c r="N447" s="10" t="str"/>
      <x:c r="O447" s="9" t="str">
        <x:v>1. 来源（当前证据）：liveshow-proto/MainBasis/统一需求文档.md；位置：第2778行、第2771行、第2772行
2. 规则：BR-d80ca269855d666b
3. 未动态验证</x:v>
      </x:c>
    </x:row>
    <x:row r="448" ht="115" customHeight="1">
      <x:c r="A448" s="10" t="n">
        <x:v>447</x:v>
      </x:c>
      <x:c r="B448" s="10" t="str">
        <x:v>ADMIN-0447</x:v>
      </x:c>
      <x:c r="C448" s="10" t="str">
        <x:v>运营配置</x:v>
      </x:c>
      <x:c r="D448" s="10" t="str">
        <x:v>敏感词编辑（平台管理员）</x:v>
      </x:c>
      <x:c r="E448" s="10" t="str">
        <x:v>功能需求</x:v>
      </x:c>
      <x:c r="F448" s="10" t="str">
        <x:v>P1</x:v>
      </x:c>
      <x:c r="G448" s="9" t="str">
        <x:v>验证敏感词编辑缺少敏感词</x:v>
      </x:c>
      <x:c r="H448" s="9" t="str">
        <x:v>敏感词必填</x:v>
      </x:c>
      <x:c r="I448" s="9" t="str">
        <x:v>1. 当前执行账号具有管理后台会话，身份为平台管理员；具体账号及权限变化按以下条件准备
2. 当前编辑一条已有有效记录A，除本条指定缺失项之外保留原值</x:v>
      </x:c>
      <x:c r="J448" s="9" t="str">
        <x:v>1. 打开敏感词编辑
2. 清空敏感词
3. 点击“保存”</x:v>
      </x:c>
      <x:c r="K448" s="9" t="str">
        <x:v>不保存缺少敏感词的记录</x:v>
      </x:c>
      <x:c r="L448" s="10" t="str"/>
      <x:c r="M448" s="10" t="str">
        <x:v>未测</x:v>
      </x:c>
      <x:c r="N448" s="10" t="str"/>
      <x:c r="O448" s="9" t="str">
        <x:v>1. 来源（当前证据）：liveshow-proto/MainBasis/统一需求文档.md；位置：第2775行、第2771行、第2772行
2. 规则：BR-e03161360fbed153
3. 未动态验证</x:v>
      </x:c>
    </x:row>
    <x:row r="449" ht="115" customHeight="1">
      <x:c r="A449" s="10" t="n">
        <x:v>448</x:v>
      </x:c>
      <x:c r="B449" s="10" t="str">
        <x:v>ADMIN-0448</x:v>
      </x:c>
      <x:c r="C449" s="10" t="str">
        <x:v>礼物与道具</x:v>
      </x:c>
      <x:c r="D449" s="10" t="str">
        <x:v>道具详情（平台管理员）</x:v>
      </x:c>
      <x:c r="E449" s="10" t="str">
        <x:v>功能需求</x:v>
      </x:c>
      <x:c r="F449" s="10" t="str">
        <x:v>P1</x:v>
      </x:c>
      <x:c r="G449" s="9" t="str">
        <x:v>验证道具详情缺少图标</x:v>
      </x:c>
      <x:c r="H449" s="9" t="str">
        <x:v>图标必填</x:v>
      </x:c>
      <x:c r="I449" s="9" t="str">
        <x:v>1. 当前执行账号具有管理后台会话，身份为平台管理员；具体账号及权限变化按以下条件准备
2. 当前编辑一条已有有效记录A，除本条指定缺失项之外保留原值</x:v>
      </x:c>
      <x:c r="J449" s="9" t="str">
        <x:v>1. 打开道具详情
2. 删除已上传图标
3. 点击“保存”</x:v>
      </x:c>
      <x:c r="K449" s="9" t="str">
        <x:v>不保存缺少图标的记录</x:v>
      </x:c>
      <x:c r="L449" s="10" t="str"/>
      <x:c r="M449" s="10" t="str">
        <x:v>未测</x:v>
      </x:c>
      <x:c r="N449" s="10" t="str"/>
      <x:c r="O449" s="9" t="str">
        <x:v>1. 来源（当前证据）：liveshow-proto/MainBasis/统一需求文档.md；位置：第2551行、第2545行、第2546行
2. 规则：BR-9879dffe29586729
3. 未动态验证</x:v>
      </x:c>
    </x:row>
    <x:row r="450" ht="115" customHeight="1">
      <x:c r="A450" s="10" t="n">
        <x:v>449</x:v>
      </x:c>
      <x:c r="B450" s="10" t="str">
        <x:v>ADMIN-0449</x:v>
      </x:c>
      <x:c r="C450" s="10" t="str">
        <x:v>礼物与道具</x:v>
      </x:c>
      <x:c r="D450" s="10" t="str">
        <x:v>道具详情（平台管理员）</x:v>
      </x:c>
      <x:c r="E450" s="10" t="str">
        <x:v>功能需求</x:v>
      </x:c>
      <x:c r="F450" s="10" t="str">
        <x:v>P1</x:v>
      </x:c>
      <x:c r="G450" s="9" t="str">
        <x:v>验证道具详情缺少素材</x:v>
      </x:c>
      <x:c r="H450" s="9" t="str">
        <x:v>素材必填</x:v>
      </x:c>
      <x:c r="I450" s="9" t="str">
        <x:v>1. 当前执行账号具有管理后台会话，身份为平台管理员；具体账号及权限变化按以下条件准备
2. 当前编辑一条已有有效记录A，除本条指定缺失项之外保留原值</x:v>
      </x:c>
      <x:c r="J450" s="9" t="str">
        <x:v>1. 打开道具详情
2. 删除已上传素材
3. 点击“保存”</x:v>
      </x:c>
      <x:c r="K450" s="9" t="str">
        <x:v>不保存缺少素材的记录</x:v>
      </x:c>
      <x:c r="L450" s="10" t="str"/>
      <x:c r="M450" s="10" t="str">
        <x:v>未测</x:v>
      </x:c>
      <x:c r="N450" s="10" t="str"/>
      <x:c r="O450" s="9" t="str">
        <x:v>1. 来源（当前证据）：liveshow-proto/MainBasis/统一需求文档.md；位置：第2551行、第2545行、第2546行
2. 规则：BR-4011df27f168dad2
3. 未动态验证</x:v>
      </x:c>
    </x:row>
    <x:row r="451" ht="115" customHeight="1">
      <x:c r="A451" s="10" t="n">
        <x:v>450</x:v>
      </x:c>
      <x:c r="B451" s="10" t="str">
        <x:v>ADMIN-0450</x:v>
      </x:c>
      <x:c r="C451" s="10" t="str">
        <x:v>礼物与道具</x:v>
      </x:c>
      <x:c r="D451" s="10" t="str">
        <x:v>礼物详情（平台管理员）</x:v>
      </x:c>
      <x:c r="E451" s="10" t="str">
        <x:v>功能需求</x:v>
      </x:c>
      <x:c r="F451" s="10" t="str">
        <x:v>P1</x:v>
      </x:c>
      <x:c r="G451" s="9" t="str">
        <x:v>验证礼物详情缺少图标</x:v>
      </x:c>
      <x:c r="H451" s="9" t="str">
        <x:v>图标必填</x:v>
      </x:c>
      <x:c r="I451" s="9" t="str">
        <x:v>1. 当前执行账号具有管理后台会话，身份为平台管理员；具体账号及权限变化按以下条件准备
2. 当前编辑一条已有有效记录A，除本条指定缺失项之外保留原值</x:v>
      </x:c>
      <x:c r="J451" s="9" t="str">
        <x:v>1. 打开礼物详情
2. 删除已上传图标
3. 点击“保存”</x:v>
      </x:c>
      <x:c r="K451" s="9" t="str">
        <x:v>不保存缺少图标的记录</x:v>
      </x:c>
      <x:c r="L451" s="10" t="str"/>
      <x:c r="M451" s="10" t="str">
        <x:v>未测</x:v>
      </x:c>
      <x:c r="N451" s="10" t="str"/>
      <x:c r="O451" s="9" t="str">
        <x:v>1. 来源（当前证据）：liveshow-proto/MainBasis/统一需求文档.md；位置：第2479行、第2474行、第2475行
2. 规则：BR-cafab76007d06c0f
3. 未动态验证</x:v>
      </x:c>
    </x:row>
    <x:row r="452" ht="115" customHeight="1">
      <x:c r="A452" s="10" t="n">
        <x:v>451</x:v>
      </x:c>
      <x:c r="B452" s="10" t="str">
        <x:v>ADMIN-0451</x:v>
      </x:c>
      <x:c r="C452" s="10" t="str">
        <x:v>运营配置</x:v>
      </x:c>
      <x:c r="D452" s="10" t="str">
        <x:v>充值套餐编辑（平台管理员）</x:v>
      </x:c>
      <x:c r="E452" s="10" t="str">
        <x:v>功能需求</x:v>
      </x:c>
      <x:c r="F452" s="10" t="str">
        <x:v>P0</x:v>
      </x:c>
      <x:c r="G452" s="9" t="str">
        <x:v>验证充值套餐编辑缺少封面</x:v>
      </x:c>
      <x:c r="H452" s="9" t="str">
        <x:v>封面必填</x:v>
      </x:c>
      <x:c r="I452" s="9" t="str">
        <x:v>1. 当前执行账号具有管理后台会话，身份为平台管理员；具体账号及权限变化按以下条件准备
2. 当前编辑一条已有有效记录A，除本条指定缺失项之外保留原值</x:v>
      </x:c>
      <x:c r="J452" s="9" t="str">
        <x:v>1. 打开充值套餐编辑
2. 删除已上传封面
3. 点击“保存”</x:v>
      </x:c>
      <x:c r="K452" s="9" t="str">
        <x:v>不保存缺少封面的记录</x:v>
      </x:c>
      <x:c r="L452" s="10" t="str"/>
      <x:c r="M452" s="10" t="str">
        <x:v>未测</x:v>
      </x:c>
      <x:c r="N452" s="10" t="str"/>
      <x:c r="O452" s="9" t="str">
        <x:v>1. 来源（当前证据）：liveshow-proto/MainBasis/统一需求文档.md；位置：第2651行、第2647行、第2648行
2. 规则：BR-166ad3fcfcce622c
3. 未动态验证</x:v>
      </x:c>
    </x:row>
    <x:row r="453" ht="115" customHeight="1">
      <x:c r="A453" s="10" t="n">
        <x:v>452</x:v>
      </x:c>
      <x:c r="B453" s="10" t="str">
        <x:v>ADMIN-0452</x:v>
      </x:c>
      <x:c r="C453" s="10" t="str">
        <x:v>内容审核</x:v>
      </x:c>
      <x:c r="D453" s="10" t="str">
        <x:v>违规类型编辑（平台管理员）</x:v>
      </x:c>
      <x:c r="E453" s="10" t="str">
        <x:v>功能需求</x:v>
      </x:c>
      <x:c r="F453" s="10" t="str">
        <x:v>P1</x:v>
      </x:c>
      <x:c r="G453" s="9" t="str">
        <x:v>验证违规类型编辑中文名称20字</x:v>
      </x:c>
      <x:c r="H453" s="9" t="str">
        <x:v>中文名称长度边界</x:v>
      </x:c>
      <x:c r="I453" s="9" t="str">
        <x:v>1. 当前执行账号具有管理后台会话，身份为平台管理员；具体账号及权限变化按以下条件准备
2. 已进入该配置编辑或上传对话框；其他必填项为有效值，文件已按模板准备</x:v>
      </x:c>
      <x:c r="J453" s="9" t="str">
        <x:v>1. 打开违规类型编辑
2. 输入由20个“测”组成的中文名称
3. 点击“保存”</x:v>
      </x:c>
      <x:c r="K453" s="9" t="str">
        <x:v>接受20字的中文名称</x:v>
      </x:c>
      <x:c r="L453" s="10" t="str"/>
      <x:c r="M453" s="10" t="str">
        <x:v>未测</x:v>
      </x:c>
      <x:c r="N453" s="10" t="str"/>
      <x:c r="O453" s="9" t="str">
        <x:v>1. 来源（当前证据）：liveshow-proto/MainBasis/统一需求文档.md；位置：第2417行、第2415行、第2416行
2. 规则：BR-f28bf65d15ff9719
3. 未动态验证</x:v>
      </x:c>
    </x:row>
    <x:row r="454" ht="115" customHeight="1">
      <x:c r="A454" s="10" t="n">
        <x:v>453</x:v>
      </x:c>
      <x:c r="B454" s="10" t="str">
        <x:v>ADMIN-0453</x:v>
      </x:c>
      <x:c r="C454" s="10" t="str">
        <x:v>内容审核</x:v>
      </x:c>
      <x:c r="D454" s="10" t="str">
        <x:v>违规类型编辑（平台管理员）</x:v>
      </x:c>
      <x:c r="E454" s="10" t="str">
        <x:v>功能需求</x:v>
      </x:c>
      <x:c r="F454" s="10" t="str">
        <x:v>P1</x:v>
      </x:c>
      <x:c r="G454" s="9" t="str">
        <x:v>验证违规类型编辑中文名称21字</x:v>
      </x:c>
      <x:c r="H454" s="9" t="str">
        <x:v>中文名称长度边界</x:v>
      </x:c>
      <x:c r="I454" s="9" t="str">
        <x:v>1. 当前执行账号具有管理后台会话，身份为平台管理员；具体账号及权限变化按以下条件准备
2. 已进入该配置编辑或上传对话框；其他必填项为有效值，文件已按模板准备</x:v>
      </x:c>
      <x:c r="J454" s="9" t="str">
        <x:v>1. 打开违规类型编辑
2. 输入由21个“测”组成的中文名称
3. 点击“保存”</x:v>
      </x:c>
      <x:c r="K454" s="9" t="str">
        <x:v>不保存超过20字的中文名称</x:v>
      </x:c>
      <x:c r="L454" s="10" t="str"/>
      <x:c r="M454" s="10" t="str">
        <x:v>未测</x:v>
      </x:c>
      <x:c r="N454" s="10" t="str"/>
      <x:c r="O454" s="9" t="str">
        <x:v>1. 来源（当前证据）：liveshow-proto/MainBasis/统一需求文档.md；位置：第2417行、第2415行、第2416行
2. 规则：BR-0d28f98303e91870
3. 未动态验证</x:v>
      </x:c>
    </x:row>
    <x:row r="455" ht="115" customHeight="1">
      <x:c r="A455" s="10" t="n">
        <x:v>454</x:v>
      </x:c>
      <x:c r="B455" s="10" t="str">
        <x:v>ADMIN-0454</x:v>
      </x:c>
      <x:c r="C455" s="10" t="str">
        <x:v>内容审核</x:v>
      </x:c>
      <x:c r="D455" s="10" t="str">
        <x:v>违规类型编辑（平台管理员）</x:v>
      </x:c>
      <x:c r="E455" s="10" t="str">
        <x:v>功能需求</x:v>
      </x:c>
      <x:c r="F455" s="10" t="str">
        <x:v>P1</x:v>
      </x:c>
      <x:c r="G455" s="9" t="str">
        <x:v>验证违规类型编辑英文名称50字</x:v>
      </x:c>
      <x:c r="H455" s="9" t="str">
        <x:v>英文名称长度边界</x:v>
      </x:c>
      <x:c r="I455" s="9" t="str">
        <x:v>1. 当前执行账号具有管理后台会话，身份为平台管理员；具体账号及权限变化按以下条件准备
2. 已进入该配置编辑或上传对话框；其他必填项为有效值，文件已按模板准备</x:v>
      </x:c>
      <x:c r="J455" s="9" t="str">
        <x:v>1. 打开违规类型编辑
2. 输入由50个“测”组成的英文名称
3. 点击“保存”</x:v>
      </x:c>
      <x:c r="K455" s="9" t="str">
        <x:v>接受50字的英文名称</x:v>
      </x:c>
      <x:c r="L455" s="10" t="str"/>
      <x:c r="M455" s="10" t="str">
        <x:v>未测</x:v>
      </x:c>
      <x:c r="N455" s="10" t="str"/>
      <x:c r="O455" s="9" t="str">
        <x:v>1. 来源（当前证据）：liveshow-proto/MainBasis/统一需求文档.md；位置：第2417行、第2415行、第2416行
2. 规则：BR-df5fcb6d1fa75649
3. 未动态验证</x:v>
      </x:c>
    </x:row>
    <x:row r="456" ht="115" customHeight="1">
      <x:c r="A456" s="10" t="n">
        <x:v>455</x:v>
      </x:c>
      <x:c r="B456" s="10" t="str">
        <x:v>ADMIN-0455</x:v>
      </x:c>
      <x:c r="C456" s="10" t="str">
        <x:v>内容审核</x:v>
      </x:c>
      <x:c r="D456" s="10" t="str">
        <x:v>违规类型编辑（平台管理员）</x:v>
      </x:c>
      <x:c r="E456" s="10" t="str">
        <x:v>功能需求</x:v>
      </x:c>
      <x:c r="F456" s="10" t="str">
        <x:v>P1</x:v>
      </x:c>
      <x:c r="G456" s="9" t="str">
        <x:v>验证违规类型编辑英文名称51字</x:v>
      </x:c>
      <x:c r="H456" s="9" t="str">
        <x:v>英文名称长度边界</x:v>
      </x:c>
      <x:c r="I456" s="9" t="str">
        <x:v>1. 当前执行账号具有管理后台会话，身份为平台管理员；具体账号及权限变化按以下条件准备
2. 已进入该配置编辑或上传对话框；其他必填项为有效值，文件已按模板准备</x:v>
      </x:c>
      <x:c r="J456" s="9" t="str">
        <x:v>1. 打开违规类型编辑
2. 输入由51个“测”组成的英文名称
3. 点击“保存”</x:v>
      </x:c>
      <x:c r="K456" s="9" t="str">
        <x:v>不保存超过50字的英文名称</x:v>
      </x:c>
      <x:c r="L456" s="10" t="str"/>
      <x:c r="M456" s="10" t="str">
        <x:v>未测</x:v>
      </x:c>
      <x:c r="N456" s="10" t="str"/>
      <x:c r="O456" s="9" t="str">
        <x:v>1. 来源（当前证据）：liveshow-proto/MainBasis/统一需求文档.md；位置：第2417行、第2415行、第2416行
2. 规则：BR-0002e492c22e1f10
3. 未动态验证</x:v>
      </x:c>
    </x:row>
    <x:row r="457" ht="115" customHeight="1">
      <x:c r="A457" s="10" t="n">
        <x:v>456</x:v>
      </x:c>
      <x:c r="B457" s="10" t="str">
        <x:v>ADMIN-0456</x:v>
      </x:c>
      <x:c r="C457" s="10" t="str">
        <x:v>内容审核</x:v>
      </x:c>
      <x:c r="D457" s="10" t="str">
        <x:v>违规类型编辑（平台管理员）</x:v>
      </x:c>
      <x:c r="E457" s="10" t="str">
        <x:v>功能需求</x:v>
      </x:c>
      <x:c r="F457" s="10" t="str">
        <x:v>P1</x:v>
      </x:c>
      <x:c r="G457" s="9" t="str">
        <x:v>验证违规类型编辑印尼语名称50字</x:v>
      </x:c>
      <x:c r="H457" s="9" t="str">
        <x:v>印尼语名称长度边界</x:v>
      </x:c>
      <x:c r="I457" s="9" t="str">
        <x:v>1. 当前执行账号具有管理后台会话，身份为平台管理员；具体账号及权限变化按以下条件准备
2. 已进入该配置编辑或上传对话框；其他必填项为有效值，文件已按模板准备</x:v>
      </x:c>
      <x:c r="J457" s="9" t="str">
        <x:v>1. 打开违规类型编辑
2. 输入由50个“测”组成的印尼语名称
3. 点击“保存”</x:v>
      </x:c>
      <x:c r="K457" s="9" t="str">
        <x:v>接受50字的印尼语名称</x:v>
      </x:c>
      <x:c r="L457" s="10" t="str"/>
      <x:c r="M457" s="10" t="str">
        <x:v>未测</x:v>
      </x:c>
      <x:c r="N457" s="10" t="str"/>
      <x:c r="O457" s="9" t="str">
        <x:v>1. 来源（当前证据）：liveshow-proto/MainBasis/统一需求文档.md；位置：第2417行、第2415行、第2416行
2. 规则：BR-de9689692a899d96
3. 未动态验证</x:v>
      </x:c>
    </x:row>
    <x:row r="458" ht="115" customHeight="1">
      <x:c r="A458" s="10" t="n">
        <x:v>457</x:v>
      </x:c>
      <x:c r="B458" s="10" t="str">
        <x:v>ADMIN-0457</x:v>
      </x:c>
      <x:c r="C458" s="10" t="str">
        <x:v>内容审核</x:v>
      </x:c>
      <x:c r="D458" s="10" t="str">
        <x:v>违规类型编辑（平台管理员）</x:v>
      </x:c>
      <x:c r="E458" s="10" t="str">
        <x:v>功能需求</x:v>
      </x:c>
      <x:c r="F458" s="10" t="str">
        <x:v>P1</x:v>
      </x:c>
      <x:c r="G458" s="9" t="str">
        <x:v>验证违规类型编辑印尼语名称51字</x:v>
      </x:c>
      <x:c r="H458" s="9" t="str">
        <x:v>印尼语名称长度边界</x:v>
      </x:c>
      <x:c r="I458" s="9" t="str">
        <x:v>1. 当前执行账号具有管理后台会话，身份为平台管理员；具体账号及权限变化按以下条件准备
2. 已进入该配置编辑或上传对话框；其他必填项为有效值，文件已按模板准备</x:v>
      </x:c>
      <x:c r="J458" s="9" t="str">
        <x:v>1. 打开违规类型编辑
2. 输入由51个“测”组成的印尼语名称
3. 点击“保存”</x:v>
      </x:c>
      <x:c r="K458" s="9" t="str">
        <x:v>不保存超过50字的印尼语名称</x:v>
      </x:c>
      <x:c r="L458" s="10" t="str"/>
      <x:c r="M458" s="10" t="str">
        <x:v>未测</x:v>
      </x:c>
      <x:c r="N458" s="10" t="str"/>
      <x:c r="O458" s="9" t="str">
        <x:v>1. 来源（当前证据）：liveshow-proto/MainBasis/统一需求文档.md；位置：第2417行、第2415行、第2416行
2. 规则：BR-dab2de1c209c39e9
3. 未动态验证</x:v>
      </x:c>
    </x:row>
    <x:row r="459" ht="115" customHeight="1">
      <x:c r="A459" s="10" t="n">
        <x:v>458</x:v>
      </x:c>
      <x:c r="B459" s="10" t="str">
        <x:v>ADMIN-0458</x:v>
      </x:c>
      <x:c r="C459" s="10" t="str">
        <x:v>内容审核</x:v>
      </x:c>
      <x:c r="D459" s="10" t="str">
        <x:v>违规类型编辑（平台管理员）</x:v>
      </x:c>
      <x:c r="E459" s="10" t="str">
        <x:v>功能需求</x:v>
      </x:c>
      <x:c r="F459" s="10" t="str">
        <x:v>P1</x:v>
      </x:c>
      <x:c r="G459" s="9" t="str">
        <x:v>验证违规类型编辑马来语名称50字</x:v>
      </x:c>
      <x:c r="H459" s="9" t="str">
        <x:v>马来语名称长度边界</x:v>
      </x:c>
      <x:c r="I459" s="9" t="str">
        <x:v>1. 当前执行账号具有管理后台会话，身份为平台管理员；具体账号及权限变化按以下条件准备
2. 已进入该配置编辑或上传对话框；其他必填项为有效值，文件已按模板准备</x:v>
      </x:c>
      <x:c r="J459" s="9" t="str">
        <x:v>1. 打开违规类型编辑
2. 输入由50个“测”组成的马来语名称
3. 点击“保存”</x:v>
      </x:c>
      <x:c r="K459" s="9" t="str">
        <x:v>接受50字的马来语名称</x:v>
      </x:c>
      <x:c r="L459" s="10" t="str"/>
      <x:c r="M459" s="10" t="str">
        <x:v>未测</x:v>
      </x:c>
      <x:c r="N459" s="10" t="str"/>
      <x:c r="O459" s="9" t="str">
        <x:v>1. 来源（当前证据）：liveshow-proto/MainBasis/统一需求文档.md；位置：第2417行、第2415行、第2416行
2. 规则：BR-ff3bdbd1c5d0ab09
3. 未动态验证</x:v>
      </x:c>
    </x:row>
    <x:row r="460" ht="115" customHeight="1">
      <x:c r="A460" s="10" t="n">
        <x:v>459</x:v>
      </x:c>
      <x:c r="B460" s="10" t="str">
        <x:v>ADMIN-0459</x:v>
      </x:c>
      <x:c r="C460" s="10" t="str">
        <x:v>内容审核</x:v>
      </x:c>
      <x:c r="D460" s="10" t="str">
        <x:v>违规类型编辑（平台管理员）</x:v>
      </x:c>
      <x:c r="E460" s="10" t="str">
        <x:v>功能需求</x:v>
      </x:c>
      <x:c r="F460" s="10" t="str">
        <x:v>P1</x:v>
      </x:c>
      <x:c r="G460" s="9" t="str">
        <x:v>验证违规类型编辑马来语名称51字</x:v>
      </x:c>
      <x:c r="H460" s="9" t="str">
        <x:v>马来语名称长度边界</x:v>
      </x:c>
      <x:c r="I460" s="9" t="str">
        <x:v>1. 当前执行账号具有管理后台会话，身份为平台管理员；具体账号及权限变化按以下条件准备
2. 已进入该配置编辑或上传对话框；其他必填项为有效值，文件已按模板准备</x:v>
      </x:c>
      <x:c r="J460" s="9" t="str">
        <x:v>1. 打开违规类型编辑
2. 输入由51个“测”组成的马来语名称
3. 点击“保存”</x:v>
      </x:c>
      <x:c r="K460" s="9" t="str">
        <x:v>不保存超过50字的马来语名称</x:v>
      </x:c>
      <x:c r="L460" s="10" t="str"/>
      <x:c r="M460" s="10" t="str">
        <x:v>未测</x:v>
      </x:c>
      <x:c r="N460" s="10" t="str"/>
      <x:c r="O460" s="9" t="str">
        <x:v>1. 来源（当前证据）：liveshow-proto/MainBasis/统一需求文档.md；位置：第2417行、第2415行、第2416行
2. 规则：BR-66fe7bce5c60b0af
3. 未动态验证</x:v>
      </x:c>
    </x:row>
    <x:row r="461" ht="115" customHeight="1">
      <x:c r="A461" s="10" t="n">
        <x:v>460</x:v>
      </x:c>
      <x:c r="B461" s="10" t="str">
        <x:v>ADMIN-0460</x:v>
      </x:c>
      <x:c r="C461" s="10" t="str">
        <x:v>运营配置</x:v>
      </x:c>
      <x:c r="D461" s="10" t="str">
        <x:v>直播类型（平台管理员）</x:v>
      </x:c>
      <x:c r="E461" s="10" t="str">
        <x:v>功能需求</x:v>
      </x:c>
      <x:c r="F461" s="10" t="str">
        <x:v>P1</x:v>
      </x:c>
      <x:c r="G461" s="9" t="str">
        <x:v>验证直播类型中文名称20字</x:v>
      </x:c>
      <x:c r="H461" s="9" t="str">
        <x:v>中文名称长度边界</x:v>
      </x:c>
      <x:c r="I461" s="9" t="str">
        <x:v>1. 当前执行账号具有管理后台会话，身份为平台管理员；具体账号及权限变化按以下条件准备
2. 已进入该配置编辑或上传对话框；其他必填项为有效值，文件已按模板准备</x:v>
      </x:c>
      <x:c r="J461" s="9" t="str">
        <x:v>1. 打开直播类型
2. 输入由20个“测”组成的中文名称
3. 点击“保存”</x:v>
      </x:c>
      <x:c r="K461" s="9" t="str">
        <x:v>接受20字的中文名称</x:v>
      </x:c>
      <x:c r="L461" s="10" t="str"/>
      <x:c r="M461" s="10" t="str">
        <x:v>未测</x:v>
      </x:c>
      <x:c r="N461" s="10" t="str"/>
      <x:c r="O461" s="9" t="str">
        <x:v>1. 来源（当前证据）：liveshow-proto/MainBasis/统一需求文档.md；位置：第2719行、第2717行、第2718行
2. 规则：BR-ea30f6daf566632a
3. 未动态验证</x:v>
      </x:c>
    </x:row>
    <x:row r="462" ht="115" customHeight="1">
      <x:c r="A462" s="10" t="n">
        <x:v>461</x:v>
      </x:c>
      <x:c r="B462" s="10" t="str">
        <x:v>ADMIN-0461</x:v>
      </x:c>
      <x:c r="C462" s="10" t="str">
        <x:v>运营配置</x:v>
      </x:c>
      <x:c r="D462" s="10" t="str">
        <x:v>直播类型（平台管理员）</x:v>
      </x:c>
      <x:c r="E462" s="10" t="str">
        <x:v>功能需求</x:v>
      </x:c>
      <x:c r="F462" s="10" t="str">
        <x:v>P1</x:v>
      </x:c>
      <x:c r="G462" s="9" t="str">
        <x:v>验证直播类型中文名称21字</x:v>
      </x:c>
      <x:c r="H462" s="9" t="str">
        <x:v>中文名称长度边界</x:v>
      </x:c>
      <x:c r="I462" s="9" t="str">
        <x:v>1. 当前执行账号具有管理后台会话，身份为平台管理员；具体账号及权限变化按以下条件准备
2. 已进入该配置编辑或上传对话框；其他必填项为有效值，文件已按模板准备</x:v>
      </x:c>
      <x:c r="J462" s="9" t="str">
        <x:v>1. 打开直播类型
2. 输入由21个“测”组成的中文名称
3. 点击“保存”</x:v>
      </x:c>
      <x:c r="K462" s="9" t="str">
        <x:v>不保存超过20字的中文名称</x:v>
      </x:c>
      <x:c r="L462" s="10" t="str"/>
      <x:c r="M462" s="10" t="str">
        <x:v>未测</x:v>
      </x:c>
      <x:c r="N462" s="10" t="str"/>
      <x:c r="O462" s="9" t="str">
        <x:v>1. 来源（当前证据）：liveshow-proto/MainBasis/统一需求文档.md；位置：第2719行、第2717行、第2718行
2. 规则：BR-59b848994b43c4cc
3. 未动态验证</x:v>
      </x:c>
    </x:row>
    <x:row r="463" ht="115" customHeight="1">
      <x:c r="A463" s="10" t="n">
        <x:v>462</x:v>
      </x:c>
      <x:c r="B463" s="10" t="str">
        <x:v>ADMIN-0462</x:v>
      </x:c>
      <x:c r="C463" s="10" t="str">
        <x:v>运营配置</x:v>
      </x:c>
      <x:c r="D463" s="10" t="str">
        <x:v>直播类型（平台管理员）</x:v>
      </x:c>
      <x:c r="E463" s="10" t="str">
        <x:v>功能需求</x:v>
      </x:c>
      <x:c r="F463" s="10" t="str">
        <x:v>P1</x:v>
      </x:c>
      <x:c r="G463" s="9" t="str">
        <x:v>验证直播类型英文名称40字</x:v>
      </x:c>
      <x:c r="H463" s="9" t="str">
        <x:v>英文名称长度边界</x:v>
      </x:c>
      <x:c r="I463" s="9" t="str">
        <x:v>1. 当前执行账号具有管理后台会话，身份为平台管理员；具体账号及权限变化按以下条件准备
2. 已进入该配置编辑或上传对话框；其他必填项为有效值，文件已按模板准备</x:v>
      </x:c>
      <x:c r="J463" s="9" t="str">
        <x:v>1. 打开直播类型
2. 输入由40个“测”组成的英文名称
3. 点击“保存”</x:v>
      </x:c>
      <x:c r="K463" s="9" t="str">
        <x:v>接受40字的英文名称</x:v>
      </x:c>
      <x:c r="L463" s="10" t="str"/>
      <x:c r="M463" s="10" t="str">
        <x:v>未测</x:v>
      </x:c>
      <x:c r="N463" s="10" t="str"/>
      <x:c r="O463" s="9" t="str">
        <x:v>1. 来源（当前证据）：liveshow-proto/MainBasis/统一需求文档.md；位置：第2719行、第2717行、第2718行
2. 规则：BR-fcff0f237ca5271e
3. 未动态验证</x:v>
      </x:c>
    </x:row>
    <x:row r="464" ht="115" customHeight="1">
      <x:c r="A464" s="10" t="n">
        <x:v>463</x:v>
      </x:c>
      <x:c r="B464" s="10" t="str">
        <x:v>ADMIN-0463</x:v>
      </x:c>
      <x:c r="C464" s="10" t="str">
        <x:v>运营配置</x:v>
      </x:c>
      <x:c r="D464" s="10" t="str">
        <x:v>直播类型（平台管理员）</x:v>
      </x:c>
      <x:c r="E464" s="10" t="str">
        <x:v>功能需求</x:v>
      </x:c>
      <x:c r="F464" s="10" t="str">
        <x:v>P1</x:v>
      </x:c>
      <x:c r="G464" s="9" t="str">
        <x:v>验证直播类型英文名称41字</x:v>
      </x:c>
      <x:c r="H464" s="9" t="str">
        <x:v>英文名称长度边界</x:v>
      </x:c>
      <x:c r="I464" s="9" t="str">
        <x:v>1. 当前执行账号具有管理后台会话，身份为平台管理员；具体账号及权限变化按以下条件准备
2. 已进入该配置编辑或上传对话框；其他必填项为有效值，文件已按模板准备</x:v>
      </x:c>
      <x:c r="J464" s="9" t="str">
        <x:v>1. 打开直播类型
2. 输入由41个“测”组成的英文名称
3. 点击“保存”</x:v>
      </x:c>
      <x:c r="K464" s="9" t="str">
        <x:v>不保存超过40字的英文名称</x:v>
      </x:c>
      <x:c r="L464" s="10" t="str"/>
      <x:c r="M464" s="10" t="str">
        <x:v>未测</x:v>
      </x:c>
      <x:c r="N464" s="10" t="str"/>
      <x:c r="O464" s="9" t="str">
        <x:v>1. 来源（当前证据）：liveshow-proto/MainBasis/统一需求文档.md；位置：第2719行、第2717行、第2718行
2. 规则：BR-f7bd55d9c4dd807a
3. 未动态验证</x:v>
      </x:c>
    </x:row>
    <x:row r="465" ht="115" customHeight="1">
      <x:c r="A465" s="10" t="n">
        <x:v>464</x:v>
      </x:c>
      <x:c r="B465" s="10" t="str">
        <x:v>ADMIN-0464</x:v>
      </x:c>
      <x:c r="C465" s="10" t="str">
        <x:v>运营配置</x:v>
      </x:c>
      <x:c r="D465" s="10" t="str">
        <x:v>直播类型（平台管理员）</x:v>
      </x:c>
      <x:c r="E465" s="10" t="str">
        <x:v>功能需求</x:v>
      </x:c>
      <x:c r="F465" s="10" t="str">
        <x:v>P1</x:v>
      </x:c>
      <x:c r="G465" s="9" t="str">
        <x:v>验证直播类型印尼语名称40字</x:v>
      </x:c>
      <x:c r="H465" s="9" t="str">
        <x:v>印尼语名称长度边界</x:v>
      </x:c>
      <x:c r="I465" s="9" t="str">
        <x:v>1. 当前执行账号具有管理后台会话，身份为平台管理员；具体账号及权限变化按以下条件准备
2. 已进入该配置编辑或上传对话框；其他必填项为有效值，文件已按模板准备</x:v>
      </x:c>
      <x:c r="J465" s="9" t="str">
        <x:v>1. 打开直播类型
2. 输入由40个“测”组成的印尼语名称
3. 点击“保存”</x:v>
      </x:c>
      <x:c r="K465" s="9" t="str">
        <x:v>接受40字的印尼语名称</x:v>
      </x:c>
      <x:c r="L465" s="10" t="str"/>
      <x:c r="M465" s="10" t="str">
        <x:v>未测</x:v>
      </x:c>
      <x:c r="N465" s="10" t="str"/>
      <x:c r="O465" s="9" t="str">
        <x:v>1. 来源（当前证据）：liveshow-proto/MainBasis/统一需求文档.md；位置：第2719行、第2717行、第2718行
2. 规则：BR-095a7df4f27002f3
3. 未动态验证</x:v>
      </x:c>
    </x:row>
    <x:row r="466" ht="115" customHeight="1">
      <x:c r="A466" s="10" t="n">
        <x:v>465</x:v>
      </x:c>
      <x:c r="B466" s="10" t="str">
        <x:v>ADMIN-0465</x:v>
      </x:c>
      <x:c r="C466" s="10" t="str">
        <x:v>运营配置</x:v>
      </x:c>
      <x:c r="D466" s="10" t="str">
        <x:v>直播类型（平台管理员）</x:v>
      </x:c>
      <x:c r="E466" s="10" t="str">
        <x:v>功能需求</x:v>
      </x:c>
      <x:c r="F466" s="10" t="str">
        <x:v>P1</x:v>
      </x:c>
      <x:c r="G466" s="9" t="str">
        <x:v>验证直播类型印尼语名称41字</x:v>
      </x:c>
      <x:c r="H466" s="9" t="str">
        <x:v>印尼语名称长度边界</x:v>
      </x:c>
      <x:c r="I466" s="9" t="str">
        <x:v>1. 当前执行账号具有管理后台会话，身份为平台管理员；具体账号及权限变化按以下条件准备
2. 已进入该配置编辑或上传对话框；其他必填项为有效值，文件已按模板准备</x:v>
      </x:c>
      <x:c r="J466" s="9" t="str">
        <x:v>1. 打开直播类型
2. 输入由41个“测”组成的印尼语名称
3. 点击“保存”</x:v>
      </x:c>
      <x:c r="K466" s="9" t="str">
        <x:v>不保存超过40字的印尼语名称</x:v>
      </x:c>
      <x:c r="L466" s="10" t="str"/>
      <x:c r="M466" s="10" t="str">
        <x:v>未测</x:v>
      </x:c>
      <x:c r="N466" s="10" t="str"/>
      <x:c r="O466" s="9" t="str">
        <x:v>1. 来源（当前证据）：liveshow-proto/MainBasis/统一需求文档.md；位置：第2719行、第2717行、第2718行
2. 规则：BR-d7ae9b70d60f40c3
3. 未动态验证</x:v>
      </x:c>
    </x:row>
    <x:row r="467" ht="115" customHeight="1">
      <x:c r="A467" s="10" t="n">
        <x:v>466</x:v>
      </x:c>
      <x:c r="B467" s="10" t="str">
        <x:v>ADMIN-0466</x:v>
      </x:c>
      <x:c r="C467" s="10" t="str">
        <x:v>运营配置</x:v>
      </x:c>
      <x:c r="D467" s="10" t="str">
        <x:v>直播类型（平台管理员）</x:v>
      </x:c>
      <x:c r="E467" s="10" t="str">
        <x:v>功能需求</x:v>
      </x:c>
      <x:c r="F467" s="10" t="str">
        <x:v>P1</x:v>
      </x:c>
      <x:c r="G467" s="9" t="str">
        <x:v>验证直播类型马来语名称40字</x:v>
      </x:c>
      <x:c r="H467" s="9" t="str">
        <x:v>马来语名称长度边界</x:v>
      </x:c>
      <x:c r="I467" s="9" t="str">
        <x:v>1. 当前执行账号具有管理后台会话，身份为平台管理员；具体账号及权限变化按以下条件准备
2. 已进入该配置编辑或上传对话框；其他必填项为有效值，文件已按模板准备</x:v>
      </x:c>
      <x:c r="J467" s="9" t="str">
        <x:v>1. 打开直播类型
2. 输入由40个“测”组成的马来语名称
3. 点击“保存”</x:v>
      </x:c>
      <x:c r="K467" s="9" t="str">
        <x:v>接受40字的马来语名称</x:v>
      </x:c>
      <x:c r="L467" s="10" t="str"/>
      <x:c r="M467" s="10" t="str">
        <x:v>未测</x:v>
      </x:c>
      <x:c r="N467" s="10" t="str"/>
      <x:c r="O467" s="9" t="str">
        <x:v>1. 来源（当前证据）：liveshow-proto/MainBasis/统一需求文档.md；位置：第2719行、第2717行、第2718行
2. 规则：BR-8b0cc38d87a695da
3. 未动态验证</x:v>
      </x:c>
    </x:row>
    <x:row r="468" ht="115" customHeight="1">
      <x:c r="A468" s="10" t="n">
        <x:v>467</x:v>
      </x:c>
      <x:c r="B468" s="10" t="str">
        <x:v>ADMIN-0467</x:v>
      </x:c>
      <x:c r="C468" s="10" t="str">
        <x:v>运营配置</x:v>
      </x:c>
      <x:c r="D468" s="10" t="str">
        <x:v>直播类型（平台管理员）</x:v>
      </x:c>
      <x:c r="E468" s="10" t="str">
        <x:v>功能需求</x:v>
      </x:c>
      <x:c r="F468" s="10" t="str">
        <x:v>P1</x:v>
      </x:c>
      <x:c r="G468" s="9" t="str">
        <x:v>验证直播类型马来语名称41字</x:v>
      </x:c>
      <x:c r="H468" s="9" t="str">
        <x:v>马来语名称长度边界</x:v>
      </x:c>
      <x:c r="I468" s="9" t="str">
        <x:v>1. 当前执行账号具有管理后台会话，身份为平台管理员；具体账号及权限变化按以下条件准备
2. 已进入该配置编辑或上传对话框；其他必填项为有效值，文件已按模板准备</x:v>
      </x:c>
      <x:c r="J468" s="9" t="str">
        <x:v>1. 打开直播类型
2. 输入由41个“测”组成的马来语名称
3. 点击“保存”</x:v>
      </x:c>
      <x:c r="K468" s="9" t="str">
        <x:v>不保存超过40字的马来语名称</x:v>
      </x:c>
      <x:c r="L468" s="10" t="str"/>
      <x:c r="M468" s="10" t="str">
        <x:v>未测</x:v>
      </x:c>
      <x:c r="N468" s="10" t="str"/>
      <x:c r="O468" s="9" t="str">
        <x:v>1. 来源（当前证据）：liveshow-proto/MainBasis/统一需求文档.md；位置：第2719行、第2717行、第2718行
2. 规则：BR-3e9680b6e4e82759
3. 未动态验证</x:v>
      </x:c>
    </x:row>
    <x:row r="469" ht="160" customHeight="1">
      <x:c r="A469" s="10" t="n">
        <x:v>468</x:v>
      </x:c>
      <x:c r="B469" s="10" t="str">
        <x:v>ADMIN-0468</x:v>
      </x:c>
      <x:c r="C469" s="10" t="str">
        <x:v>财务结算</x:v>
      </x:c>
      <x:c r="D469" s="10" t="str">
        <x:v>主播分成记录（平台管理员）</x:v>
      </x:c>
      <x:c r="E469" s="10" t="str">
        <x:v>功能需求</x:v>
      </x:c>
      <x:c r="F469" s="10" t="str">
        <x:v>P1</x:v>
      </x:c>
      <x:c r="G469" s="9" t="str">
        <x:v>验证主播分成记录分成备注100字</x:v>
      </x:c>
      <x:c r="H469" s="9" t="str">
        <x:v>分成备注长度边界</x:v>
      </x:c>
      <x:c r="I469" s="9" t="str">
        <x:v>1. 当前执行账号具有管理后台会话，身份为平台管理员；具体账号及权限变化按以下条件准备
2. 已进入该配置编辑或上传对话框；其他必填项为有效值，文件已按模板准备
3. 上传对话框已选中valid.csv，该文件包含100USD合法分成记录；仅修改备注</x:v>
      </x:c>
      <x:c r="J469" s="9" t="str">
        <x:v>1. 打开主播分成记录
2. 输入由100个“测”组成的分成备注
3. 点击“确认上传”</x:v>
      </x:c>
      <x:c r="K469" s="9" t="str">
        <x:v>上传成功后进入分成预览</x:v>
      </x:c>
      <x:c r="L469" s="10" t="str"/>
      <x:c r="M469" s="10" t="str">
        <x:v>未测</x:v>
      </x:c>
      <x:c r="N469" s="10" t="str"/>
      <x:c r="O469" s="9" t="str">
        <x:v>1. 来源（当前证据）：liveshow-proto/MainBasis/统一需求文档.md；位置：第2855行、第2849行、第2850行
2. 规则：BR-c3fe5cb760fcc7f9
3. 未动态验证</x:v>
      </x:c>
    </x:row>
    <x:row r="470" ht="160" customHeight="1">
      <x:c r="A470" s="10" t="n">
        <x:v>469</x:v>
      </x:c>
      <x:c r="B470" s="10" t="str">
        <x:v>ADMIN-0469</x:v>
      </x:c>
      <x:c r="C470" s="10" t="str">
        <x:v>财务结算</x:v>
      </x:c>
      <x:c r="D470" s="10" t="str">
        <x:v>主播分成记录（平台管理员）</x:v>
      </x:c>
      <x:c r="E470" s="10" t="str">
        <x:v>功能需求</x:v>
      </x:c>
      <x:c r="F470" s="10" t="str">
        <x:v>P1</x:v>
      </x:c>
      <x:c r="G470" s="9" t="str">
        <x:v>验证主播分成记录分成备注101字</x:v>
      </x:c>
      <x:c r="H470" s="9" t="str">
        <x:v>分成备注长度边界</x:v>
      </x:c>
      <x:c r="I470" s="9" t="str">
        <x:v>1. 当前执行账号具有管理后台会话，身份为平台管理员；具体账号及权限变化按以下条件准备
2. 已进入该配置编辑或上传对话框；其他必填项为有效值，文件已按模板准备
3. 上传对话框已选中valid.csv，该文件包含100USD合法分成记录；仅修改备注</x:v>
      </x:c>
      <x:c r="J470" s="9" t="str">
        <x:v>1. 打开主播分成记录
2. 输入由101个“测”组成的分成备注
3. 点击“确认上传”</x:v>
      </x:c>
      <x:c r="K470" s="9" t="str">
        <x:v>不保存超过100字的分成备注</x:v>
      </x:c>
      <x:c r="L470" s="10" t="str"/>
      <x:c r="M470" s="10" t="str">
        <x:v>未测</x:v>
      </x:c>
      <x:c r="N470" s="10" t="str"/>
      <x:c r="O470" s="9" t="str">
        <x:v>1. 来源（当前证据）：liveshow-proto/MainBasis/统一需求文档.md；位置：第2855行、第2849行、第2850行
2. 规则：BR-f8a5a3a82410f6ad
3. 未动态验证</x:v>
      </x:c>
    </x:row>
    <x:row r="471" ht="160" customHeight="1">
      <x:c r="A471" s="10" t="n">
        <x:v>470</x:v>
      </x:c>
      <x:c r="B471" s="10" t="str">
        <x:v>ADMIN-0470</x:v>
      </x:c>
      <x:c r="C471" s="10" t="str">
        <x:v>财务结算</x:v>
      </x:c>
      <x:c r="D471" s="10" t="str">
        <x:v>公会分成记录（平台管理员）</x:v>
      </x:c>
      <x:c r="E471" s="10" t="str">
        <x:v>功能需求</x:v>
      </x:c>
      <x:c r="F471" s="10" t="str">
        <x:v>P1</x:v>
      </x:c>
      <x:c r="G471" s="9" t="str">
        <x:v>验证公会分成记录分成备注100字</x:v>
      </x:c>
      <x:c r="H471" s="9" t="str">
        <x:v>分成备注长度边界</x:v>
      </x:c>
      <x:c r="I471" s="9" t="str">
        <x:v>1. 当前执行账号具有管理后台会话，身份为平台管理员；具体账号及权限变化按以下条件准备
2. 已进入该配置编辑或上传对话框；其他必填项为有效值，文件已按模板准备
3. 上传对话框已选中valid.csv，该文件包含100USD合法分成记录；仅修改备注</x:v>
      </x:c>
      <x:c r="J471" s="9" t="str">
        <x:v>1. 打开公会分成记录
2. 输入由100个“测”组成的分成备注
3. 点击“确认上传”</x:v>
      </x:c>
      <x:c r="K471" s="9" t="str">
        <x:v>上传成功后进入分成预览</x:v>
      </x:c>
      <x:c r="L471" s="10" t="str"/>
      <x:c r="M471" s="10" t="str">
        <x:v>未测</x:v>
      </x:c>
      <x:c r="N471" s="10" t="str"/>
      <x:c r="O471" s="9" t="str">
        <x:v>1. 来源（当前证据）：liveshow-proto/MainBasis/统一需求文档.md；位置：第2905行、第2899行、第2900行
2. 规则：BR-38d006f8575073e5
3. 未动态验证</x:v>
      </x:c>
    </x:row>
    <x:row r="472" ht="160" customHeight="1">
      <x:c r="A472" s="10" t="n">
        <x:v>471</x:v>
      </x:c>
      <x:c r="B472" s="10" t="str">
        <x:v>ADMIN-0471</x:v>
      </x:c>
      <x:c r="C472" s="10" t="str">
        <x:v>财务结算</x:v>
      </x:c>
      <x:c r="D472" s="10" t="str">
        <x:v>公会分成记录（平台管理员）</x:v>
      </x:c>
      <x:c r="E472" s="10" t="str">
        <x:v>功能需求</x:v>
      </x:c>
      <x:c r="F472" s="10" t="str">
        <x:v>P1</x:v>
      </x:c>
      <x:c r="G472" s="9" t="str">
        <x:v>验证公会分成记录分成备注101字</x:v>
      </x:c>
      <x:c r="H472" s="9" t="str">
        <x:v>分成备注长度边界</x:v>
      </x:c>
      <x:c r="I472" s="9" t="str">
        <x:v>1. 当前执行账号具有管理后台会话，身份为平台管理员；具体账号及权限变化按以下条件准备
2. 已进入该配置编辑或上传对话框；其他必填项为有效值，文件已按模板准备
3. 上传对话框已选中valid.csv，该文件包含100USD合法分成记录；仅修改备注</x:v>
      </x:c>
      <x:c r="J472" s="9" t="str">
        <x:v>1. 打开公会分成记录
2. 输入由101个“测”组成的分成备注
3. 点击“确认上传”</x:v>
      </x:c>
      <x:c r="K472" s="9" t="str">
        <x:v>不保存超过100字的分成备注</x:v>
      </x:c>
      <x:c r="L472" s="10" t="str"/>
      <x:c r="M472" s="10" t="str">
        <x:v>未测</x:v>
      </x:c>
      <x:c r="N472" s="10" t="str"/>
      <x:c r="O472" s="9" t="str">
        <x:v>1. 来源（当前证据）：liveshow-proto/MainBasis/统一需求文档.md；位置：第2905行、第2899行、第2900行
2. 规则：BR-3f6572554e39eca9
3. 未动态验证</x:v>
      </x:c>
    </x:row>
    <x:row r="473" ht="100" customHeight="1">
      <x:c r="A473" s="10" t="n">
        <x:v>472</x:v>
      </x:c>
      <x:c r="B473" s="10" t="str">
        <x:v>ADMIN-0472</x:v>
      </x:c>
      <x:c r="C473" s="10" t="str">
        <x:v>主播管理</x:v>
      </x:c>
      <x:c r="D473" s="10" t="str">
        <x:v>主播详情（平台管理员）</x:v>
      </x:c>
      <x:c r="E473" s="10" t="str">
        <x:v>业务流程</x:v>
      </x:c>
      <x:c r="F473" s="10" t="str">
        <x:v>P0</x:v>
      </x:c>
      <x:c r="G473" s="9" t="str">
        <x:v>验证平台关闭开播权限原因空</x:v>
      </x:c>
      <x:c r="H473" s="9" t="str">
        <x:v>平台权限处置原因</x:v>
      </x:c>
      <x:c r="I473" s="9" t="str">
        <x:v>1. 当前执行账号具有管理后台会话，身份为平台管理员；具体账号及权限变化按以下条件准备
2. 主播B当前直播中，平台权限开启，当前管理员有处置权限</x:v>
      </x:c>
      <x:c r="J473" s="9" t="str">
        <x:v>1. 打开主播详情
2. 关闭平台直播权限
3. 清空原因
4. 点击“确认”</x:v>
      </x:c>
      <x:c r="K473" s="9" t="str">
        <x:v>不提交无原因的权限变更</x:v>
      </x:c>
      <x:c r="L473" s="10" t="str">
        <x:v>FLOW-LIVE-PERMISSION</x:v>
      </x:c>
      <x:c r="M473" s="10" t="str">
        <x:v>未测</x:v>
      </x:c>
      <x:c r="N473" s="10" t="str"/>
      <x:c r="O473" s="9" t="str">
        <x:v>1. 来源（当前证据）：liveshow-proto/MainBasis/统一需求文档.md；位置：第2256行、第2247行、第2248行
2. 规则：BR-46b350ad3b306152
3. 未动态验证</x:v>
      </x:c>
    </x:row>
    <x:row r="474" ht="100" customHeight="1">
      <x:c r="A474" s="10" t="n">
        <x:v>473</x:v>
      </x:c>
      <x:c r="B474" s="10" t="str">
        <x:v>ADMIN-0473</x:v>
      </x:c>
      <x:c r="C474" s="10" t="str">
        <x:v>主播管理</x:v>
      </x:c>
      <x:c r="D474" s="10" t="str">
        <x:v>主播详情（平台管理员）</x:v>
      </x:c>
      <x:c r="E474" s="10" t="str">
        <x:v>业务流程</x:v>
      </x:c>
      <x:c r="F474" s="10" t="str">
        <x:v>P0</x:v>
      </x:c>
      <x:c r="G474" s="9" t="str">
        <x:v>验证平台关闭开播权限原因有效</x:v>
      </x:c>
      <x:c r="H474" s="9" t="str">
        <x:v>平台权限处置原因</x:v>
      </x:c>
      <x:c r="I474" s="9" t="str">
        <x:v>1. 当前执行账号具有管理后台会话，身份为平台管理员；具体账号及权限变化按以下条件准备
2. 主播B当前直播中，平台权限开启，当前管理员有处置权限</x:v>
      </x:c>
      <x:c r="J474" s="9" t="str">
        <x:v>1. 打开主播详情
2. 关闭平台直播权限
3. 输入原因“测试权限调整”
4. 点击“确认”</x:v>
      </x:c>
      <x:c r="K474" s="9" t="str">
        <x:v>平台直播权限显示关闭</x:v>
      </x:c>
      <x:c r="L474" s="10" t="str">
        <x:v>FLOW-LIVE-PERMISSION</x:v>
      </x:c>
      <x:c r="M474" s="10" t="str">
        <x:v>未测</x:v>
      </x:c>
      <x:c r="N474" s="10" t="str"/>
      <x:c r="O474" s="9" t="str">
        <x:v>1. 来源（当前证据）：liveshow-proto/MainBasis/统一需求文档.md；位置：第2256行、第2247行、第2248行
2. 规则：BR-3365cf9e86d6c32a
3. 未动态验证</x:v>
      </x:c>
    </x:row>
    <x:row r="475" ht="100" customHeight="1">
      <x:c r="A475" s="10" t="n">
        <x:v>474</x:v>
      </x:c>
      <x:c r="B475" s="10" t="str">
        <x:v>ADMIN-0474</x:v>
      </x:c>
      <x:c r="C475" s="10" t="str">
        <x:v>主播管理</x:v>
      </x:c>
      <x:c r="D475" s="10" t="str">
        <x:v>主播详情（平台管理员）</x:v>
      </x:c>
      <x:c r="E475" s="10" t="str">
        <x:v>业务流程</x:v>
      </x:c>
      <x:c r="F475" s="10" t="str">
        <x:v>P0</x:v>
      </x:c>
      <x:c r="G475" s="9" t="str">
        <x:v>验证平台关闭权限即时结束场次</x:v>
      </x:c>
      <x:c r="H475" s="9" t="str">
        <x:v>平台权限关闭场次</x:v>
      </x:c>
      <x:c r="I475" s="9" t="str">
        <x:v>1. 当前执行账号具有管理后台会话，身份为平台管理员；具体账号及权限变化按以下条件准备
2. B平台直播权限开启、场次S1在播</x:v>
      </x:c>
      <x:c r="J475" s="9" t="str">
        <x:v>1. 打开主播详情
2. 关闭平台直播权限
3. 输入原因“测试关闭”
4. 点击“确认”
5. 打开S1直播详情</x:v>
      </x:c>
      <x:c r="K475" s="9" t="str">
        <x:v>S1显示已结束</x:v>
      </x:c>
      <x:c r="L475" s="10" t="str">
        <x:v>FLOW-LIVE-PERMISSION</x:v>
      </x:c>
      <x:c r="M475" s="10" t="str">
        <x:v>未测</x:v>
      </x:c>
      <x:c r="N475" s="10" t="str"/>
      <x:c r="O475" s="9" t="str">
        <x:v>1. 来源（当前证据）：liveshow-proto/MainBasis/统一需求文档.md；位置：第2250行、第2247行、第2248行
2. 规则：BR-8109cee738496f85
3. 未动态验证</x:v>
      </x:c>
    </x:row>
    <x:row r="476" ht="100" customHeight="1">
      <x:c r="A476" s="10" t="n">
        <x:v>475</x:v>
      </x:c>
      <x:c r="B476" s="10" t="str">
        <x:v>ADMIN-0475</x:v>
      </x:c>
      <x:c r="C476" s="10" t="str">
        <x:v>主播管理</x:v>
      </x:c>
      <x:c r="D476" s="10" t="str">
        <x:v>主播详情（平台管理员）</x:v>
      </x:c>
      <x:c r="E476" s="10" t="str">
        <x:v>业务流程</x:v>
      </x:c>
      <x:c r="F476" s="10" t="str">
        <x:v>P1</x:v>
      </x:c>
      <x:c r="G476" s="9" t="str">
        <x:v>验证平台管理锁定保留公会设置</x:v>
      </x:c>
      <x:c r="H476" s="9" t="str">
        <x:v>管理锁与权限恢复</x:v>
      </x:c>
      <x:c r="I476" s="9" t="str">
        <x:v>1. 当前执行账号具有管理后台会话，身份为平台管理员；具体账号及权限变化按以下条件准备
2. B的公会原权限关闭，平台权限开启</x:v>
      </x:c>
      <x:c r="J476" s="9" t="str">
        <x:v>1. 打开主播详情
2. 关闭公会管理权限
3. 输入原因“测试锁定”
4. 点击“确认”
5. 查看当前直播权限</x:v>
      </x:c>
      <x:c r="K476" s="9" t="str">
        <x:v>有效直播权限跟随平台开启</x:v>
      </x:c>
      <x:c r="L476" s="10" t="str">
        <x:v>FLOW-LIVE-PERMISSION</x:v>
      </x:c>
      <x:c r="M476" s="10" t="str">
        <x:v>未测</x:v>
      </x:c>
      <x:c r="N476" s="10" t="str"/>
      <x:c r="O476" s="9" t="str">
        <x:v>1. 来源（当前证据）：liveshow-proto/MainBasis/统一需求文档.md；位置：第2251行、第2247行、第2248行
2. 规则：BR-469cef15847c0e1a
3. 未动态验证</x:v>
      </x:c>
    </x:row>
    <x:row r="477" ht="130" customHeight="1">
      <x:c r="A477" s="10" t="n">
        <x:v>476</x:v>
      </x:c>
      <x:c r="B477" s="10" t="str">
        <x:v>ADMIN-0476</x:v>
      </x:c>
      <x:c r="C477" s="10" t="str">
        <x:v>主播管理</x:v>
      </x:c>
      <x:c r="D477" s="10" t="str">
        <x:v>主播详情（平台管理员）</x:v>
      </x:c>
      <x:c r="E477" s="10" t="str">
        <x:v>业务流程</x:v>
      </x:c>
      <x:c r="F477" s="10" t="str">
        <x:v>P1</x:v>
      </x:c>
      <x:c r="G477" s="9" t="str">
        <x:v>验证平台管理锁解除保留公会设置</x:v>
      </x:c>
      <x:c r="H477" s="9" t="str">
        <x:v>管理锁与权限恢复</x:v>
      </x:c>
      <x:c r="I477" s="9" t="str">
        <x:v>1. 当前执行账号具有管理后台会话，身份为平台管理员；具体账号及权限变化按以下条件准备
2. B的公会原权限关闭，平台权限开启</x:v>
      </x:c>
      <x:c r="J477" s="9" t="str">
        <x:v>1. 打开主播详情
2. 关闭公会管理权限
3. 输入原因“测试锁定”
4. 点击“确认”
5. 启用公会管理权限
6. 输入原因“测试解锁”
7. 点击“确认”
8. 查看当前直播权限</x:v>
      </x:c>
      <x:c r="K477" s="9" t="str">
        <x:v>有效直播权限恢复关闭</x:v>
      </x:c>
      <x:c r="L477" s="10" t="str">
        <x:v>FLOW-LIVE-PERMISSION</x:v>
      </x:c>
      <x:c r="M477" s="10" t="str">
        <x:v>未测</x:v>
      </x:c>
      <x:c r="N477" s="10" t="str"/>
      <x:c r="O477" s="9" t="str">
        <x:v>1. 来源（当前证据）：liveshow-proto/MainBasis/统一需求文档.md；位置：第2251行、第2247行、第2248行
2. 规则：BR-e05eddf69edb0e3d
3. 未动态验证</x:v>
      </x:c>
    </x:row>
    <x:row r="478" ht="100" customHeight="1">
      <x:c r="A478" s="10" t="n">
        <x:v>477</x:v>
      </x:c>
      <x:c r="B478" s="10" t="str">
        <x:v>ADMIN-0477</x:v>
      </x:c>
      <x:c r="C478" s="10" t="str">
        <x:v>用户管理</x:v>
      </x:c>
      <x:c r="D478" s="10" t="str">
        <x:v>用户列表（平台管理员）</x:v>
      </x:c>
      <x:c r="E478" s="10" t="str">
        <x:v>业务流程</x:v>
      </x:c>
      <x:c r="F478" s="10" t="str">
        <x:v>P1</x:v>
      </x:c>
      <x:c r="G478" s="9" t="str">
        <x:v>验证封禁普通用户账号</x:v>
      </x:c>
      <x:c r="H478" s="9" t="str">
        <x:v>账号封禁状态</x:v>
      </x:c>
      <x:c r="I478" s="9" t="str">
        <x:v>1. 当前执行账号具有管理后台会话，身份为平台管理员；具体账号及权限变化按以下条件准备
2. B为普通用户，当前账号正常且已有会话</x:v>
      </x:c>
      <x:c r="J478" s="9" t="str">
        <x:v>1. 打开用户列表
2. 查询账号B
3. 点击“封禁”
4. 输入原因“测试”
5. 点击“确认”</x:v>
      </x:c>
      <x:c r="K478" s="9" t="str">
        <x:v>账号B状态显示封禁</x:v>
      </x:c>
      <x:c r="L478" s="10" t="str">
        <x:v>FLOW-ACCOUNT-BAN</x:v>
      </x:c>
      <x:c r="M478" s="10" t="str">
        <x:v>未测</x:v>
      </x:c>
      <x:c r="N478" s="10" t="str"/>
      <x:c r="O478" s="9" t="str">
        <x:v>1. 来源（当前证据）：liveshow-proto/MainBasis/统一需求文档.md；位置：第2216行、第2205行、第2206行
2. 规则：BR-c3f14f8eb2c92f71
3. 未动态验证</x:v>
      </x:c>
    </x:row>
    <x:row r="479" ht="100" customHeight="1">
      <x:c r="A479" s="10" t="n">
        <x:v>478</x:v>
      </x:c>
      <x:c r="B479" s="10" t="str">
        <x:v>ADMIN-0478</x:v>
      </x:c>
      <x:c r="C479" s="10" t="str">
        <x:v>用户管理</x:v>
      </x:c>
      <x:c r="D479" s="10" t="str">
        <x:v>用户列表（平台管理员）</x:v>
      </x:c>
      <x:c r="E479" s="10" t="str">
        <x:v>业务流程</x:v>
      </x:c>
      <x:c r="F479" s="10" t="str">
        <x:v>P1</x:v>
      </x:c>
      <x:c r="G479" s="9" t="str">
        <x:v>验证封禁已认证主播账号</x:v>
      </x:c>
      <x:c r="H479" s="9" t="str">
        <x:v>账号封禁状态</x:v>
      </x:c>
      <x:c r="I479" s="9" t="str">
        <x:v>1. 当前执行账号具有管理后台会话，身份为平台管理员；具体账号及权限变化按以下条件准备
2. B为已认证主播，当前账号正常且已有会话</x:v>
      </x:c>
      <x:c r="J479" s="9" t="str">
        <x:v>1. 打开用户列表
2. 查询账号B
3. 点击“封禁”
4. 输入原因“测试”
5. 点击“确认”</x:v>
      </x:c>
      <x:c r="K479" s="9" t="str">
        <x:v>账号B状态显示封禁</x:v>
      </x:c>
      <x:c r="L479" s="10" t="str">
        <x:v>FLOW-ACCOUNT-BAN</x:v>
      </x:c>
      <x:c r="M479" s="10" t="str">
        <x:v>未测</x:v>
      </x:c>
      <x:c r="N479" s="10" t="str"/>
      <x:c r="O479" s="9" t="str">
        <x:v>1. 来源（当前证据）：liveshow-proto/MainBasis/统一需求文档.md；位置：第2216行、第2205行、第2206行
2. 规则：BR-4c523d7e039f82cb
3. 未动态验证</x:v>
      </x:c>
    </x:row>
    <x:row r="480" ht="100" customHeight="1">
      <x:c r="A480" s="10" t="n">
        <x:v>479</x:v>
      </x:c>
      <x:c r="B480" s="10" t="str">
        <x:v>ADMIN-0479</x:v>
      </x:c>
      <x:c r="C480" s="10" t="str">
        <x:v>内容审核</x:v>
      </x:c>
      <x:c r="D480" s="10" t="str">
        <x:v>账号违规（平台管理员）</x:v>
      </x:c>
      <x:c r="E480" s="10" t="str">
        <x:v>业务流程</x:v>
      </x:c>
      <x:c r="F480" s="10" t="str">
        <x:v>P1</x:v>
      </x:c>
      <x:c r="G480" s="9" t="str">
        <x:v>验证账号举报待处理不自动封禁</x:v>
      </x:c>
      <x:c r="H480" s="9" t="str">
        <x:v>举报与处罚分离</x:v>
      </x:c>
      <x:c r="I480" s="9" t="str">
        <x:v>1. 当前执行账号具有管理后台会话，身份为平台管理员；具体账号及权限变化按以下条件准备
2. 正常账号B有一条待处理账号举报R1</x:v>
      </x:c>
      <x:c r="J480" s="9" t="str">
        <x:v>1. 打开账号违规
2. 查询R1</x:v>
      </x:c>
      <x:c r="K480" s="9" t="str">
        <x:v>账号状态仍显示正常</x:v>
      </x:c>
      <x:c r="L480" s="10" t="str">
        <x:v>FLOW-ACCOUNT-REPORT</x:v>
      </x:c>
      <x:c r="M480" s="10" t="str">
        <x:v>未测</x:v>
      </x:c>
      <x:c r="N480" s="10" t="str"/>
      <x:c r="O480" s="9" t="str">
        <x:v>1. 来源（当前证据）：liveshow-proto/MainBasis/统一需求文档.md；位置：第2367行、第2359行、第2360行
2. 规则：BR-2505e8a3ce781dda
3. 未动态验证</x:v>
      </x:c>
    </x:row>
    <x:row r="481" ht="100" customHeight="1">
      <x:c r="A481" s="10" t="n">
        <x:v>480</x:v>
      </x:c>
      <x:c r="B481" s="10" t="str">
        <x:v>ADMIN-0480</x:v>
      </x:c>
      <x:c r="C481" s="10" t="str">
        <x:v>内容审核</x:v>
      </x:c>
      <x:c r="D481" s="10" t="str">
        <x:v>账号违规（平台管理员）</x:v>
      </x:c>
      <x:c r="E481" s="10" t="str">
        <x:v>业务流程</x:v>
      </x:c>
      <x:c r="F481" s="10" t="str">
        <x:v>P1</x:v>
      </x:c>
      <x:c r="G481" s="9" t="str">
        <x:v>验证账号举报不随直播结束作废</x:v>
      </x:c>
      <x:c r="H481" s="9" t="str">
        <x:v>账号举报生命周期</x:v>
      </x:c>
      <x:c r="I481" s="9" t="str">
        <x:v>1. 当前执行账号具有管理后台会话，身份为平台管理员；具体账号及权限变化按以下条件准备
2. 账号举报R1待处理，B之前直播场次S1现已结束</x:v>
      </x:c>
      <x:c r="J481" s="9" t="str">
        <x:v>1. 打开账号违规
2. 查询R1</x:v>
      </x:c>
      <x:c r="K481" s="9" t="str">
        <x:v>R1仍为待处理</x:v>
      </x:c>
      <x:c r="L481" s="10" t="str">
        <x:v>FLOW-ACCOUNT-REPORT</x:v>
      </x:c>
      <x:c r="M481" s="10" t="str">
        <x:v>未测</x:v>
      </x:c>
      <x:c r="N481" s="10" t="str"/>
      <x:c r="O481" s="9" t="str">
        <x:v>1. 来源（当前证据）：liveshow-proto/MainBasis/统一需求文档.md；位置：第2370行、第2359行、第2360行
2. 规则：BR-31149b20930a4716
3. 未动态验证</x:v>
      </x:c>
    </x:row>
    <x:row r="482" ht="100" customHeight="1">
      <x:c r="A482" s="10" t="n">
        <x:v>481</x:v>
      </x:c>
      <x:c r="B482" s="10" t="str">
        <x:v>ADMIN-0481</x:v>
      </x:c>
      <x:c r="C482" s="10" t="str">
        <x:v>主播管理</x:v>
      </x:c>
      <x:c r="D482" s="10" t="str">
        <x:v>排班详情（平台管理员）</x:v>
      </x:c>
      <x:c r="E482" s="10" t="str">
        <x:v>功能需求</x:v>
      </x:c>
      <x:c r="F482" s="10" t="str">
        <x:v>P1</x:v>
      </x:c>
      <x:c r="G482" s="9" t="str">
        <x:v>验证巡房人员封禁保留历史名单</x:v>
      </x:c>
      <x:c r="H482" s="9" t="str">
        <x:v>排班历史留存</x:v>
      </x:c>
      <x:c r="I482" s="9" t="str">
        <x:v>1. 当前执行账号具有管理后台会话，身份为平台管理员；具体账号及权限变化按以下条件准备
2. 排班P1包含人员B，B后续被平台封禁</x:v>
      </x:c>
      <x:c r="J482" s="9" t="str">
        <x:v>1. 打开排班详情
2. 查看P1人员名单</x:v>
      </x:c>
      <x:c r="K482" s="9" t="str">
        <x:v>名单仍记录人员B</x:v>
      </x:c>
      <x:c r="L482" s="10" t="str"/>
      <x:c r="M482" s="10" t="str">
        <x:v>未测</x:v>
      </x:c>
      <x:c r="N482" s="10" t="str"/>
      <x:c r="O482" s="9" t="str">
        <x:v>1. 来源（当前证据）：liveshow-proto/MainBasis/统一需求文档.md；位置：第2335行、第2330行、第2331行
2. 规则：BR-d8d5ad369c079244
3. 未动态验证</x:v>
      </x:c>
    </x:row>
    <x:row r="483" ht="100" customHeight="1">
      <x:c r="A483" s="10" t="n">
        <x:v>482</x:v>
      </x:c>
      <x:c r="B483" s="10" t="str">
        <x:v>ADMIN-0482</x:v>
      </x:c>
      <x:c r="C483" s="10" t="str">
        <x:v>主播管理</x:v>
      </x:c>
      <x:c r="D483" s="10" t="str">
        <x:v>巡房排班（平台管理员）</x:v>
      </x:c>
      <x:c r="E483" s="10" t="str">
        <x:v>业务流程</x:v>
      </x:c>
      <x:c r="F483" s="10" t="str">
        <x:v>P1</x:v>
      </x:c>
      <x:c r="G483" s="9" t="str">
        <x:v>验证巡房排班开始前状态</x:v>
      </x:c>
      <x:c r="H483" s="9" t="str">
        <x:v>排班时间状态</x:v>
      </x:c>
      <x:c r="I483" s="9" t="str">
        <x:v>1. 当前执行账号具有管理后台会话，身份为平台管理员；具体账号及权限变化按以下条件准备
2. 排班P1启用，当前测试时间处于开始前</x:v>
      </x:c>
      <x:c r="J483" s="9" t="str">
        <x:v>1. 打开巡房排班
2. 查询P1</x:v>
      </x:c>
      <x:c r="K483" s="9" t="str">
        <x:v>状态显示待生效</x:v>
      </x:c>
      <x:c r="L483" s="10" t="str">
        <x:v>FLOW-PATROL</x:v>
      </x:c>
      <x:c r="M483" s="10" t="str">
        <x:v>未测</x:v>
      </x:c>
      <x:c r="N483" s="10" t="str"/>
      <x:c r="O483" s="9" t="str">
        <x:v>1. 来源（当前证据）：liveshow-proto/MainBasis/统一需求文档.md；位置：第2315行、第2309行、第2310行
2. 规则：BR-bf1a7f63221d03b8
3. 未动态验证</x:v>
      </x:c>
    </x:row>
    <x:row r="484" ht="100" customHeight="1">
      <x:c r="A484" s="10" t="n">
        <x:v>483</x:v>
      </x:c>
      <x:c r="B484" s="10" t="str">
        <x:v>ADMIN-0483</x:v>
      </x:c>
      <x:c r="C484" s="10" t="str">
        <x:v>主播管理</x:v>
      </x:c>
      <x:c r="D484" s="10" t="str">
        <x:v>巡房排班（平台管理员）</x:v>
      </x:c>
      <x:c r="E484" s="10" t="str">
        <x:v>业务流程</x:v>
      </x:c>
      <x:c r="F484" s="10" t="str">
        <x:v>P1</x:v>
      </x:c>
      <x:c r="G484" s="9" t="str">
        <x:v>验证巡房排班有效期间状态</x:v>
      </x:c>
      <x:c r="H484" s="9" t="str">
        <x:v>排班时间状态</x:v>
      </x:c>
      <x:c r="I484" s="9" t="str">
        <x:v>1. 当前执行账号具有管理后台会话，身份为平台管理员；具体账号及权限变化按以下条件准备
2. 排班P1启用，当前测试时间处于有效期间</x:v>
      </x:c>
      <x:c r="J484" s="9" t="str">
        <x:v>1. 打开巡房排班
2. 查询P1</x:v>
      </x:c>
      <x:c r="K484" s="9" t="str">
        <x:v>状态显示生效中</x:v>
      </x:c>
      <x:c r="L484" s="10" t="str">
        <x:v>FLOW-PATROL</x:v>
      </x:c>
      <x:c r="M484" s="10" t="str">
        <x:v>未测</x:v>
      </x:c>
      <x:c r="N484" s="10" t="str"/>
      <x:c r="O484" s="9" t="str">
        <x:v>1. 来源（当前证据）：liveshow-proto/MainBasis/统一需求文档.md；位置：第2315行、第2309行、第2310行
2. 规则：BR-f0b46f0690238984
3. 未动态验证</x:v>
      </x:c>
    </x:row>
    <x:row r="485" ht="100" customHeight="1">
      <x:c r="A485" s="10" t="n">
        <x:v>484</x:v>
      </x:c>
      <x:c r="B485" s="10" t="str">
        <x:v>ADMIN-0484</x:v>
      </x:c>
      <x:c r="C485" s="10" t="str">
        <x:v>主播管理</x:v>
      </x:c>
      <x:c r="D485" s="10" t="str">
        <x:v>巡房排班（平台管理员）</x:v>
      </x:c>
      <x:c r="E485" s="10" t="str">
        <x:v>业务流程</x:v>
      </x:c>
      <x:c r="F485" s="10" t="str">
        <x:v>P1</x:v>
      </x:c>
      <x:c r="G485" s="9" t="str">
        <x:v>验证巡房排班结束后状态</x:v>
      </x:c>
      <x:c r="H485" s="9" t="str">
        <x:v>排班时间状态</x:v>
      </x:c>
      <x:c r="I485" s="9" t="str">
        <x:v>1. 当前执行账号具有管理后台会话，身份为平台管理员；具体账号及权限变化按以下条件准备
2. 排班P1启用，当前测试时间处于结束后</x:v>
      </x:c>
      <x:c r="J485" s="9" t="str">
        <x:v>1. 打开巡房排班
2. 查询P1</x:v>
      </x:c>
      <x:c r="K485" s="9" t="str">
        <x:v>状态显示已结束</x:v>
      </x:c>
      <x:c r="L485" s="10" t="str">
        <x:v>FLOW-PATROL</x:v>
      </x:c>
      <x:c r="M485" s="10" t="str">
        <x:v>未测</x:v>
      </x:c>
      <x:c r="N485" s="10" t="str"/>
      <x:c r="O485" s="9" t="str">
        <x:v>1. 来源（当前证据）：liveshow-proto/MainBasis/统一需求文档.md；位置：第2315行、第2309行、第2310行
2. 规则：BR-f58f3b99d6cd99ea
3. 未动态验证</x:v>
      </x:c>
    </x:row>
    <x:row r="486" ht="85" customHeight="1">
      <x:c r="A486" s="10" t="n">
        <x:v>485</x:v>
      </x:c>
      <x:c r="B486" s="10" t="str">
        <x:v>ADMIN-0485</x:v>
      </x:c>
      <x:c r="C486" s="10" t="str">
        <x:v>内容审核</x:v>
      </x:c>
      <x:c r="D486" s="10" t="str">
        <x:v>内容审核（平台管理员）</x:v>
      </x:c>
      <x:c r="E486" s="10" t="str">
        <x:v>功能需求</x:v>
      </x:c>
      <x:c r="F486" s="10" t="str">
        <x:v>P1</x:v>
      </x:c>
      <x:c r="G486" s="9" t="str">
        <x:v>验证机审告警未处理处置结果</x:v>
      </x:c>
      <x:c r="H486" s="9" t="str">
        <x:v>内容审核结果回显</x:v>
      </x:c>
      <x:c r="I486" s="9" t="str">
        <x:v>1. 当前执行账号具有管理后台会话，身份为平台管理员；具体账号及权限变化按以下条件准备
2. 告警A当前为未处理</x:v>
      </x:c>
      <x:c r="J486" s="9" t="str">
        <x:v>1. 打开内容审核
2. 查询告警A</x:v>
      </x:c>
      <x:c r="K486" s="9" t="str">
        <x:v>处置结果显示“-”</x:v>
      </x:c>
      <x:c r="L486" s="10" t="str"/>
      <x:c r="M486" s="10" t="str">
        <x:v>未测</x:v>
      </x:c>
      <x:c r="N486" s="10" t="str"/>
      <x:c r="O486" s="9" t="str">
        <x:v>1. 来源（当前证据）：liveshow-proto/MainBasis/统一需求文档.md；位置：第2345行、第2338行、第2339行
2. 规则：BR-423309e542cf2da7
3. 未动态验证</x:v>
      </x:c>
    </x:row>
    <x:row r="487" ht="85" customHeight="1">
      <x:c r="A487" s="10" t="n">
        <x:v>486</x:v>
      </x:c>
      <x:c r="B487" s="10" t="str">
        <x:v>ADMIN-0486</x:v>
      </x:c>
      <x:c r="C487" s="10" t="str">
        <x:v>内容审核</x:v>
      </x:c>
      <x:c r="D487" s="10" t="str">
        <x:v>内容审核（平台管理员）</x:v>
      </x:c>
      <x:c r="E487" s="10" t="str">
        <x:v>功能需求</x:v>
      </x:c>
      <x:c r="F487" s="10" t="str">
        <x:v>P1</x:v>
      </x:c>
      <x:c r="G487" s="9" t="str">
        <x:v>验证机审告警已忽略处置结果</x:v>
      </x:c>
      <x:c r="H487" s="9" t="str">
        <x:v>内容审核结果回显</x:v>
      </x:c>
      <x:c r="I487" s="9" t="str">
        <x:v>1. 当前执行账号具有管理后台会话，身份为平台管理员；具体账号及权限变化按以下条件准备
2. 告警A当前为已忽略</x:v>
      </x:c>
      <x:c r="J487" s="9" t="str">
        <x:v>1. 打开内容审核
2. 查询告警A</x:v>
      </x:c>
      <x:c r="K487" s="9" t="str">
        <x:v>处置结果显示忽略</x:v>
      </x:c>
      <x:c r="L487" s="10" t="str"/>
      <x:c r="M487" s="10" t="str">
        <x:v>未测</x:v>
      </x:c>
      <x:c r="N487" s="10" t="str"/>
      <x:c r="O487" s="9" t="str">
        <x:v>1. 来源（当前证据）：liveshow-proto/MainBasis/统一需求文档.md；位置：第2345行、第2338行、第2339行
2. 规则：BR-fec94f8add263828
3. 未动态验证</x:v>
      </x:c>
    </x:row>
    <x:row r="488" ht="100" customHeight="1">
      <x:c r="A488" s="10" t="n">
        <x:v>487</x:v>
      </x:c>
      <x:c r="B488" s="10" t="str">
        <x:v>ADMIN-0487</x:v>
      </x:c>
      <x:c r="C488" s="10" t="str">
        <x:v>内容审核</x:v>
      </x:c>
      <x:c r="D488" s="10" t="str">
        <x:v>内容审核详情（平台管理员）</x:v>
      </x:c>
      <x:c r="E488" s="10" t="str">
        <x:v>功能需求</x:v>
      </x:c>
      <x:c r="F488" s="10" t="str">
        <x:v>P1</x:v>
      </x:c>
      <x:c r="G488" s="9" t="str">
        <x:v>验证人工处理保留告警证据</x:v>
      </x:c>
      <x:c r="H488" s="9" t="str">
        <x:v>告警证据快照</x:v>
      </x:c>
      <x:c r="I488" s="9" t="str">
        <x:v>1. 当前执行账号具有管理后台会话，身份为平台管理员；具体账号及权限变化按以下条件准备
2. 告警A截图B已记录，A已人工忽略</x:v>
      </x:c>
      <x:c r="J488" s="9" t="str">
        <x:v>1. 打开内容审核详情
2. 查看告警材料</x:v>
      </x:c>
      <x:c r="K488" s="9" t="str">
        <x:v>仍展示截图B</x:v>
      </x:c>
      <x:c r="L488" s="10" t="str"/>
      <x:c r="M488" s="10" t="str">
        <x:v>未测</x:v>
      </x:c>
      <x:c r="N488" s="10" t="str"/>
      <x:c r="O488" s="9" t="str">
        <x:v>1. 来源（当前证据）：liveshow-proto/MainBasis/统一需求文档.md；位置：第2353行、第2349行、第2350行
2. 规则：BR-cd5ff0d44e447f69
3. 未动态验证</x:v>
      </x:c>
    </x:row>
    <x:row r="489" ht="100" customHeight="1">
      <x:c r="A489" s="10" t="n">
        <x:v>488</x:v>
      </x:c>
      <x:c r="B489" s="10" t="str">
        <x:v>ADMIN-0488</x:v>
      </x:c>
      <x:c r="C489" s="10" t="str">
        <x:v>内容审核</x:v>
      </x:c>
      <x:c r="D489" s="10" t="str">
        <x:v>账号违规（平台管理员）</x:v>
      </x:c>
      <x:c r="E489" s="10" t="str">
        <x:v>功能需求</x:v>
      </x:c>
      <x:c r="F489" s="10" t="str">
        <x:v>P1</x:v>
      </x:c>
      <x:c r="G489" s="9" t="str">
        <x:v>验证违规类型改名保留账号举报快照</x:v>
      </x:c>
      <x:c r="H489" s="9" t="str">
        <x:v>举报分类快照</x:v>
      </x:c>
      <x:c r="I489" s="9" t="str">
        <x:v>1. 当前执行账号具有管理后台会话，身份为平台管理员；具体账号及权限变化按以下条件准备
2. R1提交时类型名旧名称；平台随后将该类型改名新名称</x:v>
      </x:c>
      <x:c r="J489" s="9" t="str">
        <x:v>1. 打开账号违规
2. 查询R1</x:v>
      </x:c>
      <x:c r="K489" s="9" t="str">
        <x:v>举报类型仍显示旧名称</x:v>
      </x:c>
      <x:c r="L489" s="10" t="str"/>
      <x:c r="M489" s="10" t="str">
        <x:v>未测</x:v>
      </x:c>
      <x:c r="N489" s="10" t="str"/>
      <x:c r="O489" s="9" t="str">
        <x:v>1. 来源（当前证据）：liveshow-proto/MainBasis/统一需求文档.md；位置：第2363行、第2359行、第2360行
2. 规则：BR-78e566f38449bee9
3. 未动态验证</x:v>
      </x:c>
    </x:row>
    <x:row r="490" ht="115" customHeight="1">
      <x:c r="A490" s="10" t="n">
        <x:v>489</x:v>
      </x:c>
      <x:c r="B490" s="10" t="str">
        <x:v>ADMIN-0489</x:v>
      </x:c>
      <x:c r="C490" s="10" t="str">
        <x:v>礼物与道具</x:v>
      </x:c>
      <x:c r="D490" s="10" t="str">
        <x:v>定制礼物（平台管理员）</x:v>
      </x:c>
      <x:c r="E490" s="10" t="str">
        <x:v>功能需求</x:v>
      </x:c>
      <x:c r="F490" s="10" t="str">
        <x:v>P1</x:v>
      </x:c>
      <x:c r="G490" s="9" t="str">
        <x:v>验证定制礼物未生效</x:v>
      </x:c>
      <x:c r="H490" s="9" t="str">
        <x:v>定制排期状态</x:v>
      </x:c>
      <x:c r="I490" s="9" t="str">
        <x:v>1. 当前执行账号具有管理后台会话，身份为平台管理员；具体账号及权限变化按以下条件准备
2. 礼物G未被提前下架，生效2026-09-14 10:00、失效11:00；当前未生效</x:v>
      </x:c>
      <x:c r="J490" s="9" t="str">
        <x:v>1. 打开定制礼物
2. 查看礼物G状态</x:v>
      </x:c>
      <x:c r="K490" s="9" t="str">
        <x:v>G状态为未生效</x:v>
      </x:c>
      <x:c r="L490" s="10" t="str"/>
      <x:c r="M490" s="10" t="str">
        <x:v>未测</x:v>
      </x:c>
      <x:c r="N490" s="10" t="str"/>
      <x:c r="O490" s="9" t="str">
        <x:v>1. 来源（当前证据）：liveshow-proto/MainBasis/统一需求文档.md；位置：第2494行、第2488行、第2489行
2. 规则：BR-a0241b595117b642
3. 未动态验证</x:v>
      </x:c>
    </x:row>
    <x:row r="491" ht="115" customHeight="1">
      <x:c r="A491" s="10" t="n">
        <x:v>490</x:v>
      </x:c>
      <x:c r="B491" s="10" t="str">
        <x:v>ADMIN-0490</x:v>
      </x:c>
      <x:c r="C491" s="10" t="str">
        <x:v>礼物与道具</x:v>
      </x:c>
      <x:c r="D491" s="10" t="str">
        <x:v>定制礼物（平台管理员）</x:v>
      </x:c>
      <x:c r="E491" s="10" t="str">
        <x:v>功能需求</x:v>
      </x:c>
      <x:c r="F491" s="10" t="str">
        <x:v>P1</x:v>
      </x:c>
      <x:c r="G491" s="9" t="str">
        <x:v>验证定制礼物生效时刻</x:v>
      </x:c>
      <x:c r="H491" s="9" t="str">
        <x:v>定制排期状态</x:v>
      </x:c>
      <x:c r="I491" s="9" t="str">
        <x:v>1. 当前执行账号具有管理后台会话，身份为平台管理员；具体账号及权限变化按以下条件准备
2. 礼物G未被提前下架，生效2026-09-14 10:00、失效11:00；当前生效时刻</x:v>
      </x:c>
      <x:c r="J491" s="9" t="str">
        <x:v>1. 打开定制礼物
2. 查看礼物G状态</x:v>
      </x:c>
      <x:c r="K491" s="9" t="str">
        <x:v>G状态为上架中</x:v>
      </x:c>
      <x:c r="L491" s="10" t="str"/>
      <x:c r="M491" s="10" t="str">
        <x:v>未测</x:v>
      </x:c>
      <x:c r="N491" s="10" t="str"/>
      <x:c r="O491" s="9" t="str">
        <x:v>1. 来源（当前证据）：liveshow-proto/MainBasis/统一需求文档.md；位置：第2494行、第2488行、第2489行
2. 规则：BR-1cb6f9075c8af7de
3. 未动态验证</x:v>
      </x:c>
    </x:row>
    <x:row r="492" ht="115" customHeight="1">
      <x:c r="A492" s="10" t="n">
        <x:v>491</x:v>
      </x:c>
      <x:c r="B492" s="10" t="str">
        <x:v>ADMIN-0491</x:v>
      </x:c>
      <x:c r="C492" s="10" t="str">
        <x:v>礼物与道具</x:v>
      </x:c>
      <x:c r="D492" s="10" t="str">
        <x:v>定制礼物（平台管理员）</x:v>
      </x:c>
      <x:c r="E492" s="10" t="str">
        <x:v>功能需求</x:v>
      </x:c>
      <x:c r="F492" s="10" t="str">
        <x:v>P1</x:v>
      </x:c>
      <x:c r="G492" s="9" t="str">
        <x:v>验证定制礼物失效时刻</x:v>
      </x:c>
      <x:c r="H492" s="9" t="str">
        <x:v>定制排期状态</x:v>
      </x:c>
      <x:c r="I492" s="9" t="str">
        <x:v>1. 当前执行账号具有管理后台会话，身份为平台管理员；具体账号及权限变化按以下条件准备
2. 礼物G未被提前下架，生效2026-09-14 10:00、失效11:00；当前失效时刻</x:v>
      </x:c>
      <x:c r="J492" s="9" t="str">
        <x:v>1. 打开定制礼物
2. 查看礼物G状态</x:v>
      </x:c>
      <x:c r="K492" s="9" t="str">
        <x:v>G状态为已下架</x:v>
      </x:c>
      <x:c r="L492" s="10" t="str"/>
      <x:c r="M492" s="10" t="str">
        <x:v>未测</x:v>
      </x:c>
      <x:c r="N492" s="10" t="str"/>
      <x:c r="O492" s="9" t="str">
        <x:v>1. 来源（当前证据）：liveshow-proto/MainBasis/统一需求文档.md；位置：第2494行、第2488行、第2489行
2. 规则：BR-77595f1b3c15cbd2
3. 未动态验证</x:v>
      </x:c>
    </x:row>
    <x:row r="493" ht="100" customHeight="1">
      <x:c r="A493" s="10" t="n">
        <x:v>492</x:v>
      </x:c>
      <x:c r="B493" s="10" t="str">
        <x:v>ADMIN-0492</x:v>
      </x:c>
      <x:c r="C493" s="10" t="str">
        <x:v>礼物与道具</x:v>
      </x:c>
      <x:c r="D493" s="10" t="str">
        <x:v>定制礼物（平台管理员）</x:v>
      </x:c>
      <x:c r="E493" s="10" t="str">
        <x:v>功能需求</x:v>
      </x:c>
      <x:c r="F493" s="10" t="str">
        <x:v>P1</x:v>
      </x:c>
      <x:c r="G493" s="9" t="str">
        <x:v>验证定制礼物提前下架不被排期重新打开</x:v>
      </x:c>
      <x:c r="H493" s="9" t="str">
        <x:v>手动覆盖排期</x:v>
      </x:c>
      <x:c r="I493" s="9" t="str">
        <x:v>1. 当前执行账号具有管理后台会话，身份为平台管理员；具体账号及权限变化按以下条件准备
2. 礼物G在自动生效前已经手动提前下架，当前已到生效时间</x:v>
      </x:c>
      <x:c r="J493" s="9" t="str">
        <x:v>1. 打开定制礼物
2. 查看G状态</x:v>
      </x:c>
      <x:c r="K493" s="9" t="str">
        <x:v>G仍为已下架</x:v>
      </x:c>
      <x:c r="L493" s="10" t="str"/>
      <x:c r="M493" s="10" t="str">
        <x:v>未测</x:v>
      </x:c>
      <x:c r="N493" s="10" t="str"/>
      <x:c r="O493" s="9" t="str">
        <x:v>1. 来源（当前证据）：liveshow-proto/MainBasis/统一需求文档.md；位置：第2493行、第2488行、第2489行
2. 规则：BR-8ca1cf4c310d70c1
3. 未动态验证</x:v>
      </x:c>
    </x:row>
    <x:row r="494" ht="100" customHeight="1">
      <x:c r="A494" s="10" t="n">
        <x:v>493</x:v>
      </x:c>
      <x:c r="B494" s="10" t="str">
        <x:v>ADMIN-0493</x:v>
      </x:c>
      <x:c r="C494" s="10" t="str">
        <x:v>礼物与道具</x:v>
      </x:c>
      <x:c r="D494" s="10" t="str">
        <x:v>礼物详情（平台管理员）</x:v>
      </x:c>
      <x:c r="E494" s="10" t="str">
        <x:v>功能需求</x:v>
      </x:c>
      <x:c r="F494" s="10" t="str">
        <x:v>P1</x:v>
      </x:c>
      <x:c r="G494" s="9" t="str">
        <x:v>验证礼物详情修改留痕</x:v>
      </x:c>
      <x:c r="H494" s="9" t="str">
        <x:v>配置变更审计</x:v>
      </x:c>
      <x:c r="I494" s="9" t="str">
        <x:v>1. 当前执行账号具有管理后台会话，身份为平台管理员；具体账号及权限变化按以下条件准备
2. 当前账号管理员A，记录B已存在，原排序1</x:v>
      </x:c>
      <x:c r="J494" s="9" t="str">
        <x:v>1. 打开礼物详情
2. 输入排序“2”
3. 点击“保存”
4. 查看操作记录</x:v>
      </x:c>
      <x:c r="K494" s="9" t="str">
        <x:v>新增一条记录管理员A本次修改的操作记录</x:v>
      </x:c>
      <x:c r="L494" s="10" t="str"/>
      <x:c r="M494" s="10" t="str">
        <x:v>未测</x:v>
      </x:c>
      <x:c r="N494" s="10" t="str"/>
      <x:c r="O494" s="9" t="str">
        <x:v>1. 来源（当前证据）：liveshow-proto/MainBasis/统一需求文档.md；位置：第2483行、第2474行、第2475行
2. 规则：BR-150930e33f1250ed
3. 未动态验证</x:v>
      </x:c>
    </x:row>
    <x:row r="495" ht="100" customHeight="1">
      <x:c r="A495" s="10" t="n">
        <x:v>494</x:v>
      </x:c>
      <x:c r="B495" s="10" t="str">
        <x:v>ADMIN-0494</x:v>
      </x:c>
      <x:c r="C495" s="10" t="str">
        <x:v>礼物与道具</x:v>
      </x:c>
      <x:c r="D495" s="10" t="str">
        <x:v>道具详情（平台管理员）</x:v>
      </x:c>
      <x:c r="E495" s="10" t="str">
        <x:v>功能需求</x:v>
      </x:c>
      <x:c r="F495" s="10" t="str">
        <x:v>P1</x:v>
      </x:c>
      <x:c r="G495" s="9" t="str">
        <x:v>验证道具详情修改留痕</x:v>
      </x:c>
      <x:c r="H495" s="9" t="str">
        <x:v>配置变更审计</x:v>
      </x:c>
      <x:c r="I495" s="9" t="str">
        <x:v>1. 当前执行账号具有管理后台会话，身份为平台管理员；具体账号及权限变化按以下条件准备
2. 当前账号管理员A，记录B已存在，原排序1</x:v>
      </x:c>
      <x:c r="J495" s="9" t="str">
        <x:v>1. 打开道具详情
2. 输入排序“2”
3. 点击“保存”
4. 查看操作记录</x:v>
      </x:c>
      <x:c r="K495" s="9" t="str">
        <x:v>新增一条记录管理员A本次修改的操作记录</x:v>
      </x:c>
      <x:c r="L495" s="10" t="str"/>
      <x:c r="M495" s="10" t="str">
        <x:v>未测</x:v>
      </x:c>
      <x:c r="N495" s="10" t="str"/>
      <x:c r="O495" s="9" t="str">
        <x:v>1. 来源（当前证据）：liveshow-proto/MainBasis/统一需求文档.md；位置：第2554行、第2545行、第2546行
2. 规则：BR-b8b7adea47a9bfb5
3. 未动态验证</x:v>
      </x:c>
    </x:row>
    <x:row r="496" ht="100" customHeight="1">
      <x:c r="A496" s="10" t="n">
        <x:v>495</x:v>
      </x:c>
      <x:c r="B496" s="10" t="str">
        <x:v>ADMIN-0495</x:v>
      </x:c>
      <x:c r="C496" s="10" t="str">
        <x:v>运营配置</x:v>
      </x:c>
      <x:c r="D496" s="10" t="str">
        <x:v>通用任务编辑（平台管理员）</x:v>
      </x:c>
      <x:c r="E496" s="10" t="str">
        <x:v>功能需求</x:v>
      </x:c>
      <x:c r="F496" s="10" t="str">
        <x:v>P1</x:v>
      </x:c>
      <x:c r="G496" s="9" t="str">
        <x:v>验证任务动作切换清除旧指标</x:v>
      </x:c>
      <x:c r="H496" s="9" t="str">
        <x:v>动作指标联动</x:v>
      </x:c>
      <x:c r="I496" s="9" t="str">
        <x:v>1. 当前执行账号具有管理后台会话，身份为平台管理员；具体账号及权限变化按以下条件准备
2. 任务正在编辑，当前动作为观看、指标观看时长、周期每日</x:v>
      </x:c>
      <x:c r="J496" s="9" t="str">
        <x:v>1. 打开通用任务编辑
2. 选择动作“登录”</x:v>
      </x:c>
      <x:c r="K496" s="9" t="str">
        <x:v>旧观看指标不再选中</x:v>
      </x:c>
      <x:c r="L496" s="10" t="str"/>
      <x:c r="M496" s="10" t="str">
        <x:v>未测</x:v>
      </x:c>
      <x:c r="N496" s="10" t="str"/>
      <x:c r="O496" s="9" t="str">
        <x:v>1. 来源（当前证据）：liveshow-proto/MainBasis/统一需求文档.md；位置：第2683行、第2673行、第2674行
2. 规则：BR-0512f09ccd854755
3. 未动态验证</x:v>
      </x:c>
    </x:row>
    <x:row r="497" ht="115" customHeight="1">
      <x:c r="A497" s="10" t="n">
        <x:v>496</x:v>
      </x:c>
      <x:c r="B497" s="10" t="str">
        <x:v>ADMIN-0496</x:v>
      </x:c>
      <x:c r="C497" s="10" t="str">
        <x:v>运营配置</x:v>
      </x:c>
      <x:c r="D497" s="10" t="str">
        <x:v>通用任务编辑（平台管理员）</x:v>
      </x:c>
      <x:c r="E497" s="10" t="str">
        <x:v>功能需求</x:v>
      </x:c>
      <x:c r="F497" s="10" t="str">
        <x:v>P1</x:v>
      </x:c>
      <x:c r="G497" s="9" t="str">
        <x:v>验证任务阈值1和1</x:v>
      </x:c>
      <x:c r="H497" s="9" t="str">
        <x:v>任务阈值约束</x:v>
      </x:c>
      <x:c r="I497" s="9" t="str">
        <x:v>1. 当前执行账号具有管理后台会话，身份为平台管理员；具体账号及权限变化按以下条件准备
2. 任务四语名称、有效期、动作和指标均已填写；两条条件奖励各10金币</x:v>
      </x:c>
      <x:c r="J497" s="9" t="str">
        <x:v>1. 打开通用任务编辑
2. 输入两条阈值1和1
3. 点击“保存”</x:v>
      </x:c>
      <x:c r="K497" s="9" t="str">
        <x:v>不保存重复或非正阈值</x:v>
      </x:c>
      <x:c r="L497" s="10" t="str"/>
      <x:c r="M497" s="10" t="str">
        <x:v>未测</x:v>
      </x:c>
      <x:c r="N497" s="10" t="str"/>
      <x:c r="O497" s="9" t="str">
        <x:v>1. 来源（当前证据）：liveshow-proto/MainBasis/统一需求文档.md；位置：第2680行、第2673行、第2674行
2. 规则：BR-bd436c5576dc6e89
3. 未动态验证</x:v>
      </x:c>
    </x:row>
    <x:row r="498" ht="115" customHeight="1">
      <x:c r="A498" s="10" t="n">
        <x:v>497</x:v>
      </x:c>
      <x:c r="B498" s="10" t="str">
        <x:v>ADMIN-0497</x:v>
      </x:c>
      <x:c r="C498" s="10" t="str">
        <x:v>运营配置</x:v>
      </x:c>
      <x:c r="D498" s="10" t="str">
        <x:v>通用任务编辑（平台管理员）</x:v>
      </x:c>
      <x:c r="E498" s="10" t="str">
        <x:v>功能需求</x:v>
      </x:c>
      <x:c r="F498" s="10" t="str">
        <x:v>P1</x:v>
      </x:c>
      <x:c r="G498" s="9" t="str">
        <x:v>验证任务阈值0和1</x:v>
      </x:c>
      <x:c r="H498" s="9" t="str">
        <x:v>任务阈值约束</x:v>
      </x:c>
      <x:c r="I498" s="9" t="str">
        <x:v>1. 当前执行账号具有管理后台会话，身份为平台管理员；具体账号及权限变化按以下条件准备
2. 任务四语名称、有效期、动作和指标均已填写；两条条件奖励各10金币</x:v>
      </x:c>
      <x:c r="J498" s="9" t="str">
        <x:v>1. 打开通用任务编辑
2. 输入两条阈值0和1
3. 点击“保存”</x:v>
      </x:c>
      <x:c r="K498" s="9" t="str">
        <x:v>不保存重复或非正阈值</x:v>
      </x:c>
      <x:c r="L498" s="10" t="str"/>
      <x:c r="M498" s="10" t="str">
        <x:v>未测</x:v>
      </x:c>
      <x:c r="N498" s="10" t="str"/>
      <x:c r="O498" s="9" t="str">
        <x:v>1. 来源（当前证据）：liveshow-proto/MainBasis/统一需求文档.md；位置：第2680行、第2673行、第2674行
2. 规则：BR-4a8427c51384f6f4
3. 未动态验证</x:v>
      </x:c>
    </x:row>
    <x:row r="499" ht="115" customHeight="1">
      <x:c r="A499" s="10" t="n">
        <x:v>498</x:v>
      </x:c>
      <x:c r="B499" s="10" t="str">
        <x:v>ADMIN-0498</x:v>
      </x:c>
      <x:c r="C499" s="10" t="str">
        <x:v>运营配置</x:v>
      </x:c>
      <x:c r="D499" s="10" t="str">
        <x:v>通用任务编辑（平台管理员）</x:v>
      </x:c>
      <x:c r="E499" s="10" t="str">
        <x:v>功能需求</x:v>
      </x:c>
      <x:c r="F499" s="10" t="str">
        <x:v>P1</x:v>
      </x:c>
      <x:c r="G499" s="9" t="str">
        <x:v>验证任务阈值-1和1</x:v>
      </x:c>
      <x:c r="H499" s="9" t="str">
        <x:v>任务阈值约束</x:v>
      </x:c>
      <x:c r="I499" s="9" t="str">
        <x:v>1. 当前执行账号具有管理后台会话，身份为平台管理员；具体账号及权限变化按以下条件准备
2. 任务四语名称、有效期、动作和指标均已填写；两条条件奖励各10金币</x:v>
      </x:c>
      <x:c r="J499" s="9" t="str">
        <x:v>1. 打开通用任务编辑
2. 输入两条阈值-1和1
3. 点击“保存”</x:v>
      </x:c>
      <x:c r="K499" s="9" t="str">
        <x:v>不保存重复或非正阈值</x:v>
      </x:c>
      <x:c r="L499" s="10" t="str"/>
      <x:c r="M499" s="10" t="str">
        <x:v>未测</x:v>
      </x:c>
      <x:c r="N499" s="10" t="str"/>
      <x:c r="O499" s="9" t="str">
        <x:v>1. 来源（当前证据）：liveshow-proto/MainBasis/统一需求文档.md；位置：第2680行、第2673行、第2674行
2. 规则：BR-7632f1cb5082075a
3. 未动态验证</x:v>
      </x:c>
    </x:row>
    <x:row r="500" ht="115" customHeight="1">
      <x:c r="A500" s="10" t="n">
        <x:v>499</x:v>
      </x:c>
      <x:c r="B500" s="10" t="str">
        <x:v>ADMIN-0499</x:v>
      </x:c>
      <x:c r="C500" s="10" t="str">
        <x:v>运营配置</x:v>
      </x:c>
      <x:c r="D500" s="10" t="str">
        <x:v>通用任务编辑（平台管理员）</x:v>
      </x:c>
      <x:c r="E500" s="10" t="str">
        <x:v>功能需求</x:v>
      </x:c>
      <x:c r="F500" s="10" t="str">
        <x:v>P1</x:v>
      </x:c>
      <x:c r="G500" s="9" t="str">
        <x:v>验证任务阈值1和2</x:v>
      </x:c>
      <x:c r="H500" s="9" t="str">
        <x:v>任务阈值约束</x:v>
      </x:c>
      <x:c r="I500" s="9" t="str">
        <x:v>1. 当前执行账号具有管理后台会话，身份为平台管理员；具体账号及权限变化按以下条件准备
2. 任务四语名称、有效期、动作和指标均已填写；两条条件奖励各10金币</x:v>
      </x:c>
      <x:c r="J500" s="9" t="str">
        <x:v>1. 打开通用任务编辑
2. 输入两条阈值1和2
3. 点击“保存”</x:v>
      </x:c>
      <x:c r="K500" s="9" t="str">
        <x:v>保存两个独立任务条件</x:v>
      </x:c>
      <x:c r="L500" s="10" t="str"/>
      <x:c r="M500" s="10" t="str">
        <x:v>未测</x:v>
      </x:c>
      <x:c r="N500" s="10" t="str"/>
      <x:c r="O500" s="9" t="str">
        <x:v>1. 来源（当前证据）：liveshow-proto/MainBasis/统一需求文档.md；位置：第2680行、第2673行、第2674行
2. 规则：BR-8b92b30cab1cb97a
3. 未动态验证</x:v>
      </x:c>
    </x:row>
    <x:row r="501" ht="100" customHeight="1">
      <x:c r="A501" s="10" t="n">
        <x:v>500</x:v>
      </x:c>
      <x:c r="B501" s="10" t="str">
        <x:v>ADMIN-0500</x:v>
      </x:c>
      <x:c r="C501" s="10" t="str">
        <x:v>运营配置</x:v>
      </x:c>
      <x:c r="D501" s="10" t="str">
        <x:v>通用任务编辑（平台管理员）</x:v>
      </x:c>
      <x:c r="E501" s="10" t="str">
        <x:v>功能需求</x:v>
      </x:c>
      <x:c r="F501" s="10" t="str">
        <x:v>P1</x:v>
      </x:c>
      <x:c r="G501" s="9" t="str">
        <x:v>验证任务奖励-1金币</x:v>
      </x:c>
      <x:c r="H501" s="9" t="str">
        <x:v>任务奖励边界</x:v>
      </x:c>
      <x:c r="I501" s="9" t="str">
        <x:v>1. 当前执行账号具有管理后台会话，身份为平台管理员；具体账号及权限变化按以下条件准备
2. 已有任务A，条件1，其他字段保留有效原值</x:v>
      </x:c>
      <x:c r="J501" s="9" t="str">
        <x:v>1. 打开通用任务编辑
2. 输入金币奖励“-1”
3. 点击“保存”</x:v>
      </x:c>
      <x:c r="K501" s="9" t="str">
        <x:v>不保存非正整数奖励</x:v>
      </x:c>
      <x:c r="L501" s="10" t="str"/>
      <x:c r="M501" s="10" t="str">
        <x:v>未测</x:v>
      </x:c>
      <x:c r="N501" s="10" t="str"/>
      <x:c r="O501" s="9" t="str">
        <x:v>1. 来源（当前证据）：liveshow-proto/MainBasis/统一需求文档.md；位置：第2681行、第2673行、第2674行
2. 规则：BR-f97959b45fa68a7c
3. 未动态验证</x:v>
      </x:c>
    </x:row>
    <x:row r="502" ht="100" customHeight="1">
      <x:c r="A502" s="10" t="n">
        <x:v>501</x:v>
      </x:c>
      <x:c r="B502" s="10" t="str">
        <x:v>ADMIN-0501</x:v>
      </x:c>
      <x:c r="C502" s="10" t="str">
        <x:v>运营配置</x:v>
      </x:c>
      <x:c r="D502" s="10" t="str">
        <x:v>通用任务编辑（平台管理员）</x:v>
      </x:c>
      <x:c r="E502" s="10" t="str">
        <x:v>功能需求</x:v>
      </x:c>
      <x:c r="F502" s="10" t="str">
        <x:v>P1</x:v>
      </x:c>
      <x:c r="G502" s="9" t="str">
        <x:v>验证任务奖励0金币</x:v>
      </x:c>
      <x:c r="H502" s="9" t="str">
        <x:v>任务奖励边界</x:v>
      </x:c>
      <x:c r="I502" s="9" t="str">
        <x:v>1. 当前执行账号具有管理后台会话，身份为平台管理员；具体账号及权限变化按以下条件准备
2. 已有任务A，条件1，其他字段保留有效原值</x:v>
      </x:c>
      <x:c r="J502" s="9" t="str">
        <x:v>1. 打开通用任务编辑
2. 输入金币奖励“0”
3. 点击“保存”</x:v>
      </x:c>
      <x:c r="K502" s="9" t="str">
        <x:v>不保存非正整数奖励</x:v>
      </x:c>
      <x:c r="L502" s="10" t="str"/>
      <x:c r="M502" s="10" t="str">
        <x:v>未测</x:v>
      </x:c>
      <x:c r="N502" s="10" t="str"/>
      <x:c r="O502" s="9" t="str">
        <x:v>1. 来源（当前证据）：liveshow-proto/MainBasis/统一需求文档.md；位置：第2681行、第2673行、第2674行
2. 规则：BR-dd0c8e5def3bf1e0
3. 未动态验证</x:v>
      </x:c>
    </x:row>
    <x:row r="503" ht="100" customHeight="1">
      <x:c r="A503" s="10" t="n">
        <x:v>502</x:v>
      </x:c>
      <x:c r="B503" s="10" t="str">
        <x:v>ADMIN-0502</x:v>
      </x:c>
      <x:c r="C503" s="10" t="str">
        <x:v>运营配置</x:v>
      </x:c>
      <x:c r="D503" s="10" t="str">
        <x:v>通用任务编辑（平台管理员）</x:v>
      </x:c>
      <x:c r="E503" s="10" t="str">
        <x:v>功能需求</x:v>
      </x:c>
      <x:c r="F503" s="10" t="str">
        <x:v>P1</x:v>
      </x:c>
      <x:c r="G503" s="9" t="str">
        <x:v>验证任务奖励1金币</x:v>
      </x:c>
      <x:c r="H503" s="9" t="str">
        <x:v>任务奖励边界</x:v>
      </x:c>
      <x:c r="I503" s="9" t="str">
        <x:v>1. 当前执行账号具有管理后台会话，身份为平台管理员；具体账号及权限变化按以下条件准备
2. 已有任务A，条件1，其他字段保留有效原值</x:v>
      </x:c>
      <x:c r="J503" s="9" t="str">
        <x:v>1. 打开通用任务编辑
2. 输入金币奖励“1”
3. 点击“保存”</x:v>
      </x:c>
      <x:c r="K503" s="9" t="str">
        <x:v>保存奖励1金币</x:v>
      </x:c>
      <x:c r="L503" s="10" t="str"/>
      <x:c r="M503" s="10" t="str">
        <x:v>未测</x:v>
      </x:c>
      <x:c r="N503" s="10" t="str"/>
      <x:c r="O503" s="9" t="str">
        <x:v>1. 来源（当前证据）：liveshow-proto/MainBasis/统一需求文档.md；位置：第2681行、第2673行、第2674行
2. 规则：BR-3eb356481cecb6ce
3. 未动态验证</x:v>
      </x:c>
    </x:row>
    <x:row r="504" ht="100" customHeight="1">
      <x:c r="A504" s="10" t="n">
        <x:v>503</x:v>
      </x:c>
      <x:c r="B504" s="10" t="str">
        <x:v>ADMIN-0503</x:v>
      </x:c>
      <x:c r="C504" s="10" t="str">
        <x:v>运营配置</x:v>
      </x:c>
      <x:c r="D504" s="10" t="str">
        <x:v>通用任务编辑（平台管理员）</x:v>
      </x:c>
      <x:c r="E504" s="10" t="str">
        <x:v>功能需求</x:v>
      </x:c>
      <x:c r="F504" s="10" t="str">
        <x:v>P1</x:v>
      </x:c>
      <x:c r="G504" s="9" t="str">
        <x:v>验证任务奖励1.5金币</x:v>
      </x:c>
      <x:c r="H504" s="9" t="str">
        <x:v>任务奖励边界</x:v>
      </x:c>
      <x:c r="I504" s="9" t="str">
        <x:v>1. 当前执行账号具有管理后台会话，身份为平台管理员；具体账号及权限变化按以下条件准备
2. 已有任务A，条件1，其他字段保留有效原值</x:v>
      </x:c>
      <x:c r="J504" s="9" t="str">
        <x:v>1. 打开通用任务编辑
2. 输入金币奖励“1.5”
3. 点击“保存”</x:v>
      </x:c>
      <x:c r="K504" s="9" t="str">
        <x:v>不保存非正整数奖励</x:v>
      </x:c>
      <x:c r="L504" s="10" t="str"/>
      <x:c r="M504" s="10" t="str">
        <x:v>未测</x:v>
      </x:c>
      <x:c r="N504" s="10" t="str"/>
      <x:c r="O504" s="9" t="str">
        <x:v>1. 来源（当前证据）：liveshow-proto/MainBasis/统一需求文档.md；位置：第2681行、第2673行、第2674行
2. 规则：BR-16c02ae361763186
3. 未动态验证</x:v>
      </x:c>
    </x:row>
    <x:row r="505" ht="100" customHeight="1">
      <x:c r="A505" s="10" t="n">
        <x:v>504</x:v>
      </x:c>
      <x:c r="B505" s="10" t="str">
        <x:v>ADMIN-0504</x:v>
      </x:c>
      <x:c r="C505" s="10" t="str">
        <x:v>礼物与道具</x:v>
      </x:c>
      <x:c r="D505" s="10" t="str">
        <x:v>礼物详情（平台管理员）</x:v>
      </x:c>
      <x:c r="E505" s="10" t="str">
        <x:v>功能需求</x:v>
      </x:c>
      <x:c r="F505" s="10" t="str">
        <x:v>P1</x:v>
      </x:c>
      <x:c r="G505" s="9" t="str">
        <x:v>验证礼物排序较大值靠前</x:v>
      </x:c>
      <x:c r="H505" s="9" t="str">
        <x:v>较大排序优先</x:v>
      </x:c>
      <x:c r="I505" s="9" t="str">
        <x:v>1. 当前执行账号具有管理后台会话，身份为平台管理员；具体账号及权限变化按以下条件准备
2. A排序1、B排序2，均上架且属于同类；当前编辑A</x:v>
      </x:c>
      <x:c r="J505" s="9" t="str">
        <x:v>1. 打开礼物详情
2. 输入排序“3”
3. 点击“保存”
4. 打开普通礼物列表
5. 查看A与B顺序</x:v>
      </x:c>
      <x:c r="K505" s="9" t="str">
        <x:v>礼物A排在B之前</x:v>
      </x:c>
      <x:c r="L505" s="10" t="str"/>
      <x:c r="M505" s="10" t="str">
        <x:v>未测</x:v>
      </x:c>
      <x:c r="N505" s="10" t="str"/>
      <x:c r="O505" s="9" t="str">
        <x:v>1. 来源（当前证据）：liveshow-proto/MainBasis/统一需求文档.md；位置：第2481行、第2474行、第2475行
2. 规则：BR-233c57891f3f4f09
3. 未动态验证</x:v>
      </x:c>
    </x:row>
    <x:row r="506" ht="100" customHeight="1">
      <x:c r="A506" s="10" t="n">
        <x:v>505</x:v>
      </x:c>
      <x:c r="B506" s="10" t="str">
        <x:v>ADMIN-0505</x:v>
      </x:c>
      <x:c r="C506" s="10" t="str">
        <x:v>礼物与道具</x:v>
      </x:c>
      <x:c r="D506" s="10" t="str">
        <x:v>道具详情（平台管理员）</x:v>
      </x:c>
      <x:c r="E506" s="10" t="str">
        <x:v>功能需求</x:v>
      </x:c>
      <x:c r="F506" s="10" t="str">
        <x:v>P1</x:v>
      </x:c>
      <x:c r="G506" s="9" t="str">
        <x:v>验证道具排序较大值靠前</x:v>
      </x:c>
      <x:c r="H506" s="9" t="str">
        <x:v>较大排序优先</x:v>
      </x:c>
      <x:c r="I506" s="9" t="str">
        <x:v>1. 当前执行账号具有管理后台会话，身份为平台管理员；具体账号及权限变化按以下条件准备
2. A排序1、B排序2，均上架且属于同类；当前编辑A</x:v>
      </x:c>
      <x:c r="J506" s="9" t="str">
        <x:v>1. 打开道具详情
2. 输入排序“3”
3. 点击“保存”
4. 打开道具配置列表
5. 查看A与B顺序</x:v>
      </x:c>
      <x:c r="K506" s="9" t="str">
        <x:v>道具A排在B之前</x:v>
      </x:c>
      <x:c r="L506" s="10" t="str"/>
      <x:c r="M506" s="10" t="str">
        <x:v>未测</x:v>
      </x:c>
      <x:c r="N506" s="10" t="str"/>
      <x:c r="O506" s="9" t="str">
        <x:v>1. 来源（当前证据）：liveshow-proto/MainBasis/统一需求文档.md；位置：第2552行、第2545行、第2546行
2. 规则：BR-75f7eb2efde12114
3. 未动态验证</x:v>
      </x:c>
    </x:row>
    <x:row r="507" ht="85" customHeight="1">
      <x:c r="A507" s="10" t="n">
        <x:v>506</x:v>
      </x:c>
      <x:c r="B507" s="10" t="str">
        <x:v>ADMIN-0506</x:v>
      </x:c>
      <x:c r="C507" s="10" t="str">
        <x:v>运营配置</x:v>
      </x:c>
      <x:c r="D507" s="10" t="str">
        <x:v>公会推荐（平台管理员）</x:v>
      </x:c>
      <x:c r="E507" s="10" t="str">
        <x:v>功能需求</x:v>
      </x:c>
      <x:c r="F507" s="10" t="str">
        <x:v>P1</x:v>
      </x:c>
      <x:c r="G507" s="9" t="str">
        <x:v>验证移除公会推荐不改变启用状态</x:v>
      </x:c>
      <x:c r="H507" s="9" t="str">
        <x:v>推荐与公会状态隔离</x:v>
      </x:c>
      <x:c r="I507" s="9" t="str">
        <x:v>1. 当前执行账号具有管理后台会话，身份为平台管理员；具体账号及权限变化按以下条件准备
2. 推荐中公会G启用</x:v>
      </x:c>
      <x:c r="J507" s="9" t="str">
        <x:v>1. 打开公会推荐
2. 点击G“移除”
3. 点击“确认”
4. 打开公会列表
5. 查询G</x:v>
      </x:c>
      <x:c r="K507" s="9" t="str">
        <x:v>G状态仍为启用</x:v>
      </x:c>
      <x:c r="L507" s="10" t="str"/>
      <x:c r="M507" s="10" t="str">
        <x:v>未测</x:v>
      </x:c>
      <x:c r="N507" s="10" t="str"/>
      <x:c r="O507" s="9" t="str">
        <x:v>1. 来源（当前证据）：liveshow-proto/MainBasis/统一需求文档.md；位置：第2694行、第2688行、第2689行
2. 规则：BR-66a4f0c892303548
3. 未动态验证</x:v>
      </x:c>
    </x:row>
    <x:row r="508" ht="85" customHeight="1">
      <x:c r="A508" s="10" t="n">
        <x:v>507</x:v>
      </x:c>
      <x:c r="B508" s="10" t="str">
        <x:v>ADMIN-0507</x:v>
      </x:c>
      <x:c r="C508" s="10" t="str">
        <x:v>运营配置</x:v>
      </x:c>
      <x:c r="D508" s="10" t="str">
        <x:v>公会推荐编辑（平台管理员）</x:v>
      </x:c>
      <x:c r="E508" s="10" t="str">
        <x:v>功能需求</x:v>
      </x:c>
      <x:c r="F508" s="10" t="str">
        <x:v>P1</x:v>
      </x:c>
      <x:c r="G508" s="9" t="str">
        <x:v>验证重复推荐已配置公会</x:v>
      </x:c>
      <x:c r="H508" s="9" t="str">
        <x:v>推荐公会唯一性</x:v>
      </x:c>
      <x:c r="I508" s="9" t="str">
        <x:v>1. 当前执行账号具有管理后台会话，身份为平台管理员；具体账号及权限变化按以下条件准备
2. 公会G已有一条推荐配置</x:v>
      </x:c>
      <x:c r="J508" s="9" t="str">
        <x:v>1. 打开公会推荐编辑
2. 打开新增推荐公会选择</x:v>
      </x:c>
      <x:c r="K508" s="9" t="str">
        <x:v>不提供重复配置G的选择</x:v>
      </x:c>
      <x:c r="L508" s="10" t="str"/>
      <x:c r="M508" s="10" t="str">
        <x:v>未测</x:v>
      </x:c>
      <x:c r="N508" s="10" t="str"/>
      <x:c r="O508" s="9" t="str">
        <x:v>1. 来源（当前证据）：liveshow-proto/MainBasis/统一需求文档.md；位置：第2702行、第2699行、第2700行
2. 规则：BR-70616df3b0d0fcd0
3. 未动态验证</x:v>
      </x:c>
    </x:row>
    <x:row r="509" ht="100" customHeight="1">
      <x:c r="A509" s="10" t="n">
        <x:v>508</x:v>
      </x:c>
      <x:c r="B509" s="10" t="str">
        <x:v>ADMIN-0508</x:v>
      </x:c>
      <x:c r="C509" s="10" t="str">
        <x:v>运营配置</x:v>
      </x:c>
      <x:c r="D509" s="10" t="str">
        <x:v>公会推荐编辑（平台管理员）</x:v>
      </x:c>
      <x:c r="E509" s="10" t="str">
        <x:v>功能需求</x:v>
      </x:c>
      <x:c r="F509" s="10" t="str">
        <x:v>P1</x:v>
      </x:c>
      <x:c r="G509" s="9" t="str">
        <x:v>验证公会推荐同权重按更新时间</x:v>
      </x:c>
      <x:c r="H509" s="9" t="str">
        <x:v>推荐同权重排序</x:v>
      </x:c>
      <x:c r="I509" s="9" t="str">
        <x:v>1. 当前执行账号具有管理后台会话，身份为平台管理员；具体账号及权限变化按以下条件准备
2. G1与G2权重均10，G1更新10:00，G2更新11:00</x:v>
      </x:c>
      <x:c r="J509" s="9" t="str">
        <x:v>1. 打开公会推荐编辑
2. 返回公会推荐列表</x:v>
      </x:c>
      <x:c r="K509" s="9" t="str">
        <x:v>G2排在G1前</x:v>
      </x:c>
      <x:c r="L509" s="10" t="str"/>
      <x:c r="M509" s="10" t="str">
        <x:v>未测</x:v>
      </x:c>
      <x:c r="N509" s="10" t="str"/>
      <x:c r="O509" s="9" t="str">
        <x:v>1. 来源（当前证据）：liveshow-proto/MainBasis/统一需求文档.md；位置：第2703行、第2699行、第2700行
2. 规则：BR-4fd41491fc85df0e
3. 未动态验证</x:v>
      </x:c>
    </x:row>
    <x:row r="510" ht="130" customHeight="1">
      <x:c r="A510" s="10" t="n">
        <x:v>509</x:v>
      </x:c>
      <x:c r="B510" s="10" t="str">
        <x:v>ADMIN-0509</x:v>
      </x:c>
      <x:c r="C510" s="10" t="str">
        <x:v>运营配置</x:v>
      </x:c>
      <x:c r="D510" s="10" t="str">
        <x:v>敏感词编辑（平台管理员）</x:v>
      </x:c>
      <x:c r="E510" s="10" t="str">
        <x:v>功能需求</x:v>
      </x:c>
      <x:c r="F510" s="10" t="str">
        <x:v>P1</x:v>
      </x:c>
      <x:c r="G510" s="9" t="str">
        <x:v>验证敏感词包含匹配重复</x:v>
      </x:c>
      <x:c r="H510" s="9" t="str">
        <x:v>敏感词唯一范围</x:v>
      </x:c>
      <x:c r="I510" s="9" t="str">
        <x:v>1. 当前执行账号具有管理后台会话，身份为平台管理员；具体账号及权限变化按以下条件准备
2. 已存在启用词条“测试词A”，匹配规则包含匹配；新建词条分类、使用场景和替换内容已填</x:v>
      </x:c>
      <x:c r="J510" s="9" t="str">
        <x:v>1. 打开敏感词编辑
2. 输入敏感词“测试词A”
3. 选择“包含匹配”
4. 点击“保存”</x:v>
      </x:c>
      <x:c r="K510" s="9" t="str">
        <x:v>不保存重复词条规则</x:v>
      </x:c>
      <x:c r="L510" s="10" t="str"/>
      <x:c r="M510" s="10" t="str">
        <x:v>未测</x:v>
      </x:c>
      <x:c r="N510" s="10" t="str"/>
      <x:c r="O510" s="9" t="str">
        <x:v>1. 来源（当前证据）：liveshow-proto/MainBasis/统一需求文档.md；位置：第2775行、第2771行、第2772行
2. 规则：BR-5dcf7714a1c9ccfa
3. 未动态验证</x:v>
      </x:c>
    </x:row>
    <x:row r="511" ht="130" customHeight="1">
      <x:c r="A511" s="10" t="n">
        <x:v>510</x:v>
      </x:c>
      <x:c r="B511" s="10" t="str">
        <x:v>ADMIN-0510</x:v>
      </x:c>
      <x:c r="C511" s="10" t="str">
        <x:v>运营配置</x:v>
      </x:c>
      <x:c r="D511" s="10" t="str">
        <x:v>敏感词编辑（平台管理员）</x:v>
      </x:c>
      <x:c r="E511" s="10" t="str">
        <x:v>功能需求</x:v>
      </x:c>
      <x:c r="F511" s="10" t="str">
        <x:v>P1</x:v>
      </x:c>
      <x:c r="G511" s="9" t="str">
        <x:v>验证敏感词精确匹配重复</x:v>
      </x:c>
      <x:c r="H511" s="9" t="str">
        <x:v>敏感词唯一范围</x:v>
      </x:c>
      <x:c r="I511" s="9" t="str">
        <x:v>1. 当前执行账号具有管理后台会话，身份为平台管理员；具体账号及权限变化按以下条件准备
2. 已存在启用词条“测试词A”，匹配规则精确匹配；新建词条分类、使用场景和替换内容已填</x:v>
      </x:c>
      <x:c r="J511" s="9" t="str">
        <x:v>1. 打开敏感词编辑
2. 输入敏感词“测试词A”
3. 选择“精确匹配”
4. 点击“保存”</x:v>
      </x:c>
      <x:c r="K511" s="9" t="str">
        <x:v>不保存重复词条规则</x:v>
      </x:c>
      <x:c r="L511" s="10" t="str"/>
      <x:c r="M511" s="10" t="str">
        <x:v>未测</x:v>
      </x:c>
      <x:c r="N511" s="10" t="str"/>
      <x:c r="O511" s="9" t="str">
        <x:v>1. 来源（当前证据）：liveshow-proto/MainBasis/统一需求文档.md；位置：第2775行、第2771行、第2772行
2. 规则：BR-77f8aaeb22480210
3. 未动态验证</x:v>
      </x:c>
    </x:row>
    <x:row r="512" ht="100" customHeight="1">
      <x:c r="A512" s="10" t="n">
        <x:v>511</x:v>
      </x:c>
      <x:c r="B512" s="10" t="str">
        <x:v>ADMIN-0511</x:v>
      </x:c>
      <x:c r="C512" s="10" t="str">
        <x:v>运营配置</x:v>
      </x:c>
      <x:c r="D512" s="10" t="str">
        <x:v>敏感词库（平台管理员）</x:v>
      </x:c>
      <x:c r="E512" s="10" t="str">
        <x:v>功能需求</x:v>
      </x:c>
      <x:c r="F512" s="10" t="str">
        <x:v>P1</x:v>
      </x:c>
      <x:c r="G512" s="9" t="str">
        <x:v>验证删除敏感词保留历史命中</x:v>
      </x:c>
      <x:c r="H512" s="9" t="str">
        <x:v>敏感词历史隔离</x:v>
      </x:c>
      <x:c r="I512" s="9" t="str">
        <x:v>1. 当前执行账号具有管理后台会话，身份为平台管理员；具体账号及权限变化按以下条件准备
2. 敏感词规则A已产生内容审核记录R1，R1材料已记录</x:v>
      </x:c>
      <x:c r="J512" s="9" t="str">
        <x:v>1. 打开敏感词库
2. 点击A“删除”
3. 点击“确认”
4. 打开内容审核
5. 查询R1</x:v>
      </x:c>
      <x:c r="K512" s="9" t="str">
        <x:v>R1历史命中记录保留</x:v>
      </x:c>
      <x:c r="L512" s="10" t="str"/>
      <x:c r="M512" s="10" t="str">
        <x:v>未测</x:v>
      </x:c>
      <x:c r="N512" s="10" t="str"/>
      <x:c r="O512" s="9" t="str">
        <x:v>1. 来源（当前证据）：liveshow-proto/MainBasis/统一需求文档.md；位置：第2768行、第2760行、第2761行
2. 规则：BR-2eadab0fd81ac263
3. 未动态验证</x:v>
      </x:c>
    </x:row>
    <x:row r="513" ht="100" customHeight="1">
      <x:c r="A513" s="10" t="n">
        <x:v>512</x:v>
      </x:c>
      <x:c r="B513" s="10" t="str">
        <x:v>ADMIN-0512</x:v>
      </x:c>
      <x:c r="C513" s="10" t="str">
        <x:v>系统配置</x:v>
      </x:c>
      <x:c r="D513" s="10" t="str">
        <x:v>账号编辑（超级管理员）</x:v>
      </x:c>
      <x:c r="E513" s="10" t="str">
        <x:v>功能需求</x:v>
      </x:c>
      <x:c r="F513" s="10" t="str">
        <x:v>P1</x:v>
      </x:c>
      <x:c r="G513" s="9" t="str">
        <x:v>验证账号编辑不可选择停用角色</x:v>
      </x:c>
      <x:c r="H513" s="9" t="str">
        <x:v>后台配置身份约束</x:v>
      </x:c>
      <x:c r="I513" s="9" t="str">
        <x:v>1. 当前执行账号具有管理后台会话，身份为超级管理员；具体账号及权限变化按以下条件准备
2. 角色R1停用，角色R2启用；正在编辑已有普通记录A</x:v>
      </x:c>
      <x:c r="J513" s="9" t="str">
        <x:v>1. 打开账号编辑
2. 打开角色选择器</x:v>
      </x:c>
      <x:c r="K513" s="9" t="str">
        <x:v>R1不可选择</x:v>
      </x:c>
      <x:c r="L513" s="10" t="str"/>
      <x:c r="M513" s="10" t="str">
        <x:v>未测</x:v>
      </x:c>
      <x:c r="N513" s="10" t="str"/>
      <x:c r="O513" s="9" t="str">
        <x:v>1. 来源（当前证据）：liveshow-proto/MainBasis/统一需求文档.md；位置：第3229行、第3224行、第3225行
2. 规则：BR-1581c554f891a0c7
3. 未动态验证</x:v>
      </x:c>
    </x:row>
    <x:row r="514" ht="100" customHeight="1">
      <x:c r="A514" s="10" t="n">
        <x:v>513</x:v>
      </x:c>
      <x:c r="B514" s="10" t="str">
        <x:v>ADMIN-0513</x:v>
      </x:c>
      <x:c r="C514" s="10" t="str">
        <x:v>系统配置</x:v>
      </x:c>
      <x:c r="D514" s="10" t="str">
        <x:v>角色编辑（超级管理员）</x:v>
      </x:c>
      <x:c r="E514" s="10" t="str">
        <x:v>功能需求</x:v>
      </x:c>
      <x:c r="F514" s="10" t="str">
        <x:v>P1</x:v>
      </x:c>
      <x:c r="G514" s="9" t="str">
        <x:v>验证角色编辑ID不可修改</x:v>
      </x:c>
      <x:c r="H514" s="9" t="str">
        <x:v>后台配置身份约束</x:v>
      </x:c>
      <x:c r="I514" s="9" t="str">
        <x:v>1. 当前执行账号具有管理后台会话，身份为超级管理员；具体账号及权限变化按以下条件准备
2. 角色R1停用，角色R2启用；正在编辑已有普通记录A</x:v>
      </x:c>
      <x:c r="J514" s="9" t="str">
        <x:v>1. 打开角色编辑
2. 查看角色ID</x:v>
      </x:c>
      <x:c r="K514" s="9" t="str">
        <x:v>角色ID不可编辑</x:v>
      </x:c>
      <x:c r="L514" s="10" t="str"/>
      <x:c r="M514" s="10" t="str">
        <x:v>未测</x:v>
      </x:c>
      <x:c r="N514" s="10" t="str"/>
      <x:c r="O514" s="9" t="str">
        <x:v>1. 来源（当前证据）：liveshow-proto/MainBasis/统一需求文档.md；位置：第3254行、第3251行、第3252行
2. 规则：BR-7e3c6ba58be6c50a
3. 未动态验证</x:v>
      </x:c>
    </x:row>
    <x:row r="515" ht="100" customHeight="1">
      <x:c r="A515" s="10" t="n">
        <x:v>514</x:v>
      </x:c>
      <x:c r="B515" s="10" t="str">
        <x:v>ADMIN-0514</x:v>
      </x:c>
      <x:c r="C515" s="10" t="str">
        <x:v>系统配置</x:v>
      </x:c>
      <x:c r="D515" s="10" t="str">
        <x:v>角色管理（超级管理员）</x:v>
      </x:c>
      <x:c r="E515" s="10" t="str">
        <x:v>功能需求</x:v>
      </x:c>
      <x:c r="F515" s="10" t="str">
        <x:v>P1</x:v>
      </x:c>
      <x:c r="G515" s="9" t="str">
        <x:v>验证角色关联账号计数</x:v>
      </x:c>
      <x:c r="H515" s="9" t="str">
        <x:v>角色绑定计数</x:v>
      </x:c>
      <x:c r="I515" s="9" t="str">
        <x:v>1. 当前执行账号具有管理后台会话，身份为超级管理员；具体账号及权限变化按以下条件准备
2. R1绑定后台账号A、B，R2绑定C</x:v>
      </x:c>
      <x:c r="J515" s="9" t="str">
        <x:v>1. 打开角色管理
2. 查看R1关联账号</x:v>
      </x:c>
      <x:c r="K515" s="9" t="str">
        <x:v>关联账号数为2</x:v>
      </x:c>
      <x:c r="L515" s="10" t="str"/>
      <x:c r="M515" s="10" t="str">
        <x:v>未测</x:v>
      </x:c>
      <x:c r="N515" s="10" t="str"/>
      <x:c r="O515" s="9" t="str">
        <x:v>1. 来源（当前证据）：liveshow-proto/MainBasis/统一需求文档.md；位置：第3244行、第3239行、第3240行
2. 规则：BR-286dd15c2259e9fd
3. 未动态验证</x:v>
      </x:c>
    </x:row>
    <x:row r="516" ht="175" customHeight="1">
      <x:c r="A516" s="10" t="n">
        <x:v>515</x:v>
      </x:c>
      <x:c r="B516" s="10" t="str">
        <x:v>ADMIN-0515</x:v>
      </x:c>
      <x:c r="C516" s="10" t="str">
        <x:v>礼物与道具</x:v>
      </x:c>
      <x:c r="D516" s="10" t="str">
        <x:v>幸运礼物编辑（平台管理员）</x:v>
      </x:c>
      <x:c r="E516" s="10" t="str">
        <x:v>功能需求</x:v>
      </x:c>
      <x:c r="F516" s="10" t="str">
        <x:v>P1</x:v>
      </x:c>
      <x:c r="G516" s="9" t="str">
        <x:v>验证概要基准1次开奖理论RTP</x:v>
      </x:c>
      <x:c r="H516" s="9" t="str">
        <x:v>基准概率期望</x:v>
      </x:c>
      <x:c r="I516" s="9" t="str">
        <x:v>1. 当前执行账号具有管理后台会话，身份为平台管理员；具体账号及权限变化按以下条件准备
2. 单次消耗10，奖励0/5/10/50/100/1000，概率10.4%/32%/55%/2%/0.5%/0.1%
3. 使用可编辑测试幸运礼物G1，四语名称和图标有效；本例基准是测试输入，不假设线上默认配置</x:v>
      </x:c>
      <x:c r="J516" s="9" t="str">
        <x:v>1. 打开测试幸运礼物G1编辑
2. 输入单次消耗“10”
3. 输入开奖次数“1”
4. 输入六档奖励0、5、10、50、100、1000及对应概率10.4%、32%、55%、2%、0.5%、0.1%
5. 查看自动计算的RTP</x:v>
      </x:c>
      <x:c r="K516" s="9" t="str">
        <x:v>RTP显示96%</x:v>
      </x:c>
      <x:c r="L516" s="10" t="str"/>
      <x:c r="M516" s="10" t="str">
        <x:v>未测</x:v>
      </x:c>
      <x:c r="N516" s="10" t="str"/>
      <x:c r="O516" s="9" t="str">
        <x:v>1. 来源（当前证据）：liveshow-proto/MainBasis/统一需求文档.md；位置：第2521行、第229行、第2515行、第230行、第231行、第232行、第2513行、第2514行
2. 规则：BR-189785aaec0e4768
3. 未动态验证</x:v>
      </x:c>
    </x:row>
    <x:row r="517" ht="175" customHeight="1">
      <x:c r="A517" s="10" t="n">
        <x:v>516</x:v>
      </x:c>
      <x:c r="B517" s="10" t="str">
        <x:v>ADMIN-0516</x:v>
      </x:c>
      <x:c r="C517" s="10" t="str">
        <x:v>礼物与道具</x:v>
      </x:c>
      <x:c r="D517" s="10" t="str">
        <x:v>幸运礼物编辑（平台管理员）</x:v>
      </x:c>
      <x:c r="E517" s="10" t="str">
        <x:v>功能需求</x:v>
      </x:c>
      <x:c r="F517" s="10" t="str">
        <x:v>P1</x:v>
      </x:c>
      <x:c r="G517" s="9" t="str">
        <x:v>验证概要基准10次开奖理论RTP</x:v>
      </x:c>
      <x:c r="H517" s="9" t="str">
        <x:v>基准概率期望</x:v>
      </x:c>
      <x:c r="I517" s="9" t="str">
        <x:v>1. 当前执行账号具有管理后台会话，身份为平台管理员；具体账号及权限变化按以下条件准备
2. 单次消耗10，奖励0/5/10/50/100/1000，概率8.4%/34%/55%/2%/0.5%/0.1%
3. 使用可编辑测试幸运礼物G10，四语名称和图标有效；本例基准是测试输入，不假设线上默认配置</x:v>
      </x:c>
      <x:c r="J517" s="9" t="str">
        <x:v>1. 打开测试幸运礼物G10编辑
2. 输入单次消耗“10”
3. 输入开奖次数“10”
4. 输入六档奖励0、5、10、50、100、1000及对应概率8.4%、34%、55%、2%、0.5%、0.1%
5. 查看自动计算的RTP</x:v>
      </x:c>
      <x:c r="K517" s="9" t="str">
        <x:v>RTP显示97%</x:v>
      </x:c>
      <x:c r="L517" s="10" t="str"/>
      <x:c r="M517" s="10" t="str">
        <x:v>未测</x:v>
      </x:c>
      <x:c r="N517" s="10" t="str"/>
      <x:c r="O517" s="9" t="str">
        <x:v>1. 来源（当前证据）：liveshow-proto/MainBasis/统一需求文档.md；位置：第2521行、第229行、第2515行、第230行、第231行、第232行、第2513行、第2514行
2. 规则：BR-982eb4a9174d63aa
3. 未动态验证</x:v>
      </x:c>
    </x:row>
    <x:row r="518" ht="175" customHeight="1">
      <x:c r="A518" s="10" t="n">
        <x:v>517</x:v>
      </x:c>
      <x:c r="B518" s="10" t="str">
        <x:v>ADMIN-0517</x:v>
      </x:c>
      <x:c r="C518" s="10" t="str">
        <x:v>礼物与道具</x:v>
      </x:c>
      <x:c r="D518" s="10" t="str">
        <x:v>幸运礼物编辑（平台管理员）</x:v>
      </x:c>
      <x:c r="E518" s="10" t="str">
        <x:v>功能需求</x:v>
      </x:c>
      <x:c r="F518" s="10" t="str">
        <x:v>P1</x:v>
      </x:c>
      <x:c r="G518" s="9" t="str">
        <x:v>验证概要基准100次开奖理论RTP</x:v>
      </x:c>
      <x:c r="H518" s="9" t="str">
        <x:v>基准概率期望</x:v>
      </x:c>
      <x:c r="I518" s="9" t="str">
        <x:v>1. 当前执行账号具有管理后台会话，身份为平台管理员；具体账号及权限变化按以下条件准备
2. 单次消耗10，奖励0/5/10/50/100/1000，概率6.4%/36%/55%/2%/0.5%/0.1%
3. 使用可编辑测试幸运礼物G100，四语名称和图标有效；本例基准是测试输入，不假设线上默认配置</x:v>
      </x:c>
      <x:c r="J518" s="9" t="str">
        <x:v>1. 打开测试幸运礼物G100编辑
2. 输入单次消耗“10”
3. 输入开奖次数“100”
4. 输入六档奖励0、5、10、50、100、1000及对应概率6.4%、36%、55%、2%、0.5%、0.1%
5. 查看自动计算的RTP</x:v>
      </x:c>
      <x:c r="K518" s="9" t="str">
        <x:v>RTP显示98%</x:v>
      </x:c>
      <x:c r="L518" s="10" t="str"/>
      <x:c r="M518" s="10" t="str">
        <x:v>未测</x:v>
      </x:c>
      <x:c r="N518" s="10" t="str"/>
      <x:c r="O518" s="9" t="str">
        <x:v>1. 来源（当前证据）：liveshow-proto/MainBasis/统一需求文档.md；位置：第2521行、第229行、第2515行、第230行、第231行、第232行、第2513行、第2514行
2. 规则：BR-c011c1c731131070
3. 未动态验证</x:v>
      </x:c>
    </x:row>
    <x:row r="519" ht="100" customHeight="1">
      <x:c r="A519" s="10" t="n">
        <x:v>518</x:v>
      </x:c>
      <x:c r="B519" s="10" t="str">
        <x:v>ADMIN-0518</x:v>
      </x:c>
      <x:c r="C519" s="10" t="str">
        <x:v>礼物与道具</x:v>
      </x:c>
      <x:c r="D519" s="10" t="str">
        <x:v>购买份数配置（平台管理员）</x:v>
      </x:c>
      <x:c r="E519" s="10" t="str">
        <x:v>业务流程</x:v>
      </x:c>
      <x:c r="F519" s="10" t="str">
        <x:v>P1</x:v>
      </x:c>
      <x:c r="G519" s="9" t="str">
        <x:v>验证停用赠送数量规则</x:v>
      </x:c>
      <x:c r="H519" s="9" t="str">
        <x:v>数量规则停用</x:v>
      </x:c>
      <x:c r="I519" s="9" t="str">
        <x:v>1. 当前执行账号具有管理后台会话，身份为平台管理员；具体账号及权限变化按以下条件准备
2. 规则R启用，关联普通礼物G数量1、10、100，默认10</x:v>
      </x:c>
      <x:c r="J519" s="9" t="str">
        <x:v>1. 打开购买份数配置
2. 点击R“停用”
3. 查看R状态</x:v>
      </x:c>
      <x:c r="K519" s="9" t="str">
        <x:v>R状态为停用</x:v>
      </x:c>
      <x:c r="L519" s="10" t="str">
        <x:v>FLOW-GIFT-CONFIG</x:v>
      </x:c>
      <x:c r="M519" s="10" t="str">
        <x:v>未测</x:v>
      </x:c>
      <x:c r="N519" s="10" t="str"/>
      <x:c r="O519" s="9" t="str">
        <x:v>1. 来源（当前证据）：liveshow-proto/MainBasis/统一需求文档.md；位置：第2566行、第2558行、第2559行
2. 规则：BR-7cc391dde8cd4836
3. 未动态验证</x:v>
      </x:c>
    </x:row>
    <x:row r="520" ht="100" customHeight="1">
      <x:c r="A520" s="10" t="n">
        <x:v>519</x:v>
      </x:c>
      <x:c r="B520" s="10" t="str">
        <x:v>ADMIN-0519</x:v>
      </x:c>
      <x:c r="C520" s="10" t="str">
        <x:v>主播管理</x:v>
      </x:c>
      <x:c r="D520" s="10" t="str">
        <x:v>直播场次（平台管理员）</x:v>
      </x:c>
      <x:c r="E520" s="10" t="str">
        <x:v>业务流程</x:v>
      </x:c>
      <x:c r="F520" s="10" t="str">
        <x:v>P1</x:v>
      </x:c>
      <x:c r="G520" s="9" t="str">
        <x:v>验证主播新开播在平台形成场次记录</x:v>
      </x:c>
      <x:c r="H520" s="9" t="str">
        <x:v>平台新场次</x:v>
      </x:c>
      <x:c r="I520" s="9" t="str">
        <x:v>1. 当前执行账号具有管理后台会话，身份为平台管理员；具体账号及权限变化按以下条件准备
2. 主播B刚成功开启场次S，记录S实际编号</x:v>
      </x:c>
      <x:c r="J520" s="9" t="str">
        <x:v>1. 打开直播场次
2. 查询S</x:v>
      </x:c>
      <x:c r="K520" s="9" t="str">
        <x:v>列表中S为直播中</x:v>
      </x:c>
      <x:c r="L520" s="10" t="str">
        <x:v>FLOW-LIVE</x:v>
      </x:c>
      <x:c r="M520" s="10" t="str">
        <x:v>未测</x:v>
      </x:c>
      <x:c r="N520" s="10" t="str"/>
      <x:c r="O520" s="9" t="str">
        <x:v>1. 来源（当前证据）：liveshow-proto/MainBasis/统一需求文档.md；位置：第2294行、第1058行、第2282行、第2283行
2. 规则：BR-0e3fa417894074d5
3. 未动态验证</x:v>
      </x:c>
    </x:row>
    <x:row r="521" ht="100" customHeight="1">
      <x:c r="A521" s="10" t="n">
        <x:v>520</x:v>
      </x:c>
      <x:c r="B521" s="10" t="str">
        <x:v>ADMIN-0520</x:v>
      </x:c>
      <x:c r="C521" s="10" t="str">
        <x:v>财务结算</x:v>
      </x:c>
      <x:c r="D521" s="10" t="str">
        <x:v>充值订单（平台管理员）</x:v>
      </x:c>
      <x:c r="E521" s="10" t="str">
        <x:v>业务流程</x:v>
      </x:c>
      <x:c r="F521" s="10" t="str">
        <x:v>P0</x:v>
      </x:c>
      <x:c r="G521" s="9" t="str">
        <x:v>验证成功充值订单的平台状态</x:v>
      </x:c>
      <x:c r="H521" s="9" t="str">
        <x:v>平台支付终态</x:v>
      </x:c>
      <x:c r="I521" s="9" t="str">
        <x:v>1. 当前执行账号具有管理后台会话，身份为平台管理员；具体账号及权限变化按以下条件准备
2. 测试渠道已使R支付成功，R基础100赠10金币</x:v>
      </x:c>
      <x:c r="J521" s="9" t="str">
        <x:v>1. 打开充值订单
2. 查询R</x:v>
      </x:c>
      <x:c r="K521" s="9" t="str">
        <x:v>R状态显示充值成功</x:v>
      </x:c>
      <x:c r="L521" s="10" t="str">
        <x:v>FLOW-RECHARGE</x:v>
      </x:c>
      <x:c r="M521" s="10" t="str">
        <x:v>未测</x:v>
      </x:c>
      <x:c r="N521" s="10" t="str"/>
      <x:c r="O521" s="9" t="str">
        <x:v>1. 来源（当前证据）：liveshow-proto/MainBasis/统一需求文档.md；位置：第2789行、第1192行、第2782行、第2783行
2. 规则：BR-7f7a182c7aa505c2
3. 未动态验证</x:v>
      </x:c>
    </x:row>
    <x:row r="522" ht="100" customHeight="1">
      <x:c r="A522" s="10" t="n">
        <x:v>521</x:v>
      </x:c>
      <x:c r="B522" s="10" t="str">
        <x:v>ADMIN-0521</x:v>
      </x:c>
      <x:c r="C522" s="10" t="str">
        <x:v>主播管理</x:v>
      </x:c>
      <x:c r="D522" s="10" t="str">
        <x:v>主播审核（平台管理员）</x:v>
      </x:c>
      <x:c r="E522" s="10" t="str">
        <x:v>业务流程</x:v>
      </x:c>
      <x:c r="F522" s="10" t="str">
        <x:v>P0</x:v>
      </x:c>
      <x:c r="G522" s="9" t="str">
        <x:v>验证公会初审通过后平台收到终审单</x:v>
      </x:c>
      <x:c r="H522" s="9" t="str">
        <x:v>平台收到认证申请</x:v>
      </x:c>
      <x:c r="I522" s="9" t="str">
        <x:v>1. 当前执行账号具有管理后台会话，身份为平台管理员；具体账号及权限变化按以下条件准备
2. 公会G刚通过用户A的初审申请J；平台尚未处理</x:v>
      </x:c>
      <x:c r="J522" s="9" t="str">
        <x:v>1. 打开主播审核
2. 选择“待审核”
3. 查询A和G</x:v>
      </x:c>
      <x:c r="K522" s="9" t="str">
        <x:v>结果包含J</x:v>
      </x:c>
      <x:c r="L522" s="10" t="str">
        <x:v>FLOW-GUILD-JOIN</x:v>
      </x:c>
      <x:c r="M522" s="10" t="str">
        <x:v>未测</x:v>
      </x:c>
      <x:c r="N522" s="10" t="str"/>
      <x:c r="O522" s="9" t="str">
        <x:v>1. 来源（当前证据）：liveshow-proto/MainBasis/统一需求文档.md；位置：第2261行、第2259行、第2260行
2. 规则：BR-f5cc01bfb611cb4e
3. 未动态验证</x:v>
      </x:c>
    </x:row>
    <x:row r="523" ht="100" customHeight="1">
      <x:c r="A523" s="10" t="n">
        <x:v>522</x:v>
      </x:c>
      <x:c r="B523" s="10" t="str">
        <x:v>ADMIN-0522</x:v>
      </x:c>
      <x:c r="C523" s="10" t="str">
        <x:v>运营配置</x:v>
      </x:c>
      <x:c r="D523" s="10" t="str">
        <x:v>展示素材编辑（平台管理员）</x:v>
      </x:c>
      <x:c r="E523" s="10" t="str">
        <x:v>功能需求</x:v>
      </x:c>
      <x:c r="F523" s="10" t="str">
        <x:v>P1</x:v>
      </x:c>
      <x:c r="G523" s="9" t="str">
        <x:v>验证轮播第二行缺少目标页面</x:v>
      </x:c>
      <x:c r="H523" s="9" t="str">
        <x:v>轮播逐行必填</x:v>
      </x:c>
      <x:c r="I523" s="9" t="str">
        <x:v>1. 当前执行账号具有管理后台会话，身份为平台管理员；具体账号及权限变化按以下条件准备
2. 已存在两行有效配置；第二行类型APP已有页面</x:v>
      </x:c>
      <x:c r="J523" s="9" t="str">
        <x:v>1. 打开展示素材编辑
2. 点击第二行“编辑”
3. 清空第二行目标页面
4. 点击“保存”</x:v>
      </x:c>
      <x:c r="K523" s="9" t="str">
        <x:v>第二行因缺少目标页面不能保存</x:v>
      </x:c>
      <x:c r="L523" s="10" t="str"/>
      <x:c r="M523" s="10" t="str">
        <x:v>未测</x:v>
      </x:c>
      <x:c r="N523" s="10" t="str"/>
      <x:c r="O523" s="9" t="str">
        <x:v>1. 来源（当前证据）：liveshow-proto/MainBasis/统一需求文档.md；位置：第2600行、第2593行、第2594行
2. 规则：BR-27a4947b67bb773c
3. 未动态验证</x:v>
      </x:c>
    </x:row>
    <x:row r="524" ht="100" customHeight="1">
      <x:c r="A524" s="10" t="n">
        <x:v>523</x:v>
      </x:c>
      <x:c r="B524" s="10" t="str">
        <x:v>ADMIN-0523</x:v>
      </x:c>
      <x:c r="C524" s="10" t="str">
        <x:v>运营配置</x:v>
      </x:c>
      <x:c r="D524" s="10" t="str">
        <x:v>展示素材编辑（平台管理员）</x:v>
      </x:c>
      <x:c r="E524" s="10" t="str">
        <x:v>功能需求</x:v>
      </x:c>
      <x:c r="F524" s="10" t="str">
        <x:v>P1</x:v>
      </x:c>
      <x:c r="G524" s="9" t="str">
        <x:v>验证轮播第二行缺少详情长图</x:v>
      </x:c>
      <x:c r="H524" s="9" t="str">
        <x:v>轮播逐行必填</x:v>
      </x:c>
      <x:c r="I524" s="9" t="str">
        <x:v>1. 当前执行账号具有管理后台会话，身份为平台管理员；具体账号及权限变化按以下条件准备
2. 已存在两行有效配置；第二行类型活动长图页面</x:v>
      </x:c>
      <x:c r="J524" s="9" t="str">
        <x:v>1. 打开展示素材编辑
2. 点击第二行“编辑”
3. 删除第二行详情长图
4. 点击“保存”</x:v>
      </x:c>
      <x:c r="K524" s="9" t="str">
        <x:v>第二行因缺少详情长图不能保存</x:v>
      </x:c>
      <x:c r="L524" s="10" t="str"/>
      <x:c r="M524" s="10" t="str">
        <x:v>未测</x:v>
      </x:c>
      <x:c r="N524" s="10" t="str"/>
      <x:c r="O524" s="9" t="str">
        <x:v>1. 来源（当前证据）：liveshow-proto/MainBasis/统一需求文档.md；位置：第2600行、第2593行、第2594行
2. 规则：BR-6445f0bac0fc320d
3. 未动态验证</x:v>
      </x:c>
    </x:row>
    <x:row r="525" ht="100" customHeight="1">
      <x:c r="A525" s="10" t="n">
        <x:v>524</x:v>
      </x:c>
      <x:c r="B525" s="10" t="str">
        <x:v>ADMIN-0524</x:v>
      </x:c>
      <x:c r="C525" s="10" t="str">
        <x:v>运营配置</x:v>
      </x:c>
      <x:c r="D525" s="10" t="str">
        <x:v>展示素材编辑（平台管理员）</x:v>
      </x:c>
      <x:c r="E525" s="10" t="str">
        <x:v>功能需求</x:v>
      </x:c>
      <x:c r="F525" s="10" t="str">
        <x:v>P1</x:v>
      </x:c>
      <x:c r="G525" s="9" t="str">
        <x:v>验证轮播第二行缺少展示素材</x:v>
      </x:c>
      <x:c r="H525" s="9" t="str">
        <x:v>轮播逐行必填</x:v>
      </x:c>
      <x:c r="I525" s="9" t="str">
        <x:v>1. 当前执行账号具有管理后台会话，身份为平台管理员；具体账号及权限变化按以下条件准备
2. 已存在两行有效配置；第二行类型APP已有页面</x:v>
      </x:c>
      <x:c r="J525" s="9" t="str">
        <x:v>1. 打开展示素材编辑
2. 点击第二行“编辑”
3. 删除第二行展示素材
4. 点击“保存”</x:v>
      </x:c>
      <x:c r="K525" s="9" t="str">
        <x:v>第二行因缺少展示素材不能保存</x:v>
      </x:c>
      <x:c r="L525" s="10" t="str"/>
      <x:c r="M525" s="10" t="str">
        <x:v>未测</x:v>
      </x:c>
      <x:c r="N525" s="10" t="str"/>
      <x:c r="O525" s="9" t="str">
        <x:v>1. 来源（当前证据）：liveshow-proto/MainBasis/统一需求文档.md；位置：第2598行、第2593行、第2594行
2. 规则：BR-3384084ab65a79ef
3. 未动态验证</x:v>
      </x:c>
    </x:row>
    <x:row r="526" ht="85" customHeight="1">
      <x:c r="A526" s="10" t="n">
        <x:v>525</x:v>
      </x:c>
      <x:c r="B526" s="10" t="str">
        <x:v>ADMIN-0525</x:v>
      </x:c>
      <x:c r="C526" s="10" t="str">
        <x:v>运营配置</x:v>
      </x:c>
      <x:c r="D526" s="10" t="str">
        <x:v>展示素材编辑（平台管理员）</x:v>
      </x:c>
      <x:c r="E526" s="10" t="str">
        <x:v>功能需求</x:v>
      </x:c>
      <x:c r="F526" s="10" t="str">
        <x:v>P1</x:v>
      </x:c>
      <x:c r="G526" s="9" t="str">
        <x:v>验证轮播目标类型切换APP已有页面</x:v>
      </x:c>
      <x:c r="H526" s="9" t="str">
        <x:v>轮播类型联动</x:v>
      </x:c>
      <x:c r="I526" s="9" t="str">
        <x:v>1. 当前执行账号具有管理后台会话，身份为平台管理员；具体账号及权限变化按以下条件准备
2. 当前编辑轮播配置的第二项</x:v>
      </x:c>
      <x:c r="J526" s="9" t="str">
        <x:v>1. 打开展示素材编辑
2. 选择第二项跳转类型“APP已有页面”</x:v>
      </x:c>
      <x:c r="K526" s="9" t="str">
        <x:v>展示目标页面选择器</x:v>
      </x:c>
      <x:c r="L526" s="10" t="str"/>
      <x:c r="M526" s="10" t="str">
        <x:v>未测</x:v>
      </x:c>
      <x:c r="N526" s="10" t="str"/>
      <x:c r="O526" s="9" t="str">
        <x:v>1. 来源（当前证据）：liveshow-proto/MainBasis/统一需求文档.md；位置：第2605行、第2593行、第2594行
2. 规则：BR-03a1c242d182846e
3. 未动态验证</x:v>
      </x:c>
    </x:row>
    <x:row r="527" ht="85" customHeight="1">
      <x:c r="A527" s="10" t="n">
        <x:v>526</x:v>
      </x:c>
      <x:c r="B527" s="10" t="str">
        <x:v>ADMIN-0526</x:v>
      </x:c>
      <x:c r="C527" s="10" t="str">
        <x:v>运营配置</x:v>
      </x:c>
      <x:c r="D527" s="10" t="str">
        <x:v>展示素材编辑（平台管理员）</x:v>
      </x:c>
      <x:c r="E527" s="10" t="str">
        <x:v>功能需求</x:v>
      </x:c>
      <x:c r="F527" s="10" t="str">
        <x:v>P1</x:v>
      </x:c>
      <x:c r="G527" s="9" t="str">
        <x:v>验证轮播目标类型切换活动长图页面</x:v>
      </x:c>
      <x:c r="H527" s="9" t="str">
        <x:v>轮播类型联动</x:v>
      </x:c>
      <x:c r="I527" s="9" t="str">
        <x:v>1. 当前执行账号具有管理后台会话，身份为平台管理员；具体账号及权限变化按以下条件准备
2. 当前编辑轮播配置的第二项</x:v>
      </x:c>
      <x:c r="J527" s="9" t="str">
        <x:v>1. 打开展示素材编辑
2. 选择第二项跳转类型“活动长图页面”</x:v>
      </x:c>
      <x:c r="K527" s="9" t="str">
        <x:v>展示活动长图上传区</x:v>
      </x:c>
      <x:c r="L527" s="10" t="str"/>
      <x:c r="M527" s="10" t="str">
        <x:v>未测</x:v>
      </x:c>
      <x:c r="N527" s="10" t="str"/>
      <x:c r="O527" s="9" t="str">
        <x:v>1. 来源（当前证据）：liveshow-proto/MainBasis/统一需求文档.md；位置：第2605行、第2593行、第2594行
2. 规则：BR-fb2c450b34e9b3a1
3. 未动态验证</x:v>
      </x:c>
    </x:row>
    <x:row r="528" ht="130" customHeight="1">
      <x:c r="A528" s="10" t="n">
        <x:v>527</x:v>
      </x:c>
      <x:c r="B528" s="10" t="str">
        <x:v>ADMIN-0527</x:v>
      </x:c>
      <x:c r="C528" s="10" t="str">
        <x:v>运营配置</x:v>
      </x:c>
      <x:c r="D528" s="10" t="str">
        <x:v>展位配置（平台管理员）</x:v>
      </x:c>
      <x:c r="E528" s="10" t="str">
        <x:v>功能需求</x:v>
      </x:c>
      <x:c r="F528" s="10" t="str">
        <x:v>P1</x:v>
      </x:c>
      <x:c r="G528" s="9" t="str">
        <x:v>验证投放周期开始日前一天</x:v>
      </x:c>
      <x:c r="H528" s="9" t="str">
        <x:v>投放日期包含边界</x:v>
      </x:c>
      <x:c r="I528" s="9" t="str">
        <x:v>1. 当前执行账号具有管理后台会话，身份为平台管理员；具体账号及权限变化按以下条件准备
2. 配置A启用，周期9月14日至9月16日；测试环境业务日期位于开始日前一天，以本条周期作为参照</x:v>
      </x:c>
      <x:c r="J528" s="9" t="str">
        <x:v>1. 打开展位配置
2. 查询配置A</x:v>
      </x:c>
      <x:c r="K528" s="9" t="str">
        <x:v>A状态为隐藏</x:v>
      </x:c>
      <x:c r="L528" s="10" t="str"/>
      <x:c r="M528" s="10" t="str">
        <x:v>未测</x:v>
      </x:c>
      <x:c r="N528" s="10" t="str"/>
      <x:c r="O528" s="9" t="str">
        <x:v>1. 来源（当前证据）：liveshow-proto/MainBasis/统一需求文档.md；位置：第2588行、第2583行、第2584行
2. 规则：BR-11ce71b1f5f53bb5
3. 未动态验证</x:v>
      </x:c>
    </x:row>
    <x:row r="529" ht="115" customHeight="1">
      <x:c r="A529" s="10" t="n">
        <x:v>528</x:v>
      </x:c>
      <x:c r="B529" s="10" t="str">
        <x:v>ADMIN-0528</x:v>
      </x:c>
      <x:c r="C529" s="10" t="str">
        <x:v>运营配置</x:v>
      </x:c>
      <x:c r="D529" s="10" t="str">
        <x:v>展位配置（平台管理员）</x:v>
      </x:c>
      <x:c r="E529" s="10" t="str">
        <x:v>功能需求</x:v>
      </x:c>
      <x:c r="F529" s="10" t="str">
        <x:v>P1</x:v>
      </x:c>
      <x:c r="G529" s="9" t="str">
        <x:v>验证投放周期开始日</x:v>
      </x:c>
      <x:c r="H529" s="9" t="str">
        <x:v>投放日期包含边界</x:v>
      </x:c>
      <x:c r="I529" s="9" t="str">
        <x:v>1. 当前执行账号具有管理后台会话，身份为平台管理员；具体账号及权限变化按以下条件准备
2. 配置A启用，周期9月14日至9月16日；测试环境业务日期位于开始日，以本条周期作为参照</x:v>
      </x:c>
      <x:c r="J529" s="9" t="str">
        <x:v>1. 打开展位配置
2. 查询配置A</x:v>
      </x:c>
      <x:c r="K529" s="9" t="str">
        <x:v>A状态为展示</x:v>
      </x:c>
      <x:c r="L529" s="10" t="str"/>
      <x:c r="M529" s="10" t="str">
        <x:v>未测</x:v>
      </x:c>
      <x:c r="N529" s="10" t="str"/>
      <x:c r="O529" s="9" t="str">
        <x:v>1. 来源（当前证据）：liveshow-proto/MainBasis/统一需求文档.md；位置：第2588行、第2583行、第2584行
2. 规则：BR-c3ea7aaf5b66f5fe
3. 未动态验证</x:v>
      </x:c>
    </x:row>
    <x:row r="530" ht="115" customHeight="1">
      <x:c r="A530" s="10" t="n">
        <x:v>529</x:v>
      </x:c>
      <x:c r="B530" s="10" t="str">
        <x:v>ADMIN-0529</x:v>
      </x:c>
      <x:c r="C530" s="10" t="str">
        <x:v>运营配置</x:v>
      </x:c>
      <x:c r="D530" s="10" t="str">
        <x:v>展位配置（平台管理员）</x:v>
      </x:c>
      <x:c r="E530" s="10" t="str">
        <x:v>功能需求</x:v>
      </x:c>
      <x:c r="F530" s="10" t="str">
        <x:v>P1</x:v>
      </x:c>
      <x:c r="G530" s="9" t="str">
        <x:v>验证投放周期结束日</x:v>
      </x:c>
      <x:c r="H530" s="9" t="str">
        <x:v>投放日期包含边界</x:v>
      </x:c>
      <x:c r="I530" s="9" t="str">
        <x:v>1. 当前执行账号具有管理后台会话，身份为平台管理员；具体账号及权限变化按以下条件准备
2. 配置A启用，周期9月14日至9月16日；测试环境业务日期位于结束日，以本条周期作为参照</x:v>
      </x:c>
      <x:c r="J530" s="9" t="str">
        <x:v>1. 打开展位配置
2. 查询配置A</x:v>
      </x:c>
      <x:c r="K530" s="9" t="str">
        <x:v>A状态为展示</x:v>
      </x:c>
      <x:c r="L530" s="10" t="str"/>
      <x:c r="M530" s="10" t="str">
        <x:v>未测</x:v>
      </x:c>
      <x:c r="N530" s="10" t="str"/>
      <x:c r="O530" s="9" t="str">
        <x:v>1. 来源（当前证据）：liveshow-proto/MainBasis/统一需求文档.md；位置：第2588行、第2583行、第2584行
2. 规则：BR-5d4f09608408b46c
3. 未动态验证</x:v>
      </x:c>
    </x:row>
    <x:row r="531" ht="130" customHeight="1">
      <x:c r="A531" s="10" t="n">
        <x:v>530</x:v>
      </x:c>
      <x:c r="B531" s="10" t="str">
        <x:v>ADMIN-0530</x:v>
      </x:c>
      <x:c r="C531" s="10" t="str">
        <x:v>运营配置</x:v>
      </x:c>
      <x:c r="D531" s="10" t="str">
        <x:v>展位配置（平台管理员）</x:v>
      </x:c>
      <x:c r="E531" s="10" t="str">
        <x:v>功能需求</x:v>
      </x:c>
      <x:c r="F531" s="10" t="str">
        <x:v>P1</x:v>
      </x:c>
      <x:c r="G531" s="9" t="str">
        <x:v>验证投放周期结束日后一天</x:v>
      </x:c>
      <x:c r="H531" s="9" t="str">
        <x:v>投放日期包含边界</x:v>
      </x:c>
      <x:c r="I531" s="9" t="str">
        <x:v>1. 当前执行账号具有管理后台会话，身份为平台管理员；具体账号及权限变化按以下条件准备
2. 配置A启用，周期9月14日至9月16日；测试环境业务日期位于结束日后一天，以本条周期作为参照</x:v>
      </x:c>
      <x:c r="J531" s="9" t="str">
        <x:v>1. 打开展位配置
2. 查询配置A</x:v>
      </x:c>
      <x:c r="K531" s="9" t="str">
        <x:v>A状态为隐藏</x:v>
      </x:c>
      <x:c r="L531" s="10" t="str"/>
      <x:c r="M531" s="10" t="str">
        <x:v>未测</x:v>
      </x:c>
      <x:c r="N531" s="10" t="str"/>
      <x:c r="O531" s="9" t="str">
        <x:v>1. 来源（当前证据）：liveshow-proto/MainBasis/统一需求文档.md；位置：第2588行、第2583行、第2584行
2. 规则：BR-6bdd9bad3fe4523b
3. 未动态验证</x:v>
      </x:c>
    </x:row>
    <x:row r="532" ht="100" customHeight="1">
      <x:c r="A532" s="10" t="n">
        <x:v>531</x:v>
      </x:c>
      <x:c r="B532" s="10" t="str">
        <x:v>ADMIN-0531</x:v>
      </x:c>
      <x:c r="C532" s="10" t="str">
        <x:v>运营配置</x:v>
      </x:c>
      <x:c r="D532" s="10" t="str">
        <x:v>展位配置（平台管理员）</x:v>
      </x:c>
      <x:c r="E532" s="10" t="str">
        <x:v>功能需求</x:v>
      </x:c>
      <x:c r="F532" s="10" t="str">
        <x:v>P1</x:v>
      </x:c>
      <x:c r="G532" s="9" t="str">
        <x:v>验证停用轮播在有效期内也不投放</x:v>
      </x:c>
      <x:c r="H532" s="9" t="str">
        <x:v>轮播开关优先</x:v>
      </x:c>
      <x:c r="I532" s="9" t="str">
        <x:v>1. 当前执行账号具有管理后台会话，身份为平台管理员；具体账号及权限变化按以下条件准备
2. 配置A周期覆盖当前日，但状态已关闭</x:v>
      </x:c>
      <x:c r="J532" s="9" t="str">
        <x:v>1. 打开展位配置
2. 查询A</x:v>
      </x:c>
      <x:c r="K532" s="9" t="str">
        <x:v>A状态为隐藏</x:v>
      </x:c>
      <x:c r="L532" s="10" t="str"/>
      <x:c r="M532" s="10" t="str">
        <x:v>未测</x:v>
      </x:c>
      <x:c r="N532" s="10" t="str"/>
      <x:c r="O532" s="9" t="str">
        <x:v>1. 来源（当前证据）：liveshow-proto/MainBasis/统一需求文档.md；位置：第2589行、第2583行、第2584行
2. 规则：BR-4c85d6b117ade738
3. 未动态验证</x:v>
      </x:c>
    </x:row>
    <x:row r="533" ht="115" customHeight="1">
      <x:c r="A533" s="10" t="n">
        <x:v>532</x:v>
      </x:c>
      <x:c r="B533" s="10" t="str">
        <x:v>ADMIN-0532</x:v>
      </x:c>
      <x:c r="C533" s="10" t="str">
        <x:v>运营配置</x:v>
      </x:c>
      <x:c r="D533" s="10" t="str">
        <x:v>展示素材编辑（平台管理员）</x:v>
      </x:c>
      <x:c r="E533" s="10" t="str">
        <x:v>功能需求</x:v>
      </x:c>
      <x:c r="F533" s="10" t="str">
        <x:v>P1</x:v>
      </x:c>
      <x:c r="G533" s="9" t="str">
        <x:v>验证同配置多素材共用周期</x:v>
      </x:c>
      <x:c r="H533" s="9" t="str">
        <x:v>同配置排期</x:v>
      </x:c>
      <x:c r="I533" s="9" t="str">
        <x:v>1. 当前执行账号具有管理后台会话，身份为平台管理员；具体账号及权限变化按以下条件准备
2. 配置A有素材1、2，素材及各自跳转目标完整；A没有同展示位的其他相交配置</x:v>
      </x:c>
      <x:c r="J533" s="9" t="str">
        <x:v>1. 打开展示素材编辑
2. 选择统一展示周期9月14日至16日
3. 点击“保存”</x:v>
      </x:c>
      <x:c r="K533" s="9" t="str">
        <x:v>同一配置的两项素材可保存</x:v>
      </x:c>
      <x:c r="L533" s="10" t="str"/>
      <x:c r="M533" s="10" t="str">
        <x:v>未测</x:v>
      </x:c>
      <x:c r="N533" s="10" t="str"/>
      <x:c r="O533" s="9" t="str">
        <x:v>1. 来源（当前证据）：liveshow-proto/MainBasis/统一需求文档.md；位置：第2602行、第2593行、第2594行
2. 规则：BR-8bb82530657f3a74
3. 未动态验证</x:v>
      </x:c>
    </x:row>
    <x:row r="534" ht="85" customHeight="1">
      <x:c r="A534" s="10" t="n">
        <x:v>533</x:v>
      </x:c>
      <x:c r="B534" s="10" t="str">
        <x:v>ADMIN-0533</x:v>
      </x:c>
      <x:c r="C534" s="10" t="str">
        <x:v>礼物与道具</x:v>
      </x:c>
      <x:c r="D534" s="10" t="str">
        <x:v>购买份数配置详情（平台管理员）</x:v>
      </x:c>
      <x:c r="E534" s="10" t="str">
        <x:v>功能需求</x:v>
      </x:c>
      <x:c r="F534" s="10" t="str">
        <x:v>P1</x:v>
      </x:c>
      <x:c r="G534" s="9" t="str">
        <x:v>验证默认数量只能从现有数量选</x:v>
      </x:c>
      <x:c r="H534" s="9" t="str">
        <x:v>默认数量枚举</x:v>
      </x:c>
      <x:c r="I534" s="9" t="str">
        <x:v>1. 当前执行账号具有管理后台会话，身份为平台管理员；具体账号及权限变化按以下条件准备
2. 当前赠送数量1、10、100</x:v>
      </x:c>
      <x:c r="J534" s="9" t="str">
        <x:v>1. 打开购买份数配置详情
2. 打开默认数量选择器</x:v>
      </x:c>
      <x:c r="K534" s="9" t="str">
        <x:v>默认数量选项内容为1、10和100</x:v>
      </x:c>
      <x:c r="L534" s="10" t="str"/>
      <x:c r="M534" s="10" t="str">
        <x:v>未测</x:v>
      </x:c>
      <x:c r="N534" s="10" t="str"/>
      <x:c r="O534" s="9" t="str">
        <x:v>1. 来源（当前证据）：liveshow-proto/MainBasis/统一需求文档.md；位置：第2576行、第2572行、第2573行
2. 规则：BR-32455dfc41759617
3. 未动态验证</x:v>
      </x:c>
    </x:row>
    <x:row r="535" ht="100" customHeight="1">
      <x:c r="A535" s="10" t="n">
        <x:v>534</x:v>
      </x:c>
      <x:c r="B535" s="10" t="str">
        <x:v>ADMIN-0534</x:v>
      </x:c>
      <x:c r="C535" s="10" t="str">
        <x:v>礼物与道具</x:v>
      </x:c>
      <x:c r="D535" s="10" t="str">
        <x:v>购买份数配置详情（平台管理员）</x:v>
      </x:c>
      <x:c r="E535" s="10" t="str">
        <x:v>功能需求</x:v>
      </x:c>
      <x:c r="F535" s="10" t="str">
        <x:v>P1</x:v>
      </x:c>
      <x:c r="G535" s="9" t="str">
        <x:v>验证移除默认数量后重新校验</x:v>
      </x:c>
      <x:c r="H535" s="9" t="str">
        <x:v>默认值依赖校验</x:v>
      </x:c>
      <x:c r="I535" s="9" t="str">
        <x:v>1. 当前执行账号具有管理后台会话，身份为平台管理员；具体账号及权限变化按以下条件准备
2. 数量1、10、100，当前默认数量10</x:v>
      </x:c>
      <x:c r="J535" s="9" t="str">
        <x:v>1. 打开购买份数配置详情
2. 删除数量10
3. 点击“保存”</x:v>
      </x:c>
      <x:c r="K535" s="9" t="str">
        <x:v>不能保存默认数量为已删除的10</x:v>
      </x:c>
      <x:c r="L535" s="10" t="str"/>
      <x:c r="M535" s="10" t="str">
        <x:v>未测</x:v>
      </x:c>
      <x:c r="N535" s="10" t="str"/>
      <x:c r="O535" s="9" t="str">
        <x:v>1. 来源（当前证据）：liveshow-proto/MainBasis/统一需求文档.md；位置：第2579行、第2572行、第2573行
2. 规则：BR-c04aa55fb140a19a
3. 未动态验证</x:v>
      </x:c>
    </x:row>
    <x:row r="536" ht="100" customHeight="1">
      <x:c r="A536" s="10" t="n">
        <x:v>535</x:v>
      </x:c>
      <x:c r="B536" s="10" t="str">
        <x:v>ADMIN-0535</x:v>
      </x:c>
      <x:c r="C536" s="10" t="str">
        <x:v>礼物与道具</x:v>
      </x:c>
      <x:c r="D536" s="10" t="str">
        <x:v>购买份数配置详情（平台管理员）</x:v>
      </x:c>
      <x:c r="E536" s="10" t="str">
        <x:v>功能需求</x:v>
      </x:c>
      <x:c r="F536" s="10" t="str">
        <x:v>P1</x:v>
      </x:c>
      <x:c r="G536" s="9" t="str">
        <x:v>验证赠送数量排序保存</x:v>
      </x:c>
      <x:c r="H536" s="9" t="str">
        <x:v>赠送数量顺序</x:v>
      </x:c>
      <x:c r="I536" s="9" t="str">
        <x:v>1. 当前执行账号具有管理后台会话，身份为平台管理员；具体账号及权限变化按以下条件准备
2. 数量1、10、100，默认10，关联礼物G无冲突</x:v>
      </x:c>
      <x:c r="J536" s="9" t="str">
        <x:v>1. 打开购买份数配置详情
2. 拖动100到第一位
3. 点击“保存”</x:v>
      </x:c>
      <x:c r="K536" s="9" t="str">
        <x:v>数量顺序保存为100、1、10</x:v>
      </x:c>
      <x:c r="L536" s="10" t="str"/>
      <x:c r="M536" s="10" t="str">
        <x:v>未测</x:v>
      </x:c>
      <x:c r="N536" s="10" t="str"/>
      <x:c r="O536" s="9" t="str">
        <x:v>1. 来源（当前证据）：liveshow-proto/MainBasis/统一需求文档.md；位置：第2579行、第2572行、第2573行
2. 规则：BR-f0ee8cb5a450b4ef
3. 未动态验证</x:v>
      </x:c>
    </x:row>
    <x:row r="537" ht="115" customHeight="1">
      <x:c r="A537" s="10" t="n">
        <x:v>536</x:v>
      </x:c>
      <x:c r="B537" s="10" t="str">
        <x:v>ADMIN-0536</x:v>
      </x:c>
      <x:c r="C537" s="10" t="str">
        <x:v>运营配置</x:v>
      </x:c>
      <x:c r="D537" s="10" t="str">
        <x:v>充值套餐编辑（平台管理员）</x:v>
      </x:c>
      <x:c r="E537" s="10" t="str">
        <x:v>功能需求</x:v>
      </x:c>
      <x:c r="F537" s="10" t="str">
        <x:v>P1</x:v>
      </x:c>
      <x:c r="G537" s="9" t="str">
        <x:v>验证活动套餐限购次数-1</x:v>
      </x:c>
      <x:c r="H537" s="9" t="str">
        <x:v>限购次数边界</x:v>
      </x:c>
      <x:c r="I537" s="9" t="str">
        <x:v>1. 当前执行账号具有管理后台会话，身份为平台管理员；具体账号及权限变化按以下条件准备
2. 活动套餐A封面及有效期限已配置，基础100、赠送10、价格1USD</x:v>
      </x:c>
      <x:c r="J537" s="9" t="str">
        <x:v>1. 打开充值套餐编辑
2. 输入限购次数“-1”
3. 点击“保存”</x:v>
      </x:c>
      <x:c r="K537" s="9" t="str">
        <x:v>不保存非法限购次数</x:v>
      </x:c>
      <x:c r="L537" s="10" t="str"/>
      <x:c r="M537" s="10" t="str">
        <x:v>未测</x:v>
      </x:c>
      <x:c r="N537" s="10" t="str"/>
      <x:c r="O537" s="9" t="str">
        <x:v>1. 来源（当前证据）：liveshow-proto/MainBasis/统一需求文档.md；位置：第2654行、第2647行、第2648行
2. 规则：BR-7a80072f4795a037
3. 未动态验证</x:v>
      </x:c>
    </x:row>
    <x:row r="538" ht="115" customHeight="1">
      <x:c r="A538" s="10" t="n">
        <x:v>537</x:v>
      </x:c>
      <x:c r="B538" s="10" t="str">
        <x:v>ADMIN-0537</x:v>
      </x:c>
      <x:c r="C538" s="10" t="str">
        <x:v>运营配置</x:v>
      </x:c>
      <x:c r="D538" s="10" t="str">
        <x:v>充值套餐编辑（平台管理员）</x:v>
      </x:c>
      <x:c r="E538" s="10" t="str">
        <x:v>功能需求</x:v>
      </x:c>
      <x:c r="F538" s="10" t="str">
        <x:v>P1</x:v>
      </x:c>
      <x:c r="G538" s="9" t="str">
        <x:v>验证活动套餐限购次数0</x:v>
      </x:c>
      <x:c r="H538" s="9" t="str">
        <x:v>限购次数边界</x:v>
      </x:c>
      <x:c r="I538" s="9" t="str">
        <x:v>1. 当前执行账号具有管理后台会话，身份为平台管理员；具体账号及权限变化按以下条件准备
2. 活动套餐A封面及有效期限已配置，基础100、赠送10、价格1USD</x:v>
      </x:c>
      <x:c r="J538" s="9" t="str">
        <x:v>1. 打开充值套餐编辑
2. 输入限购次数“0”
3. 点击“保存”</x:v>
      </x:c>
      <x:c r="K538" s="9" t="str">
        <x:v>限购次数保存为0</x:v>
      </x:c>
      <x:c r="L538" s="10" t="str"/>
      <x:c r="M538" s="10" t="str">
        <x:v>未测</x:v>
      </x:c>
      <x:c r="N538" s="10" t="str"/>
      <x:c r="O538" s="9" t="str">
        <x:v>1. 来源（当前证据）：liveshow-proto/MainBasis/统一需求文档.md；位置：第2654行、第2647行、第2648行
2. 规则：BR-6266e9382d9bfdf1
3. 未动态验证</x:v>
      </x:c>
    </x:row>
    <x:row r="539" ht="115" customHeight="1">
      <x:c r="A539" s="10" t="n">
        <x:v>538</x:v>
      </x:c>
      <x:c r="B539" s="10" t="str">
        <x:v>ADMIN-0538</x:v>
      </x:c>
      <x:c r="C539" s="10" t="str">
        <x:v>运营配置</x:v>
      </x:c>
      <x:c r="D539" s="10" t="str">
        <x:v>充值套餐编辑（平台管理员）</x:v>
      </x:c>
      <x:c r="E539" s="10" t="str">
        <x:v>功能需求</x:v>
      </x:c>
      <x:c r="F539" s="10" t="str">
        <x:v>P1</x:v>
      </x:c>
      <x:c r="G539" s="9" t="str">
        <x:v>验证活动套餐限购次数1</x:v>
      </x:c>
      <x:c r="H539" s="9" t="str">
        <x:v>限购次数边界</x:v>
      </x:c>
      <x:c r="I539" s="9" t="str">
        <x:v>1. 当前执行账号具有管理后台会话，身份为平台管理员；具体账号及权限变化按以下条件准备
2. 活动套餐A封面及有效期限已配置，基础100、赠送10、价格1USD</x:v>
      </x:c>
      <x:c r="J539" s="9" t="str">
        <x:v>1. 打开充值套餐编辑
2. 输入限购次数“1”
3. 点击“保存”</x:v>
      </x:c>
      <x:c r="K539" s="9" t="str">
        <x:v>限购次数保存为1</x:v>
      </x:c>
      <x:c r="L539" s="10" t="str"/>
      <x:c r="M539" s="10" t="str">
        <x:v>未测</x:v>
      </x:c>
      <x:c r="N539" s="10" t="str"/>
      <x:c r="O539" s="9" t="str">
        <x:v>1. 来源（当前证据）：liveshow-proto/MainBasis/统一需求文档.md；位置：第2654行、第2647行、第2648行
2. 规则：BR-4e4e1de03d0fc4fd
3. 未动态验证</x:v>
      </x:c>
    </x:row>
    <x:row r="540" ht="115" customHeight="1">
      <x:c r="A540" s="10" t="n">
        <x:v>539</x:v>
      </x:c>
      <x:c r="B540" s="10" t="str">
        <x:v>ADMIN-0539</x:v>
      </x:c>
      <x:c r="C540" s="10" t="str">
        <x:v>运营配置</x:v>
      </x:c>
      <x:c r="D540" s="10" t="str">
        <x:v>充值套餐编辑（平台管理员）</x:v>
      </x:c>
      <x:c r="E540" s="10" t="str">
        <x:v>功能需求</x:v>
      </x:c>
      <x:c r="F540" s="10" t="str">
        <x:v>P1</x:v>
      </x:c>
      <x:c r="G540" s="9" t="str">
        <x:v>验证活动套餐限购次数1.5</x:v>
      </x:c>
      <x:c r="H540" s="9" t="str">
        <x:v>限购次数边界</x:v>
      </x:c>
      <x:c r="I540" s="9" t="str">
        <x:v>1. 当前执行账号具有管理后台会话，身份为平台管理员；具体账号及权限变化按以下条件准备
2. 活动套餐A封面及有效期限已配置，基础100、赠送10、价格1USD</x:v>
      </x:c>
      <x:c r="J540" s="9" t="str">
        <x:v>1. 打开充值套餐编辑
2. 输入限购次数“1.5”
3. 点击“保存”</x:v>
      </x:c>
      <x:c r="K540" s="9" t="str">
        <x:v>不保存非法限购次数</x:v>
      </x:c>
      <x:c r="L540" s="10" t="str"/>
      <x:c r="M540" s="10" t="str">
        <x:v>未测</x:v>
      </x:c>
      <x:c r="N540" s="10" t="str"/>
      <x:c r="O540" s="9" t="str">
        <x:v>1. 来源（当前证据）：liveshow-proto/MainBasis/统一需求文档.md；位置：第2654行、第2647行、第2648行
2. 规则：BR-f657b4ab432833c3
3. 未动态验证</x:v>
      </x:c>
    </x:row>
    <x:row r="541" ht="115" customHeight="1">
      <x:c r="A541" s="10" t="n">
        <x:v>540</x:v>
      </x:c>
      <x:c r="B541" s="10" t="str">
        <x:v>ADMIN-0540</x:v>
      </x:c>
      <x:c r="C541" s="10" t="str">
        <x:v>系统配置</x:v>
      </x:c>
      <x:c r="D541" s="10" t="str">
        <x:v>账号编辑（超级管理员）</x:v>
      </x:c>
      <x:c r="E541" s="10" t="str">
        <x:v>功能需求</x:v>
      </x:c>
      <x:c r="F541" s="10" t="str">
        <x:v>P1</x:v>
      </x:c>
      <x:c r="G541" s="9" t="str">
        <x:v>验证新建后台账号缺少初始密码</x:v>
      </x:c>
      <x:c r="H541" s="9" t="str">
        <x:v>后台账号必填</x:v>
      </x:c>
      <x:c r="I541" s="9" t="str">
        <x:v>1. 当前执行账号具有管理后台会话，身份为超级管理员；具体账号及权限变化按以下条件准备
2. 新账号qa_admin_a唯一，昵称已填写；所选角色R启用，初始密码符合当前密码策略</x:v>
      </x:c>
      <x:c r="J541" s="9" t="str">
        <x:v>1. 打开账号编辑
2. 清空初始密码
3. 点击“保存”</x:v>
      </x:c>
      <x:c r="K541" s="9" t="str">
        <x:v>不创建缺少初始密码的后台账号</x:v>
      </x:c>
      <x:c r="L541" s="10" t="str"/>
      <x:c r="M541" s="10" t="str">
        <x:v>未测</x:v>
      </x:c>
      <x:c r="N541" s="10" t="str"/>
      <x:c r="O541" s="9" t="str">
        <x:v>1. 来源（当前证据）：liveshow-proto/MainBasis/统一需求文档.md；位置：第3230行、第3224行、第3225行
2. 规则：BR-2399ad6066229ef9
3. 未动态验证</x:v>
      </x:c>
    </x:row>
    <x:row r="542" ht="115" customHeight="1">
      <x:c r="A542" s="10" t="n">
        <x:v>541</x:v>
      </x:c>
      <x:c r="B542" s="10" t="str">
        <x:v>ADMIN-0541</x:v>
      </x:c>
      <x:c r="C542" s="10" t="str">
        <x:v>系统配置</x:v>
      </x:c>
      <x:c r="D542" s="10" t="str">
        <x:v>账号编辑（超级管理员）</x:v>
      </x:c>
      <x:c r="E542" s="10" t="str">
        <x:v>功能需求</x:v>
      </x:c>
      <x:c r="F542" s="10" t="str">
        <x:v>P1</x:v>
      </x:c>
      <x:c r="G542" s="9" t="str">
        <x:v>验证新建后台账号缺少角色</x:v>
      </x:c>
      <x:c r="H542" s="9" t="str">
        <x:v>后台账号必填</x:v>
      </x:c>
      <x:c r="I542" s="9" t="str">
        <x:v>1. 当前执行账号具有管理后台会话，身份为超级管理员；具体账号及权限变化按以下条件准备
2. 新账号qa_admin_a唯一，昵称已填写；所选角色R启用，初始密码符合当前密码策略</x:v>
      </x:c>
      <x:c r="J542" s="9" t="str">
        <x:v>1. 打开账号编辑
2. 清空角色
3. 点击“保存”</x:v>
      </x:c>
      <x:c r="K542" s="9" t="str">
        <x:v>不创建缺少角色的后台账号</x:v>
      </x:c>
      <x:c r="L542" s="10" t="str"/>
      <x:c r="M542" s="10" t="str">
        <x:v>未测</x:v>
      </x:c>
      <x:c r="N542" s="10" t="str"/>
      <x:c r="O542" s="9" t="str">
        <x:v>1. 来源（当前证据）：liveshow-proto/MainBasis/统一需求文档.md；位置：第3229行、第3224行、第3225行
2. 规则：BR-ca51b60bca0cf894
3. 未动态验证</x:v>
      </x:c>
    </x:row>
    <x:row r="543" ht="100" customHeight="1">
      <x:c r="A543" s="10" t="n">
        <x:v>542</x:v>
      </x:c>
      <x:c r="B543" s="10" t="str">
        <x:v>ADMIN-0542</x:v>
      </x:c>
      <x:c r="C543" s="10" t="str">
        <x:v>系统配置</x:v>
      </x:c>
      <x:c r="D543" s="10" t="str">
        <x:v>账号编辑（超级管理员）</x:v>
      </x:c>
      <x:c r="E543" s="10" t="str">
        <x:v>功能需求</x:v>
      </x:c>
      <x:c r="F543" s="10" t="str">
        <x:v>P1</x:v>
      </x:c>
      <x:c r="G543" s="9" t="str">
        <x:v>验证重置后台密码两次不一致</x:v>
      </x:c>
      <x:c r="H543" s="9" t="str">
        <x:v>重置密码一致性</x:v>
      </x:c>
      <x:c r="I543" s="9" t="str">
        <x:v>1. 当前执行账号具有管理后台会话，身份为超级管理员；具体账号及权限变化按以下条件准备
2. 普通后台账号A存在，新密码NewPass12符合当前密码策略</x:v>
      </x:c>
      <x:c r="J543" s="9" t="str">
        <x:v>1. 打开账号编辑
2. 点击“重置密码”
3. 输入新密码“NewPass12”
4. 输入确认密码“Different12”
5. 点击“保存”</x:v>
      </x:c>
      <x:c r="K543" s="9" t="str">
        <x:v>不替换A原密码</x:v>
      </x:c>
      <x:c r="L543" s="10" t="str"/>
      <x:c r="M543" s="10" t="str">
        <x:v>未测</x:v>
      </x:c>
      <x:c r="N543" s="10" t="str"/>
      <x:c r="O543" s="9" t="str">
        <x:v>1. 来源（当前证据）：liveshow-proto/MainBasis/统一需求文档.md；位置：第3234行、第3231行、第3224行、第3225行
2. 规则：BR-d3a09694a698eb48
3. 未动态验证</x:v>
      </x:c>
    </x:row>
    <x:row r="544" ht="100" customHeight="1">
      <x:c r="A544" s="10" t="n">
        <x:v>543</x:v>
      </x:c>
      <x:c r="B544" s="10" t="str">
        <x:v>ADMIN-0543</x:v>
      </x:c>
      <x:c r="C544" s="10" t="str">
        <x:v>系统配置</x:v>
      </x:c>
      <x:c r="D544" s="10" t="str">
        <x:v>账号编辑（超级管理员）</x:v>
      </x:c>
      <x:c r="E544" s="10" t="str">
        <x:v>功能需求</x:v>
      </x:c>
      <x:c r="F544" s="10" t="str">
        <x:v>P1</x:v>
      </x:c>
      <x:c r="G544" s="9" t="str">
        <x:v>验证内置超管账号保护</x:v>
      </x:c>
      <x:c r="H544" s="9" t="str">
        <x:v>内置账号账号</x:v>
      </x:c>
      <x:c r="I544" s="9" t="str">
        <x:v>1. 当前执行账号具有管理后台会话，身份为超级管理员；具体账号及权限变化按以下条件准备
2. 当前详情属于系统内置超级管理员</x:v>
      </x:c>
      <x:c r="J544" s="9" t="str">
        <x:v>1. 打开账号编辑
2. 查看账号编辑区</x:v>
      </x:c>
      <x:c r="K544" s="9" t="str">
        <x:v>内置超管账号不可修改</x:v>
      </x:c>
      <x:c r="L544" s="10" t="str"/>
      <x:c r="M544" s="10" t="str">
        <x:v>未测</x:v>
      </x:c>
      <x:c r="N544" s="10" t="str"/>
      <x:c r="O544" s="9" t="str">
        <x:v>1. 来源（当前证据）：liveshow-proto/MainBasis/统一需求文档.md；位置：第3233行、第3224行、第3225行
2. 规则：BR-15a27d510ed149e5
3. 未动态验证</x:v>
      </x:c>
    </x:row>
    <x:row r="545" ht="100" customHeight="1">
      <x:c r="A545" s="10" t="n">
        <x:v>544</x:v>
      </x:c>
      <x:c r="B545" s="10" t="str">
        <x:v>ADMIN-0544</x:v>
      </x:c>
      <x:c r="C545" s="10" t="str">
        <x:v>系统配置</x:v>
      </x:c>
      <x:c r="D545" s="10" t="str">
        <x:v>账号编辑（超级管理员）</x:v>
      </x:c>
      <x:c r="E545" s="10" t="str">
        <x:v>功能需求</x:v>
      </x:c>
      <x:c r="F545" s="10" t="str">
        <x:v>P1</x:v>
      </x:c>
      <x:c r="G545" s="9" t="str">
        <x:v>验证内置超管角色保护</x:v>
      </x:c>
      <x:c r="H545" s="9" t="str">
        <x:v>内置账号角色</x:v>
      </x:c>
      <x:c r="I545" s="9" t="str">
        <x:v>1. 当前执行账号具有管理后台会话，身份为超级管理员；具体账号及权限变化按以下条件准备
2. 当前详情属于系统内置超级管理员</x:v>
      </x:c>
      <x:c r="J545" s="9" t="str">
        <x:v>1. 打开账号编辑
2. 查看角色编辑区</x:v>
      </x:c>
      <x:c r="K545" s="9" t="str">
        <x:v>内置超管角色不可修改</x:v>
      </x:c>
      <x:c r="L545" s="10" t="str"/>
      <x:c r="M545" s="10" t="str">
        <x:v>未测</x:v>
      </x:c>
      <x:c r="N545" s="10" t="str"/>
      <x:c r="O545" s="9" t="str">
        <x:v>1. 来源（当前证据）：liveshow-proto/MainBasis/统一需求文档.md；位置：第3233行、第3224行、第3225行
2. 规则：BR-a884a94c0af4d1c3
3. 未动态验证</x:v>
      </x:c>
    </x:row>
    <x:row r="546" ht="100" customHeight="1">
      <x:c r="A546" s="10" t="n">
        <x:v>545</x:v>
      </x:c>
      <x:c r="B546" s="10" t="str">
        <x:v>ADMIN-0545</x:v>
      </x:c>
      <x:c r="C546" s="10" t="str">
        <x:v>系统配置</x:v>
      </x:c>
      <x:c r="D546" s="10" t="str">
        <x:v>账号编辑（超级管理员）</x:v>
      </x:c>
      <x:c r="E546" s="10" t="str">
        <x:v>功能需求</x:v>
      </x:c>
      <x:c r="F546" s="10" t="str">
        <x:v>P1</x:v>
      </x:c>
      <x:c r="G546" s="9" t="str">
        <x:v>验证内置超管状态保护</x:v>
      </x:c>
      <x:c r="H546" s="9" t="str">
        <x:v>内置账号状态</x:v>
      </x:c>
      <x:c r="I546" s="9" t="str">
        <x:v>1. 当前执行账号具有管理后台会话，身份为超级管理员；具体账号及权限变化按以下条件准备
2. 当前详情属于系统内置超级管理员</x:v>
      </x:c>
      <x:c r="J546" s="9" t="str">
        <x:v>1. 打开账号编辑
2. 查看状态编辑区</x:v>
      </x:c>
      <x:c r="K546" s="9" t="str">
        <x:v>内置超管状态不可修改</x:v>
      </x:c>
      <x:c r="L546" s="10" t="str"/>
      <x:c r="M546" s="10" t="str">
        <x:v>未测</x:v>
      </x:c>
      <x:c r="N546" s="10" t="str"/>
      <x:c r="O546" s="9" t="str">
        <x:v>1. 来源（当前证据）：liveshow-proto/MainBasis/统一需求文档.md；位置：第3233行、第3224行、第3225行
2. 规则：BR-e36ca54b5b8711e1
3. 未动态验证</x:v>
      </x:c>
    </x:row>
    <x:row r="547" ht="100" customHeight="1">
      <x:c r="A547" s="10" t="n">
        <x:v>546</x:v>
      </x:c>
      <x:c r="B547" s="10" t="str">
        <x:v>ADMIN-0546</x:v>
      </x:c>
      <x:c r="C547" s="10" t="str">
        <x:v>数据报表</x:v>
      </x:c>
      <x:c r="D547" s="10" t="str">
        <x:v>报表中心（普通后台账号）</x:v>
      </x:c>
      <x:c r="E547" s="10" t="str">
        <x:v>功能需求</x:v>
      </x:c>
      <x:c r="F547" s="10" t="str">
        <x:v>P0</x:v>
      </x:c>
      <x:c r="G547" s="9" t="str">
        <x:v>验证报表权限启用控制入口</x:v>
      </x:c>
      <x:c r="H547" s="9" t="str">
        <x:v>报表入口权限</x:v>
      </x:c>
      <x:c r="I547" s="9" t="str">
        <x:v>1. 当前执行账号具有管理后台会话，身份为普通后台账号；具体账号及权限变化按以下条件准备
2. 普通后台账号A仅由角色R获得报表X权限；权限已启用</x:v>
      </x:c>
      <x:c r="J547" s="9" t="str">
        <x:v>1. 打开报表中心
2. 查看报表X入口</x:v>
      </x:c>
      <x:c r="K547" s="9" t="str">
        <x:v>展示报表X入口</x:v>
      </x:c>
      <x:c r="L547" s="10" t="str"/>
      <x:c r="M547" s="10" t="str">
        <x:v>未测</x:v>
      </x:c>
      <x:c r="N547" s="10" t="str"/>
      <x:c r="O547" s="9" t="str">
        <x:v>1. 来源（当前证据）：liveshow-proto/MainBasis/统一需求文档.md；位置：第2954行、第2949行、第2950行
2. 规则：BR-ac89ea96c1e9a584
3. 未动态验证</x:v>
      </x:c>
    </x:row>
    <x:row r="548" ht="100" customHeight="1">
      <x:c r="A548" s="10" t="n">
        <x:v>547</x:v>
      </x:c>
      <x:c r="B548" s="10" t="str">
        <x:v>ADMIN-0547</x:v>
      </x:c>
      <x:c r="C548" s="10" t="str">
        <x:v>数据报表</x:v>
      </x:c>
      <x:c r="D548" s="10" t="str">
        <x:v>报表中心（普通后台账号）</x:v>
      </x:c>
      <x:c r="E548" s="10" t="str">
        <x:v>功能需求</x:v>
      </x:c>
      <x:c r="F548" s="10" t="str">
        <x:v>P0</x:v>
      </x:c>
      <x:c r="G548" s="9" t="str">
        <x:v>验证报表权限停用控制入口</x:v>
      </x:c>
      <x:c r="H548" s="9" t="str">
        <x:v>报表入口权限</x:v>
      </x:c>
      <x:c r="I548" s="9" t="str">
        <x:v>1. 当前执行账号具有管理后台会话，身份为普通后台账号；具体账号及权限变化按以下条件准备
2. 普通后台账号A仅由角色R获得报表X权限；权限已停用</x:v>
      </x:c>
      <x:c r="J548" s="9" t="str">
        <x:v>1. 打开报表中心
2. 查看报表X入口</x:v>
      </x:c>
      <x:c r="K548" s="9" t="str">
        <x:v>不展示报表X入口</x:v>
      </x:c>
      <x:c r="L548" s="10" t="str"/>
      <x:c r="M548" s="10" t="str">
        <x:v>未测</x:v>
      </x:c>
      <x:c r="N548" s="10" t="str"/>
      <x:c r="O548" s="9" t="str">
        <x:v>1. 来源（当前证据）：liveshow-proto/MainBasis/统一需求文档.md；位置：第2954行、第2949行、第2950行
2. 规则：BR-ecaf7b2f885b25ce
3. 未动态验证</x:v>
      </x:c>
    </x:row>
    <x:row r="549" ht="85" customHeight="1">
      <x:c r="A549" s="10" t="n">
        <x:v>548</x:v>
      </x:c>
      <x:c r="B549" s="10" t="str">
        <x:v>ADMIN-0548</x:v>
      </x:c>
      <x:c r="C549" s="10" t="str">
        <x:v>礼物与道具</x:v>
      </x:c>
      <x:c r="D549" s="10" t="str">
        <x:v>道具配置（平台管理员）</x:v>
      </x:c>
      <x:c r="E549" s="10" t="str">
        <x:v>功能需求</x:v>
      </x:c>
      <x:c r="F549" s="10" t="str">
        <x:v>P1</x:v>
      </x:c>
      <x:c r="G549" s="9" t="str">
        <x:v>验证从道具分类进入新增表单</x:v>
      </x:c>
      <x:c r="H549" s="9" t="str">
        <x:v>道具类型默认</x:v>
      </x:c>
      <x:c r="I549" s="9" t="str">
        <x:v>1. 当前执行账号具有管理后台会话，身份为平台管理员；具体账号及权限变化按以下条件准备
2. 当前选择头像框Tab</x:v>
      </x:c>
      <x:c r="J549" s="9" t="str">
        <x:v>1. 打开道具配置
2. 点击“新增”</x:v>
      </x:c>
      <x:c r="K549" s="9" t="str">
        <x:v>新建道具默认类型为头像框</x:v>
      </x:c>
      <x:c r="L549" s="10" t="str"/>
      <x:c r="M549" s="10" t="str">
        <x:v>未测</x:v>
      </x:c>
      <x:c r="N549" s="10" t="str"/>
      <x:c r="O549" s="9" t="str">
        <x:v>1. 来源（当前证据）：liveshow-proto/MainBasis/统一需求文档.md；位置：第2543行、第2531行、第2532行
2. 规则：BR-3ac2de6a5e759fb8
3. 未动态验证</x:v>
      </x:c>
    </x:row>
    <x:row r="550" ht="100" customHeight="1">
      <x:c r="A550" s="10" t="n">
        <x:v>549</x:v>
      </x:c>
      <x:c r="B550" s="10" t="str">
        <x:v>ADMIN-0549</x:v>
      </x:c>
      <x:c r="C550" s="10" t="str">
        <x:v>礼物与道具</x:v>
      </x:c>
      <x:c r="D550" s="10" t="str">
        <x:v>道具配置（平台管理员）</x:v>
      </x:c>
      <x:c r="E550" s="10" t="str">
        <x:v>功能需求</x:v>
      </x:c>
      <x:c r="F550" s="10" t="str">
        <x:v>P1</x:v>
      </x:c>
      <x:c r="G550" s="9" t="str">
        <x:v>验证自定义道具类型缺少中文名称</x:v>
      </x:c>
      <x:c r="H550" s="9" t="str">
        <x:v>道具类型四语必填</x:v>
      </x:c>
      <x:c r="I550" s="9" t="str">
        <x:v>1. 当前执行账号具有管理后台会话，身份为平台管理员；具体账号及权限变化按以下条件准备
2. 正在创建自定义道具类型，其他三语名称已填且无重复</x:v>
      </x:c>
      <x:c r="J550" s="9" t="str">
        <x:v>1. 打开道具配置
2. 清空中文名称
3. 点击“保存”</x:v>
      </x:c>
      <x:c r="K550" s="9" t="str">
        <x:v>不创建缺少四语名称的类型</x:v>
      </x:c>
      <x:c r="L550" s="10" t="str"/>
      <x:c r="M550" s="10" t="str">
        <x:v>未测</x:v>
      </x:c>
      <x:c r="N550" s="10" t="str"/>
      <x:c r="O550" s="9" t="str">
        <x:v>1. 来源（当前证据）：liveshow-proto/MainBasis/统一需求文档.md；位置：第2534行、第2531行、第2532行
2. 规则：BR-4d8733d866899d44
3. 未动态验证</x:v>
      </x:c>
    </x:row>
    <x:row r="551" ht="100" customHeight="1">
      <x:c r="A551" s="10" t="n">
        <x:v>550</x:v>
      </x:c>
      <x:c r="B551" s="10" t="str">
        <x:v>ADMIN-0550</x:v>
      </x:c>
      <x:c r="C551" s="10" t="str">
        <x:v>礼物与道具</x:v>
      </x:c>
      <x:c r="D551" s="10" t="str">
        <x:v>道具配置（平台管理员）</x:v>
      </x:c>
      <x:c r="E551" s="10" t="str">
        <x:v>功能需求</x:v>
      </x:c>
      <x:c r="F551" s="10" t="str">
        <x:v>P1</x:v>
      </x:c>
      <x:c r="G551" s="9" t="str">
        <x:v>验证自定义道具类型缺少英文名称</x:v>
      </x:c>
      <x:c r="H551" s="9" t="str">
        <x:v>道具类型四语必填</x:v>
      </x:c>
      <x:c r="I551" s="9" t="str">
        <x:v>1. 当前执行账号具有管理后台会话，身份为平台管理员；具体账号及权限变化按以下条件准备
2. 正在创建自定义道具类型，其他三语名称已填且无重复</x:v>
      </x:c>
      <x:c r="J551" s="9" t="str">
        <x:v>1. 打开道具配置
2. 清空英文名称
3. 点击“保存”</x:v>
      </x:c>
      <x:c r="K551" s="9" t="str">
        <x:v>不创建缺少四语名称的类型</x:v>
      </x:c>
      <x:c r="L551" s="10" t="str"/>
      <x:c r="M551" s="10" t="str">
        <x:v>未测</x:v>
      </x:c>
      <x:c r="N551" s="10" t="str"/>
      <x:c r="O551" s="9" t="str">
        <x:v>1. 来源（当前证据）：liveshow-proto/MainBasis/统一需求文档.md；位置：第2534行、第2531行、第2532行
2. 规则：BR-8ae0515eb1d5b986
3. 未动态验证</x:v>
      </x:c>
    </x:row>
    <x:row r="552" ht="100" customHeight="1">
      <x:c r="A552" s="10" t="n">
        <x:v>551</x:v>
      </x:c>
      <x:c r="B552" s="10" t="str">
        <x:v>ADMIN-0551</x:v>
      </x:c>
      <x:c r="C552" s="10" t="str">
        <x:v>礼物与道具</x:v>
      </x:c>
      <x:c r="D552" s="10" t="str">
        <x:v>道具配置（平台管理员）</x:v>
      </x:c>
      <x:c r="E552" s="10" t="str">
        <x:v>功能需求</x:v>
      </x:c>
      <x:c r="F552" s="10" t="str">
        <x:v>P1</x:v>
      </x:c>
      <x:c r="G552" s="9" t="str">
        <x:v>验证自定义道具类型缺少印尼语名称</x:v>
      </x:c>
      <x:c r="H552" s="9" t="str">
        <x:v>道具类型四语必填</x:v>
      </x:c>
      <x:c r="I552" s="9" t="str">
        <x:v>1. 当前执行账号具有管理后台会话，身份为平台管理员；具体账号及权限变化按以下条件准备
2. 正在创建自定义道具类型，其他三语名称已填且无重复</x:v>
      </x:c>
      <x:c r="J552" s="9" t="str">
        <x:v>1. 打开道具配置
2. 清空印尼语名称
3. 点击“保存”</x:v>
      </x:c>
      <x:c r="K552" s="9" t="str">
        <x:v>不创建缺少四语名称的类型</x:v>
      </x:c>
      <x:c r="L552" s="10" t="str"/>
      <x:c r="M552" s="10" t="str">
        <x:v>未测</x:v>
      </x:c>
      <x:c r="N552" s="10" t="str"/>
      <x:c r="O552" s="9" t="str">
        <x:v>1. 来源（当前证据）：liveshow-proto/MainBasis/统一需求文档.md；位置：第2534行、第2531行、第2532行
2. 规则：BR-272519ef2a4b6718
3. 未动态验证</x:v>
      </x:c>
    </x:row>
    <x:row r="553" ht="100" customHeight="1">
      <x:c r="A553" s="10" t="n">
        <x:v>552</x:v>
      </x:c>
      <x:c r="B553" s="10" t="str">
        <x:v>ADMIN-0552</x:v>
      </x:c>
      <x:c r="C553" s="10" t="str">
        <x:v>礼物与道具</x:v>
      </x:c>
      <x:c r="D553" s="10" t="str">
        <x:v>道具配置（平台管理员）</x:v>
      </x:c>
      <x:c r="E553" s="10" t="str">
        <x:v>功能需求</x:v>
      </x:c>
      <x:c r="F553" s="10" t="str">
        <x:v>P1</x:v>
      </x:c>
      <x:c r="G553" s="9" t="str">
        <x:v>验证自定义道具类型缺少马来语名称</x:v>
      </x:c>
      <x:c r="H553" s="9" t="str">
        <x:v>道具类型四语必填</x:v>
      </x:c>
      <x:c r="I553" s="9" t="str">
        <x:v>1. 当前执行账号具有管理后台会话，身份为平台管理员；具体账号及权限变化按以下条件准备
2. 正在创建自定义道具类型，其他三语名称已填且无重复</x:v>
      </x:c>
      <x:c r="J553" s="9" t="str">
        <x:v>1. 打开道具配置
2. 清空马来语名称
3. 点击“保存”</x:v>
      </x:c>
      <x:c r="K553" s="9" t="str">
        <x:v>不创建缺少四语名称的类型</x:v>
      </x:c>
      <x:c r="L553" s="10" t="str"/>
      <x:c r="M553" s="10" t="str">
        <x:v>未测</x:v>
      </x:c>
      <x:c r="N553" s="10" t="str"/>
      <x:c r="O553" s="9" t="str">
        <x:v>1. 来源（当前证据）：liveshow-proto/MainBasis/统一需求文档.md；位置：第2534行、第2531行、第2532行
2. 规则：BR-ec4d5a09086c0bce
3. 未动态验证</x:v>
      </x:c>
    </x:row>
    <x:row r="554" ht="115" customHeight="1">
      <x:c r="A554" s="10" t="n">
        <x:v>553</x:v>
      </x:c>
      <x:c r="B554" s="10" t="str">
        <x:v>ADMIN-0553</x:v>
      </x:c>
      <x:c r="C554" s="10" t="str">
        <x:v>礼物与道具</x:v>
      </x:c>
      <x:c r="D554" s="10" t="str">
        <x:v>道具配置（平台管理员）</x:v>
      </x:c>
      <x:c r="E554" s="10" t="str">
        <x:v>功能需求</x:v>
      </x:c>
      <x:c r="F554" s="10" t="str">
        <x:v>P1</x:v>
      </x:c>
      <x:c r="G554" s="9" t="str">
        <x:v>验证自定义道具类型同语言重复</x:v>
      </x:c>
      <x:c r="H554" s="9" t="str">
        <x:v>道具类型名称唯一</x:v>
      </x:c>
      <x:c r="I554" s="9" t="str">
        <x:v>1. 当前执行账号具有管理后台会话，身份为平台管理员；具体账号及权限变化按以下条件准备
2. 已有类型T的中文名测试类型；待新建类型U其他三语名称完整</x:v>
      </x:c>
      <x:c r="J554" s="9" t="str">
        <x:v>1. 打开道具配置
2. 输入中文名称“测试类型”
3. 点击“保存”</x:v>
      </x:c>
      <x:c r="K554" s="9" t="str">
        <x:v>不保存同语言重复类型名</x:v>
      </x:c>
      <x:c r="L554" s="10" t="str"/>
      <x:c r="M554" s="10" t="str">
        <x:v>未测</x:v>
      </x:c>
      <x:c r="N554" s="10" t="str"/>
      <x:c r="O554" s="9" t="str">
        <x:v>1. 来源（当前证据）：liveshow-proto/MainBasis/统一需求文档.md；位置：第2534行、第2531行、第2532行
2. 规则：BR-404903ede96aaa29
3. 未动态验证</x:v>
      </x:c>
    </x:row>
    <x:row r="555" ht="100" customHeight="1">
      <x:c r="A555" s="10" t="n">
        <x:v>554</x:v>
      </x:c>
      <x:c r="B555" s="10" t="str">
        <x:v>ADMIN-0554</x:v>
      </x:c>
      <x:c r="C555" s="10" t="str">
        <x:v>礼物与道具</x:v>
      </x:c>
      <x:c r="D555" s="10" t="str">
        <x:v>道具配置（平台管理员）</x:v>
      </x:c>
      <x:c r="E555" s="10" t="str">
        <x:v>功能需求</x:v>
      </x:c>
      <x:c r="F555" s="10" t="str">
        <x:v>P1</x:v>
      </x:c>
      <x:c r="G555" s="9" t="str">
        <x:v>验证头像框分类筛选</x:v>
      </x:c>
      <x:c r="H555" s="9" t="str">
        <x:v>道具类型范围</x:v>
      </x:c>
      <x:c r="I555" s="9" t="str">
        <x:v>1. 当前执行账号具有管理后台会话，身份为平台管理员；具体账号及权限变化按以下条件准备
2. 头像框A、聊天气泡B均已配置</x:v>
      </x:c>
      <x:c r="J555" s="9" t="str">
        <x:v>1. 打开道具配置
2. 切换“头像框”</x:v>
      </x:c>
      <x:c r="K555" s="9" t="str">
        <x:v>只显示头像框类型的道具</x:v>
      </x:c>
      <x:c r="L555" s="10" t="str"/>
      <x:c r="M555" s="10" t="str">
        <x:v>未测</x:v>
      </x:c>
      <x:c r="N555" s="10" t="str"/>
      <x:c r="O555" s="9" t="str">
        <x:v>1. 来源（当前证据）：liveshow-proto/MainBasis/统一需求文档.md；位置：第2540行、第2531行、第2532行
2. 规则：BR-abe5be7ef26c26ca
3. 未动态验证</x:v>
      </x:c>
    </x:row>
    <x:row r="556" ht="100" customHeight="1">
      <x:c r="A556" s="10" t="n">
        <x:v>555</x:v>
      </x:c>
      <x:c r="B556" s="10" t="str">
        <x:v>ADMIN-0555</x:v>
      </x:c>
      <x:c r="C556" s="10" t="str">
        <x:v>礼物与道具</x:v>
      </x:c>
      <x:c r="D556" s="10" t="str">
        <x:v>道具配置（平台管理员）</x:v>
      </x:c>
      <x:c r="E556" s="10" t="str">
        <x:v>功能需求</x:v>
      </x:c>
      <x:c r="F556" s="10" t="str">
        <x:v>P1</x:v>
      </x:c>
      <x:c r="G556" s="9" t="str">
        <x:v>验证聊天气泡分类筛选</x:v>
      </x:c>
      <x:c r="H556" s="9" t="str">
        <x:v>道具类型范围</x:v>
      </x:c>
      <x:c r="I556" s="9" t="str">
        <x:v>1. 当前执行账号具有管理后台会话，身份为平台管理员；具体账号及权限变化按以下条件准备
2. 头像框A、聊天气泡B均已配置</x:v>
      </x:c>
      <x:c r="J556" s="9" t="str">
        <x:v>1. 打开道具配置
2. 切换“聊天气泡”</x:v>
      </x:c>
      <x:c r="K556" s="9" t="str">
        <x:v>只显示聊天气泡类型的道具</x:v>
      </x:c>
      <x:c r="L556" s="10" t="str"/>
      <x:c r="M556" s="10" t="str">
        <x:v>未测</x:v>
      </x:c>
      <x:c r="N556" s="10" t="str"/>
      <x:c r="O556" s="9" t="str">
        <x:v>1. 来源（当前证据）：liveshow-proto/MainBasis/统一需求文档.md；位置：第2540行、第2531行、第2532行
2. 规则：BR-b37d398bf67b9114
3. 未动态验证</x:v>
      </x:c>
    </x:row>
    <x:row r="557" ht="115" customHeight="1">
      <x:c r="A557" s="10" t="n">
        <x:v>556</x:v>
      </x:c>
      <x:c r="B557" s="10" t="str">
        <x:v>ADMIN-0556</x:v>
      </x:c>
      <x:c r="C557" s="10" t="str">
        <x:v>财务结算</x:v>
      </x:c>
      <x:c r="D557" s="10" t="str">
        <x:v>充值订单（平台管理员）</x:v>
      </x:c>
      <x:c r="E557" s="10" t="str">
        <x:v>逻辑校验</x:v>
      </x:c>
      <x:c r="F557" s="10" t="str">
        <x:v>P0</x:v>
      </x:c>
      <x:c r="G557" s="9" t="str">
        <x:v>验证充值订单到账金币明细核对</x:v>
      </x:c>
      <x:c r="H557" s="9" t="str">
        <x:v>到账金币明细公式</x:v>
      </x:c>
      <x:c r="I557" s="9" t="str">
        <x:v>1. 当前执行账号具有管理后台会话，身份为平台管理员；具体账号及权限变化按以下条件准备
2. 订单R基础100金币、赠送10金币，已成功到账；退款场景对应R已完成全额退款</x:v>
      </x:c>
      <x:c r="J557" s="9" t="str">
        <x:v>1. 打开充值订单
2. 查看R的到账金币</x:v>
      </x:c>
      <x:c r="K557" s="9" t="str">
        <x:v>到账金币=110</x:v>
      </x:c>
      <x:c r="L557" s="10" t="str"/>
      <x:c r="M557" s="10" t="str">
        <x:v>未测</x:v>
      </x:c>
      <x:c r="N557" s="10" t="str"/>
      <x:c r="O557" s="9" t="str">
        <x:v>1. 来源（当前证据）：liveshow-proto/MainBasis/统一需求文档.md；位置：第2788行、第2782行、第2783行
2. 规则：BR-6a69c92ff61642d2
3. 未动态验证</x:v>
      </x:c>
    </x:row>
    <x:row r="558" ht="115" customHeight="1">
      <x:c r="A558" s="10" t="n">
        <x:v>557</x:v>
      </x:c>
      <x:c r="B558" s="10" t="str">
        <x:v>ADMIN-0557</x:v>
      </x:c>
      <x:c r="C558" s="10" t="str">
        <x:v>财务结算</x:v>
      </x:c>
      <x:c r="D558" s="10" t="str">
        <x:v>充值订单详情（平台管理员）</x:v>
      </x:c>
      <x:c r="E558" s="10" t="str">
        <x:v>逻辑校验</x:v>
      </x:c>
      <x:c r="F558" s="10" t="str">
        <x:v>P0</x:v>
      </x:c>
      <x:c r="G558" s="9" t="str">
        <x:v>验证充值订单详情总到账金币明细核对</x:v>
      </x:c>
      <x:c r="H558" s="9" t="str">
        <x:v>总到账金币明细公式</x:v>
      </x:c>
      <x:c r="I558" s="9" t="str">
        <x:v>1. 当前执行账号具有管理后台会话，身份为平台管理员；具体账号及权限变化按以下条件准备
2. 订单R基础100金币、赠送10金币，已成功到账；退款场景对应R已完成全额退款</x:v>
      </x:c>
      <x:c r="J558" s="9" t="str">
        <x:v>1. 打开充值订单详情
2. 查看R的总到账金币</x:v>
      </x:c>
      <x:c r="K558" s="9" t="str">
        <x:v>总到账金币=110</x:v>
      </x:c>
      <x:c r="L558" s="10" t="str"/>
      <x:c r="M558" s="10" t="str">
        <x:v>未测</x:v>
      </x:c>
      <x:c r="N558" s="10" t="str"/>
      <x:c r="O558" s="9" t="str">
        <x:v>1. 来源（当前证据）：liveshow-proto/MainBasis/统一需求文档.md；位置：第2799行、第2794行、第2795行
2. 规则：BR-c7f01b33d6551ac8
3. 未动态验证</x:v>
      </x:c>
    </x:row>
    <x:row r="559" ht="115" customHeight="1">
      <x:c r="A559" s="10" t="n">
        <x:v>558</x:v>
      </x:c>
      <x:c r="B559" s="10" t="str">
        <x:v>ADMIN-0558</x:v>
      </x:c>
      <x:c r="C559" s="10" t="str">
        <x:v>财务结算</x:v>
      </x:c>
      <x:c r="D559" s="10" t="str">
        <x:v>退款订单（平台管理员）</x:v>
      </x:c>
      <x:c r="E559" s="10" t="str">
        <x:v>逻辑校验</x:v>
      </x:c>
      <x:c r="F559" s="10" t="str">
        <x:v>P0</x:v>
      </x:c>
      <x:c r="G559" s="9" t="str">
        <x:v>验证退款订单扣回金币明细核对</x:v>
      </x:c>
      <x:c r="H559" s="9" t="str">
        <x:v>扣回金币明细公式</x:v>
      </x:c>
      <x:c r="I559" s="9" t="str">
        <x:v>1. 当前执行账号具有管理后台会话，身份为平台管理员；具体账号及权限变化按以下条件准备
2. 订单R基础100金币、赠送10金币，已成功到账；退款场景对应R已完成全额退款</x:v>
      </x:c>
      <x:c r="J559" s="9" t="str">
        <x:v>1. 打开退款订单
2. 查看R的扣回金币</x:v>
      </x:c>
      <x:c r="K559" s="9" t="str">
        <x:v>扣回金币=110</x:v>
      </x:c>
      <x:c r="L559" s="10" t="str"/>
      <x:c r="M559" s="10" t="str">
        <x:v>未测</x:v>
      </x:c>
      <x:c r="N559" s="10" t="str"/>
      <x:c r="O559" s="9" t="str">
        <x:v>1. 来源（当前证据）：liveshow-proto/MainBasis/统一需求文档.md；位置：第2844行、第2836行、第2837行
2. 规则：BR-545edc02c5b2df95
3. 未动态验证</x:v>
      </x:c>
    </x:row>
    <x:row r="560" ht="130" customHeight="1">
      <x:c r="A560" s="10" t="n">
        <x:v>559</x:v>
      </x:c>
      <x:c r="B560" s="10" t="str">
        <x:v>ADMIN-0559</x:v>
      </x:c>
      <x:c r="C560" s="10" t="str">
        <x:v>运营账号</x:v>
      </x:c>
      <x:c r="D560" s="10" t="str">
        <x:v>账号列表（平台管理员）</x:v>
      </x:c>
      <x:c r="E560" s="10" t="str">
        <x:v>逻辑校验</x:v>
      </x:c>
      <x:c r="F560" s="10" t="str">
        <x:v>P0</x:v>
      </x:c>
      <x:c r="G560" s="9" t="str">
        <x:v>验证账号列表账户余额明细核对</x:v>
      </x:c>
      <x:c r="H560" s="9" t="str">
        <x:v>账户余额明细公式</x:v>
      </x:c>
      <x:c r="I560" s="9" t="str">
        <x:v>1. 当前执行账号具有管理后台会话，身份为平台管理员；具体账号及权限变化按以下条件准备
2. 当前运营账号成功发放100、成功消费30虚拟金币，失败20不计
3. 本例运营账号编号为R</x:v>
      </x:c>
      <x:c r="J560" s="9" t="str">
        <x:v>1. 打开账号列表
2. 查看R账号的账户余额</x:v>
      </x:c>
      <x:c r="K560" s="9" t="str">
        <x:v>账户余额=70</x:v>
      </x:c>
      <x:c r="L560" s="10" t="str"/>
      <x:c r="M560" s="10" t="str">
        <x:v>未测</x:v>
      </x:c>
      <x:c r="N560" s="10" t="str"/>
      <x:c r="O560" s="9" t="str">
        <x:v>1. 来源（当前证据）：liveshow-proto/MainBasis/统一需求文档.md；位置：第3145行、第3140行、第3141行
2. 规则：BR-e9a059e5f6035c2f
3. 未动态验证</x:v>
      </x:c>
    </x:row>
    <x:row r="561" ht="130" customHeight="1">
      <x:c r="A561" s="10" t="n">
        <x:v>560</x:v>
      </x:c>
      <x:c r="B561" s="10" t="str">
        <x:v>ADMIN-0560</x:v>
      </x:c>
      <x:c r="C561" s="10" t="str">
        <x:v>运营账号</x:v>
      </x:c>
      <x:c r="D561" s="10" t="str">
        <x:v>运营账号主页（平台管理员）</x:v>
      </x:c>
      <x:c r="E561" s="10" t="str">
        <x:v>逻辑校验</x:v>
      </x:c>
      <x:c r="F561" s="10" t="str">
        <x:v>P0</x:v>
      </x:c>
      <x:c r="G561" s="9" t="str">
        <x:v>验证运营账号主页虚拟金币余额明细核对</x:v>
      </x:c>
      <x:c r="H561" s="9" t="str">
        <x:v>虚拟金币余额明细公式</x:v>
      </x:c>
      <x:c r="I561" s="9" t="str">
        <x:v>1. 当前执行账号具有管理后台会话，身份为平台管理员；具体账号及权限变化按以下条件准备
2. 当前运营账号成功发放100、成功消费30虚拟金币，失败20不计
3. 本例运营账号编号为R</x:v>
      </x:c>
      <x:c r="J561" s="9" t="str">
        <x:v>1. 打开运营账号主页
2. 查看R账号的虚拟金币余额</x:v>
      </x:c>
      <x:c r="K561" s="9" t="str">
        <x:v>虚拟金币余额=70</x:v>
      </x:c>
      <x:c r="L561" s="10" t="str"/>
      <x:c r="M561" s="10" t="str">
        <x:v>未测</x:v>
      </x:c>
      <x:c r="N561" s="10" t="str"/>
      <x:c r="O561" s="9" t="str">
        <x:v>1. 来源（当前证据）：liveshow-proto/MainBasis/统一需求文档.md；位置：第3159行、第3155行、第3156行
2. 规则：BR-5a7a0f2957e92337
3. 未动态验证</x:v>
      </x:c>
    </x:row>
    <x:row r="562" ht="115" customHeight="1">
      <x:c r="A562" s="10" t="n">
        <x:v>561</x:v>
      </x:c>
      <x:c r="B562" s="10" t="str">
        <x:v>ADMIN-0561</x:v>
      </x:c>
      <x:c r="C562" s="10" t="str">
        <x:v>财务结算</x:v>
      </x:c>
      <x:c r="D562" s="10" t="str">
        <x:v>主播分成记录详情（平台管理员）</x:v>
      </x:c>
      <x:c r="E562" s="10" t="str">
        <x:v>功能需求</x:v>
      </x:c>
      <x:c r="F562" s="10" t="str">
        <x:v>P1</x:v>
      </x:c>
      <x:c r="G562" s="9" t="str">
        <x:v>验证主播分成批次人数</x:v>
      </x:c>
      <x:c r="H562" s="9" t="str">
        <x:v>批次对象计数</x:v>
      </x:c>
      <x:c r="I562" s="9" t="str">
        <x:v>1. 当前执行账号具有管理后台会话，身份为平台管理员；具体账号及权限变化按以下条件准备
2. 批次A含对象B和对象C各一条有效明细，另有其他批次的对象D</x:v>
      </x:c>
      <x:c r="J562" s="9" t="str">
        <x:v>1. 打开主播分成记录详情
2. 查看批次A对象数量</x:v>
      </x:c>
      <x:c r="K562" s="9" t="str">
        <x:v>主播数量为2</x:v>
      </x:c>
      <x:c r="L562" s="10" t="str"/>
      <x:c r="M562" s="10" t="str">
        <x:v>未测</x:v>
      </x:c>
      <x:c r="N562" s="10" t="str"/>
      <x:c r="O562" s="9" t="str">
        <x:v>1. 来源（当前证据）：liveshow-proto/MainBasis/统一需求文档.md；位置：第2869行、第2865行、第2866行
2. 规则：BR-8e3ec0bdd921454e
3. 未动态验证</x:v>
      </x:c>
    </x:row>
    <x:row r="563" ht="115" customHeight="1">
      <x:c r="A563" s="10" t="n">
        <x:v>562</x:v>
      </x:c>
      <x:c r="B563" s="10" t="str">
        <x:v>ADMIN-0562</x:v>
      </x:c>
      <x:c r="C563" s="10" t="str">
        <x:v>财务结算</x:v>
      </x:c>
      <x:c r="D563" s="10" t="str">
        <x:v>公会分成记录详情（平台管理员）</x:v>
      </x:c>
      <x:c r="E563" s="10" t="str">
        <x:v>功能需求</x:v>
      </x:c>
      <x:c r="F563" s="10" t="str">
        <x:v>P1</x:v>
      </x:c>
      <x:c r="G563" s="9" t="str">
        <x:v>验证公会分成批次人数</x:v>
      </x:c>
      <x:c r="H563" s="9" t="str">
        <x:v>批次对象计数</x:v>
      </x:c>
      <x:c r="I563" s="9" t="str">
        <x:v>1. 当前执行账号具有管理后台会话，身份为平台管理员；具体账号及权限变化按以下条件准备
2. 批次A含对象B和对象C各一条有效明细，另有其他批次的对象D</x:v>
      </x:c>
      <x:c r="J563" s="9" t="str">
        <x:v>1. 打开公会分成记录详情
2. 查看批次A对象数量</x:v>
      </x:c>
      <x:c r="K563" s="9" t="str">
        <x:v>公会数量为2</x:v>
      </x:c>
      <x:c r="L563" s="10" t="str"/>
      <x:c r="M563" s="10" t="str">
        <x:v>未测</x:v>
      </x:c>
      <x:c r="N563" s="10" t="str"/>
      <x:c r="O563" s="9" t="str">
        <x:v>1. 来源（当前证据）：liveshow-proto/MainBasis/统一需求文档.md；位置：第2919行、第2915行、第2916行
2. 规则：BR-1b543a22fb4f72d9
3. 未动态验证</x:v>
      </x:c>
    </x:row>
    <x:row r="564" ht="100" customHeight="1">
      <x:c r="A564" s="10" t="n">
        <x:v>563</x:v>
      </x:c>
      <x:c r="B564" s="10" t="str">
        <x:v>ADMIN-0563</x:v>
      </x:c>
      <x:c r="C564" s="10" t="str">
        <x:v>数据报表</x:v>
      </x:c>
      <x:c r="D564" s="10" t="str">
        <x:v>每日统计（平台管理员）</x:v>
      </x:c>
      <x:c r="E564" s="10" t="str">
        <x:v>功能需求</x:v>
      </x:c>
      <x:c r="F564" s="10" t="str">
        <x:v>P1</x:v>
      </x:c>
      <x:c r="G564" s="9" t="str">
        <x:v>验证开播人数主播B今日成功开播2场，C1场，D只打开开播设置</x:v>
      </x:c>
      <x:c r="H564" s="9" t="str">
        <x:v>开播人数口径</x:v>
      </x:c>
      <x:c r="I564" s="9" t="str">
        <x:v>1. 当前执行账号具有管理后台会话，身份为平台管理员；具体账号及权限变化按以下条件准备
2. 主播B今日成功开播2场，C1场，D只打开开播设置</x:v>
      </x:c>
      <x:c r="J564" s="9" t="str">
        <x:v>1. 打开每日统计
2. 选择上述日期范围；未指定范围时选择今日
3. 点击“查询”
4. 查看开播人数</x:v>
      </x:c>
      <x:c r="K564" s="9" t="str">
        <x:v>开播人数为2</x:v>
      </x:c>
      <x:c r="L564" s="10" t="str"/>
      <x:c r="M564" s="10" t="str">
        <x:v>未测</x:v>
      </x:c>
      <x:c r="N564" s="10" t="str"/>
      <x:c r="O564" s="9" t="str">
        <x:v>1. 来源（当前证据）：liveshow-proto/MainBasis/统一需求文档.md；位置：第2980行、第2973行、第2974行
2. 规则：BR-d948a794484f1058
3. 未动态验证</x:v>
      </x:c>
    </x:row>
    <x:row r="565" ht="100" customHeight="1">
      <x:c r="A565" s="10" t="n">
        <x:v>564</x:v>
      </x:c>
      <x:c r="B565" s="10" t="str">
        <x:v>ADMIN-0564</x:v>
      </x:c>
      <x:c r="C565" s="10" t="str">
        <x:v>数据报表</x:v>
      </x:c>
      <x:c r="D565" s="10" t="str">
        <x:v>主播活跃汇总（每日）（平台管理员）</x:v>
      </x:c>
      <x:c r="E565" s="10" t="str">
        <x:v>功能需求</x:v>
      </x:c>
      <x:c r="F565" s="10" t="str">
        <x:v>P0</x:v>
      </x:c>
      <x:c r="G565" s="9" t="str">
        <x:v>验证新增主播B今日终审通过，C仅公会初审通过，D昨日已终审通过</x:v>
      </x:c>
      <x:c r="H565" s="9" t="str">
        <x:v>新增主播口径</x:v>
      </x:c>
      <x:c r="I565" s="9" t="str">
        <x:v>1. 当前执行账号具有管理后台会话，身份为平台管理员；具体账号及权限变化按以下条件准备
2. B今日终审通过，C仅公会初审通过，D昨日已终审通过</x:v>
      </x:c>
      <x:c r="J565" s="9" t="str">
        <x:v>1. 打开主播活跃汇总（每日）
2. 选择上述日期范围；未指定范围时选择今日
3. 点击“查询”
4. 查看新增主播</x:v>
      </x:c>
      <x:c r="K565" s="9" t="str">
        <x:v>新增主播为1</x:v>
      </x:c>
      <x:c r="L565" s="10" t="str"/>
      <x:c r="M565" s="10" t="str">
        <x:v>未测</x:v>
      </x:c>
      <x:c r="N565" s="10" t="str"/>
      <x:c r="O565" s="9" t="str">
        <x:v>1. 来源（当前证据）：liveshow-proto/MainBasis/统一需求文档.md；位置：第3001行、第2998行、第2999行
2. 规则：BR-f3ac4f3914863449
3. 未动态验证</x:v>
      </x:c>
    </x:row>
    <x:row r="566" ht="115" customHeight="1">
      <x:c r="A566" s="10" t="n">
        <x:v>565</x:v>
      </x:c>
      <x:c r="B566" s="10" t="str">
        <x:v>ADMIN-0565</x:v>
      </x:c>
      <x:c r="C566" s="10" t="str">
        <x:v>数据报表</x:v>
      </x:c>
      <x:c r="D566" s="10" t="str">
        <x:v>直播间互动汇总（每日）（平台管理员）</x:v>
      </x:c>
      <x:c r="E566" s="10" t="str">
        <x:v>功能需求</x:v>
      </x:c>
      <x:c r="F566" s="10" t="str">
        <x:v>P1</x:v>
      </x:c>
      <x:c r="G566" s="9" t="str">
        <x:v>验证观众人数真实用户A今日成功进入2场，B进入1场，运营账号C进场，D被准入拦截</x:v>
      </x:c>
      <x:c r="H566" s="9" t="str">
        <x:v>观众人数口径</x:v>
      </x:c>
      <x:c r="I566" s="9" t="str">
        <x:v>1. 当前执行账号具有管理后台会话，身份为平台管理员；具体账号及权限变化按以下条件准备
2. 真实用户A今日成功进入2场，B进入1场，运营账号C进场，D被准入拦截</x:v>
      </x:c>
      <x:c r="J566" s="9" t="str">
        <x:v>1. 打开直播间互动汇总（每日）
2. 选择上述日期范围；未指定范围时选择今日
3. 点击“查询”
4. 查看观众人数</x:v>
      </x:c>
      <x:c r="K566" s="9" t="str">
        <x:v>观众人数为2</x:v>
      </x:c>
      <x:c r="L566" s="10" t="str"/>
      <x:c r="M566" s="10" t="str">
        <x:v>未测</x:v>
      </x:c>
      <x:c r="N566" s="10" t="str"/>
      <x:c r="O566" s="9" t="str">
        <x:v>1. 来源（当前证据）：liveshow-proto/MainBasis/统一需求文档.md；位置：第3013行、第3010行、第3011行
2. 规则：BR-c408caa974137eff
3. 未动态验证</x:v>
      </x:c>
    </x:row>
    <x:row r="567" ht="100" customHeight="1">
      <x:c r="A567" s="10" t="n">
        <x:v>566</x:v>
      </x:c>
      <x:c r="B567" s="10" t="str">
        <x:v>ADMIN-0566</x:v>
      </x:c>
      <x:c r="C567" s="10" t="str">
        <x:v>数据报表</x:v>
      </x:c>
      <x:c r="D567" s="10" t="str">
        <x:v>用户活跃汇总（每日）（平台管理员）</x:v>
      </x:c>
      <x:c r="E567" s="10" t="str">
        <x:v>功能需求</x:v>
      </x:c>
      <x:c r="F567" s="10" t="str">
        <x:v>P1</x:v>
      </x:c>
      <x:c r="G567" s="9" t="str">
        <x:v>验证付费用户A今日支付成功2单，B成功1单，C支付失败</x:v>
      </x:c>
      <x:c r="H567" s="9" t="str">
        <x:v>付费用户口径</x:v>
      </x:c>
      <x:c r="I567" s="9" t="str">
        <x:v>1. 当前执行账号具有管理后台会话，身份为平台管理员；具体账号及权限变化按以下条件准备
2. A今日支付成功2单，B成功1单，C支付失败</x:v>
      </x:c>
      <x:c r="J567" s="9" t="str">
        <x:v>1. 打开用户活跃汇总（每日）
2. 选择上述日期范围；未指定范围时选择今日
3. 点击“查询”
4. 查看付费用户</x:v>
      </x:c>
      <x:c r="K567" s="9" t="str">
        <x:v>付费用户为2</x:v>
      </x:c>
      <x:c r="L567" s="10" t="str"/>
      <x:c r="M567" s="10" t="str">
        <x:v>未测</x:v>
      </x:c>
      <x:c r="N567" s="10" t="str"/>
      <x:c r="O567" s="9" t="str">
        <x:v>1. 来源（当前证据）：liveshow-proto/MainBasis/统一需求文档.md；位置：第2994行、第2988行、第2989行
2. 规则：BR-c85ebd0ce5259e08
3. 未动态验证</x:v>
      </x:c>
    </x:row>
    <x:row r="568" ht="100" customHeight="1">
      <x:c r="A568" s="10" t="n">
        <x:v>567</x:v>
      </x:c>
      <x:c r="B568" s="10" t="str">
        <x:v>ADMIN-0567</x:v>
      </x:c>
      <x:c r="C568" s="10" t="str">
        <x:v>数据报表</x:v>
      </x:c>
      <x:c r="D568" s="10" t="str">
        <x:v>充值消费汇总（每日）（平台管理员）</x:v>
      </x:c>
      <x:c r="E568" s="10" t="str">
        <x:v>功能需求</x:v>
      </x:c>
      <x:c r="F568" s="10" t="str">
        <x:v>P0</x:v>
      </x:c>
      <x:c r="G568" s="9" t="str">
        <x:v>验证客单价今日A成功充值10USD与20USD，B成功30USD</x:v>
      </x:c>
      <x:c r="H568" s="9" t="str">
        <x:v>客单价口径</x:v>
      </x:c>
      <x:c r="I568" s="9" t="str">
        <x:v>1. 当前执行账号具有管理后台会话，身份为平台管理员；具体账号及权限变化按以下条件准备
2. 今日A成功充值10USD与20USD，B成功30USD</x:v>
      </x:c>
      <x:c r="J568" s="9" t="str">
        <x:v>1. 打开充值消费汇总（每日）
2. 选择上述日期范围；未指定范围时选择今日
3. 点击“查询”
4. 查看客单价</x:v>
      </x:c>
      <x:c r="K568" s="9" t="str">
        <x:v>客单价为30USD</x:v>
      </x:c>
      <x:c r="L568" s="10" t="str"/>
      <x:c r="M568" s="10" t="str">
        <x:v>未测</x:v>
      </x:c>
      <x:c r="N568" s="10" t="str"/>
      <x:c r="O568" s="9" t="str">
        <x:v>1. 来源（当前证据）：liveshow-proto/MainBasis/统一需求文档.md；位置：第3036行、第3032行、第3033行
2. 规则：BR-92047c5f47a14180
3. 未动态验证</x:v>
      </x:c>
    </x:row>
    <x:row r="569" ht="100" customHeight="1">
      <x:c r="A569" s="10" t="n">
        <x:v>568</x:v>
      </x:c>
      <x:c r="B569" s="10" t="str">
        <x:v>ADMIN-0568</x:v>
      </x:c>
      <x:c r="C569" s="10" t="str">
        <x:v>数据报表</x:v>
      </x:c>
      <x:c r="D569" s="10" t="str">
        <x:v>充值消费汇总（每日）（平台管理员）</x:v>
      </x:c>
      <x:c r="E569" s="10" t="str">
        <x:v>功能需求</x:v>
      </x:c>
      <x:c r="F569" s="10" t="str">
        <x:v>P0</x:v>
      </x:c>
      <x:c r="G569" s="9" t="str">
        <x:v>验证客单价今日没有成功充值用户，金额0</x:v>
      </x:c>
      <x:c r="H569" s="9" t="str">
        <x:v>客单价口径</x:v>
      </x:c>
      <x:c r="I569" s="9" t="str">
        <x:v>1. 当前执行账号具有管理后台会话，身份为平台管理员；具体账号及权限变化按以下条件准备
2. 今日没有成功充值用户，金额0</x:v>
      </x:c>
      <x:c r="J569" s="9" t="str">
        <x:v>1. 打开充值消费汇总（每日）
2. 选择上述日期范围；未指定范围时选择今日
3. 点击“查询”
4. 查看客单价</x:v>
      </x:c>
      <x:c r="K569" s="9" t="str">
        <x:v>客单价为0</x:v>
      </x:c>
      <x:c r="L569" s="10" t="str"/>
      <x:c r="M569" s="10" t="str">
        <x:v>未测</x:v>
      </x:c>
      <x:c r="N569" s="10" t="str"/>
      <x:c r="O569" s="9" t="str">
        <x:v>1. 来源（当前证据）：liveshow-proto/MainBasis/统一需求文档.md；位置：第3036行、第3032行、第3033行
2. 规则：BR-17a908531bc7e5fe
3. 未动态验证</x:v>
      </x:c>
    </x:row>
    <x:row r="570" ht="100" customHeight="1">
      <x:c r="A570" s="10" t="n">
        <x:v>569</x:v>
      </x:c>
      <x:c r="B570" s="10" t="str">
        <x:v>ADMIN-0569</x:v>
      </x:c>
      <x:c r="C570" s="10" t="str">
        <x:v>数据报表</x:v>
      </x:c>
      <x:c r="D570" s="10" t="str">
        <x:v>主播业绩分成报表（平台管理员）</x:v>
      </x:c>
      <x:c r="E570" s="10" t="str">
        <x:v>功能需求</x:v>
      </x:c>
      <x:c r="F570" s="10" t="str">
        <x:v>P1</x:v>
      </x:c>
      <x:c r="G570" s="9" t="str">
        <x:v>验证统计天数日期范围2026-09-14至2026-09-14</x:v>
      </x:c>
      <x:c r="H570" s="9" t="str">
        <x:v>统计天数口径</x:v>
      </x:c>
      <x:c r="I570" s="9" t="str">
        <x:v>1. 当前执行账号具有管理后台会话，身份为平台管理员；具体账号及权限变化按以下条件准备
2. 日期范围2026-09-14至2026-09-14</x:v>
      </x:c>
      <x:c r="J570" s="9" t="str">
        <x:v>1. 打开主播业绩分成报表
2. 选择上述日期范围；未指定范围时选择今日
3. 点击“查询”
4. 查看统计天数</x:v>
      </x:c>
      <x:c r="K570" s="9" t="str">
        <x:v>统计天数为1</x:v>
      </x:c>
      <x:c r="L570" s="10" t="str"/>
      <x:c r="M570" s="10" t="str">
        <x:v>未测</x:v>
      </x:c>
      <x:c r="N570" s="10" t="str"/>
      <x:c r="O570" s="9" t="str">
        <x:v>1. 来源（当前证据）：liveshow-proto/MainBasis/统一需求文档.md；位置：第3068行、第3065行、第3066行
2. 规则：BR-90a68d0ca62e0ee6
3. 未动态验证</x:v>
      </x:c>
    </x:row>
    <x:row r="571" ht="100" customHeight="1">
      <x:c r="A571" s="10" t="n">
        <x:v>570</x:v>
      </x:c>
      <x:c r="B571" s="10" t="str">
        <x:v>ADMIN-0570</x:v>
      </x:c>
      <x:c r="C571" s="10" t="str">
        <x:v>数据报表</x:v>
      </x:c>
      <x:c r="D571" s="10" t="str">
        <x:v>主播业绩分成报表（平台管理员）</x:v>
      </x:c>
      <x:c r="E571" s="10" t="str">
        <x:v>功能需求</x:v>
      </x:c>
      <x:c r="F571" s="10" t="str">
        <x:v>P1</x:v>
      </x:c>
      <x:c r="G571" s="9" t="str">
        <x:v>验证统计天数日期范围2026-09-14至2026-09-16</x:v>
      </x:c>
      <x:c r="H571" s="9" t="str">
        <x:v>统计天数口径</x:v>
      </x:c>
      <x:c r="I571" s="9" t="str">
        <x:v>1. 当前执行账号具有管理后台会话，身份为平台管理员；具体账号及权限变化按以下条件准备
2. 日期范围2026-09-14至2026-09-16</x:v>
      </x:c>
      <x:c r="J571" s="9" t="str">
        <x:v>1. 打开主播业绩分成报表
2. 选择上述日期范围；未指定范围时选择今日
3. 点击“查询”
4. 查看统计天数</x:v>
      </x:c>
      <x:c r="K571" s="9" t="str">
        <x:v>统计天数为3</x:v>
      </x:c>
      <x:c r="L571" s="10" t="str"/>
      <x:c r="M571" s="10" t="str">
        <x:v>未测</x:v>
      </x:c>
      <x:c r="N571" s="10" t="str"/>
      <x:c r="O571" s="9" t="str">
        <x:v>1. 来源（当前证据）：liveshow-proto/MainBasis/统一需求文档.md；位置：第3068行、第3065行、第3066行
2. 规则：BR-3641c24e9613a1cf
3. 未动态验证</x:v>
      </x:c>
    </x:row>
    <x:row r="572" ht="100" customHeight="1">
      <x:c r="A572" s="10" t="n">
        <x:v>571</x:v>
      </x:c>
      <x:c r="B572" s="10" t="str">
        <x:v>ADMIN-0571</x:v>
      </x:c>
      <x:c r="C572" s="10" t="str">
        <x:v>数据报表</x:v>
      </x:c>
      <x:c r="D572" s="10" t="str">
        <x:v>月度收益支出汇总（平台管理员）</x:v>
      </x:c>
      <x:c r="E572" s="10" t="str">
        <x:v>功能需求</x:v>
      </x:c>
      <x:c r="F572" s="10" t="str">
        <x:v>P1</x:v>
      </x:c>
      <x:c r="G572" s="9" t="str">
        <x:v>验证月度汇总保留2026-08</x:v>
      </x:c>
      <x:c r="H572" s="9" t="str">
        <x:v>全部月份列表</x:v>
      </x:c>
      <x:c r="I572" s="9" t="str">
        <x:v>1. 当前执行账号具有管理后台会话，身份为平台管理员；具体账号及权限变化按以下条件准备
2. 2026年8月与9月均有有效业务数据</x:v>
      </x:c>
      <x:c r="J572" s="9" t="str">
        <x:v>1. 打开月度收益支出汇总
2. 查看月度列表
3. 查看2026-08月份行</x:v>
      </x:c>
      <x:c r="K572" s="9" t="str">
        <x:v>存在2026-08月份行</x:v>
      </x:c>
      <x:c r="L572" s="10" t="str"/>
      <x:c r="M572" s="10" t="str">
        <x:v>未测</x:v>
      </x:c>
      <x:c r="N572" s="10" t="str"/>
      <x:c r="O572" s="9" t="str">
        <x:v>1. 来源（当前证据）：liveshow-proto/MainBasis/统一需求文档.md；位置：第3062行、第3055行、第3056行
2. 规则：BR-632b0b9e2d1872b8
3. 未动态验证</x:v>
      </x:c>
    </x:row>
    <x:row r="573" ht="100" customHeight="1">
      <x:c r="A573" s="10" t="n">
        <x:v>572</x:v>
      </x:c>
      <x:c r="B573" s="10" t="str">
        <x:v>ADMIN-0572</x:v>
      </x:c>
      <x:c r="C573" s="10" t="str">
        <x:v>数据报表</x:v>
      </x:c>
      <x:c r="D573" s="10" t="str">
        <x:v>月度收益支出汇总（平台管理员）</x:v>
      </x:c>
      <x:c r="E573" s="10" t="str">
        <x:v>功能需求</x:v>
      </x:c>
      <x:c r="F573" s="10" t="str">
        <x:v>P1</x:v>
      </x:c>
      <x:c r="G573" s="9" t="str">
        <x:v>验证月度汇总保留2026-09</x:v>
      </x:c>
      <x:c r="H573" s="9" t="str">
        <x:v>全部月份列表</x:v>
      </x:c>
      <x:c r="I573" s="9" t="str">
        <x:v>1. 当前执行账号具有管理后台会话，身份为平台管理员；具体账号及权限变化按以下条件准备
2. 2026年8月与9月均有有效业务数据</x:v>
      </x:c>
      <x:c r="J573" s="9" t="str">
        <x:v>1. 打开月度收益支出汇总
2. 查看月度列表
3. 查看2026-09月份行</x:v>
      </x:c>
      <x:c r="K573" s="9" t="str">
        <x:v>存在2026-09月份行</x:v>
      </x:c>
      <x:c r="L573" s="10" t="str"/>
      <x:c r="M573" s="10" t="str">
        <x:v>未测</x:v>
      </x:c>
      <x:c r="N573" s="10" t="str"/>
      <x:c r="O573" s="9" t="str">
        <x:v>1. 来源（当前证据）：liveshow-proto/MainBasis/统一需求文档.md；位置：第3062行、第3055行、第3056行
2. 规则：BR-b8c0f8777de5a10f
3. 未动态验证</x:v>
      </x:c>
    </x:row>
    <x:row r="574" ht="100" customHeight="1">
      <x:c r="A574" s="10" t="n">
        <x:v>573</x:v>
      </x:c>
      <x:c r="B574" s="10" t="str">
        <x:v>ADMIN-0573</x:v>
      </x:c>
      <x:c r="C574" s="10" t="str">
        <x:v>数据报表</x:v>
      </x:c>
      <x:c r="D574" s="10" t="str">
        <x:v>月度收益支出汇总（平台管理员）</x:v>
      </x:c>
      <x:c r="E574" s="10" t="str">
        <x:v>功能需求</x:v>
      </x:c>
      <x:c r="F574" s="10" t="str">
        <x:v>P0</x:v>
      </x:c>
      <x:c r="G574" s="9" t="str">
        <x:v>验证跨月退款计入退款完成月</x:v>
      </x:c>
      <x:c r="H574" s="9" t="str">
        <x:v>退款月份归属</x:v>
      </x:c>
      <x:c r="I574" s="9" t="str">
        <x:v>1. 当前执行账号具有管理后台会话，身份为平台管理员；具体账号及权限变化按以下条件准备
2. R于8月充值100USD，9月全额退款成功；9月无其他退款</x:v>
      </x:c>
      <x:c r="J574" s="9" t="str">
        <x:v>1. 打开月度收益支出汇总
2. 查看2026年9月行</x:v>
      </x:c>
      <x:c r="K574" s="9" t="str">
        <x:v>累计退款为100USD</x:v>
      </x:c>
      <x:c r="L574" s="10" t="str"/>
      <x:c r="M574" s="10" t="str">
        <x:v>未测</x:v>
      </x:c>
      <x:c r="N574" s="10" t="str"/>
      <x:c r="O574" s="9" t="str">
        <x:v>1. 来源（当前证据）：liveshow-proto/MainBasis/统一需求文档.md；位置：第3060行、第3055行、第3056行
2. 规则：BR-497a5644d0634368
3. 未动态验证</x:v>
      </x:c>
    </x:row>
    <x:row r="575" ht="100" customHeight="1">
      <x:c r="A575" s="10" t="n">
        <x:v>574</x:v>
      </x:c>
      <x:c r="B575" s="10" t="str">
        <x:v>ADMIN-0574</x:v>
      </x:c>
      <x:c r="C575" s="10" t="str">
        <x:v>数据报表</x:v>
      </x:c>
      <x:c r="D575" s="10" t="str">
        <x:v>用户活跃汇总（每日）（平台管理员）</x:v>
      </x:c>
      <x:c r="E575" s="10" t="str">
        <x:v>功能需求</x:v>
      </x:c>
      <x:c r="F575" s="10" t="str">
        <x:v>P1</x:v>
      </x:c>
      <x:c r="G575" s="9" t="str">
        <x:v>验证用户活跃汇总（每日）新老或跨日汇总</x:v>
      </x:c>
      <x:c r="H575" s="9" t="str">
        <x:v>报表人数汇总</x:v>
      </x:c>
      <x:c r="I575" s="9" t="str">
        <x:v>1. 当前执行账号具有管理后台会话，身份为平台管理员；具体账号及权限变化按以下条件准备
2. 9月14日A登录，9月15日A和B登录</x:v>
      </x:c>
      <x:c r="J575" s="9" t="str">
        <x:v>1. 打开用户活跃汇总（每日）
2. 选择9月14日至15日
3. 点击“查询”</x:v>
      </x:c>
      <x:c r="K575" s="9" t="str">
        <x:v>登录用户汇总为3</x:v>
      </x:c>
      <x:c r="L575" s="10" t="str"/>
      <x:c r="M575" s="10" t="str">
        <x:v>未测</x:v>
      </x:c>
      <x:c r="N575" s="10" t="str"/>
      <x:c r="O575" s="9" t="str">
        <x:v>1. 来源（当前证据）：liveshow-proto/MainBasis/统一需求文档.md；位置：第2995行、第2988行、第2989行
2. 规则：BR-c0c957a27f75e688
3. 未动态验证</x:v>
      </x:c>
    </x:row>
    <x:row r="576" ht="100" customHeight="1">
      <x:c r="A576" s="10" t="n">
        <x:v>575</x:v>
      </x:c>
      <x:c r="B576" s="10" t="str">
        <x:v>ADMIN-0575</x:v>
      </x:c>
      <x:c r="C576" s="10" t="str">
        <x:v>数据报表</x:v>
      </x:c>
      <x:c r="D576" s="10" t="str">
        <x:v>充值用户分层汇总（每日）（平台管理员）</x:v>
      </x:c>
      <x:c r="E576" s="10" t="str">
        <x:v>功能需求</x:v>
      </x:c>
      <x:c r="F576" s="10" t="str">
        <x:v>P0</x:v>
      </x:c>
      <x:c r="G576" s="9" t="str">
        <x:v>验证充值用户分层汇总（每日）新老或跨日汇总</x:v>
      </x:c>
      <x:c r="H576" s="9" t="str">
        <x:v>报表人数汇总</x:v>
      </x:c>
      <x:c r="I576" s="9" t="str">
        <x:v>1. 当前执行账号具有管理后台会话，身份为平台管理员；具体账号及权限变化按以下条件准备
2. 9月14日新用户充值2人、老用户充值3人</x:v>
      </x:c>
      <x:c r="J576" s="9" t="str">
        <x:v>1. 打开充值用户分层汇总（每日）
2. 选择9月14日
3. 点击“查询”</x:v>
      </x:c>
      <x:c r="K576" s="9" t="str">
        <x:v>总充值人数为5</x:v>
      </x:c>
      <x:c r="L576" s="10" t="str"/>
      <x:c r="M576" s="10" t="str">
        <x:v>未测</x:v>
      </x:c>
      <x:c r="N576" s="10" t="str"/>
      <x:c r="O576" s="9" t="str">
        <x:v>1. 来源（当前证据）：liveshow-proto/MainBasis/统一需求文档.md；位置：第3048行、第3044行、第3045行
2. 规则：BR-cf1dc22163dcb944
3. 未动态验证</x:v>
      </x:c>
    </x:row>
    <x:row r="577" ht="115" customHeight="1">
      <x:c r="A577" s="10" t="n">
        <x:v>576</x:v>
      </x:c>
      <x:c r="B577" s="10" t="str">
        <x:v>ADMIN-0576</x:v>
      </x:c>
      <x:c r="C577" s="10" t="str">
        <x:v>数据报表</x:v>
      </x:c>
      <x:c r="D577" s="10" t="str">
        <x:v>工作台（平台管理员）</x:v>
      </x:c>
      <x:c r="E577" s="10" t="str">
        <x:v>功能需求</x:v>
      </x:c>
      <x:c r="F577" s="10" t="str">
        <x:v>P1</x:v>
      </x:c>
      <x:c r="G577" s="9" t="str">
        <x:v>验证工作台计算活跃用户</x:v>
      </x:c>
      <x:c r="H577" s="9" t="str">
        <x:v>活跃用户</x:v>
      </x:c>
      <x:c r="I577" s="9" t="str">
        <x:v>1. 当前执行账号具有管理后台会话，身份为平台管理员；具体账号及权限变化按以下条件准备
2. 最新完整自然日D，登录A启动2次、B从后台回前台1次，游客C启动1次</x:v>
      </x:c>
      <x:c r="J577" s="9" t="str">
        <x:v>1. 打开工作台
2. 查看活跃用户指标</x:v>
      </x:c>
      <x:c r="K577" s="9" t="str">
        <x:v>活跃用户=2人</x:v>
      </x:c>
      <x:c r="L577" s="10" t="str"/>
      <x:c r="M577" s="10" t="str">
        <x:v>未测</x:v>
      </x:c>
      <x:c r="N577" s="10" t="str"/>
      <x:c r="O577" s="9" t="str">
        <x:v>1. 来源（当前证据）：liveshow-proto/MainBasis/统一需求文档.md；位置：第2195行、第2191行、第2192行
2. 规则：BR-8642ffdda2be5e97
3. 未动态验证</x:v>
      </x:c>
    </x:row>
    <x:row r="578" ht="100" customHeight="1">
      <x:c r="A578" s="10" t="n">
        <x:v>577</x:v>
      </x:c>
      <x:c r="B578" s="10" t="str">
        <x:v>ADMIN-0577</x:v>
      </x:c>
      <x:c r="C578" s="10" t="str">
        <x:v>数据报表</x:v>
      </x:c>
      <x:c r="D578" s="10" t="str">
        <x:v>工作台（平台管理员）</x:v>
      </x:c>
      <x:c r="E578" s="10" t="str">
        <x:v>功能需求</x:v>
      </x:c>
      <x:c r="F578" s="10" t="str">
        <x:v>P1</x:v>
      </x:c>
      <x:c r="G578" s="9" t="str">
        <x:v>验证工作台计算新增用户</x:v>
      </x:c>
      <x:c r="H578" s="9" t="str">
        <x:v>新增用户</x:v>
      </x:c>
      <x:c r="I578" s="9" t="str">
        <x:v>1. 当前执行账号具有管理后台会话，身份为平台管理员；具体账号及权限变化按以下条件准备
2. D注册成功A和B，C注册失败；其他日期注册D1</x:v>
      </x:c>
      <x:c r="J578" s="9" t="str">
        <x:v>1. 打开工作台
2. 查看新增用户指标</x:v>
      </x:c>
      <x:c r="K578" s="9" t="str">
        <x:v>新增用户=2人</x:v>
      </x:c>
      <x:c r="L578" s="10" t="str"/>
      <x:c r="M578" s="10" t="str">
        <x:v>未测</x:v>
      </x:c>
      <x:c r="N578" s="10" t="str"/>
      <x:c r="O578" s="9" t="str">
        <x:v>1. 来源（当前证据）：liveshow-proto/MainBasis/统一需求文档.md；位置：第2195行、第2191行、第2192行
2. 规则：BR-1b978a90fb85cfcc
3. 未动态验证</x:v>
      </x:c>
    </x:row>
    <x:row r="579" ht="100" customHeight="1">
      <x:c r="A579" s="10" t="n">
        <x:v>578</x:v>
      </x:c>
      <x:c r="B579" s="10" t="str">
        <x:v>ADMIN-0578</x:v>
      </x:c>
      <x:c r="C579" s="10" t="str">
        <x:v>数据报表</x:v>
      </x:c>
      <x:c r="D579" s="10" t="str">
        <x:v>工作台（平台管理员）</x:v>
      </x:c>
      <x:c r="E579" s="10" t="str">
        <x:v>逻辑校验</x:v>
      </x:c>
      <x:c r="F579" s="10" t="str">
        <x:v>P0</x:v>
      </x:c>
      <x:c r="G579" s="9" t="str">
        <x:v>验证工作台计算总充值金额</x:v>
      </x:c>
      <x:c r="H579" s="9" t="str">
        <x:v>总充值金额</x:v>
      </x:c>
      <x:c r="I579" s="9" t="str">
        <x:v>1. 当前执行账号具有管理后台会话，身份为平台管理员；具体账号及权限变化按以下条件准备
2. D成功充值10USD、20USD，失败30USD</x:v>
      </x:c>
      <x:c r="J579" s="9" t="str">
        <x:v>1. 打开工作台
2. 查看总充值金额指标</x:v>
      </x:c>
      <x:c r="K579" s="9" t="str">
        <x:v>总充值金额=30USD</x:v>
      </x:c>
      <x:c r="L579" s="10" t="str"/>
      <x:c r="M579" s="10" t="str">
        <x:v>未测</x:v>
      </x:c>
      <x:c r="N579" s="10" t="str"/>
      <x:c r="O579" s="9" t="str">
        <x:v>1. 来源（当前证据）：liveshow-proto/MainBasis/统一需求文档.md；位置：第2196行、第2191行、第2192行
2. 规则：BR-edc035cc846f2ee2
3. 未动态验证</x:v>
      </x:c>
    </x:row>
    <x:row r="580" ht="100" customHeight="1">
      <x:c r="A580" s="10" t="n">
        <x:v>579</x:v>
      </x:c>
      <x:c r="B580" s="10" t="str">
        <x:v>ADMIN-0579</x:v>
      </x:c>
      <x:c r="C580" s="10" t="str">
        <x:v>数据报表</x:v>
      </x:c>
      <x:c r="D580" s="10" t="str">
        <x:v>工作台（平台管理员）</x:v>
      </x:c>
      <x:c r="E580" s="10" t="str">
        <x:v>功能需求</x:v>
      </x:c>
      <x:c r="F580" s="10" t="str">
        <x:v>P0</x:v>
      </x:c>
      <x:c r="G580" s="9" t="str">
        <x:v>验证工作台计算充值人数</x:v>
      </x:c>
      <x:c r="H580" s="9" t="str">
        <x:v>充值人数</x:v>
      </x:c>
      <x:c r="I580" s="9" t="str">
        <x:v>1. 当前执行账号具有管理后台会话，身份为平台管理员；具体账号及权限变化按以下条件准备
2. D仅A充值成功2笔、B成功1笔，C失败1笔</x:v>
      </x:c>
      <x:c r="J580" s="9" t="str">
        <x:v>1. 打开工作台
2. 查看充值人数指标</x:v>
      </x:c>
      <x:c r="K580" s="9" t="str">
        <x:v>充值人数=2人</x:v>
      </x:c>
      <x:c r="L580" s="10" t="str"/>
      <x:c r="M580" s="10" t="str">
        <x:v>未测</x:v>
      </x:c>
      <x:c r="N580" s="10" t="str"/>
      <x:c r="O580" s="9" t="str">
        <x:v>1. 来源（当前证据）：liveshow-proto/MainBasis/统一需求文档.md；位置：第2196行、第2191行、第2192行
2. 规则：BR-ed33e123484466bd
3. 未动态验证</x:v>
      </x:c>
    </x:row>
    <x:row r="581" ht="100" customHeight="1">
      <x:c r="A581" s="10" t="n">
        <x:v>580</x:v>
      </x:c>
      <x:c r="B581" s="10" t="str">
        <x:v>ADMIN-0580</x:v>
      </x:c>
      <x:c r="C581" s="10" t="str">
        <x:v>数据报表</x:v>
      </x:c>
      <x:c r="D581" s="10" t="str">
        <x:v>工作台（平台管理员）</x:v>
      </x:c>
      <x:c r="E581" s="10" t="str">
        <x:v>功能需求</x:v>
      </x:c>
      <x:c r="F581" s="10" t="str">
        <x:v>P0</x:v>
      </x:c>
      <x:c r="G581" s="9" t="str">
        <x:v>验证工作台计算新用户充值金额</x:v>
      </x:c>
      <x:c r="H581" s="9" t="str">
        <x:v>新用户充值金额</x:v>
      </x:c>
      <x:c r="I581" s="9" t="str">
        <x:v>1. 当前执行账号具有管理后台会话，身份为平台管理员；具体账号及权限变化按以下条件准备
2. D注册A当日成功充值10USD，昨天注册B当日充值20USD</x:v>
      </x:c>
      <x:c r="J581" s="9" t="str">
        <x:v>1. 打开工作台
2. 查看新用户充值金额指标</x:v>
      </x:c>
      <x:c r="K581" s="9" t="str">
        <x:v>新用户充值金额=10USD</x:v>
      </x:c>
      <x:c r="L581" s="10" t="str"/>
      <x:c r="M581" s="10" t="str">
        <x:v>未测</x:v>
      </x:c>
      <x:c r="N581" s="10" t="str"/>
      <x:c r="O581" s="9" t="str">
        <x:v>1. 来源（当前证据）：liveshow-proto/MainBasis/统一需求文档.md；位置：第2197行、第2191行、第2192行
2. 规则：BR-d1457ae21003a0c2
3. 未动态验证</x:v>
      </x:c>
    </x:row>
    <x:row r="582" ht="100" customHeight="1">
      <x:c r="A582" s="10" t="n">
        <x:v>581</x:v>
      </x:c>
      <x:c r="B582" s="10" t="str">
        <x:v>ADMIN-0581</x:v>
      </x:c>
      <x:c r="C582" s="10" t="str">
        <x:v>数据报表</x:v>
      </x:c>
      <x:c r="D582" s="10" t="str">
        <x:v>工作台（平台管理员）</x:v>
      </x:c>
      <x:c r="E582" s="10" t="str">
        <x:v>逻辑校验</x:v>
      </x:c>
      <x:c r="F582" s="10" t="str">
        <x:v>P1</x:v>
      </x:c>
      <x:c r="G582" s="9" t="str">
        <x:v>验证工作台计算新用户ARPU</x:v>
      </x:c>
      <x:c r="H582" s="9" t="str">
        <x:v>新用户ARPU</x:v>
      </x:c>
      <x:c r="I582" s="9" t="str">
        <x:v>1. 当前执行账号具有管理后台会话，身份为平台管理员；具体账号及权限变化按以下条件准备
2. D注册新用户中2人成功充值，实付合计30USD</x:v>
      </x:c>
      <x:c r="J582" s="9" t="str">
        <x:v>1. 打开工作台
2. 查看新用户ARPU指标</x:v>
      </x:c>
      <x:c r="K582" s="9" t="str">
        <x:v>新用户ARPU=15USD</x:v>
      </x:c>
      <x:c r="L582" s="10" t="str"/>
      <x:c r="M582" s="10" t="str">
        <x:v>未测</x:v>
      </x:c>
      <x:c r="N582" s="10" t="str"/>
      <x:c r="O582" s="9" t="str">
        <x:v>1. 来源（当前证据）：liveshow-proto/MainBasis/统一需求文档.md；位置：第2198行、第2191行、第2192行
2. 规则：BR-47e11e407cd68f20
3. 未动态验证</x:v>
      </x:c>
    </x:row>
    <x:row r="583" ht="85" customHeight="1">
      <x:c r="A583" s="10" t="n">
        <x:v>582</x:v>
      </x:c>
      <x:c r="B583" s="10" t="str">
        <x:v>ADMIN-0582</x:v>
      </x:c>
      <x:c r="C583" s="10" t="str">
        <x:v>数据报表</x:v>
      </x:c>
      <x:c r="D583" s="10" t="str">
        <x:v>工作台（平台管理员）</x:v>
      </x:c>
      <x:c r="E583" s="10" t="str">
        <x:v>功能需求</x:v>
      </x:c>
      <x:c r="F583" s="10" t="str">
        <x:v>P1</x:v>
      </x:c>
      <x:c r="G583" s="9" t="str">
        <x:v>验证工作台计算零人数ARPU</x:v>
      </x:c>
      <x:c r="H583" s="9" t="str">
        <x:v>零人数ARPU</x:v>
      </x:c>
      <x:c r="I583" s="9" t="str">
        <x:v>1. 当前执行账号具有管理后台会话，身份为平台管理员；具体账号及权限变化按以下条件准备
2. D无新注册用户充值成功</x:v>
      </x:c>
      <x:c r="J583" s="9" t="str">
        <x:v>1. 打开工作台
2. 查看零人数ARPU指标</x:v>
      </x:c>
      <x:c r="K583" s="9" t="str">
        <x:v>新用户ARPU=0USD</x:v>
      </x:c>
      <x:c r="L583" s="10" t="str"/>
      <x:c r="M583" s="10" t="str">
        <x:v>未测</x:v>
      </x:c>
      <x:c r="N583" s="10" t="str"/>
      <x:c r="O583" s="9" t="str">
        <x:v>1. 来源（当前证据）：liveshow-proto/MainBasis/统一需求文档.md；位置：第2198行、第2191行、第2192行
2. 规则：BR-e1fb5bea447663a4
3. 未动态验证</x:v>
      </x:c>
    </x:row>
    <x:row r="584" ht="115" customHeight="1">
      <x:c r="A584" s="10" t="n">
        <x:v>583</x:v>
      </x:c>
      <x:c r="B584" s="10" t="str">
        <x:v>ADMIN-0583</x:v>
      </x:c>
      <x:c r="C584" s="10" t="str">
        <x:v>数据报表</x:v>
      </x:c>
      <x:c r="D584" s="10" t="str">
        <x:v>工作台（平台管理员）</x:v>
      </x:c>
      <x:c r="E584" s="10" t="str">
        <x:v>功能需求</x:v>
      </x:c>
      <x:c r="F584" s="10" t="str">
        <x:v>P1</x:v>
      </x:c>
      <x:c r="G584" s="9" t="str">
        <x:v>验证工作台趋势为最近七个完整自然日</x:v>
      </x:c>
      <x:c r="H584" s="9" t="str">
        <x:v>趋势时间范围</x:v>
      </x:c>
      <x:c r="I584" s="9" t="str">
        <x:v>1. 当前执行账号具有管理后台会话，身份为平台管理员；具体账号及权限变化按以下条件准备
2. 最新完整自然日D为2026-09-13；9月7日至13日都有指标数据</x:v>
      </x:c>
      <x:c r="J584" s="9" t="str">
        <x:v>1. 打开工作台
2. 点击活跃用户指标卡</x:v>
      </x:c>
      <x:c r="K584" s="9" t="str">
        <x:v>趋势日期为2026-09-07至2026-09-13</x:v>
      </x:c>
      <x:c r="L584" s="10" t="str"/>
      <x:c r="M584" s="10" t="str">
        <x:v>未测</x:v>
      </x:c>
      <x:c r="N584" s="10" t="str"/>
      <x:c r="O584" s="9" t="str">
        <x:v>1. 来源（当前证据）：liveshow-proto/MainBasis/统一需求文档.md；位置：第2201行、第2191行、第2192行
2. 规则：BR-41adfd558df3df3f
3. 未动态验证</x:v>
      </x:c>
    </x:row>
    <x:row r="585" ht="115" customHeight="1">
      <x:c r="A585" s="10" t="n">
        <x:v>584</x:v>
      </x:c>
      <x:c r="B585" s="10" t="str">
        <x:v>ADMIN-0584</x:v>
      </x:c>
      <x:c r="C585" s="10" t="str">
        <x:v>数据报表</x:v>
      </x:c>
      <x:c r="D585" s="10" t="str">
        <x:v>工作台（平台管理员）</x:v>
      </x:c>
      <x:c r="E585" s="10" t="str">
        <x:v>功能需求</x:v>
      </x:c>
      <x:c r="F585" s="10" t="str">
        <x:v>P1</x:v>
      </x:c>
      <x:c r="G585" s="9" t="str">
        <x:v>验证工作台数据点读取准确指标</x:v>
      </x:c>
      <x:c r="H585" s="9" t="str">
        <x:v>趋势点关联</x:v>
      </x:c>
      <x:c r="I585" s="9" t="str">
        <x:v>1. 当前执行账号具有管理后台会话，身份为平台管理员；具体账号及权限变化按以下条件准备
2. 9月13日活跃用户为100，新增用户为10，已选择活跃用户趋势</x:v>
      </x:c>
      <x:c r="J585" s="9" t="str">
        <x:v>1. 打开工作台
2. 点击9月13日趋势点</x:v>
      </x:c>
      <x:c r="K585" s="9" t="str">
        <x:v>浮层对应9月13日活跃用户100人</x:v>
      </x:c>
      <x:c r="L585" s="10" t="str"/>
      <x:c r="M585" s="10" t="str">
        <x:v>未测</x:v>
      </x:c>
      <x:c r="N585" s="10" t="str"/>
      <x:c r="O585" s="9" t="str">
        <x:v>1. 来源（当前证据）：liveshow-proto/MainBasis/统一需求文档.md；位置：第2193行、第2191行、第2192行
2. 规则：BR-91f8a37dd4e4b5b1
3. 未动态验证</x:v>
      </x:c>
    </x:row>
    <x:row r="586" ht="115" customHeight="1">
      <x:c r="A586" s="10" t="n">
        <x:v>585</x:v>
      </x:c>
      <x:c r="B586" s="10" t="str">
        <x:v>ADMIN-0585</x:v>
      </x:c>
      <x:c r="C586" s="10" t="str">
        <x:v>数据报表</x:v>
      </x:c>
      <x:c r="D586" s="10" t="str">
        <x:v>工作台（平台管理员）</x:v>
      </x:c>
      <x:c r="E586" s="10" t="str">
        <x:v>功能需求</x:v>
      </x:c>
      <x:c r="F586" s="10" t="str">
        <x:v>P0</x:v>
      </x:c>
      <x:c r="G586" s="9" t="str">
        <x:v>验证工作台被动退款按完成时间倒序</x:v>
      </x:c>
      <x:c r="H586" s="9" t="str">
        <x:v>被动退款顺序</x:v>
      </x:c>
      <x:c r="I586" s="9" t="str">
        <x:v>1. 当前执行账号具有管理后台会话，身份为平台管理员；具体账号及权限变化按以下条件准备
2. 渠道退款R1完成10:00，R2完成11:00，同日；另有主动退款R3</x:v>
      </x:c>
      <x:c r="J586" s="9" t="str">
        <x:v>1. 打开工作台
2. 查看被动退款</x:v>
      </x:c>
      <x:c r="K586" s="9" t="str">
        <x:v>R2排列在R1之前</x:v>
      </x:c>
      <x:c r="L586" s="10" t="str"/>
      <x:c r="M586" s="10" t="str">
        <x:v>未测</x:v>
      </x:c>
      <x:c r="N586" s="10" t="str"/>
      <x:c r="O586" s="9" t="str">
        <x:v>1. 来源（当前证据）：liveshow-proto/MainBasis/统一需求文档.md；位置：第2200行、第2191行、第2192行
2. 规则：BR-a613a12b0b99be75
3. 未动态验证</x:v>
      </x:c>
    </x:row>
    <x:row r="587" ht="100" customHeight="1">
      <x:c r="A587" s="10" t="n">
        <x:v>586</x:v>
      </x:c>
      <x:c r="B587" s="10" t="str">
        <x:v>ADMIN-0586</x:v>
      </x:c>
      <x:c r="C587" s="10" t="str">
        <x:v>用户管理</x:v>
      </x:c>
      <x:c r="D587" s="10" t="str">
        <x:v>用户列表（平台管理员）</x:v>
      </x:c>
      <x:c r="E587" s="10" t="str">
        <x:v>逻辑校验</x:v>
      </x:c>
      <x:c r="F587" s="10" t="str">
        <x:v>P0</x:v>
      </x:c>
      <x:c r="G587" s="9" t="str">
        <x:v>验证用户列表核算累计充值</x:v>
      </x:c>
      <x:c r="H587" s="9" t="str">
        <x:v>累计充值</x:v>
      </x:c>
      <x:c r="I587" s="9" t="str">
        <x:v>1. 当前执行账号具有管理后台会话，身份为平台管理员；具体账号及权限变化按以下条件准备
2. A两笔支付成功订单10USD、20USD；另有失败30USD</x:v>
      </x:c>
      <x:c r="J587" s="9" t="str">
        <x:v>1. 打开用户列表
2. 查看累计充值</x:v>
      </x:c>
      <x:c r="K587" s="9" t="str">
        <x:v>累计充值=30USD</x:v>
      </x:c>
      <x:c r="L587" s="10" t="str"/>
      <x:c r="M587" s="10" t="str">
        <x:v>未测</x:v>
      </x:c>
      <x:c r="N587" s="10" t="str"/>
      <x:c r="O587" s="9" t="str">
        <x:v>1. 来源（当前证据）：liveshow-proto/MainBasis/统一需求文档.md；位置：第2211行、第2205行、第2206行
2. 规则：BR-b66aca5fda352222
3. 未动态验证</x:v>
      </x:c>
    </x:row>
    <x:row r="588" ht="85" customHeight="1">
      <x:c r="A588" s="10" t="n">
        <x:v>587</x:v>
      </x:c>
      <x:c r="B588" s="10" t="str">
        <x:v>ADMIN-0587</x:v>
      </x:c>
      <x:c r="C588" s="10" t="str">
        <x:v>用户管理</x:v>
      </x:c>
      <x:c r="D588" s="10" t="str">
        <x:v>用户列表（平台管理员）</x:v>
      </x:c>
      <x:c r="E588" s="10" t="str">
        <x:v>功能需求</x:v>
      </x:c>
      <x:c r="F588" s="10" t="str">
        <x:v>P1</x:v>
      </x:c>
      <x:c r="G588" s="9" t="str">
        <x:v>验证用户列表核算无公会占位</x:v>
      </x:c>
      <x:c r="H588" s="9" t="str">
        <x:v>无公会占位</x:v>
      </x:c>
      <x:c r="I588" s="9" t="str">
        <x:v>1. 当前执行账号具有管理后台会话，身份为平台管理员；具体账号及权限变化按以下条件准备
2. A当前没有有效公会关系</x:v>
      </x:c>
      <x:c r="J588" s="9" t="str">
        <x:v>1. 打开用户列表
2. 查看无公会占位</x:v>
      </x:c>
      <x:c r="K588" s="9" t="str">
        <x:v>所属公会显示“-”</x:v>
      </x:c>
      <x:c r="L588" s="10" t="str"/>
      <x:c r="M588" s="10" t="str">
        <x:v>未测</x:v>
      </x:c>
      <x:c r="N588" s="10" t="str"/>
      <x:c r="O588" s="9" t="str">
        <x:v>1. 来源（当前证据）：liveshow-proto/MainBasis/统一需求文档.md；位置：第2214行、第2205行、第2206行
2. 规则：BR-862a39bf171e845d
3. 未动态验证</x:v>
      </x:c>
    </x:row>
    <x:row r="589" ht="100" customHeight="1">
      <x:c r="A589" s="10" t="n">
        <x:v>588</x:v>
      </x:c>
      <x:c r="B589" s="10" t="str">
        <x:v>ADMIN-0588</x:v>
      </x:c>
      <x:c r="C589" s="10" t="str">
        <x:v>主播管理</x:v>
      </x:c>
      <x:c r="D589" s="10" t="str">
        <x:v>直播场次（平台管理员）</x:v>
      </x:c>
      <x:c r="E589" s="10" t="str">
        <x:v>功能需求</x:v>
      </x:c>
      <x:c r="F589" s="10" t="str">
        <x:v>P1</x:v>
      </x:c>
      <x:c r="G589" s="9" t="str">
        <x:v>验证直播场次核算结束场次时长</x:v>
      </x:c>
      <x:c r="H589" s="9" t="str">
        <x:v>结束场次时长</x:v>
      </x:c>
      <x:c r="I589" s="9" t="str">
        <x:v>1. 当前执行账号具有管理后台会话，身份为平台管理员；具体账号及权限变化按以下条件准备
2. S1从10:00直播至10:40结束，无无效时间段</x:v>
      </x:c>
      <x:c r="J589" s="9" t="str">
        <x:v>1. 打开直播场次
2. 查看结束场次时长</x:v>
      </x:c>
      <x:c r="K589" s="9" t="str">
        <x:v>直播时长=40分钟</x:v>
      </x:c>
      <x:c r="L589" s="10" t="str"/>
      <x:c r="M589" s="10" t="str">
        <x:v>未测</x:v>
      </x:c>
      <x:c r="N589" s="10" t="str"/>
      <x:c r="O589" s="9" t="str">
        <x:v>1. 来源（当前证据）：liveshow-proto/MainBasis/统一需求文档.md；位置：第2289行、第2282行、第2283行
2. 规则：BR-c9ba25924d2e23db
3. 未动态验证</x:v>
      </x:c>
    </x:row>
    <x:row r="590" ht="100" customHeight="1">
      <x:c r="A590" s="10" t="n">
        <x:v>589</x:v>
      </x:c>
      <x:c r="B590" s="10" t="str">
        <x:v>ADMIN-0589</x:v>
      </x:c>
      <x:c r="C590" s="10" t="str">
        <x:v>主播管理</x:v>
      </x:c>
      <x:c r="D590" s="10" t="str">
        <x:v>直播场次（平台管理员）</x:v>
      </x:c>
      <x:c r="E590" s="10" t="str">
        <x:v>功能需求</x:v>
      </x:c>
      <x:c r="F590" s="10" t="str">
        <x:v>P1</x:v>
      </x:c>
      <x:c r="G590" s="9" t="str">
        <x:v>验证直播场次核算进行中场次时长</x:v>
      </x:c>
      <x:c r="H590" s="9" t="str">
        <x:v>进行中场次时长</x:v>
      </x:c>
      <x:c r="I590" s="9" t="str">
        <x:v>1. 当前执行账号具有管理后台会话，身份为平台管理员；具体账号及权限变化按以下条件准备
2. S1从10:00开始直播，受控当前时间10:40，仍在播</x:v>
      </x:c>
      <x:c r="J590" s="9" t="str">
        <x:v>1. 打开直播场次
2. 查看进行中场次时长</x:v>
      </x:c>
      <x:c r="K590" s="9" t="str">
        <x:v>直播时长=40分钟</x:v>
      </x:c>
      <x:c r="L590" s="10" t="str"/>
      <x:c r="M590" s="10" t="str">
        <x:v>未测</x:v>
      </x:c>
      <x:c r="N590" s="10" t="str"/>
      <x:c r="O590" s="9" t="str">
        <x:v>1. 来源（当前证据）：liveshow-proto/MainBasis/统一需求文档.md；位置：第2289行、第2282行、第2283行
2. 规则：BR-5d2ae1dff3d5c01b
3. 未动态验证</x:v>
      </x:c>
    </x:row>
    <x:row r="591" ht="115" customHeight="1">
      <x:c r="A591" s="10" t="n">
        <x:v>590</x:v>
      </x:c>
      <x:c r="B591" s="10" t="str">
        <x:v>ADMIN-0590</x:v>
      </x:c>
      <x:c r="C591" s="10" t="str">
        <x:v>主播管理</x:v>
      </x:c>
      <x:c r="D591" s="10" t="str">
        <x:v>直播详情（平台管理员）</x:v>
      </x:c>
      <x:c r="E591" s="10" t="str">
        <x:v>逻辑校验</x:v>
      </x:c>
      <x:c r="F591" s="10" t="str">
        <x:v>P1</x:v>
      </x:c>
      <x:c r="G591" s="9" t="str">
        <x:v>验证直播详情核算礼物件数不含门票</x:v>
      </x:c>
      <x:c r="H591" s="9" t="str">
        <x:v>礼物件数不含门票</x:v>
      </x:c>
      <x:c r="I591" s="9" t="str">
        <x:v>1. 当前执行账号具有管理后台会话，身份为平台管理员；具体账号及权限变化按以下条件准备
2. S1成功普通礼物2件、幸运礼物3件、门票1张，另有失败礼物4件</x:v>
      </x:c>
      <x:c r="J591" s="9" t="str">
        <x:v>1. 打开直播详情
2. 查看礼物件数不含门票</x:v>
      </x:c>
      <x:c r="K591" s="9" t="str">
        <x:v>收礼数量=5件</x:v>
      </x:c>
      <x:c r="L591" s="10" t="str"/>
      <x:c r="M591" s="10" t="str">
        <x:v>未测</x:v>
      </x:c>
      <x:c r="N591" s="10" t="str"/>
      <x:c r="O591" s="9" t="str">
        <x:v>1. 来源（当前证据）：liveshow-proto/MainBasis/统一需求文档.md；位置：第2302行、第2296行、第2297行
2. 规则：BR-9d29300e1177fc8b
3. 未动态验证</x:v>
      </x:c>
    </x:row>
    <x:row r="592" ht="100" customHeight="1">
      <x:c r="A592" s="10" t="n">
        <x:v>591</x:v>
      </x:c>
      <x:c r="B592" s="10" t="str">
        <x:v>ADMIN-0591</x:v>
      </x:c>
      <x:c r="C592" s="10" t="str">
        <x:v>公会管理</x:v>
      </x:c>
      <x:c r="D592" s="10" t="str">
        <x:v>公会列表（平台管理员）</x:v>
      </x:c>
      <x:c r="E592" s="10" t="str">
        <x:v>功能需求</x:v>
      </x:c>
      <x:c r="F592" s="10" t="str">
        <x:v>P1</x:v>
      </x:c>
      <x:c r="G592" s="9" t="str">
        <x:v>验证公会列表核算当前主播人数</x:v>
      </x:c>
      <x:c r="H592" s="9" t="str">
        <x:v>当前主播人数</x:v>
      </x:c>
      <x:c r="I592" s="9" t="str">
        <x:v>1. 当前执行账号具有管理后台会话，身份为平台管理员；具体账号及权限变化按以下条件准备
2. G有效在会主播A、B，已退会C</x:v>
      </x:c>
      <x:c r="J592" s="9" t="str">
        <x:v>1. 打开公会列表
2. 查看当前主播人数</x:v>
      </x:c>
      <x:c r="K592" s="9" t="str">
        <x:v>主播人数=2人</x:v>
      </x:c>
      <x:c r="L592" s="10" t="str"/>
      <x:c r="M592" s="10" t="str">
        <x:v>未测</x:v>
      </x:c>
      <x:c r="N592" s="10" t="str"/>
      <x:c r="O592" s="9" t="str">
        <x:v>1. 来源（当前证据）：liveshow-proto/MainBasis/统一需求文档.md；位置：第2433行、第2428行、第2429行
2. 规则：BR-12945c50aebceee6
3. 未动态验证</x:v>
      </x:c>
    </x:row>
    <x:row r="593" ht="100" customHeight="1">
      <x:c r="A593" s="10" t="n">
        <x:v>592</x:v>
      </x:c>
      <x:c r="B593" s="10" t="str">
        <x:v>ADMIN-0592</x:v>
      </x:c>
      <x:c r="C593" s="10" t="str">
        <x:v>公会管理</x:v>
      </x:c>
      <x:c r="D593" s="10" t="str">
        <x:v>公会详情（平台管理员）</x:v>
      </x:c>
      <x:c r="E593" s="10" t="str">
        <x:v>逻辑校验</x:v>
      </x:c>
      <x:c r="F593" s="10" t="str">
        <x:v>P0</x:v>
      </x:c>
      <x:c r="G593" s="9" t="str">
        <x:v>验证公会详情核算公会累计收益</x:v>
      </x:c>
      <x:c r="H593" s="9" t="str">
        <x:v>公会累计收益</x:v>
      </x:c>
      <x:c r="I593" s="9" t="str">
        <x:v>1. 当前执行账号具有管理后台会话，身份为平台管理员；具体账号及权限变化按以下条件准备
2. G旗下A收益100金币、B收益200金币，无其他收益</x:v>
      </x:c>
      <x:c r="J593" s="9" t="str">
        <x:v>1. 打开公会详情
2. 查看公会累计收益</x:v>
      </x:c>
      <x:c r="K593" s="9" t="str">
        <x:v>累计收益=300金币</x:v>
      </x:c>
      <x:c r="L593" s="10" t="str"/>
      <x:c r="M593" s="10" t="str">
        <x:v>未测</x:v>
      </x:c>
      <x:c r="N593" s="10" t="str"/>
      <x:c r="O593" s="9" t="str">
        <x:v>1. 来源（当前证据）：liveshow-proto/MainBasis/统一需求文档.md；位置：第2451行、第2442行、第2443行
2. 规则：BR-580322f5715f86b3
3. 未动态验证</x:v>
      </x:c>
    </x:row>
    <x:row r="594" ht="100" customHeight="1">
      <x:c r="A594" s="10" t="n">
        <x:v>593</x:v>
      </x:c>
      <x:c r="B594" s="10" t="str">
        <x:v>ADMIN-0593</x:v>
      </x:c>
      <x:c r="C594" s="10" t="str">
        <x:v>主播管理</x:v>
      </x:c>
      <x:c r="D594" s="10" t="str">
        <x:v>排班详情（平台管理员）</x:v>
      </x:c>
      <x:c r="E594" s="10" t="str">
        <x:v>功能需求</x:v>
      </x:c>
      <x:c r="F594" s="10" t="str">
        <x:v>P1</x:v>
      </x:c>
      <x:c r="G594" s="9" t="str">
        <x:v>验证排班详情核算排班有效人数</x:v>
      </x:c>
      <x:c r="H594" s="9" t="str">
        <x:v>排班有效人数</x:v>
      </x:c>
      <x:c r="I594" s="9" t="str">
        <x:v>1. 当前执行账号具有管理后台会话，身份为平台管理员；具体账号及权限变化按以下条件准备
2. 排班S有效巡房人员A、B、C，共3人</x:v>
      </x:c>
      <x:c r="J594" s="9" t="str">
        <x:v>1. 打开排班详情
2. 查看排班有效人数</x:v>
      </x:c>
      <x:c r="K594" s="9" t="str">
        <x:v>排班人数=3人</x:v>
      </x:c>
      <x:c r="L594" s="10" t="str"/>
      <x:c r="M594" s="10" t="str">
        <x:v>未测</x:v>
      </x:c>
      <x:c r="N594" s="10" t="str"/>
      <x:c r="O594" s="9" t="str">
        <x:v>1. 来源（当前证据）：liveshow-proto/MainBasis/统一需求文档.md；位置：第2334行、第2330行、第2331行
2. 规则：BR-69a83e8f66a75888
3. 未动态验证</x:v>
      </x:c>
    </x:row>
    <x:row r="595" ht="100" customHeight="1">
      <x:c r="A595" s="10" t="n">
        <x:v>594</x:v>
      </x:c>
      <x:c r="B595" s="10" t="str">
        <x:v>ADMIN-0594</x:v>
      </x:c>
      <x:c r="C595" s="10" t="str">
        <x:v>运营配置</x:v>
      </x:c>
      <x:c r="D595" s="10" t="str">
        <x:v>推送管理（平台管理员）</x:v>
      </x:c>
      <x:c r="E595" s="10" t="str">
        <x:v>功能需求</x:v>
      </x:c>
      <x:c r="F595" s="10" t="str">
        <x:v>P1</x:v>
      </x:c>
      <x:c r="G595" s="9" t="str">
        <x:v>验证推送管理核算成功推送去重人数</x:v>
      </x:c>
      <x:c r="H595" s="9" t="str">
        <x:v>成功推送去重人数</x:v>
      </x:c>
      <x:c r="I595" s="9" t="str">
        <x:v>1. 当前执行账号具有管理后台会话，身份为平台管理员；具体账号及权限变化按以下条件准备
2. 推送P对A成功2次、B成功1次、C失败</x:v>
      </x:c>
      <x:c r="J595" s="9" t="str">
        <x:v>1. 打开推送管理
2. 查看成功推送去重人数</x:v>
      </x:c>
      <x:c r="K595" s="9" t="str">
        <x:v>发送人数=2人</x:v>
      </x:c>
      <x:c r="L595" s="10" t="str"/>
      <x:c r="M595" s="10" t="str">
        <x:v>未测</x:v>
      </x:c>
      <x:c r="N595" s="10" t="str"/>
      <x:c r="O595" s="9" t="str">
        <x:v>1. 来源（当前证据）：liveshow-proto/MainBasis/统一需求文档.md；位置：第2617行、第2612行、第2613行
2. 规则：BR-d6608c8dba89500a
3. 未动态验证</x:v>
      </x:c>
    </x:row>
    <x:row r="596" ht="115" customHeight="1">
      <x:c r="A596" s="10" t="n">
        <x:v>595</x:v>
      </x:c>
      <x:c r="B596" s="10" t="str">
        <x:v>ADMIN-0595</x:v>
      </x:c>
      <x:c r="C596" s="10" t="str">
        <x:v>用户管理</x:v>
      </x:c>
      <x:c r="D596" s="10" t="str">
        <x:v>用户列表（平台管理员）</x:v>
      </x:c>
      <x:c r="E596" s="10" t="str">
        <x:v>功能需求</x:v>
      </x:c>
      <x:c r="F596" s="10" t="str">
        <x:v>P1</x:v>
      </x:c>
      <x:c r="G596" s="9" t="str">
        <x:v>验证用户列表组合筛选交集</x:v>
      </x:c>
      <x:c r="H596" s="9" t="str">
        <x:v>多条件交集</x:v>
      </x:c>
      <x:c r="I596" s="9" t="str">
        <x:v>1. 当前执行账号具有管理后台会话，身份为平台管理员；具体账号及权限变化按以下条件准备
2. 记录R1满足全部条件“昵称测试甲、账号正常”；其余记录每条至少有一个条件不满足</x:v>
      </x:c>
      <x:c r="J596" s="9" t="str">
        <x:v>1. 打开用户列表
2. 选择筛选条件“昵称测试甲、账号正常”
3. 点击“查询”</x:v>
      </x:c>
      <x:c r="K596" s="9" t="str">
        <x:v>筛选结果仅包含R1</x:v>
      </x:c>
      <x:c r="L596" s="10" t="str"/>
      <x:c r="M596" s="10" t="str">
        <x:v>未测</x:v>
      </x:c>
      <x:c r="N596" s="10" t="str"/>
      <x:c r="O596" s="9" t="str">
        <x:v>1. 来源（当前证据）：liveshow-proto/MainBasis/统一需求文档.md；位置：第2217行、第2205行、第2206行
2. 规则：BR-e75b96c348e18a58
3. 未动态验证</x:v>
      </x:c>
    </x:row>
    <x:row r="597" ht="130" customHeight="1">
      <x:c r="A597" s="10" t="n">
        <x:v>596</x:v>
      </x:c>
      <x:c r="B597" s="10" t="str">
        <x:v>ADMIN-0596</x:v>
      </x:c>
      <x:c r="C597" s="10" t="str">
        <x:v>主播管理</x:v>
      </x:c>
      <x:c r="D597" s="10" t="str">
        <x:v>主播审核（平台管理员）</x:v>
      </x:c>
      <x:c r="E597" s="10" t="str">
        <x:v>功能需求</x:v>
      </x:c>
      <x:c r="F597" s="10" t="str">
        <x:v>P1</x:v>
      </x:c>
      <x:c r="G597" s="9" t="str">
        <x:v>验证主播审核组合筛选交集</x:v>
      </x:c>
      <x:c r="H597" s="9" t="str">
        <x:v>多条件交集</x:v>
      </x:c>
      <x:c r="I597" s="9" t="str">
        <x:v>1. 当前执行账号具有管理后台会话，身份为平台管理员；具体账号及权限变化按以下条件准备
2. 记录R1满足全部条件“公会G、待审核、主播申请人A”；其余记录每条至少有一个条件不满足</x:v>
      </x:c>
      <x:c r="J597" s="9" t="str">
        <x:v>1. 打开主播审核
2. 选择筛选条件“公会G、待审核、主播申请人A”
3. 点击“查询”</x:v>
      </x:c>
      <x:c r="K597" s="9" t="str">
        <x:v>筛选结果仅包含R1</x:v>
      </x:c>
      <x:c r="L597" s="10" t="str"/>
      <x:c r="M597" s="10" t="str">
        <x:v>未测</x:v>
      </x:c>
      <x:c r="N597" s="10" t="str"/>
      <x:c r="O597" s="9" t="str">
        <x:v>1. 来源（当前证据）：liveshow-proto/MainBasis/统一需求文档.md；位置：第2268行、第2259行、第2260行
2. 规则：BR-1e8c57d52ab8ee1c
3. 未动态验证</x:v>
      </x:c>
    </x:row>
    <x:row r="598" ht="115" customHeight="1">
      <x:c r="A598" s="10" t="n">
        <x:v>597</x:v>
      </x:c>
      <x:c r="B598" s="10" t="str">
        <x:v>ADMIN-0597</x:v>
      </x:c>
      <x:c r="C598" s="10" t="str">
        <x:v>主播管理</x:v>
      </x:c>
      <x:c r="D598" s="10" t="str">
        <x:v>直播场次（平台管理员）</x:v>
      </x:c>
      <x:c r="E598" s="10" t="str">
        <x:v>功能需求</x:v>
      </x:c>
      <x:c r="F598" s="10" t="str">
        <x:v>P1</x:v>
      </x:c>
      <x:c r="G598" s="9" t="str">
        <x:v>验证直播场次组合筛选交集</x:v>
      </x:c>
      <x:c r="H598" s="9" t="str">
        <x:v>多条件交集</x:v>
      </x:c>
      <x:c r="I598" s="9" t="str">
        <x:v>1. 当前执行账号具有管理后台会话，身份为平台管理员；具体账号及权限变化按以下条件准备
2. 记录R1满足全部条件“主播A、直播中”；其余记录每条至少有一个条件不满足</x:v>
      </x:c>
      <x:c r="J598" s="9" t="str">
        <x:v>1. 打开直播场次
2. 选择筛选条件“主播A、直播中”
3. 点击“查询”</x:v>
      </x:c>
      <x:c r="K598" s="9" t="str">
        <x:v>筛选结果仅包含R1</x:v>
      </x:c>
      <x:c r="L598" s="10" t="str"/>
      <x:c r="M598" s="10" t="str">
        <x:v>未测</x:v>
      </x:c>
      <x:c r="N598" s="10" t="str"/>
      <x:c r="O598" s="9" t="str">
        <x:v>1. 来源（当前证据）：liveshow-proto/MainBasis/统一需求文档.md；位置：第2293行、第2282行、第2283行
2. 规则：BR-c3fcf5724f32af45
3. 未动态验证</x:v>
      </x:c>
    </x:row>
    <x:row r="599" ht="115" customHeight="1">
      <x:c r="A599" s="10" t="n">
        <x:v>598</x:v>
      </x:c>
      <x:c r="B599" s="10" t="str">
        <x:v>ADMIN-0598</x:v>
      </x:c>
      <x:c r="C599" s="10" t="str">
        <x:v>内容审核</x:v>
      </x:c>
      <x:c r="D599" s="10" t="str">
        <x:v>账号违规（平台管理员）</x:v>
      </x:c>
      <x:c r="E599" s="10" t="str">
        <x:v>功能需求</x:v>
      </x:c>
      <x:c r="F599" s="10" t="str">
        <x:v>P1</x:v>
      </x:c>
      <x:c r="G599" s="9" t="str">
        <x:v>验证账号违规组合筛选交集</x:v>
      </x:c>
      <x:c r="H599" s="9" t="str">
        <x:v>多条件交集</x:v>
      </x:c>
      <x:c r="I599" s="9" t="str">
        <x:v>1. 当前执行账号具有管理后台会话，身份为平台管理员；具体账号及权限变化按以下条件准备
2. 记录R1满足全部条件“待处理、用户A”；其余记录每条至少有一个条件不满足</x:v>
      </x:c>
      <x:c r="J599" s="9" t="str">
        <x:v>1. 打开账号违规
2. 选择筛选条件“待处理、用户A”
3. 点击“查询”</x:v>
      </x:c>
      <x:c r="K599" s="9" t="str">
        <x:v>筛选结果仅包含R1</x:v>
      </x:c>
      <x:c r="L599" s="10" t="str"/>
      <x:c r="M599" s="10" t="str">
        <x:v>未测</x:v>
      </x:c>
      <x:c r="N599" s="10" t="str"/>
      <x:c r="O599" s="9" t="str">
        <x:v>1. 来源（当前证据）：liveshow-proto/MainBasis/统一需求文档.md；位置：第2368行、第2359行、第2360行
2. 规则：BR-2f233507097f6d1a
3. 未动态验证</x:v>
      </x:c>
    </x:row>
    <x:row r="600" ht="130" customHeight="1">
      <x:c r="A600" s="10" t="n">
        <x:v>599</x:v>
      </x:c>
      <x:c r="B600" s="10" t="str">
        <x:v>ADMIN-0599</x:v>
      </x:c>
      <x:c r="C600" s="10" t="str">
        <x:v>运营配置</x:v>
      </x:c>
      <x:c r="D600" s="10" t="str">
        <x:v>展位配置（平台管理员）</x:v>
      </x:c>
      <x:c r="E600" s="10" t="str">
        <x:v>功能需求</x:v>
      </x:c>
      <x:c r="F600" s="10" t="str">
        <x:v>P1</x:v>
      </x:c>
      <x:c r="G600" s="9" t="str">
        <x:v>验证展位配置组合筛选交集</x:v>
      </x:c>
      <x:c r="H600" s="9" t="str">
        <x:v>多条件交集</x:v>
      </x:c>
      <x:c r="I600" s="9" t="str">
        <x:v>1. 当前执行账号具有管理后台会话，身份为平台管理员；具体账号及权限变化按以下条件准备
2. 记录R1满足全部条件“直播广场运营位、启用、当前日期”；其余记录每条至少有一个条件不满足</x:v>
      </x:c>
      <x:c r="J600" s="9" t="str">
        <x:v>1. 打开展位配置
2. 选择筛选条件“直播广场运营位、启用、当前日期”
3. 点击“查询”</x:v>
      </x:c>
      <x:c r="K600" s="9" t="str">
        <x:v>筛选结果仅包含R1</x:v>
      </x:c>
      <x:c r="L600" s="10" t="str"/>
      <x:c r="M600" s="10" t="str">
        <x:v>未测</x:v>
      </x:c>
      <x:c r="N600" s="10" t="str"/>
      <x:c r="O600" s="9" t="str">
        <x:v>1. 来源（当前证据）：liveshow-proto/MainBasis/统一需求文档.md；位置：第2591行、第2583行、第2584行
2. 规则：BR-0953b4680d86552c
3. 未动态验证</x:v>
      </x:c>
    </x:row>
    <x:row r="601" ht="115" customHeight="1">
      <x:c r="A601" s="10" t="n">
        <x:v>600</x:v>
      </x:c>
      <x:c r="B601" s="10" t="str">
        <x:v>ADMIN-0600</x:v>
      </x:c>
      <x:c r="C601" s="10" t="str">
        <x:v>运营配置</x:v>
      </x:c>
      <x:c r="D601" s="10" t="str">
        <x:v>推送管理（平台管理员）</x:v>
      </x:c>
      <x:c r="E601" s="10" t="str">
        <x:v>功能需求</x:v>
      </x:c>
      <x:c r="F601" s="10" t="str">
        <x:v>P1</x:v>
      </x:c>
      <x:c r="G601" s="9" t="str">
        <x:v>验证推送管理组合筛选交集</x:v>
      </x:c>
      <x:c r="H601" s="9" t="str">
        <x:v>多条件交集</x:v>
      </x:c>
      <x:c r="I601" s="9" t="str">
        <x:v>1. 当前执行账号具有管理后台会话，身份为平台管理员；具体账号及权限变化按以下条件准备
2. 记录R1满足全部条件“指定公会G、已发送、当日”；其余记录每条至少有一个条件不满足</x:v>
      </x:c>
      <x:c r="J601" s="9" t="str">
        <x:v>1. 打开推送管理
2. 选择筛选条件“指定公会G、已发送、当日”
3. 点击“查询”</x:v>
      </x:c>
      <x:c r="K601" s="9" t="str">
        <x:v>筛选结果仅包含R1</x:v>
      </x:c>
      <x:c r="L601" s="10" t="str"/>
      <x:c r="M601" s="10" t="str">
        <x:v>未测</x:v>
      </x:c>
      <x:c r="N601" s="10" t="str"/>
      <x:c r="O601" s="9" t="str">
        <x:v>1. 来源（当前证据）：liveshow-proto/MainBasis/统一需求文档.md；位置：第2620行、第2612行、第2613行
2. 规则：BR-1cecec2b2ea713fd
3. 未动态验证</x:v>
      </x:c>
    </x:row>
    <x:row r="602" ht="115" customHeight="1">
      <x:c r="A602" s="10" t="n">
        <x:v>601</x:v>
      </x:c>
      <x:c r="B602" s="10" t="str">
        <x:v>ADMIN-0601</x:v>
      </x:c>
      <x:c r="C602" s="10" t="str">
        <x:v>财务结算</x:v>
      </x:c>
      <x:c r="D602" s="10" t="str">
        <x:v>充值订单（平台管理员）</x:v>
      </x:c>
      <x:c r="E602" s="10" t="str">
        <x:v>功能需求</x:v>
      </x:c>
      <x:c r="F602" s="10" t="str">
        <x:v>P0</x:v>
      </x:c>
      <x:c r="G602" s="9" t="str">
        <x:v>验证充值订单组合筛选交集</x:v>
      </x:c>
      <x:c r="H602" s="9" t="str">
        <x:v>多条件交集</x:v>
      </x:c>
      <x:c r="I602" s="9" t="str">
        <x:v>1. 当前执行账号具有管理后台会话，身份为平台管理员；具体账号及权限变化按以下条件准备
2. 记录R1满足全部条件“用户A、当日、支付成功”；其余记录每条至少有一个条件不满足</x:v>
      </x:c>
      <x:c r="J602" s="9" t="str">
        <x:v>1. 打开充值订单
2. 选择筛选条件“用户A、当日、支付成功”
3. 点击“查询”</x:v>
      </x:c>
      <x:c r="K602" s="9" t="str">
        <x:v>筛选结果仅包含R1</x:v>
      </x:c>
      <x:c r="L602" s="10" t="str"/>
      <x:c r="M602" s="10" t="str">
        <x:v>未测</x:v>
      </x:c>
      <x:c r="N602" s="10" t="str"/>
      <x:c r="O602" s="9" t="str">
        <x:v>1. 来源（当前证据）：liveshow-proto/MainBasis/统一需求文档.md；位置：第2792行、第2782行、第2783行
2. 规则：BR-774b9a367e4c3fc1
3. 未动态验证</x:v>
      </x:c>
    </x:row>
    <x:row r="603" ht="115" customHeight="1">
      <x:c r="A603" s="10" t="n">
        <x:v>602</x:v>
      </x:c>
      <x:c r="B603" s="10" t="str">
        <x:v>ADMIN-0602</x:v>
      </x:c>
      <x:c r="C603" s="10" t="str">
        <x:v>财务结算</x:v>
      </x:c>
      <x:c r="D603" s="10" t="str">
        <x:v>消费订单（平台管理员）</x:v>
      </x:c>
      <x:c r="E603" s="10" t="str">
        <x:v>功能需求</x:v>
      </x:c>
      <x:c r="F603" s="10" t="str">
        <x:v>P1</x:v>
      </x:c>
      <x:c r="G603" s="9" t="str">
        <x:v>验证消费订单组合筛选交集</x:v>
      </x:c>
      <x:c r="H603" s="9" t="str">
        <x:v>多条件交集</x:v>
      </x:c>
      <x:c r="I603" s="9" t="str">
        <x:v>1. 当前执行账号具有管理后台会话，身份为平台管理员；具体账号及权限变化按以下条件准备
2. 记录R1满足全部条件“用户A、普通礼物、当日”；其余记录每条至少有一个条件不满足</x:v>
      </x:c>
      <x:c r="J603" s="9" t="str">
        <x:v>1. 打开消费订单
2. 选择筛选条件“用户A、普通礼物、当日”
3. 点击“查询”</x:v>
      </x:c>
      <x:c r="K603" s="9" t="str">
        <x:v>筛选结果仅包含R1</x:v>
      </x:c>
      <x:c r="L603" s="10" t="str"/>
      <x:c r="M603" s="10" t="str">
        <x:v>未测</x:v>
      </x:c>
      <x:c r="N603" s="10" t="str"/>
      <x:c r="O603" s="9" t="str">
        <x:v>1. 来源（当前证据）：liveshow-proto/MainBasis/统一需求文档.md；位置：第2819行、第2808行、第2809行
2. 规则：BR-029dd42243d3e0c6
3. 未动态验证</x:v>
      </x:c>
    </x:row>
    <x:row r="604" ht="115" customHeight="1">
      <x:c r="A604" s="10" t="n">
        <x:v>603</x:v>
      </x:c>
      <x:c r="B604" s="10" t="str">
        <x:v>ADMIN-0603</x:v>
      </x:c>
      <x:c r="C604" s="10" t="str">
        <x:v>财务结算</x:v>
      </x:c>
      <x:c r="D604" s="10" t="str">
        <x:v>退款订单（平台管理员）</x:v>
      </x:c>
      <x:c r="E604" s="10" t="str">
        <x:v>功能需求</x:v>
      </x:c>
      <x:c r="F604" s="10" t="str">
        <x:v>P0</x:v>
      </x:c>
      <x:c r="G604" s="9" t="str">
        <x:v>验证退款订单组合筛选交集</x:v>
      </x:c>
      <x:c r="H604" s="9" t="str">
        <x:v>多条件交集</x:v>
      </x:c>
      <x:c r="I604" s="9" t="str">
        <x:v>1. 当前执行账号具有管理后台会话，身份为平台管理员；具体账号及权限变化按以下条件准备
2. 记录R1满足全部条件“用户A、当日退款”；其余记录每条至少有一个条件不满足</x:v>
      </x:c>
      <x:c r="J604" s="9" t="str">
        <x:v>1. 打开退款订单
2. 选择筛选条件“用户A、当日退款”
3. 点击“查询”</x:v>
      </x:c>
      <x:c r="K604" s="9" t="str">
        <x:v>筛选结果仅包含R1</x:v>
      </x:c>
      <x:c r="L604" s="10" t="str"/>
      <x:c r="M604" s="10" t="str">
        <x:v>未测</x:v>
      </x:c>
      <x:c r="N604" s="10" t="str"/>
      <x:c r="O604" s="9" t="str">
        <x:v>1. 来源（当前证据）：liveshow-proto/MainBasis/统一需求文档.md；位置：第2846行、第2836行、第2837行
2. 规则：BR-cb2573e9dd2a78c5
3. 未动态验证</x:v>
      </x:c>
    </x:row>
    <x:row r="605" ht="115" customHeight="1">
      <x:c r="A605" s="10" t="n">
        <x:v>604</x:v>
      </x:c>
      <x:c r="B605" s="10" t="str">
        <x:v>ADMIN-0604</x:v>
      </x:c>
      <x:c r="C605" s="10" t="str">
        <x:v>运营账号</x:v>
      </x:c>
      <x:c r="D605" s="10" t="str">
        <x:v>发放记录（平台管理员）</x:v>
      </x:c>
      <x:c r="E605" s="10" t="str">
        <x:v>功能需求</x:v>
      </x:c>
      <x:c r="F605" s="10" t="str">
        <x:v>P0</x:v>
      </x:c>
      <x:c r="G605" s="9" t="str">
        <x:v>验证发放记录组合筛选交集</x:v>
      </x:c>
      <x:c r="H605" s="9" t="str">
        <x:v>多条件交集</x:v>
      </x:c>
      <x:c r="I605" s="9" t="str">
        <x:v>1. 当前执行账号具有管理后台会话，身份为平台管理员；具体账号及权限变化按以下条件准备
2. 记录R1满足全部条件“公会G、运营账号A、当日”；其余记录每条至少有一个条件不满足</x:v>
      </x:c>
      <x:c r="J605" s="9" t="str">
        <x:v>1. 打开发放记录
2. 选择筛选条件“公会G、运营账号A、当日”
3. 点击“查询”</x:v>
      </x:c>
      <x:c r="K605" s="9" t="str">
        <x:v>筛选结果仅包含R1</x:v>
      </x:c>
      <x:c r="L605" s="10" t="str"/>
      <x:c r="M605" s="10" t="str">
        <x:v>未测</x:v>
      </x:c>
      <x:c r="N605" s="10" t="str"/>
      <x:c r="O605" s="9" t="str">
        <x:v>1. 来源（当前证据）：liveshow-proto/MainBasis/统一需求文档.md；位置：第3179行、第3170行、第3171行
2. 规则：BR-ec3a16e2c1ac7408
3. 未动态验证</x:v>
      </x:c>
    </x:row>
    <x:row r="606" ht="115" customHeight="1">
      <x:c r="A606" s="10" t="n">
        <x:v>605</x:v>
      </x:c>
      <x:c r="B606" s="10" t="str">
        <x:v>ADMIN-0605</x:v>
      </x:c>
      <x:c r="C606" s="10" t="str">
        <x:v>运营账号</x:v>
      </x:c>
      <x:c r="D606" s="10" t="str">
        <x:v>送礼记录（平台管理员）</x:v>
      </x:c>
      <x:c r="E606" s="10" t="str">
        <x:v>功能需求</x:v>
      </x:c>
      <x:c r="F606" s="10" t="str">
        <x:v>P1</x:v>
      </x:c>
      <x:c r="G606" s="9" t="str">
        <x:v>验证送礼记录组合筛选交集</x:v>
      </x:c>
      <x:c r="H606" s="9" t="str">
        <x:v>多条件交集</x:v>
      </x:c>
      <x:c r="I606" s="9" t="str">
        <x:v>1. 当前执行账号具有管理后台会话，身份为平台管理员；具体账号及权限变化按以下条件准备
2. 记录R1满足全部条件“公会G、运营账号A、当日”；其余记录每条至少有一个条件不满足</x:v>
      </x:c>
      <x:c r="J606" s="9" t="str">
        <x:v>1. 打开送礼记录
2. 选择筛选条件“公会G、运营账号A、当日”
3. 点击“查询”</x:v>
      </x:c>
      <x:c r="K606" s="9" t="str">
        <x:v>筛选结果仅包含R1</x:v>
      </x:c>
      <x:c r="L606" s="10" t="str"/>
      <x:c r="M606" s="10" t="str">
        <x:v>未测</x:v>
      </x:c>
      <x:c r="N606" s="10" t="str"/>
      <x:c r="O606" s="9" t="str">
        <x:v>1. 来源（当前证据）：liveshow-proto/MainBasis/统一需求文档.md；位置：第3191行、第3183行、第3184行
2. 规则：BR-4cce95f9bf2c84e4
3. 未动态验证</x:v>
      </x:c>
    </x:row>
    <x:row r="607" ht="145" customHeight="1">
      <x:c r="A607" s="10" t="n">
        <x:v>606</x:v>
      </x:c>
      <x:c r="B607" s="10" t="str">
        <x:v>ADMIN-0606</x:v>
      </x:c>
      <x:c r="C607" s="10" t="str">
        <x:v>财务结算</x:v>
      </x:c>
      <x:c r="D607" s="10" t="str">
        <x:v>充值订单（平台管理员）</x:v>
      </x:c>
      <x:c r="E607" s="10" t="str">
        <x:v>功能需求</x:v>
      </x:c>
      <x:c r="F607" s="10" t="str">
        <x:v>P0</x:v>
      </x:c>
      <x:c r="G607" s="9" t="str">
        <x:v>验证充值订单导出筛选结果</x:v>
      </x:c>
      <x:c r="H607" s="9" t="str">
        <x:v>订单导出范围</x:v>
      </x:c>
      <x:c r="I607" s="9" t="str">
        <x:v>1. 当前执行账号具有管理后台会话，身份为平台管理员；具体账号及权限变化按以下条件准备
2. 当前筛选仅命中R1、R2，R3在范围外
3. R1和R2的本报表统计时间为2026-09-14，R3为2026-09-13；当前范围仅9月14日</x:v>
      </x:c>
      <x:c r="J607" s="9" t="str">
        <x:v>1. 打开充值订单
2. 选择日期2026-09-14至2026-09-14
3. 点击“查询”
4. 点击“导出”
5. 打开导出文件</x:v>
      </x:c>
      <x:c r="K607" s="9" t="str">
        <x:v>导出仅包含R1和R2</x:v>
      </x:c>
      <x:c r="L607" s="10" t="str"/>
      <x:c r="M607" s="10" t="str">
        <x:v>未测</x:v>
      </x:c>
      <x:c r="N607" s="10" t="str"/>
      <x:c r="O607" s="9" t="str">
        <x:v>1. 来源（当前证据）：liveshow-proto/MainBasis/统一需求文档.md；位置：第2784行、第2782行、第2783行
2. 规则：BR-bdf5fbac3d9d2453
3. 未动态验证</x:v>
      </x:c>
    </x:row>
    <x:row r="608" ht="145" customHeight="1">
      <x:c r="A608" s="10" t="n">
        <x:v>607</x:v>
      </x:c>
      <x:c r="B608" s="10" t="str">
        <x:v>ADMIN-0607</x:v>
      </x:c>
      <x:c r="C608" s="10" t="str">
        <x:v>财务结算</x:v>
      </x:c>
      <x:c r="D608" s="10" t="str">
        <x:v>消费订单（平台管理员）</x:v>
      </x:c>
      <x:c r="E608" s="10" t="str">
        <x:v>功能需求</x:v>
      </x:c>
      <x:c r="F608" s="10" t="str">
        <x:v>P1</x:v>
      </x:c>
      <x:c r="G608" s="9" t="str">
        <x:v>验证消费订单导出筛选结果</x:v>
      </x:c>
      <x:c r="H608" s="9" t="str">
        <x:v>订单导出范围</x:v>
      </x:c>
      <x:c r="I608" s="9" t="str">
        <x:v>1. 当前执行账号具有管理后台会话，身份为平台管理员；具体账号及权限变化按以下条件准备
2. 当前筛选仅命中R1、R2，R3在范围外
3. R1和R2的本报表统计时间为2026-09-14，R3为2026-09-13；当前范围仅9月14日</x:v>
      </x:c>
      <x:c r="J608" s="9" t="str">
        <x:v>1. 打开消费订单
2. 选择日期2026-09-14至2026-09-14
3. 点击“查询”
4. 点击“导出”
5. 打开导出文件</x:v>
      </x:c>
      <x:c r="K608" s="9" t="str">
        <x:v>导出仅包含R1和R2</x:v>
      </x:c>
      <x:c r="L608" s="10" t="str"/>
      <x:c r="M608" s="10" t="str">
        <x:v>未测</x:v>
      </x:c>
      <x:c r="N608" s="10" t="str"/>
      <x:c r="O608" s="9" t="str">
        <x:v>1. 来源（当前证据）：liveshow-proto/MainBasis/统一需求文档.md；位置：第2810行、第2808行、第2809行
2. 规则：BR-c466990dfaf577a5
3. 未动态验证</x:v>
      </x:c>
    </x:row>
    <x:row r="609" ht="145" customHeight="1">
      <x:c r="A609" s="10" t="n">
        <x:v>608</x:v>
      </x:c>
      <x:c r="B609" s="10" t="str">
        <x:v>ADMIN-0608</x:v>
      </x:c>
      <x:c r="C609" s="10" t="str">
        <x:v>财务结算</x:v>
      </x:c>
      <x:c r="D609" s="10" t="str">
        <x:v>退款订单（平台管理员）</x:v>
      </x:c>
      <x:c r="E609" s="10" t="str">
        <x:v>功能需求</x:v>
      </x:c>
      <x:c r="F609" s="10" t="str">
        <x:v>P0</x:v>
      </x:c>
      <x:c r="G609" s="9" t="str">
        <x:v>验证退款订单导出筛选结果</x:v>
      </x:c>
      <x:c r="H609" s="9" t="str">
        <x:v>订单导出范围</x:v>
      </x:c>
      <x:c r="I609" s="9" t="str">
        <x:v>1. 当前执行账号具有管理后台会话，身份为平台管理员；具体账号及权限变化按以下条件准备
2. 当前筛选仅命中R1、R2，R3在范围外
3. R1和R2的本报表统计时间为2026-09-14，R3为2026-09-13；当前范围仅9月14日</x:v>
      </x:c>
      <x:c r="J609" s="9" t="str">
        <x:v>1. 打开退款订单
2. 选择日期2026-09-14至2026-09-14
3. 点击“查询”
4. 点击“导出”
5. 打开导出文件</x:v>
      </x:c>
      <x:c r="K609" s="9" t="str">
        <x:v>导出仅包含R1和R2</x:v>
      </x:c>
      <x:c r="L609" s="10" t="str"/>
      <x:c r="M609" s="10" t="str">
        <x:v>未测</x:v>
      </x:c>
      <x:c r="N609" s="10" t="str"/>
      <x:c r="O609" s="9" t="str">
        <x:v>1. 来源（当前证据）：liveshow-proto/MainBasis/统一需求文档.md；位置：第2838行、第2836行、第2837行
2. 规则：BR-2575601c94165bce
3. 未动态验证</x:v>
      </x:c>
    </x:row>
    <x:row r="610" ht="115" customHeight="1">
      <x:c r="A610" s="10" t="n">
        <x:v>609</x:v>
      </x:c>
      <x:c r="B610" s="10" t="str">
        <x:v>ADMIN-0609</x:v>
      </x:c>
      <x:c r="C610" s="10" t="str">
        <x:v>财务结算</x:v>
      </x:c>
      <x:c r="D610" s="10" t="str">
        <x:v>主播分成记录（平台管理员）</x:v>
      </x:c>
      <x:c r="E610" s="10" t="str">
        <x:v>功能需求</x:v>
      </x:c>
      <x:c r="F610" s="10" t="str">
        <x:v>P1</x:v>
      </x:c>
      <x:c r="G610" s="9" t="str">
        <x:v>验证主播分成记录保存实际上传人</x:v>
      </x:c>
      <x:c r="H610" s="9" t="str">
        <x:v>结算操作人</x:v>
      </x:c>
      <x:c r="I610" s="9" t="str">
        <x:v>1. 当前执行账号具有管理后台会话，身份为平台管理员；具体账号及权限变化按以下条件准备
2. 当前平台管理员账号A，已预览有效财务文件F，金额均大于0且对象不重复</x:v>
      </x:c>
      <x:c r="J610" s="9" t="str">
        <x:v>1. 查看当前批次预览
2. 确认导入
3. 查看该批次上传信息</x:v>
      </x:c>
      <x:c r="K610" s="9" t="str">
        <x:v>上传人显示当前账号A</x:v>
      </x:c>
      <x:c r="L610" s="10" t="str"/>
      <x:c r="M610" s="10" t="str">
        <x:v>未测</x:v>
      </x:c>
      <x:c r="N610" s="10" t="str"/>
      <x:c r="O610" s="9" t="str">
        <x:v>1. 来源（当前证据）：liveshow-proto/MainBasis/统一需求文档.md；位置：第2859行、第2849行、第2850行
2. 规则：BR-553278b9f3f0ce10
3. 未动态验证</x:v>
      </x:c>
    </x:row>
    <x:row r="611" ht="115" customHeight="1">
      <x:c r="A611" s="10" t="n">
        <x:v>610</x:v>
      </x:c>
      <x:c r="B611" s="10" t="str">
        <x:v>ADMIN-0610</x:v>
      </x:c>
      <x:c r="C611" s="10" t="str">
        <x:v>财务结算</x:v>
      </x:c>
      <x:c r="D611" s="10" t="str">
        <x:v>公会分成记录（平台管理员）</x:v>
      </x:c>
      <x:c r="E611" s="10" t="str">
        <x:v>功能需求</x:v>
      </x:c>
      <x:c r="F611" s="10" t="str">
        <x:v>P1</x:v>
      </x:c>
      <x:c r="G611" s="9" t="str">
        <x:v>验证公会分成记录保存实际上传人</x:v>
      </x:c>
      <x:c r="H611" s="9" t="str">
        <x:v>结算操作人</x:v>
      </x:c>
      <x:c r="I611" s="9" t="str">
        <x:v>1. 当前执行账号具有管理后台会话，身份为平台管理员；具体账号及权限变化按以下条件准备
2. 当前平台管理员账号A，已预览有效财务文件F，金额均大于0且对象不重复</x:v>
      </x:c>
      <x:c r="J611" s="9" t="str">
        <x:v>1. 查看当前批次预览
2. 确认导入
3. 查看该批次上传信息</x:v>
      </x:c>
      <x:c r="K611" s="9" t="str">
        <x:v>上传人显示当前账号A</x:v>
      </x:c>
      <x:c r="L611" s="10" t="str"/>
      <x:c r="M611" s="10" t="str">
        <x:v>未测</x:v>
      </x:c>
      <x:c r="N611" s="10" t="str"/>
      <x:c r="O611" s="9" t="str">
        <x:v>1. 来源（当前证据）：liveshow-proto/MainBasis/统一需求文档.md；位置：第2909行、第2899行、第2900行
2. 规则：BR-5f497c0048458c4f
3. 未动态验证</x:v>
      </x:c>
    </x:row>
    <x:row r="612" ht="100" customHeight="1">
      <x:c r="A612" s="10" t="n">
        <x:v>611</x:v>
      </x:c>
      <x:c r="B612" s="10" t="str">
        <x:v>ADMIN-0611</x:v>
      </x:c>
      <x:c r="C612" s="10" t="str">
        <x:v>运营账号</x:v>
      </x:c>
      <x:c r="D612" s="10" t="str">
        <x:v>运营账号主页（平台管理员）</x:v>
      </x:c>
      <x:c r="E612" s="10" t="str">
        <x:v>逻辑校验</x:v>
      </x:c>
      <x:c r="F612" s="10" t="str">
        <x:v>P0</x:v>
      </x:c>
      <x:c r="G612" s="9" t="str">
        <x:v>验证运营账号主页核对发放记录</x:v>
      </x:c>
      <x:c r="H612" s="9" t="str">
        <x:v>虚拟账务计算</x:v>
      </x:c>
      <x:c r="I612" s="9" t="str">
        <x:v>1. 当前执行账号具有管理后台会话，身份为平台管理员；具体账号及权限变化按以下条件准备
2. A发放前余额100虚拟金币，公会本次成功发放20</x:v>
      </x:c>
      <x:c r="J612" s="9" t="str">
        <x:v>1. 打开运营账号主页
2. 查看发放记录</x:v>
      </x:c>
      <x:c r="K612" s="9" t="str">
        <x:v>发放后余额=120虚拟金币</x:v>
      </x:c>
      <x:c r="L612" s="10" t="str"/>
      <x:c r="M612" s="10" t="str">
        <x:v>未测</x:v>
      </x:c>
      <x:c r="N612" s="10" t="str"/>
      <x:c r="O612" s="9" t="str">
        <x:v>1. 来源（当前证据）：liveshow-proto/MainBasis/统一需求文档.md；位置：第3160行、第3155行、第3156行
2. 规则：BR-a107435ff9aff110
3. 未动态验证</x:v>
      </x:c>
    </x:row>
    <x:row r="613" ht="100" customHeight="1">
      <x:c r="A613" s="10" t="n">
        <x:v>612</x:v>
      </x:c>
      <x:c r="B613" s="10" t="str">
        <x:v>ADMIN-0612</x:v>
      </x:c>
      <x:c r="C613" s="10" t="str">
        <x:v>运营账号</x:v>
      </x:c>
      <x:c r="D613" s="10" t="str">
        <x:v>运营账号主页（平台管理员）</x:v>
      </x:c>
      <x:c r="E613" s="10" t="str">
        <x:v>逻辑校验</x:v>
      </x:c>
      <x:c r="F613" s="10" t="str">
        <x:v>P1</x:v>
      </x:c>
      <x:c r="G613" s="9" t="str">
        <x:v>验证运营账号主页核对送礼记录</x:v>
      </x:c>
      <x:c r="H613" s="9" t="str">
        <x:v>虚拟账务计算</x:v>
      </x:c>
      <x:c r="I613" s="9" t="str">
        <x:v>1. 当前执行账号具有管理后台会话，身份为平台管理员；具体账号及权限变化按以下条件准备
2. A成功赠送普通礼物，单价10虚拟金币、数量3</x:v>
      </x:c>
      <x:c r="J613" s="9" t="str">
        <x:v>1. 打开运营账号主页
2. 查看送礼记录</x:v>
      </x:c>
      <x:c r="K613" s="9" t="str">
        <x:v>消费金币=30虚拟金币</x:v>
      </x:c>
      <x:c r="L613" s="10" t="str"/>
      <x:c r="M613" s="10" t="str">
        <x:v>未测</x:v>
      </x:c>
      <x:c r="N613" s="10" t="str"/>
      <x:c r="O613" s="9" t="str">
        <x:v>1. 来源（当前证据）：liveshow-proto/MainBasis/统一需求文档.md；位置：第3161行、第3155行、第3156行
2. 规则：BR-77fe32d1ca594fd9
3. 未动态验证</x:v>
      </x:c>
    </x:row>
    <x:row r="614" ht="100" customHeight="1">
      <x:c r="A614" s="10" t="n">
        <x:v>613</x:v>
      </x:c>
      <x:c r="B614" s="10" t="str">
        <x:v>ADMIN-0613</x:v>
      </x:c>
      <x:c r="C614" s="10" t="str">
        <x:v>运营账号</x:v>
      </x:c>
      <x:c r="D614" s="10" t="str">
        <x:v>额度限制（平台管理员）</x:v>
      </x:c>
      <x:c r="E614" s="10" t="str">
        <x:v>逻辑校验</x:v>
      </x:c>
      <x:c r="F614" s="10" t="str">
        <x:v>P0</x:v>
      </x:c>
      <x:c r="G614" s="9" t="str">
        <x:v>验证额度限制核对本月累计已发放</x:v>
      </x:c>
      <x:c r="H614" s="9" t="str">
        <x:v>虚拟账务计算</x:v>
      </x:c>
      <x:c r="I614" s="9" t="str">
        <x:v>1. 当前执行账号具有管理后台会话，身份为平台管理员；具体账号及权限变化按以下条件准备
2. G本月成功向A发放100、向B发放200虚拟金币；上月300</x:v>
      </x:c>
      <x:c r="J614" s="9" t="str">
        <x:v>1. 打开额度限制
2. 查看本月累计已发放</x:v>
      </x:c>
      <x:c r="K614" s="9" t="str">
        <x:v>本月累计已发放=300虚拟金币</x:v>
      </x:c>
      <x:c r="L614" s="10" t="str"/>
      <x:c r="M614" s="10" t="str">
        <x:v>未测</x:v>
      </x:c>
      <x:c r="N614" s="10" t="str"/>
      <x:c r="O614" s="9" t="str">
        <x:v>1. 来源（当前证据）：liveshow-proto/MainBasis/统一需求文档.md；位置：第3200行、第3195行、第3196行
2. 规则：BR-36ac330e9610ef9b
3. 未动态验证</x:v>
      </x:c>
    </x:row>
    <x:row r="615" ht="100" customHeight="1">
      <x:c r="A615" s="10" t="n">
        <x:v>614</x:v>
      </x:c>
      <x:c r="B615" s="10" t="str">
        <x:v>ADMIN-0614</x:v>
      </x:c>
      <x:c r="C615" s="10" t="str">
        <x:v>运营账号</x:v>
      </x:c>
      <x:c r="D615" s="10" t="str">
        <x:v>额度限制（平台管理员）</x:v>
      </x:c>
      <x:c r="E615" s="10" t="str">
        <x:v>逻辑校验</x:v>
      </x:c>
      <x:c r="F615" s="10" t="str">
        <x:v>P0</x:v>
      </x:c>
      <x:c r="G615" s="9" t="str">
        <x:v>验证额度限制核对账户余额累计</x:v>
      </x:c>
      <x:c r="H615" s="9" t="str">
        <x:v>虚拟账务计算</x:v>
      </x:c>
      <x:c r="I615" s="9" t="str">
        <x:v>1. 当前执行账号具有管理后台会话，身份为平台管理员；具体账号及权限变化按以下条件准备
2. G的A余额100、B余额200虚拟金币；其他公会C余额500</x:v>
      </x:c>
      <x:c r="J615" s="9" t="str">
        <x:v>1. 打开额度限制
2. 查看账户余额累计</x:v>
      </x:c>
      <x:c r="K615" s="9" t="str">
        <x:v>账户余额累计=300虚拟金币</x:v>
      </x:c>
      <x:c r="L615" s="10" t="str"/>
      <x:c r="M615" s="10" t="str">
        <x:v>未测</x:v>
      </x:c>
      <x:c r="N615" s="10" t="str"/>
      <x:c r="O615" s="9" t="str">
        <x:v>1. 来源（当前证据）：liveshow-proto/MainBasis/统一需求文档.md；位置：第3201行、第3195行、第3196行
2. 规则：BR-dfed709aaf7eaa5f
3. 未动态验证</x:v>
      </x:c>
    </x:row>
    <x:row r="616" ht="100" customHeight="1">
      <x:c r="A616" s="10" t="n">
        <x:v>615</x:v>
      </x:c>
      <x:c r="B616" s="10" t="str">
        <x:v>ADMIN-0615</x:v>
      </x:c>
      <x:c r="C616" s="10" t="str">
        <x:v>运营账号</x:v>
      </x:c>
      <x:c r="D616" s="10" t="str">
        <x:v>额度限制（平台管理员）</x:v>
      </x:c>
      <x:c r="E616" s="10" t="str">
        <x:v>逻辑校验</x:v>
      </x:c>
      <x:c r="F616" s="10" t="str">
        <x:v>P1</x:v>
      </x:c>
      <x:c r="G616" s="9" t="str">
        <x:v>验证额度限制核对本月累计消费</x:v>
      </x:c>
      <x:c r="H616" s="9" t="str">
        <x:v>虚拟账务计算</x:v>
      </x:c>
      <x:c r="I616" s="9" t="str">
        <x:v>1. 当前执行账号具有管理后台会话，身份为平台管理员；具体账号及权限变化按以下条件准备
2. G本月成功虚拟送礼100和200金币，失败50，上月300</x:v>
      </x:c>
      <x:c r="J616" s="9" t="str">
        <x:v>1. 打开额度限制
2. 查看本月累计消费</x:v>
      </x:c>
      <x:c r="K616" s="9" t="str">
        <x:v>本月累计消费=300虚拟金币</x:v>
      </x:c>
      <x:c r="L616" s="10" t="str"/>
      <x:c r="M616" s="10" t="str">
        <x:v>未测</x:v>
      </x:c>
      <x:c r="N616" s="10" t="str"/>
      <x:c r="O616" s="9" t="str">
        <x:v>1. 来源（当前证据）：liveshow-proto/MainBasis/统一需求文档.md；位置：第3202行、第3195行、第3196行
2. 规则：BR-2499829d0ca77adf
3. 未动态验证</x:v>
      </x:c>
    </x:row>
    <x:row r="617" ht="130" customHeight="1">
      <x:c r="A617" s="10" t="n">
        <x:v>616</x:v>
      </x:c>
      <x:c r="B617" s="10" t="str">
        <x:v>ADMIN-0616</x:v>
      </x:c>
      <x:c r="C617" s="10" t="str">
        <x:v>礼物与道具</x:v>
      </x:c>
      <x:c r="D617" s="10" t="str">
        <x:v>幸运礼物（平台管理员）</x:v>
      </x:c>
      <x:c r="E617" s="10" t="str">
        <x:v>功能需求</x:v>
      </x:c>
      <x:c r="F617" s="10" t="str">
        <x:v>P0</x:v>
      </x:c>
      <x:c r="G617" s="9" t="str">
        <x:v>验证幸运礼物下架不改旧收益</x:v>
      </x:c>
      <x:c r="H617" s="9" t="str">
        <x:v>幸运收益历史快照</x:v>
      </x:c>
      <x:c r="I617" s="9" t="str">
        <x:v>1. 当前执行账号具有管理后台会话，身份为平台管理员；具体账号及权限变化按以下条件准备
2. S1内幸运订单O1价值100金币，送出时比例1%，已返奖50金币，收益1金币；当前操作影响该礼物配置</x:v>
      </x:c>
      <x:c r="J617" s="9" t="str">
        <x:v>1. 打开幸运礼物配置
2. 下架该幸运礼物
3. 确认修改
4. 打开O1对应消费详情
5. 查看主播收益</x:v>
      </x:c>
      <x:c r="K617" s="9" t="str">
        <x:v>O1主播收益仍为1金币</x:v>
      </x:c>
      <x:c r="L617" s="10" t="str"/>
      <x:c r="M617" s="10" t="str">
        <x:v>未测</x:v>
      </x:c>
      <x:c r="N617" s="10" t="str"/>
      <x:c r="O617" s="9" t="str">
        <x:v>1. 来源（当前证据）：liveshow-proto/MainBasis/统一需求文档.md；位置：第2509行、第2824行、第2497行、第2498行
2. 规则：BR-7c2002a1c29e9614
3. 未动态验证</x:v>
      </x:c>
    </x:row>
    <x:row r="618" ht="130" customHeight="1">
      <x:c r="A618" s="10" t="n">
        <x:v>617</x:v>
      </x:c>
      <x:c r="B618" s="10" t="str">
        <x:v>ADMIN-0617</x:v>
      </x:c>
      <x:c r="C618" s="10" t="str">
        <x:v>礼物与道具</x:v>
      </x:c>
      <x:c r="D618" s="10" t="str">
        <x:v>幸运礼物（平台管理员）</x:v>
      </x:c>
      <x:c r="E618" s="10" t="str">
        <x:v>功能需求</x:v>
      </x:c>
      <x:c r="F618" s="10" t="str">
        <x:v>P0</x:v>
      </x:c>
      <x:c r="G618" s="9" t="str">
        <x:v>验证幸运礼物收益比例修改不改旧收益</x:v>
      </x:c>
      <x:c r="H618" s="9" t="str">
        <x:v>幸运收益历史快照</x:v>
      </x:c>
      <x:c r="I618" s="9" t="str">
        <x:v>1. 当前执行账号具有管理后台会话，身份为平台管理员；具体账号及权限变化按以下条件准备
2. S1内幸运订单O1价值100金币，送出时比例1%，已返奖50金币，收益1金币；当前操作影响该礼物配置</x:v>
      </x:c>
      <x:c r="J618" s="9" t="str">
        <x:v>1. 打开幸运礼物配置
2. 输入全局收益比例为2%
3. 确认修改
4. 打开O1对应消费详情
5. 查看主播收益</x:v>
      </x:c>
      <x:c r="K618" s="9" t="str">
        <x:v>O1主播收益仍为1金币</x:v>
      </x:c>
      <x:c r="L618" s="10" t="str"/>
      <x:c r="M618" s="10" t="str">
        <x:v>未测</x:v>
      </x:c>
      <x:c r="N618" s="10" t="str"/>
      <x:c r="O618" s="9" t="str">
        <x:v>1. 来源（当前证据）：liveshow-proto/MainBasis/统一需求文档.md；位置：第2508行、第2824行、第2497行、第2498行
2. 规则：BR-9beb26830d192e52
3. 未动态验证</x:v>
      </x:c>
    </x:row>
    <x:row r="619" ht="85" customHeight="1">
      <x:c r="A619" s="10" t="n">
        <x:v>618</x:v>
      </x:c>
      <x:c r="B619" s="10" t="str">
        <x:v>ADMIN-0618</x:v>
      </x:c>
      <x:c r="C619" s="10" t="str">
        <x:v>系统配置</x:v>
      </x:c>
      <x:c r="D619" s="10" t="str">
        <x:v>后台账号（后台账号A）</x:v>
      </x:c>
      <x:c r="E619" s="10" t="str">
        <x:v>功能需求</x:v>
      </x:c>
      <x:c r="F619" s="10" t="str">
        <x:v>P1</x:v>
      </x:c>
      <x:c r="G619" s="9" t="str">
        <x:v>验证停用后台账号后的登录限制</x:v>
      </x:c>
      <x:c r="H619" s="9" t="str">
        <x:v>后台账号停用准入</x:v>
      </x:c>
      <x:c r="I619" s="9" t="str">
        <x:v>1. 账号A当前未登录，后台登录页可访问
2. 超级管理员已停用普通后台账号A；A的原密码正确</x:v>
      </x:c>
      <x:c r="J619" s="9" t="str">
        <x:v>1. 打开后台登录
2. 输入A原账号与密码
3. 提交登录</x:v>
      </x:c>
      <x:c r="K619" s="9" t="str">
        <x:v>账号A不能建立后台登录会话</x:v>
      </x:c>
      <x:c r="L619" s="10" t="str"/>
      <x:c r="M619" s="10" t="str">
        <x:v>未测</x:v>
      </x:c>
      <x:c r="N619" s="10" t="str"/>
      <x:c r="O619" s="9" t="str">
        <x:v>1. 来源（当前证据）：liveshow-proto/MainBasis/统一需求文档.md；位置：第3221行、第3211行、第3212行
2. 规则：BR-920e96c0298a8975
3. 未动态验证</x:v>
      </x:c>
    </x:row>
    <x:row r="620" ht="100" customHeight="1">
      <x:c r="A620" s="10" t="n">
        <x:v>619</x:v>
      </x:c>
      <x:c r="B620" s="10" t="str">
        <x:v>ADMIN-0619</x:v>
      </x:c>
      <x:c r="C620" s="10" t="str">
        <x:v>系统配置</x:v>
      </x:c>
      <x:c r="D620" s="10" t="str">
        <x:v>账号编辑（普通后台账号）</x:v>
      </x:c>
      <x:c r="E620" s="10" t="str">
        <x:v>功能需求</x:v>
      </x:c>
      <x:c r="F620" s="10" t="str">
        <x:v>P1</x:v>
      </x:c>
      <x:c r="G620" s="9" t="str">
        <x:v>验证后台账号重置密码立即生效</x:v>
      </x:c>
      <x:c r="H620" s="9" t="str">
        <x:v>后台账号密码更新</x:v>
      </x:c>
      <x:c r="I620" s="9" t="str">
        <x:v>1. 普通后台账号A的登录名为qa_admin_a，账号与角色启用且具有用户列表权限
2. 超级管理员已配合在重置密码中两次输入NewPass12并保存成功，A旧密码为OldPass12</x:v>
      </x:c>
      <x:c r="J620" s="9" t="str">
        <x:v>1. 打开后台登录
2. 输入账号“qa_admin_a”
3. 输入密码“NewPass12”
4. 点击“登录”
5. 查看用户管理菜单</x:v>
      </x:c>
      <x:c r="K620" s="9" t="str">
        <x:v>展示A有权访问的用户管理菜单</x:v>
      </x:c>
      <x:c r="L620" s="10" t="str"/>
      <x:c r="M620" s="10" t="str">
        <x:v>未测</x:v>
      </x:c>
      <x:c r="N620" s="10" t="str"/>
      <x:c r="O620" s="9" t="str">
        <x:v>1. 来源（当前证据）：liveshow-proto/MainBasis/统一需求文档.md；位置：第3234行、第3224行、第3225行
2. 规则：BR-f4742ccf169ea718
3. 未动态验证</x:v>
      </x:c>
    </x:row>
    <x:row r="621" ht="115" customHeight="1">
      <x:c r="A621" s="10" t="n">
        <x:v>620</x:v>
      </x:c>
      <x:c r="B621" s="10" t="str">
        <x:v>ADMIN-0620</x:v>
      </x:c>
      <x:c r="C621" s="10" t="str">
        <x:v>系统配置</x:v>
      </x:c>
      <x:c r="D621" s="10" t="str">
        <x:v>角色编辑（超级管理员）</x:v>
      </x:c>
      <x:c r="E621" s="10" t="str">
        <x:v>功能需求</x:v>
      </x:c>
      <x:c r="F621" s="10" t="str">
        <x:v>P0</x:v>
      </x:c>
      <x:c r="G621" s="9" t="str">
        <x:v>验证角色权限父级勾选联动子级</x:v>
      </x:c>
      <x:c r="H621" s="9" t="str">
        <x:v>权限树父子联动</x:v>
      </x:c>
      <x:c r="I621" s="9" t="str">
        <x:v>1. 当前执行账号具有管理后台会话，身份为超级管理员；具体账号及权限变化按以下条件准备
2. 自定义角色R可编辑；用户管理父菜单下已登记用户列表和主播列表两子菜单，初始均未选</x:v>
      </x:c>
      <x:c r="J621" s="9" t="str">
        <x:v>1. 打开R角色详情
2. 勾选用户管理父菜单</x:v>
      </x:c>
      <x:c r="K621" s="9" t="str">
        <x:v>父菜单下的用户列表和主播列表同步勾选</x:v>
      </x:c>
      <x:c r="L621" s="10" t="str"/>
      <x:c r="M621" s="10" t="str">
        <x:v>未测</x:v>
      </x:c>
      <x:c r="N621" s="10" t="str"/>
      <x:c r="O621" s="9" t="str">
        <x:v>1. 来源（当前证据）：liveshow-proto/MainBasis/统一需求文档.md；位置：第3261行、第3258行、第3251行、第3252行
2. 规则：BR-b152146a27cf993c
3. 未动态验证</x:v>
      </x:c>
    </x:row>
    <x:row r="622" ht="100" customHeight="1">
      <x:c r="A622" s="10" t="n">
        <x:v>621</x:v>
      </x:c>
      <x:c r="B622" s="10" t="str">
        <x:v>ADMIN-0621</x:v>
      </x:c>
      <x:c r="C622" s="10" t="str">
        <x:v>内容审核</x:v>
      </x:c>
      <x:c r="D622" s="10" t="str">
        <x:v>举报详情（平台管理员）</x:v>
      </x:c>
      <x:c r="E622" s="10" t="str">
        <x:v>功能需求</x:v>
      </x:c>
      <x:c r="F622" s="10" t="str">
        <x:v>P1</x:v>
      </x:c>
      <x:c r="G622" s="9" t="str">
        <x:v>验证举报处理保留原证据</x:v>
      </x:c>
      <x:c r="H622" s="9" t="str">
        <x:v>举报证据快照</x:v>
      </x:c>
      <x:c r="I622" s="9" t="str">
        <x:v>1. 当前执行账号具有管理后台会话，身份为平台管理员；具体账号及权限变化按以下条件准备
2. 举报R1提交说明“测试举报”及截图A，现已处理</x:v>
      </x:c>
      <x:c r="J622" s="9" t="str">
        <x:v>1. 打开R1举报详情
2. 查看原说明和截图</x:v>
      </x:c>
      <x:c r="K622" s="9" t="str">
        <x:v>原举报内容与提交快照一致</x:v>
      </x:c>
      <x:c r="L622" s="10" t="str"/>
      <x:c r="M622" s="10" t="str">
        <x:v>未测</x:v>
      </x:c>
      <x:c r="N622" s="10" t="str"/>
      <x:c r="O622" s="9" t="str">
        <x:v>1. 来源（当前证据）：liveshow-proto/MainBasis/统一需求文档.md；位置：第2390行、第2386行、第2387行
2. 规则：BR-fcaa486305c58a1b
3. 未动态验证</x:v>
      </x:c>
    </x:row>
    <x:row r="623" ht="100" customHeight="1">
      <x:c r="A623" s="10" t="n">
        <x:v>622</x:v>
      </x:c>
      <x:c r="B623" s="10" t="str">
        <x:v>ADMIN-0622</x:v>
      </x:c>
      <x:c r="C623" s="10" t="str">
        <x:v>内容审核</x:v>
      </x:c>
      <x:c r="D623" s="10" t="str">
        <x:v>内容审核（平台管理员）</x:v>
      </x:c>
      <x:c r="E623" s="10" t="str">
        <x:v>功能需求</x:v>
      </x:c>
      <x:c r="F623" s="10" t="str">
        <x:v>P1</x:v>
      </x:c>
      <x:c r="G623" s="9" t="str">
        <x:v>验证内容审核保存命中时截图</x:v>
      </x:c>
      <x:c r="H623" s="9" t="str">
        <x:v>机审证据快照</x:v>
      </x:c>
      <x:c r="I623" s="9" t="str">
        <x:v>1. 当前执行账号具有管理后台会话，身份为平台管理员；具体账号及权限变化按以下条件准备
2. 告警A在10:00命中并保存截图S1；当前直播画面已变化</x:v>
      </x:c>
      <x:c r="J623" s="9" t="str">
        <x:v>1. 打开内容审核
2. 查看告警A截图</x:v>
      </x:c>
      <x:c r="K623" s="9" t="str">
        <x:v>截图仍对应命中时S1</x:v>
      </x:c>
      <x:c r="L623" s="10" t="str"/>
      <x:c r="M623" s="10" t="str">
        <x:v>未测</x:v>
      </x:c>
      <x:c r="N623" s="10" t="str"/>
      <x:c r="O623" s="9" t="str">
        <x:v>1. 来源（当前证据）：liveshow-proto/MainBasis/统一需求文档.md；位置：第2343行、第2338行、第2339行
2. 规则：BR-b4e3e0153a55ae3e
3. 未动态验证</x:v>
      </x:c>
    </x:row>
    <x:row r="624" ht="115" customHeight="1">
      <x:c r="A624" s="10" t="n">
        <x:v>623</x:v>
      </x:c>
      <x:c r="B624" s="10" t="str">
        <x:v>ADMIN-0623</x:v>
      </x:c>
      <x:c r="C624" s="10" t="str">
        <x:v>用户管理</x:v>
      </x:c>
      <x:c r="D624" s="10" t="str">
        <x:v>用户列表（平台管理员）</x:v>
      </x:c>
      <x:c r="E624" s="10" t="str">
        <x:v>功能需求</x:v>
      </x:c>
      <x:c r="F624" s="10" t="str">
        <x:v>P1</x:v>
      </x:c>
      <x:c r="G624" s="9" t="str">
        <x:v>验证用户列表中头像对应当前记录</x:v>
      </x:c>
      <x:c r="H624" s="9" t="str">
        <x:v>头像</x:v>
      </x:c>
      <x:c r="I624" s="9" t="str">
        <x:v>1. 当前执行账号具有管理后台会话，身份为平台管理员；具体账号及权限变化按以下条件准备
2. 本页范围内测试记录A的“头像”为预置图片A；另有同类型记录B，字段值不同</x:v>
      </x:c>
      <x:c r="J624" s="9" t="str">
        <x:v>1. 打开用户列表
2. 查看记录A的“头像”</x:v>
      </x:c>
      <x:c r="K624" s="9" t="str">
        <x:v>“头像”显示记录A的数据准备值，不串用记录B的数据</x:v>
      </x:c>
      <x:c r="L624" s="10" t="str"/>
      <x:c r="M624" s="10" t="str">
        <x:v>未测</x:v>
      </x:c>
      <x:c r="N624" s="10" t="str"/>
      <x:c r="O624" s="9" t="str">
        <x:v>1. 来源（当前证据）：liveshow-proto/MainBasis/统一需求文档.md；位置：第2208行、第2205行、第2206行
2. 规则：BR-70bc54f54a068086
3. 未动态验证</x:v>
      </x:c>
    </x:row>
    <x:row r="625" ht="130" customHeight="1">
      <x:c r="A625" s="10" t="n">
        <x:v>624</x:v>
      </x:c>
      <x:c r="B625" s="10" t="str">
        <x:v>ADMIN-0624</x:v>
      </x:c>
      <x:c r="C625" s="10" t="str">
        <x:v>用户管理</x:v>
      </x:c>
      <x:c r="D625" s="10" t="str">
        <x:v>用户详情（平台管理员）</x:v>
      </x:c>
      <x:c r="E625" s="10" t="str">
        <x:v>功能需求</x:v>
      </x:c>
      <x:c r="F625" s="10" t="str">
        <x:v>P1</x:v>
      </x:c>
      <x:c r="G625" s="9" t="str">
        <x:v>验证用户详情中用户 ID对应当前记录</x:v>
      </x:c>
      <x:c r="H625" s="9" t="str">
        <x:v>用户 ID</x:v>
      </x:c>
      <x:c r="I625" s="9" t="str">
        <x:v>1. 当前执行账号具有管理后台会话，身份为平台管理员；具体账号及权限变化按以下条件准备
2. 本页范围内测试记录A的“用户 ID”为数据准备记录A的实际系统编号；另有同类型记录B，字段值不同</x:v>
      </x:c>
      <x:c r="J625" s="9" t="str">
        <x:v>1. 打开用户详情
2. 查看记录A的“用户 ID”</x:v>
      </x:c>
      <x:c r="K625" s="9" t="str">
        <x:v>“用户 ID”显示记录A的数据准备值，不串用记录B的数据</x:v>
      </x:c>
      <x:c r="L625" s="10" t="str"/>
      <x:c r="M625" s="10" t="str">
        <x:v>未测</x:v>
      </x:c>
      <x:c r="N625" s="10" t="str"/>
      <x:c r="O625" s="9" t="str">
        <x:v>1. 来源（当前证据）：liveshow-proto/MainBasis/统一需求文档.md；位置：第2224行、第2221行、第2222行
2. 规则：BR-8520d367f9192c8d
3. 未动态验证</x:v>
      </x:c>
    </x:row>
    <x:row r="626" ht="115" customHeight="1">
      <x:c r="A626" s="10" t="n">
        <x:v>625</x:v>
      </x:c>
      <x:c r="B626" s="10" t="str">
        <x:v>ADMIN-0625</x:v>
      </x:c>
      <x:c r="C626" s="10" t="str">
        <x:v>用户管理</x:v>
      </x:c>
      <x:c r="D626" s="10" t="str">
        <x:v>用户详情（平台管理员）</x:v>
      </x:c>
      <x:c r="E626" s="10" t="str">
        <x:v>功能需求</x:v>
      </x:c>
      <x:c r="F626" s="10" t="str">
        <x:v>P1</x:v>
      </x:c>
      <x:c r="G626" s="9" t="str">
        <x:v>验证用户详情中昵称对应当前记录</x:v>
      </x:c>
      <x:c r="H626" s="9" t="str">
        <x:v>昵称</x:v>
      </x:c>
      <x:c r="I626" s="9" t="str">
        <x:v>1. 当前执行账号具有管理后台会话，身份为平台管理员；具体账号及权限变化按以下条件准备
2. 本页范围内测试记录A的“昵称”为测试A；另有同类型记录B，字段值不同</x:v>
      </x:c>
      <x:c r="J626" s="9" t="str">
        <x:v>1. 打开用户详情
2. 查看记录A的“昵称”</x:v>
      </x:c>
      <x:c r="K626" s="9" t="str">
        <x:v>“昵称”显示记录A的数据准备值，不串用记录B的数据</x:v>
      </x:c>
      <x:c r="L626" s="10" t="str"/>
      <x:c r="M626" s="10" t="str">
        <x:v>未测</x:v>
      </x:c>
      <x:c r="N626" s="10" t="str"/>
      <x:c r="O626" s="9" t="str">
        <x:v>1. 来源（当前证据）：liveshow-proto/MainBasis/统一需求文档.md；位置：第2224行、第2221行、第2222行
2. 规则：BR-e70f49d4db46fedd
3. 未动态验证</x:v>
      </x:c>
    </x:row>
    <x:row r="627" ht="130" customHeight="1">
      <x:c r="A627" s="10" t="n">
        <x:v>626</x:v>
      </x:c>
      <x:c r="B627" s="10" t="str">
        <x:v>ADMIN-0626</x:v>
      </x:c>
      <x:c r="C627" s="10" t="str">
        <x:v>主播管理</x:v>
      </x:c>
      <x:c r="D627" s="10" t="str">
        <x:v>主播审核（平台管理员）</x:v>
      </x:c>
      <x:c r="E627" s="10" t="str">
        <x:v>功能需求</x:v>
      </x:c>
      <x:c r="F627" s="10" t="str">
        <x:v>P1</x:v>
      </x:c>
      <x:c r="G627" s="9" t="str">
        <x:v>验证主播审核中提交时间对应当前记录</x:v>
      </x:c>
      <x:c r="H627" s="9" t="str">
        <x:v>提交时间</x:v>
      </x:c>
      <x:c r="I627" s="9" t="str">
        <x:v>1. 当前执行账号具有管理后台会话，身份为平台管理员；具体账号及权限变化按以下条件准备
2. 本页范围内测试记录A的“提交时间”为2026-09-14 10:00；另有同类型记录B，字段值不同</x:v>
      </x:c>
      <x:c r="J627" s="9" t="str">
        <x:v>1. 打开主播审核
2. 查看记录A的“提交时间”</x:v>
      </x:c>
      <x:c r="K627" s="9" t="str">
        <x:v>“提交时间”显示记录A的数据准备值，不串用记录B的数据</x:v>
      </x:c>
      <x:c r="L627" s="10" t="str"/>
      <x:c r="M627" s="10" t="str">
        <x:v>未测</x:v>
      </x:c>
      <x:c r="N627" s="10" t="str"/>
      <x:c r="O627" s="9" t="str">
        <x:v>1. 来源（当前证据）：liveshow-proto/MainBasis/统一需求文档.md；位置：第2266行、第2259行、第2260行
2. 规则：BR-72b4f93bf7b638f5
3. 未动态验证</x:v>
      </x:c>
    </x:row>
    <x:row r="628" ht="145" customHeight="1">
      <x:c r="A628" s="10" t="n">
        <x:v>627</x:v>
      </x:c>
      <x:c r="B628" s="10" t="str">
        <x:v>ADMIN-0627</x:v>
      </x:c>
      <x:c r="C628" s="10" t="str">
        <x:v>主播管理</x:v>
      </x:c>
      <x:c r="D628" s="10" t="str">
        <x:v>直播场次（平台管理员）</x:v>
      </x:c>
      <x:c r="E628" s="10" t="str">
        <x:v>功能需求</x:v>
      </x:c>
      <x:c r="F628" s="10" t="str">
        <x:v>P1</x:v>
      </x:c>
      <x:c r="G628" s="9" t="str">
        <x:v>验证直播场次中房型对应当前记录</x:v>
      </x:c>
      <x:c r="H628" s="9" t="str">
        <x:v>房型</x:v>
      </x:c>
      <x:c r="I628" s="9" t="str">
        <x:v>1. 当前执行账号具有管理后台会话，身份为平台管理员；具体账号及权限变化按以下条件准备
2. 本页范围内测试记录A的“房型”为记录A创建时实际选择的有效枚举值（保存该值供对照）；另有同类型记录B，字段值不同</x:v>
      </x:c>
      <x:c r="J628" s="9" t="str">
        <x:v>1. 打开直播场次
2. 查看记录A的“房型”</x:v>
      </x:c>
      <x:c r="K628" s="9" t="str">
        <x:v>“房型”显示记录A的数据准备值，不串用记录B的数据</x:v>
      </x:c>
      <x:c r="L628" s="10" t="str"/>
      <x:c r="M628" s="10" t="str">
        <x:v>未测</x:v>
      </x:c>
      <x:c r="N628" s="10" t="str"/>
      <x:c r="O628" s="9" t="str">
        <x:v>1. 来源（当前证据）：liveshow-proto/MainBasis/统一需求文档.md；位置：第2286行、第2282行、第2283行
2. 规则：BR-a4396230b03ed312
3. 未动态验证</x:v>
      </x:c>
    </x:row>
    <x:row r="629" ht="130" customHeight="1">
      <x:c r="A629" s="10" t="n">
        <x:v>628</x:v>
      </x:c>
      <x:c r="B629" s="10" t="str">
        <x:v>ADMIN-0628</x:v>
      </x:c>
      <x:c r="C629" s="10" t="str">
        <x:v>主播管理</x:v>
      </x:c>
      <x:c r="D629" s="10" t="str">
        <x:v>直播详情（平台管理员）</x:v>
      </x:c>
      <x:c r="E629" s="10" t="str">
        <x:v>功能需求</x:v>
      </x:c>
      <x:c r="F629" s="10" t="str">
        <x:v>P1</x:v>
      </x:c>
      <x:c r="G629" s="9" t="str">
        <x:v>验证直播详情中场次 ID对应当前记录</x:v>
      </x:c>
      <x:c r="H629" s="9" t="str">
        <x:v>场次 ID</x:v>
      </x:c>
      <x:c r="I629" s="9" t="str">
        <x:v>1. 当前执行账号具有管理后台会话，身份为平台管理员；具体账号及权限变化按以下条件准备
2. 本页范围内测试记录A的“场次 ID”为数据准备记录A的实际系统编号；另有同类型记录B，字段值不同</x:v>
      </x:c>
      <x:c r="J629" s="9" t="str">
        <x:v>1. 打开直播详情
2. 查看记录A的“场次 ID”</x:v>
      </x:c>
      <x:c r="K629" s="9" t="str">
        <x:v>“场次 ID”显示记录A的数据准备值，不串用记录B的数据</x:v>
      </x:c>
      <x:c r="L629" s="10" t="str"/>
      <x:c r="M629" s="10" t="str">
        <x:v>未测</x:v>
      </x:c>
      <x:c r="N629" s="10" t="str"/>
      <x:c r="O629" s="9" t="str">
        <x:v>1. 来源（当前证据）：liveshow-proto/MainBasis/统一需求文档.md；位置：第2299行、第2296行、第2297行
2. 规则：BR-eec7eacf6c1473d6
3. 未动态验证</x:v>
      </x:c>
    </x:row>
    <x:row r="630" ht="145" customHeight="1">
      <x:c r="A630" s="10" t="n">
        <x:v>629</x:v>
      </x:c>
      <x:c r="B630" s="10" t="str">
        <x:v>ADMIN-0629</x:v>
      </x:c>
      <x:c r="C630" s="10" t="str">
        <x:v>主播管理</x:v>
      </x:c>
      <x:c r="D630" s="10" t="str">
        <x:v>直播详情（平台管理员）</x:v>
      </x:c>
      <x:c r="E630" s="10" t="str">
        <x:v>功能需求</x:v>
      </x:c>
      <x:c r="F630" s="10" t="str">
        <x:v>P1</x:v>
      </x:c>
      <x:c r="G630" s="9" t="str">
        <x:v>验证直播详情中房型对应当前记录</x:v>
      </x:c>
      <x:c r="H630" s="9" t="str">
        <x:v>房型</x:v>
      </x:c>
      <x:c r="I630" s="9" t="str">
        <x:v>1. 当前执行账号具有管理后台会话，身份为平台管理员；具体账号及权限变化按以下条件准备
2. 本页范围内测试记录A的“房型”为记录A创建时实际选择的有效枚举值（保存该值供对照）；另有同类型记录B，字段值不同</x:v>
      </x:c>
      <x:c r="J630" s="9" t="str">
        <x:v>1. 打开直播详情
2. 查看记录A的“房型”</x:v>
      </x:c>
      <x:c r="K630" s="9" t="str">
        <x:v>“房型”显示记录A的数据准备值，不串用记录B的数据</x:v>
      </x:c>
      <x:c r="L630" s="10" t="str"/>
      <x:c r="M630" s="10" t="str">
        <x:v>未测</x:v>
      </x:c>
      <x:c r="N630" s="10" t="str"/>
      <x:c r="O630" s="9" t="str">
        <x:v>1. 来源（当前证据）：liveshow-proto/MainBasis/统一需求文档.md；位置：第2299行、第2296行、第2297行
2. 规则：BR-ca83deb765413594
3. 未动态验证</x:v>
      </x:c>
    </x:row>
    <x:row r="631" ht="115" customHeight="1">
      <x:c r="A631" s="10" t="n">
        <x:v>630</x:v>
      </x:c>
      <x:c r="B631" s="10" t="str">
        <x:v>ADMIN-0630</x:v>
      </x:c>
      <x:c r="C631" s="10" t="str">
        <x:v>内容审核</x:v>
      </x:c>
      <x:c r="D631" s="10" t="str">
        <x:v>账号违规（平台管理员）</x:v>
      </x:c>
      <x:c r="E631" s="10" t="str">
        <x:v>功能需求</x:v>
      </x:c>
      <x:c r="F631" s="10" t="str">
        <x:v>P1</x:v>
      </x:c>
      <x:c r="G631" s="9" t="str">
        <x:v>验证账号违规中昵称对应当前记录</x:v>
      </x:c>
      <x:c r="H631" s="9" t="str">
        <x:v>昵称</x:v>
      </x:c>
      <x:c r="I631" s="9" t="str">
        <x:v>1. 当前执行账号具有管理后台会话，身份为平台管理员；具体账号及权限变化按以下条件准备
2. 本页范围内测试记录A的“昵称”为测试A；另有同类型记录B，字段值不同</x:v>
      </x:c>
      <x:c r="J631" s="9" t="str">
        <x:v>1. 打开账号违规
2. 查看记录A的“昵称”</x:v>
      </x:c>
      <x:c r="K631" s="9" t="str">
        <x:v>“昵称”显示记录A的数据准备值，不串用记录B的数据</x:v>
      </x:c>
      <x:c r="L631" s="10" t="str"/>
      <x:c r="M631" s="10" t="str">
        <x:v>未测</x:v>
      </x:c>
      <x:c r="N631" s="10" t="str"/>
      <x:c r="O631" s="9" t="str">
        <x:v>1. 来源（当前证据）：liveshow-proto/MainBasis/统一需求文档.md；位置：第2362行、第2359行、第2360行
2. 规则：BR-7fb473c08f74cdfc
3. 未动态验证</x:v>
      </x:c>
    </x:row>
    <x:row r="632" ht="130" customHeight="1">
      <x:c r="A632" s="10" t="n">
        <x:v>631</x:v>
      </x:c>
      <x:c r="B632" s="10" t="str">
        <x:v>ADMIN-0631</x:v>
      </x:c>
      <x:c r="C632" s="10" t="str">
        <x:v>内容审核</x:v>
      </x:c>
      <x:c r="D632" s="10" t="str">
        <x:v>账号违规（平台管理员）</x:v>
      </x:c>
      <x:c r="E632" s="10" t="str">
        <x:v>功能需求</x:v>
      </x:c>
      <x:c r="F632" s="10" t="str">
        <x:v>P1</x:v>
      </x:c>
      <x:c r="G632" s="9" t="str">
        <x:v>验证账号违规中提交时间对应当前记录</x:v>
      </x:c>
      <x:c r="H632" s="9" t="str">
        <x:v>提交时间</x:v>
      </x:c>
      <x:c r="I632" s="9" t="str">
        <x:v>1. 当前执行账号具有管理后台会话，身份为平台管理员；具体账号及权限变化按以下条件准备
2. 本页范围内测试记录A的“提交时间”为2026-09-14 10:00；另有同类型记录B，字段值不同</x:v>
      </x:c>
      <x:c r="J632" s="9" t="str">
        <x:v>1. 打开账号违规
2. 查看记录A的“提交时间”</x:v>
      </x:c>
      <x:c r="K632" s="9" t="str">
        <x:v>“提交时间”显示记录A的数据准备值，不串用记录B的数据</x:v>
      </x:c>
      <x:c r="L632" s="10" t="str"/>
      <x:c r="M632" s="10" t="str">
        <x:v>未测</x:v>
      </x:c>
      <x:c r="N632" s="10" t="str"/>
      <x:c r="O632" s="9" t="str">
        <x:v>1. 来源（当前证据）：liveshow-proto/MainBasis/统一需求文档.md；位置：第2366行、第2359行、第2360行
2. 规则：BR-4b2da4a98e739a9e
3. 未动态验证</x:v>
      </x:c>
    </x:row>
    <x:row r="633" ht="130" customHeight="1">
      <x:c r="A633" s="10" t="n">
        <x:v>632</x:v>
      </x:c>
      <x:c r="B633" s="10" t="str">
        <x:v>ADMIN-0632</x:v>
      </x:c>
      <x:c r="C633" s="10" t="str">
        <x:v>内容审核</x:v>
      </x:c>
      <x:c r="D633" s="10" t="str">
        <x:v>直播间违规（平台管理员）</x:v>
      </x:c>
      <x:c r="E633" s="10" t="str">
        <x:v>功能需求</x:v>
      </x:c>
      <x:c r="F633" s="10" t="str">
        <x:v>P1</x:v>
      </x:c>
      <x:c r="G633" s="9" t="str">
        <x:v>验证直播间违规中提交时间对应当前记录</x:v>
      </x:c>
      <x:c r="H633" s="9" t="str">
        <x:v>提交时间</x:v>
      </x:c>
      <x:c r="I633" s="9" t="str">
        <x:v>1. 当前执行账号具有管理后台会话，身份为平台管理员；具体账号及权限变化按以下条件准备
2. 本页范围内测试记录A的“提交时间”为2026-09-14 10:00；另有同类型记录B，字段值不同</x:v>
      </x:c>
      <x:c r="J633" s="9" t="str">
        <x:v>1. 打开直播间违规
2. 查看记录A的“提交时间”</x:v>
      </x:c>
      <x:c r="K633" s="9" t="str">
        <x:v>“提交时间”显示记录A的数据准备值，不串用记录B的数据</x:v>
      </x:c>
      <x:c r="L633" s="10" t="str"/>
      <x:c r="M633" s="10" t="str">
        <x:v>未测</x:v>
      </x:c>
      <x:c r="N633" s="10" t="str"/>
      <x:c r="O633" s="9" t="str">
        <x:v>1. 来源（当前证据）：liveshow-proto/MainBasis/统一需求文档.md；位置：第2379行、第2372行、第2373行
2. 规则：BR-3b66e4177b4b4dd7
3. 未动态验证</x:v>
      </x:c>
    </x:row>
    <x:row r="634" ht="130" customHeight="1">
      <x:c r="A634" s="10" t="n">
        <x:v>633</x:v>
      </x:c>
      <x:c r="B634" s="10" t="str">
        <x:v>ADMIN-0633</x:v>
      </x:c>
      <x:c r="C634" s="10" t="str">
        <x:v>公会管理</x:v>
      </x:c>
      <x:c r="D634" s="10" t="str">
        <x:v>公会详情（平台管理员）</x:v>
      </x:c>
      <x:c r="E634" s="10" t="str">
        <x:v>功能需求</x:v>
      </x:c>
      <x:c r="F634" s="10" t="str">
        <x:v>P1</x:v>
      </x:c>
      <x:c r="G634" s="9" t="str">
        <x:v>验证公会详情中公会 ID对应当前记录</x:v>
      </x:c>
      <x:c r="H634" s="9" t="str">
        <x:v>公会 ID</x:v>
      </x:c>
      <x:c r="I634" s="9" t="str">
        <x:v>1. 当前执行账号具有管理后台会话，身份为平台管理员；具体账号及权限变化按以下条件准备
2. 本页范围内测试记录A的“公会 ID”为数据准备记录A的实际系统编号；另有同类型记录B，字段值不同</x:v>
      </x:c>
      <x:c r="J634" s="9" t="str">
        <x:v>1. 打开公会详情
2. 查看记录A的“公会 ID”</x:v>
      </x:c>
      <x:c r="K634" s="9" t="str">
        <x:v>“公会 ID”显示记录A的数据准备值，不串用记录B的数据</x:v>
      </x:c>
      <x:c r="L634" s="10" t="str"/>
      <x:c r="M634" s="10" t="str">
        <x:v>未测</x:v>
      </x:c>
      <x:c r="N634" s="10" t="str"/>
      <x:c r="O634" s="9" t="str">
        <x:v>1. 来源（当前证据）：liveshow-proto/MainBasis/统一需求文档.md；位置：第2445行、第2442行、第2443行
2. 规则：BR-169256abe60c3a81
3. 未动态验证</x:v>
      </x:c>
    </x:row>
    <x:row r="635" ht="130" customHeight="1">
      <x:c r="A635" s="10" t="n">
        <x:v>634</x:v>
      </x:c>
      <x:c r="B635" s="10" t="str">
        <x:v>ADMIN-0634</x:v>
      </x:c>
      <x:c r="C635" s="10" t="str">
        <x:v>运营配置</x:v>
      </x:c>
      <x:c r="D635" s="10" t="str">
        <x:v>推送管理（平台管理员）</x:v>
      </x:c>
      <x:c r="E635" s="10" t="str">
        <x:v>功能需求</x:v>
      </x:c>
      <x:c r="F635" s="10" t="str">
        <x:v>P1</x:v>
      </x:c>
      <x:c r="G635" s="9" t="str">
        <x:v>验证推送管理中发送时间对应当前记录</x:v>
      </x:c>
      <x:c r="H635" s="9" t="str">
        <x:v>发送时间</x:v>
      </x:c>
      <x:c r="I635" s="9" t="str">
        <x:v>1. 当前执行账号具有管理后台会话，身份为平台管理员；具体账号及权限变化按以下条件准备
2. 本页范围内测试记录A的“发送时间”为2026-09-14 10:00；另有同类型记录B，字段值不同</x:v>
      </x:c>
      <x:c r="J635" s="9" t="str">
        <x:v>1. 打开推送管理
2. 查看记录A的“发送时间”</x:v>
      </x:c>
      <x:c r="K635" s="9" t="str">
        <x:v>“发送时间”显示记录A的数据准备值，不串用记录B的数据</x:v>
      </x:c>
      <x:c r="L635" s="10" t="str"/>
      <x:c r="M635" s="10" t="str">
        <x:v>未测</x:v>
      </x:c>
      <x:c r="N635" s="10" t="str"/>
      <x:c r="O635" s="9" t="str">
        <x:v>1. 来源（当前证据）：liveshow-proto/MainBasis/统一需求文档.md；位置：第2618行、第2612行、第2613行
2. 规则：BR-35f00e236e4f8fd9
3. 未动态验证</x:v>
      </x:c>
    </x:row>
    <x:row r="636" ht="85" customHeight="1">
      <x:c r="A636" s="10" t="n">
        <x:v>635</x:v>
      </x:c>
      <x:c r="B636" s="10" t="str">
        <x:v>ADMIN-0635</x:v>
      </x:c>
      <x:c r="C636" s="10" t="str">
        <x:v>运营配置</x:v>
      </x:c>
      <x:c r="D636" s="10" t="str">
        <x:v>等级配置（平台管理员）</x:v>
      </x:c>
      <x:c r="E636" s="10" t="str">
        <x:v>功能需求</x:v>
      </x:c>
      <x:c r="F636" s="10" t="str">
        <x:v>P1</x:v>
      </x:c>
      <x:c r="G636" s="9" t="str">
        <x:v>验证等级配置中主播等级对应当前记录</x:v>
      </x:c>
      <x:c r="H636" s="9" t="str">
        <x:v>主播等级独立配置</x:v>
      </x:c>
      <x:c r="I636" s="9" t="str">
        <x:v>1. 管理员已登录，主播等级Tab有已保存等级1，金币数值10；另一Tab同等级金币数值20</x:v>
      </x:c>
      <x:c r="J636" s="9" t="str">
        <x:v>1. 打开等级配置
2. 点击“主播等级”
3. 查看已保存等级1的金币数值</x:v>
      </x:c>
      <x:c r="K636" s="9" t="str">
        <x:v>等级1金币数值显示10</x:v>
      </x:c>
      <x:c r="L636" s="10" t="str"/>
      <x:c r="M636" s="10" t="str">
        <x:v>未测</x:v>
      </x:c>
      <x:c r="N636" s="10" t="str"/>
      <x:c r="O636" s="9" t="str">
        <x:v>1. 来源（当前证据）：liveshow-proto/MainBasis/统一需求文档.md；位置：第2708行、第2706行、第2707行
2. 规则：BR-582d74fed9ed68e8
3. 未动态验证</x:v>
      </x:c>
    </x:row>
    <x:row r="637" ht="85" customHeight="1">
      <x:c r="A637" s="10" t="n">
        <x:v>636</x:v>
      </x:c>
      <x:c r="B637" s="10" t="str">
        <x:v>ADMIN-0636</x:v>
      </x:c>
      <x:c r="C637" s="10" t="str">
        <x:v>运营配置</x:v>
      </x:c>
      <x:c r="D637" s="10" t="str">
        <x:v>等级配置（平台管理员）</x:v>
      </x:c>
      <x:c r="E637" s="10" t="str">
        <x:v>功能需求</x:v>
      </x:c>
      <x:c r="F637" s="10" t="str">
        <x:v>P1</x:v>
      </x:c>
      <x:c r="G637" s="9" t="str">
        <x:v>验证等级配置中财富等级对应当前记录</x:v>
      </x:c>
      <x:c r="H637" s="9" t="str">
        <x:v>财富等级独立配置</x:v>
      </x:c>
      <x:c r="I637" s="9" t="str">
        <x:v>1. 管理员已登录，财富等级Tab有已保存等级1，金币数值10；另一Tab同等级金币数值20</x:v>
      </x:c>
      <x:c r="J637" s="9" t="str">
        <x:v>1. 打开等级配置
2. 点击“财富等级”
3. 查看已保存等级1的金币数值</x:v>
      </x:c>
      <x:c r="K637" s="9" t="str">
        <x:v>等级1金币数值显示10</x:v>
      </x:c>
      <x:c r="L637" s="10" t="str"/>
      <x:c r="M637" s="10" t="str">
        <x:v>未测</x:v>
      </x:c>
      <x:c r="N637" s="10" t="str"/>
      <x:c r="O637" s="9" t="str">
        <x:v>1. 来源（当前证据）：liveshow-proto/MainBasis/统一需求文档.md；位置：第2709行、第2706行、第2707行
2. 规则：BR-a9f366c6dac27f64
3. 未动态验证</x:v>
      </x:c>
    </x:row>
    <x:row r="638" ht="85" customHeight="1">
      <x:c r="A638" s="10" t="n">
        <x:v>637</x:v>
      </x:c>
      <x:c r="B638" s="10" t="str">
        <x:v>ADMIN-0637</x:v>
      </x:c>
      <x:c r="C638" s="10" t="str">
        <x:v>运营配置</x:v>
      </x:c>
      <x:c r="D638" s="10" t="str">
        <x:v>等级配置（平台管理员）</x:v>
      </x:c>
      <x:c r="E638" s="10" t="str">
        <x:v>功能需求</x:v>
      </x:c>
      <x:c r="F638" s="10" t="str">
        <x:v>P1</x:v>
      </x:c>
      <x:c r="G638" s="9" t="str">
        <x:v>验证等级配置中粉丝等级对应当前记录</x:v>
      </x:c>
      <x:c r="H638" s="9" t="str">
        <x:v>粉丝等级独立配置</x:v>
      </x:c>
      <x:c r="I638" s="9" t="str">
        <x:v>1. 管理员已登录，粉丝等级Tab有已保存等级1，金币数值10；另一Tab同等级金币数值20</x:v>
      </x:c>
      <x:c r="J638" s="9" t="str">
        <x:v>1. 打开等级配置
2. 点击“粉丝等级”
3. 查看已保存等级1的金币数值</x:v>
      </x:c>
      <x:c r="K638" s="9" t="str">
        <x:v>等级1金币数值显示10</x:v>
      </x:c>
      <x:c r="L638" s="10" t="str"/>
      <x:c r="M638" s="10" t="str">
        <x:v>未测</x:v>
      </x:c>
      <x:c r="N638" s="10" t="str"/>
      <x:c r="O638" s="9" t="str">
        <x:v>1. 来源（当前证据）：liveshow-proto/MainBasis/统一需求文档.md；位置：第2710行、第2706行、第2707行
2. 规则：BR-7527aa0ffc49cda2
3. 未动态验证</x:v>
      </x:c>
    </x:row>
    <x:row r="639" ht="145" customHeight="1">
      <x:c r="A639" s="10" t="n">
        <x:v>638</x:v>
      </x:c>
      <x:c r="B639" s="10" t="str">
        <x:v>ADMIN-0638</x:v>
      </x:c>
      <x:c r="C639" s="10" t="str">
        <x:v>运营配置</x:v>
      </x:c>
      <x:c r="D639" s="10" t="str">
        <x:v>敏感词库（平台管理员）</x:v>
      </x:c>
      <x:c r="E639" s="10" t="str">
        <x:v>功能需求</x:v>
      </x:c>
      <x:c r="F639" s="10" t="str">
        <x:v>P1</x:v>
      </x:c>
      <x:c r="G639" s="9" t="str">
        <x:v>验证敏感词库中分类对应当前记录</x:v>
      </x:c>
      <x:c r="H639" s="9" t="str">
        <x:v>分类</x:v>
      </x:c>
      <x:c r="I639" s="9" t="str">
        <x:v>1. 当前执行账号具有管理后台会话，身份为平台管理员；具体账号及权限变化按以下条件准备
2. 本页范围内测试记录A的“分类”为记录A创建时实际选择的有效枚举值（保存该值供对照）；另有同类型记录B，字段值不同</x:v>
      </x:c>
      <x:c r="J639" s="9" t="str">
        <x:v>1. 打开敏感词库
2. 查看记录A的“分类”</x:v>
      </x:c>
      <x:c r="K639" s="9" t="str">
        <x:v>“分类”显示记录A的数据准备值，不串用记录B的数据</x:v>
      </x:c>
      <x:c r="L639" s="10" t="str"/>
      <x:c r="M639" s="10" t="str">
        <x:v>未测</x:v>
      </x:c>
      <x:c r="N639" s="10" t="str"/>
      <x:c r="O639" s="9" t="str">
        <x:v>1. 来源（当前证据）：liveshow-proto/MainBasis/统一需求文档.md；位置：第2763行、第2760行、第2761行
2. 规则：BR-de47a1d7f6ddc084
3. 未动态验证</x:v>
      </x:c>
    </x:row>
    <x:row r="640" ht="130" customHeight="1">
      <x:c r="A640" s="10" t="n">
        <x:v>639</x:v>
      </x:c>
      <x:c r="B640" s="10" t="str">
        <x:v>ADMIN-0639</x:v>
      </x:c>
      <x:c r="C640" s="10" t="str">
        <x:v>财务结算</x:v>
      </x:c>
      <x:c r="D640" s="10" t="str">
        <x:v>充值订单（平台管理员）</x:v>
      </x:c>
      <x:c r="E640" s="10" t="str">
        <x:v>功能需求</x:v>
      </x:c>
      <x:c r="F640" s="10" t="str">
        <x:v>P0</x:v>
      </x:c>
      <x:c r="G640" s="9" t="str">
        <x:v>验证充值订单中订单号对应当前记录</x:v>
      </x:c>
      <x:c r="H640" s="9" t="str">
        <x:v>订单号</x:v>
      </x:c>
      <x:c r="I640" s="9" t="str">
        <x:v>1. 当前执行账号具有管理后台会话，身份为平台管理员；具体账号及权限变化按以下条件准备
2. 本页范围内测试记录A的“订单号”为数据准备记录A的实际系统编号；另有同类型记录B，字段值不同</x:v>
      </x:c>
      <x:c r="J640" s="9" t="str">
        <x:v>1. 打开充值订单
2. 查看记录A的“订单号”</x:v>
      </x:c>
      <x:c r="K640" s="9" t="str">
        <x:v>“订单号”显示记录A的数据准备值，不串用记录B的数据</x:v>
      </x:c>
      <x:c r="L640" s="10" t="str"/>
      <x:c r="M640" s="10" t="str">
        <x:v>未测</x:v>
      </x:c>
      <x:c r="N640" s="10" t="str"/>
      <x:c r="O640" s="9" t="str">
        <x:v>1. 来源（当前证据）：liveshow-proto/MainBasis/统一需求文档.md；位置：第2785行、第2782行、第2783行
2. 规则：BR-cc360bbf889ad4e5
3. 未动态验证</x:v>
      </x:c>
    </x:row>
    <x:row r="641" ht="130" customHeight="1">
      <x:c r="A641" s="10" t="n">
        <x:v>640</x:v>
      </x:c>
      <x:c r="B641" s="10" t="str">
        <x:v>ADMIN-0640</x:v>
      </x:c>
      <x:c r="C641" s="10" t="str">
        <x:v>财务结算</x:v>
      </x:c>
      <x:c r="D641" s="10" t="str">
        <x:v>充值订单（平台管理员）</x:v>
      </x:c>
      <x:c r="E641" s="10" t="str">
        <x:v>功能需求</x:v>
      </x:c>
      <x:c r="F641" s="10" t="str">
        <x:v>P0</x:v>
      </x:c>
      <x:c r="G641" s="9" t="str">
        <x:v>验证充值订单中渠道交易号对应当前记录</x:v>
      </x:c>
      <x:c r="H641" s="9" t="str">
        <x:v>渠道交易号</x:v>
      </x:c>
      <x:c r="I641" s="9" t="str">
        <x:v>1. 当前执行账号具有管理后台会话，身份为平台管理员；具体账号及权限变化按以下条件准备
2. 本页范围内测试记录A的“渠道交易号”为支付渠道成功返回的交易编号CH_A；另有同类型记录B，字段值不同</x:v>
      </x:c>
      <x:c r="J641" s="9" t="str">
        <x:v>1. 打开充值订单
2. 查看记录A的“渠道交易号”</x:v>
      </x:c>
      <x:c r="K641" s="9" t="str">
        <x:v>“渠道交易号”显示记录A的数据准备值，不串用记录B的数据</x:v>
      </x:c>
      <x:c r="L641" s="10" t="str"/>
      <x:c r="M641" s="10" t="str">
        <x:v>未测</x:v>
      </x:c>
      <x:c r="N641" s="10" t="str"/>
      <x:c r="O641" s="9" t="str">
        <x:v>1. 来源（当前证据）：liveshow-proto/MainBasis/统一需求文档.md；位置：第2785行、第2782行、第2783行
2. 规则：BR-3e83c65e98ff89d5
3. 未动态验证</x:v>
      </x:c>
    </x:row>
    <x:row r="642" ht="130" customHeight="1">
      <x:c r="A642" s="10" t="n">
        <x:v>641</x:v>
      </x:c>
      <x:c r="B642" s="10" t="str">
        <x:v>ADMIN-0641</x:v>
      </x:c>
      <x:c r="C642" s="10" t="str">
        <x:v>财务结算</x:v>
      </x:c>
      <x:c r="D642" s="10" t="str">
        <x:v>充值订单（平台管理员）</x:v>
      </x:c>
      <x:c r="E642" s="10" t="str">
        <x:v>功能需求</x:v>
      </x:c>
      <x:c r="F642" s="10" t="str">
        <x:v>P0</x:v>
      </x:c>
      <x:c r="G642" s="9" t="str">
        <x:v>验证充值订单中成功时间对应当前记录</x:v>
      </x:c>
      <x:c r="H642" s="9" t="str">
        <x:v>成功时间</x:v>
      </x:c>
      <x:c r="I642" s="9" t="str">
        <x:v>1. 当前执行账号具有管理后台会话，身份为平台管理员；具体账号及权限变化按以下条件准备
2. 本页范围内测试记录A的“成功时间”为2026-09-14 10:00；另有同类型记录B，字段值不同</x:v>
      </x:c>
      <x:c r="J642" s="9" t="str">
        <x:v>1. 打开充值订单
2. 查看记录A的“成功时间”</x:v>
      </x:c>
      <x:c r="K642" s="9" t="str">
        <x:v>“成功时间”显示记录A的数据准备值，不串用记录B的数据</x:v>
      </x:c>
      <x:c r="L642" s="10" t="str"/>
      <x:c r="M642" s="10" t="str">
        <x:v>未测</x:v>
      </x:c>
      <x:c r="N642" s="10" t="str"/>
      <x:c r="O642" s="9" t="str">
        <x:v>1. 来源（当前证据）：liveshow-proto/MainBasis/统一需求文档.md；位置：第2790行、第2782行、第2783行
2. 规则：BR-c3be8ef17ccbfa59
3. 未动态验证</x:v>
      </x:c>
    </x:row>
    <x:row r="643" ht="130" customHeight="1">
      <x:c r="A643" s="10" t="n">
        <x:v>642</x:v>
      </x:c>
      <x:c r="B643" s="10" t="str">
        <x:v>ADMIN-0642</x:v>
      </x:c>
      <x:c r="C643" s="10" t="str">
        <x:v>财务结算</x:v>
      </x:c>
      <x:c r="D643" s="10" t="str">
        <x:v>充值订单详情（平台管理员）</x:v>
      </x:c>
      <x:c r="E643" s="10" t="str">
        <x:v>功能需求</x:v>
      </x:c>
      <x:c r="F643" s="10" t="str">
        <x:v>P0</x:v>
      </x:c>
      <x:c r="G643" s="9" t="str">
        <x:v>验证充值订单详情中订单号对应当前记录</x:v>
      </x:c>
      <x:c r="H643" s="9" t="str">
        <x:v>订单号</x:v>
      </x:c>
      <x:c r="I643" s="9" t="str">
        <x:v>1. 当前执行账号具有管理后台会话，身份为平台管理员；具体账号及权限变化按以下条件准备
2. 本页范围内测试记录A的“订单号”为数据准备记录A的实际系统编号；另有同类型记录B，字段值不同</x:v>
      </x:c>
      <x:c r="J643" s="9" t="str">
        <x:v>1. 打开充值订单详情
2. 查看记录A的“订单号”</x:v>
      </x:c>
      <x:c r="K643" s="9" t="str">
        <x:v>“订单号”显示记录A的数据准备值，不串用记录B的数据</x:v>
      </x:c>
      <x:c r="L643" s="10" t="str"/>
      <x:c r="M643" s="10" t="str">
        <x:v>未测</x:v>
      </x:c>
      <x:c r="N643" s="10" t="str"/>
      <x:c r="O643" s="9" t="str">
        <x:v>1. 来源（当前证据）：liveshow-proto/MainBasis/统一需求文档.md；位置：第2797行、第2794行、第2795行
2. 规则：BR-858d9fe68958667e
3. 未动态验证</x:v>
      </x:c>
    </x:row>
    <x:row r="644" ht="130" customHeight="1">
      <x:c r="A644" s="10" t="n">
        <x:v>643</x:v>
      </x:c>
      <x:c r="B644" s="10" t="str">
        <x:v>ADMIN-0643</x:v>
      </x:c>
      <x:c r="C644" s="10" t="str">
        <x:v>财务结算</x:v>
      </x:c>
      <x:c r="D644" s="10" t="str">
        <x:v>充值订单详情（平台管理员）</x:v>
      </x:c>
      <x:c r="E644" s="10" t="str">
        <x:v>功能需求</x:v>
      </x:c>
      <x:c r="F644" s="10" t="str">
        <x:v>P0</x:v>
      </x:c>
      <x:c r="G644" s="9" t="str">
        <x:v>验证充值订单详情中渠道交易号对应当前记录</x:v>
      </x:c>
      <x:c r="H644" s="9" t="str">
        <x:v>渠道交易号</x:v>
      </x:c>
      <x:c r="I644" s="9" t="str">
        <x:v>1. 当前执行账号具有管理后台会话，身份为平台管理员；具体账号及权限变化按以下条件准备
2. 本页范围内测试记录A的“渠道交易号”为支付渠道成功返回的交易编号CH_A；另有同类型记录B，字段值不同</x:v>
      </x:c>
      <x:c r="J644" s="9" t="str">
        <x:v>1. 打开充值订单详情
2. 查看记录A的“渠道交易号”</x:v>
      </x:c>
      <x:c r="K644" s="9" t="str">
        <x:v>“渠道交易号”显示记录A的数据准备值，不串用记录B的数据</x:v>
      </x:c>
      <x:c r="L644" s="10" t="str"/>
      <x:c r="M644" s="10" t="str">
        <x:v>未测</x:v>
      </x:c>
      <x:c r="N644" s="10" t="str"/>
      <x:c r="O644" s="9" t="str">
        <x:v>1. 来源（当前证据）：liveshow-proto/MainBasis/统一需求文档.md；位置：第2797行、第2794行、第2795行
2. 规则：BR-4bd41880e56cb50d
3. 未动态验证</x:v>
      </x:c>
    </x:row>
    <x:row r="645" ht="130" customHeight="1">
      <x:c r="A645" s="10" t="n">
        <x:v>644</x:v>
      </x:c>
      <x:c r="B645" s="10" t="str">
        <x:v>ADMIN-0644</x:v>
      </x:c>
      <x:c r="C645" s="10" t="str">
        <x:v>财务结算</x:v>
      </x:c>
      <x:c r="D645" s="10" t="str">
        <x:v>充值订单详情（平台管理员）</x:v>
      </x:c>
      <x:c r="E645" s="10" t="str">
        <x:v>功能需求</x:v>
      </x:c>
      <x:c r="F645" s="10" t="str">
        <x:v>P0</x:v>
      </x:c>
      <x:c r="G645" s="9" t="str">
        <x:v>验证充值订单详情中退款单号对应当前记录</x:v>
      </x:c>
      <x:c r="H645" s="9" t="str">
        <x:v>退款单号</x:v>
      </x:c>
      <x:c r="I645" s="9" t="str">
        <x:v>1. 当前执行账号具有管理后台会话，身份为平台管理员；具体账号及权限变化按以下条件准备
2. 本页范围内测试记录A的“退款单号”为数据准备记录A的实际系统编号；另有同类型记录B，字段值不同</x:v>
      </x:c>
      <x:c r="J645" s="9" t="str">
        <x:v>1. 打开充值订单详情
2. 查看记录A的“退款单号”</x:v>
      </x:c>
      <x:c r="K645" s="9" t="str">
        <x:v>“退款单号”显示记录A的数据准备值，不串用记录B的数据</x:v>
      </x:c>
      <x:c r="L645" s="10" t="str"/>
      <x:c r="M645" s="10" t="str">
        <x:v>未测</x:v>
      </x:c>
      <x:c r="N645" s="10" t="str"/>
      <x:c r="O645" s="9" t="str">
        <x:v>1. 来源（当前证据）：liveshow-proto/MainBasis/统一需求文档.md；位置：第2802行、第2794行、第2795行
2. 规则：BR-af54a536950dc966
3. 未动态验证</x:v>
      </x:c>
    </x:row>
    <x:row r="646" ht="130" customHeight="1">
      <x:c r="A646" s="10" t="n">
        <x:v>645</x:v>
      </x:c>
      <x:c r="B646" s="10" t="str">
        <x:v>ADMIN-0645</x:v>
      </x:c>
      <x:c r="C646" s="10" t="str">
        <x:v>财务结算</x:v>
      </x:c>
      <x:c r="D646" s="10" t="str">
        <x:v>退款订单（平台管理员）</x:v>
      </x:c>
      <x:c r="E646" s="10" t="str">
        <x:v>功能需求</x:v>
      </x:c>
      <x:c r="F646" s="10" t="str">
        <x:v>P0</x:v>
      </x:c>
      <x:c r="G646" s="9" t="str">
        <x:v>验证退款订单中退款单号对应当前记录</x:v>
      </x:c>
      <x:c r="H646" s="9" t="str">
        <x:v>退款单号</x:v>
      </x:c>
      <x:c r="I646" s="9" t="str">
        <x:v>1. 当前执行账号具有管理后台会话，身份为平台管理员；具体账号及权限变化按以下条件准备
2. 本页范围内测试记录A的“退款单号”为数据准备记录A的实际系统编号；另有同类型记录B，字段值不同</x:v>
      </x:c>
      <x:c r="J646" s="9" t="str">
        <x:v>1. 打开退款订单
2. 查看记录A的“退款单号”</x:v>
      </x:c>
      <x:c r="K646" s="9" t="str">
        <x:v>“退款单号”显示记录A的数据准备值，不串用记录B的数据</x:v>
      </x:c>
      <x:c r="L646" s="10" t="str"/>
      <x:c r="M646" s="10" t="str">
        <x:v>未测</x:v>
      </x:c>
      <x:c r="N646" s="10" t="str"/>
      <x:c r="O646" s="9" t="str">
        <x:v>1. 来源（当前证据）：liveshow-proto/MainBasis/统一需求文档.md；位置：第2839行、第2836行、第2837行
2. 规则：BR-813ea6835da7ce8c
3. 未动态验证</x:v>
      </x:c>
    </x:row>
    <x:row r="647" ht="115" customHeight="1">
      <x:c r="A647" s="10" t="n">
        <x:v>646</x:v>
      </x:c>
      <x:c r="B647" s="10" t="str">
        <x:v>ADMIN-0646</x:v>
      </x:c>
      <x:c r="C647" s="10" t="str">
        <x:v>财务结算</x:v>
      </x:c>
      <x:c r="D647" s="10" t="str">
        <x:v>主播分成记录（平台管理员）</x:v>
      </x:c>
      <x:c r="E647" s="10" t="str">
        <x:v>功能需求</x:v>
      </x:c>
      <x:c r="F647" s="10" t="str">
        <x:v>P1</x:v>
      </x:c>
      <x:c r="G647" s="9" t="str">
        <x:v>验证主播分成记录中上传人对应当前记录</x:v>
      </x:c>
      <x:c r="H647" s="9" t="str">
        <x:v>上传人</x:v>
      </x:c>
      <x:c r="I647" s="9" t="str">
        <x:v>1. 当前执行账号具有管理后台会话，身份为平台管理员；具体账号及权限变化按以下条件准备
2. 本页范围内测试记录A的“上传人”为测试A；另有同类型记录B，字段值不同</x:v>
      </x:c>
      <x:c r="J647" s="9" t="str">
        <x:v>1. 打开主播分成记录
2. 查看记录A的“上传人”</x:v>
      </x:c>
      <x:c r="K647" s="9" t="str">
        <x:v>“上传人”显示记录A的数据准备值，不串用记录B的数据</x:v>
      </x:c>
      <x:c r="L647" s="10" t="str"/>
      <x:c r="M647" s="10" t="str">
        <x:v>未测</x:v>
      </x:c>
      <x:c r="N647" s="10" t="str"/>
      <x:c r="O647" s="9" t="str">
        <x:v>1. 来源（当前证据）：liveshow-proto/MainBasis/统一需求文档.md；位置：第2859行、第2849行、第2850行
2. 规则：BR-c1ea0d62a8b8ed27
3. 未动态验证</x:v>
      </x:c>
    </x:row>
    <x:row r="648" ht="115" customHeight="1">
      <x:c r="A648" s="10" t="n">
        <x:v>647</x:v>
      </x:c>
      <x:c r="B648" s="10" t="str">
        <x:v>ADMIN-0647</x:v>
      </x:c>
      <x:c r="C648" s="10" t="str">
        <x:v>财务结算</x:v>
      </x:c>
      <x:c r="D648" s="10" t="str">
        <x:v>主播分成记录（平台管理员）</x:v>
      </x:c>
      <x:c r="E648" s="10" t="str">
        <x:v>功能需求</x:v>
      </x:c>
      <x:c r="F648" s="10" t="str">
        <x:v>P1</x:v>
      </x:c>
      <x:c r="G648" s="9" t="str">
        <x:v>验证主播分成记录中时间对应当前记录</x:v>
      </x:c>
      <x:c r="H648" s="9" t="str">
        <x:v>时间</x:v>
      </x:c>
      <x:c r="I648" s="9" t="str">
        <x:v>1. 当前执行账号具有管理后台会话，身份为平台管理员；具体账号及权限变化按以下条件准备
2. 本页范围内测试记录A的“时间”为2026-09-14 10:00；另有同类型记录B，字段值不同</x:v>
      </x:c>
      <x:c r="J648" s="9" t="str">
        <x:v>1. 打开主播分成记录
2. 查看记录A的“时间”</x:v>
      </x:c>
      <x:c r="K648" s="9" t="str">
        <x:v>“时间”显示记录A的数据准备值，不串用记录B的数据</x:v>
      </x:c>
      <x:c r="L648" s="10" t="str"/>
      <x:c r="M648" s="10" t="str">
        <x:v>未测</x:v>
      </x:c>
      <x:c r="N648" s="10" t="str"/>
      <x:c r="O648" s="9" t="str">
        <x:v>1. 来源（当前证据）：liveshow-proto/MainBasis/统一需求文档.md；位置：第2859行、第2849行、第2850行
2. 规则：BR-6c891f244da97a59
3. 未动态验证</x:v>
      </x:c>
    </x:row>
    <x:row r="649" ht="115" customHeight="1">
      <x:c r="A649" s="10" t="n">
        <x:v>648</x:v>
      </x:c>
      <x:c r="B649" s="10" t="str">
        <x:v>ADMIN-0648</x:v>
      </x:c>
      <x:c r="C649" s="10" t="str">
        <x:v>财务结算</x:v>
      </x:c>
      <x:c r="D649" s="10" t="str">
        <x:v>主播分成记录详情（平台管理员）</x:v>
      </x:c>
      <x:c r="E649" s="10" t="str">
        <x:v>功能需求</x:v>
      </x:c>
      <x:c r="F649" s="10" t="str">
        <x:v>P1</x:v>
      </x:c>
      <x:c r="G649" s="9" t="str">
        <x:v>验证主播分成记录详情中备注对应当前记录</x:v>
      </x:c>
      <x:c r="H649" s="9" t="str">
        <x:v>备注</x:v>
      </x:c>
      <x:c r="I649" s="9" t="str">
        <x:v>1. 当前执行账号具有管理后台会话，身份为平台管理员；具体账号及权限变化按以下条件准备
2. 本页范围内测试记录A的“备注”为测试说明A；另有同类型记录B，字段值不同</x:v>
      </x:c>
      <x:c r="J649" s="9" t="str">
        <x:v>1. 打开主播分成记录详情
2. 查看记录A的“备注”</x:v>
      </x:c>
      <x:c r="K649" s="9" t="str">
        <x:v>“备注”显示记录A的数据准备值，不串用记录B的数据</x:v>
      </x:c>
      <x:c r="L649" s="10" t="str"/>
      <x:c r="M649" s="10" t="str">
        <x:v>未测</x:v>
      </x:c>
      <x:c r="N649" s="10" t="str"/>
      <x:c r="O649" s="9" t="str">
        <x:v>1. 来源（当前证据）：liveshow-proto/MainBasis/统一需求文档.md；位置：第2868行、第2865行、第2866行
2. 规则：BR-8e59667141734430
3. 未动态验证</x:v>
      </x:c>
    </x:row>
    <x:row r="650" ht="130" customHeight="1">
      <x:c r="A650" s="10" t="n">
        <x:v>649</x:v>
      </x:c>
      <x:c r="B650" s="10" t="str">
        <x:v>ADMIN-0649</x:v>
      </x:c>
      <x:c r="C650" s="10" t="str">
        <x:v>财务结算</x:v>
      </x:c>
      <x:c r="D650" s="10" t="str">
        <x:v>主播分成记录详情（平台管理员）</x:v>
      </x:c>
      <x:c r="E650" s="10" t="str">
        <x:v>功能需求</x:v>
      </x:c>
      <x:c r="F650" s="10" t="str">
        <x:v>P1</x:v>
      </x:c>
      <x:c r="G650" s="9" t="str">
        <x:v>验证主播分成记录详情中记录 ID对应当前记录</x:v>
      </x:c>
      <x:c r="H650" s="9" t="str">
        <x:v>记录 ID</x:v>
      </x:c>
      <x:c r="I650" s="9" t="str">
        <x:v>1. 当前执行账号具有管理后台会话，身份为平台管理员；具体账号及权限变化按以下条件准备
2. 本页范围内测试记录A的“记录 ID”为数据准备记录A的实际系统编号；另有同类型记录B，字段值不同</x:v>
      </x:c>
      <x:c r="J650" s="9" t="str">
        <x:v>1. 打开主播分成记录详情
2. 查看记录A的“记录 ID”</x:v>
      </x:c>
      <x:c r="K650" s="9" t="str">
        <x:v>“记录 ID”显示记录A的数据准备值，不串用记录B的数据</x:v>
      </x:c>
      <x:c r="L650" s="10" t="str"/>
      <x:c r="M650" s="10" t="str">
        <x:v>未测</x:v>
      </x:c>
      <x:c r="N650" s="10" t="str"/>
      <x:c r="O650" s="9" t="str">
        <x:v>1. 来源（当前证据）：liveshow-proto/MainBasis/统一需求文档.md；位置：第2868行、第2865行、第2866行
2. 规则：BR-43069fe94e8ddc85
3. 未动态验证</x:v>
      </x:c>
    </x:row>
    <x:row r="651" ht="115" customHeight="1">
      <x:c r="A651" s="10" t="n">
        <x:v>650</x:v>
      </x:c>
      <x:c r="B651" s="10" t="str">
        <x:v>ADMIN-0650</x:v>
      </x:c>
      <x:c r="C651" s="10" t="str">
        <x:v>财务结算</x:v>
      </x:c>
      <x:c r="D651" s="10" t="str">
        <x:v>公会分成记录（平台管理员）</x:v>
      </x:c>
      <x:c r="E651" s="10" t="str">
        <x:v>功能需求</x:v>
      </x:c>
      <x:c r="F651" s="10" t="str">
        <x:v>P1</x:v>
      </x:c>
      <x:c r="G651" s="9" t="str">
        <x:v>验证公会分成记录中上传人对应当前记录</x:v>
      </x:c>
      <x:c r="H651" s="9" t="str">
        <x:v>上传人</x:v>
      </x:c>
      <x:c r="I651" s="9" t="str">
        <x:v>1. 当前执行账号具有管理后台会话，身份为平台管理员；具体账号及权限变化按以下条件准备
2. 本页范围内测试记录A的“上传人”为测试A；另有同类型记录B，字段值不同</x:v>
      </x:c>
      <x:c r="J651" s="9" t="str">
        <x:v>1. 打开公会分成记录
2. 查看记录A的“上传人”</x:v>
      </x:c>
      <x:c r="K651" s="9" t="str">
        <x:v>“上传人”显示记录A的数据准备值，不串用记录B的数据</x:v>
      </x:c>
      <x:c r="L651" s="10" t="str"/>
      <x:c r="M651" s="10" t="str">
        <x:v>未测</x:v>
      </x:c>
      <x:c r="N651" s="10" t="str"/>
      <x:c r="O651" s="9" t="str">
        <x:v>1. 来源（当前证据）：liveshow-proto/MainBasis/统一需求文档.md；位置：第2909行、第2899行、第2900行
2. 规则：BR-72e119f723f9abac
3. 未动态验证</x:v>
      </x:c>
    </x:row>
    <x:row r="652" ht="115" customHeight="1">
      <x:c r="A652" s="10" t="n">
        <x:v>651</x:v>
      </x:c>
      <x:c r="B652" s="10" t="str">
        <x:v>ADMIN-0651</x:v>
      </x:c>
      <x:c r="C652" s="10" t="str">
        <x:v>财务结算</x:v>
      </x:c>
      <x:c r="D652" s="10" t="str">
        <x:v>公会分成记录（平台管理员）</x:v>
      </x:c>
      <x:c r="E652" s="10" t="str">
        <x:v>功能需求</x:v>
      </x:c>
      <x:c r="F652" s="10" t="str">
        <x:v>P1</x:v>
      </x:c>
      <x:c r="G652" s="9" t="str">
        <x:v>验证公会分成记录中时间对应当前记录</x:v>
      </x:c>
      <x:c r="H652" s="9" t="str">
        <x:v>时间</x:v>
      </x:c>
      <x:c r="I652" s="9" t="str">
        <x:v>1. 当前执行账号具有管理后台会话，身份为平台管理员；具体账号及权限变化按以下条件准备
2. 本页范围内测试记录A的“时间”为2026-09-14 10:00；另有同类型记录B，字段值不同</x:v>
      </x:c>
      <x:c r="J652" s="9" t="str">
        <x:v>1. 打开公会分成记录
2. 查看记录A的“时间”</x:v>
      </x:c>
      <x:c r="K652" s="9" t="str">
        <x:v>“时间”显示记录A的数据准备值，不串用记录B的数据</x:v>
      </x:c>
      <x:c r="L652" s="10" t="str"/>
      <x:c r="M652" s="10" t="str">
        <x:v>未测</x:v>
      </x:c>
      <x:c r="N652" s="10" t="str"/>
      <x:c r="O652" s="9" t="str">
        <x:v>1. 来源（当前证据）：liveshow-proto/MainBasis/统一需求文档.md；位置：第2909行、第2899行、第2900行
2. 规则：BR-fe69e603918a0ea6
3. 未动态验证</x:v>
      </x:c>
    </x:row>
    <x:row r="653" ht="115" customHeight="1">
      <x:c r="A653" s="10" t="n">
        <x:v>652</x:v>
      </x:c>
      <x:c r="B653" s="10" t="str">
        <x:v>ADMIN-0652</x:v>
      </x:c>
      <x:c r="C653" s="10" t="str">
        <x:v>财务结算</x:v>
      </x:c>
      <x:c r="D653" s="10" t="str">
        <x:v>公会分成记录详情（平台管理员）</x:v>
      </x:c>
      <x:c r="E653" s="10" t="str">
        <x:v>功能需求</x:v>
      </x:c>
      <x:c r="F653" s="10" t="str">
        <x:v>P1</x:v>
      </x:c>
      <x:c r="G653" s="9" t="str">
        <x:v>验证公会分成记录详情中备注对应当前记录</x:v>
      </x:c>
      <x:c r="H653" s="9" t="str">
        <x:v>备注</x:v>
      </x:c>
      <x:c r="I653" s="9" t="str">
        <x:v>1. 当前执行账号具有管理后台会话，身份为平台管理员；具体账号及权限变化按以下条件准备
2. 本页范围内测试记录A的“备注”为测试说明A；另有同类型记录B，字段值不同</x:v>
      </x:c>
      <x:c r="J653" s="9" t="str">
        <x:v>1. 打开公会分成记录详情
2. 查看记录A的“备注”</x:v>
      </x:c>
      <x:c r="K653" s="9" t="str">
        <x:v>“备注”显示记录A的数据准备值，不串用记录B的数据</x:v>
      </x:c>
      <x:c r="L653" s="10" t="str"/>
      <x:c r="M653" s="10" t="str">
        <x:v>未测</x:v>
      </x:c>
      <x:c r="N653" s="10" t="str"/>
      <x:c r="O653" s="9" t="str">
        <x:v>1. 来源（当前证据）：liveshow-proto/MainBasis/统一需求文档.md；位置：第2918行、第2915行、第2916行
2. 规则：BR-25adbd426017f488
3. 未动态验证</x:v>
      </x:c>
    </x:row>
    <x:row r="654" ht="130" customHeight="1">
      <x:c r="A654" s="10" t="n">
        <x:v>653</x:v>
      </x:c>
      <x:c r="B654" s="10" t="str">
        <x:v>ADMIN-0653</x:v>
      </x:c>
      <x:c r="C654" s="10" t="str">
        <x:v>财务结算</x:v>
      </x:c>
      <x:c r="D654" s="10" t="str">
        <x:v>公会分成记录详情（平台管理员）</x:v>
      </x:c>
      <x:c r="E654" s="10" t="str">
        <x:v>功能需求</x:v>
      </x:c>
      <x:c r="F654" s="10" t="str">
        <x:v>P1</x:v>
      </x:c>
      <x:c r="G654" s="9" t="str">
        <x:v>验证公会分成记录详情中记录 ID对应当前记录</x:v>
      </x:c>
      <x:c r="H654" s="9" t="str">
        <x:v>记录 ID</x:v>
      </x:c>
      <x:c r="I654" s="9" t="str">
        <x:v>1. 当前执行账号具有管理后台会话，身份为平台管理员；具体账号及权限变化按以下条件准备
2. 本页范围内测试记录A的“记录 ID”为数据准备记录A的实际系统编号；另有同类型记录B，字段值不同</x:v>
      </x:c>
      <x:c r="J654" s="9" t="str">
        <x:v>1. 打开公会分成记录详情
2. 查看记录A的“记录 ID”</x:v>
      </x:c>
      <x:c r="K654" s="9" t="str">
        <x:v>“记录 ID”显示记录A的数据准备值，不串用记录B的数据</x:v>
      </x:c>
      <x:c r="L654" s="10" t="str"/>
      <x:c r="M654" s="10" t="str">
        <x:v>未测</x:v>
      </x:c>
      <x:c r="N654" s="10" t="str"/>
      <x:c r="O654" s="9" t="str">
        <x:v>1. 来源（当前证据）：liveshow-proto/MainBasis/统一需求文档.md；位置：第2918行、第2915行、第2916行
2. 规则：BR-412011e12727ce59
3. 未动态验证</x:v>
      </x:c>
    </x:row>
    <x:row r="655" ht="115" customHeight="1">
      <x:c r="A655" s="10" t="n">
        <x:v>654</x:v>
      </x:c>
      <x:c r="B655" s="10" t="str">
        <x:v>ADMIN-0654</x:v>
      </x:c>
      <x:c r="C655" s="10" t="str">
        <x:v>财务结算</x:v>
      </x:c>
      <x:c r="D655" s="10" t="str">
        <x:v>公会分成记录详情（平台管理员）</x:v>
      </x:c>
      <x:c r="E655" s="10" t="str">
        <x:v>功能需求</x:v>
      </x:c>
      <x:c r="F655" s="10" t="str">
        <x:v>P1</x:v>
      </x:c>
      <x:c r="G655" s="9" t="str">
        <x:v>验证公会分成记录详情中公会名称对应当前记录</x:v>
      </x:c>
      <x:c r="H655" s="9" t="str">
        <x:v>公会名称</x:v>
      </x:c>
      <x:c r="I655" s="9" t="str">
        <x:v>1. 当前执行账号具有管理后台会话，身份为平台管理员；具体账号及权限变化按以下条件准备
2. 本页范围内测试记录A的“公会名称”为测试A；另有同类型记录B，字段值不同</x:v>
      </x:c>
      <x:c r="J655" s="9" t="str">
        <x:v>1. 打开公会分成记录详情
2. 查看记录A的“公会名称”</x:v>
      </x:c>
      <x:c r="K655" s="9" t="str">
        <x:v>“公会名称”显示记录A的数据准备值，不串用记录B的数据</x:v>
      </x:c>
      <x:c r="L655" s="10" t="str"/>
      <x:c r="M655" s="10" t="str">
        <x:v>未测</x:v>
      </x:c>
      <x:c r="N655" s="10" t="str"/>
      <x:c r="O655" s="9" t="str">
        <x:v>1. 来源（当前证据）：liveshow-proto/MainBasis/统一需求文档.md；位置：第2920行、第2915行、第2916行
2. 规则：BR-0ff4152c148e8c0a
3. 未动态验证</x:v>
      </x:c>
    </x:row>
    <x:row r="656" ht="115" customHeight="1">
      <x:c r="A656" s="10" t="n">
        <x:v>655</x:v>
      </x:c>
      <x:c r="B656" s="10" t="str">
        <x:v>ADMIN-0655</x:v>
      </x:c>
      <x:c r="C656" s="10" t="str">
        <x:v>数据报表</x:v>
      </x:c>
      <x:c r="D656" s="10" t="str">
        <x:v>充值消费汇总（每日）（平台管理员）</x:v>
      </x:c>
      <x:c r="E656" s="10" t="str">
        <x:v>功能需求</x:v>
      </x:c>
      <x:c r="F656" s="10" t="str">
        <x:v>P0</x:v>
      </x:c>
      <x:c r="G656" s="9" t="str">
        <x:v>验证充值消费汇总（每日）中消费金币对应当前记录</x:v>
      </x:c>
      <x:c r="H656" s="9" t="str">
        <x:v>消费金币</x:v>
      </x:c>
      <x:c r="I656" s="9" t="str">
        <x:v>1. 当前执行账号具有管理后台会话，身份为平台管理员；具体账号及权限变化按以下条件准备
2. 本页范围内测试记录A的“消费金币”为100；另有同类型记录B，字段值不同</x:v>
      </x:c>
      <x:c r="J656" s="9" t="str">
        <x:v>1. 打开充值消费汇总（每日）
2. 查看记录A的“消费金币”</x:v>
      </x:c>
      <x:c r="K656" s="9" t="str">
        <x:v>“消费金币”显示记录A的数据准备值，不串用记录B的数据</x:v>
      </x:c>
      <x:c r="L656" s="10" t="str"/>
      <x:c r="M656" s="10" t="str">
        <x:v>未测</x:v>
      </x:c>
      <x:c r="N656" s="10" t="str"/>
      <x:c r="O656" s="9" t="str">
        <x:v>1. 来源（当前证据）：liveshow-proto/MainBasis/统一需求文档.md；位置：第3039行、第3032行、第3033行
2. 规则：BR-88490938d563bd64
3. 未动态验证</x:v>
      </x:c>
    </x:row>
    <x:row r="657" ht="115" customHeight="1">
      <x:c r="A657" s="10" t="n">
        <x:v>656</x:v>
      </x:c>
      <x:c r="B657" s="10" t="str">
        <x:v>ADMIN-0656</x:v>
      </x:c>
      <x:c r="C657" s="10" t="str">
        <x:v>数据报表</x:v>
      </x:c>
      <x:c r="D657" s="10" t="str">
        <x:v>消费订单明细（平台管理员）</x:v>
      </x:c>
      <x:c r="E657" s="10" t="str">
        <x:v>功能需求</x:v>
      </x:c>
      <x:c r="F657" s="10" t="str">
        <x:v>P1</x:v>
      </x:c>
      <x:c r="G657" s="9" t="str">
        <x:v>验证消费订单明细中礼物单价对应当前记录</x:v>
      </x:c>
      <x:c r="H657" s="9" t="str">
        <x:v>礼物单价</x:v>
      </x:c>
      <x:c r="I657" s="9" t="str">
        <x:v>1. 当前执行账号具有管理后台会话，身份为平台管理员；具体账号及权限变化按以下条件准备
2. 本页范围内测试记录A的“礼物单价”为100；另有同类型记录B，字段值不同</x:v>
      </x:c>
      <x:c r="J657" s="9" t="str">
        <x:v>1. 打开消费订单明细
2. 查看记录A的“礼物单价”</x:v>
      </x:c>
      <x:c r="K657" s="9" t="str">
        <x:v>“礼物单价”显示记录A的数据准备值，不串用记录B的数据</x:v>
      </x:c>
      <x:c r="L657" s="10" t="str"/>
      <x:c r="M657" s="10" t="str">
        <x:v>未测</x:v>
      </x:c>
      <x:c r="N657" s="10" t="str"/>
      <x:c r="O657" s="9" t="str">
        <x:v>1. 来源（当前证据）：liveshow-proto/MainBasis/统一需求文档.md；位置：第3111行、第3108行、第3109行
2. 规则：BR-f22594f7df05a4b9
3. 未动态验证</x:v>
      </x:c>
    </x:row>
    <x:row r="658" ht="130" customHeight="1">
      <x:c r="A658" s="10" t="n">
        <x:v>657</x:v>
      </x:c>
      <x:c r="B658" s="10" t="str">
        <x:v>ADMIN-0657</x:v>
      </x:c>
      <x:c r="C658" s="10" t="str">
        <x:v>数据报表</x:v>
      </x:c>
      <x:c r="D658" s="10" t="str">
        <x:v>消费订单明细（平台管理员）</x:v>
      </x:c>
      <x:c r="E658" s="10" t="str">
        <x:v>功能需求</x:v>
      </x:c>
      <x:c r="F658" s="10" t="str">
        <x:v>P1</x:v>
      </x:c>
      <x:c r="G658" s="9" t="str">
        <x:v>验证消费订单明细中场次 ID对应当前记录</x:v>
      </x:c>
      <x:c r="H658" s="9" t="str">
        <x:v>场次 ID</x:v>
      </x:c>
      <x:c r="I658" s="9" t="str">
        <x:v>1. 当前执行账号具有管理后台会话，身份为平台管理员；具体账号及权限变化按以下条件准备
2. 本页范围内测试记录A的“场次 ID”为数据准备记录A的实际系统编号；另有同类型记录B，字段值不同</x:v>
      </x:c>
      <x:c r="J658" s="9" t="str">
        <x:v>1. 打开消费订单明细
2. 查看记录A的“场次 ID”</x:v>
      </x:c>
      <x:c r="K658" s="9" t="str">
        <x:v>“场次 ID”显示记录A的数据准备值，不串用记录B的数据</x:v>
      </x:c>
      <x:c r="L658" s="10" t="str"/>
      <x:c r="M658" s="10" t="str">
        <x:v>未测</x:v>
      </x:c>
      <x:c r="N658" s="10" t="str"/>
      <x:c r="O658" s="9" t="str">
        <x:v>1. 来源（当前证据）：liveshow-proto/MainBasis/统一需求文档.md；位置：第3114行、第3108行、第3109行
2. 规则：BR-639ecbfe200151df
3. 未动态验证</x:v>
      </x:c>
    </x:row>
    <x:row r="659" ht="115" customHeight="1">
      <x:c r="A659" s="10" t="n">
        <x:v>658</x:v>
      </x:c>
      <x:c r="B659" s="10" t="str">
        <x:v>ADMIN-0658</x:v>
      </x:c>
      <x:c r="C659" s="10" t="str">
        <x:v>运营账号</x:v>
      </x:c>
      <x:c r="D659" s="10" t="str">
        <x:v>运营账号主页（平台管理员）</x:v>
      </x:c>
      <x:c r="E659" s="10" t="str">
        <x:v>功能需求</x:v>
      </x:c>
      <x:c r="F659" s="10" t="str">
        <x:v>P1</x:v>
      </x:c>
      <x:c r="G659" s="9" t="str">
        <x:v>验证运营账号主页中头像对应当前记录</x:v>
      </x:c>
      <x:c r="H659" s="9" t="str">
        <x:v>头像</x:v>
      </x:c>
      <x:c r="I659" s="9" t="str">
        <x:v>1. 当前执行账号具有管理后台会话，身份为平台管理员；具体账号及权限变化按以下条件准备
2. 本页范围内测试记录A的“头像”为预置图片A；另有同类型记录B，字段值不同</x:v>
      </x:c>
      <x:c r="J659" s="9" t="str">
        <x:v>1. 打开运营账号主页
2. 查看记录A的“头像”</x:v>
      </x:c>
      <x:c r="K659" s="9" t="str">
        <x:v>“头像”显示记录A的数据准备值，不串用记录B的数据</x:v>
      </x:c>
      <x:c r="L659" s="10" t="str"/>
      <x:c r="M659" s="10" t="str">
        <x:v>未测</x:v>
      </x:c>
      <x:c r="N659" s="10" t="str"/>
      <x:c r="O659" s="9" t="str">
        <x:v>1. 来源（当前证据）：liveshow-proto/MainBasis/统一需求文档.md；位置：第3158行、第3155行、第3156行
2. 规则：BR-9c688c9b6d19f26a
3. 未动态验证</x:v>
      </x:c>
    </x:row>
    <x:row r="660" ht="115" customHeight="1">
      <x:c r="A660" s="10" t="n">
        <x:v>659</x:v>
      </x:c>
      <x:c r="B660" s="10" t="str">
        <x:v>ADMIN-0659</x:v>
      </x:c>
      <x:c r="C660" s="10" t="str">
        <x:v>运营账号</x:v>
      </x:c>
      <x:c r="D660" s="10" t="str">
        <x:v>运营账号主页（平台管理员）</x:v>
      </x:c>
      <x:c r="E660" s="10" t="str">
        <x:v>功能需求</x:v>
      </x:c>
      <x:c r="F660" s="10" t="str">
        <x:v>P1</x:v>
      </x:c>
      <x:c r="G660" s="9" t="str">
        <x:v>验证运营账号主页中名称对应当前记录</x:v>
      </x:c>
      <x:c r="H660" s="9" t="str">
        <x:v>名称</x:v>
      </x:c>
      <x:c r="I660" s="9" t="str">
        <x:v>1. 当前执行账号具有管理后台会话，身份为平台管理员；具体账号及权限变化按以下条件准备
2. 本页范围内测试记录A的“名称”为测试A；另有同类型记录B，字段值不同</x:v>
      </x:c>
      <x:c r="J660" s="9" t="str">
        <x:v>1. 打开运营账号主页
2. 查看记录A的“名称”</x:v>
      </x:c>
      <x:c r="K660" s="9" t="str">
        <x:v>“名称”显示记录A的数据准备值，不串用记录B的数据</x:v>
      </x:c>
      <x:c r="L660" s="10" t="str"/>
      <x:c r="M660" s="10" t="str">
        <x:v>未测</x:v>
      </x:c>
      <x:c r="N660" s="10" t="str"/>
      <x:c r="O660" s="9" t="str">
        <x:v>1. 来源（当前证据）：liveshow-proto/MainBasis/统一需求文档.md；位置：第3158行、第3155行、第3156行
2. 规则：BR-a8c2e1c3056c04ff
3. 未动态验证</x:v>
      </x:c>
    </x:row>
    <x:row r="661" ht="130" customHeight="1">
      <x:c r="A661" s="10" t="n">
        <x:v>660</x:v>
      </x:c>
      <x:c r="B661" s="10" t="str">
        <x:v>ADMIN-0660</x:v>
      </x:c>
      <x:c r="C661" s="10" t="str">
        <x:v>运营账号</x:v>
      </x:c>
      <x:c r="D661" s="10" t="str">
        <x:v>送礼记录（平台管理员）</x:v>
      </x:c>
      <x:c r="E661" s="10" t="str">
        <x:v>功能需求</x:v>
      </x:c>
      <x:c r="F661" s="10" t="str">
        <x:v>P1</x:v>
      </x:c>
      <x:c r="G661" s="9" t="str">
        <x:v>验证送礼记录中赠送时间对应当前记录</x:v>
      </x:c>
      <x:c r="H661" s="9" t="str">
        <x:v>赠送时间</x:v>
      </x:c>
      <x:c r="I661" s="9" t="str">
        <x:v>1. 当前执行账号具有管理后台会话，身份为平台管理员；具体账号及权限变化按以下条件准备
2. 本页范围内测试记录A的“赠送时间”为2026-09-14 10:00；另有同类型记录B，字段值不同</x:v>
      </x:c>
      <x:c r="J661" s="9" t="str">
        <x:v>1. 打开送礼记录
2. 查看记录A的“赠送时间”</x:v>
      </x:c>
      <x:c r="K661" s="9" t="str">
        <x:v>“赠送时间”显示记录A的数据准备值，不串用记录B的数据</x:v>
      </x:c>
      <x:c r="L661" s="10" t="str"/>
      <x:c r="M661" s="10" t="str">
        <x:v>未测</x:v>
      </x:c>
      <x:c r="N661" s="10" t="str"/>
      <x:c r="O661" s="9" t="str">
        <x:v>1. 来源（当前证据）：liveshow-proto/MainBasis/统一需求文档.md；位置：第3188行、第3183行、第3184行
2. 规则：BR-2aafa60251f7e800
3. 未动态验证</x:v>
      </x:c>
    </x:row>
    <x:row r="662" ht="130" customHeight="1">
      <x:c r="A662" s="10" t="n">
        <x:v>661</x:v>
      </x:c>
      <x:c r="B662" s="10" t="str">
        <x:v>ADMIN-0661</x:v>
      </x:c>
      <x:c r="C662" s="10" t="str">
        <x:v>系统配置</x:v>
      </x:c>
      <x:c r="D662" s="10" t="str">
        <x:v>后台账号（超级管理员）</x:v>
      </x:c>
      <x:c r="E662" s="10" t="str">
        <x:v>功能需求</x:v>
      </x:c>
      <x:c r="F662" s="10" t="str">
        <x:v>P1</x:v>
      </x:c>
      <x:c r="G662" s="9" t="str">
        <x:v>验证后台账号中账号 ID对应当前记录</x:v>
      </x:c>
      <x:c r="H662" s="9" t="str">
        <x:v>账号 ID</x:v>
      </x:c>
      <x:c r="I662" s="9" t="str">
        <x:v>1. 当前执行账号具有管理后台会话，身份为超级管理员；具体账号及权限变化按以下条件准备
2. 本页范围内测试记录A的“账号 ID”为数据准备记录A的实际系统编号；另有同类型记录B，字段值不同</x:v>
      </x:c>
      <x:c r="J662" s="9" t="str">
        <x:v>1. 打开后台账号
2. 查看记录A的“账号 ID”</x:v>
      </x:c>
      <x:c r="K662" s="9" t="str">
        <x:v>“账号 ID”显示记录A的数据准备值，不串用记录B的数据</x:v>
      </x:c>
      <x:c r="L662" s="10" t="str"/>
      <x:c r="M662" s="10" t="str">
        <x:v>未测</x:v>
      </x:c>
      <x:c r="N662" s="10" t="str"/>
      <x:c r="O662" s="9" t="str">
        <x:v>1. 来源（当前证据）：liveshow-proto/MainBasis/统一需求文档.md；位置：第3214行、第3211行、第3212行
2. 规则：BR-6b590c4d4dfacd9d
3. 未动态验证</x:v>
      </x:c>
    </x:row>
    <x:row r="663" ht="130" customHeight="1">
      <x:c r="A663" s="10" t="n">
        <x:v>662</x:v>
      </x:c>
      <x:c r="B663" s="10" t="str">
        <x:v>ADMIN-0662</x:v>
      </x:c>
      <x:c r="C663" s="10" t="str">
        <x:v>系统配置</x:v>
      </x:c>
      <x:c r="D663" s="10" t="str">
        <x:v>账号编辑（超级管理员）</x:v>
      </x:c>
      <x:c r="E663" s="10" t="str">
        <x:v>功能需求</x:v>
      </x:c>
      <x:c r="F663" s="10" t="str">
        <x:v>P1</x:v>
      </x:c>
      <x:c r="G663" s="9" t="str">
        <x:v>验证账号编辑中账号 ID对应当前记录</x:v>
      </x:c>
      <x:c r="H663" s="9" t="str">
        <x:v>账号 ID</x:v>
      </x:c>
      <x:c r="I663" s="9" t="str">
        <x:v>1. 当前执行账号具有管理后台会话，身份为超级管理员；具体账号及权限变化按以下条件准备
2. 本页范围内测试记录A的“账号 ID”为数据准备记录A的实际系统编号；另有同类型记录B，字段值不同</x:v>
      </x:c>
      <x:c r="J663" s="9" t="str">
        <x:v>1. 打开账号编辑
2. 查看记录A的“账号 ID”</x:v>
      </x:c>
      <x:c r="K663" s="9" t="str">
        <x:v>“账号 ID”显示记录A的数据准备值，不串用记录B的数据</x:v>
      </x:c>
      <x:c r="L663" s="10" t="str"/>
      <x:c r="M663" s="10" t="str">
        <x:v>未测</x:v>
      </x:c>
      <x:c r="N663" s="10" t="str"/>
      <x:c r="O663" s="9" t="str">
        <x:v>1. 来源（当前证据）：liveshow-proto/MainBasis/统一需求文档.md；位置：第3227行、第3224行、第3225行
2. 规则：BR-7854d04d8092331b
3. 未动态验证</x:v>
      </x:c>
    </x:row>
    <x:row r="664" ht="145" customHeight="1">
      <x:c r="A664" s="10" t="n">
        <x:v>663</x:v>
      </x:c>
      <x:c r="B664" s="10" t="str">
        <x:v>ADMIN-0663</x:v>
      </x:c>
      <x:c r="C664" s="10" t="str">
        <x:v>数据报表</x:v>
      </x:c>
      <x:c r="D664" s="10" t="str">
        <x:v>报表中心（平台管理员）</x:v>
      </x:c>
      <x:c r="E664" s="10" t="str">
        <x:v>功能需求</x:v>
      </x:c>
      <x:c r="F664" s="10" t="str">
        <x:v>P1</x:v>
      </x:c>
      <x:c r="G664" s="9" t="str">
        <x:v>验证报表中心通过入口进入关联页面</x:v>
      </x:c>
      <x:c r="H664" s="9" t="str">
        <x:v>关联页面路由</x:v>
      </x:c>
      <x:c r="I664" s="9" t="str">
        <x:v>1. 当前执行账号具有管理后台会话，身份为平台管理员；具体账号及权限变化按以下条件准备
2. 当前报表中心入口可访问；需选择对象时，本页存在可访问记录A，已记录其实际编号
3. 当前角色已授予用户活跃汇总（每日）报表权限，报表启用</x:v>
      </x:c>
      <x:c r="J664" s="9" t="str">
        <x:v>1. 打开报表中心
2. 点击“用户活跃汇总（每日）”</x:v>
      </x:c>
      <x:c r="K664" s="9" t="str">
        <x:v>进入用户活跃汇总（每日）报表</x:v>
      </x:c>
      <x:c r="L664" s="10" t="str"/>
      <x:c r="M664" s="10" t="str">
        <x:v>未测</x:v>
      </x:c>
      <x:c r="N664" s="10" t="str"/>
      <x:c r="O664" s="9" t="str">
        <x:v>1. 来源（当前证据）：liveshow-proto/MainBasis/统一需求文档.md；位置：第2956行、第2949行、第2950行
2. 规则：BR-92765dadecbdd77d
3. 未动态验证</x:v>
      </x:c>
    </x:row>
  </x:sheetData>
  <x:dataValidations count="3">
    <x:dataValidation type="list" sqref="E2:E664">
      <x:formula1>"功能需求,业务流程,逻辑校验,异常用例"</x:formula1>
    </x:dataValidation>
    <x:dataValidation type="list" sqref="F2:F664">
      <x:formula1>"P0,P1,P2,P3"</x:formula1>
    </x:dataValidation>
    <x:dataValidation type="list" sqref="M2:M664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c640b650934ff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20" hidden="0" customWidth="1"/>
    <x:col min="5" max="5" width="11" hidden="0" customWidth="1"/>
    <x:col min="6" max="6" width="12" hidden="0" customWidth="1"/>
    <x:col min="7" max="7" width="28" hidden="0" customWidth="1"/>
    <x:col min="8" max="8" width="18" hidden="0" customWidth="1"/>
    <x:col min="9" max="9" width="34" hidden="0" customWidth="1"/>
    <x:col min="10" max="10" width="45" hidden="0" customWidth="1"/>
    <x:col min="11" max="11" width="36" hidden="0" customWidth="1"/>
    <x:col min="12" max="12" width="12" hidden="0" customWidth="1"/>
    <x:col min="13" max="13" width="24" hidden="0" customWidth="1"/>
    <x:col min="14" max="14" width="34" hidden="0" customWidth="1"/>
    <x:col min="15" max="15" width="30" hidden="0" customWidth="1"/>
    <x:col min="16" max="16" width="20" hidden="0" customWidth="1"/>
    <x:col min="17" max="17" width="30" hidden="0" customWidth="1"/>
    <x:col min="18" max="18" width="12" hidden="0" customWidth="1"/>
    <x:col min="19" max="19" width="21" hidden="0" customWidth="1"/>
    <x:col min="20" max="20" width="12" hidden="0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70" customHeight="1">
      <x:c r="A2" s="10" t="str">
        <x:v>Q-062</x:v>
      </x:c>
      <x:c r="B2" s="10" t="str">
        <x:v>REQ-Q-062</x:v>
      </x:c>
      <x:c r="C2" s="10" t="str"/>
      <x:c r="D2" s="10" t="str"/>
      <x:c r="E2" s="10" t="str">
        <x:v>部分阻塞</x:v>
      </x:c>
      <x:c r="F2" s="10" t="str">
        <x:v>个人中心</x:v>
      </x:c>
      <x:c r="G2" s="9" t="str">
        <x:v>他人主页粉丝团排序</x:v>
      </x:c>
      <x:c r="H2" s="9" t="str">
        <x:v>业务规则</x:v>
      </x:c>
      <x:c r="I2" s="9" t="str">
        <x:v>他人主页已加入粉丝团按什么顺序展示？</x:v>
      </x:c>
      <x:c r="J2" s="9" t="str">
        <x:v>A. 按加入时间倒序
B. 按累计贡献倒序</x:v>
      </x:c>
      <x:c r="K2" s="9" t="str">
        <x:v>明确“他人主页粉丝团排序”的决定后，补充对应正常、拒绝及恢复分支。</x:v>
      </x:c>
      <x:c r="L2" s="12" t="str"/>
      <x:c r="M2" s="12" t="str"/>
      <x:c r="N2" s="10" t="str">
        <x:v>1. 当前用户主页批注明确标注展示顺序待确认。
2. liveshow-proto/MainBasis/需求待确认清单.md：第35行</x:v>
      </x:c>
      <x:c r="O2" s="9" t="str">
        <x:v>1. 用户App；个人中心</x:v>
      </x:c>
      <x:c r="P2" s="9" t="str"/>
      <x:c r="Q2" s="9" t="str">
        <x:v>1. 他人主页粉丝团排序的可执行结果验证</x:v>
      </x:c>
      <x:c r="R2" s="9" t="str">
        <x:v>产品</x:v>
      </x:c>
      <x:c r="S2" s="9" t="str">
        <x:v>对应功能测试开始前</x:v>
      </x:c>
      <x:c r="T2" s="9" t="str">
        <x:v>待确认</x:v>
      </x:c>
    </x:row>
    <x:row r="3" ht="115" customHeight="1">
      <x:c r="A3" s="10" t="str">
        <x:v>Q-061</x:v>
      </x:c>
      <x:c r="B3" s="10" t="str">
        <x:v>REQ-Q-061</x:v>
      </x:c>
      <x:c r="C3" s="10" t="str"/>
      <x:c r="D3" s="10" t="str"/>
      <x:c r="E3" s="10" t="str">
        <x:v>部分阻塞</x:v>
      </x:c>
      <x:c r="F3" s="10" t="str">
        <x:v>直播模块</x:v>
      </x:c>
      <x:c r="G3" s="9" t="str">
        <x:v>观众清屏入口</x:v>
      </x:c>
      <x:c r="H3" s="9" t="str">
        <x:v>角色与权限</x:v>
      </x:c>
      <x:c r="I3" s="9" t="str">
        <x:v>普通观众是否保留清屏入口？</x:v>
      </x:c>
      <x:c r="J3" s="9" t="str">
        <x:v>A. 保留观众清屏并补齐入口
B. 仅主播可清屏并修订观众批注</x:v>
      </x:c>
      <x:c r="K3" s="9" t="str">
        <x:v>明确“观众清屏入口”的决定后，补充对应正常、拒绝及恢复分支。</x:v>
      </x:c>
      <x:c r="L3" s="12" t="str"/>
      <x:c r="M3" s="12" t="str"/>
      <x:c r="N3" s="10" t="str">
        <x:v>1. 观众页面及菜单批注声明清屏，共享脚本在 live-room.html 初始化时移除 data-clear-screen 按钮，后续未恢复；主播清屏入口仍存在。
2. liveshow-proto/MainBasis/需求待确认清单.md：第63行</x:v>
      </x:c>
      <x:c r="O3" s="9" t="str">
        <x:v>1. 用户App；直播模块</x:v>
      </x:c>
      <x:c r="P3" s="9" t="str"/>
      <x:c r="Q3" s="9" t="str">
        <x:v>1. 观众清屏入口的可执行结果验证</x:v>
      </x:c>
      <x:c r="R3" s="9" t="str">
        <x:v>产品</x:v>
      </x:c>
      <x:c r="S3" s="9" t="str">
        <x:v>对应功能测试开始前</x:v>
      </x:c>
      <x:c r="T3" s="9" t="str">
        <x:v>待确认</x:v>
      </x:c>
    </x:row>
    <x:row r="4" ht="85" customHeight="1">
      <x:c r="A4" s="10" t="str">
        <x:v>Q-001</x:v>
      </x:c>
      <x:c r="B4" s="10" t="str">
        <x:v>REQ-Q-001</x:v>
      </x:c>
      <x:c r="C4" s="10" t="str"/>
      <x:c r="D4" s="10" t="str"/>
      <x:c r="E4" s="10" t="str">
        <x:v>部分阻塞</x:v>
      </x:c>
      <x:c r="F4" s="10" t="str">
        <x:v>直播模块</x:v>
      </x:c>
      <x:c r="G4" s="9" t="str">
        <x:v>修改密码</x:v>
      </x:c>
      <x:c r="H4" s="9" t="str">
        <x:v>业务规则</x:v>
      </x:c>
      <x:c r="I4" s="9" t="str">
        <x:v>直播中修改密码的长度应使用 4-12 位还是固定 8 位数字？</x:v>
      </x:c>
      <x:c r="J4" s="9" t="str">
        <x:v>A. 4-12 位数字
B. 固定 8 位数字</x:v>
      </x:c>
      <x:c r="K4" s="9" t="str">
        <x:v>明确“修改密码”的决定后，补充对应正常、拒绝及恢复分支。</x:v>
      </x:c>
      <x:c r="L4" s="12" t="str"/>
      <x:c r="M4" s="12" t="str"/>
      <x:c r="N4" s="10" t="str">
        <x:v>1. 结构化批注写 4-12 位；公共批注写修改为 8 位。开播创建与观众验证的 4-12 位规则保留。
2. liveshow-proto/MainBasis/需求待确认清单.md：第64行</x:v>
      </x:c>
      <x:c r="O4" s="9" t="str">
        <x:v>1. 用户App；直播模块</x:v>
      </x:c>
      <x:c r="P4" s="9" t="str"/>
      <x:c r="Q4" s="9" t="str">
        <x:v>1. 修改密码的可执行结果验证</x:v>
      </x:c>
      <x:c r="R4" s="9" t="str">
        <x:v>产品</x:v>
      </x:c>
      <x:c r="S4" s="9" t="str">
        <x:v>对应功能测试开始前</x:v>
      </x:c>
      <x:c r="T4" s="9" t="str">
        <x:v>待确认</x:v>
      </x:c>
    </x:row>
    <x:row r="5" ht="85" customHeight="1">
      <x:c r="A5" s="10" t="str">
        <x:v>Q-002</x:v>
      </x:c>
      <x:c r="B5" s="10" t="str">
        <x:v>REQ-Q-002</x:v>
      </x:c>
      <x:c r="C5" s="10" t="str"/>
      <x:c r="D5" s="10" t="str"/>
      <x:c r="E5" s="10" t="str">
        <x:v>部分阻塞</x:v>
      </x:c>
      <x:c r="F5" s="10" t="str">
        <x:v>任务与邀请</x:v>
      </x:c>
      <x:c r="G5" s="9" t="str">
        <x:v>邀请奖励金额</x:v>
      </x:c>
      <x:c r="H5" s="9" t="str">
        <x:v>业务规则</x:v>
      </x:c>
      <x:c r="I5" s="9" t="str">
        <x:v>每次成功邀请奖励是固定 10 金币，还是由后台任务配置决定？</x:v>
      </x:c>
      <x:c r="J5" s="9" t="str">
        <x:v>A. 使用后台任务配置
B. 固定 10 金币</x:v>
      </x:c>
      <x:c r="K5" s="9" t="str">
        <x:v>明确“邀请奖励金额”的决定后，补充对应正常、拒绝及恢复分支。</x:v>
      </x:c>
      <x:c r="L5" s="12" t="str"/>
      <x:c r="M5" s="12" t="str"/>
      <x:c r="N5" s="10" t="str">
        <x:v>1. 邀请页写固定 10，福利页写后台配置；系统概要仅明确邀请可获得金币。
2. liveshow-proto/MainBasis/需求待确认清单.md：第65行</x:v>
      </x:c>
      <x:c r="O5" s="9" t="str">
        <x:v>1. 用户App、管理后台；任务与邀请</x:v>
      </x:c>
      <x:c r="P5" s="9" t="str"/>
      <x:c r="Q5" s="9" t="str">
        <x:v>1. 邀请奖励金额的可执行结果验证</x:v>
      </x:c>
      <x:c r="R5" s="9" t="str">
        <x:v>产品</x:v>
      </x:c>
      <x:c r="S5" s="9" t="str">
        <x:v>对应功能测试开始前</x:v>
      </x:c>
      <x:c r="T5" s="9" t="str">
        <x:v>待确认</x:v>
      </x:c>
    </x:row>
    <x:row r="6" ht="85" customHeight="1">
      <x:c r="A6" s="10" t="str">
        <x:v>Q-003</x:v>
      </x:c>
      <x:c r="B6" s="10" t="str">
        <x:v>REQ-Q-003</x:v>
      </x:c>
      <x:c r="C6" s="10" t="str"/>
      <x:c r="D6" s="10" t="str"/>
      <x:c r="E6" s="10" t="str">
        <x:v>部分阻塞</x:v>
      </x:c>
      <x:c r="F6" s="10" t="str">
        <x:v>等级</x:v>
      </x:c>
      <x:c r="G6" s="9" t="str">
        <x:v>成长计入范围</x:v>
      </x:c>
      <x:c r="H6" s="9" t="str">
        <x:v>计算与统计口径</x:v>
      </x:c>
      <x:c r="I6" s="9" t="str">
        <x:v>四类等级各自的成长值应计入哪些业务金额？</x:v>
      </x:c>
      <x:c r="J6" s="9" t="str">
        <x:v>A. 各等级分别按配置字段口径
B. 统一按实际净消费和收益口径</x:v>
      </x:c>
      <x:c r="K6" s="9" t="str">
        <x:v>明确“成长计入范围”的决定后，补充对应正常、拒绝及恢复分支。</x:v>
      </x:c>
      <x:c r="L6" s="12" t="str"/>
      <x:c r="M6" s="12" t="str"/>
      <x:c r="N6" s="10" t="str">
        <x:v>1. 用户端出现收礼贡献、消费成长，公会端出现主播收益；等级配置明确计入范围待确认。
2. liveshow-proto/MainBasis/需求待确认清单.md：第66行</x:v>
      </x:c>
      <x:c r="O6" s="9" t="str">
        <x:v>1. 用户App、公会App、管理后台；等级</x:v>
      </x:c>
      <x:c r="P6" s="9" t="str"/>
      <x:c r="Q6" s="9" t="str">
        <x:v>1. 成长计入范围的可执行结果验证</x:v>
      </x:c>
      <x:c r="R6" s="9" t="str">
        <x:v>产品</x:v>
      </x:c>
      <x:c r="S6" s="9" t="str">
        <x:v>对应功能测试开始前</x:v>
      </x:c>
      <x:c r="T6" s="9" t="str">
        <x:v>待确认</x:v>
      </x:c>
    </x:row>
    <x:row r="7" ht="100" customHeight="1">
      <x:c r="A7" s="10" t="str">
        <x:v>Q-006</x:v>
      </x:c>
      <x:c r="B7" s="10" t="str">
        <x:v>REQ-Q-006</x:v>
      </x:c>
      <x:c r="C7" s="10" t="str"/>
      <x:c r="D7" s="10" t="str"/>
      <x:c r="E7" s="10" t="str">
        <x:v>部分阻塞</x:v>
      </x:c>
      <x:c r="F7" s="10" t="str">
        <x:v>主播中心</x:v>
      </x:c>
      <x:c r="G7" s="9" t="str">
        <x:v>直播权限关闭提示</x:v>
      </x:c>
      <x:c r="H7" s="9" t="str">
        <x:v>角色与权限</x:v>
      </x:c>
      <x:c r="I7" s="9" t="str">
        <x:v>主播中心直播权限关闭时采用哪种提示形式？</x:v>
      </x:c>
      <x:c r="J7" s="9" t="str">
        <x:v>A. 联系公会对话框
B. 暂无开播权限提示</x:v>
      </x:c>
      <x:c r="K7" s="9" t="str">
        <x:v>明确“直播权限关闭提示”的决定后，补充对应正常、拒绝及恢复分支。</x:v>
      </x:c>
      <x:c r="L7" s="12" t="str"/>
      <x:c r="M7" s="12" t="str"/>
      <x:c r="N7" s="10" t="str">
        <x:v>1. 结构化批注为“暂无开播权限”，公共批注为“直播权限已关闭，请联系公会”对话框；不能开播的业务结果明确。
2. liveshow-proto/MainBasis/需求待确认清单.md：第67行</x:v>
      </x:c>
      <x:c r="O7" s="9" t="str">
        <x:v>1. 用户App；主播中心</x:v>
      </x:c>
      <x:c r="P7" s="9" t="str"/>
      <x:c r="Q7" s="9" t="str">
        <x:v>1. 直播权限关闭提示的可执行结果验证</x:v>
      </x:c>
      <x:c r="R7" s="9" t="str">
        <x:v>产品</x:v>
      </x:c>
      <x:c r="S7" s="9" t="str">
        <x:v>对应功能测试开始前</x:v>
      </x:c>
      <x:c r="T7" s="9" t="str">
        <x:v>待确认</x:v>
      </x:c>
    </x:row>
    <x:row r="8" ht="100" customHeight="1">
      <x:c r="A8" s="10" t="str">
        <x:v>Q-007</x:v>
      </x:c>
      <x:c r="B8" s="10" t="str">
        <x:v>REQ-Q-007</x:v>
      </x:c>
      <x:c r="C8" s="10" t="str"/>
      <x:c r="D8" s="10" t="str"/>
      <x:c r="E8" s="10" t="str">
        <x:v>部分阻塞</x:v>
      </x:c>
      <x:c r="F8" s="10" t="str">
        <x:v>直播模块</x:v>
      </x:c>
      <x:c r="G8" s="9" t="str">
        <x:v>连麦空搜索提示</x:v>
      </x:c>
      <x:c r="H8" s="9" t="str">
        <x:v>业务规则</x:v>
      </x:c>
      <x:c r="I8" s="9" t="str">
        <x:v>连麦搜索无结果时采用哪条提示文案？</x:v>
      </x:c>
      <x:c r="J8" s="9" t="str">
        <x:v>A. 查询结果为空
B. 查询结果为空或主播未在普通房直播</x:v>
      </x:c>
      <x:c r="K8" s="9" t="str">
        <x:v>明确“连麦空搜索提示”的决定后，补充对应正常、拒绝及恢复分支。</x:v>
      </x:c>
      <x:c r="L8" s="12" t="str"/>
      <x:c r="M8" s="12" t="str"/>
      <x:c r="N8" s="10" t="str">
        <x:v>1. 公共批注“查询结果为空”，结构化批注“查询结果为空或主播未在普通房直播”。空结果不生成邀请的规则保留。
2. liveshow-proto/MainBasis/需求待确认清单.md：第68行</x:v>
      </x:c>
      <x:c r="O8" s="9" t="str">
        <x:v>1. 用户App；直播模块</x:v>
      </x:c>
      <x:c r="P8" s="9" t="str"/>
      <x:c r="Q8" s="9" t="str">
        <x:v>1. 连麦空搜索提示的可执行结果验证</x:v>
      </x:c>
      <x:c r="R8" s="9" t="str">
        <x:v>产品</x:v>
      </x:c>
      <x:c r="S8" s="9" t="str">
        <x:v>对应功能测试开始前</x:v>
      </x:c>
      <x:c r="T8" s="9" t="str">
        <x:v>待确认</x:v>
      </x:c>
    </x:row>
    <x:row r="9" ht="85" customHeight="1">
      <x:c r="A9" s="10" t="str">
        <x:v>Q-008</x:v>
      </x:c>
      <x:c r="B9" s="10" t="str">
        <x:v>REQ-Q-008</x:v>
      </x:c>
      <x:c r="C9" s="10" t="str"/>
      <x:c r="D9" s="10" t="str"/>
      <x:c r="E9" s="10" t="str">
        <x:v>部分阻塞</x:v>
      </x:c>
      <x:c r="F9" s="10" t="str">
        <x:v>跨日统计</x:v>
      </x:c>
      <x:c r="G9" s="9" t="str">
        <x:v>业务时区</x:v>
      </x:c>
      <x:c r="H9" s="9" t="str">
        <x:v>计算与统计口径</x:v>
      </x:c>
      <x:c r="I9" s="9" t="str">
        <x:v>三端自然日与奖励截止时间统一使用哪个时区？</x:v>
      </x:c>
      <x:c r="J9" s="9" t="str">
        <x:v>A. Asia/Jakarta
B. UTC</x:v>
      </x:c>
      <x:c r="K9" s="9" t="str">
        <x:v>明确“业务时区”的决定后，补充对应正常、拒绝及恢复分支。</x:v>
      </x:c>
      <x:c r="L9" s="12" t="str"/>
      <x:c r="M9" s="12" t="str"/>
      <x:c r="N9" s="10" t="str">
        <x:v>1. 均使用业务自然日，但没有明确时区；印尼多时区，设备区号不能替代业务时区。
2. liveshow-proto/MainBasis/需求待确认清单.md：第69行</x:v>
      </x:c>
      <x:c r="O9" s="9" t="str">
        <x:v>1. 用户App、公会App、管理后台；跨日统计</x:v>
      </x:c>
      <x:c r="P9" s="9" t="str"/>
      <x:c r="Q9" s="9" t="str">
        <x:v>1. 业务时区的可执行结果验证</x:v>
      </x:c>
      <x:c r="R9" s="9" t="str">
        <x:v>产品</x:v>
      </x:c>
      <x:c r="S9" s="9" t="str">
        <x:v>对应功能测试开始前</x:v>
      </x:c>
      <x:c r="T9" s="9" t="str">
        <x:v>待确认</x:v>
      </x:c>
    </x:row>
    <x:row r="10" ht="85" customHeight="1">
      <x:c r="A10" s="10" t="str">
        <x:v>Q-009</x:v>
      </x:c>
      <x:c r="B10" s="10" t="str">
        <x:v>REQ-Q-009</x:v>
      </x:c>
      <x:c r="C10" s="10" t="str"/>
      <x:c r="D10" s="10" t="str"/>
      <x:c r="E10" s="10" t="str">
        <x:v>部分阻塞</x:v>
      </x:c>
      <x:c r="F10" s="10" t="str">
        <x:v>任务与邀请</x:v>
      </x:c>
      <x:c r="G10" s="9" t="str">
        <x:v>停用后领取资格</x:v>
      </x:c>
      <x:c r="H10" s="9" t="str">
        <x:v>业务规则</x:v>
      </x:c>
      <x:c r="I10" s="9" t="str">
        <x:v>任务停用时已达成且当天未过期的奖励能否领取？</x:v>
      </x:c>
      <x:c r="J10" s="9" t="str">
        <x:v>A. 当天有效奖励仍可领取
B. 停用立即失去领取资格</x:v>
      </x:c>
      <x:c r="K10" s="9" t="str">
        <x:v>明确“停用后领取资格”的决定后，补充对应正常、拒绝及恢复分支。</x:v>
      </x:c>
      <x:c r="L10" s="12" t="str"/>
      <x:c r="M10" s="12" t="str"/>
      <x:c r="N10" s="10" t="str">
        <x:v>1. 只明确停用不再产生进度、不回收已领取；未领取奖励的去向未明确。
2. liveshow-proto/MainBasis/需求待确认清单.md：第70行</x:v>
      </x:c>
      <x:c r="O10" s="9" t="str">
        <x:v>1. 用户App、管理后台；任务与邀请</x:v>
      </x:c>
      <x:c r="P10" s="9" t="str"/>
      <x:c r="Q10" s="9" t="str">
        <x:v>1. 停用后领取资格的可执行结果验证</x:v>
      </x:c>
      <x:c r="R10" s="9" t="str">
        <x:v>产品</x:v>
      </x:c>
      <x:c r="S10" s="9" t="str">
        <x:v>对应功能测试开始前</x:v>
      </x:c>
      <x:c r="T10" s="9" t="str">
        <x:v>待确认</x:v>
      </x:c>
    </x:row>
    <x:row r="11" ht="85" customHeight="1">
      <x:c r="A11" s="10" t="str">
        <x:v>Q-010</x:v>
      </x:c>
      <x:c r="B11" s="10" t="str">
        <x:v>REQ-Q-010</x:v>
      </x:c>
      <x:c r="C11" s="10" t="str"/>
      <x:c r="D11" s="10" t="str"/>
      <x:c r="E11" s="10" t="str">
        <x:v>部分阻塞</x:v>
      </x:c>
      <x:c r="F11" s="10" t="str">
        <x:v>任务与邀请</x:v>
      </x:c>
      <x:c r="G11" s="9" t="str">
        <x:v>补签</x:v>
      </x:c>
      <x:c r="H11" s="9" t="str">
        <x:v>业务规则</x:v>
      </x:c>
      <x:c r="I11" s="9" t="str">
        <x:v>是否支持补签？</x:v>
      </x:c>
      <x:c r="J11" s="9" t="str">
        <x:v>A. 一期不支持
B. 支持并另定补签资格</x:v>
      </x:c>
      <x:c r="K11" s="9" t="str">
        <x:v>明确“补签”的决定后，补充对应正常、拒绝及恢复分支。</x:v>
      </x:c>
      <x:c r="L11" s="12" t="str"/>
      <x:c r="M11" s="12" t="str"/>
      <x:c r="N11" s="10" t="str">
        <x:v>1. 签到章节明确“是否支持补签”待确认。连续签到和断签重置规则已有依据。
2. liveshow-proto/MainBasis/需求待确认清单.md：第71行</x:v>
      </x:c>
      <x:c r="O11" s="9" t="str">
        <x:v>1. 用户App、管理后台；任务与邀请</x:v>
      </x:c>
      <x:c r="P11" s="9" t="str"/>
      <x:c r="Q11" s="9" t="str">
        <x:v>1. 补签的可执行结果验证</x:v>
      </x:c>
      <x:c r="R11" s="9" t="str">
        <x:v>产品</x:v>
      </x:c>
      <x:c r="S11" s="9" t="str">
        <x:v>对应功能测试开始前</x:v>
      </x:c>
      <x:c r="T11" s="9" t="str">
        <x:v>待确认</x:v>
      </x:c>
    </x:row>
    <x:row r="12" ht="70" customHeight="1">
      <x:c r="A12" s="10" t="str">
        <x:v>Q-011</x:v>
      </x:c>
      <x:c r="B12" s="10" t="str">
        <x:v>REQ-Q-011</x:v>
      </x:c>
      <x:c r="C12" s="10" t="str"/>
      <x:c r="D12" s="10" t="str"/>
      <x:c r="E12" s="10" t="str">
        <x:v>部分阻塞</x:v>
      </x:c>
      <x:c r="F12" s="10" t="str">
        <x:v>任务与邀请</x:v>
      </x:c>
      <x:c r="G12" s="9" t="str">
        <x:v>任务到期领取资格</x:v>
      </x:c>
      <x:c r="H12" s="9" t="str">
        <x:v>业务规则</x:v>
      </x:c>
      <x:c r="I12" s="9" t="str">
        <x:v>任务有效期结束时已达成但尚未到当日截止时间的奖励能否领取？</x:v>
      </x:c>
      <x:c r="J12" s="9" t="str">
        <x:v>A. 到期立即失效
B. 允许领取到当天截止</x:v>
      </x:c>
      <x:c r="K12" s="9" t="str">
        <x:v>明确“任务到期领取资格”的决定后，补充对应正常、拒绝及恢复分支。</x:v>
      </x:c>
      <x:c r="L12" s="12" t="str"/>
      <x:c r="M12" s="12" t="str"/>
      <x:c r="N12" s="10" t="str">
        <x:v>1. 任务有效期与当天 23:59 的领取时限均存在，二者优先级未定义。
2. liveshow-proto/MainBasis/需求待确认清单.md：第72行</x:v>
      </x:c>
      <x:c r="O12" s="9" t="str">
        <x:v>1. 用户App、管理后台；任务与邀请</x:v>
      </x:c>
      <x:c r="P12" s="9" t="str"/>
      <x:c r="Q12" s="9" t="str">
        <x:v>1. 任务到期领取资格的可执行结果验证</x:v>
      </x:c>
      <x:c r="R12" s="9" t="str">
        <x:v>产品</x:v>
      </x:c>
      <x:c r="S12" s="9" t="str">
        <x:v>对应功能测试开始前</x:v>
      </x:c>
      <x:c r="T12" s="9" t="str">
        <x:v>待确认</x:v>
      </x:c>
    </x:row>
    <x:row r="13" ht="85" customHeight="1">
      <x:c r="A13" s="10" t="str">
        <x:v>Q-012</x:v>
      </x:c>
      <x:c r="B13" s="10" t="str">
        <x:v>REQ-Q-012</x:v>
      </x:c>
      <x:c r="C13" s="10" t="str"/>
      <x:c r="D13" s="10" t="str"/>
      <x:c r="E13" s="10" t="str">
        <x:v>部分阻塞</x:v>
      </x:c>
      <x:c r="F13" s="10" t="str">
        <x:v>任务与邀请</x:v>
      </x:c>
      <x:c r="G13" s="9" t="str">
        <x:v>成功邀请认定</x:v>
      </x:c>
      <x:c r="H13" s="9" t="str">
        <x:v>业务规则</x:v>
      </x:c>
      <x:c r="I13" s="9" t="str">
        <x:v>被邀请人完成什么动作才算一次成功邀请？</x:v>
      </x:c>
      <x:c r="J13" s="9" t="str">
        <x:v>A. 完成注册即成功
B. 完成注册及指定激活条件</x:v>
      </x:c>
      <x:c r="K13" s="9" t="str">
        <x:v>明确“成功邀请认定”的决定后，补充对应正常、拒绝及恢复分支。</x:v>
      </x:c>
      <x:c r="L13" s="12" t="str"/>
      <x:c r="M13" s="12" t="str"/>
      <x:c r="N13" s="10" t="str">
        <x:v>1. 页面定义成功邀请数和奖励，未定义注册、首次登录或其他有效条件。
2. liveshow-proto/MainBasis/需求待确认清单.md：第73行</x:v>
      </x:c>
      <x:c r="O13" s="9" t="str">
        <x:v>1. 用户App、管理后台；任务与邀请</x:v>
      </x:c>
      <x:c r="P13" s="9" t="str"/>
      <x:c r="Q13" s="9" t="str">
        <x:v>1. 成功邀请认定的可执行结果验证</x:v>
      </x:c>
      <x:c r="R13" s="9" t="str">
        <x:v>产品</x:v>
      </x:c>
      <x:c r="S13" s="9" t="str">
        <x:v>对应功能测试开始前</x:v>
      </x:c>
      <x:c r="T13" s="9" t="str">
        <x:v>待确认</x:v>
      </x:c>
    </x:row>
    <x:row r="14" ht="85" customHeight="1">
      <x:c r="A14" s="10" t="str">
        <x:v>Q-013</x:v>
      </x:c>
      <x:c r="B14" s="10" t="str">
        <x:v>REQ-Q-013</x:v>
      </x:c>
      <x:c r="C14" s="10" t="str"/>
      <x:c r="D14" s="10" t="str"/>
      <x:c r="E14" s="10" t="str">
        <x:v>部分阻塞</x:v>
      </x:c>
      <x:c r="F14" s="10" t="str">
        <x:v>账号与登录</x:v>
      </x:c>
      <x:c r="G14" s="9" t="str">
        <x:v>手机邮箱新账号</x:v>
      </x:c>
      <x:c r="H14" s="9" t="str">
        <x:v>业务规则</x:v>
      </x:c>
      <x:c r="I14" s="9" t="str">
        <x:v>未注册手机号或邮箱验证码验证成功后是否自动注册？</x:v>
      </x:c>
      <x:c r="J14" s="9" t="str">
        <x:v>A. 自动注册后补全资料
B. 拒绝并引导注册</x:v>
      </x:c>
      <x:c r="K14" s="9" t="str">
        <x:v>明确“手机邮箱新账号”的决定后，补充对应正常、拒绝及恢复分支。</x:v>
      </x:c>
      <x:c r="L14" s="12" t="str"/>
      <x:c r="M14" s="12" t="str"/>
      <x:c r="N14" s="10" t="str">
        <x:v>1. 第三方新账号自动注册已明确；手机邮箱文案只明确登录成功，未说明新账号分流。
2. liveshow-proto/MainBasis/需求待确认清单.md：第74行</x:v>
      </x:c>
      <x:c r="O14" s="9" t="str">
        <x:v>1. 用户App；账号与登录</x:v>
      </x:c>
      <x:c r="P14" s="9" t="str"/>
      <x:c r="Q14" s="9" t="str">
        <x:v>1. 手机邮箱新账号的可执行结果验证</x:v>
      </x:c>
      <x:c r="R14" s="9" t="str">
        <x:v>产品</x:v>
      </x:c>
      <x:c r="S14" s="9" t="str">
        <x:v>对应功能测试开始前</x:v>
      </x:c>
      <x:c r="T14" s="9" t="str">
        <x:v>待确认</x:v>
      </x:c>
    </x:row>
    <x:row r="15" ht="70" customHeight="1">
      <x:c r="A15" s="10" t="str">
        <x:v>Q-014</x:v>
      </x:c>
      <x:c r="B15" s="10" t="str">
        <x:v>REQ-Q-014</x:v>
      </x:c>
      <x:c r="C15" s="10" t="str"/>
      <x:c r="D15" s="10" t="str"/>
      <x:c r="E15" s="10" t="str">
        <x:v>部分阻塞</x:v>
      </x:c>
      <x:c r="F15" s="10" t="str">
        <x:v>账号与登录</x:v>
      </x:c>
      <x:c r="G15" s="9" t="str">
        <x:v>三方账号合并</x:v>
      </x:c>
      <x:c r="H15" s="9" t="str">
        <x:v>业务规则</x:v>
      </x:c>
      <x:c r="I15" s="9" t="str">
        <x:v>同一邮箱对应不同第三方平台标识时是否合并账号？</x:v>
      </x:c>
      <x:c r="J15" s="9" t="str">
        <x:v>A. 按平台标识独立建号
B. 验证同一身份后合并</x:v>
      </x:c>
      <x:c r="K15" s="9" t="str">
        <x:v>明确“三方账号合并”的决定后，补充对应正常、拒绝及恢复分支。</x:v>
      </x:c>
      <x:c r="L15" s="12" t="str"/>
      <x:c r="M15" s="12" t="str"/>
      <x:c r="N15" s="10" t="str">
        <x:v>1. 当前规则按平台账号标识查询，未定义跨平台绑定或合并。
2. liveshow-proto/MainBasis/需求待确认清单.md：第75行</x:v>
      </x:c>
      <x:c r="O15" s="9" t="str">
        <x:v>1. 用户App；账号与登录</x:v>
      </x:c>
      <x:c r="P15" s="9" t="str"/>
      <x:c r="Q15" s="9" t="str">
        <x:v>1. 三方账号合并的可执行结果验证</x:v>
      </x:c>
      <x:c r="R15" s="9" t="str">
        <x:v>产品</x:v>
      </x:c>
      <x:c r="S15" s="9" t="str">
        <x:v>对应功能测试开始前</x:v>
      </x:c>
      <x:c r="T15" s="9" t="str">
        <x:v>待确认</x:v>
      </x:c>
    </x:row>
    <x:row r="16" ht="70" customHeight="1">
      <x:c r="A16" s="10" t="str">
        <x:v>Q-015</x:v>
      </x:c>
      <x:c r="B16" s="10" t="str">
        <x:v>REQ-Q-015</x:v>
      </x:c>
      <x:c r="C16" s="10" t="str"/>
      <x:c r="D16" s="10" t="str"/>
      <x:c r="E16" s="10" t="str">
        <x:v>部分阻塞</x:v>
      </x:c>
      <x:c r="F16" s="10" t="str">
        <x:v>账号与权限</x:v>
      </x:c>
      <x:c r="G16" s="9" t="str">
        <x:v>并发登录</x:v>
      </x:c>
      <x:c r="H16" s="9" t="str">
        <x:v>业务规则</x:v>
      </x:c>
      <x:c r="I16" s="9" t="str">
        <x:v>同一账号在第二台设备登录后第一台会话如何处理？</x:v>
      </x:c>
      <x:c r="J16" s="9" t="str">
        <x:v>A. 允许多设备同时登录
B. 新登录使旧设备下线</x:v>
      </x:c>
      <x:c r="K16" s="9" t="str">
        <x:v>明确“并发登录”的决定后，补充对应正常、拒绝及恢复分支。</x:v>
      </x:c>
      <x:c r="L16" s="12" t="str"/>
      <x:c r="M16" s="12" t="str"/>
      <x:c r="N16" s="10" t="str">
        <x:v>1. 退出登录明确仅当前设备；并发登录数量与旧会话失效未定义。
2. liveshow-proto/MainBasis/需求待确认清单.md：第76行</x:v>
      </x:c>
      <x:c r="O16" s="9" t="str">
        <x:v>1. 用户App、公会App、管理后台；账号与权限</x:v>
      </x:c>
      <x:c r="P16" s="9" t="str"/>
      <x:c r="Q16" s="9" t="str">
        <x:v>1. 并发登录的可执行结果验证</x:v>
      </x:c>
      <x:c r="R16" s="9" t="str">
        <x:v>产品</x:v>
      </x:c>
      <x:c r="S16" s="9" t="str">
        <x:v>对应功能测试开始前</x:v>
      </x:c>
      <x:c r="T16" s="9" t="str">
        <x:v>待确认</x:v>
      </x:c>
    </x:row>
    <x:row r="17" ht="85" customHeight="1">
      <x:c r="A17" s="10" t="str">
        <x:v>Q-016</x:v>
      </x:c>
      <x:c r="B17" s="10" t="str">
        <x:v>REQ-Q-016</x:v>
      </x:c>
      <x:c r="C17" s="10" t="str"/>
      <x:c r="D17" s="10" t="str"/>
      <x:c r="E17" s="10" t="str">
        <x:v>部分阻塞</x:v>
      </x:c>
      <x:c r="F17" s="10" t="str">
        <x:v>消息与社交</x:v>
      </x:c>
      <x:c r="G17" s="9" t="str">
        <x:v>私信额度恢复</x:v>
      </x:c>
      <x:c r="H17" s="9" t="str">
        <x:v>业务规则</x:v>
      </x:c>
      <x:c r="I17" s="9" t="str">
        <x:v>解除好友后非好友三条额度如何恢复？</x:v>
      </x:c>
      <x:c r="J17" s="9" t="str">
        <x:v>A. 清空聊天同时重置额度
B. 保留历史非好友成功条数</x:v>
      </x:c>
      <x:c r="K17" s="9" t="str">
        <x:v>明确“私信额度恢复”的决定后，补充对应正常、拒绝及恢复分支。</x:v>
      </x:c>
      <x:c r="L17" s="12" t="str"/>
      <x:c r="M17" s="12" t="str"/>
      <x:c r="N17" s="10" t="str">
        <x:v>1. 删除好友清空聊天，非好友双向各三条明确，但历史计数是否清零未定义。
2. liveshow-proto/MainBasis/需求待确认清单.md：第77行</x:v>
      </x:c>
      <x:c r="O17" s="9" t="str">
        <x:v>1. 用户App；消息与社交</x:v>
      </x:c>
      <x:c r="P17" s="9" t="str"/>
      <x:c r="Q17" s="9" t="str">
        <x:v>1. 私信额度恢复的可执行结果验证</x:v>
      </x:c>
      <x:c r="R17" s="9" t="str">
        <x:v>产品</x:v>
      </x:c>
      <x:c r="S17" s="9" t="str">
        <x:v>对应功能测试开始前</x:v>
      </x:c>
      <x:c r="T17" s="9" t="str">
        <x:v>待确认</x:v>
      </x:c>
    </x:row>
    <x:row r="18" ht="70" customHeight="1">
      <x:c r="A18" s="10" t="str">
        <x:v>Q-035</x:v>
      </x:c>
      <x:c r="B18" s="10" t="str">
        <x:v>REQ-Q-035</x:v>
      </x:c>
      <x:c r="C18" s="10" t="str"/>
      <x:c r="D18" s="10" t="str"/>
      <x:c r="E18" s="10" t="str">
        <x:v>部分阻塞</x:v>
      </x:c>
      <x:c r="F18" s="10" t="str">
        <x:v>等级</x:v>
      </x:c>
      <x:c r="G18" s="9" t="str">
        <x:v>等级判定</x:v>
      </x:c>
      <x:c r="H18" s="9" t="str">
        <x:v>业务规则</x:v>
      </x:c>
      <x:c r="I18" s="9" t="str">
        <x:v>成长值介于两个已配置等级阈值之间时如何判级？</x:v>
      </x:c>
      <x:c r="J18" s="9" t="str">
        <x:v>A. 取已达到的最高阈值等级
B. 使用区间上下界规则</x:v>
      </x:c>
      <x:c r="K18" s="9" t="str">
        <x:v>明确“等级判定”的决定后，补充对应正常、拒绝及恢复分支。</x:v>
      </x:c>
      <x:c r="L18" s="12" t="str"/>
      <x:c r="M18" s="12" t="str"/>
      <x:c r="N18" s="10" t="str">
        <x:v>1. 配置等级和阈值明确，等级匹配方法由批注明确列为待确认。
2. liveshow-proto/MainBasis/需求待确认清单.md：第78行</x:v>
      </x:c>
      <x:c r="O18" s="9" t="str">
        <x:v>1. 用户App、公会App、管理后台；等级</x:v>
      </x:c>
      <x:c r="P18" s="9" t="str"/>
      <x:c r="Q18" s="9" t="str">
        <x:v>1. 等级判定的可执行结果验证</x:v>
      </x:c>
      <x:c r="R18" s="9" t="str">
        <x:v>产品</x:v>
      </x:c>
      <x:c r="S18" s="9" t="str">
        <x:v>对应功能测试开始前</x:v>
      </x:c>
      <x:c r="T18" s="9" t="str">
        <x:v>待确认</x:v>
      </x:c>
    </x:row>
    <x:row r="19" ht="85" customHeight="1">
      <x:c r="A19" s="10" t="str">
        <x:v>Q-036</x:v>
      </x:c>
      <x:c r="B19" s="10" t="str">
        <x:v>REQ-Q-036</x:v>
      </x:c>
      <x:c r="C19" s="10" t="str"/>
      <x:c r="D19" s="10" t="str"/>
      <x:c r="E19" s="10" t="str">
        <x:v>部分阻塞</x:v>
      </x:c>
      <x:c r="F19" s="10" t="str">
        <x:v>等级</x:v>
      </x:c>
      <x:c r="G19" s="9" t="str">
        <x:v>等级追溯</x:v>
      </x:c>
      <x:c r="H19" s="9" t="str">
        <x:v>业务规则</x:v>
      </x:c>
      <x:c r="I19" s="9" t="str">
        <x:v>修改等级配置后已有账号等级是否立即重算？</x:v>
      </x:c>
      <x:c r="J19" s="9" t="str">
        <x:v>A. 立即重算已有等级
B. 仅对后续成长生效</x:v>
      </x:c>
      <x:c r="K19" s="9" t="str">
        <x:v>明确“等级追溯”的决定后，补充对应正常、拒绝及恢复分支。</x:v>
      </x:c>
      <x:c r="L19" s="12" t="str"/>
      <x:c r="M19" s="12" t="str"/>
      <x:c r="N19" s="10" t="str">
        <x:v>1. 等级配置明确对已有等级影响待确认；原型仅本页预览不能证明线上结果。
2. liveshow-proto/MainBasis/需求待确认清单.md：第79行</x:v>
      </x:c>
      <x:c r="O19" s="9" t="str">
        <x:v>1. 用户App、公会App、管理后台；等级</x:v>
      </x:c>
      <x:c r="P19" s="9" t="str"/>
      <x:c r="Q19" s="9" t="str">
        <x:v>1. 等级追溯的可执行结果验证</x:v>
      </x:c>
      <x:c r="R19" s="9" t="str">
        <x:v>产品</x:v>
      </x:c>
      <x:c r="S19" s="9" t="str">
        <x:v>对应功能测试开始前</x:v>
      </x:c>
      <x:c r="T19" s="9" t="str">
        <x:v>待确认</x:v>
      </x:c>
    </x:row>
    <x:row r="20" ht="70" customHeight="1">
      <x:c r="A20" s="10" t="str">
        <x:v>Q-037</x:v>
      </x:c>
      <x:c r="B20" s="10" t="str">
        <x:v>REQ-Q-037</x:v>
      </x:c>
      <x:c r="C20" s="10" t="str"/>
      <x:c r="D20" s="10" t="str"/>
      <x:c r="E20" s="10" t="str">
        <x:v>部分阻塞</x:v>
      </x:c>
      <x:c r="F20" s="10" t="str">
        <x:v>任务与邀请</x:v>
      </x:c>
      <x:c r="G20" s="9" t="str">
        <x:v>任务奖励类型</x:v>
      </x:c>
      <x:c r="H20" s="9" t="str">
        <x:v>业务规则</x:v>
      </x:c>
      <x:c r="I20" s="9" t="str">
        <x:v>任务一期是否允许道具奖励？</x:v>
      </x:c>
      <x:c r="J20" s="9" t="str">
        <x:v>A. 仅金币
B. 金币与道具均支持</x:v>
      </x:c>
      <x:c r="K20" s="9" t="str">
        <x:v>明确“任务奖励类型”的决定后，补充对应正常、拒绝及恢复分支。</x:v>
      </x:c>
      <x:c r="L20" s="12" t="str"/>
      <x:c r="M20" s="12" t="str"/>
      <x:c r="N20" s="10" t="str">
        <x:v>1. 任务配置明确仅金币；已领取视图却写道具进入背包。
2. liveshow-proto/MainBasis/需求待确认清单.md：第80行</x:v>
      </x:c>
      <x:c r="O20" s="9" t="str">
        <x:v>1. 用户App、管理后台；任务与邀请</x:v>
      </x:c>
      <x:c r="P20" s="9" t="str"/>
      <x:c r="Q20" s="9" t="str">
        <x:v>1. 任务奖励类型的可执行结果验证</x:v>
      </x:c>
      <x:c r="R20" s="9" t="str">
        <x:v>产品</x:v>
      </x:c>
      <x:c r="S20" s="9" t="str">
        <x:v>对应功能测试开始前</x:v>
      </x:c>
      <x:c r="T20" s="9" t="str">
        <x:v>待确认</x:v>
      </x:c>
    </x:row>
    <x:row r="21" ht="85" customHeight="1">
      <x:c r="A21" s="10" t="str">
        <x:v>Q-038</x:v>
      </x:c>
      <x:c r="B21" s="10" t="str">
        <x:v>REQ-Q-038</x:v>
      </x:c>
      <x:c r="C21" s="10" t="str"/>
      <x:c r="D21" s="10" t="str"/>
      <x:c r="E21" s="10" t="str">
        <x:v>部分阻塞</x:v>
      </x:c>
      <x:c r="F21" s="10" t="str">
        <x:v>任务与邀请</x:v>
      </x:c>
      <x:c r="G21" s="9" t="str">
        <x:v>任务周期起点</x:v>
      </x:c>
      <x:c r="H21" s="9" t="str">
        <x:v>业务规则</x:v>
      </x:c>
      <x:c r="I21" s="9" t="str">
        <x:v>每周任务从星期几开始新周期？</x:v>
      </x:c>
      <x:c r="J21" s="9" t="str">
        <x:v>A. 周一
B. 周日</x:v>
      </x:c>
      <x:c r="K21" s="9" t="str">
        <x:v>明确“任务周期起点”的决定后，补充对应正常、拒绝及恢复分支。</x:v>
      </x:c>
      <x:c r="L21" s="12" t="str"/>
      <x:c r="M21" s="12" t="str"/>
      <x:c r="N21" s="10" t="str">
        <x:v>1. 榜单明确周一，任务章节单独将周起始日列为待确认，不能直接套用。
2. liveshow-proto/MainBasis/需求待确认清单.md：第81行</x:v>
      </x:c>
      <x:c r="O21" s="9" t="str">
        <x:v>1. 用户App、管理后台；任务与邀请</x:v>
      </x:c>
      <x:c r="P21" s="9" t="str"/>
      <x:c r="Q21" s="9" t="str">
        <x:v>1. 任务周期起点的可执行结果验证</x:v>
      </x:c>
      <x:c r="R21" s="9" t="str">
        <x:v>产品</x:v>
      </x:c>
      <x:c r="S21" s="9" t="str">
        <x:v>对应功能测试开始前</x:v>
      </x:c>
      <x:c r="T21" s="9" t="str">
        <x:v>待确认</x:v>
      </x:c>
    </x:row>
    <x:row r="22" ht="85" customHeight="1">
      <x:c r="A22" s="10" t="str">
        <x:v>Q-039</x:v>
      </x:c>
      <x:c r="B22" s="10" t="str">
        <x:v>REQ-Q-039</x:v>
      </x:c>
      <x:c r="C22" s="10" t="str"/>
      <x:c r="D22" s="10" t="str"/>
      <x:c r="E22" s="10" t="str">
        <x:v>部分阻塞</x:v>
      </x:c>
      <x:c r="F22" s="10" t="str">
        <x:v>消息与社交</x:v>
      </x:c>
      <x:c r="G22" s="9" t="str">
        <x:v>粉丝群举报</x:v>
      </x:c>
      <x:c r="H22" s="9" t="str">
        <x:v>角色与权限</x:v>
      </x:c>
      <x:c r="I22" s="9" t="str">
        <x:v>粉丝群举报入口提交什么对象的工单？</x:v>
      </x:c>
      <x:c r="J22" s="9" t="str">
        <x:v>A. 举报群主账号
B. 独立群举报工单</x:v>
      </x:c>
      <x:c r="K22" s="9" t="str">
        <x:v>明确“粉丝群举报”的决定后，补充对应正常、拒绝及恢复分支。</x:v>
      </x:c>
      <x:c r="L22" s="12" t="str"/>
      <x:c r="M22" s="12" t="str"/>
      <x:c r="N22" s="10" t="str">
        <x:v>1. 群管理有举报入口，当前原型仅提示；概要只定义账号和直播场次工单。
2. liveshow-proto/MainBasis/需求待确认清单.md：第82行</x:v>
      </x:c>
      <x:c r="O22" s="9" t="str">
        <x:v>1. 用户App；消息与社交</x:v>
      </x:c>
      <x:c r="P22" s="9" t="str"/>
      <x:c r="Q22" s="9" t="str">
        <x:v>1. 粉丝群举报的可执行结果验证</x:v>
      </x:c>
      <x:c r="R22" s="9" t="str">
        <x:v>产品</x:v>
      </x:c>
      <x:c r="S22" s="9" t="str">
        <x:v>对应功能测试开始前</x:v>
      </x:c>
      <x:c r="T22" s="9" t="str">
        <x:v>待确认</x:v>
      </x:c>
    </x:row>
    <x:row r="23" ht="70" customHeight="1">
      <x:c r="A23" s="10" t="str">
        <x:v>Q-040</x:v>
      </x:c>
      <x:c r="B23" s="10" t="str">
        <x:v>REQ-Q-040</x:v>
      </x:c>
      <x:c r="C23" s="10" t="str"/>
      <x:c r="D23" s="10" t="str"/>
      <x:c r="E23" s="10" t="str">
        <x:v>部分阻塞</x:v>
      </x:c>
      <x:c r="F23" s="10" t="str">
        <x:v>个人中心</x:v>
      </x:c>
      <x:c r="G23" s="9" t="str">
        <x:v>修改登录密码</x:v>
      </x:c>
      <x:c r="H23" s="9" t="str">
        <x:v>角色与权限</x:v>
      </x:c>
      <x:c r="I23" s="9" t="str">
        <x:v>用户设置页修改登录密码的身份验证与密码策略是什么？</x:v>
      </x:c>
      <x:c r="J23" s="9" t="str">
        <x:v>A. 验证旧密码后修改
B. 验证码验证后修改</x:v>
      </x:c>
      <x:c r="K23" s="9" t="str">
        <x:v>明确“修改登录密码”的决定后，补充对应正常、拒绝及恢复分支。</x:v>
      </x:c>
      <x:c r="L23" s="12" t="str"/>
      <x:c r="M23" s="12" t="str"/>
      <x:c r="N23" s="10" t="str">
        <x:v>1. 存在入口但仅演示提示；公会端密码规则不能移植到用户端。
2. liveshow-proto/MainBasis/需求待确认清单.md：第83行</x:v>
      </x:c>
      <x:c r="O23" s="9" t="str">
        <x:v>1. 用户App；个人中心</x:v>
      </x:c>
      <x:c r="P23" s="9" t="str"/>
      <x:c r="Q23" s="9" t="str">
        <x:v>1. 修改登录密码的可执行结果验证</x:v>
      </x:c>
      <x:c r="R23" s="9" t="str">
        <x:v>产品</x:v>
      </x:c>
      <x:c r="S23" s="9" t="str">
        <x:v>对应功能测试开始前</x:v>
      </x:c>
      <x:c r="T23" s="9" t="str">
        <x:v>待确认</x:v>
      </x:c>
    </x:row>
    <x:row r="24" ht="70" customHeight="1">
      <x:c r="A24" s="10" t="str">
        <x:v>Q-041</x:v>
      </x:c>
      <x:c r="B24" s="10" t="str">
        <x:v>REQ-Q-041</x:v>
      </x:c>
      <x:c r="C24" s="10" t="str"/>
      <x:c r="D24" s="10" t="str"/>
      <x:c r="E24" s="10" t="str">
        <x:v>部分阻塞</x:v>
      </x:c>
      <x:c r="F24" s="10" t="str">
        <x:v>直播模块</x:v>
      </x:c>
      <x:c r="G24" s="9" t="str">
        <x:v>直播断线恢复</x:v>
      </x:c>
      <x:c r="H24" s="9" t="str">
        <x:v>业务规则</x:v>
      </x:c>
      <x:c r="I24" s="9" t="str">
        <x:v>主播断网后在什么时点结束场次或允许恢复原场次？</x:v>
      </x:c>
      <x:c r="J24" s="9" t="str">
        <x:v>A. 断线立即结束场次
B. 保留场次并设置恢复时限</x:v>
      </x:c>
      <x:c r="K24" s="9" t="str">
        <x:v>明确“直播断线恢复”的决定后，补充对应正常、拒绝及恢复分支。</x:v>
      </x:c>
      <x:c r="L24" s="12" t="str"/>
      <x:c r="M24" s="12" t="str"/>
      <x:c r="N24" s="10" t="str">
        <x:v>1. 明确主动结束创建新场次，未明确网络断线、切后台及重连边界。
2. liveshow-proto/MainBasis/需求待确认清单.md：第84行</x:v>
      </x:c>
      <x:c r="O24" s="9" t="str">
        <x:v>1. 用户App；直播模块</x:v>
      </x:c>
      <x:c r="P24" s="9" t="str"/>
      <x:c r="Q24" s="9" t="str">
        <x:v>1. 直播断线恢复的可执行结果验证</x:v>
      </x:c>
      <x:c r="R24" s="9" t="str">
        <x:v>产品</x:v>
      </x:c>
      <x:c r="S24" s="9" t="str">
        <x:v>对应功能测试开始前</x:v>
      </x:c>
      <x:c r="T24" s="9" t="str">
        <x:v>待确认</x:v>
      </x:c>
    </x:row>
    <x:row r="25" ht="70" customHeight="1">
      <x:c r="A25" s="10" t="str">
        <x:v>Q-042</x:v>
      </x:c>
      <x:c r="B25" s="10" t="str">
        <x:v>REQ-Q-042</x:v>
      </x:c>
      <x:c r="C25" s="10" t="str"/>
      <x:c r="D25" s="10" t="str"/>
      <x:c r="E25" s="10" t="str">
        <x:v>部分阻塞</x:v>
      </x:c>
      <x:c r="F25" s="10" t="str">
        <x:v>钱包与充值</x:v>
      </x:c>
      <x:c r="G25" s="9" t="str">
        <x:v>支付结果未回显</x:v>
      </x:c>
      <x:c r="H25" s="9" t="str">
        <x:v>角色与权限</x:v>
      </x:c>
      <x:c r="I25" s="9" t="str">
        <x:v>支付渠道成功但客户端超时后，用户应通过何种入口确认及恢复支付结果？</x:v>
      </x:c>
      <x:c r="J25" s="9" t="str">
        <x:v>A. 自动查询原订单结果
B. 用户从订单详情主动查询</x:v>
      </x:c>
      <x:c r="K25" s="9" t="str">
        <x:v>明确“支付结果未回显”的决定后，补充对应正常、拒绝及恢复分支。</x:v>
      </x:c>
      <x:c r="L25" s="12" t="str"/>
      <x:c r="M25" s="12" t="str"/>
      <x:c r="N25" s="10" t="str">
        <x:v>1. 成功回调只入账一次明确，客户端超时恢复路径和时限未定义。
2. liveshow-proto/MainBasis/需求待确认清单.md：第85行</x:v>
      </x:c>
      <x:c r="O25" s="9" t="str">
        <x:v>1. 用户App、管理后台；钱包与充值</x:v>
      </x:c>
      <x:c r="P25" s="9" t="str"/>
      <x:c r="Q25" s="9" t="str">
        <x:v>1. 支付结果未回显的可执行结果验证</x:v>
      </x:c>
      <x:c r="R25" s="9" t="str">
        <x:v>产品</x:v>
      </x:c>
      <x:c r="S25" s="9" t="str">
        <x:v>对应功能测试开始前</x:v>
      </x:c>
      <x:c r="T25" s="9" t="str">
        <x:v>待确认</x:v>
      </x:c>
    </x:row>
    <x:row r="26" ht="85" customHeight="1">
      <x:c r="A26" s="10" t="str">
        <x:v>Q-043</x:v>
      </x:c>
      <x:c r="B26" s="10" t="str">
        <x:v>REQ-Q-043</x:v>
      </x:c>
      <x:c r="C26" s="10" t="str"/>
      <x:c r="D26" s="10" t="str"/>
      <x:c r="E26" s="10" t="str">
        <x:v>部分阻塞</x:v>
      </x:c>
      <x:c r="F26" s="10" t="str">
        <x:v>直播模块</x:v>
      </x:c>
      <x:c r="G26" s="9" t="str">
        <x:v>送礼处理中下架</x:v>
      </x:c>
      <x:c r="H26" s="9" t="str">
        <x:v>业务规则</x:v>
      </x:c>
      <x:c r="I26" s="9" t="str">
        <x:v>服务端已受理送礼请求后礼物下架，本次赠送是否完成？</x:v>
      </x:c>
      <x:c r="J26" s="9" t="str">
        <x:v>A. 已受理继续完成
B. 未完成一律取消并恢复资产</x:v>
      </x:c>
      <x:c r="K26" s="9" t="str">
        <x:v>明确“送礼处理中下架”的决定后，补充对应正常、拒绝及恢复分支。</x:v>
      </x:c>
      <x:c r="L26" s="12" t="str"/>
      <x:c r="M26" s="12" t="str"/>
      <x:c r="N26" s="10" t="str">
        <x:v>1. 下架阻止新赠送、已完成赠送保留；处理中受理与扣款界限未定义。
2. liveshow-proto/MainBasis/需求待确认清单.md：第86行</x:v>
      </x:c>
      <x:c r="O26" s="9" t="str">
        <x:v>1. 用户App、管理后台；直播模块</x:v>
      </x:c>
      <x:c r="P26" s="9" t="str"/>
      <x:c r="Q26" s="9" t="str">
        <x:v>1. 送礼处理中下架的可执行结果验证</x:v>
      </x:c>
      <x:c r="R26" s="9" t="str">
        <x:v>产品</x:v>
      </x:c>
      <x:c r="S26" s="9" t="str">
        <x:v>对应功能测试开始前</x:v>
      </x:c>
      <x:c r="T26" s="9" t="str">
        <x:v>待确认</x:v>
      </x:c>
    </x:row>
    <x:row r="27" ht="70" customHeight="1">
      <x:c r="A27" s="10" t="str">
        <x:v>Q-044</x:v>
      </x:c>
      <x:c r="B27" s="10" t="str">
        <x:v>REQ-Q-044</x:v>
      </x:c>
      <x:c r="C27" s="10" t="str"/>
      <x:c r="D27" s="10" t="str"/>
      <x:c r="E27" s="10" t="str">
        <x:v>部分阻塞</x:v>
      </x:c>
      <x:c r="F27" s="10" t="str">
        <x:v>直播模块</x:v>
      </x:c>
      <x:c r="G27" s="9" t="str">
        <x:v>购票处理中结束</x:v>
      </x:c>
      <x:c r="H27" s="9" t="str">
        <x:v>业务规则</x:v>
      </x:c>
      <x:c r="I27" s="9" t="str">
        <x:v>购票已受理但未完成时场次结束，本次购票是否扣款？</x:v>
      </x:c>
      <x:c r="J27" s="9" t="str">
        <x:v>A. 完成扣款后按已购票处理
B. 取消未完成购票且不扣款</x:v>
      </x:c>
      <x:c r="K27" s="9" t="str">
        <x:v>明确“购票处理中结束”的决定后，补充对应正常、拒绝及恢复分支。</x:v>
      </x:c>
      <x:c r="L27" s="12" t="str"/>
      <x:c r="M27" s="12" t="str"/>
      <x:c r="N27" s="10" t="str">
        <x:v>1. 成功门票场次结束不退款，未完成请求的扣款边界未定义。
2. liveshow-proto/MainBasis/需求待确认清单.md：第87行</x:v>
      </x:c>
      <x:c r="O27" s="9" t="str">
        <x:v>1. 用户App、管理后台；直播模块</x:v>
      </x:c>
      <x:c r="P27" s="9" t="str"/>
      <x:c r="Q27" s="9" t="str">
        <x:v>1. 购票处理中结束的可执行结果验证</x:v>
      </x:c>
      <x:c r="R27" s="9" t="str">
        <x:v>产品</x:v>
      </x:c>
      <x:c r="S27" s="9" t="str">
        <x:v>对应功能测试开始前</x:v>
      </x:c>
      <x:c r="T27" s="9" t="str">
        <x:v>待确认</x:v>
      </x:c>
    </x:row>
    <x:row r="28" ht="85" customHeight="1">
      <x:c r="A28" s="10" t="str">
        <x:v>Q-045</x:v>
      </x:c>
      <x:c r="B28" s="10" t="str">
        <x:v>REQ-Q-045</x:v>
      </x:c>
      <x:c r="C28" s="10" t="str"/>
      <x:c r="D28" s="10" t="str"/>
      <x:c r="E28" s="10" t="str">
        <x:v>部分阻塞</x:v>
      </x:c>
      <x:c r="F28" s="10" t="str">
        <x:v>礼物与道具</x:v>
      </x:c>
      <x:c r="G28" s="9" t="str">
        <x:v>送礼处理中改比例</x:v>
      </x:c>
      <x:c r="H28" s="9" t="str">
        <x:v>计算与统计口径</x:v>
      </x:c>
      <x:c r="I28" s="9" t="str">
        <x:v>幸运礼物请求处理中修改收益比例，应使用哪个时点的比例快照？</x:v>
      </x:c>
      <x:c r="J28" s="9" t="str">
        <x:v>A. 请求受理时
B. 成功扣款入账时</x:v>
      </x:c>
      <x:c r="K28" s="9" t="str">
        <x:v>明确“送礼处理中改比例”的决定后，补充对应正常、拒绝及恢复分支。</x:v>
      </x:c>
      <x:c r="L28" s="12" t="str"/>
      <x:c r="M28" s="12" t="str"/>
      <x:c r="N28" s="10" t="str">
        <x:v>1. 只明确赠送时比例及完成后不追溯，尚未定义受理、扣款、入账哪个时点。
2. liveshow-proto/MainBasis/需求待确认清单.md：第88行</x:v>
      </x:c>
      <x:c r="O28" s="9" t="str">
        <x:v>1. 用户App、管理后台；礼物与道具</x:v>
      </x:c>
      <x:c r="P28" s="9" t="str"/>
      <x:c r="Q28" s="9" t="str">
        <x:v>1. 送礼处理中改比例的可执行结果验证</x:v>
      </x:c>
      <x:c r="R28" s="9" t="str">
        <x:v>产品</x:v>
      </x:c>
      <x:c r="S28" s="9" t="str">
        <x:v>对应功能测试开始前</x:v>
      </x:c>
      <x:c r="T28" s="9" t="str">
        <x:v>待确认</x:v>
      </x:c>
    </x:row>
    <x:row r="29" ht="85" customHeight="1">
      <x:c r="A29" s="10" t="str">
        <x:v>Q-046</x:v>
      </x:c>
      <x:c r="B29" s="10" t="str">
        <x:v>REQ-Q-046</x:v>
      </x:c>
      <x:c r="C29" s="10" t="str"/>
      <x:c r="D29" s="10" t="str"/>
      <x:c r="E29" s="10" t="str">
        <x:v>部分阻塞</x:v>
      </x:c>
      <x:c r="F29" s="10" t="str">
        <x:v>审批管理</x:v>
      </x:c>
      <x:c r="G29" s="9" t="str">
        <x:v>审核处理中停用公会</x:v>
      </x:c>
      <x:c r="H29" s="9" t="str">
        <x:v>业务规则</x:v>
      </x:c>
      <x:c r="I29" s="9" t="str">
        <x:v>平台终审处理中目标公会被停用，该申请如何结束？</x:v>
      </x:c>
      <x:c r="J29" s="9" t="str">
        <x:v>A. 取消未完成申请
B. 终审提交时重新校验公会</x:v>
      </x:c>
      <x:c r="K29" s="9" t="str">
        <x:v>明确“审核处理中停用公会”的决定后，补充对应正常、拒绝及恢复分支。</x:v>
      </x:c>
      <x:c r="L29" s="12" t="str"/>
      <x:c r="M29" s="12" t="str"/>
      <x:c r="N29" s="10" t="str">
        <x:v>1. 停用公会与终审通过后入会结果明确，两个操作竞争的先后边界未明确。
2. liveshow-proto/MainBasis/需求待确认清单.md：第89行</x:v>
      </x:c>
      <x:c r="O29" s="9" t="str">
        <x:v>1. 用户App、公会App、管理后台；审批管理</x:v>
      </x:c>
      <x:c r="P29" s="9" t="str"/>
      <x:c r="Q29" s="9" t="str">
        <x:v>1. 审核处理中停用公会的可执行结果验证</x:v>
      </x:c>
      <x:c r="R29" s="9" t="str">
        <x:v>产品</x:v>
      </x:c>
      <x:c r="S29" s="9" t="str">
        <x:v>对应功能测试开始前</x:v>
      </x:c>
      <x:c r="T29" s="9" t="str">
        <x:v>待确认</x:v>
      </x:c>
    </x:row>
    <x:row r="30" ht="85" customHeight="1">
      <x:c r="A30" s="10" t="str">
        <x:v>Q-052</x:v>
      </x:c>
      <x:c r="B30" s="10" t="str">
        <x:v>REQ-Q-052</x:v>
      </x:c>
      <x:c r="C30" s="10" t="str"/>
      <x:c r="D30" s="10" t="str"/>
      <x:c r="E30" s="10" t="str">
        <x:v>部分阻塞</x:v>
      </x:c>
      <x:c r="F30" s="10" t="str">
        <x:v>跨日统计</x:v>
      </x:c>
      <x:c r="G30" s="9" t="str">
        <x:v>跨日时长</x:v>
      </x:c>
      <x:c r="H30" s="9" t="str">
        <x:v>业务规则</x:v>
      </x:c>
      <x:c r="I30" s="9" t="str">
        <x:v>跨自然日直播的有效时长如何分摊？</x:v>
      </x:c>
      <x:c r="J30" s="9" t="str">
        <x:v>A. 按实际在线区间拆日
B. 全量归开播日</x:v>
      </x:c>
      <x:c r="K30" s="9" t="str">
        <x:v>明确“跨日时长”的决定后，补充对应正常、拒绝及恢复分支。</x:v>
      </x:c>
      <x:c r="L30" s="12" t="str"/>
      <x:c r="M30" s="12" t="str"/>
      <x:c r="N30" s="10" t="str">
        <x:v>1. 单日累计满三小时规则明确，但跨午夜场次切分和异常时长扣除未定义。
2. liveshow-proto/MainBasis/需求待确认清单.md：第90行</x:v>
      </x:c>
      <x:c r="O30" s="9" t="str">
        <x:v>1. 用户App、公会App、管理后台；跨日统计</x:v>
      </x:c>
      <x:c r="P30" s="9" t="str"/>
      <x:c r="Q30" s="9" t="str">
        <x:v>1. 跨日时长的可执行结果验证</x:v>
      </x:c>
      <x:c r="R30" s="9" t="str">
        <x:v>产品</x:v>
      </x:c>
      <x:c r="S30" s="9" t="str">
        <x:v>对应功能测试开始前</x:v>
      </x:c>
      <x:c r="T30" s="9" t="str">
        <x:v>待确认</x:v>
      </x:c>
    </x:row>
    <x:row r="31" ht="85" customHeight="1">
      <x:c r="A31" s="10" t="str">
        <x:v>Q-053</x:v>
      </x:c>
      <x:c r="B31" s="10" t="str">
        <x:v>REQ-Q-053</x:v>
      </x:c>
      <x:c r="C31" s="10" t="str"/>
      <x:c r="D31" s="10" t="str"/>
      <x:c r="E31" s="10" t="str">
        <x:v>部分阻塞</x:v>
      </x:c>
      <x:c r="F31" s="10" t="str">
        <x:v>直播模块</x:v>
      </x:c>
      <x:c r="G31" s="9" t="str">
        <x:v>直播间黑名单入口</x:v>
      </x:c>
      <x:c r="H31" s="9" t="str">
        <x:v>业务规则</x:v>
      </x:c>
      <x:c r="I31" s="9" t="str">
        <x:v>独立于账号拉黑的直播间黑名单应在哪里管理？</x:v>
      </x:c>
      <x:c r="J31" s="9" t="str">
        <x:v>A. 新增主播独立管理入口
B. 一期取消独立黑名单对象</x:v>
      </x:c>
      <x:c r="K31" s="9" t="str">
        <x:v>明确“直播间黑名单入口”的决定后，补充对应正常、拒绝及恢复分支。</x:v>
      </x:c>
      <x:c r="L31" s="12" t="str"/>
      <x:c r="M31" s="12" t="str"/>
      <x:c r="N31" s="10" t="str">
        <x:v>1. 房管授权提到直播间黑名单，公共批注写独立管理，当前活动页面未有对应管理入口。
2. liveshow-proto/MainBasis/需求待确认清单.md：第91行</x:v>
      </x:c>
      <x:c r="O31" s="9" t="str">
        <x:v>1. 用户App；直播模块</x:v>
      </x:c>
      <x:c r="P31" s="9" t="str"/>
      <x:c r="Q31" s="9" t="str">
        <x:v>1. 直播间黑名单入口的可执行结果验证</x:v>
      </x:c>
      <x:c r="R31" s="9" t="str">
        <x:v>产品</x:v>
      </x:c>
      <x:c r="S31" s="9" t="str">
        <x:v>对应功能测试开始前</x:v>
      </x:c>
      <x:c r="T31" s="9" t="str">
        <x:v>待确认</x:v>
      </x:c>
    </x:row>
    <x:row r="32" ht="85" customHeight="1">
      <x:c r="A32" s="10" t="str">
        <x:v>Q-054</x:v>
      </x:c>
      <x:c r="B32" s="10" t="str">
        <x:v>REQ-Q-054</x:v>
      </x:c>
      <x:c r="C32" s="10" t="str"/>
      <x:c r="D32" s="10" t="str"/>
      <x:c r="E32" s="10" t="str">
        <x:v>部分阻塞</x:v>
      </x:c>
      <x:c r="F32" s="10" t="str">
        <x:v>直播模块</x:v>
      </x:c>
      <x:c r="G32" s="9" t="str">
        <x:v>房管踢出条件</x:v>
      </x:c>
      <x:c r="H32" s="9" t="str">
        <x:v>业务规则</x:v>
      </x:c>
      <x:c r="I32" s="9" t="str">
        <x:v>本场已踢出但不在直播间黑名单的用户能否在房管管理页新增房管？</x:v>
      </x:c>
      <x:c r="J32" s="9" t="str">
        <x:v>A. 所有入口均禁止
B. 独立管理页允许授权</x:v>
      </x:c>
      <x:c r="K32" s="9" t="str">
        <x:v>明确“房管踢出条件”的决定后，补充对应正常、拒绝及恢复分支。</x:v>
      </x:c>
      <x:c r="L32" s="12" t="str"/>
      <x:c r="M32" s="12" t="str"/>
      <x:c r="N32" s="10" t="str">
        <x:v>1. 资料卡禁止已踢出用户新增房管；独立房管管理只列黑名单和拉黑限制。
2. liveshow-proto/MainBasis/需求待确认清单.md：第92行</x:v>
      </x:c>
      <x:c r="O32" s="9" t="str">
        <x:v>1. 用户App；直播模块</x:v>
      </x:c>
      <x:c r="P32" s="9" t="str"/>
      <x:c r="Q32" s="9" t="str">
        <x:v>1. 房管踢出条件的可执行结果验证</x:v>
      </x:c>
      <x:c r="R32" s="9" t="str">
        <x:v>产品</x:v>
      </x:c>
      <x:c r="S32" s="9" t="str">
        <x:v>对应功能测试开始前</x:v>
      </x:c>
      <x:c r="T32" s="9" t="str">
        <x:v>待确认</x:v>
      </x:c>
    </x:row>
    <x:row r="33" ht="85" customHeight="1">
      <x:c r="A33" s="10" t="str">
        <x:v>Q-056</x:v>
      </x:c>
      <x:c r="B33" s="10" t="str">
        <x:v>REQ-Q-056</x:v>
      </x:c>
      <x:c r="C33" s="10" t="str"/>
      <x:c r="D33" s="10" t="str"/>
      <x:c r="E33" s="10" t="str">
        <x:v>部分阻塞</x:v>
      </x:c>
      <x:c r="F33" s="10" t="str">
        <x:v>直播模块</x:v>
      </x:c>
      <x:c r="G33" s="9" t="str">
        <x:v>群主身份失效</x:v>
      </x:c>
      <x:c r="H33" s="9" t="str">
        <x:v>角色与权限</x:v>
      </x:c>
      <x:c r="I33" s="9" t="str">
        <x:v>公会停用导致主播失去身份时，粉丝团是否同退会通过一样解散？</x:v>
      </x:c>
      <x:c r="J33" s="9" t="str">
        <x:v>A. 立即解散
B. 保留群并冻结管理</x:v>
      </x:c>
      <x:c r="K33" s="9" t="str">
        <x:v>明确“群主身份失效”的决定后，补充对应正常、拒绝及恢复分支。</x:v>
      </x:c>
      <x:c r="L33" s="12" t="str"/>
      <x:c r="M33" s="12" t="str"/>
      <x:c r="N33" s="10" t="str">
        <x:v>1. 退会或移出明确解散，概要公会停用只明确关系身份与关播，没有直接说明粉丝团。
2. liveshow-proto/MainBasis/需求待确认清单.md：第93行</x:v>
      </x:c>
      <x:c r="O33" s="9" t="str">
        <x:v>1. 用户App、公会App、管理后台；直播模块</x:v>
      </x:c>
      <x:c r="P33" s="9" t="str"/>
      <x:c r="Q33" s="9" t="str">
        <x:v>1. 群主身份失效的可执行结果验证</x:v>
      </x:c>
      <x:c r="R33" s="9" t="str">
        <x:v>产品</x:v>
      </x:c>
      <x:c r="S33" s="9" t="str">
        <x:v>对应功能测试开始前</x:v>
      </x:c>
      <x:c r="T33" s="9" t="str">
        <x:v>待确认</x:v>
      </x:c>
    </x:row>
    <x:row r="34" ht="85" customHeight="1">
      <x:c r="A34" s="10" t="str">
        <x:v>Q-057</x:v>
      </x:c>
      <x:c r="B34" s="10" t="str">
        <x:v>REQ-Q-057</x:v>
      </x:c>
      <x:c r="C34" s="10" t="str"/>
      <x:c r="D34" s="10" t="str"/>
      <x:c r="E34" s="10" t="str">
        <x:v>部分阻塞</x:v>
      </x:c>
      <x:c r="F34" s="10" t="str">
        <x:v>消息与社交</x:v>
      </x:c>
      <x:c r="G34" s="9" t="str">
        <x:v>媒体权限</x:v>
      </x:c>
      <x:c r="H34" s="9" t="str">
        <x:v>角色与权限</x:v>
      </x:c>
      <x:c r="I34" s="9" t="str">
        <x:v>语音和图片发送的系统权限被拒绝后采用什么恢复入口？</x:v>
      </x:c>
      <x:c r="J34" s="9" t="str">
        <x:v>A. 提示并进入系统设置
B. 停留输入区显示失败状态</x:v>
      </x:c>
      <x:c r="K34" s="9" t="str">
        <x:v>明确“媒体权限”的决定后，补充对应正常、拒绝及恢复分支。</x:v>
      </x:c>
      <x:c r="L34" s="12" t="str"/>
      <x:c r="M34" s="12" t="str"/>
      <x:c r="N34" s="10" t="str">
        <x:v>1. 原型语音与图片均为演示，不调用真实设备；开播权限说明不能替代聊天权限。
2. liveshow-proto/MainBasis/需求待确认清单.md：第94行</x:v>
      </x:c>
      <x:c r="O34" s="9" t="str">
        <x:v>1. 用户App；消息与社交</x:v>
      </x:c>
      <x:c r="P34" s="9" t="str"/>
      <x:c r="Q34" s="9" t="str">
        <x:v>1. 媒体权限的可执行结果验证</x:v>
      </x:c>
      <x:c r="R34" s="9" t="str">
        <x:v>产品</x:v>
      </x:c>
      <x:c r="S34" s="9" t="str">
        <x:v>对应功能测试开始前</x:v>
      </x:c>
      <x:c r="T34" s="9" t="str">
        <x:v>待确认</x:v>
      </x:c>
    </x:row>
    <x:row r="35" ht="70" customHeight="1">
      <x:c r="A35" s="10" t="str">
        <x:v>Q-018</x:v>
      </x:c>
      <x:c r="B35" s="10" t="str">
        <x:v>REQ-Q-018</x:v>
      </x:c>
      <x:c r="C35" s="10" t="str"/>
      <x:c r="D35" s="10" t="str"/>
      <x:c r="E35" s="10" t="str">
        <x:v>部分阻塞</x:v>
      </x:c>
      <x:c r="F35" s="10" t="str">
        <x:v>首页与发现</x:v>
      </x:c>
      <x:c r="G35" s="9" t="str">
        <x:v>搜索结果排序</x:v>
      </x:c>
      <x:c r="H35" s="9" t="str">
        <x:v>计算与统计口径</x:v>
      </x:c>
      <x:c r="I35" s="9" t="str">
        <x:v>搜索结果中未定义的排序及同值次序采用什么规则？</x:v>
      </x:c>
      <x:c r="J35" s="9" t="str">
        <x:v>A. 按业务发生时间倒序、同值按ID升序
B. 按配置权重、同值按ID升序</x:v>
      </x:c>
      <x:c r="K35" s="9" t="str">
        <x:v>明确“搜索结果排序”的决定后，补充对应正常、拒绝及恢复分支。</x:v>
      </x:c>
      <x:c r="L35" s="12" t="str"/>
      <x:c r="M35" s="12" t="str"/>
      <x:c r="N35" s="10" t="str">
        <x:v>1. 排序：匹配结果的优先级待确认。
2. liveshow-proto/MainBasis/需求待确认清单.md：第95行</x:v>
      </x:c>
      <x:c r="O35" s="9" t="str">
        <x:v>1. 用户App；首页与发现</x:v>
      </x:c>
      <x:c r="P35" s="9" t="str"/>
      <x:c r="Q35" s="9" t="str">
        <x:v>1. 搜索结果排序的可执行结果验证</x:v>
      </x:c>
      <x:c r="R35" s="9" t="str">
        <x:v>产品</x:v>
      </x:c>
      <x:c r="S35" s="9" t="str">
        <x:v>对应功能测试开始前</x:v>
      </x:c>
      <x:c r="T35" s="9" t="str">
        <x:v>待确认</x:v>
      </x:c>
    </x:row>
    <x:row r="36" ht="70" customHeight="1">
      <x:c r="A36" s="10" t="str">
        <x:v>Q-019</x:v>
      </x:c>
      <x:c r="B36" s="10" t="str">
        <x:v>REQ-Q-019</x:v>
      </x:c>
      <x:c r="C36" s="10" t="str"/>
      <x:c r="D36" s="10" t="str"/>
      <x:c r="E36" s="10" t="str">
        <x:v>部分阻塞</x:v>
      </x:c>
      <x:c r="F36" s="10" t="str">
        <x:v>消息与社交</x:v>
      </x:c>
      <x:c r="G36" s="9" t="str">
        <x:v>粉丝列表排序</x:v>
      </x:c>
      <x:c r="H36" s="9" t="str">
        <x:v>计算与统计口径</x:v>
      </x:c>
      <x:c r="I36" s="9" t="str">
        <x:v>粉丝列表中未定义的排序及同值次序采用什么规则？</x:v>
      </x:c>
      <x:c r="J36" s="9" t="str">
        <x:v>A. 按业务发生时间倒序、同值按ID升序
B. 按配置权重、同值按ID升序</x:v>
      </x:c>
      <x:c r="K36" s="9" t="str">
        <x:v>明确“粉丝列表排序”的决定后，补充对应正常、拒绝及恢复分支。</x:v>
      </x:c>
      <x:c r="L36" s="12" t="str"/>
      <x:c r="M36" s="12" t="str"/>
      <x:c r="N36" s="10" t="str">
        <x:v>1. 排序：粉丝列表排序依据待确认；搜索不改变结果的相对顺序。
2. liveshow-proto/MainBasis/需求待确认清单.md：第96行</x:v>
      </x:c>
      <x:c r="O36" s="9" t="str">
        <x:v>1. 用户App；消息与社交</x:v>
      </x:c>
      <x:c r="P36" s="9" t="str"/>
      <x:c r="Q36" s="9" t="str">
        <x:v>1. 粉丝列表排序的可执行结果验证</x:v>
      </x:c>
      <x:c r="R36" s="9" t="str">
        <x:v>产品</x:v>
      </x:c>
      <x:c r="S36" s="9" t="str">
        <x:v>对应功能测试开始前</x:v>
      </x:c>
      <x:c r="T36" s="9" t="str">
        <x:v>待确认</x:v>
      </x:c>
    </x:row>
    <x:row r="37" ht="70" customHeight="1">
      <x:c r="A37" s="10" t="str">
        <x:v>Q-020</x:v>
      </x:c>
      <x:c r="B37" s="10" t="str">
        <x:v>REQ-Q-020</x:v>
      </x:c>
      <x:c r="C37" s="10" t="str"/>
      <x:c r="D37" s="10" t="str"/>
      <x:c r="E37" s="10" t="str">
        <x:v>部分阻塞</x:v>
      </x:c>
      <x:c r="F37" s="10" t="str">
        <x:v>个人中心</x:v>
      </x:c>
      <x:c r="G37" s="9" t="str">
        <x:v>我的关注排序</x:v>
      </x:c>
      <x:c r="H37" s="9" t="str">
        <x:v>计算与统计口径</x:v>
      </x:c>
      <x:c r="I37" s="9" t="str">
        <x:v>我的关注中未定义的排序及同值次序采用什么规则？</x:v>
      </x:c>
      <x:c r="J37" s="9" t="str">
        <x:v>A. 按业务发生时间倒序、同值按ID升序
B. 按配置权重、同值按ID升序</x:v>
      </x:c>
      <x:c r="K37" s="9" t="str">
        <x:v>明确“我的关注排序”的决定后，补充对应正常、拒绝及恢复分支。</x:v>
      </x:c>
      <x:c r="L37" s="12" t="str"/>
      <x:c r="M37" s="12" t="str"/>
      <x:c r="N37" s="10" t="str">
        <x:v>1. 排序：关注列表的排序依据待确认。
2. liveshow-proto/MainBasis/需求待确认清单.md：第97行</x:v>
      </x:c>
      <x:c r="O37" s="9" t="str">
        <x:v>1. 用户App；个人中心</x:v>
      </x:c>
      <x:c r="P37" s="9" t="str"/>
      <x:c r="Q37" s="9" t="str">
        <x:v>1. 我的关注排序的可执行结果验证</x:v>
      </x:c>
      <x:c r="R37" s="9" t="str">
        <x:v>产品</x:v>
      </x:c>
      <x:c r="S37" s="9" t="str">
        <x:v>对应功能测试开始前</x:v>
      </x:c>
      <x:c r="T37" s="9" t="str">
        <x:v>待确认</x:v>
      </x:c>
    </x:row>
    <x:row r="38" ht="70" customHeight="1">
      <x:c r="A38" s="10" t="str">
        <x:v>Q-021</x:v>
      </x:c>
      <x:c r="B38" s="10" t="str">
        <x:v>REQ-Q-021</x:v>
      </x:c>
      <x:c r="C38" s="10" t="str"/>
      <x:c r="D38" s="10" t="str"/>
      <x:c r="E38" s="10" t="str">
        <x:v>部分阻塞</x:v>
      </x:c>
      <x:c r="F38" s="10" t="str">
        <x:v>个人中心</x:v>
      </x:c>
      <x:c r="G38" s="9" t="str">
        <x:v>头像框排序</x:v>
      </x:c>
      <x:c r="H38" s="9" t="str">
        <x:v>计算与统计口径</x:v>
      </x:c>
      <x:c r="I38" s="9" t="str">
        <x:v>头像框中未定义的排序及同值次序采用什么规则？</x:v>
      </x:c>
      <x:c r="J38" s="9" t="str">
        <x:v>A. 按业务发生时间倒序、同值按ID升序
B. 按配置权重、同值按ID升序</x:v>
      </x:c>
      <x:c r="K38" s="9" t="str">
        <x:v>明确“头像框排序”的决定后，补充对应正常、拒绝及恢复分支。</x:v>
      </x:c>
      <x:c r="L38" s="12" t="str"/>
      <x:c r="M38" s="12" t="str"/>
      <x:c r="N38" s="10" t="str">
        <x:v>1. 数据范围：当前账号持有的头像框；道具列表排序依据待确认。
2. liveshow-proto/MainBasis/需求待确认清单.md：第98行</x:v>
      </x:c>
      <x:c r="O38" s="9" t="str">
        <x:v>1. 用户App；个人中心</x:v>
      </x:c>
      <x:c r="P38" s="9" t="str"/>
      <x:c r="Q38" s="9" t="str">
        <x:v>1. 头像框排序的可执行结果验证</x:v>
      </x:c>
      <x:c r="R38" s="9" t="str">
        <x:v>产品</x:v>
      </x:c>
      <x:c r="S38" s="9" t="str">
        <x:v>对应功能测试开始前</x:v>
      </x:c>
      <x:c r="T38" s="9" t="str">
        <x:v>待确认</x:v>
      </x:c>
    </x:row>
    <x:row r="39" ht="70" customHeight="1">
      <x:c r="A39" s="10" t="str">
        <x:v>Q-022</x:v>
      </x:c>
      <x:c r="B39" s="10" t="str">
        <x:v>REQ-Q-022</x:v>
      </x:c>
      <x:c r="C39" s="10" t="str"/>
      <x:c r="D39" s="10" t="str"/>
      <x:c r="E39" s="10" t="str">
        <x:v>部分阻塞</x:v>
      </x:c>
      <x:c r="F39" s="10" t="str">
        <x:v>个人中心</x:v>
      </x:c>
      <x:c r="G39" s="9" t="str">
        <x:v>聊天气泡排序</x:v>
      </x:c>
      <x:c r="H39" s="9" t="str">
        <x:v>计算与统计口径</x:v>
      </x:c>
      <x:c r="I39" s="9" t="str">
        <x:v>聊天气泡中未定义的排序及同值次序采用什么规则？</x:v>
      </x:c>
      <x:c r="J39" s="9" t="str">
        <x:v>A. 按业务发生时间倒序、同值按ID升序
B. 按配置权重、同值按ID升序</x:v>
      </x:c>
      <x:c r="K39" s="9" t="str">
        <x:v>明确“聊天气泡排序”的决定后，补充对应正常、拒绝及恢复分支。</x:v>
      </x:c>
      <x:c r="L39" s="12" t="str"/>
      <x:c r="M39" s="12" t="str"/>
      <x:c r="N39" s="10" t="str">
        <x:v>1. 数据范围：当前账号持有的聊天气泡；道具列表排序依据待确认。
2. liveshow-proto/MainBasis/需求待确认清单.md：第99行</x:v>
      </x:c>
      <x:c r="O39" s="9" t="str">
        <x:v>1. 用户App；个人中心</x:v>
      </x:c>
      <x:c r="P39" s="9" t="str"/>
      <x:c r="Q39" s="9" t="str">
        <x:v>1. 聊天气泡排序的可执行结果验证</x:v>
      </x:c>
      <x:c r="R39" s="9" t="str">
        <x:v>产品</x:v>
      </x:c>
      <x:c r="S39" s="9" t="str">
        <x:v>对应功能测试开始前</x:v>
      </x:c>
      <x:c r="T39" s="9" t="str">
        <x:v>待确认</x:v>
      </x:c>
    </x:row>
    <x:row r="40" ht="70" customHeight="1">
      <x:c r="A40" s="10" t="str">
        <x:v>Q-023</x:v>
      </x:c>
      <x:c r="B40" s="10" t="str">
        <x:v>REQ-Q-023</x:v>
      </x:c>
      <x:c r="C40" s="10" t="str"/>
      <x:c r="D40" s="10" t="str"/>
      <x:c r="E40" s="10" t="str">
        <x:v>部分阻塞</x:v>
      </x:c>
      <x:c r="F40" s="10" t="str">
        <x:v>个人中心</x:v>
      </x:c>
      <x:c r="G40" s="9" t="str">
        <x:v>勋章排序</x:v>
      </x:c>
      <x:c r="H40" s="9" t="str">
        <x:v>计算与统计口径</x:v>
      </x:c>
      <x:c r="I40" s="9" t="str">
        <x:v>勋章中未定义的排序及同值次序采用什么规则？</x:v>
      </x:c>
      <x:c r="J40" s="9" t="str">
        <x:v>A. 按业务发生时间倒序、同值按ID升序
B. 按配置权重、同值按ID升序</x:v>
      </x:c>
      <x:c r="K40" s="9" t="str">
        <x:v>明确“勋章排序”的决定后，补充对应正常、拒绝及恢复分支。</x:v>
      </x:c>
      <x:c r="L40" s="12" t="str"/>
      <x:c r="M40" s="12" t="str"/>
      <x:c r="N40" s="10" t="str">
        <x:v>1. 数据范围：当前账号持有的勋章；道具列表排序依据待确认。
2. liveshow-proto/MainBasis/需求待确认清单.md：第100行</x:v>
      </x:c>
      <x:c r="O40" s="9" t="str">
        <x:v>1. 用户App；个人中心</x:v>
      </x:c>
      <x:c r="P40" s="9" t="str"/>
      <x:c r="Q40" s="9" t="str">
        <x:v>1. 勋章排序的可执行结果验证</x:v>
      </x:c>
      <x:c r="R40" s="9" t="str">
        <x:v>产品</x:v>
      </x:c>
      <x:c r="S40" s="9" t="str">
        <x:v>对应功能测试开始前</x:v>
      </x:c>
      <x:c r="T40" s="9" t="str">
        <x:v>待确认</x:v>
      </x:c>
    </x:row>
    <x:row r="41" ht="70" customHeight="1">
      <x:c r="A41" s="10" t="str">
        <x:v>Q-024</x:v>
      </x:c>
      <x:c r="B41" s="10" t="str">
        <x:v>REQ-Q-024</x:v>
      </x:c>
      <x:c r="C41" s="10" t="str"/>
      <x:c r="D41" s="10" t="str"/>
      <x:c r="E41" s="10" t="str">
        <x:v>部分阻塞</x:v>
      </x:c>
      <x:c r="F41" s="10" t="str">
        <x:v>消息与社交</x:v>
      </x:c>
      <x:c r="G41" s="9" t="str">
        <x:v>好友列表排序</x:v>
      </x:c>
      <x:c r="H41" s="9" t="str">
        <x:v>计算与统计口径</x:v>
      </x:c>
      <x:c r="I41" s="9" t="str">
        <x:v>好友列表中未定义的排序及同值次序采用什么规则？</x:v>
      </x:c>
      <x:c r="J41" s="9" t="str">
        <x:v>A. 按业务发生时间倒序、同值按ID升序
B. 按配置权重、同值按ID升序</x:v>
      </x:c>
      <x:c r="K41" s="9" t="str">
        <x:v>明确“好友列表排序”的决定后，补充对应正常、拒绝及恢复分支。</x:v>
      </x:c>
      <x:c r="L41" s="12" t="str"/>
      <x:c r="M41" s="12" t="str"/>
      <x:c r="N41" s="10" t="str">
        <x:v>1. 排序：好友列表排序依据待确认；搜索不改变结果的相对顺序。
2. liveshow-proto/MainBasis/需求待确认清单.md：第101行</x:v>
      </x:c>
      <x:c r="O41" s="9" t="str">
        <x:v>1. 用户App；消息与社交</x:v>
      </x:c>
      <x:c r="P41" s="9" t="str"/>
      <x:c r="Q41" s="9" t="str">
        <x:v>1. 好友列表排序的可执行结果验证</x:v>
      </x:c>
      <x:c r="R41" s="9" t="str">
        <x:v>产品</x:v>
      </x:c>
      <x:c r="S41" s="9" t="str">
        <x:v>对应功能测试开始前</x:v>
      </x:c>
      <x:c r="T41" s="9" t="str">
        <x:v>待确认</x:v>
      </x:c>
    </x:row>
    <x:row r="42" ht="70" customHeight="1">
      <x:c r="A42" s="10" t="str">
        <x:v>Q-025</x:v>
      </x:c>
      <x:c r="B42" s="10" t="str">
        <x:v>REQ-Q-025</x:v>
      </x:c>
      <x:c r="C42" s="10" t="str"/>
      <x:c r="D42" s="10" t="str"/>
      <x:c r="E42" s="10" t="str">
        <x:v>部分阻塞</x:v>
      </x:c>
      <x:c r="F42" s="10" t="str">
        <x:v>个人中心</x:v>
      </x:c>
      <x:c r="G42" s="9" t="str">
        <x:v>黑名单管理排序</x:v>
      </x:c>
      <x:c r="H42" s="9" t="str">
        <x:v>计算与统计口径</x:v>
      </x:c>
      <x:c r="I42" s="9" t="str">
        <x:v>黑名单管理中未定义的排序及同值次序采用什么规则？</x:v>
      </x:c>
      <x:c r="J42" s="9" t="str">
        <x:v>A. 按业务发生时间倒序、同值按ID升序
B. 按配置权重、同值按ID升序</x:v>
      </x:c>
      <x:c r="K42" s="9" t="str">
        <x:v>明确“黑名单管理排序”的决定后，补充对应正常、拒绝及恢复分支。</x:v>
      </x:c>
      <x:c r="L42" s="12" t="str"/>
      <x:c r="M42" s="12" t="str"/>
      <x:c r="N42" s="10" t="str">
        <x:v>1. 排序：黑名单列表排序依据待确认。
2. liveshow-proto/MainBasis/需求待确认清单.md：第102行</x:v>
      </x:c>
      <x:c r="O42" s="9" t="str">
        <x:v>1. 用户App；个人中心</x:v>
      </x:c>
      <x:c r="P42" s="9" t="str"/>
      <x:c r="Q42" s="9" t="str">
        <x:v>1. 黑名单管理排序的可执行结果验证</x:v>
      </x:c>
      <x:c r="R42" s="9" t="str">
        <x:v>产品</x:v>
      </x:c>
      <x:c r="S42" s="9" t="str">
        <x:v>对应功能测试开始前</x:v>
      </x:c>
      <x:c r="T42" s="9" t="str">
        <x:v>待确认</x:v>
      </x:c>
    </x:row>
    <x:row r="43" ht="70" customHeight="1">
      <x:c r="A43" s="10" t="str">
        <x:v>Q-026</x:v>
      </x:c>
      <x:c r="B43" s="10" t="str">
        <x:v>REQ-Q-026</x:v>
      </x:c>
      <x:c r="C43" s="10" t="str"/>
      <x:c r="D43" s="10" t="str"/>
      <x:c r="E43" s="10" t="str">
        <x:v>部分阻塞</x:v>
      </x:c>
      <x:c r="F43" s="10" t="str">
        <x:v>粉丝团</x:v>
      </x:c>
      <x:c r="G43" s="9" t="str">
        <x:v>我的粉丝团排序</x:v>
      </x:c>
      <x:c r="H43" s="9" t="str">
        <x:v>计算与统计口径</x:v>
      </x:c>
      <x:c r="I43" s="9" t="str">
        <x:v>我的粉丝团中未定义的排序及同值次序采用什么规则？</x:v>
      </x:c>
      <x:c r="J43" s="9" t="str">
        <x:v>A. 按业务发生时间倒序、同值按ID升序
B. 按配置权重、同值按ID升序</x:v>
      </x:c>
      <x:c r="K43" s="9" t="str">
        <x:v>明确“我的粉丝团排序”的决定后，补充对应正常、拒绝及恢复分支。</x:v>
      </x:c>
      <x:c r="L43" s="12" t="str"/>
      <x:c r="M43" s="12" t="str"/>
      <x:c r="N43" s="10" t="str">
        <x:v>1. 排序：已加入粉丝团列表排序依据待确认。
2. liveshow-proto/MainBasis/需求待确认清单.md：第103行</x:v>
      </x:c>
      <x:c r="O43" s="9" t="str">
        <x:v>1. 用户App；粉丝团</x:v>
      </x:c>
      <x:c r="P43" s="9" t="str"/>
      <x:c r="Q43" s="9" t="str">
        <x:v>1. 我的粉丝团排序的可执行结果验证</x:v>
      </x:c>
      <x:c r="R43" s="9" t="str">
        <x:v>产品</x:v>
      </x:c>
      <x:c r="S43" s="9" t="str">
        <x:v>对应功能测试开始前</x:v>
      </x:c>
      <x:c r="T43" s="9" t="str">
        <x:v>待确认</x:v>
      </x:c>
    </x:row>
    <x:row r="44" ht="70" customHeight="1">
      <x:c r="A44" s="10" t="str">
        <x:v>Q-027</x:v>
      </x:c>
      <x:c r="B44" s="10" t="str">
        <x:v>REQ-Q-027</x:v>
      </x:c>
      <x:c r="C44" s="10" t="str"/>
      <x:c r="D44" s="10" t="str"/>
      <x:c r="E44" s="10" t="str">
        <x:v>部分阻塞</x:v>
      </x:c>
      <x:c r="F44" s="10" t="str">
        <x:v>主播中心</x:v>
      </x:c>
      <x:c r="G44" s="9" t="str">
        <x:v>房管管理排序</x:v>
      </x:c>
      <x:c r="H44" s="9" t="str">
        <x:v>计算与统计口径</x:v>
      </x:c>
      <x:c r="I44" s="9" t="str">
        <x:v>房管管理中未定义的排序及同值次序采用什么规则？</x:v>
      </x:c>
      <x:c r="J44" s="9" t="str">
        <x:v>A. 按业务发生时间倒序、同值按ID升序
B. 按配置权重、同值按ID升序</x:v>
      </x:c>
      <x:c r="K44" s="9" t="str">
        <x:v>明确“房管管理排序”的决定后，补充对应正常、拒绝及恢复分支。</x:v>
      </x:c>
      <x:c r="L44" s="12" t="str"/>
      <x:c r="M44" s="12" t="str"/>
      <x:c r="N44" s="10" t="str">
        <x:v>1. 数据范围：当前主播仍有效的房管授权；排序依据待确认。
2. liveshow-proto/MainBasis/需求待确认清单.md：第104行</x:v>
      </x:c>
      <x:c r="O44" s="9" t="str">
        <x:v>1. 用户App；主播中心</x:v>
      </x:c>
      <x:c r="P44" s="9" t="str"/>
      <x:c r="Q44" s="9" t="str">
        <x:v>1. 房管管理排序的可执行结果验证</x:v>
      </x:c>
      <x:c r="R44" s="9" t="str">
        <x:v>产品</x:v>
      </x:c>
      <x:c r="S44" s="9" t="str">
        <x:v>对应功能测试开始前</x:v>
      </x:c>
      <x:c r="T44" s="9" t="str">
        <x:v>待确认</x:v>
      </x:c>
    </x:row>
    <x:row r="45" ht="70" customHeight="1">
      <x:c r="A45" s="10" t="str">
        <x:v>Q-028</x:v>
      </x:c>
      <x:c r="B45" s="10" t="str">
        <x:v>REQ-Q-028</x:v>
      </x:c>
      <x:c r="C45" s="10" t="str"/>
      <x:c r="D45" s="10" t="str"/>
      <x:c r="E45" s="10" t="str">
        <x:v>部分阻塞</x:v>
      </x:c>
      <x:c r="F45" s="10" t="str">
        <x:v>主播中心</x:v>
      </x:c>
      <x:c r="G45" s="9" t="str">
        <x:v>公会通知排序</x:v>
      </x:c>
      <x:c r="H45" s="9" t="str">
        <x:v>计算与统计口径</x:v>
      </x:c>
      <x:c r="I45" s="9" t="str">
        <x:v>公会通知中未定义的排序及同值次序采用什么规则？</x:v>
      </x:c>
      <x:c r="J45" s="9" t="str">
        <x:v>A. 按业务发生时间倒序、同值按ID升序
B. 按配置权重、同值按ID升序</x:v>
      </x:c>
      <x:c r="K45" s="9" t="str">
        <x:v>明确“公会通知排序”的决定后，补充对应正常、拒绝及恢复分支。</x:v>
      </x:c>
      <x:c r="L45" s="12" t="str"/>
      <x:c r="M45" s="12" t="str"/>
      <x:c r="N45" s="10" t="str">
        <x:v>1. 排序：通知列表的排序依据待确认；本页不展示发布时间。
2. liveshow-proto/MainBasis/需求待确认清单.md：第105行</x:v>
      </x:c>
      <x:c r="O45" s="9" t="str">
        <x:v>1. 用户App；主播中心</x:v>
      </x:c>
      <x:c r="P45" s="9" t="str"/>
      <x:c r="Q45" s="9" t="str">
        <x:v>1. 公会通知排序的可执行结果验证</x:v>
      </x:c>
      <x:c r="R45" s="9" t="str">
        <x:v>产品</x:v>
      </x:c>
      <x:c r="S45" s="9" t="str">
        <x:v>对应功能测试开始前</x:v>
      </x:c>
      <x:c r="T45" s="9" t="str">
        <x:v>待确认</x:v>
      </x:c>
    </x:row>
    <x:row r="46" ht="85" customHeight="1">
      <x:c r="A46" s="10" t="str">
        <x:v>Q-029</x:v>
      </x:c>
      <x:c r="B46" s="10" t="str">
        <x:v>REQ-Q-029</x:v>
      </x:c>
      <x:c r="C46" s="10" t="str"/>
      <x:c r="D46" s="10" t="str"/>
      <x:c r="E46" s="10" t="str">
        <x:v>部分阻塞</x:v>
      </x:c>
      <x:c r="F46" s="10" t="str">
        <x:v>主播中心</x:v>
      </x:c>
      <x:c r="G46" s="9" t="str">
        <x:v>选择可见粉丝排序</x:v>
      </x:c>
      <x:c r="H46" s="9" t="str">
        <x:v>计算与统计口径</x:v>
      </x:c>
      <x:c r="I46" s="9" t="str">
        <x:v>选择可见粉丝中未定义的排序及同值次序采用什么规则？</x:v>
      </x:c>
      <x:c r="J46" s="9" t="str">
        <x:v>A. 按业务发生时间倒序、同值按ID升序
B. 按配置权重、同值按ID升序</x:v>
      </x:c>
      <x:c r="K46" s="9" t="str">
        <x:v>明确“选择可见粉丝排序”的决定后，补充对应正常、拒绝及恢复分支。</x:v>
      </x:c>
      <x:c r="L46" s="12" t="str"/>
      <x:c r="M46" s="12" t="str"/>
      <x:c r="N46" s="10" t="str">
        <x:v>1. 排序：可选粉丝列表的排序依据待确认；搜索不改变匹配结果的相对顺序。
2. liveshow-proto/MainBasis/需求待确认清单.md：第106行</x:v>
      </x:c>
      <x:c r="O46" s="9" t="str">
        <x:v>1. 用户App；主播中心</x:v>
      </x:c>
      <x:c r="P46" s="9" t="str"/>
      <x:c r="Q46" s="9" t="str">
        <x:v>1. 选择可见粉丝排序的可执行结果验证</x:v>
      </x:c>
      <x:c r="R46" s="9" t="str">
        <x:v>产品</x:v>
      </x:c>
      <x:c r="S46" s="9" t="str">
        <x:v>对应功能测试开始前</x:v>
      </x:c>
      <x:c r="T46" s="9" t="str">
        <x:v>待确认</x:v>
      </x:c>
    </x:row>
    <x:row r="47" ht="70" customHeight="1">
      <x:c r="A47" s="10" t="str">
        <x:v>Q-030</x:v>
      </x:c>
      <x:c r="B47" s="10" t="str">
        <x:v>REQ-Q-030</x:v>
      </x:c>
      <x:c r="C47" s="10" t="str"/>
      <x:c r="D47" s="10" t="str"/>
      <x:c r="E47" s="10" t="str">
        <x:v>部分阻塞</x:v>
      </x:c>
      <x:c r="F47" s="10" t="str">
        <x:v>主播中心</x:v>
      </x:c>
      <x:c r="G47" s="9" t="str">
        <x:v>粉丝列表排序</x:v>
      </x:c>
      <x:c r="H47" s="9" t="str">
        <x:v>计算与统计口径</x:v>
      </x:c>
      <x:c r="I47" s="9" t="str">
        <x:v>粉丝列表中未定义的排序及同值次序采用什么规则？</x:v>
      </x:c>
      <x:c r="J47" s="9" t="str">
        <x:v>A. 按业务发生时间倒序、同值按ID升序
B. 按配置权重、同值按ID升序</x:v>
      </x:c>
      <x:c r="K47" s="9" t="str">
        <x:v>明确“粉丝列表排序”的决定后，补充对应正常、拒绝及恢复分支。</x:v>
      </x:c>
      <x:c r="L47" s="12" t="str"/>
      <x:c r="M47" s="12" t="str"/>
      <x:c r="N47" s="10" t="str">
        <x:v>1. 数据范围：当前仍关注该主播的用户；排序依据待确认。
2. liveshow-proto/MainBasis/需求待确认清单.md：第107行</x:v>
      </x:c>
      <x:c r="O47" s="9" t="str">
        <x:v>1. 用户App；主播中心</x:v>
      </x:c>
      <x:c r="P47" s="9" t="str"/>
      <x:c r="Q47" s="9" t="str">
        <x:v>1. 粉丝列表排序的可执行结果验证</x:v>
      </x:c>
      <x:c r="R47" s="9" t="str">
        <x:v>产品</x:v>
      </x:c>
      <x:c r="S47" s="9" t="str">
        <x:v>对应功能测试开始前</x:v>
      </x:c>
      <x:c r="T47" s="9" t="str">
        <x:v>待确认</x:v>
      </x:c>
    </x:row>
    <x:row r="48" ht="100" customHeight="1">
      <x:c r="A48" s="10" t="str">
        <x:v>Q-031</x:v>
      </x:c>
      <x:c r="B48" s="10" t="str">
        <x:v>REQ-Q-031</x:v>
      </x:c>
      <x:c r="C48" s="10" t="str"/>
      <x:c r="D48" s="10" t="str"/>
      <x:c r="E48" s="10" t="str">
        <x:v>部分阻塞</x:v>
      </x:c>
      <x:c r="F48" s="10" t="str">
        <x:v>主播中心</x:v>
      </x:c>
      <x:c r="G48" s="9" t="str">
        <x:v>粉丝团排序</x:v>
      </x:c>
      <x:c r="H48" s="9" t="str">
        <x:v>计算与统计口径</x:v>
      </x:c>
      <x:c r="I48" s="9" t="str">
        <x:v>粉丝团中未定义的排序及同值次序采用什么规则？</x:v>
      </x:c>
      <x:c r="J48" s="9" t="str">
        <x:v>A. 按业务发生时间倒序、同值按ID升序
B. 按配置权重、同值按ID升序</x:v>
      </x:c>
      <x:c r="K48" s="9" t="str">
        <x:v>明确“粉丝团排序”的决定后，补充对应正常、拒绝及恢复分支。</x:v>
      </x:c>
      <x:c r="L48" s="12" t="str"/>
      <x:c r="M48" s="12" t="str"/>
      <x:c r="N48" s="10" t="str">
        <x:v>1. 排序：默认按累计贡献从高到低；“本月最多”按本月贡献从高到低；“最新加入”按加入时间从新到旧；相同值的次序待确认。
2. liveshow-proto/MainBasis/需求待确认清单.md：第108行</x:v>
      </x:c>
      <x:c r="O48" s="9" t="str">
        <x:v>1. 用户App；主播中心</x:v>
      </x:c>
      <x:c r="P48" s="9" t="str"/>
      <x:c r="Q48" s="9" t="str">
        <x:v>1. 粉丝团排序的可执行结果验证</x:v>
      </x:c>
      <x:c r="R48" s="9" t="str">
        <x:v>产品</x:v>
      </x:c>
      <x:c r="S48" s="9" t="str">
        <x:v>对应功能测试开始前</x:v>
      </x:c>
      <x:c r="T48" s="9" t="str">
        <x:v>待确认</x:v>
      </x:c>
    </x:row>
    <x:row r="49" ht="100" customHeight="1">
      <x:c r="A49" s="10" t="str">
        <x:v>Q-032</x:v>
      </x:c>
      <x:c r="B49" s="10" t="str">
        <x:v>REQ-Q-032</x:v>
      </x:c>
      <x:c r="C49" s="10" t="str"/>
      <x:c r="D49" s="10" t="str"/>
      <x:c r="E49" s="10" t="str">
        <x:v>部分阻塞</x:v>
      </x:c>
      <x:c r="F49" s="10" t="str">
        <x:v>主播中心</x:v>
      </x:c>
      <x:c r="G49" s="9" t="str">
        <x:v>直播数据排序</x:v>
      </x:c>
      <x:c r="H49" s="9" t="str">
        <x:v>计算与统计口径</x:v>
      </x:c>
      <x:c r="I49" s="9" t="str">
        <x:v>直播数据中未定义的排序及同值次序采用什么规则？</x:v>
      </x:c>
      <x:c r="J49" s="9" t="str">
        <x:v>A. 按业务发生时间倒序、同值按ID升序
B. 按配置权重、同值按ID升序</x:v>
      </x:c>
      <x:c r="K49" s="9" t="str">
        <x:v>明确“直播数据排序”的决定后，补充对应正常、拒绝及恢复分支。</x:v>
      </x:c>
      <x:c r="L49" s="12" t="str"/>
      <x:c r="M49" s="12" t="str"/>
      <x:c r="N49" s="10" t="str">
        <x:v>1. 数据范围：仅当前主播、当前日或月范围内的直播数据；日期趋势按时间顺序展示，明细列表的排序依据待确认。
2. liveshow-proto/MainBasis/需求待确认清单.md：第109行</x:v>
      </x:c>
      <x:c r="O49" s="9" t="str">
        <x:v>1. 用户App；主播中心</x:v>
      </x:c>
      <x:c r="P49" s="9" t="str"/>
      <x:c r="Q49" s="9" t="str">
        <x:v>1. 直播数据排序的可执行结果验证</x:v>
      </x:c>
      <x:c r="R49" s="9" t="str">
        <x:v>产品</x:v>
      </x:c>
      <x:c r="S49" s="9" t="str">
        <x:v>对应功能测试开始前</x:v>
      </x:c>
      <x:c r="T49" s="9" t="str">
        <x:v>待确认</x:v>
      </x:c>
    </x:row>
    <x:row r="50" ht="70" customHeight="1">
      <x:c r="A50" s="10" t="str">
        <x:v>Q-033</x:v>
      </x:c>
      <x:c r="B50" s="10" t="str">
        <x:v>REQ-Q-033</x:v>
      </x:c>
      <x:c r="C50" s="10" t="str"/>
      <x:c r="D50" s="10" t="str"/>
      <x:c r="E50" s="10" t="str">
        <x:v>部分阻塞</x:v>
      </x:c>
      <x:c r="F50" s="10" t="str">
        <x:v>账号与登录</x:v>
      </x:c>
      <x:c r="G50" s="9" t="str">
        <x:v>选择国家/地区排序</x:v>
      </x:c>
      <x:c r="H50" s="9" t="str">
        <x:v>计算与统计口径</x:v>
      </x:c>
      <x:c r="I50" s="9" t="str">
        <x:v>选择国家/地区中未定义的排序及同值次序采用什么规则？</x:v>
      </x:c>
      <x:c r="J50" s="9" t="str">
        <x:v>A. 按业务发生时间倒序、同值按ID升序
B. 按配置权重、同值按ID升序</x:v>
      </x:c>
      <x:c r="K50" s="9" t="str">
        <x:v>明确“选择国家/地区排序”的决定后，补充对应正常、拒绝及恢复分支。</x:v>
      </x:c>
      <x:c r="L50" s="12" t="str"/>
      <x:c r="M50" s="12" t="str"/>
      <x:c r="N50" s="10" t="str">
        <x:v>1. 排序：待确认，当前页面未提供排序条件。
2. liveshow-proto/MainBasis/需求待确认清单.md：第110行</x:v>
      </x:c>
      <x:c r="O50" s="9" t="str">
        <x:v>1. 用户App；账号与登录</x:v>
      </x:c>
      <x:c r="P50" s="9" t="str"/>
      <x:c r="Q50" s="9" t="str">
        <x:v>1. 选择国家/地区排序的可执行结果验证</x:v>
      </x:c>
      <x:c r="R50" s="9" t="str">
        <x:v>产品</x:v>
      </x:c>
      <x:c r="S50" s="9" t="str">
        <x:v>对应功能测试开始前</x:v>
      </x:c>
      <x:c r="T50" s="9" t="str">
        <x:v>待确认</x:v>
      </x:c>
    </x:row>
    <x:row r="51" ht="85" customHeight="1">
      <x:c r="A51" s="10" t="str">
        <x:v>Q-034</x:v>
      </x:c>
      <x:c r="B51" s="10" t="str">
        <x:v>REQ-Q-034</x:v>
      </x:c>
      <x:c r="C51" s="10" t="str"/>
      <x:c r="D51" s="10" t="str"/>
      <x:c r="E51" s="10" t="str">
        <x:v>部分阻塞</x:v>
      </x:c>
      <x:c r="F51" s="10" t="str">
        <x:v>主播中心</x:v>
      </x:c>
      <x:c r="G51" s="9" t="str">
        <x:v>月数据排序</x:v>
      </x:c>
      <x:c r="H51" s="9" t="str">
        <x:v>计算与统计口径</x:v>
      </x:c>
      <x:c r="I51" s="9" t="str">
        <x:v>月数据中未定义的排序及同值次序采用什么规则？</x:v>
      </x:c>
      <x:c r="J51" s="9" t="str">
        <x:v>A. 按业务发生时间倒序、同值按ID升序
B. 按配置权重、同值按ID升序</x:v>
      </x:c>
      <x:c r="K51" s="9" t="str">
        <x:v>明确“月数据排序”的决定后，补充对应正常、拒绝及恢复分支。</x:v>
      </x:c>
      <x:c r="L51" s="12" t="str"/>
      <x:c r="M51" s="12" t="str"/>
      <x:c r="N51" s="10" t="str">
        <x:v>1. 数据范围：当前主播所选自然月的有效直播记录；按时间顺序展示趋势，明细列表排序依据待确认。
2. liveshow-proto/MainBasis/需求待确认清单.md：第111行</x:v>
      </x:c>
      <x:c r="O51" s="9" t="str">
        <x:v>1. 用户App；主播中心</x:v>
      </x:c>
      <x:c r="P51" s="9" t="str"/>
      <x:c r="Q51" s="9" t="str">
        <x:v>1. 月数据排序的可执行结果验证</x:v>
      </x:c>
      <x:c r="R51" s="9" t="str">
        <x:v>产品</x:v>
      </x:c>
      <x:c r="S51" s="9" t="str">
        <x:v>对应功能测试开始前</x:v>
      </x:c>
      <x:c r="T51" s="9" t="str">
        <x:v>待确认</x:v>
      </x:c>
    </x:row>
    <x:row r="52" ht="85" customHeight="1">
      <x:c r="A52" s="10" t="str">
        <x:v>Q-047</x:v>
      </x:c>
      <x:c r="B52" s="10" t="str">
        <x:v>REQ-Q-047</x:v>
      </x:c>
      <x:c r="C52" s="10" t="str"/>
      <x:c r="D52" s="10" t="str"/>
      <x:c r="E52" s="10" t="str">
        <x:v>部分阻塞</x:v>
      </x:c>
      <x:c r="F52" s="10" t="str">
        <x:v>运营账号</x:v>
      </x:c>
      <x:c r="G52" s="9" t="str">
        <x:v>并发发放额度</x:v>
      </x:c>
      <x:c r="H52" s="9" t="str">
        <x:v>业务规则</x:v>
      </x:c>
      <x:c r="I52" s="9" t="str">
        <x:v>多笔虚拟金币发放并发竞争剩余额度时按什么提交边界分配？</x:v>
      </x:c>
      <x:c r="J52" s="9" t="str">
        <x:v>A. 按服务端成功落账顺序
B. 预占额度并按受理顺序</x:v>
      </x:c>
      <x:c r="K52" s="9" t="str">
        <x:v>明确“并发发放额度”的决定后，补充对应正常、拒绝及恢复分支。</x:v>
      </x:c>
      <x:c r="L52" s="12" t="str"/>
      <x:c r="M52" s="12" t="str"/>
      <x:c r="N52" s="10" t="str">
        <x:v>1. 单笔不能超额明确，未定义同时请求的序列、失败回显或补偿边界。
2. liveshow-proto/MainBasis/需求待确认清单.md：第114行</x:v>
      </x:c>
      <x:c r="O52" s="9" t="str">
        <x:v>1. 公会App、管理后台；运营账号</x:v>
      </x:c>
      <x:c r="P52" s="9" t="str"/>
      <x:c r="Q52" s="9" t="str">
        <x:v>1. 并发发放额度的可执行结果验证</x:v>
      </x:c>
      <x:c r="R52" s="9" t="str">
        <x:v>产品</x:v>
      </x:c>
      <x:c r="S52" s="9" t="str">
        <x:v>对应功能测试开始前</x:v>
      </x:c>
      <x:c r="T52" s="9" t="str">
        <x:v>待确认</x:v>
      </x:c>
    </x:row>
    <x:row r="53" ht="85" customHeight="1">
      <x:c r="A53" s="10" t="str">
        <x:v>Q-055</x:v>
      </x:c>
      <x:c r="B53" s="10" t="str">
        <x:v>REQ-Q-055</x:v>
      </x:c>
      <x:c r="C53" s="10" t="str"/>
      <x:c r="D53" s="10" t="str"/>
      <x:c r="E53" s="10" t="str">
        <x:v>部分阻塞</x:v>
      </x:c>
      <x:c r="F53" s="10" t="str">
        <x:v>公会管理</x:v>
      </x:c>
      <x:c r="G53" s="9" t="str">
        <x:v>未结清收益</x:v>
      </x:c>
      <x:c r="H53" s="9" t="str">
        <x:v>计算与统计口径</x:v>
      </x:c>
      <x:c r="I53" s="9" t="str">
        <x:v>阻止移出或解散的“未结清收益”如何由线下结果确定？</x:v>
      </x:c>
      <x:c r="J53" s="9" t="str">
        <x:v>A. 按明确结清标记
B. 按待结收益减已上传结算计算</x:v>
      </x:c>
      <x:c r="K53" s="9" t="str">
        <x:v>明确“未结清收益”的决定后，补充对应正常、拒绝及恢复分支。</x:v>
      </x:c>
      <x:c r="L53" s="12" t="str"/>
      <x:c r="M53" s="12" t="str"/>
      <x:c r="N53" s="10" t="str">
        <x:v>1. 概要规定线下结算和上传；页面有未结收益门槛，未定义结清标记和对账算法。
2. liveshow-proto/MainBasis/需求待确认清单.md：第115行</x:v>
      </x:c>
      <x:c r="O53" s="9" t="str">
        <x:v>1. 公会App、管理后台；公会管理</x:v>
      </x:c>
      <x:c r="P53" s="9" t="str"/>
      <x:c r="Q53" s="9" t="str">
        <x:v>1. 未结清收益的可执行结果验证</x:v>
      </x:c>
      <x:c r="R53" s="9" t="str">
        <x:v>产品</x:v>
      </x:c>
      <x:c r="S53" s="9" t="str">
        <x:v>对应功能测试开始前</x:v>
      </x:c>
      <x:c r="T53" s="9" t="str">
        <x:v>待确认</x:v>
      </x:c>
    </x:row>
    <x:row r="54" ht="85" customHeight="1">
      <x:c r="A54" s="10" t="str">
        <x:v>Q-004</x:v>
      </x:c>
      <x:c r="B54" s="10" t="str">
        <x:v>REQ-Q-004</x:v>
      </x:c>
      <x:c r="C54" s="10" t="str"/>
      <x:c r="D54" s="10" t="str"/>
      <x:c r="E54" s="10" t="str">
        <x:v>部分阻塞</x:v>
      </x:c>
      <x:c r="F54" s="10" t="str">
        <x:v>礼物与道具</x:v>
      </x:c>
      <x:c r="G54" s="9" t="str">
        <x:v>道具类型</x:v>
      </x:c>
      <x:c r="H54" s="9" t="str">
        <x:v>业务规则</x:v>
      </x:c>
      <x:c r="I54" s="9" t="str">
        <x:v>一期预置道具类型是三类还是六类？</x:v>
      </x:c>
      <x:c r="J54" s="9" t="str">
        <x:v>A. 三类
B. 六类</x:v>
      </x:c>
      <x:c r="K54" s="9" t="str">
        <x:v>明确“道具类型”的决定后，补充对应正常、拒绝及恢复分支。</x:v>
      </x:c>
      <x:c r="L54" s="12" t="str"/>
      <x:c r="M54" s="12" t="str"/>
      <x:c r="N54" s="10" t="str">
        <x:v>1. 结构化批注与当前类型选择器是勋章、气泡、头像框；公共批注还含灯牌、头衔、座驾。
2. liveshow-proto/MainBasis/需求待确认清单.md：第123行</x:v>
      </x:c>
      <x:c r="O54" s="9" t="str">
        <x:v>1. 管理后台；礼物与道具</x:v>
      </x:c>
      <x:c r="P54" s="9" t="str"/>
      <x:c r="Q54" s="9" t="str">
        <x:v>1. 道具类型的可执行结果验证</x:v>
      </x:c>
      <x:c r="R54" s="9" t="str">
        <x:v>产品</x:v>
      </x:c>
      <x:c r="S54" s="9" t="str">
        <x:v>对应功能测试开始前</x:v>
      </x:c>
      <x:c r="T54" s="9" t="str">
        <x:v>待确认</x:v>
      </x:c>
    </x:row>
    <x:row r="55" ht="85" customHeight="1">
      <x:c r="A55" s="10" t="str">
        <x:v>Q-005</x:v>
      </x:c>
      <x:c r="B55" s="10" t="str">
        <x:v>REQ-Q-005</x:v>
      </x:c>
      <x:c r="C55" s="10" t="str"/>
      <x:c r="D55" s="10" t="str"/>
      <x:c r="E55" s="10" t="str">
        <x:v>部分阻塞</x:v>
      </x:c>
      <x:c r="F55" s="10" t="str">
        <x:v>运营账号</x:v>
      </x:c>
      <x:c r="G55" s="9" t="str">
        <x:v>资料和密码权限</x:v>
      </x:c>
      <x:c r="H55" s="9" t="str">
        <x:v>业务规则</x:v>
      </x:c>
      <x:c r="I55" s="9" t="str">
        <x:v>平台管理员能否编辑运营账号资料和重置密码？</x:v>
      </x:c>
      <x:c r="J55" s="9" t="str">
        <x:v>A. 平台不可编辑和重置
B. 平台有权限时可编辑和重置</x:v>
      </x:c>
      <x:c r="K55" s="9" t="str">
        <x:v>明确“资料和密码权限”的决定后，补充对应正常、拒绝及恢复分支。</x:v>
      </x:c>
      <x:c r="L55" s="12" t="str"/>
      <x:c r="M55" s="12" t="str"/>
      <x:c r="N55" s="10" t="str">
        <x:v>1. 系统概要明确平台启停和锁定，但未说明资料与密码；结构化批注禁止，公共批注与页面入口允许。
2. liveshow-proto/MainBasis/需求待确认清单.md：第124行</x:v>
      </x:c>
      <x:c r="O55" s="9" t="str">
        <x:v>1. 管理后台；运营账号</x:v>
      </x:c>
      <x:c r="P55" s="9" t="str"/>
      <x:c r="Q55" s="9" t="str">
        <x:v>1. 资料和密码权限的可执行结果验证</x:v>
      </x:c>
      <x:c r="R55" s="9" t="str">
        <x:v>产品</x:v>
      </x:c>
      <x:c r="S55" s="9" t="str">
        <x:v>对应功能测试开始前</x:v>
      </x:c>
      <x:c r="T55" s="9" t="str">
        <x:v>待确认</x:v>
      </x:c>
    </x:row>
    <x:row r="56" ht="70" customHeight="1">
      <x:c r="A56" s="10" t="str">
        <x:v>Q-048</x:v>
      </x:c>
      <x:c r="B56" s="10" t="str">
        <x:v>REQ-Q-048</x:v>
      </x:c>
      <x:c r="C56" s="10" t="str"/>
      <x:c r="D56" s="10" t="str"/>
      <x:c r="E56" s="10" t="str">
        <x:v>部分阻塞</x:v>
      </x:c>
      <x:c r="F56" s="10" t="str">
        <x:v>财务结算</x:v>
      </x:c>
      <x:c r="G56" s="9" t="str">
        <x:v>重复导入</x:v>
      </x:c>
      <x:c r="H56" s="9" t="str">
        <x:v>业务规则</x:v>
      </x:c>
      <x:c r="I56" s="9" t="str">
        <x:v>重复上传同一批分成结果时是否应阻止重复入账？</x:v>
      </x:c>
      <x:c r="J56" s="9" t="str">
        <x:v>A. 按业务批次唯一性拒绝
B. 允许再次导入独立记录</x:v>
      </x:c>
      <x:c r="K56" s="9" t="str">
        <x:v>明确“重复导入”的决定后，补充对应正常、拒绝及恢复分支。</x:v>
      </x:c>
      <x:c r="L56" s="12" t="str"/>
      <x:c r="M56" s="12" t="str"/>
      <x:c r="N56" s="10" t="str">
        <x:v>1. 导入后锁定明确，但缺少批次去重键和重复上传规则。
2. liveshow-proto/MainBasis/需求待确认清单.md：第125行</x:v>
      </x:c>
      <x:c r="O56" s="9" t="str">
        <x:v>1. 管理后台；财务结算</x:v>
      </x:c>
      <x:c r="P56" s="9" t="str"/>
      <x:c r="Q56" s="9" t="str">
        <x:v>1. 重复导入的可执行结果验证</x:v>
      </x:c>
      <x:c r="R56" s="9" t="str">
        <x:v>产品</x:v>
      </x:c>
      <x:c r="S56" s="9" t="str">
        <x:v>对应功能测试开始前</x:v>
      </x:c>
      <x:c r="T56" s="9" t="str">
        <x:v>待确认</x:v>
      </x:c>
    </x:row>
    <x:row r="57" ht="85" customHeight="1">
      <x:c r="A57" s="10" t="str">
        <x:v>Q-049</x:v>
      </x:c>
      <x:c r="B57" s="10" t="str">
        <x:v>REQ-Q-049</x:v>
      </x:c>
      <x:c r="C57" s="10" t="str"/>
      <x:c r="D57" s="10" t="str"/>
      <x:c r="E57" s="10" t="str">
        <x:v>部分阻塞</x:v>
      </x:c>
      <x:c r="F57" s="10" t="str">
        <x:v>财务结算</x:v>
      </x:c>
      <x:c r="G57" s="9" t="str">
        <x:v>导入重复对象</x:v>
      </x:c>
      <x:c r="H57" s="9" t="str">
        <x:v>业务规则</x:v>
      </x:c>
      <x:c r="I57" s="9" t="str">
        <x:v>分成文件中同一对象出现多行时如何处理？</x:v>
      </x:c>
      <x:c r="J57" s="9" t="str">
        <x:v>A. 拒绝重复对象行
B. 合并同对象金额</x:v>
      </x:c>
      <x:c r="K57" s="9" t="str">
        <x:v>明确“导入重复对象”的决定后，补充对应正常、拒绝及恢复分支。</x:v>
      </x:c>
      <x:c r="L57" s="12" t="str"/>
      <x:c r="M57" s="12" t="str"/>
      <x:c r="N57" s="10" t="str">
        <x:v>1. 人数按去重对象统计，明细按模板校验，未说明重复明细金额是否合并。
2. liveshow-proto/MainBasis/需求待确认清单.md：第126行</x:v>
      </x:c>
      <x:c r="O57" s="9" t="str">
        <x:v>1. 管理后台；财务结算</x:v>
      </x:c>
      <x:c r="P57" s="9" t="str"/>
      <x:c r="Q57" s="9" t="str">
        <x:v>1. 导入重复对象的可执行结果验证</x:v>
      </x:c>
      <x:c r="R57" s="9" t="str">
        <x:v>产品</x:v>
      </x:c>
      <x:c r="S57" s="9" t="str">
        <x:v>对应功能测试开始前</x:v>
      </x:c>
      <x:c r="T57" s="9" t="str">
        <x:v>待确认</x:v>
      </x:c>
    </x:row>
    <x:row r="58" ht="70" customHeight="1">
      <x:c r="A58" s="10" t="str">
        <x:v>Q-050</x:v>
      </x:c>
      <x:c r="B58" s="10" t="str">
        <x:v>REQ-Q-050</x:v>
      </x:c>
      <x:c r="C58" s="10" t="str"/>
      <x:c r="D58" s="10" t="str"/>
      <x:c r="E58" s="10" t="str">
        <x:v>部分阻塞</x:v>
      </x:c>
      <x:c r="F58" s="10" t="str">
        <x:v>财务结算</x:v>
      </x:c>
      <x:c r="G58" s="9" t="str">
        <x:v>分成金额取值</x:v>
      </x:c>
      <x:c r="H58" s="9" t="str">
        <x:v>计算与统计口径</x:v>
      </x:c>
      <x:c r="I58" s="9" t="str">
        <x:v>上传分成结果是否允许零金额和负金额？</x:v>
      </x:c>
      <x:c r="J58" s="9" t="str">
        <x:v>A. 仅正金额
B. 允许有符号金额</x:v>
      </x:c>
      <x:c r="K58" s="9" t="str">
        <x:v>明确“分成金额取值”的决定后，补充对应正常、拒绝及恢复分支。</x:v>
      </x:c>
      <x:c r="L58" s="12" t="str"/>
      <x:c r="M58" s="12" t="str"/>
      <x:c r="N58" s="10" t="str">
        <x:v>1. 手工修正规则明确，上传模板只写金额字段，不能套用修正规则。
2. liveshow-proto/MainBasis/需求待确认清单.md：第127行</x:v>
      </x:c>
      <x:c r="O58" s="9" t="str">
        <x:v>1. 管理后台；财务结算</x:v>
      </x:c>
      <x:c r="P58" s="9" t="str"/>
      <x:c r="Q58" s="9" t="str">
        <x:v>1. 分成金额取值的可执行结果验证</x:v>
      </x:c>
      <x:c r="R58" s="9" t="str">
        <x:v>产品</x:v>
      </x:c>
      <x:c r="S58" s="9" t="str">
        <x:v>对应功能测试开始前</x:v>
      </x:c>
      <x:c r="T58" s="9" t="str">
        <x:v>待确认</x:v>
      </x:c>
    </x:row>
    <x:row r="59" ht="85" customHeight="1">
      <x:c r="A59" s="10" t="str">
        <x:v>Q-051</x:v>
      </x:c>
      <x:c r="B59" s="10" t="str">
        <x:v>REQ-Q-051</x:v>
      </x:c>
      <x:c r="C59" s="10" t="str"/>
      <x:c r="D59" s="10" t="str"/>
      <x:c r="E59" s="10" t="str">
        <x:v>部分阻塞</x:v>
      </x:c>
      <x:c r="F59" s="10" t="str">
        <x:v>财务结算</x:v>
      </x:c>
      <x:c r="G59" s="9" t="str">
        <x:v>部分无效导入</x:v>
      </x:c>
      <x:c r="H59" s="9" t="str">
        <x:v>业务规则</x:v>
      </x:c>
      <x:c r="I59" s="9" t="str">
        <x:v>分成文件含无效对象时是整批拒绝还是导入有效行？</x:v>
      </x:c>
      <x:c r="J59" s="9" t="str">
        <x:v>A. 整批拒绝
B. 导入有效行并提供失败明细</x:v>
      </x:c>
      <x:c r="K59" s="9" t="str">
        <x:v>明确“部分无效导入”的决定后，补充对应正常、拒绝及恢复分支。</x:v>
      </x:c>
      <x:c r="L59" s="12" t="str"/>
      <x:c r="M59" s="12" t="str"/>
      <x:c r="N59" s="10" t="str">
        <x:v>1. 只有解析预览确认流程，原型使用固定示例，不能证明真实异常策略。
2. liveshow-proto/MainBasis/需求待确认清单.md：第128行</x:v>
      </x:c>
      <x:c r="O59" s="9" t="str">
        <x:v>1. 管理后台；财务结算</x:v>
      </x:c>
      <x:c r="P59" s="9" t="str"/>
      <x:c r="Q59" s="9" t="str">
        <x:v>1. 部分无效导入的可执行结果验证</x:v>
      </x:c>
      <x:c r="R59" s="9" t="str">
        <x:v>产品</x:v>
      </x:c>
      <x:c r="S59" s="9" t="str">
        <x:v>对应功能测试开始前</x:v>
      </x:c>
      <x:c r="T59" s="9" t="str">
        <x:v>待确认</x:v>
      </x:c>
    </x:row>
    <x:row r="60" ht="85" customHeight="1">
      <x:c r="A60" s="10" t="str">
        <x:v>Q-058</x:v>
      </x:c>
      <x:c r="B60" s="10" t="str">
        <x:v>REQ-Q-058</x:v>
      </x:c>
      <x:c r="C60" s="10" t="str"/>
      <x:c r="D60" s="10" t="str"/>
      <x:c r="E60" s="10" t="str">
        <x:v>部分阻塞</x:v>
      </x:c>
      <x:c r="F60" s="10" t="str">
        <x:v>系统配置</x:v>
      </x:c>
      <x:c r="G60" s="9" t="str">
        <x:v>后台初始密码</x:v>
      </x:c>
      <x:c r="H60" s="9" t="str">
        <x:v>业务规则</x:v>
      </x:c>
      <x:c r="I60" s="9" t="str">
        <x:v>后台账号新建密码长度与复杂度采用什么标准？</x:v>
      </x:c>
      <x:c r="J60" s="9" t="str">
        <x:v>A. 统一8-32位并规定复杂度
B. 新建和重置分别设置策略</x:v>
      </x:c>
      <x:c r="K60" s="9" t="str">
        <x:v>明确“后台初始密码”的决定后，补充对应正常、拒绝及恢复分支。</x:v>
      </x:c>
      <x:c r="L60" s="12" t="str"/>
      <x:c r="M60" s="12" t="str"/>
      <x:c r="N60" s="10" t="str">
        <x:v>1. 新建提示至少8位，重置提示8-32位；批注只写符合密码策略，没有明确统一复杂度。
2. liveshow-proto/MainBasis/需求待确认清单.md：第129行</x:v>
      </x:c>
      <x:c r="O60" s="9" t="str">
        <x:v>1. 管理后台；系统配置</x:v>
      </x:c>
      <x:c r="P60" s="9" t="str"/>
      <x:c r="Q60" s="9" t="str">
        <x:v>1. 后台初始密码的可执行结果验证</x:v>
      </x:c>
      <x:c r="R60" s="9" t="str">
        <x:v>产品</x:v>
      </x:c>
      <x:c r="S60" s="9" t="str">
        <x:v>对应功能测试开始前</x:v>
      </x:c>
      <x:c r="T60" s="9" t="str">
        <x:v>待确认</x:v>
      </x:c>
    </x:row>
    <x:row r="61" ht="100" customHeight="1">
      <x:c r="A61" s="10" t="str">
        <x:v>Q-059</x:v>
      </x:c>
      <x:c r="B61" s="10" t="str">
        <x:v>REQ-Q-059</x:v>
      </x:c>
      <x:c r="C61" s="10" t="str"/>
      <x:c r="D61" s="10" t="str"/>
      <x:c r="E61" s="10" t="str">
        <x:v>部分阻塞</x:v>
      </x:c>
      <x:c r="F61" s="10" t="str">
        <x:v>系统配置</x:v>
      </x:c>
      <x:c r="G61" s="9" t="str">
        <x:v>系统参数范围</x:v>
      </x:c>
      <x:c r="H61" s="9" t="str">
        <x:v>业务规则</x:v>
      </x:c>
      <x:c r="I61" s="9" t="str">
        <x:v>未登记到当前查看器和导航的系统参数页面是否属于本期范围？</x:v>
      </x:c>
      <x:c r="J61" s="9" t="str">
        <x:v>A. 不纳入本期
B. 纳入本期并明确菜单入口</x:v>
      </x:c>
      <x:c r="K61" s="9" t="str">
        <x:v>明确“系统参数范围”的决定后，补充对应正常、拒绝及恢复分支。</x:v>
      </x:c>
      <x:c r="L61" s="12" t="str"/>
      <x:c r="M61" s="12" t="str"/>
      <x:c r="N61" s="10" t="str">
        <x:v>1. 系统参数列表和详情文件存在且有公共批注，但活动页面索引及公共导航没有入口；不能把文件存在等同于当前功能已交付。
2. liveshow-proto/MainBasis/需求待确认清单.md：第130行</x:v>
      </x:c>
      <x:c r="O61" s="9" t="str">
        <x:v>1. 管理后台；系统配置</x:v>
      </x:c>
      <x:c r="P61" s="9" t="str"/>
      <x:c r="Q61" s="9" t="str">
        <x:v>1. 系统参数范围的可执行结果验证</x:v>
      </x:c>
      <x:c r="R61" s="9" t="str">
        <x:v>产品</x:v>
      </x:c>
      <x:c r="S61" s="9" t="str">
        <x:v>对应功能测试开始前</x:v>
      </x:c>
      <x:c r="T61" s="9" t="str">
        <x:v>待确认</x:v>
      </x:c>
    </x:row>
    <x:row r="62" ht="100" customHeight="1">
      <x:c r="A62" s="10" t="str">
        <x:v>Q-060</x:v>
      </x:c>
      <x:c r="B62" s="10" t="str">
        <x:v>REQ-Q-060</x:v>
      </x:c>
      <x:c r="C62" s="10" t="str"/>
      <x:c r="D62" s="10" t="str"/>
      <x:c r="E62" s="10" t="str">
        <x:v>部分阻塞</x:v>
      </x:c>
      <x:c r="F62" s="10" t="str">
        <x:v>系统配置</x:v>
      </x:c>
      <x:c r="G62" s="9" t="str">
        <x:v>操作审计范围</x:v>
      </x:c>
      <x:c r="H62" s="9" t="str">
        <x:v>业务规则</x:v>
      </x:c>
      <x:c r="I62" s="9" t="str">
        <x:v>未登记到当前查看器和导航的操作审计页面是否属于本期范围？</x:v>
      </x:c>
      <x:c r="J62" s="9" t="str">
        <x:v>A. 不纳入本期独立审计页
B. 纳入本期并明确菜单入口</x:v>
      </x:c>
      <x:c r="K62" s="9" t="str">
        <x:v>明确“操作审计范围”的决定后，补充对应正常、拒绝及恢复分支。</x:v>
      </x:c>
      <x:c r="L62" s="12" t="str"/>
      <x:c r="M62" s="12" t="str"/>
      <x:c r="N62" s="10" t="str">
        <x:v>1. 审计列表和详情文件及只读批注存在，但当前菜单仅后台账号和角色管理。业务处置记录仍按各模块明确要求测试。
2. liveshow-proto/MainBasis/需求待确认清单.md：第131行</x:v>
      </x:c>
      <x:c r="O62" s="9" t="str">
        <x:v>1. 管理后台；系统配置</x:v>
      </x:c>
      <x:c r="P62" s="9" t="str"/>
      <x:c r="Q62" s="9" t="str">
        <x:v>1. 操作审计范围的可执行结果验证</x:v>
      </x:c>
      <x:c r="R62" s="9" t="str">
        <x:v>产品</x:v>
      </x:c>
      <x:c r="S62" s="9" t="str">
        <x:v>对应功能测试开始前</x:v>
      </x:c>
      <x:c r="T62" s="9" t="str">
        <x:v>待确认</x:v>
      </x:c>
    </x:row>
    <x:row r="63" ht="70" customHeight="1">
      <x:c r="A63" s="10" t="str">
        <x:v>OBS-001</x:v>
      </x:c>
      <x:c r="B63" s="10" t="str">
        <x:v>OBS-GROUP-admin-user-list.html</x:v>
      </x:c>
      <x:c r="C63" s="10" t="str"/>
      <x:c r="D63" s="10" t="str"/>
      <x:c r="E63" s="10" t="str">
        <x:v>部分阻塞</x:v>
      </x:c>
      <x:c r="F63" s="10" t="str">
        <x:v>用户管理</x:v>
      </x:c>
      <x:c r="G63" s="9" t="str">
        <x:v>账号封禁原因留痕</x:v>
      </x:c>
      <x:c r="H63" s="9" t="str">
        <x:v>角色与权限</x:v>
      </x:c>
      <x:c r="I63" s="9" t="str">
        <x:v>MainBasis要求留痕，但未定义三端日志查看入口；在覆盖清单保留观察缺口，不伪造入口；应通过哪个端、入口或测试接口观察？</x:v>
      </x:c>
      <x:c r="J63" s="9" t="str">
        <x:v>A. 提供现有页面或测试接口及具体观察字段
B. 明确三端均无观察入口，登记为接口或数据层验证</x:v>
      </x:c>
      <x:c r="K63" s="9" t="str">
        <x:v>先明确观察路径，再补充该分支可执行用例；其他已有明确结果的分支继续测试。</x:v>
      </x:c>
      <x:c r="L63" s="12" t="str"/>
      <x:c r="M63" s="12" t="str"/>
      <x:c r="N63" s="10" t="str">
        <x:v>1. - REQ-ADMIN-2ab612c482：封禁或解封 -&gt; 填写原因并确认 -&gt; 更新并留痕。（liveshow-proto/MainBasis/统一需求文档.md：第2218行）</x:v>
      </x:c>
      <x:c r="O63" s="9" t="str">
        <x:v>1. 管理后台；账号封禁原因留痕</x:v>
      </x:c>
      <x:c r="P63" s="9" t="str"/>
      <x:c r="Q63" s="9" t="str">
        <x:v>1. 账号封禁原因留痕的操作与结果验证</x:v>
      </x:c>
      <x:c r="R63" s="9" t="str">
        <x:v>多方确认</x:v>
      </x:c>
      <x:c r="S63" s="9" t="str">
        <x:v>对应功能测试开始前</x:v>
      </x:c>
      <x:c r="T63" s="9" t="str">
        <x:v>待确认</x:v>
      </x:c>
    </x:row>
    <x:row r="64" ht="70" customHeight="1">
      <x:c r="A64" s="10" t="str">
        <x:v>OBS-002</x:v>
      </x:c>
      <x:c r="B64" s="10" t="str">
        <x:v>OBS-GROUP-admin-user-list.html</x:v>
      </x:c>
      <x:c r="C64" s="10" t="str"/>
      <x:c r="D64" s="10" t="str"/>
      <x:c r="E64" s="10" t="str">
        <x:v>部分阻塞</x:v>
      </x:c>
      <x:c r="F64" s="10" t="str">
        <x:v>用户管理</x:v>
      </x:c>
      <x:c r="G64" s="9" t="str">
        <x:v>账号解封原因留痕</x:v>
      </x:c>
      <x:c r="H64" s="9" t="str">
        <x:v>角色与权限</x:v>
      </x:c>
      <x:c r="I64" s="9" t="str">
        <x:v>MainBasis要求留痕，但未定义三端日志查看入口；在覆盖清单保留观察缺口，不伪造入口；应通过哪个端、入口或测试接口观察？</x:v>
      </x:c>
      <x:c r="J64" s="9" t="str">
        <x:v>A. 提供现有页面或测试接口及具体观察字段
B. 明确三端均无观察入口，登记为接口或数据层验证</x:v>
      </x:c>
      <x:c r="K64" s="9" t="str">
        <x:v>先明确观察路径，再补充该分支可执行用例；其他已有明确结果的分支继续测试。</x:v>
      </x:c>
      <x:c r="L64" s="12" t="str"/>
      <x:c r="M64" s="12" t="str"/>
      <x:c r="N64" s="10" t="str">
        <x:v>1. - REQ-ADMIN-2ab612c482：封禁或解封 -&gt; 填写原因并确认 -&gt; 更新并留痕。（liveshow-proto/MainBasis/统一需求文档.md：第2218行）</x:v>
      </x:c>
      <x:c r="O64" s="9" t="str">
        <x:v>1. 管理后台；账号解封原因留痕</x:v>
      </x:c>
      <x:c r="P64" s="9" t="str"/>
      <x:c r="Q64" s="9" t="str">
        <x:v>1. 账号解封原因留痕的操作与结果验证</x:v>
      </x:c>
      <x:c r="R64" s="9" t="str">
        <x:v>多方确认</x:v>
      </x:c>
      <x:c r="S64" s="9" t="str">
        <x:v>对应功能测试开始前</x:v>
      </x:c>
      <x:c r="T64" s="9" t="str">
        <x:v>待确认</x:v>
      </x:c>
    </x:row>
  </x:sheetData>
  <x:dataValidations count="5">
    <x:dataValidation type="list" sqref="E2:E64">
      <x:formula1>"阻塞测试,部分阻塞,不阻塞"</x:formula1>
    </x:dataValidation>
    <x:dataValidation type="list" sqref="H2:H64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64">
      <x:formula1>"A,B,C,D,其他"</x:formula1>
    </x:dataValidation>
    <x:dataValidation type="list" sqref="R2:R64">
      <x:formula1>"产品,交互,技术,多方确认"</x:formula1>
    </x:dataValidation>
    <x:dataValidation type="list" sqref="T2:T64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7e7bb87535489e"/>
  </x:tableParts>
</x:worksheet>
</file>