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d48a5c057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4cef543cb9a4416c"/>
    <x:sheet xmlns:r="http://schemas.openxmlformats.org/officeDocument/2006/relationships" name="功能测试用例" sheetId="2" r:id="R99ecdc12236045b0"/>
    <x:sheet xmlns:r="http://schemas.openxmlformats.org/officeDocument/2006/relationships" name="需求待确认" sheetId="3" r:id="R3cc73b5eaa19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3ee06013e4117" /><Relationship Type="http://schemas.openxmlformats.org/officeDocument/2006/relationships/theme" Target="/xl/theme/theme1.xml" Id="R16000fa0d0cb4b14" /><Relationship Type="http://schemas.openxmlformats.org/officeDocument/2006/relationships/sharedStrings" Target="/xl/sharedStrings.xml" Id="Raf287af268504c66" /><Relationship Type="http://schemas.openxmlformats.org/officeDocument/2006/relationships/worksheet" Target="/xl/worksheets/sheet1.xml" Id="R4cef543cb9a4416c" /><Relationship Type="http://schemas.openxmlformats.org/officeDocument/2006/relationships/worksheet" Target="/xl/worksheets/sheet2.xml" Id="R99ecdc12236045b0" /><Relationship Type="http://schemas.openxmlformats.org/officeDocument/2006/relationships/worksheet" Target="/xl/worksheets/sheet3.xml" Id="R3cc73b5eaa194870" /></Relationships>
</file>

<file path=xl/tables/table1.xml><?xml version="1.0" encoding="utf-8"?>
<x:table xmlns:x="http://schemas.openxmlformats.org/spreadsheetml/2006/main" id="1" name="LiveCasesTable" displayName="LiveCasesTable" ref="A1:O362" headerRowCount="1" totalsRowCount="0" totalsRowShown="0">
  <x:autoFilter ref="A1:O362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62" headerRowCount="1" totalsRowCount="0" totalsRowShown="0">
  <x:autoFilter ref="A1:T62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be998fce5444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257feed6440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公会App-全部模块-260914-002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COUNTA('需求待确认'!$A$2:$A$62)</x:f>
        <x:v>61</x:v>
      </x:c>
      <x:c r="C5" s="13"/>
      <x:c r="D5" s="20" t="str">
        <x:v>阻塞测试</x:v>
      </x:c>
      <x:c r="E5" s="22" t="n">
        <x:f>COUNTIFS('需求待确认'!$E$2:$E$62,"阻塞测试",'需求待确认'!$T$2:$T$62,"待确认")</x:f>
        <x:v>0</x:v>
      </x:c>
      <x:c r="F5" s="13"/>
      <x:c r="G5" s="20" t="str">
        <x:v>产品</x:v>
      </x:c>
      <x:c r="H5" s="22" t="n">
        <x:f>COUNTIFS('需求待确认'!$R$2:$R$62,"产品",'需求待确认'!$T$2:$T$62,"待确认")</x:f>
        <x:v>61</x:v>
      </x:c>
    </x:row>
    <x:row r="6">
      <x:c r="A6" s="20" t="str">
        <x:v>当前可回答</x:v>
      </x:c>
      <x:c r="B6" s="22" t="n">
        <x:f>COUNTIF('需求待确认'!$T$2:$T$62,"待确认")</x:f>
        <x:v>61</x:v>
      </x:c>
      <x:c r="C6" s="13"/>
      <x:c r="D6" s="20" t="str">
        <x:v>部分阻塞</x:v>
      </x:c>
      <x:c r="E6" s="22" t="n">
        <x:f>COUNTIFS('需求待确认'!$E$2:$E$62,"部分阻塞",'需求待确认'!$T$2:$T$62,"待确认")</x:f>
        <x:v>61</x:v>
      </x:c>
      <x:c r="F6" s="13"/>
      <x:c r="G6" s="20" t="str">
        <x:v>交互</x:v>
      </x:c>
      <x:c r="H6" s="22" t="n">
        <x:f>COUNTIFS('需求待确认'!$R$2:$R$62,"交互",'需求待确认'!$T$2:$T$62,"待确认")</x:f>
        <x:v>0</x:v>
      </x:c>
    </x:row>
    <x:row r="7">
      <x:c r="A7" s="20" t="str">
        <x:v>待前置结论</x:v>
      </x:c>
      <x:c r="B7" s="22" t="n">
        <x:f>COUNTIF('需求待确认'!$T$2:$T$62,"待前置结论")</x:f>
        <x:v>0</x:v>
      </x:c>
      <x:c r="C7" s="13"/>
      <x:c r="D7" s="20" t="str">
        <x:v>不阻塞</x:v>
      </x:c>
      <x:c r="E7" s="22" t="n">
        <x:f>COUNTIFS('需求待确认'!$E$2:$E$62,"不阻塞",'需求待确认'!$T$2:$T$62,"待确认")</x:f>
        <x:v>0</x:v>
      </x:c>
      <x:c r="F7" s="13"/>
      <x:c r="G7" s="20" t="str">
        <x:v>技术</x:v>
      </x:c>
      <x:c r="H7" s="22" t="n">
        <x:f>COUNTIFS('需求待确认'!$R$2:$R$62,"技术",'需求待确认'!$T$2:$T$62,"待确认")</x:f>
        <x:v>0</x:v>
      </x:c>
    </x:row>
    <x:row r="8">
      <x:c r="A8" s="20" t="str">
        <x:v>确认中</x:v>
      </x:c>
      <x:c r="B8" s="22" t="n">
        <x:f>COUNTIF('需求待确认'!$T$2:$T$62,"确认中")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COUNTIFS('需求待确认'!$R$2:$R$62,"多方确认",'需求待确认'!$T$2:$T$62,"待确认")</x:f>
        <x:v>0</x:v>
      </x:c>
    </x:row>
    <x:row r="9">
      <x:c r="A9" s="20" t="str">
        <x:v>已确认</x:v>
      </x:c>
      <x:c r="B9" s="22" t="n">
        <x:f>COUNTIF('需求待确认'!$T$2:$T$62,"已确认")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COUNTIF('需求待确认'!$T$2:$T$62,"无需处理")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GUILD-0001</x:v>
      </x:c>
      <x:c r="C2" s="10" t="str">
        <x:v>公会账号</x:v>
      </x:c>
      <x:c r="D2" s="10" t="str">
        <x:v>公会登录（公会长）</x:v>
      </x:c>
      <x:c r="E2" s="10" t="str">
        <x:v>功能需求</x:v>
      </x:c>
      <x:c r="F2" s="10" t="str">
        <x:v>P1</x:v>
      </x:c>
      <x:c r="G2" s="9" t="str">
        <x:v>验证公会登录正常公会长</x:v>
      </x:c>
      <x:c r="H2" s="9" t="str">
        <x:v>公会登录分流</x:v>
      </x:c>
      <x:c r="I2" s="9" t="str">
        <x:v>1. 公会长当前未登录，公会登录页可访问
2. guildqa001是平台创建的公会长账号，真实密码为GuildPass12；账号已启用，公会G启用</x:v>
      </x:c>
      <x:c r="J2" s="9" t="str">
        <x:v>1. 打开公会登录
2. 输入账号“guildqa001”
3. 输入密码“GuildPass12”
4. 点击“登录”</x:v>
      </x:c>
      <x:c r="K2" s="9" t="str">
        <x:v>进入选择公会页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来源（当前证据）：liveshow-proto/MainBasis/统一需求文档.md；位置：第1890行、第1884行、第1885行
2. 规则：BR-7f906ed92aecba38
3. 未动态验证</x:v>
      </x:c>
    </x:row>
    <x:row r="3" ht="85" customHeight="1">
      <x:c r="A3" s="10" t="n">
        <x:v>2</x:v>
      </x:c>
      <x:c r="B3" s="10" t="str">
        <x:v>GUILD-0002</x:v>
      </x:c>
      <x:c r="C3" s="10" t="str">
        <x:v>公会账号</x:v>
      </x:c>
      <x:c r="D3" s="10" t="str">
        <x:v>公会登录（公会长）</x:v>
      </x:c>
      <x:c r="E3" s="10" t="str">
        <x:v>功能需求</x:v>
      </x:c>
      <x:c r="F3" s="10" t="str">
        <x:v>P1</x:v>
      </x:c>
      <x:c r="G3" s="9" t="str">
        <x:v>验证公会登录账号错误</x:v>
      </x:c>
      <x:c r="H3" s="9" t="str">
        <x:v>公会登录分流</x:v>
      </x:c>
      <x:c r="I3" s="9" t="str">
        <x:v>1. 公会长当前未登录，公会登录页可访问
2. 账号missingqa001在测试环境不存在</x:v>
      </x:c>
      <x:c r="J3" s="9" t="str">
        <x:v>1. 打开公会登录
2. 输入账号“missingqa001”
3. 输入密码“GuildPass12”
4. 点击“登录”</x:v>
      </x:c>
      <x:c r="K3" s="9" t="str">
        <x:v>显示“账号或密码错误”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来源（当前证据）：liveshow-proto/MainBasis/统一需求文档.md；位置：第1890行、第1884行、第1885行
2. 规则：BR-de755f4f13e66e35
3. 未动态验证</x:v>
      </x:c>
    </x:row>
    <x:row r="4" ht="85" customHeight="1">
      <x:c r="A4" s="10" t="n">
        <x:v>3</x:v>
      </x:c>
      <x:c r="B4" s="10" t="str">
        <x:v>GUILD-0003</x:v>
      </x:c>
      <x:c r="C4" s="10" t="str">
        <x:v>公会账号</x:v>
      </x:c>
      <x:c r="D4" s="10" t="str">
        <x:v>公会登录（公会长）</x:v>
      </x:c>
      <x:c r="E4" s="10" t="str">
        <x:v>功能需求</x:v>
      </x:c>
      <x:c r="F4" s="10" t="str">
        <x:v>P1</x:v>
      </x:c>
      <x:c r="G4" s="9" t="str">
        <x:v>验证公会登录密码错误</x:v>
      </x:c>
      <x:c r="H4" s="9" t="str">
        <x:v>公会登录分流</x:v>
      </x:c>
      <x:c r="I4" s="9" t="str">
        <x:v>1. 公会长当前未登录，公会登录页可访问
2. guildqa001是平台创建的公会长账号，真实密码为GuildPass12；账号已启用，公会G启用</x:v>
      </x:c>
      <x:c r="J4" s="9" t="str">
        <x:v>1. 打开公会登录
2. 输入账号“guildqa001”
3. 输入密码“WrongPass12”
4. 点击“登录”</x:v>
      </x:c>
      <x:c r="K4" s="9" t="str">
        <x:v>显示“账号或密码错误”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来源（当前证据）：liveshow-proto/MainBasis/统一需求文档.md；位置：第1890行、第1884行、第1885行
2. 规则：BR-af4b9ce36b670292
3. 未动态验证</x:v>
      </x:c>
    </x:row>
    <x:row r="5" ht="85" customHeight="1">
      <x:c r="A5" s="10" t="n">
        <x:v>4</x:v>
      </x:c>
      <x:c r="B5" s="10" t="str">
        <x:v>GUILD-0004</x:v>
      </x:c>
      <x:c r="C5" s="10" t="str">
        <x:v>公会账号</x:v>
      </x:c>
      <x:c r="D5" s="10" t="str">
        <x:v>公会登录（公会长）</x:v>
      </x:c>
      <x:c r="E5" s="10" t="str">
        <x:v>功能需求</x:v>
      </x:c>
      <x:c r="F5" s="10" t="str">
        <x:v>P1</x:v>
      </x:c>
      <x:c r="G5" s="9" t="str">
        <x:v>验证公会登录公会长已停用</x:v>
      </x:c>
      <x:c r="H5" s="9" t="str">
        <x:v>公会登录分流</x:v>
      </x:c>
      <x:c r="I5" s="9" t="str">
        <x:v>1. 公会长当前未登录，公会登录页可访问
2. guildqa001是平台创建的公会长账号，真实密码为GuildPass12；账号已停用</x:v>
      </x:c>
      <x:c r="J5" s="9" t="str">
        <x:v>1. 打开公会登录
2. 输入账号“guildqa001”
3. 输入密码“GuildPass12”
4. 点击“登录”</x:v>
      </x:c>
      <x:c r="K5" s="9" t="str">
        <x:v>不建立公会端登录会话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来源（当前证据）：liveshow-proto/MainBasis/统一需求文档.md；位置：第1889行、第1884行、第1885行
2. 规则：BR-7f5e2dc97de4da04
3. 未动态验证</x:v>
      </x:c>
    </x:row>
    <x:row r="6" ht="85" customHeight="1">
      <x:c r="A6" s="10" t="n">
        <x:v>5</x:v>
      </x:c>
      <x:c r="B6" s="10" t="str">
        <x:v>GUILD-0005</x:v>
      </x:c>
      <x:c r="C6" s="10" t="str">
        <x:v>公会账号</x:v>
      </x:c>
      <x:c r="D6" s="10" t="str">
        <x:v>公会登录（运营账号）</x:v>
      </x:c>
      <x:c r="E6" s="10" t="str">
        <x:v>功能需求</x:v>
      </x:c>
      <x:c r="F6" s="10" t="str">
        <x:v>P1</x:v>
      </x:c>
      <x:c r="G6" s="9" t="str">
        <x:v>验证运营账号通过公会登录页提交凭证</x:v>
      </x:c>
      <x:c r="H6" s="9" t="str">
        <x:v>公会登录分流</x:v>
      </x:c>
      <x:c r="I6" s="9" t="str">
        <x:v>1. 运营账号当前未登录，公会登录页可访问
2. opqa001是公会G创建的运营账号，真实密码为GuildPass12；账号已启用，公会G启用</x:v>
      </x:c>
      <x:c r="J6" s="9" t="str">
        <x:v>1. 打开公会登录
2. 输入账号“opqa001”
3. 输入密码“GuildPass12”
4. 点击“登录”</x:v>
      </x:c>
      <x:c r="K6" s="9" t="str">
        <x:v>不建立公会端登录会话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来源（当前证据）：liveshow-proto/MainBasis/统一需求文档.md；位置：第1888行、第1884行、第1885行
2. 规则：BR-e1609a1ea9a7495f
3. 未动态验证</x:v>
      </x:c>
    </x:row>
    <x:row r="7" ht="85" customHeight="1">
      <x:c r="A7" s="10" t="n">
        <x:v>6</x:v>
      </x:c>
      <x:c r="B7" s="10" t="str">
        <x:v>GUILD-0006</x:v>
      </x:c>
      <x:c r="C7" s="10" t="str">
        <x:v>公会账号</x:v>
      </x:c>
      <x:c r="D7" s="10" t="str">
        <x:v>公会登录（公会长）</x:v>
      </x:c>
      <x:c r="E7" s="10" t="str">
        <x:v>功能需求</x:v>
      </x:c>
      <x:c r="F7" s="10" t="str">
        <x:v>P1</x:v>
      </x:c>
      <x:c r="G7" s="9" t="str">
        <x:v>验证未填写公会登录账号时提交</x:v>
      </x:c>
      <x:c r="H7" s="9" t="str">
        <x:v>登录必填</x:v>
      </x:c>
      <x:c r="I7" s="9" t="str">
        <x:v>1. 公会长处于未登录页面可访问状态
2. 另一个登录字段已有可用凭证</x:v>
      </x:c>
      <x:c r="J7" s="9" t="str">
        <x:v>1. 打开公会登录
2. 清空“公会账号”
3. 点击“登录”</x:v>
      </x:c>
      <x:c r="K7" s="9" t="str">
        <x:v>不建立公会端登录会话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来源（当前证据）：liveshow-proto/MainBasis/统一需求文档.md；位置：第1886行、第1884行、第1885行
2. 规则：BR-aea6e94f33b1a2ce
3. 未动态验证</x:v>
      </x:c>
    </x:row>
    <x:row r="8" ht="85" customHeight="1">
      <x:c r="A8" s="10" t="n">
        <x:v>7</x:v>
      </x:c>
      <x:c r="B8" s="10" t="str">
        <x:v>GUILD-0007</x:v>
      </x:c>
      <x:c r="C8" s="10" t="str">
        <x:v>公会账号</x:v>
      </x:c>
      <x:c r="D8" s="10" t="str">
        <x:v>公会登录（公会长）</x:v>
      </x:c>
      <x:c r="E8" s="10" t="str">
        <x:v>功能需求</x:v>
      </x:c>
      <x:c r="F8" s="10" t="str">
        <x:v>P1</x:v>
      </x:c>
      <x:c r="G8" s="9" t="str">
        <x:v>验证公会登录密码留空</x:v>
      </x:c>
      <x:c r="H8" s="9" t="str">
        <x:v>登录必填</x:v>
      </x:c>
      <x:c r="I8" s="9" t="str">
        <x:v>1. 公会长处于未登录页面可访问状态
2. 另一个登录字段已有可用凭证</x:v>
      </x:c>
      <x:c r="J8" s="9" t="str">
        <x:v>1. 打开公会登录
2. 清空“密码”
3. 点击“登录”</x:v>
      </x:c>
      <x:c r="K8" s="9" t="str">
        <x:v>不建立公会端登录会话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来源（当前证据）：liveshow-proto/MainBasis/统一需求文档.md；位置：第1887行、第1884行、第1885行
2. 规则：BR-40692d3b0ac6a3f9
3. 未动态验证</x:v>
      </x:c>
    </x:row>
    <x:row r="9" ht="85" customHeight="1">
      <x:c r="A9" s="10" t="n">
        <x:v>8</x:v>
      </x:c>
      <x:c r="B9" s="10" t="str">
        <x:v>GUILD-0008</x:v>
      </x:c>
      <x:c r="C9" s="10" t="str">
        <x:v>公会账号</x:v>
      </x:c>
      <x:c r="D9" s="10" t="str">
        <x:v>选择公会（公会长）</x:v>
      </x:c>
      <x:c r="E9" s="10" t="str">
        <x:v>功能需求</x:v>
      </x:c>
      <x:c r="F9" s="10" t="str">
        <x:v>P1</x:v>
      </x:c>
      <x:c r="G9" s="9" t="str">
        <x:v>验证选择公会范围可管理未解散</x:v>
      </x:c>
      <x:c r="H9" s="9" t="str">
        <x:v>可管理公会范围</x:v>
      </x:c>
      <x:c r="I9" s="9" t="str">
        <x:v>1. 当前执行账号具有公会App会话，身份为公会长；具体账号及权限变化按以下条件准备
2. 公会长A已登录，公会G1状态为可管理未解散</x:v>
      </x:c>
      <x:c r="J9" s="9" t="str">
        <x:v>1. 打开选择公会</x:v>
      </x:c>
      <x:c r="K9" s="9" t="str">
        <x:v>列表展示G1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来源（当前证据）：liveshow-proto/MainBasis/统一需求文档.md；位置：第1896行、第1892行、第1893行
2. 规则：BR-ed887659e0caf13d
3. 未动态验证</x:v>
      </x:c>
    </x:row>
    <x:row r="10" ht="85" customHeight="1">
      <x:c r="A10" s="10" t="n">
        <x:v>9</x:v>
      </x:c>
      <x:c r="B10" s="10" t="str">
        <x:v>GUILD-0009</x:v>
      </x:c>
      <x:c r="C10" s="10" t="str">
        <x:v>公会账号</x:v>
      </x:c>
      <x:c r="D10" s="10" t="str">
        <x:v>选择公会（公会长）</x:v>
      </x:c>
      <x:c r="E10" s="10" t="str">
        <x:v>功能需求</x:v>
      </x:c>
      <x:c r="F10" s="10" t="str">
        <x:v>P1</x:v>
      </x:c>
      <x:c r="G10" s="9" t="str">
        <x:v>验证选择公会范围不可管理</x:v>
      </x:c>
      <x:c r="H10" s="9" t="str">
        <x:v>可管理公会范围</x:v>
      </x:c>
      <x:c r="I10" s="9" t="str">
        <x:v>1. 当前执行账号具有公会App会话，身份为公会长；具体账号及权限变化按以下条件准备
2. 公会长A已登录，公会G1状态为不可管理</x:v>
      </x:c>
      <x:c r="J10" s="9" t="str">
        <x:v>1. 打开选择公会</x:v>
      </x:c>
      <x:c r="K10" s="9" t="str">
        <x:v>列表不提供G1可选项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来源（当前证据）：liveshow-proto/MainBasis/统一需求文档.md；位置：第1896行、第1892行、第1893行
2. 规则：BR-40508361c99ae3dc
3. 未动态验证</x:v>
      </x:c>
    </x:row>
    <x:row r="11" ht="85" customHeight="1">
      <x:c r="A11" s="10" t="n">
        <x:v>10</x:v>
      </x:c>
      <x:c r="B11" s="10" t="str">
        <x:v>GUILD-0010</x:v>
      </x:c>
      <x:c r="C11" s="10" t="str">
        <x:v>公会账号</x:v>
      </x:c>
      <x:c r="D11" s="10" t="str">
        <x:v>选择公会（公会长）</x:v>
      </x:c>
      <x:c r="E11" s="10" t="str">
        <x:v>功能需求</x:v>
      </x:c>
      <x:c r="F11" s="10" t="str">
        <x:v>P1</x:v>
      </x:c>
      <x:c r="G11" s="9" t="str">
        <x:v>验证选择公会范围已解散</x:v>
      </x:c>
      <x:c r="H11" s="9" t="str">
        <x:v>可管理公会范围</x:v>
      </x:c>
      <x:c r="I11" s="9" t="str">
        <x:v>1. 当前执行账号具有公会App会话，身份为公会长；具体账号及权限变化按以下条件准备
2. 公会长A已登录，公会G1状态为已解散</x:v>
      </x:c>
      <x:c r="J11" s="9" t="str">
        <x:v>1. 打开选择公会</x:v>
      </x:c>
      <x:c r="K11" s="9" t="str">
        <x:v>列表不提供G1可选项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来源（当前证据）：liveshow-proto/MainBasis/统一需求文档.md；位置：第1896行、第1892行、第1893行
2. 规则：BR-da0fa70f2483f539
3. 未动态验证</x:v>
      </x:c>
    </x:row>
    <x:row r="12" ht="100" customHeight="1">
      <x:c r="A12" s="10" t="n">
        <x:v>11</x:v>
      </x:c>
      <x:c r="B12" s="10" t="str">
        <x:v>GUILD-0011</x:v>
      </x:c>
      <x:c r="C12" s="10" t="str">
        <x:v>公会账号</x:v>
      </x:c>
      <x:c r="D12" s="10" t="str">
        <x:v>选择公会（公会长）</x:v>
      </x:c>
      <x:c r="E12" s="10" t="str">
        <x:v>功能需求</x:v>
      </x:c>
      <x:c r="F12" s="10" t="str">
        <x:v>P1</x:v>
      </x:c>
      <x:c r="G12" s="9" t="str">
        <x:v>验证公会切换刷新数据</x:v>
      </x:c>
      <x:c r="H12" s="9" t="str">
        <x:v>切换公会数据隔离</x:v>
      </x:c>
      <x:c r="I12" s="9" t="str">
        <x:v>1. 当前执行账号具有公会App会话，身份为公会长；具体账号及权限变化按以下条件准备
2. 公会长A可管理G1和G2，当前G1收益100金币，G2收益200金币</x:v>
      </x:c>
      <x:c r="J12" s="9" t="str">
        <x:v>1. 打开选择公会
2. 点击G2</x:v>
      </x:c>
      <x:c r="K12" s="9" t="str">
        <x:v>首页展示G2的200金币收益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来源（当前证据）：liveshow-proto/MainBasis/统一需求文档.md；位置：第1897行、第1892行、第1893行
2. 规则：BR-edbe51f7ea6f6686
3. 未动态验证</x:v>
      </x:c>
    </x:row>
    <x:row r="13" ht="100" customHeight="1">
      <x:c r="A13" s="10" t="n">
        <x:v>12</x:v>
      </x:c>
      <x:c r="B13" s="10" t="str">
        <x:v>GUILD-0012</x:v>
      </x:c>
      <x:c r="C13" s="10" t="str">
        <x:v>审批管理</x:v>
      </x:c>
      <x:c r="D13" s="10" t="str">
        <x:v>入会申请详情（公会长）</x:v>
      </x:c>
      <x:c r="E13" s="10" t="str">
        <x:v>业务流程</x:v>
      </x:c>
      <x:c r="F13" s="10" t="str">
        <x:v>P0</x:v>
      </x:c>
      <x:c r="G13" s="9" t="str">
        <x:v>验证公会初审通过后提交平台终审</x:v>
      </x:c>
      <x:c r="H13" s="9" t="str">
        <x:v>平台终审状态</x:v>
      </x:c>
      <x:c r="I13" s="9" t="str">
        <x:v>1. 当前执行账号具有公会App会话，身份为公会长；具体账号及权限变化按以下条件准备
2. A为普通用户，向G1提交唯一待公会审核申请J1，认证资料完整</x:v>
      </x:c>
      <x:c r="J13" s="9" t="str">
        <x:v>1. 打开J1入会申请详情
2. 点击“通过”
3. 确认审核
4. 查看申请J1审核进度</x:v>
      </x:c>
      <x:c r="K13" s="9" t="str">
        <x:v>J1进入平台待终审阶段</x:v>
      </x:c>
      <x:c r="L13" s="10" t="str">
        <x:v>FLOW-GUILD-JOIN</x:v>
      </x:c>
      <x:c r="M13" s="10" t="str">
        <x:v>未测</x:v>
      </x:c>
      <x:c r="N13" s="10" t="str"/>
      <x:c r="O13" s="9" t="str">
        <x:v>1. 来源（当前证据）：liveshow-proto/MainBasis/统一需求文档.md；位置：第1944行、第1945行、第1938行、第1939行
2. 规则：BR-201df6820286028a
3. 未动态验证</x:v>
      </x:c>
    </x:row>
    <x:row r="14" ht="100" customHeight="1">
      <x:c r="A14" s="10" t="n">
        <x:v>13</x:v>
      </x:c>
      <x:c r="B14" s="10" t="str">
        <x:v>GUILD-0013</x:v>
      </x:c>
      <x:c r="C14" s="10" t="str">
        <x:v>审批管理</x:v>
      </x:c>
      <x:c r="D14" s="10" t="str">
        <x:v>入会申请详情（公会长）</x:v>
      </x:c>
      <x:c r="E14" s="10" t="str">
        <x:v>业务流程</x:v>
      </x:c>
      <x:c r="F14" s="10" t="str">
        <x:v>P1</x:v>
      </x:c>
      <x:c r="G14" s="9" t="str">
        <x:v>验证公会初审驳回后本次申请结束</x:v>
      </x:c>
      <x:c r="H14" s="9" t="str">
        <x:v>申请结束状态</x:v>
      </x:c>
      <x:c r="I14" s="9" t="str">
        <x:v>1. 当前执行账号具有公会App会话，身份为公会长；具体账号及权限变化按以下条件准备
2. A为普通用户，向G1提交唯一待公会审核申请J1，认证资料完整</x:v>
      </x:c>
      <x:c r="J14" s="9" t="str">
        <x:v>1. 打开J1入会申请详情
2. 点击“驳回”
3. 确认审核</x:v>
      </x:c>
      <x:c r="K14" s="9" t="str">
        <x:v>本次申请结束</x:v>
      </x:c>
      <x:c r="L14" s="10" t="str">
        <x:v>FLOW-GUILD-JOIN</x:v>
      </x:c>
      <x:c r="M14" s="10" t="str">
        <x:v>未测</x:v>
      </x:c>
      <x:c r="N14" s="10" t="str"/>
      <x:c r="O14" s="9" t="str">
        <x:v>1. 来源（当前证据）：liveshow-proto/MainBasis/统一需求文档.md；位置：第1945行、第1938行、第1939行
2. 规则：BR-68396c4f2a08ee4f
3. 未动态验证</x:v>
      </x:c>
    </x:row>
    <x:row r="15" ht="85" customHeight="1">
      <x:c r="A15" s="10" t="n">
        <x:v>14</x:v>
      </x:c>
      <x:c r="B15" s="10" t="str">
        <x:v>GUILD-0014</x:v>
      </x:c>
      <x:c r="C15" s="10" t="str">
        <x:v>审批管理</x:v>
      </x:c>
      <x:c r="D15" s="10" t="str">
        <x:v>入会申请详情（公会长）</x:v>
      </x:c>
      <x:c r="E15" s="10" t="str">
        <x:v>业务流程</x:v>
      </x:c>
      <x:c r="F15" s="10" t="str">
        <x:v>P1</x:v>
      </x:c>
      <x:c r="G15" s="9" t="str">
        <x:v>验证初审通过取消确认</x:v>
      </x:c>
      <x:c r="H15" s="9" t="str">
        <x:v>初审取消</x:v>
      </x:c>
      <x:c r="I15" s="9" t="str">
        <x:v>1. 当前执行账号具有公会App会话，身份为公会长；具体账号及权限变化按以下条件准备
2. J1为待公会审核</x:v>
      </x:c>
      <x:c r="J15" s="9" t="str">
        <x:v>1. 打开J1申请详情
2. 点击“通过”
3. 点击“取消”</x:v>
      </x:c>
      <x:c r="K15" s="9" t="str">
        <x:v>J1仍为待公会审核</x:v>
      </x:c>
      <x:c r="L15" s="10" t="str">
        <x:v>FLOW-GUILD-JOIN</x:v>
      </x:c>
      <x:c r="M15" s="10" t="str">
        <x:v>未测</x:v>
      </x:c>
      <x:c r="N15" s="10" t="str"/>
      <x:c r="O15" s="9" t="str">
        <x:v>1. 来源（当前证据）：liveshow-proto/MainBasis/统一需求文档.md；位置：第1947行、第1938行、第1939行
2. 规则：BR-aad6371b65e9d4f8
3. 未动态验证</x:v>
      </x:c>
    </x:row>
    <x:row r="16" ht="85" customHeight="1">
      <x:c r="A16" s="10" t="n">
        <x:v>15</x:v>
      </x:c>
      <x:c r="B16" s="10" t="str">
        <x:v>GUILD-0015</x:v>
      </x:c>
      <x:c r="C16" s="10" t="str">
        <x:v>审批管理</x:v>
      </x:c>
      <x:c r="D16" s="10" t="str">
        <x:v>入会申请详情（公会长）</x:v>
      </x:c>
      <x:c r="E16" s="10" t="str">
        <x:v>功能需求</x:v>
      </x:c>
      <x:c r="F16" s="10" t="str">
        <x:v>P1</x:v>
      </x:c>
      <x:c r="G16" s="9" t="str">
        <x:v>验证公会已通过申请不可重复初审</x:v>
      </x:c>
      <x:c r="H16" s="9" t="str">
        <x:v>已处理申请只读</x:v>
      </x:c>
      <x:c r="I16" s="9" t="str">
        <x:v>1. 当前执行账号具有公会App会话，身份为公会长；具体账号及权限变化按以下条件准备
2. J1状态为公会已通过</x:v>
      </x:c>
      <x:c r="J16" s="9" t="str">
        <x:v>1. 打开J1入会申请详情</x:v>
      </x:c>
      <x:c r="K16" s="9" t="str">
        <x:v>申请仅可查看，不可重复公会审核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来源（当前证据）：liveshow-proto/MainBasis/统一需求文档.md；位置：第1946行、第1938行、第1939行
2. 规则：BR-81fec004c6caa80e
3. 未动态验证</x:v>
      </x:c>
    </x:row>
    <x:row r="17" ht="85" customHeight="1">
      <x:c r="A17" s="10" t="n">
        <x:v>16</x:v>
      </x:c>
      <x:c r="B17" s="10" t="str">
        <x:v>GUILD-0016</x:v>
      </x:c>
      <x:c r="C17" s="10" t="str">
        <x:v>审批管理</x:v>
      </x:c>
      <x:c r="D17" s="10" t="str">
        <x:v>入会申请详情（公会长）</x:v>
      </x:c>
      <x:c r="E17" s="10" t="str">
        <x:v>功能需求</x:v>
      </x:c>
      <x:c r="F17" s="10" t="str">
        <x:v>P1</x:v>
      </x:c>
      <x:c r="G17" s="9" t="str">
        <x:v>验证公会已驳回申请不可重复初审</x:v>
      </x:c>
      <x:c r="H17" s="9" t="str">
        <x:v>已处理申请只读</x:v>
      </x:c>
      <x:c r="I17" s="9" t="str">
        <x:v>1. 当前执行账号具有公会App会话，身份为公会长；具体账号及权限变化按以下条件准备
2. J1状态为公会已驳回</x:v>
      </x:c>
      <x:c r="J17" s="9" t="str">
        <x:v>1. 打开J1入会申请详情</x:v>
      </x:c>
      <x:c r="K17" s="9" t="str">
        <x:v>申请仅可查看，不可重复公会审核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来源（当前证据）：liveshow-proto/MainBasis/统一需求文档.md；位置：第1946行、第1938行、第1939行
2. 规则：BR-244b7d65cda0cc17
3. 未动态验证</x:v>
      </x:c>
    </x:row>
    <x:row r="18" ht="85" customHeight="1">
      <x:c r="A18" s="10" t="n">
        <x:v>17</x:v>
      </x:c>
      <x:c r="B18" s="10" t="str">
        <x:v>GUILD-0017</x:v>
      </x:c>
      <x:c r="C18" s="10" t="str">
        <x:v>审批管理</x:v>
      </x:c>
      <x:c r="D18" s="10" t="str">
        <x:v>入会申请详情（公会长）</x:v>
      </x:c>
      <x:c r="E18" s="10" t="str">
        <x:v>功能需求</x:v>
      </x:c>
      <x:c r="F18" s="10" t="str">
        <x:v>P1</x:v>
      </x:c>
      <x:c r="G18" s="9" t="str">
        <x:v>验证平台已通过申请不可重复初审</x:v>
      </x:c>
      <x:c r="H18" s="9" t="str">
        <x:v>已处理申请只读</x:v>
      </x:c>
      <x:c r="I18" s="9" t="str">
        <x:v>1. 当前执行账号具有公会App会话，身份为公会长；具体账号及权限变化按以下条件准备
2. J1状态为平台已通过</x:v>
      </x:c>
      <x:c r="J18" s="9" t="str">
        <x:v>1. 打开J1入会申请详情</x:v>
      </x:c>
      <x:c r="K18" s="9" t="str">
        <x:v>申请仅可查看，不可重复公会审核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来源（当前证据）：liveshow-proto/MainBasis/统一需求文档.md；位置：第1946行、第1938行、第1939行
2. 规则：BR-1a41a758d35c8c98
3. 未动态验证</x:v>
      </x:c>
    </x:row>
    <x:row r="19" ht="85" customHeight="1">
      <x:c r="A19" s="10" t="n">
        <x:v>18</x:v>
      </x:c>
      <x:c r="B19" s="10" t="str">
        <x:v>GUILD-0018</x:v>
      </x:c>
      <x:c r="C19" s="10" t="str">
        <x:v>审批管理</x:v>
      </x:c>
      <x:c r="D19" s="10" t="str">
        <x:v>入会申请详情（公会长）</x:v>
      </x:c>
      <x:c r="E19" s="10" t="str">
        <x:v>功能需求</x:v>
      </x:c>
      <x:c r="F19" s="10" t="str">
        <x:v>P1</x:v>
      </x:c>
      <x:c r="G19" s="9" t="str">
        <x:v>验证平台已驳回申请不可重复初审</x:v>
      </x:c>
      <x:c r="H19" s="9" t="str">
        <x:v>已处理申请只读</x:v>
      </x:c>
      <x:c r="I19" s="9" t="str">
        <x:v>1. 当前执行账号具有公会App会话，身份为公会长；具体账号及权限变化按以下条件准备
2. J1状态为平台已驳回</x:v>
      </x:c>
      <x:c r="J19" s="9" t="str">
        <x:v>1. 打开J1入会申请详情</x:v>
      </x:c>
      <x:c r="K19" s="9" t="str">
        <x:v>申请仅可查看，不可重复公会审核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来源（当前证据）：liveshow-proto/MainBasis/统一需求文档.md；位置：第1946行、第1938行、第1939行
2. 规则：BR-5e41abc0727c5bce
3. 未动态验证</x:v>
      </x:c>
    </x:row>
    <x:row r="20" ht="85" customHeight="1">
      <x:c r="A20" s="10" t="n">
        <x:v>19</x:v>
      </x:c>
      <x:c r="B20" s="10" t="str">
        <x:v>GUILD-0019</x:v>
      </x:c>
      <x:c r="C20" s="10" t="str">
        <x:v>审批管理</x:v>
      </x:c>
      <x:c r="D20" s="10" t="str">
        <x:v>入会申请详情（公会长）</x:v>
      </x:c>
      <x:c r="E20" s="10" t="str">
        <x:v>功能需求</x:v>
      </x:c>
      <x:c r="F20" s="10" t="str">
        <x:v>P1</x:v>
      </x:c>
      <x:c r="G20" s="9" t="str">
        <x:v>验证入会驳回理由0字</x:v>
      </x:c>
      <x:c r="H20" s="9" t="str">
        <x:v>初审理由边界</x:v>
      </x:c>
      <x:c r="I20" s="9" t="str">
        <x:v>1. 当前执行账号具有公会App会话，身份为公会长；具体账号及权限变化按以下条件准备
2. J1待公会审核</x:v>
      </x:c>
      <x:c r="J20" s="9" t="str">
        <x:v>1. 打开J1入会申请详情
2. 点击“驳回”
3. 输入驳回理由为0个“测”
4. 确认驳回</x:v>
      </x:c>
      <x:c r="K20" s="9" t="str">
        <x:v>J1更新为公会驳回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来源（当前证据）：liveshow-proto/MainBasis/统一需求文档.md；位置：第1943行、第1938行、第1939行
2. 规则：BR-85f7dfbfd2a31dc5
3. 未动态验证</x:v>
      </x:c>
    </x:row>
    <x:row r="21" ht="85" customHeight="1">
      <x:c r="A21" s="10" t="n">
        <x:v>20</x:v>
      </x:c>
      <x:c r="B21" s="10" t="str">
        <x:v>GUILD-0020</x:v>
      </x:c>
      <x:c r="C21" s="10" t="str">
        <x:v>审批管理</x:v>
      </x:c>
      <x:c r="D21" s="10" t="str">
        <x:v>入会申请详情（公会长）</x:v>
      </x:c>
      <x:c r="E21" s="10" t="str">
        <x:v>功能需求</x:v>
      </x:c>
      <x:c r="F21" s="10" t="str">
        <x:v>P1</x:v>
      </x:c>
      <x:c r="G21" s="9" t="str">
        <x:v>验证入会驳回理由200字</x:v>
      </x:c>
      <x:c r="H21" s="9" t="str">
        <x:v>初审理由边界</x:v>
      </x:c>
      <x:c r="I21" s="9" t="str">
        <x:v>1. 当前执行账号具有公会App会话，身份为公会长；具体账号及权限变化按以下条件准备
2. J1待公会审核</x:v>
      </x:c>
      <x:c r="J21" s="9" t="str">
        <x:v>1. 打开J1入会申请详情
2. 点击“驳回”
3. 输入驳回理由为200个“测”
4. 确认驳回</x:v>
      </x:c>
      <x:c r="K21" s="9" t="str">
        <x:v>J1更新为公会驳回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来源（当前证据）：liveshow-proto/MainBasis/统一需求文档.md；位置：第1943行、第1938行、第1939行
2. 规则：BR-fbbd768925ee0754
3. 未动态验证</x:v>
      </x:c>
    </x:row>
    <x:row r="22" ht="85" customHeight="1">
      <x:c r="A22" s="10" t="n">
        <x:v>21</x:v>
      </x:c>
      <x:c r="B22" s="10" t="str">
        <x:v>GUILD-0021</x:v>
      </x:c>
      <x:c r="C22" s="10" t="str">
        <x:v>审批管理</x:v>
      </x:c>
      <x:c r="D22" s="10" t="str">
        <x:v>入会申请详情（公会长）</x:v>
      </x:c>
      <x:c r="E22" s="10" t="str">
        <x:v>功能需求</x:v>
      </x:c>
      <x:c r="F22" s="10" t="str">
        <x:v>P1</x:v>
      </x:c>
      <x:c r="G22" s="9" t="str">
        <x:v>验证入会驳回理由201字</x:v>
      </x:c>
      <x:c r="H22" s="9" t="str">
        <x:v>初审理由边界</x:v>
      </x:c>
      <x:c r="I22" s="9" t="str">
        <x:v>1. 当前执行账号具有公会App会话，身份为公会长；具体账号及权限变化按以下条件准备
2. J1待公会审核</x:v>
      </x:c>
      <x:c r="J22" s="9" t="str">
        <x:v>1. 打开J1入会申请详情
2. 点击“驳回”
3. 输入驳回理由为201个“测”
4. 确认驳回</x:v>
      </x:c>
      <x:c r="K22" s="9" t="str">
        <x:v>不保存超过200字的驳回理由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来源（当前证据）：liveshow-proto/MainBasis/统一需求文档.md；位置：第1943行、第1938行、第1939行
2. 规则：BR-4faaff6741ff4f68
3. 未动态验证</x:v>
      </x:c>
    </x:row>
    <x:row r="23" ht="85" customHeight="1">
      <x:c r="A23" s="10" t="n">
        <x:v>22</x:v>
      </x:c>
      <x:c r="B23" s="10" t="str">
        <x:v>GUILD-0022</x:v>
      </x:c>
      <x:c r="C23" s="10" t="str">
        <x:v>审批管理</x:v>
      </x:c>
      <x:c r="D23" s="10" t="str">
        <x:v>入会申请（公会长）</x:v>
      </x:c>
      <x:c r="E23" s="10" t="str">
        <x:v>业务流程</x:v>
      </x:c>
      <x:c r="F23" s="10" t="str">
        <x:v>P1</x:v>
      </x:c>
      <x:c r="G23" s="9" t="str">
        <x:v>验证入会列表审核中归类</x:v>
      </x:c>
      <x:c r="H23" s="9" t="str">
        <x:v>入会状态筛选</x:v>
      </x:c>
      <x:c r="I23" s="9" t="str">
        <x:v>1. 当前执行账号具有公会App会话，身份为公会长；具体账号及权限变化按以下条件准备
2. 同一公会存在各审核状态的独立测试申请</x:v>
      </x:c>
      <x:c r="J23" s="9" t="str">
        <x:v>1. 打开入会审批
2. 切换“审核中”</x:v>
      </x:c>
      <x:c r="K23" s="9" t="str">
        <x:v>结果中的申请状态仅允许待公会审核或平台审核中</x:v>
      </x:c>
      <x:c r="L23" s="10" t="str">
        <x:v>FLOW-GUILD-JOIN</x:v>
      </x:c>
      <x:c r="M23" s="10" t="str">
        <x:v>未测</x:v>
      </x:c>
      <x:c r="N23" s="10" t="str"/>
      <x:c r="O23" s="9" t="str">
        <x:v>1. 来源（当前证据）：liveshow-proto/MainBasis/统一需求文档.md；位置：第1932行、第1928行、第1929行
2. 规则：BR-7b8e30a0f22c37f0
3. 未动态验证</x:v>
      </x:c>
    </x:row>
    <x:row r="24" ht="85" customHeight="1">
      <x:c r="A24" s="10" t="n">
        <x:v>23</x:v>
      </x:c>
      <x:c r="B24" s="10" t="str">
        <x:v>GUILD-0023</x:v>
      </x:c>
      <x:c r="C24" s="10" t="str">
        <x:v>审批管理</x:v>
      </x:c>
      <x:c r="D24" s="10" t="str">
        <x:v>入会申请（公会长）</x:v>
      </x:c>
      <x:c r="E24" s="10" t="str">
        <x:v>业务流程</x:v>
      </x:c>
      <x:c r="F24" s="10" t="str">
        <x:v>P1</x:v>
      </x:c>
      <x:c r="G24" s="9" t="str">
        <x:v>验证入会列表已通过归类</x:v>
      </x:c>
      <x:c r="H24" s="9" t="str">
        <x:v>入会状态筛选</x:v>
      </x:c>
      <x:c r="I24" s="9" t="str">
        <x:v>1. 当前执行账号具有公会App会话，身份为公会长；具体账号及权限变化按以下条件准备
2. 同一公会存在各审核状态的独立测试申请</x:v>
      </x:c>
      <x:c r="J24" s="9" t="str">
        <x:v>1. 打开入会审批
2. 切换“已通过”</x:v>
      </x:c>
      <x:c r="K24" s="9" t="str">
        <x:v>结果中的申请状态仅允许平台终审通过</x:v>
      </x:c>
      <x:c r="L24" s="10" t="str">
        <x:v>FLOW-GUILD-JOIN</x:v>
      </x:c>
      <x:c r="M24" s="10" t="str">
        <x:v>未测</x:v>
      </x:c>
      <x:c r="N24" s="10" t="str"/>
      <x:c r="O24" s="9" t="str">
        <x:v>1. 来源（当前证据）：liveshow-proto/MainBasis/统一需求文档.md；位置：第1932行、第1928行、第1929行
2. 规则：BR-ad26c64d9787886e
3. 未动态验证</x:v>
      </x:c>
    </x:row>
    <x:row r="25" ht="85" customHeight="1">
      <x:c r="A25" s="10" t="n">
        <x:v>24</x:v>
      </x:c>
      <x:c r="B25" s="10" t="str">
        <x:v>GUILD-0024</x:v>
      </x:c>
      <x:c r="C25" s="10" t="str">
        <x:v>审批管理</x:v>
      </x:c>
      <x:c r="D25" s="10" t="str">
        <x:v>入会申请（公会长）</x:v>
      </x:c>
      <x:c r="E25" s="10" t="str">
        <x:v>业务流程</x:v>
      </x:c>
      <x:c r="F25" s="10" t="str">
        <x:v>P1</x:v>
      </x:c>
      <x:c r="G25" s="9" t="str">
        <x:v>验证入会列表已驳回归类</x:v>
      </x:c>
      <x:c r="H25" s="9" t="str">
        <x:v>入会状态筛选</x:v>
      </x:c>
      <x:c r="I25" s="9" t="str">
        <x:v>1. 当前执行账号具有公会App会话，身份为公会长；具体账号及权限变化按以下条件准备
2. 同一公会存在各审核状态的独立测试申请</x:v>
      </x:c>
      <x:c r="J25" s="9" t="str">
        <x:v>1. 打开入会审批
2. 切换“已驳回”</x:v>
      </x:c>
      <x:c r="K25" s="9" t="str">
        <x:v>结果中的申请状态仅允许公会驳回或平台驳回</x:v>
      </x:c>
      <x:c r="L25" s="10" t="str">
        <x:v>FLOW-GUILD-JOIN</x:v>
      </x:c>
      <x:c r="M25" s="10" t="str">
        <x:v>未测</x:v>
      </x:c>
      <x:c r="N25" s="10" t="str"/>
      <x:c r="O25" s="9" t="str">
        <x:v>1. 来源（当前证据）：liveshow-proto/MainBasis/统一需求文档.md；位置：第1932行、第1928行、第1929行
2. 规则：BR-7f6fb777711f718d
3. 未动态验证</x:v>
      </x:c>
    </x:row>
    <x:row r="26" ht="85" customHeight="1">
      <x:c r="A26" s="10" t="n">
        <x:v>25</x:v>
      </x:c>
      <x:c r="B26" s="10" t="str">
        <x:v>GUILD-0025</x:v>
      </x:c>
      <x:c r="C26" s="10" t="str">
        <x:v>审批管理</x:v>
      </x:c>
      <x:c r="D26" s="10" t="str">
        <x:v>退会申请详情（公会长）</x:v>
      </x:c>
      <x:c r="E26" s="10" t="str">
        <x:v>业务流程</x:v>
      </x:c>
      <x:c r="F26" s="10" t="str">
        <x:v>P1</x:v>
      </x:c>
      <x:c r="G26" s="9" t="str">
        <x:v>验证退会通过后公会关系解除</x:v>
      </x:c>
      <x:c r="H26" s="9" t="str">
        <x:v>公会关系状态</x:v>
      </x:c>
      <x:c r="I26" s="9" t="str">
        <x:v>1. 当前执行账号具有公会App会话，身份为公会长；具体账号及权限变化按以下条件准备
2. 主播A属于G1，S1正在直播，退会申请L1待公会审核</x:v>
      </x:c>
      <x:c r="J26" s="9" t="str">
        <x:v>1. 打开L1退会申请详情
2. 点击“通过”
3. 确认通过
4. 打开公会成员列表
5. 查看A状态</x:v>
      </x:c>
      <x:c r="K26" s="9" t="str">
        <x:v>A显示“退会”标记</x:v>
      </x:c>
      <x:c r="L26" s="10" t="str">
        <x:v>FLOW-GUILD-LEAVE</x:v>
      </x:c>
      <x:c r="M26" s="10" t="str">
        <x:v>未测</x:v>
      </x:c>
      <x:c r="N26" s="10" t="str"/>
      <x:c r="O26" s="9" t="str">
        <x:v>1. 来源（当前证据）：liveshow-proto/MainBasis/统一需求文档.md；位置：第1966行、第1974行、第1959行、第1960行
2. 规则：BR-821408ff444e3329
3. 未动态验证</x:v>
      </x:c>
    </x:row>
    <x:row r="27" ht="85" customHeight="1">
      <x:c r="A27" s="10" t="n">
        <x:v>26</x:v>
      </x:c>
      <x:c r="B27" s="10" t="str">
        <x:v>GUILD-0026</x:v>
      </x:c>
      <x:c r="C27" s="10" t="str">
        <x:v>审批管理</x:v>
      </x:c>
      <x:c r="D27" s="10" t="str">
        <x:v>退会申请详情（公会长）</x:v>
      </x:c>
      <x:c r="E27" s="10" t="str">
        <x:v>业务流程</x:v>
      </x:c>
      <x:c r="F27" s="10" t="str">
        <x:v>P1</x:v>
      </x:c>
      <x:c r="G27" s="9" t="str">
        <x:v>验证退会驳回后公会关系保留</x:v>
      </x:c>
      <x:c r="H27" s="9" t="str">
        <x:v>公会关系状态</x:v>
      </x:c>
      <x:c r="I27" s="9" t="str">
        <x:v>1. 当前执行账号具有公会App会话，身份为公会长；具体账号及权限变化按以下条件准备
2. A为G1主播，退会申请L1待审核</x:v>
      </x:c>
      <x:c r="J27" s="9" t="str">
        <x:v>1. 打开L1退会申请详情
2. 点击“驳回”
3. 确认驳回
4. 打开公会成员列表
5. 查看A状态</x:v>
      </x:c>
      <x:c r="K27" s="9" t="str">
        <x:v>A仍显示在会状态</x:v>
      </x:c>
      <x:c r="L27" s="10" t="str">
        <x:v>FLOW-GUILD-LEAVE</x:v>
      </x:c>
      <x:c r="M27" s="10" t="str">
        <x:v>未测</x:v>
      </x:c>
      <x:c r="N27" s="10" t="str"/>
      <x:c r="O27" s="9" t="str">
        <x:v>1. 来源（当前证据）：liveshow-proto/MainBasis/统一需求文档.md；位置：第1967行、第1974行、第1959行、第1960行
2. 规则：BR-e9ae40ae0c0da48e
3. 未动态验证</x:v>
      </x:c>
    </x:row>
    <x:row r="28" ht="85" customHeight="1">
      <x:c r="A28" s="10" t="n">
        <x:v>27</x:v>
      </x:c>
      <x:c r="B28" s="10" t="str">
        <x:v>GUILD-0027</x:v>
      </x:c>
      <x:c r="C28" s="10" t="str">
        <x:v>审批管理</x:v>
      </x:c>
      <x:c r="D28" s="10" t="str">
        <x:v>退会申请详情（公会长）</x:v>
      </x:c>
      <x:c r="E28" s="10" t="str">
        <x:v>功能需求</x:v>
      </x:c>
      <x:c r="F28" s="10" t="str">
        <x:v>P1</x:v>
      </x:c>
      <x:c r="G28" s="9" t="str">
        <x:v>验证取消退会通过</x:v>
      </x:c>
      <x:c r="H28" s="9" t="str">
        <x:v>退会审核取消</x:v>
      </x:c>
      <x:c r="I28" s="9" t="str">
        <x:v>1. 当前执行账号具有公会App会话，身份为公会长；具体账号及权限变化按以下条件准备
2. L1待审核，A仍属于G1且正在直播</x:v>
      </x:c>
      <x:c r="J28" s="9" t="str">
        <x:v>1. 打开L1退会申请详情
2. 点击“通过”
3. 点击“取消”</x:v>
      </x:c>
      <x:c r="K28" s="9" t="str">
        <x:v>L1保留待审核状态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来源（当前证据）：liveshow-proto/MainBasis/统一需求文档.md；位置：第1968行、第1959行、第1960行
2. 规则：BR-5792a0873e427f82
3. 未动态验证</x:v>
      </x:c>
    </x:row>
    <x:row r="29" ht="85" customHeight="1">
      <x:c r="A29" s="10" t="n">
        <x:v>28</x:v>
      </x:c>
      <x:c r="B29" s="10" t="str">
        <x:v>GUILD-0028</x:v>
      </x:c>
      <x:c r="C29" s="10" t="str">
        <x:v>审批管理</x:v>
      </x:c>
      <x:c r="D29" s="10" t="str">
        <x:v>退会申请详情（公会长）</x:v>
      </x:c>
      <x:c r="E29" s="10" t="str">
        <x:v>功能需求</x:v>
      </x:c>
      <x:c r="F29" s="10" t="str">
        <x:v>P1</x:v>
      </x:c>
      <x:c r="G29" s="9" t="str">
        <x:v>验证退会已通过记录只读</x:v>
      </x:c>
      <x:c r="H29" s="9" t="str">
        <x:v>退会防重复审核</x:v>
      </x:c>
      <x:c r="I29" s="9" t="str">
        <x:v>1. 当前执行账号具有公会App会话，身份为公会长；具体账号及权限变化按以下条件准备
2. L1已通过</x:v>
      </x:c>
      <x:c r="J29" s="9" t="str">
        <x:v>1. 打开L1退会申请详情</x:v>
      </x:c>
      <x:c r="K29" s="9" t="str">
        <x:v>不提供再次审核操作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来源（当前证据）：liveshow-proto/MainBasis/统一需求文档.md；位置：第1968行、第1959行、第1960行
2. 规则：BR-da6d827fd63a0d4f
3. 未动态验证</x:v>
      </x:c>
    </x:row>
    <x:row r="30" ht="85" customHeight="1">
      <x:c r="A30" s="10" t="n">
        <x:v>29</x:v>
      </x:c>
      <x:c r="B30" s="10" t="str">
        <x:v>GUILD-0029</x:v>
      </x:c>
      <x:c r="C30" s="10" t="str">
        <x:v>审批管理</x:v>
      </x:c>
      <x:c r="D30" s="10" t="str">
        <x:v>退会申请详情（公会长）</x:v>
      </x:c>
      <x:c r="E30" s="10" t="str">
        <x:v>功能需求</x:v>
      </x:c>
      <x:c r="F30" s="10" t="str">
        <x:v>P1</x:v>
      </x:c>
      <x:c r="G30" s="9" t="str">
        <x:v>验证退会已驳回记录只读</x:v>
      </x:c>
      <x:c r="H30" s="9" t="str">
        <x:v>退会防重复审核</x:v>
      </x:c>
      <x:c r="I30" s="9" t="str">
        <x:v>1. 当前执行账号具有公会App会话，身份为公会长；具体账号及权限变化按以下条件准备
2. L1已驳回</x:v>
      </x:c>
      <x:c r="J30" s="9" t="str">
        <x:v>1. 打开L1退会申请详情</x:v>
      </x:c>
      <x:c r="K30" s="9" t="str">
        <x:v>不提供再次审核操作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来源（当前证据）：liveshow-proto/MainBasis/统一需求文档.md；位置：第1968行、第1959行、第1960行
2. 规则：BR-5ebe5f364325904f
3. 未动态验证</x:v>
      </x:c>
    </x:row>
    <x:row r="31" ht="100" customHeight="1">
      <x:c r="A31" s="10" t="n">
        <x:v>30</x:v>
      </x:c>
      <x:c r="B31" s="10" t="str">
        <x:v>GUILD-0030</x:v>
      </x:c>
      <x:c r="C31" s="10" t="str">
        <x:v>审批管理</x:v>
      </x:c>
      <x:c r="D31" s="10" t="str">
        <x:v>退会申请详情（公会长）</x:v>
      </x:c>
      <x:c r="E31" s="10" t="str">
        <x:v>功能需求</x:v>
      </x:c>
      <x:c r="F31" s="10" t="str">
        <x:v>P1</x:v>
      </x:c>
      <x:c r="G31" s="9" t="str">
        <x:v>验证退会审核详情显示处理时间</x:v>
      </x:c>
      <x:c r="H31" s="9" t="str">
        <x:v>处理时间状态</x:v>
      </x:c>
      <x:c r="I31" s="9" t="str">
        <x:v>1. 当前执行账号具有公会App会话，身份为公会长；具体账号及权限变化按以下条件准备
2. L1已驳回，处理时间2026-09-14 10:00，理由“资料需补充”</x:v>
      </x:c>
      <x:c r="J31" s="9" t="str">
        <x:v>1. 打开L1退会申请详情</x:v>
      </x:c>
      <x:c r="K31" s="9" t="str">
        <x:v>处理时间对应2026-09-14 10:00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来源（当前证据）：liveshow-proto/MainBasis/统一需求文档.md；位置：第1965行、第1959行、第1960行
2. 规则：BR-3205150a64a9fd9b
3. 未动态验证</x:v>
      </x:c>
    </x:row>
    <x:row r="32" ht="100" customHeight="1">
      <x:c r="A32" s="10" t="n">
        <x:v>31</x:v>
      </x:c>
      <x:c r="B32" s="10" t="str">
        <x:v>GUILD-0031</x:v>
      </x:c>
      <x:c r="C32" s="10" t="str">
        <x:v>审批管理</x:v>
      </x:c>
      <x:c r="D32" s="10" t="str">
        <x:v>退会申请详情（公会长）</x:v>
      </x:c>
      <x:c r="E32" s="10" t="str">
        <x:v>功能需求</x:v>
      </x:c>
      <x:c r="F32" s="10" t="str">
        <x:v>P1</x:v>
      </x:c>
      <x:c r="G32" s="9" t="str">
        <x:v>验证退会审核详情显示处理结果</x:v>
      </x:c>
      <x:c r="H32" s="9" t="str">
        <x:v>处理结果状态</x:v>
      </x:c>
      <x:c r="I32" s="9" t="str">
        <x:v>1. 当前执行账号具有公会App会话，身份为公会长；具体账号及权限变化按以下条件准备
2. L1已驳回，处理时间2026-09-14 10:00，理由“资料需补充”</x:v>
      </x:c>
      <x:c r="J32" s="9" t="str">
        <x:v>1. 打开L1退会申请详情</x:v>
      </x:c>
      <x:c r="K32" s="9" t="str">
        <x:v>处理结果显示已驳回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来源（当前证据）：liveshow-proto/MainBasis/统一需求文档.md；位置：第1965行、第1959行、第1960行
2. 规则：BR-9cca1e1600ca62a3
3. 未动态验证</x:v>
      </x:c>
    </x:row>
    <x:row r="33" ht="100" customHeight="1">
      <x:c r="A33" s="10" t="n">
        <x:v>32</x:v>
      </x:c>
      <x:c r="B33" s="10" t="str">
        <x:v>GUILD-0032</x:v>
      </x:c>
      <x:c r="C33" s="10" t="str">
        <x:v>审批管理</x:v>
      </x:c>
      <x:c r="D33" s="10" t="str">
        <x:v>退会申请详情（公会长）</x:v>
      </x:c>
      <x:c r="E33" s="10" t="str">
        <x:v>功能需求</x:v>
      </x:c>
      <x:c r="F33" s="10" t="str">
        <x:v>P1</x:v>
      </x:c>
      <x:c r="G33" s="9" t="str">
        <x:v>验证退会审核详情驳回节点显示理由“资料需补充”</x:v>
      </x:c>
      <x:c r="H33" s="9" t="str">
        <x:v>退会处理快照</x:v>
      </x:c>
      <x:c r="I33" s="9" t="str">
        <x:v>1. 当前执行账号具有公会App会话，身份为公会长；具体账号及权限变化按以下条件准备
2. L1已驳回，处理时间2026-09-14 10:00，理由“资料需补充”</x:v>
      </x:c>
      <x:c r="J33" s="9" t="str">
        <x:v>1. 打开L1退会申请详情</x:v>
      </x:c>
      <x:c r="K33" s="9" t="str">
        <x:v>驳回节点显示理由“资料需补充”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来源（当前证据）：liveshow-proto/MainBasis/统一需求文档.md；位置：第1965行、第1959行、第1960行
2. 规则：BR-17bf7b4a5b2388ca
3. 未动态验证</x:v>
      </x:c>
    </x:row>
    <x:row r="34" ht="85" customHeight="1">
      <x:c r="A34" s="10" t="n">
        <x:v>33</x:v>
      </x:c>
      <x:c r="B34" s="10" t="str">
        <x:v>GUILD-0033</x:v>
      </x:c>
      <x:c r="C34" s="10" t="str">
        <x:v>主播管理</x:v>
      </x:c>
      <x:c r="D34" s="10" t="str">
        <x:v>主播主页（公会长）</x:v>
      </x:c>
      <x:c r="E34" s="10" t="str">
        <x:v>业务流程</x:v>
      </x:c>
      <x:c r="F34" s="10" t="str">
        <x:v>P1</x:v>
      </x:c>
      <x:c r="G34" s="9" t="str">
        <x:v>验证平台开且未锁定、公会原开</x:v>
      </x:c>
      <x:c r="H34" s="9" t="str">
        <x:v>直播权限优先级</x:v>
      </x:c>
      <x:c r="I34" s="9" t="str">
        <x:v>1. 当前执行账号具有公会App会话，身份为公会长；具体账号及权限变化按以下条件准备
2. A为G1主播；平台权限开启，管理未锁定，公会原设置开启</x:v>
      </x:c>
      <x:c r="J34" s="9" t="str">
        <x:v>1. 打开A的主播详情</x:v>
      </x:c>
      <x:c r="K34" s="9" t="str">
        <x:v>公会开关显示开启</x:v>
      </x:c>
      <x:c r="L34" s="10" t="str">
        <x:v>FLOW-LIVE-PERMISSION</x:v>
      </x:c>
      <x:c r="M34" s="10" t="str">
        <x:v>未测</x:v>
      </x:c>
      <x:c r="N34" s="10" t="str"/>
      <x:c r="O34" s="9" t="str">
        <x:v>1. 来源（当前证据）：liveshow-proto/MainBasis/统一需求文档.md；位置：第2004行、第2003行、第1996行、第1997行
2. 规则：BR-f724f4db0db6a7ba
3. 未动态验证</x:v>
      </x:c>
    </x:row>
    <x:row r="35" ht="85" customHeight="1">
      <x:c r="A35" s="10" t="n">
        <x:v>34</x:v>
      </x:c>
      <x:c r="B35" s="10" t="str">
        <x:v>GUILD-0034</x:v>
      </x:c>
      <x:c r="C35" s="10" t="str">
        <x:v>主播管理</x:v>
      </x:c>
      <x:c r="D35" s="10" t="str">
        <x:v>主播主页（公会长）</x:v>
      </x:c>
      <x:c r="E35" s="10" t="str">
        <x:v>业务流程</x:v>
      </x:c>
      <x:c r="F35" s="10" t="str">
        <x:v>P1</x:v>
      </x:c>
      <x:c r="G35" s="9" t="str">
        <x:v>验证平台开且未锁定、公会原关</x:v>
      </x:c>
      <x:c r="H35" s="9" t="str">
        <x:v>直播权限优先级</x:v>
      </x:c>
      <x:c r="I35" s="9" t="str">
        <x:v>1. 当前执行账号具有公会App会话，身份为公会长；具体账号及权限变化按以下条件准备
2. A为G1主播；平台权限开启，管理未锁定，公会原设置关闭</x:v>
      </x:c>
      <x:c r="J35" s="9" t="str">
        <x:v>1. 打开A的主播详情</x:v>
      </x:c>
      <x:c r="K35" s="9" t="str">
        <x:v>公会开关显示关闭</x:v>
      </x:c>
      <x:c r="L35" s="10" t="str">
        <x:v>FLOW-LIVE-PERMISSION</x:v>
      </x:c>
      <x:c r="M35" s="10" t="str">
        <x:v>未测</x:v>
      </x:c>
      <x:c r="N35" s="10" t="str"/>
      <x:c r="O35" s="9" t="str">
        <x:v>1. 来源（当前证据）：liveshow-proto/MainBasis/统一需求文档.md；位置：第2004行、第2003行、第1996行、第1997行
2. 规则：BR-2f2aee82b851793d
3. 未动态验证</x:v>
      </x:c>
    </x:row>
    <x:row r="36" ht="85" customHeight="1">
      <x:c r="A36" s="10" t="n">
        <x:v>35</x:v>
      </x:c>
      <x:c r="B36" s="10" t="str">
        <x:v>GUILD-0035</x:v>
      </x:c>
      <x:c r="C36" s="10" t="str">
        <x:v>主播管理</x:v>
      </x:c>
      <x:c r="D36" s="10" t="str">
        <x:v>主播主页（公会长）</x:v>
      </x:c>
      <x:c r="E36" s="10" t="str">
        <x:v>业务流程</x:v>
      </x:c>
      <x:c r="F36" s="10" t="str">
        <x:v>P1</x:v>
      </x:c>
      <x:c r="G36" s="9" t="str">
        <x:v>验证平台开且锁定、公会原关</x:v>
      </x:c>
      <x:c r="H36" s="9" t="str">
        <x:v>直播权限优先级</x:v>
      </x:c>
      <x:c r="I36" s="9" t="str">
        <x:v>1. 当前执行账号具有公会App会话，身份为公会长；具体账号及权限变化按以下条件准备
2. A为G1主播；平台权限开启，管理锁定，公会原设置关闭</x:v>
      </x:c>
      <x:c r="J36" s="9" t="str">
        <x:v>1. 打开A的主播详情</x:v>
      </x:c>
      <x:c r="K36" s="9" t="str">
        <x:v>公会开关只读并跟随平台开启</x:v>
      </x:c>
      <x:c r="L36" s="10" t="str">
        <x:v>FLOW-LIVE-PERMISSION</x:v>
      </x:c>
      <x:c r="M36" s="10" t="str">
        <x:v>未测</x:v>
      </x:c>
      <x:c r="N36" s="10" t="str"/>
      <x:c r="O36" s="9" t="str">
        <x:v>1. 来源（当前证据）：liveshow-proto/MainBasis/统一需求文档.md；位置：第2004行、第2003行、第1996行、第1997行
2. 规则：BR-a9dd602cff5cf598
3. 未动态验证</x:v>
      </x:c>
    </x:row>
    <x:row r="37" ht="85" customHeight="1">
      <x:c r="A37" s="10" t="n">
        <x:v>36</x:v>
      </x:c>
      <x:c r="B37" s="10" t="str">
        <x:v>GUILD-0036</x:v>
      </x:c>
      <x:c r="C37" s="10" t="str">
        <x:v>主播管理</x:v>
      </x:c>
      <x:c r="D37" s="10" t="str">
        <x:v>主播主页（公会长）</x:v>
      </x:c>
      <x:c r="E37" s="10" t="str">
        <x:v>业务流程</x:v>
      </x:c>
      <x:c r="F37" s="10" t="str">
        <x:v>P1</x:v>
      </x:c>
      <x:c r="G37" s="9" t="str">
        <x:v>验证平台关且锁定、公会原开</x:v>
      </x:c>
      <x:c r="H37" s="9" t="str">
        <x:v>直播权限优先级</x:v>
      </x:c>
      <x:c r="I37" s="9" t="str">
        <x:v>1. 当前执行账号具有公会App会话，身份为公会长；具体账号及权限变化按以下条件准备
2. A为G1主播；平台权限关闭，管理锁定，公会原设置开启</x:v>
      </x:c>
      <x:c r="J37" s="9" t="str">
        <x:v>1. 打开A的主播详情</x:v>
      </x:c>
      <x:c r="K37" s="9" t="str">
        <x:v>公会开关只读并跟随平台关闭</x:v>
      </x:c>
      <x:c r="L37" s="10" t="str">
        <x:v>FLOW-LIVE-PERMISSION</x:v>
      </x:c>
      <x:c r="M37" s="10" t="str">
        <x:v>未测</x:v>
      </x:c>
      <x:c r="N37" s="10" t="str"/>
      <x:c r="O37" s="9" t="str">
        <x:v>1. 来源（当前证据）：liveshow-proto/MainBasis/统一需求文档.md；位置：第2004行、第2003行、第1996行、第1997行
2. 规则：BR-c803912fded6fc27
3. 未动态验证</x:v>
      </x:c>
    </x:row>
    <x:row r="38" ht="100" customHeight="1">
      <x:c r="A38" s="10" t="n">
        <x:v>37</x:v>
      </x:c>
      <x:c r="B38" s="10" t="str">
        <x:v>GUILD-0037</x:v>
      </x:c>
      <x:c r="C38" s="10" t="str">
        <x:v>主播管理</x:v>
      </x:c>
      <x:c r="D38" s="10" t="str">
        <x:v>主播主页（公会长）</x:v>
      </x:c>
      <x:c r="E38" s="10" t="str">
        <x:v>业务流程</x:v>
      </x:c>
      <x:c r="F38" s="10" t="str">
        <x:v>P1</x:v>
      </x:c>
      <x:c r="G38" s="9" t="str">
        <x:v>验证平台解锁恢复公会原设置</x:v>
      </x:c>
      <x:c r="H38" s="9" t="str">
        <x:v>公会权限解锁恢复</x:v>
      </x:c>
      <x:c r="I38" s="9" t="str">
        <x:v>1. 当前执行账号具有公会App会话，身份为公会长；具体账号及权限变化按以下条件准备
2. A的公会原权限关闭；平台锁定开启使公会展示开启，现平台已解除锁定</x:v>
      </x:c>
      <x:c r="J38" s="9" t="str">
        <x:v>1. 打开A的主播详情</x:v>
      </x:c>
      <x:c r="K38" s="9" t="str">
        <x:v>公会权限恢复显示关闭</x:v>
      </x:c>
      <x:c r="L38" s="10" t="str">
        <x:v>FLOW-LIVE-PERMISSION</x:v>
      </x:c>
      <x:c r="M38" s="10" t="str">
        <x:v>未测</x:v>
      </x:c>
      <x:c r="N38" s="10" t="str"/>
      <x:c r="O38" s="9" t="str">
        <x:v>1. 来源（当前证据）：liveshow-proto/MainBasis/统一需求文档.md；位置：第2004行、第1996行、第1997行
2. 规则：BR-bce3e86707858b0a
3. 未动态验证</x:v>
      </x:c>
    </x:row>
    <x:row r="39" ht="85" customHeight="1">
      <x:c r="A39" s="10" t="n">
        <x:v>38</x:v>
      </x:c>
      <x:c r="B39" s="10" t="str">
        <x:v>GUILD-0038</x:v>
      </x:c>
      <x:c r="C39" s="10" t="str">
        <x:v>主播管理</x:v>
      </x:c>
      <x:c r="D39" s="10" t="str">
        <x:v>主播主页（公会长）</x:v>
      </x:c>
      <x:c r="E39" s="10" t="str">
        <x:v>业务流程</x:v>
      </x:c>
      <x:c r="F39" s="10" t="str">
        <x:v>P0</x:v>
      </x:c>
      <x:c r="G39" s="9" t="str">
        <x:v>验证主播有未结清收益时移出禁用</x:v>
      </x:c>
      <x:c r="H39" s="9" t="str">
        <x:v>移出公会财务限制</x:v>
      </x:c>
      <x:c r="I39" s="9" t="str">
        <x:v>1. 当前执行账号具有公会App会话，身份为公会长；具体账号及权限变化按以下条件准备
2. A属于G1且存在1笔未结清收益</x:v>
      </x:c>
      <x:c r="J39" s="9" t="str">
        <x:v>1. 打开A的主播详情</x:v>
      </x:c>
      <x:c r="K39" s="9" t="str">
        <x:v>移出公会按钮不可用</x:v>
      </x:c>
      <x:c r="L39" s="10" t="str">
        <x:v>FLOW-GUILD-LEAVE</x:v>
      </x:c>
      <x:c r="M39" s="10" t="str">
        <x:v>未测</x:v>
      </x:c>
      <x:c r="N39" s="10" t="str"/>
      <x:c r="O39" s="9" t="str">
        <x:v>1. 来源（当前证据）：liveshow-proto/MainBasis/统一需求文档.md；位置：第2006行、第1996行、第1997行
2. 规则：BR-020b1253c296b27e
3. 未动态验证</x:v>
      </x:c>
    </x:row>
    <x:row r="40" ht="85" customHeight="1">
      <x:c r="A40" s="10" t="n">
        <x:v>39</x:v>
      </x:c>
      <x:c r="B40" s="10" t="str">
        <x:v>GUILD-0039</x:v>
      </x:c>
      <x:c r="C40" s="10" t="str">
        <x:v>主播管理</x:v>
      </x:c>
      <x:c r="D40" s="10" t="str">
        <x:v>主播主页（公会长）</x:v>
      </x:c>
      <x:c r="E40" s="10" t="str">
        <x:v>业务流程</x:v>
      </x:c>
      <x:c r="F40" s="10" t="str">
        <x:v>P1</x:v>
      </x:c>
      <x:c r="G40" s="9" t="str">
        <x:v>验证移出主播解除公会关系</x:v>
      </x:c>
      <x:c r="H40" s="9" t="str">
        <x:v>公会主动移出</x:v>
      </x:c>
      <x:c r="I40" s="9" t="str">
        <x:v>1. 当前执行账号具有公会App会话，身份为公会长；具体账号及权限变化按以下条件准备
2. A属于G1，没有未结清收益，S1正在直播</x:v>
      </x:c>
      <x:c r="J40" s="9" t="str">
        <x:v>1. 打开A的主播详情
2. 点击“移出公会”
3. 确认移出
4. 打开公会成员列表
5. 查看A状态</x:v>
      </x:c>
      <x:c r="K40" s="9" t="str">
        <x:v>A显示“退会”标记</x:v>
      </x:c>
      <x:c r="L40" s="10" t="str">
        <x:v>FLOW-GUILD-LEAVE</x:v>
      </x:c>
      <x:c r="M40" s="10" t="str">
        <x:v>未测</x:v>
      </x:c>
      <x:c r="N40" s="10" t="str"/>
      <x:c r="O40" s="9" t="str">
        <x:v>1. 来源（当前证据）：liveshow-proto/MainBasis/统一需求文档.md；位置：第2006行、第1974行、第1996行、第1997行
2. 规则：BR-4e08443b9737a5d5
3. 未动态验证</x:v>
      </x:c>
    </x:row>
    <x:row r="41" ht="85" customHeight="1">
      <x:c r="A41" s="10" t="n">
        <x:v>40</x:v>
      </x:c>
      <x:c r="B41" s="10" t="str">
        <x:v>GUILD-0040</x:v>
      </x:c>
      <x:c r="C41" s="10" t="str">
        <x:v>主播管理</x:v>
      </x:c>
      <x:c r="D41" s="10" t="str">
        <x:v>主播主页（公会长）</x:v>
      </x:c>
      <x:c r="E41" s="10" t="str">
        <x:v>功能需求</x:v>
      </x:c>
      <x:c r="F41" s="10" t="str">
        <x:v>P1</x:v>
      </x:c>
      <x:c r="G41" s="9" t="str">
        <x:v>验证主播详情进入主播数据</x:v>
      </x:c>
      <x:c r="H41" s="9" t="str">
        <x:v>主播关联页面</x:v>
      </x:c>
      <x:c r="I41" s="9" t="str">
        <x:v>1. 当前执行账号具有公会App会话，身份为公会长；具体账号及权限变化按以下条件准备
2. 当前查看主播A（ID620100）</x:v>
      </x:c>
      <x:c r="J41" s="9" t="str">
        <x:v>1. 打开A的主播详情
2. 点击“业绩”</x:v>
      </x:c>
      <x:c r="K41" s="9" t="str">
        <x:v>进入A的主播数据页面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来源（当前证据）：liveshow-proto/MainBasis/统一需求文档.md；位置：第2007行、第1996行、第1997行
2. 规则：BR-06dc1eef0b48c89c
3. 未动态验证</x:v>
      </x:c>
    </x:row>
    <x:row r="42" ht="85" customHeight="1">
      <x:c r="A42" s="10" t="n">
        <x:v>41</x:v>
      </x:c>
      <x:c r="B42" s="10" t="str">
        <x:v>GUILD-0041</x:v>
      </x:c>
      <x:c r="C42" s="10" t="str">
        <x:v>主播管理</x:v>
      </x:c>
      <x:c r="D42" s="10" t="str">
        <x:v>主播主页（公会长）</x:v>
      </x:c>
      <x:c r="E42" s="10" t="str">
        <x:v>功能需求</x:v>
      </x:c>
      <x:c r="F42" s="10" t="str">
        <x:v>P1</x:v>
      </x:c>
      <x:c r="G42" s="9" t="str">
        <x:v>验证主播详情进入直播记录</x:v>
      </x:c>
      <x:c r="H42" s="9" t="str">
        <x:v>主播关联页面</x:v>
      </x:c>
      <x:c r="I42" s="9" t="str">
        <x:v>1. 当前执行账号具有公会App会话，身份为公会长；具体账号及权限变化按以下条件准备
2. 当前查看主播A（ID620100）</x:v>
      </x:c>
      <x:c r="J42" s="9" t="str">
        <x:v>1. 打开A的主播详情
2. 点击“直播记录”</x:v>
      </x:c>
      <x:c r="K42" s="9" t="str">
        <x:v>进入A的直播记录页面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来源（当前证据）：liveshow-proto/MainBasis/统一需求文档.md；位置：第2000行、第1996行、第1997行
2. 规则：BR-b790f0dd8df4faa3
3. 未动态验证</x:v>
      </x:c>
    </x:row>
    <x:row r="43" ht="85" customHeight="1">
      <x:c r="A43" s="10" t="n">
        <x:v>42</x:v>
      </x:c>
      <x:c r="B43" s="10" t="str">
        <x:v>GUILD-0042</x:v>
      </x:c>
      <x:c r="C43" s="10" t="str">
        <x:v>主播管理</x:v>
      </x:c>
      <x:c r="D43" s="10" t="str">
        <x:v>主播主页（公会长）</x:v>
      </x:c>
      <x:c r="E43" s="10" t="str">
        <x:v>功能需求</x:v>
      </x:c>
      <x:c r="F43" s="10" t="str">
        <x:v>P1</x:v>
      </x:c>
      <x:c r="G43" s="9" t="str">
        <x:v>验证主播详情进入违规记录</x:v>
      </x:c>
      <x:c r="H43" s="9" t="str">
        <x:v>主播关联页面</x:v>
      </x:c>
      <x:c r="I43" s="9" t="str">
        <x:v>1. 当前执行账号具有公会App会话，身份为公会长；具体账号及权限变化按以下条件准备
2. 当前查看主播A（ID620100）</x:v>
      </x:c>
      <x:c r="J43" s="9" t="str">
        <x:v>1. 打开A的主播详情
2. 点击“违规记录”</x:v>
      </x:c>
      <x:c r="K43" s="9" t="str">
        <x:v>进入A的违规记录页面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来源（当前证据）：liveshow-proto/MainBasis/统一需求文档.md；位置：第2000行、第1996行、第1997行
2. 规则：BR-f2aa9fe6c96817fd
3. 未动态验证</x:v>
      </x:c>
    </x:row>
    <x:row r="44" ht="85" customHeight="1">
      <x:c r="A44" s="10" t="n">
        <x:v>43</x:v>
      </x:c>
      <x:c r="B44" s="10" t="str">
        <x:v>GUILD-0043</x:v>
      </x:c>
      <x:c r="C44" s="10" t="str">
        <x:v>主播管理</x:v>
      </x:c>
      <x:c r="D44" s="10" t="str">
        <x:v>主播主页（公会长）</x:v>
      </x:c>
      <x:c r="E44" s="10" t="str">
        <x:v>功能需求</x:v>
      </x:c>
      <x:c r="F44" s="10" t="str">
        <x:v>P1</x:v>
      </x:c>
      <x:c r="G44" s="9" t="str">
        <x:v>验证主播详情进入主播分成记录</x:v>
      </x:c>
      <x:c r="H44" s="9" t="str">
        <x:v>主播关联页面</x:v>
      </x:c>
      <x:c r="I44" s="9" t="str">
        <x:v>1. 当前执行账号具有公会App会话，身份为公会长；具体账号及权限变化按以下条件准备
2. 当前查看主播A（ID620100）</x:v>
      </x:c>
      <x:c r="J44" s="9" t="str">
        <x:v>1. 打开A的主播详情
2. 点击“主播分成”</x:v>
      </x:c>
      <x:c r="K44" s="9" t="str">
        <x:v>进入A的主播分成记录页面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来源（当前证据）：liveshow-proto/MainBasis/统一需求文档.md；位置：第2000行、第1996行、第1997行
2. 规则：BR-60a65bbeb795f0e6
3. 未动态验证</x:v>
      </x:c>
    </x:row>
    <x:row r="45" ht="85" customHeight="1">
      <x:c r="A45" s="10" t="n">
        <x:v>44</x:v>
      </x:c>
      <x:c r="B45" s="10" t="str">
        <x:v>GUILD-0044</x:v>
      </x:c>
      <x:c r="C45" s="10" t="str">
        <x:v>主播管理</x:v>
      </x:c>
      <x:c r="D45" s="10" t="str">
        <x:v>主播列表（公会长）</x:v>
      </x:c>
      <x:c r="E45" s="10" t="str">
        <x:v>功能需求</x:v>
      </x:c>
      <x:c r="F45" s="10" t="str">
        <x:v>P1</x:v>
      </x:c>
      <x:c r="G45" s="9" t="str">
        <x:v>验证公会保留退会主播</x:v>
      </x:c>
      <x:c r="H45" s="9" t="str">
        <x:v>历史公会成员</x:v>
      </x:c>
      <x:c r="I45" s="9" t="str">
        <x:v>1. 当前执行账号具有公会App会话，身份为公会长；具体账号及权限变化按以下条件准备
2. A已从G1退出，B仍在G1，C从未加入G1</x:v>
      </x:c>
      <x:c r="J45" s="9" t="str">
        <x:v>1. 打开公会成员列表</x:v>
      </x:c>
      <x:c r="K45" s="9" t="str">
        <x:v>展示带“退会”标记的A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来源（当前证据）：liveshow-proto/MainBasis/统一需求文档.md；位置：第1975行、第1970行、第1971行
2. 规则：BR-7180a3167a334699
3. 未动态验证</x:v>
      </x:c>
    </x:row>
    <x:row r="46" ht="85" customHeight="1">
      <x:c r="A46" s="10" t="n">
        <x:v>45</x:v>
      </x:c>
      <x:c r="B46" s="10" t="str">
        <x:v>GUILD-0045</x:v>
      </x:c>
      <x:c r="C46" s="10" t="str">
        <x:v>主播管理</x:v>
      </x:c>
      <x:c r="D46" s="10" t="str">
        <x:v>主播列表（公会长）</x:v>
      </x:c>
      <x:c r="E46" s="10" t="str">
        <x:v>功能需求</x:v>
      </x:c>
      <x:c r="F46" s="10" t="str">
        <x:v>P1</x:v>
      </x:c>
      <x:c r="G46" s="9" t="str">
        <x:v>验证成员状态与搜索组合</x:v>
      </x:c>
      <x:c r="H46" s="9" t="str">
        <x:v>成员筛选交集</x:v>
      </x:c>
      <x:c r="I46" s="9" t="str">
        <x:v>1. 当前执行账号具有公会App会话，身份为公会长；具体账号及权限变化按以下条件准备
2. A名称测试A且在会，B名称测试B且已退会</x:v>
      </x:c>
      <x:c r="J46" s="9" t="str">
        <x:v>1. 打开公会成员列表
2. 切换“已退会”
3. 输入搜索词“测试”</x:v>
      </x:c>
      <x:c r="K46" s="9" t="str">
        <x:v>仅显示测试B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来源（当前证据）：liveshow-proto/MainBasis/统一需求文档.md；位置：第1976行、第1970行、第1971行
2. 规则：BR-9eaa6f0e1c815509
3. 未动态验证</x:v>
      </x:c>
    </x:row>
    <x:row r="47" ht="115" customHeight="1">
      <x:c r="A47" s="10" t="n">
        <x:v>46</x:v>
      </x:c>
      <x:c r="B47" s="10" t="str">
        <x:v>GUILD-0046</x:v>
      </x:c>
      <x:c r="C47" s="10" t="str">
        <x:v>运营管理</x:v>
      </x:c>
      <x:c r="D47" s="10" t="str">
        <x:v>新建运营消息（公会长）</x:v>
      </x:c>
      <x:c r="E47" s="10" t="str">
        <x:v>业务流程</x:v>
      </x:c>
      <x:c r="F47" s="10" t="str">
        <x:v>P1</x:v>
      </x:c>
      <x:c r="G47" s="9" t="str">
        <x:v>验证公会消息发送给全体主播</x:v>
      </x:c>
      <x:c r="H47" s="9" t="str">
        <x:v>主播B接收记录</x:v>
      </x:c>
      <x:c r="I47" s="9" t="str">
        <x:v>1. 当前执行账号具有公会App会话，身份为公会长；具体账号及权限变化按以下条件准备
2. G1有在会主播A、B，已退会C；内容“今日活动”
3. 发送范围为全部在会主播</x:v>
      </x:c>
      <x:c r="J47" s="9" t="str">
        <x:v>1. 打开发送公会消息
2. 选择“全体主播”
3. 输入消息“今日活动”
4. 点击“发送”
5. 确认接收范围
6. 打开刚发送的消息记录
7. 查看接收对象</x:v>
      </x:c>
      <x:c r="K47" s="9" t="str">
        <x:v>生成面向主播A及主播B的消息记录</x:v>
      </x:c>
      <x:c r="L47" s="10" t="str">
        <x:v>FLOW-GUILD-MESSAGE</x:v>
      </x:c>
      <x:c r="M47" s="10" t="str">
        <x:v>未测</x:v>
      </x:c>
      <x:c r="N47" s="10" t="str"/>
      <x:c r="O47" s="9" t="str">
        <x:v>1. 来源（当前证据）：liveshow-proto/MainBasis/统一需求文档.md；位置：第2023行、第2034行、第2017行、第2018行
2. 规则：BR-b5103f642ec81853
3. 未动态验证</x:v>
      </x:c>
    </x:row>
    <x:row r="48" ht="115" customHeight="1">
      <x:c r="A48" s="10" t="n">
        <x:v>47</x:v>
      </x:c>
      <x:c r="B48" s="10" t="str">
        <x:v>GUILD-0047</x:v>
      </x:c>
      <x:c r="C48" s="10" t="str">
        <x:v>运营管理</x:v>
      </x:c>
      <x:c r="D48" s="10" t="str">
        <x:v>新建运营消息（公会长）</x:v>
      </x:c>
      <x:c r="E48" s="10" t="str">
        <x:v>业务流程</x:v>
      </x:c>
      <x:c r="F48" s="10" t="str">
        <x:v>P1</x:v>
      </x:c>
      <x:c r="G48" s="9" t="str">
        <x:v>验证公会消息发送给指定主播</x:v>
      </x:c>
      <x:c r="H48" s="9" t="str">
        <x:v>公会消息发送范围</x:v>
      </x:c>
      <x:c r="I48" s="9" t="str">
        <x:v>1. 当前执行账号具有公会App会话，身份为公会长；具体账号及权限变化按以下条件准备
2. G1有在会主播A、B，已退会C；内容“今日活动”
3. 已选中A</x:v>
      </x:c>
      <x:c r="J48" s="9" t="str">
        <x:v>1. 打开发送公会消息
2. 选择“指定主播”
3. 输入消息“今日活动”
4. 点击“发送”
5. 确认接收范围
6. 打开刚发送的消息记录
7. 查看接收对象</x:v>
      </x:c>
      <x:c r="K48" s="9" t="str">
        <x:v>生成面向A的消息记录</x:v>
      </x:c>
      <x:c r="L48" s="10" t="str">
        <x:v>FLOW-GUILD-MESSAGE</x:v>
      </x:c>
      <x:c r="M48" s="10" t="str">
        <x:v>未测</x:v>
      </x:c>
      <x:c r="N48" s="10" t="str"/>
      <x:c r="O48" s="9" t="str">
        <x:v>1. 来源（当前证据）：liveshow-proto/MainBasis/统一需求文档.md；位置：第2023行、第2034行、第2017行、第2018行
2. 规则：BR-76eb0e54feb8992f
3. 未动态验证</x:v>
      </x:c>
    </x:row>
    <x:row r="49" ht="85" customHeight="1">
      <x:c r="A49" s="10" t="n">
        <x:v>48</x:v>
      </x:c>
      <x:c r="B49" s="10" t="str">
        <x:v>GUILD-0048</x:v>
      </x:c>
      <x:c r="C49" s="10" t="str">
        <x:v>运营管理</x:v>
      </x:c>
      <x:c r="D49" s="10" t="str">
        <x:v>新建运营消息（公会长）</x:v>
      </x:c>
      <x:c r="E49" s="10" t="str">
        <x:v>功能需求</x:v>
      </x:c>
      <x:c r="F49" s="10" t="str">
        <x:v>P1</x:v>
      </x:c>
      <x:c r="G49" s="9" t="str">
        <x:v>验证指定主播模式未选人</x:v>
      </x:c>
      <x:c r="H49" s="9" t="str">
        <x:v>发送对象必选</x:v>
      </x:c>
      <x:c r="I49" s="9" t="str">
        <x:v>1. 当前执行账号具有公会App会话，身份为公会长；具体账号及权限变化按以下条件准备
2. 消息内容已填写“今日活动”</x:v>
      </x:c>
      <x:c r="J49" s="9" t="str">
        <x:v>1. 打开发送公会消息
2. 选择“指定主播”
3. 点击“发送”</x:v>
      </x:c>
      <x:c r="K49" s="9" t="str">
        <x:v>不生成未指定接收人的消息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来源（当前证据）：liveshow-proto/MainBasis/统一需求文档.md；位置：第2019行、第2017行、第2018行
2. 规则：BR-0bf8ecf7256bf5bf
3. 未动态验证</x:v>
      </x:c>
    </x:row>
    <x:row r="50" ht="85" customHeight="1">
      <x:c r="A50" s="10" t="n">
        <x:v>49</x:v>
      </x:c>
      <x:c r="B50" s="10" t="str">
        <x:v>GUILD-0049</x:v>
      </x:c>
      <x:c r="C50" s="10" t="str">
        <x:v>运营管理</x:v>
      </x:c>
      <x:c r="D50" s="10" t="str">
        <x:v>新建运营消息（公会长）</x:v>
      </x:c>
      <x:c r="E50" s="10" t="str">
        <x:v>功能需求</x:v>
      </x:c>
      <x:c r="F50" s="10" t="str">
        <x:v>P1</x:v>
      </x:c>
      <x:c r="G50" s="9" t="str">
        <x:v>验证公会消息正文0字</x:v>
      </x:c>
      <x:c r="H50" s="9" t="str">
        <x:v>公会消息长度</x:v>
      </x:c>
      <x:c r="I50" s="9" t="str">
        <x:v>1. 当前执行账号具有公会App会话，身份为公会长；具体账号及权限变化按以下条件准备
2. 发送对象为当前公会全体主播，无图片</x:v>
      </x:c>
      <x:c r="J50" s="9" t="str">
        <x:v>1. 打开发送公会消息
2. 输入0个“测”作为消息正文
3. 点击“发送”</x:v>
      </x:c>
      <x:c r="K50" s="9" t="str">
        <x:v>不发送空正文消息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来源（当前证据）：liveshow-proto/MainBasis/统一需求文档.md；位置：第2020行、第2017行、第2018行
2. 规则：BR-3dce5dadf916c8c9
3. 未动态验证</x:v>
      </x:c>
    </x:row>
    <x:row r="51" ht="85" customHeight="1">
      <x:c r="A51" s="10" t="n">
        <x:v>50</x:v>
      </x:c>
      <x:c r="B51" s="10" t="str">
        <x:v>GUILD-0050</x:v>
      </x:c>
      <x:c r="C51" s="10" t="str">
        <x:v>运营管理</x:v>
      </x:c>
      <x:c r="D51" s="10" t="str">
        <x:v>新建运营消息（公会长）</x:v>
      </x:c>
      <x:c r="E51" s="10" t="str">
        <x:v>功能需求</x:v>
      </x:c>
      <x:c r="F51" s="10" t="str">
        <x:v>P1</x:v>
      </x:c>
      <x:c r="G51" s="9" t="str">
        <x:v>验证公会消息正文1字</x:v>
      </x:c>
      <x:c r="H51" s="9" t="str">
        <x:v>公会消息长度</x:v>
      </x:c>
      <x:c r="I51" s="9" t="str">
        <x:v>1. 当前执行账号具有公会App会话，身份为公会长；具体账号及权限变化按以下条件准备
2. 发送对象为当前公会全体主播，无图片</x:v>
      </x:c>
      <x:c r="J51" s="9" t="str">
        <x:v>1. 打开发送公会消息
2. 输入1个“测”作为消息正文
3. 点击“发送”
4. 确认接收范围</x:v>
      </x:c>
      <x:c r="K51" s="9" t="str">
        <x:v>生成正文长度1字的消息记录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来源（当前证据）：liveshow-proto/MainBasis/统一需求文档.md；位置：第2020行、第2017行、第2018行
2. 规则：BR-2ef7e4252695842a
3. 未动态验证</x:v>
      </x:c>
    </x:row>
    <x:row r="52" ht="85" customHeight="1">
      <x:c r="A52" s="10" t="n">
        <x:v>51</x:v>
      </x:c>
      <x:c r="B52" s="10" t="str">
        <x:v>GUILD-0051</x:v>
      </x:c>
      <x:c r="C52" s="10" t="str">
        <x:v>运营管理</x:v>
      </x:c>
      <x:c r="D52" s="10" t="str">
        <x:v>新建运营消息（公会长）</x:v>
      </x:c>
      <x:c r="E52" s="10" t="str">
        <x:v>功能需求</x:v>
      </x:c>
      <x:c r="F52" s="10" t="str">
        <x:v>P1</x:v>
      </x:c>
      <x:c r="G52" s="9" t="str">
        <x:v>验证公会消息正文499字</x:v>
      </x:c>
      <x:c r="H52" s="9" t="str">
        <x:v>公会消息长度</x:v>
      </x:c>
      <x:c r="I52" s="9" t="str">
        <x:v>1. 当前执行账号具有公会App会话，身份为公会长；具体账号及权限变化按以下条件准备
2. 发送对象为当前公会全体主播，无图片</x:v>
      </x:c>
      <x:c r="J52" s="9" t="str">
        <x:v>1. 打开发送公会消息
2. 输入499个“测”作为消息正文
3. 点击“发送”
4. 确认接收范围</x:v>
      </x:c>
      <x:c r="K52" s="9" t="str">
        <x:v>生成正文长度499字的消息记录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来源（当前证据）：liveshow-proto/MainBasis/统一需求文档.md；位置：第2020行、第2017行、第2018行
2. 规则：BR-f513145475dde090
3. 未动态验证</x:v>
      </x:c>
    </x:row>
    <x:row r="53" ht="85" customHeight="1">
      <x:c r="A53" s="10" t="n">
        <x:v>52</x:v>
      </x:c>
      <x:c r="B53" s="10" t="str">
        <x:v>GUILD-0052</x:v>
      </x:c>
      <x:c r="C53" s="10" t="str">
        <x:v>运营管理</x:v>
      </x:c>
      <x:c r="D53" s="10" t="str">
        <x:v>新建运营消息（公会长）</x:v>
      </x:c>
      <x:c r="E53" s="10" t="str">
        <x:v>功能需求</x:v>
      </x:c>
      <x:c r="F53" s="10" t="str">
        <x:v>P1</x:v>
      </x:c>
      <x:c r="G53" s="9" t="str">
        <x:v>验证公会消息正文500字</x:v>
      </x:c>
      <x:c r="H53" s="9" t="str">
        <x:v>公会消息长度</x:v>
      </x:c>
      <x:c r="I53" s="9" t="str">
        <x:v>1. 当前执行账号具有公会App会话，身份为公会长；具体账号及权限变化按以下条件准备
2. 发送对象为当前公会全体主播，无图片</x:v>
      </x:c>
      <x:c r="J53" s="9" t="str">
        <x:v>1. 打开发送公会消息
2. 输入500个“测”作为消息正文
3. 点击“发送”
4. 确认接收范围</x:v>
      </x:c>
      <x:c r="K53" s="9" t="str">
        <x:v>生成正文长度500字的消息记录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来源（当前证据）：liveshow-proto/MainBasis/统一需求文档.md；位置：第2020行、第2017行、第2018行
2. 规则：BR-dfe60bc3c18dbdc1
3. 未动态验证</x:v>
      </x:c>
    </x:row>
    <x:row r="54" ht="85" customHeight="1">
      <x:c r="A54" s="10" t="n">
        <x:v>53</x:v>
      </x:c>
      <x:c r="B54" s="10" t="str">
        <x:v>GUILD-0053</x:v>
      </x:c>
      <x:c r="C54" s="10" t="str">
        <x:v>运营管理</x:v>
      </x:c>
      <x:c r="D54" s="10" t="str">
        <x:v>新建运营消息（公会长）</x:v>
      </x:c>
      <x:c r="E54" s="10" t="str">
        <x:v>功能需求</x:v>
      </x:c>
      <x:c r="F54" s="10" t="str">
        <x:v>P1</x:v>
      </x:c>
      <x:c r="G54" s="9" t="str">
        <x:v>验证公会消息正文501字</x:v>
      </x:c>
      <x:c r="H54" s="9" t="str">
        <x:v>公会消息长度</x:v>
      </x:c>
      <x:c r="I54" s="9" t="str">
        <x:v>1. 当前执行账号具有公会App会话，身份为公会长；具体账号及权限变化按以下条件准备
2. 发送对象为当前公会全体主播，无图片</x:v>
      </x:c>
      <x:c r="J54" s="9" t="str">
        <x:v>1. 打开发送公会消息
2. 输入501个“测”作为消息正文
3. 点击“发送”</x:v>
      </x:c>
      <x:c r="K54" s="9" t="str">
        <x:v>不发送501字消息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来源（当前证据）：liveshow-proto/MainBasis/统一需求文档.md；位置：第2020行、第2017行、第2018行
2. 规则：BR-8d46b11b288fb330
3. 未动态验证</x:v>
      </x:c>
    </x:row>
    <x:row r="55" ht="100" customHeight="1">
      <x:c r="A55" s="10" t="n">
        <x:v>54</x:v>
      </x:c>
      <x:c r="B55" s="10" t="str">
        <x:v>GUILD-0054</x:v>
      </x:c>
      <x:c r="C55" s="10" t="str">
        <x:v>运营管理</x:v>
      </x:c>
      <x:c r="D55" s="10" t="str">
        <x:v>新建运营消息（公会长）</x:v>
      </x:c>
      <x:c r="E55" s="10" t="str">
        <x:v>功能需求</x:v>
      </x:c>
      <x:c r="F55" s="10" t="str">
        <x:v>P1</x:v>
      </x:c>
      <x:c r="G55" s="9" t="str">
        <x:v>验证公会消息附加JPG图片</x:v>
      </x:c>
      <x:c r="H55" s="9" t="str">
        <x:v>消息图片格式</x:v>
      </x:c>
      <x:c r="I55" s="9" t="str">
        <x:v>1. 当前执行账号具有公会App会话，身份为公会长；具体账号及权限变化按以下条件准备
2. 正文“今日活动”，发送对象全体主播，一张可读取的JPG图片A</x:v>
      </x:c>
      <x:c r="J55" s="9" t="str">
        <x:v>1. 打开发送公会消息
2. 上传JPG图片A
3. 点击“发送”
4. 确认接收范围</x:v>
      </x:c>
      <x:c r="K55" s="9" t="str">
        <x:v>消息记录包含上传图片A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来源（当前证据）：liveshow-proto/MainBasis/统一需求文档.md；位置：第2021行、第2017行、第2018行
2. 规则：BR-300a2fe58236af7f
3. 未动态验证</x:v>
      </x:c>
    </x:row>
    <x:row r="56" ht="100" customHeight="1">
      <x:c r="A56" s="10" t="n">
        <x:v>55</x:v>
      </x:c>
      <x:c r="B56" s="10" t="str">
        <x:v>GUILD-0055</x:v>
      </x:c>
      <x:c r="C56" s="10" t="str">
        <x:v>运营管理</x:v>
      </x:c>
      <x:c r="D56" s="10" t="str">
        <x:v>新建运营消息（公会长）</x:v>
      </x:c>
      <x:c r="E56" s="10" t="str">
        <x:v>功能需求</x:v>
      </x:c>
      <x:c r="F56" s="10" t="str">
        <x:v>P1</x:v>
      </x:c>
      <x:c r="G56" s="9" t="str">
        <x:v>验证公会消息附加PNG图片</x:v>
      </x:c>
      <x:c r="H56" s="9" t="str">
        <x:v>消息图片格式</x:v>
      </x:c>
      <x:c r="I56" s="9" t="str">
        <x:v>1. 当前执行账号具有公会App会话，身份为公会长；具体账号及权限变化按以下条件准备
2. 正文“今日活动”，发送对象全体主播，一张可读取的PNG图片A</x:v>
      </x:c>
      <x:c r="J56" s="9" t="str">
        <x:v>1. 打开发送公会消息
2. 上传PNG图片A
3. 点击“发送”
4. 确认接收范围</x:v>
      </x:c>
      <x:c r="K56" s="9" t="str">
        <x:v>消息记录包含上传图片A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来源（当前证据）：liveshow-proto/MainBasis/统一需求文档.md；位置：第2021行、第2017行、第2018行
2. 规则：BR-909f14de3a81768c
3. 未动态验证</x:v>
      </x:c>
    </x:row>
    <x:row r="57" ht="100" customHeight="1">
      <x:c r="A57" s="10" t="n">
        <x:v>56</x:v>
      </x:c>
      <x:c r="B57" s="10" t="str">
        <x:v>GUILD-0056</x:v>
      </x:c>
      <x:c r="C57" s="10" t="str">
        <x:v>运营管理</x:v>
      </x:c>
      <x:c r="D57" s="10" t="str">
        <x:v>新建运营消息（公会长）</x:v>
      </x:c>
      <x:c r="E57" s="10" t="str">
        <x:v>功能需求</x:v>
      </x:c>
      <x:c r="F57" s="10" t="str">
        <x:v>P1</x:v>
      </x:c>
      <x:c r="G57" s="9" t="str">
        <x:v>验证公会消息附加WebP图片</x:v>
      </x:c>
      <x:c r="H57" s="9" t="str">
        <x:v>消息图片格式</x:v>
      </x:c>
      <x:c r="I57" s="9" t="str">
        <x:v>1. 当前执行账号具有公会App会话，身份为公会长；具体账号及权限变化按以下条件准备
2. 正文“今日活动”，发送对象全体主播，一张可读取的WebP图片A</x:v>
      </x:c>
      <x:c r="J57" s="9" t="str">
        <x:v>1. 打开发送公会消息
2. 上传WebP图片A
3. 点击“发送”
4. 确认接收范围</x:v>
      </x:c>
      <x:c r="K57" s="9" t="str">
        <x:v>消息记录包含上传图片A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来源（当前证据）：liveshow-proto/MainBasis/统一需求文档.md；位置：第2021行、第2017行、第2018行
2. 规则：BR-77980f788cb4f168
3. 未动态验证</x:v>
      </x:c>
    </x:row>
    <x:row r="58" ht="85" customHeight="1">
      <x:c r="A58" s="10" t="n">
        <x:v>57</x:v>
      </x:c>
      <x:c r="B58" s="10" t="str">
        <x:v>GUILD-0057</x:v>
      </x:c>
      <x:c r="C58" s="10" t="str">
        <x:v>运营管理</x:v>
      </x:c>
      <x:c r="D58" s="10" t="str">
        <x:v>新建运营消息（公会长）</x:v>
      </x:c>
      <x:c r="E58" s="10" t="str">
        <x:v>功能需求</x:v>
      </x:c>
      <x:c r="F58" s="10" t="str">
        <x:v>P1</x:v>
      </x:c>
      <x:c r="G58" s="9" t="str">
        <x:v>验证已发送公会消息不可修改</x:v>
      </x:c>
      <x:c r="H58" s="9" t="str">
        <x:v>消息发送不可变更</x:v>
      </x:c>
      <x:c r="I58" s="9" t="str">
        <x:v>1. 当前执行账号具有公会App会话，身份为公会长；具体账号及权限变化按以下条件准备
2. M1已发送给主播A、B</x:v>
      </x:c>
      <x:c r="J58" s="9" t="str">
        <x:v>1. 打开M1消息详情</x:v>
      </x:c>
      <x:c r="K58" s="9" t="str">
        <x:v>不提供编辑或撤回操作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来源（当前证据）：liveshow-proto/MainBasis/统一需求文档.md；位置：第2022行、第2017行、第2018行
2. 规则：BR-51f7a0af3d76e2e1
3. 未动态验证</x:v>
      </x:c>
    </x:row>
    <x:row r="59" ht="85" customHeight="1">
      <x:c r="A59" s="10" t="n">
        <x:v>58</x:v>
      </x:c>
      <x:c r="B59" s="10" t="str">
        <x:v>GUILD-0058</x:v>
      </x:c>
      <x:c r="C59" s="10" t="str">
        <x:v>运营管理</x:v>
      </x:c>
      <x:c r="D59" s="10" t="str">
        <x:v>运营消息详情（公会长）</x:v>
      </x:c>
      <x:c r="E59" s="10" t="str">
        <x:v>业务流程</x:v>
      </x:c>
      <x:c r="F59" s="10" t="str">
        <x:v>P1</x:v>
      </x:c>
      <x:c r="G59" s="9" t="str">
        <x:v>验证接收人退会不改消息快照</x:v>
      </x:c>
      <x:c r="H59" s="9" t="str">
        <x:v>接收范围历史快照</x:v>
      </x:c>
      <x:c r="I59" s="9" t="str">
        <x:v>1. 当前执行账号具有公会App会话，身份为公会长；具体账号及权限变化按以下条件准备
2. M1发送给A和B，发送时实际人数2；A后来退会</x:v>
      </x:c>
      <x:c r="J59" s="9" t="str">
        <x:v>1. 打开M1消息详情</x:v>
      </x:c>
      <x:c r="K59" s="9" t="str">
        <x:v>实际接收人数仍显示2</x:v>
      </x:c>
      <x:c r="L59" s="10" t="str">
        <x:v>FLOW-GUILD-MESSAGE</x:v>
      </x:c>
      <x:c r="M59" s="10" t="str">
        <x:v>未测</x:v>
      </x:c>
      <x:c r="N59" s="10" t="str"/>
      <x:c r="O59" s="9" t="str">
        <x:v>1. 来源（当前证据）：liveshow-proto/MainBasis/统一需求文档.md；位置：第2038行、第2032行、第2033行
2. 规则：BR-8390f75720bef12a
3. 未动态验证</x:v>
      </x:c>
    </x:row>
    <x:row r="60" ht="115" customHeight="1">
      <x:c r="A60" s="10" t="n">
        <x:v>59</x:v>
      </x:c>
      <x:c r="B60" s="10" t="str">
        <x:v>GUILD-0059</x:v>
      </x:c>
      <x:c r="C60" s="10" t="str">
        <x:v>运营管理</x:v>
      </x:c>
      <x:c r="D60" s="10" t="str">
        <x:v>选择主播（公会长）</x:v>
      </x:c>
      <x:c r="E60" s="10" t="str">
        <x:v>功能需求</x:v>
      </x:c>
      <x:c r="F60" s="10" t="str">
        <x:v>P1</x:v>
      </x:c>
      <x:c r="G60" s="9" t="str">
        <x:v>验证选择主播按测试A搜索</x:v>
      </x:c>
      <x:c r="H60" s="9" t="str">
        <x:v>选择器模糊搜索</x:v>
      </x:c>
      <x:c r="I60" s="9" t="str">
        <x:v>1. 当前执行账号具有公会App会话，身份为公会长；具体账号及权限变化按以下条件准备
2. 可选主播测试A的ID为620100，另有测试B
3. 从新建运营消息的指定主播入口进入本选择器</x:v>
      </x:c>
      <x:c r="J60" s="9" t="str">
        <x:v>1. 打开选择主播
2. 输入搜索词“测试A”</x:v>
      </x:c>
      <x:c r="K60" s="9" t="str">
        <x:v>仅显示主播测试A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来源（当前证据）：liveshow-proto/MainBasis/统一需求文档.md；位置：第2027行、第2025行、第2026行
2. 规则：BR-1f4697eae79d37cd
3. 未动态验证</x:v>
      </x:c>
    </x:row>
    <x:row r="61" ht="115" customHeight="1">
      <x:c r="A61" s="10" t="n">
        <x:v>60</x:v>
      </x:c>
      <x:c r="B61" s="10" t="str">
        <x:v>GUILD-0060</x:v>
      </x:c>
      <x:c r="C61" s="10" t="str">
        <x:v>运营管理</x:v>
      </x:c>
      <x:c r="D61" s="10" t="str">
        <x:v>选择主播（公会长）</x:v>
      </x:c>
      <x:c r="E61" s="10" t="str">
        <x:v>功能需求</x:v>
      </x:c>
      <x:c r="F61" s="10" t="str">
        <x:v>P1</x:v>
      </x:c>
      <x:c r="G61" s="9" t="str">
        <x:v>验证选择主播按620100搜索</x:v>
      </x:c>
      <x:c r="H61" s="9" t="str">
        <x:v>选择器模糊搜索</x:v>
      </x:c>
      <x:c r="I61" s="9" t="str">
        <x:v>1. 当前执行账号具有公会App会话，身份为公会长；具体账号及权限变化按以下条件准备
2. 可选主播测试A的ID为620100，另有测试B
3. 从新建运营消息的指定主播入口进入本选择器</x:v>
      </x:c>
      <x:c r="J61" s="9" t="str">
        <x:v>1. 打开选择主播
2. 输入搜索词“620100”</x:v>
      </x:c>
      <x:c r="K61" s="9" t="str">
        <x:v>仅显示主播测试A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来源（当前证据）：liveshow-proto/MainBasis/统一需求文档.md；位置：第2027行、第2025行、第2026行
2. 规则：BR-981fda82b37e204a
3. 未动态验证</x:v>
      </x:c>
    </x:row>
    <x:row r="62" ht="115" customHeight="1">
      <x:c r="A62" s="10" t="n">
        <x:v>61</x:v>
      </x:c>
      <x:c r="B62" s="10" t="str">
        <x:v>GUILD-0061</x:v>
      </x:c>
      <x:c r="C62" s="10" t="str">
        <x:v>运营管理</x:v>
      </x:c>
      <x:c r="D62" s="10" t="str">
        <x:v>选择主播（公会长）</x:v>
      </x:c>
      <x:c r="E62" s="10" t="str">
        <x:v>功能需求</x:v>
      </x:c>
      <x:c r="F62" s="10" t="str">
        <x:v>P1</x:v>
      </x:c>
      <x:c r="G62" s="9" t="str">
        <x:v>验证选择主播按不存在XYZ搜索</x:v>
      </x:c>
      <x:c r="H62" s="9" t="str">
        <x:v>选择器模糊搜索</x:v>
      </x:c>
      <x:c r="I62" s="9" t="str">
        <x:v>1. 当前执行账号具有公会App会话，身份为公会长；具体账号及权限变化按以下条件准备
2. 可选主播测试A的ID为620100，另有测试B
3. 从新建运营消息的指定主播入口进入本选择器</x:v>
      </x:c>
      <x:c r="J62" s="9" t="str">
        <x:v>1. 打开选择主播
2. 输入搜索词“不存在XYZ”</x:v>
      </x:c>
      <x:c r="K62" s="9" t="str">
        <x:v>列表显示无匹配结果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来源（当前证据）：liveshow-proto/MainBasis/统一需求文档.md；位置：第2027行、第2025行、第2026行
2. 规则：BR-158c2bd65e96f69a
3. 未动态验证</x:v>
      </x:c>
    </x:row>
    <x:row r="63" ht="85" customHeight="1">
      <x:c r="A63" s="10" t="n">
        <x:v>62</x:v>
      </x:c>
      <x:c r="B63" s="10" t="str">
        <x:v>GUILD-0062</x:v>
      </x:c>
      <x:c r="C63" s="10" t="str">
        <x:v>运营管理</x:v>
      </x:c>
      <x:c r="D63" s="10" t="str">
        <x:v>选择运营账号（公会长）</x:v>
      </x:c>
      <x:c r="E63" s="10" t="str">
        <x:v>功能需求</x:v>
      </x:c>
      <x:c r="F63" s="10" t="str">
        <x:v>P1</x:v>
      </x:c>
      <x:c r="G63" s="9" t="str">
        <x:v>验证选择运营账号按测试A搜索</x:v>
      </x:c>
      <x:c r="H63" s="9" t="str">
        <x:v>选择器模糊搜索</x:v>
      </x:c>
      <x:c r="I63" s="9" t="str">
        <x:v>1. 当前执行账号具有公会App会话，身份为公会长；具体账号及权限变化按以下条件准备
2. 可选运营账号测试A的ID为620100，另有测试B</x:v>
      </x:c>
      <x:c r="J63" s="9" t="str">
        <x:v>1. 打开选择运营账号
2. 输入搜索词“测试A”</x:v>
      </x:c>
      <x:c r="K63" s="9" t="str">
        <x:v>仅显示运营账号测试A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来源（当前证据）：liveshow-proto/MainBasis/统一需求文档.md；位置：第2085行、第2083行、第2084行
2. 规则：BR-51e3eb06bef044c3
3. 未动态验证</x:v>
      </x:c>
    </x:row>
    <x:row r="64" ht="85" customHeight="1">
      <x:c r="A64" s="10" t="n">
        <x:v>63</x:v>
      </x:c>
      <x:c r="B64" s="10" t="str">
        <x:v>GUILD-0063</x:v>
      </x:c>
      <x:c r="C64" s="10" t="str">
        <x:v>运营管理</x:v>
      </x:c>
      <x:c r="D64" s="10" t="str">
        <x:v>选择运营账号（公会长）</x:v>
      </x:c>
      <x:c r="E64" s="10" t="str">
        <x:v>功能需求</x:v>
      </x:c>
      <x:c r="F64" s="10" t="str">
        <x:v>P1</x:v>
      </x:c>
      <x:c r="G64" s="9" t="str">
        <x:v>验证选择运营账号按620100搜索</x:v>
      </x:c>
      <x:c r="H64" s="9" t="str">
        <x:v>选择器模糊搜索</x:v>
      </x:c>
      <x:c r="I64" s="9" t="str">
        <x:v>1. 当前执行账号具有公会App会话，身份为公会长；具体账号及权限变化按以下条件准备
2. 可选运营账号测试A的ID为620100，另有测试B</x:v>
      </x:c>
      <x:c r="J64" s="9" t="str">
        <x:v>1. 打开选择运营账号
2. 输入搜索词“620100”</x:v>
      </x:c>
      <x:c r="K64" s="9" t="str">
        <x:v>仅显示运营账号测试A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来源（当前证据）：liveshow-proto/MainBasis/统一需求文档.md；位置：第2085行、第2083行、第2084行
2. 规则：BR-5cb40dde75026e75
3. 未动态验证</x:v>
      </x:c>
    </x:row>
    <x:row r="65" ht="85" customHeight="1">
      <x:c r="A65" s="10" t="n">
        <x:v>64</x:v>
      </x:c>
      <x:c r="B65" s="10" t="str">
        <x:v>GUILD-0064</x:v>
      </x:c>
      <x:c r="C65" s="10" t="str">
        <x:v>运营管理</x:v>
      </x:c>
      <x:c r="D65" s="10" t="str">
        <x:v>选择运营账号（公会长）</x:v>
      </x:c>
      <x:c r="E65" s="10" t="str">
        <x:v>功能需求</x:v>
      </x:c>
      <x:c r="F65" s="10" t="str">
        <x:v>P1</x:v>
      </x:c>
      <x:c r="G65" s="9" t="str">
        <x:v>验证选择运营账号按不存在XYZ搜索</x:v>
      </x:c>
      <x:c r="H65" s="9" t="str">
        <x:v>选择器模糊搜索</x:v>
      </x:c>
      <x:c r="I65" s="9" t="str">
        <x:v>1. 当前执行账号具有公会App会话，身份为公会长；具体账号及权限变化按以下条件准备
2. 可选运营账号测试A的ID为620100，另有测试B</x:v>
      </x:c>
      <x:c r="J65" s="9" t="str">
        <x:v>1. 打开选择运营账号
2. 输入搜索词“不存在XYZ”</x:v>
      </x:c>
      <x:c r="K65" s="9" t="str">
        <x:v>列表显示无匹配结果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来源（当前证据）：liveshow-proto/MainBasis/统一需求文档.md；位置：第2085行、第2083行、第2084行
2. 规则：BR-da2077e8786c39eb
3. 未动态验证</x:v>
      </x:c>
    </x:row>
    <x:row r="66" ht="85" customHeight="1">
      <x:c r="A66" s="10" t="n">
        <x:v>65</x:v>
      </x:c>
      <x:c r="B66" s="10" t="str">
        <x:v>GUILD-0065</x:v>
      </x:c>
      <x:c r="C66" s="10" t="str">
        <x:v>运营管理</x:v>
      </x:c>
      <x:c r="D66" s="10" t="str">
        <x:v>选择运营账号（公会长）</x:v>
      </x:c>
      <x:c r="E66" s="10" t="str">
        <x:v>功能需求</x:v>
      </x:c>
      <x:c r="F66" s="10" t="str">
        <x:v>P1</x:v>
      </x:c>
      <x:c r="G66" s="9" t="str">
        <x:v>验证选择运营账号全选</x:v>
      </x:c>
      <x:c r="H66" s="9" t="str">
        <x:v>全选作用范围</x:v>
      </x:c>
      <x:c r="I66" s="9" t="str">
        <x:v>1. 当前执行账号具有公会App会话，身份为公会长；具体账号及权限变化按以下条件准备
2. 本公会有3个可选对象，其中搜索只显示1个</x:v>
      </x:c>
      <x:c r="J66" s="9" t="str">
        <x:v>1. 打开选择运营账号
2. 点击“全选”</x:v>
      </x:c>
      <x:c r="K66" s="9" t="str">
        <x:v>选中本公会全部3个对象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来源（当前证据）：liveshow-proto/MainBasis/统一需求文档.md；位置：第2086行、第2083行、第2084行
2. 规则：BR-1eaeeca0a1d34941
3. 未动态验证</x:v>
      </x:c>
    </x:row>
    <x:row r="67" ht="100" customHeight="1">
      <x:c r="A67" s="10" t="n">
        <x:v>66</x:v>
      </x:c>
      <x:c r="B67" s="10" t="str">
        <x:v>GUILD-0066</x:v>
      </x:c>
      <x:c r="C67" s="10" t="str">
        <x:v>运营管理</x:v>
      </x:c>
      <x:c r="D67" s="10" t="str">
        <x:v>选择运营账号（公会长）</x:v>
      </x:c>
      <x:c r="E67" s="10" t="str">
        <x:v>功能需求</x:v>
      </x:c>
      <x:c r="F67" s="10" t="str">
        <x:v>P1</x:v>
      </x:c>
      <x:c r="G67" s="9" t="str">
        <x:v>验证选择运营账号取消全选</x:v>
      </x:c>
      <x:c r="H67" s="9" t="str">
        <x:v>全选作用范围</x:v>
      </x:c>
      <x:c r="I67" s="9" t="str">
        <x:v>1. 当前执行账号具有公会App会话，身份为公会长；具体账号及权限变化按以下条件准备
2. 本公会有3个可选对象，其中搜索只显示1个
3. 三个对象当前均已选中</x:v>
      </x:c>
      <x:c r="J67" s="9" t="str">
        <x:v>1. 打开选择运营账号
2. 点击“取消全选”</x:v>
      </x:c>
      <x:c r="K67" s="9" t="str">
        <x:v>全部对象取消选中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来源（当前证据）：liveshow-proto/MainBasis/统一需求文档.md；位置：第2086行、第2083行、第2084行
2. 规则：BR-9b062d29b8b893a2
3. 未动态验证</x:v>
      </x:c>
    </x:row>
    <x:row r="68" ht="115" customHeight="1">
      <x:c r="A68" s="10" t="n">
        <x:v>67</x:v>
      </x:c>
      <x:c r="B68" s="10" t="str">
        <x:v>GUILD-0067</x:v>
      </x:c>
      <x:c r="C68" s="10" t="str">
        <x:v>数据与收益</x:v>
      </x:c>
      <x:c r="D68" s="10" t="str">
        <x:v>选择主播（公会长）</x:v>
      </x:c>
      <x:c r="E68" s="10" t="str">
        <x:v>功能需求</x:v>
      </x:c>
      <x:c r="F68" s="10" t="str">
        <x:v>P1</x:v>
      </x:c>
      <x:c r="G68" s="9" t="str">
        <x:v>验证选择主播按测试A搜索</x:v>
      </x:c>
      <x:c r="H68" s="9" t="str">
        <x:v>选择器模糊搜索</x:v>
      </x:c>
      <x:c r="I68" s="9" t="str">
        <x:v>1. 当前执行账号具有公会App会话，身份为公会长；具体账号及权限变化按以下条件准备
2. 可选主播测试A的ID为620100，另有测试B
3. 从公会违规记录的主播筛选进入本选择器</x:v>
      </x:c>
      <x:c r="J68" s="9" t="str">
        <x:v>1. 打开选择主播
2. 输入搜索词“测试A”</x:v>
      </x:c>
      <x:c r="K68" s="9" t="str">
        <x:v>仅显示主播测试A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来源（当前证据）：liveshow-proto/MainBasis/统一需求文档.md；位置：第2179行、第2177行、第2178行
2. 规则：BR-4d6f27ad97192cae
3. 未动态验证</x:v>
      </x:c>
    </x:row>
    <x:row r="69" ht="115" customHeight="1">
      <x:c r="A69" s="10" t="n">
        <x:v>68</x:v>
      </x:c>
      <x:c r="B69" s="10" t="str">
        <x:v>GUILD-0068</x:v>
      </x:c>
      <x:c r="C69" s="10" t="str">
        <x:v>数据与收益</x:v>
      </x:c>
      <x:c r="D69" s="10" t="str">
        <x:v>选择主播（公会长）</x:v>
      </x:c>
      <x:c r="E69" s="10" t="str">
        <x:v>功能需求</x:v>
      </x:c>
      <x:c r="F69" s="10" t="str">
        <x:v>P1</x:v>
      </x:c>
      <x:c r="G69" s="9" t="str">
        <x:v>验证选择主播按620100搜索</x:v>
      </x:c>
      <x:c r="H69" s="9" t="str">
        <x:v>选择器模糊搜索</x:v>
      </x:c>
      <x:c r="I69" s="9" t="str">
        <x:v>1. 当前执行账号具有公会App会话，身份为公会长；具体账号及权限变化按以下条件准备
2. 可选主播测试A的ID为620100，另有测试B
3. 从公会违规记录的主播筛选进入本选择器</x:v>
      </x:c>
      <x:c r="J69" s="9" t="str">
        <x:v>1. 打开选择主播
2. 输入搜索词“620100”</x:v>
      </x:c>
      <x:c r="K69" s="9" t="str">
        <x:v>仅显示主播测试A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来源（当前证据）：liveshow-proto/MainBasis/统一需求文档.md；位置：第2179行、第2177行、第2178行
2. 规则：BR-6d3faeca8b0e6409
3. 未动态验证</x:v>
      </x:c>
    </x:row>
    <x:row r="70" ht="115" customHeight="1">
      <x:c r="A70" s="10" t="n">
        <x:v>69</x:v>
      </x:c>
      <x:c r="B70" s="10" t="str">
        <x:v>GUILD-0069</x:v>
      </x:c>
      <x:c r="C70" s="10" t="str">
        <x:v>数据与收益</x:v>
      </x:c>
      <x:c r="D70" s="10" t="str">
        <x:v>选择主播（公会长）</x:v>
      </x:c>
      <x:c r="E70" s="10" t="str">
        <x:v>功能需求</x:v>
      </x:c>
      <x:c r="F70" s="10" t="str">
        <x:v>P1</x:v>
      </x:c>
      <x:c r="G70" s="9" t="str">
        <x:v>验证选择主播按不存在XYZ搜索</x:v>
      </x:c>
      <x:c r="H70" s="9" t="str">
        <x:v>选择器模糊搜索</x:v>
      </x:c>
      <x:c r="I70" s="9" t="str">
        <x:v>1. 当前执行账号具有公会App会话，身份为公会长；具体账号及权限变化按以下条件准备
2. 可选主播测试A的ID为620100，另有测试B
3. 从公会违规记录的主播筛选进入本选择器</x:v>
      </x:c>
      <x:c r="J70" s="9" t="str">
        <x:v>1. 打开选择主播
2. 输入搜索词“不存在XYZ”</x:v>
      </x:c>
      <x:c r="K70" s="9" t="str">
        <x:v>列表显示无匹配结果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来源（当前证据）：liveshow-proto/MainBasis/统一需求文档.md；位置：第2179行、第2177行、第2178行
2. 规则：BR-0135120a4286a1fd
3. 未动态验证</x:v>
      </x:c>
    </x:row>
    <x:row r="71" ht="115" customHeight="1">
      <x:c r="A71" s="10" t="n">
        <x:v>70</x:v>
      </x:c>
      <x:c r="B71" s="10" t="str">
        <x:v>GUILD-0070</x:v>
      </x:c>
      <x:c r="C71" s="10" t="str">
        <x:v>数据与收益</x:v>
      </x:c>
      <x:c r="D71" s="10" t="str">
        <x:v>选择主播（公会长）</x:v>
      </x:c>
      <x:c r="E71" s="10" t="str">
        <x:v>功能需求</x:v>
      </x:c>
      <x:c r="F71" s="10" t="str">
        <x:v>P1</x:v>
      </x:c>
      <x:c r="G71" s="9" t="str">
        <x:v>验证选择主播全选</x:v>
      </x:c>
      <x:c r="H71" s="9" t="str">
        <x:v>全选作用范围</x:v>
      </x:c>
      <x:c r="I71" s="9" t="str">
        <x:v>1. 当前执行账号具有公会App会话，身份为公会长；具体账号及权限变化按以下条件准备
2. 本公会有3个可选对象，其中搜索只显示1个
3. 从公会违规记录的主播筛选进入本选择器</x:v>
      </x:c>
      <x:c r="J71" s="9" t="str">
        <x:v>1. 打开选择主播
2. 点击“全选”</x:v>
      </x:c>
      <x:c r="K71" s="9" t="str">
        <x:v>选中本公会全部3个对象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来源（当前证据）：liveshow-proto/MainBasis/统一需求文档.md；位置：第2181行、第2177行、第2178行
2. 规则：BR-c7442e912283b143
3. 未动态验证</x:v>
      </x:c>
    </x:row>
    <x:row r="72" ht="130" customHeight="1">
      <x:c r="A72" s="10" t="n">
        <x:v>71</x:v>
      </x:c>
      <x:c r="B72" s="10" t="str">
        <x:v>GUILD-0071</x:v>
      </x:c>
      <x:c r="C72" s="10" t="str">
        <x:v>数据与收益</x:v>
      </x:c>
      <x:c r="D72" s="10" t="str">
        <x:v>选择主播（公会长）</x:v>
      </x:c>
      <x:c r="E72" s="10" t="str">
        <x:v>功能需求</x:v>
      </x:c>
      <x:c r="F72" s="10" t="str">
        <x:v>P1</x:v>
      </x:c>
      <x:c r="G72" s="9" t="str">
        <x:v>验证选择主播取消全选</x:v>
      </x:c>
      <x:c r="H72" s="9" t="str">
        <x:v>全选作用范围</x:v>
      </x:c>
      <x:c r="I72" s="9" t="str">
        <x:v>1. 当前执行账号具有公会App会话，身份为公会长；具体账号及权限变化按以下条件准备
2. 本公会有3个可选对象，其中搜索只显示1个
3. 从公会违规记录的主播筛选进入本选择器
4. 三个对象当前均已选中</x:v>
      </x:c>
      <x:c r="J72" s="9" t="str">
        <x:v>1. 打开选择主播
2. 点击“取消全选”</x:v>
      </x:c>
      <x:c r="K72" s="9" t="str">
        <x:v>全部对象取消选中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来源（当前证据）：liveshow-proto/MainBasis/统一需求文档.md；位置：第2181行、第2177行、第2178行
2. 规则：BR-94a6f415fa7246bb
3. 未动态验证</x:v>
      </x:c>
    </x:row>
    <x:row r="73" ht="100" customHeight="1">
      <x:c r="A73" s="10" t="n">
        <x:v>72</x:v>
      </x:c>
      <x:c r="B73" s="10" t="str">
        <x:v>GUILD-0072</x:v>
      </x:c>
      <x:c r="C73" s="10" t="str">
        <x:v>运营管理</x:v>
      </x:c>
      <x:c r="D73" s="10" t="str">
        <x:v>选择主播（公会长）</x:v>
      </x:c>
      <x:c r="E73" s="10" t="str">
        <x:v>功能需求</x:v>
      </x:c>
      <x:c r="F73" s="10" t="str">
        <x:v>P1</x:v>
      </x:c>
      <x:c r="G73" s="9" t="str">
        <x:v>验证公会消息接收人单选</x:v>
      </x:c>
      <x:c r="H73" s="9" t="str">
        <x:v>指定主播单选</x:v>
      </x:c>
      <x:c r="I73" s="9" t="str">
        <x:v>1. 当前执行账号具有公会App会话，身份为公会长；具体账号及权限变化按以下条件准备
2. G1有主播A和B
3. 从新建运营消息的指定主播入口进入本选择器</x:v>
      </x:c>
      <x:c r="J73" s="9" t="str">
        <x:v>1. 打开选择主播
2. 选择A
3. 选择B
4. 点击“完成”</x:v>
      </x:c>
      <x:c r="K73" s="9" t="str">
        <x:v>消息发送页仅回填主播B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来源（当前证据）：liveshow-proto/MainBasis/统一需求文档.md；位置：第2028行、第2025行、第2026行
2. 规则：BR-d265620772636029
3. 未动态验证</x:v>
      </x:c>
    </x:row>
    <x:row r="74" ht="85" customHeight="1">
      <x:c r="A74" s="10" t="n">
        <x:v>73</x:v>
      </x:c>
      <x:c r="B74" s="10" t="str">
        <x:v>GUILD-0073</x:v>
      </x:c>
      <x:c r="C74" s="10" t="str">
        <x:v>运营管理</x:v>
      </x:c>
      <x:c r="D74" s="10" t="str">
        <x:v>选择运营账号（公会长）</x:v>
      </x:c>
      <x:c r="E74" s="10" t="str">
        <x:v>功能需求</x:v>
      </x:c>
      <x:c r="F74" s="10" t="str">
        <x:v>P1</x:v>
      </x:c>
      <x:c r="G74" s="9" t="str">
        <x:v>验证运营账号选择返回保留日期</x:v>
      </x:c>
      <x:c r="H74" s="9" t="str">
        <x:v>选择器返回条件</x:v>
      </x:c>
      <x:c r="I74" s="9" t="str">
        <x:v>1. 当前执行账号具有公会App会话，身份为公会长；具体账号及权限变化按以下条件准备
2. 送礼记录日期范围2026-09-01至2026-09-14，账号A和B可选</x:v>
      </x:c>
      <x:c r="J74" s="9" t="str">
        <x:v>1. 打开选择运营账号
2. 选择A
3. 选择B
4. 点击“完成”</x:v>
      </x:c>
      <x:c r="K74" s="9" t="str">
        <x:v>送礼记录保留原日期条件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来源（当前证据）：liveshow-proto/MainBasis/统一需求文档.md；位置：第2087行、第2083行、第2084行
2. 规则：BR-b3c5aa51e71ba63e
3. 未动态验证</x:v>
      </x:c>
    </x:row>
    <x:row r="75" ht="115" customHeight="1">
      <x:c r="A75" s="10" t="n">
        <x:v>74</x:v>
      </x:c>
      <x:c r="B75" s="10" t="str">
        <x:v>GUILD-0074</x:v>
      </x:c>
      <x:c r="C75" s="10" t="str">
        <x:v>数据与收益</x:v>
      </x:c>
      <x:c r="D75" s="10" t="str">
        <x:v>选择主播（公会长）</x:v>
      </x:c>
      <x:c r="E75" s="10" t="str">
        <x:v>功能需求</x:v>
      </x:c>
      <x:c r="F75" s="10" t="str">
        <x:v>P1</x:v>
      </x:c>
      <x:c r="G75" s="9" t="str">
        <x:v>验证主播选择返回保留违规范围</x:v>
      </x:c>
      <x:c r="H75" s="9" t="str">
        <x:v>多条件返回保持</x:v>
      </x:c>
      <x:c r="I75" s="9" t="str">
        <x:v>1. 当前执行账号具有公会App会话，身份为公会长；具体账号及权限变化按以下条件准备
2. 违规记录已选账号违规、2026-09-01至09-14
3. 从公会违规记录的主播筛选进入本选择器</x:v>
      </x:c>
      <x:c r="J75" s="9" t="str">
        <x:v>1. 打开选择主播
2. 选择A
3. 点击“完成”</x:v>
      </x:c>
      <x:c r="K75" s="9" t="str">
        <x:v>违规记录保留账号违规及原日期范围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来源（当前证据）：liveshow-proto/MainBasis/统一需求文档.md；位置：第2182行、第2177行、第2178行
2. 规则：BR-bb56799832f07ecc
3. 未动态验证</x:v>
      </x:c>
    </x:row>
    <x:row r="76" ht="85" customHeight="1">
      <x:c r="A76" s="10" t="n">
        <x:v>75</x:v>
      </x:c>
      <x:c r="B76" s="10" t="str">
        <x:v>GUILD-0075</x:v>
      </x:c>
      <x:c r="C76" s="10" t="str">
        <x:v>公会管理</x:v>
      </x:c>
      <x:c r="D76" s="10" t="str">
        <x:v>账号设置（公会长）</x:v>
      </x:c>
      <x:c r="E76" s="10" t="str">
        <x:v>功能需求</x:v>
      </x:c>
      <x:c r="F76" s="10" t="str">
        <x:v>P1</x:v>
      </x:c>
      <x:c r="G76" s="9" t="str">
        <x:v>验证公会端切换简体中文</x:v>
      </x:c>
      <x:c r="H76" s="9" t="str">
        <x:v>公会端语言</x:v>
      </x:c>
      <x:c r="I76" s="9" t="str">
        <x:v>1. 当前执行账号具有公会App会话，身份为公会长；具体账号及权限变化按以下条件准备
2. 当前账号A可用</x:v>
      </x:c>
      <x:c r="J76" s="9" t="str">
        <x:v>1. 打开公会设置
2. 选择语言“简体中文”</x:v>
      </x:c>
      <x:c r="K76" s="9" t="str">
        <x:v>公会端界面切换为简体中文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来源（当前证据）：liveshow-proto/MainBasis/统一需求文档.md；位置：第2100行、第2097行、第2098行
2. 规则：BR-cb63a74ff3454873
3. 未动态验证</x:v>
      </x:c>
    </x:row>
    <x:row r="77" ht="85" customHeight="1">
      <x:c r="A77" s="10" t="n">
        <x:v>76</x:v>
      </x:c>
      <x:c r="B77" s="10" t="str">
        <x:v>GUILD-0076</x:v>
      </x:c>
      <x:c r="C77" s="10" t="str">
        <x:v>公会管理</x:v>
      </x:c>
      <x:c r="D77" s="10" t="str">
        <x:v>账号设置（公会长）</x:v>
      </x:c>
      <x:c r="E77" s="10" t="str">
        <x:v>功能需求</x:v>
      </x:c>
      <x:c r="F77" s="10" t="str">
        <x:v>P1</x:v>
      </x:c>
      <x:c r="G77" s="9" t="str">
        <x:v>验证公会端切换英文</x:v>
      </x:c>
      <x:c r="H77" s="9" t="str">
        <x:v>公会端语言</x:v>
      </x:c>
      <x:c r="I77" s="9" t="str">
        <x:v>1. 当前执行账号具有公会App会话，身份为公会长；具体账号及权限变化按以下条件准备
2. 当前账号A可用</x:v>
      </x:c>
      <x:c r="J77" s="9" t="str">
        <x:v>1. 打开公会设置
2. 选择语言“英文”</x:v>
      </x:c>
      <x:c r="K77" s="9" t="str">
        <x:v>公会端界面切换为英文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来源（当前证据）：liveshow-proto/MainBasis/统一需求文档.md；位置：第2100行、第2097行、第2098行
2. 规则：BR-efd95521ce7deb09
3. 未动态验证</x:v>
      </x:c>
    </x:row>
    <x:row r="78" ht="85" customHeight="1">
      <x:c r="A78" s="10" t="n">
        <x:v>77</x:v>
      </x:c>
      <x:c r="B78" s="10" t="str">
        <x:v>GUILD-0077</x:v>
      </x:c>
      <x:c r="C78" s="10" t="str">
        <x:v>公会管理</x:v>
      </x:c>
      <x:c r="D78" s="10" t="str">
        <x:v>账号设置（公会长）</x:v>
      </x:c>
      <x:c r="E78" s="10" t="str">
        <x:v>功能需求</x:v>
      </x:c>
      <x:c r="F78" s="10" t="str">
        <x:v>P1</x:v>
      </x:c>
      <x:c r="G78" s="9" t="str">
        <x:v>验证公会端切换印尼语</x:v>
      </x:c>
      <x:c r="H78" s="9" t="str">
        <x:v>公会端语言</x:v>
      </x:c>
      <x:c r="I78" s="9" t="str">
        <x:v>1. 当前执行账号具有公会App会话，身份为公会长；具体账号及权限变化按以下条件准备
2. 当前账号A可用</x:v>
      </x:c>
      <x:c r="J78" s="9" t="str">
        <x:v>1. 打开公会设置
2. 选择语言“印尼语”</x:v>
      </x:c>
      <x:c r="K78" s="9" t="str">
        <x:v>公会端界面切换为印尼语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来源（当前证据）：liveshow-proto/MainBasis/统一需求文档.md；位置：第2100行、第2097行、第2098行
2. 规则：BR-e95785a4952edbcc
3. 未动态验证</x:v>
      </x:c>
    </x:row>
    <x:row r="79" ht="85" customHeight="1">
      <x:c r="A79" s="10" t="n">
        <x:v>78</x:v>
      </x:c>
      <x:c r="B79" s="10" t="str">
        <x:v>GUILD-0078</x:v>
      </x:c>
      <x:c r="C79" s="10" t="str">
        <x:v>公会管理</x:v>
      </x:c>
      <x:c r="D79" s="10" t="str">
        <x:v>账号设置（公会长）</x:v>
      </x:c>
      <x:c r="E79" s="10" t="str">
        <x:v>功能需求</x:v>
      </x:c>
      <x:c r="F79" s="10" t="str">
        <x:v>P1</x:v>
      </x:c>
      <x:c r="G79" s="9" t="str">
        <x:v>验证公会端切换马来语</x:v>
      </x:c>
      <x:c r="H79" s="9" t="str">
        <x:v>公会端语言</x:v>
      </x:c>
      <x:c r="I79" s="9" t="str">
        <x:v>1. 当前执行账号具有公会App会话，身份为公会长；具体账号及权限变化按以下条件准备
2. 当前账号A可用</x:v>
      </x:c>
      <x:c r="J79" s="9" t="str">
        <x:v>1. 打开公会设置
2. 选择语言“马来语”</x:v>
      </x:c>
      <x:c r="K79" s="9" t="str">
        <x:v>公会端界面切换为马来语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来源（当前证据）：liveshow-proto/MainBasis/统一需求文档.md；位置：第2100行、第2097行、第2098行
2. 规则：BR-c13fe72c7ffc30ff
3. 未动态验证</x:v>
      </x:c>
    </x:row>
    <x:row r="80" ht="85" customHeight="1">
      <x:c r="A80" s="10" t="n">
        <x:v>79</x:v>
      </x:c>
      <x:c r="B80" s="10" t="str">
        <x:v>GUILD-0079</x:v>
      </x:c>
      <x:c r="C80" s="10" t="str">
        <x:v>公会管理</x:v>
      </x:c>
      <x:c r="D80" s="10" t="str">
        <x:v>账号设置（公会长）</x:v>
      </x:c>
      <x:c r="E80" s="10" t="str">
        <x:v>功能需求</x:v>
      </x:c>
      <x:c r="F80" s="10" t="str">
        <x:v>P1</x:v>
      </x:c>
      <x:c r="G80" s="9" t="str">
        <x:v>验证切换语言不改业务资料</x:v>
      </x:c>
      <x:c r="H80" s="9" t="str">
        <x:v>语言切换后的公会名称</x:v>
      </x:c>
      <x:c r="I80" s="9" t="str">
        <x:v>1. 当前执行账号具有公会App会话，身份为公会长；具体账号及权限变化按以下条件准备
2. G1名称为公会A，主播B名称为测试B</x:v>
      </x:c>
      <x:c r="J80" s="9" t="str">
        <x:v>1. 打开公会设置
2. 选择语言“英文”
3. 打开公会资料
4. 查看公会名称</x:v>
      </x:c>
      <x:c r="K80" s="9" t="str">
        <x:v>公会名称仍为公会A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来源（当前证据）：liveshow-proto/MainBasis/统一需求文档.md；位置：第2101行、第2093行、第2097行、第2098行
2. 规则：BR-17ba9f2dd1baeecf
3. 未动态验证</x:v>
      </x:c>
    </x:row>
    <x:row r="81" ht="85" customHeight="1">
      <x:c r="A81" s="10" t="n">
        <x:v>80</x:v>
      </x:c>
      <x:c r="B81" s="10" t="str">
        <x:v>GUILD-0080</x:v>
      </x:c>
      <x:c r="C81" s="10" t="str">
        <x:v>公会管理</x:v>
      </x:c>
      <x:c r="D81" s="10" t="str">
        <x:v>账号设置（公会长）</x:v>
      </x:c>
      <x:c r="E81" s="10" t="str">
        <x:v>功能需求</x:v>
      </x:c>
      <x:c r="F81" s="10" t="str">
        <x:v>P1</x:v>
      </x:c>
      <x:c r="G81" s="9" t="str">
        <x:v>验证公会退出登录确认</x:v>
      </x:c>
      <x:c r="H81" s="9" t="str">
        <x:v>公会会话退出</x:v>
      </x:c>
      <x:c r="I81" s="9" t="str">
        <x:v>1. 当前执行账号具有公会App会话，身份为公会长；具体账号及权限变化按以下条件准备
2. 公会长A已登录G1</x:v>
      </x:c>
      <x:c r="J81" s="9" t="str">
        <x:v>1. 打开公会设置
2. 点击“退出登录”
3. 确认退出</x:v>
      </x:c>
      <x:c r="K81" s="9" t="str">
        <x:v>返回公会登录页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来源（当前证据）：liveshow-proto/MainBasis/统一需求文档.md；位置：第2102行、第2097行、第2098行
2. 规则：BR-096f11d3ec6d5e76
3. 未动态验证</x:v>
      </x:c>
    </x:row>
    <x:row r="82" ht="100" customHeight="1">
      <x:c r="A82" s="10" t="n">
        <x:v>81</x:v>
      </x:c>
      <x:c r="B82" s="10" t="str">
        <x:v>GUILD-0081</x:v>
      </x:c>
      <x:c r="C82" s="10" t="str">
        <x:v>公会管理</x:v>
      </x:c>
      <x:c r="D82" s="10" t="str">
        <x:v>修改密码（公会长）</x:v>
      </x:c>
      <x:c r="E82" s="10" t="str">
        <x:v>功能需求</x:v>
      </x:c>
      <x:c r="F82" s="10" t="str">
        <x:v>P1</x:v>
      </x:c>
      <x:c r="G82" s="9" t="str">
        <x:v>验证公会密码提交后的提示：显示“当前密码错误”</x:v>
      </x:c>
      <x:c r="H82" s="9" t="str">
        <x:v>公会密码校验</x:v>
      </x:c>
      <x:c r="I82" s="9" t="str">
        <x:v>1. 当前执行账号具有公会App会话，身份为公会长；具体账号及权限变化按以下条件准备
2. 当前密码OldPass12</x:v>
      </x:c>
      <x:c r="J82" s="9" t="str">
        <x:v>1. 打开修改密码
2. 输入当前密码“WrongPass”
3. 输入新密码“NewPass12”
4. 输入确认密码“NewPass12”
5. 点击“保存”</x:v>
      </x:c>
      <x:c r="K82" s="9" t="str">
        <x:v>显示“当前密码错误”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来源（当前证据）：liveshow-proto/MainBasis/统一需求文档.md；位置：第2107行、第2109行、第2108行、第2104行、第2105行
2. 规则：BR-7e1339b15ec2255d
3. 未动态验证</x:v>
      </x:c>
    </x:row>
    <x:row r="83" ht="100" customHeight="1">
      <x:c r="A83" s="10" t="n">
        <x:v>82</x:v>
      </x:c>
      <x:c r="B83" s="10" t="str">
        <x:v>GUILD-0082</x:v>
      </x:c>
      <x:c r="C83" s="10" t="str">
        <x:v>公会管理</x:v>
      </x:c>
      <x:c r="D83" s="10" t="str">
        <x:v>修改密码（公会长）</x:v>
      </x:c>
      <x:c r="E83" s="10" t="str">
        <x:v>功能需求</x:v>
      </x:c>
      <x:c r="F83" s="10" t="str">
        <x:v>P1</x:v>
      </x:c>
      <x:c r="G83" s="9" t="str">
        <x:v>验证公会密码提交后的提示：显示“新密码不能和旧密码一样”</x:v>
      </x:c>
      <x:c r="H83" s="9" t="str">
        <x:v>公会密码校验</x:v>
      </x:c>
      <x:c r="I83" s="9" t="str">
        <x:v>1. 当前执行账号具有公会App会话，身份为公会长；具体账号及权限变化按以下条件准备
2. 当前密码OldPass12</x:v>
      </x:c>
      <x:c r="J83" s="9" t="str">
        <x:v>1. 打开修改密码
2. 输入当前密码“OldPass12”
3. 输入新密码“OldPass12”
4. 输入确认密码“OldPass12”
5. 点击“保存”</x:v>
      </x:c>
      <x:c r="K83" s="9" t="str">
        <x:v>提示文案为“新密码不能和旧密码一样”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来源（当前证据）：liveshow-proto/MainBasis/统一需求文档.md；位置：第2107行、第2109行、第2108行、第2104行、第2105行
2. 规则：BR-c4cf0416ac3c4e1b
3. 未动态验证</x:v>
      </x:c>
    </x:row>
    <x:row r="84" ht="100" customHeight="1">
      <x:c r="A84" s="10" t="n">
        <x:v>83</x:v>
      </x:c>
      <x:c r="B84" s="10" t="str">
        <x:v>GUILD-0083</x:v>
      </x:c>
      <x:c r="C84" s="10" t="str">
        <x:v>公会管理</x:v>
      </x:c>
      <x:c r="D84" s="10" t="str">
        <x:v>修改密码（公会长）</x:v>
      </x:c>
      <x:c r="E84" s="10" t="str">
        <x:v>功能需求</x:v>
      </x:c>
      <x:c r="F84" s="10" t="str">
        <x:v>P1</x:v>
      </x:c>
      <x:c r="G84" s="9" t="str">
        <x:v>验证公会密码提交后的提示：不更新密码</x:v>
      </x:c>
      <x:c r="H84" s="9" t="str">
        <x:v>公会密码校验</x:v>
      </x:c>
      <x:c r="I84" s="9" t="str">
        <x:v>1. 当前执行账号具有公会App会话，身份为公会长；具体账号及权限变化按以下条件准备
2. 当前密码OldPass12</x:v>
      </x:c>
      <x:c r="J84" s="9" t="str">
        <x:v>1. 打开修改密码
2. 输入当前密码“OldPass12”
3. 输入新密码“NewPass12”
4. 输入确认密码“OtherPass12”
5. 点击“保存”</x:v>
      </x:c>
      <x:c r="K84" s="9" t="str">
        <x:v>不更新密码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来源（当前证据）：liveshow-proto/MainBasis/统一需求文档.md；位置：第2107行、第2109行、第2108行、第2104行、第2105行
2. 规则：BR-1d7efeda5aee2f08
3. 未动态验证</x:v>
      </x:c>
    </x:row>
    <x:row r="85" ht="100" customHeight="1">
      <x:c r="A85" s="10" t="n">
        <x:v>84</x:v>
      </x:c>
      <x:c r="B85" s="10" t="str">
        <x:v>GUILD-0084</x:v>
      </x:c>
      <x:c r="C85" s="10" t="str">
        <x:v>公会管理</x:v>
      </x:c>
      <x:c r="D85" s="10" t="str">
        <x:v>修改密码（公会长）</x:v>
      </x:c>
      <x:c r="E85" s="10" t="str">
        <x:v>功能需求</x:v>
      </x:c>
      <x:c r="F85" s="10" t="str">
        <x:v>P1</x:v>
      </x:c>
      <x:c r="G85" s="9" t="str">
        <x:v>验证公会密码提交后的提示：不保存少于8位的新密码</x:v>
      </x:c>
      <x:c r="H85" s="9" t="str">
        <x:v>公会密码校验</x:v>
      </x:c>
      <x:c r="I85" s="9" t="str">
        <x:v>1. 当前执行账号具有公会App会话，身份为公会长；具体账号及权限变化按以下条件准备
2. 当前密码OldPass12</x:v>
      </x:c>
      <x:c r="J85" s="9" t="str">
        <x:v>1. 打开修改密码
2. 输入当前密码“OldPass12”
3. 输入新密码“1234567”
4. 输入确认密码“1234567”
5. 点击“保存”</x:v>
      </x:c>
      <x:c r="K85" s="9" t="str">
        <x:v>不保存少于8位的新密码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来源（当前证据）：liveshow-proto/MainBasis/统一需求文档.md；位置：第2107行、第2109行、第2108行、第2104行、第2105行
2. 规则：BR-13a52038e4d8d580
3. 未动态验证</x:v>
      </x:c>
    </x:row>
    <x:row r="86" ht="175" customHeight="1">
      <x:c r="A86" s="10" t="n">
        <x:v>85</x:v>
      </x:c>
      <x:c r="B86" s="10" t="str">
        <x:v>GUILD-0085</x:v>
      </x:c>
      <x:c r="C86" s="10" t="str">
        <x:v>公会管理</x:v>
      </x:c>
      <x:c r="D86" s="10" t="str">
        <x:v>修改密码（公会长）</x:v>
      </x:c>
      <x:c r="E86" s="10" t="str">
        <x:v>功能需求</x:v>
      </x:c>
      <x:c r="F86" s="10" t="str">
        <x:v>P1</x:v>
      </x:c>
      <x:c r="G86" s="9" t="str">
        <x:v>验证公会密码提交后的提示：更新密码为NewPass12</x:v>
      </x:c>
      <x:c r="H86" s="9" t="str">
        <x:v>公会密码校验</x:v>
      </x:c>
      <x:c r="I86" s="9" t="str">
        <x:v>1. 当前执行账号具有公会App会话，身份为公会长；具体账号及权限变化按以下条件准备
2. 当前密码OldPass12
3. 当前公会长账号为guildqa001，账号和公会均启用</x:v>
      </x:c>
      <x:c r="J86" s="9" t="str">
        <x:v>1. 打开修改密码
2. 输入当前密码“OldPass12”
3. 输入新密码“NewPass12”
4. 输入确认密码“NewPass12”
5. 点击“保存”
6. 打开账号设置
7. 点击“退出登录”
8. 确认退出
9. 输入账号“guildqa001”
10. 输入密码“NewPass12”
11. 点击“登录”</x:v>
      </x:c>
      <x:c r="K86" s="9" t="str">
        <x:v>进入选择公会页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来源（当前证据）：liveshow-proto/MainBasis/统一需求文档.md；位置：第2107行、第2109行、第2108行、第2102行、第1888行、第2104行、第2105行
2. 规则：BR-b770779a95e642b0
3. 未动态验证</x:v>
      </x:c>
    </x:row>
    <x:row r="87" ht="85" customHeight="1">
      <x:c r="A87" s="10" t="n">
        <x:v>86</x:v>
      </x:c>
      <x:c r="B87" s="10" t="str">
        <x:v>GUILD-0086</x:v>
      </x:c>
      <x:c r="C87" s="10" t="str">
        <x:v>公会管理</x:v>
      </x:c>
      <x:c r="D87" s="10" t="str">
        <x:v>修改密码（公会长）</x:v>
      </x:c>
      <x:c r="E87" s="10" t="str">
        <x:v>异常用例</x:v>
      </x:c>
      <x:c r="F87" s="10" t="str">
        <x:v>P1</x:v>
      </x:c>
      <x:c r="G87" s="9" t="str">
        <x:v>验证修改公会密码请求失败</x:v>
      </x:c>
      <x:c r="H87" s="9" t="str">
        <x:v>密码修改失败</x:v>
      </x:c>
      <x:c r="I87" s="9" t="str">
        <x:v>1. 当前执行账号具有公会App会话，身份为公会长；具体账号及权限变化按以下条件准备
2. 当前密码OldPass12；本次保存请求返回失败</x:v>
      </x:c>
      <x:c r="J87" s="9" t="str">
        <x:v>1. 打开修改密码
2. 输入当前密码“OldPass12”
3. 输入新密码与确认密码“NewPass12”
4. 点击“保存”</x:v>
      </x:c>
      <x:c r="K87" s="9" t="str">
        <x:v>显示“保存失败”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来源（当前证据）：liveshow-proto/MainBasis/统一需求文档.md；位置：第2109行、第2104行、第2105行
2. 规则：BR-7c60229bf9322add
3. 未动态验证</x:v>
      </x:c>
    </x:row>
    <x:row r="88" ht="100" customHeight="1">
      <x:c r="A88" s="10" t="n">
        <x:v>87</x:v>
      </x:c>
      <x:c r="B88" s="10" t="str">
        <x:v>GUILD-0087</x:v>
      </x:c>
      <x:c r="C88" s="10" t="str">
        <x:v>数据与收益</x:v>
      </x:c>
      <x:c r="D88" s="10" t="str">
        <x:v>主播分成记录（公会长）</x:v>
      </x:c>
      <x:c r="E88" s="10" t="str">
        <x:v>业务流程</x:v>
      </x:c>
      <x:c r="F88" s="10" t="str">
        <x:v>P1</x:v>
      </x:c>
      <x:c r="G88" s="9" t="str">
        <x:v>验证主播分成按入账时间处理跨月</x:v>
      </x:c>
      <x:c r="H88" s="9" t="str">
        <x:v>收益周期与入账时间</x:v>
      </x:c>
      <x:c r="I88" s="9" t="str">
        <x:v>1. 当前执行账号具有公会App会话，身份为公会长；具体账号及权限变化按以下条件准备
2. 财务结果所属收益周期2026年8月，实际入账2026-09-14 10:00，金额100USD</x:v>
      </x:c>
      <x:c r="J88" s="9" t="str">
        <x:v>1. 打开主播分成记录</x:v>
      </x:c>
      <x:c r="K88" s="9" t="str">
        <x:v>分成时间对应2026年9月14日10时00分，而非8月收益周期</x:v>
      </x:c>
      <x:c r="L88" s="10" t="str">
        <x:v>FLOW-SETTLEMENT</x:v>
      </x:c>
      <x:c r="M88" s="10" t="str">
        <x:v>未测</x:v>
      </x:c>
      <x:c r="N88" s="10" t="str"/>
      <x:c r="O88" s="9" t="str">
        <x:v>1. 来源（当前证据）：liveshow-proto/MainBasis/统一需求文档.md；位置：第2168行、第2161行、第2162行
2. 规则：BR-f1014bada3459865
3. 未动态验证</x:v>
      </x:c>
    </x:row>
    <x:row r="89" ht="85" customHeight="1">
      <x:c r="A89" s="10" t="n">
        <x:v>88</x:v>
      </x:c>
      <x:c r="B89" s="10" t="str">
        <x:v>GUILD-0088</x:v>
      </x:c>
      <x:c r="C89" s="10" t="str">
        <x:v>数据与收益</x:v>
      </x:c>
      <x:c r="D89" s="10" t="str">
        <x:v>主播分成记录（公会长）</x:v>
      </x:c>
      <x:c r="E89" s="10" t="str">
        <x:v>业务流程</x:v>
      </x:c>
      <x:c r="F89" s="10" t="str">
        <x:v>P1</x:v>
      </x:c>
      <x:c r="G89" s="9" t="str">
        <x:v>验证主播负向分成修正展示</x:v>
      </x:c>
      <x:c r="H89" s="9" t="str">
        <x:v>有符号分成结果</x:v>
      </x:c>
      <x:c r="I89" s="9" t="str">
        <x:v>1. 当前执行账号具有公会App会话，身份为公会长；具体账号及权限变化按以下条件准备
2. 财务已入账一笔金额-10USD的修正结果</x:v>
      </x:c>
      <x:c r="J89" s="9" t="str">
        <x:v>1. 打开主播分成记录</x:v>
      </x:c>
      <x:c r="K89" s="9" t="str">
        <x:v>该笔金额显示-10USD</x:v>
      </x:c>
      <x:c r="L89" s="10" t="str">
        <x:v>FLOW-SETTLEMENT-ADJUST</x:v>
      </x:c>
      <x:c r="M89" s="10" t="str">
        <x:v>未测</x:v>
      </x:c>
      <x:c r="N89" s="10" t="str"/>
      <x:c r="O89" s="9" t="str">
        <x:v>1. 来源（当前证据）：liveshow-proto/MainBasis/统一需求文档.md；位置：第2166行、第2161行、第2162行
2. 规则：BR-1c7ad5c0d8a1454a
3. 未动态验证</x:v>
      </x:c>
    </x:row>
    <x:row r="90" ht="85" customHeight="1">
      <x:c r="A90" s="10" t="n">
        <x:v>89</x:v>
      </x:c>
      <x:c r="B90" s="10" t="str">
        <x:v>GUILD-0089</x:v>
      </x:c>
      <x:c r="C90" s="10" t="str">
        <x:v>数据与收益</x:v>
      </x:c>
      <x:c r="D90" s="10" t="str">
        <x:v>主播分成记录（公会长）</x:v>
      </x:c>
      <x:c r="E90" s="10" t="str">
        <x:v>功能需求</x:v>
      </x:c>
      <x:c r="F90" s="10" t="str">
        <x:v>P1</x:v>
      </x:c>
      <x:c r="G90" s="9" t="str">
        <x:v>验证主播分成记录不提供在线审批</x:v>
      </x:c>
      <x:c r="H90" s="9" t="str">
        <x:v>线下财务边界</x:v>
      </x:c>
      <x:c r="I90" s="9" t="str">
        <x:v>1. 当前执行账号具有公会App会话，身份为公会长；具体账号及权限变化按以下条件准备
2. 当前公会已有财务上传分成结果</x:v>
      </x:c>
      <x:c r="J90" s="9" t="str">
        <x:v>1. 打开主播分成记录</x:v>
      </x:c>
      <x:c r="K90" s="9" t="str">
        <x:v>不提供在线分成申请或审批操作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来源（当前证据）：liveshow-proto/MainBasis/统一需求文档.md；位置：第2167行、第2161行、第2162行
2. 规则：BR-c80fe155f10c76d8
3. 未动态验证</x:v>
      </x:c>
    </x:row>
    <x:row r="91" ht="100" customHeight="1">
      <x:c r="A91" s="10" t="n">
        <x:v>90</x:v>
      </x:c>
      <x:c r="B91" s="10" t="str">
        <x:v>GUILD-0090</x:v>
      </x:c>
      <x:c r="C91" s="10" t="str">
        <x:v>数据与收益</x:v>
      </x:c>
      <x:c r="D91" s="10" t="str">
        <x:v>公会分成记录（公会长）</x:v>
      </x:c>
      <x:c r="E91" s="10" t="str">
        <x:v>业务流程</x:v>
      </x:c>
      <x:c r="F91" s="10" t="str">
        <x:v>P1</x:v>
      </x:c>
      <x:c r="G91" s="9" t="str">
        <x:v>验证公会分成按入账时间处理跨月</x:v>
      </x:c>
      <x:c r="H91" s="9" t="str">
        <x:v>收益周期与入账时间</x:v>
      </x:c>
      <x:c r="I91" s="9" t="str">
        <x:v>1. 当前执行账号具有公会App会话，身份为公会长；具体账号及权限变化按以下条件准备
2. 财务结果所属收益周期2026年8月，实际入账2026-09-14 10:00，金额100USD</x:v>
      </x:c>
      <x:c r="J91" s="9" t="str">
        <x:v>1. 打开公会分成记录</x:v>
      </x:c>
      <x:c r="K91" s="9" t="str">
        <x:v>分成时间对应2026年9月14日10时00分，而非8月收益周期</x:v>
      </x:c>
      <x:c r="L91" s="10" t="str">
        <x:v>FLOW-SETTLEMENT</x:v>
      </x:c>
      <x:c r="M91" s="10" t="str">
        <x:v>未测</x:v>
      </x:c>
      <x:c r="N91" s="10" t="str"/>
      <x:c r="O91" s="9" t="str">
        <x:v>1. 来源（当前证据）：liveshow-proto/MainBasis/统一需求文档.md；位置：第2175行、第2170行、第2171行
2. 规则：BR-b0705c91ebb0b996
3. 未动态验证</x:v>
      </x:c>
    </x:row>
    <x:row r="92" ht="85" customHeight="1">
      <x:c r="A92" s="10" t="n">
        <x:v>91</x:v>
      </x:c>
      <x:c r="B92" s="10" t="str">
        <x:v>GUILD-0091</x:v>
      </x:c>
      <x:c r="C92" s="10" t="str">
        <x:v>数据与收益</x:v>
      </x:c>
      <x:c r="D92" s="10" t="str">
        <x:v>公会分成记录（公会长）</x:v>
      </x:c>
      <x:c r="E92" s="10" t="str">
        <x:v>业务流程</x:v>
      </x:c>
      <x:c r="F92" s="10" t="str">
        <x:v>P1</x:v>
      </x:c>
      <x:c r="G92" s="9" t="str">
        <x:v>验证公会负向分成修正展示</x:v>
      </x:c>
      <x:c r="H92" s="9" t="str">
        <x:v>有符号分成结果</x:v>
      </x:c>
      <x:c r="I92" s="9" t="str">
        <x:v>1. 当前执行账号具有公会App会话，身份为公会长；具体账号及权限变化按以下条件准备
2. 财务已入账一笔金额-10USD的修正结果</x:v>
      </x:c>
      <x:c r="J92" s="9" t="str">
        <x:v>1. 打开公会分成记录</x:v>
      </x:c>
      <x:c r="K92" s="9" t="str">
        <x:v>该笔金额显示-10USD</x:v>
      </x:c>
      <x:c r="L92" s="10" t="str">
        <x:v>FLOW-SETTLEMENT-ADJUST</x:v>
      </x:c>
      <x:c r="M92" s="10" t="str">
        <x:v>未测</x:v>
      </x:c>
      <x:c r="N92" s="10" t="str"/>
      <x:c r="O92" s="9" t="str">
        <x:v>1. 来源（当前证据）：liveshow-proto/MainBasis/统一需求文档.md；位置：第2173行、第2170行、第2171行
2. 规则：BR-250d8d88d420656e
3. 未动态验证</x:v>
      </x:c>
    </x:row>
    <x:row r="93" ht="85" customHeight="1">
      <x:c r="A93" s="10" t="n">
        <x:v>92</x:v>
      </x:c>
      <x:c r="B93" s="10" t="str">
        <x:v>GUILD-0092</x:v>
      </x:c>
      <x:c r="C93" s="10" t="str">
        <x:v>数据与收益</x:v>
      </x:c>
      <x:c r="D93" s="10" t="str">
        <x:v>公会分成记录（公会长）</x:v>
      </x:c>
      <x:c r="E93" s="10" t="str">
        <x:v>功能需求</x:v>
      </x:c>
      <x:c r="F93" s="10" t="str">
        <x:v>P1</x:v>
      </x:c>
      <x:c r="G93" s="9" t="str">
        <x:v>验证公会分成记录不提供在线审批</x:v>
      </x:c>
      <x:c r="H93" s="9" t="str">
        <x:v>线下财务边界</x:v>
      </x:c>
      <x:c r="I93" s="9" t="str">
        <x:v>1. 当前执行账号具有公会App会话，身份为公会长；具体账号及权限变化按以下条件准备
2. 当前公会已有财务上传分成结果</x:v>
      </x:c>
      <x:c r="J93" s="9" t="str">
        <x:v>1. 打开公会分成记录</x:v>
      </x:c>
      <x:c r="K93" s="9" t="str">
        <x:v>不提供在线分成申请或审批操作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来源（当前证据）：liveshow-proto/MainBasis/统一需求文档.md；位置：第2174行、第2170行、第2171行
2. 规则：BR-7b2babdd4981b7f8
3. 未动态验证</x:v>
      </x:c>
    </x:row>
    <x:row r="94" ht="115" customHeight="1">
      <x:c r="A94" s="10" t="n">
        <x:v>93</x:v>
      </x:c>
      <x:c r="B94" s="10" t="str">
        <x:v>GUILD-0093</x:v>
      </x:c>
      <x:c r="C94" s="10" t="str">
        <x:v>公会首页</x:v>
      </x:c>
      <x:c r="D94" s="10" t="str">
        <x:v>首页（公会长）</x:v>
      </x:c>
      <x:c r="E94" s="10" t="str">
        <x:v>逻辑校验</x:v>
      </x:c>
      <x:c r="F94" s="10" t="str">
        <x:v>P0</x:v>
      </x:c>
      <x:c r="G94" s="9" t="str">
        <x:v>验证首页统计普通礼物收益</x:v>
      </x:c>
      <x:c r="H94" s="9" t="str">
        <x:v>礼物分类收益</x:v>
      </x:c>
      <x:c r="I94" s="9" t="str">
        <x:v>1. 当前执行账号具有公会App会话，身份为公会长；具体账号及权限变化按以下条件准备
2. 当前对象和统计范围内仅一笔普通礼物成功赠送，单价20金币、数量3；幸运礼物赠送时收益比例1%</x:v>
      </x:c>
      <x:c r="J94" s="9" t="str">
        <x:v>1. 打开首页
2. 查看首页收益指标</x:v>
      </x:c>
      <x:c r="K94" s="9" t="str">
        <x:v>收益=60金币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来源（当前证据）：liveshow-proto/MainBasis/统一需求文档.md；位置：第1904行、第1899行、第1900行
2. 规则：BR-5d325a2494b78de2
3. 未动态验证</x:v>
      </x:c>
    </x:row>
    <x:row r="95" ht="115" customHeight="1">
      <x:c r="A95" s="10" t="n">
        <x:v>94</x:v>
      </x:c>
      <x:c r="B95" s="10" t="str">
        <x:v>GUILD-0094</x:v>
      </x:c>
      <x:c r="C95" s="10" t="str">
        <x:v>公会首页</x:v>
      </x:c>
      <x:c r="D95" s="10" t="str">
        <x:v>首页（公会长）</x:v>
      </x:c>
      <x:c r="E95" s="10" t="str">
        <x:v>逻辑校验</x:v>
      </x:c>
      <x:c r="F95" s="10" t="str">
        <x:v>P0</x:v>
      </x:c>
      <x:c r="G95" s="9" t="str">
        <x:v>验证首页统计定制礼物收益</x:v>
      </x:c>
      <x:c r="H95" s="9" t="str">
        <x:v>礼物分类收益</x:v>
      </x:c>
      <x:c r="I95" s="9" t="str">
        <x:v>1. 当前执行账号具有公会App会话，身份为公会长；具体账号及权限变化按以下条件准备
2. 当前对象和统计范围内仅一笔定制礼物成功赠送，单价20金币、数量3；幸运礼物赠送时收益比例1%</x:v>
      </x:c>
      <x:c r="J95" s="9" t="str">
        <x:v>1. 打开首页
2. 查看首页收益指标</x:v>
      </x:c>
      <x:c r="K95" s="9" t="str">
        <x:v>收益=60金币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来源（当前证据）：liveshow-proto/MainBasis/统一需求文档.md；位置：第1904行、第1899行、第1900行
2. 规则：BR-3f2eab50a47d47d4
3. 未动态验证</x:v>
      </x:c>
    </x:row>
    <x:row r="96" ht="115" customHeight="1">
      <x:c r="A96" s="10" t="n">
        <x:v>95</x:v>
      </x:c>
      <x:c r="B96" s="10" t="str">
        <x:v>GUILD-0095</x:v>
      </x:c>
      <x:c r="C96" s="10" t="str">
        <x:v>公会首页</x:v>
      </x:c>
      <x:c r="D96" s="10" t="str">
        <x:v>首页（公会长）</x:v>
      </x:c>
      <x:c r="E96" s="10" t="str">
        <x:v>逻辑校验</x:v>
      </x:c>
      <x:c r="F96" s="10" t="str">
        <x:v>P0</x:v>
      </x:c>
      <x:c r="G96" s="9" t="str">
        <x:v>验证首页统计幸运礼物收益</x:v>
      </x:c>
      <x:c r="H96" s="9" t="str">
        <x:v>礼物分类收益</x:v>
      </x:c>
      <x:c r="I96" s="9" t="str">
        <x:v>1. 当前执行账号具有公会App会话，身份为公会长；具体账号及权限变化按以下条件准备
2. 当前对象和统计范围内仅一笔幸运礼物成功赠送，单价20金币、数量3；幸运礼物赠送时收益比例1%</x:v>
      </x:c>
      <x:c r="J96" s="9" t="str">
        <x:v>1. 打开首页
2. 查看首页收益指标</x:v>
      </x:c>
      <x:c r="K96" s="9" t="str">
        <x:v>收益=0.6金币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来源（当前证据）：liveshow-proto/MainBasis/统一需求文档.md；位置：第1904行、第1899行、第1900行
2. 规则：BR-882f9bd874df65cd
3. 未动态验证</x:v>
      </x:c>
    </x:row>
    <x:row r="97" ht="100" customHeight="1">
      <x:c r="A97" s="10" t="n">
        <x:v>96</x:v>
      </x:c>
      <x:c r="B97" s="10" t="str">
        <x:v>GUILD-0096</x:v>
      </x:c>
      <x:c r="C97" s="10" t="str">
        <x:v>公会首页</x:v>
      </x:c>
      <x:c r="D97" s="10" t="str">
        <x:v>首页（公会长）</x:v>
      </x:c>
      <x:c r="E97" s="10" t="str">
        <x:v>功能需求</x:v>
      </x:c>
      <x:c r="F97" s="10" t="str">
        <x:v>P1</x:v>
      </x:c>
      <x:c r="G97" s="9" t="str">
        <x:v>验证首页单日179分钟有效天</x:v>
      </x:c>
      <x:c r="H97" s="9" t="str">
        <x:v>有效天达标人数阈值</x:v>
      </x:c>
      <x:c r="I97" s="9" t="str">
        <x:v>1. 当前执行账号具有公会App会话，身份为公会长；具体账号及权限变化按以下条件准备
2. 主播A当日有效直播累计179分钟，当前统计范围仅该自然日和该主播</x:v>
      </x:c>
      <x:c r="J97" s="9" t="str">
        <x:v>1. 打开首页
2. 查看达成有效天</x:v>
      </x:c>
      <x:c r="K97" s="9" t="str">
        <x:v>达成有效天=0人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来源（当前证据）：liveshow-proto/MainBasis/统一需求文档.md；位置：第1903行、第1899行、第1900行
2. 规则：BR-16d5ac84f875132a
3. 未动态验证</x:v>
      </x:c>
    </x:row>
    <x:row r="98" ht="100" customHeight="1">
      <x:c r="A98" s="10" t="n">
        <x:v>97</x:v>
      </x:c>
      <x:c r="B98" s="10" t="str">
        <x:v>GUILD-0097</x:v>
      </x:c>
      <x:c r="C98" s="10" t="str">
        <x:v>公会首页</x:v>
      </x:c>
      <x:c r="D98" s="10" t="str">
        <x:v>首页（公会长）</x:v>
      </x:c>
      <x:c r="E98" s="10" t="str">
        <x:v>功能需求</x:v>
      </x:c>
      <x:c r="F98" s="10" t="str">
        <x:v>P1</x:v>
      </x:c>
      <x:c r="G98" s="9" t="str">
        <x:v>验证首页单日180分钟有效天</x:v>
      </x:c>
      <x:c r="H98" s="9" t="str">
        <x:v>有效天达标人数阈值</x:v>
      </x:c>
      <x:c r="I98" s="9" t="str">
        <x:v>1. 当前执行账号具有公会App会话，身份为公会长；具体账号及权限变化按以下条件准备
2. 主播A当日有效直播累计180分钟，当前统计范围仅该自然日和该主播</x:v>
      </x:c>
      <x:c r="J98" s="9" t="str">
        <x:v>1. 打开首页
2. 查看达成有效天</x:v>
      </x:c>
      <x:c r="K98" s="9" t="str">
        <x:v>达成有效天=1人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来源（当前证据）：liveshow-proto/MainBasis/统一需求文档.md；位置：第1903行、第1899行、第1900行
2. 规则：BR-d66812e834383fb1
3. 未动态验证</x:v>
      </x:c>
    </x:row>
    <x:row r="99" ht="100" customHeight="1">
      <x:c r="A99" s="10" t="n">
        <x:v>98</x:v>
      </x:c>
      <x:c r="B99" s="10" t="str">
        <x:v>GUILD-0098</x:v>
      </x:c>
      <x:c r="C99" s="10" t="str">
        <x:v>公会首页</x:v>
      </x:c>
      <x:c r="D99" s="10" t="str">
        <x:v>首页（公会长）</x:v>
      </x:c>
      <x:c r="E99" s="10" t="str">
        <x:v>功能需求</x:v>
      </x:c>
      <x:c r="F99" s="10" t="str">
        <x:v>P1</x:v>
      </x:c>
      <x:c r="G99" s="9" t="str">
        <x:v>验证首页单日181分钟有效天</x:v>
      </x:c>
      <x:c r="H99" s="9" t="str">
        <x:v>有效天达标人数阈值</x:v>
      </x:c>
      <x:c r="I99" s="9" t="str">
        <x:v>1. 当前执行账号具有公会App会话，身份为公会长；具体账号及权限变化按以下条件准备
2. 主播A当日有效直播累计181分钟，当前统计范围仅该自然日和该主播</x:v>
      </x:c>
      <x:c r="J99" s="9" t="str">
        <x:v>1. 打开首页
2. 查看达成有效天</x:v>
      </x:c>
      <x:c r="K99" s="9" t="str">
        <x:v>达成有效天=1人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来源（当前证据）：liveshow-proto/MainBasis/统一需求文档.md；位置：第1903行、第1899行、第1900行
2. 规则：BR-b3fd3eef52bde0c0
3. 未动态验证</x:v>
      </x:c>
    </x:row>
    <x:row r="100" ht="100" customHeight="1">
      <x:c r="A100" s="10" t="n">
        <x:v>99</x:v>
      </x:c>
      <x:c r="B100" s="10" t="str">
        <x:v>GUILD-0099</x:v>
      </x:c>
      <x:c r="C100" s="10" t="str">
        <x:v>公会首页</x:v>
      </x:c>
      <x:c r="D100" s="10" t="str">
        <x:v>首页（公会长）</x:v>
      </x:c>
      <x:c r="E100" s="10" t="str">
        <x:v>功能需求</x:v>
      </x:c>
      <x:c r="F100" s="10" t="str">
        <x:v>P1</x:v>
      </x:c>
      <x:c r="G100" s="9" t="str">
        <x:v>验证首页单日360分钟有效天</x:v>
      </x:c>
      <x:c r="H100" s="9" t="str">
        <x:v>有效天达标人数阈值</x:v>
      </x:c>
      <x:c r="I100" s="9" t="str">
        <x:v>1. 当前执行账号具有公会App会话，身份为公会长；具体账号及权限变化按以下条件准备
2. 主播A当日有效直播累计360分钟，当前统计范围仅该自然日和该主播</x:v>
      </x:c>
      <x:c r="J100" s="9" t="str">
        <x:v>1. 打开首页
2. 查看达成有效天</x:v>
      </x:c>
      <x:c r="K100" s="9" t="str">
        <x:v>达成有效天=1人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来源（当前证据）：liveshow-proto/MainBasis/统一需求文档.md；位置：第1903行、第1899行、第1900行
2. 规则：BR-c534c57582bda8be
3. 未动态验证</x:v>
      </x:c>
    </x:row>
    <x:row r="101" ht="100" customHeight="1">
      <x:c r="A101" s="10" t="n">
        <x:v>100</x:v>
      </x:c>
      <x:c r="B101" s="10" t="str">
        <x:v>GUILD-0100</x:v>
      </x:c>
      <x:c r="C101" s="10" t="str">
        <x:v>主播管理</x:v>
      </x:c>
      <x:c r="D101" s="10" t="str">
        <x:v>主播业绩（公会长）</x:v>
      </x:c>
      <x:c r="E101" s="10" t="str">
        <x:v>功能需求</x:v>
      </x:c>
      <x:c r="F101" s="10" t="str">
        <x:v>P1</x:v>
      </x:c>
      <x:c r="G101" s="9" t="str">
        <x:v>验证主播业绩单日179分钟有效天</x:v>
      </x:c>
      <x:c r="H101" s="9" t="str">
        <x:v>有效天阈值</x:v>
      </x:c>
      <x:c r="I101" s="9" t="str">
        <x:v>1. 当前执行账号具有公会App会话，身份为公会长；具体账号及权限变化按以下条件准备
2. 主播A当日有效直播累计179分钟，当前统计范围仅该自然日和该主播</x:v>
      </x:c>
      <x:c r="J101" s="9" t="str">
        <x:v>1. 打开主播业绩
2. 查看有效天指标</x:v>
      </x:c>
      <x:c r="K101" s="9" t="str">
        <x:v>A当日有效天=0天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来源（当前证据）：liveshow-proto/MainBasis/统一需求文档.md；位置：第1982行、第1978行、第1979行
2. 规则：BR-a7f6fc9fb29c7dde
3. 未动态验证</x:v>
      </x:c>
    </x:row>
    <x:row r="102" ht="100" customHeight="1">
      <x:c r="A102" s="10" t="n">
        <x:v>101</x:v>
      </x:c>
      <x:c r="B102" s="10" t="str">
        <x:v>GUILD-0101</x:v>
      </x:c>
      <x:c r="C102" s="10" t="str">
        <x:v>主播管理</x:v>
      </x:c>
      <x:c r="D102" s="10" t="str">
        <x:v>主播业绩（公会长）</x:v>
      </x:c>
      <x:c r="E102" s="10" t="str">
        <x:v>功能需求</x:v>
      </x:c>
      <x:c r="F102" s="10" t="str">
        <x:v>P1</x:v>
      </x:c>
      <x:c r="G102" s="9" t="str">
        <x:v>验证主播业绩单日180分钟有效天</x:v>
      </x:c>
      <x:c r="H102" s="9" t="str">
        <x:v>有效天阈值</x:v>
      </x:c>
      <x:c r="I102" s="9" t="str">
        <x:v>1. 当前执行账号具有公会App会话，身份为公会长；具体账号及权限变化按以下条件准备
2. 主播A当日有效直播累计180分钟，当前统计范围仅该自然日和该主播</x:v>
      </x:c>
      <x:c r="J102" s="9" t="str">
        <x:v>1. 打开主播业绩
2. 查看有效天指标</x:v>
      </x:c>
      <x:c r="K102" s="9" t="str">
        <x:v>A当日有效天=1天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来源（当前证据）：liveshow-proto/MainBasis/统一需求文档.md；位置：第1982行、第1978行、第1979行
2. 规则：BR-0361326975e808d6
3. 未动态验证</x:v>
      </x:c>
    </x:row>
    <x:row r="103" ht="100" customHeight="1">
      <x:c r="A103" s="10" t="n">
        <x:v>102</x:v>
      </x:c>
      <x:c r="B103" s="10" t="str">
        <x:v>GUILD-0102</x:v>
      </x:c>
      <x:c r="C103" s="10" t="str">
        <x:v>主播管理</x:v>
      </x:c>
      <x:c r="D103" s="10" t="str">
        <x:v>主播业绩（公会长）</x:v>
      </x:c>
      <x:c r="E103" s="10" t="str">
        <x:v>功能需求</x:v>
      </x:c>
      <x:c r="F103" s="10" t="str">
        <x:v>P1</x:v>
      </x:c>
      <x:c r="G103" s="9" t="str">
        <x:v>验证主播业绩单日181分钟有效天</x:v>
      </x:c>
      <x:c r="H103" s="9" t="str">
        <x:v>有效天阈值</x:v>
      </x:c>
      <x:c r="I103" s="9" t="str">
        <x:v>1. 当前执行账号具有公会App会话，身份为公会长；具体账号及权限变化按以下条件准备
2. 主播A当日有效直播累计181分钟，当前统计范围仅该自然日和该主播</x:v>
      </x:c>
      <x:c r="J103" s="9" t="str">
        <x:v>1. 打开主播业绩
2. 查看有效天指标</x:v>
      </x:c>
      <x:c r="K103" s="9" t="str">
        <x:v>A当日有效天=1天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来源（当前证据）：liveshow-proto/MainBasis/统一需求文档.md；位置：第1982行、第1978行、第1979行
2. 规则：BR-f828105474bec277
3. 未动态验证</x:v>
      </x:c>
    </x:row>
    <x:row r="104" ht="100" customHeight="1">
      <x:c r="A104" s="10" t="n">
        <x:v>103</x:v>
      </x:c>
      <x:c r="B104" s="10" t="str">
        <x:v>GUILD-0103</x:v>
      </x:c>
      <x:c r="C104" s="10" t="str">
        <x:v>主播管理</x:v>
      </x:c>
      <x:c r="D104" s="10" t="str">
        <x:v>主播业绩（公会长）</x:v>
      </x:c>
      <x:c r="E104" s="10" t="str">
        <x:v>功能需求</x:v>
      </x:c>
      <x:c r="F104" s="10" t="str">
        <x:v>P1</x:v>
      </x:c>
      <x:c r="G104" s="9" t="str">
        <x:v>验证主播业绩单日360分钟有效天</x:v>
      </x:c>
      <x:c r="H104" s="9" t="str">
        <x:v>有效天阈值</x:v>
      </x:c>
      <x:c r="I104" s="9" t="str">
        <x:v>1. 当前执行账号具有公会App会话，身份为公会长；具体账号及权限变化按以下条件准备
2. 主播A当日有效直播累计360分钟，当前统计范围仅该自然日和该主播</x:v>
      </x:c>
      <x:c r="J104" s="9" t="str">
        <x:v>1. 打开主播业绩
2. 查看有效天指标</x:v>
      </x:c>
      <x:c r="K104" s="9" t="str">
        <x:v>A当日有效天=1天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来源（当前证据）：liveshow-proto/MainBasis/统一需求文档.md；位置：第1982行、第1978行、第1979行
2. 规则：BR-1723c76586254196
3. 未动态验证</x:v>
      </x:c>
    </x:row>
    <x:row r="105" ht="100" customHeight="1">
      <x:c r="A105" s="10" t="n">
        <x:v>104</x:v>
      </x:c>
      <x:c r="B105" s="10" t="str">
        <x:v>GUILD-0104</x:v>
      </x:c>
      <x:c r="C105" s="10" t="str">
        <x:v>数据与收益</x:v>
      </x:c>
      <x:c r="D105" s="10" t="str">
        <x:v>主播数据（公会长）</x:v>
      </x:c>
      <x:c r="E105" s="10" t="str">
        <x:v>功能需求</x:v>
      </x:c>
      <x:c r="F105" s="10" t="str">
        <x:v>P1</x:v>
      </x:c>
      <x:c r="G105" s="9" t="str">
        <x:v>验证主播数据单日179分钟有效天</x:v>
      </x:c>
      <x:c r="H105" s="9" t="str">
        <x:v>有效天阈值</x:v>
      </x:c>
      <x:c r="I105" s="9" t="str">
        <x:v>1. 当前执行账号具有公会App会话，身份为公会长；具体账号及权限变化按以下条件准备
2. 主播A当日有效直播累计179分钟，当前统计范围仅该自然日和该主播</x:v>
      </x:c>
      <x:c r="J105" s="9" t="str">
        <x:v>1. 打开主播数据
2. 查看有效天指标</x:v>
      </x:c>
      <x:c r="K105" s="9" t="str">
        <x:v>A当日有效天=0天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来源（当前证据）：liveshow-proto/MainBasis/统一需求文档.md；位置：第1991行、第1986行、第1987行
2. 规则：BR-bf770300824769e8
3. 未动态验证</x:v>
      </x:c>
    </x:row>
    <x:row r="106" ht="100" customHeight="1">
      <x:c r="A106" s="10" t="n">
        <x:v>105</x:v>
      </x:c>
      <x:c r="B106" s="10" t="str">
        <x:v>GUILD-0105</x:v>
      </x:c>
      <x:c r="C106" s="10" t="str">
        <x:v>数据与收益</x:v>
      </x:c>
      <x:c r="D106" s="10" t="str">
        <x:v>主播数据（公会长）</x:v>
      </x:c>
      <x:c r="E106" s="10" t="str">
        <x:v>功能需求</x:v>
      </x:c>
      <x:c r="F106" s="10" t="str">
        <x:v>P1</x:v>
      </x:c>
      <x:c r="G106" s="9" t="str">
        <x:v>验证主播数据单日180分钟有效天</x:v>
      </x:c>
      <x:c r="H106" s="9" t="str">
        <x:v>有效天阈值</x:v>
      </x:c>
      <x:c r="I106" s="9" t="str">
        <x:v>1. 当前执行账号具有公会App会话，身份为公会长；具体账号及权限变化按以下条件准备
2. 主播A当日有效直播累计180分钟，当前统计范围仅该自然日和该主播</x:v>
      </x:c>
      <x:c r="J106" s="9" t="str">
        <x:v>1. 打开主播数据
2. 查看有效天指标</x:v>
      </x:c>
      <x:c r="K106" s="9" t="str">
        <x:v>A当日有效天=1天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来源（当前证据）：liveshow-proto/MainBasis/统一需求文档.md；位置：第1991行、第1986行、第1987行
2. 规则：BR-3ff8b61628e822ce
3. 未动态验证</x:v>
      </x:c>
    </x:row>
    <x:row r="107" ht="100" customHeight="1">
      <x:c r="A107" s="10" t="n">
        <x:v>106</x:v>
      </x:c>
      <x:c r="B107" s="10" t="str">
        <x:v>GUILD-0106</x:v>
      </x:c>
      <x:c r="C107" s="10" t="str">
        <x:v>数据与收益</x:v>
      </x:c>
      <x:c r="D107" s="10" t="str">
        <x:v>主播数据（公会长）</x:v>
      </x:c>
      <x:c r="E107" s="10" t="str">
        <x:v>功能需求</x:v>
      </x:c>
      <x:c r="F107" s="10" t="str">
        <x:v>P1</x:v>
      </x:c>
      <x:c r="G107" s="9" t="str">
        <x:v>验证主播数据单日181分钟有效天</x:v>
      </x:c>
      <x:c r="H107" s="9" t="str">
        <x:v>有效天阈值</x:v>
      </x:c>
      <x:c r="I107" s="9" t="str">
        <x:v>1. 当前执行账号具有公会App会话，身份为公会长；具体账号及权限变化按以下条件准备
2. 主播A当日有效直播累计181分钟，当前统计范围仅该自然日和该主播</x:v>
      </x:c>
      <x:c r="J107" s="9" t="str">
        <x:v>1. 打开主播数据
2. 查看有效天指标</x:v>
      </x:c>
      <x:c r="K107" s="9" t="str">
        <x:v>A当日有效天=1天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来源（当前证据）：liveshow-proto/MainBasis/统一需求文档.md；位置：第1991行、第1986行、第1987行
2. 规则：BR-66a3953b474c27b1
3. 未动态验证</x:v>
      </x:c>
    </x:row>
    <x:row r="108" ht="100" customHeight="1">
      <x:c r="A108" s="10" t="n">
        <x:v>107</x:v>
      </x:c>
      <x:c r="B108" s="10" t="str">
        <x:v>GUILD-0107</x:v>
      </x:c>
      <x:c r="C108" s="10" t="str">
        <x:v>数据与收益</x:v>
      </x:c>
      <x:c r="D108" s="10" t="str">
        <x:v>主播数据（公会长）</x:v>
      </x:c>
      <x:c r="E108" s="10" t="str">
        <x:v>功能需求</x:v>
      </x:c>
      <x:c r="F108" s="10" t="str">
        <x:v>P1</x:v>
      </x:c>
      <x:c r="G108" s="9" t="str">
        <x:v>验证主播数据单日360分钟有效天</x:v>
      </x:c>
      <x:c r="H108" s="9" t="str">
        <x:v>有效天阈值</x:v>
      </x:c>
      <x:c r="I108" s="9" t="str">
        <x:v>1. 当前执行账号具有公会App会话，身份为公会长；具体账号及权限变化按以下条件准备
2. 主播A当日有效直播累计360分钟，当前统计范围仅该自然日和该主播</x:v>
      </x:c>
      <x:c r="J108" s="9" t="str">
        <x:v>1. 打开主播数据
2. 查看有效天指标</x:v>
      </x:c>
      <x:c r="K108" s="9" t="str">
        <x:v>A当日有效天=1天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来源（当前证据）：liveshow-proto/MainBasis/统一需求文档.md；位置：第1991行、第1986行、第1987行
2. 规则：BR-94cfaea7f748fa94
3. 未动态验证</x:v>
      </x:c>
    </x:row>
    <x:row r="109" ht="85" customHeight="1">
      <x:c r="A109" s="10" t="n">
        <x:v>108</x:v>
      </x:c>
      <x:c r="B109" s="10" t="str">
        <x:v>GUILD-0108</x:v>
      </x:c>
      <x:c r="C109" s="10" t="str">
        <x:v>数据与收益</x:v>
      </x:c>
      <x:c r="D109" s="10" t="str">
        <x:v>主播数据（公会长）</x:v>
      </x:c>
      <x:c r="E109" s="10" t="str">
        <x:v>逻辑校验</x:v>
      </x:c>
      <x:c r="F109" s="10" t="str">
        <x:v>P1</x:v>
      </x:c>
      <x:c r="G109" s="9" t="str">
        <x:v>验证主播数据涨粉3减1</x:v>
      </x:c>
      <x:c r="H109" s="9" t="str">
        <x:v>净增粉丝</x:v>
      </x:c>
      <x:c r="I109" s="9" t="str">
        <x:v>1. 当前执行账号具有公会App会话，身份为公会长；具体账号及权限变化按以下条件准备
2. 本统计范围新增关注3人、取消关注1人，无其他关系变更</x:v>
      </x:c>
      <x:c r="J109" s="9" t="str">
        <x:v>1. 打开主播数据
2. 查看新增粉丝</x:v>
      </x:c>
      <x:c r="K109" s="9" t="str">
        <x:v>新增粉丝=2人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来源（当前证据）：liveshow-proto/MainBasis/统一需求文档.md；位置：第1991行、第1986行、第1987行
2. 规则：BR-373fd3b829daebc2
3. 未动态验证</x:v>
      </x:c>
    </x:row>
    <x:row r="110" ht="85" customHeight="1">
      <x:c r="A110" s="10" t="n">
        <x:v>109</x:v>
      </x:c>
      <x:c r="B110" s="10" t="str">
        <x:v>GUILD-0109</x:v>
      </x:c>
      <x:c r="C110" s="10" t="str">
        <x:v>数据与收益</x:v>
      </x:c>
      <x:c r="D110" s="10" t="str">
        <x:v>主播数据（公会长）</x:v>
      </x:c>
      <x:c r="E110" s="10" t="str">
        <x:v>逻辑校验</x:v>
      </x:c>
      <x:c r="F110" s="10" t="str">
        <x:v>P1</x:v>
      </x:c>
      <x:c r="G110" s="9" t="str">
        <x:v>验证主播数据涨粉1减3</x:v>
      </x:c>
      <x:c r="H110" s="9" t="str">
        <x:v>净增粉丝</x:v>
      </x:c>
      <x:c r="I110" s="9" t="str">
        <x:v>1. 当前执行账号具有公会App会话，身份为公会长；具体账号及权限变化按以下条件准备
2. 本统计范围新增关注1人、取消关注3人，无其他关系变更</x:v>
      </x:c>
      <x:c r="J110" s="9" t="str">
        <x:v>1. 打开主播数据
2. 查看新增粉丝</x:v>
      </x:c>
      <x:c r="K110" s="9" t="str">
        <x:v>新增粉丝=-2人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来源（当前证据）：liveshow-proto/MainBasis/统一需求文档.md；位置：第1991行、第1986行、第1987行
2. 规则：BR-9bcf1284d4ff3f41
3. 未动态验证</x:v>
      </x:c>
    </x:row>
    <x:row r="111" ht="85" customHeight="1">
      <x:c r="A111" s="10" t="n">
        <x:v>110</x:v>
      </x:c>
      <x:c r="B111" s="10" t="str">
        <x:v>GUILD-0110</x:v>
      </x:c>
      <x:c r="C111" s="10" t="str">
        <x:v>数据与收益</x:v>
      </x:c>
      <x:c r="D111" s="10" t="str">
        <x:v>主播数据（公会长）</x:v>
      </x:c>
      <x:c r="E111" s="10" t="str">
        <x:v>逻辑校验</x:v>
      </x:c>
      <x:c r="F111" s="10" t="str">
        <x:v>P1</x:v>
      </x:c>
      <x:c r="G111" s="9" t="str">
        <x:v>验证主播数据涨粉0减0</x:v>
      </x:c>
      <x:c r="H111" s="9" t="str">
        <x:v>净增粉丝</x:v>
      </x:c>
      <x:c r="I111" s="9" t="str">
        <x:v>1. 当前执行账号具有公会App会话，身份为公会长；具体账号及权限变化按以下条件准备
2. 本统计范围新增关注0人、取消关注0人，无其他关系变更</x:v>
      </x:c>
      <x:c r="J111" s="9" t="str">
        <x:v>1. 打开主播数据
2. 查看新增粉丝</x:v>
      </x:c>
      <x:c r="K111" s="9" t="str">
        <x:v>新增粉丝=0人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来源（当前证据）：liveshow-proto/MainBasis/统一需求文档.md；位置：第1991行、第1986行、第1987行
2. 规则：BR-4b0be7795d6b509b
3. 未动态验证</x:v>
      </x:c>
    </x:row>
    <x:row r="112" ht="100" customHeight="1">
      <x:c r="A112" s="10" t="n">
        <x:v>111</x:v>
      </x:c>
      <x:c r="B112" s="10" t="str">
        <x:v>GUILD-0111</x:v>
      </x:c>
      <x:c r="C112" s="10" t="str">
        <x:v>数据与收益</x:v>
      </x:c>
      <x:c r="D112" s="10" t="str">
        <x:v>直播记录（公会长）</x:v>
      </x:c>
      <x:c r="E112" s="10" t="str">
        <x:v>逻辑校验</x:v>
      </x:c>
      <x:c r="F112" s="10" t="str">
        <x:v>P1</x:v>
      </x:c>
      <x:c r="G112" s="9" t="str">
        <x:v>验证直播记录同人反复进房只计一名观众</x:v>
      </x:c>
      <x:c r="H112" s="9" t="str">
        <x:v>观众去重口径</x:v>
      </x:c>
      <x:c r="I112" s="9" t="str">
        <x:v>1. 当前执行账号具有公会App会话，身份为公会长；具体账号及权限变化按以下条件准备
2. 本场A成功进入2次，B成功进入1次，其他用户均未进入；当前统计仅该场次</x:v>
      </x:c>
      <x:c r="J112" s="9" t="str">
        <x:v>1. 打开直播记录
2. 查看观众人数</x:v>
      </x:c>
      <x:c r="K112" s="9" t="str">
        <x:v>本场观众人数=2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来源（当前证据）：liveshow-proto/MainBasis/统一需求文档.md；位置：第2117行、第2111行、第2112行
2. 规则：BR-7cf1ecba18523e0d
3. 未动态验证</x:v>
      </x:c>
    </x:row>
    <x:row r="113" ht="115" customHeight="1">
      <x:c r="A113" s="10" t="n">
        <x:v>112</x:v>
      </x:c>
      <x:c r="B113" s="10" t="str">
        <x:v>GUILD-0112</x:v>
      </x:c>
      <x:c r="C113" s="10" t="str">
        <x:v>数据与收益</x:v>
      </x:c>
      <x:c r="D113" s="10" t="str">
        <x:v>直播场次详情（公会长）</x:v>
      </x:c>
      <x:c r="E113" s="10" t="str">
        <x:v>逻辑校验</x:v>
      </x:c>
      <x:c r="F113" s="10" t="str">
        <x:v>P0</x:v>
      </x:c>
      <x:c r="G113" s="9" t="str">
        <x:v>验证直播场次详情统计普通礼物收益</x:v>
      </x:c>
      <x:c r="H113" s="9" t="str">
        <x:v>礼物分类收益</x:v>
      </x:c>
      <x:c r="I113" s="9" t="str">
        <x:v>1. 当前执行账号具有公会App会话，身份为公会长；具体账号及权限变化按以下条件准备
2. 当前对象和统计范围内仅一笔普通礼物成功赠送，单价20金币、数量3；幸运礼物赠送时收益比例1%</x:v>
      </x:c>
      <x:c r="J113" s="9" t="str">
        <x:v>1. 打开直播场次详情
2. 查看直播场次详情收益指标</x:v>
      </x:c>
      <x:c r="K113" s="9" t="str">
        <x:v>收益=60金币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来源（当前证据）：liveshow-proto/MainBasis/统一需求文档.md；位置：第2128行、第2122行、第2123行
2. 规则：BR-0a2de9f908c44af4
3. 未动态验证</x:v>
      </x:c>
    </x:row>
    <x:row r="114" ht="115" customHeight="1">
      <x:c r="A114" s="10" t="n">
        <x:v>113</x:v>
      </x:c>
      <x:c r="B114" s="10" t="str">
        <x:v>GUILD-0113</x:v>
      </x:c>
      <x:c r="C114" s="10" t="str">
        <x:v>数据与收益</x:v>
      </x:c>
      <x:c r="D114" s="10" t="str">
        <x:v>直播场次详情（公会长）</x:v>
      </x:c>
      <x:c r="E114" s="10" t="str">
        <x:v>逻辑校验</x:v>
      </x:c>
      <x:c r="F114" s="10" t="str">
        <x:v>P0</x:v>
      </x:c>
      <x:c r="G114" s="9" t="str">
        <x:v>验证直播场次详情统计定制礼物收益</x:v>
      </x:c>
      <x:c r="H114" s="9" t="str">
        <x:v>礼物分类收益</x:v>
      </x:c>
      <x:c r="I114" s="9" t="str">
        <x:v>1. 当前执行账号具有公会App会话，身份为公会长；具体账号及权限变化按以下条件准备
2. 当前对象和统计范围内仅一笔定制礼物成功赠送，单价20金币、数量3；幸运礼物赠送时收益比例1%</x:v>
      </x:c>
      <x:c r="J114" s="9" t="str">
        <x:v>1. 打开直播场次详情
2. 查看直播场次详情收益指标</x:v>
      </x:c>
      <x:c r="K114" s="9" t="str">
        <x:v>收益=60金币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来源（当前证据）：liveshow-proto/MainBasis/统一需求文档.md；位置：第2128行、第2122行、第2123行
2. 规则：BR-253023a2d9c2bb7a
3. 未动态验证</x:v>
      </x:c>
    </x:row>
    <x:row r="115" ht="115" customHeight="1">
      <x:c r="A115" s="10" t="n">
        <x:v>114</x:v>
      </x:c>
      <x:c r="B115" s="10" t="str">
        <x:v>GUILD-0114</x:v>
      </x:c>
      <x:c r="C115" s="10" t="str">
        <x:v>数据与收益</x:v>
      </x:c>
      <x:c r="D115" s="10" t="str">
        <x:v>直播场次详情（公会长）</x:v>
      </x:c>
      <x:c r="E115" s="10" t="str">
        <x:v>逻辑校验</x:v>
      </x:c>
      <x:c r="F115" s="10" t="str">
        <x:v>P0</x:v>
      </x:c>
      <x:c r="G115" s="9" t="str">
        <x:v>验证直播场次详情统计幸运礼物收益</x:v>
      </x:c>
      <x:c r="H115" s="9" t="str">
        <x:v>礼物分类收益</x:v>
      </x:c>
      <x:c r="I115" s="9" t="str">
        <x:v>1. 当前执行账号具有公会App会话，身份为公会长；具体账号及权限变化按以下条件准备
2. 当前对象和统计范围内仅一笔幸运礼物成功赠送，单价20金币、数量3；幸运礼物赠送时收益比例1%</x:v>
      </x:c>
      <x:c r="J115" s="9" t="str">
        <x:v>1. 打开直播场次详情
2. 查看直播场次详情收益指标</x:v>
      </x:c>
      <x:c r="K115" s="9" t="str">
        <x:v>收益=0.6金币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来源（当前证据）：liveshow-proto/MainBasis/统一需求文档.md；位置：第2128行、第2122行、第2123行
2. 规则：BR-e2ff52c6af3453b0
3. 未动态验证</x:v>
      </x:c>
    </x:row>
    <x:row r="116" ht="100" customHeight="1">
      <x:c r="A116" s="10" t="n">
        <x:v>115</x:v>
      </x:c>
      <x:c r="B116" s="10" t="str">
        <x:v>GUILD-0115</x:v>
      </x:c>
      <x:c r="C116" s="10" t="str">
        <x:v>数据与收益</x:v>
      </x:c>
      <x:c r="D116" s="10" t="str">
        <x:v>直播场次详情（公会长）</x:v>
      </x:c>
      <x:c r="E116" s="10" t="str">
        <x:v>逻辑校验</x:v>
      </x:c>
      <x:c r="F116" s="10" t="str">
        <x:v>P1</x:v>
      </x:c>
      <x:c r="G116" s="9" t="str">
        <x:v>验证直播场次详情同人反复进房只计一名观众</x:v>
      </x:c>
      <x:c r="H116" s="9" t="str">
        <x:v>观众去重口径</x:v>
      </x:c>
      <x:c r="I116" s="9" t="str">
        <x:v>1. 当前执行账号具有公会App会话，身份为公会长；具体账号及权限变化按以下条件准备
2. 本场A成功进入2次，B成功进入1次，其他用户均未进入；当前统计仅该场次</x:v>
      </x:c>
      <x:c r="J116" s="9" t="str">
        <x:v>1. 打开直播场次详情
2. 查看观众人数</x:v>
      </x:c>
      <x:c r="K116" s="9" t="str">
        <x:v>本场观众人数=2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来源（当前证据）：liveshow-proto/MainBasis/统一需求文档.md；位置：第2127行、第2122行、第2123行
2. 规则：BR-48544a08dd76c47d
3. 未动态验证</x:v>
      </x:c>
    </x:row>
    <x:row r="117" ht="100" customHeight="1">
      <x:c r="A117" s="10" t="n">
        <x:v>116</x:v>
      </x:c>
      <x:c r="B117" s="10" t="str">
        <x:v>GUILD-0116</x:v>
      </x:c>
      <x:c r="C117" s="10" t="str">
        <x:v>数据与收益</x:v>
      </x:c>
      <x:c r="D117" s="10" t="str">
        <x:v>公会业绩（公会长）</x:v>
      </x:c>
      <x:c r="E117" s="10" t="str">
        <x:v>功能需求</x:v>
      </x:c>
      <x:c r="F117" s="10" t="str">
        <x:v>P1</x:v>
      </x:c>
      <x:c r="G117" s="9" t="str">
        <x:v>验证公会业绩单日179分钟有效天</x:v>
      </x:c>
      <x:c r="H117" s="9" t="str">
        <x:v>有效天阈值</x:v>
      </x:c>
      <x:c r="I117" s="9" t="str">
        <x:v>1. 当前执行账号具有公会App会话，身份为公会长；具体账号及权限变化按以下条件准备
2. 主播A当日有效直播累计179分钟，当前统计范围仅该自然日和该主播</x:v>
      </x:c>
      <x:c r="J117" s="9" t="str">
        <x:v>1. 打开公会业绩
2. 查看有效天指标</x:v>
      </x:c>
      <x:c r="K117" s="9" t="str">
        <x:v>A当日有效天=0天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来源（当前证据）：liveshow-proto/MainBasis/统一需求文档.md；位置：第2146行、第2143行、第2144行
2. 规则：BR-cae2f0f8c8dff97e
3. 未动态验证</x:v>
      </x:c>
    </x:row>
    <x:row r="118" ht="100" customHeight="1">
      <x:c r="A118" s="10" t="n">
        <x:v>117</x:v>
      </x:c>
      <x:c r="B118" s="10" t="str">
        <x:v>GUILD-0117</x:v>
      </x:c>
      <x:c r="C118" s="10" t="str">
        <x:v>数据与收益</x:v>
      </x:c>
      <x:c r="D118" s="10" t="str">
        <x:v>公会业绩（公会长）</x:v>
      </x:c>
      <x:c r="E118" s="10" t="str">
        <x:v>功能需求</x:v>
      </x:c>
      <x:c r="F118" s="10" t="str">
        <x:v>P1</x:v>
      </x:c>
      <x:c r="G118" s="9" t="str">
        <x:v>验证公会业绩单日180分钟有效天</x:v>
      </x:c>
      <x:c r="H118" s="9" t="str">
        <x:v>有效天阈值</x:v>
      </x:c>
      <x:c r="I118" s="9" t="str">
        <x:v>1. 当前执行账号具有公会App会话，身份为公会长；具体账号及权限变化按以下条件准备
2. 主播A当日有效直播累计180分钟，当前统计范围仅该自然日和该主播</x:v>
      </x:c>
      <x:c r="J118" s="9" t="str">
        <x:v>1. 打开公会业绩
2. 查看有效天指标</x:v>
      </x:c>
      <x:c r="K118" s="9" t="str">
        <x:v>A当日有效天=1天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来源（当前证据）：liveshow-proto/MainBasis/统一需求文档.md；位置：第2146行、第2143行、第2144行
2. 规则：BR-e366d2bccdc8e008
3. 未动态验证</x:v>
      </x:c>
    </x:row>
    <x:row r="119" ht="100" customHeight="1">
      <x:c r="A119" s="10" t="n">
        <x:v>118</x:v>
      </x:c>
      <x:c r="B119" s="10" t="str">
        <x:v>GUILD-0118</x:v>
      </x:c>
      <x:c r="C119" s="10" t="str">
        <x:v>数据与收益</x:v>
      </x:c>
      <x:c r="D119" s="10" t="str">
        <x:v>公会业绩（公会长）</x:v>
      </x:c>
      <x:c r="E119" s="10" t="str">
        <x:v>功能需求</x:v>
      </x:c>
      <x:c r="F119" s="10" t="str">
        <x:v>P1</x:v>
      </x:c>
      <x:c r="G119" s="9" t="str">
        <x:v>验证公会业绩单日181分钟有效天</x:v>
      </x:c>
      <x:c r="H119" s="9" t="str">
        <x:v>有效天阈值</x:v>
      </x:c>
      <x:c r="I119" s="9" t="str">
        <x:v>1. 当前执行账号具有公会App会话，身份为公会长；具体账号及权限变化按以下条件准备
2. 主播A当日有效直播累计181分钟，当前统计范围仅该自然日和该主播</x:v>
      </x:c>
      <x:c r="J119" s="9" t="str">
        <x:v>1. 打开公会业绩
2. 查看有效天指标</x:v>
      </x:c>
      <x:c r="K119" s="9" t="str">
        <x:v>A当日有效天=1天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来源（当前证据）：liveshow-proto/MainBasis/统一需求文档.md；位置：第2146行、第2143行、第2144行
2. 规则：BR-1293016c906caba6
3. 未动态验证</x:v>
      </x:c>
    </x:row>
    <x:row r="120" ht="100" customHeight="1">
      <x:c r="A120" s="10" t="n">
        <x:v>119</x:v>
      </x:c>
      <x:c r="B120" s="10" t="str">
        <x:v>GUILD-0119</x:v>
      </x:c>
      <x:c r="C120" s="10" t="str">
        <x:v>数据与收益</x:v>
      </x:c>
      <x:c r="D120" s="10" t="str">
        <x:v>公会业绩（公会长）</x:v>
      </x:c>
      <x:c r="E120" s="10" t="str">
        <x:v>功能需求</x:v>
      </x:c>
      <x:c r="F120" s="10" t="str">
        <x:v>P1</x:v>
      </x:c>
      <x:c r="G120" s="9" t="str">
        <x:v>验证公会业绩单日360分钟有效天</x:v>
      </x:c>
      <x:c r="H120" s="9" t="str">
        <x:v>有效天阈值</x:v>
      </x:c>
      <x:c r="I120" s="9" t="str">
        <x:v>1. 当前执行账号具有公会App会话，身份为公会长；具体账号及权限变化按以下条件准备
2. 主播A当日有效直播累计360分钟，当前统计范围仅该自然日和该主播</x:v>
      </x:c>
      <x:c r="J120" s="9" t="str">
        <x:v>1. 打开公会业绩
2. 查看有效天指标</x:v>
      </x:c>
      <x:c r="K120" s="9" t="str">
        <x:v>A当日有效天=1天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来源（当前证据）：liveshow-proto/MainBasis/统一需求文档.md；位置：第2146行、第2143行、第2144行
2. 规则：BR-b95d0e30f2931336
3. 未动态验证</x:v>
      </x:c>
    </x:row>
    <x:row r="121" ht="100" customHeight="1">
      <x:c r="A121" s="10" t="n">
        <x:v>120</x:v>
      </x:c>
      <x:c r="B121" s="10" t="str">
        <x:v>GUILD-0120</x:v>
      </x:c>
      <x:c r="C121" s="10" t="str">
        <x:v>数据与收益</x:v>
      </x:c>
      <x:c r="D121" s="10" t="str">
        <x:v>每日（公会长）</x:v>
      </x:c>
      <x:c r="E121" s="10" t="str">
        <x:v>功能需求</x:v>
      </x:c>
      <x:c r="F121" s="10" t="str">
        <x:v>P1</x:v>
      </x:c>
      <x:c r="G121" s="9" t="str">
        <x:v>验证每日单日179分钟有效天</x:v>
      </x:c>
      <x:c r="H121" s="9" t="str">
        <x:v>有效天达标人数阈值</x:v>
      </x:c>
      <x:c r="I121" s="9" t="str">
        <x:v>1. 当前执行账号具有公会App会话，身份为公会长；具体账号及权限变化按以下条件准备
2. 主播A当日有效直播累计179分钟，当前统计范围仅该自然日和该主播</x:v>
      </x:c>
      <x:c r="J121" s="9" t="str">
        <x:v>1. 打开每日
2. 查看达成有效天</x:v>
      </x:c>
      <x:c r="K121" s="9" t="str">
        <x:v>达成有效天=0人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来源（当前证据）：liveshow-proto/MainBasis/统一需求文档.md；位置：第2158行、第2153行、第2154行
2. 规则：BR-1b37e973c799f28d
3. 未动态验证</x:v>
      </x:c>
    </x:row>
    <x:row r="122" ht="100" customHeight="1">
      <x:c r="A122" s="10" t="n">
        <x:v>121</x:v>
      </x:c>
      <x:c r="B122" s="10" t="str">
        <x:v>GUILD-0121</x:v>
      </x:c>
      <x:c r="C122" s="10" t="str">
        <x:v>数据与收益</x:v>
      </x:c>
      <x:c r="D122" s="10" t="str">
        <x:v>每日（公会长）</x:v>
      </x:c>
      <x:c r="E122" s="10" t="str">
        <x:v>功能需求</x:v>
      </x:c>
      <x:c r="F122" s="10" t="str">
        <x:v>P1</x:v>
      </x:c>
      <x:c r="G122" s="9" t="str">
        <x:v>验证每日单日180分钟有效天</x:v>
      </x:c>
      <x:c r="H122" s="9" t="str">
        <x:v>有效天达标人数阈值</x:v>
      </x:c>
      <x:c r="I122" s="9" t="str">
        <x:v>1. 当前执行账号具有公会App会话，身份为公会长；具体账号及权限变化按以下条件准备
2. 主播A当日有效直播累计180分钟，当前统计范围仅该自然日和该主播</x:v>
      </x:c>
      <x:c r="J122" s="9" t="str">
        <x:v>1. 打开每日
2. 查看达成有效天</x:v>
      </x:c>
      <x:c r="K122" s="9" t="str">
        <x:v>达成有效天=1人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来源（当前证据）：liveshow-proto/MainBasis/统一需求文档.md；位置：第2158行、第2153行、第2154行
2. 规则：BR-4433a7ea1b4d8d7f
3. 未动态验证</x:v>
      </x:c>
    </x:row>
    <x:row r="123" ht="100" customHeight="1">
      <x:c r="A123" s="10" t="n">
        <x:v>122</x:v>
      </x:c>
      <x:c r="B123" s="10" t="str">
        <x:v>GUILD-0122</x:v>
      </x:c>
      <x:c r="C123" s="10" t="str">
        <x:v>数据与收益</x:v>
      </x:c>
      <x:c r="D123" s="10" t="str">
        <x:v>每日（公会长）</x:v>
      </x:c>
      <x:c r="E123" s="10" t="str">
        <x:v>功能需求</x:v>
      </x:c>
      <x:c r="F123" s="10" t="str">
        <x:v>P1</x:v>
      </x:c>
      <x:c r="G123" s="9" t="str">
        <x:v>验证每日单日181分钟有效天</x:v>
      </x:c>
      <x:c r="H123" s="9" t="str">
        <x:v>有效天达标人数阈值</x:v>
      </x:c>
      <x:c r="I123" s="9" t="str">
        <x:v>1. 当前执行账号具有公会App会话，身份为公会长；具体账号及权限变化按以下条件准备
2. 主播A当日有效直播累计181分钟，当前统计范围仅该自然日和该主播</x:v>
      </x:c>
      <x:c r="J123" s="9" t="str">
        <x:v>1. 打开每日
2. 查看达成有效天</x:v>
      </x:c>
      <x:c r="K123" s="9" t="str">
        <x:v>达成有效天=1人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来源（当前证据）：liveshow-proto/MainBasis/统一需求文档.md；位置：第2158行、第2153行、第2154行
2. 规则：BR-c379fe70cef4c2eb
3. 未动态验证</x:v>
      </x:c>
    </x:row>
    <x:row r="124" ht="100" customHeight="1">
      <x:c r="A124" s="10" t="n">
        <x:v>123</x:v>
      </x:c>
      <x:c r="B124" s="10" t="str">
        <x:v>GUILD-0123</x:v>
      </x:c>
      <x:c r="C124" s="10" t="str">
        <x:v>数据与收益</x:v>
      </x:c>
      <x:c r="D124" s="10" t="str">
        <x:v>每日（公会长）</x:v>
      </x:c>
      <x:c r="E124" s="10" t="str">
        <x:v>功能需求</x:v>
      </x:c>
      <x:c r="F124" s="10" t="str">
        <x:v>P1</x:v>
      </x:c>
      <x:c r="G124" s="9" t="str">
        <x:v>验证每日单日360分钟有效天</x:v>
      </x:c>
      <x:c r="H124" s="9" t="str">
        <x:v>有效天达标人数阈值</x:v>
      </x:c>
      <x:c r="I124" s="9" t="str">
        <x:v>1. 当前执行账号具有公会App会话，身份为公会长；具体账号及权限变化按以下条件准备
2. 主播A当日有效直播累计360分钟，当前统计范围仅该自然日和该主播</x:v>
      </x:c>
      <x:c r="J124" s="9" t="str">
        <x:v>1. 打开每日
2. 查看达成有效天</x:v>
      </x:c>
      <x:c r="K124" s="9" t="str">
        <x:v>达成有效天=1人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来源（当前证据）：liveshow-proto/MainBasis/统一需求文档.md；位置：第2158行、第2153行、第2154行
2. 规则：BR-99834b6f094cb01c
3. 未动态验证</x:v>
      </x:c>
    </x:row>
    <x:row r="125" ht="100" customHeight="1">
      <x:c r="A125" s="10" t="n">
        <x:v>124</x:v>
      </x:c>
      <x:c r="B125" s="10" t="str">
        <x:v>GUILD-0124</x:v>
      </x:c>
      <x:c r="C125" s="10" t="str">
        <x:v>主播管理</x:v>
      </x:c>
      <x:c r="D125" s="10" t="str">
        <x:v>主播业绩（公会长）</x:v>
      </x:c>
      <x:c r="E125" s="10" t="str">
        <x:v>逻辑校验</x:v>
      </x:c>
      <x:c r="F125" s="10" t="str">
        <x:v>P1</x:v>
      </x:c>
      <x:c r="G125" s="9" t="str">
        <x:v>验证主播达标人数采用奇数样本中位数</x:v>
      </x:c>
      <x:c r="H125" s="9" t="str">
        <x:v>有效天中位数奇数样本</x:v>
      </x:c>
      <x:c r="I125" s="9" t="str">
        <x:v>1. 当前执行账号具有公会App会话，身份为公会长；具体账号及权限变化按以下条件准备
2. 本范围已完成直播的主播A、B、C累计有效天分别1、2、3天；另有D未开播</x:v>
      </x:c>
      <x:c r="J125" s="9" t="str">
        <x:v>1. 打开主播业绩</x:v>
      </x:c>
      <x:c r="K125" s="9" t="str">
        <x:v>达标人数=2人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来源（当前证据）：liveshow-proto/MainBasis/统一需求文档.md；位置：第1981行、第1978行、第1979行
2. 规则：BR-2632c136137fb3ba
3. 未动态验证</x:v>
      </x:c>
    </x:row>
    <x:row r="126" ht="100" customHeight="1">
      <x:c r="A126" s="10" t="n">
        <x:v>125</x:v>
      </x:c>
      <x:c r="B126" s="10" t="str">
        <x:v>GUILD-0125</x:v>
      </x:c>
      <x:c r="C126" s="10" t="str">
        <x:v>主播管理</x:v>
      </x:c>
      <x:c r="D126" s="10" t="str">
        <x:v>主播业绩（公会长）</x:v>
      </x:c>
      <x:c r="E126" s="10" t="str">
        <x:v>逻辑校验</x:v>
      </x:c>
      <x:c r="F126" s="10" t="str">
        <x:v>P1</x:v>
      </x:c>
      <x:c r="G126" s="9" t="str">
        <x:v>验证主播达标人数采用偶数样本中位数</x:v>
      </x:c>
      <x:c r="H126" s="9" t="str">
        <x:v>有效天中位数偶数样本</x:v>
      </x:c>
      <x:c r="I126" s="9" t="str">
        <x:v>1. 当前执行账号具有公会App会话，身份为公会长；具体账号及权限变化按以下条件准备
2. 本范围已完成直播的主播A、B、C、D累计有效天分别1、2、3、4天；中位数2.5天</x:v>
      </x:c>
      <x:c r="J126" s="9" t="str">
        <x:v>1. 打开主播业绩</x:v>
      </x:c>
      <x:c r="K126" s="9" t="str">
        <x:v>达标人数=2人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来源（当前证据）：liveshow-proto/MainBasis/统一需求文档.md；位置：第1981行、第1978行、第1979行
2. 规则：BR-3239c6c53d0b0189
3. 未动态验证</x:v>
      </x:c>
    </x:row>
    <x:row r="127" ht="100" customHeight="1">
      <x:c r="A127" s="10" t="n">
        <x:v>126</x:v>
      </x:c>
      <x:c r="B127" s="10" t="str">
        <x:v>GUILD-0126</x:v>
      </x:c>
      <x:c r="C127" s="10" t="str">
        <x:v>主播管理</x:v>
      </x:c>
      <x:c r="D127" s="10" t="str">
        <x:v>主播业绩（公会长）</x:v>
      </x:c>
      <x:c r="E127" s="10" t="str">
        <x:v>功能需求</x:v>
      </x:c>
      <x:c r="F127" s="10" t="str">
        <x:v>P1</x:v>
      </x:c>
      <x:c r="G127" s="9" t="str">
        <x:v>验证退会后历史业绩仍归发生公会</x:v>
      </x:c>
      <x:c r="H127" s="9" t="str">
        <x:v>历史关系统计快照</x:v>
      </x:c>
      <x:c r="I127" s="9" t="str">
        <x:v>1. 当前执行账号具有公会App会话，身份为公会长；具体账号及权限变化按以下条件准备
2. A在G1期间产生100金币收益，退会后在G2期间产生200金币收益</x:v>
      </x:c>
      <x:c r="J127" s="9" t="str">
        <x:v>1. 打开G1主播业绩
2. 选择包含两个时期的日期范围</x:v>
      </x:c>
      <x:c r="K127" s="9" t="str">
        <x:v>G1只计A在会期间的100金币收益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来源（当前证据）：liveshow-proto/MainBasis/统一需求文档.md；位置：第1983行、第1978行、第1979行
2. 规则：BR-f812c1b6dde768ec
3. 未动态验证</x:v>
      </x:c>
    </x:row>
    <x:row r="128" ht="85" customHeight="1">
      <x:c r="A128" s="10" t="n">
        <x:v>127</x:v>
      </x:c>
      <x:c r="B128" s="10" t="str">
        <x:v>GUILD-0127</x:v>
      </x:c>
      <x:c r="C128" s="10" t="str">
        <x:v>数据与收益</x:v>
      </x:c>
      <x:c r="D128" s="10" t="str">
        <x:v>每日（公会长）</x:v>
      </x:c>
      <x:c r="E128" s="10" t="str">
        <x:v>功能需求</x:v>
      </x:c>
      <x:c r="F128" s="10" t="str">
        <x:v>P1</x:v>
      </x:c>
      <x:c r="G128" s="9" t="str">
        <x:v>验证历史日期直播中指标采用当日开播人数</x:v>
      </x:c>
      <x:c r="H128" s="9" t="str">
        <x:v>实时与历史统计口径</x:v>
      </x:c>
      <x:c r="I128" s="9" t="str">
        <x:v>1. 当前执行账号具有公会App会话，身份为公会长；具体账号及权限变化按以下条件准备
2. 所选历史日有A、B开播，当前仅C正在直播</x:v>
      </x:c>
      <x:c r="J128" s="9" t="str">
        <x:v>1. 打开该历史日经营详情</x:v>
      </x:c>
      <x:c r="K128" s="9" t="str">
        <x:v>历史日直播中指标显示2人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来源（当前证据）：liveshow-proto/MainBasis/统一需求文档.md；位置：第2158行、第2153行、第2154行
2. 规则：BR-7f6a57305a534f4d
3. 未动态验证</x:v>
      </x:c>
    </x:row>
    <x:row r="129" ht="85" customHeight="1">
      <x:c r="A129" s="10" t="n">
        <x:v>128</x:v>
      </x:c>
      <x:c r="B129" s="10" t="str">
        <x:v>GUILD-0128</x:v>
      </x:c>
      <x:c r="C129" s="10" t="str">
        <x:v>运营管理</x:v>
      </x:c>
      <x:c r="D129" s="10" t="str">
        <x:v>创建运营账号（公会长）</x:v>
      </x:c>
      <x:c r="E129" s="10" t="str">
        <x:v>逻辑校验</x:v>
      </x:c>
      <x:c r="F129" s="10" t="str">
        <x:v>P0</x:v>
      </x:c>
      <x:c r="G129" s="9" t="str">
        <x:v>验证创建运营账号剩余额度100与200</x:v>
      </x:c>
      <x:c r="H129" s="9" t="str">
        <x:v>虚拟金币双额度</x:v>
      </x:c>
      <x:c r="I129" s="9" t="str">
        <x:v>1. 当前执行账号具有公会App会话，身份为公会长；具体账号及权限变化按以下条件准备
2. 单账号月剩余额度100，公会月剩余额度200</x:v>
      </x:c>
      <x:c r="J129" s="9" t="str">
        <x:v>1. 打开新建运营账号</x:v>
      </x:c>
      <x:c r="K129" s="9" t="str">
        <x:v>本次可发上限=100虚拟金币</x:v>
      </x:c>
      <x:c r="L129" s="10" t="str">
        <x:v>FLOW-VIRTUAL-ISSUE</x:v>
      </x:c>
      <x:c r="M129" s="10" t="str">
        <x:v>未测</x:v>
      </x:c>
      <x:c r="N129" s="10" t="str"/>
      <x:c r="O129" s="9" t="str">
        <x:v>1. 来源（当前证据）：liveshow-proto/MainBasis/统一需求文档.md；位置：第2059行、第2051行、第2052行
2. 规则：BR-fa267f72982b3ab0
3. 未动态验证</x:v>
      </x:c>
    </x:row>
    <x:row r="130" ht="85" customHeight="1">
      <x:c r="A130" s="10" t="n">
        <x:v>129</x:v>
      </x:c>
      <x:c r="B130" s="10" t="str">
        <x:v>GUILD-0129</x:v>
      </x:c>
      <x:c r="C130" s="10" t="str">
        <x:v>运营管理</x:v>
      </x:c>
      <x:c r="D130" s="10" t="str">
        <x:v>创建运营账号（公会长）</x:v>
      </x:c>
      <x:c r="E130" s="10" t="str">
        <x:v>逻辑校验</x:v>
      </x:c>
      <x:c r="F130" s="10" t="str">
        <x:v>P0</x:v>
      </x:c>
      <x:c r="G130" s="9" t="str">
        <x:v>验证创建运营账号剩余额度200与100</x:v>
      </x:c>
      <x:c r="H130" s="9" t="str">
        <x:v>虚拟金币双额度</x:v>
      </x:c>
      <x:c r="I130" s="9" t="str">
        <x:v>1. 当前执行账号具有公会App会话，身份为公会长；具体账号及权限变化按以下条件准备
2. 单账号月剩余额度200，公会月剩余额度100</x:v>
      </x:c>
      <x:c r="J130" s="9" t="str">
        <x:v>1. 打开新建运营账号</x:v>
      </x:c>
      <x:c r="K130" s="9" t="str">
        <x:v>本次可发上限=100虚拟金币</x:v>
      </x:c>
      <x:c r="L130" s="10" t="str">
        <x:v>FLOW-VIRTUAL-ISSUE</x:v>
      </x:c>
      <x:c r="M130" s="10" t="str">
        <x:v>未测</x:v>
      </x:c>
      <x:c r="N130" s="10" t="str"/>
      <x:c r="O130" s="9" t="str">
        <x:v>1. 来源（当前证据）：liveshow-proto/MainBasis/统一需求文档.md；位置：第2059行、第2051行、第2052行
2. 规则：BR-68ff37483e72ea3b
3. 未动态验证</x:v>
      </x:c>
    </x:row>
    <x:row r="131" ht="85" customHeight="1">
      <x:c r="A131" s="10" t="n">
        <x:v>130</x:v>
      </x:c>
      <x:c r="B131" s="10" t="str">
        <x:v>GUILD-0130</x:v>
      </x:c>
      <x:c r="C131" s="10" t="str">
        <x:v>运营管理</x:v>
      </x:c>
      <x:c r="D131" s="10" t="str">
        <x:v>创建运营账号（公会长）</x:v>
      </x:c>
      <x:c r="E131" s="10" t="str">
        <x:v>逻辑校验</x:v>
      </x:c>
      <x:c r="F131" s="10" t="str">
        <x:v>P0</x:v>
      </x:c>
      <x:c r="G131" s="9" t="str">
        <x:v>验证创建运营账号剩余额度0与100</x:v>
      </x:c>
      <x:c r="H131" s="9" t="str">
        <x:v>虚拟金币双额度</x:v>
      </x:c>
      <x:c r="I131" s="9" t="str">
        <x:v>1. 当前执行账号具有公会App会话，身份为公会长；具体账号及权限变化按以下条件准备
2. 单账号月剩余额度0，公会月剩余额度100</x:v>
      </x:c>
      <x:c r="J131" s="9" t="str">
        <x:v>1. 打开新建运营账号</x:v>
      </x:c>
      <x:c r="K131" s="9" t="str">
        <x:v>本次可发上限=0虚拟金币</x:v>
      </x:c>
      <x:c r="L131" s="10" t="str">
        <x:v>FLOW-VIRTUAL-ISSUE</x:v>
      </x:c>
      <x:c r="M131" s="10" t="str">
        <x:v>未测</x:v>
      </x:c>
      <x:c r="N131" s="10" t="str"/>
      <x:c r="O131" s="9" t="str">
        <x:v>1. 来源（当前证据）：liveshow-proto/MainBasis/统一需求文档.md；位置：第2059行、第2051行、第2052行
2. 规则：BR-52a2396a9cab41b6
3. 未动态验证</x:v>
      </x:c>
    </x:row>
    <x:row r="132" ht="85" customHeight="1">
      <x:c r="A132" s="10" t="n">
        <x:v>131</x:v>
      </x:c>
      <x:c r="B132" s="10" t="str">
        <x:v>GUILD-0131</x:v>
      </x:c>
      <x:c r="C132" s="10" t="str">
        <x:v>运营管理</x:v>
      </x:c>
      <x:c r="D132" s="10" t="str">
        <x:v>创建运营账号（公会长）</x:v>
      </x:c>
      <x:c r="E132" s="10" t="str">
        <x:v>逻辑校验</x:v>
      </x:c>
      <x:c r="F132" s="10" t="str">
        <x:v>P0</x:v>
      </x:c>
      <x:c r="G132" s="9" t="str">
        <x:v>验证创建运营账号剩余额度100与0</x:v>
      </x:c>
      <x:c r="H132" s="9" t="str">
        <x:v>虚拟金币双额度</x:v>
      </x:c>
      <x:c r="I132" s="9" t="str">
        <x:v>1. 当前执行账号具有公会App会话，身份为公会长；具体账号及权限变化按以下条件准备
2. 单账号月剩余额度100，公会月剩余额度0</x:v>
      </x:c>
      <x:c r="J132" s="9" t="str">
        <x:v>1. 打开新建运营账号</x:v>
      </x:c>
      <x:c r="K132" s="9" t="str">
        <x:v>本次可发上限=0虚拟金币</x:v>
      </x:c>
      <x:c r="L132" s="10" t="str">
        <x:v>FLOW-VIRTUAL-ISSUE</x:v>
      </x:c>
      <x:c r="M132" s="10" t="str">
        <x:v>未测</x:v>
      </x:c>
      <x:c r="N132" s="10" t="str"/>
      <x:c r="O132" s="9" t="str">
        <x:v>1. 来源（当前证据）：liveshow-proto/MainBasis/统一需求文档.md；位置：第2059行、第2051行、第2052行
2. 规则：BR-c2cf913b42430b8e
3. 未动态验证</x:v>
      </x:c>
    </x:row>
    <x:row r="133" ht="175" customHeight="1">
      <x:c r="A133" s="10" t="n">
        <x:v>132</x:v>
      </x:c>
      <x:c r="B133" s="10" t="str">
        <x:v>GUILD-0132</x:v>
      </x:c>
      <x:c r="C133" s="10" t="str">
        <x:v>运营管理</x:v>
      </x:c>
      <x:c r="D133" s="10" t="str">
        <x:v>创建运营账号（公会长）</x:v>
      </x:c>
      <x:c r="E133" s="10" t="str">
        <x:v>业务流程</x:v>
      </x:c>
      <x:c r="F133" s="10" t="str">
        <x:v>P0</x:v>
      </x:c>
      <x:c r="G133" s="9" t="str">
        <x:v>验证创建运营账号初始发放-1</x:v>
      </x:c>
      <x:c r="H133" s="9" t="str">
        <x:v>新运营账号状态</x:v>
      </x:c>
      <x:c r="I133" s="9" t="str">
        <x:v>1. 当前执行账号具有公会App会话，身份为公会长；具体账号及权限变化按以下条件准备
2. 公会G1可用，单账号与公会本次可发上限均100；账号、名称、头像、初始密码已经按新建表单准备
3. 准备头像qa-avatar.png，名称测试运营，登录账号qa_ops_new在全平台未使用；初始密码OpsPass12</x:v>
      </x:c>
      <x:c r="J133" s="9" t="str">
        <x:v>1. 打开新建运营账号
2. 上传头像qa-avatar.png
3. 输入名称“测试运营”
4. 输入登录账号“qa_ops_new”
5. 输入初始密码“OpsPass12”
6. 输入发放金币“-1”
7. 点击“确认创建”</x:v>
      </x:c>
      <x:c r="K133" s="9" t="str">
        <x:v>不创建负数发放的账号</x:v>
      </x:c>
      <x:c r="L133" s="10" t="str">
        <x:v>FLOW-VIRTUAL-ISSUE</x:v>
      </x:c>
      <x:c r="M133" s="10" t="str">
        <x:v>未测</x:v>
      </x:c>
      <x:c r="N133" s="10" t="str"/>
      <x:c r="O133" s="9" t="str">
        <x:v>1. 来源（当前证据）：liveshow-proto/MainBasis/统一需求文档.md；位置：第2057行、第2051行、第2052行
2. 规则：BR-2b02d2f4e433d9a3
3. 未动态验证</x:v>
      </x:c>
    </x:row>
    <x:row r="134" ht="175" customHeight="1">
      <x:c r="A134" s="10" t="n">
        <x:v>133</x:v>
      </x:c>
      <x:c r="B134" s="10" t="str">
        <x:v>GUILD-0133</x:v>
      </x:c>
      <x:c r="C134" s="10" t="str">
        <x:v>运营管理</x:v>
      </x:c>
      <x:c r="D134" s="10" t="str">
        <x:v>创建运营账号（公会长）</x:v>
      </x:c>
      <x:c r="E134" s="10" t="str">
        <x:v>业务流程</x:v>
      </x:c>
      <x:c r="F134" s="10" t="str">
        <x:v>P0</x:v>
      </x:c>
      <x:c r="G134" s="9" t="str">
        <x:v>验证创建运营账号初始发放0</x:v>
      </x:c>
      <x:c r="H134" s="9" t="str">
        <x:v>新运营账号状态</x:v>
      </x:c>
      <x:c r="I134" s="9" t="str">
        <x:v>1. 当前执行账号具有公会App会话，身份为公会长；具体账号及权限变化按以下条件准备
2. 公会G1可用，单账号与公会本次可发上限均100；账号、名称、头像、初始密码已经按新建表单准备
3. 准备头像qa-avatar.png，名称测试运营，登录账号qa_ops_new在全平台未使用；初始密码OpsPass12</x:v>
      </x:c>
      <x:c r="J134" s="9" t="str">
        <x:v>1. 打开新建运营账号
2. 上传头像qa-avatar.png
3. 输入名称“测试运营”
4. 输入登录账号“qa_ops_new”
5. 输入初始密码“OpsPass12”
6. 输入发放金币“0”
7. 点击“确认创建”
8. 打开新建账号qa_ops_new详情
9. 查看账户余额</x:v>
      </x:c>
      <x:c r="K134" s="9" t="str">
        <x:v>新账号qa_ops_new账户余额为0虚拟金币</x:v>
      </x:c>
      <x:c r="L134" s="10" t="str">
        <x:v>FLOW-VIRTUAL-ISSUE</x:v>
      </x:c>
      <x:c r="M134" s="10" t="str">
        <x:v>未测</x:v>
      </x:c>
      <x:c r="N134" s="10" t="str"/>
      <x:c r="O134" s="9" t="str">
        <x:v>1. 来源（当前证据）：liveshow-proto/MainBasis/统一需求文档.md；位置：第2057行、第2067行、第2051行、第2052行
2. 规则：BR-6fe18173b3516820
3. 未动态验证</x:v>
      </x:c>
    </x:row>
    <x:row r="135" ht="175" customHeight="1">
      <x:c r="A135" s="10" t="n">
        <x:v>134</x:v>
      </x:c>
      <x:c r="B135" s="10" t="str">
        <x:v>GUILD-0134</x:v>
      </x:c>
      <x:c r="C135" s="10" t="str">
        <x:v>运营管理</x:v>
      </x:c>
      <x:c r="D135" s="10" t="str">
        <x:v>创建运营账号（公会长）</x:v>
      </x:c>
      <x:c r="E135" s="10" t="str">
        <x:v>业务流程</x:v>
      </x:c>
      <x:c r="F135" s="10" t="str">
        <x:v>P0</x:v>
      </x:c>
      <x:c r="G135" s="9" t="str">
        <x:v>验证创建运营账号初始发放99</x:v>
      </x:c>
      <x:c r="H135" s="9" t="str">
        <x:v>新运营账号状态</x:v>
      </x:c>
      <x:c r="I135" s="9" t="str">
        <x:v>1. 当前执行账号具有公会App会话，身份为公会长；具体账号及权限变化按以下条件准备
2. 公会G1可用，单账号与公会本次可发上限均100；账号、名称、头像、初始密码已经按新建表单准备
3. 准备头像qa-avatar.png，名称测试运营，登录账号qa_ops_new在全平台未使用；初始密码OpsPass12</x:v>
      </x:c>
      <x:c r="J135" s="9" t="str">
        <x:v>1. 打开新建运营账号
2. 上传头像qa-avatar.png
3. 输入名称“测试运营”
4. 输入登录账号“qa_ops_new”
5. 输入初始密码“OpsPass12”
6. 输入发放金币“99”
7. 点击“确认创建”
8. 打开新建账号qa_ops_new详情
9. 查看账户余额</x:v>
      </x:c>
      <x:c r="K135" s="9" t="str">
        <x:v>新账号qa_ops_new账户余额为99虚拟金币</x:v>
      </x:c>
      <x:c r="L135" s="10" t="str">
        <x:v>FLOW-VIRTUAL-ISSUE</x:v>
      </x:c>
      <x:c r="M135" s="10" t="str">
        <x:v>未测</x:v>
      </x:c>
      <x:c r="N135" s="10" t="str"/>
      <x:c r="O135" s="9" t="str">
        <x:v>1. 来源（当前证据）：liveshow-proto/MainBasis/统一需求文档.md；位置：第2057行、第2067行、第2051行、第2052行
2. 规则：BR-77d8eb0b6cc06316
3. 未动态验证</x:v>
      </x:c>
    </x:row>
    <x:row r="136" ht="175" customHeight="1">
      <x:c r="A136" s="10" t="n">
        <x:v>135</x:v>
      </x:c>
      <x:c r="B136" s="10" t="str">
        <x:v>GUILD-0135</x:v>
      </x:c>
      <x:c r="C136" s="10" t="str">
        <x:v>运营管理</x:v>
      </x:c>
      <x:c r="D136" s="10" t="str">
        <x:v>创建运营账号（公会长）</x:v>
      </x:c>
      <x:c r="E136" s="10" t="str">
        <x:v>业务流程</x:v>
      </x:c>
      <x:c r="F136" s="10" t="str">
        <x:v>P0</x:v>
      </x:c>
      <x:c r="G136" s="9" t="str">
        <x:v>验证创建运营账号初始发放100</x:v>
      </x:c>
      <x:c r="H136" s="9" t="str">
        <x:v>新运营账号状态</x:v>
      </x:c>
      <x:c r="I136" s="9" t="str">
        <x:v>1. 当前执行账号具有公会App会话，身份为公会长；具体账号及权限变化按以下条件准备
2. 公会G1可用，单账号与公会本次可发上限均100；账号、名称、头像、初始密码已经按新建表单准备
3. 准备头像qa-avatar.png，名称测试运营，登录账号qa_ops_new在全平台未使用；初始密码OpsPass12</x:v>
      </x:c>
      <x:c r="J136" s="9" t="str">
        <x:v>1. 打开新建运营账号
2. 上传头像qa-avatar.png
3. 输入名称“测试运营”
4. 输入登录账号“qa_ops_new”
5. 输入初始密码“OpsPass12”
6. 输入发放金币“100”
7. 点击“确认创建”
8. 打开新建账号qa_ops_new详情
9. 查看账户余额</x:v>
      </x:c>
      <x:c r="K136" s="9" t="str">
        <x:v>新账号qa_ops_new账户余额为100虚拟金币</x:v>
      </x:c>
      <x:c r="L136" s="10" t="str">
        <x:v>FLOW-VIRTUAL-ISSUE</x:v>
      </x:c>
      <x:c r="M136" s="10" t="str">
        <x:v>未测</x:v>
      </x:c>
      <x:c r="N136" s="10" t="str"/>
      <x:c r="O136" s="9" t="str">
        <x:v>1. 来源（当前证据）：liveshow-proto/MainBasis/统一需求文档.md；位置：第2057行、第2067行、第2051行、第2052行
2. 规则：BR-9304b79f9ce22bea
3. 未动态验证</x:v>
      </x:c>
    </x:row>
    <x:row r="137" ht="175" customHeight="1">
      <x:c r="A137" s="10" t="n">
        <x:v>136</x:v>
      </x:c>
      <x:c r="B137" s="10" t="str">
        <x:v>GUILD-0136</x:v>
      </x:c>
      <x:c r="C137" s="10" t="str">
        <x:v>运营管理</x:v>
      </x:c>
      <x:c r="D137" s="10" t="str">
        <x:v>创建运营账号（公会长）</x:v>
      </x:c>
      <x:c r="E137" s="10" t="str">
        <x:v>业务流程</x:v>
      </x:c>
      <x:c r="F137" s="10" t="str">
        <x:v>P0</x:v>
      </x:c>
      <x:c r="G137" s="9" t="str">
        <x:v>验证创建运营账号初始发放101</x:v>
      </x:c>
      <x:c r="H137" s="9" t="str">
        <x:v>新运营账号状态</x:v>
      </x:c>
      <x:c r="I137" s="9" t="str">
        <x:v>1. 当前执行账号具有公会App会话，身份为公会长；具体账号及权限变化按以下条件准备
2. 公会G1可用，单账号与公会本次可发上限均100；账号、名称、头像、初始密码已经按新建表单准备
3. 准备头像qa-avatar.png，名称测试运营，登录账号qa_ops_new在全平台未使用；初始密码OpsPass12</x:v>
      </x:c>
      <x:c r="J137" s="9" t="str">
        <x:v>1. 打开新建运营账号
2. 上传头像qa-avatar.png
3. 输入名称“测试运营”
4. 输入登录账号“qa_ops_new”
5. 输入初始密码“OpsPass12”
6. 输入发放金币“101”
7. 点击“确认创建”</x:v>
      </x:c>
      <x:c r="K137" s="9" t="str">
        <x:v>不创建发放101超额的账号</x:v>
      </x:c>
      <x:c r="L137" s="10" t="str">
        <x:v>FLOW-VIRTUAL-ISSUE</x:v>
      </x:c>
      <x:c r="M137" s="10" t="str">
        <x:v>未测</x:v>
      </x:c>
      <x:c r="N137" s="10" t="str"/>
      <x:c r="O137" s="9" t="str">
        <x:v>1. 来源（当前证据）：liveshow-proto/MainBasis/统一需求文档.md；位置：第2057行、第2051行、第2052行
2. 规则：BR-b195baebbfc9bd94
3. 未动态验证</x:v>
      </x:c>
    </x:row>
    <x:row r="138" ht="145" customHeight="1">
      <x:c r="A138" s="10" t="n">
        <x:v>137</x:v>
      </x:c>
      <x:c r="B138" s="10" t="str">
        <x:v>GUILD-0137</x:v>
      </x:c>
      <x:c r="C138" s="10" t="str">
        <x:v>运营管理</x:v>
      </x:c>
      <x:c r="D138" s="10" t="str">
        <x:v>创建运营账号（公会长）</x:v>
      </x:c>
      <x:c r="E138" s="10" t="str">
        <x:v>功能需求</x:v>
      </x:c>
      <x:c r="F138" s="10" t="str">
        <x:v>P1</x:v>
      </x:c>
      <x:c r="G138" s="9" t="str">
        <x:v>验证运营账号初始密码5位</x:v>
      </x:c>
      <x:c r="H138" s="9" t="str">
        <x:v>运营初始密码长度</x:v>
      </x:c>
      <x:c r="I138" s="9" t="str">
        <x:v>1. 当前执行账号具有公会App会话，身份为公会长；具体账号及权限变化按以下条件准备
2. 其他新建字段均为有效值，发放金币0
3. 准备头像qa-avatar.png，名称测试运营，登录账号qa_ops_new在全平台未使用；初始密码OpsPass12</x:v>
      </x:c>
      <x:c r="J138" s="9" t="str">
        <x:v>1. 打开新建运营账号
2. 上传头像qa-avatar.png
3. 输入名称“测试运营”
4. 输入登录账号“qa_ops_new”
5. 输入发放金币“0”
6. 输入由5个“a”组成的初始密码
7. 点击“确认创建”</x:v>
      </x:c>
      <x:c r="K138" s="9" t="str">
        <x:v>不保存少于6位的初始密码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来源（当前证据）：liveshow-proto/MainBasis/统一需求文档.md；位置：第2056行、第2051行、第2052行
2. 规则：BR-41e913ad123fe7c3
3. 未动态验证</x:v>
      </x:c>
    </x:row>
    <x:row r="139" ht="145" customHeight="1">
      <x:c r="A139" s="10" t="n">
        <x:v>138</x:v>
      </x:c>
      <x:c r="B139" s="10" t="str">
        <x:v>GUILD-0138</x:v>
      </x:c>
      <x:c r="C139" s="10" t="str">
        <x:v>运营管理</x:v>
      </x:c>
      <x:c r="D139" s="10" t="str">
        <x:v>创建运营账号（公会长）</x:v>
      </x:c>
      <x:c r="E139" s="10" t="str">
        <x:v>功能需求</x:v>
      </x:c>
      <x:c r="F139" s="10" t="str">
        <x:v>P1</x:v>
      </x:c>
      <x:c r="G139" s="9" t="str">
        <x:v>验证运营账号初始密码6位</x:v>
      </x:c>
      <x:c r="H139" s="9" t="str">
        <x:v>运营初始密码长度</x:v>
      </x:c>
      <x:c r="I139" s="9" t="str">
        <x:v>1. 当前执行账号具有公会App会话，身份为公会长；具体账号及权限变化按以下条件准备
2. 其他新建字段均为有效值，发放金币0
3. 准备头像qa-avatar.png，名称测试运营，登录账号qa_ops_new在全平台未使用；初始密码OpsPass12</x:v>
      </x:c>
      <x:c r="J139" s="9" t="str">
        <x:v>1. 打开新建运营账号
2. 上传头像qa-avatar.png
3. 输入名称“测试运营”
4. 输入登录账号“qa_ops_new”
5. 输入发放金币“0”
6. 输入由6个“a”组成的初始密码
7. 点击“确认创建”</x:v>
      </x:c>
      <x:c r="K139" s="9" t="str">
        <x:v>创建运营账号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来源（当前证据）：liveshow-proto/MainBasis/统一需求文档.md；位置：第2056行、第2051行、第2052行
2. 规则：BR-5ef224a06c184149
3. 未动态验证</x:v>
      </x:c>
    </x:row>
    <x:row r="140" ht="145" customHeight="1">
      <x:c r="A140" s="10" t="n">
        <x:v>139</x:v>
      </x:c>
      <x:c r="B140" s="10" t="str">
        <x:v>GUILD-0139</x:v>
      </x:c>
      <x:c r="C140" s="10" t="str">
        <x:v>运营管理</x:v>
      </x:c>
      <x:c r="D140" s="10" t="str">
        <x:v>创建运营账号（公会长）</x:v>
      </x:c>
      <x:c r="E140" s="10" t="str">
        <x:v>功能需求</x:v>
      </x:c>
      <x:c r="F140" s="10" t="str">
        <x:v>P1</x:v>
      </x:c>
      <x:c r="G140" s="9" t="str">
        <x:v>验证运营账号初始密码7位</x:v>
      </x:c>
      <x:c r="H140" s="9" t="str">
        <x:v>运营初始密码长度</x:v>
      </x:c>
      <x:c r="I140" s="9" t="str">
        <x:v>1. 当前执行账号具有公会App会话，身份为公会长；具体账号及权限变化按以下条件准备
2. 其他新建字段均为有效值，发放金币0
3. 准备头像qa-avatar.png，名称测试运营，登录账号qa_ops_new在全平台未使用；初始密码OpsPass12</x:v>
      </x:c>
      <x:c r="J140" s="9" t="str">
        <x:v>1. 打开新建运营账号
2. 上传头像qa-avatar.png
3. 输入名称“测试运营”
4. 输入登录账号“qa_ops_new”
5. 输入发放金币“0”
6. 输入由7个“a”组成的初始密码
7. 点击“确认创建”</x:v>
      </x:c>
      <x:c r="K140" s="9" t="str">
        <x:v>创建运营账号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来源（当前证据）：liveshow-proto/MainBasis/统一需求文档.md；位置：第2056行、第2051行、第2052行
2. 规则：BR-2a5736ae93392199
3. 未动态验证</x:v>
      </x:c>
    </x:row>
    <x:row r="141" ht="85" customHeight="1">
      <x:c r="A141" s="10" t="n">
        <x:v>140</x:v>
      </x:c>
      <x:c r="B141" s="10" t="str">
        <x:v>GUILD-0140</x:v>
      </x:c>
      <x:c r="C141" s="10" t="str">
        <x:v>运营管理</x:v>
      </x:c>
      <x:c r="D141" s="10" t="str">
        <x:v>创建运营账号（公会长）</x:v>
      </x:c>
      <x:c r="E141" s="10" t="str">
        <x:v>功能需求</x:v>
      </x:c>
      <x:c r="F141" s="10" t="str">
        <x:v>P1</x:v>
      </x:c>
      <x:c r="G141" s="9" t="str">
        <x:v>验证不同公会不能创建同名登录账号</x:v>
      </x:c>
      <x:c r="H141" s="9" t="str">
        <x:v>运营账号平台唯一性</x:v>
      </x:c>
      <x:c r="I141" s="9" t="str">
        <x:v>1. 当前执行账号具有公会App会话，身份为公会长；具体账号及权限变化按以下条件准备
2. G1已存在登录账号ops_a，当前公会G2新建字段均完整</x:v>
      </x:c>
      <x:c r="J141" s="9" t="str">
        <x:v>1. 打开新建运营账号
2. 输入账号“ops_a”
3. 点击“确认创建”</x:v>
      </x:c>
      <x:c r="K141" s="9" t="str">
        <x:v>不创建重复登录账号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来源（当前证据）：liveshow-proto/MainBasis/统一需求文档.md；位置：第2055行、第2051行、第2052行
2. 规则：BR-dc4e00c4d825ac39
3. 未动态验证</x:v>
      </x:c>
    </x:row>
    <x:row r="142" ht="100" customHeight="1">
      <x:c r="A142" s="10" t="n">
        <x:v>141</x:v>
      </x:c>
      <x:c r="B142" s="10" t="str">
        <x:v>GUILD-0141</x:v>
      </x:c>
      <x:c r="C142" s="10" t="str">
        <x:v>运营管理</x:v>
      </x:c>
      <x:c r="D142" s="10" t="str">
        <x:v>运营账号主页（公会长）</x:v>
      </x:c>
      <x:c r="E142" s="10" t="str">
        <x:v>功能需求</x:v>
      </x:c>
      <x:c r="F142" s="10" t="str">
        <x:v>P0</x:v>
      </x:c>
      <x:c r="G142" s="9" t="str">
        <x:v>验证运营账号账户余额的统计口径</x:v>
      </x:c>
      <x:c r="H142" s="9" t="str">
        <x:v>虚拟账户余额口径</x:v>
      </x:c>
      <x:c r="I142" s="9" t="str">
        <x:v>1. 当前执行账号具有公会App会话，身份为公会长；具体账号及权限变化按以下条件准备
2. 本月发放100，往月发放50；本月消费30、往月消费50，无其他虚拟金币流水</x:v>
      </x:c>
      <x:c r="J142" s="9" t="str">
        <x:v>1. 打开运营账号A主页</x:v>
      </x:c>
      <x:c r="K142" s="9" t="str">
        <x:v>账户余额显示70虚拟金币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来源（当前证据）：liveshow-proto/MainBasis/统一需求文档.md；位置：第2067行、第2063行、第2064行
2. 规则：BR-77b6ce96b429904d
3. 未动态验证</x:v>
      </x:c>
    </x:row>
    <x:row r="143" ht="100" customHeight="1">
      <x:c r="A143" s="10" t="n">
        <x:v>142</x:v>
      </x:c>
      <x:c r="B143" s="10" t="str">
        <x:v>GUILD-0142</x:v>
      </x:c>
      <x:c r="C143" s="10" t="str">
        <x:v>运营管理</x:v>
      </x:c>
      <x:c r="D143" s="10" t="str">
        <x:v>运营账号主页（公会长）</x:v>
      </x:c>
      <x:c r="E143" s="10" t="str">
        <x:v>功能需求</x:v>
      </x:c>
      <x:c r="F143" s="10" t="str">
        <x:v>P0</x:v>
      </x:c>
      <x:c r="G143" s="9" t="str">
        <x:v>验证运营账号本月发放的统计口径</x:v>
      </x:c>
      <x:c r="H143" s="9" t="str">
        <x:v>虚拟本月发放口径</x:v>
      </x:c>
      <x:c r="I143" s="9" t="str">
        <x:v>1. 当前执行账号具有公会App会话，身份为公会长；具体账号及权限变化按以下条件准备
2. 本月发放100，往月发放50；本月消费30、往月消费50，无其他虚拟金币流水</x:v>
      </x:c>
      <x:c r="J143" s="9" t="str">
        <x:v>1. 打开运营账号A主页</x:v>
      </x:c>
      <x:c r="K143" s="9" t="str">
        <x:v>本月发放显示100虚拟金币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来源（当前证据）：liveshow-proto/MainBasis/统一需求文档.md；位置：第2067行、第2063行、第2064行
2. 规则：BR-87585d0140db0dab
3. 未动态验证</x:v>
      </x:c>
    </x:row>
    <x:row r="144" ht="100" customHeight="1">
      <x:c r="A144" s="10" t="n">
        <x:v>143</x:v>
      </x:c>
      <x:c r="B144" s="10" t="str">
        <x:v>GUILD-0143</x:v>
      </x:c>
      <x:c r="C144" s="10" t="str">
        <x:v>运营管理</x:v>
      </x:c>
      <x:c r="D144" s="10" t="str">
        <x:v>运营账号主页（公会长）</x:v>
      </x:c>
      <x:c r="E144" s="10" t="str">
        <x:v>功能需求</x:v>
      </x:c>
      <x:c r="F144" s="10" t="str">
        <x:v>P1</x:v>
      </x:c>
      <x:c r="G144" s="9" t="str">
        <x:v>验证运营账号本月消费的统计口径</x:v>
      </x:c>
      <x:c r="H144" s="9" t="str">
        <x:v>虚拟本月消费口径</x:v>
      </x:c>
      <x:c r="I144" s="9" t="str">
        <x:v>1. 当前执行账号具有公会App会话，身份为公会长；具体账号及权限变化按以下条件准备
2. 本月发放100，往月发放50；本月消费30、往月消费50，无其他虚拟金币流水</x:v>
      </x:c>
      <x:c r="J144" s="9" t="str">
        <x:v>1. 打开运营账号A主页</x:v>
      </x:c>
      <x:c r="K144" s="9" t="str">
        <x:v>本月消费显示30虚拟金币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来源（当前证据）：liveshow-proto/MainBasis/统一需求文档.md；位置：第2067行、第2063行、第2064行
2. 规则：BR-763d1abeaccaa458
3. 未动态验证</x:v>
      </x:c>
    </x:row>
    <x:row r="145" ht="100" customHeight="1">
      <x:c r="A145" s="10" t="n">
        <x:v>144</x:v>
      </x:c>
      <x:c r="B145" s="10" t="str">
        <x:v>GUILD-0144</x:v>
      </x:c>
      <x:c r="C145" s="10" t="str">
        <x:v>运营管理</x:v>
      </x:c>
      <x:c r="D145" s="10" t="str">
        <x:v>运营账号主页（公会长）</x:v>
      </x:c>
      <x:c r="E145" s="10" t="str">
        <x:v>功能需求</x:v>
      </x:c>
      <x:c r="F145" s="10" t="str">
        <x:v>P1</x:v>
      </x:c>
      <x:c r="G145" s="9" t="str">
        <x:v>验证运营账号累计消费的统计口径</x:v>
      </x:c>
      <x:c r="H145" s="9" t="str">
        <x:v>虚拟累计消费口径</x:v>
      </x:c>
      <x:c r="I145" s="9" t="str">
        <x:v>1. 当前执行账号具有公会App会话，身份为公会长；具体账号及权限变化按以下条件准备
2. 本月发放100，往月发放50；本月消费30、往月消费50，无其他虚拟金币流水</x:v>
      </x:c>
      <x:c r="J145" s="9" t="str">
        <x:v>1. 打开运营账号A主页</x:v>
      </x:c>
      <x:c r="K145" s="9" t="str">
        <x:v>累计消费显示80虚拟金币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来源（当前证据）：liveshow-proto/MainBasis/统一需求文档.md；位置：第2067行、第2063行、第2064行
2. 规则：BR-b5cfbd46f729658b
3. 未动态验证</x:v>
      </x:c>
    </x:row>
    <x:row r="146" ht="100" customHeight="1">
      <x:c r="A146" s="10" t="n">
        <x:v>145</x:v>
      </x:c>
      <x:c r="B146" s="10" t="str">
        <x:v>GUILD-0145</x:v>
      </x:c>
      <x:c r="C146" s="10" t="str">
        <x:v>运营管理</x:v>
      </x:c>
      <x:c r="D146" s="10" t="str">
        <x:v>运营账号主页（公会长）</x:v>
      </x:c>
      <x:c r="E146" s="10" t="str">
        <x:v>业务流程</x:v>
      </x:c>
      <x:c r="F146" s="10" t="str">
        <x:v>P1</x:v>
      </x:c>
      <x:c r="G146" s="9" t="str">
        <x:v>验证公会停用运营账号后的状态</x:v>
      </x:c>
      <x:c r="H146" s="9" t="str">
        <x:v>运营账号启停状态</x:v>
      </x:c>
      <x:c r="I146" s="9" t="str">
        <x:v>1. 当前执行账号具有公会App会话，身份为公会长；具体账号及权限变化按以下条件准备
2. 运营账号A已启用且余额100，存在消费记录C1；平台未锁定公会管理</x:v>
      </x:c>
      <x:c r="J146" s="9" t="str">
        <x:v>1. 打开A运营账号主页
2. 关闭启用开关
3. 确认停用</x:v>
      </x:c>
      <x:c r="K146" s="9" t="str">
        <x:v>账号状态显示已停用</x:v>
      </x:c>
      <x:c r="L146" s="10" t="str">
        <x:v>FLOW-OPERATION-STATUS</x:v>
      </x:c>
      <x:c r="M146" s="10" t="str">
        <x:v>未测</x:v>
      </x:c>
      <x:c r="N146" s="10" t="str"/>
      <x:c r="O146" s="9" t="str">
        <x:v>1. 来源（当前证据）：liveshow-proto/MainBasis/统一需求文档.md；位置：第2069行、第2063行、第2064行
2. 规则：BR-1a1ebbd045d4ac89
3. 未动态验证</x:v>
      </x:c>
    </x:row>
    <x:row r="147" ht="100" customHeight="1">
      <x:c r="A147" s="10" t="n">
        <x:v>146</x:v>
      </x:c>
      <x:c r="B147" s="10" t="str">
        <x:v>GUILD-0146</x:v>
      </x:c>
      <x:c r="C147" s="10" t="str">
        <x:v>运营管理</x:v>
      </x:c>
      <x:c r="D147" s="10" t="str">
        <x:v>运营账号主页（公会长）</x:v>
      </x:c>
      <x:c r="E147" s="10" t="str">
        <x:v>业务流程</x:v>
      </x:c>
      <x:c r="F147" s="10" t="str">
        <x:v>P0</x:v>
      </x:c>
      <x:c r="G147" s="9" t="str">
        <x:v>验证公会禁用运营账号后原虚拟余额保留</x:v>
      </x:c>
      <x:c r="H147" s="9" t="str">
        <x:v>虚拟余额状态</x:v>
      </x:c>
      <x:c r="I147" s="9" t="str">
        <x:v>1. 当前执行账号具有公会App会话，身份为公会长；具体账号及权限变化按以下条件准备
2. 运营账号A已启用且余额100，存在消费记录C1；平台未锁定公会管理</x:v>
      </x:c>
      <x:c r="J147" s="9" t="str">
        <x:v>1. 打开A运营账号主页
2. 关闭启用开关
3. 确认停用</x:v>
      </x:c>
      <x:c r="K147" s="9" t="str">
        <x:v>原虚拟余额保留</x:v>
      </x:c>
      <x:c r="L147" s="10" t="str">
        <x:v>FLOW-OPERATION-STATUS</x:v>
      </x:c>
      <x:c r="M147" s="10" t="str">
        <x:v>未测</x:v>
      </x:c>
      <x:c r="N147" s="10" t="str"/>
      <x:c r="O147" s="9" t="str">
        <x:v>1. 来源（当前证据）：liveshow-proto/MainBasis/统一需求文档.md；位置：第2069行、第2063行、第2064行
2. 规则：BR-605cd412e5b7daf3
3. 未动态验证</x:v>
      </x:c>
    </x:row>
    <x:row r="148" ht="100" customHeight="1">
      <x:c r="A148" s="10" t="n">
        <x:v>147</x:v>
      </x:c>
      <x:c r="B148" s="10" t="str">
        <x:v>GUILD-0147</x:v>
      </x:c>
      <x:c r="C148" s="10" t="str">
        <x:v>运营管理</x:v>
      </x:c>
      <x:c r="D148" s="10" t="str">
        <x:v>运营账号主页（公会长）</x:v>
      </x:c>
      <x:c r="E148" s="10" t="str">
        <x:v>业务流程</x:v>
      </x:c>
      <x:c r="F148" s="10" t="str">
        <x:v>P1</x:v>
      </x:c>
      <x:c r="G148" s="9" t="str">
        <x:v>验证公会禁用运营账号后历史消费记录保留</x:v>
      </x:c>
      <x:c r="H148" s="9" t="str">
        <x:v>历史消费状态</x:v>
      </x:c>
      <x:c r="I148" s="9" t="str">
        <x:v>1. 当前执行账号具有公会App会话，身份为公会长；具体账号及权限变化按以下条件准备
2. 运营账号A已启用且余额100，存在消费记录C1；平台未锁定公会管理</x:v>
      </x:c>
      <x:c r="J148" s="9" t="str">
        <x:v>1. 打开A运营账号主页
2. 关闭启用开关
3. 确认停用
4. 打开该账号送礼记录
5. 查看此前消费记录</x:v>
      </x:c>
      <x:c r="K148" s="9" t="str">
        <x:v>历史消费记录保留</x:v>
      </x:c>
      <x:c r="L148" s="10" t="str">
        <x:v>FLOW-OPERATION-STATUS</x:v>
      </x:c>
      <x:c r="M148" s="10" t="str">
        <x:v>未测</x:v>
      </x:c>
      <x:c r="N148" s="10" t="str"/>
      <x:c r="O148" s="9" t="str">
        <x:v>1. 来源（当前证据）：liveshow-proto/MainBasis/统一需求文档.md；位置：第2069行、第2063行、第2064行
2. 规则：BR-2dde9895bdf9c31d
3. 未动态验证</x:v>
      </x:c>
    </x:row>
    <x:row r="149" ht="85" customHeight="1">
      <x:c r="A149" s="10" t="n">
        <x:v>148</x:v>
      </x:c>
      <x:c r="B149" s="10" t="str">
        <x:v>GUILD-0148</x:v>
      </x:c>
      <x:c r="C149" s="10" t="str">
        <x:v>运营管理</x:v>
      </x:c>
      <x:c r="D149" s="10" t="str">
        <x:v>运营账号主页（公会长）</x:v>
      </x:c>
      <x:c r="E149" s="10" t="str">
        <x:v>业务流程</x:v>
      </x:c>
      <x:c r="F149" s="10" t="str">
        <x:v>P1</x:v>
      </x:c>
      <x:c r="G149" s="9" t="str">
        <x:v>验证公会重新启用运营账号</x:v>
      </x:c>
      <x:c r="H149" s="9" t="str">
        <x:v>运营账号启停状态</x:v>
      </x:c>
      <x:c r="I149" s="9" t="str">
        <x:v>1. 当前执行账号具有公会App会话，身份为公会长；具体账号及权限变化按以下条件准备
2. A停用，余额100，公会可管理</x:v>
      </x:c>
      <x:c r="J149" s="9" t="str">
        <x:v>1. 打开A运营账号主页
2. 启用账号开关
3. 确认启用</x:v>
      </x:c>
      <x:c r="K149" s="9" t="str">
        <x:v>账号状态显示已启用</x:v>
      </x:c>
      <x:c r="L149" s="10" t="str">
        <x:v>FLOW-OPERATION-STATUS</x:v>
      </x:c>
      <x:c r="M149" s="10" t="str">
        <x:v>未测</x:v>
      </x:c>
      <x:c r="N149" s="10" t="str"/>
      <x:c r="O149" s="9" t="str">
        <x:v>1. 来源（当前证据）：liveshow-proto/MainBasis/统一需求文档.md；位置：第2069行、第2063行、第2064行
2. 规则：BR-605eae6c09b1250f
3. 未动态验证</x:v>
      </x:c>
    </x:row>
    <x:row r="150" ht="85" customHeight="1">
      <x:c r="A150" s="10" t="n">
        <x:v>149</x:v>
      </x:c>
      <x:c r="B150" s="10" t="str">
        <x:v>GUILD-0149</x:v>
      </x:c>
      <x:c r="C150" s="10" t="str">
        <x:v>运营管理</x:v>
      </x:c>
      <x:c r="D150" s="10" t="str">
        <x:v>运营账号主页（公会长）</x:v>
      </x:c>
      <x:c r="E150" s="10" t="str">
        <x:v>业务流程</x:v>
      </x:c>
      <x:c r="F150" s="10" t="str">
        <x:v>P1</x:v>
      </x:c>
      <x:c r="G150" s="9" t="str">
        <x:v>验证平台锁定后公会不能启停</x:v>
      </x:c>
      <x:c r="H150" s="9" t="str">
        <x:v>启停操作状态</x:v>
      </x:c>
      <x:c r="I150" s="9" t="str">
        <x:v>1. 当前执行账号具有公会App会话，身份为公会长；具体账号及权限变化按以下条件准备
2. A所属公会管理权限已被平台锁定</x:v>
      </x:c>
      <x:c r="J150" s="9" t="str">
        <x:v>1. 打开A运营账号主页</x:v>
      </x:c>
      <x:c r="K150" s="9" t="str">
        <x:v>启停操作不可用</x:v>
      </x:c>
      <x:c r="L150" s="10" t="str">
        <x:v>FLOW-OPERATION-LOCK</x:v>
      </x:c>
      <x:c r="M150" s="10" t="str">
        <x:v>未测</x:v>
      </x:c>
      <x:c r="N150" s="10" t="str"/>
      <x:c r="O150" s="9" t="str">
        <x:v>1. 来源（当前证据）：liveshow-proto/MainBasis/统一需求文档.md；位置：第2070行、第2063行、第2064行
2. 规则：BR-8ec32e2bf09e3de4
3. 未动态验证</x:v>
      </x:c>
    </x:row>
    <x:row r="151" ht="85" customHeight="1">
      <x:c r="A151" s="10" t="n">
        <x:v>150</x:v>
      </x:c>
      <x:c r="B151" s="10" t="str">
        <x:v>GUILD-0150</x:v>
      </x:c>
      <x:c r="C151" s="10" t="str">
        <x:v>运营管理</x:v>
      </x:c>
      <x:c r="D151" s="10" t="str">
        <x:v>运营账号主页（公会长）</x:v>
      </x:c>
      <x:c r="E151" s="10" t="str">
        <x:v>业务流程</x:v>
      </x:c>
      <x:c r="F151" s="10" t="str">
        <x:v>P0</x:v>
      </x:c>
      <x:c r="G151" s="9" t="str">
        <x:v>验证平台锁定后公会不能发放金币</x:v>
      </x:c>
      <x:c r="H151" s="9" t="str">
        <x:v>发放金币状态</x:v>
      </x:c>
      <x:c r="I151" s="9" t="str">
        <x:v>1. 当前执行账号具有公会App会话，身份为公会长；具体账号及权限变化按以下条件准备
2. A所属公会管理权限已被平台锁定</x:v>
      </x:c>
      <x:c r="J151" s="9" t="str">
        <x:v>1. 打开A运营账号主页</x:v>
      </x:c>
      <x:c r="K151" s="9" t="str">
        <x:v>发放金币操作不可用</x:v>
      </x:c>
      <x:c r="L151" s="10" t="str">
        <x:v>FLOW-OPERATION-LOCK</x:v>
      </x:c>
      <x:c r="M151" s="10" t="str">
        <x:v>未测</x:v>
      </x:c>
      <x:c r="N151" s="10" t="str"/>
      <x:c r="O151" s="9" t="str">
        <x:v>1. 来源（当前证据）：liveshow-proto/MainBasis/统一需求文档.md；位置：第2070行、第2063行、第2064行
2. 规则：BR-6be5ade3c66fd611
3. 未动态验证</x:v>
      </x:c>
    </x:row>
    <x:row r="152" ht="130" customHeight="1">
      <x:c r="A152" s="10" t="n">
        <x:v>151</x:v>
      </x:c>
      <x:c r="B152" s="10" t="str">
        <x:v>GUILD-0151</x:v>
      </x:c>
      <x:c r="C152" s="10" t="str">
        <x:v>运营管理</x:v>
      </x:c>
      <x:c r="D152" s="10" t="str">
        <x:v>运营账号主页（公会长）</x:v>
      </x:c>
      <x:c r="E152" s="10" t="str">
        <x:v>业务流程</x:v>
      </x:c>
      <x:c r="F152" s="10" t="str">
        <x:v>P0</x:v>
      </x:c>
      <x:c r="G152" s="9" t="str">
        <x:v>验证平台锁定公会管理权限运营账号</x:v>
      </x:c>
      <x:c r="H152" s="9" t="str">
        <x:v>平台运营账号控制</x:v>
      </x:c>
      <x:c r="I152" s="9" t="str">
        <x:v>1. 公会长测试账号已有公会App可访问会话
2. 运营账号A由G1创建，当前状态允许该次变化
3. 由平台管理员在运营账号主页完成配合操作：打开A运营账号主页；点击“锁定公会管理权限”；确认变更</x:v>
      </x:c>
      <x:c r="J152" s="9" t="str">
        <x:v>1. 打开运营账号A详情
2. 查看启停及金币发放操作</x:v>
      </x:c>
      <x:c r="K152" s="9" t="str">
        <x:v>启停及金币发放操作不可用</x:v>
      </x:c>
      <x:c r="L152" s="10" t="str">
        <x:v>FLOW-OPERATION-LOCK</x:v>
      </x:c>
      <x:c r="M152" s="10" t="str">
        <x:v>未测</x:v>
      </x:c>
      <x:c r="N152" s="10" t="str"/>
      <x:c r="O152" s="9" t="str">
        <x:v>1. 来源（当前证据）：liveshow-proto/MainBasis/统一需求文档.md；位置：第3164行、第2070行、第2063行、第2064行
2. 规则：BR-2230ee1a0996131a
3. 未动态验证</x:v>
      </x:c>
    </x:row>
    <x:row r="153" ht="130" customHeight="1">
      <x:c r="A153" s="10" t="n">
        <x:v>152</x:v>
      </x:c>
      <x:c r="B153" s="10" t="str">
        <x:v>GUILD-0152</x:v>
      </x:c>
      <x:c r="C153" s="10" t="str">
        <x:v>运营管理</x:v>
      </x:c>
      <x:c r="D153" s="10" t="str">
        <x:v>运营账号主页（公会长）</x:v>
      </x:c>
      <x:c r="E153" s="10" t="str">
        <x:v>业务流程</x:v>
      </x:c>
      <x:c r="F153" s="10" t="str">
        <x:v>P0</x:v>
      </x:c>
      <x:c r="G153" s="9" t="str">
        <x:v>验证平台解除公会管理权限锁定运营账号</x:v>
      </x:c>
      <x:c r="H153" s="9" t="str">
        <x:v>平台运营账号控制</x:v>
      </x:c>
      <x:c r="I153" s="9" t="str">
        <x:v>1. 公会长测试账号已有公会App可访问会话
2. 运营账号A由G1创建，当前状态允许该次变化
3. 由平台管理员在运营账号主页完成配合操作：打开A运营账号主页；点击“解除公会管理权限锁定”；确认变更</x:v>
      </x:c>
      <x:c r="J153" s="9" t="str">
        <x:v>1. 打开运营账号A详情
2. 查看启停及金币发放操作</x:v>
      </x:c>
      <x:c r="K153" s="9" t="str">
        <x:v>启停及金币发放操作恢复可用</x:v>
      </x:c>
      <x:c r="L153" s="10" t="str">
        <x:v>FLOW-OPERATION-LOCK</x:v>
      </x:c>
      <x:c r="M153" s="10" t="str">
        <x:v>未测</x:v>
      </x:c>
      <x:c r="N153" s="10" t="str"/>
      <x:c r="O153" s="9" t="str">
        <x:v>1. 来源（当前证据）：liveshow-proto/MainBasis/统一需求文档.md；位置：第3164行、第2070行、第2063行、第2064行
2. 规则：BR-22faa305bd42b503
3. 未动态验证</x:v>
      </x:c>
    </x:row>
    <x:row r="154" ht="160" customHeight="1">
      <x:c r="A154" s="10" t="n">
        <x:v>153</x:v>
      </x:c>
      <x:c r="B154" s="10" t="str">
        <x:v>GUILD-0153</x:v>
      </x:c>
      <x:c r="C154" s="10" t="str">
        <x:v>公会账号</x:v>
      </x:c>
      <x:c r="D154" s="10" t="str">
        <x:v>公会登录（公会长）</x:v>
      </x:c>
      <x:c r="E154" s="10" t="str">
        <x:v>业务流程</x:v>
      </x:c>
      <x:c r="F154" s="10" t="str">
        <x:v>P1</x:v>
      </x:c>
      <x:c r="G154" s="9" t="str">
        <x:v>验证停用公会后原启用账号A不能登录</x:v>
      </x:c>
      <x:c r="H154" s="9" t="str">
        <x:v>登录状态</x:v>
      </x:c>
      <x:c r="I154" s="9" t="str">
        <x:v>1. 公会长测试账号已有公会App可访问会话
2. G1启用，管理账号A启用、账号B停用，主播C在会
3. 由平台管理员在公会列表完成配合操作：打开公会列表；查询G1；点击“停用”；确认停用
4. 公会长A登录账号为guildqa001，正确密码为GuildPass12</x:v>
      </x:c>
      <x:c r="J154" s="9" t="str">
        <x:v>1. 打开公会登录
2. 输入账号“guildqa001”
3. 输入密码“GuildPass12”
4. 点击“登录”</x:v>
      </x:c>
      <x:c r="K154" s="9" t="str">
        <x:v>账号A不能登录公会端</x:v>
      </x:c>
      <x:c r="L154" s="10" t="str">
        <x:v>FLOW-GUILD-DISABLE</x:v>
      </x:c>
      <x:c r="M154" s="10" t="str">
        <x:v>未测</x:v>
      </x:c>
      <x:c r="N154" s="10" t="str"/>
      <x:c r="O154" s="9" t="str">
        <x:v>1. 来源（当前证据）：liveshow-proto/MainBasis/统一需求文档.md；位置：第2435行、第2439行、第1886行、第1884行、第1885行
2. 规则：BR-5610ddce5587755f
3. 未动态验证</x:v>
      </x:c>
    </x:row>
    <x:row r="155" ht="85" customHeight="1">
      <x:c r="A155" s="10" t="n">
        <x:v>154</x:v>
      </x:c>
      <x:c r="B155" s="10" t="str">
        <x:v>GUILD-0154</x:v>
      </x:c>
      <x:c r="C155" s="10" t="str">
        <x:v>公会管理</x:v>
      </x:c>
      <x:c r="D155" s="10" t="str">
        <x:v>公会资料（公会长）</x:v>
      </x:c>
      <x:c r="E155" s="10" t="str">
        <x:v>功能需求</x:v>
      </x:c>
      <x:c r="F155" s="10" t="str">
        <x:v>P1</x:v>
      </x:c>
      <x:c r="G155" s="9" t="str">
        <x:v>验证公会资料公会名称0字</x:v>
      </x:c>
      <x:c r="H155" s="9" t="str">
        <x:v>公会名称长度</x:v>
      </x:c>
      <x:c r="I155" s="9" t="str">
        <x:v>1. 当前执行账号具有公会App会话，身份为公会长；具体账号及权限变化按以下条件准备
2. G1启用，原名称公会测试、简介A</x:v>
      </x:c>
      <x:c r="J155" s="9" t="str">
        <x:v>1. 打开公会资料
2. 清空公会名称
3. 点击“保存”</x:v>
      </x:c>
      <x:c r="K155" s="9" t="str">
        <x:v>不保存空公会名称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来源（当前证据）：liveshow-proto/MainBasis/统一需求文档.md；位置：第2093行、第2089行、第2090行
2. 规则：BR-1062ca05d9c9f7f6
3. 未动态验证</x:v>
      </x:c>
    </x:row>
    <x:row r="156" ht="85" customHeight="1">
      <x:c r="A156" s="10" t="n">
        <x:v>155</x:v>
      </x:c>
      <x:c r="B156" s="10" t="str">
        <x:v>GUILD-0155</x:v>
      </x:c>
      <x:c r="C156" s="10" t="str">
        <x:v>公会管理</x:v>
      </x:c>
      <x:c r="D156" s="10" t="str">
        <x:v>公会资料（公会长）</x:v>
      </x:c>
      <x:c r="E156" s="10" t="str">
        <x:v>功能需求</x:v>
      </x:c>
      <x:c r="F156" s="10" t="str">
        <x:v>P1</x:v>
      </x:c>
      <x:c r="G156" s="9" t="str">
        <x:v>验证公会资料公会名称1字</x:v>
      </x:c>
      <x:c r="H156" s="9" t="str">
        <x:v>公会名称长度</x:v>
      </x:c>
      <x:c r="I156" s="9" t="str">
        <x:v>1. 当前执行账号具有公会App会话，身份为公会长；具体账号及权限变化按以下条件准备
2. G1启用，原名称公会测试、简介A</x:v>
      </x:c>
      <x:c r="J156" s="9" t="str">
        <x:v>1. 打开公会资料
2. 输入由1个“测”组成的公会名称
3. 点击“保存”</x:v>
      </x:c>
      <x:c r="K156" s="9" t="str">
        <x:v>保存长度1字的公会名称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来源（当前证据）：liveshow-proto/MainBasis/统一需求文档.md；位置：第2093行、第2089行、第2090行
2. 规则：BR-7fa6f67c8996c7d9
3. 未动态验证</x:v>
      </x:c>
    </x:row>
    <x:row r="157" ht="85" customHeight="1">
      <x:c r="A157" s="10" t="n">
        <x:v>156</x:v>
      </x:c>
      <x:c r="B157" s="10" t="str">
        <x:v>GUILD-0156</x:v>
      </x:c>
      <x:c r="C157" s="10" t="str">
        <x:v>公会管理</x:v>
      </x:c>
      <x:c r="D157" s="10" t="str">
        <x:v>公会资料（公会长）</x:v>
      </x:c>
      <x:c r="E157" s="10" t="str">
        <x:v>功能需求</x:v>
      </x:c>
      <x:c r="F157" s="10" t="str">
        <x:v>P1</x:v>
      </x:c>
      <x:c r="G157" s="9" t="str">
        <x:v>验证公会资料公会名称40字</x:v>
      </x:c>
      <x:c r="H157" s="9" t="str">
        <x:v>公会名称长度</x:v>
      </x:c>
      <x:c r="I157" s="9" t="str">
        <x:v>1. 当前执行账号具有公会App会话，身份为公会长；具体账号及权限变化按以下条件准备
2. G1启用，原名称公会测试、简介A</x:v>
      </x:c>
      <x:c r="J157" s="9" t="str">
        <x:v>1. 打开公会资料
2. 输入由40个“测”组成的公会名称
3. 点击“保存”</x:v>
      </x:c>
      <x:c r="K157" s="9" t="str">
        <x:v>保存长度40字的公会名称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来源（当前证据）：liveshow-proto/MainBasis/统一需求文档.md；位置：第2093行、第2089行、第2090行
2. 规则：BR-88d5b2f7edebbaed
3. 未动态验证</x:v>
      </x:c>
    </x:row>
    <x:row r="158" ht="85" customHeight="1">
      <x:c r="A158" s="10" t="n">
        <x:v>157</x:v>
      </x:c>
      <x:c r="B158" s="10" t="str">
        <x:v>GUILD-0157</x:v>
      </x:c>
      <x:c r="C158" s="10" t="str">
        <x:v>公会管理</x:v>
      </x:c>
      <x:c r="D158" s="10" t="str">
        <x:v>公会资料（公会长）</x:v>
      </x:c>
      <x:c r="E158" s="10" t="str">
        <x:v>功能需求</x:v>
      </x:c>
      <x:c r="F158" s="10" t="str">
        <x:v>P1</x:v>
      </x:c>
      <x:c r="G158" s="9" t="str">
        <x:v>验证公会资料公会名称41字</x:v>
      </x:c>
      <x:c r="H158" s="9" t="str">
        <x:v>公会名称长度</x:v>
      </x:c>
      <x:c r="I158" s="9" t="str">
        <x:v>1. 当前执行账号具有公会App会话，身份为公会长；具体账号及权限变化按以下条件准备
2. G1启用，原名称公会测试、简介A</x:v>
      </x:c>
      <x:c r="J158" s="9" t="str">
        <x:v>1. 打开公会资料
2. 输入由41个“测”组成的公会名称
3. 点击“保存”</x:v>
      </x:c>
      <x:c r="K158" s="9" t="str">
        <x:v>不保存超过40字的公会名称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来源（当前证据）：liveshow-proto/MainBasis/统一需求文档.md；位置：第2093行、第2089行、第2090行
2. 规则：BR-70cfab69dd83bdf6
3. 未动态验证</x:v>
      </x:c>
    </x:row>
    <x:row r="159" ht="85" customHeight="1">
      <x:c r="A159" s="10" t="n">
        <x:v>158</x:v>
      </x:c>
      <x:c r="B159" s="10" t="str">
        <x:v>GUILD-0158</x:v>
      </x:c>
      <x:c r="C159" s="10" t="str">
        <x:v>公会管理</x:v>
      </x:c>
      <x:c r="D159" s="10" t="str">
        <x:v>公会资料（公会长）</x:v>
      </x:c>
      <x:c r="E159" s="10" t="str">
        <x:v>功能需求</x:v>
      </x:c>
      <x:c r="F159" s="10" t="str">
        <x:v>P1</x:v>
      </x:c>
      <x:c r="G159" s="9" t="str">
        <x:v>验证公会资料公会简介0字</x:v>
      </x:c>
      <x:c r="H159" s="9" t="str">
        <x:v>公会简介长度</x:v>
      </x:c>
      <x:c r="I159" s="9" t="str">
        <x:v>1. 当前执行账号具有公会App会话，身份为公会长；具体账号及权限变化按以下条件准备
2. G1启用，原名称公会测试、简介A</x:v>
      </x:c>
      <x:c r="J159" s="9" t="str">
        <x:v>1. 打开公会资料
2. 清空公会简介
3. 点击“保存”</x:v>
      </x:c>
      <x:c r="K159" s="9" t="str">
        <x:v>保存长度0字的公会简介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来源（当前证据）：liveshow-proto/MainBasis/统一需求文档.md；位置：第2094行、第2089行、第2090行
2. 规则：BR-7f8ca5e55c5550cc
3. 未动态验证</x:v>
      </x:c>
    </x:row>
    <x:row r="160" ht="85" customHeight="1">
      <x:c r="A160" s="10" t="n">
        <x:v>159</x:v>
      </x:c>
      <x:c r="B160" s="10" t="str">
        <x:v>GUILD-0159</x:v>
      </x:c>
      <x:c r="C160" s="10" t="str">
        <x:v>公会管理</x:v>
      </x:c>
      <x:c r="D160" s="10" t="str">
        <x:v>公会资料（公会长）</x:v>
      </x:c>
      <x:c r="E160" s="10" t="str">
        <x:v>功能需求</x:v>
      </x:c>
      <x:c r="F160" s="10" t="str">
        <x:v>P1</x:v>
      </x:c>
      <x:c r="G160" s="9" t="str">
        <x:v>验证公会资料公会简介1字</x:v>
      </x:c>
      <x:c r="H160" s="9" t="str">
        <x:v>公会简介长度</x:v>
      </x:c>
      <x:c r="I160" s="9" t="str">
        <x:v>1. 当前执行账号具有公会App会话，身份为公会长；具体账号及权限变化按以下条件准备
2. G1启用，原名称公会测试、简介A</x:v>
      </x:c>
      <x:c r="J160" s="9" t="str">
        <x:v>1. 打开公会资料
2. 输入由1个“测”组成的公会简介
3. 点击“保存”</x:v>
      </x:c>
      <x:c r="K160" s="9" t="str">
        <x:v>保存长度1字的公会简介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来源（当前证据）：liveshow-proto/MainBasis/统一需求文档.md；位置：第2094行、第2089行、第2090行
2. 规则：BR-ff76824e22a0b3cc
3. 未动态验证</x:v>
      </x:c>
    </x:row>
    <x:row r="161" ht="85" customHeight="1">
      <x:c r="A161" s="10" t="n">
        <x:v>160</x:v>
      </x:c>
      <x:c r="B161" s="10" t="str">
        <x:v>GUILD-0160</x:v>
      </x:c>
      <x:c r="C161" s="10" t="str">
        <x:v>公会管理</x:v>
      </x:c>
      <x:c r="D161" s="10" t="str">
        <x:v>公会资料（公会长）</x:v>
      </x:c>
      <x:c r="E161" s="10" t="str">
        <x:v>功能需求</x:v>
      </x:c>
      <x:c r="F161" s="10" t="str">
        <x:v>P1</x:v>
      </x:c>
      <x:c r="G161" s="9" t="str">
        <x:v>验证公会资料公会简介200字</x:v>
      </x:c>
      <x:c r="H161" s="9" t="str">
        <x:v>公会简介长度</x:v>
      </x:c>
      <x:c r="I161" s="9" t="str">
        <x:v>1. 当前执行账号具有公会App会话，身份为公会长；具体账号及权限变化按以下条件准备
2. G1启用，原名称公会测试、简介A</x:v>
      </x:c>
      <x:c r="J161" s="9" t="str">
        <x:v>1. 打开公会资料
2. 输入由200个“测”组成的公会简介
3. 点击“保存”</x:v>
      </x:c>
      <x:c r="K161" s="9" t="str">
        <x:v>保存长度200字的公会简介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来源（当前证据）：liveshow-proto/MainBasis/统一需求文档.md；位置：第2094行、第2089行、第2090行
2. 规则：BR-45fd8f8b18c4566a
3. 未动态验证</x:v>
      </x:c>
    </x:row>
    <x:row r="162" ht="85" customHeight="1">
      <x:c r="A162" s="10" t="n">
        <x:v>161</x:v>
      </x:c>
      <x:c r="B162" s="10" t="str">
        <x:v>GUILD-0161</x:v>
      </x:c>
      <x:c r="C162" s="10" t="str">
        <x:v>公会管理</x:v>
      </x:c>
      <x:c r="D162" s="10" t="str">
        <x:v>公会资料（公会长）</x:v>
      </x:c>
      <x:c r="E162" s="10" t="str">
        <x:v>功能需求</x:v>
      </x:c>
      <x:c r="F162" s="10" t="str">
        <x:v>P1</x:v>
      </x:c>
      <x:c r="G162" s="9" t="str">
        <x:v>验证公会资料公会简介201字</x:v>
      </x:c>
      <x:c r="H162" s="9" t="str">
        <x:v>公会简介长度</x:v>
      </x:c>
      <x:c r="I162" s="9" t="str">
        <x:v>1. 当前执行账号具有公会App会话，身份为公会长；具体账号及权限变化按以下条件准备
2. G1启用，原名称公会测试、简介A</x:v>
      </x:c>
      <x:c r="J162" s="9" t="str">
        <x:v>1. 打开公会资料
2. 输入由201个“测”组成的公会简介
3. 点击“保存”</x:v>
      </x:c>
      <x:c r="K162" s="9" t="str">
        <x:v>不保存超过200字的公会简介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来源（当前证据）：liveshow-proto/MainBasis/统一需求文档.md；位置：第2094行、第2089行、第2090行
2. 规则：BR-eefbfe217801fd3b
3. 未动态验证</x:v>
      </x:c>
    </x:row>
    <x:row r="163" ht="160" customHeight="1">
      <x:c r="A163" s="10" t="n">
        <x:v>162</x:v>
      </x:c>
      <x:c r="B163" s="10" t="str">
        <x:v>GUILD-0162</x:v>
      </x:c>
      <x:c r="C163" s="10" t="str">
        <x:v>运营管理</x:v>
      </x:c>
      <x:c r="D163" s="10" t="str">
        <x:v>创建运营账号（公会长）</x:v>
      </x:c>
      <x:c r="E163" s="10" t="str">
        <x:v>功能需求</x:v>
      </x:c>
      <x:c r="F163" s="10" t="str">
        <x:v>P1</x:v>
      </x:c>
      <x:c r="G163" s="9" t="str">
        <x:v>验证创建运营账号名称0字</x:v>
      </x:c>
      <x:c r="H163" s="9" t="str">
        <x:v>名称长度</x:v>
      </x:c>
      <x:c r="I163" s="9" t="str">
        <x:v>1. 当前执行账号具有公会App会话，身份为公会长；具体账号及权限变化按以下条件准备
2. 未保存账号，头像A、唯一登录账号op-test-a、密码OpPass123、初始发放0
3. 新建表单中已上传头像A，并已填入唯一账号op-test-a、初始密码OpPass123及发放0；只修改本条名称</x:v>
      </x:c>
      <x:c r="J163" s="9" t="str">
        <x:v>1. 打开创建运营账号
2. 清空名称
3. 点击“确认创建”</x:v>
      </x:c>
      <x:c r="K163" s="9" t="str">
        <x:v>不保存空名称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来源（当前证据）：liveshow-proto/MainBasis/统一需求文档.md；位置：第2054行、第2051行、第2052行
2. 规则：BR-19fede5d1979b939
3. 未动态验证</x:v>
      </x:c>
    </x:row>
    <x:row r="164" ht="160" customHeight="1">
      <x:c r="A164" s="10" t="n">
        <x:v>163</x:v>
      </x:c>
      <x:c r="B164" s="10" t="str">
        <x:v>GUILD-0163</x:v>
      </x:c>
      <x:c r="C164" s="10" t="str">
        <x:v>运营管理</x:v>
      </x:c>
      <x:c r="D164" s="10" t="str">
        <x:v>创建运营账号（公会长）</x:v>
      </x:c>
      <x:c r="E164" s="10" t="str">
        <x:v>功能需求</x:v>
      </x:c>
      <x:c r="F164" s="10" t="str">
        <x:v>P1</x:v>
      </x:c>
      <x:c r="G164" s="9" t="str">
        <x:v>验证创建运营账号名称1字</x:v>
      </x:c>
      <x:c r="H164" s="9" t="str">
        <x:v>名称长度</x:v>
      </x:c>
      <x:c r="I164" s="9" t="str">
        <x:v>1. 当前执行账号具有公会App会话，身份为公会长；具体账号及权限变化按以下条件准备
2. 未保存账号，头像A、唯一登录账号op-test-a、密码OpPass123、初始发放0
3. 新建表单中已上传头像A，并已填入唯一账号op-test-a、初始密码OpPass123及发放0；只修改本条名称</x:v>
      </x:c>
      <x:c r="J164" s="9" t="str">
        <x:v>1. 打开创建运营账号
2. 输入由1个“测”组成的名称
3. 点击“确认创建”</x:v>
      </x:c>
      <x:c r="K164" s="9" t="str">
        <x:v>保存长度1字的名称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来源（当前证据）：liveshow-proto/MainBasis/统一需求文档.md；位置：第2054行、第2051行、第2052行
2. 规则：BR-0307edf000b97834
3. 未动态验证</x:v>
      </x:c>
    </x:row>
    <x:row r="165" ht="160" customHeight="1">
      <x:c r="A165" s="10" t="n">
        <x:v>164</x:v>
      </x:c>
      <x:c r="B165" s="10" t="str">
        <x:v>GUILD-0164</x:v>
      </x:c>
      <x:c r="C165" s="10" t="str">
        <x:v>运营管理</x:v>
      </x:c>
      <x:c r="D165" s="10" t="str">
        <x:v>创建运营账号（公会长）</x:v>
      </x:c>
      <x:c r="E165" s="10" t="str">
        <x:v>功能需求</x:v>
      </x:c>
      <x:c r="F165" s="10" t="str">
        <x:v>P1</x:v>
      </x:c>
      <x:c r="G165" s="9" t="str">
        <x:v>验证创建运营账号名称30字</x:v>
      </x:c>
      <x:c r="H165" s="9" t="str">
        <x:v>名称长度</x:v>
      </x:c>
      <x:c r="I165" s="9" t="str">
        <x:v>1. 当前执行账号具有公会App会话，身份为公会长；具体账号及权限变化按以下条件准备
2. 未保存账号，头像A、唯一登录账号op-test-a、密码OpPass123、初始发放0
3. 新建表单中已上传头像A，并已填入唯一账号op-test-a、初始密码OpPass123及发放0；只修改本条名称</x:v>
      </x:c>
      <x:c r="J165" s="9" t="str">
        <x:v>1. 打开创建运营账号
2. 输入由30个“测”组成的名称
3. 点击“确认创建”</x:v>
      </x:c>
      <x:c r="K165" s="9" t="str">
        <x:v>保存长度30字的名称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来源（当前证据）：liveshow-proto/MainBasis/统一需求文档.md；位置：第2054行、第2051行、第2052行
2. 规则：BR-b2c94040f9aac12e
3. 未动态验证</x:v>
      </x:c>
    </x:row>
    <x:row r="166" ht="160" customHeight="1">
      <x:c r="A166" s="10" t="n">
        <x:v>165</x:v>
      </x:c>
      <x:c r="B166" s="10" t="str">
        <x:v>GUILD-0165</x:v>
      </x:c>
      <x:c r="C166" s="10" t="str">
        <x:v>运营管理</x:v>
      </x:c>
      <x:c r="D166" s="10" t="str">
        <x:v>创建运营账号（公会长）</x:v>
      </x:c>
      <x:c r="E166" s="10" t="str">
        <x:v>功能需求</x:v>
      </x:c>
      <x:c r="F166" s="10" t="str">
        <x:v>P1</x:v>
      </x:c>
      <x:c r="G166" s="9" t="str">
        <x:v>验证创建运营账号名称31字</x:v>
      </x:c>
      <x:c r="H166" s="9" t="str">
        <x:v>名称长度</x:v>
      </x:c>
      <x:c r="I166" s="9" t="str">
        <x:v>1. 当前执行账号具有公会App会话，身份为公会长；具体账号及权限变化按以下条件准备
2. 未保存账号，头像A、唯一登录账号op-test-a、密码OpPass123、初始发放0
3. 新建表单中已上传头像A，并已填入唯一账号op-test-a、初始密码OpPass123及发放0；只修改本条名称</x:v>
      </x:c>
      <x:c r="J166" s="9" t="str">
        <x:v>1. 打开创建运营账号
2. 输入由31个“测”组成的名称
3. 点击“确认创建”</x:v>
      </x:c>
      <x:c r="K166" s="9" t="str">
        <x:v>不保存超过30字的名称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来源（当前证据）：liveshow-proto/MainBasis/统一需求文档.md；位置：第2054行、第2051行、第2052行
2. 规则：BR-fa80af903acfff19
3. 未动态验证</x:v>
      </x:c>
    </x:row>
    <x:row r="167" ht="85" customHeight="1">
      <x:c r="A167" s="10" t="n">
        <x:v>166</x:v>
      </x:c>
      <x:c r="B167" s="10" t="str">
        <x:v>GUILD-0166</x:v>
      </x:c>
      <x:c r="C167" s="10" t="str">
        <x:v>公会管理</x:v>
      </x:c>
      <x:c r="D167" s="10" t="str">
        <x:v>公会资料（公会长）</x:v>
      </x:c>
      <x:c r="E167" s="10" t="str">
        <x:v>功能需求</x:v>
      </x:c>
      <x:c r="F167" s="10" t="str">
        <x:v>P1</x:v>
      </x:c>
      <x:c r="G167" s="9" t="str">
        <x:v>验证公会Logo上传JPG</x:v>
      </x:c>
      <x:c r="H167" s="9" t="str">
        <x:v>图片上传类型</x:v>
      </x:c>
      <x:c r="I167" s="9" t="str">
        <x:v>1. 当前执行账号具有公会App会话，身份为公会长；具体账号及权限变化按以下条件准备
2. 可读取的JPG图片A</x:v>
      </x:c>
      <x:c r="J167" s="9" t="str">
        <x:v>1. 打开公会资料
2. 上传图片A.jpg</x:v>
      </x:c>
      <x:c r="K167" s="9" t="str">
        <x:v>公会Logo显示图片A预览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来源（当前证据）：liveshow-proto/MainBasis/统一需求文档.md；位置：第2092行、第2089行、第2090行
2. 规则：BR-db41f2f185f8a9f9
3. 未动态验证</x:v>
      </x:c>
    </x:row>
    <x:row r="168" ht="85" customHeight="1">
      <x:c r="A168" s="10" t="n">
        <x:v>167</x:v>
      </x:c>
      <x:c r="B168" s="10" t="str">
        <x:v>GUILD-0167</x:v>
      </x:c>
      <x:c r="C168" s="10" t="str">
        <x:v>公会管理</x:v>
      </x:c>
      <x:c r="D168" s="10" t="str">
        <x:v>公会资料（公会长）</x:v>
      </x:c>
      <x:c r="E168" s="10" t="str">
        <x:v>功能需求</x:v>
      </x:c>
      <x:c r="F168" s="10" t="str">
        <x:v>P1</x:v>
      </x:c>
      <x:c r="G168" s="9" t="str">
        <x:v>验证公会Logo上传PNG</x:v>
      </x:c>
      <x:c r="H168" s="9" t="str">
        <x:v>图片上传类型</x:v>
      </x:c>
      <x:c r="I168" s="9" t="str">
        <x:v>1. 当前执行账号具有公会App会话，身份为公会长；具体账号及权限变化按以下条件准备
2. 可读取的PNG图片A</x:v>
      </x:c>
      <x:c r="J168" s="9" t="str">
        <x:v>1. 打开公会资料
2. 上传图片A.png</x:v>
      </x:c>
      <x:c r="K168" s="9" t="str">
        <x:v>公会Logo显示图片A预览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来源（当前证据）：liveshow-proto/MainBasis/统一需求文档.md；位置：第2092行、第2089行、第2090行
2. 规则：BR-4ce5ff3d8e1f43a3
3. 未动态验证</x:v>
      </x:c>
    </x:row>
    <x:row r="169" ht="85" customHeight="1">
      <x:c r="A169" s="10" t="n">
        <x:v>168</x:v>
      </x:c>
      <x:c r="B169" s="10" t="str">
        <x:v>GUILD-0168</x:v>
      </x:c>
      <x:c r="C169" s="10" t="str">
        <x:v>公会管理</x:v>
      </x:c>
      <x:c r="D169" s="10" t="str">
        <x:v>公会资料（公会长）</x:v>
      </x:c>
      <x:c r="E169" s="10" t="str">
        <x:v>功能需求</x:v>
      </x:c>
      <x:c r="F169" s="10" t="str">
        <x:v>P1</x:v>
      </x:c>
      <x:c r="G169" s="9" t="str">
        <x:v>验证公会Logo上传WebP</x:v>
      </x:c>
      <x:c r="H169" s="9" t="str">
        <x:v>图片上传类型</x:v>
      </x:c>
      <x:c r="I169" s="9" t="str">
        <x:v>1. 当前执行账号具有公会App会话，身份为公会长；具体账号及权限变化按以下条件准备
2. 可读取的WebP图片A</x:v>
      </x:c>
      <x:c r="J169" s="9" t="str">
        <x:v>1. 打开公会资料
2. 上传图片A.webp</x:v>
      </x:c>
      <x:c r="K169" s="9" t="str">
        <x:v>公会Logo显示图片A预览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来源（当前证据）：liveshow-proto/MainBasis/统一需求文档.md；位置：第2092行、第2089行、第2090行
2. 规则：BR-d724978724bfe65c
3. 未动态验证</x:v>
      </x:c>
    </x:row>
    <x:row r="170" ht="85" customHeight="1">
      <x:c r="A170" s="10" t="n">
        <x:v>169</x:v>
      </x:c>
      <x:c r="B170" s="10" t="str">
        <x:v>GUILD-0169</x:v>
      </x:c>
      <x:c r="C170" s="10" t="str">
        <x:v>运营管理</x:v>
      </x:c>
      <x:c r="D170" s="10" t="str">
        <x:v>创建运营账号（公会长）</x:v>
      </x:c>
      <x:c r="E170" s="10" t="str">
        <x:v>功能需求</x:v>
      </x:c>
      <x:c r="F170" s="10" t="str">
        <x:v>P1</x:v>
      </x:c>
      <x:c r="G170" s="9" t="str">
        <x:v>验证头像上传JPG</x:v>
      </x:c>
      <x:c r="H170" s="9" t="str">
        <x:v>图片上传类型</x:v>
      </x:c>
      <x:c r="I170" s="9" t="str">
        <x:v>1. 当前执行账号具有公会App会话，身份为公会长；具体账号及权限变化按以下条件准备
2. 可读取的JPG图片A</x:v>
      </x:c>
      <x:c r="J170" s="9" t="str">
        <x:v>1. 打开创建运营账号
2. 上传图片A.jpg</x:v>
      </x:c>
      <x:c r="K170" s="9" t="str">
        <x:v>头像显示图片A预览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来源（当前证据）：liveshow-proto/MainBasis/统一需求文档.md；位置：第2053行、第2051行、第2052行
2. 规则：BR-8f12592164c9d306
3. 未动态验证</x:v>
      </x:c>
    </x:row>
    <x:row r="171" ht="85" customHeight="1">
      <x:c r="A171" s="10" t="n">
        <x:v>170</x:v>
      </x:c>
      <x:c r="B171" s="10" t="str">
        <x:v>GUILD-0170</x:v>
      </x:c>
      <x:c r="C171" s="10" t="str">
        <x:v>运营管理</x:v>
      </x:c>
      <x:c r="D171" s="10" t="str">
        <x:v>创建运营账号（公会长）</x:v>
      </x:c>
      <x:c r="E171" s="10" t="str">
        <x:v>功能需求</x:v>
      </x:c>
      <x:c r="F171" s="10" t="str">
        <x:v>P1</x:v>
      </x:c>
      <x:c r="G171" s="9" t="str">
        <x:v>验证头像上传PNG</x:v>
      </x:c>
      <x:c r="H171" s="9" t="str">
        <x:v>图片上传类型</x:v>
      </x:c>
      <x:c r="I171" s="9" t="str">
        <x:v>1. 当前执行账号具有公会App会话，身份为公会长；具体账号及权限变化按以下条件准备
2. 可读取的PNG图片A</x:v>
      </x:c>
      <x:c r="J171" s="9" t="str">
        <x:v>1. 打开创建运营账号
2. 上传图片A.png</x:v>
      </x:c>
      <x:c r="K171" s="9" t="str">
        <x:v>头像显示图片A预览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来源（当前证据）：liveshow-proto/MainBasis/统一需求文档.md；位置：第2053行、第2051行、第2052行
2. 规则：BR-32c403b21395494b
3. 未动态验证</x:v>
      </x:c>
    </x:row>
    <x:row r="172" ht="85" customHeight="1">
      <x:c r="A172" s="10" t="n">
        <x:v>171</x:v>
      </x:c>
      <x:c r="B172" s="10" t="str">
        <x:v>GUILD-0171</x:v>
      </x:c>
      <x:c r="C172" s="10" t="str">
        <x:v>运营管理</x:v>
      </x:c>
      <x:c r="D172" s="10" t="str">
        <x:v>创建运营账号（公会长）</x:v>
      </x:c>
      <x:c r="E172" s="10" t="str">
        <x:v>功能需求</x:v>
      </x:c>
      <x:c r="F172" s="10" t="str">
        <x:v>P1</x:v>
      </x:c>
      <x:c r="G172" s="9" t="str">
        <x:v>验证头像上传WebP</x:v>
      </x:c>
      <x:c r="H172" s="9" t="str">
        <x:v>图片上传类型</x:v>
      </x:c>
      <x:c r="I172" s="9" t="str">
        <x:v>1. 当前执行账号具有公会App会话，身份为公会长；具体账号及权限变化按以下条件准备
2. 可读取的WebP图片A</x:v>
      </x:c>
      <x:c r="J172" s="9" t="str">
        <x:v>1. 打开创建运营账号
2. 上传图片A.webp</x:v>
      </x:c>
      <x:c r="K172" s="9" t="str">
        <x:v>头像显示图片A预览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来源（当前证据）：liveshow-proto/MainBasis/统一需求文档.md；位置：第2053行、第2051行、第2052行
2. 规则：BR-3420c7ce8f1bb0a0
3. 未动态验证</x:v>
      </x:c>
    </x:row>
    <x:row r="173" ht="85" customHeight="1">
      <x:c r="A173" s="10" t="n">
        <x:v>172</x:v>
      </x:c>
      <x:c r="B173" s="10" t="str">
        <x:v>GUILD-0172</x:v>
      </x:c>
      <x:c r="C173" s="10" t="str">
        <x:v>公会管理</x:v>
      </x:c>
      <x:c r="D173" s="10" t="str">
        <x:v>公会资料（公会长）</x:v>
      </x:c>
      <x:c r="E173" s="10" t="str">
        <x:v>功能需求</x:v>
      </x:c>
      <x:c r="F173" s="10" t="str">
        <x:v>P1</x:v>
      </x:c>
      <x:c r="G173" s="9" t="str">
        <x:v>验证修改公会资料不改身份</x:v>
      </x:c>
      <x:c r="H173" s="9" t="str">
        <x:v>公会标识不变</x:v>
      </x:c>
      <x:c r="I173" s="9" t="str">
        <x:v>1. 当前执行账号具有公会App会话，身份为公会长；具体账号及权限变化按以下条件准备
2. G1当前名称旧名，公会ID和主播成员A、B已记录</x:v>
      </x:c>
      <x:c r="J173" s="9" t="str">
        <x:v>1. 打开公会资料
2. 输入公会名称“新名称”
3. 点击“保存”</x:v>
      </x:c>
      <x:c r="K173" s="9" t="str">
        <x:v>公会ID仍为原G1编号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来源（当前证据）：liveshow-proto/MainBasis/统一需求文档.md；位置：第2095行、第2089行、第2090行
2. 规则：BR-cb79bdf11df9466e
3. 未动态验证</x:v>
      </x:c>
    </x:row>
    <x:row r="174" ht="85" customHeight="1">
      <x:c r="A174" s="10" t="n">
        <x:v>173</x:v>
      </x:c>
      <x:c r="B174" s="10" t="str">
        <x:v>GUILD-0173</x:v>
      </x:c>
      <x:c r="C174" s="10" t="str">
        <x:v>公会首页</x:v>
      </x:c>
      <x:c r="D174" s="10" t="str">
        <x:v>通知详情（公会长）</x:v>
      </x:c>
      <x:c r="E174" s="10" t="str">
        <x:v>功能需求</x:v>
      </x:c>
      <x:c r="F174" s="10" t="str">
        <x:v>P0</x:v>
      </x:c>
      <x:c r="G174" s="9" t="str">
        <x:v>验证通知关联入口有权限可见</x:v>
      </x:c>
      <x:c r="H174" s="9" t="str">
        <x:v>通知权限入口</x:v>
      </x:c>
      <x:c r="I174" s="9" t="str">
        <x:v>1. 当前执行账号具有公会App会话，身份为公会长；具体账号及权限变化按以下条件准备
2. 通知N关联入会J1，当前账号有J1审核权限</x:v>
      </x:c>
      <x:c r="J174" s="9" t="str">
        <x:v>1. 打开通知详情
2. 查看通知关联入口</x:v>
      </x:c>
      <x:c r="K174" s="9" t="str">
        <x:v>展示进入J1的业务入口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来源（当前证据）：liveshow-proto/MainBasis/统一需求文档.md；位置：第1925行、第1920行、第1921行
2. 规则：BR-16a1b123262a7900
3. 未动态验证</x:v>
      </x:c>
    </x:row>
    <x:row r="175" ht="85" customHeight="1">
      <x:c r="A175" s="10" t="n">
        <x:v>174</x:v>
      </x:c>
      <x:c r="B175" s="10" t="str">
        <x:v>GUILD-0174</x:v>
      </x:c>
      <x:c r="C175" s="10" t="str">
        <x:v>公会首页</x:v>
      </x:c>
      <x:c r="D175" s="10" t="str">
        <x:v>通知详情（公会长）</x:v>
      </x:c>
      <x:c r="E175" s="10" t="str">
        <x:v>功能需求</x:v>
      </x:c>
      <x:c r="F175" s="10" t="str">
        <x:v>P1</x:v>
      </x:c>
      <x:c r="G175" s="9" t="str">
        <x:v>验证通知无关联记录不提供入口</x:v>
      </x:c>
      <x:c r="H175" s="9" t="str">
        <x:v>通知入口条件</x:v>
      </x:c>
      <x:c r="I175" s="9" t="str">
        <x:v>1. 当前执行账号具有公会App会话，身份为公会长；具体账号及权限变化按以下条件准备
2. 通知N当前无关联记录</x:v>
      </x:c>
      <x:c r="J175" s="9" t="str">
        <x:v>1. 打开通知详情
2. 查看业务入口</x:v>
      </x:c>
      <x:c r="K175" s="9" t="str">
        <x:v>不展示关联业务入口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来源（当前证据）：liveshow-proto/MainBasis/统一需求文档.md；位置：第1925行、第1920行、第1921行
2. 规则：BR-9b21a18a548ec562
3. 未动态验证</x:v>
      </x:c>
    </x:row>
    <x:row r="176" ht="85" customHeight="1">
      <x:c r="A176" s="10" t="n">
        <x:v>175</x:v>
      </x:c>
      <x:c r="B176" s="10" t="str">
        <x:v>GUILD-0175</x:v>
      </x:c>
      <x:c r="C176" s="10" t="str">
        <x:v>公会首页</x:v>
      </x:c>
      <x:c r="D176" s="10" t="str">
        <x:v>通知详情（公会长）</x:v>
      </x:c>
      <x:c r="E176" s="10" t="str">
        <x:v>功能需求</x:v>
      </x:c>
      <x:c r="F176" s="10" t="str">
        <x:v>P0</x:v>
      </x:c>
      <x:c r="G176" s="9" t="str">
        <x:v>验证通知无关联记录查看权限不提供入口</x:v>
      </x:c>
      <x:c r="H176" s="9" t="str">
        <x:v>通知入口条件</x:v>
      </x:c>
      <x:c r="I176" s="9" t="str">
        <x:v>1. 当前执行账号具有公会App会话，身份为公会长；具体账号及权限变化按以下条件准备
2. 通知N当前无关联记录查看权限</x:v>
      </x:c>
      <x:c r="J176" s="9" t="str">
        <x:v>1. 打开通知详情
2. 查看业务入口</x:v>
      </x:c>
      <x:c r="K176" s="9" t="str">
        <x:v>不展示关联业务入口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来源（当前证据）：liveshow-proto/MainBasis/统一需求文档.md；位置：第1925行、第1920行、第1921行
2. 规则：BR-7423442766b23a85
3. 未动态验证</x:v>
      </x:c>
    </x:row>
    <x:row r="177" ht="85" customHeight="1">
      <x:c r="A177" s="10" t="n">
        <x:v>176</x:v>
      </x:c>
      <x:c r="B177" s="10" t="str">
        <x:v>GUILD-0176</x:v>
      </x:c>
      <x:c r="C177" s="10" t="str">
        <x:v>主播管理</x:v>
      </x:c>
      <x:c r="D177" s="10" t="str">
        <x:v>主播业绩（公会长）</x:v>
      </x:c>
      <x:c r="E177" s="10" t="str">
        <x:v>功能需求</x:v>
      </x:c>
      <x:c r="F177" s="10" t="str">
        <x:v>P1</x:v>
      </x:c>
      <x:c r="G177" s="9" t="str">
        <x:v>验证主播业绩默认日期</x:v>
      </x:c>
      <x:c r="H177" s="9" t="str">
        <x:v>默认时间范围</x:v>
      </x:c>
      <x:c r="I177" s="9" t="str">
        <x:v>1. 当前执行账号具有公会App会话，身份为公会长；具体账号及权限变化按以下条件准备
2. 首次进入该功能，尚未修改筛选条件</x:v>
      </x:c>
      <x:c r="J177" s="9" t="str">
        <x:v>1. 打开主播业绩
2. 查看日期筛选</x:v>
      </x:c>
      <x:c r="K177" s="9" t="str">
        <x:v>默认选中今日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来源（当前证据）：liveshow-proto/MainBasis/统一需求文档.md；位置：第1980行、第1978行、第1979行
2. 规则：BR-ac62981be3539b34
3. 未动态验证</x:v>
      </x:c>
    </x:row>
    <x:row r="178" ht="85" customHeight="1">
      <x:c r="A178" s="10" t="n">
        <x:v>177</x:v>
      </x:c>
      <x:c r="B178" s="10" t="str">
        <x:v>GUILD-0177</x:v>
      </x:c>
      <x:c r="C178" s="10" t="str">
        <x:v>运营管理</x:v>
      </x:c>
      <x:c r="D178" s="10" t="str">
        <x:v>送礼记录（公会长）</x:v>
      </x:c>
      <x:c r="E178" s="10" t="str">
        <x:v>功能需求</x:v>
      </x:c>
      <x:c r="F178" s="10" t="str">
        <x:v>P1</x:v>
      </x:c>
      <x:c r="G178" s="9" t="str">
        <x:v>验证送礼记录默认日期</x:v>
      </x:c>
      <x:c r="H178" s="9" t="str">
        <x:v>默认时间范围</x:v>
      </x:c>
      <x:c r="I178" s="9" t="str">
        <x:v>1. 当前执行账号具有公会App会话，身份为公会长；具体账号及权限变化按以下条件准备
2. 首次进入该功能，尚未修改筛选条件</x:v>
      </x:c>
      <x:c r="J178" s="9" t="str">
        <x:v>1. 打开送礼记录
2. 查看日期筛选</x:v>
      </x:c>
      <x:c r="K178" s="9" t="str">
        <x:v>默认选中今日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来源（当前证据）：liveshow-proto/MainBasis/统一需求文档.md；位置：第2076行、第2074行、第2075行
2. 规则：BR-627e7b2409183d64
3. 未动态验证</x:v>
      </x:c>
    </x:row>
    <x:row r="179" ht="85" customHeight="1">
      <x:c r="A179" s="10" t="n">
        <x:v>178</x:v>
      </x:c>
      <x:c r="B179" s="10" t="str">
        <x:v>GUILD-0178</x:v>
      </x:c>
      <x:c r="C179" s="10" t="str">
        <x:v>数据与收益</x:v>
      </x:c>
      <x:c r="D179" s="10" t="str">
        <x:v>直播记录（公会长）</x:v>
      </x:c>
      <x:c r="E179" s="10" t="str">
        <x:v>功能需求</x:v>
      </x:c>
      <x:c r="F179" s="10" t="str">
        <x:v>P1</x:v>
      </x:c>
      <x:c r="G179" s="9" t="str">
        <x:v>验证直播记录默认日期</x:v>
      </x:c>
      <x:c r="H179" s="9" t="str">
        <x:v>默认时间范围</x:v>
      </x:c>
      <x:c r="I179" s="9" t="str">
        <x:v>1. 当前执行账号具有公会App会话，身份为公会长；具体账号及权限变化按以下条件准备
2. 首次进入该功能，尚未修改筛选条件</x:v>
      </x:c>
      <x:c r="J179" s="9" t="str">
        <x:v>1. 打开直播记录
2. 查看日期筛选</x:v>
      </x:c>
      <x:c r="K179" s="9" t="str">
        <x:v>默认选中今日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来源（当前证据）：liveshow-proto/MainBasis/统一需求文档.md；位置：第2113行、第2111行、第2112行
2. 规则：BR-14328b000fb1d70b
3. 未动态验证</x:v>
      </x:c>
    </x:row>
    <x:row r="180" ht="85" customHeight="1">
      <x:c r="A180" s="10" t="n">
        <x:v>179</x:v>
      </x:c>
      <x:c r="B180" s="10" t="str">
        <x:v>GUILD-0179</x:v>
      </x:c>
      <x:c r="C180" s="10" t="str">
        <x:v>数据与收益</x:v>
      </x:c>
      <x:c r="D180" s="10" t="str">
        <x:v>违规记录（公会长）</x:v>
      </x:c>
      <x:c r="E180" s="10" t="str">
        <x:v>功能需求</x:v>
      </x:c>
      <x:c r="F180" s="10" t="str">
        <x:v>P1</x:v>
      </x:c>
      <x:c r="G180" s="9" t="str">
        <x:v>验证违规记录默认日期</x:v>
      </x:c>
      <x:c r="H180" s="9" t="str">
        <x:v>默认时间范围</x:v>
      </x:c>
      <x:c r="I180" s="9" t="str">
        <x:v>1. 当前执行账号具有公会App会话，身份为公会长；具体账号及权限变化按以下条件准备
2. 首次进入该功能，尚未修改筛选条件</x:v>
      </x:c>
      <x:c r="J180" s="9" t="str">
        <x:v>1. 打开违规记录
2. 查看日期筛选</x:v>
      </x:c>
      <x:c r="K180" s="9" t="str">
        <x:v>默认选中今日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来源（当前证据）：liveshow-proto/MainBasis/统一需求文档.md；位置：第2134行、第2132行、第2133行
2. 规则：BR-347b4581a22fe4bb
3. 未动态验证</x:v>
      </x:c>
    </x:row>
    <x:row r="181" ht="85" customHeight="1">
      <x:c r="A181" s="10" t="n">
        <x:v>180</x:v>
      </x:c>
      <x:c r="B181" s="10" t="str">
        <x:v>GUILD-0180</x:v>
      </x:c>
      <x:c r="C181" s="10" t="str">
        <x:v>运营管理</x:v>
      </x:c>
      <x:c r="D181" s="10" t="str">
        <x:v>运营消息（公会长）</x:v>
      </x:c>
      <x:c r="E181" s="10" t="str">
        <x:v>功能需求</x:v>
      </x:c>
      <x:c r="F181" s="10" t="str">
        <x:v>P1</x:v>
      </x:c>
      <x:c r="G181" s="9" t="str">
        <x:v>验证运营消息默认月份</x:v>
      </x:c>
      <x:c r="H181" s="9" t="str">
        <x:v>默认时间范围</x:v>
      </x:c>
      <x:c r="I181" s="9" t="str">
        <x:v>1. 当前执行账号具有公会App会话，身份为公会长；具体账号及权限变化按以下条件准备
2. 首次进入该功能，尚未修改筛选条件</x:v>
      </x:c>
      <x:c r="J181" s="9" t="str">
        <x:v>1. 打开运营消息
2. 查看日期范围</x:v>
      </x:c>
      <x:c r="K181" s="9" t="str">
        <x:v>默认范围为本月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来源（当前证据）：liveshow-proto/MainBasis/统一需求文档.md；位置：第2014行、第2009行、第2010行
2. 规则：BR-fe58e46fb7d7cf28
3. 未动态验证</x:v>
      </x:c>
    </x:row>
    <x:row r="182" ht="85" customHeight="1">
      <x:c r="A182" s="10" t="n">
        <x:v>181</x:v>
      </x:c>
      <x:c r="B182" s="10" t="str">
        <x:v>GUILD-0181</x:v>
      </x:c>
      <x:c r="C182" s="10" t="str">
        <x:v>运营管理</x:v>
      </x:c>
      <x:c r="D182" s="10" t="str">
        <x:v>运营账号主页（公会长）</x:v>
      </x:c>
      <x:c r="E182" s="10" t="str">
        <x:v>功能需求</x:v>
      </x:c>
      <x:c r="F182" s="10" t="str">
        <x:v>P1</x:v>
      </x:c>
      <x:c r="G182" s="9" t="str">
        <x:v>验证运营账号主页默认月份</x:v>
      </x:c>
      <x:c r="H182" s="9" t="str">
        <x:v>默认时间范围</x:v>
      </x:c>
      <x:c r="I182" s="9" t="str">
        <x:v>1. 当前执行账号具有公会App会话，身份为公会长；具体账号及权限变化按以下条件准备
2. 首次进入该功能，尚未修改筛选条件</x:v>
      </x:c>
      <x:c r="J182" s="9" t="str">
        <x:v>1. 打开运营账号主页
2. 查看日期范围</x:v>
      </x:c>
      <x:c r="K182" s="9" t="str">
        <x:v>默认范围为本月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来源（当前证据）：liveshow-proto/MainBasis/统一需求文档.md；位置：第2066行、第2063行、第2064行
2. 规则：BR-25332d0899efe29c
3. 未动态验证</x:v>
      </x:c>
    </x:row>
    <x:row r="183" ht="85" customHeight="1">
      <x:c r="A183" s="10" t="n">
        <x:v>182</x:v>
      </x:c>
      <x:c r="B183" s="10" t="str">
        <x:v>GUILD-0182</x:v>
      </x:c>
      <x:c r="C183" s="10" t="str">
        <x:v>数据与收益</x:v>
      </x:c>
      <x:c r="D183" s="10" t="str">
        <x:v>主播分成记录（公会长）</x:v>
      </x:c>
      <x:c r="E183" s="10" t="str">
        <x:v>功能需求</x:v>
      </x:c>
      <x:c r="F183" s="10" t="str">
        <x:v>P1</x:v>
      </x:c>
      <x:c r="G183" s="9" t="str">
        <x:v>验证主播分成记录默认月份</x:v>
      </x:c>
      <x:c r="H183" s="9" t="str">
        <x:v>默认时间范围</x:v>
      </x:c>
      <x:c r="I183" s="9" t="str">
        <x:v>1. 当前执行账号具有公会App会话，身份为公会长；具体账号及权限变化按以下条件准备
2. 首次进入该功能，尚未修改筛选条件</x:v>
      </x:c>
      <x:c r="J183" s="9" t="str">
        <x:v>1. 打开主播分成记录
2. 查看日期范围</x:v>
      </x:c>
      <x:c r="K183" s="9" t="str">
        <x:v>默认范围为本月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来源（当前证据）：liveshow-proto/MainBasis/统一需求文档.md；位置：第2163行、第2161行、第2162行
2. 规则：BR-d3380fdbcc15bf68
3. 未动态验证</x:v>
      </x:c>
    </x:row>
    <x:row r="184" ht="85" customHeight="1">
      <x:c r="A184" s="10" t="n">
        <x:v>183</x:v>
      </x:c>
      <x:c r="B184" s="10" t="str">
        <x:v>GUILD-0183</x:v>
      </x:c>
      <x:c r="C184" s="10" t="str">
        <x:v>数据与收益</x:v>
      </x:c>
      <x:c r="D184" s="10" t="str">
        <x:v>直播记录（公会长）</x:v>
      </x:c>
      <x:c r="E184" s="10" t="str">
        <x:v>功能需求</x:v>
      </x:c>
      <x:c r="F184" s="10" t="str">
        <x:v>P1</x:v>
      </x:c>
      <x:c r="G184" s="9" t="str">
        <x:v>验证直播记录默认对象范围</x:v>
      </x:c>
      <x:c r="H184" s="9" t="str">
        <x:v>默认对象范围</x:v>
      </x:c>
      <x:c r="I184" s="9" t="str">
        <x:v>1. 当前执行账号具有公会App会话，身份为公会长；具体账号及权限变化按以下条件准备
2. 当前公会有两个有效可查询对象A、B</x:v>
      </x:c>
      <x:c r="J184" s="9" t="str">
        <x:v>1. 打开直播记录
2. 查看对象筛选</x:v>
      </x:c>
      <x:c r="K184" s="9" t="str">
        <x:v>默认范围包含A与B全部对象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来源（当前证据）：liveshow-proto/MainBasis/统一需求文档.md；位置：第2113行、第2111行、第2112行
2. 规则：BR-6d8142013859da5b
3. 未动态验证</x:v>
      </x:c>
    </x:row>
    <x:row r="185" ht="85" customHeight="1">
      <x:c r="A185" s="10" t="n">
        <x:v>184</x:v>
      </x:c>
      <x:c r="B185" s="10" t="str">
        <x:v>GUILD-0184</x:v>
      </x:c>
      <x:c r="C185" s="10" t="str">
        <x:v>数据与收益</x:v>
      </x:c>
      <x:c r="D185" s="10" t="str">
        <x:v>违规记录（公会长）</x:v>
      </x:c>
      <x:c r="E185" s="10" t="str">
        <x:v>功能需求</x:v>
      </x:c>
      <x:c r="F185" s="10" t="str">
        <x:v>P1</x:v>
      </x:c>
      <x:c r="G185" s="9" t="str">
        <x:v>验证违规记录默认对象范围</x:v>
      </x:c>
      <x:c r="H185" s="9" t="str">
        <x:v>默认对象范围</x:v>
      </x:c>
      <x:c r="I185" s="9" t="str">
        <x:v>1. 当前执行账号具有公会App会话，身份为公会长；具体账号及权限变化按以下条件准备
2. 当前公会有两个有效可查询对象A、B</x:v>
      </x:c>
      <x:c r="J185" s="9" t="str">
        <x:v>1. 打开违规记录
2. 查看对象筛选</x:v>
      </x:c>
      <x:c r="K185" s="9" t="str">
        <x:v>默认范围包含A与B全部对象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来源（当前证据）：liveshow-proto/MainBasis/统一需求文档.md；位置：第2134行、第2132行、第2133行
2. 规则：BR-0ba56a24d11f6cc1
3. 未动态验证</x:v>
      </x:c>
    </x:row>
    <x:row r="186" ht="85" customHeight="1">
      <x:c r="A186" s="10" t="n">
        <x:v>185</x:v>
      </x:c>
      <x:c r="B186" s="10" t="str">
        <x:v>GUILD-0185</x:v>
      </x:c>
      <x:c r="C186" s="10" t="str">
        <x:v>数据与收益</x:v>
      </x:c>
      <x:c r="D186" s="10" t="str">
        <x:v>主播分成记录（公会长）</x:v>
      </x:c>
      <x:c r="E186" s="10" t="str">
        <x:v>功能需求</x:v>
      </x:c>
      <x:c r="F186" s="10" t="str">
        <x:v>P1</x:v>
      </x:c>
      <x:c r="G186" s="9" t="str">
        <x:v>验证主播分成记录默认对象范围</x:v>
      </x:c>
      <x:c r="H186" s="9" t="str">
        <x:v>默认对象范围</x:v>
      </x:c>
      <x:c r="I186" s="9" t="str">
        <x:v>1. 当前执行账号具有公会App会话，身份为公会长；具体账号及权限变化按以下条件准备
2. 当前公会有两个有效可查询对象A、B</x:v>
      </x:c>
      <x:c r="J186" s="9" t="str">
        <x:v>1. 打开主播分成记录
2. 查看对象筛选</x:v>
      </x:c>
      <x:c r="K186" s="9" t="str">
        <x:v>默认范围包含A与B全部对象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来源（当前证据）：liveshow-proto/MainBasis/统一需求文档.md；位置：第2163行、第2161行、第2162行
2. 规则：BR-fbab1bfda4ea676a
3. 未动态验证</x:v>
      </x:c>
    </x:row>
    <x:row r="187" ht="85" customHeight="1">
      <x:c r="A187" s="10" t="n">
        <x:v>186</x:v>
      </x:c>
      <x:c r="B187" s="10" t="str">
        <x:v>GUILD-0186</x:v>
      </x:c>
      <x:c r="C187" s="10" t="str">
        <x:v>运营管理</x:v>
      </x:c>
      <x:c r="D187" s="10" t="str">
        <x:v>送礼记录（公会长）</x:v>
      </x:c>
      <x:c r="E187" s="10" t="str">
        <x:v>功能需求</x:v>
      </x:c>
      <x:c r="F187" s="10" t="str">
        <x:v>P1</x:v>
      </x:c>
      <x:c r="G187" s="9" t="str">
        <x:v>验证送礼记录默认对象范围</x:v>
      </x:c>
      <x:c r="H187" s="9" t="str">
        <x:v>默认对象范围</x:v>
      </x:c>
      <x:c r="I187" s="9" t="str">
        <x:v>1. 当前执行账号具有公会App会话，身份为公会长；具体账号及权限变化按以下条件准备
2. 当前公会有两个有效可查询对象A、B</x:v>
      </x:c>
      <x:c r="J187" s="9" t="str">
        <x:v>1. 打开送礼记录
2. 查看对象筛选</x:v>
      </x:c>
      <x:c r="K187" s="9" t="str">
        <x:v>默认范围包含A与B全部对象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来源（当前证据）：liveshow-proto/MainBasis/统一需求文档.md；位置：第2076行、第2074行、第2075行
2. 规则：BR-bd82861b6932d9bc
3. 未动态验证</x:v>
      </x:c>
    </x:row>
    <x:row r="188" ht="85" customHeight="1">
      <x:c r="A188" s="10" t="n">
        <x:v>187</x:v>
      </x:c>
      <x:c r="B188" s="10" t="str">
        <x:v>GUILD-0187</x:v>
      </x:c>
      <x:c r="C188" s="10" t="str">
        <x:v>数据与收益</x:v>
      </x:c>
      <x:c r="D188" s="10" t="str">
        <x:v>主播数据（公会长）</x:v>
      </x:c>
      <x:c r="E188" s="10" t="str">
        <x:v>功能需求</x:v>
      </x:c>
      <x:c r="F188" s="10" t="str">
        <x:v>P1</x:v>
      </x:c>
      <x:c r="G188" s="9" t="str">
        <x:v>验证主播月数据默认近半年</x:v>
      </x:c>
      <x:c r="H188" s="9" t="str">
        <x:v>月数据范围</x:v>
      </x:c>
      <x:c r="I188" s="9" t="str">
        <x:v>1. 当前执行账号具有公会App会话，身份为公会长；具体账号及权限变化按以下条件准备
2. 当前查看主播B</x:v>
      </x:c>
      <x:c r="J188" s="9" t="str">
        <x:v>1. 打开主播数据
2. 切换月数据</x:v>
      </x:c>
      <x:c r="K188" s="9" t="str">
        <x:v>默认选中近半年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来源（当前证据）：liveshow-proto/MainBasis/统一需求文档.md；位置：第1990行、第1986行、第1987行
2. 规则：BR-35879d0f528ce77f
3. 未动态验证</x:v>
      </x:c>
    </x:row>
    <x:row r="189" ht="85" customHeight="1">
      <x:c r="A189" s="10" t="n">
        <x:v>188</x:v>
      </x:c>
      <x:c r="B189" s="10" t="str">
        <x:v>GUILD-0188</x:v>
      </x:c>
      <x:c r="C189" s="10" t="str">
        <x:v>数据与收益</x:v>
      </x:c>
      <x:c r="D189" s="10" t="str">
        <x:v>主播数据（公会长）</x:v>
      </x:c>
      <x:c r="E189" s="10" t="str">
        <x:v>功能需求</x:v>
      </x:c>
      <x:c r="F189" s="10" t="str">
        <x:v>P1</x:v>
      </x:c>
      <x:c r="G189" s="9" t="str">
        <x:v>验证主播日数据进入对应直播记录</x:v>
      </x:c>
      <x:c r="H189" s="9" t="str">
        <x:v>主播日报联查</x:v>
      </x:c>
      <x:c r="I189" s="9" t="str">
        <x:v>1. 当前执行账号具有公会App会话，身份为公会长；具体账号及权限变化按以下条件准备
2. 当前主播B日数据有2026-09-14行</x:v>
      </x:c>
      <x:c r="J189" s="9" t="str">
        <x:v>1. 打开主播数据
2. 切换日数据
3. 点击2026-09-14数据行</x:v>
      </x:c>
      <x:c r="K189" s="9" t="str">
        <x:v>直播记录带入主播B与2026-09-14日期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来源（当前证据）：liveshow-proto/MainBasis/统一需求文档.md；位置：第1993行、第1986行、第1987行
2. 规则：BR-25ffa30848a5c467
3. 未动态验证</x:v>
      </x:c>
    </x:row>
    <x:row r="190" ht="100" customHeight="1">
      <x:c r="A190" s="10" t="n">
        <x:v>189</x:v>
      </x:c>
      <x:c r="B190" s="10" t="str">
        <x:v>GUILD-0189</x:v>
      </x:c>
      <x:c r="C190" s="10" t="str">
        <x:v>数据与收益</x:v>
      </x:c>
      <x:c r="D190" s="10" t="str">
        <x:v>直播记录（公会长）</x:v>
      </x:c>
      <x:c r="E190" s="10" t="str">
        <x:v>功能需求</x:v>
      </x:c>
      <x:c r="F190" s="10" t="str">
        <x:v>P1</x:v>
      </x:c>
      <x:c r="G190" s="9" t="str">
        <x:v>验证直播场次详情参数绑定</x:v>
      </x:c>
      <x:c r="H190" s="9" t="str">
        <x:v>场次联查标识</x:v>
      </x:c>
      <x:c r="I190" s="9" t="str">
        <x:v>1. 当前执行账号具有公会App会话，身份为公会长；具体账号及权限变化按以下条件准备
2. 查询结果中S1属于主播B、开播日期2026-09-14；另有S2属于C</x:v>
      </x:c>
      <x:c r="J190" s="9" t="str">
        <x:v>1. 打开直播记录
2. 点击S1直播场次</x:v>
      </x:c>
      <x:c r="K190" s="9" t="str">
        <x:v>进入主播B的S1场次详情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来源（当前证据）：liveshow-proto/MainBasis/统一需求文档.md；位置：第2120行、第2111行、第2112行
2. 规则：BR-1ef1bfa630c5cc99
3. 未动态验证</x:v>
      </x:c>
    </x:row>
    <x:row r="191" ht="85" customHeight="1">
      <x:c r="A191" s="10" t="n">
        <x:v>190</x:v>
      </x:c>
      <x:c r="B191" s="10" t="str">
        <x:v>GUILD-0190</x:v>
      </x:c>
      <x:c r="C191" s="10" t="str">
        <x:v>数据与收益</x:v>
      </x:c>
      <x:c r="D191" s="10" t="str">
        <x:v>直播场次详情（公会长）</x:v>
      </x:c>
      <x:c r="E191" s="10" t="str">
        <x:v>功能需求</x:v>
      </x:c>
      <x:c r="F191" s="10" t="str">
        <x:v>P1</x:v>
      </x:c>
      <x:c r="G191" s="9" t="str">
        <x:v>验证送礼详情返回保留范围</x:v>
      </x:c>
      <x:c r="H191" s="9" t="str">
        <x:v>送礼详情返回</x:v>
      </x:c>
      <x:c r="I191" s="9" t="str">
        <x:v>1. 当前执行账号具有公会App会话，身份为公会长；具体账号及权限变化按以下条件准备
2. 来源主播B、日期2026-09-14，当前场次S1有送礼G1</x:v>
      </x:c>
      <x:c r="J191" s="9" t="str">
        <x:v>1. 打开直播场次详情
2. 点击G1送礼记录
3. 点击“返回”</x:v>
      </x:c>
      <x:c r="K191" s="9" t="str">
        <x:v>主播B及2026-09-14筛选保留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来源（当前证据）：liveshow-proto/MainBasis/统一需求文档.md；位置：第2130行、第2122行、第2123行
2. 规则：BR-4f97b017b6b094ca
3. 未动态验证</x:v>
      </x:c>
    </x:row>
    <x:row r="192" ht="85" customHeight="1">
      <x:c r="A192" s="10" t="n">
        <x:v>191</x:v>
      </x:c>
      <x:c r="B192" s="10" t="str">
        <x:v>GUILD-0191</x:v>
      </x:c>
      <x:c r="C192" s="10" t="str">
        <x:v>运营管理</x:v>
      </x:c>
      <x:c r="D192" s="10" t="str">
        <x:v>送礼记录（公会长）</x:v>
      </x:c>
      <x:c r="E192" s="10" t="str">
        <x:v>功能需求</x:v>
      </x:c>
      <x:c r="F192" s="10" t="str">
        <x:v>P1</x:v>
      </x:c>
      <x:c r="G192" s="9" t="str">
        <x:v>验证运营送礼按成功订单计次</x:v>
      </x:c>
      <x:c r="H192" s="9" t="str">
        <x:v>运营订单计次</x:v>
      </x:c>
      <x:c r="I192" s="9" t="str">
        <x:v>1. 当前执行账号具有公会App会话，身份为公会长；具体账号及权限变化按以下条件准备
2. 筛选范围内成功订单A含10份、B含1份，另有失败C含5份</x:v>
      </x:c>
      <x:c r="J192" s="9" t="str">
        <x:v>1. 打开送礼记录
2. 查看总送礼次数</x:v>
      </x:c>
      <x:c r="K192" s="9" t="str">
        <x:v>总送礼次数为2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来源（当前证据）：liveshow-proto/MainBasis/统一需求文档.md；位置：第2077行、第2074行、第2075行
2. 规则：BR-533e011e46858b94
3. 未动态验证</x:v>
      </x:c>
    </x:row>
    <x:row r="193" ht="85" customHeight="1">
      <x:c r="A193" s="10" t="n">
        <x:v>192</x:v>
      </x:c>
      <x:c r="B193" s="10" t="str">
        <x:v>GUILD-0192</x:v>
      </x:c>
      <x:c r="C193" s="10" t="str">
        <x:v>运营管理</x:v>
      </x:c>
      <x:c r="D193" s="10" t="str">
        <x:v>送礼记录（公会长）</x:v>
      </x:c>
      <x:c r="E193" s="10" t="str">
        <x:v>逻辑校验</x:v>
      </x:c>
      <x:c r="F193" s="10" t="str">
        <x:v>P1</x:v>
      </x:c>
      <x:c r="G193" s="9" t="str">
        <x:v>验证运营送礼金币按单价数量</x:v>
      </x:c>
      <x:c r="H193" s="9" t="str">
        <x:v>运营赠礼总价</x:v>
      </x:c>
      <x:c r="I193" s="9" t="str">
        <x:v>1. 当前执行账号具有公会App会话，身份为公会长；具体账号及权限变化按以下条件准备
2. 成功A单价10数量10、成功B单价20数量1，失败C不计</x:v>
      </x:c>
      <x:c r="J193" s="9" t="str">
        <x:v>1. 打开送礼记录
2. 查看总消费金币</x:v>
      </x:c>
      <x:c r="K193" s="9" t="str">
        <x:v>总消费金币=120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来源（当前证据）：liveshow-proto/MainBasis/统一需求文档.md；位置：第2077行、第2074行、第2075行
2. 规则：BR-adffa385d9d15410
3. 未动态验证</x:v>
      </x:c>
    </x:row>
    <x:row r="194" ht="100" customHeight="1">
      <x:c r="A194" s="10" t="n">
        <x:v>193</x:v>
      </x:c>
      <x:c r="B194" s="10" t="str">
        <x:v>GUILD-0193</x:v>
      </x:c>
      <x:c r="C194" s="10" t="str">
        <x:v>运营管理</x:v>
      </x:c>
      <x:c r="D194" s="10" t="str">
        <x:v>运营账号（公会长）</x:v>
      </x:c>
      <x:c r="E194" s="10" t="str">
        <x:v>逻辑校验</x:v>
      </x:c>
      <x:c r="F194" s="10" t="str">
        <x:v>P0</x:v>
      </x:c>
      <x:c r="G194" s="9" t="str">
        <x:v>验证运营账户余额跨账号汇总</x:v>
      </x:c>
      <x:c r="H194" s="9" t="str">
        <x:v>公会虚拟余额合计</x:v>
      </x:c>
      <x:c r="I194" s="9" t="str">
        <x:v>1. 当前执行账号具有公会App会话，身份为公会长；具体账号及权限变化按以下条件准备
2. 当前公会账号A余额100虚拟金币、B余额200虚拟金币；其他公会C余额900</x:v>
      </x:c>
      <x:c r="J194" s="9" t="str">
        <x:v>1. 打开运营账号
2. 查看账户余额累计</x:v>
      </x:c>
      <x:c r="K194" s="9" t="str">
        <x:v>账户余额累计=300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来源（当前证据）：liveshow-proto/MainBasis/统一需求文档.md；位置：第2042行、第2040行、第2041行
2. 规则：BR-960085866dd2a4f3
3. 未动态验证</x:v>
      </x:c>
    </x:row>
    <x:row r="195" ht="100" customHeight="1">
      <x:c r="A195" s="10" t="n">
        <x:v>194</x:v>
      </x:c>
      <x:c r="B195" s="10" t="str">
        <x:v>GUILD-0194</x:v>
      </x:c>
      <x:c r="C195" s="10" t="str">
        <x:v>运营管理</x:v>
      </x:c>
      <x:c r="D195" s="10" t="str">
        <x:v>运营账号（公会长）</x:v>
      </x:c>
      <x:c r="E195" s="10" t="str">
        <x:v>逻辑校验</x:v>
      </x:c>
      <x:c r="F195" s="10" t="str">
        <x:v>P0</x:v>
      </x:c>
      <x:c r="G195" s="9" t="str">
        <x:v>验证公会月剩余发放额度</x:v>
      </x:c>
      <x:c r="H195" s="9" t="str">
        <x:v>公会月剩余量</x:v>
      </x:c>
      <x:c r="I195" s="9" t="str">
        <x:v>1. 当前执行账号具有公会App会话，身份为公会长；具体账号及权限变化按以下条件准备
2. 当前公会本月上限1000虚拟金币，已成功发放600；失败发放100不计</x:v>
      </x:c>
      <x:c r="J195" s="9" t="str">
        <x:v>1. 打开运营账号
2. 查看本月剩余可发</x:v>
      </x:c>
      <x:c r="K195" s="9" t="str">
        <x:v>本月剩余可发=400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来源（当前证据）：liveshow-proto/MainBasis/统一需求文档.md；位置：第2042行、第2040行、第2041行
2. 规则：BR-0f3dbaf16c7a6713
3. 未动态验证</x:v>
      </x:c>
    </x:row>
    <x:row r="196" ht="85" customHeight="1">
      <x:c r="A196" s="10" t="n">
        <x:v>195</x:v>
      </x:c>
      <x:c r="B196" s="10" t="str">
        <x:v>GUILD-0195</x:v>
      </x:c>
      <x:c r="C196" s="10" t="str">
        <x:v>运营管理</x:v>
      </x:c>
      <x:c r="D196" s="10" t="str">
        <x:v>运营账号主页（公会长）</x:v>
      </x:c>
      <x:c r="E196" s="10" t="str">
        <x:v>功能需求</x:v>
      </x:c>
      <x:c r="F196" s="10" t="str">
        <x:v>P1</x:v>
      </x:c>
      <x:c r="G196" s="9" t="str">
        <x:v>验证运营日消费进入明细</x:v>
      </x:c>
      <x:c r="H196" s="9" t="str">
        <x:v>运营消费联查</x:v>
      </x:c>
      <x:c r="I196" s="9" t="str">
        <x:v>1. 当前执行账号具有公会App会话，身份为公会长；具体账号及权限变化按以下条件准备
2. 运营账号A于2026-09-14有消费记录</x:v>
      </x:c>
      <x:c r="J196" s="9" t="str">
        <x:v>1. 打开运营账号主页
2. 点击2026-09-14消费行</x:v>
      </x:c>
      <x:c r="K196" s="9" t="str">
        <x:v>送礼记录筛选为账号A与2026-09-14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来源（当前证据）：liveshow-proto/MainBasis/统一需求文档.md；位置：第2072行、第2063行、第2064行
2. 规则：BR-5ee2368c1ead5967
3. 未动态验证</x:v>
      </x:c>
    </x:row>
    <x:row r="197" ht="100" customHeight="1">
      <x:c r="A197" s="10" t="n">
        <x:v>196</x:v>
      </x:c>
      <x:c r="B197" s="10" t="str">
        <x:v>GUILD-0196</x:v>
      </x:c>
      <x:c r="C197" s="10" t="str">
        <x:v>运营管理</x:v>
      </x:c>
      <x:c r="D197" s="10" t="str">
        <x:v>选择主播（公会长）</x:v>
      </x:c>
      <x:c r="E197" s="10" t="str">
        <x:v>功能需求</x:v>
      </x:c>
      <x:c r="F197" s="10" t="str">
        <x:v>P1</x:v>
      </x:c>
      <x:c r="G197" s="9" t="str">
        <x:v>验证指定主播选择为空</x:v>
      </x:c>
      <x:c r="H197" s="9" t="str">
        <x:v>单选对象必选</x:v>
      </x:c>
      <x:c r="I197" s="9" t="str">
        <x:v>1. 当前执行账号具有公会App会话，身份为公会长；具体账号及权限变化按以下条件准备
2. 当前未选主播
3. 从新建运营消息的指定主播入口进入本选择器</x:v>
      </x:c>
      <x:c r="J197" s="9" t="str">
        <x:v>1. 打开选择主播
2. 点击“完成”</x:v>
      </x:c>
      <x:c r="K197" s="9" t="str">
        <x:v>提示选择主播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来源（当前证据）：liveshow-proto/MainBasis/统一需求文档.md；位置：第2029行、第2025行、第2026行
2. 规则：BR-f3ed174f7353a707
3. 未动态验证</x:v>
      </x:c>
    </x:row>
    <x:row r="198" ht="85" customHeight="1">
      <x:c r="A198" s="10" t="n">
        <x:v>197</x:v>
      </x:c>
      <x:c r="B198" s="10" t="str">
        <x:v>GUILD-0197</x:v>
      </x:c>
      <x:c r="C198" s="10" t="str">
        <x:v>数据与收益</x:v>
      </x:c>
      <x:c r="D198" s="10" t="str">
        <x:v>违规记录（公会长）</x:v>
      </x:c>
      <x:c r="E198" s="10" t="str">
        <x:v>功能需求</x:v>
      </x:c>
      <x:c r="F198" s="10" t="str">
        <x:v>P1</x:v>
      </x:c>
      <x:c r="G198" s="9" t="str">
        <x:v>验证违规尚无处置结果</x:v>
      </x:c>
      <x:c r="H198" s="9" t="str">
        <x:v>未处置占位</x:v>
      </x:c>
      <x:c r="I198" s="9" t="str">
        <x:v>1. 当前执行账号具有公会App会话，身份为公会长；具体账号及权限变化按以下条件准备
2. 违规记录V1暂无处理结果</x:v>
      </x:c>
      <x:c r="J198" s="9" t="str">
        <x:v>1. 打开违规记录
2. 查看V1处理结果</x:v>
      </x:c>
      <x:c r="K198" s="9" t="str">
        <x:v>处理结果显示“-”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来源（当前证据）：liveshow-proto/MainBasis/统一需求文档.md；位置：第2138行、第2132行、第2133行
2. 规则：BR-f1723f82c86f6dd8
3. 未动态验证</x:v>
      </x:c>
    </x:row>
    <x:row r="199" ht="85" customHeight="1">
      <x:c r="A199" s="10" t="n">
        <x:v>198</x:v>
      </x:c>
      <x:c r="B199" s="10" t="str">
        <x:v>GUILD-0198</x:v>
      </x:c>
      <x:c r="C199" s="10" t="str">
        <x:v>数据与收益</x:v>
      </x:c>
      <x:c r="D199" s="10" t="str">
        <x:v>违规记录（公会长）</x:v>
      </x:c>
      <x:c r="E199" s="10" t="str">
        <x:v>业务流程</x:v>
      </x:c>
      <x:c r="F199" s="10" t="str">
        <x:v>P1</x:v>
      </x:c>
      <x:c r="G199" s="9" t="str">
        <x:v>验证公会接收平台警告结果</x:v>
      </x:c>
      <x:c r="H199" s="9" t="str">
        <x:v>跨端处置回显</x:v>
      </x:c>
      <x:c r="I199" s="9" t="str">
        <x:v>1. 当前执行账号具有公会App会话，身份为公会长；具体账号及权限变化按以下条件准备
2. 当前公会主播B的记录V1已由平台完成警告</x:v>
      </x:c>
      <x:c r="J199" s="9" t="str">
        <x:v>1. 打开违规记录
2. 查看V1</x:v>
      </x:c>
      <x:c r="K199" s="9" t="str">
        <x:v>V1处理结果显示警告</x:v>
      </x:c>
      <x:c r="L199" s="10" t="str">
        <x:v>FLOW-LIVE-DISPOSITION</x:v>
      </x:c>
      <x:c r="M199" s="10" t="str">
        <x:v>未测</x:v>
      </x:c>
      <x:c r="N199" s="10" t="str"/>
      <x:c r="O199" s="9" t="str">
        <x:v>1. 来源（当前证据）：liveshow-proto/MainBasis/统一需求文档.md；位置：第2138行、第2132行、第2133行
2. 规则：BR-4535b1a9b204f6ef
3. 未动态验证</x:v>
      </x:c>
    </x:row>
    <x:row r="200" ht="85" customHeight="1">
      <x:c r="A200" s="10" t="n">
        <x:v>199</x:v>
      </x:c>
      <x:c r="B200" s="10" t="str">
        <x:v>GUILD-0199</x:v>
      </x:c>
      <x:c r="C200" s="10" t="str">
        <x:v>数据与收益</x:v>
      </x:c>
      <x:c r="D200" s="10" t="str">
        <x:v>违规记录（公会长）</x:v>
      </x:c>
      <x:c r="E200" s="10" t="str">
        <x:v>业务流程</x:v>
      </x:c>
      <x:c r="F200" s="10" t="str">
        <x:v>P1</x:v>
      </x:c>
      <x:c r="G200" s="9" t="str">
        <x:v>验证公会接收平台关播结果</x:v>
      </x:c>
      <x:c r="H200" s="9" t="str">
        <x:v>跨端处置回显</x:v>
      </x:c>
      <x:c r="I200" s="9" t="str">
        <x:v>1. 当前执行账号具有公会App会话，身份为公会长；具体账号及权限变化按以下条件准备
2. 当前公会主播B的记录V1已由平台完成关播</x:v>
      </x:c>
      <x:c r="J200" s="9" t="str">
        <x:v>1. 打开违规记录
2. 查看V1</x:v>
      </x:c>
      <x:c r="K200" s="9" t="str">
        <x:v>V1处理结果显示关闭场次</x:v>
      </x:c>
      <x:c r="L200" s="10" t="str">
        <x:v>FLOW-LIVE-DISPOSITION</x:v>
      </x:c>
      <x:c r="M200" s="10" t="str">
        <x:v>未测</x:v>
      </x:c>
      <x:c r="N200" s="10" t="str"/>
      <x:c r="O200" s="9" t="str">
        <x:v>1. 来源（当前证据）：liveshow-proto/MainBasis/统一需求文档.md；位置：第2138行、第2132行、第2133行
2. 规则：BR-a74f331e999c0a8e
3. 未动态验证</x:v>
      </x:c>
    </x:row>
    <x:row r="201" ht="85" customHeight="1">
      <x:c r="A201" s="10" t="n">
        <x:v>200</x:v>
      </x:c>
      <x:c r="B201" s="10" t="str">
        <x:v>GUILD-0200</x:v>
      </x:c>
      <x:c r="C201" s="10" t="str">
        <x:v>数据与收益</x:v>
      </x:c>
      <x:c r="D201" s="10" t="str">
        <x:v>违规记录（公会长）</x:v>
      </x:c>
      <x:c r="E201" s="10" t="str">
        <x:v>业务流程</x:v>
      </x:c>
      <x:c r="F201" s="10" t="str">
        <x:v>P0</x:v>
      </x:c>
      <x:c r="G201" s="9" t="str">
        <x:v>验证公会接收平台关闭直播权限结果</x:v>
      </x:c>
      <x:c r="H201" s="9" t="str">
        <x:v>跨端处置回显</x:v>
      </x:c>
      <x:c r="I201" s="9" t="str">
        <x:v>1. 当前执行账号具有公会App会话，身份为公会长；具体账号及权限变化按以下条件准备
2. 当前公会主播B的记录V1已由平台完成关闭直播权限</x:v>
      </x:c>
      <x:c r="J201" s="9" t="str">
        <x:v>1. 打开违规记录
2. 查看V1</x:v>
      </x:c>
      <x:c r="K201" s="9" t="str">
        <x:v>V1处理结果显示关闭直播权限</x:v>
      </x:c>
      <x:c r="L201" s="10" t="str">
        <x:v>FLOW-LIVE-DISPOSITION</x:v>
      </x:c>
      <x:c r="M201" s="10" t="str">
        <x:v>未测</x:v>
      </x:c>
      <x:c r="N201" s="10" t="str"/>
      <x:c r="O201" s="9" t="str">
        <x:v>1. 来源（当前证据）：liveshow-proto/MainBasis/统一需求文档.md；位置：第2138行、第2132行、第2133行
2. 规则：BR-57aef61c2690d4fe
3. 未动态验证</x:v>
      </x:c>
    </x:row>
    <x:row r="202" ht="85" customHeight="1">
      <x:c r="A202" s="10" t="n">
        <x:v>201</x:v>
      </x:c>
      <x:c r="B202" s="10" t="str">
        <x:v>GUILD-0201</x:v>
      </x:c>
      <x:c r="C202" s="10" t="str">
        <x:v>数据与收益</x:v>
      </x:c>
      <x:c r="D202" s="10" t="str">
        <x:v>违规记录（公会长）</x:v>
      </x:c>
      <x:c r="E202" s="10" t="str">
        <x:v>业务流程</x:v>
      </x:c>
      <x:c r="F202" s="10" t="str">
        <x:v>P1</x:v>
      </x:c>
      <x:c r="G202" s="9" t="str">
        <x:v>验证公会接收平台封禁账号结果</x:v>
      </x:c>
      <x:c r="H202" s="9" t="str">
        <x:v>跨端处置回显</x:v>
      </x:c>
      <x:c r="I202" s="9" t="str">
        <x:v>1. 当前执行账号具有公会App会话，身份为公会长；具体账号及权限变化按以下条件准备
2. 当前公会主播B的记录V1已由平台完成封禁账号</x:v>
      </x:c>
      <x:c r="J202" s="9" t="str">
        <x:v>1. 打开违规记录
2. 查看V1</x:v>
      </x:c>
      <x:c r="K202" s="9" t="str">
        <x:v>V1处理结果显示账号封禁</x:v>
      </x:c>
      <x:c r="L202" s="10" t="str">
        <x:v>FLOW-LIVE-DISPOSITION</x:v>
      </x:c>
      <x:c r="M202" s="10" t="str">
        <x:v>未测</x:v>
      </x:c>
      <x:c r="N202" s="10" t="str"/>
      <x:c r="O202" s="9" t="str">
        <x:v>1. 来源（当前证据）：liveshow-proto/MainBasis/统一需求文档.md；位置：第2138行、第2132行、第2133行
2. 规则：BR-57f402eac135f76f
3. 未动态验证</x:v>
      </x:c>
    </x:row>
    <x:row r="203" ht="85" customHeight="1">
      <x:c r="A203" s="10" t="n">
        <x:v>202</x:v>
      </x:c>
      <x:c r="B203" s="10" t="str">
        <x:v>GUILD-0202</x:v>
      </x:c>
      <x:c r="C203" s="10" t="str">
        <x:v>审批管理</x:v>
      </x:c>
      <x:c r="D203" s="10" t="str">
        <x:v>入会申请（公会长）</x:v>
      </x:c>
      <x:c r="E203" s="10" t="str">
        <x:v>业务流程</x:v>
      </x:c>
      <x:c r="F203" s="10" t="str">
        <x:v>P1</x:v>
      </x:c>
      <x:c r="G203" s="9" t="str">
        <x:v>验证公会入会记录显示公会初审通过待平台</x:v>
      </x:c>
      <x:c r="H203" s="9" t="str">
        <x:v>审核阶段回显</x:v>
      </x:c>
      <x:c r="I203" s="9" t="str">
        <x:v>1. 当前执行账号具有公会App会话，身份为公会长；具体账号及权限变化按以下条件准备
2. 当前公会申请J1由对应审核人员处理至公会初审通过待平台</x:v>
      </x:c>
      <x:c r="J203" s="9" t="str">
        <x:v>1. 打开入会申请
2. 查看J1</x:v>
      </x:c>
      <x:c r="K203" s="9" t="str">
        <x:v>J1出现在审核中列表</x:v>
      </x:c>
      <x:c r="L203" s="10" t="str">
        <x:v>FLOW-GUILD-JOIN</x:v>
      </x:c>
      <x:c r="M203" s="10" t="str">
        <x:v>未测</x:v>
      </x:c>
      <x:c r="N203" s="10" t="str"/>
      <x:c r="O203" s="9" t="str">
        <x:v>1. 来源（当前证据）：liveshow-proto/MainBasis/统一需求文档.md；位置：第1935行、第1928行、第1929行
2. 规则：BR-df64cc036d228e19
3. 未动态验证</x:v>
      </x:c>
    </x:row>
    <x:row r="204" ht="85" customHeight="1">
      <x:c r="A204" s="10" t="n">
        <x:v>203</x:v>
      </x:c>
      <x:c r="B204" s="10" t="str">
        <x:v>GUILD-0203</x:v>
      </x:c>
      <x:c r="C204" s="10" t="str">
        <x:v>审批管理</x:v>
      </x:c>
      <x:c r="D204" s="10" t="str">
        <x:v>入会申请（公会长）</x:v>
      </x:c>
      <x:c r="E204" s="10" t="str">
        <x:v>业务流程</x:v>
      </x:c>
      <x:c r="F204" s="10" t="str">
        <x:v>P0</x:v>
      </x:c>
      <x:c r="G204" s="9" t="str">
        <x:v>验证公会入会记录显示平台终审通过</x:v>
      </x:c>
      <x:c r="H204" s="9" t="str">
        <x:v>审核阶段回显</x:v>
      </x:c>
      <x:c r="I204" s="9" t="str">
        <x:v>1. 当前执行账号具有公会App会话，身份为公会长；具体账号及权限变化按以下条件准备
2. 当前公会申请J1由对应审核人员处理至平台终审通过</x:v>
      </x:c>
      <x:c r="J204" s="9" t="str">
        <x:v>1. 打开入会申请
2. 查看J1</x:v>
      </x:c>
      <x:c r="K204" s="9" t="str">
        <x:v>J1出现在已通过列表</x:v>
      </x:c>
      <x:c r="L204" s="10" t="str">
        <x:v>FLOW-GUILD-JOIN</x:v>
      </x:c>
      <x:c r="M204" s="10" t="str">
        <x:v>未测</x:v>
      </x:c>
      <x:c r="N204" s="10" t="str"/>
      <x:c r="O204" s="9" t="str">
        <x:v>1. 来源（当前证据）：liveshow-proto/MainBasis/统一需求文档.md；位置：第1935行、第1928行、第1929行
2. 规则：BR-0ab29503cba94647
3. 未动态验证</x:v>
      </x:c>
    </x:row>
    <x:row r="205" ht="85" customHeight="1">
      <x:c r="A205" s="10" t="n">
        <x:v>204</x:v>
      </x:c>
      <x:c r="B205" s="10" t="str">
        <x:v>GUILD-0204</x:v>
      </x:c>
      <x:c r="C205" s="10" t="str">
        <x:v>审批管理</x:v>
      </x:c>
      <x:c r="D205" s="10" t="str">
        <x:v>入会申请（公会长）</x:v>
      </x:c>
      <x:c r="E205" s="10" t="str">
        <x:v>业务流程</x:v>
      </x:c>
      <x:c r="F205" s="10" t="str">
        <x:v>P0</x:v>
      </x:c>
      <x:c r="G205" s="9" t="str">
        <x:v>验证公会入会记录显示平台终审驳回</x:v>
      </x:c>
      <x:c r="H205" s="9" t="str">
        <x:v>审核阶段回显</x:v>
      </x:c>
      <x:c r="I205" s="9" t="str">
        <x:v>1. 当前执行账号具有公会App会话，身份为公会长；具体账号及权限变化按以下条件准备
2. 当前公会申请J1由对应审核人员处理至平台终审驳回</x:v>
      </x:c>
      <x:c r="J205" s="9" t="str">
        <x:v>1. 打开入会申请
2. 查看J1</x:v>
      </x:c>
      <x:c r="K205" s="9" t="str">
        <x:v>J1出现在已驳回列表</x:v>
      </x:c>
      <x:c r="L205" s="10" t="str">
        <x:v>FLOW-GUILD-JOIN</x:v>
      </x:c>
      <x:c r="M205" s="10" t="str">
        <x:v>未测</x:v>
      </x:c>
      <x:c r="N205" s="10" t="str"/>
      <x:c r="O205" s="9" t="str">
        <x:v>1. 来源（当前证据）：liveshow-proto/MainBasis/统一需求文档.md；位置：第1935行、第1928行、第1929行
2. 规则：BR-7da463e6ce8fcf50
3. 未动态验证</x:v>
      </x:c>
    </x:row>
    <x:row r="206" ht="85" customHeight="1">
      <x:c r="A206" s="10" t="n">
        <x:v>205</x:v>
      </x:c>
      <x:c r="B206" s="10" t="str">
        <x:v>GUILD-0205</x:v>
      </x:c>
      <x:c r="C206" s="10" t="str">
        <x:v>审批管理</x:v>
      </x:c>
      <x:c r="D206" s="10" t="str">
        <x:v>入会申请详情（公会长）</x:v>
      </x:c>
      <x:c r="E206" s="10" t="str">
        <x:v>功能需求</x:v>
      </x:c>
      <x:c r="F206" s="10" t="str">
        <x:v>P1</x:v>
      </x:c>
      <x:c r="G206" s="9" t="str">
        <x:v>验证入会证件材料查看</x:v>
      </x:c>
      <x:c r="H206" s="9" t="str">
        <x:v>认证材料预览</x:v>
      </x:c>
      <x:c r="I206" s="9" t="str">
        <x:v>1. 当前执行账号具有公会App会话，身份为公会长；具体账号及权限变化按以下条件准备
2. J1已上传本人照片A、证件正反面B和C</x:v>
      </x:c>
      <x:c r="J206" s="9" t="str">
        <x:v>1. 打开入会申请详情
2. 点击证件正面照片B</x:v>
      </x:c>
      <x:c r="K206" s="9" t="str">
        <x:v>展示证件正面B大图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来源（当前证据）：liveshow-proto/MainBasis/统一需求文档.md；位置：第1948行、第1938行、第1939行
2. 规则：BR-7a28d40b9c1aad67
3. 未动态验证</x:v>
      </x:c>
    </x:row>
    <x:row r="207" ht="85" customHeight="1">
      <x:c r="A207" s="10" t="n">
        <x:v>206</x:v>
      </x:c>
      <x:c r="B207" s="10" t="str">
        <x:v>GUILD-0206</x:v>
      </x:c>
      <x:c r="C207" s="10" t="str">
        <x:v>数据与收益</x:v>
      </x:c>
      <x:c r="D207" s="10" t="str">
        <x:v>直播记录（公会长）</x:v>
      </x:c>
      <x:c r="E207" s="10" t="str">
        <x:v>功能需求</x:v>
      </x:c>
      <x:c r="F207" s="10" t="str">
        <x:v>P1</x:v>
      </x:c>
      <x:c r="G207" s="9" t="str">
        <x:v>验证公会开播人数按完成场次去重</x:v>
      </x:c>
      <x:c r="H207" s="9" t="str">
        <x:v>完成场次主播去重</x:v>
      </x:c>
      <x:c r="I207" s="9" t="str">
        <x:v>1. 当前执行账号具有公会App会话，身份为公会长；具体账号及权限变化按以下条件准备
2. 当前日期主播B完成2场，C完成1场，D仅开播尚未完成</x:v>
      </x:c>
      <x:c r="J207" s="9" t="str">
        <x:v>1. 打开直播记录
2. 查看开播人数</x:v>
      </x:c>
      <x:c r="K207" s="9" t="str">
        <x:v>开播人数为2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来源（当前证据）：liveshow-proto/MainBasis/统一需求文档.md；位置：第2114行、第2111行、第2112行
2. 规则：BR-7665201ab6e3ddd3
3. 未动态验证</x:v>
      </x:c>
    </x:row>
    <x:row r="208" ht="85" customHeight="1">
      <x:c r="A208" s="10" t="n">
        <x:v>207</x:v>
      </x:c>
      <x:c r="B208" s="10" t="str">
        <x:v>GUILD-0207</x:v>
      </x:c>
      <x:c r="C208" s="10" t="str">
        <x:v>数据与收益</x:v>
      </x:c>
      <x:c r="D208" s="10" t="str">
        <x:v>直播记录（公会长）</x:v>
      </x:c>
      <x:c r="E208" s="10" t="str">
        <x:v>功能需求</x:v>
      </x:c>
      <x:c r="F208" s="10" t="str">
        <x:v>P1</x:v>
      </x:c>
      <x:c r="G208" s="9" t="str">
        <x:v>验证公会场次含已创建未结束</x:v>
      </x:c>
      <x:c r="H208" s="9" t="str">
        <x:v>新建场次计数</x:v>
      </x:c>
      <x:c r="I208" s="9" t="str">
        <x:v>1. 当前执行账号具有公会App会话，身份为公会长；具体账号及权限变化按以下条件准备
2. 当前日期主播B完成2场，C完成1场，D新开1场仍在播</x:v>
      </x:c>
      <x:c r="J208" s="9" t="str">
        <x:v>1. 打开直播记录
2. 查看直播场次</x:v>
      </x:c>
      <x:c r="K208" s="9" t="str">
        <x:v>直播场次为4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来源（当前证据）：liveshow-proto/MainBasis/统一需求文档.md；位置：第2114行、第2111行、第2112行
2. 规则：BR-e70d78e791d11a18
3. 未动态验证</x:v>
      </x:c>
    </x:row>
    <x:row r="209" ht="85" customHeight="1">
      <x:c r="A209" s="10" t="n">
        <x:v>208</x:v>
      </x:c>
      <x:c r="B209" s="10" t="str">
        <x:v>GUILD-0208</x:v>
      </x:c>
      <x:c r="C209" s="10" t="str">
        <x:v>数据与收益</x:v>
      </x:c>
      <x:c r="D209" s="10" t="str">
        <x:v>公会业绩（公会长）</x:v>
      </x:c>
      <x:c r="E209" s="10" t="str">
        <x:v>功能需求</x:v>
      </x:c>
      <x:c r="F209" s="10" t="str">
        <x:v>P1</x:v>
      </x:c>
      <x:c r="G209" s="9" t="str">
        <x:v>验证公会业绩日数据联查</x:v>
      </x:c>
      <x:c r="H209" s="9" t="str">
        <x:v>公会业绩联查</x:v>
      </x:c>
      <x:c r="I209" s="9" t="str">
        <x:v>1. 当前执行账号具有公会App会话，身份为公会长；具体账号及权限变化按以下条件准备
2. 有2026年9月及9月14日业绩记录</x:v>
      </x:c>
      <x:c r="J209" s="9" t="str">
        <x:v>1. 打开公会业绩
2. 切换“日数据”
3. 点击2026-09-14数据行</x:v>
      </x:c>
      <x:c r="K209" s="9" t="str">
        <x:v>主播业绩带入2026-09-14范围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来源（当前证据）：liveshow-proto/MainBasis/统一需求文档.md；位置：第2151行、第2143行、第2144行
2. 规则：BR-f229c4ae5a70c3c6
3. 未动态验证</x:v>
      </x:c>
    </x:row>
    <x:row r="210" ht="85" customHeight="1">
      <x:c r="A210" s="10" t="n">
        <x:v>209</x:v>
      </x:c>
      <x:c r="B210" s="10" t="str">
        <x:v>GUILD-0209</x:v>
      </x:c>
      <x:c r="C210" s="10" t="str">
        <x:v>数据与收益</x:v>
      </x:c>
      <x:c r="D210" s="10" t="str">
        <x:v>公会业绩（公会长）</x:v>
      </x:c>
      <x:c r="E210" s="10" t="str">
        <x:v>功能需求</x:v>
      </x:c>
      <x:c r="F210" s="10" t="str">
        <x:v>P1</x:v>
      </x:c>
      <x:c r="G210" s="9" t="str">
        <x:v>验证公会业绩月数据联查</x:v>
      </x:c>
      <x:c r="H210" s="9" t="str">
        <x:v>公会业绩联查</x:v>
      </x:c>
      <x:c r="I210" s="9" t="str">
        <x:v>1. 当前执行账号具有公会App会话，身份为公会长；具体账号及权限变化按以下条件准备
2. 有2026年9月及9月14日业绩记录</x:v>
      </x:c>
      <x:c r="J210" s="9" t="str">
        <x:v>1. 打开公会业绩
2. 切换“月数据”
3. 点击2026-09数据行</x:v>
      </x:c>
      <x:c r="K210" s="9" t="str">
        <x:v>主播业绩带入2026-09范围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来源（当前证据）：liveshow-proto/MainBasis/统一需求文档.md；位置：第2151行、第2143行、第2144行
2. 规则：BR-83f014f631f58610
3. 未动态验证</x:v>
      </x:c>
    </x:row>
    <x:row r="211" ht="85" customHeight="1">
      <x:c r="A211" s="10" t="n">
        <x:v>210</x:v>
      </x:c>
      <x:c r="B211" s="10" t="str">
        <x:v>GUILD-0210</x:v>
      </x:c>
      <x:c r="C211" s="10" t="str">
        <x:v>主播管理</x:v>
      </x:c>
      <x:c r="D211" s="10" t="str">
        <x:v>主播主页（公会长）</x:v>
      </x:c>
      <x:c r="E211" s="10" t="str">
        <x:v>业务流程</x:v>
      </x:c>
      <x:c r="F211" s="10" t="str">
        <x:v>P1</x:v>
      </x:c>
      <x:c r="G211" s="9" t="str">
        <x:v>验证退会批准后公会主播详情</x:v>
      </x:c>
      <x:c r="H211" s="9" t="str">
        <x:v>公会退会终态</x:v>
      </x:c>
      <x:c r="I211" s="9" t="str">
        <x:v>1. 当前执行账号具有公会App会话，身份为公会长；具体账号及权限变化按以下条件准备
2. 公会长已经批准B的退会申请；B曾属于本公会</x:v>
      </x:c>
      <x:c r="J211" s="9" t="str">
        <x:v>1. 打开主播主页
2. 查看B详情</x:v>
      </x:c>
      <x:c r="K211" s="9" t="str">
        <x:v>显示【退会】标记</x:v>
      </x:c>
      <x:c r="L211" s="10" t="str">
        <x:v>FLOW-GUILD-LEAVE</x:v>
      </x:c>
      <x:c r="M211" s="10" t="str">
        <x:v>未测</x:v>
      </x:c>
      <x:c r="N211" s="10" t="str"/>
      <x:c r="O211" s="9" t="str">
        <x:v>1. 来源（当前证据）：liveshow-proto/MainBasis/统一需求文档.md；位置：第1999行、第1996行、第1997行
2. 规则：BR-7e395dcaf7d6d32b
3. 未动态验证</x:v>
      </x:c>
    </x:row>
    <x:row r="212" ht="85" customHeight="1">
      <x:c r="A212" s="10" t="n">
        <x:v>211</x:v>
      </x:c>
      <x:c r="B212" s="10" t="str">
        <x:v>GUILD-0211</x:v>
      </x:c>
      <x:c r="C212" s="10" t="str">
        <x:v>数据与收益</x:v>
      </x:c>
      <x:c r="D212" s="10" t="str">
        <x:v>直播记录（公会长）</x:v>
      </x:c>
      <x:c r="E212" s="10" t="str">
        <x:v>业务流程</x:v>
      </x:c>
      <x:c r="F212" s="10" t="str">
        <x:v>P1</x:v>
      </x:c>
      <x:c r="G212" s="9" t="str">
        <x:v>验证主播新开播在公会形成场次记录</x:v>
      </x:c>
      <x:c r="H212" s="9" t="str">
        <x:v>公会新场次</x:v>
      </x:c>
      <x:c r="I212" s="9" t="str">
        <x:v>1. 当前执行账号具有公会App会话，身份为公会长；具体账号及权限变化按以下条件准备
2. 主播B属于当前公会；B刚成功开启场次S，记录S实际编号</x:v>
      </x:c>
      <x:c r="J212" s="9" t="str">
        <x:v>1. 打开直播记录
2. 选择主播B和今日
3. 查看场次记录</x:v>
      </x:c>
      <x:c r="K212" s="9" t="str">
        <x:v>列表存在新场次S</x:v>
      </x:c>
      <x:c r="L212" s="10" t="str">
        <x:v>FLOW-LIVE</x:v>
      </x:c>
      <x:c r="M212" s="10" t="str">
        <x:v>未测</x:v>
      </x:c>
      <x:c r="N212" s="10" t="str"/>
      <x:c r="O212" s="9" t="str">
        <x:v>1. 来源（当前证据）：liveshow-proto/MainBasis/统一需求文档.md；位置：第2119行、第1058行、第2111行、第2112行
2. 规则：BR-8f502f9b33b8a036
3. 未动态验证</x:v>
      </x:c>
    </x:row>
    <x:row r="213" ht="100" customHeight="1">
      <x:c r="A213" s="10" t="n">
        <x:v>212</x:v>
      </x:c>
      <x:c r="B213" s="10" t="str">
        <x:v>GUILD-0212</x:v>
      </x:c>
      <x:c r="C213" s="10" t="str">
        <x:v>审批管理</x:v>
      </x:c>
      <x:c r="D213" s="10" t="str">
        <x:v>入会申请（公会长）</x:v>
      </x:c>
      <x:c r="E213" s="10" t="str">
        <x:v>业务流程</x:v>
      </x:c>
      <x:c r="F213" s="10" t="str">
        <x:v>P1</x:v>
      </x:c>
      <x:c r="G213" s="9" t="str">
        <x:v>验证用户提交入会后的公会待审单</x:v>
      </x:c>
      <x:c r="H213" s="9" t="str">
        <x:v>公会收到入会申请</x:v>
      </x:c>
      <x:c r="I213" s="9" t="str">
        <x:v>1. 当前执行账号具有公会App会话，身份为公会长；具体账号及权限变化按以下条件准备
2. A刚成功提交加入本公会的完整资料，申请号J；尚未公会审核</x:v>
      </x:c>
      <x:c r="J213" s="9" t="str">
        <x:v>1. 打开入会申请
2. 选择“审核中”
3. 点击J</x:v>
      </x:c>
      <x:c r="K213" s="9" t="str">
        <x:v>J处于待公会审核</x:v>
      </x:c>
      <x:c r="L213" s="10" t="str">
        <x:v>FLOW-GUILD-JOIN</x:v>
      </x:c>
      <x:c r="M213" s="10" t="str">
        <x:v>未测</x:v>
      </x:c>
      <x:c r="N213" s="10" t="str"/>
      <x:c r="O213" s="9" t="str">
        <x:v>1. 来源（当前证据）：liveshow-proto/MainBasis/统一需求文档.md；位置：第1932行、第1928行、第1929行
2. 规则：BR-aa6f12608b084d48
3. 未动态验证</x:v>
      </x:c>
    </x:row>
    <x:row r="214" ht="85" customHeight="1">
      <x:c r="A214" s="10" t="n">
        <x:v>213</x:v>
      </x:c>
      <x:c r="B214" s="10" t="str">
        <x:v>GUILD-0213</x:v>
      </x:c>
      <x:c r="C214" s="10" t="str">
        <x:v>审批管理</x:v>
      </x:c>
      <x:c r="D214" s="10" t="str">
        <x:v>退会申请（公会长）</x:v>
      </x:c>
      <x:c r="E214" s="10" t="str">
        <x:v>业务流程</x:v>
      </x:c>
      <x:c r="F214" s="10" t="str">
        <x:v>P1</x:v>
      </x:c>
      <x:c r="G214" s="9" t="str">
        <x:v>验证主播提交退会后的公会待审单</x:v>
      </x:c>
      <x:c r="H214" s="9" t="str">
        <x:v>公会收到退会申请</x:v>
      </x:c>
      <x:c r="I214" s="9" t="str">
        <x:v>1. 当前执行账号具有公会App会话，身份为公会长；具体账号及权限变化按以下条件准备
2. 在会主播B刚成功提交退出本公会的申请L；尚未处理</x:v>
      </x:c>
      <x:c r="J214" s="9" t="str">
        <x:v>1. 打开退会申请
2. 选择“待审核”
3. 点击L</x:v>
      </x:c>
      <x:c r="K214" s="9" t="str">
        <x:v>L处于待审核</x:v>
      </x:c>
      <x:c r="L214" s="10" t="str">
        <x:v>FLOW-GUILD-LEAVE</x:v>
      </x:c>
      <x:c r="M214" s="10" t="str">
        <x:v>未测</x:v>
      </x:c>
      <x:c r="N214" s="10" t="str"/>
      <x:c r="O214" s="9" t="str">
        <x:v>1. 来源（当前证据）：liveshow-proto/MainBasis/统一需求文档.md；位置：第1954行、第1950行、第1951行
2. 规则：BR-d667fff3073c0da0
3. 未动态验证</x:v>
      </x:c>
    </x:row>
    <x:row r="215" ht="100" customHeight="1">
      <x:c r="A215" s="10" t="n">
        <x:v>214</x:v>
      </x:c>
      <x:c r="B215" s="10" t="str">
        <x:v>GUILD-0214</x:v>
      </x:c>
      <x:c r="C215" s="10" t="str">
        <x:v>数据与收益</x:v>
      </x:c>
      <x:c r="D215" s="10" t="str">
        <x:v>直播记录（公会长）</x:v>
      </x:c>
      <x:c r="E215" s="10" t="str">
        <x:v>业务流程</x:v>
      </x:c>
      <x:c r="F215" s="10" t="str">
        <x:v>P1</x:v>
      </x:c>
      <x:c r="G215" s="9" t="str">
        <x:v>验证主动下播后公会保留历史场次</x:v>
      </x:c>
      <x:c r="H215" s="9" t="str">
        <x:v>公会历史场次</x:v>
      </x:c>
      <x:c r="I215" s="9" t="str">
        <x:v>1. 当前执行账号具有公会App会话，身份为公会长；具体账号及权限变化按以下条件准备
2. 本公会主播B的S刚结束；S收益100金币，开播1小时；没有其他场次</x:v>
      </x:c>
      <x:c r="J215" s="9" t="str">
        <x:v>1. 打开直播记录
2. 选择B和S开播日期
3. 查看S</x:v>
      </x:c>
      <x:c r="K215" s="9" t="str">
        <x:v>S场次记录仍存在</x:v>
      </x:c>
      <x:c r="L215" s="10" t="str">
        <x:v>FLOW-LIVE</x:v>
      </x:c>
      <x:c r="M215" s="10" t="str">
        <x:v>未测</x:v>
      </x:c>
      <x:c r="N215" s="10" t="str"/>
      <x:c r="O215" s="9" t="str">
        <x:v>1. 来源（当前证据）：liveshow-proto/MainBasis/统一需求文档.md；位置：第2119行、第2111行、第2112行
2. 规则：BR-fb8b6586849c4b8d
3. 未动态验证</x:v>
      </x:c>
    </x:row>
    <x:row r="216" ht="100" customHeight="1">
      <x:c r="A216" s="10" t="n">
        <x:v>215</x:v>
      </x:c>
      <x:c r="B216" s="10" t="str">
        <x:v>GUILD-0215</x:v>
      </x:c>
      <x:c r="C216" s="10" t="str">
        <x:v>运营管理</x:v>
      </x:c>
      <x:c r="D216" s="10" t="str">
        <x:v>运营账号主页（公会长）</x:v>
      </x:c>
      <x:c r="E216" s="10" t="str">
        <x:v>逻辑校验</x:v>
      </x:c>
      <x:c r="F216" s="10" t="str">
        <x:v>P0</x:v>
      </x:c>
      <x:c r="G216" s="9" t="str">
        <x:v>验证公会成功发币后的余额</x:v>
      </x:c>
      <x:c r="H216" s="9" t="str">
        <x:v>公会发放到账</x:v>
      </x:c>
      <x:c r="I216" s="9" t="str">
        <x:v>1. 当前执行账号具有公会App会话，身份为公会长；具体账号及权限变化按以下条件准备
2. 运营账号A启用且未锁定，原余额50虚拟金币；账号与公会本月剩余可发额度均1000</x:v>
      </x:c>
      <x:c r="J216" s="9" t="str">
        <x:v>1. 打开运营账号主页
2. 点击“发放金币”
3. 输入发放金额“100”
4. 确认发放
5. 查看账户余额</x:v>
      </x:c>
      <x:c r="K216" s="9" t="str">
        <x:v>账户余额=150虚拟金币</x:v>
      </x:c>
      <x:c r="L216" s="10" t="str">
        <x:v>FLOW-OPERATION-ISSUE</x:v>
      </x:c>
      <x:c r="M216" s="10" t="str">
        <x:v>未测</x:v>
      </x:c>
      <x:c r="N216" s="10" t="str"/>
      <x:c r="O216" s="9" t="str">
        <x:v>1. 来源（当前证据）：liveshow-proto/MainBasis/统一需求文档.md；位置：第2072行、第2063行、第2064行
2. 规则：BR-594435cbf694750d
3. 未动态验证</x:v>
      </x:c>
    </x:row>
    <x:row r="217" ht="100" customHeight="1">
      <x:c r="A217" s="10" t="n">
        <x:v>216</x:v>
      </x:c>
      <x:c r="B217" s="10" t="str">
        <x:v>GUILD-0216</x:v>
      </x:c>
      <x:c r="C217" s="10" t="str">
        <x:v>公会账号</x:v>
      </x:c>
      <x:c r="D217" s="10" t="str">
        <x:v>选择公会（公会长）</x:v>
      </x:c>
      <x:c r="E217" s="10" t="str">
        <x:v>功能需求</x:v>
      </x:c>
      <x:c r="F217" s="10" t="str">
        <x:v>P1</x:v>
      </x:c>
      <x:c r="G217" s="9" t="str">
        <x:v>验证选择公会核对公会长名称</x:v>
      </x:c>
      <x:c r="H217" s="9" t="str">
        <x:v>公会长名称对应关系</x:v>
      </x:c>
      <x:c r="I217" s="9" t="str">
        <x:v>1. 当前执行账号具有公会App会话，身份为公会长；具体账号及权限变化按以下条件准备
2. 当前公会G内记录A的公会长名称原始值为“会长甲”；列表与详情关联同一记录A</x:v>
      </x:c>
      <x:c r="J217" s="9" t="str">
        <x:v>1. 打开选择公会
2. 查看记录A的公会长名称</x:v>
      </x:c>
      <x:c r="K217" s="9" t="str">
        <x:v>公会长名称显示“会长甲”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来源（当前证据）：liveshow-proto/MainBasis/统一需求文档.md；位置：第1894行、第1892行、第1893行
2. 规则：BR-f2b16f5a6bc88b80
3. 未动态验证</x:v>
      </x:c>
    </x:row>
    <x:row r="218" ht="100" customHeight="1">
      <x:c r="A218" s="10" t="n">
        <x:v>217</x:v>
      </x:c>
      <x:c r="B218" s="10" t="str">
        <x:v>GUILD-0217</x:v>
      </x:c>
      <x:c r="C218" s="10" t="str">
        <x:v>公会账号</x:v>
      </x:c>
      <x:c r="D218" s="10" t="str">
        <x:v>选择公会（公会长）</x:v>
      </x:c>
      <x:c r="E218" s="10" t="str">
        <x:v>功能需求</x:v>
      </x:c>
      <x:c r="F218" s="10" t="str">
        <x:v>P1</x:v>
      </x:c>
      <x:c r="G218" s="9" t="str">
        <x:v>验证选择公会核对公会长用户ID</x:v>
      </x:c>
      <x:c r="H218" s="9" t="str">
        <x:v>公会长用户ID对应关系</x:v>
      </x:c>
      <x:c r="I218" s="9" t="str">
        <x:v>1. 当前执行账号具有公会App会话，身份为公会长；具体账号及权限变化按以下条件准备
2. 当前公会G内记录A的公会长用户ID原始值为“620101”；列表与详情关联同一记录A</x:v>
      </x:c>
      <x:c r="J218" s="9" t="str">
        <x:v>1. 打开选择公会
2. 查看记录A的公会长用户ID</x:v>
      </x:c>
      <x:c r="K218" s="9" t="str">
        <x:v>公会长用户ID显示“620101”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来源（当前证据）：liveshow-proto/MainBasis/统一需求文档.md；位置：第1894行、第1892行、第1893行
2. 规则：BR-b7ab21f23577d5c0
3. 未动态验证</x:v>
      </x:c>
    </x:row>
    <x:row r="219" ht="100" customHeight="1">
      <x:c r="A219" s="10" t="n">
        <x:v>218</x:v>
      </x:c>
      <x:c r="B219" s="10" t="str">
        <x:v>GUILD-0218</x:v>
      </x:c>
      <x:c r="C219" s="10" t="str">
        <x:v>公会账号</x:v>
      </x:c>
      <x:c r="D219" s="10" t="str">
        <x:v>选择公会（公会长）</x:v>
      </x:c>
      <x:c r="E219" s="10" t="str">
        <x:v>功能需求</x:v>
      </x:c>
      <x:c r="F219" s="10" t="str">
        <x:v>P1</x:v>
      </x:c>
      <x:c r="G219" s="9" t="str">
        <x:v>验证选择公会核对公会长身份标签</x:v>
      </x:c>
      <x:c r="H219" s="9" t="str">
        <x:v>公会长身份标签对应关系</x:v>
      </x:c>
      <x:c r="I219" s="9" t="str">
        <x:v>1. 当前执行账号具有公会App会话，身份为公会长；具体账号及权限变化按以下条件准备
2. 当前公会G内记录A的公会长身份标签原始值为“公会长”；列表与详情关联同一记录A</x:v>
      </x:c>
      <x:c r="J219" s="9" t="str">
        <x:v>1. 打开选择公会
2. 查看记录A的公会长身份标签</x:v>
      </x:c>
      <x:c r="K219" s="9" t="str">
        <x:v>公会长身份标签显示“公会长”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来源（当前证据）：liveshow-proto/MainBasis/统一需求文档.md；位置：第1894行、第1892行、第1893行
2. 规则：BR-2ebac6c639563770
3. 未动态验证</x:v>
      </x:c>
    </x:row>
    <x:row r="220" ht="100" customHeight="1">
      <x:c r="A220" s="10" t="n">
        <x:v>219</x:v>
      </x:c>
      <x:c r="B220" s="10" t="str">
        <x:v>GUILD-0219</x:v>
      </x:c>
      <x:c r="C220" s="10" t="str">
        <x:v>公会首页</x:v>
      </x:c>
      <x:c r="D220" s="10" t="str">
        <x:v>首页（公会长）</x:v>
      </x:c>
      <x:c r="E220" s="10" t="str">
        <x:v>功能需求</x:v>
      </x:c>
      <x:c r="F220" s="10" t="str">
        <x:v>P1</x:v>
      </x:c>
      <x:c r="G220" s="9" t="str">
        <x:v>验证首页核对公会名称</x:v>
      </x:c>
      <x:c r="H220" s="9" t="str">
        <x:v>公会名称对应关系</x:v>
      </x:c>
      <x:c r="I220" s="9" t="str">
        <x:v>1. 当前执行账号具有公会App会话，身份为公会长；具体账号及权限变化按以下条件准备
2. 当前公会G内记录A的公会名称原始值为“公会甲”；列表与详情关联同一记录A</x:v>
      </x:c>
      <x:c r="J220" s="9" t="str">
        <x:v>1. 打开首页
2. 查看记录A的公会名称</x:v>
      </x:c>
      <x:c r="K220" s="9" t="str">
        <x:v>公会名称显示“公会甲”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来源（当前证据）：liveshow-proto/MainBasis/统一需求文档.md；位置：第1901行、第1899行、第1900行
2. 规则：BR-f34f041845e7a15f
3. 未动态验证</x:v>
      </x:c>
    </x:row>
    <x:row r="221" ht="100" customHeight="1">
      <x:c r="A221" s="10" t="n">
        <x:v>220</x:v>
      </x:c>
      <x:c r="B221" s="10" t="str">
        <x:v>GUILD-0220</x:v>
      </x:c>
      <x:c r="C221" s="10" t="str">
        <x:v>公会首页</x:v>
      </x:c>
      <x:c r="D221" s="10" t="str">
        <x:v>首页（公会长）</x:v>
      </x:c>
      <x:c r="E221" s="10" t="str">
        <x:v>功能需求</x:v>
      </x:c>
      <x:c r="F221" s="10" t="str">
        <x:v>P1</x:v>
      </x:c>
      <x:c r="G221" s="9" t="str">
        <x:v>验证首页核对公会ID</x:v>
      </x:c>
      <x:c r="H221" s="9" t="str">
        <x:v>公会ID对应关系</x:v>
      </x:c>
      <x:c r="I221" s="9" t="str">
        <x:v>1. 当前执行账号具有公会App会话，身份为公会长；具体账号及权限变化按以下条件准备
2. 当前公会G内记录A的公会ID原始值为“710101”；列表与详情关联同一记录A</x:v>
      </x:c>
      <x:c r="J221" s="9" t="str">
        <x:v>1. 打开首页
2. 查看记录A的公会ID</x:v>
      </x:c>
      <x:c r="K221" s="9" t="str">
        <x:v>公会ID显示“710101”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来源（当前证据）：liveshow-proto/MainBasis/统一需求文档.md；位置：第1901行、第1899行、第1900行
2. 规则：BR-715d8b26e1157600
3. 未动态验证</x:v>
      </x:c>
    </x:row>
    <x:row r="222" ht="115" customHeight="1">
      <x:c r="A222" s="10" t="n">
        <x:v>221</x:v>
      </x:c>
      <x:c r="B222" s="10" t="str">
        <x:v>GUILD-0221</x:v>
      </x:c>
      <x:c r="C222" s="10" t="str">
        <x:v>公会首页</x:v>
      </x:c>
      <x:c r="D222" s="10" t="str">
        <x:v>首页（公会长）</x:v>
      </x:c>
      <x:c r="E222" s="10" t="str">
        <x:v>功能需求</x:v>
      </x:c>
      <x:c r="F222" s="10" t="str">
        <x:v>P1</x:v>
      </x:c>
      <x:c r="G222" s="9" t="str">
        <x:v>验证首页核对公会Logo</x:v>
      </x:c>
      <x:c r="H222" s="9" t="str">
        <x:v>公会Logo对应关系</x:v>
      </x:c>
      <x:c r="I222" s="9" t="str">
        <x:v>1. 当前执行账号具有公会App会话，身份为公会长；具体账号及权限变化按以下条件准备
2. 当前公会G内记录A的公会Logo原始值为“已上传的测试Logo A”；列表与详情关联同一记录A</x:v>
      </x:c>
      <x:c r="J222" s="9" t="str">
        <x:v>1. 打开首页
2. 查看记录A的公会Logo</x:v>
      </x:c>
      <x:c r="K222" s="9" t="str">
        <x:v>公会Logo显示“已上传的测试Logo A”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来源（当前证据）：liveshow-proto/MainBasis/统一需求文档.md；位置：第1901行、第1899行、第1900行
2. 规则：BR-542e9f1b3eac2113
3. 未动态验证</x:v>
      </x:c>
    </x:row>
    <x:row r="223" ht="100" customHeight="1">
      <x:c r="A223" s="10" t="n">
        <x:v>222</x:v>
      </x:c>
      <x:c r="B223" s="10" t="str">
        <x:v>GUILD-0222</x:v>
      </x:c>
      <x:c r="C223" s="10" t="str">
        <x:v>公会首页</x:v>
      </x:c>
      <x:c r="D223" s="10" t="str">
        <x:v>通知消息（公会长）</x:v>
      </x:c>
      <x:c r="E223" s="10" t="str">
        <x:v>功能需求</x:v>
      </x:c>
      <x:c r="F223" s="10" t="str">
        <x:v>P1</x:v>
      </x:c>
      <x:c r="G223" s="9" t="str">
        <x:v>验证通知消息核对通知标题</x:v>
      </x:c>
      <x:c r="H223" s="9" t="str">
        <x:v>通知标题对应关系</x:v>
      </x:c>
      <x:c r="I223" s="9" t="str">
        <x:v>1. 当前执行账号具有公会App会话，身份为公会长；具体账号及权限变化按以下条件准备
2. 当前公会G内记录A的通知标题原始值为“入会申请待初审”；列表与详情关联同一记录A</x:v>
      </x:c>
      <x:c r="J223" s="9" t="str">
        <x:v>1. 打开通知消息
2. 查看记录A的通知标题</x:v>
      </x:c>
      <x:c r="K223" s="9" t="str">
        <x:v>通知标题显示“入会申请待初审”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来源（当前证据）：liveshow-proto/MainBasis/统一需求文档.md；位置：第1910行、第1908行、第1909行
2. 规则：BR-6bf3bf4f63f98867
3. 未动态验证</x:v>
      </x:c>
    </x:row>
    <x:row r="224" ht="115" customHeight="1">
      <x:c r="A224" s="10" t="n">
        <x:v>223</x:v>
      </x:c>
      <x:c r="B224" s="10" t="str">
        <x:v>GUILD-0223</x:v>
      </x:c>
      <x:c r="C224" s="10" t="str">
        <x:v>公会首页</x:v>
      </x:c>
      <x:c r="D224" s="10" t="str">
        <x:v>通知消息（公会长）</x:v>
      </x:c>
      <x:c r="E224" s="10" t="str">
        <x:v>功能需求</x:v>
      </x:c>
      <x:c r="F224" s="10" t="str">
        <x:v>P1</x:v>
      </x:c>
      <x:c r="G224" s="9" t="str">
        <x:v>验证通知消息核对通知摘要</x:v>
      </x:c>
      <x:c r="H224" s="9" t="str">
        <x:v>通知摘要对应关系</x:v>
      </x:c>
      <x:c r="I224" s="9" t="str">
        <x:v>1. 当前执行账号具有公会App会话，身份为公会长；具体账号及权限变化按以下条件准备
2. 当前公会G内记录A的通知摘要原始值为“用户甲提交入会申请”；列表与详情关联同一记录A</x:v>
      </x:c>
      <x:c r="J224" s="9" t="str">
        <x:v>1. 打开通知消息
2. 查看记录A的通知摘要</x:v>
      </x:c>
      <x:c r="K224" s="9" t="str">
        <x:v>通知摘要显示“用户甲提交入会申请”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来源（当前证据）：liveshow-proto/MainBasis/统一需求文档.md；位置：第1911行、第1908行、第1909行
2. 规则：BR-037636d59114857c
3. 未动态验证</x:v>
      </x:c>
    </x:row>
    <x:row r="225" ht="100" customHeight="1">
      <x:c r="A225" s="10" t="n">
        <x:v>224</x:v>
      </x:c>
      <x:c r="B225" s="10" t="str">
        <x:v>GUILD-0224</x:v>
      </x:c>
      <x:c r="C225" s="10" t="str">
        <x:v>公会首页</x:v>
      </x:c>
      <x:c r="D225" s="10" t="str">
        <x:v>通知详情（公会长）</x:v>
      </x:c>
      <x:c r="E225" s="10" t="str">
        <x:v>功能需求</x:v>
      </x:c>
      <x:c r="F225" s="10" t="str">
        <x:v>P1</x:v>
      </x:c>
      <x:c r="G225" s="9" t="str">
        <x:v>验证通知详情核对详情标题</x:v>
      </x:c>
      <x:c r="H225" s="9" t="str">
        <x:v>详情标题对应关系</x:v>
      </x:c>
      <x:c r="I225" s="9" t="str">
        <x:v>1. 当前执行账号具有公会App会话，身份为公会长；具体账号及权限变化按以下条件准备
2. 当前公会G内记录A的详情标题原始值为“入会申请待初审”；列表与详情关联同一记录A</x:v>
      </x:c>
      <x:c r="J225" s="9" t="str">
        <x:v>1. 打开通知详情
2. 查看记录A的详情标题</x:v>
      </x:c>
      <x:c r="K225" s="9" t="str">
        <x:v>详情标题显示“入会申请待初审”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来源（当前证据）：liveshow-proto/MainBasis/统一需求文档.md；位置：第1922行、第1920行、第1921行
2. 规则：BR-e9e0ab3ac5be7423
3. 未动态验证</x:v>
      </x:c>
    </x:row>
    <x:row r="226" ht="100" customHeight="1">
      <x:c r="A226" s="10" t="n">
        <x:v>225</x:v>
      </x:c>
      <x:c r="B226" s="10" t="str">
        <x:v>GUILD-0225</x:v>
      </x:c>
      <x:c r="C226" s="10" t="str">
        <x:v>审批管理</x:v>
      </x:c>
      <x:c r="D226" s="10" t="str">
        <x:v>退会申请详情（公会长）</x:v>
      </x:c>
      <x:c r="E226" s="10" t="str">
        <x:v>功能需求</x:v>
      </x:c>
      <x:c r="F226" s="10" t="str">
        <x:v>P1</x:v>
      </x:c>
      <x:c r="G226" s="9" t="str">
        <x:v>验证退会申请详情核对退会原因</x:v>
      </x:c>
      <x:c r="H226" s="9" t="str">
        <x:v>退会原因对应关系</x:v>
      </x:c>
      <x:c r="I226" s="9" t="str">
        <x:v>1. 当前执行账号具有公会App会话，身份为公会长；具体账号及权限变化按以下条件准备
2. 当前公会G内记录A的退会原因原始值为“个人时间安排变化”；列表与详情关联同一记录A</x:v>
      </x:c>
      <x:c r="J226" s="9" t="str">
        <x:v>1. 打开退会申请详情
2. 查看记录A的退会原因</x:v>
      </x:c>
      <x:c r="K226" s="9" t="str">
        <x:v>退会原因显示“个人时间安排变化”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来源（当前证据）：liveshow-proto/MainBasis/统一需求文档.md；位置：第1964行、第1959行、第1960行
2. 规则：BR-cf37f4eebe5d0890
3. 未动态验证</x:v>
      </x:c>
    </x:row>
    <x:row r="227" ht="100" customHeight="1">
      <x:c r="A227" s="10" t="n">
        <x:v>226</x:v>
      </x:c>
      <x:c r="B227" s="10" t="str">
        <x:v>GUILD-0226</x:v>
      </x:c>
      <x:c r="C227" s="10" t="str">
        <x:v>运营管理</x:v>
      </x:c>
      <x:c r="D227" s="10" t="str">
        <x:v>运营消息详情（公会长）</x:v>
      </x:c>
      <x:c r="E227" s="10" t="str">
        <x:v>功能需求</x:v>
      </x:c>
      <x:c r="F227" s="10" t="str">
        <x:v>P1</x:v>
      </x:c>
      <x:c r="G227" s="9" t="str">
        <x:v>验证运营消息详情核对消息文字</x:v>
      </x:c>
      <x:c r="H227" s="9" t="str">
        <x:v>消息文字对应关系</x:v>
      </x:c>
      <x:c r="I227" s="9" t="str">
        <x:v>1. 当前执行账号具有公会App会话，身份为公会长；具体账号及权限变化按以下条件准备
2. 当前公会G内记录A的消息文字原始值为“今日活动18点开始”；列表与详情关联同一记录A</x:v>
      </x:c>
      <x:c r="J227" s="9" t="str">
        <x:v>1. 打开运营消息详情
2. 查看记录A的消息文字</x:v>
      </x:c>
      <x:c r="K227" s="9" t="str">
        <x:v>消息文字显示“今日活动18点开始”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来源（当前证据）：liveshow-proto/MainBasis/统一需求文档.md；位置：第2037行、第2032行、第2033行
2. 规则：BR-3dd33feea64d2710
3. 未动态验证</x:v>
      </x:c>
    </x:row>
    <x:row r="228" ht="100" customHeight="1">
      <x:c r="A228" s="10" t="n">
        <x:v>227</x:v>
      </x:c>
      <x:c r="B228" s="10" t="str">
        <x:v>GUILD-0227</x:v>
      </x:c>
      <x:c r="C228" s="10" t="str">
        <x:v>运营管理</x:v>
      </x:c>
      <x:c r="D228" s="10" t="str">
        <x:v>运营消息详情（公会长）</x:v>
      </x:c>
      <x:c r="E228" s="10" t="str">
        <x:v>功能需求</x:v>
      </x:c>
      <x:c r="F228" s="10" t="str">
        <x:v>P1</x:v>
      </x:c>
      <x:c r="G228" s="9" t="str">
        <x:v>验证运营消息详情核对消息图片</x:v>
      </x:c>
      <x:c r="H228" s="9" t="str">
        <x:v>消息图片对应关系</x:v>
      </x:c>
      <x:c r="I228" s="9" t="str">
        <x:v>1. 当前执行账号具有公会App会话，身份为公会长；具体账号及权限变化按以下条件准备
2. 当前公会G内记录A的消息图片原始值为“已发送测试图片A”；列表与详情关联同一记录A</x:v>
      </x:c>
      <x:c r="J228" s="9" t="str">
        <x:v>1. 打开运营消息详情
2. 查看记录A的消息图片</x:v>
      </x:c>
      <x:c r="K228" s="9" t="str">
        <x:v>消息图片显示“已发送测试图片A”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来源（当前证据）：liveshow-proto/MainBasis/统一需求文档.md；位置：第2037行、第2032行、第2033行
2. 规则：BR-54e299f81f9eb477
3. 未动态验证</x:v>
      </x:c>
    </x:row>
    <x:row r="229" ht="100" customHeight="1">
      <x:c r="A229" s="10" t="n">
        <x:v>228</x:v>
      </x:c>
      <x:c r="B229" s="10" t="str">
        <x:v>GUILD-0228</x:v>
      </x:c>
      <x:c r="C229" s="10" t="str">
        <x:v>运营管理</x:v>
      </x:c>
      <x:c r="D229" s="10" t="str">
        <x:v>运营消息（公会长）</x:v>
      </x:c>
      <x:c r="E229" s="10" t="str">
        <x:v>功能需求</x:v>
      </x:c>
      <x:c r="F229" s="10" t="str">
        <x:v>P1</x:v>
      </x:c>
      <x:c r="G229" s="9" t="str">
        <x:v>验证运营消息核对指定主播</x:v>
      </x:c>
      <x:c r="H229" s="9" t="str">
        <x:v>指定主播对应关系</x:v>
      </x:c>
      <x:c r="I229" s="9" t="str">
        <x:v>1. 当前执行账号具有公会App会话，身份为公会长；具体账号及权限变化按以下条件准备
2. 当前公会G内记录A的指定主播原始值为“主播甲（620101）”；列表与详情关联同一记录A</x:v>
      </x:c>
      <x:c r="J229" s="9" t="str">
        <x:v>1. 打开运营消息
2. 查看记录A的指定主播</x:v>
      </x:c>
      <x:c r="K229" s="9" t="str">
        <x:v>指定主播显示“主播甲（620101）”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来源（当前证据）：liveshow-proto/MainBasis/统一需求文档.md；位置：第2011行、第2009行、第2010行
2. 规则：BR-cc82f02ff631f7cb
3. 未动态验证</x:v>
      </x:c>
    </x:row>
    <x:row r="230" ht="100" customHeight="1">
      <x:c r="A230" s="10" t="n">
        <x:v>229</x:v>
      </x:c>
      <x:c r="B230" s="10" t="str">
        <x:v>GUILD-0229</x:v>
      </x:c>
      <x:c r="C230" s="10" t="str">
        <x:v>运营管理</x:v>
      </x:c>
      <x:c r="D230" s="10" t="str">
        <x:v>运营消息（公会长）</x:v>
      </x:c>
      <x:c r="E230" s="10" t="str">
        <x:v>功能需求</x:v>
      </x:c>
      <x:c r="F230" s="10" t="str">
        <x:v>P1</x:v>
      </x:c>
      <x:c r="G230" s="9" t="str">
        <x:v>验证运营消息核对全部对象标签</x:v>
      </x:c>
      <x:c r="H230" s="9" t="str">
        <x:v>全部对象标签对应关系</x:v>
      </x:c>
      <x:c r="I230" s="9" t="str">
        <x:v>1. 当前执行账号具有公会App会话，身份为公会长；具体账号及权限变化按以下条件准备
2. 当前公会G内记录A的全部对象标签原始值为“全体主播”；列表与详情关联同一记录A</x:v>
      </x:c>
      <x:c r="J230" s="9" t="str">
        <x:v>1. 打开运营消息
2. 查看记录A的全部对象标签</x:v>
      </x:c>
      <x:c r="K230" s="9" t="str">
        <x:v>全部对象标签显示“全体主播”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来源（当前证据）：liveshow-proto/MainBasis/统一需求文档.md；位置：第2011行、第2009行、第2010行
2. 规则：BR-499243759b8513b9
3. 未动态验证</x:v>
      </x:c>
    </x:row>
    <x:row r="231" ht="100" customHeight="1">
      <x:c r="A231" s="10" t="n">
        <x:v>230</x:v>
      </x:c>
      <x:c r="B231" s="10" t="str">
        <x:v>GUILD-0230</x:v>
      </x:c>
      <x:c r="C231" s="10" t="str">
        <x:v>公会首页</x:v>
      </x:c>
      <x:c r="D231" s="10" t="str">
        <x:v>首页（公会长）</x:v>
      </x:c>
      <x:c r="E231" s="10" t="str">
        <x:v>功能需求</x:v>
      </x:c>
      <x:c r="F231" s="10" t="str">
        <x:v>P1</x:v>
      </x:c>
      <x:c r="G231" s="9" t="str">
        <x:v>验证公会首页隔离日期和公会</x:v>
      </x:c>
      <x:c r="H231" s="9" t="str">
        <x:v>首页统计范围</x:v>
      </x:c>
      <x:c r="I231" s="9" t="str">
        <x:v>1. 当前执行账号具有公会App会话，身份为公会长；具体账号及权限变化按以下条件准备
2. 当前业务日D；G1今日普通礼物收益100、昨日200，G2今日300；当前公会G1</x:v>
      </x:c>
      <x:c r="J231" s="9" t="str">
        <x:v>1. 打开公会首页
2. 查看今日收益</x:v>
      </x:c>
      <x:c r="K231" s="9" t="str">
        <x:v>今日收益仅显示100金币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来源（当前证据）：liveshow-proto/MainBasis/统一需求文档.md；位置：第1902行、第1899行、第1900行
2. 规则：BR-eaa14890232d5435
3. 未动态验证</x:v>
      </x:c>
    </x:row>
    <x:row r="232" ht="100" customHeight="1">
      <x:c r="A232" s="10" t="n">
        <x:v>231</x:v>
      </x:c>
      <x:c r="B232" s="10" t="str">
        <x:v>GUILD-0231</x:v>
      </x:c>
      <x:c r="C232" s="10" t="str">
        <x:v>公会首页</x:v>
      </x:c>
      <x:c r="D232" s="10" t="str">
        <x:v>首页（公会长）</x:v>
      </x:c>
      <x:c r="E232" s="10" t="str">
        <x:v>功能需求</x:v>
      </x:c>
      <x:c r="F232" s="10" t="str">
        <x:v>P1</x:v>
      </x:c>
      <x:c r="G232" s="9" t="str">
        <x:v>验证公会首页不计运营虚拟金币</x:v>
      </x:c>
      <x:c r="H232" s="9" t="str">
        <x:v>收益排除项</x:v>
      </x:c>
      <x:c r="I232" s="9" t="str">
        <x:v>1. 当前执行账号具有公会App会话，身份为公会长；具体账号及权限变化按以下条件准备
2. G今日仅正常普通礼物收益10金币，另有运营虚拟金币100金币</x:v>
      </x:c>
      <x:c r="J232" s="9" t="str">
        <x:v>1. 打开公会首页
2. 查看今日收益</x:v>
      </x:c>
      <x:c r="K232" s="9" t="str">
        <x:v>今日收益为10金币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来源（当前证据）：liveshow-proto/MainBasis/统一需求文档.md；位置：第1905行、第1899行、第1900行
2. 规则：BR-9916622215b8852b
3. 未动态验证</x:v>
      </x:c>
    </x:row>
    <x:row r="233" ht="85" customHeight="1">
      <x:c r="A233" s="10" t="n">
        <x:v>232</x:v>
      </x:c>
      <x:c r="B233" s="10" t="str">
        <x:v>GUILD-0232</x:v>
      </x:c>
      <x:c r="C233" s="10" t="str">
        <x:v>公会首页</x:v>
      </x:c>
      <x:c r="D233" s="10" t="str">
        <x:v>首页（公会长）</x:v>
      </x:c>
      <x:c r="E233" s="10" t="str">
        <x:v>功能需求</x:v>
      </x:c>
      <x:c r="F233" s="10" t="str">
        <x:v>P1</x:v>
      </x:c>
      <x:c r="G233" s="9" t="str">
        <x:v>验证公会首页不计失败消费</x:v>
      </x:c>
      <x:c r="H233" s="9" t="str">
        <x:v>收益排除项</x:v>
      </x:c>
      <x:c r="I233" s="9" t="str">
        <x:v>1. 当前执行账号具有公会App会话，身份为公会长；具体账号及权限变化按以下条件准备
2. G今日仅正常普通礼物收益10金币，另有失败消费200金币</x:v>
      </x:c>
      <x:c r="J233" s="9" t="str">
        <x:v>1. 打开公会首页
2. 查看今日收益</x:v>
      </x:c>
      <x:c r="K233" s="9" t="str">
        <x:v>今日收益为10金币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来源（当前证据）：liveshow-proto/MainBasis/统一需求文档.md；位置：第1905行、第1899行、第1900行
2. 规则：BR-9c647f6605d12b1b
3. 未动态验证</x:v>
      </x:c>
    </x:row>
    <x:row r="234" ht="85" customHeight="1">
      <x:c r="A234" s="10" t="n">
        <x:v>233</x:v>
      </x:c>
      <x:c r="B234" s="10" t="str">
        <x:v>GUILD-0233</x:v>
      </x:c>
      <x:c r="C234" s="10" t="str">
        <x:v>公会首页</x:v>
      </x:c>
      <x:c r="D234" s="10" t="str">
        <x:v>首页（公会长）</x:v>
      </x:c>
      <x:c r="E234" s="10" t="str">
        <x:v>功能需求</x:v>
      </x:c>
      <x:c r="F234" s="10" t="str">
        <x:v>P1</x:v>
      </x:c>
      <x:c r="G234" s="9" t="str">
        <x:v>验证公会首页不计已冲正消费</x:v>
      </x:c>
      <x:c r="H234" s="9" t="str">
        <x:v>收益排除项</x:v>
      </x:c>
      <x:c r="I234" s="9" t="str">
        <x:v>1. 当前执行账号具有公会App会话，身份为公会长；具体账号及权限变化按以下条件准备
2. G今日仅正常普通礼物收益10金币，另有已冲正消费300金币</x:v>
      </x:c>
      <x:c r="J234" s="9" t="str">
        <x:v>1. 打开公会首页
2. 查看今日收益</x:v>
      </x:c>
      <x:c r="K234" s="9" t="str">
        <x:v>今日收益为10金币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来源（当前证据）：liveshow-proto/MainBasis/统一需求文档.md；位置：第1905行、第1899行、第1900行
2. 规则：BR-e140628955edcbf4
3. 未动态验证</x:v>
      </x:c>
    </x:row>
    <x:row r="235" ht="85" customHeight="1">
      <x:c r="A235" s="10" t="n">
        <x:v>234</x:v>
      </x:c>
      <x:c r="B235" s="10" t="str">
        <x:v>GUILD-0234</x:v>
      </x:c>
      <x:c r="C235" s="10" t="str">
        <x:v>公会首页</x:v>
      </x:c>
      <x:c r="D235" s="10" t="str">
        <x:v>通知消息（公会长）</x:v>
      </x:c>
      <x:c r="E235" s="10" t="str">
        <x:v>功能需求</x:v>
      </x:c>
      <x:c r="F235" s="10" t="str">
        <x:v>P1</x:v>
      </x:c>
      <x:c r="G235" s="9" t="str">
        <x:v>验证公会通知新事件优先</x:v>
      </x:c>
      <x:c r="H235" s="9" t="str">
        <x:v>通知时间顺序</x:v>
      </x:c>
      <x:c r="I235" s="9" t="str">
        <x:v>1. 当前执行账号具有公会App会话，身份为公会长；具体账号及权限变化按以下条件准备
2. 当前公会N1生成10:00，N2生成11:00；同日、均有查看权限</x:v>
      </x:c>
      <x:c r="J235" s="9" t="str">
        <x:v>1. 打开通知消息</x:v>
      </x:c>
      <x:c r="K235" s="9" t="str">
        <x:v>N2排列在N1之前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来源（当前证据）：liveshow-proto/MainBasis/统一需求文档.md；位置：第1912行、第1908行、第1909行
2. 规则：BR-21bb5718031a5d5d
3. 未动态验证</x:v>
      </x:c>
    </x:row>
    <x:row r="236" ht="100" customHeight="1">
      <x:c r="A236" s="10" t="n">
        <x:v>235</x:v>
      </x:c>
      <x:c r="B236" s="10" t="str">
        <x:v>GUILD-0235</x:v>
      </x:c>
      <x:c r="C236" s="10" t="str">
        <x:v>公会首页</x:v>
      </x:c>
      <x:c r="D236" s="10" t="str">
        <x:v>通知消息（公会长）</x:v>
      </x:c>
      <x:c r="E236" s="10" t="str">
        <x:v>功能需求</x:v>
      </x:c>
      <x:c r="F236" s="10" t="str">
        <x:v>P1</x:v>
      </x:c>
      <x:c r="G236" s="9" t="str">
        <x:v>验证公会通知承载入会待初审</x:v>
      </x:c>
      <x:c r="H236" s="9" t="str">
        <x:v>公会事件通知</x:v>
      </x:c>
      <x:c r="I236" s="9" t="str">
        <x:v>1. 当前执行账号具有公会App会话，身份为公会长；具体账号及权限变化按以下条件准备
2. 当前公会G已发生入会待初审事件E1；账号仍具有G通知查看权限，事件对象及结果已记录</x:v>
      </x:c>
      <x:c r="J236" s="9" t="str">
        <x:v>1. 打开通知消息
2. 查看事件E1对应通知</x:v>
      </x:c>
      <x:c r="K236" s="9" t="str">
        <x:v>通知表达E1的入会待初审及事件结果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来源（当前证据）：liveshow-proto/MainBasis/统一需求文档.md；位置：第1914行、第1908行、第1909行
2. 规则：BR-7c55be4950e59f2c
3. 未动态验证</x:v>
      </x:c>
    </x:row>
    <x:row r="237" ht="115" customHeight="1">
      <x:c r="A237" s="10" t="n">
        <x:v>236</x:v>
      </x:c>
      <x:c r="B237" s="10" t="str">
        <x:v>GUILD-0236</x:v>
      </x:c>
      <x:c r="C237" s="10" t="str">
        <x:v>公会首页</x:v>
      </x:c>
      <x:c r="D237" s="10" t="str">
        <x:v>通知消息（公会长）</x:v>
      </x:c>
      <x:c r="E237" s="10" t="str">
        <x:v>功能需求</x:v>
      </x:c>
      <x:c r="F237" s="10" t="str">
        <x:v>P0</x:v>
      </x:c>
      <x:c r="G237" s="9" t="str">
        <x:v>验证公会通知承载平台终审通过</x:v>
      </x:c>
      <x:c r="H237" s="9" t="str">
        <x:v>公会事件通知</x:v>
      </x:c>
      <x:c r="I237" s="9" t="str">
        <x:v>1. 当前执行账号具有公会App会话，身份为公会长；具体账号及权限变化按以下条件准备
2. 当前公会G已发生平台终审通过事件E1；账号仍具有G通知查看权限，事件对象及结果已记录</x:v>
      </x:c>
      <x:c r="J237" s="9" t="str">
        <x:v>1. 打开通知消息
2. 查看事件E1对应通知</x:v>
      </x:c>
      <x:c r="K237" s="9" t="str">
        <x:v>通知表达E1的平台终审通过及事件结果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来源（当前证据）：liveshow-proto/MainBasis/统一需求文档.md；位置：第1914行、第1908行、第1909行
2. 规则：BR-245d42fe55f515d3
3. 未动态验证</x:v>
      </x:c>
    </x:row>
    <x:row r="238" ht="115" customHeight="1">
      <x:c r="A238" s="10" t="n">
        <x:v>237</x:v>
      </x:c>
      <x:c r="B238" s="10" t="str">
        <x:v>GUILD-0237</x:v>
      </x:c>
      <x:c r="C238" s="10" t="str">
        <x:v>公会首页</x:v>
      </x:c>
      <x:c r="D238" s="10" t="str">
        <x:v>通知消息（公会长）</x:v>
      </x:c>
      <x:c r="E238" s="10" t="str">
        <x:v>功能需求</x:v>
      </x:c>
      <x:c r="F238" s="10" t="str">
        <x:v>P0</x:v>
      </x:c>
      <x:c r="G238" s="9" t="str">
        <x:v>验证公会通知承载平台终审驳回</x:v>
      </x:c>
      <x:c r="H238" s="9" t="str">
        <x:v>公会事件通知</x:v>
      </x:c>
      <x:c r="I238" s="9" t="str">
        <x:v>1. 当前执行账号具有公会App会话，身份为公会长；具体账号及权限变化按以下条件准备
2. 当前公会G已发生平台终审驳回事件E1；账号仍具有G通知查看权限，事件对象及结果已记录</x:v>
      </x:c>
      <x:c r="J238" s="9" t="str">
        <x:v>1. 打开通知消息
2. 查看事件E1对应通知</x:v>
      </x:c>
      <x:c r="K238" s="9" t="str">
        <x:v>通知表达E1的平台终审驳回及事件结果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来源（当前证据）：liveshow-proto/MainBasis/统一需求文档.md；位置：第1914行、第1908行、第1909行
2. 规则：BR-491f33944a0326ba
3. 未动态验证</x:v>
      </x:c>
    </x:row>
    <x:row r="239" ht="100" customHeight="1">
      <x:c r="A239" s="10" t="n">
        <x:v>238</x:v>
      </x:c>
      <x:c r="B239" s="10" t="str">
        <x:v>GUILD-0238</x:v>
      </x:c>
      <x:c r="C239" s="10" t="str">
        <x:v>公会首页</x:v>
      </x:c>
      <x:c r="D239" s="10" t="str">
        <x:v>通知消息（公会长）</x:v>
      </x:c>
      <x:c r="E239" s="10" t="str">
        <x:v>功能需求</x:v>
      </x:c>
      <x:c r="F239" s="10" t="str">
        <x:v>P1</x:v>
      </x:c>
      <x:c r="G239" s="9" t="str">
        <x:v>验证公会通知承载退会待审核</x:v>
      </x:c>
      <x:c r="H239" s="9" t="str">
        <x:v>公会事件通知</x:v>
      </x:c>
      <x:c r="I239" s="9" t="str">
        <x:v>1. 当前执行账号具有公会App会话，身份为公会长；具体账号及权限变化按以下条件准备
2. 当前公会G已发生退会待审核事件E1；账号仍具有G通知查看权限，事件对象及结果已记录</x:v>
      </x:c>
      <x:c r="J239" s="9" t="str">
        <x:v>1. 打开通知消息
2. 查看事件E1对应通知</x:v>
      </x:c>
      <x:c r="K239" s="9" t="str">
        <x:v>通知表达E1的退会待审核及事件结果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来源（当前证据）：liveshow-proto/MainBasis/统一需求文档.md；位置：第1914行、第1908行、第1909行
2. 规则：BR-8aa3f660c4b7417d
3. 未动态验证</x:v>
      </x:c>
    </x:row>
    <x:row r="240" ht="115" customHeight="1">
      <x:c r="A240" s="10" t="n">
        <x:v>239</x:v>
      </x:c>
      <x:c r="B240" s="10" t="str">
        <x:v>GUILD-0239</x:v>
      </x:c>
      <x:c r="C240" s="10" t="str">
        <x:v>公会首页</x:v>
      </x:c>
      <x:c r="D240" s="10" t="str">
        <x:v>通知消息（公会长）</x:v>
      </x:c>
      <x:c r="E240" s="10" t="str">
        <x:v>功能需求</x:v>
      </x:c>
      <x:c r="F240" s="10" t="str">
        <x:v>P1</x:v>
      </x:c>
      <x:c r="G240" s="9" t="str">
        <x:v>验证公会通知承载平台关闭场次</x:v>
      </x:c>
      <x:c r="H240" s="9" t="str">
        <x:v>公会事件通知</x:v>
      </x:c>
      <x:c r="I240" s="9" t="str">
        <x:v>1. 当前执行账号具有公会App会话，身份为公会长；具体账号及权限变化按以下条件准备
2. 当前公会G已发生平台关闭场次事件E1；账号仍具有G通知查看权限，事件对象及结果已记录</x:v>
      </x:c>
      <x:c r="J240" s="9" t="str">
        <x:v>1. 打开通知消息
2. 查看事件E1对应通知</x:v>
      </x:c>
      <x:c r="K240" s="9" t="str">
        <x:v>通知表达E1的平台关闭场次及事件结果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来源（当前证据）：liveshow-proto/MainBasis/统一需求文档.md；位置：第1915行、第1908行、第1909行
2. 规则：BR-a4ef886d213d169a
3. 未动态验证</x:v>
      </x:c>
    </x:row>
    <x:row r="241" ht="115" customHeight="1">
      <x:c r="A241" s="10" t="n">
        <x:v>240</x:v>
      </x:c>
      <x:c r="B241" s="10" t="str">
        <x:v>GUILD-0240</x:v>
      </x:c>
      <x:c r="C241" s="10" t="str">
        <x:v>公会首页</x:v>
      </x:c>
      <x:c r="D241" s="10" t="str">
        <x:v>通知消息（公会长）</x:v>
      </x:c>
      <x:c r="E241" s="10" t="str">
        <x:v>功能需求</x:v>
      </x:c>
      <x:c r="F241" s="10" t="str">
        <x:v>P0</x:v>
      </x:c>
      <x:c r="G241" s="9" t="str">
        <x:v>验证公会通知承载平台关闭直播权限</x:v>
      </x:c>
      <x:c r="H241" s="9" t="str">
        <x:v>公会事件通知</x:v>
      </x:c>
      <x:c r="I241" s="9" t="str">
        <x:v>1. 当前执行账号具有公会App会话，身份为公会长；具体账号及权限变化按以下条件准备
2. 当前公会G已发生平台关闭直播权限事件E1；账号仍具有G通知查看权限，事件对象及结果已记录</x:v>
      </x:c>
      <x:c r="J241" s="9" t="str">
        <x:v>1. 打开通知消息
2. 查看事件E1对应通知</x:v>
      </x:c>
      <x:c r="K241" s="9" t="str">
        <x:v>通知表达E1的平台关闭直播权限及事件结果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来源（当前证据）：liveshow-proto/MainBasis/统一需求文档.md；位置：第1915行、第1908行、第1909行
2. 规则：BR-06f87a3e0a9f4bac
3. 未动态验证</x:v>
      </x:c>
    </x:row>
    <x:row r="242" ht="115" customHeight="1">
      <x:c r="A242" s="10" t="n">
        <x:v>241</x:v>
      </x:c>
      <x:c r="B242" s="10" t="str">
        <x:v>GUILD-0241</x:v>
      </x:c>
      <x:c r="C242" s="10" t="str">
        <x:v>公会首页</x:v>
      </x:c>
      <x:c r="D242" s="10" t="str">
        <x:v>通知消息（公会长）</x:v>
      </x:c>
      <x:c r="E242" s="10" t="str">
        <x:v>功能需求</x:v>
      </x:c>
      <x:c r="F242" s="10" t="str">
        <x:v>P0</x:v>
      </x:c>
      <x:c r="G242" s="9" t="str">
        <x:v>验证公会通知承载平台恢复直播权限</x:v>
      </x:c>
      <x:c r="H242" s="9" t="str">
        <x:v>公会事件通知</x:v>
      </x:c>
      <x:c r="I242" s="9" t="str">
        <x:v>1. 当前执行账号具有公会App会话，身份为公会长；具体账号及权限变化按以下条件准备
2. 当前公会G已发生平台恢复直播权限事件E1；账号仍具有G通知查看权限，事件对象及结果已记录</x:v>
      </x:c>
      <x:c r="J242" s="9" t="str">
        <x:v>1. 打开通知消息
2. 查看事件E1对应通知</x:v>
      </x:c>
      <x:c r="K242" s="9" t="str">
        <x:v>通知表达E1的平台恢复直播权限及事件结果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来源（当前证据）：liveshow-proto/MainBasis/统一需求文档.md；位置：第1915行、第1908行、第1909行
2. 规则：BR-ec56ec52a7b4246a
3. 未动态验证</x:v>
      </x:c>
    </x:row>
    <x:row r="243" ht="160" customHeight="1">
      <x:c r="A243" s="10" t="n">
        <x:v>242</x:v>
      </x:c>
      <x:c r="B243" s="10" t="str">
        <x:v>GUILD-0242</x:v>
      </x:c>
      <x:c r="C243" s="10" t="str">
        <x:v>公会首页</x:v>
      </x:c>
      <x:c r="D243" s="10" t="str">
        <x:v>通知消息（公会长）</x:v>
      </x:c>
      <x:c r="E243" s="10" t="str">
        <x:v>功能需求</x:v>
      </x:c>
      <x:c r="F243" s="10" t="str">
        <x:v>P1</x:v>
      </x:c>
      <x:c r="G243" s="9" t="str">
        <x:v>验证公会通知承载公会状态变更</x:v>
      </x:c>
      <x:c r="H243" s="9" t="str">
        <x:v>公会事件通知</x:v>
      </x:c>
      <x:c r="I243" s="9" t="str">
        <x:v>1. 当前执行账号具有公会App会话，身份为公会长；具体账号及权限变化按以下条件准备
2. 当前公会G已发生公会状态变更事件E1；账号仍具有G通知查看权限，事件对象及结果已记录
3. 本次E1具体变化：G由停用恢复为启用；当前已恢复有效公会会话</x:v>
      </x:c>
      <x:c r="J243" s="9" t="str">
        <x:v>1. 打开通知消息
2. 查看事件E1对应通知</x:v>
      </x:c>
      <x:c r="K243" s="9" t="str">
        <x:v>通知表达G由停用恢复为启用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来源（当前证据）：liveshow-proto/MainBasis/统一需求文档.md；位置：第1916行、第1908行、第1909行
2. 规则：BR-fc8c8df64046943d
3. 未动态验证</x:v>
      </x:c>
    </x:row>
    <x:row r="244" ht="160" customHeight="1">
      <x:c r="A244" s="10" t="n">
        <x:v>243</x:v>
      </x:c>
      <x:c r="B244" s="10" t="str">
        <x:v>GUILD-0243</x:v>
      </x:c>
      <x:c r="C244" s="10" t="str">
        <x:v>公会首页</x:v>
      </x:c>
      <x:c r="D244" s="10" t="str">
        <x:v>通知消息（公会长）</x:v>
      </x:c>
      <x:c r="E244" s="10" t="str">
        <x:v>功能需求</x:v>
      </x:c>
      <x:c r="F244" s="10" t="str">
        <x:v>P1</x:v>
      </x:c>
      <x:c r="G244" s="9" t="str">
        <x:v>验证公会通知承载公会长账号状态变更</x:v>
      </x:c>
      <x:c r="H244" s="9" t="str">
        <x:v>公会事件通知</x:v>
      </x:c>
      <x:c r="I244" s="9" t="str">
        <x:v>1. 当前执行账号具有公会App会话，身份为公会长；具体账号及权限变化按以下条件准备
2. 当前公会G已发生公会长账号状态变更事件E1；账号仍具有G通知查看权限，事件对象及结果已记录
3. 本次E1具体变化：当前公会长账号由停用恢复为启用；当前已恢复有效公会会话</x:v>
      </x:c>
      <x:c r="J244" s="9" t="str">
        <x:v>1. 打开通知消息
2. 查看事件E1对应通知</x:v>
      </x:c>
      <x:c r="K244" s="9" t="str">
        <x:v>通知表达当前公会长账号由停用恢复为启用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来源（当前证据）：liveshow-proto/MainBasis/统一需求文档.md；位置：第1916行、第1908行、第1909行
2. 规则：BR-f7212fcd25be6e44
3. 未动态验证</x:v>
      </x:c>
    </x:row>
    <x:row r="245" ht="160" customHeight="1">
      <x:c r="A245" s="10" t="n">
        <x:v>244</x:v>
      </x:c>
      <x:c r="B245" s="10" t="str">
        <x:v>GUILD-0244</x:v>
      </x:c>
      <x:c r="C245" s="10" t="str">
        <x:v>公会首页</x:v>
      </x:c>
      <x:c r="D245" s="10" t="str">
        <x:v>通知消息（公会长）</x:v>
      </x:c>
      <x:c r="E245" s="10" t="str">
        <x:v>功能需求</x:v>
      </x:c>
      <x:c r="F245" s="10" t="str">
        <x:v>P0</x:v>
      </x:c>
      <x:c r="G245" s="9" t="str">
        <x:v>验证公会通知承载运营账号管理权限变更</x:v>
      </x:c>
      <x:c r="H245" s="9" t="str">
        <x:v>公会事件通知</x:v>
      </x:c>
      <x:c r="I245" s="9" t="str">
        <x:v>1. 当前执行账号具有公会App会话，身份为公会长；具体账号及权限变化按以下条件准备
2. 当前公会G已发生运营账号管理权限变更事件E1；账号仍具有G通知查看权限，事件对象及结果已记录
3. 本次E1具体变化：平台已锁定运营账号A的公会管理权限；当前已恢复有效公会会话</x:v>
      </x:c>
      <x:c r="J245" s="9" t="str">
        <x:v>1. 打开通知消息
2. 查看事件E1对应通知</x:v>
      </x:c>
      <x:c r="K245" s="9" t="str">
        <x:v>通知表达平台已锁定运营账号A的公会管理权限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来源（当前证据）：liveshow-proto/MainBasis/统一需求文档.md；位置：第1916行、第1908行、第1909行
2. 规则：BR-21aac8b062467566
3. 未动态验证</x:v>
      </x:c>
    </x:row>
    <x:row r="246" ht="115" customHeight="1">
      <x:c r="A246" s="10" t="n">
        <x:v>245</x:v>
      </x:c>
      <x:c r="B246" s="10" t="str">
        <x:v>GUILD-0245</x:v>
      </x:c>
      <x:c r="C246" s="10" t="str">
        <x:v>公会首页</x:v>
      </x:c>
      <x:c r="D246" s="10" t="str">
        <x:v>通知消息（公会长）</x:v>
      </x:c>
      <x:c r="E246" s="10" t="str">
        <x:v>功能需求</x:v>
      </x:c>
      <x:c r="F246" s="10" t="str">
        <x:v>P1</x:v>
      </x:c>
      <x:c r="G246" s="9" t="str">
        <x:v>验证公会通知承载主播分成新增</x:v>
      </x:c>
      <x:c r="H246" s="9" t="str">
        <x:v>公会事件通知</x:v>
      </x:c>
      <x:c r="I246" s="9" t="str">
        <x:v>1. 当前执行账号具有公会App会话，身份为公会长；具体账号及权限变化按以下条件准备
2. 当前公会G已发生主播分成新增事件E1；账号仍具有G通知查看权限，事件对象及结果已记录</x:v>
      </x:c>
      <x:c r="J246" s="9" t="str">
        <x:v>1. 打开通知消息
2. 查看事件E1对应通知</x:v>
      </x:c>
      <x:c r="K246" s="9" t="str">
        <x:v>通知表达E1的主播分成新增及事件结果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来源（当前证据）：liveshow-proto/MainBasis/统一需求文档.md；位置：第1917行、第1908行、第1909行
2. 规则：BR-68c60304ce9441d8
3. 未动态验证</x:v>
      </x:c>
    </x:row>
    <x:row r="247" ht="115" customHeight="1">
      <x:c r="A247" s="10" t="n">
        <x:v>246</x:v>
      </x:c>
      <x:c r="B247" s="10" t="str">
        <x:v>GUILD-0246</x:v>
      </x:c>
      <x:c r="C247" s="10" t="str">
        <x:v>公会首页</x:v>
      </x:c>
      <x:c r="D247" s="10" t="str">
        <x:v>通知消息（公会长）</x:v>
      </x:c>
      <x:c r="E247" s="10" t="str">
        <x:v>功能需求</x:v>
      </x:c>
      <x:c r="F247" s="10" t="str">
        <x:v>P1</x:v>
      </x:c>
      <x:c r="G247" s="9" t="str">
        <x:v>验证公会通知承载主播分成冲正</x:v>
      </x:c>
      <x:c r="H247" s="9" t="str">
        <x:v>公会事件通知</x:v>
      </x:c>
      <x:c r="I247" s="9" t="str">
        <x:v>1. 当前执行账号具有公会App会话，身份为公会长；具体账号及权限变化按以下条件准备
2. 当前公会G已发生主播分成冲正事件E1；账号仍具有G通知查看权限，事件对象及结果已记录</x:v>
      </x:c>
      <x:c r="J247" s="9" t="str">
        <x:v>1. 打开通知消息
2. 查看事件E1对应通知</x:v>
      </x:c>
      <x:c r="K247" s="9" t="str">
        <x:v>通知表达E1的主播分成冲正及事件结果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来源（当前证据）：liveshow-proto/MainBasis/统一需求文档.md；位置：第1917行、第1908行、第1909行
2. 规则：BR-d35615de58374a6b
3. 未动态验证</x:v>
      </x:c>
    </x:row>
    <x:row r="248" ht="115" customHeight="1">
      <x:c r="A248" s="10" t="n">
        <x:v>247</x:v>
      </x:c>
      <x:c r="B248" s="10" t="str">
        <x:v>GUILD-0247</x:v>
      </x:c>
      <x:c r="C248" s="10" t="str">
        <x:v>公会首页</x:v>
      </x:c>
      <x:c r="D248" s="10" t="str">
        <x:v>通知消息（公会长）</x:v>
      </x:c>
      <x:c r="E248" s="10" t="str">
        <x:v>功能需求</x:v>
      </x:c>
      <x:c r="F248" s="10" t="str">
        <x:v>P1</x:v>
      </x:c>
      <x:c r="G248" s="9" t="str">
        <x:v>验证公会通知承载公会分成新增</x:v>
      </x:c>
      <x:c r="H248" s="9" t="str">
        <x:v>公会事件通知</x:v>
      </x:c>
      <x:c r="I248" s="9" t="str">
        <x:v>1. 当前执行账号具有公会App会话，身份为公会长；具体账号及权限变化按以下条件准备
2. 当前公会G已发生公会分成新增事件E1；账号仍具有G通知查看权限，事件对象及结果已记录</x:v>
      </x:c>
      <x:c r="J248" s="9" t="str">
        <x:v>1. 打开通知消息
2. 查看事件E1对应通知</x:v>
      </x:c>
      <x:c r="K248" s="9" t="str">
        <x:v>通知表达E1的公会分成新增及事件结果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来源（当前证据）：liveshow-proto/MainBasis/统一需求文档.md；位置：第1917行、第1908行、第1909行
2. 规则：BR-e82b1209349c9848
3. 未动态验证</x:v>
      </x:c>
    </x:row>
    <x:row r="249" ht="115" customHeight="1">
      <x:c r="A249" s="10" t="n">
        <x:v>248</x:v>
      </x:c>
      <x:c r="B249" s="10" t="str">
        <x:v>GUILD-0248</x:v>
      </x:c>
      <x:c r="C249" s="10" t="str">
        <x:v>公会首页</x:v>
      </x:c>
      <x:c r="D249" s="10" t="str">
        <x:v>通知消息（公会长）</x:v>
      </x:c>
      <x:c r="E249" s="10" t="str">
        <x:v>功能需求</x:v>
      </x:c>
      <x:c r="F249" s="10" t="str">
        <x:v>P1</x:v>
      </x:c>
      <x:c r="G249" s="9" t="str">
        <x:v>验证公会通知承载公会分成冲正</x:v>
      </x:c>
      <x:c r="H249" s="9" t="str">
        <x:v>公会事件通知</x:v>
      </x:c>
      <x:c r="I249" s="9" t="str">
        <x:v>1. 当前执行账号具有公会App会话，身份为公会长；具体账号及权限变化按以下条件准备
2. 当前公会G已发生公会分成冲正事件E1；账号仍具有G通知查看权限，事件对象及结果已记录</x:v>
      </x:c>
      <x:c r="J249" s="9" t="str">
        <x:v>1. 打开通知消息
2. 查看事件E1对应通知</x:v>
      </x:c>
      <x:c r="K249" s="9" t="str">
        <x:v>通知表达E1的公会分成冲正及事件结果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来源（当前证据）：liveshow-proto/MainBasis/统一需求文档.md；位置：第1917行、第1908行、第1909行
2. 规则：BR-7b20c92124e6fe30
3. 未动态验证</x:v>
      </x:c>
    </x:row>
    <x:row r="250" ht="100" customHeight="1">
      <x:c r="A250" s="10" t="n">
        <x:v>249</x:v>
      </x:c>
      <x:c r="B250" s="10" t="str">
        <x:v>GUILD-0249</x:v>
      </x:c>
      <x:c r="C250" s="10" t="str">
        <x:v>审批管理</x:v>
      </x:c>
      <x:c r="D250" s="10" t="str">
        <x:v>入会申请详情（公会长）</x:v>
      </x:c>
      <x:c r="E250" s="10" t="str">
        <x:v>功能需求</x:v>
      </x:c>
      <x:c r="F250" s="10" t="str">
        <x:v>P1</x:v>
      </x:c>
      <x:c r="G250" s="9" t="str">
        <x:v>验证入会进度对应待公会审核</x:v>
      </x:c>
      <x:c r="H250" s="9" t="str">
        <x:v>审核节点轨迹</x:v>
      </x:c>
      <x:c r="I250" s="9" t="str">
        <x:v>1. 当前执行账号具有公会App会话，身份为公会长；具体账号及权限变化按以下条件准备
2. 申请J1当前状态待公会审核；完整历史节点与处理时间已留存</x:v>
      </x:c>
      <x:c r="J250" s="9" t="str">
        <x:v>1. 打开J1入会申请详情
2. 查看审核进度</x:v>
      </x:c>
      <x:c r="K250" s="9" t="str">
        <x:v>用户提交节点已完成，公会审核待处理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来源（当前证据）：liveshow-proto/MainBasis/统一需求文档.md；位置：第1942行、第1938行、第1939行
2. 规则：BR-ee24d10b5aed0306
3. 未动态验证</x:v>
      </x:c>
    </x:row>
    <x:row r="251" ht="100" customHeight="1">
      <x:c r="A251" s="10" t="n">
        <x:v>250</x:v>
      </x:c>
      <x:c r="B251" s="10" t="str">
        <x:v>GUILD-0250</x:v>
      </x:c>
      <x:c r="C251" s="10" t="str">
        <x:v>审批管理</x:v>
      </x:c>
      <x:c r="D251" s="10" t="str">
        <x:v>入会申请详情（公会长）</x:v>
      </x:c>
      <x:c r="E251" s="10" t="str">
        <x:v>功能需求</x:v>
      </x:c>
      <x:c r="F251" s="10" t="str">
        <x:v>P1</x:v>
      </x:c>
      <x:c r="G251" s="9" t="str">
        <x:v>验证入会进度对应平台审核中</x:v>
      </x:c>
      <x:c r="H251" s="9" t="str">
        <x:v>审核节点轨迹</x:v>
      </x:c>
      <x:c r="I251" s="9" t="str">
        <x:v>1. 当前执行账号具有公会App会话，身份为公会长；具体账号及权限变化按以下条件准备
2. 申请J1当前状态平台审核中；完整历史节点与处理时间已留存</x:v>
      </x:c>
      <x:c r="J251" s="9" t="str">
        <x:v>1. 打开J1入会申请详情
2. 查看审核进度</x:v>
      </x:c>
      <x:c r="K251" s="9" t="str">
        <x:v>公会审核节点显示通过，平台终审待处理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来源（当前证据）：liveshow-proto/MainBasis/统一需求文档.md；位置：第1942行、第1938行、第1939行
2. 规则：BR-4c59a6485f32e66a
3. 未动态验证</x:v>
      </x:c>
    </x:row>
    <x:row r="252" ht="100" customHeight="1">
      <x:c r="A252" s="10" t="n">
        <x:v>251</x:v>
      </x:c>
      <x:c r="B252" s="10" t="str">
        <x:v>GUILD-0251</x:v>
      </x:c>
      <x:c r="C252" s="10" t="str">
        <x:v>审批管理</x:v>
      </x:c>
      <x:c r="D252" s="10" t="str">
        <x:v>入会申请详情（公会长）</x:v>
      </x:c>
      <x:c r="E252" s="10" t="str">
        <x:v>功能需求</x:v>
      </x:c>
      <x:c r="F252" s="10" t="str">
        <x:v>P0</x:v>
      </x:c>
      <x:c r="G252" s="9" t="str">
        <x:v>验证入会进度对应平台终审通过</x:v>
      </x:c>
      <x:c r="H252" s="9" t="str">
        <x:v>审核节点轨迹</x:v>
      </x:c>
      <x:c r="I252" s="9" t="str">
        <x:v>1. 当前执行账号具有公会App会话，身份为公会长；具体账号及权限变化按以下条件准备
2. 申请J1当前状态平台终审通过；完整历史节点与处理时间已留存</x:v>
      </x:c>
      <x:c r="J252" s="9" t="str">
        <x:v>1. 打开J1入会申请详情
2. 查看审核进度</x:v>
      </x:c>
      <x:c r="K252" s="9" t="str">
        <x:v>成为主播节点已完成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来源（当前证据）：liveshow-proto/MainBasis/统一需求文档.md；位置：第1942行、第1938行、第1939行
2. 规则：BR-33447e1b130f8bfa
3. 未动态验证</x:v>
      </x:c>
    </x:row>
    <x:row r="253" ht="100" customHeight="1">
      <x:c r="A253" s="10" t="n">
        <x:v>252</x:v>
      </x:c>
      <x:c r="B253" s="10" t="str">
        <x:v>GUILD-0252</x:v>
      </x:c>
      <x:c r="C253" s="10" t="str">
        <x:v>审批管理</x:v>
      </x:c>
      <x:c r="D253" s="10" t="str">
        <x:v>入会申请详情（公会长）</x:v>
      </x:c>
      <x:c r="E253" s="10" t="str">
        <x:v>功能需求</x:v>
      </x:c>
      <x:c r="F253" s="10" t="str">
        <x:v>P0</x:v>
      </x:c>
      <x:c r="G253" s="9" t="str">
        <x:v>验证入会进度对应平台终审驳回</x:v>
      </x:c>
      <x:c r="H253" s="9" t="str">
        <x:v>审核节点轨迹</x:v>
      </x:c>
      <x:c r="I253" s="9" t="str">
        <x:v>1. 当前执行账号具有公会App会话，身份为公会长；具体账号及权限变化按以下条件准备
2. 申请J1当前状态平台终审驳回；完整历史节点与处理时间已留存</x:v>
      </x:c>
      <x:c r="J253" s="9" t="str">
        <x:v>1. 打开J1入会申请详情
2. 查看审核进度</x:v>
      </x:c>
      <x:c r="K253" s="9" t="str">
        <x:v>平台终审节点显示驳回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来源（当前证据）：liveshow-proto/MainBasis/统一需求文档.md；位置：第1942行、第1938行、第1939行
2. 规则：BR-84f35c8f33bcc384
3. 未动态验证</x:v>
      </x:c>
    </x:row>
    <x:row r="254" ht="85" customHeight="1">
      <x:c r="A254" s="10" t="n">
        <x:v>253</x:v>
      </x:c>
      <x:c r="B254" s="10" t="str">
        <x:v>GUILD-0253</x:v>
      </x:c>
      <x:c r="C254" s="10" t="str">
        <x:v>主播管理</x:v>
      </x:c>
      <x:c r="D254" s="10" t="str">
        <x:v>主播列表（公会长）</x:v>
      </x:c>
      <x:c r="E254" s="10" t="str">
        <x:v>功能需求</x:v>
      </x:c>
      <x:c r="F254" s="10" t="str">
        <x:v>P1</x:v>
      </x:c>
      <x:c r="G254" s="9" t="str">
        <x:v>验证公会在会成员不带退会标记</x:v>
      </x:c>
      <x:c r="H254" s="9" t="str">
        <x:v>在会标记</x:v>
      </x:c>
      <x:c r="I254" s="9" t="str">
        <x:v>1. 当前执行账号具有公会App会话，身份为公会长；具体账号及权限变化按以下条件准备
2. 主播A仍属于当前公会G且状态在会</x:v>
      </x:c>
      <x:c r="J254" s="9" t="str">
        <x:v>1. 打开公会成员列表
2. 查看A状态</x:v>
      </x:c>
      <x:c r="K254" s="9" t="str">
        <x:v>A不显示“退会”标记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来源（当前证据）：liveshow-proto/MainBasis/统一需求文档.md；位置：第1974行、第1970行、第1971行
2. 规则：BR-f7c159548b7ea10d
3. 未动态验证</x:v>
      </x:c>
    </x:row>
    <x:row r="255" ht="85" customHeight="1">
      <x:c r="A255" s="10" t="n">
        <x:v>254</x:v>
      </x:c>
      <x:c r="B255" s="10" t="str">
        <x:v>GUILD-0254</x:v>
      </x:c>
      <x:c r="C255" s="10" t="str">
        <x:v>数据与收益</x:v>
      </x:c>
      <x:c r="D255" s="10" t="str">
        <x:v>主播数据（公会长）</x:v>
      </x:c>
      <x:c r="E255" s="10" t="str">
        <x:v>功能需求</x:v>
      </x:c>
      <x:c r="F255" s="10" t="str">
        <x:v>P1</x:v>
      </x:c>
      <x:c r="G255" s="9" t="str">
        <x:v>验证历史主播资料带退会标记</x:v>
      </x:c>
      <x:c r="H255" s="9" t="str">
        <x:v>历史主播身份</x:v>
      </x:c>
      <x:c r="I255" s="9" t="str">
        <x:v>1. 当前执行账号具有公会App会话，身份为公会长；具体账号及权限变化按以下条件准备
2. A已从当前公会G退出；G中保留A历史业绩</x:v>
      </x:c>
      <x:c r="J255" s="9" t="str">
        <x:v>1. 打开A主播数据
2. 查看主播资料</x:v>
      </x:c>
      <x:c r="K255" s="9" t="str">
        <x:v>A显示“退会”标记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来源（当前证据）：liveshow-proto/MainBasis/统一需求文档.md；位置：第1988行、第1986行、第1987行
2. 规则：BR-26db1eb5760289e2
3. 未动态验证</x:v>
      </x:c>
    </x:row>
    <x:row r="256" ht="85" customHeight="1">
      <x:c r="A256" s="10" t="n">
        <x:v>255</x:v>
      </x:c>
      <x:c r="B256" s="10" t="str">
        <x:v>GUILD-0255</x:v>
      </x:c>
      <x:c r="C256" s="10" t="str">
        <x:v>数据与收益</x:v>
      </x:c>
      <x:c r="D256" s="10" t="str">
        <x:v>主播数据（公会长）</x:v>
      </x:c>
      <x:c r="E256" s="10" t="str">
        <x:v>逻辑校验</x:v>
      </x:c>
      <x:c r="F256" s="10" t="str">
        <x:v>P1</x:v>
      </x:c>
      <x:c r="G256" s="9" t="str">
        <x:v>验证主播月数据月直播时长</x:v>
      </x:c>
      <x:c r="H256" s="9" t="str">
        <x:v>月直播时长</x:v>
      </x:c>
      <x:c r="I256" s="9" t="str">
        <x:v>1. 当前执行账号具有公会App会话，身份为公会长；具体账号及权限变化按以下条件准备
2. A当月有两场直播时长20分钟和40分钟；其他月份100分钟</x:v>
      </x:c>
      <x:c r="J256" s="9" t="str">
        <x:v>1. 打开A主播数据
2. 切换月数据
3. 选择本月</x:v>
      </x:c>
      <x:c r="K256" s="9" t="str">
        <x:v>当月直播时长=60分钟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来源（当前证据）：liveshow-proto/MainBasis/统一需求文档.md；位置：第1991行、第1986行、第1987行
2. 规则：BR-9b57e9644f7a82a3
3. 未动态验证</x:v>
      </x:c>
    </x:row>
    <x:row r="257" ht="85" customHeight="1">
      <x:c r="A257" s="10" t="n">
        <x:v>256</x:v>
      </x:c>
      <x:c r="B257" s="10" t="str">
        <x:v>GUILD-0256</x:v>
      </x:c>
      <x:c r="C257" s="10" t="str">
        <x:v>数据与收益</x:v>
      </x:c>
      <x:c r="D257" s="10" t="str">
        <x:v>主播数据（公会长）</x:v>
      </x:c>
      <x:c r="E257" s="10" t="str">
        <x:v>逻辑校验</x:v>
      </x:c>
      <x:c r="F257" s="10" t="str">
        <x:v>P0</x:v>
      </x:c>
      <x:c r="G257" s="9" t="str">
        <x:v>验证主播月数据月礼物收益</x:v>
      </x:c>
      <x:c r="H257" s="9" t="str">
        <x:v>月礼物收益</x:v>
      </x:c>
      <x:c r="I257" s="9" t="str">
        <x:v>1. 当前执行账号具有公会App会话，身份为公会长；具体账号及权限变化按以下条件准备
2. A当月合格礼物收益100与50金币；其他月份200金币</x:v>
      </x:c>
      <x:c r="J257" s="9" t="str">
        <x:v>1. 打开A主播数据
2. 切换月数据
3. 选择本月</x:v>
      </x:c>
      <x:c r="K257" s="9" t="str">
        <x:v>当月金币收益=150金币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来源（当前证据）：liveshow-proto/MainBasis/统一需求文档.md；位置：第1991行、第1986行、第1987行
2. 规则：BR-1cc0ff39a3ce9605
3. 未动态验证</x:v>
      </x:c>
    </x:row>
    <x:row r="258" ht="85" customHeight="1">
      <x:c r="A258" s="10" t="n">
        <x:v>257</x:v>
      </x:c>
      <x:c r="B258" s="10" t="str">
        <x:v>GUILD-0257</x:v>
      </x:c>
      <x:c r="C258" s="10" t="str">
        <x:v>主播管理</x:v>
      </x:c>
      <x:c r="D258" s="10" t="str">
        <x:v>主播主页（公会长）</x:v>
      </x:c>
      <x:c r="E258" s="10" t="str">
        <x:v>逻辑校验</x:v>
      </x:c>
      <x:c r="F258" s="10" t="str">
        <x:v>P1</x:v>
      </x:c>
      <x:c r="G258" s="9" t="str">
        <x:v>验证主播详情累计净粉丝</x:v>
      </x:c>
      <x:c r="H258" s="9" t="str">
        <x:v>累计净粉丝</x:v>
      </x:c>
      <x:c r="I258" s="9" t="str">
        <x:v>1. 当前执行账号具有公会App会话，身份为公会长；具体账号及权限变化按以下条件准备
2. A历史新增关注5人、取消2人，无其他粉丝关系</x:v>
      </x:c>
      <x:c r="J258" s="9" t="str">
        <x:v>1. 打开A主播详情
2. 查看累计净粉丝</x:v>
      </x:c>
      <x:c r="K258" s="9" t="str">
        <x:v>累计净粉丝数=3人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来源（当前证据）：liveshow-proto/MainBasis/统一需求文档.md；位置：第2002行、第1996行、第1997行
2. 规则：BR-d8b2952f1b973c4a
3. 未动态验证</x:v>
      </x:c>
    </x:row>
    <x:row r="259" ht="85" customHeight="1">
      <x:c r="A259" s="10" t="n">
        <x:v>258</x:v>
      </x:c>
      <x:c r="B259" s="10" t="str">
        <x:v>GUILD-0258</x:v>
      </x:c>
      <x:c r="C259" s="10" t="str">
        <x:v>主播管理</x:v>
      </x:c>
      <x:c r="D259" s="10" t="str">
        <x:v>主播主页（公会长）</x:v>
      </x:c>
      <x:c r="E259" s="10" t="str">
        <x:v>逻辑校验</x:v>
      </x:c>
      <x:c r="F259" s="10" t="str">
        <x:v>P0</x:v>
      </x:c>
      <x:c r="G259" s="9" t="str">
        <x:v>验证主播详情历史礼物收益</x:v>
      </x:c>
      <x:c r="H259" s="9" t="str">
        <x:v>历史礼物收益</x:v>
      </x:c>
      <x:c r="I259" s="9" t="str">
        <x:v>1. 当前执行账号具有公会App会话，身份为公会长；具体账号及权限变化按以下条件准备
2. A历史合格收益100、200金币，运营虚拟赠礼500金币</x:v>
      </x:c>
      <x:c r="J259" s="9" t="str">
        <x:v>1. 打开A主播详情
2. 查看历史礼物收益</x:v>
      </x:c>
      <x:c r="K259" s="9" t="str">
        <x:v>总收益=300金币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来源（当前证据）：liveshow-proto/MainBasis/统一需求文档.md；位置：第2002行、第1996行、第1997行
2. 规则：BR-1a69e405f9bdd908
3. 未动态验证</x:v>
      </x:c>
    </x:row>
    <x:row r="260" ht="85" customHeight="1">
      <x:c r="A260" s="10" t="n">
        <x:v>259</x:v>
      </x:c>
      <x:c r="B260" s="10" t="str">
        <x:v>GUILD-0259</x:v>
      </x:c>
      <x:c r="C260" s="10" t="str">
        <x:v>主播管理</x:v>
      </x:c>
      <x:c r="D260" s="10" t="str">
        <x:v>主播主页（公会长）</x:v>
      </x:c>
      <x:c r="E260" s="10" t="str">
        <x:v>功能需求</x:v>
      </x:c>
      <x:c r="F260" s="10" t="str">
        <x:v>P1</x:v>
      </x:c>
      <x:c r="G260" s="9" t="str">
        <x:v>验证主播详情完成场次次数</x:v>
      </x:c>
      <x:c r="H260" s="9" t="str">
        <x:v>完成场次次数</x:v>
      </x:c>
      <x:c r="I260" s="9" t="str">
        <x:v>1. 当前执行账号具有公会App会话，身份为公会长；具体账号及权限变化按以下条件准备
2. A有两场已结束直播和一场正在直播</x:v>
      </x:c>
      <x:c r="J260" s="9" t="str">
        <x:v>1. 打开A主播详情
2. 查看完成场次次数</x:v>
      </x:c>
      <x:c r="K260" s="9" t="str">
        <x:v>直播次数=2次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来源（当前证据）：liveshow-proto/MainBasis/统一需求文档.md；位置：第2002行、第1996行、第1997行
2. 规则：BR-15cf7d23463923e9
3. 未动态验证</x:v>
      </x:c>
    </x:row>
    <x:row r="261" ht="85" customHeight="1">
      <x:c r="A261" s="10" t="n">
        <x:v>260</x:v>
      </x:c>
      <x:c r="B261" s="10" t="str">
        <x:v>GUILD-0260</x:v>
      </x:c>
      <x:c r="C261" s="10" t="str">
        <x:v>主播管理</x:v>
      </x:c>
      <x:c r="D261" s="10" t="str">
        <x:v>主播主页（公会长）</x:v>
      </x:c>
      <x:c r="E261" s="10" t="str">
        <x:v>逻辑校验</x:v>
      </x:c>
      <x:c r="F261" s="10" t="str">
        <x:v>P1</x:v>
      </x:c>
      <x:c r="G261" s="9" t="str">
        <x:v>验证主播详情完成场次时长</x:v>
      </x:c>
      <x:c r="H261" s="9" t="str">
        <x:v>完成场次时长</x:v>
      </x:c>
      <x:c r="I261" s="9" t="str">
        <x:v>1. 当前执行账号具有公会App会话，身份为公会长；具体账号及权限变化按以下条件准备
2. A两场已结束时长30和40分钟，当前另有在播10分钟</x:v>
      </x:c>
      <x:c r="J261" s="9" t="str">
        <x:v>1. 打开A主播详情
2. 查看完成场次时长</x:v>
      </x:c>
      <x:c r="K261" s="9" t="str">
        <x:v>直播时长=70分钟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来源（当前证据）：liveshow-proto/MainBasis/统一需求文档.md；位置：第2002行、第1996行、第1997行
2. 规则：BR-28f62e18bbbc0f05
3. 未动态验证</x:v>
      </x:c>
    </x:row>
    <x:row r="262" ht="85" customHeight="1">
      <x:c r="A262" s="10" t="n">
        <x:v>261</x:v>
      </x:c>
      <x:c r="B262" s="10" t="str">
        <x:v>GUILD-0261</x:v>
      </x:c>
      <x:c r="C262" s="10" t="str">
        <x:v>主播管理</x:v>
      </x:c>
      <x:c r="D262" s="10" t="str">
        <x:v>主播主页（公会长）</x:v>
      </x:c>
      <x:c r="E262" s="10" t="str">
        <x:v>逻辑校验</x:v>
      </x:c>
      <x:c r="F262" s="10" t="str">
        <x:v>P1</x:v>
      </x:c>
      <x:c r="G262" s="9" t="str">
        <x:v>验证主播详情跨类型违规计数</x:v>
      </x:c>
      <x:c r="H262" s="9" t="str">
        <x:v>跨类型违规计数</x:v>
      </x:c>
      <x:c r="I262" s="9" t="str">
        <x:v>1. 当前执行账号具有公会App会话，身份为公会长；具体账号及权限变化按以下条件准备
2. A有直播间违规2条、账号违规3条</x:v>
      </x:c>
      <x:c r="J262" s="9" t="str">
        <x:v>1. 打开A主播详情
2. 查看跨类型违规计数</x:v>
      </x:c>
      <x:c r="K262" s="9" t="str">
        <x:v>累计违规=5条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来源（当前证据）：liveshow-proto/MainBasis/统一需求文档.md；位置：第2002行、第1996行、第1997行
2. 规则：BR-74a3762aa9d86074
3. 未动态验证</x:v>
      </x:c>
    </x:row>
    <x:row r="263" ht="85" customHeight="1">
      <x:c r="A263" s="10" t="n">
        <x:v>262</x:v>
      </x:c>
      <x:c r="B263" s="10" t="str">
        <x:v>GUILD-0262</x:v>
      </x:c>
      <x:c r="C263" s="10" t="str">
        <x:v>运营管理</x:v>
      </x:c>
      <x:c r="D263" s="10" t="str">
        <x:v>运营消息详情（公会长）</x:v>
      </x:c>
      <x:c r="E263" s="10" t="str">
        <x:v>功能需求</x:v>
      </x:c>
      <x:c r="F263" s="10" t="str">
        <x:v>P1</x:v>
      </x:c>
      <x:c r="G263" s="9" t="str">
        <x:v>验证指定主播消息接收人数</x:v>
      </x:c>
      <x:c r="H263" s="9" t="str">
        <x:v>指定发送人数</x:v>
      </x:c>
      <x:c r="I263" s="9" t="str">
        <x:v>1. 当前执行账号具有公会App会话，身份为公会长；具体账号及权限变化按以下条件准备
2. M1发送对象为指定主播A且发送成功；同公会另有B</x:v>
      </x:c>
      <x:c r="J263" s="9" t="str">
        <x:v>1. 打开M1消息详情
2. 查看发送对象</x:v>
      </x:c>
      <x:c r="K263" s="9" t="str">
        <x:v>实际接收人数显示1人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来源（当前证据）：liveshow-proto/MainBasis/统一需求文档.md；位置：第2034行、第2032行、第2033行
2. 规则：BR-a1b6eaba501a32a3
3. 未动态验证</x:v>
      </x:c>
    </x:row>
    <x:row r="264" ht="100" customHeight="1">
      <x:c r="A264" s="10" t="n">
        <x:v>263</x:v>
      </x:c>
      <x:c r="B264" s="10" t="str">
        <x:v>GUILD-0263</x:v>
      </x:c>
      <x:c r="C264" s="10" t="str">
        <x:v>运营管理</x:v>
      </x:c>
      <x:c r="D264" s="10" t="str">
        <x:v>运营账号（公会长）</x:v>
      </x:c>
      <x:c r="E264" s="10" t="str">
        <x:v>逻辑校验</x:v>
      </x:c>
      <x:c r="F264" s="10" t="str">
        <x:v>P1</x:v>
      </x:c>
      <x:c r="G264" s="9" t="str">
        <x:v>验证运营账号列表只计本月成功虚拟消费</x:v>
      </x:c>
      <x:c r="H264" s="9" t="str">
        <x:v>虚拟消费月范围</x:v>
      </x:c>
      <x:c r="I264" s="9" t="str">
        <x:v>1. 当前执行账号具有公会App会话，身份为公会长；具体账号及权限变化按以下条件准备
2. 运营账号A本月成功送礼100、200虚拟金币，失败50，上月300</x:v>
      </x:c>
      <x:c r="J264" s="9" t="str">
        <x:v>1. 打开运营账号列表
2. 查看A本月消费</x:v>
      </x:c>
      <x:c r="K264" s="9" t="str">
        <x:v>本月消费=300虚拟金币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来源（当前证据）：liveshow-proto/MainBasis/统一需求文档.md；位置：第2045行、第2040行、第2041行
2. 规则：BR-0739156e662343bc
3. 未动态验证</x:v>
      </x:c>
    </x:row>
    <x:row r="265" ht="160" customHeight="1">
      <x:c r="A265" s="10" t="n">
        <x:v>264</x:v>
      </x:c>
      <x:c r="B265" s="10" t="str">
        <x:v>GUILD-0264</x:v>
      </x:c>
      <x:c r="C265" s="10" t="str">
        <x:v>运营管理</x:v>
      </x:c>
      <x:c r="D265" s="10" t="str">
        <x:v>创建运营账号（公会长）</x:v>
      </x:c>
      <x:c r="E265" s="10" t="str">
        <x:v>功能需求</x:v>
      </x:c>
      <x:c r="F265" s="10" t="str">
        <x:v>P1</x:v>
      </x:c>
      <x:c r="G265" s="9" t="str">
        <x:v>验证创建运营账号默认启用</x:v>
      </x:c>
      <x:c r="H265" s="9" t="str">
        <x:v>新账号默认状态</x:v>
      </x:c>
      <x:c r="I265" s="9" t="str">
        <x:v>1. 当前执行账号具有公会App会话，身份为公会长；具体账号及权限变化按以下条件准备
2. 公会G有创建权限与可用额度；名称运营甲、账号opqa001未被使用；密码Ab1234；初始发币0
3. 有效头像文件qa-avatar.png已准备，并随本例账号资料填写上传</x:v>
      </x:c>
      <x:c r="J265" s="9" t="str">
        <x:v>1. 打开新增运营账号
2. 填写前置条件中的有效账号资料
3. 点击“确认创建”
4. 查看新账号状态</x:v>
      </x:c>
      <x:c r="K265" s="9" t="str">
        <x:v>新运营账号状态为启用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来源（当前证据）：liveshow-proto/MainBasis/统一需求文档.md；位置：第2058行、第2051行、第2052行
2. 规则：BR-27b1e2a5e5f9cc14
3. 未动态验证</x:v>
      </x:c>
    </x:row>
    <x:row r="266" ht="85" customHeight="1">
      <x:c r="A266" s="10" t="n">
        <x:v>265</x:v>
      </x:c>
      <x:c r="B266" s="10" t="str">
        <x:v>GUILD-0265</x:v>
      </x:c>
      <x:c r="C266" s="10" t="str">
        <x:v>公会管理</x:v>
      </x:c>
      <x:c r="D266" s="10" t="str">
        <x:v>修改密码（公会长）</x:v>
      </x:c>
      <x:c r="E266" s="10" t="str">
        <x:v>功能需求</x:v>
      </x:c>
      <x:c r="F266" s="10" t="str">
        <x:v>P1</x:v>
      </x:c>
      <x:c r="G266" s="9" t="str">
        <x:v>验证公会修改密码当前密码必填</x:v>
      </x:c>
      <x:c r="H266" s="9" t="str">
        <x:v>当前密码必填</x:v>
      </x:c>
      <x:c r="I266" s="9" t="str">
        <x:v>1. 当前执行账号具有公会App会话，身份为公会长；具体账号及权限变化按以下条件准备
2. 当前密码OldPass12；新密码与确认密码NewPass12</x:v>
      </x:c>
      <x:c r="J266" s="9" t="str">
        <x:v>1. 打开修改密码
2. 清空当前密码
3. 输入新密码与确认密码“NewPass12”
4. 点击“保存”</x:v>
      </x:c>
      <x:c r="K266" s="9" t="str">
        <x:v>不更新当前账号密码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来源（当前证据）：liveshow-proto/MainBasis/统一需求文档.md；位置：第2106行、第2104行、第2105行
2. 规则：BR-532800c337351655
3. 未动态验证</x:v>
      </x:c>
    </x:row>
    <x:row r="267" ht="85" customHeight="1">
      <x:c r="A267" s="10" t="n">
        <x:v>266</x:v>
      </x:c>
      <x:c r="B267" s="10" t="str">
        <x:v>GUILD-0266</x:v>
      </x:c>
      <x:c r="C267" s="10" t="str">
        <x:v>数据与收益</x:v>
      </x:c>
      <x:c r="D267" s="10" t="str">
        <x:v>直播记录（公会长）</x:v>
      </x:c>
      <x:c r="E267" s="10" t="str">
        <x:v>逻辑校验</x:v>
      </x:c>
      <x:c r="F267" s="10" t="str">
        <x:v>P1</x:v>
      </x:c>
      <x:c r="G267" s="9" t="str">
        <x:v>验证公会场次收礼按件数累加</x:v>
      </x:c>
      <x:c r="H267" s="9" t="str">
        <x:v>成功收礼件数</x:v>
      </x:c>
      <x:c r="I267" s="9" t="str">
        <x:v>1. 当前执行账号具有公会App会话，身份为公会长；具体账号及权限变化按以下条件准备
2. 场次S成功收到2笔礼物，数量2件和3件；另有失败赠送4件</x:v>
      </x:c>
      <x:c r="J267" s="9" t="str">
        <x:v>1. 打开直播记录
2. 查看场次S的收礼数量</x:v>
      </x:c>
      <x:c r="K267" s="9" t="str">
        <x:v>收礼数量=5件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来源（当前证据）：liveshow-proto/MainBasis/统一需求文档.md；位置：第2118行、第2111行、第2112行
2. 规则：BR-a4f270b1da227488
3. 未动态验证</x:v>
      </x:c>
    </x:row>
    <x:row r="268" ht="85" customHeight="1">
      <x:c r="A268" s="10" t="n">
        <x:v>267</x:v>
      </x:c>
      <x:c r="B268" s="10" t="str">
        <x:v>GUILD-0267</x:v>
      </x:c>
      <x:c r="C268" s="10" t="str">
        <x:v>数据与收益</x:v>
      </x:c>
      <x:c r="D268" s="10" t="str">
        <x:v>直播场次详情（公会长）</x:v>
      </x:c>
      <x:c r="E268" s="10" t="str">
        <x:v>功能需求</x:v>
      </x:c>
      <x:c r="F268" s="10" t="str">
        <x:v>P0</x:v>
      </x:c>
      <x:c r="G268" s="9" t="str">
        <x:v>验证公会场次收益排除运营送礼</x:v>
      </x:c>
      <x:c r="H268" s="9" t="str">
        <x:v>虚拟与真实收益隔离</x:v>
      </x:c>
      <x:c r="I268" s="9" t="str">
        <x:v>1. 当前执行账号具有公会App会话，身份为公会长；具体账号及权限变化按以下条件准备
2. 场次S真实普通礼物收益100金币、运营虚拟送礼200金币</x:v>
      </x:c>
      <x:c r="J268" s="9" t="str">
        <x:v>1. 打开直播场次详情
2. 查看场次S的收益</x:v>
      </x:c>
      <x:c r="K268" s="9" t="str">
        <x:v>场次收益=100金币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来源（当前证据）：liveshow-proto/MainBasis/统一需求文档.md；位置：第2129行、第2122行、第2123行
2. 规则：BR-5997e829a343e610
3. 未动态验证</x:v>
      </x:c>
    </x:row>
    <x:row r="269" ht="85" customHeight="1">
      <x:c r="A269" s="10" t="n">
        <x:v>268</x:v>
      </x:c>
      <x:c r="B269" s="10" t="str">
        <x:v>GUILD-0268</x:v>
      </x:c>
      <x:c r="C269" s="10" t="str">
        <x:v>数据与收益</x:v>
      </x:c>
      <x:c r="D269" s="10" t="str">
        <x:v>公会业绩（公会长）</x:v>
      </x:c>
      <x:c r="E269" s="10" t="str">
        <x:v>逻辑校验</x:v>
      </x:c>
      <x:c r="F269" s="10" t="str">
        <x:v>P0</x:v>
      </x:c>
      <x:c r="G269" s="9" t="str">
        <x:v>验证公会业绩计算历史公会收益</x:v>
      </x:c>
      <x:c r="H269" s="9" t="str">
        <x:v>历史公会收益</x:v>
      </x:c>
      <x:c r="I269" s="9" t="str">
        <x:v>1. 当前执行账号具有公会App会话，身份为公会长；具体账号及权限变化按以下条件准备
2. G各月计入收益分别100、200金币</x:v>
      </x:c>
      <x:c r="J269" s="9" t="str">
        <x:v>1. 打开公会业绩
2. 查看历史公会收益</x:v>
      </x:c>
      <x:c r="K269" s="9" t="str">
        <x:v>公会收益=300金币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来源（当前证据）：liveshow-proto/MainBasis/统一需求文档.md；位置：第2146行、第2143行、第2144行
2. 规则：BR-58f43689493510ae
3. 未动态验证</x:v>
      </x:c>
    </x:row>
    <x:row r="270" ht="85" customHeight="1">
      <x:c r="A270" s="10" t="n">
        <x:v>269</x:v>
      </x:c>
      <x:c r="B270" s="10" t="str">
        <x:v>GUILD-0269</x:v>
      </x:c>
      <x:c r="C270" s="10" t="str">
        <x:v>数据与收益</x:v>
      </x:c>
      <x:c r="D270" s="10" t="str">
        <x:v>公会业绩（公会长）</x:v>
      </x:c>
      <x:c r="E270" s="10" t="str">
        <x:v>逻辑校验</x:v>
      </x:c>
      <x:c r="F270" s="10" t="str">
        <x:v>P1</x:v>
      </x:c>
      <x:c r="G270" s="9" t="str">
        <x:v>验证公会业绩计算累计创建场次</x:v>
      </x:c>
      <x:c r="H270" s="9" t="str">
        <x:v>累计创建场次</x:v>
      </x:c>
      <x:c r="I270" s="9" t="str">
        <x:v>1. 当前执行账号具有公会App会话，身份为公会长；具体账号及权限变化按以下条件准备
2. G历史已结束2场、当前正在直播1场</x:v>
      </x:c>
      <x:c r="J270" s="9" t="str">
        <x:v>1. 打开公会业绩
2. 查看累计创建场次</x:v>
      </x:c>
      <x:c r="K270" s="9" t="str">
        <x:v>直播场次=3场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来源（当前证据）：liveshow-proto/MainBasis/统一需求文档.md；位置：第2146行、第2143行、第2144行
2. 规则：BR-29716156bece5c47
3. 未动态验证</x:v>
      </x:c>
    </x:row>
    <x:row r="271" ht="85" customHeight="1">
      <x:c r="A271" s="10" t="n">
        <x:v>270</x:v>
      </x:c>
      <x:c r="B271" s="10" t="str">
        <x:v>GUILD-0270</x:v>
      </x:c>
      <x:c r="C271" s="10" t="str">
        <x:v>数据与收益</x:v>
      </x:c>
      <x:c r="D271" s="10" t="str">
        <x:v>公会业绩（公会长）</x:v>
      </x:c>
      <x:c r="E271" s="10" t="str">
        <x:v>功能需求</x:v>
      </x:c>
      <x:c r="F271" s="10" t="str">
        <x:v>P1</x:v>
      </x:c>
      <x:c r="G271" s="9" t="str">
        <x:v>验证公会业绩计算历史开播去重人数</x:v>
      </x:c>
      <x:c r="H271" s="9" t="str">
        <x:v>历史开播去重人数</x:v>
      </x:c>
      <x:c r="I271" s="9" t="str">
        <x:v>1. 当前执行账号具有公会App会话，身份为公会长；具体账号及权限变化按以下条件准备
2. A完成2场、B完成1场、C仅在播未完成；无其他主播</x:v>
      </x:c>
      <x:c r="J271" s="9" t="str">
        <x:v>1. 打开公会业绩
2. 查看历史开播去重人数</x:v>
      </x:c>
      <x:c r="K271" s="9" t="str">
        <x:v>开播人数=2人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来源（当前证据）：liveshow-proto/MainBasis/统一需求文档.md；位置：第2146行、第2143行、第2144行
2. 规则：BR-1366e292583b27a8
3. 未动态验证</x:v>
      </x:c>
    </x:row>
    <x:row r="272" ht="85" customHeight="1">
      <x:c r="A272" s="10" t="n">
        <x:v>271</x:v>
      </x:c>
      <x:c r="B272" s="10" t="str">
        <x:v>GUILD-0271</x:v>
      </x:c>
      <x:c r="C272" s="10" t="str">
        <x:v>数据与收益</x:v>
      </x:c>
      <x:c r="D272" s="10" t="str">
        <x:v>公会业绩（公会长）</x:v>
      </x:c>
      <x:c r="E272" s="10" t="str">
        <x:v>逻辑校验</x:v>
      </x:c>
      <x:c r="F272" s="10" t="str">
        <x:v>P1</x:v>
      </x:c>
      <x:c r="G272" s="9" t="str">
        <x:v>验证公会业绩计算历史有效天合计</x:v>
      </x:c>
      <x:c r="H272" s="9" t="str">
        <x:v>历史有效天合计</x:v>
      </x:c>
      <x:c r="I272" s="9" t="str">
        <x:v>1. 当前执行账号具有公会App会话，身份为公会长；具体账号及权限变化按以下条件准备
2. A历史2个有效天，B历史3个有效天；无其他主播</x:v>
      </x:c>
      <x:c r="J272" s="9" t="str">
        <x:v>1. 打开公会业绩
2. 查看历史有效天合计</x:v>
      </x:c>
      <x:c r="K272" s="9" t="str">
        <x:v>达成有效天=5天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来源（当前证据）：liveshow-proto/MainBasis/统一需求文档.md；位置：第2146行、第2143行、第2144行
2. 规则：BR-aace3560dc22f89a
3. 未动态验证</x:v>
      </x:c>
    </x:row>
    <x:row r="273" ht="85" customHeight="1">
      <x:c r="A273" s="10" t="n">
        <x:v>272</x:v>
      </x:c>
      <x:c r="B273" s="10" t="str">
        <x:v>GUILD-0272</x:v>
      </x:c>
      <x:c r="C273" s="10" t="str">
        <x:v>数据与收益</x:v>
      </x:c>
      <x:c r="D273" s="10" t="str">
        <x:v>公会业绩（公会长）</x:v>
      </x:c>
      <x:c r="E273" s="10" t="str">
        <x:v>功能需求</x:v>
      </x:c>
      <x:c r="F273" s="10" t="str">
        <x:v>P1</x:v>
      </x:c>
      <x:c r="G273" s="9" t="str">
        <x:v>验证公会业绩日数据默认本月</x:v>
      </x:c>
      <x:c r="H273" s="9" t="str">
        <x:v>日数据默认范围</x:v>
      </x:c>
      <x:c r="I273" s="9" t="str">
        <x:v>1. 当前执行账号具有公会App会话，身份为公会长；具体账号及权限变化按以下条件准备
2. 当前业务日期2026-09-14；当月及上月均有业绩记录</x:v>
      </x:c>
      <x:c r="J273" s="9" t="str">
        <x:v>1. 打开公会业绩
2. 切换日数据</x:v>
      </x:c>
      <x:c r="K273" s="9" t="str">
        <x:v>日期筛选默认本月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来源（当前证据）：liveshow-proto/MainBasis/统一需求文档.md；位置：第2145行、第2143行、第2144行
2. 规则：BR-f264107edd5737a7
3. 未动态验证</x:v>
      </x:c>
    </x:row>
    <x:row r="274" ht="85" customHeight="1">
      <x:c r="A274" s="10" t="n">
        <x:v>273</x:v>
      </x:c>
      <x:c r="B274" s="10" t="str">
        <x:v>GUILD-0273</x:v>
      </x:c>
      <x:c r="C274" s="10" t="str">
        <x:v>数据与收益</x:v>
      </x:c>
      <x:c r="D274" s="10" t="str">
        <x:v>公会业绩（公会长）</x:v>
      </x:c>
      <x:c r="E274" s="10" t="str">
        <x:v>功能需求</x:v>
      </x:c>
      <x:c r="F274" s="10" t="str">
        <x:v>P1</x:v>
      </x:c>
      <x:c r="G274" s="9" t="str">
        <x:v>验证公会业绩指标卡切换趋势</x:v>
      </x:c>
      <x:c r="H274" s="9" t="str">
        <x:v>趋势指标切换</x:v>
      </x:c>
      <x:c r="I274" s="9" t="str">
        <x:v>1. 当前执行账号具有公会App会话，身份为公会长；具体账号及权限变化按以下条件准备
2. G范围内收益、场次指标各有不同数据</x:v>
      </x:c>
      <x:c r="J274" s="9" t="str">
        <x:v>1. 打开公会业绩
2. 点击“直播场次”指标卡</x:v>
      </x:c>
      <x:c r="K274" s="9" t="str">
        <x:v>趋势显示直播场次指标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来源（当前证据）：liveshow-proto/MainBasis/统一需求文档.md；位置：第2150行、第2143行、第2144行
2. 规则：BR-d3f74ec06e8cbf2d
3. 未动态验证</x:v>
      </x:c>
    </x:row>
    <x:row r="275" ht="85" customHeight="1">
      <x:c r="A275" s="10" t="n">
        <x:v>274</x:v>
      </x:c>
      <x:c r="B275" s="10" t="str">
        <x:v>GUILD-0274</x:v>
      </x:c>
      <x:c r="C275" s="10" t="str">
        <x:v>数据与收益</x:v>
      </x:c>
      <x:c r="D275" s="10" t="str">
        <x:v>每日（公会长）</x:v>
      </x:c>
      <x:c r="E275" s="10" t="str">
        <x:v>功能需求</x:v>
      </x:c>
      <x:c r="F275" s="10" t="str">
        <x:v>P1</x:v>
      </x:c>
      <x:c r="G275" s="9" t="str">
        <x:v>验证公会每日按开播状态过滤</x:v>
      </x:c>
      <x:c r="H275" s="9" t="str">
        <x:v>开播状态过滤</x:v>
      </x:c>
      <x:c r="I275" s="9" t="str">
        <x:v>1. 当前执行账号具有公会App会话，身份为公会长；具体账号及权限变化按以下条件准备
2. 当前日期D，A正在直播、B已结束直播</x:v>
      </x:c>
      <x:c r="J275" s="9" t="str">
        <x:v>1. 打开D经营详情
2. 切换“直播中”</x:v>
      </x:c>
      <x:c r="K275" s="9" t="str">
        <x:v>主播列表仅显示A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来源（当前证据）：liveshow-proto/MainBasis/统一需求文档.md；位置：第2159行、第2153行、第2154行
2. 规则：BR-d52ef2b6857639c3
3. 未动态验证</x:v>
      </x:c>
    </x:row>
    <x:row r="276" ht="85" customHeight="1">
      <x:c r="A276" s="10" t="n">
        <x:v>275</x:v>
      </x:c>
      <x:c r="B276" s="10" t="str">
        <x:v>GUILD-0275</x:v>
      </x:c>
      <x:c r="C276" s="10" t="str">
        <x:v>数据与收益</x:v>
      </x:c>
      <x:c r="D276" s="10" t="str">
        <x:v>每日（公会长）</x:v>
      </x:c>
      <x:c r="E276" s="10" t="str">
        <x:v>功能需求</x:v>
      </x:c>
      <x:c r="F276" s="10" t="str">
        <x:v>P1</x:v>
      </x:c>
      <x:c r="G276" s="9" t="str">
        <x:v>验证每日主播联查继承日期</x:v>
      </x:c>
      <x:c r="H276" s="9" t="str">
        <x:v>每日联查参数</x:v>
      </x:c>
      <x:c r="I276" s="9" t="str">
        <x:v>1. 当前执行账号具有公会App会话，身份为公会长；具体账号及权限变化按以下条件准备
2. 当前公会G的2026-09-13经营详情中存在主播A</x:v>
      </x:c>
      <x:c r="J276" s="9" t="str">
        <x:v>1. 打开该日期经营详情
2. 点击主播A</x:v>
      </x:c>
      <x:c r="K276" s="9" t="str">
        <x:v>进入A的主播数据并带入2026-09-13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来源（当前证据）：liveshow-proto/MainBasis/统一需求文档.md；位置：第2159行、第2153行、第2154行
2. 规则：BR-d6aaee75d184a7ec
3. 未动态验证</x:v>
      </x:c>
    </x:row>
    <x:row r="277" ht="115" customHeight="1">
      <x:c r="A277" s="10" t="n">
        <x:v>276</x:v>
      </x:c>
      <x:c r="B277" s="10" t="str">
        <x:v>GUILD-0276</x:v>
      </x:c>
      <x:c r="C277" s="10" t="str">
        <x:v>数据与收益</x:v>
      </x:c>
      <x:c r="D277" s="10" t="str">
        <x:v>选择主播（公会长）</x:v>
      </x:c>
      <x:c r="E277" s="10" t="str">
        <x:v>功能需求</x:v>
      </x:c>
      <x:c r="F277" s="10" t="str">
        <x:v>P1</x:v>
      </x:c>
      <x:c r="G277" s="9" t="str">
        <x:v>验证违规主播选择实时计数</x:v>
      </x:c>
      <x:c r="H277" s="9" t="str">
        <x:v>多选人数</x:v>
      </x:c>
      <x:c r="I277" s="9" t="str">
        <x:v>1. 当前执行账号具有公会App会话，身份为公会长；具体账号及权限变化按以下条件准备
2. 可选主播A、B、C，初始未选择
3. 从公会违规记录的主播筛选进入本选择器</x:v>
      </x:c>
      <x:c r="J277" s="9" t="str">
        <x:v>1. 打开违规记录的选择主播
2. 选择A
3. 选择B
4. 查看已选人数</x:v>
      </x:c>
      <x:c r="K277" s="9" t="str">
        <x:v>已选人数显示2人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来源（当前证据）：liveshow-proto/MainBasis/统一需求文档.md；位置：第2180行、第2177行、第2178行
2. 规则：BR-4fe5889f65fe384b
3. 未动态验证</x:v>
      </x:c>
    </x:row>
    <x:row r="278" ht="100" customHeight="1">
      <x:c r="A278" s="10" t="n">
        <x:v>277</x:v>
      </x:c>
      <x:c r="B278" s="10" t="str">
        <x:v>GUILD-0277</x:v>
      </x:c>
      <x:c r="C278" s="10" t="str">
        <x:v>公会账号</x:v>
      </x:c>
      <x:c r="D278" s="10" t="str">
        <x:v>选择公会（公会长）</x:v>
      </x:c>
      <x:c r="E278" s="10" t="str">
        <x:v>功能需求</x:v>
      </x:c>
      <x:c r="F278" s="10" t="str">
        <x:v>P1</x:v>
      </x:c>
      <x:c r="G278" s="9" t="str">
        <x:v>验证选择公会中公会名称对应当前记录</x:v>
      </x:c>
      <x:c r="H278" s="9" t="str">
        <x:v>公会名称</x:v>
      </x:c>
      <x:c r="I278" s="9" t="str">
        <x:v>1. 当前执行账号具有公会App会话，身份为公会长；具体账号及权限变化按以下条件准备
2. 本页范围内测试记录A的“公会名称”为测试A；另有同类型记录B，字段值不同</x:v>
      </x:c>
      <x:c r="J278" s="9" t="str">
        <x:v>1. 打开选择公会
2. 查看记录A的“公会名称”</x:v>
      </x:c>
      <x:c r="K278" s="9" t="str">
        <x:v>“公会名称”显示记录A的数据准备值，不串用记录B的数据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来源（当前证据）：liveshow-proto/MainBasis/统一需求文档.md；位置：第1895行、第1892行、第1893行
2. 规则：BR-e5a3e1cc3f34130a
3. 未动态验证</x:v>
      </x:c>
    </x:row>
    <x:row r="279" ht="115" customHeight="1">
      <x:c r="A279" s="10" t="n">
        <x:v>278</x:v>
      </x:c>
      <x:c r="B279" s="10" t="str">
        <x:v>GUILD-0278</x:v>
      </x:c>
      <x:c r="C279" s="10" t="str">
        <x:v>公会账号</x:v>
      </x:c>
      <x:c r="D279" s="10" t="str">
        <x:v>选择公会（公会长）</x:v>
      </x:c>
      <x:c r="E279" s="10" t="str">
        <x:v>功能需求</x:v>
      </x:c>
      <x:c r="F279" s="10" t="str">
        <x:v>P1</x:v>
      </x:c>
      <x:c r="G279" s="9" t="str">
        <x:v>验证选择公会中公会 ID对应当前记录</x:v>
      </x:c>
      <x:c r="H279" s="9" t="str">
        <x:v>公会 ID</x:v>
      </x:c>
      <x:c r="I279" s="9" t="str">
        <x:v>1. 当前执行账号具有公会App会话，身份为公会长；具体账号及权限变化按以下条件准备
2. 本页范围内测试记录A的“公会 ID”为数据准备记录A的实际系统编号；另有同类型记录B，字段值不同</x:v>
      </x:c>
      <x:c r="J279" s="9" t="str">
        <x:v>1. 打开选择公会
2. 查看记录A的“公会 ID”</x:v>
      </x:c>
      <x:c r="K279" s="9" t="str">
        <x:v>“公会 ID”显示记录A的数据准备值，不串用记录B的数据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来源（当前证据）：liveshow-proto/MainBasis/统一需求文档.md；位置：第1895行、第1892行、第1893行
2. 规则：BR-4be4ccb22b936df2
3. 未动态验证</x:v>
      </x:c>
    </x:row>
    <x:row r="280" ht="160" customHeight="1">
      <x:c r="A280" s="10" t="n">
        <x:v>279</x:v>
      </x:c>
      <x:c r="B280" s="10" t="str">
        <x:v>GUILD-0279</x:v>
      </x:c>
      <x:c r="C280" s="10" t="str">
        <x:v>公会首页</x:v>
      </x:c>
      <x:c r="D280" s="10" t="str">
        <x:v>通知消息（公会长）</x:v>
      </x:c>
      <x:c r="E280" s="10" t="str">
        <x:v>功能需求</x:v>
      </x:c>
      <x:c r="F280" s="10" t="str">
        <x:v>P1</x:v>
      </x:c>
      <x:c r="G280" s="9" t="str">
        <x:v>验证通知消息中已读状态对应当前记录</x:v>
      </x:c>
      <x:c r="H280" s="9" t="str">
        <x:v>已读状态</x:v>
      </x:c>
      <x:c r="I280" s="9" t="str">
        <x:v>1. 当前执行账号具有公会App会话，身份为公会长；具体账号及权限变化按以下条件准备
2. 本页范围内测试记录A的“已读状态”为记录A创建时实际选择的有效枚举值（保存该值供对照）；另有同类型记录B，字段值不同
3. 公会通知A未进入详情阅读，B已阅读；本次只进入列表</x:v>
      </x:c>
      <x:c r="J280" s="9" t="str">
        <x:v>1. 打开通知消息
2. 查看记录A的“已读状态”</x:v>
      </x:c>
      <x:c r="K280" s="9" t="str">
        <x:v>通知A仍显示未读标记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来源（当前证据）：liveshow-proto/MainBasis/统一需求文档.md；位置：第1913行、第1908行、第1909行
2. 规则：BR-0ca93786d618d28d
3. 未动态验证</x:v>
      </x:c>
    </x:row>
    <x:row r="281" ht="115" customHeight="1">
      <x:c r="A281" s="10" t="n">
        <x:v>280</x:v>
      </x:c>
      <x:c r="B281" s="10" t="str">
        <x:v>GUILD-0280</x:v>
      </x:c>
      <x:c r="C281" s="10" t="str">
        <x:v>公会首页</x:v>
      </x:c>
      <x:c r="D281" s="10" t="str">
        <x:v>通知详情（公会长）</x:v>
      </x:c>
      <x:c r="E281" s="10" t="str">
        <x:v>功能需求</x:v>
      </x:c>
      <x:c r="F281" s="10" t="str">
        <x:v>P1</x:v>
      </x:c>
      <x:c r="G281" s="9" t="str">
        <x:v>验证通知详情中发送时间对应当前记录</x:v>
      </x:c>
      <x:c r="H281" s="9" t="str">
        <x:v>发送时间</x:v>
      </x:c>
      <x:c r="I281" s="9" t="str">
        <x:v>1. 当前执行账号具有公会App会话，身份为公会长；具体账号及权限变化按以下条件准备
2. 本页范围内测试记录A的“发送时间”为2026-09-14 10:00；另有同类型记录B，字段值不同</x:v>
      </x:c>
      <x:c r="J281" s="9" t="str">
        <x:v>1. 打开通知详情
2. 查看记录A的“发送时间”</x:v>
      </x:c>
      <x:c r="K281" s="9" t="str">
        <x:v>“发送时间”显示记录A的数据准备值，不串用记录B的数据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来源（当前证据）：liveshow-proto/MainBasis/统一需求文档.md；位置：第1923行、第1920行、第1921行
2. 规则：BR-5e91127ea50b523d
3. 未动态验证</x:v>
      </x:c>
    </x:row>
    <x:row r="282" ht="100" customHeight="1">
      <x:c r="A282" s="10" t="n">
        <x:v>281</x:v>
      </x:c>
      <x:c r="B282" s="10" t="str">
        <x:v>GUILD-0281</x:v>
      </x:c>
      <x:c r="C282" s="10" t="str">
        <x:v>公会首页</x:v>
      </x:c>
      <x:c r="D282" s="10" t="str">
        <x:v>通知详情（公会长）</x:v>
      </x:c>
      <x:c r="E282" s="10" t="str">
        <x:v>功能需求</x:v>
      </x:c>
      <x:c r="F282" s="10" t="str">
        <x:v>P1</x:v>
      </x:c>
      <x:c r="G282" s="9" t="str">
        <x:v>验证通知详情中正文对应当前记录</x:v>
      </x:c>
      <x:c r="H282" s="9" t="str">
        <x:v>正文</x:v>
      </x:c>
      <x:c r="I282" s="9" t="str">
        <x:v>1. 当前执行账号具有公会App会话，身份为公会长；具体账号及权限变化按以下条件准备
2. 本页范围内测试记录A的“正文”为测试说明A；另有同类型记录B，字段值不同</x:v>
      </x:c>
      <x:c r="J282" s="9" t="str">
        <x:v>1. 打开通知详情
2. 查看记录A的“正文”</x:v>
      </x:c>
      <x:c r="K282" s="9" t="str">
        <x:v>“正文”显示记录A的数据准备值，不串用记录B的数据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来源（当前证据）：liveshow-proto/MainBasis/统一需求文档.md；位置：第1924行、第1920行、第1921行
2. 规则：BR-ae8c0f8ce652f667
3. 未动态验证</x:v>
      </x:c>
    </x:row>
    <x:row r="283" ht="115" customHeight="1">
      <x:c r="A283" s="10" t="n">
        <x:v>282</x:v>
      </x:c>
      <x:c r="B283" s="10" t="str">
        <x:v>GUILD-0282</x:v>
      </x:c>
      <x:c r="C283" s="10" t="str">
        <x:v>审批管理</x:v>
      </x:c>
      <x:c r="D283" s="10" t="str">
        <x:v>入会申请（公会长）</x:v>
      </x:c>
      <x:c r="E283" s="10" t="str">
        <x:v>功能需求</x:v>
      </x:c>
      <x:c r="F283" s="10" t="str">
        <x:v>P1</x:v>
      </x:c>
      <x:c r="G283" s="9" t="str">
        <x:v>验证入会申请中用户 ID对应当前记录</x:v>
      </x:c>
      <x:c r="H283" s="9" t="str">
        <x:v>用户 ID</x:v>
      </x:c>
      <x:c r="I283" s="9" t="str">
        <x:v>1. 当前执行账号具有公会App会话，身份为公会长；具体账号及权限变化按以下条件准备
2. 本页范围内测试记录A的“用户 ID”为数据准备记录A的实际系统编号；另有同类型记录B，字段值不同</x:v>
      </x:c>
      <x:c r="J283" s="9" t="str">
        <x:v>1. 打开入会申请
2. 查看记录A的“用户 ID”</x:v>
      </x:c>
      <x:c r="K283" s="9" t="str">
        <x:v>“用户 ID”显示记录A的数据准备值，不串用记录B的数据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来源（当前证据）：liveshow-proto/MainBasis/统一需求文档.md；位置：第1930行、第1928行、第1929行
2. 规则：BR-59e1a67cbc2767f2
3. 未动态验证</x:v>
      </x:c>
    </x:row>
    <x:row r="284" ht="115" customHeight="1">
      <x:c r="A284" s="10" t="n">
        <x:v>283</x:v>
      </x:c>
      <x:c r="B284" s="10" t="str">
        <x:v>GUILD-0283</x:v>
      </x:c>
      <x:c r="C284" s="10" t="str">
        <x:v>审批管理</x:v>
      </x:c>
      <x:c r="D284" s="10" t="str">
        <x:v>入会申请（公会长）</x:v>
      </x:c>
      <x:c r="E284" s="10" t="str">
        <x:v>功能需求</x:v>
      </x:c>
      <x:c r="F284" s="10" t="str">
        <x:v>P1</x:v>
      </x:c>
      <x:c r="G284" s="9" t="str">
        <x:v>验证入会申请中申请时间对应当前记录</x:v>
      </x:c>
      <x:c r="H284" s="9" t="str">
        <x:v>申请时间</x:v>
      </x:c>
      <x:c r="I284" s="9" t="str">
        <x:v>1. 当前执行账号具有公会App会话，身份为公会长；具体账号及权限变化按以下条件准备
2. 本页范围内测试记录A的“申请时间”为2026-09-14 10:00；另有同类型记录B，字段值不同</x:v>
      </x:c>
      <x:c r="J284" s="9" t="str">
        <x:v>1. 打开入会申请
2. 查看记录A的“申请时间”</x:v>
      </x:c>
      <x:c r="K284" s="9" t="str">
        <x:v>“申请时间”显示记录A的数据准备值，不串用记录B的数据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来源（当前证据）：liveshow-proto/MainBasis/统一需求文档.md；位置：第1931行、第1928行、第1929行
2. 规则：BR-e3c750ef434743be
3. 未动态验证</x:v>
      </x:c>
    </x:row>
    <x:row r="285" ht="115" customHeight="1">
      <x:c r="A285" s="10" t="n">
        <x:v>284</x:v>
      </x:c>
      <x:c r="B285" s="10" t="str">
        <x:v>GUILD-0284</x:v>
      </x:c>
      <x:c r="C285" s="10" t="str">
        <x:v>审批管理</x:v>
      </x:c>
      <x:c r="D285" s="10" t="str">
        <x:v>入会申请详情（公会长）</x:v>
      </x:c>
      <x:c r="E285" s="10" t="str">
        <x:v>功能需求</x:v>
      </x:c>
      <x:c r="F285" s="10" t="str">
        <x:v>P1</x:v>
      </x:c>
      <x:c r="G285" s="9" t="str">
        <x:v>验证入会申请详情中用户 ID对应当前记录</x:v>
      </x:c>
      <x:c r="H285" s="9" t="str">
        <x:v>用户 ID</x:v>
      </x:c>
      <x:c r="I285" s="9" t="str">
        <x:v>1. 当前执行账号具有公会App会话，身份为公会长；具体账号及权限变化按以下条件准备
2. 本页范围内测试记录A的“用户 ID”为数据准备记录A的实际系统编号；另有同类型记录B，字段值不同</x:v>
      </x:c>
      <x:c r="J285" s="9" t="str">
        <x:v>1. 打开入会申请详情
2. 查看记录A的“用户 ID”</x:v>
      </x:c>
      <x:c r="K285" s="9" t="str">
        <x:v>“用户 ID”显示记录A的数据准备值，不串用记录B的数据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来源（当前证据）：liveshow-proto/MainBasis/统一需求文档.md；位置：第1940行、第1938行、第1939行
2. 规则：BR-2317ec3231a146d9
3. 未动态验证</x:v>
      </x:c>
    </x:row>
    <x:row r="286" ht="100" customHeight="1">
      <x:c r="A286" s="10" t="n">
        <x:v>285</x:v>
      </x:c>
      <x:c r="B286" s="10" t="str">
        <x:v>GUILD-0285</x:v>
      </x:c>
      <x:c r="C286" s="10" t="str">
        <x:v>审批管理</x:v>
      </x:c>
      <x:c r="D286" s="10" t="str">
        <x:v>入会申请详情（公会长）</x:v>
      </x:c>
      <x:c r="E286" s="10" t="str">
        <x:v>功能需求</x:v>
      </x:c>
      <x:c r="F286" s="10" t="str">
        <x:v>P1</x:v>
      </x:c>
      <x:c r="G286" s="9" t="str">
        <x:v>验证入会申请详情中姓名对应当前记录</x:v>
      </x:c>
      <x:c r="H286" s="9" t="str">
        <x:v>姓名</x:v>
      </x:c>
      <x:c r="I286" s="9" t="str">
        <x:v>1. 当前执行账号具有公会App会话，身份为公会长；具体账号及权限变化按以下条件准备
2. 本页范围内测试记录A的“姓名”为测试A；另有同类型记录B，字段值不同</x:v>
      </x:c>
      <x:c r="J286" s="9" t="str">
        <x:v>1. 打开入会申请详情
2. 查看记录A的“姓名”</x:v>
      </x:c>
      <x:c r="K286" s="9" t="str">
        <x:v>“姓名”显示记录A的数据准备值，不串用记录B的数据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来源（当前证据）：liveshow-proto/MainBasis/统一需求文档.md；位置：第1940行、第1938行、第1939行
2. 规则：BR-0f6b5f49a7628d18
3. 未动态验证</x:v>
      </x:c>
    </x:row>
    <x:row r="287" ht="100" customHeight="1">
      <x:c r="A287" s="10" t="n">
        <x:v>286</x:v>
      </x:c>
      <x:c r="B287" s="10" t="str">
        <x:v>GUILD-0286</x:v>
      </x:c>
      <x:c r="C287" s="10" t="str">
        <x:v>审批管理</x:v>
      </x:c>
      <x:c r="D287" s="10" t="str">
        <x:v>入会申请详情（公会长）</x:v>
      </x:c>
      <x:c r="E287" s="10" t="str">
        <x:v>功能需求</x:v>
      </x:c>
      <x:c r="F287" s="10" t="str">
        <x:v>P1</x:v>
      </x:c>
      <x:c r="G287" s="9" t="str">
        <x:v>验证入会申请详情中电话对应当前记录</x:v>
      </x:c>
      <x:c r="H287" s="9" t="str">
        <x:v>电话</x:v>
      </x:c>
      <x:c r="I287" s="9" t="str">
        <x:v>1. 当前执行账号具有公会App会话，身份为公会长；具体账号及权限变化按以下条件准备
2. 本页范围内测试记录A的“电话”为+6281234567890；另有同类型记录B，字段值不同</x:v>
      </x:c>
      <x:c r="J287" s="9" t="str">
        <x:v>1. 打开入会申请详情
2. 查看记录A的“电话”</x:v>
      </x:c>
      <x:c r="K287" s="9" t="str">
        <x:v>“电话”显示记录A的数据准备值，不串用记录B的数据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来源（当前证据）：liveshow-proto/MainBasis/统一需求文档.md；位置：第1940行、第1938行、第1939行
2. 规则：BR-0a31c2996bcd3712
3. 未动态验证</x:v>
      </x:c>
    </x:row>
    <x:row r="288" ht="100" customHeight="1">
      <x:c r="A288" s="10" t="n">
        <x:v>287</x:v>
      </x:c>
      <x:c r="B288" s="10" t="str">
        <x:v>GUILD-0287</x:v>
      </x:c>
      <x:c r="C288" s="10" t="str">
        <x:v>审批管理</x:v>
      </x:c>
      <x:c r="D288" s="10" t="str">
        <x:v>入会申请详情（公会长）</x:v>
      </x:c>
      <x:c r="E288" s="10" t="str">
        <x:v>功能需求</x:v>
      </x:c>
      <x:c r="F288" s="10" t="str">
        <x:v>P1</x:v>
      </x:c>
      <x:c r="G288" s="9" t="str">
        <x:v>验证入会申请详情中本人照片对应当前记录</x:v>
      </x:c>
      <x:c r="H288" s="9" t="str">
        <x:v>本人照片</x:v>
      </x:c>
      <x:c r="I288" s="9" t="str">
        <x:v>1. 当前执行账号具有公会App会话，身份为公会长；具体账号及权限变化按以下条件准备
2. 本页范围内测试记录A的“本人照片”为预置图片A；另有同类型记录B，字段值不同</x:v>
      </x:c>
      <x:c r="J288" s="9" t="str">
        <x:v>1. 打开入会申请详情
2. 查看记录A的“本人照片”</x:v>
      </x:c>
      <x:c r="K288" s="9" t="str">
        <x:v>“本人照片”显示记录A的数据准备值，不串用记录B的数据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来源（当前证据）：liveshow-proto/MainBasis/统一需求文档.md；位置：第1941行、第1938行、第1939行
2. 规则：BR-8a9143484bed6927
3. 未动态验证</x:v>
      </x:c>
    </x:row>
    <x:row r="289" ht="100" customHeight="1">
      <x:c r="A289" s="10" t="n">
        <x:v>288</x:v>
      </x:c>
      <x:c r="B289" s="10" t="str">
        <x:v>GUILD-0288</x:v>
      </x:c>
      <x:c r="C289" s="10" t="str">
        <x:v>审批管理</x:v>
      </x:c>
      <x:c r="D289" s="10" t="str">
        <x:v>入会申请详情（公会长）</x:v>
      </x:c>
      <x:c r="E289" s="10" t="str">
        <x:v>功能需求</x:v>
      </x:c>
      <x:c r="F289" s="10" t="str">
        <x:v>P1</x:v>
      </x:c>
      <x:c r="G289" s="9" t="str">
        <x:v>验证入会申请详情中证件照正面对应当前记录</x:v>
      </x:c>
      <x:c r="H289" s="9" t="str">
        <x:v>证件照正面</x:v>
      </x:c>
      <x:c r="I289" s="9" t="str">
        <x:v>1. 当前执行账号具有公会App会话，身份为公会长；具体账号及权限变化按以下条件准备
2. 本页范围内测试记录A的“证件照正面”为预置图片A；另有同类型记录B，字段值不同</x:v>
      </x:c>
      <x:c r="J289" s="9" t="str">
        <x:v>1. 打开入会申请详情
2. 查看记录A的“证件照正面”</x:v>
      </x:c>
      <x:c r="K289" s="9" t="str">
        <x:v>“证件照正面”显示记录A的数据准备值，不串用记录B的数据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来源（当前证据）：liveshow-proto/MainBasis/统一需求文档.md；位置：第1941行、第1938行、第1939行
2. 规则：BR-1144ff453c89b9e6
3. 未动态验证</x:v>
      </x:c>
    </x:row>
    <x:row r="290" ht="100" customHeight="1">
      <x:c r="A290" s="10" t="n">
        <x:v>289</x:v>
      </x:c>
      <x:c r="B290" s="10" t="str">
        <x:v>GUILD-0289</x:v>
      </x:c>
      <x:c r="C290" s="10" t="str">
        <x:v>审批管理</x:v>
      </x:c>
      <x:c r="D290" s="10" t="str">
        <x:v>入会申请详情（公会长）</x:v>
      </x:c>
      <x:c r="E290" s="10" t="str">
        <x:v>功能需求</x:v>
      </x:c>
      <x:c r="F290" s="10" t="str">
        <x:v>P1</x:v>
      </x:c>
      <x:c r="G290" s="9" t="str">
        <x:v>验证入会申请详情中证件照反面对应当前记录</x:v>
      </x:c>
      <x:c r="H290" s="9" t="str">
        <x:v>证件照反面</x:v>
      </x:c>
      <x:c r="I290" s="9" t="str">
        <x:v>1. 当前执行账号具有公会App会话，身份为公会长；具体账号及权限变化按以下条件准备
2. 本页范围内测试记录A的“证件照反面”为预置图片A；另有同类型记录B，字段值不同</x:v>
      </x:c>
      <x:c r="J290" s="9" t="str">
        <x:v>1. 打开入会申请详情
2. 查看记录A的“证件照反面”</x:v>
      </x:c>
      <x:c r="K290" s="9" t="str">
        <x:v>“证件照反面”显示记录A的数据准备值，不串用记录B的数据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来源（当前证据）：liveshow-proto/MainBasis/统一需求文档.md；位置：第1941行、第1938行、第1939行
2. 规则：BR-d28659a7d3db45b5
3. 未动态验证</x:v>
      </x:c>
    </x:row>
    <x:row r="291" ht="115" customHeight="1">
      <x:c r="A291" s="10" t="n">
        <x:v>290</x:v>
      </x:c>
      <x:c r="B291" s="10" t="str">
        <x:v>GUILD-0290</x:v>
      </x:c>
      <x:c r="C291" s="10" t="str">
        <x:v>审批管理</x:v>
      </x:c>
      <x:c r="D291" s="10" t="str">
        <x:v>退会申请（公会长）</x:v>
      </x:c>
      <x:c r="E291" s="10" t="str">
        <x:v>功能需求</x:v>
      </x:c>
      <x:c r="F291" s="10" t="str">
        <x:v>P1</x:v>
      </x:c>
      <x:c r="G291" s="9" t="str">
        <x:v>验证退会申请中主播 ID对应当前记录</x:v>
      </x:c>
      <x:c r="H291" s="9" t="str">
        <x:v>主播 ID</x:v>
      </x:c>
      <x:c r="I291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291" s="9" t="str">
        <x:v>1. 打开退会申请
2. 查看记录A的“主播 ID”</x:v>
      </x:c>
      <x:c r="K291" s="9" t="str">
        <x:v>“主播 ID”显示记录A的数据准备值，不串用记录B的数据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来源（当前证据）：liveshow-proto/MainBasis/统一需求文档.md；位置：第1952行、第1950行、第1951行
2. 规则：BR-ba872e778814aed5
3. 未动态验证</x:v>
      </x:c>
    </x:row>
    <x:row r="292" ht="115" customHeight="1">
      <x:c r="A292" s="10" t="n">
        <x:v>291</x:v>
      </x:c>
      <x:c r="B292" s="10" t="str">
        <x:v>GUILD-0291</x:v>
      </x:c>
      <x:c r="C292" s="10" t="str">
        <x:v>审批管理</x:v>
      </x:c>
      <x:c r="D292" s="10" t="str">
        <x:v>退会申请（公会长）</x:v>
      </x:c>
      <x:c r="E292" s="10" t="str">
        <x:v>功能需求</x:v>
      </x:c>
      <x:c r="F292" s="10" t="str">
        <x:v>P1</x:v>
      </x:c>
      <x:c r="G292" s="9" t="str">
        <x:v>验证退会申请中申请时间对应当前记录</x:v>
      </x:c>
      <x:c r="H292" s="9" t="str">
        <x:v>申请时间</x:v>
      </x:c>
      <x:c r="I292" s="9" t="str">
        <x:v>1. 当前执行账号具有公会App会话，身份为公会长；具体账号及权限变化按以下条件准备
2. 本页范围内测试记录A的“申请时间”为2026-09-14 10:00；另有同类型记录B，字段值不同</x:v>
      </x:c>
      <x:c r="J292" s="9" t="str">
        <x:v>1. 打开退会申请
2. 查看记录A的“申请时间”</x:v>
      </x:c>
      <x:c r="K292" s="9" t="str">
        <x:v>“申请时间”显示记录A的数据准备值，不串用记录B的数据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来源（当前证据）：liveshow-proto/MainBasis/统一需求文档.md；位置：第1953行、第1950行、第1951行
2. 规则：BR-1ff578aa03650665
3. 未动态验证</x:v>
      </x:c>
    </x:row>
    <x:row r="293" ht="100" customHeight="1">
      <x:c r="A293" s="10" t="n">
        <x:v>292</x:v>
      </x:c>
      <x:c r="B293" s="10" t="str">
        <x:v>GUILD-0292</x:v>
      </x:c>
      <x:c r="C293" s="10" t="str">
        <x:v>审批管理</x:v>
      </x:c>
      <x:c r="D293" s="10" t="str">
        <x:v>退会申请详情（公会长）</x:v>
      </x:c>
      <x:c r="E293" s="10" t="str">
        <x:v>功能需求</x:v>
      </x:c>
      <x:c r="F293" s="10" t="str">
        <x:v>P1</x:v>
      </x:c>
      <x:c r="G293" s="9" t="str">
        <x:v>验证退会申请详情中名称对应当前记录</x:v>
      </x:c>
      <x:c r="H293" s="9" t="str">
        <x:v>名称</x:v>
      </x:c>
      <x:c r="I293" s="9" t="str">
        <x:v>1. 当前执行账号具有公会App会话，身份为公会长；具体账号及权限变化按以下条件准备
2. 本页范围内测试记录A的“名称”为测试A；另有同类型记录B，字段值不同</x:v>
      </x:c>
      <x:c r="J293" s="9" t="str">
        <x:v>1. 打开退会申请详情
2. 查看记录A的“名称”</x:v>
      </x:c>
      <x:c r="K293" s="9" t="str">
        <x:v>“名称”显示记录A的数据准备值，不串用记录B的数据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来源（当前证据）：liveshow-proto/MainBasis/统一需求文档.md；位置：第1961行、第1959行、第1960行
2. 规则：BR-d8f9bc572db920a0
3. 未动态验证</x:v>
      </x:c>
    </x:row>
    <x:row r="294" ht="115" customHeight="1">
      <x:c r="A294" s="10" t="n">
        <x:v>293</x:v>
      </x:c>
      <x:c r="B294" s="10" t="str">
        <x:v>GUILD-0293</x:v>
      </x:c>
      <x:c r="C294" s="10" t="str">
        <x:v>审批管理</x:v>
      </x:c>
      <x:c r="D294" s="10" t="str">
        <x:v>退会申请详情（公会长）</x:v>
      </x:c>
      <x:c r="E294" s="10" t="str">
        <x:v>功能需求</x:v>
      </x:c>
      <x:c r="F294" s="10" t="str">
        <x:v>P1</x:v>
      </x:c>
      <x:c r="G294" s="9" t="str">
        <x:v>验证退会申请详情中主播 ID对应当前记录</x:v>
      </x:c>
      <x:c r="H294" s="9" t="str">
        <x:v>主播 ID</x:v>
      </x:c>
      <x:c r="I294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294" s="9" t="str">
        <x:v>1. 打开退会申请详情
2. 查看记录A的“主播 ID”</x:v>
      </x:c>
      <x:c r="K294" s="9" t="str">
        <x:v>“主播 ID”显示记录A的数据准备值，不串用记录B的数据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来源（当前证据）：liveshow-proto/MainBasis/统一需求文档.md；位置：第1961行、第1959行、第1960行
2. 规则：BR-d1928285a5a9cf0f
3. 未动态验证</x:v>
      </x:c>
    </x:row>
    <x:row r="295" ht="115" customHeight="1">
      <x:c r="A295" s="10" t="n">
        <x:v>294</x:v>
      </x:c>
      <x:c r="B295" s="10" t="str">
        <x:v>GUILD-0294</x:v>
      </x:c>
      <x:c r="C295" s="10" t="str">
        <x:v>审批管理</x:v>
      </x:c>
      <x:c r="D295" s="10" t="str">
        <x:v>退会申请详情（公会长）</x:v>
      </x:c>
      <x:c r="E295" s="10" t="str">
        <x:v>功能需求</x:v>
      </x:c>
      <x:c r="F295" s="10" t="str">
        <x:v>P1</x:v>
      </x:c>
      <x:c r="G295" s="9" t="str">
        <x:v>验证退会申请详情中加入时间对应当前记录</x:v>
      </x:c>
      <x:c r="H295" s="9" t="str">
        <x:v>加入时间</x:v>
      </x:c>
      <x:c r="I295" s="9" t="str">
        <x:v>1. 当前执行账号具有公会App会话，身份为公会长；具体账号及权限变化按以下条件准备
2. 本页范围内测试记录A的“加入时间”为2026-09-14 10:00；另有同类型记录B，字段值不同</x:v>
      </x:c>
      <x:c r="J295" s="9" t="str">
        <x:v>1. 打开退会申请详情
2. 查看记录A的“加入时间”</x:v>
      </x:c>
      <x:c r="K295" s="9" t="str">
        <x:v>“加入时间”显示记录A的数据准备值，不串用记录B的数据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来源（当前证据）：liveshow-proto/MainBasis/统一需求文档.md；位置：第1962行、第1959行、第1960行
2. 规则：BR-15465a9dfc54debf
3. 未动态验证</x:v>
      </x:c>
    </x:row>
    <x:row r="296" ht="115" customHeight="1">
      <x:c r="A296" s="10" t="n">
        <x:v>295</x:v>
      </x:c>
      <x:c r="B296" s="10" t="str">
        <x:v>GUILD-0295</x:v>
      </x:c>
      <x:c r="C296" s="10" t="str">
        <x:v>审批管理</x:v>
      </x:c>
      <x:c r="D296" s="10" t="str">
        <x:v>退会申请详情（公会长）</x:v>
      </x:c>
      <x:c r="E296" s="10" t="str">
        <x:v>功能需求</x:v>
      </x:c>
      <x:c r="F296" s="10" t="str">
        <x:v>P1</x:v>
      </x:c>
      <x:c r="G296" s="9" t="str">
        <x:v>验证退会申请详情中申请时间对应当前记录</x:v>
      </x:c>
      <x:c r="H296" s="9" t="str">
        <x:v>申请时间</x:v>
      </x:c>
      <x:c r="I296" s="9" t="str">
        <x:v>1. 当前执行账号具有公会App会话，身份为公会长；具体账号及权限变化按以下条件准备
2. 本页范围内测试记录A的“申请时间”为2026-09-14 10:00；另有同类型记录B，字段值不同</x:v>
      </x:c>
      <x:c r="J296" s="9" t="str">
        <x:v>1. 打开退会申请详情
2. 查看记录A的“申请时间”</x:v>
      </x:c>
      <x:c r="K296" s="9" t="str">
        <x:v>“申请时间”显示记录A的数据准备值，不串用记录B的数据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来源（当前证据）：liveshow-proto/MainBasis/统一需求文档.md；位置：第1963行、第1959行、第1960行
2. 规则：BR-3acc75740f4f6343
3. 未动态验证</x:v>
      </x:c>
    </x:row>
    <x:row r="297" ht="100" customHeight="1">
      <x:c r="A297" s="10" t="n">
        <x:v>296</x:v>
      </x:c>
      <x:c r="B297" s="10" t="str">
        <x:v>GUILD-0296</x:v>
      </x:c>
      <x:c r="C297" s="10" t="str">
        <x:v>主播管理</x:v>
      </x:c>
      <x:c r="D297" s="10" t="str">
        <x:v>主播列表（公会长）</x:v>
      </x:c>
      <x:c r="E297" s="10" t="str">
        <x:v>功能需求</x:v>
      </x:c>
      <x:c r="F297" s="10" t="str">
        <x:v>P1</x:v>
      </x:c>
      <x:c r="G297" s="9" t="str">
        <x:v>验证主播列表中头像对应当前记录</x:v>
      </x:c>
      <x:c r="H297" s="9" t="str">
        <x:v>头像</x:v>
      </x:c>
      <x:c r="I297" s="9" t="str">
        <x:v>1. 当前执行账号具有公会App会话，身份为公会长；具体账号及权限变化按以下条件准备
2. 本页范围内测试记录A的“头像”为预置图片A；另有同类型记录B，字段值不同</x:v>
      </x:c>
      <x:c r="J297" s="9" t="str">
        <x:v>1. 打开主播列表
2. 查看记录A的“头像”</x:v>
      </x:c>
      <x:c r="K297" s="9" t="str">
        <x:v>“头像”显示记录A的数据准备值，不串用记录B的数据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来源（当前证据）：liveshow-proto/MainBasis/统一需求文档.md；位置：第1972行、第1970行、第1971行
2. 规则：BR-02505008beaff6cc
3. 未动态验证</x:v>
      </x:c>
    </x:row>
    <x:row r="298" ht="100" customHeight="1">
      <x:c r="A298" s="10" t="n">
        <x:v>297</x:v>
      </x:c>
      <x:c r="B298" s="10" t="str">
        <x:v>GUILD-0297</x:v>
      </x:c>
      <x:c r="C298" s="10" t="str">
        <x:v>主播管理</x:v>
      </x:c>
      <x:c r="D298" s="10" t="str">
        <x:v>主播列表（公会长）</x:v>
      </x:c>
      <x:c r="E298" s="10" t="str">
        <x:v>功能需求</x:v>
      </x:c>
      <x:c r="F298" s="10" t="str">
        <x:v>P1</x:v>
      </x:c>
      <x:c r="G298" s="9" t="str">
        <x:v>验证主播列表中名称对应当前记录</x:v>
      </x:c>
      <x:c r="H298" s="9" t="str">
        <x:v>名称</x:v>
      </x:c>
      <x:c r="I298" s="9" t="str">
        <x:v>1. 当前执行账号具有公会App会话，身份为公会长；具体账号及权限变化按以下条件准备
2. 本页范围内测试记录A的“名称”为测试A；另有同类型记录B，字段值不同</x:v>
      </x:c>
      <x:c r="J298" s="9" t="str">
        <x:v>1. 打开主播列表
2. 查看记录A的“名称”</x:v>
      </x:c>
      <x:c r="K298" s="9" t="str">
        <x:v>“名称”显示记录A的数据准备值，不串用记录B的数据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来源（当前证据）：liveshow-proto/MainBasis/统一需求文档.md；位置：第1972行、第1970行、第1971行
2. 规则：BR-9004c19fb8ffd1d7
3. 未动态验证</x:v>
      </x:c>
    </x:row>
    <x:row r="299" ht="115" customHeight="1">
      <x:c r="A299" s="10" t="n">
        <x:v>298</x:v>
      </x:c>
      <x:c r="B299" s="10" t="str">
        <x:v>GUILD-0298</x:v>
      </x:c>
      <x:c r="C299" s="10" t="str">
        <x:v>主播管理</x:v>
      </x:c>
      <x:c r="D299" s="10" t="str">
        <x:v>主播列表（公会长）</x:v>
      </x:c>
      <x:c r="E299" s="10" t="str">
        <x:v>功能需求</x:v>
      </x:c>
      <x:c r="F299" s="10" t="str">
        <x:v>P1</x:v>
      </x:c>
      <x:c r="G299" s="9" t="str">
        <x:v>验证主播列表中主播 ID对应当前记录</x:v>
      </x:c>
      <x:c r="H299" s="9" t="str">
        <x:v>主播 ID</x:v>
      </x:c>
      <x:c r="I299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299" s="9" t="str">
        <x:v>1. 打开主播列表
2. 查看记录A的“主播 ID”</x:v>
      </x:c>
      <x:c r="K299" s="9" t="str">
        <x:v>“主播 ID”显示记录A的数据准备值，不串用记录B的数据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来源（当前证据）：liveshow-proto/MainBasis/统一需求文档.md；位置：第1972行、第1970行、第1971行
2. 规则：BR-9b00cfecb68fa3a4
3. 未动态验证</x:v>
      </x:c>
    </x:row>
    <x:row r="300" ht="115" customHeight="1">
      <x:c r="A300" s="10" t="n">
        <x:v>299</x:v>
      </x:c>
      <x:c r="B300" s="10" t="str">
        <x:v>GUILD-0299</x:v>
      </x:c>
      <x:c r="C300" s="10" t="str">
        <x:v>主播管理</x:v>
      </x:c>
      <x:c r="D300" s="10" t="str">
        <x:v>主播列表（公会长）</x:v>
      </x:c>
      <x:c r="E300" s="10" t="str">
        <x:v>功能需求</x:v>
      </x:c>
      <x:c r="F300" s="10" t="str">
        <x:v>P1</x:v>
      </x:c>
      <x:c r="G300" s="9" t="str">
        <x:v>验证主播列表中加入时间对应当前记录</x:v>
      </x:c>
      <x:c r="H300" s="9" t="str">
        <x:v>加入时间</x:v>
      </x:c>
      <x:c r="I300" s="9" t="str">
        <x:v>1. 当前执行账号具有公会App会话，身份为公会长；具体账号及权限变化按以下条件准备
2. 本页范围内测试记录A的“加入时间”为2026-09-14 10:00；另有同类型记录B，字段值不同</x:v>
      </x:c>
      <x:c r="J300" s="9" t="str">
        <x:v>1. 打开主播列表
2. 查看记录A的“加入时间”</x:v>
      </x:c>
      <x:c r="K300" s="9" t="str">
        <x:v>“加入时间”显示记录A的数据准备值，不串用记录B的数据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来源（当前证据）：liveshow-proto/MainBasis/统一需求文档.md；位置：第1973行、第1970行、第1971行
2. 规则：BR-a7be2fd0ea4b0dc8
3. 未动态验证</x:v>
      </x:c>
    </x:row>
    <x:row r="301" ht="100" customHeight="1">
      <x:c r="A301" s="10" t="n">
        <x:v>300</x:v>
      </x:c>
      <x:c r="B301" s="10" t="str">
        <x:v>GUILD-0300</x:v>
      </x:c>
      <x:c r="C301" s="10" t="str">
        <x:v>主播管理</x:v>
      </x:c>
      <x:c r="D301" s="10" t="str">
        <x:v>主播主页（公会长）</x:v>
      </x:c>
      <x:c r="E301" s="10" t="str">
        <x:v>功能需求</x:v>
      </x:c>
      <x:c r="F301" s="10" t="str">
        <x:v>P1</x:v>
      </x:c>
      <x:c r="G301" s="9" t="str">
        <x:v>验证主播主页中头像对应当前记录</x:v>
      </x:c>
      <x:c r="H301" s="9" t="str">
        <x:v>头像</x:v>
      </x:c>
      <x:c r="I301" s="9" t="str">
        <x:v>1. 当前执行账号具有公会App会话，身份为公会长；具体账号及权限变化按以下条件准备
2. 本页范围内测试记录A的“头像”为预置图片A；另有同类型记录B，字段值不同</x:v>
      </x:c>
      <x:c r="J301" s="9" t="str">
        <x:v>1. 打开主播主页
2. 查看记录A的“头像”</x:v>
      </x:c>
      <x:c r="K301" s="9" t="str">
        <x:v>“头像”显示记录A的数据准备值，不串用记录B的数据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来源（当前证据）：liveshow-proto/MainBasis/统一需求文档.md；位置：第1998行、第1996行、第1997行
2. 规则：BR-489f4a5c952472a2
3. 未动态验证</x:v>
      </x:c>
    </x:row>
    <x:row r="302" ht="100" customHeight="1">
      <x:c r="A302" s="10" t="n">
        <x:v>301</x:v>
      </x:c>
      <x:c r="B302" s="10" t="str">
        <x:v>GUILD-0301</x:v>
      </x:c>
      <x:c r="C302" s="10" t="str">
        <x:v>主播管理</x:v>
      </x:c>
      <x:c r="D302" s="10" t="str">
        <x:v>主播主页（公会长）</x:v>
      </x:c>
      <x:c r="E302" s="10" t="str">
        <x:v>功能需求</x:v>
      </x:c>
      <x:c r="F302" s="10" t="str">
        <x:v>P1</x:v>
      </x:c>
      <x:c r="G302" s="9" t="str">
        <x:v>验证主播主页中名称对应当前记录</x:v>
      </x:c>
      <x:c r="H302" s="9" t="str">
        <x:v>名称</x:v>
      </x:c>
      <x:c r="I302" s="9" t="str">
        <x:v>1. 当前执行账号具有公会App会话，身份为公会长；具体账号及权限变化按以下条件准备
2. 本页范围内测试记录A的“名称”为测试A；另有同类型记录B，字段值不同</x:v>
      </x:c>
      <x:c r="J302" s="9" t="str">
        <x:v>1. 打开主播主页
2. 查看记录A的“名称”</x:v>
      </x:c>
      <x:c r="K302" s="9" t="str">
        <x:v>“名称”显示记录A的数据准备值，不串用记录B的数据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来源（当前证据）：liveshow-proto/MainBasis/统一需求文档.md；位置：第1998行、第1996行、第1997行
2. 规则：BR-aed300d0b55ac1ec
3. 未动态验证</x:v>
      </x:c>
    </x:row>
    <x:row r="303" ht="115" customHeight="1">
      <x:c r="A303" s="10" t="n">
        <x:v>302</x:v>
      </x:c>
      <x:c r="B303" s="10" t="str">
        <x:v>GUILD-0302</x:v>
      </x:c>
      <x:c r="C303" s="10" t="str">
        <x:v>主播管理</x:v>
      </x:c>
      <x:c r="D303" s="10" t="str">
        <x:v>主播主页（公会长）</x:v>
      </x:c>
      <x:c r="E303" s="10" t="str">
        <x:v>功能需求</x:v>
      </x:c>
      <x:c r="F303" s="10" t="str">
        <x:v>P1</x:v>
      </x:c>
      <x:c r="G303" s="9" t="str">
        <x:v>验证主播主页中主播 ID对应当前记录</x:v>
      </x:c>
      <x:c r="H303" s="9" t="str">
        <x:v>主播 ID</x:v>
      </x:c>
      <x:c r="I303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303" s="9" t="str">
        <x:v>1. 打开主播主页
2. 查看记录A的“主播 ID”</x:v>
      </x:c>
      <x:c r="K303" s="9" t="str">
        <x:v>“主播 ID”显示记录A的数据准备值，不串用记录B的数据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来源（当前证据）：liveshow-proto/MainBasis/统一需求文档.md；位置：第1998行、第1996行、第1997行
2. 规则：BR-bfc38c09514fc269
3. 未动态验证</x:v>
      </x:c>
    </x:row>
    <x:row r="304" ht="115" customHeight="1">
      <x:c r="A304" s="10" t="n">
        <x:v>303</x:v>
      </x:c>
      <x:c r="B304" s="10" t="str">
        <x:v>GUILD-0303</x:v>
      </x:c>
      <x:c r="C304" s="10" t="str">
        <x:v>主播管理</x:v>
      </x:c>
      <x:c r="D304" s="10" t="str">
        <x:v>主播主页（公会长）</x:v>
      </x:c>
      <x:c r="E304" s="10" t="str">
        <x:v>功能需求</x:v>
      </x:c>
      <x:c r="F304" s="10" t="str">
        <x:v>P1</x:v>
      </x:c>
      <x:c r="G304" s="9" t="str">
        <x:v>验证主播主页中主播等级对应当前记录</x:v>
      </x:c>
      <x:c r="H304" s="9" t="str">
        <x:v>主播等级</x:v>
      </x:c>
      <x:c r="I304" s="9" t="str">
        <x:v>1. 当前执行账号具有公会App会话，身份为公会长；具体账号及权限变化按以下条件准备
2. 本页范围内测试记录A的“主播等级”为数据准备记录A的实际等级及对应配置名称；另有同类型记录B，字段值不同</x:v>
      </x:c>
      <x:c r="J304" s="9" t="str">
        <x:v>1. 打开主播主页
2. 查看记录A的“主播等级”</x:v>
      </x:c>
      <x:c r="K304" s="9" t="str">
        <x:v>“主播等级”显示记录A的数据准备值，不串用记录B的数据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来源（当前证据）：liveshow-proto/MainBasis/统一需求文档.md；位置：第1998行、第1996行、第1997行
2. 规则：BR-8755558281ab4be1
3. 未动态验证</x:v>
      </x:c>
    </x:row>
    <x:row r="305" ht="115" customHeight="1">
      <x:c r="A305" s="10" t="n">
        <x:v>304</x:v>
      </x:c>
      <x:c r="B305" s="10" t="str">
        <x:v>GUILD-0304</x:v>
      </x:c>
      <x:c r="C305" s="10" t="str">
        <x:v>主播管理</x:v>
      </x:c>
      <x:c r="D305" s="10" t="str">
        <x:v>主播主页（公会长）</x:v>
      </x:c>
      <x:c r="E305" s="10" t="str">
        <x:v>功能需求</x:v>
      </x:c>
      <x:c r="F305" s="10" t="str">
        <x:v>P1</x:v>
      </x:c>
      <x:c r="G305" s="9" t="str">
        <x:v>验证主播主页中处理时间对应当前记录</x:v>
      </x:c>
      <x:c r="H305" s="9" t="str">
        <x:v>处理时间</x:v>
      </x:c>
      <x:c r="I305" s="9" t="str">
        <x:v>1. 当前执行账号具有公会App会话，身份为公会长；具体账号及权限变化按以下条件准备
2. 本页范围内测试记录A的“处理时间”为2026-09-14 10:00；另有同类型记录B，字段值不同</x:v>
      </x:c>
      <x:c r="J305" s="9" t="str">
        <x:v>1. 打开主播主页
2. 查看记录A的“处理时间”</x:v>
      </x:c>
      <x:c r="K305" s="9" t="str">
        <x:v>“处理时间”显示记录A的数据准备值，不串用记录B的数据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来源（当前证据）：liveshow-proto/MainBasis/统一需求文档.md；位置：第2001行、第1996行、第1997行
2. 规则：BR-a06d6ff94e8e13c3
3. 未动态验证</x:v>
      </x:c>
    </x:row>
    <x:row r="306" ht="115" customHeight="1">
      <x:c r="A306" s="10" t="n">
        <x:v>305</x:v>
      </x:c>
      <x:c r="B306" s="10" t="str">
        <x:v>GUILD-0305</x:v>
      </x:c>
      <x:c r="C306" s="10" t="str">
        <x:v>运营管理</x:v>
      </x:c>
      <x:c r="D306" s="10" t="str">
        <x:v>运营消息（公会长）</x:v>
      </x:c>
      <x:c r="E306" s="10" t="str">
        <x:v>功能需求</x:v>
      </x:c>
      <x:c r="F306" s="10" t="str">
        <x:v>P1</x:v>
      </x:c>
      <x:c r="G306" s="9" t="str">
        <x:v>验证运营消息中发送时间对应当前记录</x:v>
      </x:c>
      <x:c r="H306" s="9" t="str">
        <x:v>发送时间</x:v>
      </x:c>
      <x:c r="I306" s="9" t="str">
        <x:v>1. 当前执行账号具有公会App会话，身份为公会长；具体账号及权限变化按以下条件准备
2. 本页范围内测试记录A的“发送时间”为2026-09-14 10:00；另有同类型记录B，字段值不同</x:v>
      </x:c>
      <x:c r="J306" s="9" t="str">
        <x:v>1. 打开运营消息
2. 查看记录A的“发送时间”</x:v>
      </x:c>
      <x:c r="K306" s="9" t="str">
        <x:v>“发送时间”显示记录A的数据准备值，不串用记录B的数据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来源（当前证据）：liveshow-proto/MainBasis/统一需求文档.md；位置：第2012行、第2009行、第2010行
2. 规则：BR-65301dc68be6b92d
3. 未动态验证</x:v>
      </x:c>
    </x:row>
    <x:row r="307" ht="115" customHeight="1">
      <x:c r="A307" s="10" t="n">
        <x:v>306</x:v>
      </x:c>
      <x:c r="B307" s="10" t="str">
        <x:v>GUILD-0306</x:v>
      </x:c>
      <x:c r="C307" s="10" t="str">
        <x:v>运营管理</x:v>
      </x:c>
      <x:c r="D307" s="10" t="str">
        <x:v>运营消息详情（公会长）</x:v>
      </x:c>
      <x:c r="E307" s="10" t="str">
        <x:v>功能需求</x:v>
      </x:c>
      <x:c r="F307" s="10" t="str">
        <x:v>P1</x:v>
      </x:c>
      <x:c r="G307" s="9" t="str">
        <x:v>验证运营消息详情中发送时间对应当前记录</x:v>
      </x:c>
      <x:c r="H307" s="9" t="str">
        <x:v>发送时间</x:v>
      </x:c>
      <x:c r="I307" s="9" t="str">
        <x:v>1. 当前执行账号具有公会App会话，身份为公会长；具体账号及权限变化按以下条件准备
2. 本页范围内测试记录A的“发送时间”为2026-09-14 10:00；另有同类型记录B，字段值不同</x:v>
      </x:c>
      <x:c r="J307" s="9" t="str">
        <x:v>1. 打开运营消息详情
2. 查看记录A的“发送时间”</x:v>
      </x:c>
      <x:c r="K307" s="9" t="str">
        <x:v>“发送时间”显示记录A的数据准备值，不串用记录B的数据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来源（当前证据）：liveshow-proto/MainBasis/统一需求文档.md；位置：第2035行、第2032行、第2033行
2. 规则：BR-663df24c0557021d
3. 未动态验证</x:v>
      </x:c>
    </x:row>
    <x:row r="308" ht="100" customHeight="1">
      <x:c r="A308" s="10" t="n">
        <x:v>307</x:v>
      </x:c>
      <x:c r="B308" s="10" t="str">
        <x:v>GUILD-0307</x:v>
      </x:c>
      <x:c r="C308" s="10" t="str">
        <x:v>运营管理</x:v>
      </x:c>
      <x:c r="D308" s="10" t="str">
        <x:v>运营消息详情（公会长）</x:v>
      </x:c>
      <x:c r="E308" s="10" t="str">
        <x:v>功能需求</x:v>
      </x:c>
      <x:c r="F308" s="10" t="str">
        <x:v>P1</x:v>
      </x:c>
      <x:c r="G308" s="9" t="str">
        <x:v>验证运营消息详情中发送人对应当前记录</x:v>
      </x:c>
      <x:c r="H308" s="9" t="str">
        <x:v>发送人</x:v>
      </x:c>
      <x:c r="I308" s="9" t="str">
        <x:v>1. 当前执行账号具有公会App会话，身份为公会长；具体账号及权限变化按以下条件准备
2. 本页范围内测试记录A的“发送人”为测试A；另有同类型记录B，字段值不同</x:v>
      </x:c>
      <x:c r="J308" s="9" t="str">
        <x:v>1. 打开运营消息详情
2. 查看记录A的“发送人”</x:v>
      </x:c>
      <x:c r="K308" s="9" t="str">
        <x:v>“发送人”显示记录A的数据准备值，不串用记录B的数据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来源（当前证据）：liveshow-proto/MainBasis/统一需求文档.md；位置：第2036行、第2032行、第2033行
2. 规则：BR-69c1f449735c2094
3. 未动态验证</x:v>
      </x:c>
    </x:row>
    <x:row r="309" ht="100" customHeight="1">
      <x:c r="A309" s="10" t="n">
        <x:v>308</x:v>
      </x:c>
      <x:c r="B309" s="10" t="str">
        <x:v>GUILD-0308</x:v>
      </x:c>
      <x:c r="C309" s="10" t="str">
        <x:v>运营管理</x:v>
      </x:c>
      <x:c r="D309" s="10" t="str">
        <x:v>运营账号（公会长）</x:v>
      </x:c>
      <x:c r="E309" s="10" t="str">
        <x:v>功能需求</x:v>
      </x:c>
      <x:c r="F309" s="10" t="str">
        <x:v>P1</x:v>
      </x:c>
      <x:c r="G309" s="9" t="str">
        <x:v>验证运营账号中名称对应当前记录</x:v>
      </x:c>
      <x:c r="H309" s="9" t="str">
        <x:v>名称</x:v>
      </x:c>
      <x:c r="I309" s="9" t="str">
        <x:v>1. 当前执行账号具有公会App会话，身份为公会长；具体账号及权限变化按以下条件准备
2. 本页范围内测试记录A的“名称”为测试A；另有同类型记录B，字段值不同</x:v>
      </x:c>
      <x:c r="J309" s="9" t="str">
        <x:v>1. 打开运营账号
2. 查看记录A的“名称”</x:v>
      </x:c>
      <x:c r="K309" s="9" t="str">
        <x:v>“名称”显示记录A的数据准备值，不串用记录B的数据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来源（当前证据）：liveshow-proto/MainBasis/统一需求文档.md；位置：第2043行、第2040行、第2041行
2. 规则：BR-9050a4ecfdd16d12
3. 未动态验证</x:v>
      </x:c>
    </x:row>
    <x:row r="310" ht="115" customHeight="1">
      <x:c r="A310" s="10" t="n">
        <x:v>309</x:v>
      </x:c>
      <x:c r="B310" s="10" t="str">
        <x:v>GUILD-0309</x:v>
      </x:c>
      <x:c r="C310" s="10" t="str">
        <x:v>运营管理</x:v>
      </x:c>
      <x:c r="D310" s="10" t="str">
        <x:v>运营账号（公会长）</x:v>
      </x:c>
      <x:c r="E310" s="10" t="str">
        <x:v>功能需求</x:v>
      </x:c>
      <x:c r="F310" s="10" t="str">
        <x:v>P1</x:v>
      </x:c>
      <x:c r="G310" s="9" t="str">
        <x:v>验证运营账号中账号 ID对应当前记录</x:v>
      </x:c>
      <x:c r="H310" s="9" t="str">
        <x:v>账号 ID</x:v>
      </x:c>
      <x:c r="I310" s="9" t="str">
        <x:v>1. 当前执行账号具有公会App会话，身份为公会长；具体账号及权限变化按以下条件准备
2. 本页范围内测试记录A的“账号 ID”为数据准备记录A的实际系统编号；另有同类型记录B，字段值不同</x:v>
      </x:c>
      <x:c r="J310" s="9" t="str">
        <x:v>1. 打开运营账号
2. 查看记录A的“账号 ID”</x:v>
      </x:c>
      <x:c r="K310" s="9" t="str">
        <x:v>“账号 ID”显示记录A的数据准备值，不串用记录B的数据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来源（当前证据）：liveshow-proto/MainBasis/统一需求文档.md；位置：第2043行、第2040行、第2041行
2. 规则：BR-60f0e079ba057e8c
3. 未动态验证</x:v>
      </x:c>
    </x:row>
    <x:row r="311" ht="100" customHeight="1">
      <x:c r="A311" s="10" t="n">
        <x:v>310</x:v>
      </x:c>
      <x:c r="B311" s="10" t="str">
        <x:v>GUILD-0310</x:v>
      </x:c>
      <x:c r="C311" s="10" t="str">
        <x:v>运营管理</x:v>
      </x:c>
      <x:c r="D311" s="10" t="str">
        <x:v>运营账号主页（公会长）</x:v>
      </x:c>
      <x:c r="E311" s="10" t="str">
        <x:v>功能需求</x:v>
      </x:c>
      <x:c r="F311" s="10" t="str">
        <x:v>P1</x:v>
      </x:c>
      <x:c r="G311" s="9" t="str">
        <x:v>验证运营账号主页中头像对应当前记录</x:v>
      </x:c>
      <x:c r="H311" s="9" t="str">
        <x:v>头像</x:v>
      </x:c>
      <x:c r="I311" s="9" t="str">
        <x:v>1. 当前执行账号具有公会App会话，身份为公会长；具体账号及权限变化按以下条件准备
2. 本页范围内测试记录A的“头像”为预置图片A；另有同类型记录B，字段值不同</x:v>
      </x:c>
      <x:c r="J311" s="9" t="str">
        <x:v>1. 打开运营账号主页
2. 查看记录A的“头像”</x:v>
      </x:c>
      <x:c r="K311" s="9" t="str">
        <x:v>“头像”显示记录A的数据准备值，不串用记录B的数据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来源（当前证据）：liveshow-proto/MainBasis/统一需求文档.md；位置：第2065行、第2063行、第2064行
2. 规则：BR-e26db63f0ce8549a
3. 未动态验证</x:v>
      </x:c>
    </x:row>
    <x:row r="312" ht="100" customHeight="1">
      <x:c r="A312" s="10" t="n">
        <x:v>311</x:v>
      </x:c>
      <x:c r="B312" s="10" t="str">
        <x:v>GUILD-0311</x:v>
      </x:c>
      <x:c r="C312" s="10" t="str">
        <x:v>运营管理</x:v>
      </x:c>
      <x:c r="D312" s="10" t="str">
        <x:v>运营账号主页（公会长）</x:v>
      </x:c>
      <x:c r="E312" s="10" t="str">
        <x:v>功能需求</x:v>
      </x:c>
      <x:c r="F312" s="10" t="str">
        <x:v>P1</x:v>
      </x:c>
      <x:c r="G312" s="9" t="str">
        <x:v>验证运营账号主页中名称对应当前记录</x:v>
      </x:c>
      <x:c r="H312" s="9" t="str">
        <x:v>名称</x:v>
      </x:c>
      <x:c r="I312" s="9" t="str">
        <x:v>1. 当前执行账号具有公会App会话，身份为公会长；具体账号及权限变化按以下条件准备
2. 本页范围内测试记录A的“名称”为测试A；另有同类型记录B，字段值不同</x:v>
      </x:c>
      <x:c r="J312" s="9" t="str">
        <x:v>1. 打开运营账号主页
2. 查看记录A的“名称”</x:v>
      </x:c>
      <x:c r="K312" s="9" t="str">
        <x:v>“名称”显示记录A的数据准备值，不串用记录B的数据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来源（当前证据）：liveshow-proto/MainBasis/统一需求文档.md；位置：第2065行、第2063行、第2064行
2. 规则：BR-643a379e1e226f3f
3. 未动态验证</x:v>
      </x:c>
    </x:row>
    <x:row r="313" ht="115" customHeight="1">
      <x:c r="A313" s="10" t="n">
        <x:v>312</x:v>
      </x:c>
      <x:c r="B313" s="10" t="str">
        <x:v>GUILD-0312</x:v>
      </x:c>
      <x:c r="C313" s="10" t="str">
        <x:v>运营管理</x:v>
      </x:c>
      <x:c r="D313" s="10" t="str">
        <x:v>运营账号主页（公会长）</x:v>
      </x:c>
      <x:c r="E313" s="10" t="str">
        <x:v>功能需求</x:v>
      </x:c>
      <x:c r="F313" s="10" t="str">
        <x:v>P1</x:v>
      </x:c>
      <x:c r="G313" s="9" t="str">
        <x:v>验证运营账号主页中账号 ID对应当前记录</x:v>
      </x:c>
      <x:c r="H313" s="9" t="str">
        <x:v>账号 ID</x:v>
      </x:c>
      <x:c r="I313" s="9" t="str">
        <x:v>1. 当前执行账号具有公会App会话，身份为公会长；具体账号及权限变化按以下条件准备
2. 本页范围内测试记录A的“账号 ID”为数据准备记录A的实际系统编号；另有同类型记录B，字段值不同</x:v>
      </x:c>
      <x:c r="J313" s="9" t="str">
        <x:v>1. 打开运营账号主页
2. 查看记录A的“账号 ID”</x:v>
      </x:c>
      <x:c r="K313" s="9" t="str">
        <x:v>“账号 ID”显示记录A的数据准备值，不串用记录B的数据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来源（当前证据）：liveshow-proto/MainBasis/统一需求文档.md；位置：第2065行、第2063行、第2064行
2. 规则：BR-6dda329e3d64212c
3. 未动态验证</x:v>
      </x:c>
    </x:row>
    <x:row r="314" ht="100" customHeight="1">
      <x:c r="A314" s="10" t="n">
        <x:v>313</x:v>
      </x:c>
      <x:c r="B314" s="10" t="str">
        <x:v>GUILD-0313</x:v>
      </x:c>
      <x:c r="C314" s="10" t="str">
        <x:v>运营管理</x:v>
      </x:c>
      <x:c r="D314" s="10" t="str">
        <x:v>送礼记录（公会长）</x:v>
      </x:c>
      <x:c r="E314" s="10" t="str">
        <x:v>功能需求</x:v>
      </x:c>
      <x:c r="F314" s="10" t="str">
        <x:v>P1</x:v>
      </x:c>
      <x:c r="G314" s="9" t="str">
        <x:v>验证送礼记录中礼物名称对应当前记录</x:v>
      </x:c>
      <x:c r="H314" s="9" t="str">
        <x:v>礼物名称</x:v>
      </x:c>
      <x:c r="I314" s="9" t="str">
        <x:v>1. 当前执行账号具有公会App会话，身份为公会长；具体账号及权限变化按以下条件准备
2. 本页范围内测试记录A的“礼物名称”为测试A；另有同类型记录B，字段值不同</x:v>
      </x:c>
      <x:c r="J314" s="9" t="str">
        <x:v>1. 打开送礼记录
2. 查看记录A的“礼物名称”</x:v>
      </x:c>
      <x:c r="K314" s="9" t="str">
        <x:v>“礼物名称”显示记录A的数据准备值，不串用记录B的数据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来源（当前证据）：liveshow-proto/MainBasis/统一需求文档.md；位置：第2078行、第2074行、第2075行
2. 规则：BR-d5973c7a5fc9ce73
3. 未动态验证</x:v>
      </x:c>
    </x:row>
    <x:row r="315" ht="115" customHeight="1">
      <x:c r="A315" s="10" t="n">
        <x:v>314</x:v>
      </x:c>
      <x:c r="B315" s="10" t="str">
        <x:v>GUILD-0314</x:v>
      </x:c>
      <x:c r="C315" s="10" t="str">
        <x:v>运营管理</x:v>
      </x:c>
      <x:c r="D315" s="10" t="str">
        <x:v>送礼记录（公会长）</x:v>
      </x:c>
      <x:c r="E315" s="10" t="str">
        <x:v>功能需求</x:v>
      </x:c>
      <x:c r="F315" s="10" t="str">
        <x:v>P1</x:v>
      </x:c>
      <x:c r="G315" s="9" t="str">
        <x:v>验证送礼记录中赠送时间对应当前记录</x:v>
      </x:c>
      <x:c r="H315" s="9" t="str">
        <x:v>赠送时间</x:v>
      </x:c>
      <x:c r="I315" s="9" t="str">
        <x:v>1. 当前执行账号具有公会App会话，身份为公会长；具体账号及权限变化按以下条件准备
2. 本页范围内测试记录A的“赠送时间”为2026-09-14 10:00；另有同类型记录B，字段值不同</x:v>
      </x:c>
      <x:c r="J315" s="9" t="str">
        <x:v>1. 打开送礼记录
2. 查看记录A的“赠送时间”</x:v>
      </x:c>
      <x:c r="K315" s="9" t="str">
        <x:v>“赠送时间”显示记录A的数据准备值，不串用记录B的数据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来源（当前证据）：liveshow-proto/MainBasis/统一需求文档.md；位置：第2078行、第2074行、第2075行
2. 规则：BR-ec07261d07e29aad
3. 未动态验证</x:v>
      </x:c>
    </x:row>
    <x:row r="316" ht="100" customHeight="1">
      <x:c r="A316" s="10" t="n">
        <x:v>315</x:v>
      </x:c>
      <x:c r="B316" s="10" t="str">
        <x:v>GUILD-0315</x:v>
      </x:c>
      <x:c r="C316" s="10" t="str">
        <x:v>运营管理</x:v>
      </x:c>
      <x:c r="D316" s="10" t="str">
        <x:v>送礼记录（公会长）</x:v>
      </x:c>
      <x:c r="E316" s="10" t="str">
        <x:v>功能需求</x:v>
      </x:c>
      <x:c r="F316" s="10" t="str">
        <x:v>P1</x:v>
      </x:c>
      <x:c r="G316" s="9" t="str">
        <x:v>验证送礼记录中消费金币对应当前记录</x:v>
      </x:c>
      <x:c r="H316" s="9" t="str">
        <x:v>消费金币</x:v>
      </x:c>
      <x:c r="I316" s="9" t="str">
        <x:v>1. 当前执行账号具有公会App会话，身份为公会长；具体账号及权限变化按以下条件准备
2. 本页范围内测试记录A的“消费金币”为100；另有同类型记录B，字段值不同</x:v>
      </x:c>
      <x:c r="J316" s="9" t="str">
        <x:v>1. 打开送礼记录
2. 查看记录A的“消费金币”</x:v>
      </x:c>
      <x:c r="K316" s="9" t="str">
        <x:v>“消费金币”显示记录A的数据准备值，不串用记录B的数据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来源（当前证据）：liveshow-proto/MainBasis/统一需求文档.md；位置：第2078行、第2074行、第2075行
2. 规则：BR-62897131b67213c9
3. 未动态验证</x:v>
      </x:c>
    </x:row>
    <x:row r="317" ht="115" customHeight="1">
      <x:c r="A317" s="10" t="n">
        <x:v>316</x:v>
      </x:c>
      <x:c r="B317" s="10" t="str">
        <x:v>GUILD-0316</x:v>
      </x:c>
      <x:c r="C317" s="10" t="str">
        <x:v>运营管理</x:v>
      </x:c>
      <x:c r="D317" s="10" t="str">
        <x:v>送礼记录（公会长）</x:v>
      </x:c>
      <x:c r="E317" s="10" t="str">
        <x:v>功能需求</x:v>
      </x:c>
      <x:c r="F317" s="10" t="str">
        <x:v>P1</x:v>
      </x:c>
      <x:c r="G317" s="9" t="str">
        <x:v>验证送礼记录中赠送时间对应当前记录</x:v>
      </x:c>
      <x:c r="H317" s="9" t="str">
        <x:v>赠送时间</x:v>
      </x:c>
      <x:c r="I317" s="9" t="str">
        <x:v>1. 当前执行账号具有公会App会话，身份为公会长；具体账号及权限变化按以下条件准备
2. 本页范围内测试记录A的“赠送时间”为2026-09-14 10:00；另有同类型记录B，字段值不同</x:v>
      </x:c>
      <x:c r="J317" s="9" t="str">
        <x:v>1. 打开送礼记录
2. 点击送礼记录A
3. 查看记录A的“赠送时间”</x:v>
      </x:c>
      <x:c r="K317" s="9" t="str">
        <x:v>“赠送时间”显示记录A的数据准备值，不串用记录B的数据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来源（当前证据）：liveshow-proto/MainBasis/统一需求文档.md；位置：第2079行、第2074行、第2075行
2. 规则：BR-4a5b12984cc96505
3. 未动态验证</x:v>
      </x:c>
    </x:row>
    <x:row r="318" ht="100" customHeight="1">
      <x:c r="A318" s="10" t="n">
        <x:v>317</x:v>
      </x:c>
      <x:c r="B318" s="10" t="str">
        <x:v>GUILD-0317</x:v>
      </x:c>
      <x:c r="C318" s="10" t="str">
        <x:v>运营管理</x:v>
      </x:c>
      <x:c r="D318" s="10" t="str">
        <x:v>送礼记录（公会长）</x:v>
      </x:c>
      <x:c r="E318" s="10" t="str">
        <x:v>功能需求</x:v>
      </x:c>
      <x:c r="F318" s="10" t="str">
        <x:v>P1</x:v>
      </x:c>
      <x:c r="G318" s="9" t="str">
        <x:v>验证送礼记录中礼物名称对应当前记录</x:v>
      </x:c>
      <x:c r="H318" s="9" t="str">
        <x:v>礼物名称</x:v>
      </x:c>
      <x:c r="I318" s="9" t="str">
        <x:v>1. 当前执行账号具有公会App会话，身份为公会长；具体账号及权限变化按以下条件准备
2. 本页范围内测试记录A的“礼物名称”为测试A；另有同类型记录B，字段值不同</x:v>
      </x:c>
      <x:c r="J318" s="9" t="str">
        <x:v>1. 打开送礼记录
2. 点击送礼记录A
3. 查看记录A的“礼物名称”</x:v>
      </x:c>
      <x:c r="K318" s="9" t="str">
        <x:v>“礼物名称”显示记录A的数据准备值，不串用记录B的数据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来源（当前证据）：liveshow-proto/MainBasis/统一需求文档.md；位置：第2079行、第2074行、第2075行
2. 规则：BR-4dd1b72274c18728
3. 未动态验证</x:v>
      </x:c>
    </x:row>
    <x:row r="319" ht="100" customHeight="1">
      <x:c r="A319" s="10" t="n">
        <x:v>318</x:v>
      </x:c>
      <x:c r="B319" s="10" t="str">
        <x:v>GUILD-0318</x:v>
      </x:c>
      <x:c r="C319" s="10" t="str">
        <x:v>运营管理</x:v>
      </x:c>
      <x:c r="D319" s="10" t="str">
        <x:v>送礼记录（公会长）</x:v>
      </x:c>
      <x:c r="E319" s="10" t="str">
        <x:v>功能需求</x:v>
      </x:c>
      <x:c r="F319" s="10" t="str">
        <x:v>P1</x:v>
      </x:c>
      <x:c r="G319" s="9" t="str">
        <x:v>验证送礼记录中消费金币对应当前记录</x:v>
      </x:c>
      <x:c r="H319" s="9" t="str">
        <x:v>消费金币</x:v>
      </x:c>
      <x:c r="I319" s="9" t="str">
        <x:v>1. 当前执行账号具有公会App会话，身份为公会长；具体账号及权限变化按以下条件准备
2. 本页范围内测试记录A的“消费金币”为100；另有同类型记录B，字段值不同</x:v>
      </x:c>
      <x:c r="J319" s="9" t="str">
        <x:v>1. 打开送礼记录
2. 点击送礼记录A
3. 查看记录A的“消费金币”</x:v>
      </x:c>
      <x:c r="K319" s="9" t="str">
        <x:v>“消费金币”显示记录A的数据准备值，不串用记录B的数据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来源（当前证据）：liveshow-proto/MainBasis/统一需求文档.md；位置：第2079行、第2074行、第2075行
2. 规则：BR-427c4fb7357e1a83
3. 未动态验证</x:v>
      </x:c>
    </x:row>
    <x:row r="320" ht="100" customHeight="1">
      <x:c r="A320" s="10" t="n">
        <x:v>319</x:v>
      </x:c>
      <x:c r="B320" s="10" t="str">
        <x:v>GUILD-0319</x:v>
      </x:c>
      <x:c r="C320" s="10" t="str">
        <x:v>运营管理</x:v>
      </x:c>
      <x:c r="D320" s="10" t="str">
        <x:v>送礼记录（公会长）</x:v>
      </x:c>
      <x:c r="E320" s="10" t="str">
        <x:v>功能需求</x:v>
      </x:c>
      <x:c r="F320" s="10" t="str">
        <x:v>P1</x:v>
      </x:c>
      <x:c r="G320" s="9" t="str">
        <x:v>验证送礼记录中礼物单价对应当前记录</x:v>
      </x:c>
      <x:c r="H320" s="9" t="str">
        <x:v>礼物单价</x:v>
      </x:c>
      <x:c r="I320" s="9" t="str">
        <x:v>1. 当前执行账号具有公会App会话，身份为公会长；具体账号及权限变化按以下条件准备
2. 本页范围内测试记录A的“礼物单价”为100；另有同类型记录B，字段值不同</x:v>
      </x:c>
      <x:c r="J320" s="9" t="str">
        <x:v>1. 打开送礼记录
2. 点击送礼记录A
3. 查看记录A的“礼物单价”</x:v>
      </x:c>
      <x:c r="K320" s="9" t="str">
        <x:v>“礼物单价”显示记录A的数据准备值，不串用记录B的数据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来源（当前证据）：liveshow-proto/MainBasis/统一需求文档.md；位置：第2079行、第2074行、第2075行
2. 规则：BR-08a72d4472fd92b3
3. 未动态验证</x:v>
      </x:c>
    </x:row>
    <x:row r="321" ht="130" customHeight="1">
      <x:c r="A321" s="10" t="n">
        <x:v>320</x:v>
      </x:c>
      <x:c r="B321" s="10" t="str">
        <x:v>GUILD-0320</x:v>
      </x:c>
      <x:c r="C321" s="10" t="str">
        <x:v>运营管理</x:v>
      </x:c>
      <x:c r="D321" s="10" t="str">
        <x:v>送礼记录（公会长）</x:v>
      </x:c>
      <x:c r="E321" s="10" t="str">
        <x:v>功能需求</x:v>
      </x:c>
      <x:c r="F321" s="10" t="str">
        <x:v>P1</x:v>
      </x:c>
      <x:c r="G321" s="9" t="str">
        <x:v>验证送礼记录中礼物类型对应当前记录</x:v>
      </x:c>
      <x:c r="H321" s="9" t="str">
        <x:v>礼物类型</x:v>
      </x:c>
      <x:c r="I321" s="9" t="str">
        <x:v>1. 当前执行账号具有公会App会话，身份为公会长；具体账号及权限变化按以下条件准备
2. 本页范围内测试记录A的“礼物类型”为记录A创建时实际选择的有效枚举值（保存该值供对照）；另有同类型记录B，字段值不同</x:v>
      </x:c>
      <x:c r="J321" s="9" t="str">
        <x:v>1. 打开送礼记录
2. 点击送礼记录A
3. 查看记录A的“礼物类型”</x:v>
      </x:c>
      <x:c r="K321" s="9" t="str">
        <x:v>“礼物类型”显示记录A的数据准备值，不串用记录B的数据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来源（当前证据）：liveshow-proto/MainBasis/统一需求文档.md；位置：第2079行、第2074行、第2075行
2. 规则：BR-53e178a4d7f33af8
3. 未动态验证</x:v>
      </x:c>
    </x:row>
    <x:row r="322" ht="100" customHeight="1">
      <x:c r="A322" s="10" t="n">
        <x:v>321</x:v>
      </x:c>
      <x:c r="B322" s="10" t="str">
        <x:v>GUILD-0321</x:v>
      </x:c>
      <x:c r="C322" s="10" t="str">
        <x:v>运营管理</x:v>
      </x:c>
      <x:c r="D322" s="10" t="str">
        <x:v>送礼记录（公会长）</x:v>
      </x:c>
      <x:c r="E322" s="10" t="str">
        <x:v>功能需求</x:v>
      </x:c>
      <x:c r="F322" s="10" t="str">
        <x:v>P1</x:v>
      </x:c>
      <x:c r="G322" s="9" t="str">
        <x:v>验证送礼记录中赠送数量对应当前记录</x:v>
      </x:c>
      <x:c r="H322" s="9" t="str">
        <x:v>赠送数量</x:v>
      </x:c>
      <x:c r="I322" s="9" t="str">
        <x:v>1. 当前执行账号具有公会App会话，身份为公会长；具体账号及权限变化按以下条件准备
2. 本页范围内测试记录A的“赠送数量”为2；另有同类型记录B，字段值不同</x:v>
      </x:c>
      <x:c r="J322" s="9" t="str">
        <x:v>1. 打开送礼记录
2. 点击送礼记录A
3. 查看记录A的“赠送数量”</x:v>
      </x:c>
      <x:c r="K322" s="9" t="str">
        <x:v>“赠送数量”显示记录A的数据准备值，不串用记录B的数据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来源（当前证据）：liveshow-proto/MainBasis/统一需求文档.md；位置：第2079行、第2074行、第2075行
2. 规则：BR-0c986e732f10d6a8
3. 未动态验证</x:v>
      </x:c>
    </x:row>
    <x:row r="323" ht="115" customHeight="1">
      <x:c r="A323" s="10" t="n">
        <x:v>322</x:v>
      </x:c>
      <x:c r="B323" s="10" t="str">
        <x:v>GUILD-0322</x:v>
      </x:c>
      <x:c r="C323" s="10" t="str">
        <x:v>运营管理</x:v>
      </x:c>
      <x:c r="D323" s="10" t="str">
        <x:v>送礼记录（公会长）</x:v>
      </x:c>
      <x:c r="E323" s="10" t="str">
        <x:v>功能需求</x:v>
      </x:c>
      <x:c r="F323" s="10" t="str">
        <x:v>P1</x:v>
      </x:c>
      <x:c r="G323" s="9" t="str">
        <x:v>验证送礼记录中主播 ID对应当前记录</x:v>
      </x:c>
      <x:c r="H323" s="9" t="str">
        <x:v>主播 ID</x:v>
      </x:c>
      <x:c r="I323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323" s="9" t="str">
        <x:v>1. 打开送礼记录
2. 点击送礼记录A
3. 查看记录A的“主播 ID”</x:v>
      </x:c>
      <x:c r="K323" s="9" t="str">
        <x:v>“主播 ID”显示记录A的数据准备值，不串用记录B的数据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来源（当前证据）：liveshow-proto/MainBasis/统一需求文档.md；位置：第2079行、第2074行、第2075行
2. 规则：BR-b94439ba0481197e
3. 未动态验证</x:v>
      </x:c>
    </x:row>
    <x:row r="324" ht="115" customHeight="1">
      <x:c r="A324" s="10" t="n">
        <x:v>323</x:v>
      </x:c>
      <x:c r="B324" s="10" t="str">
        <x:v>GUILD-0323</x:v>
      </x:c>
      <x:c r="C324" s="10" t="str">
        <x:v>公会管理</x:v>
      </x:c>
      <x:c r="D324" s="10" t="str">
        <x:v>公会资料（公会长）</x:v>
      </x:c>
      <x:c r="E324" s="10" t="str">
        <x:v>功能需求</x:v>
      </x:c>
      <x:c r="F324" s="10" t="str">
        <x:v>P1</x:v>
      </x:c>
      <x:c r="G324" s="9" t="str">
        <x:v>验证公会资料中公会 ID对应当前记录</x:v>
      </x:c>
      <x:c r="H324" s="9" t="str">
        <x:v>公会 ID</x:v>
      </x:c>
      <x:c r="I324" s="9" t="str">
        <x:v>1. 当前执行账号具有公会App会话，身份为公会长；具体账号及权限变化按以下条件准备
2. 本页范围内测试记录A的“公会 ID”为数据准备记录A的实际系统编号；另有同类型记录B，字段值不同</x:v>
      </x:c>
      <x:c r="J324" s="9" t="str">
        <x:v>1. 打开公会资料
2. 查看记录A的“公会 ID”</x:v>
      </x:c>
      <x:c r="K324" s="9" t="str">
        <x:v>“公会 ID”显示记录A的数据准备值，不串用记录B的数据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来源（当前证据）：liveshow-proto/MainBasis/统一需求文档.md；位置：第2091行、第2089行、第2090行
2. 规则：BR-9ada2f29941d4bfd
3. 未动态验证</x:v>
      </x:c>
    </x:row>
    <x:row r="325" ht="115" customHeight="1">
      <x:c r="A325" s="10" t="n">
        <x:v>324</x:v>
      </x:c>
      <x:c r="B325" s="10" t="str">
        <x:v>GUILD-0324</x:v>
      </x:c>
      <x:c r="C325" s="10" t="str">
        <x:v>公会管理</x:v>
      </x:c>
      <x:c r="D325" s="10" t="str">
        <x:v>账号设置（公会长）</x:v>
      </x:c>
      <x:c r="E325" s="10" t="str">
        <x:v>功能需求</x:v>
      </x:c>
      <x:c r="F325" s="10" t="str">
        <x:v>P1</x:v>
      </x:c>
      <x:c r="G325" s="9" t="str">
        <x:v>验证账号设置中公会 ID对应当前记录</x:v>
      </x:c>
      <x:c r="H325" s="9" t="str">
        <x:v>公会 ID</x:v>
      </x:c>
      <x:c r="I325" s="9" t="str">
        <x:v>1. 当前执行账号具有公会App会话，身份为公会长；具体账号及权限变化按以下条件准备
2. 本页范围内测试记录A的“公会 ID”为数据准备记录A的实际系统编号；另有同类型记录B，字段值不同</x:v>
      </x:c>
      <x:c r="J325" s="9" t="str">
        <x:v>1. 打开账号设置
2. 查看记录A的“公会 ID”</x:v>
      </x:c>
      <x:c r="K325" s="9" t="str">
        <x:v>“公会 ID”显示记录A的数据准备值，不串用记录B的数据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来源（当前证据）：liveshow-proto/MainBasis/统一需求文档.md；位置：第2099行、第2097行、第2098行
2. 规则：BR-287a230a02f0f1d3
3. 未动态验证</x:v>
      </x:c>
    </x:row>
    <x:row r="326" ht="100" customHeight="1">
      <x:c r="A326" s="10" t="n">
        <x:v>325</x:v>
      </x:c>
      <x:c r="B326" s="10" t="str">
        <x:v>GUILD-0325</x:v>
      </x:c>
      <x:c r="C326" s="10" t="str">
        <x:v>数据与收益</x:v>
      </x:c>
      <x:c r="D326" s="10" t="str">
        <x:v>直播记录（公会长）</x:v>
      </x:c>
      <x:c r="E326" s="10" t="str">
        <x:v>功能需求</x:v>
      </x:c>
      <x:c r="F326" s="10" t="str">
        <x:v>P1</x:v>
      </x:c>
      <x:c r="G326" s="9" t="str">
        <x:v>验证直播记录中直播主题对应当前记录</x:v>
      </x:c>
      <x:c r="H326" s="9" t="str">
        <x:v>直播主题</x:v>
      </x:c>
      <x:c r="I326" s="9" t="str">
        <x:v>1. 当前执行账号具有公会App会话，身份为公会长；具体账号及权限变化按以下条件准备
2. 本页范围内测试记录A的“直播主题”为测试A；另有同类型记录B，字段值不同</x:v>
      </x:c>
      <x:c r="J326" s="9" t="str">
        <x:v>1. 打开直播记录
2. 查看记录A的“直播主题”</x:v>
      </x:c>
      <x:c r="K326" s="9" t="str">
        <x:v>“直播主题”显示记录A的数据准备值，不串用记录B的数据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来源（当前证据）：liveshow-proto/MainBasis/统一需求文档.md；位置：第2115行、第2111行、第2112行
2. 规则：BR-8a6e310667711e43
3. 未动态验证</x:v>
      </x:c>
    </x:row>
    <x:row r="327" ht="115" customHeight="1">
      <x:c r="A327" s="10" t="n">
        <x:v>326</x:v>
      </x:c>
      <x:c r="B327" s="10" t="str">
        <x:v>GUILD-0326</x:v>
      </x:c>
      <x:c r="C327" s="10" t="str">
        <x:v>数据与收益</x:v>
      </x:c>
      <x:c r="D327" s="10" t="str">
        <x:v>直播记录（公会长）</x:v>
      </x:c>
      <x:c r="E327" s="10" t="str">
        <x:v>功能需求</x:v>
      </x:c>
      <x:c r="F327" s="10" t="str">
        <x:v>P1</x:v>
      </x:c>
      <x:c r="G327" s="9" t="str">
        <x:v>验证直播记录中主播 ID对应当前记录</x:v>
      </x:c>
      <x:c r="H327" s="9" t="str">
        <x:v>主播 ID</x:v>
      </x:c>
      <x:c r="I327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327" s="9" t="str">
        <x:v>1. 打开直播记录
2. 查看记录A的“主播 ID”</x:v>
      </x:c>
      <x:c r="K327" s="9" t="str">
        <x:v>“主播 ID”显示记录A的数据准备值，不串用记录B的数据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来源（当前证据）：liveshow-proto/MainBasis/统一需求文档.md；位置：第2115行、第2111行、第2112行
2. 规则：BR-21253eca7da9ce3f
3. 未动态验证</x:v>
      </x:c>
    </x:row>
    <x:row r="328" ht="100" customHeight="1">
      <x:c r="A328" s="10" t="n">
        <x:v>327</x:v>
      </x:c>
      <x:c r="B328" s="10" t="str">
        <x:v>GUILD-0327</x:v>
      </x:c>
      <x:c r="C328" s="10" t="str">
        <x:v>数据与收益</x:v>
      </x:c>
      <x:c r="D328" s="10" t="str">
        <x:v>直播场次详情（公会长）</x:v>
      </x:c>
      <x:c r="E328" s="10" t="str">
        <x:v>功能需求</x:v>
      </x:c>
      <x:c r="F328" s="10" t="str">
        <x:v>P1</x:v>
      </x:c>
      <x:c r="G328" s="9" t="str">
        <x:v>验证直播场次详情中直播主题对应当前记录</x:v>
      </x:c>
      <x:c r="H328" s="9" t="str">
        <x:v>直播主题</x:v>
      </x:c>
      <x:c r="I328" s="9" t="str">
        <x:v>1. 当前执行账号具有公会App会话，身份为公会长；具体账号及权限变化按以下条件准备
2. 本页范围内测试记录A的“直播主题”为测试A；另有同类型记录B，字段值不同</x:v>
      </x:c>
      <x:c r="J328" s="9" t="str">
        <x:v>1. 打开直播场次详情
2. 查看记录A的“直播主题”</x:v>
      </x:c>
      <x:c r="K328" s="9" t="str">
        <x:v>“直播主题”显示记录A的数据准备值，不串用记录B的数据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来源（当前证据）：liveshow-proto/MainBasis/统一需求文档.md；位置：第2124行、第2122行、第2123行
2. 规则：BR-a93390ea99d401ec
3. 未动态验证</x:v>
      </x:c>
    </x:row>
    <x:row r="329" ht="115" customHeight="1">
      <x:c r="A329" s="10" t="n">
        <x:v>328</x:v>
      </x:c>
      <x:c r="B329" s="10" t="str">
        <x:v>GUILD-0328</x:v>
      </x:c>
      <x:c r="C329" s="10" t="str">
        <x:v>数据与收益</x:v>
      </x:c>
      <x:c r="D329" s="10" t="str">
        <x:v>直播场次详情（公会长）</x:v>
      </x:c>
      <x:c r="E329" s="10" t="str">
        <x:v>功能需求</x:v>
      </x:c>
      <x:c r="F329" s="10" t="str">
        <x:v>P1</x:v>
      </x:c>
      <x:c r="G329" s="9" t="str">
        <x:v>验证直播场次详情中场次 ID对应当前记录</x:v>
      </x:c>
      <x:c r="H329" s="9" t="str">
        <x:v>场次 ID</x:v>
      </x:c>
      <x:c r="I329" s="9" t="str">
        <x:v>1. 当前执行账号具有公会App会话，身份为公会长；具体账号及权限变化按以下条件准备
2. 本页范围内测试记录A的“场次 ID”为数据准备记录A的实际系统编号；另有同类型记录B，字段值不同</x:v>
      </x:c>
      <x:c r="J329" s="9" t="str">
        <x:v>1. 打开直播场次详情
2. 查看记录A的“场次 ID”</x:v>
      </x:c>
      <x:c r="K329" s="9" t="str">
        <x:v>“场次 ID”显示记录A的数据准备值，不串用记录B的数据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来源（当前证据）：liveshow-proto/MainBasis/统一需求文档.md；位置：第2124行、第2122行、第2123行
2. 规则：BR-af3b5527d7b18f0d
3. 未动态验证</x:v>
      </x:c>
    </x:row>
    <x:row r="330" ht="115" customHeight="1">
      <x:c r="A330" s="10" t="n">
        <x:v>329</x:v>
      </x:c>
      <x:c r="B330" s="10" t="str">
        <x:v>GUILD-0329</x:v>
      </x:c>
      <x:c r="C330" s="10" t="str">
        <x:v>数据与收益</x:v>
      </x:c>
      <x:c r="D330" s="10" t="str">
        <x:v>直播场次详情（公会长）</x:v>
      </x:c>
      <x:c r="E330" s="10" t="str">
        <x:v>功能需求</x:v>
      </x:c>
      <x:c r="F330" s="10" t="str">
        <x:v>P1</x:v>
      </x:c>
      <x:c r="G330" s="9" t="str">
        <x:v>验证直播场次详情中主播 ID对应当前记录</x:v>
      </x:c>
      <x:c r="H330" s="9" t="str">
        <x:v>主播 ID</x:v>
      </x:c>
      <x:c r="I330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330" s="9" t="str">
        <x:v>1. 打开直播场次详情
2. 查看记录A的“主播 ID”</x:v>
      </x:c>
      <x:c r="K330" s="9" t="str">
        <x:v>“主播 ID”显示记录A的数据准备值，不串用记录B的数据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来源（当前证据）：liveshow-proto/MainBasis/统一需求文档.md；位置：第2124行、第2122行、第2123行
2. 规则：BR-95e8a8360708b636
3. 未动态验证</x:v>
      </x:c>
    </x:row>
    <x:row r="331" ht="115" customHeight="1">
      <x:c r="A331" s="10" t="n">
        <x:v>330</x:v>
      </x:c>
      <x:c r="B331" s="10" t="str">
        <x:v>GUILD-0330</x:v>
      </x:c>
      <x:c r="C331" s="10" t="str">
        <x:v>数据与收益</x:v>
      </x:c>
      <x:c r="D331" s="10" t="str">
        <x:v>直播场次详情（公会长）</x:v>
      </x:c>
      <x:c r="E331" s="10" t="str">
        <x:v>功能需求</x:v>
      </x:c>
      <x:c r="F331" s="10" t="str">
        <x:v>P1</x:v>
      </x:c>
      <x:c r="G331" s="9" t="str">
        <x:v>验证直播场次详情中赠送时间对应当前记录</x:v>
      </x:c>
      <x:c r="H331" s="9" t="str">
        <x:v>赠送时间</x:v>
      </x:c>
      <x:c r="I331" s="9" t="str">
        <x:v>1. 当前执行账号具有公会App会话，身份为公会长；具体账号及权限变化按以下条件准备
2. 本页范围内测试记录A的“赠送时间”为2026-09-14 10:00；另有同类型记录B，字段值不同</x:v>
      </x:c>
      <x:c r="J331" s="9" t="str">
        <x:v>1. 打开直播场次详情
2. 查看记录A的“赠送时间”</x:v>
      </x:c>
      <x:c r="K331" s="9" t="str">
        <x:v>“赠送时间”显示记录A的数据准备值，不串用记录B的数据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来源（当前证据）：liveshow-proto/MainBasis/统一需求文档.md；位置：第2125行、第2122行、第2123行
2. 规则：BR-45c821ccbf8b1107
3. 未动态验证</x:v>
      </x:c>
    </x:row>
    <x:row r="332" ht="100" customHeight="1">
      <x:c r="A332" s="10" t="n">
        <x:v>331</x:v>
      </x:c>
      <x:c r="B332" s="10" t="str">
        <x:v>GUILD-0331</x:v>
      </x:c>
      <x:c r="C332" s="10" t="str">
        <x:v>数据与收益</x:v>
      </x:c>
      <x:c r="D332" s="10" t="str">
        <x:v>直播场次详情（公会长）</x:v>
      </x:c>
      <x:c r="E332" s="10" t="str">
        <x:v>功能需求</x:v>
      </x:c>
      <x:c r="F332" s="10" t="str">
        <x:v>P1</x:v>
      </x:c>
      <x:c r="G332" s="9" t="str">
        <x:v>验证直播场次详情中礼物名称对应当前记录</x:v>
      </x:c>
      <x:c r="H332" s="9" t="str">
        <x:v>礼物名称</x:v>
      </x:c>
      <x:c r="I332" s="9" t="str">
        <x:v>1. 当前执行账号具有公会App会话，身份为公会长；具体账号及权限变化按以下条件准备
2. 本页范围内测试记录A的“礼物名称”为测试A；另有同类型记录B，字段值不同</x:v>
      </x:c>
      <x:c r="J332" s="9" t="str">
        <x:v>1. 打开直播场次详情
2. 查看记录A的“礼物名称”</x:v>
      </x:c>
      <x:c r="K332" s="9" t="str">
        <x:v>“礼物名称”显示记录A的数据准备值，不串用记录B的数据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来源（当前证据）：liveshow-proto/MainBasis/统一需求文档.md；位置：第2125行、第2122行、第2123行
2. 规则：BR-863dbba78537bc7f
3. 未动态验证</x:v>
      </x:c>
    </x:row>
    <x:row r="333" ht="100" customHeight="1">
      <x:c r="A333" s="10" t="n">
        <x:v>332</x:v>
      </x:c>
      <x:c r="B333" s="10" t="str">
        <x:v>GUILD-0332</x:v>
      </x:c>
      <x:c r="C333" s="10" t="str">
        <x:v>数据与收益</x:v>
      </x:c>
      <x:c r="D333" s="10" t="str">
        <x:v>直播场次详情（公会长）</x:v>
      </x:c>
      <x:c r="E333" s="10" t="str">
        <x:v>功能需求</x:v>
      </x:c>
      <x:c r="F333" s="10" t="str">
        <x:v>P1</x:v>
      </x:c>
      <x:c r="G333" s="9" t="str">
        <x:v>验证直播场次详情中消费金币对应当前记录</x:v>
      </x:c>
      <x:c r="H333" s="9" t="str">
        <x:v>消费金币</x:v>
      </x:c>
      <x:c r="I333" s="9" t="str">
        <x:v>1. 当前执行账号具有公会App会话，身份为公会长；具体账号及权限变化按以下条件准备
2. 本页范围内测试记录A的“消费金币”为100；另有同类型记录B，字段值不同</x:v>
      </x:c>
      <x:c r="J333" s="9" t="str">
        <x:v>1. 打开直播场次详情
2. 查看记录A的“消费金币”</x:v>
      </x:c>
      <x:c r="K333" s="9" t="str">
        <x:v>“消费金币”显示记录A的数据准备值，不串用记录B的数据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来源（当前证据）：liveshow-proto/MainBasis/统一需求文档.md；位置：第2125行、第2122行、第2123行
2. 规则：BR-1ee7e822dc8d41cb
3. 未动态验证</x:v>
      </x:c>
    </x:row>
    <x:row r="334" ht="115" customHeight="1">
      <x:c r="A334" s="10" t="n">
        <x:v>333</x:v>
      </x:c>
      <x:c r="B334" s="10" t="str">
        <x:v>GUILD-0333</x:v>
      </x:c>
      <x:c r="C334" s="10" t="str">
        <x:v>数据与收益</x:v>
      </x:c>
      <x:c r="D334" s="10" t="str">
        <x:v>直播场次详情（公会长）</x:v>
      </x:c>
      <x:c r="E334" s="10" t="str">
        <x:v>功能需求</x:v>
      </x:c>
      <x:c r="F334" s="10" t="str">
        <x:v>P1</x:v>
      </x:c>
      <x:c r="G334" s="9" t="str">
        <x:v>验证直播场次详情中赠送时间对应当前记录</x:v>
      </x:c>
      <x:c r="H334" s="9" t="str">
        <x:v>赠送时间</x:v>
      </x:c>
      <x:c r="I334" s="9" t="str">
        <x:v>1. 当前执行账号具有公会App会话，身份为公会长；具体账号及权限变化按以下条件准备
2. 本页范围内测试记录A的“赠送时间”为2026-09-14 10:00；另有同类型记录B，字段值不同</x:v>
      </x:c>
      <x:c r="J334" s="9" t="str">
        <x:v>1. 打开直播场次详情
2. 点击送礼记录A
3. 查看记录A的“赠送时间”</x:v>
      </x:c>
      <x:c r="K334" s="9" t="str">
        <x:v>“赠送时间”显示记录A的数据准备值，不串用记录B的数据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来源（当前证据）：liveshow-proto/MainBasis/统一需求文档.md；位置：第2126行、第2122行、第2123行
2. 规则：BR-add515185420132e
3. 未动态验证</x:v>
      </x:c>
    </x:row>
    <x:row r="335" ht="100" customHeight="1">
      <x:c r="A335" s="10" t="n">
        <x:v>334</x:v>
      </x:c>
      <x:c r="B335" s="10" t="str">
        <x:v>GUILD-0334</x:v>
      </x:c>
      <x:c r="C335" s="10" t="str">
        <x:v>数据与收益</x:v>
      </x:c>
      <x:c r="D335" s="10" t="str">
        <x:v>直播场次详情（公会长）</x:v>
      </x:c>
      <x:c r="E335" s="10" t="str">
        <x:v>功能需求</x:v>
      </x:c>
      <x:c r="F335" s="10" t="str">
        <x:v>P1</x:v>
      </x:c>
      <x:c r="G335" s="9" t="str">
        <x:v>验证直播场次详情中礼物名称对应当前记录</x:v>
      </x:c>
      <x:c r="H335" s="9" t="str">
        <x:v>礼物名称</x:v>
      </x:c>
      <x:c r="I335" s="9" t="str">
        <x:v>1. 当前执行账号具有公会App会话，身份为公会长；具体账号及权限变化按以下条件准备
2. 本页范围内测试记录A的“礼物名称”为测试A；另有同类型记录B，字段值不同</x:v>
      </x:c>
      <x:c r="J335" s="9" t="str">
        <x:v>1. 打开直播场次详情
2. 点击送礼记录A
3. 查看记录A的“礼物名称”</x:v>
      </x:c>
      <x:c r="K335" s="9" t="str">
        <x:v>“礼物名称”显示记录A的数据准备值，不串用记录B的数据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来源（当前证据）：liveshow-proto/MainBasis/统一需求文档.md；位置：第2126行、第2122行、第2123行
2. 规则：BR-c45f5b4af77a9451
3. 未动态验证</x:v>
      </x:c>
    </x:row>
    <x:row r="336" ht="100" customHeight="1">
      <x:c r="A336" s="10" t="n">
        <x:v>335</x:v>
      </x:c>
      <x:c r="B336" s="10" t="str">
        <x:v>GUILD-0335</x:v>
      </x:c>
      <x:c r="C336" s="10" t="str">
        <x:v>数据与收益</x:v>
      </x:c>
      <x:c r="D336" s="10" t="str">
        <x:v>直播场次详情（公会长）</x:v>
      </x:c>
      <x:c r="E336" s="10" t="str">
        <x:v>功能需求</x:v>
      </x:c>
      <x:c r="F336" s="10" t="str">
        <x:v>P1</x:v>
      </x:c>
      <x:c r="G336" s="9" t="str">
        <x:v>验证直播场次详情中消费金币对应当前记录</x:v>
      </x:c>
      <x:c r="H336" s="9" t="str">
        <x:v>消费金币</x:v>
      </x:c>
      <x:c r="I336" s="9" t="str">
        <x:v>1. 当前执行账号具有公会App会话，身份为公会长；具体账号及权限变化按以下条件准备
2. 本页范围内测试记录A的“消费金币”为100；另有同类型记录B，字段值不同</x:v>
      </x:c>
      <x:c r="J336" s="9" t="str">
        <x:v>1. 打开直播场次详情
2. 点击送礼记录A
3. 查看记录A的“消费金币”</x:v>
      </x:c>
      <x:c r="K336" s="9" t="str">
        <x:v>“消费金币”显示记录A的数据准备值，不串用记录B的数据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来源（当前证据）：liveshow-proto/MainBasis/统一需求文档.md；位置：第2126行、第2122行、第2123行
2. 规则：BR-ceb822aca0855523
3. 未动态验证</x:v>
      </x:c>
    </x:row>
    <x:row r="337" ht="100" customHeight="1">
      <x:c r="A337" s="10" t="n">
        <x:v>336</x:v>
      </x:c>
      <x:c r="B337" s="10" t="str">
        <x:v>GUILD-0336</x:v>
      </x:c>
      <x:c r="C337" s="10" t="str">
        <x:v>数据与收益</x:v>
      </x:c>
      <x:c r="D337" s="10" t="str">
        <x:v>直播场次详情（公会长）</x:v>
      </x:c>
      <x:c r="E337" s="10" t="str">
        <x:v>功能需求</x:v>
      </x:c>
      <x:c r="F337" s="10" t="str">
        <x:v>P1</x:v>
      </x:c>
      <x:c r="G337" s="9" t="str">
        <x:v>验证直播场次详情中礼物单价对应当前记录</x:v>
      </x:c>
      <x:c r="H337" s="9" t="str">
        <x:v>礼物单价</x:v>
      </x:c>
      <x:c r="I337" s="9" t="str">
        <x:v>1. 当前执行账号具有公会App会话，身份为公会长；具体账号及权限变化按以下条件准备
2. 本页范围内测试记录A的“礼物单价”为100；另有同类型记录B，字段值不同</x:v>
      </x:c>
      <x:c r="J337" s="9" t="str">
        <x:v>1. 打开直播场次详情
2. 点击送礼记录A
3. 查看记录A的“礼物单价”</x:v>
      </x:c>
      <x:c r="K337" s="9" t="str">
        <x:v>“礼物单价”显示记录A的数据准备值，不串用记录B的数据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来源（当前证据）：liveshow-proto/MainBasis/统一需求文档.md；位置：第2126行、第2122行、第2123行
2. 规则：BR-889800833a68aa14
3. 未动态验证</x:v>
      </x:c>
    </x:row>
    <x:row r="338" ht="130" customHeight="1">
      <x:c r="A338" s="10" t="n">
        <x:v>337</x:v>
      </x:c>
      <x:c r="B338" s="10" t="str">
        <x:v>GUILD-0337</x:v>
      </x:c>
      <x:c r="C338" s="10" t="str">
        <x:v>数据与收益</x:v>
      </x:c>
      <x:c r="D338" s="10" t="str">
        <x:v>直播场次详情（公会长）</x:v>
      </x:c>
      <x:c r="E338" s="10" t="str">
        <x:v>功能需求</x:v>
      </x:c>
      <x:c r="F338" s="10" t="str">
        <x:v>P1</x:v>
      </x:c>
      <x:c r="G338" s="9" t="str">
        <x:v>验证直播场次详情中礼物类型对应当前记录</x:v>
      </x:c>
      <x:c r="H338" s="9" t="str">
        <x:v>礼物类型</x:v>
      </x:c>
      <x:c r="I338" s="9" t="str">
        <x:v>1. 当前执行账号具有公会App会话，身份为公会长；具体账号及权限变化按以下条件准备
2. 本页范围内测试记录A的“礼物类型”为记录A创建时实际选择的有效枚举值（保存该值供对照）；另有同类型记录B，字段值不同</x:v>
      </x:c>
      <x:c r="J338" s="9" t="str">
        <x:v>1. 打开直播场次详情
2. 点击送礼记录A
3. 查看记录A的“礼物类型”</x:v>
      </x:c>
      <x:c r="K338" s="9" t="str">
        <x:v>“礼物类型”显示记录A的数据准备值，不串用记录B的数据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来源（当前证据）：liveshow-proto/MainBasis/统一需求文档.md；位置：第2126行、第2122行、第2123行
2. 规则：BR-b0e122cef91d7145
3. 未动态验证</x:v>
      </x:c>
    </x:row>
    <x:row r="339" ht="100" customHeight="1">
      <x:c r="A339" s="10" t="n">
        <x:v>338</x:v>
      </x:c>
      <x:c r="B339" s="10" t="str">
        <x:v>GUILD-0338</x:v>
      </x:c>
      <x:c r="C339" s="10" t="str">
        <x:v>数据与收益</x:v>
      </x:c>
      <x:c r="D339" s="10" t="str">
        <x:v>直播场次详情（公会长）</x:v>
      </x:c>
      <x:c r="E339" s="10" t="str">
        <x:v>功能需求</x:v>
      </x:c>
      <x:c r="F339" s="10" t="str">
        <x:v>P1</x:v>
      </x:c>
      <x:c r="G339" s="9" t="str">
        <x:v>验证直播场次详情中赠送数量对应当前记录</x:v>
      </x:c>
      <x:c r="H339" s="9" t="str">
        <x:v>赠送数量</x:v>
      </x:c>
      <x:c r="I339" s="9" t="str">
        <x:v>1. 当前执行账号具有公会App会话，身份为公会长；具体账号及权限变化按以下条件准备
2. 本页范围内测试记录A的“赠送数量”为2；另有同类型记录B，字段值不同</x:v>
      </x:c>
      <x:c r="J339" s="9" t="str">
        <x:v>1. 打开直播场次详情
2. 点击送礼记录A
3. 查看记录A的“赠送数量”</x:v>
      </x:c>
      <x:c r="K339" s="9" t="str">
        <x:v>“赠送数量”显示记录A的数据准备值，不串用记录B的数据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来源（当前证据）：liveshow-proto/MainBasis/统一需求文档.md；位置：第2126行、第2122行、第2123行
2. 规则：BR-80dc051909d76110
3. 未动态验证</x:v>
      </x:c>
    </x:row>
    <x:row r="340" ht="115" customHeight="1">
      <x:c r="A340" s="10" t="n">
        <x:v>339</x:v>
      </x:c>
      <x:c r="B340" s="10" t="str">
        <x:v>GUILD-0339</x:v>
      </x:c>
      <x:c r="C340" s="10" t="str">
        <x:v>数据与收益</x:v>
      </x:c>
      <x:c r="D340" s="10" t="str">
        <x:v>直播场次详情（公会长）</x:v>
      </x:c>
      <x:c r="E340" s="10" t="str">
        <x:v>功能需求</x:v>
      </x:c>
      <x:c r="F340" s="10" t="str">
        <x:v>P1</x:v>
      </x:c>
      <x:c r="G340" s="9" t="str">
        <x:v>验证直播场次详情中用户 ID对应当前记录</x:v>
      </x:c>
      <x:c r="H340" s="9" t="str">
        <x:v>用户 ID</x:v>
      </x:c>
      <x:c r="I340" s="9" t="str">
        <x:v>1. 当前执行账号具有公会App会话，身份为公会长；具体账号及权限变化按以下条件准备
2. 本页范围内测试记录A的“用户 ID”为数据准备记录A的实际系统编号；另有同类型记录B，字段值不同</x:v>
      </x:c>
      <x:c r="J340" s="9" t="str">
        <x:v>1. 打开直播场次详情
2. 点击送礼记录A
3. 查看记录A的“用户 ID”</x:v>
      </x:c>
      <x:c r="K340" s="9" t="str">
        <x:v>“用户 ID”显示记录A的数据准备值，不串用记录B的数据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来源（当前证据）：liveshow-proto/MainBasis/统一需求文档.md；位置：第2126行、第2122行、第2123行
2. 规则：BR-2ac9430c1ec7ce45
3. 未动态验证</x:v>
      </x:c>
    </x:row>
    <x:row r="341" ht="115" customHeight="1">
      <x:c r="A341" s="10" t="n">
        <x:v>340</x:v>
      </x:c>
      <x:c r="B341" s="10" t="str">
        <x:v>GUILD-0340</x:v>
      </x:c>
      <x:c r="C341" s="10" t="str">
        <x:v>数据与收益</x:v>
      </x:c>
      <x:c r="D341" s="10" t="str">
        <x:v>违规记录（公会长）</x:v>
      </x:c>
      <x:c r="E341" s="10" t="str">
        <x:v>功能需求</x:v>
      </x:c>
      <x:c r="F341" s="10" t="str">
        <x:v>P1</x:v>
      </x:c>
      <x:c r="G341" s="9" t="str">
        <x:v>验证违规记录中主播 ID对应当前记录</x:v>
      </x:c>
      <x:c r="H341" s="9" t="str">
        <x:v>主播 ID</x:v>
      </x:c>
      <x:c r="I341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341" s="9" t="str">
        <x:v>1. 打开违规记录
2. 查看记录A的“主播 ID”</x:v>
      </x:c>
      <x:c r="K341" s="9" t="str">
        <x:v>“主播 ID”显示记录A的数据准备值，不串用记录B的数据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来源（当前证据）：liveshow-proto/MainBasis/统一需求文档.md；位置：第2135行、第2132行、第2133行
2. 规则：BR-0953bed1627d4bca
3. 未动态验证</x:v>
      </x:c>
    </x:row>
    <x:row r="342" ht="115" customHeight="1">
      <x:c r="A342" s="10" t="n">
        <x:v>341</x:v>
      </x:c>
      <x:c r="B342" s="10" t="str">
        <x:v>GUILD-0341</x:v>
      </x:c>
      <x:c r="C342" s="10" t="str">
        <x:v>数据与收益</x:v>
      </x:c>
      <x:c r="D342" s="10" t="str">
        <x:v>违规记录（公会长）</x:v>
      </x:c>
      <x:c r="E342" s="10" t="str">
        <x:v>功能需求</x:v>
      </x:c>
      <x:c r="F342" s="10" t="str">
        <x:v>P1</x:v>
      </x:c>
      <x:c r="G342" s="9" t="str">
        <x:v>验证违规记录中发生时间对应当前记录</x:v>
      </x:c>
      <x:c r="H342" s="9" t="str">
        <x:v>发生时间</x:v>
      </x:c>
      <x:c r="I342" s="9" t="str">
        <x:v>1. 当前执行账号具有公会App会话，身份为公会长；具体账号及权限变化按以下条件准备
2. 本页范围内测试记录A的“发生时间”为2026-09-14 10:00；另有同类型记录B，字段值不同</x:v>
      </x:c>
      <x:c r="J342" s="9" t="str">
        <x:v>1. 打开违规记录
2. 查看记录A的“发生时间”</x:v>
      </x:c>
      <x:c r="K342" s="9" t="str">
        <x:v>“发生时间”显示记录A的数据准备值，不串用记录B的数据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来源（当前证据）：liveshow-proto/MainBasis/统一需求文档.md；位置：第2137行、第2132行、第2133行
2. 规则：BR-83992653e3ada758
3. 未动态验证</x:v>
      </x:c>
    </x:row>
    <x:row r="343" ht="100" customHeight="1">
      <x:c r="A343" s="10" t="n">
        <x:v>342</x:v>
      </x:c>
      <x:c r="B343" s="10" t="str">
        <x:v>GUILD-0342</x:v>
      </x:c>
      <x:c r="C343" s="10" t="str">
        <x:v>数据与收益</x:v>
      </x:c>
      <x:c r="D343" s="10" t="str">
        <x:v>每日（公会长）</x:v>
      </x:c>
      <x:c r="E343" s="10" t="str">
        <x:v>功能需求</x:v>
      </x:c>
      <x:c r="F343" s="10" t="str">
        <x:v>P1</x:v>
      </x:c>
      <x:c r="G343" s="9" t="str">
        <x:v>验证每日中头像对应当前记录</x:v>
      </x:c>
      <x:c r="H343" s="9" t="str">
        <x:v>头像</x:v>
      </x:c>
      <x:c r="I343" s="9" t="str">
        <x:v>1. 当前执行账号具有公会App会话，身份为公会长；具体账号及权限变化按以下条件准备
2. 本页范围内测试记录A的“头像”为预置图片A；另有同类型记录B，字段值不同</x:v>
      </x:c>
      <x:c r="J343" s="9" t="str">
        <x:v>1. 打开每日
2. 查看记录A的“头像”</x:v>
      </x:c>
      <x:c r="K343" s="9" t="str">
        <x:v>“头像”显示记录A的数据准备值，不串用记录B的数据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来源（当前证据）：liveshow-proto/MainBasis/统一需求文档.md；位置：第2156行、第2153行、第2154行
2. 规则：BR-2fd152f9e5d21265
3. 未动态验证</x:v>
      </x:c>
    </x:row>
    <x:row r="344" ht="100" customHeight="1">
      <x:c r="A344" s="10" t="n">
        <x:v>343</x:v>
      </x:c>
      <x:c r="B344" s="10" t="str">
        <x:v>GUILD-0343</x:v>
      </x:c>
      <x:c r="C344" s="10" t="str">
        <x:v>数据与收益</x:v>
      </x:c>
      <x:c r="D344" s="10" t="str">
        <x:v>每日（公会长）</x:v>
      </x:c>
      <x:c r="E344" s="10" t="str">
        <x:v>功能需求</x:v>
      </x:c>
      <x:c r="F344" s="10" t="str">
        <x:v>P1</x:v>
      </x:c>
      <x:c r="G344" s="9" t="str">
        <x:v>验证每日中名称对应当前记录</x:v>
      </x:c>
      <x:c r="H344" s="9" t="str">
        <x:v>名称</x:v>
      </x:c>
      <x:c r="I344" s="9" t="str">
        <x:v>1. 当前执行账号具有公会App会话，身份为公会长；具体账号及权限变化按以下条件准备
2. 本页范围内测试记录A的“名称”为测试A；另有同类型记录B，字段值不同</x:v>
      </x:c>
      <x:c r="J344" s="9" t="str">
        <x:v>1. 打开每日
2. 查看记录A的“名称”</x:v>
      </x:c>
      <x:c r="K344" s="9" t="str">
        <x:v>“名称”显示记录A的数据准备值，不串用记录B的数据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来源（当前证据）：liveshow-proto/MainBasis/统一需求文档.md；位置：第2156行、第2153行、第2154行
2. 规则：BR-e0f8d2ee774b7666
3. 未动态验证</x:v>
      </x:c>
    </x:row>
    <x:row r="345" ht="115" customHeight="1">
      <x:c r="A345" s="10" t="n">
        <x:v>344</x:v>
      </x:c>
      <x:c r="B345" s="10" t="str">
        <x:v>GUILD-0344</x:v>
      </x:c>
      <x:c r="C345" s="10" t="str">
        <x:v>数据与收益</x:v>
      </x:c>
      <x:c r="D345" s="10" t="str">
        <x:v>每日（公会长）</x:v>
      </x:c>
      <x:c r="E345" s="10" t="str">
        <x:v>功能需求</x:v>
      </x:c>
      <x:c r="F345" s="10" t="str">
        <x:v>P1</x:v>
      </x:c>
      <x:c r="G345" s="9" t="str">
        <x:v>验证每日中主播 ID对应当前记录</x:v>
      </x:c>
      <x:c r="H345" s="9" t="str">
        <x:v>主播 ID</x:v>
      </x:c>
      <x:c r="I345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345" s="9" t="str">
        <x:v>1. 打开每日
2. 查看记录A的“主播 ID”</x:v>
      </x:c>
      <x:c r="K345" s="9" t="str">
        <x:v>“主播 ID”显示记录A的数据准备值，不串用记录B的数据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来源（当前证据）：liveshow-proto/MainBasis/统一需求文档.md；位置：第2156行、第2153行、第2154行
2. 规则：BR-8b3db8e1cae59948
3. 未动态验证</x:v>
      </x:c>
    </x:row>
    <x:row r="346" ht="160" customHeight="1">
      <x:c r="A346" s="10" t="n">
        <x:v>345</x:v>
      </x:c>
      <x:c r="B346" s="10" t="str">
        <x:v>GUILD-0345</x:v>
      </x:c>
      <x:c r="C346" s="10" t="str">
        <x:v>数据与收益</x:v>
      </x:c>
      <x:c r="D346" s="10" t="str">
        <x:v>每日（公会长）</x:v>
      </x:c>
      <x:c r="E346" s="10" t="str">
        <x:v>功能需求</x:v>
      </x:c>
      <x:c r="F346" s="10" t="str">
        <x:v>P1</x:v>
      </x:c>
      <x:c r="G346" s="9" t="str">
        <x:v>验证每日中开播状态对应当前记录</x:v>
      </x:c>
      <x:c r="H346" s="9" t="str">
        <x:v>开播状态</x:v>
      </x:c>
      <x:c r="I346" s="9" t="str">
        <x:v>1. 当前执行账号具有公会App会话，身份为公会长；具体账号及权限变化按以下条件准备
2. 本页范围内测试记录A的“开播状态”为记录A创建时实际选择的有效枚举值（保存该值供对照）；另有同类型记录B，字段值不同
3. 当前所选日期为今日，A当前在播且B已下播</x:v>
      </x:c>
      <x:c r="J346" s="9" t="str">
        <x:v>1. 打开每日
2. 查看记录A的“开播状态”</x:v>
      </x:c>
      <x:c r="K346" s="9" t="str">
        <x:v>A显示直播中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来源（当前证据）：liveshow-proto/MainBasis/统一需求文档.md；位置：第2157行、第2153行、第2154行
2. 规则：BR-817f7efb705423ca
3. 未动态验证</x:v>
      </x:c>
    </x:row>
    <x:row r="347" ht="115" customHeight="1">
      <x:c r="A347" s="10" t="n">
        <x:v>346</x:v>
      </x:c>
      <x:c r="B347" s="10" t="str">
        <x:v>GUILD-0346</x:v>
      </x:c>
      <x:c r="C347" s="10" t="str">
        <x:v>数据与收益</x:v>
      </x:c>
      <x:c r="D347" s="10" t="str">
        <x:v>主播分成记录（公会长）</x:v>
      </x:c>
      <x:c r="E347" s="10" t="str">
        <x:v>功能需求</x:v>
      </x:c>
      <x:c r="F347" s="10" t="str">
        <x:v>P1</x:v>
      </x:c>
      <x:c r="G347" s="9" t="str">
        <x:v>验证主播分成记录中主播 ID对应当前记录</x:v>
      </x:c>
      <x:c r="H347" s="9" t="str">
        <x:v>主播 ID</x:v>
      </x:c>
      <x:c r="I347" s="9" t="str">
        <x:v>1. 当前执行账号具有公会App会话，身份为公会长；具体账号及权限变化按以下条件准备
2. 本页范围内测试记录A的“主播 ID”为数据准备记录A的实际系统编号；另有同类型记录B，字段值不同</x:v>
      </x:c>
      <x:c r="J347" s="9" t="str">
        <x:v>1. 打开主播分成记录
2. 查看记录A的“主播 ID”</x:v>
      </x:c>
      <x:c r="K347" s="9" t="str">
        <x:v>“主播 ID”显示记录A的数据准备值，不串用记录B的数据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来源（当前证据）：liveshow-proto/MainBasis/统一需求文档.md；位置：第2164行、第2161行、第2162行
2. 规则：BR-3920f331be6e79b0
3. 未动态验证</x:v>
      </x:c>
    </x:row>
    <x:row r="348" ht="115" customHeight="1">
      <x:c r="A348" s="10" t="n">
        <x:v>347</x:v>
      </x:c>
      <x:c r="B348" s="10" t="str">
        <x:v>GUILD-0347</x:v>
      </x:c>
      <x:c r="C348" s="10" t="str">
        <x:v>数据与收益</x:v>
      </x:c>
      <x:c r="D348" s="10" t="str">
        <x:v>主播分成记录（公会长）</x:v>
      </x:c>
      <x:c r="E348" s="10" t="str">
        <x:v>功能需求</x:v>
      </x:c>
      <x:c r="F348" s="10" t="str">
        <x:v>P1</x:v>
      </x:c>
      <x:c r="G348" s="9" t="str">
        <x:v>验证主播分成记录中分成时间对应当前记录</x:v>
      </x:c>
      <x:c r="H348" s="9" t="str">
        <x:v>分成时间</x:v>
      </x:c>
      <x:c r="I348" s="9" t="str">
        <x:v>1. 当前执行账号具有公会App会话，身份为公会长；具体账号及权限变化按以下条件准备
2. 本页范围内测试记录A的“分成时间”为2026-09-14 10:00；另有同类型记录B，字段值不同</x:v>
      </x:c>
      <x:c r="J348" s="9" t="str">
        <x:v>1. 打开主播分成记录
2. 查看记录A的“分成时间”</x:v>
      </x:c>
      <x:c r="K348" s="9" t="str">
        <x:v>“分成时间”显示记录A的数据准备值，不串用记录B的数据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来源（当前证据）：liveshow-proto/MainBasis/统一需求文档.md；位置：第2165行、第2161行、第2162行
2. 规则：BR-497b02dfecd16f16
3. 未动态验证</x:v>
      </x:c>
    </x:row>
    <x:row r="349" ht="115" customHeight="1">
      <x:c r="A349" s="10" t="n">
        <x:v>348</x:v>
      </x:c>
      <x:c r="B349" s="10" t="str">
        <x:v>GUILD-0348</x:v>
      </x:c>
      <x:c r="C349" s="10" t="str">
        <x:v>数据与收益</x:v>
      </x:c>
      <x:c r="D349" s="10" t="str">
        <x:v>公会分成记录（公会长）</x:v>
      </x:c>
      <x:c r="E349" s="10" t="str">
        <x:v>功能需求</x:v>
      </x:c>
      <x:c r="F349" s="10" t="str">
        <x:v>P1</x:v>
      </x:c>
      <x:c r="G349" s="9" t="str">
        <x:v>验证公会分成记录中分成时间对应当前记录</x:v>
      </x:c>
      <x:c r="H349" s="9" t="str">
        <x:v>分成时间</x:v>
      </x:c>
      <x:c r="I349" s="9" t="str">
        <x:v>1. 当前执行账号具有公会App会话，身份为公会长；具体账号及权限变化按以下条件准备
2. 本页范围内测试记录A的“分成时间”为2026-09-14 10:00；另有同类型记录B，字段值不同</x:v>
      </x:c>
      <x:c r="J349" s="9" t="str">
        <x:v>1. 打开公会分成记录
2. 查看记录A的“分成时间”</x:v>
      </x:c>
      <x:c r="K349" s="9" t="str">
        <x:v>“分成时间”显示记录A的数据准备值，不串用记录B的数据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来源（当前证据）：liveshow-proto/MainBasis/统一需求文档.md；位置：第2172行、第2170行、第2171行
2. 规则：BR-8aaa2f7d75f7c455
3. 未动态验证</x:v>
      </x:c>
    </x:row>
    <x:row r="350" ht="100" customHeight="1">
      <x:c r="A350" s="10" t="n">
        <x:v>349</x:v>
      </x:c>
      <x:c r="B350" s="10" t="str">
        <x:v>GUILD-0349</x:v>
      </x:c>
      <x:c r="C350" s="10" t="str">
        <x:v>公会首页</x:v>
      </x:c>
      <x:c r="D350" s="10" t="str">
        <x:v>首页（公会长）</x:v>
      </x:c>
      <x:c r="E350" s="10" t="str">
        <x:v>功能需求</x:v>
      </x:c>
      <x:c r="F350" s="10" t="str">
        <x:v>P1</x:v>
      </x:c>
      <x:c r="G350" s="9" t="str">
        <x:v>验证首页通过今日概况进入关联页面</x:v>
      </x:c>
      <x:c r="H350" s="9" t="str">
        <x:v>关联页面路由</x:v>
      </x:c>
      <x:c r="I350" s="9" t="str">
        <x:v>1. 当前执行账号具有公会App会话，身份为公会长；具体账号及权限变化按以下条件准备
2. 当前首页入口可访问；需选择对象时，本页存在可访问记录A，已记录其实际编号</x:v>
      </x:c>
      <x:c r="J350" s="9" t="str">
        <x:v>1. 打开首页
2. 点击今日概况</x:v>
      </x:c>
      <x:c r="K350" s="9" t="str">
        <x:v>进入当日经营详情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来源（当前证据）：liveshow-proto/MainBasis/统一需求文档.md；位置：第1906行、第1899行、第1900行
2. 规则：BR-8f216b52fcd13167
3. 未动态验证</x:v>
      </x:c>
    </x:row>
    <x:row r="351" ht="100" customHeight="1">
      <x:c r="A351" s="10" t="n">
        <x:v>350</x:v>
      </x:c>
      <x:c r="B351" s="10" t="str">
        <x:v>GUILD-0350</x:v>
      </x:c>
      <x:c r="C351" s="10" t="str">
        <x:v>公会首页</x:v>
      </x:c>
      <x:c r="D351" s="10" t="str">
        <x:v>通知消息（公会长）</x:v>
      </x:c>
      <x:c r="E351" s="10" t="str">
        <x:v>功能需求</x:v>
      </x:c>
      <x:c r="F351" s="10" t="str">
        <x:v>P1</x:v>
      </x:c>
      <x:c r="G351" s="9" t="str">
        <x:v>验证通知消息通过通知进入关联页面</x:v>
      </x:c>
      <x:c r="H351" s="9" t="str">
        <x:v>关联页面路由</x:v>
      </x:c>
      <x:c r="I351" s="9" t="str">
        <x:v>1. 当前执行账号具有公会App会话，身份为公会长；具体账号及权限变化按以下条件准备
2. 当前通知消息入口可访问；需选择对象时，本页存在可访问记录A，已记录其实际编号</x:v>
      </x:c>
      <x:c r="J351" s="9" t="str">
        <x:v>1. 打开通知消息
2. 点击通知</x:v>
      </x:c>
      <x:c r="K351" s="9" t="str">
        <x:v>进入通知详情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来源（当前证据）：liveshow-proto/MainBasis/统一需求文档.md；位置：第1918行、第1908行、第1909行
2. 规则：BR-18c22b57d1998d2a
3. 未动态验证</x:v>
      </x:c>
    </x:row>
    <x:row r="352" ht="130" customHeight="1">
      <x:c r="A352" s="10" t="n">
        <x:v>351</x:v>
      </x:c>
      <x:c r="B352" s="10" t="str">
        <x:v>GUILD-0351</x:v>
      </x:c>
      <x:c r="C352" s="10" t="str">
        <x:v>公会首页</x:v>
      </x:c>
      <x:c r="D352" s="10" t="str">
        <x:v>通知详情（公会长）</x:v>
      </x:c>
      <x:c r="E352" s="10" t="str">
        <x:v>功能需求</x:v>
      </x:c>
      <x:c r="F352" s="10" t="str">
        <x:v>P1</x:v>
      </x:c>
      <x:c r="G352" s="9" t="str">
        <x:v>验证通知详情通过业务入口进入关联页面</x:v>
      </x:c>
      <x:c r="H352" s="9" t="str">
        <x:v>关联页面路由</x:v>
      </x:c>
      <x:c r="I352" s="9" t="str">
        <x:v>1. 当前执行账号具有公会App会话，身份为公会长；具体账号及权限变化按以下条件准备
2. 当前通知详情入口可访问；需选择对象时，本页存在可访问记录A，已记录其实际编号
3. 通知A关联当前公会入会申请J1，当前公会长有J1查看权限</x:v>
      </x:c>
      <x:c r="J352" s="9" t="str">
        <x:v>1. 打开通知A详情
2. 点击关联入会申请业务入口</x:v>
      </x:c>
      <x:c r="K352" s="9" t="str">
        <x:v>进入J1入会申请详情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来源（当前证据）：liveshow-proto/MainBasis/统一需求文档.md；位置：第1926行、第1920行、第1921行
2. 规则：BR-601fc2d3f4c5297f
3. 未动态验证</x:v>
      </x:c>
    </x:row>
    <x:row r="353" ht="100" customHeight="1">
      <x:c r="A353" s="10" t="n">
        <x:v>352</x:v>
      </x:c>
      <x:c r="B353" s="10" t="str">
        <x:v>GUILD-0352</x:v>
      </x:c>
      <x:c r="C353" s="10" t="str">
        <x:v>审批管理</x:v>
      </x:c>
      <x:c r="D353" s="10" t="str">
        <x:v>入会申请（公会长）</x:v>
      </x:c>
      <x:c r="E353" s="10" t="str">
        <x:v>功能需求</x:v>
      </x:c>
      <x:c r="F353" s="10" t="str">
        <x:v>P1</x:v>
      </x:c>
      <x:c r="G353" s="9" t="str">
        <x:v>验证入会申请通过申请卡片进入关联页面</x:v>
      </x:c>
      <x:c r="H353" s="9" t="str">
        <x:v>关联页面路由</x:v>
      </x:c>
      <x:c r="I353" s="9" t="str">
        <x:v>1. 当前执行账号具有公会App会话，身份为公会长；具体账号及权限变化按以下条件准备
2. 当前入会申请入口可访问；需选择对象时，本页存在可访问记录A，已记录其实际编号</x:v>
      </x:c>
      <x:c r="J353" s="9" t="str">
        <x:v>1. 打开入会申请
2. 点击申请卡片</x:v>
      </x:c>
      <x:c r="K353" s="9" t="str">
        <x:v>进入申请详情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来源（当前证据）：liveshow-proto/MainBasis/统一需求文档.md；位置：第1936行、第1928行、第1929行
2. 规则：BR-9f9790b104e2aa34
3. 未动态验证</x:v>
      </x:c>
    </x:row>
    <x:row r="354" ht="100" customHeight="1">
      <x:c r="A354" s="10" t="n">
        <x:v>353</x:v>
      </x:c>
      <x:c r="B354" s="10" t="str">
        <x:v>GUILD-0353</x:v>
      </x:c>
      <x:c r="C354" s="10" t="str">
        <x:v>审批管理</x:v>
      </x:c>
      <x:c r="D354" s="10" t="str">
        <x:v>退会申请（公会长）</x:v>
      </x:c>
      <x:c r="E354" s="10" t="str">
        <x:v>功能需求</x:v>
      </x:c>
      <x:c r="F354" s="10" t="str">
        <x:v>P1</x:v>
      </x:c>
      <x:c r="G354" s="9" t="str">
        <x:v>验证退会申请通过申请卡片进入关联页面</x:v>
      </x:c>
      <x:c r="H354" s="9" t="str">
        <x:v>关联页面路由</x:v>
      </x:c>
      <x:c r="I354" s="9" t="str">
        <x:v>1. 当前执行账号具有公会App会话，身份为公会长；具体账号及权限变化按以下条件准备
2. 当前退会申请入口可访问；需选择对象时，本页存在可访问记录A，已记录其实际编号</x:v>
      </x:c>
      <x:c r="J354" s="9" t="str">
        <x:v>1. 打开退会申请
2. 点击申请卡片</x:v>
      </x:c>
      <x:c r="K354" s="9" t="str">
        <x:v>进入申请详情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来源（当前证据）：liveshow-proto/MainBasis/统一需求文档.md；位置：第1957行、第1950行、第1951行
2. 规则：BR-10e725858bac4a2c
3. 未动态验证</x:v>
      </x:c>
    </x:row>
    <x:row r="355" ht="100" customHeight="1">
      <x:c r="A355" s="10" t="n">
        <x:v>354</x:v>
      </x:c>
      <x:c r="B355" s="10" t="str">
        <x:v>GUILD-0354</x:v>
      </x:c>
      <x:c r="C355" s="10" t="str">
        <x:v>主播管理</x:v>
      </x:c>
      <x:c r="D355" s="10" t="str">
        <x:v>主播列表（公会长）</x:v>
      </x:c>
      <x:c r="E355" s="10" t="str">
        <x:v>功能需求</x:v>
      </x:c>
      <x:c r="F355" s="10" t="str">
        <x:v>P1</x:v>
      </x:c>
      <x:c r="G355" s="9" t="str">
        <x:v>验证主播列表通过主播进入关联页面</x:v>
      </x:c>
      <x:c r="H355" s="9" t="str">
        <x:v>关联页面路由</x:v>
      </x:c>
      <x:c r="I355" s="9" t="str">
        <x:v>1. 当前执行账号具有公会App会话，身份为公会长；具体账号及权限变化按以下条件准备
2. 当前主播列表入口可访问；需选择对象时，本页存在可访问记录A，已记录其实际编号</x:v>
      </x:c>
      <x:c r="J355" s="9" t="str">
        <x:v>1. 打开主播列表
2. 点击主播</x:v>
      </x:c>
      <x:c r="K355" s="9" t="str">
        <x:v>进入主播详情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来源（当前证据）：liveshow-proto/MainBasis/统一需求文档.md；位置：第1976行、第1970行、第1971行
2. 规则：BR-8e20bcc4dc8ab6e7
3. 未动态验证</x:v>
      </x:c>
    </x:row>
    <x:row r="356" ht="100" customHeight="1">
      <x:c r="A356" s="10" t="n">
        <x:v>355</x:v>
      </x:c>
      <x:c r="B356" s="10" t="str">
        <x:v>GUILD-0355</x:v>
      </x:c>
      <x:c r="C356" s="10" t="str">
        <x:v>主播管理</x:v>
      </x:c>
      <x:c r="D356" s="10" t="str">
        <x:v>主播业绩（公会长）</x:v>
      </x:c>
      <x:c r="E356" s="10" t="str">
        <x:v>功能需求</x:v>
      </x:c>
      <x:c r="F356" s="10" t="str">
        <x:v>P1</x:v>
      </x:c>
      <x:c r="G356" s="9" t="str">
        <x:v>验证主播业绩通过主播行进入关联页面</x:v>
      </x:c>
      <x:c r="H356" s="9" t="str">
        <x:v>关联页面路由</x:v>
      </x:c>
      <x:c r="I356" s="9" t="str">
        <x:v>1. 当前执行账号具有公会App会话，身份为公会长；具体账号及权限变化按以下条件准备
2. 当前主播业绩入口可访问；需选择对象时，本页存在可访问记录A，已记录其实际编号</x:v>
      </x:c>
      <x:c r="J356" s="9" t="str">
        <x:v>1. 打开主播业绩
2. 点击主播行</x:v>
      </x:c>
      <x:c r="K356" s="9" t="str">
        <x:v>进入「主播数据」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来源（当前证据）：liveshow-proto/MainBasis/统一需求文档.md；位置：第1984行、第1978行、第1979行
2. 规则：BR-1d3c991f71eba051
3. 未动态验证</x:v>
      </x:c>
    </x:row>
    <x:row r="357" ht="100" customHeight="1">
      <x:c r="A357" s="10" t="n">
        <x:v>356</x:v>
      </x:c>
      <x:c r="B357" s="10" t="str">
        <x:v>GUILD-0356</x:v>
      </x:c>
      <x:c r="C357" s="10" t="str">
        <x:v>数据与收益</x:v>
      </x:c>
      <x:c r="D357" s="10" t="str">
        <x:v>主播数据（公会长）</x:v>
      </x:c>
      <x:c r="E357" s="10" t="str">
        <x:v>功能需求</x:v>
      </x:c>
      <x:c r="F357" s="10" t="str">
        <x:v>P1</x:v>
      </x:c>
      <x:c r="G357" s="9" t="str">
        <x:v>验证主播数据通过主页入口进入关联页面</x:v>
      </x:c>
      <x:c r="H357" s="9" t="str">
        <x:v>关联页面路由</x:v>
      </x:c>
      <x:c r="I357" s="9" t="str">
        <x:v>1. 当前执行账号具有公会App会话，身份为公会长；具体账号及权限变化按以下条件准备
2. 当前主播数据入口可访问；需选择对象时，本页存在可访问记录A，已记录其实际编号</x:v>
      </x:c>
      <x:c r="J357" s="9" t="str">
        <x:v>1. 打开主播数据
2. 点击主页入口</x:v>
      </x:c>
      <x:c r="K357" s="9" t="str">
        <x:v>进入主播详情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来源（当前证据）：liveshow-proto/MainBasis/统一需求文档.md；位置：第1994行、第1986行、第1987行
2. 规则：BR-a0823f13b84d8c4d
3. 未动态验证</x:v>
      </x:c>
    </x:row>
    <x:row r="358" ht="100" customHeight="1">
      <x:c r="A358" s="10" t="n">
        <x:v>357</x:v>
      </x:c>
      <x:c r="B358" s="10" t="str">
        <x:v>GUILD-0357</x:v>
      </x:c>
      <x:c r="C358" s="10" t="str">
        <x:v>主播管理</x:v>
      </x:c>
      <x:c r="D358" s="10" t="str">
        <x:v>主播主页（公会长）</x:v>
      </x:c>
      <x:c r="E358" s="10" t="str">
        <x:v>功能需求</x:v>
      </x:c>
      <x:c r="F358" s="10" t="str">
        <x:v>P1</x:v>
      </x:c>
      <x:c r="G358" s="9" t="str">
        <x:v>验证主播主页通过业绩进入关联页面</x:v>
      </x:c>
      <x:c r="H358" s="9" t="str">
        <x:v>关联页面路由</x:v>
      </x:c>
      <x:c r="I358" s="9" t="str">
        <x:v>1. 当前执行账号具有公会App会话，身份为公会长；具体账号及权限变化按以下条件准备
2. 当前主播主页入口可访问；需选择对象时，本页存在可访问记录A，已记录其实际编号</x:v>
      </x:c>
      <x:c r="J358" s="9" t="str">
        <x:v>1. 打开主播主页
2. 点击业绩</x:v>
      </x:c>
      <x:c r="K358" s="9" t="str">
        <x:v>进入「主播数据」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来源（当前证据）：liveshow-proto/MainBasis/统一需求文档.md；位置：第2007行、第1996行、第1997行
2. 规则：BR-30058e02d6df6b3f
3. 未动态验证</x:v>
      </x:c>
    </x:row>
    <x:row r="359" ht="100" customHeight="1">
      <x:c r="A359" s="10" t="n">
        <x:v>358</x:v>
      </x:c>
      <x:c r="B359" s="10" t="str">
        <x:v>GUILD-0358</x:v>
      </x:c>
      <x:c r="C359" s="10" t="str">
        <x:v>运营管理</x:v>
      </x:c>
      <x:c r="D359" s="10" t="str">
        <x:v>运营消息（公会长）</x:v>
      </x:c>
      <x:c r="E359" s="10" t="str">
        <x:v>功能需求</x:v>
      </x:c>
      <x:c r="F359" s="10" t="str">
        <x:v>P1</x:v>
      </x:c>
      <x:c r="G359" s="9" t="str">
        <x:v>验证运营消息通过消息记录进入关联页面</x:v>
      </x:c>
      <x:c r="H359" s="9" t="str">
        <x:v>关联页面路由</x:v>
      </x:c>
      <x:c r="I359" s="9" t="str">
        <x:v>1. 当前执行账号具有公会App会话，身份为公会长；具体账号及权限变化按以下条件准备
2. 当前运营消息入口可访问；需选择对象时，本页存在可访问记录A，已记录其实际编号</x:v>
      </x:c>
      <x:c r="J359" s="9" t="str">
        <x:v>1. 打开运营消息
2. 点击消息记录</x:v>
      </x:c>
      <x:c r="K359" s="9" t="str">
        <x:v>进入消息详情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来源（当前证据）：liveshow-proto/MainBasis/统一需求文档.md；位置：第2015行、第2009行、第2010行
2. 规则：BR-afdd9e353cbdbb06
3. 未动态验证</x:v>
      </x:c>
    </x:row>
    <x:row r="360" ht="100" customHeight="1">
      <x:c r="A360" s="10" t="n">
        <x:v>359</x:v>
      </x:c>
      <x:c r="B360" s="10" t="str">
        <x:v>GUILD-0359</x:v>
      </x:c>
      <x:c r="C360" s="10" t="str">
        <x:v>运营管理</x:v>
      </x:c>
      <x:c r="D360" s="10" t="str">
        <x:v>运营账号（公会长）</x:v>
      </x:c>
      <x:c r="E360" s="10" t="str">
        <x:v>功能需求</x:v>
      </x:c>
      <x:c r="F360" s="10" t="str">
        <x:v>P1</x:v>
      </x:c>
      <x:c r="G360" s="9" t="str">
        <x:v>验证运营账号通过账号进入关联页面</x:v>
      </x:c>
      <x:c r="H360" s="9" t="str">
        <x:v>关联页面路由</x:v>
      </x:c>
      <x:c r="I360" s="9" t="str">
        <x:v>1. 当前执行账号具有公会App会话，身份为公会长；具体账号及权限变化按以下条件准备
2. 当前运营账号入口可访问；需选择对象时，本页存在可访问记录A，已记录其实际编号</x:v>
      </x:c>
      <x:c r="J360" s="9" t="str">
        <x:v>1. 打开运营账号
2. 点击账号</x:v>
      </x:c>
      <x:c r="K360" s="9" t="str">
        <x:v>进入账号主页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来源（当前证据）：liveshow-proto/MainBasis/统一需求文档.md；位置：第2049行、第2040行、第2041行
2. 规则：BR-33046ebc521c20e2
3. 未动态验证</x:v>
      </x:c>
    </x:row>
    <x:row r="361" ht="100" customHeight="1">
      <x:c r="A361" s="10" t="n">
        <x:v>360</x:v>
      </x:c>
      <x:c r="B361" s="10" t="str">
        <x:v>GUILD-0360</x:v>
      </x:c>
      <x:c r="C361" s="10" t="str">
        <x:v>运营管理</x:v>
      </x:c>
      <x:c r="D361" s="10" t="str">
        <x:v>送礼记录（公会长）</x:v>
      </x:c>
      <x:c r="E361" s="10" t="str">
        <x:v>功能需求</x:v>
      </x:c>
      <x:c r="F361" s="10" t="str">
        <x:v>P1</x:v>
      </x:c>
      <x:c r="G361" s="9" t="str">
        <x:v>验证送礼记录通过记录进入关联页面</x:v>
      </x:c>
      <x:c r="H361" s="9" t="str">
        <x:v>关联页面路由</x:v>
      </x:c>
      <x:c r="I361" s="9" t="str">
        <x:v>1. 当前执行账号具有公会App会话，身份为公会长；具体账号及权限变化按以下条件准备
2. 当前送礼记录入口可访问；需选择对象时，本页存在可访问记录A，已记录其实际编号</x:v>
      </x:c>
      <x:c r="J361" s="9" t="str">
        <x:v>1. 打开送礼记录
2. 点击记录</x:v>
      </x:c>
      <x:c r="K361" s="9" t="str">
        <x:v>打开送礼详情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来源（当前证据）：liveshow-proto/MainBasis/统一需求文档.md；位置：第2081行、第2074行、第2075行
2. 规则：BR-2b86e9447b2de03f
3. 未动态验证</x:v>
      </x:c>
    </x:row>
    <x:row r="362" ht="100" customHeight="1">
      <x:c r="A362" s="10" t="n">
        <x:v>361</x:v>
      </x:c>
      <x:c r="B362" s="10" t="str">
        <x:v>GUILD-0361</x:v>
      </x:c>
      <x:c r="C362" s="10" t="str">
        <x:v>数据与收益</x:v>
      </x:c>
      <x:c r="D362" s="10" t="str">
        <x:v>违规记录（公会长）</x:v>
      </x:c>
      <x:c r="E362" s="10" t="str">
        <x:v>功能需求</x:v>
      </x:c>
      <x:c r="F362" s="10" t="str">
        <x:v>P1</x:v>
      </x:c>
      <x:c r="G362" s="9" t="str">
        <x:v>验证违规记录通过主播进入关联页面</x:v>
      </x:c>
      <x:c r="H362" s="9" t="str">
        <x:v>关联页面路由</x:v>
      </x:c>
      <x:c r="I362" s="9" t="str">
        <x:v>1. 当前执行账号具有公会App会话，身份为公会长；具体账号及权限变化按以下条件准备
2. 当前违规记录入口可访问；需选择对象时，本页存在可访问记录A，已记录其实际编号</x:v>
      </x:c>
      <x:c r="J362" s="9" t="str">
        <x:v>1. 打开违规记录
2. 点击主播</x:v>
      </x:c>
      <x:c r="K362" s="9" t="str">
        <x:v>进入主播详情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来源（当前证据）：liveshow-proto/MainBasis/统一需求文档.md；位置：第2141行、第2132行、第2133行
2. 规则：BR-4cd9bbe20b642db2
3. 未动态验证</x:v>
      </x:c>
    </x:row>
  </x:sheetData>
  <x:dataValidations count="3">
    <x:dataValidation type="list" sqref="E2:E362">
      <x:formula1>"功能需求,业务流程,逻辑校验,异常用例"</x:formula1>
    </x:dataValidation>
    <x:dataValidation type="list" sqref="F2:F362">
      <x:formula1>"P0,P1,P2,P3"</x:formula1>
    </x:dataValidation>
    <x:dataValidation type="list" sqref="M2:M362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be998fce5444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70" customHeight="1">
      <x:c r="A2" s="10" t="str">
        <x:v>Q-062</x:v>
      </x:c>
      <x:c r="B2" s="10" t="str">
        <x:v>REQ-Q-062</x:v>
      </x:c>
      <x:c r="C2" s="10" t="str"/>
      <x:c r="D2" s="10" t="str"/>
      <x:c r="E2" s="10" t="str">
        <x:v>部分阻塞</x:v>
      </x:c>
      <x:c r="F2" s="10" t="str">
        <x:v>个人中心</x:v>
      </x:c>
      <x:c r="G2" s="9" t="str">
        <x:v>他人主页粉丝团排序</x:v>
      </x:c>
      <x:c r="H2" s="9" t="str">
        <x:v>业务规则</x:v>
      </x:c>
      <x:c r="I2" s="9" t="str">
        <x:v>他人主页已加入粉丝团按什么顺序展示？</x:v>
      </x:c>
      <x:c r="J2" s="9" t="str">
        <x:v>A. 按加入时间倒序
B. 按累计贡献倒序</x:v>
      </x:c>
      <x:c r="K2" s="9" t="str">
        <x:v>明确“他人主页粉丝团排序”的决定后，补充对应正常、拒绝及恢复分支。</x:v>
      </x:c>
      <x:c r="L2" s="12" t="str"/>
      <x:c r="M2" s="12" t="str"/>
      <x:c r="N2" s="10" t="str">
        <x:v>1. 当前用户主页批注明确标注展示顺序待确认。
2. liveshow-proto/MainBasis/需求待确认清单.md：第35行</x:v>
      </x:c>
      <x:c r="O2" s="9" t="str">
        <x:v>1. 用户App；个人中心</x:v>
      </x:c>
      <x:c r="P2" s="9" t="str"/>
      <x:c r="Q2" s="9" t="str">
        <x:v>1. 他人主页粉丝团排序的可执行结果验证</x:v>
      </x:c>
      <x:c r="R2" s="9" t="str">
        <x:v>产品</x:v>
      </x:c>
      <x:c r="S2" s="9" t="str">
        <x:v>对应功能测试开始前</x:v>
      </x:c>
      <x:c r="T2" s="9" t="str">
        <x:v>待确认</x:v>
      </x:c>
    </x:row>
    <x:row r="3" ht="115" customHeight="1">
      <x:c r="A3" s="10" t="str">
        <x:v>Q-061</x:v>
      </x:c>
      <x:c r="B3" s="10" t="str">
        <x:v>REQ-Q-061</x:v>
      </x:c>
      <x:c r="C3" s="10" t="str"/>
      <x:c r="D3" s="10" t="str"/>
      <x:c r="E3" s="10" t="str">
        <x:v>部分阻塞</x:v>
      </x:c>
      <x:c r="F3" s="10" t="str">
        <x:v>直播模块</x:v>
      </x:c>
      <x:c r="G3" s="9" t="str">
        <x:v>观众清屏入口</x:v>
      </x:c>
      <x:c r="H3" s="9" t="str">
        <x:v>角色与权限</x:v>
      </x:c>
      <x:c r="I3" s="9" t="str">
        <x:v>普通观众是否保留清屏入口？</x:v>
      </x:c>
      <x:c r="J3" s="9" t="str">
        <x:v>A. 保留观众清屏并补齐入口
B. 仅主播可清屏并修订观众批注</x:v>
      </x:c>
      <x:c r="K3" s="9" t="str">
        <x:v>明确“观众清屏入口”的决定后，补充对应正常、拒绝及恢复分支。</x:v>
      </x:c>
      <x:c r="L3" s="12" t="str"/>
      <x:c r="M3" s="12" t="str"/>
      <x:c r="N3" s="10" t="str">
        <x:v>1. 观众页面及菜单批注声明清屏，共享脚本在 live-room.html 初始化时移除 data-clear-screen 按钮，后续未恢复；主播清屏入口仍存在。
2. liveshow-proto/MainBasis/需求待确认清单.md：第63行</x:v>
      </x:c>
      <x:c r="O3" s="9" t="str">
        <x:v>1. 用户App；直播模块</x:v>
      </x:c>
      <x:c r="P3" s="9" t="str"/>
      <x:c r="Q3" s="9" t="str">
        <x:v>1. 观众清屏入口的可执行结果验证</x:v>
      </x:c>
      <x:c r="R3" s="9" t="str">
        <x:v>产品</x:v>
      </x:c>
      <x:c r="S3" s="9" t="str">
        <x:v>对应功能测试开始前</x:v>
      </x:c>
      <x:c r="T3" s="9" t="str">
        <x:v>待确认</x:v>
      </x:c>
    </x:row>
    <x:row r="4" ht="85" customHeight="1">
      <x:c r="A4" s="10" t="str">
        <x:v>Q-001</x:v>
      </x:c>
      <x:c r="B4" s="10" t="str">
        <x:v>REQ-Q-001</x:v>
      </x:c>
      <x:c r="C4" s="10" t="str"/>
      <x:c r="D4" s="10" t="str"/>
      <x:c r="E4" s="10" t="str">
        <x:v>部分阻塞</x:v>
      </x:c>
      <x:c r="F4" s="10" t="str">
        <x:v>直播模块</x:v>
      </x:c>
      <x:c r="G4" s="9" t="str">
        <x:v>修改密码</x:v>
      </x:c>
      <x:c r="H4" s="9" t="str">
        <x:v>业务规则</x:v>
      </x:c>
      <x:c r="I4" s="9" t="str">
        <x:v>直播中修改密码的长度应使用 4-12 位还是固定 8 位数字？</x:v>
      </x:c>
      <x:c r="J4" s="9" t="str">
        <x:v>A. 4-12 位数字
B. 固定 8 位数字</x:v>
      </x:c>
      <x:c r="K4" s="9" t="str">
        <x:v>明确“修改密码”的决定后，补充对应正常、拒绝及恢复分支。</x:v>
      </x:c>
      <x:c r="L4" s="12" t="str"/>
      <x:c r="M4" s="12" t="str"/>
      <x:c r="N4" s="10" t="str">
        <x:v>1. 结构化批注写 4-12 位；公共批注写修改为 8 位。开播创建与观众验证的 4-12 位规则保留。
2. liveshow-proto/MainBasis/需求待确认清单.md：第64行</x:v>
      </x:c>
      <x:c r="O4" s="9" t="str">
        <x:v>1. 用户App；直播模块</x:v>
      </x:c>
      <x:c r="P4" s="9" t="str"/>
      <x:c r="Q4" s="9" t="str">
        <x:v>1. 修改密码的可执行结果验证</x:v>
      </x:c>
      <x:c r="R4" s="9" t="str">
        <x:v>产品</x:v>
      </x:c>
      <x:c r="S4" s="9" t="str">
        <x:v>对应功能测试开始前</x:v>
      </x:c>
      <x:c r="T4" s="9" t="str">
        <x:v>待确认</x:v>
      </x:c>
    </x:row>
    <x:row r="5" ht="85" customHeight="1">
      <x:c r="A5" s="10" t="str">
        <x:v>Q-002</x:v>
      </x:c>
      <x:c r="B5" s="10" t="str">
        <x:v>REQ-Q-002</x:v>
      </x:c>
      <x:c r="C5" s="10" t="str"/>
      <x:c r="D5" s="10" t="str"/>
      <x:c r="E5" s="10" t="str">
        <x:v>部分阻塞</x:v>
      </x:c>
      <x:c r="F5" s="10" t="str">
        <x:v>任务与邀请</x:v>
      </x:c>
      <x:c r="G5" s="9" t="str">
        <x:v>邀请奖励金额</x:v>
      </x:c>
      <x:c r="H5" s="9" t="str">
        <x:v>业务规则</x:v>
      </x:c>
      <x:c r="I5" s="9" t="str">
        <x:v>每次成功邀请奖励是固定 10 金币，还是由后台任务配置决定？</x:v>
      </x:c>
      <x:c r="J5" s="9" t="str">
        <x:v>A. 使用后台任务配置
B. 固定 10 金币</x:v>
      </x:c>
      <x:c r="K5" s="9" t="str">
        <x:v>明确“邀请奖励金额”的决定后，补充对应正常、拒绝及恢复分支。</x:v>
      </x:c>
      <x:c r="L5" s="12" t="str"/>
      <x:c r="M5" s="12" t="str"/>
      <x:c r="N5" s="10" t="str">
        <x:v>1. 邀请页写固定 10，福利页写后台配置；系统概要仅明确邀请可获得金币。
2. liveshow-proto/MainBasis/需求待确认清单.md：第65行</x:v>
      </x:c>
      <x:c r="O5" s="9" t="str">
        <x:v>1. 用户App、管理后台；任务与邀请</x:v>
      </x:c>
      <x:c r="P5" s="9" t="str"/>
      <x:c r="Q5" s="9" t="str">
        <x:v>1. 邀请奖励金额的可执行结果验证</x:v>
      </x:c>
      <x:c r="R5" s="9" t="str">
        <x:v>产品</x:v>
      </x:c>
      <x:c r="S5" s="9" t="str">
        <x:v>对应功能测试开始前</x:v>
      </x:c>
      <x:c r="T5" s="9" t="str">
        <x:v>待确认</x:v>
      </x:c>
    </x:row>
    <x:row r="6" ht="85" customHeight="1">
      <x:c r="A6" s="10" t="str">
        <x:v>Q-003</x:v>
      </x:c>
      <x:c r="B6" s="10" t="str">
        <x:v>REQ-Q-003</x:v>
      </x:c>
      <x:c r="C6" s="10" t="str"/>
      <x:c r="D6" s="10" t="str"/>
      <x:c r="E6" s="10" t="str">
        <x:v>部分阻塞</x:v>
      </x:c>
      <x:c r="F6" s="10" t="str">
        <x:v>等级</x:v>
      </x:c>
      <x:c r="G6" s="9" t="str">
        <x:v>成长计入范围</x:v>
      </x:c>
      <x:c r="H6" s="9" t="str">
        <x:v>计算与统计口径</x:v>
      </x:c>
      <x:c r="I6" s="9" t="str">
        <x:v>四类等级各自的成长值应计入哪些业务金额？</x:v>
      </x:c>
      <x:c r="J6" s="9" t="str">
        <x:v>A. 各等级分别按配置字段口径
B. 统一按实际净消费和收益口径</x:v>
      </x:c>
      <x:c r="K6" s="9" t="str">
        <x:v>明确“成长计入范围”的决定后，补充对应正常、拒绝及恢复分支。</x:v>
      </x:c>
      <x:c r="L6" s="12" t="str"/>
      <x:c r="M6" s="12" t="str"/>
      <x:c r="N6" s="10" t="str">
        <x:v>1. 用户端出现收礼贡献、消费成长，公会端出现主播收益；等级配置明确计入范围待确认。
2. liveshow-proto/MainBasis/需求待确认清单.md：第66行</x:v>
      </x:c>
      <x:c r="O6" s="9" t="str">
        <x:v>1. 用户App、公会App、管理后台；等级</x:v>
      </x:c>
      <x:c r="P6" s="9" t="str"/>
      <x:c r="Q6" s="9" t="str">
        <x:v>1. 成长计入范围的可执行结果验证</x:v>
      </x:c>
      <x:c r="R6" s="9" t="str">
        <x:v>产品</x:v>
      </x:c>
      <x:c r="S6" s="9" t="str">
        <x:v>对应功能测试开始前</x:v>
      </x:c>
      <x:c r="T6" s="9" t="str">
        <x:v>待确认</x:v>
      </x:c>
    </x:row>
    <x:row r="7" ht="100" customHeight="1">
      <x:c r="A7" s="10" t="str">
        <x:v>Q-006</x:v>
      </x:c>
      <x:c r="B7" s="10" t="str">
        <x:v>REQ-Q-006</x:v>
      </x:c>
      <x:c r="C7" s="10" t="str"/>
      <x:c r="D7" s="10" t="str"/>
      <x:c r="E7" s="10" t="str">
        <x:v>部分阻塞</x:v>
      </x:c>
      <x:c r="F7" s="10" t="str">
        <x:v>主播中心</x:v>
      </x:c>
      <x:c r="G7" s="9" t="str">
        <x:v>直播权限关闭提示</x:v>
      </x:c>
      <x:c r="H7" s="9" t="str">
        <x:v>角色与权限</x:v>
      </x:c>
      <x:c r="I7" s="9" t="str">
        <x:v>主播中心直播权限关闭时采用哪种提示形式？</x:v>
      </x:c>
      <x:c r="J7" s="9" t="str">
        <x:v>A. 联系公会对话框
B. 暂无开播权限提示</x:v>
      </x:c>
      <x:c r="K7" s="9" t="str">
        <x:v>明确“直播权限关闭提示”的决定后，补充对应正常、拒绝及恢复分支。</x:v>
      </x:c>
      <x:c r="L7" s="12" t="str"/>
      <x:c r="M7" s="12" t="str"/>
      <x:c r="N7" s="10" t="str">
        <x:v>1. 结构化批注为“暂无开播权限”，公共批注为“直播权限已关闭，请联系公会”对话框；不能开播的业务结果明确。
2. liveshow-proto/MainBasis/需求待确认清单.md：第67行</x:v>
      </x:c>
      <x:c r="O7" s="9" t="str">
        <x:v>1. 用户App；主播中心</x:v>
      </x:c>
      <x:c r="P7" s="9" t="str"/>
      <x:c r="Q7" s="9" t="str">
        <x:v>1. 直播权限关闭提示的可执行结果验证</x:v>
      </x:c>
      <x:c r="R7" s="9" t="str">
        <x:v>产品</x:v>
      </x:c>
      <x:c r="S7" s="9" t="str">
        <x:v>对应功能测试开始前</x:v>
      </x:c>
      <x:c r="T7" s="9" t="str">
        <x:v>待确认</x:v>
      </x:c>
    </x:row>
    <x:row r="8" ht="100" customHeight="1">
      <x:c r="A8" s="10" t="str">
        <x:v>Q-007</x:v>
      </x:c>
      <x:c r="B8" s="10" t="str">
        <x:v>REQ-Q-007</x:v>
      </x:c>
      <x:c r="C8" s="10" t="str"/>
      <x:c r="D8" s="10" t="str"/>
      <x:c r="E8" s="10" t="str">
        <x:v>部分阻塞</x:v>
      </x:c>
      <x:c r="F8" s="10" t="str">
        <x:v>直播模块</x:v>
      </x:c>
      <x:c r="G8" s="9" t="str">
        <x:v>连麦空搜索提示</x:v>
      </x:c>
      <x:c r="H8" s="9" t="str">
        <x:v>业务规则</x:v>
      </x:c>
      <x:c r="I8" s="9" t="str">
        <x:v>连麦搜索无结果时采用哪条提示文案？</x:v>
      </x:c>
      <x:c r="J8" s="9" t="str">
        <x:v>A. 查询结果为空
B. 查询结果为空或主播未在普通房直播</x:v>
      </x:c>
      <x:c r="K8" s="9" t="str">
        <x:v>明确“连麦空搜索提示”的决定后，补充对应正常、拒绝及恢复分支。</x:v>
      </x:c>
      <x:c r="L8" s="12" t="str"/>
      <x:c r="M8" s="12" t="str"/>
      <x:c r="N8" s="10" t="str">
        <x:v>1. 公共批注“查询结果为空”，结构化批注“查询结果为空或主播未在普通房直播”。空结果不生成邀请的规则保留。
2. liveshow-proto/MainBasis/需求待确认清单.md：第68行</x:v>
      </x:c>
      <x:c r="O8" s="9" t="str">
        <x:v>1. 用户App；直播模块</x:v>
      </x:c>
      <x:c r="P8" s="9" t="str"/>
      <x:c r="Q8" s="9" t="str">
        <x:v>1. 连麦空搜索提示的可执行结果验证</x:v>
      </x:c>
      <x:c r="R8" s="9" t="str">
        <x:v>产品</x:v>
      </x:c>
      <x:c r="S8" s="9" t="str">
        <x:v>对应功能测试开始前</x:v>
      </x:c>
      <x:c r="T8" s="9" t="str">
        <x:v>待确认</x:v>
      </x:c>
    </x:row>
    <x:row r="9" ht="85" customHeight="1">
      <x:c r="A9" s="10" t="str">
        <x:v>Q-008</x:v>
      </x:c>
      <x:c r="B9" s="10" t="str">
        <x:v>REQ-Q-008</x:v>
      </x:c>
      <x:c r="C9" s="10" t="str"/>
      <x:c r="D9" s="10" t="str"/>
      <x:c r="E9" s="10" t="str">
        <x:v>部分阻塞</x:v>
      </x:c>
      <x:c r="F9" s="10" t="str">
        <x:v>跨日统计</x:v>
      </x:c>
      <x:c r="G9" s="9" t="str">
        <x:v>业务时区</x:v>
      </x:c>
      <x:c r="H9" s="9" t="str">
        <x:v>计算与统计口径</x:v>
      </x:c>
      <x:c r="I9" s="9" t="str">
        <x:v>三端自然日与奖励截止时间统一使用哪个时区？</x:v>
      </x:c>
      <x:c r="J9" s="9" t="str">
        <x:v>A. Asia/Jakarta
B. UTC</x:v>
      </x:c>
      <x:c r="K9" s="9" t="str">
        <x:v>明确“业务时区”的决定后，补充对应正常、拒绝及恢复分支。</x:v>
      </x:c>
      <x:c r="L9" s="12" t="str"/>
      <x:c r="M9" s="12" t="str"/>
      <x:c r="N9" s="10" t="str">
        <x:v>1. 均使用业务自然日，但没有明确时区；印尼多时区，设备区号不能替代业务时区。
2. liveshow-proto/MainBasis/需求待确认清单.md：第69行</x:v>
      </x:c>
      <x:c r="O9" s="9" t="str">
        <x:v>1. 用户App、公会App、管理后台；跨日统计</x:v>
      </x:c>
      <x:c r="P9" s="9" t="str"/>
      <x:c r="Q9" s="9" t="str">
        <x:v>1. 业务时区的可执行结果验证</x:v>
      </x:c>
      <x:c r="R9" s="9" t="str">
        <x:v>产品</x:v>
      </x:c>
      <x:c r="S9" s="9" t="str">
        <x:v>对应功能测试开始前</x:v>
      </x:c>
      <x:c r="T9" s="9" t="str">
        <x:v>待确认</x:v>
      </x:c>
    </x:row>
    <x:row r="10" ht="85" customHeight="1">
      <x:c r="A10" s="10" t="str">
        <x:v>Q-009</x:v>
      </x:c>
      <x:c r="B10" s="10" t="str">
        <x:v>REQ-Q-009</x:v>
      </x:c>
      <x:c r="C10" s="10" t="str"/>
      <x:c r="D10" s="10" t="str"/>
      <x:c r="E10" s="10" t="str">
        <x:v>部分阻塞</x:v>
      </x:c>
      <x:c r="F10" s="10" t="str">
        <x:v>任务与邀请</x:v>
      </x:c>
      <x:c r="G10" s="9" t="str">
        <x:v>停用后领取资格</x:v>
      </x:c>
      <x:c r="H10" s="9" t="str">
        <x:v>业务规则</x:v>
      </x:c>
      <x:c r="I10" s="9" t="str">
        <x:v>任务停用时已达成且当天未过期的奖励能否领取？</x:v>
      </x:c>
      <x:c r="J10" s="9" t="str">
        <x:v>A. 当天有效奖励仍可领取
B. 停用立即失去领取资格</x:v>
      </x:c>
      <x:c r="K10" s="9" t="str">
        <x:v>明确“停用后领取资格”的决定后，补充对应正常、拒绝及恢复分支。</x:v>
      </x:c>
      <x:c r="L10" s="12" t="str"/>
      <x:c r="M10" s="12" t="str"/>
      <x:c r="N10" s="10" t="str">
        <x:v>1. 只明确停用不再产生进度、不回收已领取；未领取奖励的去向未明确。
2. liveshow-proto/MainBasis/需求待确认清单.md：第70行</x:v>
      </x:c>
      <x:c r="O10" s="9" t="str">
        <x:v>1. 用户App、管理后台；任务与邀请</x:v>
      </x:c>
      <x:c r="P10" s="9" t="str"/>
      <x:c r="Q10" s="9" t="str">
        <x:v>1. 停用后领取资格的可执行结果验证</x:v>
      </x:c>
      <x:c r="R10" s="9" t="str">
        <x:v>产品</x:v>
      </x:c>
      <x:c r="S10" s="9" t="str">
        <x:v>对应功能测试开始前</x:v>
      </x:c>
      <x:c r="T10" s="9" t="str">
        <x:v>待确认</x:v>
      </x:c>
    </x:row>
    <x:row r="11" ht="85" customHeight="1">
      <x:c r="A11" s="10" t="str">
        <x:v>Q-010</x:v>
      </x:c>
      <x:c r="B11" s="10" t="str">
        <x:v>REQ-Q-010</x:v>
      </x:c>
      <x:c r="C11" s="10" t="str"/>
      <x:c r="D11" s="10" t="str"/>
      <x:c r="E11" s="10" t="str">
        <x:v>部分阻塞</x:v>
      </x:c>
      <x:c r="F11" s="10" t="str">
        <x:v>任务与邀请</x:v>
      </x:c>
      <x:c r="G11" s="9" t="str">
        <x:v>补签</x:v>
      </x:c>
      <x:c r="H11" s="9" t="str">
        <x:v>业务规则</x:v>
      </x:c>
      <x:c r="I11" s="9" t="str">
        <x:v>是否支持补签？</x:v>
      </x:c>
      <x:c r="J11" s="9" t="str">
        <x:v>A. 一期不支持
B. 支持并另定补签资格</x:v>
      </x:c>
      <x:c r="K11" s="9" t="str">
        <x:v>明确“补签”的决定后，补充对应正常、拒绝及恢复分支。</x:v>
      </x:c>
      <x:c r="L11" s="12" t="str"/>
      <x:c r="M11" s="12" t="str"/>
      <x:c r="N11" s="10" t="str">
        <x:v>1. 签到章节明确“是否支持补签”待确认。连续签到和断签重置规则已有依据。
2. liveshow-proto/MainBasis/需求待确认清单.md：第71行</x:v>
      </x:c>
      <x:c r="O11" s="9" t="str">
        <x:v>1. 用户App、管理后台；任务与邀请</x:v>
      </x:c>
      <x:c r="P11" s="9" t="str"/>
      <x:c r="Q11" s="9" t="str">
        <x:v>1. 补签的可执行结果验证</x:v>
      </x:c>
      <x:c r="R11" s="9" t="str">
        <x:v>产品</x:v>
      </x:c>
      <x:c r="S11" s="9" t="str">
        <x:v>对应功能测试开始前</x:v>
      </x:c>
      <x:c r="T11" s="9" t="str">
        <x:v>待确认</x:v>
      </x:c>
    </x:row>
    <x:row r="12" ht="70" customHeight="1">
      <x:c r="A12" s="10" t="str">
        <x:v>Q-011</x:v>
      </x:c>
      <x:c r="B12" s="10" t="str">
        <x:v>REQ-Q-011</x:v>
      </x:c>
      <x:c r="C12" s="10" t="str"/>
      <x:c r="D12" s="10" t="str"/>
      <x:c r="E12" s="10" t="str">
        <x:v>部分阻塞</x:v>
      </x:c>
      <x:c r="F12" s="10" t="str">
        <x:v>任务与邀请</x:v>
      </x:c>
      <x:c r="G12" s="9" t="str">
        <x:v>任务到期领取资格</x:v>
      </x:c>
      <x:c r="H12" s="9" t="str">
        <x:v>业务规则</x:v>
      </x:c>
      <x:c r="I12" s="9" t="str">
        <x:v>任务有效期结束时已达成但尚未到当日截止时间的奖励能否领取？</x:v>
      </x:c>
      <x:c r="J12" s="9" t="str">
        <x:v>A. 到期立即失效
B. 允许领取到当天截止</x:v>
      </x:c>
      <x:c r="K12" s="9" t="str">
        <x:v>明确“任务到期领取资格”的决定后，补充对应正常、拒绝及恢复分支。</x:v>
      </x:c>
      <x:c r="L12" s="12" t="str"/>
      <x:c r="M12" s="12" t="str"/>
      <x:c r="N12" s="10" t="str">
        <x:v>1. 任务有效期与当天 23:59 的领取时限均存在，二者优先级未定义。
2. liveshow-proto/MainBasis/需求待确认清单.md：第72行</x:v>
      </x:c>
      <x:c r="O12" s="9" t="str">
        <x:v>1. 用户App、管理后台；任务与邀请</x:v>
      </x:c>
      <x:c r="P12" s="9" t="str"/>
      <x:c r="Q12" s="9" t="str">
        <x:v>1. 任务到期领取资格的可执行结果验证</x:v>
      </x:c>
      <x:c r="R12" s="9" t="str">
        <x:v>产品</x:v>
      </x:c>
      <x:c r="S12" s="9" t="str">
        <x:v>对应功能测试开始前</x:v>
      </x:c>
      <x:c r="T12" s="9" t="str">
        <x:v>待确认</x:v>
      </x:c>
    </x:row>
    <x:row r="13" ht="85" customHeight="1">
      <x:c r="A13" s="10" t="str">
        <x:v>Q-012</x:v>
      </x:c>
      <x:c r="B13" s="10" t="str">
        <x:v>REQ-Q-012</x:v>
      </x:c>
      <x:c r="C13" s="10" t="str"/>
      <x:c r="D13" s="10" t="str"/>
      <x:c r="E13" s="10" t="str">
        <x:v>部分阻塞</x:v>
      </x:c>
      <x:c r="F13" s="10" t="str">
        <x:v>任务与邀请</x:v>
      </x:c>
      <x:c r="G13" s="9" t="str">
        <x:v>成功邀请认定</x:v>
      </x:c>
      <x:c r="H13" s="9" t="str">
        <x:v>业务规则</x:v>
      </x:c>
      <x:c r="I13" s="9" t="str">
        <x:v>被邀请人完成什么动作才算一次成功邀请？</x:v>
      </x:c>
      <x:c r="J13" s="9" t="str">
        <x:v>A. 完成注册即成功
B. 完成注册及指定激活条件</x:v>
      </x:c>
      <x:c r="K13" s="9" t="str">
        <x:v>明确“成功邀请认定”的决定后，补充对应正常、拒绝及恢复分支。</x:v>
      </x:c>
      <x:c r="L13" s="12" t="str"/>
      <x:c r="M13" s="12" t="str"/>
      <x:c r="N13" s="10" t="str">
        <x:v>1. 页面定义成功邀请数和奖励，未定义注册、首次登录或其他有效条件。
2. liveshow-proto/MainBasis/需求待确认清单.md：第73行</x:v>
      </x:c>
      <x:c r="O13" s="9" t="str">
        <x:v>1. 用户App、管理后台；任务与邀请</x:v>
      </x:c>
      <x:c r="P13" s="9" t="str"/>
      <x:c r="Q13" s="9" t="str">
        <x:v>1. 成功邀请认定的可执行结果验证</x:v>
      </x:c>
      <x:c r="R13" s="9" t="str">
        <x:v>产品</x:v>
      </x:c>
      <x:c r="S13" s="9" t="str">
        <x:v>对应功能测试开始前</x:v>
      </x:c>
      <x:c r="T13" s="9" t="str">
        <x:v>待确认</x:v>
      </x:c>
    </x:row>
    <x:row r="14" ht="85" customHeight="1">
      <x:c r="A14" s="10" t="str">
        <x:v>Q-013</x:v>
      </x:c>
      <x:c r="B14" s="10" t="str">
        <x:v>REQ-Q-013</x:v>
      </x:c>
      <x:c r="C14" s="10" t="str"/>
      <x:c r="D14" s="10" t="str"/>
      <x:c r="E14" s="10" t="str">
        <x:v>部分阻塞</x:v>
      </x:c>
      <x:c r="F14" s="10" t="str">
        <x:v>账号与登录</x:v>
      </x:c>
      <x:c r="G14" s="9" t="str">
        <x:v>手机邮箱新账号</x:v>
      </x:c>
      <x:c r="H14" s="9" t="str">
        <x:v>业务规则</x:v>
      </x:c>
      <x:c r="I14" s="9" t="str">
        <x:v>未注册手机号或邮箱验证码验证成功后是否自动注册？</x:v>
      </x:c>
      <x:c r="J14" s="9" t="str">
        <x:v>A. 自动注册后补全资料
B. 拒绝并引导注册</x:v>
      </x:c>
      <x:c r="K14" s="9" t="str">
        <x:v>明确“手机邮箱新账号”的决定后，补充对应正常、拒绝及恢复分支。</x:v>
      </x:c>
      <x:c r="L14" s="12" t="str"/>
      <x:c r="M14" s="12" t="str"/>
      <x:c r="N14" s="10" t="str">
        <x:v>1. 第三方新账号自动注册已明确；手机邮箱文案只明确登录成功，未说明新账号分流。
2. liveshow-proto/MainBasis/需求待确认清单.md：第74行</x:v>
      </x:c>
      <x:c r="O14" s="9" t="str">
        <x:v>1. 用户App；账号与登录</x:v>
      </x:c>
      <x:c r="P14" s="9" t="str"/>
      <x:c r="Q14" s="9" t="str">
        <x:v>1. 手机邮箱新账号的可执行结果验证</x:v>
      </x:c>
      <x:c r="R14" s="9" t="str">
        <x:v>产品</x:v>
      </x:c>
      <x:c r="S14" s="9" t="str">
        <x:v>对应功能测试开始前</x:v>
      </x:c>
      <x:c r="T14" s="9" t="str">
        <x:v>待确认</x:v>
      </x:c>
    </x:row>
    <x:row r="15" ht="70" customHeight="1">
      <x:c r="A15" s="10" t="str">
        <x:v>Q-014</x:v>
      </x:c>
      <x:c r="B15" s="10" t="str">
        <x:v>REQ-Q-014</x:v>
      </x:c>
      <x:c r="C15" s="10" t="str"/>
      <x:c r="D15" s="10" t="str"/>
      <x:c r="E15" s="10" t="str">
        <x:v>部分阻塞</x:v>
      </x:c>
      <x:c r="F15" s="10" t="str">
        <x:v>账号与登录</x:v>
      </x:c>
      <x:c r="G15" s="9" t="str">
        <x:v>三方账号合并</x:v>
      </x:c>
      <x:c r="H15" s="9" t="str">
        <x:v>业务规则</x:v>
      </x:c>
      <x:c r="I15" s="9" t="str">
        <x:v>同一邮箱对应不同第三方平台标识时是否合并账号？</x:v>
      </x:c>
      <x:c r="J15" s="9" t="str">
        <x:v>A. 按平台标识独立建号
B. 验证同一身份后合并</x:v>
      </x:c>
      <x:c r="K15" s="9" t="str">
        <x:v>明确“三方账号合并”的决定后，补充对应正常、拒绝及恢复分支。</x:v>
      </x:c>
      <x:c r="L15" s="12" t="str"/>
      <x:c r="M15" s="12" t="str"/>
      <x:c r="N15" s="10" t="str">
        <x:v>1. 当前规则按平台账号标识查询，未定义跨平台绑定或合并。
2. liveshow-proto/MainBasis/需求待确认清单.md：第75行</x:v>
      </x:c>
      <x:c r="O15" s="9" t="str">
        <x:v>1. 用户App；账号与登录</x:v>
      </x:c>
      <x:c r="P15" s="9" t="str"/>
      <x:c r="Q15" s="9" t="str">
        <x:v>1. 三方账号合并的可执行结果验证</x:v>
      </x:c>
      <x:c r="R15" s="9" t="str">
        <x:v>产品</x:v>
      </x:c>
      <x:c r="S15" s="9" t="str">
        <x:v>对应功能测试开始前</x:v>
      </x:c>
      <x:c r="T15" s="9" t="str">
        <x:v>待确认</x:v>
      </x:c>
    </x:row>
    <x:row r="16" ht="70" customHeight="1">
      <x:c r="A16" s="10" t="str">
        <x:v>Q-015</x:v>
      </x:c>
      <x:c r="B16" s="10" t="str">
        <x:v>REQ-Q-015</x:v>
      </x:c>
      <x:c r="C16" s="10" t="str"/>
      <x:c r="D16" s="10" t="str"/>
      <x:c r="E16" s="10" t="str">
        <x:v>部分阻塞</x:v>
      </x:c>
      <x:c r="F16" s="10" t="str">
        <x:v>账号与权限</x:v>
      </x:c>
      <x:c r="G16" s="9" t="str">
        <x:v>并发登录</x:v>
      </x:c>
      <x:c r="H16" s="9" t="str">
        <x:v>业务规则</x:v>
      </x:c>
      <x:c r="I16" s="9" t="str">
        <x:v>同一账号在第二台设备登录后第一台会话如何处理？</x:v>
      </x:c>
      <x:c r="J16" s="9" t="str">
        <x:v>A. 允许多设备同时登录
B. 新登录使旧设备下线</x:v>
      </x:c>
      <x:c r="K16" s="9" t="str">
        <x:v>明确“并发登录”的决定后，补充对应正常、拒绝及恢复分支。</x:v>
      </x:c>
      <x:c r="L16" s="12" t="str"/>
      <x:c r="M16" s="12" t="str"/>
      <x:c r="N16" s="10" t="str">
        <x:v>1. 退出登录明确仅当前设备；并发登录数量与旧会话失效未定义。
2. liveshow-proto/MainBasis/需求待确认清单.md：第76行</x:v>
      </x:c>
      <x:c r="O16" s="9" t="str">
        <x:v>1. 用户App、公会App、管理后台；账号与权限</x:v>
      </x:c>
      <x:c r="P16" s="9" t="str"/>
      <x:c r="Q16" s="9" t="str">
        <x:v>1. 并发登录的可执行结果验证</x:v>
      </x:c>
      <x:c r="R16" s="9" t="str">
        <x:v>产品</x:v>
      </x:c>
      <x:c r="S16" s="9" t="str">
        <x:v>对应功能测试开始前</x:v>
      </x:c>
      <x:c r="T16" s="9" t="str">
        <x:v>待确认</x:v>
      </x:c>
    </x:row>
    <x:row r="17" ht="85" customHeight="1">
      <x:c r="A17" s="10" t="str">
        <x:v>Q-016</x:v>
      </x:c>
      <x:c r="B17" s="10" t="str">
        <x:v>REQ-Q-016</x:v>
      </x:c>
      <x:c r="C17" s="10" t="str"/>
      <x:c r="D17" s="10" t="str"/>
      <x:c r="E17" s="10" t="str">
        <x:v>部分阻塞</x:v>
      </x:c>
      <x:c r="F17" s="10" t="str">
        <x:v>消息与社交</x:v>
      </x:c>
      <x:c r="G17" s="9" t="str">
        <x:v>私信额度恢复</x:v>
      </x:c>
      <x:c r="H17" s="9" t="str">
        <x:v>业务规则</x:v>
      </x:c>
      <x:c r="I17" s="9" t="str">
        <x:v>解除好友后非好友三条额度如何恢复？</x:v>
      </x:c>
      <x:c r="J17" s="9" t="str">
        <x:v>A. 清空聊天同时重置额度
B. 保留历史非好友成功条数</x:v>
      </x:c>
      <x:c r="K17" s="9" t="str">
        <x:v>明确“私信额度恢复”的决定后，补充对应正常、拒绝及恢复分支。</x:v>
      </x:c>
      <x:c r="L17" s="12" t="str"/>
      <x:c r="M17" s="12" t="str"/>
      <x:c r="N17" s="10" t="str">
        <x:v>1. 删除好友清空聊天，非好友双向各三条明确，但历史计数是否清零未定义。
2. liveshow-proto/MainBasis/需求待确认清单.md：第77行</x:v>
      </x:c>
      <x:c r="O17" s="9" t="str">
        <x:v>1. 用户App；消息与社交</x:v>
      </x:c>
      <x:c r="P17" s="9" t="str"/>
      <x:c r="Q17" s="9" t="str">
        <x:v>1. 私信额度恢复的可执行结果验证</x:v>
      </x:c>
      <x:c r="R17" s="9" t="str">
        <x:v>产品</x:v>
      </x:c>
      <x:c r="S17" s="9" t="str">
        <x:v>对应功能测试开始前</x:v>
      </x:c>
      <x:c r="T17" s="9" t="str">
        <x:v>待确认</x:v>
      </x:c>
    </x:row>
    <x:row r="18" ht="70" customHeight="1">
      <x:c r="A18" s="10" t="str">
        <x:v>Q-035</x:v>
      </x:c>
      <x:c r="B18" s="10" t="str">
        <x:v>REQ-Q-035</x:v>
      </x:c>
      <x:c r="C18" s="10" t="str"/>
      <x:c r="D18" s="10" t="str"/>
      <x:c r="E18" s="10" t="str">
        <x:v>部分阻塞</x:v>
      </x:c>
      <x:c r="F18" s="10" t="str">
        <x:v>等级</x:v>
      </x:c>
      <x:c r="G18" s="9" t="str">
        <x:v>等级判定</x:v>
      </x:c>
      <x:c r="H18" s="9" t="str">
        <x:v>业务规则</x:v>
      </x:c>
      <x:c r="I18" s="9" t="str">
        <x:v>成长值介于两个已配置等级阈值之间时如何判级？</x:v>
      </x:c>
      <x:c r="J18" s="9" t="str">
        <x:v>A. 取已达到的最高阈值等级
B. 使用区间上下界规则</x:v>
      </x:c>
      <x:c r="K18" s="9" t="str">
        <x:v>明确“等级判定”的决定后，补充对应正常、拒绝及恢复分支。</x:v>
      </x:c>
      <x:c r="L18" s="12" t="str"/>
      <x:c r="M18" s="12" t="str"/>
      <x:c r="N18" s="10" t="str">
        <x:v>1. 配置等级和阈值明确，等级匹配方法由批注明确列为待确认。
2. liveshow-proto/MainBasis/需求待确认清单.md：第78行</x:v>
      </x:c>
      <x:c r="O18" s="9" t="str">
        <x:v>1. 用户App、公会App、管理后台；等级</x:v>
      </x:c>
      <x:c r="P18" s="9" t="str"/>
      <x:c r="Q18" s="9" t="str">
        <x:v>1. 等级判定的可执行结果验证</x:v>
      </x:c>
      <x:c r="R18" s="9" t="str">
        <x:v>产品</x:v>
      </x:c>
      <x:c r="S18" s="9" t="str">
        <x:v>对应功能测试开始前</x:v>
      </x:c>
      <x:c r="T18" s="9" t="str">
        <x:v>待确认</x:v>
      </x:c>
    </x:row>
    <x:row r="19" ht="85" customHeight="1">
      <x:c r="A19" s="10" t="str">
        <x:v>Q-036</x:v>
      </x:c>
      <x:c r="B19" s="10" t="str">
        <x:v>REQ-Q-036</x:v>
      </x:c>
      <x:c r="C19" s="10" t="str"/>
      <x:c r="D19" s="10" t="str"/>
      <x:c r="E19" s="10" t="str">
        <x:v>部分阻塞</x:v>
      </x:c>
      <x:c r="F19" s="10" t="str">
        <x:v>等级</x:v>
      </x:c>
      <x:c r="G19" s="9" t="str">
        <x:v>等级追溯</x:v>
      </x:c>
      <x:c r="H19" s="9" t="str">
        <x:v>业务规则</x:v>
      </x:c>
      <x:c r="I19" s="9" t="str">
        <x:v>修改等级配置后已有账号等级是否立即重算？</x:v>
      </x:c>
      <x:c r="J19" s="9" t="str">
        <x:v>A. 立即重算已有等级
B. 仅对后续成长生效</x:v>
      </x:c>
      <x:c r="K19" s="9" t="str">
        <x:v>明确“等级追溯”的决定后，补充对应正常、拒绝及恢复分支。</x:v>
      </x:c>
      <x:c r="L19" s="12" t="str"/>
      <x:c r="M19" s="12" t="str"/>
      <x:c r="N19" s="10" t="str">
        <x:v>1. 等级配置明确对已有等级影响待确认；原型仅本页预览不能证明线上结果。
2. liveshow-proto/MainBasis/需求待确认清单.md：第79行</x:v>
      </x:c>
      <x:c r="O19" s="9" t="str">
        <x:v>1. 用户App、公会App、管理后台；等级</x:v>
      </x:c>
      <x:c r="P19" s="9" t="str"/>
      <x:c r="Q19" s="9" t="str">
        <x:v>1. 等级追溯的可执行结果验证</x:v>
      </x:c>
      <x:c r="R19" s="9" t="str">
        <x:v>产品</x:v>
      </x:c>
      <x:c r="S19" s="9" t="str">
        <x:v>对应功能测试开始前</x:v>
      </x:c>
      <x:c r="T19" s="9" t="str">
        <x:v>待确认</x:v>
      </x:c>
    </x:row>
    <x:row r="20" ht="70" customHeight="1">
      <x:c r="A20" s="10" t="str">
        <x:v>Q-037</x:v>
      </x:c>
      <x:c r="B20" s="10" t="str">
        <x:v>REQ-Q-037</x:v>
      </x:c>
      <x:c r="C20" s="10" t="str"/>
      <x:c r="D20" s="10" t="str"/>
      <x:c r="E20" s="10" t="str">
        <x:v>部分阻塞</x:v>
      </x:c>
      <x:c r="F20" s="10" t="str">
        <x:v>任务与邀请</x:v>
      </x:c>
      <x:c r="G20" s="9" t="str">
        <x:v>任务奖励类型</x:v>
      </x:c>
      <x:c r="H20" s="9" t="str">
        <x:v>业务规则</x:v>
      </x:c>
      <x:c r="I20" s="9" t="str">
        <x:v>任务一期是否允许道具奖励？</x:v>
      </x:c>
      <x:c r="J20" s="9" t="str">
        <x:v>A. 仅金币
B. 金币与道具均支持</x:v>
      </x:c>
      <x:c r="K20" s="9" t="str">
        <x:v>明确“任务奖励类型”的决定后，补充对应正常、拒绝及恢复分支。</x:v>
      </x:c>
      <x:c r="L20" s="12" t="str"/>
      <x:c r="M20" s="12" t="str"/>
      <x:c r="N20" s="10" t="str">
        <x:v>1. 任务配置明确仅金币；已领取视图却写道具进入背包。
2. liveshow-proto/MainBasis/需求待确认清单.md：第80行</x:v>
      </x:c>
      <x:c r="O20" s="9" t="str">
        <x:v>1. 用户App、管理后台；任务与邀请</x:v>
      </x:c>
      <x:c r="P20" s="9" t="str"/>
      <x:c r="Q20" s="9" t="str">
        <x:v>1. 任务奖励类型的可执行结果验证</x:v>
      </x:c>
      <x:c r="R20" s="9" t="str">
        <x:v>产品</x:v>
      </x:c>
      <x:c r="S20" s="9" t="str">
        <x:v>对应功能测试开始前</x:v>
      </x:c>
      <x:c r="T20" s="9" t="str">
        <x:v>待确认</x:v>
      </x:c>
    </x:row>
    <x:row r="21" ht="85" customHeight="1">
      <x:c r="A21" s="10" t="str">
        <x:v>Q-038</x:v>
      </x:c>
      <x:c r="B21" s="10" t="str">
        <x:v>REQ-Q-038</x:v>
      </x:c>
      <x:c r="C21" s="10" t="str"/>
      <x:c r="D21" s="10" t="str"/>
      <x:c r="E21" s="10" t="str">
        <x:v>部分阻塞</x:v>
      </x:c>
      <x:c r="F21" s="10" t="str">
        <x:v>任务与邀请</x:v>
      </x:c>
      <x:c r="G21" s="9" t="str">
        <x:v>任务周期起点</x:v>
      </x:c>
      <x:c r="H21" s="9" t="str">
        <x:v>业务规则</x:v>
      </x:c>
      <x:c r="I21" s="9" t="str">
        <x:v>每周任务从星期几开始新周期？</x:v>
      </x:c>
      <x:c r="J21" s="9" t="str">
        <x:v>A. 周一
B. 周日</x:v>
      </x:c>
      <x:c r="K21" s="9" t="str">
        <x:v>明确“任务周期起点”的决定后，补充对应正常、拒绝及恢复分支。</x:v>
      </x:c>
      <x:c r="L21" s="12" t="str"/>
      <x:c r="M21" s="12" t="str"/>
      <x:c r="N21" s="10" t="str">
        <x:v>1. 榜单明确周一，任务章节单独将周起始日列为待确认，不能直接套用。
2. liveshow-proto/MainBasis/需求待确认清单.md：第81行</x:v>
      </x:c>
      <x:c r="O21" s="9" t="str">
        <x:v>1. 用户App、管理后台；任务与邀请</x:v>
      </x:c>
      <x:c r="P21" s="9" t="str"/>
      <x:c r="Q21" s="9" t="str">
        <x:v>1. 任务周期起点的可执行结果验证</x:v>
      </x:c>
      <x:c r="R21" s="9" t="str">
        <x:v>产品</x:v>
      </x:c>
      <x:c r="S21" s="9" t="str">
        <x:v>对应功能测试开始前</x:v>
      </x:c>
      <x:c r="T21" s="9" t="str">
        <x:v>待确认</x:v>
      </x:c>
    </x:row>
    <x:row r="22" ht="85" customHeight="1">
      <x:c r="A22" s="10" t="str">
        <x:v>Q-039</x:v>
      </x:c>
      <x:c r="B22" s="10" t="str">
        <x:v>REQ-Q-039</x:v>
      </x:c>
      <x:c r="C22" s="10" t="str"/>
      <x:c r="D22" s="10" t="str"/>
      <x:c r="E22" s="10" t="str">
        <x:v>部分阻塞</x:v>
      </x:c>
      <x:c r="F22" s="10" t="str">
        <x:v>消息与社交</x:v>
      </x:c>
      <x:c r="G22" s="9" t="str">
        <x:v>粉丝群举报</x:v>
      </x:c>
      <x:c r="H22" s="9" t="str">
        <x:v>角色与权限</x:v>
      </x:c>
      <x:c r="I22" s="9" t="str">
        <x:v>粉丝群举报入口提交什么对象的工单？</x:v>
      </x:c>
      <x:c r="J22" s="9" t="str">
        <x:v>A. 举报群主账号
B. 独立群举报工单</x:v>
      </x:c>
      <x:c r="K22" s="9" t="str">
        <x:v>明确“粉丝群举报”的决定后，补充对应正常、拒绝及恢复分支。</x:v>
      </x:c>
      <x:c r="L22" s="12" t="str"/>
      <x:c r="M22" s="12" t="str"/>
      <x:c r="N22" s="10" t="str">
        <x:v>1. 群管理有举报入口，当前原型仅提示；概要只定义账号和直播场次工单。
2. liveshow-proto/MainBasis/需求待确认清单.md：第82行</x:v>
      </x:c>
      <x:c r="O22" s="9" t="str">
        <x:v>1. 用户App；消息与社交</x:v>
      </x:c>
      <x:c r="P22" s="9" t="str"/>
      <x:c r="Q22" s="9" t="str">
        <x:v>1. 粉丝群举报的可执行结果验证</x:v>
      </x:c>
      <x:c r="R22" s="9" t="str">
        <x:v>产品</x:v>
      </x:c>
      <x:c r="S22" s="9" t="str">
        <x:v>对应功能测试开始前</x:v>
      </x:c>
      <x:c r="T22" s="9" t="str">
        <x:v>待确认</x:v>
      </x:c>
    </x:row>
    <x:row r="23" ht="70" customHeight="1">
      <x:c r="A23" s="10" t="str">
        <x:v>Q-040</x:v>
      </x:c>
      <x:c r="B23" s="10" t="str">
        <x:v>REQ-Q-040</x:v>
      </x:c>
      <x:c r="C23" s="10" t="str"/>
      <x:c r="D23" s="10" t="str"/>
      <x:c r="E23" s="10" t="str">
        <x:v>部分阻塞</x:v>
      </x:c>
      <x:c r="F23" s="10" t="str">
        <x:v>个人中心</x:v>
      </x:c>
      <x:c r="G23" s="9" t="str">
        <x:v>修改登录密码</x:v>
      </x:c>
      <x:c r="H23" s="9" t="str">
        <x:v>角色与权限</x:v>
      </x:c>
      <x:c r="I23" s="9" t="str">
        <x:v>用户设置页修改登录密码的身份验证与密码策略是什么？</x:v>
      </x:c>
      <x:c r="J23" s="9" t="str">
        <x:v>A. 验证旧密码后修改
B. 验证码验证后修改</x:v>
      </x:c>
      <x:c r="K23" s="9" t="str">
        <x:v>明确“修改登录密码”的决定后，补充对应正常、拒绝及恢复分支。</x:v>
      </x:c>
      <x:c r="L23" s="12" t="str"/>
      <x:c r="M23" s="12" t="str"/>
      <x:c r="N23" s="10" t="str">
        <x:v>1. 存在入口但仅演示提示；公会端密码规则不能移植到用户端。
2. liveshow-proto/MainBasis/需求待确认清单.md：第83行</x:v>
      </x:c>
      <x:c r="O23" s="9" t="str">
        <x:v>1. 用户App；个人中心</x:v>
      </x:c>
      <x:c r="P23" s="9" t="str"/>
      <x:c r="Q23" s="9" t="str">
        <x:v>1. 修改登录密码的可执行结果验证</x:v>
      </x:c>
      <x:c r="R23" s="9" t="str">
        <x:v>产品</x:v>
      </x:c>
      <x:c r="S23" s="9" t="str">
        <x:v>对应功能测试开始前</x:v>
      </x:c>
      <x:c r="T23" s="9" t="str">
        <x:v>待确认</x:v>
      </x:c>
    </x:row>
    <x:row r="24" ht="70" customHeight="1">
      <x:c r="A24" s="10" t="str">
        <x:v>Q-041</x:v>
      </x:c>
      <x:c r="B24" s="10" t="str">
        <x:v>REQ-Q-041</x:v>
      </x:c>
      <x:c r="C24" s="10" t="str"/>
      <x:c r="D24" s="10" t="str"/>
      <x:c r="E24" s="10" t="str">
        <x:v>部分阻塞</x:v>
      </x:c>
      <x:c r="F24" s="10" t="str">
        <x:v>直播模块</x:v>
      </x:c>
      <x:c r="G24" s="9" t="str">
        <x:v>直播断线恢复</x:v>
      </x:c>
      <x:c r="H24" s="9" t="str">
        <x:v>业务规则</x:v>
      </x:c>
      <x:c r="I24" s="9" t="str">
        <x:v>主播断网后在什么时点结束场次或允许恢复原场次？</x:v>
      </x:c>
      <x:c r="J24" s="9" t="str">
        <x:v>A. 断线立即结束场次
B. 保留场次并设置恢复时限</x:v>
      </x:c>
      <x:c r="K24" s="9" t="str">
        <x:v>明确“直播断线恢复”的决定后，补充对应正常、拒绝及恢复分支。</x:v>
      </x:c>
      <x:c r="L24" s="12" t="str"/>
      <x:c r="M24" s="12" t="str"/>
      <x:c r="N24" s="10" t="str">
        <x:v>1. 明确主动结束创建新场次，未明确网络断线、切后台及重连边界。
2. liveshow-proto/MainBasis/需求待确认清单.md：第84行</x:v>
      </x:c>
      <x:c r="O24" s="9" t="str">
        <x:v>1. 用户App；直播模块</x:v>
      </x:c>
      <x:c r="P24" s="9" t="str"/>
      <x:c r="Q24" s="9" t="str">
        <x:v>1. 直播断线恢复的可执行结果验证</x:v>
      </x:c>
      <x:c r="R24" s="9" t="str">
        <x:v>产品</x:v>
      </x:c>
      <x:c r="S24" s="9" t="str">
        <x:v>对应功能测试开始前</x:v>
      </x:c>
      <x:c r="T24" s="9" t="str">
        <x:v>待确认</x:v>
      </x:c>
    </x:row>
    <x:row r="25" ht="70" customHeight="1">
      <x:c r="A25" s="10" t="str">
        <x:v>Q-042</x:v>
      </x:c>
      <x:c r="B25" s="10" t="str">
        <x:v>REQ-Q-042</x:v>
      </x:c>
      <x:c r="C25" s="10" t="str"/>
      <x:c r="D25" s="10" t="str"/>
      <x:c r="E25" s="10" t="str">
        <x:v>部分阻塞</x:v>
      </x:c>
      <x:c r="F25" s="10" t="str">
        <x:v>钱包与充值</x:v>
      </x:c>
      <x:c r="G25" s="9" t="str">
        <x:v>支付结果未回显</x:v>
      </x:c>
      <x:c r="H25" s="9" t="str">
        <x:v>角色与权限</x:v>
      </x:c>
      <x:c r="I25" s="9" t="str">
        <x:v>支付渠道成功但客户端超时后，用户应通过何种入口确认及恢复支付结果？</x:v>
      </x:c>
      <x:c r="J25" s="9" t="str">
        <x:v>A. 自动查询原订单结果
B. 用户从订单详情主动查询</x:v>
      </x:c>
      <x:c r="K25" s="9" t="str">
        <x:v>明确“支付结果未回显”的决定后，补充对应正常、拒绝及恢复分支。</x:v>
      </x:c>
      <x:c r="L25" s="12" t="str"/>
      <x:c r="M25" s="12" t="str"/>
      <x:c r="N25" s="10" t="str">
        <x:v>1. 成功回调只入账一次明确，客户端超时恢复路径和时限未定义。
2. liveshow-proto/MainBasis/需求待确认清单.md：第85行</x:v>
      </x:c>
      <x:c r="O25" s="9" t="str">
        <x:v>1. 用户App、管理后台；钱包与充值</x:v>
      </x:c>
      <x:c r="P25" s="9" t="str"/>
      <x:c r="Q25" s="9" t="str">
        <x:v>1. 支付结果未回显的可执行结果验证</x:v>
      </x:c>
      <x:c r="R25" s="9" t="str">
        <x:v>产品</x:v>
      </x:c>
      <x:c r="S25" s="9" t="str">
        <x:v>对应功能测试开始前</x:v>
      </x:c>
      <x:c r="T25" s="9" t="str">
        <x:v>待确认</x:v>
      </x:c>
    </x:row>
    <x:row r="26" ht="85" customHeight="1">
      <x:c r="A26" s="10" t="str">
        <x:v>Q-043</x:v>
      </x:c>
      <x:c r="B26" s="10" t="str">
        <x:v>REQ-Q-043</x:v>
      </x:c>
      <x:c r="C26" s="10" t="str"/>
      <x:c r="D26" s="10" t="str"/>
      <x:c r="E26" s="10" t="str">
        <x:v>部分阻塞</x:v>
      </x:c>
      <x:c r="F26" s="10" t="str">
        <x:v>直播模块</x:v>
      </x:c>
      <x:c r="G26" s="9" t="str">
        <x:v>送礼处理中下架</x:v>
      </x:c>
      <x:c r="H26" s="9" t="str">
        <x:v>业务规则</x:v>
      </x:c>
      <x:c r="I26" s="9" t="str">
        <x:v>服务端已受理送礼请求后礼物下架，本次赠送是否完成？</x:v>
      </x:c>
      <x:c r="J26" s="9" t="str">
        <x:v>A. 已受理继续完成
B. 未完成一律取消并恢复资产</x:v>
      </x:c>
      <x:c r="K26" s="9" t="str">
        <x:v>明确“送礼处理中下架”的决定后，补充对应正常、拒绝及恢复分支。</x:v>
      </x:c>
      <x:c r="L26" s="12" t="str"/>
      <x:c r="M26" s="12" t="str"/>
      <x:c r="N26" s="10" t="str">
        <x:v>1. 下架阻止新赠送、已完成赠送保留；处理中受理与扣款界限未定义。
2. liveshow-proto/MainBasis/需求待确认清单.md：第86行</x:v>
      </x:c>
      <x:c r="O26" s="9" t="str">
        <x:v>1. 用户App、管理后台；直播模块</x:v>
      </x:c>
      <x:c r="P26" s="9" t="str"/>
      <x:c r="Q26" s="9" t="str">
        <x:v>1. 送礼处理中下架的可执行结果验证</x:v>
      </x:c>
      <x:c r="R26" s="9" t="str">
        <x:v>产品</x:v>
      </x:c>
      <x:c r="S26" s="9" t="str">
        <x:v>对应功能测试开始前</x:v>
      </x:c>
      <x:c r="T26" s="9" t="str">
        <x:v>待确认</x:v>
      </x:c>
    </x:row>
    <x:row r="27" ht="70" customHeight="1">
      <x:c r="A27" s="10" t="str">
        <x:v>Q-044</x:v>
      </x:c>
      <x:c r="B27" s="10" t="str">
        <x:v>REQ-Q-044</x:v>
      </x:c>
      <x:c r="C27" s="10" t="str"/>
      <x:c r="D27" s="10" t="str"/>
      <x:c r="E27" s="10" t="str">
        <x:v>部分阻塞</x:v>
      </x:c>
      <x:c r="F27" s="10" t="str">
        <x:v>直播模块</x:v>
      </x:c>
      <x:c r="G27" s="9" t="str">
        <x:v>购票处理中结束</x:v>
      </x:c>
      <x:c r="H27" s="9" t="str">
        <x:v>业务规则</x:v>
      </x:c>
      <x:c r="I27" s="9" t="str">
        <x:v>购票已受理但未完成时场次结束，本次购票是否扣款？</x:v>
      </x:c>
      <x:c r="J27" s="9" t="str">
        <x:v>A. 完成扣款后按已购票处理
B. 取消未完成购票且不扣款</x:v>
      </x:c>
      <x:c r="K27" s="9" t="str">
        <x:v>明确“购票处理中结束”的决定后，补充对应正常、拒绝及恢复分支。</x:v>
      </x:c>
      <x:c r="L27" s="12" t="str"/>
      <x:c r="M27" s="12" t="str"/>
      <x:c r="N27" s="10" t="str">
        <x:v>1. 成功门票场次结束不退款，未完成请求的扣款边界未定义。
2. liveshow-proto/MainBasis/需求待确认清单.md：第87行</x:v>
      </x:c>
      <x:c r="O27" s="9" t="str">
        <x:v>1. 用户App、管理后台；直播模块</x:v>
      </x:c>
      <x:c r="P27" s="9" t="str"/>
      <x:c r="Q27" s="9" t="str">
        <x:v>1. 购票处理中结束的可执行结果验证</x:v>
      </x:c>
      <x:c r="R27" s="9" t="str">
        <x:v>产品</x:v>
      </x:c>
      <x:c r="S27" s="9" t="str">
        <x:v>对应功能测试开始前</x:v>
      </x:c>
      <x:c r="T27" s="9" t="str">
        <x:v>待确认</x:v>
      </x:c>
    </x:row>
    <x:row r="28" ht="85" customHeight="1">
      <x:c r="A28" s="10" t="str">
        <x:v>Q-045</x:v>
      </x:c>
      <x:c r="B28" s="10" t="str">
        <x:v>REQ-Q-045</x:v>
      </x:c>
      <x:c r="C28" s="10" t="str"/>
      <x:c r="D28" s="10" t="str"/>
      <x:c r="E28" s="10" t="str">
        <x:v>部分阻塞</x:v>
      </x:c>
      <x:c r="F28" s="10" t="str">
        <x:v>礼物与道具</x:v>
      </x:c>
      <x:c r="G28" s="9" t="str">
        <x:v>送礼处理中改比例</x:v>
      </x:c>
      <x:c r="H28" s="9" t="str">
        <x:v>计算与统计口径</x:v>
      </x:c>
      <x:c r="I28" s="9" t="str">
        <x:v>幸运礼物请求处理中修改收益比例，应使用哪个时点的比例快照？</x:v>
      </x:c>
      <x:c r="J28" s="9" t="str">
        <x:v>A. 请求受理时
B. 成功扣款入账时</x:v>
      </x:c>
      <x:c r="K28" s="9" t="str">
        <x:v>明确“送礼处理中改比例”的决定后，补充对应正常、拒绝及恢复分支。</x:v>
      </x:c>
      <x:c r="L28" s="12" t="str"/>
      <x:c r="M28" s="12" t="str"/>
      <x:c r="N28" s="10" t="str">
        <x:v>1. 只明确赠送时比例及完成后不追溯，尚未定义受理、扣款、入账哪个时点。
2. liveshow-proto/MainBasis/需求待确认清单.md：第88行</x:v>
      </x:c>
      <x:c r="O28" s="9" t="str">
        <x:v>1. 用户App、管理后台；礼物与道具</x:v>
      </x:c>
      <x:c r="P28" s="9" t="str"/>
      <x:c r="Q28" s="9" t="str">
        <x:v>1. 送礼处理中改比例的可执行结果验证</x:v>
      </x:c>
      <x:c r="R28" s="9" t="str">
        <x:v>产品</x:v>
      </x:c>
      <x:c r="S28" s="9" t="str">
        <x:v>对应功能测试开始前</x:v>
      </x:c>
      <x:c r="T28" s="9" t="str">
        <x:v>待确认</x:v>
      </x:c>
    </x:row>
    <x:row r="29" ht="85" customHeight="1">
      <x:c r="A29" s="10" t="str">
        <x:v>Q-046</x:v>
      </x:c>
      <x:c r="B29" s="10" t="str">
        <x:v>REQ-Q-046</x:v>
      </x:c>
      <x:c r="C29" s="10" t="str"/>
      <x:c r="D29" s="10" t="str"/>
      <x:c r="E29" s="10" t="str">
        <x:v>部分阻塞</x:v>
      </x:c>
      <x:c r="F29" s="10" t="str">
        <x:v>审批管理</x:v>
      </x:c>
      <x:c r="G29" s="9" t="str">
        <x:v>审核处理中停用公会</x:v>
      </x:c>
      <x:c r="H29" s="9" t="str">
        <x:v>业务规则</x:v>
      </x:c>
      <x:c r="I29" s="9" t="str">
        <x:v>平台终审处理中目标公会被停用，该申请如何结束？</x:v>
      </x:c>
      <x:c r="J29" s="9" t="str">
        <x:v>A. 取消未完成申请
B. 终审提交时重新校验公会</x:v>
      </x:c>
      <x:c r="K29" s="9" t="str">
        <x:v>明确“审核处理中停用公会”的决定后，补充对应正常、拒绝及恢复分支。</x:v>
      </x:c>
      <x:c r="L29" s="12" t="str"/>
      <x:c r="M29" s="12" t="str"/>
      <x:c r="N29" s="10" t="str">
        <x:v>1. 停用公会与终审通过后入会结果明确，两个操作竞争的先后边界未明确。
2. liveshow-proto/MainBasis/需求待确认清单.md：第89行</x:v>
      </x:c>
      <x:c r="O29" s="9" t="str">
        <x:v>1. 用户App、公会App、管理后台；审批管理</x:v>
      </x:c>
      <x:c r="P29" s="9" t="str"/>
      <x:c r="Q29" s="9" t="str">
        <x:v>1. 审核处理中停用公会的可执行结果验证</x:v>
      </x:c>
      <x:c r="R29" s="9" t="str">
        <x:v>产品</x:v>
      </x:c>
      <x:c r="S29" s="9" t="str">
        <x:v>对应功能测试开始前</x:v>
      </x:c>
      <x:c r="T29" s="9" t="str">
        <x:v>待确认</x:v>
      </x:c>
    </x:row>
    <x:row r="30" ht="85" customHeight="1">
      <x:c r="A30" s="10" t="str">
        <x:v>Q-052</x:v>
      </x:c>
      <x:c r="B30" s="10" t="str">
        <x:v>REQ-Q-052</x:v>
      </x:c>
      <x:c r="C30" s="10" t="str"/>
      <x:c r="D30" s="10" t="str"/>
      <x:c r="E30" s="10" t="str">
        <x:v>部分阻塞</x:v>
      </x:c>
      <x:c r="F30" s="10" t="str">
        <x:v>跨日统计</x:v>
      </x:c>
      <x:c r="G30" s="9" t="str">
        <x:v>跨日时长</x:v>
      </x:c>
      <x:c r="H30" s="9" t="str">
        <x:v>业务规则</x:v>
      </x:c>
      <x:c r="I30" s="9" t="str">
        <x:v>跨自然日直播的有效时长如何分摊？</x:v>
      </x:c>
      <x:c r="J30" s="9" t="str">
        <x:v>A. 按实际在线区间拆日
B. 全量归开播日</x:v>
      </x:c>
      <x:c r="K30" s="9" t="str">
        <x:v>明确“跨日时长”的决定后，补充对应正常、拒绝及恢复分支。</x:v>
      </x:c>
      <x:c r="L30" s="12" t="str"/>
      <x:c r="M30" s="12" t="str"/>
      <x:c r="N30" s="10" t="str">
        <x:v>1. 单日累计满三小时规则明确，但跨午夜场次切分和异常时长扣除未定义。
2. liveshow-proto/MainBasis/需求待确认清单.md：第90行</x:v>
      </x:c>
      <x:c r="O30" s="9" t="str">
        <x:v>1. 用户App、公会App、管理后台；跨日统计</x:v>
      </x:c>
      <x:c r="P30" s="9" t="str"/>
      <x:c r="Q30" s="9" t="str">
        <x:v>1. 跨日时长的可执行结果验证</x:v>
      </x:c>
      <x:c r="R30" s="9" t="str">
        <x:v>产品</x:v>
      </x:c>
      <x:c r="S30" s="9" t="str">
        <x:v>对应功能测试开始前</x:v>
      </x:c>
      <x:c r="T30" s="9" t="str">
        <x:v>待确认</x:v>
      </x:c>
    </x:row>
    <x:row r="31" ht="85" customHeight="1">
      <x:c r="A31" s="10" t="str">
        <x:v>Q-053</x:v>
      </x:c>
      <x:c r="B31" s="10" t="str">
        <x:v>REQ-Q-053</x:v>
      </x:c>
      <x:c r="C31" s="10" t="str"/>
      <x:c r="D31" s="10" t="str"/>
      <x:c r="E31" s="10" t="str">
        <x:v>部分阻塞</x:v>
      </x:c>
      <x:c r="F31" s="10" t="str">
        <x:v>直播模块</x:v>
      </x:c>
      <x:c r="G31" s="9" t="str">
        <x:v>直播间黑名单入口</x:v>
      </x:c>
      <x:c r="H31" s="9" t="str">
        <x:v>业务规则</x:v>
      </x:c>
      <x:c r="I31" s="9" t="str">
        <x:v>独立于账号拉黑的直播间黑名单应在哪里管理？</x:v>
      </x:c>
      <x:c r="J31" s="9" t="str">
        <x:v>A. 新增主播独立管理入口
B. 一期取消独立黑名单对象</x:v>
      </x:c>
      <x:c r="K31" s="9" t="str">
        <x:v>明确“直播间黑名单入口”的决定后，补充对应正常、拒绝及恢复分支。</x:v>
      </x:c>
      <x:c r="L31" s="12" t="str"/>
      <x:c r="M31" s="12" t="str"/>
      <x:c r="N31" s="10" t="str">
        <x:v>1. 房管授权提到直播间黑名单，公共批注写独立管理，当前活动页面未有对应管理入口。
2. liveshow-proto/MainBasis/需求待确认清单.md：第91行</x:v>
      </x:c>
      <x:c r="O31" s="9" t="str">
        <x:v>1. 用户App；直播模块</x:v>
      </x:c>
      <x:c r="P31" s="9" t="str"/>
      <x:c r="Q31" s="9" t="str">
        <x:v>1. 直播间黑名单入口的可执行结果验证</x:v>
      </x:c>
      <x:c r="R31" s="9" t="str">
        <x:v>产品</x:v>
      </x:c>
      <x:c r="S31" s="9" t="str">
        <x:v>对应功能测试开始前</x:v>
      </x:c>
      <x:c r="T31" s="9" t="str">
        <x:v>待确认</x:v>
      </x:c>
    </x:row>
    <x:row r="32" ht="85" customHeight="1">
      <x:c r="A32" s="10" t="str">
        <x:v>Q-054</x:v>
      </x:c>
      <x:c r="B32" s="10" t="str">
        <x:v>REQ-Q-054</x:v>
      </x:c>
      <x:c r="C32" s="10" t="str"/>
      <x:c r="D32" s="10" t="str"/>
      <x:c r="E32" s="10" t="str">
        <x:v>部分阻塞</x:v>
      </x:c>
      <x:c r="F32" s="10" t="str">
        <x:v>直播模块</x:v>
      </x:c>
      <x:c r="G32" s="9" t="str">
        <x:v>房管踢出条件</x:v>
      </x:c>
      <x:c r="H32" s="9" t="str">
        <x:v>业务规则</x:v>
      </x:c>
      <x:c r="I32" s="9" t="str">
        <x:v>本场已踢出但不在直播间黑名单的用户能否在房管管理页新增房管？</x:v>
      </x:c>
      <x:c r="J32" s="9" t="str">
        <x:v>A. 所有入口均禁止
B. 独立管理页允许授权</x:v>
      </x:c>
      <x:c r="K32" s="9" t="str">
        <x:v>明确“房管踢出条件”的决定后，补充对应正常、拒绝及恢复分支。</x:v>
      </x:c>
      <x:c r="L32" s="12" t="str"/>
      <x:c r="M32" s="12" t="str"/>
      <x:c r="N32" s="10" t="str">
        <x:v>1. 资料卡禁止已踢出用户新增房管；独立房管管理只列黑名单和拉黑限制。
2. liveshow-proto/MainBasis/需求待确认清单.md：第92行</x:v>
      </x:c>
      <x:c r="O32" s="9" t="str">
        <x:v>1. 用户App；直播模块</x:v>
      </x:c>
      <x:c r="P32" s="9" t="str"/>
      <x:c r="Q32" s="9" t="str">
        <x:v>1. 房管踢出条件的可执行结果验证</x:v>
      </x:c>
      <x:c r="R32" s="9" t="str">
        <x:v>产品</x:v>
      </x:c>
      <x:c r="S32" s="9" t="str">
        <x:v>对应功能测试开始前</x:v>
      </x:c>
      <x:c r="T32" s="9" t="str">
        <x:v>待确认</x:v>
      </x:c>
    </x:row>
    <x:row r="33" ht="85" customHeight="1">
      <x:c r="A33" s="10" t="str">
        <x:v>Q-056</x:v>
      </x:c>
      <x:c r="B33" s="10" t="str">
        <x:v>REQ-Q-056</x:v>
      </x:c>
      <x:c r="C33" s="10" t="str"/>
      <x:c r="D33" s="10" t="str"/>
      <x:c r="E33" s="10" t="str">
        <x:v>部分阻塞</x:v>
      </x:c>
      <x:c r="F33" s="10" t="str">
        <x:v>直播模块</x:v>
      </x:c>
      <x:c r="G33" s="9" t="str">
        <x:v>群主身份失效</x:v>
      </x:c>
      <x:c r="H33" s="9" t="str">
        <x:v>角色与权限</x:v>
      </x:c>
      <x:c r="I33" s="9" t="str">
        <x:v>公会停用导致主播失去身份时，粉丝团是否同退会通过一样解散？</x:v>
      </x:c>
      <x:c r="J33" s="9" t="str">
        <x:v>A. 立即解散
B. 保留群并冻结管理</x:v>
      </x:c>
      <x:c r="K33" s="9" t="str">
        <x:v>明确“群主身份失效”的决定后，补充对应正常、拒绝及恢复分支。</x:v>
      </x:c>
      <x:c r="L33" s="12" t="str"/>
      <x:c r="M33" s="12" t="str"/>
      <x:c r="N33" s="10" t="str">
        <x:v>1. 退会或移出明确解散，概要公会停用只明确关系身份与关播，没有直接说明粉丝团。
2. liveshow-proto/MainBasis/需求待确认清单.md：第93行</x:v>
      </x:c>
      <x:c r="O33" s="9" t="str">
        <x:v>1. 用户App、公会App、管理后台；直播模块</x:v>
      </x:c>
      <x:c r="P33" s="9" t="str"/>
      <x:c r="Q33" s="9" t="str">
        <x:v>1. 群主身份失效的可执行结果验证</x:v>
      </x:c>
      <x:c r="R33" s="9" t="str">
        <x:v>产品</x:v>
      </x:c>
      <x:c r="S33" s="9" t="str">
        <x:v>对应功能测试开始前</x:v>
      </x:c>
      <x:c r="T33" s="9" t="str">
        <x:v>待确认</x:v>
      </x:c>
    </x:row>
    <x:row r="34" ht="85" customHeight="1">
      <x:c r="A34" s="10" t="str">
        <x:v>Q-057</x:v>
      </x:c>
      <x:c r="B34" s="10" t="str">
        <x:v>REQ-Q-057</x:v>
      </x:c>
      <x:c r="C34" s="10" t="str"/>
      <x:c r="D34" s="10" t="str"/>
      <x:c r="E34" s="10" t="str">
        <x:v>部分阻塞</x:v>
      </x:c>
      <x:c r="F34" s="10" t="str">
        <x:v>消息与社交</x:v>
      </x:c>
      <x:c r="G34" s="9" t="str">
        <x:v>媒体权限</x:v>
      </x:c>
      <x:c r="H34" s="9" t="str">
        <x:v>角色与权限</x:v>
      </x:c>
      <x:c r="I34" s="9" t="str">
        <x:v>语音和图片发送的系统权限被拒绝后采用什么恢复入口？</x:v>
      </x:c>
      <x:c r="J34" s="9" t="str">
        <x:v>A. 提示并进入系统设置
B. 停留输入区显示失败状态</x:v>
      </x:c>
      <x:c r="K34" s="9" t="str">
        <x:v>明确“媒体权限”的决定后，补充对应正常、拒绝及恢复分支。</x:v>
      </x:c>
      <x:c r="L34" s="12" t="str"/>
      <x:c r="M34" s="12" t="str"/>
      <x:c r="N34" s="10" t="str">
        <x:v>1. 原型语音与图片均为演示，不调用真实设备；开播权限说明不能替代聊天权限。
2. liveshow-proto/MainBasis/需求待确认清单.md：第94行</x:v>
      </x:c>
      <x:c r="O34" s="9" t="str">
        <x:v>1. 用户App；消息与社交</x:v>
      </x:c>
      <x:c r="P34" s="9" t="str"/>
      <x:c r="Q34" s="9" t="str">
        <x:v>1. 媒体权限的可执行结果验证</x:v>
      </x:c>
      <x:c r="R34" s="9" t="str">
        <x:v>产品</x:v>
      </x:c>
      <x:c r="S34" s="9" t="str">
        <x:v>对应功能测试开始前</x:v>
      </x:c>
      <x:c r="T34" s="9" t="str">
        <x:v>待确认</x:v>
      </x:c>
    </x:row>
    <x:row r="35" ht="70" customHeight="1">
      <x:c r="A35" s="10" t="str">
        <x:v>Q-018</x:v>
      </x:c>
      <x:c r="B35" s="10" t="str">
        <x:v>REQ-Q-018</x:v>
      </x:c>
      <x:c r="C35" s="10" t="str"/>
      <x:c r="D35" s="10" t="str"/>
      <x:c r="E35" s="10" t="str">
        <x:v>部分阻塞</x:v>
      </x:c>
      <x:c r="F35" s="10" t="str">
        <x:v>首页与发现</x:v>
      </x:c>
      <x:c r="G35" s="9" t="str">
        <x:v>搜索结果排序</x:v>
      </x:c>
      <x:c r="H35" s="9" t="str">
        <x:v>计算与统计口径</x:v>
      </x:c>
      <x:c r="I35" s="9" t="str">
        <x:v>搜索结果中未定义的排序及同值次序采用什么规则？</x:v>
      </x:c>
      <x:c r="J35" s="9" t="str">
        <x:v>A. 按业务发生时间倒序、同值按ID升序
B. 按配置权重、同值按ID升序</x:v>
      </x:c>
      <x:c r="K35" s="9" t="str">
        <x:v>明确“搜索结果排序”的决定后，补充对应正常、拒绝及恢复分支。</x:v>
      </x:c>
      <x:c r="L35" s="12" t="str"/>
      <x:c r="M35" s="12" t="str"/>
      <x:c r="N35" s="10" t="str">
        <x:v>1. 排序：匹配结果的优先级待确认。
2. liveshow-proto/MainBasis/需求待确认清单.md：第95行</x:v>
      </x:c>
      <x:c r="O35" s="9" t="str">
        <x:v>1. 用户App；首页与发现</x:v>
      </x:c>
      <x:c r="P35" s="9" t="str"/>
      <x:c r="Q35" s="9" t="str">
        <x:v>1. 搜索结果排序的可执行结果验证</x:v>
      </x:c>
      <x:c r="R35" s="9" t="str">
        <x:v>产品</x:v>
      </x:c>
      <x:c r="S35" s="9" t="str">
        <x:v>对应功能测试开始前</x:v>
      </x:c>
      <x:c r="T35" s="9" t="str">
        <x:v>待确认</x:v>
      </x:c>
    </x:row>
    <x:row r="36" ht="70" customHeight="1">
      <x:c r="A36" s="10" t="str">
        <x:v>Q-019</x:v>
      </x:c>
      <x:c r="B36" s="10" t="str">
        <x:v>REQ-Q-019</x:v>
      </x:c>
      <x:c r="C36" s="10" t="str"/>
      <x:c r="D36" s="10" t="str"/>
      <x:c r="E36" s="10" t="str">
        <x:v>部分阻塞</x:v>
      </x:c>
      <x:c r="F36" s="10" t="str">
        <x:v>消息与社交</x:v>
      </x:c>
      <x:c r="G36" s="9" t="str">
        <x:v>粉丝列表排序</x:v>
      </x:c>
      <x:c r="H36" s="9" t="str">
        <x:v>计算与统计口径</x:v>
      </x:c>
      <x:c r="I36" s="9" t="str">
        <x:v>粉丝列表中未定义的排序及同值次序采用什么规则？</x:v>
      </x:c>
      <x:c r="J36" s="9" t="str">
        <x:v>A. 按业务发生时间倒序、同值按ID升序
B. 按配置权重、同值按ID升序</x:v>
      </x:c>
      <x:c r="K36" s="9" t="str">
        <x:v>明确“粉丝列表排序”的决定后，补充对应正常、拒绝及恢复分支。</x:v>
      </x:c>
      <x:c r="L36" s="12" t="str"/>
      <x:c r="M36" s="12" t="str"/>
      <x:c r="N36" s="10" t="str">
        <x:v>1. 排序：粉丝列表排序依据待确认；搜索不改变结果的相对顺序。
2. liveshow-proto/MainBasis/需求待确认清单.md：第96行</x:v>
      </x:c>
      <x:c r="O36" s="9" t="str">
        <x:v>1. 用户App；消息与社交</x:v>
      </x:c>
      <x:c r="P36" s="9" t="str"/>
      <x:c r="Q36" s="9" t="str">
        <x:v>1. 粉丝列表排序的可执行结果验证</x:v>
      </x:c>
      <x:c r="R36" s="9" t="str">
        <x:v>产品</x:v>
      </x:c>
      <x:c r="S36" s="9" t="str">
        <x:v>对应功能测试开始前</x:v>
      </x:c>
      <x:c r="T36" s="9" t="str">
        <x:v>待确认</x:v>
      </x:c>
    </x:row>
    <x:row r="37" ht="70" customHeight="1">
      <x:c r="A37" s="10" t="str">
        <x:v>Q-020</x:v>
      </x:c>
      <x:c r="B37" s="10" t="str">
        <x:v>REQ-Q-020</x:v>
      </x:c>
      <x:c r="C37" s="10" t="str"/>
      <x:c r="D37" s="10" t="str"/>
      <x:c r="E37" s="10" t="str">
        <x:v>部分阻塞</x:v>
      </x:c>
      <x:c r="F37" s="10" t="str">
        <x:v>个人中心</x:v>
      </x:c>
      <x:c r="G37" s="9" t="str">
        <x:v>我的关注排序</x:v>
      </x:c>
      <x:c r="H37" s="9" t="str">
        <x:v>计算与统计口径</x:v>
      </x:c>
      <x:c r="I37" s="9" t="str">
        <x:v>我的关注中未定义的排序及同值次序采用什么规则？</x:v>
      </x:c>
      <x:c r="J37" s="9" t="str">
        <x:v>A. 按业务发生时间倒序、同值按ID升序
B. 按配置权重、同值按ID升序</x:v>
      </x:c>
      <x:c r="K37" s="9" t="str">
        <x:v>明确“我的关注排序”的决定后，补充对应正常、拒绝及恢复分支。</x:v>
      </x:c>
      <x:c r="L37" s="12" t="str"/>
      <x:c r="M37" s="12" t="str"/>
      <x:c r="N37" s="10" t="str">
        <x:v>1. 排序：关注列表的排序依据待确认。
2. liveshow-proto/MainBasis/需求待确认清单.md：第97行</x:v>
      </x:c>
      <x:c r="O37" s="9" t="str">
        <x:v>1. 用户App；个人中心</x:v>
      </x:c>
      <x:c r="P37" s="9" t="str"/>
      <x:c r="Q37" s="9" t="str">
        <x:v>1. 我的关注排序的可执行结果验证</x:v>
      </x:c>
      <x:c r="R37" s="9" t="str">
        <x:v>产品</x:v>
      </x:c>
      <x:c r="S37" s="9" t="str">
        <x:v>对应功能测试开始前</x:v>
      </x:c>
      <x:c r="T37" s="9" t="str">
        <x:v>待确认</x:v>
      </x:c>
    </x:row>
    <x:row r="38" ht="70" customHeight="1">
      <x:c r="A38" s="10" t="str">
        <x:v>Q-021</x:v>
      </x:c>
      <x:c r="B38" s="10" t="str">
        <x:v>REQ-Q-021</x:v>
      </x:c>
      <x:c r="C38" s="10" t="str"/>
      <x:c r="D38" s="10" t="str"/>
      <x:c r="E38" s="10" t="str">
        <x:v>部分阻塞</x:v>
      </x:c>
      <x:c r="F38" s="10" t="str">
        <x:v>个人中心</x:v>
      </x:c>
      <x:c r="G38" s="9" t="str">
        <x:v>头像框排序</x:v>
      </x:c>
      <x:c r="H38" s="9" t="str">
        <x:v>计算与统计口径</x:v>
      </x:c>
      <x:c r="I38" s="9" t="str">
        <x:v>头像框中未定义的排序及同值次序采用什么规则？</x:v>
      </x:c>
      <x:c r="J38" s="9" t="str">
        <x:v>A. 按业务发生时间倒序、同值按ID升序
B. 按配置权重、同值按ID升序</x:v>
      </x:c>
      <x:c r="K38" s="9" t="str">
        <x:v>明确“头像框排序”的决定后，补充对应正常、拒绝及恢复分支。</x:v>
      </x:c>
      <x:c r="L38" s="12" t="str"/>
      <x:c r="M38" s="12" t="str"/>
      <x:c r="N38" s="10" t="str">
        <x:v>1. 数据范围：当前账号持有的头像框；道具列表排序依据待确认。
2. liveshow-proto/MainBasis/需求待确认清单.md：第98行</x:v>
      </x:c>
      <x:c r="O38" s="9" t="str">
        <x:v>1. 用户App；个人中心</x:v>
      </x:c>
      <x:c r="P38" s="9" t="str"/>
      <x:c r="Q38" s="9" t="str">
        <x:v>1. 头像框排序的可执行结果验证</x:v>
      </x:c>
      <x:c r="R38" s="9" t="str">
        <x:v>产品</x:v>
      </x:c>
      <x:c r="S38" s="9" t="str">
        <x:v>对应功能测试开始前</x:v>
      </x:c>
      <x:c r="T38" s="9" t="str">
        <x:v>待确认</x:v>
      </x:c>
    </x:row>
    <x:row r="39" ht="70" customHeight="1">
      <x:c r="A39" s="10" t="str">
        <x:v>Q-022</x:v>
      </x:c>
      <x:c r="B39" s="10" t="str">
        <x:v>REQ-Q-022</x:v>
      </x:c>
      <x:c r="C39" s="10" t="str"/>
      <x:c r="D39" s="10" t="str"/>
      <x:c r="E39" s="10" t="str">
        <x:v>部分阻塞</x:v>
      </x:c>
      <x:c r="F39" s="10" t="str">
        <x:v>个人中心</x:v>
      </x:c>
      <x:c r="G39" s="9" t="str">
        <x:v>聊天气泡排序</x:v>
      </x:c>
      <x:c r="H39" s="9" t="str">
        <x:v>计算与统计口径</x:v>
      </x:c>
      <x:c r="I39" s="9" t="str">
        <x:v>聊天气泡中未定义的排序及同值次序采用什么规则？</x:v>
      </x:c>
      <x:c r="J39" s="9" t="str">
        <x:v>A. 按业务发生时间倒序、同值按ID升序
B. 按配置权重、同值按ID升序</x:v>
      </x:c>
      <x:c r="K39" s="9" t="str">
        <x:v>明确“聊天气泡排序”的决定后，补充对应正常、拒绝及恢复分支。</x:v>
      </x:c>
      <x:c r="L39" s="12" t="str"/>
      <x:c r="M39" s="12" t="str"/>
      <x:c r="N39" s="10" t="str">
        <x:v>1. 数据范围：当前账号持有的聊天气泡；道具列表排序依据待确认。
2. liveshow-proto/MainBasis/需求待确认清单.md：第99行</x:v>
      </x:c>
      <x:c r="O39" s="9" t="str">
        <x:v>1. 用户App；个人中心</x:v>
      </x:c>
      <x:c r="P39" s="9" t="str"/>
      <x:c r="Q39" s="9" t="str">
        <x:v>1. 聊天气泡排序的可执行结果验证</x:v>
      </x:c>
      <x:c r="R39" s="9" t="str">
        <x:v>产品</x:v>
      </x:c>
      <x:c r="S39" s="9" t="str">
        <x:v>对应功能测试开始前</x:v>
      </x:c>
      <x:c r="T39" s="9" t="str">
        <x:v>待确认</x:v>
      </x:c>
    </x:row>
    <x:row r="40" ht="70" customHeight="1">
      <x:c r="A40" s="10" t="str">
        <x:v>Q-023</x:v>
      </x:c>
      <x:c r="B40" s="10" t="str">
        <x:v>REQ-Q-023</x:v>
      </x:c>
      <x:c r="C40" s="10" t="str"/>
      <x:c r="D40" s="10" t="str"/>
      <x:c r="E40" s="10" t="str">
        <x:v>部分阻塞</x:v>
      </x:c>
      <x:c r="F40" s="10" t="str">
        <x:v>个人中心</x:v>
      </x:c>
      <x:c r="G40" s="9" t="str">
        <x:v>勋章排序</x:v>
      </x:c>
      <x:c r="H40" s="9" t="str">
        <x:v>计算与统计口径</x:v>
      </x:c>
      <x:c r="I40" s="9" t="str">
        <x:v>勋章中未定义的排序及同值次序采用什么规则？</x:v>
      </x:c>
      <x:c r="J40" s="9" t="str">
        <x:v>A. 按业务发生时间倒序、同值按ID升序
B. 按配置权重、同值按ID升序</x:v>
      </x:c>
      <x:c r="K40" s="9" t="str">
        <x:v>明确“勋章排序”的决定后，补充对应正常、拒绝及恢复分支。</x:v>
      </x:c>
      <x:c r="L40" s="12" t="str"/>
      <x:c r="M40" s="12" t="str"/>
      <x:c r="N40" s="10" t="str">
        <x:v>1. 数据范围：当前账号持有的勋章；道具列表排序依据待确认。
2. liveshow-proto/MainBasis/需求待确认清单.md：第100行</x:v>
      </x:c>
      <x:c r="O40" s="9" t="str">
        <x:v>1. 用户App；个人中心</x:v>
      </x:c>
      <x:c r="P40" s="9" t="str"/>
      <x:c r="Q40" s="9" t="str">
        <x:v>1. 勋章排序的可执行结果验证</x:v>
      </x:c>
      <x:c r="R40" s="9" t="str">
        <x:v>产品</x:v>
      </x:c>
      <x:c r="S40" s="9" t="str">
        <x:v>对应功能测试开始前</x:v>
      </x:c>
      <x:c r="T40" s="9" t="str">
        <x:v>待确认</x:v>
      </x:c>
    </x:row>
    <x:row r="41" ht="70" customHeight="1">
      <x:c r="A41" s="10" t="str">
        <x:v>Q-024</x:v>
      </x:c>
      <x:c r="B41" s="10" t="str">
        <x:v>REQ-Q-024</x:v>
      </x:c>
      <x:c r="C41" s="10" t="str"/>
      <x:c r="D41" s="10" t="str"/>
      <x:c r="E41" s="10" t="str">
        <x:v>部分阻塞</x:v>
      </x:c>
      <x:c r="F41" s="10" t="str">
        <x:v>消息与社交</x:v>
      </x:c>
      <x:c r="G41" s="9" t="str">
        <x:v>好友列表排序</x:v>
      </x:c>
      <x:c r="H41" s="9" t="str">
        <x:v>计算与统计口径</x:v>
      </x:c>
      <x:c r="I41" s="9" t="str">
        <x:v>好友列表中未定义的排序及同值次序采用什么规则？</x:v>
      </x:c>
      <x:c r="J41" s="9" t="str">
        <x:v>A. 按业务发生时间倒序、同值按ID升序
B. 按配置权重、同值按ID升序</x:v>
      </x:c>
      <x:c r="K41" s="9" t="str">
        <x:v>明确“好友列表排序”的决定后，补充对应正常、拒绝及恢复分支。</x:v>
      </x:c>
      <x:c r="L41" s="12" t="str"/>
      <x:c r="M41" s="12" t="str"/>
      <x:c r="N41" s="10" t="str">
        <x:v>1. 排序：好友列表排序依据待确认；搜索不改变结果的相对顺序。
2. liveshow-proto/MainBasis/需求待确认清单.md：第101行</x:v>
      </x:c>
      <x:c r="O41" s="9" t="str">
        <x:v>1. 用户App；消息与社交</x:v>
      </x:c>
      <x:c r="P41" s="9" t="str"/>
      <x:c r="Q41" s="9" t="str">
        <x:v>1. 好友列表排序的可执行结果验证</x:v>
      </x:c>
      <x:c r="R41" s="9" t="str">
        <x:v>产品</x:v>
      </x:c>
      <x:c r="S41" s="9" t="str">
        <x:v>对应功能测试开始前</x:v>
      </x:c>
      <x:c r="T41" s="9" t="str">
        <x:v>待确认</x:v>
      </x:c>
    </x:row>
    <x:row r="42" ht="70" customHeight="1">
      <x:c r="A42" s="10" t="str">
        <x:v>Q-025</x:v>
      </x:c>
      <x:c r="B42" s="10" t="str">
        <x:v>REQ-Q-025</x:v>
      </x:c>
      <x:c r="C42" s="10" t="str"/>
      <x:c r="D42" s="10" t="str"/>
      <x:c r="E42" s="10" t="str">
        <x:v>部分阻塞</x:v>
      </x:c>
      <x:c r="F42" s="10" t="str">
        <x:v>个人中心</x:v>
      </x:c>
      <x:c r="G42" s="9" t="str">
        <x:v>黑名单管理排序</x:v>
      </x:c>
      <x:c r="H42" s="9" t="str">
        <x:v>计算与统计口径</x:v>
      </x:c>
      <x:c r="I42" s="9" t="str">
        <x:v>黑名单管理中未定义的排序及同值次序采用什么规则？</x:v>
      </x:c>
      <x:c r="J42" s="9" t="str">
        <x:v>A. 按业务发生时间倒序、同值按ID升序
B. 按配置权重、同值按ID升序</x:v>
      </x:c>
      <x:c r="K42" s="9" t="str">
        <x:v>明确“黑名单管理排序”的决定后，补充对应正常、拒绝及恢复分支。</x:v>
      </x:c>
      <x:c r="L42" s="12" t="str"/>
      <x:c r="M42" s="12" t="str"/>
      <x:c r="N42" s="10" t="str">
        <x:v>1. 排序：黑名单列表排序依据待确认。
2. liveshow-proto/MainBasis/需求待确认清单.md：第102行</x:v>
      </x:c>
      <x:c r="O42" s="9" t="str">
        <x:v>1. 用户App；个人中心</x:v>
      </x:c>
      <x:c r="P42" s="9" t="str"/>
      <x:c r="Q42" s="9" t="str">
        <x:v>1. 黑名单管理排序的可执行结果验证</x:v>
      </x:c>
      <x:c r="R42" s="9" t="str">
        <x:v>产品</x:v>
      </x:c>
      <x:c r="S42" s="9" t="str">
        <x:v>对应功能测试开始前</x:v>
      </x:c>
      <x:c r="T42" s="9" t="str">
        <x:v>待确认</x:v>
      </x:c>
    </x:row>
    <x:row r="43" ht="70" customHeight="1">
      <x:c r="A43" s="10" t="str">
        <x:v>Q-026</x:v>
      </x:c>
      <x:c r="B43" s="10" t="str">
        <x:v>REQ-Q-026</x:v>
      </x:c>
      <x:c r="C43" s="10" t="str"/>
      <x:c r="D43" s="10" t="str"/>
      <x:c r="E43" s="10" t="str">
        <x:v>部分阻塞</x:v>
      </x:c>
      <x:c r="F43" s="10" t="str">
        <x:v>粉丝团</x:v>
      </x:c>
      <x:c r="G43" s="9" t="str">
        <x:v>我的粉丝团排序</x:v>
      </x:c>
      <x:c r="H43" s="9" t="str">
        <x:v>计算与统计口径</x:v>
      </x:c>
      <x:c r="I43" s="9" t="str">
        <x:v>我的粉丝团中未定义的排序及同值次序采用什么规则？</x:v>
      </x:c>
      <x:c r="J43" s="9" t="str">
        <x:v>A. 按业务发生时间倒序、同值按ID升序
B. 按配置权重、同值按ID升序</x:v>
      </x:c>
      <x:c r="K43" s="9" t="str">
        <x:v>明确“我的粉丝团排序”的决定后，补充对应正常、拒绝及恢复分支。</x:v>
      </x:c>
      <x:c r="L43" s="12" t="str"/>
      <x:c r="M43" s="12" t="str"/>
      <x:c r="N43" s="10" t="str">
        <x:v>1. 排序：已加入粉丝团列表排序依据待确认。
2. liveshow-proto/MainBasis/需求待确认清单.md：第103行</x:v>
      </x:c>
      <x:c r="O43" s="9" t="str">
        <x:v>1. 用户App；粉丝团</x:v>
      </x:c>
      <x:c r="P43" s="9" t="str"/>
      <x:c r="Q43" s="9" t="str">
        <x:v>1. 我的粉丝团排序的可执行结果验证</x:v>
      </x:c>
      <x:c r="R43" s="9" t="str">
        <x:v>产品</x:v>
      </x:c>
      <x:c r="S43" s="9" t="str">
        <x:v>对应功能测试开始前</x:v>
      </x:c>
      <x:c r="T43" s="9" t="str">
        <x:v>待确认</x:v>
      </x:c>
    </x:row>
    <x:row r="44" ht="70" customHeight="1">
      <x:c r="A44" s="10" t="str">
        <x:v>Q-027</x:v>
      </x:c>
      <x:c r="B44" s="10" t="str">
        <x:v>REQ-Q-027</x:v>
      </x:c>
      <x:c r="C44" s="10" t="str"/>
      <x:c r="D44" s="10" t="str"/>
      <x:c r="E44" s="10" t="str">
        <x:v>部分阻塞</x:v>
      </x:c>
      <x:c r="F44" s="10" t="str">
        <x:v>主播中心</x:v>
      </x:c>
      <x:c r="G44" s="9" t="str">
        <x:v>房管管理排序</x:v>
      </x:c>
      <x:c r="H44" s="9" t="str">
        <x:v>计算与统计口径</x:v>
      </x:c>
      <x:c r="I44" s="9" t="str">
        <x:v>房管管理中未定义的排序及同值次序采用什么规则？</x:v>
      </x:c>
      <x:c r="J44" s="9" t="str">
        <x:v>A. 按业务发生时间倒序、同值按ID升序
B. 按配置权重、同值按ID升序</x:v>
      </x:c>
      <x:c r="K44" s="9" t="str">
        <x:v>明确“房管管理排序”的决定后，补充对应正常、拒绝及恢复分支。</x:v>
      </x:c>
      <x:c r="L44" s="12" t="str"/>
      <x:c r="M44" s="12" t="str"/>
      <x:c r="N44" s="10" t="str">
        <x:v>1. 数据范围：当前主播仍有效的房管授权；排序依据待确认。
2. liveshow-proto/MainBasis/需求待确认清单.md：第104行</x:v>
      </x:c>
      <x:c r="O44" s="9" t="str">
        <x:v>1. 用户App；主播中心</x:v>
      </x:c>
      <x:c r="P44" s="9" t="str"/>
      <x:c r="Q44" s="9" t="str">
        <x:v>1. 房管管理排序的可执行结果验证</x:v>
      </x:c>
      <x:c r="R44" s="9" t="str">
        <x:v>产品</x:v>
      </x:c>
      <x:c r="S44" s="9" t="str">
        <x:v>对应功能测试开始前</x:v>
      </x:c>
      <x:c r="T44" s="9" t="str">
        <x:v>待确认</x:v>
      </x:c>
    </x:row>
    <x:row r="45" ht="70" customHeight="1">
      <x:c r="A45" s="10" t="str">
        <x:v>Q-028</x:v>
      </x:c>
      <x:c r="B45" s="10" t="str">
        <x:v>REQ-Q-028</x:v>
      </x:c>
      <x:c r="C45" s="10" t="str"/>
      <x:c r="D45" s="10" t="str"/>
      <x:c r="E45" s="10" t="str">
        <x:v>部分阻塞</x:v>
      </x:c>
      <x:c r="F45" s="10" t="str">
        <x:v>主播中心</x:v>
      </x:c>
      <x:c r="G45" s="9" t="str">
        <x:v>公会通知排序</x:v>
      </x:c>
      <x:c r="H45" s="9" t="str">
        <x:v>计算与统计口径</x:v>
      </x:c>
      <x:c r="I45" s="9" t="str">
        <x:v>公会通知中未定义的排序及同值次序采用什么规则？</x:v>
      </x:c>
      <x:c r="J45" s="9" t="str">
        <x:v>A. 按业务发生时间倒序、同值按ID升序
B. 按配置权重、同值按ID升序</x:v>
      </x:c>
      <x:c r="K45" s="9" t="str">
        <x:v>明确“公会通知排序”的决定后，补充对应正常、拒绝及恢复分支。</x:v>
      </x:c>
      <x:c r="L45" s="12" t="str"/>
      <x:c r="M45" s="12" t="str"/>
      <x:c r="N45" s="10" t="str">
        <x:v>1. 排序：通知列表的排序依据待确认；本页不展示发布时间。
2. liveshow-proto/MainBasis/需求待确认清单.md：第105行</x:v>
      </x:c>
      <x:c r="O45" s="9" t="str">
        <x:v>1. 用户App；主播中心</x:v>
      </x:c>
      <x:c r="P45" s="9" t="str"/>
      <x:c r="Q45" s="9" t="str">
        <x:v>1. 公会通知排序的可执行结果验证</x:v>
      </x:c>
      <x:c r="R45" s="9" t="str">
        <x:v>产品</x:v>
      </x:c>
      <x:c r="S45" s="9" t="str">
        <x:v>对应功能测试开始前</x:v>
      </x:c>
      <x:c r="T45" s="9" t="str">
        <x:v>待确认</x:v>
      </x:c>
    </x:row>
    <x:row r="46" ht="85" customHeight="1">
      <x:c r="A46" s="10" t="str">
        <x:v>Q-029</x:v>
      </x:c>
      <x:c r="B46" s="10" t="str">
        <x:v>REQ-Q-029</x:v>
      </x:c>
      <x:c r="C46" s="10" t="str"/>
      <x:c r="D46" s="10" t="str"/>
      <x:c r="E46" s="10" t="str">
        <x:v>部分阻塞</x:v>
      </x:c>
      <x:c r="F46" s="10" t="str">
        <x:v>主播中心</x:v>
      </x:c>
      <x:c r="G46" s="9" t="str">
        <x:v>选择可见粉丝排序</x:v>
      </x:c>
      <x:c r="H46" s="9" t="str">
        <x:v>计算与统计口径</x:v>
      </x:c>
      <x:c r="I46" s="9" t="str">
        <x:v>选择可见粉丝中未定义的排序及同值次序采用什么规则？</x:v>
      </x:c>
      <x:c r="J46" s="9" t="str">
        <x:v>A. 按业务发生时间倒序、同值按ID升序
B. 按配置权重、同值按ID升序</x:v>
      </x:c>
      <x:c r="K46" s="9" t="str">
        <x:v>明确“选择可见粉丝排序”的决定后，补充对应正常、拒绝及恢复分支。</x:v>
      </x:c>
      <x:c r="L46" s="12" t="str"/>
      <x:c r="M46" s="12" t="str"/>
      <x:c r="N46" s="10" t="str">
        <x:v>1. 排序：可选粉丝列表的排序依据待确认；搜索不改变匹配结果的相对顺序。
2. liveshow-proto/MainBasis/需求待确认清单.md：第106行</x:v>
      </x:c>
      <x:c r="O46" s="9" t="str">
        <x:v>1. 用户App；主播中心</x:v>
      </x:c>
      <x:c r="P46" s="9" t="str"/>
      <x:c r="Q46" s="9" t="str">
        <x:v>1. 选择可见粉丝排序的可执行结果验证</x:v>
      </x:c>
      <x:c r="R46" s="9" t="str">
        <x:v>产品</x:v>
      </x:c>
      <x:c r="S46" s="9" t="str">
        <x:v>对应功能测试开始前</x:v>
      </x:c>
      <x:c r="T46" s="9" t="str">
        <x:v>待确认</x:v>
      </x:c>
    </x:row>
    <x:row r="47" ht="70" customHeight="1">
      <x:c r="A47" s="10" t="str">
        <x:v>Q-030</x:v>
      </x:c>
      <x:c r="B47" s="10" t="str">
        <x:v>REQ-Q-030</x:v>
      </x:c>
      <x:c r="C47" s="10" t="str"/>
      <x:c r="D47" s="10" t="str"/>
      <x:c r="E47" s="10" t="str">
        <x:v>部分阻塞</x:v>
      </x:c>
      <x:c r="F47" s="10" t="str">
        <x:v>主播中心</x:v>
      </x:c>
      <x:c r="G47" s="9" t="str">
        <x:v>粉丝列表排序</x:v>
      </x:c>
      <x:c r="H47" s="9" t="str">
        <x:v>计算与统计口径</x:v>
      </x:c>
      <x:c r="I47" s="9" t="str">
        <x:v>粉丝列表中未定义的排序及同值次序采用什么规则？</x:v>
      </x:c>
      <x:c r="J47" s="9" t="str">
        <x:v>A. 按业务发生时间倒序、同值按ID升序
B. 按配置权重、同值按ID升序</x:v>
      </x:c>
      <x:c r="K47" s="9" t="str">
        <x:v>明确“粉丝列表排序”的决定后，补充对应正常、拒绝及恢复分支。</x:v>
      </x:c>
      <x:c r="L47" s="12" t="str"/>
      <x:c r="M47" s="12" t="str"/>
      <x:c r="N47" s="10" t="str">
        <x:v>1. 数据范围：当前仍关注该主播的用户；排序依据待确认。
2. liveshow-proto/MainBasis/需求待确认清单.md：第107行</x:v>
      </x:c>
      <x:c r="O47" s="9" t="str">
        <x:v>1. 用户App；主播中心</x:v>
      </x:c>
      <x:c r="P47" s="9" t="str"/>
      <x:c r="Q47" s="9" t="str">
        <x:v>1. 粉丝列表排序的可执行结果验证</x:v>
      </x:c>
      <x:c r="R47" s="9" t="str">
        <x:v>产品</x:v>
      </x:c>
      <x:c r="S47" s="9" t="str">
        <x:v>对应功能测试开始前</x:v>
      </x:c>
      <x:c r="T47" s="9" t="str">
        <x:v>待确认</x:v>
      </x:c>
    </x:row>
    <x:row r="48" ht="100" customHeight="1">
      <x:c r="A48" s="10" t="str">
        <x:v>Q-031</x:v>
      </x:c>
      <x:c r="B48" s="10" t="str">
        <x:v>REQ-Q-031</x:v>
      </x:c>
      <x:c r="C48" s="10" t="str"/>
      <x:c r="D48" s="10" t="str"/>
      <x:c r="E48" s="10" t="str">
        <x:v>部分阻塞</x:v>
      </x:c>
      <x:c r="F48" s="10" t="str">
        <x:v>主播中心</x:v>
      </x:c>
      <x:c r="G48" s="9" t="str">
        <x:v>粉丝团排序</x:v>
      </x:c>
      <x:c r="H48" s="9" t="str">
        <x:v>计算与统计口径</x:v>
      </x:c>
      <x:c r="I48" s="9" t="str">
        <x:v>粉丝团中未定义的排序及同值次序采用什么规则？</x:v>
      </x:c>
      <x:c r="J48" s="9" t="str">
        <x:v>A. 按业务发生时间倒序、同值按ID升序
B. 按配置权重、同值按ID升序</x:v>
      </x:c>
      <x:c r="K48" s="9" t="str">
        <x:v>明确“粉丝团排序”的决定后，补充对应正常、拒绝及恢复分支。</x:v>
      </x:c>
      <x:c r="L48" s="12" t="str"/>
      <x:c r="M48" s="12" t="str"/>
      <x:c r="N48" s="10" t="str">
        <x:v>1. 排序：默认按累计贡献从高到低；“本月最多”按本月贡献从高到低；“最新加入”按加入时间从新到旧；相同值的次序待确认。
2. liveshow-proto/MainBasis/需求待确认清单.md：第108行</x:v>
      </x:c>
      <x:c r="O48" s="9" t="str">
        <x:v>1. 用户App；主播中心</x:v>
      </x:c>
      <x:c r="P48" s="9" t="str"/>
      <x:c r="Q48" s="9" t="str">
        <x:v>1. 粉丝团排序的可执行结果验证</x:v>
      </x:c>
      <x:c r="R48" s="9" t="str">
        <x:v>产品</x:v>
      </x:c>
      <x:c r="S48" s="9" t="str">
        <x:v>对应功能测试开始前</x:v>
      </x:c>
      <x:c r="T48" s="9" t="str">
        <x:v>待确认</x:v>
      </x:c>
    </x:row>
    <x:row r="49" ht="100" customHeight="1">
      <x:c r="A49" s="10" t="str">
        <x:v>Q-032</x:v>
      </x:c>
      <x:c r="B49" s="10" t="str">
        <x:v>REQ-Q-032</x:v>
      </x:c>
      <x:c r="C49" s="10" t="str"/>
      <x:c r="D49" s="10" t="str"/>
      <x:c r="E49" s="10" t="str">
        <x:v>部分阻塞</x:v>
      </x:c>
      <x:c r="F49" s="10" t="str">
        <x:v>主播中心</x:v>
      </x:c>
      <x:c r="G49" s="9" t="str">
        <x:v>直播数据排序</x:v>
      </x:c>
      <x:c r="H49" s="9" t="str">
        <x:v>计算与统计口径</x:v>
      </x:c>
      <x:c r="I49" s="9" t="str">
        <x:v>直播数据中未定义的排序及同值次序采用什么规则？</x:v>
      </x:c>
      <x:c r="J49" s="9" t="str">
        <x:v>A. 按业务发生时间倒序、同值按ID升序
B. 按配置权重、同值按ID升序</x:v>
      </x:c>
      <x:c r="K49" s="9" t="str">
        <x:v>明确“直播数据排序”的决定后，补充对应正常、拒绝及恢复分支。</x:v>
      </x:c>
      <x:c r="L49" s="12" t="str"/>
      <x:c r="M49" s="12" t="str"/>
      <x:c r="N49" s="10" t="str">
        <x:v>1. 数据范围：仅当前主播、当前日或月范围内的直播数据；日期趋势按时间顺序展示，明细列表的排序依据待确认。
2. liveshow-proto/MainBasis/需求待确认清单.md：第109行</x:v>
      </x:c>
      <x:c r="O49" s="9" t="str">
        <x:v>1. 用户App；主播中心</x:v>
      </x:c>
      <x:c r="P49" s="9" t="str"/>
      <x:c r="Q49" s="9" t="str">
        <x:v>1. 直播数据排序的可执行结果验证</x:v>
      </x:c>
      <x:c r="R49" s="9" t="str">
        <x:v>产品</x:v>
      </x:c>
      <x:c r="S49" s="9" t="str">
        <x:v>对应功能测试开始前</x:v>
      </x:c>
      <x:c r="T49" s="9" t="str">
        <x:v>待确认</x:v>
      </x:c>
    </x:row>
    <x:row r="50" ht="70" customHeight="1">
      <x:c r="A50" s="10" t="str">
        <x:v>Q-033</x:v>
      </x:c>
      <x:c r="B50" s="10" t="str">
        <x:v>REQ-Q-033</x:v>
      </x:c>
      <x:c r="C50" s="10" t="str"/>
      <x:c r="D50" s="10" t="str"/>
      <x:c r="E50" s="10" t="str">
        <x:v>部分阻塞</x:v>
      </x:c>
      <x:c r="F50" s="10" t="str">
        <x:v>账号与登录</x:v>
      </x:c>
      <x:c r="G50" s="9" t="str">
        <x:v>选择国家/地区排序</x:v>
      </x:c>
      <x:c r="H50" s="9" t="str">
        <x:v>计算与统计口径</x:v>
      </x:c>
      <x:c r="I50" s="9" t="str">
        <x:v>选择国家/地区中未定义的排序及同值次序采用什么规则？</x:v>
      </x:c>
      <x:c r="J50" s="9" t="str">
        <x:v>A. 按业务发生时间倒序、同值按ID升序
B. 按配置权重、同值按ID升序</x:v>
      </x:c>
      <x:c r="K50" s="9" t="str">
        <x:v>明确“选择国家/地区排序”的决定后，补充对应正常、拒绝及恢复分支。</x:v>
      </x:c>
      <x:c r="L50" s="12" t="str"/>
      <x:c r="M50" s="12" t="str"/>
      <x:c r="N50" s="10" t="str">
        <x:v>1. 排序：待确认，当前页面未提供排序条件。
2. liveshow-proto/MainBasis/需求待确认清单.md：第110行</x:v>
      </x:c>
      <x:c r="O50" s="9" t="str">
        <x:v>1. 用户App；账号与登录</x:v>
      </x:c>
      <x:c r="P50" s="9" t="str"/>
      <x:c r="Q50" s="9" t="str">
        <x:v>1. 选择国家/地区排序的可执行结果验证</x:v>
      </x:c>
      <x:c r="R50" s="9" t="str">
        <x:v>产品</x:v>
      </x:c>
      <x:c r="S50" s="9" t="str">
        <x:v>对应功能测试开始前</x:v>
      </x:c>
      <x:c r="T50" s="9" t="str">
        <x:v>待确认</x:v>
      </x:c>
    </x:row>
    <x:row r="51" ht="85" customHeight="1">
      <x:c r="A51" s="10" t="str">
        <x:v>Q-034</x:v>
      </x:c>
      <x:c r="B51" s="10" t="str">
        <x:v>REQ-Q-034</x:v>
      </x:c>
      <x:c r="C51" s="10" t="str"/>
      <x:c r="D51" s="10" t="str"/>
      <x:c r="E51" s="10" t="str">
        <x:v>部分阻塞</x:v>
      </x:c>
      <x:c r="F51" s="10" t="str">
        <x:v>主播中心</x:v>
      </x:c>
      <x:c r="G51" s="9" t="str">
        <x:v>月数据排序</x:v>
      </x:c>
      <x:c r="H51" s="9" t="str">
        <x:v>计算与统计口径</x:v>
      </x:c>
      <x:c r="I51" s="9" t="str">
        <x:v>月数据中未定义的排序及同值次序采用什么规则？</x:v>
      </x:c>
      <x:c r="J51" s="9" t="str">
        <x:v>A. 按业务发生时间倒序、同值按ID升序
B. 按配置权重、同值按ID升序</x:v>
      </x:c>
      <x:c r="K51" s="9" t="str">
        <x:v>明确“月数据排序”的决定后，补充对应正常、拒绝及恢复分支。</x:v>
      </x:c>
      <x:c r="L51" s="12" t="str"/>
      <x:c r="M51" s="12" t="str"/>
      <x:c r="N51" s="10" t="str">
        <x:v>1. 数据范围：当前主播所选自然月的有效直播记录；按时间顺序展示趋势，明细列表排序依据待确认。
2. liveshow-proto/MainBasis/需求待确认清单.md：第111行</x:v>
      </x:c>
      <x:c r="O51" s="9" t="str">
        <x:v>1. 用户App；主播中心</x:v>
      </x:c>
      <x:c r="P51" s="9" t="str"/>
      <x:c r="Q51" s="9" t="str">
        <x:v>1. 月数据排序的可执行结果验证</x:v>
      </x:c>
      <x:c r="R51" s="9" t="str">
        <x:v>产品</x:v>
      </x:c>
      <x:c r="S51" s="9" t="str">
        <x:v>对应功能测试开始前</x:v>
      </x:c>
      <x:c r="T51" s="9" t="str">
        <x:v>待确认</x:v>
      </x:c>
    </x:row>
    <x:row r="52" ht="85" customHeight="1">
      <x:c r="A52" s="10" t="str">
        <x:v>Q-047</x:v>
      </x:c>
      <x:c r="B52" s="10" t="str">
        <x:v>REQ-Q-047</x:v>
      </x:c>
      <x:c r="C52" s="10" t="str"/>
      <x:c r="D52" s="10" t="str"/>
      <x:c r="E52" s="10" t="str">
        <x:v>部分阻塞</x:v>
      </x:c>
      <x:c r="F52" s="10" t="str">
        <x:v>运营账号</x:v>
      </x:c>
      <x:c r="G52" s="9" t="str">
        <x:v>并发发放额度</x:v>
      </x:c>
      <x:c r="H52" s="9" t="str">
        <x:v>业务规则</x:v>
      </x:c>
      <x:c r="I52" s="9" t="str">
        <x:v>多笔虚拟金币发放并发竞争剩余额度时按什么提交边界分配？</x:v>
      </x:c>
      <x:c r="J52" s="9" t="str">
        <x:v>A. 按服务端成功落账顺序
B. 预占额度并按受理顺序</x:v>
      </x:c>
      <x:c r="K52" s="9" t="str">
        <x:v>明确“并发发放额度”的决定后，补充对应正常、拒绝及恢复分支。</x:v>
      </x:c>
      <x:c r="L52" s="12" t="str"/>
      <x:c r="M52" s="12" t="str"/>
      <x:c r="N52" s="10" t="str">
        <x:v>1. 单笔不能超额明确，未定义同时请求的序列、失败回显或补偿边界。
2. liveshow-proto/MainBasis/需求待确认清单.md：第114行</x:v>
      </x:c>
      <x:c r="O52" s="9" t="str">
        <x:v>1. 公会App、管理后台；运营账号</x:v>
      </x:c>
      <x:c r="P52" s="9" t="str"/>
      <x:c r="Q52" s="9" t="str">
        <x:v>1. 并发发放额度的可执行结果验证</x:v>
      </x:c>
      <x:c r="R52" s="9" t="str">
        <x:v>产品</x:v>
      </x:c>
      <x:c r="S52" s="9" t="str">
        <x:v>对应功能测试开始前</x:v>
      </x:c>
      <x:c r="T52" s="9" t="str">
        <x:v>待确认</x:v>
      </x:c>
    </x:row>
    <x:row r="53" ht="85" customHeight="1">
      <x:c r="A53" s="10" t="str">
        <x:v>Q-055</x:v>
      </x:c>
      <x:c r="B53" s="10" t="str">
        <x:v>REQ-Q-055</x:v>
      </x:c>
      <x:c r="C53" s="10" t="str"/>
      <x:c r="D53" s="10" t="str"/>
      <x:c r="E53" s="10" t="str">
        <x:v>部分阻塞</x:v>
      </x:c>
      <x:c r="F53" s="10" t="str">
        <x:v>公会管理</x:v>
      </x:c>
      <x:c r="G53" s="9" t="str">
        <x:v>未结清收益</x:v>
      </x:c>
      <x:c r="H53" s="9" t="str">
        <x:v>计算与统计口径</x:v>
      </x:c>
      <x:c r="I53" s="9" t="str">
        <x:v>阻止移出或解散的“未结清收益”如何由线下结果确定？</x:v>
      </x:c>
      <x:c r="J53" s="9" t="str">
        <x:v>A. 按明确结清标记
B. 按待结收益减已上传结算计算</x:v>
      </x:c>
      <x:c r="K53" s="9" t="str">
        <x:v>明确“未结清收益”的决定后，补充对应正常、拒绝及恢复分支。</x:v>
      </x:c>
      <x:c r="L53" s="12" t="str"/>
      <x:c r="M53" s="12" t="str"/>
      <x:c r="N53" s="10" t="str">
        <x:v>1. 概要规定线下结算和上传；页面有未结收益门槛，未定义结清标记和对账算法。
2. liveshow-proto/MainBasis/需求待确认清单.md：第115行</x:v>
      </x:c>
      <x:c r="O53" s="9" t="str">
        <x:v>1. 公会App、管理后台；公会管理</x:v>
      </x:c>
      <x:c r="P53" s="9" t="str"/>
      <x:c r="Q53" s="9" t="str">
        <x:v>1. 未结清收益的可执行结果验证</x:v>
      </x:c>
      <x:c r="R53" s="9" t="str">
        <x:v>产品</x:v>
      </x:c>
      <x:c r="S53" s="9" t="str">
        <x:v>对应功能测试开始前</x:v>
      </x:c>
      <x:c r="T53" s="9" t="str">
        <x:v>待确认</x:v>
      </x:c>
    </x:row>
    <x:row r="54" ht="85" customHeight="1">
      <x:c r="A54" s="10" t="str">
        <x:v>Q-004</x:v>
      </x:c>
      <x:c r="B54" s="10" t="str">
        <x:v>REQ-Q-004</x:v>
      </x:c>
      <x:c r="C54" s="10" t="str"/>
      <x:c r="D54" s="10" t="str"/>
      <x:c r="E54" s="10" t="str">
        <x:v>部分阻塞</x:v>
      </x:c>
      <x:c r="F54" s="10" t="str">
        <x:v>礼物与道具</x:v>
      </x:c>
      <x:c r="G54" s="9" t="str">
        <x:v>道具类型</x:v>
      </x:c>
      <x:c r="H54" s="9" t="str">
        <x:v>业务规则</x:v>
      </x:c>
      <x:c r="I54" s="9" t="str">
        <x:v>一期预置道具类型是三类还是六类？</x:v>
      </x:c>
      <x:c r="J54" s="9" t="str">
        <x:v>A. 三类
B. 六类</x:v>
      </x:c>
      <x:c r="K54" s="9" t="str">
        <x:v>明确“道具类型”的决定后，补充对应正常、拒绝及恢复分支。</x:v>
      </x:c>
      <x:c r="L54" s="12" t="str"/>
      <x:c r="M54" s="12" t="str"/>
      <x:c r="N54" s="10" t="str">
        <x:v>1. 结构化批注与当前类型选择器是勋章、气泡、头像框；公共批注还含灯牌、头衔、座驾。
2. liveshow-proto/MainBasis/需求待确认清单.md：第123行</x:v>
      </x:c>
      <x:c r="O54" s="9" t="str">
        <x:v>1. 管理后台；礼物与道具</x:v>
      </x:c>
      <x:c r="P54" s="9" t="str"/>
      <x:c r="Q54" s="9" t="str">
        <x:v>1. 道具类型的可执行结果验证</x:v>
      </x:c>
      <x:c r="R54" s="9" t="str">
        <x:v>产品</x:v>
      </x:c>
      <x:c r="S54" s="9" t="str">
        <x:v>对应功能测试开始前</x:v>
      </x:c>
      <x:c r="T54" s="9" t="str">
        <x:v>待确认</x:v>
      </x:c>
    </x:row>
    <x:row r="55" ht="85" customHeight="1">
      <x:c r="A55" s="10" t="str">
        <x:v>Q-005</x:v>
      </x:c>
      <x:c r="B55" s="10" t="str">
        <x:v>REQ-Q-005</x:v>
      </x:c>
      <x:c r="C55" s="10" t="str"/>
      <x:c r="D55" s="10" t="str"/>
      <x:c r="E55" s="10" t="str">
        <x:v>部分阻塞</x:v>
      </x:c>
      <x:c r="F55" s="10" t="str">
        <x:v>运营账号</x:v>
      </x:c>
      <x:c r="G55" s="9" t="str">
        <x:v>资料和密码权限</x:v>
      </x:c>
      <x:c r="H55" s="9" t="str">
        <x:v>业务规则</x:v>
      </x:c>
      <x:c r="I55" s="9" t="str">
        <x:v>平台管理员能否编辑运营账号资料和重置密码？</x:v>
      </x:c>
      <x:c r="J55" s="9" t="str">
        <x:v>A. 平台不可编辑和重置
B. 平台有权限时可编辑和重置</x:v>
      </x:c>
      <x:c r="K55" s="9" t="str">
        <x:v>明确“资料和密码权限”的决定后，补充对应正常、拒绝及恢复分支。</x:v>
      </x:c>
      <x:c r="L55" s="12" t="str"/>
      <x:c r="M55" s="12" t="str"/>
      <x:c r="N55" s="10" t="str">
        <x:v>1. 系统概要明确平台启停和锁定，但未说明资料与密码；结构化批注禁止，公共批注与页面入口允许。
2. liveshow-proto/MainBasis/需求待确认清单.md：第124行</x:v>
      </x:c>
      <x:c r="O55" s="9" t="str">
        <x:v>1. 管理后台；运营账号</x:v>
      </x:c>
      <x:c r="P55" s="9" t="str"/>
      <x:c r="Q55" s="9" t="str">
        <x:v>1. 资料和密码权限的可执行结果验证</x:v>
      </x:c>
      <x:c r="R55" s="9" t="str">
        <x:v>产品</x:v>
      </x:c>
      <x:c r="S55" s="9" t="str">
        <x:v>对应功能测试开始前</x:v>
      </x:c>
      <x:c r="T55" s="9" t="str">
        <x:v>待确认</x:v>
      </x:c>
    </x:row>
    <x:row r="56" ht="70" customHeight="1">
      <x:c r="A56" s="10" t="str">
        <x:v>Q-048</x:v>
      </x:c>
      <x:c r="B56" s="10" t="str">
        <x:v>REQ-Q-048</x:v>
      </x:c>
      <x:c r="C56" s="10" t="str"/>
      <x:c r="D56" s="10" t="str"/>
      <x:c r="E56" s="10" t="str">
        <x:v>部分阻塞</x:v>
      </x:c>
      <x:c r="F56" s="10" t="str">
        <x:v>财务结算</x:v>
      </x:c>
      <x:c r="G56" s="9" t="str">
        <x:v>重复导入</x:v>
      </x:c>
      <x:c r="H56" s="9" t="str">
        <x:v>业务规则</x:v>
      </x:c>
      <x:c r="I56" s="9" t="str">
        <x:v>重复上传同一批分成结果时是否应阻止重复入账？</x:v>
      </x:c>
      <x:c r="J56" s="9" t="str">
        <x:v>A. 按业务批次唯一性拒绝
B. 允许再次导入独立记录</x:v>
      </x:c>
      <x:c r="K56" s="9" t="str">
        <x:v>明确“重复导入”的决定后，补充对应正常、拒绝及恢复分支。</x:v>
      </x:c>
      <x:c r="L56" s="12" t="str"/>
      <x:c r="M56" s="12" t="str"/>
      <x:c r="N56" s="10" t="str">
        <x:v>1. 导入后锁定明确，但缺少批次去重键和重复上传规则。
2. liveshow-proto/MainBasis/需求待确认清单.md：第125行</x:v>
      </x:c>
      <x:c r="O56" s="9" t="str">
        <x:v>1. 管理后台；财务结算</x:v>
      </x:c>
      <x:c r="P56" s="9" t="str"/>
      <x:c r="Q56" s="9" t="str">
        <x:v>1. 重复导入的可执行结果验证</x:v>
      </x:c>
      <x:c r="R56" s="9" t="str">
        <x:v>产品</x:v>
      </x:c>
      <x:c r="S56" s="9" t="str">
        <x:v>对应功能测试开始前</x:v>
      </x:c>
      <x:c r="T56" s="9" t="str">
        <x:v>待确认</x:v>
      </x:c>
    </x:row>
    <x:row r="57" ht="85" customHeight="1">
      <x:c r="A57" s="10" t="str">
        <x:v>Q-049</x:v>
      </x:c>
      <x:c r="B57" s="10" t="str">
        <x:v>REQ-Q-049</x:v>
      </x:c>
      <x:c r="C57" s="10" t="str"/>
      <x:c r="D57" s="10" t="str"/>
      <x:c r="E57" s="10" t="str">
        <x:v>部分阻塞</x:v>
      </x:c>
      <x:c r="F57" s="10" t="str">
        <x:v>财务结算</x:v>
      </x:c>
      <x:c r="G57" s="9" t="str">
        <x:v>导入重复对象</x:v>
      </x:c>
      <x:c r="H57" s="9" t="str">
        <x:v>业务规则</x:v>
      </x:c>
      <x:c r="I57" s="9" t="str">
        <x:v>分成文件中同一对象出现多行时如何处理？</x:v>
      </x:c>
      <x:c r="J57" s="9" t="str">
        <x:v>A. 拒绝重复对象行
B. 合并同对象金额</x:v>
      </x:c>
      <x:c r="K57" s="9" t="str">
        <x:v>明确“导入重复对象”的决定后，补充对应正常、拒绝及恢复分支。</x:v>
      </x:c>
      <x:c r="L57" s="12" t="str"/>
      <x:c r="M57" s="12" t="str"/>
      <x:c r="N57" s="10" t="str">
        <x:v>1. 人数按去重对象统计，明细按模板校验，未说明重复明细金额是否合并。
2. liveshow-proto/MainBasis/需求待确认清单.md：第126行</x:v>
      </x:c>
      <x:c r="O57" s="9" t="str">
        <x:v>1. 管理后台；财务结算</x:v>
      </x:c>
      <x:c r="P57" s="9" t="str"/>
      <x:c r="Q57" s="9" t="str">
        <x:v>1. 导入重复对象的可执行结果验证</x:v>
      </x:c>
      <x:c r="R57" s="9" t="str">
        <x:v>产品</x:v>
      </x:c>
      <x:c r="S57" s="9" t="str">
        <x:v>对应功能测试开始前</x:v>
      </x:c>
      <x:c r="T57" s="9" t="str">
        <x:v>待确认</x:v>
      </x:c>
    </x:row>
    <x:row r="58" ht="70" customHeight="1">
      <x:c r="A58" s="10" t="str">
        <x:v>Q-050</x:v>
      </x:c>
      <x:c r="B58" s="10" t="str">
        <x:v>REQ-Q-050</x:v>
      </x:c>
      <x:c r="C58" s="10" t="str"/>
      <x:c r="D58" s="10" t="str"/>
      <x:c r="E58" s="10" t="str">
        <x:v>部分阻塞</x:v>
      </x:c>
      <x:c r="F58" s="10" t="str">
        <x:v>财务结算</x:v>
      </x:c>
      <x:c r="G58" s="9" t="str">
        <x:v>分成金额取值</x:v>
      </x:c>
      <x:c r="H58" s="9" t="str">
        <x:v>计算与统计口径</x:v>
      </x:c>
      <x:c r="I58" s="9" t="str">
        <x:v>上传分成结果是否允许零金额和负金额？</x:v>
      </x:c>
      <x:c r="J58" s="9" t="str">
        <x:v>A. 仅正金额
B. 允许有符号金额</x:v>
      </x:c>
      <x:c r="K58" s="9" t="str">
        <x:v>明确“分成金额取值”的决定后，补充对应正常、拒绝及恢复分支。</x:v>
      </x:c>
      <x:c r="L58" s="12" t="str"/>
      <x:c r="M58" s="12" t="str"/>
      <x:c r="N58" s="10" t="str">
        <x:v>1. 手工修正规则明确，上传模板只写金额字段，不能套用修正规则。
2. liveshow-proto/MainBasis/需求待确认清单.md：第127行</x:v>
      </x:c>
      <x:c r="O58" s="9" t="str">
        <x:v>1. 管理后台；财务结算</x:v>
      </x:c>
      <x:c r="P58" s="9" t="str"/>
      <x:c r="Q58" s="9" t="str">
        <x:v>1. 分成金额取值的可执行结果验证</x:v>
      </x:c>
      <x:c r="R58" s="9" t="str">
        <x:v>产品</x:v>
      </x:c>
      <x:c r="S58" s="9" t="str">
        <x:v>对应功能测试开始前</x:v>
      </x:c>
      <x:c r="T58" s="9" t="str">
        <x:v>待确认</x:v>
      </x:c>
    </x:row>
    <x:row r="59" ht="85" customHeight="1">
      <x:c r="A59" s="10" t="str">
        <x:v>Q-051</x:v>
      </x:c>
      <x:c r="B59" s="10" t="str">
        <x:v>REQ-Q-051</x:v>
      </x:c>
      <x:c r="C59" s="10" t="str"/>
      <x:c r="D59" s="10" t="str"/>
      <x:c r="E59" s="10" t="str">
        <x:v>部分阻塞</x:v>
      </x:c>
      <x:c r="F59" s="10" t="str">
        <x:v>财务结算</x:v>
      </x:c>
      <x:c r="G59" s="9" t="str">
        <x:v>部分无效导入</x:v>
      </x:c>
      <x:c r="H59" s="9" t="str">
        <x:v>业务规则</x:v>
      </x:c>
      <x:c r="I59" s="9" t="str">
        <x:v>分成文件含无效对象时是整批拒绝还是导入有效行？</x:v>
      </x:c>
      <x:c r="J59" s="9" t="str">
        <x:v>A. 整批拒绝
B. 导入有效行并提供失败明细</x:v>
      </x:c>
      <x:c r="K59" s="9" t="str">
        <x:v>明确“部分无效导入”的决定后，补充对应正常、拒绝及恢复分支。</x:v>
      </x:c>
      <x:c r="L59" s="12" t="str"/>
      <x:c r="M59" s="12" t="str"/>
      <x:c r="N59" s="10" t="str">
        <x:v>1. 只有解析预览确认流程，原型使用固定示例，不能证明真实异常策略。
2. liveshow-proto/MainBasis/需求待确认清单.md：第128行</x:v>
      </x:c>
      <x:c r="O59" s="9" t="str">
        <x:v>1. 管理后台；财务结算</x:v>
      </x:c>
      <x:c r="P59" s="9" t="str"/>
      <x:c r="Q59" s="9" t="str">
        <x:v>1. 部分无效导入的可执行结果验证</x:v>
      </x:c>
      <x:c r="R59" s="9" t="str">
        <x:v>产品</x:v>
      </x:c>
      <x:c r="S59" s="9" t="str">
        <x:v>对应功能测试开始前</x:v>
      </x:c>
      <x:c r="T59" s="9" t="str">
        <x:v>待确认</x:v>
      </x:c>
    </x:row>
    <x:row r="60" ht="85" customHeight="1">
      <x:c r="A60" s="10" t="str">
        <x:v>Q-058</x:v>
      </x:c>
      <x:c r="B60" s="10" t="str">
        <x:v>REQ-Q-058</x:v>
      </x:c>
      <x:c r="C60" s="10" t="str"/>
      <x:c r="D60" s="10" t="str"/>
      <x:c r="E60" s="10" t="str">
        <x:v>部分阻塞</x:v>
      </x:c>
      <x:c r="F60" s="10" t="str">
        <x:v>系统配置</x:v>
      </x:c>
      <x:c r="G60" s="9" t="str">
        <x:v>后台初始密码</x:v>
      </x:c>
      <x:c r="H60" s="9" t="str">
        <x:v>业务规则</x:v>
      </x:c>
      <x:c r="I60" s="9" t="str">
        <x:v>后台账号新建密码长度与复杂度采用什么标准？</x:v>
      </x:c>
      <x:c r="J60" s="9" t="str">
        <x:v>A. 统一8-32位并规定复杂度
B. 新建和重置分别设置策略</x:v>
      </x:c>
      <x:c r="K60" s="9" t="str">
        <x:v>明确“后台初始密码”的决定后，补充对应正常、拒绝及恢复分支。</x:v>
      </x:c>
      <x:c r="L60" s="12" t="str"/>
      <x:c r="M60" s="12" t="str"/>
      <x:c r="N60" s="10" t="str">
        <x:v>1. 新建提示至少8位，重置提示8-32位；批注只写符合密码策略，没有明确统一复杂度。
2. liveshow-proto/MainBasis/需求待确认清单.md：第129行</x:v>
      </x:c>
      <x:c r="O60" s="9" t="str">
        <x:v>1. 管理后台；系统配置</x:v>
      </x:c>
      <x:c r="P60" s="9" t="str"/>
      <x:c r="Q60" s="9" t="str">
        <x:v>1. 后台初始密码的可执行结果验证</x:v>
      </x:c>
      <x:c r="R60" s="9" t="str">
        <x:v>产品</x:v>
      </x:c>
      <x:c r="S60" s="9" t="str">
        <x:v>对应功能测试开始前</x:v>
      </x:c>
      <x:c r="T60" s="9" t="str">
        <x:v>待确认</x:v>
      </x:c>
    </x:row>
    <x:row r="61" ht="100" customHeight="1">
      <x:c r="A61" s="10" t="str">
        <x:v>Q-059</x:v>
      </x:c>
      <x:c r="B61" s="10" t="str">
        <x:v>REQ-Q-059</x:v>
      </x:c>
      <x:c r="C61" s="10" t="str"/>
      <x:c r="D61" s="10" t="str"/>
      <x:c r="E61" s="10" t="str">
        <x:v>部分阻塞</x:v>
      </x:c>
      <x:c r="F61" s="10" t="str">
        <x:v>系统配置</x:v>
      </x:c>
      <x:c r="G61" s="9" t="str">
        <x:v>系统参数范围</x:v>
      </x:c>
      <x:c r="H61" s="9" t="str">
        <x:v>业务规则</x:v>
      </x:c>
      <x:c r="I61" s="9" t="str">
        <x:v>未登记到当前查看器和导航的系统参数页面是否属于本期范围？</x:v>
      </x:c>
      <x:c r="J61" s="9" t="str">
        <x:v>A. 不纳入本期
B. 纳入本期并明确菜单入口</x:v>
      </x:c>
      <x:c r="K61" s="9" t="str">
        <x:v>明确“系统参数范围”的决定后，补充对应正常、拒绝及恢复分支。</x:v>
      </x:c>
      <x:c r="L61" s="12" t="str"/>
      <x:c r="M61" s="12" t="str"/>
      <x:c r="N61" s="10" t="str">
        <x:v>1. 系统参数列表和详情文件存在且有公共批注，但活动页面索引及公共导航没有入口；不能把文件存在等同于当前功能已交付。
2. liveshow-proto/MainBasis/需求待确认清单.md：第130行</x:v>
      </x:c>
      <x:c r="O61" s="9" t="str">
        <x:v>1. 管理后台；系统配置</x:v>
      </x:c>
      <x:c r="P61" s="9" t="str"/>
      <x:c r="Q61" s="9" t="str">
        <x:v>1. 系统参数范围的可执行结果验证</x:v>
      </x:c>
      <x:c r="R61" s="9" t="str">
        <x:v>产品</x:v>
      </x:c>
      <x:c r="S61" s="9" t="str">
        <x:v>对应功能测试开始前</x:v>
      </x:c>
      <x:c r="T61" s="9" t="str">
        <x:v>待确认</x:v>
      </x:c>
    </x:row>
    <x:row r="62" ht="100" customHeight="1">
      <x:c r="A62" s="10" t="str">
        <x:v>Q-060</x:v>
      </x:c>
      <x:c r="B62" s="10" t="str">
        <x:v>REQ-Q-060</x:v>
      </x:c>
      <x:c r="C62" s="10" t="str"/>
      <x:c r="D62" s="10" t="str"/>
      <x:c r="E62" s="10" t="str">
        <x:v>部分阻塞</x:v>
      </x:c>
      <x:c r="F62" s="10" t="str">
        <x:v>系统配置</x:v>
      </x:c>
      <x:c r="G62" s="9" t="str">
        <x:v>操作审计范围</x:v>
      </x:c>
      <x:c r="H62" s="9" t="str">
        <x:v>业务规则</x:v>
      </x:c>
      <x:c r="I62" s="9" t="str">
        <x:v>未登记到当前查看器和导航的操作审计页面是否属于本期范围？</x:v>
      </x:c>
      <x:c r="J62" s="9" t="str">
        <x:v>A. 不纳入本期独立审计页
B. 纳入本期并明确菜单入口</x:v>
      </x:c>
      <x:c r="K62" s="9" t="str">
        <x:v>明确“操作审计范围”的决定后，补充对应正常、拒绝及恢复分支。</x:v>
      </x:c>
      <x:c r="L62" s="12" t="str"/>
      <x:c r="M62" s="12" t="str"/>
      <x:c r="N62" s="10" t="str">
        <x:v>1. 审计列表和详情文件及只读批注存在，但当前菜单仅后台账号和角色管理。业务处置记录仍按各模块明确要求测试。
2. liveshow-proto/MainBasis/需求待确认清单.md：第131行</x:v>
      </x:c>
      <x:c r="O62" s="9" t="str">
        <x:v>1. 管理后台；系统配置</x:v>
      </x:c>
      <x:c r="P62" s="9" t="str"/>
      <x:c r="Q62" s="9" t="str">
        <x:v>1. 操作审计范围的可执行结果验证</x:v>
      </x:c>
      <x:c r="R62" s="9" t="str">
        <x:v>产品</x:v>
      </x:c>
      <x:c r="S62" s="9" t="str">
        <x:v>对应功能测试开始前</x:v>
      </x:c>
      <x:c r="T62" s="9" t="str">
        <x:v>待确认</x:v>
      </x:c>
    </x:row>
  </x:sheetData>
  <x:dataValidations count="5">
    <x:dataValidation type="list" sqref="E2:E62">
      <x:formula1>"阻塞测试,部分阻塞,不阻塞"</x:formula1>
    </x:dataValidation>
    <x:dataValidation type="list" sqref="H2:H62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62">
      <x:formula1>"A,B,C,D,其他"</x:formula1>
    </x:dataValidation>
    <x:dataValidation type="list" sqref="R2:R62">
      <x:formula1>"产品,交互,技术,多方确认"</x:formula1>
    </x:dataValidation>
    <x:dataValidation type="list" sqref="T2:T62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4257feed64405c"/>
  </x:tableParts>
</x:worksheet>
</file>