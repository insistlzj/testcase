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4fc3db3594daf" /></Relationships>
</file>

<file path=xl/workbook.xml><?xml version="1.0" encoding="utf-8"?>
<x:workbook xmlns:x="http://schemas.openxmlformats.org/spreadsheetml/2006/main">
  <x:bookViews>
    <x:workbookView activeTab="2"/>
  </x:bookViews>
  <x:sheets>
    <x:sheet xmlns:r="http://schemas.openxmlformats.org/officeDocument/2006/relationships" name="功能测试用例" sheetId="1" r:id="Rc6a9cd7c57014410"/>
    <x:sheet xmlns:r="http://schemas.openxmlformats.org/officeDocument/2006/relationships" name="需求待确认" sheetId="2" r:id="R251babdb380444ea"/>
    <x:sheet xmlns:r="http://schemas.openxmlformats.org/officeDocument/2006/relationships" name="产品决策概览" sheetId="3" r:id="R534b094aeebe41b9"/>
  </x:sheet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0"/>
      <x:color rgb="FF1F2937"/>
      <x:name val="Microsoft YaHei"/>
    </x:font>
    <x:font>
      <x:b/>
      <x:sz val="11"/>
      <x:color rgb="FFFFFFFF"/>
      <x:name val="Microsoft YaHei"/>
    </x:font>
    <x:font>
      <x:b/>
      <x:sz val="10"/>
      <x:color rgb="FF172033"/>
      <x:name val="Microsoft YaHei"/>
    </x:font>
    <x:font>
      <x:b/>
      <x:sz val="10"/>
      <x:color rgb="FF6B4F00"/>
      <x:name val="Microsoft YaHei"/>
    </x:font>
    <x:font>
      <x:b/>
      <x:sz val="10"/>
      <x:color rgb="FF24557A"/>
      <x:name val="Microsoft YaHei"/>
    </x:font>
    <x:font>
      <x:b/>
      <x:sz val="18"/>
      <x:color rgb="FFFFFFFF"/>
      <x:name val="Microsoft YaHei"/>
    </x:font>
    <x:font>
      <x:sz val="10"/>
      <x:color rgb="FF334155"/>
      <x:name val="Microsoft YaHei"/>
    </x:font>
    <x:font>
      <x:b/>
      <x:sz val="10"/>
      <x:color rgb="FF1F3A52"/>
      <x:name val="Microsoft YaHei"/>
    </x:font>
    <x:font>
      <x:b/>
      <x:sz val="18"/>
      <x:color rgb="FF1F4E78"/>
      <x:name val="Microsoft YaHei"/>
    </x:font>
    <x:font>
      <x:b/>
      <x:sz val="10"/>
      <x:color rgb="FFFFFFFF"/>
      <x:name val="Microsoft YaHei"/>
    </x:font>
    <x:font>
      <x:b/>
      <x:sz val="11"/>
      <x:color rgb="FF1F4E78"/>
      <x:name val="Microsoft YaHei"/>
    </x:font>
    <x:font>
      <x:sz val="10"/>
      <x:color rgb="FF475569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4EA"/>
      </x:patternFill>
    </x:fill>
    <x:fill>
      <x:patternFill patternType="solid">
        <x:fgColor rgb="FFFFF4CC"/>
      </x:patternFill>
    </x:fill>
    <x:fill>
      <x:patternFill patternType="solid">
        <x:fgColor rgb="FFDDEBF7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7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163A5A"/>
      </x:left>
      <x:right style="thin">
        <x:color rgb="FF163A5A"/>
      </x:right>
      <x:top style="thin">
        <x:color rgb="FF163A5A"/>
      </x:top>
      <x:bottom style="thin">
        <x:color rgb="FF163A5A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6DEE8"/>
      </x:left>
      <x:right style="thin">
        <x:color rgb="FFD6DEE8"/>
      </x:right>
      <x:top style="medium">
        <x:color rgb="FF6B879F"/>
      </x:top>
      <x:bottom style="thin">
        <x:color rgb="FFD6DEE8"/>
      </x:bottom>
    </x:border>
    <x:border>
      <x:left style="thin">
        <x:color rgb="FFD6B656"/>
      </x:left>
      <x:right style="thin">
        <x:color rgb="FFD6B656"/>
      </x:right>
      <x:top style="medium">
        <x:color rgb="FF6B879F"/>
      </x:top>
      <x:bottom style="thin">
        <x:color rgb="FFD6DEE8"/>
      </x:bottom>
    </x:border>
    <x:border>
      <x:left style="thin">
        <x:color rgb="FFB8C7D5"/>
      </x:left>
      <x:right style="thin">
        <x:color rgb="FFB8C7D5"/>
      </x:right>
      <x:top style="thin">
        <x:color rgb="FFB8C7D5"/>
      </x:top>
      <x:bottom style="thin">
        <x:color rgb="FFB8C7D5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left"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left" vertic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left"/>
    </x:xf>
    <x:xf numFmtId="0" fontId="7" fillId="6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6" xfId="0" applyNumberFormat="1" applyFont="1" applyFill="1" applyBorder="1"/>
    <x:xf numFmtId="0" fontId="8" fillId="5" borderId="6" xfId="0" applyNumberFormat="1" applyFont="1" applyFill="1" applyBorder="1" applyAlignment="1">
      <x:alignment horizontal="center"/>
    </x:xf>
    <x:xf numFmtId="0" fontId="8" fillId="5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6" xfId="0" applyNumberFormat="1" applyFont="1" applyFill="1" applyBorder="1"/>
    <x:xf numFmtId="0" fontId="9" fillId="7" borderId="6" xfId="0" applyNumberFormat="1" applyFont="1" applyFill="1" applyBorder="1" applyAlignment="1">
      <x:alignment horizontal="center"/>
    </x:xf>
    <x:xf numFmtId="0" fontId="9" fillId="7" borderId="6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/>
    <x:xf numFmtId="0" fontId="10" fillId="2" borderId="2" xfId="0" applyNumberFormat="1" applyFont="1" applyFill="1" applyBorder="1"/>
    <x:xf numFmtId="0" fontId="10" fillId="2" borderId="2" xfId="0" applyNumberFormat="1" applyFont="1" applyFill="1" applyBorder="1" applyAlignment="1">
      <x:alignment horizontal="center"/>
    </x:xf>
    <x:xf numFmtId="0" fontId="10" fillId="2" borderId="2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1" fillId="0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1" xfId="0" applyNumberFormat="1" applyFont="1" applyFill="1" applyBorder="1"/>
    <x:xf numFmtId="0" fontId="12" fillId="8" borderId="1" xfId="0" applyNumberFormat="1" applyFont="1" applyFill="1" applyBorder="1" applyAlignment="1">
      <x:alignment wrapText="1"/>
    </x:xf>
    <x:xf numFmtId="0" fontId="12" fillId="8" borderId="1" xfId="0" applyNumberFormat="1" applyFont="1" applyFill="1" applyBorder="1" applyAlignment="1">
      <x:alignment horizontal="left" wrapText="1"/>
    </x:xf>
    <x:xf numFmtId="0" fontId="12" fillId="8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8"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8A4B08"/>
      </x:font>
      <x:fill>
        <x:patternFill patternType="solid">
          <x:bgColor rgb="FFFFF4D6"/>
        </x:patternFill>
      </x:fill>
    </x:dxf>
    <x:dxf>
      <x:font>
        <x:b/>
        <x:color rgb="FF166534"/>
      </x:font>
      <x:fill>
        <x:patternFill patternType="solid">
          <x:bgColor rgb="FFE7F5EC"/>
        </x:patternFill>
      </x:fill>
    </x:dxf>
    <x:dxf>
      <x:font>
        <x:b/>
        <x:color rgb="FF475569"/>
      </x:font>
      <x:fill>
        <x:patternFill patternType="solid">
          <x:bgColor rgb="FFEEF2F7"/>
        </x:patternFill>
      </x:fill>
    </x:dxf>
    <x:dxf>
      <x:font>
        <x:b/>
        <x:color rgb="FF1D4E89"/>
      </x:font>
      <x:fill>
        <x:patternFill patternType="solid">
          <x:bgColor rgb="FFE8F1FB"/>
        </x:patternFill>
      </x:fill>
    </x:dxf>
    <x:dxf>
      <x:font>
        <x:b/>
        <x:color rgb="FF166534"/>
      </x:font>
      <x:fill>
        <x:patternFill patternType="solid">
          <x:bgColor rgb="FFE7F5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2b03dc1a2c47e5" /><Relationship Type="http://schemas.openxmlformats.org/officeDocument/2006/relationships/theme" Target="/xl/theme/theme1.xml" Id="R8e07d568a48f4923" /><Relationship Type="http://schemas.openxmlformats.org/officeDocument/2006/relationships/sharedStrings" Target="/xl/sharedStrings.xml" Id="R64fcb4de4b8346ce" /><Relationship Type="http://schemas.openxmlformats.org/officeDocument/2006/relationships/worksheet" Target="/xl/worksheets/sheet1.xml" Id="Rc6a9cd7c57014410" /><Relationship Type="http://schemas.openxmlformats.org/officeDocument/2006/relationships/worksheet" Target="/xl/worksheets/sheet2.xml" Id="R251babdb380444ea" /><Relationship Type="http://schemas.openxmlformats.org/officeDocument/2006/relationships/worksheet" Target="/xl/worksheets/sheet3.xml" Id="R534b094aeebe41b9" /></Relationships>
</file>

<file path=xl/tables/table1.xml><?xml version="1.0" encoding="utf-8"?>
<x:table xmlns:x="http://schemas.openxmlformats.org/spreadsheetml/2006/main" id="1" name="UserAppLiveTestCases" displayName="UserAppLiveTestCases" ref="A1:O362" headerRowCount="1" totalsRowCount="0" totalsRowShown="0">
  <x:autoFilter ref="A1:O362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serAppLivePendingRequirements" displayName="UserAppLivePendingRequirements" ref="A1:T70" headerRowCount="1" totalsRowCount="0" totalsRowShown="0">
  <x:autoFilter ref="A1:T70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47e2c248acf47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3004c6f7ae4a9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  <x:selection pane="bottomLeft" activeCell="A2" sqref="A2"/>
    </x:sheetView>
  </x:sheetViews>
  <x:sheetFormatPr defaultRowHeight="15"/>
  <x:cols>
    <x:col min="1" max="1" width="8" hidden="0" customWidth="1"/>
    <x:col min="2" max="2" width="15" hidden="0" customWidth="1"/>
    <x:col min="3" max="3" width="19" hidden="0" customWidth="1"/>
    <x:col min="4" max="4" width="26" hidden="0" customWidth="1"/>
    <x:col min="5" max="5" width="13" hidden="0" customWidth="1"/>
    <x:col min="6" max="6" width="9" hidden="0" customWidth="1"/>
    <x:col min="7" max="7" width="36" hidden="0" customWidth="1"/>
    <x:col min="8" max="8" width="28" hidden="0" customWidth="1"/>
    <x:col min="9" max="9" width="46" hidden="0" customWidth="1"/>
    <x:col min="10" max="10" width="46" hidden="0" customWidth="1"/>
    <x:col min="11" max="11" width="54" hidden="0" customWidth="1"/>
    <x:col min="12" max="12" width="18" hidden="0" customWidth="1"/>
    <x:col min="13" max="13" width="12" hidden="0" customWidth="1"/>
    <x:col min="14" max="14" width="14" hidden="0" customWidth="1"/>
    <x:col min="15" max="15" width="52" hidden="0" customWidth="1"/>
  </x:cols>
  <x:sheetData>
    <x:row r="1" ht="30" customHeight="1">
      <x:c r="A1" s="8" t="str">
        <x:v>序号</x:v>
      </x:c>
      <x:c r="B1" s="8" t="str">
        <x:v>用例编号</x:v>
      </x:c>
      <x:c r="C1" s="8" t="str">
        <x:v>功能模块</x:v>
      </x:c>
      <x:c r="D1" s="8" t="str">
        <x:v>功能结构</x:v>
      </x:c>
      <x:c r="E1" s="8" t="str">
        <x:v>用例类型</x:v>
      </x:c>
      <x:c r="F1" s="8" t="str">
        <x:v>优先级</x:v>
      </x:c>
      <x:c r="G1" s="8" t="str">
        <x:v>用例描述</x:v>
      </x:c>
      <x:c r="H1" s="8" t="str">
        <x:v>验证用例子项</x:v>
      </x:c>
      <x:c r="I1" s="8" t="str">
        <x:v>前置条件</x:v>
      </x:c>
      <x:c r="J1" s="8" t="str">
        <x:v>操作步骤</x:v>
      </x:c>
      <x:c r="K1" s="8" t="str">
        <x:v>预期结果</x:v>
      </x:c>
      <x:c r="L1" s="8" t="str">
        <x:v>流程编号</x:v>
      </x:c>
      <x:c r="M1" s="8" t="str">
        <x:v>测试结果</x:v>
      </x:c>
      <x:c r="N1" s="8" t="str">
        <x:v>测试人员</x:v>
      </x:c>
      <x:c r="O1" s="8" t="str">
        <x:v>备注</x:v>
      </x:c>
    </x:row>
    <x:row r="2" ht="115.5" customHeight="1">
      <x:c r="A2" s="5" t="n">
        <x:v>1</x:v>
      </x:c>
      <x:c r="B2" s="5" t="str">
        <x:v>LIVE-001</x:v>
      </x:c>
      <x:c r="C2" s="5" t="str">
        <x:v>用户App-直播模块</x:v>
      </x:c>
      <x:c r="D2" s="5" t="str">
        <x:v>直播广场</x:v>
      </x:c>
      <x:c r="E2" s="5" t="str">
        <x:v>业务流程</x:v>
      </x:c>
      <x:c r="F2" s="5" t="str">
        <x:v>P1</x:v>
      </x:c>
      <x:c r="G2" s="5" t="str">
        <x:v>验证直播卡片的通用信息</x:v>
      </x:c>
      <x:c r="H2" s="5" t="str">
        <x:v>直播卡片通用信息</x:v>
      </x:c>
      <x:c r="I2" s="5" t="str">
        <x:v>1. 用户已登录
2. 后台存在普通房、门票房和密码房直播数据</x:v>
      </x:c>
      <x:c r="J2" s="5" t="str">
        <x:v>1. 进入首页直播广场
2. 查看热门列表中的直播卡片</x:v>
      </x:c>
      <x:c r="K2" s="5" t="str">
        <x:v>直播卡片展示直播封面、主播昵称或头像、直播标题和房间类型标识</x:v>
      </x:c>
      <x:c r="L2" s="5" t="str"/>
      <x:c r="M2" s="5" t="str">
        <x:v>未测</x:v>
      </x:c>
      <x:c r="N2" s="5" t="str"/>
      <x:c r="O2" s="5" t="str">
        <x:v>1. 来源：context/01-用户主播App-项目需求清单.md
2. 来源：prototype/Luma Live-原型说明.md
3. 来源：对应 HTML 静态原型；未动态验证
4. 追溯：业务底稿 LIVE-001。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3" ht="115.5" customHeight="1">
      <x:c r="A3" s="5" t="n">
        <x:v>2</x:v>
      </x:c>
      <x:c r="B3" s="5" t="str">
        <x:v>LIVE-002</x:v>
      </x:c>
      <x:c r="C3" s="5" t="str">
        <x:v>用户App-直播模块</x:v>
      </x:c>
      <x:c r="D3" s="5" t="str">
        <x:v>直播广场</x:v>
      </x:c>
      <x:c r="E3" s="5" t="str">
        <x:v>功能需求</x:v>
      </x:c>
      <x:c r="F3" s="5" t="str">
        <x:v>P1</x:v>
      </x:c>
      <x:c r="G3" s="5" t="str">
        <x:v>验证切换至新人直播列表</x:v>
      </x:c>
      <x:c r="H3" s="5" t="str">
        <x:v>新人直播列表切换</x:v>
      </x:c>
      <x:c r="I3" s="5" t="str">
        <x:v>1. 热门与新人列表均存在直播数据</x:v>
      </x:c>
      <x:c r="J3" s="5" t="str">
        <x:v>1. 进入直播广场
2. 点击“新人”</x:v>
      </x:c>
      <x:c r="K3" s="5" t="str">
        <x:v>直播列表展示新人直播数据</x:v>
      </x:c>
      <x:c r="L3" s="5" t="str"/>
      <x:c r="M3" s="5" t="str">
        <x:v>未测</x:v>
      </x:c>
      <x:c r="N3" s="5" t="str"/>
      <x:c r="O3" s="5" t="str">
        <x:v>1. 来源：context/01-用户主播App-项目需求清单.md
2. 来源：prototype/assets/annotations.js
3. 来源：对应 HTML 静态原型；未动态验证
4. 追溯：业务底稿 LIVE-002。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4" ht="115.5" customHeight="1">
      <x:c r="A4" s="5" t="n">
        <x:v>3</x:v>
      </x:c>
      <x:c r="B4" s="5" t="str">
        <x:v>LIVE-003</x:v>
      </x:c>
      <x:c r="C4" s="5" t="str">
        <x:v>用户App-直播模块</x:v>
      </x:c>
      <x:c r="D4" s="5" t="str">
        <x:v>直播广场</x:v>
      </x:c>
      <x:c r="E4" s="5" t="str">
        <x:v>功能需求</x:v>
      </x:c>
      <x:c r="F4" s="5" t="str">
        <x:v>P1</x:v>
      </x:c>
      <x:c r="G4" s="5" t="str">
        <x:v>验证切换至热门直播列表</x:v>
      </x:c>
      <x:c r="H4" s="5" t="str">
        <x:v>热门直播列表切换</x:v>
      </x:c>
      <x:c r="I4" s="5" t="str">
        <x:v>1. 热门与新人列表均存在直播数据</x:v>
      </x:c>
      <x:c r="J4" s="5" t="str">
        <x:v>1. 进入直播广场
2. 点击“热门”</x:v>
      </x:c>
      <x:c r="K4" s="5" t="str">
        <x:v>直播列表展示热门直播数据</x:v>
      </x:c>
      <x:c r="L4" s="5" t="str"/>
      <x:c r="M4" s="5" t="str">
        <x:v>未测</x:v>
      </x:c>
      <x:c r="N4" s="5" t="str"/>
      <x:c r="O4" s="5" t="str">
        <x:v>1. 来源：context/01-用户主播App-项目需求清单.md
2. 来源：prototype/assets/annotations.js
3. 来源：对应 HTML 静态原型；未动态验证
4. 追溯：业务底稿 LIVE-002。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5" ht="103.5" customHeight="1">
      <x:c r="A5" s="5" t="n">
        <x:v>4</x:v>
      </x:c>
      <x:c r="B5" s="5" t="str">
        <x:v>LIVE-004</x:v>
      </x:c>
      <x:c r="C5" s="5" t="str">
        <x:v>用户App-直播模块</x:v>
      </x:c>
      <x:c r="D5" s="5" t="str">
        <x:v>直播广场</x:v>
      </x:c>
      <x:c r="E5" s="5" t="str">
        <x:v>逻辑校验</x:v>
      </x:c>
      <x:c r="F5" s="5" t="str">
        <x:v>P1</x:v>
      </x:c>
      <x:c r="G5" s="5" t="str">
        <x:v>验证直播分类来源</x:v>
      </x:c>
      <x:c r="H5" s="5" t="str">
        <x:v>直播分类选项</x:v>
      </x:c>
      <x:c r="I5" s="5" t="str">
        <x:v>1. 后台已配置至少两个直播分类
2. 不同分类下均存在直播中的房间</x:v>
      </x:c>
      <x:c r="J5" s="5" t="str">
        <x:v>1. 进入直播广场
2. 查看分类选项</x:v>
      </x:c>
      <x:c r="K5" s="5" t="str">
        <x:v>分类选项与后台启用配置一致</x:v>
      </x:c>
      <x:c r="L5" s="5" t="str"/>
      <x:c r="M5" s="5" t="str">
        <x:v>未测</x:v>
      </x:c>
      <x:c r="N5" s="5" t="str"/>
      <x:c r="O5" s="5" t="str">
        <x:v>1. 来源：context/01-用户主播App-项目需求清单.md
2. 来源：prototype/assets/annotations.js
3. 追溯：业务底稿 LIVE-003。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6" ht="103.5" customHeight="1">
      <x:c r="A6" s="5" t="n">
        <x:v>5</x:v>
      </x:c>
      <x:c r="B6" s="5" t="str">
        <x:v>LIVE-005</x:v>
      </x:c>
      <x:c r="C6" s="5" t="str">
        <x:v>用户App-直播模块</x:v>
      </x:c>
      <x:c r="D6" s="5" t="str">
        <x:v>直播广场</x:v>
      </x:c>
      <x:c r="E6" s="5" t="str">
        <x:v>逻辑校验</x:v>
      </x:c>
      <x:c r="F6" s="5" t="str">
        <x:v>P1</x:v>
      </x:c>
      <x:c r="G6" s="5" t="str">
        <x:v>验证分类 A 的直播筛选</x:v>
      </x:c>
      <x:c r="H6" s="5" t="str">
        <x:v>分类 A 直播筛选</x:v>
      </x:c>
      <x:c r="I6" s="5" t="str">
        <x:v>1. 后台已配置至少两个直播分类
2. 不同分类下均存在直播中的房间</x:v>
      </x:c>
      <x:c r="J6" s="5" t="str">
        <x:v>1. 选择分类 A
2. 查看直播列表</x:v>
      </x:c>
      <x:c r="K6" s="5" t="str">
        <x:v>分类 A 列表仅包含归属分类 A 的房间</x:v>
      </x:c>
      <x:c r="L6" s="5" t="str"/>
      <x:c r="M6" s="5" t="str">
        <x:v>未测</x:v>
      </x:c>
      <x:c r="N6" s="5" t="str"/>
      <x:c r="O6" s="5" t="str">
        <x:v>1. 来源：context/01-用户主播App-项目需求清单.md
2. 来源：prototype/assets/annotations.js
3. 追溯：业务底稿 LIVE-003。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7" ht="103.5" customHeight="1">
      <x:c r="A7" s="5" t="n">
        <x:v>6</x:v>
      </x:c>
      <x:c r="B7" s="5" t="str">
        <x:v>LIVE-006</x:v>
      </x:c>
      <x:c r="C7" s="5" t="str">
        <x:v>用户App-直播模块</x:v>
      </x:c>
      <x:c r="D7" s="5" t="str">
        <x:v>直播广场</x:v>
      </x:c>
      <x:c r="E7" s="5" t="str">
        <x:v>逻辑校验</x:v>
      </x:c>
      <x:c r="F7" s="5" t="str">
        <x:v>P1</x:v>
      </x:c>
      <x:c r="G7" s="5" t="str">
        <x:v>验证分类 B 的直播筛选</x:v>
      </x:c>
      <x:c r="H7" s="5" t="str">
        <x:v>分类 B 直播筛选</x:v>
      </x:c>
      <x:c r="I7" s="5" t="str">
        <x:v>1. 后台已配置至少两个直播分类
2. 不同分类下均存在直播中的房间</x:v>
      </x:c>
      <x:c r="J7" s="5" t="str">
        <x:v>1. 选择分类 B
2. 查看直播列表</x:v>
      </x:c>
      <x:c r="K7" s="5" t="str">
        <x:v>切换分类 B 后列表更新为归属分类 B 的房间</x:v>
      </x:c>
      <x:c r="L7" s="5" t="str"/>
      <x:c r="M7" s="5" t="str">
        <x:v>未测</x:v>
      </x:c>
      <x:c r="N7" s="5" t="str"/>
      <x:c r="O7" s="5" t="str">
        <x:v>1. 来源：context/01-用户主播App-项目需求清单.md
2. 来源：prototype/assets/annotations.js
3. 追溯：业务底稿 LIVE-003。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8" ht="103.5" customHeight="1">
      <x:c r="A8" s="5" t="n">
        <x:v>7</x:v>
      </x:c>
      <x:c r="B8" s="5" t="str">
        <x:v>LIVE-007</x:v>
      </x:c>
      <x:c r="C8" s="5" t="str">
        <x:v>用户App-直播模块</x:v>
      </x:c>
      <x:c r="D8" s="5" t="str">
        <x:v>直播广场</x:v>
      </x:c>
      <x:c r="E8" s="5" t="str">
        <x:v>功能需求</x:v>
      </x:c>
      <x:c r="F8" s="5" t="str">
        <x:v>P2</x:v>
      </x:c>
      <x:c r="G8" s="5" t="str">
        <x:v>验证下拉刷新直播列表</x:v>
      </x:c>
      <x:c r="H8" s="5" t="str">
        <x:v>下拉刷新</x:v>
      </x:c>
      <x:c r="I8" s="5" t="str">
        <x:v>1. 直播广场已加载
2. 服务端新增一场正在直播的房间</x:v>
      </x:c>
      <x:c r="J8" s="5" t="str">
        <x:v>1. 在直播列表顶部向下拖动并释放
2. 等待刷新完成</x:v>
      </x:c>
      <x:c r="K8" s="5" t="str">
        <x:v>刷新后的列表展示服务端新增的直播房间</x:v>
      </x:c>
      <x:c r="L8" s="5" t="str"/>
      <x:c r="M8" s="5" t="str">
        <x:v>未测</x:v>
      </x:c>
      <x:c r="N8" s="5" t="str"/>
      <x:c r="O8" s="5" t="str">
        <x:v>1. 来源：context/01-用户主播App-项目需求清单.md
2. 追溯：业务底稿 LIVE-004。
3. 质量修正：按 RCL-0018 执行最小前置条件和单分支检查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9" ht="91.5" customHeight="1">
      <x:c r="A9" s="5" t="n">
        <x:v>8</x:v>
      </x:c>
      <x:c r="B9" s="5" t="str">
        <x:v>LIVE-008</x:v>
      </x:c>
      <x:c r="C9" s="5" t="str">
        <x:v>用户App-直播模块</x:v>
      </x:c>
      <x:c r="D9" s="5" t="str">
        <x:v>直播广场</x:v>
      </x:c>
      <x:c r="E9" s="5" t="str">
        <x:v>功能需求</x:v>
      </x:c>
      <x:c r="F9" s="5" t="str">
        <x:v>P2</x:v>
      </x:c>
      <x:c r="G9" s="5" t="str">
        <x:v>验证上拉加载后续直播数据</x:v>
      </x:c>
      <x:c r="H9" s="5" t="str">
        <x:v>上拉加载</x:v>
      </x:c>
      <x:c r="I9" s="5" t="str">
        <x:v>1. 当前分类的直播数据超过首屏加载数量</x:v>
      </x:c>
      <x:c r="J9" s="5" t="str">
        <x:v>1. 进入直播广场
2. 滑动到当前列表底部
3. 继续上拉</x:v>
      </x:c>
      <x:c r="K9" s="5" t="str">
        <x:v>列表追加后续直播数据</x:v>
      </x:c>
      <x:c r="L9" s="5" t="str"/>
      <x:c r="M9" s="5" t="str">
        <x:v>未测</x:v>
      </x:c>
      <x:c r="N9" s="5" t="str"/>
      <x:c r="O9" s="5" t="str">
        <x:v>1. 来源：context/01-用户主播App-项目需求清单.md
2. 追溯：业务底稿 LIVE-005。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10" ht="91.5" customHeight="1">
      <x:c r="A10" s="5" t="n">
        <x:v>9</x:v>
      </x:c>
      <x:c r="B10" s="5" t="str">
        <x:v>LIVE-009</x:v>
      </x:c>
      <x:c r="C10" s="5" t="str">
        <x:v>用户App-直播模块</x:v>
      </x:c>
      <x:c r="D10" s="5" t="str">
        <x:v>直播广场</x:v>
      </x:c>
      <x:c r="E10" s="5" t="str">
        <x:v>异常用例</x:v>
      </x:c>
      <x:c r="F10" s="5" t="str">
        <x:v>P1</x:v>
      </x:c>
      <x:c r="G10" s="5" t="str">
        <x:v>验证无直播数据时的空状态文案</x:v>
      </x:c>
      <x:c r="H10" s="5" t="str">
        <x:v>广场空状态文案</x:v>
      </x:c>
      <x:c r="I10" s="5" t="str">
        <x:v>1. 当前筛选范围内没有直播中的房间</x:v>
      </x:c>
      <x:c r="J10" s="5" t="str">
        <x:v>1. 进入直播广场</x:v>
      </x:c>
      <x:c r="K10" s="5" t="str">
        <x:v>页面展示“暂无直播，去关注喜欢的主播”</x:v>
      </x:c>
      <x:c r="L10" s="5" t="str"/>
      <x:c r="M10" s="5" t="str">
        <x:v>未测</x:v>
      </x:c>
      <x:c r="N10" s="5" t="str"/>
      <x:c r="O10" s="5" t="str">
        <x:v>1. 来源：context/01-用户主播App-项目需求清单.md
2. 追溯：业务底稿 LIVE-006。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11" ht="115.5" customHeight="1">
      <x:c r="A11" s="5" t="n">
        <x:v>10</x:v>
      </x:c>
      <x:c r="B11" s="5" t="str">
        <x:v>LIVE-010</x:v>
      </x:c>
      <x:c r="C11" s="5" t="str">
        <x:v>用户App-直播模块</x:v>
      </x:c>
      <x:c r="D11" s="5" t="str">
        <x:v>直播广场</x:v>
      </x:c>
      <x:c r="E11" s="5" t="str">
        <x:v>功能需求</x:v>
      </x:c>
      <x:c r="F11" s="5" t="str">
        <x:v>P1</x:v>
      </x:c>
      <x:c r="G11" s="5" t="str">
        <x:v>验证直播广场仅提供两个列表 Tab</x:v>
      </x:c>
      <x:c r="H11" s="5" t="str">
        <x:v>直播列表 Tab 范围</x:v>
      </x:c>
      <x:c r="I11" s="5" t="str">
        <x:v>1. 用户已进入直播广场</x:v>
      </x:c>
      <x:c r="J11" s="5" t="str">
        <x:v>1. 查看直播列表顶部 Tab</x:v>
      </x:c>
      <x:c r="K11" s="5" t="str">
        <x:v>列表顶部仅展示“热门”和“新人”两个 Tab</x:v>
      </x:c>
      <x:c r="L11" s="5" t="str"/>
      <x:c r="M11" s="5" t="str">
        <x:v>未测</x:v>
      </x:c>
      <x:c r="N11" s="5" t="str"/>
      <x:c r="O11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12" ht="127.5" customHeight="1">
      <x:c r="A12" s="5" t="n">
        <x:v>11</x:v>
      </x:c>
      <x:c r="B12" s="5" t="str">
        <x:v>LIVE-011</x:v>
      </x:c>
      <x:c r="C12" s="5" t="str">
        <x:v>用户App-直播模块</x:v>
      </x:c>
      <x:c r="D12" s="5" t="str">
        <x:v>直播广场</x:v>
      </x:c>
      <x:c r="E12" s="5" t="str">
        <x:v>功能需求</x:v>
      </x:c>
      <x:c r="F12" s="5" t="str">
        <x:v>P1</x:v>
      </x:c>
      <x:c r="G12" s="5" t="str">
        <x:v>验证关注且正在直播的主播展示在头像栏</x:v>
      </x:c>
      <x:c r="H12" s="5" t="str">
        <x:v>关注直播头像栏</x:v>
      </x:c>
      <x:c r="I12" s="5" t="str">
        <x:v>1. 用户已关注 Sari
2. Sari 正在直播</x:v>
      </x:c>
      <x:c r="J12" s="5" t="str">
        <x:v>1. 进入直播广场
2. 查看 Tab 上方的头像栏</x:v>
      </x:c>
      <x:c r="K12" s="5" t="str">
        <x:v>Tab 上方的头像栏展示 Sari 的直播头像入口</x:v>
      </x:c>
      <x:c r="L12" s="5" t="str"/>
      <x:c r="M12" s="5" t="str">
        <x:v>未测</x:v>
      </x:c>
      <x:c r="N12" s="5" t="str"/>
      <x:c r="O12" s="5" t="str">
        <x:v>1. 来源：context/01-用户主播App-项目需求清单.md（2026-08-29 按原型同步，RSL-0002）
2. 来源：prototype/Luma Live-原型说明.md
3. 来源：prototype/pages/user/home/live-plaza.html 与当页交互脚本；未动态验证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3" ht="115.5" customHeight="1">
      <x:c r="A13" s="5" t="n">
        <x:v>12</x:v>
      </x:c>
      <x:c r="B13" s="5" t="str">
        <x:v>LIVE-012</x:v>
      </x:c>
      <x:c r="C13" s="5" t="str">
        <x:v>用户App-直播模块</x:v>
      </x:c>
      <x:c r="D13" s="5" t="str">
        <x:v>直播广场</x:v>
      </x:c>
      <x:c r="E13" s="5" t="str">
        <x:v>业务流程</x:v>
      </x:c>
      <x:c r="F13" s="5" t="str">
        <x:v>P1</x:v>
      </x:c>
      <x:c r="G13" s="5" t="str">
        <x:v>验证从关注直播头像进入房间</x:v>
      </x:c>
      <x:c r="H13" s="5" t="str">
        <x:v>关注直播头像进房</x:v>
      </x:c>
      <x:c r="I13" s="5" t="str">
        <x:v>1. 关注直播头像栏展示 Sari</x:v>
      </x:c>
      <x:c r="J13" s="5" t="str">
        <x:v>1. 点击 Sari 的头像</x:v>
      </x:c>
      <x:c r="K13" s="5" t="str">
        <x:v>页面进入 Sari 的直播间</x:v>
      </x:c>
      <x:c r="L13" s="5" t="str"/>
      <x:c r="M13" s="5" t="str">
        <x:v>未测</x:v>
      </x:c>
      <x:c r="N13" s="5" t="str"/>
      <x:c r="O13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14" ht="115.5" customHeight="1">
      <x:c r="A14" s="5" t="n">
        <x:v>13</x:v>
      </x:c>
      <x:c r="B14" s="5" t="str">
        <x:v>LIVE-013</x:v>
      </x:c>
      <x:c r="C14" s="5" t="str">
        <x:v>用户App-直播模块</x:v>
      </x:c>
      <x:c r="D14" s="5" t="str">
        <x:v>直播广场</x:v>
      </x:c>
      <x:c r="E14" s="5" t="str">
        <x:v>功能需求</x:v>
      </x:c>
      <x:c r="F14" s="5" t="str">
        <x:v>P1</x:v>
      </x:c>
      <x:c r="G14" s="5" t="str">
        <x:v>验证普通房卡片展示在线人数</x:v>
      </x:c>
      <x:c r="H14" s="5" t="str">
        <x:v>普通房在线人数</x:v>
      </x:c>
      <x:c r="I14" s="5" t="str">
        <x:v>1. 广场存在普通房卡片</x:v>
      </x:c>
      <x:c r="J14" s="5" t="str">
        <x:v>1. 查看目标普通房卡片</x:v>
      </x:c>
      <x:c r="K14" s="5" t="str">
        <x:v>目标普通房卡片展示在线人数</x:v>
      </x:c>
      <x:c r="L14" s="5" t="str"/>
      <x:c r="M14" s="5" t="str">
        <x:v>未测</x:v>
      </x:c>
      <x:c r="N14" s="5" t="str"/>
      <x:c r="O14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15" ht="127.5" customHeight="1">
      <x:c r="A15" s="5" t="n">
        <x:v>14</x:v>
      </x:c>
      <x:c r="B15" s="5" t="str">
        <x:v>LIVE-014</x:v>
      </x:c>
      <x:c r="C15" s="5" t="str">
        <x:v>用户App-直播模块</x:v>
      </x:c>
      <x:c r="D15" s="5" t="str">
        <x:v>直播广场</x:v>
      </x:c>
      <x:c r="E15" s="5" t="str">
        <x:v>功能需求</x:v>
      </x:c>
      <x:c r="F15" s="5" t="str">
        <x:v>P1</x:v>
      </x:c>
      <x:c r="G15" s="5" t="str">
        <x:v>验证门票房卡片展示门票标识</x:v>
      </x:c>
      <x:c r="H15" s="5" t="str">
        <x:v>直播广场门票房标识</x:v>
      </x:c>
      <x:c r="I15" s="5" t="str">
        <x:v>1. 广场存在门票房卡片</x:v>
      </x:c>
      <x:c r="J15" s="5" t="str">
        <x:v>1. 查看目标门票房卡片</x:v>
      </x:c>
      <x:c r="K15" s="5" t="str">
        <x:v>目标卡片展示门票金币价格标识</x:v>
      </x:c>
      <x:c r="L15" s="5" t="str"/>
      <x:c r="M15" s="5" t="str">
        <x:v>未测</x:v>
      </x:c>
      <x:c r="N15" s="5" t="str"/>
      <x:c r="O15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同步追溯：work/liveshow-user-live-testcases-260831-004/prototype-context-sync-result.json；RSL-0002、RSL-0003
4. 全局证据追溯：work/liveshow-user-live-testcases-260831-004/global-evidence-scan-result.json；扫描模式 incremental
5. 命名修复：补充页面、状态或动作，消除重复标题和重复验证点名称；业务步骤与预期结果未变</x:v>
      </x:c>
    </x:row>
    <x:row r="16" ht="115.5" customHeight="1">
      <x:c r="A16" s="5" t="n">
        <x:v>15</x:v>
      </x:c>
      <x:c r="B16" s="5" t="str">
        <x:v>LIVE-015</x:v>
      </x:c>
      <x:c r="C16" s="5" t="str">
        <x:v>用户App-直播模块</x:v>
      </x:c>
      <x:c r="D16" s="5" t="str">
        <x:v>直播广场</x:v>
      </x:c>
      <x:c r="E16" s="5" t="str">
        <x:v>功能需求</x:v>
      </x:c>
      <x:c r="F16" s="5" t="str">
        <x:v>P1</x:v>
      </x:c>
      <x:c r="G16" s="5" t="str">
        <x:v>验证密码房卡片展示锁定标识</x:v>
      </x:c>
      <x:c r="H16" s="5" t="str">
        <x:v>密码房锁定标识</x:v>
      </x:c>
      <x:c r="I16" s="5" t="str">
        <x:v>1. 广场存在可见的密码房卡片</x:v>
      </x:c>
      <x:c r="J16" s="5" t="str">
        <x:v>1. 查看目标密码房卡片</x:v>
      </x:c>
      <x:c r="K16" s="5" t="str">
        <x:v>目标密码房卡片展示锁定标识</x:v>
      </x:c>
      <x:c r="L16" s="5" t="str"/>
      <x:c r="M16" s="5" t="str">
        <x:v>未测</x:v>
      </x:c>
      <x:c r="N16" s="5" t="str"/>
      <x:c r="O16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17" ht="115.5" customHeight="1">
      <x:c r="A17" s="5" t="n">
        <x:v>16</x:v>
      </x:c>
      <x:c r="B17" s="5" t="str">
        <x:v>LIVE-016</x:v>
      </x:c>
      <x:c r="C17" s="5" t="str">
        <x:v>用户App-直播模块</x:v>
      </x:c>
      <x:c r="D17" s="5" t="str">
        <x:v>直播广场</x:v>
      </x:c>
      <x:c r="E17" s="5" t="str">
        <x:v>功能需求</x:v>
      </x:c>
      <x:c r="F17" s="5" t="str">
        <x:v>P1</x:v>
      </x:c>
      <x:c r="G17" s="5" t="str">
        <x:v>验证密码房卡片隐藏在线人数</x:v>
      </x:c>
      <x:c r="H17" s="5" t="str">
        <x:v>密码房在线人数隐藏</x:v>
      </x:c>
      <x:c r="I17" s="5" t="str">
        <x:v>1. 广场存在可见的密码房卡片</x:v>
      </x:c>
      <x:c r="J17" s="5" t="str">
        <x:v>1. 查看目标密码房卡片</x:v>
      </x:c>
      <x:c r="K17" s="5" t="str">
        <x:v>目标密码房卡片不展示在线人数</x:v>
      </x:c>
      <x:c r="L17" s="5" t="str"/>
      <x:c r="M17" s="5" t="str">
        <x:v>未测</x:v>
      </x:c>
      <x:c r="N17" s="5" t="str"/>
      <x:c r="O17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18" ht="91.5" customHeight="1">
      <x:c r="A18" s="5" t="n">
        <x:v>17</x:v>
      </x:c>
      <x:c r="B18" s="5" t="str">
        <x:v>LIVE-017</x:v>
      </x:c>
      <x:c r="C18" s="5" t="str">
        <x:v>用户App-直播模块</x:v>
      </x:c>
      <x:c r="D18" s="5" t="str">
        <x:v>直播广场</x:v>
      </x:c>
      <x:c r="E18" s="5" t="str">
        <x:v>功能需求</x:v>
      </x:c>
      <x:c r="F18" s="5" t="str">
        <x:v>P2</x:v>
      </x:c>
      <x:c r="G18" s="5" t="str">
        <x:v>验证广场空状态提供去发现入口</x:v>
      </x:c>
      <x:c r="H18" s="5" t="str">
        <x:v>广场空状态入口</x:v>
      </x:c>
      <x:c r="I18" s="5" t="str">
        <x:v>1. 当前列表范围没有正在直播的房间</x:v>
      </x:c>
      <x:c r="J18" s="5" t="str">
        <x:v>1. 进入直播广场</x:v>
      </x:c>
      <x:c r="K18" s="5" t="str">
        <x:v>空状态区域展示“去发现”按钮</x:v>
      </x:c>
      <x:c r="L18" s="5" t="str"/>
      <x:c r="M18" s="5" t="str">
        <x:v>未测</x:v>
      </x:c>
      <x:c r="N18" s="5" t="str"/>
      <x:c r="O18" s="5" t="str">
        <x:v>1. 来源：context/01-用户主播App-项目需求清单.md（2026-08-29 按原型同步，RSL-0002）
2. 同步追溯：work/liveshow-user-live-testcases-260831-004/prototype-context-sync-result.json；RSL-0002、RSL-0003
3. 全局证据追溯：work/liveshow-user-live-testcases-260831-004/global-evidence-scan-result.json；扫描模式 incremental</x:v>
      </x:c>
    </x:row>
    <x:row r="19" ht="115.5" customHeight="1">
      <x:c r="A19" s="5" t="n">
        <x:v>18</x:v>
      </x:c>
      <x:c r="B19" s="5" t="str">
        <x:v>LIVE-018</x:v>
      </x:c>
      <x:c r="C19" s="5" t="str">
        <x:v>用户App-直播模块</x:v>
      </x:c>
      <x:c r="D19" s="5" t="str">
        <x:v>直播广场</x:v>
      </x:c>
      <x:c r="E19" s="5" t="str">
        <x:v>逻辑校验</x:v>
      </x:c>
      <x:c r="F19" s="5" t="str">
        <x:v>P2</x:v>
      </x:c>
      <x:c r="G19" s="5" t="str">
        <x:v>验证上拉加载不重复已有直播卡片</x:v>
      </x:c>
      <x:c r="H19" s="5" t="str">
        <x:v>上拉加载去重</x:v>
      </x:c>
      <x:c r="I19" s="5" t="str">
        <x:v>1. 直播广场已展示首批直播卡片
2. 后续页包含与首批相同的直播标识</x:v>
      </x:c>
      <x:c r="J19" s="5" t="str">
        <x:v>1. 上拉直播列表触发加载
2. 查看加载后的卡片</x:v>
      </x:c>
      <x:c r="K19" s="5" t="str">
        <x:v>同一直播标识在列表中只展示一次</x:v>
      </x:c>
      <x:c r="L19" s="5" t="str"/>
      <x:c r="M19" s="5" t="str">
        <x:v>未测</x:v>
      </x:c>
      <x:c r="N19" s="5" t="str"/>
      <x:c r="O19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20" ht="103.5" customHeight="1">
      <x:c r="A20" s="5" t="n">
        <x:v>19</x:v>
      </x:c>
      <x:c r="B20" s="5" t="str">
        <x:v>LIVE-019</x:v>
      </x:c>
      <x:c r="C20" s="5" t="str">
        <x:v>用户App-直播模块</x:v>
      </x:c>
      <x:c r="D20" s="5" t="str">
        <x:v>直播广场</x:v>
      </x:c>
      <x:c r="E20" s="5" t="str">
        <x:v>逻辑校验</x:v>
      </x:c>
      <x:c r="F20" s="5" t="str">
        <x:v>P2</x:v>
      </x:c>
      <x:c r="G20" s="5" t="str">
        <x:v>验证下拉刷新移除已结束直播</x:v>
      </x:c>
      <x:c r="H20" s="5" t="str">
        <x:v>下拉刷新移除结束场次</x:v>
      </x:c>
      <x:c r="I20" s="5" t="str">
        <x:v>1. 直播广场已展示目标直播房间
2. 服务端已结束目标直播场次</x:v>
      </x:c>
      <x:c r="J20" s="5" t="str">
        <x:v>1. 在直播列表顶部向下拖动并释放
2. 等待刷新完成</x:v>
      </x:c>
      <x:c r="K20" s="5" t="str">
        <x:v>刷新后的列表不再展示已结束的目标直播房间</x:v>
      </x:c>
      <x:c r="L20" s="5" t="str"/>
      <x:c r="M20" s="5" t="str">
        <x:v>未测</x:v>
      </x:c>
      <x:c r="N20" s="5" t="str"/>
      <x:c r="O20" s="5" t="str">
        <x:v>1. 来源：context/01-用户主播App-项目需求清单.md（2026-08-29 按原型同步，RSL-0002）
2. 质量修正：按 RCL-0018 执行最小前置条件和单分支检查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21" ht="139.5" customHeight="1">
      <x:c r="A21" s="5" t="n">
        <x:v>20</x:v>
      </x:c>
      <x:c r="B21" s="5" t="str">
        <x:v>LIVE-020</x:v>
      </x:c>
      <x:c r="C21" s="5" t="str">
        <x:v>用户App-直播模块</x:v>
      </x:c>
      <x:c r="D21" s="5" t="str">
        <x:v>普通房进房</x:v>
      </x:c>
      <x:c r="E21" s="5" t="str">
        <x:v>业务流程</x:v>
      </x:c>
      <x:c r="F21" s="5" t="str">
        <x:v>P0</x:v>
      </x:c>
      <x:c r="G21" s="5" t="str">
        <x:v>验证用户无门槛进入普通房</x:v>
      </x:c>
      <x:c r="H21" s="5" t="str">
        <x:v>普通房无门槛进入</x:v>
      </x:c>
      <x:c r="I21" s="5" t="str">
        <x:v>1. 用户已登录
2. 目标普通房正在直播且用户无进房限制</x:v>
      </x:c>
      <x:c r="J21" s="5" t="str">
        <x:v>1. 在直播广场点击目标普通房卡片
2. 等待直播间加载</x:v>
      </x:c>
      <x:c r="K21" s="5" t="str">
        <x:v>用户无需购票或输入密码即可进入目标普通房</x:v>
      </x:c>
      <x:c r="L21" s="5" t="str">
        <x:v>FLOW-LIVE-001</x:v>
      </x:c>
      <x:c r="M21" s="5" t="str">
        <x:v>未测</x:v>
      </x:c>
      <x:c r="N21" s="5" t="str"/>
      <x:c r="O21" s="5" t="str">
        <x:v>1. 来源：context/01-用户主播App-项目需求清单.md
2. 来源：prototype/Luma Live-原型说明.md
3. 追溯：业务底稿 LIVE-007。
4. 流程：阶段 03：观众进入直播间；共同业务对象：LIVE-SESSION-N01。
5. 共同业务对象：同一直播场次
6. 流程阶段：普通房无门槛进入
7. 同步追溯：work/liveshow-user-live-testcases-260831-004/prototype-context-sync-result.json；RSL-0002、RSL-0003
8. 全局证据追溯：work/liveshow-user-live-testcases-260831-004/global-evidence-scan-result.json；扫描模式 incremental</x:v>
      </x:c>
    </x:row>
    <x:row r="22" ht="91.5" customHeight="1">
      <x:c r="A22" s="5" t="n">
        <x:v>21</x:v>
      </x:c>
      <x:c r="B22" s="5" t="str">
        <x:v>LIVE-021</x:v>
      </x:c>
      <x:c r="C22" s="5" t="str">
        <x:v>用户App-直播模块</x:v>
      </x:c>
      <x:c r="D22" s="5" t="str">
        <x:v>普通房进房</x:v>
      </x:c>
      <x:c r="E22" s="5" t="str">
        <x:v>异常用例</x:v>
      </x:c>
      <x:c r="F22" s="5" t="str">
        <x:v>P1</x:v>
      </x:c>
      <x:c r="G22" s="5" t="str">
        <x:v>验证直播断流时展示重连提示</x:v>
      </x:c>
      <x:c r="H22" s="5" t="str">
        <x:v>断流重连提示</x:v>
      </x:c>
      <x:c r="I22" s="5" t="str">
        <x:v>1. 用户正在观看普通房
2. 可模拟直播流中断后恢复</x:v>
      </x:c>
      <x:c r="J22" s="5" t="str">
        <x:v>1. 中断直播流连接
2. 观察直播间状态
3. 恢复直播流连接</x:v>
      </x:c>
      <x:c r="K22" s="5" t="str">
        <x:v>断流期间页面展示重连提示</x:v>
      </x:c>
      <x:c r="L22" s="5" t="str"/>
      <x:c r="M22" s="5" t="str">
        <x:v>未测</x:v>
      </x:c>
      <x:c r="N22" s="5" t="str"/>
      <x:c r="O22" s="5" t="str">
        <x:v>1. 来源：context/01-用户主播App-项目需求清单.md
2. 追溯：业务底稿 LIVE-008。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23" ht="91.5" customHeight="1">
      <x:c r="A23" s="5" t="n">
        <x:v>22</x:v>
      </x:c>
      <x:c r="B23" s="5" t="str">
        <x:v>LIVE-022</x:v>
      </x:c>
      <x:c r="C23" s="5" t="str">
        <x:v>用户App-直播模块</x:v>
      </x:c>
      <x:c r="D23" s="5" t="str">
        <x:v>普通房进房</x:v>
      </x:c>
      <x:c r="E23" s="5" t="str">
        <x:v>异常用例</x:v>
      </x:c>
      <x:c r="F23" s="5" t="str">
        <x:v>P1</x:v>
      </x:c>
      <x:c r="G23" s="5" t="str">
        <x:v>验证直播流中断后的自动恢复</x:v>
      </x:c>
      <x:c r="H23" s="5" t="str">
        <x:v>断流恢复播放</x:v>
      </x:c>
      <x:c r="I23" s="5" t="str">
        <x:v>1. 用户正在观看普通房
2. 可模拟直播流中断后恢复</x:v>
      </x:c>
      <x:c r="J23" s="5" t="str">
        <x:v>1. 中断直播流连接
2. 观察直播间状态
3. 恢复直播流连接</x:v>
      </x:c>
      <x:c r="K23" s="5" t="str">
        <x:v>流恢复后直播画面继续播放</x:v>
      </x:c>
      <x:c r="L23" s="5" t="str"/>
      <x:c r="M23" s="5" t="str">
        <x:v>未测</x:v>
      </x:c>
      <x:c r="N23" s="5" t="str"/>
      <x:c r="O23" s="5" t="str">
        <x:v>1. 来源：context/01-用户主播App-项目需求清单.md
2. 追溯：业务底稿 LIVE-008。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24" ht="91.5" customHeight="1">
      <x:c r="A24" s="5" t="n">
        <x:v>23</x:v>
      </x:c>
      <x:c r="B24" s="5" t="str">
        <x:v>LIVE-023</x:v>
      </x:c>
      <x:c r="C24" s="5" t="str">
        <x:v>用户App-直播模块</x:v>
      </x:c>
      <x:c r="D24" s="5" t="str">
        <x:v>普通房进房</x:v>
      </x:c>
      <x:c r="E24" s="5" t="str">
        <x:v>功能需求</x:v>
      </x:c>
      <x:c r="F24" s="5" t="str">
        <x:v>P2</x:v>
      </x:c>
      <x:c r="G24" s="5" t="str">
        <x:v>验证观看中切换清晰度</x:v>
      </x:c>
      <x:c r="H24" s="5" t="str">
        <x:v>清晰度切换</x:v>
      </x:c>
      <x:c r="I24" s="5" t="str">
        <x:v>1. 用户正在观看普通房
2. 当前直播流提供多个可用清晰度档位</x:v>
      </x:c>
      <x:c r="J24" s="5" t="str">
        <x:v>1. 打开清晰度选项
2. 选择另一个可用档位</x:v>
      </x:c>
      <x:c r="K24" s="5" t="str">
        <x:v>直播流使用用户选择的清晰度档位继续播放</x:v>
      </x:c>
      <x:c r="L24" s="5" t="str"/>
      <x:c r="M24" s="5" t="str">
        <x:v>未测</x:v>
      </x:c>
      <x:c r="N24" s="5" t="str"/>
      <x:c r="O24" s="5" t="str">
        <x:v>1. 来源：context/01-用户主播App-项目需求清单.md
2. 追溯：业务底稿 LIVE-009。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25" ht="91.5" customHeight="1">
      <x:c r="A25" s="5" t="n">
        <x:v>24</x:v>
      </x:c>
      <x:c r="B25" s="5" t="str">
        <x:v>LIVE-024</x:v>
      </x:c>
      <x:c r="C25" s="5" t="str">
        <x:v>用户App-直播模块</x:v>
      </x:c>
      <x:c r="D25" s="5" t="str">
        <x:v>普通房进房</x:v>
      </x:c>
      <x:c r="E25" s="5" t="str">
        <x:v>功能需求</x:v>
      </x:c>
      <x:c r="F25" s="5" t="str">
        <x:v>P2</x:v>
      </x:c>
      <x:c r="G25" s="5" t="str">
        <x:v>验证直播画面切换为横屏</x:v>
      </x:c>
      <x:c r="H25" s="5" t="str">
        <x:v>横屏切换</x:v>
      </x:c>
      <x:c r="I25" s="5" t="str">
        <x:v>1. 用户正在观看普通房</x:v>
      </x:c>
      <x:c r="J25" s="5" t="str">
        <x:v>1. 将直播画面切换为横屏
2. 再切换回竖屏</x:v>
      </x:c>
      <x:c r="K25" s="5" t="str">
        <x:v>直播画面按横屏模式展示</x:v>
      </x:c>
      <x:c r="L25" s="5" t="str"/>
      <x:c r="M25" s="5" t="str">
        <x:v>未测</x:v>
      </x:c>
      <x:c r="N25" s="5" t="str"/>
      <x:c r="O25" s="5" t="str">
        <x:v>1. 来源：context/01-用户主播App-项目需求清单.md
2. 追溯：业务底稿 LIVE-010。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26" ht="91.5" customHeight="1">
      <x:c r="A26" s="5" t="n">
        <x:v>25</x:v>
      </x:c>
      <x:c r="B26" s="5" t="str">
        <x:v>LIVE-025</x:v>
      </x:c>
      <x:c r="C26" s="5" t="str">
        <x:v>用户App-直播模块</x:v>
      </x:c>
      <x:c r="D26" s="5" t="str">
        <x:v>普通房进房</x:v>
      </x:c>
      <x:c r="E26" s="5" t="str">
        <x:v>功能需求</x:v>
      </x:c>
      <x:c r="F26" s="5" t="str">
        <x:v>P2</x:v>
      </x:c>
      <x:c r="G26" s="5" t="str">
        <x:v>验证直播画面恢复为竖屏</x:v>
      </x:c>
      <x:c r="H26" s="5" t="str">
        <x:v>竖屏恢复</x:v>
      </x:c>
      <x:c r="I26" s="5" t="str">
        <x:v>1. 用户正在观看普通房</x:v>
      </x:c>
      <x:c r="J26" s="5" t="str">
        <x:v>1. 将直播画面切换为横屏
2. 再切换回竖屏</x:v>
      </x:c>
      <x:c r="K26" s="5" t="str">
        <x:v>返回竖屏后直播画面恢复竖屏模式</x:v>
      </x:c>
      <x:c r="L26" s="5" t="str"/>
      <x:c r="M26" s="5" t="str">
        <x:v>未测</x:v>
      </x:c>
      <x:c r="N26" s="5" t="str"/>
      <x:c r="O26" s="5" t="str">
        <x:v>1. 来源：context/01-用户主播App-项目需求清单.md
2. 追溯：业务底稿 LIVE-010。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27" ht="91.5" customHeight="1">
      <x:c r="A27" s="5" t="n">
        <x:v>26</x:v>
      </x:c>
      <x:c r="B27" s="5" t="str">
        <x:v>LIVE-026</x:v>
      </x:c>
      <x:c r="C27" s="5" t="str">
        <x:v>用户App-直播模块</x:v>
      </x:c>
      <x:c r="D27" s="5" t="str">
        <x:v>普通房进房</x:v>
      </x:c>
      <x:c r="E27" s="5" t="str">
        <x:v>业务流程</x:v>
      </x:c>
      <x:c r="F27" s="5" t="str">
        <x:v>P1</x:v>
      </x:c>
      <x:c r="G27" s="5" t="str">
        <x:v>验证进入普通房后自动播放</x:v>
      </x:c>
      <x:c r="H27" s="5" t="str">
        <x:v>普通房自动播放</x:v>
      </x:c>
      <x:c r="I27" s="5" t="str">
        <x:v>1. 目标普通房正在直播</x:v>
      </x:c>
      <x:c r="J27" s="5" t="str">
        <x:v>1. 从广场点击目标普通房卡片</x:v>
      </x:c>
      <x:c r="K27" s="5" t="str">
        <x:v>进入直播间后直播画面自动开始播放</x:v>
      </x:c>
      <x:c r="L27" s="5" t="str"/>
      <x:c r="M27" s="5" t="str">
        <x:v>未测</x:v>
      </x:c>
      <x:c r="N27" s="5" t="str"/>
      <x:c r="O27" s="5" t="str">
        <x:v>1. 来源：context/01-用户主播App-项目需求清单.md（2026-08-29 按原型同步，RSL-0002）
2. 同步追溯：work/liveshow-user-live-testcases-260831-004/prototype-context-sync-result.json；RSL-0002、RSL-0003
3. 全局证据追溯：work/liveshow-user-live-testcases-260831-004/global-evidence-scan-result.json；扫描模式 incremental</x:v>
      </x:c>
    </x:row>
    <x:row r="28" ht="115.5" customHeight="1">
      <x:c r="A28" s="5" t="n">
        <x:v>27</x:v>
      </x:c>
      <x:c r="B28" s="5" t="str">
        <x:v>LIVE-027</x:v>
      </x:c>
      <x:c r="C28" s="5" t="str">
        <x:v>用户App-直播模块</x:v>
      </x:c>
      <x:c r="D28" s="5" t="str">
        <x:v>门票房进房</x:v>
      </x:c>
      <x:c r="E28" s="5" t="str">
        <x:v>业务流程</x:v>
      </x:c>
      <x:c r="F28" s="5" t="str">
        <x:v>P1</x:v>
      </x:c>
      <x:c r="G28" s="5" t="str">
        <x:v>验证门票购买信息展示</x:v>
      </x:c>
      <x:c r="H28" s="5" t="str">
        <x:v>门票购买信息</x:v>
      </x:c>
      <x:c r="I28" s="5" t="str">
        <x:v>1. 门票房灰度开关已开启
2. 目标门票房正在直播
3. 门票价格为 10 金币
4. 用户余额为 20 金币且未购买本场门票</x:v>
      </x:c>
      <x:c r="J28" s="5" t="str">
        <x:v>1. 在直播广场点击目标门票房
2. 核对门票价格
3. 点击“购买”</x:v>
      </x:c>
      <x:c r="K28" s="5" t="str">
        <x:v>购票前展示本场门票价格 10 金币和当前余额</x:v>
      </x:c>
      <x:c r="L28" s="5" t="str"/>
      <x:c r="M28" s="5" t="str">
        <x:v>未测</x:v>
      </x:c>
      <x:c r="N28" s="5" t="str"/>
      <x:c r="O28" s="5" t="str">
        <x:v>1. 来源：context/01-用户主播App-项目需求清单.md
2. 来源：prototype/assets/annotations.js
3. 来源：对应 HTML 静态原型；未动态验证
4. 追溯：业务底稿 LIVE-011。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29" ht="141" customHeight="1">
      <x:c r="A29" s="5" t="n">
        <x:v>28</x:v>
      </x:c>
      <x:c r="B29" s="5" t="str">
        <x:v>LIVE-028</x:v>
      </x:c>
      <x:c r="C29" s="5" t="str">
        <x:v>用户App-直播模块</x:v>
      </x:c>
      <x:c r="D29" s="5" t="str">
        <x:v>门票房进房</x:v>
      </x:c>
      <x:c r="E29" s="5" t="str">
        <x:v>业务流程</x:v>
      </x:c>
      <x:c r="F29" s="5" t="str">
        <x:v>P0</x:v>
      </x:c>
      <x:c r="G29" s="5" t="str">
        <x:v>验证购买门票后进入直播间</x:v>
      </x:c>
      <x:c r="H29" s="5" t="str">
        <x:v>购票成功进房</x:v>
      </x:c>
      <x:c r="I29" s="5" t="str">
        <x:v>1. 门票房灰度开关已开启
2. 目标门票房正在直播
3. 门票价格为 10 金币
4. 用户余额为 20 金币且未购买本场门票</x:v>
      </x:c>
      <x:c r="J29" s="5" t="str">
        <x:v>1. 在直播广场点击目标门票房
2. 核对门票价格
3. 点击“购买”</x:v>
      </x:c>
      <x:c r="K29" s="5" t="str">
        <x:v>购买成功后进入目标直播间</x:v>
      </x:c>
      <x:c r="L29" s="5" t="str">
        <x:v>FLOW-LIVE-002</x:v>
      </x:c>
      <x:c r="M29" s="5" t="str">
        <x:v>未测</x:v>
      </x:c>
      <x:c r="N29" s="5" t="str"/>
      <x:c r="O29" s="5" t="str">
        <x:v>1. 来源：context/01-用户主播App-项目需求清单.md
2. 来源：prototype/assets/annotations.js
3. 来源：对应 HTML 静态原型；未动态验证
4. 追溯：业务底稿 LIVE-011。
5. 流程：阶段 02：观众购票进入；共同业务对象：LIVE-SESSION-T01、USER-T01。
6. 共同业务对象：同一门票房场次和购票资格
7. 流程阶段：购票成功进房
8. 同步追溯：work/liveshow-user-live-testcases-260831-004/prototype-context-sync-result.json；RSL-0002、RSL-0003
9. 全局证据追溯：work/liveshow-user-live-testcases-260831-004/global-evidence-scan-result.json；扫描模式 incremental</x:v>
      </x:c>
    </x:row>
    <x:row r="30" ht="141" customHeight="1">
      <x:c r="A30" s="5" t="n">
        <x:v>29</x:v>
      </x:c>
      <x:c r="B30" s="5" t="str">
        <x:v>LIVE-029</x:v>
      </x:c>
      <x:c r="C30" s="5" t="str">
        <x:v>用户App-直播模块</x:v>
      </x:c>
      <x:c r="D30" s="5" t="str">
        <x:v>门票房进房</x:v>
      </x:c>
      <x:c r="E30" s="5" t="str">
        <x:v>业务流程</x:v>
      </x:c>
      <x:c r="F30" s="5" t="str">
        <x:v>P1</x:v>
      </x:c>
      <x:c r="G30" s="5" t="str">
        <x:v>验证购买门票扣减用户余额</x:v>
      </x:c>
      <x:c r="H30" s="5" t="str">
        <x:v>购票余额扣减</x:v>
      </x:c>
      <x:c r="I30" s="5" t="str">
        <x:v>1. 门票房灰度开关已开启
2. 目标门票房正在直播
3. 门票价格为 10 金币
4. 用户余额为 20 金币且未购买本场门票</x:v>
      </x:c>
      <x:c r="J30" s="5" t="str">
        <x:v>1. 记录购票前余额
2. 购买门票
3. 进入金币钱包查看余额</x:v>
      </x:c>
      <x:c r="K30" s="5" t="str">
        <x:v>用户余额由 20 减为 10 金币</x:v>
      </x:c>
      <x:c r="L30" s="5" t="str">
        <x:v>FLOW-LIVE-002</x:v>
      </x:c>
      <x:c r="M30" s="5" t="str">
        <x:v>未测</x:v>
      </x:c>
      <x:c r="N30" s="5" t="str"/>
      <x:c r="O30" s="5" t="str">
        <x:v>1. 来源：context/01-用户主播App-项目需求清单.md
2. 来源：prototype/assets/annotations.js
3. 来源：对应 HTML 静态原型；未动态验证
4. 追溯：业务底稿 LIVE-011。
5. 流程：阶段 03：核对购票后余额；共同业务对象：LIVE-SESSION-T01、USER-T01。
6. 共同业务对象：同一门票房场次和购票资格
7. 流程阶段：购票余额扣减
8. 同步追溯：work/liveshow-user-live-testcases-260831-004/prototype-context-sync-result.json；RSL-0002、RSL-0003
9. 全局证据追溯：work/liveshow-user-live-testcases-260831-004/global-evidence-scan-result.json；扫描模式 incremental</x:v>
      </x:c>
    </x:row>
    <x:row r="31" ht="141" customHeight="1">
      <x:c r="A31" s="5" t="n">
        <x:v>30</x:v>
      </x:c>
      <x:c r="B31" s="5" t="str">
        <x:v>LIVE-030</x:v>
      </x:c>
      <x:c r="C31" s="5" t="str">
        <x:v>用户App-直播模块</x:v>
      </x:c>
      <x:c r="D31" s="5" t="str">
        <x:v>门票房进房</x:v>
      </x:c>
      <x:c r="E31" s="5" t="str">
        <x:v>业务流程</x:v>
      </x:c>
      <x:c r="F31" s="5" t="str">
        <x:v>P1</x:v>
      </x:c>
      <x:c r="G31" s="5" t="str">
        <x:v>验证购买门票生成消费流水</x:v>
      </x:c>
      <x:c r="H31" s="5" t="str">
        <x:v>购票流水记录</x:v>
      </x:c>
      <x:c r="I31" s="5" t="str">
        <x:v>1. 门票房灰度开关已开启
2. 目标门票房正在直播
3. 门票价格为 10 金币
4. 用户余额为 20 金币且未购买本场门票</x:v>
      </x:c>
      <x:c r="J31" s="5" t="str">
        <x:v>1. 购买门票
2. 进入金币消费明细
3. 查看本场门票记录</x:v>
      </x:c>
      <x:c r="K31" s="5" t="str">
        <x:v>消费明细新增一条 10 金币的本场门票记录</x:v>
      </x:c>
      <x:c r="L31" s="5" t="str">
        <x:v>FLOW-LIVE-002</x:v>
      </x:c>
      <x:c r="M31" s="5" t="str">
        <x:v>未测</x:v>
      </x:c>
      <x:c r="N31" s="5" t="str"/>
      <x:c r="O31" s="5" t="str">
        <x:v>1. 来源：context/01-用户主播App-项目需求清单.md
2. 来源：prototype/assets/annotations.js
3. 来源：对应 HTML 静态原型；未动态验证
4. 追溯：业务底稿 LIVE-011。
5. 流程：阶段 04：核对门票消费流水；共同业务对象：LIVE-SESSION-T01、USER-T01。
6. 共同业务对象：同一门票房场次和购票资格
7. 流程阶段：购票流水记录
8. 同步追溯：work/liveshow-user-live-testcases-260831-004/prototype-context-sync-result.json；RSL-0002、RSL-0003
9. 全局证据追溯：work/liveshow-user-live-testcases-260831-004/global-evidence-scan-result.json；扫描模式 incremental</x:v>
      </x:c>
    </x:row>
    <x:row r="32" ht="103.5" customHeight="1">
      <x:c r="A32" s="5" t="n">
        <x:v>31</x:v>
      </x:c>
      <x:c r="B32" s="5" t="str">
        <x:v>LIVE-031</x:v>
      </x:c>
      <x:c r="C32" s="5" t="str">
        <x:v>用户App-直播模块</x:v>
      </x:c>
      <x:c r="D32" s="5" t="str">
        <x:v>门票房进房</x:v>
      </x:c>
      <x:c r="E32" s="5" t="str">
        <x:v>异常用例</x:v>
      </x:c>
      <x:c r="F32" s="5" t="str">
        <x:v>P1</x:v>
      </x:c>
      <x:c r="G32" s="5" t="str">
        <x:v>验证余额不足时不能购买门票</x:v>
      </x:c>
      <x:c r="H32" s="5" t="str">
        <x:v>余额不足购票拦截</x:v>
      </x:c>
      <x:c r="I32" s="5" t="str">
        <x:v>1. 目标门票价格为 10 金币
2. 用户余额为 9 金币
3. 用户未购买本场门票</x:v>
      </x:c>
      <x:c r="J32" s="5" t="str">
        <x:v>1. 点击目标门票房
2. 点击“购买”</x:v>
      </x:c>
      <x:c r="K32" s="5" t="str">
        <x:v>用户不进入目标直播间</x:v>
      </x:c>
      <x:c r="L32" s="5" t="str"/>
      <x:c r="M32" s="5" t="str">
        <x:v>未测</x:v>
      </x:c>
      <x:c r="N32" s="5" t="str"/>
      <x:c r="O32" s="5" t="str">
        <x:v>1. 来源：context/01-用户主播App-项目需求清单.md
2. 来源：对应 HTML 静态原型；未动态验证
3. 追溯：业务底稿 LIVE-012。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33" ht="103.5" customHeight="1">
      <x:c r="A33" s="5" t="n">
        <x:v>32</x:v>
      </x:c>
      <x:c r="B33" s="5" t="str">
        <x:v>LIVE-032</x:v>
      </x:c>
      <x:c r="C33" s="5" t="str">
        <x:v>用户App-直播模块</x:v>
      </x:c>
      <x:c r="D33" s="5" t="str">
        <x:v>门票房进房</x:v>
      </x:c>
      <x:c r="E33" s="5" t="str">
        <x:v>异常用例</x:v>
      </x:c>
      <x:c r="F33" s="5" t="str">
        <x:v>P1</x:v>
      </x:c>
      <x:c r="G33" s="5" t="str">
        <x:v>验证购票失败后用户余额不变</x:v>
      </x:c>
      <x:c r="H33" s="5" t="str">
        <x:v>购票失败余额</x:v>
      </x:c>
      <x:c r="I33" s="5" t="str">
        <x:v>1. 目标门票价格为 10 金币
2. 用户余额为 9 金币
3. 用户未购买本场门票</x:v>
      </x:c>
      <x:c r="J33" s="5" t="str">
        <x:v>1. 点击目标门票房
2. 点击“购买”</x:v>
      </x:c>
      <x:c r="K33" s="5" t="str">
        <x:v>用户金币余额不变</x:v>
      </x:c>
      <x:c r="L33" s="5" t="str"/>
      <x:c r="M33" s="5" t="str">
        <x:v>未测</x:v>
      </x:c>
      <x:c r="N33" s="5" t="str"/>
      <x:c r="O33" s="5" t="str">
        <x:v>1. 来源：context/01-用户主播App-项目需求清单.md
2. 来源：对应 HTML 静态原型；未动态验证
3. 追溯：业务底稿 LIVE-012。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34" ht="115.5" customHeight="1">
      <x:c r="A34" s="5" t="n">
        <x:v>33</x:v>
      </x:c>
      <x:c r="B34" s="5" t="str">
        <x:v>LIVE-033</x:v>
      </x:c>
      <x:c r="C34" s="5" t="str">
        <x:v>用户App-直播模块</x:v>
      </x:c>
      <x:c r="D34" s="5" t="str">
        <x:v>门票房进房</x:v>
      </x:c>
      <x:c r="E34" s="5" t="str">
        <x:v>异常用例</x:v>
      </x:c>
      <x:c r="F34" s="5" t="str">
        <x:v>P1</x:v>
      </x:c>
      <x:c r="G34" s="5" t="str">
        <x:v>验证余额不足时提供充值入口</x:v>
      </x:c>
      <x:c r="H34" s="5" t="str">
        <x:v>余额不足充值入口展示</x:v>
      </x:c>
      <x:c r="I34" s="5" t="str">
        <x:v>1. 目标门票价格为 10 金币
2. 用户余额为 9 金币
3. 用户未购买本场门票</x:v>
      </x:c>
      <x:c r="J34" s="5" t="str">
        <x:v>1. 点击目标门票房
2. 点击“购买”</x:v>
      </x:c>
      <x:c r="K34" s="5" t="str">
        <x:v>页面提供充值入口</x:v>
      </x:c>
      <x:c r="L34" s="5" t="str"/>
      <x:c r="M34" s="5" t="str">
        <x:v>未测</x:v>
      </x:c>
      <x:c r="N34" s="5" t="str"/>
      <x:c r="O34" s="5" t="str">
        <x:v>1. 来源：context/01-用户主播App-项目需求清单.md
2. 来源：对应 HTML 静态原型；未动态验证
3. 追溯：业务底稿 LIVE-012。
4. 同步追溯：work/liveshow-user-live-testcases-260831-004/prototype-context-sync-result.json；RSL-0002、RSL-0003
5. 全局证据追溯：work/liveshow-user-live-testcases-260831-004/global-evidence-scan-result.json；扫描模式 incremental
6. 命名修复：补充页面、状态或动作，消除重复标题和重复验证点名称；业务步骤与预期结果未变</x:v>
      </x:c>
    </x:row>
    <x:row r="35" ht="139.5" customHeight="1">
      <x:c r="A35" s="5" t="n">
        <x:v>34</x:v>
      </x:c>
      <x:c r="B35" s="5" t="str">
        <x:v>LIVE-034</x:v>
      </x:c>
      <x:c r="C35" s="5" t="str">
        <x:v>用户App-直播模块</x:v>
      </x:c>
      <x:c r="D35" s="5" t="str">
        <x:v>门票房进房</x:v>
      </x:c>
      <x:c r="E35" s="5" t="str">
        <x:v>逻辑校验</x:v>
      </x:c>
      <x:c r="F35" s="5" t="str">
        <x:v>P1</x:v>
      </x:c>
      <x:c r="G35" s="5" t="str">
        <x:v>验证已购票用户再次进入同一场次</x:v>
      </x:c>
      <x:c r="H35" s="5" t="str">
        <x:v>已购票再次进房</x:v>
      </x:c>
      <x:c r="I35" s="5" t="str">
        <x:v>1. 用户已购买目标门票房当前场次门票
2. 当前场次尚未结束且用户未被踢出</x:v>
      </x:c>
      <x:c r="J35" s="5" t="str">
        <x:v>1. 退出直播间
2. 再次点击同一场门票房</x:v>
      </x:c>
      <x:c r="K35" s="5" t="str">
        <x:v>用户可再次进入目标直播间</x:v>
      </x:c>
      <x:c r="L35" s="5" t="str">
        <x:v>FLOW-LIVE-002</x:v>
      </x:c>
      <x:c r="M35" s="5" t="str">
        <x:v>未测</x:v>
      </x:c>
      <x:c r="N35" s="5" t="str"/>
      <x:c r="O35" s="5" t="str">
        <x:v>1. 来源：context/01-用户主播App-项目需求清单.md
2. 追溯：业务底稿 LIVE-013。
3. 流程：阶段 05：观众重复进入同一场次；共同业务对象：LIVE-SESSION-T01、USER-T01。
4. 共同业务对象：同一门票房场次和购票资格
5. 流程阶段：已购票再次进房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36" ht="91.5" customHeight="1">
      <x:c r="A36" s="5" t="n">
        <x:v>35</x:v>
      </x:c>
      <x:c r="B36" s="5" t="str">
        <x:v>LIVE-035</x:v>
      </x:c>
      <x:c r="C36" s="5" t="str">
        <x:v>用户App-直播模块</x:v>
      </x:c>
      <x:c r="D36" s="5" t="str">
        <x:v>门票房进房</x:v>
      </x:c>
      <x:c r="E36" s="5" t="str">
        <x:v>逻辑校验</x:v>
      </x:c>
      <x:c r="F36" s="5" t="str">
        <x:v>P1</x:v>
      </x:c>
      <x:c r="G36" s="5" t="str">
        <x:v>验证重复进房不重复扣费</x:v>
      </x:c>
      <x:c r="H36" s="5" t="str">
        <x:v>重复进房扣费</x:v>
      </x:c>
      <x:c r="I36" s="5" t="str">
        <x:v>1. 用户已购买目标门票房当前场次门票
2. 当前场次尚未结束且用户未被踢出</x:v>
      </x:c>
      <x:c r="J36" s="5" t="str">
        <x:v>1. 记录当前余额
2. 退出并重新进入同一门票场次
3. 再次查看余额</x:v>
      </x:c>
      <x:c r="K36" s="5" t="str">
        <x:v>再次进入不扣减金币</x:v>
      </x:c>
      <x:c r="L36" s="5" t="str"/>
      <x:c r="M36" s="5" t="str">
        <x:v>未测</x:v>
      </x:c>
      <x:c r="N36" s="5" t="str"/>
      <x:c r="O36" s="5" t="str">
        <x:v>1. 来源：context/01-用户主播App-项目需求清单.md
2. 追溯：业务底稿 LIVE-013。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37" ht="91.5" customHeight="1">
      <x:c r="A37" s="5" t="n">
        <x:v>36</x:v>
      </x:c>
      <x:c r="B37" s="5" t="str">
        <x:v>LIVE-036</x:v>
      </x:c>
      <x:c r="C37" s="5" t="str">
        <x:v>用户App-直播模块</x:v>
      </x:c>
      <x:c r="D37" s="5" t="str">
        <x:v>门票房进房</x:v>
      </x:c>
      <x:c r="E37" s="5" t="str">
        <x:v>逻辑校验</x:v>
      </x:c>
      <x:c r="F37" s="5" t="str">
        <x:v>P1</x:v>
      </x:c>
      <x:c r="G37" s="5" t="str">
        <x:v>验证重复进房不生成重复流水</x:v>
      </x:c>
      <x:c r="H37" s="5" t="str">
        <x:v>重复进房流水</x:v>
      </x:c>
      <x:c r="I37" s="5" t="str">
        <x:v>1. 用户已购买目标门票房当前场次门票
2. 当前场次尚未结束且用户未被踢出</x:v>
      </x:c>
      <x:c r="J37" s="5" t="str">
        <x:v>1. 记录购票流水数量
2. 退出并重新进入同一门票场次
3. 再次查看消费明细</x:v>
      </x:c>
      <x:c r="K37" s="5" t="str">
        <x:v>消费明细不新增重复门票记录</x:v>
      </x:c>
      <x:c r="L37" s="5" t="str"/>
      <x:c r="M37" s="5" t="str">
        <x:v>未测</x:v>
      </x:c>
      <x:c r="N37" s="5" t="str"/>
      <x:c r="O37" s="5" t="str">
        <x:v>1. 来源：context/01-用户主播App-项目需求清单.md
2. 追溯：业务底稿 LIVE-013。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38" ht="91.5" customHeight="1">
      <x:c r="A38" s="5" t="n">
        <x:v>37</x:v>
      </x:c>
      <x:c r="B38" s="5" t="str">
        <x:v>LIVE-037</x:v>
      </x:c>
      <x:c r="C38" s="5" t="str">
        <x:v>用户App-直播模块</x:v>
      </x:c>
      <x:c r="D38" s="5" t="str">
        <x:v>门票房进房</x:v>
      </x:c>
      <x:c r="E38" s="5" t="str">
        <x:v>逻辑校验</x:v>
      </x:c>
      <x:c r="F38" s="5" t="str">
        <x:v>P1</x:v>
      </x:c>
      <x:c r="G38" s="5" t="str">
        <x:v>验证直播结束后原门票失效</x:v>
      </x:c>
      <x:c r="H38" s="5" t="str">
        <x:v>场次结束后门票失效</x:v>
      </x:c>
      <x:c r="I38" s="5" t="str">
        <x:v>1. 用户已购买场次 A 的门票
2. 场次 A 已结束
3. 同一主播开启新的门票场次 B</x:v>
      </x:c>
      <x:c r="J38" s="5" t="str">
        <x:v>1. 点击场次 B 的直播卡片</x:v>
      </x:c>
      <x:c r="K38" s="5" t="str">
        <x:v>场次 A 结束后，进入场次 B 需重新购买场次 B 门票</x:v>
      </x:c>
      <x:c r="L38" s="5" t="str"/>
      <x:c r="M38" s="5" t="str">
        <x:v>未测</x:v>
      </x:c>
      <x:c r="N38" s="5" t="str"/>
      <x:c r="O38" s="5" t="str">
        <x:v>1. 来源：context/01-用户主播App-项目需求清单.md
2. 追溯：业务底稿 LIVE-014。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39" ht="139.5" customHeight="1">
      <x:c r="A39" s="5" t="n">
        <x:v>38</x:v>
      </x:c>
      <x:c r="B39" s="5" t="str">
        <x:v>LIVE-038</x:v>
      </x:c>
      <x:c r="C39" s="5" t="str">
        <x:v>用户App-直播模块</x:v>
      </x:c>
      <x:c r="D39" s="5" t="str">
        <x:v>门票房进房</x:v>
      </x:c>
      <x:c r="E39" s="5" t="str">
        <x:v>业务流程</x:v>
      </x:c>
      <x:c r="F39" s="5" t="str">
        <x:v>P1</x:v>
      </x:c>
      <x:c r="G39" s="5" t="str">
        <x:v>验证门票房被踢后的进房限制</x:v>
      </x:c>
      <x:c r="H39" s="5" t="str">
        <x:v>被踢后进房限制</x:v>
      </x:c>
      <x:c r="I39" s="5" t="str">
        <x:v>1. 用户已购买并进入当前门票房
2. 用户金币余额和购票流水已记录</x:v>
      </x:c>
      <x:c r="J39" s="5" t="str">
        <x:v>1. 由主播将该用户踢出直播间
2. 用户再次尝试进入当前场次
3. 查看金币余额和消费明细</x:v>
      </x:c>
      <x:c r="K39" s="5" t="str">
        <x:v>用户被踢出门票房后不得再次进入当前场次</x:v>
      </x:c>
      <x:c r="L39" s="5" t="str">
        <x:v>FLOW-LIVE-002</x:v>
      </x:c>
      <x:c r="M39" s="5" t="str">
        <x:v>未测</x:v>
      </x:c>
      <x:c r="N39" s="5" t="str"/>
      <x:c r="O39" s="5" t="str">
        <x:v>1. 来源：context/系统概要 .md（当前全局业务规则）
2. 追溯：业务底稿 LIVE-015。
3. 流程：阶段 06：观众被踢后限制重进；共同业务对象：LIVE-SESSION-T01、USER-T01。
4. 共同业务对象：同一门票房场次和购票资格
5. 流程阶段：被踢后进房限制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40" ht="139.5" customHeight="1">
      <x:c r="A40" s="5" t="n">
        <x:v>39</x:v>
      </x:c>
      <x:c r="B40" s="5" t="str">
        <x:v>LIVE-039</x:v>
      </x:c>
      <x:c r="C40" s="5" t="str">
        <x:v>用户App-直播模块</x:v>
      </x:c>
      <x:c r="D40" s="5" t="str">
        <x:v>门票房进房</x:v>
      </x:c>
      <x:c r="E40" s="5" t="str">
        <x:v>业务流程</x:v>
      </x:c>
      <x:c r="F40" s="5" t="str">
        <x:v>P1</x:v>
      </x:c>
      <x:c r="G40" s="5" t="str">
        <x:v>验证门票房被踢后不退款</x:v>
      </x:c>
      <x:c r="H40" s="5" t="str">
        <x:v>被踢后门票退款</x:v>
      </x:c>
      <x:c r="I40" s="5" t="str">
        <x:v>1. 用户已购买并进入当前门票房
2. 用户金币余额和购票流水已记录</x:v>
      </x:c>
      <x:c r="J40" s="5" t="str">
        <x:v>1. 记录被踢前余额
2. 由主播踢出用户
3. 查看用户金币余额</x:v>
      </x:c>
      <x:c r="K40" s="5" t="str">
        <x:v>已支付门票不退回金币</x:v>
      </x:c>
      <x:c r="L40" s="5" t="str">
        <x:v>FLOW-LIVE-002</x:v>
      </x:c>
      <x:c r="M40" s="5" t="str">
        <x:v>未测</x:v>
      </x:c>
      <x:c r="N40" s="5" t="str"/>
      <x:c r="O40" s="5" t="str">
        <x:v>1. 来源：context/系统概要 .md（当前全局业务规则）
2. 追溯：业务底稿 LIVE-015。
3. 流程：阶段 07：核对被踢后余额；共同业务对象：LIVE-SESSION-T01、USER-T01。
4. 共同业务对象：同一门票房场次和购票资格
5. 流程阶段：被踢后门票退款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41" ht="139.5" customHeight="1">
      <x:c r="A41" s="5" t="n">
        <x:v>40</x:v>
      </x:c>
      <x:c r="B41" s="5" t="str">
        <x:v>LIVE-040</x:v>
      </x:c>
      <x:c r="C41" s="5" t="str">
        <x:v>用户App-直播模块</x:v>
      </x:c>
      <x:c r="D41" s="5" t="str">
        <x:v>门票房进房</x:v>
      </x:c>
      <x:c r="E41" s="5" t="str">
        <x:v>业务流程</x:v>
      </x:c>
      <x:c r="F41" s="5" t="str">
        <x:v>P1</x:v>
      </x:c>
      <x:c r="G41" s="5" t="str">
        <x:v>验证门票房被踢后的消费流水</x:v>
      </x:c>
      <x:c r="H41" s="5" t="str">
        <x:v>被踢后门票流水</x:v>
      </x:c>
      <x:c r="I41" s="5" t="str">
        <x:v>1. 用户已购买并进入当前门票房
2. 用户金币余额和购票流水已记录</x:v>
      </x:c>
      <x:c r="J41" s="5" t="str">
        <x:v>1. 由主播踢出用户
2. 进入金币消费明细
3. 查看原门票流水和退款流水</x:v>
      </x:c>
      <x:c r="K41" s="5" t="str">
        <x:v>用户被踢出后，原购票消费明细保留</x:v>
      </x:c>
      <x:c r="L41" s="5" t="str">
        <x:v>FLOW-LIVE-002</x:v>
      </x:c>
      <x:c r="M41" s="5" t="str">
        <x:v>未测</x:v>
      </x:c>
      <x:c r="N41" s="5" t="str"/>
      <x:c r="O41" s="5" t="str">
        <x:v>1. 来源：context/系统概要 .md（当前全局业务规则）
2. 追溯：业务底稿 LIVE-015。
3. 流程：阶段 08：核对被踢后流水；共同业务对象：LIVE-SESSION-T01、USER-T01。
4. 共同业务对象：同一门票房场次和购票资格
5. 流程阶段：被踢后门票流水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42" ht="139.5" customHeight="1">
      <x:c r="A42" s="5" t="n">
        <x:v>41</x:v>
      </x:c>
      <x:c r="B42" s="5" t="str">
        <x:v>LIVE-041</x:v>
      </x:c>
      <x:c r="C42" s="5" t="str">
        <x:v>用户App-直播模块</x:v>
      </x:c>
      <x:c r="D42" s="5" t="str">
        <x:v>门票房进房</x:v>
      </x:c>
      <x:c r="E42" s="5" t="str">
        <x:v>功能需求</x:v>
      </x:c>
      <x:c r="F42" s="5" t="str">
        <x:v>P2</x:v>
      </x:c>
      <x:c r="G42" s="5" t="str">
        <x:v>验证购买门票成功反馈</x:v>
      </x:c>
      <x:c r="H42" s="5" t="str">
        <x:v>购票成功反馈</x:v>
      </x:c>
      <x:c r="I42" s="5" t="str">
        <x:v>1. 用户未购买当前场次门票
2. 门票价格为 10 金币
3. 用户金币余额不少于 10</x:v>
      </x:c>
      <x:c r="J42" s="5" t="str">
        <x:v>1. 进入目标门票房
2. 确认购买门票</x:v>
      </x:c>
      <x:c r="K42" s="5" t="str">
        <x:v>页面提示“购买门票成功”</x:v>
      </x:c>
      <x:c r="L42" s="5" t="str">
        <x:v>FLOW-LIVE-002</x:v>
      </x:c>
      <x:c r="M42" s="5" t="str">
        <x:v>未测</x:v>
      </x:c>
      <x:c r="N42" s="5" t="str"/>
      <x:c r="O42" s="5" t="str">
        <x:v>1. 来源：prototype/pages/user/live/live-room.html 动态交互脚本
2. 静态分析已确认事件绑定；未在浏览器动态验证
3. 补充原因：业务结果完整性扫描发现独立反馈观察点未覆盖
4. 共同业务对象：同一门票房场次和购票资格
5. 流程阶段：购票成功反馈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43" ht="91.5" customHeight="1">
      <x:c r="A43" s="5" t="n">
        <x:v>42</x:v>
      </x:c>
      <x:c r="B43" s="5" t="str">
        <x:v>LIVE-042</x:v>
      </x:c>
      <x:c r="C43" s="5" t="str">
        <x:v>用户App-直播模块</x:v>
      </x:c>
      <x:c r="D43" s="5" t="str">
        <x:v>门票房进房</x:v>
      </x:c>
      <x:c r="E43" s="5" t="str">
        <x:v>功能需求</x:v>
      </x:c>
      <x:c r="F43" s="5" t="str">
        <x:v>P1</x:v>
      </x:c>
      <x:c r="G43" s="5" t="str">
        <x:v>验证点击门票房打开购票面板</x:v>
      </x:c>
      <x:c r="H43" s="5" t="str">
        <x:v>购买门票面板</x:v>
      </x:c>
      <x:c r="I43" s="5" t="str">
        <x:v>1. 广场存在 Maya 的门票房</x:v>
      </x:c>
      <x:c r="J43" s="5" t="str">
        <x:v>1. 点击 Maya 的门票房卡片</x:v>
      </x:c>
      <x:c r="K43" s="5" t="str">
        <x:v>页面底部打开“购买门票”面板</x:v>
      </x:c>
      <x:c r="L43" s="5" t="str"/>
      <x:c r="M43" s="5" t="str">
        <x:v>未测</x:v>
      </x:c>
      <x:c r="N43" s="5" t="str"/>
      <x:c r="O43" s="5" t="str">
        <x:v>1. 来源：prototype/pages/user/home/live-plaza.html 与当页交互脚本；未动态验证
2. 同步追溯：work/liveshow-user-live-testcases-260831-004/prototype-context-sync-result.json；RSL-0002、RSL-0003
3. 全局证据追溯：work/liveshow-user-live-testcases-260831-004/global-evidence-scan-result.json；扫描模式 incremental</x:v>
      </x:c>
    </x:row>
    <x:row r="44" ht="91.5" customHeight="1">
      <x:c r="A44" s="5" t="n">
        <x:v>43</x:v>
      </x:c>
      <x:c r="B44" s="5" t="str">
        <x:v>LIVE-043</x:v>
      </x:c>
      <x:c r="C44" s="5" t="str">
        <x:v>用户App-直播模块</x:v>
      </x:c>
      <x:c r="D44" s="5" t="str">
        <x:v>门票房进房</x:v>
      </x:c>
      <x:c r="E44" s="5" t="str">
        <x:v>功能需求</x:v>
      </x:c>
      <x:c r="F44" s="5" t="str">
        <x:v>P1</x:v>
      </x:c>
      <x:c r="G44" s="5" t="str">
        <x:v>验证购票面板显示房间与价格</x:v>
      </x:c>
      <x:c r="H44" s="5" t="str">
        <x:v>购票房间与价格</x:v>
      </x:c>
      <x:c r="I44" s="5" t="str">
        <x:v>1. Maya 的购票面板已打开</x:v>
      </x:c>
      <x:c r="J44" s="5" t="str">
        <x:v>1. 查看门票商品信息</x:v>
      </x:c>
      <x:c r="K44" s="5" t="str">
        <x:v>面板展示“Maya 的专场”、“入场门票 × 1”和对应金币价格</x:v>
      </x:c>
      <x:c r="L44" s="5" t="str"/>
      <x:c r="M44" s="5" t="str">
        <x:v>未测</x:v>
      </x:c>
      <x:c r="N44" s="5" t="str"/>
      <x:c r="O44" s="5" t="str">
        <x:v>1. 来源：prototype/pages/user/home/live-plaza.html 与当页交互脚本；未动态验证
2. 同步追溯：work/liveshow-user-live-testcases-260831-004/prototype-context-sync-result.json；RSL-0002、RSL-0003
3. 全局证据追溯：work/liveshow-user-live-testcases-260831-004/global-evidence-scan-result.json；扫描模式 incremental</x:v>
      </x:c>
    </x:row>
    <x:row r="45" ht="103.5" customHeight="1">
      <x:c r="A45" s="5" t="n">
        <x:v>44</x:v>
      </x:c>
      <x:c r="B45" s="5" t="str">
        <x:v>LIVE-044</x:v>
      </x:c>
      <x:c r="C45" s="5" t="str">
        <x:v>用户App-直播模块</x:v>
      </x:c>
      <x:c r="D45" s="5" t="str">
        <x:v>门票房进房</x:v>
      </x:c>
      <x:c r="E45" s="5" t="str">
        <x:v>功能需求</x:v>
      </x:c>
      <x:c r="F45" s="5" t="str">
        <x:v>P2</x:v>
      </x:c>
      <x:c r="G45" s="5" t="str">
        <x:v>验证购票面板的充值入口</x:v>
      </x:c>
      <x:c r="H45" s="5" t="str">
        <x:v>购票面板充值入口点击反馈</x:v>
      </x:c>
      <x:c r="I45" s="5" t="str">
        <x:v>1. 购票面板已打开</x:v>
      </x:c>
      <x:c r="J45" s="5" t="str">
        <x:v>1. 点击金币余额旁的充值按钮</x:v>
      </x:c>
      <x:c r="K45" s="5" t="str">
        <x:v>页面提示“打开充值”</x:v>
      </x:c>
      <x:c r="L45" s="5" t="str"/>
      <x:c r="M45" s="5" t="str">
        <x:v>未测</x:v>
      </x:c>
      <x:c r="N45" s="5" t="str"/>
      <x:c r="O45" s="5" t="str">
        <x:v>1. 来源：prototype/pages/user/home/live-plaza.html 与当页交互脚本；未动态验证
2. 同步追溯：work/liveshow-user-live-testcases-260831-004/prototype-context-sync-result.json；RSL-0002、RSL-0003
3. 全局证据追溯：work/liveshow-user-live-testcases-260831-004/global-evidence-scan-result.json；扫描模式 incremental
4. 命名修复：补充页面、状态或动作，消除重复标题和重复验证点名称；业务步骤与预期结果未变</x:v>
      </x:c>
    </x:row>
    <x:row r="46" ht="91.5" customHeight="1">
      <x:c r="A46" s="5" t="n">
        <x:v>45</x:v>
      </x:c>
      <x:c r="B46" s="5" t="str">
        <x:v>LIVE-045</x:v>
      </x:c>
      <x:c r="C46" s="5" t="str">
        <x:v>用户App-直播模块</x:v>
      </x:c>
      <x:c r="D46" s="5" t="str">
        <x:v>门票房进房</x:v>
      </x:c>
      <x:c r="E46" s="5" t="str">
        <x:v>功能需求</x:v>
      </x:c>
      <x:c r="F46" s="5" t="str">
        <x:v>P2</x:v>
      </x:c>
      <x:c r="G46" s="5" t="str">
        <x:v>验证关闭购票面板不进入房间</x:v>
      </x:c>
      <x:c r="H46" s="5" t="str">
        <x:v>取消购票</x:v>
      </x:c>
      <x:c r="I46" s="5" t="str">
        <x:v>1. 购票面板已打开</x:v>
      </x:c>
      <x:c r="J46" s="5" t="str">
        <x:v>1. 点击关闭按钮</x:v>
      </x:c>
      <x:c r="K46" s="5" t="str">
        <x:v>购票面板关闭</x:v>
      </x:c>
      <x:c r="L46" s="5" t="str"/>
      <x:c r="M46" s="5" t="str">
        <x:v>未测</x:v>
      </x:c>
      <x:c r="N46" s="5" t="str"/>
      <x:c r="O46" s="5" t="str">
        <x:v>1. 来源：prototype/pages/user/home/live-plaza.html 与当页交互脚本；未动态验证
2. 同步追溯：work/liveshow-user-live-testcases-260831-004/prototype-context-sync-result.json；RSL-0002、RSL-0003
3. 全局证据追溯：work/liveshow-user-live-testcases-260831-004/global-evidence-scan-result.json；扫描模式 incremental</x:v>
      </x:c>
    </x:row>
    <x:row r="47" ht="91.5" customHeight="1">
      <x:c r="A47" s="5" t="n">
        <x:v>46</x:v>
      </x:c>
      <x:c r="B47" s="5" t="str">
        <x:v>LIVE-046</x:v>
      </x:c>
      <x:c r="C47" s="5" t="str">
        <x:v>用户App-直播模块</x:v>
      </x:c>
      <x:c r="D47" s="5" t="str">
        <x:v>门票房进房</x:v>
      </x:c>
      <x:c r="E47" s="5" t="str">
        <x:v>功能需求</x:v>
      </x:c>
      <x:c r="F47" s="5" t="str">
        <x:v>P2</x:v>
      </x:c>
      <x:c r="G47" s="5" t="str">
        <x:v>验证取消购票后不进入直播间</x:v>
      </x:c>
      <x:c r="H47" s="5" t="str">
        <x:v>取消购票进房结果</x:v>
      </x:c>
      <x:c r="I47" s="5" t="str">
        <x:v>1. 购票面板已打开</x:v>
      </x:c>
      <x:c r="J47" s="5" t="str">
        <x:v>1. 点击关闭按钮</x:v>
      </x:c>
      <x:c r="K47" s="5" t="str">
        <x:v>用户不进入目标门票房</x:v>
      </x:c>
      <x:c r="L47" s="5" t="str"/>
      <x:c r="M47" s="5" t="str">
        <x:v>未测</x:v>
      </x:c>
      <x:c r="N47" s="5" t="str"/>
      <x:c r="O47" s="5" t="str">
        <x:v>1. 来源：prototype/pages/user/home/live-plaza.html 与当页交互脚本；未动态验证
2. 同步追溯：work/liveshow-user-live-testcases-260831-004/prototype-context-sync-result.json；RSL-0002、RSL-0003
3. 全局证据追溯：work/liveshow-user-live-testcases-260831-004/global-evidence-scan-result.json；扫描模式 incremental</x:v>
      </x:c>
    </x:row>
    <x:row r="48" ht="141" customHeight="1">
      <x:c r="A48" s="5" t="n">
        <x:v>47</x:v>
      </x:c>
      <x:c r="B48" s="5" t="str">
        <x:v>LIVE-047</x:v>
      </x:c>
      <x:c r="C48" s="5" t="str">
        <x:v>用户App-直播模块</x:v>
      </x:c>
      <x:c r="D48" s="5" t="str">
        <x:v>密码房进房</x:v>
      </x:c>
      <x:c r="E48" s="5" t="str">
        <x:v>业务流程</x:v>
      </x:c>
      <x:c r="F48" s="5" t="str">
        <x:v>P0</x:v>
      </x:c>
      <x:c r="G48" s="5" t="str">
        <x:v>验证用户输入有效密码进入密码房</x:v>
      </x:c>
      <x:c r="H48" s="5" t="str">
        <x:v>有效密码进房</x:v>
      </x:c>
      <x:c r="I48" s="5" t="str">
        <x:v>1. 密码房灰度开关已开启
2. 目标密码房正在直播
3. 用户已获得当前房间密码</x:v>
      </x:c>
      <x:c r="J48" s="5" t="str">
        <x:v>1. 点击目标密码房入口
2. 输入当前房间密码
3. 点击“进入直播间”</x:v>
      </x:c>
      <x:c r="K48" s="5" t="str">
        <x:v>当前密码验证通过后进入目标密码房</x:v>
      </x:c>
      <x:c r="L48" s="5" t="str">
        <x:v>FLOW-LIVE-003</x:v>
      </x:c>
      <x:c r="M48" s="5" t="str">
        <x:v>未测</x:v>
      </x:c>
      <x:c r="N48" s="5" t="str"/>
      <x:c r="O48" s="5" t="str">
        <x:v>1. 来源：context/01-用户主播App-项目需求清单.md
2. 来源：prototype/assets/annotations.js
3. 来源：对应 HTML 静态原型；未动态验证
4. 追溯：业务底稿 LIVE-016。
5. 流程：阶段 02：观众使用当前密码进房；共同业务对象：LIVE-SESSION-P01、USER-P01。
6. 共同业务对象：同一密码房场次
7. 流程阶段：有效密码进房
8. 同步追溯：work/liveshow-user-live-testcases-260831-004/prototype-context-sync-result.json；RSL-0002、RSL-0003
9. 全局证据追溯：work/liveshow-user-live-testcases-260831-004/global-evidence-scan-result.json；扫描模式 incremental</x:v>
      </x:c>
    </x:row>
    <x:row r="49" ht="103.5" customHeight="1">
      <x:c r="A49" s="5" t="n">
        <x:v>48</x:v>
      </x:c>
      <x:c r="B49" s="5" t="str">
        <x:v>LIVE-048</x:v>
      </x:c>
      <x:c r="C49" s="5" t="str">
        <x:v>用户App-直播模块</x:v>
      </x:c>
      <x:c r="D49" s="5" t="str">
        <x:v>密码房进房</x:v>
      </x:c>
      <x:c r="E49" s="5" t="str">
        <x:v>异常用例</x:v>
      </x:c>
      <x:c r="F49" s="5" t="str">
        <x:v>P1</x:v>
      </x:c>
      <x:c r="G49" s="5" t="str">
        <x:v>验证错误密码无法进入直播间</x:v>
      </x:c>
      <x:c r="H49" s="5" t="str">
        <x:v>错误密码进房拦截</x:v>
      </x:c>
      <x:c r="I49" s="5" t="str">
        <x:v>1. 目标密码房正在直播</x:v>
      </x:c>
      <x:c r="J49" s="5" t="str">
        <x:v>1. 点击目标密码房入口
2. 输入与当前密码不一致的内容
3. 点击“进入直播间”</x:v>
      </x:c>
      <x:c r="K49" s="5" t="str">
        <x:v>页面不进入直播间</x:v>
      </x:c>
      <x:c r="L49" s="5" t="str"/>
      <x:c r="M49" s="5" t="str">
        <x:v>未测</x:v>
      </x:c>
      <x:c r="N49" s="5" t="str"/>
      <x:c r="O49" s="5" t="str">
        <x:v>1. 来源：context/01-用户主播App-项目需求清单.md
2. 来源：对应 HTML 静态原型；未动态验证
3. 追溯：业务底稿 LIVE-017。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50" ht="103.5" customHeight="1">
      <x:c r="A50" s="5" t="n">
        <x:v>49</x:v>
      </x:c>
      <x:c r="B50" s="5" t="str">
        <x:v>LIVE-049</x:v>
      </x:c>
      <x:c r="C50" s="5" t="str">
        <x:v>用户App-直播模块</x:v>
      </x:c>
      <x:c r="D50" s="5" t="str">
        <x:v>密码房进房</x:v>
      </x:c>
      <x:c r="E50" s="5" t="str">
        <x:v>异常用例</x:v>
      </x:c>
      <x:c r="F50" s="5" t="str">
        <x:v>P1</x:v>
      </x:c>
      <x:c r="G50" s="5" t="str">
        <x:v>验证错误密码校验提示</x:v>
      </x:c>
      <x:c r="H50" s="5" t="str">
        <x:v>错误密码提示</x:v>
      </x:c>
      <x:c r="I50" s="5" t="str">
        <x:v>1. 目标密码房正在直播</x:v>
      </x:c>
      <x:c r="J50" s="5" t="str">
        <x:v>1. 点击目标密码房入口
2. 输入与当前密码不一致的内容
3. 点击“进入直播间”</x:v>
      </x:c>
      <x:c r="K50" s="5" t="str">
        <x:v>密码输入区域显示“密码错误，请重新输入”</x:v>
      </x:c>
      <x:c r="L50" s="5" t="str"/>
      <x:c r="M50" s="5" t="str">
        <x:v>未测</x:v>
      </x:c>
      <x:c r="N50" s="5" t="str"/>
      <x:c r="O50" s="5" t="str">
        <x:v>1. 来源：context/01-用户主播App-项目需求清单.md
2. 来源：对应 HTML 静态原型；未动态验证
3. 追溯：业务底稿 LIVE-017。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51" ht="103.5" customHeight="1">
      <x:c r="A51" s="5" t="n">
        <x:v>50</x:v>
      </x:c>
      <x:c r="B51" s="5" t="str">
        <x:v>LIVE-050</x:v>
      </x:c>
      <x:c r="C51" s="5" t="str">
        <x:v>用户App-直播模块</x:v>
      </x:c>
      <x:c r="D51" s="5" t="str">
        <x:v>密码房进房</x:v>
      </x:c>
      <x:c r="E51" s="5" t="str">
        <x:v>功能需求</x:v>
      </x:c>
      <x:c r="F51" s="5" t="str">
        <x:v>P2</x:v>
      </x:c>
      <x:c r="G51" s="5" t="str">
        <x:v>验证关闭密码输入后取消进房</x:v>
      </x:c>
      <x:c r="H51" s="5" t="str">
        <x:v>取消密码输入</x:v>
      </x:c>
      <x:c r="I51" s="5" t="str">
        <x:v>1. 密码输入面板已打开</x:v>
      </x:c>
      <x:c r="J51" s="5" t="str">
        <x:v>1. 填写任意密码
2. 点击关闭按钮</x:v>
      </x:c>
      <x:c r="K51" s="5" t="str">
        <x:v>密码输入面板关闭</x:v>
      </x:c>
      <x:c r="L51" s="5" t="str"/>
      <x:c r="M51" s="5" t="str">
        <x:v>未测</x:v>
      </x:c>
      <x:c r="N51" s="5" t="str"/>
      <x:c r="O51" s="5" t="str">
        <x:v>1. 来源：prototype/Luma Live-原型说明.md
2. 来源：对应 HTML 静态原型；未动态验证
3. 追溯：业务底稿 LIVE-018。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52" ht="139.5" customHeight="1">
      <x:c r="A52" s="5" t="n">
        <x:v>51</x:v>
      </x:c>
      <x:c r="B52" s="5" t="str">
        <x:v>LIVE-051</x:v>
      </x:c>
      <x:c r="C52" s="5" t="str">
        <x:v>用户App-直播模块</x:v>
      </x:c>
      <x:c r="D52" s="5" t="str">
        <x:v>密码房进房</x:v>
      </x:c>
      <x:c r="E52" s="5" t="str">
        <x:v>逻辑校验</x:v>
      </x:c>
      <x:c r="F52" s="5" t="str">
        <x:v>P1</x:v>
      </x:c>
      <x:c r="G52" s="5" t="str">
        <x:v>验证重置密码后旧密码失效</x:v>
      </x:c>
      <x:c r="H52" s="5" t="str">
        <x:v>旧密码失效</x:v>
      </x:c>
      <x:c r="I52" s="5" t="str">
        <x:v>1. 目标密码房正在直播
2. 主播已将房间密码从旧值重置为新值</x:v>
      </x:c>
      <x:c r="J52" s="5" t="str">
        <x:v>1. 使用旧密码尝试进入</x:v>
      </x:c>
      <x:c r="K52" s="5" t="str">
        <x:v>修改密码后，旧密码验证失败</x:v>
      </x:c>
      <x:c r="L52" s="5" t="str">
        <x:v>FLOW-LIVE-003</x:v>
      </x:c>
      <x:c r="M52" s="5" t="str">
        <x:v>未测</x:v>
      </x:c>
      <x:c r="N52" s="5" t="str"/>
      <x:c r="O52" s="5" t="str">
        <x:v>1. 来源：context/系统概要 .md（当前全局业务规则）
2. 追溯：业务底稿 LIVE-019。
3. 流程：阶段 04：观众使用旧密码验证；共同业务对象：LIVE-SESSION-P01、USER-P01。
4. 共同业务对象：同一密码房场次
5. 流程阶段：旧密码失效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53" ht="139.5" customHeight="1">
      <x:c r="A53" s="5" t="n">
        <x:v>52</x:v>
      </x:c>
      <x:c r="B53" s="5" t="str">
        <x:v>LIVE-052</x:v>
      </x:c>
      <x:c r="C53" s="5" t="str">
        <x:v>用户App-直播模块</x:v>
      </x:c>
      <x:c r="D53" s="5" t="str">
        <x:v>密码房进房</x:v>
      </x:c>
      <x:c r="E53" s="5" t="str">
        <x:v>逻辑校验</x:v>
      </x:c>
      <x:c r="F53" s="5" t="str">
        <x:v>P1</x:v>
      </x:c>
      <x:c r="G53" s="5" t="str">
        <x:v>验证重置密码后新密码生效</x:v>
      </x:c>
      <x:c r="H53" s="5" t="str">
        <x:v>新密码生效</x:v>
      </x:c>
      <x:c r="I53" s="5" t="str">
        <x:v>1. 目标密码房正在直播
2. 主播已将房间密码从旧值重置为新值</x:v>
      </x:c>
      <x:c r="J53" s="5" t="str">
        <x:v>1. 使用新密码尝试进入</x:v>
      </x:c>
      <x:c r="K53" s="5" t="str">
        <x:v>修改密码后，新密码验证通过</x:v>
      </x:c>
      <x:c r="L53" s="5" t="str">
        <x:v>FLOW-LIVE-003</x:v>
      </x:c>
      <x:c r="M53" s="5" t="str">
        <x:v>未测</x:v>
      </x:c>
      <x:c r="N53" s="5" t="str"/>
      <x:c r="O53" s="5" t="str">
        <x:v>1. 来源：context/系统概要 .md（当前全局业务规则）
2. 追溯：业务底稿 LIVE-019。
3. 流程：阶段 05：观众使用新密码验证；共同业务对象：LIVE-SESSION-P01、USER-P01。
4. 共同业务对象：同一密码房场次
5. 流程阶段：新密码生效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54" ht="115.5" customHeight="1">
      <x:c r="A54" s="5" t="n">
        <x:v>53</x:v>
      </x:c>
      <x:c r="B54" s="5" t="str">
        <x:v>LIVE-053</x:v>
      </x:c>
      <x:c r="C54" s="5" t="str">
        <x:v>用户App-直播模块</x:v>
      </x:c>
      <x:c r="D54" s="5" t="str">
        <x:v>密码房进房</x:v>
      </x:c>
      <x:c r="E54" s="5" t="str">
        <x:v>逻辑校验</x:v>
      </x:c>
      <x:c r="F54" s="5" t="str">
        <x:v>P1</x:v>
      </x:c>
      <x:c r="G54" s="5" t="str">
        <x:v>验证隐藏展示入口不绕过密码校验</x:v>
      </x:c>
      <x:c r="H54" s="5" t="str">
        <x:v>隐藏房间仍校验密码</x:v>
      </x:c>
      <x:c r="I54" s="5" t="str">
        <x:v>1. 主播关闭密码房的广场展示
2. 用户通过已知房间号找到该房间</x:v>
      </x:c>
      <x:c r="J54" s="5" t="str">
        <x:v>1. 点击房间号对应的密码房入口</x:v>
      </x:c>
      <x:c r="K54" s="5" t="str">
        <x:v>从房间号入口打开隐藏密码房时仍需验证房间密码</x:v>
      </x:c>
      <x:c r="L54" s="5" t="str"/>
      <x:c r="M54" s="5" t="str">
        <x:v>未测</x:v>
      </x:c>
      <x:c r="N54" s="5" t="str"/>
      <x:c r="O54" s="5" t="str">
        <x:v>1. 来源：context/系统概要 .md（当前全局业务规则）
2. 来源：prototype/assets/annotations.js
3. 追溯：业务底稿 LIVE-020。
4. 质量修正：按 RCL-0018 执行最小前置条件和单分支检查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55" ht="91.5" customHeight="1">
      <x:c r="A55" s="5" t="n">
        <x:v>54</x:v>
      </x:c>
      <x:c r="B55" s="5" t="str">
        <x:v>LIVE-054</x:v>
      </x:c>
      <x:c r="C55" s="5" t="str">
        <x:v>用户App-直播模块</x:v>
      </x:c>
      <x:c r="D55" s="5" t="str">
        <x:v>密码房进房</x:v>
      </x:c>
      <x:c r="E55" s="5" t="str">
        <x:v>功能需求</x:v>
      </x:c>
      <x:c r="F55" s="5" t="str">
        <x:v>P1</x:v>
      </x:c>
      <x:c r="G55" s="5" t="str">
        <x:v>验证点击密码房打开密码面板</x:v>
      </x:c>
      <x:c r="H55" s="5" t="str">
        <x:v>密码输入面板</x:v>
      </x:c>
      <x:c r="I55" s="5" t="str">
        <x:v>1. 广场存在可见密码房</x:v>
      </x:c>
      <x:c r="J55" s="5" t="str">
        <x:v>1. 点击目标密码房卡片</x:v>
      </x:c>
      <x:c r="K55" s="5" t="str">
        <x:v>页面打开“输入房间密码”面板</x:v>
      </x:c>
      <x:c r="L55" s="5" t="str"/>
      <x:c r="M55" s="5" t="str">
        <x:v>未测</x:v>
      </x:c>
      <x:c r="N55" s="5" t="str"/>
      <x:c r="O55" s="5" t="str">
        <x:v>1. 来源：prototype/pages/user/home/live-plaza.html 与当页交互脚本；未动态验证
2. 同步追溯：work/liveshow-user-live-testcases-260831-004/prototype-context-sync-result.json；RSL-0002、RSL-0003
3. 全局证据追溯：work/liveshow-user-live-testcases-260831-004/global-evidence-scan-result.json；扫描模式 incremental</x:v>
      </x:c>
    </x:row>
    <x:row r="56" ht="91.5" customHeight="1">
      <x:c r="A56" s="5" t="n">
        <x:v>55</x:v>
      </x:c>
      <x:c r="B56" s="5" t="str">
        <x:v>LIVE-055</x:v>
      </x:c>
      <x:c r="C56" s="5" t="str">
        <x:v>用户App-直播模块</x:v>
      </x:c>
      <x:c r="D56" s="5" t="str">
        <x:v>密码房进房</x:v>
      </x:c>
      <x:c r="E56" s="5" t="str">
        <x:v>功能需求</x:v>
      </x:c>
      <x:c r="F56" s="5" t="str">
        <x:v>P2</x:v>
      </x:c>
      <x:c r="G56" s="5" t="str">
        <x:v>验证密码面板显示目标房间</x:v>
      </x:c>
      <x:c r="H56" s="5" t="str">
        <x:v>密码面板房间信息</x:v>
      </x:c>
      <x:c r="I56" s="5" t="str">
        <x:v>1. Dewi 的密码面板已打开</x:v>
      </x:c>
      <x:c r="J56" s="5" t="str">
        <x:v>1. 查看密码面板房间信息</x:v>
      </x:c>
      <x:c r="K56" s="5" t="str">
        <x:v>密码面板展示 Dewi 的昵称和直播标题</x:v>
      </x:c>
      <x:c r="L56" s="5" t="str"/>
      <x:c r="M56" s="5" t="str">
        <x:v>未测</x:v>
      </x:c>
      <x:c r="N56" s="5" t="str"/>
      <x:c r="O56" s="5" t="str">
        <x:v>1. 来源：prototype/pages/user/home/live-plaza.html 与当页交互脚本；未动态验证
2. 同步追溯：work/liveshow-user-live-testcases-260831-004/prototype-context-sync-result.json；RSL-0002、RSL-0003
3. 全局证据追溯：work/liveshow-user-live-testcases-260831-004/global-evidence-scan-result.json；扫描模式 incremental</x:v>
      </x:c>
    </x:row>
    <x:row r="57" ht="91.5" customHeight="1">
      <x:c r="A57" s="5" t="n">
        <x:v>56</x:v>
      </x:c>
      <x:c r="B57" s="5" t="str">
        <x:v>LIVE-056</x:v>
      </x:c>
      <x:c r="C57" s="5" t="str">
        <x:v>用户App-直播模块</x:v>
      </x:c>
      <x:c r="D57" s="5" t="str">
        <x:v>密码房进房</x:v>
      </x:c>
      <x:c r="E57" s="5" t="str">
        <x:v>逻辑校验</x:v>
      </x:c>
      <x:c r="F57" s="5" t="str">
        <x:v>P1</x:v>
      </x:c>
      <x:c r="G57" s="5" t="str">
        <x:v>验证空密码时进房按钮不可用</x:v>
      </x:c>
      <x:c r="H57" s="5" t="str">
        <x:v>空密码按钮状态</x:v>
      </x:c>
      <x:c r="I57" s="5" t="str">
        <x:v>1. 密码面板已打开</x:v>
      </x:c>
      <x:c r="J57" s="5" t="str">
        <x:v>1. 保持密码输入框为空
2. 查看“进入直播间”按钮</x:v>
      </x:c>
      <x:c r="K57" s="5" t="str">
        <x:v>“进入直播间”按钮保持不可用</x:v>
      </x:c>
      <x:c r="L57" s="5" t="str"/>
      <x:c r="M57" s="5" t="str">
        <x:v>未测</x:v>
      </x:c>
      <x:c r="N57" s="5" t="str"/>
      <x:c r="O57" s="5" t="str">
        <x:v>1. 来源：prototype/pages/user/home/live-plaza.html 与当页交互脚本；未动态验证
2. 同步追溯：work/liveshow-user-live-testcases-260831-004/prototype-context-sync-result.json；RSL-0002、RSL-0003
3. 全局证据追溯：work/liveshow-user-live-testcases-260831-004/global-evidence-scan-result.json；扫描模式 incremental</x:v>
      </x:c>
    </x:row>
    <x:row r="58" ht="115.5" customHeight="1">
      <x:c r="A58" s="5" t="n">
        <x:v>57</x:v>
      </x:c>
      <x:c r="B58" s="5" t="str">
        <x:v>LIVE-057</x:v>
      </x:c>
      <x:c r="C58" s="5" t="str">
        <x:v>用户App-直播模块</x:v>
      </x:c>
      <x:c r="D58" s="5" t="str">
        <x:v>密码房进房</x:v>
      </x:c>
      <x:c r="E58" s="5" t="str">
        <x:v>逻辑校验</x:v>
      </x:c>
      <x:c r="F58" s="5" t="str">
        <x:v>P1</x:v>
      </x:c>
      <x:c r="G58" s="5" t="str">
        <x:v>验证进房密码输入上限</x:v>
      </x:c>
      <x:c r="H58" s="5" t="str">
        <x:v>进房密码 8 位上限</x:v>
      </x:c>
      <x:c r="I58" s="5" t="str">
        <x:v>1. 密码面板已打开</x:v>
      </x:c>
      <x:c r="J58" s="5" t="str">
        <x:v>1. 在密码输入框输入超过 8 位的内容</x:v>
      </x:c>
      <x:c r="K58" s="5" t="str">
        <x:v>密码输入框最多保留 8 位内容</x:v>
      </x:c>
      <x:c r="L58" s="5" t="str"/>
      <x:c r="M58" s="5" t="str">
        <x:v>未测</x:v>
      </x:c>
      <x:c r="N58" s="5" t="str"/>
      <x:c r="O58" s="5" t="str">
        <x:v>1. 来源：context/01-用户主播App-项目需求清单.md（2026-08-29 按原型同步，RSL-0002）
2. 来源：prototype/pages/user/home/live-plaza.html 与当页交互脚本；未动态验证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59" ht="127.5" customHeight="1">
      <x:c r="A59" s="5" t="n">
        <x:v>58</x:v>
      </x:c>
      <x:c r="B59" s="5" t="str">
        <x:v>LIVE-058</x:v>
      </x:c>
      <x:c r="C59" s="5" t="str">
        <x:v>用户App-直播模块</x:v>
      </x:c>
      <x:c r="D59" s="5" t="str">
        <x:v>密码房进房</x:v>
      </x:c>
      <x:c r="E59" s="5" t="str">
        <x:v>逻辑校验</x:v>
      </x:c>
      <x:c r="F59" s="5" t="str">
        <x:v>P1</x:v>
      </x:c>
      <x:c r="G59" s="5" t="str">
        <x:v>验证粉丝授权入口不绕过密码校验</x:v>
      </x:c>
      <x:c r="H59" s="5" t="str">
        <x:v>粉丝授权入口仍校验密码</x:v>
      </x:c>
      <x:c r="I59" s="5" t="str">
        <x:v>1. 主播关闭密码房的广场展示
2. 当前用户在主播授权可见的粉丝名单中</x:v>
      </x:c>
      <x:c r="J59" s="5" t="str">
        <x:v>1. 从粉丝授权入口打开目标密码房</x:v>
      </x:c>
      <x:c r="K59" s="5" t="str">
        <x:v>从粉丝授权入口打开隐藏密码房时仍需验证房间密码</x:v>
      </x:c>
      <x:c r="L59" s="5" t="str"/>
      <x:c r="M59" s="5" t="str">
        <x:v>未测</x:v>
      </x:c>
      <x:c r="N59" s="5" t="str"/>
      <x:c r="O59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60" ht="103.5" customHeight="1">
      <x:c r="A60" s="5" t="n">
        <x:v>59</x:v>
      </x:c>
      <x:c r="B60" s="5" t="str">
        <x:v>LIVE-059</x:v>
      </x:c>
      <x:c r="C60" s="5" t="str">
        <x:v>用户App-直播模块</x:v>
      </x:c>
      <x:c r="D60" s="5" t="str">
        <x:v>观众互动</x:v>
      </x:c>
      <x:c r="E60" s="5" t="str">
        <x:v>功能需求</x:v>
      </x:c>
      <x:c r="F60" s="5" t="str">
        <x:v>P1</x:v>
      </x:c>
      <x:c r="G60" s="5" t="str">
        <x:v>验证观众关注直播中的主播</x:v>
      </x:c>
      <x:c r="H60" s="5" t="str">
        <x:v>直播间关注主播</x:v>
      </x:c>
      <x:c r="I60" s="5" t="str">
        <x:v>1. 用户正在观看直播
2. 用户尚未关注当前主播</x:v>
      </x:c>
      <x:c r="J60" s="5" t="str">
        <x:v>1. 点击主播信息区域的关注按钮</x:v>
      </x:c>
      <x:c r="K60" s="5" t="str">
        <x:v>当前用户与主播建立关注关系</x:v>
      </x:c>
      <x:c r="L60" s="5" t="str"/>
      <x:c r="M60" s="5" t="str">
        <x:v>未测</x:v>
      </x:c>
      <x:c r="N60" s="5" t="str"/>
      <x:c r="O60" s="5" t="str">
        <x:v>1. 来源：context/01-用户主播App-项目需求清单.md
2. 来源：对应 HTML 静态原型；未动态验证
3. 追溯：业务底稿 LIVE-021。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61" ht="115.5" customHeight="1">
      <x:c r="A61" s="5" t="n">
        <x:v>60</x:v>
      </x:c>
      <x:c r="B61" s="5" t="str">
        <x:v>LIVE-060</x:v>
      </x:c>
      <x:c r="C61" s="5" t="str">
        <x:v>用户App-直播模块</x:v>
      </x:c>
      <x:c r="D61" s="5" t="str">
        <x:v>观众互动</x:v>
      </x:c>
      <x:c r="E61" s="5" t="str">
        <x:v>业务流程</x:v>
      </x:c>
      <x:c r="F61" s="5" t="str">
        <x:v>P1</x:v>
      </x:c>
      <x:c r="G61" s="5" t="str">
        <x:v>验证公屏文字消息展示</x:v>
      </x:c>
      <x:c r="H61" s="5" t="str">
        <x:v>公屏文字展示</x:v>
      </x:c>
      <x:c r="I61" s="5" t="str">
        <x:v>1. 用户已进入直播间
2. 用户未被禁言
3. 用户账号未被平台封禁</x:v>
      </x:c>
      <x:c r="J61" s="5" t="str">
        <x:v>1. 在评论框输入“今晚的歌很好听”
2. 点击“发送”</x:v>
      </x:c>
      <x:c r="K61" s="5" t="str">
        <x:v>公屏新增当前用户发送的文字消息</x:v>
      </x:c>
      <x:c r="L61" s="5" t="str"/>
      <x:c r="M61" s="5" t="str">
        <x:v>未测</x:v>
      </x:c>
      <x:c r="N61" s="5" t="str"/>
      <x:c r="O61" s="5" t="str">
        <x:v>1. 来源：context/01-用户主播App-项目需求清单.md
2. 来源：对应 HTML 静态原型；未动态验证
3. 追溯：业务底稿 LIVE-022。
4. 质量修正：按 RCL-0018 执行最小前置条件和单分支检查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62" ht="115.5" customHeight="1">
      <x:c r="A62" s="5" t="n">
        <x:v>61</x:v>
      </x:c>
      <x:c r="B62" s="5" t="str">
        <x:v>LIVE-061</x:v>
      </x:c>
      <x:c r="C62" s="5" t="str">
        <x:v>用户App-直播模块</x:v>
      </x:c>
      <x:c r="D62" s="5" t="str">
        <x:v>观众互动</x:v>
      </x:c>
      <x:c r="E62" s="5" t="str">
        <x:v>业务流程</x:v>
      </x:c>
      <x:c r="F62" s="5" t="str">
        <x:v>P1</x:v>
      </x:c>
      <x:c r="G62" s="5" t="str">
        <x:v>验证消息发送后的输入区状态</x:v>
      </x:c>
      <x:c r="H62" s="5" t="str">
        <x:v>发送后输入区复位</x:v>
      </x:c>
      <x:c r="I62" s="5" t="str">
        <x:v>1. 用户已进入直播间
2. 用户未被禁言
3. 用户账号未被平台封禁</x:v>
      </x:c>
      <x:c r="J62" s="5" t="str">
        <x:v>1. 在评论框输入“今晚的歌很好听”
2. 点击“发送”</x:v>
      </x:c>
      <x:c r="K62" s="5" t="str">
        <x:v>公屏消息发送成功后输入框清空</x:v>
      </x:c>
      <x:c r="L62" s="5" t="str"/>
      <x:c r="M62" s="5" t="str">
        <x:v>未测</x:v>
      </x:c>
      <x:c r="N62" s="5" t="str"/>
      <x:c r="O62" s="5" t="str">
        <x:v>1. 来源：context/01-用户主播App-项目需求清单.md
2. 来源：对应 HTML 静态原型；未动态验证
3. 追溯：业务底稿 LIVE-022。
4. 质量修正：按 RCL-0018 执行最小前置条件和单分支检查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63" ht="91.5" customHeight="1">
      <x:c r="A63" s="5" t="n">
        <x:v>62</x:v>
      </x:c>
      <x:c r="B63" s="5" t="str">
        <x:v>LIVE-062</x:v>
      </x:c>
      <x:c r="C63" s="5" t="str">
        <x:v>用户App-直播模块</x:v>
      </x:c>
      <x:c r="D63" s="5" t="str">
        <x:v>观众互动</x:v>
      </x:c>
      <x:c r="E63" s="5" t="str">
        <x:v>逻辑校验</x:v>
      </x:c>
      <x:c r="F63" s="5" t="str">
        <x:v>P2</x:v>
      </x:c>
      <x:c r="G63" s="5" t="str">
        <x:v>验证空白评论不能发送</x:v>
      </x:c>
      <x:c r="H63" s="5" t="str">
        <x:v>空白评论拦截</x:v>
      </x:c>
      <x:c r="I63" s="5" t="str">
        <x:v>1. 用户已进入直播间且可发言</x:v>
      </x:c>
      <x:c r="J63" s="5" t="str">
        <x:v>1. 在评论框输入空格
2. 观察发送按钮
3. 尝试提交</x:v>
      </x:c>
      <x:c r="K63" s="5" t="str">
        <x:v>输入空白内容时公屏不新增消息</x:v>
      </x:c>
      <x:c r="L63" s="5" t="str"/>
      <x:c r="M63" s="5" t="str">
        <x:v>未测</x:v>
      </x:c>
      <x:c r="N63" s="5" t="str"/>
      <x:c r="O63" s="5" t="str">
        <x:v>1. 来源：对应 HTML 静态原型；未动态验证
2. 追溯：业务底稿 LIVE-023。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64" ht="91.5" customHeight="1">
      <x:c r="A64" s="5" t="n">
        <x:v>63</x:v>
      </x:c>
      <x:c r="B64" s="5" t="str">
        <x:v>LIVE-063</x:v>
      </x:c>
      <x:c r="C64" s="5" t="str">
        <x:v>用户App-直播模块</x:v>
      </x:c>
      <x:c r="D64" s="5" t="str">
        <x:v>观众互动</x:v>
      </x:c>
      <x:c r="E64" s="5" t="str">
        <x:v>逻辑校验</x:v>
      </x:c>
      <x:c r="F64" s="5" t="str">
        <x:v>P2</x:v>
      </x:c>
      <x:c r="G64" s="5" t="str">
        <x:v>验证 80 字评论可以发送</x:v>
      </x:c>
      <x:c r="H64" s="5" t="str">
        <x:v>评论 80 字边界</x:v>
      </x:c>
      <x:c r="I64" s="5" t="str">
        <x:v>1. 用户已进入直播间且可发言</x:v>
      </x:c>
      <x:c r="J64" s="5" t="str">
        <x:v>1. 输入 80 个字符
2. 点击“发送”</x:v>
      </x:c>
      <x:c r="K64" s="5" t="str">
        <x:v>公屏完整展示本次提交的 80 个字符</x:v>
      </x:c>
      <x:c r="L64" s="5" t="str"/>
      <x:c r="M64" s="5" t="str">
        <x:v>未测</x:v>
      </x:c>
      <x:c r="N64" s="5" t="str"/>
      <x:c r="O64" s="5" t="str">
        <x:v>1. 来源：对应 HTML 静态原型；未动态验证
2. 追溯：业务底稿 LIVE-024。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65" ht="91.5" customHeight="1">
      <x:c r="A65" s="5" t="n">
        <x:v>64</x:v>
      </x:c>
      <x:c r="B65" s="5" t="str">
        <x:v>LIVE-064</x:v>
      </x:c>
      <x:c r="C65" s="5" t="str">
        <x:v>用户App-直播模块</x:v>
      </x:c>
      <x:c r="D65" s="5" t="str">
        <x:v>观众互动</x:v>
      </x:c>
      <x:c r="E65" s="5" t="str">
        <x:v>逻辑校验</x:v>
      </x:c>
      <x:c r="F65" s="5" t="str">
        <x:v>P2</x:v>
      </x:c>
      <x:c r="G65" s="5" t="str">
        <x:v>验证评论输入长度上限</x:v>
      </x:c>
      <x:c r="H65" s="5" t="str">
        <x:v>评论超长限制</x:v>
      </x:c>
      <x:c r="I65" s="5" t="str">
        <x:v>1. 用户已进入直播间且可发言</x:v>
      </x:c>
      <x:c r="J65" s="5" t="str">
        <x:v>1. 输入超过 80 个字符的内容</x:v>
      </x:c>
      <x:c r="K65" s="5" t="str">
        <x:v>输入框最多保留 80 个字符</x:v>
      </x:c>
      <x:c r="L65" s="5" t="str"/>
      <x:c r="M65" s="5" t="str">
        <x:v>未测</x:v>
      </x:c>
      <x:c r="N65" s="5" t="str"/>
      <x:c r="O65" s="5" t="str">
        <x:v>1. 来源：对应 HTML 静态原型；未动态验证
2. 追溯：业务底稿 LIVE-024。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66" ht="115.5" customHeight="1">
      <x:c r="A66" s="5" t="n">
        <x:v>65</x:v>
      </x:c>
      <x:c r="B66" s="5" t="str">
        <x:v>LIVE-065</x:v>
      </x:c>
      <x:c r="C66" s="5" t="str">
        <x:v>用户App-直播模块</x:v>
      </x:c>
      <x:c r="D66" s="5" t="str">
        <x:v>观众互动</x:v>
      </x:c>
      <x:c r="E66" s="5" t="str">
        <x:v>逻辑校验</x:v>
      </x:c>
      <x:c r="F66" s="5" t="str">
        <x:v>P1</x:v>
      </x:c>
      <x:c r="G66" s="5" t="str">
        <x:v>验证禁言用户无法发送评论</x:v>
      </x:c>
      <x:c r="H66" s="5" t="str">
        <x:v>禁言发送限制</x:v>
      </x:c>
      <x:c r="I66" s="5" t="str">
        <x:v>1. 用户已被主播设置为当前场次禁言</x:v>
      </x:c>
      <x:c r="J66" s="5" t="str">
        <x:v>1. 查看评论输入区域
2. 尝试点击并输入内容</x:v>
      </x:c>
      <x:c r="K66" s="5" t="str">
        <x:v>评论输入区域显示“已被禁言”</x:v>
      </x:c>
      <x:c r="L66" s="5" t="str"/>
      <x:c r="M66" s="5" t="str">
        <x:v>未测</x:v>
      </x:c>
      <x:c r="N66" s="5" t="str"/>
      <x:c r="O66" s="5" t="str">
        <x:v>1. 来源：context/系统概要 .md（当前全局业务规则）
2. 来源：prototype/assets/annotations.js
3. 追溯：业务底稿 LIVE-025。
4. 质量修正：按 RCL-0018 执行最小前置条件和单分支检查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67" ht="115.5" customHeight="1">
      <x:c r="A67" s="5" t="n">
        <x:v>66</x:v>
      </x:c>
      <x:c r="B67" s="5" t="str">
        <x:v>LIVE-066</x:v>
      </x:c>
      <x:c r="C67" s="5" t="str">
        <x:v>用户App-直播模块</x:v>
      </x:c>
      <x:c r="D67" s="5" t="str">
        <x:v>观众互动</x:v>
      </x:c>
      <x:c r="E67" s="5" t="str">
        <x:v>逻辑校验</x:v>
      </x:c>
      <x:c r="F67" s="5" t="str">
        <x:v>P1</x:v>
      </x:c>
      <x:c r="G67" s="5" t="str">
        <x:v>验证禁言不删除历史消息</x:v>
      </x:c>
      <x:c r="H67" s="5" t="str">
        <x:v>禁言历史消息</x:v>
      </x:c>
      <x:c r="I67" s="5" t="str">
        <x:v>1. 用户已被主播设置为当前场次禁言</x:v>
      </x:c>
      <x:c r="J67" s="5" t="str">
        <x:v>1. 查看评论输入区域
2. 尝试点击并输入内容</x:v>
      </x:c>
      <x:c r="K67" s="5" t="str">
        <x:v>用户已发送的历史消息仍保留</x:v>
      </x:c>
      <x:c r="L67" s="5" t="str"/>
      <x:c r="M67" s="5" t="str">
        <x:v>未测</x:v>
      </x:c>
      <x:c r="N67" s="5" t="str"/>
      <x:c r="O67" s="5" t="str">
        <x:v>1. 来源：context/系统概要 .md（当前全局业务规则）
2. 来源：prototype/assets/annotations.js
3. 追溯：业务底稿 LIVE-025。
4. 质量修正：按 RCL-0018 执行最小前置条件和单分支检查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68" ht="115.5" customHeight="1">
      <x:c r="A68" s="5" t="n">
        <x:v>67</x:v>
      </x:c>
      <x:c r="B68" s="5" t="str">
        <x:v>LIVE-067</x:v>
      </x:c>
      <x:c r="C68" s="5" t="str">
        <x:v>用户App-直播模块</x:v>
      </x:c>
      <x:c r="D68" s="5" t="str">
        <x:v>观众互动</x:v>
      </x:c>
      <x:c r="E68" s="5" t="str">
        <x:v>功能需求</x:v>
      </x:c>
      <x:c r="F68" s="5" t="str">
        <x:v>P2</x:v>
      </x:c>
      <x:c r="G68" s="5" t="str">
        <x:v>验证从直播间进入主播主页</x:v>
      </x:c>
      <x:c r="H68" s="5" t="str">
        <x:v>主播主页入口</x:v>
      </x:c>
      <x:c r="I68" s="5" t="str">
        <x:v>1. 用户正在观看直播</x:v>
      </x:c>
      <x:c r="J68" s="5" t="str">
        <x:v>1. 点击直播间顶部主播头像</x:v>
      </x:c>
      <x:c r="K68" s="5" t="str">
        <x:v>页面进入当前直播间主播的主页</x:v>
      </x:c>
      <x:c r="L68" s="5" t="str"/>
      <x:c r="M68" s="5" t="str">
        <x:v>未测</x:v>
      </x:c>
      <x:c r="N68" s="5" t="str"/>
      <x:c r="O68" s="5" t="str">
        <x:v>1. 来源：context/01-用户主播App-项目需求清单.md
2. 来源：prototype/Luma Live-原型说明.md
3. 追溯：业务底稿 LIVE-026。
4. 质量修正：按 RCL-0018 执行最小前置条件和单分支检查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69" ht="115.5" customHeight="1">
      <x:c r="A69" s="5" t="n">
        <x:v>68</x:v>
      </x:c>
      <x:c r="B69" s="5" t="str">
        <x:v>LIVE-068</x:v>
      </x:c>
      <x:c r="C69" s="5" t="str">
        <x:v>用户App-直播模块</x:v>
      </x:c>
      <x:c r="D69" s="5" t="str">
        <x:v>观众互动</x:v>
      </x:c>
      <x:c r="E69" s="5" t="str">
        <x:v>功能需求</x:v>
      </x:c>
      <x:c r="F69" s="5" t="str">
        <x:v>P2</x:v>
      </x:c>
      <x:c r="G69" s="5" t="str">
        <x:v>验证查看当前在线观众列表</x:v>
      </x:c>
      <x:c r="H69" s="5" t="str">
        <x:v>在线观众列表</x:v>
      </x:c>
      <x:c r="I69" s="5" t="str">
        <x:v>1. 直播间内存在多名在线观众</x:v>
      </x:c>
      <x:c r="J69" s="5" t="str">
        <x:v>1. 点击直播间在线人数入口</x:v>
      </x:c>
      <x:c r="K69" s="5" t="str">
        <x:v>页面打开当前直播场次的在线观众列表</x:v>
      </x:c>
      <x:c r="L69" s="5" t="str"/>
      <x:c r="M69" s="5" t="str">
        <x:v>未测</x:v>
      </x:c>
      <x:c r="N69" s="5" t="str"/>
      <x:c r="O69" s="5" t="str">
        <x:v>1. 来源：context/01-用户主播App-项目需求清单.md
2. 来源：prototype/assets/annotations.js
3. 追溯：业务底稿 LIVE-027。
4. 质量修正：按 RCL-0018 执行最小前置条件和单分支检查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70" ht="115.5" customHeight="1">
      <x:c r="A70" s="5" t="n">
        <x:v>69</x:v>
      </x:c>
      <x:c r="B70" s="5" t="str">
        <x:v>LIVE-069</x:v>
      </x:c>
      <x:c r="C70" s="5" t="str">
        <x:v>用户App-直播模块</x:v>
      </x:c>
      <x:c r="D70" s="5" t="str">
        <x:v>观众互动</x:v>
      </x:c>
      <x:c r="E70" s="5" t="str">
        <x:v>功能需求</x:v>
      </x:c>
      <x:c r="F70" s="5" t="str">
        <x:v>P2</x:v>
      </x:c>
      <x:c r="G70" s="5" t="str">
        <x:v>验证查看本场贡献榜</x:v>
      </x:c>
      <x:c r="H70" s="5" t="str">
        <x:v>本场贡献榜</x:v>
      </x:c>
      <x:c r="I70" s="5" t="str">
        <x:v>1. 当前场次已有用户送礼贡献记录</x:v>
      </x:c>
      <x:c r="J70" s="5" t="str">
        <x:v>1. 点击“本场贡献榜”入口</x:v>
      </x:c>
      <x:c r="K70" s="5" t="str">
        <x:v>贡献榜仅展示当前直播场次的用户贡献数据和对应数值</x:v>
      </x:c>
      <x:c r="L70" s="5" t="str"/>
      <x:c r="M70" s="5" t="str">
        <x:v>未测</x:v>
      </x:c>
      <x:c r="N70" s="5" t="str"/>
      <x:c r="O70" s="5" t="str">
        <x:v>1. 来源：context/01-用户主播App-项目需求清单.md
2. 来源：prototype/assets/annotations.js
3. 追溯：业务底稿 LIVE-028。
4. 质量修正：按 RCL-0018 执行最小前置条件和单分支检查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71" ht="103.5" customHeight="1">
      <x:c r="A71" s="5" t="n">
        <x:v>70</x:v>
      </x:c>
      <x:c r="B71" s="5" t="str">
        <x:v>LIVE-070</x:v>
      </x:c>
      <x:c r="C71" s="5" t="str">
        <x:v>用户App-直播模块</x:v>
      </x:c>
      <x:c r="D71" s="5" t="str">
        <x:v>观众互动</x:v>
      </x:c>
      <x:c r="E71" s="5" t="str">
        <x:v>功能需求</x:v>
      </x:c>
      <x:c r="F71" s="5" t="str">
        <x:v>P2</x:v>
      </x:c>
      <x:c r="G71" s="5" t="str">
        <x:v>验证观众主动退出后返回直播广场</x:v>
      </x:c>
      <x:c r="H71" s="5" t="str">
        <x:v>观众退出返回</x:v>
      </x:c>
      <x:c r="I71" s="5" t="str">
        <x:v>1. 用户正在观看直播</x:v>
      </x:c>
      <x:c r="J71" s="5" t="str">
        <x:v>1. 点击直播间退出按钮</x:v>
      </x:c>
      <x:c r="K71" s="5" t="str">
        <x:v>页面离开当前直播间并返回直播广场</x:v>
      </x:c>
      <x:c r="L71" s="5" t="str"/>
      <x:c r="M71" s="5" t="str">
        <x:v>未测</x:v>
      </x:c>
      <x:c r="N71" s="5" t="str"/>
      <x:c r="O71" s="5" t="str">
        <x:v>1. 来源：prototype/Luma Live-原型说明.md
2. 来源：对应 HTML 静态原型；未动态验证
3. 追溯：业务底稿 LIVE-029。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72" ht="103.5" customHeight="1">
      <x:c r="A72" s="5" t="n">
        <x:v>71</x:v>
      </x:c>
      <x:c r="B72" s="5" t="str">
        <x:v>LIVE-071</x:v>
      </x:c>
      <x:c r="C72" s="5" t="str">
        <x:v>用户App-直播模块</x:v>
      </x:c>
      <x:c r="D72" s="5" t="str">
        <x:v>观众互动</x:v>
      </x:c>
      <x:c r="E72" s="5" t="str">
        <x:v>功能需求</x:v>
      </x:c>
      <x:c r="F72" s="5" t="str">
        <x:v>P2</x:v>
      </x:c>
      <x:c r="G72" s="5" t="str">
        <x:v>验证观众退出不结束直播场次</x:v>
      </x:c>
      <x:c r="H72" s="5" t="str">
        <x:v>观众退出场次状态</x:v>
      </x:c>
      <x:c r="I72" s="5" t="str">
        <x:v>1. 用户正在观看直播</x:v>
      </x:c>
      <x:c r="J72" s="5" t="str">
        <x:v>1. 点击直播间退出按钮</x:v>
      </x:c>
      <x:c r="K72" s="5" t="str">
        <x:v>主播直播场次保持进行中</x:v>
      </x:c>
      <x:c r="L72" s="5" t="str"/>
      <x:c r="M72" s="5" t="str">
        <x:v>未测</x:v>
      </x:c>
      <x:c r="N72" s="5" t="str"/>
      <x:c r="O72" s="5" t="str">
        <x:v>1. 来源：prototype/Luma Live-原型说明.md
2. 来源：对应 HTML 静态原型；未动态验证
3. 追溯：业务底稿 LIVE-029。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73" ht="91.5" customHeight="1">
      <x:c r="A73" s="5" t="n">
        <x:v>72</x:v>
      </x:c>
      <x:c r="B73" s="5" t="str">
        <x:v>LIVE-072</x:v>
      </x:c>
      <x:c r="C73" s="5" t="str">
        <x:v>用户App-直播模块</x:v>
      </x:c>
      <x:c r="D73" s="5" t="str">
        <x:v>观众互动</x:v>
      </x:c>
      <x:c r="E73" s="5" t="str">
        <x:v>功能需求</x:v>
      </x:c>
      <x:c r="F73" s="5" t="str">
        <x:v>P2</x:v>
      </x:c>
      <x:c r="G73" s="5" t="str">
        <x:v>验证关注主播后的页面提示</x:v>
      </x:c>
      <x:c r="H73" s="5" t="str">
        <x:v>关注主播提示</x:v>
      </x:c>
      <x:c r="I73" s="5" t="str">
        <x:v>1. 用户正在观看 Sari 的直播
2. 用户未关注 Sari</x:v>
      </x:c>
      <x:c r="J73" s="5" t="str">
        <x:v>1. 点击主播信息区域的关注按钮</x:v>
      </x:c>
      <x:c r="K73" s="5" t="str">
        <x:v>页面提示“已关注 Sari”</x:v>
      </x:c>
      <x:c r="L73" s="5" t="str"/>
      <x:c r="M73" s="5" t="str">
        <x:v>未测</x:v>
      </x:c>
      <x:c r="N73" s="5" t="str"/>
      <x:c r="O73" s="5" t="str">
        <x:v>1. 来源：prototype/pages/user/live/live-room.html 与 prototype/assets/common.js；未动态验证
2. 同步追溯：work/liveshow-user-live-testcases-260831-004/prototype-context-sync-result.json；RSL-0002、RSL-0003
3. 全局证据追溯：work/liveshow-user-live-testcases-260831-004/global-evidence-scan-result.json；扫描模式 incremental</x:v>
      </x:c>
    </x:row>
    <x:row r="74" ht="91.5" customHeight="1">
      <x:c r="A74" s="5" t="n">
        <x:v>73</x:v>
      </x:c>
      <x:c r="B74" s="5" t="str">
        <x:v>LIVE-073</x:v>
      </x:c>
      <x:c r="C74" s="5" t="str">
        <x:v>用户App-直播模块</x:v>
      </x:c>
      <x:c r="D74" s="5" t="str">
        <x:v>观众互动</x:v>
      </x:c>
      <x:c r="E74" s="5" t="str">
        <x:v>功能需求</x:v>
      </x:c>
      <x:c r="F74" s="5" t="str">
        <x:v>P1</x:v>
      </x:c>
      <x:c r="G74" s="5" t="str">
        <x:v>验证观众更多功能不提供清屏</x:v>
      </x:c>
      <x:c r="H74" s="5" t="str">
        <x:v>观众端清屏入口移除</x:v>
      </x:c>
      <x:c r="I74" s="5" t="str">
        <x:v>1. 用户以观众身份进入直播间</x:v>
      </x:c>
      <x:c r="J74" s="5" t="str">
        <x:v>1. 点击“…”打开更多功能
2. 查看功能入口</x:v>
      </x:c>
      <x:c r="K74" s="5" t="str">
        <x:v>观众端更多功能中不展示清屏入口</x:v>
      </x:c>
      <x:c r="L74" s="5" t="str"/>
      <x:c r="M74" s="5" t="str">
        <x:v>未测</x:v>
      </x:c>
      <x:c r="N74" s="5" t="str"/>
      <x:c r="O74" s="5" t="str">
        <x:v>1. 来源：prototype/pages/user/live/live-room.html 与 prototype/assets/common.js；未动态验证
2. 同步追溯：work/liveshow-user-live-testcases-260831-004/prototype-context-sync-result.json；RSL-0002、RSL-0003
3. 全局证据追溯：work/liveshow-user-live-testcases-260831-004/global-evidence-scan-result.json；扫描模式 incremental</x:v>
      </x:c>
    </x:row>
    <x:row r="75" ht="91.5" customHeight="1">
      <x:c r="A75" s="5" t="n">
        <x:v>74</x:v>
      </x:c>
      <x:c r="B75" s="5" t="str">
        <x:v>LIVE-074</x:v>
      </x:c>
      <x:c r="C75" s="5" t="str">
        <x:v>用户App-直播模块</x:v>
      </x:c>
      <x:c r="D75" s="5" t="str">
        <x:v>观众互动</x:v>
      </x:c>
      <x:c r="E75" s="5" t="str">
        <x:v>功能需求</x:v>
      </x:c>
      <x:c r="F75" s="5" t="str">
        <x:v>P2</x:v>
      </x:c>
      <x:c r="G75" s="5" t="str">
        <x:v>验证观众打开直播转发</x:v>
      </x:c>
      <x:c r="H75" s="5" t="str">
        <x:v>直播转发入口</x:v>
      </x:c>
      <x:c r="I75" s="5" t="str">
        <x:v>1. 用户正在观看直播</x:v>
      </x:c>
      <x:c r="J75" s="5" t="str">
        <x:v>1. 打开更多功能
2. 点击“转发”</x:v>
      </x:c>
      <x:c r="K75" s="5" t="str">
        <x:v>页面提示“打开转发”</x:v>
      </x:c>
      <x:c r="L75" s="5" t="str"/>
      <x:c r="M75" s="5" t="str">
        <x:v>未测</x:v>
      </x:c>
      <x:c r="N75" s="5" t="str"/>
      <x:c r="O75" s="5" t="str">
        <x:v>1. 来源：prototype/pages/user/live/live-room.html 与 prototype/assets/common.js；未动态验证
2. 同步追溯：work/liveshow-user-live-testcases-260831-004/prototype-context-sync-result.json；RSL-0002、RSL-0003
3. 全局证据追溯：work/liveshow-user-live-testcases-260831-004/global-evidence-scan-result.json；扫描模式 incremental</x:v>
      </x:c>
    </x:row>
    <x:row r="76" ht="115.5" customHeight="1">
      <x:c r="A76" s="5" t="n">
        <x:v>75</x:v>
      </x:c>
      <x:c r="B76" s="5" t="str">
        <x:v>LIVE-075</x:v>
      </x:c>
      <x:c r="C76" s="5" t="str">
        <x:v>用户App-直播模块</x:v>
      </x:c>
      <x:c r="D76" s="5" t="str">
        <x:v>观众互动</x:v>
      </x:c>
      <x:c r="E76" s="5" t="str">
        <x:v>功能需求</x:v>
      </x:c>
      <x:c r="F76" s="5" t="str">
        <x:v>P1</x:v>
      </x:c>
      <x:c r="G76" s="5" t="str">
        <x:v>验证公屏消息的发送者信息</x:v>
      </x:c>
      <x:c r="H76" s="5" t="str">
        <x:v>公屏发送者标识</x:v>
      </x:c>
      <x:c r="I76" s="5" t="str">
        <x:v>1. 当前用户具有昵称和已有身份标识
2. 用户已进入直播间</x:v>
      </x:c>
      <x:c r="J76" s="5" t="str">
        <x:v>1. 输入“今晚的歌很好听”
2. 点击“发送”</x:v>
      </x:c>
      <x:c r="K76" s="5" t="str">
        <x:v>新公屏消息展示当前用户昵称及已有身份标识</x:v>
      </x:c>
      <x:c r="L76" s="5" t="str"/>
      <x:c r="M76" s="5" t="str">
        <x:v>未测</x:v>
      </x:c>
      <x:c r="N76" s="5" t="str"/>
      <x:c r="O76" s="5" t="str">
        <x:v>1. 来源：context/01-用户主播App-项目需求清单.md（2026-08-29 按原型同步，RSL-0002）
2. 来源：prototype/pages/user/live/live-room.html 与 prototype/assets/common.js；未动态验证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77" ht="127.5" customHeight="1">
      <x:c r="A77" s="5" t="n">
        <x:v>76</x:v>
      </x:c>
      <x:c r="B77" s="5" t="str">
        <x:v>LIVE-076</x:v>
      </x:c>
      <x:c r="C77" s="5" t="str">
        <x:v>用户App-直播模块</x:v>
      </x:c>
      <x:c r="D77" s="5" t="str">
        <x:v>观众互动</x:v>
      </x:c>
      <x:c r="E77" s="5" t="str">
        <x:v>逻辑校验</x:v>
      </x:c>
      <x:c r="F77" s="5" t="str">
        <x:v>P1</x:v>
      </x:c>
      <x:c r="G77" s="5" t="str">
        <x:v>验证禁言用户发送的内容不进入公屏</x:v>
      </x:c>
      <x:c r="H77" s="5" t="str">
        <x:v>禁言发送拦截</x:v>
      </x:c>
      <x:c r="I77" s="5" t="str">
        <x:v>1. 当前用户已被主播禁言
2. 用户正在直播间</x:v>
      </x:c>
      <x:c r="J77" s="5" t="str">
        <x:v>1. 尝试输入并发送评论</x:v>
      </x:c>
      <x:c r="K77" s="5" t="str">
        <x:v>公屏不新增当前用户的评论</x:v>
      </x:c>
      <x:c r="L77" s="5" t="str"/>
      <x:c r="M77" s="5" t="str">
        <x:v>未测</x:v>
      </x:c>
      <x:c r="N77" s="5" t="str"/>
      <x:c r="O77" s="5" t="str">
        <x:v>1. 来源：context/01-用户主播App-项目需求清单.md（2026-08-29 按原型同步，RSL-0002）
2. 来源：context/系统概要 .md（当前全局业务规则）
3. 来源：prototype/pages/user/live/live-room.html 与 prototype/assets/common.js；未动态验证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78" ht="103.5" customHeight="1">
      <x:c r="A78" s="5" t="n">
        <x:v>77</x:v>
      </x:c>
      <x:c r="B78" s="5" t="str">
        <x:v>LIVE-077</x:v>
      </x:c>
      <x:c r="C78" s="5" t="str">
        <x:v>用户App-直播模块</x:v>
      </x:c>
      <x:c r="D78" s="5" t="str">
        <x:v>直播送礼</x:v>
      </x:c>
      <x:c r="E78" s="5" t="str">
        <x:v>功能需求</x:v>
      </x:c>
      <x:c r="F78" s="5" t="str">
        <x:v>P1</x:v>
      </x:c>
      <x:c r="G78" s="5" t="str">
        <x:v>验证礼物面板的礼物信息</x:v>
      </x:c>
      <x:c r="H78" s="5" t="str">
        <x:v>礼物面板信息</x:v>
      </x:c>
      <x:c r="I78" s="5" t="str">
        <x:v>1. 用户正在观看直播
2. 后台已上架礼物并配置价格和分类</x:v>
      </x:c>
      <x:c r="J78" s="5" t="str">
        <x:v>1. 点击礼物按钮
2. 切换礼物分类</x:v>
      </x:c>
      <x:c r="K78" s="5" t="str">
        <x:v>礼物面板展示礼物图标、名称、金币价格、当前余额和充值入口</x:v>
      </x:c>
      <x:c r="L78" s="5" t="str"/>
      <x:c r="M78" s="5" t="str">
        <x:v>未测</x:v>
      </x:c>
      <x:c r="N78" s="5" t="str"/>
      <x:c r="O78" s="5" t="str">
        <x:v>1. 来源：context/01-用户主播App-项目需求清单.md
2. 来源：对应 HTML 静态原型；未动态验证
3. 追溯：业务底稿 LIVE-030。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79" ht="139.5" customHeight="1">
      <x:c r="A79" s="5" t="n">
        <x:v>78</x:v>
      </x:c>
      <x:c r="B79" s="5" t="str">
        <x:v>LIVE-078</x:v>
      </x:c>
      <x:c r="C79" s="5" t="str">
        <x:v>用户App-直播模块</x:v>
      </x:c>
      <x:c r="D79" s="5" t="str">
        <x:v>直播送礼</x:v>
      </x:c>
      <x:c r="E79" s="5" t="str">
        <x:v>业务流程</x:v>
      </x:c>
      <x:c r="F79" s="5" t="str">
        <x:v>P1</x:v>
      </x:c>
      <x:c r="G79" s="5" t="str">
        <x:v>验证普通礼物扣费和用户余额</x:v>
      </x:c>
      <x:c r="H79" s="5" t="str">
        <x:v>用户扣费与余额</x:v>
      </x:c>
      <x:c r="I79" s="5" t="str">
        <x:v>1. 普通礼物“鲜花”单价为 20 金币
2. 用户余额为 100 金币
3. 主播当前实时收益为 500 金币</x:v>
      </x:c>
      <x:c r="J79" s="5" t="str">
        <x:v>1. 打开礼物面板
2. 选择“鲜花”及数量 1
3. 点击赠送</x:v>
      </x:c>
      <x:c r="K79" s="5" t="str">
        <x:v>赠送 1 个单价 20 金币的礼物后，用户余额 = 100 - 20 × 1 = 80 金币</x:v>
      </x:c>
      <x:c r="L79" s="5" t="str">
        <x:v>FLOW-LIVE-004</x:v>
      </x:c>
      <x:c r="M79" s="5" t="str">
        <x:v>未测</x:v>
      </x:c>
      <x:c r="N79" s="5" t="str"/>
      <x:c r="O79" s="5" t="str">
        <x:v>1. 来源：context/01-用户主播App-项目需求清单.md
2. 来源：context/系统概要 .md（当前全局业务规则）
3. 追溯：业务底稿 LIVE-031。
4. 流程：阶段 01：观众送礼并核对余额；共同业务对象：GIFT-TXN-01。
5. 共同业务对象：同一礼物赠送记录
6. 流程阶段：用户扣费与余额
7. 同步追溯：work/liveshow-user-live-testcases-260831-004/prototype-context-sync-result.json；RSL-0002、RSL-0003
8. 全局证据追溯：work/liveshow-user-live-testcases-260831-004/global-evidence-scan-result.json；扫描模式 incremental</x:v>
      </x:c>
    </x:row>
    <x:row r="80" ht="139.5" customHeight="1">
      <x:c r="A80" s="5" t="n">
        <x:v>79</x:v>
      </x:c>
      <x:c r="B80" s="5" t="str">
        <x:v>LIVE-079</x:v>
      </x:c>
      <x:c r="C80" s="5" t="str">
        <x:v>用户App-直播模块</x:v>
      </x:c>
      <x:c r="D80" s="5" t="str">
        <x:v>直播送礼</x:v>
      </x:c>
      <x:c r="E80" s="5" t="str">
        <x:v>业务流程</x:v>
      </x:c>
      <x:c r="F80" s="5" t="str">
        <x:v>P1</x:v>
      </x:c>
      <x:c r="G80" s="5" t="str">
        <x:v>验证普通礼物计入主播实时收益</x:v>
      </x:c>
      <x:c r="H80" s="5" t="str">
        <x:v>主播实时收益</x:v>
      </x:c>
      <x:c r="I80" s="5" t="str">
        <x:v>1. 普通礼物“鲜花”单价为 20 金币
2. 用户余额为 100 金币
3. 主播当前实时收益为 500 金币</x:v>
      </x:c>
      <x:c r="J80" s="5" t="str">
        <x:v>1. 记录主播当前实时收益
2. 观众赠送 1 个鲜花
3. 切换到主播端查看实时收益</x:v>
      </x:c>
      <x:c r="K80" s="5" t="str">
        <x:v>主播实时收益 = 500 + 20 = 520 金币</x:v>
      </x:c>
      <x:c r="L80" s="5" t="str">
        <x:v>FLOW-LIVE-004</x:v>
      </x:c>
      <x:c r="M80" s="5" t="str">
        <x:v>未测</x:v>
      </x:c>
      <x:c r="N80" s="5" t="str"/>
      <x:c r="O80" s="5" t="str">
        <x:v>1. 来源：context/01-用户主播App-项目需求清单.md
2. 来源：context/系统概要 .md（当前全局业务规则）
3. 追溯：业务底稿 LIVE-031。
4. 流程：阶段 02：主播核对实时收益；共同业务对象：GIFT-TXN-01。
5. 共同业务对象：同一礼物赠送记录
6. 流程阶段：主播实时收益
7. 同步追溯：work/liveshow-user-live-testcases-260831-004/prototype-context-sync-result.json；RSL-0002、RSL-0003
8. 全局证据追溯：work/liveshow-user-live-testcases-260831-004/global-evidence-scan-result.json；扫描模式 incremental</x:v>
      </x:c>
    </x:row>
    <x:row r="81" ht="139.5" customHeight="1">
      <x:c r="A81" s="5" t="n">
        <x:v>80</x:v>
      </x:c>
      <x:c r="B81" s="5" t="str">
        <x:v>LIVE-080</x:v>
      </x:c>
      <x:c r="C81" s="5" t="str">
        <x:v>用户App-直播模块</x:v>
      </x:c>
      <x:c r="D81" s="5" t="str">
        <x:v>直播送礼</x:v>
      </x:c>
      <x:c r="E81" s="5" t="str">
        <x:v>业务流程</x:v>
      </x:c>
      <x:c r="F81" s="5" t="str">
        <x:v>P1</x:v>
      </x:c>
      <x:c r="G81" s="5" t="str">
        <x:v>验证普通礼物生成公屏播报</x:v>
      </x:c>
      <x:c r="H81" s="5" t="str">
        <x:v>公屏送礼播报</x:v>
      </x:c>
      <x:c r="I81" s="5" t="str">
        <x:v>1. 普通礼物“鲜花”单价为 20 金币
2. 用户余额为 100 金币
3. 主播当前实时收益为 500 金币</x:v>
      </x:c>
      <x:c r="J81" s="5" t="str">
        <x:v>1. 观众赠送 1 个鲜花
2. 查看直播间公屏</x:v>
      </x:c>
      <x:c r="K81" s="5" t="str">
        <x:v>公屏新增当前用户“送出 鲜花”的播报</x:v>
      </x:c>
      <x:c r="L81" s="5" t="str">
        <x:v>FLOW-LIVE-004</x:v>
      </x:c>
      <x:c r="M81" s="5" t="str">
        <x:v>未测</x:v>
      </x:c>
      <x:c r="N81" s="5" t="str"/>
      <x:c r="O81" s="5" t="str">
        <x:v>1. 来源：context/01-用户主播App-项目需求清单.md
2. 来源：context/系统概要 .md（当前全局业务规则）
3. 追溯：业务底稿 LIVE-031。
4. 流程：阶段 03：直播间核对礼物播报；共同业务对象：GIFT-TXN-01。
5. 共同业务对象：同一礼物赠送记录
6. 流程阶段：公屏送礼播报
7. 同步追溯：work/liveshow-user-live-testcases-260831-004/prototype-context-sync-result.json；RSL-0002、RSL-0003
8. 全局证据追溯：work/liveshow-user-live-testcases-260831-004/global-evidence-scan-result.json；扫描模式 incremental</x:v>
      </x:c>
    </x:row>
    <x:row r="82" ht="139.5" customHeight="1">
      <x:c r="A82" s="5" t="n">
        <x:v>81</x:v>
      </x:c>
      <x:c r="B82" s="5" t="str">
        <x:v>LIVE-081</x:v>
      </x:c>
      <x:c r="C82" s="5" t="str">
        <x:v>用户App-直播模块</x:v>
      </x:c>
      <x:c r="D82" s="5" t="str">
        <x:v>直播送礼</x:v>
      </x:c>
      <x:c r="E82" s="5" t="str">
        <x:v>业务流程</x:v>
      </x:c>
      <x:c r="F82" s="5" t="str">
        <x:v>P1</x:v>
      </x:c>
      <x:c r="G82" s="5" t="str">
        <x:v>验证普通礼物生成消费流水</x:v>
      </x:c>
      <x:c r="H82" s="5" t="str">
        <x:v>礼物消费流水</x:v>
      </x:c>
      <x:c r="I82" s="5" t="str">
        <x:v>1. 普通礼物“鲜花”单价为 20 金币
2. 用户余额为 100 金币
3. 主播当前实时收益为 500 金币</x:v>
      </x:c>
      <x:c r="J82" s="5" t="str">
        <x:v>1. 观众赠送 1 个鲜花
2. 进入用户金币消费明细
3. 查看本次礼物流水</x:v>
      </x:c>
      <x:c r="K82" s="5" t="str">
        <x:v>消费流水记录礼物、数量、20 金币和当前直播场次</x:v>
      </x:c>
      <x:c r="L82" s="5" t="str">
        <x:v>FLOW-LIVE-004</x:v>
      </x:c>
      <x:c r="M82" s="5" t="str">
        <x:v>未测</x:v>
      </x:c>
      <x:c r="N82" s="5" t="str"/>
      <x:c r="O82" s="5" t="str">
        <x:v>1. 来源：context/01-用户主播App-项目需求清单.md
2. 来源：context/系统概要 .md（当前全局业务规则）
3. 追溯：业务底稿 LIVE-031。
4. 流程：阶段 04：用户核对消费流水；共同业务对象：GIFT-TXN-01。
5. 共同业务对象：同一礼物赠送记录
6. 流程阶段：礼物消费流水
7. 同步追溯：work/liveshow-user-live-testcases-260831-004/prototype-context-sync-result.json；RSL-0002、RSL-0003
8. 全局证据追溯：work/liveshow-user-live-testcases-260831-004/global-evidence-scan-result.json；扫描模式 incremental</x:v>
      </x:c>
    </x:row>
    <x:row r="83" ht="91.5" customHeight="1">
      <x:c r="A83" s="5" t="n">
        <x:v>82</x:v>
      </x:c>
      <x:c r="B83" s="5" t="str">
        <x:v>LIVE-082</x:v>
      </x:c>
      <x:c r="C83" s="5" t="str">
        <x:v>用户App-直播模块</x:v>
      </x:c>
      <x:c r="D83" s="5" t="str">
        <x:v>直播送礼</x:v>
      </x:c>
      <x:c r="E83" s="5" t="str">
        <x:v>异常用例</x:v>
      </x:c>
      <x:c r="F83" s="5" t="str">
        <x:v>P1</x:v>
      </x:c>
      <x:c r="G83" s="5" t="str">
        <x:v>验证余额不足时拒绝送礼</x:v>
      </x:c>
      <x:c r="H83" s="5" t="str">
        <x:v>余额不足送礼拦截</x:v>
      </x:c>
      <x:c r="I83" s="5" t="str">
        <x:v>1. 目标礼物总价为 100 金币
2. 用户余额为 99 金币</x:v>
      </x:c>
      <x:c r="J83" s="5" t="str">
        <x:v>1. 选择目标礼物和数量
2. 点击赠送</x:v>
      </x:c>
      <x:c r="K83" s="5" t="str">
        <x:v>用户余额 19 金币小于礼物价格 20 金币时，目标礼物不送出</x:v>
      </x:c>
      <x:c r="L83" s="5" t="str"/>
      <x:c r="M83" s="5" t="str">
        <x:v>未测</x:v>
      </x:c>
      <x:c r="N83" s="5" t="str"/>
      <x:c r="O83" s="5" t="str">
        <x:v>1. 来源：context/01-用户主播App-项目需求清单.md
2. 追溯：业务底稿 LIVE-032。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84" ht="91.5" customHeight="1">
      <x:c r="A84" s="5" t="n">
        <x:v>83</x:v>
      </x:c>
      <x:c r="B84" s="5" t="str">
        <x:v>LIVE-083</x:v>
      </x:c>
      <x:c r="C84" s="5" t="str">
        <x:v>用户App-直播模块</x:v>
      </x:c>
      <x:c r="D84" s="5" t="str">
        <x:v>直播送礼</x:v>
      </x:c>
      <x:c r="E84" s="5" t="str">
        <x:v>异常用例</x:v>
      </x:c>
      <x:c r="F84" s="5" t="str">
        <x:v>P1</x:v>
      </x:c>
      <x:c r="G84" s="5" t="str">
        <x:v>验证送礼失败不增加主播收益</x:v>
      </x:c>
      <x:c r="H84" s="5" t="str">
        <x:v>送礼失败主播收益</x:v>
      </x:c>
      <x:c r="I84" s="5" t="str">
        <x:v>1. 目标礼物总价为 100 金币
2. 用户余额为 99 金币</x:v>
      </x:c>
      <x:c r="J84" s="5" t="str">
        <x:v>1. 选择目标礼物和数量
2. 点击赠送</x:v>
      </x:c>
      <x:c r="K84" s="5" t="str">
        <x:v>主播收益不变</x:v>
      </x:c>
      <x:c r="L84" s="5" t="str"/>
      <x:c r="M84" s="5" t="str">
        <x:v>未测</x:v>
      </x:c>
      <x:c r="N84" s="5" t="str"/>
      <x:c r="O84" s="5" t="str">
        <x:v>1. 来源：context/01-用户主播App-项目需求清单.md
2. 追溯：业务底稿 LIVE-032。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85" ht="91.5" customHeight="1">
      <x:c r="A85" s="5" t="n">
        <x:v>84</x:v>
      </x:c>
      <x:c r="B85" s="5" t="str">
        <x:v>LIVE-084</x:v>
      </x:c>
      <x:c r="C85" s="5" t="str">
        <x:v>用户App-直播模块</x:v>
      </x:c>
      <x:c r="D85" s="5" t="str">
        <x:v>直播送礼</x:v>
      </x:c>
      <x:c r="E85" s="5" t="str">
        <x:v>异常用例</x:v>
      </x:c>
      <x:c r="F85" s="5" t="str">
        <x:v>P1</x:v>
      </x:c>
      <x:c r="G85" s="5" t="str">
        <x:v>验证送礼余额不足时提供充值入口</x:v>
      </x:c>
      <x:c r="H85" s="5" t="str">
        <x:v>送礼充值入口</x:v>
      </x:c>
      <x:c r="I85" s="5" t="str">
        <x:v>1. 目标礼物总价为 100 金币
2. 用户余额为 99 金币</x:v>
      </x:c>
      <x:c r="J85" s="5" t="str">
        <x:v>1. 选择目标礼物和数量
2. 点击赠送</x:v>
      </x:c>
      <x:c r="K85" s="5" t="str">
        <x:v>页面提供充值入口</x:v>
      </x:c>
      <x:c r="L85" s="5" t="str"/>
      <x:c r="M85" s="5" t="str">
        <x:v>未测</x:v>
      </x:c>
      <x:c r="N85" s="5" t="str"/>
      <x:c r="O85" s="5" t="str">
        <x:v>1. 来源：context/01-用户主播App-项目需求清单.md
2. 追溯：业务底稿 LIVE-032。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86" ht="91.5" customHeight="1">
      <x:c r="A86" s="5" t="n">
        <x:v>85</x:v>
      </x:c>
      <x:c r="B86" s="5" t="str">
        <x:v>LIVE-085</x:v>
      </x:c>
      <x:c r="C86" s="5" t="str">
        <x:v>用户App-直播模块</x:v>
      </x:c>
      <x:c r="D86" s="5" t="str">
        <x:v>直播送礼</x:v>
      </x:c>
      <x:c r="E86" s="5" t="str">
        <x:v>逻辑校验</x:v>
      </x:c>
      <x:c r="F86" s="5" t="str">
        <x:v>P1</x:v>
      </x:c>
      <x:c r="G86" s="5" t="str">
        <x:v>验证连送礼物累计扣费</x:v>
      </x:c>
      <x:c r="H86" s="5" t="str">
        <x:v>连送扣费与余额</x:v>
      </x:c>
      <x:c r="I86" s="5" t="str">
        <x:v>1. 目标普通礼物单价为 20 金币
2. 用户余额为 200 金币</x:v>
      </x:c>
      <x:c r="J86" s="5" t="str">
        <x:v>1. 选择目标礼物和数量 5
2. 点击赠送</x:v>
      </x:c>
      <x:c r="K86" s="5" t="str">
        <x:v>连续赠送 5 个单价 20 金币的礼物后，用户余额 = 200 - 20 × 5 = 100 金币</x:v>
      </x:c>
      <x:c r="L86" s="5" t="str"/>
      <x:c r="M86" s="5" t="str">
        <x:v>未测</x:v>
      </x:c>
      <x:c r="N86" s="5" t="str"/>
      <x:c r="O86" s="5" t="str">
        <x:v>1. 来源：context/01-用户主播App-项目需求清单.md
2. 追溯：业务底稿 LIVE-033。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87" ht="91.5" customHeight="1">
      <x:c r="A87" s="5" t="n">
        <x:v>86</x:v>
      </x:c>
      <x:c r="B87" s="5" t="str">
        <x:v>LIVE-086</x:v>
      </x:c>
      <x:c r="C87" s="5" t="str">
        <x:v>用户App-直播模块</x:v>
      </x:c>
      <x:c r="D87" s="5" t="str">
        <x:v>直播送礼</x:v>
      </x:c>
      <x:c r="E87" s="5" t="str">
        <x:v>逻辑校验</x:v>
      </x:c>
      <x:c r="F87" s="5" t="str">
        <x:v>P1</x:v>
      </x:c>
      <x:c r="G87" s="5" t="str">
        <x:v>验证连送礼物累计主播收益</x:v>
      </x:c>
      <x:c r="H87" s="5" t="str">
        <x:v>连送主播收益</x:v>
      </x:c>
      <x:c r="I87" s="5" t="str">
        <x:v>1. 目标普通礼物单价为 20 金币
2. 用户余额为 200 金币</x:v>
      </x:c>
      <x:c r="J87" s="5" t="str">
        <x:v>1. 选择目标礼物和数量 5
2. 点击赠送</x:v>
      </x:c>
      <x:c r="K87" s="5" t="str">
        <x:v>主播实时收益增加 100 金币</x:v>
      </x:c>
      <x:c r="L87" s="5" t="str"/>
      <x:c r="M87" s="5" t="str">
        <x:v>未测</x:v>
      </x:c>
      <x:c r="N87" s="5" t="str"/>
      <x:c r="O87" s="5" t="str">
        <x:v>1. 来源：context/01-用户主播App-项目需求清单.md
2. 追溯：业务底稿 LIVE-033。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88" ht="91.5" customHeight="1">
      <x:c r="A88" s="5" t="n">
        <x:v>87</x:v>
      </x:c>
      <x:c r="B88" s="5" t="str">
        <x:v>LIVE-087</x:v>
      </x:c>
      <x:c r="C88" s="5" t="str">
        <x:v>用户App-直播模块</x:v>
      </x:c>
      <x:c r="D88" s="5" t="str">
        <x:v>直播送礼</x:v>
      </x:c>
      <x:c r="E88" s="5" t="str">
        <x:v>逻辑校验</x:v>
      </x:c>
      <x:c r="F88" s="5" t="str">
        <x:v>P1</x:v>
      </x:c>
      <x:c r="G88" s="5" t="str">
        <x:v>验证连送礼物累计公屏数量</x:v>
      </x:c>
      <x:c r="H88" s="5" t="str">
        <x:v>连送公屏播报</x:v>
      </x:c>
      <x:c r="I88" s="5" t="str">
        <x:v>1. 目标普通礼物单价为 20 金币
2. 用户余额为 200 金币</x:v>
      </x:c>
      <x:c r="J88" s="5" t="str">
        <x:v>1. 选择目标礼物和数量 5
2. 点击赠送</x:v>
      </x:c>
      <x:c r="K88" s="5" t="str">
        <x:v>公屏播报目标礼物及累计数量 5</x:v>
      </x:c>
      <x:c r="L88" s="5" t="str"/>
      <x:c r="M88" s="5" t="str">
        <x:v>未测</x:v>
      </x:c>
      <x:c r="N88" s="5" t="str"/>
      <x:c r="O88" s="5" t="str">
        <x:v>1. 来源：context/01-用户主播App-项目需求清单.md
2. 追溯：业务底稿 LIVE-033。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89" ht="127.5" customHeight="1">
      <x:c r="A89" s="5" t="n">
        <x:v>88</x:v>
      </x:c>
      <x:c r="B89" s="5" t="str">
        <x:v>LIVE-088</x:v>
      </x:c>
      <x:c r="C89" s="5" t="str">
        <x:v>用户App-直播模块</x:v>
      </x:c>
      <x:c r="D89" s="5" t="str">
        <x:v>直播送礼</x:v>
      </x:c>
      <x:c r="E89" s="5" t="str">
        <x:v>功能需求</x:v>
      </x:c>
      <x:c r="F89" s="5" t="str">
        <x:v>P2</x:v>
      </x:c>
      <x:c r="G89" s="5" t="str">
        <x:v>验证赠送礼物成功反馈</x:v>
      </x:c>
      <x:c r="H89" s="5" t="str">
        <x:v>赠礼成功反馈</x:v>
      </x:c>
      <x:c r="I89" s="5" t="str">
        <x:v>1. 用户正在观看直播
2. 用户余额足够赠送 1 个鲜花</x:v>
      </x:c>
      <x:c r="J89" s="5" t="str">
        <x:v>1. 打开礼物面板
2. 切换到“普通”
3. 选择“鲜花”
4. 选择数量 1
5. 点击“赠送”</x:v>
      </x:c>
      <x:c r="K89" s="5" t="str">
        <x:v>页面提示“已赠送 鲜花 x1”</x:v>
      </x:c>
      <x:c r="L89" s="5" t="str">
        <x:v>FLOW-LIVE-004</x:v>
      </x:c>
      <x:c r="M89" s="5" t="str">
        <x:v>未测</x:v>
      </x:c>
      <x:c r="N89" s="5" t="str"/>
      <x:c r="O89" s="5" t="str">
        <x:v>1. 来源：prototype/assets/common.js 动态交互脚本
2. 静态分析已确认事件绑定；未在浏览器动态验证
3. 补充原因：业务结果完整性扫描发现独立反馈观察点未覆盖
4. 共同业务对象：同一礼物赠送记录
5. 流程阶段：赠礼成功反馈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90" ht="115.5" customHeight="1">
      <x:c r="A90" s="5" t="n">
        <x:v>89</x:v>
      </x:c>
      <x:c r="B90" s="5" t="str">
        <x:v>LIVE-089</x:v>
      </x:c>
      <x:c r="C90" s="5" t="str">
        <x:v>用户App-直播模块</x:v>
      </x:c>
      <x:c r="D90" s="5" t="str">
        <x:v>直播送礼</x:v>
      </x:c>
      <x:c r="E90" s="5" t="str">
        <x:v>功能需求</x:v>
      </x:c>
      <x:c r="F90" s="5" t="str">
        <x:v>P1</x:v>
      </x:c>
      <x:c r="G90" s="5" t="str">
        <x:v>验证礼物面板的三个分类</x:v>
      </x:c>
      <x:c r="H90" s="5" t="str">
        <x:v>礼物分类范围</x:v>
      </x:c>
      <x:c r="I90" s="5" t="str">
        <x:v>1. 礼物面板已打开</x:v>
      </x:c>
      <x:c r="J90" s="5" t="str">
        <x:v>1. 查看礼物分类 Tab</x:v>
      </x:c>
      <x:c r="K90" s="5" t="str">
        <x:v>礼物面板展示“幸运”“普通”和“定制”三个 Tab</x:v>
      </x:c>
      <x:c r="L90" s="5" t="str"/>
      <x:c r="M90" s="5" t="str">
        <x:v>未测</x:v>
      </x:c>
      <x:c r="N90" s="5" t="str"/>
      <x:c r="O90" s="5" t="str">
        <x:v>1. 来源：context/01-用户主播App-项目需求清单.md（2026-08-29 按原型同步，RSL-0002）
2. 来源：prototype/pages/user/live/live-room.html 与 prototype/assets/common.js；未动态验证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91" ht="127.5" customHeight="1">
      <x:c r="A91" s="5" t="n">
        <x:v>90</x:v>
      </x:c>
      <x:c r="B91" s="5" t="str">
        <x:v>LIVE-090</x:v>
      </x:c>
      <x:c r="C91" s="5" t="str">
        <x:v>用户App-直播模块</x:v>
      </x:c>
      <x:c r="D91" s="5" t="str">
        <x:v>直播送礼</x:v>
      </x:c>
      <x:c r="E91" s="5" t="str">
        <x:v>逻辑校验</x:v>
      </x:c>
      <x:c r="F91" s="5" t="str">
        <x:v>P1</x:v>
      </x:c>
      <x:c r="G91" s="5" t="str">
        <x:v>验证礼物赠送数量选项</x:v>
      </x:c>
      <x:c r="H91" s="5" t="str">
        <x:v>赠送数量固定选项</x:v>
      </x:c>
      <x:c r="I91" s="5" t="str">
        <x:v>1. 礼物面板已打开</x:v>
      </x:c>
      <x:c r="J91" s="5" t="str">
        <x:v>1. 打开赠送数量菜单</x:v>
      </x:c>
      <x:c r="K91" s="5" t="str">
        <x:v>数量菜单仅展示 x1、x10、x66、x188 和 x520</x:v>
      </x:c>
      <x:c r="L91" s="5" t="str"/>
      <x:c r="M91" s="5" t="str">
        <x:v>未测</x:v>
      </x:c>
      <x:c r="N91" s="5" t="str"/>
      <x:c r="O91" s="5" t="str">
        <x:v>1. 来源：context/01-用户主播App-项目需求清单.md（2026-08-29 按原型同步，RSL-0002）
2. 来源：prototype/pages/user/live/live-room.html 与 prototype/assets/common.js；未动态验证
3. 同步追溯：work/liveshow-user-live-testcases-260831-004/prototype-context-sync-result.json；RSL-0002、RSL-0003
4. 全局证据追溯：work/liveshow-user-live-testcases-260831-004/global-evidence-scan-result.json；扫描模式 incremental
5. 跨端重审：管理后台存在购买份数配置，用户 App 固定数量菜单与后台配置的最终关系见 Q-037</x:v>
      </x:c>
    </x:row>
    <x:row r="92" ht="103.5" customHeight="1">
      <x:c r="A92" s="5" t="n">
        <x:v>91</x:v>
      </x:c>
      <x:c r="B92" s="5" t="str">
        <x:v>LIVE-091</x:v>
      </x:c>
      <x:c r="C92" s="5" t="str">
        <x:v>用户App-直播模块</x:v>
      </x:c>
      <x:c r="D92" s="5" t="str">
        <x:v>直播送礼</x:v>
      </x:c>
      <x:c r="E92" s="5" t="str">
        <x:v>功能需求</x:v>
      </x:c>
      <x:c r="F92" s="5" t="str">
        <x:v>P2</x:v>
      </x:c>
      <x:c r="G92" s="5" t="str">
        <x:v>验证选择礼物赠送数量</x:v>
      </x:c>
      <x:c r="H92" s="5" t="str">
        <x:v>赠送数量回显</x:v>
      </x:c>
      <x:c r="I92" s="5" t="str">
        <x:v>1. 礼物面板已打开</x:v>
      </x:c>
      <x:c r="J92" s="5" t="str">
        <x:v>1. 打开赠送数量菜单
2. 选择 x66</x:v>
      </x:c>
      <x:c r="K92" s="5" t="str">
        <x:v>赠送数量按钮回显 66</x:v>
      </x:c>
      <x:c r="L92" s="5" t="str"/>
      <x:c r="M92" s="5" t="str">
        <x:v>未测</x:v>
      </x:c>
      <x:c r="N92" s="5" t="str"/>
      <x:c r="O92" s="5" t="str">
        <x:v>1. 来源：prototype/pages/user/live/live-room.html 与 prototype/assets/common.js；未动态验证
2. 同步追溯：work/liveshow-user-live-testcases-260831-004/prototype-context-sync-result.json；RSL-0002、RSL-0003
3. 全局证据追溯：work/liveshow-user-live-testcases-260831-004/global-evidence-scan-result.json；扫描模式 incremental
4. 跨端重审：管理后台存在购买份数配置，用户 App 固定数量菜单与后台配置的最终关系见 Q-037</x:v>
      </x:c>
    </x:row>
    <x:row r="93" ht="115.5" customHeight="1">
      <x:c r="A93" s="5" t="n">
        <x:v>92</x:v>
      </x:c>
      <x:c r="B93" s="5" t="str">
        <x:v>LIVE-092</x:v>
      </x:c>
      <x:c r="C93" s="5" t="str">
        <x:v>用户App-直播模块</x:v>
      </x:c>
      <x:c r="D93" s="5" t="str">
        <x:v>直播间粉丝团</x:v>
      </x:c>
      <x:c r="E93" s="5" t="str">
        <x:v>业务流程</x:v>
      </x:c>
      <x:c r="F93" s="5" t="str">
        <x:v>P2</x:v>
      </x:c>
      <x:c r="G93" s="5" t="str">
        <x:v>验证加入粉丝团后建立团籍和群籍</x:v>
      </x:c>
      <x:c r="H93" s="5" t="str">
        <x:v>粉丝团与群籍建立</x:v>
      </x:c>
      <x:c r="I93" s="5" t="str">
        <x:v>1. 主播已创建粉丝团
2. 当前用户未加入且满足主播配置的加入条件
3. 粉丝团人数少于 500</x:v>
      </x:c>
      <x:c r="J93" s="5" t="str">
        <x:v>1. 点击直播间粉丝团入口
2. 查看粉丝团权益和条件
3. 点击加入</x:v>
      </x:c>
      <x:c r="K93" s="5" t="str">
        <x:v>直播间粉丝团状态更新为“已加入”</x:v>
      </x:c>
      <x:c r="L93" s="5" t="str"/>
      <x:c r="M93" s="5" t="str">
        <x:v>未测</x:v>
      </x:c>
      <x:c r="N93" s="5" t="str"/>
      <x:c r="O93" s="5" t="str">
        <x:v>1. 来源：context/01-用户主播App-项目需求清单.md
2. 来源：context/系统概要 .md（当前全局业务规则）
3. 来源：prototype/assets/annotations.js
4. 追溯：业务底稿 LIVE-035。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94" ht="115.5" customHeight="1">
      <x:c r="A94" s="5" t="n">
        <x:v>93</x:v>
      </x:c>
      <x:c r="B94" s="5" t="str">
        <x:v>LIVE-093</x:v>
      </x:c>
      <x:c r="C94" s="5" t="str">
        <x:v>用户App-直播模块</x:v>
      </x:c>
      <x:c r="D94" s="5" t="str">
        <x:v>直播间粉丝团</x:v>
      </x:c>
      <x:c r="E94" s="5" t="str">
        <x:v>业务流程</x:v>
      </x:c>
      <x:c r="F94" s="5" t="str">
        <x:v>P2</x:v>
      </x:c>
      <x:c r="G94" s="5" t="str">
        <x:v>验证加入粉丝团后的身份权益</x:v>
      </x:c>
      <x:c r="H94" s="5" t="str">
        <x:v>入团身份权益</x:v>
      </x:c>
      <x:c r="I94" s="5" t="str">
        <x:v>1. 主播已创建粉丝团
2. 当前用户未加入且满足主播配置的加入条件
3. 粉丝团人数少于 500</x:v>
      </x:c>
      <x:c r="J94" s="5" t="str">
        <x:v>1. 点击直播间粉丝团入口
2. 查看粉丝团权益和条件
3. 点击加入</x:v>
      </x:c>
      <x:c r="K94" s="5" t="str">
        <x:v>用户获得该粉丝团身份标识</x:v>
      </x:c>
      <x:c r="L94" s="5" t="str"/>
      <x:c r="M94" s="5" t="str">
        <x:v>未测</x:v>
      </x:c>
      <x:c r="N94" s="5" t="str"/>
      <x:c r="O94" s="5" t="str">
        <x:v>1. 来源：context/01-用户主播App-项目需求清单.md
2. 来源：context/系统概要 .md（当前全局业务规则）
3. 来源：prototype/assets/annotations.js
4. 追溯：业务底稿 LIVE-035。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95" ht="103.5" customHeight="1">
      <x:c r="A95" s="5" t="n">
        <x:v>94</x:v>
      </x:c>
      <x:c r="B95" s="5" t="str">
        <x:v>LIVE-094</x:v>
      </x:c>
      <x:c r="C95" s="5" t="str">
        <x:v>用户App-直播模块</x:v>
      </x:c>
      <x:c r="D95" s="5" t="str">
        <x:v>直播间粉丝团</x:v>
      </x:c>
      <x:c r="E95" s="5" t="str">
        <x:v>功能需求</x:v>
      </x:c>
      <x:c r="F95" s="5" t="str">
        <x:v>P2</x:v>
      </x:c>
      <x:c r="G95" s="5" t="str">
        <x:v>验证加入粉丝团成功反馈</x:v>
      </x:c>
      <x:c r="H95" s="5" t="str">
        <x:v>加入粉丝团反馈</x:v>
      </x:c>
      <x:c r="I95" s="5" t="str">
        <x:v>1. 用户正在观看 Sari 的直播
2. 用户尚未加入 Sari 粉丝团
3. 用户满足加入条件</x:v>
      </x:c>
      <x:c r="J95" s="5" t="str">
        <x:v>1. 打开粉丝团面板
2. 点击“加入粉丝团”</x:v>
      </x:c>
      <x:c r="K95" s="5" t="str">
        <x:v>页面提示“已加入 Sari 粉丝团”</x:v>
      </x:c>
      <x:c r="L95" s="5" t="str"/>
      <x:c r="M95" s="5" t="str">
        <x:v>未测</x:v>
      </x:c>
      <x:c r="N95" s="5" t="str"/>
      <x:c r="O95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96" ht="103.5" customHeight="1">
      <x:c r="A96" s="5" t="n">
        <x:v>95</x:v>
      </x:c>
      <x:c r="B96" s="5" t="str">
        <x:v>LIVE-095</x:v>
      </x:c>
      <x:c r="C96" s="5" t="str">
        <x:v>用户App-直播模块</x:v>
      </x:c>
      <x:c r="D96" s="5" t="str">
        <x:v>直播间粉丝团</x:v>
      </x:c>
      <x:c r="E96" s="5" t="str">
        <x:v>业务流程</x:v>
      </x:c>
      <x:c r="F96" s="5" t="str">
        <x:v>P1</x:v>
      </x:c>
      <x:c r="G96" s="5" t="str">
        <x:v>验证加入粉丝团后建立团籍</x:v>
      </x:c>
      <x:c r="H96" s="5" t="str">
        <x:v>粉丝团团籍建立</x:v>
      </x:c>
      <x:c r="I96" s="5" t="str">
        <x:v>1. 用户未加入 Sari 粉丝团
2. 用户满足加入条件</x:v>
      </x:c>
      <x:c r="J96" s="5" t="str">
        <x:v>1. 在 Sari 直播间点击“加入粉丝团”
2. 完成加入操作
3. 查看用户的粉丝团列表</x:v>
      </x:c>
      <x:c r="K96" s="5" t="str">
        <x:v>用户的粉丝团列表新增 Sari 粉丝团</x:v>
      </x:c>
      <x:c r="L96" s="5" t="str"/>
      <x:c r="M96" s="5" t="str">
        <x:v>未测</x:v>
      </x:c>
      <x:c r="N96" s="5" t="str"/>
      <x:c r="O96" s="5" t="str">
        <x:v>1. 来源：context/01-用户主播App-项目需求清单.md（2026-08-29 按原型同步，RSL-0002）
2. 来源：context/系统概要 .md（当前全局业务规则）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97" ht="103.5" customHeight="1">
      <x:c r="A97" s="5" t="n">
        <x:v>96</x:v>
      </x:c>
      <x:c r="B97" s="5" t="str">
        <x:v>LIVE-096</x:v>
      </x:c>
      <x:c r="C97" s="5" t="str">
        <x:v>用户App-直播模块</x:v>
      </x:c>
      <x:c r="D97" s="5" t="str">
        <x:v>直播间粉丝团</x:v>
      </x:c>
      <x:c r="E97" s="5" t="str">
        <x:v>业务流程</x:v>
      </x:c>
      <x:c r="F97" s="5" t="str">
        <x:v>P1</x:v>
      </x:c>
      <x:c r="G97" s="5" t="str">
        <x:v>验证加入粉丝团后建立群籍</x:v>
      </x:c>
      <x:c r="H97" s="5" t="str">
        <x:v>粉丝群群籍建立</x:v>
      </x:c>
      <x:c r="I97" s="5" t="str">
        <x:v>1. 用户未加入 Sari 粉丝团
2. 用户满足加入条件</x:v>
      </x:c>
      <x:c r="J97" s="5" t="str">
        <x:v>1. 在 Sari 直播间点击“加入粉丝团”
2. 完成加入操作
3. 查看 Sari 粉丝群成员</x:v>
      </x:c>
      <x:c r="K97" s="5" t="str">
        <x:v>Sari 粉丝群成员中新增当前用户</x:v>
      </x:c>
      <x:c r="L97" s="5" t="str"/>
      <x:c r="M97" s="5" t="str">
        <x:v>未测</x:v>
      </x:c>
      <x:c r="N97" s="5" t="str"/>
      <x:c r="O97" s="5" t="str">
        <x:v>1. 来源：context/01-用户主播App-项目需求清单.md（2026-08-29 按原型同步，RSL-0002）
2. 来源：context/系统概要 .md（当前全局业务规则）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98" ht="115.5" customHeight="1">
      <x:c r="A98" s="5" t="n">
        <x:v>97</x:v>
      </x:c>
      <x:c r="B98" s="5" t="str">
        <x:v>LIVE-097</x:v>
      </x:c>
      <x:c r="C98" s="5" t="str">
        <x:v>用户App-直播模块</x:v>
      </x:c>
      <x:c r="D98" s="5" t="str">
        <x:v>直播间举报</x:v>
      </x:c>
      <x:c r="E98" s="5" t="str">
        <x:v>逻辑校验</x:v>
      </x:c>
      <x:c r="F98" s="5" t="str">
        <x:v>P1</x:v>
      </x:c>
      <x:c r="G98" s="5" t="str">
        <x:v>验证未选择举报原因时不能提交</x:v>
      </x:c>
      <x:c r="H98" s="5" t="str">
        <x:v>举报原因必选</x:v>
      </x:c>
      <x:c r="I98" s="5" t="str">
        <x:v>1. 用户已进入举报直播间页面</x:v>
      </x:c>
      <x:c r="J98" s="5" t="str">
        <x:v>1. 保持举报原因未选择
2. 保持补充说明为空
3. 观察“提交”按钮</x:v>
      </x:c>
      <x:c r="K98" s="5" t="str">
        <x:v>未选择举报原因时提交按钮不可用</x:v>
      </x:c>
      <x:c r="L98" s="5" t="str"/>
      <x:c r="M98" s="5" t="str">
        <x:v>未测</x:v>
      </x:c>
      <x:c r="N98" s="5" t="str"/>
      <x:c r="O98" s="5" t="str">
        <x:v>1. 来源：prototype/assets/annotations.js
2. 来源：对应 HTML 静态原型；未动态验证
3. 追溯：业务底稿 LIVE-036。
4. 质量修正：按 RCL-0018 执行最小前置条件和单分支检查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99" ht="127.5" customHeight="1">
      <x:c r="A99" s="5" t="n">
        <x:v>98</x:v>
      </x:c>
      <x:c r="B99" s="5" t="str">
        <x:v>LIVE-098</x:v>
      </x:c>
      <x:c r="C99" s="5" t="str">
        <x:v>用户App-直播模块</x:v>
      </x:c>
      <x:c r="D99" s="5" t="str">
        <x:v>直播间举报</x:v>
      </x:c>
      <x:c r="E99" s="5" t="str">
        <x:v>业务流程</x:v>
      </x:c>
      <x:c r="F99" s="5" t="str">
        <x:v>P1</x:v>
      </x:c>
      <x:c r="G99" s="5" t="str">
        <x:v>验证提交直播间举报生成工单</x:v>
      </x:c>
      <x:c r="H99" s="5" t="str">
        <x:v>直播间举报工单</x:v>
      </x:c>
      <x:c r="I99" s="5" t="str">
        <x:v>1. 用户已登录并正在观看目标直播间</x:v>
      </x:c>
      <x:c r="J99" s="5" t="str">
        <x:v>1. 选择任一举报原因
2. 点击“提交”
3. 检查举报记录</x:v>
      </x:c>
      <x:c r="K99" s="5" t="str">
        <x:v>系统生成关联当前直播间和举报人的举报工单</x:v>
      </x:c>
      <x:c r="L99" s="5" t="str"/>
      <x:c r="M99" s="5" t="str">
        <x:v>未测</x:v>
      </x:c>
      <x:c r="N99" s="5" t="str"/>
      <x:c r="O99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LIVE-037。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100" ht="127.5" customHeight="1">
      <x:c r="A100" s="5" t="n">
        <x:v>99</x:v>
      </x:c>
      <x:c r="B100" s="5" t="str">
        <x:v>LIVE-099</x:v>
      </x:c>
      <x:c r="C100" s="5" t="str">
        <x:v>用户App-直播模块</x:v>
      </x:c>
      <x:c r="D100" s="5" t="str">
        <x:v>直播间举报</x:v>
      </x:c>
      <x:c r="E100" s="5" t="str">
        <x:v>业务流程</x:v>
      </x:c>
      <x:c r="F100" s="5" t="str">
        <x:v>P1</x:v>
      </x:c>
      <x:c r="G100" s="5" t="str">
        <x:v>验证提交直播间举报的成功提示</x:v>
      </x:c>
      <x:c r="H100" s="5" t="str">
        <x:v>直播间举报提示</x:v>
      </x:c>
      <x:c r="I100" s="5" t="str">
        <x:v>1. 用户已登录并正在观看目标直播间</x:v>
      </x:c>
      <x:c r="J100" s="5" t="str">
        <x:v>1. 选择任一举报原因
2. 点击“提交”
3. 查看页面反馈</x:v>
      </x:c>
      <x:c r="K100" s="5" t="str">
        <x:v>页面提示“举报已提交”</x:v>
      </x:c>
      <x:c r="L100" s="5" t="str"/>
      <x:c r="M100" s="5" t="str">
        <x:v>未测</x:v>
      </x:c>
      <x:c r="N100" s="5" t="str"/>
      <x:c r="O100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LIVE-037。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101" ht="127.5" customHeight="1">
      <x:c r="A101" s="5" t="n">
        <x:v>100</x:v>
      </x:c>
      <x:c r="B101" s="5" t="str">
        <x:v>LIVE-100</x:v>
      </x:c>
      <x:c r="C101" s="5" t="str">
        <x:v>用户App-直播模块</x:v>
      </x:c>
      <x:c r="D101" s="5" t="str">
        <x:v>直播间举报</x:v>
      </x:c>
      <x:c r="E101" s="5" t="str">
        <x:v>业务流程</x:v>
      </x:c>
      <x:c r="F101" s="5" t="str">
        <x:v>P1</x:v>
      </x:c>
      <x:c r="G101" s="5" t="str">
        <x:v>验证提交直播间举报后返回直播间</x:v>
      </x:c>
      <x:c r="H101" s="5" t="str">
        <x:v>直播间举报返回</x:v>
      </x:c>
      <x:c r="I101" s="5" t="str">
        <x:v>1. 用户已登录并正在观看目标直播间</x:v>
      </x:c>
      <x:c r="J101" s="5" t="str">
        <x:v>1. 打开更多功能
2. 点击“举报”
3. 选择“色情低俗”
4. 填写补充说明
5. 点击“提交”</x:v>
      </x:c>
      <x:c r="K101" s="5" t="str">
        <x:v>页面返回原直播间</x:v>
      </x:c>
      <x:c r="L101" s="5" t="str"/>
      <x:c r="M101" s="5" t="str">
        <x:v>未测</x:v>
      </x:c>
      <x:c r="N101" s="5" t="str"/>
      <x:c r="O101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LIVE-037。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102" ht="127.5" customHeight="1">
      <x:c r="A102" s="5" t="n">
        <x:v>101</x:v>
      </x:c>
      <x:c r="B102" s="5" t="str">
        <x:v>LIVE-101</x:v>
      </x:c>
      <x:c r="C102" s="5" t="str">
        <x:v>用户App-直播模块</x:v>
      </x:c>
      <x:c r="D102" s="5" t="str">
        <x:v>直播间举报</x:v>
      </x:c>
      <x:c r="E102" s="5" t="str">
        <x:v>业务流程</x:v>
      </x:c>
      <x:c r="F102" s="5" t="str">
        <x:v>P1</x:v>
      </x:c>
      <x:c r="G102" s="5" t="str">
        <x:v>验证提交用户举报生成工单</x:v>
      </x:c>
      <x:c r="H102" s="5" t="str">
        <x:v>用户举报工单</x:v>
      </x:c>
      <x:c r="I102" s="5" t="str">
        <x:v>1. 用户已登录
2. 直播间在线列表中存在目标用户</x:v>
      </x:c>
      <x:c r="J102" s="5" t="str">
        <x:v>1. 打开目标用户资料卡
2. 点击举报
3. 选择任一原因并提交
4. 检查举报记录</x:v>
      </x:c>
      <x:c r="K102" s="5" t="str">
        <x:v>系统生成关联目标用户和举报人的举报工单</x:v>
      </x:c>
      <x:c r="L102" s="5" t="str"/>
      <x:c r="M102" s="5" t="str">
        <x:v>未测</x:v>
      </x:c>
      <x:c r="N102" s="5" t="str"/>
      <x:c r="O102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LIVE-038。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103" ht="127.5" customHeight="1">
      <x:c r="A103" s="5" t="n">
        <x:v>102</x:v>
      </x:c>
      <x:c r="B103" s="5" t="str">
        <x:v>LIVE-102</x:v>
      </x:c>
      <x:c r="C103" s="5" t="str">
        <x:v>用户App-直播模块</x:v>
      </x:c>
      <x:c r="D103" s="5" t="str">
        <x:v>直播间举报</x:v>
      </x:c>
      <x:c r="E103" s="5" t="str">
        <x:v>业务流程</x:v>
      </x:c>
      <x:c r="F103" s="5" t="str">
        <x:v>P1</x:v>
      </x:c>
      <x:c r="G103" s="5" t="str">
        <x:v>验证提交用户举报的成功提示</x:v>
      </x:c>
      <x:c r="H103" s="5" t="str">
        <x:v>用户举报提示</x:v>
      </x:c>
      <x:c r="I103" s="5" t="str">
        <x:v>1. 用户已登录
2. 直播间在线列表中存在目标用户</x:v>
      </x:c>
      <x:c r="J103" s="5" t="str">
        <x:v>1. 打开目标用户资料卡
2. 点击举报
3. 选择任一原因并提交
4. 查看页面反馈</x:v>
      </x:c>
      <x:c r="K103" s="5" t="str">
        <x:v>页面提示“举报已提交”</x:v>
      </x:c>
      <x:c r="L103" s="5" t="str"/>
      <x:c r="M103" s="5" t="str">
        <x:v>未测</x:v>
      </x:c>
      <x:c r="N103" s="5" t="str"/>
      <x:c r="O103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LIVE-038。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104" ht="127.5" customHeight="1">
      <x:c r="A104" s="5" t="n">
        <x:v>103</x:v>
      </x:c>
      <x:c r="B104" s="5" t="str">
        <x:v>LIVE-103</x:v>
      </x:c>
      <x:c r="C104" s="5" t="str">
        <x:v>用户App-直播模块</x:v>
      </x:c>
      <x:c r="D104" s="5" t="str">
        <x:v>直播间举报</x:v>
      </x:c>
      <x:c r="E104" s="5" t="str">
        <x:v>业务流程</x:v>
      </x:c>
      <x:c r="F104" s="5" t="str">
        <x:v>P1</x:v>
      </x:c>
      <x:c r="G104" s="5" t="str">
        <x:v>验证提交用户举报后返回直播间</x:v>
      </x:c>
      <x:c r="H104" s="5" t="str">
        <x:v>用户举报返回</x:v>
      </x:c>
      <x:c r="I104" s="5" t="str">
        <x:v>1. 用户已登录
2. 直播间在线列表中存在目标用户</x:v>
      </x:c>
      <x:c r="J104" s="5" t="str">
        <x:v>1. 打开目标用户资料卡
2. 点击“举报”
3. 选择举报原因
4. 点击“提交”</x:v>
      </x:c>
      <x:c r="K104" s="5" t="str">
        <x:v>页面返回原直播间</x:v>
      </x:c>
      <x:c r="L104" s="5" t="str"/>
      <x:c r="M104" s="5" t="str">
        <x:v>未测</x:v>
      </x:c>
      <x:c r="N104" s="5" t="str"/>
      <x:c r="O104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LIVE-038。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105" ht="127.5" customHeight="1">
      <x:c r="A105" s="5" t="n">
        <x:v>104</x:v>
      </x:c>
      <x:c r="B105" s="5" t="str">
        <x:v>LIVE-104</x:v>
      </x:c>
      <x:c r="C105" s="5" t="str">
        <x:v>用户App-直播模块</x:v>
      </x:c>
      <x:c r="D105" s="5" t="str">
        <x:v>直播间举报</x:v>
      </x:c>
      <x:c r="E105" s="5" t="str">
        <x:v>逻辑校验</x:v>
      </x:c>
      <x:c r="F105" s="5" t="str">
        <x:v>P2</x:v>
      </x:c>
      <x:c r="G105" s="5" t="str">
        <x:v>验证举报主播不改变关注关系</x:v>
      </x:c>
      <x:c r="H105" s="5" t="str">
        <x:v>举报后关注关系保持</x:v>
      </x:c>
      <x:c r="I105" s="5" t="str">
        <x:v>1. 用户已关注目标主播
2. 用户已登录</x:v>
      </x:c>
      <x:c r="J105" s="5" t="str">
        <x:v>1. 提交目标主播的直播间举报
2. 举报成功后查看关注状态</x:v>
      </x:c>
      <x:c r="K105" s="5" t="str">
        <x:v>举报完成后，用户与目标主播的关注关系保持不变</x:v>
      </x:c>
      <x:c r="L105" s="5" t="str"/>
      <x:c r="M105" s="5" t="str">
        <x:v>未测</x:v>
      </x:c>
      <x:c r="N105" s="5" t="str"/>
      <x:c r="O105" s="5" t="str">
        <x:v>1. 来源：context/系统概要 .md（当前全局业务规则）
2. 追溯：业务底稿 LIVE-039。
3. 质量修正：按 RCL-0018 执行最小前置条件和单分支检查
4. 同步追溯：work/liveshow-user-live-testcases-260831-004/prototype-context-sync-result.json；RSL-0002、RSL-0003
5. 全局证据追溯：work/liveshow-user-live-testcases-260831-004/global-evidence-scan-result.json；扫描模式 incremental
6. 来源：prototype/pages/user/live/live-room-report.html、live-room-user-report.html 的提交后交互；静态分析，未动态验证</x:v>
      </x:c>
    </x:row>
    <x:row r="106" ht="91.5" customHeight="1">
      <x:c r="A106" s="5" t="n">
        <x:v>105</x:v>
      </x:c>
      <x:c r="B106" s="5" t="str">
        <x:v>LIVE-105</x:v>
      </x:c>
      <x:c r="C106" s="5" t="str">
        <x:v>用户App-直播模块</x:v>
      </x:c>
      <x:c r="D106" s="5" t="str">
        <x:v>直播间举报</x:v>
      </x:c>
      <x:c r="E106" s="5" t="str">
        <x:v>功能需求</x:v>
      </x:c>
      <x:c r="F106" s="5" t="str">
        <x:v>P2</x:v>
      </x:c>
      <x:c r="G106" s="5" t="str">
        <x:v>验证取消举报后返回直播间</x:v>
      </x:c>
      <x:c r="H106" s="5" t="str">
        <x:v>取消举报返回</x:v>
      </x:c>
      <x:c r="I106" s="5" t="str">
        <x:v>1. 直播间举报页面已打开且已选择举报原因</x:v>
      </x:c>
      <x:c r="J106" s="5" t="str">
        <x:v>1. 点击“取消”</x:v>
      </x:c>
      <x:c r="K106" s="5" t="str">
        <x:v>页面返回原直播间</x:v>
      </x:c>
      <x:c r="L106" s="5" t="str"/>
      <x:c r="M106" s="5" t="str">
        <x:v>未测</x:v>
      </x:c>
      <x:c r="N106" s="5" t="str"/>
      <x:c r="O106" s="5" t="str">
        <x:v>1. 来源：对应 HTML 静态原型；未动态验证
2. 追溯：业务底稿 LIVE-040。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107" ht="91.5" customHeight="1">
      <x:c r="A107" s="5" t="n">
        <x:v>106</x:v>
      </x:c>
      <x:c r="B107" s="5" t="str">
        <x:v>LIVE-106</x:v>
      </x:c>
      <x:c r="C107" s="5" t="str">
        <x:v>用户App-直播模块</x:v>
      </x:c>
      <x:c r="D107" s="5" t="str">
        <x:v>直播间举报</x:v>
      </x:c>
      <x:c r="E107" s="5" t="str">
        <x:v>功能需求</x:v>
      </x:c>
      <x:c r="F107" s="5" t="str">
        <x:v>P2</x:v>
      </x:c>
      <x:c r="G107" s="5" t="str">
        <x:v>验证取消举报不生成工单</x:v>
      </x:c>
      <x:c r="H107" s="5" t="str">
        <x:v>取消举报工单</x:v>
      </x:c>
      <x:c r="I107" s="5" t="str">
        <x:v>1. 直播间举报页面已打开且已选择举报原因</x:v>
      </x:c>
      <x:c r="J107" s="5" t="str">
        <x:v>1. 点击“取消”</x:v>
      </x:c>
      <x:c r="K107" s="5" t="str">
        <x:v>系统不生成举报工单</x:v>
      </x:c>
      <x:c r="L107" s="5" t="str"/>
      <x:c r="M107" s="5" t="str">
        <x:v>未测</x:v>
      </x:c>
      <x:c r="N107" s="5" t="str"/>
      <x:c r="O107" s="5" t="str">
        <x:v>1. 来源：对应 HTML 静态原型；未动态验证
2. 追溯：业务底稿 LIVE-040。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108" ht="103.5" customHeight="1">
      <x:c r="A108" s="5" t="n">
        <x:v>107</x:v>
      </x:c>
      <x:c r="B108" s="5" t="str">
        <x:v>LIVE-107</x:v>
      </x:c>
      <x:c r="C108" s="5" t="str">
        <x:v>用户App-直播模块</x:v>
      </x:c>
      <x:c r="D108" s="5" t="str">
        <x:v>直播间举报</x:v>
      </x:c>
      <x:c r="E108" s="5" t="str">
        <x:v>逻辑校验</x:v>
      </x:c>
      <x:c r="F108" s="5" t="str">
        <x:v>P2</x:v>
      </x:c>
      <x:c r="G108" s="5" t="str">
        <x:v>验证补充说明可以输入 200 字</x:v>
      </x:c>
      <x:c r="H108" s="5" t="str">
        <x:v>补充说明 200 字边界</x:v>
      </x:c>
      <x:c r="I108" s="5" t="str">
        <x:v>1. 用户已进入直播举报页面
2. 已选择举报原因</x:v>
      </x:c>
      <x:c r="J108" s="5" t="str">
        <x:v>1. 在补充说明输入 200 个字符</x:v>
      </x:c>
      <x:c r="K108" s="5" t="str">
        <x:v>输入框保留前 200 个字符</x:v>
      </x:c>
      <x:c r="L108" s="5" t="str"/>
      <x:c r="M108" s="5" t="str">
        <x:v>未测</x:v>
      </x:c>
      <x:c r="N108" s="5" t="str"/>
      <x:c r="O108" s="5" t="str">
        <x:v>1. 来源：对应 HTML 静态原型；未动态验证
2. 追溯：业务底稿 LIVE-041。
3. 质量修正：按 RCL-0018 执行最小前置条件和单分支检查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09" ht="103.5" customHeight="1">
      <x:c r="A109" s="5" t="n">
        <x:v>108</x:v>
      </x:c>
      <x:c r="B109" s="5" t="str">
        <x:v>LIVE-108</x:v>
      </x:c>
      <x:c r="C109" s="5" t="str">
        <x:v>用户App-直播模块</x:v>
      </x:c>
      <x:c r="D109" s="5" t="str">
        <x:v>直播间举报</x:v>
      </x:c>
      <x:c r="E109" s="5" t="str">
        <x:v>逻辑校验</x:v>
      </x:c>
      <x:c r="F109" s="5" t="str">
        <x:v>P2</x:v>
      </x:c>
      <x:c r="G109" s="5" t="str">
        <x:v>验证补充说明第 201 字被限制</x:v>
      </x:c>
      <x:c r="H109" s="5" t="str">
        <x:v>补充说明超长限制</x:v>
      </x:c>
      <x:c r="I109" s="5" t="str">
        <x:v>1. 用户已进入直播举报页面
2. 已选择举报原因</x:v>
      </x:c>
      <x:c r="J109" s="5" t="str">
        <x:v>1. 在补充说明输入 200 个字符
2. 继续输入第 201 个字符</x:v>
      </x:c>
      <x:c r="K109" s="5" t="str">
        <x:v>第 201 个字符不进入输入框</x:v>
      </x:c>
      <x:c r="L109" s="5" t="str"/>
      <x:c r="M109" s="5" t="str">
        <x:v>未测</x:v>
      </x:c>
      <x:c r="N109" s="5" t="str"/>
      <x:c r="O109" s="5" t="str">
        <x:v>1. 来源：对应 HTML 静态原型；未动态验证
2. 追溯：业务底稿 LIVE-041。
3. 质量修正：按 RCL-0018 执行最小前置条件和单分支检查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10" ht="103.5" customHeight="1">
      <x:c r="A110" s="5" t="n">
        <x:v>109</x:v>
      </x:c>
      <x:c r="B110" s="5" t="str">
        <x:v>LIVE-109</x:v>
      </x:c>
      <x:c r="C110" s="5" t="str">
        <x:v>用户App-直播模块</x:v>
      </x:c>
      <x:c r="D110" s="5" t="str">
        <x:v>直播间举报</x:v>
      </x:c>
      <x:c r="E110" s="5" t="str">
        <x:v>逻辑校验</x:v>
      </x:c>
      <x:c r="F110" s="5" t="str">
        <x:v>P2</x:v>
      </x:c>
      <x:c r="G110" s="5" t="str">
        <x:v>验证 200 字补充说明可以提交</x:v>
      </x:c>
      <x:c r="H110" s="5" t="str">
        <x:v>补充说明提交</x:v>
      </x:c>
      <x:c r="I110" s="5" t="str">
        <x:v>1. 用户已进入直播举报页面
2. 已选择举报原因</x:v>
      </x:c>
      <x:c r="J110" s="5" t="str">
        <x:v>1. 选择举报原因
2. 输入 200 个字符
3. 点击“提交”</x:v>
      </x:c>
      <x:c r="K110" s="5" t="str">
        <x:v>已有 200 个字符可随举报原因一并提交</x:v>
      </x:c>
      <x:c r="L110" s="5" t="str"/>
      <x:c r="M110" s="5" t="str">
        <x:v>未测</x:v>
      </x:c>
      <x:c r="N110" s="5" t="str"/>
      <x:c r="O110" s="5" t="str">
        <x:v>1. 来源：对应 HTML 静态原型；未动态验证
2. 追溯：业务底稿 LIVE-041。
3. 质量修正：按 RCL-0018 执行最小前置条件和单分支检查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11" ht="127.5" customHeight="1">
      <x:c r="A111" s="5" t="n">
        <x:v>110</x:v>
      </x:c>
      <x:c r="B111" s="5" t="str">
        <x:v>LIVE-110</x:v>
      </x:c>
      <x:c r="C111" s="5" t="str">
        <x:v>用户App-直播模块</x:v>
      </x:c>
      <x:c r="D111" s="5" t="str">
        <x:v>直播间举报</x:v>
      </x:c>
      <x:c r="E111" s="5" t="str">
        <x:v>功能需求</x:v>
      </x:c>
      <x:c r="F111" s="5" t="str">
        <x:v>P1</x:v>
      </x:c>
      <x:c r="G111" s="5" t="str">
        <x:v>验证直播举报原因范围</x:v>
      </x:c>
      <x:c r="H111" s="5" t="str">
        <x:v>举报原因选项</x:v>
      </x:c>
      <x:c r="I111" s="5" t="str">
        <x:v>1. 用户已进入直播举报页</x:v>
      </x:c>
      <x:c r="J111" s="5" t="str">
        <x:v>1. 查看举报原因列表</x:v>
      </x:c>
      <x:c r="K111" s="5" t="str">
        <x:v>页面展示“色情低俗”“涉及宗教政治”“暴恐血腥”“未成年有害”和“其他”五个原因</x:v>
      </x:c>
      <x:c r="L111" s="5" t="str"/>
      <x:c r="M111" s="5" t="str">
        <x:v>未测</x:v>
      </x:c>
      <x:c r="N111" s="5" t="str"/>
      <x:c r="O111" s="5" t="str">
        <x:v>1. 来源：context/01-用户主播App-项目需求清单.md（2026-08-29 按原型同步，RSL-0002）
2. 来源：prototype/assets/annotations.js
3. 来源：prototype/pages/user/live/live-room-report.html、live-room-user-report.html 与当页交互脚本；未动态验证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12" ht="91.5" customHeight="1">
      <x:c r="A112" s="5" t="n">
        <x:v>111</x:v>
      </x:c>
      <x:c r="B112" s="5" t="str">
        <x:v>LIVE-111</x:v>
      </x:c>
      <x:c r="C112" s="5" t="str">
        <x:v>用户App-直播模块</x:v>
      </x:c>
      <x:c r="D112" s="5" t="str">
        <x:v>直播间举报</x:v>
      </x:c>
      <x:c r="E112" s="5" t="str">
        <x:v>功能需求</x:v>
      </x:c>
      <x:c r="F112" s="5" t="str">
        <x:v>P2</x:v>
      </x:c>
      <x:c r="G112" s="5" t="str">
        <x:v>验证选择举报原因后可以提交</x:v>
      </x:c>
      <x:c r="H112" s="5" t="str">
        <x:v>选择原因后提交状态</x:v>
      </x:c>
      <x:c r="I112" s="5" t="str">
        <x:v>1. 直播举报页已打开
2. 尚未选择举报原因</x:v>
      </x:c>
      <x:c r="J112" s="5" t="str">
        <x:v>1. 选择“色情低俗”</x:v>
      </x:c>
      <x:c r="K112" s="5" t="str">
        <x:v>提交举报按钮变为可用</x:v>
      </x:c>
      <x:c r="L112" s="5" t="str"/>
      <x:c r="M112" s="5" t="str">
        <x:v>未测</x:v>
      </x:c>
      <x:c r="N112" s="5" t="str"/>
      <x:c r="O112" s="5" t="str">
        <x:v>1. 来源：prototype/pages/user/live/live-room-report.html、live-room-user-report.html 与当页交互脚本；未动态验证
2. 同步追溯：work/liveshow-user-live-testcases-260831-004/prototype-context-sync-result.json；RSL-0002、RSL-0003
3. 全局证据追溯：work/liveshow-user-live-testcases-260831-004/global-evidence-scan-result.json；扫描模式 incremental</x:v>
      </x:c>
    </x:row>
    <x:row r="113" ht="139.5" customHeight="1">
      <x:c r="A113" s="5" t="n">
        <x:v>112</x:v>
      </x:c>
      <x:c r="B113" s="5" t="str">
        <x:v>LIVE-112</x:v>
      </x:c>
      <x:c r="C113" s="5" t="str">
        <x:v>用户App-直播模块</x:v>
      </x:c>
      <x:c r="D113" s="5" t="str">
        <x:v>直播间举报</x:v>
      </x:c>
      <x:c r="E113" s="5" t="str">
        <x:v>逻辑校验</x:v>
      </x:c>
      <x:c r="F113" s="5" t="str">
        <x:v>P2</x:v>
      </x:c>
      <x:c r="G113" s="5" t="str">
        <x:v>验证举报用户不改变好友关系</x:v>
      </x:c>
      <x:c r="H113" s="5" t="str">
        <x:v>举报后好友关系保持</x:v>
      </x:c>
      <x:c r="I113" s="5" t="str">
        <x:v>1. 当前用户与目标用户已是好友
2. 当前用户已登录</x:v>
      </x:c>
      <x:c r="J113" s="5" t="str">
        <x:v>1. 从目标用户资料卡提交用户举报
2. 举报成功后查看好友关系</x:v>
      </x:c>
      <x:c r="K113" s="5" t="str">
        <x:v>举报完成后，当前用户与目标用户的好友关系保持不变</x:v>
      </x:c>
      <x:c r="L113" s="5" t="str"/>
      <x:c r="M113" s="5" t="str">
        <x:v>未测</x:v>
      </x:c>
      <x:c r="N113" s="5" t="str"/>
      <x:c r="O113" s="5" t="str">
        <x:v>1. 来源：context/系统概要 .md（当前全局业务规则）
2. 来源：prototype/pages/user/live/live-room-report.html、live-room-user-report.html 与当页交互脚本；未动态验证
3. 质量修正：按 RCL-0018 执行最小前置条件和单分支检查
4. 同步追溯：work/liveshow-user-live-testcases-260831-004/prototype-context-sync-result.json；RSL-0002、RSL-0003
5. 全局证据追溯：work/liveshow-user-live-testcases-260831-004/global-evidence-scan-result.json；扫描模式 incremental
6. 来源：prototype/pages/user/live/live-room-report.html、live-room-user-report.html 的提交后交互；静态分析，未动态验证</x:v>
      </x:c>
    </x:row>
    <x:row r="114" ht="139.5" customHeight="1">
      <x:c r="A114" s="5" t="n">
        <x:v>113</x:v>
      </x:c>
      <x:c r="B114" s="5" t="str">
        <x:v>LIVE-113</x:v>
      </x:c>
      <x:c r="C114" s="5" t="str">
        <x:v>用户App-直播模块</x:v>
      </x:c>
      <x:c r="D114" s="5" t="str">
        <x:v>直播间举报</x:v>
      </x:c>
      <x:c r="E114" s="5" t="str">
        <x:v>逻辑校验</x:v>
      </x:c>
      <x:c r="F114" s="5" t="str">
        <x:v>P2</x:v>
      </x:c>
      <x:c r="G114" s="5" t="str">
        <x:v>验证举报主播不改变粉丝团团籍</x:v>
      </x:c>
      <x:c r="H114" s="5" t="str">
        <x:v>举报后粉丝团团籍保持</x:v>
      </x:c>
      <x:c r="I114" s="5" t="str">
        <x:v>1. 用户已加入目标主播的粉丝团
2. 用户已登录</x:v>
      </x:c>
      <x:c r="J114" s="5" t="str">
        <x:v>1. 提交目标主播的直播间举报
2. 举报成功后查看粉丝团列表</x:v>
      </x:c>
      <x:c r="K114" s="5" t="str">
        <x:v>举报完成后，用户在目标主播粉丝团中的团籍保持不变</x:v>
      </x:c>
      <x:c r="L114" s="5" t="str"/>
      <x:c r="M114" s="5" t="str">
        <x:v>未测</x:v>
      </x:c>
      <x:c r="N114" s="5" t="str"/>
      <x:c r="O114" s="5" t="str">
        <x:v>1. 来源：context/系统概要 .md（当前全局业务规则）
2. 来源：prototype/pages/user/live/live-room-report.html、live-room-user-report.html 与当页交互脚本；未动态验证
3. 质量修正：按 RCL-0018 执行最小前置条件和单分支检查
4. 同步追溯：work/liveshow-user-live-testcases-260831-004/prototype-context-sync-result.json；RSL-0002、RSL-0003
5. 全局证据追溯：work/liveshow-user-live-testcases-260831-004/global-evidence-scan-result.json；扫描模式 incremental
6. 来源：prototype/pages/user/live/live-room-report.html、live-room-user-report.html 的提交后交互；静态分析，未动态验证</x:v>
      </x:c>
    </x:row>
    <x:row r="115" ht="103.5" customHeight="1">
      <x:c r="A115" s="5" t="n">
        <x:v>114</x:v>
      </x:c>
      <x:c r="B115" s="5" t="str">
        <x:v>LIVE-114</x:v>
      </x:c>
      <x:c r="C115" s="5" t="str">
        <x:v>用户App-直播模块</x:v>
      </x:c>
      <x:c r="D115" s="5" t="str">
        <x:v>直播间举报</x:v>
      </x:c>
      <x:c r="E115" s="5" t="str">
        <x:v>逻辑校验</x:v>
      </x:c>
      <x:c r="F115" s="5" t="str">
        <x:v>P2</x:v>
      </x:c>
      <x:c r="G115" s="5" t="str">
        <x:v>验证用户举报补充说明可以输入 200 字</x:v>
      </x:c>
      <x:c r="H115" s="5" t="str">
        <x:v>用户举报补充说明 200 字边界</x:v>
      </x:c>
      <x:c r="I115" s="5" t="str">
        <x:v>1. 用户已进入用户举报页面
2. 已选择举报原因</x:v>
      </x:c>
      <x:c r="J115" s="5" t="str">
        <x:v>1. 在补充说明输入 200 个字符</x:v>
      </x:c>
      <x:c r="K115" s="5" t="str">
        <x:v>输入框保留前 200 个字符</x:v>
      </x:c>
      <x:c r="L115" s="5" t="str"/>
      <x:c r="M115" s="5" t="str">
        <x:v>未测</x:v>
      </x:c>
      <x:c r="N115" s="5" t="str"/>
      <x:c r="O115" s="5" t="str">
        <x:v>1. 来源：prototype/pages/user/live/live-room-report.html、live-room-user-report.html 与当页交互脚本；未动态验证
2. 质量修正：按 RCL-0018 执行最小前置条件和单分支检查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116" ht="103.5" customHeight="1">
      <x:c r="A116" s="5" t="n">
        <x:v>115</x:v>
      </x:c>
      <x:c r="B116" s="5" t="str">
        <x:v>LIVE-115</x:v>
      </x:c>
      <x:c r="C116" s="5" t="str">
        <x:v>用户App-直播模块</x:v>
      </x:c>
      <x:c r="D116" s="5" t="str">
        <x:v>直播间举报</x:v>
      </x:c>
      <x:c r="E116" s="5" t="str">
        <x:v>逻辑校验</x:v>
      </x:c>
      <x:c r="F116" s="5" t="str">
        <x:v>P2</x:v>
      </x:c>
      <x:c r="G116" s="5" t="str">
        <x:v>验证用户举报补充说明第 201 字被限制</x:v>
      </x:c>
      <x:c r="H116" s="5" t="str">
        <x:v>用户举报补充说明超长限制</x:v>
      </x:c>
      <x:c r="I116" s="5" t="str">
        <x:v>1. 用户已进入用户举报页面
2. 已选择举报原因</x:v>
      </x:c>
      <x:c r="J116" s="5" t="str">
        <x:v>1. 在补充说明输入 200 个字符
2. 继续输入第 201 个字符</x:v>
      </x:c>
      <x:c r="K116" s="5" t="str">
        <x:v>第 201 个字符不进入输入框</x:v>
      </x:c>
      <x:c r="L116" s="5" t="str"/>
      <x:c r="M116" s="5" t="str">
        <x:v>未测</x:v>
      </x:c>
      <x:c r="N116" s="5" t="str"/>
      <x:c r="O116" s="5" t="str">
        <x:v>1. 来源：prototype/pages/user/live/live-room-report.html、live-room-user-report.html 与当页交互脚本；未动态验证
2. 质量修正：按 RCL-0018 执行最小前置条件和单分支检查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117" ht="103.5" customHeight="1">
      <x:c r="A117" s="5" t="n">
        <x:v>116</x:v>
      </x:c>
      <x:c r="B117" s="5" t="str">
        <x:v>LIVE-116</x:v>
      </x:c>
      <x:c r="C117" s="5" t="str">
        <x:v>用户App-直播模块</x:v>
      </x:c>
      <x:c r="D117" s="5" t="str">
        <x:v>直播间举报</x:v>
      </x:c>
      <x:c r="E117" s="5" t="str">
        <x:v>逻辑校验</x:v>
      </x:c>
      <x:c r="F117" s="5" t="str">
        <x:v>P2</x:v>
      </x:c>
      <x:c r="G117" s="5" t="str">
        <x:v>验证用户举报的 200 字补充说明可以提交</x:v>
      </x:c>
      <x:c r="H117" s="5" t="str">
        <x:v>用户举报补充说明提交</x:v>
      </x:c>
      <x:c r="I117" s="5" t="str">
        <x:v>1. 用户已进入用户举报页面
2. 已选择举报原因</x:v>
      </x:c>
      <x:c r="J117" s="5" t="str">
        <x:v>1. 输入 200 个字符
2. 点击“提交”</x:v>
      </x:c>
      <x:c r="K117" s="5" t="str">
        <x:v>已有 200 个字符可随用户举报原因一并提交</x:v>
      </x:c>
      <x:c r="L117" s="5" t="str"/>
      <x:c r="M117" s="5" t="str">
        <x:v>未测</x:v>
      </x:c>
      <x:c r="N117" s="5" t="str"/>
      <x:c r="O117" s="5" t="str">
        <x:v>1. 来源：prototype/pages/user/live/live-room-report.html、live-room-user-report.html 与当页交互脚本；未动态验证
2. 质量修正：按 RCL-0018 执行最小前置条件和单分支检查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118" ht="115.5" customHeight="1">
      <x:c r="A118" s="5" t="n">
        <x:v>117</x:v>
      </x:c>
      <x:c r="B118" s="5" t="str">
        <x:v>LIVE-117</x:v>
      </x:c>
      <x:c r="C118" s="5" t="str">
        <x:v>用户App-直播模块</x:v>
      </x:c>
      <x:c r="D118" s="5" t="str">
        <x:v>开播设置</x:v>
      </x:c>
      <x:c r="E118" s="5" t="str">
        <x:v>业务流程</x:v>
      </x:c>
      <x:c r="F118" s="5" t="str">
        <x:v>P0</x:v>
      </x:c>
      <x:c r="G118" s="5" t="str">
        <x:v>验证具备直播权限的主播进入开播设置</x:v>
      </x:c>
      <x:c r="H118" s="5" t="str">
        <x:v>开播设置入口</x:v>
      </x:c>
      <x:c r="I118" s="5" t="str">
        <x:v>1. 用户已加入工会并通过主播认证
2. 平台与工会均已开启直播权限</x:v>
      </x:c>
      <x:c r="J118" s="5" t="str">
        <x:v>1. 进入主播中心
2. 点击“开始直播”</x:v>
      </x:c>
      <x:c r="K118" s="5" t="str">
        <x:v>具备权限的主播进入开播设置页，可见摄像头预览、标题、封面、分类、房型和美颜入口</x:v>
      </x:c>
      <x:c r="L118" s="5" t="str"/>
      <x:c r="M118" s="5" t="str">
        <x:v>未测</x:v>
      </x:c>
      <x:c r="N118" s="5" t="str"/>
      <x:c r="O118" s="5" t="str">
        <x:v>1. 来源：context/01-用户主播App-项目需求清单.md
2. 来源：context/系统概要 .md（当前全局业务规则）
3. 来源：prototype/Luma Live-原型说明.md
4. 追溯：业务底稿 LIVE-046。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119" ht="115.5" customHeight="1">
      <x:c r="A119" s="5" t="n">
        <x:v>118</x:v>
      </x:c>
      <x:c r="B119" s="5" t="str">
        <x:v>LIVE-118</x:v>
      </x:c>
      <x:c r="C119" s="5" t="str">
        <x:v>用户App-直播模块</x:v>
      </x:c>
      <x:c r="D119" s="5" t="str">
        <x:v>开播设置</x:v>
      </x:c>
      <x:c r="E119" s="5" t="str">
        <x:v>异常用例</x:v>
      </x:c>
      <x:c r="F119" s="5" t="str">
        <x:v>P1</x:v>
      </x:c>
      <x:c r="G119" s="5" t="str">
        <x:v>验证平台关闭直播权限后不能开播</x:v>
      </x:c>
      <x:c r="H119" s="5" t="str">
        <x:v>平台直播权限限制</x:v>
      </x:c>
      <x:c r="I119" s="5" t="str">
        <x:v>1. 主播认证已通过
2. 平台已关闭该主播直播权限</x:v>
      </x:c>
      <x:c r="J119" s="5" t="str">
        <x:v>1. 进入主播中心
2. 尝试进入开播设置并开始直播</x:v>
      </x:c>
      <x:c r="K119" s="5" t="str">
        <x:v>主播不能创建直播场次</x:v>
      </x:c>
      <x:c r="L119" s="5" t="str"/>
      <x:c r="M119" s="5" t="str">
        <x:v>未测</x:v>
      </x:c>
      <x:c r="N119" s="5" t="str"/>
      <x:c r="O119" s="5" t="str">
        <x:v>1. 来源：context/01-用户主播App-项目需求清单.md
2. 来源：context/系统概要 .md（当前全局业务规则）
3. 追溯：业务底稿 LIVE-047。
4. 质量修正：按 RCL-0018 执行最小前置条件和单分支检查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120" ht="115.5" customHeight="1">
      <x:c r="A120" s="5" t="n">
        <x:v>119</x:v>
      </x:c>
      <x:c r="B120" s="5" t="str">
        <x:v>LIVE-119</x:v>
      </x:c>
      <x:c r="C120" s="5" t="str">
        <x:v>用户App-直播模块</x:v>
      </x:c>
      <x:c r="D120" s="5" t="str">
        <x:v>开播设置</x:v>
      </x:c>
      <x:c r="E120" s="5" t="str">
        <x:v>异常用例</x:v>
      </x:c>
      <x:c r="F120" s="5" t="str">
        <x:v>P1</x:v>
      </x:c>
      <x:c r="G120" s="5" t="str">
        <x:v>验证直播权限关闭原因展示</x:v>
      </x:c>
      <x:c r="H120" s="5" t="str">
        <x:v>直播权限关闭原因</x:v>
      </x:c>
      <x:c r="I120" s="5" t="str">
        <x:v>1. 主播认证已通过
2. 平台已关闭该主播直播权限</x:v>
      </x:c>
      <x:c r="J120" s="5" t="str">
        <x:v>1. 进入主播中心
2. 尝试进入开播设置并开始直播</x:v>
      </x:c>
      <x:c r="K120" s="5" t="str">
        <x:v>直播权限状态展示已关闭及已有原因</x:v>
      </x:c>
      <x:c r="L120" s="5" t="str"/>
      <x:c r="M120" s="5" t="str">
        <x:v>未测</x:v>
      </x:c>
      <x:c r="N120" s="5" t="str"/>
      <x:c r="O120" s="5" t="str">
        <x:v>1. 来源：context/01-用户主播App-项目需求清单.md
2. 来源：context/系统概要 .md（当前全局业务规则）
3. 追溯：业务底稿 LIVE-047。
4. 质量修正：按 RCL-0018 执行最小前置条件和单分支检查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121" ht="115.5" customHeight="1">
      <x:c r="A121" s="5" t="n">
        <x:v>120</x:v>
      </x:c>
      <x:c r="B121" s="5" t="str">
        <x:v>LIVE-120</x:v>
      </x:c>
      <x:c r="C121" s="5" t="str">
        <x:v>用户App-直播模块</x:v>
      </x:c>
      <x:c r="D121" s="5" t="str">
        <x:v>开播设置</x:v>
      </x:c>
      <x:c r="E121" s="5" t="str">
        <x:v>异常用例</x:v>
      </x:c>
      <x:c r="F121" s="5" t="str">
        <x:v>P1</x:v>
      </x:c>
      <x:c r="G121" s="5" t="str">
        <x:v>验证工会不能覆盖平台直播权限</x:v>
      </x:c>
      <x:c r="H121" s="5" t="str">
        <x:v>直播权限优先级</x:v>
      </x:c>
      <x:c r="I121" s="5" t="str">
        <x:v>1. 主播认证已通过
2. 平台已关闭该主播直播权限</x:v>
      </x:c>
      <x:c r="J121" s="5" t="str">
        <x:v>1. 进入主播中心
2. 尝试进入开播设置并开始直播</x:v>
      </x:c>
      <x:c r="K121" s="5" t="str">
        <x:v>工会侧开启操作不能覆盖平台关闭状态</x:v>
      </x:c>
      <x:c r="L121" s="5" t="str"/>
      <x:c r="M121" s="5" t="str">
        <x:v>未测</x:v>
      </x:c>
      <x:c r="N121" s="5" t="str"/>
      <x:c r="O121" s="5" t="str">
        <x:v>1. 来源：context/01-用户主播App-项目需求清单.md
2. 来源：context/系统概要 .md（当前全局业务规则）
3. 追溯：业务底稿 LIVE-047。
4. 质量修正：按 RCL-0018 执行最小前置条件和单分支检查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122" ht="115.5" customHeight="1">
      <x:c r="A122" s="5" t="n">
        <x:v>121</x:v>
      </x:c>
      <x:c r="B122" s="5" t="str">
        <x:v>LIVE-121</x:v>
      </x:c>
      <x:c r="C122" s="5" t="str">
        <x:v>用户App-直播模块</x:v>
      </x:c>
      <x:c r="D122" s="5" t="str">
        <x:v>开播设置</x:v>
      </x:c>
      <x:c r="E122" s="5" t="str">
        <x:v>功能需求</x:v>
      </x:c>
      <x:c r="F122" s="5" t="str">
        <x:v>P1</x:v>
      </x:c>
      <x:c r="G122" s="5" t="str">
        <x:v>验证主播保存有效直播标题</x:v>
      </x:c>
      <x:c r="H122" s="5" t="str">
        <x:v>直播标题保存</x:v>
      </x:c>
      <x:c r="I122" s="5" t="str">
        <x:v>1. 主播已进入开播设置</x:v>
      </x:c>
      <x:c r="J122" s="5" t="str">
        <x:v>1. 点击“修改主题”
2. 输入“今晚唱到你睡着”
3. 点击“保存”</x:v>
      </x:c>
      <x:c r="K122" s="5" t="str">
        <x:v>保存后开播设置页回显新的直播标题</x:v>
      </x:c>
      <x:c r="L122" s="5" t="str"/>
      <x:c r="M122" s="5" t="str">
        <x:v>未测</x:v>
      </x:c>
      <x:c r="N122" s="5" t="str"/>
      <x:c r="O122" s="5" t="str">
        <x:v>1. 来源：context/01-用户主播App-项目需求清单.md
2. 来源：prototype/assets/annotations.js
3. 来源：对应 HTML 静态原型；未动态验证
4. 追溯：业务底稿 LIVE-048。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123" ht="103.5" customHeight="1">
      <x:c r="A123" s="5" t="n">
        <x:v>122</x:v>
      </x:c>
      <x:c r="B123" s="5" t="str">
        <x:v>LIVE-122</x:v>
      </x:c>
      <x:c r="C123" s="5" t="str">
        <x:v>用户App-直播模块</x:v>
      </x:c>
      <x:c r="D123" s="5" t="str">
        <x:v>开播设置</x:v>
      </x:c>
      <x:c r="E123" s="5" t="str">
        <x:v>逻辑校验</x:v>
      </x:c>
      <x:c r="F123" s="5" t="str">
        <x:v>P1</x:v>
      </x:c>
      <x:c r="G123" s="5" t="str">
        <x:v>验证空直播标题不能保存</x:v>
      </x:c>
      <x:c r="H123" s="5" t="str">
        <x:v>直播标题必填</x:v>
      </x:c>
      <x:c r="I123" s="5" t="str">
        <x:v>1. 主播已打开“修改主题”</x:v>
      </x:c>
      <x:c r="J123" s="5" t="str">
        <x:v>1. 清空标题
2. 点击“保存”</x:v>
      </x:c>
      <x:c r="K123" s="5" t="str">
        <x:v>页面提示“请设置直播标题”</x:v>
      </x:c>
      <x:c r="L123" s="5" t="str"/>
      <x:c r="M123" s="5" t="str">
        <x:v>未测</x:v>
      </x:c>
      <x:c r="N123" s="5" t="str"/>
      <x:c r="O123" s="5" t="str">
        <x:v>1. 来源：对应 HTML 静态原型；未动态验证
2. 追溯：业务底稿 LIVE-049。
3. 质量修正：按 RCL-0018 执行最小前置条件和单分支检查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24" ht="91.5" customHeight="1">
      <x:c r="A124" s="5" t="n">
        <x:v>123</x:v>
      </x:c>
      <x:c r="B124" s="5" t="str">
        <x:v>LIVE-123</x:v>
      </x:c>
      <x:c r="C124" s="5" t="str">
        <x:v>用户App-直播模块</x:v>
      </x:c>
      <x:c r="D124" s="5" t="str">
        <x:v>开播设置</x:v>
      </x:c>
      <x:c r="E124" s="5" t="str">
        <x:v>逻辑校验</x:v>
      </x:c>
      <x:c r="F124" s="5" t="str">
        <x:v>P2</x:v>
      </x:c>
      <x:c r="G124" s="5" t="str">
        <x:v>验证 40 字直播标题可以保存</x:v>
      </x:c>
      <x:c r="H124" s="5" t="str">
        <x:v>标题 40 字边界</x:v>
      </x:c>
      <x:c r="I124" s="5" t="str">
        <x:v>1. 主播已打开“修改主题”</x:v>
      </x:c>
      <x:c r="J124" s="5" t="str">
        <x:v>1. 输入 40 个字符并保存
2. 再次打开并继续输入第 41 个字符</x:v>
      </x:c>
      <x:c r="K124" s="5" t="str">
        <x:v>保存后开播设置页完整回显 40 个字符的标题</x:v>
      </x:c>
      <x:c r="L124" s="5" t="str"/>
      <x:c r="M124" s="5" t="str">
        <x:v>未测</x:v>
      </x:c>
      <x:c r="N124" s="5" t="str"/>
      <x:c r="O124" s="5" t="str">
        <x:v>1. 来源：对应 HTML 静态原型；未动态验证
2. 追溯：业务底稿 LIVE-050。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125" ht="91.5" customHeight="1">
      <x:c r="A125" s="5" t="n">
        <x:v>124</x:v>
      </x:c>
      <x:c r="B125" s="5" t="str">
        <x:v>LIVE-124</x:v>
      </x:c>
      <x:c r="C125" s="5" t="str">
        <x:v>用户App-直播模块</x:v>
      </x:c>
      <x:c r="D125" s="5" t="str">
        <x:v>开播设置</x:v>
      </x:c>
      <x:c r="E125" s="5" t="str">
        <x:v>逻辑校验</x:v>
      </x:c>
      <x:c r="F125" s="5" t="str">
        <x:v>P2</x:v>
      </x:c>
      <x:c r="G125" s="5" t="str">
        <x:v>验证直播标题输入长度上限</x:v>
      </x:c>
      <x:c r="H125" s="5" t="str">
        <x:v>标题超长限制</x:v>
      </x:c>
      <x:c r="I125" s="5" t="str">
        <x:v>1. 主播已打开“修改主题”</x:v>
      </x:c>
      <x:c r="J125" s="5" t="str">
        <x:v>1. 输入 40 个字符并保存
2. 再次打开并继续输入第 41 个字符</x:v>
      </x:c>
      <x:c r="K125" s="5" t="str">
        <x:v>输入框最多保留 40 个字符</x:v>
      </x:c>
      <x:c r="L125" s="5" t="str"/>
      <x:c r="M125" s="5" t="str">
        <x:v>未测</x:v>
      </x:c>
      <x:c r="N125" s="5" t="str"/>
      <x:c r="O125" s="5" t="str">
        <x:v>1. 来源：对应 HTML 静态原型；未动态验证
2. 追溯：业务底稿 LIVE-050。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126" ht="103.5" customHeight="1">
      <x:c r="A126" s="5" t="n">
        <x:v>125</x:v>
      </x:c>
      <x:c r="B126" s="5" t="str">
        <x:v>LIVE-125</x:v>
      </x:c>
      <x:c r="C126" s="5" t="str">
        <x:v>用户App-直播模块</x:v>
      </x:c>
      <x:c r="D126" s="5" t="str">
        <x:v>开播设置</x:v>
      </x:c>
      <x:c r="E126" s="5" t="str">
        <x:v>功能需求</x:v>
      </x:c>
      <x:c r="F126" s="5" t="str">
        <x:v>P2</x:v>
      </x:c>
      <x:c r="G126" s="5" t="str">
        <x:v>验证主播选择有效图片作为直播封面</x:v>
      </x:c>
      <x:c r="H126" s="5" t="str">
        <x:v>直播封面选择</x:v>
      </x:c>
      <x:c r="I126" s="5" t="str">
        <x:v>1. 主播已进入开播设置
2. 设备中存在可访问的有效图片</x:v>
      </x:c>
      <x:c r="J126" s="5" t="str">
        <x:v>1. 点击“修改封面”
2. 从设备选择一张有效图片</x:v>
      </x:c>
      <x:c r="K126" s="5" t="str">
        <x:v>开播设置页使用所选图片作为本场封面预览</x:v>
      </x:c>
      <x:c r="L126" s="5" t="str"/>
      <x:c r="M126" s="5" t="str">
        <x:v>未测</x:v>
      </x:c>
      <x:c r="N126" s="5" t="str"/>
      <x:c r="O126" s="5" t="str">
        <x:v>1. 来源：context/01-用户主播App-项目需求清单.md
2. 来源：对应 HTML 静态原型；未动态验证
3. 追溯：业务底稿 LIVE-051。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27" ht="103.5" customHeight="1">
      <x:c r="A127" s="5" t="n">
        <x:v>126</x:v>
      </x:c>
      <x:c r="B127" s="5" t="str">
        <x:v>LIVE-126</x:v>
      </x:c>
      <x:c r="C127" s="5" t="str">
        <x:v>用户App-直播模块</x:v>
      </x:c>
      <x:c r="D127" s="5" t="str">
        <x:v>开播设置</x:v>
      </x:c>
      <x:c r="E127" s="5" t="str">
        <x:v>功能需求</x:v>
      </x:c>
      <x:c r="F127" s="5" t="str">
        <x:v>P1</x:v>
      </x:c>
      <x:c r="G127" s="5" t="str">
        <x:v>验证直播分类仅使用后台启用项</x:v>
      </x:c>
      <x:c r="H127" s="5" t="str">
        <x:v>启用分类范围</x:v>
      </x:c>
      <x:c r="I127" s="5" t="str">
        <x:v>1. 后台至少启用两个直播分类
2. 主播已进入开播设置</x:v>
      </x:c>
      <x:c r="J127" s="5" t="str">
        <x:v>1. 点击分类入口
2. 选择分类“唱歌”</x:v>
      </x:c>
      <x:c r="K127" s="5" t="str">
        <x:v>分类列表仅展示后台启用的分类</x:v>
      </x:c>
      <x:c r="L127" s="5" t="str"/>
      <x:c r="M127" s="5" t="str">
        <x:v>未测</x:v>
      </x:c>
      <x:c r="N127" s="5" t="str"/>
      <x:c r="O127" s="5" t="str">
        <x:v>1. 来源：context/01-用户主播App-项目需求清单.md
2. 来源：对应 HTML 静态原型；未动态验证
3. 追溯：业务底稿 LIVE-052。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28" ht="103.5" customHeight="1">
      <x:c r="A128" s="5" t="n">
        <x:v>127</x:v>
      </x:c>
      <x:c r="B128" s="5" t="str">
        <x:v>LIVE-127</x:v>
      </x:c>
      <x:c r="C128" s="5" t="str">
        <x:v>用户App-直播模块</x:v>
      </x:c>
      <x:c r="D128" s="5" t="str">
        <x:v>开播设置</x:v>
      </x:c>
      <x:c r="E128" s="5" t="str">
        <x:v>功能需求</x:v>
      </x:c>
      <x:c r="F128" s="5" t="str">
        <x:v>P1</x:v>
      </x:c>
      <x:c r="G128" s="5" t="str">
        <x:v>验证保存并回显直播分类</x:v>
      </x:c>
      <x:c r="H128" s="5" t="str">
        <x:v>分类选择保存</x:v>
      </x:c>
      <x:c r="I128" s="5" t="str">
        <x:v>1. 后台至少启用两个直播分类
2. 主播已进入开播设置</x:v>
      </x:c>
      <x:c r="J128" s="5" t="str">
        <x:v>1. 点击分类入口
2. 选择分类“唱歌”</x:v>
      </x:c>
      <x:c r="K128" s="5" t="str">
        <x:v>选择“唱歌”后，开播设置页回显该分类</x:v>
      </x:c>
      <x:c r="L128" s="5" t="str"/>
      <x:c r="M128" s="5" t="str">
        <x:v>未测</x:v>
      </x:c>
      <x:c r="N128" s="5" t="str"/>
      <x:c r="O128" s="5" t="str">
        <x:v>1. 来源：context/01-用户主播App-项目需求清单.md
2. 来源：对应 HTML 静态原型；未动态验证
3. 追溯：业务底稿 LIVE-052。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29" ht="103.5" customHeight="1">
      <x:c r="A129" s="5" t="n">
        <x:v>128</x:v>
      </x:c>
      <x:c r="B129" s="5" t="str">
        <x:v>LIVE-128</x:v>
      </x:c>
      <x:c r="C129" s="5" t="str">
        <x:v>用户App-直播模块</x:v>
      </x:c>
      <x:c r="D129" s="5" t="str">
        <x:v>开播设置</x:v>
      </x:c>
      <x:c r="E129" s="5" t="str">
        <x:v>功能需求</x:v>
      </x:c>
      <x:c r="F129" s="5" t="str">
        <x:v>P1</x:v>
      </x:c>
      <x:c r="G129" s="5" t="str">
        <x:v>验证主播选择普通房</x:v>
      </x:c>
      <x:c r="H129" s="5" t="str">
        <x:v>普通房设置</x:v>
      </x:c>
      <x:c r="I129" s="5" t="str">
        <x:v>1. 主播已进入房型设置</x:v>
      </x:c>
      <x:c r="J129" s="5" t="str">
        <x:v>1. 选择“普通房”
2. 点击“确认”</x:v>
      </x:c>
      <x:c r="K129" s="5" t="str">
        <x:v>普通房设置保存后房型回显为“普通”</x:v>
      </x:c>
      <x:c r="L129" s="5" t="str"/>
      <x:c r="M129" s="5" t="str">
        <x:v>未测</x:v>
      </x:c>
      <x:c r="N129" s="5" t="str"/>
      <x:c r="O129" s="5" t="str">
        <x:v>1. 来源：context/01-用户主播App-项目需求清单.md
2. 来源：对应 HTML 静态原型；未动态验证
3. 追溯：业务底稿 LIVE-053。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30" ht="115.5" customHeight="1">
      <x:c r="A130" s="5" t="n">
        <x:v>129</x:v>
      </x:c>
      <x:c r="B130" s="5" t="str">
        <x:v>LIVE-129</x:v>
      </x:c>
      <x:c r="C130" s="5" t="str">
        <x:v>用户App-直播模块</x:v>
      </x:c>
      <x:c r="D130" s="5" t="str">
        <x:v>开播设置</x:v>
      </x:c>
      <x:c r="E130" s="5" t="str">
        <x:v>逻辑校验</x:v>
      </x:c>
      <x:c r="F130" s="5" t="str">
        <x:v>P1</x:v>
      </x:c>
      <x:c r="G130" s="5" t="str">
        <x:v>验证门票房未填写价格不能保存</x:v>
      </x:c>
      <x:c r="H130" s="5" t="str">
        <x:v>门票价格必填</x:v>
      </x:c>
      <x:c r="I130" s="5" t="str">
        <x:v>1. 门票房灰度开关已开启
2. 主播已进入房型设置</x:v>
      </x:c>
      <x:c r="J130" s="5" t="str">
        <x:v>1. 选择“门票房”
2. 保持门票价格为空
3. 点击“确认”</x:v>
      </x:c>
      <x:c r="K130" s="5" t="str">
        <x:v>门票价格为空时页面提示“请设置门票价格”</x:v>
      </x:c>
      <x:c r="L130" s="5" t="str"/>
      <x:c r="M130" s="5" t="str">
        <x:v>未测</x:v>
      </x:c>
      <x:c r="N130" s="5" t="str"/>
      <x:c r="O130" s="5" t="str">
        <x:v>1. 来源：context/01-用户主播App-项目需求清单.md
2. 来源：prototype/assets/annotations.js
3. 来源：对应 HTML 静态原型；未动态验证
4. 追溯：业务底稿 LIVE-054。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131" ht="115.5" customHeight="1">
      <x:c r="A131" s="5" t="n">
        <x:v>130</x:v>
      </x:c>
      <x:c r="B131" s="5" t="str">
        <x:v>LIVE-130</x:v>
      </x:c>
      <x:c r="C131" s="5" t="str">
        <x:v>用户App-直播模块</x:v>
      </x:c>
      <x:c r="D131" s="5" t="str">
        <x:v>开播设置</x:v>
      </x:c>
      <x:c r="E131" s="5" t="str">
        <x:v>逻辑校验</x:v>
      </x:c>
      <x:c r="F131" s="5" t="str">
        <x:v>P1</x:v>
      </x:c>
      <x:c r="G131" s="5" t="str">
        <x:v>验证密码房未填写密码不能保存</x:v>
      </x:c>
      <x:c r="H131" s="5" t="str">
        <x:v>房间密码必填</x:v>
      </x:c>
      <x:c r="I131" s="5" t="str">
        <x:v>1. 密码房灰度开关已开启
2. 主播已进入房型设置</x:v>
      </x:c>
      <x:c r="J131" s="5" t="str">
        <x:v>1. 选择“密码房”
2. 保持房间密码为空
3. 点击“确认”</x:v>
      </x:c>
      <x:c r="K131" s="5" t="str">
        <x:v>房间密码为空时页面提示“请设置房间密码”</x:v>
      </x:c>
      <x:c r="L131" s="5" t="str"/>
      <x:c r="M131" s="5" t="str">
        <x:v>未测</x:v>
      </x:c>
      <x:c r="N131" s="5" t="str"/>
      <x:c r="O131" s="5" t="str">
        <x:v>1. 来源：context/01-用户主播App-项目需求清单.md
2. 来源：prototype/assets/annotations.js
3. 来源：对应 HTML 静态原型；未动态验证
4. 追溯：业务底稿 LIVE-055。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132" ht="115.5" customHeight="1">
      <x:c r="A132" s="5" t="n">
        <x:v>131</x:v>
      </x:c>
      <x:c r="B132" s="5" t="str">
        <x:v>LIVE-131</x:v>
      </x:c>
      <x:c r="C132" s="5" t="str">
        <x:v>用户App-直播模块</x:v>
      </x:c>
      <x:c r="D132" s="5" t="str">
        <x:v>开播设置</x:v>
      </x:c>
      <x:c r="E132" s="5" t="str">
        <x:v>逻辑校验</x:v>
      </x:c>
      <x:c r="F132" s="5" t="str">
        <x:v>P1</x:v>
      </x:c>
      <x:c r="G132" s="5" t="str">
        <x:v>验证密码房广场展示范围</x:v>
      </x:c>
      <x:c r="H132" s="5" t="str">
        <x:v>密码房可见范围</x:v>
      </x:c>
      <x:c r="I132" s="5" t="str">
        <x:v>1. 密码房灰度开关已开启
2. 主播已选择密码房并设置有效密码</x:v>
      </x:c>
      <x:c r="J132" s="5" t="str">
        <x:v>1. 关闭“在广场展示”
2. 开启“从粉丝中授权可见”并选择两名粉丝
3. 保存房型
4. 分别由授权粉丝和非授权用户通过已知入口尝试进入</x:v>
      </x:c>
      <x:c r="K132" s="5" t="str">
        <x:v>主播关闭“在广场展示”后，直播广场不展示该密码房</x:v>
      </x:c>
      <x:c r="L132" s="5" t="str"/>
      <x:c r="M132" s="5" t="str">
        <x:v>未测</x:v>
      </x:c>
      <x:c r="N132" s="5" t="str"/>
      <x:c r="O132" s="5" t="str">
        <x:v>1. 来源：context/01-用户主播App-项目需求清单.md
2. 来源：context/系统概要 .md（当前全局业务规则）
3. 来源：prototype/assets/annotations.js
4. 追溯：业务底稿 LIVE-056。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133" ht="115.5" customHeight="1">
      <x:c r="A133" s="5" t="n">
        <x:v>132</x:v>
      </x:c>
      <x:c r="B133" s="5" t="str">
        <x:v>LIVE-132</x:v>
      </x:c>
      <x:c r="C133" s="5" t="str">
        <x:v>用户App-直播模块</x:v>
      </x:c>
      <x:c r="D133" s="5" t="str">
        <x:v>开播设置</x:v>
      </x:c>
      <x:c r="E133" s="5" t="str">
        <x:v>逻辑校验</x:v>
      </x:c>
      <x:c r="F133" s="5" t="str">
        <x:v>P1</x:v>
      </x:c>
      <x:c r="G133" s="5" t="str">
        <x:v>验证授权名单不能绕过房间密码</x:v>
      </x:c>
      <x:c r="H133" s="5" t="str">
        <x:v>授权用户密码校验</x:v>
      </x:c>
      <x:c r="I133" s="5" t="str">
        <x:v>1. 密码房灰度开关已开启
2. 主播已选择密码房并设置有效密码</x:v>
      </x:c>
      <x:c r="J133" s="5" t="str">
        <x:v>1. 关闭“在广场展示”
2. 开启“从粉丝中授权可见”并选择两名粉丝
3. 保存房型
4. 分别由授权粉丝和非授权用户通过已知入口尝试进入</x:v>
      </x:c>
      <x:c r="K133" s="5" t="str">
        <x:v>授权粉丝和非授权用户进入直播内容前均需通过房间密码校验</x:v>
      </x:c>
      <x:c r="L133" s="5" t="str"/>
      <x:c r="M133" s="5" t="str">
        <x:v>未测</x:v>
      </x:c>
      <x:c r="N133" s="5" t="str"/>
      <x:c r="O133" s="5" t="str">
        <x:v>1. 来源：context/01-用户主播App-项目需求清单.md
2. 来源：context/系统概要 .md（当前全局业务规则）
3. 来源：prototype/assets/annotations.js
4. 追溯：业务底稿 LIVE-056。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134" ht="103.5" customHeight="1">
      <x:c r="A134" s="5" t="n">
        <x:v>133</x:v>
      </x:c>
      <x:c r="B134" s="5" t="str">
        <x:v>LIVE-133</x:v>
      </x:c>
      <x:c r="C134" s="5" t="str">
        <x:v>用户App-直播模块</x:v>
      </x:c>
      <x:c r="D134" s="5" t="str">
        <x:v>开播设置</x:v>
      </x:c>
      <x:c r="E134" s="5" t="str">
        <x:v>功能需求</x:v>
      </x:c>
      <x:c r="F134" s="5" t="str">
        <x:v>P2</x:v>
      </x:c>
      <x:c r="G134" s="5" t="str">
        <x:v>验证摄像头从前置切换为后置</x:v>
      </x:c>
      <x:c r="H134" s="5" t="str">
        <x:v>后置摄像头切换</x:v>
      </x:c>
      <x:c r="I134" s="5" t="str">
        <x:v>1. 设备前后摄像头可用
2. 主播已进入开播设置</x:v>
      </x:c>
      <x:c r="J134" s="5" t="str">
        <x:v>1. 点击切换摄像头</x:v>
      </x:c>
      <x:c r="K134" s="5" t="str">
        <x:v>首次点击后预览从前置切换为后置</x:v>
      </x:c>
      <x:c r="L134" s="5" t="str"/>
      <x:c r="M134" s="5" t="str">
        <x:v>未测</x:v>
      </x:c>
      <x:c r="N134" s="5" t="str"/>
      <x:c r="O134" s="5" t="str">
        <x:v>1. 来源：prototype/assets/annotations.js
2. 来源：对应 HTML 静态原型；未动态验证
3. 追溯：业务底稿 LIVE-057。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35" ht="103.5" customHeight="1">
      <x:c r="A135" s="5" t="n">
        <x:v>134</x:v>
      </x:c>
      <x:c r="B135" s="5" t="str">
        <x:v>LIVE-134</x:v>
      </x:c>
      <x:c r="C135" s="5" t="str">
        <x:v>用户App-直播模块</x:v>
      </x:c>
      <x:c r="D135" s="5" t="str">
        <x:v>开播设置</x:v>
      </x:c>
      <x:c r="E135" s="5" t="str">
        <x:v>功能需求</x:v>
      </x:c>
      <x:c r="F135" s="5" t="str">
        <x:v>P2</x:v>
      </x:c>
      <x:c r="G135" s="5" t="str">
        <x:v>验证摄像头从后置切换回前置</x:v>
      </x:c>
      <x:c r="H135" s="5" t="str">
        <x:v>前置摄像头恢复</x:v>
      </x:c>
      <x:c r="I135" s="5" t="str">
        <x:v>1. 设备前后摄像头可用
2. 主播已进入开播设置</x:v>
      </x:c>
      <x:c r="J135" s="5" t="str">
        <x:v>1. 点击切换摄像头
2. 再次点击切换摄像头</x:v>
      </x:c>
      <x:c r="K135" s="5" t="str">
        <x:v>再次点击后预览恢复前置</x:v>
      </x:c>
      <x:c r="L135" s="5" t="str"/>
      <x:c r="M135" s="5" t="str">
        <x:v>未测</x:v>
      </x:c>
      <x:c r="N135" s="5" t="str"/>
      <x:c r="O135" s="5" t="str">
        <x:v>1. 来源：prototype/assets/annotations.js
2. 来源：对应 HTML 静态原型；未动态验证
3. 追溯：业务底稿 LIVE-057。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36" ht="103.5" customHeight="1">
      <x:c r="A136" s="5" t="n">
        <x:v>135</x:v>
      </x:c>
      <x:c r="B136" s="5" t="str">
        <x:v>LIVE-135</x:v>
      </x:c>
      <x:c r="C136" s="5" t="str">
        <x:v>用户App-直播模块</x:v>
      </x:c>
      <x:c r="D136" s="5" t="str">
        <x:v>开播设置</x:v>
      </x:c>
      <x:c r="E136" s="5" t="str">
        <x:v>功能需求</x:v>
      </x:c>
      <x:c r="F136" s="5" t="str">
        <x:v>P2</x:v>
      </x:c>
      <x:c r="G136" s="5" t="str">
        <x:v>验证美颜参数切换后保留</x:v>
      </x:c>
      <x:c r="H136" s="5" t="str">
        <x:v>美颜参数记忆</x:v>
      </x:c>
      <x:c r="I136" s="5" t="str">
        <x:v>1. 美颜 SDK 可用
2. 主播已打开美颜设置</x:v>
      </x:c>
      <x:c r="J136" s="5" t="str">
        <x:v>1. 选择“磨皮”并调至 70
2. 切换分类后返回“美颜”</x:v>
      </x:c>
      <x:c r="K136" s="5" t="str">
        <x:v>切换标签后“磨皮”参数仍为 70</x:v>
      </x:c>
      <x:c r="L136" s="5" t="str"/>
      <x:c r="M136" s="5" t="str">
        <x:v>未测</x:v>
      </x:c>
      <x:c r="N136" s="5" t="str"/>
      <x:c r="O136" s="5" t="str">
        <x:v>1. 来源：prototype/assets/annotations.js
2. 来源：对应 HTML 静态原型；未动态验证
3. 追溯：业务底稿 LIVE-058。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37" ht="103.5" customHeight="1">
      <x:c r="A137" s="5" t="n">
        <x:v>136</x:v>
      </x:c>
      <x:c r="B137" s="5" t="str">
        <x:v>LIVE-136</x:v>
      </x:c>
      <x:c r="C137" s="5" t="str">
        <x:v>用户App-直播模块</x:v>
      </x:c>
      <x:c r="D137" s="5" t="str">
        <x:v>开播设置</x:v>
      </x:c>
      <x:c r="E137" s="5" t="str">
        <x:v>功能需求</x:v>
      </x:c>
      <x:c r="F137" s="5" t="str">
        <x:v>P2</x:v>
      </x:c>
      <x:c r="G137" s="5" t="str">
        <x:v>验证美型参数切换后保留</x:v>
      </x:c>
      <x:c r="H137" s="5" t="str">
        <x:v>美型参数记忆</x:v>
      </x:c>
      <x:c r="I137" s="5" t="str">
        <x:v>1. 美颜 SDK 可用
2. 主播已打开美颜设置</x:v>
      </x:c>
      <x:c r="J137" s="5" t="str">
        <x:v>1. 选择“大眼”并调至 30
2. 切换分类后返回“美型”</x:v>
      </x:c>
      <x:c r="K137" s="5" t="str">
        <x:v>切换标签后“大眼”参数仍为 30</x:v>
      </x:c>
      <x:c r="L137" s="5" t="str"/>
      <x:c r="M137" s="5" t="str">
        <x:v>未测</x:v>
      </x:c>
      <x:c r="N137" s="5" t="str"/>
      <x:c r="O137" s="5" t="str">
        <x:v>1. 来源：prototype/assets/annotations.js
2. 来源：对应 HTML 静态原型；未动态验证
3. 追溯：业务底稿 LIVE-058。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38" ht="103.5" customHeight="1">
      <x:c r="A138" s="5" t="n">
        <x:v>137</x:v>
      </x:c>
      <x:c r="B138" s="5" t="str">
        <x:v>LIVE-137</x:v>
      </x:c>
      <x:c r="C138" s="5" t="str">
        <x:v>用户App-直播模块</x:v>
      </x:c>
      <x:c r="D138" s="5" t="str">
        <x:v>开播设置</x:v>
      </x:c>
      <x:c r="E138" s="5" t="str">
        <x:v>逻辑校验</x:v>
      </x:c>
      <x:c r="F138" s="5" t="str">
        <x:v>P2</x:v>
      </x:c>
      <x:c r="G138" s="5" t="str">
        <x:v>验证恢复默认重置全部美颜参数</x:v>
      </x:c>
      <x:c r="H138" s="5" t="str">
        <x:v>美颜恢复默认</x:v>
      </x:c>
      <x:c r="I138" s="5" t="str">
        <x:v>1. 美颜和美型均已选择项目并修改参数</x:v>
      </x:c>
      <x:c r="J138" s="5" t="str">
        <x:v>1. 点击“恢复默认”
2. 分别查看美颜和美型</x:v>
      </x:c>
      <x:c r="K138" s="5" t="str">
        <x:v>点击重置后，全部美颜和美型参数恢复为 50</x:v>
      </x:c>
      <x:c r="L138" s="5" t="str"/>
      <x:c r="M138" s="5" t="str">
        <x:v>未测</x:v>
      </x:c>
      <x:c r="N138" s="5" t="str"/>
      <x:c r="O138" s="5" t="str">
        <x:v>1. 来源：prototype/assets/annotations.js
2. 来源：对应 HTML 静态原型；未动态验证
3. 追溯：业务底稿 LIVE-059。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39" ht="141" customHeight="1">
      <x:c r="A139" s="5" t="n">
        <x:v>138</x:v>
      </x:c>
      <x:c r="B139" s="5" t="str">
        <x:v>LIVE-138</x:v>
      </x:c>
      <x:c r="C139" s="5" t="str">
        <x:v>用户App-直播模块</x:v>
      </x:c>
      <x:c r="D139" s="5" t="str">
        <x:v>开播设置</x:v>
      </x:c>
      <x:c r="E139" s="5" t="str">
        <x:v>业务流程</x:v>
      </x:c>
      <x:c r="F139" s="5" t="str">
        <x:v>P0</x:v>
      </x:c>
      <x:c r="G139" s="5" t="str">
        <x:v>验证开播时创建直播场次</x:v>
      </x:c>
      <x:c r="H139" s="5" t="str">
        <x:v>直播场次创建</x:v>
      </x:c>
      <x:c r="I139" s="5" t="str">
        <x:v>1. 主播具备直播权限
2. 已设置有效标题、封面、分类和房型
3. 摄像头与直播 SDK 可用</x:v>
      </x:c>
      <x:c r="J139" s="5" t="str">
        <x:v>1. 点击“开始直播”
2. 等待开播倒计时完成
3. 点击“进入直播间”</x:v>
      </x:c>
      <x:c r="K139" s="5" t="str">
        <x:v>系统创建一场进行中的直播场次</x:v>
      </x:c>
      <x:c r="L139" s="5" t="str">
        <x:v>FLOW-LIVE-001</x:v>
      </x:c>
      <x:c r="M139" s="5" t="str">
        <x:v>未测</x:v>
      </x:c>
      <x:c r="N139" s="5" t="str"/>
      <x:c r="O139" s="5" t="str">
        <x:v>1. 来源：context/01-用户主播App-项目需求清单.md
2. 来源：context/系统概要 .md（当前全局业务规则）
3. 来源：对应 HTML 静态原型；未动态验证
4. 追溯：业务底稿 LIVE-060。
5. 流程：阶段 01：主播创建普通直播场次；共同业务对象：LIVE-SESSION-N01。
6. 共同业务对象：同一直播场次
7. 流程阶段：直播场次创建
8. 同步追溯：work/liveshow-user-live-testcases-260831-004/prototype-context-sync-result.json；RSL-0002、RSL-0003
9. 全局证据追溯：work/liveshow-user-live-testcases-260831-004/global-evidence-scan-result.json；扫描模式 incremental</x:v>
      </x:c>
    </x:row>
    <x:row r="140" ht="103.5" customHeight="1">
      <x:c r="A140" s="5" t="n">
        <x:v>139</x:v>
      </x:c>
      <x:c r="B140" s="5" t="str">
        <x:v>LIVE-139</x:v>
      </x:c>
      <x:c r="C140" s="5" t="str">
        <x:v>用户App-直播模块</x:v>
      </x:c>
      <x:c r="D140" s="5" t="str">
        <x:v>开播设置</x:v>
      </x:c>
      <x:c r="E140" s="5" t="str">
        <x:v>逻辑校验</x:v>
      </x:c>
      <x:c r="F140" s="5" t="str">
        <x:v>P1</x:v>
      </x:c>
      <x:c r="G140" s="5" t="str">
        <x:v>验证灰度关闭时不能保存特殊房型</x:v>
      </x:c>
      <x:c r="H140" s="5" t="str">
        <x:v>特殊房型灰度限制</x:v>
      </x:c>
      <x:c r="I140" s="5" t="str">
        <x:v>1. 后台关闭门票房和密码房灰度开关
2. 主播已进入房型设置</x:v>
      </x:c>
      <x:c r="J140" s="5" t="str">
        <x:v>1. 查看可选房型
2. 尝试选择门票房和密码房</x:v>
      </x:c>
      <x:c r="K140" s="5" t="str">
        <x:v>主播不能保存被关闭的特殊房型</x:v>
      </x:c>
      <x:c r="L140" s="5" t="str"/>
      <x:c r="M140" s="5" t="str">
        <x:v>未测</x:v>
      </x:c>
      <x:c r="N140" s="5" t="str"/>
      <x:c r="O140" s="5" t="str">
        <x:v>1. 来源：context/01-用户主播App-项目需求清单.md
2. 来源：context/系统概要 .md（当前全局业务规则）
3. 追溯：业务底稿 LIVE-063。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41" ht="103.5" customHeight="1">
      <x:c r="A141" s="5" t="n">
        <x:v>140</x:v>
      </x:c>
      <x:c r="B141" s="5" t="str">
        <x:v>LIVE-140</x:v>
      </x:c>
      <x:c r="C141" s="5" t="str">
        <x:v>用户App-直播模块</x:v>
      </x:c>
      <x:c r="D141" s="5" t="str">
        <x:v>开播设置</x:v>
      </x:c>
      <x:c r="E141" s="5" t="str">
        <x:v>逻辑校验</x:v>
      </x:c>
      <x:c r="F141" s="5" t="str">
        <x:v>P1</x:v>
      </x:c>
      <x:c r="G141" s="5" t="str">
        <x:v>验证特殊房型关闭不影响普通房</x:v>
      </x:c>
      <x:c r="H141" s="5" t="str">
        <x:v>普通房灰度隔离</x:v>
      </x:c>
      <x:c r="I141" s="5" t="str">
        <x:v>1. 后台关闭门票房和密码房灰度开关
2. 主播已进入房型设置</x:v>
      </x:c>
      <x:c r="J141" s="5" t="str">
        <x:v>1. 查看可选房型
2. 尝试选择门票房和密码房</x:v>
      </x:c>
      <x:c r="K141" s="5" t="str">
        <x:v>房型设置保存为普通房</x:v>
      </x:c>
      <x:c r="L141" s="5" t="str"/>
      <x:c r="M141" s="5" t="str">
        <x:v>未测</x:v>
      </x:c>
      <x:c r="N141" s="5" t="str"/>
      <x:c r="O141" s="5" t="str">
        <x:v>1. 来源：context/01-用户主播App-项目需求清单.md
2. 来源：context/系统概要 .md（当前全局业务规则）
3. 追溯：业务底稿 LIVE-063。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42" ht="141" customHeight="1">
      <x:c r="A142" s="5" t="n">
        <x:v>141</x:v>
      </x:c>
      <x:c r="B142" s="5" t="str">
        <x:v>LIVE-141</x:v>
      </x:c>
      <x:c r="C142" s="5" t="str">
        <x:v>用户App-直播模块</x:v>
      </x:c>
      <x:c r="D142" s="5" t="str">
        <x:v>开播设置</x:v>
      </x:c>
      <x:c r="E142" s="5" t="str">
        <x:v>业务流程</x:v>
      </x:c>
      <x:c r="F142" s="5" t="str">
        <x:v>P1</x:v>
      </x:c>
      <x:c r="G142" s="5" t="str">
        <x:v>验证主播保存有效门票房设置</x:v>
      </x:c>
      <x:c r="H142" s="5" t="str">
        <x:v>门票房有效设置</x:v>
      </x:c>
      <x:c r="I142" s="5" t="str">
        <x:v>1. 主播具备直播权限
2. 门票房灰度开关已开启</x:v>
      </x:c>
      <x:c r="J142" s="5" t="str">
        <x:v>1. 进入开播设置
2. 打开房型设置
3. 选择“门票”
4. 填写门票价格 10 金币
5. 保存房型设置</x:v>
      </x:c>
      <x:c r="K142" s="5" t="str">
        <x:v>房型设置保存为门票房</x:v>
      </x:c>
      <x:c r="L142" s="5" t="str">
        <x:v>FLOW-LIVE-002</x:v>
      </x:c>
      <x:c r="M142" s="5" t="str">
        <x:v>未测</x:v>
      </x:c>
      <x:c r="N142" s="5" t="str"/>
      <x:c r="O142" s="5" t="str">
        <x:v>1. 来源：context/01-用户主播App-项目需求清单.md
2. 来源：prototype/assets/annotations.js
3. 来源：对应 HTML 静态原型；未动态验证
4. 追溯：业务底稿 LIVE-096。
5. 流程：阶段 01：主播保存门票房设置；共同业务对象：LIVE-SESSION-T01。
6. 共同业务对象：同一门票房场次和购票资格
7. 流程阶段：门票房有效设置
8. 同步追溯：work/liveshow-user-live-testcases-260831-004/prototype-context-sync-result.json；RSL-0002、RSL-0003
9. 全局证据追溯：work/liveshow-user-live-testcases-260831-004/global-evidence-scan-result.json；扫描模式 incremental</x:v>
      </x:c>
    </x:row>
    <x:row r="143" ht="141" customHeight="1">
      <x:c r="A143" s="5" t="n">
        <x:v>142</x:v>
      </x:c>
      <x:c r="B143" s="5" t="str">
        <x:v>LIVE-142</x:v>
      </x:c>
      <x:c r="C143" s="5" t="str">
        <x:v>用户App-直播模块</x:v>
      </x:c>
      <x:c r="D143" s="5" t="str">
        <x:v>开播设置</x:v>
      </x:c>
      <x:c r="E143" s="5" t="str">
        <x:v>业务流程</x:v>
      </x:c>
      <x:c r="F143" s="5" t="str">
        <x:v>P1</x:v>
      </x:c>
      <x:c r="G143" s="5" t="str">
        <x:v>验证主播保存有效密码房设置</x:v>
      </x:c>
      <x:c r="H143" s="5" t="str">
        <x:v>密码房有效设置</x:v>
      </x:c>
      <x:c r="I143" s="5" t="str">
        <x:v>1. 主播具备直播权限
2. 密码房灰度开关已开启
3. 使用符合当前原型 4 至 12 位提示的测试密码</x:v>
      </x:c>
      <x:c r="J143" s="5" t="str">
        <x:v>1. 进入开播设置
2. 打开房型设置
3. 选择“密码”
4. 填写有效密码
5. 设置广场展示范围和粉丝授权名单
6. 保存房型设置</x:v>
      </x:c>
      <x:c r="K143" s="5" t="str">
        <x:v>房型设置保存为密码房</x:v>
      </x:c>
      <x:c r="L143" s="5" t="str">
        <x:v>FLOW-LIVE-003</x:v>
      </x:c>
      <x:c r="M143" s="5" t="str">
        <x:v>未测</x:v>
      </x:c>
      <x:c r="N143" s="5" t="str"/>
      <x:c r="O143" s="5" t="str">
        <x:v>1. 来源：context/01-用户主播App-项目需求清单.md
2. 来源：prototype/assets/annotations.js
3. 来源：对应 HTML 静态原型；未动态验证
4. 说明：密码精确长度与字符类型仍以 Q-003 确认为准。
5. 追溯：业务底稿 LIVE-097。
6. 流程：阶段 01：主播保存密码房设置；共同业务对象：LIVE-SESSION-P01。
7. 共同业务对象：同一密码房场次
8. 流程阶段：密码房有效设置
9. 同步追溯：work/liveshow-user-live-testcases-260831-004/prototype-context-sync-result.json；RSL-0002、RSL-0003
10. 全局证据追溯：work/liveshow-user-live-testcases-260831-004/global-evidence-scan-result.json；扫描模式 incremental</x:v>
      </x:c>
    </x:row>
    <x:row r="144" ht="139.5" customHeight="1">
      <x:c r="A144" s="5" t="n">
        <x:v>143</x:v>
      </x:c>
      <x:c r="B144" s="5" t="str">
        <x:v>LIVE-143</x:v>
      </x:c>
      <x:c r="C144" s="5" t="str">
        <x:v>用户App-直播模块</x:v>
      </x:c>
      <x:c r="D144" s="5" t="str">
        <x:v>开播设置</x:v>
      </x:c>
      <x:c r="E144" s="5" t="str">
        <x:v>功能需求</x:v>
      </x:c>
      <x:c r="F144" s="5" t="str">
        <x:v>P2</x:v>
      </x:c>
      <x:c r="G144" s="5" t="str">
        <x:v>验证开播倒计时结束后的成功提示</x:v>
      </x:c>
      <x:c r="H144" s="5" t="str">
        <x:v>开播成功提示</x:v>
      </x:c>
      <x:c r="I144" s="5" t="str">
        <x:v>1. 主播具备直播权限
2. 已完成有效开播设置</x:v>
      </x:c>
      <x:c r="J144" s="5" t="str">
        <x:v>1. 点击“开始直播”</x:v>
      </x:c>
      <x:c r="K144" s="5" t="str">
        <x:v>倒计时结束后页面提示“已开始直播”</x:v>
      </x:c>
      <x:c r="L144" s="5" t="str">
        <x:v>FLOW-LIVE-001</x:v>
      </x:c>
      <x:c r="M144" s="5" t="str">
        <x:v>未测</x:v>
      </x:c>
      <x:c r="N144" s="5" t="str"/>
      <x:c r="O144" s="5" t="str">
        <x:v>1. 来源：prototype/pages/user/host/start-live-settings.html 动态交互脚本
2. 静态分析已确认事件绑定；未在浏览器动态验证
3. 补充原因：业务结果完整性扫描发现独立反馈观察点未覆盖
4. 共同业务对象：同一直播场次
5. 流程阶段：开播成功提示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145" ht="115.5" customHeight="1">
      <x:c r="A145" s="5" t="n">
        <x:v>144</x:v>
      </x:c>
      <x:c r="B145" s="5" t="str">
        <x:v>LIVE-144</x:v>
      </x:c>
      <x:c r="C145" s="5" t="str">
        <x:v>用户App-直播模块</x:v>
      </x:c>
      <x:c r="D145" s="5" t="str">
        <x:v>开播设置</x:v>
      </x:c>
      <x:c r="E145" s="5" t="str">
        <x:v>逻辑校验</x:v>
      </x:c>
      <x:c r="F145" s="5" t="str">
        <x:v>P1</x:v>
      </x:c>
      <x:c r="G145" s="5" t="str">
        <x:v>验证开播设置页的密码输入提示</x:v>
      </x:c>
      <x:c r="H145" s="5" t="str">
        <x:v>开播密码提示</x:v>
      </x:c>
      <x:c r="I145" s="5" t="str">
        <x:v>1. 主播已打开房型设置</x:v>
      </x:c>
      <x:c r="J145" s="5" t="str">
        <x:v>1. 选择“密码房”
2. 查看房间密码输入框</x:v>
      </x:c>
      <x:c r="K145" s="5" t="str">
        <x:v>密码输入框提示“设置 4-12 位密码”</x:v>
      </x:c>
      <x:c r="L145" s="5" t="str"/>
      <x:c r="M145" s="5" t="str">
        <x:v>未测</x:v>
      </x:c>
      <x:c r="N145" s="5" t="str"/>
      <x:c r="O145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146" ht="115.5" customHeight="1">
      <x:c r="A146" s="5" t="n">
        <x:v>145</x:v>
      </x:c>
      <x:c r="B146" s="5" t="str">
        <x:v>LIVE-145</x:v>
      </x:c>
      <x:c r="C146" s="5" t="str">
        <x:v>用户App-直播模块</x:v>
      </x:c>
      <x:c r="D146" s="5" t="str">
        <x:v>开播设置</x:v>
      </x:c>
      <x:c r="E146" s="5" t="str">
        <x:v>逻辑校验</x:v>
      </x:c>
      <x:c r="F146" s="5" t="str">
        <x:v>P1</x:v>
      </x:c>
      <x:c r="G146" s="5" t="str">
        <x:v>验证开播设置页的密码输入上限</x:v>
      </x:c>
      <x:c r="H146" s="5" t="str">
        <x:v>开播密码 12 位上限</x:v>
      </x:c>
      <x:c r="I146" s="5" t="str">
        <x:v>1. 主播已选择密码房</x:v>
      </x:c>
      <x:c r="J146" s="5" t="str">
        <x:v>1. 在房间密码输入框输入超过 12 位的内容</x:v>
      </x:c>
      <x:c r="K146" s="5" t="str">
        <x:v>房间密码输入框最多保留 12 位内容</x:v>
      </x:c>
      <x:c r="L146" s="5" t="str"/>
      <x:c r="M146" s="5" t="str">
        <x:v>未测</x:v>
      </x:c>
      <x:c r="N146" s="5" t="str"/>
      <x:c r="O146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147" ht="91.5" customHeight="1">
      <x:c r="A147" s="5" t="n">
        <x:v>146</x:v>
      </x:c>
      <x:c r="B147" s="5" t="str">
        <x:v>LIVE-146</x:v>
      </x:c>
      <x:c r="C147" s="5" t="str">
        <x:v>用户App-直播模块</x:v>
      </x:c>
      <x:c r="D147" s="5" t="str">
        <x:v>开播设置</x:v>
      </x:c>
      <x:c r="E147" s="5" t="str">
        <x:v>功能需求</x:v>
      </x:c>
      <x:c r="F147" s="5" t="str">
        <x:v>P2</x:v>
      </x:c>
      <x:c r="G147" s="5" t="str">
        <x:v>验证选择直播封面后的提示</x:v>
      </x:c>
      <x:c r="H147" s="5" t="str">
        <x:v>封面选择提示</x:v>
      </x:c>
      <x:c r="I147" s="5" t="str">
        <x:v>1. 主播已进入开播设置
2. 已准备一张可选择的图片</x:v>
      </x:c>
      <x:c r="J147" s="5" t="str">
        <x:v>1. 选择该图片作为直播封面</x:v>
      </x:c>
      <x:c r="K147" s="5" t="str">
        <x:v>页面提示“已选择封面：【文件名】”</x:v>
      </x:c>
      <x:c r="L147" s="5" t="str"/>
      <x:c r="M147" s="5" t="str">
        <x:v>未测</x:v>
      </x:c>
      <x:c r="N147" s="5" t="str"/>
      <x:c r="O147" s="5" t="str">
        <x:v>1. 来源：prototype/pages/user/host/start-live-settings.html 与当页交互脚本；未动态验证
2. 同步追溯：work/liveshow-user-live-testcases-260831-004/prototype-context-sync-result.json；RSL-0002、RSL-0003
3. 全局证据追溯：work/liveshow-user-live-testcases-260831-004/global-evidence-scan-result.json；扫描模式 incremental</x:v>
      </x:c>
    </x:row>
    <x:row r="148" ht="127.5" customHeight="1">
      <x:c r="A148" s="5" t="n">
        <x:v>147</x:v>
      </x:c>
      <x:c r="B148" s="5" t="str">
        <x:v>LIVE-147</x:v>
      </x:c>
      <x:c r="C148" s="5" t="str">
        <x:v>用户App-直播模块</x:v>
      </x:c>
      <x:c r="D148" s="5" t="str">
        <x:v>开播设置</x:v>
      </x:c>
      <x:c r="E148" s="5" t="str">
        <x:v>功能需求</x:v>
      </x:c>
      <x:c r="F148" s="5" t="str">
        <x:v>P2</x:v>
      </x:c>
      <x:c r="G148" s="5" t="str">
        <x:v>验证重置美颜后清除选中项</x:v>
      </x:c>
      <x:c r="H148" s="5" t="str">
        <x:v>美颜选中项重置</x:v>
      </x:c>
      <x:c r="I148" s="5" t="str">
        <x:v>1. 美颜和美型均已选择调整项</x:v>
      </x:c>
      <x:c r="J148" s="5" t="str">
        <x:v>1. 点击“重置”</x:v>
      </x:c>
      <x:c r="K148" s="5" t="str">
        <x:v>美颜和美型的当前选中项均被清除</x:v>
      </x:c>
      <x:c r="L148" s="5" t="str"/>
      <x:c r="M148" s="5" t="str">
        <x:v>未测</x:v>
      </x:c>
      <x:c r="N148" s="5" t="str"/>
      <x:c r="O148" s="5" t="str">
        <x:v>1. 来源：context/01-用户主播App-项目需求清单.md（2026-08-29 按原型同步，RSL-0002）
2. 来源：prototype/assets/annotations.js
3. 来源：prototype/pages/user/host/start-live-settings.html 与当页交互脚本；未动态验证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49" ht="115.5" customHeight="1">
      <x:c r="A149" s="5" t="n">
        <x:v>148</x:v>
      </x:c>
      <x:c r="B149" s="5" t="str">
        <x:v>LIVE-148</x:v>
      </x:c>
      <x:c r="C149" s="5" t="str">
        <x:v>用户App-直播模块</x:v>
      </x:c>
      <x:c r="D149" s="5" t="str">
        <x:v>开播设置</x:v>
      </x:c>
      <x:c r="E149" s="5" t="str">
        <x:v>业务流程</x:v>
      </x:c>
      <x:c r="F149" s="5" t="str">
        <x:v>P1</x:v>
      </x:c>
      <x:c r="G149" s="5" t="str">
        <x:v>验证点击开始直播后进入三秒倒计时</x:v>
      </x:c>
      <x:c r="H149" s="5" t="str">
        <x:v>开播三秒倒计时</x:v>
      </x:c>
      <x:c r="I149" s="5" t="str">
        <x:v>1. 开播设置已填写可保存的内容</x:v>
      </x:c>
      <x:c r="J149" s="5" t="str">
        <x:v>1. 点击“开始直播”</x:v>
      </x:c>
      <x:c r="K149" s="5" t="str">
        <x:v>开播遮罩首先显示数字 3 和“准备开播”</x:v>
      </x:c>
      <x:c r="L149" s="5" t="str"/>
      <x:c r="M149" s="5" t="str">
        <x:v>未测</x:v>
      </x:c>
      <x:c r="N149" s="5" t="str"/>
      <x:c r="O149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150" ht="115.5" customHeight="1">
      <x:c r="A150" s="5" t="n">
        <x:v>149</x:v>
      </x:c>
      <x:c r="B150" s="5" t="str">
        <x:v>LIVE-149</x:v>
      </x:c>
      <x:c r="C150" s="5" t="str">
        <x:v>用户App-直播模块</x:v>
      </x:c>
      <x:c r="D150" s="5" t="str">
        <x:v>开播设置</x:v>
      </x:c>
      <x:c r="E150" s="5" t="str">
        <x:v>功能需求</x:v>
      </x:c>
      <x:c r="F150" s="5" t="str">
        <x:v>P1</x:v>
      </x:c>
      <x:c r="G150" s="5" t="str">
        <x:v>验证开播倒计时结束后显示进房入口</x:v>
      </x:c>
      <x:c r="H150" s="5" t="str">
        <x:v>倒计时后进房入口</x:v>
      </x:c>
      <x:c r="I150" s="5" t="str">
        <x:v>1. 开播三秒倒计时已开始</x:v>
      </x:c>
      <x:c r="J150" s="5" t="str">
        <x:v>1. 等待倒计时结束</x:v>
      </x:c>
      <x:c r="K150" s="5" t="str">
        <x:v>页面显示“进入直播间”按钮</x:v>
      </x:c>
      <x:c r="L150" s="5" t="str"/>
      <x:c r="M150" s="5" t="str">
        <x:v>未测</x:v>
      </x:c>
      <x:c r="N150" s="5" t="str"/>
      <x:c r="O150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151" ht="115.5" customHeight="1">
      <x:c r="A151" s="5" t="n">
        <x:v>150</x:v>
      </x:c>
      <x:c r="B151" s="5" t="str">
        <x:v>LIVE-150</x:v>
      </x:c>
      <x:c r="C151" s="5" t="str">
        <x:v>用户App-直播模块</x:v>
      </x:c>
      <x:c r="D151" s="5" t="str">
        <x:v>开播设置</x:v>
      </x:c>
      <x:c r="E151" s="5" t="str">
        <x:v>业务流程</x:v>
      </x:c>
      <x:c r="F151" s="5" t="str">
        <x:v>P0</x:v>
      </x:c>
      <x:c r="G151" s="5" t="str">
        <x:v>验证主播从开播结果进入直播间</x:v>
      </x:c>
      <x:c r="H151" s="5" t="str">
        <x:v>开播后进入主播房</x:v>
      </x:c>
      <x:c r="I151" s="5" t="str">
        <x:v>1. 倒计时已结束
2. 页面已显示“进入直播间”按钮</x:v>
      </x:c>
      <x:c r="J151" s="5" t="str">
        <x:v>1. 点击“进入直播间”</x:v>
      </x:c>
      <x:c r="K151" s="5" t="str">
        <x:v>页面进入主播直播间</x:v>
      </x:c>
      <x:c r="L151" s="5" t="str"/>
      <x:c r="M151" s="5" t="str">
        <x:v>未测</x:v>
      </x:c>
      <x:c r="N151" s="5" t="str"/>
      <x:c r="O151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152" ht="127.5" customHeight="1">
      <x:c r="A152" s="5" t="n">
        <x:v>151</x:v>
      </x:c>
      <x:c r="B152" s="5" t="str">
        <x:v>LIVE-151</x:v>
      </x:c>
      <x:c r="C152" s="5" t="str">
        <x:v>用户App-直播模块</x:v>
      </x:c>
      <x:c r="D152" s="5" t="str">
        <x:v>开播设置</x:v>
      </x:c>
      <x:c r="E152" s="5" t="str">
        <x:v>逻辑校验</x:v>
      </x:c>
      <x:c r="F152" s="5" t="str">
        <x:v>P1</x:v>
      </x:c>
      <x:c r="G152" s="5" t="str">
        <x:v>验证全空格直播标题触发必填提示</x:v>
      </x:c>
      <x:c r="H152" s="5" t="str">
        <x:v>全空格标题必填</x:v>
      </x:c>
      <x:c r="I152" s="5" t="str">
        <x:v>1. 主播已进入开播设置</x:v>
      </x:c>
      <x:c r="J152" s="5" t="str">
        <x:v>1. 将直播标题填写为全空格
2. 点击“保存”</x:v>
      </x:c>
      <x:c r="K152" s="5" t="str">
        <x:v>页面提示“请设置直播标题”</x:v>
      </x:c>
      <x:c r="L152" s="5" t="str"/>
      <x:c r="M152" s="5" t="str">
        <x:v>未测</x:v>
      </x:c>
      <x:c r="N152" s="5" t="str"/>
      <x:c r="O152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53" ht="127.5" customHeight="1">
      <x:c r="A153" s="5" t="n">
        <x:v>152</x:v>
      </x:c>
      <x:c r="B153" s="5" t="str">
        <x:v>LIVE-152</x:v>
      </x:c>
      <x:c r="C153" s="5" t="str">
        <x:v>用户App-直播模块</x:v>
      </x:c>
      <x:c r="D153" s="5" t="str">
        <x:v>开播设置</x:v>
      </x:c>
      <x:c r="E153" s="5" t="str">
        <x:v>逻辑校验</x:v>
      </x:c>
      <x:c r="F153" s="5" t="str">
        <x:v>P1</x:v>
      </x:c>
      <x:c r="G153" s="5" t="str">
        <x:v>验证空直播标题不写入开播设置</x:v>
      </x:c>
      <x:c r="H153" s="5" t="str">
        <x:v>空标题保存拦截</x:v>
      </x:c>
      <x:c r="I153" s="5" t="str">
        <x:v>1. 主播已打开直播标题编辑</x:v>
      </x:c>
      <x:c r="J153" s="5" t="str">
        <x:v>1. 清空标题
2. 点击“保存”</x:v>
      </x:c>
      <x:c r="K153" s="5" t="str">
        <x:v>开播设置页不回显空标题为已保存主题</x:v>
      </x:c>
      <x:c r="L153" s="5" t="str"/>
      <x:c r="M153" s="5" t="str">
        <x:v>未测</x:v>
      </x:c>
      <x:c r="N153" s="5" t="str"/>
      <x:c r="O153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54" ht="127.5" customHeight="1">
      <x:c r="A154" s="5" t="n">
        <x:v>153</x:v>
      </x:c>
      <x:c r="B154" s="5" t="str">
        <x:v>LIVE-153</x:v>
      </x:c>
      <x:c r="C154" s="5" t="str">
        <x:v>用户App-直播模块</x:v>
      </x:c>
      <x:c r="D154" s="5" t="str">
        <x:v>开播设置</x:v>
      </x:c>
      <x:c r="E154" s="5" t="str">
        <x:v>逻辑校验</x:v>
      </x:c>
      <x:c r="F154" s="5" t="str">
        <x:v>P1</x:v>
      </x:c>
      <x:c r="G154" s="5" t="str">
        <x:v>验证全空格直播标题不写入开播设置</x:v>
      </x:c>
      <x:c r="H154" s="5" t="str">
        <x:v>全空格标题保存拦截</x:v>
      </x:c>
      <x:c r="I154" s="5" t="str">
        <x:v>1. 主播已打开直播标题编辑</x:v>
      </x:c>
      <x:c r="J154" s="5" t="str">
        <x:v>1. 将直播标题填写为全空格
2. 点击“保存”</x:v>
      </x:c>
      <x:c r="K154" s="5" t="str">
        <x:v>开播设置页不回显全空格标题为已保存主题</x:v>
      </x:c>
      <x:c r="L154" s="5" t="str"/>
      <x:c r="M154" s="5" t="str">
        <x:v>未测</x:v>
      </x:c>
      <x:c r="N154" s="5" t="str"/>
      <x:c r="O154" s="5" t="str">
        <x:v>1. 来源：context/01-用户主播App-项目需求清单.md（2026-08-29 按原型同步，RSL-0002）
2. 来源：prototype/pages/user/host/start-live-settings.html 与当页交互脚本；未动态验证
3. 质量修正：按 RCL-0018 执行最小前置条件和单分支检查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55" ht="115.5" customHeight="1">
      <x:c r="A155" s="5" t="n">
        <x:v>154</x:v>
      </x:c>
      <x:c r="B155" s="5" t="str">
        <x:v>LIVE-154</x:v>
      </x:c>
      <x:c r="C155" s="5" t="str">
        <x:v>用户App-直播模块</x:v>
      </x:c>
      <x:c r="D155" s="5" t="str">
        <x:v>开播设置</x:v>
      </x:c>
      <x:c r="E155" s="5" t="str">
        <x:v>功能需求</x:v>
      </x:c>
      <x:c r="F155" s="5" t="str">
        <x:v>P1</x:v>
      </x:c>
      <x:c r="G155" s="5" t="str">
        <x:v>验证门票房价格保存后回显</x:v>
      </x:c>
      <x:c r="H155" s="5" t="str">
        <x:v>门票房价格回显</x:v>
      </x:c>
      <x:c r="I155" s="5" t="str">
        <x:v>1. 主播已保存价格为 10 金币的门票房设置</x:v>
      </x:c>
      <x:c r="J155" s="5" t="str">
        <x:v>1. 再次打开房型设置</x:v>
      </x:c>
      <x:c r="K155" s="5" t="str">
        <x:v>门票价格回显为 10 金币</x:v>
      </x:c>
      <x:c r="L155" s="5" t="str"/>
      <x:c r="M155" s="5" t="str">
        <x:v>未测</x:v>
      </x:c>
      <x:c r="N155" s="5" t="str"/>
      <x:c r="O155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156" ht="115.5" customHeight="1">
      <x:c r="A156" s="5" t="n">
        <x:v>155</x:v>
      </x:c>
      <x:c r="B156" s="5" t="str">
        <x:v>LIVE-155</x:v>
      </x:c>
      <x:c r="C156" s="5" t="str">
        <x:v>用户App-直播模块</x:v>
      </x:c>
      <x:c r="D156" s="5" t="str">
        <x:v>开播设置</x:v>
      </x:c>
      <x:c r="E156" s="5" t="str">
        <x:v>功能需求</x:v>
      </x:c>
      <x:c r="F156" s="5" t="str">
        <x:v>P1</x:v>
      </x:c>
      <x:c r="G156" s="5" t="str">
        <x:v>验证密码房可见范围保存后回显</x:v>
      </x:c>
      <x:c r="H156" s="5" t="str">
        <x:v>密码房可见范围回显</x:v>
      </x:c>
      <x:c r="I156" s="5" t="str">
        <x:v>1. 主播已保存密码房的广场展示和粉丝授权设置</x:v>
      </x:c>
      <x:c r="J156" s="5" t="str">
        <x:v>1. 再次打开房型设置</x:v>
      </x:c>
      <x:c r="K156" s="5" t="str">
        <x:v>页面回显上次保存的密码房可见范围</x:v>
      </x:c>
      <x:c r="L156" s="5" t="str"/>
      <x:c r="M156" s="5" t="str">
        <x:v>未测</x:v>
      </x:c>
      <x:c r="N156" s="5" t="str"/>
      <x:c r="O156" s="5" t="str">
        <x:v>1. 来源：context/01-用户主播App-项目需求清单.md（2026-08-29 按原型同步，RSL-0002）
2. 来源：prototype/pages/user/host/start-live-settings.html 与当页交互脚本；未动态验证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157" ht="139.5" customHeight="1">
      <x:c r="A157" s="5" t="n">
        <x:v>156</x:v>
      </x:c>
      <x:c r="B157" s="5" t="str">
        <x:v>LIVE-156</x:v>
      </x:c>
      <x:c r="C157" s="5" t="str">
        <x:v>用户App-直播模块</x:v>
      </x:c>
      <x:c r="D157" s="5" t="str">
        <x:v>开播控制</x:v>
      </x:c>
      <x:c r="E157" s="5" t="str">
        <x:v>业务流程</x:v>
      </x:c>
      <x:c r="F157" s="5" t="str">
        <x:v>P1</x:v>
      </x:c>
      <x:c r="G157" s="5" t="str">
        <x:v>验证开播成功后直播场次进入直播广场</x:v>
      </x:c>
      <x:c r="H157" s="5" t="str">
        <x:v>开播后的广场入口</x:v>
      </x:c>
      <x:c r="I157" s="5" t="str">
        <x:v>1. 主播已成功创建一场进行中的直播
2. 直播标题、封面、分类和房型已保存</x:v>
      </x:c>
      <x:c r="J157" s="5" t="str">
        <x:v>1. 由另一名用户刷新直播广场
2. 查找该主播的直播场次</x:v>
      </x:c>
      <x:c r="K157" s="5" t="str">
        <x:v>开播成功后直播广场出现本场观看入口，卡片的主播、标题、封面、分类和房型与开播设置一致</x:v>
      </x:c>
      <x:c r="L157" s="5" t="str">
        <x:v>FLOW-LIVE-001</x:v>
      </x:c>
      <x:c r="M157" s="5" t="str">
        <x:v>未测</x:v>
      </x:c>
      <x:c r="N157" s="5" t="str"/>
      <x:c r="O157" s="5" t="str">
        <x:v>1. 来源：context/01-用户主播App-项目需求清单.md
2. 来源：context/系统概要 .md（当前全局业务规则）
3. 追溯：业务底稿 LIVE-061。
4. 流程：阶段 02：直播广场出现观看入口；共同业务对象：LIVE-SESSION-N01。
5. 共同业务对象：同一直播场次
6. 流程阶段：开播后的广场入口
7. 同步追溯：work/liveshow-user-live-testcases-260831-004/prototype-context-sync-result.json；RSL-0002、RSL-0003
8. 全局证据追溯：work/liveshow-user-live-testcases-260831-004/global-evidence-scan-result.json；扫描模式 incremental</x:v>
      </x:c>
    </x:row>
    <x:row r="158" ht="103.5" customHeight="1">
      <x:c r="A158" s="5" t="n">
        <x:v>157</x:v>
      </x:c>
      <x:c r="B158" s="5" t="str">
        <x:v>LIVE-157</x:v>
      </x:c>
      <x:c r="C158" s="5" t="str">
        <x:v>用户App-直播模块</x:v>
      </x:c>
      <x:c r="D158" s="5" t="str">
        <x:v>开播控制</x:v>
      </x:c>
      <x:c r="E158" s="5" t="str">
        <x:v>业务流程</x:v>
      </x:c>
      <x:c r="F158" s="5" t="str">
        <x:v>P1</x:v>
      </x:c>
      <x:c r="G158" s="5" t="str">
        <x:v>验证开播成功后向关注用户发送提醒</x:v>
      </x:c>
      <x:c r="H158" s="5" t="str">
        <x:v>关注用户开播提醒</x:v>
      </x:c>
      <x:c r="I158" s="5" t="str">
        <x:v>1. 用户 A 已关注目标主播并允许接收开播提醒
2. 用户 B 未关注目标主播
3. 目标主播尚未开播</x:v>
      </x:c>
      <x:c r="J158" s="5" t="str">
        <x:v>1. 目标主播成功开始直播
2. 分别查看用户 A 和用户 B 的通知</x:v>
      </x:c>
      <x:c r="K158" s="5" t="str">
        <x:v>仅已关注目标主播的用户 A 收到本场开播提醒，未关注的用户 B 不收到该提醒</x:v>
      </x:c>
      <x:c r="L158" s="5" t="str"/>
      <x:c r="M158" s="5" t="str">
        <x:v>未测</x:v>
      </x:c>
      <x:c r="N158" s="5" t="str"/>
      <x:c r="O158" s="5" t="str">
        <x:v>1. 来源：context/01-用户主播App-项目需求清单.md
2. 来源：context/系统概要 .md（当前全局业务规则）
3. 追溯：业务底稿 LIVE-062。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59" ht="115.5" customHeight="1">
      <x:c r="A159" s="5" t="n">
        <x:v>158</x:v>
      </x:c>
      <x:c r="B159" s="5" t="str">
        <x:v>LIVE-158</x:v>
      </x:c>
      <x:c r="C159" s="5" t="str">
        <x:v>用户App-直播模块</x:v>
      </x:c>
      <x:c r="D159" s="5" t="str">
        <x:v>主播直播间</x:v>
      </x:c>
      <x:c r="E159" s="5" t="str">
        <x:v>功能需求</x:v>
      </x:c>
      <x:c r="F159" s="5" t="str">
        <x:v>P1</x:v>
      </x:c>
      <x:c r="G159" s="5" t="str">
        <x:v>验证主播查看在线用户经营标识</x:v>
      </x:c>
      <x:c r="H159" s="5" t="str">
        <x:v>在线用户身份标识</x:v>
      </x:c>
      <x:c r="I159" s="5" t="str">
        <x:v>1. 主播正在直播
2. 在线用户覆盖新用户、老粉、粉丝团成员、高贡献用户、财富等级用户和受限用户</x:v>
      </x:c>
      <x:c r="J159" s="5" t="str">
        <x:v>1. 点击在线观众入口
2. 查看各类用户资料</x:v>
      </x:c>
      <x:c r="K159" s="5" t="str">
        <x:v>在线用户列表按实际用户状态展示新用户、关注或老粉、粉丝团、贡献、财富等级和限制标识</x:v>
      </x:c>
      <x:c r="L159" s="5" t="str"/>
      <x:c r="M159" s="5" t="str">
        <x:v>未测</x:v>
      </x:c>
      <x:c r="N159" s="5" t="str"/>
      <x:c r="O159" s="5" t="str">
        <x:v>1. 来源：context/01-用户主播App-项目需求清单.md
2. 来源：context/系统概要 .md（当前全局业务规则）
3. 来源：prototype/assets/annotations.js
4. 追溯：业务底稿 LIVE-064。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160" ht="103.5" customHeight="1">
      <x:c r="A160" s="5" t="n">
        <x:v>159</x:v>
      </x:c>
      <x:c r="B160" s="5" t="str">
        <x:v>LIVE-159</x:v>
      </x:c>
      <x:c r="C160" s="5" t="str">
        <x:v>用户App-直播模块</x:v>
      </x:c>
      <x:c r="D160" s="5" t="str">
        <x:v>主播直播间</x:v>
      </x:c>
      <x:c r="E160" s="5" t="str">
        <x:v>逻辑校验</x:v>
      </x:c>
      <x:c r="F160" s="5" t="str">
        <x:v>P1</x:v>
      </x:c>
      <x:c r="G160" s="5" t="str">
        <x:v>验证普通礼物计入本场收礼</x:v>
      </x:c>
      <x:c r="H160" s="5" t="str">
        <x:v>本场收礼金额</x:v>
      </x:c>
      <x:c r="I160" s="5" t="str">
        <x:v>1. 主播本场初始普通礼物收益为 500 金币
2. 观众随后赠送价值 100 金币的普通礼物
3. 无其他收益变动</x:v>
      </x:c>
      <x:c r="J160" s="5" t="str">
        <x:v>1. 记录本场收礼值
2. 观众赠送 100 金币普通礼物
3. 查看本场收礼</x:v>
      </x:c>
      <x:c r="K160" s="5" t="str">
        <x:v>本场普通礼物收礼增加 100 金币</x:v>
      </x:c>
      <x:c r="L160" s="5" t="str"/>
      <x:c r="M160" s="5" t="str">
        <x:v>未测</x:v>
      </x:c>
      <x:c r="N160" s="5" t="str"/>
      <x:c r="O160" s="5" t="str">
        <x:v>1. 来源：context/01-用户主播App-项目需求清单.md
2. 来源：context/系统概要 .md（当前全局业务规则）
3. 追溯：业务底稿 LIVE-065。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61" ht="103.5" customHeight="1">
      <x:c r="A161" s="5" t="n">
        <x:v>160</x:v>
      </x:c>
      <x:c r="B161" s="5" t="str">
        <x:v>LIVE-160</x:v>
      </x:c>
      <x:c r="C161" s="5" t="str">
        <x:v>用户App-直播模块</x:v>
      </x:c>
      <x:c r="D161" s="5" t="str">
        <x:v>主播直播间</x:v>
      </x:c>
      <x:c r="E161" s="5" t="str">
        <x:v>逻辑校验</x:v>
      </x:c>
      <x:c r="F161" s="5" t="str">
        <x:v>P1</x:v>
      </x:c>
      <x:c r="G161" s="5" t="str">
        <x:v>验证普通礼物计入实时收益</x:v>
      </x:c>
      <x:c r="H161" s="5" t="str">
        <x:v>实时收益金额</x:v>
      </x:c>
      <x:c r="I161" s="5" t="str">
        <x:v>1. 主播本场初始普通礼物收益为 500 金币
2. 观众随后赠送价值 100 金币的普通礼物
3. 无其他收益变动</x:v>
      </x:c>
      <x:c r="J161" s="5" t="str">
        <x:v>1. 记录主播实时收益 500 金币
2. 观众赠送 100 金币普通礼物
3. 查看实时收益</x:v>
      </x:c>
      <x:c r="K161" s="5" t="str">
        <x:v>实时收益 = 500 + 100 = 600 金币</x:v>
      </x:c>
      <x:c r="L161" s="5" t="str"/>
      <x:c r="M161" s="5" t="str">
        <x:v>未测</x:v>
      </x:c>
      <x:c r="N161" s="5" t="str"/>
      <x:c r="O161" s="5" t="str">
        <x:v>1. 来源：context/01-用户主播App-项目需求清单.md
2. 来源：context/系统概要 .md（当前全局业务规则）
3. 追溯：业务底稿 LIVE-065。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62" ht="103.5" customHeight="1">
      <x:c r="A162" s="5" t="n">
        <x:v>161</x:v>
      </x:c>
      <x:c r="B162" s="5" t="str">
        <x:v>LIVE-161</x:v>
      </x:c>
      <x:c r="C162" s="5" t="str">
        <x:v>用户App-直播模块</x:v>
      </x:c>
      <x:c r="D162" s="5" t="str">
        <x:v>主播直播间</x:v>
      </x:c>
      <x:c r="E162" s="5" t="str">
        <x:v>逻辑校验</x:v>
      </x:c>
      <x:c r="F162" s="5" t="str">
        <x:v>P1</x:v>
      </x:c>
      <x:c r="G162" s="5" t="str">
        <x:v>验证礼物消费和收益流水关联</x:v>
      </x:c>
      <x:c r="H162" s="5" t="str">
        <x:v>消费收益流水关联</x:v>
      </x:c>
      <x:c r="I162" s="5" t="str">
        <x:v>1. 主播本场初始普通礼物收益为 500 金币
2. 观众随后赠送价值 100 金币的普通礼物
3. 无其他收益变动</x:v>
      </x:c>
      <x:c r="J162" s="5" t="str">
        <x:v>1. 观众赠送 100 金币普通礼物
2. 分别查看消费流水和收益流水</x:v>
      </x:c>
      <x:c r="K162" s="5" t="str">
        <x:v>消费流水和收益流水使用同一直播场次标识</x:v>
      </x:c>
      <x:c r="L162" s="5" t="str"/>
      <x:c r="M162" s="5" t="str">
        <x:v>未测</x:v>
      </x:c>
      <x:c r="N162" s="5" t="str"/>
      <x:c r="O162" s="5" t="str">
        <x:v>1. 来源：context/01-用户主播App-项目需求清单.md
2. 来源：context/系统概要 .md（当前全局业务规则）
3. 追溯：业务底稿 LIVE-065。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63" ht="103.5" customHeight="1">
      <x:c r="A163" s="5" t="n">
        <x:v>162</x:v>
      </x:c>
      <x:c r="B163" s="5" t="str">
        <x:v>LIVE-162</x:v>
      </x:c>
      <x:c r="C163" s="5" t="str">
        <x:v>用户App-直播模块</x:v>
      </x:c>
      <x:c r="D163" s="5" t="str">
        <x:v>主播直播间</x:v>
      </x:c>
      <x:c r="E163" s="5" t="str">
        <x:v>功能需求</x:v>
      </x:c>
      <x:c r="F163" s="5" t="str">
        <x:v>P2</x:v>
      </x:c>
      <x:c r="G163" s="5" t="str">
        <x:v>验证在线观众按贡献排序</x:v>
      </x:c>
      <x:c r="H163" s="5" t="str">
        <x:v>观众贡献排序</x:v>
      </x:c>
      <x:c r="I163" s="5" t="str">
        <x:v>1. 主播正在直播
2. 至少三名在线用户具有不同贡献和停留时长</x:v>
      </x:c>
      <x:c r="J163" s="5" t="str">
        <x:v>1. 打开在线观众
2. 选择按贡献排序</x:v>
      </x:c>
      <x:c r="K163" s="5" t="str">
        <x:v>按贡献排序时列表顺序依据本场贡献值</x:v>
      </x:c>
      <x:c r="L163" s="5" t="str"/>
      <x:c r="M163" s="5" t="str">
        <x:v>未测</x:v>
      </x:c>
      <x:c r="N163" s="5" t="str"/>
      <x:c r="O163" s="5" t="str">
        <x:v>1. 来源：prototype/assets/annotations.js
2. 来源：对应 HTML 静态原型；未动态验证
3. 追溯：业务底稿 LIVE-066。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64" ht="103.5" customHeight="1">
      <x:c r="A164" s="5" t="n">
        <x:v>163</x:v>
      </x:c>
      <x:c r="B164" s="5" t="str">
        <x:v>LIVE-163</x:v>
      </x:c>
      <x:c r="C164" s="5" t="str">
        <x:v>用户App-直播模块</x:v>
      </x:c>
      <x:c r="D164" s="5" t="str">
        <x:v>主播直播间</x:v>
      </x:c>
      <x:c r="E164" s="5" t="str">
        <x:v>功能需求</x:v>
      </x:c>
      <x:c r="F164" s="5" t="str">
        <x:v>P2</x:v>
      </x:c>
      <x:c r="G164" s="5" t="str">
        <x:v>验证在线观众按停留时长排序</x:v>
      </x:c>
      <x:c r="H164" s="5" t="str">
        <x:v>观众停留时长排序</x:v>
      </x:c>
      <x:c r="I164" s="5" t="str">
        <x:v>1. 主播正在直播
2. 至少三名在线用户具有不同贡献和停留时长</x:v>
      </x:c>
      <x:c r="J164" s="5" t="str">
        <x:v>1. 打开在线观众
2. 选择按停留时长排序</x:v>
      </x:c>
      <x:c r="K164" s="5" t="str">
        <x:v>按停留时长排序时列表顺序依据本场停留时长</x:v>
      </x:c>
      <x:c r="L164" s="5" t="str"/>
      <x:c r="M164" s="5" t="str">
        <x:v>未测</x:v>
      </x:c>
      <x:c r="N164" s="5" t="str"/>
      <x:c r="O164" s="5" t="str">
        <x:v>1. 来源：prototype/assets/annotations.js
2. 来源：对应 HTML 静态原型；未动态验证
3. 追溯：业务底稿 LIVE-066。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65" ht="115.5" customHeight="1">
      <x:c r="A165" s="5" t="n">
        <x:v>164</x:v>
      </x:c>
      <x:c r="B165" s="5" t="str">
        <x:v>LIVE-164</x:v>
      </x:c>
      <x:c r="C165" s="5" t="str">
        <x:v>用户App-直播模块</x:v>
      </x:c>
      <x:c r="D165" s="5" t="str">
        <x:v>主播直播间</x:v>
      </x:c>
      <x:c r="E165" s="5" t="str">
        <x:v>功能需求</x:v>
      </x:c>
      <x:c r="F165" s="5" t="str">
        <x:v>P2</x:v>
      </x:c>
      <x:c r="G165" s="5" t="str">
        <x:v>验证主播从用户卡发送 @ 欢迎</x:v>
      </x:c>
      <x:c r="H165" s="5" t="str">
        <x:v>@欢迎用户</x:v>
      </x:c>
      <x:c r="I165" s="5" t="str">
        <x:v>1. 主播正在直播
2. 目标用户在线且可接收公屏消息</x:v>
      </x:c>
      <x:c r="J165" s="5" t="str">
        <x:v>1. 打开目标用户资料卡
2. 点击“@Ta”
3. 填写欢迎内容并发送</x:v>
      </x:c>
      <x:c r="K165" s="5" t="str">
        <x:v>公屏新增由当前主播发送且包含目标用户标识的欢迎消息</x:v>
      </x:c>
      <x:c r="L165" s="5" t="str"/>
      <x:c r="M165" s="5" t="str">
        <x:v>未测</x:v>
      </x:c>
      <x:c r="N165" s="5" t="str"/>
      <x:c r="O165" s="5" t="str">
        <x:v>1. 来源：context/01-用户主播App-项目需求清单.md
2. 来源：context/系统概要 .md（当前全局业务规则）
3. 来源：对应 HTML 静态原型；未动态验证
4. 追溯：业务底稿 LIVE-067。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166" ht="91.5" customHeight="1">
      <x:c r="A166" s="5" t="n">
        <x:v>165</x:v>
      </x:c>
      <x:c r="B166" s="5" t="str">
        <x:v>LIVE-165</x:v>
      </x:c>
      <x:c r="C166" s="5" t="str">
        <x:v>用户App-直播模块</x:v>
      </x:c>
      <x:c r="D166" s="5" t="str">
        <x:v>主播直播间</x:v>
      </x:c>
      <x:c r="E166" s="5" t="str">
        <x:v>逻辑校验</x:v>
      </x:c>
      <x:c r="F166" s="5" t="str">
        <x:v>P1</x:v>
      </x:c>
      <x:c r="G166" s="5" t="str">
        <x:v>验证非好友前三条私信可以发送</x:v>
      </x:c>
      <x:c r="H166" s="5" t="str">
        <x:v>非好友前三条私信</x:v>
      </x:c>
      <x:c r="I166" s="5" t="str">
        <x:v>1. 用户正在观看主播的直播
2. 用户与主播不是好友
3. 双方不存在账号拉黑关系
4. 用户尚未向主播发送私信</x:v>
      </x:c>
      <x:c r="J166" s="5" t="str">
        <x:v>1. 打开主播资料卡
2. 连续发送三条私信</x:v>
      </x:c>
      <x:c r="K166" s="5" t="str">
        <x:v>第 3 条私信发送成功</x:v>
      </x:c>
      <x:c r="L166" s="5" t="str"/>
      <x:c r="M166" s="5" t="str">
        <x:v>未测</x:v>
      </x:c>
      <x:c r="N166" s="5" t="str"/>
      <x:c r="O166" s="5" t="str">
        <x:v>1. 来源：context/系统概要 .md（当前全局业务规则）
2. 全量重审：旧依赖文件已删除，本条按当前系统概要重新建立证据关联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167" ht="91.5" customHeight="1">
      <x:c r="A167" s="5" t="n">
        <x:v>166</x:v>
      </x:c>
      <x:c r="B167" s="5" t="str">
        <x:v>LIVE-166</x:v>
      </x:c>
      <x:c r="C167" s="5" t="str">
        <x:v>用户App-直播模块</x:v>
      </x:c>
      <x:c r="D167" s="5" t="str">
        <x:v>主播直播间</x:v>
      </x:c>
      <x:c r="E167" s="5" t="str">
        <x:v>逻辑校验</x:v>
      </x:c>
      <x:c r="F167" s="5" t="str">
        <x:v>P1</x:v>
      </x:c>
      <x:c r="G167" s="5" t="str">
        <x:v>验证非好友第四条私信被拦截</x:v>
      </x:c>
      <x:c r="H167" s="5" t="str">
        <x:v>非好友第四条私信</x:v>
      </x:c>
      <x:c r="I167" s="5" t="str">
        <x:v>1. 用户正在观看主播的直播
2. 用户与主播不是好友
3. 双方不存在账号拉黑关系
4. 用户已向主播成功发送三条私信</x:v>
      </x:c>
      <x:c r="J167" s="5" t="str">
        <x:v>1. 打开与主播的私信会话
2. 发送第 4 条私信</x:v>
      </x:c>
      <x:c r="K167" s="5" t="str">
        <x:v>第 4 条私信不发送</x:v>
      </x:c>
      <x:c r="L167" s="5" t="str"/>
      <x:c r="M167" s="5" t="str">
        <x:v>未测</x:v>
      </x:c>
      <x:c r="N167" s="5" t="str"/>
      <x:c r="O167" s="5" t="str">
        <x:v>1. 来源：context/系统概要 .md（当前全局业务规则）
2. 全量重审：旧依赖文件已删除，本条按当前系统概要重新建立证据关联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168" ht="91.5" customHeight="1">
      <x:c r="A168" s="5" t="n">
        <x:v>167</x:v>
      </x:c>
      <x:c r="B168" s="5" t="str">
        <x:v>LIVE-167</x:v>
      </x:c>
      <x:c r="C168" s="5" t="str">
        <x:v>用户App-直播模块</x:v>
      </x:c>
      <x:c r="D168" s="5" t="str">
        <x:v>主播直播间</x:v>
      </x:c>
      <x:c r="E168" s="5" t="str">
        <x:v>业务流程</x:v>
      </x:c>
      <x:c r="F168" s="5" t="str">
        <x:v>P1</x:v>
      </x:c>
      <x:c r="G168" s="5" t="str">
        <x:v>验证账号拉黑限制搜索对方</x:v>
      </x:c>
      <x:c r="H168" s="5" t="str">
        <x:v>账号拉黑搜索限制</x:v>
      </x:c>
      <x:c r="I168" s="5" t="str">
        <x:v>1. 用户正在观看主播的直播
2. 用户与主播不存在账号拉黑关系
3. 用户可以通过主播 ID 搜索到主播</x:v>
      </x:c>
      <x:c r="J168" s="5" t="str">
        <x:v>1. 用户拉黑主播账号
2. 返回搜索页
3. 使用主播 ID 搜索</x:v>
      </x:c>
      <x:c r="K168" s="5" t="str">
        <x:v>搜索结果不展示被拉黑的主播</x:v>
      </x:c>
      <x:c r="L168" s="5" t="str"/>
      <x:c r="M168" s="5" t="str">
        <x:v>未测</x:v>
      </x:c>
      <x:c r="N168" s="5" t="str"/>
      <x:c r="O168" s="5" t="str">
        <x:v>1. 来源：context/系统概要 .md（当前全局业务规则）
2. 全量重审：旧依赖文件已删除，本条按当前系统概要重新建立证据关联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169" ht="91.5" customHeight="1">
      <x:c r="A169" s="5" t="n">
        <x:v>168</x:v>
      </x:c>
      <x:c r="B169" s="5" t="str">
        <x:v>LIVE-168</x:v>
      </x:c>
      <x:c r="C169" s="5" t="str">
        <x:v>用户App-直播模块</x:v>
      </x:c>
      <x:c r="D169" s="5" t="str">
        <x:v>主播直播间</x:v>
      </x:c>
      <x:c r="E169" s="5" t="str">
        <x:v>业务流程</x:v>
      </x:c>
      <x:c r="F169" s="5" t="str">
        <x:v>P1</x:v>
      </x:c>
      <x:c r="G169" s="5" t="str">
        <x:v>验证账号拉黑限制加入对方粉丝群</x:v>
      </x:c>
      <x:c r="H169" s="5" t="str">
        <x:v>账号拉黑入群限制</x:v>
      </x:c>
      <x:c r="I169" s="5" t="str">
        <x:v>1. 用户正在观看主播的直播
2. 用户尚未加入主播粉丝群
3. 用户与主播不存在账号拉黑关系</x:v>
      </x:c>
      <x:c r="J169" s="5" t="str">
        <x:v>1. 用户拉黑主播账号
2. 尝试从主播主页加入粉丝群</x:v>
      </x:c>
      <x:c r="K169" s="5" t="str">
        <x:v>用户不能加入被拉黑主播的粉丝群</x:v>
      </x:c>
      <x:c r="L169" s="5" t="str"/>
      <x:c r="M169" s="5" t="str">
        <x:v>未测</x:v>
      </x:c>
      <x:c r="N169" s="5" t="str"/>
      <x:c r="O169" s="5" t="str">
        <x:v>1. 来源：context/系统概要 .md（当前全局业务规则）
2. 全量重审：旧依赖文件已删除，本条按当前系统概要重新建立证据关联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170" ht="91.5" customHeight="1">
      <x:c r="A170" s="5" t="n">
        <x:v>169</x:v>
      </x:c>
      <x:c r="B170" s="5" t="str">
        <x:v>LIVE-169</x:v>
      </x:c>
      <x:c r="C170" s="5" t="str">
        <x:v>用户App-直播模块</x:v>
      </x:c>
      <x:c r="D170" s="5" t="str">
        <x:v>主播直播间</x:v>
      </x:c>
      <x:c r="E170" s="5" t="str">
        <x:v>逻辑校验</x:v>
      </x:c>
      <x:c r="F170" s="5" t="str">
        <x:v>P1</x:v>
      </x:c>
      <x:c r="G170" s="5" t="str">
        <x:v>验证账号拉黑使已有好友申请失效</x:v>
      </x:c>
      <x:c r="H170" s="5" t="str">
        <x:v>拉黑后的好友申请状态</x:v>
      </x:c>
      <x:c r="I170" s="5" t="str">
        <x:v>1. 用户正在观看主播的直播
2. 用户已向主播提交待处理好友申请
3. 用户与主播不存在账号拉黑关系</x:v>
      </x:c>
      <x:c r="J170" s="5" t="str">
        <x:v>1. 用户拉黑主播账号
2. 查看原好友申请</x:v>
      </x:c>
      <x:c r="K170" s="5" t="str">
        <x:v>原待处理好友申请失效</x:v>
      </x:c>
      <x:c r="L170" s="5" t="str"/>
      <x:c r="M170" s="5" t="str">
        <x:v>未测</x:v>
      </x:c>
      <x:c r="N170" s="5" t="str"/>
      <x:c r="O170" s="5" t="str">
        <x:v>1. 来源：context/系统概要 .md（当前全局业务规则）
2. 全量重审：旧依赖文件已删除，本条按当前系统概要重新建立证据关联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171" ht="115.5" customHeight="1">
      <x:c r="A171" s="5" t="n">
        <x:v>170</x:v>
      </x:c>
      <x:c r="B171" s="5" t="str">
        <x:v>LIVE-170</x:v>
      </x:c>
      <x:c r="C171" s="5" t="str">
        <x:v>用户App-直播模块</x:v>
      </x:c>
      <x:c r="D171" s="5" t="str">
        <x:v>主播直播间</x:v>
      </x:c>
      <x:c r="E171" s="5" t="str">
        <x:v>业务流程</x:v>
      </x:c>
      <x:c r="F171" s="5" t="str">
        <x:v>P1</x:v>
      </x:c>
      <x:c r="G171" s="5" t="str">
        <x:v>验证长期房管授权生效</x:v>
      </x:c>
      <x:c r="H171" s="5" t="str">
        <x:v>长期房管权限</x:v>
      </x:c>
      <x:c r="I171" s="5" t="str">
        <x:v>1. 主播已设置的房管少于 3 人
2. 目标用户不在直播间黑名单内
3. 双方无账号拉黑关系</x:v>
      </x:c>
      <x:c r="J171" s="5" t="str">
        <x:v>1. 在房管设置中输入目标用户 ID
2. 开启“设为房管”</x:v>
      </x:c>
      <x:c r="K171" s="5" t="str">
        <x:v>目标用户获得该主播的房管权限，授权在该主播后续直播中持续有效，直至主播取消</x:v>
      </x:c>
      <x:c r="L171" s="5" t="str"/>
      <x:c r="M171" s="5" t="str">
        <x:v>未测</x:v>
      </x:c>
      <x:c r="N171" s="5" t="str"/>
      <x:c r="O171" s="5" t="str">
        <x:v>1. 来源：context/01-用户主播App-项目需求清单.md
2. 来源：context/系统概要 .md（当前全局业务规则）
3. 追溯：业务底稿 LIVE-072。
4. 质量修正：按 RCL-0018 执行最小前置条件和单分支检查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172" ht="115.5" customHeight="1">
      <x:c r="A172" s="5" t="n">
        <x:v>171</x:v>
      </x:c>
      <x:c r="B172" s="5" t="str">
        <x:v>LIVE-171</x:v>
      </x:c>
      <x:c r="C172" s="5" t="str">
        <x:v>用户App-直播模块</x:v>
      </x:c>
      <x:c r="D172" s="5" t="str">
        <x:v>主播直播间</x:v>
      </x:c>
      <x:c r="E172" s="5" t="str">
        <x:v>业务流程</x:v>
      </x:c>
      <x:c r="F172" s="5" t="str">
        <x:v>P1</x:v>
      </x:c>
      <x:c r="G172" s="5" t="str">
        <x:v>验证房管授权关系留存</x:v>
      </x:c>
      <x:c r="H172" s="5" t="str">
        <x:v>房管授权记录</x:v>
      </x:c>
      <x:c r="I172" s="5" t="str">
        <x:v>1. 主播已设置的房管少于 3 人
2. 目标用户不在直播间黑名单内
3. 双方无账号拉黑关系</x:v>
      </x:c>
      <x:c r="J172" s="5" t="str">
        <x:v>1. 在房管设置中输入目标用户 ID
2. 开启“设为房管”</x:v>
      </x:c>
      <x:c r="K172" s="5" t="str">
        <x:v>系统保存主播与房管的授权关系</x:v>
      </x:c>
      <x:c r="L172" s="5" t="str"/>
      <x:c r="M172" s="5" t="str">
        <x:v>未测</x:v>
      </x:c>
      <x:c r="N172" s="5" t="str"/>
      <x:c r="O172" s="5" t="str">
        <x:v>1. 来源：context/01-用户主播App-项目需求清单.md
2. 来源：context/系统概要 .md（当前全局业务规则）
3. 追溯：业务底稿 LIVE-072。
4. 质量修正：按 RCL-0018 执行最小前置条件和单分支检查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173" ht="103.5" customHeight="1">
      <x:c r="A173" s="5" t="n">
        <x:v>172</x:v>
      </x:c>
      <x:c r="B173" s="5" t="str">
        <x:v>LIVE-172</x:v>
      </x:c>
      <x:c r="C173" s="5" t="str">
        <x:v>用户App-直播模块</x:v>
      </x:c>
      <x:c r="D173" s="5" t="str">
        <x:v>主播直播间</x:v>
      </x:c>
      <x:c r="E173" s="5" t="str">
        <x:v>逻辑校验</x:v>
      </x:c>
      <x:c r="F173" s="5" t="str">
        <x:v>P1</x:v>
      </x:c>
      <x:c r="G173" s="5" t="str">
        <x:v>验证房管达到三人后不能继续添加</x:v>
      </x:c>
      <x:c r="H173" s="5" t="str">
        <x:v>房管人数上限</x:v>
      </x:c>
      <x:c r="I173" s="5" t="str">
        <x:v>1. 主播已存在 3 名有效房管
2. 第 4 名目标用户满足其他房管条件</x:v>
      </x:c>
      <x:c r="J173" s="5" t="str">
        <x:v>1. 尝试将第 4 名用户设置为房管</x:v>
      </x:c>
      <x:c r="K173" s="5" t="str">
        <x:v>已有 3 名房管时，第 4 名用户不得获得房管权限</x:v>
      </x:c>
      <x:c r="L173" s="5" t="str"/>
      <x:c r="M173" s="5" t="str">
        <x:v>未测</x:v>
      </x:c>
      <x:c r="N173" s="5" t="str"/>
      <x:c r="O173" s="5" t="str">
        <x:v>1. 来源：context/01-用户主播App-项目需求清单.md
2. 来源：context/系统概要 .md（当前全局业务规则）
3. 追溯：业务底稿 LIVE-073。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74" ht="115.5" customHeight="1">
      <x:c r="A174" s="5" t="n">
        <x:v>173</x:v>
      </x:c>
      <x:c r="B174" s="5" t="str">
        <x:v>LIVE-173</x:v>
      </x:c>
      <x:c r="C174" s="5" t="str">
        <x:v>用户App-直播模块</x:v>
      </x:c>
      <x:c r="D174" s="5" t="str">
        <x:v>主播直播间</x:v>
      </x:c>
      <x:c r="E174" s="5" t="str">
        <x:v>异常用例</x:v>
      </x:c>
      <x:c r="F174" s="5" t="str">
        <x:v>P1</x:v>
      </x:c>
      <x:c r="G174" s="5" t="str">
        <x:v>验证直播间黑名单用户不能设为房管</x:v>
      </x:c>
      <x:c r="H174" s="5" t="str">
        <x:v>黑名单用户房管限制</x:v>
      </x:c>
      <x:c r="I174" s="5" t="str">
        <x:v>1. 主播正在直播
2. 目标用户已在该主播直播间黑名单内
3. 主播与目标用户不存在账号拉黑关系</x:v>
      </x:c>
      <x:c r="J174" s="5" t="str">
        <x:v>1. 打开房管设置
2. 尝试将目标用户设置为房管</x:v>
      </x:c>
      <x:c r="K174" s="5" t="str">
        <x:v>直播间黑名单内的目标用户未获得房管权限</x:v>
      </x:c>
      <x:c r="L174" s="5" t="str"/>
      <x:c r="M174" s="5" t="str">
        <x:v>未测</x:v>
      </x:c>
      <x:c r="N174" s="5" t="str"/>
      <x:c r="O174" s="5" t="str">
        <x:v>1. 来源：context/01-用户主播App-项目需求清单.md
2. 来源：context/系统概要 .md（当前全局业务规则）
3. 追溯：业务底稿 LIVE-074。
4. 质量修正：按 RCL-0018 执行最小前置条件和单分支检查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175" ht="115.5" customHeight="1">
      <x:c r="A175" s="5" t="n">
        <x:v>174</x:v>
      </x:c>
      <x:c r="B175" s="5" t="str">
        <x:v>LIVE-174</x:v>
      </x:c>
      <x:c r="C175" s="5" t="str">
        <x:v>用户App-直播模块</x:v>
      </x:c>
      <x:c r="D175" s="5" t="str">
        <x:v>主播直播间</x:v>
      </x:c>
      <x:c r="E175" s="5" t="str">
        <x:v>异常用例</x:v>
      </x:c>
      <x:c r="F175" s="5" t="str">
        <x:v>P1</x:v>
      </x:c>
      <x:c r="G175" s="5" t="str">
        <x:v>验证房管设置失败不改变直播间黑名单</x:v>
      </x:c>
      <x:c r="H175" s="5" t="str">
        <x:v>黑名单关系保持</x:v>
      </x:c>
      <x:c r="I175" s="5" t="str">
        <x:v>1. 主播正在直播
2. 目标用户已在该主播直播间黑名单内
3. 主播与目标用户不存在账号拉黑关系</x:v>
      </x:c>
      <x:c r="J175" s="5" t="str">
        <x:v>1. 打开房管设置
2. 尝试将目标用户设置为房管
3. 查看直播间黑名单</x:v>
      </x:c>
      <x:c r="K175" s="5" t="str">
        <x:v>目标用户原有的直播间黑名单关系保持不变</x:v>
      </x:c>
      <x:c r="L175" s="5" t="str"/>
      <x:c r="M175" s="5" t="str">
        <x:v>未测</x:v>
      </x:c>
      <x:c r="N175" s="5" t="str"/>
      <x:c r="O175" s="5" t="str">
        <x:v>1. 来源：context/01-用户主播App-项目需求清单.md
2. 来源：context/系统概要 .md（当前全局业务规则）
3. 追溯：业务底稿 LIVE-074。
4. 质量修正：按 RCL-0018 执行最小前置条件和单分支检查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176" ht="115.5" customHeight="1">
      <x:c r="A176" s="5" t="n">
        <x:v>175</x:v>
      </x:c>
      <x:c r="B176" s="5" t="str">
        <x:v>LIVE-175</x:v>
      </x:c>
      <x:c r="C176" s="5" t="str">
        <x:v>用户App-直播模块</x:v>
      </x:c>
      <x:c r="D176" s="5" t="str">
        <x:v>主播直播间</x:v>
      </x:c>
      <x:c r="E176" s="5" t="str">
        <x:v>异常用例</x:v>
      </x:c>
      <x:c r="F176" s="5" t="str">
        <x:v>P1</x:v>
      </x:c>
      <x:c r="G176" s="5" t="str">
        <x:v>验证账号拉黑用户不能设为房管</x:v>
      </x:c>
      <x:c r="H176" s="5" t="str">
        <x:v>账号拉黑房管限制</x:v>
      </x:c>
      <x:c r="I176" s="5" t="str">
        <x:v>1. 主播正在直播
2. 主播与目标用户存在账号拉黑关系
3. 目标用户不在该主播直播间黑名单内</x:v>
      </x:c>
      <x:c r="J176" s="5" t="str">
        <x:v>1. 打开房管设置
2. 尝试将目标用户设置为房管</x:v>
      </x:c>
      <x:c r="K176" s="5" t="str">
        <x:v>与主播存在账号拉黑关系的目标用户未获得房管权限</x:v>
      </x:c>
      <x:c r="L176" s="5" t="str"/>
      <x:c r="M176" s="5" t="str">
        <x:v>未测</x:v>
      </x:c>
      <x:c r="N176" s="5" t="str"/>
      <x:c r="O176" s="5" t="str">
        <x:v>1. 来源：context/01-用户主播App-项目需求清单.md
2. 来源：context/系统概要 .md（当前全局业务规则）
3. 追溯：业务底稿 LIVE-074。
4. 质量修正：按 RCL-0018 执行最小前置条件和单分支检查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177" ht="115.5" customHeight="1">
      <x:c r="A177" s="5" t="n">
        <x:v>176</x:v>
      </x:c>
      <x:c r="B177" s="5" t="str">
        <x:v>LIVE-176</x:v>
      </x:c>
      <x:c r="C177" s="5" t="str">
        <x:v>用户App-直播模块</x:v>
      </x:c>
      <x:c r="D177" s="5" t="str">
        <x:v>主播直播间</x:v>
      </x:c>
      <x:c r="E177" s="5" t="str">
        <x:v>异常用例</x:v>
      </x:c>
      <x:c r="F177" s="5" t="str">
        <x:v>P1</x:v>
      </x:c>
      <x:c r="G177" s="5" t="str">
        <x:v>验证房管设置失败不改变账号拉黑关系</x:v>
      </x:c>
      <x:c r="H177" s="5" t="str">
        <x:v>账号拉黑关系保持</x:v>
      </x:c>
      <x:c r="I177" s="5" t="str">
        <x:v>1. 主播正在直播
2. 主播与目标用户存在账号拉黑关系
3. 目标用户不在该主播直播间黑名单内</x:v>
      </x:c>
      <x:c r="J177" s="5" t="str">
        <x:v>1. 打开房管设置
2. 尝试将目标用户设置为房管
3. 查看账号拉黑关系</x:v>
      </x:c>
      <x:c r="K177" s="5" t="str">
        <x:v>主播与目标用户原有的账号拉黑关系保持不变</x:v>
      </x:c>
      <x:c r="L177" s="5" t="str"/>
      <x:c r="M177" s="5" t="str">
        <x:v>未测</x:v>
      </x:c>
      <x:c r="N177" s="5" t="str"/>
      <x:c r="O177" s="5" t="str">
        <x:v>1. 来源：context/01-用户主播App-项目需求清单.md
2. 来源：context/系统概要 .md（当前全局业务规则）
3. 追溯：业务底稿 LIVE-074。
4. 质量修正：按 RCL-0018 执行最小前置条件和单分支检查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178" ht="115.5" customHeight="1">
      <x:c r="A178" s="5" t="n">
        <x:v>177</x:v>
      </x:c>
      <x:c r="B178" s="5" t="str">
        <x:v>LIVE-177</x:v>
      </x:c>
      <x:c r="C178" s="5" t="str">
        <x:v>用户App-直播模块</x:v>
      </x:c>
      <x:c r="D178" s="5" t="str">
        <x:v>主播直播间</x:v>
      </x:c>
      <x:c r="E178" s="5" t="str">
        <x:v>业务流程</x:v>
      </x:c>
      <x:c r="F178" s="5" t="str">
        <x:v>P1</x:v>
      </x:c>
      <x:c r="G178" s="5" t="str">
        <x:v>验证主播取消长期房管授权</x:v>
      </x:c>
      <x:c r="H178" s="5" t="str">
        <x:v>取消房管</x:v>
      </x:c>
      <x:c r="I178" s="5" t="str">
        <x:v>1. 目标用户是该主播的有效房管</x:v>
      </x:c>
      <x:c r="J178" s="5" t="str">
        <x:v>1. 主播打开房管列表
2. 对目标用户执行取消房管
3. 在确认提示中确认
4. 进入该主播后续直播场次</x:v>
      </x:c>
      <x:c r="K178" s="5" t="str">
        <x:v>目标用户的房管权限被取消</x:v>
      </x:c>
      <x:c r="L178" s="5" t="str"/>
      <x:c r="M178" s="5" t="str">
        <x:v>未测</x:v>
      </x:c>
      <x:c r="N178" s="5" t="str"/>
      <x:c r="O178" s="5" t="str">
        <x:v>1. 来源：context/01-用户主播App-项目需求清单.md
2. 来源：context/系统概要 .md（当前全局业务规则）
3. 来源：prototype/assets/annotations.js
4. 追溯：业务底稿 LIVE-075。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179" ht="103.5" customHeight="1">
      <x:c r="A179" s="5" t="n">
        <x:v>178</x:v>
      </x:c>
      <x:c r="B179" s="5" t="str">
        <x:v>LIVE-178</x:v>
      </x:c>
      <x:c r="C179" s="5" t="str">
        <x:v>用户App-直播模块</x:v>
      </x:c>
      <x:c r="D179" s="5" t="str">
        <x:v>主播直播间</x:v>
      </x:c>
      <x:c r="E179" s="5" t="str">
        <x:v>业务流程</x:v>
      </x:c>
      <x:c r="F179" s="5" t="str">
        <x:v>P1</x:v>
      </x:c>
      <x:c r="G179" s="5" t="str">
        <x:v>验证主播禁言限制用户发言</x:v>
      </x:c>
      <x:c r="H179" s="5" t="str">
        <x:v>主播禁言生效</x:v>
      </x:c>
      <x:c r="I179" s="5" t="str">
        <x:v>1. 主播正在直播
2. 目标用户在线且可发言</x:v>
      </x:c>
      <x:c r="J179" s="5" t="str">
        <x:v>1. 主播打开目标用户资料卡
2. 执行禁言并确认
3. 目标用户尝试发送公屏消息</x:v>
      </x:c>
      <x:c r="K179" s="5" t="str">
        <x:v>目标用户在当前场次不能继续发送公屏消息</x:v>
      </x:c>
      <x:c r="L179" s="5" t="str"/>
      <x:c r="M179" s="5" t="str">
        <x:v>未测</x:v>
      </x:c>
      <x:c r="N179" s="5" t="str"/>
      <x:c r="O179" s="5" t="str">
        <x:v>1. 来源：context/01-用户主播App-项目需求清单.md
2. 来源：context/系统概要 .md（当前全局业务规则）
3. 追溯：业务底稿 LIVE-076。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80" ht="103.5" customHeight="1">
      <x:c r="A180" s="5" t="n">
        <x:v>179</x:v>
      </x:c>
      <x:c r="B180" s="5" t="str">
        <x:v>LIVE-179</x:v>
      </x:c>
      <x:c r="C180" s="5" t="str">
        <x:v>用户App-直播模块</x:v>
      </x:c>
      <x:c r="D180" s="5" t="str">
        <x:v>主播直播间</x:v>
      </x:c>
      <x:c r="E180" s="5" t="str">
        <x:v>业务流程</x:v>
      </x:c>
      <x:c r="F180" s="5" t="str">
        <x:v>P1</x:v>
      </x:c>
      <x:c r="G180" s="5" t="str">
        <x:v>验证主播禁言保留历史消息</x:v>
      </x:c>
      <x:c r="H180" s="5" t="str">
        <x:v>主播禁言历史消息</x:v>
      </x:c>
      <x:c r="I180" s="5" t="str">
        <x:v>1. 主播正在直播
2. 目标用户在线且可发言</x:v>
      </x:c>
      <x:c r="J180" s="5" t="str">
        <x:v>1. 主播打开目标用户资料卡
2. 执行禁言并确认
3. 目标用户尝试发送公屏消息</x:v>
      </x:c>
      <x:c r="K180" s="5" t="str">
        <x:v>目标用户已发送消息保留</x:v>
      </x:c>
      <x:c r="L180" s="5" t="str"/>
      <x:c r="M180" s="5" t="str">
        <x:v>未测</x:v>
      </x:c>
      <x:c r="N180" s="5" t="str"/>
      <x:c r="O180" s="5" t="str">
        <x:v>1. 来源：context/01-用户主播App-项目需求清单.md
2. 来源：context/系统概要 .md（当前全局业务规则）
3. 追溯：业务底稿 LIVE-076。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81" ht="103.5" customHeight="1">
      <x:c r="A181" s="5" t="n">
        <x:v>180</x:v>
      </x:c>
      <x:c r="B181" s="5" t="str">
        <x:v>LIVE-180</x:v>
      </x:c>
      <x:c r="C181" s="5" t="str">
        <x:v>用户App-直播模块</x:v>
      </x:c>
      <x:c r="D181" s="5" t="str">
        <x:v>主播直播间</x:v>
      </x:c>
      <x:c r="E181" s="5" t="str">
        <x:v>业务流程</x:v>
      </x:c>
      <x:c r="F181" s="5" t="str">
        <x:v>P1</x:v>
      </x:c>
      <x:c r="G181" s="5" t="str">
        <x:v>验证主播禁言操作留痕</x:v>
      </x:c>
      <x:c r="H181" s="5" t="str">
        <x:v>主播禁言记录</x:v>
      </x:c>
      <x:c r="I181" s="5" t="str">
        <x:v>1. 主播正在直播
2. 目标用户在线且可发言</x:v>
      </x:c>
      <x:c r="J181" s="5" t="str">
        <x:v>1. 主播打开目标用户资料卡
2. 执行禁言并确认
3. 目标用户尝试发送公屏消息</x:v>
      </x:c>
      <x:c r="K181" s="5" t="str">
        <x:v>系统记录主播的禁言操作</x:v>
      </x:c>
      <x:c r="L181" s="5" t="str"/>
      <x:c r="M181" s="5" t="str">
        <x:v>未测</x:v>
      </x:c>
      <x:c r="N181" s="5" t="str"/>
      <x:c r="O181" s="5" t="str">
        <x:v>1. 来源：context/01-用户主播App-项目需求清单.md
2. 来源：context/系统概要 .md（当前全局业务规则）
3. 追溯：业务底稿 LIVE-076。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82" ht="103.5" customHeight="1">
      <x:c r="A182" s="5" t="n">
        <x:v>181</x:v>
      </x:c>
      <x:c r="B182" s="5" t="str">
        <x:v>LIVE-181</x:v>
      </x:c>
      <x:c r="C182" s="5" t="str">
        <x:v>用户App-直播模块</x:v>
      </x:c>
      <x:c r="D182" s="5" t="str">
        <x:v>主播直播间</x:v>
      </x:c>
      <x:c r="E182" s="5" t="str">
        <x:v>业务流程</x:v>
      </x:c>
      <x:c r="F182" s="5" t="str">
        <x:v>P1</x:v>
      </x:c>
      <x:c r="G182" s="5" t="str">
        <x:v>验证主播踢人限制本场重进</x:v>
      </x:c>
      <x:c r="H182" s="5" t="str">
        <x:v>主播踢人当前场次</x:v>
      </x:c>
      <x:c r="I182" s="5" t="str">
        <x:v>1. 主播正在直播
2. 目标用户在线</x:v>
      </x:c>
      <x:c r="J182" s="5" t="str">
        <x:v>1. 主播打开目标用户资料卡
2. 点击“踢出直播间”并确认
3. 目标用户再次尝试进入当前场次
4. 目标用户尝试进入主播下一场直播</x:v>
      </x:c>
      <x:c r="K182" s="5" t="str">
        <x:v>主播踢出用户后，目标用户在当前场次不得再次进入</x:v>
      </x:c>
      <x:c r="L182" s="5" t="str"/>
      <x:c r="M182" s="5" t="str">
        <x:v>未测</x:v>
      </x:c>
      <x:c r="N182" s="5" t="str"/>
      <x:c r="O182" s="5" t="str">
        <x:v>1. 来源：context/01-用户主播App-项目需求清单.md
2. 来源：context/系统概要 .md（当前全局业务规则）
3. 追溯：业务底稿 LIVE-077。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83" ht="103.5" customHeight="1">
      <x:c r="A183" s="5" t="n">
        <x:v>182</x:v>
      </x:c>
      <x:c r="B183" s="5" t="str">
        <x:v>LIVE-182</x:v>
      </x:c>
      <x:c r="C183" s="5" t="str">
        <x:v>用户App-直播模块</x:v>
      </x:c>
      <x:c r="D183" s="5" t="str">
        <x:v>主播直播间</x:v>
      </x:c>
      <x:c r="E183" s="5" t="str">
        <x:v>业务流程</x:v>
      </x:c>
      <x:c r="F183" s="5" t="str">
        <x:v>P1</x:v>
      </x:c>
      <x:c r="G183" s="5" t="str">
        <x:v>验证主播踢人不影响下一场直播</x:v>
      </x:c>
      <x:c r="H183" s="5" t="str">
        <x:v>主播踢人跨场恢复</x:v>
      </x:c>
      <x:c r="I183" s="5" t="str">
        <x:v>1. 主播正在直播
2. 目标用户在线</x:v>
      </x:c>
      <x:c r="J183" s="5" t="str">
        <x:v>1. 主播打开目标用户资料卡
2. 点击“踢出直播间”并确认
3. 目标用户再次尝试进入当前场次
4. 目标用户尝试进入主播下一场直播</x:v>
      </x:c>
      <x:c r="K183" s="5" t="str">
        <x:v>下一场直播不继承本次踢出限制</x:v>
      </x:c>
      <x:c r="L183" s="5" t="str"/>
      <x:c r="M183" s="5" t="str">
        <x:v>未测</x:v>
      </x:c>
      <x:c r="N183" s="5" t="str"/>
      <x:c r="O183" s="5" t="str">
        <x:v>1. 来源：context/01-用户主播App-项目需求清单.md
2. 来源：context/系统概要 .md（当前全局业务规则）
3. 追溯：业务底稿 LIVE-077。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84" ht="103.5" customHeight="1">
      <x:c r="A184" s="5" t="n">
        <x:v>183</x:v>
      </x:c>
      <x:c r="B184" s="5" t="str">
        <x:v>LIVE-183</x:v>
      </x:c>
      <x:c r="C184" s="5" t="str">
        <x:v>用户App-直播模块</x:v>
      </x:c>
      <x:c r="D184" s="5" t="str">
        <x:v>主播直播间</x:v>
      </x:c>
      <x:c r="E184" s="5" t="str">
        <x:v>业务流程</x:v>
      </x:c>
      <x:c r="F184" s="5" t="str">
        <x:v>P1</x:v>
      </x:c>
      <x:c r="G184" s="5" t="str">
        <x:v>验证直播间黑名单持续限制进房</x:v>
      </x:c>
      <x:c r="H184" s="5" t="str">
        <x:v>直播间黑名单进房限制</x:v>
      </x:c>
      <x:c r="I184" s="5" t="str">
        <x:v>1. 目标用户当前可以进入该主播直播间
2. 主播与目标用户不存在账号拉黑关系</x:v>
      </x:c>
      <x:c r="J184" s="5" t="str">
        <x:v>1. 主播将目标用户加入直播间黑名单
2. 目标用户尝试进入该主播当前及后续直播间</x:v>
      </x:c>
      <x:c r="K184" s="5" t="str">
        <x:v>目标用户不能进入该主播当前及后续直播间</x:v>
      </x:c>
      <x:c r="L184" s="5" t="str"/>
      <x:c r="M184" s="5" t="str">
        <x:v>未测</x:v>
      </x:c>
      <x:c r="N184" s="5" t="str"/>
      <x:c r="O184" s="5" t="str">
        <x:v>1. 来源：context/系统概要 .md（当前全局业务规则）
2. 追溯：业务底稿 LIVE-078。
3. 质量修正：按 RCL-0018 执行最小前置条件和单分支检查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85" ht="103.5" customHeight="1">
      <x:c r="A185" s="5" t="n">
        <x:v>184</x:v>
      </x:c>
      <x:c r="B185" s="5" t="str">
        <x:v>LIVE-184</x:v>
      </x:c>
      <x:c r="C185" s="5" t="str">
        <x:v>用户App-直播模块</x:v>
      </x:c>
      <x:c r="D185" s="5" t="str">
        <x:v>主播直播间</x:v>
      </x:c>
      <x:c r="E185" s="5" t="str">
        <x:v>业务流程</x:v>
      </x:c>
      <x:c r="F185" s="5" t="str">
        <x:v>P1</x:v>
      </x:c>
      <x:c r="G185" s="5" t="str">
        <x:v>验证直播间黑名单不影响私信</x:v>
      </x:c>
      <x:c r="H185" s="5" t="str">
        <x:v>直播间黑名单私信隔离</x:v>
      </x:c>
      <x:c r="I185" s="5" t="str">
        <x:v>1. 主播与目标用户不存在账号拉黑关系
2. 目标用户当前可以发送私信</x:v>
      </x:c>
      <x:c r="J185" s="5" t="str">
        <x:v>1. 主播将目标用户加入直播间黑名单
2. 目标用户向主播发送私信</x:v>
      </x:c>
      <x:c r="K185" s="5" t="str">
        <x:v>仅加入直播间黑名单不阻止目标用户向主播发送私信</x:v>
      </x:c>
      <x:c r="L185" s="5" t="str"/>
      <x:c r="M185" s="5" t="str">
        <x:v>未测</x:v>
      </x:c>
      <x:c r="N185" s="5" t="str"/>
      <x:c r="O185" s="5" t="str">
        <x:v>1. 来源：context/系统概要 .md（当前全局业务规则）
2. 追溯：业务底稿 LIVE-078。
3. 质量修正：按 RCL-0018 执行最小前置条件和单分支检查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86" ht="103.5" customHeight="1">
      <x:c r="A186" s="5" t="n">
        <x:v>185</x:v>
      </x:c>
      <x:c r="B186" s="5" t="str">
        <x:v>LIVE-185</x:v>
      </x:c>
      <x:c r="C186" s="5" t="str">
        <x:v>用户App-直播模块</x:v>
      </x:c>
      <x:c r="D186" s="5" t="str">
        <x:v>主播直播间</x:v>
      </x:c>
      <x:c r="E186" s="5" t="str">
        <x:v>业务流程</x:v>
      </x:c>
      <x:c r="F186" s="5" t="str">
        <x:v>P1</x:v>
      </x:c>
      <x:c r="G186" s="5" t="str">
        <x:v>验证解除直播间黑名单后恢复进房资格</x:v>
      </x:c>
      <x:c r="H186" s="5" t="str">
        <x:v>解除直播间黑名单</x:v>
      </x:c>
      <x:c r="I186" s="5" t="str">
        <x:v>1. 目标用户在该主播直播间黑名单内
2. 双方不存在账号拉黑关系
3. 双方账号均未被平台封禁</x:v>
      </x:c>
      <x:c r="J186" s="5" t="str">
        <x:v>1. 主播在直播间黑名单中解除目标用户
2. 目标用户尝试进入该主播直播间</x:v>
      </x:c>
      <x:c r="K186" s="5" t="str">
        <x:v>目标用户恢复进入该主播直播间的资格</x:v>
      </x:c>
      <x:c r="L186" s="5" t="str"/>
      <x:c r="M186" s="5" t="str">
        <x:v>未测</x:v>
      </x:c>
      <x:c r="N186" s="5" t="str"/>
      <x:c r="O186" s="5" t="str">
        <x:v>1. 来源：context/系统概要 .md（当前全局业务规则）
2. 追溯：业务底稿 LIVE-079。
3. 质量修正：按 RCL-0018 执行最小前置条件和单分支检查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87" ht="103.5" customHeight="1">
      <x:c r="A187" s="5" t="n">
        <x:v>186</x:v>
      </x:c>
      <x:c r="B187" s="5" t="str">
        <x:v>LIVE-186</x:v>
      </x:c>
      <x:c r="C187" s="5" t="str">
        <x:v>用户App-直播模块</x:v>
      </x:c>
      <x:c r="D187" s="5" t="str">
        <x:v>主播直播间</x:v>
      </x:c>
      <x:c r="E187" s="5" t="str">
        <x:v>业务流程</x:v>
      </x:c>
      <x:c r="F187" s="5" t="str">
        <x:v>P1</x:v>
      </x:c>
      <x:c r="G187" s="5" t="str">
        <x:v>验证账号拉黑限制进入主播直播间</x:v>
      </x:c>
      <x:c r="H187" s="5" t="str">
        <x:v>账号拉黑进房限制</x:v>
      </x:c>
      <x:c r="I187" s="5" t="str">
        <x:v>1. 主播与目标用户不存在账号拉黑关系
2. 目标用户当前可以进入该主播直播间
3. 目标用户不在该主播直播间黑名单内</x:v>
      </x:c>
      <x:c r="J187" s="5" t="str">
        <x:v>1. 主播拉黑目标用户账号
2. 目标用户尝试进入该主播直播间</x:v>
      </x:c>
      <x:c r="K187" s="5" t="str">
        <x:v>目标用户不能进入该主播直播间</x:v>
      </x:c>
      <x:c r="L187" s="5" t="str"/>
      <x:c r="M187" s="5" t="str">
        <x:v>未测</x:v>
      </x:c>
      <x:c r="N187" s="5" t="str"/>
      <x:c r="O187" s="5" t="str">
        <x:v>1. 来源：context/系统概要 .md（当前全局业务规则）
2. 追溯：业务底稿 LIVE-080。
3. 质量修正：按 RCL-0018 执行最小前置条件和单分支检查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88" ht="103.5" customHeight="1">
      <x:c r="A188" s="5" t="n">
        <x:v>187</x:v>
      </x:c>
      <x:c r="B188" s="5" t="str">
        <x:v>LIVE-187</x:v>
      </x:c>
      <x:c r="C188" s="5" t="str">
        <x:v>用户App-直播模块</x:v>
      </x:c>
      <x:c r="D188" s="5" t="str">
        <x:v>主播直播间</x:v>
      </x:c>
      <x:c r="E188" s="5" t="str">
        <x:v>业务流程</x:v>
      </x:c>
      <x:c r="F188" s="5" t="str">
        <x:v>P1</x:v>
      </x:c>
      <x:c r="G188" s="5" t="str">
        <x:v>验证账号拉黑限制私信</x:v>
      </x:c>
      <x:c r="H188" s="5" t="str">
        <x:v>账号拉黑私信限制</x:v>
      </x:c>
      <x:c r="I188" s="5" t="str">
        <x:v>1. 主播与目标用户不存在账号拉黑关系
2. 双方当前可以发送私信</x:v>
      </x:c>
      <x:c r="J188" s="5" t="str">
        <x:v>1. 主播拉黑目标用户账号
2. 双方尝试发送私信</x:v>
      </x:c>
      <x:c r="K188" s="5" t="str">
        <x:v>主播与目标用户之间不能继续发送私信</x:v>
      </x:c>
      <x:c r="L188" s="5" t="str"/>
      <x:c r="M188" s="5" t="str">
        <x:v>未测</x:v>
      </x:c>
      <x:c r="N188" s="5" t="str"/>
      <x:c r="O188" s="5" t="str">
        <x:v>1. 来源：context/系统概要 .md（当前全局业务规则）
2. 追溯：业务底稿 LIVE-080。
3. 质量修正：按 RCL-0018 执行最小前置条件和单分支检查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89" ht="141" customHeight="1">
      <x:c r="A189" s="5" t="n">
        <x:v>188</x:v>
      </x:c>
      <x:c r="B189" s="5" t="str">
        <x:v>LIVE-188</x:v>
      </x:c>
      <x:c r="C189" s="5" t="str">
        <x:v>用户App-直播模块</x:v>
      </x:c>
      <x:c r="D189" s="5" t="str">
        <x:v>主播直播间</x:v>
      </x:c>
      <x:c r="E189" s="5" t="str">
        <x:v>业务流程</x:v>
      </x:c>
      <x:c r="F189" s="5" t="str">
        <x:v>P1</x:v>
      </x:c>
      <x:c r="G189" s="5" t="str">
        <x:v>验证账号拉黑不改变既有粉丝团团籍</x:v>
      </x:c>
      <x:c r="H189" s="5" t="str">
        <x:v>账号拉黑团籍保持</x:v>
      </x:c>
      <x:c r="I189" s="5" t="str">
        <x:v>1. 主播与目标用户不存在账号拉黑关系
2. 目标用户已加入该主播粉丝团</x:v>
      </x:c>
      <x:c r="J189" s="5" t="str">
        <x:v>1. 主播拉黑目标用户账号
2. 检查目标用户的粉丝团团籍</x:v>
      </x:c>
      <x:c r="K189" s="5" t="str">
        <x:v>已有粉丝团团籍不变</x:v>
      </x:c>
      <x:c r="L189" s="5" t="str"/>
      <x:c r="M189" s="5" t="str">
        <x:v>未测</x:v>
      </x:c>
      <x:c r="N189" s="5" t="str"/>
      <x:c r="O189" s="5" t="str">
        <x:v>1. 来源：context/系统概要 .md（当前全局业务规则）
2. 追溯：业务底稿 LIVE-080。
3. 质量修正：按 RCL-0018 执行最小前置条件和单分支检查
4. 同步追溯：work/liveshow-user-live-testcases-260831-004/prototype-context-sync-result.json；RSL-0002、RSL-0003
5. 全局证据追溯：work/liveshow-user-live-testcases-260831-004/global-evidence-scan-result.json；扫描模式 incremental
6. 规则冲突追溯：context/系统概要 .md 与 prototype/assets/annotations.js 的账号拉黑关系后果不一致；按 prototype-primary 采用原型批注
7. 来源：prototype/assets/annotations.js 第564、579条账号拉黑批注</x:v>
      </x:c>
    </x:row>
    <x:row r="190" ht="139.5" customHeight="1">
      <x:c r="A190" s="5" t="n">
        <x:v>189</x:v>
      </x:c>
      <x:c r="B190" s="5" t="str">
        <x:v>LIVE-189</x:v>
      </x:c>
      <x:c r="C190" s="5" t="str">
        <x:v>用户App-直播模块</x:v>
      </x:c>
      <x:c r="D190" s="5" t="str">
        <x:v>主播直播间</x:v>
      </x:c>
      <x:c r="E190" s="5" t="str">
        <x:v>业务流程</x:v>
      </x:c>
      <x:c r="F190" s="5" t="str">
        <x:v>P1</x:v>
      </x:c>
      <x:c r="G190" s="5" t="str">
        <x:v>验证解除账号拉黑恢复账号互动</x:v>
      </x:c>
      <x:c r="H190" s="5" t="str">
        <x:v>解除拉黑社交恢复</x:v>
      </x:c>
      <x:c r="I190" s="5" t="str">
        <x:v>1. 主播与目标用户存在账号拉黑关系
2. 双方不存在平台封禁
3. 目标用户不在该主播直播间黑名单内</x:v>
      </x:c>
      <x:c r="J190" s="5" t="str">
        <x:v>1. 解除双方账号拉黑关系
2. 目标用户尝试进入该主播直播间
3. 双方尝试发送私信和好友申请</x:v>
      </x:c>
      <x:c r="K190" s="5" t="str">
        <x:v>双方恢复私信和好友申请资格</x:v>
      </x:c>
      <x:c r="L190" s="5" t="str"/>
      <x:c r="M190" s="5" t="str">
        <x:v>未测</x:v>
      </x:c>
      <x:c r="N190" s="5" t="str"/>
      <x:c r="O190" s="5" t="str">
        <x:v>1. 来源：context/系统概要 .md（当前全局业务规则）
2. 追溯：业务底稿 LIVE-081。
3. 同步追溯：work/liveshow-user-live-testcases-260831-004/prototype-context-sync-result.json；RSL-0002、RSL-0003
4. 全局证据追溯：work/liveshow-user-live-testcases-260831-004/global-evidence-scan-result.json；扫描模式 incremental
5. 规则冲突追溯：context/系统概要 .md 与 prototype/assets/annotations.js 的账号拉黑关系后果不一致；按 prototype-primary 采用原型批注
6. 来源：prototype/assets/annotations.js 第564、579条账号拉黑批注</x:v>
      </x:c>
    </x:row>
    <x:row r="191" ht="139.5" customHeight="1">
      <x:c r="A191" s="5" t="n">
        <x:v>190</x:v>
      </x:c>
      <x:c r="B191" s="5" t="str">
        <x:v>LIVE-190</x:v>
      </x:c>
      <x:c r="C191" s="5" t="str">
        <x:v>用户App-直播模块</x:v>
      </x:c>
      <x:c r="D191" s="5" t="str">
        <x:v>主播直播间</x:v>
      </x:c>
      <x:c r="E191" s="5" t="str">
        <x:v>业务流程</x:v>
      </x:c>
      <x:c r="F191" s="5" t="str">
        <x:v>P1</x:v>
      </x:c>
      <x:c r="G191" s="5" t="str">
        <x:v>验证解除账号拉黑恢复进房资格</x:v>
      </x:c>
      <x:c r="H191" s="5" t="str">
        <x:v>解除拉黑进房恢复</x:v>
      </x:c>
      <x:c r="I191" s="5" t="str">
        <x:v>1. 主播与目标用户存在账号拉黑关系
2. 双方不存在平台封禁
3. 目标用户不在该主播直播间黑名单内</x:v>
      </x:c>
      <x:c r="J191" s="5" t="str">
        <x:v>1. 解除双方账号拉黑关系
2. 目标用户尝试进入该主播直播间
3. 双方尝试发送私信和好友申请</x:v>
      </x:c>
      <x:c r="K191" s="5" t="str">
        <x:v>目标用户恢复进入该主播直播间的资格</x:v>
      </x:c>
      <x:c r="L191" s="5" t="str"/>
      <x:c r="M191" s="5" t="str">
        <x:v>未测</x:v>
      </x:c>
      <x:c r="N191" s="5" t="str"/>
      <x:c r="O191" s="5" t="str">
        <x:v>1. 来源：context/系统概要 .md（当前全局业务规则）
2. 追溯：业务底稿 LIVE-081。
3. 同步追溯：work/liveshow-user-live-testcases-260831-004/prototype-context-sync-result.json；RSL-0002、RSL-0003
4. 全局证据追溯：work/liveshow-user-live-testcases-260831-004/global-evidence-scan-result.json；扫描模式 incremental
5. 规则冲突追溯：context/系统概要 .md 与 prototype/assets/annotations.js 的账号拉黑关系后果不一致；按 prototype-primary 采用原型批注
6. 来源：prototype/assets/annotations.js 第564、579条账号拉黑批注</x:v>
      </x:c>
    </x:row>
    <x:row r="192" ht="139.5" customHeight="1">
      <x:c r="A192" s="5" t="n">
        <x:v>191</x:v>
      </x:c>
      <x:c r="B192" s="5" t="str">
        <x:v>LIVE-191</x:v>
      </x:c>
      <x:c r="C192" s="5" t="str">
        <x:v>用户App-直播模块</x:v>
      </x:c>
      <x:c r="D192" s="5" t="str">
        <x:v>主播直播间</x:v>
      </x:c>
      <x:c r="E192" s="5" t="str">
        <x:v>业务流程</x:v>
      </x:c>
      <x:c r="F192" s="5" t="str">
        <x:v>P1</x:v>
      </x:c>
      <x:c r="G192" s="5" t="str">
        <x:v>验证解除账号拉黑不清除其他限制</x:v>
      </x:c>
      <x:c r="H192" s="5" t="str">
        <x:v>解除拉黑限制隔离</x:v>
      </x:c>
      <x:c r="I192" s="5" t="str">
        <x:v>1. 主播与目标用户存在账号拉黑关系
2. 双方不存在平台封禁
3. 目标用户不在该主播直播间黑名单内</x:v>
      </x:c>
      <x:c r="J192" s="5" t="str">
        <x:v>1. 解除双方账号拉黑关系
2. 目标用户尝试进入该主播直播间
3. 双方尝试发送私信和好友申请</x:v>
      </x:c>
      <x:c r="K192" s="5" t="str">
        <x:v>其他独立限制不因解除账号拉黑而变化</x:v>
      </x:c>
      <x:c r="L192" s="5" t="str"/>
      <x:c r="M192" s="5" t="str">
        <x:v>未测</x:v>
      </x:c>
      <x:c r="N192" s="5" t="str"/>
      <x:c r="O192" s="5" t="str">
        <x:v>1. 来源：context/系统概要 .md（当前全局业务规则）
2. 追溯：业务底稿 LIVE-081。
3. 同步追溯：work/liveshow-user-live-testcases-260831-004/prototype-context-sync-result.json；RSL-0002、RSL-0003
4. 全局证据追溯：work/liveshow-user-live-testcases-260831-004/global-evidence-scan-result.json；扫描模式 incremental
5. 规则冲突追溯：context/系统概要 .md 与 prototype/assets/annotations.js 的账号拉黑关系后果不一致；按 prototype-primary 采用原型批注
6. 来源：prototype/assets/annotations.js 第564、579条账号拉黑批注</x:v>
      </x:c>
    </x:row>
    <x:row r="193" ht="139.5" customHeight="1">
      <x:c r="A193" s="5" t="n">
        <x:v>192</x:v>
      </x:c>
      <x:c r="B193" s="5" t="str">
        <x:v>LIVE-192</x:v>
      </x:c>
      <x:c r="C193" s="5" t="str">
        <x:v>用户App-直播模块</x:v>
      </x:c>
      <x:c r="D193" s="5" t="str">
        <x:v>主播直播间</x:v>
      </x:c>
      <x:c r="E193" s="5" t="str">
        <x:v>功能需求</x:v>
      </x:c>
      <x:c r="F193" s="5" t="str">
        <x:v>P2</x:v>
      </x:c>
      <x:c r="G193" s="5" t="str">
        <x:v>验证主播清屏仅清除当前公屏展示</x:v>
      </x:c>
      <x:c r="H193" s="5" t="str">
        <x:v>直播间清屏</x:v>
      </x:c>
      <x:c r="I193" s="5" t="str">
        <x:v>1. 当前公屏存在多条互动消息
2. 主播正在直播</x:v>
      </x:c>
      <x:c r="J193" s="5" t="str">
        <x:v>1. 打开直播设置
2. 点击“清屏”</x:v>
      </x:c>
      <x:c r="K193" s="5" t="str">
        <x:v>主播清屏后，当前公屏已展示的互动消息被移除</x:v>
      </x:c>
      <x:c r="L193" s="5" t="str"/>
      <x:c r="M193" s="5" t="str">
        <x:v>未测</x:v>
      </x:c>
      <x:c r="N193" s="5" t="str"/>
      <x:c r="O193" s="5" t="str">
        <x:v>1. 来源：context/01-用户主播App-项目需求清单.md
2. 来源：context/系统概要 .md（当前全局业务规则）
3. 来源：prototype/assets/annotations.js
4. 来源：对应 HTML 静态原型；未动态验证
5. 追溯：业务底稿 LIVE-082。
6. 质量修正：按 RCL-0018 执行最小前置条件和单分支检查
7. 同步追溯：work/liveshow-user-live-testcases-260831-004/prototype-context-sync-result.json；RSL-0002、RSL-0003
8. 全局证据追溯：work/liveshow-user-live-testcases-260831-004/global-evidence-scan-result.json；扫描模式 incremental</x:v>
      </x:c>
    </x:row>
    <x:row r="194" ht="103.5" customHeight="1">
      <x:c r="A194" s="5" t="n">
        <x:v>193</x:v>
      </x:c>
      <x:c r="B194" s="5" t="str">
        <x:v>LIVE-193</x:v>
      </x:c>
      <x:c r="C194" s="5" t="str">
        <x:v>用户App-直播模块</x:v>
      </x:c>
      <x:c r="D194" s="5" t="str">
        <x:v>主播直播间</x:v>
      </x:c>
      <x:c r="E194" s="5" t="str">
        <x:v>功能需求</x:v>
      </x:c>
      <x:c r="F194" s="5" t="str">
        <x:v>P1</x:v>
      </x:c>
      <x:c r="G194" s="5" t="str">
        <x:v>验证普通房主播直播设置菜单</x:v>
      </x:c>
      <x:c r="H194" s="5" t="str">
        <x:v>普通房直播设置菜单</x:v>
      </x:c>
      <x:c r="I194" s="5" t="str">
        <x:v>1. 主播正在普通房直播</x:v>
      </x:c>
      <x:c r="J194" s="5" t="str">
        <x:v>1. 点击直播间底部“…”</x:v>
      </x:c>
      <x:c r="K194" s="5" t="str">
        <x:v>直播设置菜单展示美颜设置、禁言列表、房间密码、清屏和转至粉丝群</x:v>
      </x:c>
      <x:c r="L194" s="5" t="str"/>
      <x:c r="M194" s="5" t="str">
        <x:v>未测</x:v>
      </x:c>
      <x:c r="N194" s="5" t="str"/>
      <x:c r="O194" s="5" t="str">
        <x:v>1. 来源：prototype/assets/annotations.js
2. 来源：对应 HTML 静态原型；未动态验证
3. 追溯：业务底稿 LIVE-099。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95" ht="127.5" customHeight="1">
      <x:c r="A195" s="5" t="n">
        <x:v>194</x:v>
      </x:c>
      <x:c r="B195" s="5" t="str">
        <x:v>LIVE-194</x:v>
      </x:c>
      <x:c r="C195" s="5" t="str">
        <x:v>用户App-直播模块</x:v>
      </x:c>
      <x:c r="D195" s="5" t="str">
        <x:v>主播直播间</x:v>
      </x:c>
      <x:c r="E195" s="5" t="str">
        <x:v>功能需求</x:v>
      </x:c>
      <x:c r="F195" s="5" t="str">
        <x:v>P1</x:v>
      </x:c>
      <x:c r="G195" s="5" t="str">
        <x:v>验证主播查看禁言用户列表</x:v>
      </x:c>
      <x:c r="H195" s="5" t="str">
        <x:v>禁言用户列表范围</x:v>
      </x:c>
      <x:c r="I195" s="5" t="str">
        <x:v>1. 主播正在直播
2. 当前场次同时存在一名已禁言用户和一名已踢出用户</x:v>
      </x:c>
      <x:c r="J195" s="5" t="str">
        <x:v>1. 打开直播设置
2. 点击“禁用用户”</x:v>
      </x:c>
      <x:c r="K195" s="5" t="str">
        <x:v>“禁言用户”列表仅展示已被禁言的用户</x:v>
      </x:c>
      <x:c r="L195" s="5" t="str"/>
      <x:c r="M195" s="5" t="str">
        <x:v>未测</x:v>
      </x:c>
      <x:c r="N195" s="5" t="str"/>
      <x:c r="O195" s="5" t="str">
        <x:v>1. 来源：prototype/assets/annotations.js
2. 来源：prototype/assets/live-muted-users.js
3. 来源：对应 HTML 静态原型；未动态验证
4. 追溯：业务底稿 LIVE-100。
5. 质量修正：按 RCL-0018 执行最小前置条件和单分支检查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196" ht="115.5" customHeight="1">
      <x:c r="A196" s="5" t="n">
        <x:v>195</x:v>
      </x:c>
      <x:c r="B196" s="5" t="str">
        <x:v>LIVE-195</x:v>
      </x:c>
      <x:c r="C196" s="5" t="str">
        <x:v>用户App-直播模块</x:v>
      </x:c>
      <x:c r="D196" s="5" t="str">
        <x:v>主播直播间</x:v>
      </x:c>
      <x:c r="E196" s="5" t="str">
        <x:v>业务流程</x:v>
      </x:c>
      <x:c r="F196" s="5" t="str">
        <x:v>P1</x:v>
      </x:c>
      <x:c r="G196" s="5" t="str">
        <x:v>验证主播二次确认后解除用户禁言</x:v>
      </x:c>
      <x:c r="H196" s="5" t="str">
        <x:v>解除禁言确认</x:v>
      </x:c>
      <x:c r="I196" s="5" t="str">
        <x:v>1. 主播正在直播
2. 目标用户处于当前场次禁言状态</x:v>
      </x:c>
      <x:c r="J196" s="5" t="str">
        <x:v>1. 进入禁用用户列表
2. 点击目标用户的解除禁言操作
3. 完成两次确认</x:v>
      </x:c>
      <x:c r="K196" s="5" t="str">
        <x:v>目标用户的当前场次禁言状态被解除</x:v>
      </x:c>
      <x:c r="L196" s="5" t="str"/>
      <x:c r="M196" s="5" t="str">
        <x:v>未测</x:v>
      </x:c>
      <x:c r="N196" s="5" t="str"/>
      <x:c r="O196" s="5" t="str">
        <x:v>1. 来源：prototype/assets/annotations.js
2. 来源：prototype/assets/live-muted-users.js
3. 来源：对应 HTML 静态原型；未动态验证
4. 追溯：业务底稿 LIVE-101。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197" ht="141" customHeight="1">
      <x:c r="A197" s="5" t="n">
        <x:v>196</x:v>
      </x:c>
      <x:c r="B197" s="5" t="str">
        <x:v>LIVE-196</x:v>
      </x:c>
      <x:c r="C197" s="5" t="str">
        <x:v>用户App-直播模块</x:v>
      </x:c>
      <x:c r="D197" s="5" t="str">
        <x:v>主播直播间</x:v>
      </x:c>
      <x:c r="E197" s="5" t="str">
        <x:v>业务流程</x:v>
      </x:c>
      <x:c r="F197" s="5" t="str">
        <x:v>P1</x:v>
      </x:c>
      <x:c r="G197" s="5" t="str">
        <x:v>验证密码房主播修改房间密码</x:v>
      </x:c>
      <x:c r="H197" s="5" t="str">
        <x:v>直播中修改密码</x:v>
      </x:c>
      <x:c r="I197" s="5" t="str">
        <x:v>1. 主播正在密码房直播
2. 准备符合最终密码规则的新密码</x:v>
      </x:c>
      <x:c r="J197" s="5" t="str">
        <x:v>1. 打开房间密码面板
2. 输入新的 8 位数字密码
3. 点击“保存密码”</x:v>
      </x:c>
      <x:c r="K197" s="5" t="str">
        <x:v>房间密码更新为输入的 8 位数字</x:v>
      </x:c>
      <x:c r="L197" s="5" t="str">
        <x:v>FLOW-LIVE-003</x:v>
      </x:c>
      <x:c r="M197" s="5" t="str">
        <x:v>未测</x:v>
      </x:c>
      <x:c r="N197" s="5" t="str"/>
      <x:c r="O197" s="5" t="str">
        <x:v>1. 来源：context/系统概要 .md（当前全局业务规则）
2. 来源：prototype/assets/annotations.js
3. 来源：对应 HTML 静态原型；未动态验证
4. 说明：密码精确长度与字符类型仍以 Q-003 确认为准。
5. 追溯：业务底稿 LIVE-102。
6. 流程：阶段 03：主播直播中修改密码；共同业务对象：LIVE-SESSION-P01。
7. 共同业务对象：同一密码房场次
8. 流程阶段：直播中修改密码
9. 同步追溯：work/liveshow-user-live-testcases-260831-004/prototype-context-sync-result.json；RSL-0002、RSL-0003
10. 全局证据追溯：work/liveshow-user-live-testcases-260831-004/global-evidence-scan-result.json；扫描模式 incremental</x:v>
      </x:c>
    </x:row>
    <x:row r="198" ht="103.5" customHeight="1">
      <x:c r="A198" s="5" t="n">
        <x:v>197</x:v>
      </x:c>
      <x:c r="B198" s="5" t="str">
        <x:v>LIVE-197</x:v>
      </x:c>
      <x:c r="C198" s="5" t="str">
        <x:v>用户App-直播模块</x:v>
      </x:c>
      <x:c r="D198" s="5" t="str">
        <x:v>主播直播间</x:v>
      </x:c>
      <x:c r="E198" s="5" t="str">
        <x:v>业务流程</x:v>
      </x:c>
      <x:c r="F198" s="5" t="str">
        <x:v>P2</x:v>
      </x:c>
      <x:c r="G198" s="5" t="str">
        <x:v>验证主播确认转发直播间给粉丝群</x:v>
      </x:c>
      <x:c r="H198" s="5" t="str">
        <x:v>转发至粉丝群</x:v>
      </x:c>
      <x:c r="I198" s="5" t="str">
        <x:v>1. 主播正在直播
2. 主播已创建粉丝群</x:v>
      </x:c>
      <x:c r="J198" s="5" t="str">
        <x:v>1. 打开直播设置
2. 点击“转发”
3. 选择置顶的粉丝群
4. 确认转发</x:v>
      </x:c>
      <x:c r="K198" s="5" t="str">
        <x:v>目标粉丝群收到可进入当前直播间的直播房间卡片</x:v>
      </x:c>
      <x:c r="L198" s="5" t="str"/>
      <x:c r="M198" s="5" t="str">
        <x:v>未测</x:v>
      </x:c>
      <x:c r="N198" s="5" t="str"/>
      <x:c r="O198" s="5" t="str">
        <x:v>1. 来源：prototype/assets/annotations.js
2. 来源：对应 HTML 静态原型；未动态验证
3. 追溯：业务底稿 LIVE-103。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199" ht="103.5" customHeight="1">
      <x:c r="A199" s="5" t="n">
        <x:v>198</x:v>
      </x:c>
      <x:c r="B199" s="5" t="str">
        <x:v>LIVE-198</x:v>
      </x:c>
      <x:c r="C199" s="5" t="str">
        <x:v>用户App-直播模块</x:v>
      </x:c>
      <x:c r="D199" s="5" t="str">
        <x:v>主播直播间</x:v>
      </x:c>
      <x:c r="E199" s="5" t="str">
        <x:v>功能需求</x:v>
      </x:c>
      <x:c r="F199" s="5" t="str">
        <x:v>P1</x:v>
      </x:c>
      <x:c r="G199" s="5" t="str">
        <x:v>验证主播查看本场贡献和收到礼物</x:v>
      </x:c>
      <x:c r="H199" s="5" t="str">
        <x:v>本场贡献与收礼入口</x:v>
      </x:c>
      <x:c r="I199" s="5" t="str">
        <x:v>1. 主播正在直播
2. 当前场次已有观众送礼数据</x:v>
      </x:c>
      <x:c r="J199" s="5" t="str">
        <x:v>1. 点击直播间顶部的本场贡献数值</x:v>
      </x:c>
      <x:c r="K199" s="5" t="str">
        <x:v>页面展示当前场次的贡献榜和收到礼物记录</x:v>
      </x:c>
      <x:c r="L199" s="5" t="str"/>
      <x:c r="M199" s="5" t="str">
        <x:v>未测</x:v>
      </x:c>
      <x:c r="N199" s="5" t="str"/>
      <x:c r="O199" s="5" t="str">
        <x:v>1. 来源：prototype/assets/annotations.js
2. 来源：对应 HTML 静态原型；未动态验证
3. 追溯：业务底稿 LIVE-104。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200" ht="103.5" customHeight="1">
      <x:c r="A200" s="5" t="n">
        <x:v>199</x:v>
      </x:c>
      <x:c r="B200" s="5" t="str">
        <x:v>LIVE-199</x:v>
      </x:c>
      <x:c r="C200" s="5" t="str">
        <x:v>用户App-直播模块</x:v>
      </x:c>
      <x:c r="D200" s="5" t="str">
        <x:v>主播直播间</x:v>
      </x:c>
      <x:c r="E200" s="5" t="str">
        <x:v>逻辑校验</x:v>
      </x:c>
      <x:c r="F200" s="5" t="str">
        <x:v>P2</x:v>
      </x:c>
      <x:c r="G200" s="5" t="str">
        <x:v>验证普通房房间密码入口不可用</x:v>
      </x:c>
      <x:c r="H200" s="5" t="str">
        <x:v>普通房密码入口限制</x:v>
      </x:c>
      <x:c r="I200" s="5" t="str">
        <x:v>1. 主播正在普通房直播</x:v>
      </x:c>
      <x:c r="J200" s="5" t="str">
        <x:v>1. 打开直播设置
2. 查看并点击房间密码入口</x:v>
      </x:c>
      <x:c r="K200" s="5" t="str">
        <x:v>普通房的房间密码入口置灰</x:v>
      </x:c>
      <x:c r="L200" s="5" t="str"/>
      <x:c r="M200" s="5" t="str">
        <x:v>未测</x:v>
      </x:c>
      <x:c r="N200" s="5" t="str"/>
      <x:c r="O200" s="5" t="str">
        <x:v>1. 来源：prototype/assets/annotations.js
2. 来源：对应 HTML 静态原型；未动态验证
3. 追溯：业务底稿 LIVE-108。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201" ht="127.5" customHeight="1">
      <x:c r="A201" s="5" t="n">
        <x:v>200</x:v>
      </x:c>
      <x:c r="B201" s="5" t="str">
        <x:v>LIVE-200</x:v>
      </x:c>
      <x:c r="C201" s="5" t="str">
        <x:v>用户App-直播模块</x:v>
      </x:c>
      <x:c r="D201" s="5" t="str">
        <x:v>主播直播间</x:v>
      </x:c>
      <x:c r="E201" s="5" t="str">
        <x:v>功能需求</x:v>
      </x:c>
      <x:c r="F201" s="5" t="str">
        <x:v>P2</x:v>
      </x:c>
      <x:c r="G201" s="5" t="str">
        <x:v>验证密码房修改密码成功反馈</x:v>
      </x:c>
      <x:c r="H201" s="5" t="str">
        <x:v>修改密码成功反馈</x:v>
      </x:c>
      <x:c r="I201" s="5" t="str">
        <x:v>1. 主播正在密码房直播
2. 新密码为 8 位数字 13572468</x:v>
      </x:c>
      <x:c r="J201" s="5" t="str">
        <x:v>1. 打开直播设置
2. 进入房间密码设置
3. 输入 13572468
4. 点击“保存密码”</x:v>
      </x:c>
      <x:c r="K201" s="5" t="str">
        <x:v>页面提示“房间密码已修改”</x:v>
      </x:c>
      <x:c r="L201" s="5" t="str">
        <x:v>FLOW-LIVE-003</x:v>
      </x:c>
      <x:c r="M201" s="5" t="str">
        <x:v>未测</x:v>
      </x:c>
      <x:c r="N201" s="5" t="str"/>
      <x:c r="O201" s="5" t="str">
        <x:v>1. 来源：prototype/assets/common.js 动态交互脚本
2. 静态分析已确认事件绑定；未在浏览器动态验证
3. 补充原因：业务结果完整性扫描发现独立反馈观察点未覆盖
4. 共同业务对象：同一密码房场次
5. 流程阶段：修改密码成功反馈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202" ht="103.5" customHeight="1">
      <x:c r="A202" s="5" t="n">
        <x:v>201</x:v>
      </x:c>
      <x:c r="B202" s="5" t="str">
        <x:v>LIVE-201</x:v>
      </x:c>
      <x:c r="C202" s="5" t="str">
        <x:v>用户App-直播模块</x:v>
      </x:c>
      <x:c r="D202" s="5" t="str">
        <x:v>主播直播间</x:v>
      </x:c>
      <x:c r="E202" s="5" t="str">
        <x:v>功能需求</x:v>
      </x:c>
      <x:c r="F202" s="5" t="str">
        <x:v>P2</x:v>
      </x:c>
      <x:c r="G202" s="5" t="str">
        <x:v>验证转发直播间成功反馈</x:v>
      </x:c>
      <x:c r="H202" s="5" t="str">
        <x:v>转发成功反馈</x:v>
      </x:c>
      <x:c r="I202" s="5" t="str">
        <x:v>1. 主播正在直播
2. 主播存在“Sari 粉丝团”</x:v>
      </x:c>
      <x:c r="J202" s="5" t="str">
        <x:v>1. 打开直播设置
2. 点击“转发”
3. 选择“Sari 粉丝团”
4. 确认转发</x:v>
      </x:c>
      <x:c r="K202" s="5" t="str">
        <x:v>页面提示“已转发至 Sari 粉丝团”</x:v>
      </x:c>
      <x:c r="L202" s="5" t="str"/>
      <x:c r="M202" s="5" t="str">
        <x:v>未测</x:v>
      </x:c>
      <x:c r="N202" s="5" t="str"/>
      <x:c r="O202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203" ht="103.5" customHeight="1">
      <x:c r="A203" s="5" t="n">
        <x:v>202</x:v>
      </x:c>
      <x:c r="B203" s="5" t="str">
        <x:v>LIVE-202</x:v>
      </x:c>
      <x:c r="C203" s="5" t="str">
        <x:v>用户App-直播模块</x:v>
      </x:c>
      <x:c r="D203" s="5" t="str">
        <x:v>主播直播间</x:v>
      </x:c>
      <x:c r="E203" s="5" t="str">
        <x:v>功能需求</x:v>
      </x:c>
      <x:c r="F203" s="5" t="str">
        <x:v>P2</x:v>
      </x:c>
      <x:c r="G203" s="5" t="str">
        <x:v>验证主播禁言成功反馈</x:v>
      </x:c>
      <x:c r="H203" s="5" t="str">
        <x:v>主播禁言反馈</x:v>
      </x:c>
      <x:c r="I203" s="5" t="str">
        <x:v>1. 主播正在直播
2. 目标用户未被禁言</x:v>
      </x:c>
      <x:c r="J203" s="5" t="str">
        <x:v>1. 打开目标用户资料卡
2. 点击“禁言”</x:v>
      </x:c>
      <x:c r="K203" s="5" t="str">
        <x:v>页面提示“已禁言”</x:v>
      </x:c>
      <x:c r="L203" s="5" t="str"/>
      <x:c r="M203" s="5" t="str">
        <x:v>未测</x:v>
      </x:c>
      <x:c r="N203" s="5" t="str"/>
      <x:c r="O203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204" ht="103.5" customHeight="1">
      <x:c r="A204" s="5" t="n">
        <x:v>203</x:v>
      </x:c>
      <x:c r="B204" s="5" t="str">
        <x:v>LIVE-203</x:v>
      </x:c>
      <x:c r="C204" s="5" t="str">
        <x:v>用户App-直播模块</x:v>
      </x:c>
      <x:c r="D204" s="5" t="str">
        <x:v>主播直播间</x:v>
      </x:c>
      <x:c r="E204" s="5" t="str">
        <x:v>功能需求</x:v>
      </x:c>
      <x:c r="F204" s="5" t="str">
        <x:v>P2</x:v>
      </x:c>
      <x:c r="G204" s="5" t="str">
        <x:v>验证主播解除禁言成功反馈</x:v>
      </x:c>
      <x:c r="H204" s="5" t="str">
        <x:v>主播解除禁言反馈</x:v>
      </x:c>
      <x:c r="I204" s="5" t="str">
        <x:v>1. 主播正在直播
2. 目标用户已被禁言</x:v>
      </x:c>
      <x:c r="J204" s="5" t="str">
        <x:v>1. 打开目标用户资料卡
2. 点击“解除禁言”</x:v>
      </x:c>
      <x:c r="K204" s="5" t="str">
        <x:v>页面提示“已解除禁言”</x:v>
      </x:c>
      <x:c r="L204" s="5" t="str"/>
      <x:c r="M204" s="5" t="str">
        <x:v>未测</x:v>
      </x:c>
      <x:c r="N204" s="5" t="str"/>
      <x:c r="O204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205" ht="103.5" customHeight="1">
      <x:c r="A205" s="5" t="n">
        <x:v>204</x:v>
      </x:c>
      <x:c r="B205" s="5" t="str">
        <x:v>LIVE-204</x:v>
      </x:c>
      <x:c r="C205" s="5" t="str">
        <x:v>用户App-直播模块</x:v>
      </x:c>
      <x:c r="D205" s="5" t="str">
        <x:v>主播直播间</x:v>
      </x:c>
      <x:c r="E205" s="5" t="str">
        <x:v>功能需求</x:v>
      </x:c>
      <x:c r="F205" s="5" t="str">
        <x:v>P2</x:v>
      </x:c>
      <x:c r="G205" s="5" t="str">
        <x:v>验证主播踢出用户成功反馈</x:v>
      </x:c>
      <x:c r="H205" s="5" t="str">
        <x:v>主播踢出反馈</x:v>
      </x:c>
      <x:c r="I205" s="5" t="str">
        <x:v>1. 主播正在直播
2. 目标用户在当前直播间</x:v>
      </x:c>
      <x:c r="J205" s="5" t="str">
        <x:v>1. 打开目标用户资料卡
2. 点击“踢出”</x:v>
      </x:c>
      <x:c r="K205" s="5" t="str">
        <x:v>页面提示“已踢出直播间”</x:v>
      </x:c>
      <x:c r="L205" s="5" t="str"/>
      <x:c r="M205" s="5" t="str">
        <x:v>未测</x:v>
      </x:c>
      <x:c r="N205" s="5" t="str"/>
      <x:c r="O205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206" ht="103.5" customHeight="1">
      <x:c r="A206" s="5" t="n">
        <x:v>205</x:v>
      </x:c>
      <x:c r="B206" s="5" t="str">
        <x:v>LIVE-205</x:v>
      </x:c>
      <x:c r="C206" s="5" t="str">
        <x:v>用户App-直播模块</x:v>
      </x:c>
      <x:c r="D206" s="5" t="str">
        <x:v>主播直播间</x:v>
      </x:c>
      <x:c r="E206" s="5" t="str">
        <x:v>功能需求</x:v>
      </x:c>
      <x:c r="F206" s="5" t="str">
        <x:v>P2</x:v>
      </x:c>
      <x:c r="G206" s="5" t="str">
        <x:v>验证主播设置房管成功反馈</x:v>
      </x:c>
      <x:c r="H206" s="5" t="str">
        <x:v>设置房管反馈</x:v>
      </x:c>
      <x:c r="I206" s="5" t="str">
        <x:v>1. 主播正在直播
2. 目标用户满足房管授权条件</x:v>
      </x:c>
      <x:c r="J206" s="5" t="str">
        <x:v>1. 打开目标用户资料卡
2. 点击“设房管”</x:v>
      </x:c>
      <x:c r="K206" s="5" t="str">
        <x:v>页面提示“已设为房管”</x:v>
      </x:c>
      <x:c r="L206" s="5" t="str"/>
      <x:c r="M206" s="5" t="str">
        <x:v>未测</x:v>
      </x:c>
      <x:c r="N206" s="5" t="str"/>
      <x:c r="O206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207" ht="103.5" customHeight="1">
      <x:c r="A207" s="5" t="n">
        <x:v>206</x:v>
      </x:c>
      <x:c r="B207" s="5" t="str">
        <x:v>LIVE-206</x:v>
      </x:c>
      <x:c r="C207" s="5" t="str">
        <x:v>用户App-直播模块</x:v>
      </x:c>
      <x:c r="D207" s="5" t="str">
        <x:v>主播直播间</x:v>
      </x:c>
      <x:c r="E207" s="5" t="str">
        <x:v>功能需求</x:v>
      </x:c>
      <x:c r="F207" s="5" t="str">
        <x:v>P2</x:v>
      </x:c>
      <x:c r="G207" s="5" t="str">
        <x:v>验证主播取消房管成功反馈</x:v>
      </x:c>
      <x:c r="H207" s="5" t="str">
        <x:v>取消房管反馈</x:v>
      </x:c>
      <x:c r="I207" s="5" t="str">
        <x:v>1. 主播正在直播
2. 目标用户是当前主播的房管</x:v>
      </x:c>
      <x:c r="J207" s="5" t="str">
        <x:v>1. 打开目标用户资料卡
2. 点击“取消房管”</x:v>
      </x:c>
      <x:c r="K207" s="5" t="str">
        <x:v>页面提示“已取消房管”</x:v>
      </x:c>
      <x:c r="L207" s="5" t="str"/>
      <x:c r="M207" s="5" t="str">
        <x:v>未测</x:v>
      </x:c>
      <x:c r="N207" s="5" t="str"/>
      <x:c r="O207" s="5" t="str">
        <x:v>1. 来源：prototype/assets/common.js 动态交互脚本
2. 静态分析已确认事件绑定；未在浏览器动态验证
3. 补充原因：业务结果完整性扫描发现独立反馈观察点未覆盖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208" ht="103.5" customHeight="1">
      <x:c r="A208" s="5" t="n">
        <x:v>207</x:v>
      </x:c>
      <x:c r="B208" s="5" t="str">
        <x:v>LIVE-207</x:v>
      </x:c>
      <x:c r="C208" s="5" t="str">
        <x:v>用户App-直播模块</x:v>
      </x:c>
      <x:c r="D208" s="5" t="str">
        <x:v>主播直播间</x:v>
      </x:c>
      <x:c r="E208" s="5" t="str">
        <x:v>功能需求</x:v>
      </x:c>
      <x:c r="F208" s="5" t="str">
        <x:v>P2</x:v>
      </x:c>
      <x:c r="G208" s="5" t="str">
        <x:v>验证禁用用户列表恢复发言成功反馈</x:v>
      </x:c>
      <x:c r="H208" s="5" t="str">
        <x:v>恢复发言反馈</x:v>
      </x:c>
      <x:c r="I208" s="5" t="str">
        <x:v>1. 主播正在普通房直播
2. 用户 Nila 处于当前场次禁言状态</x:v>
      </x:c>
      <x:c r="J208" s="5" t="str">
        <x:v>1. 打开直播设置
2. 进入“禁用用户”
3. 点击 Nila 的“恢复发言”
4. 完成两次确认</x:v>
      </x:c>
      <x:c r="K208" s="5" t="str">
        <x:v>页面提示“已恢复 Nila 的发言”</x:v>
      </x:c>
      <x:c r="L208" s="5" t="str"/>
      <x:c r="M208" s="5" t="str">
        <x:v>未测</x:v>
      </x:c>
      <x:c r="N208" s="5" t="str"/>
      <x:c r="O208" s="5" t="str">
        <x:v>1. 来源：prototype/assets/live-muted-users.js 动态交互脚本
2. 静态分析已确认事件绑定；未在浏览器动态验证
3. 补充原因：业务结果完整性扫描发现独立反馈观察点未覆盖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209" ht="103.5" customHeight="1">
      <x:c r="A209" s="5" t="n">
        <x:v>208</x:v>
      </x:c>
      <x:c r="B209" s="5" t="str">
        <x:v>LIVE-208</x:v>
      </x:c>
      <x:c r="C209" s="5" t="str">
        <x:v>用户App-直播模块</x:v>
      </x:c>
      <x:c r="D209" s="5" t="str">
        <x:v>主播直播间</x:v>
      </x:c>
      <x:c r="E209" s="5" t="str">
        <x:v>功能需求</x:v>
      </x:c>
      <x:c r="F209" s="5" t="str">
        <x:v>P1</x:v>
      </x:c>
      <x:c r="G209" s="5" t="str">
        <x:v>验证恢复发言的第一次确认</x:v>
      </x:c>
      <x:c r="H209" s="5" t="str">
        <x:v>恢复发言首次确认</x:v>
      </x:c>
      <x:c r="I209" s="5" t="str">
        <x:v>1. 禁言用户列表存在 Nila</x:v>
      </x:c>
      <x:c r="J209" s="5" t="str">
        <x:v>1. 点击 Nila 的“恢复发言”</x:v>
      </x:c>
      <x:c r="K209" s="5" t="str">
        <x:v>页面显示“是否恢复用户在直播间评论发言”确认框</x:v>
      </x:c>
      <x:c r="L209" s="5" t="str"/>
      <x:c r="M209" s="5" t="str">
        <x:v>未测</x:v>
      </x:c>
      <x:c r="N209" s="5" t="str"/>
      <x:c r="O209" s="5" t="str">
        <x:v>1. 来源：prototype/assets/annotations.js
2. 来源：prototype/pages/user/live/live-room-host.html 与 prototype/assets/common.js；未动态验证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210" ht="127.5" customHeight="1">
      <x:c r="A210" s="5" t="n">
        <x:v>209</x:v>
      </x:c>
      <x:c r="B210" s="5" t="str">
        <x:v>LIVE-209</x:v>
      </x:c>
      <x:c r="C210" s="5" t="str">
        <x:v>用户App-直播模块</x:v>
      </x:c>
      <x:c r="D210" s="5" t="str">
        <x:v>主播直播间</x:v>
      </x:c>
      <x:c r="E210" s="5" t="str">
        <x:v>功能需求</x:v>
      </x:c>
      <x:c r="F210" s="5" t="str">
        <x:v>P1</x:v>
      </x:c>
      <x:c r="G210" s="5" t="str">
        <x:v>验证恢复发言需要第二次确认</x:v>
      </x:c>
      <x:c r="H210" s="5" t="str">
        <x:v>恢复发言二次确认</x:v>
      </x:c>
      <x:c r="I210" s="5" t="str">
        <x:v>1. 恢复发言的首次确认框已打开</x:v>
      </x:c>
      <x:c r="J210" s="5" t="str">
        <x:v>1. 点击“恢复”</x:v>
      </x:c>
      <x:c r="K210" s="5" t="str">
        <x:v>页面再次显示恢复发言确认框</x:v>
      </x:c>
      <x:c r="L210" s="5" t="str"/>
      <x:c r="M210" s="5" t="str">
        <x:v>未测</x:v>
      </x:c>
      <x:c r="N210" s="5" t="str"/>
      <x:c r="O210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211" ht="103.5" customHeight="1">
      <x:c r="A211" s="5" t="n">
        <x:v>210</x:v>
      </x:c>
      <x:c r="B211" s="5" t="str">
        <x:v>LIVE-210</x:v>
      </x:c>
      <x:c r="C211" s="5" t="str">
        <x:v>用户App-直播模块</x:v>
      </x:c>
      <x:c r="D211" s="5" t="str">
        <x:v>主播直播间</x:v>
      </x:c>
      <x:c r="E211" s="5" t="str">
        <x:v>功能需求</x:v>
      </x:c>
      <x:c r="F211" s="5" t="str">
        <x:v>P2</x:v>
      </x:c>
      <x:c r="G211" s="5" t="str">
        <x:v>验证取消恢复发言后保留禁言</x:v>
      </x:c>
      <x:c r="H211" s="5" t="str">
        <x:v>取消恢复发言</x:v>
      </x:c>
      <x:c r="I211" s="5" t="str">
        <x:v>1. 恢复发言确认框已打开
2. Nila 当前处于禁言状态</x:v>
      </x:c>
      <x:c r="J211" s="5" t="str">
        <x:v>1. 点击“取消”</x:v>
      </x:c>
      <x:c r="K211" s="5" t="str">
        <x:v>Nila 仍保持禁言状态</x:v>
      </x:c>
      <x:c r="L211" s="5" t="str"/>
      <x:c r="M211" s="5" t="str">
        <x:v>未测</x:v>
      </x:c>
      <x:c r="N211" s="5" t="str"/>
      <x:c r="O211" s="5" t="str">
        <x:v>1. 来源：prototype/assets/annotations.js
2. 来源：prototype/pages/user/live/live-room-host.html 与 prototype/assets/common.js；未动态验证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212" ht="127.5" customHeight="1">
      <x:c r="A212" s="5" t="n">
        <x:v>211</x:v>
      </x:c>
      <x:c r="B212" s="5" t="str">
        <x:v>LIVE-211</x:v>
      </x:c>
      <x:c r="C212" s="5" t="str">
        <x:v>用户App-直播模块</x:v>
      </x:c>
      <x:c r="D212" s="5" t="str">
        <x:v>主播直播间</x:v>
      </x:c>
      <x:c r="E212" s="5" t="str">
        <x:v>功能需求</x:v>
      </x:c>
      <x:c r="F212" s="5" t="str">
        <x:v>P1</x:v>
      </x:c>
      <x:c r="G212" s="5" t="str">
        <x:v>验证密码房展示当前房间密码</x:v>
      </x:c>
      <x:c r="H212" s="5" t="str">
        <x:v>当前房间密码回显</x:v>
      </x:c>
      <x:c r="I212" s="5" t="str">
        <x:v>1. 主播正在密码房直播</x:v>
      </x:c>
      <x:c r="J212" s="5" t="str">
        <x:v>1. 打开直播设置
2. 点击“房间密码”</x:v>
      </x:c>
      <x:c r="K212" s="5" t="str">
        <x:v>房间密码面板回显当前房间密码</x:v>
      </x:c>
      <x:c r="L212" s="5" t="str"/>
      <x:c r="M212" s="5" t="str">
        <x:v>未测</x:v>
      </x:c>
      <x:c r="N212" s="5" t="str"/>
      <x:c r="O212" s="5" t="str">
        <x:v>1. 来源：context/01-用户主播App-项目需求清单.md（2026-08-29 按原型同步，RSL-0002）
2. 来源：prototype/assets/annotations.js
3. 来源：prototype/pages/user/live/live-room-host-password.html 与 prototype/assets/common.js；未动态验证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213" ht="127.5" customHeight="1">
      <x:c r="A213" s="5" t="n">
        <x:v>212</x:v>
      </x:c>
      <x:c r="B213" s="5" t="str">
        <x:v>LIVE-212</x:v>
      </x:c>
      <x:c r="C213" s="5" t="str">
        <x:v>用户App-直播模块</x:v>
      </x:c>
      <x:c r="D213" s="5" t="str">
        <x:v>主播直播间</x:v>
      </x:c>
      <x:c r="E213" s="5" t="str">
        <x:v>逻辑校验</x:v>
      </x:c>
      <x:c r="F213" s="5" t="str">
        <x:v>P1</x:v>
      </x:c>
      <x:c r="G213" s="5" t="str">
        <x:v>验证直播中修改密码的 8 位数字校验</x:v>
      </x:c>
      <x:c r="H213" s="5" t="str">
        <x:v>修改密码格式校验</x:v>
      </x:c>
      <x:c r="I213" s="5" t="str">
        <x:v>1. 密码房的房间密码面板已打开</x:v>
      </x:c>
      <x:c r="J213" s="5" t="str">
        <x:v>1. 输入非 8 位数字的新密码
2. 点击“保存密码”</x:v>
      </x:c>
      <x:c r="K213" s="5" t="str">
        <x:v>页面提示“请输入 8 位数字密码”</x:v>
      </x:c>
      <x:c r="L213" s="5" t="str"/>
      <x:c r="M213" s="5" t="str">
        <x:v>未测</x:v>
      </x:c>
      <x:c r="N213" s="5" t="str"/>
      <x:c r="O213" s="5" t="str">
        <x:v>1. 来源：context/01-用户主播App-项目需求清单.md（2026-08-29 按原型同步，RSL-0002）
2. 来源：prototype/assets/annotations.js
3. 来源：prototype/pages/user/live/live-room-host-password.html 与 prototype/assets/common.js；未动态验证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214" ht="91.5" customHeight="1">
      <x:c r="A214" s="5" t="n">
        <x:v>213</x:v>
      </x:c>
      <x:c r="B214" s="5" t="str">
        <x:v>LIVE-213</x:v>
      </x:c>
      <x:c r="C214" s="5" t="str">
        <x:v>用户App-直播模块</x:v>
      </x:c>
      <x:c r="D214" s="5" t="str">
        <x:v>主播直播间</x:v>
      </x:c>
      <x:c r="E214" s="5" t="str">
        <x:v>功能需求</x:v>
      </x:c>
      <x:c r="F214" s="5" t="str">
        <x:v>P2</x:v>
      </x:c>
      <x:c r="G214" s="5" t="str">
        <x:v>验证取消转发粉丝群</x:v>
      </x:c>
      <x:c r="H214" s="5" t="str">
        <x:v>取消转发粉丝群</x:v>
      </x:c>
      <x:c r="I214" s="5" t="str">
        <x:v>1. 转发粉丝群确认框已打开</x:v>
      </x:c>
      <x:c r="J214" s="5" t="str">
        <x:v>1. 点击“取消”</x:v>
      </x:c>
      <x:c r="K214" s="5" t="str">
        <x:v>转发确认框关闭</x:v>
      </x:c>
      <x:c r="L214" s="5" t="str"/>
      <x:c r="M214" s="5" t="str">
        <x:v>未测</x:v>
      </x:c>
      <x:c r="N214" s="5" t="str"/>
      <x:c r="O214" s="5" t="str">
        <x:v>1. 来源：prototype/pages/user/live/live-room-host.html 与 prototype/assets/common.js；未动态验证
2. 同步追溯：work/liveshow-user-live-testcases-260831-004/prototype-context-sync-result.json；RSL-0002、RSL-0003
3. 全局证据追溯：work/liveshow-user-live-testcases-260831-004/global-evidence-scan-result.json；扫描模式 incremental</x:v>
      </x:c>
    </x:row>
    <x:row r="215" ht="127.5" customHeight="1">
      <x:c r="A215" s="5" t="n">
        <x:v>214</x:v>
      </x:c>
      <x:c r="B215" s="5" t="str">
        <x:v>LIVE-214</x:v>
      </x:c>
      <x:c r="C215" s="5" t="str">
        <x:v>用户App-直播模块</x:v>
      </x:c>
      <x:c r="D215" s="5" t="str">
        <x:v>主播直播间</x:v>
      </x:c>
      <x:c r="E215" s="5" t="str">
        <x:v>功能需求</x:v>
      </x:c>
      <x:c r="F215" s="5" t="str">
        <x:v>P1</x:v>
      </x:c>
      <x:c r="G215" s="5" t="str">
        <x:v>验证点击评论显示屏蔽入口</x:v>
      </x:c>
      <x:c r="H215" s="5" t="str">
        <x:v>屏蔽评论入口</x:v>
      </x:c>
      <x:c r="I215" s="5" t="str">
        <x:v>1. 主播直播间公屏存在观众评论</x:v>
      </x:c>
      <x:c r="J215" s="5" t="str">
        <x:v>1. 点击目标观众评论</x:v>
      </x:c>
      <x:c r="K215" s="5" t="str">
        <x:v>目标评论旁显示“屏蔽此评论”按钮</x:v>
      </x:c>
      <x:c r="L215" s="5" t="str"/>
      <x:c r="M215" s="5" t="str">
        <x:v>未测</x:v>
      </x:c>
      <x:c r="N215" s="5" t="str"/>
      <x:c r="O215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216" ht="127.5" customHeight="1">
      <x:c r="A216" s="5" t="n">
        <x:v>215</x:v>
      </x:c>
      <x:c r="B216" s="5" t="str">
        <x:v>LIVE-215</x:v>
      </x:c>
      <x:c r="C216" s="5" t="str">
        <x:v>用户App-直播模块</x:v>
      </x:c>
      <x:c r="D216" s="5" t="str">
        <x:v>主播直播间</x:v>
      </x:c>
      <x:c r="E216" s="5" t="str">
        <x:v>功能需求</x:v>
      </x:c>
      <x:c r="F216" s="5" t="str">
        <x:v>P1</x:v>
      </x:c>
      <x:c r="G216" s="5" t="str">
        <x:v>验证屏蔽当前评论</x:v>
      </x:c>
      <x:c r="H216" s="5" t="str">
        <x:v>当前评论移除</x:v>
      </x:c>
      <x:c r="I216" s="5" t="str">
        <x:v>1. 目标评论已显示“屏蔽此评论”按钮</x:v>
      </x:c>
      <x:c r="J216" s="5" t="str">
        <x:v>1. 点击“屏蔽此评论”</x:v>
      </x:c>
      <x:c r="K216" s="5" t="str">
        <x:v>目标评论从当前公屏移除</x:v>
      </x:c>
      <x:c r="L216" s="5" t="str"/>
      <x:c r="M216" s="5" t="str">
        <x:v>未测</x:v>
      </x:c>
      <x:c r="N216" s="5" t="str"/>
      <x:c r="O216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217" ht="91.5" customHeight="1">
      <x:c r="A217" s="5" t="n">
        <x:v>216</x:v>
      </x:c>
      <x:c r="B217" s="5" t="str">
        <x:v>LIVE-216</x:v>
      </x:c>
      <x:c r="C217" s="5" t="str">
        <x:v>用户App-直播模块</x:v>
      </x:c>
      <x:c r="D217" s="5" t="str">
        <x:v>主播直播间</x:v>
      </x:c>
      <x:c r="E217" s="5" t="str">
        <x:v>功能需求</x:v>
      </x:c>
      <x:c r="F217" s="5" t="str">
        <x:v>P2</x:v>
      </x:c>
      <x:c r="G217" s="5" t="str">
        <x:v>验证屏蔽评论成功提示</x:v>
      </x:c>
      <x:c r="H217" s="5" t="str">
        <x:v>屏蔽评论提示</x:v>
      </x:c>
      <x:c r="I217" s="5" t="str">
        <x:v>1. 目标评论已显示“屏蔽此评论”按钮</x:v>
      </x:c>
      <x:c r="J217" s="5" t="str">
        <x:v>1. 点击“屏蔽此评论”</x:v>
      </x:c>
      <x:c r="K217" s="5" t="str">
        <x:v>页面提示“已屏蔽此评论”</x:v>
      </x:c>
      <x:c r="L217" s="5" t="str"/>
      <x:c r="M217" s="5" t="str">
        <x:v>未测</x:v>
      </x:c>
      <x:c r="N217" s="5" t="str"/>
      <x:c r="O217" s="5" t="str">
        <x:v>1. 来源：prototype/pages/user/live/live-room-host.html 与 prototype/assets/common.js；未动态验证
2. 同步追溯：work/liveshow-user-live-testcases-260831-004/prototype-context-sync-result.json；RSL-0002、RSL-0003
3. 全局证据追溯：work/liveshow-user-live-testcases-260831-004/global-evidence-scan-result.json；扫描模式 incremental</x:v>
      </x:c>
    </x:row>
    <x:row r="218" ht="127.5" customHeight="1">
      <x:c r="A218" s="5" t="n">
        <x:v>217</x:v>
      </x:c>
      <x:c r="B218" s="5" t="str">
        <x:v>LIVE-217</x:v>
      </x:c>
      <x:c r="C218" s="5" t="str">
        <x:v>用户App-直播模块</x:v>
      </x:c>
      <x:c r="D218" s="5" t="str">
        <x:v>主播直播间</x:v>
      </x:c>
      <x:c r="E218" s="5" t="str">
        <x:v>功能需求</x:v>
      </x:c>
      <x:c r="F218" s="5" t="str">
        <x:v>P1</x:v>
      </x:c>
      <x:c r="G218" s="5" t="str">
        <x:v>验证主播用户卡提供管理操作</x:v>
      </x:c>
      <x:c r="H218" s="5" t="str">
        <x:v>主播用户卡操作范围</x:v>
      </x:c>
      <x:c r="I218" s="5" t="str">
        <x:v>1. 主播直播间存在在线观众</x:v>
      </x:c>
      <x:c r="J218" s="5" t="str">
        <x:v>1. 点击观众头像
2. 查看用户卡操作栏</x:v>
      </x:c>
      <x:c r="K218" s="5" t="str">
        <x:v>用户卡提供举报、禁言、踢出、拉黑和设为房管操作</x:v>
      </x:c>
      <x:c r="L218" s="5" t="str"/>
      <x:c r="M218" s="5" t="str">
        <x:v>未测</x:v>
      </x:c>
      <x:c r="N218" s="5" t="str"/>
      <x:c r="O218" s="5" t="str">
        <x:v>1. 来源：context/01-用户主播App-项目需求清单.md（2026-08-29 按原型同步，RSL-0002）
2. 来源：prototype/assets/annotations.js
3. 来源：prototype/pages/user/live/live-room-host.html 与 prototype/assets/common.js；未动态验证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219" ht="115.5" customHeight="1">
      <x:c r="A219" s="5" t="n">
        <x:v>218</x:v>
      </x:c>
      <x:c r="B219" s="5" t="str">
        <x:v>LIVE-218</x:v>
      </x:c>
      <x:c r="C219" s="5" t="str">
        <x:v>用户App-直播模块</x:v>
      </x:c>
      <x:c r="D219" s="5" t="str">
        <x:v>主播直播间</x:v>
      </x:c>
      <x:c r="E219" s="5" t="str">
        <x:v>功能需求</x:v>
      </x:c>
      <x:c r="F219" s="5" t="str">
        <x:v>P1</x:v>
      </x:c>
      <x:c r="G219" s="5" t="str">
        <x:v>验证主播直接发送答谢</x:v>
      </x:c>
      <x:c r="H219" s="5" t="str">
        <x:v>答谢成功提示</x:v>
      </x:c>
      <x:c r="I219" s="5" t="str">
        <x:v>1. 主播已打开 Maya 的用户卡</x:v>
      </x:c>
      <x:c r="J219" s="5" t="str">
        <x:v>1. 点击“答谢”</x:v>
      </x:c>
      <x:c r="K219" s="5" t="str">
        <x:v>页面提示“已向 Maya 发送答谢”</x:v>
      </x:c>
      <x:c r="L219" s="5" t="str"/>
      <x:c r="M219" s="5" t="str">
        <x:v>未测</x:v>
      </x:c>
      <x:c r="N219" s="5" t="str"/>
      <x:c r="O219" s="5" t="str">
        <x:v>1. 来源：context/01-用户主播App-项目需求清单.md（2026-08-29 按原型同步，RSL-0002）
2. 来源：prototype/pages/user/live/live-room-host.html 与 prototype/assets/common.js；未动态验证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220" ht="115.5" customHeight="1">
      <x:c r="A220" s="5" t="n">
        <x:v>219</x:v>
      </x:c>
      <x:c r="B220" s="5" t="str">
        <x:v>LIVE-219</x:v>
      </x:c>
      <x:c r="C220" s="5" t="str">
        <x:v>用户App-直播模块</x:v>
      </x:c>
      <x:c r="D220" s="5" t="str">
        <x:v>主播直播间</x:v>
      </x:c>
      <x:c r="E220" s="5" t="str">
        <x:v>功能需求</x:v>
      </x:c>
      <x:c r="F220" s="5" t="str">
        <x:v>P1</x:v>
      </x:c>
      <x:c r="G220" s="5" t="str">
        <x:v>验证答谢不打开礼物面板</x:v>
      </x:c>
      <x:c r="H220" s="5" t="str">
        <x:v>答谢不选礼</x:v>
      </x:c>
      <x:c r="I220" s="5" t="str">
        <x:v>1. 主播已打开 Maya 的用户卡</x:v>
      </x:c>
      <x:c r="J220" s="5" t="str">
        <x:v>1. 点击“答谢”</x:v>
      </x:c>
      <x:c r="K220" s="5" t="str">
        <x:v>页面不打开礼物选择面板</x:v>
      </x:c>
      <x:c r="L220" s="5" t="str"/>
      <x:c r="M220" s="5" t="str">
        <x:v>未测</x:v>
      </x:c>
      <x:c r="N220" s="5" t="str"/>
      <x:c r="O220" s="5" t="str">
        <x:v>1. 来源：context/01-用户主播App-项目需求清单.md（2026-08-29 按原型同步，RSL-0002）
2. 来源：prototype/pages/user/live/live-room-host.html 与 prototype/assets/common.js；未动态验证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221" ht="91.5" customHeight="1">
      <x:c r="A221" s="5" t="n">
        <x:v>220</x:v>
      </x:c>
      <x:c r="B221" s="5" t="str">
        <x:v>LIVE-220</x:v>
      </x:c>
      <x:c r="C221" s="5" t="str">
        <x:v>用户App-直播模块</x:v>
      </x:c>
      <x:c r="D221" s="5" t="str">
        <x:v>主播直播间</x:v>
      </x:c>
      <x:c r="E221" s="5" t="str">
        <x:v>逻辑校验</x:v>
      </x:c>
      <x:c r="F221" s="5" t="str">
        <x:v>P1</x:v>
      </x:c>
      <x:c r="G221" s="5" t="str">
        <x:v>验证直播间黑名单不影响好友申请</x:v>
      </x:c>
      <x:c r="H221" s="5" t="str">
        <x:v>直播间黑名单好友申请隔离</x:v>
      </x:c>
      <x:c r="I221" s="5" t="str">
        <x:v>1. 主播与目标用户不存在账号拉黑关系
2. 目标用户当前可以发起好友申请</x:v>
      </x:c>
      <x:c r="J221" s="5" t="str">
        <x:v>1. 主播将目标用户加入直播间黑名单
2. 目标用户向主播发起好友申请</x:v>
      </x:c>
      <x:c r="K221" s="5" t="str">
        <x:v>仅加入直播间黑名单不阻止目标用户向主播发起好友申请</x:v>
      </x:c>
      <x:c r="L221" s="5" t="str"/>
      <x:c r="M221" s="5" t="str">
        <x:v>未测</x:v>
      </x:c>
      <x:c r="N221" s="5" t="str"/>
      <x:c r="O221" s="5" t="str">
        <x:v>1. 来源：context/系统概要 .md（当前全局业务规则）
2. 质量修正：按 RCL-0018 执行最小前置条件和单分支检查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222" ht="91.5" customHeight="1">
      <x:c r="A222" s="5" t="n">
        <x:v>221</x:v>
      </x:c>
      <x:c r="B222" s="5" t="str">
        <x:v>LIVE-221</x:v>
      </x:c>
      <x:c r="C222" s="5" t="str">
        <x:v>用户App-直播模块</x:v>
      </x:c>
      <x:c r="D222" s="5" t="str">
        <x:v>主播直播间</x:v>
      </x:c>
      <x:c r="E222" s="5" t="str">
        <x:v>逻辑校验</x:v>
      </x:c>
      <x:c r="F222" s="5" t="str">
        <x:v>P1</x:v>
      </x:c>
      <x:c r="G222" s="5" t="str">
        <x:v>验证账号拉黑限制好友申请</x:v>
      </x:c>
      <x:c r="H222" s="5" t="str">
        <x:v>账号拉黑好友申请限制</x:v>
      </x:c>
      <x:c r="I222" s="5" t="str">
        <x:v>1. 主播与目标用户不存在账号拉黑关系
2. 双方当前可以发起好友申请</x:v>
      </x:c>
      <x:c r="J222" s="5" t="str">
        <x:v>1. 主播拉黑目标用户账号
2. 双方尝试发起好友申请</x:v>
      </x:c>
      <x:c r="K222" s="5" t="str">
        <x:v>主播与目标用户之间不能继续发起或处理好友申请</x:v>
      </x:c>
      <x:c r="L222" s="5" t="str"/>
      <x:c r="M222" s="5" t="str">
        <x:v>未测</x:v>
      </x:c>
      <x:c r="N222" s="5" t="str"/>
      <x:c r="O222" s="5" t="str">
        <x:v>1. 来源：context/系统概要 .md（当前全局业务规则）
2. 质量修正：按 RCL-0018 执行最小前置条件和单分支检查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223" ht="115.5" customHeight="1">
      <x:c r="A223" s="5" t="n">
        <x:v>222</x:v>
      </x:c>
      <x:c r="B223" s="5" t="str">
        <x:v>LIVE-222</x:v>
      </x:c>
      <x:c r="C223" s="5" t="str">
        <x:v>用户App-直播模块</x:v>
      </x:c>
      <x:c r="D223" s="5" t="str">
        <x:v>主播直播间</x:v>
      </x:c>
      <x:c r="E223" s="5" t="str">
        <x:v>功能需求</x:v>
      </x:c>
      <x:c r="F223" s="5" t="str">
        <x:v>P2</x:v>
      </x:c>
      <x:c r="G223" s="5" t="str">
        <x:v>验证普通房不打开密码编辑面板</x:v>
      </x:c>
      <x:c r="H223" s="5" t="str">
        <x:v>普通房密码面板拦截</x:v>
      </x:c>
      <x:c r="I223" s="5" t="str">
        <x:v>1. 主播正在普通房直播</x:v>
      </x:c>
      <x:c r="J223" s="5" t="str">
        <x:v>1. 打开直播设置
2. 点击置灰的“房间密码”入口</x:v>
      </x:c>
      <x:c r="K223" s="5" t="str">
        <x:v>页面不打开密码编辑面板</x:v>
      </x:c>
      <x:c r="L223" s="5" t="str"/>
      <x:c r="M223" s="5" t="str">
        <x:v>未测</x:v>
      </x:c>
      <x:c r="N223" s="5" t="str"/>
      <x:c r="O223" s="5" t="str">
        <x:v>1. 来源：context/01-用户主播App-项目需求清单.md（2026-08-29 按原型同步，RSL-0002）
2. 来源：prototype/pages/user/live/live-room-host.html 与 prototype/assets/common.js；未动态验证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224" ht="91.5" customHeight="1">
      <x:c r="A224" s="5" t="n">
        <x:v>223</x:v>
      </x:c>
      <x:c r="B224" s="5" t="str">
        <x:v>LIVE-223</x:v>
      </x:c>
      <x:c r="C224" s="5" t="str">
        <x:v>用户App-直播模块</x:v>
      </x:c>
      <x:c r="D224" s="5" t="str">
        <x:v>主播直播间</x:v>
      </x:c>
      <x:c r="E224" s="5" t="str">
        <x:v>功能需求</x:v>
      </x:c>
      <x:c r="F224" s="5" t="str">
        <x:v>P2</x:v>
      </x:c>
      <x:c r="G224" s="5" t="str">
        <x:v>验证取消转发后不发送直播间卡片</x:v>
      </x:c>
      <x:c r="H224" s="5" t="str">
        <x:v>取消转发发送结果</x:v>
      </x:c>
      <x:c r="I224" s="5" t="str">
        <x:v>1. 转发粉丝群确认框已打开</x:v>
      </x:c>
      <x:c r="J224" s="5" t="str">
        <x:v>1. 点击“取消”
2. 查看目标粉丝群</x:v>
      </x:c>
      <x:c r="K224" s="5" t="str">
        <x:v>目标粉丝群不新增本场直播卡片</x:v>
      </x:c>
      <x:c r="L224" s="5" t="str"/>
      <x:c r="M224" s="5" t="str">
        <x:v>未测</x:v>
      </x:c>
      <x:c r="N224" s="5" t="str"/>
      <x:c r="O224" s="5" t="str">
        <x:v>1. 来源：prototype/pages/user/live/live-room-host.html 与 prototype/assets/common.js；未动态验证
2. 同步追溯：work/liveshow-user-live-testcases-260831-004/prototype-context-sync-result.json；RSL-0002、RSL-0003
3. 全局证据追溯：work/liveshow-user-live-testcases-260831-004/global-evidence-scan-result.json；扫描模式 incremental</x:v>
      </x:c>
    </x:row>
    <x:row r="225" ht="103.5" customHeight="1">
      <x:c r="A225" s="5" t="n">
        <x:v>224</x:v>
      </x:c>
      <x:c r="B225" s="5" t="str">
        <x:v>LIVE-224</x:v>
      </x:c>
      <x:c r="C225" s="5" t="str">
        <x:v>用户App-直播模块</x:v>
      </x:c>
      <x:c r="D225" s="5" t="str">
        <x:v>房管协助管理</x:v>
      </x:c>
      <x:c r="E225" s="5" t="str">
        <x:v>功能需求</x:v>
      </x:c>
      <x:c r="F225" s="5" t="str">
        <x:v>P1</x:v>
      </x:c>
      <x:c r="G225" s="5" t="str">
        <x:v>验证房管资料卡展示受限管理操作</x:v>
      </x:c>
      <x:c r="H225" s="5" t="str">
        <x:v>房管操作范围</x:v>
      </x:c>
      <x:c r="I225" s="5" t="str">
        <x:v>1. 当前用户已被主播设置为房管
2. 当前直播仍在进行</x:v>
      </x:c>
      <x:c r="J225" s="5" t="str">
        <x:v>1. 以房管身份进入直播间
2. 打开在线观众资料卡</x:v>
      </x:c>
      <x:c r="K225" s="5" t="str">
        <x:v>房管资料卡仅提供禁言、踢出和有依据的评论处置能力，不提供房管授权或结束直播能力</x:v>
      </x:c>
      <x:c r="L225" s="5" t="str"/>
      <x:c r="M225" s="5" t="str">
        <x:v>未测</x:v>
      </x:c>
      <x:c r="N225" s="5" t="str"/>
      <x:c r="O225" s="5" t="str">
        <x:v>1. 来源：context/系统概要 .md（当前全局业务规则）
2. 来源：prototype/assets/annotations.js
3. 追溯：业务底稿 LIVE-042。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226" ht="103.5" customHeight="1">
      <x:c r="A226" s="5" t="n">
        <x:v>225</x:v>
      </x:c>
      <x:c r="B226" s="5" t="str">
        <x:v>LIVE-225</x:v>
      </x:c>
      <x:c r="C226" s="5" t="str">
        <x:v>用户App-直播模块</x:v>
      </x:c>
      <x:c r="D226" s="5" t="str">
        <x:v>房管协助管理</x:v>
      </x:c>
      <x:c r="E226" s="5" t="str">
        <x:v>业务流程</x:v>
      </x:c>
      <x:c r="F226" s="5" t="str">
        <x:v>P1</x:v>
      </x:c>
      <x:c r="G226" s="5" t="str">
        <x:v>验证房管禁言限制用户发言</x:v>
      </x:c>
      <x:c r="H226" s="5" t="str">
        <x:v>房管禁言生效</x:v>
      </x:c>
      <x:c r="I226" s="5" t="str">
        <x:v>1. 房管和目标用户均在当前直播间
2. 目标用户可正常发言</x:v>
      </x:c>
      <x:c r="J226" s="5" t="str">
        <x:v>1. 房管打开目标用户资料卡
2. 选择禁言
3. 在确认提示中点击确认
4. 目标用户尝试发送公屏消息</x:v>
      </x:c>
      <x:c r="K226" s="5" t="str">
        <x:v>目标用户在当前场次不能继续发送公屏消息</x:v>
      </x:c>
      <x:c r="L226" s="5" t="str"/>
      <x:c r="M226" s="5" t="str">
        <x:v>未测</x:v>
      </x:c>
      <x:c r="N226" s="5" t="str"/>
      <x:c r="O226" s="5" t="str">
        <x:v>1. 来源：context/系统概要 .md（当前全局业务规则）
2. 来源：prototype/assets/annotations.js
3. 追溯：业务底稿 LIVE-043。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227" ht="103.5" customHeight="1">
      <x:c r="A227" s="5" t="n">
        <x:v>226</x:v>
      </x:c>
      <x:c r="B227" s="5" t="str">
        <x:v>LIVE-226</x:v>
      </x:c>
      <x:c r="C227" s="5" t="str">
        <x:v>用户App-直播模块</x:v>
      </x:c>
      <x:c r="D227" s="5" t="str">
        <x:v>房管协助管理</x:v>
      </x:c>
      <x:c r="E227" s="5" t="str">
        <x:v>业务流程</x:v>
      </x:c>
      <x:c r="F227" s="5" t="str">
        <x:v>P1</x:v>
      </x:c>
      <x:c r="G227" s="5" t="str">
        <x:v>验证房管禁言保留历史消息</x:v>
      </x:c>
      <x:c r="H227" s="5" t="str">
        <x:v>房管禁言历史消息</x:v>
      </x:c>
      <x:c r="I227" s="5" t="str">
        <x:v>1. 房管和目标用户均在当前直播间
2. 目标用户可正常发言</x:v>
      </x:c>
      <x:c r="J227" s="5" t="str">
        <x:v>1. 房管打开目标用户资料卡
2. 选择禁言
3. 在确认提示中点击确认
4. 目标用户尝试发送公屏消息</x:v>
      </x:c>
      <x:c r="K227" s="5" t="str">
        <x:v>目标用户已发送消息不受影响</x:v>
      </x:c>
      <x:c r="L227" s="5" t="str"/>
      <x:c r="M227" s="5" t="str">
        <x:v>未测</x:v>
      </x:c>
      <x:c r="N227" s="5" t="str"/>
      <x:c r="O227" s="5" t="str">
        <x:v>1. 来源：context/系统概要 .md（当前全局业务规则）
2. 来源：prototype/assets/annotations.js
3. 追溯：业务底稿 LIVE-043。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228" ht="103.5" customHeight="1">
      <x:c r="A228" s="5" t="n">
        <x:v>227</x:v>
      </x:c>
      <x:c r="B228" s="5" t="str">
        <x:v>LIVE-227</x:v>
      </x:c>
      <x:c r="C228" s="5" t="str">
        <x:v>用户App-直播模块</x:v>
      </x:c>
      <x:c r="D228" s="5" t="str">
        <x:v>房管协助管理</x:v>
      </x:c>
      <x:c r="E228" s="5" t="str">
        <x:v>业务流程</x:v>
      </x:c>
      <x:c r="F228" s="5" t="str">
        <x:v>P1</x:v>
      </x:c>
      <x:c r="G228" s="5" t="str">
        <x:v>验证房管禁言操作留痕</x:v>
      </x:c>
      <x:c r="H228" s="5" t="str">
        <x:v>房管禁言记录</x:v>
      </x:c>
      <x:c r="I228" s="5" t="str">
        <x:v>1. 房管和目标用户均在当前直播间
2. 目标用户可正常发言</x:v>
      </x:c>
      <x:c r="J228" s="5" t="str">
        <x:v>1. 房管打开目标用户资料卡
2. 选择禁言
3. 在确认提示中点击确认
4. 目标用户尝试发送公屏消息</x:v>
      </x:c>
      <x:c r="K228" s="5" t="str">
        <x:v>系统保留房管、目标用户、场次和操作时间记录</x:v>
      </x:c>
      <x:c r="L228" s="5" t="str"/>
      <x:c r="M228" s="5" t="str">
        <x:v>未测</x:v>
      </x:c>
      <x:c r="N228" s="5" t="str"/>
      <x:c r="O228" s="5" t="str">
        <x:v>1. 来源：context/系统概要 .md（当前全局业务规则）
2. 来源：prototype/assets/annotations.js
3. 追溯：业务底稿 LIVE-043。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229" ht="91.5" customHeight="1">
      <x:c r="A229" s="5" t="n">
        <x:v>228</x:v>
      </x:c>
      <x:c r="B229" s="5" t="str">
        <x:v>LIVE-228</x:v>
      </x:c>
      <x:c r="C229" s="5" t="str">
        <x:v>用户App-直播模块</x:v>
      </x:c>
      <x:c r="D229" s="5" t="str">
        <x:v>房管协助管理</x:v>
      </x:c>
      <x:c r="E229" s="5" t="str">
        <x:v>功能需求</x:v>
      </x:c>
      <x:c r="F229" s="5" t="str">
        <x:v>P2</x:v>
      </x:c>
      <x:c r="G229" s="5" t="str">
        <x:v>验证房管取消禁言操作后状态不变</x:v>
      </x:c>
      <x:c r="H229" s="5" t="str">
        <x:v>取消房管禁言</x:v>
      </x:c>
      <x:c r="I229" s="5" t="str">
        <x:v>1. 房管已打开对可发言用户的禁言确认提示</x:v>
      </x:c>
      <x:c r="J229" s="5" t="str">
        <x:v>1. 点击“取消”
2. 由目标用户发送公屏消息</x:v>
      </x:c>
      <x:c r="K229" s="5" t="str">
        <x:v>取消禁言确认后，目标用户的禁言状态不变</x:v>
      </x:c>
      <x:c r="L229" s="5" t="str"/>
      <x:c r="M229" s="5" t="str">
        <x:v>未测</x:v>
      </x:c>
      <x:c r="N229" s="5" t="str"/>
      <x:c r="O229" s="5" t="str">
        <x:v>1. 来源：prototype/assets/annotations.js
2. 追溯：业务底稿 LIVE-044。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230" ht="103.5" customHeight="1">
      <x:c r="A230" s="5" t="n">
        <x:v>229</x:v>
      </x:c>
      <x:c r="B230" s="5" t="str">
        <x:v>LIVE-229</x:v>
      </x:c>
      <x:c r="C230" s="5" t="str">
        <x:v>用户App-直播模块</x:v>
      </x:c>
      <x:c r="D230" s="5" t="str">
        <x:v>房管协助管理</x:v>
      </x:c>
      <x:c r="E230" s="5" t="str">
        <x:v>业务流程</x:v>
      </x:c>
      <x:c r="F230" s="5" t="str">
        <x:v>P1</x:v>
      </x:c>
      <x:c r="G230" s="5" t="str">
        <x:v>验证房管踢人限制本场重进</x:v>
      </x:c>
      <x:c r="H230" s="5" t="str">
        <x:v>房管踢人当前场次</x:v>
      </x:c>
      <x:c r="I230" s="5" t="str">
        <x:v>1. 房管和目标用户均在当前直播间</x:v>
      </x:c>
      <x:c r="J230" s="5" t="str">
        <x:v>1. 房管打开目标用户资料卡
2. 点击“踢出直播间”
3. 在确认提示中点击确认
4. 目标用户再次尝试进入当前场次</x:v>
      </x:c>
      <x:c r="K230" s="5" t="str">
        <x:v>房管踢出用户后，目标用户在当前场次不得再次进入</x:v>
      </x:c>
      <x:c r="L230" s="5" t="str"/>
      <x:c r="M230" s="5" t="str">
        <x:v>未测</x:v>
      </x:c>
      <x:c r="N230" s="5" t="str"/>
      <x:c r="O230" s="5" t="str">
        <x:v>1. 来源：context/系统概要 .md（当前全局业务规则）
2. 来源：prototype/assets/annotations.js
3. 追溯：业务底稿 LIVE-045。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231" ht="103.5" customHeight="1">
      <x:c r="A231" s="5" t="n">
        <x:v>230</x:v>
      </x:c>
      <x:c r="B231" s="5" t="str">
        <x:v>LIVE-230</x:v>
      </x:c>
      <x:c r="C231" s="5" t="str">
        <x:v>用户App-直播模块</x:v>
      </x:c>
      <x:c r="D231" s="5" t="str">
        <x:v>房管协助管理</x:v>
      </x:c>
      <x:c r="E231" s="5" t="str">
        <x:v>业务流程</x:v>
      </x:c>
      <x:c r="F231" s="5" t="str">
        <x:v>P1</x:v>
      </x:c>
      <x:c r="G231" s="5" t="str">
        <x:v>验证房管踢人不影响下一场直播</x:v>
      </x:c>
      <x:c r="H231" s="5" t="str">
        <x:v>房管踢人跨场恢复</x:v>
      </x:c>
      <x:c r="I231" s="5" t="str">
        <x:v>1. 房管和目标用户均在当前直播间</x:v>
      </x:c>
      <x:c r="J231" s="5" t="str">
        <x:v>1. 房管打开目标用户资料卡
2. 点击“踢出直播间”
3. 在确认提示中点击确认
4. 目标用户再次尝试进入当前场次</x:v>
      </x:c>
      <x:c r="K231" s="5" t="str">
        <x:v>下一场直播不继承本次踢出限制</x:v>
      </x:c>
      <x:c r="L231" s="5" t="str"/>
      <x:c r="M231" s="5" t="str">
        <x:v>未测</x:v>
      </x:c>
      <x:c r="N231" s="5" t="str"/>
      <x:c r="O231" s="5" t="str">
        <x:v>1. 来源：context/系统概要 .md（当前全局业务规则）
2. 来源：prototype/assets/annotations.js
3. 追溯：业务底稿 LIVE-045。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232" ht="103.5" customHeight="1">
      <x:c r="A232" s="5" t="n">
        <x:v>231</x:v>
      </x:c>
      <x:c r="B232" s="5" t="str">
        <x:v>LIVE-231</x:v>
      </x:c>
      <x:c r="C232" s="5" t="str">
        <x:v>用户App-直播模块</x:v>
      </x:c>
      <x:c r="D232" s="5" t="str">
        <x:v>房管协助管理</x:v>
      </x:c>
      <x:c r="E232" s="5" t="str">
        <x:v>业务流程</x:v>
      </x:c>
      <x:c r="F232" s="5" t="str">
        <x:v>P1</x:v>
      </x:c>
      <x:c r="G232" s="5" t="str">
        <x:v>验证房管踢人操作留痕</x:v>
      </x:c>
      <x:c r="H232" s="5" t="str">
        <x:v>房管踢人记录</x:v>
      </x:c>
      <x:c r="I232" s="5" t="str">
        <x:v>1. 房管和目标用户均在当前直播间</x:v>
      </x:c>
      <x:c r="J232" s="5" t="str">
        <x:v>1. 房管打开目标用户资料卡
2. 点击“踢出直播间”
3. 在确认提示中点击确认
4. 目标用户再次尝试进入当前场次</x:v>
      </x:c>
      <x:c r="K232" s="5" t="str">
        <x:v>系统保留房管、目标用户、场次和操作时间记录</x:v>
      </x:c>
      <x:c r="L232" s="5" t="str"/>
      <x:c r="M232" s="5" t="str">
        <x:v>未测</x:v>
      </x:c>
      <x:c r="N232" s="5" t="str"/>
      <x:c r="O232" s="5" t="str">
        <x:v>1. 来源：context/系统概要 .md（当前全局业务规则）
2. 来源：prototype/assets/annotations.js
3. 追溯：业务底稿 LIVE-045。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233" ht="141" customHeight="1">
      <x:c r="A233" s="5" t="n">
        <x:v>232</x:v>
      </x:c>
      <x:c r="B233" s="5" t="str">
        <x:v>LIVE-232</x:v>
      </x:c>
      <x:c r="C233" s="5" t="str">
        <x:v>用户App-直播模块</x:v>
      </x:c>
      <x:c r="D233" s="5" t="str">
        <x:v>主播连麦</x:v>
      </x:c>
      <x:c r="E233" s="5" t="str">
        <x:v>业务流程</x:v>
      </x:c>
      <x:c r="F233" s="5" t="str">
        <x:v>P1</x:v>
      </x:c>
      <x:c r="G233" s="5" t="str">
        <x:v>验证受邀主播接受后建立两人连麦</x:v>
      </x:c>
      <x:c r="H233" s="5" t="str">
        <x:v>两人连麦关系</x:v>
      </x:c>
      <x:c r="I233" s="5" t="str">
        <x:v>1. 主播 B 存在主播 A 发出的有效邀请
2. 双方仍在普通房且在线</x:v>
      </x:c>
      <x:c r="J233" s="5" t="str">
        <x:v>1. 主播 B 打开连麦邀请
2. 点击接受</x:v>
      </x:c>
      <x:c r="K233" s="5" t="str">
        <x:v>系统建立主播 A 与主播 B 的两人连麦关系，参与主播数量为 2</x:v>
      </x:c>
      <x:c r="L233" s="5" t="str">
        <x:v>FLOW-LIVE-005</x:v>
      </x:c>
      <x:c r="M233" s="5" t="str">
        <x:v>未测</x:v>
      </x:c>
      <x:c r="N233" s="5" t="str"/>
      <x:c r="O233" s="5" t="str">
        <x:v>1. 来源：context/01-用户主播App-项目需求清单.md
2. 来源：context/系统概要 .md（当前全局业务规则）
3. 来源：prototype/assets/annotations.js
4. 追溯：业务底稿 LIVE-089。
5. 流程：阶段 03：双方建立连麦关系；共同业务对象：COHOST-SESSION-01。
6. 共同业务对象：同一主播连麦会话
7. 流程阶段：两人连麦关系
8. 同步追溯：work/liveshow-user-live-testcases-260831-004/prototype-context-sync-result.json；RSL-0002、RSL-0003
9. 全局证据追溯：work/liveshow-user-live-testcases-260831-004/global-evidence-scan-result.json；扫描模式 incremental</x:v>
      </x:c>
    </x:row>
    <x:row r="234" ht="141" customHeight="1">
      <x:c r="A234" s="5" t="n">
        <x:v>233</x:v>
      </x:c>
      <x:c r="B234" s="5" t="str">
        <x:v>LIVE-233</x:v>
      </x:c>
      <x:c r="C234" s="5" t="str">
        <x:v>用户App-直播模块</x:v>
      </x:c>
      <x:c r="D234" s="5" t="str">
        <x:v>主播连麦</x:v>
      </x:c>
      <x:c r="E234" s="5" t="str">
        <x:v>业务流程</x:v>
      </x:c>
      <x:c r="F234" s="5" t="str">
        <x:v>P1</x:v>
      </x:c>
      <x:c r="G234" s="5" t="str">
        <x:v>验证主播 A 进入两人分屏画面</x:v>
      </x:c>
      <x:c r="H234" s="5" t="str">
        <x:v>主播 A 连麦分屏</x:v>
      </x:c>
      <x:c r="I234" s="5" t="str">
        <x:v>1. 主播 B 存在主播 A 发出的有效邀请
2. 双方仍在普通房且在线</x:v>
      </x:c>
      <x:c r="J234" s="5" t="str">
        <x:v>1. 主播 B 接受主播 A 的邀请
2. 查看主播 A 的直播画面</x:v>
      </x:c>
      <x:c r="K234" s="5" t="str">
        <x:v>主播 A 的直播间展示主播 A 与主播 B 的左右分屏画面</x:v>
      </x:c>
      <x:c r="L234" s="5" t="str">
        <x:v>FLOW-LIVE-005</x:v>
      </x:c>
      <x:c r="M234" s="5" t="str">
        <x:v>未测</x:v>
      </x:c>
      <x:c r="N234" s="5" t="str"/>
      <x:c r="O234" s="5" t="str">
        <x:v>1. 来源：context/01-用户主播App-项目需求清单.md
2. 来源：context/系统概要 .md（当前全局业务规则）
3. 来源：prototype/assets/annotations.js
4. 追溯：业务底稿 LIVE-089。
5. 流程：阶段 04：主播 A 进入分屏；共同业务对象：COHOST-SESSION-01。
6. 共同业务对象：同一主播连麦会话
7. 流程阶段：主播 A 连麦分屏
8. 同步追溯：work/liveshow-user-live-testcases-260831-004/prototype-context-sync-result.json；RSL-0002、RSL-0003
9. 全局证据追溯：work/liveshow-user-live-testcases-260831-004/global-evidence-scan-result.json；扫描模式 incremental</x:v>
      </x:c>
    </x:row>
    <x:row r="235" ht="141" customHeight="1">
      <x:c r="A235" s="5" t="n">
        <x:v>234</x:v>
      </x:c>
      <x:c r="B235" s="5" t="str">
        <x:v>LIVE-234</x:v>
      </x:c>
      <x:c r="C235" s="5" t="str">
        <x:v>用户App-直播模块</x:v>
      </x:c>
      <x:c r="D235" s="5" t="str">
        <x:v>主播连麦</x:v>
      </x:c>
      <x:c r="E235" s="5" t="str">
        <x:v>业务流程</x:v>
      </x:c>
      <x:c r="F235" s="5" t="str">
        <x:v>P1</x:v>
      </x:c>
      <x:c r="G235" s="5" t="str">
        <x:v>验证主播 B 进入两人分屏画面</x:v>
      </x:c>
      <x:c r="H235" s="5" t="str">
        <x:v>主播 B 连麦分屏</x:v>
      </x:c>
      <x:c r="I235" s="5" t="str">
        <x:v>1. 主播 B 存在主播 A 发出的有效邀请
2. 双方仍在普通房且在线</x:v>
      </x:c>
      <x:c r="J235" s="5" t="str">
        <x:v>1. 主播 B 接受主播 A 的邀请
2. 查看主播 B 的直播画面</x:v>
      </x:c>
      <x:c r="K235" s="5" t="str">
        <x:v>主播 B 的直播间展示主播 A 与主播 B 的左右分屏画面</x:v>
      </x:c>
      <x:c r="L235" s="5" t="str">
        <x:v>FLOW-LIVE-005</x:v>
      </x:c>
      <x:c r="M235" s="5" t="str">
        <x:v>未测</x:v>
      </x:c>
      <x:c r="N235" s="5" t="str"/>
      <x:c r="O235" s="5" t="str">
        <x:v>1. 来源：context/01-用户主播App-项目需求清单.md
2. 来源：context/系统概要 .md（当前全局业务规则）
3. 来源：prototype/assets/annotations.js
4. 追溯：业务底稿 LIVE-089。
5. 流程：阶段 05：主播 B 进入分屏；共同业务对象：COHOST-SESSION-01。
6. 共同业务对象：同一主播连麦会话
7. 流程阶段：主播 B 连麦分屏
8. 同步追溯：work/liveshow-user-live-testcases-260831-004/prototype-context-sync-result.json；RSL-0002、RSL-0003
9. 全局证据追溯：work/liveshow-user-live-testcases-260831-004/global-evidence-scan-result.json；扫描模式 incremental</x:v>
      </x:c>
    </x:row>
    <x:row r="236" ht="141" customHeight="1">
      <x:c r="A236" s="5" t="n">
        <x:v>235</x:v>
      </x:c>
      <x:c r="B236" s="5" t="str">
        <x:v>LIVE-235</x:v>
      </x:c>
      <x:c r="C236" s="5" t="str">
        <x:v>用户App-直播模块</x:v>
      </x:c>
      <x:c r="D236" s="5" t="str">
        <x:v>主播连麦</x:v>
      </x:c>
      <x:c r="E236" s="5" t="str">
        <x:v>业务流程</x:v>
      </x:c>
      <x:c r="F236" s="5" t="str">
        <x:v>P1</x:v>
      </x:c>
      <x:c r="G236" s="5" t="str">
        <x:v>验证退出连麦后的会话状态</x:v>
      </x:c>
      <x:c r="H236" s="5" t="str">
        <x:v>连麦退出结果</x:v>
      </x:c>
      <x:c r="I236" s="5" t="str">
        <x:v>1. 两位主播正在连麦</x:v>
      </x:c>
      <x:c r="J236" s="5" t="str">
        <x:v>1. 连麦主播点击退出
2. 确认退出
3. 查询连麦关系</x:v>
      </x:c>
      <x:c r="K236" s="5" t="str">
        <x:v>两位主播的连麦关系解除</x:v>
      </x:c>
      <x:c r="L236" s="5" t="str">
        <x:v>FLOW-LIVE-005</x:v>
      </x:c>
      <x:c r="M236" s="5" t="str">
        <x:v>未测</x:v>
      </x:c>
      <x:c r="N236" s="5" t="str"/>
      <x:c r="O236" s="5" t="str">
        <x:v>1. 来源：context/01-用户主播App-项目需求清单.md
2. 来源：context/系统概要 .md（当前全局业务规则）
3. 来源：prototype/assets/annotations.js
4. 追溯：业务底稿 LIVE-090。
5. 流程：阶段 06：解除连麦关系；共同业务对象：COHOST-SESSION-01。
6. 共同业务对象：同一主播连麦会话
7. 流程阶段：连麦退出结果
8. 同步追溯：work/liveshow-user-live-testcases-260831-004/prototype-context-sync-result.json；RSL-0002、RSL-0003
9. 全局证据追溯：work/liveshow-user-live-testcases-260831-004/global-evidence-scan-result.json；扫描模式 incremental</x:v>
      </x:c>
    </x:row>
    <x:row r="237" ht="141" customHeight="1">
      <x:c r="A237" s="5" t="n">
        <x:v>236</x:v>
      </x:c>
      <x:c r="B237" s="5" t="str">
        <x:v>LIVE-236</x:v>
      </x:c>
      <x:c r="C237" s="5" t="str">
        <x:v>用户App-直播模块</x:v>
      </x:c>
      <x:c r="D237" s="5" t="str">
        <x:v>主播连麦</x:v>
      </x:c>
      <x:c r="E237" s="5" t="str">
        <x:v>业务流程</x:v>
      </x:c>
      <x:c r="F237" s="5" t="str">
        <x:v>P1</x:v>
      </x:c>
      <x:c r="G237" s="5" t="str">
        <x:v>验证主播 A 退出连麦后恢复单人画面</x:v>
      </x:c>
      <x:c r="H237" s="5" t="str">
        <x:v>主播 A 单人画面恢复</x:v>
      </x:c>
      <x:c r="I237" s="5" t="str">
        <x:v>1. 两位主播正在连麦</x:v>
      </x:c>
      <x:c r="J237" s="5" t="str">
        <x:v>1. 连麦主播确认退出
2. 查看主播 A 的直播画面</x:v>
      </x:c>
      <x:c r="K237" s="5" t="str">
        <x:v>主播 A 的直播间恢复主播 A 的单人直播画面</x:v>
      </x:c>
      <x:c r="L237" s="5" t="str">
        <x:v>FLOW-LIVE-005</x:v>
      </x:c>
      <x:c r="M237" s="5" t="str">
        <x:v>未测</x:v>
      </x:c>
      <x:c r="N237" s="5" t="str"/>
      <x:c r="O237" s="5" t="str">
        <x:v>1. 来源：context/01-用户主播App-项目需求清单.md
2. 来源：context/系统概要 .md（当前全局业务规则）
3. 来源：prototype/assets/annotations.js
4. 追溯：业务底稿 LIVE-090。
5. 流程：阶段 07：主播 A 恢复单人画面；共同业务对象：COHOST-SESSION-01。
6. 共同业务对象：同一主播连麦会话
7. 流程阶段：主播 A 单人画面恢复
8. 同步追溯：work/liveshow-user-live-testcases-260831-004/prototype-context-sync-result.json；RSL-0002、RSL-0003
9. 全局证据追溯：work/liveshow-user-live-testcases-260831-004/global-evidence-scan-result.json；扫描模式 incremental</x:v>
      </x:c>
    </x:row>
    <x:row r="238" ht="141" customHeight="1">
      <x:c r="A238" s="5" t="n">
        <x:v>237</x:v>
      </x:c>
      <x:c r="B238" s="5" t="str">
        <x:v>LIVE-237</x:v>
      </x:c>
      <x:c r="C238" s="5" t="str">
        <x:v>用户App-直播模块</x:v>
      </x:c>
      <x:c r="D238" s="5" t="str">
        <x:v>主播连麦</x:v>
      </x:c>
      <x:c r="E238" s="5" t="str">
        <x:v>业务流程</x:v>
      </x:c>
      <x:c r="F238" s="5" t="str">
        <x:v>P1</x:v>
      </x:c>
      <x:c r="G238" s="5" t="str">
        <x:v>验证主播 B 退出连麦后恢复单人画面</x:v>
      </x:c>
      <x:c r="H238" s="5" t="str">
        <x:v>主播 B 单人画面恢复</x:v>
      </x:c>
      <x:c r="I238" s="5" t="str">
        <x:v>1. 两位主播正在连麦</x:v>
      </x:c>
      <x:c r="J238" s="5" t="str">
        <x:v>1. 连麦主播确认退出
2. 查看主播 B 的直播画面</x:v>
      </x:c>
      <x:c r="K238" s="5" t="str">
        <x:v>主播 B 的直播间恢复主播 B 的单人直播画面</x:v>
      </x:c>
      <x:c r="L238" s="5" t="str">
        <x:v>FLOW-LIVE-005</x:v>
      </x:c>
      <x:c r="M238" s="5" t="str">
        <x:v>未测</x:v>
      </x:c>
      <x:c r="N238" s="5" t="str"/>
      <x:c r="O238" s="5" t="str">
        <x:v>1. 来源：context/01-用户主播App-项目需求清单.md
2. 来源：context/系统概要 .md（当前全局业务规则）
3. 来源：prototype/assets/annotations.js
4. 追溯：业务底稿 LIVE-090。
5. 流程：阶段 08：主播 B 恢复单人画面；共同业务对象：COHOST-SESSION-01。
6. 共同业务对象：同一主播连麦会话
7. 流程阶段：主播 B 单人画面恢复
8. 同步追溯：work/liveshow-user-live-testcases-260831-004/prototype-context-sync-result.json；RSL-0002、RSL-0003
9. 全局证据追溯：work/liveshow-user-live-testcases-260831-004/global-evidence-scan-result.json；扫描模式 incremental</x:v>
      </x:c>
    </x:row>
    <x:row r="239" ht="141" customHeight="1">
      <x:c r="A239" s="5" t="n">
        <x:v>238</x:v>
      </x:c>
      <x:c r="B239" s="5" t="str">
        <x:v>LIVE-238</x:v>
      </x:c>
      <x:c r="C239" s="5" t="str">
        <x:v>用户App-直播模块</x:v>
      </x:c>
      <x:c r="D239" s="5" t="str">
        <x:v>主播连麦</x:v>
      </x:c>
      <x:c r="E239" s="5" t="str">
        <x:v>业务流程</x:v>
      </x:c>
      <x:c r="F239" s="5" t="str">
        <x:v>P1</x:v>
      </x:c>
      <x:c r="G239" s="5" t="str">
        <x:v>验证退出连麦后恢复连麦入口</x:v>
      </x:c>
      <x:c r="H239" s="5" t="str">
        <x:v>连麦入口恢复</x:v>
      </x:c>
      <x:c r="I239" s="5" t="str">
        <x:v>1. 两位主播正在连麦</x:v>
      </x:c>
      <x:c r="J239" s="5" t="str">
        <x:v>1. 连麦主播确认退出
2. 查看普通房连麦入口</x:v>
      </x:c>
      <x:c r="K239" s="5" t="str">
        <x:v>普通房恢复可用的连麦入口</x:v>
      </x:c>
      <x:c r="L239" s="5" t="str">
        <x:v>FLOW-LIVE-005</x:v>
      </x:c>
      <x:c r="M239" s="5" t="str">
        <x:v>未测</x:v>
      </x:c>
      <x:c r="N239" s="5" t="str"/>
      <x:c r="O239" s="5" t="str">
        <x:v>1. 来源：context/01-用户主播App-项目需求清单.md
2. 来源：context/系统概要 .md（当前全局业务规则）
3. 来源：prototype/assets/annotations.js
4. 追溯：业务底稿 LIVE-090。
5. 流程：阶段 09：恢复普通房连麦入口；共同业务对象：COHOST-SESSION-01。
6. 共同业务对象：同一主播连麦会话
7. 流程阶段：连麦入口恢复
8. 同步追溯：work/liveshow-user-live-testcases-260831-004/prototype-context-sync-result.json；RSL-0002、RSL-0003
9. 全局证据追溯：work/liveshow-user-live-testcases-260831-004/global-evidence-scan-result.json；扫描模式 incremental</x:v>
      </x:c>
    </x:row>
    <x:row r="240" ht="141" customHeight="1">
      <x:c r="A240" s="5" t="n">
        <x:v>239</x:v>
      </x:c>
      <x:c r="B240" s="5" t="str">
        <x:v>LIVE-239</x:v>
      </x:c>
      <x:c r="C240" s="5" t="str">
        <x:v>用户App-直播模块</x:v>
      </x:c>
      <x:c r="D240" s="5" t="str">
        <x:v>主播连麦</x:v>
      </x:c>
      <x:c r="E240" s="5" t="str">
        <x:v>业务流程</x:v>
      </x:c>
      <x:c r="F240" s="5" t="str">
        <x:v>P1</x:v>
      </x:c>
      <x:c r="G240" s="5" t="str">
        <x:v>验证退出连麦不结束双方直播场次</x:v>
      </x:c>
      <x:c r="H240" s="5" t="str">
        <x:v>连麦退出场次状态</x:v>
      </x:c>
      <x:c r="I240" s="5" t="str">
        <x:v>1. 两位主播正在连麦</x:v>
      </x:c>
      <x:c r="J240" s="5" t="str">
        <x:v>1. 连麦主播确认退出
2. 查看主播 A 和主播 B 的直播场次状态</x:v>
      </x:c>
      <x:c r="K240" s="5" t="str">
        <x:v>两场直播均保持进行中</x:v>
      </x:c>
      <x:c r="L240" s="5" t="str">
        <x:v>FLOW-LIVE-005</x:v>
      </x:c>
      <x:c r="M240" s="5" t="str">
        <x:v>未测</x:v>
      </x:c>
      <x:c r="N240" s="5" t="str"/>
      <x:c r="O240" s="5" t="str">
        <x:v>1. 来源：context/01-用户主播App-项目需求清单.md
2. 来源：context/系统概要 .md（当前全局业务规则）
3. 来源：prototype/assets/annotations.js
4. 追溯：业务底稿 LIVE-090。
5. 流程：阶段 10：双方直播场次继续；共同业务对象：COHOST-SESSION-01。
6. 共同业务对象：同一主播连麦会话
7. 流程阶段：连麦退出场次状态
8. 同步追溯：work/liveshow-user-live-testcases-260831-004/prototype-context-sync-result.json；RSL-0002、RSL-0003
9. 全局证据追溯：work/liveshow-user-live-testcases-260831-004/global-evidence-scan-result.json；扫描模式 incremental</x:v>
      </x:c>
    </x:row>
    <x:row r="241" ht="127.5" customHeight="1">
      <x:c r="A241" s="5" t="n">
        <x:v>240</x:v>
      </x:c>
      <x:c r="B241" s="5" t="str">
        <x:v>LIVE-240</x:v>
      </x:c>
      <x:c r="C241" s="5" t="str">
        <x:v>用户App-直播模块</x:v>
      </x:c>
      <x:c r="D241" s="5" t="str">
        <x:v>主播连麦</x:v>
      </x:c>
      <x:c r="E241" s="5" t="str">
        <x:v>逻辑校验</x:v>
      </x:c>
      <x:c r="F241" s="5" t="str">
        <x:v>P1</x:v>
      </x:c>
      <x:c r="G241" s="5" t="str">
        <x:v>验证门票房不提供可用连麦入口</x:v>
      </x:c>
      <x:c r="H241" s="5" t="str">
        <x:v>门票房连麦入口限制</x:v>
      </x:c>
      <x:c r="I241" s="5" t="str">
        <x:v>1. 主播正在门票房直播</x:v>
      </x:c>
      <x:c r="J241" s="5" t="str">
        <x:v>1. 进入门票房主播端
2. 查看连麦入口</x:v>
      </x:c>
      <x:c r="K241" s="5" t="str">
        <x:v>门票房不提供可用的连麦入口</x:v>
      </x:c>
      <x:c r="L241" s="5" t="str"/>
      <x:c r="M241" s="5" t="str">
        <x:v>未测</x:v>
      </x:c>
      <x:c r="N241" s="5" t="str"/>
      <x:c r="O241" s="5" t="str">
        <x:v>1. 来源：context/01-用户主播App-项目需求清单.md
2. 来源：context/系统概要 .md（当前全局业务规则）
3. 来源：prototype/assets/annotations.js
4. 追溯：业务底稿 LIVE-091。
5. 质量修正：按 RCL-0018 执行最小前置条件和单分支检查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242" ht="139.5" customHeight="1">
      <x:c r="A242" s="5" t="n">
        <x:v>241</x:v>
      </x:c>
      <x:c r="B242" s="5" t="str">
        <x:v>LIVE-241</x:v>
      </x:c>
      <x:c r="C242" s="5" t="str">
        <x:v>用户App-直播模块</x:v>
      </x:c>
      <x:c r="D242" s="5" t="str">
        <x:v>主播连麦</x:v>
      </x:c>
      <x:c r="E242" s="5" t="str">
        <x:v>逻辑校验</x:v>
      </x:c>
      <x:c r="F242" s="5" t="str">
        <x:v>P1</x:v>
      </x:c>
      <x:c r="G242" s="5" t="str">
        <x:v>验证密码房 PK 按钮置灰</x:v>
      </x:c>
      <x:c r="H242" s="5" t="str">
        <x:v>密码房 PK 按钮状态</x:v>
      </x:c>
      <x:c r="I242" s="5" t="str">
        <x:v>1. 主播正在密码房直播</x:v>
      </x:c>
      <x:c r="J242" s="5" t="str">
        <x:v>1. 进入密码房主播端
2. 查看“PK”入口</x:v>
      </x:c>
      <x:c r="K242" s="5" t="str">
        <x:v>密码房保留置灰且不可用的“PK”按钮</x:v>
      </x:c>
      <x:c r="L242" s="5" t="str"/>
      <x:c r="M242" s="5" t="str">
        <x:v>未测</x:v>
      </x:c>
      <x:c r="N242" s="5" t="str"/>
      <x:c r="O242" s="5" t="str">
        <x:v>1. 来源：context/01-用户主播App-项目需求清单.md
2. 来源：context/系统概要 .md（当前全局业务规则）
3. 来源：prototype/assets/annotations.js
4. 追溯：业务底稿 LIVE-091。
5. 质量修正：按 RCL-0018 执行最小前置条件和单分支检查
6. 同步追溯：work/liveshow-user-live-testcases-260831-004/prototype-context-sync-result.json；RSL-0002、RSL-0003
7. 全局证据追溯：work/liveshow-user-live-testcases-260831-004/global-evidence-scan-result.json；扫描模式 incremental
8. 命名修复：补充页面、状态或动作，消除重复标题和重复验证点名称；业务步骤与预期结果未变</x:v>
      </x:c>
    </x:row>
    <x:row r="243" ht="115.5" customHeight="1">
      <x:c r="A243" s="5" t="n">
        <x:v>242</x:v>
      </x:c>
      <x:c r="B243" s="5" t="str">
        <x:v>LIVE-242</x:v>
      </x:c>
      <x:c r="C243" s="5" t="str">
        <x:v>用户App-直播模块</x:v>
      </x:c>
      <x:c r="D243" s="5" t="str">
        <x:v>主播连麦</x:v>
      </x:c>
      <x:c r="E243" s="5" t="str">
        <x:v>逻辑校验</x:v>
      </x:c>
      <x:c r="F243" s="5" t="str">
        <x:v>P1</x:v>
      </x:c>
      <x:c r="G243" s="5" t="str">
        <x:v>验证两人连麦中不能加入第三位主播</x:v>
      </x:c>
      <x:c r="H243" s="5" t="str">
        <x:v>连麦人数上限</x:v>
      </x:c>
      <x:c r="I243" s="5" t="str">
        <x:v>1. 主播 A 与主播 B 正在普通房连麦
2. 主播 C 在线且具备连麦权限</x:v>
      </x:c>
      <x:c r="J243" s="5" t="str">
        <x:v>1. 尝试邀请主播 C 加入当前连麦</x:v>
      </x:c>
      <x:c r="K243" s="5" t="str">
        <x:v>两人连麦状态下第三位主播不得加入当前连麦</x:v>
      </x:c>
      <x:c r="L243" s="5" t="str"/>
      <x:c r="M243" s="5" t="str">
        <x:v>未测</x:v>
      </x:c>
      <x:c r="N243" s="5" t="str"/>
      <x:c r="O243" s="5" t="str">
        <x:v>1. 来源：context/01-用户主播App-项目需求清单.md
2. 来源：context/系统概要 .md（当前全局业务规则）
3. 来源：prototype/assets/annotations.js
4. 追溯：业务底稿 LIVE-092。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244" ht="115.5" customHeight="1">
      <x:c r="A244" s="5" t="n">
        <x:v>243</x:v>
      </x:c>
      <x:c r="B244" s="5" t="str">
        <x:v>LIVE-243</x:v>
      </x:c>
      <x:c r="C244" s="5" t="str">
        <x:v>用户App-直播模块</x:v>
      </x:c>
      <x:c r="D244" s="5" t="str">
        <x:v>主播连麦</x:v>
      </x:c>
      <x:c r="E244" s="5" t="str">
        <x:v>功能需求</x:v>
      </x:c>
      <x:c r="F244" s="5" t="str">
        <x:v>P1</x:v>
      </x:c>
      <x:c r="G244" s="5" t="str">
        <x:v>验证按 ID 或昵称筛选收到的连麦邀请</x:v>
      </x:c>
      <x:c r="H244" s="5" t="str">
        <x:v>收到的邀请筛选</x:v>
      </x:c>
      <x:c r="I244" s="5" t="str">
        <x:v>1. 主播正在普通房直播
2. 目标主播在线且具备连麦权限</x:v>
      </x:c>
      <x:c r="J244" s="5" t="str">
        <x:v>1. 打开“连麦主播”面板
2. 输入已收到邀请的主播 ID
3. 改为输入该主播昵称</x:v>
      </x:c>
      <x:c r="K244" s="5" t="str">
        <x:v>两种搜索方式均只展示与目标主播匹配的已收到邀请</x:v>
      </x:c>
      <x:c r="L244" s="5" t="str"/>
      <x:c r="M244" s="5" t="str">
        <x:v>未测</x:v>
      </x:c>
      <x:c r="N244" s="5" t="str"/>
      <x:c r="O244" s="5" t="str">
        <x:v>1. 来源：context/01-用户主播App-项目需求清单.md
2. 来源：prototype/assets/annotations.js
3. 来源：对应 HTML 静态原型；未动态验证
4. 追溯：业务底稿 LIVE-105。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245" ht="103.5" customHeight="1">
      <x:c r="A245" s="5" t="n">
        <x:v>244</x:v>
      </x:c>
      <x:c r="B245" s="5" t="str">
        <x:v>LIVE-244</x:v>
      </x:c>
      <x:c r="C245" s="5" t="str">
        <x:v>用户App-直播模块</x:v>
      </x:c>
      <x:c r="D245" s="5" t="str">
        <x:v>主播连麦</x:v>
      </x:c>
      <x:c r="E245" s="5" t="str">
        <x:v>逻辑校验</x:v>
      </x:c>
      <x:c r="F245" s="5" t="str">
        <x:v>P1</x:v>
      </x:c>
      <x:c r="G245" s="5" t="str">
        <x:v>验证被邀请主播可同时收到多条连麦邀请</x:v>
      </x:c>
      <x:c r="H245" s="5" t="str">
        <x:v>多条收到邀请</x:v>
      </x:c>
      <x:c r="I245" s="5" t="str">
        <x:v>1. 主播 B 正在普通房直播且未连麦
2. 主播 A 和主播 C 均满足连麦条件</x:v>
      </x:c>
      <x:c r="J245" s="5" t="str">
        <x:v>1. 由主播 A 向主播 B 发起邀请
2. 由主播 C 向主播 B 发起邀请
3. 查看主播 B 的收到邀请列表</x:v>
      </x:c>
      <x:c r="K245" s="5" t="str">
        <x:v>“收到的邀请”列表同时展示多条待处理连麦邀请</x:v>
      </x:c>
      <x:c r="L245" s="5" t="str"/>
      <x:c r="M245" s="5" t="str">
        <x:v>未测</x:v>
      </x:c>
      <x:c r="N245" s="5" t="str"/>
      <x:c r="O245" s="5" t="str">
        <x:v>1. 来源：prototype/assets/annotations.js
2. 来源：对应 HTML 静态原型；未动态验证
3. 追溯：业务底稿 LIVE-107。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246" ht="127.5" customHeight="1">
      <x:c r="A246" s="5" t="n">
        <x:v>245</x:v>
      </x:c>
      <x:c r="B246" s="5" t="str">
        <x:v>LIVE-245</x:v>
      </x:c>
      <x:c r="C246" s="5" t="str">
        <x:v>用户App-直播模块</x:v>
      </x:c>
      <x:c r="D246" s="5" t="str">
        <x:v>主播连麦</x:v>
      </x:c>
      <x:c r="E246" s="5" t="str">
        <x:v>逻辑校验</x:v>
      </x:c>
      <x:c r="F246" s="5" t="str">
        <x:v>P1</x:v>
      </x:c>
      <x:c r="G246" s="5" t="str">
        <x:v>验证点击密码房 PK 按钮的限制提示</x:v>
      </x:c>
      <x:c r="H246" s="5" t="str">
        <x:v>密码房 PK 点击提示</x:v>
      </x:c>
      <x:c r="I246" s="5" t="str">
        <x:v>1. 主播正在密码房直播</x:v>
      </x:c>
      <x:c r="J246" s="5" t="str">
        <x:v>1. 点击 PK 入口</x:v>
      </x:c>
      <x:c r="K246" s="5" t="str">
        <x:v>点击密码房的“PK”按钮后提示“密码房无法发起连麦”</x:v>
      </x:c>
      <x:c r="L246" s="5" t="str"/>
      <x:c r="M246" s="5" t="str">
        <x:v>未测</x:v>
      </x:c>
      <x:c r="N246" s="5" t="str"/>
      <x:c r="O246" s="5" t="str">
        <x:v>1. 来源：context/01-用户主播App-项目需求清单.md
2. 来源：prototype/assets/annotations.js
3. 来源：对应 HTML 静态原型；未动态验证
4. 追溯：业务底稿 LIVE-109。
5. 同步追溯：work/liveshow-user-live-testcases-260831-004/prototype-context-sync-result.json；RSL-0002、RSL-0003
6. 全局证据追溯：work/liveshow-user-live-testcases-260831-004/global-evidence-scan-result.json；扫描模式 incremental
7. 命名修复：补充页面、状态或动作，消除重复标题和重复验证点名称；业务步骤与预期结果未变</x:v>
      </x:c>
    </x:row>
    <x:row r="247" ht="103.5" customHeight="1">
      <x:c r="A247" s="5" t="n">
        <x:v>246</x:v>
      </x:c>
      <x:c r="B247" s="5" t="str">
        <x:v>LIVE-246</x:v>
      </x:c>
      <x:c r="C247" s="5" t="str">
        <x:v>用户App-直播模块</x:v>
      </x:c>
      <x:c r="D247" s="5" t="str">
        <x:v>主播连麦</x:v>
      </x:c>
      <x:c r="E247" s="5" t="str">
        <x:v>逻辑校验</x:v>
      </x:c>
      <x:c r="F247" s="5" t="str">
        <x:v>P2</x:v>
      </x:c>
      <x:c r="G247" s="5" t="str">
        <x:v>验证连麦中房间密码入口不可用</x:v>
      </x:c>
      <x:c r="H247" s="5" t="str">
        <x:v>连麦中密码入口限制</x:v>
      </x:c>
      <x:c r="I247" s="5" t="str">
        <x:v>1. 主播正在普通房两人连麦中</x:v>
      </x:c>
      <x:c r="J247" s="5" t="str">
        <x:v>1. 打开直播设置
2. 查看并点击房间密码入口</x:v>
      </x:c>
      <x:c r="K247" s="5" t="str">
        <x:v>连麦中的房间密码入口置灰</x:v>
      </x:c>
      <x:c r="L247" s="5" t="str"/>
      <x:c r="M247" s="5" t="str">
        <x:v>未测</x:v>
      </x:c>
      <x:c r="N247" s="5" t="str"/>
      <x:c r="O247" s="5" t="str">
        <x:v>1. 来源：prototype/assets/annotations.js
2. 来源：对应 HTML 静态原型；未动态验证
3. 追溯：业务底稿 LIVE-110。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248" ht="127.5" customHeight="1">
      <x:c r="A248" s="5" t="n">
        <x:v>247</x:v>
      </x:c>
      <x:c r="B248" s="5" t="str">
        <x:v>LIVE-247</x:v>
      </x:c>
      <x:c r="C248" s="5" t="str">
        <x:v>用户App-直播模块</x:v>
      </x:c>
      <x:c r="D248" s="5" t="str">
        <x:v>主播连麦</x:v>
      </x:c>
      <x:c r="E248" s="5" t="str">
        <x:v>功能需求</x:v>
      </x:c>
      <x:c r="F248" s="5" t="str">
        <x:v>P2</x:v>
      </x:c>
      <x:c r="G248" s="5" t="str">
        <x:v>验证接受连麦邀请成功反馈</x:v>
      </x:c>
      <x:c r="H248" s="5" t="str">
        <x:v>接受连麦邀请反馈</x:v>
      </x:c>
      <x:c r="I248" s="5" t="str">
        <x:v>1. 主播收到 Nadia 的有效连麦邀请
2. 双方均在普通房直播</x:v>
      </x:c>
      <x:c r="J248" s="5" t="str">
        <x:v>1. 打开连麦主播面板
2. 在 Nadia 的邀请中点击“接受”</x:v>
      </x:c>
      <x:c r="K248" s="5" t="str">
        <x:v>页面提示“已接受 Nadia 的连麦邀请”</x:v>
      </x:c>
      <x:c r="L248" s="5" t="str">
        <x:v>FLOW-LIVE-005</x:v>
      </x:c>
      <x:c r="M248" s="5" t="str">
        <x:v>未测</x:v>
      </x:c>
      <x:c r="N248" s="5" t="str"/>
      <x:c r="O248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流程阶段：接受连麦邀请反馈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249" ht="127.5" customHeight="1">
      <x:c r="A249" s="5" t="n">
        <x:v>248</x:v>
      </x:c>
      <x:c r="B249" s="5" t="str">
        <x:v>LIVE-248</x:v>
      </x:c>
      <x:c r="C249" s="5" t="str">
        <x:v>用户App-直播模块</x:v>
      </x:c>
      <x:c r="D249" s="5" t="str">
        <x:v>主播连麦</x:v>
      </x:c>
      <x:c r="E249" s="5" t="str">
        <x:v>业务流程</x:v>
      </x:c>
      <x:c r="F249" s="5" t="str">
        <x:v>P1</x:v>
      </x:c>
      <x:c r="G249" s="5" t="str">
        <x:v>验证拒绝后关闭目标连麦邀请</x:v>
      </x:c>
      <x:c r="H249" s="5" t="str">
        <x:v>拒绝连麦邀请状态</x:v>
      </x:c>
      <x:c r="I249" s="5" t="str">
        <x:v>1. 主播收到 Lina 的有效连麦邀请
2. 双方均在普通房直播</x:v>
      </x:c>
      <x:c r="J249" s="5" t="str">
        <x:v>1. 打开连麦主播面板
2. 在 Lina 的邀请中点击“拒绝”</x:v>
      </x:c>
      <x:c r="K249" s="5" t="str">
        <x:v>Lina 的邀请从收到的邀请列表中移除</x:v>
      </x:c>
      <x:c r="L249" s="5" t="str">
        <x:v>FLOW-LIVE-005</x:v>
      </x:c>
      <x:c r="M249" s="5" t="str">
        <x:v>未测</x:v>
      </x:c>
      <x:c r="N249" s="5" t="str"/>
      <x:c r="O249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流程阶段：拒绝连麦邀请状态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250" ht="127.5" customHeight="1">
      <x:c r="A250" s="5" t="n">
        <x:v>249</x:v>
      </x:c>
      <x:c r="B250" s="5" t="str">
        <x:v>LIVE-249</x:v>
      </x:c>
      <x:c r="C250" s="5" t="str">
        <x:v>用户App-直播模块</x:v>
      </x:c>
      <x:c r="D250" s="5" t="str">
        <x:v>主播连麦</x:v>
      </x:c>
      <x:c r="E250" s="5" t="str">
        <x:v>业务流程</x:v>
      </x:c>
      <x:c r="F250" s="5" t="str">
        <x:v>P1</x:v>
      </x:c>
      <x:c r="G250" s="5" t="str">
        <x:v>验证拒绝后不建立连麦关系</x:v>
      </x:c>
      <x:c r="H250" s="5" t="str">
        <x:v>拒绝连麦关系结果</x:v>
      </x:c>
      <x:c r="I250" s="5" t="str">
        <x:v>1. 主播收到 Lina 的有效连麦邀请
2. 双方均在普通房直播</x:v>
      </x:c>
      <x:c r="J250" s="5" t="str">
        <x:v>1. 打开连麦主播面板
2. 在 Lina 的邀请中点击“拒绝”</x:v>
      </x:c>
      <x:c r="K250" s="5" t="str">
        <x:v>当前主播与 Lina 不建立连麦关系</x:v>
      </x:c>
      <x:c r="L250" s="5" t="str">
        <x:v>FLOW-LIVE-005</x:v>
      </x:c>
      <x:c r="M250" s="5" t="str">
        <x:v>未测</x:v>
      </x:c>
      <x:c r="N250" s="5" t="str"/>
      <x:c r="O250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流程阶段：拒绝连麦关系结果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251" ht="127.5" customHeight="1">
      <x:c r="A251" s="5" t="n">
        <x:v>250</x:v>
      </x:c>
      <x:c r="B251" s="5" t="str">
        <x:v>LIVE-250</x:v>
      </x:c>
      <x:c r="C251" s="5" t="str">
        <x:v>用户App-直播模块</x:v>
      </x:c>
      <x:c r="D251" s="5" t="str">
        <x:v>主播连麦</x:v>
      </x:c>
      <x:c r="E251" s="5" t="str">
        <x:v>功能需求</x:v>
      </x:c>
      <x:c r="F251" s="5" t="str">
        <x:v>P2</x:v>
      </x:c>
      <x:c r="G251" s="5" t="str">
        <x:v>验证拒绝连麦邀请成功反馈</x:v>
      </x:c>
      <x:c r="H251" s="5" t="str">
        <x:v>拒绝连麦邀请反馈</x:v>
      </x:c>
      <x:c r="I251" s="5" t="str">
        <x:v>1. 主播收到 Lina 的有效连麦邀请
2. 双方均在普通房直播</x:v>
      </x:c>
      <x:c r="J251" s="5" t="str">
        <x:v>1. 打开连麦主播面板
2. 在 Lina 的邀请中点击“拒绝”</x:v>
      </x:c>
      <x:c r="K251" s="5" t="str">
        <x:v>页面提示“已拒绝 Lina 的连麦邀请”</x:v>
      </x:c>
      <x:c r="L251" s="5" t="str">
        <x:v>FLOW-LIVE-005</x:v>
      </x:c>
      <x:c r="M251" s="5" t="str">
        <x:v>未测</x:v>
      </x:c>
      <x:c r="N251" s="5" t="str"/>
      <x:c r="O251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流程阶段：拒绝连麦邀请反馈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252" ht="127.5" customHeight="1">
      <x:c r="A252" s="5" t="n">
        <x:v>251</x:v>
      </x:c>
      <x:c r="B252" s="5" t="str">
        <x:v>LIVE-251</x:v>
      </x:c>
      <x:c r="C252" s="5" t="str">
        <x:v>用户App-直播模块</x:v>
      </x:c>
      <x:c r="D252" s="5" t="str">
        <x:v>主播连麦</x:v>
      </x:c>
      <x:c r="E252" s="5" t="str">
        <x:v>功能需求</x:v>
      </x:c>
      <x:c r="F252" s="5" t="str">
        <x:v>P2</x:v>
      </x:c>
      <x:c r="G252" s="5" t="str">
        <x:v>验证退出连麦成功反馈</x:v>
      </x:c>
      <x:c r="H252" s="5" t="str">
        <x:v>退出连麦反馈</x:v>
      </x:c>
      <x:c r="I252" s="5" t="str">
        <x:v>1. 两位主播正在连麦</x:v>
      </x:c>
      <x:c r="J252" s="5" t="str">
        <x:v>1. 点击“退出”
2. 在确认提示中点击“确认退出”</x:v>
      </x:c>
      <x:c r="K252" s="5" t="str">
        <x:v>页面提示“已退出连麦”</x:v>
      </x:c>
      <x:c r="L252" s="5" t="str">
        <x:v>FLOW-LIVE-005</x:v>
      </x:c>
      <x:c r="M252" s="5" t="str">
        <x:v>未测</x:v>
      </x:c>
      <x:c r="N252" s="5" t="str"/>
      <x:c r="O252" s="5" t="str">
        <x:v>1. 来源：prototype/assets/common.js 动态交互脚本
2. 静态分析已确认事件绑定；未在浏览器动态验证
3. 补充原因：业务结果完整性扫描发现独立反馈观察点未覆盖
4. 共同业务对象：同一主播连麦会话
5. 流程阶段：退出连麦反馈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253" ht="115.5" customHeight="1">
      <x:c r="A253" s="5" t="n">
        <x:v>252</x:v>
      </x:c>
      <x:c r="B253" s="5" t="str">
        <x:v>LIVE-252</x:v>
      </x:c>
      <x:c r="C253" s="5" t="str">
        <x:v>用户App-直播模块</x:v>
      </x:c>
      <x:c r="D253" s="5" t="str">
        <x:v>主播连麦</x:v>
      </x:c>
      <x:c r="E253" s="5" t="str">
        <x:v>功能需求</x:v>
      </x:c>
      <x:c r="F253" s="5" t="str">
        <x:v>P1</x:v>
      </x:c>
      <x:c r="G253" s="5" t="str">
        <x:v>验证普通房 PK 入口打开连麦面板</x:v>
      </x:c>
      <x:c r="H253" s="5" t="str">
        <x:v>PK 入口打开连麦</x:v>
      </x:c>
      <x:c r="I253" s="5" t="str">
        <x:v>1. 主播正在普通房直播</x:v>
      </x:c>
      <x:c r="J253" s="5" t="str">
        <x:v>1. 点击“PK”</x:v>
      </x:c>
      <x:c r="K253" s="5" t="str">
        <x:v>页面打开标题为“连麦主播”的面板</x:v>
      </x:c>
      <x:c r="L253" s="5" t="str"/>
      <x:c r="M253" s="5" t="str">
        <x:v>未测</x:v>
      </x:c>
      <x:c r="N253" s="5" t="str"/>
      <x:c r="O253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254" ht="115.5" customHeight="1">
      <x:c r="A254" s="5" t="n">
        <x:v>253</x:v>
      </x:c>
      <x:c r="B254" s="5" t="str">
        <x:v>LIVE-253</x:v>
      </x:c>
      <x:c r="C254" s="5" t="str">
        <x:v>用户App-直播模块</x:v>
      </x:c>
      <x:c r="D254" s="5" t="str">
        <x:v>主播连麦</x:v>
      </x:c>
      <x:c r="E254" s="5" t="str">
        <x:v>功能需求</x:v>
      </x:c>
      <x:c r="F254" s="5" t="str">
        <x:v>P1</x:v>
      </x:c>
      <x:c r="G254" s="5" t="str">
        <x:v>验证连麦面板仅展示收到的邀请</x:v>
      </x:c>
      <x:c r="H254" s="5" t="str">
        <x:v>连麦面板当前范围</x:v>
      </x:c>
      <x:c r="I254" s="5" t="str">
        <x:v>1. “连麦主播”面板已打开</x:v>
      </x:c>
      <x:c r="J254" s="5" t="str">
        <x:v>1. 查看面板内容</x:v>
      </x:c>
      <x:c r="K254" s="5" t="str">
        <x:v>面板只展示“收到的邀请”列表</x:v>
      </x:c>
      <x:c r="L254" s="5" t="str"/>
      <x:c r="M254" s="5" t="str">
        <x:v>未测</x:v>
      </x:c>
      <x:c r="N254" s="5" t="str"/>
      <x:c r="O254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255" ht="115.5" customHeight="1">
      <x:c r="A255" s="5" t="n">
        <x:v>254</x:v>
      </x:c>
      <x:c r="B255" s="5" t="str">
        <x:v>LIVE-254</x:v>
      </x:c>
      <x:c r="C255" s="5" t="str">
        <x:v>用户App-直播模块</x:v>
      </x:c>
      <x:c r="D255" s="5" t="str">
        <x:v>主播连麦</x:v>
      </x:c>
      <x:c r="E255" s="5" t="str">
        <x:v>功能需求</x:v>
      </x:c>
      <x:c r="F255" s="5" t="str">
        <x:v>P1</x:v>
      </x:c>
      <x:c r="G255" s="5" t="str">
        <x:v>验证连麦面板不提供主动发起入口</x:v>
      </x:c>
      <x:c r="H255" s="5" t="str">
        <x:v>主动连麦入口缺省</x:v>
      </x:c>
      <x:c r="I255" s="5" t="str">
        <x:v>1. “连麦主播”面板已打开</x:v>
      </x:c>
      <x:c r="J255" s="5" t="str">
        <x:v>1. 查看面板全部操作</x:v>
      </x:c>
      <x:c r="K255" s="5" t="str">
        <x:v>面板不展示主动发起或取消连麦邀请的操作</x:v>
      </x:c>
      <x:c r="L255" s="5" t="str"/>
      <x:c r="M255" s="5" t="str">
        <x:v>未测</x:v>
      </x:c>
      <x:c r="N255" s="5" t="str"/>
      <x:c r="O255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256" ht="91.5" customHeight="1">
      <x:c r="A256" s="5" t="n">
        <x:v>255</x:v>
      </x:c>
      <x:c r="B256" s="5" t="str">
        <x:v>LIVE-255</x:v>
      </x:c>
      <x:c r="C256" s="5" t="str">
        <x:v>用户App-直播模块</x:v>
      </x:c>
      <x:c r="D256" s="5" t="str">
        <x:v>主播连麦</x:v>
      </x:c>
      <x:c r="E256" s="5" t="str">
        <x:v>功能需求</x:v>
      </x:c>
      <x:c r="F256" s="5" t="str">
        <x:v>P2</x:v>
      </x:c>
      <x:c r="G256" s="5" t="str">
        <x:v>验证连麦邀请筛选无结果</x:v>
      </x:c>
      <x:c r="H256" s="5" t="str">
        <x:v>连麦邀请筛选空状态</x:v>
      </x:c>
      <x:c r="I256" s="5" t="str">
        <x:v>1. “连麦主播”面板已打开</x:v>
      </x:c>
      <x:c r="J256" s="5" t="str">
        <x:v>1. 输入与已收到邀请都不匹配的内容</x:v>
      </x:c>
      <x:c r="K256" s="5" t="str">
        <x:v>邀请列表展示“暂无收到的邀请”</x:v>
      </x:c>
      <x:c r="L256" s="5" t="str"/>
      <x:c r="M256" s="5" t="str">
        <x:v>未测</x:v>
      </x:c>
      <x:c r="N256" s="5" t="str"/>
      <x:c r="O256" s="5" t="str">
        <x:v>1. 来源：prototype/pages/user/live/live-room-cohost-active.html 与 prototype/assets/common.js；未动态验证
2. 同步追溯：work/liveshow-user-live-testcases-260831-004/prototype-context-sync-result.json；RSL-0002、RSL-0003
3. 全局证据追溯：work/liveshow-user-live-testcases-260831-004/global-evidence-scan-result.json；扫描模式 incremental</x:v>
      </x:c>
    </x:row>
    <x:row r="257" ht="115.5" customHeight="1">
      <x:c r="A257" s="5" t="n">
        <x:v>256</x:v>
      </x:c>
      <x:c r="B257" s="5" t="str">
        <x:v>LIVE-256</x:v>
      </x:c>
      <x:c r="C257" s="5" t="str">
        <x:v>用户App-直播模块</x:v>
      </x:c>
      <x:c r="D257" s="5" t="str">
        <x:v>主播连麦</x:v>
      </x:c>
      <x:c r="E257" s="5" t="str">
        <x:v>逻辑校验</x:v>
      </x:c>
      <x:c r="F257" s="5" t="str">
        <x:v>P1</x:v>
      </x:c>
      <x:c r="G257" s="5" t="str">
        <x:v>验证门票房不提供可用 PK 入口</x:v>
      </x:c>
      <x:c r="H257" s="5" t="str">
        <x:v>门票房 PK 入口限制</x:v>
      </x:c>
      <x:c r="I257" s="5" t="str">
        <x:v>1. 主播正在门票房直播</x:v>
      </x:c>
      <x:c r="J257" s="5" t="str">
        <x:v>1. 进入门票房主播端
2. 查看 PK 入口</x:v>
      </x:c>
      <x:c r="K257" s="5" t="str">
        <x:v>门票房不提供可用的 PK 入口</x:v>
      </x:c>
      <x:c r="L257" s="5" t="str"/>
      <x:c r="M257" s="5" t="str">
        <x:v>未测</x:v>
      </x:c>
      <x:c r="N257" s="5" t="str"/>
      <x:c r="O257" s="5" t="str">
        <x:v>1. 来源：context/01-用户主播App-项目需求清单.md（2026-08-29 按原型同步，RSL-0002）
2. 来源：prototype/assets/annotations.js
3. 质量修正：按 RCL-0018 执行最小前置条件和单分支检查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258" ht="115.5" customHeight="1">
      <x:c r="A258" s="5" t="n">
        <x:v>257</x:v>
      </x:c>
      <x:c r="B258" s="5" t="str">
        <x:v>LIVE-257</x:v>
      </x:c>
      <x:c r="C258" s="5" t="str">
        <x:v>用户App-直播模块</x:v>
      </x:c>
      <x:c r="D258" s="5" t="str">
        <x:v>主播连麦</x:v>
      </x:c>
      <x:c r="E258" s="5" t="str">
        <x:v>功能需求</x:v>
      </x:c>
      <x:c r="F258" s="5" t="str">
        <x:v>P2</x:v>
      </x:c>
      <x:c r="G258" s="5" t="str">
        <x:v>验证连麦中不打开密码编辑面板</x:v>
      </x:c>
      <x:c r="H258" s="5" t="str">
        <x:v>连麦中密码面板拦截</x:v>
      </x:c>
      <x:c r="I258" s="5" t="str">
        <x:v>1. 主播正在两人连麦
2. 直播设置菜单已打开</x:v>
      </x:c>
      <x:c r="J258" s="5" t="str">
        <x:v>1. 点击置灰的“房间密码”入口</x:v>
      </x:c>
      <x:c r="K258" s="5" t="str">
        <x:v>页面不打开密码编辑面板</x:v>
      </x:c>
      <x:c r="L258" s="5" t="str"/>
      <x:c r="M258" s="5" t="str">
        <x:v>未测</x:v>
      </x:c>
      <x:c r="N258" s="5" t="str"/>
      <x:c r="O258" s="5" t="str">
        <x:v>1. 来源：context/01-用户主播App-项目需求清单.md（2026-08-29 按原型同步，RSL-0002）
2. 来源：prototype/pages/user/live/live-room-cohost-active.html 与 prototype/assets/common.js；未动态验证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259" ht="103.5" customHeight="1">
      <x:c r="A259" s="5" t="n">
        <x:v>258</x:v>
      </x:c>
      <x:c r="B259" s="5" t="str">
        <x:v>LIVE-258</x:v>
      </x:c>
      <x:c r="C259" s="5" t="str">
        <x:v>用户App-直播模块</x:v>
      </x:c>
      <x:c r="D259" s="5" t="str">
        <x:v>结束直播</x:v>
      </x:c>
      <x:c r="E259" s="5" t="str">
        <x:v>功能需求</x:v>
      </x:c>
      <x:c r="F259" s="5" t="str">
        <x:v>P2</x:v>
      </x:c>
      <x:c r="G259" s="5" t="str">
        <x:v>验证主播取消结束直播后继续开播</x:v>
      </x:c>
      <x:c r="H259" s="5" t="str">
        <x:v>取消结束直播</x:v>
      </x:c>
      <x:c r="I259" s="5" t="str">
        <x:v>1. 主播正在直播</x:v>
      </x:c>
      <x:c r="J259" s="5" t="str">
        <x:v>1. 点击结束直播按钮
2. 在确认提示中点击“取消”</x:v>
      </x:c>
      <x:c r="K259" s="5" t="str">
        <x:v>取消结束直播后，当前场次仍保持直播中</x:v>
      </x:c>
      <x:c r="L259" s="5" t="str"/>
      <x:c r="M259" s="5" t="str">
        <x:v>未测</x:v>
      </x:c>
      <x:c r="N259" s="5" t="str"/>
      <x:c r="O259" s="5" t="str">
        <x:v>1. 来源：context/01-用户主播App-项目需求清单.md
2. 来源：对应 HTML 静态原型；未动态验证
3. 追溯：业务底稿 LIVE-083。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260" ht="141" customHeight="1">
      <x:c r="A260" s="5" t="n">
        <x:v>259</x:v>
      </x:c>
      <x:c r="B260" s="5" t="str">
        <x:v>LIVE-259</x:v>
      </x:c>
      <x:c r="C260" s="5" t="str">
        <x:v>用户App-直播模块</x:v>
      </x:c>
      <x:c r="D260" s="5" t="str">
        <x:v>结束直播</x:v>
      </x:c>
      <x:c r="E260" s="5" t="str">
        <x:v>业务流程</x:v>
      </x:c>
      <x:c r="F260" s="5" t="str">
        <x:v>P0</x:v>
      </x:c>
      <x:c r="G260" s="5" t="str">
        <x:v>验证主播结束直播后关闭场次</x:v>
      </x:c>
      <x:c r="H260" s="5" t="str">
        <x:v>直播场次关闭</x:v>
      </x:c>
      <x:c r="I260" s="5" t="str">
        <x:v>1. 主播存在进行中的直播场次
2. 本场已有观看、礼物和涨粉数据</x:v>
      </x:c>
      <x:c r="J260" s="5" t="str">
        <x:v>1. 主播点击结束直播
2. 确认结束
3. 查询本场场次状态</x:v>
      </x:c>
      <x:c r="K260" s="5" t="str">
        <x:v>主播确认结束后，当前直播场次关闭</x:v>
      </x:c>
      <x:c r="L260" s="5" t="str">
        <x:v>FLOW-LIVE-001</x:v>
      </x:c>
      <x:c r="M260" s="5" t="str">
        <x:v>未测</x:v>
      </x:c>
      <x:c r="N260" s="5" t="str"/>
      <x:c r="O260" s="5" t="str">
        <x:v>1. 来源：context/01-用户主播App-项目需求清单.md
2. 来源：context/系统概要 .md（当前全局业务规则）
3. 来源：对应 HTML 静态原型；未动态验证
4. 追溯：业务底稿 LIVE-084。
5. 流程：阶段 04：主播关闭场次；共同业务对象：LIVE-SESSION-N01。
6. 共同业务对象：同一直播场次
7. 流程阶段：直播场次关闭
8. 同步追溯：work/liveshow-user-live-testcases-260831-004/prototype-context-sync-result.json；RSL-0002、RSL-0003
9. 全局证据追溯：work/liveshow-user-live-testcases-260831-004/global-evidence-scan-result.json；扫描模式 incremental</x:v>
      </x:c>
    </x:row>
    <x:row r="261" ht="115.5" customHeight="1">
      <x:c r="A261" s="5" t="n">
        <x:v>260</x:v>
      </x:c>
      <x:c r="B261" s="5" t="str">
        <x:v>LIVE-260</x:v>
      </x:c>
      <x:c r="C261" s="5" t="str">
        <x:v>用户App-直播模块</x:v>
      </x:c>
      <x:c r="D261" s="5" t="str">
        <x:v>结束直播</x:v>
      </x:c>
      <x:c r="E261" s="5" t="str">
        <x:v>业务流程</x:v>
      </x:c>
      <x:c r="F261" s="5" t="str">
        <x:v>P1</x:v>
      </x:c>
      <x:c r="G261" s="5" t="str">
        <x:v>验证主播结束直播后观众进入结束页</x:v>
      </x:c>
      <x:c r="H261" s="5" t="str">
        <x:v>观众端结束页</x:v>
      </x:c>
      <x:c r="I261" s="5" t="str">
        <x:v>1. 主播存在进行中的直播场次
2. 本场已有观看、礼物和涨粉数据</x:v>
      </x:c>
      <x:c r="J261" s="5" t="str">
        <x:v>1. 主播确认结束直播
2. 查看在线观众页面</x:v>
      </x:c>
      <x:c r="K261" s="5" t="str">
        <x:v>在线观众进入观众直播结束页</x:v>
      </x:c>
      <x:c r="L261" s="5" t="str"/>
      <x:c r="M261" s="5" t="str">
        <x:v>未测</x:v>
      </x:c>
      <x:c r="N261" s="5" t="str"/>
      <x:c r="O261" s="5" t="str">
        <x:v>1. 来源：context/01-用户主播App-项目需求清单.md
2. 来源：context/系统概要 .md（当前全局业务规则）
3. 来源：对应 HTML 静态原型；未动态验证
4. 追溯：业务底稿 LIVE-084。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262" ht="115.5" customHeight="1">
      <x:c r="A262" s="5" t="n">
        <x:v>261</x:v>
      </x:c>
      <x:c r="B262" s="5" t="str">
        <x:v>LIVE-261</x:v>
      </x:c>
      <x:c r="C262" s="5" t="str">
        <x:v>用户App-直播模块</x:v>
      </x:c>
      <x:c r="D262" s="5" t="str">
        <x:v>结束直播</x:v>
      </x:c>
      <x:c r="E262" s="5" t="str">
        <x:v>业务流程</x:v>
      </x:c>
      <x:c r="F262" s="5" t="str">
        <x:v>P1</x:v>
      </x:c>
      <x:c r="G262" s="5" t="str">
        <x:v>验证结束直播后的主播端落点</x:v>
      </x:c>
      <x:c r="H262" s="5" t="str">
        <x:v>主播端结束页</x:v>
      </x:c>
      <x:c r="I262" s="5" t="str">
        <x:v>1. 主播存在进行中的直播场次
2. 本场已有观看、礼物和涨粉数据</x:v>
      </x:c>
      <x:c r="J262" s="5" t="str">
        <x:v>1. 主播确认结束直播
2. 查看主播端页面</x:v>
      </x:c>
      <x:c r="K262" s="5" t="str">
        <x:v>主播进入主播直播结束页</x:v>
      </x:c>
      <x:c r="L262" s="5" t="str"/>
      <x:c r="M262" s="5" t="str">
        <x:v>未测</x:v>
      </x:c>
      <x:c r="N262" s="5" t="str"/>
      <x:c r="O262" s="5" t="str">
        <x:v>1. 来源：context/01-用户主播App-项目需求清单.md
2. 来源：context/系统概要 .md（当前全局业务规则）
3. 来源：对应 HTML 静态原型；未动态验证
4. 追溯：业务底稿 LIVE-084。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263" ht="115.5" customHeight="1">
      <x:c r="A263" s="5" t="n">
        <x:v>262</x:v>
      </x:c>
      <x:c r="B263" s="5" t="str">
        <x:v>LIVE-262</x:v>
      </x:c>
      <x:c r="C263" s="5" t="str">
        <x:v>用户App-直播模块</x:v>
      </x:c>
      <x:c r="D263" s="5" t="str">
        <x:v>直播记录-记录生成</x:v>
      </x:c>
      <x:c r="E263" s="5" t="str">
        <x:v>业务流程</x:v>
      </x:c>
      <x:c r="F263" s="5" t="str">
        <x:v>P1</x:v>
      </x:c>
      <x:c r="G263" s="5" t="str">
        <x:v>验证结束直播后生成历史记录</x:v>
      </x:c>
      <x:c r="H263" s="5" t="str">
        <x:v>结束直播生成记录</x:v>
      </x:c>
      <x:c r="I263" s="5" t="str">
        <x:v>1. 主播存在一场进行中的直播
2. 本场直播标识为 LIVE-SESSION-001</x:v>
      </x:c>
      <x:c r="J263" s="5" t="str">
        <x:v>1. 主播确认结束 LIVE-SESSION-001
2. 进入直播记录页
3. 查询 LIVE-SESSION-001</x:v>
      </x:c>
      <x:c r="K263" s="5" t="str">
        <x:v>直播记录列表新增 LIVE-SESSION-001 对应的历史记录</x:v>
      </x:c>
      <x:c r="L263" s="5" t="str">
        <x:v>FLOW-LREC-001</x:v>
      </x:c>
      <x:c r="M263" s="5" t="str">
        <x:v>未测</x:v>
      </x:c>
      <x:c r="N263" s="5" t="str"/>
      <x:c r="O263" s="5" t="str">
        <x:v>1. 来源：context/系统概要 .md（当前全局业务规则）
2. 流程阶段：主播结束直播后在直播记录模块观察记录生成
3. 共同业务对象：直播场次 LIVE-SESSION-001
4. 质量检查：按 RCL-0018 使用最小前置条件和单一业务分支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264" ht="141" customHeight="1">
      <x:c r="A264" s="5" t="n">
        <x:v>263</x:v>
      </x:c>
      <x:c r="B264" s="5" t="str">
        <x:v>LIVE-263</x:v>
      </x:c>
      <x:c r="C264" s="5" t="str">
        <x:v>用户App-直播模块</x:v>
      </x:c>
      <x:c r="D264" s="5" t="str">
        <x:v>结束直播</x:v>
      </x:c>
      <x:c r="E264" s="5" t="str">
        <x:v>逻辑校验</x:v>
      </x:c>
      <x:c r="F264" s="5" t="str">
        <x:v>P1</x:v>
      </x:c>
      <x:c r="G264" s="5" t="str">
        <x:v>验证主播结束页数据与本场记录一致</x:v>
      </x:c>
      <x:c r="H264" s="5" t="str">
        <x:v>主播结束页数据</x:v>
      </x:c>
      <x:c r="I264" s="5" t="str">
        <x:v>1. 主播刚结束一场直播
2. 本场时长、观看人数和收益已结算到场次记录</x:v>
      </x:c>
      <x:c r="J264" s="5" t="str">
        <x:v>1. 查看主播直播结束页
2. 核对直播时长、观看人数和本场收益</x:v>
      </x:c>
      <x:c r="K264" s="5" t="str">
        <x:v>主播结束页的直播时长、观看人数和本场收益分别与当前场次记录一致</x:v>
      </x:c>
      <x:c r="L264" s="5" t="str">
        <x:v>FLOW-LIVE-001</x:v>
      </x:c>
      <x:c r="M264" s="5" t="str">
        <x:v>未测</x:v>
      </x:c>
      <x:c r="N264" s="5" t="str"/>
      <x:c r="O264" s="5" t="str">
        <x:v>1. 来源：context/01-用户主播App-项目需求清单.md
2. 来源：context/系统概要 .md（当前全局业务规则）
3. 来源：对应 HTML 静态原型；未动态验证
4. 追溯：业务底稿 LIVE-085。
5. 流程：阶段 06：主播核对结束页数据；共同业务对象：LIVE-SESSION-N01。
6. 共同业务对象：同一直播场次
7. 流程阶段：主播结束页数据
8. 同步追溯：work/liveshow-user-live-testcases-260831-004/prototype-context-sync-result.json；RSL-0002、RSL-0003
9. 全局证据追溯：work/liveshow-user-live-testcases-260831-004/global-evidence-scan-result.json；扫描模式 incremental</x:v>
      </x:c>
    </x:row>
    <x:row r="265" ht="103.5" customHeight="1">
      <x:c r="A265" s="5" t="n">
        <x:v>264</x:v>
      </x:c>
      <x:c r="B265" s="5" t="str">
        <x:v>LIVE-264</x:v>
      </x:c>
      <x:c r="C265" s="5" t="str">
        <x:v>用户App-直播模块</x:v>
      </x:c>
      <x:c r="D265" s="5" t="str">
        <x:v>结束直播</x:v>
      </x:c>
      <x:c r="E265" s="5" t="str">
        <x:v>功能需求</x:v>
      </x:c>
      <x:c r="F265" s="5" t="str">
        <x:v>P2</x:v>
      </x:c>
      <x:c r="G265" s="5" t="str">
        <x:v>验证主播结束页进入直播数据</x:v>
      </x:c>
      <x:c r="H265" s="5" t="str">
        <x:v>查看直播数据入口</x:v>
      </x:c>
      <x:c r="I265" s="5" t="str">
        <x:v>1. 主播位于本场直播结束页</x:v>
      </x:c>
      <x:c r="J265" s="5" t="str">
        <x:v>1. 点击“查看直播数据”</x:v>
      </x:c>
      <x:c r="K265" s="5" t="str">
        <x:v>页面进入当前主播的直播数据页</x:v>
      </x:c>
      <x:c r="L265" s="5" t="str"/>
      <x:c r="M265" s="5" t="str">
        <x:v>未测</x:v>
      </x:c>
      <x:c r="N265" s="5" t="str"/>
      <x:c r="O265" s="5" t="str">
        <x:v>1. 来源：prototype/Luma Live-原型说明.md
2. 来源：对应 HTML 静态原型；未动态验证
3. 追溯：业务底稿 LIVE-086。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266" ht="103.5" customHeight="1">
      <x:c r="A266" s="5" t="n">
        <x:v>265</x:v>
      </x:c>
      <x:c r="B266" s="5" t="str">
        <x:v>LIVE-265</x:v>
      </x:c>
      <x:c r="C266" s="5" t="str">
        <x:v>用户App-直播模块</x:v>
      </x:c>
      <x:c r="D266" s="5" t="str">
        <x:v>结束直播</x:v>
      </x:c>
      <x:c r="E266" s="5" t="str">
        <x:v>功能需求</x:v>
      </x:c>
      <x:c r="F266" s="5" t="str">
        <x:v>P2</x:v>
      </x:c>
      <x:c r="G266" s="5" t="str">
        <x:v>验证主播结束页返回主播中心</x:v>
      </x:c>
      <x:c r="H266" s="5" t="str">
        <x:v>返回主播中心入口</x:v>
      </x:c>
      <x:c r="I266" s="5" t="str">
        <x:v>1. 主播位于本场直播结束页</x:v>
      </x:c>
      <x:c r="J266" s="5" t="str">
        <x:v>1. 点击“返回主播中心”</x:v>
      </x:c>
      <x:c r="K266" s="5" t="str">
        <x:v>页面进入当前主播的主播中心</x:v>
      </x:c>
      <x:c r="L266" s="5" t="str"/>
      <x:c r="M266" s="5" t="str">
        <x:v>未测</x:v>
      </x:c>
      <x:c r="N266" s="5" t="str"/>
      <x:c r="O266" s="5" t="str">
        <x:v>1. 来源：prototype/Luma Live-原型说明.md
2. 来源：对应 HTML 静态原型；未动态验证
3. 追溯：业务底稿 LIVE-087。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267" ht="139.5" customHeight="1">
      <x:c r="A267" s="5" t="n">
        <x:v>266</x:v>
      </x:c>
      <x:c r="B267" s="5" t="str">
        <x:v>LIVE-266</x:v>
      </x:c>
      <x:c r="C267" s="5" t="str">
        <x:v>用户App-直播模块</x:v>
      </x:c>
      <x:c r="D267" s="5" t="str">
        <x:v>结束直播</x:v>
      </x:c>
      <x:c r="E267" s="5" t="str">
        <x:v>功能需求</x:v>
      </x:c>
      <x:c r="F267" s="5" t="str">
        <x:v>P1</x:v>
      </x:c>
      <x:c r="G267" s="5" t="str">
        <x:v>验证主播结束后观众进入直播结束页</x:v>
      </x:c>
      <x:c r="H267" s="5" t="str">
        <x:v>观众直播结束页</x:v>
      </x:c>
      <x:c r="I267" s="5" t="str">
        <x:v>1. 观众正在观看直播
2. 主播结束当前直播</x:v>
      </x:c>
      <x:c r="J267" s="5" t="str">
        <x:v>1. 查看观众端页面状态</x:v>
      </x:c>
      <x:c r="K267" s="5" t="str">
        <x:v>观众结束页展示“Sari 的直播已结束”</x:v>
      </x:c>
      <x:c r="L267" s="5" t="str">
        <x:v>FLOW-LIVE-001</x:v>
      </x:c>
      <x:c r="M267" s="5" t="str">
        <x:v>未测</x:v>
      </x:c>
      <x:c r="N267" s="5" t="str"/>
      <x:c r="O267" s="5" t="str">
        <x:v>1. 来源：prototype/Luma Live-原型说明.md
2. 来源：对应 HTML 静态原型；未动态验证
3. 追溯：业务底稿 LIVE-094。
4. 流程：阶段 05：观众进入结束页；共同业务对象：LIVE-SESSION-N01。
5. 共同业务对象：同一直播场次
6. 流程阶段：观众直播结束页
7. 同步追溯：work/liveshow-user-live-testcases-260831-004/prototype-context-sync-result.json；RSL-0002、RSL-0003
8. 全局证据追溯：work/liveshow-user-live-testcases-260831-004/global-evidence-scan-result.json；扫描模式 incremental</x:v>
      </x:c>
    </x:row>
    <x:row r="268" ht="103.5" customHeight="1">
      <x:c r="A268" s="5" t="n">
        <x:v>267</x:v>
      </x:c>
      <x:c r="B268" s="5" t="str">
        <x:v>LIVE-267</x:v>
      </x:c>
      <x:c r="C268" s="5" t="str">
        <x:v>用户App-直播模块</x:v>
      </x:c>
      <x:c r="D268" s="5" t="str">
        <x:v>结束直播</x:v>
      </x:c>
      <x:c r="E268" s="5" t="str">
        <x:v>功能需求</x:v>
      </x:c>
      <x:c r="F268" s="5" t="str">
        <x:v>P2</x:v>
      </x:c>
      <x:c r="G268" s="5" t="str">
        <x:v>验证观众从直播结束页返回直播广场</x:v>
      </x:c>
      <x:c r="H268" s="5" t="str">
        <x:v>观众结束页返回</x:v>
      </x:c>
      <x:c r="I268" s="5" t="str">
        <x:v>1. 观众位于直播结束页</x:v>
      </x:c>
      <x:c r="J268" s="5" t="str">
        <x:v>1. 点击“返回首页”</x:v>
      </x:c>
      <x:c r="K268" s="5" t="str">
        <x:v>页面返回直播广场</x:v>
      </x:c>
      <x:c r="L268" s="5" t="str"/>
      <x:c r="M268" s="5" t="str">
        <x:v>未测</x:v>
      </x:c>
      <x:c r="N268" s="5" t="str"/>
      <x:c r="O268" s="5" t="str">
        <x:v>1. 来源：prototype/Luma Live-原型说明.md
2. 来源：对应 HTML 静态原型；未动态验证
3. 追溯：业务底稿 LIVE-095。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269" ht="91.5" customHeight="1">
      <x:c r="A269" s="5" t="n">
        <x:v>268</x:v>
      </x:c>
      <x:c r="B269" s="5" t="str">
        <x:v>LIVE-268</x:v>
      </x:c>
      <x:c r="C269" s="5" t="str">
        <x:v>用户App-直播模块</x:v>
      </x:c>
      <x:c r="D269" s="5" t="str">
        <x:v>结束直播</x:v>
      </x:c>
      <x:c r="E269" s="5" t="str">
        <x:v>功能需求</x:v>
      </x:c>
      <x:c r="F269" s="5" t="str">
        <x:v>P1</x:v>
      </x:c>
      <x:c r="G269" s="5" t="str">
        <x:v>验证结束直播前的确认内容</x:v>
      </x:c>
      <x:c r="H269" s="5" t="str">
        <x:v>结束直播确认</x:v>
      </x:c>
      <x:c r="I269" s="5" t="str">
        <x:v>1. 主播正在直播</x:v>
      </x:c>
      <x:c r="J269" s="5" t="str">
        <x:v>1. 点击右上角结束按钮</x:v>
      </x:c>
      <x:c r="K269" s="5" t="str">
        <x:v>页面显示“更多观众正在赶来，是否结束直播？”确认框</x:v>
      </x:c>
      <x:c r="L269" s="5" t="str"/>
      <x:c r="M269" s="5" t="str">
        <x:v>未测</x:v>
      </x:c>
      <x:c r="N269" s="5" t="str"/>
      <x:c r="O269" s="5" t="str">
        <x:v>1. 来源：prototype/pages/user/live/live-room-host.html 与 prototype/assets/common.js；未动态验证
2. 同步追溯：work/liveshow-user-live-testcases-260831-004/prototype-context-sync-result.json；RSL-0002、RSL-0003
3. 全局证据追溯：work/liveshow-user-live-testcases-260831-004/global-evidence-scan-result.json；扫描模式 incremental</x:v>
      </x:c>
    </x:row>
    <x:row r="270" ht="115.5" customHeight="1">
      <x:c r="A270" s="5" t="n">
        <x:v>269</x:v>
      </x:c>
      <x:c r="B270" s="5" t="str">
        <x:v>LIVE-269</x:v>
      </x:c>
      <x:c r="C270" s="5" t="str">
        <x:v>用户App-直播模块</x:v>
      </x:c>
      <x:c r="D270" s="5" t="str">
        <x:v>直播记录-入口与导航</x:v>
      </x:c>
      <x:c r="E270" s="5" t="str">
        <x:v>业务流程</x:v>
      </x:c>
      <x:c r="F270" s="5" t="str">
        <x:v>P1</x:v>
      </x:c>
      <x:c r="G270" s="5" t="str">
        <x:v>验证从直播数据进入直播记录</x:v>
      </x:c>
      <x:c r="H270" s="5" t="str">
        <x:v>直播数据入口</x:v>
      </x:c>
      <x:c r="I270" s="5" t="str">
        <x:v>1. 主播账号已登录
2. 日数据列表存在一条历史记录</x:v>
      </x:c>
      <x:c r="J270" s="5" t="str">
        <x:v>1. 进入主播中心的直播数据页
2. 点击日数据列表中的历史记录</x:v>
      </x:c>
      <x:c r="K270" s="5" t="str">
        <x:v>页面进入标题为“直播记录”的页面</x:v>
      </x:c>
      <x:c r="L270" s="5" t="str"/>
      <x:c r="M270" s="5" t="str">
        <x:v>未测</x:v>
      </x:c>
      <x:c r="N270" s="5" t="str"/>
      <x:c r="O270" s="5" t="str">
        <x:v>1. 来源：prototype/pages/user/host/live-data.html；未连接真实后端动态验证
2. 来源：prototype/Luma Live-原型说明.md
3. 质量检查：按 RCL-0018 使用最小前置条件和单一业务分支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271" ht="103.5" customHeight="1">
      <x:c r="A271" s="5" t="n">
        <x:v>270</x:v>
      </x:c>
      <x:c r="B271" s="5" t="str">
        <x:v>LIVE-270</x:v>
      </x:c>
      <x:c r="C271" s="5" t="str">
        <x:v>用户App-直播模块</x:v>
      </x:c>
      <x:c r="D271" s="5" t="str">
        <x:v>直播记录-入口与导航</x:v>
      </x:c>
      <x:c r="E271" s="5" t="str">
        <x:v>功能需求</x:v>
      </x:c>
      <x:c r="F271" s="5" t="str">
        <x:v>P2</x:v>
      </x:c>
      <x:c r="G271" s="5" t="str">
        <x:v>验证从直播记录返回主播中心</x:v>
      </x:c>
      <x:c r="H271" s="5" t="str">
        <x:v>返回主播中心</x:v>
      </x:c>
      <x:c r="I271" s="5" t="str">
        <x:v>1. 主播已进入直播记录页</x:v>
      </x:c>
      <x:c r="J271" s="5" t="str">
        <x:v>1. 点击页面左上角返回按钮</x:v>
      </x:c>
      <x:c r="K271" s="5" t="str">
        <x:v>页面返回主播中心</x:v>
      </x:c>
      <x:c r="L271" s="5" t="str"/>
      <x:c r="M271" s="5" t="str">
        <x:v>未测</x:v>
      </x:c>
      <x:c r="N271" s="5" t="str"/>
      <x:c r="O271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272" ht="141" customHeight="1">
      <x:c r="A272" s="5" t="n">
        <x:v>271</x:v>
      </x:c>
      <x:c r="B272" s="5" t="str">
        <x:v>LIVE-271</x:v>
      </x:c>
      <x:c r="C272" s="5" t="str">
        <x:v>用户App-直播模块</x:v>
      </x:c>
      <x:c r="D272" s="5" t="str">
        <x:v>直播记录-默认记录</x:v>
      </x:c>
      <x:c r="E272" s="5" t="str">
        <x:v>逻辑校验</x:v>
      </x:c>
      <x:c r="F272" s="5" t="str">
        <x:v>P1</x:v>
      </x:c>
      <x:c r="G272" s="5" t="str">
        <x:v>验证默认近7天列表筛选</x:v>
      </x:c>
      <x:c r="H272" s="5" t="str">
        <x:v>默认近7天日期边界</x:v>
      </x:c>
      <x:c r="I272" s="5" t="str">
        <x:v>1. 测试当前日期为 2026-08-17
2. 2026-08-11 和 2026-08-17 各存在一场直播记录
3. 2026-08-10 存在一场直播记录
4. 除上述数据外无其他直播记录</x:v>
      </x:c>
      <x:c r="J272" s="5" t="str">
        <x:v>1. 进入直播记录页
2. 查看默认记录列表</x:v>
      </x:c>
      <x:c r="K272" s="5" t="str">
        <x:v>默认近 7 天记录列表仅包含 2026-08-11 和 2026-08-17 两场记录</x:v>
      </x:c>
      <x:c r="L272" s="5" t="str"/>
      <x:c r="M272" s="5" t="str">
        <x:v>未测</x:v>
      </x:c>
      <x:c r="N272" s="5" t="str"/>
      <x:c r="O272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规则追溯：RCL-0019；默认日期范围按批注“默认近 7 天”生成，页面或 Mock 示例日期不作为边界规则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273" ht="141" customHeight="1">
      <x:c r="A273" s="5" t="n">
        <x:v>272</x:v>
      </x:c>
      <x:c r="B273" s="5" t="str">
        <x:v>LIVE-272</x:v>
      </x:c>
      <x:c r="C273" s="5" t="str">
        <x:v>用户App-直播模块</x:v>
      </x:c>
      <x:c r="D273" s="5" t="str">
        <x:v>直播记录-默认记录</x:v>
      </x:c>
      <x:c r="E273" s="5" t="str">
        <x:v>逻辑校验</x:v>
      </x:c>
      <x:c r="F273" s="5" t="str">
        <x:v>P1</x:v>
      </x:c>
      <x:c r="G273" s="5" t="str">
        <x:v>验证默认近7天收益汇总</x:v>
      </x:c>
      <x:c r="H273" s="5" t="str">
        <x:v>默认近7天收益汇总</x:v>
      </x:c>
      <x:c r="I273" s="5" t="str">
        <x:v>1. 收益定义为默认近 7 天内各场本场收益的整数之和
2. 2026-08-12、2026-08-15、2026-08-17 三场收益依次为 3,156、1,904、624
3. 2026-08-09 场次收益不计入默认近 7 天收益</x:v>
      </x:c>
      <x:c r="J273" s="5" t="str">
        <x:v>1. 进入直播记录页
2. 查看收益汇总</x:v>
      </x:c>
      <x:c r="K273" s="5" t="str">
        <x:v>收益 = 3,156 + 1,904 + 624 = 5,684</x:v>
      </x:c>
      <x:c r="L273" s="5" t="str"/>
      <x:c r="M273" s="5" t="str">
        <x:v>未测</x:v>
      </x:c>
      <x:c r="N273" s="5" t="str"/>
      <x:c r="O273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规则追溯：RCL-0019；默认日期范围按批注“默认近 7 天”生成，页面或 Mock 示例日期不作为边界规则
7. 同步追溯：work/liveshow-user-live-testcases-260831-004/prototype-context-sync-result.json；RSL-0002、RSL-0003
8. 全局证据追溯：work/liveshow-user-live-testcases-260831-004/global-evidence-scan-result.json；扫描模式 incremental</x:v>
      </x:c>
    </x:row>
    <x:row r="274" ht="141" customHeight="1">
      <x:c r="A274" s="5" t="n">
        <x:v>273</x:v>
      </x:c>
      <x:c r="B274" s="5" t="str">
        <x:v>LIVE-273</x:v>
      </x:c>
      <x:c r="C274" s="5" t="str">
        <x:v>用户App-直播模块</x:v>
      </x:c>
      <x:c r="D274" s="5" t="str">
        <x:v>直播记录-默认记录</x:v>
      </x:c>
      <x:c r="E274" s="5" t="str">
        <x:v>逻辑校验</x:v>
      </x:c>
      <x:c r="F274" s="5" t="str">
        <x:v>P1</x:v>
      </x:c>
      <x:c r="G274" s="5" t="str">
        <x:v>验证默认近7天总时长汇总</x:v>
      </x:c>
      <x:c r="H274" s="5" t="str">
        <x:v>默认近7天总时长汇总</x:v>
      </x:c>
      <x:c r="I274" s="5" t="str">
        <x:v>1. 总时长定义为默认近 7 天内各场直播时长按分钟相加
2. 2026-08-12、2026-08-15、2026-08-17 三场时长依次为 2h18m、1h42m、56m
3. 2026-08-09 场次时长不计入默认近 7 天总时长</x:v>
      </x:c>
      <x:c r="J274" s="5" t="str">
        <x:v>1. 进入直播记录页
2. 查看总时长汇总</x:v>
      </x:c>
      <x:c r="K274" s="5" t="str">
        <x:v>总时长 = 138 分钟 + 102 分钟 + 56 分钟 = 296 分钟 = 4h56m</x:v>
      </x:c>
      <x:c r="L274" s="5" t="str"/>
      <x:c r="M274" s="5" t="str">
        <x:v>未测</x:v>
      </x:c>
      <x:c r="N274" s="5" t="str"/>
      <x:c r="O274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规则追溯：RCL-0019；默认日期范围按批注“默认近 7 天”生成，页面或 Mock 示例日期不作为边界规则
7. 同步追溯：work/liveshow-user-live-testcases-260831-004/prototype-context-sync-result.json；RSL-0002、RSL-0003
8. 全局证据追溯：work/liveshow-user-live-testcases-260831-004/global-evidence-scan-result.json；扫描模式 incremental</x:v>
      </x:c>
    </x:row>
    <x:row r="275" ht="141" customHeight="1">
      <x:c r="A275" s="5" t="n">
        <x:v>274</x:v>
      </x:c>
      <x:c r="B275" s="5" t="str">
        <x:v>LIVE-274</x:v>
      </x:c>
      <x:c r="C275" s="5" t="str">
        <x:v>用户App-直播模块</x:v>
      </x:c>
      <x:c r="D275" s="5" t="str">
        <x:v>直播记录-默认记录</x:v>
      </x:c>
      <x:c r="E275" s="5" t="str">
        <x:v>逻辑校验</x:v>
      </x:c>
      <x:c r="F275" s="5" t="str">
        <x:v>P1</x:v>
      </x:c>
      <x:c r="G275" s="5" t="str">
        <x:v>验证默认近7天直播场次汇总</x:v>
      </x:c>
      <x:c r="H275" s="5" t="str">
        <x:v>默认近7天场次汇总</x:v>
      </x:c>
      <x:c r="I275" s="5" t="str">
        <x:v>1. 直播场次定义为默认近 7 天内的直播记录数量
2. 2026-08-12、2026-08-15、2026-08-17 各存在一场直播记录
3. 2026-08-09 场次不计入默认近 7 天场次</x:v>
      </x:c>
      <x:c r="J275" s="5" t="str">
        <x:v>1. 进入直播记录页
2. 查看直播场次汇总</x:v>
      </x:c>
      <x:c r="K275" s="5" t="str">
        <x:v>直播场次 = 3</x:v>
      </x:c>
      <x:c r="L275" s="5" t="str"/>
      <x:c r="M275" s="5" t="str">
        <x:v>未测</x:v>
      </x:c>
      <x:c r="N275" s="5" t="str"/>
      <x:c r="O275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规则追溯：RCL-0019；默认日期范围按批注“默认近 7 天”生成，页面或 Mock 示例日期不作为边界规则
7. 同步追溯：work/liveshow-user-live-testcases-260831-004/prototype-context-sync-result.json；RSL-0002、RSL-0003
8. 全局证据追溯：work/liveshow-user-live-testcases-260831-004/global-evidence-scan-result.json；扫描模式 incremental</x:v>
      </x:c>
    </x:row>
    <x:row r="276" ht="127.5" customHeight="1">
      <x:c r="A276" s="5" t="n">
        <x:v>275</x:v>
      </x:c>
      <x:c r="B276" s="5" t="str">
        <x:v>LIVE-275</x:v>
      </x:c>
      <x:c r="C276" s="5" t="str">
        <x:v>用户App-直播模块</x:v>
      </x:c>
      <x:c r="D276" s="5" t="str">
        <x:v>直播记录-默认记录</x:v>
      </x:c>
      <x:c r="E276" s="5" t="str">
        <x:v>逻辑校验</x:v>
      </x:c>
      <x:c r="F276" s="5" t="str">
        <x:v>P1</x:v>
      </x:c>
      <x:c r="G276" s="5" t="str">
        <x:v>验证记录按开播时间倒序展示</x:v>
      </x:c>
      <x:c r="H276" s="5" t="str">
        <x:v>开播时间倒序</x:v>
      </x:c>
      <x:c r="I276" s="5" t="str">
        <x:v>1. 当前日期范围内存在开播时间依次为 2026-08-12 21:12、2026-08-15 19:38、2026-08-17 20:06 的三场记录</x:v>
      </x:c>
      <x:c r="J276" s="5" t="str">
        <x:v>1. 进入直播记录页
2. 查看记录排列顺序</x:v>
      </x:c>
      <x:c r="K276" s="5" t="str">
        <x:v>记录顺序从上到下为 2026-08-17 20:06、2026-08-15 19:38、2026-08-12 21:12</x:v>
      </x:c>
      <x:c r="L276" s="5" t="str"/>
      <x:c r="M276" s="5" t="str">
        <x:v>未测</x:v>
      </x:c>
      <x:c r="N276" s="5" t="str"/>
      <x:c r="O276" s="5" t="str">
        <x:v>1. 来源：context/01-用户主播App-项目需求清单.md（2026-08-31 按原型同步，RSL-0003）
2. 来源：prototype/Luma Live-原型说明.md
3. 来源：prototype/assets/mock.js 的 liveRecords 字段口径
4. 质量检查：按 RCL-0018 使用最小前置条件和单一业务分支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277" ht="139.5" customHeight="1">
      <x:c r="A277" s="5" t="n">
        <x:v>276</x:v>
      </x:c>
      <x:c r="B277" s="5" t="str">
        <x:v>LIVE-276</x:v>
      </x:c>
      <x:c r="C277" s="5" t="str">
        <x:v>用户App-直播模块</x:v>
      </x:c>
      <x:c r="D277" s="5" t="str">
        <x:v>直播记录-快捷日期筛选</x:v>
      </x:c>
      <x:c r="E277" s="5" t="str">
        <x:v>功能需求</x:v>
      </x:c>
      <x:c r="F277" s="5" t="str">
        <x:v>P1</x:v>
      </x:c>
      <x:c r="G277" s="5" t="str">
        <x:v>验证快捷日期菜单选项范围</x:v>
      </x:c>
      <x:c r="H277" s="5" t="str">
        <x:v>快捷日期选项</x:v>
      </x:c>
      <x:c r="I277" s="5" t="str">
        <x:v>1. 主播已进入直播记录页</x:v>
      </x:c>
      <x:c r="J277" s="5" t="str">
        <x:v>1. 点击右侧快捷日期按钮</x:v>
      </x:c>
      <x:c r="K277" s="5" t="str">
        <x:v>快捷日期菜单展示“本月”“本周”“上月”“自定义”四个选项</x:v>
      </x:c>
      <x:c r="L277" s="5" t="str"/>
      <x:c r="M277" s="5" t="str">
        <x:v>未测</x:v>
      </x:c>
      <x:c r="N277" s="5" t="str"/>
      <x:c r="O277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278" ht="103.5" customHeight="1">
      <x:c r="A278" s="5" t="n">
        <x:v>277</x:v>
      </x:c>
      <x:c r="B278" s="5" t="str">
        <x:v>LIVE-277</x:v>
      </x:c>
      <x:c r="C278" s="5" t="str">
        <x:v>用户App-直播模块</x:v>
      </x:c>
      <x:c r="D278" s="5" t="str">
        <x:v>直播记录-快捷日期筛选</x:v>
      </x:c>
      <x:c r="E278" s="5" t="str">
        <x:v>功能需求</x:v>
      </x:c>
      <x:c r="F278" s="5" t="str">
        <x:v>P2</x:v>
      </x:c>
      <x:c r="G278" s="5" t="str">
        <x:v>验证点击菜单外关闭快捷日期菜单</x:v>
      </x:c>
      <x:c r="H278" s="5" t="str">
        <x:v>快捷菜单外部关闭</x:v>
      </x:c>
      <x:c r="I278" s="5" t="str">
        <x:v>1. 快捷日期菜单已打开</x:v>
      </x:c>
      <x:c r="J278" s="5" t="str">
        <x:v>1. 点击筛选区域外的页面位置</x:v>
      </x:c>
      <x:c r="K278" s="5" t="str">
        <x:v>快捷日期菜单关闭</x:v>
      </x:c>
      <x:c r="L278" s="5" t="str"/>
      <x:c r="M278" s="5" t="str">
        <x:v>未测</x:v>
      </x:c>
      <x:c r="N278" s="5" t="str"/>
      <x:c r="O278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279" ht="139.5" customHeight="1">
      <x:c r="A279" s="5" t="n">
        <x:v>278</x:v>
      </x:c>
      <x:c r="B279" s="5" t="str">
        <x:v>LIVE-278</x:v>
      </x:c>
      <x:c r="C279" s="5" t="str">
        <x:v>用户App-直播模块</x:v>
      </x:c>
      <x:c r="D279" s="5" t="str">
        <x:v>直播记录-快捷日期筛选</x:v>
      </x:c>
      <x:c r="E279" s="5" t="str">
        <x:v>逻辑校验</x:v>
      </x:c>
      <x:c r="F279" s="5" t="str">
        <x:v>P1</x:v>
      </x:c>
      <x:c r="G279" s="5" t="str">
        <x:v>验证本月筛选记录范围</x:v>
      </x:c>
      <x:c r="H279" s="5" t="str">
        <x:v>本月记录范围</x:v>
      </x:c>
      <x:c r="I279" s="5" t="str">
        <x:v>1. 测试环境业务日期为 2026-08-17
2. 2026 年 8 月存在三场记录
3. 2026 年 7 月存在一场记录</x:v>
      </x:c>
      <x:c r="J279" s="5" t="str">
        <x:v>1. 打开快捷日期菜单
2. 选择“本月”
3. 查看记录列表</x:v>
      </x:c>
      <x:c r="K279" s="5" t="str">
        <x:v>记录列表结果集仅包含 2026 年 8 月的三场记录</x:v>
      </x:c>
      <x:c r="L279" s="5" t="str"/>
      <x:c r="M279" s="5" t="str">
        <x:v>未测</x:v>
      </x:c>
      <x:c r="N279" s="5" t="str"/>
      <x:c r="O279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280" ht="103.5" customHeight="1">
      <x:c r="A280" s="5" t="n">
        <x:v>279</x:v>
      </x:c>
      <x:c r="B280" s="5" t="str">
        <x:v>LIVE-279</x:v>
      </x:c>
      <x:c r="C280" s="5" t="str">
        <x:v>用户App-直播模块</x:v>
      </x:c>
      <x:c r="D280" s="5" t="str">
        <x:v>直播记录-快捷日期筛选</x:v>
      </x:c>
      <x:c r="E280" s="5" t="str">
        <x:v>功能需求</x:v>
      </x:c>
      <x:c r="F280" s="5" t="str">
        <x:v>P2</x:v>
      </x:c>
      <x:c r="G280" s="5" t="str">
        <x:v>验证选择本月后的快捷标签</x:v>
      </x:c>
      <x:c r="H280" s="5" t="str">
        <x:v>本月标签回显</x:v>
      </x:c>
      <x:c r="I280" s="5" t="str">
        <x:v>1. 主播已进入直播记录页</x:v>
      </x:c>
      <x:c r="J280" s="5" t="str">
        <x:v>1. 打开快捷日期菜单
2. 选择“本月”</x:v>
      </x:c>
      <x:c r="K280" s="5" t="str">
        <x:v>右侧快捷日期按钮回显“本月”</x:v>
      </x:c>
      <x:c r="L280" s="5" t="str"/>
      <x:c r="M280" s="5" t="str">
        <x:v>未测</x:v>
      </x:c>
      <x:c r="N280" s="5" t="str"/>
      <x:c r="O280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281" ht="139.5" customHeight="1">
      <x:c r="A281" s="5" t="n">
        <x:v>280</x:v>
      </x:c>
      <x:c r="B281" s="5" t="str">
        <x:v>LIVE-280</x:v>
      </x:c>
      <x:c r="C281" s="5" t="str">
        <x:v>用户App-直播模块</x:v>
      </x:c>
      <x:c r="D281" s="5" t="str">
        <x:v>直播记录-快捷日期筛选</x:v>
      </x:c>
      <x:c r="E281" s="5" t="str">
        <x:v>逻辑校验</x:v>
      </x:c>
      <x:c r="F281" s="5" t="str">
        <x:v>P1</x:v>
      </x:c>
      <x:c r="G281" s="5" t="str">
        <x:v>验证本周筛选记录范围</x:v>
      </x:c>
      <x:c r="H281" s="5" t="str">
        <x:v>本周记录范围</x:v>
      </x:c>
      <x:c r="I281" s="5" t="str">
        <x:v>1. 测试环境业务日期为 2026-08-17
2. 2026-08-17 至 2026-08-23 内存在一场记录
3. 2026-08-16 存在一场记录</x:v>
      </x:c>
      <x:c r="J281" s="5" t="str">
        <x:v>1. 打开快捷日期菜单
2. 选择“本周”
3. 查看记录列表</x:v>
      </x:c>
      <x:c r="K281" s="5" t="str">
        <x:v>记录列表结果集仅包含 2026-08-17 至 2026-08-23 内的一场记录</x:v>
      </x:c>
      <x:c r="L281" s="5" t="str"/>
      <x:c r="M281" s="5" t="str">
        <x:v>未测</x:v>
      </x:c>
      <x:c r="N281" s="5" t="str"/>
      <x:c r="O281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282" ht="103.5" customHeight="1">
      <x:c r="A282" s="5" t="n">
        <x:v>281</x:v>
      </x:c>
      <x:c r="B282" s="5" t="str">
        <x:v>LIVE-281</x:v>
      </x:c>
      <x:c r="C282" s="5" t="str">
        <x:v>用户App-直播模块</x:v>
      </x:c>
      <x:c r="D282" s="5" t="str">
        <x:v>直播记录-快捷日期筛选</x:v>
      </x:c>
      <x:c r="E282" s="5" t="str">
        <x:v>功能需求</x:v>
      </x:c>
      <x:c r="F282" s="5" t="str">
        <x:v>P2</x:v>
      </x:c>
      <x:c r="G282" s="5" t="str">
        <x:v>验证选择本周后的快捷标签</x:v>
      </x:c>
      <x:c r="H282" s="5" t="str">
        <x:v>本周标签回显</x:v>
      </x:c>
      <x:c r="I282" s="5" t="str">
        <x:v>1. 主播已进入直播记录页</x:v>
      </x:c>
      <x:c r="J282" s="5" t="str">
        <x:v>1. 打开快捷日期菜单
2. 选择“本周”</x:v>
      </x:c>
      <x:c r="K282" s="5" t="str">
        <x:v>右侧快捷日期按钮回显“本周”</x:v>
      </x:c>
      <x:c r="L282" s="5" t="str"/>
      <x:c r="M282" s="5" t="str">
        <x:v>未测</x:v>
      </x:c>
      <x:c r="N282" s="5" t="str"/>
      <x:c r="O282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283" ht="139.5" customHeight="1">
      <x:c r="A283" s="5" t="n">
        <x:v>282</x:v>
      </x:c>
      <x:c r="B283" s="5" t="str">
        <x:v>LIVE-282</x:v>
      </x:c>
      <x:c r="C283" s="5" t="str">
        <x:v>用户App-直播模块</x:v>
      </x:c>
      <x:c r="D283" s="5" t="str">
        <x:v>直播记录-快捷日期筛选</x:v>
      </x:c>
      <x:c r="E283" s="5" t="str">
        <x:v>逻辑校验</x:v>
      </x:c>
      <x:c r="F283" s="5" t="str">
        <x:v>P1</x:v>
      </x:c>
      <x:c r="G283" s="5" t="str">
        <x:v>验证上月筛选记录范围</x:v>
      </x:c>
      <x:c r="H283" s="5" t="str">
        <x:v>上月记录范围</x:v>
      </x:c>
      <x:c r="I283" s="5" t="str">
        <x:v>1. 测试环境业务日期为 2026-08-17
2. 2026 年 7 月存在 2026-07-05、2026-07-31 两场记录
3. 2026 年 8 月存在一场记录</x:v>
      </x:c>
      <x:c r="J283" s="5" t="str">
        <x:v>1. 打开快捷日期菜单
2. 选择“上月”
3. 查看记录列表</x:v>
      </x:c>
      <x:c r="K283" s="5" t="str">
        <x:v>记录列表结果集仅包含 2026-07-05、2026-07-31 两场记录</x:v>
      </x:c>
      <x:c r="L283" s="5" t="str"/>
      <x:c r="M283" s="5" t="str">
        <x:v>未测</x:v>
      </x:c>
      <x:c r="N283" s="5" t="str"/>
      <x:c r="O283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284" ht="103.5" customHeight="1">
      <x:c r="A284" s="5" t="n">
        <x:v>283</x:v>
      </x:c>
      <x:c r="B284" s="5" t="str">
        <x:v>LIVE-283</x:v>
      </x:c>
      <x:c r="C284" s="5" t="str">
        <x:v>用户App-直播模块</x:v>
      </x:c>
      <x:c r="D284" s="5" t="str">
        <x:v>直播记录-快捷日期筛选</x:v>
      </x:c>
      <x:c r="E284" s="5" t="str">
        <x:v>功能需求</x:v>
      </x:c>
      <x:c r="F284" s="5" t="str">
        <x:v>P2</x:v>
      </x:c>
      <x:c r="G284" s="5" t="str">
        <x:v>验证选择上月后的快捷标签</x:v>
      </x:c>
      <x:c r="H284" s="5" t="str">
        <x:v>上月标签回显</x:v>
      </x:c>
      <x:c r="I284" s="5" t="str">
        <x:v>1. 主播已进入直播记录页</x:v>
      </x:c>
      <x:c r="J284" s="5" t="str">
        <x:v>1. 打开快捷日期菜单
2. 选择“上月”</x:v>
      </x:c>
      <x:c r="K284" s="5" t="str">
        <x:v>右侧快捷日期按钮回显“上月”</x:v>
      </x:c>
      <x:c r="L284" s="5" t="str"/>
      <x:c r="M284" s="5" t="str">
        <x:v>未测</x:v>
      </x:c>
      <x:c r="N284" s="5" t="str"/>
      <x:c r="O284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285" ht="139.5" customHeight="1">
      <x:c r="A285" s="5" t="n">
        <x:v>284</x:v>
      </x:c>
      <x:c r="B285" s="5" t="str">
        <x:v>LIVE-284</x:v>
      </x:c>
      <x:c r="C285" s="5" t="str">
        <x:v>用户App-直播模块</x:v>
      </x:c>
      <x:c r="D285" s="5" t="str">
        <x:v>直播记录-快捷日期筛选</x:v>
      </x:c>
      <x:c r="E285" s="5" t="str">
        <x:v>功能需求</x:v>
      </x:c>
      <x:c r="F285" s="5" t="str">
        <x:v>P1</x:v>
      </x:c>
      <x:c r="G285" s="5" t="str">
        <x:v>验证自定义选项打开日期选择器</x:v>
      </x:c>
      <x:c r="H285" s="5" t="str">
        <x:v>自定义日期入口</x:v>
      </x:c>
      <x:c r="I285" s="5" t="str">
        <x:v>1. 主播已进入直播记录页</x:v>
      </x:c>
      <x:c r="J285" s="5" t="str">
        <x:v>1. 打开快捷日期菜单
2. 选择“自定义”</x:v>
      </x:c>
      <x:c r="K285" s="5" t="str">
        <x:v>页面打开标题为“选择日期”的日期选择器</x:v>
      </x:c>
      <x:c r="L285" s="5" t="str"/>
      <x:c r="M285" s="5" t="str">
        <x:v>未测</x:v>
      </x:c>
      <x:c r="N285" s="5" t="str"/>
      <x:c r="O285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286" ht="139.5" customHeight="1">
      <x:c r="A286" s="5" t="n">
        <x:v>285</x:v>
      </x:c>
      <x:c r="B286" s="5" t="str">
        <x:v>LIVE-285</x:v>
      </x:c>
      <x:c r="C286" s="5" t="str">
        <x:v>用户App-直播模块</x:v>
      </x:c>
      <x:c r="D286" s="5" t="str">
        <x:v>直播记录-自定义日期筛选</x:v>
      </x:c>
      <x:c r="E286" s="5" t="str">
        <x:v>功能需求</x:v>
      </x:c>
      <x:c r="F286" s="5" t="str">
        <x:v>P1</x:v>
      </x:c>
      <x:c r="G286" s="5" t="str">
        <x:v>验证日期按钮打开日期选择器</x:v>
      </x:c>
      <x:c r="H286" s="5" t="str">
        <x:v>日期按钮入口</x:v>
      </x:c>
      <x:c r="I286" s="5" t="str">
        <x:v>1. 主播已进入直播记录页</x:v>
      </x:c>
      <x:c r="J286" s="5" t="str">
        <x:v>1. 点击左侧日期范围按钮</x:v>
      </x:c>
      <x:c r="K286" s="5" t="str">
        <x:v>页面打开标题为“选择日期”的日期选择器</x:v>
      </x:c>
      <x:c r="L286" s="5" t="str"/>
      <x:c r="M286" s="5" t="str">
        <x:v>未测</x:v>
      </x:c>
      <x:c r="N286" s="5" t="str"/>
      <x:c r="O286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287" ht="103.5" customHeight="1">
      <x:c r="A287" s="5" t="n">
        <x:v>286</x:v>
      </x:c>
      <x:c r="B287" s="5" t="str">
        <x:v>LIVE-286</x:v>
      </x:c>
      <x:c r="C287" s="5" t="str">
        <x:v>用户App-直播模块</x:v>
      </x:c>
      <x:c r="D287" s="5" t="str">
        <x:v>直播记录-自定义日期筛选</x:v>
      </x:c>
      <x:c r="E287" s="5" t="str">
        <x:v>功能需求</x:v>
      </x:c>
      <x:c r="F287" s="5" t="str">
        <x:v>P2</x:v>
      </x:c>
      <x:c r="G287" s="5" t="str">
        <x:v>验证取消关闭日期选择器</x:v>
      </x:c>
      <x:c r="H287" s="5" t="str">
        <x:v>取消日期选择</x:v>
      </x:c>
      <x:c r="I287" s="5" t="str">
        <x:v>1. 日期选择器已打开</x:v>
      </x:c>
      <x:c r="J287" s="5" t="str">
        <x:v>1. 点击“取消”</x:v>
      </x:c>
      <x:c r="K287" s="5" t="str">
        <x:v>日期选择器关闭</x:v>
      </x:c>
      <x:c r="L287" s="5" t="str"/>
      <x:c r="M287" s="5" t="str">
        <x:v>未测</x:v>
      </x:c>
      <x:c r="N287" s="5" t="str"/>
      <x:c r="O287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288" ht="103.5" customHeight="1">
      <x:c r="A288" s="5" t="n">
        <x:v>287</x:v>
      </x:c>
      <x:c r="B288" s="5" t="str">
        <x:v>LIVE-287</x:v>
      </x:c>
      <x:c r="C288" s="5" t="str">
        <x:v>用户App-直播模块</x:v>
      </x:c>
      <x:c r="D288" s="5" t="str">
        <x:v>直播记录-自定义日期筛选</x:v>
      </x:c>
      <x:c r="E288" s="5" t="str">
        <x:v>逻辑校验</x:v>
      </x:c>
      <x:c r="F288" s="5" t="str">
        <x:v>P2</x:v>
      </x:c>
      <x:c r="G288" s="5" t="str">
        <x:v>验证取消后保留已应用日期</x:v>
      </x:c>
      <x:c r="H288" s="5" t="str">
        <x:v>取消保留日期</x:v>
      </x:c>
      <x:c r="I288" s="5" t="str">
        <x:v>1. 已应用日期范围为 12/8/2026 ~ 15/8/2026
2. 日期选择器已打开</x:v>
      </x:c>
      <x:c r="J288" s="5" t="str">
        <x:v>1. 在日历中选择 17/8/2026
2. 点击“取消”</x:v>
      </x:c>
      <x:c r="K288" s="5" t="str">
        <x:v>日期范围按钮仍显示 12/8/2026 ~ 15/8/2026</x:v>
      </x:c>
      <x:c r="L288" s="5" t="str"/>
      <x:c r="M288" s="5" t="str">
        <x:v>未测</x:v>
      </x:c>
      <x:c r="N288" s="5" t="str"/>
      <x:c r="O288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289" ht="103.5" customHeight="1">
      <x:c r="A289" s="5" t="n">
        <x:v>288</x:v>
      </x:c>
      <x:c r="B289" s="5" t="str">
        <x:v>LIVE-288</x:v>
      </x:c>
      <x:c r="C289" s="5" t="str">
        <x:v>用户App-直播模块</x:v>
      </x:c>
      <x:c r="D289" s="5" t="str">
        <x:v>直播记录-自定义日期筛选</x:v>
      </x:c>
      <x:c r="E289" s="5" t="str">
        <x:v>功能需求</x:v>
      </x:c>
      <x:c r="F289" s="5" t="str">
        <x:v>P3</x:v>
      </x:c>
      <x:c r="G289" s="5" t="str">
        <x:v>验证点击遮罩关闭日期选择器</x:v>
      </x:c>
      <x:c r="H289" s="5" t="str">
        <x:v>遮罩关闭日期选择</x:v>
      </x:c>
      <x:c r="I289" s="5" t="str">
        <x:v>1. 日期选择器已打开</x:v>
      </x:c>
      <x:c r="J289" s="5" t="str">
        <x:v>1. 点击日期选择器外的遮罩区域</x:v>
      </x:c>
      <x:c r="K289" s="5" t="str">
        <x:v>日期选择器关闭</x:v>
      </x:c>
      <x:c r="L289" s="5" t="str"/>
      <x:c r="M289" s="5" t="str">
        <x:v>未测</x:v>
      </x:c>
      <x:c r="N289" s="5" t="str"/>
      <x:c r="O289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290" ht="103.5" customHeight="1">
      <x:c r="A290" s="5" t="n">
        <x:v>289</x:v>
      </x:c>
      <x:c r="B290" s="5" t="str">
        <x:v>LIVE-289</x:v>
      </x:c>
      <x:c r="C290" s="5" t="str">
        <x:v>用户App-直播模块</x:v>
      </x:c>
      <x:c r="D290" s="5" t="str">
        <x:v>直播记录-自定义日期筛选</x:v>
      </x:c>
      <x:c r="E290" s="5" t="str">
        <x:v>功能需求</x:v>
      </x:c>
      <x:c r="F290" s="5" t="str">
        <x:v>P2</x:v>
      </x:c>
      <x:c r="G290" s="5" t="str">
        <x:v>验证日历切换到上个月</x:v>
      </x:c>
      <x:c r="H290" s="5" t="str">
        <x:v>上个月切换</x:v>
      </x:c>
      <x:c r="I290" s="5" t="str">
        <x:v>1. 日期选择器当前显示 2026 年 8 月</x:v>
      </x:c>
      <x:c r="J290" s="5" t="str">
        <x:v>1. 点击日历左侧月份切换按钮</x:v>
      </x:c>
      <x:c r="K290" s="5" t="str">
        <x:v>日历标题显示“2026年7月”</x:v>
      </x:c>
      <x:c r="L290" s="5" t="str"/>
      <x:c r="M290" s="5" t="str">
        <x:v>未测</x:v>
      </x:c>
      <x:c r="N290" s="5" t="str"/>
      <x:c r="O290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291" ht="103.5" customHeight="1">
      <x:c r="A291" s="5" t="n">
        <x:v>290</x:v>
      </x:c>
      <x:c r="B291" s="5" t="str">
        <x:v>LIVE-290</x:v>
      </x:c>
      <x:c r="C291" s="5" t="str">
        <x:v>用户App-直播模块</x:v>
      </x:c>
      <x:c r="D291" s="5" t="str">
        <x:v>直播记录-自定义日期筛选</x:v>
      </x:c>
      <x:c r="E291" s="5" t="str">
        <x:v>功能需求</x:v>
      </x:c>
      <x:c r="F291" s="5" t="str">
        <x:v>P2</x:v>
      </x:c>
      <x:c r="G291" s="5" t="str">
        <x:v>验证日历切换到下个月</x:v>
      </x:c>
      <x:c r="H291" s="5" t="str">
        <x:v>下个月切换</x:v>
      </x:c>
      <x:c r="I291" s="5" t="str">
        <x:v>1. 日期选择器当前显示 2026 年 8 月</x:v>
      </x:c>
      <x:c r="J291" s="5" t="str">
        <x:v>1. 点击日历右侧月份切换按钮</x:v>
      </x:c>
      <x:c r="K291" s="5" t="str">
        <x:v>日历标题显示“2026年9月”</x:v>
      </x:c>
      <x:c r="L291" s="5" t="str"/>
      <x:c r="M291" s="5" t="str">
        <x:v>未测</x:v>
      </x:c>
      <x:c r="N291" s="5" t="str"/>
      <x:c r="O291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292" ht="139.5" customHeight="1">
      <x:c r="A292" s="5" t="n">
        <x:v>291</x:v>
      </x:c>
      <x:c r="B292" s="5" t="str">
        <x:v>LIVE-291</x:v>
      </x:c>
      <x:c r="C292" s="5" t="str">
        <x:v>用户App-直播模块</x:v>
      </x:c>
      <x:c r="D292" s="5" t="str">
        <x:v>直播记录-自定义日期筛选</x:v>
      </x:c>
      <x:c r="E292" s="5" t="str">
        <x:v>逻辑校验</x:v>
      </x:c>
      <x:c r="F292" s="5" t="str">
        <x:v>P1</x:v>
      </x:c>
      <x:c r="G292" s="5" t="str">
        <x:v>验证确认单日后回显纯日期</x:v>
      </x:c>
      <x:c r="H292" s="5" t="str">
        <x:v>单日日期回显</x:v>
      </x:c>
      <x:c r="I292" s="5" t="str">
        <x:v>1. 日期选择器已打开</x:v>
      </x:c>
      <x:c r="J292" s="5" t="str">
        <x:v>1. 选择 15/8/2026
2. 点击“确定”</x:v>
      </x:c>
      <x:c r="K292" s="5" t="str">
        <x:v>日期范围按钮显示“15/8/2026”</x:v>
      </x:c>
      <x:c r="L292" s="5" t="str"/>
      <x:c r="M292" s="5" t="str">
        <x:v>未测</x:v>
      </x:c>
      <x:c r="N292" s="5" t="str"/>
      <x:c r="O292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293" ht="139.5" customHeight="1">
      <x:c r="A293" s="5" t="n">
        <x:v>292</x:v>
      </x:c>
      <x:c r="B293" s="5" t="str">
        <x:v>LIVE-292</x:v>
      </x:c>
      <x:c r="C293" s="5" t="str">
        <x:v>用户App-直播模块</x:v>
      </x:c>
      <x:c r="D293" s="5" t="str">
        <x:v>直播记录-自定义日期筛选</x:v>
      </x:c>
      <x:c r="E293" s="5" t="str">
        <x:v>逻辑校验</x:v>
      </x:c>
      <x:c r="F293" s="5" t="str">
        <x:v>P1</x:v>
      </x:c>
      <x:c r="G293" s="5" t="str">
        <x:v>验证单日筛选记录范围</x:v>
      </x:c>
      <x:c r="H293" s="5" t="str">
        <x:v>单日记录范围</x:v>
      </x:c>
      <x:c r="I293" s="5" t="str">
        <x:v>1. 2026-08-15 存在一场记录
2. 2026-08-12 存在一场记录</x:v>
      </x:c>
      <x:c r="J293" s="5" t="str">
        <x:v>1. 将自定义日期设置为 15/8/2026
2. 查看记录列表</x:v>
      </x:c>
      <x:c r="K293" s="5" t="str">
        <x:v>记录列表结果集仅包含 2026-08-15 的一场记录</x:v>
      </x:c>
      <x:c r="L293" s="5" t="str"/>
      <x:c r="M293" s="5" t="str">
        <x:v>未测</x:v>
      </x:c>
      <x:c r="N293" s="5" t="str"/>
      <x:c r="O293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294" ht="141" customHeight="1">
      <x:c r="A294" s="5" t="n">
        <x:v>293</x:v>
      </x:c>
      <x:c r="B294" s="5" t="str">
        <x:v>LIVE-293</x:v>
      </x:c>
      <x:c r="C294" s="5" t="str">
        <x:v>用户App-直播模块</x:v>
      </x:c>
      <x:c r="D294" s="5" t="str">
        <x:v>直播记录-自定义日期筛选</x:v>
      </x:c>
      <x:c r="E294" s="5" t="str">
        <x:v>逻辑校验</x:v>
      </x:c>
      <x:c r="F294" s="5" t="str">
        <x:v>P1</x:v>
      </x:c>
      <x:c r="G294" s="5" t="str">
        <x:v>验证单日筛选收益汇总</x:v>
      </x:c>
      <x:c r="H294" s="5" t="str">
        <x:v>单日收益汇总</x:v>
      </x:c>
      <x:c r="I294" s="5" t="str">
        <x:v>1. 收益定义为所选日期内各场本场收益的整数之和
2. 2026-08-15 仅有一场收益为 1,904 的记录</x:v>
      </x:c>
      <x:c r="J294" s="5" t="str">
        <x:v>1. 将自定义日期设置为 15/8/2026
2. 查看收益汇总</x:v>
      </x:c>
      <x:c r="K294" s="5" t="str">
        <x:v>收益 = 1,904</x:v>
      </x:c>
      <x:c r="L294" s="5" t="str"/>
      <x:c r="M294" s="5" t="str">
        <x:v>未测</x:v>
      </x:c>
      <x:c r="N294" s="5" t="str"/>
      <x:c r="O294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295" ht="141" customHeight="1">
      <x:c r="A295" s="5" t="n">
        <x:v>294</x:v>
      </x:c>
      <x:c r="B295" s="5" t="str">
        <x:v>LIVE-294</x:v>
      </x:c>
      <x:c r="C295" s="5" t="str">
        <x:v>用户App-直播模块</x:v>
      </x:c>
      <x:c r="D295" s="5" t="str">
        <x:v>直播记录-自定义日期筛选</x:v>
      </x:c>
      <x:c r="E295" s="5" t="str">
        <x:v>逻辑校验</x:v>
      </x:c>
      <x:c r="F295" s="5" t="str">
        <x:v>P1</x:v>
      </x:c>
      <x:c r="G295" s="5" t="str">
        <x:v>验证单日筛选总时长汇总</x:v>
      </x:c>
      <x:c r="H295" s="5" t="str">
        <x:v>单日总时长汇总</x:v>
      </x:c>
      <x:c r="I295" s="5" t="str">
        <x:v>1. 总时长定义为所选日期内各场直播时长按分钟相加
2. 2026-08-15 仅有一场时长为 1h42m 的记录</x:v>
      </x:c>
      <x:c r="J295" s="5" t="str">
        <x:v>1. 将自定义日期设置为 15/8/2026
2. 查看总时长汇总</x:v>
      </x:c>
      <x:c r="K295" s="5" t="str">
        <x:v>总时长 = 102 分钟 = 1h42m</x:v>
      </x:c>
      <x:c r="L295" s="5" t="str"/>
      <x:c r="M295" s="5" t="str">
        <x:v>未测</x:v>
      </x:c>
      <x:c r="N295" s="5" t="str"/>
      <x:c r="O295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296" ht="141" customHeight="1">
      <x:c r="A296" s="5" t="n">
        <x:v>295</x:v>
      </x:c>
      <x:c r="B296" s="5" t="str">
        <x:v>LIVE-295</x:v>
      </x:c>
      <x:c r="C296" s="5" t="str">
        <x:v>用户App-直播模块</x:v>
      </x:c>
      <x:c r="D296" s="5" t="str">
        <x:v>直播记录-自定义日期筛选</x:v>
      </x:c>
      <x:c r="E296" s="5" t="str">
        <x:v>逻辑校验</x:v>
      </x:c>
      <x:c r="F296" s="5" t="str">
        <x:v>P1</x:v>
      </x:c>
      <x:c r="G296" s="5" t="str">
        <x:v>验证单日筛选直播场次汇总</x:v>
      </x:c>
      <x:c r="H296" s="5" t="str">
        <x:v>单日场次汇总</x:v>
      </x:c>
      <x:c r="I296" s="5" t="str">
        <x:v>1. 直播场次定义为所选日期内的直播记录数量
2. 2026-08-15 仅有一场记录</x:v>
      </x:c>
      <x:c r="J296" s="5" t="str">
        <x:v>1. 将自定义日期设置为 15/8/2026
2. 查看直播场次汇总</x:v>
      </x:c>
      <x:c r="K296" s="5" t="str">
        <x:v>直播场次 = 1</x:v>
      </x:c>
      <x:c r="L296" s="5" t="str"/>
      <x:c r="M296" s="5" t="str">
        <x:v>未测</x:v>
      </x:c>
      <x:c r="N296" s="5" t="str"/>
      <x:c r="O296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297" ht="103.5" customHeight="1">
      <x:c r="A297" s="5" t="n">
        <x:v>296</x:v>
      </x:c>
      <x:c r="B297" s="5" t="str">
        <x:v>LIVE-296</x:v>
      </x:c>
      <x:c r="C297" s="5" t="str">
        <x:v>用户App-直播模块</x:v>
      </x:c>
      <x:c r="D297" s="5" t="str">
        <x:v>直播记录-自定义日期筛选</x:v>
      </x:c>
      <x:c r="E297" s="5" t="str">
        <x:v>逻辑校验</x:v>
      </x:c>
      <x:c r="F297" s="5" t="str">
        <x:v>P1</x:v>
      </x:c>
      <x:c r="G297" s="5" t="str">
        <x:v>验证反向选择日期后按先后顺序回显</x:v>
      </x:c>
      <x:c r="H297" s="5" t="str">
        <x:v>反向日期归一</x:v>
      </x:c>
      <x:c r="I297" s="5" t="str">
        <x:v>1. 日期选择器已打开</x:v>
      </x:c>
      <x:c r="J297" s="5" t="str">
        <x:v>1. 先选择 15/8/2026
2. 再选择 12/8/2026
3. 点击“确定”</x:v>
      </x:c>
      <x:c r="K297" s="5" t="str">
        <x:v>日期范围按钮显示“12/8/2026 ~ 15/8/2026”</x:v>
      </x:c>
      <x:c r="L297" s="5" t="str"/>
      <x:c r="M297" s="5" t="str">
        <x:v>未测</x:v>
      </x:c>
      <x:c r="N297" s="5" t="str"/>
      <x:c r="O297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298" ht="139.5" customHeight="1">
      <x:c r="A298" s="5" t="n">
        <x:v>297</x:v>
      </x:c>
      <x:c r="B298" s="5" t="str">
        <x:v>LIVE-297</x:v>
      </x:c>
      <x:c r="C298" s="5" t="str">
        <x:v>用户App-直播模块</x:v>
      </x:c>
      <x:c r="D298" s="5" t="str">
        <x:v>直播记录-自定义日期筛选</x:v>
      </x:c>
      <x:c r="E298" s="5" t="str">
        <x:v>逻辑校验</x:v>
      </x:c>
      <x:c r="F298" s="5" t="str">
        <x:v>P1</x:v>
      </x:c>
      <x:c r="G298" s="5" t="str">
        <x:v>验证连续日期范围包含起止日</x:v>
      </x:c>
      <x:c r="H298" s="5" t="str">
        <x:v>日期范围闭区间</x:v>
      </x:c>
      <x:c r="I298" s="5" t="str">
        <x:v>1. 2026-08-12 和 2026-08-15 各存在一场记录
2. 2026-08-17 存在一场记录</x:v>
      </x:c>
      <x:c r="J298" s="5" t="str">
        <x:v>1. 将自定义日期范围设置为 12/8/2026 ~ 15/8/2026
2. 查看记录列表</x:v>
      </x:c>
      <x:c r="K298" s="5" t="str">
        <x:v>记录列表结果集仅包含 2026-08-12、2026-08-15 两场记录</x:v>
      </x:c>
      <x:c r="L298" s="5" t="str"/>
      <x:c r="M298" s="5" t="str">
        <x:v>未测</x:v>
      </x:c>
      <x:c r="N298" s="5" t="str"/>
      <x:c r="O298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299" ht="141" customHeight="1">
      <x:c r="A299" s="5" t="n">
        <x:v>298</x:v>
      </x:c>
      <x:c r="B299" s="5" t="str">
        <x:v>LIVE-298</x:v>
      </x:c>
      <x:c r="C299" s="5" t="str">
        <x:v>用户App-直播模块</x:v>
      </x:c>
      <x:c r="D299" s="5" t="str">
        <x:v>直播记录-自定义日期筛选</x:v>
      </x:c>
      <x:c r="E299" s="5" t="str">
        <x:v>逻辑校验</x:v>
      </x:c>
      <x:c r="F299" s="5" t="str">
        <x:v>P1</x:v>
      </x:c>
      <x:c r="G299" s="5" t="str">
        <x:v>验证连续日期范围收益汇总</x:v>
      </x:c>
      <x:c r="H299" s="5" t="str">
        <x:v>日期范围收益汇总</x:v>
      </x:c>
      <x:c r="I299" s="5" t="str">
        <x:v>1. 收益定义为所选范围内各场本场收益的整数之和
2. 2026-08-12 收益为 624
3. 2026-08-15 收益为 1,904</x:v>
      </x:c>
      <x:c r="J299" s="5" t="str">
        <x:v>1. 将自定义日期范围设置为 12/8/2026 ~ 15/8/2026
2. 查看收益汇总</x:v>
      </x:c>
      <x:c r="K299" s="5" t="str">
        <x:v>收益 = 624 + 1,904 = 2,528</x:v>
      </x:c>
      <x:c r="L299" s="5" t="str"/>
      <x:c r="M299" s="5" t="str">
        <x:v>未测</x:v>
      </x:c>
      <x:c r="N299" s="5" t="str"/>
      <x:c r="O299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300" ht="141" customHeight="1">
      <x:c r="A300" s="5" t="n">
        <x:v>299</x:v>
      </x:c>
      <x:c r="B300" s="5" t="str">
        <x:v>LIVE-299</x:v>
      </x:c>
      <x:c r="C300" s="5" t="str">
        <x:v>用户App-直播模块</x:v>
      </x:c>
      <x:c r="D300" s="5" t="str">
        <x:v>直播记录-自定义日期筛选</x:v>
      </x:c>
      <x:c r="E300" s="5" t="str">
        <x:v>逻辑校验</x:v>
      </x:c>
      <x:c r="F300" s="5" t="str">
        <x:v>P1</x:v>
      </x:c>
      <x:c r="G300" s="5" t="str">
        <x:v>验证连续日期范围总时长汇总</x:v>
      </x:c>
      <x:c r="H300" s="5" t="str">
        <x:v>日期范围总时长汇总</x:v>
      </x:c>
      <x:c r="I300" s="5" t="str">
        <x:v>1. 总时长定义为所选范围内各场直播时长按分钟相加
2. 2026-08-12 时长为 56m
3. 2026-08-15 时长为 1h42m</x:v>
      </x:c>
      <x:c r="J300" s="5" t="str">
        <x:v>1. 将自定义日期范围设置为 12/8/2026 ~ 15/8/2026
2. 查看总时长汇总</x:v>
      </x:c>
      <x:c r="K300" s="5" t="str">
        <x:v>总时长 = 56 分钟 + 102 分钟 = 158 分钟 = 2h38m</x:v>
      </x:c>
      <x:c r="L300" s="5" t="str"/>
      <x:c r="M300" s="5" t="str">
        <x:v>未测</x:v>
      </x:c>
      <x:c r="N300" s="5" t="str"/>
      <x:c r="O300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301" ht="141" customHeight="1">
      <x:c r="A301" s="5" t="n">
        <x:v>300</x:v>
      </x:c>
      <x:c r="B301" s="5" t="str">
        <x:v>LIVE-300</x:v>
      </x:c>
      <x:c r="C301" s="5" t="str">
        <x:v>用户App-直播模块</x:v>
      </x:c>
      <x:c r="D301" s="5" t="str">
        <x:v>直播记录-自定义日期筛选</x:v>
      </x:c>
      <x:c r="E301" s="5" t="str">
        <x:v>逻辑校验</x:v>
      </x:c>
      <x:c r="F301" s="5" t="str">
        <x:v>P1</x:v>
      </x:c>
      <x:c r="G301" s="5" t="str">
        <x:v>验证连续日期范围直播场次汇总</x:v>
      </x:c>
      <x:c r="H301" s="5" t="str">
        <x:v>日期范围场次汇总</x:v>
      </x:c>
      <x:c r="I301" s="5" t="str">
        <x:v>1. 直播场次定义为所选范围内的直播记录数量
2. 2026-08-12 至 2026-08-15 内有 2 场记录</x:v>
      </x:c>
      <x:c r="J301" s="5" t="str">
        <x:v>1. 将自定义日期范围设置为 12/8/2026 ~ 15/8/2026
2. 查看直播场次汇总</x:v>
      </x:c>
      <x:c r="K301" s="5" t="str">
        <x:v>直播场次 = 2</x:v>
      </x:c>
      <x:c r="L301" s="5" t="str"/>
      <x:c r="M301" s="5" t="str">
        <x:v>未测</x:v>
      </x:c>
      <x:c r="N301" s="5" t="str"/>
      <x:c r="O301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302" ht="103.5" customHeight="1">
      <x:c r="A302" s="5" t="n">
        <x:v>301</x:v>
      </x:c>
      <x:c r="B302" s="5" t="str">
        <x:v>LIVE-301</x:v>
      </x:c>
      <x:c r="C302" s="5" t="str">
        <x:v>用户App-直播模块</x:v>
      </x:c>
      <x:c r="D302" s="5" t="str">
        <x:v>直播记录-自定义日期筛选</x:v>
      </x:c>
      <x:c r="E302" s="5" t="str">
        <x:v>逻辑校验</x:v>
      </x:c>
      <x:c r="F302" s="5" t="str">
        <x:v>P2</x:v>
      </x:c>
      <x:c r="G302" s="5" t="str">
        <x:v>验证连续选择同一天保持单日范围</x:v>
      </x:c>
      <x:c r="H302" s="5" t="str">
        <x:v>重复日期单日范围</x:v>
      </x:c>
      <x:c r="I302" s="5" t="str">
        <x:v>1. 日期选择器已打开</x:v>
      </x:c>
      <x:c r="J302" s="5" t="str">
        <x:v>1. 选择 15/8/2026
2. 再次选择 15/8/2026
3. 点击“确定”</x:v>
      </x:c>
      <x:c r="K302" s="5" t="str">
        <x:v>日期范围按钮显示“15/8/2026”</x:v>
      </x:c>
      <x:c r="L302" s="5" t="str"/>
      <x:c r="M302" s="5" t="str">
        <x:v>未测</x:v>
      </x:c>
      <x:c r="N302" s="5" t="str"/>
      <x:c r="O302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303" ht="103.5" customHeight="1">
      <x:c r="A303" s="5" t="n">
        <x:v>302</x:v>
      </x:c>
      <x:c r="B303" s="5" t="str">
        <x:v>LIVE-302</x:v>
      </x:c>
      <x:c r="C303" s="5" t="str">
        <x:v>用户App-直播模块</x:v>
      </x:c>
      <x:c r="D303" s="5" t="str">
        <x:v>直播记录-无记录日期</x:v>
      </x:c>
      <x:c r="E303" s="5" t="str">
        <x:v>功能需求</x:v>
      </x:c>
      <x:c r="F303" s="5" t="str">
        <x:v>P2</x:v>
      </x:c>
      <x:c r="G303" s="5" t="str">
        <x:v>验证无记录日期的列表结果</x:v>
      </x:c>
      <x:c r="H303" s="5" t="str">
        <x:v>无记录列表</x:v>
      </x:c>
      <x:c r="I303" s="5" t="str">
        <x:v>1. 2026-07-01 没有直播记录</x:v>
      </x:c>
      <x:c r="J303" s="5" t="str">
        <x:v>1. 将自定义日期设置为 1/7/2026
2. 查看记录列表</x:v>
      </x:c>
      <x:c r="K303" s="5" t="str">
        <x:v>记录列表不展示任何直播记录卡片</x:v>
      </x:c>
      <x:c r="L303" s="5" t="str"/>
      <x:c r="M303" s="5" t="str">
        <x:v>未测</x:v>
      </x:c>
      <x:c r="N303" s="5" t="str"/>
      <x:c r="O303" s="5" t="str">
        <x:v>1. 来源：prototype/pages/user/host/live-records.html 与当页交互脚本；未连接真实后端动态验证
2. 质量检查：按 RCL-0018 使用最小前置条件和单一业务分支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304" ht="115.5" customHeight="1">
      <x:c r="A304" s="5" t="n">
        <x:v>303</x:v>
      </x:c>
      <x:c r="B304" s="5" t="str">
        <x:v>LIVE-303</x:v>
      </x:c>
      <x:c r="C304" s="5" t="str">
        <x:v>用户App-直播模块</x:v>
      </x:c>
      <x:c r="D304" s="5" t="str">
        <x:v>直播记录-无记录日期</x:v>
      </x:c>
      <x:c r="E304" s="5" t="str">
        <x:v>逻辑校验</x:v>
      </x:c>
      <x:c r="F304" s="5" t="str">
        <x:v>P2</x:v>
      </x:c>
      <x:c r="G304" s="5" t="str">
        <x:v>验证无记录日期的收益汇总</x:v>
      </x:c>
      <x:c r="H304" s="5" t="str">
        <x:v>无记录收益</x:v>
      </x:c>
      <x:c r="I304" s="5" t="str">
        <x:v>1. 收益定义为所选日期内各场本场收益的整数之和
2. 2026-07-01 没有直播记录</x:v>
      </x:c>
      <x:c r="J304" s="5" t="str">
        <x:v>1. 将自定义日期设置为 1/7/2026
2. 查看收益汇总</x:v>
      </x:c>
      <x:c r="K304" s="5" t="str">
        <x:v>收益 = 0</x:v>
      </x:c>
      <x:c r="L304" s="5" t="str"/>
      <x:c r="M304" s="5" t="str">
        <x:v>未测</x:v>
      </x:c>
      <x:c r="N304" s="5" t="str"/>
      <x:c r="O304" s="5" t="str">
        <x:v>1. 来源：prototype/assets/annotations.js
2. 来源：prototype/pages/user/host/live-records.html 与当页交互脚本；未连接真实后端动态验证
3. 质量检查：按 RCL-0018 使用最小前置条件和单一业务分支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305" ht="115.5" customHeight="1">
      <x:c r="A305" s="5" t="n">
        <x:v>304</x:v>
      </x:c>
      <x:c r="B305" s="5" t="str">
        <x:v>LIVE-304</x:v>
      </x:c>
      <x:c r="C305" s="5" t="str">
        <x:v>用户App-直播模块</x:v>
      </x:c>
      <x:c r="D305" s="5" t="str">
        <x:v>直播记录-无记录日期</x:v>
      </x:c>
      <x:c r="E305" s="5" t="str">
        <x:v>逻辑校验</x:v>
      </x:c>
      <x:c r="F305" s="5" t="str">
        <x:v>P2</x:v>
      </x:c>
      <x:c r="G305" s="5" t="str">
        <x:v>验证无记录日期的总时长汇总</x:v>
      </x:c>
      <x:c r="H305" s="5" t="str">
        <x:v>无记录总时长</x:v>
      </x:c>
      <x:c r="I305" s="5" t="str">
        <x:v>1. 总时长定义为所选日期内各场直播时长按分钟相加
2. 2026-07-01 没有直播记录</x:v>
      </x:c>
      <x:c r="J305" s="5" t="str">
        <x:v>1. 将自定义日期设置为 1/7/2026
2. 查看总时长汇总</x:v>
      </x:c>
      <x:c r="K305" s="5" t="str">
        <x:v>总时长 = 0 分钟 = 0h0m</x:v>
      </x:c>
      <x:c r="L305" s="5" t="str"/>
      <x:c r="M305" s="5" t="str">
        <x:v>未测</x:v>
      </x:c>
      <x:c r="N305" s="5" t="str"/>
      <x:c r="O305" s="5" t="str">
        <x:v>1. 来源：prototype/assets/annotations.js
2. 来源：prototype/pages/user/host/live-records.html 与当页交互脚本；未连接真实后端动态验证
3. 质量检查：按 RCL-0018 使用最小前置条件和单一业务分支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306" ht="115.5" customHeight="1">
      <x:c r="A306" s="5" t="n">
        <x:v>305</x:v>
      </x:c>
      <x:c r="B306" s="5" t="str">
        <x:v>LIVE-305</x:v>
      </x:c>
      <x:c r="C306" s="5" t="str">
        <x:v>用户App-直播模块</x:v>
      </x:c>
      <x:c r="D306" s="5" t="str">
        <x:v>直播记录-无记录日期</x:v>
      </x:c>
      <x:c r="E306" s="5" t="str">
        <x:v>逻辑校验</x:v>
      </x:c>
      <x:c r="F306" s="5" t="str">
        <x:v>P2</x:v>
      </x:c>
      <x:c r="G306" s="5" t="str">
        <x:v>验证无记录日期的直播场次汇总</x:v>
      </x:c>
      <x:c r="H306" s="5" t="str">
        <x:v>无记录场次</x:v>
      </x:c>
      <x:c r="I306" s="5" t="str">
        <x:v>1. 直播场次定义为所选日期内的直播记录数量
2. 2026-07-01 没有直播记录</x:v>
      </x:c>
      <x:c r="J306" s="5" t="str">
        <x:v>1. 将自定义日期设置为 1/7/2026
2. 查看直播场次汇总</x:v>
      </x:c>
      <x:c r="K306" s="5" t="str">
        <x:v>直播场次 = 0</x:v>
      </x:c>
      <x:c r="L306" s="5" t="str"/>
      <x:c r="M306" s="5" t="str">
        <x:v>未测</x:v>
      </x:c>
      <x:c r="N306" s="5" t="str"/>
      <x:c r="O306" s="5" t="str">
        <x:v>1. 来源：prototype/assets/annotations.js
2. 来源：prototype/pages/user/host/live-records.html 与当页交互脚本；未连接真实后端动态验证
3. 质量检查：按 RCL-0018 使用最小前置条件和单一业务分支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307" ht="141" customHeight="1">
      <x:c r="A307" s="5" t="n">
        <x:v>306</x:v>
      </x:c>
      <x:c r="B307" s="5" t="str">
        <x:v>LIVE-306</x:v>
      </x:c>
      <x:c r="C307" s="5" t="str">
        <x:v>用户App-直播模块</x:v>
      </x:c>
      <x:c r="D307" s="5" t="str">
        <x:v>直播记录-记录卡片</x:v>
      </x:c>
      <x:c r="E307" s="5" t="str">
        <x:v>功能需求</x:v>
      </x:c>
      <x:c r="F307" s="5" t="str">
        <x:v>P1</x:v>
      </x:c>
      <x:c r="G307" s="5" t="str">
        <x:v>验证记录卡片展示开播时标题</x:v>
      </x:c>
      <x:c r="H307" s="5" t="str">
        <x:v>历史标题展示</x:v>
      </x:c>
      <x:c r="I307" s="5" t="str">
        <x:v>1. 目标历史记录的开播时标题为“今晚唱到你睡着”</x:v>
      </x:c>
      <x:c r="J307" s="5" t="str">
        <x:v>1. 进入直播记录页
2. 查看目标记录标题</x:v>
      </x:c>
      <x:c r="K307" s="5" t="str">
        <x:v>目标记录标题显示“今晚唱到你睡着”</x:v>
      </x:c>
      <x:c r="L307" s="5" t="str"/>
      <x:c r="M307" s="5" t="str">
        <x:v>未测</x:v>
      </x:c>
      <x:c r="N307" s="5" t="str"/>
      <x:c r="O307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308" ht="141" customHeight="1">
      <x:c r="A308" s="5" t="n">
        <x:v>307</x:v>
      </x:c>
      <x:c r="B308" s="5" t="str">
        <x:v>LIVE-307</x:v>
      </x:c>
      <x:c r="C308" s="5" t="str">
        <x:v>用户App-直播模块</x:v>
      </x:c>
      <x:c r="D308" s="5" t="str">
        <x:v>直播记录-记录卡片</x:v>
      </x:c>
      <x:c r="E308" s="5" t="str">
        <x:v>功能需求</x:v>
      </x:c>
      <x:c r="F308" s="5" t="str">
        <x:v>P1</x:v>
      </x:c>
      <x:c r="G308" s="5" t="str">
        <x:v>验证记录卡片展示开播时封面</x:v>
      </x:c>
      <x:c r="H308" s="5" t="str">
        <x:v>历史封面展示</x:v>
      </x:c>
      <x:c r="I308" s="5" t="str">
        <x:v>1. 目标历史记录已保存开播时封面</x:v>
      </x:c>
      <x:c r="J308" s="5" t="str">
        <x:v>1. 进入直播记录页
2. 查看目标记录封面</x:v>
      </x:c>
      <x:c r="K308" s="5" t="str">
        <x:v>目标记录展示该场直播开播时保存的封面</x:v>
      </x:c>
      <x:c r="L308" s="5" t="str"/>
      <x:c r="M308" s="5" t="str">
        <x:v>未测</x:v>
      </x:c>
      <x:c r="N308" s="5" t="str"/>
      <x:c r="O308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309" ht="139.5" customHeight="1">
      <x:c r="A309" s="5" t="n">
        <x:v>308</x:v>
      </x:c>
      <x:c r="B309" s="5" t="str">
        <x:v>LIVE-308</x:v>
      </x:c>
      <x:c r="C309" s="5" t="str">
        <x:v>用户App-直播模块</x:v>
      </x:c>
      <x:c r="D309" s="5" t="str">
        <x:v>直播记录-记录卡片</x:v>
      </x:c>
      <x:c r="E309" s="5" t="str">
        <x:v>逻辑校验</x:v>
      </x:c>
      <x:c r="F309" s="5" t="str">
        <x:v>P1</x:v>
      </x:c>
      <x:c r="G309" s="5" t="str">
        <x:v>验证记录卡片的开播时间格式</x:v>
      </x:c>
      <x:c r="H309" s="5" t="str">
        <x:v>开播时间格式</x:v>
      </x:c>
      <x:c r="I309" s="5" t="str">
        <x:v>1. 目标历史记录的开播时间为 2026-08-17 20:06</x:v>
      </x:c>
      <x:c r="J309" s="5" t="str">
        <x:v>1. 进入直播记录页
2. 查看目标记录开播时间</x:v>
      </x:c>
      <x:c r="K309" s="5" t="str">
        <x:v>目标记录开播时间显示为“17/8/2026 20.06”</x:v>
      </x:c>
      <x:c r="L309" s="5" t="str"/>
      <x:c r="M309" s="5" t="str">
        <x:v>未测</x:v>
      </x:c>
      <x:c r="N309" s="5" t="str"/>
      <x:c r="O309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质量检查：按 RCL-0018 使用最小前置条件和单一业务分支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310" ht="139.5" customHeight="1">
      <x:c r="A310" s="5" t="n">
        <x:v>309</x:v>
      </x:c>
      <x:c r="B310" s="5" t="str">
        <x:v>LIVE-309</x:v>
      </x:c>
      <x:c r="C310" s="5" t="str">
        <x:v>用户App-直播模块</x:v>
      </x:c>
      <x:c r="D310" s="5" t="str">
        <x:v>直播记录-记录卡片</x:v>
      </x:c>
      <x:c r="E310" s="5" t="str">
        <x:v>功能需求</x:v>
      </x:c>
      <x:c r="F310" s="5" t="str">
        <x:v>P1</x:v>
      </x:c>
      <x:c r="G310" s="5" t="str">
        <x:v>验证记录卡片展示直播时长</x:v>
      </x:c>
      <x:c r="H310" s="5" t="str">
        <x:v>直播时长展示</x:v>
      </x:c>
      <x:c r="I310" s="5" t="str">
        <x:v>1. 目标历史记录的直播时长为 2h18m</x:v>
      </x:c>
      <x:c r="J310" s="5" t="str">
        <x:v>1. 进入直播记录页
2. 查看目标记录直播时长</x:v>
      </x:c>
      <x:c r="K310" s="5" t="str">
        <x:v>目标记录直播时长显示“2h18m”</x:v>
      </x:c>
      <x:c r="L310" s="5" t="str"/>
      <x:c r="M310" s="5" t="str">
        <x:v>未测</x:v>
      </x:c>
      <x:c r="N310" s="5" t="str"/>
      <x:c r="O310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质量检查：按 RCL-0018 使用最小前置条件和单一业务分支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311" ht="139.5" customHeight="1">
      <x:c r="A311" s="5" t="n">
        <x:v>310</x:v>
      </x:c>
      <x:c r="B311" s="5" t="str">
        <x:v>LIVE-310</x:v>
      </x:c>
      <x:c r="C311" s="5" t="str">
        <x:v>用户App-直播模块</x:v>
      </x:c>
      <x:c r="D311" s="5" t="str">
        <x:v>直播记录-记录卡片</x:v>
      </x:c>
      <x:c r="E311" s="5" t="str">
        <x:v>功能需求</x:v>
      </x:c>
      <x:c r="F311" s="5" t="str">
        <x:v>P1</x:v>
      </x:c>
      <x:c r="G311" s="5" t="str">
        <x:v>验证记录卡片展示本场收益</x:v>
      </x:c>
      <x:c r="H311" s="5" t="str">
        <x:v>本场收益展示</x:v>
      </x:c>
      <x:c r="I311" s="5" t="str">
        <x:v>1. 目标历史记录的本场收益为 3,156</x:v>
      </x:c>
      <x:c r="J311" s="5" t="str">
        <x:v>1. 进入直播记录页
2. 查看目标记录本场收益</x:v>
      </x:c>
      <x:c r="K311" s="5" t="str">
        <x:v>目标记录本场收益显示“+3.156”</x:v>
      </x:c>
      <x:c r="L311" s="5" t="str"/>
      <x:c r="M311" s="5" t="str">
        <x:v>未测</x:v>
      </x:c>
      <x:c r="N311" s="5" t="str"/>
      <x:c r="O311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质量检查：按 RCL-0018 使用最小前置条件和单一业务分支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312" ht="139.5" customHeight="1">
      <x:c r="A312" s="5" t="n">
        <x:v>311</x:v>
      </x:c>
      <x:c r="B312" s="5" t="str">
        <x:v>LIVE-311</x:v>
      </x:c>
      <x:c r="C312" s="5" t="str">
        <x:v>用户App-直播模块</x:v>
      </x:c>
      <x:c r="D312" s="5" t="str">
        <x:v>直播记录-记录卡片</x:v>
      </x:c>
      <x:c r="E312" s="5" t="str">
        <x:v>功能需求</x:v>
      </x:c>
      <x:c r="F312" s="5" t="str">
        <x:v>P1</x:v>
      </x:c>
      <x:c r="G312" s="5" t="str">
        <x:v>验证记录卡片展示观众人数</x:v>
      </x:c>
      <x:c r="H312" s="5" t="str">
        <x:v>观众人数展示</x:v>
      </x:c>
      <x:c r="I312" s="5" t="str">
        <x:v>1. 目标历史记录的观众人数为 1,286</x:v>
      </x:c>
      <x:c r="J312" s="5" t="str">
        <x:v>1. 进入直播记录页
2. 查看目标记录观众人数</x:v>
      </x:c>
      <x:c r="K312" s="5" t="str">
        <x:v>目标记录观众人数显示“1.286”</x:v>
      </x:c>
      <x:c r="L312" s="5" t="str"/>
      <x:c r="M312" s="5" t="str">
        <x:v>未测</x:v>
      </x:c>
      <x:c r="N312" s="5" t="str"/>
      <x:c r="O312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质量检查：按 RCL-0018 使用最小前置条件和单一业务分支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313" ht="139.5" customHeight="1">
      <x:c r="A313" s="5" t="n">
        <x:v>312</x:v>
      </x:c>
      <x:c r="B313" s="5" t="str">
        <x:v>LIVE-312</x:v>
      </x:c>
      <x:c r="C313" s="5" t="str">
        <x:v>用户App-直播模块</x:v>
      </x:c>
      <x:c r="D313" s="5" t="str">
        <x:v>直播记录-记录卡片</x:v>
      </x:c>
      <x:c r="E313" s="5" t="str">
        <x:v>功能需求</x:v>
      </x:c>
      <x:c r="F313" s="5" t="str">
        <x:v>P1</x:v>
      </x:c>
      <x:c r="G313" s="5" t="str">
        <x:v>验证记录卡片展示收礼数量</x:v>
      </x:c>
      <x:c r="H313" s="5" t="str">
        <x:v>收礼数量展示</x:v>
      </x:c>
      <x:c r="I313" s="5" t="str">
        <x:v>1. 目标历史记录的收礼数量为 4,820</x:v>
      </x:c>
      <x:c r="J313" s="5" t="str">
        <x:v>1. 进入直播记录页
2. 查看目标记录收礼数量</x:v>
      </x:c>
      <x:c r="K313" s="5" t="str">
        <x:v>目标记录收礼数量显示“4.820”</x:v>
      </x:c>
      <x:c r="L313" s="5" t="str"/>
      <x:c r="M313" s="5" t="str">
        <x:v>未测</x:v>
      </x:c>
      <x:c r="N313" s="5" t="str"/>
      <x:c r="O313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质量检查：按 RCL-0018 使用最小前置条件和单一业务分支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314" ht="141" customHeight="1">
      <x:c r="A314" s="5" t="n">
        <x:v>313</x:v>
      </x:c>
      <x:c r="B314" s="5" t="str">
        <x:v>LIVE-313</x:v>
      </x:c>
      <x:c r="C314" s="5" t="str">
        <x:v>用户App-直播模块</x:v>
      </x:c>
      <x:c r="D314" s="5" t="str">
        <x:v>直播记录-记录卡片</x:v>
      </x:c>
      <x:c r="E314" s="5" t="str">
        <x:v>功能需求</x:v>
      </x:c>
      <x:c r="F314" s="5" t="str">
        <x:v>P1</x:v>
      </x:c>
      <x:c r="G314" s="5" t="str">
        <x:v>验证门票房记录展示房型标识</x:v>
      </x:c>
      <x:c r="H314" s="5" t="str">
        <x:v>直播记录门票房标识</x:v>
      </x:c>
      <x:c r="I314" s="5" t="str">
        <x:v>1. 目标历史记录的房间类型为门票房</x:v>
      </x:c>
      <x:c r="J314" s="5" t="str">
        <x:v>1. 进入直播记录页
2. 查看目标记录标题区域</x:v>
      </x:c>
      <x:c r="K314" s="5" t="str">
        <x:v>目标记录标题区域展示门票房标识</x:v>
      </x:c>
      <x:c r="L314" s="5" t="str"/>
      <x:c r="M314" s="5" t="str">
        <x:v>未测</x:v>
      </x:c>
      <x:c r="N314" s="5" t="str"/>
      <x:c r="O314" s="5" t="str">
        <x:v>1. 来源：context/01-用户主播App-项目需求清单.md（2026-08-31 按原型同步，RSL-0003）
2. 来源：prototype/Luma Live-原型说明.md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同步追溯：work/liveshow-user-live-testcases-260831-004/prototype-context-sync-result.json；RSL-0002、RSL-0003
7. 全局证据追溯：work/liveshow-user-live-testcases-260831-004/global-evidence-scan-result.json；扫描模式 incremental
8. 命名修复：补充页面、状态或动作，消除重复标题和重复验证点名称；业务步骤与预期结果未变</x:v>
      </x:c>
    </x:row>
    <x:row r="315" ht="141" customHeight="1">
      <x:c r="A315" s="5" t="n">
        <x:v>314</x:v>
      </x:c>
      <x:c r="B315" s="5" t="str">
        <x:v>LIVE-314</x:v>
      </x:c>
      <x:c r="C315" s="5" t="str">
        <x:v>用户App-直播模块</x:v>
      </x:c>
      <x:c r="D315" s="5" t="str">
        <x:v>直播记录-记录卡片</x:v>
      </x:c>
      <x:c r="E315" s="5" t="str">
        <x:v>功能需求</x:v>
      </x:c>
      <x:c r="F315" s="5" t="str">
        <x:v>P1</x:v>
      </x:c>
      <x:c r="G315" s="5" t="str">
        <x:v>验证密码房记录展示房型标识</x:v>
      </x:c>
      <x:c r="H315" s="5" t="str">
        <x:v>密码房标识</x:v>
      </x:c>
      <x:c r="I315" s="5" t="str">
        <x:v>1. 目标历史记录的房间类型为密码房</x:v>
      </x:c>
      <x:c r="J315" s="5" t="str">
        <x:v>1. 进入直播记录页
2. 查看目标记录标题区域</x:v>
      </x:c>
      <x:c r="K315" s="5" t="str">
        <x:v>目标记录标题区域展示密码房标识</x:v>
      </x:c>
      <x:c r="L315" s="5" t="str"/>
      <x:c r="M315" s="5" t="str">
        <x:v>未测</x:v>
      </x:c>
      <x:c r="N315" s="5" t="str"/>
      <x:c r="O315" s="5" t="str">
        <x:v>1. 来源：context/01-用户主播App-项目需求清单.md（2026-08-31 按原型同步，RSL-0003）
2. 来源：prototype/Luma Live-原型说明.md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316" ht="141" customHeight="1">
      <x:c r="A316" s="5" t="n">
        <x:v>315</x:v>
      </x:c>
      <x:c r="B316" s="5" t="str">
        <x:v>LIVE-315</x:v>
      </x:c>
      <x:c r="C316" s="5" t="str">
        <x:v>用户App-直播模块</x:v>
      </x:c>
      <x:c r="D316" s="5" t="str">
        <x:v>直播记录-记录卡片</x:v>
      </x:c>
      <x:c r="E316" s="5" t="str">
        <x:v>功能需求</x:v>
      </x:c>
      <x:c r="F316" s="5" t="str">
        <x:v>P2</x:v>
      </x:c>
      <x:c r="G316" s="5" t="str">
        <x:v>验证普通房记录不展示特殊房型标识</x:v>
      </x:c>
      <x:c r="H316" s="5" t="str">
        <x:v>普通房标识</x:v>
      </x:c>
      <x:c r="I316" s="5" t="str">
        <x:v>1. 目标历史记录的房间类型为普通房</x:v>
      </x:c>
      <x:c r="J316" s="5" t="str">
        <x:v>1. 进入直播记录页
2. 查看目标记录标题区域</x:v>
      </x:c>
      <x:c r="K316" s="5" t="str">
        <x:v>目标记录标题区域不展示门票房标识和密码房标识</x:v>
      </x:c>
      <x:c r="L316" s="5" t="str"/>
      <x:c r="M316" s="5" t="str">
        <x:v>未测</x:v>
      </x:c>
      <x:c r="N316" s="5" t="str"/>
      <x:c r="O316" s="5" t="str">
        <x:v>1. 来源：context/01-用户主播App-项目需求清单.md（2026-08-31 按原型同步，RSL-0003）
2. 来源：prototype/Luma Live-原型说明.md
3. 来源：prototype/assets/mock.js 的 liveRecords 字段口径
4. 来源：prototype/pages/user/host/live-records.html 与当页交互脚本；未连接真实后端动态验证
5. 质量检查：按 RCL-0018 使用最小前置条件和单一业务分支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317" ht="127.5" customHeight="1">
      <x:c r="A317" s="5" t="n">
        <x:v>316</x:v>
      </x:c>
      <x:c r="B317" s="5" t="str">
        <x:v>LIVE-316</x:v>
      </x:c>
      <x:c r="C317" s="5" t="str">
        <x:v>用户App-直播模块</x:v>
      </x:c>
      <x:c r="D317" s="5" t="str">
        <x:v>直播记录-记录卡片</x:v>
      </x:c>
      <x:c r="E317" s="5" t="str">
        <x:v>功能需求</x:v>
      </x:c>
      <x:c r="F317" s="5" t="str">
        <x:v>P2</x:v>
      </x:c>
      <x:c r="G317" s="5" t="str">
        <x:v>验证点击单场记录的操作反馈</x:v>
      </x:c>
      <x:c r="H317" s="5" t="str">
        <x:v>单场记录点击反馈</x:v>
      </x:c>
      <x:c r="I317" s="5" t="str">
        <x:v>1. 直播记录列表存在一场记录</x:v>
      </x:c>
      <x:c r="J317" s="5" t="str">
        <x:v>1. 点击该场直播记录卡片</x:v>
      </x:c>
      <x:c r="K317" s="5" t="str">
        <x:v>页面提示“查看本场直播数据”</x:v>
      </x:c>
      <x:c r="L317" s="5" t="str"/>
      <x:c r="M317" s="5" t="str">
        <x:v>未测</x:v>
      </x:c>
      <x:c r="N317" s="5" t="str"/>
      <x:c r="O317" s="5" t="str">
        <x:v>1. 来源：context/01-用户主播App-项目需求清单.md（2026-08-31 按原型同步，RSL-0003）
2. 来源：prototype/pages/user/host/live-records.html 与当页交互脚本；未连接真实后端动态验证
3. 质量检查：按 RCL-0018 使用最小前置条件和单一业务分支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318" ht="139.5" customHeight="1">
      <x:c r="A318" s="5" t="n">
        <x:v>317</x:v>
      </x:c>
      <x:c r="B318" s="5" t="str">
        <x:v>LIVE-317</x:v>
      </x:c>
      <x:c r="C318" s="5" t="str">
        <x:v>用户App-直播模块</x:v>
      </x:c>
      <x:c r="D318" s="5" t="str">
        <x:v>直播记录-记录生成</x:v>
      </x:c>
      <x:c r="E318" s="5" t="str">
        <x:v>业务流程</x:v>
      </x:c>
      <x:c r="F318" s="5" t="str">
        <x:v>P1</x:v>
      </x:c>
      <x:c r="G318" s="5" t="str">
        <x:v>验证新记录计入收益汇总</x:v>
      </x:c>
      <x:c r="H318" s="5" t="str">
        <x:v>新记录收益汇总</x:v>
      </x:c>
      <x:c r="I318" s="5" t="str">
        <x:v>1. 筛选范围原有三场收益为 3,156、1,904、624 的记录
2. 新结束场次 LIVE-SESSION-001 的本场收益为 100
3. LIVE-SESSION-001 的日期位于当前筛选范围内</x:v>
      </x:c>
      <x:c r="J318" s="5" t="str">
        <x:v>1. 结束 LIVE-SESSION-001
2. 进入直播记录页
3. 查看当前范围收益汇总</x:v>
      </x:c>
      <x:c r="K318" s="5" t="str">
        <x:v>收益 = 3,156 + 1,904 + 624 + 100 = 5,784</x:v>
      </x:c>
      <x:c r="L318" s="5" t="str">
        <x:v>FLOW-LREC-001</x:v>
      </x:c>
      <x:c r="M318" s="5" t="str">
        <x:v>未测</x:v>
      </x:c>
      <x:c r="N318" s="5" t="str"/>
      <x:c r="O318" s="5" t="str">
        <x:v>1. 来源：context/系统概要 .md（当前全局业务规则）
2. 来源：context/01-用户主播App-项目需求清单.md（2026-08-31 按原型同步，RSL-0003）
3. 流程阶段：结束直播后在直播记录模块观察收益汇总
4. 共同业务对象：直播场次 LIVE-SESSION-001
5. 质量检查：按 RCL-0018 使用最小前置条件和单一业务分支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319" ht="139.5" customHeight="1">
      <x:c r="A319" s="5" t="n">
        <x:v>318</x:v>
      </x:c>
      <x:c r="B319" s="5" t="str">
        <x:v>LIVE-318</x:v>
      </x:c>
      <x:c r="C319" s="5" t="str">
        <x:v>用户App-直播模块</x:v>
      </x:c>
      <x:c r="D319" s="5" t="str">
        <x:v>直播记录-记录生成</x:v>
      </x:c>
      <x:c r="E319" s="5" t="str">
        <x:v>业务流程</x:v>
      </x:c>
      <x:c r="F319" s="5" t="str">
        <x:v>P1</x:v>
      </x:c>
      <x:c r="G319" s="5" t="str">
        <x:v>验证新记录计入总时长汇总</x:v>
      </x:c>
      <x:c r="H319" s="5" t="str">
        <x:v>新记录总时长汇总</x:v>
      </x:c>
      <x:c r="I319" s="5" t="str">
        <x:v>1. 筛选范围原有三场时长为 2h18m、1h42m、56m 的记录
2. 新结束场次 LIVE-SESSION-001 的直播时长为 30m
3. LIVE-SESSION-001 的日期位于当前筛选范围内</x:v>
      </x:c>
      <x:c r="J319" s="5" t="str">
        <x:v>1. 结束 LIVE-SESSION-001
2. 进入直播记录页
3. 查看当前范围总时长汇总</x:v>
      </x:c>
      <x:c r="K319" s="5" t="str">
        <x:v>总时长 = 138 分钟 + 102 分钟 + 56 分钟 + 30 分钟 = 326 分钟 = 5h26m</x:v>
      </x:c>
      <x:c r="L319" s="5" t="str">
        <x:v>FLOW-LREC-001</x:v>
      </x:c>
      <x:c r="M319" s="5" t="str">
        <x:v>未测</x:v>
      </x:c>
      <x:c r="N319" s="5" t="str"/>
      <x:c r="O319" s="5" t="str">
        <x:v>1. 来源：context/系统概要 .md（当前全局业务规则）
2. 来源：context/01-用户主播App-项目需求清单.md（2026-08-31 按原型同步，RSL-0003）
3. 流程阶段：结束直播后在直播记录模块观察总时长汇总
4. 共同业务对象：直播场次 LIVE-SESSION-001
5. 质量检查：按 RCL-0018 使用最小前置条件和单一业务分支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320" ht="139.5" customHeight="1">
      <x:c r="A320" s="5" t="n">
        <x:v>319</x:v>
      </x:c>
      <x:c r="B320" s="5" t="str">
        <x:v>LIVE-319</x:v>
      </x:c>
      <x:c r="C320" s="5" t="str">
        <x:v>用户App-直播模块</x:v>
      </x:c>
      <x:c r="D320" s="5" t="str">
        <x:v>直播记录-记录生成</x:v>
      </x:c>
      <x:c r="E320" s="5" t="str">
        <x:v>业务流程</x:v>
      </x:c>
      <x:c r="F320" s="5" t="str">
        <x:v>P1</x:v>
      </x:c>
      <x:c r="G320" s="5" t="str">
        <x:v>验证新记录计入直播场次汇总</x:v>
      </x:c>
      <x:c r="H320" s="5" t="str">
        <x:v>新记录场次汇总</x:v>
      </x:c>
      <x:c r="I320" s="5" t="str">
        <x:v>1. 筛选范围原有 3 场直播记录
2. 新结束场次 LIVE-SESSION-001 的日期位于当前筛选范围内</x:v>
      </x:c>
      <x:c r="J320" s="5" t="str">
        <x:v>1. 结束 LIVE-SESSION-001
2. 进入直播记录页
3. 查看当前范围直播场次汇总</x:v>
      </x:c>
      <x:c r="K320" s="5" t="str">
        <x:v>直播场次 = 3 + 1 = 4</x:v>
      </x:c>
      <x:c r="L320" s="5" t="str">
        <x:v>FLOW-LREC-001</x:v>
      </x:c>
      <x:c r="M320" s="5" t="str">
        <x:v>未测</x:v>
      </x:c>
      <x:c r="N320" s="5" t="str"/>
      <x:c r="O320" s="5" t="str">
        <x:v>1. 来源：context/系统概要 .md（当前全局业务规则）
2. 来源：context/01-用户主播App-项目需求清单.md（2026-08-31 按原型同步，RSL-0003）
3. 流程阶段：结束直播后在直播记录模块观察场次汇总
4. 共同业务对象：直播场次 LIVE-SESSION-001
5. 质量检查：按 RCL-0018 使用最小前置条件和单一业务分支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321" ht="139.5" customHeight="1">
      <x:c r="A321" s="5" t="n">
        <x:v>320</x:v>
      </x:c>
      <x:c r="B321" s="5" t="str">
        <x:v>LIVE-320</x:v>
      </x:c>
      <x:c r="C321" s="5" t="str">
        <x:v>用户App-直播模块</x:v>
      </x:c>
      <x:c r="D321" s="5" t="str">
        <x:v>直播记录-历史快照</x:v>
      </x:c>
      <x:c r="E321" s="5" t="str">
        <x:v>业务流程</x:v>
      </x:c>
      <x:c r="F321" s="5" t="str">
        <x:v>P1</x:v>
      </x:c>
      <x:c r="G321" s="5" t="str">
        <x:v>验证历史标题不随当前开播设置变更</x:v>
      </x:c>
      <x:c r="H321" s="5" t="str">
        <x:v>历史标题快照保持</x:v>
      </x:c>
      <x:c r="I321" s="5" t="str">
        <x:v>1. 历史场次 LIVE-SESSION-002 的开播时标题为“深夜聊天局”
2. 主播当前开播设置标题已改为“周末唱歌局”</x:v>
      </x:c>
      <x:c r="J321" s="5" t="str">
        <x:v>1. 进入直播记录页
2. 查看 LIVE-SESSION-002 的标题</x:v>
      </x:c>
      <x:c r="K321" s="5" t="str">
        <x:v>LIVE-SESSION-002 的标题仍显示“深夜聊天局”</x:v>
      </x:c>
      <x:c r="L321" s="5" t="str">
        <x:v>FLOW-LREC-002</x:v>
      </x:c>
      <x:c r="M321" s="5" t="str">
        <x:v>未测</x:v>
      </x:c>
      <x:c r="N321" s="5" t="str"/>
      <x:c r="O321" s="5" t="str">
        <x:v>1. 来源：context/01-用户主播App-项目需求清单.md（2026-08-31 按原型同步，RSL-0003）
2. 来源：prototype/assets/annotations.js
3. 流程阶段：修改当前开播设置后观察历史标题
4. 共同业务对象：历史场次 LIVE-SESSION-002
5. 质量检查：按 RCL-0018 使用最小前置条件和单一业务分支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322" ht="139.5" customHeight="1">
      <x:c r="A322" s="5" t="n">
        <x:v>321</x:v>
      </x:c>
      <x:c r="B322" s="5" t="str">
        <x:v>LIVE-321</x:v>
      </x:c>
      <x:c r="C322" s="5" t="str">
        <x:v>用户App-直播模块</x:v>
      </x:c>
      <x:c r="D322" s="5" t="str">
        <x:v>直播记录-历史快照</x:v>
      </x:c>
      <x:c r="E322" s="5" t="str">
        <x:v>业务流程</x:v>
      </x:c>
      <x:c r="F322" s="5" t="str">
        <x:v>P1</x:v>
      </x:c>
      <x:c r="G322" s="5" t="str">
        <x:v>验证历史封面不随当前开播设置变更</x:v>
      </x:c>
      <x:c r="H322" s="5" t="str">
        <x:v>历史封面快照保持</x:v>
      </x:c>
      <x:c r="I322" s="5" t="str">
        <x:v>1. 历史场次 LIVE-SESSION-002 的开播时封面为封面 A
2. 主播当前开播设置封面已改为封面 B</x:v>
      </x:c>
      <x:c r="J322" s="5" t="str">
        <x:v>1. 进入直播记录页
2. 查看 LIVE-SESSION-002 的封面</x:v>
      </x:c>
      <x:c r="K322" s="5" t="str">
        <x:v>LIVE-SESSION-002 仍展示封面 A</x:v>
      </x:c>
      <x:c r="L322" s="5" t="str">
        <x:v>FLOW-LREC-002</x:v>
      </x:c>
      <x:c r="M322" s="5" t="str">
        <x:v>未测</x:v>
      </x:c>
      <x:c r="N322" s="5" t="str"/>
      <x:c r="O322" s="5" t="str">
        <x:v>1. 来源：context/01-用户主播App-项目需求清单.md（2026-08-31 按原型同步，RSL-0003）
2. 来源：prototype/assets/annotations.js
3. 流程阶段：修改当前开播设置后观察历史封面
4. 共同业务对象：历史场次 LIVE-SESSION-002
5. 质量检查：按 RCL-0018 使用最小前置条件和单一业务分支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323" ht="141" customHeight="1">
      <x:c r="A323" s="5" t="n">
        <x:v>322</x:v>
      </x:c>
      <x:c r="B323" s="5" t="str">
        <x:v>LIVE-322</x:v>
      </x:c>
      <x:c r="C323" s="5" t="str">
        <x:v>用户App-直播模块</x:v>
      </x:c>
      <x:c r="D323" s="5" t="str">
        <x:v>平台处置直播</x:v>
      </x:c>
      <x:c r="E323" s="5" t="str">
        <x:v>业务流程</x:v>
      </x:c>
      <x:c r="F323" s="5" t="str">
        <x:v>P1</x:v>
      </x:c>
      <x:c r="G323" s="5" t="str">
        <x:v>验证平台强制关播后的观众提示</x:v>
      </x:c>
      <x:c r="H323" s="5" t="str">
        <x:v>强制关播结束提示</x:v>
      </x:c>
      <x:c r="I323" s="5" t="str">
        <x:v>1. 观众正在观看直播场次 LIVE-ADMIN-001
2. 管理后台中该场次状态为直播中</x:v>
      </x:c>
      <x:c r="J323" s="5" t="str">
        <x:v>1. 管理员在直播详情对 LIVE-ADMIN-001 执行强制关播
2. 查看观众端页面</x:v>
      </x:c>
      <x:c r="K323" s="5" t="str">
        <x:v>观众端显示“直播已结束”提示</x:v>
      </x:c>
      <x:c r="L323" s="5" t="str">
        <x:v>FLOW-LIVE-006</x:v>
      </x:c>
      <x:c r="M323" s="5" t="str">
        <x:v>未测</x:v>
      </x:c>
      <x:c r="N323" s="5" t="str"/>
      <x:c r="O323" s="5" t="str">
        <x:v>1. 来源：context/03-管理后台-项目需求清单.md 第29行
2. 来源：prototype/pages/admin/host/admin-live-detail.html
3. 来源：prototype/pages/user/live/live-end-viewer.html；静态分析，未动态验证
4. 流程阶段：平台强制关播后的观众提示
5. 共同业务对象：直播场次 LIVE-ADMIN-001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324" ht="127.5" customHeight="1">
      <x:c r="A324" s="5" t="n">
        <x:v>323</x:v>
      </x:c>
      <x:c r="B324" s="5" t="str">
        <x:v>LIVE-323</x:v>
      </x:c>
      <x:c r="C324" s="5" t="str">
        <x:v>用户App-直播模块</x:v>
      </x:c>
      <x:c r="D324" s="5" t="str">
        <x:v>平台处置直播</x:v>
      </x:c>
      <x:c r="E324" s="5" t="str">
        <x:v>业务流程</x:v>
      </x:c>
      <x:c r="F324" s="5" t="str">
        <x:v>P1</x:v>
      </x:c>
      <x:c r="G324" s="5" t="str">
        <x:v>验证平台强制关播后的观众落点</x:v>
      </x:c>
      <x:c r="H324" s="5" t="str">
        <x:v>强制关播返回广场</x:v>
      </x:c>
      <x:c r="I324" s="5" t="str">
        <x:v>1. 观众正在观看直播场次 LIVE-ADMIN-001
2. 管理后台中该场次状态为直播中</x:v>
      </x:c>
      <x:c r="J324" s="5" t="str">
        <x:v>1. 管理员在直播详情对 LIVE-ADMIN-001 执行强制关播
2. 查看观众端处置完成后的页面</x:v>
      </x:c>
      <x:c r="K324" s="5" t="str">
        <x:v>观众端返回直播广场</x:v>
      </x:c>
      <x:c r="L324" s="5" t="str">
        <x:v>FLOW-LIVE-006</x:v>
      </x:c>
      <x:c r="M324" s="5" t="str">
        <x:v>未测</x:v>
      </x:c>
      <x:c r="N324" s="5" t="str"/>
      <x:c r="O324" s="5" t="str">
        <x:v>1. 来源：context/03-管理后台-项目需求清单.md 第29行
2. 来源：prototype/pages/admin/host/admin-live-detail.html；静态分析，未动态验证
3. 流程阶段：平台强制关播后的观众落点
4. 共同业务对象：直播场次 LIVE-ADMIN-001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325" ht="127.5" customHeight="1">
      <x:c r="A325" s="5" t="n">
        <x:v>324</x:v>
      </x:c>
      <x:c r="B325" s="5" t="str">
        <x:v>LIVE-324</x:v>
      </x:c>
      <x:c r="C325" s="5" t="str">
        <x:v>用户App-直播模块</x:v>
      </x:c>
      <x:c r="D325" s="5" t="str">
        <x:v>平台处置直播</x:v>
      </x:c>
      <x:c r="E325" s="5" t="str">
        <x:v>业务流程</x:v>
      </x:c>
      <x:c r="F325" s="5" t="str">
        <x:v>P1</x:v>
      </x:c>
      <x:c r="G325" s="5" t="str">
        <x:v>验证平台强制关闭门票房不退还门票金币</x:v>
      </x:c>
      <x:c r="H325" s="5" t="str">
        <x:v>强制关播门票不退款</x:v>
      </x:c>
      <x:c r="I325" s="5" t="str">
        <x:v>1. 用户已支付 10 金币进入门票房场次 LIVE-ADMIN-T01
2. 购票后用户金币余额为 90
3. 管理后台中该场次状态为直播中</x:v>
      </x:c>
      <x:c r="J325" s="5" t="str">
        <x:v>1. 管理员在直播详情对 LIVE-ADMIN-T01 执行强制关播
2. 用户进入余额明细查看金币余额</x:v>
      </x:c>
      <x:c r="K325" s="5" t="str">
        <x:v>用户金币余额保持 90</x:v>
      </x:c>
      <x:c r="L325" s="5" t="str">
        <x:v>FLOW-LIVE-006</x:v>
      </x:c>
      <x:c r="M325" s="5" t="str">
        <x:v>未测</x:v>
      </x:c>
      <x:c r="N325" s="5" t="str"/>
      <x:c r="O325" s="5" t="str">
        <x:v>1. 来源：context/03-管理后台-项目需求清单.md 第30行
2. 来源：prototype/pages/admin/host/admin-live-detail.html；静态分析，未动态验证
3. 流程阶段：平台强制关闭门票房后的资金结果
4. 共同业务对象：门票房场次 LIVE-ADMIN-T01 及本场购票资格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326" ht="141" customHeight="1">
      <x:c r="A326" s="5" t="n">
        <x:v>325</x:v>
      </x:c>
      <x:c r="B326" s="5" t="str">
        <x:v>LIVE-325</x:v>
      </x:c>
      <x:c r="C326" s="5" t="str">
        <x:v>用户App-直播模块</x:v>
      </x:c>
      <x:c r="D326" s="5" t="str">
        <x:v>直播权限联动</x:v>
      </x:c>
      <x:c r="E326" s="5" t="str">
        <x:v>业务流程</x:v>
      </x:c>
      <x:c r="F326" s="5" t="str">
        <x:v>P1</x:v>
      </x:c>
      <x:c r="G326" s="5" t="str">
        <x:v>验证公会关闭直播权限后结束进行中直播</x:v>
      </x:c>
      <x:c r="H326" s="5" t="str">
        <x:v>公会关权限结束场次</x:v>
      </x:c>
      <x:c r="I326" s="5" t="str">
        <x:v>1. 主播 HOST-G01 正在用户 App 直播
2. 平台已开通 HOST-G01 的直播权限
3. 公会端当前直播权限为开启</x:v>
      </x:c>
      <x:c r="J326" s="5" t="str">
        <x:v>1. 公会管理员在主播详情关闭 HOST-G01 的直播权限并确认
2. 查看主播用户 App 的当前直播状态</x:v>
      </x:c>
      <x:c r="K326" s="5" t="str">
        <x:v>HOST-G01 的当前直播场次结束</x:v>
      </x:c>
      <x:c r="L326" s="5" t="str">
        <x:v>FLOW-LIVE-007</x:v>
      </x:c>
      <x:c r="M326" s="5" t="str">
        <x:v>未测</x:v>
      </x:c>
      <x:c r="N326" s="5" t="str"/>
      <x:c r="O326" s="5" t="str">
        <x:v>1. 来源：context/02-公会App-项目需求清单.md 第27行
2. 来源：prototype/assets/annotations.js 的 guild-host-detail.html 批注
3. 来源：prototype/pages/guild/people/guild-host-detail.html；静态分析，未动态验证
4. 流程阶段：公会关闭权限后终止用户 App 场次
5. 共同业务对象：主播 HOST-G01 的直播权限及当前直播场次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327" ht="115.5" customHeight="1">
      <x:c r="A327" s="5" t="n">
        <x:v>326</x:v>
      </x:c>
      <x:c r="B327" s="5" t="str">
        <x:v>LIVE-326</x:v>
      </x:c>
      <x:c r="C327" s="5" t="str">
        <x:v>用户App-直播模块</x:v>
      </x:c>
      <x:c r="D327" s="5" t="str">
        <x:v>直播权限联动</x:v>
      </x:c>
      <x:c r="E327" s="5" t="str">
        <x:v>业务流程</x:v>
      </x:c>
      <x:c r="F327" s="5" t="str">
        <x:v>P1</x:v>
      </x:c>
      <x:c r="G327" s="5" t="str">
        <x:v>验证公会关闭直播权限后的用户 App 状态</x:v>
      </x:c>
      <x:c r="H327" s="5" t="str">
        <x:v>公会关权限状态回显</x:v>
      </x:c>
      <x:c r="I327" s="5" t="str">
        <x:v>1. 主播 HOST-G01 已通过认证
2. 平台已开通 HOST-G01 的直播权限
3. 公会端已关闭 HOST-G01 的直播权限</x:v>
      </x:c>
      <x:c r="J327" s="5" t="str">
        <x:v>1. HOST-G01 登录用户 App
2. 进入主播权限状态页面</x:v>
      </x:c>
      <x:c r="K327" s="5" t="str">
        <x:v>直播权限状态显示为“已关闭”</x:v>
      </x:c>
      <x:c r="L327" s="5" t="str">
        <x:v>FLOW-LIVE-007</x:v>
      </x:c>
      <x:c r="M327" s="5" t="str">
        <x:v>未测</x:v>
      </x:c>
      <x:c r="N327" s="5" t="str"/>
      <x:c r="O327" s="5" t="str">
        <x:v>1. 来源：context/01-用户主播App-项目需求清单.md 第168行
2. 来源：context/02-公会App-项目需求清单.md 第27行
3. 流程阶段：主播在用户 App 查看公会关闭后的权限状态
4. 共同业务对象：主播 HOST-G01 的直播权限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328" ht="127.5" customHeight="1">
      <x:c r="A328" s="5" t="n">
        <x:v>327</x:v>
      </x:c>
      <x:c r="B328" s="5" t="str">
        <x:v>LIVE-327</x:v>
      </x:c>
      <x:c r="C328" s="5" t="str">
        <x:v>用户App-直播模块</x:v>
      </x:c>
      <x:c r="D328" s="5" t="str">
        <x:v>开播设置</x:v>
      </x:c>
      <x:c r="E328" s="5" t="str">
        <x:v>业务流程</x:v>
      </x:c>
      <x:c r="F328" s="5" t="str">
        <x:v>P1</x:v>
      </x:c>
      <x:c r="G328" s="5" t="str">
        <x:v>验证指定测试用户可选择灰度房型</x:v>
      </x:c>
      <x:c r="H328" s="5" t="str">
        <x:v>测试用户房型开放范围</x:v>
      </x:c>
      <x:c r="I328" s="5" t="str">
        <x:v>1. 后台已开启密码房
2. 密码房开放用户范围为指定测试用户
3. 主播账号 HOST-TEST-01 已加入指定测试用户列表
4. HOST-TEST-01 具备直播权限</x:v>
      </x:c>
      <x:c r="J328" s="5" t="str">
        <x:v>1. HOST-TEST-01 登录用户 App
2. 进入开播设置并打开房型设置</x:v>
      </x:c>
      <x:c r="K328" s="5" t="str">
        <x:v>房型列表提供可选择的“密码房”</x:v>
      </x:c>
      <x:c r="L328" s="5" t="str">
        <x:v>FLOW-LIVE-008</x:v>
      </x:c>
      <x:c r="M328" s="5" t="str">
        <x:v>未测</x:v>
      </x:c>
      <x:c r="N328" s="5" t="str"/>
      <x:c r="O328" s="5" t="str">
        <x:v>1. 来源：prototype/pages/admin/operations/admin-feature-switch-detail.html
2. 来源：context/01-用户主播App-项目需求清单.md；静态分析，未动态验证
3. 流程阶段：后台指定测试用户后的用户 App 房型可见性
4. 共同业务对象：密码房灰度配置及主播 HOST-TEST-01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329" ht="127.5" customHeight="1">
      <x:c r="A329" s="5" t="n">
        <x:v>328</x:v>
      </x:c>
      <x:c r="B329" s="5" t="str">
        <x:v>LIVE-328</x:v>
      </x:c>
      <x:c r="C329" s="5" t="str">
        <x:v>用户App-直播模块</x:v>
      </x:c>
      <x:c r="D329" s="5" t="str">
        <x:v>开播设置</x:v>
      </x:c>
      <x:c r="E329" s="5" t="str">
        <x:v>逻辑校验</x:v>
      </x:c>
      <x:c r="F329" s="5" t="str">
        <x:v>P1</x:v>
      </x:c>
      <x:c r="G329" s="5" t="str">
        <x:v>验证非测试用户不能选择指定范围房型</x:v>
      </x:c>
      <x:c r="H329" s="5" t="str">
        <x:v>非测试用户房型隔离</x:v>
      </x:c>
      <x:c r="I329" s="5" t="str">
        <x:v>1. 后台已开启密码房
2. 密码房开放用户范围为指定测试用户
3. 主播账号 HOST-NORMAL-01 不在指定测试用户列表
4. HOST-NORMAL-01 具备直播权限</x:v>
      </x:c>
      <x:c r="J329" s="5" t="str">
        <x:v>1. HOST-NORMAL-01 登录用户 App
2. 进入开播设置并打开房型设置</x:v>
      </x:c>
      <x:c r="K329" s="5" t="str">
        <x:v>房型列表不提供可选择的“密码房”</x:v>
      </x:c>
      <x:c r="L329" s="5" t="str">
        <x:v>FLOW-LIVE-008</x:v>
      </x:c>
      <x:c r="M329" s="5" t="str">
        <x:v>未测</x:v>
      </x:c>
      <x:c r="N329" s="5" t="str"/>
      <x:c r="O329" s="5" t="str">
        <x:v>1. 来源：prototype/pages/admin/operations/admin-feature-switch-detail.html
2. 来源：context/01-用户主播App-项目需求清单.md；静态分析，未动态验证
3. 流程阶段：后台指定测试用户后的非名单账号隔离
4. 共同业务对象：密码房灰度配置及主播 HOST-NORMAL-01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330" ht="127.5" customHeight="1">
      <x:c r="A330" s="5" t="n">
        <x:v>329</x:v>
      </x:c>
      <x:c r="B330" s="5" t="str">
        <x:v>LIVE-329</x:v>
      </x:c>
      <x:c r="C330" s="5" t="str">
        <x:v>用户App-直播模块</x:v>
      </x:c>
      <x:c r="D330" s="5" t="str">
        <x:v>开播设置</x:v>
      </x:c>
      <x:c r="E330" s="5" t="str">
        <x:v>业务流程</x:v>
      </x:c>
      <x:c r="F330" s="5" t="str">
        <x:v>P1</x:v>
      </x:c>
      <x:c r="G330" s="5" t="str">
        <x:v>验证全部用户范围的房型可选择</x:v>
      </x:c>
      <x:c r="H330" s="5" t="str">
        <x:v>全部用户房型开放范围</x:v>
      </x:c>
      <x:c r="I330" s="5" t="str">
        <x:v>1. 后台已开启门票房
2. 门票房开放用户范围为全部用户
3. 主播 HOST-NORMAL-01 具备直播权限</x:v>
      </x:c>
      <x:c r="J330" s="5" t="str">
        <x:v>1. HOST-NORMAL-01 登录用户 App
2. 进入开播设置并打开房型设置</x:v>
      </x:c>
      <x:c r="K330" s="5" t="str">
        <x:v>房型列表提供可选择的“门票房”</x:v>
      </x:c>
      <x:c r="L330" s="5" t="str">
        <x:v>FLOW-LIVE-008</x:v>
      </x:c>
      <x:c r="M330" s="5" t="str">
        <x:v>未测</x:v>
      </x:c>
      <x:c r="N330" s="5" t="str"/>
      <x:c r="O330" s="5" t="str">
        <x:v>1. 来源：prototype/pages/admin/operations/admin-feature-switch-detail.html
2. 来源：context/01-用户主播App-项目需求清单.md；静态分析，未动态验证
3. 流程阶段：后台面向全部用户开放房型后的用户 App 可见性
4. 共同业务对象：门票房灰度配置及主播 HOST-NORMAL-01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331" ht="139.5" customHeight="1">
      <x:c r="A331" s="5" t="n">
        <x:v>330</x:v>
      </x:c>
      <x:c r="B331" s="5" t="str">
        <x:v>LIVE-330</x:v>
      </x:c>
      <x:c r="C331" s="5" t="str">
        <x:v>用户App-直播模块</x:v>
      </x:c>
      <x:c r="D331" s="5" t="str">
        <x:v>直播送礼</x:v>
      </x:c>
      <x:c r="E331" s="5" t="str">
        <x:v>业务流程</x:v>
      </x:c>
      <x:c r="F331" s="5" t="str">
        <x:v>P1</x:v>
      </x:c>
      <x:c r="G331" s="5" t="str">
        <x:v>验证后台上架礼物进入用户 App 礼物面板</x:v>
      </x:c>
      <x:c r="H331" s="5" t="str">
        <x:v>上架礼物面板可见</x:v>
      </x:c>
      <x:c r="I331" s="5" t="str">
        <x:v>1. 后台已将普通礼物 GFT-LIVE-01 设置为上架
2. 用户正在观看支持送礼的直播</x:v>
      </x:c>
      <x:c r="J331" s="5" t="str">
        <x:v>1. 用户打开礼物面板
2. 切换到普通礼物分类</x:v>
      </x:c>
      <x:c r="K331" s="5" t="str">
        <x:v>普通礼物列表展示 GFT-LIVE-01</x:v>
      </x:c>
      <x:c r="L331" s="5" t="str">
        <x:v>FLOW-LIVE-009</x:v>
      </x:c>
      <x:c r="M331" s="5" t="str">
        <x:v>未测</x:v>
      </x:c>
      <x:c r="N331" s="5" t="str"/>
      <x:c r="O331" s="5" t="str">
        <x:v>1. 来源：context/01-用户主播App-项目需求清单.md 第53行
2. 来源：context/03-管理后台-项目需求清单.md 第58行
3. 来源：prototype/pages/admin/gifts/admin-gift-list.html；静态分析，未动态验证
4. 流程阶段：后台礼物上架后的用户 App 展示
5. 共同业务对象：礼物 GFT-LIVE-01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332" ht="127.5" customHeight="1">
      <x:c r="A332" s="5" t="n">
        <x:v>331</x:v>
      </x:c>
      <x:c r="B332" s="5" t="str">
        <x:v>LIVE-331</x:v>
      </x:c>
      <x:c r="C332" s="5" t="str">
        <x:v>用户App-直播模块</x:v>
      </x:c>
      <x:c r="D332" s="5" t="str">
        <x:v>直播送礼</x:v>
      </x:c>
      <x:c r="E332" s="5" t="str">
        <x:v>逻辑校验</x:v>
      </x:c>
      <x:c r="F332" s="5" t="str">
        <x:v>P1</x:v>
      </x:c>
      <x:c r="G332" s="5" t="str">
        <x:v>验证后台下架礼物不进入用户 App 礼物面板</x:v>
      </x:c>
      <x:c r="H332" s="5" t="str">
        <x:v>下架礼物面板隐藏</x:v>
      </x:c>
      <x:c r="I332" s="5" t="str">
        <x:v>1. 后台已将普通礼物 GFT-LIVE-02 设置为下架
2. 用户正在观看支持送礼的直播</x:v>
      </x:c>
      <x:c r="J332" s="5" t="str">
        <x:v>1. 用户打开礼物面板
2. 切换到普通礼物分类</x:v>
      </x:c>
      <x:c r="K332" s="5" t="str">
        <x:v>普通礼物列表不展示 GFT-LIVE-02</x:v>
      </x:c>
      <x:c r="L332" s="5" t="str">
        <x:v>FLOW-LIVE-009</x:v>
      </x:c>
      <x:c r="M332" s="5" t="str">
        <x:v>未测</x:v>
      </x:c>
      <x:c r="N332" s="5" t="str"/>
      <x:c r="O332" s="5" t="str">
        <x:v>1. 来源：context/03-管理后台-项目需求清单.md 第58行
2. 来源：prototype/pages/admin/gifts/admin-gift-list.html；静态分析，未动态验证
3. 流程阶段：后台礼物下架后的用户 App 展示
4. 共同业务对象：礼物 GFT-LIVE-02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333" ht="127.5" customHeight="1">
      <x:c r="A333" s="5" t="n">
        <x:v>332</x:v>
      </x:c>
      <x:c r="B333" s="5" t="str">
        <x:v>LIVE-332</x:v>
      </x:c>
      <x:c r="C333" s="5" t="str">
        <x:v>用户App-直播模块</x:v>
      </x:c>
      <x:c r="D333" s="5" t="str">
        <x:v>直播送礼</x:v>
      </x:c>
      <x:c r="E333" s="5" t="str">
        <x:v>逻辑校验</x:v>
      </x:c>
      <x:c r="F333" s="5" t="str">
        <x:v>P1</x:v>
      </x:c>
      <x:c r="G333" s="5" t="str">
        <x:v>验证用户 App 礼物价格采用后台配置</x:v>
      </x:c>
      <x:c r="H333" s="5" t="str">
        <x:v>礼物金币价格跨端一致</x:v>
      </x:c>
      <x:c r="I333" s="5" t="str">
        <x:v>1. 后台已将上架礼物 GFT-LIVE-01 的金币单价保存为 20
2. 用户正在观看支持送礼的直播</x:v>
      </x:c>
      <x:c r="J333" s="5" t="str">
        <x:v>1. 用户打开礼物面板
2. 查看 GFT-LIVE-01 的金币价格</x:v>
      </x:c>
      <x:c r="K333" s="5" t="str">
        <x:v>GFT-LIVE-01 在用户 App 展示的金币价格为 20</x:v>
      </x:c>
      <x:c r="L333" s="5" t="str">
        <x:v>FLOW-LIVE-009</x:v>
      </x:c>
      <x:c r="M333" s="5" t="str">
        <x:v>未测</x:v>
      </x:c>
      <x:c r="N333" s="5" t="str"/>
      <x:c r="O333" s="5" t="str">
        <x:v>1. 来源：context/01-用户主播App-项目需求清单.md 第53行
2. 来源：prototype/pages/admin/gifts/admin-gift-detail.html；静态分析，未动态验证
3. 流程阶段：后台保存礼物单价后的用户 App 回显
4. 共同业务对象：礼物 GFT-LIVE-01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334" ht="139.5" customHeight="1">
      <x:c r="A334" s="5" t="n">
        <x:v>333</x:v>
      </x:c>
      <x:c r="B334" s="5" t="str">
        <x:v>LIVE-333</x:v>
      </x:c>
      <x:c r="C334" s="5" t="str">
        <x:v>用户App-直播模块</x:v>
      </x:c>
      <x:c r="D334" s="5" t="str">
        <x:v>直播送礼</x:v>
      </x:c>
      <x:c r="E334" s="5" t="str">
        <x:v>业务流程</x:v>
      </x:c>
      <x:c r="F334" s="5" t="str">
        <x:v>P1</x:v>
      </x:c>
      <x:c r="G334" s="5" t="str">
        <x:v>验证运营账号虚拟送礼计入贡献榜</x:v>
      </x:c>
      <x:c r="H334" s="5" t="str">
        <x:v>虚拟送礼榜单展示</x:v>
      </x:c>
      <x:c r="I334" s="5" t="str">
        <x:v>1. 运营账号 OP-LIVE-01 已获得虚拟金币
2. OP-LIVE-01 在直播场次 LIVE-OPS-001 赠送价值 100 金币的礼物
3. 赠送前 OP-LIVE-01 在本场贡献值为 0</x:v>
      </x:c>
      <x:c r="J334" s="5" t="str">
        <x:v>1. 用户在 LIVE-OPS-001 打开贡献榜
2. 查看 OP-LIVE-01 的本场贡献值</x:v>
      </x:c>
      <x:c r="K334" s="5" t="str">
        <x:v>OP-LIVE-01 的本场贡献值为 100</x:v>
      </x:c>
      <x:c r="L334" s="5" t="str">
        <x:v>FLOW-LIVE-010</x:v>
      </x:c>
      <x:c r="M334" s="5" t="str">
        <x:v>未测</x:v>
      </x:c>
      <x:c r="N334" s="5" t="str"/>
      <x:c r="O334" s="5" t="str">
        <x:v>1. 来源：context/03-管理后台-项目需求清单.md 第79行
2. 来源：context/02-公会App-项目需求清单.md 第55至56行
3. 来源：prototype/assets/annotations.js 的运营账号批注；静态分析，未动态验证
4. 流程阶段：运营账号送礼后的用户 App 榜单观察
5. 共同业务对象：运营账号 OP-LIVE-01、直播场次 LIVE-OPS-001 及虚拟礼物记录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335" ht="115.5" customHeight="1">
      <x:c r="A335" s="5" t="n">
        <x:v>334</x:v>
      </x:c>
      <x:c r="B335" s="5" t="str">
        <x:v>LIVE-334</x:v>
      </x:c>
      <x:c r="C335" s="5" t="str">
        <x:v>用户App-直播模块</x:v>
      </x:c>
      <x:c r="D335" s="5" t="str">
        <x:v>主播直播间</x:v>
      </x:c>
      <x:c r="E335" s="5" t="str">
        <x:v>业务流程</x:v>
      </x:c>
      <x:c r="F335" s="5" t="str">
        <x:v>P1</x:v>
      </x:c>
      <x:c r="G335" s="5" t="str">
        <x:v>验证运营账号虚拟送礼不计入主播真实收益</x:v>
      </x:c>
      <x:c r="H335" s="5" t="str">
        <x:v>虚拟送礼收益隔离</x:v>
      </x:c>
      <x:c r="I335" s="5" t="str">
        <x:v>1. 主播在 LIVE-OPS-001 的实时收益为 500 金币
2. 运营账号 OP-LIVE-01 已获得虚拟金币</x:v>
      </x:c>
      <x:c r="J335" s="5" t="str">
        <x:v>1. OP-LIVE-01 在 LIVE-OPS-001 赠送价值 100 金币的礼物
2. 主播查看当前实时收益</x:v>
      </x:c>
      <x:c r="K335" s="5" t="str">
        <x:v>主播实时收益保持 500 金币</x:v>
      </x:c>
      <x:c r="L335" s="5" t="str">
        <x:v>FLOW-LIVE-010</x:v>
      </x:c>
      <x:c r="M335" s="5" t="str">
        <x:v>未测</x:v>
      </x:c>
      <x:c r="N335" s="5" t="str"/>
      <x:c r="O335" s="5" t="str">
        <x:v>1. 来源：context/03-管理后台-项目需求清单.md 第79至80行
2. 来源：context/02-公会App-项目需求清单.md 第56行
3. 流程阶段：运营账号送礼后的主播收益观察
4. 共同业务对象：运营账号 OP-LIVE-01、直播场次 LIVE-OPS-001 及主播实时收益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336" ht="139.5" customHeight="1">
      <x:c r="A336" s="5" t="n">
        <x:v>335</x:v>
      </x:c>
      <x:c r="B336" s="5" t="str">
        <x:v>LIVE-335</x:v>
      </x:c>
      <x:c r="C336" s="5" t="str">
        <x:v>用户App-直播模块</x:v>
      </x:c>
      <x:c r="D336" s="5" t="str">
        <x:v>直播间举报</x:v>
      </x:c>
      <x:c r="E336" s="5" t="str">
        <x:v>业务流程</x:v>
      </x:c>
      <x:c r="F336" s="5" t="str">
        <x:v>P1</x:v>
      </x:c>
      <x:c r="G336" s="5" t="str">
        <x:v>验证直播结束后已提交举报继续审核</x:v>
      </x:c>
      <x:c r="H336" s="5" t="str">
        <x:v>直播结束后的举报工单</x:v>
      </x:c>
      <x:c r="I336" s="5" t="str">
        <x:v>1. 用户已对直播场次 LIVE-REPORT-001 提交举报工单
2. 管理后台中该工单状态为待处理
3. LIVE-REPORT-001 仍在直播</x:v>
      </x:c>
      <x:c r="J336" s="5" t="str">
        <x:v>1. 主播结束 LIVE-REPORT-001
2. 管理员进入举报工单列表
3. 查看该举报工单</x:v>
      </x:c>
      <x:c r="K336" s="5" t="str">
        <x:v>该举报工单仍保持可审核状态</x:v>
      </x:c>
      <x:c r="L336" s="5" t="str">
        <x:v>FLOW-LIVE-011</x:v>
      </x:c>
      <x:c r="M336" s="5" t="str">
        <x:v>未测</x:v>
      </x:c>
      <x:c r="N336" s="5" t="str"/>
      <x:c r="O336" s="5" t="str">
        <x:v>1. 来源：prototype/assets/annotations.js 第323条；按 prototype-primary 采用原型批注
2. 冲突追溯：context/系统概要 .md 第263行写直播结束后工单自动作废
3. 流程阶段：直播结束后在管理后台观察已提交举报
4. 共同业务对象：直播场次 LIVE-REPORT-001 及其举报工单
5. 质量检查：按 RCL-0018 使用最小前置条件和单一业务分支
6. 同步追溯：work/liveshow-user-live-testcases-260831-004/prototype-context-sync-result.json；RSL-0002、RSL-0003
7. 全局证据追溯：work/liveshow-user-live-testcases-260831-004/global-evidence-scan-result.json；扫描模式 incremental</x:v>
      </x:c>
    </x:row>
    <x:row r="337" ht="115.5" customHeight="1">
      <x:c r="A337" s="5" t="n">
        <x:v>336</x:v>
      </x:c>
      <x:c r="B337" s="5" t="str">
        <x:v>LIVE-336</x:v>
      </x:c>
      <x:c r="C337" s="5" t="str">
        <x:v>用户App-直播模块</x:v>
      </x:c>
      <x:c r="D337" s="5" t="str">
        <x:v>举报处置通知</x:v>
      </x:c>
      <x:c r="E337" s="5" t="str">
        <x:v>业务流程</x:v>
      </x:c>
      <x:c r="F337" s="5" t="str">
        <x:v>P1</x:v>
      </x:c>
      <x:c r="G337" s="5" t="str">
        <x:v>验证举报不成立时通知举报人</x:v>
      </x:c>
      <x:c r="H337" s="5" t="str">
        <x:v>不处置的举报人通知</x:v>
      </x:c>
      <x:c r="I337" s="5" t="str">
        <x:v>1. 用户已提交直播场次举报
2. 管理后台已判定举报不成立</x:v>
      </x:c>
      <x:c r="J337" s="5" t="str">
        <x:v>1. 管理员选择不处置并完成工单
2. 举报人查看消息通知</x:v>
      </x:c>
      <x:c r="K337" s="5" t="str">
        <x:v>举报人收到“举报内容暂无可处置违规，感谢您的反馈”</x:v>
      </x:c>
      <x:c r="L337" s="5" t="str">
        <x:v>FLOW-LIVE-011</x:v>
      </x:c>
      <x:c r="M337" s="5" t="str">
        <x:v>未测</x:v>
      </x:c>
      <x:c r="N337" s="5" t="str"/>
      <x:c r="O337" s="5" t="str">
        <x:v>1. 来源：context/系统概要 .md 第256至258行
2. 流程阶段：举报不成立后的举报人通知
3. 共同业务对象：同一直播举报工单及举报人
4. 质量检查：按 RCL-0018 使用最小前置条件和单一业务分支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338" ht="115.5" customHeight="1">
      <x:c r="A338" s="5" t="n">
        <x:v>337</x:v>
      </x:c>
      <x:c r="B338" s="5" t="str">
        <x:v>LIVE-337</x:v>
      </x:c>
      <x:c r="C338" s="5" t="str">
        <x:v>用户App-直播模块</x:v>
      </x:c>
      <x:c r="D338" s="5" t="str">
        <x:v>举报处置通知</x:v>
      </x:c>
      <x:c r="E338" s="5" t="str">
        <x:v>业务流程</x:v>
      </x:c>
      <x:c r="F338" s="5" t="str">
        <x:v>P1</x:v>
      </x:c>
      <x:c r="G338" s="5" t="str">
        <x:v>验证警告处置后通知举报人</x:v>
      </x:c>
      <x:c r="H338" s="5" t="str">
        <x:v>警告处置的举报人通知</x:v>
      </x:c>
      <x:c r="I338" s="5" t="str">
        <x:v>1. 用户已提交直播场次举报
2. 管理后台已判定举报成立</x:v>
      </x:c>
      <x:c r="J338" s="5" t="str">
        <x:v>1. 管理员选择警告并完成工单
2. 举报人查看消息通知</x:v>
      </x:c>
      <x:c r="K338" s="5" t="str">
        <x:v>举报人收到“举报成立，平台已依规处理”</x:v>
      </x:c>
      <x:c r="L338" s="5" t="str">
        <x:v>FLOW-LIVE-011</x:v>
      </x:c>
      <x:c r="M338" s="5" t="str">
        <x:v>未测</x:v>
      </x:c>
      <x:c r="N338" s="5" t="str"/>
      <x:c r="O338" s="5" t="str">
        <x:v>1. 来源：context/系统概要 .md 第256至259行
2. 流程阶段：警告处置后的举报人通知
3. 共同业务对象：同一直播举报工单及举报人
4. 质量检查：按 RCL-0018 使用最小前置条件和单一业务分支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339" ht="115.5" customHeight="1">
      <x:c r="A339" s="5" t="n">
        <x:v>338</x:v>
      </x:c>
      <x:c r="B339" s="5" t="str">
        <x:v>LIVE-338</x:v>
      </x:c>
      <x:c r="C339" s="5" t="str">
        <x:v>用户App-直播模块</x:v>
      </x:c>
      <x:c r="D339" s="5" t="str">
        <x:v>举报处置通知</x:v>
      </x:c>
      <x:c r="E339" s="5" t="str">
        <x:v>业务流程</x:v>
      </x:c>
      <x:c r="F339" s="5" t="str">
        <x:v>P1</x:v>
      </x:c>
      <x:c r="G339" s="5" t="str">
        <x:v>验证警告处置后提示主播</x:v>
      </x:c>
      <x:c r="H339" s="5" t="str">
        <x:v>警告处置的主播提示</x:v>
      </x:c>
      <x:c r="I339" s="5" t="str">
        <x:v>1. 主播正在目标直播场次直播
2. 管理后台已判定该场次举报成立</x:v>
      </x:c>
      <x:c r="J339" s="5" t="str">
        <x:v>1. 管理员选择警告并完成工单
2. 查看主播直播间</x:v>
      </x:c>
      <x:c r="K339" s="5" t="str">
        <x:v>主播收到“直播间存在违规，请及时调整”弹窗提示</x:v>
      </x:c>
      <x:c r="L339" s="5" t="str">
        <x:v>FLOW-LIVE-011</x:v>
      </x:c>
      <x:c r="M339" s="5" t="str">
        <x:v>未测</x:v>
      </x:c>
      <x:c r="N339" s="5" t="str"/>
      <x:c r="O339" s="5" t="str">
        <x:v>1. 来源：context/系统概要 .md 第256至259行
2. 流程阶段：警告处置后的主播提示
3. 共同业务对象：同一直播举报工单及被举报场次
4. 质量检查：按 RCL-0018 使用最小前置条件和单一业务分支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340" ht="115.5" customHeight="1">
      <x:c r="A340" s="5" t="n">
        <x:v>339</x:v>
      </x:c>
      <x:c r="B340" s="5" t="str">
        <x:v>LIVE-339</x:v>
      </x:c>
      <x:c r="C340" s="5" t="str">
        <x:v>用户App-直播模块</x:v>
      </x:c>
      <x:c r="D340" s="5" t="str">
        <x:v>举报处置通知</x:v>
      </x:c>
      <x:c r="E340" s="5" t="str">
        <x:v>业务流程</x:v>
      </x:c>
      <x:c r="F340" s="5" t="str">
        <x:v>P1</x:v>
      </x:c>
      <x:c r="G340" s="5" t="str">
        <x:v>验证关播处置后通知举报人</x:v>
      </x:c>
      <x:c r="H340" s="5" t="str">
        <x:v>关播处置的举报人通知</x:v>
      </x:c>
      <x:c r="I340" s="5" t="str">
        <x:v>1. 用户已提交直播场次举报
2. 管理后台已判定举报成立</x:v>
      </x:c>
      <x:c r="J340" s="5" t="str">
        <x:v>1. 管理员选择关播并完成工单
2. 举报人查看消息通知</x:v>
      </x:c>
      <x:c r="K340" s="5" t="str">
        <x:v>举报人收到“举报成立，平台已依规处理”</x:v>
      </x:c>
      <x:c r="L340" s="5" t="str">
        <x:v>FLOW-LIVE-011</x:v>
      </x:c>
      <x:c r="M340" s="5" t="str">
        <x:v>未测</x:v>
      </x:c>
      <x:c r="N340" s="5" t="str"/>
      <x:c r="O340" s="5" t="str">
        <x:v>1. 来源：context/系统概要 .md 第256至260行
2. 流程阶段：关播处置后的举报人通知
3. 共同业务对象：同一直播举报工单及举报人
4. 质量检查：按 RCL-0018 使用最小前置条件和单一业务分支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341" ht="115.5" customHeight="1">
      <x:c r="A341" s="5" t="n">
        <x:v>340</x:v>
      </x:c>
      <x:c r="B341" s="5" t="str">
        <x:v>LIVE-340</x:v>
      </x:c>
      <x:c r="C341" s="5" t="str">
        <x:v>用户App-直播模块</x:v>
      </x:c>
      <x:c r="D341" s="5" t="str">
        <x:v>举报处置通知</x:v>
      </x:c>
      <x:c r="E341" s="5" t="str">
        <x:v>业务流程</x:v>
      </x:c>
      <x:c r="F341" s="5" t="str">
        <x:v>P1</x:v>
      </x:c>
      <x:c r="G341" s="5" t="str">
        <x:v>验证关播处置后提示主播</x:v>
      </x:c>
      <x:c r="H341" s="5" t="str">
        <x:v>关播处置的主播提示</x:v>
      </x:c>
      <x:c r="I341" s="5" t="str">
        <x:v>1. 主播正在目标直播场次直播
2. 管理后台已判定该场次举报成立</x:v>
      </x:c>
      <x:c r="J341" s="5" t="str">
        <x:v>1. 管理员选择关播并完成工单
2. 查看主播用户 App</x:v>
      </x:c>
      <x:c r="K341" s="5" t="str">
        <x:v>主播收到“直播间存在违规，平台已关闭直播间”通知</x:v>
      </x:c>
      <x:c r="L341" s="5" t="str">
        <x:v>FLOW-LIVE-011</x:v>
      </x:c>
      <x:c r="M341" s="5" t="str">
        <x:v>未测</x:v>
      </x:c>
      <x:c r="N341" s="5" t="str"/>
      <x:c r="O341" s="5" t="str">
        <x:v>1. 来源：context/系统概要 .md 第256至260行
2. 流程阶段：关播处置后的主播通知
3. 共同业务对象：同一直播举报工单及被举报场次
4. 质量检查：按 RCL-0018 使用最小前置条件和单一业务分支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342" ht="115.5" customHeight="1">
      <x:c r="A342" s="5" t="n">
        <x:v>341</x:v>
      </x:c>
      <x:c r="B342" s="5" t="str">
        <x:v>LIVE-341</x:v>
      </x:c>
      <x:c r="C342" s="5" t="str">
        <x:v>用户App-直播模块</x:v>
      </x:c>
      <x:c r="D342" s="5" t="str">
        <x:v>举报处置通知</x:v>
      </x:c>
      <x:c r="E342" s="5" t="str">
        <x:v>业务流程</x:v>
      </x:c>
      <x:c r="F342" s="5" t="str">
        <x:v>P1</x:v>
      </x:c>
      <x:c r="G342" s="5" t="str">
        <x:v>验证关闭直播权限后通知举报人</x:v>
      </x:c>
      <x:c r="H342" s="5" t="str">
        <x:v>关闭权限的举报人通知</x:v>
      </x:c>
      <x:c r="I342" s="5" t="str">
        <x:v>1. 用户已提交直播场次举报
2. 管理后台已判定举报成立</x:v>
      </x:c>
      <x:c r="J342" s="5" t="str">
        <x:v>1. 管理员选择关闭直播权限并完成工单
2. 举报人查看消息通知</x:v>
      </x:c>
      <x:c r="K342" s="5" t="str">
        <x:v>举报人收到“举报成立，平台已依规处理”</x:v>
      </x:c>
      <x:c r="L342" s="5" t="str">
        <x:v>FLOW-LIVE-011</x:v>
      </x:c>
      <x:c r="M342" s="5" t="str">
        <x:v>未测</x:v>
      </x:c>
      <x:c r="N342" s="5" t="str"/>
      <x:c r="O342" s="5" t="str">
        <x:v>1. 来源：context/系统概要 .md 第256至261行
2. 流程阶段：关闭直播权限后的举报人通知
3. 共同业务对象：同一直播举报工单及举报人
4. 质量检查：按 RCL-0018 使用最小前置条件和单一业务分支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343" ht="115.5" customHeight="1">
      <x:c r="A343" s="5" t="n">
        <x:v>342</x:v>
      </x:c>
      <x:c r="B343" s="5" t="str">
        <x:v>LIVE-342</x:v>
      </x:c>
      <x:c r="C343" s="5" t="str">
        <x:v>用户App-直播模块</x:v>
      </x:c>
      <x:c r="D343" s="5" t="str">
        <x:v>举报处置通知</x:v>
      </x:c>
      <x:c r="E343" s="5" t="str">
        <x:v>业务流程</x:v>
      </x:c>
      <x:c r="F343" s="5" t="str">
        <x:v>P1</x:v>
      </x:c>
      <x:c r="G343" s="5" t="str">
        <x:v>验证关闭直播权限后提示主播</x:v>
      </x:c>
      <x:c r="H343" s="5" t="str">
        <x:v>关闭权限的主播提示</x:v>
      </x:c>
      <x:c r="I343" s="5" t="str">
        <x:v>1. 主播正在目标直播场次直播
2. 管理后台已判定该场次举报成立</x:v>
      </x:c>
      <x:c r="J343" s="5" t="str">
        <x:v>1. 管理员选择关闭直播权限并完成工单
2. 查看主播用户 App</x:v>
      </x:c>
      <x:c r="K343" s="5" t="str">
        <x:v>主播收到“直播间严重违规，平台已关闭直播间，并关闭直播权限”通知</x:v>
      </x:c>
      <x:c r="L343" s="5" t="str">
        <x:v>FLOW-LIVE-011</x:v>
      </x:c>
      <x:c r="M343" s="5" t="str">
        <x:v>未测</x:v>
      </x:c>
      <x:c r="N343" s="5" t="str"/>
      <x:c r="O343" s="5" t="str">
        <x:v>1. 来源：context/系统概要 .md 第256至261行
2. 流程阶段：关闭直播权限后的主播通知
3. 共同业务对象：同一直播举报工单及被举报主播
4. 质量检查：按 RCL-0018 使用最小前置条件和单一业务分支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344" ht="103.5" customHeight="1">
      <x:c r="A344" s="5" t="n">
        <x:v>343</x:v>
      </x:c>
      <x:c r="B344" s="5" t="str">
        <x:v>LIVE-343</x:v>
      </x:c>
      <x:c r="C344" s="5" t="str">
        <x:v>用户App-直播模块</x:v>
      </x:c>
      <x:c r="D344" s="5" t="str">
        <x:v>主播连麦</x:v>
      </x:c>
      <x:c r="E344" s="5" t="str">
        <x:v>逻辑校验</x:v>
      </x:c>
      <x:c r="F344" s="5" t="str">
        <x:v>P1</x:v>
      </x:c>
      <x:c r="G344" s="5" t="str">
        <x:v>验证主播只能保留一个发出邀请</x:v>
      </x:c>
      <x:c r="H344" s="5" t="str">
        <x:v>发出邀请数量上限</x:v>
      </x:c>
      <x:c r="I344" s="5" t="str">
        <x:v>1. 主播 A 正在普通房直播
2. 主播 B 和主播 C 均在普通房直播
3. 三名主播均未连麦且不存在账号拉黑关系</x:v>
      </x:c>
      <x:c r="J344" s="5" t="str">
        <x:v>1. 主播 A 向主播 B 发起连麦邀请
2. 主播 A 尝试向主播 C 发起连麦邀请</x:v>
      </x:c>
      <x:c r="K344" s="5" t="str">
        <x:v>主播 A 的发出邀请列表仅保留对主播 B 的一条邀请</x:v>
      </x:c>
      <x:c r="L344" s="5" t="str"/>
      <x:c r="M344" s="5" t="str">
        <x:v>未测</x:v>
      </x:c>
      <x:c r="N344" s="5" t="str"/>
      <x:c r="O344" s="5" t="str">
        <x:v>1. 来源：context/系统概要 .md 第231至243行
2. 来源：prototype/assets/annotations.js 第82条
3. 质量检查：按 RCL-0018 使用最小前置条件和单一业务分支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345" ht="103.5" customHeight="1">
      <x:c r="A345" s="5" t="n">
        <x:v>344</x:v>
      </x:c>
      <x:c r="B345" s="5" t="str">
        <x:v>LIVE-344</x:v>
      </x:c>
      <x:c r="C345" s="5" t="str">
        <x:v>用户App-直播模块</x:v>
      </x:c>
      <x:c r="D345" s="5" t="str">
        <x:v>主播连麦</x:v>
      </x:c>
      <x:c r="E345" s="5" t="str">
        <x:v>业务流程</x:v>
      </x:c>
      <x:c r="F345" s="5" t="str">
        <x:v>P1</x:v>
      </x:c>
      <x:c r="G345" s="5" t="str">
        <x:v>验证接受一条邀请后保留其他收到邀请</x:v>
      </x:c>
      <x:c r="H345" s="5" t="str">
        <x:v>接受邀请后的其他邀请</x:v>
      </x:c>
      <x:c r="I345" s="5" t="str">
        <x:v>1. 主播 B 同时收到主播 A 和主播 C 的连麦邀请
2. 主播 B 尚未连麦</x:v>
      </x:c>
      <x:c r="J345" s="5" t="str">
        <x:v>1. 主播 B 接受主播 A 的邀请
2. 查看主播 B 的收到邀请列表</x:v>
      </x:c>
      <x:c r="K345" s="5" t="str">
        <x:v>主播 C 发出的邀请仍保留在收到邀请列表中</x:v>
      </x:c>
      <x:c r="L345" s="5" t="str"/>
      <x:c r="M345" s="5" t="str">
        <x:v>未测</x:v>
      </x:c>
      <x:c r="N345" s="5" t="str"/>
      <x:c r="O345" s="5" t="str">
        <x:v>1. 来源：context/系统概要 .md 第239至243行
2. 来源：prototype/assets/annotations.js 第34条
3. 质量检查：按 RCL-0018 使用最小前置条件和单一业务分支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346" ht="91.5" customHeight="1">
      <x:c r="A346" s="5" t="n">
        <x:v>345</x:v>
      </x:c>
      <x:c r="B346" s="5" t="str">
        <x:v>LIVE-345</x:v>
      </x:c>
      <x:c r="C346" s="5" t="str">
        <x:v>用户App-直播模块</x:v>
      </x:c>
      <x:c r="D346" s="5" t="str">
        <x:v>主播连麦</x:v>
      </x:c>
      <x:c r="E346" s="5" t="str">
        <x:v>业务流程</x:v>
      </x:c>
      <x:c r="F346" s="5" t="str">
        <x:v>P1</x:v>
      </x:c>
      <x:c r="G346" s="5" t="str">
        <x:v>验证结束直播后待处理邀请失效</x:v>
      </x:c>
      <x:c r="H346" s="5" t="str">
        <x:v>结束直播的邀请失效</x:v>
      </x:c>
      <x:c r="I346" s="5" t="str">
        <x:v>1. 主播 A 已向主播 B 发出连麦邀请
2. 主播 B 尚未处理该邀请
3. 主播 A 仍在普通房直播</x:v>
      </x:c>
      <x:c r="J346" s="5" t="str">
        <x:v>1. 主播 A 结束直播
2. 主播 B 查看收到邀请列表</x:v>
      </x:c>
      <x:c r="K346" s="5" t="str">
        <x:v>主播 A 发出的待处理邀请失效</x:v>
      </x:c>
      <x:c r="L346" s="5" t="str"/>
      <x:c r="M346" s="5" t="str">
        <x:v>未测</x:v>
      </x:c>
      <x:c r="N346" s="5" t="str"/>
      <x:c r="O346" s="5" t="str">
        <x:v>1. 来源：context/系统概要 .md 第231至243行
2. 质量检查：按 RCL-0018 使用最小前置条件和单一业务分支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347" ht="91.5" customHeight="1">
      <x:c r="A347" s="5" t="n">
        <x:v>346</x:v>
      </x:c>
      <x:c r="B347" s="5" t="str">
        <x:v>LIVE-346</x:v>
      </x:c>
      <x:c r="C347" s="5" t="str">
        <x:v>用户App-直播模块</x:v>
      </x:c>
      <x:c r="D347" s="5" t="str">
        <x:v>主播连麦</x:v>
      </x:c>
      <x:c r="E347" s="5" t="str">
        <x:v>业务流程</x:v>
      </x:c>
      <x:c r="F347" s="5" t="str">
        <x:v>P1</x:v>
      </x:c>
      <x:c r="G347" s="5" t="str">
        <x:v>验证连麦方结束直播后连麦失效</x:v>
      </x:c>
      <x:c r="H347" s="5" t="str">
        <x:v>结束直播的连麦状态</x:v>
      </x:c>
      <x:c r="I347" s="5" t="str">
        <x:v>1. 主播 A 与主播 B 正在连麦
2. 双方原直播场次均在进行</x:v>
      </x:c>
      <x:c r="J347" s="5" t="str">
        <x:v>1. 主播 A 结束直播
2. 查看主播 B 的连麦画面</x:v>
      </x:c>
      <x:c r="K347" s="5" t="str">
        <x:v>主播 B 退出与主播 A 的连麦画面</x:v>
      </x:c>
      <x:c r="L347" s="5" t="str"/>
      <x:c r="M347" s="5" t="str">
        <x:v>未测</x:v>
      </x:c>
      <x:c r="N347" s="5" t="str"/>
      <x:c r="O347" s="5" t="str">
        <x:v>1. 来源：context/系统概要 .md 第231至244行
2. 质量检查：按 RCL-0018 使用最小前置条件和单一业务分支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348" ht="115.5" customHeight="1">
      <x:c r="A348" s="5" t="n">
        <x:v>347</x:v>
      </x:c>
      <x:c r="B348" s="5" t="str">
        <x:v>LIVE-347</x:v>
      </x:c>
      <x:c r="C348" s="5" t="str">
        <x:v>用户App-直播模块</x:v>
      </x:c>
      <x:c r="D348" s="5" t="str">
        <x:v>运营账号进房</x:v>
      </x:c>
      <x:c r="E348" s="5" t="str">
        <x:v>业务流程</x:v>
      </x:c>
      <x:c r="F348" s="5" t="str">
        <x:v>P1</x:v>
      </x:c>
      <x:c r="G348" s="5" t="str">
        <x:v>验证运营账号免购票进入门票房</x:v>
      </x:c>
      <x:c r="H348" s="5" t="str">
        <x:v>运营账号门票房准入</x:v>
      </x:c>
      <x:c r="I348" s="5" t="str">
        <x:v>1. 运营账号 OP-LIVE-02 已启用
2. 目标门票房正在直播
3. OP-LIVE-02 未购买本场门票</x:v>
      </x:c>
      <x:c r="J348" s="5" t="str">
        <x:v>1. OP-LIVE-02 点击目标门票房</x:v>
      </x:c>
      <x:c r="K348" s="5" t="str">
        <x:v>OP-LIVE-02 不经过购票即可进入目标门票房</x:v>
      </x:c>
      <x:c r="L348" s="5" t="str">
        <x:v>FLOW-LIVE-012</x:v>
      </x:c>
      <x:c r="M348" s="5" t="str">
        <x:v>未测</x:v>
      </x:c>
      <x:c r="N348" s="5" t="str"/>
      <x:c r="O348" s="5" t="str">
        <x:v>1. 来源：context/系统概要 .md 第413至423行
2. 流程阶段：运营账号进入门票房
3. 共同业务对象：运营账号 OP-LIVE-02 及目标门票房场次
4. 质量检查：按 RCL-0018 使用最小前置条件和单一业务分支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349" ht="115.5" customHeight="1">
      <x:c r="A349" s="5" t="n">
        <x:v>348</x:v>
      </x:c>
      <x:c r="B349" s="5" t="str">
        <x:v>LIVE-348</x:v>
      </x:c>
      <x:c r="C349" s="5" t="str">
        <x:v>用户App-直播模块</x:v>
      </x:c>
      <x:c r="D349" s="5" t="str">
        <x:v>运营账号进房</x:v>
      </x:c>
      <x:c r="E349" s="5" t="str">
        <x:v>业务流程</x:v>
      </x:c>
      <x:c r="F349" s="5" t="str">
        <x:v>P1</x:v>
      </x:c>
      <x:c r="G349" s="5" t="str">
        <x:v>验证运营账号免密码进入密码房</x:v>
      </x:c>
      <x:c r="H349" s="5" t="str">
        <x:v>运营账号密码房准入</x:v>
      </x:c>
      <x:c r="I349" s="5" t="str">
        <x:v>1. 运营账号 OP-LIVE-02 已启用
2. 目标密码房正在直播
3. OP-LIVE-02 未获得房间密码</x:v>
      </x:c>
      <x:c r="J349" s="5" t="str">
        <x:v>1. OP-LIVE-02 点击目标密码房</x:v>
      </x:c>
      <x:c r="K349" s="5" t="str">
        <x:v>OP-LIVE-02 不输入密码即可进入目标密码房</x:v>
      </x:c>
      <x:c r="L349" s="5" t="str">
        <x:v>FLOW-LIVE-012</x:v>
      </x:c>
      <x:c r="M349" s="5" t="str">
        <x:v>未测</x:v>
      </x:c>
      <x:c r="N349" s="5" t="str"/>
      <x:c r="O349" s="5" t="str">
        <x:v>1. 来源：context/系统概要 .md 第413至423行
2. 流程阶段：运营账号进入密码房
3. 共同业务对象：运营账号 OP-LIVE-02 及目标密码房场次
4. 质量检查：按 RCL-0018 使用最小前置条件和单一业务分支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350" ht="115.5" customHeight="1">
      <x:c r="A350" s="5" t="n">
        <x:v>349</x:v>
      </x:c>
      <x:c r="B350" s="5" t="str">
        <x:v>LIVE-349</x:v>
      </x:c>
      <x:c r="C350" s="5" t="str">
        <x:v>用户App-直播模块</x:v>
      </x:c>
      <x:c r="D350" s="5" t="str">
        <x:v>运营账号送礼</x:v>
      </x:c>
      <x:c r="E350" s="5" t="str">
        <x:v>逻辑校验</x:v>
      </x:c>
      <x:c r="F350" s="5" t="str">
        <x:v>P1</x:v>
      </x:c>
      <x:c r="G350" s="5" t="str">
        <x:v>验证运营账号不能赠送幸运礼物</x:v>
      </x:c>
      <x:c r="H350" s="5" t="str">
        <x:v>运营账号幸运礼物限制</x:v>
      </x:c>
      <x:c r="I350" s="5" t="str">
        <x:v>1. 运营账号 OP-LIVE-02 已启用
2. OP-LIVE-02 已进入支持送礼的直播间</x:v>
      </x:c>
      <x:c r="J350" s="5" t="str">
        <x:v>1. OP-LIVE-02 打开礼物面板
2. 切换到幸运礼物分类</x:v>
      </x:c>
      <x:c r="K350" s="5" t="str">
        <x:v>运营账号没有可执行的幸运礼物赠送入口</x:v>
      </x:c>
      <x:c r="L350" s="5" t="str">
        <x:v>FLOW-LIVE-012</x:v>
      </x:c>
      <x:c r="M350" s="5" t="str">
        <x:v>未测</x:v>
      </x:c>
      <x:c r="N350" s="5" t="str"/>
      <x:c r="O350" s="5" t="str">
        <x:v>1. 来源：context/系统概要 .md 第413至423行
2. 流程阶段：运营账号查看幸运礼物
3. 共同业务对象：运营账号 OP-LIVE-02 及幸运礼物配置
4. 质量检查：按 RCL-0018 使用最小前置条件和单一业务分支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351" ht="91.5" customHeight="1">
      <x:c r="A351" s="5" t="n">
        <x:v>350</x:v>
      </x:c>
      <x:c r="B351" s="5" t="str">
        <x:v>LIVE-350</x:v>
      </x:c>
      <x:c r="C351" s="5" t="str">
        <x:v>用户App-直播模块</x:v>
      </x:c>
      <x:c r="D351" s="5" t="str">
        <x:v>账号拉黑</x:v>
      </x:c>
      <x:c r="E351" s="5" t="str">
        <x:v>业务流程</x:v>
      </x:c>
      <x:c r="F351" s="5" t="str">
        <x:v>P1</x:v>
      </x:c>
      <x:c r="G351" s="5" t="str">
        <x:v>验证账号拉黑后取消既有关注</x:v>
      </x:c>
      <x:c r="H351" s="5" t="str">
        <x:v>拉黑后的关注关系</x:v>
      </x:c>
      <x:c r="I351" s="5" t="str">
        <x:v>1. 用户已关注目标主播
2. 双方不存在账号拉黑关系</x:v>
      </x:c>
      <x:c r="J351" s="5" t="str">
        <x:v>1. 用户拉黑目标主播
2. 查看用户的关注列表</x:v>
      </x:c>
      <x:c r="K351" s="5" t="str">
        <x:v>目标主播从用户关注列表中移除</x:v>
      </x:c>
      <x:c r="L351" s="5" t="str"/>
      <x:c r="M351" s="5" t="str">
        <x:v>未测</x:v>
      </x:c>
      <x:c r="N351" s="5" t="str"/>
      <x:c r="O351" s="5" t="str">
        <x:v>1. 来源：context/系统概要 .md 第198至207行；原型未明确关注关系后果
2. 质量检查：按 RCL-0018 使用最小前置条件和单一业务分支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352" ht="91.5" customHeight="1">
      <x:c r="A352" s="5" t="n">
        <x:v>351</x:v>
      </x:c>
      <x:c r="B352" s="5" t="str">
        <x:v>LIVE-351</x:v>
      </x:c>
      <x:c r="C352" s="5" t="str">
        <x:v>用户App-直播模块</x:v>
      </x:c>
      <x:c r="D352" s="5" t="str">
        <x:v>账号拉黑</x:v>
      </x:c>
      <x:c r="E352" s="5" t="str">
        <x:v>业务流程</x:v>
      </x:c>
      <x:c r="F352" s="5" t="str">
        <x:v>P1</x:v>
      </x:c>
      <x:c r="G352" s="5" t="str">
        <x:v>验证解除拉黑后不恢复原关注</x:v>
      </x:c>
      <x:c r="H352" s="5" t="str">
        <x:v>解除拉黑后的关注关系</x:v>
      </x:c>
      <x:c r="I352" s="5" t="str">
        <x:v>1. 用户拉黑目标主播前已关注该主播
2. 拉黑后目标主播已从关注列表移除</x:v>
      </x:c>
      <x:c r="J352" s="5" t="str">
        <x:v>1. 用户解除对目标主播的账号拉黑
2. 查看用户的关注列表</x:v>
      </x:c>
      <x:c r="K352" s="5" t="str">
        <x:v>目标主播不会自动恢复到用户关注列表</x:v>
      </x:c>
      <x:c r="L352" s="5" t="str"/>
      <x:c r="M352" s="5" t="str">
        <x:v>未测</x:v>
      </x:c>
      <x:c r="N352" s="5" t="str"/>
      <x:c r="O352" s="5" t="str">
        <x:v>1. 来源：context/系统概要 .md 第198至207行；原型未明确关注关系后果
2. 质量检查：按 RCL-0018 使用最小前置条件和单一业务分支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353" ht="103.5" customHeight="1">
      <x:c r="A353" s="5" t="n">
        <x:v>352</x:v>
      </x:c>
      <x:c r="B353" s="5" t="str">
        <x:v>LIVE-352</x:v>
      </x:c>
      <x:c r="C353" s="5" t="str">
        <x:v>用户App-直播模块</x:v>
      </x:c>
      <x:c r="D353" s="5" t="str">
        <x:v>幸运礼物</x:v>
      </x:c>
      <x:c r="E353" s="5" t="str">
        <x:v>功能需求</x:v>
      </x:c>
      <x:c r="F353" s="5" t="str">
        <x:v>P1</x:v>
      </x:c>
      <x:c r="G353" s="5" t="str">
        <x:v>验证幸运礼物展示返奖档位</x:v>
      </x:c>
      <x:c r="H353" s="5" t="str">
        <x:v>幸运礼物返奖档位</x:v>
      </x:c>
      <x:c r="I353" s="5" t="str">
        <x:v>1. 幸运礼物功能已开启
2. 用户已进入支持送礼的直播间</x:v>
      </x:c>
      <x:c r="J353" s="5" t="str">
        <x:v>1. 打开礼物面板
2. 选择一个幸运礼物
3. 查看奖励说明</x:v>
      </x:c>
      <x:c r="K353" s="5" t="str">
        <x:v>奖励说明展示 0、5、10、50、100、1000 金币六个返奖档位</x:v>
      </x:c>
      <x:c r="L353" s="5" t="str"/>
      <x:c r="M353" s="5" t="str">
        <x:v>未测</x:v>
      </x:c>
      <x:c r="N353" s="5" t="str"/>
      <x:c r="O353" s="5" t="str">
        <x:v>1. 来源：context/系统概要 .md 第311至343行
2. 来源：context/01-用户主播App-项目需求清单.md 第61至64行
3. 质量检查：按 RCL-0018 使用最小前置条件和单一业务分支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354" ht="103.5" customHeight="1">
      <x:c r="A354" s="5" t="n">
        <x:v>353</x:v>
      </x:c>
      <x:c r="B354" s="5" t="str">
        <x:v>LIVE-353</x:v>
      </x:c>
      <x:c r="C354" s="5" t="str">
        <x:v>用户App-直播模块</x:v>
      </x:c>
      <x:c r="D354" s="5" t="str">
        <x:v>幸运礼物</x:v>
      </x:c>
      <x:c r="E354" s="5" t="str">
        <x:v>逻辑校验</x:v>
      </x:c>
      <x:c r="F354" s="5" t="str">
        <x:v>P1</x:v>
      </x:c>
      <x:c r="G354" s="5" t="str">
        <x:v>验证幸运礼物三档概率展示</x:v>
      </x:c>
      <x:c r="H354" s="5" t="str">
        <x:v>幸运礼物概率配置</x:v>
      </x:c>
      <x:c r="I354" s="5" t="str">
        <x:v>1. 幸运礼物功能已开启
2. 用户已进入支持送礼的直播间</x:v>
      </x:c>
      <x:c r="J354" s="5" t="str">
        <x:v>1. 打开幸运礼物详情
2. 查看 1 连抽、10 连抽和 100 连抽概率</x:v>
      </x:c>
      <x:c r="K354" s="5" t="str">
        <x:v>三档概率分别展示 10.4%/32%/55%/2%/0.5%/0.1%、8.4%/34%/55%/2%/0.5%/0.1%、6.4%/36%/55%/2%/0.5%/0.1%</x:v>
      </x:c>
      <x:c r="L354" s="5" t="str"/>
      <x:c r="M354" s="5" t="str">
        <x:v>未测</x:v>
      </x:c>
      <x:c r="N354" s="5" t="str"/>
      <x:c r="O354" s="5" t="str">
        <x:v>1. 来源：context/系统概要 .md 第311至343行
2. 来源：context/01-用户主播App-项目需求清单.md 第61至64行
3. 质量检查：按 RCL-0018 使用最小前置条件和单一业务分支
4. 同步追溯：work/liveshow-user-live-testcases-260831-004/prototype-context-sync-result.json；RSL-0002、RSL-0003
5. 全局证据追溯：work/liveshow-user-live-testcases-260831-004/global-evidence-scan-result.json；扫描模式 incremental</x:v>
      </x:c>
    </x:row>
    <x:row r="355" ht="91.5" customHeight="1">
      <x:c r="A355" s="5" t="n">
        <x:v>354</x:v>
      </x:c>
      <x:c r="B355" s="5" t="str">
        <x:v>LIVE-354</x:v>
      </x:c>
      <x:c r="C355" s="5" t="str">
        <x:v>用户App-直播模块</x:v>
      </x:c>
      <x:c r="D355" s="5" t="str">
        <x:v>幸运礼物</x:v>
      </x:c>
      <x:c r="E355" s="5" t="str">
        <x:v>逻辑校验</x:v>
      </x:c>
      <x:c r="F355" s="5" t="str">
        <x:v>P1</x:v>
      </x:c>
      <x:c r="G355" s="5" t="str">
        <x:v>验证单个幸运礼物返奖 50 金币后的余额</x:v>
      </x:c>
      <x:c r="H355" s="5" t="str">
        <x:v>单个礼物返奖 50 金币</x:v>
      </x:c>
      <x:c r="I355" s="5" t="str">
        <x:v>1. 幸运礼物单价为 10 金币
2. 用户初始余额为 100 金币
3. 测试开奖结果固定为返奖 50 金币</x:v>
      </x:c>
      <x:c r="J355" s="5" t="str">
        <x:v>1. 用户赠送 1 个幸运礼物
2. 开奖完成后查看余额</x:v>
      </x:c>
      <x:c r="K355" s="5" t="str">
        <x:v>用户余额 = 100 - 10 + 50 = 140 金币</x:v>
      </x:c>
      <x:c r="L355" s="5" t="str"/>
      <x:c r="M355" s="5" t="str">
        <x:v>未测</x:v>
      </x:c>
      <x:c r="N355" s="5" t="str"/>
      <x:c r="O355" s="5" t="str">
        <x:v>1. 来源：context/系统概要 .md 第311至349行
2. 质量检查：按 RCL-0018 使用最小前置条件和单一业务分支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356" ht="91.5" customHeight="1">
      <x:c r="A356" s="5" t="n">
        <x:v>355</x:v>
      </x:c>
      <x:c r="B356" s="5" t="str">
        <x:v>LIVE-355</x:v>
      </x:c>
      <x:c r="C356" s="5" t="str">
        <x:v>用户App-直播模块</x:v>
      </x:c>
      <x:c r="D356" s="5" t="str">
        <x:v>幸运礼物</x:v>
      </x:c>
      <x:c r="E356" s="5" t="str">
        <x:v>逻辑校验</x:v>
      </x:c>
      <x:c r="F356" s="5" t="str">
        <x:v>P1</x:v>
      </x:c>
      <x:c r="G356" s="5" t="str">
        <x:v>验证单个幸运礼物返奖 0 金币后的余额</x:v>
      </x:c>
      <x:c r="H356" s="5" t="str">
        <x:v>单个礼物返奖 0 金币</x:v>
      </x:c>
      <x:c r="I356" s="5" t="str">
        <x:v>1. 幸运礼物单价为 10 金币
2. 用户初始余额为 100 金币
3. 测试开奖结果固定为返奖 0 金币</x:v>
      </x:c>
      <x:c r="J356" s="5" t="str">
        <x:v>1. 用户赠送 1 个幸运礼物
2. 开奖完成后查看余额</x:v>
      </x:c>
      <x:c r="K356" s="5" t="str">
        <x:v>用户余额 = 100 - 10 + 0 = 90 金币</x:v>
      </x:c>
      <x:c r="L356" s="5" t="str"/>
      <x:c r="M356" s="5" t="str">
        <x:v>未测</x:v>
      </x:c>
      <x:c r="N356" s="5" t="str"/>
      <x:c r="O356" s="5" t="str">
        <x:v>1. 来源：context/系统概要 .md 第311至349行
2. 质量检查：按 RCL-0018 使用最小前置条件和单一业务分支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357" ht="91.5" customHeight="1">
      <x:c r="A357" s="5" t="n">
        <x:v>356</x:v>
      </x:c>
      <x:c r="B357" s="5" t="str">
        <x:v>LIVE-356</x:v>
      </x:c>
      <x:c r="C357" s="5" t="str">
        <x:v>用户App-直播模块</x:v>
      </x:c>
      <x:c r="D357" s="5" t="str">
        <x:v>幸运礼物</x:v>
      </x:c>
      <x:c r="E357" s="5" t="str">
        <x:v>业务流程</x:v>
      </x:c>
      <x:c r="F357" s="5" t="str">
        <x:v>P1</x:v>
      </x:c>
      <x:c r="G357" s="5" t="str">
        <x:v>验证十个幸运礼物分别开奖</x:v>
      </x:c>
      <x:c r="H357" s="5" t="str">
        <x:v>十连抽独立开奖</x:v>
      </x:c>
      <x:c r="I357" s="5" t="str">
        <x:v>1. 幸运礼物单价为 10 金币
2. 用户余额不少于 100 金币
3. 测试环境可读取本次开奖明细</x:v>
      </x:c>
      <x:c r="J357" s="5" t="str">
        <x:v>1. 用户一次赠送 10 个幸运礼物
2. 查看本次开奖明细</x:v>
      </x:c>
      <x:c r="K357" s="5" t="str">
        <x:v>本次开奖明细包含 10 条独立开奖结果</x:v>
      </x:c>
      <x:c r="L357" s="5" t="str"/>
      <x:c r="M357" s="5" t="str">
        <x:v>未测</x:v>
      </x:c>
      <x:c r="N357" s="5" t="str"/>
      <x:c r="O357" s="5" t="str">
        <x:v>1. 来源：context/系统概要 .md 第311至349行
2. 质量检查：按 RCL-0018 使用最小前置条件和单一业务分支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358" ht="91.5" customHeight="1">
      <x:c r="A358" s="5" t="n">
        <x:v>357</x:v>
      </x:c>
      <x:c r="B358" s="5" t="str">
        <x:v>LIVE-357</x:v>
      </x:c>
      <x:c r="C358" s="5" t="str">
        <x:v>用户App-直播模块</x:v>
      </x:c>
      <x:c r="D358" s="5" t="str">
        <x:v>直播送礼</x:v>
      </x:c>
      <x:c r="E358" s="5" t="str">
        <x:v>业务流程</x:v>
      </x:c>
      <x:c r="F358" s="5" t="str">
        <x:v>P1</x:v>
      </x:c>
      <x:c r="G358" s="5" t="str">
        <x:v>验证已成功赠送的礼物不退款</x:v>
      </x:c>
      <x:c r="H358" s="5" t="str">
        <x:v>成功赠送礼物退款限制</x:v>
      </x:c>
      <x:c r="I358" s="5" t="str">
        <x:v>1. 用户已成功赠送价值 20 金币的普通礼物
2. 赠送后用户余额为 80 金币</x:v>
      </x:c>
      <x:c r="J358" s="5" t="str">
        <x:v>1. 用户返回金币消费明细
2. 查看已完成礼物消费和当前余额</x:v>
      </x:c>
      <x:c r="K358" s="5" t="str">
        <x:v>已完成礼物消费对应的 20 金币不退回用户余额</x:v>
      </x:c>
      <x:c r="L358" s="5" t="str"/>
      <x:c r="M358" s="5" t="str">
        <x:v>未测</x:v>
      </x:c>
      <x:c r="N358" s="5" t="str"/>
      <x:c r="O358" s="5" t="str">
        <x:v>1. 来源：context/系统概要 .md 第294至307行
2. 质量检查：按 RCL-0018 使用最小前置条件和单一业务分支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359" ht="115.5" customHeight="1">
      <x:c r="A359" s="5" t="n">
        <x:v>358</x:v>
      </x:c>
      <x:c r="B359" s="5" t="str">
        <x:v>LIVE-358</x:v>
      </x:c>
      <x:c r="C359" s="5" t="str">
        <x:v>用户App-直播模块</x:v>
      </x:c>
      <x:c r="D359" s="5" t="str">
        <x:v>直播送礼</x:v>
      </x:c>
      <x:c r="E359" s="5" t="str">
        <x:v>逻辑校验</x:v>
      </x:c>
      <x:c r="F359" s="5" t="str">
        <x:v>P1</x:v>
      </x:c>
      <x:c r="G359" s="5" t="str">
        <x:v>验证下架礼物不能继续赠送</x:v>
      </x:c>
      <x:c r="H359" s="5" t="str">
        <x:v>礼物下架后的赠送限制</x:v>
      </x:c>
      <x:c r="I359" s="5" t="str">
        <x:v>1. 用户已打开礼物面板
2. 后台随后下架礼物 GFT-LIVE-03</x:v>
      </x:c>
      <x:c r="J359" s="5" t="str">
        <x:v>1. 用户刷新礼物面板
2. 尝试选择 GFT-LIVE-03</x:v>
      </x:c>
      <x:c r="K359" s="5" t="str">
        <x:v>用户不能继续赠送 GFT-LIVE-03</x:v>
      </x:c>
      <x:c r="L359" s="5" t="str">
        <x:v>FLOW-LIVE-009</x:v>
      </x:c>
      <x:c r="M359" s="5" t="str">
        <x:v>未测</x:v>
      </x:c>
      <x:c r="N359" s="5" t="str"/>
      <x:c r="O359" s="5" t="str">
        <x:v>1. 来源：context/系统概要 .md 第294至305行
2. 流程阶段：后台下架后的用户 App 赠送限制
3. 共同业务对象：礼物 GFT-LIVE-03
4. 质量检查：按 RCL-0018 使用最小前置条件和单一业务分支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360" ht="115.5" customHeight="1">
      <x:c r="A360" s="5" t="n">
        <x:v>359</x:v>
      </x:c>
      <x:c r="B360" s="5" t="str">
        <x:v>LIVE-359</x:v>
      </x:c>
      <x:c r="C360" s="5" t="str">
        <x:v>用户App-直播模块</x:v>
      </x:c>
      <x:c r="D360" s="5" t="str">
        <x:v>直播送礼</x:v>
      </x:c>
      <x:c r="E360" s="5" t="str">
        <x:v>业务流程</x:v>
      </x:c>
      <x:c r="F360" s="5" t="str">
        <x:v>P1</x:v>
      </x:c>
      <x:c r="G360" s="5" t="str">
        <x:v>验证礼物下架后保留已完成消费记录</x:v>
      </x:c>
      <x:c r="H360" s="5" t="str">
        <x:v>下架礼物历史记录</x:v>
      </x:c>
      <x:c r="I360" s="5" t="str">
        <x:v>1. 用户已成功赠送礼物 GFT-LIVE-03
2. 消费明细已生成 GFT-LIVE-03 记录
3. 后台随后下架 GFT-LIVE-03</x:v>
      </x:c>
      <x:c r="J360" s="5" t="str">
        <x:v>1. 用户进入金币消费明细
2. 查看 GFT-LIVE-03 的历史记录</x:v>
      </x:c>
      <x:c r="K360" s="5" t="str">
        <x:v>GFT-LIVE-03 的已完成消费记录仍保留</x:v>
      </x:c>
      <x:c r="L360" s="5" t="str">
        <x:v>FLOW-LIVE-009</x:v>
      </x:c>
      <x:c r="M360" s="5" t="str">
        <x:v>未测</x:v>
      </x:c>
      <x:c r="N360" s="5" t="str"/>
      <x:c r="O360" s="5" t="str">
        <x:v>1. 来源：context/系统概要 .md 第294至305行
2. 流程阶段：礼物下架后的用户 App 历史记录
3. 共同业务对象：礼物 GFT-LIVE-03 及其消费记录
4. 质量检查：按 RCL-0018 使用最小前置条件和单一业务分支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  <x:row r="361" ht="91.5" customHeight="1">
      <x:c r="A361" s="5" t="n">
        <x:v>360</x:v>
      </x:c>
      <x:c r="B361" s="5" t="str">
        <x:v>LIVE-360</x:v>
      </x:c>
      <x:c r="C361" s="5" t="str">
        <x:v>用户App-直播模块</x:v>
      </x:c>
      <x:c r="D361" s="5" t="str">
        <x:v>直播送礼</x:v>
      </x:c>
      <x:c r="E361" s="5" t="str">
        <x:v>逻辑校验</x:v>
      </x:c>
      <x:c r="F361" s="5" t="str">
        <x:v>P1</x:v>
      </x:c>
      <x:c r="G361" s="5" t="str">
        <x:v>验证负金币余额不能继续送礼</x:v>
      </x:c>
      <x:c r="H361" s="5" t="str">
        <x:v>负余额送礼限制</x:v>
      </x:c>
      <x:c r="I361" s="5" t="str">
        <x:v>1. 用户金币余额为 -10
2. 用户已进入支持送礼的直播间</x:v>
      </x:c>
      <x:c r="J361" s="5" t="str">
        <x:v>1. 用户打开礼物面板
2. 尝试赠送单价 1 金币的普通礼物</x:v>
      </x:c>
      <x:c r="K361" s="5" t="str">
        <x:v>目标普通礼物不送出</x:v>
      </x:c>
      <x:c r="L361" s="5" t="str"/>
      <x:c r="M361" s="5" t="str">
        <x:v>未测</x:v>
      </x:c>
      <x:c r="N361" s="5" t="str"/>
      <x:c r="O361" s="5" t="str">
        <x:v>1. 来源：context/系统概要 .md 第278至290行
2. 质量检查：按 RCL-0018 使用最小前置条件和单一业务分支
3. 同步追溯：work/liveshow-user-live-testcases-260831-004/prototype-context-sync-result.json；RSL-0002、RSL-0003
4. 全局证据追溯：work/liveshow-user-live-testcases-260831-004/global-evidence-scan-result.json；扫描模式 incremental</x:v>
      </x:c>
    </x:row>
    <x:row r="362" ht="115.5" customHeight="1">
      <x:c r="A362" s="5" t="n">
        <x:v>361</x:v>
      </x:c>
      <x:c r="B362" s="5" t="str">
        <x:v>LIVE-361</x:v>
      </x:c>
      <x:c r="C362" s="5" t="str">
        <x:v>用户App-直播模块</x:v>
      </x:c>
      <x:c r="D362" s="5" t="str">
        <x:v>直播送礼</x:v>
      </x:c>
      <x:c r="E362" s="5" t="str">
        <x:v>异常用例</x:v>
      </x:c>
      <x:c r="F362" s="5" t="str">
        <x:v>P1</x:v>
      </x:c>
      <x:c r="G362" s="5" t="str">
        <x:v>验证送礼条件检查失败不扣金币</x:v>
      </x:c>
      <x:c r="H362" s="5" t="str">
        <x:v>送礼失败余额保持</x:v>
      </x:c>
      <x:c r="I362" s="5" t="str">
        <x:v>1. 用户金币余额为 100
2. 后台已下架用户当前选中的礼物 GFT-LIVE-04</x:v>
      </x:c>
      <x:c r="J362" s="5" t="str">
        <x:v>1. 用户提交 GFT-LIVE-04 的赠送请求
2. 刷新金币余额</x:v>
      </x:c>
      <x:c r="K362" s="5" t="str">
        <x:v>用户金币余额保持 100</x:v>
      </x:c>
      <x:c r="L362" s="5" t="str">
        <x:v>FLOW-LIVE-009</x:v>
      </x:c>
      <x:c r="M362" s="5" t="str">
        <x:v>未测</x:v>
      </x:c>
      <x:c r="N362" s="5" t="str"/>
      <x:c r="O362" s="5" t="str">
        <x:v>1. 来源：context/系统概要 .md 第278至305行
2. 流程阶段：后台下架与用户提交并发时的余额结果
3. 共同业务对象：礼物 GFT-LIVE-04 及用户金币账户
4. 质量检查：按 RCL-0018 使用最小前置条件和单一业务分支
5. 同步追溯：work/liveshow-user-live-testcases-260831-004/prototype-context-sync-result.json；RSL-0002、RSL-0003
6. 全局证据追溯：work/liveshow-user-live-testcases-260831-004/global-evidence-scan-result.json；扫描模式 incremental</x:v>
      </x:c>
    </x:row>
  </x:sheetData>
  <x:conditionalFormatting sqref="F2:F362">
    <x:cfRule type="containsText" dxfId="0" priority="1" operator="containsText" text="P0"/>
    <x:cfRule type="containsText" dxfId="1" priority="2" operator="containsText" text="P1"/>
  </x:conditionalFormatting>
  <x:dataValidations count="3">
    <x:dataValidation type="list" sqref="E2:E362">
      <x:formula1>"功能需求,业务流程,逻辑校验,异常用例"</x:formula1>
    </x:dataValidation>
    <x:dataValidation type="list" sqref="F2:F362">
      <x:formula1>"P0,P1,P2,P3"</x:formula1>
    </x:dataValidation>
    <x:dataValidation type="list" sqref="M2:M362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7e2c248acf47ad"/>
  </x:tableParts>
</x:worksheet>
</file>

<file path=xl/worksheets/sheet2.xml><?xml version="1.0" encoding="utf-8"?>
<x:worksheet xmlns:x="http://schemas.openxmlformats.org/spreadsheetml/2006/main">
  <x:sheetPr>
    <x:outlinePr summaryBelow="0" summaryRight="1"/>
  </x:sheetPr>
  <x:sheetViews>
    <x:sheetView showGridLines="0" workbookViewId="0">
      <x:pane xSplit="3" ySplit="1" topLeftCell="D2" activePane="bottomRight" state="frozen"/>
      <x:selection pane="bottomRight" activeCell="D2" sqref="D2"/>
    </x:sheetView>
  </x:sheetViews>
  <x:sheetFormatPr defaultRowHeight="15" outlineLevelRow="1"/>
  <x:cols>
    <x:col min="1" max="1" width="15" hidden="0" customWidth="1"/>
    <x:col min="2" max="2" width="15" hidden="0" customWidth="1"/>
    <x:col min="3" max="3" width="16" hidden="0" customWidth="1"/>
    <x:col min="4" max="4" width="38" hidden="0" customWidth="1"/>
    <x:col min="5" max="5" width="14" hidden="0" customWidth="1"/>
    <x:col min="6" max="6" width="20" hidden="1" customWidth="1"/>
    <x:col min="7" max="7" width="38" hidden="0" customWidth="1"/>
    <x:col min="8" max="8" width="22" hidden="1" customWidth="1"/>
    <x:col min="9" max="9" width="48" hidden="0" customWidth="1"/>
    <x:col min="10" max="10" width="58" hidden="0" customWidth="1"/>
    <x:col min="11" max="11" width="50" hidden="0" customWidth="1"/>
    <x:col min="12" max="12" width="15" hidden="0" customWidth="1"/>
    <x:col min="13" max="13" width="36" hidden="0" customWidth="1"/>
    <x:col min="14" max="14" width="52" hidden="1" customWidth="1"/>
    <x:col min="15" max="15" width="42" hidden="1" customWidth="1"/>
    <x:col min="16" max="16" width="28" hidden="1" customWidth="1"/>
    <x:col min="17" max="17" width="42" hidden="1" customWidth="1"/>
    <x:col min="18" max="18" width="16" hidden="0" customWidth="1"/>
    <x:col min="19" max="19" width="22" hidden="0" customWidth="1"/>
    <x:col min="20" max="20" width="16" hidden="0" customWidth="1"/>
  </x:cols>
  <x:sheetData>
    <x:row r="1" ht="30" customHeight="1">
      <x:c r="A1" s="8" t="str">
        <x:v>问题编号</x:v>
      </x:c>
      <x:c r="B1" s="8" t="str">
        <x:v>需求组编号</x:v>
      </x:c>
      <x:c r="C1" s="8" t="str">
        <x:v>父问题编号</x:v>
      </x:c>
      <x:c r="D1" s="8" t="str">
        <x:v>追问触发条件</x:v>
      </x:c>
      <x:c r="E1" s="8" t="str">
        <x:v>阻塞等级</x:v>
      </x:c>
      <x:c r="F1" s="8" t="str">
        <x:v>功能模块</x:v>
      </x:c>
      <x:c r="G1" s="8" t="str">
        <x:v>具体场景</x:v>
      </x:c>
      <x:c r="H1" s="8" t="str">
        <x:v>问题分类</x:v>
      </x:c>
      <x:c r="I1" s="8" t="str">
        <x:v>待决策问题</x:v>
      </x:c>
      <x:c r="J1" s="8" t="str">
        <x:v>可选方案</x:v>
      </x:c>
      <x:c r="K1" s="8" t="str">
        <x:v>测试建议</x:v>
      </x:c>
      <x:c r="L1" s="8" t="str">
        <x:v>产品结论</x:v>
      </x:c>
      <x:c r="M1" s="8" t="str">
        <x:v>结论补充</x:v>
      </x:c>
      <x:c r="N1" s="8" t="str">
        <x:v>已知依据</x:v>
      </x:c>
      <x:c r="O1" s="8" t="str">
        <x:v>影响范围</x:v>
      </x:c>
      <x:c r="P1" s="8" t="str">
        <x:v>已有用例编号</x:v>
      </x:c>
      <x:c r="Q1" s="8" t="str">
        <x:v>确认后待补用例</x:v>
      </x:c>
      <x:c r="R1" s="8" t="str">
        <x:v>负责人</x:v>
      </x:c>
      <x:c r="S1" s="8" t="str">
        <x:v>期望确认时间</x:v>
      </x:c>
      <x:c r="T1" s="8" t="str">
        <x:v>确认状态</x:v>
      </x:c>
    </x:row>
    <x:row r="2" ht="43.5" customHeight="1" collapsed="1">
      <x:c r="A2" s="15" t="str">
        <x:v>Q-002-01</x:v>
      </x:c>
      <x:c r="B2" s="19" t="str">
        <x:v>RQ-002</x:v>
      </x:c>
      <x:c r="C2" s="15" t="str"/>
      <x:c r="D2" s="15" t="str"/>
      <x:c r="E2" s="15" t="str">
        <x:v>阻塞测试</x:v>
      </x:c>
      <x:c r="F2" s="15" t="str">
        <x:v>用户App-直播模块</x:v>
      </x:c>
      <x:c r="G2" s="15" t="str">
        <x:v>观众从直播间打开外部分享面板</x:v>
      </x:c>
      <x:c r="H2" s="15" t="str">
        <x:v>需求范围</x:v>
      </x:c>
      <x:c r="I2" s="16" t="str">
        <x:v>当前版本最终支持哪一组外部分享平台？</x:v>
      </x:c>
      <x:c r="J2" s="15" t="str">
        <x:v>A. WhatsApp、Facebook、Instagram
B. WhatsApp、Facebook、TikTok
C. 仅 WhatsApp 和 Facebook</x:v>
      </x:c>
      <x:c r="K2" s="17" t="str">
        <x:v>建议 B；采用最新沟通提出的范围，但需产品明确其是否已替代正式需求。</x:v>
      </x:c>
      <x:c r="L2" s="18" t="str"/>
      <x:c r="M2" s="18" t="str"/>
      <x:c r="N2" s="15" t="str">
        <x:v>1. 项目需求清单写 WhatsApp、Facebook、Instagram
2. 业务沟通记录提出 WhatsApp、Facebook、TikTok 且不要 Instagram</x:v>
      </x:c>
      <x:c r="O2" s="15" t="str">
        <x:v>1. 直播间外部分享
2. 分享平台图标和跳转</x:v>
      </x:c>
      <x:c r="P2" s="15" t="str"/>
      <x:c r="Q2" s="15" t="str">
        <x:v>1. 分享渠道展示
2. 外部平台跳转</x:v>
      </x:c>
      <x:c r="R2" s="15" t="str">
        <x:v>产品</x:v>
      </x:c>
      <x:c r="S2" s="15" t="str">
        <x:v>进入对应功能测试前</x:v>
      </x:c>
      <x:c r="T2" s="15" t="str">
        <x:v>待确认</x:v>
      </x:c>
    </x:row>
    <x:row r="3" ht="43.5" customHeight="1" hidden="1" outlineLevel="1">
      <x:c r="A3" s="20" t="str">
        <x:v>Q-002-02</x:v>
      </x:c>
      <x:c r="B3" s="20" t="str">
        <x:v>RQ-002</x:v>
      </x:c>
      <x:c r="C3" s="21" t="str">
        <x:v>Q-002-01</x:v>
      </x:c>
      <x:c r="D3" s="21" t="str">
        <x:v>Q-002-01 选择 A、B、C，或“其他”中至少包含一个外部 App 时</x:v>
      </x:c>
      <x:c r="E3" s="5" t="str">
        <x:v>部分阻塞</x:v>
      </x:c>
      <x:c r="F3" s="5" t="str">
        <x:v>用户App-直播模块</x:v>
      </x:c>
      <x:c r="G3" s="5" t="str">
        <x:v>用户选择设备未安装的外部分享应用</x:v>
      </x:c>
      <x:c r="H3" s="5" t="str">
        <x:v>异常处理</x:v>
      </x:c>
      <x:c r="I3" s="9" t="str">
        <x:v>目标分享应用未安装时应执行哪一种处理？</x:v>
      </x:c>
      <x:c r="J3" s="5" t="str">
        <x:v>A. 提示未安装并停留在直播间
B. 跳转应用商店
C. 改为复制直播链接</x:v>
      </x:c>
      <x:c r="K3" s="10" t="str">
        <x:v>建议 A；不会强制离开直播间，失败结果也最容易识别。</x:v>
      </x:c>
      <x:c r="L3" s="14" t="str"/>
      <x:c r="M3" s="14" t="str"/>
      <x:c r="N3" s="5" t="str">
        <x:v>1. 项目需求清单写 WhatsApp、Facebook、Instagram
2. 业务沟通记录提出 WhatsApp、Facebook、TikTok 且不要 Instagram</x:v>
      </x:c>
      <x:c r="O3" s="5" t="str">
        <x:v>1. 外部分享失败处理</x:v>
      </x:c>
      <x:c r="P3" s="5" t="str"/>
      <x:c r="Q3" s="5" t="str">
        <x:v>1. 分享应用未安装</x:v>
      </x:c>
      <x:c r="R3" s="5" t="str">
        <x:v>多方确认</x:v>
      </x:c>
      <x:c r="S3" s="5" t="str">
        <x:v>本轮回归前</x:v>
      </x:c>
      <x:c r="T3" s="5" t="str">
        <x:v>待前置结论</x:v>
      </x:c>
    </x:row>
    <x:row r="4" ht="43.5" customHeight="1" hidden="1" outlineLevel="1">
      <x:c r="A4" s="20" t="str">
        <x:v>Q-002-03</x:v>
      </x:c>
      <x:c r="B4" s="20" t="str">
        <x:v>RQ-002</x:v>
      </x:c>
      <x:c r="C4" s="21" t="str">
        <x:v>Q-002-01</x:v>
      </x:c>
      <x:c r="D4" s="21" t="str">
        <x:v>Q-002-01 选择 A、B、C，或“其他”中至少包含一个外部 App 时</x:v>
      </x:c>
      <x:c r="E4" s="5" t="str">
        <x:v>部分阻塞</x:v>
      </x:c>
      <x:c r="F4" s="5" t="str">
        <x:v>用户App-直播模块</x:v>
      </x:c>
      <x:c r="G4" s="5" t="str">
        <x:v>已打开外部应用但分享回调返回失败</x:v>
      </x:c>
      <x:c r="H4" s="5" t="str">
        <x:v>异常处理</x:v>
      </x:c>
      <x:c r="I4" s="9" t="str">
        <x:v>外部分享失败后直播 App 应如何反馈？</x:v>
      </x:c>
      <x:c r="J4" s="5" t="str">
        <x:v>A. 回到直播间并提示分享失败
B. 回到直播间且不提示
C. 停留在外部应用</x:v>
      </x:c>
      <x:c r="K4" s="10" t="str">
        <x:v>建议 A；用户可以明确区分分享成功、取消和失败。</x:v>
      </x:c>
      <x:c r="L4" s="14" t="str"/>
      <x:c r="M4" s="14" t="str"/>
      <x:c r="N4" s="5" t="str">
        <x:v>1. 项目需求清单写 WhatsApp、Facebook、Instagram
2. 业务沟通记录提出 WhatsApp、Facebook、TikTok 且不要 Instagram</x:v>
      </x:c>
      <x:c r="O4" s="5" t="str">
        <x:v>1. 外部分享回调
2. 直播间反馈</x:v>
      </x:c>
      <x:c r="P4" s="5" t="str"/>
      <x:c r="Q4" s="5" t="str">
        <x:v>1. 分享回调失败
2. 分享取消</x:v>
      </x:c>
      <x:c r="R4" s="5" t="str">
        <x:v>多方确认</x:v>
      </x:c>
      <x:c r="S4" s="5" t="str">
        <x:v>本轮回归前</x:v>
      </x:c>
      <x:c r="T4" s="5" t="str">
        <x:v>待前置结论</x:v>
      </x:c>
    </x:row>
    <x:row r="5" ht="43.5" customHeight="1">
      <x:c r="A5" s="15" t="str">
        <x:v>Q-003-01</x:v>
      </x:c>
      <x:c r="B5" s="19" t="str">
        <x:v>RQ-003</x:v>
      </x:c>
      <x:c r="C5" s="15" t="str"/>
      <x:c r="D5" s="15" t="str"/>
      <x:c r="E5" s="15" t="str">
        <x:v>阻塞测试</x:v>
      </x:c>
      <x:c r="F5" s="15" t="str">
        <x:v>用户App-直播模块</x:v>
      </x:c>
      <x:c r="G5" s="15" t="str">
        <x:v>主播创建或修改密码房密码</x:v>
      </x:c>
      <x:c r="H5" s="15" t="str">
        <x:v>字段与数据校验</x:v>
      </x:c>
      <x:c r="I5" s="16" t="str">
        <x:v>房间密码最终采用哪一套长度和字符规则？</x:v>
      </x:c>
      <x:c r="J5" s="15" t="str">
        <x:v>A. 固定 8 位数字
B. 4 至 12 位数字
C. 4 至 12 位字母或数字</x:v>
      </x:c>
      <x:c r="K5" s="17" t="str">
        <x:v>建议 A；与修改密码和进房原型一致，规则单一且便于私下传递。</x:v>
      </x:c>
      <x:c r="L5" s="18" t="str"/>
      <x:c r="M5" s="18" t="str"/>
      <x:c r="N5" s="15" t="str">
        <x:v>1. 开播设置原型提示密码为 4 至 12 位
2. 主播密码房批注和观众输入原型使用 8 位数字</x:v>
      </x:c>
      <x:c r="O5" s="15" t="str">
        <x:v>1. 创建密码房
2. 直播中修改密码
3. 观众输入密码</x:v>
      </x:c>
      <x:c r="P5" s="15" t="str"/>
      <x:c r="Q5" s="15" t="str">
        <x:v>1. 补充或重审：主播创建或修改密码房密码</x:v>
      </x:c>
      <x:c r="R5" s="15" t="str">
        <x:v>产品</x:v>
      </x:c>
      <x:c r="S5" s="15" t="str">
        <x:v>进入对应功能测试前</x:v>
      </x:c>
      <x:c r="T5" s="15" t="str">
        <x:v>待确认</x:v>
      </x:c>
    </x:row>
    <x:row r="6" ht="79.5" customHeight="1">
      <x:c r="A6" s="5" t="str">
        <x:v>Q-003-02</x:v>
      </x:c>
      <x:c r="B6" s="22" t="str">
        <x:v>RQ-003</x:v>
      </x:c>
      <x:c r="C6" s="5" t="str"/>
      <x:c r="D6" s="5" t="str"/>
      <x:c r="E6" s="5" t="str">
        <x:v>阻塞测试</x:v>
      </x:c>
      <x:c r="F6" s="5" t="str">
        <x:v>用户App-直播模块</x:v>
      </x:c>
      <x:c r="G6" s="5" t="str">
        <x:v>密码规则调整后，主播创建密码房、直播中修改密码，观众输入房间密码</x:v>
      </x:c>
      <x:c r="H6" s="5" t="str">
        <x:v>跨端与跨模块一致性</x:v>
      </x:c>
      <x:c r="I6" s="9" t="str">
        <x:v>新密码规则在三个入口和规则生效前已开播的密码房中如何适用？</x:v>
      </x:c>
      <x:c r="J6" s="5" t="str">
        <x:v>A. 三个入口统一使用 Q-003-01 选定的规则；规则生效前已开播且未改密码的房间沿用原规则，房间结束或改密后退出原规则
B. 创建和修改入口使用 Q-003-01 选定的规则；观众输入按房间保存密码校验，规则生效前房间在结束或改密后退出原规则
C. 仅规则生效后新建房间使用 Q-003-01 选定的规则；生效前已开播房间的创建、修改和输入规则保持不变，房间结束后退出原规则</x:v>
      </x:c>
      <x:c r="K6" s="10" t="str">
        <x:v>建议 B；校验依据与房间实际保存的密码一致，同时明确进行中房间何时切换到新规则。</x:v>
      </x:c>
      <x:c r="L6" s="14" t="str"/>
      <x:c r="M6" s="14" t="str"/>
      <x:c r="N6" s="5" t="str">
        <x:v>1. 开播设置原型提示密码为 4 至 12 位
2. 主播密码房批注和观众输入原型使用 8 位数字</x:v>
      </x:c>
      <x:c r="O6" s="5" t="str">
        <x:v>1. 开播密码设置
2. 直播中密码修改
3. 观众密码进房
4. 规则生效前已开播的密码房</x:v>
      </x:c>
      <x:c r="P6" s="5" t="str"/>
      <x:c r="Q6" s="5" t="str">
        <x:v>1. 密码创建
2. 修改和输入边界</x:v>
      </x:c>
      <x:c r="R6" s="5" t="str">
        <x:v>多方确认</x:v>
      </x:c>
      <x:c r="S6" s="5" t="str">
        <x:v>进入对应功能测试前</x:v>
      </x:c>
      <x:c r="T6" s="5" t="str">
        <x:v>待确认</x:v>
      </x:c>
    </x:row>
    <x:row r="7" ht="43.5" customHeight="1">
      <x:c r="A7" s="15" t="str">
        <x:v>Q-004-01</x:v>
      </x:c>
      <x:c r="B7" s="19" t="str">
        <x:v>RQ-004</x:v>
      </x:c>
      <x:c r="C7" s="15" t="str"/>
      <x:c r="D7" s="15" t="str"/>
      <x:c r="E7" s="15" t="str">
        <x:v>阻塞测试</x:v>
      </x:c>
      <x:c r="F7" s="15" t="str">
        <x:v>用户App-直播模块</x:v>
      </x:c>
      <x:c r="G7" s="15" t="str">
        <x:v>主播设置门票房金币价格</x:v>
      </x:c>
      <x:c r="H7" s="15" t="str">
        <x:v>字段与数据校验</x:v>
      </x:c>
      <x:c r="I7" s="16" t="str">
        <x:v>门票价格最终采用哪一套数值规则？</x:v>
      </x:c>
      <x:c r="J7" s="15" t="str">
        <x:v>A. 仅允许大于 0 的整数金币
B. 允许 0 或正整数金币
C. 允许最多两位小数的正数</x:v>
      </x:c>
      <x:c r="K7" s="17" t="str">
        <x:v>建议 A；金币余额和消费流水均使用整数口径，能避免精度和舍入争议。</x:v>
      </x:c>
      <x:c r="L7" s="18" t="str"/>
      <x:c r="M7" s="18" t="str"/>
      <x:c r="N7" s="15" t="str">
        <x:v>1. 需求和原型仅明确门票价格必填
2. 资料未定义上下限、精度和前导零</x:v>
      </x:c>
      <x:c r="O7" s="15" t="str">
        <x:v>1. 门票房设置
2. 购票扣款和消费流水</x:v>
      </x:c>
      <x:c r="P7" s="15" t="str"/>
      <x:c r="Q7" s="15" t="str">
        <x:v>1. 补充或重审：主播设置门票房金币价格</x:v>
      </x:c>
      <x:c r="R7" s="15" t="str">
        <x:v>产品</x:v>
      </x:c>
      <x:c r="S7" s="15" t="str">
        <x:v>进入对应功能测试前</x:v>
      </x:c>
      <x:c r="T7" s="15" t="str">
        <x:v>待确认</x:v>
      </x:c>
    </x:row>
    <x:row r="8" ht="43.5" customHeight="1">
      <x:c r="A8" s="5" t="str">
        <x:v>Q-004-02</x:v>
      </x:c>
      <x:c r="B8" s="22" t="str">
        <x:v>RQ-004</x:v>
      </x:c>
      <x:c r="C8" s="5" t="str"/>
      <x:c r="D8" s="5" t="str"/>
      <x:c r="E8" s="5" t="str">
        <x:v>不阻塞</x:v>
      </x:c>
      <x:c r="F8" s="5" t="str">
        <x:v>用户App-直播模块</x:v>
      </x:c>
      <x:c r="G8" s="5" t="str">
        <x:v>主播在门票价格字段输入不满足已选价格规则的值并提交</x:v>
      </x:c>
      <x:c r="H8" s="5" t="str">
        <x:v>交互与文案规则</x:v>
      </x:c>
      <x:c r="I8" s="9" t="str">
        <x:v>非法门票价格采用哪一种反馈方式？</x:v>
      </x:c>
      <x:c r="J8" s="5" t="str">
        <x:v>A. 字段下方提示并保留输入
B. Toast 提示并保留输入
C. 自动修正为合法值</x:v>
      </x:c>
      <x:c r="K8" s="10" t="str">
        <x:v>建议 A；错误位置明确，主播可以直接修改原输入。</x:v>
      </x:c>
      <x:c r="L8" s="14" t="str"/>
      <x:c r="M8" s="14" t="str"/>
      <x:c r="N8" s="5" t="str">
        <x:v>1. 需求和原型仅明确门票价格必填
2. 资料未定义上下限、精度和前导零</x:v>
      </x:c>
      <x:c r="O8" s="5" t="str">
        <x:v>1. 门票价格字段校验反馈</x:v>
      </x:c>
      <x:c r="P8" s="5" t="str"/>
      <x:c r="Q8" s="5" t="str">
        <x:v>1. 门票价格等价类和边界</x:v>
      </x:c>
      <x:c r="R8" s="5" t="str">
        <x:v>交互</x:v>
      </x:c>
      <x:c r="S8" s="5" t="str">
        <x:v>版本验收前</x:v>
      </x:c>
      <x:c r="T8" s="5" t="str">
        <x:v>待确认</x:v>
      </x:c>
    </x:row>
    <x:row r="9" ht="43.5" customHeight="1" collapsed="1">
      <x:c r="A9" s="15" t="str">
        <x:v>Q-006-01</x:v>
      </x:c>
      <x:c r="B9" s="19" t="str">
        <x:v>RQ-006</x:v>
      </x:c>
      <x:c r="C9" s="15" t="str"/>
      <x:c r="D9" s="15" t="str"/>
      <x:c r="E9" s="15" t="str">
        <x:v>阻塞测试</x:v>
      </x:c>
      <x:c r="F9" s="15" t="str">
        <x:v>用户App-直播模块</x:v>
      </x:c>
      <x:c r="G9" s="15" t="str">
        <x:v>观众发送命中敏感词库的公屏消息</x:v>
      </x:c>
      <x:c r="H9" s="15" t="str">
        <x:v>业务规则</x:v>
      </x:c>
      <x:c r="I9" s="16" t="str">
        <x:v>敏感词命中后消息采用哪一种处理？</x:v>
      </x:c>
      <x:c r="J9" s="15" t="str">
        <x:v>A. 阻止整条消息发送
B. 替换敏感内容后发送
C. 消息进入审核后再展示</x:v>
      </x:c>
      <x:c r="K9" s="17" t="str">
        <x:v>建议 A；违规内容不会先进入公屏，结果也最明确。</x:v>
      </x:c>
      <x:c r="L9" s="18" t="str"/>
      <x:c r="M9" s="18" t="str"/>
      <x:c r="N9" s="15" t="str">
        <x:v>1. 项目需求要求公屏接入后台敏感词库
2. 资料未描述命中后的具体处理</x:v>
      </x:c>
      <x:c r="O9" s="15" t="str">
        <x:v>1. 公屏发送
2. 内容安全</x:v>
      </x:c>
      <x:c r="P9" s="15" t="str"/>
      <x:c r="Q9" s="15" t="str">
        <x:v>1. 敏感词发送结果</x:v>
      </x:c>
      <x:c r="R9" s="15" t="str">
        <x:v>产品</x:v>
      </x:c>
      <x:c r="S9" s="15" t="str">
        <x:v>进入对应功能测试前</x:v>
      </x:c>
      <x:c r="T9" s="15" t="str">
        <x:v>待确认</x:v>
      </x:c>
    </x:row>
    <x:row r="10" ht="43.5" customHeight="1" hidden="1" outlineLevel="1">
      <x:c r="A10" s="20" t="str">
        <x:v>Q-006-03</x:v>
      </x:c>
      <x:c r="B10" s="20" t="str">
        <x:v>RQ-006</x:v>
      </x:c>
      <x:c r="C10" s="21" t="str">
        <x:v>Q-006-01</x:v>
      </x:c>
      <x:c r="D10" s="21" t="str">
        <x:v>Q-006-01 选择 A 或 C，消息不会立即进入公屏时</x:v>
      </x:c>
      <x:c r="E10" s="5" t="str">
        <x:v>不阻塞</x:v>
      </x:c>
      <x:c r="F10" s="5" t="str">
        <x:v>用户App-直播模块</x:v>
      </x:c>
      <x:c r="G10" s="5" t="str">
        <x:v>用户发送的消息因敏感词规则未进入公屏</x:v>
      </x:c>
      <x:c r="H10" s="5" t="str">
        <x:v>交互与文案规则</x:v>
      </x:c>
      <x:c r="I10" s="9" t="str">
        <x:v>敏感词拦截后用户端采用哪一种反馈？</x:v>
      </x:c>
      <x:c r="J10" s="5" t="str">
        <x:v>A. 提示内容包含敏感词并保留输入
B. 提示发送失败并清空输入
C. 不提示，仅不展示消息</x:v>
      </x:c>
      <x:c r="K10" s="10" t="str">
        <x:v>建议 A；用户能理解失败原因并修改内容。</x:v>
      </x:c>
      <x:c r="L10" s="14" t="str"/>
      <x:c r="M10" s="14" t="str"/>
      <x:c r="N10" s="5" t="str">
        <x:v>1. 项目需求要求公屏接入后台敏感词库
2. 资料未描述命中后的具体处理</x:v>
      </x:c>
      <x:c r="O10" s="5" t="str">
        <x:v>1. 公屏发送反馈</x:v>
      </x:c>
      <x:c r="P10" s="5" t="str"/>
      <x:c r="Q10" s="5" t="str">
        <x:v>1. 敏感词拦截提示
2. 输入框状态</x:v>
      </x:c>
      <x:c r="R10" s="5" t="str">
        <x:v>交互</x:v>
      </x:c>
      <x:c r="S10" s="5" t="str">
        <x:v>版本验收前</x:v>
      </x:c>
      <x:c r="T10" s="5" t="str">
        <x:v>待前置结论</x:v>
      </x:c>
    </x:row>
    <x:row r="11" ht="55.5" customHeight="1">
      <x:c r="A11" s="5" t="str">
        <x:v>Q-006-02</x:v>
      </x:c>
      <x:c r="B11" s="22" t="str">
        <x:v>RQ-006</x:v>
      </x:c>
      <x:c r="C11" s="5" t="str"/>
      <x:c r="D11" s="5" t="str"/>
      <x:c r="E11" s="5" t="str">
        <x:v>部分阻塞</x:v>
      </x:c>
      <x:c r="F11" s="5" t="str">
        <x:v>用户App-直播模块</x:v>
      </x:c>
      <x:c r="G11" s="5" t="str">
        <x:v>消息包含大小写、空格或变形的敏感内容</x:v>
      </x:c>
      <x:c r="H11" s="5" t="str">
        <x:v>业务规则</x:v>
      </x:c>
      <x:c r="I11" s="9" t="str">
        <x:v>敏感词库采用哪一种匹配方式？</x:v>
      </x:c>
      <x:c r="J11" s="5" t="str">
        <x:v>A. 全部词条仅按完整文本精确匹配
B. 全部词条匹配时忽略字母大小写和文字间的空格、横线、下划线
C. 全部词条同时识别常见同音、拆字和字符替换形式
D. 以测试环境可读取的词条匹配类型配置为准，每个词条只选择 A、B、C 中的一种匹配方式</x:v>
      </x:c>
      <x:c r="K11" s="10" t="str">
        <x:v>建议 D；不同词条风险不同，配置化比统一模糊规则更可控。</x:v>
      </x:c>
      <x:c r="L11" s="14" t="str"/>
      <x:c r="M11" s="14" t="str"/>
      <x:c r="N11" s="5" t="str">
        <x:v>1. 项目需求要求公屏接入后台敏感词库
2. 资料未描述命中后的具体处理</x:v>
      </x:c>
      <x:c r="O11" s="5" t="str">
        <x:v>1. 敏感词匹配
2. 后台词库配置</x:v>
      </x:c>
      <x:c r="P11" s="5" t="str"/>
      <x:c r="Q11" s="5" t="str">
        <x:v>1. 敏感词组合和变形边界</x:v>
      </x:c>
      <x:c r="R11" s="5" t="str">
        <x:v>多方确认</x:v>
      </x:c>
      <x:c r="S11" s="5" t="str">
        <x:v>本轮回归前</x:v>
      </x:c>
      <x:c r="T11" s="5" t="str">
        <x:v>待确认</x:v>
      </x:c>
    </x:row>
    <x:row r="12" ht="55.5" customHeight="1">
      <x:c r="A12" s="15" t="str">
        <x:v>Q-007-01</x:v>
      </x:c>
      <x:c r="B12" s="19" t="str">
        <x:v>RQ-007</x:v>
      </x:c>
      <x:c r="C12" s="15" t="str"/>
      <x:c r="D12" s="15" t="str"/>
      <x:c r="E12" s="15" t="str">
        <x:v>阻塞测试</x:v>
      </x:c>
      <x:c r="F12" s="15" t="str">
        <x:v>用户App-直播模块</x:v>
      </x:c>
      <x:c r="G12" s="15" t="str">
        <x:v>主播或房管对直播间用户执行禁言</x:v>
      </x:c>
      <x:c r="H12" s="15" t="str">
        <x:v>流程与状态</x:v>
      </x:c>
      <x:c r="I12" s="16" t="str">
        <x:v>直播间禁言提供哪些时长选项，首次打开时默认选中哪一项？</x:v>
      </x:c>
      <x:c r="J12" s="15" t="str">
        <x:v>A. 仅“本场直播”，默认本场直播结束时解除
B. 仅“10 分钟”，默认 10 分钟
C. “10 分钟、1 小时、本场直播”，默认 1 小时
D. “10 分钟、1 小时、本场直播”，默认本场直播</x:v>
      </x:c>
      <x:c r="K12" s="17" t="str">
        <x:v>建议 D；既保留明确的短时选择，也与现有本场直播作用范围一致。</x:v>
      </x:c>
      <x:c r="L12" s="18" t="str"/>
      <x:c r="M12" s="18" t="str"/>
      <x:c r="N12" s="15" t="str">
        <x:v>1. 项目需求写禁言时长可选
2. 权限规则写本场次到期或主播解除
3. 当前原型只有开关</x:v>
      </x:c>
      <x:c r="O12" s="15" t="str">
        <x:v>1. 主播禁言
2. 房管禁言
3. 禁言到期</x:v>
      </x:c>
      <x:c r="P12" s="15" t="str"/>
      <x:c r="Q12" s="15" t="str">
        <x:v>1. 补充或重审：主播或房管对直播间用户执行禁言</x:v>
      </x:c>
      <x:c r="R12" s="15" t="str">
        <x:v>产品</x:v>
      </x:c>
      <x:c r="S12" s="15" t="str">
        <x:v>进入对应功能测试前</x:v>
      </x:c>
      <x:c r="T12" s="15" t="str">
        <x:v>待确认</x:v>
      </x:c>
    </x:row>
    <x:row r="13" ht="43.5" customHeight="1">
      <x:c r="A13" s="5" t="str">
        <x:v>Q-007-02</x:v>
      </x:c>
      <x:c r="B13" s="22" t="str">
        <x:v>RQ-007</x:v>
      </x:c>
      <x:c r="C13" s="5" t="str"/>
      <x:c r="D13" s="5" t="str"/>
      <x:c r="E13" s="5" t="str">
        <x:v>部分阻塞</x:v>
      </x:c>
      <x:c r="F13" s="5" t="str">
        <x:v>用户App-直播模块</x:v>
      </x:c>
      <x:c r="G13" s="5" t="str">
        <x:v>目标观众仍在禁言有效期内，或禁言时间已经到期</x:v>
      </x:c>
      <x:c r="H13" s="5" t="str">
        <x:v>角色与权限</x:v>
      </x:c>
      <x:c r="I13" s="9" t="str">
        <x:v>谁可以提前解除禁言，达到所选时长后是否自动恢复发言？</x:v>
      </x:c>
      <x:c r="J13" s="5" t="str">
        <x:v>A. 仅主播可提前解除，达到时长后自动恢复
B. 主播和执行禁言的房管可提前解除，达到时长后自动恢复
C. 任何人都不能提前解除，仅在达到时长后自动恢复</x:v>
      </x:c>
      <x:c r="K13" s="10" t="str">
        <x:v>建议 A；长期权限变更由主播控制，房管仍可执行即时管理。</x:v>
      </x:c>
      <x:c r="L13" s="14" t="str"/>
      <x:c r="M13" s="14" t="str"/>
      <x:c r="N13" s="5" t="str">
        <x:v>1. 项目需求写禁言时长可选
2. 权限规则写本场次到期或主播解除
3. 当前原型只有开关</x:v>
      </x:c>
      <x:c r="O13" s="5" t="str">
        <x:v>1. 解除禁言权限
2. 禁言到期恢复</x:v>
      </x:c>
      <x:c r="P13" s="5" t="str"/>
      <x:c r="Q13" s="5" t="str">
        <x:v>1. 补充或重审：目标观众仍在禁言有效期内，或禁言时间已经到期</x:v>
      </x:c>
      <x:c r="R13" s="5" t="str">
        <x:v>产品</x:v>
      </x:c>
      <x:c r="S13" s="5" t="str">
        <x:v>本轮回归前</x:v>
      </x:c>
      <x:c r="T13" s="5" t="str">
        <x:v>待确认</x:v>
      </x:c>
    </x:row>
    <x:row r="14" ht="55.5" customHeight="1" collapsed="1">
      <x:c r="A14" s="15" t="str">
        <x:v>Q-009-01</x:v>
      </x:c>
      <x:c r="B14" s="19" t="str">
        <x:v>RQ-009</x:v>
      </x:c>
      <x:c r="C14" s="15" t="str"/>
      <x:c r="D14" s="15" t="str"/>
      <x:c r="E14" s="15" t="str">
        <x:v>阻塞测试</x:v>
      </x:c>
      <x:c r="F14" s="15" t="str">
        <x:v>用户App-直播模块</x:v>
      </x:c>
      <x:c r="G14" s="15" t="str">
        <x:v>房管打开直播间观众资料卡</x:v>
      </x:c>
      <x:c r="H14" s="15" t="str">
        <x:v>角色与权限</x:v>
      </x:c>
      <x:c r="I14" s="16" t="str">
        <x:v>房管是否拥有拉黑用户的权限？</x:v>
      </x:c>
      <x:c r="J14" s="15" t="str">
        <x:v>A. 房管没有拉黑权限
B. 房管可以执行直播间黑名单
C. 房管可以执行账号拉黑
D. 房管可选择两种拉黑</x:v>
      </x:c>
      <x:c r="K14" s="17" t="str">
        <x:v>建议 A；与权限规则一致，永久关系操作保留给主播。</x:v>
      </x:c>
      <x:c r="L14" s="18" t="str"/>
      <x:c r="M14" s="18" t="str"/>
      <x:c r="N14" s="15" t="str">
        <x:v>1. 权限规则只授权房管踢人、禁言和屏蔽评论
2. 观众资料卡原型在房管操作区展示“拉黑”</x:v>
      </x:c>
      <x:c r="O14" s="15" t="str">
        <x:v>1. 房管资料卡权限
2. 直播间秩序管理</x:v>
      </x:c>
      <x:c r="P14" s="15" t="str"/>
      <x:c r="Q14" s="15" t="str">
        <x:v>1. 房管拉黑权限</x:v>
      </x:c>
      <x:c r="R14" s="15" t="str">
        <x:v>产品</x:v>
      </x:c>
      <x:c r="S14" s="15" t="str">
        <x:v>进入对应功能测试前</x:v>
      </x:c>
      <x:c r="T14" s="15" t="str">
        <x:v>待确认</x:v>
      </x:c>
    </x:row>
    <x:row r="15" ht="55.5" customHeight="1" hidden="1" outlineLevel="1" collapsed="1">
      <x:c r="A15" s="20" t="str">
        <x:v>Q-009-02</x:v>
      </x:c>
      <x:c r="B15" s="20" t="str">
        <x:v>RQ-009</x:v>
      </x:c>
      <x:c r="C15" s="21" t="str">
        <x:v>Q-009-01</x:v>
      </x:c>
      <x:c r="D15" s="21" t="str">
        <x:v>Q-009-01 选择 B、C 或 D，房管具有至少一种拉黑权限时</x:v>
      </x:c>
      <x:c r="E15" s="5" t="str">
        <x:v>阻塞测试</x:v>
      </x:c>
      <x:c r="F15" s="5" t="str">
        <x:v>用户App-直播模块</x:v>
      </x:c>
      <x:c r="G15" s="5" t="str">
        <x:v>产品确认房管拥有拉黑权限后执行拉黑</x:v>
      </x:c>
      <x:c r="H15" s="5" t="str">
        <x:v>业务规则</x:v>
      </x:c>
      <x:c r="I15" s="9" t="str">
        <x:v>房管拉黑应写入哪一种黑名单？</x:v>
      </x:c>
      <x:c r="J15" s="5" t="str">
        <x:v>A. 仅直播间黑名单
B. 账号黑名单
C. 同时写入两层黑名单
D. 操作时由房管选择</x:v>
      </x:c>
      <x:c r="K15" s="10" t="str">
        <x:v>建议 A；房管职责限于直播间管理，不应改变账号级社交关系。</x:v>
      </x:c>
      <x:c r="L15" s="14" t="str"/>
      <x:c r="M15" s="14" t="str"/>
      <x:c r="N15" s="5" t="str">
        <x:v>1. 权限规则只授权房管踢人、禁言和屏蔽评论
2. 观众资料卡原型在房管操作区展示“拉黑”</x:v>
      </x:c>
      <x:c r="O15" s="5" t="str">
        <x:v>1. 直播间黑名单
2. 账号拉黑</x:v>
      </x:c>
      <x:c r="P15" s="5" t="str"/>
      <x:c r="Q15" s="5" t="str">
        <x:v>1. 房管拉黑作用域</x:v>
      </x:c>
      <x:c r="R15" s="5" t="str">
        <x:v>产品</x:v>
      </x:c>
      <x:c r="S15" s="5" t="str">
        <x:v>进入对应功能测试前</x:v>
      </x:c>
      <x:c r="T15" s="5" t="str">
        <x:v>待前置结论</x:v>
      </x:c>
    </x:row>
    <x:row r="16" ht="43.5" customHeight="1" hidden="1" outlineLevel="1">
      <x:c r="A16" s="20" t="str">
        <x:v>Q-009-03</x:v>
      </x:c>
      <x:c r="B16" s="20" t="str">
        <x:v>RQ-009</x:v>
      </x:c>
      <x:c r="C16" s="21" t="str">
        <x:v>Q-009-02</x:v>
      </x:c>
      <x:c r="D16" s="21" t="str">
        <x:v>Q-009-02 选择 A、B 或 C，房管写入的黑名单层级已经固定时</x:v>
      </x:c>
      <x:c r="E16" s="5" t="str">
        <x:v>部分阻塞</x:v>
      </x:c>
      <x:c r="F16" s="5" t="str">
        <x:v>用户App-直播模块</x:v>
      </x:c>
      <x:c r="G16" s="5" t="str">
        <x:v>房管已将用户加入允许的黑名单层级</x:v>
      </x:c>
      <x:c r="H16" s="5" t="str">
        <x:v>流程与状态</x:v>
      </x:c>
      <x:c r="I16" s="9" t="str">
        <x:v>房管拉黑记录采用哪一种存续和解除规则？</x:v>
      </x:c>
      <x:c r="J16" s="5" t="str">
        <x:v>A. 长期有效且仅主播可解除
B. 仅本场有效且结束直播自动解除
C. 长期有效且主播或房管可解除</x:v>
      </x:c>
      <x:c r="K16" s="10" t="str">
        <x:v>建议 A；若采用直播间黑名单，应与主播已有长期黑名单口径一致。</x:v>
      </x:c>
      <x:c r="L16" s="14" t="str"/>
      <x:c r="M16" s="14" t="str"/>
      <x:c r="N16" s="5" t="str">
        <x:v>1. 权限规则只授权房管踢人、禁言和屏蔽评论
2. 观众资料卡原型在房管操作区展示“拉黑”</x:v>
      </x:c>
      <x:c r="O16" s="5" t="str">
        <x:v>1. 拉黑存续
2. 解除入口</x:v>
      </x:c>
      <x:c r="P16" s="5" t="str"/>
      <x:c r="Q16" s="5" t="str">
        <x:v>1. 房管拉黑跨场限制
2. 房管拉黑解除</x:v>
      </x:c>
      <x:c r="R16" s="5" t="str">
        <x:v>产品</x:v>
      </x:c>
      <x:c r="S16" s="5" t="str">
        <x:v>本轮回归前</x:v>
      </x:c>
      <x:c r="T16" s="5" t="str">
        <x:v>待前置结论</x:v>
      </x:c>
    </x:row>
    <x:row r="17" ht="55.5" customHeight="1">
      <x:c r="A17" s="15" t="str">
        <x:v>Q-010-01</x:v>
      </x:c>
      <x:c r="B17" s="19" t="str">
        <x:v>RQ-010</x:v>
      </x:c>
      <x:c r="C17" s="15" t="str"/>
      <x:c r="D17" s="15" t="str"/>
      <x:c r="E17" s="15" t="str">
        <x:v>阻塞测试</x:v>
      </x:c>
      <x:c r="F17" s="15" t="str">
        <x:v>用户App-直播模块</x:v>
      </x:c>
      <x:c r="G17" s="15" t="str">
        <x:v>主播从观众资料卡执行拉黑</x:v>
      </x:c>
      <x:c r="H17" s="15" t="str">
        <x:v>业务规则</x:v>
      </x:c>
      <x:c r="I17" s="16" t="str">
        <x:v>主播资料卡的拉黑入口应对应哪一种业务操作？</x:v>
      </x:c>
      <x:c r="J17" s="15" t="str">
        <x:v>A. 单一入口默认加入直播间黑名单
B. 单一入口默认执行账号拉黑
C. 一个入口后选择黑名单层级
D. 拆成两个独立按钮</x:v>
      </x:c>
      <x:c r="K17" s="17" t="str">
        <x:v>建议 D；两层后果差异明显，独立入口最不容易误操作。</x:v>
      </x:c>
      <x:c r="L17" s="18" t="str"/>
      <x:c r="M17" s="18" t="str"/>
      <x:c r="N17" s="15" t="str">
        <x:v>1. 业务口径定义直播间黑名单和账号拉黑两层独立关系
2. 主播资料卡原型仅展示一个“拉黑”按钮</x:v>
      </x:c>
      <x:c r="O17" s="15" t="str">
        <x:v>1. 主播资料卡
2. 两层黑名单</x:v>
      </x:c>
      <x:c r="P17" s="15" t="str"/>
      <x:c r="Q17" s="15" t="str">
        <x:v>1. 补充或重审：主播从观众资料卡执行拉黑</x:v>
      </x:c>
      <x:c r="R17" s="15" t="str">
        <x:v>多方确认</x:v>
      </x:c>
      <x:c r="S17" s="15" t="str">
        <x:v>进入对应功能测试前</x:v>
      </x:c>
      <x:c r="T17" s="15" t="str">
        <x:v>待确认</x:v>
      </x:c>
    </x:row>
    <x:row r="18" ht="43.5" customHeight="1">
      <x:c r="A18" s="5" t="str">
        <x:v>Q-010-02</x:v>
      </x:c>
      <x:c r="B18" s="22" t="str">
        <x:v>RQ-010</x:v>
      </x:c>
      <x:c r="C18" s="5" t="str"/>
      <x:c r="D18" s="5" t="str"/>
      <x:c r="E18" s="5" t="str">
        <x:v>部分阻塞</x:v>
      </x:c>
      <x:c r="F18" s="5" t="str">
        <x:v>用户App-直播模块</x:v>
      </x:c>
      <x:c r="G18" s="5" t="str">
        <x:v>主播确认执行任一层级的拉黑操作</x:v>
      </x:c>
      <x:c r="H18" s="5" t="str">
        <x:v>交互与文案规则</x:v>
      </x:c>
      <x:c r="I18" s="9" t="str">
        <x:v>拉黑生效前采用哪一种确认方式？</x:v>
      </x:c>
      <x:c r="J18" s="5" t="str">
        <x:v>A. 每种拉黑均二次确认并说明后果
B. 仅账号拉黑需要二次确认
C. 两种拉黑均直接生效</x:v>
      </x:c>
      <x:c r="K18" s="10" t="str">
        <x:v>建议 A；永久限制和社交影响需要在操作前明确告知。</x:v>
      </x:c>
      <x:c r="L18" s="14" t="str"/>
      <x:c r="M18" s="14" t="str"/>
      <x:c r="N18" s="5" t="str">
        <x:v>1. 业务口径定义直播间黑名单和账号拉黑两层独立关系
2. 主播资料卡原型仅展示一个“拉黑”按钮</x:v>
      </x:c>
      <x:c r="O18" s="5" t="str">
        <x:v>1. 拉黑确认弹窗
2. 风险说明</x:v>
      </x:c>
      <x:c r="P18" s="5" t="str"/>
      <x:c r="Q18" s="5" t="str">
        <x:v>1. 主播拉黑确认
2. 取消拉黑</x:v>
      </x:c>
      <x:c r="R18" s="5" t="str">
        <x:v>多方确认</x:v>
      </x:c>
      <x:c r="S18" s="5" t="str">
        <x:v>本轮回归前</x:v>
      </x:c>
      <x:c r="T18" s="5" t="str">
        <x:v>待确认</x:v>
      </x:c>
    </x:row>
    <x:row r="19" ht="43.5" customHeight="1">
      <x:c r="A19" s="5" t="str">
        <x:v>Q-010-03</x:v>
      </x:c>
      <x:c r="B19" s="22" t="str">
        <x:v>RQ-010</x:v>
      </x:c>
      <x:c r="C19" s="5" t="str"/>
      <x:c r="D19" s="5" t="str"/>
      <x:c r="E19" s="5" t="str">
        <x:v>部分阻塞</x:v>
      </x:c>
      <x:c r="F19" s="5" t="str">
        <x:v>用户App-直播模块</x:v>
      </x:c>
      <x:c r="G19" s="5" t="str">
        <x:v>主播需要解除已经建立的黑名单关系</x:v>
      </x:c>
      <x:c r="H19" s="5" t="str">
        <x:v>流程与状态</x:v>
      </x:c>
      <x:c r="I19" s="9" t="str">
        <x:v>两层黑名单应从哪里分别解除？</x:v>
      </x:c>
      <x:c r="J19" s="5" t="str">
        <x:v>A. 均在统一黑名单管理页分层解除
B. 直播间黑名单在主播中心解除，账号拉黑在个人设置解除
C. 均从目标用户资料卡解除</x:v>
      </x:c>
      <x:c r="K19" s="10" t="str">
        <x:v>建议 A；统一入口便于查看层级和避免漏解除。</x:v>
      </x:c>
      <x:c r="L19" s="14" t="str"/>
      <x:c r="M19" s="14" t="str"/>
      <x:c r="N19" s="5" t="str">
        <x:v>1. 业务口径定义直播间黑名单和账号拉黑两层独立关系
2. 主播资料卡原型仅展示一个“拉黑”按钮</x:v>
      </x:c>
      <x:c r="O19" s="5" t="str">
        <x:v>1. 直播间黑名单解除
2. 账号拉黑解除</x:v>
      </x:c>
      <x:c r="P19" s="5" t="str"/>
      <x:c r="Q19" s="5" t="str">
        <x:v>1. 补充或重审：主播需要解除已经建立的黑名单关系</x:v>
      </x:c>
      <x:c r="R19" s="5" t="str">
        <x:v>多方确认</x:v>
      </x:c>
      <x:c r="S19" s="5" t="str">
        <x:v>本轮回归前</x:v>
      </x:c>
      <x:c r="T19" s="5" t="str">
        <x:v>待确认</x:v>
      </x:c>
    </x:row>
    <x:row r="20" ht="43.5" customHeight="1" collapsed="1">
      <x:c r="A20" s="15" t="str">
        <x:v>Q-011-01</x:v>
      </x:c>
      <x:c r="B20" s="19" t="str">
        <x:v>RQ-011</x:v>
      </x:c>
      <x:c r="C20" s="15" t="str"/>
      <x:c r="D20" s="15" t="str"/>
      <x:c r="E20" s="15" t="str">
        <x:v>阻塞测试</x:v>
      </x:c>
      <x:c r="F20" s="15" t="str">
        <x:v>用户App-直播模块</x:v>
      </x:c>
      <x:c r="G20" s="15" t="str">
        <x:v>已关注主播的观众执行账号拉黑</x:v>
      </x:c>
      <x:c r="H20" s="15" t="str">
        <x:v>业务规则</x:v>
      </x:c>
      <x:c r="I20" s="16" t="str">
        <x:v>账号拉黑主播后既有关注关系是否取消？</x:v>
      </x:c>
      <x:c r="J20" s="15" t="str">
        <x:v>A. 自动取消关注
B. 保留关注关系但隐藏直播内容
C. 保留关注关系且仅限制互动</x:v>
      </x:c>
      <x:c r="K20" s="17" t="str">
        <x:v>建议 A；避免用户继续收到已拉黑主播的开播提醒。</x:v>
      </x:c>
      <x:c r="L20" s="18" t="str">
        <x:v>A</x:v>
      </x:c>
      <x:c r="M20" s="18" t="str">
        <x:v>按 context/系统概要 .md，账号拉黑后自动取消既有关注；原型未明确关注关系后果。</x:v>
      </x:c>
      <x:c r="N20" s="15" t="str">
        <x:v>1. context/系统概要 .md 第198至207行明确账号拉黑解除关注关系</x:v>
      </x:c>
      <x:c r="O20" s="15" t="str">
        <x:v>1. 账号拉黑
2. 关注关系
3. 开播提醒</x:v>
      </x:c>
      <x:c r="P20" s="15" t="str">
        <x:v>1. LIVE-350</x:v>
      </x:c>
      <x:c r="Q20" s="15" t="str"/>
      <x:c r="R20" s="15" t="str">
        <x:v>产品</x:v>
      </x:c>
      <x:c r="S20" s="15" t="str">
        <x:v>已按当前系统概要处理</x:v>
      </x:c>
      <x:c r="T20" s="15" t="str">
        <x:v>已确认</x:v>
      </x:c>
    </x:row>
    <x:row r="21" ht="43.5" customHeight="1" hidden="1" outlineLevel="1">
      <x:c r="A21" s="20" t="str">
        <x:v>Q-011-02</x:v>
      </x:c>
      <x:c r="B21" s="20" t="str">
        <x:v>RQ-011</x:v>
      </x:c>
      <x:c r="C21" s="21" t="str">
        <x:v>Q-011-01</x:v>
      </x:c>
      <x:c r="D21" s="21" t="str">
        <x:v>Q-011-01 选择 A，账号拉黑会取消既有关注关系时</x:v>
      </x:c>
      <x:c r="E21" s="5" t="str">
        <x:v>部分阻塞</x:v>
      </x:c>
      <x:c r="F21" s="5" t="str">
        <x:v>用户App-直播模块</x:v>
      </x:c>
      <x:c r="G21" s="5" t="str">
        <x:v>观众解除对主播的账号拉黑</x:v>
      </x:c>
      <x:c r="H21" s="5" t="str">
        <x:v>配置和历史数据影响</x:v>
      </x:c>
      <x:c r="I21" s="9" t="str">
        <x:v>解除拉黑后原关注关系是否自动恢复？</x:v>
      </x:c>
      <x:c r="J21" s="5" t="str">
        <x:v>A. 不恢复，用户需要重新关注
B. 自动恢复拉黑前的关注关系
C. 弹窗询问是否恢复关注</x:v>
      </x:c>
      <x:c r="K21" s="10" t="str">
        <x:v>建议 A；关系变更过程清晰，不会在用户不知情时重新关注。</x:v>
      </x:c>
      <x:c r="L21" s="14" t="str">
        <x:v>A</x:v>
      </x:c>
      <x:c r="M21" s="14" t="str">
        <x:v>按 context/系统概要 .md，解除账号拉黑后不自动恢复已解除的关注关系。</x:v>
      </x:c>
      <x:c r="N21" s="5" t="str">
        <x:v>1. context/系统概要 .md 第198至207行明确取消拉黑后已解除关系不恢复</x:v>
      </x:c>
      <x:c r="O21" s="5" t="str">
        <x:v>1. 解除拉黑
2. 历史关注关系</x:v>
      </x:c>
      <x:c r="P21" s="5" t="str">
        <x:v>1. LIVE-351</x:v>
      </x:c>
      <x:c r="Q21" s="5" t="str"/>
      <x:c r="R21" s="5" t="str">
        <x:v>产品</x:v>
      </x:c>
      <x:c r="S21" s="5" t="str">
        <x:v>已按当前系统概要处理</x:v>
      </x:c>
      <x:c r="T21" s="5" t="str">
        <x:v>已确认</x:v>
      </x:c>
    </x:row>
    <x:row r="22" ht="43.5" customHeight="1">
      <x:c r="A22" s="15" t="str">
        <x:v>Q-012-02</x:v>
      </x:c>
      <x:c r="B22" s="19" t="str">
        <x:v>RQ-012</x:v>
      </x:c>
      <x:c r="C22" s="15" t="str"/>
      <x:c r="D22" s="15" t="str"/>
      <x:c r="E22" s="15" t="str">
        <x:v>部分阻塞</x:v>
      </x:c>
      <x:c r="F22" s="15" t="str">
        <x:v>用户App-直播模块</x:v>
      </x:c>
      <x:c r="G22" s="15" t="str">
        <x:v>用户连续点击赠送同一种礼物</x:v>
      </x:c>
      <x:c r="H22" s="15" t="str">
        <x:v>业务规则</x:v>
      </x:c>
      <x:c r="I22" s="16" t="str">
        <x:v>用户连续赠送同一种礼物时，几秒内计为同一轮连击，计时从何时重新开始？</x:v>
      </x:c>
      <x:c r="J22" s="15" t="str">
        <x:v>A. 从首次赠送成功起固定计算 3 秒，3 秒后重新计数
B. 每次赠送成功后重新计算 3 秒，连续超过 3 秒未成功赠送时重新计数
C. 不设置时间限制，用户切换礼物或关闭礼物面板后重新计数</x:v>
      </x:c>
      <x:c r="K22" s="17" t="str">
        <x:v>建议 B；每次成功赠送后都有相同继续连击时间，并能形成明确时间边界。</x:v>
      </x:c>
      <x:c r="L22" s="18" t="str"/>
      <x:c r="M22" s="18" t="str"/>
      <x:c r="N22" s="15" t="str">
        <x:v>1. 项目需求明确礼物支持选择数量和连击
2. 资料未给出数量边界、连击窗口和部分成功规则</x:v>
      </x:c>
      <x:c r="O22" s="15" t="str">
        <x:v>1. 礼物连击展示
2. 连续赠送</x:v>
      </x:c>
      <x:c r="P22" s="15" t="str"/>
      <x:c r="Q22" s="15" t="str">
        <x:v>1. 补充或重审：用户连续点击赠送同一种礼物</x:v>
      </x:c>
      <x:c r="R22" s="15" t="str">
        <x:v>产品</x:v>
      </x:c>
      <x:c r="S22" s="15" t="str">
        <x:v>本轮回归前</x:v>
      </x:c>
      <x:c r="T22" s="15" t="str">
        <x:v>待确认</x:v>
      </x:c>
    </x:row>
    <x:row r="23" ht="43.5" customHeight="1">
      <x:c r="A23" s="5" t="str">
        <x:v>Q-012-03</x:v>
      </x:c>
      <x:c r="B23" s="22" t="str">
        <x:v>RQ-012</x:v>
      </x:c>
      <x:c r="C23" s="5" t="str"/>
      <x:c r="D23" s="5" t="str"/>
      <x:c r="E23" s="5" t="str">
        <x:v>阻塞测试</x:v>
      </x:c>
      <x:c r="F23" s="5" t="str">
        <x:v>用户App-直播模块</x:v>
      </x:c>
      <x:c r="G23" s="5" t="str">
        <x:v>用户余额只能支付所选礼物数量的一部分</x:v>
      </x:c>
      <x:c r="H23" s="5" t="str">
        <x:v>业务规则</x:v>
      </x:c>
      <x:c r="I23" s="9" t="str">
        <x:v>余额不足以完成整次赠送时是否允许部分成功？</x:v>
      </x:c>
      <x:c r="J23" s="5" t="str">
        <x:v>A. 整次失败且不扣费
B. 按余额可支付数量部分成功
C. 引导充值后保留本次赠送</x:v>
      </x:c>
      <x:c r="K23" s="10" t="str">
        <x:v>建议 A；交易原子性最清晰，也便于核对扣款和收益。</x:v>
      </x:c>
      <x:c r="L23" s="14" t="str"/>
      <x:c r="M23" s="14" t="str"/>
      <x:c r="N23" s="5" t="str">
        <x:v>1. 项目需求明确礼物支持选择数量和连击
2. 资料未给出数量边界、连击窗口和部分成功规则</x:v>
      </x:c>
      <x:c r="O23" s="5" t="str">
        <x:v>1. 赠礼扣款
2. 主播收益
3. 消费流水</x:v>
      </x:c>
      <x:c r="P23" s="5" t="str"/>
      <x:c r="Q23" s="5" t="str">
        <x:v>1. 补充或重审：用户余额只能支付所选礼物数量的一部分</x:v>
      </x:c>
      <x:c r="R23" s="5" t="str">
        <x:v>产品</x:v>
      </x:c>
      <x:c r="S23" s="5" t="str">
        <x:v>进入对应功能测试前</x:v>
      </x:c>
      <x:c r="T23" s="5" t="str">
        <x:v>待确认</x:v>
      </x:c>
    </x:row>
    <x:row r="24" ht="43.5" customHeight="1">
      <x:c r="A24" s="5" t="str">
        <x:v>Q-012-04</x:v>
      </x:c>
      <x:c r="B24" s="22" t="str">
        <x:v>RQ-012</x:v>
      </x:c>
      <x:c r="C24" s="5" t="str"/>
      <x:c r="D24" s="5" t="str"/>
      <x:c r="E24" s="5" t="str">
        <x:v>部分阻塞</x:v>
      </x:c>
      <x:c r="F24" s="5" t="str">
        <x:v>用户App-直播模块</x:v>
      </x:c>
      <x:c r="G24" s="5" t="str">
        <x:v>用户在上一次赠送结果返回前，连续点击同一礼物的赠送按钮</x:v>
      </x:c>
      <x:c r="H24" s="5" t="str">
        <x:v>异常处理</x:v>
      </x:c>
      <x:c r="I24" s="9" t="str">
        <x:v>连续点击到达服务端后，应产生几次扣款、赠礼结果和消费流水？</x:v>
      </x:c>
      <x:c r="J24" s="5" t="str">
        <x:v>A. 每次点击独立处理；每次成功均扣款一次、赠送一次并生成一条流水
B. 同一轮连续点击合并处理；按合并后的总数量扣款一次并生成一条汇总流水
C. 上一次处理完成前仅接受首次点击；后续点击不扣款、不赠礼且不新增流水</x:v>
      </x:c>
      <x:c r="K24" s="10" t="str">
        <x:v>建议 C；用户在等待结果时不会因重复点击产生非预期的多次扣款。</x:v>
      </x:c>
      <x:c r="L24" s="14" t="str"/>
      <x:c r="M24" s="14" t="str"/>
      <x:c r="N24" s="5" t="str">
        <x:v>1. 项目需求明确礼物支持选择数量和连击
2. 资料未给出数量边界、连击窗口和部分成功规则</x:v>
      </x:c>
      <x:c r="O24" s="5" t="str">
        <x:v>1. 赠礼重复提交
2. 消费流水</x:v>
      </x:c>
      <x:c r="P24" s="5" t="str"/>
      <x:c r="Q24" s="5" t="str">
        <x:v>1. 礼物重复点击
2. 重复请求去重</x:v>
      </x:c>
      <x:c r="R24" s="5" t="str">
        <x:v>多方确认</x:v>
      </x:c>
      <x:c r="S24" s="5" t="str">
        <x:v>本轮回归前</x:v>
      </x:c>
      <x:c r="T24" s="5" t="str">
        <x:v>待确认</x:v>
      </x:c>
    </x:row>
    <x:row r="25" ht="43.5" customHeight="1">
      <x:c r="A25" s="15" t="str">
        <x:v>Q-014-01</x:v>
      </x:c>
      <x:c r="B25" s="19" t="str">
        <x:v>RQ-014</x:v>
      </x:c>
      <x:c r="C25" s="15" t="str"/>
      <x:c r="D25" s="15" t="str"/>
      <x:c r="E25" s="15" t="str">
        <x:v>部分阻塞</x:v>
      </x:c>
      <x:c r="F25" s="15" t="str">
        <x:v>用户App-直播模块</x:v>
      </x:c>
      <x:c r="G25" s="15" t="str">
        <x:v>主播在首次开播请求尚未返回时再次点击开始直播，或同一请求被网络重发</x:v>
      </x:c>
      <x:c r="H25" s="15" t="str">
        <x:v>异常处理</x:v>
      </x:c>
      <x:c r="I25" s="16" t="str">
        <x:v>多次开播请求到达后，系统最终应创建几个直播场次并向主播返回什么结果？</x:v>
      </x:c>
      <x:c r="J25" s="15" t="str">
        <x:v>A. 仅首次请求创建一个场次，后续请求返回同一场次
B. 仅首次请求创建一个场次，后续请求提示正在开播
C. 每次请求都创建独立场次</x:v>
      </x:c>
      <x:c r="K25" s="17" t="str">
        <x:v>建议 A；无论重复点击还是网络重发，主播都只进入同一个已创建场次。</x:v>
      </x:c>
      <x:c r="L25" s="18" t="str"/>
      <x:c r="M25" s="18" t="str"/>
      <x:c r="N25" s="15" t="str">
        <x:v>1. 需求要求创建直播场次并发送开播提醒
2. 资料未定义重复请求、推流失败或提醒失败的补偿</x:v>
      </x:c>
      <x:c r="O25" s="15" t="str">
        <x:v>1. 开播按钮
2. 直播场次创建</x:v>
      </x:c>
      <x:c r="P25" s="15" t="str"/>
      <x:c r="Q25" s="15" t="str">
        <x:v>1. 重复开播</x:v>
      </x:c>
      <x:c r="R25" s="15" t="str">
        <x:v>多方确认</x:v>
      </x:c>
      <x:c r="S25" s="15" t="str">
        <x:v>本轮回归前</x:v>
      </x:c>
      <x:c r="T25" s="15" t="str">
        <x:v>待确认</x:v>
      </x:c>
    </x:row>
    <x:row r="26" ht="43.5" customHeight="1">
      <x:c r="A26" s="5" t="str">
        <x:v>Q-014-02</x:v>
      </x:c>
      <x:c r="B26" s="22" t="str">
        <x:v>RQ-014</x:v>
      </x:c>
      <x:c r="C26" s="5" t="str"/>
      <x:c r="D26" s="5" t="str"/>
      <x:c r="E26" s="5" t="str">
        <x:v>部分阻塞</x:v>
      </x:c>
      <x:c r="F26" s="5" t="str">
        <x:v>用户App-直播模块</x:v>
      </x:c>
      <x:c r="G26" s="5" t="str">
        <x:v>主播提交开播请求后持续未收到成功或失败结果</x:v>
      </x:c>
      <x:c r="H26" s="5" t="str">
        <x:v>异常处理</x:v>
      </x:c>
      <x:c r="I26" s="9" t="str">
        <x:v>提交后经过多少秒仍无结果时，页面显示什么业务结果？</x:v>
      </x:c>
      <x:c r="J26" s="5" t="str">
        <x:v>A. 15 秒后显示结果未知，并提供查询是否已创建场次的入口
B. 15 秒后显示开播失败，并允许主播重新提交
C. 30 秒内保持处理中，30 秒后显示结果未知并自动查询一次场次结果</x:v>
      </x:c>
      <x:c r="K26" s="10" t="str">
        <x:v>建议 A；先查询是否已创建场次可以降低重复开播风险。</x:v>
      </x:c>
      <x:c r="L26" s="14" t="str"/>
      <x:c r="M26" s="14" t="str"/>
      <x:c r="N26" s="5" t="str">
        <x:v>1. 需求要求创建直播场次并发送开播提醒
2. 资料未定义重复请求、推流失败或提醒失败的补偿</x:v>
      </x:c>
      <x:c r="O26" s="5" t="str">
        <x:v>1. 开播处理中
2. 超时恢复</x:v>
      </x:c>
      <x:c r="P26" s="5" t="str"/>
      <x:c r="Q26" s="5" t="str">
        <x:v>1. 开播超时
2. 超时后查询</x:v>
      </x:c>
      <x:c r="R26" s="5" t="str">
        <x:v>多方确认</x:v>
      </x:c>
      <x:c r="S26" s="5" t="str">
        <x:v>本轮回归前</x:v>
      </x:c>
      <x:c r="T26" s="5" t="str">
        <x:v>待确认</x:v>
      </x:c>
    </x:row>
    <x:row r="27" ht="43.5" customHeight="1">
      <x:c r="A27" s="5" t="str">
        <x:v>Q-014-03</x:v>
      </x:c>
      <x:c r="B27" s="22" t="str">
        <x:v>RQ-014</x:v>
      </x:c>
      <x:c r="C27" s="5" t="str"/>
      <x:c r="D27" s="5" t="str"/>
      <x:c r="E27" s="5" t="str">
        <x:v>阻塞测试</x:v>
      </x:c>
      <x:c r="F27" s="5" t="str">
        <x:v>用户App-直播模块</x:v>
      </x:c>
      <x:c r="G27" s="5" t="str">
        <x:v>直播场次已创建但推流 SDK 启动失败</x:v>
      </x:c>
      <x:c r="H27" s="5" t="str">
        <x:v>异常处理</x:v>
      </x:c>
      <x:c r="I27" s="9" t="str">
        <x:v>场次创建后推流失败采用哪一种补偿？</x:v>
      </x:c>
      <x:c r="J27" s="5" t="str">
        <x:v>A. 关闭场次并允许重新开播
B. 保留场次并在原场次重试推流
C. 将场次标记异常并等待人工处理</x:v>
      </x:c>
      <x:c r="K27" s="10" t="str">
        <x:v>建议 B；可以保留已生成的场次对象，避免重复入口和提醒。</x:v>
      </x:c>
      <x:c r="L27" s="14" t="str"/>
      <x:c r="M27" s="14" t="str"/>
      <x:c r="N27" s="5" t="str">
        <x:v>1. 需求要求创建直播场次并发送开播提醒
2. 资料未定义重复请求、推流失败或提醒失败的补偿</x:v>
      </x:c>
      <x:c r="O27" s="5" t="str">
        <x:v>1. 直播场次
2. 推流 SDK</x:v>
      </x:c>
      <x:c r="P27" s="5" t="str"/>
      <x:c r="Q27" s="5" t="str">
        <x:v>1. 开播部分成功
2. 推流失败恢复</x:v>
      </x:c>
      <x:c r="R27" s="5" t="str">
        <x:v>多方确认</x:v>
      </x:c>
      <x:c r="S27" s="5" t="str">
        <x:v>进入对应功能测试前</x:v>
      </x:c>
      <x:c r="T27" s="5" t="str">
        <x:v>待确认</x:v>
      </x:c>
    </x:row>
    <x:row r="28" ht="43.5" customHeight="1">
      <x:c r="A28" s="5" t="str">
        <x:v>Q-014-04</x:v>
      </x:c>
      <x:c r="B28" s="22" t="str">
        <x:v>RQ-014</x:v>
      </x:c>
      <x:c r="C28" s="5" t="str"/>
      <x:c r="D28" s="5" t="str"/>
      <x:c r="E28" s="5" t="str">
        <x:v>部分阻塞</x:v>
      </x:c>
      <x:c r="F28" s="5" t="str">
        <x:v>用户App-直播模块</x:v>
      </x:c>
      <x:c r="G28" s="5" t="str">
        <x:v>直播场次和观看入口已成功但开播提醒发送失败</x:v>
      </x:c>
      <x:c r="H28" s="5" t="str">
        <x:v>跨端与跨模块一致性</x:v>
      </x:c>
      <x:c r="I28" s="9" t="str">
        <x:v>开播提醒失败是否影响直播场次继续进行？</x:v>
      </x:c>
      <x:c r="J28" s="5" t="str">
        <x:v>A. 直播继续，提醒异步重试
B. 直播继续且不重试提醒
C. 关闭直播场次</x:v>
      </x:c>
      <x:c r="K28" s="10" t="str">
        <x:v>建议 A；提醒是附属链路，不应阻断已成功的直播主流程。</x:v>
      </x:c>
      <x:c r="L28" s="14" t="str"/>
      <x:c r="M28" s="14" t="str"/>
      <x:c r="N28" s="5" t="str">
        <x:v>1. 需求要求创建直播场次并发送开播提醒
2. 资料未定义重复请求、推流失败或提醒失败的补偿</x:v>
      </x:c>
      <x:c r="O28" s="5" t="str">
        <x:v>1. 直播场次
2. 关注用户提醒</x:v>
      </x:c>
      <x:c r="P28" s="5" t="str"/>
      <x:c r="Q28" s="5" t="str">
        <x:v>1. 提醒失败补偿</x:v>
      </x:c>
      <x:c r="R28" s="5" t="str">
        <x:v>产品</x:v>
      </x:c>
      <x:c r="S28" s="5" t="str">
        <x:v>本轮回归前</x:v>
      </x:c>
      <x:c r="T28" s="5" t="str">
        <x:v>待确认</x:v>
      </x:c>
    </x:row>
    <x:row r="29" ht="55.5" customHeight="1" collapsed="1">
      <x:c r="A29" s="15" t="str">
        <x:v>Q-018-01</x:v>
      </x:c>
      <x:c r="B29" s="19" t="str">
        <x:v>RQ-018</x:v>
      </x:c>
      <x:c r="C29" s="15" t="str"/>
      <x:c r="D29" s="15" t="str"/>
      <x:c r="E29" s="15" t="str">
        <x:v>阻塞测试</x:v>
      </x:c>
      <x:c r="F29" s="15" t="str">
        <x:v>用户App-直播模块</x:v>
      </x:c>
      <x:c r="G29" s="15" t="str">
        <x:v>密码房主播在直播中保存新密码</x:v>
      </x:c>
      <x:c r="H29" s="15" t="str">
        <x:v>配置和历史数据影响</x:v>
      </x:c>
      <x:c r="I29" s="16" t="str">
        <x:v>新密码从哪个时点开始用于进房校验？</x:v>
      </x:c>
      <x:c r="J29" s="15" t="str">
        <x:v>A. 保存成功后立即生效
B. 主播关闭设置面板后生效
C. 下一位新观众请求进房时生效
D. 下一场直播生效</x:v>
      </x:c>
      <x:c r="K29" s="17" t="str">
        <x:v>建议 A；成功提示与实际生效时点一致，安全边界最清晰。</x:v>
      </x:c>
      <x:c r="L29" s="18" t="str"/>
      <x:c r="M29" s="18" t="str"/>
      <x:c r="N29" s="15" t="str">
        <x:v>1. 原型保存后提示“房间密码已修改”
2. 角色用例说明后续进房使用新密码</x:v>
      </x:c>
      <x:c r="O29" s="15" t="str">
        <x:v>1. 直播中修改密码
2. 密码进房校验</x:v>
      </x:c>
      <x:c r="P29" s="15" t="str"/>
      <x:c r="Q29" s="15" t="str">
        <x:v>1. 补充或重审：密码房主播在直播中保存新密码</x:v>
      </x:c>
      <x:c r="R29" s="15" t="str">
        <x:v>产品</x:v>
      </x:c>
      <x:c r="S29" s="15" t="str">
        <x:v>进入对应功能测试前</x:v>
      </x:c>
      <x:c r="T29" s="15" t="str">
        <x:v>待确认</x:v>
      </x:c>
    </x:row>
    <x:row r="30" ht="43.5" customHeight="1" hidden="1" outlineLevel="1">
      <x:c r="A30" s="20" t="str">
        <x:v>Q-018-02</x:v>
      </x:c>
      <x:c r="B30" s="20" t="str">
        <x:v>RQ-018</x:v>
      </x:c>
      <x:c r="C30" s="21" t="str">
        <x:v>Q-018-01</x:v>
      </x:c>
      <x:c r="D30" s="21" t="str">
        <x:v>Q-018-01 选择 A、B 或 C，新密码在当前直播中生效时</x:v>
      </x:c>
      <x:c r="E30" s="5" t="str">
        <x:v>部分阻塞</x:v>
      </x:c>
      <x:c r="F30" s="5" t="str">
        <x:v>用户App-直播模块</x:v>
      </x:c>
      <x:c r="G30" s="5" t="str">
        <x:v>主播修改密码时观众已经在密码房内观看</x:v>
      </x:c>
      <x:c r="H30" s="5" t="str">
        <x:v>配置和历史数据影响</x:v>
      </x:c>
      <x:c r="I30" s="9" t="str">
        <x:v>已在房间内的观众是否需要重新验证新密码？</x:v>
      </x:c>
      <x:c r="J30" s="5" t="str">
        <x:v>A. 不受影响，继续观看
B. 立即要求重新验证
C. 下一次重新进入时验证新密码</x:v>
      </x:c>
      <x:c r="K30" s="10" t="str">
        <x:v>建议 C；不中断当前观看，同时保证后续进房使用新密码。</x:v>
      </x:c>
      <x:c r="L30" s="14" t="str"/>
      <x:c r="M30" s="14" t="str"/>
      <x:c r="N30" s="5" t="str">
        <x:v>1. 原型保存后提示“房间密码已修改”
2. 角色用例说明后续进房使用新密码</x:v>
      </x:c>
      <x:c r="O30" s="5" t="str">
        <x:v>1. 已在房观众
2. 重新进房</x:v>
      </x:c>
      <x:c r="P30" s="5" t="str"/>
      <x:c r="Q30" s="5" t="str">
        <x:v>1. 密码修改后的在房观众
2. 密码修改后重新进入</x:v>
      </x:c>
      <x:c r="R30" s="5" t="str">
        <x:v>产品</x:v>
      </x:c>
      <x:c r="S30" s="5" t="str">
        <x:v>本轮回归前</x:v>
      </x:c>
      <x:c r="T30" s="5" t="str">
        <x:v>待前置结论</x:v>
      </x:c>
    </x:row>
    <x:row r="31" ht="43.5" customHeight="1" hidden="1" outlineLevel="1">
      <x:c r="A31" s="20" t="str">
        <x:v>Q-018-03</x:v>
      </x:c>
      <x:c r="B31" s="20" t="str">
        <x:v>RQ-018</x:v>
      </x:c>
      <x:c r="C31" s="21" t="str">
        <x:v>Q-018-01</x:v>
      </x:c>
      <x:c r="D31" s="21" t="str">
        <x:v>Q-018-01 选择 A、B 或 C，新密码在当前直播中生效时</x:v>
      </x:c>
      <x:c r="E31" s="5" t="str">
        <x:v>阻塞测试</x:v>
      </x:c>
      <x:c r="F31" s="5" t="str">
        <x:v>用户App-直播模块</x:v>
      </x:c>
      <x:c r="G31" s="5" t="str">
        <x:v>观众已打开密码面板但尚未提交，主播此时保存新密码</x:v>
      </x:c>
      <x:c r="H31" s="5" t="str">
        <x:v>流程与状态</x:v>
      </x:c>
      <x:c r="I31" s="9" t="str">
        <x:v>观众随后提交旧密码时应按哪一种规则处理？</x:v>
      </x:c>
      <x:c r="J31" s="5" t="str">
        <x:v>A. 旧密码从新密码生效时立即失效
B. 已打开密码面板的观众可用旧密码成功一次，成功或关闭面板后旧密码失效
C. 新密码生效后的 30 秒内新旧密码均可使用，30 秒后旧密码失效</x:v>
      </x:c>
      <x:c r="K31" s="10" t="str">
        <x:v>建议 A；不存在双密码并存窗口，规则最容易理解和验证。</x:v>
      </x:c>
      <x:c r="L31" s="14" t="str"/>
      <x:c r="M31" s="14" t="str"/>
      <x:c r="N31" s="5" t="str">
        <x:v>1. 原型保存后提示“房间密码已修改”
2. 角色用例说明后续进房使用新密码</x:v>
      </x:c>
      <x:c r="O31" s="5" t="str">
        <x:v>1. 密码修改并发
2. 旧密码失效</x:v>
      </x:c>
      <x:c r="P31" s="5" t="str"/>
      <x:c r="Q31" s="5" t="str">
        <x:v>1. 并发提交旧密码</x:v>
      </x:c>
      <x:c r="R31" s="5" t="str">
        <x:v>产品</x:v>
      </x:c>
      <x:c r="S31" s="5" t="str">
        <x:v>进入对应功能测试前</x:v>
      </x:c>
      <x:c r="T31" s="5" t="str">
        <x:v>待前置结论</x:v>
      </x:c>
    </x:row>
    <x:row r="32" ht="43.5" customHeight="1">
      <x:c r="A32" s="5" t="str">
        <x:v>Q-018-04</x:v>
      </x:c>
      <x:c r="B32" s="22" t="str">
        <x:v>RQ-018</x:v>
      </x:c>
      <x:c r="C32" s="5" t="str"/>
      <x:c r="D32" s="5" t="str"/>
      <x:c r="E32" s="5" t="str">
        <x:v>部分阻塞</x:v>
      </x:c>
      <x:c r="F32" s="5" t="str">
        <x:v>用户App-直播模块</x:v>
      </x:c>
      <x:c r="G32" s="5" t="str">
        <x:v>密码房已配置粉丝授权可见名单，主播只修改密码</x:v>
      </x:c>
      <x:c r="H32" s="5" t="str">
        <x:v>配置和历史数据影响</x:v>
      </x:c>
      <x:c r="I32" s="9" t="str">
        <x:v>修改密码后原授权可见名单是否保留？</x:v>
      </x:c>
      <x:c r="J32" s="5" t="str">
        <x:v>A. 完整保留原名单
B. 清空名单并要求重新授权
C. 弹窗让主播选择是否保留</x:v>
      </x:c>
      <x:c r="K32" s="10" t="str">
        <x:v>建议 A；修改进房凭证不应无提示改变房间可见范围。</x:v>
      </x:c>
      <x:c r="L32" s="14" t="str"/>
      <x:c r="M32" s="14" t="str"/>
      <x:c r="N32" s="5" t="str">
        <x:v>1. 原型保存后提示“房间密码已修改”
2. 角色用例说明后续进房使用新密码</x:v>
      </x:c>
      <x:c r="O32" s="5" t="str">
        <x:v>1. 密码房授权名单
2. 直播广场可见入口</x:v>
      </x:c>
      <x:c r="P32" s="5" t="str"/>
      <x:c r="Q32" s="5" t="str">
        <x:v>1. 补充或重审：密码房已配置粉丝授权可见名单，主播只修改密码</x:v>
      </x:c>
      <x:c r="R32" s="5" t="str">
        <x:v>产品</x:v>
      </x:c>
      <x:c r="S32" s="5" t="str">
        <x:v>本轮回归前</x:v>
      </x:c>
      <x:c r="T32" s="5" t="str">
        <x:v>待确认</x:v>
      </x:c>
    </x:row>
    <x:row r="33" ht="43.5" customHeight="1">
      <x:c r="A33" s="15" t="str">
        <x:v>Q-022-01</x:v>
      </x:c>
      <x:c r="B33" s="19" t="str">
        <x:v>RQ-022</x:v>
      </x:c>
      <x:c r="C33" s="15" t="str"/>
      <x:c r="D33" s="15" t="str"/>
      <x:c r="E33" s="15" t="str">
        <x:v>部分阻塞</x:v>
      </x:c>
      <x:c r="F33" s="15" t="str">
        <x:v>用户App-直播模块</x:v>
      </x:c>
      <x:c r="G33" s="15" t="str">
        <x:v>金币扣款成功但用户没有进入门票房</x:v>
      </x:c>
      <x:c r="H33" s="15" t="str">
        <x:v>异常处理</x:v>
      </x:c>
      <x:c r="I33" s="16" t="str">
        <x:v>扣款成功但进房失败时采用哪一种补偿？</x:v>
      </x:c>
      <x:c r="J33" s="15" t="str">
        <x:v>A. 保留门票资格并提供重新进房
B. 自动退回金币并关闭订单
C. 标记异常并等待人工处理</x:v>
      </x:c>
      <x:c r="K33" s="17" t="str">
        <x:v>建议 A；门票本场可重复进入，保留资格可以避免不必要退款。</x:v>
      </x:c>
      <x:c r="L33" s="18" t="str"/>
      <x:c r="M33" s="18" t="str"/>
      <x:c r="N33" s="15" t="str">
        <x:v>1. 购票成功需要扣减金币、生成消费记录并获得本场资格
2. 资料未定义多系统部分成功的补偿</x:v>
      </x:c>
      <x:c r="O33" s="15" t="str">
        <x:v>1. 金币余额
2. 门票资格
3. 进房</x:v>
      </x:c>
      <x:c r="P33" s="15" t="str"/>
      <x:c r="Q33" s="15" t="str">
        <x:v>1. 扣款成功进房失败</x:v>
      </x:c>
      <x:c r="R33" s="15" t="str">
        <x:v>多方确认</x:v>
      </x:c>
      <x:c r="S33" s="15" t="str">
        <x:v>本轮回归前</x:v>
      </x:c>
      <x:c r="T33" s="15" t="str">
        <x:v>待确认</x:v>
      </x:c>
    </x:row>
    <x:row r="34" ht="55.5" customHeight="1">
      <x:c r="A34" s="5" t="str">
        <x:v>Q-022-02</x:v>
      </x:c>
      <x:c r="B34" s="22" t="str">
        <x:v>RQ-022</x:v>
      </x:c>
      <x:c r="C34" s="5" t="str"/>
      <x:c r="D34" s="5" t="str"/>
      <x:c r="E34" s="5" t="str">
        <x:v>阻塞测试</x:v>
      </x:c>
      <x:c r="F34" s="5" t="str">
        <x:v>用户App-直播模块</x:v>
      </x:c>
      <x:c r="G34" s="5" t="str">
        <x:v>购票订单成功但本场门票资格未生成</x:v>
      </x:c>
      <x:c r="H34" s="5" t="str">
        <x:v>异常处理</x:v>
      </x:c>
      <x:c r="I34" s="9" t="str">
        <x:v>订单成功但资格未生效时采用哪一种补偿？</x:v>
      </x:c>
      <x:c r="J34" s="5" t="str">
        <x:v>A. 自动补发本场资格
B. 自动退款并关闭订单
C. 查询后由用户选择补发或退款
D. 进入人工处理</x:v>
      </x:c>
      <x:c r="K34" s="10" t="str">
        <x:v>建议 A；订单和扣款已成功时，补发资格最符合用户原始购买目的。</x:v>
      </x:c>
      <x:c r="L34" s="14" t="str"/>
      <x:c r="M34" s="14" t="str"/>
      <x:c r="N34" s="5" t="str">
        <x:v>1. 购票成功需要扣减金币、生成消费记录并获得本场资格
2. 资料未定义多系统部分成功的补偿</x:v>
      </x:c>
      <x:c r="O34" s="5" t="str">
        <x:v>1. 购票订单
2. 本场门票资格</x:v>
      </x:c>
      <x:c r="P34" s="5" t="str"/>
      <x:c r="Q34" s="5" t="str">
        <x:v>1. 订单成功资格缺失</x:v>
      </x:c>
      <x:c r="R34" s="5" t="str">
        <x:v>多方确认</x:v>
      </x:c>
      <x:c r="S34" s="5" t="str">
        <x:v>进入对应功能测试前</x:v>
      </x:c>
      <x:c r="T34" s="5" t="str">
        <x:v>待确认</x:v>
      </x:c>
    </x:row>
    <x:row r="35" ht="55.5" customHeight="1">
      <x:c r="A35" s="5" t="str">
        <x:v>Q-022-03</x:v>
      </x:c>
      <x:c r="B35" s="22" t="str">
        <x:v>RQ-022</x:v>
      </x:c>
      <x:c r="C35" s="5" t="str"/>
      <x:c r="D35" s="5" t="str"/>
      <x:c r="E35" s="5" t="str">
        <x:v>部分阻塞</x:v>
      </x:c>
      <x:c r="F35" s="5" t="str">
        <x:v>用户App-直播模块</x:v>
      </x:c>
      <x:c r="G35" s="5" t="str">
        <x:v>支付回调重复到达或超时后迟到</x:v>
      </x:c>
      <x:c r="H35" s="5" t="str">
        <x:v>异常处理</x:v>
      </x:c>
      <x:c r="I35" s="9" t="str">
        <x:v>同一订单的支付回调重复到达，或在页面显示超时后到达时，订单应保留哪一个业务结果？</x:v>
      </x:c>
      <x:c r="J35" s="5" t="str">
        <x:v>A. 首次成功回调使订单成功一次，后续重复或迟到回调均返回该订单已有结果
B. 只接受页面超时前到达的首个回调，超时后的回调全部拒绝且订单保持超时
C. 每次成功回调都新增支付记录和观看资格</x:v>
      </x:c>
      <x:c r="K35" s="10" t="str">
        <x:v>建议 A；同一订单只形成一次扣款结果和一份观看资格。</x:v>
      </x:c>
      <x:c r="L35" s="14" t="str"/>
      <x:c r="M35" s="14" t="str"/>
      <x:c r="N35" s="5" t="str">
        <x:v>1. 购票成功需要扣减金币、生成消费记录并获得本场资格
2. 资料未定义多系统部分成功的补偿</x:v>
      </x:c>
      <x:c r="O35" s="5" t="str">
        <x:v>1. 支付回调
2. 金币余额
3. 消费流水
4. 门票资格</x:v>
      </x:c>
      <x:c r="P35" s="5" t="str"/>
      <x:c r="Q35" s="5" t="str">
        <x:v>1. 重复支付回调
2. 超时后实际成功</x:v>
      </x:c>
      <x:c r="R35" s="5" t="str">
        <x:v>技术</x:v>
      </x:c>
      <x:c r="S35" s="5" t="str">
        <x:v>本轮回归前</x:v>
      </x:c>
      <x:c r="T35" s="5" t="str">
        <x:v>待确认</x:v>
      </x:c>
    </x:row>
    <x:row r="36" ht="43.5" customHeight="1">
      <x:c r="A36" s="15" t="str">
        <x:v>Q-024</x:v>
      </x:c>
      <x:c r="B36" s="19" t="str">
        <x:v>RQ-024</x:v>
      </x:c>
      <x:c r="C36" s="15" t="str"/>
      <x:c r="D36" s="15" t="str"/>
      <x:c r="E36" s="15" t="str">
        <x:v>阻塞测试</x:v>
      </x:c>
      <x:c r="F36" s="15" t="str">
        <x:v>用户App-直播模块</x:v>
      </x:c>
      <x:c r="G36" s="15" t="str">
        <x:v>主播在观众用户卡点击“答谢”，页面提示已发送答谢</x:v>
      </x:c>
      <x:c r="H36" s="15" t="str">
        <x:v>业务规则</x:v>
      </x:c>
      <x:c r="I36" s="16" t="str">
        <x:v>“答谢”成功后应产生哪一种可追溯的业务结果？</x:v>
      </x:c>
      <x:c r="J36" s="15" t="str">
        <x:v>A. 仅展示成功提示，不生成消息、礼物或记录
B. 向目标观众发送一条固定答谢消息并生成消息记录
C. 向目标观众发送一个固定免费答谢道具并生成道具记录</x:v>
      </x:c>
      <x:c r="K36" s="17" t="str">
        <x:v>建议 A；与当前原型只显示成功提示的行为一致，也不会误产生礼物扣款。</x:v>
      </x:c>
      <x:c r="L36" s="18" t="str"/>
      <x:c r="M36" s="18" t="str"/>
      <x:c r="N36" s="15" t="str">
        <x:v>1. 原型点击答谢后只提示“已向【用户昵称】发送答谢”
2. 最新需求已明确不打开礼物选择面板</x:v>
      </x:c>
      <x:c r="O36" s="15" t="str">
        <x:v>1. 主播直播间用户卡
2. 观众收到的答谢内容
3. 答谢记录</x:v>
      </x:c>
      <x:c r="P36" s="15" t="str"/>
      <x:c r="Q36" s="15" t="str">
        <x:v>1. 答谢在观众端的展示与记录</x:v>
      </x:c>
      <x:c r="R36" s="15" t="str">
        <x:v>产品</x:v>
      </x:c>
      <x:c r="S36" s="15" t="str">
        <x:v>进入对应功能测试前</x:v>
      </x:c>
      <x:c r="T36" s="15" t="str">
        <x:v>待确认</x:v>
      </x:c>
    </x:row>
    <x:row r="37" ht="55.5" customHeight="1">
      <x:c r="A37" s="15" t="str">
        <x:v>Q-038</x:v>
      </x:c>
      <x:c r="B37" s="19" t="str">
        <x:v>RQ-038</x:v>
      </x:c>
      <x:c r="C37" s="15" t="str"/>
      <x:c r="D37" s="15" t="str"/>
      <x:c r="E37" s="15" t="str">
        <x:v>阻塞测试</x:v>
      </x:c>
      <x:c r="F37" s="15" t="str">
        <x:v>用户App-直播模块</x:v>
      </x:c>
      <x:c r="G37" s="15" t="str">
        <x:v>用户在直播间赠送幸运礼物并完成返奖后，主播查看本场收益</x:v>
      </x:c>
      <x:c r="H37" s="15" t="str">
        <x:v>计算与统计口径</x:v>
      </x:c>
      <x:c r="I37" s="16" t="str">
        <x:v>幸运礼物计入主播收益时最终采用哪一种计算规则？</x:v>
      </x:c>
      <x:c r="J37" s="15" t="str">
        <x:v>A. 主播收益等于礼物投入金币减去返奖金币
B. 主播收益等于实际消耗金币乘以后台当前配置比例，结果不足 1 金币直接舍去
C. 主播收益等于实际消耗金币乘以固定 1%，结果不足 1 金币直接舍去</x:v>
      </x:c>
      <x:c r="K37" s="17" t="str">
        <x:v>建议 B；项目需求清单和管理后台均声明比例可配置，可形成跨端可读取且可复算的唯一规则。</x:v>
      </x:c>
      <x:c r="L37" s="18" t="str"/>
      <x:c r="M37" s="18" t="str"/>
      <x:c r="N37" s="15" t="str">
        <x:v>1. context/系统概要 .md 写主播收益等于投入金币减去返奖金币
2. context/01-用户主播App-项目需求清单.md 写按用户实际消耗金币的 1% 暂定且后台可调
3. context/03-管理后台-项目需求清单.md 提供幸运礼物主播分成比例配置</x:v>
      </x:c>
      <x:c r="O37" s="15" t="str">
        <x:v>1. 用户 App / 幸运礼物赠送
2. 主播端 / 本场收益
3. 管理后台 / 幸运礼物分成比例
4. 公会和主播收益报表</x:v>
      </x:c>
      <x:c r="P37" s="15" t="str"/>
      <x:c r="Q37" s="15" t="str">
        <x:v>1. 幸运礼物主播收益计算
2. 幸运礼物收益舍去边界
3. 后台比例变更后的生效范围</x:v>
      </x:c>
      <x:c r="R37" s="15" t="str">
        <x:v>多方确认</x:v>
      </x:c>
      <x:c r="S37" s="15" t="str">
        <x:v>进入对应功能测试前</x:v>
      </x:c>
      <x:c r="T37" s="15" t="str">
        <x:v>待确认</x:v>
      </x:c>
    </x:row>
    <x:row r="38" ht="43.5" customHeight="1">
      <x:c r="A38" s="15" t="str">
        <x:v>Q-001-02</x:v>
      </x:c>
      <x:c r="B38" s="19" t="str">
        <x:v>RQ-001</x:v>
      </x:c>
      <x:c r="C38" s="15" t="str"/>
      <x:c r="D38" s="15" t="str"/>
      <x:c r="E38" s="15" t="str">
        <x:v>部分阻塞</x:v>
      </x:c>
      <x:c r="F38" s="15" t="str">
        <x:v>用户App-直播模块</x:v>
      </x:c>
      <x:c r="G38" s="15" t="str">
        <x:v>关注主播存在多个同时在播房间</x:v>
      </x:c>
      <x:c r="H38" s="15" t="str">
        <x:v>业务规则</x:v>
      </x:c>
      <x:c r="I38" s="16" t="str">
        <x:v>关注直播列表采用哪一种排序规则？</x:v>
      </x:c>
      <x:c r="J38" s="15" t="str">
        <x:v>A. 沿用热门直播排序规则
B. 按开播时间倒序，开播时间相同按直播间编号升序
C. 按测试环境可读取的关注直播权重配置倒序，权重相同按开播时间倒序</x:v>
      </x:c>
      <x:c r="K38" s="17" t="str">
        <x:v>建议 A；复用现有口径可以减少新增排序规则和跨页面差异。</x:v>
      </x:c>
      <x:c r="L38" s="18" t="str"/>
      <x:c r="M38" s="18" t="str"/>
      <x:c r="N38" s="15" t="str">
        <x:v>1. 项目需求清单写明热门、新人、关注 3 个 Tab
2. 静态原型仅有热门、新人 Tab，关注主播位于顶部独立区域</x:v>
      </x:c>
      <x:c r="O38" s="15" t="str">
        <x:v>1. 关注直播列表
2. 直播广场排序</x:v>
      </x:c>
      <x:c r="P38" s="15" t="str"/>
      <x:c r="Q38" s="15" t="str">
        <x:v>1. 关注直播多房间排序</x:v>
      </x:c>
      <x:c r="R38" s="15" t="str">
        <x:v>产品</x:v>
      </x:c>
      <x:c r="S38" s="15" t="str">
        <x:v>本轮回归前</x:v>
      </x:c>
      <x:c r="T38" s="15" t="str">
        <x:v>待确认</x:v>
      </x:c>
    </x:row>
    <x:row r="39" ht="43.5" customHeight="1">
      <x:c r="A39" s="5" t="str">
        <x:v>Q-001-03</x:v>
      </x:c>
      <x:c r="B39" s="22" t="str">
        <x:v>RQ-001</x:v>
      </x:c>
      <x:c r="C39" s="5" t="str"/>
      <x:c r="D39" s="5" t="str"/>
      <x:c r="E39" s="5" t="str">
        <x:v>不阻塞</x:v>
      </x:c>
      <x:c r="F39" s="5" t="str">
        <x:v>用户App-直播模块</x:v>
      </x:c>
      <x:c r="G39" s="5" t="str">
        <x:v>用户没有任何已关注且正在直播的主播</x:v>
      </x:c>
      <x:c r="H39" s="5" t="str">
        <x:v>交互与文案规则</x:v>
      </x:c>
      <x:c r="I39" s="9" t="str">
        <x:v>关注直播为空时页面采用哪一种展示方式？</x:v>
      </x:c>
      <x:c r="J39" s="5" t="str">
        <x:v>A. 展示空态并提供发现主播入口
B. 展示空态且不提供跳转
C. 直接展示平台推荐直播</x:v>
      </x:c>
      <x:c r="K39" s="10" t="str">
        <x:v>建议 A；既说明当前没有关注直播，也保留可继续浏览的路径。</x:v>
      </x:c>
      <x:c r="L39" s="14" t="str"/>
      <x:c r="M39" s="14" t="str"/>
      <x:c r="N39" s="5" t="str">
        <x:v>1. 项目需求清单写明热门、新人、关注 3 个 Tab
2. 静态原型仅有热门、新人 Tab，关注主播位于顶部独立区域</x:v>
      </x:c>
      <x:c r="O39" s="5" t="str">
        <x:v>1. 关注直播空态</x:v>
      </x:c>
      <x:c r="P39" s="5" t="str"/>
      <x:c r="Q39" s="5" t="str">
        <x:v>1. 关注直播空态
2. 空态操作入口</x:v>
      </x:c>
      <x:c r="R39" s="5" t="str">
        <x:v>多方确认</x:v>
      </x:c>
      <x:c r="S39" s="5" t="str">
        <x:v>版本验收前</x:v>
      </x:c>
      <x:c r="T39" s="5" t="str">
        <x:v>待确认</x:v>
      </x:c>
    </x:row>
    <x:row r="40" ht="55.5" customHeight="1">
      <x:c r="A40" s="15" t="str">
        <x:v>Q-005-01</x:v>
      </x:c>
      <x:c r="B40" s="19" t="str">
        <x:v>RQ-005</x:v>
      </x:c>
      <x:c r="C40" s="15" t="str"/>
      <x:c r="D40" s="15" t="str"/>
      <x:c r="E40" s="15" t="str">
        <x:v>部分阻塞</x:v>
      </x:c>
      <x:c r="F40" s="15" t="str">
        <x:v>用户App-直播模块</x:v>
      </x:c>
      <x:c r="G40" s="15" t="str">
        <x:v>主播开播前选择直播清晰度</x:v>
      </x:c>
      <x:c r="H40" s="15" t="str">
        <x:v>业务规则</x:v>
      </x:c>
      <x:c r="I40" s="16" t="str">
        <x:v>主播开播前可选择哪一组清晰度档位，页面默认选中哪一档？</x:v>
      </x:c>
      <x:c r="J40" s="15" t="str">
        <x:v>A. 低清、标准、高清三档，默认标准
B. 标清、高清、超清、自动四档，默认自动
C. 档位名称和唯一默认值均以测试环境可读取的后台配置为准
D. 当前版本不提供开播前清晰度选择</x:v>
      </x:c>
      <x:c r="K40" s="17" t="str">
        <x:v>建议 C；配置是唯一判断依据时，产品选定方案后即可按测试环境实际配置准备用例。</x:v>
      </x:c>
      <x:c r="L40" s="18" t="str"/>
      <x:c r="M40" s="18" t="str"/>
      <x:c r="N40" s="15" t="str">
        <x:v>1. 项目需求要求开播前和观看中支持多档清晰度
2. 当前开播设置原型未展示清晰度控件</x:v>
      </x:c>
      <x:c r="O40" s="15" t="str">
        <x:v>1. 开播设置
2. 推流参数</x:v>
      </x:c>
      <x:c r="P40" s="15" t="str"/>
      <x:c r="Q40" s="15" t="str">
        <x:v>1. 开播清晰度档位
2. 默认清晰度</x:v>
      </x:c>
      <x:c r="R40" s="15" t="str">
        <x:v>多方确认</x:v>
      </x:c>
      <x:c r="S40" s="15" t="str">
        <x:v>本轮回归前</x:v>
      </x:c>
      <x:c r="T40" s="15" t="str">
        <x:v>待确认</x:v>
      </x:c>
    </x:row>
    <x:row r="41" ht="43.5" customHeight="1">
      <x:c r="A41" s="5" t="str">
        <x:v>Q-005-02</x:v>
      </x:c>
      <x:c r="B41" s="22" t="str">
        <x:v>RQ-005</x:v>
      </x:c>
      <x:c r="C41" s="5" t="str"/>
      <x:c r="D41" s="5" t="str"/>
      <x:c r="E41" s="5" t="str">
        <x:v>部分阻塞</x:v>
      </x:c>
      <x:c r="F41" s="5" t="str">
        <x:v>用户App-直播模块</x:v>
      </x:c>
      <x:c r="G41" s="5" t="str">
        <x:v>直播中网络质量发生变化</x:v>
      </x:c>
      <x:c r="H41" s="5" t="str">
        <x:v>流程与状态</x:v>
      </x:c>
      <x:c r="I41" s="9" t="str">
        <x:v>网络变化时清晰度是否自动切换？</x:v>
      </x:c>
      <x:c r="J41" s="5" t="str">
        <x:v>A. 自动降级且网络恢复后自动升级
B. 仅自动降级，恢复由用户选择
C. 始终由用户手动切换</x:v>
      </x:c>
      <x:c r="K41" s="10" t="str">
        <x:v>建议 B；优先保证播放连续性，同时避免恢复时频繁自动切换。</x:v>
      </x:c>
      <x:c r="L41" s="14" t="str"/>
      <x:c r="M41" s="14" t="str"/>
      <x:c r="N41" s="5" t="str">
        <x:v>1. 项目需求要求开播前和观看中支持多档清晰度
2. 当前开播设置原型未展示清晰度控件</x:v>
      </x:c>
      <x:c r="O41" s="5" t="str">
        <x:v>1. 观看中清晰度切换
2. 断流恢复</x:v>
      </x:c>
      <x:c r="P41" s="5" t="str"/>
      <x:c r="Q41" s="5" t="str">
        <x:v>1. 补充或重审：直播中网络质量发生变化</x:v>
      </x:c>
      <x:c r="R41" s="5" t="str">
        <x:v>多方确认</x:v>
      </x:c>
      <x:c r="S41" s="5" t="str">
        <x:v>本轮回归前</x:v>
      </x:c>
      <x:c r="T41" s="5" t="str">
        <x:v>待确认</x:v>
      </x:c>
    </x:row>
    <x:row r="42" ht="43.5" customHeight="1">
      <x:c r="A42" s="15" t="str">
        <x:v>Q-013-01</x:v>
      </x:c>
      <x:c r="B42" s="19" t="str">
        <x:v>RQ-013</x:v>
      </x:c>
      <x:c r="C42" s="15" t="str"/>
      <x:c r="D42" s="15" t="str"/>
      <x:c r="E42" s="15" t="str">
        <x:v>部分阻塞</x:v>
      </x:c>
      <x:c r="F42" s="15" t="str">
        <x:v>用户App-直播模块</x:v>
      </x:c>
      <x:c r="G42" s="15" t="str">
        <x:v>同一举报人短时间内重复提交举报</x:v>
      </x:c>
      <x:c r="H42" s="15" t="str">
        <x:v>业务规则</x:v>
      </x:c>
      <x:c r="I42" s="16" t="str">
        <x:v>同一举报人对同一直播对象重复举报时，允许再次提交的时间边界是什么？</x:v>
      </x:c>
      <x:c r="J42" s="15" t="str">
        <x:v>A. 首次提交后 10 分钟内不允许再次提交，10 分钟后可重新提交
B. 同一自然日只允许提交一次，次日 00:00 后可重新提交
C. 不限制提交次数，每次点击提交都创建一条举报记录</x:v>
      </x:c>
      <x:c r="K42" s="17" t="str">
        <x:v>建议 A；能减少同一事件的短时重复记录，同时保留后续重新举报入口。</x:v>
      </x:c>
      <x:c r="L42" s="18" t="str"/>
      <x:c r="M42" s="18" t="str"/>
      <x:c r="N42" s="15" t="str">
        <x:v>1. 原型支持五类举报原因和 200 字补充说明
2. 需求只说明举报联动后台审核处置</x:v>
      </x:c>
      <x:c r="O42" s="15" t="str">
        <x:v>1. 直播间举报
2. 用户举报</x:v>
      </x:c>
      <x:c r="P42" s="15" t="str"/>
      <x:c r="Q42" s="15" t="str">
        <x:v>1. 重复举报频控</x:v>
      </x:c>
      <x:c r="R42" s="15" t="str">
        <x:v>产品</x:v>
      </x:c>
      <x:c r="S42" s="15" t="str">
        <x:v>本轮回归前</x:v>
      </x:c>
      <x:c r="T42" s="15" t="str">
        <x:v>待确认</x:v>
      </x:c>
    </x:row>
    <x:row r="43" ht="43.5" customHeight="1">
      <x:c r="A43" s="5" t="str">
        <x:v>Q-013-02</x:v>
      </x:c>
      <x:c r="B43" s="22" t="str">
        <x:v>RQ-013</x:v>
      </x:c>
      <x:c r="C43" s="5" t="str"/>
      <x:c r="D43" s="5" t="str"/>
      <x:c r="E43" s="5" t="str">
        <x:v>部分阻塞</x:v>
      </x:c>
      <x:c r="F43" s="5" t="str">
        <x:v>用户App-直播模块</x:v>
      </x:c>
      <x:c r="G43" s="5" t="str">
        <x:v>同一用户对同一对象重复举报</x:v>
      </x:c>
      <x:c r="H43" s="5" t="str">
        <x:v>流程与状态</x:v>
      </x:c>
      <x:c r="I43" s="9" t="str">
        <x:v>重复举报记录采用哪一种合并方式？</x:v>
      </x:c>
      <x:c r="J43" s="5" t="str">
        <x:v>A. 合并到原工单并累计次数
B. 每次生成独立工单
C. 拒绝重复举报且不新增记录</x:v>
      </x:c>
      <x:c r="K43" s="10" t="str">
        <x:v>建议 A；后台可以看到举报热度，又不会产生大量重复工单。</x:v>
      </x:c>
      <x:c r="L43" s="14" t="str"/>
      <x:c r="M43" s="14" t="str"/>
      <x:c r="N43" s="5" t="str">
        <x:v>1. 原型支持五类举报原因和 200 字补充说明
2. 需求只说明举报联动后台审核处置</x:v>
      </x:c>
      <x:c r="O43" s="5" t="str">
        <x:v>1. 举报工单
2. 后台审核</x:v>
      </x:c>
      <x:c r="P43" s="5" t="str"/>
      <x:c r="Q43" s="5" t="str">
        <x:v>1. 重复举报记录</x:v>
      </x:c>
      <x:c r="R43" s="5" t="str">
        <x:v>多方确认</x:v>
      </x:c>
      <x:c r="S43" s="5" t="str">
        <x:v>本轮回归前</x:v>
      </x:c>
      <x:c r="T43" s="5" t="str">
        <x:v>待确认</x:v>
      </x:c>
    </x:row>
    <x:row r="44" ht="43.5" customHeight="1">
      <x:c r="A44" s="5" t="str">
        <x:v>Q-013-03</x:v>
      </x:c>
      <x:c r="B44" s="22" t="str">
        <x:v>RQ-013</x:v>
      </x:c>
      <x:c r="C44" s="5" t="str"/>
      <x:c r="D44" s="5" t="str"/>
      <x:c r="E44" s="5" t="str">
        <x:v>不阻塞</x:v>
      </x:c>
      <x:c r="F44" s="5" t="str">
        <x:v>用户App-直播模块</x:v>
      </x:c>
      <x:c r="G44" s="5" t="str">
        <x:v>举报人需要补充文字之外的证据</x:v>
      </x:c>
      <x:c r="H44" s="5" t="str">
        <x:v>需求范围</x:v>
      </x:c>
      <x:c r="I44" s="9" t="str">
        <x:v>当前版本举报是否支持上传附件？</x:v>
      </x:c>
      <x:c r="J44" s="5" t="str">
        <x:v>A. 当前版本不支持附件
B. 支持图片附件
C. 支持图片和视频附件</x:v>
      </x:c>
      <x:c r="K44" s="10" t="str">
        <x:v>建议 A；当前原型没有附件入口，可将附件能力作为后续独立需求。</x:v>
      </x:c>
      <x:c r="L44" s="14" t="str"/>
      <x:c r="M44" s="14" t="str"/>
      <x:c r="N44" s="5" t="str">
        <x:v>1. 原型支持五类举报原因和 200 字补充说明
2. 需求只说明举报联动后台审核处置</x:v>
      </x:c>
      <x:c r="O44" s="5" t="str">
        <x:v>1. 举报表单
2. 举报证据</x:v>
      </x:c>
      <x:c r="P44" s="5" t="str"/>
      <x:c r="Q44" s="5" t="str">
        <x:v>1. 举报附件入口和上传</x:v>
      </x:c>
      <x:c r="R44" s="5" t="str">
        <x:v>产品</x:v>
      </x:c>
      <x:c r="S44" s="5" t="str">
        <x:v>版本验收前</x:v>
      </x:c>
      <x:c r="T44" s="5" t="str">
        <x:v>待确认</x:v>
      </x:c>
    </x:row>
    <x:row r="45" ht="43.5" customHeight="1">
      <x:c r="A45" s="5" t="str">
        <x:v>Q-013-04</x:v>
      </x:c>
      <x:c r="B45" s="22" t="str">
        <x:v>RQ-013</x:v>
      </x:c>
      <x:c r="C45" s="5" t="str"/>
      <x:c r="D45" s="5" t="str"/>
      <x:c r="E45" s="5" t="str">
        <x:v>不阻塞</x:v>
      </x:c>
      <x:c r="F45" s="5" t="str">
        <x:v>用户App-直播模块</x:v>
      </x:c>
      <x:c r="G45" s="5" t="str">
        <x:v>后台完成举报工单处置</x:v>
      </x:c>
      <x:c r="H45" s="5" t="str">
        <x:v>跨端与跨模块一致性</x:v>
      </x:c>
      <x:c r="I45" s="9" t="str">
        <x:v>举报处置结果是否通知举报人？</x:v>
      </x:c>
      <x:c r="J45" s="5" t="str">
        <x:v>A. 通知最终处置结果
B. 仅通知工单已受理
C. 不向举报人回告</x:v>
      </x:c>
      <x:c r="K45" s="10" t="str">
        <x:v>建议 B；确认平台已处理请求，同时避免暴露具体处罚细节。</x:v>
      </x:c>
      <x:c r="L45" s="14" t="str">
        <x:v>A</x:v>
      </x:c>
      <x:c r="M45" s="14" t="str">
        <x:v>按处置类型通知举报人；举报成立统一通知平台已依规处理，举报不成立通知暂无可处置违规。</x:v>
      </x:c>
      <x:c r="N45" s="5" t="str">
        <x:v>1. context/系统概要 .md 第248至274行逐项定义直播举报和账号举报处置通知</x:v>
      </x:c>
      <x:c r="O45" s="5" t="str">
        <x:v>1. 后台审核
2. App 通知</x:v>
      </x:c>
      <x:c r="P45" s="5" t="str">
        <x:v>1. LIVE-336 至 LIVE-342</x:v>
      </x:c>
      <x:c r="Q45" s="5" t="str"/>
      <x:c r="R45" s="5" t="str">
        <x:v>产品</x:v>
      </x:c>
      <x:c r="S45" s="5" t="str">
        <x:v>已按当前系统概要处理</x:v>
      </x:c>
      <x:c r="T45" s="5" t="str">
        <x:v>已确认</x:v>
      </x:c>
    </x:row>
    <x:row r="46" ht="43.5" customHeight="1">
      <x:c r="A46" s="15" t="str">
        <x:v>Q-016</x:v>
      </x:c>
      <x:c r="B46" s="19" t="str">
        <x:v>RQ-016</x:v>
      </x:c>
      <x:c r="C46" s="15" t="str"/>
      <x:c r="D46" s="15" t="str"/>
      <x:c r="E46" s="15" t="str">
        <x:v>部分阻塞</x:v>
      </x:c>
      <x:c r="F46" s="15" t="str">
        <x:v>用户App-直播模块</x:v>
      </x:c>
      <x:c r="G46" s="15" t="str">
        <x:v>主播和观众删除好友后进入后续直播场次</x:v>
      </x:c>
      <x:c r="H46" s="15" t="str">
        <x:v>业务规则</x:v>
      </x:c>
      <x:c r="I46" s="16" t="str">
        <x:v>主播在后续直播场次是否可以再次发起直播间私信？</x:v>
      </x:c>
      <x:c r="J46" s="15" t="str">
        <x:v>A. 下一场直播可以重新发起
B. 删除好友后持续禁止，直到重新成为好友
C. 当前场次禁止，经过新的自然日后恢复</x:v>
      </x:c>
      <x:c r="K46" s="17" t="str">
        <x:v>建议 A；直播间私信属于场次经营能力，完全阻断可由账号拉黑承担。</x:v>
      </x:c>
      <x:c r="L46" s="18" t="str"/>
      <x:c r="M46" s="18" t="str"/>
      <x:c r="N46" s="15" t="str">
        <x:v>1. 角色与用例文档将删除好友后的后续场次私信保留为待确认
2. 完全阻断关系已有账号拉黑能力</x:v>
      </x:c>
      <x:c r="O46" s="15" t="str">
        <x:v>1. 直播间私信
2. 好友关系</x:v>
      </x:c>
      <x:c r="P46" s="15" t="str"/>
      <x:c r="Q46" s="15" t="str">
        <x:v>1. 删除好友后的后续场次私信</x:v>
      </x:c>
      <x:c r="R46" s="15" t="str">
        <x:v>产品</x:v>
      </x:c>
      <x:c r="S46" s="15" t="str">
        <x:v>本轮回归前</x:v>
      </x:c>
      <x:c r="T46" s="15" t="str">
        <x:v>待确认</x:v>
      </x:c>
    </x:row>
    <x:row r="47" ht="43.5" customHeight="1">
      <x:c r="A47" s="15" t="str">
        <x:v>Q-017-01</x:v>
      </x:c>
      <x:c r="B47" s="19" t="str">
        <x:v>RQ-017</x:v>
      </x:c>
      <x:c r="C47" s="15" t="str"/>
      <x:c r="D47" s="15" t="str"/>
      <x:c r="E47" s="15" t="str">
        <x:v>部分阻塞</x:v>
      </x:c>
      <x:c r="F47" s="15" t="str">
        <x:v>用户App-直播模块</x:v>
      </x:c>
      <x:c r="G47" s="15" t="str">
        <x:v>主播从本地选择直播封面文件</x:v>
      </x:c>
      <x:c r="H47" s="15" t="str">
        <x:v>字段与数据校验</x:v>
      </x:c>
      <x:c r="I47" s="16" t="str">
        <x:v>主播上传直播封面时，允许的文件格式和单个文件大小上限采用哪一组完整规则？</x:v>
      </x:c>
      <x:c r="J47" s="15" t="str">
        <x:v>A. 仅 JPG、PNG，单个文件不超过 5 MB
B. 支持 JPG、PNG、WebP，单个文件不超过 10 MB
C. 文件格式和大小上限均以测试环境可读取的后台配置为准</x:v>
      </x:c>
      <x:c r="K47" s="17" t="str">
        <x:v>建议 A；候选格式常见且大小边界明确，选中后可以直接形成等价类和边界用例。</x:v>
      </x:c>
      <x:c r="L47" s="18" t="str"/>
      <x:c r="M47" s="18" t="str"/>
      <x:c r="N47" s="15" t="str">
        <x:v>1. 需求要求设置直播封面
2. 静态原型只限制 image/*，没有业务校验</x:v>
      </x:c>
      <x:c r="O47" s="15" t="str">
        <x:v>1. 开播封面上传</x:v>
      </x:c>
      <x:c r="P47" s="15" t="str"/>
      <x:c r="Q47" s="15" t="str">
        <x:v>1. 封面格式和大小边界</x:v>
      </x:c>
      <x:c r="R47" s="15" t="str">
        <x:v>多方确认</x:v>
      </x:c>
      <x:c r="S47" s="15" t="str">
        <x:v>本轮回归前</x:v>
      </x:c>
      <x:c r="T47" s="15" t="str">
        <x:v>待确认</x:v>
      </x:c>
    </x:row>
    <x:row r="48" ht="55.5" customHeight="1">
      <x:c r="A48" s="5" t="str">
        <x:v>Q-017-02</x:v>
      </x:c>
      <x:c r="B48" s="22" t="str">
        <x:v>RQ-017</x:v>
      </x:c>
      <x:c r="C48" s="5" t="str"/>
      <x:c r="D48" s="5" t="str"/>
      <x:c r="E48" s="5" t="str">
        <x:v>部分阻塞</x:v>
      </x:c>
      <x:c r="F48" s="5" t="str">
        <x:v>用户App-直播模块</x:v>
      </x:c>
      <x:c r="G48" s="5" t="str">
        <x:v>主播上传不同尺寸或比例的直播封面</x:v>
      </x:c>
      <x:c r="H48" s="5" t="str">
        <x:v>业务规则</x:v>
      </x:c>
      <x:c r="I48" s="9" t="str">
        <x:v>不符合目标比例的封面采用哪一种处理？</x:v>
      </x:c>
      <x:c r="J48" s="5" t="str">
        <x:v>A. 进入裁剪页后保存
B. 自动居中裁剪
C. 拒绝上传并提示目标比例
D. 保持原图比例展示</x:v>
      </x:c>
      <x:c r="K48" s="10" t="str">
        <x:v>建议 A；主播可以确认最终展示区域，减少关键内容被自动截断。</x:v>
      </x:c>
      <x:c r="L48" s="14" t="str"/>
      <x:c r="M48" s="14" t="str"/>
      <x:c r="N48" s="5" t="str">
        <x:v>1. 需求要求设置直播封面
2. 静态原型只限制 image/*，没有业务校验</x:v>
      </x:c>
      <x:c r="O48" s="5" t="str">
        <x:v>1. 封面尺寸
2. 封面裁剪</x:v>
      </x:c>
      <x:c r="P48" s="5" t="str"/>
      <x:c r="Q48" s="5" t="str">
        <x:v>1. 封面尺寸和比例</x:v>
      </x:c>
      <x:c r="R48" s="5" t="str">
        <x:v>多方确认</x:v>
      </x:c>
      <x:c r="S48" s="5" t="str">
        <x:v>本轮回归前</x:v>
      </x:c>
      <x:c r="T48" s="5" t="str">
        <x:v>待确认</x:v>
      </x:c>
    </x:row>
    <x:row r="49" ht="43.5" customHeight="1">
      <x:c r="A49" s="5" t="str">
        <x:v>Q-017-03</x:v>
      </x:c>
      <x:c r="B49" s="22" t="str">
        <x:v>RQ-017</x:v>
      </x:c>
      <x:c r="C49" s="5" t="str"/>
      <x:c r="D49" s="5" t="str"/>
      <x:c r="E49" s="5" t="str">
        <x:v>部分阻塞</x:v>
      </x:c>
      <x:c r="F49" s="5" t="str">
        <x:v>用户App-直播模块</x:v>
      </x:c>
      <x:c r="G49" s="5" t="str">
        <x:v>直播封面命中内容审核规则</x:v>
      </x:c>
      <x:c r="H49" s="5" t="str">
        <x:v>流程与状态</x:v>
      </x:c>
      <x:c r="I49" s="9" t="str">
        <x:v>封面审核不通过时采用哪一种业务结果？</x:v>
      </x:c>
      <x:c r="J49" s="5" t="str">
        <x:v>A. 不允许开播并要求更换封面
B. 使用平台默认封面继续开播
C. 允许开播后进入人工审核</x:v>
      </x:c>
      <x:c r="K49" s="10" t="str">
        <x:v>建议 A；违规封面不会先进入直播广场。</x:v>
      </x:c>
      <x:c r="L49" s="14" t="str"/>
      <x:c r="M49" s="14" t="str"/>
      <x:c r="N49" s="5" t="str">
        <x:v>1. 需求要求设置直播封面
2. 静态原型只限制 image/*，没有业务校验</x:v>
      </x:c>
      <x:c r="O49" s="5" t="str">
        <x:v>1. 封面审核
2. 开始直播</x:v>
      </x:c>
      <x:c r="P49" s="5" t="str"/>
      <x:c r="Q49" s="5" t="str">
        <x:v>1. 封面审核失败
2. 开播拦截</x:v>
      </x:c>
      <x:c r="R49" s="5" t="str">
        <x:v>产品</x:v>
      </x:c>
      <x:c r="S49" s="5" t="str">
        <x:v>本轮回归前</x:v>
      </x:c>
      <x:c r="T49" s="5" t="str">
        <x:v>待确认</x:v>
      </x:c>
    </x:row>
    <x:row r="50" ht="43.5" customHeight="1">
      <x:c r="A50" s="15" t="str">
        <x:v>Q-021-01</x:v>
      </x:c>
      <x:c r="B50" s="19" t="str">
        <x:v>RQ-021</x:v>
      </x:c>
      <x:c r="C50" s="15" t="str"/>
      <x:c r="D50" s="15" t="str"/>
      <x:c r="E50" s="15" t="str">
        <x:v>部分阻塞</x:v>
      </x:c>
      <x:c r="F50" s="15" t="str">
        <x:v>用户App-直播模块</x:v>
      </x:c>
      <x:c r="G50" s="15" t="str">
        <x:v>主播或房管成功禁言目标观众后，目标观众仍停留在直播间并准备发送评论</x:v>
      </x:c>
      <x:c r="H50" s="15" t="str">
        <x:v>跨端与跨模块一致性</x:v>
      </x:c>
      <x:c r="I50" s="16" t="str">
        <x:v>禁言成功后，目标观众端从哪个动作开始不能发送评论？</x:v>
      </x:c>
      <x:c r="J50" s="15" t="str">
        <x:v>A. 目标观众下一次点击发送时被拒绝，并在拒绝后显示禁言状态
B. 目标观众无需操作即显示禁言状态，下一次点击发送前已不可发送
C. 目标观众重新进入直播间后才显示禁言状态并不可发送</x:v>
      </x:c>
      <x:c r="K50" s="17" t="str">
        <x:v>建议 B；管理操作成功后，目标观众无需先发送一条失败评论就能看到限制。</x:v>
      </x:c>
      <x:c r="L50" s="18" t="str"/>
      <x:c r="M50" s="18" t="str"/>
      <x:c r="N50" s="15" t="str">
        <x:v>1. 需求明确禁言、踢出、拉黑和房管变更的业务作用域
2. 原型展示主播或房管侧操作入口</x:v>
      </x:c>
      <x:c r="O50" s="15" t="str">
        <x:v>1. 被禁言观众的评论输入区
2. 被禁言观众的发送动作
3. 主播和房管查看的观众管理状态</x:v>
      </x:c>
      <x:c r="P50" s="15" t="str"/>
      <x:c r="Q50" s="15" t="str">
        <x:v>1. 补充或重审：主播或房管成功禁言目标观众后，目标观众仍停留在直播间并准备发送评论</x:v>
      </x:c>
      <x:c r="R50" s="15" t="str">
        <x:v>多方确认</x:v>
      </x:c>
      <x:c r="S50" s="15" t="str">
        <x:v>本轮回归前</x:v>
      </x:c>
      <x:c r="T50" s="15" t="str">
        <x:v>待确认</x:v>
      </x:c>
    </x:row>
    <x:row r="51" ht="43.5" customHeight="1">
      <x:c r="A51" s="5" t="str">
        <x:v>Q-021-02</x:v>
      </x:c>
      <x:c r="B51" s="22" t="str">
        <x:v>RQ-021</x:v>
      </x:c>
      <x:c r="C51" s="5" t="str"/>
      <x:c r="D51" s="5" t="str"/>
      <x:c r="E51" s="5" t="str">
        <x:v>部分阻塞</x:v>
      </x:c>
      <x:c r="F51" s="5" t="str">
        <x:v>用户App-直播模块</x:v>
      </x:c>
      <x:c r="G51" s="5" t="str">
        <x:v>主播或房管成功踢出目标观众，或主播把目标观众加入允许的黑名单</x:v>
      </x:c>
      <x:c r="H51" s="5" t="str">
        <x:v>跨端与跨模块一致性</x:v>
      </x:c>
      <x:c r="I51" s="9" t="str">
        <x:v>操作成功后，目标观众何时离开当前直播间并被限制再次进入？</x:v>
      </x:c>
      <x:c r="J51" s="5" t="str">
        <x:v>A. 操作成功后立即离开当前直播间，下一次进房请求被拒绝
B. 当前观看不受影响，仅下一次重新进房时被拒绝
C. 目标观众刷新或重新进入后离开直播间，之后进房请求被拒绝</x:v>
      </x:c>
      <x:c r="K51" s="10" t="str">
        <x:v>建议 A；当前场次限制和后续进房限制都有明确的观察时点。</x:v>
      </x:c>
      <x:c r="L51" s="14" t="str"/>
      <x:c r="M51" s="14" t="str"/>
      <x:c r="N51" s="5" t="str">
        <x:v>1. 需求明确禁言、踢出、拉黑和房管变更的业务作用域
2. 原型展示主播或房管侧操作入口</x:v>
      </x:c>
      <x:c r="O51" s="5" t="str">
        <x:v>1. 被踢或被拉黑观众的当前观看页
2. 目标观众再次进房
3. 主播和房管查看的观众管理状态</x:v>
      </x:c>
      <x:c r="P51" s="5" t="str"/>
      <x:c r="Q51" s="5" t="str">
        <x:v>1. 补充或重审：主播或房管成功踢出目标观众，或主播把目标观众加入允许的黑名单</x:v>
      </x:c>
      <x:c r="R51" s="5" t="str">
        <x:v>多方确认</x:v>
      </x:c>
      <x:c r="S51" s="5" t="str">
        <x:v>本轮回归前</x:v>
      </x:c>
      <x:c r="T51" s="5" t="str">
        <x:v>待确认</x:v>
      </x:c>
    </x:row>
    <x:row r="52" ht="43.5" customHeight="1">
      <x:c r="A52" s="5" t="str">
        <x:v>Q-021-03</x:v>
      </x:c>
      <x:c r="B52" s="22" t="str">
        <x:v>RQ-021</x:v>
      </x:c>
      <x:c r="C52" s="5" t="str"/>
      <x:c r="D52" s="5" t="str"/>
      <x:c r="E52" s="5" t="str">
        <x:v>部分阻塞</x:v>
      </x:c>
      <x:c r="F52" s="5" t="str">
        <x:v>用户App-直播模块</x:v>
      </x:c>
      <x:c r="G52" s="5" t="str">
        <x:v>主播在直播中新增或取消目标用户的长期房管身份</x:v>
      </x:c>
      <x:c r="H52" s="5" t="str">
        <x:v>跨端与跨模块一致性</x:v>
      </x:c>
      <x:c r="I52" s="9" t="str">
        <x:v>操作成功后，目标用户从何时开始获得或失去房管操作权限？</x:v>
      </x:c>
      <x:c r="J52" s="5" t="str">
        <x:v>A. 当前直播中立即变化，后续直播继续沿用变化后的身份
B. 当前直播身份不变，从下一场直播开始变化
C. 目标用户重新进入当前直播间后变化，后续直播继续沿用</x:v>
      </x:c>
      <x:c r="K52" s="10" t="str">
        <x:v>建议 A；与长期房管关系的业务定义一致，主播操作后可立即使用。</x:v>
      </x:c>
      <x:c r="L52" s="14" t="str"/>
      <x:c r="M52" s="14" t="str"/>
      <x:c r="N52" s="5" t="str">
        <x:v>1. 需求明确禁言、踢出、拉黑和房管变更的业务作用域
2. 原型展示主播或房管侧操作入口</x:v>
      </x:c>
      <x:c r="O52" s="5" t="str">
        <x:v>1. 目标用户当前直播的房管入口
2. 目标用户当前直播的管理权限
3. 目标用户后续直播的房管身份</x:v>
      </x:c>
      <x:c r="P52" s="5" t="str"/>
      <x:c r="Q52" s="5" t="str">
        <x:v>1. 补充或重审：主播在直播中新增或取消目标用户的长期房管身份</x:v>
      </x:c>
      <x:c r="R52" s="5" t="str">
        <x:v>产品</x:v>
      </x:c>
      <x:c r="S52" s="5" t="str">
        <x:v>本轮回归前</x:v>
      </x:c>
      <x:c r="T52" s="5" t="str">
        <x:v>待确认</x:v>
      </x:c>
    </x:row>
    <x:row r="53" ht="43.5" customHeight="1">
      <x:c r="A53" s="15" t="str">
        <x:v>Q-023-01</x:v>
      </x:c>
      <x:c r="B53" s="19" t="str">
        <x:v>RQ-023</x:v>
      </x:c>
      <x:c r="C53" s="15" t="str"/>
      <x:c r="D53" s="15" t="str"/>
      <x:c r="E53" s="15" t="str">
        <x:v>部分阻塞</x:v>
      </x:c>
      <x:c r="F53" s="15" t="str">
        <x:v>用户App-直播模块</x:v>
      </x:c>
      <x:c r="G53" s="15" t="str">
        <x:v>连麦邀请长期未被受邀主播处理</x:v>
      </x:c>
      <x:c r="H53" s="15" t="str">
        <x:v>流程与状态</x:v>
      </x:c>
      <x:c r="I53" s="16" t="str">
        <x:v>受邀主播未处理连麦邀请时，邀请在什么具体条件下失效？</x:v>
      </x:c>
      <x:c r="J53" s="15" t="str">
        <x:v>A. 发出 30 秒后自动失效
B. 发出 60 秒后自动失效
C. 不按时间失效，仅在发起方取消、受邀方拒绝或任一方结束直播时失效；其他状态按独立问题确认</x:v>
      </x:c>
      <x:c r="K53" s="17" t="str">
        <x:v>建议 C；是否可继续连麦直接由双方状态和房型决定，不需要猜测未定义的等待秒数。</x:v>
      </x:c>
      <x:c r="L53" s="18" t="str"/>
      <x:c r="M53" s="18" t="str"/>
      <x:c r="N53" s="15" t="str">
        <x:v>1. context/系统概要 .md 明确取消、拒绝和任一方结束直播会使邀请失效
2. 当前证据未定义邀请自动超时时限</x:v>
      </x:c>
      <x:c r="O53" s="15" t="str">
        <x:v>1. 发出邀请
2. 收到邀请</x:v>
      </x:c>
      <x:c r="P53" s="15" t="str">
        <x:v>1. LIVE-248
2. LIVE-345</x:v>
      </x:c>
      <x:c r="Q53" s="15" t="str">
        <x:v>1. 邀请失效</x:v>
      </x:c>
      <x:c r="R53" s="15" t="str">
        <x:v>产品</x:v>
      </x:c>
      <x:c r="S53" s="15" t="str">
        <x:v>本轮回归前</x:v>
      </x:c>
      <x:c r="T53" s="15" t="str">
        <x:v>待确认</x:v>
      </x:c>
    </x:row>
    <x:row r="54" ht="43.5" customHeight="1">
      <x:c r="A54" s="5" t="str">
        <x:v>Q-023-02</x:v>
      </x:c>
      <x:c r="B54" s="22" t="str">
        <x:v>RQ-023</x:v>
      </x:c>
      <x:c r="C54" s="5" t="str"/>
      <x:c r="D54" s="5" t="str"/>
      <x:c r="E54" s="5" t="str">
        <x:v>部分阻塞</x:v>
      </x:c>
      <x:c r="F54" s="5" t="str">
        <x:v>用户App-直播模块</x:v>
      </x:c>
      <x:c r="G54" s="5" t="str">
        <x:v>连麦邀请等待期间任一主播网络离线但直播场次尚未结束</x:v>
      </x:c>
      <x:c r="H54" s="5" t="str">
        <x:v>流程与状态</x:v>
      </x:c>
      <x:c r="I54" s="9" t="str">
        <x:v>主播网络离线但直播场次未结束时待处理邀请如何变化？</x:v>
      </x:c>
      <x:c r="J54" s="5" t="str">
        <x:v>A. 与离线一方相关的待处理邀请立即关闭
B. 待处理邀请保留但离线期间不能接受
C. 待处理邀请保留且网络恢复后允许继续处理</x:v>
      </x:c>
      <x:c r="K54" s="10" t="str">
        <x:v>建议 A；双方已经不满足连麦前置条件，保留邀请容易产生迟到处理。</x:v>
      </x:c>
      <x:c r="L54" s="14" t="str"/>
      <x:c r="M54" s="14" t="str"/>
      <x:c r="N54" s="5" t="str">
        <x:v>1. context/系统概要 .md 已明确任一方结束直播时邀请立即失效
2. 当前证据未定义仅网络离线且场次未结束时的邀请状态</x:v>
      </x:c>
      <x:c r="O54" s="5" t="str">
        <x:v>1. 主播网络状态
2. 直播场次
3. 连麦邀请</x:v>
      </x:c>
      <x:c r="P54" s="5" t="str"/>
      <x:c r="Q54" s="5" t="str">
        <x:v>1. 邀请等待期间主播网络离线</x:v>
      </x:c>
      <x:c r="R54" s="5" t="str">
        <x:v>产品</x:v>
      </x:c>
      <x:c r="S54" s="5" t="str">
        <x:v>本轮回归前</x:v>
      </x:c>
      <x:c r="T54" s="5" t="str">
        <x:v>待确认</x:v>
      </x:c>
    </x:row>
    <x:row r="55" ht="43.5" customHeight="1">
      <x:c r="A55" s="5" t="str">
        <x:v>Q-023-03</x:v>
      </x:c>
      <x:c r="B55" s="22" t="str">
        <x:v>RQ-023</x:v>
      </x:c>
      <x:c r="C55" s="5" t="str"/>
      <x:c r="D55" s="5" t="str"/>
      <x:c r="E55" s="5" t="str">
        <x:v>部分阻塞</x:v>
      </x:c>
      <x:c r="F55" s="5" t="str">
        <x:v>用户App-直播模块</x:v>
      </x:c>
      <x:c r="G55" s="5" t="str">
        <x:v>邀请等待期间任一直播间切换为门票房或密码房</x:v>
      </x:c>
      <x:c r="H55" s="5" t="str">
        <x:v>流程与状态</x:v>
      </x:c>
      <x:c r="I55" s="9" t="str">
        <x:v>房型变为不支持连麦后待处理邀请如何变化？</x:v>
      </x:c>
      <x:c r="J55" s="5" t="str">
        <x:v>A. 邀请立即关闭
B. 保留邀请但禁止接受
C. 房型恢复普通房后继续处理</x:v>
      </x:c>
      <x:c r="K55" s="10" t="str">
        <x:v>建议 A；特殊房型不支持连麦，关闭邀请可以保持状态一致。</x:v>
      </x:c>
      <x:c r="L55" s="14" t="str"/>
      <x:c r="M55" s="14" t="str"/>
      <x:c r="N55" s="5" t="str">
        <x:v>1. 原型支持发出、取消、接受、拒绝和同时收到多条连麦邀请
2. 需求只限定在线、权限、普通房和两人上限</x:v>
      </x:c>
      <x:c r="O55" s="5" t="str">
        <x:v>1. 房型变更
2. 连麦邀请</x:v>
      </x:c>
      <x:c r="P55" s="5" t="str"/>
      <x:c r="Q55" s="5" t="str">
        <x:v>1. 补充或重审：邀请等待期间任一直播间切换为门票房或密码房</x:v>
      </x:c>
      <x:c r="R55" s="5" t="str">
        <x:v>产品</x:v>
      </x:c>
      <x:c r="S55" s="5" t="str">
        <x:v>本轮回归前</x:v>
      </x:c>
      <x:c r="T55" s="5" t="str">
        <x:v>待确认</x:v>
      </x:c>
    </x:row>
    <x:row r="56" ht="43.5" customHeight="1">
      <x:c r="A56" s="5" t="str">
        <x:v>Q-023-04</x:v>
      </x:c>
      <x:c r="B56" s="22" t="str">
        <x:v>RQ-023</x:v>
      </x:c>
      <x:c r="C56" s="5" t="str"/>
      <x:c r="D56" s="5" t="str"/>
      <x:c r="E56" s="5" t="str">
        <x:v>部分阻塞</x:v>
      </x:c>
      <x:c r="F56" s="5" t="str">
        <x:v>用户App-直播模块</x:v>
      </x:c>
      <x:c r="G56" s="5" t="str">
        <x:v>主播几乎同时处理多条邀请或收到迟到响应</x:v>
      </x:c>
      <x:c r="H56" s="5" t="str">
        <x:v>流程与状态</x:v>
      </x:c>
      <x:c r="I56" s="9" t="str">
        <x:v>多条连麦邀请几乎同时被接受时，系统最终应保留哪一个连麦关系？</x:v>
      </x:c>
      <x:c r="J56" s="5" t="str">
        <x:v>A. 保留最先成功建立的连麦关系，并关闭其他待处理邀请
B. 保留最后成功建立的连麦关系，并结束此前建立的关系
C. 不建立任何连麦关系，全部返回失败后由主播重新选择</x:v>
      </x:c>
      <x:c r="K56" s="10" t="str">
        <x:v>建议 A；两人上限下只保留第一条成功关系，最终结果唯一且可观察。</x:v>
      </x:c>
      <x:c r="L56" s="14" t="str"/>
      <x:c r="M56" s="14" t="str"/>
      <x:c r="N56" s="5" t="str">
        <x:v>1. 原型支持发出、取消、接受、拒绝和同时收到多条连麦邀请
2. 需求只限定在线、权限、普通房和两人上限</x:v>
      </x:c>
      <x:c r="O56" s="5" t="str">
        <x:v>1. 多条收到邀请
2. 两人连麦上限
3. 迟到响应</x:v>
      </x:c>
      <x:c r="P56" s="5" t="str"/>
      <x:c r="Q56" s="5" t="str">
        <x:v>1. 并发接受邀请</x:v>
      </x:c>
      <x:c r="R56" s="5" t="str">
        <x:v>多方确认</x:v>
      </x:c>
      <x:c r="S56" s="5" t="str">
        <x:v>本轮回归前</x:v>
      </x:c>
      <x:c r="T56" s="5" t="str">
        <x:v>待确认</x:v>
      </x:c>
    </x:row>
    <x:row r="57" ht="43.5" customHeight="1">
      <x:c r="A57" s="15" t="str">
        <x:v>Q-025</x:v>
      </x:c>
      <x:c r="B57" s="19" t="str">
        <x:v>RQ-025</x:v>
      </x:c>
      <x:c r="C57" s="15" t="str"/>
      <x:c r="D57" s="15" t="str"/>
      <x:c r="E57" s="15" t="str">
        <x:v>部分阻塞</x:v>
      </x:c>
      <x:c r="F57" s="15" t="str">
        <x:v>用户App-直播模块</x:v>
      </x:c>
      <x:c r="G57" s="15" t="str">
        <x:v>主播在直播中点击清屏，主播端当前互动消息被移除</x:v>
      </x:c>
      <x:c r="H57" s="15" t="str">
        <x:v>跨端与跨模块一致性</x:v>
      </x:c>
      <x:c r="I57" s="16" t="str">
        <x:v>主播清屏后，观众端的当前公屏应采用哪一种结果？</x:v>
      </x:c>
      <x:c r="J57" s="15" t="str">
        <x:v>A. 所有在线观众的当前公屏同步清空
B. 仅主播端本地清空，观众端保留原消息
C. 在线观众保留原消息，清屏后新进观众仅看到清屏后的消息</x:v>
      </x:c>
      <x:c r="K57" s="17" t="str">
        <x:v>建议 A；清屏作为主播管理动作时，全部在线观众一致更易理解和验收。</x:v>
      </x:c>
      <x:c r="L57" s="18" t="str"/>
      <x:c r="M57" s="18" t="str"/>
      <x:c r="N57" s="15" t="str">
        <x:v>1. 原型脚本只能观察到主播当前页面移除互动消息
2. 最新需求未明确观众端的清屏范围</x:v>
      </x:c>
      <x:c r="O57" s="15" t="str">
        <x:v>1. 主播直播间清屏
2. 在线观众公屏
3. 清屏后新进观众公屏</x:v>
      </x:c>
      <x:c r="P57" s="15" t="str"/>
      <x:c r="Q57" s="15" t="str">
        <x:v>1. 主播清屏后的观众端结果</x:v>
      </x:c>
      <x:c r="R57" s="15" t="str">
        <x:v>产品</x:v>
      </x:c>
      <x:c r="S57" s="15" t="str">
        <x:v>进入对应功能测试前</x:v>
      </x:c>
      <x:c r="T57" s="15" t="str">
        <x:v>待确认</x:v>
      </x:c>
    </x:row>
    <x:row r="58" ht="43.5" customHeight="1">
      <x:c r="A58" s="15" t="str">
        <x:v>Q-026</x:v>
      </x:c>
      <x:c r="B58" s="19" t="str">
        <x:v>RQ-026</x:v>
      </x:c>
      <x:c r="C58" s="15" t="str"/>
      <x:c r="D58" s="15" t="str"/>
      <x:c r="E58" s="15" t="str">
        <x:v>部分阻塞</x:v>
      </x:c>
      <x:c r="F58" s="15" t="str">
        <x:v>用户App-直播模块</x:v>
      </x:c>
      <x:c r="G58" s="15" t="str">
        <x:v>主播在主播中心点击“直播记录”工具入口</x:v>
      </x:c>
      <x:c r="H58" s="15" t="str">
        <x:v>流程与状态</x:v>
      </x:c>
      <x:c r="I58" s="16" t="str">
        <x:v>主播中心的“直播记录”入口点击后应执行哪一种结果？</x:v>
      </x:c>
      <x:c r="J58" s="15" t="str">
        <x:v>A. 直接进入直播记录页
B. 先进入直播数据页，再由主播选择日数据进入直播记录页
C. 从主播中心移除直播记录入口</x:v>
      </x:c>
      <x:c r="K58" s="17" t="str">
        <x:v>建议 A；直播记录已作为主播中心独立页面登记，直接进入路径最短，也符合工具入口的用户预期。</x:v>
      </x:c>
      <x:c r="L58" s="18" t="str"/>
      <x:c r="M58" s="18" t="str"/>
      <x:c r="N58" s="15" t="str">
        <x:v>1. 主播中心展示“直播记录”工具入口
2. 当前按钮仅提示“进入直播记录”，没有页面跳转
3. 直播记录页已在页面树独立登记</x:v>
      </x:c>
      <x:c r="O58" s="15" t="str">
        <x:v>1. 用户 App 主播中心
2. 直播记录入口
3. 主播返回路径</x:v>
      </x:c>
      <x:c r="P58" s="15" t="str">
        <x:v>1. LIVE-269
2. LIVE-270</x:v>
      </x:c>
      <x:c r="Q58" s="15" t="str">
        <x:v>1. 主播中心直播记录入口</x:v>
      </x:c>
      <x:c r="R58" s="15" t="str">
        <x:v>产品</x:v>
      </x:c>
      <x:c r="S58" s="15" t="str">
        <x:v>进入直播记录功能测试前</x:v>
      </x:c>
      <x:c r="T58" s="15" t="str">
        <x:v>待确认</x:v>
      </x:c>
    </x:row>
    <x:row r="59" ht="55.5" customHeight="1">
      <x:c r="A59" s="15" t="str">
        <x:v>Q-027</x:v>
      </x:c>
      <x:c r="B59" s="19" t="str">
        <x:v>RQ-027</x:v>
      </x:c>
      <x:c r="C59" s="15" t="str"/>
      <x:c r="D59" s="15" t="str"/>
      <x:c r="E59" s="15" t="str">
        <x:v>部分阻塞</x:v>
      </x:c>
      <x:c r="F59" s="15" t="str">
        <x:v>用户App-直播模块</x:v>
      </x:c>
      <x:c r="G59" s="15" t="str">
        <x:v>主播首次进入直播记录页，系统计算默认近 7 天范围</x:v>
      </x:c>
      <x:c r="H59" s="15" t="str">
        <x:v>计算与统计口径</x:v>
      </x:c>
      <x:c r="I59" s="16" t="str">
        <x:v>默认“近 7 天”采用哪一种起止范围？</x:v>
      </x:c>
      <x:c r="J59" s="15" t="str">
        <x:v>A. 包含当天及前 6 个自然日，共 7 个自然日
B. 包含当天及前 7 个自然日，共 8 个自然日
C. 从进入页面时刻向前滚动 168 小时</x:v>
      </x:c>
      <x:c r="K59" s="17" t="str">
        <x:v>建议 A；自然日口径便于主播理解，列表和三项汇总也能使用同一日期边界。</x:v>
      </x:c>
      <x:c r="L59" s="18" t="str">
        <x:v>A</x:v>
      </x:c>
      <x:c r="M59" s="18" t="str">
        <x:v>按 RCL-0019，以原型批注“默认近 7 天”为准；采用当天及前 6 个自然日，共 7 个自然日。页面或 Mock 示例日期不作为默认边界规则。</x:v>
      </x:c>
      <x:c r="N59" s="15" t="str">
        <x:v>1. 原型批注明确写明默认近 7 天
2. 页面或 Mock 中存在 10/8/2026 至 17/8/2026 的示例日期
3. RCL-0019 明确页面默认值或 Mock 示例与批注不一致时批注优先</x:v>
      </x:c>
      <x:c r="O59" s="15" t="str">
        <x:v>1. 默认记录列表
2. 默认收益汇总
3. 默认总时长汇总
4. 默认直播场次汇总</x:v>
      </x:c>
      <x:c r="P59" s="15" t="str">
        <x:v>1. LIVE-271 至 LIVE-274</x:v>
      </x:c>
      <x:c r="Q59" s="15" t="str"/>
      <x:c r="R59" s="15" t="str">
        <x:v>产品</x:v>
      </x:c>
      <x:c r="S59" s="15" t="str">
        <x:v>已按 RCL-0019 处理</x:v>
      </x:c>
      <x:c r="T59" s="15" t="str">
        <x:v>已确认</x:v>
      </x:c>
    </x:row>
    <x:row r="60" ht="55.5" customHeight="1">
      <x:c r="A60" s="15" t="str">
        <x:v>Q-028</x:v>
      </x:c>
      <x:c r="B60" s="19" t="str">
        <x:v>RQ-028</x:v>
      </x:c>
      <x:c r="C60" s="15" t="str"/>
      <x:c r="D60" s="15" t="str"/>
      <x:c r="E60" s="15" t="str">
        <x:v>部分阻塞</x:v>
      </x:c>
      <x:c r="F60" s="15" t="str">
        <x:v>用户App-直播模块</x:v>
      </x:c>
      <x:c r="G60" s="15" t="str">
        <x:v>直播发生在日期切换边界，主播使用默认、快捷和自定义日期筛选</x:v>
      </x:c>
      <x:c r="H60" s="15" t="str">
        <x:v>计算与统计口径</x:v>
      </x:c>
      <x:c r="I60" s="16" t="str">
        <x:v>直播记录日期归属和筛选边界使用哪个时区？</x:v>
      </x:c>
      <x:c r="J60" s="15" t="str">
        <x:v>A. 使用主播账号所属时区
B. 使用主播设备系统时区
C. 固定使用 Asia/Jakarta 时区</x:v>
      </x:c>
      <x:c r="K60" s="17" t="str">
        <x:v>建议 A；与有效天按主播所属自然日计算的既有口径一致，可减少同一主播跨设备结果变化。</x:v>
      </x:c>
      <x:c r="L60" s="18" t="str"/>
      <x:c r="M60" s="18" t="str"/>
      <x:c r="N60" s="15" t="str">
        <x:v>1. 有效天使用主播所属自然日
2. 直播记录原型只比较日期字段
3. 直播记录批注未定义时区</x:v>
      </x:c>
      <x:c r="O60" s="15" t="str">
        <x:v>1. 默认日期范围
2. 本周、本月、上月筛选
3. 自定义日期筛选
4. 汇总指标</x:v>
      </x:c>
      <x:c r="P60" s="15" t="str">
        <x:v>1. LIVE-271 至 LIVE-305</x:v>
      </x:c>
      <x:c r="Q60" s="15" t="str">
        <x:v>1. 跨日开播和跨日结束的日期归属
2. 时区切换边界</x:v>
      </x:c>
      <x:c r="R60" s="15" t="str">
        <x:v>多方确认</x:v>
      </x:c>
      <x:c r="S60" s="15" t="str">
        <x:v>进入日期筛选测试前</x:v>
      </x:c>
      <x:c r="T60" s="15" t="str">
        <x:v>待确认</x:v>
      </x:c>
    </x:row>
    <x:row r="61" ht="43.5" customHeight="1">
      <x:c r="A61" s="15" t="str">
        <x:v>Q-029</x:v>
      </x:c>
      <x:c r="B61" s="19" t="str">
        <x:v>RQ-029</x:v>
      </x:c>
      <x:c r="C61" s="15" t="str"/>
      <x:c r="D61" s="15" t="str"/>
      <x:c r="E61" s="15" t="str">
        <x:v>部分阻塞</x:v>
      </x:c>
      <x:c r="F61" s="15" t="str">
        <x:v>用户App-直播模块</x:v>
      </x:c>
      <x:c r="G61" s="15" t="str">
        <x:v>一场直播存在用户重复进出和并发观看，记录卡片展示观众人数</x:v>
      </x:c>
      <x:c r="H61" s="15" t="str">
        <x:v>计算与统计口径</x:v>
      </x:c>
      <x:c r="I61" s="16" t="str">
        <x:v>单场记录的“观众人数”采用哪一种统计口径？</x:v>
      </x:c>
      <x:c r="J61" s="15" t="str">
        <x:v>A. 按用户 ID 去重后的观看人数
B. 直播期间的最高同时在线人数
C. 用户每次进入直播间均累计一次</x:v>
      </x:c>
      <x:c r="K61" s="17" t="str">
        <x:v>建议 A；字段名称为人数，按用户去重最符合人数语义，也便于与重复进房行为区分。</x:v>
      </x:c>
      <x:c r="L61" s="18" t="str"/>
      <x:c r="M61" s="18" t="str"/>
      <x:c r="N61" s="15" t="str">
        <x:v>1. 记录卡片展示观众人数
2. Mock 仅提供 viewers 数值
3. 原型未说明重复进入和并发统计方式</x:v>
      </x:c>
      <x:c r="O61" s="15" t="str">
        <x:v>1. 记录卡片观众人数
2. 单场直播数据
3. 主播数据对账</x:v>
      </x:c>
      <x:c r="P61" s="15" t="str">
        <x:v>1. LIVE-311</x:v>
      </x:c>
      <x:c r="Q61" s="15" t="str">
        <x:v>1. 重复进入统计
2. 并发观看统计</x:v>
      </x:c>
      <x:c r="R61" s="15" t="str">
        <x:v>产品</x:v>
      </x:c>
      <x:c r="S61" s="15" t="str">
        <x:v>进入记录字段测试前</x:v>
      </x:c>
      <x:c r="T61" s="15" t="str">
        <x:v>待确认</x:v>
      </x:c>
    </x:row>
    <x:row r="62" ht="43.5" customHeight="1">
      <x:c r="A62" s="15" t="str">
        <x:v>Q-030</x:v>
      </x:c>
      <x:c r="B62" s="19" t="str">
        <x:v>RQ-030</x:v>
      </x:c>
      <x:c r="C62" s="15" t="str"/>
      <x:c r="D62" s="15" t="str"/>
      <x:c r="E62" s="15" t="str">
        <x:v>部分阻塞</x:v>
      </x:c>
      <x:c r="F62" s="15" t="str">
        <x:v>用户App-直播模块</x:v>
      </x:c>
      <x:c r="G62" s="15" t="str">
        <x:v>一场直播中同一用户批量赠送礼物，记录卡片展示收礼数量</x:v>
      </x:c>
      <x:c r="H62" s="15" t="str">
        <x:v>计算与统计口径</x:v>
      </x:c>
      <x:c r="I62" s="16" t="str">
        <x:v>单场记录的“收礼数量”采用哪一种统计口径？</x:v>
      </x:c>
      <x:c r="J62" s="15" t="str">
        <x:v>A. 累计所有礼物的商品件数
B. 累计用户执行赠送的操作次数
C. 统计本场收到的不同礼物种类数</x:v>
      </x:c>
      <x:c r="K62" s="17" t="str">
        <x:v>建议 A；“数量”按商品件数可以直接覆盖 x1、x10 等批量赠送，也便于收益对账。</x:v>
      </x:c>
      <x:c r="L62" s="18" t="str"/>
      <x:c r="M62" s="18" t="str"/>
      <x:c r="N62" s="15" t="str">
        <x:v>1. 记录卡片展示收礼数量
2. 直播送礼支持批量数量
3. Mock 仅提供 gifts 数值</x:v>
      </x:c>
      <x:c r="O62" s="15" t="str">
        <x:v>1. 记录卡片收礼数量
2. 直播送礼
3. 主播数据对账</x:v>
      </x:c>
      <x:c r="P62" s="15" t="str">
        <x:v>1. LIVE-312</x:v>
      </x:c>
      <x:c r="Q62" s="15" t="str">
        <x:v>1. 批量赠礼数量统计
2. 多礼物类型统计</x:v>
      </x:c>
      <x:c r="R62" s="15" t="str">
        <x:v>产品</x:v>
      </x:c>
      <x:c r="S62" s="15" t="str">
        <x:v>进入记录字段测试前</x:v>
      </x:c>
      <x:c r="T62" s="15" t="str">
        <x:v>待确认</x:v>
      </x:c>
    </x:row>
    <x:row r="63" ht="55.5" customHeight="1">
      <x:c r="A63" s="15" t="str">
        <x:v>Q-031</x:v>
      </x:c>
      <x:c r="B63" s="19" t="str">
        <x:v>RQ-031</x:v>
      </x:c>
      <x:c r="C63" s="15" t="str"/>
      <x:c r="D63" s="15" t="str"/>
      <x:c r="E63" s="15" t="str">
        <x:v>部分阻塞</x:v>
      </x:c>
      <x:c r="F63" s="15" t="str">
        <x:v>用户App-直播模块</x:v>
      </x:c>
      <x:c r="G63" s="15" t="str">
        <x:v>主播结束直播后进入直播记录查询刚结束的场次</x:v>
      </x:c>
      <x:c r="H63" s="15" t="str">
        <x:v>跨端与跨模块一致性</x:v>
      </x:c>
      <x:c r="I63" s="16" t="str">
        <x:v>结束直播后，新场次记录最迟应在什么时候可以查询？</x:v>
      </x:c>
      <x:c r="J63" s="15" t="str">
        <x:v>A. 直播结束结果页出现时即可查询
B. 直播结束后 30 秒内可以查询
C. 直播结束后 5 分钟内可以查询
D. 该场结算完成后可以查询</x:v>
      </x:c>
      <x:c r="K63" s="17" t="str">
        <x:v>建议 A；主播结束后通常会立即查看本场数据，立即可查可以减少重复刷新和误判。</x:v>
      </x:c>
      <x:c r="L63" s="18" t="str"/>
      <x:c r="M63" s="18" t="str"/>
      <x:c r="N63" s="15" t="str">
        <x:v>1. 需求写明结束直播后生成本场记录、收益和数据
2. 原型未定义生成时效和刷新动作</x:v>
      </x:c>
      <x:c r="O63" s="15" t="str">
        <x:v>1. 结束直播
2. 直播记录生成
3. 收益、时长和场次汇总</x:v>
      </x:c>
      <x:c r="P63" s="15" t="str">
        <x:v>1. LIVE-262
2. LIVE-317 至 LIVE-319</x:v>
      </x:c>
      <x:c r="Q63" s="15" t="str">
        <x:v>1. 记录生成时效边界
2. 超时后的页面结果</x:v>
      </x:c>
      <x:c r="R63" s="15" t="str">
        <x:v>多方确认</x:v>
      </x:c>
      <x:c r="S63" s="15" t="str">
        <x:v>进入跨模块流程测试前</x:v>
      </x:c>
      <x:c r="T63" s="15" t="str">
        <x:v>待确认</x:v>
      </x:c>
    </x:row>
    <x:row r="64" ht="43.5" customHeight="1" collapsed="1">
      <x:c r="A64" s="15" t="str">
        <x:v>Q-032</x:v>
      </x:c>
      <x:c r="B64" s="19" t="str">
        <x:v>RQ-032</x:v>
      </x:c>
      <x:c r="C64" s="15" t="str"/>
      <x:c r="D64" s="15" t="str"/>
      <x:c r="E64" s="15" t="str">
        <x:v>部分阻塞</x:v>
      </x:c>
      <x:c r="F64" s="15" t="str">
        <x:v>用户App-直播模块</x:v>
      </x:c>
      <x:c r="G64" s="15" t="str">
        <x:v>主播点击直播记录列表中的单场记录卡片</x:v>
      </x:c>
      <x:c r="H64" s="15" t="str">
        <x:v>流程与状态</x:v>
      </x:c>
      <x:c r="I64" s="16" t="str">
        <x:v>点击单场直播记录后应进入哪一种查看方式？</x:v>
      </x:c>
      <x:c r="J64" s="15" t="str">
        <x:v>A. 进入独立的单场直播详情页
B. 在当前页打开单场数据抽屉
C. 仅提示“查看本场直播数据”，不展示更多内容</x:v>
      </x:c>
      <x:c r="K64" s="17" t="str">
        <x:v>建议 A；独立详情页更适合承载单场数据和后续扩展，也能形成明确返回路径。</x:v>
      </x:c>
      <x:c r="L64" s="18" t="str"/>
      <x:c r="M64" s="18" t="str"/>
      <x:c r="N64" s="15" t="str">
        <x:v>1. 记录卡片具有点击交互
2. 当前原型只提示“查看本场直播数据”
3. 原型没有单场详情页面</x:v>
      </x:c>
      <x:c r="O64" s="15" t="str">
        <x:v>1. 记录卡片点击
2. 单场数据查看
3. 详情返回路径</x:v>
      </x:c>
      <x:c r="P64" s="15" t="str">
        <x:v>1. LIVE-316</x:v>
      </x:c>
      <x:c r="Q64" s="15" t="str">
        <x:v>1. 单场记录详情入口</x:v>
      </x:c>
      <x:c r="R64" s="15" t="str">
        <x:v>产品</x:v>
      </x:c>
      <x:c r="S64" s="15" t="str">
        <x:v>进入记录卡片交互测试前</x:v>
      </x:c>
      <x:c r="T64" s="15" t="str">
        <x:v>待确认</x:v>
      </x:c>
    </x:row>
    <x:row r="65" ht="43.5" customHeight="1" hidden="1" outlineLevel="1">
      <x:c r="A65" s="20" t="str">
        <x:v>Q-032-01</x:v>
      </x:c>
      <x:c r="B65" s="20" t="str">
        <x:v>RQ-032</x:v>
      </x:c>
      <x:c r="C65" s="21" t="str">
        <x:v>Q-032</x:v>
      </x:c>
      <x:c r="D65" s="21" t="str">
        <x:v>Q-032 选择 A 或 B 后</x:v>
      </x:c>
      <x:c r="E65" s="5" t="str">
        <x:v>部分阻塞</x:v>
      </x:c>
      <x:c r="F65" s="5" t="str">
        <x:v>用户App-直播模块</x:v>
      </x:c>
      <x:c r="G65" s="5" t="str">
        <x:v>产品决定点击单场记录后展示详情页或数据抽屉</x:v>
      </x:c>
      <x:c r="H65" s="5" t="str">
        <x:v>需求范围</x:v>
      </x:c>
      <x:c r="I65" s="9" t="str">
        <x:v>单场详情首版展示哪一组数据？</x:v>
      </x:c>
      <x:c r="J65" s="5" t="str">
        <x:v>A. 仅展示记录卡片已有的标题、封面、开播时间、时长、收益、观众人数、收礼数量和房型
B. 在 A 的基础上增加新增粉丝人数和送礼人数
C. 展示结束直播页已有的开播时长、观众人数、新增粉丝和本场收益</x:v>
      </x:c>
      <x:c r="K65" s="10" t="str">
        <x:v>建议 A；完全复用当前已有字段，范围明确且不新增未定义统计口径。</x:v>
      </x:c>
      <x:c r="L65" s="14" t="str"/>
      <x:c r="M65" s="14" t="str"/>
      <x:c r="N65" s="5" t="str">
        <x:v>1. 记录卡片已有八类信息
2. 结束直播页存在另一组本场数据
3. 当前没有单场详情字段说明</x:v>
      </x:c>
      <x:c r="O65" s="5" t="str">
        <x:v>1. 单场直播详情页
2. 单场数据抽屉
3. 记录字段来源</x:v>
      </x:c>
      <x:c r="P65" s="5" t="str"/>
      <x:c r="Q65" s="5" t="str">
        <x:v>1. 单场详情字段展示
2. 单场详情数据一致性</x:v>
      </x:c>
      <x:c r="R65" s="5" t="str">
        <x:v>产品</x:v>
      </x:c>
      <x:c r="S65" s="5" t="str">
        <x:v>Q-007 确认后进入详情开发前</x:v>
      </x:c>
      <x:c r="T65" s="5" t="str">
        <x:v>待前置结论</x:v>
      </x:c>
    </x:row>
    <x:row r="66" ht="43.5" customHeight="1">
      <x:c r="A66" s="15" t="str">
        <x:v>Q-033</x:v>
      </x:c>
      <x:c r="B66" s="19" t="str">
        <x:v>RQ-033</x:v>
      </x:c>
      <x:c r="C66" s="15" t="str"/>
      <x:c r="D66" s="15" t="str"/>
      <x:c r="E66" s="15" t="str">
        <x:v>部分阻塞</x:v>
      </x:c>
      <x:c r="F66" s="15" t="str">
        <x:v>用户App-直播模块</x:v>
      </x:c>
      <x:c r="G66" s="15" t="str">
        <x:v>普通用户、直播权限关闭主播和曾经开播的账号访问直播记录页</x:v>
      </x:c>
      <x:c r="H66" s="15" t="str">
        <x:v>角色与权限</x:v>
      </x:c>
      <x:c r="I66" s="16" t="str">
        <x:v>哪些账号可以查看自己的历史直播记录？</x:v>
      </x:c>
      <x:c r="J66" s="15" t="str">
        <x:v>A. 仅当前具有直播权限的主播可以查看
B. 曾经产生直播记录的主播在权限关闭后仍可查看
C. 所有登录用户均可进入，未开播用户展示空记录</x:v>
      </x:c>
      <x:c r="K66" s="17" t="str">
        <x:v>建议 B；历史记录属于已发生业务数据，权限关闭后保留只读查询更利于主播核对。</x:v>
      </x:c>
      <x:c r="L66" s="18" t="str"/>
      <x:c r="M66" s="18" t="str"/>
      <x:c r="N66" s="15" t="str">
        <x:v>1. 直播记录位于主播中心
2. 主播中心仅对主播相关账号开放
3. 原型未展示权限关闭后的历史查询规则</x:v>
      </x:c>
      <x:c r="O66" s="15" t="str">
        <x:v>1. 主播中心权限
2. 直播记录访问
3. 历史数据可见范围</x:v>
      </x:c>
      <x:c r="P66" s="15" t="str"/>
      <x:c r="Q66" s="15" t="str">
        <x:v>1. 非主播访问
2. 直播权限关闭后访问
3. 历史主播访问</x:v>
      </x:c>
      <x:c r="R66" s="15" t="str">
        <x:v>产品</x:v>
      </x:c>
      <x:c r="S66" s="15" t="str">
        <x:v>进入权限测试前</x:v>
      </x:c>
      <x:c r="T66" s="15" t="str">
        <x:v>待确认</x:v>
      </x:c>
    </x:row>
    <x:row r="67" ht="43.5" customHeight="1">
      <x:c r="A67" s="15" t="str">
        <x:v>Q-036</x:v>
      </x:c>
      <x:c r="B67" s="19" t="str">
        <x:v>RQ-036</x:v>
      </x:c>
      <x:c r="C67" s="15" t="str"/>
      <x:c r="D67" s="15" t="str"/>
      <x:c r="E67" s="15" t="str">
        <x:v>部分阻塞</x:v>
      </x:c>
      <x:c r="F67" s="15" t="str">
        <x:v>用户App-直播模块</x:v>
      </x:c>
      <x:c r="G67" s="15" t="str">
        <x:v>直播因断网、App 崩溃或平台强制关闭而结束</x:v>
      </x:c>
      <x:c r="H67" s="15" t="str">
        <x:v>异常处理</x:v>
      </x:c>
      <x:c r="I67" s="16" t="str">
        <x:v>非主播手动结束的直播场次是否生成直播记录？</x:v>
      </x:c>
      <x:c r="J67" s="15" t="str">
        <x:v>A. 所有已经开始的直播场次均生成记录
B. 仅直播时长达到 1 分钟的场次生成记录
C. 仅主播手动结束的场次生成记录</x:v>
      </x:c>
      <x:c r="K67" s="17" t="str">
        <x:v>建议 A；保留全部已发生场次便于主播核对，也有利于异常追踪和数据对账。</x:v>
      </x:c>
      <x:c r="L67" s="18" t="str"/>
      <x:c r="M67" s="18" t="str"/>
      <x:c r="N67" s="15" t="str">
        <x:v>1. 需求只写明主播结束直播后生成记录
2. 原型没有异常结束和强制关闭后的记录规则</x:v>
      </x:c>
      <x:c r="O67" s="15" t="str">
        <x:v>1. 异常结束直播
2. 直播记录生成
3. 汇总指标</x:v>
      </x:c>
      <x:c r="P67" s="15" t="str">
        <x:v>1. LIVE-262
2. LIVE-317 至 LIVE-319</x:v>
      </x:c>
      <x:c r="Q67" s="15" t="str">
        <x:v>1. 断网结束生成记录
2. App 崩溃后生成记录
3. 平台强制关闭后生成记录</x:v>
      </x:c>
      <x:c r="R67" s="15" t="str">
        <x:v>多方确认</x:v>
      </x:c>
      <x:c r="S67" s="15" t="str">
        <x:v>进入异常流程测试前</x:v>
      </x:c>
      <x:c r="T67" s="15" t="str">
        <x:v>待确认</x:v>
      </x:c>
    </x:row>
    <x:row r="68" ht="79.5" customHeight="1">
      <x:c r="A68" s="15" t="str">
        <x:v>Q-037</x:v>
      </x:c>
      <x:c r="B68" s="19" t="str">
        <x:v>RQ-037</x:v>
      </x:c>
      <x:c r="C68" s="15" t="str"/>
      <x:c r="D68" s="15" t="str"/>
      <x:c r="E68" s="15" t="str">
        <x:v>部分阻塞</x:v>
      </x:c>
      <x:c r="F68" s="15" t="str">
        <x:v>用户App-直播模块</x:v>
      </x:c>
      <x:c r="G68" s="15" t="str">
        <x:v>管理后台维护礼物购买份数配置，用户在直播间打开所选礼物的赠送数量菜单</x:v>
      </x:c>
      <x:c r="H68" s="15" t="str">
        <x:v>跨端与跨模块一致性</x:v>
      </x:c>
      <x:c r="I68" s="16" t="str">
        <x:v>用户 App 礼物赠送数量选项最终采用哪一种来源规则？</x:v>
      </x:c>
      <x:c r="J68" s="15" t="str">
        <x:v>A. 用户 App 固定展示 x1、x10、x66、x188、x520，管理后台购买份数配置不影响用户 App
B. 用户 App 仅展示对所选礼物生效的后台购买份数配置，并按后台排序展示
C. 用户 App 固定保留 x1，再追加对所选礼物生效的后台购买份数配置，重复数量只展示一次</x:v>
      </x:c>
      <x:c r="K68" s="17" t="str">
        <x:v>建议 B；管理后台已提供礼物类型、适用礼物、状态和排序字段，直接作为用户端数量来源更便于配置闭环。</x:v>
      </x:c>
      <x:c r="L68" s="18" t="str"/>
      <x:c r="M68" s="18" t="str"/>
      <x:c r="N68" s="15" t="str">
        <x:v>1. prototype/assets/common.js 将用户 App 数量菜单固定为 1、10、66、188、520
2. prototype/pages/admin/gifts/admin-gift-send-count-rules.html 提供购买份数、适用礼物、状态和排序配置
3. prototype/assets/admin-mock.js 当前只有数量 1 的全类型规则生效，数量 10 的定制礼物规则失效</x:v>
      </x:c>
      <x:c r="O68" s="15" t="str">
        <x:v>1. 用户 App / 直播间 / 礼物数量菜单
2. 管理后台 / 礼物道具 / 购买份数配置
3. 礼物送出数量及对应扣费测试数据</x:v>
      </x:c>
      <x:c r="P68" s="15" t="str">
        <x:v>1. LIVE-090 至 LIVE-091</x:v>
      </x:c>
      <x:c r="Q68" s="15" t="str">
        <x:v>1. 直播送礼-赠送数量选项来源与后台配置生效</x:v>
      </x:c>
      <x:c r="R68" s="15" t="str">
        <x:v>多方确认</x:v>
      </x:c>
      <x:c r="S68" s="15" t="str">
        <x:v>本轮回归前</x:v>
      </x:c>
      <x:c r="T68" s="15" t="str">
        <x:v>待确认</x:v>
      </x:c>
    </x:row>
    <x:row r="69" ht="55.5" customHeight="1">
      <x:c r="A69" s="15" t="str">
        <x:v>Q-034</x:v>
      </x:c>
      <x:c r="B69" s="19" t="str">
        <x:v>RQ-034</x:v>
      </x:c>
      <x:c r="C69" s="15" t="str"/>
      <x:c r="D69" s="15" t="str"/>
      <x:c r="E69" s="15" t="str">
        <x:v>不阻塞</x:v>
      </x:c>
      <x:c r="F69" s="15" t="str">
        <x:v>用户App-直播模块</x:v>
      </x:c>
      <x:c r="G69" s="15" t="str">
        <x:v>主播在较长日期范围内拥有超过一屏的历史直播记录</x:v>
      </x:c>
      <x:c r="H69" s="15" t="str">
        <x:v>业务规则</x:v>
      </x:c>
      <x:c r="I69" s="16" t="str">
        <x:v>历史直播记录数量较多时使用哪一种加载方式？</x:v>
      </x:c>
      <x:c r="J69" s="15" t="str">
        <x:v>A. 每页 20 条，通过页码切换
B. 首次 20 条，上拉后每次再加载 20 条
C. 单次最多加载 1,000 条，超过后要求缩小日期范围</x:v>
      </x:c>
      <x:c r="K69" s="17" t="str">
        <x:v>建议 B；符合移动端连续浏览习惯，也能控制首次加载数据量。</x:v>
      </x:c>
      <x:c r="L69" s="18" t="str"/>
      <x:c r="M69" s="18" t="str"/>
      <x:c r="N69" s="15" t="str">
        <x:v>1. 当前原型一次渲染全部 Mock 记录
2. 原型没有分页、上拉加载和上限说明</x:v>
      </x:c>
      <x:c r="O69" s="15" t="str">
        <x:v>1. 直播记录列表
2. 日期范围筛选
3. 大量历史记录</x:v>
      </x:c>
      <x:c r="P69" s="15" t="str"/>
      <x:c r="Q69" s="15" t="str">
        <x:v>1. 首批加载
2. 后续加载
3. 重复记录去重
4. 加载结束状态</x:v>
      </x:c>
      <x:c r="R69" s="15" t="str">
        <x:v>产品</x:v>
      </x:c>
      <x:c r="S69" s="15" t="str">
        <x:v>版本验收前</x:v>
      </x:c>
      <x:c r="T69" s="15" t="str">
        <x:v>待确认</x:v>
      </x:c>
    </x:row>
    <x:row r="70" ht="55.5" customHeight="1">
      <x:c r="A70" s="15" t="str">
        <x:v>Q-035</x:v>
      </x:c>
      <x:c r="B70" s="19" t="str">
        <x:v>RQ-035</x:v>
      </x:c>
      <x:c r="C70" s="15" t="str"/>
      <x:c r="D70" s="15" t="str"/>
      <x:c r="E70" s="15" t="str">
        <x:v>不阻塞</x:v>
      </x:c>
      <x:c r="F70" s="15" t="str">
        <x:v>用户App-直播模块</x:v>
      </x:c>
      <x:c r="G70" s="15" t="str">
        <x:v>主播查询一年以上的历史直播记录</x:v>
      </x:c>
      <x:c r="H70" s="15" t="str">
        <x:v>配置和历史数据影响</x:v>
      </x:c>
      <x:c r="I70" s="16" t="str">
        <x:v>用户 App 中的直播记录保留多长时间？</x:v>
      </x:c>
      <x:c r="J70" s="15" t="str">
        <x:v>A. 永久保留并允许查询
B. 保留最近 1 年
C. 保留最近 2 年
D. 保留最近 3 年</x:v>
      </x:c>
      <x:c r="K70" s="17" t="str">
        <x:v>建议 B；覆盖常用年度核对范围，并限制移动端长期历史查询成本。</x:v>
      </x:c>
      <x:c r="L70" s="18" t="str"/>
      <x:c r="M70" s="18" t="str"/>
      <x:c r="N70" s="15" t="str">
        <x:v>1. 当前原型只提供日期筛选
2. 需求和原型均未定义保留期限</x:v>
      </x:c>
      <x:c r="O70" s="15" t="str">
        <x:v>1. 直播记录历史数据
2. 日期选择器可选范围
3. 过期记录查询</x:v>
      </x:c>
      <x:c r="P70" s="15" t="str"/>
      <x:c r="Q70" s="15" t="str">
        <x:v>1. 保留期限内记录
2. 保留期限边界
3. 过期记录处理</x:v>
      </x:c>
      <x:c r="R70" s="15" t="str">
        <x:v>产品</x:v>
      </x:c>
      <x:c r="S70" s="15" t="str">
        <x:v>版本验收前</x:v>
      </x:c>
      <x:c r="T70" s="15" t="str">
        <x:v>待确认</x:v>
      </x:c>
    </x:row>
  </x:sheetData>
  <x:conditionalFormatting sqref="E2:E70">
    <x:cfRule type="containsText" dxfId="2" priority="1" operator="containsText" text="阻塞测试"/>
    <x:cfRule type="containsText" dxfId="3" priority="2" operator="containsText" text="部分阻塞"/>
    <x:cfRule type="containsText" dxfId="4" priority="3" operator="containsText" text="不阻塞"/>
  </x:conditionalFormatting>
  <x:conditionalFormatting sqref="T2:T70">
    <x:cfRule type="containsText" dxfId="5" priority="4" operator="containsText" text="待前置结论"/>
    <x:cfRule type="containsText" dxfId="6" priority="5" operator="containsText" text="确认中"/>
    <x:cfRule type="containsText" dxfId="7" priority="6" operator="containsText" text="已确认"/>
  </x:conditionalFormatting>
  <x:dataValidations count="5">
    <x:dataValidation type="list" sqref="E2:E70">
      <x:formula1>"阻塞测试,部分阻塞,不阻塞"</x:formula1>
    </x:dataValidation>
    <x:dataValidation type="list" sqref="H2:H70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70">
      <x:formula1>"A,B,C,D,其他"</x:formula1>
    </x:dataValidation>
    <x:dataValidation type="list" sqref="R2:R70">
      <x:formula1>"产品,交互,技术,多方确认"</x:formula1>
    </x:dataValidation>
    <x:dataValidation type="list" sqref="T2:T70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3004c6f7ae4a9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  <x:selection pane="bottomLeft" activeCell="A3" sqref="A3"/>
    </x:sheetView>
  </x:sheetViews>
  <x:sheetFormatPr defaultRowHeight="15"/>
  <x:cols>
    <x:col min="1" max="1" width="22" hidden="0" customWidth="1"/>
    <x:col min="2" max="2" width="11" hidden="0" customWidth="1"/>
    <x:col min="3" max="3" width="22" hidden="0" customWidth="1"/>
    <x:col min="4" max="4" width="11" hidden="0" customWidth="1"/>
    <x:col min="5" max="5" width="22" hidden="0" customWidth="1"/>
    <x:col min="6" max="6" width="11" hidden="0" customWidth="1"/>
    <x:col min="7" max="7" width="24" hidden="0" customWidth="1"/>
    <x:col min="8" max="8" width="11" hidden="0" customWidth="1"/>
  </x:cols>
  <x:sheetData>
    <x:row r="1" ht="39" customHeight="1">
      <x:c r="A1" s="26" t="str">
        <x:v>产品决策概览</x:v>
      </x:c>
      <x:c r="B1" s="26"/>
      <x:c r="C1" s="26"/>
      <x:c r="D1" s="26"/>
      <x:c r="E1" s="26"/>
      <x:c r="F1" s="26"/>
      <x:c r="G1" s="26"/>
      <x:c r="H1" s="26"/>
    </x:row>
    <x:row r="2" ht="25.5" customHeight="1">
      <x:c r="A2" s="30" t="str">
        <x:v>优先处理阻塞测试问题；子问题在父问题结论明确后再处理。已确认问题保留用于规则追溯。</x:v>
      </x:c>
      <x:c r="B2" s="30"/>
      <x:c r="C2" s="30"/>
      <x:c r="D2" s="30"/>
      <x:c r="E2" s="30"/>
      <x:c r="F2" s="30"/>
      <x:c r="G2" s="30"/>
      <x:c r="H2" s="30"/>
    </x:row>
    <x:row r="4" ht="22.5" customHeight="1">
      <x:c r="A4" s="35" t="str">
        <x:v>问题总数</x:v>
      </x:c>
      <x:c r="B4" s="35" t="str"/>
      <x:c r="C4" s="35" t="str">
        <x:v>当前可回答</x:v>
      </x:c>
      <x:c r="D4" s="35" t="str"/>
      <x:c r="E4" s="35" t="str">
        <x:v>待前置结论</x:v>
      </x:c>
      <x:c r="F4" s="35" t="str"/>
      <x:c r="G4" s="35" t="str">
        <x:v>已确认</x:v>
      </x:c>
      <x:c r="H4" s="35" t="str"/>
    </x:row>
    <x:row r="5" ht="31.5" customHeight="1">
      <x:c r="A5" s="40" t="n">
        <x:f>COUNTA('需求待确认'!$A$2:$A$70)</x:f>
        <x:v>69</x:v>
      </x:c>
      <x:c r="B5" s="40" t="str"/>
      <x:c r="C5" s="40" t="n">
        <x:f>COUNTIF('需求待确认'!$T$2:$T$70,"待确认")</x:f>
        <x:v>57</x:v>
      </x:c>
      <x:c r="D5" s="40" t="str"/>
      <x:c r="E5" s="40" t="n">
        <x:f>COUNTIF('需求待确认'!$T$2:$T$70,"待前置结论")</x:f>
        <x:v>8</x:v>
      </x:c>
      <x:c r="F5" s="40" t="str"/>
      <x:c r="G5" s="40" t="n">
        <x:f>COUNTIF('需求待确认'!$T$2:$T$70,"已确认")</x:f>
        <x:v>4</x:v>
      </x:c>
      <x:c r="H5" s="40" t="str"/>
    </x:row>
    <x:row r="7" ht="24" customHeight="1">
      <x:c r="A7" s="44" t="str">
        <x:v>按状态</x:v>
      </x:c>
      <x:c r="B7" s="44" t="str">
        <x:v>数量</x:v>
      </x:c>
      <x:c r="C7" s="44" t="str">
        <x:v>按阻塞等级</x:v>
      </x:c>
      <x:c r="D7" s="44" t="str">
        <x:v>待确认</x:v>
      </x:c>
      <x:c r="E7" s="44" t="str">
        <x:v>按负责人</x:v>
      </x:c>
      <x:c r="F7" s="44" t="str">
        <x:v>待确认</x:v>
      </x:c>
      <x:c r="G7" s="44" t="str">
        <x:v>结构检查</x:v>
      </x:c>
      <x:c r="H7" s="44" t="str">
        <x:v>数量</x:v>
      </x:c>
    </x:row>
    <x:row r="8" ht="23.25" customHeight="1">
      <x:c r="A8" s="45" t="str">
        <x:v>待前置结论</x:v>
      </x:c>
      <x:c r="B8" s="46" t="n">
        <x:f>COUNTIF('需求待确认'!$T$2:$T$70,"待前置结论")</x:f>
        <x:v>8</x:v>
      </x:c>
      <x:c r="C8" s="45" t="str">
        <x:v>阻塞测试</x:v>
      </x:c>
      <x:c r="D8" s="46" t="n">
        <x:f>COUNTIFS('需求待确认'!$E$2:$E$70,"阻塞测试",'需求待确认'!$T$2:$T$70,"待确认")</x:f>
        <x:v>14</x:v>
      </x:c>
      <x:c r="E8" s="45" t="str">
        <x:v>产品</x:v>
      </x:c>
      <x:c r="F8" s="46" t="n">
        <x:f>COUNTIFS('需求待确认'!$R$2:$R$70,"产品",'需求待确认'!$T$2:$T$70,"待确认")</x:f>
        <x:v>30</x:v>
      </x:c>
      <x:c r="G8" s="45" t="str">
        <x:v>需求组</x:v>
      </x:c>
      <x:c r="H8" s="46" t="n">
        <x:v>34</x:v>
      </x:c>
    </x:row>
    <x:row r="9" ht="23.25" customHeight="1">
      <x:c r="A9" s="45" t="str">
        <x:v>待确认</x:v>
      </x:c>
      <x:c r="B9" s="46" t="n">
        <x:f>COUNTIF('需求待确认'!$T$2:$T$70,"待确认")</x:f>
        <x:v>57</x:v>
      </x:c>
      <x:c r="C9" s="45" t="str">
        <x:v>部分阻塞</x:v>
      </x:c>
      <x:c r="D9" s="46" t="n">
        <x:f>COUNTIFS('需求待确认'!$E$2:$E$70,"部分阻塞",'需求待确认'!$T$2:$T$70,"待确认")</x:f>
        <x:v>38</x:v>
      </x:c>
      <x:c r="E9" s="45" t="str">
        <x:v>交互</x:v>
      </x:c>
      <x:c r="F9" s="46" t="n">
        <x:f>COUNTIFS('需求待确认'!$R$2:$R$70,"交互",'需求待确认'!$T$2:$T$70,"待确认")</x:f>
        <x:v>1</x:v>
      </x:c>
      <x:c r="G9" s="45" t="str">
        <x:v>追问子问题</x:v>
      </x:c>
      <x:c r="H9" s="46" t="n">
        <x:f>COUNTA('需求待确认'!$A$2:$A$70)-COUNTBLANK('需求待确认'!$C$2:$C$70)</x:f>
        <x:v>9</x:v>
      </x:c>
    </x:row>
    <x:row r="10" ht="23.25" customHeight="1">
      <x:c r="A10" s="45" t="str">
        <x:v>确认中</x:v>
      </x:c>
      <x:c r="B10" s="46" t="n">
        <x:f>COUNTIF('需求待确认'!$T$2:$T$70,"确认中")</x:f>
        <x:v>0</x:v>
      </x:c>
      <x:c r="C10" s="45" t="str">
        <x:v>不阻塞</x:v>
      </x:c>
      <x:c r="D10" s="46" t="n">
        <x:f>COUNTIFS('需求待确认'!$E$2:$E$70,"不阻塞",'需求待确认'!$T$2:$T$70,"待确认")</x:f>
        <x:v>5</x:v>
      </x:c>
      <x:c r="E10" s="45" t="str">
        <x:v>技术</x:v>
      </x:c>
      <x:c r="F10" s="46" t="n">
        <x:f>COUNTIFS('需求待确认'!$R$2:$R$70,"技术",'需求待确认'!$T$2:$T$70,"待确认")</x:f>
        <x:v>1</x:v>
      </x:c>
      <x:c r="G10" s="45" t="str">
        <x:v>未填写产品结论</x:v>
      </x:c>
      <x:c r="H10" s="46" t="n">
        <x:f>COUNTBLANK('需求待确认'!$L$2:$L$70)</x:f>
        <x:v>65</x:v>
      </x:c>
    </x:row>
    <x:row r="11" ht="23.25" customHeight="1">
      <x:c r="A11" s="45" t="str">
        <x:v>已确认</x:v>
      </x:c>
      <x:c r="B11" s="46" t="n">
        <x:f>COUNTIF('需求待确认'!$T$2:$T$70,"已确认")</x:f>
        <x:v>4</x:v>
      </x:c>
      <x:c r="C11" s="5"/>
      <x:c r="D11" s="5"/>
      <x:c r="E11" s="45" t="str">
        <x:v>多方确认</x:v>
      </x:c>
      <x:c r="F11" s="46" t="n">
        <x:f>COUNTIFS('需求待确认'!$R$2:$R$70,"多方确认",'需求待确认'!$T$2:$T$70,"待确认")</x:f>
        <x:v>25</x:v>
      </x:c>
      <x:c r="G11" s="45" t="str">
        <x:v>选择其他但未补充</x:v>
      </x:c>
      <x:c r="H11" s="46" t="n">
        <x:f>COUNTIFS('需求待确认'!$L$2:$L$70,"其他",'需求待确认'!$M$2:$M$70,"")</x:f>
        <x:v>0</x:v>
      </x:c>
    </x:row>
    <x:row r="12" ht="23.25" customHeight="1">
      <x:c r="A12" s="45" t="str">
        <x:v>无需处理</x:v>
      </x:c>
      <x:c r="B12" s="46" t="n">
        <x:f>COUNTIF('需求待确认'!$T$2:$T$70,"无需处理")</x:f>
        <x:v>0</x:v>
      </x:c>
      <x:c r="C12" s="5"/>
      <x:c r="D12" s="5"/>
      <x:c r="E12" s="5"/>
      <x:c r="F12" s="5"/>
      <x:c r="G12" s="5"/>
      <x:c r="H12" s="5"/>
    </x:row>
    <x:row r="14" ht="25.5" customHeight="1">
      <x:c r="A14" s="52" t="str">
        <x:v>处理顺序：先回答“阻塞测试”根问题，再处理“部分阻塞”和“不阻塞”；展开需求组后按父问题、子问题顺序确认。</x:v>
      </x:c>
      <x:c r="B14" s="52"/>
      <x:c r="C14" s="52"/>
      <x:c r="D14" s="52"/>
      <x:c r="E14" s="52"/>
      <x:c r="F14" s="52"/>
      <x:c r="G14" s="52"/>
      <x:c r="H14" s="52"/>
    </x:row>
  </x:sheetData>
  <x:mergeCells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  <x:mergeCell ref="A14:H14"/>
  </x:mergeCells>
  <x:pageMargins left="0.7" right="0.7" top="0.75" bottom="0.75" header="0.3" footer="0.3"/>
</x:worksheet>
</file>