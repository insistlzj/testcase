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f6543c828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7f46e56dbafa4af2"/>
    <x:sheet xmlns:r="http://schemas.openxmlformats.org/officeDocument/2006/relationships" name="功能测试用例" sheetId="2" r:id="R517cc0ddbca249dc"/>
    <x:sheet xmlns:r="http://schemas.openxmlformats.org/officeDocument/2006/relationships" name="需求待确认" sheetId="3" r:id="R0ca8c71da06e4738"/>
    <x:sheet xmlns:r="http://schemas.openxmlformats.org/officeDocument/2006/relationships" name="覆盖核验清单" sheetId="4" r:id="R467481326158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  <x:fill>
      <x:patternFill patternType="solid">
        <x:fgColor rgb="FFFFF1D6"/>
      </x:patternFill>
    </x:fill>
    <x:fill>
      <x:patternFill patternType="solid">
        <x:fgColor rgb="FF7C4A03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0"/>
    </x:xf>
    <x:xf numFmtId="0" fontId="1" fillId="6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ec50f56b642d7" /><Relationship Type="http://schemas.openxmlformats.org/officeDocument/2006/relationships/theme" Target="/xl/theme/theme1.xml" Id="Ra3b1974e8c444589" /><Relationship Type="http://schemas.openxmlformats.org/officeDocument/2006/relationships/sharedStrings" Target="/xl/sharedStrings.xml" Id="Rc52ae58c64cf4508" /><Relationship Type="http://schemas.openxmlformats.org/officeDocument/2006/relationships/worksheet" Target="/xl/worksheets/sheet1.xml" Id="R7f46e56dbafa4af2" /><Relationship Type="http://schemas.openxmlformats.org/officeDocument/2006/relationships/worksheet" Target="/xl/worksheets/sheet2.xml" Id="R517cc0ddbca249dc" /><Relationship Type="http://schemas.openxmlformats.org/officeDocument/2006/relationships/worksheet" Target="/xl/worksheets/sheet3.xml" Id="R0ca8c71da06e4738" /><Relationship Type="http://schemas.openxmlformats.org/officeDocument/2006/relationships/worksheet" Target="/xl/worksheets/sheet4.xml" Id="R4674813261584e27" /></Relationships>
</file>

<file path=xl/tables/table1.xml><?xml version="1.0" encoding="utf-8"?>
<x:table xmlns:x="http://schemas.openxmlformats.org/spreadsheetml/2006/main" id="1" name="LiveCasesTable" displayName="LiveCasesTable" ref="A1:O315" headerRowCount="1" totalsRowCount="0" totalsRowShown="0">
  <x:autoFilter ref="A1:O315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0" headerRowCount="1" totalsRowCount="0" totalsRowShown="0">
  <x:autoFilter ref="A1:T1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ReviewTable" displayName="CoverageReviewTable" ref="A1:G553" headerRowCount="1" totalsRowCount="0" totalsRowShown="0">
  <x:tableColumns count="7">
    <x:tableColumn id="1" name="需求编号"/>
    <x:tableColumn id="2" name="功能模块"/>
    <x:tableColumn id="3" name="来源行"/>
    <x:tableColumn id="4" name="需求内容"/>
    <x:tableColumn id="5" name="处理状态"/>
    <x:tableColumn id="6" name="关联正式用例"/>
    <x:tableColumn id="7" name="待完成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5a624291fc43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fe172c9e3b42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40b046672747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公会App-全部模块-260914-002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COUNTA('需求待确认'!$A$2:$A$10)</x:f>
        <x:v>9</x:v>
      </x:c>
      <x:c r="C5" s="13"/>
      <x:c r="D5" s="20" t="str">
        <x:v>阻塞测试</x:v>
      </x:c>
      <x:c r="E5" s="22" t="n">
        <x:f>COUNTIFS('需求待确认'!$E$2:$E$10,"阻塞测试",'需求待确认'!$T$2:$T$10,"待确认")</x:f>
        <x:v>0</x:v>
      </x:c>
      <x:c r="F5" s="13"/>
      <x:c r="G5" s="20" t="str">
        <x:v>产品</x:v>
      </x:c>
      <x:c r="H5" s="22" t="n">
        <x:f>COUNTIFS('需求待确认'!$R$2:$R$10,"产品",'需求待确认'!$T$2:$T$10,"待确认")</x:f>
        <x:v>7</x:v>
      </x:c>
    </x:row>
    <x:row r="6">
      <x:c r="A6" s="20" t="str">
        <x:v>当前可回答</x:v>
      </x:c>
      <x:c r="B6" s="22" t="n">
        <x:f>COUNTIF('需求待确认'!$T$2:$T$10,"待确认")</x:f>
        <x:v>9</x:v>
      </x:c>
      <x:c r="C6" s="13"/>
      <x:c r="D6" s="20" t="str">
        <x:v>部分阻塞</x:v>
      </x:c>
      <x:c r="E6" s="22" t="n">
        <x:f>COUNTIFS('需求待确认'!$E$2:$E$10,"部分阻塞",'需求待确认'!$T$2:$T$10,"待确认")</x:f>
        <x:v>9</x:v>
      </x:c>
      <x:c r="F6" s="13"/>
      <x:c r="G6" s="20" t="str">
        <x:v>交互</x:v>
      </x:c>
      <x:c r="H6" s="22" t="n">
        <x:f>COUNTIFS('需求待确认'!$R$2:$R$10,"交互",'需求待确认'!$T$2:$T$10,"待确认")</x:f>
        <x:v>0</x:v>
      </x:c>
    </x:row>
    <x:row r="7">
      <x:c r="A7" s="20" t="str">
        <x:v>待前置结论</x:v>
      </x:c>
      <x:c r="B7" s="22" t="n">
        <x:f>COUNTIF('需求待确认'!$T$2:$T$10,"待前置结论")</x:f>
        <x:v>0</x:v>
      </x:c>
      <x:c r="C7" s="13"/>
      <x:c r="D7" s="20" t="str">
        <x:v>不阻塞</x:v>
      </x:c>
      <x:c r="E7" s="22" t="n">
        <x:f>COUNTIFS('需求待确认'!$E$2:$E$10,"不阻塞",'需求待确认'!$T$2:$T$10,"待确认")</x:f>
        <x:v>0</x:v>
      </x:c>
      <x:c r="F7" s="13"/>
      <x:c r="G7" s="20" t="str">
        <x:v>技术</x:v>
      </x:c>
      <x:c r="H7" s="22" t="n">
        <x:f>COUNTIFS('需求待确认'!$R$2:$R$10,"技术",'需求待确认'!$T$2:$T$10,"待确认")</x:f>
        <x:v>0</x:v>
      </x:c>
    </x:row>
    <x:row r="8">
      <x:c r="A8" s="20" t="str">
        <x:v>确认中</x:v>
      </x:c>
      <x:c r="B8" s="22" t="n">
        <x:f>COUNTIF('需求待确认'!$T$2:$T$10,"确认中")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COUNTIFS('需求待确认'!$R$2:$R$10,"多方确认",'需求待确认'!$T$2:$T$10,"待确认")</x:f>
        <x:v>2</x:v>
      </x:c>
    </x:row>
    <x:row r="9">
      <x:c r="A9" s="20" t="str">
        <x:v>已确认</x:v>
      </x:c>
      <x:c r="B9" s="22" t="n">
        <x:f>COUNTIF('需求待确认'!$T$2:$T$10,"已确认")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COUNTIF('需求待确认'!$T$2:$T$10,"无需处理")</x:f>
        <x:v>0</x:v>
      </x:c>
      <x:c r="C10" s="13"/>
      <x:c r="D10" s="13"/>
      <x:c r="E10" s="13"/>
      <x:c r="F10" s="13"/>
      <x:c r="G10" s="13"/>
      <x:c r="H10" s="13"/>
    </x:row>
    <x:row r="12" ht="30" customHeight="1">
      <x:c r="A12" s="25" t="str">
        <x:v>用例交付</x:v>
      </x:c>
      <x:c r="B12" s="25" t="str">
        <x:v>当前已确认部分</x:v>
      </x:c>
      <x:c r="D12" s="27" t="str">
        <x:v>覆盖说明</x:v>
      </x:c>
      <x:c r="E12" s="27" t="str"/>
      <x:c r="F12" s="27" t="str"/>
      <x:c r="G12" s="27" t="str"/>
      <x:c r="H12" s="27" t="str"/>
    </x:row>
    <x:row r="13" ht="30" customHeight="1">
      <x:c r="A13" s="26" t="str">
        <x:v>完整覆盖校验</x:v>
      </x:c>
      <x:c r="B13" s="26" t="str">
        <x:v>未通过</x:v>
      </x:c>
      <x:c r="D13" s="27" t="str">
        <x:v>三端全部模块均有用例；完整需求分支核验尚未闭合。</x:v>
      </x:c>
      <x:c r="E13" s="27" t="str"/>
      <x:c r="F13" s="27" t="str"/>
      <x:c r="G13" s="27" t="str"/>
      <x:c r="H13" s="27" t="str"/>
    </x:row>
    <x:row r="14" ht="30" customHeight="1">
      <x:c r="A14" s="25" t="str">
        <x:v>正式用例数</x:v>
      </x:c>
      <x:c r="B14" s="25" t="n">
        <x:v>314</x:v>
      </x:c>
      <x:c r="D14" s="27" t="str">
        <x:v>“覆盖核验清单”中的未映射或未核验条款必须继续处理。</x:v>
      </x:c>
      <x:c r="E14" s="27" t="str"/>
      <x:c r="F14" s="27" t="str"/>
      <x:c r="G14" s="27" t="str"/>
      <x:c r="H14" s="27" t="str"/>
    </x:row>
    <x:row r="15" ht="30" customHeight="1">
      <x:c r="A15" s="25" t="str">
        <x:v>本端模块数</x:v>
      </x:c>
      <x:c r="B15" s="25" t="n">
        <x:v>7</x:v>
      </x:c>
      <x:c r="D15" s="27" t="str">
        <x:v>需求待确认单列；不把生成缺口转成产品问题。</x:v>
      </x:c>
      <x:c r="E15" s="27" t="str"/>
      <x:c r="F15" s="27" t="str"/>
      <x:c r="G15" s="27" t="str"/>
      <x:c r="H15" s="27" t="str"/>
    </x:row>
    <x:row r="16" ht="30" customHeight="1">
      <x:c r="A16" s="25" t="str">
        <x:v>执行状态</x:v>
      </x:c>
      <x:c r="B16" s="25" t="str">
        <x:v>全部未测</x:v>
      </x:c>
      <x:c r="D16" s="27" t="str">
        <x:v>计数用于追溯，不代表业务覆盖率或测试通过率。</x:v>
      </x:c>
      <x:c r="E16" s="27" t="str"/>
      <x:c r="F16" s="27" t="str"/>
      <x:c r="G16" s="27" t="str"/>
      <x:c r="H16" s="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205" customHeight="1">
      <x:c r="A2" s="10" t="n">
        <x:v>1</x:v>
      </x:c>
      <x:c r="B2" s="10" t="str">
        <x:v>GUILD-0001</x:v>
      </x:c>
      <x:c r="C2" s="10" t="str">
        <x:v>审批管理</x:v>
      </x:c>
      <x:c r="D2" s="10" t="str">
        <x:v>入会申请详情（公会长）</x:v>
      </x:c>
      <x:c r="E2" s="10" t="str">
        <x:v>功能需求</x:v>
      </x:c>
      <x:c r="F2" s="10" t="str">
        <x:v>P2</x:v>
      </x:c>
      <x:c r="G2" s="9" t="str">
        <x:v>验证公会通过初审后进入平台终审</x:v>
      </x:c>
      <x:c r="H2" s="9" t="str">
        <x:v>审核流转</x:v>
      </x:c>
      <x:c r="I2" s="9" t="str">
        <x:v>1. 公会长为本条执行者
2. 公会甲有申请单 J001，申请人甲资料完整且申请处于待公会审核</x:v>
      </x:c>
      <x:c r="J2" s="9" t="str">
        <x:v>1. 打开入会申请 J001 详情
2. 点击通过
3. 确认通过</x:v>
      </x:c>
      <x:c r="K2" s="9" t="str">
        <x:v>申请 J001 显示待平台审核</x:v>
      </x:c>
      <x:c r="L2" s="10" t="str">
        <x:v>FLOW-B8276CAE</x:v>
      </x:c>
      <x:c r="M2" s="10" t="str">
        <x:v>未测</x:v>
      </x:c>
      <x:c r="N2" s="10" t="str"/>
      <x:c r="O2" s="9" t="str">
        <x:v>1. 来源（当前证据）：liveshow-proto/MainBasis/统一需求文档.md；位置：第 2112 行；REQ-e6229e5b4311、第 2113 行；REQ-a0fd66fbb2fb、第 2114 行；REQ-cf1b70d3c79f、第 2116 行；REQ-889380bda48a、第 2117 行；REQ-dee8a804952b、第 2118 行；REQ-01ce3495ca45、第 2119 行；REQ-da806b26301b、第 2105 行
2. 规则：BR-7FDB57DC9DE75F
3. 未动态验证
4. 示例账号、编号、金额与日期是本条测试数据；执行前按前置条件准备，未填写的产品决策不得自行假定。</x:v>
      </x:c>
    </x:row>
    <x:row r="3" ht="205" customHeight="1">
      <x:c r="A3" s="10" t="n">
        <x:v>2</x:v>
      </x:c>
      <x:c r="B3" s="10" t="str">
        <x:v>GUILD-0002</x:v>
      </x:c>
      <x:c r="C3" s="10" t="str">
        <x:v>主播管理</x:v>
      </x:c>
      <x:c r="D3" s="10" t="str">
        <x:v>主播列表（公会长）</x:v>
      </x:c>
      <x:c r="E3" s="10" t="str">
        <x:v>功能需求</x:v>
      </x:c>
      <x:c r="F3" s="10" t="str">
        <x:v>P2</x:v>
      </x:c>
      <x:c r="G3" s="9" t="str">
        <x:v>验证终审通过的申请人进入当前主播列表</x:v>
      </x:c>
      <x:c r="H3" s="9" t="str">
        <x:v>当前主播归属</x:v>
      </x:c>
      <x:c r="I3" s="9" t="str">
        <x:v>1. 公会长为本条执行者
2. 当前公会为公会甲
3. 平台已通过 J001，申请人甲取得公会甲主播身份</x:v>
      </x:c>
      <x:c r="J3" s="9" t="str">
        <x:v>1. 打开主播列表
2. 选择当前主播
3. 查询申请人甲</x:v>
      </x:c>
      <x:c r="K3" s="9" t="str">
        <x:v>当前主播列表包含主播甲</x:v>
      </x:c>
      <x:c r="L3" s="10" t="str">
        <x:v>FLOW-B8276CAE</x:v>
      </x:c>
      <x:c r="M3" s="10" t="str">
        <x:v>未测</x:v>
      </x:c>
      <x:c r="N3" s="10" t="str"/>
      <x:c r="O3" s="9" t="str">
        <x:v>1. 来源（当前证据）：liveshow-proto/MainBasis/统一需求文档.md；位置：第 2149 行；REQ-6a1f0c635a7b、第 2150 行；REQ-1037a5908f68、第 2151 行；REQ-bae0f08d57d5、第 2152 行；REQ-0caffc93bbfd、第 2153 行；REQ-a228fa3a63d1、第 2154 行；REQ-ac6f0201e1ae、第 2155 行；REQ-3b7b1bf1050e、第 2148 行
2. 规则：BR-747A8E4CB2F420
3. 未动态验证
4. 示例账号、编号、金额与日期是本条测试数据；执行前按前置条件准备，未填写的产品决策不得自行假定。</x:v>
      </x:c>
    </x:row>
    <x:row r="4" ht="175" customHeight="1">
      <x:c r="A4" s="10" t="n">
        <x:v>3</x:v>
      </x:c>
      <x:c r="B4" s="10" t="str">
        <x:v>GUILD-0003</x:v>
      </x:c>
      <x:c r="C4" s="10" t="str">
        <x:v>审批管理</x:v>
      </x:c>
      <x:c r="D4" s="10" t="str">
        <x:v>入会申请详情（公会长）</x:v>
      </x:c>
      <x:c r="E4" s="10" t="str">
        <x:v>功能需求</x:v>
      </x:c>
      <x:c r="F4" s="10" t="str">
        <x:v>P2</x:v>
      </x:c>
      <x:c r="G4" s="9" t="str">
        <x:v>验证公会驳回入会申请</x:v>
      </x:c>
      <x:c r="H4" s="9" t="str">
        <x:v>驳回状态</x:v>
      </x:c>
      <x:c r="I4" s="9" t="str">
        <x:v>1. 公会长为本条执行者
2. 公会甲有申请单 J001，申请人甲资料完整且申请处于待公会审核</x:v>
      </x:c>
      <x:c r="J4" s="9" t="str">
        <x:v>1. 打开申请 J001 详情
2. 点击驳回
3. 输入原因“认证资料需要补正”
4. 确认驳回</x:v>
      </x:c>
      <x:c r="K4" s="9" t="str">
        <x:v>申请 J001 显示公会驳回</x:v>
      </x:c>
      <x:c r="L4" s="10" t="str">
        <x:v>FLOW-B8276CAE</x:v>
      </x:c>
      <x:c r="M4" s="10" t="str">
        <x:v>未测</x:v>
      </x:c>
      <x:c r="N4" s="10" t="str"/>
      <x:c r="O4" s="9" t="str">
        <x:v>1. 来源（当前证据）：liveshow-proto/MainBasis/统一需求文档.md；位置：第 2114 行；REQ-cf1b70d3c79f、第 2116 行；REQ-889380bda48a、第 2117 行；REQ-dee8a804952b、第 2119 行；REQ-da806b26301b、第 2105 行
2. 规则：BR-E14AF1A8107F20
3. 未动态验证
4. 示例账号、编号、金额与日期是本条测试数据；执行前按前置条件准备，未填写的产品决策不得自行假定。</x:v>
      </x:c>
    </x:row>
    <x:row r="5" ht="220" customHeight="1">
      <x:c r="A5" s="10" t="n">
        <x:v>4</x:v>
      </x:c>
      <x:c r="B5" s="10" t="str">
        <x:v>GUILD-0004</x:v>
      </x:c>
      <x:c r="C5" s="10" t="str">
        <x:v>审批管理</x:v>
      </x:c>
      <x:c r="D5" s="10" t="str">
        <x:v>退会申请详情（公会长）</x:v>
      </x:c>
      <x:c r="E5" s="10" t="str">
        <x:v>功能需求</x:v>
      </x:c>
      <x:c r="F5" s="10" t="str">
        <x:v>P2</x:v>
      </x:c>
      <x:c r="G5" s="9" t="str">
        <x:v>验证公会查看待审退会申请</x:v>
      </x:c>
      <x:c r="H5" s="9" t="str">
        <x:v>待审申请归属</x:v>
      </x:c>
      <x:c r="I5" s="9" t="str">
        <x:v>1. 公会长为本条执行者
2. 主播甲属于公会甲，退会申请 L001 处于待审核</x:v>
      </x:c>
      <x:c r="J5" s="9" t="str">
        <x:v>1. 打开退会申请 L001 详情</x:v>
      </x:c>
      <x:c r="K5" s="9" t="str">
        <x:v>详情申请人为主播甲</x:v>
      </x:c>
      <x:c r="L5" s="10" t="str">
        <x:v>FLOW-289CDBD1</x:v>
      </x:c>
      <x:c r="M5" s="10" t="str">
        <x:v>未测</x:v>
      </x:c>
      <x:c r="N5" s="10" t="str"/>
      <x:c r="O5" s="9" t="str">
        <x:v>1. 来源（当前证据）：liveshow-proto/MainBasis/统一需求文档.md；位置：第 2134 行；REQ-c4f27cd5a1e2、第 2135 行；REQ-f42e4484494b、第 2137 行；REQ-9fb4a71d06b5、第 2138 行；REQ-c27f4dc80b59、第 2139 行；REQ-e04cd7aa2abc、第 2142 行；REQ-44d45e0c5d62、第 2143 行；REQ-1ba98012803f、第 2145 行；REQ-305ac142e6f4、第 2133 行
2. 规则：BR-17D8B42815A06D
3. 未动态验证
4. 示例账号、编号、金额与日期是本条测试数据；执行前按前置条件准备，未填写的产品决策不得自行假定。</x:v>
      </x:c>
    </x:row>
    <x:row r="6" ht="205" customHeight="1">
      <x:c r="A6" s="10" t="n">
        <x:v>5</x:v>
      </x:c>
      <x:c r="B6" s="10" t="str">
        <x:v>GUILD-0005</x:v>
      </x:c>
      <x:c r="C6" s="10" t="str">
        <x:v>审批管理</x:v>
      </x:c>
      <x:c r="D6" s="10" t="str">
        <x:v>退会申请详情（公会长）</x:v>
      </x:c>
      <x:c r="E6" s="10" t="str">
        <x:v>功能需求</x:v>
      </x:c>
      <x:c r="F6" s="10" t="str">
        <x:v>P2</x:v>
      </x:c>
      <x:c r="G6" s="9" t="str">
        <x:v>验证公会同意主播退会</x:v>
      </x:c>
      <x:c r="H6" s="9" t="str">
        <x:v>退会审核结果</x:v>
      </x:c>
      <x:c r="I6" s="9" t="str">
        <x:v>1. 公会长为本条执行者
2. 主播甲属于公会甲，退会申请 L001 处于待审核</x:v>
      </x:c>
      <x:c r="J6" s="9" t="str">
        <x:v>1. 打开退会申请 L001 详情
2. 点击同意
3. 确认同意</x:v>
      </x:c>
      <x:c r="K6" s="9" t="str">
        <x:v>申请 L001 显示已通过</x:v>
      </x:c>
      <x:c r="L6" s="10" t="str">
        <x:v>FLOW-289CDBD1</x:v>
      </x:c>
      <x:c r="M6" s="10" t="str">
        <x:v>未测</x:v>
      </x:c>
      <x:c r="N6" s="10" t="str"/>
      <x:c r="O6" s="9" t="str">
        <x:v>1. 来源（当前证据）：liveshow-proto/MainBasis/统一需求文档.md；位置：第 2138 行；REQ-c27f4dc80b59、第 2140 行；REQ-0bb5af2f5376、第 2141 行；REQ-6cafd7643204、第 2142 行；REQ-44d45e0c5d62、第 2143 行；REQ-1ba98012803f、第 2144 行；REQ-7126bee0f50e、第 2145 行；REQ-305ac142e6f4、第 2133 行
2. 规则：BR-40B2BBD9534999
3. 未动态验证
4. 示例账号、编号、金额与日期是本条测试数据；执行前按前置条件准备，未填写的产品决策不得自行假定。</x:v>
      </x:c>
    </x:row>
    <x:row r="7" ht="205" customHeight="1">
      <x:c r="A7" s="10" t="n">
        <x:v>6</x:v>
      </x:c>
      <x:c r="B7" s="10" t="str">
        <x:v>GUILD-0006</x:v>
      </x:c>
      <x:c r="C7" s="10" t="str">
        <x:v>审批管理</x:v>
      </x:c>
      <x:c r="D7" s="10" t="str">
        <x:v>退会申请详情（公会长）</x:v>
      </x:c>
      <x:c r="E7" s="10" t="str">
        <x:v>功能需求</x:v>
      </x:c>
      <x:c r="F7" s="10" t="str">
        <x:v>P2</x:v>
      </x:c>
      <x:c r="G7" s="9" t="str">
        <x:v>验证公会驳回主播退会</x:v>
      </x:c>
      <x:c r="H7" s="9" t="str">
        <x:v>退会审核结果</x:v>
      </x:c>
      <x:c r="I7" s="9" t="str">
        <x:v>1. 公会长为本条执行者
2. 主播甲属于公会甲，退会申请 L001 处于待审核</x:v>
      </x:c>
      <x:c r="J7" s="9" t="str">
        <x:v>1. 打开退会申请 L001 详情
2. 点击驳回
3. 输入原因“需完成当前合作事项”
4. 确认驳回</x:v>
      </x:c>
      <x:c r="K7" s="9" t="str">
        <x:v>申请 L001 显示已驳回</x:v>
      </x:c>
      <x:c r="L7" s="10" t="str">
        <x:v>FLOW-289CDBD1</x:v>
      </x:c>
      <x:c r="M7" s="10" t="str">
        <x:v>未测</x:v>
      </x:c>
      <x:c r="N7" s="10" t="str"/>
      <x:c r="O7" s="9" t="str">
        <x:v>1. 来源（当前证据）：liveshow-proto/MainBasis/统一需求文档.md；位置：第 2138 行；REQ-c27f4dc80b59、第 2140 行；REQ-0bb5af2f5376、第 2141 行；REQ-6cafd7643204、第 2142 行；REQ-44d45e0c5d62、第 2143 行；REQ-1ba98012803f、第 2144 行；REQ-7126bee0f50e、第 2145 行；REQ-305ac142e6f4、第 2133 行
2. 规则：BR-0C56DD2F5753FF
3. 未动态验证
4. 示例账号、编号、金额与日期是本条测试数据；执行前按前置条件准备，未填写的产品决策不得自行假定。</x:v>
      </x:c>
    </x:row>
    <x:row r="8" ht="190" customHeight="1">
      <x:c r="A8" s="10" t="n">
        <x:v>7</x:v>
      </x:c>
      <x:c r="B8" s="10" t="str">
        <x:v>GUILD-0007</x:v>
      </x:c>
      <x:c r="C8" s="10" t="str">
        <x:v>主播管理</x:v>
      </x:c>
      <x:c r="D8" s="10" t="str">
        <x:v>主播主页（公会长）</x:v>
      </x:c>
      <x:c r="E8" s="10" t="str">
        <x:v>功能需求</x:v>
      </x:c>
      <x:c r="F8" s="10" t="str">
        <x:v>P2</x:v>
      </x:c>
      <x:c r="G8" s="9" t="str">
        <x:v>验证平台关、锁定否、公会原设置关的公会开关呈现</x:v>
      </x:c>
      <x:c r="H8" s="9" t="str">
        <x:v>公会权限开关</x:v>
      </x:c>
      <x:c r="I8" s="9" t="str">
        <x:v>1. 公会长为本条执行者
2. 主播甲当前在公会甲，当前公会为公会甲
3. 平台开播开关为关闭，公会原开关为关闭，平台未锁定公会权限</x:v>
      </x:c>
      <x:c r="J8" s="9" t="str">
        <x:v>1. 打开主播甲主页
2. 查看直播权限</x:v>
      </x:c>
      <x:c r="K8" s="9" t="str">
        <x:v>公会直播权限开关只读，显示关闭</x:v>
      </x:c>
      <x:c r="L8" s="10" t="str">
        <x:v>FLOW-B5CAB366</x:v>
      </x:c>
      <x:c r="M8" s="10" t="str">
        <x:v>未测</x:v>
      </x:c>
      <x:c r="N8" s="10" t="str"/>
      <x:c r="O8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规则：BR-4E083530C9352A
3. 未动态验证
4. 示例账号、编号、金额与日期是本条测试数据；执行前按前置条件准备，未填写的产品决策不得自行假定。</x:v>
      </x:c>
    </x:row>
    <x:row r="9" ht="190" customHeight="1">
      <x:c r="A9" s="10" t="n">
        <x:v>8</x:v>
      </x:c>
      <x:c r="B9" s="10" t="str">
        <x:v>GUILD-0008</x:v>
      </x:c>
      <x:c r="C9" s="10" t="str">
        <x:v>主播管理</x:v>
      </x:c>
      <x:c r="D9" s="10" t="str">
        <x:v>主播主页（公会长）</x:v>
      </x:c>
      <x:c r="E9" s="10" t="str">
        <x:v>功能需求</x:v>
      </x:c>
      <x:c r="F9" s="10" t="str">
        <x:v>P2</x:v>
      </x:c>
      <x:c r="G9" s="9" t="str">
        <x:v>验证平台关、锁定否、公会原设置开的公会开关呈现</x:v>
      </x:c>
      <x:c r="H9" s="9" t="str">
        <x:v>公会权限开关</x:v>
      </x:c>
      <x:c r="I9" s="9" t="str">
        <x:v>1. 公会长为本条执行者
2. 主播甲当前在公会甲，当前公会为公会甲
3. 平台开播开关为关闭，公会原开关为开启，平台未锁定公会权限</x:v>
      </x:c>
      <x:c r="J9" s="9" t="str">
        <x:v>1. 打开主播甲主页
2. 查看直播权限</x:v>
      </x:c>
      <x:c r="K9" s="9" t="str">
        <x:v>公会直播权限开关只读，显示关闭</x:v>
      </x:c>
      <x:c r="L9" s="10" t="str">
        <x:v>FLOW-B5CAB366</x:v>
      </x:c>
      <x:c r="M9" s="10" t="str">
        <x:v>未测</x:v>
      </x:c>
      <x:c r="N9" s="10" t="str"/>
      <x:c r="O9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规则：BR-3073BF0CD0DAD3
3. 未动态验证
4. 示例账号、编号、金额与日期是本条测试数据；执行前按前置条件准备，未填写的产品决策不得自行假定。</x:v>
      </x:c>
    </x:row>
    <x:row r="10" ht="190" customHeight="1">
      <x:c r="A10" s="10" t="n">
        <x:v>9</x:v>
      </x:c>
      <x:c r="B10" s="10" t="str">
        <x:v>GUILD-0009</x:v>
      </x:c>
      <x:c r="C10" s="10" t="str">
        <x:v>主播管理</x:v>
      </x:c>
      <x:c r="D10" s="10" t="str">
        <x:v>主播主页（公会长）</x:v>
      </x:c>
      <x:c r="E10" s="10" t="str">
        <x:v>功能需求</x:v>
      </x:c>
      <x:c r="F10" s="10" t="str">
        <x:v>P2</x:v>
      </x:c>
      <x:c r="G10" s="9" t="str">
        <x:v>验证平台关、锁定是、公会原设置关的公会开关呈现</x:v>
      </x:c>
      <x:c r="H10" s="9" t="str">
        <x:v>公会权限开关</x:v>
      </x:c>
      <x:c r="I10" s="9" t="str">
        <x:v>1. 公会长为本条执行者
2. 主播甲当前在公会甲，当前公会为公会甲
3. 平台开播开关为关闭，公会原开关为关闭，平台已锁定公会权限</x:v>
      </x:c>
      <x:c r="J10" s="9" t="str">
        <x:v>1. 打开主播甲主页
2. 查看直播权限</x:v>
      </x:c>
      <x:c r="K10" s="9" t="str">
        <x:v>公会直播权限开关只读，显示关闭</x:v>
      </x:c>
      <x:c r="L10" s="10" t="str">
        <x:v>FLOW-B5CAB366</x:v>
      </x:c>
      <x:c r="M10" s="10" t="str">
        <x:v>未测</x:v>
      </x:c>
      <x:c r="N10" s="10" t="str"/>
      <x:c r="O10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规则：BR-97551D8232A4A8
3. 未动态验证
4. 示例账号、编号、金额与日期是本条测试数据；执行前按前置条件准备，未填写的产品决策不得自行假定。</x:v>
      </x:c>
    </x:row>
    <x:row r="11" ht="190" customHeight="1">
      <x:c r="A11" s="10" t="n">
        <x:v>10</x:v>
      </x:c>
      <x:c r="B11" s="10" t="str">
        <x:v>GUILD-0010</x:v>
      </x:c>
      <x:c r="C11" s="10" t="str">
        <x:v>主播管理</x:v>
      </x:c>
      <x:c r="D11" s="10" t="str">
        <x:v>主播主页（公会长）</x:v>
      </x:c>
      <x:c r="E11" s="10" t="str">
        <x:v>功能需求</x:v>
      </x:c>
      <x:c r="F11" s="10" t="str">
        <x:v>P2</x:v>
      </x:c>
      <x:c r="G11" s="9" t="str">
        <x:v>验证平台关、锁定是、公会原设置开的公会开关呈现</x:v>
      </x:c>
      <x:c r="H11" s="9" t="str">
        <x:v>公会权限开关</x:v>
      </x:c>
      <x:c r="I11" s="9" t="str">
        <x:v>1. 公会长为本条执行者
2. 主播甲当前在公会甲，当前公会为公会甲
3. 平台开播开关为关闭，公会原开关为开启，平台已锁定公会权限</x:v>
      </x:c>
      <x:c r="J11" s="9" t="str">
        <x:v>1. 打开主播甲主页
2. 查看直播权限</x:v>
      </x:c>
      <x:c r="K11" s="9" t="str">
        <x:v>公会直播权限开关只读，显示关闭</x:v>
      </x:c>
      <x:c r="L11" s="10" t="str">
        <x:v>FLOW-B5CAB366</x:v>
      </x:c>
      <x:c r="M11" s="10" t="str">
        <x:v>未测</x:v>
      </x:c>
      <x:c r="N11" s="10" t="str"/>
      <x:c r="O11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规则：BR-BAD7B50182CD97
3. 未动态验证
4. 示例账号、编号、金额与日期是本条测试数据；执行前按前置条件准备，未填写的产品决策不得自行假定。</x:v>
      </x:c>
    </x:row>
    <x:row r="12" ht="190" customHeight="1">
      <x:c r="A12" s="10" t="n">
        <x:v>11</x:v>
      </x:c>
      <x:c r="B12" s="10" t="str">
        <x:v>GUILD-0011</x:v>
      </x:c>
      <x:c r="C12" s="10" t="str">
        <x:v>主播管理</x:v>
      </x:c>
      <x:c r="D12" s="10" t="str">
        <x:v>主播主页（公会长）</x:v>
      </x:c>
      <x:c r="E12" s="10" t="str">
        <x:v>功能需求</x:v>
      </x:c>
      <x:c r="F12" s="10" t="str">
        <x:v>P2</x:v>
      </x:c>
      <x:c r="G12" s="9" t="str">
        <x:v>验证平台开、锁定否、公会原设置关的公会开关呈现</x:v>
      </x:c>
      <x:c r="H12" s="9" t="str">
        <x:v>公会权限开关</x:v>
      </x:c>
      <x:c r="I12" s="9" t="str">
        <x:v>1. 公会长为本条执行者
2. 主播甲当前在公会甲，当前公会为公会甲
3. 平台开播开关为开启，公会原开关为关闭，平台未锁定公会权限</x:v>
      </x:c>
      <x:c r="J12" s="9" t="str">
        <x:v>1. 打开主播甲主页
2. 查看直播权限</x:v>
      </x:c>
      <x:c r="K12" s="9" t="str">
        <x:v>公会直播权限开关显示关闭且可编辑</x:v>
      </x:c>
      <x:c r="L12" s="10" t="str">
        <x:v>FLOW-B5CAB366</x:v>
      </x:c>
      <x:c r="M12" s="10" t="str">
        <x:v>未测</x:v>
      </x:c>
      <x:c r="N12" s="10" t="str"/>
      <x:c r="O12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规则：BR-818A51E3154DBB
3. 未动态验证
4. 示例账号、编号、金额与日期是本条测试数据；执行前按前置条件准备，未填写的产品决策不得自行假定。</x:v>
      </x:c>
    </x:row>
    <x:row r="13" ht="190" customHeight="1">
      <x:c r="A13" s="10" t="n">
        <x:v>12</x:v>
      </x:c>
      <x:c r="B13" s="10" t="str">
        <x:v>GUILD-0012</x:v>
      </x:c>
      <x:c r="C13" s="10" t="str">
        <x:v>主播管理</x:v>
      </x:c>
      <x:c r="D13" s="10" t="str">
        <x:v>主播主页（公会长）</x:v>
      </x:c>
      <x:c r="E13" s="10" t="str">
        <x:v>功能需求</x:v>
      </x:c>
      <x:c r="F13" s="10" t="str">
        <x:v>P2</x:v>
      </x:c>
      <x:c r="G13" s="9" t="str">
        <x:v>验证平台开、锁定否、公会原设置开的公会开关呈现</x:v>
      </x:c>
      <x:c r="H13" s="9" t="str">
        <x:v>公会权限开关</x:v>
      </x:c>
      <x:c r="I13" s="9" t="str">
        <x:v>1. 公会长为本条执行者
2. 主播甲当前在公会甲，当前公会为公会甲
3. 平台开播开关为开启，公会原开关为开启，平台未锁定公会权限</x:v>
      </x:c>
      <x:c r="J13" s="9" t="str">
        <x:v>1. 打开主播甲主页
2. 查看直播权限</x:v>
      </x:c>
      <x:c r="K13" s="9" t="str">
        <x:v>公会直播权限开关显示开启且可编辑</x:v>
      </x:c>
      <x:c r="L13" s="10" t="str">
        <x:v>FLOW-B5CAB366</x:v>
      </x:c>
      <x:c r="M13" s="10" t="str">
        <x:v>未测</x:v>
      </x:c>
      <x:c r="N13" s="10" t="str"/>
      <x:c r="O13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规则：BR-DE6694F688BEF1
3. 未动态验证
4. 示例账号、编号、金额与日期是本条测试数据；执行前按前置条件准备，未填写的产品决策不得自行假定。</x:v>
      </x:c>
    </x:row>
    <x:row r="14" ht="190" customHeight="1">
      <x:c r="A14" s="10" t="n">
        <x:v>13</x:v>
      </x:c>
      <x:c r="B14" s="10" t="str">
        <x:v>GUILD-0013</x:v>
      </x:c>
      <x:c r="C14" s="10" t="str">
        <x:v>主播管理</x:v>
      </x:c>
      <x:c r="D14" s="10" t="str">
        <x:v>主播主页（公会长）</x:v>
      </x:c>
      <x:c r="E14" s="10" t="str">
        <x:v>功能需求</x:v>
      </x:c>
      <x:c r="F14" s="10" t="str">
        <x:v>P2</x:v>
      </x:c>
      <x:c r="G14" s="9" t="str">
        <x:v>验证平台开、锁定是、公会原设置关的公会开关呈现</x:v>
      </x:c>
      <x:c r="H14" s="9" t="str">
        <x:v>公会权限开关</x:v>
      </x:c>
      <x:c r="I14" s="9" t="str">
        <x:v>1. 公会长为本条执行者
2. 主播甲当前在公会甲，当前公会为公会甲
3. 平台开播开关为开启，公会原开关为关闭，平台已锁定公会权限</x:v>
      </x:c>
      <x:c r="J14" s="9" t="str">
        <x:v>1. 打开主播甲主页
2. 查看直播权限</x:v>
      </x:c>
      <x:c r="K14" s="9" t="str">
        <x:v>公会直播权限开关只读，显示开启</x:v>
      </x:c>
      <x:c r="L14" s="10" t="str">
        <x:v>FLOW-B5CAB366</x:v>
      </x:c>
      <x:c r="M14" s="10" t="str">
        <x:v>未测</x:v>
      </x:c>
      <x:c r="N14" s="10" t="str"/>
      <x:c r="O14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规则：BR-633C8C45FD2047
3. 未动态验证
4. 示例账号、编号、金额与日期是本条测试数据；执行前按前置条件准备，未填写的产品决策不得自行假定。</x:v>
      </x:c>
    </x:row>
    <x:row r="15" ht="190" customHeight="1">
      <x:c r="A15" s="10" t="n">
        <x:v>14</x:v>
      </x:c>
      <x:c r="B15" s="10" t="str">
        <x:v>GUILD-0014</x:v>
      </x:c>
      <x:c r="C15" s="10" t="str">
        <x:v>主播管理</x:v>
      </x:c>
      <x:c r="D15" s="10" t="str">
        <x:v>主播主页（公会长）</x:v>
      </x:c>
      <x:c r="E15" s="10" t="str">
        <x:v>功能需求</x:v>
      </x:c>
      <x:c r="F15" s="10" t="str">
        <x:v>P2</x:v>
      </x:c>
      <x:c r="G15" s="9" t="str">
        <x:v>验证平台开、锁定是、公会原设置开的公会开关呈现</x:v>
      </x:c>
      <x:c r="H15" s="9" t="str">
        <x:v>公会权限开关</x:v>
      </x:c>
      <x:c r="I15" s="9" t="str">
        <x:v>1. 公会长为本条执行者
2. 主播甲当前在公会甲，当前公会为公会甲
3. 平台开播开关为开启，公会原开关为开启，平台已锁定公会权限</x:v>
      </x:c>
      <x:c r="J15" s="9" t="str">
        <x:v>1. 打开主播甲主页
2. 查看直播权限</x:v>
      </x:c>
      <x:c r="K15" s="9" t="str">
        <x:v>公会直播权限开关只读，显示开启</x:v>
      </x:c>
      <x:c r="L15" s="10" t="str">
        <x:v>FLOW-B5CAB366</x:v>
      </x:c>
      <x:c r="M15" s="10" t="str">
        <x:v>未测</x:v>
      </x:c>
      <x:c r="N15" s="10" t="str"/>
      <x:c r="O15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规则：BR-6B1B7DF18B1743
3. 未动态验证
4. 示例账号、编号、金额与日期是本条测试数据；执行前按前置条件准备，未填写的产品决策不得自行假定。</x:v>
      </x:c>
    </x:row>
    <x:row r="16" ht="205" customHeight="1">
      <x:c r="A16" s="10" t="n">
        <x:v>15</x:v>
      </x:c>
      <x:c r="B16" s="10" t="str">
        <x:v>GUILD-0015</x:v>
      </x:c>
      <x:c r="C16" s="10" t="str">
        <x:v>主播管理</x:v>
      </x:c>
      <x:c r="D16" s="10" t="str">
        <x:v>主播主页（公会长）</x:v>
      </x:c>
      <x:c r="E16" s="10" t="str">
        <x:v>功能需求</x:v>
      </x:c>
      <x:c r="F16" s="10" t="str">
        <x:v>P2</x:v>
      </x:c>
      <x:c r="G16" s="9" t="str">
        <x:v>验证平台解锁后显示被保留的公会设置</x:v>
      </x:c>
      <x:c r="H16" s="9" t="str">
        <x:v>原公会设置恢复</x:v>
      </x:c>
      <x:c r="I16" s="9" t="str">
        <x:v>1. 公会长为本条执行者
2. 主播甲当前在公会甲，当前公会为公会甲
3. 公会原开关关闭，平台开启并锁定后已解除锁定</x:v>
      </x:c>
      <x:c r="J16" s="9" t="str">
        <x:v>1. 打开主播甲主页
2. 查看直播权限</x:v>
      </x:c>
      <x:c r="K16" s="9" t="str">
        <x:v>公会直播权限开关显示关闭且可编辑</x:v>
      </x:c>
      <x:c r="L16" s="10" t="str">
        <x:v>FLOW-B5CAB366</x:v>
      </x:c>
      <x:c r="M16" s="10" t="str">
        <x:v>未测</x:v>
      </x:c>
      <x:c r="N16" s="10" t="str"/>
      <x:c r="O16" s="9" t="str">
        <x:v>1. 来源（当前证据）：liveshow-proto/MainBasis/统一需求文档.md；位置：第 2202 行；REQ-57c9a3ba03a1、第 2203 行；REQ-5b2794c3a2dd、第 2204 行；REQ-c38fd8665271、第 2207 行；REQ-d2a5c66939bd、第 2214 行；REQ-44352c936b14、第 2215 行；REQ-3a054fa514c9、第 2217 行；REQ-cc2e01100f18、第 2195 行
2. 规则：BR-9169CF156352DA
3. 未动态验证
4. 示例账号、编号、金额与日期是本条测试数据；执行前按前置条件准备，未填写的产品决策不得自行假定。</x:v>
      </x:c>
    </x:row>
    <x:row r="17" ht="190" customHeight="1">
      <x:c r="A17" s="10" t="n">
        <x:v>16</x:v>
      </x:c>
      <x:c r="B17" s="10" t="str">
        <x:v>GUILD-0016</x:v>
      </x:c>
      <x:c r="C17" s="10" t="str">
        <x:v>主播管理</x:v>
      </x:c>
      <x:c r="D17" s="10" t="str">
        <x:v>主播主页（公会长）</x:v>
      </x:c>
      <x:c r="E17" s="10" t="str">
        <x:v>功能需求</x:v>
      </x:c>
      <x:c r="F17" s="10" t="str">
        <x:v>P1</x:v>
      </x:c>
      <x:c r="G17" s="9" t="str">
        <x:v>验证平台关闭权限后公会无法打开开播权限</x:v>
      </x:c>
      <x:c r="H17" s="9" t="str">
        <x:v>平台关闭的公会限制</x:v>
      </x:c>
      <x:c r="I17" s="9" t="str">
        <x:v>1. 公会长为本条执行者
2. 主播甲当前在公会甲，当前公会为公会甲
3. 平台管理员已关闭主播甲的直播权限</x:v>
      </x:c>
      <x:c r="J17" s="9" t="str">
        <x:v>1. 打开主播甲主页
2. 查看直播权限开关</x:v>
      </x:c>
      <x:c r="K17" s="9" t="str">
        <x:v>公会直播权限开关只读且显示关闭</x:v>
      </x:c>
      <x:c r="L17" s="10" t="str">
        <x:v>FLOW-3316A78D</x:v>
      </x:c>
      <x:c r="M17" s="10" t="str">
        <x:v>未测</x:v>
      </x:c>
      <x:c r="N17" s="10" t="str"/>
      <x:c r="O17" s="9" t="str">
        <x:v>1. 来源（当前证据）：liveshow-proto/MainBasis/统一需求文档.md；位置：第 2202 行；REQ-57c9a3ba03a1、第 2203 行；REQ-5b2794c3a2dd、第 2207 行；REQ-d2a5c66939bd、第 2214 行；REQ-44352c936b14、第 2215 行；REQ-3a054fa514c9、第 2216 行；REQ-5b67d7facca5、第 2195 行
2. 规则：BR-CFC76522A9054A
3. 未动态验证
4. 示例账号、编号、金额与日期是本条测试数据；执行前按前置条件准备，未填写的产品决策不得自行假定。</x:v>
      </x:c>
    </x:row>
    <x:row r="18" ht="175" customHeight="1">
      <x:c r="A18" s="10" t="n">
        <x:v>17</x:v>
      </x:c>
      <x:c r="B18" s="10" t="str">
        <x:v>GUILD-0017</x:v>
      </x:c>
      <x:c r="C18" s="10" t="str">
        <x:v>数据与收益</x:v>
      </x:c>
      <x:c r="D18" s="10" t="str">
        <x:v>公会分成记录（公会长）</x:v>
      </x:c>
      <x:c r="E18" s="10" t="str">
        <x:v>功能需求</x:v>
      </x:c>
      <x:c r="F18" s="10" t="str">
        <x:v>P2</x:v>
      </x:c>
      <x:c r="G18" s="9" t="str">
        <x:v>验证查看后台上传的公会分成</x:v>
      </x:c>
      <x:c r="H18" s="9" t="str">
        <x:v>线下分成记录回显</x:v>
      </x:c>
      <x:c r="I18" s="9" t="str">
        <x:v>1. 公会长为本条执行者
2. 公会甲已在线下结算并由后台上传 10.25 USD 分成；当前执行者可查看公会甲的分成</x:v>
      </x:c>
      <x:c r="J18" s="9" t="str">
        <x:v>1. 打开公会分成记录
2. 查看本次上传记录</x:v>
      </x:c>
      <x:c r="K18" s="9" t="str">
        <x:v>本次分成金额显示 10.25 USD</x:v>
      </x:c>
      <x:c r="L18" s="10" t="str">
        <x:v>FLOW-8FE0E611</x:v>
      </x:c>
      <x:c r="M18" s="10" t="str">
        <x:v>未测</x:v>
      </x:c>
      <x:c r="N18" s="10" t="str"/>
      <x:c r="O18" s="9" t="str">
        <x:v>1. 来源（当前证据）：liveshow-proto/MainBasis/统一需求文档.md；位置：第 2465 行；REQ-97eddfd7336d、第 2466 行；REQ-290d0c4a70a5、第 2467 行；REQ-ab7fad33ca13、第 2468 行；REQ-26b0cd31708d、第 2464 行
2. 规则：BR-7511B0FD575452
3. 未动态验证
4. 示例账号、编号、金额与日期是本条测试数据；执行前按前置条件准备，未填写的产品决策不得自行假定。</x:v>
      </x:c>
    </x:row>
    <x:row r="19" ht="280" customHeight="1">
      <x:c r="A19" s="10" t="n">
        <x:v>18</x:v>
      </x:c>
      <x:c r="B19" s="10" t="str">
        <x:v>GUILD-0018</x:v>
      </x:c>
      <x:c r="C19" s="10" t="str">
        <x:v>数据与收益</x:v>
      </x:c>
      <x:c r="D19" s="10" t="str">
        <x:v>直播场次详情（公会长）</x:v>
      </x:c>
      <x:c r="E19" s="10" t="str">
        <x:v>功能需求</x:v>
      </x:c>
      <x:c r="F19" s="10" t="str">
        <x:v>P2</x:v>
      </x:c>
      <x:c r="G19" s="9" t="str">
        <x:v>验证公会查看主播场次成功礼物</x:v>
      </x:c>
      <x:c r="H19" s="9" t="str">
        <x:v>公会礼物明细</x:v>
      </x:c>
      <x:c r="I19" s="9" t="str">
        <x:v>1. 公会长为本条执行者
2. 当前公会为公会甲，主播乙属于公会甲；用户甲已在 S001 成功赠送单价 100 金币的普通礼物甲 1 个</x:v>
      </x:c>
      <x:c r="J19" s="9" t="str">
        <x:v>1. 打开主播乙的 S001 直播场次详情
2. 查看礼物记录</x:v>
      </x:c>
      <x:c r="K19" s="9" t="str">
        <x:v>礼物记录包含礼物甲，数量为 1</x:v>
      </x:c>
      <x:c r="L19" s="10" t="str">
        <x:v>FLOW-3674B837</x:v>
      </x:c>
      <x:c r="M19" s="10" t="str">
        <x:v>未测</x:v>
      </x:c>
      <x:c r="N19" s="10" t="str"/>
      <x:c r="O19" s="9" t="str">
        <x:v>1. 来源（当前证据）：liveshow-proto/MainBasis/统一需求文档.md；位置：第 2384 行；REQ-522c5292c024、第 2385 行；REQ-61bbf5f75bd1、第 2387 行；REQ-d9fa75022018、第 2388 行；REQ-2f94055c070c、第 2389 行；REQ-0be76a1f4058、第 2390 行；REQ-056fee828da5、第 2391 行；REQ-fb723479307b、第 2392 行；REQ-fbb528057483、第 2393 行；REQ-8bae2a494638、第 2395 行；REQ-77644e12086b、第 2396 行；REQ-5e39153fcfa6、第 2397 行；REQ-8526bb52368c、第 2398 行；REQ-916c296c5395、第 2379 行
2. 规则：BR-A10F5A3E5F5622
3. 未动态验证
4. 示例账号、编号、金额与日期是本条测试数据；执行前按前置条件准备，未填写的产品决策不得自行假定。</x:v>
      </x:c>
    </x:row>
    <x:row r="20" ht="130" customHeight="1">
      <x:c r="A20" s="10" t="n">
        <x:v>19</x:v>
      </x:c>
      <x:c r="B20" s="10" t="str">
        <x:v>GUILD-0019</x:v>
      </x:c>
      <x:c r="C20" s="10" t="str">
        <x:v>首页与发现</x:v>
      </x:c>
      <x:c r="D20" s="10" t="str">
        <x:v>首页（公会长）</x:v>
      </x:c>
      <x:c r="E20" s="10" t="str">
        <x:v>功能需求</x:v>
      </x:c>
      <x:c r="F20" s="10" t="str">
        <x:v>P2</x:v>
      </x:c>
      <x:c r="G20" s="9" t="str">
        <x:v>验证首页使用今日概况 </x:v>
      </x:c>
      <x:c r="H20" s="9" t="str">
        <x:v>目标入口</x:v>
      </x:c>
      <x:c r="I20" s="9" t="str">
        <x:v>1. 公会长为本条执行者
2. 首页已展示；涉及列表记录时，列表中存在可选择的本账号记录甲</x:v>
      </x:c>
      <x:c r="J20" s="9" t="str">
        <x:v>1. 点击今日概况 </x:v>
      </x:c>
      <x:c r="K20" s="9" t="str">
        <x:v>进入当日经营详情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来源（当前证据）：liveshow-proto/MainBasis/统一需求文档.md；位置：第 2071 行；REQ-e54100a8dca9、第 2062 行
2. 规则：BR-930B4D515CBEEB
3. 未动态验证
4. 示例账号、编号、金额与日期是本条测试数据；执行前按前置条件准备，未填写的产品决策不得自行假定。</x:v>
      </x:c>
    </x:row>
    <x:row r="21" ht="130" customHeight="1">
      <x:c r="A21" s="10" t="n">
        <x:v>20</x:v>
      </x:c>
      <x:c r="B21" s="10" t="str">
        <x:v>GUILD-0020</x:v>
      </x:c>
      <x:c r="C21" s="10" t="str">
        <x:v>首页与发现</x:v>
      </x:c>
      <x:c r="D21" s="10" t="str">
        <x:v>通知消息（公会长）</x:v>
      </x:c>
      <x:c r="E21" s="10" t="str">
        <x:v>功能需求</x:v>
      </x:c>
      <x:c r="F21" s="10" t="str">
        <x:v>P2</x:v>
      </x:c>
      <x:c r="G21" s="9" t="str">
        <x:v>验证通知消息使用通知 </x:v>
      </x:c>
      <x:c r="H21" s="9" t="str">
        <x:v>目标入口</x:v>
      </x:c>
      <x:c r="I21" s="9" t="str">
        <x:v>1. 公会长为本条执行者
2. 通知消息已展示；涉及列表记录时，列表中存在可选择的本账号记录甲</x:v>
      </x:c>
      <x:c r="J21" s="9" t="str">
        <x:v>1. 点击通知 </x:v>
      </x:c>
      <x:c r="K21" s="9" t="str">
        <x:v>进入通知详情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来源（当前证据）：liveshow-proto/MainBasis/统一需求文档.md；位置：第 2083 行；REQ-c75a323ec1ec、第 2074 行
2. 规则：BR-3460165937E18A
3. 未动态验证
4. 示例账号、编号、金额与日期是本条测试数据；执行前按前置条件准备，未填写的产品决策不得自行假定。</x:v>
      </x:c>
    </x:row>
    <x:row r="22" ht="130" customHeight="1">
      <x:c r="A22" s="10" t="n">
        <x:v>21</x:v>
      </x:c>
      <x:c r="B22" s="10" t="str">
        <x:v>GUILD-0021</x:v>
      </x:c>
      <x:c r="C22" s="10" t="str">
        <x:v>审批管理</x:v>
      </x:c>
      <x:c r="D22" s="10" t="str">
        <x:v>入会申请（公会长）</x:v>
      </x:c>
      <x:c r="E22" s="10" t="str">
        <x:v>功能需求</x:v>
      </x:c>
      <x:c r="F22" s="10" t="str">
        <x:v>P2</x:v>
      </x:c>
      <x:c r="G22" s="9" t="str">
        <x:v>验证入会申请使用申请卡片 </x:v>
      </x:c>
      <x:c r="H22" s="9" t="str">
        <x:v>目标入口</x:v>
      </x:c>
      <x:c r="I22" s="9" t="str">
        <x:v>1. 公会长为本条执行者
2. 入会申请已展示；涉及列表记录时，列表中存在可选择的本账号记录甲</x:v>
      </x:c>
      <x:c r="J22" s="9" t="str">
        <x:v>1. 点击申请卡片 </x:v>
      </x:c>
      <x:c r="K22" s="9" t="str">
        <x:v>进入申请详情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来源（当前证据）：liveshow-proto/MainBasis/统一需求文档.md；位置：第 2102 行；REQ-6e63424342d0、第 2094 行
2. 规则：BR-BC92FC4544FDF4
3. 未动态验证
4. 示例账号、编号、金额与日期是本条测试数据；执行前按前置条件准备，未填写的产品决策不得自行假定。</x:v>
      </x:c>
    </x:row>
    <x:row r="23" ht="130" customHeight="1">
      <x:c r="A23" s="10" t="n">
        <x:v>22</x:v>
      </x:c>
      <x:c r="B23" s="10" t="str">
        <x:v>GUILD-0022</x:v>
      </x:c>
      <x:c r="C23" s="10" t="str">
        <x:v>审批管理</x:v>
      </x:c>
      <x:c r="D23" s="10" t="str">
        <x:v>退会申请（公会长）</x:v>
      </x:c>
      <x:c r="E23" s="10" t="str">
        <x:v>功能需求</x:v>
      </x:c>
      <x:c r="F23" s="10" t="str">
        <x:v>P2</x:v>
      </x:c>
      <x:c r="G23" s="9" t="str">
        <x:v>验证退会申请使用申请卡片 </x:v>
      </x:c>
      <x:c r="H23" s="9" t="str">
        <x:v>目标入口</x:v>
      </x:c>
      <x:c r="I23" s="9" t="str">
        <x:v>1. 公会长为本条执行者
2. 退会申请已展示；涉及列表记录时，列表中存在可选择的本账号记录甲</x:v>
      </x:c>
      <x:c r="J23" s="9" t="str">
        <x:v>1. 点击申请卡片 </x:v>
      </x:c>
      <x:c r="K23" s="9" t="str">
        <x:v>进入申请详情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来源（当前证据）：liveshow-proto/MainBasis/统一需求文档.md；位置：第 2130 行；REQ-e9eaaac2af1c、第 2123 行
2. 规则：BR-5B708F247D74FB
3. 未动态验证
4. 示例账号、编号、金额与日期是本条测试数据；执行前按前置条件准备，未填写的产品决策不得自行假定。</x:v>
      </x:c>
    </x:row>
    <x:row r="24" ht="130" customHeight="1">
      <x:c r="A24" s="10" t="n">
        <x:v>23</x:v>
      </x:c>
      <x:c r="B24" s="10" t="str">
        <x:v>GUILD-0023</x:v>
      </x:c>
      <x:c r="C24" s="10" t="str">
        <x:v>主播管理</x:v>
      </x:c>
      <x:c r="D24" s="10" t="str">
        <x:v>主播列表（公会长）</x:v>
      </x:c>
      <x:c r="E24" s="10" t="str">
        <x:v>功能需求</x:v>
      </x:c>
      <x:c r="F24" s="10" t="str">
        <x:v>P2</x:v>
      </x:c>
      <x:c r="G24" s="9" t="str">
        <x:v>验证主播列表使用主播 </x:v>
      </x:c>
      <x:c r="H24" s="9" t="str">
        <x:v>目标入口</x:v>
      </x:c>
      <x:c r="I24" s="9" t="str">
        <x:v>1. 公会长为本条执行者
2. 主播列表已展示；涉及列表记录时，列表中存在可选择的本账号记录甲</x:v>
      </x:c>
      <x:c r="J24" s="9" t="str">
        <x:v>1. 点击主播 </x:v>
      </x:c>
      <x:c r="K24" s="9" t="str">
        <x:v>进入主播详情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 2155 行；REQ-3b7b1bf1050e、第 2148 行
2. 规则：BR-63F9964D084DBA
3. 未动态验证
4. 示例账号、编号、金额与日期是本条测试数据；执行前按前置条件准备，未填写的产品决策不得自行假定。</x:v>
      </x:c>
    </x:row>
    <x:row r="25" ht="130" customHeight="1">
      <x:c r="A25" s="10" t="n">
        <x:v>24</x:v>
      </x:c>
      <x:c r="B25" s="10" t="str">
        <x:v>GUILD-0024</x:v>
      </x:c>
      <x:c r="C25" s="10" t="str">
        <x:v>主播管理</x:v>
      </x:c>
      <x:c r="D25" s="10" t="str">
        <x:v>主播业绩（公会长）</x:v>
      </x:c>
      <x:c r="E25" s="10" t="str">
        <x:v>功能需求</x:v>
      </x:c>
      <x:c r="F25" s="10" t="str">
        <x:v>P2</x:v>
      </x:c>
      <x:c r="G25" s="9" t="str">
        <x:v>验证主播业绩使用主播行 </x:v>
      </x:c>
      <x:c r="H25" s="9" t="str">
        <x:v>目标入口</x:v>
      </x:c>
      <x:c r="I25" s="9" t="str">
        <x:v>1. 公会长为本条执行者
2. 主播业绩已展示；涉及列表记录时，列表中存在可选择的本账号记录甲</x:v>
      </x:c>
      <x:c r="J25" s="9" t="str">
        <x:v>1. 点击主播行 </x:v>
      </x:c>
      <x:c r="K25" s="9" t="str">
        <x:v>进入「主播数据」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 2174 行；REQ-8bf87e9cdc14、第 2158 行
2. 规则：BR-B1580F313A07DD
3. 未动态验证
4. 示例账号、编号、金额与日期是本条测试数据；执行前按前置条件准备，未填写的产品决策不得自行假定。</x:v>
      </x:c>
    </x:row>
    <x:row r="26" ht="130" customHeight="1">
      <x:c r="A26" s="10" t="n">
        <x:v>25</x:v>
      </x:c>
      <x:c r="B26" s="10" t="str">
        <x:v>GUILD-0025</x:v>
      </x:c>
      <x:c r="C26" s="10" t="str">
        <x:v>数据与收益</x:v>
      </x:c>
      <x:c r="D26" s="10" t="str">
        <x:v>主播数据（公会长）</x:v>
      </x:c>
      <x:c r="E26" s="10" t="str">
        <x:v>功能需求</x:v>
      </x:c>
      <x:c r="F26" s="10" t="str">
        <x:v>P2</x:v>
      </x:c>
      <x:c r="G26" s="9" t="str">
        <x:v>验证主播数据使用主页入口 </x:v>
      </x:c>
      <x:c r="H26" s="9" t="str">
        <x:v>目标入口</x:v>
      </x:c>
      <x:c r="I26" s="9" t="str">
        <x:v>1. 公会长为本条执行者
2. 主播数据已展示；涉及列表记录时，列表中存在可选择的本账号记录甲</x:v>
      </x:c>
      <x:c r="J26" s="9" t="str">
        <x:v>1. 点击主页入口 </x:v>
      </x:c>
      <x:c r="K26" s="9" t="str">
        <x:v>进入主播详情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 2191 行；REQ-2a2648300690、第 2178 行
2. 规则：BR-D50861BEB7351C
3. 未动态验证
4. 示例账号、编号、金额与日期是本条测试数据；执行前按前置条件准备，未填写的产品决策不得自行假定。</x:v>
      </x:c>
    </x:row>
    <x:row r="27" ht="130" customHeight="1">
      <x:c r="A27" s="10" t="n">
        <x:v>26</x:v>
      </x:c>
      <x:c r="B27" s="10" t="str">
        <x:v>GUILD-0026</x:v>
      </x:c>
      <x:c r="C27" s="10" t="str">
        <x:v>主播管理</x:v>
      </x:c>
      <x:c r="D27" s="10" t="str">
        <x:v>主播主页（公会长）</x:v>
      </x:c>
      <x:c r="E27" s="10" t="str">
        <x:v>功能需求</x:v>
      </x:c>
      <x:c r="F27" s="10" t="str">
        <x:v>P2</x:v>
      </x:c>
      <x:c r="G27" s="9" t="str">
        <x:v>验证主播主页使用业绩 </x:v>
      </x:c>
      <x:c r="H27" s="9" t="str">
        <x:v>目标入口</x:v>
      </x:c>
      <x:c r="I27" s="9" t="str">
        <x:v>1. 公会长为本条执行者
2. 主播主页已展示；涉及列表记录时，列表中存在可选择的本账号记录甲</x:v>
      </x:c>
      <x:c r="J27" s="9" t="str">
        <x:v>1. 点击业绩 </x:v>
      </x:c>
      <x:c r="K27" s="9" t="str">
        <x:v>进入「主播数据」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 2218 行；REQ-bcccb9b4d7e1、第 2195 行
2. 规则：BR-FAD4407859BDD4
3. 未动态验证
4. 示例账号、编号、金额与日期是本条测试数据；执行前按前置条件准备，未填写的产品决策不得自行假定。</x:v>
      </x:c>
    </x:row>
    <x:row r="28" ht="130" customHeight="1">
      <x:c r="A28" s="10" t="n">
        <x:v>27</x:v>
      </x:c>
      <x:c r="B28" s="10" t="str">
        <x:v>GUILD-0027</x:v>
      </x:c>
      <x:c r="C28" s="10" t="str">
        <x:v>运营管理</x:v>
      </x:c>
      <x:c r="D28" s="10" t="str">
        <x:v>运营消息（公会长）</x:v>
      </x:c>
      <x:c r="E28" s="10" t="str">
        <x:v>功能需求</x:v>
      </x:c>
      <x:c r="F28" s="10" t="str">
        <x:v>P2</x:v>
      </x:c>
      <x:c r="G28" s="9" t="str">
        <x:v>验证运营消息使用消息记录 </x:v>
      </x:c>
      <x:c r="H28" s="9" t="str">
        <x:v>目标入口</x:v>
      </x:c>
      <x:c r="I28" s="9" t="str">
        <x:v>1. 公会长为本条执行者
2. 运营消息已展示；涉及列表记录时，列表中存在可选择的本账号记录甲</x:v>
      </x:c>
      <x:c r="J28" s="9" t="str">
        <x:v>1. 点击消息记录 </x:v>
      </x:c>
      <x:c r="K28" s="9" t="str">
        <x:v>进入消息详情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 2230 行；REQ-d9e45606a774、第 2223 行
2. 规则：BR-A8FECDF698B043
3. 未动态验证
4. 示例账号、编号、金额与日期是本条测试数据；执行前按前置条件准备，未填写的产品决策不得自行假定。</x:v>
      </x:c>
    </x:row>
    <x:row r="29" ht="130" customHeight="1">
      <x:c r="A29" s="10" t="n">
        <x:v>28</x:v>
      </x:c>
      <x:c r="B29" s="10" t="str">
        <x:v>GUILD-0028</x:v>
      </x:c>
      <x:c r="C29" s="10" t="str">
        <x:v>运营管理</x:v>
      </x:c>
      <x:c r="D29" s="10" t="str">
        <x:v>运营账号（公会长）</x:v>
      </x:c>
      <x:c r="E29" s="10" t="str">
        <x:v>功能需求</x:v>
      </x:c>
      <x:c r="F29" s="10" t="str">
        <x:v>P2</x:v>
      </x:c>
      <x:c r="G29" s="9" t="str">
        <x:v>验证运营账号使用账号 </x:v>
      </x:c>
      <x:c r="H29" s="9" t="str">
        <x:v>目标入口</x:v>
      </x:c>
      <x:c r="I29" s="9" t="str">
        <x:v>1. 公会长为本条执行者
2. 运营账号已展示；涉及列表记录时，列表中存在可选择的本账号记录甲</x:v>
      </x:c>
      <x:c r="J29" s="9" t="str">
        <x:v>1. 点击账号 </x:v>
      </x:c>
      <x:c r="K29" s="9" t="str">
        <x:v>进入账号主页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 2274 行；REQ-44ae0e3ef059、第 2261 行
2. 规则：BR-38E37604993407
3. 未动态验证
4. 示例账号、编号、金额与日期是本条测试数据；执行前按前置条件准备，未填写的产品决策不得自行假定。</x:v>
      </x:c>
    </x:row>
    <x:row r="30" ht="130" customHeight="1">
      <x:c r="A30" s="10" t="n">
        <x:v>29</x:v>
      </x:c>
      <x:c r="B30" s="10" t="str">
        <x:v>GUILD-0029</x:v>
      </x:c>
      <x:c r="C30" s="10" t="str">
        <x:v>运营管理</x:v>
      </x:c>
      <x:c r="D30" s="10" t="str">
        <x:v>运营账号主页（公会长）</x:v>
      </x:c>
      <x:c r="E30" s="10" t="str">
        <x:v>功能需求</x:v>
      </x:c>
      <x:c r="F30" s="10" t="str">
        <x:v>P2</x:v>
      </x:c>
      <x:c r="G30" s="9" t="str">
        <x:v>验证运营账号主页使用日期消费 </x:v>
      </x:c>
      <x:c r="H30" s="9" t="str">
        <x:v>目标入口</x:v>
      </x:c>
      <x:c r="I30" s="9" t="str">
        <x:v>1. 公会长为本条执行者
2. 运营账号主页已展示；涉及列表记录时，列表中存在可选择的本账号记录甲</x:v>
      </x:c>
      <x:c r="J30" s="9" t="str">
        <x:v>1. 点击日期消费 </x:v>
      </x:c>
      <x:c r="K30" s="9" t="str">
        <x:v>进入送礼记录并带入账号和日期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 2306 行；REQ-3cb9a733a5b0、第 2289 行
2. 规则：BR-3110EE4018D9B9
3. 未动态验证
4. 示例账号、编号、金额与日期是本条测试数据；执行前按前置条件准备，未填写的产品决策不得自行假定。</x:v>
      </x:c>
    </x:row>
    <x:row r="31" ht="130" customHeight="1">
      <x:c r="A31" s="10" t="n">
        <x:v>30</x:v>
      </x:c>
      <x:c r="B31" s="10" t="str">
        <x:v>GUILD-0030</x:v>
      </x:c>
      <x:c r="C31" s="10" t="str">
        <x:v>数据与收益</x:v>
      </x:c>
      <x:c r="D31" s="10" t="str">
        <x:v>违规记录（公会长）</x:v>
      </x:c>
      <x:c r="E31" s="10" t="str">
        <x:v>功能需求</x:v>
      </x:c>
      <x:c r="F31" s="10" t="str">
        <x:v>P2</x:v>
      </x:c>
      <x:c r="G31" s="9" t="str">
        <x:v>验证违规记录使用主播 </x:v>
      </x:c>
      <x:c r="H31" s="9" t="str">
        <x:v>目标入口</x:v>
      </x:c>
      <x:c r="I31" s="9" t="str">
        <x:v>1. 公会长为本条执行者
2. 违规记录已展示；涉及列表记录时，列表中存在可选择的本账号记录甲</x:v>
      </x:c>
      <x:c r="J31" s="9" t="str">
        <x:v>1. 点击主播 </x:v>
      </x:c>
      <x:c r="K31" s="9" t="str">
        <x:v>进入主播详情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 2412 行；REQ-040968bcc9fe、第 2402 行
2. 规则：BR-4992B1F1E3A146
3. 未动态验证
4. 示例账号、编号、金额与日期是本条测试数据；执行前按前置条件准备，未填写的产品决策不得自行假定。</x:v>
      </x:c>
    </x:row>
    <x:row r="32" ht="130" customHeight="1">
      <x:c r="A32" s="10" t="n">
        <x:v>31</x:v>
      </x:c>
      <x:c r="B32" s="10" t="str">
        <x:v>GUILD-0031</x:v>
      </x:c>
      <x:c r="C32" s="10" t="str">
        <x:v>数据与收益</x:v>
      </x:c>
      <x:c r="D32" s="10" t="str">
        <x:v>公会业绩（公会长）</x:v>
      </x:c>
      <x:c r="E32" s="10" t="str">
        <x:v>功能需求</x:v>
      </x:c>
      <x:c r="F32" s="10" t="str">
        <x:v>P2</x:v>
      </x:c>
      <x:c r="G32" s="9" t="str">
        <x:v>验证公会业绩使用日数据行 </x:v>
      </x:c>
      <x:c r="H32" s="9" t="str">
        <x:v>目标入口</x:v>
      </x:c>
      <x:c r="I32" s="9" t="str">
        <x:v>1. 公会长为本条执行者
2. 公会业绩已展示；涉及列表记录时，列表中存在可选择的本账号记录甲</x:v>
      </x:c>
      <x:c r="J32" s="9" t="str">
        <x:v>1. 点击日数据行 </x:v>
      </x:c>
      <x:c r="K32" s="9" t="str">
        <x:v>进入主播业绩并带入日期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 2435 行；REQ-8f470024aa8e、第 2415 行
2. 规则：BR-C6EF2EFAA9CE9D
3. 未动态验证
4. 示例账号、编号、金额与日期是本条测试数据；执行前按前置条件准备，未填写的产品决策不得自行假定。</x:v>
      </x:c>
    </x:row>
    <x:row r="33" ht="130" customHeight="1">
      <x:c r="A33" s="10" t="n">
        <x:v>32</x:v>
      </x:c>
      <x:c r="B33" s="10" t="str">
        <x:v>GUILD-0032</x:v>
      </x:c>
      <x:c r="C33" s="10" t="str">
        <x:v>数据与收益</x:v>
      </x:c>
      <x:c r="D33" s="10" t="str">
        <x:v>每日（公会长）</x:v>
      </x:c>
      <x:c r="E33" s="10" t="str">
        <x:v>功能需求</x:v>
      </x:c>
      <x:c r="F33" s="10" t="str">
        <x:v>P2</x:v>
      </x:c>
      <x:c r="G33" s="9" t="str">
        <x:v>验证每日使用主播 </x:v>
      </x:c>
      <x:c r="H33" s="9" t="str">
        <x:v>目标入口</x:v>
      </x:c>
      <x:c r="I33" s="9" t="str">
        <x:v>1. 公会长为本条执行者
2. 每日已展示；涉及列表记录时，列表中存在可选择的本账号记录甲</x:v>
      </x:c>
      <x:c r="J33" s="9" t="str">
        <x:v>1. 点击主播 </x:v>
      </x:c>
      <x:c r="K33" s="9" t="str">
        <x:v>进入主播数据并带入当前日期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 2450 行；REQ-92eb7753253a、第 2439 行
2. 规则：BR-C5FDC6B733A7E9
3. 未动态验证
4. 示例账号、编号、金额与日期是本条测试数据；执行前按前置条件准备，未填写的产品决策不得自行假定。</x:v>
      </x:c>
    </x:row>
    <x:row r="34" ht="175" customHeight="1">
      <x:c r="A34" s="10" t="n">
        <x:v>33</x:v>
      </x:c>
      <x:c r="B34" s="10" t="str">
        <x:v>GUILD-0033</x:v>
      </x:c>
      <x:c r="C34" s="10" t="str">
        <x:v>账号与登录</x:v>
      </x:c>
      <x:c r="D34" s="10" t="str">
        <x:v>公会登录（公会长）</x:v>
      </x:c>
      <x:c r="E34" s="10" t="str">
        <x:v>功能需求</x:v>
      </x:c>
      <x:c r="F34" s="10" t="str">
        <x:v>P1</x:v>
      </x:c>
      <x:c r="G34" s="9" t="str">
        <x:v>验证公会长账号登录成功</x:v>
      </x:c>
      <x:c r="H34" s="9" t="str">
        <x:v>公会长登录凭证</x:v>
      </x:c>
      <x:c r="I34" s="9" t="str">
        <x:v>1. 公会长为本条执行者
2. 当前未登录；平台已创建公会长账号 guild_qa，密码 Guild#2026</x:v>
      </x:c>
      <x:c r="J34" s="9" t="str">
        <x:v>1. 打开公会登录
2. 输入公会账号 guild_qa
3. 输入密码 Guild#2026
4. 点击登录</x:v>
      </x:c>
      <x:c r="K34" s="9" t="str">
        <x:v>进入选择公会页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来源（当前证据）：liveshow-proto/MainBasis/统一需求文档.md；位置：第 2047 行；REQ-7aeca6163dd9、第 2048 行；REQ-0db0877f0fe5、第 2049 行；REQ-0fc472689017、第 2050 行；REQ-edeab24ec66a、第 2045 行
2. 规则：BR-5F31F3089993A4
3. 未动态验证
4. 示例账号、编号、金额与日期是本条测试数据；执行前按前置条件准备，未填写的产品决策不得自行假定。</x:v>
      </x:c>
    </x:row>
    <x:row r="35" ht="175" customHeight="1">
      <x:c r="A35" s="10" t="n">
        <x:v>34</x:v>
      </x:c>
      <x:c r="B35" s="10" t="str">
        <x:v>GUILD-0034</x:v>
      </x:c>
      <x:c r="C35" s="10" t="str">
        <x:v>账号与登录</x:v>
      </x:c>
      <x:c r="D35" s="10" t="str">
        <x:v>公会登录（公会长）</x:v>
      </x:c>
      <x:c r="E35" s="10" t="str">
        <x:v>异常用例</x:v>
      </x:c>
      <x:c r="F35" s="10" t="str">
        <x:v>P1</x:v>
      </x:c>
      <x:c r="G35" s="9" t="str">
        <x:v>验证错误账号或密码拒绝登录</x:v>
      </x:c>
      <x:c r="H35" s="9" t="str">
        <x:v>公会长登录凭证</x:v>
      </x:c>
      <x:c r="I35" s="9" t="str">
        <x:v>1. 公会长为本条执行者
2. 当前未登录；平台已创建公会长账号 guild_qa，密码 Guild#2026</x:v>
      </x:c>
      <x:c r="J35" s="9" t="str">
        <x:v>1. 打开公会登录
2. 输入公会账号 guild_qa
3. 输入密码 Wrong#2026
4. 点击登录</x:v>
      </x:c>
      <x:c r="K35" s="9" t="str">
        <x:v>提示“账号或密码错误”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来源（当前证据）：liveshow-proto/MainBasis/统一需求文档.md；位置：第 2047 行；REQ-7aeca6163dd9、第 2048 行；REQ-0db0877f0fe5、第 2049 行；REQ-0fc472689017、第 2050 行；REQ-edeab24ec66a、第 2045 行
2. 规则：BR-CC7442663D9925
3. 未动态验证
4. 示例账号、编号、金额与日期是本条测试数据；执行前按前置条件准备，未填写的产品决策不得自行假定。</x:v>
      </x:c>
    </x:row>
    <x:row r="36" ht="175" customHeight="1">
      <x:c r="A36" s="10" t="n">
        <x:v>35</x:v>
      </x:c>
      <x:c r="B36" s="10" t="str">
        <x:v>GUILD-0035</x:v>
      </x:c>
      <x:c r="C36" s="10" t="str">
        <x:v>账号与登录</x:v>
      </x:c>
      <x:c r="D36" s="10" t="str">
        <x:v>公会登录（公会长）</x:v>
      </x:c>
      <x:c r="E36" s="10" t="str">
        <x:v>异常用例</x:v>
      </x:c>
      <x:c r="F36" s="10" t="str">
        <x:v>P1</x:v>
      </x:c>
      <x:c r="G36" s="9" t="str">
        <x:v>验证错误账号或密码拒绝登录</x:v>
      </x:c>
      <x:c r="H36" s="9" t="str">
        <x:v>公会长登录凭证</x:v>
      </x:c>
      <x:c r="I36" s="9" t="str">
        <x:v>1. 公会长为本条执行者
2. 当前未登录；平台已创建公会长账号 guild_qa，密码 Guild#2026</x:v>
      </x:c>
      <x:c r="J36" s="9" t="str">
        <x:v>1. 打开公会登录
2. 输入公会账号 unknown_qa
3. 输入密码 Guild#2026
4. 点击登录</x:v>
      </x:c>
      <x:c r="K36" s="9" t="str">
        <x:v>提示“账号或密码错误”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来源（当前证据）：liveshow-proto/MainBasis/统一需求文档.md；位置：第 2047 行；REQ-7aeca6163dd9、第 2048 行；REQ-0db0877f0fe5、第 2049 行；REQ-0fc472689017、第 2050 行；REQ-edeab24ec66a、第 2045 行
2. 规则：BR-9CEA6A69C8CF51
3. 未动态验证
4. 示例账号、编号、金额与日期是本条测试数据；执行前按前置条件准备，未填写的产品决策不得自行假定。</x:v>
      </x:c>
    </x:row>
    <x:row r="37" ht="145" customHeight="1">
      <x:c r="A37" s="10" t="n">
        <x:v>36</x:v>
      </x:c>
      <x:c r="B37" s="10" t="str">
        <x:v>GUILD-0036</x:v>
      </x:c>
      <x:c r="C37" s="10" t="str">
        <x:v>账号与登录</x:v>
      </x:c>
      <x:c r="D37" s="10" t="str">
        <x:v>公会登录（公会长）</x:v>
      </x:c>
      <x:c r="E37" s="10" t="str">
        <x:v>异常用例</x:v>
      </x:c>
      <x:c r="F37" s="10" t="str">
        <x:v>P1</x:v>
      </x:c>
      <x:c r="G37" s="9" t="str">
        <x:v>验证公会账号为空不能登录</x:v>
      </x:c>
      <x:c r="H37" s="9" t="str">
        <x:v>公会账号必填</x:v>
      </x:c>
      <x:c r="I37" s="9" t="str">
        <x:v>1. 公会长为本条执行者
2. 当前未登录；平台已创建公会长账号 guild_qa，密码 Guild#2026</x:v>
      </x:c>
      <x:c r="J37" s="9" t="str">
        <x:v>1. 打开公会登录
2. 清空公会账号
3. 点击登录</x:v>
      </x:c>
      <x:c r="K37" s="9" t="str">
        <x:v>未进入选择公会页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 2046 行；REQ-c9e487982ba2、第 2047 行；REQ-7aeca6163dd9、第 2045 行
2. 规则：BR-4A453DE150F929
3. 未动态验证
4. 示例账号、编号、金额与日期是本条测试数据；执行前按前置条件准备，未填写的产品决策不得自行假定。</x:v>
      </x:c>
    </x:row>
    <x:row r="38" ht="160" customHeight="1">
      <x:c r="A38" s="10" t="n">
        <x:v>37</x:v>
      </x:c>
      <x:c r="B38" s="10" t="str">
        <x:v>GUILD-0037</x:v>
      </x:c>
      <x:c r="C38" s="10" t="str">
        <x:v>账号与登录</x:v>
      </x:c>
      <x:c r="D38" s="10" t="str">
        <x:v>公会登录（公会长）</x:v>
      </x:c>
      <x:c r="E38" s="10" t="str">
        <x:v>异常用例</x:v>
      </x:c>
      <x:c r="F38" s="10" t="str">
        <x:v>P1</x:v>
      </x:c>
      <x:c r="G38" s="9" t="str">
        <x:v>验证密码为空不能登录</x:v>
      </x:c>
      <x:c r="H38" s="9" t="str">
        <x:v>密码必填</x:v>
      </x:c>
      <x:c r="I38" s="9" t="str">
        <x:v>1. 公会长为本条执行者
2. 当前未登录；平台已创建公会长账号 guild_qa，密码 Guild#2026</x:v>
      </x:c>
      <x:c r="J38" s="9" t="str">
        <x:v>1. 打开公会登录
2. 清空密码
3. 点击登录</x:v>
      </x:c>
      <x:c r="K38" s="9" t="str">
        <x:v>未进入选择公会页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 2046 行；REQ-c9e487982ba2、第 2047 行；REQ-7aeca6163dd9、第 2050 行；REQ-edeab24ec66a、第 2045 行
2. 规则：BR-D8BEB18165253C
3. 未动态验证
4. 示例账号、编号、金额与日期是本条测试数据；执行前按前置条件准备，未填写的产品决策不得自行假定。</x:v>
      </x:c>
    </x:row>
    <x:row r="39" ht="160" customHeight="1">
      <x:c r="A39" s="10" t="n">
        <x:v>38</x:v>
      </x:c>
      <x:c r="B39" s="10" t="str">
        <x:v>GUILD-0038</x:v>
      </x:c>
      <x:c r="C39" s="10" t="str">
        <x:v>账号与登录</x:v>
      </x:c>
      <x:c r="D39" s="10" t="str">
        <x:v>公会登录（公会长）</x:v>
      </x:c>
      <x:c r="E39" s="10" t="str">
        <x:v>功能需求</x:v>
      </x:c>
      <x:c r="F39" s="10" t="str">
        <x:v>P1</x:v>
      </x:c>
      <x:c r="G39" s="9" t="str">
        <x:v>验证账号被停用登录公会端</x:v>
      </x:c>
      <x:c r="H39" s="9" t="str">
        <x:v>公会端账号准入</x:v>
      </x:c>
      <x:c r="I39" s="9" t="str">
        <x:v>1. 公会长为本条执行者
2. 当前未登录；平台已创建公会长账号 guild_qa，密码 Guild#2026
3. 本条账号属于账号被停用</x:v>
      </x:c>
      <x:c r="J39" s="9" t="str">
        <x:v>1. 打开公会登录
2. 输入该测试账号和有效密码
3. 点击登录</x:v>
      </x:c>
      <x:c r="K39" s="9" t="str">
        <x:v>未进入选择公会页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 2046 行；REQ-c9e487982ba2、第 2048 行；REQ-0db0877f0fe5、第 2049 行；REQ-0fc472689017、第 2045 行
2. 规则：BR-2BB5368FBE1122
3. 未动态验证
4. 示例账号、编号、金额与日期是本条测试数据；执行前按前置条件准备，未填写的产品决策不得自行假定。</x:v>
      </x:c>
    </x:row>
    <x:row r="40" ht="160" customHeight="1">
      <x:c r="A40" s="10" t="n">
        <x:v>39</x:v>
      </x:c>
      <x:c r="B40" s="10" t="str">
        <x:v>GUILD-0039</x:v>
      </x:c>
      <x:c r="C40" s="10" t="str">
        <x:v>账号与登录</x:v>
      </x:c>
      <x:c r="D40" s="10" t="str">
        <x:v>公会登录（公会长）</x:v>
      </x:c>
      <x:c r="E40" s="10" t="str">
        <x:v>功能需求</x:v>
      </x:c>
      <x:c r="F40" s="10" t="str">
        <x:v>P1</x:v>
      </x:c>
      <x:c r="G40" s="9" t="str">
        <x:v>验证使用运营账号登录公会端</x:v>
      </x:c>
      <x:c r="H40" s="9" t="str">
        <x:v>公会端账号准入</x:v>
      </x:c>
      <x:c r="I40" s="9" t="str">
        <x:v>1. 公会长为本条执行者
2. 当前未登录；平台已创建公会长账号 guild_qa，密码 Guild#2026
3. 本条账号属于使用运营账号</x:v>
      </x:c>
      <x:c r="J40" s="9" t="str">
        <x:v>1. 打开公会登录
2. 输入该测试账号和有效密码
3. 点击登录</x:v>
      </x:c>
      <x:c r="K40" s="9" t="str">
        <x:v>未进入选择公会页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 2046 行；REQ-c9e487982ba2、第 2048 行；REQ-0db0877f0fe5、第 2049 行；REQ-0fc472689017、第 2045 行
2. 规则：BR-A6E29398BF7873
3. 未动态验证
4. 示例账号、编号、金额与日期是本条测试数据；执行前按前置条件准备，未填写的产品决策不得自行假定。</x:v>
      </x:c>
    </x:row>
    <x:row r="41" ht="130" customHeight="1">
      <x:c r="A41" s="10" t="n">
        <x:v>40</x:v>
      </x:c>
      <x:c r="B41" s="10" t="str">
        <x:v>GUILD-0040</x:v>
      </x:c>
      <x:c r="C41" s="10" t="str">
        <x:v>账号与登录</x:v>
      </x:c>
      <x:c r="D41" s="10" t="str">
        <x:v>选择公会（公会长）</x:v>
      </x:c>
      <x:c r="E41" s="10" t="str">
        <x:v>功能需求</x:v>
      </x:c>
      <x:c r="F41" s="10" t="str">
        <x:v>P1</x:v>
      </x:c>
      <x:c r="G41" s="9" t="str">
        <x:v>验证切换公会更新数据归属</x:v>
      </x:c>
      <x:c r="H41" s="9" t="str">
        <x:v>当前公会切换</x:v>
      </x:c>
      <x:c r="I41" s="9" t="str">
        <x:v>1. 公会长为本条执行者
2. 公会长甲可管理公会甲和公会乙，当前选择公会甲；公会丙已解散</x:v>
      </x:c>
      <x:c r="J41" s="9" t="str">
        <x:v>1. 打开选择公会
2. 选择公会乙</x:v>
      </x:c>
      <x:c r="K41" s="9" t="str">
        <x:v>首页公会名称显示公会乙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来源（当前证据）：liveshow-proto/MainBasis/统一需求文档.md；位置：第 2059 行；REQ-2b1c7a5786cf、第 2053 行
2. 规则：BR-EFA2D627421369
3. 未动态验证
4. 示例账号、编号、金额与日期是本条测试数据；执行前按前置条件准备，未填写的产品决策不得自行假定。</x:v>
      </x:c>
    </x:row>
    <x:row r="42" ht="130" customHeight="1">
      <x:c r="A42" s="10" t="n">
        <x:v>41</x:v>
      </x:c>
      <x:c r="B42" s="10" t="str">
        <x:v>GUILD-0041</x:v>
      </x:c>
      <x:c r="C42" s="10" t="str">
        <x:v>账号与登录</x:v>
      </x:c>
      <x:c r="D42" s="10" t="str">
        <x:v>选择公会（公会长）</x:v>
      </x:c>
      <x:c r="E42" s="10" t="str">
        <x:v>功能需求</x:v>
      </x:c>
      <x:c r="F42" s="10" t="str">
        <x:v>P1</x:v>
      </x:c>
      <x:c r="G42" s="9" t="str">
        <x:v>验证已解散公会不可选择</x:v>
      </x:c>
      <x:c r="H42" s="9" t="str">
        <x:v>可管理公会范围</x:v>
      </x:c>
      <x:c r="I42" s="9" t="str">
        <x:v>1. 公会长为本条执行者
2. 公会长甲可管理公会甲和公会乙，当前选择公会甲；公会丙已解散</x:v>
      </x:c>
      <x:c r="J42" s="9" t="str">
        <x:v>1. 打开选择公会</x:v>
      </x:c>
      <x:c r="K42" s="9" t="str">
        <x:v>可选列表不包含公会丙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来源（当前证据）：liveshow-proto/MainBasis/统一需求文档.md；位置：第 2058 行；REQ-623425048656、第 2053 行
2. 规则：BR-E90DCAE8249CD4
3. 未动态验证
4. 示例账号、编号、金额与日期是本条测试数据；执行前按前置条件准备，未填写的产品决策不得自行假定。</x:v>
      </x:c>
    </x:row>
    <x:row r="43" ht="145" customHeight="1">
      <x:c r="A43" s="10" t="n">
        <x:v>42</x:v>
      </x:c>
      <x:c r="B43" s="10" t="str">
        <x:v>GUILD-0042</x:v>
      </x:c>
      <x:c r="C43" s="10" t="str">
        <x:v>账号与登录</x:v>
      </x:c>
      <x:c r="D43" s="10" t="str">
        <x:v>选择公会（公会长）</x:v>
      </x:c>
      <x:c r="E43" s="10" t="str">
        <x:v>功能需求</x:v>
      </x:c>
      <x:c r="F43" s="10" t="str">
        <x:v>P1</x:v>
      </x:c>
      <x:c r="G43" s="9" t="str">
        <x:v>验证当前公会标记表示选择状态</x:v>
      </x:c>
      <x:c r="H43" s="9" t="str">
        <x:v>当前公会标记</x:v>
      </x:c>
      <x:c r="I43" s="9" t="str">
        <x:v>1. 公会长为本条执行者
2. 公会长甲可管理公会甲和公会乙，当前选择公会甲；公会丙已解散</x:v>
      </x:c>
      <x:c r="J43" s="9" t="str">
        <x:v>1. 打开选择公会</x:v>
      </x:c>
      <x:c r="K43" s="9" t="str">
        <x:v>只有公会甲显示“当前公会”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来源（当前证据）：liveshow-proto/MainBasis/统一需求文档.md；位置：第 2057 行；REQ-c68c08b0d254、第 2059 行；REQ-2b1c7a5786cf、第 2053 行
2. 规则：BR-A8FD7325FB18E7
3. 未动态验证
4. 示例账号、编号、金额与日期是本条测试数据；执行前按前置条件准备，未填写的产品决策不得自行假定。</x:v>
      </x:c>
    </x:row>
    <x:row r="44" ht="160" customHeight="1">
      <x:c r="A44" s="10" t="n">
        <x:v>43</x:v>
      </x:c>
      <x:c r="B44" s="10" t="str">
        <x:v>GUILD-0043</x:v>
      </x:c>
      <x:c r="C44" s="10" t="str">
        <x:v>首页与发现</x:v>
      </x:c>
      <x:c r="D44" s="10" t="str">
        <x:v>首页（公会长）</x:v>
      </x:c>
      <x:c r="E44" s="10" t="str">
        <x:v>功能需求</x:v>
      </x:c>
      <x:c r="F44" s="10" t="str">
        <x:v>P1</x:v>
      </x:c>
      <x:c r="G44" s="9" t="str">
        <x:v>验证公会当日收益使用主播收益金币</x:v>
      </x:c>
      <x:c r="H44" s="9" t="str">
        <x:v>当日收益</x:v>
      </x:c>
      <x:c r="I44" s="9" t="str">
        <x:v>1. 公会长为本条执行者
2. 当前公会为公会甲；主播乙和丙属于公会甲
3. 乙普通礼物收益 100、丙定制礼物收益 200，幸运礼物价值 1000 且收益比例 1%，虚拟送礼价值 500</x:v>
      </x:c>
      <x:c r="J44" s="9" t="str">
        <x:v>1. 打开公会首页
2. 查看当日收益</x:v>
      </x:c>
      <x:c r="K44" s="9" t="str">
        <x:v>当日收益 = 310 金币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来源（当前证据）：liveshow-proto/MainBasis/统一需求文档.md；位置：第 2066 行；REQ-433881f19711、第 2069 行；REQ-bff46daf0b22、第 2070 行；REQ-1e95cd4b3385、第 2062 行
2. 规则：BR-994B00044EAD97
3. 未动态验证
4. 示例账号、编号、金额与日期是本条测试数据；执行前按前置条件准备，未填写的产品决策不得自行假定。</x:v>
      </x:c>
    </x:row>
    <x:row r="45" ht="130" customHeight="1">
      <x:c r="A45" s="10" t="n">
        <x:v>44</x:v>
      </x:c>
      <x:c r="B45" s="10" t="str">
        <x:v>GUILD-0044</x:v>
      </x:c>
      <x:c r="C45" s="10" t="str">
        <x:v>首页与发现</x:v>
      </x:c>
      <x:c r="D45" s="10" t="str">
        <x:v>首页（公会长）</x:v>
      </x:c>
      <x:c r="E45" s="10" t="str">
        <x:v>功能需求</x:v>
      </x:c>
      <x:c r="F45" s="10" t="str">
        <x:v>P2</x:v>
      </x:c>
      <x:c r="G45" s="9" t="str">
        <x:v>验证公会直播中人数按主播去重</x:v>
      </x:c>
      <x:c r="H45" s="9" t="str">
        <x:v>当前开播人数</x:v>
      </x:c>
      <x:c r="I45" s="9" t="str">
        <x:v>1. 公会长为本条执行者
2. 当前公会为公会甲；主播乙和丙属于公会甲
3. 当前乙在直播，丙未开播；乙当天此前另有已结束场次</x:v>
      </x:c>
      <x:c r="J45" s="9" t="str">
        <x:v>1. 打开公会首页
2. 查看直播中</x:v>
      </x:c>
      <x:c r="K45" s="9" t="str">
        <x:v>直播中显示 1 人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 2067 行；REQ-7ac74b3449f8、第 2062 行
2. 规则：BR-9D2ADFB308C94B
3. 未动态验证
4. 示例账号、编号、金额与日期是本条测试数据；执行前按前置条件准备，未填写的产品决策不得自行假定。</x:v>
      </x:c>
    </x:row>
    <x:row r="46" ht="130" customHeight="1">
      <x:c r="A46" s="10" t="n">
        <x:v>45</x:v>
      </x:c>
      <x:c r="B46" s="10" t="str">
        <x:v>GUILD-0045</x:v>
      </x:c>
      <x:c r="C46" s="10" t="str">
        <x:v>首页与发现</x:v>
      </x:c>
      <x:c r="D46" s="10" t="str">
        <x:v>首页（公会长）</x:v>
      </x:c>
      <x:c r="E46" s="10" t="str">
        <x:v>功能需求</x:v>
      </x:c>
      <x:c r="F46" s="10" t="str">
        <x:v>P2</x:v>
      </x:c>
      <x:c r="G46" s="9" t="str">
        <x:v>验证每日有效直播 10799 秒的有效天判定</x:v>
      </x:c>
      <x:c r="H46" s="9" t="str">
        <x:v>三小时有效天门槛</x:v>
      </x:c>
      <x:c r="I46" s="9" t="str">
        <x:v>1. 公会长为本条执行者
2. 当前公会为公会甲；主播乙和丙属于公会甲
3. 公会甲当天只有主播乙，已核实有效直播累计 10799 秒</x:v>
      </x:c>
      <x:c r="J46" s="9" t="str">
        <x:v>1. 打开公会首页
2. 查看达成有效天人数</x:v>
      </x:c>
      <x:c r="K46" s="9" t="str">
        <x:v>达成有效天显示 0 人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来源（当前证据）：liveshow-proto/MainBasis/统一需求文档.md；位置：第 2068 行；REQ-66355bf4de83、第 2062 行
2. 规则：BR-15BD01C5CB29FB
3. 未动态验证
4. 示例账号、编号、金额与日期是本条测试数据；执行前按前置条件准备，未填写的产品决策不得自行假定。</x:v>
      </x:c>
    </x:row>
    <x:row r="47" ht="130" customHeight="1">
      <x:c r="A47" s="10" t="n">
        <x:v>46</x:v>
      </x:c>
      <x:c r="B47" s="10" t="str">
        <x:v>GUILD-0046</x:v>
      </x:c>
      <x:c r="C47" s="10" t="str">
        <x:v>首页与发现</x:v>
      </x:c>
      <x:c r="D47" s="10" t="str">
        <x:v>首页（公会长）</x:v>
      </x:c>
      <x:c r="E47" s="10" t="str">
        <x:v>功能需求</x:v>
      </x:c>
      <x:c r="F47" s="10" t="str">
        <x:v>P2</x:v>
      </x:c>
      <x:c r="G47" s="9" t="str">
        <x:v>验证每日有效直播 10800 秒的有效天判定</x:v>
      </x:c>
      <x:c r="H47" s="9" t="str">
        <x:v>三小时有效天门槛</x:v>
      </x:c>
      <x:c r="I47" s="9" t="str">
        <x:v>1. 公会长为本条执行者
2. 当前公会为公会甲；主播乙和丙属于公会甲
3. 公会甲当天只有主播乙，已核实有效直播累计 10800 秒</x:v>
      </x:c>
      <x:c r="J47" s="9" t="str">
        <x:v>1. 打开公会首页
2. 查看达成有效天人数</x:v>
      </x:c>
      <x:c r="K47" s="9" t="str">
        <x:v>达成有效天显示 1 人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来源（当前证据）：liveshow-proto/MainBasis/统一需求文档.md；位置：第 2068 行；REQ-66355bf4de83、第 2062 行
2. 规则：BR-26D2A7B84C7610
3. 未动态验证
4. 示例账号、编号、金额与日期是本条测试数据；执行前按前置条件准备，未填写的产品决策不得自行假定。</x:v>
      </x:c>
    </x:row>
    <x:row r="48" ht="130" customHeight="1">
      <x:c r="A48" s="10" t="n">
        <x:v>47</x:v>
      </x:c>
      <x:c r="B48" s="10" t="str">
        <x:v>GUILD-0047</x:v>
      </x:c>
      <x:c r="C48" s="10" t="str">
        <x:v>首页与发现</x:v>
      </x:c>
      <x:c r="D48" s="10" t="str">
        <x:v>首页（公会长）</x:v>
      </x:c>
      <x:c r="E48" s="10" t="str">
        <x:v>功能需求</x:v>
      </x:c>
      <x:c r="F48" s="10" t="str">
        <x:v>P2</x:v>
      </x:c>
      <x:c r="G48" s="9" t="str">
        <x:v>验证每日有效直播 10801 秒的有效天判定</x:v>
      </x:c>
      <x:c r="H48" s="9" t="str">
        <x:v>三小时有效天门槛</x:v>
      </x:c>
      <x:c r="I48" s="9" t="str">
        <x:v>1. 公会长为本条执行者
2. 当前公会为公会甲；主播乙和丙属于公会甲
3. 公会甲当天只有主播乙，已核实有效直播累计 10801 秒</x:v>
      </x:c>
      <x:c r="J48" s="9" t="str">
        <x:v>1. 打开公会首页
2. 查看达成有效天人数</x:v>
      </x:c>
      <x:c r="K48" s="9" t="str">
        <x:v>达成有效天显示 1 人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来源（当前证据）：liveshow-proto/MainBasis/统一需求文档.md；位置：第 2068 行；REQ-66355bf4de83、第 2062 行
2. 规则：BR-AB1B8879966CF9
3. 未动态验证
4. 示例账号、编号、金额与日期是本条测试数据；执行前按前置条件准备，未填写的产品决策不得自行假定。</x:v>
      </x:c>
    </x:row>
    <x:row r="49" ht="130" customHeight="1">
      <x:c r="A49" s="10" t="n">
        <x:v>48</x:v>
      </x:c>
      <x:c r="B49" s="10" t="str">
        <x:v>GUILD-0048</x:v>
      </x:c>
      <x:c r="C49" s="10" t="str">
        <x:v>首页与发现</x:v>
      </x:c>
      <x:c r="D49" s="10" t="str">
        <x:v>通知消息（公会长）</x:v>
      </x:c>
      <x:c r="E49" s="10" t="str">
        <x:v>功能需求</x:v>
      </x:c>
      <x:c r="F49" s="10" t="str">
        <x:v>P2</x:v>
      </x:c>
      <x:c r="G49" s="9" t="str">
        <x:v>验证公会通知按生成时间倒序</x:v>
      </x:c>
      <x:c r="H49" s="9" t="str">
        <x:v>公会通知排序</x:v>
      </x:c>
      <x:c r="I49" s="9" t="str">
        <x:v>1. 公会长为本条执行者
2. 公会甲通知 N001 生成时间 10:00、N002 生成时间 11:00，均未读</x:v>
      </x:c>
      <x:c r="J49" s="9" t="str">
        <x:v>1. 打开通知消息</x:v>
      </x:c>
      <x:c r="K49" s="9" t="str">
        <x:v>N002 排在 N001 前面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来源（当前证据）：liveshow-proto/MainBasis/统一需求文档.md；位置：第 2077 行；REQ-15916749586e、第 2074 行
2. 规则：BR-BD5873E6EA89B2
3. 未动态验证
4. 示例账号、编号、金额与日期是本条测试数据；执行前按前置条件准备，未填写的产品决策不得自行假定。</x:v>
      </x:c>
    </x:row>
    <x:row r="50" ht="145" customHeight="1">
      <x:c r="A50" s="10" t="n">
        <x:v>49</x:v>
      </x:c>
      <x:c r="B50" s="10" t="str">
        <x:v>GUILD-0049</x:v>
      </x:c>
      <x:c r="C50" s="10" t="str">
        <x:v>首页与发现</x:v>
      </x:c>
      <x:c r="D50" s="10" t="str">
        <x:v>通知详情（公会长）</x:v>
      </x:c>
      <x:c r="E50" s="10" t="str">
        <x:v>功能需求</x:v>
      </x:c>
      <x:c r="F50" s="10" t="str">
        <x:v>P2</x:v>
      </x:c>
      <x:c r="G50" s="9" t="str">
        <x:v>验证进入公会通知详情标记已读</x:v>
      </x:c>
      <x:c r="H50" s="9" t="str">
        <x:v>公会通知阅读状态</x:v>
      </x:c>
      <x:c r="I50" s="9" t="str">
        <x:v>1. 公会长为本条执行者
2. 公会甲通知 N001 当前未读，关联入会申请 J001</x:v>
      </x:c>
      <x:c r="J50" s="9" t="str">
        <x:v>1. 打开通知 N001 详情
2. 返回通知列表</x:v>
      </x:c>
      <x:c r="K50" s="9" t="str">
        <x:v>N001 不再显示未读圆点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来源（当前证据）：liveshow-proto/MainBasis/统一需求文档.md；位置：第 2091 行；REQ-b8ea404c5252、第 2078 行；REQ-b725b023c4f3、第 2086 行
2. 规则：BR-E4BD53587D9FFF
3. 未动态验证
4. 示例账号、编号、金额与日期是本条测试数据；执行前按前置条件准备，未填写的产品决策不得自行假定。</x:v>
      </x:c>
    </x:row>
    <x:row r="51" ht="145" customHeight="1">
      <x:c r="A51" s="10" t="n">
        <x:v>50</x:v>
      </x:c>
      <x:c r="B51" s="10" t="str">
        <x:v>GUILD-0050</x:v>
      </x:c>
      <x:c r="C51" s="10" t="str">
        <x:v>首页与发现</x:v>
      </x:c>
      <x:c r="D51" s="10" t="str">
        <x:v>通知详情（公会长）</x:v>
      </x:c>
      <x:c r="E51" s="10" t="str">
        <x:v>功能需求</x:v>
      </x:c>
      <x:c r="F51" s="10" t="str">
        <x:v>P1</x:v>
      </x:c>
      <x:c r="G51" s="9" t="str">
        <x:v>验证通知关联记录有访问权限</x:v>
      </x:c>
      <x:c r="H51" s="9" t="str">
        <x:v>通知业务入口权限</x:v>
      </x:c>
      <x:c r="I51" s="9" t="str">
        <x:v>1. 公会长为本条执行者
2. 公会甲通知 N001 当前未读，关联入会申请 J001
3. 当前公会长对 J001 具有访问权限</x:v>
      </x:c>
      <x:c r="J51" s="9" t="str">
        <x:v>1. 打开通知 N001 详情</x:v>
      </x:c>
      <x:c r="K51" s="9" t="str">
        <x:v>显示关联业务入口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来源（当前证据）：liveshow-proto/MainBasis/统一需求文档.md；位置：第 2090 行；REQ-01bb2597a448、第 2091 行；REQ-b8ea404c5252、第 2086 行
2. 规则：BR-6A6EB77B749EA5
3. 未动态验证
4. 示例账号、编号、金额与日期是本条测试数据；执行前按前置条件准备，未填写的产品决策不得自行假定。</x:v>
      </x:c>
    </x:row>
    <x:row r="52" ht="145" customHeight="1">
      <x:c r="A52" s="10" t="n">
        <x:v>51</x:v>
      </x:c>
      <x:c r="B52" s="10" t="str">
        <x:v>GUILD-0051</x:v>
      </x:c>
      <x:c r="C52" s="10" t="str">
        <x:v>首页与发现</x:v>
      </x:c>
      <x:c r="D52" s="10" t="str">
        <x:v>通知详情（公会长）</x:v>
      </x:c>
      <x:c r="E52" s="10" t="str">
        <x:v>功能需求</x:v>
      </x:c>
      <x:c r="F52" s="10" t="str">
        <x:v>P1</x:v>
      </x:c>
      <x:c r="G52" s="9" t="str">
        <x:v>验证通知关联记录无访问权限</x:v>
      </x:c>
      <x:c r="H52" s="9" t="str">
        <x:v>通知业务入口权限</x:v>
      </x:c>
      <x:c r="I52" s="9" t="str">
        <x:v>1. 公会长为本条执行者
2. 公会甲通知 N001 当前未读，关联入会申请 J001
3. 当前公会长对 J001 不具有访问权限</x:v>
      </x:c>
      <x:c r="J52" s="9" t="str">
        <x:v>1. 打开通知 N001 详情</x:v>
      </x:c>
      <x:c r="K52" s="9" t="str">
        <x:v>不显示关联业务入口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来源（当前证据）：liveshow-proto/MainBasis/统一需求文档.md；位置：第 2090 行；REQ-01bb2597a448、第 2091 行；REQ-b8ea404c5252、第 2086 行
2. 规则：BR-C4B9C5690C15C6
3. 未动态验证
4. 示例账号、编号、金额与日期是本条测试数据；执行前按前置条件准备，未填写的产品决策不得自行假定。</x:v>
      </x:c>
    </x:row>
    <x:row r="53" ht="145" customHeight="1">
      <x:c r="A53" s="10" t="n">
        <x:v>52</x:v>
      </x:c>
      <x:c r="B53" s="10" t="str">
        <x:v>GUILD-0052</x:v>
      </x:c>
      <x:c r="C53" s="10" t="str">
        <x:v>运营管理</x:v>
      </x:c>
      <x:c r="D53" s="10" t="str">
        <x:v>新建运营消息（公会长）</x:v>
      </x:c>
      <x:c r="E53" s="10" t="str">
        <x:v>功能需求</x:v>
      </x:c>
      <x:c r="F53" s="10" t="str">
        <x:v>P2</x:v>
      </x:c>
      <x:c r="G53" s="9" t="str">
        <x:v>验证运营消息文字 0 字符</x:v>
      </x:c>
      <x:c r="H53" s="9" t="str">
        <x:v>运营消息文字长度</x:v>
      </x:c>
      <x:c r="I53" s="9" t="str">
        <x:v>1. 公会长为本条执行者
2. 公会甲有当前主播乙和丙，前主播丁已退出</x:v>
      </x:c>
      <x:c r="J53" s="9" t="str">
        <x:v>1. 打开新建运营消息
2. 选择全体主播
3. 清空文字内容
4. 点击发送</x:v>
      </x:c>
      <x:c r="K53" s="9" t="str">
        <x:v>未进入接收范围确认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 2236 行；REQ-dfb0280c6c20、第 2239 行；REQ-6caa3d6ba0bd、第 2233 行
2. 规则：BR-ECD4DBFD16CE93
3. 未动态验证
4. 示例账号、编号、金额与日期是本条测试数据；执行前按前置条件准备，未填写的产品决策不得自行假定。</x:v>
      </x:c>
    </x:row>
    <x:row r="54" ht="145" customHeight="1">
      <x:c r="A54" s="10" t="n">
        <x:v>53</x:v>
      </x:c>
      <x:c r="B54" s="10" t="str">
        <x:v>GUILD-0053</x:v>
      </x:c>
      <x:c r="C54" s="10" t="str">
        <x:v>运营管理</x:v>
      </x:c>
      <x:c r="D54" s="10" t="str">
        <x:v>新建运营消息（公会长）</x:v>
      </x:c>
      <x:c r="E54" s="10" t="str">
        <x:v>功能需求</x:v>
      </x:c>
      <x:c r="F54" s="10" t="str">
        <x:v>P2</x:v>
      </x:c>
      <x:c r="G54" s="9" t="str">
        <x:v>验证运营消息文字 1 字符</x:v>
      </x:c>
      <x:c r="H54" s="9" t="str">
        <x:v>运营消息文字长度</x:v>
      </x:c>
      <x:c r="I54" s="9" t="str">
        <x:v>1. 公会长为本条执行者
2. 公会甲有当前主播乙和丙，前主播丁已退出</x:v>
      </x:c>
      <x:c r="J54" s="9" t="str">
        <x:v>1. 打开新建运营消息
2. 选择全体主播
3. 输入 1 个“测”
4. 点击发送</x:v>
      </x:c>
      <x:c r="K54" s="9" t="str">
        <x:v>显示接收范围二次确认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来源（当前证据）：liveshow-proto/MainBasis/统一需求文档.md；位置：第 2236 行；REQ-dfb0280c6c20、第 2239 行；REQ-6caa3d6ba0bd、第 2233 行
2. 规则：BR-864191F1368EFA
3. 未动态验证
4. 示例账号、编号、金额与日期是本条测试数据；执行前按前置条件准备，未填写的产品决策不得自行假定。</x:v>
      </x:c>
    </x:row>
    <x:row r="55" ht="145" customHeight="1">
      <x:c r="A55" s="10" t="n">
        <x:v>54</x:v>
      </x:c>
      <x:c r="B55" s="10" t="str">
        <x:v>GUILD-0054</x:v>
      </x:c>
      <x:c r="C55" s="10" t="str">
        <x:v>运营管理</x:v>
      </x:c>
      <x:c r="D55" s="10" t="str">
        <x:v>新建运营消息（公会长）</x:v>
      </x:c>
      <x:c r="E55" s="10" t="str">
        <x:v>功能需求</x:v>
      </x:c>
      <x:c r="F55" s="10" t="str">
        <x:v>P2</x:v>
      </x:c>
      <x:c r="G55" s="9" t="str">
        <x:v>验证运营消息文字 499 字符</x:v>
      </x:c>
      <x:c r="H55" s="9" t="str">
        <x:v>运营消息文字长度</x:v>
      </x:c>
      <x:c r="I55" s="9" t="str">
        <x:v>1. 公会长为本条执行者
2. 公会甲有当前主播乙和丙，前主播丁已退出</x:v>
      </x:c>
      <x:c r="J55" s="9" t="str">
        <x:v>1. 打开新建运营消息
2. 选择全体主播
3. 输入 499 个“测”
4. 点击发送</x:v>
      </x:c>
      <x:c r="K55" s="9" t="str">
        <x:v>显示接收范围二次确认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来源（当前证据）：liveshow-proto/MainBasis/统一需求文档.md；位置：第 2236 行；REQ-dfb0280c6c20、第 2239 行；REQ-6caa3d6ba0bd、第 2233 行
2. 规则：BR-1AB5D900D79571
3. 未动态验证
4. 示例账号、编号、金额与日期是本条测试数据；执行前按前置条件准备，未填写的产品决策不得自行假定。</x:v>
      </x:c>
    </x:row>
    <x:row r="56" ht="145" customHeight="1">
      <x:c r="A56" s="10" t="n">
        <x:v>55</x:v>
      </x:c>
      <x:c r="B56" s="10" t="str">
        <x:v>GUILD-0055</x:v>
      </x:c>
      <x:c r="C56" s="10" t="str">
        <x:v>运营管理</x:v>
      </x:c>
      <x:c r="D56" s="10" t="str">
        <x:v>新建运营消息（公会长）</x:v>
      </x:c>
      <x:c r="E56" s="10" t="str">
        <x:v>功能需求</x:v>
      </x:c>
      <x:c r="F56" s="10" t="str">
        <x:v>P2</x:v>
      </x:c>
      <x:c r="G56" s="9" t="str">
        <x:v>验证运营消息文字 500 字符</x:v>
      </x:c>
      <x:c r="H56" s="9" t="str">
        <x:v>运营消息文字长度</x:v>
      </x:c>
      <x:c r="I56" s="9" t="str">
        <x:v>1. 公会长为本条执行者
2. 公会甲有当前主播乙和丙，前主播丁已退出</x:v>
      </x:c>
      <x:c r="J56" s="9" t="str">
        <x:v>1. 打开新建运营消息
2. 选择全体主播
3. 输入 500 个“测”
4. 点击发送</x:v>
      </x:c>
      <x:c r="K56" s="9" t="str">
        <x:v>显示接收范围二次确认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 2236 行；REQ-dfb0280c6c20、第 2239 行；REQ-6caa3d6ba0bd、第 2233 行
2. 规则：BR-DFC3850FF42F8D
3. 未动态验证
4. 示例账号、编号、金额与日期是本条测试数据；执行前按前置条件准备，未填写的产品决策不得自行假定。</x:v>
      </x:c>
    </x:row>
    <x:row r="57" ht="145" customHeight="1">
      <x:c r="A57" s="10" t="n">
        <x:v>56</x:v>
      </x:c>
      <x:c r="B57" s="10" t="str">
        <x:v>GUILD-0056</x:v>
      </x:c>
      <x:c r="C57" s="10" t="str">
        <x:v>运营管理</x:v>
      </x:c>
      <x:c r="D57" s="10" t="str">
        <x:v>新建运营消息（公会长）</x:v>
      </x:c>
      <x:c r="E57" s="10" t="str">
        <x:v>功能需求</x:v>
      </x:c>
      <x:c r="F57" s="10" t="str">
        <x:v>P2</x:v>
      </x:c>
      <x:c r="G57" s="9" t="str">
        <x:v>验证运营消息文字 501 字符</x:v>
      </x:c>
      <x:c r="H57" s="9" t="str">
        <x:v>运营消息文字长度</x:v>
      </x:c>
      <x:c r="I57" s="9" t="str">
        <x:v>1. 公会长为本条执行者
2. 公会甲有当前主播乙和丙，前主播丁已退出</x:v>
      </x:c>
      <x:c r="J57" s="9" t="str">
        <x:v>1. 打开新建运营消息
2. 选择全体主播
3. 输入 501 个“测”
4. 点击发送</x:v>
      </x:c>
      <x:c r="K57" s="9" t="str">
        <x:v>未进入接收范围确认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来源（当前证据）：liveshow-proto/MainBasis/统一需求文档.md；位置：第 2236 行；REQ-dfb0280c6c20、第 2239 行；REQ-6caa3d6ba0bd、第 2233 行
2. 规则：BR-71D50E582E7413
3. 未动态验证
4. 示例账号、编号、金额与日期是本条测试数据；执行前按前置条件准备，未填写的产品决策不得自行假定。</x:v>
      </x:c>
    </x:row>
    <x:row r="58" ht="130" customHeight="1">
      <x:c r="A58" s="10" t="n">
        <x:v>57</x:v>
      </x:c>
      <x:c r="B58" s="10" t="str">
        <x:v>GUILD-0057</x:v>
      </x:c>
      <x:c r="C58" s="10" t="str">
        <x:v>运营管理</x:v>
      </x:c>
      <x:c r="D58" s="10" t="str">
        <x:v>新建运营消息（公会长）</x:v>
      </x:c>
      <x:c r="E58" s="10" t="str">
        <x:v>功能需求</x:v>
      </x:c>
      <x:c r="F58" s="10" t="str">
        <x:v>P2</x:v>
      </x:c>
      <x:c r="G58" s="9" t="str">
        <x:v>验证运营消息附带 JPG 图片</x:v>
      </x:c>
      <x:c r="H58" s="9" t="str">
        <x:v>运营消息图片格式</x:v>
      </x:c>
      <x:c r="I58" s="9" t="str">
        <x:v>1. 公会长为本条执行者
2. 公会甲有当前主播乙和丙，前主播丁已退出</x:v>
      </x:c>
      <x:c r="J58" s="9" t="str">
        <x:v>1. 打开新建运营消息
2. 选择全体主播
3. 输入“公会运营测试”
4. 上传一张 JPG 测试图片</x:v>
      </x:c>
      <x:c r="K58" s="9" t="str">
        <x:v>显示所选图片预览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 2237 行；REQ-e5b4036c1c77、第 2233 行
2. 规则：BR-42CEECEF00B638
3. 未动态验证
4. 示例账号、编号、金额与日期是本条测试数据；执行前按前置条件准备，未填写的产品决策不得自行假定。</x:v>
      </x:c>
    </x:row>
    <x:row r="59" ht="130" customHeight="1">
      <x:c r="A59" s="10" t="n">
        <x:v>58</x:v>
      </x:c>
      <x:c r="B59" s="10" t="str">
        <x:v>GUILD-0058</x:v>
      </x:c>
      <x:c r="C59" s="10" t="str">
        <x:v>运营管理</x:v>
      </x:c>
      <x:c r="D59" s="10" t="str">
        <x:v>新建运营消息（公会长）</x:v>
      </x:c>
      <x:c r="E59" s="10" t="str">
        <x:v>功能需求</x:v>
      </x:c>
      <x:c r="F59" s="10" t="str">
        <x:v>P2</x:v>
      </x:c>
      <x:c r="G59" s="9" t="str">
        <x:v>验证运营消息附带 PNG 图片</x:v>
      </x:c>
      <x:c r="H59" s="9" t="str">
        <x:v>运营消息图片格式</x:v>
      </x:c>
      <x:c r="I59" s="9" t="str">
        <x:v>1. 公会长为本条执行者
2. 公会甲有当前主播乙和丙，前主播丁已退出</x:v>
      </x:c>
      <x:c r="J59" s="9" t="str">
        <x:v>1. 打开新建运营消息
2. 选择全体主播
3. 输入“公会运营测试”
4. 上传一张 PNG 测试图片</x:v>
      </x:c>
      <x:c r="K59" s="9" t="str">
        <x:v>显示所选图片预览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来源（当前证据）：liveshow-proto/MainBasis/统一需求文档.md；位置：第 2237 行；REQ-e5b4036c1c77、第 2233 行
2. 规则：BR-D69655ABD9A470
3. 未动态验证
4. 示例账号、编号、金额与日期是本条测试数据；执行前按前置条件准备，未填写的产品决策不得自行假定。</x:v>
      </x:c>
    </x:row>
    <x:row r="60" ht="130" customHeight="1">
      <x:c r="A60" s="10" t="n">
        <x:v>59</x:v>
      </x:c>
      <x:c r="B60" s="10" t="str">
        <x:v>GUILD-0059</x:v>
      </x:c>
      <x:c r="C60" s="10" t="str">
        <x:v>运营管理</x:v>
      </x:c>
      <x:c r="D60" s="10" t="str">
        <x:v>新建运营消息（公会长）</x:v>
      </x:c>
      <x:c r="E60" s="10" t="str">
        <x:v>功能需求</x:v>
      </x:c>
      <x:c r="F60" s="10" t="str">
        <x:v>P2</x:v>
      </x:c>
      <x:c r="G60" s="9" t="str">
        <x:v>验证运营消息附带 WebP 图片</x:v>
      </x:c>
      <x:c r="H60" s="9" t="str">
        <x:v>运营消息图片格式</x:v>
      </x:c>
      <x:c r="I60" s="9" t="str">
        <x:v>1. 公会长为本条执行者
2. 公会甲有当前主播乙和丙，前主播丁已退出</x:v>
      </x:c>
      <x:c r="J60" s="9" t="str">
        <x:v>1. 打开新建运营消息
2. 选择全体主播
3. 输入“公会运营测试”
4. 上传一张 WebP 测试图片</x:v>
      </x:c>
      <x:c r="K60" s="9" t="str">
        <x:v>显示所选图片预览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来源（当前证据）：liveshow-proto/MainBasis/统一需求文档.md；位置：第 2237 行；REQ-e5b4036c1c77、第 2233 行
2. 规则：BR-872C1D15158294
3. 未动态验证
4. 示例账号、编号、金额与日期是本条测试数据；执行前按前置条件准备，未填写的产品决策不得自行假定。</x:v>
      </x:c>
    </x:row>
    <x:row r="61" ht="160" customHeight="1">
      <x:c r="A61" s="10" t="n">
        <x:v>60</x:v>
      </x:c>
      <x:c r="B61" s="10" t="str">
        <x:v>GUILD-0060</x:v>
      </x:c>
      <x:c r="C61" s="10" t="str">
        <x:v>运营管理</x:v>
      </x:c>
      <x:c r="D61" s="10" t="str">
        <x:v>新建运营消息（公会长）</x:v>
      </x:c>
      <x:c r="E61" s="10" t="str">
        <x:v>功能需求</x:v>
      </x:c>
      <x:c r="F61" s="10" t="str">
        <x:v>P2</x:v>
      </x:c>
      <x:c r="G61" s="9" t="str">
        <x:v>验证运营消息仅发送给当前主播</x:v>
      </x:c>
      <x:c r="H61" s="9" t="str">
        <x:v>运营消息接收范围</x:v>
      </x:c>
      <x:c r="I61" s="9" t="str">
        <x:v>1. 公会长为本条执行者
2. 公会甲有当前主播乙和丙，前主播丁已退出</x:v>
      </x:c>
      <x:c r="J61" s="9" t="str">
        <x:v>1. 打开新建运营消息
2. 选择全体主播
3. 输入“公会运营测试”
4. 点击发送</x:v>
      </x:c>
      <x:c r="K61" s="9" t="str">
        <x:v>确认接收人数为 2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 2234 行；REQ-61631c2a73b0、第 2235 行；REQ-6e882aec84a0、第 2236 行；REQ-dfb0280c6c20、第 2233 行
2. 规则：BR-4CCC414F7B23C9
3. 未动态验证
4. 示例账号、编号、金额与日期是本条测试数据；执行前按前置条件准备，未填写的产品决策不得自行假定。</x:v>
      </x:c>
    </x:row>
    <x:row r="62" ht="160" customHeight="1">
      <x:c r="A62" s="10" t="n">
        <x:v>61</x:v>
      </x:c>
      <x:c r="B62" s="10" t="str">
        <x:v>GUILD-0061</x:v>
      </x:c>
      <x:c r="C62" s="10" t="str">
        <x:v>运营管理</x:v>
      </x:c>
      <x:c r="D62" s="10" t="str">
        <x:v>新建运营消息（公会长）</x:v>
      </x:c>
      <x:c r="E62" s="10" t="str">
        <x:v>功能需求</x:v>
      </x:c>
      <x:c r="F62" s="10" t="str">
        <x:v>P2</x:v>
      </x:c>
      <x:c r="G62" s="9" t="str">
        <x:v>验证确认运营消息生成记录</x:v>
      </x:c>
      <x:c r="H62" s="9" t="str">
        <x:v>运营消息发送记录</x:v>
      </x:c>
      <x:c r="I62" s="9" t="str">
        <x:v>1. 公会长为本条执行者
2. 公会甲有当前主播乙和丙，前主播丁已退出</x:v>
      </x:c>
      <x:c r="J62" s="9" t="str">
        <x:v>1. 打开新建运营消息
2. 选择全体主播
3. 输入“公会运营测试”
4. 点击发送
5. 确认接收范围</x:v>
      </x:c>
      <x:c r="K62" s="9" t="str">
        <x:v>运营消息列表新增“公会运营测试”记录</x:v>
      </x:c>
      <x:c r="L62" s="10" t="str">
        <x:v>FLOW-62C3136D</x:v>
      </x:c>
      <x:c r="M62" s="10" t="str">
        <x:v>未测</x:v>
      </x:c>
      <x:c r="N62" s="10" t="str"/>
      <x:c r="O62" s="9" t="str">
        <x:v>1. 来源（当前证据）：liveshow-proto/MainBasis/统一需求文档.md；位置：第 2235 行；REQ-6e882aec84a0、第 2238 行；REQ-b23c987807fa、第 2239 行；REQ-6caa3d6ba0bd、第 2233 行
2. 规则：BR-852A8ABA10CD8B
3. 未动态验证
4. 示例账号、编号、金额与日期是本条测试数据；执行前按前置条件准备，未填写的产品决策不得自行假定。</x:v>
      </x:c>
    </x:row>
    <x:row r="63" ht="175" customHeight="1">
      <x:c r="A63" s="10" t="n">
        <x:v>62</x:v>
      </x:c>
      <x:c r="B63" s="10" t="str">
        <x:v>GUILD-0062</x:v>
      </x:c>
      <x:c r="C63" s="10" t="str">
        <x:v>运营管理</x:v>
      </x:c>
      <x:c r="D63" s="10" t="str">
        <x:v>运营消息详情（公会长）</x:v>
      </x:c>
      <x:c r="E63" s="10" t="str">
        <x:v>功能需求</x:v>
      </x:c>
      <x:c r="F63" s="10" t="str">
        <x:v>P2</x:v>
      </x:c>
      <x:c r="G63" s="9" t="str">
        <x:v>验证接收人退会不改变消息历史快照</x:v>
      </x:c>
      <x:c r="H63" s="9" t="str">
        <x:v>历史接收人数</x:v>
      </x:c>
      <x:c r="I63" s="9" t="str">
        <x:v>1. 公会长为本条执行者
2. 消息 M001 发送时接收人为乙和丙，共 2 人，正文“公会运营测试”；丙在发送后退会</x:v>
      </x:c>
      <x:c r="J63" s="9" t="str">
        <x:v>1. 打开 M001 运营消息详情</x:v>
      </x:c>
      <x:c r="K63" s="9" t="str">
        <x:v>接收人数仍为 2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 2252 行；REQ-eb1fe01e4d16、第 2253 行；REQ-1ff8b13ac737、第 2258 行；REQ-84d09063cc5c、第 2238 行；REQ-b23c987807fa、第 2251 行
2. 规则：BR-4DA8BECE328A4F
3. 未动态验证
4. 示例账号、编号、金额与日期是本条测试数据；执行前按前置条件准备，未填写的产品决策不得自行假定。</x:v>
      </x:c>
    </x:row>
    <x:row r="64" ht="175" customHeight="1">
      <x:c r="A64" s="10" t="n">
        <x:v>63</x:v>
      </x:c>
      <x:c r="B64" s="10" t="str">
        <x:v>GUILD-0063</x:v>
      </x:c>
      <x:c r="C64" s="10" t="str">
        <x:v>运营管理</x:v>
      </x:c>
      <x:c r="D64" s="10" t="str">
        <x:v>运营消息详情（公会长）</x:v>
      </x:c>
      <x:c r="E64" s="10" t="str">
        <x:v>功能需求</x:v>
      </x:c>
      <x:c r="F64" s="10" t="str">
        <x:v>P2</x:v>
      </x:c>
      <x:c r="G64" s="9" t="str">
        <x:v>验证接收人退会不改变消息历史快照</x:v>
      </x:c>
      <x:c r="H64" s="9" t="str">
        <x:v>历史接收人</x:v>
      </x:c>
      <x:c r="I64" s="9" t="str">
        <x:v>1. 公会长为本条执行者
2. 消息 M001 发送时接收人为乙和丙，共 2 人，正文“公会运营测试”；丙在发送后退会</x:v>
      </x:c>
      <x:c r="J64" s="9" t="str">
        <x:v>1. 打开 M001 运营消息详情</x:v>
      </x:c>
      <x:c r="K64" s="9" t="str">
        <x:v>接收人中仍有丙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 2252 行；REQ-eb1fe01e4d16、第 2253 行；REQ-1ff8b13ac737、第 2258 行；REQ-84d09063cc5c、第 2238 行；REQ-b23c987807fa、第 2251 行
2. 规则：BR-9614A0EDDA1DE2
3. 未动态验证
4. 示例账号、编号、金额与日期是本条测试数据；执行前按前置条件准备，未填写的产品决策不得自行假定。</x:v>
      </x:c>
    </x:row>
    <x:row r="65" ht="175" customHeight="1">
      <x:c r="A65" s="10" t="n">
        <x:v>64</x:v>
      </x:c>
      <x:c r="B65" s="10" t="str">
        <x:v>GUILD-0064</x:v>
      </x:c>
      <x:c r="C65" s="10" t="str">
        <x:v>运营管理</x:v>
      </x:c>
      <x:c r="D65" s="10" t="str">
        <x:v>运营消息详情（公会长）</x:v>
      </x:c>
      <x:c r="E65" s="10" t="str">
        <x:v>功能需求</x:v>
      </x:c>
      <x:c r="F65" s="10" t="str">
        <x:v>P2</x:v>
      </x:c>
      <x:c r="G65" s="9" t="str">
        <x:v>验证接收人退会不改变消息历史快照</x:v>
      </x:c>
      <x:c r="H65" s="9" t="str">
        <x:v>消息详情不可撤回</x:v>
      </x:c>
      <x:c r="I65" s="9" t="str">
        <x:v>1. 公会长为本条执行者
2. 消息 M001 发送时接收人为乙和丙，共 2 人，正文“公会运营测试”；丙在发送后退会</x:v>
      </x:c>
      <x:c r="J65" s="9" t="str">
        <x:v>1. 打开 M001 运营消息详情</x:v>
      </x:c>
      <x:c r="K65" s="9" t="str">
        <x:v>详情不提供编辑或撤回操作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来源（当前证据）：liveshow-proto/MainBasis/统一需求文档.md；位置：第 2252 行；REQ-eb1fe01e4d16、第 2253 行；REQ-1ff8b13ac737、第 2258 行；REQ-84d09063cc5c、第 2238 行；REQ-b23c987807fa、第 2251 行
2. 规则：BR-BAC6A0473A1D62
3. 未动态验证
4. 示例账号、编号、金额与日期是本条测试数据；执行前按前置条件准备，未填写的产品决策不得自行假定。</x:v>
      </x:c>
    </x:row>
    <x:row r="66" ht="145" customHeight="1">
      <x:c r="A66" s="10" t="n">
        <x:v>65</x:v>
      </x:c>
      <x:c r="B66" s="10" t="str">
        <x:v>GUILD-0065</x:v>
      </x:c>
      <x:c r="C66" s="10" t="str">
        <x:v>运营管理</x:v>
      </x:c>
      <x:c r="D66" s="10" t="str">
        <x:v>选择主播（公会长）</x:v>
      </x:c>
      <x:c r="E66" s="10" t="str">
        <x:v>功能需求</x:v>
      </x:c>
      <x:c r="F66" s="10" t="str">
        <x:v>P2</x:v>
      </x:c>
      <x:c r="G66" s="9" t="str">
        <x:v>验证指定主播用乙搜索</x:v>
      </x:c>
      <x:c r="H66" s="9" t="str">
        <x:v>当前公会主播检索</x:v>
      </x:c>
      <x:c r="I66" s="9" t="str">
        <x:v>1. 公会长为本条执行者
2. 公会甲当前主播乙 ID 1001、丙 ID 1002，其他公会有主播丁</x:v>
      </x:c>
      <x:c r="J66" s="9" t="str">
        <x:v>1. 打开选择主播
2. 输入搜索词 乙</x:v>
      </x:c>
      <x:c r="K66" s="9" t="str">
        <x:v>结果包含主播乙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 2243 行；REQ-72f407f193bf、第 2244 行；REQ-ffef8c8a4d81、第 2242 行
2. 规则：BR-CE3E87B6648D8E
3. 未动态验证
4. 示例账号、编号、金额与日期是本条测试数据；执行前按前置条件准备，未填写的产品决策不得自行假定。</x:v>
      </x:c>
    </x:row>
    <x:row r="67" ht="145" customHeight="1">
      <x:c r="A67" s="10" t="n">
        <x:v>66</x:v>
      </x:c>
      <x:c r="B67" s="10" t="str">
        <x:v>GUILD-0066</x:v>
      </x:c>
      <x:c r="C67" s="10" t="str">
        <x:v>运营管理</x:v>
      </x:c>
      <x:c r="D67" s="10" t="str">
        <x:v>选择主播（公会长）</x:v>
      </x:c>
      <x:c r="E67" s="10" t="str">
        <x:v>功能需求</x:v>
      </x:c>
      <x:c r="F67" s="10" t="str">
        <x:v>P2</x:v>
      </x:c>
      <x:c r="G67" s="9" t="str">
        <x:v>验证指定主播用1001搜索</x:v>
      </x:c>
      <x:c r="H67" s="9" t="str">
        <x:v>当前公会主播检索</x:v>
      </x:c>
      <x:c r="I67" s="9" t="str">
        <x:v>1. 公会长为本条执行者
2. 公会甲当前主播乙 ID 1001、丙 ID 1002，其他公会有主播丁</x:v>
      </x:c>
      <x:c r="J67" s="9" t="str">
        <x:v>1. 打开选择主播
2. 输入搜索词 1001</x:v>
      </x:c>
      <x:c r="K67" s="9" t="str">
        <x:v>结果包含主播乙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 2243 行；REQ-72f407f193bf、第 2244 行；REQ-ffef8c8a4d81、第 2242 行
2. 规则：BR-03BFA787D82783
3. 未动态验证
4. 示例账号、编号、金额与日期是本条测试数据；执行前按前置条件准备，未填写的产品决策不得自行假定。</x:v>
      </x:c>
    </x:row>
    <x:row r="68" ht="130" customHeight="1">
      <x:c r="A68" s="10" t="n">
        <x:v>67</x:v>
      </x:c>
      <x:c r="B68" s="10" t="str">
        <x:v>GUILD-0067</x:v>
      </x:c>
      <x:c r="C68" s="10" t="str">
        <x:v>运营管理</x:v>
      </x:c>
      <x:c r="D68" s="10" t="str">
        <x:v>选择主播（公会长）</x:v>
      </x:c>
      <x:c r="E68" s="10" t="str">
        <x:v>功能需求</x:v>
      </x:c>
      <x:c r="F68" s="10" t="str">
        <x:v>P2</x:v>
      </x:c>
      <x:c r="G68" s="9" t="str">
        <x:v>验证运营消息只能指定一名主播</x:v>
      </x:c>
      <x:c r="H68" s="9" t="str">
        <x:v>指定主播单选</x:v>
      </x:c>
      <x:c r="I68" s="9" t="str">
        <x:v>1. 公会长为本条执行者
2. 公会甲当前主播乙 ID 1001、丙 ID 1002，其他公会有主播丁</x:v>
      </x:c>
      <x:c r="J68" s="9" t="str">
        <x:v>1. 打开选择主播
2. 选择主播乙
3. 选择主播丙</x:v>
      </x:c>
      <x:c r="K68" s="9" t="str">
        <x:v>只有主播丙处于选中状态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 2247 行；REQ-0d20da6a1fa9、第 2242 行
2. 规则：BR-F4107934A0D03D
3. 未动态验证
4. 示例账号、编号、金额与日期是本条测试数据；执行前按前置条件准备，未填写的产品决策不得自行假定。</x:v>
      </x:c>
    </x:row>
    <x:row r="69" ht="130" customHeight="1">
      <x:c r="A69" s="10" t="n">
        <x:v>68</x:v>
      </x:c>
      <x:c r="B69" s="10" t="str">
        <x:v>GUILD-0068</x:v>
      </x:c>
      <x:c r="C69" s="10" t="str">
        <x:v>运营管理</x:v>
      </x:c>
      <x:c r="D69" s="10" t="str">
        <x:v>选择主播（公会长）</x:v>
      </x:c>
      <x:c r="E69" s="10" t="str">
        <x:v>功能需求</x:v>
      </x:c>
      <x:c r="F69" s="10" t="str">
        <x:v>P2</x:v>
      </x:c>
      <x:c r="G69" s="9" t="str">
        <x:v>验证没有选择主播不能完成</x:v>
      </x:c>
      <x:c r="H69" s="9" t="str">
        <x:v>指定主播必选</x:v>
      </x:c>
      <x:c r="I69" s="9" t="str">
        <x:v>1. 公会长为本条执行者
2. 公会甲当前主播乙 ID 1001、丙 ID 1002，其他公会有主播丁</x:v>
      </x:c>
      <x:c r="J69" s="9" t="str">
        <x:v>1. 打开选择主播
2. 点击完成</x:v>
      </x:c>
      <x:c r="K69" s="9" t="str">
        <x:v>提示选择主播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 2248 行；REQ-5d699926b257、第 2242 行
2. 规则：BR-F8FC654D2ADB1B
3. 未动态验证
4. 示例账号、编号、金额与日期是本条测试数据；执行前按前置条件准备，未填写的产品决策不得自行假定。</x:v>
      </x:c>
    </x:row>
    <x:row r="70" ht="175" customHeight="1">
      <x:c r="A70" s="10" t="n">
        <x:v>69</x:v>
      </x:c>
      <x:c r="B70" s="10" t="str">
        <x:v>GUILD-0069</x:v>
      </x:c>
      <x:c r="C70" s="10" t="str">
        <x:v>运营管理</x:v>
      </x:c>
      <x:c r="D70" s="10" t="str">
        <x:v>创建运营账号（公会长）</x:v>
      </x:c>
      <x:c r="E70" s="10" t="str">
        <x:v>异常用例</x:v>
      </x:c>
      <x:c r="F70" s="10" t="str">
        <x:v>P2</x:v>
      </x:c>
      <x:c r="G70" s="9" t="str">
        <x:v>验证创建运营账号的头像为空</x:v>
      </x:c>
      <x:c r="H70" s="9" t="str">
        <x:v>运营账号头像必填</x:v>
      </x:c>
      <x:c r="I70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70" s="9" t="str">
        <x:v>1. 打开创建运营账号
2. 删除头像
3. 点击确认创建</x:v>
      </x:c>
      <x:c r="K70" s="9" t="str">
        <x:v>未创建运营账号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 2278 行；REQ-29384e98e3e9、第 2279 行；REQ-de8f072dbdee、第 2280 行；REQ-61a40748d370、第 2281 行；REQ-85b9fe5809d5、第 2277 行
2. 规则：BR-2551A88A01BF70
3. 未动态验证
4. 示例账号、编号、金额与日期是本条测试数据；执行前按前置条件准备，未填写的产品决策不得自行假定。</x:v>
      </x:c>
    </x:row>
    <x:row r="71" ht="175" customHeight="1">
      <x:c r="A71" s="10" t="n">
        <x:v>70</x:v>
      </x:c>
      <x:c r="B71" s="10" t="str">
        <x:v>GUILD-0070</x:v>
      </x:c>
      <x:c r="C71" s="10" t="str">
        <x:v>运营管理</x:v>
      </x:c>
      <x:c r="D71" s="10" t="str">
        <x:v>创建运营账号（公会长）</x:v>
      </x:c>
      <x:c r="E71" s="10" t="str">
        <x:v>异常用例</x:v>
      </x:c>
      <x:c r="F71" s="10" t="str">
        <x:v>P2</x:v>
      </x:c>
      <x:c r="G71" s="9" t="str">
        <x:v>验证创建运营账号的名称为空</x:v>
      </x:c>
      <x:c r="H71" s="9" t="str">
        <x:v>运营账号名称必填</x:v>
      </x:c>
      <x:c r="I71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71" s="9" t="str">
        <x:v>1. 打开创建运营账号
2. 清空名称
3. 点击确认创建</x:v>
      </x:c>
      <x:c r="K71" s="9" t="str">
        <x:v>未创建运营账号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 2278 行；REQ-29384e98e3e9、第 2279 行；REQ-de8f072dbdee、第 2280 行；REQ-61a40748d370、第 2281 行；REQ-85b9fe5809d5、第 2277 行
2. 规则：BR-7A8AF28E809CF3
3. 未动态验证
4. 示例账号、编号、金额与日期是本条测试数据；执行前按前置条件准备，未填写的产品决策不得自行假定。</x:v>
      </x:c>
    </x:row>
    <x:row r="72" ht="220" customHeight="1">
      <x:c r="A72" s="10" t="n">
        <x:v>71</x:v>
      </x:c>
      <x:c r="B72" s="10" t="str">
        <x:v>GUILD-0071</x:v>
      </x:c>
      <x:c r="C72" s="10" t="str">
        <x:v>运营管理</x:v>
      </x:c>
      <x:c r="D72" s="10" t="str">
        <x:v>创建运营账号（公会长）</x:v>
      </x:c>
      <x:c r="E72" s="10" t="str">
        <x:v>异常用例</x:v>
      </x:c>
      <x:c r="F72" s="10" t="str">
        <x:v>P2</x:v>
      </x:c>
      <x:c r="G72" s="9" t="str">
        <x:v>验证创建运营账号的账号为空</x:v>
      </x:c>
      <x:c r="H72" s="9" t="str">
        <x:v>运营账号账号必填</x:v>
      </x:c>
      <x:c r="I72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72" s="9" t="str">
        <x:v>1. 打开创建运营账号
2. 清空账号
3. 点击确认创建</x:v>
      </x:c>
      <x:c r="K72" s="9" t="str">
        <x:v>未创建运营账号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 2278 行；REQ-29384e98e3e9、第 2279 行；REQ-de8f072dbdee、第 2280 行；REQ-61a40748d370、第 2281 行；REQ-85b9fe5809d5、第 2282 行；REQ-56080a546b14、第 2284 行；REQ-701086bd886c、第 2285 行；REQ-735a1d24cc32、第 2286 行；REQ-075e0a28916f、第 2277 行
2. 规则：BR-9C9D0ED3104DDA
3. 未动态验证
4. 示例账号、编号、金额与日期是本条测试数据；执行前按前置条件准备，未填写的产品决策不得自行假定。</x:v>
      </x:c>
    </x:row>
    <x:row r="73" ht="175" customHeight="1">
      <x:c r="A73" s="10" t="n">
        <x:v>72</x:v>
      </x:c>
      <x:c r="B73" s="10" t="str">
        <x:v>GUILD-0072</x:v>
      </x:c>
      <x:c r="C73" s="10" t="str">
        <x:v>运营管理</x:v>
      </x:c>
      <x:c r="D73" s="10" t="str">
        <x:v>创建运营账号（公会长）</x:v>
      </x:c>
      <x:c r="E73" s="10" t="str">
        <x:v>异常用例</x:v>
      </x:c>
      <x:c r="F73" s="10" t="str">
        <x:v>P2</x:v>
      </x:c>
      <x:c r="G73" s="9" t="str">
        <x:v>验证创建运营账号的初始密码为空</x:v>
      </x:c>
      <x:c r="H73" s="9" t="str">
        <x:v>运营账号初始密码必填</x:v>
      </x:c>
      <x:c r="I73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73" s="9" t="str">
        <x:v>1. 打开创建运营账号
2. 清空初始密码
3. 点击确认创建</x:v>
      </x:c>
      <x:c r="K73" s="9" t="str">
        <x:v>未创建运营账号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 2278 行；REQ-29384e98e3e9、第 2279 行；REQ-de8f072dbdee、第 2280 行；REQ-61a40748d370、第 2281 行；REQ-85b9fe5809d5、第 2277 行
2. 规则：BR-F1C3C0B7D9BBEE
3. 未动态验证
4. 示例账号、编号、金额与日期是本条测试数据；执行前按前置条件准备，未填写的产品决策不得自行假定。</x:v>
      </x:c>
    </x:row>
    <x:row r="74" ht="130" customHeight="1">
      <x:c r="A74" s="10" t="n">
        <x:v>73</x:v>
      </x:c>
      <x:c r="B74" s="10" t="str">
        <x:v>GUILD-0073</x:v>
      </x:c>
      <x:c r="C74" s="10" t="str">
        <x:v>运营管理</x:v>
      </x:c>
      <x:c r="D74" s="10" t="str">
        <x:v>创建运营账号（公会长）</x:v>
      </x:c>
      <x:c r="E74" s="10" t="str">
        <x:v>功能需求</x:v>
      </x:c>
      <x:c r="F74" s="10" t="str">
        <x:v>P2</x:v>
      </x:c>
      <x:c r="G74" s="9" t="str">
        <x:v>验证运营账号名称为 29 字符</x:v>
      </x:c>
      <x:c r="H74" s="9" t="str">
        <x:v>名称长度上界</x:v>
      </x:c>
      <x:c r="I74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74" s="9" t="str">
        <x:v>1. 打开创建运营账号
2. 输入 29 个字母 a 作为名称
3. 点击确认创建</x:v>
      </x:c>
      <x:c r="K74" s="9" t="str">
        <x:v>运营账号创建成功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 2279 行；REQ-de8f072dbdee、第 2277 行
2. 规则：BR-1D133943C2DC75
3. 未动态验证
4. 示例账号、编号、金额与日期是本条测试数据；执行前按前置条件准备，未填写的产品决策不得自行假定。</x:v>
      </x:c>
    </x:row>
    <x:row r="75" ht="130" customHeight="1">
      <x:c r="A75" s="10" t="n">
        <x:v>74</x:v>
      </x:c>
      <x:c r="B75" s="10" t="str">
        <x:v>GUILD-0074</x:v>
      </x:c>
      <x:c r="C75" s="10" t="str">
        <x:v>运营管理</x:v>
      </x:c>
      <x:c r="D75" s="10" t="str">
        <x:v>创建运营账号（公会长）</x:v>
      </x:c>
      <x:c r="E75" s="10" t="str">
        <x:v>功能需求</x:v>
      </x:c>
      <x:c r="F75" s="10" t="str">
        <x:v>P2</x:v>
      </x:c>
      <x:c r="G75" s="9" t="str">
        <x:v>验证运营账号名称为 30 字符</x:v>
      </x:c>
      <x:c r="H75" s="9" t="str">
        <x:v>名称长度上界</x:v>
      </x:c>
      <x:c r="I75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75" s="9" t="str">
        <x:v>1. 打开创建运营账号
2. 输入 30 个字母 a 作为名称
3. 点击确认创建</x:v>
      </x:c>
      <x:c r="K75" s="9" t="str">
        <x:v>运营账号创建成功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 2279 行；REQ-de8f072dbdee、第 2277 行
2. 规则：BR-5696D439429667
3. 未动态验证
4. 示例账号、编号、金额与日期是本条测试数据；执行前按前置条件准备，未填写的产品决策不得自行假定。</x:v>
      </x:c>
    </x:row>
    <x:row r="76" ht="130" customHeight="1">
      <x:c r="A76" s="10" t="n">
        <x:v>75</x:v>
      </x:c>
      <x:c r="B76" s="10" t="str">
        <x:v>GUILD-0075</x:v>
      </x:c>
      <x:c r="C76" s="10" t="str">
        <x:v>运营管理</x:v>
      </x:c>
      <x:c r="D76" s="10" t="str">
        <x:v>创建运营账号（公会长）</x:v>
      </x:c>
      <x:c r="E76" s="10" t="str">
        <x:v>功能需求</x:v>
      </x:c>
      <x:c r="F76" s="10" t="str">
        <x:v>P2</x:v>
      </x:c>
      <x:c r="G76" s="9" t="str">
        <x:v>验证运营账号名称为 31 字符</x:v>
      </x:c>
      <x:c r="H76" s="9" t="str">
        <x:v>名称长度上界</x:v>
      </x:c>
      <x:c r="I76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76" s="9" t="str">
        <x:v>1. 打开创建运营账号
2. 输入 31 个字母 a 作为名称
3. 点击确认创建</x:v>
      </x:c>
      <x:c r="K76" s="9" t="str">
        <x:v>未使用 31 字符名称创建账号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 2279 行；REQ-de8f072dbdee、第 2277 行
2. 规则：BR-6633A7051EB11D
3. 未动态验证
4. 示例账号、编号、金额与日期是本条测试数据；执行前按前置条件准备，未填写的产品决策不得自行假定。</x:v>
      </x:c>
    </x:row>
    <x:row r="77" ht="175" customHeight="1">
      <x:c r="A77" s="10" t="n">
        <x:v>76</x:v>
      </x:c>
      <x:c r="B77" s="10" t="str">
        <x:v>GUILD-0076</x:v>
      </x:c>
      <x:c r="C77" s="10" t="str">
        <x:v>运营管理</x:v>
      </x:c>
      <x:c r="D77" s="10" t="str">
        <x:v>创建运营账号（公会长）</x:v>
      </x:c>
      <x:c r="E77" s="10" t="str">
        <x:v>功能需求</x:v>
      </x:c>
      <x:c r="F77" s="10" t="str">
        <x:v>P2</x:v>
      </x:c>
      <x:c r="G77" s="9" t="str">
        <x:v>验证运营账号账号为 29 字符</x:v>
      </x:c>
      <x:c r="H77" s="9" t="str">
        <x:v>账号长度上界</x:v>
      </x:c>
      <x:c r="I77" s="9" t="str">
        <x:v>1. 公会长为本条执行者
2. 公会甲未被锁定运营账号管理；登录账号 qa_ops_9001 全平台未使用；头像 ops.png，名称“测试运营”，初始密码 Ops#2026；本次可发额度 100</x:v>
      </x:c>
      <x:c r="J77" s="9" t="str">
        <x:v>1. 打开创建运营账号
2. 输入账号 aaaaaaaaaaaaaaaaa@example.com
3. 点击确认创建</x:v>
      </x:c>
      <x:c r="K77" s="9" t="str">
        <x:v>运营账号创建成功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 2280 行；REQ-61a40748d370、第 2282 行；REQ-56080a546b14、第 2284 行；REQ-701086bd886c、第 2285 行；REQ-735a1d24cc32、第 2286 行；REQ-075e0a28916f、第 2277 行
2. 规则：BR-18463CFBCD812A
3. 未动态验证
4. 示例账号、编号、金额与日期是本条测试数据；执行前按前置条件准备，未填写的产品决策不得自行假定。</x:v>
      </x:c>
    </x:row>
    <x:row r="78" ht="175" customHeight="1">
      <x:c r="A78" s="10" t="n">
        <x:v>77</x:v>
      </x:c>
      <x:c r="B78" s="10" t="str">
        <x:v>GUILD-0077</x:v>
      </x:c>
      <x:c r="C78" s="10" t="str">
        <x:v>运营管理</x:v>
      </x:c>
      <x:c r="D78" s="10" t="str">
        <x:v>创建运营账号（公会长）</x:v>
      </x:c>
      <x:c r="E78" s="10" t="str">
        <x:v>功能需求</x:v>
      </x:c>
      <x:c r="F78" s="10" t="str">
        <x:v>P2</x:v>
      </x:c>
      <x:c r="G78" s="9" t="str">
        <x:v>验证运营账号账号为 30 字符</x:v>
      </x:c>
      <x:c r="H78" s="9" t="str">
        <x:v>账号长度上界</x:v>
      </x:c>
      <x:c r="I78" s="9" t="str">
        <x:v>1. 公会长为本条执行者
2. 公会甲未被锁定运营账号管理；登录账号 qa_ops_9001 全平台未使用；头像 ops.png，名称“测试运营”，初始密码 Ops#2026；本次可发额度 100</x:v>
      </x:c>
      <x:c r="J78" s="9" t="str">
        <x:v>1. 打开创建运营账号
2. 输入账号 aaaaaaaaaaaaaaaaaa@example.com
3. 点击确认创建</x:v>
      </x:c>
      <x:c r="K78" s="9" t="str">
        <x:v>运营账号创建成功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 2280 行；REQ-61a40748d370、第 2282 行；REQ-56080a546b14、第 2284 行；REQ-701086bd886c、第 2285 行；REQ-735a1d24cc32、第 2286 行；REQ-075e0a28916f、第 2277 行
2. 规则：BR-A6B5AD59E774DD
3. 未动态验证
4. 示例账号、编号、金额与日期是本条测试数据；执行前按前置条件准备，未填写的产品决策不得自行假定。</x:v>
      </x:c>
    </x:row>
    <x:row r="79" ht="175" customHeight="1">
      <x:c r="A79" s="10" t="n">
        <x:v>78</x:v>
      </x:c>
      <x:c r="B79" s="10" t="str">
        <x:v>GUILD-0078</x:v>
      </x:c>
      <x:c r="C79" s="10" t="str">
        <x:v>运营管理</x:v>
      </x:c>
      <x:c r="D79" s="10" t="str">
        <x:v>创建运营账号（公会长）</x:v>
      </x:c>
      <x:c r="E79" s="10" t="str">
        <x:v>功能需求</x:v>
      </x:c>
      <x:c r="F79" s="10" t="str">
        <x:v>P2</x:v>
      </x:c>
      <x:c r="G79" s="9" t="str">
        <x:v>验证运营账号账号为 31 字符</x:v>
      </x:c>
      <x:c r="H79" s="9" t="str">
        <x:v>账号长度上界</x:v>
      </x:c>
      <x:c r="I79" s="9" t="str">
        <x:v>1. 公会长为本条执行者
2. 公会甲未被锁定运营账号管理；登录账号 qa_ops_9001 全平台未使用；头像 ops.png，名称“测试运营”，初始密码 Ops#2026；本次可发额度 100</x:v>
      </x:c>
      <x:c r="J79" s="9" t="str">
        <x:v>1. 打开创建运营账号
2. 输入账号 aaaaaaaaaaaaaaaaaaa@example.com
3. 点击确认创建</x:v>
      </x:c>
      <x:c r="K79" s="9" t="str">
        <x:v>未使用 31 字符账号创建账号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 2280 行；REQ-61a40748d370、第 2282 行；REQ-56080a546b14、第 2284 行；REQ-701086bd886c、第 2285 行；REQ-735a1d24cc32、第 2286 行；REQ-075e0a28916f、第 2277 行
2. 规则：BR-6015289B7315B1
3. 未动态验证
4. 示例账号、编号、金额与日期是本条测试数据；执行前按前置条件准备，未填写的产品决策不得自行假定。</x:v>
      </x:c>
    </x:row>
    <x:row r="80" ht="130" customHeight="1">
      <x:c r="A80" s="10" t="n">
        <x:v>79</x:v>
      </x:c>
      <x:c r="B80" s="10" t="str">
        <x:v>GUILD-0079</x:v>
      </x:c>
      <x:c r="C80" s="10" t="str">
        <x:v>运营管理</x:v>
      </x:c>
      <x:c r="D80" s="10" t="str">
        <x:v>创建运营账号（公会长）</x:v>
      </x:c>
      <x:c r="E80" s="10" t="str">
        <x:v>功能需求</x:v>
      </x:c>
      <x:c r="F80" s="10" t="str">
        <x:v>P2</x:v>
      </x:c>
      <x:c r="G80" s="9" t="str">
        <x:v>验证运营账号初始密码 5 位</x:v>
      </x:c>
      <x:c r="H80" s="9" t="str">
        <x:v>运营账号密码最小长度</x:v>
      </x:c>
      <x:c r="I80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0" s="9" t="str">
        <x:v>1. 打开创建运营账号
2. 输入初始密码 AAAAA
3. 点击确认创建</x:v>
      </x:c>
      <x:c r="K80" s="9" t="str">
        <x:v>未创建运营账号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 2281 行；REQ-85b9fe5809d5、第 2277 行
2. 规则：BR-E322BD4B3C2EBA
3. 未动态验证
4. 示例账号、编号、金额与日期是本条测试数据；执行前按前置条件准备，未填写的产品决策不得自行假定。</x:v>
      </x:c>
    </x:row>
    <x:row r="81" ht="130" customHeight="1">
      <x:c r="A81" s="10" t="n">
        <x:v>80</x:v>
      </x:c>
      <x:c r="B81" s="10" t="str">
        <x:v>GUILD-0080</x:v>
      </x:c>
      <x:c r="C81" s="10" t="str">
        <x:v>运营管理</x:v>
      </x:c>
      <x:c r="D81" s="10" t="str">
        <x:v>创建运营账号（公会长）</x:v>
      </x:c>
      <x:c r="E81" s="10" t="str">
        <x:v>功能需求</x:v>
      </x:c>
      <x:c r="F81" s="10" t="str">
        <x:v>P2</x:v>
      </x:c>
      <x:c r="G81" s="9" t="str">
        <x:v>验证运营账号初始密码 6 位</x:v>
      </x:c>
      <x:c r="H81" s="9" t="str">
        <x:v>运营账号密码最小长度</x:v>
      </x:c>
      <x:c r="I81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1" s="9" t="str">
        <x:v>1. 打开创建运营账号
2. 输入初始密码 AAAAAA
3. 点击确认创建</x:v>
      </x:c>
      <x:c r="K81" s="9" t="str">
        <x:v>运营账号创建成功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 2281 行；REQ-85b9fe5809d5、第 2277 行
2. 规则：BR-A9CC8818577989
3. 未动态验证
4. 示例账号、编号、金额与日期是本条测试数据；执行前按前置条件准备，未填写的产品决策不得自行假定。</x:v>
      </x:c>
    </x:row>
    <x:row r="82" ht="130" customHeight="1">
      <x:c r="A82" s="10" t="n">
        <x:v>81</x:v>
      </x:c>
      <x:c r="B82" s="10" t="str">
        <x:v>GUILD-0081</x:v>
      </x:c>
      <x:c r="C82" s="10" t="str">
        <x:v>运营管理</x:v>
      </x:c>
      <x:c r="D82" s="10" t="str">
        <x:v>创建运营账号（公会长）</x:v>
      </x:c>
      <x:c r="E82" s="10" t="str">
        <x:v>功能需求</x:v>
      </x:c>
      <x:c r="F82" s="10" t="str">
        <x:v>P2</x:v>
      </x:c>
      <x:c r="G82" s="9" t="str">
        <x:v>验证运营账号初始密码 7 位</x:v>
      </x:c>
      <x:c r="H82" s="9" t="str">
        <x:v>运营账号密码最小长度</x:v>
      </x:c>
      <x:c r="I82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2" s="9" t="str">
        <x:v>1. 打开创建运营账号
2. 输入初始密码 AAAAAAA
3. 点击确认创建</x:v>
      </x:c>
      <x:c r="K82" s="9" t="str">
        <x:v>运营账号创建成功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 2281 行；REQ-85b9fe5809d5、第 2277 行
2. 规则：BR-FCF05E461B1602
3. 未动态验证
4. 示例账号、编号、金额与日期是本条测试数据；执行前按前置条件准备，未填写的产品决策不得自行假定。</x:v>
      </x:c>
    </x:row>
    <x:row r="83" ht="160" customHeight="1">
      <x:c r="A83" s="10" t="n">
        <x:v>82</x:v>
      </x:c>
      <x:c r="B83" s="10" t="str">
        <x:v>GUILD-0082</x:v>
      </x:c>
      <x:c r="C83" s="10" t="str">
        <x:v>运营管理</x:v>
      </x:c>
      <x:c r="D83" s="10" t="str">
        <x:v>创建运营账号（公会长）</x:v>
      </x:c>
      <x:c r="E83" s="10" t="str">
        <x:v>功能需求</x:v>
      </x:c>
      <x:c r="F83" s="10" t="str">
        <x:v>P1</x:v>
      </x:c>
      <x:c r="G83" s="9" t="str">
        <x:v>验证运营账号初始发放 -1 金币</x:v>
      </x:c>
      <x:c r="H83" s="9" t="str">
        <x:v>创建初始发放边界</x:v>
      </x:c>
      <x:c r="I83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3" s="9" t="str">
        <x:v>1. 打开创建运营账号
2. 输入发放金币 -1
3. 点击确认创建</x:v>
      </x:c>
      <x:c r="K83" s="9" t="str">
        <x:v>未创建运营账号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 2283 行；REQ-de31735abdfb、第 2284 行；REQ-701086bd886c、第 2286 行；REQ-075e0a28916f、第 2277 行
2. 规则：BR-8AF105FF7C67CC
3. 未动态验证
4. 示例账号、编号、金额与日期是本条测试数据；执行前按前置条件准备，未填写的产品决策不得自行假定。</x:v>
      </x:c>
    </x:row>
    <x:row r="84" ht="160" customHeight="1">
      <x:c r="A84" s="10" t="n">
        <x:v>83</x:v>
      </x:c>
      <x:c r="B84" s="10" t="str">
        <x:v>GUILD-0083</x:v>
      </x:c>
      <x:c r="C84" s="10" t="str">
        <x:v>运营管理</x:v>
      </x:c>
      <x:c r="D84" s="10" t="str">
        <x:v>创建运营账号（公会长）</x:v>
      </x:c>
      <x:c r="E84" s="10" t="str">
        <x:v>功能需求</x:v>
      </x:c>
      <x:c r="F84" s="10" t="str">
        <x:v>P1</x:v>
      </x:c>
      <x:c r="G84" s="9" t="str">
        <x:v>验证运营账号初始发放 0 金币</x:v>
      </x:c>
      <x:c r="H84" s="9" t="str">
        <x:v>创建初始发放边界</x:v>
      </x:c>
      <x:c r="I84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4" s="9" t="str">
        <x:v>1. 打开创建运营账号
2. 输入发放金币 0
3. 点击确认创建</x:v>
      </x:c>
      <x:c r="K84" s="9" t="str">
        <x:v>运营账号创建成功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 2283 行；REQ-de31735abdfb、第 2284 行；REQ-701086bd886c、第 2286 行；REQ-075e0a28916f、第 2277 行
2. 规则：BR-BECBB501D32F71
3. 未动态验证
4. 示例账号、编号、金额与日期是本条测试数据；执行前按前置条件准备，未填写的产品决策不得自行假定。</x:v>
      </x:c>
    </x:row>
    <x:row r="85" ht="160" customHeight="1">
      <x:c r="A85" s="10" t="n">
        <x:v>84</x:v>
      </x:c>
      <x:c r="B85" s="10" t="str">
        <x:v>GUILD-0084</x:v>
      </x:c>
      <x:c r="C85" s="10" t="str">
        <x:v>运营管理</x:v>
      </x:c>
      <x:c r="D85" s="10" t="str">
        <x:v>创建运营账号（公会长）</x:v>
      </x:c>
      <x:c r="E85" s="10" t="str">
        <x:v>功能需求</x:v>
      </x:c>
      <x:c r="F85" s="10" t="str">
        <x:v>P1</x:v>
      </x:c>
      <x:c r="G85" s="9" t="str">
        <x:v>验证运营账号初始发放 99 金币</x:v>
      </x:c>
      <x:c r="H85" s="9" t="str">
        <x:v>创建初始发放边界</x:v>
      </x:c>
      <x:c r="I85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5" s="9" t="str">
        <x:v>1. 打开创建运营账号
2. 输入发放金币 99
3. 点击确认创建</x:v>
      </x:c>
      <x:c r="K85" s="9" t="str">
        <x:v>运营账号创建成功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 2283 行；REQ-de31735abdfb、第 2284 行；REQ-701086bd886c、第 2286 行；REQ-075e0a28916f、第 2277 行
2. 规则：BR-519FF621F6907A
3. 未动态验证
4. 示例账号、编号、金额与日期是本条测试数据；执行前按前置条件准备，未填写的产品决策不得自行假定。</x:v>
      </x:c>
    </x:row>
    <x:row r="86" ht="160" customHeight="1">
      <x:c r="A86" s="10" t="n">
        <x:v>85</x:v>
      </x:c>
      <x:c r="B86" s="10" t="str">
        <x:v>GUILD-0085</x:v>
      </x:c>
      <x:c r="C86" s="10" t="str">
        <x:v>运营管理</x:v>
      </x:c>
      <x:c r="D86" s="10" t="str">
        <x:v>创建运营账号（公会长）</x:v>
      </x:c>
      <x:c r="E86" s="10" t="str">
        <x:v>功能需求</x:v>
      </x:c>
      <x:c r="F86" s="10" t="str">
        <x:v>P1</x:v>
      </x:c>
      <x:c r="G86" s="9" t="str">
        <x:v>验证运营账号初始发放 100 金币</x:v>
      </x:c>
      <x:c r="H86" s="9" t="str">
        <x:v>创建初始发放边界</x:v>
      </x:c>
      <x:c r="I86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6" s="9" t="str">
        <x:v>1. 打开创建运营账号
2. 输入发放金币 100
3. 点击确认创建</x:v>
      </x:c>
      <x:c r="K86" s="9" t="str">
        <x:v>运营账号创建成功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 2283 行；REQ-de31735abdfb、第 2284 行；REQ-701086bd886c、第 2286 行；REQ-075e0a28916f、第 2277 行
2. 规则：BR-EB3E6D27BF123E
3. 未动态验证
4. 示例账号、编号、金额与日期是本条测试数据；执行前按前置条件准备，未填写的产品决策不得自行假定。</x:v>
      </x:c>
    </x:row>
    <x:row r="87" ht="160" customHeight="1">
      <x:c r="A87" s="10" t="n">
        <x:v>86</x:v>
      </x:c>
      <x:c r="B87" s="10" t="str">
        <x:v>GUILD-0086</x:v>
      </x:c>
      <x:c r="C87" s="10" t="str">
        <x:v>运营管理</x:v>
      </x:c>
      <x:c r="D87" s="10" t="str">
        <x:v>创建运营账号（公会长）</x:v>
      </x:c>
      <x:c r="E87" s="10" t="str">
        <x:v>功能需求</x:v>
      </x:c>
      <x:c r="F87" s="10" t="str">
        <x:v>P1</x:v>
      </x:c>
      <x:c r="G87" s="9" t="str">
        <x:v>验证运营账号初始发放 101 金币</x:v>
      </x:c>
      <x:c r="H87" s="9" t="str">
        <x:v>创建初始发放边界</x:v>
      </x:c>
      <x:c r="I87" s="9" t="str">
        <x:v>1. 公会长为本条执行者
2. 公会甲未被锁定运营账号管理；登录账号 qa_ops_9001@example.com 全平台未使用；头像 ops.png，名称“测试运营”，初始密码 Ops#2026；本次可发额度 100</x:v>
      </x:c>
      <x:c r="J87" s="9" t="str">
        <x:v>1. 打开创建运营账号
2. 输入发放金币 101
3. 点击确认创建</x:v>
      </x:c>
      <x:c r="K87" s="9" t="str">
        <x:v>未创建运营账号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 2283 行；REQ-de31735abdfb、第 2284 行；REQ-701086bd886c、第 2286 行；REQ-075e0a28916f、第 2277 行
2. 规则：BR-1FD5A47A7C6412
3. 未动态验证
4. 示例账号、编号、金额与日期是本条测试数据；执行前按前置条件准备，未填写的产品决策不得自行假定。</x:v>
      </x:c>
    </x:row>
    <x:row r="88" ht="175" customHeight="1">
      <x:c r="A88" s="10" t="n">
        <x:v>87</x:v>
      </x:c>
      <x:c r="B88" s="10" t="str">
        <x:v>GUILD-0087</x:v>
      </x:c>
      <x:c r="C88" s="10" t="str">
        <x:v>运营管理</x:v>
      </x:c>
      <x:c r="D88" s="10" t="str">
        <x:v>创建运营账号（公会长）</x:v>
      </x:c>
      <x:c r="E88" s="10" t="str">
        <x:v>功能需求</x:v>
      </x:c>
      <x:c r="F88" s="10" t="str">
        <x:v>P1</x:v>
      </x:c>
      <x:c r="G88" s="9" t="str">
        <x:v>验证运营账号登录账号全平台唯一</x:v>
      </x:c>
      <x:c r="H88" s="9" t="str">
        <x:v>运营账号全局唯一</x:v>
      </x:c>
      <x:c r="I88" s="9" t="str">
        <x:v>1. 公会长为本条执行者
2. 公会甲未被锁定运营账号管理；登录账号 qa_ops_9001 全平台未使用；头像 ops.png，名称“测试运营”，初始密码 Ops#2026；本次可发额度 100
3. 其他公会已使用 qa_ops_9001</x:v>
      </x:c>
      <x:c r="J88" s="9" t="str">
        <x:v>1. 打开创建运营账号
2. 输入账号 qa_ops_9001
3. 点击确认创建</x:v>
      </x:c>
      <x:c r="K88" s="9" t="str">
        <x:v>未创建第二个 qa_ops_9001 账号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来源（当前证据）：liveshow-proto/MainBasis/统一需求文档.md；位置：第 2280 行；REQ-61a40748d370、第 2282 行；REQ-56080a546b14、第 2284 行；REQ-701086bd886c、第 2285 行；REQ-735a1d24cc32、第 2286 行；REQ-075e0a28916f、第 2277 行
2. 规则：BR-48793B0F133B0B
3. 未动态验证
4. 示例账号、编号、金额与日期是本条测试数据；执行前按前置条件准备，未填写的产品决策不得自行假定。</x:v>
      </x:c>
    </x:row>
    <x:row r="89" ht="130" customHeight="1">
      <x:c r="A89" s="10" t="n">
        <x:v>88</x:v>
      </x:c>
      <x:c r="B89" s="10" t="str">
        <x:v>GUILD-0088</x:v>
      </x:c>
      <x:c r="C89" s="10" t="str">
        <x:v>运营管理</x:v>
      </x:c>
      <x:c r="D89" s="10" t="str">
        <x:v>运营账号主页（公会长）</x:v>
      </x:c>
      <x:c r="E89" s="10" t="str">
        <x:v>功能需求</x:v>
      </x:c>
      <x:c r="F89" s="10" t="str">
        <x:v>P2</x:v>
      </x:c>
      <x:c r="G89" s="9" t="str">
        <x:v>验证发放上限取两个剩余额度较小值</x:v>
      </x:c>
      <x:c r="H89" s="9" t="str">
        <x:v>可发上限</x:v>
      </x:c>
      <x:c r="I89" s="9" t="str">
        <x:v>1. 公会长为本条执行者
2. 公会甲运营账号 O001 可用，虚拟余额 100，账号本月剩余额度 200、公会本月剩余额度 150</x:v>
      </x:c>
      <x:c r="J89" s="9" t="str">
        <x:v>1. 打开 O001 运营账号主页
2. 查看可发上限</x:v>
      </x:c>
      <x:c r="K89" s="9" t="str">
        <x:v>可发上限 = 150 金币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来源（当前证据）：liveshow-proto/MainBasis/统一需求文档.md；位置：第 2305 行；REQ-43f3dfaba8d2、第 2289 行
2. 规则：BR-88F6162D9C7822
3. 未动态验证
4. 示例账号、编号、金额与日期是本条测试数据；执行前按前置条件准备，未填写的产品决策不得自行假定。</x:v>
      </x:c>
    </x:row>
    <x:row r="90" ht="220" customHeight="1">
      <x:c r="A90" s="10" t="n">
        <x:v>89</x:v>
      </x:c>
      <x:c r="B90" s="10" t="str">
        <x:v>GUILD-0089</x:v>
      </x:c>
      <x:c r="C90" s="10" t="str">
        <x:v>运营管理</x:v>
      </x:c>
      <x:c r="D90" s="10" t="str">
        <x:v>运营账号主页（公会长）</x:v>
      </x:c>
      <x:c r="E90" s="10" t="str">
        <x:v>功能需求</x:v>
      </x:c>
      <x:c r="F90" s="10" t="str">
        <x:v>P2</x:v>
      </x:c>
      <x:c r="G90" s="9" t="str">
        <x:v>验证可发150时发放 149</x:v>
      </x:c>
      <x:c r="H90" s="9" t="str">
        <x:v>虚拟金币余额</x:v>
      </x:c>
      <x:c r="I90" s="9" t="str">
        <x:v>1. 公会长为本条执行者
2. 公会甲运营账号 O001 可用，虚拟余额 100，账号本月剩余额度 200、公会本月剩余额度 150</x:v>
      </x:c>
      <x:c r="J90" s="9" t="str">
        <x:v>1. 打开 O001 运营账号主页
2. 输入发放数量 149
3. 确认发放</x:v>
      </x:c>
      <x:c r="K90" s="9" t="str">
        <x:v>虚拟金币余额 = 249 金币</x:v>
      </x:c>
      <x:c r="L90" s="10" t="str">
        <x:v>FLOW-E6B5F087</x:v>
      </x:c>
      <x:c r="M90" s="10" t="str">
        <x:v>未测</x:v>
      </x:c>
      <x:c r="N90" s="10" t="str"/>
      <x:c r="O90" s="9" t="str">
        <x:v>1. 来源（当前证据）：liveshow-proto/MainBasis/统一需求文档.md；位置：第 2297 行；REQ-32378557ba74、第 2298 行；REQ-cdac02520c9e、第 2300 行；REQ-6187fe048a35、第 2302 行；REQ-2fa9a7ac1d2e、第 2303 行；REQ-722c17a54831、第 2304 行；REQ-805cf44f6817、第 2305 行；REQ-43f3dfaba8d2、第 2306 行；REQ-3cb9a733a5b0、第 2289 行
2. 规则：BR-8957C63B351DF1
3. 未动态验证
4. 示例账号、编号、金额与日期是本条测试数据；执行前按前置条件准备，未填写的产品决策不得自行假定。</x:v>
      </x:c>
    </x:row>
    <x:row r="91" ht="220" customHeight="1">
      <x:c r="A91" s="10" t="n">
        <x:v>90</x:v>
      </x:c>
      <x:c r="B91" s="10" t="str">
        <x:v>GUILD-0090</x:v>
      </x:c>
      <x:c r="C91" s="10" t="str">
        <x:v>运营管理</x:v>
      </x:c>
      <x:c r="D91" s="10" t="str">
        <x:v>运营账号主页（公会长）</x:v>
      </x:c>
      <x:c r="E91" s="10" t="str">
        <x:v>功能需求</x:v>
      </x:c>
      <x:c r="F91" s="10" t="str">
        <x:v>P2</x:v>
      </x:c>
      <x:c r="G91" s="9" t="str">
        <x:v>验证可发150时发放 150</x:v>
      </x:c>
      <x:c r="H91" s="9" t="str">
        <x:v>虚拟金币余额</x:v>
      </x:c>
      <x:c r="I91" s="9" t="str">
        <x:v>1. 公会长为本条执行者
2. 公会甲运营账号 O001 可用，虚拟余额 100，账号本月剩余额度 200、公会本月剩余额度 150</x:v>
      </x:c>
      <x:c r="J91" s="9" t="str">
        <x:v>1. 打开 O001 运营账号主页
2. 输入发放数量 150
3. 确认发放</x:v>
      </x:c>
      <x:c r="K91" s="9" t="str">
        <x:v>虚拟金币余额 = 250 金币</x:v>
      </x:c>
      <x:c r="L91" s="10" t="str">
        <x:v>FLOW-E6B5F087</x:v>
      </x:c>
      <x:c r="M91" s="10" t="str">
        <x:v>未测</x:v>
      </x:c>
      <x:c r="N91" s="10" t="str"/>
      <x:c r="O91" s="9" t="str">
        <x:v>1. 来源（当前证据）：liveshow-proto/MainBasis/统一需求文档.md；位置：第 2297 行；REQ-32378557ba74、第 2298 行；REQ-cdac02520c9e、第 2300 行；REQ-6187fe048a35、第 2302 行；REQ-2fa9a7ac1d2e、第 2303 行；REQ-722c17a54831、第 2304 行；REQ-805cf44f6817、第 2305 行；REQ-43f3dfaba8d2、第 2306 行；REQ-3cb9a733a5b0、第 2289 行
2. 规则：BR-51B995774BC3B7
3. 未动态验证
4. 示例账号、编号、金额与日期是本条测试数据；执行前按前置条件准备，未填写的产品决策不得自行假定。</x:v>
      </x:c>
    </x:row>
    <x:row r="92" ht="220" customHeight="1">
      <x:c r="A92" s="10" t="n">
        <x:v>91</x:v>
      </x:c>
      <x:c r="B92" s="10" t="str">
        <x:v>GUILD-0091</x:v>
      </x:c>
      <x:c r="C92" s="10" t="str">
        <x:v>运营管理</x:v>
      </x:c>
      <x:c r="D92" s="10" t="str">
        <x:v>运营账号主页（公会长）</x:v>
      </x:c>
      <x:c r="E92" s="10" t="str">
        <x:v>功能需求</x:v>
      </x:c>
      <x:c r="F92" s="10" t="str">
        <x:v>P2</x:v>
      </x:c>
      <x:c r="G92" s="9" t="str">
        <x:v>验证可发150时发放 151</x:v>
      </x:c>
      <x:c r="H92" s="9" t="str">
        <x:v>月度可发上限</x:v>
      </x:c>
      <x:c r="I92" s="9" t="str">
        <x:v>1. 公会长为本条执行者
2. 公会甲运营账号 O001 可用，虚拟余额 100，账号本月剩余额度 200、公会本月剩余额度 150</x:v>
      </x:c>
      <x:c r="J92" s="9" t="str">
        <x:v>1. 打开 O001 运营账号主页
2. 输入发放数量 151
3. 确认发放</x:v>
      </x:c>
      <x:c r="K92" s="9" t="str">
        <x:v>未新增发放流水</x:v>
      </x:c>
      <x:c r="L92" s="10" t="str">
        <x:v>FLOW-E6B5F087</x:v>
      </x:c>
      <x:c r="M92" s="10" t="str">
        <x:v>未测</x:v>
      </x:c>
      <x:c r="N92" s="10" t="str"/>
      <x:c r="O92" s="9" t="str">
        <x:v>1. 来源（当前证据）：liveshow-proto/MainBasis/统一需求文档.md；位置：第 2297 行；REQ-32378557ba74、第 2298 行；REQ-cdac02520c9e、第 2300 行；REQ-6187fe048a35、第 2302 行；REQ-2fa9a7ac1d2e、第 2303 行；REQ-722c17a54831、第 2304 行；REQ-805cf44f6817、第 2305 行；REQ-43f3dfaba8d2、第 2306 行；REQ-3cb9a733a5b0、第 2289 行
2. 规则：BR-AE1348952BD538
3. 未动态验证
4. 示例账号、编号、金额与日期是本条测试数据；执行前按前置条件准备，未填写的产品决策不得自行假定。</x:v>
      </x:c>
    </x:row>
    <x:row r="93" ht="160" customHeight="1">
      <x:c r="A93" s="10" t="n">
        <x:v>92</x:v>
      </x:c>
      <x:c r="B93" s="10" t="str">
        <x:v>GUILD-0092</x:v>
      </x:c>
      <x:c r="C93" s="10" t="str">
        <x:v>运营管理</x:v>
      </x:c>
      <x:c r="D93" s="10" t="str">
        <x:v>运营账号主页（公会长）</x:v>
      </x:c>
      <x:c r="E93" s="10" t="str">
        <x:v>功能需求</x:v>
      </x:c>
      <x:c r="F93" s="10" t="str">
        <x:v>P2</x:v>
      </x:c>
      <x:c r="G93" s="9" t="str">
        <x:v>验证平台锁定后公会不能管理运营账号</x:v>
      </x:c>
      <x:c r="H93" s="9" t="str">
        <x:v>锁定后的启停权限</x:v>
      </x:c>
      <x:c r="I93" s="9" t="str">
        <x:v>1. 公会长为本条执行者
2. 公会甲运营账号 O001 可用，虚拟余额 100，账号本月剩余额度 200、公会本月剩余额度 150
3. 平台已锁定公会甲运营账号管理权限</x:v>
      </x:c>
      <x:c r="J93" s="9" t="str">
        <x:v>1. 打开 O001 运营账号主页</x:v>
      </x:c>
      <x:c r="K93" s="9" t="str">
        <x:v>账号启停操作不可用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 2291 行；REQ-85ea55b175e8、第 2292 行；REQ-33d8544cba8f、第 2304 行；REQ-805cf44f6817、第 2289 行
2. 规则：BR-B19B268064D588
3. 未动态验证
4. 示例账号、编号、金额与日期是本条测试数据；执行前按前置条件准备，未填写的产品决策不得自行假定。</x:v>
      </x:c>
    </x:row>
    <x:row r="94" ht="160" customHeight="1">
      <x:c r="A94" s="10" t="n">
        <x:v>93</x:v>
      </x:c>
      <x:c r="B94" s="10" t="str">
        <x:v>GUILD-0093</x:v>
      </x:c>
      <x:c r="C94" s="10" t="str">
        <x:v>运营管理</x:v>
      </x:c>
      <x:c r="D94" s="10" t="str">
        <x:v>运营账号主页（公会长）</x:v>
      </x:c>
      <x:c r="E94" s="10" t="str">
        <x:v>功能需求</x:v>
      </x:c>
      <x:c r="F94" s="10" t="str">
        <x:v>P2</x:v>
      </x:c>
      <x:c r="G94" s="9" t="str">
        <x:v>验证平台锁定后公会不能管理运营账号</x:v>
      </x:c>
      <x:c r="H94" s="9" t="str">
        <x:v>锁定后的发放权限</x:v>
      </x:c>
      <x:c r="I94" s="9" t="str">
        <x:v>1. 公会长为本条执行者
2. 公会甲运营账号 O001 可用，虚拟余额 100，账号本月剩余额度 200、公会本月剩余额度 150
3. 平台已锁定公会甲运营账号管理权限</x:v>
      </x:c>
      <x:c r="J94" s="9" t="str">
        <x:v>1. 打开 O001 运营账号主页</x:v>
      </x:c>
      <x:c r="K94" s="9" t="str">
        <x:v>发放金币操作不可用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 2291 行；REQ-85ea55b175e8、第 2292 行；REQ-33d8544cba8f、第 2304 行；REQ-805cf44f6817、第 2289 行
2. 规则：BR-84679B0CCC2DAF
3. 未动态验证
4. 示例账号、编号、金额与日期是本条测试数据；执行前按前置条件准备，未填写的产品决策不得自行假定。</x:v>
      </x:c>
    </x:row>
    <x:row r="95" ht="130" customHeight="1">
      <x:c r="A95" s="10" t="n">
        <x:v>94</x:v>
      </x:c>
      <x:c r="B95" s="10" t="str">
        <x:v>GUILD-0094</x:v>
      </x:c>
      <x:c r="C95" s="10" t="str">
        <x:v>运营管理</x:v>
      </x:c>
      <x:c r="D95" s="10" t="str">
        <x:v>运营账号主页（公会长）</x:v>
      </x:c>
      <x:c r="E95" s="10" t="str">
        <x:v>功能需求</x:v>
      </x:c>
      <x:c r="F95" s="10" t="str">
        <x:v>P2</x:v>
      </x:c>
      <x:c r="G95" s="9" t="str">
        <x:v>验证禁用运营账号保留余额历史</x:v>
      </x:c>
      <x:c r="H95" s="9" t="str">
        <x:v>禁用后虚拟余额</x:v>
      </x:c>
      <x:c r="I95" s="9" t="str">
        <x:v>1. 公会长为本条执行者
2. 公会甲运营账号 O001 可用，虚拟余额 100，账号本月剩余额度 200、公会本月剩余额度 150</x:v>
      </x:c>
      <x:c r="J95" s="9" t="str">
        <x:v>1. 打开 O001 运营账号主页
2. 禁用账号
3. 确认禁用</x:v>
      </x:c>
      <x:c r="K95" s="9" t="str">
        <x:v>虚拟金币余额仍为 100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 2303 行；REQ-722c17a54831、第 2289 行
2. 规则：BR-A33ACEB43FD2C7
3. 未动态验证
4. 示例账号、编号、金额与日期是本条测试数据；执行前按前置条件准备，未填写的产品决策不得自行假定。</x:v>
      </x:c>
    </x:row>
    <x:row r="96" ht="130" customHeight="1">
      <x:c r="A96" s="10" t="n">
        <x:v>95</x:v>
      </x:c>
      <x:c r="B96" s="10" t="str">
        <x:v>GUILD-0095</x:v>
      </x:c>
      <x:c r="C96" s="10" t="str">
        <x:v>运营管理</x:v>
      </x:c>
      <x:c r="D96" s="10" t="str">
        <x:v>运营账号主页（公会长）</x:v>
      </x:c>
      <x:c r="E96" s="10" t="str">
        <x:v>功能需求</x:v>
      </x:c>
      <x:c r="F96" s="10" t="str">
        <x:v>P2</x:v>
      </x:c>
      <x:c r="G96" s="9" t="str">
        <x:v>验证禁用运营账号保留余额历史</x:v>
      </x:c>
      <x:c r="H96" s="9" t="str">
        <x:v>禁用后历史记录</x:v>
      </x:c>
      <x:c r="I96" s="9" t="str">
        <x:v>1. 公会长为本条执行者
2. 公会甲运营账号 O001 可用，虚拟余额 100，账号本月剩余额度 200、公会本月剩余额度 150</x:v>
      </x:c>
      <x:c r="J96" s="9" t="str">
        <x:v>1. 打开 O001 运营账号主页
2. 禁用账号
3. 确认禁用</x:v>
      </x:c>
      <x:c r="K96" s="9" t="str">
        <x:v>原送礼记录仍可查看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来源（当前证据）：liveshow-proto/MainBasis/统一需求文档.md；位置：第 2303 行；REQ-722c17a54831、第 2289 行
2. 规则：BR-BC481BF5ACB46D
3. 未动态验证
4. 示例账号、编号、金额与日期是本条测试数据；执行前按前置条件准备，未填写的产品决策不得自行假定。</x:v>
      </x:c>
    </x:row>
    <x:row r="97" ht="145" customHeight="1">
      <x:c r="A97" s="10" t="n">
        <x:v>96</x:v>
      </x:c>
      <x:c r="B97" s="10" t="str">
        <x:v>GUILD-0096</x:v>
      </x:c>
      <x:c r="C97" s="10" t="str">
        <x:v>运营管理</x:v>
      </x:c>
      <x:c r="D97" s="10" t="str">
        <x:v>选择运营账号（公会长）</x:v>
      </x:c>
      <x:c r="E97" s="10" t="str">
        <x:v>功能需求</x:v>
      </x:c>
      <x:c r="F97" s="10" t="str">
        <x:v>P2</x:v>
      </x:c>
      <x:c r="G97" s="9" t="str">
        <x:v>验证搜索后全选仍选中全部运营账号</x:v>
      </x:c>
      <x:c r="H97" s="9" t="str">
        <x:v>全选作用范围</x:v>
      </x:c>
      <x:c r="I97" s="9" t="str">
        <x:v>1. 公会长为本条执行者
2. 公会甲有运营账号 O001、O002，名称分别运营甲、运营乙；账号均未选择</x:v>
      </x:c>
      <x:c r="J97" s="9" t="str">
        <x:v>1. 打开选择运营账号
2. 输入运营甲并点击查询
3. 点击全选</x:v>
      </x:c>
      <x:c r="K97" s="9" t="str">
        <x:v>O001 和 O002 均已选择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 2330 行；REQ-a0bb60a7cf49、第 2331 行；REQ-1a233850b6a8、第 2326 行
2. 规则：BR-B7CB23636199C3
3. 未动态验证
4. 示例账号、编号、金额与日期是本条测试数据；执行前按前置条件准备，未填写的产品决策不得自行假定。</x:v>
      </x:c>
    </x:row>
    <x:row r="98" ht="145" customHeight="1">
      <x:c r="A98" s="10" t="n">
        <x:v>97</x:v>
      </x:c>
      <x:c r="B98" s="10" t="str">
        <x:v>GUILD-0097</x:v>
      </x:c>
      <x:c r="C98" s="10" t="str">
        <x:v>运营管理</x:v>
      </x:c>
      <x:c r="D98" s="10" t="str">
        <x:v>选择运营账号（公会长）</x:v>
      </x:c>
      <x:c r="E98" s="10" t="str">
        <x:v>功能需求</x:v>
      </x:c>
      <x:c r="F98" s="10" t="str">
        <x:v>P2</x:v>
      </x:c>
      <x:c r="G98" s="9" t="str">
        <x:v>验证取消全选清空已选账号</x:v>
      </x:c>
      <x:c r="H98" s="9" t="str">
        <x:v>取消全选范围</x:v>
      </x:c>
      <x:c r="I98" s="9" t="str">
        <x:v>1. 公会长为本条执行者
2. 公会甲有运营账号 O001、O002，名称分别运营甲、运营乙；账号均未选择
3. O001 和 O002 已选择</x:v>
      </x:c>
      <x:c r="J98" s="9" t="str">
        <x:v>1. 打开选择运营账号
2. 取消全选</x:v>
      </x:c>
      <x:c r="K98" s="9" t="str">
        <x:v>已选账号数量为 0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来源（当前证据）：liveshow-proto/MainBasis/统一需求文档.md；位置：第 2330 行；REQ-a0bb60a7cf49、第 2331 行；REQ-1a233850b6a8、第 2326 行
2. 规则：BR-58116FC332AFA2
3. 未动态验证
4. 示例账号、编号、金额与日期是本条测试数据；执行前按前置条件准备，未填写的产品决策不得自行假定。</x:v>
      </x:c>
    </x:row>
    <x:row r="99" ht="130" customHeight="1">
      <x:c r="A99" s="10" t="n">
        <x:v>98</x:v>
      </x:c>
      <x:c r="B99" s="10" t="str">
        <x:v>GUILD-0098</x:v>
      </x:c>
      <x:c r="C99" s="10" t="str">
        <x:v>公会设置</x:v>
      </x:c>
      <x:c r="D99" s="10" t="str">
        <x:v>公会资料（公会长）</x:v>
      </x:c>
      <x:c r="E99" s="10" t="str">
        <x:v>功能需求</x:v>
      </x:c>
      <x:c r="F99" s="10" t="str">
        <x:v>P2</x:v>
      </x:c>
      <x:c r="G99" s="9" t="str">
        <x:v>验证公会名称输入 0 字</x:v>
      </x:c>
      <x:c r="H99" s="9" t="str">
        <x:v>公会名称长度范围</x:v>
      </x:c>
      <x:c r="I99" s="9" t="str">
        <x:v>1. 公会长为本条执行者
2. 当前公会为公会甲，名称“原公会名”，简介“原简介”</x:v>
      </x:c>
      <x:c r="J99" s="9" t="str">
        <x:v>1. 打开公会资料
2. 清空公会名称
3. 点击保存</x:v>
      </x:c>
      <x:c r="K99" s="9" t="str">
        <x:v>本次公会资料未保存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来源（当前证据）：liveshow-proto/MainBasis/统一需求文档.md；位置：第 2337 行；REQ-719b170ec807、第 2334 行
2. 规则：BR-06C81259C454BE
3. 未动态验证
4. 示例账号、编号、金额与日期是本条测试数据；执行前按前置条件准备，未填写的产品决策不得自行假定。</x:v>
      </x:c>
    </x:row>
    <x:row r="100" ht="130" customHeight="1">
      <x:c r="A100" s="10" t="n">
        <x:v>99</x:v>
      </x:c>
      <x:c r="B100" s="10" t="str">
        <x:v>GUILD-0099</x:v>
      </x:c>
      <x:c r="C100" s="10" t="str">
        <x:v>公会设置</x:v>
      </x:c>
      <x:c r="D100" s="10" t="str">
        <x:v>公会资料（公会长）</x:v>
      </x:c>
      <x:c r="E100" s="10" t="str">
        <x:v>功能需求</x:v>
      </x:c>
      <x:c r="F100" s="10" t="str">
        <x:v>P2</x:v>
      </x:c>
      <x:c r="G100" s="9" t="str">
        <x:v>验证公会名称输入 1 字</x:v>
      </x:c>
      <x:c r="H100" s="9" t="str">
        <x:v>公会名称长度范围</x:v>
      </x:c>
      <x:c r="I100" s="9" t="str">
        <x:v>1. 公会长为本条执行者
2. 当前公会为公会甲，名称“原公会名”，简介“原简介”</x:v>
      </x:c>
      <x:c r="J100" s="9" t="str">
        <x:v>1. 打开公会资料
2. 输入 1 个“测”作为公会名称
3. 点击保存</x:v>
      </x:c>
      <x:c r="K100" s="9" t="str">
        <x:v>公会名称保存为1 个“测”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 2337 行；REQ-719b170ec807、第 2334 行
2. 规则：BR-2DF7E4926C8E35
3. 未动态验证
4. 示例账号、编号、金额与日期是本条测试数据；执行前按前置条件准备，未填写的产品决策不得自行假定。</x:v>
      </x:c>
    </x:row>
    <x:row r="101" ht="130" customHeight="1">
      <x:c r="A101" s="10" t="n">
        <x:v>100</x:v>
      </x:c>
      <x:c r="B101" s="10" t="str">
        <x:v>GUILD-0100</x:v>
      </x:c>
      <x:c r="C101" s="10" t="str">
        <x:v>公会设置</x:v>
      </x:c>
      <x:c r="D101" s="10" t="str">
        <x:v>公会资料（公会长）</x:v>
      </x:c>
      <x:c r="E101" s="10" t="str">
        <x:v>功能需求</x:v>
      </x:c>
      <x:c r="F101" s="10" t="str">
        <x:v>P2</x:v>
      </x:c>
      <x:c r="G101" s="9" t="str">
        <x:v>验证公会名称输入 40 字</x:v>
      </x:c>
      <x:c r="H101" s="9" t="str">
        <x:v>公会名称长度范围</x:v>
      </x:c>
      <x:c r="I101" s="9" t="str">
        <x:v>1. 公会长为本条执行者
2. 当前公会为公会甲，名称“原公会名”，简介“原简介”</x:v>
      </x:c>
      <x:c r="J101" s="9" t="str">
        <x:v>1. 打开公会资料
2. 输入 40 个“测”作为公会名称
3. 点击保存</x:v>
      </x:c>
      <x:c r="K101" s="9" t="str">
        <x:v>公会名称保存为40 个“测”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 2337 行；REQ-719b170ec807、第 2334 行
2. 规则：BR-F314133FFE98A4
3. 未动态验证
4. 示例账号、编号、金额与日期是本条测试数据；执行前按前置条件准备，未填写的产品决策不得自行假定。</x:v>
      </x:c>
    </x:row>
    <x:row r="102" ht="130" customHeight="1">
      <x:c r="A102" s="10" t="n">
        <x:v>101</x:v>
      </x:c>
      <x:c r="B102" s="10" t="str">
        <x:v>GUILD-0101</x:v>
      </x:c>
      <x:c r="C102" s="10" t="str">
        <x:v>公会设置</x:v>
      </x:c>
      <x:c r="D102" s="10" t="str">
        <x:v>公会资料（公会长）</x:v>
      </x:c>
      <x:c r="E102" s="10" t="str">
        <x:v>功能需求</x:v>
      </x:c>
      <x:c r="F102" s="10" t="str">
        <x:v>P2</x:v>
      </x:c>
      <x:c r="G102" s="9" t="str">
        <x:v>验证公会名称输入 41 字</x:v>
      </x:c>
      <x:c r="H102" s="9" t="str">
        <x:v>公会名称长度范围</x:v>
      </x:c>
      <x:c r="I102" s="9" t="str">
        <x:v>1. 公会长为本条执行者
2. 当前公会为公会甲，名称“原公会名”，简介“原简介”</x:v>
      </x:c>
      <x:c r="J102" s="9" t="str">
        <x:v>1. 打开公会资料
2. 输入 41 个“测”作为公会名称
3. 点击保存</x:v>
      </x:c>
      <x:c r="K102" s="9" t="str">
        <x:v>本次公会资料未保存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 2337 行；REQ-719b170ec807、第 2334 行
2. 规则：BR-C78FFA50135B0D
3. 未动态验证
4. 示例账号、编号、金额与日期是本条测试数据；执行前按前置条件准备，未填写的产品决策不得自行假定。</x:v>
      </x:c>
    </x:row>
    <x:row r="103" ht="130" customHeight="1">
      <x:c r="A103" s="10" t="n">
        <x:v>102</x:v>
      </x:c>
      <x:c r="B103" s="10" t="str">
        <x:v>GUILD-0102</x:v>
      </x:c>
      <x:c r="C103" s="10" t="str">
        <x:v>公会设置</x:v>
      </x:c>
      <x:c r="D103" s="10" t="str">
        <x:v>公会资料（公会长）</x:v>
      </x:c>
      <x:c r="E103" s="10" t="str">
        <x:v>功能需求</x:v>
      </x:c>
      <x:c r="F103" s="10" t="str">
        <x:v>P2</x:v>
      </x:c>
      <x:c r="G103" s="9" t="str">
        <x:v>验证公会简介输入 0 字</x:v>
      </x:c>
      <x:c r="H103" s="9" t="str">
        <x:v>公会简介长度范围</x:v>
      </x:c>
      <x:c r="I103" s="9" t="str">
        <x:v>1. 公会长为本条执行者
2. 当前公会为公会甲，名称“原公会名”，简介“原简介”</x:v>
      </x:c>
      <x:c r="J103" s="9" t="str">
        <x:v>1. 打开公会资料
2. 清空公会简介
3. 点击保存</x:v>
      </x:c>
      <x:c r="K103" s="9" t="str">
        <x:v>公会简介保存为空值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 2338 行；REQ-d816064a736d、第 2334 行
2. 规则：BR-C8BA459D02C71E
3. 未动态验证
4. 示例账号、编号、金额与日期是本条测试数据；执行前按前置条件准备，未填写的产品决策不得自行假定。</x:v>
      </x:c>
    </x:row>
    <x:row r="104" ht="130" customHeight="1">
      <x:c r="A104" s="10" t="n">
        <x:v>103</x:v>
      </x:c>
      <x:c r="B104" s="10" t="str">
        <x:v>GUILD-0103</x:v>
      </x:c>
      <x:c r="C104" s="10" t="str">
        <x:v>公会设置</x:v>
      </x:c>
      <x:c r="D104" s="10" t="str">
        <x:v>公会资料（公会长）</x:v>
      </x:c>
      <x:c r="E104" s="10" t="str">
        <x:v>功能需求</x:v>
      </x:c>
      <x:c r="F104" s="10" t="str">
        <x:v>P2</x:v>
      </x:c>
      <x:c r="G104" s="9" t="str">
        <x:v>验证公会简介输入 1 字</x:v>
      </x:c>
      <x:c r="H104" s="9" t="str">
        <x:v>公会简介长度范围</x:v>
      </x:c>
      <x:c r="I104" s="9" t="str">
        <x:v>1. 公会长为本条执行者
2. 当前公会为公会甲，名称“原公会名”，简介“原简介”</x:v>
      </x:c>
      <x:c r="J104" s="9" t="str">
        <x:v>1. 打开公会资料
2. 输入 1 个“测”作为公会简介
3. 点击保存</x:v>
      </x:c>
      <x:c r="K104" s="9" t="str">
        <x:v>公会简介保存为1 个“测”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 2338 行；REQ-d816064a736d、第 2334 行
2. 规则：BR-883658D5E65F82
3. 未动态验证
4. 示例账号、编号、金额与日期是本条测试数据；执行前按前置条件准备，未填写的产品决策不得自行假定。</x:v>
      </x:c>
    </x:row>
    <x:row r="105" ht="130" customHeight="1">
      <x:c r="A105" s="10" t="n">
        <x:v>104</x:v>
      </x:c>
      <x:c r="B105" s="10" t="str">
        <x:v>GUILD-0104</x:v>
      </x:c>
      <x:c r="C105" s="10" t="str">
        <x:v>公会设置</x:v>
      </x:c>
      <x:c r="D105" s="10" t="str">
        <x:v>公会资料（公会长）</x:v>
      </x:c>
      <x:c r="E105" s="10" t="str">
        <x:v>功能需求</x:v>
      </x:c>
      <x:c r="F105" s="10" t="str">
        <x:v>P2</x:v>
      </x:c>
      <x:c r="G105" s="9" t="str">
        <x:v>验证公会简介输入 200 字</x:v>
      </x:c>
      <x:c r="H105" s="9" t="str">
        <x:v>公会简介长度范围</x:v>
      </x:c>
      <x:c r="I105" s="9" t="str">
        <x:v>1. 公会长为本条执行者
2. 当前公会为公会甲，名称“原公会名”，简介“原简介”</x:v>
      </x:c>
      <x:c r="J105" s="9" t="str">
        <x:v>1. 打开公会资料
2. 输入 200 个“测”作为公会简介
3. 点击保存</x:v>
      </x:c>
      <x:c r="K105" s="9" t="str">
        <x:v>公会简介保存为200 个“测”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 2338 行；REQ-d816064a736d、第 2334 行
2. 规则：BR-0B208AFD90BF4C
3. 未动态验证
4. 示例账号、编号、金额与日期是本条测试数据；执行前按前置条件准备，未填写的产品决策不得自行假定。</x:v>
      </x:c>
    </x:row>
    <x:row r="106" ht="130" customHeight="1">
      <x:c r="A106" s="10" t="n">
        <x:v>105</x:v>
      </x:c>
      <x:c r="B106" s="10" t="str">
        <x:v>GUILD-0105</x:v>
      </x:c>
      <x:c r="C106" s="10" t="str">
        <x:v>公会设置</x:v>
      </x:c>
      <x:c r="D106" s="10" t="str">
        <x:v>公会资料（公会长）</x:v>
      </x:c>
      <x:c r="E106" s="10" t="str">
        <x:v>功能需求</x:v>
      </x:c>
      <x:c r="F106" s="10" t="str">
        <x:v>P2</x:v>
      </x:c>
      <x:c r="G106" s="9" t="str">
        <x:v>验证公会简介输入 201 字</x:v>
      </x:c>
      <x:c r="H106" s="9" t="str">
        <x:v>公会简介长度范围</x:v>
      </x:c>
      <x:c r="I106" s="9" t="str">
        <x:v>1. 公会长为本条执行者
2. 当前公会为公会甲，名称“原公会名”，简介“原简介”</x:v>
      </x:c>
      <x:c r="J106" s="9" t="str">
        <x:v>1. 打开公会资料
2. 输入 201 个“测”作为公会简介
3. 点击保存</x:v>
      </x:c>
      <x:c r="K106" s="9" t="str">
        <x:v>本次公会资料未保存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 2338 行；REQ-d816064a736d、第 2334 行
2. 规则：BR-49BDB702FFCE41
3. 未动态验证
4. 示例账号、编号、金额与日期是本条测试数据；执行前按前置条件准备，未填写的产品决策不得自行假定。</x:v>
      </x:c>
    </x:row>
    <x:row r="107" ht="130" customHeight="1">
      <x:c r="A107" s="10" t="n">
        <x:v>106</x:v>
      </x:c>
      <x:c r="B107" s="10" t="str">
        <x:v>GUILD-0106</x:v>
      </x:c>
      <x:c r="C107" s="10" t="str">
        <x:v>公会设置</x:v>
      </x:c>
      <x:c r="D107" s="10" t="str">
        <x:v>公会资料（公会长）</x:v>
      </x:c>
      <x:c r="E107" s="10" t="str">
        <x:v>功能需求</x:v>
      </x:c>
      <x:c r="F107" s="10" t="str">
        <x:v>P2</x:v>
      </x:c>
      <x:c r="G107" s="9" t="str">
        <x:v>验证公会名称去除首尾空格</x:v>
      </x:c>
      <x:c r="H107" s="9" t="str">
        <x:v>公会名称空格处理</x:v>
      </x:c>
      <x:c r="I107" s="9" t="str">
        <x:v>1. 公会长为本条执行者
2. 当前公会为公会甲，名称“原公会名”，简介“原简介”</x:v>
      </x:c>
      <x:c r="J107" s="9" t="str">
        <x:v>1. 打开公会资料
2. 输入公会名称“  新公会名  ”
3. 点击保存</x:v>
      </x:c>
      <x:c r="K107" s="9" t="str">
        <x:v>公会名称保存为“新公会名”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来源（当前证据）：liveshow-proto/MainBasis/统一需求文档.md；位置：第 2337 行；REQ-719b170ec807、第 2334 行
2. 规则：BR-677950533CBE8B
3. 未动态验证
4. 示例账号、编号、金额与日期是本条测试数据；执行前按前置条件准备，未填写的产品决策不得自行假定。</x:v>
      </x:c>
    </x:row>
    <x:row r="108" ht="145" customHeight="1">
      <x:c r="A108" s="10" t="n">
        <x:v>107</x:v>
      </x:c>
      <x:c r="B108" s="10" t="str">
        <x:v>GUILD-0107</x:v>
      </x:c>
      <x:c r="C108" s="10" t="str">
        <x:v>公会设置</x:v>
      </x:c>
      <x:c r="D108" s="10" t="str">
        <x:v>账号设置（公会长）</x:v>
      </x:c>
      <x:c r="E108" s="10" t="str">
        <x:v>功能需求</x:v>
      </x:c>
      <x:c r="F108" s="10" t="str">
        <x:v>P2</x:v>
      </x:c>
      <x:c r="G108" s="9" t="str">
        <x:v>验证公会账号语言切换 中文</x:v>
      </x:c>
      <x:c r="H108" s="9" t="str">
        <x:v>公会端语言选择</x:v>
      </x:c>
      <x:c r="I108" s="9" t="str">
        <x:v>1. 公会长为本条执行者
2. 公会长甲已登录，当前管理公会甲</x:v>
      </x:c>
      <x:c r="J108" s="9" t="str">
        <x:v>1. 打开账号设置
2. 选择语言 中文</x:v>
      </x:c>
      <x:c r="K108" s="9" t="str">
        <x:v>当前语言显示 中文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来源（当前证据）：liveshow-proto/MainBasis/统一需求文档.md；位置：第 2345 行；REQ-d6a1139e269a、第 2348 行；REQ-8826ed80561a、第 2342 行
2. 规则：BR-E0C2ED03DB645D
3. 未动态验证
4. 示例账号、编号、金额与日期是本条测试数据；执行前按前置条件准备，未填写的产品决策不得自行假定。</x:v>
      </x:c>
    </x:row>
    <x:row r="109" ht="145" customHeight="1">
      <x:c r="A109" s="10" t="n">
        <x:v>108</x:v>
      </x:c>
      <x:c r="B109" s="10" t="str">
        <x:v>GUILD-0108</x:v>
      </x:c>
      <x:c r="C109" s="10" t="str">
        <x:v>公会设置</x:v>
      </x:c>
      <x:c r="D109" s="10" t="str">
        <x:v>账号设置（公会长）</x:v>
      </x:c>
      <x:c r="E109" s="10" t="str">
        <x:v>功能需求</x:v>
      </x:c>
      <x:c r="F109" s="10" t="str">
        <x:v>P2</x:v>
      </x:c>
      <x:c r="G109" s="9" t="str">
        <x:v>验证公会账号语言切换 English</x:v>
      </x:c>
      <x:c r="H109" s="9" t="str">
        <x:v>公会端语言选择</x:v>
      </x:c>
      <x:c r="I109" s="9" t="str">
        <x:v>1. 公会长为本条执行者
2. 公会长甲已登录，当前管理公会甲</x:v>
      </x:c>
      <x:c r="J109" s="9" t="str">
        <x:v>1. 打开账号设置
2. 选择语言 English</x:v>
      </x:c>
      <x:c r="K109" s="9" t="str">
        <x:v>当前语言显示 English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来源（当前证据）：liveshow-proto/MainBasis/统一需求文档.md；位置：第 2345 行；REQ-d6a1139e269a、第 2348 行；REQ-8826ed80561a、第 2342 行
2. 规则：BR-409947CD8937E6
3. 未动态验证
4. 示例账号、编号、金额与日期是本条测试数据；执行前按前置条件准备，未填写的产品决策不得自行假定。</x:v>
      </x:c>
    </x:row>
    <x:row r="110" ht="145" customHeight="1">
      <x:c r="A110" s="10" t="n">
        <x:v>109</x:v>
      </x:c>
      <x:c r="B110" s="10" t="str">
        <x:v>GUILD-0109</x:v>
      </x:c>
      <x:c r="C110" s="10" t="str">
        <x:v>公会设置</x:v>
      </x:c>
      <x:c r="D110" s="10" t="str">
        <x:v>账号设置（公会长）</x:v>
      </x:c>
      <x:c r="E110" s="10" t="str">
        <x:v>功能需求</x:v>
      </x:c>
      <x:c r="F110" s="10" t="str">
        <x:v>P2</x:v>
      </x:c>
      <x:c r="G110" s="9" t="str">
        <x:v>验证公会账号语言切换 Bahasa Indonesia</x:v>
      </x:c>
      <x:c r="H110" s="9" t="str">
        <x:v>公会端语言选择</x:v>
      </x:c>
      <x:c r="I110" s="9" t="str">
        <x:v>1. 公会长为本条执行者
2. 公会长甲已登录，当前管理公会甲</x:v>
      </x:c>
      <x:c r="J110" s="9" t="str">
        <x:v>1. 打开账号设置
2. 选择语言 Bahasa Indonesia</x:v>
      </x:c>
      <x:c r="K110" s="9" t="str">
        <x:v>当前语言显示 Bahasa Indonesia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 2345 行；REQ-d6a1139e269a、第 2348 行；REQ-8826ed80561a、第 2342 行
2. 规则：BR-EE1EECBF53C718
3. 未动态验证
4. 示例账号、编号、金额与日期是本条测试数据；执行前按前置条件准备，未填写的产品决策不得自行假定。</x:v>
      </x:c>
    </x:row>
    <x:row r="111" ht="145" customHeight="1">
      <x:c r="A111" s="10" t="n">
        <x:v>110</x:v>
      </x:c>
      <x:c r="B111" s="10" t="str">
        <x:v>GUILD-0110</x:v>
      </x:c>
      <x:c r="C111" s="10" t="str">
        <x:v>公会设置</x:v>
      </x:c>
      <x:c r="D111" s="10" t="str">
        <x:v>账号设置（公会长）</x:v>
      </x:c>
      <x:c r="E111" s="10" t="str">
        <x:v>功能需求</x:v>
      </x:c>
      <x:c r="F111" s="10" t="str">
        <x:v>P2</x:v>
      </x:c>
      <x:c r="G111" s="9" t="str">
        <x:v>验证公会账号语言切换 Bahasa Melayu</x:v>
      </x:c>
      <x:c r="H111" s="9" t="str">
        <x:v>公会端语言选择</x:v>
      </x:c>
      <x:c r="I111" s="9" t="str">
        <x:v>1. 公会长为本条执行者
2. 公会长甲已登录，当前管理公会甲</x:v>
      </x:c>
      <x:c r="J111" s="9" t="str">
        <x:v>1. 打开账号设置
2. 选择语言 Bahasa Melayu</x:v>
      </x:c>
      <x:c r="K111" s="9" t="str">
        <x:v>当前语言显示 Bahasa Melayu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 2345 行；REQ-d6a1139e269a、第 2348 行；REQ-8826ed80561a、第 2342 行
2. 规则：BR-089BDEAC1C193B
3. 未动态验证
4. 示例账号、编号、金额与日期是本条测试数据；执行前按前置条件准备，未填写的产品决策不得自行假定。</x:v>
      </x:c>
    </x:row>
    <x:row r="112" ht="145" customHeight="1">
      <x:c r="A112" s="10" t="n">
        <x:v>111</x:v>
      </x:c>
      <x:c r="B112" s="10" t="str">
        <x:v>GUILD-0111</x:v>
      </x:c>
      <x:c r="C112" s="10" t="str">
        <x:v>公会设置</x:v>
      </x:c>
      <x:c r="D112" s="10" t="str">
        <x:v>账号设置（公会长）</x:v>
      </x:c>
      <x:c r="E112" s="10" t="str">
        <x:v>功能需求</x:v>
      </x:c>
      <x:c r="F112" s="10" t="str">
        <x:v>P1</x:v>
      </x:c>
      <x:c r="G112" s="9" t="str">
        <x:v>验证公会账号退出登录</x:v>
      </x:c>
      <x:c r="H112" s="9" t="str">
        <x:v>公会端退出会话</x:v>
      </x:c>
      <x:c r="I112" s="9" t="str">
        <x:v>1. 公会长为本条执行者
2. 公会长甲已登录，当前管理公会甲</x:v>
      </x:c>
      <x:c r="J112" s="9" t="str">
        <x:v>1. 打开账号设置
2. 点击退出登录
3. 确认退出</x:v>
      </x:c>
      <x:c r="K112" s="9" t="str">
        <x:v>返回公会登录页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 2347 行；REQ-64fae34ac59a、第 2349 行；REQ-e855670b3ded、第 2342 行
2. 规则：BR-5D32732CAE716F
3. 未动态验证
4. 示例账号、编号、金额与日期是本条测试数据；执行前按前置条件准备，未填写的产品决策不得自行假定。</x:v>
      </x:c>
    </x:row>
    <x:row r="113" ht="175" customHeight="1">
      <x:c r="A113" s="10" t="n">
        <x:v>112</x:v>
      </x:c>
      <x:c r="B113" s="10" t="str">
        <x:v>GUILD-0112</x:v>
      </x:c>
      <x:c r="C113" s="10" t="str">
        <x:v>公会设置</x:v>
      </x:c>
      <x:c r="D113" s="10" t="str">
        <x:v>修改密码（公会长）</x:v>
      </x:c>
      <x:c r="E113" s="10" t="str">
        <x:v>功能需求</x:v>
      </x:c>
      <x:c r="F113" s="10" t="str">
        <x:v>P2</x:v>
      </x:c>
      <x:c r="G113" s="9" t="str">
        <x:v>验证公会密码修改旧密码错误</x:v>
      </x:c>
      <x:c r="H113" s="9" t="str">
        <x:v>公会密码修改校验</x:v>
      </x:c>
      <x:c r="I113" s="9" t="str">
        <x:v>1. 公会长为本条执行者
2. 公会长甲当前密码为 Guild#2026</x:v>
      </x:c>
      <x:c r="J113" s="9" t="str">
        <x:v>1. 打开修改密码
2. 输入当前密码 Wrong#2026
3. 输入新密码 NewGuild#2026
4. 输入确认新密码 NewGuild#2026
5. 点击保存</x:v>
      </x:c>
      <x:c r="K113" s="9" t="str">
        <x:v>提示“当前密码错误”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 2353 行；REQ-e433f84a8574、第 2354 行；REQ-91704eabb038、第 2355 行；REQ-b2fb543894d9、第 2356 行；REQ-1e4230a9bda5、第 2352 行
2. 规则：BR-2FD1CC72E20411
3. 未动态验证
4. 示例账号、编号、金额与日期是本条测试数据；执行前按前置条件准备，未填写的产品决策不得自行假定。</x:v>
      </x:c>
    </x:row>
    <x:row r="114" ht="175" customHeight="1">
      <x:c r="A114" s="10" t="n">
        <x:v>113</x:v>
      </x:c>
      <x:c r="B114" s="10" t="str">
        <x:v>GUILD-0113</x:v>
      </x:c>
      <x:c r="C114" s="10" t="str">
        <x:v>公会设置</x:v>
      </x:c>
      <x:c r="D114" s="10" t="str">
        <x:v>修改密码（公会长）</x:v>
      </x:c>
      <x:c r="E114" s="10" t="str">
        <x:v>功能需求</x:v>
      </x:c>
      <x:c r="F114" s="10" t="str">
        <x:v>P2</x:v>
      </x:c>
      <x:c r="G114" s="9" t="str">
        <x:v>验证公会密码修改新旧相同</x:v>
      </x:c>
      <x:c r="H114" s="9" t="str">
        <x:v>公会密码修改校验</x:v>
      </x:c>
      <x:c r="I114" s="9" t="str">
        <x:v>1. 公会长为本条执行者
2. 公会长甲当前密码为 Guild#2026</x:v>
      </x:c>
      <x:c r="J114" s="9" t="str">
        <x:v>1. 打开修改密码
2. 输入当前密码 Guild#2026
3. 输入新密码 Guild#2026
4. 输入确认新密码 Guild#2026
5. 点击保存</x:v>
      </x:c>
      <x:c r="K114" s="9" t="str">
        <x:v>提示“新密码不能和旧密码一样”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 2353 行；REQ-e433f84a8574、第 2354 行；REQ-91704eabb038、第 2355 行；REQ-b2fb543894d9、第 2356 行；REQ-1e4230a9bda5、第 2352 行
2. 规则：BR-A64B005311E164
3. 未动态验证
4. 示例账号、编号、金额与日期是本条测试数据；执行前按前置条件准备，未填写的产品决策不得自行假定。</x:v>
      </x:c>
    </x:row>
    <x:row r="115" ht="175" customHeight="1">
      <x:c r="A115" s="10" t="n">
        <x:v>114</x:v>
      </x:c>
      <x:c r="B115" s="10" t="str">
        <x:v>GUILD-0114</x:v>
      </x:c>
      <x:c r="C115" s="10" t="str">
        <x:v>公会设置</x:v>
      </x:c>
      <x:c r="D115" s="10" t="str">
        <x:v>修改密码（公会长）</x:v>
      </x:c>
      <x:c r="E115" s="10" t="str">
        <x:v>功能需求</x:v>
      </x:c>
      <x:c r="F115" s="10" t="str">
        <x:v>P2</x:v>
      </x:c>
      <x:c r="G115" s="9" t="str">
        <x:v>验证公会密码修改两次新密码不同</x:v>
      </x:c>
      <x:c r="H115" s="9" t="str">
        <x:v>公会密码修改校验</x:v>
      </x:c>
      <x:c r="I115" s="9" t="str">
        <x:v>1. 公会长为本条执行者
2. 公会长甲当前密码为 Guild#2026</x:v>
      </x:c>
      <x:c r="J115" s="9" t="str">
        <x:v>1. 打开修改密码
2. 输入当前密码 Guild#2026
3. 输入新密码 NewGuild#2026
4. 输入确认新密码 Other#2026
5. 点击保存</x:v>
      </x:c>
      <x:c r="K115" s="9" t="str">
        <x:v>未保存新密码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来源（当前证据）：liveshow-proto/MainBasis/统一需求文档.md；位置：第 2353 行；REQ-e433f84a8574、第 2354 行；REQ-91704eabb038、第 2355 行；REQ-b2fb543894d9、第 2356 行；REQ-1e4230a9bda5、第 2352 行
2. 规则：BR-3291E9D9079242
3. 未动态验证
4. 示例账号、编号、金额与日期是本条测试数据；执行前按前置条件准备，未填写的产品决策不得自行假定。</x:v>
      </x:c>
    </x:row>
    <x:row r="116" ht="130" customHeight="1">
      <x:c r="A116" s="10" t="n">
        <x:v>115</x:v>
      </x:c>
      <x:c r="B116" s="10" t="str">
        <x:v>GUILD-0115</x:v>
      </x:c>
      <x:c r="C116" s="10" t="str">
        <x:v>公会设置</x:v>
      </x:c>
      <x:c r="D116" s="10" t="str">
        <x:v>修改密码（公会长）</x:v>
      </x:c>
      <x:c r="E116" s="10" t="str">
        <x:v>异常用例</x:v>
      </x:c>
      <x:c r="F116" s="10" t="str">
        <x:v>P2</x:v>
      </x:c>
      <x:c r="G116" s="9" t="str">
        <x:v>验证公会密码修改请求失败</x:v>
      </x:c>
      <x:c r="H116" s="9" t="str">
        <x:v>公会密码失败提示</x:v>
      </x:c>
      <x:c r="I116" s="9" t="str">
        <x:v>1. 公会长为本条执行者
2. 公会长甲当前密码为 Guild#2026
3. 测试环境保存密码请求失败</x:v>
      </x:c>
      <x:c r="J116" s="9" t="str">
        <x:v>1. 打开修改密码
2. 输入当前密码 Guild#2026
3. 输入新密码 NewGuild#2026
4. 输入确认新密码 NewGuild#2026
5. 点击保存</x:v>
      </x:c>
      <x:c r="K116" s="9" t="str">
        <x:v>提示“保存失败”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 2356 行；REQ-1e4230a9bda5、第 2352 行
2. 规则：BR-F06C15F4F073F7
3. 未动态验证
4. 示例账号、编号、金额与日期是本条测试数据；执行前按前置条件准备，未填写的产品决策不得自行假定。</x:v>
      </x:c>
    </x:row>
    <x:row r="117" ht="130" customHeight="1">
      <x:c r="A117" s="10" t="n">
        <x:v>116</x:v>
      </x:c>
      <x:c r="B117" s="10" t="str">
        <x:v>GUILD-0116</x:v>
      </x:c>
      <x:c r="C117" s="10" t="str">
        <x:v>主播管理</x:v>
      </x:c>
      <x:c r="D117" s="10" t="str">
        <x:v>主播业绩（公会长）</x:v>
      </x:c>
      <x:c r="E117" s="10" t="str">
        <x:v>功能需求</x:v>
      </x:c>
      <x:c r="F117" s="10" t="str">
        <x:v>P2</x:v>
      </x:c>
      <x:c r="G117" s="9" t="str">
        <x:v>验证主播业绩自定义日期包含起止日</x:v>
      </x:c>
      <x:c r="H117" s="9" t="str">
        <x:v>日期起点包含</x:v>
      </x:c>
      <x:c r="I117" s="9" t="str">
        <x:v>1. 公会长为本条执行者
2. 有业务记录 A 在 09/01 00:00、B 在 09/02 23:59、C 在 08/31、D 在 09/03，均属于当前公会及本页对应记录类型</x:v>
      </x:c>
      <x:c r="J117" s="9" t="str">
        <x:v>1. 打开主播业绩
2. 选择自定义日期 09/01 至 09/02
3. 确认筛选</x:v>
      </x:c>
      <x:c r="K117" s="9" t="str">
        <x:v>列表包含记录 A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来源（当前证据）：liveshow-proto/MainBasis/统一需求文档.md；位置：第 2159 行；REQ-48e0d62dff35、第 2158 行
2. 规则：BR-E50F22E845BEFB
3. 未动态验证
4. 示例账号、编号、金额与日期是本条测试数据；执行前按前置条件准备，未填写的产品决策不得自行假定。</x:v>
      </x:c>
    </x:row>
    <x:row r="118" ht="130" customHeight="1">
      <x:c r="A118" s="10" t="n">
        <x:v>117</x:v>
      </x:c>
      <x:c r="B118" s="10" t="str">
        <x:v>GUILD-0117</x:v>
      </x:c>
      <x:c r="C118" s="10" t="str">
        <x:v>主播管理</x:v>
      </x:c>
      <x:c r="D118" s="10" t="str">
        <x:v>主播业绩（公会长）</x:v>
      </x:c>
      <x:c r="E118" s="10" t="str">
        <x:v>功能需求</x:v>
      </x:c>
      <x:c r="F118" s="10" t="str">
        <x:v>P2</x:v>
      </x:c>
      <x:c r="G118" s="9" t="str">
        <x:v>验证主播业绩自定义日期包含起止日</x:v>
      </x:c>
      <x:c r="H118" s="9" t="str">
        <x:v>日期终点包含</x:v>
      </x:c>
      <x:c r="I118" s="9" t="str">
        <x:v>1. 公会长为本条执行者
2. 有业务记录 A 在 09/01 00:00、B 在 09/02 23:59、C 在 08/31、D 在 09/03，均属于当前公会及本页对应记录类型</x:v>
      </x:c>
      <x:c r="J118" s="9" t="str">
        <x:v>1. 打开主播业绩
2. 选择自定义日期 09/01 至 09/02
3. 确认筛选</x:v>
      </x:c>
      <x:c r="K118" s="9" t="str">
        <x:v>列表包含记录 B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来源（当前证据）：liveshow-proto/MainBasis/统一需求文档.md；位置：第 2159 行；REQ-48e0d62dff35、第 2158 行
2. 规则：BR-E5D5B79597359D
3. 未动态验证
4. 示例账号、编号、金额与日期是本条测试数据；执行前按前置条件准备，未填写的产品决策不得自行假定。</x:v>
      </x:c>
    </x:row>
    <x:row r="119" ht="130" customHeight="1">
      <x:c r="A119" s="10" t="n">
        <x:v>118</x:v>
      </x:c>
      <x:c r="B119" s="10" t="str">
        <x:v>GUILD-0118</x:v>
      </x:c>
      <x:c r="C119" s="10" t="str">
        <x:v>主播管理</x:v>
      </x:c>
      <x:c r="D119" s="10" t="str">
        <x:v>主播业绩（公会长）</x:v>
      </x:c>
      <x:c r="E119" s="10" t="str">
        <x:v>功能需求</x:v>
      </x:c>
      <x:c r="F119" s="10" t="str">
        <x:v>P2</x:v>
      </x:c>
      <x:c r="G119" s="9" t="str">
        <x:v>验证主播业绩自定义日期包含起止日</x:v>
      </x:c>
      <x:c r="H119" s="9" t="str">
        <x:v>日期范围外排除</x:v>
      </x:c>
      <x:c r="I119" s="9" t="str">
        <x:v>1. 公会长为本条执行者
2. 有业务记录 A 在 09/01 00:00、B 在 09/02 23:59、C 在 08/31、D 在 09/03，均属于当前公会及本页对应记录类型</x:v>
      </x:c>
      <x:c r="J119" s="9" t="str">
        <x:v>1. 打开主播业绩
2. 选择自定义日期 09/01 至 09/02
3. 确认筛选</x:v>
      </x:c>
      <x:c r="K119" s="9" t="str">
        <x:v>列表不包含记录 C 和 D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 2159 行；REQ-48e0d62dff35、第 2158 行
2. 规则：BR-B728E72A5B748F
3. 未动态验证
4. 示例账号、编号、金额与日期是本条测试数据；执行前按前置条件准备，未填写的产品决策不得自行假定。</x:v>
      </x:c>
    </x:row>
    <x:row r="120" ht="130" customHeight="1">
      <x:c r="A120" s="10" t="n">
        <x:v>119</x:v>
      </x:c>
      <x:c r="B120" s="10" t="str">
        <x:v>GUILD-0119</x:v>
      </x:c>
      <x:c r="C120" s="10" t="str">
        <x:v>运营管理</x:v>
      </x:c>
      <x:c r="D120" s="10" t="str">
        <x:v>运营消息（公会长）</x:v>
      </x:c>
      <x:c r="E120" s="10" t="str">
        <x:v>功能需求</x:v>
      </x:c>
      <x:c r="F120" s="10" t="str">
        <x:v>P2</x:v>
      </x:c>
      <x:c r="G120" s="9" t="str">
        <x:v>验证运营消息自定义日期包含起止日</x:v>
      </x:c>
      <x:c r="H120" s="9" t="str">
        <x:v>日期起点包含</x:v>
      </x:c>
      <x:c r="I120" s="9" t="str">
        <x:v>1. 公会长为本条执行者
2. 有业务记录 A 在 09/01 00:00、B 在 09/02 23:59、C 在 08/31、D 在 09/03，均属于当前公会及本页对应记录类型</x:v>
      </x:c>
      <x:c r="J120" s="9" t="str">
        <x:v>1. 打开运营消息
2. 选择自定义日期 09/01 至 09/02
3. 确认筛选</x:v>
      </x:c>
      <x:c r="K120" s="9" t="str">
        <x:v>列表包含记录 A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来源（当前证据）：liveshow-proto/MainBasis/统一需求文档.md；位置：第 2224 行；REQ-c875529c79de、第 2223 行
2. 规则：BR-F1E62CBCF0E625
3. 未动态验证
4. 示例账号、编号、金额与日期是本条测试数据；执行前按前置条件准备，未填写的产品决策不得自行假定。</x:v>
      </x:c>
    </x:row>
    <x:row r="121" ht="130" customHeight="1">
      <x:c r="A121" s="10" t="n">
        <x:v>120</x:v>
      </x:c>
      <x:c r="B121" s="10" t="str">
        <x:v>GUILD-0120</x:v>
      </x:c>
      <x:c r="C121" s="10" t="str">
        <x:v>运营管理</x:v>
      </x:c>
      <x:c r="D121" s="10" t="str">
        <x:v>运营消息（公会长）</x:v>
      </x:c>
      <x:c r="E121" s="10" t="str">
        <x:v>功能需求</x:v>
      </x:c>
      <x:c r="F121" s="10" t="str">
        <x:v>P2</x:v>
      </x:c>
      <x:c r="G121" s="9" t="str">
        <x:v>验证运营消息自定义日期包含起止日</x:v>
      </x:c>
      <x:c r="H121" s="9" t="str">
        <x:v>日期终点包含</x:v>
      </x:c>
      <x:c r="I121" s="9" t="str">
        <x:v>1. 公会长为本条执行者
2. 有业务记录 A 在 09/01 00:00、B 在 09/02 23:59、C 在 08/31、D 在 09/03，均属于当前公会及本页对应记录类型</x:v>
      </x:c>
      <x:c r="J121" s="9" t="str">
        <x:v>1. 打开运营消息
2. 选择自定义日期 09/01 至 09/02
3. 确认筛选</x:v>
      </x:c>
      <x:c r="K121" s="9" t="str">
        <x:v>列表包含记录 B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 2224 行；REQ-c875529c79de、第 2223 行
2. 规则：BR-3A78B7911219B6
3. 未动态验证
4. 示例账号、编号、金额与日期是本条测试数据；执行前按前置条件准备，未填写的产品决策不得自行假定。</x:v>
      </x:c>
    </x:row>
    <x:row r="122" ht="130" customHeight="1">
      <x:c r="A122" s="10" t="n">
        <x:v>121</x:v>
      </x:c>
      <x:c r="B122" s="10" t="str">
        <x:v>GUILD-0121</x:v>
      </x:c>
      <x:c r="C122" s="10" t="str">
        <x:v>运营管理</x:v>
      </x:c>
      <x:c r="D122" s="10" t="str">
        <x:v>运营消息（公会长）</x:v>
      </x:c>
      <x:c r="E122" s="10" t="str">
        <x:v>功能需求</x:v>
      </x:c>
      <x:c r="F122" s="10" t="str">
        <x:v>P2</x:v>
      </x:c>
      <x:c r="G122" s="9" t="str">
        <x:v>验证运营消息自定义日期包含起止日</x:v>
      </x:c>
      <x:c r="H122" s="9" t="str">
        <x:v>日期范围外排除</x:v>
      </x:c>
      <x:c r="I122" s="9" t="str">
        <x:v>1. 公会长为本条执行者
2. 有业务记录 A 在 09/01 00:00、B 在 09/02 23:59、C 在 08/31、D 在 09/03，均属于当前公会及本页对应记录类型</x:v>
      </x:c>
      <x:c r="J122" s="9" t="str">
        <x:v>1. 打开运营消息
2. 选择自定义日期 09/01 至 09/02
3. 确认筛选</x:v>
      </x:c>
      <x:c r="K122" s="9" t="str">
        <x:v>列表不包含记录 C 和 D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 2224 行；REQ-c875529c79de、第 2223 行
2. 规则：BR-5F741BB022061D
3. 未动态验证
4. 示例账号、编号、金额与日期是本条测试数据；执行前按前置条件准备，未填写的产品决策不得自行假定。</x:v>
      </x:c>
    </x:row>
    <x:row r="123" ht="130" customHeight="1">
      <x:c r="A123" s="10" t="n">
        <x:v>122</x:v>
      </x:c>
      <x:c r="B123" s="10" t="str">
        <x:v>GUILD-0122</x:v>
      </x:c>
      <x:c r="C123" s="10" t="str">
        <x:v>运营管理</x:v>
      </x:c>
      <x:c r="D123" s="10" t="str">
        <x:v>运营账号主页（公会长）</x:v>
      </x:c>
      <x:c r="E123" s="10" t="str">
        <x:v>功能需求</x:v>
      </x:c>
      <x:c r="F123" s="10" t="str">
        <x:v>P2</x:v>
      </x:c>
      <x:c r="G123" s="9" t="str">
        <x:v>验证运营账号主页自定义日期包含起止日</x:v>
      </x:c>
      <x:c r="H123" s="9" t="str">
        <x:v>日期起点包含</x:v>
      </x:c>
      <x:c r="I123" s="9" t="str">
        <x:v>1. 公会长为本条执行者
2. 有业务记录 A 在 09/01 00:00、B 在 09/02 23:59、C 在 08/31、D 在 09/03，均属于当前公会及本页对应记录类型</x:v>
      </x:c>
      <x:c r="J123" s="9" t="str">
        <x:v>1. 打开运营账号主页
2. 选择自定义日期 09/01 至 09/02
3. 确认筛选</x:v>
      </x:c>
      <x:c r="K123" s="9" t="str">
        <x:v>列表包含记录 A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 2293 行；REQ-6b41dca2bb99、第 2289 行
2. 规则：BR-FFAF9C9D9868AE
3. 未动态验证
4. 示例账号、编号、金额与日期是本条测试数据；执行前按前置条件准备，未填写的产品决策不得自行假定。</x:v>
      </x:c>
    </x:row>
    <x:row r="124" ht="130" customHeight="1">
      <x:c r="A124" s="10" t="n">
        <x:v>123</x:v>
      </x:c>
      <x:c r="B124" s="10" t="str">
        <x:v>GUILD-0123</x:v>
      </x:c>
      <x:c r="C124" s="10" t="str">
        <x:v>运营管理</x:v>
      </x:c>
      <x:c r="D124" s="10" t="str">
        <x:v>运营账号主页（公会长）</x:v>
      </x:c>
      <x:c r="E124" s="10" t="str">
        <x:v>功能需求</x:v>
      </x:c>
      <x:c r="F124" s="10" t="str">
        <x:v>P2</x:v>
      </x:c>
      <x:c r="G124" s="9" t="str">
        <x:v>验证运营账号主页自定义日期包含起止日</x:v>
      </x:c>
      <x:c r="H124" s="9" t="str">
        <x:v>日期终点包含</x:v>
      </x:c>
      <x:c r="I124" s="9" t="str">
        <x:v>1. 公会长为本条执行者
2. 有业务记录 A 在 09/01 00:00、B 在 09/02 23:59、C 在 08/31、D 在 09/03，均属于当前公会及本页对应记录类型</x:v>
      </x:c>
      <x:c r="J124" s="9" t="str">
        <x:v>1. 打开运营账号主页
2. 选择自定义日期 09/01 至 09/02
3. 确认筛选</x:v>
      </x:c>
      <x:c r="K124" s="9" t="str">
        <x:v>列表包含记录 B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来源（当前证据）：liveshow-proto/MainBasis/统一需求文档.md；位置：第 2293 行；REQ-6b41dca2bb99、第 2289 行
2. 规则：BR-6F43DB0C4FA6C6
3. 未动态验证
4. 示例账号、编号、金额与日期是本条测试数据；执行前按前置条件准备，未填写的产品决策不得自行假定。</x:v>
      </x:c>
    </x:row>
    <x:row r="125" ht="130" customHeight="1">
      <x:c r="A125" s="10" t="n">
        <x:v>124</x:v>
      </x:c>
      <x:c r="B125" s="10" t="str">
        <x:v>GUILD-0124</x:v>
      </x:c>
      <x:c r="C125" s="10" t="str">
        <x:v>运营管理</x:v>
      </x:c>
      <x:c r="D125" s="10" t="str">
        <x:v>运营账号主页（公会长）</x:v>
      </x:c>
      <x:c r="E125" s="10" t="str">
        <x:v>功能需求</x:v>
      </x:c>
      <x:c r="F125" s="10" t="str">
        <x:v>P2</x:v>
      </x:c>
      <x:c r="G125" s="9" t="str">
        <x:v>验证运营账号主页自定义日期包含起止日</x:v>
      </x:c>
      <x:c r="H125" s="9" t="str">
        <x:v>日期范围外排除</x:v>
      </x:c>
      <x:c r="I125" s="9" t="str">
        <x:v>1. 公会长为本条执行者
2. 有业务记录 A 在 09/01 00:00、B 在 09/02 23:59、C 在 08/31、D 在 09/03，均属于当前公会及本页对应记录类型</x:v>
      </x:c>
      <x:c r="J125" s="9" t="str">
        <x:v>1. 打开运营账号主页
2. 选择自定义日期 09/01 至 09/02
3. 确认筛选</x:v>
      </x:c>
      <x:c r="K125" s="9" t="str">
        <x:v>列表不包含记录 C 和 D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来源（当前证据）：liveshow-proto/MainBasis/统一需求文档.md；位置：第 2293 行；REQ-6b41dca2bb99、第 2289 行
2. 规则：BR-037A1170CE509C
3. 未动态验证
4. 示例账号、编号、金额与日期是本条测试数据；执行前按前置条件准备，未填写的产品决策不得自行假定。</x:v>
      </x:c>
    </x:row>
    <x:row r="126" ht="130" customHeight="1">
      <x:c r="A126" s="10" t="n">
        <x:v>125</x:v>
      </x:c>
      <x:c r="B126" s="10" t="str">
        <x:v>GUILD-0125</x:v>
      </x:c>
      <x:c r="C126" s="10" t="str">
        <x:v>数据与收益</x:v>
      </x:c>
      <x:c r="D126" s="10" t="str">
        <x:v>直播记录（公会长）</x:v>
      </x:c>
      <x:c r="E126" s="10" t="str">
        <x:v>功能需求</x:v>
      </x:c>
      <x:c r="F126" s="10" t="str">
        <x:v>P2</x:v>
      </x:c>
      <x:c r="G126" s="9" t="str">
        <x:v>验证直播记录自定义日期包含起止日</x:v>
      </x:c>
      <x:c r="H126" s="9" t="str">
        <x:v>日期起点包含</x:v>
      </x:c>
      <x:c r="I126" s="9" t="str">
        <x:v>1. 公会长为本条执行者
2. 有业务记录 A 在 09/01 00:00、B 在 09/02 23:59、C 在 08/31、D 在 09/03，均属于当前公会及本页对应记录类型</x:v>
      </x:c>
      <x:c r="J126" s="9" t="str">
        <x:v>1. 打开直播记录
2. 选择自定义日期 09/01 至 09/02
3. 确认筛选</x:v>
      </x:c>
      <x:c r="K126" s="9" t="str">
        <x:v>列表包含记录 A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来源（当前证据）：liveshow-proto/MainBasis/统一需求文档.md；位置：第 2361 行；REQ-ea9a5bdb93b9、第 2359 行
2. 规则：BR-E249811366F462
3. 未动态验证
4. 示例账号、编号、金额与日期是本条测试数据；执行前按前置条件准备，未填写的产品决策不得自行假定。</x:v>
      </x:c>
    </x:row>
    <x:row r="127" ht="130" customHeight="1">
      <x:c r="A127" s="10" t="n">
        <x:v>126</x:v>
      </x:c>
      <x:c r="B127" s="10" t="str">
        <x:v>GUILD-0126</x:v>
      </x:c>
      <x:c r="C127" s="10" t="str">
        <x:v>数据与收益</x:v>
      </x:c>
      <x:c r="D127" s="10" t="str">
        <x:v>直播记录（公会长）</x:v>
      </x:c>
      <x:c r="E127" s="10" t="str">
        <x:v>功能需求</x:v>
      </x:c>
      <x:c r="F127" s="10" t="str">
        <x:v>P2</x:v>
      </x:c>
      <x:c r="G127" s="9" t="str">
        <x:v>验证直播记录自定义日期包含起止日</x:v>
      </x:c>
      <x:c r="H127" s="9" t="str">
        <x:v>日期终点包含</x:v>
      </x:c>
      <x:c r="I127" s="9" t="str">
        <x:v>1. 公会长为本条执行者
2. 有业务记录 A 在 09/01 00:00、B 在 09/02 23:59、C 在 08/31、D 在 09/03，均属于当前公会及本页对应记录类型</x:v>
      </x:c>
      <x:c r="J127" s="9" t="str">
        <x:v>1. 打开直播记录
2. 选择自定义日期 09/01 至 09/02
3. 确认筛选</x:v>
      </x:c>
      <x:c r="K127" s="9" t="str">
        <x:v>列表包含记录 B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来源（当前证据）：liveshow-proto/MainBasis/统一需求文档.md；位置：第 2361 行；REQ-ea9a5bdb93b9、第 2359 行
2. 规则：BR-FD43118CAE3CB7
3. 未动态验证
4. 示例账号、编号、金额与日期是本条测试数据；执行前按前置条件准备，未填写的产品决策不得自行假定。</x:v>
      </x:c>
    </x:row>
    <x:row r="128" ht="130" customHeight="1">
      <x:c r="A128" s="10" t="n">
        <x:v>127</x:v>
      </x:c>
      <x:c r="B128" s="10" t="str">
        <x:v>GUILD-0127</x:v>
      </x:c>
      <x:c r="C128" s="10" t="str">
        <x:v>数据与收益</x:v>
      </x:c>
      <x:c r="D128" s="10" t="str">
        <x:v>直播记录（公会长）</x:v>
      </x:c>
      <x:c r="E128" s="10" t="str">
        <x:v>功能需求</x:v>
      </x:c>
      <x:c r="F128" s="10" t="str">
        <x:v>P2</x:v>
      </x:c>
      <x:c r="G128" s="9" t="str">
        <x:v>验证直播记录自定义日期包含起止日</x:v>
      </x:c>
      <x:c r="H128" s="9" t="str">
        <x:v>日期范围外排除</x:v>
      </x:c>
      <x:c r="I128" s="9" t="str">
        <x:v>1. 公会长为本条执行者
2. 有业务记录 A 在 09/01 00:00、B 在 09/02 23:59、C 在 08/31、D 在 09/03，均属于当前公会及本页对应记录类型</x:v>
      </x:c>
      <x:c r="J128" s="9" t="str">
        <x:v>1. 打开直播记录
2. 选择自定义日期 09/01 至 09/02
3. 确认筛选</x:v>
      </x:c>
      <x:c r="K128" s="9" t="str">
        <x:v>列表不包含记录 C 和 D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来源（当前证据）：liveshow-proto/MainBasis/统一需求文档.md；位置：第 2361 行；REQ-ea9a5bdb93b9、第 2359 行
2. 规则：BR-60FE9F8AEE8C28
3. 未动态验证
4. 示例账号、编号、金额与日期是本条测试数据；执行前按前置条件准备，未填写的产品决策不得自行假定。</x:v>
      </x:c>
    </x:row>
    <x:row r="129" ht="130" customHeight="1">
      <x:c r="A129" s="10" t="n">
        <x:v>128</x:v>
      </x:c>
      <x:c r="B129" s="10" t="str">
        <x:v>GUILD-0128</x:v>
      </x:c>
      <x:c r="C129" s="10" t="str">
        <x:v>数据与收益</x:v>
      </x:c>
      <x:c r="D129" s="10" t="str">
        <x:v>违规记录（公会长）</x:v>
      </x:c>
      <x:c r="E129" s="10" t="str">
        <x:v>功能需求</x:v>
      </x:c>
      <x:c r="F129" s="10" t="str">
        <x:v>P2</x:v>
      </x:c>
      <x:c r="G129" s="9" t="str">
        <x:v>验证违规记录自定义日期包含起止日</x:v>
      </x:c>
      <x:c r="H129" s="9" t="str">
        <x:v>日期起点包含</x:v>
      </x:c>
      <x:c r="I129" s="9" t="str">
        <x:v>1. 公会长为本条执行者
2. 有业务记录 A 在 09/01 00:00、B 在 09/02 23:59、C 在 08/31、D 在 09/03，均属于当前公会及本页对应记录类型</x:v>
      </x:c>
      <x:c r="J129" s="9" t="str">
        <x:v>1. 打开违规记录
2. 选择自定义日期 09/01 至 09/02
3. 确认筛选</x:v>
      </x:c>
      <x:c r="K129" s="9" t="str">
        <x:v>列表包含记录 A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来源（当前证据）：liveshow-proto/MainBasis/统一需求文档.md；位置：第 2405 行；REQ-f4b1abc721d8、第 2402 行
2. 规则：BR-AB8E5191E1082C
3. 未动态验证
4. 示例账号、编号、金额与日期是本条测试数据；执行前按前置条件准备，未填写的产品决策不得自行假定。</x:v>
      </x:c>
    </x:row>
    <x:row r="130" ht="130" customHeight="1">
      <x:c r="A130" s="10" t="n">
        <x:v>129</x:v>
      </x:c>
      <x:c r="B130" s="10" t="str">
        <x:v>GUILD-0129</x:v>
      </x:c>
      <x:c r="C130" s="10" t="str">
        <x:v>数据与收益</x:v>
      </x:c>
      <x:c r="D130" s="10" t="str">
        <x:v>违规记录（公会长）</x:v>
      </x:c>
      <x:c r="E130" s="10" t="str">
        <x:v>功能需求</x:v>
      </x:c>
      <x:c r="F130" s="10" t="str">
        <x:v>P2</x:v>
      </x:c>
      <x:c r="G130" s="9" t="str">
        <x:v>验证违规记录自定义日期包含起止日</x:v>
      </x:c>
      <x:c r="H130" s="9" t="str">
        <x:v>日期终点包含</x:v>
      </x:c>
      <x:c r="I130" s="9" t="str">
        <x:v>1. 公会长为本条执行者
2. 有业务记录 A 在 09/01 00:00、B 在 09/02 23:59、C 在 08/31、D 在 09/03，均属于当前公会及本页对应记录类型</x:v>
      </x:c>
      <x:c r="J130" s="9" t="str">
        <x:v>1. 打开违规记录
2. 选择自定义日期 09/01 至 09/02
3. 确认筛选</x:v>
      </x:c>
      <x:c r="K130" s="9" t="str">
        <x:v>列表包含记录 B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来源（当前证据）：liveshow-proto/MainBasis/统一需求文档.md；位置：第 2405 行；REQ-f4b1abc721d8、第 2402 行
2. 规则：BR-493967DF1DE8D8
3. 未动态验证
4. 示例账号、编号、金额与日期是本条测试数据；执行前按前置条件准备，未填写的产品决策不得自行假定。</x:v>
      </x:c>
    </x:row>
    <x:row r="131" ht="130" customHeight="1">
      <x:c r="A131" s="10" t="n">
        <x:v>130</x:v>
      </x:c>
      <x:c r="B131" s="10" t="str">
        <x:v>GUILD-0130</x:v>
      </x:c>
      <x:c r="C131" s="10" t="str">
        <x:v>数据与收益</x:v>
      </x:c>
      <x:c r="D131" s="10" t="str">
        <x:v>违规记录（公会长）</x:v>
      </x:c>
      <x:c r="E131" s="10" t="str">
        <x:v>功能需求</x:v>
      </x:c>
      <x:c r="F131" s="10" t="str">
        <x:v>P2</x:v>
      </x:c>
      <x:c r="G131" s="9" t="str">
        <x:v>验证违规记录自定义日期包含起止日</x:v>
      </x:c>
      <x:c r="H131" s="9" t="str">
        <x:v>日期范围外排除</x:v>
      </x:c>
      <x:c r="I131" s="9" t="str">
        <x:v>1. 公会长为本条执行者
2. 有业务记录 A 在 09/01 00:00、B 在 09/02 23:59、C 在 08/31、D 在 09/03，均属于当前公会及本页对应记录类型</x:v>
      </x:c>
      <x:c r="J131" s="9" t="str">
        <x:v>1. 打开违规记录
2. 选择自定义日期 09/01 至 09/02
3. 确认筛选</x:v>
      </x:c>
      <x:c r="K131" s="9" t="str">
        <x:v>列表不包含记录 C 和 D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来源（当前证据）：liveshow-proto/MainBasis/统一需求文档.md；位置：第 2405 行；REQ-f4b1abc721d8、第 2402 行
2. 规则：BR-943A208BD2C258
3. 未动态验证
4. 示例账号、编号、金额与日期是本条测试数据；执行前按前置条件准备，未填写的产品决策不得自行假定。</x:v>
      </x:c>
    </x:row>
    <x:row r="132" ht="130" customHeight="1">
      <x:c r="A132" s="10" t="n">
        <x:v>131</x:v>
      </x:c>
      <x:c r="B132" s="10" t="str">
        <x:v>GUILD-0131</x:v>
      </x:c>
      <x:c r="C132" s="10" t="str">
        <x:v>数据与收益</x:v>
      </x:c>
      <x:c r="D132" s="10" t="str">
        <x:v>主播分成记录（公会长）</x:v>
      </x:c>
      <x:c r="E132" s="10" t="str">
        <x:v>功能需求</x:v>
      </x:c>
      <x:c r="F132" s="10" t="str">
        <x:v>P2</x:v>
      </x:c>
      <x:c r="G132" s="9" t="str">
        <x:v>验证主播分成记录自定义日期包含起止日</x:v>
      </x:c>
      <x:c r="H132" s="9" t="str">
        <x:v>日期起点包含</x:v>
      </x:c>
      <x:c r="I132" s="9" t="str">
        <x:v>1. 公会长为本条执行者
2. 有业务记录 A 在 09/01 00:00、B 在 09/02 23:59、C 在 08/31、D 在 09/03，均属于当前公会及本页对应记录类型</x:v>
      </x:c>
      <x:c r="J132" s="9" t="str">
        <x:v>1. 打开主播分成记录
2. 选择自定义日期 09/01 至 09/02
3. 确认筛选</x:v>
      </x:c>
      <x:c r="K132" s="9" t="str">
        <x:v>列表包含记录 A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来源（当前证据）：liveshow-proto/MainBasis/统一需求文档.md；位置：第 2455 行；REQ-226cf54bb205、第 2453 行
2. 规则：BR-2EAEB205CF7EDB
3. 未动态验证
4. 示例账号、编号、金额与日期是本条测试数据；执行前按前置条件准备，未填写的产品决策不得自行假定。</x:v>
      </x:c>
    </x:row>
    <x:row r="133" ht="130" customHeight="1">
      <x:c r="A133" s="10" t="n">
        <x:v>132</x:v>
      </x:c>
      <x:c r="B133" s="10" t="str">
        <x:v>GUILD-0132</x:v>
      </x:c>
      <x:c r="C133" s="10" t="str">
        <x:v>数据与收益</x:v>
      </x:c>
      <x:c r="D133" s="10" t="str">
        <x:v>主播分成记录（公会长）</x:v>
      </x:c>
      <x:c r="E133" s="10" t="str">
        <x:v>功能需求</x:v>
      </x:c>
      <x:c r="F133" s="10" t="str">
        <x:v>P2</x:v>
      </x:c>
      <x:c r="G133" s="9" t="str">
        <x:v>验证主播分成记录自定义日期包含起止日</x:v>
      </x:c>
      <x:c r="H133" s="9" t="str">
        <x:v>日期终点包含</x:v>
      </x:c>
      <x:c r="I133" s="9" t="str">
        <x:v>1. 公会长为本条执行者
2. 有业务记录 A 在 09/01 00:00、B 在 09/02 23:59、C 在 08/31、D 在 09/03，均属于当前公会及本页对应记录类型</x:v>
      </x:c>
      <x:c r="J133" s="9" t="str">
        <x:v>1. 打开主播分成记录
2. 选择自定义日期 09/01 至 09/02
3. 确认筛选</x:v>
      </x:c>
      <x:c r="K133" s="9" t="str">
        <x:v>列表包含记录 B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来源（当前证据）：liveshow-proto/MainBasis/统一需求文档.md；位置：第 2455 行；REQ-226cf54bb205、第 2453 行
2. 规则：BR-99F8BB69797BDE
3. 未动态验证
4. 示例账号、编号、金额与日期是本条测试数据；执行前按前置条件准备，未填写的产品决策不得自行假定。</x:v>
      </x:c>
    </x:row>
    <x:row r="134" ht="130" customHeight="1">
      <x:c r="A134" s="10" t="n">
        <x:v>133</x:v>
      </x:c>
      <x:c r="B134" s="10" t="str">
        <x:v>GUILD-0133</x:v>
      </x:c>
      <x:c r="C134" s="10" t="str">
        <x:v>数据与收益</x:v>
      </x:c>
      <x:c r="D134" s="10" t="str">
        <x:v>主播分成记录（公会长）</x:v>
      </x:c>
      <x:c r="E134" s="10" t="str">
        <x:v>功能需求</x:v>
      </x:c>
      <x:c r="F134" s="10" t="str">
        <x:v>P2</x:v>
      </x:c>
      <x:c r="G134" s="9" t="str">
        <x:v>验证主播分成记录自定义日期包含起止日</x:v>
      </x:c>
      <x:c r="H134" s="9" t="str">
        <x:v>日期范围外排除</x:v>
      </x:c>
      <x:c r="I134" s="9" t="str">
        <x:v>1. 公会长为本条执行者
2. 有业务记录 A 在 09/01 00:00、B 在 09/02 23:59、C 在 08/31、D 在 09/03，均属于当前公会及本页对应记录类型</x:v>
      </x:c>
      <x:c r="J134" s="9" t="str">
        <x:v>1. 打开主播分成记录
2. 选择自定义日期 09/01 至 09/02
3. 确认筛选</x:v>
      </x:c>
      <x:c r="K134" s="9" t="str">
        <x:v>列表不包含记录 C 和 D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来源（当前证据）：liveshow-proto/MainBasis/统一需求文档.md；位置：第 2455 行；REQ-226cf54bb205、第 2453 行
2. 规则：BR-9AD6CADA6E9E27
3. 未动态验证
4. 示例账号、编号、金额与日期是本条测试数据；执行前按前置条件准备，未填写的产品决策不得自行假定。</x:v>
      </x:c>
    </x:row>
    <x:row r="135" ht="175" customHeight="1">
      <x:c r="A135" s="10" t="n">
        <x:v>134</x:v>
      </x:c>
      <x:c r="B135" s="10" t="str">
        <x:v>GUILD-0134</x:v>
      </x:c>
      <x:c r="C135" s="10" t="str">
        <x:v>账号与登录</x:v>
      </x:c>
      <x:c r="D135" s="10" t="str">
        <x:v>公会登录（公会长）</x:v>
      </x:c>
      <x:c r="E135" s="10" t="str">
        <x:v>功能需求</x:v>
      </x:c>
      <x:c r="F135" s="10" t="str">
        <x:v>P1</x:v>
      </x:c>
      <x:c r="G135" s="9" t="str">
        <x:v>验证公会被停用后公会长不能登录</x:v>
      </x:c>
      <x:c r="H135" s="9" t="str">
        <x:v>公会停用的登录影响</x:v>
      </x:c>
      <x:c r="I135" s="9" t="str">
        <x:v>1. 公会长为本条执行者
2. 公会甲已被平台停用，公会长甲凭证为停用前有效凭证</x:v>
      </x:c>
      <x:c r="J135" s="9" t="str">
        <x:v>1. 打开公会登录
2. 输入公会长甲账号和密码
3. 点击登录</x:v>
      </x:c>
      <x:c r="K135" s="9" t="str">
        <x:v>未进入选择公会页</x:v>
      </x:c>
      <x:c r="L135" s="10" t="str">
        <x:v>FLOW-BBDF5E6E</x:v>
      </x:c>
      <x:c r="M135" s="10" t="str">
        <x:v>未测</x:v>
      </x:c>
      <x:c r="N135" s="10" t="str"/>
      <x:c r="O135" s="9" t="str">
        <x:v>1. 来源（当前证据）：liveshow-proto/MainBasis/统一需求文档.md；位置：第 2048 行；REQ-0db0877f0fe5、第 2049 行；REQ-0fc472689017、第 2050 行；REQ-edeab24ec66a、第 2711 行；REQ-7f64ff578699、第 2726 行；REQ-06e5fe687f7e、第 2045 行
2. 规则：BR-F34C6AF6A04189
3. 未动态验证
4. 示例账号、编号、金额与日期是本条测试数据；执行前按前置条件准备，未填写的产品决策不得自行假定。</x:v>
      </x:c>
    </x:row>
    <x:row r="136" ht="190" customHeight="1">
      <x:c r="A136" s="10" t="n">
        <x:v>135</x:v>
      </x:c>
      <x:c r="B136" s="10" t="str">
        <x:v>GUILD-0135</x:v>
      </x:c>
      <x:c r="C136" s="10" t="str">
        <x:v>数据与收益</x:v>
      </x:c>
      <x:c r="D136" s="10" t="str">
        <x:v>公会业绩（公会长）</x:v>
      </x:c>
      <x:c r="E136" s="10" t="str">
        <x:v>功能需求</x:v>
      </x:c>
      <x:c r="F136" s="10" t="str">
        <x:v>P2</x:v>
      </x:c>
      <x:c r="G136" s="9" t="str">
        <x:v>验证公会期间开播人数跨日再次去重</x:v>
      </x:c>
      <x:c r="H136" s="9" t="str">
        <x:v>周期主播去重人数</x:v>
      </x:c>
      <x:c r="I136" s="9" t="str">
        <x:v>1. 公会长为本条执行者
2. 公会甲 D 日开播主播甲、乙，D+1 日开播主播甲、丙；四个主播日均有效直播达到 3 小时</x:v>
      </x:c>
      <x:c r="J136" s="9" t="str">
        <x:v>1. 打开公会业绩
2. 选择 D 至 D+1</x:v>
      </x:c>
      <x:c r="K136" s="9" t="str">
        <x:v>开播人数为 3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来源（当前证据）：liveshow-proto/MainBasis/统一需求文档.md；位置：第 2425 行；REQ-4df17b6aa9fa、第 2428 行；REQ-895dd4ecd051、第 2429 行；REQ-a7fc2f515b8e、第 2432 行；REQ-c4d52f906bd9、第 2433 行；REQ-c045b44e5312、第 2436 行；REQ-3257800206c1、第 2415 行
2. 规则：BR-74DD231DD78DDC
3. 未动态验证
4. 示例账号、编号、金额与日期是本条测试数据；执行前按前置条件准备，未填写的产品决策不得自行假定。</x:v>
      </x:c>
    </x:row>
    <x:row r="137" ht="190" customHeight="1">
      <x:c r="A137" s="10" t="n">
        <x:v>136</x:v>
      </x:c>
      <x:c r="B137" s="10" t="str">
        <x:v>GUILD-0136</x:v>
      </x:c>
      <x:c r="C137" s="10" t="str">
        <x:v>数据与收益</x:v>
      </x:c>
      <x:c r="D137" s="10" t="str">
        <x:v>公会业绩（公会长）</x:v>
      </x:c>
      <x:c r="E137" s="10" t="str">
        <x:v>功能需求</x:v>
      </x:c>
      <x:c r="F137" s="10" t="str">
        <x:v>P2</x:v>
      </x:c>
      <x:c r="G137" s="9" t="str">
        <x:v>验证公会期间开播人数跨日再次去重</x:v>
      </x:c>
      <x:c r="H137" s="9" t="str">
        <x:v>周期有效天总数</x:v>
      </x:c>
      <x:c r="I137" s="9" t="str">
        <x:v>1. 公会长为本条执行者
2. 公会甲 D 日开播主播甲、乙，D+1 日开播主播甲、丙；四个主播日均有效直播达到 3 小时</x:v>
      </x:c>
      <x:c r="J137" s="9" t="str">
        <x:v>1. 打开公会业绩
2. 选择 D 至 D+1</x:v>
      </x:c>
      <x:c r="K137" s="9" t="str">
        <x:v>达成有效天为 4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来源（当前证据）：liveshow-proto/MainBasis/统一需求文档.md；位置：第 2425 行；REQ-4df17b6aa9fa、第 2428 行；REQ-895dd4ecd051、第 2429 行；REQ-a7fc2f515b8e、第 2432 行；REQ-c4d52f906bd9、第 2433 行；REQ-c045b44e5312、第 2436 行；REQ-3257800206c1、第 2415 行
2. 规则：BR-803ED78CA9D0BC
3. 未动态验证
4. 示例账号、编号、金额与日期是本条测试数据；执行前按前置条件准备，未填写的产品决策不得自行假定。</x:v>
      </x:c>
    </x:row>
    <x:row r="138" ht="175" customHeight="1">
      <x:c r="A138" s="10" t="n">
        <x:v>137</x:v>
      </x:c>
      <x:c r="B138" s="10" t="str">
        <x:v>GUILD-0137</x:v>
      </x:c>
      <x:c r="C138" s="10" t="str">
        <x:v>数据与收益</x:v>
      </x:c>
      <x:c r="D138" s="10" t="str">
        <x:v>直播记录（公会长）</x:v>
      </x:c>
      <x:c r="E138" s="10" t="str">
        <x:v>功能需求</x:v>
      </x:c>
      <x:c r="F138" s="10" t="str">
        <x:v>P2</x:v>
      </x:c>
      <x:c r="G138" s="9" t="str">
        <x:v>验证公会直播记录按实际筛选汇总</x:v>
      </x:c>
      <x:c r="H138" s="9" t="str">
        <x:v>筛选后开播人数</x:v>
      </x:c>
      <x:c r="I138" s="9" t="str">
        <x:v>1. 公会长为本条执行者
2. 公会甲所选日期只有主播甲两场、主播乙一场直播；主播丙不在所选日期开播</x:v>
      </x:c>
      <x:c r="J138" s="9" t="str">
        <x:v>1. 打开直播记录
2. 选择主播甲和乙
3. 选择该日期</x:v>
      </x:c>
      <x:c r="K138" s="9" t="str">
        <x:v>开播人数为 2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来源（当前证据）：liveshow-proto/MainBasis/统一需求文档.md；位置：第 2363 行；REQ-b8fbc07e8999、第 2372 行；REQ-b852b846541e、第 2373 行；REQ-5a047639c8df、第 2375 行；REQ-201858313f73、第 2376 行；REQ-a31a4484f0c8、第 2359 行
2. 规则：BR-EC016C7833E127
3. 未动态验证
4. 示例账号、编号、金额与日期是本条测试数据；执行前按前置条件准备，未填写的产品决策不得自行假定。</x:v>
      </x:c>
    </x:row>
    <x:row r="139" ht="175" customHeight="1">
      <x:c r="A139" s="10" t="n">
        <x:v>138</x:v>
      </x:c>
      <x:c r="B139" s="10" t="str">
        <x:v>GUILD-0138</x:v>
      </x:c>
      <x:c r="C139" s="10" t="str">
        <x:v>数据与收益</x:v>
      </x:c>
      <x:c r="D139" s="10" t="str">
        <x:v>直播记录（公会长）</x:v>
      </x:c>
      <x:c r="E139" s="10" t="str">
        <x:v>功能需求</x:v>
      </x:c>
      <x:c r="F139" s="10" t="str">
        <x:v>P2</x:v>
      </x:c>
      <x:c r="G139" s="9" t="str">
        <x:v>验证公会直播记录按实际筛选汇总</x:v>
      </x:c>
      <x:c r="H139" s="9" t="str">
        <x:v>筛选后场次数</x:v>
      </x:c>
      <x:c r="I139" s="9" t="str">
        <x:v>1. 公会长为本条执行者
2. 公会甲所选日期只有主播甲两场、主播乙一场直播；主播丙不在所选日期开播</x:v>
      </x:c>
      <x:c r="J139" s="9" t="str">
        <x:v>1. 打开直播记录
2. 选择主播甲和乙
3. 选择该日期</x:v>
      </x:c>
      <x:c r="K139" s="9" t="str">
        <x:v>直播场次为 3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来源（当前证据）：liveshow-proto/MainBasis/统一需求文档.md；位置：第 2363 行；REQ-b8fbc07e8999、第 2372 行；REQ-b852b846541e、第 2373 行；REQ-5a047639c8df、第 2375 行；REQ-201858313f73、第 2376 行；REQ-a31a4484f0c8、第 2359 行
2. 规则：BR-464709B1FF75A0
3. 未动态验证
4. 示例账号、编号、金额与日期是本条测试数据；执行前按前置条件准备，未填写的产品决策不得自行假定。</x:v>
      </x:c>
    </x:row>
    <x:row r="140" ht="160" customHeight="1">
      <x:c r="A140" s="10" t="n">
        <x:v>139</x:v>
      </x:c>
      <x:c r="B140" s="10" t="str">
        <x:v>GUILD-0139</x:v>
      </x:c>
      <x:c r="C140" s="10" t="str">
        <x:v>数据与收益</x:v>
      </x:c>
      <x:c r="D140" s="10" t="str">
        <x:v>直播场次详情（公会长）</x:v>
      </x:c>
      <x:c r="E140" s="10" t="str">
        <x:v>功能需求</x:v>
      </x:c>
      <x:c r="F140" s="10" t="str">
        <x:v>P2</x:v>
      </x:c>
      <x:c r="G140" s="9" t="str">
        <x:v>验证公会场次观众与礼物统计区分事件次数</x:v>
      </x:c>
      <x:c r="H140" s="9" t="str">
        <x:v>场次观众去重</x:v>
      </x:c>
      <x:c r="I140" s="9" t="str">
        <x:v>1. 公会长为本条执行者
2. S001 有观众甲进入2次、观众乙1次；甲成功送礼2笔共5件，乙未送礼</x:v>
      </x:c>
      <x:c r="J140" s="9" t="str">
        <x:v>1. 打开 S001 直播场次详情</x:v>
      </x:c>
      <x:c r="K140" s="9" t="str">
        <x:v>观众数量为 2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 2393 行；REQ-8bae2a494638、第 2394 行；REQ-27630e55c9ee、第 2395 行；REQ-77644e12086b、第 2379 行
2. 规则：BR-4D20D98929D65C
3. 未动态验证
4. 示例账号、编号、金额与日期是本条测试数据；执行前按前置条件准备，未填写的产品决策不得自行假定。</x:v>
      </x:c>
    </x:row>
    <x:row r="141" ht="160" customHeight="1">
      <x:c r="A141" s="10" t="n">
        <x:v>140</x:v>
      </x:c>
      <x:c r="B141" s="10" t="str">
        <x:v>GUILD-0140</x:v>
      </x:c>
      <x:c r="C141" s="10" t="str">
        <x:v>数据与收益</x:v>
      </x:c>
      <x:c r="D141" s="10" t="str">
        <x:v>直播场次详情（公会长）</x:v>
      </x:c>
      <x:c r="E141" s="10" t="str">
        <x:v>功能需求</x:v>
      </x:c>
      <x:c r="F141" s="10" t="str">
        <x:v>P2</x:v>
      </x:c>
      <x:c r="G141" s="9" t="str">
        <x:v>验证公会场次观众与礼物统计区分事件次数</x:v>
      </x:c>
      <x:c r="H141" s="9" t="str">
        <x:v>场次送礼观众去重</x:v>
      </x:c>
      <x:c r="I141" s="9" t="str">
        <x:v>1. 公会长为本条执行者
2. S001 有观众甲进入2次、观众乙1次；甲成功送礼2笔共5件，乙未送礼</x:v>
      </x:c>
      <x:c r="J141" s="9" t="str">
        <x:v>1. 打开 S001 直播场次详情</x:v>
      </x:c>
      <x:c r="K141" s="9" t="str">
        <x:v>送礼观众为 1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 2393 行；REQ-8bae2a494638、第 2394 行；REQ-27630e55c9ee、第 2395 行；REQ-77644e12086b、第 2379 行
2. 规则：BR-4A04E2C183854B
3. 未动态验证
4. 示例账号、编号、金额与日期是本条测试数据；执行前按前置条件准备，未填写的产品决策不得自行假定。</x:v>
      </x:c>
    </x:row>
    <x:row r="142" ht="160" customHeight="1">
      <x:c r="A142" s="10" t="n">
        <x:v>141</x:v>
      </x:c>
      <x:c r="B142" s="10" t="str">
        <x:v>GUILD-0141</x:v>
      </x:c>
      <x:c r="C142" s="10" t="str">
        <x:v>数据与收益</x:v>
      </x:c>
      <x:c r="D142" s="10" t="str">
        <x:v>直播场次详情（公会长）</x:v>
      </x:c>
      <x:c r="E142" s="10" t="str">
        <x:v>功能需求</x:v>
      </x:c>
      <x:c r="F142" s="10" t="str">
        <x:v>P2</x:v>
      </x:c>
      <x:c r="G142" s="9" t="str">
        <x:v>验证公会场次观众与礼物统计区分事件次数</x:v>
      </x:c>
      <x:c r="H142" s="9" t="str">
        <x:v>场次礼物件数</x:v>
      </x:c>
      <x:c r="I142" s="9" t="str">
        <x:v>1. 公会长为本条执行者
2. S001 有观众甲进入2次、观众乙1次；甲成功送礼2笔共5件，乙未送礼</x:v>
      </x:c>
      <x:c r="J142" s="9" t="str">
        <x:v>1. 打开 S001 直播场次详情</x:v>
      </x:c>
      <x:c r="K142" s="9" t="str">
        <x:v>礼物数量为 5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 2393 行；REQ-8bae2a494638、第 2394 行；REQ-27630e55c9ee、第 2395 行；REQ-77644e12086b、第 2379 行
2. 规则：BR-DDAC5B8843D653
3. 未动态验证
4. 示例账号、编号、金额与日期是本条测试数据；执行前按前置条件准备，未填写的产品决策不得自行假定。</x:v>
      </x:c>
    </x:row>
    <x:row r="143" ht="145" customHeight="1">
      <x:c r="A143" s="10" t="n">
        <x:v>142</x:v>
      </x:c>
      <x:c r="B143" s="10" t="str">
        <x:v>GUILD-0142</x:v>
      </x:c>
      <x:c r="C143" s="10" t="str">
        <x:v>数据与收益</x:v>
      </x:c>
      <x:c r="D143" s="10" t="str">
        <x:v>主播数据（公会长）</x:v>
      </x:c>
      <x:c r="E143" s="10" t="str">
        <x:v>功能需求</x:v>
      </x:c>
      <x:c r="F143" s="10" t="str">
        <x:v>P2</x:v>
      </x:c>
      <x:c r="G143" s="9" t="str">
        <x:v>验证公会主播新增粉丝不扣减取关</x:v>
      </x:c>
      <x:c r="H143" s="9" t="str">
        <x:v>新增粉丝非净增量</x:v>
      </x:c>
      <x:c r="I143" s="9" t="str">
        <x:v>1. 公会长为本条执行者
2. 主播甲所选日期新增关注 3 人，其中 1 人当天又取消关注</x:v>
      </x:c>
      <x:c r="J143" s="9" t="str">
        <x:v>1. 打开主播数据
2. 选择该日期</x:v>
      </x:c>
      <x:c r="K143" s="9" t="str">
        <x:v>新增粉丝为 3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 2188 行；REQ-3ea539e255fe、第 2192 行；REQ-470abdcad474、第 2178 行
2. 规则：BR-D9599C5CDCF712
3. 未动态验证
4. 示例账号、编号、金额与日期是本条测试数据；执行前按前置条件准备，未填写的产品决策不得自行假定。</x:v>
      </x:c>
    </x:row>
    <x:row r="144" ht="145" customHeight="1">
      <x:c r="A144" s="10" t="n">
        <x:v>143</x:v>
      </x:c>
      <x:c r="B144" s="10" t="str">
        <x:v>GUILD-0143</x:v>
      </x:c>
      <x:c r="C144" s="10" t="str">
        <x:v>主播管理</x:v>
      </x:c>
      <x:c r="D144" s="10" t="str">
        <x:v>主播业绩（公会长）</x:v>
      </x:c>
      <x:c r="E144" s="10" t="str">
        <x:v>功能需求</x:v>
      </x:c>
      <x:c r="F144" s="10" t="str">
        <x:v>P2</x:v>
      </x:c>
      <x:c r="G144" s="9" t="str">
        <x:v>验证已退会主播只保留原公会期间业绩</x:v>
      </x:c>
      <x:c r="H144" s="9" t="str">
        <x:v>历史公会业绩归属</x:v>
      </x:c>
      <x:c r="I144" s="9" t="str">
        <x:v>1. 公会长为本条执行者
2. 主播甲在公会甲期间收益100金币，退出并加入公会乙后收益200金币；当前公会为甲</x:v>
      </x:c>
      <x:c r="J144" s="9" t="str">
        <x:v>1. 打开主播业绩
2. 查询主播甲</x:v>
      </x:c>
      <x:c r="K144" s="9" t="str">
        <x:v>属于公会甲的金币收益为 100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 2165 行；REQ-c2705d48361c、第 2173 行；REQ-d6fc92786e6e、第 2158 行
2. 规则：BR-F9246A34E061F2
3. 未动态验证
4. 示例账号、编号、金额与日期是本条测试数据；执行前按前置条件准备，未填写的产品决策不得自行假定。</x:v>
      </x:c>
    </x:row>
    <x:row r="145" ht="145" customHeight="1">
      <x:c r="A145" s="10" t="n">
        <x:v>144</x:v>
      </x:c>
      <x:c r="B145" s="10" t="str">
        <x:v>GUILD-0144</x:v>
      </x:c>
      <x:c r="C145" s="10" t="str">
        <x:v>主播管理</x:v>
      </x:c>
      <x:c r="D145" s="10" t="str">
        <x:v>主播业绩（公会长）</x:v>
      </x:c>
      <x:c r="E145" s="10" t="str">
        <x:v>功能需求</x:v>
      </x:c>
      <x:c r="F145" s="10" t="str">
        <x:v>P2</x:v>
      </x:c>
      <x:c r="G145" s="9" t="str">
        <x:v>验证已退会主播只保留原公会期间业绩</x:v>
      </x:c>
      <x:c r="H145" s="9" t="str">
        <x:v>历史主播退会标记</x:v>
      </x:c>
      <x:c r="I145" s="9" t="str">
        <x:v>1. 公会长为本条执行者
2. 主播甲在公会甲期间收益100金币，退出并加入公会乙后收益200金币；当前公会为甲</x:v>
      </x:c>
      <x:c r="J145" s="9" t="str">
        <x:v>1. 打开主播业绩
2. 查询主播甲</x:v>
      </x:c>
      <x:c r="K145" s="9" t="str">
        <x:v>主播甲显示“退会”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 2165 行；REQ-c2705d48361c、第 2173 行；REQ-d6fc92786e6e、第 2158 行
2. 规则：BR-BC82A08B98931D
3. 未动态验证
4. 示例账号、编号、金额与日期是本条测试数据；执行前按前置条件准备，未填写的产品决策不得自行假定。</x:v>
      </x:c>
    </x:row>
    <x:row r="146" ht="145" customHeight="1">
      <x:c r="A146" s="10" t="n">
        <x:v>145</x:v>
      </x:c>
      <x:c r="B146" s="10" t="str">
        <x:v>GUILD-0145</x:v>
      </x:c>
      <x:c r="C146" s="10" t="str">
        <x:v>数据与收益</x:v>
      </x:c>
      <x:c r="D146" s="10" t="str">
        <x:v>每日（公会长）</x:v>
      </x:c>
      <x:c r="E146" s="10" t="str">
        <x:v>功能需求</x:v>
      </x:c>
      <x:c r="F146" s="10" t="str">
        <x:v>P2</x:v>
      </x:c>
      <x:c r="G146" s="9" t="str">
        <x:v>验证公会每日详情查看今日</x:v>
      </x:c>
      <x:c r="H146" s="9" t="str">
        <x:v>每日开播人数时点</x:v>
      </x:c>
      <x:c r="I146" s="9" t="str">
        <x:v>1. 公会长为本条执行者
2. 公会甲昨日有甲、乙开播，今天只有甲当前在线直播</x:v>
      </x:c>
      <x:c r="J146" s="9" t="str">
        <x:v>1. 打开每日详情
2. 选择今日</x:v>
      </x:c>
      <x:c r="K146" s="9" t="str">
        <x:v>直播中人数为 1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来源（当前证据）：liveshow-proto/MainBasis/统一需求文档.md；位置：第 2440 行；REQ-cd4e81aab118、第 2448 行；REQ-b03f834055b4、第 2439 行
2. 规则：BR-43AC7D7C3267A3
3. 未动态验证
4. 示例账号、编号、金额与日期是本条测试数据；执行前按前置条件准备，未填写的产品决策不得自行假定。</x:v>
      </x:c>
    </x:row>
    <x:row r="147" ht="145" customHeight="1">
      <x:c r="A147" s="10" t="n">
        <x:v>146</x:v>
      </x:c>
      <x:c r="B147" s="10" t="str">
        <x:v>GUILD-0146</x:v>
      </x:c>
      <x:c r="C147" s="10" t="str">
        <x:v>数据与收益</x:v>
      </x:c>
      <x:c r="D147" s="10" t="str">
        <x:v>每日（公会长）</x:v>
      </x:c>
      <x:c r="E147" s="10" t="str">
        <x:v>功能需求</x:v>
      </x:c>
      <x:c r="F147" s="10" t="str">
        <x:v>P2</x:v>
      </x:c>
      <x:c r="G147" s="9" t="str">
        <x:v>验证公会每日详情查看历史日</x:v>
      </x:c>
      <x:c r="H147" s="9" t="str">
        <x:v>每日开播人数时点</x:v>
      </x:c>
      <x:c r="I147" s="9" t="str">
        <x:v>1. 公会长为本条执行者
2. 公会甲昨日有甲、乙开播，今天只有甲当前在线直播</x:v>
      </x:c>
      <x:c r="J147" s="9" t="str">
        <x:v>1. 打开每日详情
2. 选择昨日</x:v>
      </x:c>
      <x:c r="K147" s="9" t="str">
        <x:v>直播中人数为 2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来源（当前证据）：liveshow-proto/MainBasis/统一需求文档.md；位置：第 2440 行；REQ-cd4e81aab118、第 2448 行；REQ-b03f834055b4、第 2439 行
2. 规则：BR-C66A25783176F0
3. 未动态验证
4. 示例账号、编号、金额与日期是本条测试数据；执行前按前置条件准备，未填写的产品决策不得自行假定。</x:v>
      </x:c>
    </x:row>
    <x:row r="148" ht="160" customHeight="1">
      <x:c r="A148" s="10" t="n">
        <x:v>147</x:v>
      </x:c>
      <x:c r="B148" s="10" t="str">
        <x:v>GUILD-0147</x:v>
      </x:c>
      <x:c r="C148" s="10" t="str">
        <x:v>数据与收益</x:v>
      </x:c>
      <x:c r="D148" s="10" t="str">
        <x:v>主播分成记录（公会长）</x:v>
      </x:c>
      <x:c r="E148" s="10" t="str">
        <x:v>功能需求</x:v>
      </x:c>
      <x:c r="F148" s="10" t="str">
        <x:v>P2</x:v>
      </x:c>
      <x:c r="G148" s="9" t="str">
        <x:v>验证主播分成按入账时间跨月筛选</x:v>
      </x:c>
      <x:c r="H148" s="9" t="str">
        <x:v>分成入账时间范围</x:v>
      </x:c>
      <x:c r="I148" s="9" t="str">
        <x:v>1. 公会长为本条执行者
2. 主播甲收益所属月份为 8 月，财务分成于 9 月 2 日入账 10.25 USD</x:v>
      </x:c>
      <x:c r="J148" s="9" t="str">
        <x:v>1. 打开主播分成记录
2. 选择 9 月日期范围</x:v>
      </x:c>
      <x:c r="K148" s="9" t="str">
        <x:v>列表包含 9 月 2 日的 10.25 USD 分成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来源（当前证据）：liveshow-proto/MainBasis/统一需求文档.md；位置：第 2456 行；REQ-40165a196f29、第 2458 行；REQ-7363006e887b、第 2461 行；REQ-50ee1a396c02、第 2453 行
2. 规则：BR-4724378B46103A
3. 未动态验证
4. 示例账号、编号、金额与日期是本条测试数据；执行前按前置条件准备，未填写的产品决策不得自行假定。</x:v>
      </x:c>
    </x:row>
    <x:row r="149" ht="130" customHeight="1">
      <x:c r="A149" s="10" t="n">
        <x:v>148</x:v>
      </x:c>
      <x:c r="B149" s="10" t="str">
        <x:v>GUILD-0148</x:v>
      </x:c>
      <x:c r="C149" s="10" t="str">
        <x:v>审批管理</x:v>
      </x:c>
      <x:c r="D149" s="10" t="str">
        <x:v>入会申请详情（公会长）</x:v>
      </x:c>
      <x:c r="E149" s="10" t="str">
        <x:v>功能需求</x:v>
      </x:c>
      <x:c r="F149" s="10" t="str">
        <x:v>P2</x:v>
      </x:c>
      <x:c r="G149" s="9" t="str">
        <x:v>验证公会驳回理由 0 字符</x:v>
      </x:c>
      <x:c r="H149" s="9" t="str">
        <x:v>公会驳回理由长度</x:v>
      </x:c>
      <x:c r="I149" s="9" t="str">
        <x:v>1. 公会长为本条执行者
2. 入会申请 J001 待公会初审，资料已齐全</x:v>
      </x:c>
      <x:c r="J149" s="9" t="str">
        <x:v>1. 打开 J001 入会申请详情
2. 点击驳回
3. 清空驳回理由
4. 确认驳回</x:v>
      </x:c>
      <x:c r="K149" s="9" t="str">
        <x:v>驳回节点理由显示“未填写”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来源（当前证据）：liveshow-proto/MainBasis/统一需求文档.md；位置：第 2114 行；REQ-cf1b70d3c79f、第 2105 行
2. 规则：BR-89DF96CC16E2C1
3. 未动态验证
4. 示例账号、编号、金额与日期是本条测试数据；执行前按前置条件准备，未填写的产品决策不得自行假定。</x:v>
      </x:c>
    </x:row>
    <x:row r="150" ht="130" customHeight="1">
      <x:c r="A150" s="10" t="n">
        <x:v>149</x:v>
      </x:c>
      <x:c r="B150" s="10" t="str">
        <x:v>GUILD-0149</x:v>
      </x:c>
      <x:c r="C150" s="10" t="str">
        <x:v>审批管理</x:v>
      </x:c>
      <x:c r="D150" s="10" t="str">
        <x:v>入会申请详情（公会长）</x:v>
      </x:c>
      <x:c r="E150" s="10" t="str">
        <x:v>功能需求</x:v>
      </x:c>
      <x:c r="F150" s="10" t="str">
        <x:v>P2</x:v>
      </x:c>
      <x:c r="G150" s="9" t="str">
        <x:v>验证公会驳回理由 200 字符</x:v>
      </x:c>
      <x:c r="H150" s="9" t="str">
        <x:v>公会驳回理由长度</x:v>
      </x:c>
      <x:c r="I150" s="9" t="str">
        <x:v>1. 公会长为本条执行者
2. 入会申请 J001 待公会初审，资料已齐全</x:v>
      </x:c>
      <x:c r="J150" s="9" t="str">
        <x:v>1. 打开 J001 入会申请详情
2. 点击驳回
3. 输入 200 个“测”作为驳回理由
4. 确认驳回</x:v>
      </x:c>
      <x:c r="K150" s="9" t="str">
        <x:v>驳回理由保存为 200 个“测”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来源（当前证据）：liveshow-proto/MainBasis/统一需求文档.md；位置：第 2114 行；REQ-cf1b70d3c79f、第 2105 行
2. 规则：BR-D25F46B25BB212
3. 未动态验证
4. 示例账号、编号、金额与日期是本条测试数据；执行前按前置条件准备，未填写的产品决策不得自行假定。</x:v>
      </x:c>
    </x:row>
    <x:row r="151" ht="130" customHeight="1">
      <x:c r="A151" s="10" t="n">
        <x:v>150</x:v>
      </x:c>
      <x:c r="B151" s="10" t="str">
        <x:v>GUILD-0150</x:v>
      </x:c>
      <x:c r="C151" s="10" t="str">
        <x:v>审批管理</x:v>
      </x:c>
      <x:c r="D151" s="10" t="str">
        <x:v>入会申请详情（公会长）</x:v>
      </x:c>
      <x:c r="E151" s="10" t="str">
        <x:v>功能需求</x:v>
      </x:c>
      <x:c r="F151" s="10" t="str">
        <x:v>P2</x:v>
      </x:c>
      <x:c r="G151" s="9" t="str">
        <x:v>验证公会驳回理由 201 字符</x:v>
      </x:c>
      <x:c r="H151" s="9" t="str">
        <x:v>公会驳回理由长度</x:v>
      </x:c>
      <x:c r="I151" s="9" t="str">
        <x:v>1. 公会长为本条执行者
2. 入会申请 J001 待公会初审，资料已齐全</x:v>
      </x:c>
      <x:c r="J151" s="9" t="str">
        <x:v>1. 打开 J001 入会申请详情
2. 点击驳回
3. 输入 201 个“测”作为驳回理由
4. 确认驳回</x:v>
      </x:c>
      <x:c r="K151" s="9" t="str">
        <x:v>未以 201 字符理由提交驳回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来源（当前证据）：liveshow-proto/MainBasis/统一需求文档.md；位置：第 2114 行；REQ-cf1b70d3c79f、第 2105 行
2. 规则：BR-5D162A7E99CC19
3. 未动态验证
4. 示例账号、编号、金额与日期是本条测试数据；执行前按前置条件准备，未填写的产品决策不得自行假定。</x:v>
      </x:c>
    </x:row>
    <x:row r="152" ht="130" customHeight="1">
      <x:c r="A152" s="10" t="n">
        <x:v>151</x:v>
      </x:c>
      <x:c r="B152" s="10" t="str">
        <x:v>GUILD-0151</x:v>
      </x:c>
      <x:c r="C152" s="10" t="str">
        <x:v>首页与发现</x:v>
      </x:c>
      <x:c r="D152" s="10" t="str">
        <x:v>首页（公会长）</x:v>
      </x:c>
      <x:c r="E152" s="10" t="str">
        <x:v>功能需求</x:v>
      </x:c>
      <x:c r="F152" s="10" t="str">
        <x:v>P2</x:v>
      </x:c>
      <x:c r="G152" s="9" t="str">
        <x:v>验证首页显示目标记录的名称</x:v>
      </x:c>
      <x:c r="H152" s="9" t="str">
        <x:v>名称与当前对象绑定</x:v>
      </x:c>
      <x:c r="I152" s="9" t="str">
        <x:v>1. 公会长为本条执行者
2. 公会长账号已登录
3. 首页中目标记录唯一可定位为记录甲；目标记录满足本页展示范围
4. 该记录的名称来源值为“测试名称甲”；另有记录乙的同字段值不同，二者不混用</x:v>
      </x:c>
      <x:c r="J152" s="9" t="str">
        <x:v>1. 打开首页
2. 查看记录甲的名称</x:v>
      </x:c>
      <x:c r="K152" s="9" t="str">
        <x:v>记录甲的名称显示“测试名称甲”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来源（当前证据）：liveshow-proto/MainBasis/统一需求文档.md；位置：第 2063 行；REQ-fe7aaa3b42c1、第 2062 行
2. 规则：BR-02141FA36F2EB7
3. 未动态验证
4. 示例账号、编号、金额与日期是本条测试数据；执行前按前置条件准备，未填写的产品决策不得自行假定。</x:v>
      </x:c>
    </x:row>
    <x:row r="153" ht="130" customHeight="1">
      <x:c r="A153" s="10" t="n">
        <x:v>152</x:v>
      </x:c>
      <x:c r="B153" s="10" t="str">
        <x:v>GUILD-0152</x:v>
      </x:c>
      <x:c r="C153" s="10" t="str">
        <x:v>首页与发现</x:v>
      </x:c>
      <x:c r="D153" s="10" t="str">
        <x:v>首页（公会长）</x:v>
      </x:c>
      <x:c r="E153" s="10" t="str">
        <x:v>功能需求</x:v>
      </x:c>
      <x:c r="F153" s="10" t="str">
        <x:v>P2</x:v>
      </x:c>
      <x:c r="G153" s="9" t="str">
        <x:v>验证首页显示目标记录的ID</x:v>
      </x:c>
      <x:c r="H153" s="9" t="str">
        <x:v>ID与当前对象绑定</x:v>
      </x:c>
      <x:c r="I153" s="9" t="str">
        <x:v>1. 公会长为本条执行者
2. 公会长账号已登录
3. 首页中目标记录唯一可定位为记录甲；目标记录满足本页展示范围
4. 该记录的ID来源值为“1001”；另有记录乙的同字段值不同，二者不混用</x:v>
      </x:c>
      <x:c r="J153" s="9" t="str">
        <x:v>1. 打开首页
2. 查看记录甲的ID</x:v>
      </x:c>
      <x:c r="K153" s="9" t="str">
        <x:v>记录甲的ID显示“1001”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来源（当前证据）：liveshow-proto/MainBasis/统一需求文档.md；位置：第 2063 行；REQ-fe7aaa3b42c1、第 2062 行
2. 规则：BR-DA98D84CE44B46
3. 未动态验证
4. 示例账号、编号、金额与日期是本条测试数据；执行前按前置条件准备，未填写的产品决策不得自行假定。</x:v>
      </x:c>
    </x:row>
    <x:row r="154" ht="130" customHeight="1">
      <x:c r="A154" s="10" t="n">
        <x:v>153</x:v>
      </x:c>
      <x:c r="B154" s="10" t="str">
        <x:v>GUILD-0153</x:v>
      </x:c>
      <x:c r="C154" s="10" t="str">
        <x:v>首页与发现</x:v>
      </x:c>
      <x:c r="D154" s="10" t="str">
        <x:v>通知消息（公会长）</x:v>
      </x:c>
      <x:c r="E154" s="10" t="str">
        <x:v>功能需求</x:v>
      </x:c>
      <x:c r="F154" s="10" t="str">
        <x:v>P2</x:v>
      </x:c>
      <x:c r="G154" s="9" t="str">
        <x:v>验证通知消息显示目标记录的标题</x:v>
      </x:c>
      <x:c r="H154" s="9" t="str">
        <x:v>标题与当前对象绑定</x:v>
      </x:c>
      <x:c r="I154" s="9" t="str">
        <x:v>1. 公会长为本条执行者
2. 公会长账号已登录
3. 通知消息中目标记录唯一可定位为记录甲；目标记录满足本页展示范围
4. 该记录的标题来源值为“测试通知甲”；另有记录乙的同字段值不同，二者不混用</x:v>
      </x:c>
      <x:c r="J154" s="9" t="str">
        <x:v>1. 打开通知消息
2. 查看记录甲的标题</x:v>
      </x:c>
      <x:c r="K154" s="9" t="str">
        <x:v>记录甲的标题显示“测试通知甲”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来源（当前证据）：liveshow-proto/MainBasis/统一需求文档.md；位置：第 2075 行；REQ-8c6a1c183e1a、第 2074 行
2. 规则：BR-DB43E5621693CF
3. 未动态验证
4. 示例账号、编号、金额与日期是本条测试数据；执行前按前置条件准备，未填写的产品决策不得自行假定。</x:v>
      </x:c>
    </x:row>
    <x:row r="155" ht="130" customHeight="1">
      <x:c r="A155" s="10" t="n">
        <x:v>154</x:v>
      </x:c>
      <x:c r="B155" s="10" t="str">
        <x:v>GUILD-0154</x:v>
      </x:c>
      <x:c r="C155" s="10" t="str">
        <x:v>首页与发现</x:v>
      </x:c>
      <x:c r="D155" s="10" t="str">
        <x:v>通知详情（公会长）</x:v>
      </x:c>
      <x:c r="E155" s="10" t="str">
        <x:v>功能需求</x:v>
      </x:c>
      <x:c r="F155" s="10" t="str">
        <x:v>P2</x:v>
      </x:c>
      <x:c r="G155" s="9" t="str">
        <x:v>验证通知详情显示目标记录的标题</x:v>
      </x:c>
      <x:c r="H155" s="9" t="str">
        <x:v>标题与当前对象绑定</x:v>
      </x:c>
      <x:c r="I155" s="9" t="str">
        <x:v>1. 公会长为本条执行者
2. 公会长账号已登录
3. 通知详情中目标记录唯一可定位为记录甲；目标记录满足本页展示范围
4. 该记录的标题来源值为“测试通知甲”；另有记录乙的同字段值不同，二者不混用</x:v>
      </x:c>
      <x:c r="J155" s="9" t="str">
        <x:v>1. 打开通知详情
2. 查看记录甲的标题</x:v>
      </x:c>
      <x:c r="K155" s="9" t="str">
        <x:v>记录甲的标题显示“测试通知甲”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 2087 行；REQ-f1b1d7a499b3、第 2086 行
2. 规则：BR-338EE1313CA898
3. 未动态验证
4. 示例账号、编号、金额与日期是本条测试数据；执行前按前置条件准备，未填写的产品决策不得自行假定。</x:v>
      </x:c>
    </x:row>
    <x:row r="156" ht="190" customHeight="1">
      <x:c r="A156" s="10" t="n">
        <x:v>155</x:v>
      </x:c>
      <x:c r="B156" s="10" t="str">
        <x:v>GUILD-0155</x:v>
      </x:c>
      <x:c r="C156" s="10" t="str">
        <x:v>首页与发现</x:v>
      </x:c>
      <x:c r="D156" s="10" t="str">
        <x:v>通知详情（公会长）</x:v>
      </x:c>
      <x:c r="E156" s="10" t="str">
        <x:v>功能需求</x:v>
      </x:c>
      <x:c r="F156" s="10" t="str">
        <x:v>P2</x:v>
      </x:c>
      <x:c r="G156" s="9" t="str">
        <x:v>验证通知详情显示目标记录的发送时间</x:v>
      </x:c>
      <x:c r="H156" s="9" t="str">
        <x:v>发送时间与当前对象绑定</x:v>
      </x:c>
      <x:c r="I156" s="9" t="str">
        <x:v>1. 公会长为本条执行者
2. 公会长账号已登录
3. 通知详情中目标记录唯一可定位为记录甲；目标记录满足本页展示范围
4. 该记录的发送时间来源值为“2026/09/14 10:06”；另有记录乙的同字段值不同，二者不混用
5. 日期时间均以当前页面使用的时区准备，不测试尚未确认的跨时区换算</x:v>
      </x:c>
      <x:c r="J156" s="9" t="str">
        <x:v>1. 打开通知详情
2. 查看记录甲的发送时间</x:v>
      </x:c>
      <x:c r="K156" s="9" t="str">
        <x:v>记录甲的发送时间表示测试时刻“2026/09/14 10:06”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 2088 行；REQ-b3a0c4bc92a4、第 2086 行
2. 规则：BR-82A02923E9C441
3. 未动态验证
4. 示例账号、编号、金额与日期是本条测试数据；执行前按前置条件准备，未填写的产品决策不得自行假定。</x:v>
      </x:c>
    </x:row>
    <x:row r="157" ht="145" customHeight="1">
      <x:c r="A157" s="10" t="n">
        <x:v>156</x:v>
      </x:c>
      <x:c r="B157" s="10" t="str">
        <x:v>GUILD-0156</x:v>
      </x:c>
      <x:c r="C157" s="10" t="str">
        <x:v>首页与发现</x:v>
      </x:c>
      <x:c r="D157" s="10" t="str">
        <x:v>通知详情（公会长）</x:v>
      </x:c>
      <x:c r="E157" s="10" t="str">
        <x:v>功能需求</x:v>
      </x:c>
      <x:c r="F157" s="10" t="str">
        <x:v>P2</x:v>
      </x:c>
      <x:c r="G157" s="9" t="str">
        <x:v>验证通知详情显示目标记录的正文</x:v>
      </x:c>
      <x:c r="H157" s="9" t="str">
        <x:v>正文与当前对象绑定</x:v>
      </x:c>
      <x:c r="I157" s="9" t="str">
        <x:v>1. 公会长为本条执行者
2. 公会长账号已登录
3. 通知详情中目标记录唯一可定位为记录甲；目标记录满足本页展示范围
4. 该记录的正文来源值为“测试业务通知内容甲”；另有记录乙的同字段值不同，二者不混用</x:v>
      </x:c>
      <x:c r="J157" s="9" t="str">
        <x:v>1. 打开通知详情
2. 查看记录甲的正文</x:v>
      </x:c>
      <x:c r="K157" s="9" t="str">
        <x:v>记录甲的正文显示“测试业务通知内容甲”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 2089 行；REQ-f3d0239d304c、第 2086 行
2. 规则：BR-ED27BAC8CAD1E6
3. 未动态验证
4. 示例账号、编号、金额与日期是本条测试数据；执行前按前置条件准备，未填写的产品决策不得自行假定。</x:v>
      </x:c>
    </x:row>
    <x:row r="158" ht="130" customHeight="1">
      <x:c r="A158" s="10" t="n">
        <x:v>157</x:v>
      </x:c>
      <x:c r="B158" s="10" t="str">
        <x:v>GUILD-0157</x:v>
      </x:c>
      <x:c r="C158" s="10" t="str">
        <x:v>审批管理</x:v>
      </x:c>
      <x:c r="D158" s="10" t="str">
        <x:v>入会申请（公会长）</x:v>
      </x:c>
      <x:c r="E158" s="10" t="str">
        <x:v>功能需求</x:v>
      </x:c>
      <x:c r="F158" s="10" t="str">
        <x:v>P2</x:v>
      </x:c>
      <x:c r="G158" s="9" t="str">
        <x:v>验证入会申请显示目标记录的名称</x:v>
      </x:c>
      <x:c r="H158" s="9" t="str">
        <x:v>名称与当前对象绑定</x:v>
      </x:c>
      <x:c r="I158" s="9" t="str">
        <x:v>1. 公会长为本条执行者
2. 公会长账号已登录
3. 入会申请中目标记录唯一可定位为记录甲；目标记录满足本页展示范围
4. 该记录的名称来源值为“测试名称甲”；另有记录乙的同字段值不同，二者不混用</x:v>
      </x:c>
      <x:c r="J158" s="9" t="str">
        <x:v>1. 打开入会申请
2. 查看记录甲的名称</x:v>
      </x:c>
      <x:c r="K158" s="9" t="str">
        <x:v>记录甲的名称显示“测试名称甲”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来源（当前证据）：liveshow-proto/MainBasis/统一需求文档.md；位置：第 2096 行；REQ-457953c7b57a、第 2094 行
2. 规则：BR-D8060053C7925E
3. 未动态验证
4. 示例账号、编号、金额与日期是本条测试数据；执行前按前置条件准备，未填写的产品决策不得自行假定。</x:v>
      </x:c>
    </x:row>
    <x:row r="159" ht="130" customHeight="1">
      <x:c r="A159" s="10" t="n">
        <x:v>158</x:v>
      </x:c>
      <x:c r="B159" s="10" t="str">
        <x:v>GUILD-0158</x:v>
      </x:c>
      <x:c r="C159" s="10" t="str">
        <x:v>审批管理</x:v>
      </x:c>
      <x:c r="D159" s="10" t="str">
        <x:v>入会申请（公会长）</x:v>
      </x:c>
      <x:c r="E159" s="10" t="str">
        <x:v>功能需求</x:v>
      </x:c>
      <x:c r="F159" s="10" t="str">
        <x:v>P2</x:v>
      </x:c>
      <x:c r="G159" s="9" t="str">
        <x:v>验证入会申请显示目标记录的ID</x:v>
      </x:c>
      <x:c r="H159" s="9" t="str">
        <x:v>ID与当前对象绑定</x:v>
      </x:c>
      <x:c r="I159" s="9" t="str">
        <x:v>1. 公会长为本条执行者
2. 公会长账号已登录
3. 入会申请中目标记录唯一可定位为记录甲；目标记录满足本页展示范围
4. 该记录的ID来源值为“1001”；另有记录乙的同字段值不同，二者不混用</x:v>
      </x:c>
      <x:c r="J159" s="9" t="str">
        <x:v>1. 打开入会申请
2. 查看记录甲的ID</x:v>
      </x:c>
      <x:c r="K159" s="9" t="str">
        <x:v>记录甲的ID显示“1001”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来源（当前证据）：liveshow-proto/MainBasis/统一需求文档.md；位置：第 2096 行；REQ-457953c7b57a、第 2094 行
2. 规则：BR-C46D3647B197E6
3. 未动态验证
4. 示例账号、编号、金额与日期是本条测试数据；执行前按前置条件准备，未填写的产品决策不得自行假定。</x:v>
      </x:c>
    </x:row>
    <x:row r="160" ht="190" customHeight="1">
      <x:c r="A160" s="10" t="n">
        <x:v>159</x:v>
      </x:c>
      <x:c r="B160" s="10" t="str">
        <x:v>GUILD-0159</x:v>
      </x:c>
      <x:c r="C160" s="10" t="str">
        <x:v>审批管理</x:v>
      </x:c>
      <x:c r="D160" s="10" t="str">
        <x:v>入会申请（公会长）</x:v>
      </x:c>
      <x:c r="E160" s="10" t="str">
        <x:v>功能需求</x:v>
      </x:c>
      <x:c r="F160" s="10" t="str">
        <x:v>P2</x:v>
      </x:c>
      <x:c r="G160" s="9" t="str">
        <x:v>验证入会申请显示目标记录的申请时间</x:v>
      </x:c>
      <x:c r="H160" s="9" t="str">
        <x:v>申请时间与当前对象绑定</x:v>
      </x:c>
      <x:c r="I160" s="9" t="str">
        <x:v>1. 公会长为本条执行者
2. 公会长账号已登录
3. 入会申请中目标记录唯一可定位为记录甲；目标记录满足本页展示范围
4. 该记录的申请时间来源值为“2026/09/14 10:01”；另有记录乙的同字段值不同，二者不混用
5. 日期时间均以当前页面使用的时区准备，不测试尚未确认的跨时区换算</x:v>
      </x:c>
      <x:c r="J160" s="9" t="str">
        <x:v>1. 打开入会申请
2. 查看记录甲的申请时间</x:v>
      </x:c>
      <x:c r="K160" s="9" t="str">
        <x:v>记录甲的申请时间表示测试时刻“2026/09/14 10:01”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来源（当前证据）：liveshow-proto/MainBasis/统一需求文档.md；位置：第 2097 行；REQ-83968f78cc30、第 2094 行
2. 规则：BR-D95F1D0903DF8B
3. 未动态验证
4. 示例账号、编号、金额与日期是本条测试数据；执行前按前置条件准备，未填写的产品决策不得自行假定。</x:v>
      </x:c>
    </x:row>
    <x:row r="161" ht="130" customHeight="1">
      <x:c r="A161" s="10" t="n">
        <x:v>160</x:v>
      </x:c>
      <x:c r="B161" s="10" t="str">
        <x:v>GUILD-0160</x:v>
      </x:c>
      <x:c r="C161" s="10" t="str">
        <x:v>审批管理</x:v>
      </x:c>
      <x:c r="D161" s="10" t="str">
        <x:v>入会申请详情（公会长）</x:v>
      </x:c>
      <x:c r="E161" s="10" t="str">
        <x:v>功能需求</x:v>
      </x:c>
      <x:c r="F161" s="10" t="str">
        <x:v>P2</x:v>
      </x:c>
      <x:c r="G161" s="9" t="str">
        <x:v>验证入会申请详情显示目标记录的昵称</x:v>
      </x:c>
      <x:c r="H161" s="9" t="str">
        <x:v>昵称与当前对象绑定</x:v>
      </x:c>
      <x:c r="I161" s="9" t="str">
        <x:v>1. 公会长为本条执行者
2. 公会长账号已登录
3. 入会申请详情中目标记录唯一可定位为记录甲；目标记录满足本页展示范围
4. 该记录的昵称来源值为“测试昵称甲”；另有记录乙的同字段值不同，二者不混用</x:v>
      </x:c>
      <x:c r="J161" s="9" t="str">
        <x:v>1. 打开入会申请详情
2. 查看记录甲的昵称</x:v>
      </x:c>
      <x:c r="K161" s="9" t="str">
        <x:v>记录甲的昵称显示“测试昵称甲”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来源（当前证据）：liveshow-proto/MainBasis/统一需求文档.md；位置：第 2106 行；REQ-c6402e3288ac、第 2105 行
2. 规则：BR-AACF18031616C1
3. 未动态验证
4. 示例账号、编号、金额与日期是本条测试数据；执行前按前置条件准备，未填写的产品决策不得自行假定。</x:v>
      </x:c>
    </x:row>
    <x:row r="162" ht="130" customHeight="1">
      <x:c r="A162" s="10" t="n">
        <x:v>161</x:v>
      </x:c>
      <x:c r="B162" s="10" t="str">
        <x:v>GUILD-0161</x:v>
      </x:c>
      <x:c r="C162" s="10" t="str">
        <x:v>审批管理</x:v>
      </x:c>
      <x:c r="D162" s="10" t="str">
        <x:v>入会申请详情（公会长）</x:v>
      </x:c>
      <x:c r="E162" s="10" t="str">
        <x:v>功能需求</x:v>
      </x:c>
      <x:c r="F162" s="10" t="str">
        <x:v>P2</x:v>
      </x:c>
      <x:c r="G162" s="9" t="str">
        <x:v>验证入会申请详情显示目标记录的用户 ID</x:v>
      </x:c>
      <x:c r="H162" s="9" t="str">
        <x:v>用户 ID与当前对象绑定</x:v>
      </x:c>
      <x:c r="I162" s="9" t="str">
        <x:v>1. 公会长为本条执行者
2. 公会长账号已登录
3. 入会申请详情中目标记录唯一可定位为记录甲；目标记录满足本页展示范围
4. 该记录的用户 ID来源值为“1001”；另有记录乙的同字段值不同，二者不混用</x:v>
      </x:c>
      <x:c r="J162" s="9" t="str">
        <x:v>1. 打开入会申请详情
2. 查看记录甲的用户 ID</x:v>
      </x:c>
      <x:c r="K162" s="9" t="str">
        <x:v>记录甲的用户 ID显示“1001”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来源（当前证据）：liveshow-proto/MainBasis/统一需求文档.md；位置：第 2106 行；REQ-c6402e3288ac、第 2105 行
2. 规则：BR-594456FF3AA822
3. 未动态验证
4. 示例账号、编号、金额与日期是本条测试数据；执行前按前置条件准备，未填写的产品决策不得自行假定。</x:v>
      </x:c>
    </x:row>
    <x:row r="163" ht="130" customHeight="1">
      <x:c r="A163" s="10" t="n">
        <x:v>162</x:v>
      </x:c>
      <x:c r="B163" s="10" t="str">
        <x:v>GUILD-0162</x:v>
      </x:c>
      <x:c r="C163" s="10" t="str">
        <x:v>审批管理</x:v>
      </x:c>
      <x:c r="D163" s="10" t="str">
        <x:v>入会申请详情（公会长）</x:v>
      </x:c>
      <x:c r="E163" s="10" t="str">
        <x:v>功能需求</x:v>
      </x:c>
      <x:c r="F163" s="10" t="str">
        <x:v>P2</x:v>
      </x:c>
      <x:c r="G163" s="9" t="str">
        <x:v>验证入会申请详情显示目标记录的姓名</x:v>
      </x:c>
      <x:c r="H163" s="9" t="str">
        <x:v>姓名与当前对象绑定</x:v>
      </x:c>
      <x:c r="I163" s="9" t="str">
        <x:v>1. 公会长为本条执行者
2. 公会长账号已登录
3. 入会申请详情中目标记录唯一可定位为记录甲；目标记录满足本页展示范围
4. 该记录的姓名来源值为“测试姓名甲”；另有记录乙的同字段值不同，二者不混用</x:v>
      </x:c>
      <x:c r="J163" s="9" t="str">
        <x:v>1. 打开入会申请详情
2. 查看记录甲的姓名</x:v>
      </x:c>
      <x:c r="K163" s="9" t="str">
        <x:v>记录甲的姓名显示“测试姓名甲”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来源（当前证据）：liveshow-proto/MainBasis/统一需求文档.md；位置：第 2108 行；REQ-8fbd435e36e5、第 2105 行
2. 规则：BR-BC3F499BF176BA
3. 未动态验证
4. 示例账号、编号、金额与日期是本条测试数据；执行前按前置条件准备，未填写的产品决策不得自行假定。</x:v>
      </x:c>
    </x:row>
    <x:row r="164" ht="130" customHeight="1">
      <x:c r="A164" s="10" t="n">
        <x:v>163</x:v>
      </x:c>
      <x:c r="B164" s="10" t="str">
        <x:v>GUILD-0163</x:v>
      </x:c>
      <x:c r="C164" s="10" t="str">
        <x:v>审批管理</x:v>
      </x:c>
      <x:c r="D164" s="10" t="str">
        <x:v>入会申请详情（公会长）</x:v>
      </x:c>
      <x:c r="E164" s="10" t="str">
        <x:v>功能需求</x:v>
      </x:c>
      <x:c r="F164" s="10" t="str">
        <x:v>P2</x:v>
      </x:c>
      <x:c r="G164" s="9" t="str">
        <x:v>验证入会申请详情显示目标记录的电话</x:v>
      </x:c>
      <x:c r="H164" s="9" t="str">
        <x:v>电话与当前对象绑定</x:v>
      </x:c>
      <x:c r="I164" s="9" t="str">
        <x:v>1. 公会长为本条执行者
2. 公会长账号已登录
3. 入会申请详情中目标记录唯一可定位为记录甲；目标记录满足本页展示范围
4. 该记录的电话来源值为“+6281234567890”；另有记录乙的同字段值不同，二者不混用</x:v>
      </x:c>
      <x:c r="J164" s="9" t="str">
        <x:v>1. 打开入会申请详情
2. 查看记录甲的电话</x:v>
      </x:c>
      <x:c r="K164" s="9" t="str">
        <x:v>记录甲的电话显示“+6281234567890”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 2109 行；REQ-ba73c62f2098、第 2105 行
2. 规则：BR-019F4047E2ADC3
3. 未动态验证
4. 示例账号、编号、金额与日期是本条测试数据；执行前按前置条件准备，未填写的产品决策不得自行假定。</x:v>
      </x:c>
    </x:row>
    <x:row r="165" ht="130" customHeight="1">
      <x:c r="A165" s="10" t="n">
        <x:v>164</x:v>
      </x:c>
      <x:c r="B165" s="10" t="str">
        <x:v>GUILD-0164</x:v>
      </x:c>
      <x:c r="C165" s="10" t="str">
        <x:v>审批管理</x:v>
      </x:c>
      <x:c r="D165" s="10" t="str">
        <x:v>退会申请（公会长）</x:v>
      </x:c>
      <x:c r="E165" s="10" t="str">
        <x:v>功能需求</x:v>
      </x:c>
      <x:c r="F165" s="10" t="str">
        <x:v>P2</x:v>
      </x:c>
      <x:c r="G165" s="9" t="str">
        <x:v>验证退会申请显示目标记录的名称</x:v>
      </x:c>
      <x:c r="H165" s="9" t="str">
        <x:v>名称与当前对象绑定</x:v>
      </x:c>
      <x:c r="I165" s="9" t="str">
        <x:v>1. 公会长为本条执行者
2. 公会长账号已登录
3. 退会申请中目标记录唯一可定位为记录甲；目标记录满足本页展示范围
4. 该记录的名称来源值为“测试名称甲”；另有记录乙的同字段值不同，二者不混用</x:v>
      </x:c>
      <x:c r="J165" s="9" t="str">
        <x:v>1. 打开退会申请
2. 查看记录甲的名称</x:v>
      </x:c>
      <x:c r="K165" s="9" t="str">
        <x:v>记录甲的名称显示“测试名称甲”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 2125 行；REQ-acb4de4aef54、第 2123 行
2. 规则：BR-6401DE98FC7948
3. 未动态验证
4. 示例账号、编号、金额与日期是本条测试数据；执行前按前置条件准备，未填写的产品决策不得自行假定。</x:v>
      </x:c>
    </x:row>
    <x:row r="166" ht="130" customHeight="1">
      <x:c r="A166" s="10" t="n">
        <x:v>165</x:v>
      </x:c>
      <x:c r="B166" s="10" t="str">
        <x:v>GUILD-0165</x:v>
      </x:c>
      <x:c r="C166" s="10" t="str">
        <x:v>审批管理</x:v>
      </x:c>
      <x:c r="D166" s="10" t="str">
        <x:v>退会申请（公会长）</x:v>
      </x:c>
      <x:c r="E166" s="10" t="str">
        <x:v>功能需求</x:v>
      </x:c>
      <x:c r="F166" s="10" t="str">
        <x:v>P2</x:v>
      </x:c>
      <x:c r="G166" s="9" t="str">
        <x:v>验证退会申请显示目标记录的ID</x:v>
      </x:c>
      <x:c r="H166" s="9" t="str">
        <x:v>ID与当前对象绑定</x:v>
      </x:c>
      <x:c r="I166" s="9" t="str">
        <x:v>1. 公会长为本条执行者
2. 公会长账号已登录
3. 退会申请中目标记录唯一可定位为记录甲；目标记录满足本页展示范围
4. 该记录的ID来源值为“1001”；另有记录乙的同字段值不同，二者不混用</x:v>
      </x:c>
      <x:c r="J166" s="9" t="str">
        <x:v>1. 打开退会申请
2. 查看记录甲的ID</x:v>
      </x:c>
      <x:c r="K166" s="9" t="str">
        <x:v>记录甲的ID显示“1001”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 2125 行；REQ-acb4de4aef54、第 2123 行
2. 规则：BR-27D24A08C0521B
3. 未动态验证
4. 示例账号、编号、金额与日期是本条测试数据；执行前按前置条件准备，未填写的产品决策不得自行假定。</x:v>
      </x:c>
    </x:row>
    <x:row r="167" ht="190" customHeight="1">
      <x:c r="A167" s="10" t="n">
        <x:v>166</x:v>
      </x:c>
      <x:c r="B167" s="10" t="str">
        <x:v>GUILD-0166</x:v>
      </x:c>
      <x:c r="C167" s="10" t="str">
        <x:v>审批管理</x:v>
      </x:c>
      <x:c r="D167" s="10" t="str">
        <x:v>退会申请（公会长）</x:v>
      </x:c>
      <x:c r="E167" s="10" t="str">
        <x:v>功能需求</x:v>
      </x:c>
      <x:c r="F167" s="10" t="str">
        <x:v>P2</x:v>
      </x:c>
      <x:c r="G167" s="9" t="str">
        <x:v>验证退会申请显示目标记录的申请时间</x:v>
      </x:c>
      <x:c r="H167" s="9" t="str">
        <x:v>申请时间与当前对象绑定</x:v>
      </x:c>
      <x:c r="I167" s="9" t="str">
        <x:v>1. 公会长为本条执行者
2. 公会长账号已登录
3. 退会申请中目标记录唯一可定位为记录甲；目标记录满足本页展示范围
4. 该记录的申请时间来源值为“2026/09/14 10:01”；另有记录乙的同字段值不同，二者不混用
5. 日期时间均以当前页面使用的时区准备，不测试尚未确认的跨时区换算</x:v>
      </x:c>
      <x:c r="J167" s="9" t="str">
        <x:v>1. 打开退会申请
2. 查看记录甲的申请时间</x:v>
      </x:c>
      <x:c r="K167" s="9" t="str">
        <x:v>记录甲的申请时间表示测试时刻“2026/09/14 10:01”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 2126 行；REQ-283dcbce445a、第 2123 行
2. 规则：BR-2CF73B5BE11924
3. 未动态验证
4. 示例账号、编号、金额与日期是本条测试数据；执行前按前置条件准备，未填写的产品决策不得自行假定。</x:v>
      </x:c>
    </x:row>
    <x:row r="168" ht="130" customHeight="1">
      <x:c r="A168" s="10" t="n">
        <x:v>167</x:v>
      </x:c>
      <x:c r="B168" s="10" t="str">
        <x:v>GUILD-0167</x:v>
      </x:c>
      <x:c r="C168" s="10" t="str">
        <x:v>审批管理</x:v>
      </x:c>
      <x:c r="D168" s="10" t="str">
        <x:v>退会申请详情（公会长）</x:v>
      </x:c>
      <x:c r="E168" s="10" t="str">
        <x:v>功能需求</x:v>
      </x:c>
      <x:c r="F168" s="10" t="str">
        <x:v>P2</x:v>
      </x:c>
      <x:c r="G168" s="9" t="str">
        <x:v>验证退会申请详情显示目标记录的名称</x:v>
      </x:c>
      <x:c r="H168" s="9" t="str">
        <x:v>名称与当前对象绑定</x:v>
      </x:c>
      <x:c r="I168" s="9" t="str">
        <x:v>1. 公会长为本条执行者
2. 公会长账号已登录
3. 退会申请详情中目标记录唯一可定位为记录甲；目标记录满足本页展示范围
4. 该记录的名称来源值为“测试名称甲”；另有记录乙的同字段值不同，二者不混用</x:v>
      </x:c>
      <x:c r="J168" s="9" t="str">
        <x:v>1. 打开退会申请详情
2. 查看记录甲的名称</x:v>
      </x:c>
      <x:c r="K168" s="9" t="str">
        <x:v>记录甲的名称显示“测试名称甲”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 2134 行；REQ-c4f27cd5a1e2、第 2133 行
2. 规则：BR-F0A356C49867F0
3. 未动态验证
4. 示例账号、编号、金额与日期是本条测试数据；执行前按前置条件准备，未填写的产品决策不得自行假定。</x:v>
      </x:c>
    </x:row>
    <x:row r="169" ht="130" customHeight="1">
      <x:c r="A169" s="10" t="n">
        <x:v>168</x:v>
      </x:c>
      <x:c r="B169" s="10" t="str">
        <x:v>GUILD-0168</x:v>
      </x:c>
      <x:c r="C169" s="10" t="str">
        <x:v>审批管理</x:v>
      </x:c>
      <x:c r="D169" s="10" t="str">
        <x:v>退会申请详情（公会长）</x:v>
      </x:c>
      <x:c r="E169" s="10" t="str">
        <x:v>功能需求</x:v>
      </x:c>
      <x:c r="F169" s="10" t="str">
        <x:v>P2</x:v>
      </x:c>
      <x:c r="G169" s="9" t="str">
        <x:v>验证退会申请详情显示目标记录的主播 ID</x:v>
      </x:c>
      <x:c r="H169" s="9" t="str">
        <x:v>主播 ID与当前对象绑定</x:v>
      </x:c>
      <x:c r="I169" s="9" t="str">
        <x:v>1. 公会长为本条执行者
2. 公会长账号已登录
3. 退会申请详情中目标记录唯一可定位为记录甲；目标记录满足本页展示范围
4. 该记录的主播 ID来源值为“2001”；另有记录乙的同字段值不同，二者不混用</x:v>
      </x:c>
      <x:c r="J169" s="9" t="str">
        <x:v>1. 打开退会申请详情
2. 查看记录甲的主播 ID</x:v>
      </x:c>
      <x:c r="K169" s="9" t="str">
        <x:v>记录甲的主播 ID显示“2001”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 2135 行；REQ-f42e4484494b、第 2133 行
2. 规则：BR-5FA6AA53E27C9B
3. 未动态验证
4. 示例账号、编号、金额与日期是本条测试数据；执行前按前置条件准备，未填写的产品决策不得自行假定。</x:v>
      </x:c>
    </x:row>
    <x:row r="170" ht="190" customHeight="1">
      <x:c r="A170" s="10" t="n">
        <x:v>169</x:v>
      </x:c>
      <x:c r="B170" s="10" t="str">
        <x:v>GUILD-0169</x:v>
      </x:c>
      <x:c r="C170" s="10" t="str">
        <x:v>审批管理</x:v>
      </x:c>
      <x:c r="D170" s="10" t="str">
        <x:v>退会申请详情（公会长）</x:v>
      </x:c>
      <x:c r="E170" s="10" t="str">
        <x:v>功能需求</x:v>
      </x:c>
      <x:c r="F170" s="10" t="str">
        <x:v>P2</x:v>
      </x:c>
      <x:c r="G170" s="9" t="str">
        <x:v>验证退会申请详情显示目标记录的加入时间</x:v>
      </x:c>
      <x:c r="H170" s="9" t="str">
        <x:v>加入时间与当前对象绑定</x:v>
      </x:c>
      <x:c r="I170" s="9" t="str">
        <x:v>1. 公会长为本条执行者
2. 公会长账号已登录
3. 退会申请详情中目标记录唯一可定位为记录甲；目标记录满足本页展示范围
4. 该记录的加入时间来源值为“2026/09/01 10:00”；另有记录乙的同字段值不同，二者不混用
5. 日期时间均以当前页面使用的时区准备，不测试尚未确认的跨时区换算</x:v>
      </x:c>
      <x:c r="J170" s="9" t="str">
        <x:v>1. 打开退会申请详情
2. 查看记录甲的加入时间</x:v>
      </x:c>
      <x:c r="K170" s="9" t="str">
        <x:v>记录甲的加入时间表示测试时刻“2026/09/01 10:00”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 2136 行；REQ-5c090b220506、第 2133 行
2. 规则：BR-E13A4EC93280EA
3. 未动态验证
4. 示例账号、编号、金额与日期是本条测试数据；执行前按前置条件准备，未填写的产品决策不得自行假定。</x:v>
      </x:c>
    </x:row>
    <x:row r="171" ht="190" customHeight="1">
      <x:c r="A171" s="10" t="n">
        <x:v>170</x:v>
      </x:c>
      <x:c r="B171" s="10" t="str">
        <x:v>GUILD-0170</x:v>
      </x:c>
      <x:c r="C171" s="10" t="str">
        <x:v>审批管理</x:v>
      </x:c>
      <x:c r="D171" s="10" t="str">
        <x:v>退会申请详情（公会长）</x:v>
      </x:c>
      <x:c r="E171" s="10" t="str">
        <x:v>功能需求</x:v>
      </x:c>
      <x:c r="F171" s="10" t="str">
        <x:v>P2</x:v>
      </x:c>
      <x:c r="G171" s="9" t="str">
        <x:v>验证退会申请详情显示目标记录的申请时间</x:v>
      </x:c>
      <x:c r="H171" s="9" t="str">
        <x:v>申请时间与当前对象绑定</x:v>
      </x:c>
      <x:c r="I171" s="9" t="str">
        <x:v>1. 公会长为本条执行者
2. 公会长账号已登录
3. 退会申请详情中目标记录唯一可定位为记录甲；目标记录满足本页展示范围
4. 该记录的申请时间来源值为“2026/09/14 10:01”；另有记录乙的同字段值不同，二者不混用
5. 日期时间均以当前页面使用的时区准备，不测试尚未确认的跨时区换算</x:v>
      </x:c>
      <x:c r="J171" s="9" t="str">
        <x:v>1. 打开退会申请详情
2. 查看记录甲的申请时间</x:v>
      </x:c>
      <x:c r="K171" s="9" t="str">
        <x:v>记录甲的申请时间表示测试时刻“2026/09/14 10:01”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来源（当前证据）：liveshow-proto/MainBasis/统一需求文档.md；位置：第 2137 行；REQ-9fb4a71d06b5、第 2133 行
2. 规则：BR-055E4056D65CA0
3. 未动态验证
4. 示例账号、编号、金额与日期是本条测试数据；执行前按前置条件准备，未填写的产品决策不得自行假定。</x:v>
      </x:c>
    </x:row>
    <x:row r="172" ht="145" customHeight="1">
      <x:c r="A172" s="10" t="n">
        <x:v>171</x:v>
      </x:c>
      <x:c r="B172" s="10" t="str">
        <x:v>GUILD-0171</x:v>
      </x:c>
      <x:c r="C172" s="10" t="str">
        <x:v>审批管理</x:v>
      </x:c>
      <x:c r="D172" s="10" t="str">
        <x:v>退会申请详情（公会长）</x:v>
      </x:c>
      <x:c r="E172" s="10" t="str">
        <x:v>功能需求</x:v>
      </x:c>
      <x:c r="F172" s="10" t="str">
        <x:v>P2</x:v>
      </x:c>
      <x:c r="G172" s="9" t="str">
        <x:v>验证退会申请详情显示目标记录的退会原因</x:v>
      </x:c>
      <x:c r="H172" s="9" t="str">
        <x:v>退会原因与当前对象绑定</x:v>
      </x:c>
      <x:c r="I172" s="9" t="str">
        <x:v>1. 公会长为本条执行者
2. 公会长账号已登录
3. 退会申请详情中目标记录唯一可定位为记录甲；目标记录满足本页展示范围
4. 该记录的退会原因来源值为“测试退会原因甲”；另有记录乙的同字段值不同，二者不混用</x:v>
      </x:c>
      <x:c r="J172" s="9" t="str">
        <x:v>1. 打开退会申请详情
2. 查看记录甲的退会原因</x:v>
      </x:c>
      <x:c r="K172" s="9" t="str">
        <x:v>记录甲的退会原因显示“测试退会原因甲”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来源（当前证据）：liveshow-proto/MainBasis/统一需求文档.md；位置：第 2139 行；REQ-e04cd7aa2abc、第 2133 行
2. 规则：BR-F7F69C5312F9F4
3. 未动态验证
4. 示例账号、编号、金额与日期是本条测试数据；执行前按前置条件准备，未填写的产品决策不得自行假定。</x:v>
      </x:c>
    </x:row>
    <x:row r="173" ht="130" customHeight="1">
      <x:c r="A173" s="10" t="n">
        <x:v>172</x:v>
      </x:c>
      <x:c r="B173" s="10" t="str">
        <x:v>GUILD-0172</x:v>
      </x:c>
      <x:c r="C173" s="10" t="str">
        <x:v>主播管理</x:v>
      </x:c>
      <x:c r="D173" s="10" t="str">
        <x:v>主播列表（公会长）</x:v>
      </x:c>
      <x:c r="E173" s="10" t="str">
        <x:v>功能需求</x:v>
      </x:c>
      <x:c r="F173" s="10" t="str">
        <x:v>P2</x:v>
      </x:c>
      <x:c r="G173" s="9" t="str">
        <x:v>验证主播列表显示目标记录的名称</x:v>
      </x:c>
      <x:c r="H173" s="9" t="str">
        <x:v>名称与当前对象绑定</x:v>
      </x:c>
      <x:c r="I173" s="9" t="str">
        <x:v>1. 公会长为本条执行者
2. 公会长账号已登录
3. 主播列表中目标记录唯一可定位为记录甲；目标记录满足本页展示范围
4. 该记录的名称来源值为“测试名称甲”；另有记录乙的同字段值不同，二者不混用</x:v>
      </x:c>
      <x:c r="J173" s="9" t="str">
        <x:v>1. 打开主播列表
2. 查看记录甲的名称</x:v>
      </x:c>
      <x:c r="K173" s="9" t="str">
        <x:v>记录甲的名称显示“测试名称甲”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来源（当前证据）：liveshow-proto/MainBasis/统一需求文档.md；位置：第 2151 行；REQ-bae0f08d57d5、第 2148 行
2. 规则：BR-B023E6ACD0B6D9
3. 未动态验证
4. 示例账号、编号、金额与日期是本条测试数据；执行前按前置条件准备，未填写的产品决策不得自行假定。</x:v>
      </x:c>
    </x:row>
    <x:row r="174" ht="130" customHeight="1">
      <x:c r="A174" s="10" t="n">
        <x:v>173</x:v>
      </x:c>
      <x:c r="B174" s="10" t="str">
        <x:v>GUILD-0173</x:v>
      </x:c>
      <x:c r="C174" s="10" t="str">
        <x:v>主播管理</x:v>
      </x:c>
      <x:c r="D174" s="10" t="str">
        <x:v>主播列表（公会长）</x:v>
      </x:c>
      <x:c r="E174" s="10" t="str">
        <x:v>功能需求</x:v>
      </x:c>
      <x:c r="F174" s="10" t="str">
        <x:v>P2</x:v>
      </x:c>
      <x:c r="G174" s="9" t="str">
        <x:v>验证主播列表显示目标记录的主播 ID</x:v>
      </x:c>
      <x:c r="H174" s="9" t="str">
        <x:v>主播 ID与当前对象绑定</x:v>
      </x:c>
      <x:c r="I174" s="9" t="str">
        <x:v>1. 公会长为本条执行者
2. 公会长账号已登录
3. 主播列表中目标记录唯一可定位为记录甲；目标记录满足本页展示范围
4. 该记录的主播 ID来源值为“2001”；另有记录乙的同字段值不同，二者不混用</x:v>
      </x:c>
      <x:c r="J174" s="9" t="str">
        <x:v>1. 打开主播列表
2. 查看记录甲的主播 ID</x:v>
      </x:c>
      <x:c r="K174" s="9" t="str">
        <x:v>记录甲的主播 ID显示“2001”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来源（当前证据）：liveshow-proto/MainBasis/统一需求文档.md；位置：第 2152 行；REQ-0caffc93bbfd、第 2148 行
2. 规则：BR-E70EE7A49A34B3
3. 未动态验证
4. 示例账号、编号、金额与日期是本条测试数据；执行前按前置条件准备，未填写的产品决策不得自行假定。</x:v>
      </x:c>
    </x:row>
    <x:row r="175" ht="190" customHeight="1">
      <x:c r="A175" s="10" t="n">
        <x:v>174</x:v>
      </x:c>
      <x:c r="B175" s="10" t="str">
        <x:v>GUILD-0174</x:v>
      </x:c>
      <x:c r="C175" s="10" t="str">
        <x:v>主播管理</x:v>
      </x:c>
      <x:c r="D175" s="10" t="str">
        <x:v>主播列表（公会长）</x:v>
      </x:c>
      <x:c r="E175" s="10" t="str">
        <x:v>功能需求</x:v>
      </x:c>
      <x:c r="F175" s="10" t="str">
        <x:v>P2</x:v>
      </x:c>
      <x:c r="G175" s="9" t="str">
        <x:v>验证主播列表显示目标记录的加入时间</x:v>
      </x:c>
      <x:c r="H175" s="9" t="str">
        <x:v>加入时间与当前对象绑定</x:v>
      </x:c>
      <x:c r="I175" s="9" t="str">
        <x:v>1. 公会长为本条执行者
2. 公会长账号已登录
3. 主播列表中目标记录唯一可定位为记录甲；目标记录满足本页展示范围
4. 该记录的加入时间来源值为“2026/09/01 10:00”；另有记录乙的同字段值不同，二者不混用
5. 日期时间均以当前页面使用的时区准备，不测试尚未确认的跨时区换算</x:v>
      </x:c>
      <x:c r="J175" s="9" t="str">
        <x:v>1. 打开主播列表
2. 查看记录甲的加入时间</x:v>
      </x:c>
      <x:c r="K175" s="9" t="str">
        <x:v>记录甲的加入时间表示测试时刻“2026/09/01 10:00”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来源（当前证据）：liveshow-proto/MainBasis/统一需求文档.md；位置：第 2153 行；REQ-a228fa3a63d1、第 2148 行
2. 规则：BR-DD764E90545633
3. 未动态验证
4. 示例账号、编号、金额与日期是本条测试数据；执行前按前置条件准备，未填写的产品决策不得自行假定。</x:v>
      </x:c>
    </x:row>
    <x:row r="176" ht="130" customHeight="1">
      <x:c r="A176" s="10" t="n">
        <x:v>175</x:v>
      </x:c>
      <x:c r="B176" s="10" t="str">
        <x:v>GUILD-0175</x:v>
      </x:c>
      <x:c r="C176" s="10" t="str">
        <x:v>主播管理</x:v>
      </x:c>
      <x:c r="D176" s="10" t="str">
        <x:v>主播业绩（公会长）</x:v>
      </x:c>
      <x:c r="E176" s="10" t="str">
        <x:v>功能需求</x:v>
      </x:c>
      <x:c r="F176" s="10" t="str">
        <x:v>P2</x:v>
      </x:c>
      <x:c r="G176" s="9" t="str">
        <x:v>验证主播业绩显示目标记录的名称</x:v>
      </x:c>
      <x:c r="H176" s="9" t="str">
        <x:v>名称与当前对象绑定</x:v>
      </x:c>
      <x:c r="I176" s="9" t="str">
        <x:v>1. 公会长为本条执行者
2. 公会长账号已登录
3. 主播业绩中目标记录唯一可定位为记录甲；目标记录满足本页展示范围
4. 该记录的名称来源值为“测试名称甲”；另有记录乙的同字段值不同，二者不混用</x:v>
      </x:c>
      <x:c r="J176" s="9" t="str">
        <x:v>1. 打开主播业绩
2. 查看记录甲的名称</x:v>
      </x:c>
      <x:c r="K176" s="9" t="str">
        <x:v>记录甲的名称显示“测试名称甲”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来源（当前证据）：liveshow-proto/MainBasis/统一需求文档.md；位置：第 2162 行；REQ-854e9365081d、第 2158 行
2. 规则：BR-5BCB72738F67C0
3. 未动态验证
4. 示例账号、编号、金额与日期是本条测试数据；执行前按前置条件准备，未填写的产品决策不得自行假定。</x:v>
      </x:c>
    </x:row>
    <x:row r="177" ht="130" customHeight="1">
      <x:c r="A177" s="10" t="n">
        <x:v>176</x:v>
      </x:c>
      <x:c r="B177" s="10" t="str">
        <x:v>GUILD-0176</x:v>
      </x:c>
      <x:c r="C177" s="10" t="str">
        <x:v>主播管理</x:v>
      </x:c>
      <x:c r="D177" s="10" t="str">
        <x:v>主播业绩（公会长）</x:v>
      </x:c>
      <x:c r="E177" s="10" t="str">
        <x:v>功能需求</x:v>
      </x:c>
      <x:c r="F177" s="10" t="str">
        <x:v>P2</x:v>
      </x:c>
      <x:c r="G177" s="9" t="str">
        <x:v>验证主播业绩显示目标记录的主播 ID</x:v>
      </x:c>
      <x:c r="H177" s="9" t="str">
        <x:v>主播 ID与当前对象绑定</x:v>
      </x:c>
      <x:c r="I177" s="9" t="str">
        <x:v>1. 公会长为本条执行者
2. 公会长账号已登录
3. 主播业绩中目标记录唯一可定位为记录甲；目标记录满足本页展示范围
4. 该记录的主播 ID来源值为“2001”；另有记录乙的同字段值不同，二者不混用</x:v>
      </x:c>
      <x:c r="J177" s="9" t="str">
        <x:v>1. 打开主播业绩
2. 查看记录甲的主播 ID</x:v>
      </x:c>
      <x:c r="K177" s="9" t="str">
        <x:v>记录甲的主播 ID显示“2001”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 2163 行；REQ-dd888a11578e、第 2158 行
2. 规则：BR-5C806D38DF5377
3. 未动态验证
4. 示例账号、编号、金额与日期是本条测试数据；执行前按前置条件准备，未填写的产品决策不得自行假定。</x:v>
      </x:c>
    </x:row>
    <x:row r="178" ht="130" customHeight="1">
      <x:c r="A178" s="10" t="n">
        <x:v>177</x:v>
      </x:c>
      <x:c r="B178" s="10" t="str">
        <x:v>GUILD-0177</x:v>
      </x:c>
      <x:c r="C178" s="10" t="str">
        <x:v>数据与收益</x:v>
      </x:c>
      <x:c r="D178" s="10" t="str">
        <x:v>主播数据（公会长）</x:v>
      </x:c>
      <x:c r="E178" s="10" t="str">
        <x:v>功能需求</x:v>
      </x:c>
      <x:c r="F178" s="10" t="str">
        <x:v>P2</x:v>
      </x:c>
      <x:c r="G178" s="9" t="str">
        <x:v>验证主播数据显示目标记录的名称</x:v>
      </x:c>
      <x:c r="H178" s="9" t="str">
        <x:v>名称与当前对象绑定</x:v>
      </x:c>
      <x:c r="I178" s="9" t="str">
        <x:v>1. 公会长为本条执行者
2. 公会长账号已登录
3. 主播数据中目标记录唯一可定位为记录甲；目标记录满足本页展示范围
4. 该记录的名称来源值为“测试名称甲”；另有记录乙的同字段值不同，二者不混用</x:v>
      </x:c>
      <x:c r="J178" s="9" t="str">
        <x:v>1. 打开主播数据
2. 查看记录甲的名称</x:v>
      </x:c>
      <x:c r="K178" s="9" t="str">
        <x:v>记录甲的名称显示“测试名称甲”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 2179 行；REQ-b2509dc0e635、第 2178 行
2. 规则：BR-ADEB108EFB5695
3. 未动态验证
4. 示例账号、编号、金额与日期是本条测试数据；执行前按前置条件准备，未填写的产品决策不得自行假定。</x:v>
      </x:c>
    </x:row>
    <x:row r="179" ht="130" customHeight="1">
      <x:c r="A179" s="10" t="n">
        <x:v>178</x:v>
      </x:c>
      <x:c r="B179" s="10" t="str">
        <x:v>GUILD-0178</x:v>
      </x:c>
      <x:c r="C179" s="10" t="str">
        <x:v>数据与收益</x:v>
      </x:c>
      <x:c r="D179" s="10" t="str">
        <x:v>主播数据（公会长）</x:v>
      </x:c>
      <x:c r="E179" s="10" t="str">
        <x:v>功能需求</x:v>
      </x:c>
      <x:c r="F179" s="10" t="str">
        <x:v>P2</x:v>
      </x:c>
      <x:c r="G179" s="9" t="str">
        <x:v>验证主播数据显示目标记录的主播 ID</x:v>
      </x:c>
      <x:c r="H179" s="9" t="str">
        <x:v>主播 ID与当前对象绑定</x:v>
      </x:c>
      <x:c r="I179" s="9" t="str">
        <x:v>1. 公会长为本条执行者
2. 公会长账号已登录
3. 主播数据中目标记录唯一可定位为记录甲；目标记录满足本页展示范围
4. 该记录的主播 ID来源值为“2001”；另有记录乙的同字段值不同，二者不混用</x:v>
      </x:c>
      <x:c r="J179" s="9" t="str">
        <x:v>1. 打开主播数据
2. 查看记录甲的主播 ID</x:v>
      </x:c>
      <x:c r="K179" s="9" t="str">
        <x:v>记录甲的主播 ID显示“2001”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 2180 行；REQ-f1350c8e7f5a、第 2178 行
2. 规则：BR-53A502DBEF44F8
3. 未动态验证
4. 示例账号、编号、金额与日期是本条测试数据；执行前按前置条件准备，未填写的产品决策不得自行假定。</x:v>
      </x:c>
    </x:row>
    <x:row r="180" ht="130" customHeight="1">
      <x:c r="A180" s="10" t="n">
        <x:v>179</x:v>
      </x:c>
      <x:c r="B180" s="10" t="str">
        <x:v>GUILD-0179</x:v>
      </x:c>
      <x:c r="C180" s="10" t="str">
        <x:v>主播管理</x:v>
      </x:c>
      <x:c r="D180" s="10" t="str">
        <x:v>主播主页（公会长）</x:v>
      </x:c>
      <x:c r="E180" s="10" t="str">
        <x:v>功能需求</x:v>
      </x:c>
      <x:c r="F180" s="10" t="str">
        <x:v>P2</x:v>
      </x:c>
      <x:c r="G180" s="9" t="str">
        <x:v>验证主播主页显示目标记录的名称</x:v>
      </x:c>
      <x:c r="H180" s="9" t="str">
        <x:v>名称与当前对象绑定</x:v>
      </x:c>
      <x:c r="I180" s="9" t="str">
        <x:v>1. 公会长为本条执行者
2. 公会长账号已登录
3. 主播主页中目标记录唯一可定位为记录甲；目标记录满足本页展示范围
4. 该记录的名称来源值为“测试名称甲”；另有记录乙的同字段值不同，二者不混用</x:v>
      </x:c>
      <x:c r="J180" s="9" t="str">
        <x:v>1. 打开主播主页
2. 查看记录甲的名称</x:v>
      </x:c>
      <x:c r="K180" s="9" t="str">
        <x:v>记录甲的名称显示“测试名称甲”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 2196 行；REQ-8614a441253f、第 2195 行
2. 规则：BR-4611952555215A
3. 未动态验证
4. 示例账号、编号、金额与日期是本条测试数据；执行前按前置条件准备，未填写的产品决策不得自行假定。</x:v>
      </x:c>
    </x:row>
    <x:row r="181" ht="130" customHeight="1">
      <x:c r="A181" s="10" t="n">
        <x:v>180</x:v>
      </x:c>
      <x:c r="B181" s="10" t="str">
        <x:v>GUILD-0180</x:v>
      </x:c>
      <x:c r="C181" s="10" t="str">
        <x:v>主播管理</x:v>
      </x:c>
      <x:c r="D181" s="10" t="str">
        <x:v>主播主页（公会长）</x:v>
      </x:c>
      <x:c r="E181" s="10" t="str">
        <x:v>功能需求</x:v>
      </x:c>
      <x:c r="F181" s="10" t="str">
        <x:v>P2</x:v>
      </x:c>
      <x:c r="G181" s="9" t="str">
        <x:v>验证主播主页显示目标记录的主播 ID</x:v>
      </x:c>
      <x:c r="H181" s="9" t="str">
        <x:v>主播 ID与当前对象绑定</x:v>
      </x:c>
      <x:c r="I181" s="9" t="str">
        <x:v>1. 公会长为本条执行者
2. 公会长账号已登录
3. 主播主页中目标记录唯一可定位为记录甲；目标记录满足本页展示范围
4. 该记录的主播 ID来源值为“2001”；另有记录乙的同字段值不同，二者不混用</x:v>
      </x:c>
      <x:c r="J181" s="9" t="str">
        <x:v>1. 打开主播主页
2. 查看记录甲的主播 ID</x:v>
      </x:c>
      <x:c r="K181" s="9" t="str">
        <x:v>记录甲的主播 ID显示“2001”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 2197 行；REQ-0645b37a4b08、第 2195 行
2. 规则：BR-2260D0B1C4A089
3. 未动态验证
4. 示例账号、编号、金额与日期是本条测试数据；执行前按前置条件准备，未填写的产品决策不得自行假定。</x:v>
      </x:c>
    </x:row>
    <x:row r="182" ht="130" customHeight="1">
      <x:c r="A182" s="10" t="n">
        <x:v>181</x:v>
      </x:c>
      <x:c r="B182" s="10" t="str">
        <x:v>GUILD-0181</x:v>
      </x:c>
      <x:c r="C182" s="10" t="str">
        <x:v>主播管理</x:v>
      </x:c>
      <x:c r="D182" s="10" t="str">
        <x:v>主播主页（公会长）</x:v>
      </x:c>
      <x:c r="E182" s="10" t="str">
        <x:v>功能需求</x:v>
      </x:c>
      <x:c r="F182" s="10" t="str">
        <x:v>P2</x:v>
      </x:c>
      <x:c r="G182" s="9" t="str">
        <x:v>验证主播主页显示目标记录的姓名</x:v>
      </x:c>
      <x:c r="H182" s="9" t="str">
        <x:v>姓名与当前对象绑定</x:v>
      </x:c>
      <x:c r="I182" s="9" t="str">
        <x:v>1. 公会长为本条执行者
2. 公会长账号已登录
3. 主播主页中目标记录唯一可定位为记录甲；目标记录满足本页展示范围
4. 该记录的姓名来源值为“测试姓名甲”；另有记录乙的同字段值不同，二者不混用</x:v>
      </x:c>
      <x:c r="J182" s="9" t="str">
        <x:v>1. 打开主播主页
2. 查看记录甲的姓名</x:v>
      </x:c>
      <x:c r="K182" s="9" t="str">
        <x:v>记录甲的姓名显示“测试姓名甲”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 2200 行；REQ-03a9aa5421c2、第 2195 行
2. 规则：BR-696FB8C58C7459
3. 未动态验证
4. 示例账号、编号、金额与日期是本条测试数据；执行前按前置条件准备，未填写的产品决策不得自行假定。</x:v>
      </x:c>
    </x:row>
    <x:row r="183" ht="130" customHeight="1">
      <x:c r="A183" s="10" t="n">
        <x:v>182</x:v>
      </x:c>
      <x:c r="B183" s="10" t="str">
        <x:v>GUILD-0182</x:v>
      </x:c>
      <x:c r="C183" s="10" t="str">
        <x:v>主播管理</x:v>
      </x:c>
      <x:c r="D183" s="10" t="str">
        <x:v>主播主页（公会长）</x:v>
      </x:c>
      <x:c r="E183" s="10" t="str">
        <x:v>功能需求</x:v>
      </x:c>
      <x:c r="F183" s="10" t="str">
        <x:v>P2</x:v>
      </x:c>
      <x:c r="G183" s="9" t="str">
        <x:v>验证主播主页显示目标记录的电话</x:v>
      </x:c>
      <x:c r="H183" s="9" t="str">
        <x:v>电话与当前对象绑定</x:v>
      </x:c>
      <x:c r="I183" s="9" t="str">
        <x:v>1. 公会长为本条执行者
2. 公会长账号已登录
3. 主播主页中目标记录唯一可定位为记录甲；目标记录满足本页展示范围
4. 该记录的电话来源值为“+6281234567890”；另有记录乙的同字段值不同，二者不混用</x:v>
      </x:c>
      <x:c r="J183" s="9" t="str">
        <x:v>1. 打开主播主页
2. 查看记录甲的电话</x:v>
      </x:c>
      <x:c r="K183" s="9" t="str">
        <x:v>记录甲的电话显示“+6281234567890”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 2200 行；REQ-03a9aa5421c2、第 2195 行
2. 规则：BR-8315B120756C11
3. 未动态验证
4. 示例账号、编号、金额与日期是本条测试数据；执行前按前置条件准备，未填写的产品决策不得自行假定。</x:v>
      </x:c>
    </x:row>
    <x:row r="184" ht="190" customHeight="1">
      <x:c r="A184" s="10" t="n">
        <x:v>183</x:v>
      </x:c>
      <x:c r="B184" s="10" t="str">
        <x:v>GUILD-0183</x:v>
      </x:c>
      <x:c r="C184" s="10" t="str">
        <x:v>主播管理</x:v>
      </x:c>
      <x:c r="D184" s="10" t="str">
        <x:v>主播主页（公会长）</x:v>
      </x:c>
      <x:c r="E184" s="10" t="str">
        <x:v>功能需求</x:v>
      </x:c>
      <x:c r="F184" s="10" t="str">
        <x:v>P2</x:v>
      </x:c>
      <x:c r="G184" s="9" t="str">
        <x:v>验证主播主页显示目标记录的申请时间</x:v>
      </x:c>
      <x:c r="H184" s="9" t="str">
        <x:v>申请时间与当前对象绑定</x:v>
      </x:c>
      <x:c r="I184" s="9" t="str">
        <x:v>1. 公会长为本条执行者
2. 公会长账号已登录
3. 主播主页中目标记录唯一可定位为记录甲；目标记录满足本页展示范围
4. 该记录的申请时间来源值为“2026/09/14 10:01”；另有记录乙的同字段值不同，二者不混用
5. 日期时间均以当前页面使用的时区准备，不测试尚未确认的跨时区换算</x:v>
      </x:c>
      <x:c r="J184" s="9" t="str">
        <x:v>1. 打开主播主页
2. 查看记录甲的申请时间</x:v>
      </x:c>
      <x:c r="K184" s="9" t="str">
        <x:v>记录甲的申请时间表示测试时刻“2026/09/14 10:01”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来源（当前证据）：liveshow-proto/MainBasis/统一需求文档.md；位置：第 2206 行；REQ-39f4c81152d2、第 2195 行
2. 规则：BR-598EAA7B1CD946
3. 未动态验证
4. 示例账号、编号、金额与日期是本条测试数据；执行前按前置条件准备，未填写的产品决策不得自行假定。</x:v>
      </x:c>
    </x:row>
    <x:row r="185" ht="190" customHeight="1">
      <x:c r="A185" s="10" t="n">
        <x:v>184</x:v>
      </x:c>
      <x:c r="B185" s="10" t="str">
        <x:v>GUILD-0184</x:v>
      </x:c>
      <x:c r="C185" s="10" t="str">
        <x:v>运营管理</x:v>
      </x:c>
      <x:c r="D185" s="10" t="str">
        <x:v>运营消息（公会长）</x:v>
      </x:c>
      <x:c r="E185" s="10" t="str">
        <x:v>功能需求</x:v>
      </x:c>
      <x:c r="F185" s="10" t="str">
        <x:v>P2</x:v>
      </x:c>
      <x:c r="G185" s="9" t="str">
        <x:v>验证运营消息显示目标记录的发送时间</x:v>
      </x:c>
      <x:c r="H185" s="9" t="str">
        <x:v>发送时间与当前对象绑定</x:v>
      </x:c>
      <x:c r="I185" s="9" t="str">
        <x:v>1. 公会长为本条执行者
2. 公会长账号已登录
3. 运营消息中目标记录唯一可定位为记录甲；目标记录满足本页展示范围
4. 该记录的发送时间来源值为“2026/09/14 10:06”；另有记录乙的同字段值不同，二者不混用
5. 日期时间均以当前页面使用的时区准备，不测试尚未确认的跨时区换算</x:v>
      </x:c>
      <x:c r="J185" s="9" t="str">
        <x:v>1. 打开运营消息
2. 查看记录甲的发送时间</x:v>
      </x:c>
      <x:c r="K185" s="9" t="str">
        <x:v>记录甲的发送时间表示测试时刻“2026/09/14 10:06”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来源（当前证据）：liveshow-proto/MainBasis/统一需求文档.md；位置：第 2227 行；REQ-e8126dadbd4a、第 2223 行
2. 规则：BR-7496AD271B8BFD
3. 未动态验证
4. 示例账号、编号、金额与日期是本条测试数据；执行前按前置条件准备，未填写的产品决策不得自行假定。</x:v>
      </x:c>
    </x:row>
    <x:row r="186" ht="190" customHeight="1">
      <x:c r="A186" s="10" t="n">
        <x:v>185</x:v>
      </x:c>
      <x:c r="B186" s="10" t="str">
        <x:v>GUILD-0185</x:v>
      </x:c>
      <x:c r="C186" s="10" t="str">
        <x:v>运营管理</x:v>
      </x:c>
      <x:c r="D186" s="10" t="str">
        <x:v>运营消息详情（公会长）</x:v>
      </x:c>
      <x:c r="E186" s="10" t="str">
        <x:v>功能需求</x:v>
      </x:c>
      <x:c r="F186" s="10" t="str">
        <x:v>P2</x:v>
      </x:c>
      <x:c r="G186" s="9" t="str">
        <x:v>验证运营消息详情显示目标记录的发送时间</x:v>
      </x:c>
      <x:c r="H186" s="9" t="str">
        <x:v>发送时间与当前对象绑定</x:v>
      </x:c>
      <x:c r="I186" s="9" t="str">
        <x:v>1. 公会长为本条执行者
2. 公会长账号已登录
3. 运营消息详情中目标记录唯一可定位为记录甲；目标记录满足本页展示范围
4. 该记录的发送时间来源值为“2026/09/14 10:06”；另有记录乙的同字段值不同，二者不混用
5. 日期时间均以当前页面使用的时区准备，不测试尚未确认的跨时区换算</x:v>
      </x:c>
      <x:c r="J186" s="9" t="str">
        <x:v>1. 打开运营消息详情
2. 查看记录甲的发送时间</x:v>
      </x:c>
      <x:c r="K186" s="9" t="str">
        <x:v>记录甲的发送时间表示测试时刻“2026/09/14 10:06”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来源（当前证据）：liveshow-proto/MainBasis/统一需求文档.md；位置：第 2254 行；REQ-3c8314c9f414、第 2251 行
2. 规则：BR-51BCC8E07D98BB
3. 未动态验证
4. 示例账号、编号、金额与日期是本条测试数据；执行前按前置条件准备，未填写的产品决策不得自行假定。</x:v>
      </x:c>
    </x:row>
    <x:row r="187" ht="130" customHeight="1">
      <x:c r="A187" s="10" t="n">
        <x:v>186</x:v>
      </x:c>
      <x:c r="B187" s="10" t="str">
        <x:v>GUILD-0186</x:v>
      </x:c>
      <x:c r="C187" s="10" t="str">
        <x:v>运营管理</x:v>
      </x:c>
      <x:c r="D187" s="10" t="str">
        <x:v>运营消息详情（公会长）</x:v>
      </x:c>
      <x:c r="E187" s="10" t="str">
        <x:v>功能需求</x:v>
      </x:c>
      <x:c r="F187" s="10" t="str">
        <x:v>P2</x:v>
      </x:c>
      <x:c r="G187" s="9" t="str">
        <x:v>验证运营消息详情显示目标记录的发送人</x:v>
      </x:c>
      <x:c r="H187" s="9" t="str">
        <x:v>发送人与当前对象绑定</x:v>
      </x:c>
      <x:c r="I187" s="9" t="str">
        <x:v>1. 公会长为本条执行者
2. 公会长账号已登录
3. 运营消息详情中目标记录唯一可定位为记录甲；目标记录满足本页展示范围
4. 该记录的发送人来源值为“测试公会长甲”；另有记录乙的同字段值不同，二者不混用</x:v>
      </x:c>
      <x:c r="J187" s="9" t="str">
        <x:v>1. 打开运营消息详情
2. 查看记录甲的发送人</x:v>
      </x:c>
      <x:c r="K187" s="9" t="str">
        <x:v>记录甲的发送人显示“测试公会长甲”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来源（当前证据）：liveshow-proto/MainBasis/统一需求文档.md；位置：第 2255 行；REQ-9cd1caddc550、第 2251 行
2. 规则：BR-EF5E885A7BC19B
3. 未动态验证
4. 示例账号、编号、金额与日期是本条测试数据；执行前按前置条件准备，未填写的产品决策不得自行假定。</x:v>
      </x:c>
    </x:row>
    <x:row r="188" ht="145" customHeight="1">
      <x:c r="A188" s="10" t="n">
        <x:v>187</x:v>
      </x:c>
      <x:c r="B188" s="10" t="str">
        <x:v>GUILD-0187</x:v>
      </x:c>
      <x:c r="C188" s="10" t="str">
        <x:v>运营管理</x:v>
      </x:c>
      <x:c r="D188" s="10" t="str">
        <x:v>运营消息详情（公会长）</x:v>
      </x:c>
      <x:c r="E188" s="10" t="str">
        <x:v>功能需求</x:v>
      </x:c>
      <x:c r="F188" s="10" t="str">
        <x:v>P2</x:v>
      </x:c>
      <x:c r="G188" s="9" t="str">
        <x:v>验证运营消息详情显示目标记录的正文</x:v>
      </x:c>
      <x:c r="H188" s="9" t="str">
        <x:v>正文与当前对象绑定</x:v>
      </x:c>
      <x:c r="I188" s="9" t="str">
        <x:v>1. 公会长为本条执行者
2. 公会长账号已登录
3. 运营消息详情中目标记录唯一可定位为记录甲；目标记录满足本页展示范围
4. 该记录的正文来源值为“测试业务通知内容甲”；另有记录乙的同字段值不同，二者不混用</x:v>
      </x:c>
      <x:c r="J188" s="9" t="str">
        <x:v>1. 打开运营消息详情
2. 查看记录甲的正文</x:v>
      </x:c>
      <x:c r="K188" s="9" t="str">
        <x:v>记录甲的正文显示“测试业务通知内容甲”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来源（当前证据）：liveshow-proto/MainBasis/统一需求文档.md；位置：第 2256 行；REQ-d26a7f3cbd0b、第 2251 行
2. 规则：BR-20CB39D605966D
3. 未动态验证
4. 示例账号、编号、金额与日期是本条测试数据；执行前按前置条件准备，未填写的产品决策不得自行假定。</x:v>
      </x:c>
    </x:row>
    <x:row r="189" ht="130" customHeight="1">
      <x:c r="A189" s="10" t="n">
        <x:v>188</x:v>
      </x:c>
      <x:c r="B189" s="10" t="str">
        <x:v>GUILD-0188</x:v>
      </x:c>
      <x:c r="C189" s="10" t="str">
        <x:v>运营管理</x:v>
      </x:c>
      <x:c r="D189" s="10" t="str">
        <x:v>运营账号（公会长）</x:v>
      </x:c>
      <x:c r="E189" s="10" t="str">
        <x:v>功能需求</x:v>
      </x:c>
      <x:c r="F189" s="10" t="str">
        <x:v>P2</x:v>
      </x:c>
      <x:c r="G189" s="9" t="str">
        <x:v>验证运营账号显示目标记录的名称</x:v>
      </x:c>
      <x:c r="H189" s="9" t="str">
        <x:v>名称与当前对象绑定</x:v>
      </x:c>
      <x:c r="I189" s="9" t="str">
        <x:v>1. 公会长为本条执行者
2. 公会长账号已登录
3. 运营账号中目标记录唯一可定位为记录甲；目标记录满足本页展示范围
4. 该记录的名称来源值为“测试名称甲”；另有记录乙的同字段值不同，二者不混用</x:v>
      </x:c>
      <x:c r="J189" s="9" t="str">
        <x:v>1. 打开运营账号
2. 查看记录甲的名称</x:v>
      </x:c>
      <x:c r="K189" s="9" t="str">
        <x:v>记录甲的名称显示“测试名称甲”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来源（当前证据）：liveshow-proto/MainBasis/统一需求文档.md；位置：第 2263 行；REQ-caa3708e5b1d、第 2261 行
2. 规则：BR-AA02A14E4EF5B0
3. 未动态验证
4. 示例账号、编号、金额与日期是本条测试数据；执行前按前置条件准备，未填写的产品决策不得自行假定。</x:v>
      </x:c>
    </x:row>
    <x:row r="190" ht="130" customHeight="1">
      <x:c r="A190" s="10" t="n">
        <x:v>189</x:v>
      </x:c>
      <x:c r="B190" s="10" t="str">
        <x:v>GUILD-0189</x:v>
      </x:c>
      <x:c r="C190" s="10" t="str">
        <x:v>运营管理</x:v>
      </x:c>
      <x:c r="D190" s="10" t="str">
        <x:v>运营账号（公会长）</x:v>
      </x:c>
      <x:c r="E190" s="10" t="str">
        <x:v>功能需求</x:v>
      </x:c>
      <x:c r="F190" s="10" t="str">
        <x:v>P2</x:v>
      </x:c>
      <x:c r="G190" s="9" t="str">
        <x:v>验证运营账号显示目标记录的账号 ID</x:v>
      </x:c>
      <x:c r="H190" s="9" t="str">
        <x:v>账号 ID与当前对象绑定</x:v>
      </x:c>
      <x:c r="I190" s="9" t="str">
        <x:v>1. 公会长为本条执行者
2. 公会长账号已登录
3. 运营账号中目标记录唯一可定位为记录甲；目标记录满足本页展示范围
4. 该记录的账号 ID来源值为“9001”；另有记录乙的同字段值不同，二者不混用</x:v>
      </x:c>
      <x:c r="J190" s="9" t="str">
        <x:v>1. 打开运营账号
2. 查看记录甲的账号 ID</x:v>
      </x:c>
      <x:c r="K190" s="9" t="str">
        <x:v>记录甲的账号 ID显示“9001”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来源（当前证据）：liveshow-proto/MainBasis/统一需求文档.md；位置：第 2263 行；REQ-caa3708e5b1d、第 2261 行
2. 规则：BR-E4C935144B2DD3
3. 未动态验证
4. 示例账号、编号、金额与日期是本条测试数据；执行前按前置条件准备，未填写的产品决策不得自行假定。</x:v>
      </x:c>
    </x:row>
    <x:row r="191" ht="130" customHeight="1">
      <x:c r="A191" s="10" t="n">
        <x:v>190</x:v>
      </x:c>
      <x:c r="B191" s="10" t="str">
        <x:v>GUILD-0190</x:v>
      </x:c>
      <x:c r="C191" s="10" t="str">
        <x:v>运营管理</x:v>
      </x:c>
      <x:c r="D191" s="10" t="str">
        <x:v>运营账号主页（公会长）</x:v>
      </x:c>
      <x:c r="E191" s="10" t="str">
        <x:v>功能需求</x:v>
      </x:c>
      <x:c r="F191" s="10" t="str">
        <x:v>P2</x:v>
      </x:c>
      <x:c r="G191" s="9" t="str">
        <x:v>验证运营账号主页显示目标记录的名称</x:v>
      </x:c>
      <x:c r="H191" s="9" t="str">
        <x:v>名称与当前对象绑定</x:v>
      </x:c>
      <x:c r="I191" s="9" t="str">
        <x:v>1. 公会长为本条执行者
2. 公会长账号已登录
3. 运营账号主页中目标记录唯一可定位为记录甲；目标记录满足本页展示范围
4. 该记录的名称来源值为“测试名称甲”；另有记录乙的同字段值不同，二者不混用</x:v>
      </x:c>
      <x:c r="J191" s="9" t="str">
        <x:v>1. 打开运营账号主页
2. 查看记录甲的名称</x:v>
      </x:c>
      <x:c r="K191" s="9" t="str">
        <x:v>记录甲的名称显示“测试名称甲”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来源（当前证据）：liveshow-proto/MainBasis/统一需求文档.md；位置：第 2290 行；REQ-9a301f4fcc80、第 2289 行
2. 规则：BR-38A40B4AF388D4
3. 未动态验证
4. 示例账号、编号、金额与日期是本条测试数据；执行前按前置条件准备，未填写的产品决策不得自行假定。</x:v>
      </x:c>
    </x:row>
    <x:row r="192" ht="130" customHeight="1">
      <x:c r="A192" s="10" t="n">
        <x:v>191</x:v>
      </x:c>
      <x:c r="B192" s="10" t="str">
        <x:v>GUILD-0191</x:v>
      </x:c>
      <x:c r="C192" s="10" t="str">
        <x:v>运营管理</x:v>
      </x:c>
      <x:c r="D192" s="10" t="str">
        <x:v>运营账号主页（公会长）</x:v>
      </x:c>
      <x:c r="E192" s="10" t="str">
        <x:v>功能需求</x:v>
      </x:c>
      <x:c r="F192" s="10" t="str">
        <x:v>P2</x:v>
      </x:c>
      <x:c r="G192" s="9" t="str">
        <x:v>验证运营账号主页显示目标记录的账号 ID</x:v>
      </x:c>
      <x:c r="H192" s="9" t="str">
        <x:v>账号 ID与当前对象绑定</x:v>
      </x:c>
      <x:c r="I192" s="9" t="str">
        <x:v>1. 公会长为本条执行者
2. 公会长账号已登录
3. 运营账号主页中目标记录唯一可定位为记录甲；目标记录满足本页展示范围
4. 该记录的账号 ID来源值为“9001”；另有记录乙的同字段值不同，二者不混用</x:v>
      </x:c>
      <x:c r="J192" s="9" t="str">
        <x:v>1. 打开运营账号主页
2. 查看记录甲的账号 ID</x:v>
      </x:c>
      <x:c r="K192" s="9" t="str">
        <x:v>记录甲的账号 ID显示“9001”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 2290 行；REQ-9a301f4fcc80、第 2289 行
2. 规则：BR-566405A46FB0A0
3. 未动态验证
4. 示例账号、编号、金额与日期是本条测试数据；执行前按前置条件准备，未填写的产品决策不得自行假定。</x:v>
      </x:c>
    </x:row>
    <x:row r="193" ht="130" customHeight="1">
      <x:c r="A193" s="10" t="n">
        <x:v>192</x:v>
      </x:c>
      <x:c r="B193" s="10" t="str">
        <x:v>GUILD-0192</x:v>
      </x:c>
      <x:c r="C193" s="10" t="str">
        <x:v>运营管理</x:v>
      </x:c>
      <x:c r="D193" s="10" t="str">
        <x:v>送礼记录（公会长）</x:v>
      </x:c>
      <x:c r="E193" s="10" t="str">
        <x:v>功能需求</x:v>
      </x:c>
      <x:c r="F193" s="10" t="str">
        <x:v>P2</x:v>
      </x:c>
      <x:c r="G193" s="9" t="str">
        <x:v>验证送礼记录显示目标记录的礼物名称</x:v>
      </x:c>
      <x:c r="H193" s="9" t="str">
        <x:v>礼物名称与当前对象绑定</x:v>
      </x:c>
      <x:c r="I193" s="9" t="str">
        <x:v>1. 公会长为本条执行者
2. 公会长账号已登录
3. 送礼记录中目标记录唯一可定位为记录甲；目标记录已成功完成
4. 该记录的礼物名称来源值为“测试礼物甲”；另有记录乙的同字段值不同，二者不混用</x:v>
      </x:c>
      <x:c r="J193" s="9" t="str">
        <x:v>1. 打开送礼记录
2. 查看记录甲的礼物名称</x:v>
      </x:c>
      <x:c r="K193" s="9" t="str">
        <x:v>记录甲的礼物名称显示“测试礼物甲”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 2310 行；REQ-21482a338b4c、第 2309 行
2. 规则：BR-F0AC32D130E12B
3. 未动态验证
4. 示例账号、编号、金额与日期是本条测试数据；执行前按前置条件准备，未填写的产品决策不得自行假定。</x:v>
      </x:c>
    </x:row>
    <x:row r="194" ht="190" customHeight="1">
      <x:c r="A194" s="10" t="n">
        <x:v>193</x:v>
      </x:c>
      <x:c r="B194" s="10" t="str">
        <x:v>GUILD-0193</x:v>
      </x:c>
      <x:c r="C194" s="10" t="str">
        <x:v>运营管理</x:v>
      </x:c>
      <x:c r="D194" s="10" t="str">
        <x:v>送礼记录（公会长）</x:v>
      </x:c>
      <x:c r="E194" s="10" t="str">
        <x:v>功能需求</x:v>
      </x:c>
      <x:c r="F194" s="10" t="str">
        <x:v>P2</x:v>
      </x:c>
      <x:c r="G194" s="9" t="str">
        <x:v>验证送礼记录显示目标记录的赠送时间</x:v>
      </x:c>
      <x:c r="H194" s="9" t="str">
        <x:v>赠送时间与当前对象绑定</x:v>
      </x:c>
      <x:c r="I194" s="9" t="str">
        <x:v>1. 公会长为本条执行者
2. 公会长账号已登录
3. 送礼记录中目标记录唯一可定位为记录甲；目标记录已成功完成
4. 该记录的赠送时间来源值为“2026/09/14 10:05”；另有记录乙的同字段值不同，二者不混用
5. 日期时间均以当前页面使用的时区准备，不测试尚未确认的跨时区换算</x:v>
      </x:c>
      <x:c r="J194" s="9" t="str">
        <x:v>1. 打开送礼记录
2. 查看记录甲的赠送时间</x:v>
      </x:c>
      <x:c r="K194" s="9" t="str">
        <x:v>记录甲的赠送时间表示测试时刻“2026/09/14 10:05”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 2310 行；REQ-21482a338b4c、第 2312 行；REQ-8886e923a248、第 2309 行
2. 规则：BR-126853FD3E431C
3. 未动态验证
4. 示例账号、编号、金额与日期是本条测试数据；执行前按前置条件准备，未填写的产品决策不得自行假定。</x:v>
      </x:c>
    </x:row>
    <x:row r="195" ht="130" customHeight="1">
      <x:c r="A195" s="10" t="n">
        <x:v>194</x:v>
      </x:c>
      <x:c r="B195" s="10" t="str">
        <x:v>GUILD-0194</x:v>
      </x:c>
      <x:c r="C195" s="10" t="str">
        <x:v>运营管理</x:v>
      </x:c>
      <x:c r="D195" s="10" t="str">
        <x:v>送礼记录（公会长）</x:v>
      </x:c>
      <x:c r="E195" s="10" t="str">
        <x:v>功能需求</x:v>
      </x:c>
      <x:c r="F195" s="10" t="str">
        <x:v>P2</x:v>
      </x:c>
      <x:c r="G195" s="9" t="str">
        <x:v>验证送礼记录显示目标记录的礼物名称</x:v>
      </x:c>
      <x:c r="H195" s="9" t="str">
        <x:v>礼物名称与当前对象绑定</x:v>
      </x:c>
      <x:c r="I195" s="9" t="str">
        <x:v>1. 公会长为本条执行者
2. 公会长账号已登录
3. 送礼记录中目标记录唯一可定位为记录甲；目标记录满足本页展示范围
4. 该记录的礼物名称来源值为“测试礼物甲”；另有记录乙的同字段值不同，二者不混用</x:v>
      </x:c>
      <x:c r="J195" s="9" t="str">
        <x:v>1. 打开送礼记录
2. 查看记录甲的礼物名称</x:v>
      </x:c>
      <x:c r="K195" s="9" t="str">
        <x:v>记录甲的礼物名称显示“测试礼物甲”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来源（当前证据）：liveshow-proto/MainBasis/统一需求文档.md；位置：第 2313 行；REQ-9e277d7deccf、第 2309 行
2. 规则：BR-37A2FE2B7080BE
3. 未动态验证
4. 示例账号、编号、金额与日期是本条测试数据；执行前按前置条件准备，未填写的产品决策不得自行假定。</x:v>
      </x:c>
    </x:row>
    <x:row r="196" ht="130" customHeight="1">
      <x:c r="A196" s="10" t="n">
        <x:v>195</x:v>
      </x:c>
      <x:c r="B196" s="10" t="str">
        <x:v>GUILD-0195</x:v>
      </x:c>
      <x:c r="C196" s="10" t="str">
        <x:v>运营管理</x:v>
      </x:c>
      <x:c r="D196" s="10" t="str">
        <x:v>送礼记录（公会长）</x:v>
      </x:c>
      <x:c r="E196" s="10" t="str">
        <x:v>功能需求</x:v>
      </x:c>
      <x:c r="F196" s="10" t="str">
        <x:v>P2</x:v>
      </x:c>
      <x:c r="G196" s="9" t="str">
        <x:v>验证送礼记录显示目标记录的主播名称</x:v>
      </x:c>
      <x:c r="H196" s="9" t="str">
        <x:v>主播名称与当前对象绑定</x:v>
      </x:c>
      <x:c r="I196" s="9" t="str">
        <x:v>1. 公会长为本条执行者
2. 公会长账号已登录
3. 送礼记录中目标记录唯一可定位为记录甲；目标记录满足本页展示范围
4. 该记录的主播名称来源值为“测试主播甲”；另有记录乙的同字段值不同，二者不混用</x:v>
      </x:c>
      <x:c r="J196" s="9" t="str">
        <x:v>1. 打开送礼记录
2. 查看记录甲的主播名称</x:v>
      </x:c>
      <x:c r="K196" s="9" t="str">
        <x:v>记录甲的主播名称显示“测试主播甲”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来源（当前证据）：liveshow-proto/MainBasis/统一需求文档.md；位置：第 2318 行；REQ-fe92bf460795、第 2309 行
2. 规则：BR-EE3C9CFAE8E6D0
3. 未动态验证
4. 示例账号、编号、金额与日期是本条测试数据；执行前按前置条件准备，未填写的产品决策不得自行假定。</x:v>
      </x:c>
    </x:row>
    <x:row r="197" ht="130" customHeight="1">
      <x:c r="A197" s="10" t="n">
        <x:v>196</x:v>
      </x:c>
      <x:c r="B197" s="10" t="str">
        <x:v>GUILD-0196</x:v>
      </x:c>
      <x:c r="C197" s="10" t="str">
        <x:v>运营管理</x:v>
      </x:c>
      <x:c r="D197" s="10" t="str">
        <x:v>送礼记录（公会长）</x:v>
      </x:c>
      <x:c r="E197" s="10" t="str">
        <x:v>功能需求</x:v>
      </x:c>
      <x:c r="F197" s="10" t="str">
        <x:v>P2</x:v>
      </x:c>
      <x:c r="G197" s="9" t="str">
        <x:v>验证送礼记录显示目标记录的主播 ID</x:v>
      </x:c>
      <x:c r="H197" s="9" t="str">
        <x:v>主播 ID与当前对象绑定</x:v>
      </x:c>
      <x:c r="I197" s="9" t="str">
        <x:v>1. 公会长为本条执行者
2. 公会长账号已登录
3. 送礼记录中目标记录唯一可定位为记录甲；目标记录满足本页展示范围
4. 该记录的主播 ID来源值为“2001”；另有记录乙的同字段值不同，二者不混用</x:v>
      </x:c>
      <x:c r="J197" s="9" t="str">
        <x:v>1. 打开送礼记录
2. 查看记录甲的主播 ID</x:v>
      </x:c>
      <x:c r="K197" s="9" t="str">
        <x:v>记录甲的主播 ID显示“2001”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来源（当前证据）：liveshow-proto/MainBasis/统一需求文档.md；位置：第 2318 行；REQ-fe92bf460795、第 2309 行
2. 规则：BR-D97577014339FD
3. 未动态验证
4. 示例账号、编号、金额与日期是本条测试数据；执行前按前置条件准备，未填写的产品决策不得自行假定。</x:v>
      </x:c>
    </x:row>
    <x:row r="198" ht="130" customHeight="1">
      <x:c r="A198" s="10" t="n">
        <x:v>197</x:v>
      </x:c>
      <x:c r="B198" s="10" t="str">
        <x:v>GUILD-0197</x:v>
      </x:c>
      <x:c r="C198" s="10" t="str">
        <x:v>公会设置</x:v>
      </x:c>
      <x:c r="D198" s="10" t="str">
        <x:v>公会资料（公会长）</x:v>
      </x:c>
      <x:c r="E198" s="10" t="str">
        <x:v>功能需求</x:v>
      </x:c>
      <x:c r="F198" s="10" t="str">
        <x:v>P2</x:v>
      </x:c>
      <x:c r="G198" s="9" t="str">
        <x:v>验证公会资料显示目标记录的公会 ID</x:v>
      </x:c>
      <x:c r="H198" s="9" t="str">
        <x:v>公会 ID与当前对象绑定</x:v>
      </x:c>
      <x:c r="I198" s="9" t="str">
        <x:v>1. 公会长为本条执行者
2. 公会长账号已登录
3. 公会资料中目标记录唯一可定位为记录甲；目标记录满足本页展示范围
4. 该记录的公会 ID来源值为“3001”；另有记录乙的同字段值不同，二者不混用</x:v>
      </x:c>
      <x:c r="J198" s="9" t="str">
        <x:v>1. 打开公会资料
2. 查看记录甲的公会 ID</x:v>
      </x:c>
      <x:c r="K198" s="9" t="str">
        <x:v>记录甲的公会 ID显示“3001”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来源（当前证据）：liveshow-proto/MainBasis/统一需求文档.md；位置：第 2335 行；REQ-bfb5dec0051f、第 2334 行
2. 规则：BR-1F0691376C8B8B
3. 未动态验证
4. 示例账号、编号、金额与日期是本条测试数据；执行前按前置条件准备，未填写的产品决策不得自行假定。</x:v>
      </x:c>
    </x:row>
    <x:row r="199" ht="145" customHeight="1">
      <x:c r="A199" s="10" t="n">
        <x:v>198</x:v>
      </x:c>
      <x:c r="B199" s="10" t="str">
        <x:v>GUILD-0198</x:v>
      </x:c>
      <x:c r="C199" s="10" t="str">
        <x:v>数据与收益</x:v>
      </x:c>
      <x:c r="D199" s="10" t="str">
        <x:v>直播记录（公会长）</x:v>
      </x:c>
      <x:c r="E199" s="10" t="str">
        <x:v>功能需求</x:v>
      </x:c>
      <x:c r="F199" s="10" t="str">
        <x:v>P2</x:v>
      </x:c>
      <x:c r="G199" s="9" t="str">
        <x:v>验证直播记录显示目标记录的直播主题</x:v>
      </x:c>
      <x:c r="H199" s="9" t="str">
        <x:v>直播主题与当前对象绑定</x:v>
      </x:c>
      <x:c r="I199" s="9" t="str">
        <x:v>1. 公会长为本条执行者
2. 公会长账号已登录
3. 直播记录中目标记录唯一可定位为记录甲；目标记录满足本页展示范围
4. 该记录的直播主题来源值为“测试场次主题甲”；另有记录乙的同字段值不同，二者不混用</x:v>
      </x:c>
      <x:c r="J199" s="9" t="str">
        <x:v>1. 打开直播记录
2. 查看记录甲的直播主题</x:v>
      </x:c>
      <x:c r="K199" s="9" t="str">
        <x:v>记录甲的直播主题显示“测试场次主题甲”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来源（当前证据）：liveshow-proto/MainBasis/统一需求文档.md；位置：第 2363 行；REQ-b8fbc07e8999、第 2359 行
2. 规则：BR-357F7286116C9E
3. 未动态验证
4. 示例账号、编号、金额与日期是本条测试数据；执行前按前置条件准备，未填写的产品决策不得自行假定。</x:v>
      </x:c>
    </x:row>
    <x:row r="200" ht="130" customHeight="1">
      <x:c r="A200" s="10" t="n">
        <x:v>199</x:v>
      </x:c>
      <x:c r="B200" s="10" t="str">
        <x:v>GUILD-0199</x:v>
      </x:c>
      <x:c r="C200" s="10" t="str">
        <x:v>数据与收益</x:v>
      </x:c>
      <x:c r="D200" s="10" t="str">
        <x:v>直播记录（公会长）</x:v>
      </x:c>
      <x:c r="E200" s="10" t="str">
        <x:v>功能需求</x:v>
      </x:c>
      <x:c r="F200" s="10" t="str">
        <x:v>P2</x:v>
      </x:c>
      <x:c r="G200" s="9" t="str">
        <x:v>验证直播记录显示目标记录的主播名称</x:v>
      </x:c>
      <x:c r="H200" s="9" t="str">
        <x:v>主播名称与当前对象绑定</x:v>
      </x:c>
      <x:c r="I200" s="9" t="str">
        <x:v>1. 公会长为本条执行者
2. 公会长账号已登录
3. 直播记录中目标记录唯一可定位为记录甲；目标记录满足本页展示范围
4. 该记录的主播名称来源值为“测试主播甲”；另有记录乙的同字段值不同，二者不混用</x:v>
      </x:c>
      <x:c r="J200" s="9" t="str">
        <x:v>1. 打开直播记录
2. 查看记录甲的主播名称</x:v>
      </x:c>
      <x:c r="K200" s="9" t="str">
        <x:v>记录甲的主播名称显示“测试主播甲”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来源（当前证据）：liveshow-proto/MainBasis/统一需求文档.md；位置：第 2365 行；REQ-bcdfbce8488c、第 2359 行
2. 规则：BR-2E8BD3BD3627E8
3. 未动态验证
4. 示例账号、编号、金额与日期是本条测试数据；执行前按前置条件准备，未填写的产品决策不得自行假定。</x:v>
      </x:c>
    </x:row>
    <x:row r="201" ht="130" customHeight="1">
      <x:c r="A201" s="10" t="n">
        <x:v>200</x:v>
      </x:c>
      <x:c r="B201" s="10" t="str">
        <x:v>GUILD-0200</x:v>
      </x:c>
      <x:c r="C201" s="10" t="str">
        <x:v>数据与收益</x:v>
      </x:c>
      <x:c r="D201" s="10" t="str">
        <x:v>直播记录（公会长）</x:v>
      </x:c>
      <x:c r="E201" s="10" t="str">
        <x:v>功能需求</x:v>
      </x:c>
      <x:c r="F201" s="10" t="str">
        <x:v>P2</x:v>
      </x:c>
      <x:c r="G201" s="9" t="str">
        <x:v>验证直播记录显示目标记录的主播 ID</x:v>
      </x:c>
      <x:c r="H201" s="9" t="str">
        <x:v>主播 ID与当前对象绑定</x:v>
      </x:c>
      <x:c r="I201" s="9" t="str">
        <x:v>1. 公会长为本条执行者
2. 公会长账号已登录
3. 直播记录中目标记录唯一可定位为记录甲；目标记录满足本页展示范围
4. 该记录的主播 ID来源值为“2001”；另有记录乙的同字段值不同，二者不混用</x:v>
      </x:c>
      <x:c r="J201" s="9" t="str">
        <x:v>1. 打开直播记录
2. 查看记录甲的主播 ID</x:v>
      </x:c>
      <x:c r="K201" s="9" t="str">
        <x:v>记录甲的主播 ID显示“2001”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来源（当前证据）：liveshow-proto/MainBasis/统一需求文档.md；位置：第 2365 行；REQ-bcdfbce8488c、第 2359 行
2. 规则：BR-075909C3A24077
3. 未动态验证
4. 示例账号、编号、金额与日期是本条测试数据；执行前按前置条件准备，未填写的产品决策不得自行假定。</x:v>
      </x:c>
    </x:row>
    <x:row r="202" ht="190" customHeight="1">
      <x:c r="A202" s="10" t="n">
        <x:v>201</x:v>
      </x:c>
      <x:c r="B202" s="10" t="str">
        <x:v>GUILD-0201</x:v>
      </x:c>
      <x:c r="C202" s="10" t="str">
        <x:v>数据与收益</x:v>
      </x:c>
      <x:c r="D202" s="10" t="str">
        <x:v>直播记录（公会长）</x:v>
      </x:c>
      <x:c r="E202" s="10" t="str">
        <x:v>功能需求</x:v>
      </x:c>
      <x:c r="F202" s="10" t="str">
        <x:v>P2</x:v>
      </x:c>
      <x:c r="G202" s="9" t="str">
        <x:v>验证直播记录显示目标记录的开播时间</x:v>
      </x:c>
      <x:c r="H202" s="9" t="str">
        <x:v>开播时间与当前对象绑定</x:v>
      </x:c>
      <x:c r="I202" s="9" t="str">
        <x:v>1. 公会长为本条执行者
2. 公会长账号已登录
3. 直播记录中目标记录唯一可定位为记录甲；目标记录满足本页展示范围
4. 该记录的开播时间来源值为“2026/09/14 10:04”；另有记录乙的同字段值不同，二者不混用
5. 日期时间均以当前页面使用的时区准备，不测试尚未确认的跨时区换算</x:v>
      </x:c>
      <x:c r="J202" s="9" t="str">
        <x:v>1. 打开直播记录
2. 查看记录甲的开播时间</x:v>
      </x:c>
      <x:c r="K202" s="9" t="str">
        <x:v>记录甲的开播时间表示测试时刻“2026/09/14 10:04”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来源（当前证据）：liveshow-proto/MainBasis/统一需求文档.md；位置：第 2366 行；REQ-636637b2a0cc、第 2359 行
2. 规则：BR-5E7547E7077BC2
3. 未动态验证
4. 示例账号、编号、金额与日期是本条测试数据；执行前按前置条件准备，未填写的产品决策不得自行假定。</x:v>
      </x:c>
    </x:row>
    <x:row r="203" ht="145" customHeight="1">
      <x:c r="A203" s="10" t="n">
        <x:v>202</x:v>
      </x:c>
      <x:c r="B203" s="10" t="str">
        <x:v>GUILD-0202</x:v>
      </x:c>
      <x:c r="C203" s="10" t="str">
        <x:v>数据与收益</x:v>
      </x:c>
      <x:c r="D203" s="10" t="str">
        <x:v>直播场次详情（公会长）</x:v>
      </x:c>
      <x:c r="E203" s="10" t="str">
        <x:v>功能需求</x:v>
      </x:c>
      <x:c r="F203" s="10" t="str">
        <x:v>P2</x:v>
      </x:c>
      <x:c r="G203" s="9" t="str">
        <x:v>验证直播场次详情显示目标记录的直播主题</x:v>
      </x:c>
      <x:c r="H203" s="9" t="str">
        <x:v>直播主题与当前对象绑定</x:v>
      </x:c>
      <x:c r="I203" s="9" t="str">
        <x:v>1. 公会长为本条执行者
2. 公会长账号已登录
3. 直播场次详情中目标记录唯一可定位为记录甲；目标记录满足本页展示范围
4. 该记录的直播主题来源值为“测试场次主题甲”；另有记录乙的同字段值不同，二者不混用</x:v>
      </x:c>
      <x:c r="J203" s="9" t="str">
        <x:v>1. 打开直播场次详情
2. 查看记录甲的直播主题</x:v>
      </x:c>
      <x:c r="K203" s="9" t="str">
        <x:v>记录甲的直播主题显示“测试场次主题甲”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 2380 行；REQ-cee0274fdc6e、第 2379 行
2. 规则：BR-D96775FCC0A3E5
3. 未动态验证
4. 示例账号、编号、金额与日期是本条测试数据；执行前按前置条件准备，未填写的产品决策不得自行假定。</x:v>
      </x:c>
    </x:row>
    <x:row r="204" ht="130" customHeight="1">
      <x:c r="A204" s="10" t="n">
        <x:v>203</x:v>
      </x:c>
      <x:c r="B204" s="10" t="str">
        <x:v>GUILD-0203</x:v>
      </x:c>
      <x:c r="C204" s="10" t="str">
        <x:v>数据与收益</x:v>
      </x:c>
      <x:c r="D204" s="10" t="str">
        <x:v>直播场次详情（公会长）</x:v>
      </x:c>
      <x:c r="E204" s="10" t="str">
        <x:v>功能需求</x:v>
      </x:c>
      <x:c r="F204" s="10" t="str">
        <x:v>P2</x:v>
      </x:c>
      <x:c r="G204" s="9" t="str">
        <x:v>验证直播场次详情显示目标记录的场次 ID</x:v>
      </x:c>
      <x:c r="H204" s="9" t="str">
        <x:v>场次 ID与当前对象绑定</x:v>
      </x:c>
      <x:c r="I204" s="9" t="str">
        <x:v>1. 公会长为本条执行者
2. 公会长账号已登录
3. 直播场次详情中目标记录唯一可定位为记录甲；目标记录满足本页展示范围
4. 该记录的场次 ID来源值为“S001”；另有记录乙的同字段值不同，二者不混用</x:v>
      </x:c>
      <x:c r="J204" s="9" t="str">
        <x:v>1. 打开直播场次详情
2. 查看记录甲的场次 ID</x:v>
      </x:c>
      <x:c r="K204" s="9" t="str">
        <x:v>记录甲的场次 ID显示“S001”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 2380 行；REQ-cee0274fdc6e、第 2379 行
2. 规则：BR-B9CF181BF1D86B
3. 未动态验证
4. 示例账号、编号、金额与日期是本条测试数据；执行前按前置条件准备，未填写的产品决策不得自行假定。</x:v>
      </x:c>
    </x:row>
    <x:row r="205" ht="130" customHeight="1">
      <x:c r="A205" s="10" t="n">
        <x:v>204</x:v>
      </x:c>
      <x:c r="B205" s="10" t="str">
        <x:v>GUILD-0204</x:v>
      </x:c>
      <x:c r="C205" s="10" t="str">
        <x:v>数据与收益</x:v>
      </x:c>
      <x:c r="D205" s="10" t="str">
        <x:v>直播场次详情（公会长）</x:v>
      </x:c>
      <x:c r="E205" s="10" t="str">
        <x:v>功能需求</x:v>
      </x:c>
      <x:c r="F205" s="10" t="str">
        <x:v>P2</x:v>
      </x:c>
      <x:c r="G205" s="9" t="str">
        <x:v>验证直播场次详情显示目标记录的主播名称</x:v>
      </x:c>
      <x:c r="H205" s="9" t="str">
        <x:v>主播名称与当前对象绑定</x:v>
      </x:c>
      <x:c r="I205" s="9" t="str">
        <x:v>1. 公会长为本条执行者
2. 公会长账号已登录
3. 直播场次详情中目标记录唯一可定位为记录甲；目标记录满足本页展示范围
4. 该记录的主播名称来源值为“测试主播甲”；另有记录乙的同字段值不同，二者不混用</x:v>
      </x:c>
      <x:c r="J205" s="9" t="str">
        <x:v>1. 打开直播场次详情
2. 查看记录甲的主播名称</x:v>
      </x:c>
      <x:c r="K205" s="9" t="str">
        <x:v>记录甲的主播名称显示“测试主播甲”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来源（当前证据）：liveshow-proto/MainBasis/统一需求文档.md；位置：第 2381 行；REQ-931746f514f1、第 2379 行
2. 规则：BR-AB8F30997588E4
3. 未动态验证
4. 示例账号、编号、金额与日期是本条测试数据；执行前按前置条件准备，未填写的产品决策不得自行假定。</x:v>
      </x:c>
    </x:row>
    <x:row r="206" ht="130" customHeight="1">
      <x:c r="A206" s="10" t="n">
        <x:v>205</x:v>
      </x:c>
      <x:c r="B206" s="10" t="str">
        <x:v>GUILD-0205</x:v>
      </x:c>
      <x:c r="C206" s="10" t="str">
        <x:v>数据与收益</x:v>
      </x:c>
      <x:c r="D206" s="10" t="str">
        <x:v>直播场次详情（公会长）</x:v>
      </x:c>
      <x:c r="E206" s="10" t="str">
        <x:v>功能需求</x:v>
      </x:c>
      <x:c r="F206" s="10" t="str">
        <x:v>P2</x:v>
      </x:c>
      <x:c r="G206" s="9" t="str">
        <x:v>验证直播场次详情显示目标记录的主播 ID</x:v>
      </x:c>
      <x:c r="H206" s="9" t="str">
        <x:v>主播 ID与当前对象绑定</x:v>
      </x:c>
      <x:c r="I206" s="9" t="str">
        <x:v>1. 公会长为本条执行者
2. 公会长账号已登录
3. 直播场次详情中目标记录唯一可定位为记录甲；目标记录满足本页展示范围
4. 该记录的主播 ID来源值为“2001”；另有记录乙的同字段值不同，二者不混用</x:v>
      </x:c>
      <x:c r="J206" s="9" t="str">
        <x:v>1. 打开直播场次详情
2. 查看记录甲的主播 ID</x:v>
      </x:c>
      <x:c r="K206" s="9" t="str">
        <x:v>记录甲的主播 ID显示“2001”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 2381 行；REQ-931746f514f1、第 2379 行
2. 规则：BR-F96EE34F35AA45
3. 未动态验证
4. 示例账号、编号、金额与日期是本条测试数据；执行前按前置条件准备，未填写的产品决策不得自行假定。</x:v>
      </x:c>
    </x:row>
    <x:row r="207" ht="190" customHeight="1">
      <x:c r="A207" s="10" t="n">
        <x:v>206</x:v>
      </x:c>
      <x:c r="B207" s="10" t="str">
        <x:v>GUILD-0206</x:v>
      </x:c>
      <x:c r="C207" s="10" t="str">
        <x:v>数据与收益</x:v>
      </x:c>
      <x:c r="D207" s="10" t="str">
        <x:v>直播场次详情（公会长）</x:v>
      </x:c>
      <x:c r="E207" s="10" t="str">
        <x:v>功能需求</x:v>
      </x:c>
      <x:c r="F207" s="10" t="str">
        <x:v>P2</x:v>
      </x:c>
      <x:c r="G207" s="9" t="str">
        <x:v>验证直播场次详情显示目标记录的开播时间</x:v>
      </x:c>
      <x:c r="H207" s="9" t="str">
        <x:v>开播时间与当前对象绑定</x:v>
      </x:c>
      <x:c r="I207" s="9" t="str">
        <x:v>1. 公会长为本条执行者
2. 公会长账号已登录
3. 直播场次详情中目标记录唯一可定位为记录甲；目标记录满足本页展示范围
4. 该记录的开播时间来源值为“2026/09/14 10:04”；另有记录乙的同字段值不同，二者不混用
5. 日期时间均以当前页面使用的时区准备，不测试尚未确认的跨时区换算</x:v>
      </x:c>
      <x:c r="J207" s="9" t="str">
        <x:v>1. 打开直播场次详情
2. 查看记录甲的开播时间</x:v>
      </x:c>
      <x:c r="K207" s="9" t="str">
        <x:v>记录甲的开播时间表示测试时刻“2026/09/14 10:04”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来源（当前证据）：liveshow-proto/MainBasis/统一需求文档.md；位置：第 2382 行；REQ-eeff117f8090、第 2379 行
2. 规则：BR-F773F9BB5D5DFB
3. 未动态验证
4. 示例账号、编号、金额与日期是本条测试数据；执行前按前置条件准备，未填写的产品决策不得自行假定。</x:v>
      </x:c>
    </x:row>
    <x:row r="208" ht="145" customHeight="1">
      <x:c r="A208" s="10" t="n">
        <x:v>207</x:v>
      </x:c>
      <x:c r="B208" s="10" t="str">
        <x:v>GUILD-0207</x:v>
      </x:c>
      <x:c r="C208" s="10" t="str">
        <x:v>数据与收益</x:v>
      </x:c>
      <x:c r="D208" s="10" t="str">
        <x:v>直播场次详情（公会长）</x:v>
      </x:c>
      <x:c r="E208" s="10" t="str">
        <x:v>功能需求</x:v>
      </x:c>
      <x:c r="F208" s="10" t="str">
        <x:v>P2</x:v>
      </x:c>
      <x:c r="G208" s="9" t="str">
        <x:v>验证直播场次详情显示目标记录的礼物名称</x:v>
      </x:c>
      <x:c r="H208" s="9" t="str">
        <x:v>礼物名称与当前对象绑定</x:v>
      </x:c>
      <x:c r="I208" s="9" t="str">
        <x:v>1. 公会长为本条执行者
2. 公会长账号已登录
3. 直播场次详情中目标记录唯一可定位为记录甲；目标记录满足本页展示范围
4. 该记录的礼物名称来源值为“测试礼物甲”；另有记录乙的同字段值不同，二者不混用</x:v>
      </x:c>
      <x:c r="J208" s="9" t="str">
        <x:v>1. 打开直播场次详情
2. 查看记录甲的礼物名称</x:v>
      </x:c>
      <x:c r="K208" s="9" t="str">
        <x:v>记录甲的礼物名称显示“测试礼物甲”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 2384 行；REQ-522c5292c024、第 2387 行；REQ-d9fa75022018、第 2379 行
2. 规则：BR-619B689B6C1A5E
3. 未动态验证
4. 示例账号、编号、金额与日期是本条测试数据；执行前按前置条件准备，未填写的产品决策不得自行假定。</x:v>
      </x:c>
    </x:row>
    <x:row r="209" ht="190" customHeight="1">
      <x:c r="A209" s="10" t="n">
        <x:v>208</x:v>
      </x:c>
      <x:c r="B209" s="10" t="str">
        <x:v>GUILD-0208</x:v>
      </x:c>
      <x:c r="C209" s="10" t="str">
        <x:v>数据与收益</x:v>
      </x:c>
      <x:c r="D209" s="10" t="str">
        <x:v>直播场次详情（公会长）</x:v>
      </x:c>
      <x:c r="E209" s="10" t="str">
        <x:v>功能需求</x:v>
      </x:c>
      <x:c r="F209" s="10" t="str">
        <x:v>P2</x:v>
      </x:c>
      <x:c r="G209" s="9" t="str">
        <x:v>验证直播场次详情显示目标记录的赠送时间</x:v>
      </x:c>
      <x:c r="H209" s="9" t="str">
        <x:v>赠送时间与当前对象绑定</x:v>
      </x:c>
      <x:c r="I209" s="9" t="str">
        <x:v>1. 公会长为本条执行者
2. 公会长账号已登录
3. 直播场次详情中目标记录唯一可定位为记录甲；目标记录满足本页展示范围
4. 该记录的赠送时间来源值为“2026/09/14 10:05”；另有记录乙的同字段值不同，二者不混用
5. 日期时间均以当前页面使用的时区准备，不测试尚未确认的跨时区换算</x:v>
      </x:c>
      <x:c r="J209" s="9" t="str">
        <x:v>1. 打开直播场次详情
2. 查看记录甲的赠送时间</x:v>
      </x:c>
      <x:c r="K209" s="9" t="str">
        <x:v>记录甲的赠送时间表示测试时刻“2026/09/14 10:05”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 2384 行；REQ-522c5292c024、第 2379 行
2. 规则：BR-8EAADEC6188C1A
3. 未动态验证
4. 示例账号、编号、金额与日期是本条测试数据；执行前按前置条件准备，未填写的产品决策不得自行假定。</x:v>
      </x:c>
    </x:row>
    <x:row r="210" ht="190" customHeight="1">
      <x:c r="A210" s="10" t="n">
        <x:v>209</x:v>
      </x:c>
      <x:c r="B210" s="10" t="str">
        <x:v>GUILD-0209</x:v>
      </x:c>
      <x:c r="C210" s="10" t="str">
        <x:v>数据与收益</x:v>
      </x:c>
      <x:c r="D210" s="10" t="str">
        <x:v>直播场次详情（公会长）</x:v>
      </x:c>
      <x:c r="E210" s="10" t="str">
        <x:v>功能需求</x:v>
      </x:c>
      <x:c r="F210" s="10" t="str">
        <x:v>P2</x:v>
      </x:c>
      <x:c r="G210" s="9" t="str">
        <x:v>验证直播场次详情显示目标记录的赠送时间</x:v>
      </x:c>
      <x:c r="H210" s="9" t="str">
        <x:v>赠送时间与当前对象绑定</x:v>
      </x:c>
      <x:c r="I210" s="9" t="str">
        <x:v>1. 公会长为本条执行者
2. 公会长账号已登录
3. 直播场次详情中目标记录唯一可定位为记录甲；目标记录已成功完成
4. 该记录的赠送时间来源值为“2026/09/14 10:05”；另有记录乙的同字段值不同，二者不混用
5. 日期时间均以当前页面使用的时区准备，不测试尚未确认的跨时区换算</x:v>
      </x:c>
      <x:c r="J210" s="9" t="str">
        <x:v>1. 打开直播场次详情
2. 查看记录甲的赠送时间</x:v>
      </x:c>
      <x:c r="K210" s="9" t="str">
        <x:v>记录甲的赠送时间表示测试时刻“2026/09/14 10:05”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 2386 行；REQ-ce17809e6029、第 2379 行
2. 规则：BR-2E9D84C7A0353E
3. 未动态验证
4. 示例账号、编号、金额与日期是本条测试数据；执行前按前置条件准备，未填写的产品决策不得自行假定。</x:v>
      </x:c>
    </x:row>
    <x:row r="211" ht="130" customHeight="1">
      <x:c r="A211" s="10" t="n">
        <x:v>210</x:v>
      </x:c>
      <x:c r="B211" s="10" t="str">
        <x:v>GUILD-0210</x:v>
      </x:c>
      <x:c r="C211" s="10" t="str">
        <x:v>数据与收益</x:v>
      </x:c>
      <x:c r="D211" s="10" t="str">
        <x:v>直播场次详情（公会长）</x:v>
      </x:c>
      <x:c r="E211" s="10" t="str">
        <x:v>功能需求</x:v>
      </x:c>
      <x:c r="F211" s="10" t="str">
        <x:v>P2</x:v>
      </x:c>
      <x:c r="G211" s="9" t="str">
        <x:v>验证直播场次详情显示目标记录的用户名称</x:v>
      </x:c>
      <x:c r="H211" s="9" t="str">
        <x:v>用户名称与当前对象绑定</x:v>
      </x:c>
      <x:c r="I211" s="9" t="str">
        <x:v>1. 公会长为本条执行者
2. 公会长账号已登录
3. 直播场次详情中目标记录唯一可定位为记录甲；目标记录满足本页展示范围
4. 该记录的用户名称来源值为“测试用户甲”；另有记录乙的同字段值不同，二者不混用</x:v>
      </x:c>
      <x:c r="J211" s="9" t="str">
        <x:v>1. 打开直播场次详情
2. 查看记录甲的用户名称</x:v>
      </x:c>
      <x:c r="K211" s="9" t="str">
        <x:v>记录甲的用户名称显示“测试用户甲”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来源（当前证据）：liveshow-proto/MainBasis/统一需求文档.md；位置：第 2392 行；REQ-fbb528057483、第 2379 行
2. 规则：BR-C3CCBA41FEFB8D
3. 未动态验证
4. 示例账号、编号、金额与日期是本条测试数据；执行前按前置条件准备，未填写的产品决策不得自行假定。</x:v>
      </x:c>
    </x:row>
    <x:row r="212" ht="130" customHeight="1">
      <x:c r="A212" s="10" t="n">
        <x:v>211</x:v>
      </x:c>
      <x:c r="B212" s="10" t="str">
        <x:v>GUILD-0211</x:v>
      </x:c>
      <x:c r="C212" s="10" t="str">
        <x:v>数据与收益</x:v>
      </x:c>
      <x:c r="D212" s="10" t="str">
        <x:v>直播场次详情（公会长）</x:v>
      </x:c>
      <x:c r="E212" s="10" t="str">
        <x:v>功能需求</x:v>
      </x:c>
      <x:c r="F212" s="10" t="str">
        <x:v>P2</x:v>
      </x:c>
      <x:c r="G212" s="9" t="str">
        <x:v>验证直播场次详情显示目标记录的用户 ID</x:v>
      </x:c>
      <x:c r="H212" s="9" t="str">
        <x:v>用户 ID与当前对象绑定</x:v>
      </x:c>
      <x:c r="I212" s="9" t="str">
        <x:v>1. 公会长为本条执行者
2. 公会长账号已登录
3. 直播场次详情中目标记录唯一可定位为记录甲；目标记录满足本页展示范围
4. 该记录的用户 ID来源值为“1001”；另有记录乙的同字段值不同，二者不混用</x:v>
      </x:c>
      <x:c r="J212" s="9" t="str">
        <x:v>1. 打开直播场次详情
2. 查看记录甲的用户 ID</x:v>
      </x:c>
      <x:c r="K212" s="9" t="str">
        <x:v>记录甲的用户 ID显示“1001”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 2392 行；REQ-fbb528057483、第 2379 行
2. 规则：BR-475F522A8CC1E6
3. 未动态验证
4. 示例账号、编号、金额与日期是本条测试数据；执行前按前置条件准备，未填写的产品决策不得自行假定。</x:v>
      </x:c>
    </x:row>
    <x:row r="213" ht="130" customHeight="1">
      <x:c r="A213" s="10" t="n">
        <x:v>212</x:v>
      </x:c>
      <x:c r="B213" s="10" t="str">
        <x:v>GUILD-0212</x:v>
      </x:c>
      <x:c r="C213" s="10" t="str">
        <x:v>数据与收益</x:v>
      </x:c>
      <x:c r="D213" s="10" t="str">
        <x:v>每日（公会长）</x:v>
      </x:c>
      <x:c r="E213" s="10" t="str">
        <x:v>功能需求</x:v>
      </x:c>
      <x:c r="F213" s="10" t="str">
        <x:v>P2</x:v>
      </x:c>
      <x:c r="G213" s="9" t="str">
        <x:v>验证每日显示目标记录的名称</x:v>
      </x:c>
      <x:c r="H213" s="9" t="str">
        <x:v>名称与当前对象绑定</x:v>
      </x:c>
      <x:c r="I213" s="9" t="str">
        <x:v>1. 公会长为本条执行者
2. 公会长账号已登录
3. 每日中目标记录唯一可定位为记录甲；目标记录满足本页展示范围
4. 该记录的名称来源值为“测试名称甲”；另有记录乙的同字段值不同，二者不混用</x:v>
      </x:c>
      <x:c r="J213" s="9" t="str">
        <x:v>1. 打开每日
2. 查看记录甲的名称</x:v>
      </x:c>
      <x:c r="K213" s="9" t="str">
        <x:v>记录甲的名称显示“测试名称甲”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来源（当前证据）：liveshow-proto/MainBasis/统一需求文档.md；位置：第 2442 行；REQ-06ad3c0d866a、第 2439 行
2. 规则：BR-F9BE0A734739FE
3. 未动态验证
4. 示例账号、编号、金额与日期是本条测试数据；执行前按前置条件准备，未填写的产品决策不得自行假定。</x:v>
      </x:c>
    </x:row>
    <x:row r="214" ht="130" customHeight="1">
      <x:c r="A214" s="10" t="n">
        <x:v>213</x:v>
      </x:c>
      <x:c r="B214" s="10" t="str">
        <x:v>GUILD-0213</x:v>
      </x:c>
      <x:c r="C214" s="10" t="str">
        <x:v>数据与收益</x:v>
      </x:c>
      <x:c r="D214" s="10" t="str">
        <x:v>每日（公会长）</x:v>
      </x:c>
      <x:c r="E214" s="10" t="str">
        <x:v>功能需求</x:v>
      </x:c>
      <x:c r="F214" s="10" t="str">
        <x:v>P2</x:v>
      </x:c>
      <x:c r="G214" s="9" t="str">
        <x:v>验证每日显示目标记录的主播 ID</x:v>
      </x:c>
      <x:c r="H214" s="9" t="str">
        <x:v>主播 ID与当前对象绑定</x:v>
      </x:c>
      <x:c r="I214" s="9" t="str">
        <x:v>1. 公会长为本条执行者
2. 公会长账号已登录
3. 每日中目标记录唯一可定位为记录甲；目标记录满足本页展示范围
4. 该记录的主播 ID来源值为“2001”；另有记录乙的同字段值不同，二者不混用</x:v>
      </x:c>
      <x:c r="J214" s="9" t="str">
        <x:v>1. 打开每日
2. 查看记录甲的主播 ID</x:v>
      </x:c>
      <x:c r="K214" s="9" t="str">
        <x:v>记录甲的主播 ID显示“2001”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来源（当前证据）：liveshow-proto/MainBasis/统一需求文档.md；位置：第 2443 行；REQ-beddde584aab、第 2439 行
2. 规则：BR-C173B611BD8EEF
3. 未动态验证
4. 示例账号、编号、金额与日期是本条测试数据；执行前按前置条件准备，未填写的产品决策不得自行假定。</x:v>
      </x:c>
    </x:row>
    <x:row r="215" ht="130" customHeight="1">
      <x:c r="A215" s="10" t="n">
        <x:v>214</x:v>
      </x:c>
      <x:c r="B215" s="10" t="str">
        <x:v>GUILD-0214</x:v>
      </x:c>
      <x:c r="C215" s="10" t="str">
        <x:v>数据与收益</x:v>
      </x:c>
      <x:c r="D215" s="10" t="str">
        <x:v>主播分成记录（公会长）</x:v>
      </x:c>
      <x:c r="E215" s="10" t="str">
        <x:v>功能需求</x:v>
      </x:c>
      <x:c r="F215" s="10" t="str">
        <x:v>P2</x:v>
      </x:c>
      <x:c r="G215" s="9" t="str">
        <x:v>验证主播分成记录显示目标记录的主播名称</x:v>
      </x:c>
      <x:c r="H215" s="9" t="str">
        <x:v>主播名称与当前对象绑定</x:v>
      </x:c>
      <x:c r="I215" s="9" t="str">
        <x:v>1. 公会长为本条执行者
2. 公会长账号已登录
3. 主播分成记录中目标记录唯一可定位为记录甲；目标记录满足本页展示范围
4. 该记录的主播名称来源值为“测试主播甲”；另有记录乙的同字段值不同，二者不混用</x:v>
      </x:c>
      <x:c r="J215" s="9" t="str">
        <x:v>1. 打开主播分成记录
2. 查看记录甲的主播名称</x:v>
      </x:c>
      <x:c r="K215" s="9" t="str">
        <x:v>记录甲的主播名称显示“测试主播甲”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来源（当前证据）：liveshow-proto/MainBasis/统一需求文档.md；位置：第 2457 行；REQ-a4961bd70b3f、第 2453 行
2. 规则：BR-D5EA3CA6D3D7F1
3. 未动态验证
4. 示例账号、编号、金额与日期是本条测试数据；执行前按前置条件准备，未填写的产品决策不得自行假定。</x:v>
      </x:c>
    </x:row>
    <x:row r="216" ht="130" customHeight="1">
      <x:c r="A216" s="10" t="n">
        <x:v>215</x:v>
      </x:c>
      <x:c r="B216" s="10" t="str">
        <x:v>GUILD-0215</x:v>
      </x:c>
      <x:c r="C216" s="10" t="str">
        <x:v>数据与收益</x:v>
      </x:c>
      <x:c r="D216" s="10" t="str">
        <x:v>主播分成记录（公会长）</x:v>
      </x:c>
      <x:c r="E216" s="10" t="str">
        <x:v>功能需求</x:v>
      </x:c>
      <x:c r="F216" s="10" t="str">
        <x:v>P2</x:v>
      </x:c>
      <x:c r="G216" s="9" t="str">
        <x:v>验证主播分成记录显示目标记录的主播 ID</x:v>
      </x:c>
      <x:c r="H216" s="9" t="str">
        <x:v>主播 ID与当前对象绑定</x:v>
      </x:c>
      <x:c r="I216" s="9" t="str">
        <x:v>1. 公会长为本条执行者
2. 公会长账号已登录
3. 主播分成记录中目标记录唯一可定位为记录甲；目标记录满足本页展示范围
4. 该记录的主播 ID来源值为“2001”；另有记录乙的同字段值不同，二者不混用</x:v>
      </x:c>
      <x:c r="J216" s="9" t="str">
        <x:v>1. 打开主播分成记录
2. 查看记录甲的主播 ID</x:v>
      </x:c>
      <x:c r="K216" s="9" t="str">
        <x:v>记录甲的主播 ID显示“2001”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来源（当前证据）：liveshow-proto/MainBasis/统一需求文档.md；位置：第 2457 行；REQ-a4961bd70b3f、第 2453 行
2. 规则：BR-21561665974DC6
3. 未动态验证
4. 示例账号、编号、金额与日期是本条测试数据；执行前按前置条件准备，未填写的产品决策不得自行假定。</x:v>
      </x:c>
    </x:row>
    <x:row r="217" ht="145" customHeight="1">
      <x:c r="A217" s="10" t="n">
        <x:v>216</x:v>
      </x:c>
      <x:c r="B217" s="10" t="str">
        <x:v>GUILD-0216</x:v>
      </x:c>
      <x:c r="C217" s="10" t="str">
        <x:v>主播管理</x:v>
      </x:c>
      <x:c r="D217" s="10" t="str">
        <x:v>主播主页（公会长）</x:v>
      </x:c>
      <x:c r="E217" s="10" t="str">
        <x:v>功能需求</x:v>
      </x:c>
      <x:c r="F217" s="10" t="str">
        <x:v>P2</x:v>
      </x:c>
      <x:c r="G217" s="9" t="str">
        <x:v>验证未结清收益阻止移出主播</x:v>
      </x:c>
      <x:c r="H217" s="9" t="str">
        <x:v>移出主播结清门槛</x:v>
      </x:c>
      <x:c r="I217" s="9" t="str">
        <x:v>1. 公会长为本条执行者
2. 主播甲当前在公会甲，尚有10金币收益未结清</x:v>
      </x:c>
      <x:c r="J217" s="9" t="str">
        <x:v>1. 打开主播甲详情
2. 查看移出公会</x:v>
      </x:c>
      <x:c r="K217" s="9" t="str">
        <x:v>移出公会不可点击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 2217 行；REQ-cc2e01100f18、第 2220 行；REQ-d52ad9ab7260、第 2195 行
2. 规则：BR-0E978B9A2105FB
3. 未动态验证
4. 示例账号、编号、金额与日期是本条测试数据；执行前按前置条件准备，未填写的产品决策不得自行假定。</x:v>
      </x:c>
    </x:row>
    <x:row r="218" ht="130" customHeight="1">
      <x:c r="A218" s="10" t="n">
        <x:v>217</x:v>
      </x:c>
      <x:c r="B218" s="10" t="str">
        <x:v>GUILD-0217</x:v>
      </x:c>
      <x:c r="C218" s="10" t="str">
        <x:v>主播管理</x:v>
      </x:c>
      <x:c r="D218" s="10" t="str">
        <x:v>主播主页（公会长）</x:v>
      </x:c>
      <x:c r="E218" s="10" t="str">
        <x:v>功能需求</x:v>
      </x:c>
      <x:c r="F218" s="10" t="str">
        <x:v>P2</x:v>
      </x:c>
      <x:c r="G218" s="9" t="str">
        <x:v>验证退会主播没有管理操作</x:v>
      </x:c>
      <x:c r="H218" s="9" t="str">
        <x:v>已退会主播管理权限</x:v>
      </x:c>
      <x:c r="I218" s="9" t="str">
        <x:v>1. 公会长为本条执行者
2. 主播甲已退出当前公会甲，历史记录仍可查看</x:v>
      </x:c>
      <x:c r="J218" s="9" t="str">
        <x:v>1. 打开主播甲详情
2. 查看管理操作</x:v>
      </x:c>
      <x:c r="K218" s="9" t="str">
        <x:v>不提供管理操作入口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 2199 行；REQ-6f77f98b5fc5、第 2195 行
2. 规则：BR-C3D6365F7B2A59
3. 未动态验证
4. 示例账号、编号、金额与日期是本条测试数据；执行前按前置条件准备，未填写的产品决策不得自行假定。</x:v>
      </x:c>
    </x:row>
    <x:row r="219" ht="145" customHeight="1">
      <x:c r="A219" s="10" t="n">
        <x:v>218</x:v>
      </x:c>
      <x:c r="B219" s="10" t="str">
        <x:v>GUILD-0218</x:v>
      </x:c>
      <x:c r="C219" s="10" t="str">
        <x:v>数据与收益</x:v>
      </x:c>
      <x:c r="D219" s="10" t="str">
        <x:v>选择主播（公会长）</x:v>
      </x:c>
      <x:c r="E219" s="10" t="str">
        <x:v>功能需求</x:v>
      </x:c>
      <x:c r="F219" s="10" t="str">
        <x:v>P2</x:v>
      </x:c>
      <x:c r="G219" s="9" t="str">
        <x:v>验证选择违规主播保留原日期</x:v>
      </x:c>
      <x:c r="H219" s="9" t="str">
        <x:v>多选主播回填</x:v>
      </x:c>
      <x:c r="I219" s="9" t="str">
        <x:v>1. 公会长为本条执行者
2. 公会甲有主播乙丙，违规列表原日期09/01至09/02</x:v>
      </x:c>
      <x:c r="J219" s="9" t="str">
        <x:v>1. 打开选择主播
2. 选择主播乙
3. 点击完成</x:v>
      </x:c>
      <x:c r="K219" s="9" t="str">
        <x:v>违规记录范围为主播乙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 2476 行；REQ-fb9bcb201c95、第 2477 行；REQ-809ef5b87a67、第 2471 行
2. 规则：BR-7849E0B78B9E31
3. 未动态验证
4. 示例账号、编号、金额与日期是本条测试数据；执行前按前置条件准备，未填写的产品决策不得自行假定。</x:v>
      </x:c>
    </x:row>
    <x:row r="220" ht="145" customHeight="1">
      <x:c r="A220" s="10" t="n">
        <x:v>219</x:v>
      </x:c>
      <x:c r="B220" s="10" t="str">
        <x:v>GUILD-0219</x:v>
      </x:c>
      <x:c r="C220" s="10" t="str">
        <x:v>数据与收益</x:v>
      </x:c>
      <x:c r="D220" s="10" t="str">
        <x:v>选择主播（公会长）</x:v>
      </x:c>
      <x:c r="E220" s="10" t="str">
        <x:v>功能需求</x:v>
      </x:c>
      <x:c r="F220" s="10" t="str">
        <x:v>P2</x:v>
      </x:c>
      <x:c r="G220" s="9" t="str">
        <x:v>验证选择违规主播保留原日期</x:v>
      </x:c>
      <x:c r="H220" s="9" t="str">
        <x:v>主播筛选保留日期</x:v>
      </x:c>
      <x:c r="I220" s="9" t="str">
        <x:v>1. 公会长为本条执行者
2. 公会甲有主播乙丙，违规列表原日期09/01至09/02</x:v>
      </x:c>
      <x:c r="J220" s="9" t="str">
        <x:v>1. 打开选择主播
2. 选择主播乙
3. 点击完成</x:v>
      </x:c>
      <x:c r="K220" s="9" t="str">
        <x:v>日期仍为09/01至09/02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 2476 行；REQ-fb9bcb201c95、第 2477 行；REQ-809ef5b87a67、第 2471 行
2. 规则：BR-0D130FDF768982
3. 未动态验证
4. 示例账号、编号、金额与日期是本条测试数据；执行前按前置条件准备，未填写的产品决策不得自行假定。</x:v>
      </x:c>
    </x:row>
    <x:row r="221" ht="145" customHeight="1">
      <x:c r="A221" s="10" t="n">
        <x:v>220</x:v>
      </x:c>
      <x:c r="B221" s="10" t="str">
        <x:v>GUILD-0220</x:v>
      </x:c>
      <x:c r="C221" s="10" t="str">
        <x:v>审批管理</x:v>
      </x:c>
      <x:c r="D221" s="10" t="str">
        <x:v>入会申请（公会长）</x:v>
      </x:c>
      <x:c r="E221" s="10" t="str">
        <x:v>功能需求</x:v>
      </x:c>
      <x:c r="F221" s="10" t="str">
        <x:v>P1</x:v>
      </x:c>
      <x:c r="G221" s="9" t="str">
        <x:v>验证入会审核选择审核中</x:v>
      </x:c>
      <x:c r="H221" s="9" t="str">
        <x:v>入会审核状态过滤</x:v>
      </x:c>
      <x:c r="I221" s="9" t="str">
        <x:v>1. 公会长为本条执行者
2. 公会长甲已登录并选择公会甲；申请J001审核中，J002已通过，J003已驳回</x:v>
      </x:c>
      <x:c r="J221" s="9" t="str">
        <x:v>1. 打开入会审核
2. 选择审核中Tab</x:v>
      </x:c>
      <x:c r="K221" s="9" t="str">
        <x:v>当前列表仅包含J001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 2095 行；REQ-15f627e7928f、第 2102 行；REQ-6e63424342d0、第 2094 行
2. 规则：BR-B03483B3A9DE0D
3. 未动态验证
4. 示例账号、编号、金额与日期是本条测试数据；执行前按前置条件准备，未填写的产品决策不得自行假定。</x:v>
      </x:c>
    </x:row>
    <x:row r="222" ht="145" customHeight="1">
      <x:c r="A222" s="10" t="n">
        <x:v>221</x:v>
      </x:c>
      <x:c r="B222" s="10" t="str">
        <x:v>GUILD-0221</x:v>
      </x:c>
      <x:c r="C222" s="10" t="str">
        <x:v>审批管理</x:v>
      </x:c>
      <x:c r="D222" s="10" t="str">
        <x:v>入会申请（公会长）</x:v>
      </x:c>
      <x:c r="E222" s="10" t="str">
        <x:v>功能需求</x:v>
      </x:c>
      <x:c r="F222" s="10" t="str">
        <x:v>P1</x:v>
      </x:c>
      <x:c r="G222" s="9" t="str">
        <x:v>验证入会审核选择已通过</x:v>
      </x:c>
      <x:c r="H222" s="9" t="str">
        <x:v>入会审核状态过滤</x:v>
      </x:c>
      <x:c r="I222" s="9" t="str">
        <x:v>1. 公会长为本条执行者
2. 公会长甲已登录并选择公会甲；申请J001审核中，J002已通过，J003已驳回</x:v>
      </x:c>
      <x:c r="J222" s="9" t="str">
        <x:v>1. 打开入会审核
2. 选择已通过Tab</x:v>
      </x:c>
      <x:c r="K222" s="9" t="str">
        <x:v>当前列表仅包含J002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 2095 行；REQ-15f627e7928f、第 2102 行；REQ-6e63424342d0、第 2094 行
2. 规则：BR-0503F708275D01
3. 未动态验证
4. 示例账号、编号、金额与日期是本条测试数据；执行前按前置条件准备，未填写的产品决策不得自行假定。</x:v>
      </x:c>
    </x:row>
    <x:row r="223" ht="145" customHeight="1">
      <x:c r="A223" s="10" t="n">
        <x:v>222</x:v>
      </x:c>
      <x:c r="B223" s="10" t="str">
        <x:v>GUILD-0222</x:v>
      </x:c>
      <x:c r="C223" s="10" t="str">
        <x:v>审批管理</x:v>
      </x:c>
      <x:c r="D223" s="10" t="str">
        <x:v>入会申请（公会长）</x:v>
      </x:c>
      <x:c r="E223" s="10" t="str">
        <x:v>功能需求</x:v>
      </x:c>
      <x:c r="F223" s="10" t="str">
        <x:v>P1</x:v>
      </x:c>
      <x:c r="G223" s="9" t="str">
        <x:v>验证入会审核选择已驳回</x:v>
      </x:c>
      <x:c r="H223" s="9" t="str">
        <x:v>入会审核状态过滤</x:v>
      </x:c>
      <x:c r="I223" s="9" t="str">
        <x:v>1. 公会长为本条执行者
2. 公会长甲已登录并选择公会甲；申请J001审核中，J002已通过，J003已驳回</x:v>
      </x:c>
      <x:c r="J223" s="9" t="str">
        <x:v>1. 打开入会审核
2. 选择已驳回Tab</x:v>
      </x:c>
      <x:c r="K223" s="9" t="str">
        <x:v>当前列表仅包含J003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 2095 行；REQ-15f627e7928f、第 2102 行；REQ-6e63424342d0、第 2094 行
2. 规则：BR-1F74B41E5F831E
3. 未动态验证
4. 示例账号、编号、金额与日期是本条测试数据；执行前按前置条件准备，未填写的产品决策不得自行假定。</x:v>
      </x:c>
    </x:row>
    <x:row r="224" ht="130" customHeight="1">
      <x:c r="A224" s="10" t="n">
        <x:v>223</x:v>
      </x:c>
      <x:c r="B224" s="10" t="str">
        <x:v>GUILD-0223</x:v>
      </x:c>
      <x:c r="C224" s="10" t="str">
        <x:v>审批管理</x:v>
      </x:c>
      <x:c r="D224" s="10" t="str">
        <x:v>入会申请（公会长）</x:v>
      </x:c>
      <x:c r="E224" s="10" t="str">
        <x:v>功能需求</x:v>
      </x:c>
      <x:c r="F224" s="10" t="str">
        <x:v>P1</x:v>
      </x:c>
      <x:c r="G224" s="9" t="str">
        <x:v>验证入会审核初次打开默认审核中</x:v>
      </x:c>
      <x:c r="H224" s="9" t="str">
        <x:v>入会审核默认状态</x:v>
      </x:c>
      <x:c r="I224" s="9" t="str">
        <x:v>1. 公会长为本条执行者
2. 公会长甲已登录并选择公会甲；申请J001审核中，J002已通过，J003已驳回</x:v>
      </x:c>
      <x:c r="J224" s="9" t="str">
        <x:v>1. 打开入会审核</x:v>
      </x:c>
      <x:c r="K224" s="9" t="str">
        <x:v>审核中Tab处于选中状态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 2095 行；REQ-15f627e7928f、第 2094 行
2. 规则：BR-0CE0429E024B4A
3. 未动态验证
4. 示例账号、编号、金额与日期是本条测试数据；执行前按前置条件准备，未填写的产品决策不得自行假定。</x:v>
      </x:c>
    </x:row>
    <x:row r="225" ht="145" customHeight="1">
      <x:c r="A225" s="10" t="n">
        <x:v>224</x:v>
      </x:c>
      <x:c r="B225" s="10" t="str">
        <x:v>GUILD-0224</x:v>
      </x:c>
      <x:c r="C225" s="10" t="str">
        <x:v>审批管理</x:v>
      </x:c>
      <x:c r="D225" s="10" t="str">
        <x:v>退会申请（公会长）</x:v>
      </x:c>
      <x:c r="E225" s="10" t="str">
        <x:v>功能需求</x:v>
      </x:c>
      <x:c r="F225" s="10" t="str">
        <x:v>P1</x:v>
      </x:c>
      <x:c r="G225" s="9" t="str">
        <x:v>验证退会审核选择审核中</x:v>
      </x:c>
      <x:c r="H225" s="9" t="str">
        <x:v>退会审核状态过滤</x:v>
      </x:c>
      <x:c r="I225" s="9" t="str">
        <x:v>1. 公会长为本条执行者
2. 公会长甲已登录并选择公会甲；申请J001审核中，J002已通过，J003已驳回</x:v>
      </x:c>
      <x:c r="J225" s="9" t="str">
        <x:v>1. 打开退会审核
2. 选择审核中Tab</x:v>
      </x:c>
      <x:c r="K225" s="9" t="str">
        <x:v>当前列表仅包含J001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 2124 行；REQ-34ccb328cc03、第 2130 行；REQ-e9eaaac2af1c、第 2123 行
2. 规则：BR-6A89BF64347605
3. 未动态验证
4. 示例账号、编号、金额与日期是本条测试数据；执行前按前置条件准备，未填写的产品决策不得自行假定。</x:v>
      </x:c>
    </x:row>
    <x:row r="226" ht="145" customHeight="1">
      <x:c r="A226" s="10" t="n">
        <x:v>225</x:v>
      </x:c>
      <x:c r="B226" s="10" t="str">
        <x:v>GUILD-0225</x:v>
      </x:c>
      <x:c r="C226" s="10" t="str">
        <x:v>审批管理</x:v>
      </x:c>
      <x:c r="D226" s="10" t="str">
        <x:v>退会申请（公会长）</x:v>
      </x:c>
      <x:c r="E226" s="10" t="str">
        <x:v>功能需求</x:v>
      </x:c>
      <x:c r="F226" s="10" t="str">
        <x:v>P1</x:v>
      </x:c>
      <x:c r="G226" s="9" t="str">
        <x:v>验证退会审核选择已通过</x:v>
      </x:c>
      <x:c r="H226" s="9" t="str">
        <x:v>退会审核状态过滤</x:v>
      </x:c>
      <x:c r="I226" s="9" t="str">
        <x:v>1. 公会长为本条执行者
2. 公会长甲已登录并选择公会甲；申请J001审核中，J002已通过，J003已驳回</x:v>
      </x:c>
      <x:c r="J226" s="9" t="str">
        <x:v>1. 打开退会审核
2. 选择已通过Tab</x:v>
      </x:c>
      <x:c r="K226" s="9" t="str">
        <x:v>当前列表仅包含J002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 2124 行；REQ-34ccb328cc03、第 2130 行；REQ-e9eaaac2af1c、第 2123 行
2. 规则：BR-348E0B150A3A70
3. 未动态验证
4. 示例账号、编号、金额与日期是本条测试数据；执行前按前置条件准备，未填写的产品决策不得自行假定。</x:v>
      </x:c>
    </x:row>
    <x:row r="227" ht="145" customHeight="1">
      <x:c r="A227" s="10" t="n">
        <x:v>226</x:v>
      </x:c>
      <x:c r="B227" s="10" t="str">
        <x:v>GUILD-0226</x:v>
      </x:c>
      <x:c r="C227" s="10" t="str">
        <x:v>审批管理</x:v>
      </x:c>
      <x:c r="D227" s="10" t="str">
        <x:v>退会申请（公会长）</x:v>
      </x:c>
      <x:c r="E227" s="10" t="str">
        <x:v>功能需求</x:v>
      </x:c>
      <x:c r="F227" s="10" t="str">
        <x:v>P1</x:v>
      </x:c>
      <x:c r="G227" s="9" t="str">
        <x:v>验证退会审核选择已驳回</x:v>
      </x:c>
      <x:c r="H227" s="9" t="str">
        <x:v>退会审核状态过滤</x:v>
      </x:c>
      <x:c r="I227" s="9" t="str">
        <x:v>1. 公会长为本条执行者
2. 公会长甲已登录并选择公会甲；申请J001审核中，J002已通过，J003已驳回</x:v>
      </x:c>
      <x:c r="J227" s="9" t="str">
        <x:v>1. 打开退会审核
2. 选择已驳回Tab</x:v>
      </x:c>
      <x:c r="K227" s="9" t="str">
        <x:v>当前列表仅包含J003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 2124 行；REQ-34ccb328cc03、第 2130 行；REQ-e9eaaac2af1c、第 2123 行
2. 规则：BR-202929E7919802
3. 未动态验证
4. 示例账号、编号、金额与日期是本条测试数据；执行前按前置条件准备，未填写的产品决策不得自行假定。</x:v>
      </x:c>
    </x:row>
    <x:row r="228" ht="130" customHeight="1">
      <x:c r="A228" s="10" t="n">
        <x:v>227</x:v>
      </x:c>
      <x:c r="B228" s="10" t="str">
        <x:v>GUILD-0227</x:v>
      </x:c>
      <x:c r="C228" s="10" t="str">
        <x:v>审批管理</x:v>
      </x:c>
      <x:c r="D228" s="10" t="str">
        <x:v>退会申请（公会长）</x:v>
      </x:c>
      <x:c r="E228" s="10" t="str">
        <x:v>功能需求</x:v>
      </x:c>
      <x:c r="F228" s="10" t="str">
        <x:v>P1</x:v>
      </x:c>
      <x:c r="G228" s="9" t="str">
        <x:v>验证退会审核初次打开默认审核中</x:v>
      </x:c>
      <x:c r="H228" s="9" t="str">
        <x:v>退会审核默认状态</x:v>
      </x:c>
      <x:c r="I228" s="9" t="str">
        <x:v>1. 公会长为本条执行者
2. 公会长甲已登录并选择公会甲；申请J001审核中，J002已通过，J003已驳回</x:v>
      </x:c>
      <x:c r="J228" s="9" t="str">
        <x:v>1. 打开退会审核</x:v>
      </x:c>
      <x:c r="K228" s="9" t="str">
        <x:v>审核中Tab处于选中状态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 2124 行；REQ-34ccb328cc03、第 2123 行
2. 规则：BR-68406509173BD7
3. 未动态验证
4. 示例账号、编号、金额与日期是本条测试数据；执行前按前置条件准备，未填写的产品决策不得自行假定。</x:v>
      </x:c>
    </x:row>
    <x:row r="229" ht="130" customHeight="1">
      <x:c r="A229" s="10" t="n">
        <x:v>228</x:v>
      </x:c>
      <x:c r="B229" s="10" t="str">
        <x:v>GUILD-0228</x:v>
      </x:c>
      <x:c r="C229" s="10" t="str">
        <x:v>首页与发现</x:v>
      </x:c>
      <x:c r="D229" s="10" t="str">
        <x:v>通知消息（公会长）</x:v>
      </x:c>
      <x:c r="E229" s="10" t="str">
        <x:v>功能需求</x:v>
      </x:c>
      <x:c r="F229" s="10" t="str">
        <x:v>P2</x:v>
      </x:c>
      <x:c r="G229" s="9" t="str">
        <x:v>验证通知消息按生成时间倒序</x:v>
      </x:c>
      <x:c r="H229" s="9" t="str">
        <x:v>生成时间降序</x:v>
      </x:c>
      <x:c r="I229" s="9" t="str">
        <x:v>1. 公会长为本条执行者
2. 公会长账号已登录
3. 两条当前有效记录甲、乙都满足本页范围；甲生成时间为09/14 10:00，乙为09/14 11:00；无置顶或更高优先级差异</x:v>
      </x:c>
      <x:c r="J229" s="9" t="str">
        <x:v>1. 打开通知消息
2. 查看记录甲乙的顺序</x:v>
      </x:c>
      <x:c r="K229" s="9" t="str">
        <x:v>乙排在甲前面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 2077 行；REQ-15916749586e、第 2074 行
2. 规则：BR-AD22C7C320EDC8
3. 未动态验证
4. 示例账号、编号、金额与日期是本条测试数据；执行前按前置条件准备，未填写的产品决策不得自行假定。</x:v>
      </x:c>
    </x:row>
    <x:row r="230" ht="130" customHeight="1">
      <x:c r="A230" s="10" t="n">
        <x:v>229</x:v>
      </x:c>
      <x:c r="B230" s="10" t="str">
        <x:v>GUILD-0229</x:v>
      </x:c>
      <x:c r="C230" s="10" t="str">
        <x:v>主播管理</x:v>
      </x:c>
      <x:c r="D230" s="10" t="str">
        <x:v>主播列表（公会长）</x:v>
      </x:c>
      <x:c r="E230" s="10" t="str">
        <x:v>功能需求</x:v>
      </x:c>
      <x:c r="F230" s="10" t="str">
        <x:v>P2</x:v>
      </x:c>
      <x:c r="G230" s="9" t="str">
        <x:v>验证主播列表按加入时间倒序</x:v>
      </x:c>
      <x:c r="H230" s="9" t="str">
        <x:v>加入时间降序</x:v>
      </x:c>
      <x:c r="I230" s="9" t="str">
        <x:v>1. 公会长为本条执行者
2. 公会长账号已登录
3. 两条当前有效记录甲、乙都满足本页范围；甲加入时间为09/14 10:00，乙为09/14 11:00；无置顶或更高优先级差异</x:v>
      </x:c>
      <x:c r="J230" s="9" t="str">
        <x:v>1. 打开主播列表
2. 查看记录甲乙的顺序</x:v>
      </x:c>
      <x:c r="K230" s="9" t="str">
        <x:v>乙排在甲前面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 2153 行；REQ-a228fa3a63d1、第 2148 行
2. 规则：BR-22E7A9E7179F25
3. 未动态验证
4. 示例账号、编号、金额与日期是本条测试数据；执行前按前置条件准备，未填写的产品决策不得自行假定。</x:v>
      </x:c>
    </x:row>
    <x:row r="231" ht="130" customHeight="1">
      <x:c r="A231" s="10" t="n">
        <x:v>230</x:v>
      </x:c>
      <x:c r="B231" s="10" t="str">
        <x:v>GUILD-0230</x:v>
      </x:c>
      <x:c r="C231" s="10" t="str">
        <x:v>主播管理</x:v>
      </x:c>
      <x:c r="D231" s="10" t="str">
        <x:v>主播主页（公会长）</x:v>
      </x:c>
      <x:c r="E231" s="10" t="str">
        <x:v>功能需求</x:v>
      </x:c>
      <x:c r="F231" s="10" t="str">
        <x:v>P2</x:v>
      </x:c>
      <x:c r="G231" s="9" t="str">
        <x:v>验证主播主页按提交时间倒序</x:v>
      </x:c>
      <x:c r="H231" s="9" t="str">
        <x:v>提交时间降序</x:v>
      </x:c>
      <x:c r="I231" s="9" t="str">
        <x:v>1. 公会长为本条执行者
2. 公会长账号已登录
3. 两条当前有效记录甲、乙都满足本页范围；甲提交时间为09/14 10:00，乙为09/14 11:00；无置顶或更高优先级差异</x:v>
      </x:c>
      <x:c r="J231" s="9" t="str">
        <x:v>1. 打开主播主页
2. 查看记录甲乙的顺序</x:v>
      </x:c>
      <x:c r="K231" s="9" t="str">
        <x:v>乙排在甲前面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 2206 行；REQ-39f4c81152d2、第 2195 行
2. 规则：BR-0A77327B3EFE90
3. 未动态验证
4. 示例账号、编号、金额与日期是本条测试数据；执行前按前置条件准备，未填写的产品决策不得自行假定。</x:v>
      </x:c>
    </x:row>
    <x:row r="232" ht="130" customHeight="1">
      <x:c r="A232" s="10" t="n">
        <x:v>231</x:v>
      </x:c>
      <x:c r="B232" s="10" t="str">
        <x:v>GUILD-0231</x:v>
      </x:c>
      <x:c r="C232" s="10" t="str">
        <x:v>数据与收益</x:v>
      </x:c>
      <x:c r="D232" s="10" t="str">
        <x:v>直播记录（公会长）</x:v>
      </x:c>
      <x:c r="E232" s="10" t="str">
        <x:v>功能需求</x:v>
      </x:c>
      <x:c r="F232" s="10" t="str">
        <x:v>P2</x:v>
      </x:c>
      <x:c r="G232" s="9" t="str">
        <x:v>验证直播记录按开播时间倒序</x:v>
      </x:c>
      <x:c r="H232" s="9" t="str">
        <x:v>开播时间降序</x:v>
      </x:c>
      <x:c r="I232" s="9" t="str">
        <x:v>1. 公会长为本条执行者
2. 公会长账号已登录
3. 两条当前有效记录甲、乙都满足本页范围；甲开播时间为09/14 10:00，乙为09/14 11:00；无置顶或更高优先级差异</x:v>
      </x:c>
      <x:c r="J232" s="9" t="str">
        <x:v>1. 打开直播记录
2. 查看记录甲乙的顺序</x:v>
      </x:c>
      <x:c r="K232" s="9" t="str">
        <x:v>乙排在甲前面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 2366 行；REQ-636637b2a0cc、第 2359 行
2. 规则：BR-35E3E796302B91
3. 未动态验证
4. 示例账号、编号、金额与日期是本条测试数据；执行前按前置条件准备，未填写的产品决策不得自行假定。</x:v>
      </x:c>
    </x:row>
    <x:row r="233" ht="130" customHeight="1">
      <x:c r="A233" s="10" t="n">
        <x:v>232</x:v>
      </x:c>
      <x:c r="B233" s="10" t="str">
        <x:v>GUILD-0232</x:v>
      </x:c>
      <x:c r="C233" s="10" t="str">
        <x:v>数据与收益</x:v>
      </x:c>
      <x:c r="D233" s="10" t="str">
        <x:v>主播分成记录（公会长）</x:v>
      </x:c>
      <x:c r="E233" s="10" t="str">
        <x:v>功能需求</x:v>
      </x:c>
      <x:c r="F233" s="10" t="str">
        <x:v>P2</x:v>
      </x:c>
      <x:c r="G233" s="9" t="str">
        <x:v>验证主播分成记录按分成时间倒序</x:v>
      </x:c>
      <x:c r="H233" s="9" t="str">
        <x:v>分成时间降序</x:v>
      </x:c>
      <x:c r="I233" s="9" t="str">
        <x:v>1. 公会长为本条执行者
2. 公会长账号已登录
3. 两条当前有效记录甲、乙都满足本页范围；甲分成时间为09/14 10:00，乙为09/14 11:00；无置顶或更高优先级差异</x:v>
      </x:c>
      <x:c r="J233" s="9" t="str">
        <x:v>1. 打开主播分成记录
2. 查看记录甲乙的顺序</x:v>
      </x:c>
      <x:c r="K233" s="9" t="str">
        <x:v>乙排在甲前面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 2461 行；REQ-50ee1a396c02、第 2453 行
2. 规则：BR-128812D3B17291
3. 未动态验证
4. 示例账号、编号、金额与日期是本条测试数据；执行前按前置条件准备，未填写的产品决策不得自行假定。</x:v>
      </x:c>
    </x:row>
    <x:row r="234" ht="130" customHeight="1">
      <x:c r="A234" s="10" t="n">
        <x:v>233</x:v>
      </x:c>
      <x:c r="B234" s="10" t="str">
        <x:v>GUILD-0233</x:v>
      </x:c>
      <x:c r="C234" s="10" t="str">
        <x:v>数据与收益</x:v>
      </x:c>
      <x:c r="D234" s="10" t="str">
        <x:v>公会分成记录（公会长）</x:v>
      </x:c>
      <x:c r="E234" s="10" t="str">
        <x:v>功能需求</x:v>
      </x:c>
      <x:c r="F234" s="10" t="str">
        <x:v>P2</x:v>
      </x:c>
      <x:c r="G234" s="9" t="str">
        <x:v>验证公会分成记录按分成时间倒序</x:v>
      </x:c>
      <x:c r="H234" s="9" t="str">
        <x:v>分成时间降序</x:v>
      </x:c>
      <x:c r="I234" s="9" t="str">
        <x:v>1. 公会长为本条执行者
2. 公会长账号已登录
3. 两条当前有效记录甲、乙都满足本页范围；甲分成时间为09/14 10:00，乙为09/14 11:00；无置顶或更高优先级差异</x:v>
      </x:c>
      <x:c r="J234" s="9" t="str">
        <x:v>1. 打开公会分成记录
2. 查看记录甲乙的顺序</x:v>
      </x:c>
      <x:c r="K234" s="9" t="str">
        <x:v>乙排在甲前面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 2468 行；REQ-26b0cd31708d、第 2464 行
2. 规则：BR-B48C1C7609B098
3. 未动态验证
4. 示例账号、编号、金额与日期是本条测试数据；执行前按前置条件准备，未填写的产品决策不得自行假定。</x:v>
      </x:c>
    </x:row>
    <x:row r="235" ht="145" customHeight="1">
      <x:c r="A235" s="10" t="n">
        <x:v>234</x:v>
      </x:c>
      <x:c r="B235" s="10" t="str">
        <x:v>GUILD-0234</x:v>
      </x:c>
      <x:c r="C235" s="10" t="str">
        <x:v>首页与发现</x:v>
      </x:c>
      <x:c r="D235" s="10" t="str">
        <x:v>首页（公会长）</x:v>
      </x:c>
      <x:c r="E235" s="10" t="str">
        <x:v>逻辑校验</x:v>
      </x:c>
      <x:c r="F235" s="10" t="str">
        <x:v>P2</x:v>
      </x:c>
      <x:c r="G235" s="9" t="str">
        <x:v>验证首页核算当日收益</x:v>
      </x:c>
      <x:c r="H235" s="9" t="str">
        <x:v>当日收益</x:v>
      </x:c>
      <x:c r="I235" s="9" t="str">
        <x:v>1. 公会长为本条执行者
2. 公会长账号已登录
3. 以下数据仅属于首页当前查看对象及已选日期范围；无其他会影响该指标的有效记录
4. 范围内两笔已确认可计入主播收益的真实普通礼物记录，收益分别100和200金币；范围外另有500金币收益</x:v>
      </x:c>
      <x:c r="J235" s="9" t="str">
        <x:v>1. 打开首页
2. 查看当日收益</x:v>
      </x:c>
      <x:c r="K235" s="9" t="str">
        <x:v>当日收益 = 300 金币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 2066 行；REQ-433881f19711、第 2062 行
2. 规则：BR-4254C7FB42A86B
3. 未动态验证
4. 示例账号、编号、金额与日期是本条测试数据；执行前按前置条件准备，未填写的产品决策不得自行假定。</x:v>
      </x:c>
    </x:row>
    <x:row r="236" ht="145" customHeight="1">
      <x:c r="A236" s="10" t="n">
        <x:v>235</x:v>
      </x:c>
      <x:c r="B236" s="10" t="str">
        <x:v>GUILD-0235</x:v>
      </x:c>
      <x:c r="C236" s="10" t="str">
        <x:v>首页与发现</x:v>
      </x:c>
      <x:c r="D236" s="10" t="str">
        <x:v>首页（公会长）</x:v>
      </x:c>
      <x:c r="E236" s="10" t="str">
        <x:v>逻辑校验</x:v>
      </x:c>
      <x:c r="F236" s="10" t="str">
        <x:v>P2</x:v>
      </x:c>
      <x:c r="G236" s="9" t="str">
        <x:v>验证首页核算达成有效天</x:v>
      </x:c>
      <x:c r="H236" s="9" t="str">
        <x:v>达成有效天</x:v>
      </x:c>
      <x:c r="I236" s="9" t="str">
        <x:v>1. 公会长为本条执行者
2. 公会长账号已登录
3. 以下数据仅属于首页当前查看对象及已选日期范围；无其他会影响该指标的有效记录
4. 同一自然日主播甲累计有效3小时，乙2小时59分钟，丙4小时；甲虽开播两场仍只是一名主播</x:v>
      </x:c>
      <x:c r="J236" s="9" t="str">
        <x:v>1. 打开首页
2. 查看达成有效天</x:v>
      </x:c>
      <x:c r="K236" s="9" t="str">
        <x:v>达成有效天 = 2 人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 2068 行；REQ-66355bf4de83、第 2062 行
2. 规则：BR-24BD1B38614F6D
3. 未动态验证
4. 示例账号、编号、金额与日期是本条测试数据；执行前按前置条件准备，未填写的产品决策不得自行假定。</x:v>
      </x:c>
    </x:row>
    <x:row r="237" ht="145" customHeight="1">
      <x:c r="A237" s="10" t="n">
        <x:v>236</x:v>
      </x:c>
      <x:c r="B237" s="10" t="str">
        <x:v>GUILD-0236</x:v>
      </x:c>
      <x:c r="C237" s="10" t="str">
        <x:v>主播管理</x:v>
      </x:c>
      <x:c r="D237" s="10" t="str">
        <x:v>主播业绩（公会长）</x:v>
      </x:c>
      <x:c r="E237" s="10" t="str">
        <x:v>逻辑校验</x:v>
      </x:c>
      <x:c r="F237" s="10" t="str">
        <x:v>P2</x:v>
      </x:c>
      <x:c r="G237" s="9" t="str">
        <x:v>验证主播业绩核算主播收益</x:v>
      </x:c>
      <x:c r="H237" s="9" t="str">
        <x:v>主播收益</x:v>
      </x:c>
      <x:c r="I237" s="9" t="str">
        <x:v>1. 公会长为本条执行者
2. 公会长账号已登录
3. 以下数据仅属于主播业绩当前查看对象及已选日期范围；无其他会影响该指标的有效记录
4. 范围内两笔已确认可计入主播收益的真实普通礼物记录，收益分别100和200金币；范围外另有500金币收益</x:v>
      </x:c>
      <x:c r="J237" s="9" t="str">
        <x:v>1. 打开主播业绩
2. 查看主播收益</x:v>
      </x:c>
      <x:c r="K237" s="9" t="str">
        <x:v>主播收益 = 300 金币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 2169 行；REQ-045697d76e54、第 2158 行
2. 规则：BR-1D9857A8EC5004
3. 未动态验证
4. 示例账号、编号、金额与日期是本条测试数据；执行前按前置条件准备，未填写的产品决策不得自行假定。</x:v>
      </x:c>
    </x:row>
    <x:row r="238" ht="130" customHeight="1">
      <x:c r="A238" s="10" t="n">
        <x:v>237</x:v>
      </x:c>
      <x:c r="B238" s="10" t="str">
        <x:v>GUILD-0237</x:v>
      </x:c>
      <x:c r="C238" s="10" t="str">
        <x:v>主播管理</x:v>
      </x:c>
      <x:c r="D238" s="10" t="str">
        <x:v>主播业绩（公会长）</x:v>
      </x:c>
      <x:c r="E238" s="10" t="str">
        <x:v>逻辑校验</x:v>
      </x:c>
      <x:c r="F238" s="10" t="str">
        <x:v>P2</x:v>
      </x:c>
      <x:c r="G238" s="9" t="str">
        <x:v>验证主播业绩核算开播人数</x:v>
      </x:c>
      <x:c r="H238" s="9" t="str">
        <x:v>开播人数</x:v>
      </x:c>
      <x:c r="I238" s="9" t="str">
        <x:v>1. 公会长为本条执行者
2. 公会长账号已登录
3. 以下数据仅属于主播业绩当前查看对象及已选日期范围；无其他会影响该指标的有效记录
4. 所选范围主播甲完成两场直播，乙完成一场；丙未开播</x:v>
      </x:c>
      <x:c r="J238" s="9" t="str">
        <x:v>1. 打开主播业绩
2. 查看开播人数</x:v>
      </x:c>
      <x:c r="K238" s="9" t="str">
        <x:v>开播人数 = 2 人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 2170 行；REQ-b0b8fa948dee、第 2158 行
2. 规则：BR-4671F524514946
3. 未动态验证
4. 示例账号、编号、金额与日期是本条测试数据；执行前按前置条件准备，未填写的产品决策不得自行假定。</x:v>
      </x:c>
    </x:row>
    <x:row r="239" ht="145" customHeight="1">
      <x:c r="A239" s="10" t="n">
        <x:v>238</x:v>
      </x:c>
      <x:c r="B239" s="10" t="str">
        <x:v>GUILD-0238</x:v>
      </x:c>
      <x:c r="C239" s="10" t="str">
        <x:v>主播管理</x:v>
      </x:c>
      <x:c r="D239" s="10" t="str">
        <x:v>主播主页（公会长）</x:v>
      </x:c>
      <x:c r="E239" s="10" t="str">
        <x:v>逻辑校验</x:v>
      </x:c>
      <x:c r="F239" s="10" t="str">
        <x:v>P2</x:v>
      </x:c>
      <x:c r="G239" s="9" t="str">
        <x:v>验证主播主页核算总收益</x:v>
      </x:c>
      <x:c r="H239" s="9" t="str">
        <x:v>总收益</x:v>
      </x:c>
      <x:c r="I239" s="9" t="str">
        <x:v>1. 公会长为本条执行者
2. 公会长账号已登录
3. 以下数据仅属于主播主页当前查看对象及已选日期范围；无其他会影响该指标的有效记录
4. 范围内两笔已确认可计入主播收益的真实普通礼物记录，收益分别100和200金币；范围外另有500金币收益</x:v>
      </x:c>
      <x:c r="J239" s="9" t="str">
        <x:v>1. 打开主播主页
2. 查看总收益</x:v>
      </x:c>
      <x:c r="K239" s="9" t="str">
        <x:v>总收益 = 300 金币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 2210 行；REQ-70ca27a17af9、第 2195 行
2. 规则：BR-22661C7A2F458B
3. 未动态验证
4. 示例账号、编号、金额与日期是本条测试数据；执行前按前置条件准备，未填写的产品决策不得自行假定。</x:v>
      </x:c>
    </x:row>
    <x:row r="240" ht="145" customHeight="1">
      <x:c r="A240" s="10" t="n">
        <x:v>239</x:v>
      </x:c>
      <x:c r="B240" s="10" t="str">
        <x:v>GUILD-0239</x:v>
      </x:c>
      <x:c r="C240" s="10" t="str">
        <x:v>运营管理</x:v>
      </x:c>
      <x:c r="D240" s="10" t="str">
        <x:v>运营账号主页（公会长）</x:v>
      </x:c>
      <x:c r="E240" s="10" t="str">
        <x:v>逻辑校验</x:v>
      </x:c>
      <x:c r="F240" s="10" t="str">
        <x:v>P2</x:v>
      </x:c>
      <x:c r="G240" s="9" t="str">
        <x:v>验证运营账号主页核算账户余额</x:v>
      </x:c>
      <x:c r="H240" s="9" t="str">
        <x:v>账户余额</x:v>
      </x:c>
      <x:c r="I240" s="9" t="str">
        <x:v>1. 公会长为本条执行者
2. 公会长账号已登录
3. 以下数据仅属于运营账号主页当前查看对象及已选日期范围；无其他会影响该指标的有效记录
4. 运营账号已成功获所属公会发放500虚拟金币，成功送礼消耗200；失败赠送50不扣减</x:v>
      </x:c>
      <x:c r="J240" s="9" t="str">
        <x:v>1. 打开运营账号主页
2. 查看账户余额</x:v>
      </x:c>
      <x:c r="K240" s="9" t="str">
        <x:v>账户余额 = 300 虚拟金币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 2298 行；REQ-cdac02520c9e、第 2289 行
2. 规则：BR-10ECD154E3933C
3. 未动态验证
4. 示例账号、编号、金额与日期是本条测试数据；执行前按前置条件准备，未填写的产品决策不得自行假定。</x:v>
      </x:c>
    </x:row>
    <x:row r="241" ht="145" customHeight="1">
      <x:c r="A241" s="10" t="n">
        <x:v>240</x:v>
      </x:c>
      <x:c r="B241" s="10" t="str">
        <x:v>GUILD-0240</x:v>
      </x:c>
      <x:c r="C241" s="10" t="str">
        <x:v>运营管理</x:v>
      </x:c>
      <x:c r="D241" s="10" t="str">
        <x:v>送礼记录（公会长）</x:v>
      </x:c>
      <x:c r="E241" s="10" t="str">
        <x:v>逻辑校验</x:v>
      </x:c>
      <x:c r="F241" s="10" t="str">
        <x:v>P1</x:v>
      </x:c>
      <x:c r="G241" s="9" t="str">
        <x:v>验证送礼记录核算消费金币</x:v>
      </x:c>
      <x:c r="H241" s="9" t="str">
        <x:v>消费金币</x:v>
      </x:c>
      <x:c r="I241" s="9" t="str">
        <x:v>1. 公会长为本条执行者
2. 公会长账号已登录
3. 以下数据仅属于送礼记录当前查看对象及已选日期范围；无其他会影响该指标的有效记录
4. 本次公会甲运营账号成功赠送普通礼物单价100虚拟金币、数量3，配置允许该数量</x:v>
      </x:c>
      <x:c r="J241" s="9" t="str">
        <x:v>1. 打开送礼记录
2. 查看消费金币</x:v>
      </x:c>
      <x:c r="K241" s="9" t="str">
        <x:v>消费金币 = 300 虚拟金币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 2311 行；REQ-b62796c68fa1、第 2314 行；REQ-044bfc926083、第 2309 行
2. 规则：BR-22AA2F0789E31D
3. 未动态验证
4. 示例账号、编号、金额与日期是本条测试数据；执行前按前置条件准备，未填写的产品决策不得自行假定。</x:v>
      </x:c>
    </x:row>
    <x:row r="242" ht="130" customHeight="1">
      <x:c r="A242" s="10" t="n">
        <x:v>241</x:v>
      </x:c>
      <x:c r="B242" s="10" t="str">
        <x:v>GUILD-0241</x:v>
      </x:c>
      <x:c r="C242" s="10" t="str">
        <x:v>数据与收益</x:v>
      </x:c>
      <x:c r="D242" s="10" t="str">
        <x:v>直播记录（公会长）</x:v>
      </x:c>
      <x:c r="E242" s="10" t="str">
        <x:v>逻辑校验</x:v>
      </x:c>
      <x:c r="F242" s="10" t="str">
        <x:v>P2</x:v>
      </x:c>
      <x:c r="G242" s="9" t="str">
        <x:v>验证直播记录核算观众</x:v>
      </x:c>
      <x:c r="H242" s="9" t="str">
        <x:v>观众</x:v>
      </x:c>
      <x:c r="I242" s="9" t="str">
        <x:v>1. 公会长为本条执行者
2. 公会长账号已登录
3. 以下数据仅属于直播记录当前查看对象及已选日期范围；无其他会影响该指标的有效记录
4. 当前场次中真实用户甲成功进入2次、乙1次；丙准入失败，三人以外没有观众</x:v>
      </x:c>
      <x:c r="J242" s="9" t="str">
        <x:v>1. 打开直播记录
2. 查看观众</x:v>
      </x:c>
      <x:c r="K242" s="9" t="str">
        <x:v>观众 = 2 人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 2369 行；REQ-af1d816ec2c6、第 2359 行
2. 规则：BR-502B4CDF09DEA5
3. 未动态验证
4. 示例账号、编号、金额与日期是本条测试数据；执行前按前置条件准备，未填写的产品决策不得自行假定。</x:v>
      </x:c>
    </x:row>
    <x:row r="243" ht="130" customHeight="1">
      <x:c r="A243" s="10" t="n">
        <x:v>242</x:v>
      </x:c>
      <x:c r="B243" s="10" t="str">
        <x:v>GUILD-0242</x:v>
      </x:c>
      <x:c r="C243" s="10" t="str">
        <x:v>数据与收益</x:v>
      </x:c>
      <x:c r="D243" s="10" t="str">
        <x:v>直播记录（公会长）</x:v>
      </x:c>
      <x:c r="E243" s="10" t="str">
        <x:v>逻辑校验</x:v>
      </x:c>
      <x:c r="F243" s="10" t="str">
        <x:v>P2</x:v>
      </x:c>
      <x:c r="G243" s="9" t="str">
        <x:v>验证直播记录核算收礼数量</x:v>
      </x:c>
      <x:c r="H243" s="9" t="str">
        <x:v>收礼数量</x:v>
      </x:c>
      <x:c r="I243" s="9" t="str">
        <x:v>1. 公会长为本条执行者
2. 公会长账号已登录
3. 以下数据仅属于直播记录当前查看对象及已选日期范围；无其他会影响该指标的有效记录
4. 普通礼物两笔成功赠送分别2件和3件；另1件失败及1张成功门票不计为礼物件数</x:v>
      </x:c>
      <x:c r="J243" s="9" t="str">
        <x:v>1. 打开直播记录
2. 查看收礼数量</x:v>
      </x:c>
      <x:c r="K243" s="9" t="str">
        <x:v>收礼数量 = 5 件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 2370 行；REQ-87e274cd7605、第 2359 行
2. 规则：BR-10545FA7D689CC
3. 未动态验证
4. 示例账号、编号、金额与日期是本条测试数据；执行前按前置条件准备，未填写的产品决策不得自行假定。</x:v>
      </x:c>
    </x:row>
    <x:row r="244" ht="145" customHeight="1">
      <x:c r="A244" s="10" t="n">
        <x:v>243</x:v>
      </x:c>
      <x:c r="B244" s="10" t="str">
        <x:v>GUILD-0243</x:v>
      </x:c>
      <x:c r="C244" s="10" t="str">
        <x:v>数据与收益</x:v>
      </x:c>
      <x:c r="D244" s="10" t="str">
        <x:v>直播记录（公会长）</x:v>
      </x:c>
      <x:c r="E244" s="10" t="str">
        <x:v>逻辑校验</x:v>
      </x:c>
      <x:c r="F244" s="10" t="str">
        <x:v>P2</x:v>
      </x:c>
      <x:c r="G244" s="9" t="str">
        <x:v>验证直播记录核算收益</x:v>
      </x:c>
      <x:c r="H244" s="9" t="str">
        <x:v>收益</x:v>
      </x:c>
      <x:c r="I244" s="9" t="str">
        <x:v>1. 公会长为本条执行者
2. 公会长账号已登录
3. 以下数据仅属于直播记录当前查看对象及已选日期范围；无其他会影响该指标的有效记录
4. 范围内两笔已确认可计入主播收益的真实普通礼物记录，收益分别100和200金币；范围外另有500金币收益</x:v>
      </x:c>
      <x:c r="J244" s="9" t="str">
        <x:v>1. 打开直播记录
2. 查看收益</x:v>
      </x:c>
      <x:c r="K244" s="9" t="str">
        <x:v>收益 = 300 金币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 2371 行；REQ-978ae84c9129、第 2359 行
2. 规则：BR-F2D56490CD692C
3. 未动态验证
4. 示例账号、编号、金额与日期是本条测试数据；执行前按前置条件准备，未填写的产品决策不得自行假定。</x:v>
      </x:c>
    </x:row>
    <x:row r="245" ht="130" customHeight="1">
      <x:c r="A245" s="10" t="n">
        <x:v>244</x:v>
      </x:c>
      <x:c r="B245" s="10" t="str">
        <x:v>GUILD-0244</x:v>
      </x:c>
      <x:c r="C245" s="10" t="str">
        <x:v>数据与收益</x:v>
      </x:c>
      <x:c r="D245" s="10" t="str">
        <x:v>直播记录（公会长）</x:v>
      </x:c>
      <x:c r="E245" s="10" t="str">
        <x:v>逻辑校验</x:v>
      </x:c>
      <x:c r="F245" s="10" t="str">
        <x:v>P2</x:v>
      </x:c>
      <x:c r="G245" s="9" t="str">
        <x:v>验证直播记录核算开播人数</x:v>
      </x:c>
      <x:c r="H245" s="9" t="str">
        <x:v>开播人数</x:v>
      </x:c>
      <x:c r="I245" s="9" t="str">
        <x:v>1. 公会长为本条执行者
2. 公会长账号已登录
3. 以下数据仅属于直播记录当前查看对象及已选日期范围；无其他会影响该指标的有效记录
4. 所选范围主播甲完成两场直播，乙完成一场；丙未开播</x:v>
      </x:c>
      <x:c r="J245" s="9" t="str">
        <x:v>1. 打开直播记录
2. 查看开播人数</x:v>
      </x:c>
      <x:c r="K245" s="9" t="str">
        <x:v>开播人数 = 2 人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 2372 行；REQ-b852b846541e、第 2359 行
2. 规则：BR-2C5209285E6864
3. 未动态验证
4. 示例账号、编号、金额与日期是本条测试数据；执行前按前置条件准备，未填写的产品决策不得自行假定。</x:v>
      </x:c>
    </x:row>
    <x:row r="246" ht="145" customHeight="1">
      <x:c r="A246" s="10" t="n">
        <x:v>245</x:v>
      </x:c>
      <x:c r="B246" s="10" t="str">
        <x:v>GUILD-0245</x:v>
      </x:c>
      <x:c r="C246" s="10" t="str">
        <x:v>数据与收益</x:v>
      </x:c>
      <x:c r="D246" s="10" t="str">
        <x:v>直播场次详情（公会长）</x:v>
      </x:c>
      <x:c r="E246" s="10" t="str">
        <x:v>逻辑校验</x:v>
      </x:c>
      <x:c r="F246" s="10" t="str">
        <x:v>P1</x:v>
      </x:c>
      <x:c r="G246" s="9" t="str">
        <x:v>验证直播场次详情核算消费金币</x:v>
      </x:c>
      <x:c r="H246" s="9" t="str">
        <x:v>消费金币</x:v>
      </x:c>
      <x:c r="I246" s="9" t="str">
        <x:v>1. 公会长为本条执行者
2. 公会长账号已登录
3. 以下数据仅属于直播场次详情当前查看对象及已选日期范围；无其他会影响该指标的有效记录
4. 本次普通用户成功赠送普通礼物单价100金币、数量3，配置允许该数量</x:v>
      </x:c>
      <x:c r="J246" s="9" t="str">
        <x:v>1. 打开直播场次详情
2. 查看消费金币</x:v>
      </x:c>
      <x:c r="K246" s="9" t="str">
        <x:v>消费金币 = 300 金币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 2388 行；REQ-2f94055c070c、第 2379 行
2. 规则：BR-C624C6701A35FF
3. 未动态验证
4. 示例账号、编号、金额与日期是本条测试数据；执行前按前置条件准备，未填写的产品决策不得自行假定。</x:v>
      </x:c>
    </x:row>
    <x:row r="247" ht="145" customHeight="1">
      <x:c r="A247" s="10" t="n">
        <x:v>246</x:v>
      </x:c>
      <x:c r="B247" s="10" t="str">
        <x:v>GUILD-0246</x:v>
      </x:c>
      <x:c r="C247" s="10" t="str">
        <x:v>数据与收益</x:v>
      </x:c>
      <x:c r="D247" s="10" t="str">
        <x:v>直播场次详情（公会长）</x:v>
      </x:c>
      <x:c r="E247" s="10" t="str">
        <x:v>逻辑校验</x:v>
      </x:c>
      <x:c r="F247" s="10" t="str">
        <x:v>P2</x:v>
      </x:c>
      <x:c r="G247" s="9" t="str">
        <x:v>验证直播场次详情核算观众数量</x:v>
      </x:c>
      <x:c r="H247" s="9" t="str">
        <x:v>观众数量</x:v>
      </x:c>
      <x:c r="I247" s="9" t="str">
        <x:v>1. 公会长为本条执行者
2. 公会长账号已登录
3. 以下数据仅属于直播场次详情当前查看对象及已选日期范围；无其他会影响该指标的有效记录
4. 当前场次中真实用户甲成功进入2次、乙1次；丙准入失败，三人以外没有观众</x:v>
      </x:c>
      <x:c r="J247" s="9" t="str">
        <x:v>1. 打开直播场次详情
2. 查看观众数量</x:v>
      </x:c>
      <x:c r="K247" s="9" t="str">
        <x:v>观众数量 = 2 人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 2393 行；REQ-8bae2a494638、第 2379 行
2. 规则：BR-613218A6082AC0
3. 未动态验证
4. 示例账号、编号、金额与日期是本条测试数据；执行前按前置条件准备，未填写的产品决策不得自行假定。</x:v>
      </x:c>
    </x:row>
    <x:row r="248" ht="145" customHeight="1">
      <x:c r="A248" s="10" t="n">
        <x:v>247</x:v>
      </x:c>
      <x:c r="B248" s="10" t="str">
        <x:v>GUILD-0247</x:v>
      </x:c>
      <x:c r="C248" s="10" t="str">
        <x:v>数据与收益</x:v>
      </x:c>
      <x:c r="D248" s="10" t="str">
        <x:v>直播场次详情（公会长）</x:v>
      </x:c>
      <x:c r="E248" s="10" t="str">
        <x:v>逻辑校验</x:v>
      </x:c>
      <x:c r="F248" s="10" t="str">
        <x:v>P2</x:v>
      </x:c>
      <x:c r="G248" s="9" t="str">
        <x:v>验证直播场次详情核算送礼观众</x:v>
      </x:c>
      <x:c r="H248" s="9" t="str">
        <x:v>送礼观众</x:v>
      </x:c>
      <x:c r="I248" s="9" t="str">
        <x:v>1. 公会长为本条执行者
2. 公会长账号已登录
3. 以下数据仅属于直播场次详情当前查看对象及已选日期范围；无其他会影响该指标的有效记录
4. 当前场次中真实用户甲成功进入2次、乙1次；丙准入失败，三人以外没有观众</x:v>
      </x:c>
      <x:c r="J248" s="9" t="str">
        <x:v>1. 打开直播场次详情
2. 查看送礼观众</x:v>
      </x:c>
      <x:c r="K248" s="9" t="str">
        <x:v>送礼观众 = 2 人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 2394 行；REQ-27630e55c9ee、第 2379 行
2. 规则：BR-0BD600FDFB486F
3. 未动态验证
4. 示例账号、编号、金额与日期是本条测试数据；执行前按前置条件准备，未填写的产品决策不得自行假定。</x:v>
      </x:c>
    </x:row>
    <x:row r="249" ht="145" customHeight="1">
      <x:c r="A249" s="10" t="n">
        <x:v>248</x:v>
      </x:c>
      <x:c r="B249" s="10" t="str">
        <x:v>GUILD-0248</x:v>
      </x:c>
      <x:c r="C249" s="10" t="str">
        <x:v>数据与收益</x:v>
      </x:c>
      <x:c r="D249" s="10" t="str">
        <x:v>直播场次详情（公会长）</x:v>
      </x:c>
      <x:c r="E249" s="10" t="str">
        <x:v>逻辑校验</x:v>
      </x:c>
      <x:c r="F249" s="10" t="str">
        <x:v>P2</x:v>
      </x:c>
      <x:c r="G249" s="9" t="str">
        <x:v>验证直播场次详情核算礼物数量</x:v>
      </x:c>
      <x:c r="H249" s="9" t="str">
        <x:v>礼物数量</x:v>
      </x:c>
      <x:c r="I249" s="9" t="str">
        <x:v>1. 公会长为本条执行者
2. 公会长账号已登录
3. 以下数据仅属于直播场次详情当前查看对象及已选日期范围；无其他会影响该指标的有效记录
4. 普通礼物两笔成功赠送分别2件和3件；另1件失败及1张成功门票不计为礼物件数</x:v>
      </x:c>
      <x:c r="J249" s="9" t="str">
        <x:v>1. 打开直播场次详情
2. 查看礼物数量</x:v>
      </x:c>
      <x:c r="K249" s="9" t="str">
        <x:v>礼物数量 = 5 件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 2395 行；REQ-77644e12086b、第 2379 行
2. 规则：BR-5E379B6C8E0D33
3. 未动态验证
4. 示例账号、编号、金额与日期是本条测试数据；执行前按前置条件准备，未填写的产品决策不得自行假定。</x:v>
      </x:c>
    </x:row>
    <x:row r="250" ht="160" customHeight="1">
      <x:c r="A250" s="10" t="n">
        <x:v>249</x:v>
      </x:c>
      <x:c r="B250" s="10" t="str">
        <x:v>GUILD-0249</x:v>
      </x:c>
      <x:c r="C250" s="10" t="str">
        <x:v>数据与收益</x:v>
      </x:c>
      <x:c r="D250" s="10" t="str">
        <x:v>直播场次详情（公会长）</x:v>
      </x:c>
      <x:c r="E250" s="10" t="str">
        <x:v>逻辑校验</x:v>
      </x:c>
      <x:c r="F250" s="10" t="str">
        <x:v>P2</x:v>
      </x:c>
      <x:c r="G250" s="9" t="str">
        <x:v>验证直播场次详情核算礼物收益</x:v>
      </x:c>
      <x:c r="H250" s="9" t="str">
        <x:v>礼物收益</x:v>
      </x:c>
      <x:c r="I250" s="9" t="str">
        <x:v>1. 公会长为本条执行者
2. 公会长账号已登录
3. 以下数据仅属于直播场次详情当前查看对象及已选日期范围；无其他会影响该指标的有效记录
4. 范围内两笔已确认可计入主播收益的真实普通礼物记录，收益分别100和200金币；范围外另有500金币收益</x:v>
      </x:c>
      <x:c r="J250" s="9" t="str">
        <x:v>1. 打开直播场次详情
2. 查看礼物收益</x:v>
      </x:c>
      <x:c r="K250" s="9" t="str">
        <x:v>礼物收益 = 300 金币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 2396 行；REQ-5e39153fcfa6、第 2379 行
2. 规则：BR-8F8BF4E9CBF0B6
3. 未动态验证
4. 示例账号、编号、金额与日期是本条测试数据；执行前按前置条件准备，未填写的产品决策不得自行假定。</x:v>
      </x:c>
    </x:row>
    <x:row r="251" ht="145" customHeight="1">
      <x:c r="A251" s="10" t="n">
        <x:v>250</x:v>
      </x:c>
      <x:c r="B251" s="10" t="str">
        <x:v>GUILD-0250</x:v>
      </x:c>
      <x:c r="C251" s="10" t="str">
        <x:v>数据与收益</x:v>
      </x:c>
      <x:c r="D251" s="10" t="str">
        <x:v>公会业绩（公会长）</x:v>
      </x:c>
      <x:c r="E251" s="10" t="str">
        <x:v>逻辑校验</x:v>
      </x:c>
      <x:c r="F251" s="10" t="str">
        <x:v>P2</x:v>
      </x:c>
      <x:c r="G251" s="9" t="str">
        <x:v>验证公会业绩核算达标主播</x:v>
      </x:c>
      <x:c r="H251" s="9" t="str">
        <x:v>达标主播</x:v>
      </x:c>
      <x:c r="I251" s="9" t="str">
        <x:v>1. 公会长为本条执行者
2. 公会长账号已登录
3. 以下数据仅属于公会业绩当前查看对象及已选日期范围；无其他会影响该指标的有效记录
4. 同一自然日主播甲累计有效3小时，乙2小时59分钟，丙4小时；甲虽开播两场仍只是一名主播</x:v>
      </x:c>
      <x:c r="J251" s="9" t="str">
        <x:v>1. 打开公会业绩
2. 查看达标主播</x:v>
      </x:c>
      <x:c r="K251" s="9" t="str">
        <x:v>达标主播 = 2 人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 2421 行；REQ-14ba7a1cd732、第 2415 行
2. 规则：BR-813CF899E92AE5
3. 未动态验证
4. 示例账号、编号、金额与日期是本条测试数据；执行前按前置条件准备，未填写的产品决策不得自行假定。</x:v>
      </x:c>
    </x:row>
    <x:row r="252" ht="145" customHeight="1">
      <x:c r="A252" s="10" t="n">
        <x:v>251</x:v>
      </x:c>
      <x:c r="B252" s="10" t="str">
        <x:v>GUILD-0251</x:v>
      </x:c>
      <x:c r="C252" s="10" t="str">
        <x:v>数据与收益</x:v>
      </x:c>
      <x:c r="D252" s="10" t="str">
        <x:v>公会业绩（公会长）</x:v>
      </x:c>
      <x:c r="E252" s="10" t="str">
        <x:v>逻辑校验</x:v>
      </x:c>
      <x:c r="F252" s="10" t="str">
        <x:v>P1</x:v>
      </x:c>
      <x:c r="G252" s="9" t="str">
        <x:v>验证公会业绩核算收益（金币）</x:v>
      </x:c>
      <x:c r="H252" s="9" t="str">
        <x:v>收益（金币）</x:v>
      </x:c>
      <x:c r="I252" s="9" t="str">
        <x:v>1. 公会长为本条执行者
2. 公会长账号已登录
3. 以下数据仅属于公会业绩当前查看对象及已选日期范围；无其他会影响该指标的有效记录
4. 范围内两笔已确认可计入主播收益的真实普通礼物记录，收益分别100和200金币；范围外另有500金币收益</x:v>
      </x:c>
      <x:c r="J252" s="9" t="str">
        <x:v>1. 打开公会业绩
2. 查看收益（金币）</x:v>
      </x:c>
      <x:c r="K252" s="9" t="str">
        <x:v>收益（金币） = 300 金币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 2422 行；REQ-ccb51d7a71ad、第 2415 行
2. 规则：BR-672C0F50A2BB65
3. 未动态验证
4. 示例账号、编号、金额与日期是本条测试数据；执行前按前置条件准备，未填写的产品决策不得自行假定。</x:v>
      </x:c>
    </x:row>
    <x:row r="253" ht="145" customHeight="1">
      <x:c r="A253" s="10" t="n">
        <x:v>252</x:v>
      </x:c>
      <x:c r="B253" s="10" t="str">
        <x:v>GUILD-0252</x:v>
      </x:c>
      <x:c r="C253" s="10" t="str">
        <x:v>数据与收益</x:v>
      </x:c>
      <x:c r="D253" s="10" t="str">
        <x:v>公会业绩（公会长）</x:v>
      </x:c>
      <x:c r="E253" s="10" t="str">
        <x:v>逻辑校验</x:v>
      </x:c>
      <x:c r="F253" s="10" t="str">
        <x:v>P2</x:v>
      </x:c>
      <x:c r="G253" s="9" t="str">
        <x:v>验证公会业绩核算收益</x:v>
      </x:c>
      <x:c r="H253" s="9" t="str">
        <x:v>收益</x:v>
      </x:c>
      <x:c r="I253" s="9" t="str">
        <x:v>1. 公会长为本条执行者
2. 公会长账号已登录
3. 以下数据仅属于公会业绩当前查看对象及已选日期范围；无其他会影响该指标的有效记录
4. 范围内两笔已确认可计入主播收益的真实普通礼物记录，收益分别100和200金币；范围外另有500金币收益</x:v>
      </x:c>
      <x:c r="J253" s="9" t="str">
        <x:v>1. 打开公会业绩
2. 查看收益</x:v>
      </x:c>
      <x:c r="K253" s="9" t="str">
        <x:v>收益 = 300 金币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 2424 行；REQ-5f23a2ca2390、第 2415 行
2. 规则：BR-AEAD67511AA974
3. 未动态验证
4. 示例账号、编号、金额与日期是本条测试数据；执行前按前置条件准备，未填写的产品决策不得自行假定。</x:v>
      </x:c>
    </x:row>
    <x:row r="254" ht="160" customHeight="1">
      <x:c r="A254" s="10" t="n">
        <x:v>253</x:v>
      </x:c>
      <x:c r="B254" s="10" t="str">
        <x:v>GUILD-0253</x:v>
      </x:c>
      <x:c r="C254" s="10" t="str">
        <x:v>数据与收益</x:v>
      </x:c>
      <x:c r="D254" s="10" t="str">
        <x:v>公会业绩（公会长）</x:v>
      </x:c>
      <x:c r="E254" s="10" t="str">
        <x:v>逻辑校验</x:v>
      </x:c>
      <x:c r="F254" s="10" t="str">
        <x:v>P2</x:v>
      </x:c>
      <x:c r="G254" s="9" t="str">
        <x:v>验证公会业绩核算开播人数</x:v>
      </x:c>
      <x:c r="H254" s="9" t="str">
        <x:v>开播人数</x:v>
      </x:c>
      <x:c r="I254" s="9" t="str">
        <x:v>1. 公会长为本条执行者
2. 公会长账号已登录
3. 以下数据仅属于公会业绩当前查看对象及已选日期范围；无其他会影响该指标的有效记录
4. 所选范围主播甲完成两场直播，乙完成一场；丙未开播</x:v>
      </x:c>
      <x:c r="J254" s="9" t="str">
        <x:v>1. 打开公会业绩
2. 查看开播人数</x:v>
      </x:c>
      <x:c r="K254" s="9" t="str">
        <x:v>开播人数 = 2 人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来源（当前证据）：liveshow-proto/MainBasis/统一需求文档.md；位置：第 2425 行；REQ-4df17b6aa9fa、第 2428 行；REQ-895dd4ecd051、第 2432 行；REQ-c4d52f906bd9、第 2415 行
2. 规则：BR-E8EEF04E9622E6
3. 未动态验证
4. 示例账号、编号、金额与日期是本条测试数据；执行前按前置条件准备，未填写的产品决策不得自行假定。</x:v>
      </x:c>
    </x:row>
    <x:row r="255" ht="145" customHeight="1">
      <x:c r="A255" s="10" t="n">
        <x:v>254</x:v>
      </x:c>
      <x:c r="B255" s="10" t="str">
        <x:v>GUILD-0254</x:v>
      </x:c>
      <x:c r="C255" s="10" t="str">
        <x:v>数据与收益</x:v>
      </x:c>
      <x:c r="D255" s="10" t="str">
        <x:v>公会业绩（公会长）</x:v>
      </x:c>
      <x:c r="E255" s="10" t="str">
        <x:v>逻辑校验</x:v>
      </x:c>
      <x:c r="F255" s="10" t="str">
        <x:v>P2</x:v>
      </x:c>
      <x:c r="G255" s="9" t="str">
        <x:v>验证公会业绩核算公会收益</x:v>
      </x:c>
      <x:c r="H255" s="9" t="str">
        <x:v>公会收益</x:v>
      </x:c>
      <x:c r="I255" s="9" t="str">
        <x:v>1. 公会长为本条执行者
2. 公会长账号已登录
3. 以下数据仅属于公会业绩当前查看对象及已选日期范围；无其他会影响该指标的有效记录
4. 范围内两笔已确认可计入主播收益的真实普通礼物记录，收益分别100和200金币；范围外另有500金币收益</x:v>
      </x:c>
      <x:c r="J255" s="9" t="str">
        <x:v>1. 打开公会业绩
2. 查看公会收益</x:v>
      </x:c>
      <x:c r="K255" s="9" t="str">
        <x:v>公会收益 = 300 金币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 2426 行；REQ-b44be692034b、第 2430 行；REQ-99876c93fae7、第 2415 行
2. 规则：BR-FEB5237D9E9F66
3. 未动态验证
4. 示例账号、编号、金额与日期是本条测试数据；执行前按前置条件准备，未填写的产品决策不得自行假定。</x:v>
      </x:c>
    </x:row>
    <x:row r="256" ht="145" customHeight="1">
      <x:c r="A256" s="10" t="n">
        <x:v>255</x:v>
      </x:c>
      <x:c r="B256" s="10" t="str">
        <x:v>GUILD-0255</x:v>
      </x:c>
      <x:c r="C256" s="10" t="str">
        <x:v>数据与收益</x:v>
      </x:c>
      <x:c r="D256" s="10" t="str">
        <x:v>每日（公会长）</x:v>
      </x:c>
      <x:c r="E256" s="10" t="str">
        <x:v>逻辑校验</x:v>
      </x:c>
      <x:c r="F256" s="10" t="str">
        <x:v>P2</x:v>
      </x:c>
      <x:c r="G256" s="9" t="str">
        <x:v>验证每日核算当日收益</x:v>
      </x:c>
      <x:c r="H256" s="9" t="str">
        <x:v>当日收益</x:v>
      </x:c>
      <x:c r="I256" s="9" t="str">
        <x:v>1. 公会长为本条执行者
2. 公会长账号已登录
3. 以下数据仅属于每日当前查看对象及已选日期范围；无其他会影响该指标的有效记录
4. 范围内两笔已确认可计入主播收益的真实普通礼物记录，收益分别100和200金币；范围外另有500金币收益</x:v>
      </x:c>
      <x:c r="J256" s="9" t="str">
        <x:v>1. 打开每日
2. 查看当日收益</x:v>
      </x:c>
      <x:c r="K256" s="9" t="str">
        <x:v>当日收益 = 300 金币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 2447 行；REQ-87ec9467d4df、第 2439 行
2. 规则：BR-F227EC5E65649F
3. 未动态验证
4. 示例账号、编号、金额与日期是本条测试数据；执行前按前置条件准备，未填写的产品决策不得自行假定。</x:v>
      </x:c>
    </x:row>
    <x:row r="257" ht="145" customHeight="1">
      <x:c r="A257" s="10" t="n">
        <x:v>256</x:v>
      </x:c>
      <x:c r="B257" s="10" t="str">
        <x:v>GUILD-0256</x:v>
      </x:c>
      <x:c r="C257" s="10" t="str">
        <x:v>数据与收益</x:v>
      </x:c>
      <x:c r="D257" s="10" t="str">
        <x:v>每日（公会长）</x:v>
      </x:c>
      <x:c r="E257" s="10" t="str">
        <x:v>逻辑校验</x:v>
      </x:c>
      <x:c r="F257" s="10" t="str">
        <x:v>P2</x:v>
      </x:c>
      <x:c r="G257" s="9" t="str">
        <x:v>验证每日核算达成有效天</x:v>
      </x:c>
      <x:c r="H257" s="9" t="str">
        <x:v>达成有效天</x:v>
      </x:c>
      <x:c r="I257" s="9" t="str">
        <x:v>1. 公会长为本条执行者
2. 公会长账号已登录
3. 以下数据仅属于每日当前查看对象及已选日期范围；无其他会影响该指标的有效记录
4. 同一自然日主播甲累计有效3小时，乙2小时59分钟，丙4小时；甲虽开播两场仍只是一名主播</x:v>
      </x:c>
      <x:c r="J257" s="9" t="str">
        <x:v>1. 打开每日
2. 查看达成有效天</x:v>
      </x:c>
      <x:c r="K257" s="9" t="str">
        <x:v>达成有效天 = 2 人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 2449 行；REQ-f41d28f9fe68、第 2439 行
2. 规则：BR-532F4CC4D1072B
3. 未动态验证
4. 示例账号、编号、金额与日期是本条测试数据；执行前按前置条件准备，未填写的产品决策不得自行假定。</x:v>
      </x:c>
    </x:row>
    <x:row r="258" ht="175" customHeight="1">
      <x:c r="A258" s="10" t="n">
        <x:v>257</x:v>
      </x:c>
      <x:c r="B258" s="10" t="str">
        <x:v>GUILD-0257</x:v>
      </x:c>
      <x:c r="C258" s="10" t="str">
        <x:v>首页与发现</x:v>
      </x:c>
      <x:c r="D258" s="10" t="str">
        <x:v>通知消息（公会长）</x:v>
      </x:c>
      <x:c r="E258" s="10" t="str">
        <x:v>功能需求</x:v>
      </x:c>
      <x:c r="F258" s="10" t="str">
        <x:v>P2</x:v>
      </x:c>
      <x:c r="G258" s="9" t="str">
        <x:v>验证公会收到入会申请待初审通知</x:v>
      </x:c>
      <x:c r="H258" s="9" t="str">
        <x:v>公会通知事件覆盖</x:v>
      </x:c>
      <x:c r="I258" s="9" t="str">
        <x:v>1. 公会长为本条执行者
2. 公会长甲当前管理公会甲
3. 公会甲刚发生入会申请待初审事件，关联对象为本公会的测试记录甲</x:v>
      </x:c>
      <x:c r="J258" s="9" t="str">
        <x:v>1. 打开通知消息
2. 查看最新业务通知</x:v>
      </x:c>
      <x:c r="K258" s="9" t="str">
        <x:v>显示关联记录甲的入会申请待初审通知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规则：BR-AE73425B9175AD
3. 未动态验证
4. 示例账号、编号、金额与日期是本条测试数据；执行前按前置条件准备，未填写的产品决策不得自行假定。</x:v>
      </x:c>
    </x:row>
    <x:row r="259" ht="175" customHeight="1">
      <x:c r="A259" s="10" t="n">
        <x:v>258</x:v>
      </x:c>
      <x:c r="B259" s="10" t="str">
        <x:v>GUILD-0258</x:v>
      </x:c>
      <x:c r="C259" s="10" t="str">
        <x:v>首页与发现</x:v>
      </x:c>
      <x:c r="D259" s="10" t="str">
        <x:v>通知消息（公会长）</x:v>
      </x:c>
      <x:c r="E259" s="10" t="str">
        <x:v>功能需求</x:v>
      </x:c>
      <x:c r="F259" s="10" t="str">
        <x:v>P2</x:v>
      </x:c>
      <x:c r="G259" s="9" t="str">
        <x:v>验证公会收到平台终审通过通知</x:v>
      </x:c>
      <x:c r="H259" s="9" t="str">
        <x:v>公会通知事件覆盖</x:v>
      </x:c>
      <x:c r="I259" s="9" t="str">
        <x:v>1. 公会长为本条执行者
2. 公会长甲当前管理公会甲
3. 公会甲刚发生平台终审通过事件，关联对象为本公会的测试记录甲</x:v>
      </x:c>
      <x:c r="J259" s="9" t="str">
        <x:v>1. 打开通知消息
2. 查看最新业务通知</x:v>
      </x:c>
      <x:c r="K259" s="9" t="str">
        <x:v>显示关联记录甲的平台终审通过通知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规则：BR-17E066B7F94C1D
3. 未动态验证
4. 示例账号、编号、金额与日期是本条测试数据；执行前按前置条件准备，未填写的产品决策不得自行假定。</x:v>
      </x:c>
    </x:row>
    <x:row r="260" ht="175" customHeight="1">
      <x:c r="A260" s="10" t="n">
        <x:v>259</x:v>
      </x:c>
      <x:c r="B260" s="10" t="str">
        <x:v>GUILD-0259</x:v>
      </x:c>
      <x:c r="C260" s="10" t="str">
        <x:v>首页与发现</x:v>
      </x:c>
      <x:c r="D260" s="10" t="str">
        <x:v>通知消息（公会长）</x:v>
      </x:c>
      <x:c r="E260" s="10" t="str">
        <x:v>功能需求</x:v>
      </x:c>
      <x:c r="F260" s="10" t="str">
        <x:v>P2</x:v>
      </x:c>
      <x:c r="G260" s="9" t="str">
        <x:v>验证公会收到平台终审驳回通知</x:v>
      </x:c>
      <x:c r="H260" s="9" t="str">
        <x:v>公会通知事件覆盖</x:v>
      </x:c>
      <x:c r="I260" s="9" t="str">
        <x:v>1. 公会长为本条执行者
2. 公会长甲当前管理公会甲
3. 公会甲刚发生平台终审驳回事件，关联对象为本公会的测试记录甲</x:v>
      </x:c>
      <x:c r="J260" s="9" t="str">
        <x:v>1. 打开通知消息
2. 查看最新业务通知</x:v>
      </x:c>
      <x:c r="K260" s="9" t="str">
        <x:v>显示关联记录甲的平台终审驳回通知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规则：BR-B444E548DED478
3. 未动态验证
4. 示例账号、编号、金额与日期是本条测试数据；执行前按前置条件准备，未填写的产品决策不得自行假定。</x:v>
      </x:c>
    </x:row>
    <x:row r="261" ht="175" customHeight="1">
      <x:c r="A261" s="10" t="n">
        <x:v>260</x:v>
      </x:c>
      <x:c r="B261" s="10" t="str">
        <x:v>GUILD-0260</x:v>
      </x:c>
      <x:c r="C261" s="10" t="str">
        <x:v>首页与发现</x:v>
      </x:c>
      <x:c r="D261" s="10" t="str">
        <x:v>通知消息（公会长）</x:v>
      </x:c>
      <x:c r="E261" s="10" t="str">
        <x:v>功能需求</x:v>
      </x:c>
      <x:c r="F261" s="10" t="str">
        <x:v>P1</x:v>
      </x:c>
      <x:c r="G261" s="9" t="str">
        <x:v>验证公会收到退会申请待审核通知</x:v>
      </x:c>
      <x:c r="H261" s="9" t="str">
        <x:v>公会通知事件覆盖</x:v>
      </x:c>
      <x:c r="I261" s="9" t="str">
        <x:v>1. 公会长为本条执行者
2. 公会长甲当前管理公会甲
3. 公会甲刚发生退会申请待审核事件，关联对象为本公会的测试记录甲</x:v>
      </x:c>
      <x:c r="J261" s="9" t="str">
        <x:v>1. 打开通知消息
2. 查看最新业务通知</x:v>
      </x:c>
      <x:c r="K261" s="9" t="str">
        <x:v>显示关联记录甲的退会申请待审核通知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规则：BR-F01CBF267F44DB
3. 未动态验证
4. 示例账号、编号、金额与日期是本条测试数据；执行前按前置条件准备，未填写的产品决策不得自行假定。</x:v>
      </x:c>
    </x:row>
    <x:row r="262" ht="175" customHeight="1">
      <x:c r="A262" s="10" t="n">
        <x:v>261</x:v>
      </x:c>
      <x:c r="B262" s="10" t="str">
        <x:v>GUILD-0261</x:v>
      </x:c>
      <x:c r="C262" s="10" t="str">
        <x:v>首页与发现</x:v>
      </x:c>
      <x:c r="D262" s="10" t="str">
        <x:v>通知消息（公会长）</x:v>
      </x:c>
      <x:c r="E262" s="10" t="str">
        <x:v>功能需求</x:v>
      </x:c>
      <x:c r="F262" s="10" t="str">
        <x:v>P2</x:v>
      </x:c>
      <x:c r="G262" s="9" t="str">
        <x:v>验证公会收到平台关闭直播场次通知</x:v>
      </x:c>
      <x:c r="H262" s="9" t="str">
        <x:v>公会通知事件覆盖</x:v>
      </x:c>
      <x:c r="I262" s="9" t="str">
        <x:v>1. 公会长为本条执行者
2. 公会长甲当前管理公会甲
3. 公会甲刚发生平台关闭直播场次事件，关联对象为本公会的测试记录甲</x:v>
      </x:c>
      <x:c r="J262" s="9" t="str">
        <x:v>1. 打开通知消息
2. 查看最新业务通知</x:v>
      </x:c>
      <x:c r="K262" s="9" t="str">
        <x:v>显示关联记录甲的平台关闭直播场次通知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规则：BR-B3418C9755C56C
3. 未动态验证
4. 示例账号、编号、金额与日期是本条测试数据；执行前按前置条件准备，未填写的产品决策不得自行假定。</x:v>
      </x:c>
    </x:row>
    <x:row r="263" ht="175" customHeight="1">
      <x:c r="A263" s="10" t="n">
        <x:v>262</x:v>
      </x:c>
      <x:c r="B263" s="10" t="str">
        <x:v>GUILD-0262</x:v>
      </x:c>
      <x:c r="C263" s="10" t="str">
        <x:v>首页与发现</x:v>
      </x:c>
      <x:c r="D263" s="10" t="str">
        <x:v>通知消息（公会长）</x:v>
      </x:c>
      <x:c r="E263" s="10" t="str">
        <x:v>功能需求</x:v>
      </x:c>
      <x:c r="F263" s="10" t="str">
        <x:v>P1</x:v>
      </x:c>
      <x:c r="G263" s="9" t="str">
        <x:v>验证公会收到平台恢复直播权限通知</x:v>
      </x:c>
      <x:c r="H263" s="9" t="str">
        <x:v>公会通知事件覆盖</x:v>
      </x:c>
      <x:c r="I263" s="9" t="str">
        <x:v>1. 公会长为本条执行者
2. 公会长甲当前管理公会甲
3. 公会甲刚发生平台恢复直播权限事件，关联对象为本公会的测试记录甲</x:v>
      </x:c>
      <x:c r="J263" s="9" t="str">
        <x:v>1. 打开通知消息
2. 查看最新业务通知</x:v>
      </x:c>
      <x:c r="K263" s="9" t="str">
        <x:v>显示关联记录甲的平台恢复直播权限通知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规则：BR-35A617495A2725
3. 未动态验证
4. 示例账号、编号、金额与日期是本条测试数据；执行前按前置条件准备，未填写的产品决策不得自行假定。</x:v>
      </x:c>
    </x:row>
    <x:row r="264" ht="175" customHeight="1">
      <x:c r="A264" s="10" t="n">
        <x:v>263</x:v>
      </x:c>
      <x:c r="B264" s="10" t="str">
        <x:v>GUILD-0263</x:v>
      </x:c>
      <x:c r="C264" s="10" t="str">
        <x:v>首页与发现</x:v>
      </x:c>
      <x:c r="D264" s="10" t="str">
        <x:v>通知消息（公会长）</x:v>
      </x:c>
      <x:c r="E264" s="10" t="str">
        <x:v>功能需求</x:v>
      </x:c>
      <x:c r="F264" s="10" t="str">
        <x:v>P2</x:v>
      </x:c>
      <x:c r="G264" s="9" t="str">
        <x:v>验证公会收到公会状态变更通知</x:v>
      </x:c>
      <x:c r="H264" s="9" t="str">
        <x:v>公会通知事件覆盖</x:v>
      </x:c>
      <x:c r="I264" s="9" t="str">
        <x:v>1. 公会长为本条执行者
2. 公会长甲当前管理公会甲
3. 公会甲刚发生公会状态变更事件，关联对象为本公会的测试记录甲</x:v>
      </x:c>
      <x:c r="J264" s="9" t="str">
        <x:v>1. 打开通知消息
2. 查看最新业务通知</x:v>
      </x:c>
      <x:c r="K264" s="9" t="str">
        <x:v>显示关联记录甲的公会状态变更通知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规则：BR-7AB7AF4CB2FA87
3. 未动态验证
4. 示例账号、编号、金额与日期是本条测试数据；执行前按前置条件准备，未填写的产品决策不得自行假定。</x:v>
      </x:c>
    </x:row>
    <x:row r="265" ht="175" customHeight="1">
      <x:c r="A265" s="10" t="n">
        <x:v>264</x:v>
      </x:c>
      <x:c r="B265" s="10" t="str">
        <x:v>GUILD-0264</x:v>
      </x:c>
      <x:c r="C265" s="10" t="str">
        <x:v>首页与发现</x:v>
      </x:c>
      <x:c r="D265" s="10" t="str">
        <x:v>通知消息（公会长）</x:v>
      </x:c>
      <x:c r="E265" s="10" t="str">
        <x:v>功能需求</x:v>
      </x:c>
      <x:c r="F265" s="10" t="str">
        <x:v>P1</x:v>
      </x:c>
      <x:c r="G265" s="9" t="str">
        <x:v>验证公会收到运营账号管理权限锁定通知</x:v>
      </x:c>
      <x:c r="H265" s="9" t="str">
        <x:v>公会通知事件覆盖</x:v>
      </x:c>
      <x:c r="I265" s="9" t="str">
        <x:v>1. 公会长为本条执行者
2. 公会长甲当前管理公会甲
3. 公会甲刚发生运营账号管理权限锁定事件，关联对象为本公会的测试记录甲</x:v>
      </x:c>
      <x:c r="J265" s="9" t="str">
        <x:v>1. 打开通知消息
2. 查看最新业务通知</x:v>
      </x:c>
      <x:c r="K265" s="9" t="str">
        <x:v>显示关联记录甲的运营账号管理权限锁定通知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规则：BR-CD6F9566B34D79
3. 未动态验证
4. 示例账号、编号、金额与日期是本条测试数据；执行前按前置条件准备，未填写的产品决策不得自行假定。</x:v>
      </x:c>
    </x:row>
    <x:row r="266" ht="175" customHeight="1">
      <x:c r="A266" s="10" t="n">
        <x:v>265</x:v>
      </x:c>
      <x:c r="B266" s="10" t="str">
        <x:v>GUILD-0265</x:v>
      </x:c>
      <x:c r="C266" s="10" t="str">
        <x:v>首页与发现</x:v>
      </x:c>
      <x:c r="D266" s="10" t="str">
        <x:v>通知消息（公会长）</x:v>
      </x:c>
      <x:c r="E266" s="10" t="str">
        <x:v>功能需求</x:v>
      </x:c>
      <x:c r="F266" s="10" t="str">
        <x:v>P2</x:v>
      </x:c>
      <x:c r="G266" s="9" t="str">
        <x:v>验证公会收到主播分成新增通知</x:v>
      </x:c>
      <x:c r="H266" s="9" t="str">
        <x:v>公会通知事件覆盖</x:v>
      </x:c>
      <x:c r="I266" s="9" t="str">
        <x:v>1. 公会长为本条执行者
2. 公会长甲当前管理公会甲
3. 公会甲刚发生主播分成新增事件，关联对象为本公会的测试记录甲</x:v>
      </x:c>
      <x:c r="J266" s="9" t="str">
        <x:v>1. 打开通知消息
2. 查看最新业务通知</x:v>
      </x:c>
      <x:c r="K266" s="9" t="str">
        <x:v>显示关联记录甲的主播分成新增通知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规则：BR-770AC0F187F0D5
3. 未动态验证
4. 示例账号、编号、金额与日期是本条测试数据；执行前按前置条件准备，未填写的产品决策不得自行假定。</x:v>
      </x:c>
    </x:row>
    <x:row r="267" ht="175" customHeight="1">
      <x:c r="A267" s="10" t="n">
        <x:v>266</x:v>
      </x:c>
      <x:c r="B267" s="10" t="str">
        <x:v>GUILD-0266</x:v>
      </x:c>
      <x:c r="C267" s="10" t="str">
        <x:v>首页与发现</x:v>
      </x:c>
      <x:c r="D267" s="10" t="str">
        <x:v>通知消息（公会长）</x:v>
      </x:c>
      <x:c r="E267" s="10" t="str">
        <x:v>功能需求</x:v>
      </x:c>
      <x:c r="F267" s="10" t="str">
        <x:v>P2</x:v>
      </x:c>
      <x:c r="G267" s="9" t="str">
        <x:v>验证公会收到公会分成冲正通知</x:v>
      </x:c>
      <x:c r="H267" s="9" t="str">
        <x:v>公会通知事件覆盖</x:v>
      </x:c>
      <x:c r="I267" s="9" t="str">
        <x:v>1. 公会长为本条执行者
2. 公会长甲当前管理公会甲
3. 公会甲刚发生公会分成冲正事件，关联对象为本公会的测试记录甲</x:v>
      </x:c>
      <x:c r="J267" s="9" t="str">
        <x:v>1. 打开通知消息
2. 查看最新业务通知</x:v>
      </x:c>
      <x:c r="K267" s="9" t="str">
        <x:v>显示关联记录甲的公会分成冲正通知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 2079 行；REQ-fe77df8ea353、第 2080 行；REQ-c6bead40e22f、第 2081 行；REQ-dab2ae0821f7、第 2082 行；REQ-5b002603fe95、第 2074 行
2. 规则：BR-456C638ED7A79C
3. 未动态验证
4. 示例账号、编号、金额与日期是本条测试数据；执行前按前置条件准备，未填写的产品决策不得自行假定。</x:v>
      </x:c>
    </x:row>
    <x:row r="268" ht="130" customHeight="1">
      <x:c r="A268" s="10" t="n">
        <x:v>267</x:v>
      </x:c>
      <x:c r="B268" s="10" t="str">
        <x:v>GUILD-0267</x:v>
      </x:c>
      <x:c r="C268" s="10" t="str">
        <x:v>首页与发现</x:v>
      </x:c>
      <x:c r="D268" s="10" t="str">
        <x:v>首页（公会长）</x:v>
      </x:c>
      <x:c r="E268" s="10" t="str">
        <x:v>功能需求</x:v>
      </x:c>
      <x:c r="F268" s="10" t="str">
        <x:v>P2</x:v>
      </x:c>
      <x:c r="G268" s="9" t="str">
        <x:v>验证首页未读通知标记</x:v>
      </x:c>
      <x:c r="H268" s="9" t="str">
        <x:v>公会首页通知未读</x:v>
      </x:c>
      <x:c r="I268" s="9" t="str">
        <x:v>1. 公会长为本条执行者
2. 公会甲有一条未读业务通知，公会长甲已登录</x:v>
      </x:c>
      <x:c r="J268" s="9" t="str">
        <x:v>1. 打开公会首页
2. 查看通知入口</x:v>
      </x:c>
      <x:c r="K268" s="9" t="str">
        <x:v>通知入口显示未读标记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 2064 行；REQ-a014380ae33b、第 2062 行
2. 规则：BR-4AC0F6B5986BB8
3. 未动态验证
4. 示例账号、编号、金额与日期是本条测试数据；执行前按前置条件准备，未填写的产品决策不得自行假定。</x:v>
      </x:c>
    </x:row>
    <x:row r="269" ht="130" customHeight="1">
      <x:c r="A269" s="10" t="n">
        <x:v>268</x:v>
      </x:c>
      <x:c r="B269" s="10" t="str">
        <x:v>GUILD-0268</x:v>
      </x:c>
      <x:c r="C269" s="10" t="str">
        <x:v>审批管理</x:v>
      </x:c>
      <x:c r="D269" s="10" t="str">
        <x:v>入会申请（公会长）</x:v>
      </x:c>
      <x:c r="E269" s="10" t="str">
        <x:v>功能需求</x:v>
      </x:c>
      <x:c r="F269" s="10" t="str">
        <x:v>P1</x:v>
      </x:c>
      <x:c r="G269" s="9" t="str">
        <x:v>验证审核中包含待公会审核</x:v>
      </x:c>
      <x:c r="H269" s="9" t="str">
        <x:v>入会审核中状态集合</x:v>
      </x:c>
      <x:c r="I269" s="9" t="str">
        <x:v>1. 公会长为本条执行者
2. 当前公会为甲
3. J001属于当前公会
4. J001当前待公会审核</x:v>
      </x:c>
      <x:c r="J269" s="9" t="str">
        <x:v>1. 打开入会审核
2. 选择审核中</x:v>
      </x:c>
      <x:c r="K269" s="9" t="str">
        <x:v>审核中列表包含J001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来源（当前证据）：liveshow-proto/MainBasis/统一需求文档.md；位置：第 2098 行；REQ-bbd9cc4ccd76、第 2094 行
2. 规则：BR-076FDFCDECE7E6
3. 未动态验证
4. 示例账号、编号、金额与日期是本条测试数据；执行前按前置条件准备，未填写的产品决策不得自行假定。</x:v>
      </x:c>
    </x:row>
    <x:row r="270" ht="130" customHeight="1">
      <x:c r="A270" s="10" t="n">
        <x:v>269</x:v>
      </x:c>
      <x:c r="B270" s="10" t="str">
        <x:v>GUILD-0269</x:v>
      </x:c>
      <x:c r="C270" s="10" t="str">
        <x:v>审批管理</x:v>
      </x:c>
      <x:c r="D270" s="10" t="str">
        <x:v>入会申请（公会长）</x:v>
      </x:c>
      <x:c r="E270" s="10" t="str">
        <x:v>功能需求</x:v>
      </x:c>
      <x:c r="F270" s="10" t="str">
        <x:v>P1</x:v>
      </x:c>
      <x:c r="G270" s="9" t="str">
        <x:v>验证审核中包含平台审核中</x:v>
      </x:c>
      <x:c r="H270" s="9" t="str">
        <x:v>入会审核中状态集合</x:v>
      </x:c>
      <x:c r="I270" s="9" t="str">
        <x:v>1. 公会长为本条执行者
2. 当前公会为甲
3. J001属于当前公会
4. J001当前平台审核中</x:v>
      </x:c>
      <x:c r="J270" s="9" t="str">
        <x:v>1. 打开入会审核
2. 选择审核中</x:v>
      </x:c>
      <x:c r="K270" s="9" t="str">
        <x:v>审核中列表包含J001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来源（当前证据）：liveshow-proto/MainBasis/统一需求文档.md；位置：第 2098 行；REQ-bbd9cc4ccd76、第 2094 行
2. 规则：BR-0E57BDD43F6B71
3. 未动态验证
4. 示例账号、编号、金额与日期是本条测试数据；执行前按前置条件准备，未填写的产品决策不得自行假定。</x:v>
      </x:c>
    </x:row>
    <x:row r="271" ht="130" customHeight="1">
      <x:c r="A271" s="10" t="n">
        <x:v>270</x:v>
      </x:c>
      <x:c r="B271" s="10" t="str">
        <x:v>GUILD-0270</x:v>
      </x:c>
      <x:c r="C271" s="10" t="str">
        <x:v>审批管理</x:v>
      </x:c>
      <x:c r="D271" s="10" t="str">
        <x:v>入会申请（公会长）</x:v>
      </x:c>
      <x:c r="E271" s="10" t="str">
        <x:v>功能需求</x:v>
      </x:c>
      <x:c r="F271" s="10" t="str">
        <x:v>P2</x:v>
      </x:c>
      <x:c r="G271" s="9" t="str">
        <x:v>验证已驳回区分公会驳回</x:v>
      </x:c>
      <x:c r="H271" s="9" t="str">
        <x:v>入会驳回来源</x:v>
      </x:c>
      <x:c r="I271" s="9" t="str">
        <x:v>1. 公会长为本条执行者
2. 当前公会为甲
3. J001属于当前公会且当前公会驳回</x:v>
      </x:c>
      <x:c r="J271" s="9" t="str">
        <x:v>1. 打开入会审核
2. 选择已驳回
3. 查看J001</x:v>
      </x:c>
      <x:c r="K271" s="9" t="str">
        <x:v>J001显示公会驳回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来源（当前证据）：liveshow-proto/MainBasis/统一需求文档.md；位置：第 2098 行；REQ-bbd9cc4ccd76、第 2094 行
2. 规则：BR-ACFBBA326CF56A
3. 未动态验证
4. 示例账号、编号、金额与日期是本条测试数据；执行前按前置条件准备，未填写的产品决策不得自行假定。</x:v>
      </x:c>
    </x:row>
    <x:row r="272" ht="130" customHeight="1">
      <x:c r="A272" s="10" t="n">
        <x:v>271</x:v>
      </x:c>
      <x:c r="B272" s="10" t="str">
        <x:v>GUILD-0271</x:v>
      </x:c>
      <x:c r="C272" s="10" t="str">
        <x:v>审批管理</x:v>
      </x:c>
      <x:c r="D272" s="10" t="str">
        <x:v>入会申请（公会长）</x:v>
      </x:c>
      <x:c r="E272" s="10" t="str">
        <x:v>功能需求</x:v>
      </x:c>
      <x:c r="F272" s="10" t="str">
        <x:v>P2</x:v>
      </x:c>
      <x:c r="G272" s="9" t="str">
        <x:v>验证已驳回区分平台驳回</x:v>
      </x:c>
      <x:c r="H272" s="9" t="str">
        <x:v>入会驳回来源</x:v>
      </x:c>
      <x:c r="I272" s="9" t="str">
        <x:v>1. 公会长为本条执行者
2. 当前公会为甲
3. J001属于当前公会且当前平台驳回</x:v>
      </x:c>
      <x:c r="J272" s="9" t="str">
        <x:v>1. 打开入会审核
2. 选择已驳回
3. 查看J001</x:v>
      </x:c>
      <x:c r="K272" s="9" t="str">
        <x:v>J001显示平台驳回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 2098 行；REQ-bbd9cc4ccd76、第 2094 行
2. 规则：BR-6DC3273D840BB2
3. 未动态验证
4. 示例账号、编号、金额与日期是本条测试数据；执行前按前置条件准备，未填写的产品决策不得自行假定。</x:v>
      </x:c>
    </x:row>
    <x:row r="273" ht="160" customHeight="1">
      <x:c r="A273" s="10" t="n">
        <x:v>272</x:v>
      </x:c>
      <x:c r="B273" s="10" t="str">
        <x:v>GUILD-0272</x:v>
      </x:c>
      <x:c r="C273" s="10" t="str">
        <x:v>审批管理</x:v>
      </x:c>
      <x:c r="D273" s="10" t="str">
        <x:v>入会申请详情（公会长）</x:v>
      </x:c>
      <x:c r="E273" s="10" t="str">
        <x:v>功能需求</x:v>
      </x:c>
      <x:c r="F273" s="10" t="str">
        <x:v>P2</x:v>
      </x:c>
      <x:c r="G273" s="9" t="str">
        <x:v>验证查看认证本人照片</x:v>
      </x:c>
      <x:c r="H273" s="9" t="str">
        <x:v>认证材料对应原图</x:v>
      </x:c>
      <x:c r="I273" s="9" t="str">
        <x:v>1. 公会长为本条执行者
2. 当前公会甲有申请人或主播乙，已提供清晰的本人照片甲、证件正面乙、反面丙</x:v>
      </x:c>
      <x:c r="J273" s="9" t="str">
        <x:v>1. 打开入会申请详情
2. 点击本人照片</x:v>
      </x:c>
      <x:c r="K273" s="9" t="str">
        <x:v>展示对应测试图片甲的大图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 2110 行；REQ-ead1380c96ec、第 2111 行；REQ-f6891ba15597、第 2120 行；REQ-20fd4dfde21d、第 2105 行
2. 规则：BR-5C7DAB6E66F98A
3. 未动态验证
4. 示例账号、编号、金额与日期是本条测试数据；执行前按前置条件准备，未填写的产品决策不得自行假定。</x:v>
      </x:c>
    </x:row>
    <x:row r="274" ht="160" customHeight="1">
      <x:c r="A274" s="10" t="n">
        <x:v>273</x:v>
      </x:c>
      <x:c r="B274" s="10" t="str">
        <x:v>GUILD-0273</x:v>
      </x:c>
      <x:c r="C274" s="10" t="str">
        <x:v>审批管理</x:v>
      </x:c>
      <x:c r="D274" s="10" t="str">
        <x:v>入会申请详情（公会长）</x:v>
      </x:c>
      <x:c r="E274" s="10" t="str">
        <x:v>功能需求</x:v>
      </x:c>
      <x:c r="F274" s="10" t="str">
        <x:v>P2</x:v>
      </x:c>
      <x:c r="G274" s="9" t="str">
        <x:v>验证查看认证证件正面</x:v>
      </x:c>
      <x:c r="H274" s="9" t="str">
        <x:v>认证材料对应原图</x:v>
      </x:c>
      <x:c r="I274" s="9" t="str">
        <x:v>1. 公会长为本条执行者
2. 当前公会甲有申请人或主播乙，已提供清晰的本人照片甲、证件正面乙、反面丙</x:v>
      </x:c>
      <x:c r="J274" s="9" t="str">
        <x:v>1. 打开入会申请详情
2. 点击证件正面</x:v>
      </x:c>
      <x:c r="K274" s="9" t="str">
        <x:v>展示对应测试图片乙的大图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 2110 行；REQ-ead1380c96ec、第 2111 行；REQ-f6891ba15597、第 2120 行；REQ-20fd4dfde21d、第 2105 行
2. 规则：BR-9FD803B5F1374C
3. 未动态验证
4. 示例账号、编号、金额与日期是本条测试数据；执行前按前置条件准备，未填写的产品决策不得自行假定。</x:v>
      </x:c>
    </x:row>
    <x:row r="275" ht="160" customHeight="1">
      <x:c r="A275" s="10" t="n">
        <x:v>274</x:v>
      </x:c>
      <x:c r="B275" s="10" t="str">
        <x:v>GUILD-0274</x:v>
      </x:c>
      <x:c r="C275" s="10" t="str">
        <x:v>审批管理</x:v>
      </x:c>
      <x:c r="D275" s="10" t="str">
        <x:v>入会申请详情（公会长）</x:v>
      </x:c>
      <x:c r="E275" s="10" t="str">
        <x:v>功能需求</x:v>
      </x:c>
      <x:c r="F275" s="10" t="str">
        <x:v>P2</x:v>
      </x:c>
      <x:c r="G275" s="9" t="str">
        <x:v>验证查看认证证件反面</x:v>
      </x:c>
      <x:c r="H275" s="9" t="str">
        <x:v>认证材料对应原图</x:v>
      </x:c>
      <x:c r="I275" s="9" t="str">
        <x:v>1. 公会长为本条执行者
2. 当前公会甲有申请人或主播乙，已提供清晰的本人照片甲、证件正面乙、反面丙</x:v>
      </x:c>
      <x:c r="J275" s="9" t="str">
        <x:v>1. 打开入会申请详情
2. 点击证件反面</x:v>
      </x:c>
      <x:c r="K275" s="9" t="str">
        <x:v>展示对应测试图片丙的大图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来源（当前证据）：liveshow-proto/MainBasis/统一需求文档.md；位置：第 2110 行；REQ-ead1380c96ec、第 2111 行；REQ-f6891ba15597、第 2120 行；REQ-20fd4dfde21d、第 2105 行
2. 规则：BR-39CBA67DC3A3FD
3. 未动态验证
4. 示例账号、编号、金额与日期是本条测试数据；执行前按前置条件准备，未填写的产品决策不得自行假定。</x:v>
      </x:c>
    </x:row>
    <x:row r="276" ht="145" customHeight="1">
      <x:c r="A276" s="10" t="n">
        <x:v>275</x:v>
      </x:c>
      <x:c r="B276" s="10" t="str">
        <x:v>GUILD-0275</x:v>
      </x:c>
      <x:c r="C276" s="10" t="str">
        <x:v>主播管理</x:v>
      </x:c>
      <x:c r="D276" s="10" t="str">
        <x:v>主播主页（公会长）</x:v>
      </x:c>
      <x:c r="E276" s="10" t="str">
        <x:v>功能需求</x:v>
      </x:c>
      <x:c r="F276" s="10" t="str">
        <x:v>P2</x:v>
      </x:c>
      <x:c r="G276" s="9" t="str">
        <x:v>验证查看认证本人照片</x:v>
      </x:c>
      <x:c r="H276" s="9" t="str">
        <x:v>认证材料对应原图</x:v>
      </x:c>
      <x:c r="I276" s="9" t="str">
        <x:v>1. 公会长为本条执行者
2. 当前公会甲有申请人或主播乙，已提供清晰的本人照片甲、证件正面乙、反面丙</x:v>
      </x:c>
      <x:c r="J276" s="9" t="str">
        <x:v>1. 打开主播主页
2. 点击本人照片</x:v>
      </x:c>
      <x:c r="K276" s="9" t="str">
        <x:v>展示对应测试图片甲的大图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来源（当前证据）：liveshow-proto/MainBasis/统一需求文档.md；位置：第 2201 行；REQ-317007b56c63、第 2218 行；REQ-bcccb9b4d7e1、第 2195 行
2. 规则：BR-A0EF30716EB1F2
3. 未动态验证
4. 示例账号、编号、金额与日期是本条测试数据；执行前按前置条件准备，未填写的产品决策不得自行假定。</x:v>
      </x:c>
    </x:row>
    <x:row r="277" ht="145" customHeight="1">
      <x:c r="A277" s="10" t="n">
        <x:v>276</x:v>
      </x:c>
      <x:c r="B277" s="10" t="str">
        <x:v>GUILD-0276</x:v>
      </x:c>
      <x:c r="C277" s="10" t="str">
        <x:v>主播管理</x:v>
      </x:c>
      <x:c r="D277" s="10" t="str">
        <x:v>主播主页（公会长）</x:v>
      </x:c>
      <x:c r="E277" s="10" t="str">
        <x:v>功能需求</x:v>
      </x:c>
      <x:c r="F277" s="10" t="str">
        <x:v>P2</x:v>
      </x:c>
      <x:c r="G277" s="9" t="str">
        <x:v>验证查看认证证件正面</x:v>
      </x:c>
      <x:c r="H277" s="9" t="str">
        <x:v>认证材料对应原图</x:v>
      </x:c>
      <x:c r="I277" s="9" t="str">
        <x:v>1. 公会长为本条执行者
2. 当前公会甲有申请人或主播乙，已提供清晰的本人照片甲、证件正面乙、反面丙</x:v>
      </x:c>
      <x:c r="J277" s="9" t="str">
        <x:v>1. 打开主播主页
2. 点击证件正面</x:v>
      </x:c>
      <x:c r="K277" s="9" t="str">
        <x:v>展示对应测试图片乙的大图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来源（当前证据）：liveshow-proto/MainBasis/统一需求文档.md；位置：第 2201 行；REQ-317007b56c63、第 2218 行；REQ-bcccb9b4d7e1、第 2195 行
2. 规则：BR-E017D7F34CA21C
3. 未动态验证
4. 示例账号、编号、金额与日期是本条测试数据；执行前按前置条件准备，未填写的产品决策不得自行假定。</x:v>
      </x:c>
    </x:row>
    <x:row r="278" ht="145" customHeight="1">
      <x:c r="A278" s="10" t="n">
        <x:v>277</x:v>
      </x:c>
      <x:c r="B278" s="10" t="str">
        <x:v>GUILD-0277</x:v>
      </x:c>
      <x:c r="C278" s="10" t="str">
        <x:v>主播管理</x:v>
      </x:c>
      <x:c r="D278" s="10" t="str">
        <x:v>主播主页（公会长）</x:v>
      </x:c>
      <x:c r="E278" s="10" t="str">
        <x:v>功能需求</x:v>
      </x:c>
      <x:c r="F278" s="10" t="str">
        <x:v>P2</x:v>
      </x:c>
      <x:c r="G278" s="9" t="str">
        <x:v>验证查看认证证件反面</x:v>
      </x:c>
      <x:c r="H278" s="9" t="str">
        <x:v>认证材料对应原图</x:v>
      </x:c>
      <x:c r="I278" s="9" t="str">
        <x:v>1. 公会长为本条执行者
2. 当前公会甲有申请人或主播乙，已提供清晰的本人照片甲、证件正面乙、反面丙</x:v>
      </x:c>
      <x:c r="J278" s="9" t="str">
        <x:v>1. 打开主播主页
2. 点击证件反面</x:v>
      </x:c>
      <x:c r="K278" s="9" t="str">
        <x:v>展示对应测试图片丙的大图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来源（当前证据）：liveshow-proto/MainBasis/统一需求文档.md；位置：第 2201 行；REQ-317007b56c63、第 2218 行；REQ-bcccb9b4d7e1、第 2195 行
2. 规则：BR-115E63DB13B57B
3. 未动态验证
4. 示例账号、编号、金额与日期是本条测试数据；执行前按前置条件准备，未填写的产品决策不得自行假定。</x:v>
      </x:c>
    </x:row>
    <x:row r="279" ht="145" customHeight="1">
      <x:c r="A279" s="10" t="n">
        <x:v>278</x:v>
      </x:c>
      <x:c r="B279" s="10" t="str">
        <x:v>GUILD-0278</x:v>
      </x:c>
      <x:c r="C279" s="10" t="str">
        <x:v>主播管理</x:v>
      </x:c>
      <x:c r="D279" s="10" t="str">
        <x:v>主播主页（公会长）</x:v>
      </x:c>
      <x:c r="E279" s="10" t="str">
        <x:v>功能需求</x:v>
      </x:c>
      <x:c r="F279" s="10" t="str">
        <x:v>P2</x:v>
      </x:c>
      <x:c r="G279" s="9" t="str">
        <x:v>验证粉丝数取当前关注人数</x:v>
      </x:c>
      <x:c r="H279" s="9" t="str">
        <x:v>当前粉丝非历史涨粉</x:v>
      </x:c>
      <x:c r="I279" s="9" t="str">
        <x:v>1. 公会长为本条执行者
2. 公会长甲查看本公会主播乙，当前范围只有本条列明的记录
3. 丙丁当前关注乙，戊以前关注后已取关；历史新增粉丝累计10人</x:v>
      </x:c>
      <x:c r="J279" s="9" t="str">
        <x:v>1. 打开主播乙详情
2. 查看粉丝数</x:v>
      </x:c>
      <x:c r="K279" s="9" t="str">
        <x:v>粉丝数显示2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来源（当前证据）：liveshow-proto/MainBasis/统一需求文档.md；位置：第 2209 行；REQ-08945282e23d、第 2219 行；REQ-e47c32840ee5、第 2195 行
2. 规则：BR-93FC8DCC142C39
3. 未动态验证
4. 示例账号、编号、金额与日期是本条测试数据；执行前按前置条件准备，未填写的产品决策不得自行假定。</x:v>
      </x:c>
    </x:row>
    <x:row r="280" ht="130" customHeight="1">
      <x:c r="A280" s="10" t="n">
        <x:v>279</x:v>
      </x:c>
      <x:c r="B280" s="10" t="str">
        <x:v>GUILD-0279</x:v>
      </x:c>
      <x:c r="C280" s="10" t="str">
        <x:v>主播管理</x:v>
      </x:c>
      <x:c r="D280" s="10" t="str">
        <x:v>主播主页（公会长）</x:v>
      </x:c>
      <x:c r="E280" s="10" t="str">
        <x:v>功能需求</x:v>
      </x:c>
      <x:c r="F280" s="10" t="str">
        <x:v>P2</x:v>
      </x:c>
      <x:c r="G280" s="9" t="str">
        <x:v>验证直播次数统计已完成场次</x:v>
      </x:c>
      <x:c r="H280" s="9" t="str">
        <x:v>已完成场次计数</x:v>
      </x:c>
      <x:c r="I280" s="9" t="str">
        <x:v>1. 公会长为本条执行者
2. 公会长甲查看本公会主播乙，当前范围只有本条列明的记录
3. 乙已完成S001和S002，S003仍在进行中</x:v>
      </x:c>
      <x:c r="J280" s="9" t="str">
        <x:v>1. 打开主播乙详情
2. 查看直播次数</x:v>
      </x:c>
      <x:c r="K280" s="9" t="str">
        <x:v>直播次数显示2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来源（当前证据）：liveshow-proto/MainBasis/统一需求文档.md；位置：第 2211 行；REQ-71267e7ac9bf、第 2195 行
2. 规则：BR-8E929F778C58D2
3. 未动态验证
4. 示例账号、编号、金额与日期是本条测试数据；执行前按前置条件准备，未填写的产品决策不得自行假定。</x:v>
      </x:c>
    </x:row>
    <x:row r="281" ht="130" customHeight="1">
      <x:c r="A281" s="10" t="n">
        <x:v>280</x:v>
      </x:c>
      <x:c r="B281" s="10" t="str">
        <x:v>GUILD-0280</x:v>
      </x:c>
      <x:c r="C281" s="10" t="str">
        <x:v>主播管理</x:v>
      </x:c>
      <x:c r="D281" s="10" t="str">
        <x:v>主播主页（公会长）</x:v>
      </x:c>
      <x:c r="E281" s="10" t="str">
        <x:v>功能需求</x:v>
      </x:c>
      <x:c r="F281" s="10" t="str">
        <x:v>P2</x:v>
      </x:c>
      <x:c r="G281" s="9" t="str">
        <x:v>验证直播时长统计已完成场次</x:v>
      </x:c>
      <x:c r="H281" s="9" t="str">
        <x:v>详情历史完成时长</x:v>
      </x:c>
      <x:c r="I281" s="9" t="str">
        <x:v>1. 公会长为本条执行者
2. 公会长甲查看本公会主播乙，当前范围只有本条列明的记录
3. S001完成1小时、S002完成2小时；进行中S003当前1小时</x:v>
      </x:c>
      <x:c r="J281" s="9" t="str">
        <x:v>1. 打开主播乙详情
2. 查看直播时长</x:v>
      </x:c>
      <x:c r="K281" s="9" t="str">
        <x:v>直播时长显示3小时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 2212 行；REQ-32a21ffeb6ce、第 2195 行
2. 规则：BR-0EC3274C386459
3. 未动态验证
4. 示例账号、编号、金额与日期是本条测试数据；执行前按前置条件准备，未填写的产品决策不得自行假定。</x:v>
      </x:c>
    </x:row>
    <x:row r="282" ht="130" customHeight="1">
      <x:c r="A282" s="10" t="n">
        <x:v>281</x:v>
      </x:c>
      <x:c r="B282" s="10" t="str">
        <x:v>GUILD-0281</x:v>
      </x:c>
      <x:c r="C282" s="10" t="str">
        <x:v>主播管理</x:v>
      </x:c>
      <x:c r="D282" s="10" t="str">
        <x:v>主播主页（公会长）</x:v>
      </x:c>
      <x:c r="E282" s="10" t="str">
        <x:v>功能需求</x:v>
      </x:c>
      <x:c r="F282" s="10" t="str">
        <x:v>P2</x:v>
      </x:c>
      <x:c r="G282" s="9" t="str">
        <x:v>验证累计违规包含两类违规</x:v>
      </x:c>
      <x:c r="H282" s="9" t="str">
        <x:v>累计违规</x:v>
      </x:c>
      <x:c r="I282" s="9" t="str">
        <x:v>1. 公会长为本条执行者
2. 公会长甲查看本公会主播乙，当前范围只有本条列明的记录
3. 乙有2条直播间违规和1条账号违规</x:v>
      </x:c>
      <x:c r="J282" s="9" t="str">
        <x:v>1. 打开主播乙详情
2. 查看累计违规</x:v>
      </x:c>
      <x:c r="K282" s="9" t="str">
        <x:v>累计违规 = 3 次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 2213 行；REQ-8fd5344097e4、第 2195 行
2. 规则：BR-4C248C6C7FDC56
3. 未动态验证
4. 示例账号、编号、金额与日期是本条测试数据；执行前按前置条件准备，未填写的产品决策不得自行假定。</x:v>
      </x:c>
    </x:row>
    <x:row r="283" ht="130" customHeight="1">
      <x:c r="A283" s="10" t="n">
        <x:v>282</x:v>
      </x:c>
      <x:c r="B283" s="10" t="str">
        <x:v>GUILD-0282</x:v>
      </x:c>
      <x:c r="C283" s="10" t="str">
        <x:v>数据与收益</x:v>
      </x:c>
      <x:c r="D283" s="10" t="str">
        <x:v>主播数据（公会长）</x:v>
      </x:c>
      <x:c r="E283" s="10" t="str">
        <x:v>功能需求</x:v>
      </x:c>
      <x:c r="F283" s="10" t="str">
        <x:v>P2</x:v>
      </x:c>
      <x:c r="G283" s="9" t="str">
        <x:v>验证未开播的主播标记</x:v>
      </x:c>
      <x:c r="H283" s="9" t="str">
        <x:v>当前开播标记</x:v>
      </x:c>
      <x:c r="I283" s="9" t="str">
        <x:v>1. 公会长为本条执行者
2. 当前公会为甲，主播乙属于甲
3. 乙当前未开播</x:v>
      </x:c>
      <x:c r="J283" s="9" t="str">
        <x:v>1. 打开主播乙数据</x:v>
      </x:c>
      <x:c r="K283" s="9" t="str">
        <x:v>隐藏直播中标记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 2182 行；REQ-a019a7eca4c0、第 2178 行
2. 规则：BR-DEFAE2016926DF
3. 未动态验证
4. 示例账号、编号、金额与日期是本条测试数据；执行前按前置条件准备，未填写的产品决策不得自行假定。</x:v>
      </x:c>
    </x:row>
    <x:row r="284" ht="130" customHeight="1">
      <x:c r="A284" s="10" t="n">
        <x:v>283</x:v>
      </x:c>
      <x:c r="B284" s="10" t="str">
        <x:v>GUILD-0283</x:v>
      </x:c>
      <x:c r="C284" s="10" t="str">
        <x:v>数据与收益</x:v>
      </x:c>
      <x:c r="D284" s="10" t="str">
        <x:v>主播数据（公会长）</x:v>
      </x:c>
      <x:c r="E284" s="10" t="str">
        <x:v>功能需求</x:v>
      </x:c>
      <x:c r="F284" s="10" t="str">
        <x:v>P2</x:v>
      </x:c>
      <x:c r="G284" s="9" t="str">
        <x:v>验证直播中的主播标记</x:v>
      </x:c>
      <x:c r="H284" s="9" t="str">
        <x:v>当前开播标记</x:v>
      </x:c>
      <x:c r="I284" s="9" t="str">
        <x:v>1. 公会长为本条执行者
2. 当前公会为甲，主播乙属于甲
3. 乙当前正在直播</x:v>
      </x:c>
      <x:c r="J284" s="9" t="str">
        <x:v>1. 打开主播乙数据</x:v>
      </x:c>
      <x:c r="K284" s="9" t="str">
        <x:v>显示直播中标记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 2182 行；REQ-a019a7eca4c0、第 2178 行
2. 规则：BR-D4D04B998A4C55
3. 未动态验证
4. 示例账号、编号、金额与日期是本条测试数据；执行前按前置条件准备，未填写的产品决策不得自行假定。</x:v>
      </x:c>
    </x:row>
    <x:row r="285" ht="130" customHeight="1">
      <x:c r="A285" s="10" t="n">
        <x:v>284</x:v>
      </x:c>
      <x:c r="B285" s="10" t="str">
        <x:v>GUILD-0284</x:v>
      </x:c>
      <x:c r="C285" s="10" t="str">
        <x:v>数据与收益</x:v>
      </x:c>
      <x:c r="D285" s="10" t="str">
        <x:v>主播数据（公会长）</x:v>
      </x:c>
      <x:c r="E285" s="10" t="str">
        <x:v>功能需求</x:v>
      </x:c>
      <x:c r="F285" s="10" t="str">
        <x:v>P2</x:v>
      </x:c>
      <x:c r="G285" s="9" t="str">
        <x:v>验证日数据有效直播179分钟</x:v>
      </x:c>
      <x:c r="H285" s="9" t="str">
        <x:v>有效天状态标记</x:v>
      </x:c>
      <x:c r="I285" s="9" t="str">
        <x:v>1. 公会长为本条执行者
2. 当前公会为甲，主播乙属于甲
3. 乙目标日累计有效直播179分钟</x:v>
      </x:c>
      <x:c r="J285" s="9" t="str">
        <x:v>1. 打开主播乙数据
2. 查看目标日数据</x:v>
      </x:c>
      <x:c r="K285" s="9" t="str">
        <x:v>目标日显示未达标标记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 2187 行；REQ-5efb27f48e7f、第 2178 行
2. 规则：BR-C33C2CD87D36C9
3. 未动态验证
4. 示例账号、编号、金额与日期是本条测试数据；执行前按前置条件准备，未填写的产品决策不得自行假定。</x:v>
      </x:c>
    </x:row>
    <x:row r="286" ht="130" customHeight="1">
      <x:c r="A286" s="10" t="n">
        <x:v>285</x:v>
      </x:c>
      <x:c r="B286" s="10" t="str">
        <x:v>GUILD-0285</x:v>
      </x:c>
      <x:c r="C286" s="10" t="str">
        <x:v>数据与收益</x:v>
      </x:c>
      <x:c r="D286" s="10" t="str">
        <x:v>主播数据（公会长）</x:v>
      </x:c>
      <x:c r="E286" s="10" t="str">
        <x:v>功能需求</x:v>
      </x:c>
      <x:c r="F286" s="10" t="str">
        <x:v>P2</x:v>
      </x:c>
      <x:c r="G286" s="9" t="str">
        <x:v>验证日数据有效直播180分钟</x:v>
      </x:c>
      <x:c r="H286" s="9" t="str">
        <x:v>有效天状态标记</x:v>
      </x:c>
      <x:c r="I286" s="9" t="str">
        <x:v>1. 公会长为本条执行者
2. 当前公会为甲，主播乙属于甲
3. 乙目标日累计有效直播180分钟</x:v>
      </x:c>
      <x:c r="J286" s="9" t="str">
        <x:v>1. 打开主播乙数据
2. 查看目标日数据</x:v>
      </x:c>
      <x:c r="K286" s="9" t="str">
        <x:v>目标日显示达标标记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 2187 行；REQ-5efb27f48e7f、第 2178 行
2. 规则：BR-FC8695C00925C2
3. 未动态验证
4. 示例账号、编号、金额与日期是本条测试数据；执行前按前置条件准备，未填写的产品决策不得自行假定。</x:v>
      </x:c>
    </x:row>
    <x:row r="287" ht="130" customHeight="1">
      <x:c r="A287" s="10" t="n">
        <x:v>286</x:v>
      </x:c>
      <x:c r="B287" s="10" t="str">
        <x:v>GUILD-0286</x:v>
      </x:c>
      <x:c r="C287" s="10" t="str">
        <x:v>数据与收益</x:v>
      </x:c>
      <x:c r="D287" s="10" t="str">
        <x:v>主播数据（公会长）</x:v>
      </x:c>
      <x:c r="E287" s="10" t="str">
        <x:v>功能需求</x:v>
      </x:c>
      <x:c r="F287" s="10" t="str">
        <x:v>P2</x:v>
      </x:c>
      <x:c r="G287" s="9" t="str">
        <x:v>验证日数据有效直播181分钟</x:v>
      </x:c>
      <x:c r="H287" s="9" t="str">
        <x:v>有效天状态标记</x:v>
      </x:c>
      <x:c r="I287" s="9" t="str">
        <x:v>1. 公会长为本条执行者
2. 当前公会为甲，主播乙属于甲
3. 乙目标日累计有效直播181分钟</x:v>
      </x:c>
      <x:c r="J287" s="9" t="str">
        <x:v>1. 打开主播乙数据
2. 查看目标日数据</x:v>
      </x:c>
      <x:c r="K287" s="9" t="str">
        <x:v>目标日显示达标标记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 2187 行；REQ-5efb27f48e7f、第 2178 行
2. 规则：BR-77D690E247EE2F
3. 未动态验证
4. 示例账号、编号、金额与日期是本条测试数据；执行前按前置条件准备，未填写的产品决策不得自行假定。</x:v>
      </x:c>
    </x:row>
    <x:row r="288" ht="130" customHeight="1">
      <x:c r="A288" s="10" t="n">
        <x:v>287</x:v>
      </x:c>
      <x:c r="B288" s="10" t="str">
        <x:v>GUILD-0287</x:v>
      </x:c>
      <x:c r="C288" s="10" t="str">
        <x:v>数据与收益</x:v>
      </x:c>
      <x:c r="D288" s="10" t="str">
        <x:v>主播数据（公会长）</x:v>
      </x:c>
      <x:c r="E288" s="10" t="str">
        <x:v>功能需求</x:v>
      </x:c>
      <x:c r="F288" s="10" t="str">
        <x:v>P2</x:v>
      </x:c>
      <x:c r="G288" s="9" t="str">
        <x:v>验证从日数据进入直播记录</x:v>
      </x:c>
      <x:c r="H288" s="9" t="str">
        <x:v>数据明细范围传递</x:v>
      </x:c>
      <x:c r="I288" s="9" t="str">
        <x:v>1. 公会长为本条执行者
2. 当前公会为甲，主播乙属于甲
3. 乙所选日期09/01有记录</x:v>
      </x:c>
      <x:c r="J288" s="9" t="str">
        <x:v>1. 打开主播乙数据
2. 点击09/01日数据行</x:v>
      </x:c>
      <x:c r="K288" s="9" t="str">
        <x:v>直播记录范围为主播乙的09/01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 2190 行；REQ-a400bf162d15、第 2178 行
2. 规则：BR-DBA371CBAD528D
3. 未动态验证
4. 示例账号、编号、金额与日期是本条测试数据；执行前按前置条件准备，未填写的产品决策不得自行假定。</x:v>
      </x:c>
    </x:row>
    <x:row r="289" ht="130" customHeight="1">
      <x:c r="A289" s="10" t="n">
        <x:v>288</x:v>
      </x:c>
      <x:c r="B289" s="10" t="str">
        <x:v>GUILD-0288</x:v>
      </x:c>
      <x:c r="C289" s="10" t="str">
        <x:v>数据与收益</x:v>
      </x:c>
      <x:c r="D289" s="10" t="str">
        <x:v>主播数据（公会长）</x:v>
      </x:c>
      <x:c r="E289" s="10" t="str">
        <x:v>功能需求</x:v>
      </x:c>
      <x:c r="F289" s="10" t="str">
        <x:v>P2</x:v>
      </x:c>
      <x:c r="G289" s="9" t="str">
        <x:v>验证从月数据进入直播记录</x:v>
      </x:c>
      <x:c r="H289" s="9" t="str">
        <x:v>数据明细范围传递</x:v>
      </x:c>
      <x:c r="I289" s="9" t="str">
        <x:v>1. 公会长为本条执行者
2. 当前公会为甲，主播乙属于甲
3. 乙所选月份9月有记录</x:v>
      </x:c>
      <x:c r="J289" s="9" t="str">
        <x:v>1. 打开主播乙数据
2. 点击9月月数据行</x:v>
      </x:c>
      <x:c r="K289" s="9" t="str">
        <x:v>直播记录范围为主播乙的9月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 2190 行；REQ-a400bf162d15、第 2178 行
2. 规则：BR-CD2C12A894C50F
3. 未动态验证
4. 示例账号、编号、金额与日期是本条测试数据；执行前按前置条件准备，未填写的产品决策不得自行假定。</x:v>
      </x:c>
    </x:row>
    <x:row r="290" ht="130" customHeight="1">
      <x:c r="A290" s="10" t="n">
        <x:v>289</x:v>
      </x:c>
      <x:c r="B290" s="10" t="str">
        <x:v>GUILD-0289</x:v>
      </x:c>
      <x:c r="C290" s="10" t="str">
        <x:v>运营管理</x:v>
      </x:c>
      <x:c r="D290" s="10" t="str">
        <x:v>运营账号（公会长）</x:v>
      </x:c>
      <x:c r="E290" s="10" t="str">
        <x:v>功能需求</x:v>
      </x:c>
      <x:c r="F290" s="10" t="str">
        <x:v>P2</x:v>
      </x:c>
      <x:c r="G290" s="9" t="str">
        <x:v>验证公会运营账号余额累加</x:v>
      </x:c>
      <x:c r="H290" s="9" t="str">
        <x:v>账户余额累计</x:v>
      </x:c>
      <x:c r="I290" s="9" t="str">
        <x:v>1. 公会长为本条执行者
2. 公会甲仅有运营账号乙丙，乙当前余额100、丙200虚拟金币</x:v>
      </x:c>
      <x:c r="J290" s="9" t="str">
        <x:v>1. 打开运营账号
2. 查看账户余额累计</x:v>
      </x:c>
      <x:c r="K290" s="9" t="str">
        <x:v>账户余额累计 = 300 虚拟金币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 2269 行；REQ-78fbc0a52b64、第 2261 行
2. 规则：BR-C49056F3E22FEE
3. 未动态验证
4. 示例账号、编号、金额与日期是本条测试数据；执行前按前置条件准备，未填写的产品决策不得自行假定。</x:v>
      </x:c>
    </x:row>
    <x:row r="291" ht="160" customHeight="1">
      <x:c r="A291" s="10" t="n">
        <x:v>290</x:v>
      </x:c>
      <x:c r="B291" s="10" t="str">
        <x:v>GUILD-0290</x:v>
      </x:c>
      <x:c r="C291" s="10" t="str">
        <x:v>运营管理</x:v>
      </x:c>
      <x:c r="D291" s="10" t="str">
        <x:v>运营账号（公会长）</x:v>
      </x:c>
      <x:c r="E291" s="10" t="str">
        <x:v>功能需求</x:v>
      </x:c>
      <x:c r="F291" s="10" t="str">
        <x:v>P2</x:v>
      </x:c>
      <x:c r="G291" s="9" t="str">
        <x:v>验证公会月发放与余额分开统计</x:v>
      </x:c>
      <x:c r="H291" s="9" t="str">
        <x:v>本月已发放</x:v>
      </x:c>
      <x:c r="I291" s="9" t="str">
        <x:v>1. 公会长为本条执行者
2. 公会甲仅有运营账号乙丙，乙当前余额100、丙200虚拟金币
3. 本月给乙发放300、给丙200；两账号本月消费分别50和70</x:v>
      </x:c>
      <x:c r="J291" s="9" t="str">
        <x:v>1. 打开运营账号</x:v>
      </x:c>
      <x:c r="K291" s="9" t="str">
        <x:v>本月已发放 = 500 虚拟金币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 2267 行；REQ-106a2ab4234a、第 2268 行；REQ-629a171defa4、第 2270 行；REQ-36c672501212、第 2261 行
2. 规则：BR-4B2C29B1EB0843
3. 未动态验证
4. 示例账号、编号、金额与日期是本条测试数据；执行前按前置条件准备，未填写的产品决策不得自行假定。</x:v>
      </x:c>
    </x:row>
    <x:row r="292" ht="160" customHeight="1">
      <x:c r="A292" s="10" t="n">
        <x:v>291</x:v>
      </x:c>
      <x:c r="B292" s="10" t="str">
        <x:v>GUILD-0291</x:v>
      </x:c>
      <x:c r="C292" s="10" t="str">
        <x:v>运营管理</x:v>
      </x:c>
      <x:c r="D292" s="10" t="str">
        <x:v>运营账号（公会长）</x:v>
      </x:c>
      <x:c r="E292" s="10" t="str">
        <x:v>功能需求</x:v>
      </x:c>
      <x:c r="F292" s="10" t="str">
        <x:v>P2</x:v>
      </x:c>
      <x:c r="G292" s="9" t="str">
        <x:v>验证公会月发放与余额分开统计</x:v>
      </x:c>
      <x:c r="H292" s="9" t="str">
        <x:v>本月累计消费</x:v>
      </x:c>
      <x:c r="I292" s="9" t="str">
        <x:v>1. 公会长为本条执行者
2. 公会甲仅有运营账号乙丙，乙当前余额100、丙200虚拟金币
3. 本月给乙发放300、给丙200；两账号本月消费分别50和70</x:v>
      </x:c>
      <x:c r="J292" s="9" t="str">
        <x:v>1. 打开运营账号</x:v>
      </x:c>
      <x:c r="K292" s="9" t="str">
        <x:v>本月累计消费 = 120 虚拟金币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 2267 行；REQ-106a2ab4234a、第 2268 行；REQ-629a171defa4、第 2270 行；REQ-36c672501212、第 2261 行
2. 规则：BR-0862368155ADB7
3. 未动态验证
4. 示例账号、编号、金额与日期是本条测试数据；执行前按前置条件准备，未填写的产品决策不得自行假定。</x:v>
      </x:c>
    </x:row>
    <x:row r="293" ht="130" customHeight="1">
      <x:c r="A293" s="10" t="n">
        <x:v>292</x:v>
      </x:c>
      <x:c r="B293" s="10" t="str">
        <x:v>GUILD-0292</x:v>
      </x:c>
      <x:c r="C293" s="10" t="str">
        <x:v>运营管理</x:v>
      </x:c>
      <x:c r="D293" s="10" t="str">
        <x:v>运营账号（公会长）</x:v>
      </x:c>
      <x:c r="E293" s="10" t="str">
        <x:v>功能需求</x:v>
      </x:c>
      <x:c r="F293" s="10" t="str">
        <x:v>P2</x:v>
      </x:c>
      <x:c r="G293" s="9" t="str">
        <x:v>验证月发放剩余额度不使用账户余额</x:v>
      </x:c>
      <x:c r="H293" s="9" t="str">
        <x:v>本月剩余可发</x:v>
      </x:c>
      <x:c r="I293" s="9" t="str">
        <x:v>1. 公会长为本条执行者
2. 公会甲仅有运营账号乙丙，乙当前余额100、丙200虚拟金币
3. 公会甲本月累计发放上限1000，已成功发放500，发放后已消费200</x:v>
      </x:c>
      <x:c r="J293" s="9" t="str">
        <x:v>1. 打开运营账号
2. 查看本月剩余可发</x:v>
      </x:c>
      <x:c r="K293" s="9" t="str">
        <x:v>本月剩余可发 = 500 虚拟金币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 2268 行；REQ-629a171defa4、第 2261 行
2. 规则：BR-656BDE9C140872
3. 未动态验证
4. 示例账号、编号、金额与日期是本条测试数据；执行前按前置条件准备，未填写的产品决策不得自行假定。</x:v>
      </x:c>
    </x:row>
    <x:row r="294" ht="130" customHeight="1">
      <x:c r="A294" s="10" t="n">
        <x:v>293</x:v>
      </x:c>
      <x:c r="B294" s="10" t="str">
        <x:v>GUILD-0293</x:v>
      </x:c>
      <x:c r="C294" s="10" t="str">
        <x:v>运营管理</x:v>
      </x:c>
      <x:c r="D294" s="10" t="str">
        <x:v>送礼记录（公会长）</x:v>
      </x:c>
      <x:c r="E294" s="10" t="str">
        <x:v>功能需求</x:v>
      </x:c>
      <x:c r="F294" s="10" t="str">
        <x:v>P2</x:v>
      </x:c>
      <x:c r="G294" s="9" t="str">
        <x:v>验证运营送礼总次数按成功笔数</x:v>
      </x:c>
      <x:c r="H294" s="9" t="str">
        <x:v>送礼次数不是礼物件数</x:v>
      </x:c>
      <x:c r="I294" s="9" t="str">
        <x:v>1. 公会长为本条执行者
2. 当前公会甲，选中运营账号乙；所选日仅有普通礼物两笔成功赠送，单价100数量2、单价200数量3</x:v>
      </x:c>
      <x:c r="J294" s="9" t="str">
        <x:v>1. 打开送礼记录
2. 查看总送礼次数</x:v>
      </x:c>
      <x:c r="K294" s="9" t="str">
        <x:v>总送礼次数显示2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 2320 行；REQ-9d12cfa29c07、第 2309 行
2. 规则：BR-18505D7FCFBAB4
3. 未动态验证
4. 示例账号、编号、金额与日期是本条测试数据；执行前按前置条件准备，未填写的产品决策不得自行假定。</x:v>
      </x:c>
    </x:row>
    <x:row r="295" ht="130" customHeight="1">
      <x:c r="A295" s="10" t="n">
        <x:v>294</x:v>
      </x:c>
      <x:c r="B295" s="10" t="str">
        <x:v>GUILD-0294</x:v>
      </x:c>
      <x:c r="C295" s="10" t="str">
        <x:v>运营管理</x:v>
      </x:c>
      <x:c r="D295" s="10" t="str">
        <x:v>送礼记录（公会长）</x:v>
      </x:c>
      <x:c r="E295" s="10" t="str">
        <x:v>功能需求</x:v>
      </x:c>
      <x:c r="F295" s="10" t="str">
        <x:v>P2</x:v>
      </x:c>
      <x:c r="G295" s="9" t="str">
        <x:v>验证运营送礼总消费累加各笔金额</x:v>
      </x:c>
      <x:c r="H295" s="9" t="str">
        <x:v>总消费金币</x:v>
      </x:c>
      <x:c r="I295" s="9" t="str">
        <x:v>1. 公会长为本条执行者
2. 当前公会甲，选中运营账号乙；所选日仅有普通礼物两笔成功赠送，单价100数量2、单价200数量3</x:v>
      </x:c>
      <x:c r="J295" s="9" t="str">
        <x:v>1. 打开送礼记录
2. 查看总消费金币</x:v>
      </x:c>
      <x:c r="K295" s="9" t="str">
        <x:v>总消费金币 = 800 虚拟金币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 2321 行；REQ-18e1e75f6ebd、第 2309 行
2. 规则：BR-5FC388A1DBDF3D
3. 未动态验证
4. 示例账号、编号、金额与日期是本条测试数据；执行前按前置条件准备，未填写的产品决策不得自行假定。</x:v>
      </x:c>
    </x:row>
    <x:row r="296" ht="130" customHeight="1">
      <x:c r="A296" s="10" t="n">
        <x:v>295</x:v>
      </x:c>
      <x:c r="B296" s="10" t="str">
        <x:v>GUILD-0295</x:v>
      </x:c>
      <x:c r="C296" s="10" t="str">
        <x:v>运营管理</x:v>
      </x:c>
      <x:c r="D296" s="10" t="str">
        <x:v>选择运营账号（公会长）</x:v>
      </x:c>
      <x:c r="E296" s="10" t="str">
        <x:v>功能需求</x:v>
      </x:c>
      <x:c r="F296" s="10" t="str">
        <x:v>P2</x:v>
      </x:c>
      <x:c r="G296" s="9" t="str">
        <x:v>验证搜索结果数量与已选数量分别统计</x:v>
      </x:c>
      <x:c r="H296" s="9" t="str">
        <x:v>当前检索结果数量</x:v>
      </x:c>
      <x:c r="I296" s="9" t="str">
        <x:v>1. 公会长为本条执行者
2. 当前公会甲拥有可选对象“测试乙”和“测试丙”；已选对象为测试乙</x:v>
      </x:c>
      <x:c r="J296" s="9" t="str">
        <x:v>1. 打开选择运营账号
2. 输入测试</x:v>
      </x:c>
      <x:c r="K296" s="9" t="str">
        <x:v>搜索结果数量显示2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 2329 行；REQ-93b398b52072、第 2326 行
2. 规则：BR-40C657930D0EFA
3. 未动态验证
4. 示例账号、编号、金额与日期是本条测试数据；执行前按前置条件准备，未填写的产品决策不得自行假定。</x:v>
      </x:c>
    </x:row>
    <x:row r="297" ht="130" customHeight="1">
      <x:c r="A297" s="10" t="n">
        <x:v>296</x:v>
      </x:c>
      <x:c r="B297" s="10" t="str">
        <x:v>GUILD-0296</x:v>
      </x:c>
      <x:c r="C297" s="10" t="str">
        <x:v>运营管理</x:v>
      </x:c>
      <x:c r="D297" s="10" t="str">
        <x:v>选择运营账号（公会长）</x:v>
      </x:c>
      <x:c r="E297" s="10" t="str">
        <x:v>功能需求</x:v>
      </x:c>
      <x:c r="F297" s="10" t="str">
        <x:v>P2</x:v>
      </x:c>
      <x:c r="G297" s="9" t="str">
        <x:v>验证搜索结果数量与已选数量分别统计</x:v>
      </x:c>
      <x:c r="H297" s="9" t="str">
        <x:v>跨检索的已选数量</x:v>
      </x:c>
      <x:c r="I297" s="9" t="str">
        <x:v>1. 公会长为本条执行者
2. 当前公会甲拥有可选对象“测试乙”和“测试丙”；已选对象为测试乙</x:v>
      </x:c>
      <x:c r="J297" s="9" t="str">
        <x:v>1. 打开选择运营账号
2. 输入测试</x:v>
      </x:c>
      <x:c r="K297" s="9" t="str">
        <x:v>已选数量显示1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 2329 行；REQ-93b398b52072、第 2326 行
2. 规则：BR-60C5CD7B9773D0
3. 未动态验证
4. 示例账号、编号、金额与日期是本条测试数据；执行前按前置条件准备，未填写的产品决策不得自行假定。</x:v>
      </x:c>
    </x:row>
    <x:row r="298" ht="130" customHeight="1">
      <x:c r="A298" s="10" t="n">
        <x:v>297</x:v>
      </x:c>
      <x:c r="B298" s="10" t="str">
        <x:v>GUILD-0297</x:v>
      </x:c>
      <x:c r="C298" s="10" t="str">
        <x:v>数据与收益</x:v>
      </x:c>
      <x:c r="D298" s="10" t="str">
        <x:v>选择主播（公会长）</x:v>
      </x:c>
      <x:c r="E298" s="10" t="str">
        <x:v>功能需求</x:v>
      </x:c>
      <x:c r="F298" s="10" t="str">
        <x:v>P2</x:v>
      </x:c>
      <x:c r="G298" s="9" t="str">
        <x:v>验证搜索结果数量与已选数量分别统计</x:v>
      </x:c>
      <x:c r="H298" s="9" t="str">
        <x:v>当前检索结果数量</x:v>
      </x:c>
      <x:c r="I298" s="9" t="str">
        <x:v>1. 公会长为本条执行者
2. 当前公会甲拥有可选对象“测试乙”和“测试丙”；已选对象为测试乙</x:v>
      </x:c>
      <x:c r="J298" s="9" t="str">
        <x:v>1. 打开选择主播
2. 输入测试</x:v>
      </x:c>
      <x:c r="K298" s="9" t="str">
        <x:v>搜索结果数量显示2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 2475 行；REQ-2ab5ed661332、第 2471 行
2. 规则：BR-99B31B2D8CA6E3
3. 未动态验证
4. 示例账号、编号、金额与日期是本条测试数据；执行前按前置条件准备，未填写的产品决策不得自行假定。</x:v>
      </x:c>
    </x:row>
    <x:row r="299" ht="130" customHeight="1">
      <x:c r="A299" s="10" t="n">
        <x:v>298</x:v>
      </x:c>
      <x:c r="B299" s="10" t="str">
        <x:v>GUILD-0298</x:v>
      </x:c>
      <x:c r="C299" s="10" t="str">
        <x:v>数据与收益</x:v>
      </x:c>
      <x:c r="D299" s="10" t="str">
        <x:v>选择主播（公会长）</x:v>
      </x:c>
      <x:c r="E299" s="10" t="str">
        <x:v>功能需求</x:v>
      </x:c>
      <x:c r="F299" s="10" t="str">
        <x:v>P2</x:v>
      </x:c>
      <x:c r="G299" s="9" t="str">
        <x:v>验证搜索结果数量与已选数量分别统计</x:v>
      </x:c>
      <x:c r="H299" s="9" t="str">
        <x:v>跨检索的已选数量</x:v>
      </x:c>
      <x:c r="I299" s="9" t="str">
        <x:v>1. 公会长为本条执行者
2. 当前公会甲拥有可选对象“测试乙”和“测试丙”；已选对象为测试乙</x:v>
      </x:c>
      <x:c r="J299" s="9" t="str">
        <x:v>1. 打开选择主播
2. 输入测试</x:v>
      </x:c>
      <x:c r="K299" s="9" t="str">
        <x:v>已选数量显示1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 2475 行；REQ-2ab5ed661332、第 2471 行
2. 规则：BR-352795721848D3
3. 未动态验证
4. 示例账号、编号、金额与日期是本条测试数据；执行前按前置条件准备，未填写的产品决策不得自行假定。</x:v>
      </x:c>
    </x:row>
    <x:row r="300" ht="130" customHeight="1">
      <x:c r="A300" s="10" t="n">
        <x:v>299</x:v>
      </x:c>
      <x:c r="B300" s="10" t="str">
        <x:v>GUILD-0299</x:v>
      </x:c>
      <x:c r="C300" s="10" t="str">
        <x:v>数据与收益</x:v>
      </x:c>
      <x:c r="D300" s="10" t="str">
        <x:v>违规记录（公会长）</x:v>
      </x:c>
      <x:c r="E300" s="10" t="str">
        <x:v>功能需求</x:v>
      </x:c>
      <x:c r="F300" s="10" t="str">
        <x:v>P2</x:v>
      </x:c>
      <x:c r="G300" s="9" t="str">
        <x:v>验证违规类型使用平台配置</x:v>
      </x:c>
      <x:c r="H300" s="9" t="str">
        <x:v>违规类型配置来源</x:v>
      </x:c>
      <x:c r="I300" s="9" t="str">
        <x:v>1. 公会长为本条执行者
2. 当前公会甲，平台已配置违规类型“测试违规甲”
3. 记录V001使用测试违规甲</x:v>
      </x:c>
      <x:c r="J300" s="9" t="str">
        <x:v>1. 打开违规记录
2. 查看V001</x:v>
      </x:c>
      <x:c r="K300" s="9" t="str">
        <x:v>违规类型显示“测试违规甲”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 2407 行；REQ-e6e62d583779、第 2402 行
2. 规则：BR-66624D84F03B41
3. 未动态验证
4. 示例账号、编号、金额与日期是本条测试数据；执行前按前置条件准备，未填写的产品决策不得自行假定。</x:v>
      </x:c>
    </x:row>
    <x:row r="301" ht="130" customHeight="1">
      <x:c r="A301" s="10" t="n">
        <x:v>300</x:v>
      </x:c>
      <x:c r="B301" s="10" t="str">
        <x:v>GUILD-0300</x:v>
      </x:c>
      <x:c r="C301" s="10" t="str">
        <x:v>数据与收益</x:v>
      </x:c>
      <x:c r="D301" s="10" t="str">
        <x:v>违规记录（公会长）</x:v>
      </x:c>
      <x:c r="E301" s="10" t="str">
        <x:v>功能需求</x:v>
      </x:c>
      <x:c r="F301" s="10" t="str">
        <x:v>P2</x:v>
      </x:c>
      <x:c r="G301" s="9" t="str">
        <x:v>验证未选择主播提示补选</x:v>
      </x:c>
      <x:c r="H301" s="9" t="str">
        <x:v>违规查询主播必选</x:v>
      </x:c>
      <x:c r="I301" s="9" t="str">
        <x:v>1. 公会长为本条执行者
2. 当前公会甲，平台已配置违规类型“测试违规甲”
3. 原选主播已全部取消</x:v>
      </x:c>
      <x:c r="J301" s="9" t="str">
        <x:v>1. 打开违规记录
2. 点击查询</x:v>
      </x:c>
      <x:c r="K301" s="9" t="str">
        <x:v>提示选择主播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 2404 行；REQ-7eadb622865d、第 2402 行
2. 规则：BR-64AF6B75C8ACBB
3. 未动态验证
4. 示例账号、编号、金额与日期是本条测试数据；执行前按前置条件准备，未填写的产品决策不得自行假定。</x:v>
      </x:c>
    </x:row>
    <x:row r="302" ht="130" customHeight="1">
      <x:c r="A302" s="10" t="n">
        <x:v>301</x:v>
      </x:c>
      <x:c r="B302" s="10" t="str">
        <x:v>GUILD-0301</x:v>
      </x:c>
      <x:c r="C302" s="10" t="str">
        <x:v>数据与收益</x:v>
      </x:c>
      <x:c r="D302" s="10" t="str">
        <x:v>违规记录（公会长）</x:v>
      </x:c>
      <x:c r="E302" s="10" t="str">
        <x:v>功能需求</x:v>
      </x:c>
      <x:c r="F302" s="10" t="str">
        <x:v>P2</x:v>
      </x:c>
      <x:c r="G302" s="9" t="str">
        <x:v>验证切换直播间违规范围</x:v>
      </x:c>
      <x:c r="H302" s="9" t="str">
        <x:v>违规记录分类范围</x:v>
      </x:c>
      <x:c r="I302" s="9" t="str">
        <x:v>1. 公会长为本条执行者
2. 当前公会甲，平台已配置违规类型“测试违规甲”
3. V001为直播间违规，V002为账号违规</x:v>
      </x:c>
      <x:c r="J302" s="9" t="str">
        <x:v>1. 打开违规记录
2. 选择直播间违规</x:v>
      </x:c>
      <x:c r="K302" s="9" t="str">
        <x:v>当前列表仅包含V001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 2403 行；REQ-d7800825d926、第 2402 行
2. 规则：BR-7BBF8992B858C7
3. 未动态验证
4. 示例账号、编号、金额与日期是本条测试数据；执行前按前置条件准备，未填写的产品决策不得自行假定。</x:v>
      </x:c>
    </x:row>
    <x:row r="303" ht="130" customHeight="1">
      <x:c r="A303" s="10" t="n">
        <x:v>302</x:v>
      </x:c>
      <x:c r="B303" s="10" t="str">
        <x:v>GUILD-0302</x:v>
      </x:c>
      <x:c r="C303" s="10" t="str">
        <x:v>数据与收益</x:v>
      </x:c>
      <x:c r="D303" s="10" t="str">
        <x:v>违规记录（公会长）</x:v>
      </x:c>
      <x:c r="E303" s="10" t="str">
        <x:v>功能需求</x:v>
      </x:c>
      <x:c r="F303" s="10" t="str">
        <x:v>P2</x:v>
      </x:c>
      <x:c r="G303" s="9" t="str">
        <x:v>验证切换账号违规范围</x:v>
      </x:c>
      <x:c r="H303" s="9" t="str">
        <x:v>违规记录分类范围</x:v>
      </x:c>
      <x:c r="I303" s="9" t="str">
        <x:v>1. 公会长为本条执行者
2. 当前公会甲，平台已配置违规类型“测试违规甲”
3. V001为直播间违规，V002为账号违规</x:v>
      </x:c>
      <x:c r="J303" s="9" t="str">
        <x:v>1. 打开违规记录
2. 选择账号违规</x:v>
      </x:c>
      <x:c r="K303" s="9" t="str">
        <x:v>当前列表仅包含V002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 2403 行；REQ-d7800825d926、第 2402 行
2. 规则：BR-E38F0704614D13
3. 未动态验证
4. 示例账号、编号、金额与日期是本条测试数据；执行前按前置条件准备，未填写的产品决策不得自行假定。</x:v>
      </x:c>
    </x:row>
    <x:row r="304" ht="130" customHeight="1">
      <x:c r="A304" s="10" t="n">
        <x:v>303</x:v>
      </x:c>
      <x:c r="B304" s="10" t="str">
        <x:v>GUILD-0303</x:v>
      </x:c>
      <x:c r="C304" s="10" t="str">
        <x:v>数据与收益</x:v>
      </x:c>
      <x:c r="D304" s="10" t="str">
        <x:v>公会业绩（公会长）</x:v>
      </x:c>
      <x:c r="E304" s="10" t="str">
        <x:v>功能需求</x:v>
      </x:c>
      <x:c r="F304" s="10" t="str">
        <x:v>P2</x:v>
      </x:c>
      <x:c r="G304" s="9" t="str">
        <x:v>验证公会日直播场次合计</x:v>
      </x:c>
      <x:c r="H304" s="9" t="str">
        <x:v>公会日场次</x:v>
      </x:c>
      <x:c r="I304" s="9" t="str">
        <x:v>1. 公会长为本条执行者
2. 当前公会甲，仅有目标日S001和S002两场，次日S003一场</x:v>
      </x:c>
      <x:c r="J304" s="9" t="str">
        <x:v>1. 打开经营数据
2. 查看目标日</x:v>
      </x:c>
      <x:c r="K304" s="9" t="str">
        <x:v>直播场次显示2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 2420 行；REQ-af64b1bbaea6、第 2415 行
2. 规则：BR-BF2EEF3CE02444
3. 未动态验证
4. 示例账号、编号、金额与日期是本条测试数据；执行前按前置条件准备，未填写的产品决策不得自行假定。</x:v>
      </x:c>
    </x:row>
    <x:row r="305" ht="130" customHeight="1">
      <x:c r="A305" s="10" t="n">
        <x:v>304</x:v>
      </x:c>
      <x:c r="B305" s="10" t="str">
        <x:v>GUILD-0304</x:v>
      </x:c>
      <x:c r="C305" s="10" t="str">
        <x:v>数据与收益</x:v>
      </x:c>
      <x:c r="D305" s="10" t="str">
        <x:v>公会业绩（公会长）</x:v>
      </x:c>
      <x:c r="E305" s="10" t="str">
        <x:v>功能需求</x:v>
      </x:c>
      <x:c r="F305" s="10" t="str">
        <x:v>P2</x:v>
      </x:c>
      <x:c r="G305" s="9" t="str">
        <x:v>验证日期范围直播场次累加</x:v>
      </x:c>
      <x:c r="H305" s="9" t="str">
        <x:v>公会范围场次</x:v>
      </x:c>
      <x:c r="I305" s="9" t="str">
        <x:v>1. 公会长为本条执行者
2. 当前公会甲，仅有目标日S001和S002两场，次日S003一场</x:v>
      </x:c>
      <x:c r="J305" s="9" t="str">
        <x:v>1. 打开经营数据
2. 选择目标日至次日</x:v>
      </x:c>
      <x:c r="K305" s="9" t="str">
        <x:v>直播场次显示3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 2427 行；REQ-6e67ed0c3023、第 2415 行
2. 规则：BR-5DC2505700054A
3. 未动态验证
4. 示例账号、编号、金额与日期是本条测试数据；执行前按前置条件准备，未填写的产品决策不得自行假定。</x:v>
      </x:c>
    </x:row>
    <x:row r="306" ht="145" customHeight="1">
      <x:c r="A306" s="10" t="n">
        <x:v>305</x:v>
      </x:c>
      <x:c r="B306" s="10" t="str">
        <x:v>GUILD-0305</x:v>
      </x:c>
      <x:c r="C306" s="10" t="str">
        <x:v>主播管理</x:v>
      </x:c>
      <x:c r="D306" s="10" t="str">
        <x:v>主播业绩（公会长）</x:v>
      </x:c>
      <x:c r="E306" s="10" t="str">
        <x:v>功能需求</x:v>
      </x:c>
      <x:c r="F306" s="10" t="str">
        <x:v>P2</x:v>
      </x:c>
      <x:c r="G306" s="9" t="str">
        <x:v>验证快捷日期默认今日</x:v>
      </x:c>
      <x:c r="H306" s="9" t="str">
        <x:v>快捷日期初始范围</x:v>
      </x:c>
      <x:c r="I306" s="9" t="str">
        <x:v>1. 公会长为本条执行者
2. 公会长甲已登录，直接首次打开本页，未从其他页面带入日期</x:v>
      </x:c>
      <x:c r="J306" s="9" t="str">
        <x:v>1. 打开主播业绩</x:v>
      </x:c>
      <x:c r="K306" s="9" t="str">
        <x:v>当前快捷日期为今日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 2160 行；REQ-34c93fe323d0、第 2167 行；REQ-3649c97c9a4e、第 2158 行
2. 规则：BR-898D554D6F0ACA
3. 未动态验证
4. 示例账号、编号、金额与日期是本条测试数据；执行前按前置条件准备，未填写的产品决策不得自行假定。</x:v>
      </x:c>
    </x:row>
    <x:row r="307" ht="130" customHeight="1">
      <x:c r="A307" s="10" t="n">
        <x:v>306</x:v>
      </x:c>
      <x:c r="B307" s="10" t="str">
        <x:v>GUILD-0306</x:v>
      </x:c>
      <x:c r="C307" s="10" t="str">
        <x:v>数据与收益</x:v>
      </x:c>
      <x:c r="D307" s="10" t="str">
        <x:v>主播数据（公会长）</x:v>
      </x:c>
      <x:c r="E307" s="10" t="str">
        <x:v>功能需求</x:v>
      </x:c>
      <x:c r="F307" s="10" t="str">
        <x:v>P2</x:v>
      </x:c>
      <x:c r="G307" s="9" t="str">
        <x:v>验证日数据默认本月</x:v>
      </x:c>
      <x:c r="H307" s="9" t="str">
        <x:v>日数据初始范围</x:v>
      </x:c>
      <x:c r="I307" s="9" t="str">
        <x:v>1. 公会长为本条执行者
2. 公会长甲已登录，直接首次打开本页，未从其他页面带入日期</x:v>
      </x:c>
      <x:c r="J307" s="9" t="str">
        <x:v>1. 打开主播数据</x:v>
      </x:c>
      <x:c r="K307" s="9" t="str">
        <x:v>当前日数据为本月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 2184 行；REQ-1f2877f97492、第 2178 行
2. 规则：BR-B3151C87BAB602
3. 未动态验证
4. 示例账号、编号、金额与日期是本条测试数据；执行前按前置条件准备，未填写的产品决策不得自行假定。</x:v>
      </x:c>
    </x:row>
    <x:row r="308" ht="130" customHeight="1">
      <x:c r="A308" s="10" t="n">
        <x:v>307</x:v>
      </x:c>
      <x:c r="B308" s="10" t="str">
        <x:v>GUILD-0307</x:v>
      </x:c>
      <x:c r="C308" s="10" t="str">
        <x:v>运营管理</x:v>
      </x:c>
      <x:c r="D308" s="10" t="str">
        <x:v>运营消息（公会长）</x:v>
      </x:c>
      <x:c r="E308" s="10" t="str">
        <x:v>功能需求</x:v>
      </x:c>
      <x:c r="F308" s="10" t="str">
        <x:v>P2</x:v>
      </x:c>
      <x:c r="G308" s="9" t="str">
        <x:v>验证快捷日期默认本月</x:v>
      </x:c>
      <x:c r="H308" s="9" t="str">
        <x:v>快捷日期初始范围</x:v>
      </x:c>
      <x:c r="I308" s="9" t="str">
        <x:v>1. 公会长为本条执行者
2. 公会长甲已登录，直接首次打开本页，未从其他页面带入日期</x:v>
      </x:c>
      <x:c r="J308" s="9" t="str">
        <x:v>1. 打开运营消息</x:v>
      </x:c>
      <x:c r="K308" s="9" t="str">
        <x:v>当前快捷日期为本月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 2225 行；REQ-6bb0d557d199、第 2223 行
2. 规则：BR-037428543127EE
3. 未动态验证
4. 示例账号、编号、金额与日期是本条测试数据；执行前按前置条件准备，未填写的产品决策不得自行假定。</x:v>
      </x:c>
    </x:row>
    <x:row r="309" ht="130" customHeight="1">
      <x:c r="A309" s="10" t="n">
        <x:v>308</x:v>
      </x:c>
      <x:c r="B309" s="10" t="str">
        <x:v>GUILD-0308</x:v>
      </x:c>
      <x:c r="C309" s="10" t="str">
        <x:v>运营管理</x:v>
      </x:c>
      <x:c r="D309" s="10" t="str">
        <x:v>运营账号主页（公会长）</x:v>
      </x:c>
      <x:c r="E309" s="10" t="str">
        <x:v>功能需求</x:v>
      </x:c>
      <x:c r="F309" s="10" t="str">
        <x:v>P2</x:v>
      </x:c>
      <x:c r="G309" s="9" t="str">
        <x:v>验证快捷日期默认本月</x:v>
      </x:c>
      <x:c r="H309" s="9" t="str">
        <x:v>快捷日期初始范围</x:v>
      </x:c>
      <x:c r="I309" s="9" t="str">
        <x:v>1. 公会长为本条执行者
2. 公会长甲已登录，直接首次打开本页，未从其他页面带入日期</x:v>
      </x:c>
      <x:c r="J309" s="9" t="str">
        <x:v>1. 打开运营账号主页</x:v>
      </x:c>
      <x:c r="K309" s="9" t="str">
        <x:v>当前快捷日期为本月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 2294 行；REQ-ffb5c04ae2bf、第 2289 行
2. 规则：BR-DE449FF42AEA36
3. 未动态验证
4. 示例账号、编号、金额与日期是本条测试数据；执行前按前置条件准备，未填写的产品决策不得自行假定。</x:v>
      </x:c>
    </x:row>
    <x:row r="310" ht="130" customHeight="1">
      <x:c r="A310" s="10" t="n">
        <x:v>309</x:v>
      </x:c>
      <x:c r="B310" s="10" t="str">
        <x:v>GUILD-0309</x:v>
      </x:c>
      <x:c r="C310" s="10" t="str">
        <x:v>运营管理</x:v>
      </x:c>
      <x:c r="D310" s="10" t="str">
        <x:v>送礼记录（公会长）</x:v>
      </x:c>
      <x:c r="E310" s="10" t="str">
        <x:v>功能需求</x:v>
      </x:c>
      <x:c r="F310" s="10" t="str">
        <x:v>P2</x:v>
      </x:c>
      <x:c r="G310" s="9" t="str">
        <x:v>验证快捷日期默认今日</x:v>
      </x:c>
      <x:c r="H310" s="9" t="str">
        <x:v>快捷日期初始范围</x:v>
      </x:c>
      <x:c r="I310" s="9" t="str">
        <x:v>1. 公会长为本条执行者
2. 公会长甲已登录，直接首次打开本页，未从其他页面带入日期</x:v>
      </x:c>
      <x:c r="J310" s="9" t="str">
        <x:v>1. 打开送礼记录</x:v>
      </x:c>
      <x:c r="K310" s="9" t="str">
        <x:v>当前快捷日期为今日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 2319 行；REQ-18cc1beb60b8、第 2309 行
2. 规则：BR-059C0A8192B8D1
3. 未动态验证
4. 示例账号、编号、金额与日期是本条测试数据；执行前按前置条件准备，未填写的产品决策不得自行假定。</x:v>
      </x:c>
    </x:row>
    <x:row r="311" ht="130" customHeight="1">
      <x:c r="A311" s="10" t="n">
        <x:v>310</x:v>
      </x:c>
      <x:c r="B311" s="10" t="str">
        <x:v>GUILD-0310</x:v>
      </x:c>
      <x:c r="C311" s="10" t="str">
        <x:v>数据与收益</x:v>
      </x:c>
      <x:c r="D311" s="10" t="str">
        <x:v>直播记录（公会长）</x:v>
      </x:c>
      <x:c r="E311" s="10" t="str">
        <x:v>功能需求</x:v>
      </x:c>
      <x:c r="F311" s="10" t="str">
        <x:v>P2</x:v>
      </x:c>
      <x:c r="G311" s="9" t="str">
        <x:v>验证快捷日期默认今日</x:v>
      </x:c>
      <x:c r="H311" s="9" t="str">
        <x:v>快捷日期初始范围</x:v>
      </x:c>
      <x:c r="I311" s="9" t="str">
        <x:v>1. 公会长为本条执行者
2. 公会长甲已登录，直接首次打开本页，未从其他页面带入日期</x:v>
      </x:c>
      <x:c r="J311" s="9" t="str">
        <x:v>1. 打开直播记录</x:v>
      </x:c>
      <x:c r="K311" s="9" t="str">
        <x:v>当前快捷日期为今日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 2362 行；REQ-4ff7e197f956、第 2359 行
2. 规则：BR-D5E431F7DD60FD
3. 未动态验证
4. 示例账号、编号、金额与日期是本条测试数据；执行前按前置条件准备，未填写的产品决策不得自行假定。</x:v>
      </x:c>
    </x:row>
    <x:row r="312" ht="130" customHeight="1">
      <x:c r="A312" s="10" t="n">
        <x:v>311</x:v>
      </x:c>
      <x:c r="B312" s="10" t="str">
        <x:v>GUILD-0311</x:v>
      </x:c>
      <x:c r="C312" s="10" t="str">
        <x:v>数据与收益</x:v>
      </x:c>
      <x:c r="D312" s="10" t="str">
        <x:v>公会业绩（公会长）</x:v>
      </x:c>
      <x:c r="E312" s="10" t="str">
        <x:v>功能需求</x:v>
      </x:c>
      <x:c r="F312" s="10" t="str">
        <x:v>P2</x:v>
      </x:c>
      <x:c r="G312" s="9" t="str">
        <x:v>验证日范围默认本月</x:v>
      </x:c>
      <x:c r="H312" s="9" t="str">
        <x:v>日范围初始范围</x:v>
      </x:c>
      <x:c r="I312" s="9" t="str">
        <x:v>1. 公会长为本条执行者
2. 公会长甲已登录，直接首次打开本页，未从其他页面带入日期</x:v>
      </x:c>
      <x:c r="J312" s="9" t="str">
        <x:v>1. 打开公会业绩</x:v>
      </x:c>
      <x:c r="K312" s="9" t="str">
        <x:v>当前日范围为本月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 2417 行；REQ-3fd81bfc06b9、第 2415 行
2. 规则：BR-9CA542D6CB7CDB
3. 未动态验证
4. 示例账号、编号、金额与日期是本条测试数据；执行前按前置条件准备，未填写的产品决策不得自行假定。</x:v>
      </x:c>
    </x:row>
    <x:row r="313" ht="130" customHeight="1">
      <x:c r="A313" s="10" t="n">
        <x:v>312</x:v>
      </x:c>
      <x:c r="B313" s="10" t="str">
        <x:v>GUILD-0312</x:v>
      </x:c>
      <x:c r="C313" s="10" t="str">
        <x:v>数据与收益</x:v>
      </x:c>
      <x:c r="D313" s="10" t="str">
        <x:v>公会业绩（公会长）</x:v>
      </x:c>
      <x:c r="E313" s="10" t="str">
        <x:v>功能需求</x:v>
      </x:c>
      <x:c r="F313" s="10" t="str">
        <x:v>P2</x:v>
      </x:c>
      <x:c r="G313" s="9" t="str">
        <x:v>验证月范围默认近半年</x:v>
      </x:c>
      <x:c r="H313" s="9" t="str">
        <x:v>月范围初始范围</x:v>
      </x:c>
      <x:c r="I313" s="9" t="str">
        <x:v>1. 公会长为本条执行者
2. 公会长甲已登录，直接首次打开本页，未从其他页面带入日期</x:v>
      </x:c>
      <x:c r="J313" s="9" t="str">
        <x:v>1. 打开公会业绩
2. 切换月数据</x:v>
      </x:c>
      <x:c r="K313" s="9" t="str">
        <x:v>当前月范围为近半年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 2418 行；REQ-d313b28021e1、第 2415 行
2. 规则：BR-6639D70AAF5793
3. 未动态验证
4. 示例账号、编号、金额与日期是本条测试数据；执行前按前置条件准备，未填写的产品决策不得自行假定。</x:v>
      </x:c>
    </x:row>
    <x:row r="314" ht="145" customHeight="1">
      <x:c r="A314" s="10" t="n">
        <x:v>313</x:v>
      </x:c>
      <x:c r="B314" s="10" t="str">
        <x:v>GUILD-0313</x:v>
      </x:c>
      <x:c r="C314" s="10" t="str">
        <x:v>审批管理</x:v>
      </x:c>
      <x:c r="D314" s="10" t="str">
        <x:v>入会申请（公会长）</x:v>
      </x:c>
      <x:c r="E314" s="10" t="str">
        <x:v>功能需求</x:v>
      </x:c>
      <x:c r="F314" s="10" t="str">
        <x:v>P2</x:v>
      </x:c>
      <x:c r="G314" s="9" t="str">
        <x:v>验证新申请进入公会初审队列</x:v>
      </x:c>
      <x:c r="H314" s="9" t="str">
        <x:v>新申请公会待审</x:v>
      </x:c>
      <x:c r="I314" s="9" t="str">
        <x:v>1. 公会长为本条执行者
2. 用户甲刚向当前公会乙提交新申请J001，尚未审核</x:v>
      </x:c>
      <x:c r="J314" s="9" t="str">
        <x:v>1. 打开入会审核
2. 选择审核中
3. 查看J001</x:v>
      </x:c>
      <x:c r="K314" s="9" t="str">
        <x:v>J001显示待公会审核</x:v>
      </x:c>
      <x:c r="L314" s="10" t="str">
        <x:v>FLOW-B8276CAE</x:v>
      </x:c>
      <x:c r="M314" s="10" t="str">
        <x:v>未测</x:v>
      </x:c>
      <x:c r="N314" s="10" t="str"/>
      <x:c r="O314" s="9" t="str">
        <x:v>1. 来源（当前证据）：liveshow-proto/MainBasis/统一需求文档.md；位置：第 2095 行；REQ-15f627e7928f、第 2098 行；REQ-bbd9cc4ccd76、第 2094 行
2. 规则：BR-09AB8C3EE55EFB
3. 未动态验证
4. 示例账号、编号、金额与日期是本条测试数据；执行前按前置条件准备，未填写的产品决策不得自行假定。</x:v>
      </x:c>
    </x:row>
    <x:row r="315" ht="190" customHeight="1">
      <x:c r="A315" s="10" t="n">
        <x:v>314</x:v>
      </x:c>
      <x:c r="B315" s="10" t="str">
        <x:v>GUILD-0314</x:v>
      </x:c>
      <x:c r="C315" s="10" t="str">
        <x:v>数据与收益</x:v>
      </x:c>
      <x:c r="D315" s="10" t="str">
        <x:v>直播记录（公会长）</x:v>
      </x:c>
      <x:c r="E315" s="10" t="str">
        <x:v>功能需求</x:v>
      </x:c>
      <x:c r="F315" s="10" t="str">
        <x:v>P2</x:v>
      </x:c>
      <x:c r="G315" s="9" t="str">
        <x:v>验证主播主动结束后保留原场次记录</x:v>
      </x:c>
      <x:c r="H315" s="9" t="str">
        <x:v>主动结束后的场次记录</x:v>
      </x:c>
      <x:c r="I315" s="9" t="str">
        <x:v>1. 公会长为本条执行者
2. 主播甲原在S001直播，已通过结束直播确认关闭S001；本次执行账号可以查看该主播的场次记录</x:v>
      </x:c>
      <x:c r="J315" s="9" t="str">
        <x:v>1. 打开直播记录
2. 查询主播甲
3. 查看S001</x:v>
      </x:c>
      <x:c r="K315" s="9" t="str">
        <x:v>S001记录保留结束时间</x:v>
      </x:c>
      <x:c r="L315" s="10" t="str">
        <x:v>FLOW-3316A78D</x:v>
      </x:c>
      <x:c r="M315" s="10" t="str">
        <x:v>未测</x:v>
      </x:c>
      <x:c r="N315" s="10" t="str"/>
      <x:c r="O315" s="9" t="str">
        <x:v>1. 来源（当前证据）：liveshow-proto/MainBasis/统一需求文档.md；位置：第 2361 行；REQ-ea9a5bdb93b9、第 2363 行；REQ-b8fbc07e8999、第 2367 行；REQ-fb2f7046d77a、第 2373 行；REQ-5a047639c8df、第 2374 行；REQ-d1ff9ee9a737、第 2375 行；REQ-201858313f73、第 2359 行
2. 规则：BR-23D9601075D526
3. 未动态验证
4. 示例账号、编号、金额与日期是本条测试数据；执行前按前置条件准备，未填写的产品决策不得自行假定。</x:v>
      </x:c>
    </x:row>
  </x:sheetData>
  <x:dataValidations count="3">
    <x:dataValidation type="list" sqref="E2:E315">
      <x:formula1>"功能需求,业务流程,逻辑校验,异常用例"</x:formula1>
    </x:dataValidation>
    <x:dataValidation type="list" sqref="F2:F315">
      <x:formula1>"P0,P1,P2,P3"</x:formula1>
    </x:dataValidation>
    <x:dataValidation type="list" sqref="M2:M31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5a624291fc43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15" customHeight="1">
      <x:c r="A2" s="10" t="str">
        <x:v>PENDING-virtual-board</x:v>
      </x:c>
      <x:c r="B2" s="10" t="str">
        <x:v>GROUP-virtual-board</x:v>
      </x:c>
      <x:c r="C2" s="10" t="str"/>
      <x:c r="D2" s="10" t="str"/>
      <x:c r="E2" s="10" t="str">
        <x:v>部分阻塞</x:v>
      </x:c>
      <x:c r="F2" s="10" t="str">
        <x:v>资产与结算</x:v>
      </x:c>
      <x:c r="G2" s="9" t="str">
        <x:v>虚拟金币榜单范围</x:v>
      </x:c>
      <x:c r="H2" s="9" t="str">
        <x:v>业务规则</x:v>
      </x:c>
      <x:c r="I2" s="9" t="str">
        <x:v>系统概要允许虚拟赠礼计入榜单展示，具体适用于哪些榜单？</x:v>
      </x:c>
      <x:c r="J2" s="9" t="str">
        <x:v>A. 仅本场氛围榜
B. 本场榜及平台双榜
C. 由后台逐榜配置</x:v>
      </x:c>
      <x:c r="K2" s="9" t="str">
        <x:v>先确认此决定及适用范围，再按选定方案补齐相应正向、边界和失败分支；现有可执行分支继续测试。</x:v>
      </x:c>
      <x:c r="L2" s="12" t="str"/>
      <x:c r="M2" s="12" t="str"/>
      <x:c r="N2" s="10" t="str">
        <x:v>1. liveshow-proto/MainBasis/需求待确认清单.md 第27行；AN-58bdfd055651、AN-9076ce003939、AN-ba0acac09cff、AN-bbb10e3b591b、AN-7861fb19ad1a
2. 候选方案只供决策，不是已确认预期。</x:v>
      </x:c>
      <x:c r="O2" s="9" t="str">
        <x:v>1. 用户App
2. 公会App
3. 管理后台</x:v>
      </x:c>
      <x:c r="P2" s="9" t="str"/>
      <x:c r="Q2" s="9" t="str">
        <x:v>1. 虚拟金币榜单范围的确定性预期及对应分支</x:v>
      </x:c>
      <x:c r="R2" s="9" t="str">
        <x:v>产品</x:v>
      </x:c>
      <x:c r="S2" s="9" t="str">
        <x:v>相关功能测试开始前</x:v>
      </x:c>
      <x:c r="T2" s="9" t="str">
        <x:v>待确认</x:v>
      </x:c>
    </x:row>
    <x:row r="3" ht="85" customHeight="1">
      <x:c r="A3" s="10" t="str">
        <x:v>PENDING-guild-notice-sort</x:v>
      </x:c>
      <x:c r="B3" s="10" t="str">
        <x:v>GROUP-guild-notice-sort</x:v>
      </x:c>
      <x:c r="C3" s="10" t="str"/>
      <x:c r="D3" s="10" t="str"/>
      <x:c r="E3" s="10" t="str">
        <x:v>部分阻塞</x:v>
      </x:c>
      <x:c r="F3" s="10" t="str">
        <x:v>相关业务模块</x:v>
      </x:c>
      <x:c r="G3" s="9" t="str">
        <x:v>公会通知顺序</x:v>
      </x:c>
      <x:c r="H3" s="9" t="str">
        <x:v>计算与统计口径</x:v>
      </x:c>
      <x:c r="I3" s="9" t="str">
        <x:v>主播端公会通知列表如何排序？</x:v>
      </x:c>
      <x:c r="J3" s="9" t="str">
        <x:v>A. 生成时间倒序
B. 未读优先再按生成时间倒序</x:v>
      </x:c>
      <x:c r="K3" s="9" t="str">
        <x:v>先确认此决定及适用范围，再按选定方案补齐相应正向、边界和失败分支；现有可执行分支继续测试。</x:v>
      </x:c>
      <x:c r="L3" s="12" t="str"/>
      <x:c r="M3" s="12" t="str"/>
      <x:c r="N3" s="10" t="str">
        <x:v>1. liveshow-proto/MainBasis/需求待确认清单.md 第51行；AN-205fe7899e2d
2. 候选方案只供决策，不是已确认预期。</x:v>
      </x:c>
      <x:c r="O3" s="9" t="str">
        <x:v>1. 用户App
2. 公会App</x:v>
      </x:c>
      <x:c r="P3" s="9" t="str"/>
      <x:c r="Q3" s="9" t="str">
        <x:v>1. 公会通知顺序的确定性预期及对应分支</x:v>
      </x:c>
      <x:c r="R3" s="9" t="str">
        <x:v>产品</x:v>
      </x:c>
      <x:c r="S3" s="9" t="str">
        <x:v>相关功能测试开始前</x:v>
      </x:c>
      <x:c r="T3" s="9" t="str">
        <x:v>待确认</x:v>
      </x:c>
    </x:row>
    <x:row r="4" ht="85" customHeight="1">
      <x:c r="A4" s="10" t="str">
        <x:v>PENDING-operation-login-format</x:v>
      </x:c>
      <x:c r="B4" s="10" t="str">
        <x:v>GROUP-operation-login-format</x:v>
      </x:c>
      <x:c r="C4" s="10" t="str"/>
      <x:c r="D4" s="10" t="str"/>
      <x:c r="E4" s="10" t="str">
        <x:v>部分阻塞</x:v>
      </x:c>
      <x:c r="F4" s="10" t="str">
        <x:v>相关业务模块</x:v>
      </x:c>
      <x:c r="G4" s="9" t="str">
        <x:v>运营账号登录格式</x:v>
      </x:c>
      <x:c r="H4" s="9" t="str">
        <x:v>角色与权限</x:v>
      </x:c>
      <x:c r="I4" s="9" t="str">
        <x:v>运营账号必须是可接收验证码的邮箱，还是允许普通登录名？</x:v>
      </x:c>
      <x:c r="J4" s="9" t="str">
        <x:v>A. 必须为有效邮箱地址
B. 允许普通登录名并使用密码登录</x:v>
      </x:c>
      <x:c r="K4" s="9" t="str">
        <x:v>先确认此决定及适用范围，再按选定方案补齐相应正向、边界和失败分支；现有可执行分支继续测试。</x:v>
      </x:c>
      <x:c r="L4" s="12" t="str"/>
      <x:c r="M4" s="12" t="str"/>
      <x:c r="N4" s="10" t="str">
        <x:v>1. liveshow-proto/MainBasis/需求待确认清单.md 第67行；AN-ff08deec1174、AN-053fd74e2f42
2. 候选方案只供决策，不是已确认预期。</x:v>
      </x:c>
      <x:c r="O4" s="9" t="str">
        <x:v>1. 用户App
2. 公会App
3. 管理后台</x:v>
      </x:c>
      <x:c r="P4" s="9" t="str"/>
      <x:c r="Q4" s="9" t="str">
        <x:v>1. 运营账号登录格式的确定性预期及对应分支</x:v>
      </x:c>
      <x:c r="R4" s="9" t="str">
        <x:v>产品</x:v>
      </x:c>
      <x:c r="S4" s="9" t="str">
        <x:v>相关功能测试开始前</x:v>
      </x:c>
      <x:c r="T4" s="9" t="str">
        <x:v>待确认</x:v>
      </x:c>
    </x:row>
    <x:row r="5" ht="85" customHeight="1">
      <x:c r="A5" s="10" t="str">
        <x:v>PENDING-business-zone</x:v>
      </x:c>
      <x:c r="B5" s="10" t="str">
        <x:v>GROUP-business-zone</x:v>
      </x:c>
      <x:c r="C5" s="10" t="str"/>
      <x:c r="D5" s="10" t="str"/>
      <x:c r="E5" s="10" t="str">
        <x:v>部分阻塞</x:v>
      </x:c>
      <x:c r="F5" s="10" t="str">
        <x:v>相关业务模块</x:v>
      </x:c>
      <x:c r="G5" s="9" t="str">
        <x:v>业务日和周界限</x:v>
      </x:c>
      <x:c r="H5" s="9" t="str">
        <x:v>业务规则</x:v>
      </x:c>
      <x:c r="I5" s="9" t="str">
        <x:v>签到、任务、榜单、直播有效天和报表分别采用什么业务时区；任务周是否统一从周一开始？</x:v>
      </x:c>
      <x:c r="J5" s="9" t="str">
        <x:v>A. 全端统一指定业务时区且周一开始
B. 按业务分别指定时区和周起始日</x:v>
      </x:c>
      <x:c r="K5" s="9" t="str">
        <x:v>先确认此决定及适用范围，再按选定方案补齐相应正向、边界和失败分支；现有可执行分支继续测试。</x:v>
      </x:c>
      <x:c r="L5" s="12" t="str"/>
      <x:c r="M5" s="12" t="str"/>
      <x:c r="N5" s="10" t="str">
        <x:v>1. liveshow-proto/MainBasis/需求待确认清单.md 第91行；AN-6162c5b34166、AN-2d643ddb84e1
2. 候选方案只供决策，不是已确认预期。</x:v>
      </x:c>
      <x:c r="O5" s="9" t="str">
        <x:v>1. 用户App
2. 公会App
3. 管理后台</x:v>
      </x:c>
      <x:c r="P5" s="9" t="str"/>
      <x:c r="Q5" s="9" t="str">
        <x:v>1. 业务日和周界限的确定性预期及对应分支</x:v>
      </x:c>
      <x:c r="R5" s="9" t="str">
        <x:v>产品</x:v>
      </x:c>
      <x:c r="S5" s="9" t="str">
        <x:v>相关功能测试开始前</x:v>
      </x:c>
      <x:c r="T5" s="9" t="str">
        <x:v>待确认</x:v>
      </x:c>
    </x:row>
    <x:row r="6" ht="85" customHeight="1">
      <x:c r="A6" s="10" t="str">
        <x:v>PENDING-effective-duration</x:v>
      </x:c>
      <x:c r="B6" s="10" t="str">
        <x:v>GROUP-effective-duration</x:v>
      </x:c>
      <x:c r="C6" s="10" t="str"/>
      <x:c r="D6" s="10" t="str"/>
      <x:c r="E6" s="10" t="str">
        <x:v>部分阻塞</x:v>
      </x:c>
      <x:c r="F6" s="10" t="str">
        <x:v>跨端统计</x:v>
      </x:c>
      <x:c r="G6" s="9" t="str">
        <x:v>有效时长排除条件</x:v>
      </x:c>
      <x:c r="H6" s="9" t="str">
        <x:v>业务规则</x:v>
      </x:c>
      <x:c r="I6" s="9" t="str">
        <x:v>断流、后台挂起和暂停期间哪些时长计入每日 3 小时门槛？</x:v>
      </x:c>
      <x:c r="J6" s="9" t="str">
        <x:v>A. 仅连续成功推流时长
B. 会话持续时长扣除配置的无效区间</x:v>
      </x:c>
      <x:c r="K6" s="9" t="str">
        <x:v>先确认此决定及适用范围，再按选定方案补齐相应正向、边界和失败分支；现有可执行分支继续测试。</x:v>
      </x:c>
      <x:c r="L6" s="12" t="str"/>
      <x:c r="M6" s="12" t="str"/>
      <x:c r="N6" s="10" t="str">
        <x:v>1. liveshow-proto/MainBasis/需求待确认清单.md 第99行；AN-2d643ddb84e1
2. 候选方案只供决策，不是已确认预期。</x:v>
      </x:c>
      <x:c r="O6" s="9" t="str">
        <x:v>1. 用户App
2. 公会App
3. 管理后台</x:v>
      </x:c>
      <x:c r="P6" s="9" t="str"/>
      <x:c r="Q6" s="9" t="str">
        <x:v>1. 有效时长排除条件的确定性预期及对应分支</x:v>
      </x:c>
      <x:c r="R6" s="9" t="str">
        <x:v>产品</x:v>
      </x:c>
      <x:c r="S6" s="9" t="str">
        <x:v>相关功能测试开始前</x:v>
      </x:c>
      <x:c r="T6" s="9" t="str">
        <x:v>待确认</x:v>
      </x:c>
    </x:row>
    <x:row r="7" ht="85" customHeight="1">
      <x:c r="A7" s="10" t="str">
        <x:v>PENDING-cross-day-live</x:v>
      </x:c>
      <x:c r="B7" s="10" t="str">
        <x:v>GROUP-cross-day-live</x:v>
      </x:c>
      <x:c r="C7" s="10" t="str"/>
      <x:c r="D7" s="10" t="str"/>
      <x:c r="E7" s="10" t="str">
        <x:v>部分阻塞</x:v>
      </x:c>
      <x:c r="F7" s="10" t="str">
        <x:v>跨端统计</x:v>
      </x:c>
      <x:c r="G7" s="9" t="str">
        <x:v>跨日直播时长分配</x:v>
      </x:c>
      <x:c r="H7" s="9" t="str">
        <x:v>业务规则</x:v>
      </x:c>
      <x:c r="I7" s="9" t="str">
        <x:v>跨自然日的一场直播如何分配每天的有效时长及收益？</x:v>
      </x:c>
      <x:c r="J7" s="9" t="str">
        <x:v>A. 按事件发生时间切分到各日
B. 全部归入开播日</x:v>
      </x:c>
      <x:c r="K7" s="9" t="str">
        <x:v>先确认此决定及适用范围，再按选定方案补齐相应正向、边界和失败分支；现有可执行分支继续测试。</x:v>
      </x:c>
      <x:c r="L7" s="12" t="str"/>
      <x:c r="M7" s="12" t="str"/>
      <x:c r="N7" s="10" t="str">
        <x:v>1. liveshow-proto/MainBasis/需求待确认清单.md 第103行；AN-2d643ddb84e1
2. 候选方案只供决策，不是已确认预期。</x:v>
      </x:c>
      <x:c r="O7" s="9" t="str">
        <x:v>1. 用户App
2. 公会App
3. 管理后台</x:v>
      </x:c>
      <x:c r="P7" s="9" t="str"/>
      <x:c r="Q7" s="9" t="str">
        <x:v>1. 跨日直播时长分配的确定性预期及对应分支</x:v>
      </x:c>
      <x:c r="R7" s="9" t="str">
        <x:v>产品</x:v>
      </x:c>
      <x:c r="S7" s="9" t="str">
        <x:v>相关功能测试开始前</x:v>
      </x:c>
      <x:c r="T7" s="9" t="str">
        <x:v>待确认</x:v>
      </x:c>
    </x:row>
    <x:row r="8" ht="85" customHeight="1">
      <x:c r="A8" s="10" t="str">
        <x:v>PENDING-metric-latency</x:v>
      </x:c>
      <x:c r="B8" s="10" t="str">
        <x:v>GROUP-metric-latency</x:v>
      </x:c>
      <x:c r="C8" s="10" t="str"/>
      <x:c r="D8" s="10" t="str"/>
      <x:c r="E8" s="10" t="str">
        <x:v>部分阻塞</x:v>
      </x:c>
      <x:c r="F8" s="10" t="str">
        <x:v>相关业务模块</x:v>
      </x:c>
      <x:c r="G8" s="9" t="str">
        <x:v>指标刷新时效</x:v>
      </x:c>
      <x:c r="H8" s="9" t="str">
        <x:v>业务规则</x:v>
      </x:c>
      <x:c r="I8" s="9" t="str">
        <x:v>直播、收益和等级变动后，各端指标最迟何时应更新？</x:v>
      </x:c>
      <x:c r="J8" s="9" t="str">
        <x:v>A. 实时更新并指定秒级上限
B. 按固定汇总周期更新</x:v>
      </x:c>
      <x:c r="K8" s="9" t="str">
        <x:v>先确认此决定及适用范围，再按选定方案补齐相应正向、边界和失败分支；现有可执行分支继续测试。</x:v>
      </x:c>
      <x:c r="L8" s="12" t="str"/>
      <x:c r="M8" s="12" t="str"/>
      <x:c r="N8" s="10" t="str">
        <x:v>1. liveshow-proto/MainBasis/需求待确认清单.md 第107行；AN-2d643ddb84e1、AN-4c265a228f16
2. 候选方案只供决策，不是已确认预期。</x:v>
      </x:c>
      <x:c r="O8" s="9" t="str">
        <x:v>1. 用户App
2. 公会App
3. 管理后台</x:v>
      </x:c>
      <x:c r="P8" s="9" t="str"/>
      <x:c r="Q8" s="9" t="str">
        <x:v>1. 指标刷新时效的确定性预期及对应分支</x:v>
      </x:c>
      <x:c r="R8" s="9" t="str">
        <x:v>多方确认</x:v>
      </x:c>
      <x:c r="S8" s="9" t="str">
        <x:v>相关功能测试开始前</x:v>
      </x:c>
      <x:c r="T8" s="9" t="str">
        <x:v>待确认</x:v>
      </x:c>
    </x:row>
    <x:row r="9" ht="85" customHeight="1">
      <x:c r="A9" s="10" t="str">
        <x:v>PENDING-coin-precision</x:v>
      </x:c>
      <x:c r="B9" s="10" t="str">
        <x:v>GROUP-coin-precision</x:v>
      </x:c>
      <x:c r="C9" s="10" t="str"/>
      <x:c r="D9" s="10" t="str"/>
      <x:c r="E9" s="10" t="str">
        <x:v>部分阻塞</x:v>
      </x:c>
      <x:c r="F9" s="10" t="str">
        <x:v>资产与结算</x:v>
      </x:c>
      <x:c r="G9" s="9" t="str">
        <x:v>金币和收益精度</x:v>
      </x:c>
      <x:c r="H9" s="9" t="str">
        <x:v>计算与统计口径</x:v>
      </x:c>
      <x:c r="I9" s="9" t="str">
        <x:v>幸运礼物收益出现不足 1 金币的小数时如何存储、累计和展示？</x:v>
      </x:c>
      <x:c r="J9" s="9" t="str">
        <x:v>A. 每笔截断为整数
B. 保留小数累计后统一展示
C. 按明确精度四舍五入</x:v>
      </x:c>
      <x:c r="K9" s="9" t="str">
        <x:v>先确认此决定及适用范围，再按选定方案补齐相应正向、边界和失败分支；现有可执行分支继续测试。</x:v>
      </x:c>
      <x:c r="L9" s="12" t="str"/>
      <x:c r="M9" s="12" t="str"/>
      <x:c r="N9" s="10" t="str">
        <x:v>1. liveshow-proto/MainBasis/需求待确认清单.md 第135行；AN-3839cfde3299
2. 候选方案只供决策，不是已确认预期。</x:v>
      </x:c>
      <x:c r="O9" s="9" t="str">
        <x:v>1. 用户App
2. 公会App
3. 管理后台</x:v>
      </x:c>
      <x:c r="P9" s="9" t="str"/>
      <x:c r="Q9" s="9" t="str">
        <x:v>1. 金币和收益精度的确定性预期及对应分支</x:v>
      </x:c>
      <x:c r="R9" s="9" t="str">
        <x:v>多方确认</x:v>
      </x:c>
      <x:c r="S9" s="9" t="str">
        <x:v>相关功能测试开始前</x:v>
      </x:c>
      <x:c r="T9" s="9" t="str">
        <x:v>待确认</x:v>
      </x:c>
    </x:row>
    <x:row r="10" ht="85" customHeight="1">
      <x:c r="A10" s="10" t="str">
        <x:v>PENDING-level-history</x:v>
      </x:c>
      <x:c r="B10" s="10" t="str">
        <x:v>GROUP-level-history</x:v>
      </x:c>
      <x:c r="C10" s="10" t="str"/>
      <x:c r="D10" s="10" t="str"/>
      <x:c r="E10" s="10" t="str">
        <x:v>部分阻塞</x:v>
      </x:c>
      <x:c r="F10" s="10" t="str">
        <x:v>等级与身份</x:v>
      </x:c>
      <x:c r="G10" s="9" t="str">
        <x:v>历史等级快照</x:v>
      </x:c>
      <x:c r="H10" s="9" t="str">
        <x:v>业务规则</x:v>
      </x:c>
      <x:c r="I10" s="9" t="str">
        <x:v>调整等级阈值后历史记录展示原等级还是重算等级？</x:v>
      </x:c>
      <x:c r="J10" s="9" t="str">
        <x:v>A. 保留事件发生时等级
B. 显示当前重算等级</x:v>
      </x:c>
      <x:c r="K10" s="9" t="str">
        <x:v>先确认此决定及适用范围，再按选定方案补齐相应正向、边界和失败分支；现有可执行分支继续测试。</x:v>
      </x:c>
      <x:c r="L10" s="12" t="str"/>
      <x:c r="M10" s="12" t="str"/>
      <x:c r="N10" s="10" t="str">
        <x:v>1. liveshow-proto/MainBasis/需求待确认清单.md 第143行；AN-10e4cbde5c33
2. 候选方案只供决策，不是已确认预期。</x:v>
      </x:c>
      <x:c r="O10" s="9" t="str">
        <x:v>1. 用户App
2. 公会App
3. 管理后台</x:v>
      </x:c>
      <x:c r="P10" s="9" t="str"/>
      <x:c r="Q10" s="9" t="str">
        <x:v>1. 历史等级快照的确定性预期及对应分支</x:v>
      </x:c>
      <x:c r="R10" s="9" t="str">
        <x:v>产品</x:v>
      </x:c>
      <x:c r="S10" s="9" t="str">
        <x:v>相关功能测试开始前</x:v>
      </x:c>
      <x:c r="T10" s="9" t="str">
        <x:v>待确认</x:v>
      </x:c>
    </x:row>
  </x:sheetData>
  <x:dataValidations count="5">
    <x:dataValidation type="list" sqref="E2:E10">
      <x:formula1>"阻塞测试,部分阻塞,不阻塞"</x:formula1>
    </x:dataValidation>
    <x:dataValidation type="list" sqref="H2:H1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0">
      <x:formula1>"A,B,C,D,其他"</x:formula1>
    </x:dataValidation>
    <x:dataValidation type="list" sqref="R2:R10">
      <x:formula1>"产品,交互,技术,多方确认"</x:formula1>
    </x:dataValidation>
    <x:dataValidation type="list" sqref="T2:T1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fe172c9e3b42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0" hidden="0" customWidth="1"/>
    <x:col min="4" max="4" width="70" hidden="0" customWidth="1"/>
    <x:col min="5" max="5" width="24" hidden="0" customWidth="1"/>
    <x:col min="6" max="6" width="40" hidden="0" customWidth="1"/>
    <x:col min="7" max="7" width="68" hidden="0" customWidth="1"/>
  </x:cols>
  <x:sheetData>
    <x:row r="1" ht="34" customHeight="1">
      <x:c r="A1" s="29" t="str">
        <x:v>需求编号</x:v>
      </x:c>
      <x:c r="B1" s="29" t="str">
        <x:v>功能模块</x:v>
      </x:c>
      <x:c r="C1" s="29" t="str">
        <x:v>来源行</x:v>
      </x:c>
      <x:c r="D1" s="29" t="str">
        <x:v>需求内容</x:v>
      </x:c>
      <x:c r="E1" s="29" t="str">
        <x:v>处理状态</x:v>
      </x:c>
      <x:c r="F1" s="29" t="str">
        <x:v>关联正式用例</x:v>
      </x:c>
      <x:c r="G1" s="29" t="str">
        <x:v>待完成事项</x:v>
      </x:c>
    </x:row>
    <x:row r="2" ht="44" customHeight="1">
      <x:c r="A2" s="4" t="str">
        <x:v>概要-14</x:v>
      </x:c>
      <x:c r="B2" s="4" t="str">
        <x:v>系统概要与公共规则</x:v>
      </x:c>
      <x:c r="C2" s="4" t="n">
        <x:v>14</x:v>
      </x:c>
      <x:c r="D2" s="4" t="str">
        <x:v>|参与方|说明|</x:v>
      </x:c>
      <x:c r="E2" s="4" t="str">
        <x:v>尚未建立场景映射</x:v>
      </x:c>
      <x:c r="F2" s="4" t="str"/>
      <x:c r="G2" s="4" t="str">
        <x:v>系统概要或共同业务条款：已保留全文，不用端侧用例数量反推本条完整覆盖；跨段等价映射尚未逐项闭合。</x:v>
      </x:c>
    </x:row>
    <x:row r="3" ht="44" customHeight="1">
      <x:c r="A3" s="4" t="str">
        <x:v>概要-16</x:v>
      </x:c>
      <x:c r="B3" s="4" t="str">
        <x:v>系统概要与公共规则</x:v>
      </x:c>
      <x:c r="C3" s="4" t="n">
        <x:v>16</x:v>
      </x:c>
      <x:c r="D3" s="4" t="str">
        <x:v>|用户|使用账号、观看直播、互动消费并维护社交关系。|</x:v>
      </x:c>
      <x:c r="E3" s="4" t="str">
        <x:v>尚未建立场景映射</x:v>
      </x:c>
      <x:c r="F3" s="4" t="str"/>
      <x:c r="G3" s="4" t="str">
        <x:v>系统概要或共同业务条款：已保留全文，不用端侧用例数量反推本条完整覆盖；跨段等价映射尚未逐项闭合。</x:v>
      </x:c>
    </x:row>
    <x:row r="4" ht="44" customHeight="1">
      <x:c r="A4" s="4" t="str">
        <x:v>概要-17</x:v>
      </x:c>
      <x:c r="B4" s="4" t="str">
        <x:v>系统概要与公共规则</x:v>
      </x:c>
      <x:c r="C4" s="4" t="n">
        <x:v>17</x:v>
      </x:c>
      <x:c r="D4" s="4" t="str">
        <x:v>|主播|由用户完成入会和认证后获得的身份，负责创建和经营直播间。|</x:v>
      </x:c>
      <x:c r="E4" s="4" t="str">
        <x:v>尚未建立场景映射</x:v>
      </x:c>
      <x:c r="F4" s="4" t="str"/>
      <x:c r="G4" s="4" t="str">
        <x:v>系统概要或共同业务条款：已保留全文，不用端侧用例数量反推本条完整覆盖；跨段等价映射尚未逐项闭合。</x:v>
      </x:c>
    </x:row>
    <x:row r="5" ht="44" customHeight="1">
      <x:c r="A5" s="4" t="str">
        <x:v>概要-18</x:v>
      </x:c>
      <x:c r="B5" s="4" t="str">
        <x:v>系统概要与公共规则</x:v>
      </x:c>
      <x:c r="C5" s="4" t="n">
        <x:v>18</x:v>
      </x:c>
      <x:c r="D5" s="4" t="str">
        <x:v>|公会|由公会长操作公会端，管理公会、主播、直播权限和运营账号。|</x:v>
      </x:c>
      <x:c r="E5" s="4" t="str">
        <x:v>尚未建立场景映射</x:v>
      </x:c>
      <x:c r="F5" s="4" t="str"/>
      <x:c r="G5" s="4" t="str">
        <x:v>系统概要或共同业务条款：已保留全文，不用端侧用例数量反推本条完整覆盖；跨段等价映射尚未逐项闭合。</x:v>
      </x:c>
    </x:row>
    <x:row r="6" ht="44" customHeight="1">
      <x:c r="A6" s="4" t="str">
        <x:v>概要-19</x:v>
      </x:c>
      <x:c r="B6" s="4" t="str">
        <x:v>系统概要与公共规则</x:v>
      </x:c>
      <x:c r="C6" s="4" t="n">
        <x:v>19</x:v>
      </x:c>
      <x:c r="D6" s="4" t="str">
        <x:v>|平台|通过管理后台负责审核、运营、风控和财务核算，并在线下与主播完成分成结算。|</x:v>
      </x:c>
      <x:c r="E6" s="4" t="str">
        <x:v>尚未建立场景映射</x:v>
      </x:c>
      <x:c r="F6" s="4" t="str"/>
      <x:c r="G6" s="4" t="str">
        <x:v>系统概要或共同业务条款：已保留全文，不用端侧用例数量反推本条完整覆盖；跨段等价映射尚未逐项闭合。</x:v>
      </x:c>
    </x:row>
    <x:row r="7" ht="44" customHeight="1">
      <x:c r="A7" s="4" t="str">
        <x:v>概要-23</x:v>
      </x:c>
      <x:c r="B7" s="4" t="str">
        <x:v>系统概要与公共规则</x:v>
      </x:c>
      <x:c r="C7" s="4" t="n">
        <x:v>23</x:v>
      </x:c>
      <x:c r="D7" s="4" t="str">
        <x:v>- 用户端/主播端：中文/英文/印尼/马来</x:v>
      </x:c>
      <x:c r="E7" s="4" t="str">
        <x:v>尚未建立场景映射</x:v>
      </x:c>
      <x:c r="F7" s="4" t="str"/>
      <x:c r="G7" s="4" t="str">
        <x:v>系统概要或共同业务条款：已保留全文，不用端侧用例数量反推本条完整覆盖；跨段等价映射尚未逐项闭合。</x:v>
      </x:c>
    </x:row>
    <x:row r="8" ht="44" customHeight="1">
      <x:c r="A8" s="4" t="str">
        <x:v>概要-25</x:v>
      </x:c>
      <x:c r="B8" s="4" t="str">
        <x:v>系统概要与公共规则</x:v>
      </x:c>
      <x:c r="C8" s="4" t="n">
        <x:v>25</x:v>
      </x:c>
      <x:c r="D8" s="4" t="str">
        <x:v>- 公会端：中文/英文/印尼/马来</x:v>
      </x:c>
      <x:c r="E8" s="4" t="str">
        <x:v>尚未建立场景映射</x:v>
      </x:c>
      <x:c r="F8" s="4" t="str"/>
      <x:c r="G8" s="4" t="str">
        <x:v>系统概要或共同业务条款：已保留全文，不用端侧用例数量反推本条完整覆盖；跨段等价映射尚未逐项闭合。</x:v>
      </x:c>
    </x:row>
    <x:row r="9" ht="44" customHeight="1">
      <x:c r="A9" s="4" t="str">
        <x:v>概要-27</x:v>
      </x:c>
      <x:c r="B9" s="4" t="str">
        <x:v>系统概要与公共规则</x:v>
      </x:c>
      <x:c r="C9" s="4" t="n">
        <x:v>27</x:v>
      </x:c>
      <x:c r="D9" s="4" t="str">
        <x:v>- 管理后台：中文</x:v>
      </x:c>
      <x:c r="E9" s="4" t="str">
        <x:v>尚未建立场景映射</x:v>
      </x:c>
      <x:c r="F9" s="4" t="str"/>
      <x:c r="G9" s="4" t="str">
        <x:v>系统概要或共同业务条款：已保留全文，不用端侧用例数量反推本条完整覆盖；跨段等价映射尚未逐项闭合。</x:v>
      </x:c>
    </x:row>
    <x:row r="10" ht="44" customHeight="1">
      <x:c r="A10" s="4" t="str">
        <x:v>概要-35</x:v>
      </x:c>
      <x:c r="B10" s="4" t="str">
        <x:v>系统概要与公共规则</x:v>
      </x:c>
      <x:c r="C10" s="4" t="n">
        <x:v>35</x:v>
      </x:c>
      <x:c r="D10" s="4" t="str">
        <x:v>|用例名称|概要说明|</x:v>
      </x:c>
      <x:c r="E10" s="4" t="str">
        <x:v>尚未建立场景映射</x:v>
      </x:c>
      <x:c r="F10" s="4" t="str"/>
      <x:c r="G10" s="4" t="str">
        <x:v>系统概要或共同业务条款：已保留全文，不用端侧用例数量反推本条完整覆盖；跨段等价映射尚未逐项闭合。</x:v>
      </x:c>
    </x:row>
    <x:row r="11" ht="44" customHeight="1">
      <x:c r="A11" s="4" t="str">
        <x:v>概要-37</x:v>
      </x:c>
      <x:c r="B11" s="4" t="str">
        <x:v>系统概要与公共规则</x:v>
      </x:c>
      <x:c r="C11" s="4" t="n">
        <x:v>37</x:v>
      </x:c>
      <x:c r="D11" s="4" t="str">
        <x:v>|管理账号|注册、登录、退出、重置密码和注销账号。|</x:v>
      </x:c>
      <x:c r="E11" s="4" t="str">
        <x:v>尚未建立场景映射</x:v>
      </x:c>
      <x:c r="F11" s="4" t="str"/>
      <x:c r="G11" s="4" t="str">
        <x:v>系统概要或共同业务条款：已保留全文，不用端侧用例数量反推本条完整覆盖；跨段等价映射尚未逐项闭合。</x:v>
      </x:c>
    </x:row>
    <x:row r="12" ht="44" customHeight="1">
      <x:c r="A12" s="4" t="str">
        <x:v>概要-38</x:v>
      </x:c>
      <x:c r="B12" s="4" t="str">
        <x:v>系统概要与公共规则</x:v>
      </x:c>
      <x:c r="C12" s="4" t="n">
        <x:v>38</x:v>
      </x:c>
      <x:c r="D12" s="4" t="str">
        <x:v>|维护个人信息|维护个人资料、隐私、通知、语言及装扮设置。|</x:v>
      </x:c>
      <x:c r="E12" s="4" t="str">
        <x:v>尚未建立场景映射</x:v>
      </x:c>
      <x:c r="F12" s="4" t="str"/>
      <x:c r="G12" s="4" t="str">
        <x:v>系统概要或共同业务条款：已保留全文，不用端侧用例数量反推本条完整覆盖；跨段等价映射尚未逐项闭合。</x:v>
      </x:c>
    </x:row>
    <x:row r="13" ht="44" customHeight="1">
      <x:c r="A13" s="4" t="str">
        <x:v>概要-39</x:v>
      </x:c>
      <x:c r="B13" s="4" t="str">
        <x:v>系统概要与公共规则</x:v>
      </x:c>
      <x:c r="C13" s="4" t="n">
        <x:v>39</x:v>
      </x:c>
      <x:c r="D13" s="4" t="str">
        <x:v>|观看直播|进入普通房、门票房或密码房并观看直播。|</x:v>
      </x:c>
      <x:c r="E13" s="4" t="str">
        <x:v>尚未建立场景映射</x:v>
      </x:c>
      <x:c r="F13" s="4" t="str"/>
      <x:c r="G13" s="4" t="str">
        <x:v>系统概要或共同业务条款：已保留全文，不用端侧用例数量反推本条完整覆盖；跨段等价映射尚未逐项闭合。</x:v>
      </x:c>
    </x:row>
    <x:row r="14" ht="44" customHeight="1">
      <x:c r="A14" s="4" t="str">
        <x:v>概要-40</x:v>
      </x:c>
      <x:c r="B14" s="4" t="str">
        <x:v>系统概要与公共规则</x:v>
      </x:c>
      <x:c r="C14" s="4" t="n">
        <x:v>40</x:v>
      </x:c>
      <x:c r="D14" s="4" t="str">
        <x:v>|直播互动|发送公屏消息、点赞、关注和分享直播。|</x:v>
      </x:c>
      <x:c r="E14" s="4" t="str">
        <x:v>尚未建立场景映射</x:v>
      </x:c>
      <x:c r="F14" s="4" t="str"/>
      <x:c r="G14" s="4" t="str">
        <x:v>系统概要或共同业务条款：已保留全文，不用端侧用例数量反推本条完整覆盖；跨段等价映射尚未逐项闭合。</x:v>
      </x:c>
    </x:row>
    <x:row r="15" ht="44" customHeight="1">
      <x:c r="A15" s="4" t="str">
        <x:v>概要-41</x:v>
      </x:c>
      <x:c r="B15" s="4" t="str">
        <x:v>系统概要与公共规则</x:v>
      </x:c>
      <x:c r="C15" s="4" t="n">
        <x:v>41</x:v>
      </x:c>
      <x:c r="D15" s="4" t="str">
        <x:v>|赠送礼物|赠送常规、连续或幸运礼物，并接收赠送及中奖结果。|</x:v>
      </x:c>
      <x:c r="E15" s="4" t="str">
        <x:v>尚未建立场景映射</x:v>
      </x:c>
      <x:c r="F15" s="4" t="str"/>
      <x:c r="G15" s="4" t="str">
        <x:v>系统概要或共同业务条款：已保留全文，不用端侧用例数量反推本条完整覆盖；跨段等价映射尚未逐项闭合。</x:v>
      </x:c>
    </x:row>
    <x:row r="16" ht="44" customHeight="1">
      <x:c r="A16" s="4" t="str">
        <x:v>概要-42</x:v>
      </x:c>
      <x:c r="B16" s="4" t="str">
        <x:v>系统概要与公共规则</x:v>
      </x:c>
      <x:c r="C16" s="4" t="n">
        <x:v>42</x:v>
      </x:c>
      <x:c r="D16" s="4" t="str">
        <x:v>|参与平台活动|参与签到、任务和邀请活动。|</x:v>
      </x:c>
      <x:c r="E16" s="4" t="str">
        <x:v>尚未建立场景映射</x:v>
      </x:c>
      <x:c r="F16" s="4" t="str"/>
      <x:c r="G16" s="4" t="str">
        <x:v>系统概要或共同业务条款：已保留全文，不用端侧用例数量反推本条完整覆盖；跨段等价映射尚未逐项闭合。</x:v>
      </x:c>
    </x:row>
    <x:row r="17" ht="44" customHeight="1">
      <x:c r="A17" s="4" t="str">
        <x:v>概要-43</x:v>
      </x:c>
      <x:c r="B17" s="4" t="str">
        <x:v>系统概要与公共规则</x:v>
      </x:c>
      <x:c r="C17" s="4" t="n">
        <x:v>43</x:v>
      </x:c>
      <x:c r="D17" s="4" t="str">
        <x:v>|管理社交关系|管理关注、好友、私信和账号拉黑关系。|</x:v>
      </x:c>
      <x:c r="E17" s="4" t="str">
        <x:v>尚未建立场景映射</x:v>
      </x:c>
      <x:c r="F17" s="4" t="str"/>
      <x:c r="G17" s="4" t="str">
        <x:v>系统概要或共同业务条款：已保留全文，不用端侧用例数量反推本条完整覆盖；跨段等价映射尚未逐项闭合。</x:v>
      </x:c>
    </x:row>
    <x:row r="18" ht="44" customHeight="1">
      <x:c r="A18" s="4" t="str">
        <x:v>概要-44</x:v>
      </x:c>
      <x:c r="B18" s="4" t="str">
        <x:v>系统概要与公共规则</x:v>
      </x:c>
      <x:c r="C18" s="4" t="n">
        <x:v>44</x:v>
      </x:c>
      <x:c r="D18" s="4" t="str">
        <x:v>|管理粉丝团关系|加入或退出粉丝团并参与粉丝团群聊。|</x:v>
      </x:c>
      <x:c r="E18" s="4" t="str">
        <x:v>尚未建立场景映射</x:v>
      </x:c>
      <x:c r="F18" s="4" t="str"/>
      <x:c r="G18" s="4" t="str">
        <x:v>系统概要或共同业务条款：已保留全文，不用端侧用例数量反推本条完整覆盖；跨段等价映射尚未逐项闭合。</x:v>
      </x:c>
    </x:row>
    <x:row r="19" ht="44" customHeight="1">
      <x:c r="A19" s="4" t="str">
        <x:v>概要-45</x:v>
      </x:c>
      <x:c r="B19" s="4" t="str">
        <x:v>系统概要与公共规则</x:v>
      </x:c>
      <x:c r="C19" s="4" t="n">
        <x:v>45</x:v>
      </x:c>
      <x:c r="D19" s="4" t="str">
        <x:v>|充值和消费金币|充值金币，并使用金币购买门票或赠送礼物。|</x:v>
      </x:c>
      <x:c r="E19" s="4" t="str">
        <x:v>尚未建立场景映射</x:v>
      </x:c>
      <x:c r="F19" s="4" t="str"/>
      <x:c r="G19" s="4" t="str">
        <x:v>系统概要或共同业务条款：已保留全文，不用端侧用例数量反推本条完整覆盖；跨段等价映射尚未逐项闭合。</x:v>
      </x:c>
    </x:row>
    <x:row r="20" ht="44" customHeight="1">
      <x:c r="A20" s="4" t="str">
        <x:v>概要-46</x:v>
      </x:c>
      <x:c r="B20" s="4" t="str">
        <x:v>系统概要与公共规则</x:v>
      </x:c>
      <x:c r="C20" s="4" t="n">
        <x:v>46</x:v>
      </x:c>
      <x:c r="D20" s="4" t="str">
        <x:v>|管理公会关系|申请加入或退出公会。|</x:v>
      </x:c>
      <x:c r="E20" s="4" t="str">
        <x:v>尚未建立场景映射</x:v>
      </x:c>
      <x:c r="F20" s="4" t="str"/>
      <x:c r="G20" s="4" t="str">
        <x:v>系统概要或共同业务条款：已保留全文，不用端侧用例数量反推本条完整覆盖；跨段等价映射尚未逐项闭合。</x:v>
      </x:c>
    </x:row>
    <x:row r="21" ht="44" customHeight="1">
      <x:c r="A21" s="4" t="str">
        <x:v>概要-47</x:v>
      </x:c>
      <x:c r="B21" s="4" t="str">
        <x:v>系统概要与公共规则</x:v>
      </x:c>
      <x:c r="C21" s="4" t="n">
        <x:v>47</x:v>
      </x:c>
      <x:c r="D21" s="4" t="str">
        <x:v>|举报|举报用户、主播|</x:v>
      </x:c>
      <x:c r="E21" s="4" t="str">
        <x:v>尚未建立场景映射</x:v>
      </x:c>
      <x:c r="F21" s="4" t="str"/>
      <x:c r="G21" s="4" t="str">
        <x:v>系统概要或共同业务条款：已保留全文，不用端侧用例数量反推本条完整覆盖；跨段等价映射尚未逐项闭合。</x:v>
      </x:c>
    </x:row>
    <x:row r="22" ht="44" customHeight="1">
      <x:c r="A22" s="4" t="str">
        <x:v>概要-53</x:v>
      </x:c>
      <x:c r="B22" s="4" t="str">
        <x:v>系统概要与公共规则</x:v>
      </x:c>
      <x:c r="C22" s="4" t="n">
        <x:v>53</x:v>
      </x:c>
      <x:c r="D22" s="4" t="str">
        <x:v>|用例名称|概要说明|</x:v>
      </x:c>
      <x:c r="E22" s="4" t="str">
        <x:v>尚未建立场景映射</x:v>
      </x:c>
      <x:c r="F22" s="4" t="str"/>
      <x:c r="G22" s="4" t="str">
        <x:v>系统概要或共同业务条款：已保留全文，不用端侧用例数量反推本条完整覆盖；跨段等价映射尚未逐项闭合。</x:v>
      </x:c>
    </x:row>
    <x:row r="23" ht="44" customHeight="1">
      <x:c r="A23" s="4" t="str">
        <x:v>概要-55</x:v>
      </x:c>
      <x:c r="B23" s="4" t="str">
        <x:v>系统概要与公共规则</x:v>
      </x:c>
      <x:c r="C23" s="4" t="n">
        <x:v>55</x:v>
      </x:c>
      <x:c r="D23" s="4" t="str">
        <x:v>|管理主播认证和直播权限|提交或补充认证资料，处理主播身份和直播权限状态。|</x:v>
      </x:c>
      <x:c r="E23" s="4" t="str">
        <x:v>尚未建立场景映射</x:v>
      </x:c>
      <x:c r="F23" s="4" t="str"/>
      <x:c r="G23" s="4" t="str">
        <x:v>系统概要或共同业务条款：已保留全文，不用端侧用例数量反推本条完整覆盖；跨段等价映射尚未逐项闭合。</x:v>
      </x:c>
    </x:row>
    <x:row r="24" ht="44" customHeight="1">
      <x:c r="A24" s="4" t="str">
        <x:v>概要-56</x:v>
      </x:c>
      <x:c r="B24" s="4" t="str">
        <x:v>系统概要与公共规则</x:v>
      </x:c>
      <x:c r="C24" s="4" t="n">
        <x:v>56</x:v>
      </x:c>
      <x:c r="D24" s="4" t="str">
        <x:v>|配置并开始直播|设置直播信息、房间类型和画面参数后开始直播。|</x:v>
      </x:c>
      <x:c r="E24" s="4" t="str">
        <x:v>尚未建立场景映射</x:v>
      </x:c>
      <x:c r="F24" s="4" t="str"/>
      <x:c r="G24" s="4" t="str">
        <x:v>系统概要或共同业务条款：已保留全文，不用端侧用例数量反推本条完整覆盖；跨段等价映射尚未逐项闭合。</x:v>
      </x:c>
    </x:row>
    <x:row r="25" ht="44" customHeight="1">
      <x:c r="A25" s="4" t="str">
        <x:v>概要-57</x:v>
      </x:c>
      <x:c r="B25" s="4" t="str">
        <x:v>系统概要与公共规则</x:v>
      </x:c>
      <x:c r="C25" s="4" t="n">
        <x:v>57</x:v>
      </x:c>
      <x:c r="D25" s="4" t="str">
        <x:v>|经营并结束直播|管理直播过程中的观众互动并结束直播。|</x:v>
      </x:c>
      <x:c r="E25" s="4" t="str">
        <x:v>尚未建立场景映射</x:v>
      </x:c>
      <x:c r="F25" s="4" t="str"/>
      <x:c r="G25" s="4" t="str">
        <x:v>系统概要或共同业务条款：已保留全文，不用端侧用例数量反推本条完整覆盖；跨段等价映射尚未逐项闭合。</x:v>
      </x:c>
    </x:row>
    <x:row r="26" ht="44" customHeight="1">
      <x:c r="A26" s="4" t="str">
        <x:v>概要-58</x:v>
      </x:c>
      <x:c r="B26" s="4" t="str">
        <x:v>系统概要与公共规则</x:v>
      </x:c>
      <x:c r="C26" s="4" t="n">
        <x:v>58</x:v>
      </x:c>
      <x:c r="D26" s="4" t="str">
        <x:v>|管理直播间秩序|清屏、禁言、踢出、管理黑名单。|</x:v>
      </x:c>
      <x:c r="E26" s="4" t="str">
        <x:v>尚未建立场景映射</x:v>
      </x:c>
      <x:c r="F26" s="4" t="str"/>
      <x:c r="G26" s="4" t="str">
        <x:v>系统概要或共同业务条款：已保留全文，不用端侧用例数量反推本条完整覆盖；跨段等价映射尚未逐项闭合。</x:v>
      </x:c>
    </x:row>
    <x:row r="27" ht="44" customHeight="1">
      <x:c r="A27" s="4" t="str">
        <x:v>概要-59</x:v>
      </x:c>
      <x:c r="B27" s="4" t="str">
        <x:v>系统概要与公共规则</x:v>
      </x:c>
      <x:c r="C27" s="4" t="n">
        <x:v>59</x:v>
      </x:c>
      <x:c r="D27" s="4" t="str">
        <x:v>|管理连麦|发起、接受和结束主播连麦。|</x:v>
      </x:c>
      <x:c r="E27" s="4" t="str">
        <x:v>尚未建立场景映射</x:v>
      </x:c>
      <x:c r="F27" s="4" t="str"/>
      <x:c r="G27" s="4" t="str">
        <x:v>系统概要或共同业务条款：已保留全文，不用端侧用例数量反推本条完整覆盖；跨段等价映射尚未逐项闭合。</x:v>
      </x:c>
    </x:row>
    <x:row r="28" ht="44" customHeight="1">
      <x:c r="A28" s="4" t="str">
        <x:v>概要-60</x:v>
      </x:c>
      <x:c r="B28" s="4" t="str">
        <x:v>系统概要与公共规则</x:v>
      </x:c>
      <x:c r="C28" s="4" t="n">
        <x:v>60</x:v>
      </x:c>
      <x:c r="D28" s="4" t="str">
        <x:v>|管理粉丝团|创建并设置粉丝团，管理成员、群聊和禁言。|</x:v>
      </x:c>
      <x:c r="E28" s="4" t="str">
        <x:v>尚未建立场景映射</x:v>
      </x:c>
      <x:c r="F28" s="4" t="str"/>
      <x:c r="G28" s="4" t="str">
        <x:v>系统概要或共同业务条款：已保留全文，不用端侧用例数量反推本条完整覆盖；跨段等价映射尚未逐项闭合。</x:v>
      </x:c>
    </x:row>
    <x:row r="29" ht="44" customHeight="1">
      <x:c r="A29" s="4" t="str">
        <x:v>概要-61</x:v>
      </x:c>
      <x:c r="B29" s="4" t="str">
        <x:v>系统概要与公共规则</x:v>
      </x:c>
      <x:c r="C29" s="4" t="n">
        <x:v>61</x:v>
      </x:c>
      <x:c r="D29" s="4" t="str">
        <x:v>|管理房管|添加、移除房管，在直播间内执行禁言、踢出和评论管理。|</x:v>
      </x:c>
      <x:c r="E29" s="4" t="str">
        <x:v>尚未建立场景映射</x:v>
      </x:c>
      <x:c r="F29" s="4" t="str"/>
      <x:c r="G29" s="4" t="str">
        <x:v>系统概要或共同业务条款：已保留全文，不用端侧用例数量反推本条完整覆盖；跨段等价映射尚未逐项闭合。</x:v>
      </x:c>
    </x:row>
    <x:row r="30" ht="44" customHeight="1">
      <x:c r="A30" s="4" t="str">
        <x:v>概要-65</x:v>
      </x:c>
      <x:c r="B30" s="4" t="str">
        <x:v>系统概要与公共规则</x:v>
      </x:c>
      <x:c r="C30" s="4" t="n">
        <x:v>65</x:v>
      </x:c>
      <x:c r="D30" s="4" t="str">
        <x:v>|用例名称|概要说明|</x:v>
      </x:c>
      <x:c r="E30" s="4" t="str">
        <x:v>尚未建立场景映射</x:v>
      </x:c>
      <x:c r="F30" s="4" t="str"/>
      <x:c r="G30" s="4" t="str">
        <x:v>系统概要或共同业务条款：已保留全文，不用端侧用例数量反推本条完整覆盖；跨段等价映射尚未逐项闭合。</x:v>
      </x:c>
    </x:row>
    <x:row r="31" ht="44" customHeight="1">
      <x:c r="A31" s="4" t="str">
        <x:v>概要-67</x:v>
      </x:c>
      <x:c r="B31" s="4" t="str">
        <x:v>系统概要与公共规则</x:v>
      </x:c>
      <x:c r="C31" s="4" t="n">
        <x:v>67</x:v>
      </x:c>
      <x:c r="D31" s="4" t="str">
        <x:v>|管理公会信息|维护公会资料、公告和公会账号。|</x:v>
      </x:c>
      <x:c r="E31" s="4" t="str">
        <x:v>尚未建立场景映射</x:v>
      </x:c>
      <x:c r="F31" s="4" t="str"/>
      <x:c r="G31" s="4" t="str">
        <x:v>系统概要或共同业务条款：已保留全文，不用端侧用例数量反推本条完整覆盖；跨段等价映射尚未逐项闭合。</x:v>
      </x:c>
    </x:row>
    <x:row r="32" ht="44" customHeight="1">
      <x:c r="A32" s="4" t="str">
        <x:v>概要-68</x:v>
      </x:c>
      <x:c r="B32" s="4" t="str">
        <x:v>系统概要与公共规则</x:v>
      </x:c>
      <x:c r="C32" s="4" t="n">
        <x:v>68</x:v>
      </x:c>
      <x:c r="D32" s="4" t="str">
        <x:v>|管理公会主播|审批入会和退会申请，并管理名下主播及其状态。|</x:v>
      </x:c>
      <x:c r="E32" s="4" t="str">
        <x:v>尚未建立场景映射</x:v>
      </x:c>
      <x:c r="F32" s="4" t="str"/>
      <x:c r="G32" s="4" t="str">
        <x:v>系统概要或共同业务条款：已保留全文，不用端侧用例数量反推本条完整覆盖；跨段等价映射尚未逐项闭合。</x:v>
      </x:c>
    </x:row>
    <x:row r="33" ht="44" customHeight="1">
      <x:c r="A33" s="4" t="str">
        <x:v>概要-69</x:v>
      </x:c>
      <x:c r="B33" s="4" t="str">
        <x:v>系统概要与公共规则</x:v>
      </x:c>
      <x:c r="C33" s="4" t="n">
        <x:v>69</x:v>
      </x:c>
      <x:c r="D33" s="4" t="str">
        <x:v>|管理直播权限|在平台授权范围内开启或关闭主播直播权限。|</x:v>
      </x:c>
      <x:c r="E33" s="4" t="str">
        <x:v>尚未建立场景映射</x:v>
      </x:c>
      <x:c r="F33" s="4" t="str"/>
      <x:c r="G33" s="4" t="str">
        <x:v>系统概要或共同业务条款：已保留全文，不用端侧用例数量反推本条完整覆盖；跨段等价映射尚未逐项闭合。</x:v>
      </x:c>
    </x:row>
    <x:row r="34" ht="44" customHeight="1">
      <x:c r="A34" s="4" t="str">
        <x:v>概要-70</x:v>
      </x:c>
      <x:c r="B34" s="4" t="str">
        <x:v>系统概要与公共规则</x:v>
      </x:c>
      <x:c r="C34" s="4" t="n">
        <x:v>70</x:v>
      </x:c>
      <x:c r="D34" s="4" t="str">
        <x:v>|开展公会运营|向名下主播发送运营消息。|</x:v>
      </x:c>
      <x:c r="E34" s="4" t="str">
        <x:v>尚未建立场景映射</x:v>
      </x:c>
      <x:c r="F34" s="4" t="str"/>
      <x:c r="G34" s="4" t="str">
        <x:v>系统概要或共同业务条款：已保留全文，不用端侧用例数量反推本条完整覆盖；跨段等价映射尚未逐项闭合。</x:v>
      </x:c>
    </x:row>
    <x:row r="35" ht="44" customHeight="1">
      <x:c r="A35" s="4" t="str">
        <x:v>概要-71</x:v>
      </x:c>
      <x:c r="B35" s="4" t="str">
        <x:v>系统概要与公共规则</x:v>
      </x:c>
      <x:c r="C35" s="4" t="n">
        <x:v>71</x:v>
      </x:c>
      <x:c r="D35" s="4" t="str">
        <x:v>|管理运营账号和虚拟金币|创建、启停本公会运营账号，并在平台额度内发放虚拟金币。|</x:v>
      </x:c>
      <x:c r="E35" s="4" t="str">
        <x:v>尚未建立场景映射</x:v>
      </x:c>
      <x:c r="F35" s="4" t="str"/>
      <x:c r="G35" s="4" t="str">
        <x:v>系统概要或共同业务条款：已保留全文，不用端侧用例数量反推本条完整覆盖；跨段等价映射尚未逐项闭合。</x:v>
      </x:c>
    </x:row>
    <x:row r="36" ht="44" customHeight="1">
      <x:c r="A36" s="4" t="str">
        <x:v>概要-75</x:v>
      </x:c>
      <x:c r="B36" s="4" t="str">
        <x:v>系统概要与公共规则</x:v>
      </x:c>
      <x:c r="C36" s="4" t="n">
        <x:v>75</x:v>
      </x:c>
      <x:c r="D36" s="4" t="str">
        <x:v>|用例名称|概要说明|</x:v>
      </x:c>
      <x:c r="E36" s="4" t="str">
        <x:v>尚未建立场景映射</x:v>
      </x:c>
      <x:c r="F36" s="4" t="str"/>
      <x:c r="G36" s="4" t="str">
        <x:v>系统概要或共同业务条款：已保留全文，不用端侧用例数量反推本条完整覆盖；跨段等价映射尚未逐项闭合。</x:v>
      </x:c>
    </x:row>
    <x:row r="37" ht="44" customHeight="1">
      <x:c r="A37" s="4" t="str">
        <x:v>概要-77</x:v>
      </x:c>
      <x:c r="B37" s="4" t="str">
        <x:v>系统概要与公共规则</x:v>
      </x:c>
      <x:c r="C37" s="4" t="n">
        <x:v>77</x:v>
      </x:c>
      <x:c r="D37" s="4" t="str">
        <x:v>|管理用户|管理用户资料、账号状态、封禁。|</x:v>
      </x:c>
      <x:c r="E37" s="4" t="str">
        <x:v>尚未建立场景映射</x:v>
      </x:c>
      <x:c r="F37" s="4" t="str"/>
      <x:c r="G37" s="4" t="str">
        <x:v>系统概要或共同业务条款：已保留全文，不用端侧用例数量反推本条完整覆盖；跨段等价映射尚未逐项闭合。</x:v>
      </x:c>
    </x:row>
    <x:row r="38" ht="44" customHeight="1">
      <x:c r="A38" s="4" t="str">
        <x:v>概要-78</x:v>
      </x:c>
      <x:c r="B38" s="4" t="str">
        <x:v>系统概要与公共规则</x:v>
      </x:c>
      <x:c r="C38" s="4" t="n">
        <x:v>78</x:v>
      </x:c>
      <x:c r="D38" s="4" t="str">
        <x:v>|管理主播|审核主播认证，管理直播权限及主播封禁。|</x:v>
      </x:c>
      <x:c r="E38" s="4" t="str">
        <x:v>尚未建立场景映射</x:v>
      </x:c>
      <x:c r="F38" s="4" t="str"/>
      <x:c r="G38" s="4" t="str">
        <x:v>系统概要或共同业务条款：已保留全文，不用端侧用例数量反推本条完整覆盖；跨段等价映射尚未逐项闭合。</x:v>
      </x:c>
    </x:row>
    <x:row r="39" ht="44" customHeight="1">
      <x:c r="A39" s="4" t="str">
        <x:v>概要-79</x:v>
      </x:c>
      <x:c r="B39" s="4" t="str">
        <x:v>系统概要与公共规则</x:v>
      </x:c>
      <x:c r="C39" s="4" t="n">
        <x:v>79</x:v>
      </x:c>
      <x:c r="D39" s="4" t="str">
        <x:v>|管理公会|创建、启停或解散公会，并管理公会长和登录账号。|</x:v>
      </x:c>
      <x:c r="E39" s="4" t="str">
        <x:v>尚未建立场景映射</x:v>
      </x:c>
      <x:c r="F39" s="4" t="str"/>
      <x:c r="G39" s="4" t="str">
        <x:v>系统概要或共同业务条款：已保留全文，不用端侧用例数量反推本条完整覆盖；跨段等价映射尚未逐项闭合。</x:v>
      </x:c>
    </x:row>
    <x:row r="40" ht="44" customHeight="1">
      <x:c r="A40" s="4" t="str">
        <x:v>概要-80</x:v>
      </x:c>
      <x:c r="B40" s="4" t="str">
        <x:v>系统概要与公共规则</x:v>
      </x:c>
      <x:c r="C40" s="4" t="n">
        <x:v>80</x:v>
      </x:c>
      <x:c r="D40" s="4" t="str">
        <x:v>|监控和处置直播|监控、巡查和抽检直播，并执行警告、关播或断流。|</x:v>
      </x:c>
      <x:c r="E40" s="4" t="str">
        <x:v>尚未建立场景映射</x:v>
      </x:c>
      <x:c r="F40" s="4" t="str"/>
      <x:c r="G40" s="4" t="str">
        <x:v>系统概要或共同业务条款：已保留全文，不用端侧用例数量反推本条完整覆盖；跨段等价映射尚未逐项闭合。</x:v>
      </x:c>
    </x:row>
    <x:row r="41" ht="44" customHeight="1">
      <x:c r="A41" s="4" t="str">
        <x:v>概要-81</x:v>
      </x:c>
      <x:c r="B41" s="4" t="str">
        <x:v>系统概要与公共规则</x:v>
      </x:c>
      <x:c r="C41" s="4" t="n">
        <x:v>81</x:v>
      </x:c>
      <x:c r="D41" s="4" t="str">
        <x:v>|内容审核与违规处置|处理机审告警、人工复审、举报，进行关播、关播直播权限、封禁操作。|</x:v>
      </x:c>
      <x:c r="E41" s="4" t="str">
        <x:v>尚未建立场景映射</x:v>
      </x:c>
      <x:c r="F41" s="4" t="str"/>
      <x:c r="G41" s="4" t="str">
        <x:v>系统概要或共同业务条款：已保留全文，不用端侧用例数量反推本条完整覆盖；跨段等价映射尚未逐项闭合。</x:v>
      </x:c>
    </x:row>
    <x:row r="42" ht="44" customHeight="1">
      <x:c r="A42" s="4" t="str">
        <x:v>概要-82</x:v>
      </x:c>
      <x:c r="B42" s="4" t="str">
        <x:v>系统概要与公共规则</x:v>
      </x:c>
      <x:c r="C42" s="4" t="n">
        <x:v>82</x:v>
      </x:c>
      <x:c r="D42" s="4" t="str">
        <x:v>|配置礼物、商品及分成规则|管理礼物、商品 SKU、道具及其分成规则。|</x:v>
      </x:c>
      <x:c r="E42" s="4" t="str">
        <x:v>尚未建立场景映射</x:v>
      </x:c>
      <x:c r="F42" s="4" t="str"/>
      <x:c r="G42" s="4" t="str">
        <x:v>系统概要或共同业务条款：已保留全文，不用端侧用例数量反推本条完整覆盖；跨段等价映射尚未逐项闭合。</x:v>
      </x:c>
    </x:row>
    <x:row r="43" ht="44" customHeight="1">
      <x:c r="A43" s="4" t="str">
        <x:v>概要-83</x:v>
      </x:c>
      <x:c r="B43" s="4" t="str">
        <x:v>系统概要与公共规则</x:v>
      </x:c>
      <x:c r="C43" s="4" t="n">
        <x:v>83</x:v>
      </x:c>
      <x:c r="D43" s="4" t="str">
        <x:v>|配置运营内容|管理展示位、推送、榜单、充值、签到、任务和公会推荐。|</x:v>
      </x:c>
      <x:c r="E43" s="4" t="str">
        <x:v>尚未建立场景映射</x:v>
      </x:c>
      <x:c r="F43" s="4" t="str"/>
      <x:c r="G43" s="4" t="str">
        <x:v>系统概要或共同业务条款：已保留全文，不用端侧用例数量反推本条完整覆盖；跨段等价映射尚未逐项闭合。</x:v>
      </x:c>
    </x:row>
    <x:row r="44" ht="44" customHeight="1">
      <x:c r="A44" s="4" t="str">
        <x:v>概要-84</x:v>
      </x:c>
      <x:c r="B44" s="4" t="str">
        <x:v>系统概要与公共规则</x:v>
      </x:c>
      <x:c r="C44" s="4" t="n">
        <x:v>84</x:v>
      </x:c>
      <x:c r="D44" s="4" t="str">
        <x:v>|管理充值订单退款与渠道账务|处理充值订单退款、拒付、渠道对账和资金对账。|</x:v>
      </x:c>
      <x:c r="E44" s="4" t="str">
        <x:v>尚未建立场景映射</x:v>
      </x:c>
      <x:c r="F44" s="4" t="str"/>
      <x:c r="G44" s="4" t="str">
        <x:v>系统概要或共同业务条款：已保留全文，不用端侧用例数量反推本条完整覆盖；跨段等价映射尚未逐项闭合。</x:v>
      </x:c>
    </x:row>
    <x:row r="45" ht="44" customHeight="1">
      <x:c r="A45" s="4" t="str">
        <x:v>概要-85</x:v>
      </x:c>
      <x:c r="B45" s="4" t="str">
        <x:v>系统概要与公共规则</x:v>
      </x:c>
      <x:c r="C45" s="4" t="n">
        <x:v>85</x:v>
      </x:c>
      <x:c r="D45" s="4" t="str">
        <x:v>|核算并记录分成结算|由平台财务核算主播收益，并记录线下结算结果。|</x:v>
      </x:c>
      <x:c r="E45" s="4" t="str">
        <x:v>尚未建立场景映射</x:v>
      </x:c>
      <x:c r="F45" s="4" t="str"/>
      <x:c r="G45" s="4" t="str">
        <x:v>系统概要或共同业务条款：已保留全文，不用端侧用例数量反推本条完整覆盖；跨段等价映射尚未逐项闭合。</x:v>
      </x:c>
    </x:row>
    <x:row r="46" ht="44" customHeight="1">
      <x:c r="A46" s="4" t="str">
        <x:v>概要-86</x:v>
      </x:c>
      <x:c r="B46" s="4" t="str">
        <x:v>系统概要与公共规则</x:v>
      </x:c>
      <x:c r="C46" s="4" t="n">
        <x:v>86</x:v>
      </x:c>
      <x:c r="D46" s="4" t="str">
        <x:v>|管理运营账号与虚拟金币|启停运营账号，管理公会管理账号权限，限制虚拟金币额度发放。|</x:v>
      </x:c>
      <x:c r="E46" s="4" t="str">
        <x:v>尚未建立场景映射</x:v>
      </x:c>
      <x:c r="F46" s="4" t="str"/>
      <x:c r="G46" s="4" t="str">
        <x:v>系统概要或共同业务条款：已保留全文，不用端侧用例数量反推本条完整覆盖；跨段等价映射尚未逐项闭合。</x:v>
      </x:c>
    </x:row>
    <x:row r="47" ht="44" customHeight="1">
      <x:c r="A47" s="4" t="str">
        <x:v>概要-96</x:v>
      </x:c>
      <x:c r="B47" s="4" t="str">
        <x:v>系统概要与公共规则</x:v>
      </x:c>
      <x:c r="C47" s="4" t="n">
        <x:v>96</x:v>
      </x:c>
      <x:c r="D47" s="4" t="str">
        <x:v>- 用户成为主播，需上传认证资料（ktp身份证或驾照）并提交入会申请。公会初审和平台终审均通过后，加入公会并获得主播身份。</x:v>
      </x:c>
      <x:c r="E47" s="4" t="str">
        <x:v>尚未建立场景映射</x:v>
      </x:c>
      <x:c r="F47" s="4" t="str"/>
      <x:c r="G47" s="4" t="str">
        <x:v>系统概要或共同业务条款：已保留全文，不用端侧用例数量反推本条完整覆盖；跨段等价映射尚未逐项闭合。</x:v>
      </x:c>
    </x:row>
    <x:row r="48" ht="44" customHeight="1">
      <x:c r="A48" s="4" t="str">
        <x:v>概要-98</x:v>
      </x:c>
      <x:c r="B48" s="4" t="str">
        <x:v>系统概要与公共规则</x:v>
      </x:c>
      <x:c r="C48" s="4" t="n">
        <x:v>98</x:v>
      </x:c>
      <x:c r="D48" s="4" t="str">
        <x:v>- 用户身份和主播身份共用账号、个人资料、社交关系及金币资产。</x:v>
      </x:c>
      <x:c r="E48" s="4" t="str">
        <x:v>尚未建立场景映射</x:v>
      </x:c>
      <x:c r="F48" s="4" t="str"/>
      <x:c r="G48" s="4" t="str">
        <x:v>系统概要或共同业务条款：已保留全文，不用端侧用例数量反推本条完整覆盖；跨段等价映射尚未逐项闭合。</x:v>
      </x:c>
    </x:row>
    <x:row r="49" ht="44" customHeight="1">
      <x:c r="A49" s="4" t="str">
        <x:v>概要-100</x:v>
      </x:c>
      <x:c r="B49" s="4" t="str">
        <x:v>系统概要与公共规则</x:v>
      </x:c>
      <x:c r="C49" s="4" t="n">
        <x:v>100</x:v>
      </x:c>
      <x:c r="D49" s="4" t="str">
        <x:v>- 主播身份与直播权限分别管理。成为主播且直播权限开启后才能开播。</x:v>
      </x:c>
      <x:c r="E49" s="4" t="str">
        <x:v>尚未建立场景映射</x:v>
      </x:c>
      <x:c r="F49" s="4" t="str"/>
      <x:c r="G49" s="4" t="str">
        <x:v>系统概要或共同业务条款：已保留全文，不用端侧用例数量反推本条完整覆盖；跨段等价映射尚未逐项闭合。</x:v>
      </x:c>
    </x:row>
    <x:row r="50" ht="44" customHeight="1">
      <x:c r="A50" s="4" t="str">
        <x:v>概要-102</x:v>
      </x:c>
      <x:c r="B50" s="4" t="str">
        <x:v>系统概要与公共规则</x:v>
      </x:c>
      <x:c r="C50" s="4" t="n">
        <x:v>102</x:v>
      </x:c>
      <x:c r="D50" s="4" t="str">
        <x:v>- 头像和昵称修改后进入平台风控检测，通过后生效；检测不通过时保留原资料。其他资料直接保存。</x:v>
      </x:c>
      <x:c r="E50" s="4" t="str">
        <x:v>尚未建立场景映射</x:v>
      </x:c>
      <x:c r="F50" s="4" t="str"/>
      <x:c r="G50" s="4" t="str">
        <x:v>系统概要或共同业务条款：已保留全文，不用端侧用例数量反推本条完整覆盖；跨段等价映射尚未逐项闭合。</x:v>
      </x:c>
    </x:row>
    <x:row r="51" ht="44" customHeight="1">
      <x:c r="A51" s="4" t="str">
        <x:v>概要-104</x:v>
      </x:c>
      <x:c r="B51" s="4" t="str">
        <x:v>系统概要与公共规则</x:v>
      </x:c>
      <x:c r="C51" s="4" t="n">
        <x:v>104</x:v>
      </x:c>
      <x:c r="D51" s="4" t="str">
        <x:v>| 账号状态 | 说明 |</x:v>
      </x:c>
      <x:c r="E51" s="4" t="str">
        <x:v>尚未建立场景映射</x:v>
      </x:c>
      <x:c r="F51" s="4" t="str"/>
      <x:c r="G51" s="4" t="str">
        <x:v>系统概要或共同业务条款：已保留全文，不用端侧用例数量反推本条完整覆盖；跨段等价映射尚未逐项闭合。</x:v>
      </x:c>
    </x:row>
    <x:row r="52" ht="44" customHeight="1">
      <x:c r="A52" s="4" t="str">
        <x:v>概要-106</x:v>
      </x:c>
      <x:c r="B52" s="4" t="str">
        <x:v>系统概要与公共规则</x:v>
      </x:c>
      <x:c r="C52" s="4" t="n">
        <x:v>106</x:v>
      </x:c>
      <x:c r="D52" s="4" t="str">
        <x:v>| 正常 | 可登录用户APP|</x:v>
      </x:c>
      <x:c r="E52" s="4" t="str">
        <x:v>尚未建立场景映射</x:v>
      </x:c>
      <x:c r="F52" s="4" t="str"/>
      <x:c r="G52" s="4" t="str">
        <x:v>系统概要或共同业务条款：已保留全文，不用端侧用例数量反推本条完整覆盖；跨段等价映射尚未逐项闭合。</x:v>
      </x:c>
    </x:row>
    <x:row r="53" ht="44" customHeight="1">
      <x:c r="A53" s="4" t="str">
        <x:v>概要-107</x:v>
      </x:c>
      <x:c r="B53" s="4" t="str">
        <x:v>系统概要与公共规则</x:v>
      </x:c>
      <x:c r="C53" s="4" t="n">
        <x:v>107</x:v>
      </x:c>
      <x:c r="D53" s="4" t="str">
        <x:v>| 封禁 | 不管是否有主播身份，均无法登录用户APP|</x:v>
      </x:c>
      <x:c r="E53" s="4" t="str">
        <x:v>尚未建立场景映射</x:v>
      </x:c>
      <x:c r="F53" s="4" t="str"/>
      <x:c r="G53" s="4" t="str">
        <x:v>系统概要或共同业务条款：已保留全文，不用端侧用例数量反推本条完整覆盖；跨段等价映射尚未逐项闭合。</x:v>
      </x:c>
    </x:row>
    <x:row r="54" ht="44" customHeight="1">
      <x:c r="A54" s="4" t="str">
        <x:v>概要-113</x:v>
      </x:c>
      <x:c r="B54" s="4" t="str">
        <x:v>系统概要与公共规则</x:v>
      </x:c>
      <x:c r="C54" s="4" t="n">
        <x:v>113</x:v>
      </x:c>
      <x:c r="D54" s="4" t="str">
        <x:v>1. 同一用户只能存在一笔处理中入会申请，且只能加入一个公会。</x:v>
      </x:c>
      <x:c r="E54" s="4" t="str">
        <x:v>尚未建立场景映射</x:v>
      </x:c>
      <x:c r="F54" s="4" t="str"/>
      <x:c r="G54" s="4" t="str">
        <x:v>系统概要或共同业务条款：已保留全文，不用端侧用例数量反推本条完整覆盖；跨段等价映射尚未逐项闭合。</x:v>
      </x:c>
    </x:row>
    <x:row r="55" ht="44" customHeight="1">
      <x:c r="A55" s="4" t="str">
        <x:v>概要-115</x:v>
      </x:c>
      <x:c r="B55" s="4" t="str">
        <x:v>系统概要与公共规则</x:v>
      </x:c>
      <x:c r="C55" s="4" t="n">
        <x:v>115</x:v>
      </x:c>
      <x:c r="D55" s="4" t="str">
        <x:v>2. 公会驳回后，申请单作废，用户可以重新提交申请。</x:v>
      </x:c>
      <x:c r="E55" s="4" t="str">
        <x:v>尚未建立场景映射</x:v>
      </x:c>
      <x:c r="F55" s="4" t="str"/>
      <x:c r="G55" s="4" t="str">
        <x:v>系统概要或共同业务条款：已保留全文，不用端侧用例数量反推本条完整覆盖；跨段等价映射尚未逐项闭合。</x:v>
      </x:c>
    </x:row>
    <x:row r="56" ht="44" customHeight="1">
      <x:c r="A56" s="4" t="str">
        <x:v>概要-117</x:v>
      </x:c>
      <x:c r="B56" s="4" t="str">
        <x:v>系统概要与公共规则</x:v>
      </x:c>
      <x:c r="C56" s="4" t="n">
        <x:v>117</x:v>
      </x:c>
      <x:c r="D56" s="4" t="str">
        <x:v>3. 公会通过后，申请进入平台终审，此时用户尚未加入公会，也未获得主播身份。</x:v>
      </x:c>
      <x:c r="E56" s="4" t="str">
        <x:v>尚未建立场景映射</x:v>
      </x:c>
      <x:c r="F56" s="4" t="str"/>
      <x:c r="G56" s="4" t="str">
        <x:v>系统概要或共同业务条款：已保留全文，不用端侧用例数量反推本条完整覆盖；跨段等价映射尚未逐项闭合。</x:v>
      </x:c>
    </x:row>
    <x:row r="57" ht="44" customHeight="1">
      <x:c r="A57" s="4" t="str">
        <x:v>概要-119</x:v>
      </x:c>
      <x:c r="B57" s="4" t="str">
        <x:v>系统概要与公共规则</x:v>
      </x:c>
      <x:c r="C57" s="4" t="n">
        <x:v>119</x:v>
      </x:c>
      <x:c r="D57" s="4" t="str">
        <x:v>4. 平台驳回后，申请单作废，用户可以重新提交申请。</x:v>
      </x:c>
      <x:c r="E57" s="4" t="str">
        <x:v>尚未建立场景映射</x:v>
      </x:c>
      <x:c r="F57" s="4" t="str"/>
      <x:c r="G57" s="4" t="str">
        <x:v>系统概要或共同业务条款：已保留全文，不用端侧用例数量反推本条完整覆盖；跨段等价映射尚未逐项闭合。</x:v>
      </x:c>
    </x:row>
    <x:row r="58" ht="44" customHeight="1">
      <x:c r="A58" s="4" t="str">
        <x:v>概要-121</x:v>
      </x:c>
      <x:c r="B58" s="4" t="str">
        <x:v>系统概要与公共规则</x:v>
      </x:c>
      <x:c r="C58" s="4" t="n">
        <x:v>121</x:v>
      </x:c>
      <x:c r="D58" s="4" t="str">
        <x:v>5. 平台通过后，用户加入公会并获得主播身份。</x:v>
      </x:c>
      <x:c r="E58" s="4" t="str">
        <x:v>尚未建立场景映射</x:v>
      </x:c>
      <x:c r="F58" s="4" t="str"/>
      <x:c r="G58" s="4" t="str">
        <x:v>系统概要或共同业务条款：已保留全文，不用端侧用例数量反推本条完整覆盖；跨段等价映射尚未逐项闭合。</x:v>
      </x:c>
    </x:row>
    <x:row r="59" ht="44" customHeight="1">
      <x:c r="A59" s="4" t="str">
        <x:v>概要-123</x:v>
      </x:c>
      <x:c r="B59" s="4" t="str">
        <x:v>系统概要与公共规则</x:v>
      </x:c>
      <x:c r="C59" s="4" t="n">
        <x:v>123</x:v>
      </x:c>
      <x:c r="D59" s="4" t="str">
        <x:v>6. 主播可申请退会，公会也可直接移除主播；退出公会将失去主播身份。</x:v>
      </x:c>
      <x:c r="E59" s="4" t="str">
        <x:v>尚未建立场景映射</x:v>
      </x:c>
      <x:c r="F59" s="4" t="str"/>
      <x:c r="G59" s="4" t="str">
        <x:v>系统概要或共同业务条款：已保留全文，不用端侧用例数量反推本条完整覆盖；跨段等价映射尚未逐项闭合。</x:v>
      </x:c>
    </x:row>
    <x:row r="60" ht="44" customHeight="1">
      <x:c r="A60" s="4" t="str">
        <x:v>概要-129</x:v>
      </x:c>
      <x:c r="B60" s="4" t="str">
        <x:v>系统概要与公共规则</x:v>
      </x:c>
      <x:c r="C60" s="4" t="n">
        <x:v>129</x:v>
      </x:c>
      <x:c r="D60" s="4" t="str">
        <x:v>|状态|身份/关系|用户/主播|公会|平台|</x:v>
      </x:c>
      <x:c r="E60" s="4" t="str">
        <x:v>尚未建立场景映射</x:v>
      </x:c>
      <x:c r="F60" s="4" t="str"/>
      <x:c r="G60" s="4" t="str">
        <x:v>系统概要或共同业务条款：已保留全文，不用端侧用例数量反推本条完整覆盖；跨段等价映射尚未逐项闭合。</x:v>
      </x:c>
    </x:row>
    <x:row r="61" ht="44" customHeight="1">
      <x:c r="A61" s="4" t="str">
        <x:v>概要-131</x:v>
      </x:c>
      <x:c r="B61" s="4" t="str">
        <x:v>系统概要与公共规则</x:v>
      </x:c>
      <x:c r="C61" s="4" t="n">
        <x:v>131</x:v>
      </x:c>
      <x:c r="D61" s="4" t="str">
        <x:v>|待审核|用户|\-\-|通过/驳回|\-\-|</x:v>
      </x:c>
      <x:c r="E61" s="4" t="str">
        <x:v>尚未建立场景映射</x:v>
      </x:c>
      <x:c r="F61" s="4" t="str"/>
      <x:c r="G61" s="4" t="str">
        <x:v>系统概要或共同业务条款：已保留全文，不用端侧用例数量反推本条完整覆盖；跨段等价映射尚未逐项闭合。</x:v>
      </x:c>
    </x:row>
    <x:row r="62" ht="44" customHeight="1">
      <x:c r="A62" s="4" t="str">
        <x:v>概要-132</x:v>
      </x:c>
      <x:c r="B62" s="4" t="str">
        <x:v>系统概要与公共规则</x:v>
      </x:c>
      <x:c r="C62" s="4" t="n">
        <x:v>132</x:v>
      </x:c>
      <x:c r="D62" s="4" t="str">
        <x:v>|公会驳回|用户|重新提交申请|\-\-|\-\-|</x:v>
      </x:c>
      <x:c r="E62" s="4" t="str">
        <x:v>尚未建立场景映射</x:v>
      </x:c>
      <x:c r="F62" s="4" t="str"/>
      <x:c r="G62" s="4" t="str">
        <x:v>系统概要或共同业务条款：已保留全文，不用端侧用例数量反推本条完整覆盖；跨段等价映射尚未逐项闭合。</x:v>
      </x:c>
    </x:row>
    <x:row r="63" ht="44" customHeight="1">
      <x:c r="A63" s="4" t="str">
        <x:v>概要-133</x:v>
      </x:c>
      <x:c r="B63" s="4" t="str">
        <x:v>系统概要与公共规则</x:v>
      </x:c>
      <x:c r="C63" s="4" t="n">
        <x:v>133</x:v>
      </x:c>
      <x:c r="D63" s="4" t="str">
        <x:v>|公会通过|用户|\-\-|\-\-|通过/驳回|</x:v>
      </x:c>
      <x:c r="E63" s="4" t="str">
        <x:v>尚未建立场景映射</x:v>
      </x:c>
      <x:c r="F63" s="4" t="str"/>
      <x:c r="G63" s="4" t="str">
        <x:v>系统概要或共同业务条款：已保留全文，不用端侧用例数量反推本条完整覆盖；跨段等价映射尚未逐项闭合。</x:v>
      </x:c>
    </x:row>
    <x:row r="64" ht="44" customHeight="1">
      <x:c r="A64" s="4" t="str">
        <x:v>概要-134</x:v>
      </x:c>
      <x:c r="B64" s="4" t="str">
        <x:v>系统概要与公共规则</x:v>
      </x:c>
      <x:c r="C64" s="4" t="n">
        <x:v>134</x:v>
      </x:c>
      <x:c r="D64" s="4" t="str">
        <x:v>|平台驳回|用户|重新提交申请|\-\-|\-\-|</x:v>
      </x:c>
      <x:c r="E64" s="4" t="str">
        <x:v>尚未建立场景映射</x:v>
      </x:c>
      <x:c r="F64" s="4" t="str"/>
      <x:c r="G64" s="4" t="str">
        <x:v>系统概要或共同业务条款：已保留全文，不用端侧用例数量反推本条完整覆盖；跨段等价映射尚未逐项闭合。</x:v>
      </x:c>
    </x:row>
    <x:row r="65" ht="44" customHeight="1">
      <x:c r="A65" s="4" t="str">
        <x:v>概要-135</x:v>
      </x:c>
      <x:c r="B65" s="4" t="str">
        <x:v>系统概要与公共规则</x:v>
      </x:c>
      <x:c r="C65" s="4" t="n">
        <x:v>135</x:v>
      </x:c>
      <x:c r="D65" s="4" t="str">
        <x:v>|平台通过|主播|直播权限开启时可开播|移除主播；开/关直播权限|开/关直播权限；开/关公会管理权限|</x:v>
      </x:c>
      <x:c r="E65" s="4" t="str">
        <x:v>尚未建立场景映射</x:v>
      </x:c>
      <x:c r="F65" s="4" t="str"/>
      <x:c r="G65" s="4" t="str">
        <x:v>系统概要或共同业务条款：已保留全文，不用端侧用例数量反推本条完整覆盖；跨段等价映射尚未逐项闭合。</x:v>
      </x:c>
    </x:row>
    <x:row r="66" ht="44" customHeight="1">
      <x:c r="A66" s="4" t="str">
        <x:v>概要-141</x:v>
      </x:c>
      <x:c r="B66" s="4" t="str">
        <x:v>系统概要与公共规则</x:v>
      </x:c>
      <x:c r="C66" s="4" t="n">
        <x:v>141</x:v>
      </x:c>
      <x:c r="D66" s="4" t="str">
        <x:v>|状态|身份/关系|用户/主播|公会|</x:v>
      </x:c>
      <x:c r="E66" s="4" t="str">
        <x:v>尚未建立场景映射</x:v>
      </x:c>
      <x:c r="F66" s="4" t="str"/>
      <x:c r="G66" s="4" t="str">
        <x:v>系统概要或共同业务条款：已保留全文，不用端侧用例数量反推本条完整覆盖；跨段等价映射尚未逐项闭合。</x:v>
      </x:c>
    </x:row>
    <x:row r="67" ht="44" customHeight="1">
      <x:c r="A67" s="4" t="str">
        <x:v>概要-143</x:v>
      </x:c>
      <x:c r="B67" s="4" t="str">
        <x:v>系统概要与公共规则</x:v>
      </x:c>
      <x:c r="C67" s="4" t="n">
        <x:v>143</x:v>
      </x:c>
      <x:c r="D67" s="4" t="str">
        <x:v>|待审核|主播|\-\-|同意/驳回|</x:v>
      </x:c>
      <x:c r="E67" s="4" t="str">
        <x:v>尚未建立场景映射</x:v>
      </x:c>
      <x:c r="F67" s="4" t="str"/>
      <x:c r="G67" s="4" t="str">
        <x:v>系统概要或共同业务条款：已保留全文，不用端侧用例数量反推本条完整覆盖；跨段等价映射尚未逐项闭合。</x:v>
      </x:c>
    </x:row>
    <x:row r="68" ht="44" customHeight="1">
      <x:c r="A68" s="4" t="str">
        <x:v>概要-144</x:v>
      </x:c>
      <x:c r="B68" s="4" t="str">
        <x:v>系统概要与公共规则</x:v>
      </x:c>
      <x:c r="C68" s="4" t="n">
        <x:v>144</x:v>
      </x:c>
      <x:c r="D68" s="4" t="str">
        <x:v>|驳回|主播|重新提交退会申请|\-\-|</x:v>
      </x:c>
      <x:c r="E68" s="4" t="str">
        <x:v>尚未建立场景映射</x:v>
      </x:c>
      <x:c r="F68" s="4" t="str"/>
      <x:c r="G68" s="4" t="str">
        <x:v>系统概要或共同业务条款：已保留全文，不用端侧用例数量反推本条完整覆盖；跨段等价映射尚未逐项闭合。</x:v>
      </x:c>
    </x:row>
    <x:row r="69" ht="44" customHeight="1">
      <x:c r="A69" s="4" t="str">
        <x:v>概要-145</x:v>
      </x:c>
      <x:c r="B69" s="4" t="str">
        <x:v>系统概要与公共规则</x:v>
      </x:c>
      <x:c r="C69" s="4" t="n">
        <x:v>145</x:v>
      </x:c>
      <x:c r="D69" s="4" t="str">
        <x:v>|通过|用户，退出公会并失去主播身份|申请加入公会|\-\-|</x:v>
      </x:c>
      <x:c r="E69" s="4" t="str">
        <x:v>尚未建立场景映射</x:v>
      </x:c>
      <x:c r="F69" s="4" t="str"/>
      <x:c r="G69" s="4" t="str">
        <x:v>系统概要或共同业务条款：已保留全文，不用端侧用例数量反推本条完整覆盖；跨段等价映射尚未逐项闭合。</x:v>
      </x:c>
    </x:row>
    <x:row r="70" ht="44" customHeight="1">
      <x:c r="A70" s="4" t="str">
        <x:v>概要-151</x:v>
      </x:c>
      <x:c r="B70" s="4" t="str">
        <x:v>系统概要与公共规则</x:v>
      </x:c>
      <x:c r="C70" s="4" t="n">
        <x:v>151</x:v>
      </x:c>
      <x:c r="D70" s="4" t="str">
        <x:v>- 公会创建：</x:v>
      </x:c>
      <x:c r="E70" s="4" t="str">
        <x:v>尚未建立场景映射</x:v>
      </x:c>
      <x:c r="F70" s="4" t="str"/>
      <x:c r="G70" s="4" t="str">
        <x:v>系统概要或共同业务条款：已保留全文，不用端侧用例数量反推本条完整覆盖；跨段等价映射尚未逐项闭合。</x:v>
      </x:c>
    </x:row>
    <x:row r="71" ht="44" customHeight="1">
      <x:c r="A71" s="4" t="str">
        <x:v>概要-154</x:v>
      </x:c>
      <x:c r="B71" s="4" t="str">
        <x:v>系统概要与公共规则</x:v>
      </x:c>
      <x:c r="C71" s="4" t="n">
        <x:v>154</x:v>
      </x:c>
      <x:c r="D71" s="4" t="str">
        <x:v>- 公会状态：</x:v>
      </x:c>
      <x:c r="E71" s="4" t="str">
        <x:v>尚未建立场景映射</x:v>
      </x:c>
      <x:c r="F71" s="4" t="str"/>
      <x:c r="G71" s="4" t="str">
        <x:v>系统概要或共同业务条款：已保留全文，不用端侧用例数量反推本条完整覆盖；跨段等价映射尚未逐项闭合。</x:v>
      </x:c>
    </x:row>
    <x:row r="72" ht="44" customHeight="1">
      <x:c r="A72" s="4" t="str">
        <x:v>概要-156</x:v>
      </x:c>
      <x:c r="B72" s="4" t="str">
        <x:v>系统概要与公共规则</x:v>
      </x:c>
      <x:c r="C72" s="4" t="n">
        <x:v>156</x:v>
      </x:c>
      <x:c r="D72" s="4" t="str">
        <x:v>| 状态 | 说明 |</x:v>
      </x:c>
      <x:c r="E72" s="4" t="str">
        <x:v>尚未建立场景映射</x:v>
      </x:c>
      <x:c r="F72" s="4" t="str"/>
      <x:c r="G72" s="4" t="str">
        <x:v>系统概要或共同业务条款：已保留全文，不用端侧用例数量反推本条完整覆盖；跨段等价映射尚未逐项闭合。</x:v>
      </x:c>
    </x:row>
    <x:row r="73" ht="44" customHeight="1">
      <x:c r="A73" s="4" t="str">
        <x:v>概要-158</x:v>
      </x:c>
      <x:c r="B73" s="4" t="str">
        <x:v>系统概要与公共规则</x:v>
      </x:c>
      <x:c r="C73" s="4" t="n">
        <x:v>158</x:v>
      </x:c>
      <x:c r="D73" s="4" t="str">
        <x:v>| 正常 | 正常使用|</x:v>
      </x:c>
      <x:c r="E73" s="4" t="str">
        <x:v>尚未建立场景映射</x:v>
      </x:c>
      <x:c r="F73" s="4" t="str"/>
      <x:c r="G73" s="4" t="str">
        <x:v>系统概要或共同业务条款：已保留全文，不用端侧用例数量反推本条完整覆盖；跨段等价映射尚未逐项闭合。</x:v>
      </x:c>
    </x:row>
    <x:row r="74" ht="57" customHeight="1">
      <x:c r="A74" s="4" t="str">
        <x:v>概要-159</x:v>
      </x:c>
      <x:c r="B74" s="4" t="str">
        <x:v>系统概要与公共规则</x:v>
      </x:c>
      <x:c r="C74" s="4" t="n">
        <x:v>159</x:v>
      </x:c>
      <x:c r="D74" s="4" t="str">
        <x:v>| 停用 | 由平台操作，公会冻结后，平台搜索不到、公会长无法登录、主播关系解除，名下主播失去主播身份并停止开播。所有业务数据保留，平台后台可查看 |</x:v>
      </x:c>
      <x:c r="E74" s="4" t="str">
        <x:v>尚未建立场景映射</x:v>
      </x:c>
      <x:c r="F74" s="4" t="str"/>
      <x:c r="G74" s="4" t="str">
        <x:v>系统概要或共同业务条款：已保留全文，不用端侧用例数量反推本条完整覆盖；跨段等价映射尚未逐项闭合。</x:v>
      </x:c>
    </x:row>
    <x:row r="75" ht="44" customHeight="1">
      <x:c r="A75" s="4" t="str">
        <x:v>概要-161</x:v>
      </x:c>
      <x:c r="B75" s="4" t="str">
        <x:v>系统概要与公共规则</x:v>
      </x:c>
      <x:c r="C75" s="4" t="n">
        <x:v>161</x:v>
      </x:c>
      <x:c r="D75" s="4" t="str">
        <x:v>- 公会长账号：</x:v>
      </x:c>
      <x:c r="E75" s="4" t="str">
        <x:v>尚未建立场景映射</x:v>
      </x:c>
      <x:c r="F75" s="4" t="str"/>
      <x:c r="G75" s="4" t="str">
        <x:v>系统概要或共同业务条款：已保留全文，不用端侧用例数量反推本条完整覆盖；跨段等价映射尚未逐项闭合。</x:v>
      </x:c>
    </x:row>
    <x:row r="76" ht="44" customHeight="1">
      <x:c r="A76" s="4" t="str">
        <x:v>概要-163</x:v>
      </x:c>
      <x:c r="B76" s="4" t="str">
        <x:v>系统概要与公共规则</x:v>
      </x:c>
      <x:c r="C76" s="4" t="n">
        <x:v>163</x:v>
      </x:c>
      <x:c r="D76" s="4" t="str">
        <x:v>- 公会长账号状态：</x:v>
      </x:c>
      <x:c r="E76" s="4" t="str">
        <x:v>尚未建立场景映射</x:v>
      </x:c>
      <x:c r="F76" s="4" t="str"/>
      <x:c r="G76" s="4" t="str">
        <x:v>系统概要或共同业务条款：已保留全文，不用端侧用例数量反推本条完整覆盖；跨段等价映射尚未逐项闭合。</x:v>
      </x:c>
    </x:row>
    <x:row r="77" ht="44" customHeight="1">
      <x:c r="A77" s="4" t="str">
        <x:v>概要-165</x:v>
      </x:c>
      <x:c r="B77" s="4" t="str">
        <x:v>系统概要与公共规则</x:v>
      </x:c>
      <x:c r="C77" s="4" t="n">
        <x:v>165</x:v>
      </x:c>
      <x:c r="D77" s="4" t="str">
        <x:v>| 状态 | 说明 |</x:v>
      </x:c>
      <x:c r="E77" s="4" t="str">
        <x:v>尚未建立场景映射</x:v>
      </x:c>
      <x:c r="F77" s="4" t="str"/>
      <x:c r="G77" s="4" t="str">
        <x:v>系统概要或共同业务条款：已保留全文，不用端侧用例数量反推本条完整覆盖；跨段等价映射尚未逐项闭合。</x:v>
      </x:c>
    </x:row>
    <x:row r="78" ht="44" customHeight="1">
      <x:c r="A78" s="4" t="str">
        <x:v>概要-167</x:v>
      </x:c>
      <x:c r="B78" s="4" t="str">
        <x:v>系统概要与公共规则</x:v>
      </x:c>
      <x:c r="C78" s="4" t="n">
        <x:v>167</x:v>
      </x:c>
      <x:c r="D78" s="4" t="str">
        <x:v>| 正常 | 可登录公会APP|</x:v>
      </x:c>
      <x:c r="E78" s="4" t="str">
        <x:v>尚未建立场景映射</x:v>
      </x:c>
      <x:c r="F78" s="4" t="str"/>
      <x:c r="G78" s="4" t="str">
        <x:v>系统概要或共同业务条款：已保留全文，不用端侧用例数量反推本条完整覆盖；跨段等价映射尚未逐项闭合。</x:v>
      </x:c>
    </x:row>
    <x:row r="79" ht="44" customHeight="1">
      <x:c r="A79" s="4" t="str">
        <x:v>概要-168</x:v>
      </x:c>
      <x:c r="B79" s="4" t="str">
        <x:v>系统概要与公共规则</x:v>
      </x:c>
      <x:c r="C79" s="4" t="n">
        <x:v>168</x:v>
      </x:c>
      <x:c r="D79" s="4" t="str">
        <x:v>| 停用 | 无法登录公会APP，对公会中主播无影响|</x:v>
      </x:c>
      <x:c r="E79" s="4" t="str">
        <x:v>尚未建立场景映射</x:v>
      </x:c>
      <x:c r="F79" s="4" t="str"/>
      <x:c r="G79" s="4" t="str">
        <x:v>系统概要或共同业务条款：已保留全文，不用端侧用例数量反推本条完整覆盖；跨段等价映射尚未逐项闭合。</x:v>
      </x:c>
    </x:row>
    <x:row r="80" ht="44" customHeight="1">
      <x:c r="A80" s="4" t="str">
        <x:v>概要-178</x:v>
      </x:c>
      <x:c r="B80" s="4" t="str">
        <x:v>系统概要与公共规则</x:v>
      </x:c>
      <x:c r="C80" s="4" t="n">
        <x:v>178</x:v>
      </x:c>
      <x:c r="D80" s="4" t="str">
        <x:v>- 每个主播对应一个长期存在的直播间ID；每次开播创建一个新的直播场次。</x:v>
      </x:c>
      <x:c r="E80" s="4" t="str">
        <x:v>尚未建立场景映射</x:v>
      </x:c>
      <x:c r="F80" s="4" t="str"/>
      <x:c r="G80" s="4" t="str">
        <x:v>系统概要或共同业务条款：已保留全文，不用端侧用例数量反推本条完整覆盖；跨段等价映射尚未逐项闭合。</x:v>
      </x:c>
    </x:row>
    <x:row r="81" ht="44" customHeight="1">
      <x:c r="A81" s="4" t="str">
        <x:v>概要-180</x:v>
      </x:c>
      <x:c r="B81" s="4" t="str">
        <x:v>系统概要与公共规则</x:v>
      </x:c>
      <x:c r="C81" s="4" t="n">
        <x:v>180</x:v>
      </x:c>
      <x:c r="D81" s="4" t="str">
        <x:v>- 直播标题、封面、分类、房间类型、门票价格和密码等内容归属于当前直播场次。</x:v>
      </x:c>
      <x:c r="E81" s="4" t="str">
        <x:v>尚未建立场景映射</x:v>
      </x:c>
      <x:c r="F81" s="4" t="str"/>
      <x:c r="G81" s="4" t="str">
        <x:v>系统概要或共同业务条款：已保留全文，不用端侧用例数量反推本条完整覆盖；跨段等价映射尚未逐项闭合。</x:v>
      </x:c>
    </x:row>
    <x:row r="82" ht="44" customHeight="1">
      <x:c r="A82" s="4" t="str">
        <x:v>概要-182</x:v>
      </x:c>
      <x:c r="B82" s="4" t="str">
        <x:v>系统概要与公共规则</x:v>
      </x:c>
      <x:c r="C82" s="4" t="n">
        <x:v>182</x:v>
      </x:c>
      <x:c r="D82" s="4" t="str">
        <x:v>- 直播结束后关闭当前场次，历史消息、消费、处置和收益记录继续保留。</x:v>
      </x:c>
      <x:c r="E82" s="4" t="str">
        <x:v>尚未建立场景映射</x:v>
      </x:c>
      <x:c r="F82" s="4" t="str"/>
      <x:c r="G82" s="4" t="str">
        <x:v>系统概要或共同业务条款：已保留全文，不用端侧用例数量反推本条完整覆盖；跨段等价映射尚未逐项闭合。</x:v>
      </x:c>
    </x:row>
    <x:row r="83" ht="44" customHeight="1">
      <x:c r="A83" s="4" t="str">
        <x:v>概要-188</x:v>
      </x:c>
      <x:c r="B83" s="4" t="str">
        <x:v>系统概要与公共规则</x:v>
      </x:c>
      <x:c r="C83" s="4" t="n">
        <x:v>188</x:v>
      </x:c>
      <x:c r="D83" s="4" t="str">
        <x:v>|房间类型|进入规则|</x:v>
      </x:c>
      <x:c r="E83" s="4" t="str">
        <x:v>尚未建立场景映射</x:v>
      </x:c>
      <x:c r="F83" s="4" t="str"/>
      <x:c r="G83" s="4" t="str">
        <x:v>系统概要或共同业务条款：已保留全文，不用端侧用例数量反推本条完整覆盖；跨段等价映射尚未逐项闭合。</x:v>
      </x:c>
    </x:row>
    <x:row r="84" ht="44" customHeight="1">
      <x:c r="A84" s="4" t="str">
        <x:v>概要-190</x:v>
      </x:c>
      <x:c r="B84" s="4" t="str">
        <x:v>系统概要与公共规则</x:v>
      </x:c>
      <x:c r="C84" s="4" t="n">
        <x:v>190</x:v>
      </x:c>
      <x:c r="D84" s="4" t="str">
        <x:v>|普通房|用户账号状态未禁用，用户和直播间对应主播无拉黑关系。|</x:v>
      </x:c>
      <x:c r="E84" s="4" t="str">
        <x:v>尚未建立场景映射</x:v>
      </x:c>
      <x:c r="F84" s="4" t="str"/>
      <x:c r="G84" s="4" t="str">
        <x:v>系统概要或共同业务条款：已保留全文，不用端侧用例数量反推本条完整覆盖；跨段等价映射尚未逐项闭合。</x:v>
      </x:c>
    </x:row>
    <x:row r="85" ht="44" customHeight="1">
      <x:c r="A85" s="4" t="str">
        <x:v>概要-191</x:v>
      </x:c>
      <x:c r="B85" s="4" t="str">
        <x:v>系统概要与公共规则</x:v>
      </x:c>
      <x:c r="C85" s="4" t="n">
        <x:v>191</x:v>
      </x:c>
      <x:c r="D85" s="4" t="str">
        <x:v>|门票房|用户支付当前场次门票后进入；同一场次重复进入不重复收费。场次结束或用户被踢出后门票失效，不退还已支付金币。|</x:v>
      </x:c>
      <x:c r="E85" s="4" t="str">
        <x:v>尚未建立场景映射</x:v>
      </x:c>
      <x:c r="F85" s="4" t="str"/>
      <x:c r="G85" s="4" t="str">
        <x:v>系统概要或共同业务条款：已保留全文，不用端侧用例数量反推本条完整覆盖；跨段等价映射尚未逐项闭合。</x:v>
      </x:c>
    </x:row>
    <x:row r="86" ht="44" customHeight="1">
      <x:c r="A86" s="4" t="str">
        <x:v>概要-192</x:v>
      </x:c>
      <x:c r="B86" s="4" t="str">
        <x:v>系统概要与公共规则</x:v>
      </x:c>
      <x:c r="C86" s="4" t="n">
        <x:v>192</x:v>
      </x:c>
      <x:c r="D86" s="4" t="str">
        <x:v>|密码房|用户通过房间密码校验后进入；|</x:v>
      </x:c>
      <x:c r="E86" s="4" t="str">
        <x:v>尚未建立场景映射</x:v>
      </x:c>
      <x:c r="F86" s="4" t="str"/>
      <x:c r="G86" s="4" t="str">
        <x:v>系统概要或共同业务条款：已保留全文，不用端侧用例数量反推本条完整覆盖；跨段等价映射尚未逐项闭合。</x:v>
      </x:c>
    </x:row>
    <x:row r="87" ht="44" customHeight="1">
      <x:c r="A87" s="4" t="str">
        <x:v>概要-194</x:v>
      </x:c>
      <x:c r="B87" s="4" t="str">
        <x:v>系统概要与公共规则</x:v>
      </x:c>
      <x:c r="C87" s="4" t="n">
        <x:v>194</x:v>
      </x:c>
      <x:c r="D87" s="4" t="str">
        <x:v>- 门票房和密码房由平台功能开关控制，关闭时主播不能选择对应房型。</x:v>
      </x:c>
      <x:c r="E87" s="4" t="str">
        <x:v>尚未建立场景映射</x:v>
      </x:c>
      <x:c r="F87" s="4" t="str"/>
      <x:c r="G87" s="4" t="str">
        <x:v>系统概要或共同业务条款：已保留全文，不用端侧用例数量反推本条完整覆盖；跨段等价映射尚未逐项闭合。</x:v>
      </x:c>
    </x:row>
    <x:row r="88" ht="44" customHeight="1">
      <x:c r="A88" s="4" t="str">
        <x:v>概要-196</x:v>
      </x:c>
      <x:c r="B88" s="4" t="str">
        <x:v>系统概要与公共规则</x:v>
      </x:c>
      <x:c r="C88" s="4" t="n">
        <x:v>196</x:v>
      </x:c>
      <x:c r="D88" s="4" t="str">
        <x:v>- 账号封禁、账号拉黑和本场踢出等限制优先于房间准入规则。</x:v>
      </x:c>
      <x:c r="E88" s="4" t="str">
        <x:v>尚未建立场景映射</x:v>
      </x:c>
      <x:c r="F88" s="4" t="str"/>
      <x:c r="G88" s="4" t="str">
        <x:v>系统概要或共同业务条款：已保留全文，不用端侧用例数量反推本条完整覆盖；跨段等价映射尚未逐项闭合。</x:v>
      </x:c>
    </x:row>
    <x:row r="89" ht="44" customHeight="1">
      <x:c r="A89" s="4" t="str">
        <x:v>概要-202</x:v>
      </x:c>
      <x:c r="B89" s="4" t="str">
        <x:v>系统概要与公共规则</x:v>
      </x:c>
      <x:c r="C89" s="4" t="n">
        <x:v>202</x:v>
      </x:c>
      <x:c r="D89" s="4" t="str">
        <x:v>- 开播条件为：账号可用、公会有效、主播认证通过且直播权限已开启。</x:v>
      </x:c>
      <x:c r="E89" s="4" t="str">
        <x:v>尚未建立场景映射</x:v>
      </x:c>
      <x:c r="F89" s="4" t="str"/>
      <x:c r="G89" s="4" t="str">
        <x:v>系统概要或共同业务条款：已保留全文，不用端侧用例数量反推本条完整覆盖；跨段等价映射尚未逐项闭合。</x:v>
      </x:c>
    </x:row>
    <x:row r="90" ht="44" customHeight="1">
      <x:c r="A90" s="4" t="str">
        <x:v>概要-204</x:v>
      </x:c>
      <x:c r="B90" s="4" t="str">
        <x:v>系统概要与公共规则</x:v>
      </x:c>
      <x:c r="C90" s="4" t="n">
        <x:v>204</x:v>
      </x:c>
      <x:c r="D90" s="4" t="str">
        <x:v>- 直播权限被关闭后，主播不能再次开播；正在直播时立即结束当前场次。</x:v>
      </x:c>
      <x:c r="E90" s="4" t="str">
        <x:v>尚未建立场景映射</x:v>
      </x:c>
      <x:c r="F90" s="4" t="str"/>
      <x:c r="G90" s="4" t="str">
        <x:v>系统概要或共同业务条款：已保留全文，不用端侧用例数量反推本条完整覆盖；跨段等价映射尚未逐项闭合。</x:v>
      </x:c>
    </x:row>
    <x:row r="91" ht="44" customHeight="1">
      <x:c r="A91" s="4" t="str">
        <x:v>概要-206</x:v>
      </x:c>
      <x:c r="B91" s="4" t="str">
        <x:v>系统概要与公共规则</x:v>
      </x:c>
      <x:c r="C91" s="4" t="n">
        <x:v>206</x:v>
      </x:c>
      <x:c r="D91" s="4" t="str">
        <x:v>- 平台、公会对主播开播权限的管理规则：</x:v>
      </x:c>
      <x:c r="E91" s="4" t="str">
        <x:v>尚未建立场景映射</x:v>
      </x:c>
      <x:c r="F91" s="4" t="str"/>
      <x:c r="G91" s="4" t="str">
        <x:v>系统概要或共同业务条款：已保留全文，不用端侧用例数量反推本条完整覆盖；跨段等价映射尚未逐项闭合。</x:v>
      </x:c>
    </x:row>
    <x:row r="92" ht="44" customHeight="1">
      <x:c r="A92" s="4" t="str">
        <x:v>概要-208</x:v>
      </x:c>
      <x:c r="B92" s="4" t="str">
        <x:v>系统概要与公共规则</x:v>
      </x:c>
      <x:c r="C92" s="4" t="n">
        <x:v>208</x:v>
      </x:c>
      <x:c r="D92" s="4" t="str">
        <x:v>|平台|公会|主播最终开播权限|</x:v>
      </x:c>
      <x:c r="E92" s="4" t="str">
        <x:v>尚未建立场景映射</x:v>
      </x:c>
      <x:c r="F92" s="4" t="str"/>
      <x:c r="G92" s="4" t="str">
        <x:v>系统概要或共同业务条款：已保留全文，不用端侧用例数量反推本条完整覆盖；跨段等价映射尚未逐项闭合。</x:v>
      </x:c>
    </x:row>
    <x:row r="93" ht="44" customHeight="1">
      <x:c r="A93" s="4" t="str">
        <x:v>概要-210</x:v>
      </x:c>
      <x:c r="B93" s="4" t="str">
        <x:v>系统概要与公共规则</x:v>
      </x:c>
      <x:c r="C93" s="4" t="n">
        <x:v>210</x:v>
      </x:c>
      <x:c r="D93" s="4" t="str">
        <x:v>|开启|开启|开启|</x:v>
      </x:c>
      <x:c r="E93" s="4" t="str">
        <x:v>尚未建立场景映射</x:v>
      </x:c>
      <x:c r="F93" s="4" t="str"/>
      <x:c r="G93" s="4" t="str">
        <x:v>系统概要或共同业务条款：已保留全文，不用端侧用例数量反推本条完整覆盖；跨段等价映射尚未逐项闭合。</x:v>
      </x:c>
    </x:row>
    <x:row r="94" ht="44" customHeight="1">
      <x:c r="A94" s="4" t="str">
        <x:v>概要-211</x:v>
      </x:c>
      <x:c r="B94" s="4" t="str">
        <x:v>系统概要与公共规则</x:v>
      </x:c>
      <x:c r="C94" s="4" t="n">
        <x:v>211</x:v>
      </x:c>
      <x:c r="D94" s="4" t="str">
        <x:v>|开启|关闭|关闭|</x:v>
      </x:c>
      <x:c r="E94" s="4" t="str">
        <x:v>尚未建立场景映射</x:v>
      </x:c>
      <x:c r="F94" s="4" t="str"/>
      <x:c r="G94" s="4" t="str">
        <x:v>系统概要或共同业务条款：已保留全文，不用端侧用例数量反推本条完整覆盖；跨段等价映射尚未逐项闭合。</x:v>
      </x:c>
    </x:row>
    <x:row r="95" ht="44" customHeight="1">
      <x:c r="A95" s="4" t="str">
        <x:v>概要-212</x:v>
      </x:c>
      <x:c r="B95" s="4" t="str">
        <x:v>系统概要与公共规则</x:v>
      </x:c>
      <x:c r="C95" s="4" t="n">
        <x:v>212</x:v>
      </x:c>
      <x:c r="D95" s="4" t="str">
        <x:v>|关闭（权限锁定/未锁定）|跟随平台显示，页面提示“权限已锁定”|关闭|</x:v>
      </x:c>
      <x:c r="E95" s="4" t="str">
        <x:v>尚未建立场景映射</x:v>
      </x:c>
      <x:c r="F95" s="4" t="str"/>
      <x:c r="G95" s="4" t="str">
        <x:v>系统概要或共同业务条款：已保留全文，不用端侧用例数量反推本条完整覆盖；跨段等价映射尚未逐项闭合。</x:v>
      </x:c>
    </x:row>
    <x:row r="96" ht="44" customHeight="1">
      <x:c r="A96" s="4" t="str">
        <x:v>概要-213</x:v>
      </x:c>
      <x:c r="B96" s="4" t="str">
        <x:v>系统概要与公共规则</x:v>
      </x:c>
      <x:c r="C96" s="4" t="n">
        <x:v>213</x:v>
      </x:c>
      <x:c r="D96" s="4" t="str">
        <x:v>|开启（权限锁定）|跟随平台显示，页面提示“权限已锁定”|开启|</x:v>
      </x:c>
      <x:c r="E96" s="4" t="str">
        <x:v>尚未建立场景映射</x:v>
      </x:c>
      <x:c r="F96" s="4" t="str"/>
      <x:c r="G96" s="4" t="str">
        <x:v>系统概要或共同业务条款：已保留全文，不用端侧用例数量反推本条完整覆盖；跨段等价映射尚未逐项闭合。</x:v>
      </x:c>
    </x:row>
    <x:row r="97" ht="72" customHeight="1">
      <x:c r="A97" s="4" t="str">
        <x:v>概要-214</x:v>
      </x:c>
      <x:c r="B97" s="4" t="str">
        <x:v>系统概要与公共规则</x:v>
      </x:c>
      <x:c r="C97" s="4" t="n">
        <x:v>214</x:v>
      </x:c>
      <x:c r="D97" s="4" t="str">
        <x:v>|开启（权限锁定后又取消锁定）|显示锁定前的公会权限状态。如：锁定前平台开启，公会关闭；然后平台锁定，则公会跟随平台显示开启，并提示“权限已锁定”；然后平台取消锁定，此时公会将显示关闭|显示锁定前公会设定|</x:v>
      </x:c>
      <x:c r="E97" s="4" t="str">
        <x:v>尚未建立场景映射</x:v>
      </x:c>
      <x:c r="F97" s="4" t="str"/>
      <x:c r="G97" s="4" t="str">
        <x:v>系统概要或共同业务条款：已保留全文，不用端侧用例数量反推本条完整覆盖；跨段等价映射尚未逐项闭合。</x:v>
      </x:c>
    </x:row>
    <x:row r="98" ht="44" customHeight="1">
      <x:c r="A98" s="4" t="str">
        <x:v>概要-215</x:v>
      </x:c>
      <x:c r="B98" s="4" t="str">
        <x:v>系统概要与公共规则</x:v>
      </x:c>
      <x:c r="C98" s="4" t="n">
        <x:v>215</x:v>
      </x:c>
      <x:c r="D98" s="4" t="str">
        <x:v>|关闭（关闭后又开启）|同上||</x:v>
      </x:c>
      <x:c r="E98" s="4" t="str">
        <x:v>尚未建立场景映射</x:v>
      </x:c>
      <x:c r="F98" s="4" t="str"/>
      <x:c r="G98" s="4" t="str">
        <x:v>系统概要或共同业务条款：已保留全文，不用端侧用例数量反推本条完整覆盖；跨段等价映射尚未逐项闭合。</x:v>
      </x:c>
    </x:row>
    <x:row r="99" ht="44" customHeight="1">
      <x:c r="A99" s="4" t="str">
        <x:v>概要-217</x:v>
      </x:c>
      <x:c r="B99" s="4" t="str">
        <x:v>系统概要与公共规则</x:v>
      </x:c>
      <x:c r="C99" s="4" t="n">
        <x:v>217</x:v>
      </x:c>
      <x:c r="D99" s="4" t="str">
        <x:v>- 锁定期间保留公会原设置，公会设定跟随平台；取消锁定后，按当前平台设置和公会原设置，重新计算主播的开播权限。</x:v>
      </x:c>
      <x:c r="E99" s="4" t="str">
        <x:v>尚未建立场景映射</x:v>
      </x:c>
      <x:c r="F99" s="4" t="str"/>
      <x:c r="G99" s="4" t="str">
        <x:v>系统概要或共同业务条款：已保留全文，不用端侧用例数量反推本条完整覆盖；跨段等价映射尚未逐项闭合。</x:v>
      </x:c>
    </x:row>
    <x:row r="100" ht="44" customHeight="1">
      <x:c r="A100" s="4" t="str">
        <x:v>概要-223</x:v>
      </x:c>
      <x:c r="B100" s="4" t="str">
        <x:v>系统概要与公共规则</x:v>
      </x:c>
      <x:c r="C100" s="4" t="n">
        <x:v>223</x:v>
      </x:c>
      <x:c r="D100" s="4" t="str">
        <x:v>- 一期仅普通房支持连麦，门票房、密码房不提供入口。</x:v>
      </x:c>
      <x:c r="E100" s="4" t="str">
        <x:v>尚未建立场景映射</x:v>
      </x:c>
      <x:c r="F100" s="4" t="str"/>
      <x:c r="G100" s="4" t="str">
        <x:v>系统概要或共同业务条款：已保留全文，不用端侧用例数量反推本条完整覆盖；跨段等价映射尚未逐项闭合。</x:v>
      </x:c>
    </x:row>
    <x:row r="101" ht="44" customHeight="1">
      <x:c r="A101" s="4" t="str">
        <x:v>概要-225</x:v>
      </x:c>
      <x:c r="B101" s="4" t="str">
        <x:v>系统概要与公共规则</x:v>
      </x:c>
      <x:c r="C101" s="4" t="n">
        <x:v>225</x:v>
      </x:c>
      <x:c r="D101" s="4" t="str">
        <x:v>- 一期只支持两位主播连线，不支持观众上麦或超过两位主播的连线。</x:v>
      </x:c>
      <x:c r="E101" s="4" t="str">
        <x:v>尚未建立场景映射</x:v>
      </x:c>
      <x:c r="F101" s="4" t="str"/>
      <x:c r="G101" s="4" t="str">
        <x:v>系统概要或共同业务条款：已保留全文，不用端侧用例数量反推本条完整覆盖；跨段等价映射尚未逐项闭合。</x:v>
      </x:c>
    </x:row>
    <x:row r="102" ht="44" customHeight="1">
      <x:c r="A102" s="4" t="str">
        <x:v>概要-227</x:v>
      </x:c>
      <x:c r="B102" s="4" t="str">
        <x:v>系统概要与公共规则</x:v>
      </x:c>
      <x:c r="C102" s="4" t="n">
        <x:v>227</x:v>
      </x:c>
      <x:c r="D102" s="4" t="str">
        <x:v>- 连麦结束不影响双方原直播场次，主播仍可继续直播。</x:v>
      </x:c>
      <x:c r="E102" s="4" t="str">
        <x:v>尚未建立场景映射</x:v>
      </x:c>
      <x:c r="F102" s="4" t="str"/>
      <x:c r="G102" s="4" t="str">
        <x:v>系统概要或共同业务条款：已保留全文，不用端侧用例数量反推本条完整覆盖；跨段等价映射尚未逐项闭合。</x:v>
      </x:c>
    </x:row>
    <x:row r="103" ht="44" customHeight="1">
      <x:c r="A103" s="4" t="str">
        <x:v>概要-235</x:v>
      </x:c>
      <x:c r="B103" s="4" t="str">
        <x:v>系统概要与公共规则</x:v>
      </x:c>
      <x:c r="C103" s="4" t="n">
        <x:v>235</x:v>
      </x:c>
      <x:c r="D103" s="4" t="str">
        <x:v>|动作|规则或后果|是否可取消|</x:v>
      </x:c>
      <x:c r="E103" s="4" t="str">
        <x:v>尚未建立场景映射</x:v>
      </x:c>
      <x:c r="F103" s="4" t="str"/>
      <x:c r="G103" s="4" t="str">
        <x:v>系统概要或共同业务条款：已保留全文，不用端侧用例数量反推本条完整覆盖；跨段等价映射尚未逐项闭合。</x:v>
      </x:c>
    </x:row>
    <x:row r="104" ht="57" customHeight="1">
      <x:c r="A104" s="4" t="str">
        <x:v>概要-237</x:v>
      </x:c>
      <x:c r="B104" s="4" t="str">
        <x:v>系统概要与公共规则</x:v>
      </x:c>
      <x:c r="C104" s="4" t="n">
        <x:v>237</x:v>
      </x:c>
      <x:c r="D104" s="4" t="str">
        <x:v>|拉黑|双方禁止相互搜索、关注、申请好友、私信、观看直播和加入粉丝群；&lt;br&gt;解除粉丝、关注、好友和粉丝团关系，取消拉黑后不恢复；&lt;br&gt;已有好友申请失效|是|</x:v>
      </x:c>
      <x:c r="E104" s="4" t="str">
        <x:v>尚未建立场景映射</x:v>
      </x:c>
      <x:c r="F104" s="4" t="str"/>
      <x:c r="G104" s="4" t="str">
        <x:v>系统概要或共同业务条款：已保留全文，不用端侧用例数量反推本条完整覆盖；跨段等价映射尚未逐项闭合。</x:v>
      </x:c>
    </x:row>
    <x:row r="105" ht="44" customHeight="1">
      <x:c r="A105" s="4" t="str">
        <x:v>概要-238</x:v>
      </x:c>
      <x:c r="B105" s="4" t="str">
        <x:v>系统概要与公共规则</x:v>
      </x:c>
      <x:c r="C105" s="4" t="n">
        <x:v>238</x:v>
      </x:c>
      <x:c r="D105" s="4" t="str">
        <x:v>|关注|本人关注量及被关注人粉丝量加 1；&lt;br&gt;关注账号为主播时，可以收到其开播提醒|是|</x:v>
      </x:c>
      <x:c r="E105" s="4" t="str">
        <x:v>尚未建立场景映射</x:v>
      </x:c>
      <x:c r="F105" s="4" t="str"/>
      <x:c r="G105" s="4" t="str">
        <x:v>系统概要或共同业务条款：已保留全文，不用端侧用例数量反推本条完整覆盖；跨段等价映射尚未逐项闭合。</x:v>
      </x:c>
    </x:row>
    <x:row r="106" ht="44" customHeight="1">
      <x:c r="A106" s="4" t="str">
        <x:v>概要-239</x:v>
      </x:c>
      <x:c r="B106" s="4" t="str">
        <x:v>系统概要与公共规则</x:v>
      </x:c>
      <x:c r="C106" s="4" t="n">
        <x:v>239</x:v>
      </x:c>
      <x:c r="D106" s="4" t="str">
        <x:v>|申请好友|向被申请人发送申请通知，已有申请时不能重复申请；被申请人同意后，双方成为好友|\-|</x:v>
      </x:c>
      <x:c r="E106" s="4" t="str">
        <x:v>尚未建立场景映射</x:v>
      </x:c>
      <x:c r="F106" s="4" t="str"/>
      <x:c r="G106" s="4" t="str">
        <x:v>系统概要或共同业务条款：已保留全文，不用端侧用例数量反推本条完整覆盖；跨段等价映射尚未逐项闭合。</x:v>
      </x:c>
    </x:row>
    <x:row r="107" ht="44" customHeight="1">
      <x:c r="A107" s="4" t="str">
        <x:v>概要-240</x:v>
      </x:c>
      <x:c r="B107" s="4" t="str">
        <x:v>系统概要与公共规则</x:v>
      </x:c>
      <x:c r="C107" s="4" t="n">
        <x:v>240</x:v>
      </x:c>
      <x:c r="D107" s="4" t="str">
        <x:v>|删除好友|解除双方的好友关系，删除聊天列表中对话框及聊天记录|\-|</x:v>
      </x:c>
      <x:c r="E107" s="4" t="str">
        <x:v>尚未建立场景映射</x:v>
      </x:c>
      <x:c r="F107" s="4" t="str"/>
      <x:c r="G107" s="4" t="str">
        <x:v>系统概要或共同业务条款：已保留全文，不用端侧用例数量反推本条完整覆盖；跨段等价映射尚未逐项闭合。</x:v>
      </x:c>
    </x:row>
    <x:row r="108" ht="44" customHeight="1">
      <x:c r="A108" s="4" t="str">
        <x:v>概要-241</x:v>
      </x:c>
      <x:c r="B108" s="4" t="str">
        <x:v>系统概要与公共规则</x:v>
      </x:c>
      <x:c r="C108" s="4" t="n">
        <x:v>241</x:v>
      </x:c>
      <x:c r="D108" s="4" t="str">
        <x:v>|举报|生成举报工单|\-|</x:v>
      </x:c>
      <x:c r="E108" s="4" t="str">
        <x:v>尚未建立场景映射</x:v>
      </x:c>
      <x:c r="F108" s="4" t="str"/>
      <x:c r="G108" s="4" t="str">
        <x:v>系统概要或共同业务条款：已保留全文，不用端侧用例数量反推本条完整覆盖；跨段等价映射尚未逐项闭合。</x:v>
      </x:c>
    </x:row>
    <x:row r="109" ht="44" customHeight="1">
      <x:c r="A109" s="4" t="str">
        <x:v>概要-242</x:v>
      </x:c>
      <x:c r="B109" s="4" t="str">
        <x:v>系统概要与公共规则</x:v>
      </x:c>
      <x:c r="C109" s="4" t="n">
        <x:v>242</x:v>
      </x:c>
      <x:c r="D109" s="4" t="str">
        <x:v>|私信|好友之间可以私信；非好友最多发送三条私信|\-|</x:v>
      </x:c>
      <x:c r="E109" s="4" t="str">
        <x:v>尚未建立场景映射</x:v>
      </x:c>
      <x:c r="F109" s="4" t="str"/>
      <x:c r="G109" s="4" t="str">
        <x:v>系统概要或共同业务条款：已保留全文，不用端侧用例数量反推本条完整覆盖；跨段等价映射尚未逐项闭合。</x:v>
      </x:c>
    </x:row>
    <x:row r="110" ht="44" customHeight="1">
      <x:c r="A110" s="4" t="str">
        <x:v>概要-248</x:v>
      </x:c>
      <x:c r="B110" s="4" t="str">
        <x:v>系统概要与公共规则</x:v>
      </x:c>
      <x:c r="C110" s="4" t="n">
        <x:v>248</x:v>
      </x:c>
      <x:c r="D110" s="4" t="str">
        <x:v>|动作|后果|是否可取消|</x:v>
      </x:c>
      <x:c r="E110" s="4" t="str">
        <x:v>尚未建立场景映射</x:v>
      </x:c>
      <x:c r="F110" s="4" t="str"/>
      <x:c r="G110" s="4" t="str">
        <x:v>系统概要或共同业务条款：已保留全文，不用端侧用例数量反推本条完整覆盖；跨段等价映射尚未逐项闭合。</x:v>
      </x:c>
    </x:row>
    <x:row r="111" ht="44" customHeight="1">
      <x:c r="A111" s="4" t="str">
        <x:v>概要-250</x:v>
      </x:c>
      <x:c r="B111" s="4" t="str">
        <x:v>系统概要与公共规则</x:v>
      </x:c>
      <x:c r="C111" s="4" t="n">
        <x:v>250</x:v>
      </x:c>
      <x:c r="D111" s="4" t="str">
        <x:v>|禁言|观众本场次不能继续发送公屏消息，下一场次恢复|是|</x:v>
      </x:c>
      <x:c r="E111" s="4" t="str">
        <x:v>尚未建立场景映射</x:v>
      </x:c>
      <x:c r="F111" s="4" t="str"/>
      <x:c r="G111" s="4" t="str">
        <x:v>系统概要或共同业务条款：已保留全文，不用端侧用例数量反推本条完整覆盖；跨段等价映射尚未逐项闭合。</x:v>
      </x:c>
    </x:row>
    <x:row r="112" ht="44" customHeight="1">
      <x:c r="A112" s="4" t="str">
        <x:v>概要-251</x:v>
      </x:c>
      <x:c r="B112" s="4" t="str">
        <x:v>系统概要与公共规则</x:v>
      </x:c>
      <x:c r="C112" s="4" t="n">
        <x:v>251</x:v>
      </x:c>
      <x:c r="D112" s="4" t="str">
        <x:v>|踢出直播间|观众退出直播间，本场次不可重进，下一场次恢复；门票房门票不退款|\-|</x:v>
      </x:c>
      <x:c r="E112" s="4" t="str">
        <x:v>尚未建立场景映射</x:v>
      </x:c>
      <x:c r="F112" s="4" t="str"/>
      <x:c r="G112" s="4" t="str">
        <x:v>系统概要或共同业务条款：已保留全文，不用端侧用例数量反推本条完整覆盖；跨段等价映射尚未逐项闭合。</x:v>
      </x:c>
    </x:row>
    <x:row r="113" ht="44" customHeight="1">
      <x:c r="A113" s="4" t="str">
        <x:v>概要-252</x:v>
      </x:c>
      <x:c r="B113" s="4" t="str">
        <x:v>系统概要与公共规则</x:v>
      </x:c>
      <x:c r="C113" s="4" t="n">
        <x:v>252</x:v>
      </x:c>
      <x:c r="D113" s="4" t="str">
        <x:v>|设置房管|房管可以对直播间观众执行禁言、踢出和屏蔽单条评论；&lt;br&gt;每位主播最多设置 3 名房管，授权长期有效|是|</x:v>
      </x:c>
      <x:c r="E113" s="4" t="str">
        <x:v>尚未建立场景映射</x:v>
      </x:c>
      <x:c r="F113" s="4" t="str"/>
      <x:c r="G113" s="4" t="str">
        <x:v>系统概要或共同业务条款：已保留全文，不用端侧用例数量反推本条完整覆盖；跨段等价映射尚未逐项闭合。</x:v>
      </x:c>
    </x:row>
    <x:row r="114" ht="44" customHeight="1">
      <x:c r="A114" s="4" t="str">
        <x:v>概要-253</x:v>
      </x:c>
      <x:c r="B114" s="4" t="str">
        <x:v>系统概要与公共规则</x:v>
      </x:c>
      <x:c r="C114" s="4" t="n">
        <x:v>253</x:v>
      </x:c>
      <x:c r="D114" s="4" t="str">
        <x:v>|屏蔽单条评论、清屏|主播和观众均不能看到被屏蔽的评论；清空当前公屏消息|\-|</x:v>
      </x:c>
      <x:c r="E114" s="4" t="str">
        <x:v>尚未建立场景映射</x:v>
      </x:c>
      <x:c r="F114" s="4" t="str"/>
      <x:c r="G114" s="4" t="str">
        <x:v>系统概要或共同业务条款：已保留全文，不用端侧用例数量反推本条完整覆盖；跨段等价映射尚未逐项闭合。</x:v>
      </x:c>
    </x:row>
    <x:row r="115" ht="44" customHeight="1">
      <x:c r="A115" s="4" t="str">
        <x:v>概要-259</x:v>
      </x:c>
      <x:c r="B115" s="4" t="str">
        <x:v>系统概要与公共规则</x:v>
      </x:c>
      <x:c r="C115" s="4" t="n">
        <x:v>259</x:v>
      </x:c>
      <x:c r="D115" s="4" t="str">
        <x:v>|动作|后果|是否可取消|</x:v>
      </x:c>
      <x:c r="E115" s="4" t="str">
        <x:v>尚未建立场景映射</x:v>
      </x:c>
      <x:c r="F115" s="4" t="str"/>
      <x:c r="G115" s="4" t="str">
        <x:v>系统概要或共同业务条款：已保留全文，不用端侧用例数量反推本条完整覆盖；跨段等价映射尚未逐项闭合。</x:v>
      </x:c>
    </x:row>
    <x:row r="116" ht="44" customHeight="1">
      <x:c r="A116" s="4" t="str">
        <x:v>概要-261</x:v>
      </x:c>
      <x:c r="B116" s="4" t="str">
        <x:v>系统概要与公共规则</x:v>
      </x:c>
      <x:c r="C116" s="4" t="n">
        <x:v>261</x:v>
      </x:c>
      <x:c r="D116" s="4" t="str">
        <x:v>|移除粉丝群成员&lt;br&gt;/ 主动退出粉丝群|退出粉丝群并卸下粉丝身份标识；&lt;br&gt;用户粉丝等级和亲密度清零，重新入团后从 0 开始累计|\-|</x:v>
      </x:c>
      <x:c r="E116" s="4" t="str">
        <x:v>尚未建立场景映射</x:v>
      </x:c>
      <x:c r="F116" s="4" t="str"/>
      <x:c r="G116" s="4" t="str">
        <x:v>系统概要或共同业务条款：已保留全文，不用端侧用例数量反推本条完整覆盖；跨段等价映射尚未逐项闭合。</x:v>
      </x:c>
    </x:row>
    <x:row r="117" ht="44" customHeight="1">
      <x:c r="A117" s="4" t="str">
        <x:v>概要-262</x:v>
      </x:c>
      <x:c r="B117" s="4" t="str">
        <x:v>系统概要与公共规则</x:v>
      </x:c>
      <x:c r="C117" s="4" t="n">
        <x:v>262</x:v>
      </x:c>
      <x:c r="D117" s="4" t="str">
        <x:v>|单人 / 全员禁言|只限制对应成员的群内发言|是|</x:v>
      </x:c>
      <x:c r="E117" s="4" t="str">
        <x:v>尚未建立场景映射</x:v>
      </x:c>
      <x:c r="F117" s="4" t="str"/>
      <x:c r="G117" s="4" t="str">
        <x:v>系统概要或共同业务条款：已保留全文，不用端侧用例数量反推本条完整覆盖；跨段等价映射尚未逐项闭合。</x:v>
      </x:c>
    </x:row>
    <x:row r="118" ht="44" customHeight="1">
      <x:c r="A118" s="4" t="str">
        <x:v>概要-268</x:v>
      </x:c>
      <x:c r="B118" s="4" t="str">
        <x:v>系统概要与公共规则</x:v>
      </x:c>
      <x:c r="C118" s="4" t="n">
        <x:v>268</x:v>
      </x:c>
      <x:c r="D118" s="4" t="str">
        <x:v>- 连麦的前提条件：双方主播均在普通房型中直播、均处于未连麦状态，且不存在账号拉黑关系。</x:v>
      </x:c>
      <x:c r="E118" s="4" t="str">
        <x:v>尚未建立场景映射</x:v>
      </x:c>
      <x:c r="F118" s="4" t="str"/>
      <x:c r="G118" s="4" t="str">
        <x:v>系统概要或共同业务条款：已保留全文，不用端侧用例数量反推本条完整覆盖；跨段等价映射尚未逐项闭合。</x:v>
      </x:c>
    </x:row>
    <x:row r="119" ht="44" customHeight="1">
      <x:c r="A119" s="4" t="str">
        <x:v>概要-270</x:v>
      </x:c>
      <x:c r="B119" s="4" t="str">
        <x:v>系统概要与公共规则</x:v>
      </x:c>
      <x:c r="C119" s="4" t="n">
        <x:v>270</x:v>
      </x:c>
      <x:c r="D119" s="4" t="str">
        <x:v>- 任一方中途结束直播，其发出的邀请和进行中的连麦均立即失效。</x:v>
      </x:c>
      <x:c r="E119" s="4" t="str">
        <x:v>尚未建立场景映射</x:v>
      </x:c>
      <x:c r="F119" s="4" t="str"/>
      <x:c r="G119" s="4" t="str">
        <x:v>系统概要或共同业务条款：已保留全文，不用端侧用例数量反推本条完整覆盖；跨段等价映射尚未逐项闭合。</x:v>
      </x:c>
    </x:row>
    <x:row r="120" ht="44" customHeight="1">
      <x:c r="A120" s="4" t="str">
        <x:v>概要-272</x:v>
      </x:c>
      <x:c r="B120" s="4" t="str">
        <x:v>系统概要与公共规则</x:v>
      </x:c>
      <x:c r="C120" s="4" t="n">
        <x:v>272</x:v>
      </x:c>
      <x:c r="D120" s="4" t="str">
        <x:v>|动作（A → B）|规则或后果|</x:v>
      </x:c>
      <x:c r="E120" s="4" t="str">
        <x:v>尚未建立场景映射</x:v>
      </x:c>
      <x:c r="F120" s="4" t="str"/>
      <x:c r="G120" s="4" t="str">
        <x:v>系统概要或共同业务条款：已保留全文，不用端侧用例数量反推本条完整覆盖；跨段等价映射尚未逐项闭合。</x:v>
      </x:c>
    </x:row>
    <x:row r="121" ht="44" customHeight="1">
      <x:c r="A121" s="4" t="str">
        <x:v>概要-274</x:v>
      </x:c>
      <x:c r="B121" s="4" t="str">
        <x:v>系统概要与公共规则</x:v>
      </x:c>
      <x:c r="C121" s="4" t="n">
        <x:v>274</x:v>
      </x:c>
      <x:c r="D121" s="4" t="str">
        <x:v>|邀请连麦|A 只能发起一个邀请；B 可以收到多个邀请|</x:v>
      </x:c>
      <x:c r="E121" s="4" t="str">
        <x:v>尚未建立场景映射</x:v>
      </x:c>
      <x:c r="F121" s="4" t="str"/>
      <x:c r="G121" s="4" t="str">
        <x:v>系统概要或共同业务条款：已保留全文，不用端侧用例数量反推本条完整覆盖；跨段等价映射尚未逐项闭合。</x:v>
      </x:c>
    </x:row>
    <x:row r="122" ht="44" customHeight="1">
      <x:c r="A122" s="4" t="str">
        <x:v>概要-275</x:v>
      </x:c>
      <x:c r="B122" s="4" t="str">
        <x:v>系统概要与公共规则</x:v>
      </x:c>
      <x:c r="C122" s="4" t="n">
        <x:v>275</x:v>
      </x:c>
      <x:c r="D122" s="4" t="str">
        <x:v>|取消邀请|已发起的邀请失效|</x:v>
      </x:c>
      <x:c r="E122" s="4" t="str">
        <x:v>尚未建立场景映射</x:v>
      </x:c>
      <x:c r="F122" s="4" t="str"/>
      <x:c r="G122" s="4" t="str">
        <x:v>系统概要或共同业务条款：已保留全文，不用端侧用例数量反推本条完整覆盖；跨段等价映射尚未逐项闭合。</x:v>
      </x:c>
    </x:row>
    <x:row r="123" ht="44" customHeight="1">
      <x:c r="A123" s="4" t="str">
        <x:v>概要-276</x:v>
      </x:c>
      <x:c r="B123" s="4" t="str">
        <x:v>系统概要与公共规则</x:v>
      </x:c>
      <x:c r="C123" s="4" t="n">
        <x:v>276</x:v>
      </x:c>
      <x:c r="D123" s="4" t="str">
        <x:v>|拒绝邀请|已发起的邀请失效|</x:v>
      </x:c>
      <x:c r="E123" s="4" t="str">
        <x:v>尚未建立场景映射</x:v>
      </x:c>
      <x:c r="F123" s="4" t="str"/>
      <x:c r="G123" s="4" t="str">
        <x:v>系统概要或共同业务条款：已保留全文，不用端侧用例数量反推本条完整覆盖；跨段等价映射尚未逐项闭合。</x:v>
      </x:c>
    </x:row>
    <x:row r="124" ht="44" customHeight="1">
      <x:c r="A124" s="4" t="str">
        <x:v>概要-277</x:v>
      </x:c>
      <x:c r="B124" s="4" t="str">
        <x:v>系统概要与公共规则</x:v>
      </x:c>
      <x:c r="C124" s="4" t="n">
        <x:v>277</x:v>
      </x:c>
      <x:c r="D124" s="4" t="str">
        <x:v>|接受邀请|已发起的邀请失效；已收到的其他邀请保留|</x:v>
      </x:c>
      <x:c r="E124" s="4" t="str">
        <x:v>尚未建立场景映射</x:v>
      </x:c>
      <x:c r="F124" s="4" t="str"/>
      <x:c r="G124" s="4" t="str">
        <x:v>系统概要或共同业务条款：已保留全文，不用端侧用例数量反推本条完整覆盖；跨段等价映射尚未逐项闭合。</x:v>
      </x:c>
    </x:row>
    <x:row r="125" ht="44" customHeight="1">
      <x:c r="A125" s="4" t="str">
        <x:v>概要-278</x:v>
      </x:c>
      <x:c r="B125" s="4" t="str">
        <x:v>系统概要与公共规则</x:v>
      </x:c>
      <x:c r="C125" s="4" t="n">
        <x:v>278</x:v>
      </x:c>
      <x:c r="D125" s="4" t="str">
        <x:v>|被接受邀请|不能发起邀请，也不能接受邀请|</x:v>
      </x:c>
      <x:c r="E125" s="4" t="str">
        <x:v>尚未建立场景映射</x:v>
      </x:c>
      <x:c r="F125" s="4" t="str"/>
      <x:c r="G125" s="4" t="str">
        <x:v>系统概要或共同业务条款：已保留全文，不用端侧用例数量反推本条完整覆盖；跨段等价映射尚未逐项闭合。</x:v>
      </x:c>
    </x:row>
    <x:row r="126" ht="44" customHeight="1">
      <x:c r="A126" s="4" t="str">
        <x:v>概要-279</x:v>
      </x:c>
      <x:c r="B126" s="4" t="str">
        <x:v>系统概要与公共规则</x:v>
      </x:c>
      <x:c r="C126" s="4" t="n">
        <x:v>279</x:v>
      </x:c>
      <x:c r="D126" s="4" t="str">
        <x:v>|结束连麦|双方立即退出连麦画面，各自原直播仍继续|</x:v>
      </x:c>
      <x:c r="E126" s="4" t="str">
        <x:v>尚未建立场景映射</x:v>
      </x:c>
      <x:c r="F126" s="4" t="str"/>
      <x:c r="G126" s="4" t="str">
        <x:v>系统概要或共同业务条款：已保留全文，不用端侧用例数量反推本条完整覆盖；跨段等价映射尚未逐项闭合。</x:v>
      </x:c>
    </x:row>
    <x:row r="127" ht="44" customHeight="1">
      <x:c r="A127" s="4" t="str">
        <x:v>概要-285</x:v>
      </x:c>
      <x:c r="B127" s="4" t="str">
        <x:v>系统概要与公共规则</x:v>
      </x:c>
      <x:c r="C127" s="4" t="n">
        <x:v>285</x:v>
      </x:c>
      <x:c r="D127" s="4" t="str">
        <x:v>- 举报对象：账号、直播场次。直播场次的举报入口仅在直播中开放。</x:v>
      </x:c>
      <x:c r="E127" s="4" t="str">
        <x:v>尚未建立场景映射</x:v>
      </x:c>
      <x:c r="F127" s="4" t="str"/>
      <x:c r="G127" s="4" t="str">
        <x:v>系统概要或共同业务条款：已保留全文，不用端侧用例数量反推本条完整覆盖；跨段等价映射尚未逐项闭合。</x:v>
      </x:c>
    </x:row>
    <x:row r="128" ht="44" customHeight="1">
      <x:c r="A128" s="4" t="str">
        <x:v>概要-287</x:v>
      </x:c>
      <x:c r="B128" s="4" t="str">
        <x:v>系统概要与公共规则</x:v>
      </x:c>
      <x:c r="C128" s="4" t="n">
        <x:v>287</x:v>
      </x:c>
      <x:c r="D128" s="4" t="str">
        <x:v>- 举报类型：色情低俗、涉及宗教政治、暴恐血腥、未成年人有害、其他。</x:v>
      </x:c>
      <x:c r="E128" s="4" t="str">
        <x:v>尚未建立场景映射</x:v>
      </x:c>
      <x:c r="F128" s="4" t="str"/>
      <x:c r="G128" s="4" t="str">
        <x:v>系统概要或共同业务条款：已保留全文，不用端侧用例数量反推本条完整覆盖；跨段等价映射尚未逐项闭合。</x:v>
      </x:c>
    </x:row>
    <x:row r="129" ht="44" customHeight="1">
      <x:c r="A129" s="4" t="str">
        <x:v>概要-291</x:v>
      </x:c>
      <x:c r="B129" s="4" t="str">
        <x:v>系统概要与公共规则</x:v>
      </x:c>
      <x:c r="C129" s="4" t="n">
        <x:v>291</x:v>
      </x:c>
      <x:c r="D129" s="4" t="str">
        <x:v>|处置类型|即时后果|处置前/后直播间状态|通知|</x:v>
      </x:c>
      <x:c r="E129" s="4" t="str">
        <x:v>尚未建立场景映射</x:v>
      </x:c>
      <x:c r="F129" s="4" t="str"/>
      <x:c r="G129" s="4" t="str">
        <x:v>系统概要或共同业务条款：已保留全文，不用端侧用例数量反推本条完整覆盖；跨段等价映射尚未逐项闭合。</x:v>
      </x:c>
    </x:row>
    <x:row r="130" ht="44" customHeight="1">
      <x:c r="A130" s="4" t="str">
        <x:v>概要-293</x:v>
      </x:c>
      <x:c r="B130" s="4" t="str">
        <x:v>系统概要与公共规则</x:v>
      </x:c>
      <x:c r="C130" s="4" t="n">
        <x:v>293</x:v>
      </x:c>
      <x:c r="D130" s="4" t="str">
        <x:v>|不处置|\-\-&lt;br&gt;|直播中 → 直播中|通知举报人：“举报内容暂无可处置违规，感谢您的反馈”|</x:v>
      </x:c>
      <x:c r="E130" s="4" t="str">
        <x:v>尚未建立场景映射</x:v>
      </x:c>
      <x:c r="F130" s="4" t="str"/>
      <x:c r="G130" s="4" t="str">
        <x:v>系统概要或共同业务条款：已保留全文，不用端侧用例数量反推本条完整覆盖；跨段等价映射尚未逐项闭合。</x:v>
      </x:c>
    </x:row>
    <x:row r="131" ht="57" customHeight="1">
      <x:c r="A131" s="4" t="str">
        <x:v>概要-294</x:v>
      </x:c>
      <x:c r="B131" s="4" t="str">
        <x:v>系统概要与公共规则</x:v>
      </x:c>
      <x:c r="C131" s="4" t="n">
        <x:v>294</x:v>
      </x:c>
      <x:c r="D131" s="4" t="str">
        <x:v>|警告|主播直播间弹窗强提示&lt;br&gt;|直播中 → 直播中|通知举报人：“举报成立，平台已依规处理”；消息通知并弹窗提示主播：“直播间存在违规，请及时调整”|</x:v>
      </x:c>
      <x:c r="E131" s="4" t="str">
        <x:v>尚未建立场景映射</x:v>
      </x:c>
      <x:c r="F131" s="4" t="str"/>
      <x:c r="G131" s="4" t="str">
        <x:v>系统概要或共同业务条款：已保留全文，不用端侧用例数量反推本条完整覆盖；跨段等价映射尚未逐项闭合。</x:v>
      </x:c>
    </x:row>
    <x:row r="132" ht="57" customHeight="1">
      <x:c r="A132" s="4" t="str">
        <x:v>概要-295</x:v>
      </x:c>
      <x:c r="B132" s="4" t="str">
        <x:v>系统概要与公共规则</x:v>
      </x:c>
      <x:c r="C132" s="4" t="n">
        <x:v>295</x:v>
      </x:c>
      <x:c r="D132" s="4" t="str">
        <x:v>|关播&lt;br&gt;|关闭当前直播间，不影响下次开播|直播中 → 已结束&lt;br&gt;|通知举报人同“警告”；通知主播：“直播间存在违规，平台已关闭直播间”|</x:v>
      </x:c>
      <x:c r="E132" s="4" t="str">
        <x:v>尚未建立场景映射</x:v>
      </x:c>
      <x:c r="F132" s="4" t="str"/>
      <x:c r="G132" s="4" t="str">
        <x:v>系统概要或共同业务条款：已保留全文，不用端侧用例数量反推本条完整覆盖；跨段等价映射尚未逐项闭合。</x:v>
      </x:c>
    </x:row>
    <x:row r="133" ht="57" customHeight="1">
      <x:c r="A133" s="4" t="str">
        <x:v>概要-296</x:v>
      </x:c>
      <x:c r="B133" s="4" t="str">
        <x:v>系统概要与公共规则</x:v>
      </x:c>
      <x:c r="C133" s="4" t="n">
        <x:v>296</x:v>
      </x:c>
      <x:c r="D133" s="4" t="str">
        <x:v>|关闭直播权限|关闭当前直播间，并关闭主播直播权限|直播中 → 已结束|通知举报人同“警告”；通知主播：“直播间严重违规，平台已关闭直播间，并关闭直播权限”|</x:v>
      </x:c>
      <x:c r="E133" s="4" t="str">
        <x:v>尚未建立场景映射</x:v>
      </x:c>
      <x:c r="F133" s="4" t="str"/>
      <x:c r="G133" s="4" t="str">
        <x:v>系统概要或共同业务条款：已保留全文，不用端侧用例数量反推本条完整覆盖；跨段等价映射尚未逐项闭合。</x:v>
      </x:c>
    </x:row>
    <x:row r="134" ht="44" customHeight="1">
      <x:c r="A134" s="4" t="str">
        <x:v>概要-306</x:v>
      </x:c>
      <x:c r="B134" s="4" t="str">
        <x:v>系统概要与公共规则</x:v>
      </x:c>
      <x:c r="C134" s="4" t="n">
        <x:v>306</x:v>
      </x:c>
      <x:c r="D134" s="4" t="str">
        <x:v>|处置类型|即时后果|处置前/后账号状态|通知|</x:v>
      </x:c>
      <x:c r="E134" s="4" t="str">
        <x:v>尚未建立场景映射</x:v>
      </x:c>
      <x:c r="F134" s="4" t="str"/>
      <x:c r="G134" s="4" t="str">
        <x:v>系统概要或共同业务条款：已保留全文，不用端侧用例数量反推本条完整覆盖；跨段等价映射尚未逐项闭合。</x:v>
      </x:c>
    </x:row>
    <x:row r="135" ht="44" customHeight="1">
      <x:c r="A135" s="4" t="str">
        <x:v>概要-308</x:v>
      </x:c>
      <x:c r="B135" s="4" t="str">
        <x:v>系统概要与公共规则</x:v>
      </x:c>
      <x:c r="C135" s="4" t="n">
        <x:v>308</x:v>
      </x:c>
      <x:c r="D135" s="4" t="str">
        <x:v>|不处置|\-\-|正常 → 正常|通知举报人：“举报账号暂无可处置的违规，感谢您的反馈”|</x:v>
      </x:c>
      <x:c r="E135" s="4" t="str">
        <x:v>尚未建立场景映射</x:v>
      </x:c>
      <x:c r="F135" s="4" t="str"/>
      <x:c r="G135" s="4" t="str">
        <x:v>系统概要或共同业务条款：已保留全文，不用端侧用例数量反推本条完整覆盖；跨段等价映射尚未逐项闭合。</x:v>
      </x:c>
    </x:row>
    <x:row r="136" ht="57" customHeight="1">
      <x:c r="A136" s="4" t="str">
        <x:v>概要-309</x:v>
      </x:c>
      <x:c r="B136" s="4" t="str">
        <x:v>系统概要与公共规则</x:v>
      </x:c>
      <x:c r="C136" s="4" t="n">
        <x:v>309</x:v>
      </x:c>
      <x:c r="D136" s="4" t="str">
        <x:v>|封禁账号|已登录账号强制下线，包含正在直播的账号；未登录账号禁止登录|正常 → 封禁|通知举报人：“举报成立，平台已依规处理”；被举报人登录时提示：“账号已封禁”|</x:v>
      </x:c>
      <x:c r="E136" s="4" t="str">
        <x:v>尚未建立场景映射</x:v>
      </x:c>
      <x:c r="F136" s="4" t="str"/>
      <x:c r="G136" s="4" t="str">
        <x:v>系统概要或共同业务条款：已保留全文，不用端侧用例数量反推本条完整覆盖；跨段等价映射尚未逐项闭合。</x:v>
      </x:c>
    </x:row>
    <x:row r="137" ht="44" customHeight="1">
      <x:c r="A137" s="4" t="str">
        <x:v>概要-317</x:v>
      </x:c>
      <x:c r="B137" s="4" t="str">
        <x:v>系统概要与公共规则</x:v>
      </x:c>
      <x:c r="C137" s="4" t="n">
        <x:v>317</x:v>
      </x:c>
      <x:c r="D137" s="4" t="str">
        <x:v>- 用户金币来自充值、充值赠送、签到、任务、邀请奖励、活动奖励和幸运礼物返奖。</x:v>
      </x:c>
      <x:c r="E137" s="4" t="str">
        <x:v>尚未建立场景映射</x:v>
      </x:c>
      <x:c r="F137" s="4" t="str"/>
      <x:c r="G137" s="4" t="str">
        <x:v>系统概要或共同业务条款：已保留全文，不用端侧用例数量反推本条完整覆盖；跨段等价映射尚未逐项闭合。</x:v>
      </x:c>
    </x:row>
    <x:row r="138" ht="44" customHeight="1">
      <x:c r="A138" s="4" t="str">
        <x:v>概要-319</x:v>
      </x:c>
      <x:c r="B138" s="4" t="str">
        <x:v>系统概要与公共规则</x:v>
      </x:c>
      <x:c r="C138" s="4" t="n">
        <x:v>319</x:v>
      </x:c>
      <x:c r="D138" s="4" t="str">
        <x:v>- 不同来源的真实金币进入同一金币账户，可用于赠送礼物或购买门票，不能兑换现金。</x:v>
      </x:c>
      <x:c r="E138" s="4" t="str">
        <x:v>尚未建立场景映射</x:v>
      </x:c>
      <x:c r="F138" s="4" t="str"/>
      <x:c r="G138" s="4" t="str">
        <x:v>系统概要或共同业务条款：已保留全文，不用端侧用例数量反推本条完整覆盖；跨段等价映射尚未逐项闭合。</x:v>
      </x:c>
    </x:row>
    <x:row r="139" ht="44" customHeight="1">
      <x:c r="A139" s="4" t="str">
        <x:v>概要-321</x:v>
      </x:c>
      <x:c r="B139" s="4" t="str">
        <x:v>系统概要与公共规则</x:v>
      </x:c>
      <x:c r="C139" s="4" t="n">
        <x:v>321</x:v>
      </x:c>
      <x:c r="D139" s="4" t="str">
        <x:v>- 充值成功后增加金币并生成充值记录；</x:v>
      </x:c>
      <x:c r="E139" s="4" t="str">
        <x:v>尚未建立场景映射</x:v>
      </x:c>
      <x:c r="F139" s="4" t="str"/>
      <x:c r="G139" s="4" t="str">
        <x:v>系统概要或共同业务条款：已保留全文，不用端侧用例数量反推本条完整覆盖；跨段等价映射尚未逐项闭合。</x:v>
      </x:c>
    </x:row>
    <x:row r="140" ht="44" customHeight="1">
      <x:c r="A140" s="4" t="str">
        <x:v>概要-323</x:v>
      </x:c>
      <x:c r="B140" s="4" t="str">
        <x:v>系统概要与公共规则</x:v>
      </x:c>
      <x:c r="C140" s="4" t="n">
        <x:v>323</x:v>
      </x:c>
      <x:c r="D140" s="4" t="str">
        <x:v>- 消费成功只扣减一次金币并生成消费记录，余额不足或条件检查失败时不扣减。</x:v>
      </x:c>
      <x:c r="E140" s="4" t="str">
        <x:v>尚未建立场景映射</x:v>
      </x:c>
      <x:c r="F140" s="4" t="str"/>
      <x:c r="G140" s="4" t="str">
        <x:v>系统概要或共同业务条款：已保留全文，不用端侧用例数量反推本条完整覆盖；跨段等价映射尚未逐项闭合。</x:v>
      </x:c>
    </x:row>
    <x:row r="141" ht="44" customHeight="1">
      <x:c r="A141" s="4" t="str">
        <x:v>概要-325</x:v>
      </x:c>
      <x:c r="B141" s="4" t="str">
        <x:v>系统概要与公共规则</x:v>
      </x:c>
      <x:c r="C141" s="4" t="n">
        <x:v>325</x:v>
      </x:c>
      <x:c r="D141" s="4" t="str">
        <x:v>- 金币余额为负数时不能继续消费；后续充值到账的金币先抵扣负余额，剩余部分计入可用余额。</x:v>
      </x:c>
      <x:c r="E141" s="4" t="str">
        <x:v>尚未建立场景映射</x:v>
      </x:c>
      <x:c r="F141" s="4" t="str"/>
      <x:c r="G141" s="4" t="str">
        <x:v>系统概要或共同业务条款：已保留全文，不用端侧用例数量反推本条完整覆盖；跨段等价映射尚未逐项闭合。</x:v>
      </x:c>
    </x:row>
    <x:row r="142" ht="44" customHeight="1">
      <x:c r="A142" s="4" t="str">
        <x:v>概要-331</x:v>
      </x:c>
      <x:c r="B142" s="4" t="str">
        <x:v>系统概要与公共规则</x:v>
      </x:c>
      <x:c r="C142" s="4" t="n">
        <x:v>331</x:v>
      </x:c>
      <x:c r="D142" s="4" t="str">
        <x:v>|类型|规则|</x:v>
      </x:c>
      <x:c r="E142" s="4" t="str">
        <x:v>尚未建立场景映射</x:v>
      </x:c>
      <x:c r="F142" s="4" t="str"/>
      <x:c r="G142" s="4" t="str">
        <x:v>系统概要或共同业务条款：已保留全文，不用端侧用例数量反推本条完整覆盖；跨段等价映射尚未逐项闭合。</x:v>
      </x:c>
    </x:row>
    <x:row r="143" ht="44" customHeight="1">
      <x:c r="A143" s="4" t="str">
        <x:v>概要-333</x:v>
      </x:c>
      <x:c r="B143" s="4" t="str">
        <x:v>系统概要与公共规则</x:v>
      </x:c>
      <x:c r="C143" s="4" t="n">
        <x:v>333</x:v>
      </x:c>
      <x:c r="D143" s="4" t="str">
        <x:v>|普通礼物|按平台配置的金币价格长期上架，由平台手动上下架。|</x:v>
      </x:c>
      <x:c r="E143" s="4" t="str">
        <x:v>尚未建立场景映射</x:v>
      </x:c>
      <x:c r="F143" s="4" t="str"/>
      <x:c r="G143" s="4" t="str">
        <x:v>系统概要或共同业务条款：已保留全文，不用端侧用例数量反推本条完整覆盖；跨段等价映射尚未逐项闭合。</x:v>
      </x:c>
    </x:row>
    <x:row r="144" ht="44" customHeight="1">
      <x:c r="A144" s="4" t="str">
        <x:v>概要-334</x:v>
      </x:c>
      <x:c r="B144" s="4" t="str">
        <x:v>系统概要与公共规则</x:v>
      </x:c>
      <x:c r="C144" s="4" t="n">
        <x:v>334</x:v>
      </x:c>
      <x:c r="D144" s="4" t="str">
        <x:v>|定制礼物|按配置时间生效和失效，平台可提前下架。|</x:v>
      </x:c>
      <x:c r="E144" s="4" t="str">
        <x:v>尚未建立场景映射</x:v>
      </x:c>
      <x:c r="F144" s="4" t="str"/>
      <x:c r="G144" s="4" t="str">
        <x:v>系统概要或共同业务条款：已保留全文，不用端侧用例数量反推本条完整覆盖；跨段等价映射尚未逐项闭合。</x:v>
      </x:c>
    </x:row>
    <x:row r="145" ht="44" customHeight="1">
      <x:c r="A145" s="4" t="str">
        <x:v>概要-335</x:v>
      </x:c>
      <x:c r="B145" s="4" t="str">
        <x:v>系统概要与公共规则</x:v>
      </x:c>
      <x:c r="C145" s="4" t="n">
        <x:v>335</x:v>
      </x:c>
      <x:c r="D145" s="4" t="str">
        <x:v>|幸运礼物|每个礼物独立开奖，中奖金币返还用户；价格、奖励档位和概率由平台配置。|</x:v>
      </x:c>
      <x:c r="E145" s="4" t="str">
        <x:v>尚未建立场景映射</x:v>
      </x:c>
      <x:c r="F145" s="4" t="str"/>
      <x:c r="G145" s="4" t="str">
        <x:v>系统概要或共同业务条款：已保留全文，不用端侧用例数量反推本条完整覆盖；跨段等价映射尚未逐项闭合。</x:v>
      </x:c>
    </x:row>
    <x:row r="146" ht="44" customHeight="1">
      <x:c r="A146" s="4" t="str">
        <x:v>概要-336</x:v>
      </x:c>
      <x:c r="B146" s="4" t="str">
        <x:v>系统概要与公共规则</x:v>
      </x:c>
      <x:c r="C146" s="4" t="n">
        <x:v>336</x:v>
      </x:c>
      <x:c r="D146" s="4" t="str">
        <x:v>|门票|购买后获得当前直播场次的进入资格，按礼物类商品参与收益和分成。|</x:v>
      </x:c>
      <x:c r="E146" s="4" t="str">
        <x:v>尚未建立场景映射</x:v>
      </x:c>
      <x:c r="F146" s="4" t="str"/>
      <x:c r="G146" s="4" t="str">
        <x:v>系统概要或共同业务条款：已保留全文，不用端侧用例数量反推本条完整覆盖；跨段等价映射尚未逐项闭合。</x:v>
      </x:c>
    </x:row>
    <x:row r="147" ht="44" customHeight="1">
      <x:c r="A147" s="4" t="str">
        <x:v>概要-338</x:v>
      </x:c>
      <x:c r="B147" s="4" t="str">
        <x:v>系统概要与公共规则</x:v>
      </x:c>
      <x:c r="C147" s="4" t="n">
        <x:v>338</x:v>
      </x:c>
      <x:c r="D147" s="4" t="str">
        <x:v>- 礼物下架后不能继续赠送，已完成的赠送、开奖、消费和结算记录继续保留。</x:v>
      </x:c>
      <x:c r="E147" s="4" t="str">
        <x:v>尚未建立场景映射</x:v>
      </x:c>
      <x:c r="F147" s="4" t="str"/>
      <x:c r="G147" s="4" t="str">
        <x:v>系统概要或共同业务条款：已保留全文，不用端侧用例数量反推本条完整覆盖；跨段等价映射尚未逐项闭合。</x:v>
      </x:c>
    </x:row>
    <x:row r="148" ht="44" customHeight="1">
      <x:c r="A148" s="4" t="str">
        <x:v>概要-340</x:v>
      </x:c>
      <x:c r="B148" s="4" t="str">
        <x:v>系统概要与公共规则</x:v>
      </x:c>
      <x:c r="C148" s="4" t="n">
        <x:v>340</x:v>
      </x:c>
      <x:c r="D148" s="4" t="str">
        <x:v>- 连续赠送按每个礼物分别扣减金币并记录结果。</x:v>
      </x:c>
      <x:c r="E148" s="4" t="str">
        <x:v>尚未建立场景映射</x:v>
      </x:c>
      <x:c r="F148" s="4" t="str"/>
      <x:c r="G148" s="4" t="str">
        <x:v>系统概要或共同业务条款：已保留全文，不用端侧用例数量反推本条完整覆盖；跨段等价映射尚未逐项闭合。</x:v>
      </x:c>
    </x:row>
    <x:row r="149" ht="44" customHeight="1">
      <x:c r="A149" s="4" t="str">
        <x:v>概要-342</x:v>
      </x:c>
      <x:c r="B149" s="4" t="str">
        <x:v>系统概要与公共规则</x:v>
      </x:c>
      <x:c r="C149" s="4" t="n">
        <x:v>342</x:v>
      </x:c>
      <x:c r="D149" s="4" t="str">
        <x:v>- 已成功赠送的礼物和已购买的门票不支持退款或退回，充值订单退款不撤销已完成的礼物和门票消费。</x:v>
      </x:c>
      <x:c r="E149" s="4" t="str">
        <x:v>尚未建立场景映射</x:v>
      </x:c>
      <x:c r="F149" s="4" t="str"/>
      <x:c r="G149" s="4" t="str">
        <x:v>系统概要或共同业务条款：已保留全文，不用端侧用例数量反推本条完整覆盖；跨段等价映射尚未逐项闭合。</x:v>
      </x:c>
    </x:row>
    <x:row r="150" ht="44" customHeight="1">
      <x:c r="A150" s="4" t="str">
        <x:v>概要-356</x:v>
      </x:c>
      <x:c r="B150" s="4" t="str">
        <x:v>系统概要与公共规则</x:v>
      </x:c>
      <x:c r="C150" s="4" t="n">
        <x:v>356</x:v>
      </x:c>
      <x:c r="D150" s="4" t="str">
        <x:v>|一次送出数量|每个礼物消耗|长期平均返还比例|</x:v>
      </x:c>
      <x:c r="E150" s="4" t="str">
        <x:v>尚未建立场景映射</x:v>
      </x:c>
      <x:c r="F150" s="4" t="str"/>
      <x:c r="G150" s="4" t="str">
        <x:v>系统概要或共同业务条款：已保留全文，不用端侧用例数量反推本条完整覆盖；跨段等价映射尚未逐项闭合。</x:v>
      </x:c>
    </x:row>
    <x:row r="151" ht="44" customHeight="1">
      <x:c r="A151" s="4" t="str">
        <x:v>概要-358</x:v>
      </x:c>
      <x:c r="B151" s="4" t="str">
        <x:v>系统概要与公共规则</x:v>
      </x:c>
      <x:c r="C151" s="4" t="n">
        <x:v>358</x:v>
      </x:c>
      <x:c r="D151" s="4" t="str">
        <x:v>|1 个|10 金币|96%|</x:v>
      </x:c>
      <x:c r="E151" s="4" t="str">
        <x:v>尚未建立场景映射</x:v>
      </x:c>
      <x:c r="F151" s="4" t="str"/>
      <x:c r="G151" s="4" t="str">
        <x:v>系统概要或共同业务条款：已保留全文，不用端侧用例数量反推本条完整覆盖；跨段等价映射尚未逐项闭合。</x:v>
      </x:c>
    </x:row>
    <x:row r="152" ht="44" customHeight="1">
      <x:c r="A152" s="4" t="str">
        <x:v>概要-359</x:v>
      </x:c>
      <x:c r="B152" s="4" t="str">
        <x:v>系统概要与公共规则</x:v>
      </x:c>
      <x:c r="C152" s="4" t="n">
        <x:v>359</x:v>
      </x:c>
      <x:c r="D152" s="4" t="str">
        <x:v>|10 个|10 金币|97%|</x:v>
      </x:c>
      <x:c r="E152" s="4" t="str">
        <x:v>尚未建立场景映射</x:v>
      </x:c>
      <x:c r="F152" s="4" t="str"/>
      <x:c r="G152" s="4" t="str">
        <x:v>系统概要或共同业务条款：已保留全文，不用端侧用例数量反推本条完整覆盖；跨段等价映射尚未逐项闭合。</x:v>
      </x:c>
    </x:row>
    <x:row r="153" ht="44" customHeight="1">
      <x:c r="A153" s="4" t="str">
        <x:v>概要-360</x:v>
      </x:c>
      <x:c r="B153" s="4" t="str">
        <x:v>系统概要与公共规则</x:v>
      </x:c>
      <x:c r="C153" s="4" t="n">
        <x:v>360</x:v>
      </x:c>
      <x:c r="D153" s="4" t="str">
        <x:v>|100 个及以上|10 金币|98%|</x:v>
      </x:c>
      <x:c r="E153" s="4" t="str">
        <x:v>尚未建立场景映射</x:v>
      </x:c>
      <x:c r="F153" s="4" t="str"/>
      <x:c r="G153" s="4" t="str">
        <x:v>系统概要或共同业务条款：已保留全文，不用端侧用例数量反推本条完整覆盖；跨段等价映射尚未逐项闭合。</x:v>
      </x:c>
    </x:row>
    <x:row r="154" ht="44" customHeight="1">
      <x:c r="A154" s="4" t="str">
        <x:v>概要-370</x:v>
      </x:c>
      <x:c r="B154" s="4" t="str">
        <x:v>系统概要与公共规则</x:v>
      </x:c>
      <x:c r="C154" s="4" t="n">
        <x:v>370</x:v>
      </x:c>
      <x:c r="D154" s="4" t="str">
        <x:v>|单次开奖返还金币|【1 连抽】概率|【10 连抽】概率|【100 连抽】概率|</x:v>
      </x:c>
      <x:c r="E154" s="4" t="str">
        <x:v>尚未建立场景映射</x:v>
      </x:c>
      <x:c r="F154" s="4" t="str"/>
      <x:c r="G154" s="4" t="str">
        <x:v>系统概要或共同业务条款：已保留全文，不用端侧用例数量反推本条完整覆盖；跨段等价映射尚未逐项闭合。</x:v>
      </x:c>
    </x:row>
    <x:row r="155" ht="44" customHeight="1">
      <x:c r="A155" s="4" t="str">
        <x:v>概要-372</x:v>
      </x:c>
      <x:c r="B155" s="4" t="str">
        <x:v>系统概要与公共规则</x:v>
      </x:c>
      <x:c r="C155" s="4" t="n">
        <x:v>372</x:v>
      </x:c>
      <x:c r="D155" s="4" t="str">
        <x:v>|0|10\.4%|8\.4%|6\.4%|</x:v>
      </x:c>
      <x:c r="E155" s="4" t="str">
        <x:v>尚未建立场景映射</x:v>
      </x:c>
      <x:c r="F155" s="4" t="str"/>
      <x:c r="G155" s="4" t="str">
        <x:v>系统概要或共同业务条款：已保留全文，不用端侧用例数量反推本条完整覆盖；跨段等价映射尚未逐项闭合。</x:v>
      </x:c>
    </x:row>
    <x:row r="156" ht="44" customHeight="1">
      <x:c r="A156" s="4" t="str">
        <x:v>概要-373</x:v>
      </x:c>
      <x:c r="B156" s="4" t="str">
        <x:v>系统概要与公共规则</x:v>
      </x:c>
      <x:c r="C156" s="4" t="n">
        <x:v>373</x:v>
      </x:c>
      <x:c r="D156" s="4" t="str">
        <x:v>|5|32%|34%|36%|</x:v>
      </x:c>
      <x:c r="E156" s="4" t="str">
        <x:v>尚未建立场景映射</x:v>
      </x:c>
      <x:c r="F156" s="4" t="str"/>
      <x:c r="G156" s="4" t="str">
        <x:v>系统概要或共同业务条款：已保留全文，不用端侧用例数量反推本条完整覆盖；跨段等价映射尚未逐项闭合。</x:v>
      </x:c>
    </x:row>
    <x:row r="157" ht="44" customHeight="1">
      <x:c r="A157" s="4" t="str">
        <x:v>概要-374</x:v>
      </x:c>
      <x:c r="B157" s="4" t="str">
        <x:v>系统概要与公共规则</x:v>
      </x:c>
      <x:c r="C157" s="4" t="n">
        <x:v>374</x:v>
      </x:c>
      <x:c r="D157" s="4" t="str">
        <x:v>|10|55%|55%|55%|</x:v>
      </x:c>
      <x:c r="E157" s="4" t="str">
        <x:v>尚未建立场景映射</x:v>
      </x:c>
      <x:c r="F157" s="4" t="str"/>
      <x:c r="G157" s="4" t="str">
        <x:v>系统概要或共同业务条款：已保留全文，不用端侧用例数量反推本条完整覆盖；跨段等价映射尚未逐项闭合。</x:v>
      </x:c>
    </x:row>
    <x:row r="158" ht="44" customHeight="1">
      <x:c r="A158" s="4" t="str">
        <x:v>概要-375</x:v>
      </x:c>
      <x:c r="B158" s="4" t="str">
        <x:v>系统概要与公共规则</x:v>
      </x:c>
      <x:c r="C158" s="4" t="n">
        <x:v>375</x:v>
      </x:c>
      <x:c r="D158" s="4" t="str">
        <x:v>|50|2%|2%|2%|</x:v>
      </x:c>
      <x:c r="E158" s="4" t="str">
        <x:v>尚未建立场景映射</x:v>
      </x:c>
      <x:c r="F158" s="4" t="str"/>
      <x:c r="G158" s="4" t="str">
        <x:v>系统概要或共同业务条款：已保留全文，不用端侧用例数量反推本条完整覆盖；跨段等价映射尚未逐项闭合。</x:v>
      </x:c>
    </x:row>
    <x:row r="159" ht="44" customHeight="1">
      <x:c r="A159" s="4" t="str">
        <x:v>概要-376</x:v>
      </x:c>
      <x:c r="B159" s="4" t="str">
        <x:v>系统概要与公共规则</x:v>
      </x:c>
      <x:c r="C159" s="4" t="n">
        <x:v>376</x:v>
      </x:c>
      <x:c r="D159" s="4" t="str">
        <x:v>|100|0\.5%|0\.5%|0\.5%|</x:v>
      </x:c>
      <x:c r="E159" s="4" t="str">
        <x:v>尚未建立场景映射</x:v>
      </x:c>
      <x:c r="F159" s="4" t="str"/>
      <x:c r="G159" s="4" t="str">
        <x:v>系统概要或共同业务条款：已保留全文，不用端侧用例数量反推本条完整覆盖；跨段等价映射尚未逐项闭合。</x:v>
      </x:c>
    </x:row>
    <x:row r="160" ht="44" customHeight="1">
      <x:c r="A160" s="4" t="str">
        <x:v>概要-377</x:v>
      </x:c>
      <x:c r="B160" s="4" t="str">
        <x:v>系统概要与公共规则</x:v>
      </x:c>
      <x:c r="C160" s="4" t="n">
        <x:v>377</x:v>
      </x:c>
      <x:c r="D160" s="4" t="str">
        <x:v>|1000|0\.1%|0\.1%|0\.1%|</x:v>
      </x:c>
      <x:c r="E160" s="4" t="str">
        <x:v>尚未建立场景映射</x:v>
      </x:c>
      <x:c r="F160" s="4" t="str"/>
      <x:c r="G160" s="4" t="str">
        <x:v>系统概要或共同业务条款：已保留全文，不用端侧用例数量反推本条完整覆盖；跨段等价映射尚未逐项闭合。</x:v>
      </x:c>
    </x:row>
    <x:row r="161" ht="44" customHeight="1">
      <x:c r="A161" s="4" t="str">
        <x:v>概要-378</x:v>
      </x:c>
      <x:c r="B161" s="4" t="str">
        <x:v>系统概要与公共规则</x:v>
      </x:c>
      <x:c r="C161" s="4" t="n">
        <x:v>378</x:v>
      </x:c>
      <x:c r="D161" s="4" t="str">
        <x:v>|合计|100%|100%|100%|</x:v>
      </x:c>
      <x:c r="E161" s="4" t="str">
        <x:v>尚未建立场景映射</x:v>
      </x:c>
      <x:c r="F161" s="4" t="str"/>
      <x:c r="G161" s="4" t="str">
        <x:v>系统概要或共同业务条款：已保留全文，不用端侧用例数量反推本条完整覆盖；跨段等价映射尚未逐项闭合。</x:v>
      </x:c>
    </x:row>
    <x:row r="162" ht="44" customHeight="1">
      <x:c r="A162" s="4" t="str">
        <x:v>概要-382</x:v>
      </x:c>
      <x:c r="B162" s="4" t="str">
        <x:v>系统概要与公共规则</x:v>
      </x:c>
      <x:c r="C162" s="4" t="n">
        <x:v>382</x:v>
      </x:c>
      <x:c r="D162" s="4" t="str">
        <x:v>- 用户送出 1 个礼物，先扣除 10 金币。若获得 50 金币，余额净增加 40 金币；若获得 0 金币，则实际消耗 10 金币。</x:v>
      </x:c>
      <x:c r="E162" s="4" t="str">
        <x:v>尚未建立场景映射</x:v>
      </x:c>
      <x:c r="F162" s="4" t="str"/>
      <x:c r="G162" s="4" t="str">
        <x:v>系统概要或共同业务条款：已保留全文，不用端侧用例数量反推本条完整覆盖；跨段等价映射尚未逐项闭合。</x:v>
      </x:c>
    </x:row>
    <x:row r="163" ht="44" customHeight="1">
      <x:c r="A163" s="4" t="str">
        <x:v>概要-384</x:v>
      </x:c>
      <x:c r="B163" s="4" t="str">
        <x:v>系统概要与公共规则</x:v>
      </x:c>
      <x:c r="C163" s="4" t="n">
        <x:v>384</x:v>
      </x:c>
      <x:c r="D163" s="4" t="str">
        <x:v>- 用户一次送出 10 个礼物时，先扣除 100 金币，10 个礼物分别开奖。长期平均返还约 97 金币，单次实际结果可能高于或低于该数值。</x:v>
      </x:c>
      <x:c r="E163" s="4" t="str">
        <x:v>尚未建立场景映射</x:v>
      </x:c>
      <x:c r="F163" s="4" t="str"/>
      <x:c r="G163" s="4" t="str">
        <x:v>系统概要或共同业务条款：已保留全文，不用端侧用例数量反推本条完整覆盖；跨段等价映射尚未逐项闭合。</x:v>
      </x:c>
    </x:row>
    <x:row r="164" ht="44" customHeight="1">
      <x:c r="A164" s="4" t="str">
        <x:v>概要-390</x:v>
      </x:c>
      <x:c r="B164" s="4" t="str">
        <x:v>系统概要与公共规则</x:v>
      </x:c>
      <x:c r="C164" s="4" t="n">
        <x:v>390</x:v>
      </x:c>
      <x:c r="D164" s="4" t="str">
        <x:v>- 道具（头像框、气泡、勋章\.\.\.）由平台配置获取条件、有效期和上下架状态。</x:v>
      </x:c>
      <x:c r="E164" s="4" t="str">
        <x:v>尚未建立场景映射</x:v>
      </x:c>
      <x:c r="F164" s="4" t="str"/>
      <x:c r="G164" s="4" t="str">
        <x:v>系统概要或共同业务条款：已保留全文，不用端侧用例数量反推本条完整覆盖；跨段等价映射尚未逐项闭合。</x:v>
      </x:c>
    </x:row>
    <x:row r="165" ht="44" customHeight="1">
      <x:c r="A165" s="4" t="str">
        <x:v>概要-392</x:v>
      </x:c>
      <x:c r="B165" s="4" t="str">
        <x:v>系统概要与公共规则</x:v>
      </x:c>
      <x:c r="C165" s="4" t="n">
        <x:v>392</x:v>
      </x:c>
      <x:c r="D165" s="4" t="str">
        <x:v>- 用户只能使用已获得且处于有效期内的道具；道具到期后自动停止展示。</x:v>
      </x:c>
      <x:c r="E165" s="4" t="str">
        <x:v>尚未建立场景映射</x:v>
      </x:c>
      <x:c r="F165" s="4" t="str"/>
      <x:c r="G165" s="4" t="str">
        <x:v>系统概要或共同业务条款：已保留全文，不用端侧用例数量反推本条完整覆盖；跨段等价映射尚未逐项闭合。</x:v>
      </x:c>
    </x:row>
    <x:row r="166" ht="44" customHeight="1">
      <x:c r="A166" s="4" t="str">
        <x:v>概要-394</x:v>
      </x:c>
      <x:c r="B166" s="4" t="str">
        <x:v>系统概要与公共规则</x:v>
      </x:c>
      <x:c r="C166" s="4" t="n">
        <x:v>394</x:v>
      </x:c>
      <x:c r="D166" s="4" t="str">
        <x:v>- 道具下架后停止新发放，已发放道具按原有效期继续使用。</x:v>
      </x:c>
      <x:c r="E166" s="4" t="str">
        <x:v>尚未建立场景映射</x:v>
      </x:c>
      <x:c r="F166" s="4" t="str"/>
      <x:c r="G166" s="4" t="str">
        <x:v>系统概要或共同业务条款：已保留全文，不用端侧用例数量反推本条完整覆盖；跨段等价映射尚未逐项闭合。</x:v>
      </x:c>
    </x:row>
    <x:row r="167" ht="44" customHeight="1">
      <x:c r="A167" s="4" t="str">
        <x:v>概要-400</x:v>
      </x:c>
      <x:c r="B167" s="4" t="str">
        <x:v>系统概要与公共规则</x:v>
      </x:c>
      <x:c r="C167" s="4" t="n">
        <x:v>400</x:v>
      </x:c>
      <x:c r="D167" s="4" t="str">
        <x:v>- 只有充值订单支持退款或支付渠道拒付处理。</x:v>
      </x:c>
      <x:c r="E167" s="4" t="str">
        <x:v>尚未建立场景映射</x:v>
      </x:c>
      <x:c r="F167" s="4" t="str"/>
      <x:c r="G167" s="4" t="str">
        <x:v>系统概要或共同业务条款：已保留全文，不用端侧用例数量反推本条完整覆盖；跨段等价映射尚未逐项闭合。</x:v>
      </x:c>
    </x:row>
    <x:row r="168" ht="44" customHeight="1">
      <x:c r="A168" s="4" t="str">
        <x:v>概要-402</x:v>
      </x:c>
      <x:c r="B168" s="4" t="str">
        <x:v>系统概要与公共规则</x:v>
      </x:c>
      <x:c r="C168" s="4" t="n">
        <x:v>402</x:v>
      </x:c>
      <x:c r="D168" s="4" t="str">
        <x:v>- 充值订单用户侧不提供退款操作</x:v>
      </x:c>
      <x:c r="E168" s="4" t="str">
        <x:v>尚未建立场景映射</x:v>
      </x:c>
      <x:c r="F168" s="4" t="str"/>
      <x:c r="G168" s="4" t="str">
        <x:v>系统概要或共同业务条款：已保留全文，不用端侧用例数量反推本条完整覆盖；跨段等价映射尚未逐项闭合。</x:v>
      </x:c>
    </x:row>
    <x:row r="169" ht="44" customHeight="1">
      <x:c r="A169" s="4" t="str">
        <x:v>概要-404</x:v>
      </x:c>
      <x:c r="B169" s="4" t="str">
        <x:v>系统概要与公共规则</x:v>
      </x:c>
      <x:c r="C169" s="4" t="n">
        <x:v>404</x:v>
      </x:c>
      <x:c r="D169" s="4" t="str">
        <x:v>- 充值订单退款后，从用户当前金币余额中扣除该订单到账的金币。余额不足时允许形成负数余额，不撤销用户已经完成的礼物或门票消费。</x:v>
      </x:c>
      <x:c r="E169" s="4" t="str">
        <x:v>尚未建立场景映射</x:v>
      </x:c>
      <x:c r="F169" s="4" t="str"/>
      <x:c r="G169" s="4" t="str">
        <x:v>系统概要或共同业务条款：已保留全文，不用端侧用例数量反推本条完整覆盖；跨段等价映射尚未逐项闭合。</x:v>
      </x:c>
    </x:row>
    <x:row r="170" ht="44" customHeight="1">
      <x:c r="A170" s="4" t="str">
        <x:v>概要-406</x:v>
      </x:c>
      <x:c r="B170" s="4" t="str">
        <x:v>系统概要与公共规则</x:v>
      </x:c>
      <x:c r="C170" s="4" t="n">
        <x:v>406</x:v>
      </x:c>
      <x:c r="D170" s="4" t="str">
        <x:v>- 用户后续充值时，到账金币先抵扣负余额，剩余金币进入可用余额。</x:v>
      </x:c>
      <x:c r="E170" s="4" t="str">
        <x:v>尚未建立场景映射</x:v>
      </x:c>
      <x:c r="F170" s="4" t="str"/>
      <x:c r="G170" s="4" t="str">
        <x:v>系统概要或共同业务条款：已保留全文，不用端侧用例数量反推本条完整覆盖；跨段等价映射尚未逐项闭合。</x:v>
      </x:c>
    </x:row>
    <x:row r="171" ht="44" customHeight="1">
      <x:c r="A171" s="4" t="str">
        <x:v>概要-408</x:v>
      </x:c>
      <x:c r="B171" s="4" t="str">
        <x:v>系统概要与公共规则</x:v>
      </x:c>
      <x:c r="C171" s="4" t="n">
        <x:v>408</x:v>
      </x:c>
      <x:c r="D171" s="4" t="str">
        <x:v>- 示例：用户充值获得 1000 金币并全部消费后，余额为 0；该充值订单退款后，余额变为 \-1000；再次充值 2000 金币后，余额变为 1000。</x:v>
      </x:c>
      <x:c r="E171" s="4" t="str">
        <x:v>尚未建立场景映射</x:v>
      </x:c>
      <x:c r="F171" s="4" t="str"/>
      <x:c r="G171" s="4" t="str">
        <x:v>系统概要或共同业务条款：已保留全文，不用端侧用例数量反推本条完整覆盖；跨段等价映射尚未逐项闭合。</x:v>
      </x:c>
    </x:row>
    <x:row r="172" ht="44" customHeight="1">
      <x:c r="A172" s="4" t="str">
        <x:v>概要-416</x:v>
      </x:c>
      <x:c r="B172" s="4" t="str">
        <x:v>系统概要与公共规则</x:v>
      </x:c>
      <x:c r="C172" s="4" t="n">
        <x:v>416</x:v>
      </x:c>
      <x:c r="D172" s="4" t="str">
        <x:v>|类型|收益规则|</x:v>
      </x:c>
      <x:c r="E172" s="4" t="str">
        <x:v>尚未建立场景映射</x:v>
      </x:c>
      <x:c r="F172" s="4" t="str"/>
      <x:c r="G172" s="4" t="str">
        <x:v>系统概要或共同业务条款：已保留全文，不用端侧用例数量反推本条完整覆盖；跨段等价映射尚未逐项闭合。</x:v>
      </x:c>
    </x:row>
    <x:row r="173" ht="44" customHeight="1">
      <x:c r="A173" s="4" t="str">
        <x:v>概要-418</x:v>
      </x:c>
      <x:c r="B173" s="4" t="str">
        <x:v>系统概要与公共规则</x:v>
      </x:c>
      <x:c r="C173" s="4" t="n">
        <x:v>418</x:v>
      </x:c>
      <x:c r="D173" s="4" t="str">
        <x:v>|普通礼物|主播收益等于用户实际消费的金币|</x:v>
      </x:c>
      <x:c r="E173" s="4" t="str">
        <x:v>尚未建立场景映射</x:v>
      </x:c>
      <x:c r="F173" s="4" t="str"/>
      <x:c r="G173" s="4" t="str">
        <x:v>系统概要或共同业务条款：已保留全文，不用端侧用例数量反推本条完整覆盖；跨段等价映射尚未逐项闭合。</x:v>
      </x:c>
    </x:row>
    <x:row r="174" ht="44" customHeight="1">
      <x:c r="A174" s="4" t="str">
        <x:v>概要-419</x:v>
      </x:c>
      <x:c r="B174" s="4" t="str">
        <x:v>系统概要与公共规则</x:v>
      </x:c>
      <x:c r="C174" s="4" t="n">
        <x:v>419</x:v>
      </x:c>
      <x:c r="D174" s="4" t="str">
        <x:v>|定制礼物|主播收益等于用户实际消费的金币|</x:v>
      </x:c>
      <x:c r="E174" s="4" t="str">
        <x:v>尚未建立场景映射</x:v>
      </x:c>
      <x:c r="F174" s="4" t="str"/>
      <x:c r="G174" s="4" t="str">
        <x:v>系统概要或共同业务条款：已保留全文，不用端侧用例数量反推本条完整覆盖；跨段等价映射尚未逐项闭合。</x:v>
      </x:c>
    </x:row>
    <x:row r="175" ht="44" customHeight="1">
      <x:c r="A175" s="4" t="str">
        <x:v>概要-420</x:v>
      </x:c>
      <x:c r="B175" s="4" t="str">
        <x:v>系统概要与公共规则</x:v>
      </x:c>
      <x:c r="C175" s="4" t="n">
        <x:v>420</x:v>
      </x:c>
      <x:c r="D175" s="4" t="str">
        <x:v>|幸运礼物|主播收益等于用户送出礼物价值*1%（1%后台可配），返奖结果不影响主播收益|</x:v>
      </x:c>
      <x:c r="E175" s="4" t="str">
        <x:v>尚未建立场景映射</x:v>
      </x:c>
      <x:c r="F175" s="4" t="str"/>
      <x:c r="G175" s="4" t="str">
        <x:v>系统概要或共同业务条款：已保留全文，不用端侧用例数量反推本条完整覆盖；跨段等价映射尚未逐项闭合。</x:v>
      </x:c>
    </x:row>
    <x:row r="176" ht="44" customHeight="1">
      <x:c r="A176" s="4" t="str">
        <x:v>概要-421</x:v>
      </x:c>
      <x:c r="B176" s="4" t="str">
        <x:v>系统概要与公共规则</x:v>
      </x:c>
      <x:c r="C176" s="4" t="n">
        <x:v>421</x:v>
      </x:c>
      <x:c r="D176" s="4" t="str">
        <x:v>|门票|主播收益等于用户购买门票实际消费的金币|</x:v>
      </x:c>
      <x:c r="E176" s="4" t="str">
        <x:v>尚未建立场景映射</x:v>
      </x:c>
      <x:c r="F176" s="4" t="str"/>
      <x:c r="G176" s="4" t="str">
        <x:v>系统概要或共同业务条款：已保留全文，不用端侧用例数量反推本条完整覆盖；跨段等价映射尚未逐项闭合。</x:v>
      </x:c>
    </x:row>
    <x:row r="177" ht="44" customHeight="1">
      <x:c r="A177" s="4" t="str">
        <x:v>概要-423</x:v>
      </x:c>
      <x:c r="B177" s="4" t="str">
        <x:v>系统概要与公共规则</x:v>
      </x:c>
      <x:c r="C177" s="4" t="n">
        <x:v>423</x:v>
      </x:c>
      <x:c r="D177" s="4" t="str">
        <x:v>- 虚拟金币消费、失败或撤销的消费不计入主播收益。</x:v>
      </x:c>
      <x:c r="E177" s="4" t="str">
        <x:v>尚未建立场景映射</x:v>
      </x:c>
      <x:c r="F177" s="4" t="str"/>
      <x:c r="G177" s="4" t="str">
        <x:v>系统概要或共同业务条款：已保留全文，不用端侧用例数量反推本条完整覆盖；跨段等价映射尚未逐项闭合。</x:v>
      </x:c>
    </x:row>
    <x:row r="178" ht="44" customHeight="1">
      <x:c r="A178" s="4" t="str">
        <x:v>概要-425</x:v>
      </x:c>
      <x:c r="B178" s="4" t="str">
        <x:v>系统概要与公共规则</x:v>
      </x:c>
      <x:c r="C178" s="4" t="n">
        <x:v>425</x:v>
      </x:c>
      <x:c r="D178" s="4" t="str">
        <x:v>- 已消费完成的礼物和门票不因充值订单退款或拒付而撤销，对应主播收益和分成不受影响。</x:v>
      </x:c>
      <x:c r="E178" s="4" t="str">
        <x:v>尚未建立场景映射</x:v>
      </x:c>
      <x:c r="F178" s="4" t="str"/>
      <x:c r="G178" s="4" t="str">
        <x:v>系统概要或共同业务条款：已保留全文，不用端侧用例数量反推本条完整覆盖；跨段等价映射尚未逐项闭合。</x:v>
      </x:c>
    </x:row>
    <x:row r="179" ht="44" customHeight="1">
      <x:c r="A179" s="4" t="str">
        <x:v>概要-431</x:v>
      </x:c>
      <x:c r="B179" s="4" t="str">
        <x:v>系统概要与公共规则</x:v>
      </x:c>
      <x:c r="C179" s="4" t="n">
        <x:v>431</x:v>
      </x:c>
      <x:c r="D179" s="4" t="str">
        <x:v>- 系统不提供线上结算申请或审批流程。</x:v>
      </x:c>
      <x:c r="E179" s="4" t="str">
        <x:v>尚未建立场景映射</x:v>
      </x:c>
      <x:c r="F179" s="4" t="str"/>
      <x:c r="G179" s="4" t="str">
        <x:v>系统概要或共同业务条款：已保留全文，不用端侧用例数量反推本条完整覆盖；跨段等价映射尚未逐项闭合。</x:v>
      </x:c>
    </x:row>
    <x:row r="180" ht="44" customHeight="1">
      <x:c r="A180" s="4" t="str">
        <x:v>概要-433</x:v>
      </x:c>
      <x:c r="B180" s="4" t="str">
        <x:v>系统概要与公共规则</x:v>
      </x:c>
      <x:c r="C180" s="4" t="n">
        <x:v>433</x:v>
      </x:c>
      <x:c r="D180" s="4" t="str">
        <x:v>- 后台输出数据的汇总/明细报表等，不计算具体的分成金额。</x:v>
      </x:c>
      <x:c r="E180" s="4" t="str">
        <x:v>尚未建立场景映射</x:v>
      </x:c>
      <x:c r="F180" s="4" t="str"/>
      <x:c r="G180" s="4" t="str">
        <x:v>系统概要或共同业务条款：已保留全文，不用端侧用例数量反推本条完整覆盖；跨段等价映射尚未逐项闭合。</x:v>
      </x:c>
    </x:row>
    <x:row r="181" ht="44" customHeight="1">
      <x:c r="A181" s="4" t="str">
        <x:v>概要-435</x:v>
      </x:c>
      <x:c r="B181" s="4" t="str">
        <x:v>系统概要与公共规则</x:v>
      </x:c>
      <x:c r="C181" s="4" t="n">
        <x:v>435</x:v>
      </x:c>
      <x:c r="D181" s="4" t="str">
        <x:v>- 分成比例和应结金额由财务根据报表中心数据确定。财务在线下与主播完成结算，并在系统中上传结果。</x:v>
      </x:c>
      <x:c r="E181" s="4" t="str">
        <x:v>尚未建立场景映射</x:v>
      </x:c>
      <x:c r="F181" s="4" t="str"/>
      <x:c r="G181" s="4" t="str">
        <x:v>系统概要或共同业务条款：已保留全文，不用端侧用例数量反推本条完整覆盖；跨段等价映射尚未逐项闭合。</x:v>
      </x:c>
    </x:row>
    <x:row r="182" ht="57" customHeight="1">
      <x:c r="A182" s="4" t="str">
        <x:v>概要-441</x:v>
      </x:c>
      <x:c r="B182" s="4" t="str">
        <x:v>系统概要与公共规则</x:v>
      </x:c>
      <x:c r="C182" s="4" t="n">
        <x:v>441</x:v>
      </x:c>
      <x:c r="D182" s="4" t="str">
        <x:v>|类型|用户充值（印尼盾）|平台奖励（金币）|赠送礼物价值（金币）|主播收益（金币）|平台分成（50%，印尼盾）|公会分成（10%，印尼盾）|主播分成（40%，印尼盾）|</x:v>
      </x:c>
      <x:c r="E182" s="4" t="str">
        <x:v>尚未建立场景映射</x:v>
      </x:c>
      <x:c r="F182" s="4" t="str"/>
      <x:c r="G182" s="4" t="str">
        <x:v>系统概要或共同业务条款：已保留全文，不用端侧用例数量反推本条完整覆盖；跨段等价映射尚未逐项闭合。</x:v>
      </x:c>
    </x:row>
    <x:row r="183" ht="44" customHeight="1">
      <x:c r="A183" s="4" t="str">
        <x:v>概要-443</x:v>
      </x:c>
      <x:c r="B183" s="4" t="str">
        <x:v>系统概要与公共规则</x:v>
      </x:c>
      <x:c r="C183" s="4" t="n">
        <x:v>443</x:v>
      </x:c>
      <x:c r="D183" s="4" t="str">
        <x:v>|普通礼物 / 定制礼物 / 门票|75,000|5,000|80,000|80,000|40,000|8,000|32,000|</x:v>
      </x:c>
      <x:c r="E183" s="4" t="str">
        <x:v>尚未建立场景映射</x:v>
      </x:c>
      <x:c r="F183" s="4" t="str"/>
      <x:c r="G183" s="4" t="str">
        <x:v>系统概要或共同业务条款：已保留全文，不用端侧用例数量反推本条完整覆盖；跨段等价映射尚未逐项闭合。</x:v>
      </x:c>
    </x:row>
    <x:row r="184" ht="44" customHeight="1">
      <x:c r="A184" s="4" t="str">
        <x:v>概要-444</x:v>
      </x:c>
      <x:c r="B184" s="4" t="str">
        <x:v>系统概要与公共规则</x:v>
      </x:c>
      <x:c r="C184" s="4" t="n">
        <x:v>444</x:v>
      </x:c>
      <x:c r="D184" s="4" t="str">
        <x:v>|幸运礼物|15,000|0|15,000|150（按1%计算）|75|15|60|</x:v>
      </x:c>
      <x:c r="E184" s="4" t="str">
        <x:v>尚未建立场景映射</x:v>
      </x:c>
      <x:c r="F184" s="4" t="str"/>
      <x:c r="G184" s="4" t="str">
        <x:v>系统概要或共同业务条款：已保留全文，不用端侧用例数量反推本条完整覆盖；跨段等价映射尚未逐项闭合。</x:v>
      </x:c>
    </x:row>
    <x:row r="185" ht="44" customHeight="1">
      <x:c r="A185" s="4" t="str">
        <x:v>概要-452</x:v>
      </x:c>
      <x:c r="B185" s="4" t="str">
        <x:v>系统概要与公共规则</x:v>
      </x:c>
      <x:c r="C185" s="4" t="n">
        <x:v>452</x:v>
      </x:c>
      <x:c r="D185" s="4" t="str">
        <x:v>- 由公会创建，由公会运营人员登录使用。</x:v>
      </x:c>
      <x:c r="E185" s="4" t="str">
        <x:v>尚未建立场景映射</x:v>
      </x:c>
      <x:c r="F185" s="4" t="str"/>
      <x:c r="G185" s="4" t="str">
        <x:v>系统概要或共同业务条款：已保留全文，不用端侧用例数量反推本条完整覆盖；跨段等价映射尚未逐项闭合。</x:v>
      </x:c>
    </x:row>
    <x:row r="186" ht="44" customHeight="1">
      <x:c r="A186" s="4" t="str">
        <x:v>概要-454</x:v>
      </x:c>
      <x:c r="B186" s="4" t="str">
        <x:v>系统概要与公共规则</x:v>
      </x:c>
      <x:c r="C186" s="4" t="n">
        <x:v>454</x:v>
      </x:c>
      <x:c r="D186" s="4" t="str">
        <x:v>- 可在直播间手动发送公屏消息或赠送礼物，不能赠送幸运礼物。</x:v>
      </x:c>
      <x:c r="E186" s="4" t="str">
        <x:v>尚未建立场景映射</x:v>
      </x:c>
      <x:c r="F186" s="4" t="str"/>
      <x:c r="G186" s="4" t="str">
        <x:v>系统概要或共同业务条款：已保留全文，不用端侧用例数量反推本条完整覆盖；跨段等价映射尚未逐项闭合。</x:v>
      </x:c>
    </x:row>
    <x:row r="187" ht="44" customHeight="1">
      <x:c r="A187" s="4" t="str">
        <x:v>概要-456</x:v>
      </x:c>
      <x:c r="B187" s="4" t="str">
        <x:v>系统概要与公共规则</x:v>
      </x:c>
      <x:c r="C187" s="4" t="n">
        <x:v>456</x:v>
      </x:c>
      <x:c r="D187" s="4" t="str">
        <x:v>- 进入门票房不需要购买门票，进入密码房无需输入密码。</x:v>
      </x:c>
      <x:c r="E187" s="4" t="str">
        <x:v>尚未建立场景映射</x:v>
      </x:c>
      <x:c r="F187" s="4" t="str"/>
      <x:c r="G187" s="4" t="str">
        <x:v>系统概要或共同业务条款：已保留全文，不用端侧用例数量反推本条完整覆盖；跨段等价映射尚未逐项闭合。</x:v>
      </x:c>
    </x:row>
    <x:row r="188" ht="44" customHeight="1">
      <x:c r="A188" s="4" t="str">
        <x:v>概要-458</x:v>
      </x:c>
      <x:c r="B188" s="4" t="str">
        <x:v>系统概要与公共规则</x:v>
      </x:c>
      <x:c r="C188" s="4" t="n">
        <x:v>458</x:v>
      </x:c>
      <x:c r="D188" s="4" t="str">
        <x:v>- 运营账号下单独设置虚拟金币账户。</x:v>
      </x:c>
      <x:c r="E188" s="4" t="str">
        <x:v>尚未建立场景映射</x:v>
      </x:c>
      <x:c r="F188" s="4" t="str"/>
      <x:c r="G188" s="4" t="str">
        <x:v>系统概要或共同业务条款：已保留全文，不用端侧用例数量反推本条完整覆盖；跨段等价映射尚未逐项闭合。</x:v>
      </x:c>
    </x:row>
    <x:row r="189" ht="44" customHeight="1">
      <x:c r="A189" s="4" t="str">
        <x:v>概要-464</x:v>
      </x:c>
      <x:c r="B189" s="4" t="str">
        <x:v>系统概要与公共规则</x:v>
      </x:c>
      <x:c r="C189" s="4" t="n">
        <x:v>464</x:v>
      </x:c>
      <x:c r="D189" s="4" t="str">
        <x:v>- 公会可以创建本公会运营账号、发放虚拟金币、启用或禁用账号，并查看运营账号数据。</x:v>
      </x:c>
      <x:c r="E189" s="4" t="str">
        <x:v>尚未建立场景映射</x:v>
      </x:c>
      <x:c r="F189" s="4" t="str"/>
      <x:c r="G189" s="4" t="str">
        <x:v>系统概要或共同业务条款：已保留全文，不用端侧用例数量反推本条完整覆盖；跨段等价映射尚未逐项闭合。</x:v>
      </x:c>
    </x:row>
    <x:row r="190" ht="44" customHeight="1">
      <x:c r="A190" s="4" t="str">
        <x:v>概要-466</x:v>
      </x:c>
      <x:c r="B190" s="4" t="str">
        <x:v>系统概要与公共规则</x:v>
      </x:c>
      <x:c r="C190" s="4" t="n">
        <x:v>466</x:v>
      </x:c>
      <x:c r="D190" s="4" t="str">
        <x:v>- 平台不创建运营账号、不发放虚拟金币，可以启用或禁用运营账号。</x:v>
      </x:c>
      <x:c r="E190" s="4" t="str">
        <x:v>尚未建立场景映射</x:v>
      </x:c>
      <x:c r="F190" s="4" t="str"/>
      <x:c r="G190" s="4" t="str">
        <x:v>系统概要或共同业务条款：已保留全文，不用端侧用例数量反推本条完整覆盖；跨段等价映射尚未逐项闭合。</x:v>
      </x:c>
    </x:row>
    <x:row r="191" ht="44" customHeight="1">
      <x:c r="A191" s="4" t="str">
        <x:v>概要-468</x:v>
      </x:c>
      <x:c r="B191" s="4" t="str">
        <x:v>系统概要与公共规则</x:v>
      </x:c>
      <x:c r="C191" s="4" t="n">
        <x:v>468</x:v>
      </x:c>
      <x:c r="D191" s="4" t="str">
        <x:v>- 平台可以锁定或解除公会的运营账号管理权限。</x:v>
      </x:c>
      <x:c r="E191" s="4" t="str">
        <x:v>尚未建立场景映射</x:v>
      </x:c>
      <x:c r="F191" s="4" t="str"/>
      <x:c r="G191" s="4" t="str">
        <x:v>系统概要或共同业务条款：已保留全文，不用端侧用例数量反推本条完整覆盖；跨段等价映射尚未逐项闭合。</x:v>
      </x:c>
    </x:row>
    <x:row r="192" ht="44" customHeight="1">
      <x:c r="A192" s="4" t="str">
        <x:v>概要-470</x:v>
      </x:c>
      <x:c r="B192" s="4" t="str">
        <x:v>系统概要与公共规则</x:v>
      </x:c>
      <x:c r="C192" s="4" t="n">
        <x:v>470</x:v>
      </x:c>
      <x:c r="D192" s="4" t="str">
        <x:v>- 平台可限制单个公会每月累计发放虚拟金币的上限，及各公会内单运营账号每月累计获得虚拟金币的上限。</x:v>
      </x:c>
      <x:c r="E192" s="4" t="str">
        <x:v>尚未建立场景映射</x:v>
      </x:c>
      <x:c r="F192" s="4" t="str"/>
      <x:c r="G192" s="4" t="str">
        <x:v>系统概要或共同业务条款：已保留全文，不用端侧用例数量反推本条完整覆盖；跨段等价映射尚未逐项闭合。</x:v>
      </x:c>
    </x:row>
    <x:row r="193" ht="44" customHeight="1">
      <x:c r="A193" s="4" t="str">
        <x:v>概要-472</x:v>
      </x:c>
      <x:c r="B193" s="4" t="str">
        <x:v>系统概要与公共规则</x:v>
      </x:c>
      <x:c r="C193" s="4" t="n">
        <x:v>472</x:v>
      </x:c>
      <x:c r="D193" s="4" t="str">
        <x:v>- 平台可以查看运营账号列表、虚拟金币发放明细和消费明细。</x:v>
      </x:c>
      <x:c r="E193" s="4" t="str">
        <x:v>尚未建立场景映射</x:v>
      </x:c>
      <x:c r="F193" s="4" t="str"/>
      <x:c r="G193" s="4" t="str">
        <x:v>系统概要或共同业务条款：已保留全文，不用端侧用例数量反推本条完整覆盖；跨段等价映射尚未逐项闭合。</x:v>
      </x:c>
    </x:row>
    <x:row r="194" ht="44" customHeight="1">
      <x:c r="A194" s="4" t="str">
        <x:v>概要-478</x:v>
      </x:c>
      <x:c r="B194" s="4" t="str">
        <x:v>系统概要与公共规则</x:v>
      </x:c>
      <x:c r="C194" s="4" t="n">
        <x:v>478</x:v>
      </x:c>
      <x:c r="D194" s="4" t="str">
        <x:v>- 虚拟金币与用户真实金币分账户记录，不可互相转换。</x:v>
      </x:c>
      <x:c r="E194" s="4" t="str">
        <x:v>尚未建立场景映射</x:v>
      </x:c>
      <x:c r="F194" s="4" t="str"/>
      <x:c r="G194" s="4" t="str">
        <x:v>系统概要或共同业务条款：已保留全文，不用端侧用例数量反推本条完整覆盖；跨段等价映射尚未逐项闭合。</x:v>
      </x:c>
    </x:row>
    <x:row r="195" ht="44" customHeight="1">
      <x:c r="A195" s="4" t="str">
        <x:v>概要-480</x:v>
      </x:c>
      <x:c r="B195" s="4" t="str">
        <x:v>系统概要与公共规则</x:v>
      </x:c>
      <x:c r="C195" s="4" t="n">
        <x:v>480</x:v>
      </x:c>
      <x:c r="D195" s="4" t="str">
        <x:v>- 运营账号使用虚拟金币送礼，可计入直播间氛围和榜单展示，但不形成主播收益或分成。</x:v>
      </x:c>
      <x:c r="E195" s="4" t="str">
        <x:v>尚未建立场景映射</x:v>
      </x:c>
      <x:c r="F195" s="4" t="str"/>
      <x:c r="G195" s="4" t="str">
        <x:v>系统概要或共同业务条款：已保留全文，不用端侧用例数量反推本条完整覆盖；跨段等价映射尚未逐项闭合。</x:v>
      </x:c>
    </x:row>
    <x:row r="196" ht="44" customHeight="1">
      <x:c r="A196" s="4" t="str">
        <x:v>概要-487</x:v>
      </x:c>
      <x:c r="B196" s="4" t="str">
        <x:v>系统概要与公共规则</x:v>
      </x:c>
      <x:c r="C196" s="4" t="n">
        <x:v>487</x:v>
      </x:c>
      <x:c r="D196" s="4" t="str">
        <x:v>|首页|福利|消息|我的|</x:v>
      </x:c>
      <x:c r="E196" s="4" t="str">
        <x:v>尚未建立场景映射</x:v>
      </x:c>
      <x:c r="F196" s="4" t="str"/>
      <x:c r="G196" s="4" t="str">
        <x:v>系统概要或共同业务条款：已保留全文，不用端侧用例数量反推本条完整覆盖；跨段等价映射尚未逐项闭合。</x:v>
      </x:c>
    </x:row>
    <x:row r="197" ht="57" customHeight="1">
      <x:c r="A197" s="4" t="str">
        <x:v>概要-489</x:v>
      </x:c>
      <x:c r="B197" s="4" t="str">
        <x:v>系统概要与公共规则</x:v>
      </x:c>
      <x:c r="C197" s="4" t="n">
        <x:v>489</x:v>
      </x:c>
      <x:c r="D197" s="4" t="str">
        <x:v>|✅&lt;br&gt;全部功能|✅&lt;br&gt;只能进入一级页|✅&lt;br&gt;消息、好友|✅&lt;br&gt;编辑资料、设置（除绑定手机号、绑定邮箱、注销登录外）；&lt;br&gt;关注、粉丝、好友；黑名单、联系客服；|</x:v>
      </x:c>
      <x:c r="E197" s="4" t="str">
        <x:v>尚未建立场景映射</x:v>
      </x:c>
      <x:c r="F197" s="4" t="str"/>
      <x:c r="G197" s="4" t="str">
        <x:v>系统概要或共同业务条款：已保留全文，不用端侧用例数量反推本条完整覆盖；跨段等价映射尚未逐项闭合。</x:v>
      </x:c>
    </x:row>
    <x:row r="198" ht="87" customHeight="1">
      <x:c r="A198" s="4" t="str">
        <x:v>概要-490</x:v>
      </x:c>
      <x:c r="B198" s="4" t="str">
        <x:v>系统概要与公共规则</x:v>
      </x:c>
      <x:c r="C198" s="4" t="n">
        <x:v>490</x:v>
      </x:c>
      <x:c r="D198" s="4" t="str">
        <x:v>|\-\-|❌&lt;br&gt;进入一级页，点击其中任意功能入口，提示“运营账号无法操作”|❌&lt;br&gt;粉丝团&lt;br&gt;点击提示“运营账号无法操作”|❌&lt;br&gt;设置（绑定手机号、绑定邮箱、注销登录）；&lt;br&gt;充值、我的装扮、粉丝团、邀请奖励、开始直播、主播中心、公会中心；&lt;br&gt;点击提示“运营账号无法操作”|</x:v>
      </x:c>
      <x:c r="E198" s="4" t="str">
        <x:v>尚未建立场景映射</x:v>
      </x:c>
      <x:c r="F198" s="4" t="str"/>
      <x:c r="G198" s="4" t="str">
        <x:v>系统概要或共同业务条款：已保留全文，不用端侧用例数量反推本条完整覆盖；跨段等价映射尚未逐项闭合。</x:v>
      </x:c>
    </x:row>
    <x:row r="199" ht="57" customHeight="1">
      <x:c r="A199" s="4" t="str">
        <x:v>概要-498</x:v>
      </x:c>
      <x:c r="B199" s="4" t="str">
        <x:v>系统概要与公共规则</x:v>
      </x:c>
      <x:c r="C199" s="4" t="n">
        <x:v>498</x:v>
      </x:c>
      <x:c r="D199" s="4" t="str">
        <x:v>用户App、公会App 支持中文、English、Bahasa Indonesia、Bahasa Melayu；管理后台一期交付中文。〔依据：context/系统概要 .md / 1.2 端口语言〕</x:v>
      </x:c>
      <x:c r="E199" s="4" t="str">
        <x:v>尚未建立场景映射</x:v>
      </x:c>
      <x:c r="F199" s="4" t="str"/>
      <x:c r="G199" s="4" t="str">
        <x:v>系统概要或共同业务条款：已保留全文，不用端侧用例数量反推本条完整覆盖；跨段等价映射尚未逐项闭合。</x:v>
      </x:c>
    </x:row>
    <x:row r="200" ht="87" customHeight="1">
      <x:c r="A200" s="4" t="str">
        <x:v>概要-499</x:v>
      </x:c>
      <x:c r="B200" s="4" t="str">
        <x:v>系统概要与公共规则</x:v>
      </x:c>
      <x:c r="C200" s="4" t="n">
        <x:v>499</x:v>
      </x:c>
      <x:c r="D200" s="4" t="str">
        <x:v>同一用户同一时刻只能有一笔处理中入会申请且只能属于一个公会。公会通过后自动进入平台终审，但尚未加入公会或成为主播。任一级驳回使申请作废，重新申请必须走新的公会初审和平台终审。平台通过后才建立公会关系和主播身份。〔依据：context/系统概要 .md / 3.1.2 主播的入会/退会〕</x:v>
      </x:c>
      <x:c r="E200" s="4" t="str">
        <x:v>尚未建立场景映射</x:v>
      </x:c>
      <x:c r="F200" s="4" t="str"/>
      <x:c r="G200" s="4" t="str">
        <x:v>系统概要或共同业务条款：已保留全文，不用端侧用例数量反推本条完整覆盖；跨段等价映射尚未逐项闭合。</x:v>
      </x:c>
    </x:row>
    <x:row r="201" ht="72" customHeight="1">
      <x:c r="A201" s="4" t="str">
        <x:v>概要-500</x:v>
      </x:c>
      <x:c r="B201" s="4" t="str">
        <x:v>系统概要与公共规则</x:v>
      </x:c>
      <x:c r="C201" s="4" t="n">
        <x:v>500</x:v>
      </x:c>
      <x:c r="D201" s="4" t="str">
        <x:v>平台停用公会后，公会不可被搜索，公会长不能登录，主播关系解除，名下主播失去身份并停止开播，业务历史保留且后台可查看。单独停用公会长账号只影响该账号登录，不影响主播。〔依据：context/系统概要 .md / 3.2 公会账号与权限〕</x:v>
      </x:c>
      <x:c r="E201" s="4" t="str">
        <x:v>尚未建立场景映射</x:v>
      </x:c>
      <x:c r="F201" s="4" t="str"/>
      <x:c r="G201" s="4" t="str">
        <x:v>系统概要或共同业务条款：已保留全文，不用端侧用例数量反推本条完整覆盖；跨段等价映射尚未逐项闭合。</x:v>
      </x:c>
    </x:row>
    <x:row r="202" ht="87" customHeight="1">
      <x:c r="A202" s="4" t="str">
        <x:v>概要-501</x:v>
      </x:c>
      <x:c r="B202" s="4" t="str">
        <x:v>系统概要与公共规则</x:v>
      </x:c>
      <x:c r="C202" s="4" t="n">
        <x:v>501</x:v>
      </x:c>
      <x:c r="D202" s="4" t="str">
        <x:v>直播权限与主播身份分开。平台关闭时最终禁止开播；平台开启且未锁定时按公会开关；平台开启且锁定时最终允许开播，公会设置只读并跟随平台，原值被保留；解锁恢复原公会设定并重算。最终权限被关闭立即结束正在进行的直播，不能再开播。〔依据：context/系统概要 .md / 3.2.3 开播权限〕</x:v>
      </x:c>
      <x:c r="E202" s="4" t="str">
        <x:v>尚未建立场景映射</x:v>
      </x:c>
      <x:c r="F202" s="4" t="str"/>
      <x:c r="G202" s="4" t="str">
        <x:v>系统概要或共同业务条款：已保留全文，不用端侧用例数量反推本条完整覆盖；跨段等价映射尚未逐项闭合。</x:v>
      </x:c>
    </x:row>
    <x:row r="203" ht="57" customHeight="1">
      <x:c r="A203" s="4" t="str">
        <x:v>概要-502</x:v>
      </x:c>
      <x:c r="B203" s="4" t="str">
        <x:v>系统概要与公共规则</x:v>
      </x:c>
      <x:c r="C203" s="4" t="n">
        <x:v>502</x:v>
      </x:c>
      <x:c r="D203" s="4" t="str">
        <x:v>主播拥有固定直播间 ID，每次开播生成新的场次 ID。场次结束保留封面、标题和统计快照，当前配置修改不改写历史场次。〔依据：context/系统概要 .md / 3.2.1 直播场次〕</x:v>
      </x:c>
      <x:c r="E203" s="4" t="str">
        <x:v>尚未建立场景映射</x:v>
      </x:c>
      <x:c r="F203" s="4" t="str"/>
      <x:c r="G203" s="4" t="str">
        <x:v>系统概要或共同业务条款：已保留全文，不用端侧用例数量反推本条完整覆盖；跨段等价映射尚未逐项闭合。</x:v>
      </x:c>
    </x:row>
    <x:row r="204" ht="87" customHeight="1">
      <x:c r="A204" s="4" t="str">
        <x:v>概要-503</x:v>
      </x:c>
      <x:c r="B204" s="4" t="str">
        <x:v>系统概要与公共规则</x:v>
      </x:c>
      <x:c r="C204" s="4" t="n">
        <x:v>503</x:v>
      </x:c>
      <x:c r="D204" s="4" t="str">
        <x:v>仅普通房的两位未连麦主播且无账号拉黑关系可连麦。只能发出一个邀请，可收到多个邀请。接受邀请使自己发出的邀请失效，其他收到的邀请保留；连麦中不能再发起或接受邀请。结束连麦后双方各自直播继续；任一方结束直播使其邀请和连麦失效。〔依据：context/系统概要 .md / 3.2.4、3.3.4 连麦〕</x:v>
      </x:c>
      <x:c r="E204" s="4" t="str">
        <x:v>尚未建立场景映射</x:v>
      </x:c>
      <x:c r="F204" s="4" t="str"/>
      <x:c r="G204" s="4" t="str">
        <x:v>系统概要或共同业务条款：已保留全文，不用端侧用例数量反推本条完整覆盖；跨段等价映射尚未逐项闭合。</x:v>
      </x:c>
    </x:row>
    <x:row r="205" ht="57" customHeight="1">
      <x:c r="A205" s="4" t="str">
        <x:v>概要-504</x:v>
      </x:c>
      <x:c r="B205" s="4" t="str">
        <x:v>系统概要与公共规则</x:v>
      </x:c>
      <x:c r="C205" s="4" t="n">
        <x:v>504</x:v>
      </x:c>
      <x:c r="D205" s="4" t="str">
        <x:v>门票只对当前场次有效，同场重复进入不再扣款；被踢出或场次结束后失效且不退款。账号封禁、账号拉黑、本场踢出优先于准入资格；运营账号免票。〔依据：context/系统概要 .md / 3.2.2、3.3.2、3.7.1〕</x:v>
      </x:c>
      <x:c r="E205" s="4" t="str">
        <x:v>尚未建立场景映射</x:v>
      </x:c>
      <x:c r="F205" s="4" t="str"/>
      <x:c r="G205" s="4" t="str">
        <x:v>系统概要或共同业务条款：已保留全文，不用端侧用例数量反推本条完整覆盖；跨段等价映射尚未逐项闭合。</x:v>
      </x:c>
    </x:row>
    <x:row r="206" ht="57" customHeight="1">
      <x:c r="A206" s="4" t="str">
        <x:v>概要-505</x:v>
      </x:c>
      <x:c r="B206" s="4" t="str">
        <x:v>系统概要与公共规则</x:v>
      </x:c>
      <x:c r="C206" s="4" t="n">
        <x:v>505</x:v>
      </x:c>
      <x:c r="D206" s="4" t="str">
        <x:v>真实金币共用同一账户，不可提现。消费成功只扣款一次并生成消费记录，余额不足或条件检查失败不扣款；负数余额不能继续消费。〔依据：context/系统概要 .md / 3.5.1 金币充值与消费〕</x:v>
      </x:c>
      <x:c r="E206" s="4" t="str">
        <x:v>尚未建立场景映射</x:v>
      </x:c>
      <x:c r="F206" s="4" t="str"/>
      <x:c r="G206" s="4" t="str">
        <x:v>系统概要或共同业务条款：已保留全文，不用端侧用例数量反推本条完整覆盖；跨段等价映射尚未逐项闭合。</x:v>
      </x:c>
    </x:row>
    <x:row r="207" ht="72" customHeight="1">
      <x:c r="A207" s="4" t="str">
        <x:v>概要-506</x:v>
      </x:c>
      <x:c r="B207" s="4" t="str">
        <x:v>系统概要与公共规则</x:v>
      </x:c>
      <x:c r="C207" s="4" t="n">
        <x:v>506</x:v>
      </x:c>
      <x:c r="D207" s="4" t="str">
        <x:v>只有充值订单支持退款或渠道拒付，用户端没有退款操作。退款扣除原订单全部到账金币，余额不足允许为负数；后续充值先抵扣负余额。退款不撤销已完成的送礼或门票消费，不回滚主播收益和分成。〔依据：context/系统概要 .md / 3.5.5、3.6.1〕</x:v>
      </x:c>
      <x:c r="E207" s="4" t="str">
        <x:v>尚未建立场景映射</x:v>
      </x:c>
      <x:c r="F207" s="4" t="str"/>
      <x:c r="G207" s="4" t="str">
        <x:v>系统概要或共同业务条款：已保留全文，不用端侧用例数量反推本条完整覆盖；跨段等价映射尚未逐项闭合。</x:v>
      </x:c>
    </x:row>
    <x:row r="208" ht="72" customHeight="1">
      <x:c r="A208" s="4" t="str">
        <x:v>概要-507</x:v>
      </x:c>
      <x:c r="B208" s="4" t="str">
        <x:v>系统概要与公共规则</x:v>
      </x:c>
      <x:c r="C208" s="4" t="n">
        <x:v>507</x:v>
      </x:c>
      <x:c r="D208" s="4" t="str">
        <x:v>普通礼物、定制礼物和门票按实际成功消费金币 1:1 形成主播收益；幸运礼物按送出礼物价值乘后台比例，默认 1%，返奖不影响该收益；虚拟、失败或撤销消费不形成收益。〔依据：context/系统概要 .md / 3.6.1 主播收益〕</x:v>
      </x:c>
      <x:c r="E208" s="4" t="str">
        <x:v>尚未建立场景映射</x:v>
      </x:c>
      <x:c r="F208" s="4" t="str"/>
      <x:c r="G208" s="4" t="str">
        <x:v>系统概要或共同业务条款：已保留全文，不用端侧用例数量反推本条完整覆盖；跨段等价映射尚未逐项闭合。</x:v>
      </x:c>
    </x:row>
    <x:row r="209" ht="72" customHeight="1">
      <x:c r="A209" s="4" t="str">
        <x:v>概要-508</x:v>
      </x:c>
      <x:c r="B209" s="4" t="str">
        <x:v>系统概要与公共规则</x:v>
      </x:c>
      <x:c r="C209" s="4" t="n">
        <x:v>508</x:v>
      </x:c>
      <x:c r="D209" s="4" t="str">
        <x:v>系统不提供线上结算申请或审批，也不计算具体分成金额。财务在线下依据报表核算和结算，系统上传结果并供相关端只读查看；资金示例中的三方比例不构成固定计算规则。〔依据：context/系统概要 .md / 3.6.2、3.6.3〕</x:v>
      </x:c>
      <x:c r="E209" s="4" t="str">
        <x:v>尚未建立场景映射</x:v>
      </x:c>
      <x:c r="F209" s="4" t="str"/>
      <x:c r="G209" s="4" t="str">
        <x:v>系统概要或共同业务条款：已保留全文，不用端侧用例数量反推本条完整覆盖；跨段等价映射尚未逐项闭合。</x:v>
      </x:c>
    </x:row>
    <x:row r="210" ht="72" customHeight="1">
      <x:c r="A210" s="4" t="str">
        <x:v>概要-509</x:v>
      </x:c>
      <x:c r="B210" s="4" t="str">
        <x:v>系统概要与公共规则</x:v>
      </x:c>
      <x:c r="C210" s="4" t="n">
        <x:v>509</x:v>
      </x:c>
      <x:c r="D210" s="4" t="str">
        <x:v>运营账号由所属公会创建并发放虚拟金币；平台只可启停、锁定公会管理和设置月额度，不创建或发币。真实和虚拟金币完全隔离，虚拟金币仅可赠送普通及定制礼物，不形成主播收益或分成。〔依据：context/系统概要 .md / 3.7 运营账号〕</x:v>
      </x:c>
      <x:c r="E210" s="4" t="str">
        <x:v>尚未建立场景映射</x:v>
      </x:c>
      <x:c r="F210" s="4" t="str"/>
      <x:c r="G210" s="4" t="str">
        <x:v>系统概要或共同业务条款：已保留全文，不用端侧用例数量反推本条完整覆盖；跨段等价映射尚未逐项闭合。</x:v>
      </x:c>
    </x:row>
    <x:row r="211" ht="102" customHeight="1">
      <x:c r="A211" s="4" t="str">
        <x:v>概要-510</x:v>
      </x:c>
      <x:c r="B211" s="4" t="str">
        <x:v>系统概要与公共规则</x:v>
      </x:c>
      <x:c r="C211" s="4" t="n">
        <x:v>510</x:v>
      </x:c>
      <x:c r="D211" s="4" t="str">
        <x:v>运营账号首页功能可用；福利页可浏览，但点击任意功能提示“运营账号无法操作”。消息可私信和使用好友功能，但不可加入粉丝团。我的允许编辑资料、未受限设置、关注、粉丝、好友、黑名单和客服；充值、我的装扮、粉丝团、邀请奖励、开播、主播中心、公会中心及绑定手机/邮箱、注销登录均提示“运营账号无法操作”。〔依据：context/系统概要 .md / 3.7.4 运营账号功能白名单〕</x:v>
      </x:c>
      <x:c r="E211" s="4" t="str">
        <x:v>尚未建立场景映射</x:v>
      </x:c>
      <x:c r="F211" s="4" t="str"/>
      <x:c r="G211" s="4" t="str">
        <x:v>系统概要或共同业务条款：已保留全文，不用端侧用例数量反推本条完整覆盖；跨段等价映射尚未逐项闭合。</x:v>
      </x:c>
    </x:row>
    <x:row r="212" ht="57" customHeight="1">
      <x:c r="A212" s="4" t="str">
        <x:v>概要-511</x:v>
      </x:c>
      <x:c r="B212" s="4" t="str">
        <x:v>系统概要与公共规则</x:v>
      </x:c>
      <x:c r="C212" s="4" t="n">
        <x:v>511</x:v>
      </x:c>
      <x:c r="D212" s="4" t="str">
        <x:v>仅正在直播的场次提供举报入口。直播场次结束后，待处理举报工单自动作废，不能处罚下一场直播；账号举报与场次举报分别处理。〔依据：context/系统概要 .md / 3.4 举报与处置机制〕</x:v>
      </x:c>
      <x:c r="E212" s="4" t="str">
        <x:v>尚未建立场景映射</x:v>
      </x:c>
      <x:c r="F212" s="4" t="str"/>
      <x:c r="G212" s="4" t="str">
        <x:v>系统概要或共同业务条款：已保留全文，不用端侧用例数量反推本条完整覆盖；跨段等价映射尚未逐项闭合。</x:v>
      </x:c>
    </x:row>
    <x:row r="213" ht="57" customHeight="1">
      <x:c r="A213" s="4" t="str">
        <x:v>概要-512</x:v>
      </x:c>
      <x:c r="B213" s="4" t="str">
        <x:v>系统概要与公共规则</x:v>
      </x:c>
      <x:c r="C213" s="4" t="n">
        <x:v>512</x:v>
      </x:c>
      <x:c r="D213" s="4" t="str">
        <x:v>直播禁言仅限制当前场次公屏，下场恢复；群禁言仅限制对应粉丝群发言。每名主播最多 3 名房管，授权跨场次持续，房管可禁言、踢出和屏蔽单条评论。〔依据：context/系统概要 .md / 3.3.2、3.3.3〕</x:v>
      </x:c>
      <x:c r="E213" s="4" t="str">
        <x:v>尚未建立场景映射</x:v>
      </x:c>
      <x:c r="F213" s="4" t="str"/>
      <x:c r="G213" s="4" t="str">
        <x:v>系统概要或共同业务条款：已保留全文，不用端侧用例数量反推本条完整覆盖；跨段等价映射尚未逐项闭合。</x:v>
      </x:c>
    </x:row>
    <x:row r="214" ht="57" customHeight="1">
      <x:c r="A214" s="4" t="str">
        <x:v>概要-513</x:v>
      </x:c>
      <x:c r="B214" s="4" t="str">
        <x:v>系统概要与公共规则</x:v>
      </x:c>
      <x:c r="C214" s="4" t="n">
        <x:v>513</x:v>
      </x:c>
      <x:c r="D214" s="4" t="str">
        <x:v>用户被移出或主动退出粉丝群后，失去团籍和群权限并卸下身份标识，粉丝等级和亲密度清零，重新加入从零累计；关注关系不因退团自动解除。〔依据：context/系统概要 .md / 3.3.3 粉丝群〕</x:v>
      </x:c>
      <x:c r="E214" s="4" t="str">
        <x:v>尚未建立场景映射</x:v>
      </x:c>
      <x:c r="F214" s="4" t="str"/>
      <x:c r="G214" s="4" t="str">
        <x:v>系统概要或共同业务条款：已保留全文，不用端侧用例数量反推本条完整覆盖；跨段等价映射尚未逐项闭合。</x:v>
      </x:c>
    </x:row>
    <x:row r="215" ht="57" customHeight="1">
      <x:c r="A215" s="4" t="str">
        <x:v>概要-514</x:v>
      </x:c>
      <x:c r="B215" s="4" t="str">
        <x:v>系统概要与公共规则</x:v>
      </x:c>
      <x:c r="C215" s="4" t="n">
        <x:v>514</x:v>
      </x:c>
      <x:c r="D215" s="4" t="str">
        <x:v>虚拟金币可以计入氛围和榜单展示，但具体榜单范围存在下级批注冲突，必须按 PENDING-virtual-board 确认；真实金币榜单的排序和计算规则独立有效。〔依据：context/系统概要 .md / 3.7.3 虚拟金币隔离〕</x:v>
      </x:c>
      <x:c r="E215" s="4" t="str">
        <x:v>尚未建立场景映射</x:v>
      </x:c>
      <x:c r="F215" s="4" t="str"/>
      <x:c r="G215" s="4" t="str">
        <x:v>系统概要或共同业务条款：已保留全文，不用端侧用例数量反推本条完整覆盖；跨段等价映射尚未逐项闭合。</x:v>
      </x:c>
    </x:row>
    <x:row r="216" ht="44" customHeight="1">
      <x:c r="A216" s="4" t="str">
        <x:v>REQ-c9e487982ba2</x:v>
      </x:c>
      <x:c r="B216" s="4" t="str">
        <x:v>账号与登录</x:v>
      </x:c>
      <x:c r="C216" s="4" t="n">
        <x:v>2046</x:v>
      </x:c>
      <x:c r="D216" s="4" t="str">
        <x:v>公会账号：必填；使用平台创建的公会长账号。</x:v>
      </x:c>
      <x:c r="E216" s="4" t="str">
        <x:v>整段分支核验未闭合</x:v>
      </x:c>
      <x:c r="F216" s="4" t="str">
        <x:v>GUILD-0036、GUILD-0037、GUILD-0038、GUILD-0039</x:v>
      </x:c>
      <x:c r="G216" s="4" t="str">
        <x:v>本段剩余子句、条件组合及状态后续影响仍需与独立规则逐项闭合；这是生成覆盖缺口，不是产品决策缺失。</x:v>
      </x:c>
    </x:row>
    <x:row r="217" ht="44" customHeight="1">
      <x:c r="A217" s="4" t="str">
        <x:v>REQ-7aeca6163dd9</x:v>
      </x:c>
      <x:c r="B217" s="4" t="str">
        <x:v>账号与登录</x:v>
      </x:c>
      <x:c r="C217" s="4" t="n">
        <x:v>2047</x:v>
      </x:c>
      <x:c r="D217" s="4" t="str">
        <x:v>密码：必填；错误时统一提示账号或密码错误。</x:v>
      </x:c>
      <x:c r="E217" s="4" t="str">
        <x:v>整段分支核验未闭合</x:v>
      </x:c>
      <x:c r="F217" s="4" t="str">
        <x:v>GUILD-0033、GUILD-0034、GUILD-0035、GUILD-0036、GUILD-0037</x:v>
      </x:c>
      <x:c r="G217" s="4" t="str">
        <x:v>本段剩余子句、条件组合及状态后续影响仍需与独立规则逐项闭合；这是生成覆盖缺口，不是产品决策缺失。</x:v>
      </x:c>
    </x:row>
    <x:row r="218" ht="57" customHeight="1">
      <x:c r="A218" s="4" t="str">
        <x:v>REQ-0db0877f0fe5</x:v>
      </x:c>
      <x:c r="B218" s="4" t="str">
        <x:v>账号与登录</x:v>
      </x:c>
      <x:c r="C218" s="4" t="n">
        <x:v>2048</x:v>
      </x:c>
      <x:c r="D218" s="4" t="str">
        <x:v>一期仅公会长可登录公会端；运营账号不能登录公会端。</x:v>
      </x:c>
      <x:c r="E218" s="4" t="str">
        <x:v>整段分支核验未闭合</x:v>
      </x:c>
      <x:c r="F218" s="4" t="str">
        <x:v>GUILD-0033、GUILD-0034、GUILD-0035、GUILD-0038、GUILD-0039、GUILD-0134、GUILD-0134</x:v>
      </x:c>
      <x:c r="G218" s="4" t="str">
        <x:v>本段剩余子句、条件组合及状态后续影响仍需与独立规则逐项闭合；这是生成覆盖缺口，不是产品决策缺失。</x:v>
      </x:c>
    </x:row>
    <x:row r="219" ht="44" customHeight="1">
      <x:c r="A219" s="4" t="str">
        <x:v>REQ-0fc472689017</x:v>
      </x:c>
      <x:c r="B219" s="4" t="str">
        <x:v>账号与登录</x:v>
      </x:c>
      <x:c r="C219" s="4" t="n">
        <x:v>2049</x:v>
      </x:c>
      <x:c r="D219" s="4" t="str">
        <x:v>公会长账号被停用后不可登录，不影响公会内主播账号。</x:v>
      </x:c>
      <x:c r="E219" s="4" t="str">
        <x:v>整段分支核验未闭合</x:v>
      </x:c>
      <x:c r="F219" s="4" t="str">
        <x:v>GUILD-0033、GUILD-0034、GUILD-0035、GUILD-0038、GUILD-0039、GUILD-0134</x:v>
      </x:c>
      <x:c r="G219" s="4" t="str">
        <x:v>本段剩余子句、条件组合及状态后续影响仍需与独立规则逐项闭合；这是生成覆盖缺口，不是产品决策缺失。</x:v>
      </x:c>
    </x:row>
    <x:row r="220" ht="44" customHeight="1">
      <x:c r="A220" s="4" t="str">
        <x:v>REQ-edeab24ec66a</x:v>
      </x:c>
      <x:c r="B220" s="4" t="str">
        <x:v>账号与登录</x:v>
      </x:c>
      <x:c r="C220" s="4" t="n">
        <x:v>2050</x:v>
      </x:c>
      <x:c r="D220" s="4" t="str">
        <x:v>登录校验通过 -&gt; 进入「选择公会」；账号或密码错误 -&gt; 停留当前页并提示“账号或密码错误”。</x:v>
      </x:c>
      <x:c r="E220" s="4" t="str">
        <x:v>整段分支核验未闭合</x:v>
      </x:c>
      <x:c r="F220" s="4" t="str">
        <x:v>GUILD-0033、GUILD-0034、GUILD-0035、GUILD-0037、GUILD-0134</x:v>
      </x:c>
      <x:c r="G220" s="4" t="str">
        <x:v>本段剩余子句、条件组合及状态后续影响仍需与独立规则逐项闭合；这是生成覆盖缺口，不是产品决策缺失。</x:v>
      </x:c>
    </x:row>
    <x:row r="221" ht="44" customHeight="1">
      <x:c r="A221" s="4" t="str">
        <x:v>REQ-f087480a5ec3</x:v>
      </x:c>
      <x:c r="B221" s="4" t="str">
        <x:v>账号与登录</x:v>
      </x:c>
      <x:c r="C221" s="4" t="n">
        <x:v>2054</x:v>
      </x:c>
      <x:c r="D221" s="4" t="str">
        <x:v>名称 / 用户 ID：当前登录公会长的名称和账号唯一标识。</x:v>
      </x:c>
      <x:c r="E221" s="4" t="str">
        <x:v>尚未建立场景映射</x:v>
      </x:c>
      <x:c r="F221" s="4" t="str"/>
      <x:c r="G221" s="4" t="str">
        <x:v>本轮独立来源库保留该已知条款，但尚未建立可核验的正式场景映射；不是无业务依据，也不转为产品待确认。</x:v>
      </x:c>
    </x:row>
    <x:row r="222" ht="44" customHeight="1">
      <x:c r="A222" s="4" t="str">
        <x:v>REQ-91381ce452c7</x:v>
      </x:c>
      <x:c r="B222" s="4" t="str">
        <x:v>账号与登录</x:v>
      </x:c>
      <x:c r="C222" s="4" t="n">
        <x:v>2055</x:v>
      </x:c>
      <x:c r="D222" s="4" t="str">
        <x:v>身份：当前登录角色为公会长。</x:v>
      </x:c>
      <x:c r="E222" s="4" t="str">
        <x:v>尚未建立场景映射</x:v>
      </x:c>
      <x:c r="F222" s="4" t="str"/>
      <x:c r="G222" s="4" t="str">
        <x:v>本轮独立来源库保留该已知条款，但尚未建立可核验的正式场景映射；不是无业务依据，也不转为产品待确认。</x:v>
      </x:c>
    </x:row>
    <x:row r="223" ht="44" customHeight="1">
      <x:c r="A223" s="4" t="str">
        <x:v>REQ-1465c7186b08</x:v>
      </x:c>
      <x:c r="B223" s="4" t="str">
        <x:v>账号与登录</x:v>
      </x:c>
      <x:c r="C223" s="4" t="n">
        <x:v>2056</x:v>
      </x:c>
      <x:c r="D223" s="4" t="str">
        <x:v>公会 Logo / 名称 / ID：可管理公会的标识、名称及唯一 ID。</x:v>
      </x:c>
      <x:c r="E223" s="4" t="str">
        <x:v>尚未建立场景映射</x:v>
      </x:c>
      <x:c r="F223" s="4" t="str"/>
      <x:c r="G223" s="4" t="str">
        <x:v>本轮独立来源库保留该已知条款，但尚未建立可核验的正式场景映射；不是无业务依据，也不转为产品待确认。</x:v>
      </x:c>
    </x:row>
    <x:row r="224" ht="44" customHeight="1">
      <x:c r="A224" s="4" t="str">
        <x:v>REQ-c68c08b0d254</x:v>
      </x:c>
      <x:c r="B224" s="4" t="str">
        <x:v>账号与登录</x:v>
      </x:c>
      <x:c r="C224" s="4" t="n">
        <x:v>2057</x:v>
      </x:c>
      <x:c r="D224" s="4" t="str">
        <x:v>当前公会：当前选中的公会显示「当前公会」，其他公会显示选择入口；不是启用状态。</x:v>
      </x:c>
      <x:c r="E224" s="4" t="str">
        <x:v>整段分支核验未闭合</x:v>
      </x:c>
      <x:c r="F224" s="4" t="str">
        <x:v>GUILD-0042</x:v>
      </x:c>
      <x:c r="G224" s="4" t="str">
        <x:v>本段剩余子句、条件组合及状态后续影响仍需与独立规则逐项闭合；这是生成覆盖缺口，不是产品决策缺失。</x:v>
      </x:c>
    </x:row>
    <x:row r="225" ht="44" customHeight="1">
      <x:c r="A225" s="4" t="str">
        <x:v>REQ-623425048656</x:v>
      </x:c>
      <x:c r="B225" s="4" t="str">
        <x:v>账号与登录</x:v>
      </x:c>
      <x:c r="C225" s="4" t="n">
        <x:v>2058</x:v>
      </x:c>
      <x:c r="D225" s="4" t="str">
        <x:v>仅展示当前账号可管理且未解散的公会；已解散公会不可选择。</x:v>
      </x:c>
      <x:c r="E225" s="4" t="str">
        <x:v>整段分支核验未闭合</x:v>
      </x:c>
      <x:c r="F225" s="4" t="str">
        <x:v>GUILD-0041</x:v>
      </x:c>
      <x:c r="G225" s="4" t="str">
        <x:v>本段剩余子句、条件组合及状态后续影响仍需与独立规则逐项闭合；这是生成覆盖缺口，不是产品决策缺失。</x:v>
      </x:c>
    </x:row>
    <x:row r="226" ht="44" customHeight="1">
      <x:c r="A226" s="4" t="str">
        <x:v>REQ-2b1c7a5786cf</x:v>
      </x:c>
      <x:c r="B226" s="4" t="str">
        <x:v>账号与登录</x:v>
      </x:c>
      <x:c r="C226" s="4" t="n">
        <x:v>2059</x:v>
      </x:c>
      <x:c r="D226" s="4" t="str">
        <x:v>选择公会 -&gt; 更新当前公会，返回首页并重新加载该公会数据。</x:v>
      </x:c>
      <x:c r="E226" s="4" t="str">
        <x:v>整段分支核验未闭合</x:v>
      </x:c>
      <x:c r="F226" s="4" t="str">
        <x:v>GUILD-0040、GUILD-0042</x:v>
      </x:c>
      <x:c r="G226" s="4" t="str">
        <x:v>本段剩余子句、条件组合及状态后续影响仍需与独立规则逐项闭合；这是生成覆盖缺口，不是产品决策缺失。</x:v>
      </x:c>
    </x:row>
    <x:row r="227" ht="44" customHeight="1">
      <x:c r="A227" s="4" t="str">
        <x:v>REQ-fe7aaa3b42c1</x:v>
      </x:c>
      <x:c r="B227" s="4" t="str">
        <x:v>首页与发现</x:v>
      </x:c>
      <x:c r="C227" s="4" t="n">
        <x:v>2063</x:v>
      </x:c>
      <x:c r="D227" s="4" t="str">
        <x:v>公会 Logo / 名称 / ID：当前管理的公会；点击进入选择公会。</x:v>
      </x:c>
      <x:c r="E227" s="4" t="str">
        <x:v>整段分支核验未闭合</x:v>
      </x:c>
      <x:c r="F227" s="4" t="str">
        <x:v>GUILD-0151、GUILD-0152</x:v>
      </x:c>
      <x:c r="G227" s="4" t="str">
        <x:v>本段剩余子句、条件组合及状态后续影响仍需与独立规则逐项闭合；这是生成覆盖缺口，不是产品决策缺失。</x:v>
      </x:c>
    </x:row>
    <x:row r="228" ht="44" customHeight="1">
      <x:c r="A228" s="4" t="str">
        <x:v>REQ-a014380ae33b</x:v>
      </x:c>
      <x:c r="B228" s="4" t="str">
        <x:v>首页与发现</x:v>
      </x:c>
      <x:c r="C228" s="4" t="n">
        <x:v>2064</x:v>
      </x:c>
      <x:c r="D228" s="4" t="str">
        <x:v>通知标记：通知入口上的未读提示；点击进入通知消息。</x:v>
      </x:c>
      <x:c r="E228" s="4" t="str">
        <x:v>整段分支核验未闭合</x:v>
      </x:c>
      <x:c r="F228" s="4" t="str">
        <x:v>GUILD-0267</x:v>
      </x:c>
      <x:c r="G228" s="4" t="str">
        <x:v>本段剩余子句、条件组合及状态后续影响仍需与独立规则逐项闭合；这是生成覆盖缺口，不是产品决策缺失。</x:v>
      </x:c>
    </x:row>
    <x:row r="229" ht="44" customHeight="1">
      <x:c r="A229" s="4" t="str">
        <x:v>REQ-b3b81cfd00e4</x:v>
      </x:c>
      <x:c r="B229" s="4" t="str">
        <x:v>首页与发现</x:v>
      </x:c>
      <x:c r="C229" s="4" t="n">
        <x:v>2065</x:v>
      </x:c>
      <x:c r="D229" s="4" t="str">
        <x:v>账号设置：进入当前公会长的账号设置。</x:v>
      </x:c>
      <x:c r="E229" s="4" t="str">
        <x:v>尚未建立场景映射</x:v>
      </x:c>
      <x:c r="F229" s="4" t="str"/>
      <x:c r="G229" s="4" t="str">
        <x:v>本轮独立来源库保留该已知条款，但尚未建立可核验的正式场景映射；不是无业务依据，也不转为产品待确认。</x:v>
      </x:c>
    </x:row>
    <x:row r="230" ht="44" customHeight="1">
      <x:c r="A230" s="4" t="str">
        <x:v>REQ-433881f19711</x:v>
      </x:c>
      <x:c r="B230" s="4" t="str">
        <x:v>首页与发现</x:v>
      </x:c>
      <x:c r="C230" s="4" t="n">
        <x:v>2066</x:v>
      </x:c>
      <x:c r="D230" s="4" t="str">
        <x:v>当日收益：当前公会当日主播收益金币汇总，不是公会分成金额。</x:v>
      </x:c>
      <x:c r="E230" s="4" t="str">
        <x:v>整段分支核验未闭合</x:v>
      </x:c>
      <x:c r="F230" s="4" t="str">
        <x:v>GUILD-0043、GUILD-0234</x:v>
      </x:c>
      <x:c r="G230" s="4" t="str">
        <x:v>本段剩余子句、条件组合及状态后续影响仍需与独立规则逐项闭合；这是生成覆盖缺口，不是产品决策缺失。</x:v>
      </x:c>
    </x:row>
    <x:row r="231" ht="44" customHeight="1">
      <x:c r="A231" s="4" t="str">
        <x:v>REQ-7ac74b3449f8</x:v>
      </x:c>
      <x:c r="B231" s="4" t="str">
        <x:v>首页与发现</x:v>
      </x:c>
      <x:c r="C231" s="4" t="n">
        <x:v>2067</x:v>
      </x:c>
      <x:c r="D231" s="4" t="str">
        <x:v>直播中：当前时刻正在直播的去重主播数，单位为人。</x:v>
      </x:c>
      <x:c r="E231" s="4" t="str">
        <x:v>整段分支核验未闭合</x:v>
      </x:c>
      <x:c r="F231" s="4" t="str">
        <x:v>GUILD-0044</x:v>
      </x:c>
      <x:c r="G231" s="4" t="str">
        <x:v>本段剩余子句、条件组合及状态后续影响仍需与独立规则逐项闭合；这是生成覆盖缺口，不是产品决策缺失。</x:v>
      </x:c>
    </x:row>
    <x:row r="232" ht="44" customHeight="1">
      <x:c r="A232" s="4" t="str">
        <x:v>REQ-66355bf4de83</x:v>
      </x:c>
      <x:c r="B232" s="4" t="str">
        <x:v>首页与发现</x:v>
      </x:c>
      <x:c r="C232" s="4" t="n">
        <x:v>2068</x:v>
      </x:c>
      <x:c r="D232" s="4" t="str">
        <x:v>达成有效天：当日累计有效直播满 3 小时的主播数，单位为人。</x:v>
      </x:c>
      <x:c r="E232" s="4" t="str">
        <x:v>整段分支核验未闭合</x:v>
      </x:c>
      <x:c r="F232" s="4" t="str">
        <x:v>GUILD-0045、GUILD-0046、GUILD-0047、GUILD-0235</x:v>
      </x:c>
      <x:c r="G232" s="4" t="str">
        <x:v>本段剩余子句、条件组合及状态后续影响仍需与独立规则逐项闭合；这是生成覆盖缺口，不是产品决策缺失。</x:v>
      </x:c>
    </x:row>
    <x:row r="233" ht="44" customHeight="1">
      <x:c r="A233" s="4" t="str">
        <x:v>REQ-bff46daf0b22</x:v>
      </x:c>
      <x:c r="B233" s="4" t="str">
        <x:v>首页与发现</x:v>
      </x:c>
      <x:c r="C233" s="4" t="n">
        <x:v>2069</x:v>
      </x:c>
      <x:c r="D233" s="4" t="str">
        <x:v>普通礼物、定制礼物按成功实际消费金币计入；幸运礼物按礼物总价值 × 后台配置比例计入，默认 1%，返奖不影响主播收益。</x:v>
      </x:c>
      <x:c r="E233" s="4" t="str">
        <x:v>整段分支核验未闭合</x:v>
      </x:c>
      <x:c r="F233" s="4" t="str">
        <x:v>GUILD-0043</x:v>
      </x:c>
      <x:c r="G233" s="4" t="str">
        <x:v>本段剩余子句、条件组合及状态后续影响仍需与独立规则逐项闭合；这是生成覆盖缺口，不是产品决策缺失。</x:v>
      </x:c>
    </x:row>
    <x:row r="234" ht="44" customHeight="1">
      <x:c r="A234" s="4" t="str">
        <x:v>REQ-1e95cd4b3385</x:v>
      </x:c>
      <x:c r="B234" s="4" t="str">
        <x:v>首页与发现</x:v>
      </x:c>
      <x:c r="C234" s="4" t="n">
        <x:v>2070</x:v>
      </x:c>
      <x:c r="D234" s="4" t="str">
        <x:v>运营账号虚拟金币送礼、失败或已冲正消费不计入主播收益。</x:v>
      </x:c>
      <x:c r="E234" s="4" t="str">
        <x:v>整段分支核验未闭合</x:v>
      </x:c>
      <x:c r="F234" s="4" t="str">
        <x:v>GUILD-0043</x:v>
      </x:c>
      <x:c r="G234" s="4" t="str">
        <x:v>本段剩余子句、条件组合及状态后续影响仍需与独立规则逐项闭合；这是生成覆盖缺口，不是产品决策缺失。</x:v>
      </x:c>
    </x:row>
    <x:row r="235" ht="44" customHeight="1">
      <x:c r="A235" s="4" t="str">
        <x:v>REQ-e54100a8dca9</x:v>
      </x:c>
      <x:c r="B235" s="4" t="str">
        <x:v>首页与发现</x:v>
      </x:c>
      <x:c r="C235" s="4" t="n">
        <x:v>2071</x:v>
      </x:c>
      <x:c r="D235" s="4" t="str">
        <x:v>点击今日概况 -&gt; 进入当日经营详情；功能入口进入对应列表。</x:v>
      </x:c>
      <x:c r="E235" s="4" t="str">
        <x:v>整段分支核验未闭合</x:v>
      </x:c>
      <x:c r="F235" s="4" t="str">
        <x:v>GUILD-0019</x:v>
      </x:c>
      <x:c r="G235" s="4" t="str">
        <x:v>本段剩余子句、条件组合及状态后续影响仍需与独立规则逐项闭合；这是生成覆盖缺口，不是产品决策缺失。</x:v>
      </x:c>
    </x:row>
    <x:row r="236" ht="44" customHeight="1">
      <x:c r="A236" s="4" t="str">
        <x:v>REQ-8c6a1c183e1a</x:v>
      </x:c>
      <x:c r="B236" s="4" t="str">
        <x:v>首页与发现</x:v>
      </x:c>
      <x:c r="C236" s="4" t="n">
        <x:v>2075</x:v>
      </x:c>
      <x:c r="D236" s="4" t="str">
        <x:v>标题：业务事件及结果。</x:v>
      </x:c>
      <x:c r="E236" s="4" t="str">
        <x:v>整段分支核验未闭合</x:v>
      </x:c>
      <x:c r="F236" s="4" t="str">
        <x:v>GUILD-0153</x:v>
      </x:c>
      <x:c r="G236" s="4" t="str">
        <x:v>本段剩余子句、条件组合及状态后续影响仍需与独立规则逐项闭合；这是生成覆盖缺口，不是产品决策缺失。</x:v>
      </x:c>
    </x:row>
    <x:row r="237" ht="44" customHeight="1">
      <x:c r="A237" s="4" t="str">
        <x:v>REQ-e2cda6c8e9f0</x:v>
      </x:c>
      <x:c r="B237" s="4" t="str">
        <x:v>首页与发现</x:v>
      </x:c>
      <x:c r="C237" s="4" t="n">
        <x:v>2076</x:v>
      </x:c>
      <x:c r="D237" s="4" t="str">
        <x:v>摘要：对象、处理结果或待处理数量。</x:v>
      </x:c>
      <x:c r="E237" s="4" t="str">
        <x:v>尚未建立场景映射</x:v>
      </x:c>
      <x:c r="F237" s="4" t="str"/>
      <x:c r="G237" s="4" t="str">
        <x:v>本轮独立来源库保留该已知条款，但尚未建立可核验的正式场景映射；不是无业务依据，也不转为产品待确认。</x:v>
      </x:c>
    </x:row>
    <x:row r="238" ht="44" customHeight="1">
      <x:c r="A238" s="4" t="str">
        <x:v>REQ-15916749586e</x:v>
      </x:c>
      <x:c r="B238" s="4" t="str">
        <x:v>首页与发现</x:v>
      </x:c>
      <x:c r="C238" s="4" t="n">
        <x:v>2077</x:v>
      </x:c>
      <x:c r="D238" s="4" t="str">
        <x:v>时间：通知生成时间；按生成时间倒序排列。</x:v>
      </x:c>
      <x:c r="E238" s="4" t="str">
        <x:v>整段分支核验未闭合</x:v>
      </x:c>
      <x:c r="F238" s="4" t="str">
        <x:v>GUILD-0048、GUILD-0228</x:v>
      </x:c>
      <x:c r="G238" s="4" t="str">
        <x:v>本段剩余子句、条件组合及状态后续影响仍需与独立规则逐项闭合；这是生成覆盖缺口，不是产品决策缺失。</x:v>
      </x:c>
    </x:row>
    <x:row r="239" ht="44" customHeight="1">
      <x:c r="A239" s="4" t="str">
        <x:v>REQ-b725b023c4f3</x:v>
      </x:c>
      <x:c r="B239" s="4" t="str">
        <x:v>首页与发现</x:v>
      </x:c>
      <x:c r="C239" s="4" t="n">
        <x:v>2078</x:v>
      </x:c>
      <x:c r="D239" s="4" t="str">
        <x:v>未读标记：未读通知显示圆点，已读不显示。</x:v>
      </x:c>
      <x:c r="E239" s="4" t="str">
        <x:v>整段分支核验未闭合</x:v>
      </x:c>
      <x:c r="F239" s="4" t="str">
        <x:v>GUILD-0049</x:v>
      </x:c>
      <x:c r="G239" s="4" t="str">
        <x:v>本段剩余子句、条件组合及状态后续影响仍需与独立规则逐项闭合；这是生成覆盖缺口，不是产品决策缺失。</x:v>
      </x:c>
    </x:row>
    <x:row r="240" ht="72" customHeight="1">
      <x:c r="A240" s="4" t="str">
        <x:v>REQ-fe77df8ea353</x:v>
      </x:c>
      <x:c r="B240" s="4" t="str">
        <x:v>首页与发现</x:v>
      </x:c>
      <x:c r="C240" s="4" t="n">
        <x:v>2079</x:v>
      </x:c>
      <x:c r="D240" s="4" t="str">
        <x:v>入会申请待初审、平台终审结果；退会申请待审核。</x:v>
      </x:c>
      <x:c r="E240" s="4" t="str">
        <x:v>整段分支核验未闭合</x:v>
      </x:c>
      <x:c r="F240" s="4" t="str">
        <x:v>GUILD-0257、GUILD-0258、GUILD-0259、GUILD-0260、GUILD-0261、GUILD-0262、GUILD-0263、GUILD-0264、GUILD-0265、GUILD-0266</x:v>
      </x:c>
      <x:c r="G240" s="4" t="str">
        <x:v>本段剩余子句、条件组合及状态后续影响仍需与独立规则逐项闭合；这是生成覆盖缺口，不是产品决策缺失。</x:v>
      </x:c>
    </x:row>
    <x:row r="241" ht="72" customHeight="1">
      <x:c r="A241" s="4" t="str">
        <x:v>REQ-c6bead40e22f</x:v>
      </x:c>
      <x:c r="B241" s="4" t="str">
        <x:v>首页与发现</x:v>
      </x:c>
      <x:c r="C241" s="4" t="n">
        <x:v>2080</x:v>
      </x:c>
      <x:c r="D241" s="4" t="str">
        <x:v>平台关闭直播场次、关闭或恢复直播权限。</x:v>
      </x:c>
      <x:c r="E241" s="4" t="str">
        <x:v>整段分支核验未闭合</x:v>
      </x:c>
      <x:c r="F241" s="4" t="str">
        <x:v>GUILD-0257、GUILD-0258、GUILD-0259、GUILD-0260、GUILD-0261、GUILD-0262、GUILD-0263、GUILD-0264、GUILD-0265、GUILD-0266</x:v>
      </x:c>
      <x:c r="G241" s="4" t="str">
        <x:v>本段剩余子句、条件组合及状态后续影响仍需与独立规则逐项闭合；这是生成覆盖缺口，不是产品决策缺失。</x:v>
      </x:c>
    </x:row>
    <x:row r="242" ht="72" customHeight="1">
      <x:c r="A242" s="4" t="str">
        <x:v>REQ-dab2ae0821f7</x:v>
      </x:c>
      <x:c r="B242" s="4" t="str">
        <x:v>首页与发现</x:v>
      </x:c>
      <x:c r="C242" s="4" t="n">
        <x:v>2081</x:v>
      </x:c>
      <x:c r="D242" s="4" t="str">
        <x:v>公会状态、公会长账号状态或运营账号管理权限变更。</x:v>
      </x:c>
      <x:c r="E242" s="4" t="str">
        <x:v>整段分支核验未闭合</x:v>
      </x:c>
      <x:c r="F242" s="4" t="str">
        <x:v>GUILD-0257、GUILD-0258、GUILD-0259、GUILD-0260、GUILD-0261、GUILD-0262、GUILD-0263、GUILD-0264、GUILD-0265、GUILD-0266</x:v>
      </x:c>
      <x:c r="G242" s="4" t="str">
        <x:v>本段剩余子句、条件组合及状态后续影响仍需与独立规则逐项闭合；这是生成覆盖缺口，不是产品决策缺失。</x:v>
      </x:c>
    </x:row>
    <x:row r="243" ht="72" customHeight="1">
      <x:c r="A243" s="4" t="str">
        <x:v>REQ-5b002603fe95</x:v>
      </x:c>
      <x:c r="B243" s="4" t="str">
        <x:v>首页与发现</x:v>
      </x:c>
      <x:c r="C243" s="4" t="n">
        <x:v>2082</x:v>
      </x:c>
      <x:c r="D243" s="4" t="str">
        <x:v>主播分成、公会分成结果新增或冲正。</x:v>
      </x:c>
      <x:c r="E243" s="4" t="str">
        <x:v>整段分支核验未闭合</x:v>
      </x:c>
      <x:c r="F243" s="4" t="str">
        <x:v>GUILD-0257、GUILD-0258、GUILD-0259、GUILD-0260、GUILD-0261、GUILD-0262、GUILD-0263、GUILD-0264、GUILD-0265、GUILD-0266</x:v>
      </x:c>
      <x:c r="G243" s="4" t="str">
        <x:v>本段剩余子句、条件组合及状态后续影响仍需与独立规则逐项闭合；这是生成覆盖缺口，不是产品决策缺失。</x:v>
      </x:c>
    </x:row>
    <x:row r="244" ht="44" customHeight="1">
      <x:c r="A244" s="4" t="str">
        <x:v>REQ-c75a323ec1ec</x:v>
      </x:c>
      <x:c r="B244" s="4" t="str">
        <x:v>首页与发现</x:v>
      </x:c>
      <x:c r="C244" s="4" t="n">
        <x:v>2083</x:v>
      </x:c>
      <x:c r="D244" s="4" t="str">
        <x:v>点击通知 -&gt; 进入通知详情；有关联业务时由详情进入对应记录。</x:v>
      </x:c>
      <x:c r="E244" s="4" t="str">
        <x:v>整段分支核验未闭合</x:v>
      </x:c>
      <x:c r="F244" s="4" t="str">
        <x:v>GUILD-0020</x:v>
      </x:c>
      <x:c r="G244" s="4" t="str">
        <x:v>本段剩余子句、条件组合及状态后续影响仍需与独立规则逐项闭合；这是生成覆盖缺口，不是产品决策缺失。</x:v>
      </x:c>
    </x:row>
    <x:row r="245" ht="44" customHeight="1">
      <x:c r="A245" s="4" t="str">
        <x:v>REQ-f1b1d7a499b3</x:v>
      </x:c>
      <x:c r="B245" s="4" t="str">
        <x:v>首页与发现</x:v>
      </x:c>
      <x:c r="C245" s="4" t="n">
        <x:v>2087</x:v>
      </x:c>
      <x:c r="D245" s="4" t="str">
        <x:v>标题：对应通知的标题。</x:v>
      </x:c>
      <x:c r="E245" s="4" t="str">
        <x:v>整段分支核验未闭合</x:v>
      </x:c>
      <x:c r="F245" s="4" t="str">
        <x:v>GUILD-0154</x:v>
      </x:c>
      <x:c r="G245" s="4" t="str">
        <x:v>本段剩余子句、条件组合及状态后续影响仍需与独立规则逐项闭合；这是生成覆盖缺口，不是产品决策缺失。</x:v>
      </x:c>
    </x:row>
    <x:row r="246" ht="44" customHeight="1">
      <x:c r="A246" s="4" t="str">
        <x:v>REQ-b3a0c4bc92a4</x:v>
      </x:c>
      <x:c r="B246" s="4" t="str">
        <x:v>首页与发现</x:v>
      </x:c>
      <x:c r="C246" s="4" t="n">
        <x:v>2088</x:v>
      </x:c>
      <x:c r="D246" s="4" t="str">
        <x:v>发送时间：通知生成时间。</x:v>
      </x:c>
      <x:c r="E246" s="4" t="str">
        <x:v>整段分支核验未闭合</x:v>
      </x:c>
      <x:c r="F246" s="4" t="str">
        <x:v>GUILD-0155</x:v>
      </x:c>
      <x:c r="G246" s="4" t="str">
        <x:v>本段剩余子句、条件组合及状态后续影响仍需与独立规则逐项闭合；这是生成覆盖缺口，不是产品决策缺失。</x:v>
      </x:c>
    </x:row>
    <x:row r="247" ht="44" customHeight="1">
      <x:c r="A247" s="4" t="str">
        <x:v>REQ-f3d0239d304c</x:v>
      </x:c>
      <x:c r="B247" s="4" t="str">
        <x:v>首页与发现</x:v>
      </x:c>
      <x:c r="C247" s="4" t="n">
        <x:v>2089</x:v>
      </x:c>
      <x:c r="D247" s="4" t="str">
        <x:v>正文：业务对象、状态变化及处理信息。</x:v>
      </x:c>
      <x:c r="E247" s="4" t="str">
        <x:v>整段分支核验未闭合</x:v>
      </x:c>
      <x:c r="F247" s="4" t="str">
        <x:v>GUILD-0156</x:v>
      </x:c>
      <x:c r="G247" s="4" t="str">
        <x:v>本段剩余子句、条件组合及状态后续影响仍需与独立规则逐项闭合；这是生成覆盖缺口，不是产品决策缺失。</x:v>
      </x:c>
    </x:row>
    <x:row r="248" ht="44" customHeight="1">
      <x:c r="A248" s="4" t="str">
        <x:v>REQ-01bb2597a448</x:v>
      </x:c>
      <x:c r="B248" s="4" t="str">
        <x:v>首页与发现</x:v>
      </x:c>
      <x:c r="C248" s="4" t="n">
        <x:v>2090</x:v>
      </x:c>
      <x:c r="D248" s="4" t="str">
        <x:v>业务入口：有关联记录且有权限时显示，进入对应业务记录。</x:v>
      </x:c>
      <x:c r="E248" s="4" t="str">
        <x:v>整段分支核验未闭合</x:v>
      </x:c>
      <x:c r="F248" s="4" t="str">
        <x:v>GUILD-0050、GUILD-0051</x:v>
      </x:c>
      <x:c r="G248" s="4" t="str">
        <x:v>本段剩余子句、条件组合及状态后续影响仍需与独立规则逐项闭合；这是生成覆盖缺口，不是产品决策缺失。</x:v>
      </x:c>
    </x:row>
    <x:row r="249" ht="44" customHeight="1">
      <x:c r="A249" s="4" t="str">
        <x:v>REQ-b8ea404c5252</x:v>
      </x:c>
      <x:c r="B249" s="4" t="str">
        <x:v>首页与发现</x:v>
      </x:c>
      <x:c r="C249" s="4" t="n">
        <x:v>2091</x:v>
      </x:c>
      <x:c r="D249" s="4" t="str">
        <x:v>进入详情 -&gt; 标记为已读；点击业务入口 -&gt; 进入对应记录。</x:v>
      </x:c>
      <x:c r="E249" s="4" t="str">
        <x:v>整段分支核验未闭合</x:v>
      </x:c>
      <x:c r="F249" s="4" t="str">
        <x:v>GUILD-0049、GUILD-0050、GUILD-0051</x:v>
      </x:c>
      <x:c r="G249" s="4" t="str">
        <x:v>本段剩余子句、条件组合及状态后续影响仍需与独立规则逐项闭合；这是生成覆盖缺口，不是产品决策缺失。</x:v>
      </x:c>
    </x:row>
    <x:row r="250" ht="44" customHeight="1">
      <x:c r="A250" s="4" t="str">
        <x:v>REQ-15f627e7928f</x:v>
      </x:c>
      <x:c r="B250" s="4" t="str">
        <x:v>审批管理</x:v>
      </x:c>
      <x:c r="C250" s="4" t="n">
        <x:v>2095</x:v>
      </x:c>
      <x:c r="D250" s="4" t="str">
        <x:v>状态 Tab / 数量：默认审核中；展示审核中、已通过、已驳回及各状态申请数量。</x:v>
      </x:c>
      <x:c r="E250" s="4" t="str">
        <x:v>整段分支核验未闭合</x:v>
      </x:c>
      <x:c r="F250" s="4" t="str">
        <x:v>GUILD-0220、GUILD-0221、GUILD-0222、GUILD-0223、GUILD-0313</x:v>
      </x:c>
      <x:c r="G250" s="4" t="str">
        <x:v>本段剩余子句、条件组合及状态后续影响仍需与独立规则逐项闭合；这是生成覆盖缺口，不是产品决策缺失。</x:v>
      </x:c>
    </x:row>
    <x:row r="251" ht="44" customHeight="1">
      <x:c r="A251" s="4" t="str">
        <x:v>REQ-457953c7b57a</x:v>
      </x:c>
      <x:c r="B251" s="4" t="str">
        <x:v>审批管理</x:v>
      </x:c>
      <x:c r="C251" s="4" t="n">
        <x:v>2096</x:v>
      </x:c>
      <x:c r="D251" s="4" t="str">
        <x:v>申请人头像 / 名称 / ID：提交入会申请的用户资料及用户 ID。</x:v>
      </x:c>
      <x:c r="E251" s="4" t="str">
        <x:v>整段分支核验未闭合</x:v>
      </x:c>
      <x:c r="F251" s="4" t="str">
        <x:v>GUILD-0157、GUILD-0158</x:v>
      </x:c>
      <x:c r="G251" s="4" t="str">
        <x:v>本段剩余子句、条件组合及状态后续影响仍需与独立规则逐项闭合；这是生成覆盖缺口，不是产品决策缺失。</x:v>
      </x:c>
    </x:row>
    <x:row r="252" ht="44" customHeight="1">
      <x:c r="A252" s="4" t="str">
        <x:v>REQ-83968f78cc30</x:v>
      </x:c>
      <x:c r="B252" s="4" t="str">
        <x:v>审批管理</x:v>
      </x:c>
      <x:c r="C252" s="4" t="n">
        <x:v>2097</x:v>
      </x:c>
      <x:c r="D252" s="4" t="str">
        <x:v>申请时间：本次申请提交时间。</x:v>
      </x:c>
      <x:c r="E252" s="4" t="str">
        <x:v>整段分支核验未闭合</x:v>
      </x:c>
      <x:c r="F252" s="4" t="str">
        <x:v>GUILD-0159</x:v>
      </x:c>
      <x:c r="G252" s="4" t="str">
        <x:v>本段剩余子句、条件组合及状态后续影响仍需与独立规则逐项闭合；这是生成覆盖缺口，不是产品决策缺失。</x:v>
      </x:c>
    </x:row>
    <x:row r="253" ht="44" customHeight="1">
      <x:c r="A253" s="4" t="str">
        <x:v>REQ-bbd9cc4ccd76</x:v>
      </x:c>
      <x:c r="B253" s="4" t="str">
        <x:v>审批管理</x:v>
      </x:c>
      <x:c r="C253" s="4" t="n">
        <x:v>2098</x:v>
      </x:c>
      <x:c r="D253" s="4" t="str">
        <x:v>状态：审核中包含待公会审核和平台审核中；驳回区分公会驳回、平台驳回。</x:v>
      </x:c>
      <x:c r="E253" s="4" t="str">
        <x:v>整段分支核验未闭合</x:v>
      </x:c>
      <x:c r="F253" s="4" t="str">
        <x:v>GUILD-0268、GUILD-0269、GUILD-0270、GUILD-0271、GUILD-0313</x:v>
      </x:c>
      <x:c r="G253" s="4" t="str">
        <x:v>本段剩余子句、条件组合及状态后续影响仍需与独立规则逐项闭合；这是生成覆盖缺口，不是产品决策缺失。</x:v>
      </x:c>
    </x:row>
    <x:row r="254" ht="44" customHeight="1">
      <x:c r="A254" s="4" t="str">
        <x:v>REQ-a5054ddf8e35</x:v>
      </x:c>
      <x:c r="B254" s="4" t="str">
        <x:v>审批管理</x:v>
      </x:c>
      <x:c r="C254" s="4" t="n">
        <x:v>2099</x:v>
      </x:c>
      <x:c r="D254" s="4" t="str">
        <x:v>同一用户同时只能有一笔待处理入会申请，且只能加入一个公会。</x:v>
      </x:c>
      <x:c r="E254" s="4" t="str">
        <x:v>尚未建立场景映射</x:v>
      </x:c>
      <x:c r="F254" s="4" t="str"/>
      <x:c r="G254" s="4" t="str">
        <x:v>本轮独立来源库保留该已知条款，但尚未建立可核验的正式场景映射；不是无业务依据，也不转为产品待确认。</x:v>
      </x:c>
    </x:row>
    <x:row r="255" ht="44" customHeight="1">
      <x:c r="A255" s="4" t="str">
        <x:v>REQ-aad9d80d34b7</x:v>
      </x:c>
      <x:c r="B255" s="4" t="str">
        <x:v>审批管理</x:v>
      </x:c>
      <x:c r="C255" s="4" t="n">
        <x:v>2100</x:v>
      </x:c>
      <x:c r="D255" s="4" t="str">
        <x:v>公会驳回后关闭本次申请，用户重新申请时生成新申请单。</x:v>
      </x:c>
      <x:c r="E255" s="4" t="str">
        <x:v>尚未建立场景映射</x:v>
      </x:c>
      <x:c r="F255" s="4" t="str"/>
      <x:c r="G255" s="4" t="str">
        <x:v>本轮独立来源库保留该已知条款，但尚未建立可核验的正式场景映射；不是无业务依据，也不转为产品待确认。</x:v>
      </x:c>
    </x:row>
    <x:row r="256" ht="44" customHeight="1">
      <x:c r="A256" s="4" t="str">
        <x:v>REQ-a259a5249a2e</x:v>
      </x:c>
      <x:c r="B256" s="4" t="str">
        <x:v>审批管理</x:v>
      </x:c>
      <x:c r="C256" s="4" t="n">
        <x:v>2101</x:v>
      </x:c>
      <x:c r="D256" s="4" t="str">
        <x:v>公会审核通过后自动进入平台审核，无需用户再次提交；平台驳回后本次申请作废，重新申请必须重新经过公会初审。</x:v>
      </x:c>
      <x:c r="E256" s="4" t="str">
        <x:v>尚未建立场景映射</x:v>
      </x:c>
      <x:c r="F256" s="4" t="str"/>
      <x:c r="G256" s="4" t="str">
        <x:v>本轮独立来源库保留该已知条款，但尚未建立可核验的正式场景映射；不是无业务依据，也不转为产品待确认。</x:v>
      </x:c>
    </x:row>
    <x:row r="257" ht="44" customHeight="1">
      <x:c r="A257" s="4" t="str">
        <x:v>REQ-6e63424342d0</x:v>
      </x:c>
      <x:c r="B257" s="4" t="str">
        <x:v>审批管理</x:v>
      </x:c>
      <x:c r="C257" s="4" t="n">
        <x:v>2102</x:v>
      </x:c>
      <x:c r="D257" s="4" t="str">
        <x:v>状态 Tab -&gt; 筛选对应状态；点击申请卡片 -&gt; 进入申请详情。</x:v>
      </x:c>
      <x:c r="E257" s="4" t="str">
        <x:v>整段分支核验未闭合</x:v>
      </x:c>
      <x:c r="F257" s="4" t="str">
        <x:v>GUILD-0021、GUILD-0220、GUILD-0221、GUILD-0222</x:v>
      </x:c>
      <x:c r="G257" s="4" t="str">
        <x:v>本段剩余子句、条件组合及状态后续影响仍需与独立规则逐项闭合；这是生成覆盖缺口，不是产品决策缺失。</x:v>
      </x:c>
    </x:row>
    <x:row r="258" ht="44" customHeight="1">
      <x:c r="A258" s="4" t="str">
        <x:v>REQ-c6402e3288ac</x:v>
      </x:c>
      <x:c r="B258" s="4" t="str">
        <x:v>审批管理</x:v>
      </x:c>
      <x:c r="C258" s="4" t="n">
        <x:v>2106</x:v>
      </x:c>
      <x:c r="D258" s="4" t="str">
        <x:v>头像 / 昵称 / 用户 ID：本次申请人的账号资料。</x:v>
      </x:c>
      <x:c r="E258" s="4" t="str">
        <x:v>整段分支核验未闭合</x:v>
      </x:c>
      <x:c r="F258" s="4" t="str">
        <x:v>GUILD-0160、GUILD-0161</x:v>
      </x:c>
      <x:c r="G258" s="4" t="str">
        <x:v>本段剩余子句、条件组合及状态后续影响仍需与独立规则逐项闭合；这是生成覆盖缺口，不是产品决策缺失。</x:v>
      </x:c>
    </x:row>
    <x:row r="259" ht="44" customHeight="1">
      <x:c r="A259" s="4" t="str">
        <x:v>REQ-47dad45c332e</x:v>
      </x:c>
      <x:c r="B259" s="4" t="str">
        <x:v>审批管理</x:v>
      </x:c>
      <x:c r="C259" s="4" t="n">
        <x:v>2107</x:v>
      </x:c>
      <x:c r="D259" s="4" t="str">
        <x:v>申请公会：本次申请目标公会名称。</x:v>
      </x:c>
      <x:c r="E259" s="4" t="str">
        <x:v>尚未建立场景映射</x:v>
      </x:c>
      <x:c r="F259" s="4" t="str"/>
      <x:c r="G259" s="4" t="str">
        <x:v>本轮独立来源库保留该已知条款，但尚未建立可核验的正式场景映射；不是无业务依据，也不转为产品待确认。</x:v>
      </x:c>
    </x:row>
    <x:row r="260" ht="44" customHeight="1">
      <x:c r="A260" s="4" t="str">
        <x:v>REQ-8fbd435e36e5</x:v>
      </x:c>
      <x:c r="B260" s="4" t="str">
        <x:v>审批管理</x:v>
      </x:c>
      <x:c r="C260" s="4" t="n">
        <x:v>2108</x:v>
      </x:c>
      <x:c r="D260" s="4" t="str">
        <x:v>姓名：申请人提交的姓名，区别于账号昵称。</x:v>
      </x:c>
      <x:c r="E260" s="4" t="str">
        <x:v>整段分支核验未闭合</x:v>
      </x:c>
      <x:c r="F260" s="4" t="str">
        <x:v>GUILD-0162</x:v>
      </x:c>
      <x:c r="G260" s="4" t="str">
        <x:v>本段剩余子句、条件组合及状态后续影响仍需与独立规则逐项闭合；这是生成覆盖缺口，不是产品决策缺失。</x:v>
      </x:c>
    </x:row>
    <x:row r="261" ht="44" customHeight="1">
      <x:c r="A261" s="4" t="str">
        <x:v>REQ-ba73c62f2098</x:v>
      </x:c>
      <x:c r="B261" s="4" t="str">
        <x:v>审批管理</x:v>
      </x:c>
      <x:c r="C261" s="4" t="n">
        <x:v>2109</x:v>
      </x:c>
      <x:c r="D261" s="4" t="str">
        <x:v>电话：申请人提交的联系电话。</x:v>
      </x:c>
      <x:c r="E261" s="4" t="str">
        <x:v>整段分支核验未闭合</x:v>
      </x:c>
      <x:c r="F261" s="4" t="str">
        <x:v>GUILD-0163</x:v>
      </x:c>
      <x:c r="G261" s="4" t="str">
        <x:v>本段剩余子句、条件组合及状态后续影响仍需与独立规则逐项闭合；这是生成覆盖缺口，不是产品决策缺失。</x:v>
      </x:c>
    </x:row>
    <x:row r="262" ht="44" customHeight="1">
      <x:c r="A262" s="4" t="str">
        <x:v>REQ-ead1380c96ec</x:v>
      </x:c>
      <x:c r="B262" s="4" t="str">
        <x:v>审批管理</x:v>
      </x:c>
      <x:c r="C262" s="4" t="n">
        <x:v>2110</x:v>
      </x:c>
      <x:c r="D262" s="4" t="str">
        <x:v>本人照片：申请提交的本人照片，可点开大图。</x:v>
      </x:c>
      <x:c r="E262" s="4" t="str">
        <x:v>整段分支核验未闭合</x:v>
      </x:c>
      <x:c r="F262" s="4" t="str">
        <x:v>GUILD-0272、GUILD-0273、GUILD-0274</x:v>
      </x:c>
      <x:c r="G262" s="4" t="str">
        <x:v>本段剩余子句、条件组合及状态后续影响仍需与独立规则逐项闭合；这是生成覆盖缺口，不是产品决策缺失。</x:v>
      </x:c>
    </x:row>
    <x:row r="263" ht="44" customHeight="1">
      <x:c r="A263" s="4" t="str">
        <x:v>REQ-f6891ba15597</x:v>
      </x:c>
      <x:c r="B263" s="4" t="str">
        <x:v>审批管理</x:v>
      </x:c>
      <x:c r="C263" s="4" t="n">
        <x:v>2111</x:v>
      </x:c>
      <x:c r="D263" s="4" t="str">
        <x:v>证件正面 / 反面：申请提交的证件图片，可分别查看。</x:v>
      </x:c>
      <x:c r="E263" s="4" t="str">
        <x:v>整段分支核验未闭合</x:v>
      </x:c>
      <x:c r="F263" s="4" t="str">
        <x:v>GUILD-0272、GUILD-0273、GUILD-0274</x:v>
      </x:c>
      <x:c r="G263" s="4" t="str">
        <x:v>本段剩余子句、条件组合及状态后续影响仍需与独立规则逐项闭合；这是生成覆盖缺口，不是产品决策缺失。</x:v>
      </x:c>
    </x:row>
    <x:row r="264" ht="44" customHeight="1">
      <x:c r="A264" s="4" t="str">
        <x:v>REQ-e6229e5b4311</x:v>
      </x:c>
      <x:c r="B264" s="4" t="str">
        <x:v>审批管理</x:v>
      </x:c>
      <x:c r="C264" s="4" t="n">
        <x:v>2112</x:v>
      </x:c>
      <x:c r="D264" s="4" t="str">
        <x:v>节点 / 状态：用户提交、公会审核、平台审核、成为主播，显示当前处理阶段。</x:v>
      </x:c>
      <x:c r="E264" s="4" t="str">
        <x:v>整段分支核验未闭合</x:v>
      </x:c>
      <x:c r="F264" s="4" t="str">
        <x:v>GUILD-0001</x:v>
      </x:c>
      <x:c r="G264" s="4" t="str">
        <x:v>本段剩余子句、条件组合及状态后续影响仍需与独立规则逐项闭合；这是生成覆盖缺口，不是产品决策缺失。</x:v>
      </x:c>
    </x:row>
    <x:row r="265" ht="44" customHeight="1">
      <x:c r="A265" s="4" t="str">
        <x:v>REQ-a0fd66fbb2fb</x:v>
      </x:c>
      <x:c r="B265" s="4" t="str">
        <x:v>审批管理</x:v>
      </x:c>
      <x:c r="C265" s="4" t="n">
        <x:v>2113</x:v>
      </x:c>
      <x:c r="D265" s="4" t="str">
        <x:v>节点时间：对应提交或审核完成时间；未发生不显示。</x:v>
      </x:c>
      <x:c r="E265" s="4" t="str">
        <x:v>整段分支核验未闭合</x:v>
      </x:c>
      <x:c r="F265" s="4" t="str">
        <x:v>GUILD-0001</x:v>
      </x:c>
      <x:c r="G265" s="4" t="str">
        <x:v>本段剩余子句、条件组合及状态后续影响仍需与独立规则逐项闭合；这是生成覆盖缺口，不是产品决策缺失。</x:v>
      </x:c>
    </x:row>
    <x:row r="266" ht="44" customHeight="1">
      <x:c r="A266" s="4" t="str">
        <x:v>REQ-cf1b70d3c79f</x:v>
      </x:c>
      <x:c r="B266" s="4" t="str">
        <x:v>审批管理</x:v>
      </x:c>
      <x:c r="C266" s="4" t="n">
        <x:v>2114</x:v>
      </x:c>
      <x:c r="D266" s="4" t="str">
        <x:v>驳回理由：驳回时选填，最多 200 字符；显示在对应审核节点，未填显示「未填写」。</x:v>
      </x:c>
      <x:c r="E266" s="4" t="str">
        <x:v>整段分支核验未闭合</x:v>
      </x:c>
      <x:c r="F266" s="4" t="str">
        <x:v>GUILD-0001、GUILD-0003、GUILD-0148、GUILD-0149、GUILD-0150</x:v>
      </x:c>
      <x:c r="G266" s="4" t="str">
        <x:v>本段剩余子句、条件组合及状态后续影响仍需与独立规则逐项闭合；这是生成覆盖缺口，不是产品决策缺失。</x:v>
      </x:c>
    </x:row>
    <x:row r="267" ht="44" customHeight="1">
      <x:c r="A267" s="4" t="str">
        <x:v>REQ-e2ac5e93afea</x:v>
      </x:c>
      <x:c r="B267" s="4" t="str">
        <x:v>审批管理</x:v>
      </x:c>
      <x:c r="C267" s="4" t="n">
        <x:v>2115</x:v>
      </x:c>
      <x:c r="D267" s="4" t="str">
        <x:v>查看主页：成为主播后进入该主播详情。</x:v>
      </x:c>
      <x:c r="E267" s="4" t="str">
        <x:v>尚未建立场景映射</x:v>
      </x:c>
      <x:c r="F267" s="4" t="str"/>
      <x:c r="G267" s="4" t="str">
        <x:v>本轮独立来源库保留该已知条款，但尚未建立可核验的正式场景映射；不是无业务依据，也不转为产品待确认。</x:v>
      </x:c>
    </x:row>
    <x:row r="268" ht="44" customHeight="1">
      <x:c r="A268" s="4" t="str">
        <x:v>REQ-889380bda48a</x:v>
      </x:c>
      <x:c r="B268" s="4" t="str">
        <x:v>审批管理</x:v>
      </x:c>
      <x:c r="C268" s="4" t="n">
        <x:v>2116</x:v>
      </x:c>
      <x:c r="D268" s="4" t="str">
        <x:v>公会审核通过后，自动进入平台审核节点，无需用户再次提交。</x:v>
      </x:c>
      <x:c r="E268" s="4" t="str">
        <x:v>整段分支核验未闭合</x:v>
      </x:c>
      <x:c r="F268" s="4" t="str">
        <x:v>GUILD-0001、GUILD-0003</x:v>
      </x:c>
      <x:c r="G268" s="4" t="str">
        <x:v>本段剩余子句、条件组合及状态后续影响仍需与独立规则逐项闭合；这是生成覆盖缺口，不是产品决策缺失。</x:v>
      </x:c>
    </x:row>
    <x:row r="269" ht="44" customHeight="1">
      <x:c r="A269" s="4" t="str">
        <x:v>REQ-dee8a804952b</x:v>
      </x:c>
      <x:c r="B269" s="4" t="str">
        <x:v>审批管理</x:v>
      </x:c>
      <x:c r="C269" s="4" t="n">
        <x:v>2117</x:v>
      </x:c>
      <x:c r="D269" s="4" t="str">
        <x:v>平台驳回后本次申请作废；用户重新申请时生成新申请，重新经过公会初审和平台终审。</x:v>
      </x:c>
      <x:c r="E269" s="4" t="str">
        <x:v>整段分支核验未闭合</x:v>
      </x:c>
      <x:c r="F269" s="4" t="str">
        <x:v>GUILD-0001、GUILD-0003</x:v>
      </x:c>
      <x:c r="G269" s="4" t="str">
        <x:v>本段剩余子句、条件组合及状态后续影响仍需与独立规则逐项闭合；这是生成覆盖缺口，不是产品决策缺失。</x:v>
      </x:c>
    </x:row>
    <x:row r="270" ht="44" customHeight="1">
      <x:c r="A270" s="4" t="str">
        <x:v>REQ-01ce3495ca45</x:v>
      </x:c>
      <x:c r="B270" s="4" t="str">
        <x:v>审批管理</x:v>
      </x:c>
      <x:c r="C270" s="4" t="n">
        <x:v>2118</x:v>
      </x:c>
      <x:c r="D270" s="4" t="str">
        <x:v>已处理的公会审核结果只读，不可重复审核。</x:v>
      </x:c>
      <x:c r="E270" s="4" t="str">
        <x:v>整段分支核验未闭合</x:v>
      </x:c>
      <x:c r="F270" s="4" t="str">
        <x:v>GUILD-0001</x:v>
      </x:c>
      <x:c r="G270" s="4" t="str">
        <x:v>本段剩余子句、条件组合及状态后续影响仍需与独立规则逐项闭合；这是生成覆盖缺口，不是产品决策缺失。</x:v>
      </x:c>
    </x:row>
    <x:row r="271" ht="44" customHeight="1">
      <x:c r="A271" s="4" t="str">
        <x:v>REQ-da806b26301b</x:v>
      </x:c>
      <x:c r="B271" s="4" t="str">
        <x:v>审批管理</x:v>
      </x:c>
      <x:c r="C271" s="4" t="n">
        <x:v>2119</x:v>
      </x:c>
      <x:c r="D271" s="4" t="str">
        <x:v>通过 -&gt; 二次确认 -&gt; 提交平台终审；驳回 -&gt; 填写可选理由 -&gt; 结束申请。</x:v>
      </x:c>
      <x:c r="E271" s="4" t="str">
        <x:v>整段分支核验未闭合</x:v>
      </x:c>
      <x:c r="F271" s="4" t="str">
        <x:v>GUILD-0001、GUILD-0003</x:v>
      </x:c>
      <x:c r="G271" s="4" t="str">
        <x:v>本段剩余子句、条件组合及状态后续影响仍需与独立规则逐项闭合；这是生成覆盖缺口，不是产品决策缺失。</x:v>
      </x:c>
    </x:row>
    <x:row r="272" ht="44" customHeight="1">
      <x:c r="A272" s="4" t="str">
        <x:v>REQ-20fd4dfde21d</x:v>
      </x:c>
      <x:c r="B272" s="4" t="str">
        <x:v>审批管理</x:v>
      </x:c>
      <x:c r="C272" s="4" t="n">
        <x:v>2120</x:v>
      </x:c>
      <x:c r="D272" s="4" t="str">
        <x:v>点击认证材料 -&gt; 查看大图；成为主播后可进入主播详情。</x:v>
      </x:c>
      <x:c r="E272" s="4" t="str">
        <x:v>整段分支核验未闭合</x:v>
      </x:c>
      <x:c r="F272" s="4" t="str">
        <x:v>GUILD-0272、GUILD-0273、GUILD-0274</x:v>
      </x:c>
      <x:c r="G272" s="4" t="str">
        <x:v>本段剩余子句、条件组合及状态后续影响仍需与独立规则逐项闭合；这是生成覆盖缺口，不是产品决策缺失。</x:v>
      </x:c>
    </x:row>
    <x:row r="273" ht="44" customHeight="1">
      <x:c r="A273" s="4" t="str">
        <x:v>REQ-34ccb328cc03</x:v>
      </x:c>
      <x:c r="B273" s="4" t="str">
        <x:v>审批管理</x:v>
      </x:c>
      <x:c r="C273" s="4" t="n">
        <x:v>2124</x:v>
      </x:c>
      <x:c r="D273" s="4" t="str">
        <x:v>状态 Tab / 数量：默认审核中；展示审核中、已通过、已驳回及各状态申请数量。</x:v>
      </x:c>
      <x:c r="E273" s="4" t="str">
        <x:v>整段分支核验未闭合</x:v>
      </x:c>
      <x:c r="F273" s="4" t="str">
        <x:v>GUILD-0224、GUILD-0225、GUILD-0226、GUILD-0227</x:v>
      </x:c>
      <x:c r="G273" s="4" t="str">
        <x:v>本段剩余子句、条件组合及状态后续影响仍需与独立规则逐项闭合；这是生成覆盖缺口，不是产品决策缺失。</x:v>
      </x:c>
    </x:row>
    <x:row r="274" ht="44" customHeight="1">
      <x:c r="A274" s="4" t="str">
        <x:v>REQ-acb4de4aef54</x:v>
      </x:c>
      <x:c r="B274" s="4" t="str">
        <x:v>审批管理</x:v>
      </x:c>
      <x:c r="C274" s="4" t="n">
        <x:v>2125</x:v>
      </x:c>
      <x:c r="D274" s="4" t="str">
        <x:v>申请人头像 / 名称 / ID：提交退会申请的主播资料及主播 ID。</x:v>
      </x:c>
      <x:c r="E274" s="4" t="str">
        <x:v>整段分支核验未闭合</x:v>
      </x:c>
      <x:c r="F274" s="4" t="str">
        <x:v>GUILD-0164、GUILD-0165</x:v>
      </x:c>
      <x:c r="G274" s="4" t="str">
        <x:v>本段剩余子句、条件组合及状态后续影响仍需与独立规则逐项闭合；这是生成覆盖缺口，不是产品决策缺失。</x:v>
      </x:c>
    </x:row>
    <x:row r="275" ht="44" customHeight="1">
      <x:c r="A275" s="4" t="str">
        <x:v>REQ-283dcbce445a</x:v>
      </x:c>
      <x:c r="B275" s="4" t="str">
        <x:v>审批管理</x:v>
      </x:c>
      <x:c r="C275" s="4" t="n">
        <x:v>2126</x:v>
      </x:c>
      <x:c r="D275" s="4" t="str">
        <x:v>申请时间：本次申请提交时间。</x:v>
      </x:c>
      <x:c r="E275" s="4" t="str">
        <x:v>整段分支核验未闭合</x:v>
      </x:c>
      <x:c r="F275" s="4" t="str">
        <x:v>GUILD-0166</x:v>
      </x:c>
      <x:c r="G275" s="4" t="str">
        <x:v>本段剩余子句、条件组合及状态后续影响仍需与独立规则逐项闭合；这是生成覆盖缺口，不是产品决策缺失。</x:v>
      </x:c>
    </x:row>
    <x:row r="276" ht="44" customHeight="1">
      <x:c r="A276" s="4" t="str">
        <x:v>REQ-38a749afe7fb</x:v>
      </x:c>
      <x:c r="B276" s="4" t="str">
        <x:v>审批管理</x:v>
      </x:c>
      <x:c r="C276" s="4" t="n">
        <x:v>2127</x:v>
      </x:c>
      <x:c r="D276" s="4" t="str">
        <x:v>状态：审核中为待公会处理，已通过或已驳回为处理结果。</x:v>
      </x:c>
      <x:c r="E276" s="4" t="str">
        <x:v>尚未建立场景映射</x:v>
      </x:c>
      <x:c r="F276" s="4" t="str"/>
      <x:c r="G276" s="4" t="str">
        <x:v>本轮独立来源库保留该已知条款，但尚未建立可核验的正式场景映射；不是无业务依据，也不转为产品待确认。</x:v>
      </x:c>
    </x:row>
    <x:row r="277" ht="44" customHeight="1">
      <x:c r="A277" s="4" t="str">
        <x:v>REQ-4f04fbe0f282</x:v>
      </x:c>
      <x:c r="B277" s="4" t="str">
        <x:v>审批管理</x:v>
      </x:c>
      <x:c r="C277" s="4" t="n">
        <x:v>2128</x:v>
      </x:c>
      <x:c r="D277" s="4" t="str">
        <x:v>退会申请仅由公会审核，不进入平台终审。</x:v>
      </x:c>
      <x:c r="E277" s="4" t="str">
        <x:v>尚未建立场景映射</x:v>
      </x:c>
      <x:c r="F277" s="4" t="str"/>
      <x:c r="G277" s="4" t="str">
        <x:v>本轮独立来源库保留该已知条款，但尚未建立可核验的正式场景映射；不是无业务依据，也不转为产品待确认。</x:v>
      </x:c>
    </x:row>
    <x:row r="278" ht="44" customHeight="1">
      <x:c r="A278" s="4" t="str">
        <x:v>REQ-dc1ca0561434</x:v>
      </x:c>
      <x:c r="B278" s="4" t="str">
        <x:v>审批管理</x:v>
      </x:c>
      <x:c r="C278" s="4" t="n">
        <x:v>2129</x:v>
      </x:c>
      <x:c r="D278" s="4" t="str">
        <x:v>通过后立即结束当前直播、解除公会关系并失去主播身份；驳回后保留主播身份。</x:v>
      </x:c>
      <x:c r="E278" s="4" t="str">
        <x:v>尚未建立场景映射</x:v>
      </x:c>
      <x:c r="F278" s="4" t="str"/>
      <x:c r="G278" s="4" t="str">
        <x:v>本轮独立来源库保留该已知条款，但尚未建立可核验的正式场景映射；不是无业务依据，也不转为产品待确认。</x:v>
      </x:c>
    </x:row>
    <x:row r="279" ht="44" customHeight="1">
      <x:c r="A279" s="4" t="str">
        <x:v>REQ-e9eaaac2af1c</x:v>
      </x:c>
      <x:c r="B279" s="4" t="str">
        <x:v>审批管理</x:v>
      </x:c>
      <x:c r="C279" s="4" t="n">
        <x:v>2130</x:v>
      </x:c>
      <x:c r="D279" s="4" t="str">
        <x:v>状态 Tab -&gt; 筛选对应状态；点击申请卡片 -&gt; 进入申请详情。</x:v>
      </x:c>
      <x:c r="E279" s="4" t="str">
        <x:v>整段分支核验未闭合</x:v>
      </x:c>
      <x:c r="F279" s="4" t="str">
        <x:v>GUILD-0022、GUILD-0224、GUILD-0225、GUILD-0226</x:v>
      </x:c>
      <x:c r="G279" s="4" t="str">
        <x:v>本段剩余子句、条件组合及状态后续影响仍需与独立规则逐项闭合；这是生成覆盖缺口，不是产品决策缺失。</x:v>
      </x:c>
    </x:row>
    <x:row r="280" ht="44" customHeight="1">
      <x:c r="A280" s="4" t="str">
        <x:v>REQ-c4f27cd5a1e2</x:v>
      </x:c>
      <x:c r="B280" s="4" t="str">
        <x:v>审批管理</x:v>
      </x:c>
      <x:c r="C280" s="4" t="n">
        <x:v>2134</x:v>
      </x:c>
      <x:c r="D280" s="4" t="str">
        <x:v>头像 / 名称：当前主播账号头像和名称。</x:v>
      </x:c>
      <x:c r="E280" s="4" t="str">
        <x:v>整段分支核验未闭合</x:v>
      </x:c>
      <x:c r="F280" s="4" t="str">
        <x:v>GUILD-0004、GUILD-0167</x:v>
      </x:c>
      <x:c r="G280" s="4" t="str">
        <x:v>本段剩余子句、条件组合及状态后续影响仍需与独立规则逐项闭合；这是生成覆盖缺口，不是产品决策缺失。</x:v>
      </x:c>
    </x:row>
    <x:row r="281" ht="44" customHeight="1">
      <x:c r="A281" s="4" t="str">
        <x:v>REQ-f42e4484494b</x:v>
      </x:c>
      <x:c r="B281" s="4" t="str">
        <x:v>审批管理</x:v>
      </x:c>
      <x:c r="C281" s="4" t="n">
        <x:v>2135</x:v>
      </x:c>
      <x:c r="D281" s="4" t="str">
        <x:v>主播 ID：主播账号唯一标识。</x:v>
      </x:c>
      <x:c r="E281" s="4" t="str">
        <x:v>整段分支核验未闭合</x:v>
      </x:c>
      <x:c r="F281" s="4" t="str">
        <x:v>GUILD-0004、GUILD-0168</x:v>
      </x:c>
      <x:c r="G281" s="4" t="str">
        <x:v>本段剩余子句、条件组合及状态后续影响仍需与独立规则逐项闭合；这是生成覆盖缺口，不是产品决策缺失。</x:v>
      </x:c>
    </x:row>
    <x:row r="282" ht="44" customHeight="1">
      <x:c r="A282" s="4" t="str">
        <x:v>REQ-5c090b220506</x:v>
      </x:c>
      <x:c r="B282" s="4" t="str">
        <x:v>审批管理</x:v>
      </x:c>
      <x:c r="C282" s="4" t="n">
        <x:v>2136</x:v>
      </x:c>
      <x:c r="D282" s="4" t="str">
        <x:v>加入时间：当前公会关系生效日期。</x:v>
      </x:c>
      <x:c r="E282" s="4" t="str">
        <x:v>整段分支核验未闭合</x:v>
      </x:c>
      <x:c r="F282" s="4" t="str">
        <x:v>GUILD-0169</x:v>
      </x:c>
      <x:c r="G282" s="4" t="str">
        <x:v>本段剩余子句、条件组合及状态后续影响仍需与独立规则逐项闭合；这是生成覆盖缺口，不是产品决策缺失。</x:v>
      </x:c>
    </x:row>
    <x:row r="283" ht="44" customHeight="1">
      <x:c r="A283" s="4" t="str">
        <x:v>REQ-9fb4a71d06b5</x:v>
      </x:c>
      <x:c r="B283" s="4" t="str">
        <x:v>审批管理</x:v>
      </x:c>
      <x:c r="C283" s="4" t="n">
        <x:v>2137</x:v>
      </x:c>
      <x:c r="D283" s="4" t="str">
        <x:v>申请时间：本次退会申请提交时间。</x:v>
      </x:c>
      <x:c r="E283" s="4" t="str">
        <x:v>整段分支核验未闭合</x:v>
      </x:c>
      <x:c r="F283" s="4" t="str">
        <x:v>GUILD-0004、GUILD-0170</x:v>
      </x:c>
      <x:c r="G283" s="4" t="str">
        <x:v>本段剩余子句、条件组合及状态后续影响仍需与独立规则逐项闭合；这是生成覆盖缺口，不是产品决策缺失。</x:v>
      </x:c>
    </x:row>
    <x:row r="284" ht="44" customHeight="1">
      <x:c r="A284" s="4" t="str">
        <x:v>REQ-c27f4dc80b59</x:v>
      </x:c>
      <x:c r="B284" s="4" t="str">
        <x:v>审批管理</x:v>
      </x:c>
      <x:c r="C284" s="4" t="n">
        <x:v>2138</x:v>
      </x:c>
      <x:c r="D284" s="4" t="str">
        <x:v>申请状态：待审核、已通过或已驳回。</x:v>
      </x:c>
      <x:c r="E284" s="4" t="str">
        <x:v>整段分支核验未闭合</x:v>
      </x:c>
      <x:c r="F284" s="4" t="str">
        <x:v>GUILD-0004、GUILD-0005、GUILD-0006</x:v>
      </x:c>
      <x:c r="G284" s="4" t="str">
        <x:v>本段剩余子句、条件组合及状态后续影响仍需与独立规则逐项闭合；这是生成覆盖缺口，不是产品决策缺失。</x:v>
      </x:c>
    </x:row>
    <x:row r="285" ht="44" customHeight="1">
      <x:c r="A285" s="4" t="str">
        <x:v>REQ-e04cd7aa2abc</x:v>
      </x:c>
      <x:c r="B285" s="4" t="str">
        <x:v>审批管理</x:v>
      </x:c>
      <x:c r="C285" s="4" t="n">
        <x:v>2139</x:v>
      </x:c>
      <x:c r="D285" s="4" t="str">
        <x:v>退会原因：主播提交的退会原因。</x:v>
      </x:c>
      <x:c r="E285" s="4" t="str">
        <x:v>整段分支核验未闭合</x:v>
      </x:c>
      <x:c r="F285" s="4" t="str">
        <x:v>GUILD-0004、GUILD-0171</x:v>
      </x:c>
      <x:c r="G285" s="4" t="str">
        <x:v>本段剩余子句、条件组合及状态后续影响仍需与独立规则逐项闭合；这是生成覆盖缺口，不是产品决策缺失。</x:v>
      </x:c>
    </x:row>
    <x:row r="286" ht="44" customHeight="1">
      <x:c r="A286" s="4" t="str">
        <x:v>REQ-0bb5af2f5376</x:v>
      </x:c>
      <x:c r="B286" s="4" t="str">
        <x:v>审批管理</x:v>
      </x:c>
      <x:c r="C286" s="4" t="n">
        <x:v>2140</x:v>
      </x:c>
      <x:c r="D286" s="4" t="str">
        <x:v>处理时间 / 结果：已处理后显示本次审核时间和结果。</x:v>
      </x:c>
      <x:c r="E286" s="4" t="str">
        <x:v>整段分支核验未闭合</x:v>
      </x:c>
      <x:c r="F286" s="4" t="str">
        <x:v>GUILD-0005、GUILD-0006</x:v>
      </x:c>
      <x:c r="G286" s="4" t="str">
        <x:v>本段剩余子句、条件组合及状态后续影响仍需与独立规则逐项闭合；这是生成覆盖缺口，不是产品决策缺失。</x:v>
      </x:c>
    </x:row>
    <x:row r="287" ht="44" customHeight="1">
      <x:c r="A287" s="4" t="str">
        <x:v>REQ-6cafd7643204</x:v>
      </x:c>
      <x:c r="B287" s="4" t="str">
        <x:v>审批管理</x:v>
      </x:c>
      <x:c r="C287" s="4" t="n">
        <x:v>2141</x:v>
      </x:c>
      <x:c r="D287" s="4" t="str">
        <x:v>驳回理由：选填，最多 200 字符；已驳回时显示，未填显示「未填写」。</x:v>
      </x:c>
      <x:c r="E287" s="4" t="str">
        <x:v>整段分支核验未闭合</x:v>
      </x:c>
      <x:c r="F287" s="4" t="str">
        <x:v>GUILD-0005、GUILD-0006</x:v>
      </x:c>
      <x:c r="G287" s="4" t="str">
        <x:v>本段剩余子句、条件组合及状态后续影响仍需与独立规则逐项闭合；这是生成覆盖缺口，不是产品决策缺失。</x:v>
      </x:c>
    </x:row>
    <x:row r="288" ht="44" customHeight="1">
      <x:c r="A288" s="4" t="str">
        <x:v>REQ-44d45e0c5d62</x:v>
      </x:c>
      <x:c r="B288" s="4" t="str">
        <x:v>审批管理</x:v>
      </x:c>
      <x:c r="C288" s="4" t="n">
        <x:v>2142</x:v>
      </x:c>
      <x:c r="D288" s="4" t="str">
        <x:v>通过 -&gt; 立即结束当前直播、解除公会关系并失去主播身份。</x:v>
      </x:c>
      <x:c r="E288" s="4" t="str">
        <x:v>整段分支核验未闭合</x:v>
      </x:c>
      <x:c r="F288" s="4" t="str">
        <x:v>GUILD-0004、GUILD-0005、GUILD-0006</x:v>
      </x:c>
      <x:c r="G288" s="4" t="str">
        <x:v>本段剩余子句、条件组合及状态后续影响仍需与独立规则逐项闭合；这是生成覆盖缺口，不是产品决策缺失。</x:v>
      </x:c>
    </x:row>
    <x:row r="289" ht="44" customHeight="1">
      <x:c r="A289" s="4" t="str">
        <x:v>REQ-1ba98012803f</x:v>
      </x:c>
      <x:c r="B289" s="4" t="str">
        <x:v>审批管理</x:v>
      </x:c>
      <x:c r="C289" s="4" t="n">
        <x:v>2143</x:v>
      </x:c>
      <x:c r="D289" s="4" t="str">
        <x:v>驳回 -&gt; 保留主播身份和公会关系；主播可重新申请。</x:v>
      </x:c>
      <x:c r="E289" s="4" t="str">
        <x:v>整段分支核验未闭合</x:v>
      </x:c>
      <x:c r="F289" s="4" t="str">
        <x:v>GUILD-0004、GUILD-0005、GUILD-0006</x:v>
      </x:c>
      <x:c r="G289" s="4" t="str">
        <x:v>本段剩余子句、条件组合及状态后续影响仍需与独立规则逐项闭合；这是生成覆盖缺口，不是产品决策缺失。</x:v>
      </x:c>
    </x:row>
    <x:row r="290" ht="44" customHeight="1">
      <x:c r="A290" s="4" t="str">
        <x:v>REQ-7126bee0f50e</x:v>
      </x:c>
      <x:c r="B290" s="4" t="str">
        <x:v>审批管理</x:v>
      </x:c>
      <x:c r="C290" s="4" t="n">
        <x:v>2144</x:v>
      </x:c>
      <x:c r="D290" s="4" t="str">
        <x:v>通过需二次确认；驳回理由选填，最多 200 字；已处理记录只读。</x:v>
      </x:c>
      <x:c r="E290" s="4" t="str">
        <x:v>整段分支核验未闭合</x:v>
      </x:c>
      <x:c r="F290" s="4" t="str">
        <x:v>GUILD-0005、GUILD-0006</x:v>
      </x:c>
      <x:c r="G290" s="4" t="str">
        <x:v>本段剩余子句、条件组合及状态后续影响仍需与独立规则逐项闭合；这是生成覆盖缺口，不是产品决策缺失。</x:v>
      </x:c>
    </x:row>
    <x:row r="291" ht="44" customHeight="1">
      <x:c r="A291" s="4" t="str">
        <x:v>REQ-305ac142e6f4</x:v>
      </x:c>
      <x:c r="B291" s="4" t="str">
        <x:v>审批管理</x:v>
      </x:c>
      <x:c r="C291" s="4" t="n">
        <x:v>2145</x:v>
      </x:c>
      <x:c r="D291" s="4" t="str">
        <x:v>通过退会申请前必须二次确认；</x:v>
      </x:c>
      <x:c r="E291" s="4" t="str">
        <x:v>整段分支核验未闭合</x:v>
      </x:c>
      <x:c r="F291" s="4" t="str">
        <x:v>GUILD-0004、GUILD-0005、GUILD-0006</x:v>
      </x:c>
      <x:c r="G291" s="4" t="str">
        <x:v>本段剩余子句、条件组合及状态后续影响仍需与独立规则逐项闭合；这是生成覆盖缺口，不是产品决策缺失。</x:v>
      </x:c>
    </x:row>
    <x:row r="292" ht="44" customHeight="1">
      <x:c r="A292" s="4" t="str">
        <x:v>REQ-6a1f0c635a7b</x:v>
      </x:c>
      <x:c r="B292" s="4" t="str">
        <x:v>主播管理</x:v>
      </x:c>
      <x:c r="C292" s="4" t="n">
        <x:v>2149</x:v>
      </x:c>
      <x:c r="D292" s="4" t="str">
        <x:v>在会 / 已退会及数量：默认在会；按当前或历史公会关系区分，并显示人数。</x:v>
      </x:c>
      <x:c r="E292" s="4" t="str">
        <x:v>整段分支核验未闭合</x:v>
      </x:c>
      <x:c r="F292" s="4" t="str">
        <x:v>GUILD-0002</x:v>
      </x:c>
      <x:c r="G292" s="4" t="str">
        <x:v>本段剩余子句、条件组合及状态后续影响仍需与独立规则逐项闭合；这是生成覆盖缺口，不是产品决策缺失。</x:v>
      </x:c>
    </x:row>
    <x:row r="293" ht="44" customHeight="1">
      <x:c r="A293" s="4" t="str">
        <x:v>REQ-1037a5908f68</x:v>
      </x:c>
      <x:c r="B293" s="4" t="str">
        <x:v>主播管理</x:v>
      </x:c>
      <x:c r="C293" s="4" t="n">
        <x:v>2150</x:v>
      </x:c>
      <x:c r="D293" s="4" t="str">
        <x:v>搜索：按主播名称或 ID 模糊匹配，与状态筛选共同生效。</x:v>
      </x:c>
      <x:c r="E293" s="4" t="str">
        <x:v>整段分支核验未闭合</x:v>
      </x:c>
      <x:c r="F293" s="4" t="str">
        <x:v>GUILD-0002</x:v>
      </x:c>
      <x:c r="G293" s="4" t="str">
        <x:v>本段剩余子句、条件组合及状态后续影响仍需与独立规则逐项闭合；这是生成覆盖缺口，不是产品决策缺失。</x:v>
      </x:c>
    </x:row>
    <x:row r="294" ht="44" customHeight="1">
      <x:c r="A294" s="4" t="str">
        <x:v>REQ-bae0f08d57d5</x:v>
      </x:c>
      <x:c r="B294" s="4" t="str">
        <x:v>主播管理</x:v>
      </x:c>
      <x:c r="C294" s="4" t="n">
        <x:v>2151</x:v>
      </x:c>
      <x:c r="D294" s="4" t="str">
        <x:v>头像 / 名称：当前主播账号头像和名称。</x:v>
      </x:c>
      <x:c r="E294" s="4" t="str">
        <x:v>整段分支核验未闭合</x:v>
      </x:c>
      <x:c r="F294" s="4" t="str">
        <x:v>GUILD-0002、GUILD-0172</x:v>
      </x:c>
      <x:c r="G294" s="4" t="str">
        <x:v>本段剩余子句、条件组合及状态后续影响仍需与独立规则逐项闭合；这是生成覆盖缺口，不是产品决策缺失。</x:v>
      </x:c>
    </x:row>
    <x:row r="295" ht="44" customHeight="1">
      <x:c r="A295" s="4" t="str">
        <x:v>REQ-0caffc93bbfd</x:v>
      </x:c>
      <x:c r="B295" s="4" t="str">
        <x:v>主播管理</x:v>
      </x:c>
      <x:c r="C295" s="4" t="n">
        <x:v>2152</x:v>
      </x:c>
      <x:c r="D295" s="4" t="str">
        <x:v>主播 ID：主播账号唯一标识。</x:v>
      </x:c>
      <x:c r="E295" s="4" t="str">
        <x:v>整段分支核验未闭合</x:v>
      </x:c>
      <x:c r="F295" s="4" t="str">
        <x:v>GUILD-0002、GUILD-0173</x:v>
      </x:c>
      <x:c r="G295" s="4" t="str">
        <x:v>本段剩余子句、条件组合及状态后续影响仍需与独立规则逐项闭合；这是生成覆盖缺口，不是产品决策缺失。</x:v>
      </x:c>
    </x:row>
    <x:row r="296" ht="44" customHeight="1">
      <x:c r="A296" s="4" t="str">
        <x:v>REQ-a228fa3a63d1</x:v>
      </x:c>
      <x:c r="B296" s="4" t="str">
        <x:v>主播管理</x:v>
      </x:c>
      <x:c r="C296" s="4" t="n">
        <x:v>2153</x:v>
      </x:c>
      <x:c r="D296" s="4" t="str">
        <x:v>加入时间：本次公会关系生效日期；列表按加入时间倒序。</x:v>
      </x:c>
      <x:c r="E296" s="4" t="str">
        <x:v>整段分支核验未闭合</x:v>
      </x:c>
      <x:c r="F296" s="4" t="str">
        <x:v>GUILD-0002、GUILD-0174、GUILD-0229</x:v>
      </x:c>
      <x:c r="G296" s="4" t="str">
        <x:v>本段剩余子句、条件组合及状态后续影响仍需与独立规则逐项闭合；这是生成覆盖缺口，不是产品决策缺失。</x:v>
      </x:c>
    </x:row>
    <x:row r="297" ht="44" customHeight="1">
      <x:c r="A297" s="4" t="str">
        <x:v>REQ-ac6f0201e1ae</x:v>
      </x:c>
      <x:c r="B297" s="4" t="str">
        <x:v>主播管理</x:v>
      </x:c>
      <x:c r="C297" s="4" t="n">
        <x:v>2154</x:v>
      </x:c>
      <x:c r="D297" s="4" t="str">
        <x:v>仅展示当前公会的在会主播和历史退会主播；普通用户不进入主播列表。</x:v>
      </x:c>
      <x:c r="E297" s="4" t="str">
        <x:v>整段分支核验未闭合</x:v>
      </x:c>
      <x:c r="F297" s="4" t="str">
        <x:v>GUILD-0002</x:v>
      </x:c>
      <x:c r="G297" s="4" t="str">
        <x:v>本段剩余子句、条件组合及状态后续影响仍需与独立规则逐项闭合；这是生成覆盖缺口，不是产品决策缺失。</x:v>
      </x:c>
    </x:row>
    <x:row r="298" ht="44" customHeight="1">
      <x:c r="A298" s="4" t="str">
        <x:v>REQ-3b7b1bf1050e</x:v>
      </x:c>
      <x:c r="B298" s="4" t="str">
        <x:v>主播管理</x:v>
      </x:c>
      <x:c r="C298" s="4" t="n">
        <x:v>2155</x:v>
      </x:c>
      <x:c r="D298" s="4" t="str">
        <x:v>状态 Tab 和名称或 ID 搜索共同生效；点击主播 -&gt; 进入主播详情。</x:v>
      </x:c>
      <x:c r="E298" s="4" t="str">
        <x:v>整段分支核验未闭合</x:v>
      </x:c>
      <x:c r="F298" s="4" t="str">
        <x:v>GUILD-0002、GUILD-0023</x:v>
      </x:c>
      <x:c r="G298" s="4" t="str">
        <x:v>本段剩余子句、条件组合及状态后续影响仍需与独立规则逐项闭合；这是生成覆盖缺口，不是产品决策缺失。</x:v>
      </x:c>
    </x:row>
    <x:row r="299" ht="44" customHeight="1">
      <x:c r="A299" s="4" t="str">
        <x:v>REQ-48e0d62dff35</x:v>
      </x:c>
      <x:c r="B299" s="4" t="str">
        <x:v>主播管理</x:v>
      </x:c>
      <x:c r="C299" s="4" t="n">
        <x:v>2159</x:v>
      </x:c>
      <x:c r="D299" s="4" t="str">
        <x:v>日期范围：按当前筛选起止日期统计，包含开始日和结束日；随快捷日期或自定义日期更新。</x:v>
      </x:c>
      <x:c r="E299" s="4" t="str">
        <x:v>整段分支核验未闭合</x:v>
      </x:c>
      <x:c r="F299" s="4" t="str">
        <x:v>GUILD-0116、GUILD-0117、GUILD-0118</x:v>
      </x:c>
      <x:c r="G299" s="4" t="str">
        <x:v>本段剩余子句、条件组合及状态后续影响仍需与独立规则逐项闭合；这是生成覆盖缺口，不是产品决策缺失。</x:v>
      </x:c>
    </x:row>
    <x:row r="300" ht="44" customHeight="1">
      <x:c r="A300" s="4" t="str">
        <x:v>REQ-34c93fe323d0</x:v>
      </x:c>
      <x:c r="B300" s="4" t="str">
        <x:v>主播管理</x:v>
      </x:c>
      <x:c r="C300" s="4" t="n">
        <x:v>2160</x:v>
      </x:c>
      <x:c r="D300" s="4" t="str">
        <x:v>快捷日期：今日、昨日、本周、上周、本月、上月、自定义，默认今日。</x:v>
      </x:c>
      <x:c r="E300" s="4" t="str">
        <x:v>整段分支核验未闭合</x:v>
      </x:c>
      <x:c r="F300" s="4" t="str">
        <x:v>GUILD-0305</x:v>
      </x:c>
      <x:c r="G300" s="4" t="str">
        <x:v>本段剩余子句、条件组合及状态后续影响仍需与独立规则逐项闭合；这是生成覆盖缺口，不是产品决策缺失。</x:v>
      </x:c>
    </x:row>
    <x:row r="301" ht="44" customHeight="1">
      <x:c r="A301" s="4" t="str">
        <x:v>REQ-8009ee5e1fdb</x:v>
      </x:c>
      <x:c r="B301" s="4" t="str">
        <x:v>主播管理</x:v>
      </x:c>
      <x:c r="C301" s="4" t="n">
        <x:v>2161</x:v>
      </x:c>
      <x:c r="D301" s="4" t="str">
        <x:v>搜索：按主播昵称或 ID 查找。</x:v>
      </x:c>
      <x:c r="E301" s="4" t="str">
        <x:v>尚未建立场景映射</x:v>
      </x:c>
      <x:c r="F301" s="4" t="str"/>
      <x:c r="G301" s="4" t="str">
        <x:v>本轮独立来源库保留该已知条款，但尚未建立可核验的正式场景映射；不是无业务依据，也不转为产品待确认。</x:v>
      </x:c>
    </x:row>
    <x:row r="302" ht="44" customHeight="1">
      <x:c r="A302" s="4" t="str">
        <x:v>REQ-854e9365081d</x:v>
      </x:c>
      <x:c r="B302" s="4" t="str">
        <x:v>主播管理</x:v>
      </x:c>
      <x:c r="C302" s="4" t="n">
        <x:v>2162</x:v>
      </x:c>
      <x:c r="D302" s="4" t="str">
        <x:v>头像 / 名称：当前主播账号头像和名称。</x:v>
      </x:c>
      <x:c r="E302" s="4" t="str">
        <x:v>整段分支核验未闭合</x:v>
      </x:c>
      <x:c r="F302" s="4" t="str">
        <x:v>GUILD-0175</x:v>
      </x:c>
      <x:c r="G302" s="4" t="str">
        <x:v>本段剩余子句、条件组合及状态后续影响仍需与独立规则逐项闭合；这是生成覆盖缺口，不是产品决策缺失。</x:v>
      </x:c>
    </x:row>
    <x:row r="303" ht="44" customHeight="1">
      <x:c r="A303" s="4" t="str">
        <x:v>REQ-dd888a11578e</x:v>
      </x:c>
      <x:c r="B303" s="4" t="str">
        <x:v>主播管理</x:v>
      </x:c>
      <x:c r="C303" s="4" t="n">
        <x:v>2163</x:v>
      </x:c>
      <x:c r="D303" s="4" t="str">
        <x:v>主播 ID：主播账号唯一标识。</x:v>
      </x:c>
      <x:c r="E303" s="4" t="str">
        <x:v>整段分支核验未闭合</x:v>
      </x:c>
      <x:c r="F303" s="4" t="str">
        <x:v>GUILD-0176</x:v>
      </x:c>
      <x:c r="G303" s="4" t="str">
        <x:v>本段剩余子句、条件组合及状态后续影响仍需与独立规则逐项闭合；这是生成覆盖缺口，不是产品决策缺失。</x:v>
      </x:c>
    </x:row>
    <x:row r="304" ht="44" customHeight="1">
      <x:c r="A304" s="4" t="str">
        <x:v>REQ-4916bb8dbe1d</x:v>
      </x:c>
      <x:c r="B304" s="4" t="str">
        <x:v>主播管理</x:v>
      </x:c>
      <x:c r="C304" s="4" t="n">
        <x:v>2164</x:v>
      </x:c>
      <x:c r="D304" s="4" t="str">
        <x:v>主播等级：按后台主播等级累计门槛匹配分成前收益，不含运营号金币，与财富等级分开。</x:v>
      </x:c>
      <x:c r="E304" s="4" t="str">
        <x:v>尚未建立场景映射</x:v>
      </x:c>
      <x:c r="F304" s="4" t="str"/>
      <x:c r="G304" s="4" t="str">
        <x:v>本轮独立来源库保留该已知条款，但尚未建立可核验的正式场景映射；不是无业务依据，也不转为产品待确认。</x:v>
      </x:c>
    </x:row>
    <x:row r="305" ht="44" customHeight="1">
      <x:c r="A305" s="4" t="str">
        <x:v>REQ-c2705d48361c</x:v>
      </x:c>
      <x:c r="B305" s="4" t="str">
        <x:v>主播管理</x:v>
      </x:c>
      <x:c r="C305" s="4" t="n">
        <x:v>2165</x:v>
      </x:c>
      <x:c r="D305" s="4" t="str">
        <x:v>退会标记：历史退会主播显示【退会】，保留归属当前公会期间的业绩。</x:v>
      </x:c>
      <x:c r="E305" s="4" t="str">
        <x:v>整段分支核验未闭合</x:v>
      </x:c>
      <x:c r="F305" s="4" t="str">
        <x:v>GUILD-0143、GUILD-0144</x:v>
      </x:c>
      <x:c r="G305" s="4" t="str">
        <x:v>本段剩余子句、条件组合及状态后续影响仍需与独立规则逐项闭合；这是生成覆盖缺口，不是产品决策缺失。</x:v>
      </x:c>
    </x:row>
    <x:row r="306" ht="44" customHeight="1">
      <x:c r="A306" s="4" t="str">
        <x:v>REQ-8f3a10c61900</x:v>
      </x:c>
      <x:c r="B306" s="4" t="str">
        <x:v>主播管理</x:v>
      </x:c>
      <x:c r="C306" s="4" t="n">
        <x:v>2166</x:v>
      </x:c>
      <x:c r="D306" s="4" t="str">
        <x:v>金币收益：所选周期内该主播计入收益的金币数，非分成金额。</x:v>
      </x:c>
      <x:c r="E306" s="4" t="str">
        <x:v>尚未建立场景映射</x:v>
      </x:c>
      <x:c r="F306" s="4" t="str"/>
      <x:c r="G306" s="4" t="str">
        <x:v>本轮独立来源库保留该已知条款，但尚未建立可核验的正式场景映射；不是无业务依据，也不转为产品待确认。</x:v>
      </x:c>
    </x:row>
    <x:row r="307" ht="44" customHeight="1">
      <x:c r="A307" s="4" t="str">
        <x:v>REQ-3649c97c9a4e</x:v>
      </x:c>
      <x:c r="B307" s="4" t="str">
        <x:v>主播管理</x:v>
      </x:c>
      <x:c r="C307" s="4" t="n">
        <x:v>2167</x:v>
      </x:c>
      <x:c r="D307" s="4" t="str">
        <x:v>支持今日、昨日、本周、上周、本月、上月、自定义；默认今日。</x:v>
      </x:c>
      <x:c r="E307" s="4" t="str">
        <x:v>整段分支核验未闭合</x:v>
      </x:c>
      <x:c r="F307" s="4" t="str">
        <x:v>GUILD-0305</x:v>
      </x:c>
      <x:c r="G307" s="4" t="str">
        <x:v>本段剩余子句、条件组合及状态后续影响仍需与独立规则逐项闭合；这是生成覆盖缺口，不是产品决策缺失。</x:v>
      </x:c>
    </x:row>
    <x:row r="308" ht="44" customHeight="1">
      <x:c r="A308" s="4" t="str">
        <x:v>REQ-5e4ba2d8de06</x:v>
      </x:c>
      <x:c r="B308" s="4" t="str">
        <x:v>主播管理</x:v>
      </x:c>
      <x:c r="C308" s="4" t="n">
        <x:v>2168</x:v>
      </x:c>
      <x:c r="D308" s="4" t="str">
        <x:v>主播收益、开播人数、达标人数均随选中日期变化，统计所选周期内的数据。</x:v>
      </x:c>
      <x:c r="E308" s="4" t="str">
        <x:v>尚未建立场景映射</x:v>
      </x:c>
      <x:c r="F308" s="4" t="str"/>
      <x:c r="G308" s="4" t="str">
        <x:v>本轮独立来源库保留该已知条款，但尚未建立可核验的正式场景映射；不是无业务依据，也不转为产品待确认。</x:v>
      </x:c>
    </x:row>
    <x:row r="309" ht="44" customHeight="1">
      <x:c r="A309" s="4" t="str">
        <x:v>REQ-045697d76e54</x:v>
      </x:c>
      <x:c r="B309" s="4" t="str">
        <x:v>主播管理</x:v>
      </x:c>
      <x:c r="C309" s="4" t="n">
        <x:v>2169</x:v>
      </x:c>
      <x:c r="D309" s="4" t="str">
        <x:v>主播收益：所选日期范围内所有主播直播间计入收益的礼物金币总和。</x:v>
      </x:c>
      <x:c r="E309" s="4" t="str">
        <x:v>整段分支核验未闭合</x:v>
      </x:c>
      <x:c r="F309" s="4" t="str">
        <x:v>GUILD-0236</x:v>
      </x:c>
      <x:c r="G309" s="4" t="str">
        <x:v>本段剩余子句、条件组合及状态后续影响仍需与独立规则逐项闭合；这是生成覆盖缺口，不是产品决策缺失。</x:v>
      </x:c>
    </x:row>
    <x:row r="310" ht="44" customHeight="1">
      <x:c r="A310" s="4" t="str">
        <x:v>REQ-b0b8fa948dee</x:v>
      </x:c>
      <x:c r="B310" s="4" t="str">
        <x:v>主播管理</x:v>
      </x:c>
      <x:c r="C310" s="4" t="n">
        <x:v>2170</x:v>
      </x:c>
      <x:c r="D310" s="4" t="str">
        <x:v>开播人数：所选日期范围内至少完成 1 场直播的去重主播数。</x:v>
      </x:c>
      <x:c r="E310" s="4" t="str">
        <x:v>整段分支核验未闭合</x:v>
      </x:c>
      <x:c r="F310" s="4" t="str">
        <x:v>GUILD-0237</x:v>
      </x:c>
      <x:c r="G310" s="4" t="str">
        <x:v>本段剩余子句、条件组合及状态后续影响仍需与独立规则逐项闭合；这是生成覆盖缺口，不是产品决策缺失。</x:v>
      </x:c>
    </x:row>
    <x:row r="311" ht="44" customHeight="1">
      <x:c r="A311" s="4" t="str">
        <x:v>REQ-18e7374634ae</x:v>
      </x:c>
      <x:c r="B311" s="4" t="str">
        <x:v>主播管理</x:v>
      </x:c>
      <x:c r="C311" s="4" t="n">
        <x:v>2171</x:v>
      </x:c>
      <x:c r="D311" s="4" t="str">
        <x:v>达标人数：所选周期内达到有效天标准的去重主播人数。</x:v>
      </x:c>
      <x:c r="E311" s="4" t="str">
        <x:v>尚未建立场景映射</x:v>
      </x:c>
      <x:c r="F311" s="4" t="str"/>
      <x:c r="G311" s="4" t="str">
        <x:v>本轮独立来源库保留该已知条款，但尚未建立可核验的正式场景映射；不是无业务依据，也不转为产品待确认。</x:v>
      </x:c>
    </x:row>
    <x:row r="312" ht="44" customHeight="1">
      <x:c r="A312" s="4" t="str">
        <x:v>REQ-0516063a534b</x:v>
      </x:c>
      <x:c r="B312" s="4" t="str">
        <x:v>主播管理</x:v>
      </x:c>
      <x:c r="C312" s="4" t="n">
        <x:v>2172</x:v>
      </x:c>
      <x:c r="D312" s="4" t="str">
        <x:v>有效天按主播自然日累计直播时长达到 3 小时计 1 天。</x:v>
      </x:c>
      <x:c r="E312" s="4" t="str">
        <x:v>尚未建立场景映射</x:v>
      </x:c>
      <x:c r="F312" s="4" t="str"/>
      <x:c r="G312" s="4" t="str">
        <x:v>本轮独立来源库保留该已知条款，但尚未建立可核验的正式场景映射；不是无业务依据，也不转为产品待确认。</x:v>
      </x:c>
    </x:row>
    <x:row r="313" ht="44" customHeight="1">
      <x:c r="A313" s="4" t="str">
        <x:v>REQ-d6fc92786e6e</x:v>
      </x:c>
      <x:c r="B313" s="4" t="str">
        <x:v>主播管理</x:v>
      </x:c>
      <x:c r="C313" s="4" t="n">
        <x:v>2173</x:v>
      </x:c>
      <x:c r="D313" s="4" t="str">
        <x:v>已退会主播保留历史业绩并显示【退会】；统计以直播发生时的公会关系为准。</x:v>
      </x:c>
      <x:c r="E313" s="4" t="str">
        <x:v>整段分支核验未闭合</x:v>
      </x:c>
      <x:c r="F313" s="4" t="str">
        <x:v>GUILD-0143、GUILD-0144</x:v>
      </x:c>
      <x:c r="G313" s="4" t="str">
        <x:v>本段剩余子句、条件组合及状态后续影响仍需与独立规则逐项闭合；这是生成覆盖缺口，不是产品决策缺失。</x:v>
      </x:c>
    </x:row>
    <x:row r="314" ht="44" customHeight="1">
      <x:c r="A314" s="4" t="str">
        <x:v>REQ-8bf87e9cdc14</x:v>
      </x:c>
      <x:c r="B314" s="4" t="str">
        <x:v>主播管理</x:v>
      </x:c>
      <x:c r="C314" s="4" t="n">
        <x:v>2174</x:v>
      </x:c>
      <x:c r="D314" s="4" t="str">
        <x:v>日期变化 -&gt; 刷新指标与列表；点击主播行 -&gt; 进入「主播数据」。</x:v>
      </x:c>
      <x:c r="E314" s="4" t="str">
        <x:v>整段分支核验未闭合</x:v>
      </x:c>
      <x:c r="F314" s="4" t="str">
        <x:v>GUILD-0024</x:v>
      </x:c>
      <x:c r="G314" s="4" t="str">
        <x:v>本段剩余子句、条件组合及状态后续影响仍需与独立规则逐项闭合；这是生成覆盖缺口，不是产品决策缺失。</x:v>
      </x:c>
    </x:row>
    <x:row r="315" ht="44" customHeight="1">
      <x:c r="A315" s="4" t="str">
        <x:v>REQ-ed2709282730</x:v>
      </x:c>
      <x:c r="B315" s="4" t="str">
        <x:v>主播管理</x:v>
      </x:c>
      <x:c r="C315" s="4" t="n">
        <x:v>2175</x:v>
      </x:c>
      <x:c r="D315" s="4" t="str">
        <x:v>列表收益及汇总人数尚未完整随日期重新计算。</x:v>
      </x:c>
      <x:c r="E315" s="4" t="str">
        <x:v>尚未建立场景映射</x:v>
      </x:c>
      <x:c r="F315" s="4" t="str"/>
      <x:c r="G315" s="4" t="str">
        <x:v>本轮独立来源库保留该已知条款，但尚未建立可核验的正式场景映射；不是无业务依据，也不转为产品待确认。</x:v>
      </x:c>
    </x:row>
    <x:row r="316" ht="44" customHeight="1">
      <x:c r="A316" s="4" t="str">
        <x:v>REQ-b2509dc0e635</x:v>
      </x:c>
      <x:c r="B316" s="4" t="str">
        <x:v>数据与收益</x:v>
      </x:c>
      <x:c r="C316" s="4" t="n">
        <x:v>2179</x:v>
      </x:c>
      <x:c r="D316" s="4" t="str">
        <x:v>头像 / 名称：当前主播账号头像和名称。</x:v>
      </x:c>
      <x:c r="E316" s="4" t="str">
        <x:v>整段分支核验未闭合</x:v>
      </x:c>
      <x:c r="F316" s="4" t="str">
        <x:v>GUILD-0177</x:v>
      </x:c>
      <x:c r="G316" s="4" t="str">
        <x:v>本段剩余子句、条件组合及状态后续影响仍需与独立规则逐项闭合；这是生成覆盖缺口，不是产品决策缺失。</x:v>
      </x:c>
    </x:row>
    <x:row r="317" ht="44" customHeight="1">
      <x:c r="A317" s="4" t="str">
        <x:v>REQ-f1350c8e7f5a</x:v>
      </x:c>
      <x:c r="B317" s="4" t="str">
        <x:v>数据与收益</x:v>
      </x:c>
      <x:c r="C317" s="4" t="n">
        <x:v>2180</x:v>
      </x:c>
      <x:c r="D317" s="4" t="str">
        <x:v>主播 ID：主播账号唯一标识。</x:v>
      </x:c>
      <x:c r="E317" s="4" t="str">
        <x:v>整段分支核验未闭合</x:v>
      </x:c>
      <x:c r="F317" s="4" t="str">
        <x:v>GUILD-0178</x:v>
      </x:c>
      <x:c r="G317" s="4" t="str">
        <x:v>本段剩余子句、条件组合及状态后续影响仍需与独立规则逐项闭合；这是生成覆盖缺口，不是产品决策缺失。</x:v>
      </x:c>
    </x:row>
    <x:row r="318" ht="44" customHeight="1">
      <x:c r="A318" s="4" t="str">
        <x:v>REQ-8ed1344bc371</x:v>
      </x:c>
      <x:c r="B318" s="4" t="str">
        <x:v>数据与收益</x:v>
      </x:c>
      <x:c r="C318" s="4" t="n">
        <x:v>2181</x:v>
      </x:c>
      <x:c r="D318" s="4" t="str">
        <x:v>主播等级：按后台主播等级累计门槛匹配分成前收益，不含运营号金币，与财富等级分开。</x:v>
      </x:c>
      <x:c r="E318" s="4" t="str">
        <x:v>尚未建立场景映射</x:v>
      </x:c>
      <x:c r="F318" s="4" t="str"/>
      <x:c r="G318" s="4" t="str">
        <x:v>本轮独立来源库保留该已知条款，但尚未建立可核验的正式场景映射；不是无业务依据，也不转为产品待确认。</x:v>
      </x:c>
    </x:row>
    <x:row r="319" ht="44" customHeight="1">
      <x:c r="A319" s="4" t="str">
        <x:v>REQ-a019a7eca4c0</x:v>
      </x:c>
      <x:c r="B319" s="4" t="str">
        <x:v>数据与收益</x:v>
      </x:c>
      <x:c r="C319" s="4" t="n">
        <x:v>2182</x:v>
      </x:c>
      <x:c r="D319" s="4" t="str">
        <x:v>直播中标记：当前主播正在直播时显示，未开播时隐藏。</x:v>
      </x:c>
      <x:c r="E319" s="4" t="str">
        <x:v>整段分支核验未闭合</x:v>
      </x:c>
      <x:c r="F319" s="4" t="str">
        <x:v>GUILD-0282、GUILD-0283</x:v>
      </x:c>
      <x:c r="G319" s="4" t="str">
        <x:v>本段剩余子句、条件组合及状态后续影响仍需与独立规则逐项闭合；这是生成覆盖缺口，不是产品决策缺失。</x:v>
      </x:c>
    </x:row>
    <x:row r="320" ht="44" customHeight="1">
      <x:c r="A320" s="4" t="str">
        <x:v>REQ-90465bc2b492</x:v>
      </x:c>
      <x:c r="B320" s="4" t="str">
        <x:v>数据与收益</x:v>
      </x:c>
      <x:c r="C320" s="4" t="n">
        <x:v>2183</x:v>
      </x:c>
      <x:c r="D320" s="4" t="str">
        <x:v>退会标记 / 主页：已退会显示【退会】；主页入口进入主播详情。</x:v>
      </x:c>
      <x:c r="E320" s="4" t="str">
        <x:v>尚未建立场景映射</x:v>
      </x:c>
      <x:c r="F320" s="4" t="str"/>
      <x:c r="G320" s="4" t="str">
        <x:v>本轮独立来源库保留该已知条款，但尚未建立可核验的正式场景映射；不是无业务依据，也不转为产品待确认。</x:v>
      </x:c>
    </x:row>
    <x:row r="321" ht="44" customHeight="1">
      <x:c r="A321" s="4" t="str">
        <x:v>REQ-1f2877f97492</x:v>
      </x:c>
      <x:c r="B321" s="4" t="str">
        <x:v>数据与收益</x:v>
      </x:c>
      <x:c r="C321" s="4" t="n">
        <x:v>2184</x:v>
      </x:c>
      <x:c r="D321" s="4" t="str">
        <x:v>日数据 / 月数据：日数据可选本周、上周、本月、上月、自定义，默认本月；月数据当前无月份筛选控件。</x:v>
      </x:c>
      <x:c r="E321" s="4" t="str">
        <x:v>整段分支核验未闭合</x:v>
      </x:c>
      <x:c r="F321" s="4" t="str">
        <x:v>GUILD-0306</x:v>
      </x:c>
      <x:c r="G321" s="4" t="str">
        <x:v>本段剩余子句、条件组合及状态后续影响仍需与独立规则逐项闭合；这是生成覆盖缺口，不是产品决策缺失。</x:v>
      </x:c>
    </x:row>
    <x:row r="322" ht="44" customHeight="1">
      <x:c r="A322" s="4" t="str">
        <x:v>REQ-207c8da2c9e0</x:v>
      </x:c>
      <x:c r="B322" s="4" t="str">
        <x:v>数据与收益</x:v>
      </x:c>
      <x:c r="C322" s="4" t="n">
        <x:v>2185</x:v>
      </x:c>
      <x:c r="D322" s="4" t="str">
        <x:v>日期 / 月份：日数据一行一个自然日，月数据一行一个自然月。</x:v>
      </x:c>
      <x:c r="E322" s="4" t="str">
        <x:v>尚未建立场景映射</x:v>
      </x:c>
      <x:c r="F322" s="4" t="str"/>
      <x:c r="G322" s="4" t="str">
        <x:v>本轮独立来源库保留该已知条款，但尚未建立可核验的正式场景映射；不是无业务依据，也不转为产品待确认。</x:v>
      </x:c>
    </x:row>
    <x:row r="323" ht="44" customHeight="1">
      <x:c r="A323" s="4" t="str">
        <x:v>REQ-b510ba153f21</x:v>
      </x:c>
      <x:c r="B323" s="4" t="str">
        <x:v>数据与收益</x:v>
      </x:c>
      <x:c r="C323" s="4" t="n">
        <x:v>2186</x:v>
      </x:c>
      <x:c r="D323" s="4" t="str">
        <x:v>直播时长：对应日或月的累计直播时长，按小时和分钟显示。</x:v>
      </x:c>
      <x:c r="E323" s="4" t="str">
        <x:v>尚未建立场景映射</x:v>
      </x:c>
      <x:c r="F323" s="4" t="str"/>
      <x:c r="G323" s="4" t="str">
        <x:v>本轮独立来源库保留该已知条款，但尚未建立可核验的正式场景映射；不是无业务依据，也不转为产品待确认。</x:v>
      </x:c>
    </x:row>
    <x:row r="324" ht="44" customHeight="1">
      <x:c r="A324" s="4" t="str">
        <x:v>REQ-5efb27f48e7f</x:v>
      </x:c>
      <x:c r="B324" s="4" t="str">
        <x:v>数据与收益</x:v>
      </x:c>
      <x:c r="C324" s="4" t="n">
        <x:v>2187</x:v>
      </x:c>
      <x:c r="D324" s="4" t="str">
        <x:v>有效天标记：日数据时长旁 ✓ 表示当日满 3 小时有效直播，! 表示未达标。</x:v>
      </x:c>
      <x:c r="E324" s="4" t="str">
        <x:v>整段分支核验未闭合</x:v>
      </x:c>
      <x:c r="F324" s="4" t="str">
        <x:v>GUILD-0284、GUILD-0285、GUILD-0286</x:v>
      </x:c>
      <x:c r="G324" s="4" t="str">
        <x:v>本段剩余子句、条件组合及状态后续影响仍需与独立规则逐项闭合；这是生成覆盖缺口，不是产品决策缺失。</x:v>
      </x:c>
    </x:row>
    <x:row r="325" ht="44" customHeight="1">
      <x:c r="A325" s="4" t="str">
        <x:v>REQ-3ea539e255fe</x:v>
      </x:c>
      <x:c r="B325" s="4" t="str">
        <x:v>数据与收益</x:v>
      </x:c>
      <x:c r="C325" s="4" t="n">
        <x:v>2188</x:v>
      </x:c>
      <x:c r="D325" s="4" t="str">
        <x:v>新增粉丝：对应日或月新增关注人数，不扣除取关，单位为人。</x:v>
      </x:c>
      <x:c r="E325" s="4" t="str">
        <x:v>整段分支核验未闭合</x:v>
      </x:c>
      <x:c r="F325" s="4" t="str">
        <x:v>GUILD-0142</x:v>
      </x:c>
      <x:c r="G325" s="4" t="str">
        <x:v>本段剩余子句、条件组合及状态后续影响仍需与独立规则逐项闭合；这是生成覆盖缺口，不是产品决策缺失。</x:v>
      </x:c>
    </x:row>
    <x:row r="326" ht="44" customHeight="1">
      <x:c r="A326" s="4" t="str">
        <x:v>REQ-77a6dcfb012c</x:v>
      </x:c>
      <x:c r="B326" s="4" t="str">
        <x:v>数据与收益</x:v>
      </x:c>
      <x:c r="C326" s="4" t="n">
        <x:v>2189</x:v>
      </x:c>
      <x:c r="D326" s="4" t="str">
        <x:v>收益（金币）：对应日或月主播收益金币，不是分成金额。</x:v>
      </x:c>
      <x:c r="E326" s="4" t="str">
        <x:v>尚未建立场景映射</x:v>
      </x:c>
      <x:c r="F326" s="4" t="str"/>
      <x:c r="G326" s="4" t="str">
        <x:v>本轮独立来源库保留该已知条款，但尚未建立可核验的正式场景映射；不是无业务依据，也不转为产品待确认。</x:v>
      </x:c>
    </x:row>
    <x:row r="327" ht="44" customHeight="1">
      <x:c r="A327" s="4" t="str">
        <x:v>REQ-a400bf162d15</x:v>
      </x:c>
      <x:c r="B327" s="4" t="str">
        <x:v>数据与收益</x:v>
      </x:c>
      <x:c r="C327" s="4" t="n">
        <x:v>2190</x:v>
      </x:c>
      <x:c r="D327" s="4" t="str">
        <x:v>点击日或月数据行 -&gt; 进入「直播记录」，带入主播和对应日期或月份。</x:v>
      </x:c>
      <x:c r="E327" s="4" t="str">
        <x:v>整段分支核验未闭合</x:v>
      </x:c>
      <x:c r="F327" s="4" t="str">
        <x:v>GUILD-0287、GUILD-0288</x:v>
      </x:c>
      <x:c r="G327" s="4" t="str">
        <x:v>本段剩余子句、条件组合及状态后续影响仍需与独立规则逐项闭合；这是生成覆盖缺口，不是产品决策缺失。</x:v>
      </x:c>
    </x:row>
    <x:row r="328" ht="44" customHeight="1">
      <x:c r="A328" s="4" t="str">
        <x:v>REQ-2a2648300690</x:v>
      </x:c>
      <x:c r="B328" s="4" t="str">
        <x:v>数据与收益</x:v>
      </x:c>
      <x:c r="C328" s="4" t="n">
        <x:v>2191</x:v>
      </x:c>
      <x:c r="D328" s="4" t="str">
        <x:v>点击主页入口 -&gt; 进入主播详情。</x:v>
      </x:c>
      <x:c r="E328" s="4" t="str">
        <x:v>整段分支核验未闭合</x:v>
      </x:c>
      <x:c r="F328" s="4" t="str">
        <x:v>GUILD-0025</x:v>
      </x:c>
      <x:c r="G328" s="4" t="str">
        <x:v>本段剩余子句、条件组合及状态后续影响仍需与独立规则逐项闭合；这是生成覆盖缺口，不是产品决策缺失。</x:v>
      </x:c>
    </x:row>
    <x:row r="329" ht="44" customHeight="1">
      <x:c r="A329" s="4" t="str">
        <x:v>REQ-470abdcad474</x:v>
      </x:c>
      <x:c r="B329" s="4" t="str">
        <x:v>数据与收益</x:v>
      </x:c>
      <x:c r="C329" s="4" t="n">
        <x:v>2192</x:v>
      </x:c>
      <x:c r="D329" s="4" t="str">
        <x:v>新增粉丝是新增关注人数，为非负数；取消关注不扣减新增粉丝。</x:v>
      </x:c>
      <x:c r="E329" s="4" t="str">
        <x:v>整段分支核验未闭合</x:v>
      </x:c>
      <x:c r="F329" s="4" t="str">
        <x:v>GUILD-0142</x:v>
      </x:c>
      <x:c r="G329" s="4" t="str">
        <x:v>本段剩余子句、条件组合及状态后续影响仍需与独立规则逐项闭合；这是生成覆盖缺口，不是产品决策缺失。</x:v>
      </x:c>
    </x:row>
    <x:row r="330" ht="44" customHeight="1">
      <x:c r="A330" s="4" t="str">
        <x:v>REQ-8614a441253f</x:v>
      </x:c>
      <x:c r="B330" s="4" t="str">
        <x:v>主播管理</x:v>
      </x:c>
      <x:c r="C330" s="4" t="n">
        <x:v>2196</x:v>
      </x:c>
      <x:c r="D330" s="4" t="str">
        <x:v>头像 / 名称：当前主播账号头像和名称。</x:v>
      </x:c>
      <x:c r="E330" s="4" t="str">
        <x:v>整段分支核验未闭合</x:v>
      </x:c>
      <x:c r="F330" s="4" t="str">
        <x:v>GUILD-0179</x:v>
      </x:c>
      <x:c r="G330" s="4" t="str">
        <x:v>本段剩余子句、条件组合及状态后续影响仍需与独立规则逐项闭合；这是生成覆盖缺口，不是产品决策缺失。</x:v>
      </x:c>
    </x:row>
    <x:row r="331" ht="44" customHeight="1">
      <x:c r="A331" s="4" t="str">
        <x:v>REQ-0645b37a4b08</x:v>
      </x:c>
      <x:c r="B331" s="4" t="str">
        <x:v>主播管理</x:v>
      </x:c>
      <x:c r="C331" s="4" t="n">
        <x:v>2197</x:v>
      </x:c>
      <x:c r="D331" s="4" t="str">
        <x:v>主播 ID：主播账号唯一标识。</x:v>
      </x:c>
      <x:c r="E331" s="4" t="str">
        <x:v>整段分支核验未闭合</x:v>
      </x:c>
      <x:c r="F331" s="4" t="str">
        <x:v>GUILD-0180</x:v>
      </x:c>
      <x:c r="G331" s="4" t="str">
        <x:v>本段剩余子句、条件组合及状态后续影响仍需与独立规则逐项闭合；这是生成覆盖缺口，不是产品决策缺失。</x:v>
      </x:c>
    </x:row>
    <x:row r="332" ht="44" customHeight="1">
      <x:c r="A332" s="4" t="str">
        <x:v>REQ-6e33633dfb70</x:v>
      </x:c>
      <x:c r="B332" s="4" t="str">
        <x:v>主播管理</x:v>
      </x:c>
      <x:c r="C332" s="4" t="n">
        <x:v>2198</x:v>
      </x:c>
      <x:c r="D332" s="4" t="str">
        <x:v>主播等级：按后台主播等级累计门槛匹配分成前收益，不含运营号金币，与财富等级分开。</x:v>
      </x:c>
      <x:c r="E332" s="4" t="str">
        <x:v>尚未建立场景映射</x:v>
      </x:c>
      <x:c r="F332" s="4" t="str"/>
      <x:c r="G332" s="4" t="str">
        <x:v>本轮独立来源库保留该已知条款，但尚未建立可核验的正式场景映射；不是无业务依据，也不转为产品待确认。</x:v>
      </x:c>
    </x:row>
    <x:row r="333" ht="44" customHeight="1">
      <x:c r="A333" s="4" t="str">
        <x:v>REQ-6f77f98b5fc5</x:v>
      </x:c>
      <x:c r="B333" s="4" t="str">
        <x:v>主播管理</x:v>
      </x:c>
      <x:c r="C333" s="4" t="n">
        <x:v>2199</x:v>
      </x:c>
      <x:c r="D333" s="4" t="str">
        <x:v>退会标记：已退会显示【退会】，不显示管理入口。</x:v>
      </x:c>
      <x:c r="E333" s="4" t="str">
        <x:v>整段分支核验未闭合</x:v>
      </x:c>
      <x:c r="F333" s="4" t="str">
        <x:v>GUILD-0217</x:v>
      </x:c>
      <x:c r="G333" s="4" t="str">
        <x:v>本段剩余子句、条件组合及状态后续影响仍需与独立规则逐项闭合；这是生成覆盖缺口，不是产品决策缺失。</x:v>
      </x:c>
    </x:row>
    <x:row r="334" ht="44" customHeight="1">
      <x:c r="A334" s="4" t="str">
        <x:v>REQ-03a9aa5421c2</x:v>
      </x:c>
      <x:c r="B334" s="4" t="str">
        <x:v>主播管理</x:v>
      </x:c>
      <x:c r="C334" s="4" t="n">
        <x:v>2200</x:v>
      </x:c>
      <x:c r="D334" s="4" t="str">
        <x:v>姓名 / 电话：主播认证时提交的姓名和联系电话。</x:v>
      </x:c>
      <x:c r="E334" s="4" t="str">
        <x:v>整段分支核验未闭合</x:v>
      </x:c>
      <x:c r="F334" s="4" t="str">
        <x:v>GUILD-0181、GUILD-0182</x:v>
      </x:c>
      <x:c r="G334" s="4" t="str">
        <x:v>本段剩余子句、条件组合及状态后续影响仍需与独立规则逐项闭合；这是生成覆盖缺口，不是产品决策缺失。</x:v>
      </x:c>
    </x:row>
    <x:row r="335" ht="44" customHeight="1">
      <x:c r="A335" s="4" t="str">
        <x:v>REQ-317007b56c63</x:v>
      </x:c>
      <x:c r="B335" s="4" t="str">
        <x:v>主播管理</x:v>
      </x:c>
      <x:c r="C335" s="4" t="n">
        <x:v>2201</x:v>
      </x:c>
      <x:c r="D335" s="4" t="str">
        <x:v>本人照片 / 证件正反面：认证图片，可分别查看大图。</x:v>
      </x:c>
      <x:c r="E335" s="4" t="str">
        <x:v>整段分支核验未闭合</x:v>
      </x:c>
      <x:c r="F335" s="4" t="str">
        <x:v>GUILD-0275、GUILD-0276、GUILD-0277</x:v>
      </x:c>
      <x:c r="G335" s="4" t="str">
        <x:v>本段剩余子句、条件组合及状态后续影响仍需与独立规则逐项闭合；这是生成覆盖缺口，不是产品决策缺失。</x:v>
      </x:c>
    </x:row>
    <x:row r="336" ht="72" customHeight="1">
      <x:c r="A336" s="4" t="str">
        <x:v>REQ-57c9a3ba03a1</x:v>
      </x:c>
      <x:c r="B336" s="4" t="str">
        <x:v>主播管理</x:v>
      </x:c>
      <x:c r="C336" s="4" t="n">
        <x:v>2202</x:v>
      </x:c>
      <x:c r="D336" s="4" t="str">
        <x:v>直播权限：当前公会侧直播权限开关；平台锁定或已退会时不可修改。</x:v>
      </x:c>
      <x:c r="E336" s="4" t="str">
        <x:v>整段分支核验未闭合</x:v>
      </x:c>
      <x:c r="F336" s="4" t="str">
        <x:v>GUILD-0007、GUILD-0008、GUILD-0009、GUILD-0010、GUILD-0011、GUILD-0012、GUILD-0013、GUILD-0014、GUILD-0015、GUILD-0016</x:v>
      </x:c>
      <x:c r="G336" s="4" t="str">
        <x:v>本段剩余子句、条件组合及状态后续影响仍需与独立规则逐项闭合；这是生成覆盖缺口，不是产品决策缺失。</x:v>
      </x:c>
    </x:row>
    <x:row r="337" ht="72" customHeight="1">
      <x:c r="A337" s="4" t="str">
        <x:v>REQ-5b2794c3a2dd</x:v>
      </x:c>
      <x:c r="B337" s="4" t="str">
        <x:v>主播管理</x:v>
      </x:c>
      <x:c r="C337" s="4" t="n">
        <x:v>2203</x:v>
      </x:c>
      <x:c r="D337" s="4" t="str">
        <x:v>权限已锁定：平台限制当前公会操作时显示。</x:v>
      </x:c>
      <x:c r="E337" s="4" t="str">
        <x:v>整段分支核验未闭合</x:v>
      </x:c>
      <x:c r="F337" s="4" t="str">
        <x:v>GUILD-0007、GUILD-0008、GUILD-0009、GUILD-0010、GUILD-0011、GUILD-0012、GUILD-0013、GUILD-0014、GUILD-0015、GUILD-0016</x:v>
      </x:c>
      <x:c r="G337" s="4" t="str">
        <x:v>本段剩余子句、条件组合及状态后续影响仍需与独立规则逐项闭合；这是生成覆盖缺口，不是产品决策缺失。</x:v>
      </x:c>
    </x:row>
    <x:row r="338" ht="44" customHeight="1">
      <x:c r="A338" s="4" t="str">
        <x:v>REQ-c38fd8665271</x:v>
      </x:c>
      <x:c r="B338" s="4" t="str">
        <x:v>主播管理</x:v>
      </x:c>
      <x:c r="C338" s="4" t="n">
        <x:v>2204</x:v>
      </x:c>
      <x:c r="D338" s="4" t="str">
        <x:v>移出公会：结束当前直播并解除公会关系，收益归属截止至移出时间。</x:v>
      </x:c>
      <x:c r="E338" s="4" t="str">
        <x:v>整段分支核验未闭合</x:v>
      </x:c>
      <x:c r="F338" s="4" t="str">
        <x:v>GUILD-0015</x:v>
      </x:c>
      <x:c r="G338" s="4" t="str">
        <x:v>本段剩余子句、条件组合及状态后续影响仍需与独立规则逐项闭合；这是生成覆盖缺口，不是产品决策缺失。</x:v>
      </x:c>
    </x:row>
    <x:row r="339" ht="44" customHeight="1">
      <x:c r="A339" s="4" t="str">
        <x:v>REQ-01e670797f57</x:v>
      </x:c>
      <x:c r="B339" s="4" t="str">
        <x:v>主播管理</x:v>
      </x:c>
      <x:c r="C339" s="4" t="n">
        <x:v>2205</x:v>
      </x:c>
      <x:c r="D339" s="4" t="str">
        <x:v>申请类型 / 状态：加入或退出申请及审核结果。</x:v>
      </x:c>
      <x:c r="E339" s="4" t="str">
        <x:v>尚未建立场景映射</x:v>
      </x:c>
      <x:c r="F339" s="4" t="str"/>
      <x:c r="G339" s="4" t="str">
        <x:v>本轮独立来源库保留该已知条款，但尚未建立可核验的正式场景映射；不是无业务依据，也不转为产品待确认。</x:v>
      </x:c>
    </x:row>
    <x:row r="340" ht="44" customHeight="1">
      <x:c r="A340" s="4" t="str">
        <x:v>REQ-39f4c81152d2</x:v>
      </x:c>
      <x:c r="B340" s="4" t="str">
        <x:v>主播管理</x:v>
      </x:c>
      <x:c r="C340" s="4" t="n">
        <x:v>2206</x:v>
      </x:c>
      <x:c r="D340" s="4" t="str">
        <x:v>申请时间：本次申请提交时间，按提交时间倒序展示。</x:v>
      </x:c>
      <x:c r="E340" s="4" t="str">
        <x:v>整段分支核验未闭合</x:v>
      </x:c>
      <x:c r="F340" s="4" t="str">
        <x:v>GUILD-0183、GUILD-0230</x:v>
      </x:c>
      <x:c r="G340" s="4" t="str">
        <x:v>本段剩余子句、条件组合及状态后续影响仍需与独立规则逐项闭合；这是生成覆盖缺口，不是产品决策缺失。</x:v>
      </x:c>
    </x:row>
    <x:row r="341" ht="72" customHeight="1">
      <x:c r="A341" s="4" t="str">
        <x:v>REQ-d2a5c66939bd</x:v>
      </x:c>
      <x:c r="B341" s="4" t="str">
        <x:v>主播管理</x:v>
      </x:c>
      <x:c r="C341" s="4" t="n">
        <x:v>2207</x:v>
      </x:c>
      <x:c r="D341" s="4" t="str">
        <x:v>审核节点 / 时间：公会审核、平台审核及各自处理时间；按申请类型显示。</x:v>
      </x:c>
      <x:c r="E341" s="4" t="str">
        <x:v>整段分支核验未闭合</x:v>
      </x:c>
      <x:c r="F341" s="4" t="str">
        <x:v>GUILD-0007、GUILD-0008、GUILD-0009、GUILD-0010、GUILD-0011、GUILD-0012、GUILD-0013、GUILD-0014、GUILD-0015、GUILD-0016</x:v>
      </x:c>
      <x:c r="G341" s="4" t="str">
        <x:v>本段剩余子句、条件组合及状态后续影响仍需与独立规则逐项闭合；这是生成覆盖缺口，不是产品决策缺失。</x:v>
      </x:c>
    </x:row>
    <x:row r="342" ht="44" customHeight="1">
      <x:c r="A342" s="4" t="str">
        <x:v>REQ-b8c06507c5bf</x:v>
      </x:c>
      <x:c r="B342" s="4" t="str">
        <x:v>主播管理</x:v>
      </x:c>
      <x:c r="C342" s="4" t="n">
        <x:v>2208</x:v>
      </x:c>
      <x:c r="D342" s="4" t="str">
        <x:v>申请原因 / 驳回原因：显示本次申请和驳回时填写内容。</x:v>
      </x:c>
      <x:c r="E342" s="4" t="str">
        <x:v>尚未建立场景映射</x:v>
      </x:c>
      <x:c r="F342" s="4" t="str"/>
      <x:c r="G342" s="4" t="str">
        <x:v>本轮独立来源库保留该已知条款，但尚未建立可核验的正式场景映射；不是无业务依据，也不转为产品待确认。</x:v>
      </x:c>
    </x:row>
    <x:row r="343" ht="44" customHeight="1">
      <x:c r="A343" s="4" t="str">
        <x:v>REQ-08945282e23d</x:v>
      </x:c>
      <x:c r="B343" s="4" t="str">
        <x:v>主播管理</x:v>
      </x:c>
      <x:c r="C343" s="4" t="n">
        <x:v>2209</x:v>
      </x:c>
      <x:c r="D343" s="4" t="str">
        <x:v>粉丝数：当前关注该主播的人数，不是周期新增粉丝累计。</x:v>
      </x:c>
      <x:c r="E343" s="4" t="str">
        <x:v>整段分支核验未闭合</x:v>
      </x:c>
      <x:c r="F343" s="4" t="str">
        <x:v>GUILD-0278</x:v>
      </x:c>
      <x:c r="G343" s="4" t="str">
        <x:v>本段剩余子句、条件组合及状态后续影响仍需与独立规则逐项闭合；这是生成覆盖缺口，不是产品决策缺失。</x:v>
      </x:c>
    </x:row>
    <x:row r="344" ht="44" customHeight="1">
      <x:c r="A344" s="4" t="str">
        <x:v>REQ-70ca27a17af9</x:v>
      </x:c>
      <x:c r="B344" s="4" t="str">
        <x:v>主播管理</x:v>
      </x:c>
      <x:c r="C344" s="4" t="n">
        <x:v>2210</x:v>
      </x:c>
      <x:c r="D344" s="4" t="str">
        <x:v>总收益：当前主播历史直播间计入收益的礼物金币总和。</x:v>
      </x:c>
      <x:c r="E344" s="4" t="str">
        <x:v>整段分支核验未闭合</x:v>
      </x:c>
      <x:c r="F344" s="4" t="str">
        <x:v>GUILD-0238</x:v>
      </x:c>
      <x:c r="G344" s="4" t="str">
        <x:v>本段剩余子句、条件组合及状态后续影响仍需与独立规则逐项闭合；这是生成覆盖缺口，不是产品决策缺失。</x:v>
      </x:c>
    </x:row>
    <x:row r="345" ht="44" customHeight="1">
      <x:c r="A345" s="4" t="str">
        <x:v>REQ-71267e7ac9bf</x:v>
      </x:c>
      <x:c r="B345" s="4" t="str">
        <x:v>主播管理</x:v>
      </x:c>
      <x:c r="C345" s="4" t="n">
        <x:v>2211</x:v>
      </x:c>
      <x:c r="D345" s="4" t="str">
        <x:v>直播次数：累计完成的直播场次数。</x:v>
      </x:c>
      <x:c r="E345" s="4" t="str">
        <x:v>整段分支核验未闭合</x:v>
      </x:c>
      <x:c r="F345" s="4" t="str">
        <x:v>GUILD-0279</x:v>
      </x:c>
      <x:c r="G345" s="4" t="str">
        <x:v>本段剩余子句、条件组合及状态后续影响仍需与独立规则逐项闭合；这是生成覆盖缺口，不是产品决策缺失。</x:v>
      </x:c>
    </x:row>
    <x:row r="346" ht="44" customHeight="1">
      <x:c r="A346" s="4" t="str">
        <x:v>REQ-32a21ffeb6ce</x:v>
      </x:c>
      <x:c r="B346" s="4" t="str">
        <x:v>主播管理</x:v>
      </x:c>
      <x:c r="C346" s="4" t="n">
        <x:v>2212</x:v>
      </x:c>
      <x:c r="D346" s="4" t="str">
        <x:v>直播时长：全部已完成直播场次时长总和。</x:v>
      </x:c>
      <x:c r="E346" s="4" t="str">
        <x:v>整段分支核验未闭合</x:v>
      </x:c>
      <x:c r="F346" s="4" t="str">
        <x:v>GUILD-0280</x:v>
      </x:c>
      <x:c r="G346" s="4" t="str">
        <x:v>本段剩余子句、条件组合及状态后续影响仍需与独立规则逐项闭合；这是生成覆盖缺口，不是产品决策缺失。</x:v>
      </x:c>
    </x:row>
    <x:row r="347" ht="44" customHeight="1">
      <x:c r="A347" s="4" t="str">
        <x:v>REQ-8fd5344097e4</x:v>
      </x:c>
      <x:c r="B347" s="4" t="str">
        <x:v>主播管理</x:v>
      </x:c>
      <x:c r="C347" s="4" t="n">
        <x:v>2213</x:v>
      </x:c>
      <x:c r="D347" s="4" t="str">
        <x:v>累计违规：直播间违规和账号违规记录总数。</x:v>
      </x:c>
      <x:c r="E347" s="4" t="str">
        <x:v>整段分支核验未闭合</x:v>
      </x:c>
      <x:c r="F347" s="4" t="str">
        <x:v>GUILD-0281</x:v>
      </x:c>
      <x:c r="G347" s="4" t="str">
        <x:v>本段剩余子句、条件组合及状态后续影响仍需与独立规则逐项闭合；这是生成覆盖缺口，不是产品决策缺失。</x:v>
      </x:c>
    </x:row>
    <x:row r="348" ht="72" customHeight="1">
      <x:c r="A348" s="4" t="str">
        <x:v>REQ-44352c936b14</x:v>
      </x:c>
      <x:c r="B348" s="4" t="str">
        <x:v>主播管理</x:v>
      </x:c>
      <x:c r="C348" s="4" t="n">
        <x:v>2214</x:v>
      </x:c>
      <x:c r="D348" s="4" t="str">
        <x:v>开播需满足账号可用、公会有效、主播认证通过和最终直播权限开启。平台关闭时最终关闭；平台开启且未锁定时采用公会开关；平台开启且锁定时最终开启，公会开关只读并跟随平台；解锁恢复锁定前公会设定并重新计算。</x:v>
      </x:c>
      <x:c r="E348" s="4" t="str">
        <x:v>整段分支核验未闭合</x:v>
      </x:c>
      <x:c r="F348" s="4" t="str">
        <x:v>GUILD-0007、GUILD-0008、GUILD-0009、GUILD-0010、GUILD-0011、GUILD-0012、GUILD-0013、GUILD-0014、GUILD-0015、GUILD-0016</x:v>
      </x:c>
      <x:c r="G348" s="4" t="str">
        <x:v>本段剩余子句、条件组合及状态后续影响仍需与独立规则逐项闭合；这是生成覆盖缺口，不是产品决策缺失。</x:v>
      </x:c>
    </x:row>
    <x:row r="349" ht="72" customHeight="1">
      <x:c r="A349" s="4" t="str">
        <x:v>REQ-3a054fa514c9</x:v>
      </x:c>
      <x:c r="B349" s="4" t="str">
        <x:v>主播管理</x:v>
      </x:c>
      <x:c r="C349" s="4" t="n">
        <x:v>2215</x:v>
      </x:c>
      <x:c r="D349" s="4" t="str">
        <x:v>平台锁定公会管理权限时，公会直播权限开关只读；解除锁定后恢复锁定前设置。</x:v>
      </x:c>
      <x:c r="E349" s="4" t="str">
        <x:v>整段分支核验未闭合</x:v>
      </x:c>
      <x:c r="F349" s="4" t="str">
        <x:v>GUILD-0007、GUILD-0008、GUILD-0009、GUILD-0010、GUILD-0011、GUILD-0012、GUILD-0013、GUILD-0014、GUILD-0015、GUILD-0016</x:v>
      </x:c>
      <x:c r="G349" s="4" t="str">
        <x:v>本段剩余子句、条件组合及状态后续影响仍需与独立规则逐项闭合；这是生成覆盖缺口，不是产品决策缺失。</x:v>
      </x:c>
    </x:row>
    <x:row r="350" ht="57" customHeight="1">
      <x:c r="A350" s="4" t="str">
        <x:v>REQ-5b67d7facca5</x:v>
      </x:c>
      <x:c r="B350" s="4" t="str">
        <x:v>主播管理</x:v>
      </x:c>
      <x:c r="C350" s="4" t="n">
        <x:v>2216</x:v>
      </x:c>
      <x:c r="D350" s="4" t="str">
        <x:v>关闭正在直播主播的权限 -&gt; 二次确认后立即结束当前直播，并禁止再次开播。</x:v>
      </x:c>
      <x:c r="E350" s="4" t="str">
        <x:v>整段分支核验未闭合</x:v>
      </x:c>
      <x:c r="F350" s="4" t="str">
        <x:v>GUILD-0007、GUILD-0008、GUILD-0009、GUILD-0010、GUILD-0011、GUILD-0012、GUILD-0013、GUILD-0014、GUILD-0016</x:v>
      </x:c>
      <x:c r="G350" s="4" t="str">
        <x:v>本段剩余子句、条件组合及状态后续影响仍需与独立规则逐项闭合；这是生成覆盖缺口，不是产品决策缺失。</x:v>
      </x:c>
    </x:row>
    <x:row r="351" ht="44" customHeight="1">
      <x:c r="A351" s="4" t="str">
        <x:v>REQ-cc2e01100f18</x:v>
      </x:c>
      <x:c r="B351" s="4" t="str">
        <x:v>主播管理</x:v>
      </x:c>
      <x:c r="C351" s="4" t="n">
        <x:v>2217</x:v>
      </x:c>
      <x:c r="D351" s="4" t="str">
        <x:v>存在未结清收益时移出公会按钮置灰；确认移出后结束当前直播并解除公会关系。</x:v>
      </x:c>
      <x:c r="E351" s="4" t="str">
        <x:v>整段分支核验未闭合</x:v>
      </x:c>
      <x:c r="F351" s="4" t="str">
        <x:v>GUILD-0015、GUILD-0216</x:v>
      </x:c>
      <x:c r="G351" s="4" t="str">
        <x:v>本段剩余子句、条件组合及状态后续影响仍需与独立规则逐项闭合；这是生成覆盖缺口，不是产品决策缺失。</x:v>
      </x:c>
    </x:row>
    <x:row r="352" ht="44" customHeight="1">
      <x:c r="A352" s="4" t="str">
        <x:v>REQ-bcccb9b4d7e1</x:v>
      </x:c>
      <x:c r="B352" s="4" t="str">
        <x:v>主播管理</x:v>
      </x:c>
      <x:c r="C352" s="4" t="n">
        <x:v>2218</x:v>
      </x:c>
      <x:c r="D352" s="4" t="str">
        <x:v>点击业绩 -&gt; 进入「主播数据」；点击认证材料 -&gt; 查看大图；管理操作均需确认。</x:v>
      </x:c>
      <x:c r="E352" s="4" t="str">
        <x:v>整段分支核验未闭合</x:v>
      </x:c>
      <x:c r="F352" s="4" t="str">
        <x:v>GUILD-0026、GUILD-0275、GUILD-0276、GUILD-0277</x:v>
      </x:c>
      <x:c r="G352" s="4" t="str">
        <x:v>本段剩余子句、条件组合及状态后续影响仍需与独立规则逐项闭合；这是生成覆盖缺口，不是产品决策缺失。</x:v>
      </x:c>
    </x:row>
    <x:row r="353" ht="44" customHeight="1">
      <x:c r="A353" s="4" t="str">
        <x:v>REQ-e47c32840ee5</x:v>
      </x:c>
      <x:c r="B353" s="4" t="str">
        <x:v>主播管理</x:v>
      </x:c>
      <x:c r="C353" s="4" t="n">
        <x:v>2219</x:v>
      </x:c>
      <x:c r="D353" s="4" t="str">
        <x:v>粉丝数取当前关注该主播的用户人数，不使用周期涨粉汇总代替。</x:v>
      </x:c>
      <x:c r="E353" s="4" t="str">
        <x:v>整段分支核验未闭合</x:v>
      </x:c>
      <x:c r="F353" s="4" t="str">
        <x:v>GUILD-0278</x:v>
      </x:c>
      <x:c r="G353" s="4" t="str">
        <x:v>本段剩余子句、条件组合及状态后续影响仍需与独立规则逐项闭合；这是生成覆盖缺口，不是产品决策缺失。</x:v>
      </x:c>
    </x:row>
    <x:row r="354" ht="44" customHeight="1">
      <x:c r="A354" s="4" t="str">
        <x:v>REQ-d52ad9ab7260</x:v>
      </x:c>
      <x:c r="B354" s="4" t="str">
        <x:v>主播管理</x:v>
      </x:c>
      <x:c r="C354" s="4" t="n">
        <x:v>2220</x:v>
      </x:c>
      <x:c r="D354" s="4" t="str">
        <x:v>存在未结清收益时禁止移出主播；</x:v>
      </x:c>
      <x:c r="E354" s="4" t="str">
        <x:v>整段分支核验未闭合</x:v>
      </x:c>
      <x:c r="F354" s="4" t="str">
        <x:v>GUILD-0216</x:v>
      </x:c>
      <x:c r="G354" s="4" t="str">
        <x:v>本段剩余子句、条件组合及状态后续影响仍需与独立规则逐项闭合；这是生成覆盖缺口，不是产品决策缺失。</x:v>
      </x:c>
    </x:row>
    <x:row r="355" ht="44" customHeight="1">
      <x:c r="A355" s="4" t="str">
        <x:v>REQ-c875529c79de</x:v>
      </x:c>
      <x:c r="B355" s="4" t="str">
        <x:v>运营管理</x:v>
      </x:c>
      <x:c r="C355" s="4" t="n">
        <x:v>2224</x:v>
      </x:c>
      <x:c r="D355" s="4" t="str">
        <x:v>日期范围：按当前筛选起止日期统计，包含开始日和结束日；随快捷日期或自定义日期更新。</x:v>
      </x:c>
      <x:c r="E355" s="4" t="str">
        <x:v>整段分支核验未闭合</x:v>
      </x:c>
      <x:c r="F355" s="4" t="str">
        <x:v>GUILD-0119、GUILD-0120、GUILD-0121</x:v>
      </x:c>
      <x:c r="G355" s="4" t="str">
        <x:v>本段剩余子句、条件组合及状态后续影响仍需与独立规则逐项闭合；这是生成覆盖缺口，不是产品决策缺失。</x:v>
      </x:c>
    </x:row>
    <x:row r="356" ht="44" customHeight="1">
      <x:c r="A356" s="4" t="str">
        <x:v>REQ-6bb0d557d199</x:v>
      </x:c>
      <x:c r="B356" s="4" t="str">
        <x:v>运营管理</x:v>
      </x:c>
      <x:c r="C356" s="4" t="n">
        <x:v>2225</x:v>
      </x:c>
      <x:c r="D356" s="4" t="str">
        <x:v>快捷日期：本周、本月、自定义，默认本月；按发送时间筛选。</x:v>
      </x:c>
      <x:c r="E356" s="4" t="str">
        <x:v>整段分支核验未闭合</x:v>
      </x:c>
      <x:c r="F356" s="4" t="str">
        <x:v>GUILD-0307</x:v>
      </x:c>
      <x:c r="G356" s="4" t="str">
        <x:v>本段剩余子句、条件组合及状态后续影响仍需与独立规则逐项闭合；这是生成覆盖缺口，不是产品决策缺失。</x:v>
      </x:c>
    </x:row>
    <x:row r="357" ht="44" customHeight="1">
      <x:c r="A357" s="4" t="str">
        <x:v>REQ-77b1cd84565d</x:v>
      </x:c>
      <x:c r="B357" s="4" t="str">
        <x:v>运营管理</x:v>
      </x:c>
      <x:c r="C357" s="4" t="n">
        <x:v>2226</x:v>
      </x:c>
      <x:c r="D357" s="4" t="str">
        <x:v>发送对象：全体主播，或指定主播名称和主播 ID。</x:v>
      </x:c>
      <x:c r="E357" s="4" t="str">
        <x:v>尚未建立场景映射</x:v>
      </x:c>
      <x:c r="F357" s="4" t="str"/>
      <x:c r="G357" s="4" t="str">
        <x:v>本轮独立来源库保留该已知条款，但尚未建立可核验的正式场景映射；不是无业务依据，也不转为产品待确认。</x:v>
      </x:c>
    </x:row>
    <x:row r="358" ht="44" customHeight="1">
      <x:c r="A358" s="4" t="str">
        <x:v>REQ-e8126dadbd4a</x:v>
      </x:c>
      <x:c r="B358" s="4" t="str">
        <x:v>运营管理</x:v>
      </x:c>
      <x:c r="C358" s="4" t="n">
        <x:v>2227</x:v>
      </x:c>
      <x:c r="D358" s="4" t="str">
        <x:v>发送时间：本次消息实际发送时间。</x:v>
      </x:c>
      <x:c r="E358" s="4" t="str">
        <x:v>整段分支核验未闭合</x:v>
      </x:c>
      <x:c r="F358" s="4" t="str">
        <x:v>GUILD-0184</x:v>
      </x:c>
      <x:c r="G358" s="4" t="str">
        <x:v>本段剩余子句、条件组合及状态后续影响仍需与独立规则逐项闭合；这是生成覆盖缺口，不是产品决策缺失。</x:v>
      </x:c>
    </x:row>
    <x:row r="359" ht="44" customHeight="1">
      <x:c r="A359" s="4" t="str">
        <x:v>REQ-ac1a81a4ddc2</x:v>
      </x:c>
      <x:c r="B359" s="4" t="str">
        <x:v>运营管理</x:v>
      </x:c>
      <x:c r="C359" s="4" t="n">
        <x:v>2228</x:v>
      </x:c>
      <x:c r="D359" s="4" t="str">
        <x:v>消息摘要：发送文字，超出卡片可见长度截断。</x:v>
      </x:c>
      <x:c r="E359" s="4" t="str">
        <x:v>尚未建立场景映射</x:v>
      </x:c>
      <x:c r="F359" s="4" t="str"/>
      <x:c r="G359" s="4" t="str">
        <x:v>本轮独立来源库保留该已知条款，但尚未建立可核验的正式场景映射；不是无业务依据，也不转为产品待确认。</x:v>
      </x:c>
    </x:row>
    <x:row r="360" ht="44" customHeight="1">
      <x:c r="A360" s="4" t="str">
        <x:v>REQ-58ccf650f17f</x:v>
      </x:c>
      <x:c r="B360" s="4" t="str">
        <x:v>运营管理</x:v>
      </x:c>
      <x:c r="C360" s="4" t="n">
        <x:v>2229</x:v>
      </x:c>
      <x:c r="D360" s="4" t="str">
        <x:v>记录数量：当前筛选条件下的发送记录条数。</x:v>
      </x:c>
      <x:c r="E360" s="4" t="str">
        <x:v>尚未建立场景映射</x:v>
      </x:c>
      <x:c r="F360" s="4" t="str"/>
      <x:c r="G360" s="4" t="str">
        <x:v>本轮独立来源库保留该已知条款，但尚未建立可核验的正式场景映射；不是无业务依据，也不转为产品待确认。</x:v>
      </x:c>
    </x:row>
    <x:row r="361" ht="44" customHeight="1">
      <x:c r="A361" s="4" t="str">
        <x:v>REQ-d9e45606a774</x:v>
      </x:c>
      <x:c r="B361" s="4" t="str">
        <x:v>运营管理</x:v>
      </x:c>
      <x:c r="C361" s="4" t="n">
        <x:v>2230</x:v>
      </x:c>
      <x:c r="D361" s="4" t="str">
        <x:v>新建 -&gt; 进入发送页；点击消息记录 -&gt; 进入消息详情。</x:v>
      </x:c>
      <x:c r="E361" s="4" t="str">
        <x:v>整段分支核验未闭合</x:v>
      </x:c>
      <x:c r="F361" s="4" t="str">
        <x:v>GUILD-0027</x:v>
      </x:c>
      <x:c r="G361" s="4" t="str">
        <x:v>本段剩余子句、条件组合及状态后续影响仍需与独立规则逐项闭合；这是生成覆盖缺口，不是产品决策缺失。</x:v>
      </x:c>
    </x:row>
    <x:row r="362" ht="44" customHeight="1">
      <x:c r="A362" s="4" t="str">
        <x:v>REQ-61631c2a73b0</x:v>
      </x:c>
      <x:c r="B362" s="4" t="str">
        <x:v>运营管理</x:v>
      </x:c>
      <x:c r="C362" s="4" t="n">
        <x:v>2234</x:v>
      </x:c>
      <x:c r="D362" s="4" t="str">
        <x:v>对象类型：全体主播或指定 1 名当前公会主播。</x:v>
      </x:c>
      <x:c r="E362" s="4" t="str">
        <x:v>整段分支核验未闭合</x:v>
      </x:c>
      <x:c r="F362" s="4" t="str">
        <x:v>GUILD-0060</x:v>
      </x:c>
      <x:c r="G362" s="4" t="str">
        <x:v>本段剩余子句、条件组合及状态后续影响仍需与独立规则逐项闭合；这是生成覆盖缺口，不是产品决策缺失。</x:v>
      </x:c>
    </x:row>
    <x:row r="363" ht="44" customHeight="1">
      <x:c r="A363" s="4" t="str">
        <x:v>REQ-6e882aec84a0</x:v>
      </x:c>
      <x:c r="B363" s="4" t="str">
        <x:v>运营管理</x:v>
      </x:c>
      <x:c r="C363" s="4" t="n">
        <x:v>2235</x:v>
      </x:c>
      <x:c r="D363" s="4" t="str">
        <x:v>已选主播 / 接收人数：指定时回填所选主播；全体时显示预计接收人数，发送前再次确认。</x:v>
      </x:c>
      <x:c r="E363" s="4" t="str">
        <x:v>整段分支核验未闭合</x:v>
      </x:c>
      <x:c r="F363" s="4" t="str">
        <x:v>GUILD-0060、GUILD-0061</x:v>
      </x:c>
      <x:c r="G363" s="4" t="str">
        <x:v>本段剩余子句、条件组合及状态后续影响仍需与独立规则逐项闭合；这是生成覆盖缺口，不是产品决策缺失。</x:v>
      </x:c>
    </x:row>
    <x:row r="364" ht="44" customHeight="1">
      <x:c r="A364" s="4" t="str">
        <x:v>REQ-dfb0280c6c20</x:v>
      </x:c>
      <x:c r="B364" s="4" t="str">
        <x:v>运营管理</x:v>
      </x:c>
      <x:c r="C364" s="4" t="n">
        <x:v>2236</x:v>
      </x:c>
      <x:c r="D364" s="4" t="str">
        <x:v>文字内容 / 字数：必填，最多 500 字符，显示当前字数/500。</x:v>
      </x:c>
      <x:c r="E364" s="4" t="str">
        <x:v>整段分支核验未闭合</x:v>
      </x:c>
      <x:c r="F364" s="4" t="str">
        <x:v>GUILD-0052、GUILD-0053、GUILD-0054、GUILD-0055、GUILD-0056、GUILD-0060</x:v>
      </x:c>
      <x:c r="G364" s="4" t="str">
        <x:v>本段剩余子句、条件组合及状态后续影响仍需与独立规则逐项闭合；这是生成覆盖缺口，不是产品决策缺失。</x:v>
      </x:c>
    </x:row>
    <x:row r="365" ht="44" customHeight="1">
      <x:c r="A365" s="4" t="str">
        <x:v>REQ-e5b4036c1c77</x:v>
      </x:c>
      <x:c r="B365" s="4" t="str">
        <x:v>运营管理</x:v>
      </x:c>
      <x:c r="C365" s="4" t="n">
        <x:v>2237</x:v>
      </x:c>
      <x:c r="D365" s="4" t="str">
        <x:v>图片：选填，最多 1 张，支持 JPG、PNG、WebP，可预览和移除。</x:v>
      </x:c>
      <x:c r="E365" s="4" t="str">
        <x:v>整段分支核验未闭合</x:v>
      </x:c>
      <x:c r="F365" s="4" t="str">
        <x:v>GUILD-0057、GUILD-0058、GUILD-0059</x:v>
      </x:c>
      <x:c r="G365" s="4" t="str">
        <x:v>本段剩余子句、条件组合及状态后续影响仍需与独立规则逐项闭合；这是生成覆盖缺口，不是产品决策缺失。</x:v>
      </x:c>
    </x:row>
    <x:row r="366" ht="44" customHeight="1">
      <x:c r="A366" s="4" t="str">
        <x:v>REQ-b23c987807fa</x:v>
      </x:c>
      <x:c r="B366" s="4" t="str">
        <x:v>运营管理</x:v>
      </x:c>
      <x:c r="C366" s="4" t="n">
        <x:v>2238</x:v>
      </x:c>
      <x:c r="D366" s="4" t="str">
        <x:v>发送对象和内容按确认时快照生成记录；发送后不支持编辑或撤回。</x:v>
      </x:c>
      <x:c r="E366" s="4" t="str">
        <x:v>整段分支核验未闭合</x:v>
      </x:c>
      <x:c r="F366" s="4" t="str">
        <x:v>GUILD-0061、GUILD-0062、GUILD-0063、GUILD-0064</x:v>
      </x:c>
      <x:c r="G366" s="4" t="str">
        <x:v>本段剩余子句、条件组合及状态后续影响仍需与独立规则逐项闭合；这是生成覆盖缺口，不是产品决策缺失。</x:v>
      </x:c>
    </x:row>
    <x:row r="367" ht="44" customHeight="1">
      <x:c r="A367" s="4" t="str">
        <x:v>REQ-6caa3d6ba0bd</x:v>
      </x:c>
      <x:c r="B367" s="4" t="str">
        <x:v>运营管理</x:v>
      </x:c>
      <x:c r="C367" s="4" t="n">
        <x:v>2239</x:v>
      </x:c>
      <x:c r="D367" s="4" t="str">
        <x:v>发送 -&gt; 校验必填项 -&gt; 二次确认接收范围 -&gt; 生成记录并返回列表。</x:v>
      </x:c>
      <x:c r="E367" s="4" t="str">
        <x:v>整段分支核验未闭合</x:v>
      </x:c>
      <x:c r="F367" s="4" t="str">
        <x:v>GUILD-0052、GUILD-0053、GUILD-0054、GUILD-0055、GUILD-0056、GUILD-0061</x:v>
      </x:c>
      <x:c r="G367" s="4" t="str">
        <x:v>本段剩余子句、条件组合及状态后续影响仍需与独立规则逐项闭合；这是生成覆盖缺口，不是产品决策缺失。</x:v>
      </x:c>
    </x:row>
    <x:row r="368" ht="44" customHeight="1">
      <x:c r="A368" s="4" t="str">
        <x:v>REQ-72f407f193bf</x:v>
      </x:c>
      <x:c r="B368" s="4" t="str">
        <x:v>运营管理</x:v>
      </x:c>
      <x:c r="C368" s="4" t="n">
        <x:v>2243</x:v>
      </x:c>
      <x:c r="D368" s="4" t="str">
        <x:v>搜索：按当前公会主播名称或 ID 模糊匹配。</x:v>
      </x:c>
      <x:c r="E368" s="4" t="str">
        <x:v>整段分支核验未闭合</x:v>
      </x:c>
      <x:c r="F368" s="4" t="str">
        <x:v>GUILD-0065、GUILD-0066</x:v>
      </x:c>
      <x:c r="G368" s="4" t="str">
        <x:v>本段剩余子句、条件组合及状态后续影响仍需与独立规则逐项闭合；这是生成覆盖缺口，不是产品决策缺失。</x:v>
      </x:c>
    </x:row>
    <x:row r="369" ht="44" customHeight="1">
      <x:c r="A369" s="4" t="str">
        <x:v>REQ-ffef8c8a4d81</x:v>
      </x:c>
      <x:c r="B369" s="4" t="str">
        <x:v>运营管理</x:v>
      </x:c>
      <x:c r="C369" s="4" t="n">
        <x:v>2244</x:v>
      </x:c>
      <x:c r="D369" s="4" t="str">
        <x:v>主播数量：当前搜索结果人数。</x:v>
      </x:c>
      <x:c r="E369" s="4" t="str">
        <x:v>整段分支核验未闭合</x:v>
      </x:c>
      <x:c r="F369" s="4" t="str">
        <x:v>GUILD-0065、GUILD-0066</x:v>
      </x:c>
      <x:c r="G369" s="4" t="str">
        <x:v>本段剩余子句、条件组合及状态后续影响仍需与独立规则逐项闭合；这是生成覆盖缺口，不是产品决策缺失。</x:v>
      </x:c>
    </x:row>
    <x:row r="370" ht="44" customHeight="1">
      <x:c r="A370" s="4" t="str">
        <x:v>REQ-22d3084bfdfe</x:v>
      </x:c>
      <x:c r="B370" s="4" t="str">
        <x:v>运营管理</x:v>
      </x:c>
      <x:c r="C370" s="4" t="n">
        <x:v>2245</x:v>
      </x:c>
      <x:c r="D370" s="4" t="str">
        <x:v>头像 / 名称：当前主播账号头像和名称。</x:v>
      </x:c>
      <x:c r="E370" s="4" t="str">
        <x:v>尚未建立场景映射</x:v>
      </x:c>
      <x:c r="F370" s="4" t="str"/>
      <x:c r="G370" s="4" t="str">
        <x:v>本轮独立来源库保留该已知条款，但尚未建立可核验的正式场景映射；不是无业务依据，也不转为产品待确认。</x:v>
      </x:c>
    </x:row>
    <x:row r="371" ht="44" customHeight="1">
      <x:c r="A371" s="4" t="str">
        <x:v>REQ-276cb5a06416</x:v>
      </x:c>
      <x:c r="B371" s="4" t="str">
        <x:v>运营管理</x:v>
      </x:c>
      <x:c r="C371" s="4" t="n">
        <x:v>2246</x:v>
      </x:c>
      <x:c r="D371" s="4" t="str">
        <x:v>主播 ID：主播账号唯一标识。</x:v>
      </x:c>
      <x:c r="E371" s="4" t="str">
        <x:v>尚未建立场景映射</x:v>
      </x:c>
      <x:c r="F371" s="4" t="str"/>
      <x:c r="G371" s="4" t="str">
        <x:v>本轮独立来源库保留该已知条款，但尚未建立可核验的正式场景映射；不是无业务依据，也不转为产品待确认。</x:v>
      </x:c>
    </x:row>
    <x:row r="372" ht="44" customHeight="1">
      <x:c r="A372" s="4" t="str">
        <x:v>REQ-0d20da6a1fa9</x:v>
      </x:c>
      <x:c r="B372" s="4" t="str">
        <x:v>运营管理</x:v>
      </x:c>
      <x:c r="C372" s="4" t="n">
        <x:v>2247</x:v>
      </x:c>
      <x:c r="D372" s="4" t="str">
        <x:v>选中标记：仅可选 1 人，选中行显示勾选；完成后回填消息发送对象。</x:v>
      </x:c>
      <x:c r="E372" s="4" t="str">
        <x:v>整段分支核验未闭合</x:v>
      </x:c>
      <x:c r="F372" s="4" t="str">
        <x:v>GUILD-0067</x:v>
      </x:c>
      <x:c r="G372" s="4" t="str">
        <x:v>本段剩余子句、条件组合及状态后续影响仍需与独立规则逐项闭合；这是生成覆盖缺口，不是产品决策缺失。</x:v>
      </x:c>
    </x:row>
    <x:row r="373" ht="44" customHeight="1">
      <x:c r="A373" s="4" t="str">
        <x:v>REQ-5d699926b257</x:v>
      </x:c>
      <x:c r="B373" s="4" t="str">
        <x:v>运营管理</x:v>
      </x:c>
      <x:c r="C373" s="4" t="n">
        <x:v>2248</x:v>
      </x:c>
      <x:c r="D373" s="4" t="str">
        <x:v>完成 -&gt; 回填新建运营消息；未选择时提示选择主播。</x:v>
      </x:c>
      <x:c r="E373" s="4" t="str">
        <x:v>整段分支核验未闭合</x:v>
      </x:c>
      <x:c r="F373" s="4" t="str">
        <x:v>GUILD-0068</x:v>
      </x:c>
      <x:c r="G373" s="4" t="str">
        <x:v>本段剩余子句、条件组合及状态后续影响仍需与独立规则逐项闭合；这是生成覆盖缺口，不是产品决策缺失。</x:v>
      </x:c>
    </x:row>
    <x:row r="374" ht="44" customHeight="1">
      <x:c r="A374" s="4" t="str">
        <x:v>REQ-eb1fe01e4d16</x:v>
      </x:c>
      <x:c r="B374" s="4" t="str">
        <x:v>运营管理</x:v>
      </x:c>
      <x:c r="C374" s="4" t="n">
        <x:v>2252</x:v>
      </x:c>
      <x:c r="D374" s="4" t="str">
        <x:v>发送对象 / 人数：发送时的接收范围和实际人数。</x:v>
      </x:c>
      <x:c r="E374" s="4" t="str">
        <x:v>整段分支核验未闭合</x:v>
      </x:c>
      <x:c r="F374" s="4" t="str">
        <x:v>GUILD-0062、GUILD-0063、GUILD-0064</x:v>
      </x:c>
      <x:c r="G374" s="4" t="str">
        <x:v>本段剩余子句、条件组合及状态后续影响仍需与独立规则逐项闭合；这是生成覆盖缺口，不是产品决策缺失。</x:v>
      </x:c>
    </x:row>
    <x:row r="375" ht="44" customHeight="1">
      <x:c r="A375" s="4" t="str">
        <x:v>REQ-1ff8b13ac737</x:v>
      </x:c>
      <x:c r="B375" s="4" t="str">
        <x:v>运营管理</x:v>
      </x:c>
      <x:c r="C375" s="4" t="n">
        <x:v>2253</x:v>
      </x:c>
      <x:c r="D375" s="4" t="str">
        <x:v>接收人名称：指定接收人的名称列表，按发送时快照展示。</x:v>
      </x:c>
      <x:c r="E375" s="4" t="str">
        <x:v>整段分支核验未闭合</x:v>
      </x:c>
      <x:c r="F375" s="4" t="str">
        <x:v>GUILD-0062、GUILD-0063、GUILD-0064</x:v>
      </x:c>
      <x:c r="G375" s="4" t="str">
        <x:v>本段剩余子句、条件组合及状态后续影响仍需与独立规则逐项闭合；这是生成覆盖缺口，不是产品决策缺失。</x:v>
      </x:c>
    </x:row>
    <x:row r="376" ht="44" customHeight="1">
      <x:c r="A376" s="4" t="str">
        <x:v>REQ-3c8314c9f414</x:v>
      </x:c>
      <x:c r="B376" s="4" t="str">
        <x:v>运营管理</x:v>
      </x:c>
      <x:c r="C376" s="4" t="n">
        <x:v>2254</x:v>
      </x:c>
      <x:c r="D376" s="4" t="str">
        <x:v>发送时间：本次发送时间。</x:v>
      </x:c>
      <x:c r="E376" s="4" t="str">
        <x:v>整段分支核验未闭合</x:v>
      </x:c>
      <x:c r="F376" s="4" t="str">
        <x:v>GUILD-0185</x:v>
      </x:c>
      <x:c r="G376" s="4" t="str">
        <x:v>本段剩余子句、条件组合及状态后续影响仍需与独立规则逐项闭合；这是生成覆盖缺口，不是产品决策缺失。</x:v>
      </x:c>
    </x:row>
    <x:row r="377" ht="44" customHeight="1">
      <x:c r="A377" s="4" t="str">
        <x:v>REQ-9cd1caddc550</x:v>
      </x:c>
      <x:c r="B377" s="4" t="str">
        <x:v>运营管理</x:v>
      </x:c>
      <x:c r="C377" s="4" t="n">
        <x:v>2255</x:v>
      </x:c>
      <x:c r="D377" s="4" t="str">
        <x:v>发送人：执行发送的公会长名称。</x:v>
      </x:c>
      <x:c r="E377" s="4" t="str">
        <x:v>整段分支核验未闭合</x:v>
      </x:c>
      <x:c r="F377" s="4" t="str">
        <x:v>GUILD-0186</x:v>
      </x:c>
      <x:c r="G377" s="4" t="str">
        <x:v>本段剩余子句、条件组合及状态后续影响仍需与独立规则逐项闭合；这是生成覆盖缺口，不是产品决策缺失。</x:v>
      </x:c>
    </x:row>
    <x:row r="378" ht="44" customHeight="1">
      <x:c r="A378" s="4" t="str">
        <x:v>REQ-d26a7f3cbd0b</x:v>
      </x:c>
      <x:c r="B378" s="4" t="str">
        <x:v>运营管理</x:v>
      </x:c>
      <x:c r="C378" s="4" t="n">
        <x:v>2256</x:v>
      </x:c>
      <x:c r="D378" s="4" t="str">
        <x:v>正文：发送时的文字内容。</x:v>
      </x:c>
      <x:c r="E378" s="4" t="str">
        <x:v>整段分支核验未闭合</x:v>
      </x:c>
      <x:c r="F378" s="4" t="str">
        <x:v>GUILD-0187</x:v>
      </x:c>
      <x:c r="G378" s="4" t="str">
        <x:v>本段剩余子句、条件组合及状态后续影响仍需与独立规则逐项闭合；这是生成覆盖缺口，不是产品决策缺失。</x:v>
      </x:c>
    </x:row>
    <x:row r="379" ht="44" customHeight="1">
      <x:c r="A379" s="4" t="str">
        <x:v>REQ-bc6ffc5cf6cd</x:v>
      </x:c>
      <x:c r="B379" s="4" t="str">
        <x:v>运营管理</x:v>
      </x:c>
      <x:c r="C379" s="4" t="n">
        <x:v>2257</x:v>
      </x:c>
      <x:c r="D379" s="4" t="str">
        <x:v>图片：发送时附带的图片，无图片时不显示。</x:v>
      </x:c>
      <x:c r="E379" s="4" t="str">
        <x:v>尚未建立场景映射</x:v>
      </x:c>
      <x:c r="F379" s="4" t="str"/>
      <x:c r="G379" s="4" t="str">
        <x:v>本轮独立来源库保留该已知条款，但尚未建立可核验的正式场景映射；不是无业务依据，也不转为产品待确认。</x:v>
      </x:c>
    </x:row>
    <x:row r="380" ht="44" customHeight="1">
      <x:c r="A380" s="4" t="str">
        <x:v>REQ-84d09063cc5c</x:v>
      </x:c>
      <x:c r="B380" s="4" t="str">
        <x:v>运营管理</x:v>
      </x:c>
      <x:c r="C380" s="4" t="n">
        <x:v>2258</x:v>
      </x:c>
      <x:c r="D380" s="4" t="str">
        <x:v>详情只读；接收人后续退会不改变历史记录。</x:v>
      </x:c>
      <x:c r="E380" s="4" t="str">
        <x:v>整段分支核验未闭合</x:v>
      </x:c>
      <x:c r="F380" s="4" t="str">
        <x:v>GUILD-0062、GUILD-0063、GUILD-0064</x:v>
      </x:c>
      <x:c r="G380" s="4" t="str">
        <x:v>本段剩余子句、条件组合及状态后续影响仍需与独立规则逐项闭合；这是生成覆盖缺口，不是产品决策缺失。</x:v>
      </x:c>
    </x:row>
    <x:row r="381" ht="44" customHeight="1">
      <x:c r="A381" s="4" t="str">
        <x:v>REQ-9b5a10629a57</x:v>
      </x:c>
      <x:c r="B381" s="4" t="str">
        <x:v>运营管理</x:v>
      </x:c>
      <x:c r="C381" s="4" t="n">
        <x:v>2262</x:v>
      </x:c>
      <x:c r="D381" s="4" t="str">
        <x:v>搜索：按运营账号名称或账号 ID 匹配。</x:v>
      </x:c>
      <x:c r="E381" s="4" t="str">
        <x:v>尚未建立场景映射</x:v>
      </x:c>
      <x:c r="F381" s="4" t="str"/>
      <x:c r="G381" s="4" t="str">
        <x:v>本轮独立来源库保留该已知条款，但尚未建立可核验的正式场景映射；不是无业务依据，也不转为产品待确认。</x:v>
      </x:c>
    </x:row>
    <x:row r="382" ht="44" customHeight="1">
      <x:c r="A382" s="4" t="str">
        <x:v>REQ-caa3708e5b1d</x:v>
      </x:c>
      <x:c r="B382" s="4" t="str">
        <x:v>运营管理</x:v>
      </x:c>
      <x:c r="C382" s="4" t="n">
        <x:v>2263</x:v>
      </x:c>
      <x:c r="D382" s="4" t="str">
        <x:v>名称 / 账号 ID：运营账号名称及唯一标识，不是登录账号。</x:v>
      </x:c>
      <x:c r="E382" s="4" t="str">
        <x:v>整段分支核验未闭合</x:v>
      </x:c>
      <x:c r="F382" s="4" t="str">
        <x:v>GUILD-0188、GUILD-0189</x:v>
      </x:c>
      <x:c r="G382" s="4" t="str">
        <x:v>本段剩余子句、条件组合及状态后续影响仍需与独立规则逐项闭合；这是生成覆盖缺口，不是产品决策缺失。</x:v>
      </x:c>
    </x:row>
    <x:row r="383" ht="44" customHeight="1">
      <x:c r="A383" s="4" t="str">
        <x:v>REQ-56bc7f0fa718</x:v>
      </x:c>
      <x:c r="B383" s="4" t="str">
        <x:v>运营管理</x:v>
      </x:c>
      <x:c r="C383" s="4" t="n">
        <x:v>2264</x:v>
      </x:c>
      <x:c r="D383" s="4" t="str">
        <x:v>余额：当前可用虚拟金币，单位为金币。</x:v>
      </x:c>
      <x:c r="E383" s="4" t="str">
        <x:v>尚未建立场景映射</x:v>
      </x:c>
      <x:c r="F383" s="4" t="str"/>
      <x:c r="G383" s="4" t="str">
        <x:v>本轮独立来源库保留该已知条款，但尚未建立可核验的正式场景映射；不是无业务依据，也不转为产品待确认。</x:v>
      </x:c>
    </x:row>
    <x:row r="384" ht="44" customHeight="1">
      <x:c r="A384" s="4" t="str">
        <x:v>REQ-015f48c33080</x:v>
      </x:c>
      <x:c r="B384" s="4" t="str">
        <x:v>运营管理</x:v>
      </x:c>
      <x:c r="C384" s="4" t="n">
        <x:v>2265</x:v>
      </x:c>
      <x:c r="D384" s="4" t="str">
        <x:v>本月消费：本自然月成功送礼消耗的虚拟金币。</x:v>
      </x:c>
      <x:c r="E384" s="4" t="str">
        <x:v>尚未建立场景映射</x:v>
      </x:c>
      <x:c r="F384" s="4" t="str"/>
      <x:c r="G384" s="4" t="str">
        <x:v>本轮独立来源库保留该已知条款，但尚未建立可核验的正式场景映射；不是无业务依据，也不转为产品待确认。</x:v>
      </x:c>
    </x:row>
    <x:row r="385" ht="44" customHeight="1">
      <x:c r="A385" s="4" t="str">
        <x:v>REQ-cd0c1de92fde</x:v>
      </x:c>
      <x:c r="B385" s="4" t="str">
        <x:v>运营管理</x:v>
      </x:c>
      <x:c r="C385" s="4" t="n">
        <x:v>2266</x:v>
      </x:c>
      <x:c r="D385" s="4" t="str">
        <x:v>创建：进入创建运营账号页。</x:v>
      </x:c>
      <x:c r="E385" s="4" t="str">
        <x:v>尚未建立场景映射</x:v>
      </x:c>
      <x:c r="F385" s="4" t="str"/>
      <x:c r="G385" s="4" t="str">
        <x:v>本轮独立来源库保留该已知条款，但尚未建立可核验的正式场景映射；不是无业务依据，也不转为产品待确认。</x:v>
      </x:c>
    </x:row>
    <x:row r="386" ht="44" customHeight="1">
      <x:c r="A386" s="4" t="str">
        <x:v>REQ-106a2ab4234a</x:v>
      </x:c>
      <x:c r="B386" s="4" t="str">
        <x:v>运营管理</x:v>
      </x:c>
      <x:c r="C386" s="4" t="n">
        <x:v>2267</x:v>
      </x:c>
      <x:c r="D386" s="4" t="str">
        <x:v>本月已发放：当前公会本月向全部运营账号成功发放的虚拟金币总和。</x:v>
      </x:c>
      <x:c r="E386" s="4" t="str">
        <x:v>整段分支核验未闭合</x:v>
      </x:c>
      <x:c r="F386" s="4" t="str">
        <x:v>GUILD-0290、GUILD-0291</x:v>
      </x:c>
      <x:c r="G386" s="4" t="str">
        <x:v>本段剩余子句、条件组合及状态后续影响仍需与独立规则逐项闭合；这是生成覆盖缺口，不是产品决策缺失。</x:v>
      </x:c>
    </x:row>
    <x:row r="387" ht="44" customHeight="1">
      <x:c r="A387" s="4" t="str">
        <x:v>REQ-629a171defa4</x:v>
      </x:c>
      <x:c r="B387" s="4" t="str">
        <x:v>运营管理</x:v>
      </x:c>
      <x:c r="C387" s="4" t="n">
        <x:v>2268</x:v>
      </x:c>
      <x:c r="D387" s="4" t="str">
        <x:v>本月剩余可发：公会本月累计发放上限减去本月已发放，不小于 0。</x:v>
      </x:c>
      <x:c r="E387" s="4" t="str">
        <x:v>整段分支核验未闭合</x:v>
      </x:c>
      <x:c r="F387" s="4" t="str">
        <x:v>GUILD-0290、GUILD-0291、GUILD-0292</x:v>
      </x:c>
      <x:c r="G387" s="4" t="str">
        <x:v>本段剩余子句、条件组合及状态后续影响仍需与独立规则逐项闭合；这是生成覆盖缺口，不是产品决策缺失。</x:v>
      </x:c>
    </x:row>
    <x:row r="388" ht="44" customHeight="1">
      <x:c r="A388" s="4" t="str">
        <x:v>REQ-78fbc0a52b64</x:v>
      </x:c>
      <x:c r="B388" s="4" t="str">
        <x:v>运营管理</x:v>
      </x:c>
      <x:c r="C388" s="4" t="n">
        <x:v>2269</x:v>
      </x:c>
      <x:c r="D388" s="4" t="str">
        <x:v>账户余额累计：全部运营账号可用虚拟金币余额之和。</x:v>
      </x:c>
      <x:c r="E388" s="4" t="str">
        <x:v>整段分支核验未闭合</x:v>
      </x:c>
      <x:c r="F388" s="4" t="str">
        <x:v>GUILD-0289</x:v>
      </x:c>
      <x:c r="G388" s="4" t="str">
        <x:v>本段剩余子句、条件组合及状态后续影响仍需与独立规则逐项闭合；这是生成覆盖缺口，不是产品决策缺失。</x:v>
      </x:c>
    </x:row>
    <x:row r="389" ht="44" customHeight="1">
      <x:c r="A389" s="4" t="str">
        <x:v>REQ-36c672501212</x:v>
      </x:c>
      <x:c r="B389" s="4" t="str">
        <x:v>运营管理</x:v>
      </x:c>
      <x:c r="C389" s="4" t="n">
        <x:v>2270</x:v>
      </x:c>
      <x:c r="D389" s="4" t="str">
        <x:v>本月累计消费：全部运营账号本月成功送礼实际消费虚拟金币总和。</x:v>
      </x:c>
      <x:c r="E389" s="4" t="str">
        <x:v>整段分支核验未闭合</x:v>
      </x:c>
      <x:c r="F389" s="4" t="str">
        <x:v>GUILD-0290、GUILD-0291</x:v>
      </x:c>
      <x:c r="G389" s="4" t="str">
        <x:v>本段剩余子句、条件组合及状态后续影响仍需与独立规则逐项闭合；这是生成覆盖缺口，不是产品决策缺失。</x:v>
      </x:c>
    </x:row>
    <x:row r="390" ht="44" customHeight="1">
      <x:c r="A390" s="4" t="str">
        <x:v>REQ-316c2897c078</x:v>
      </x:c>
      <x:c r="B390" s="4" t="str">
        <x:v>运营管理</x:v>
      </x:c>
      <x:c r="C390" s="4" t="n">
        <x:v>2271</x:v>
      </x:c>
      <x:c r="D390" s="4" t="str">
        <x:v>运营账号由公会创建，不对应真实用户，也不能加入粉丝团。</x:v>
      </x:c>
      <x:c r="E390" s="4" t="str">
        <x:v>尚未建立场景映射</x:v>
      </x:c>
      <x:c r="F390" s="4" t="str"/>
      <x:c r="G390" s="4" t="str">
        <x:v>本轮独立来源库保留该已知条款，但尚未建立可核验的正式场景映射；不是无业务依据，也不转为产品待确认。</x:v>
      </x:c>
    </x:row>
    <x:row r="391" ht="44" customHeight="1">
      <x:c r="A391" s="4" t="str">
        <x:v>REQ-9e71a2a944d1</x:v>
      </x:c>
      <x:c r="B391" s="4" t="str">
        <x:v>运营管理</x:v>
      </x:c>
      <x:c r="C391" s="4" t="n">
        <x:v>2272</x:v>
      </x:c>
      <x:c r="D391" s="4" t="str">
        <x:v>运营账号没有真实金币，只有虚拟金币；虚拟金币只能由所属公会发放，不能通过充值或任务获得。</x:v>
      </x:c>
      <x:c r="E391" s="4" t="str">
        <x:v>尚未建立场景映射</x:v>
      </x:c>
      <x:c r="F391" s="4" t="str"/>
      <x:c r="G391" s="4" t="str">
        <x:v>本轮独立来源库保留该已知条款，但尚未建立可核验的正式场景映射；不是无业务依据，也不转为产品待确认。</x:v>
      </x:c>
    </x:row>
    <x:row r="392" ht="57" customHeight="1">
      <x:c r="A392" s="4" t="str">
        <x:v>REQ-e616dc5590e2</x:v>
      </x:c>
      <x:c r="B392" s="4" t="str">
        <x:v>运营管理</x:v>
      </x:c>
      <x:c r="C392" s="4" t="n">
        <x:v>2273</x:v>
      </x:c>
      <x:c r="D392" s="4" t="str">
        <x:v>虚拟金币仅可赠送普通礼物和定制礼物，不能赠送幸运礼物，不能购买装扮、门票或用于其他消费；可计入直播间氛围和榜单展示，不形成主播收益或分成。</x:v>
      </x:c>
      <x:c r="E392" s="4" t="str">
        <x:v>尚未建立场景映射</x:v>
      </x:c>
      <x:c r="F392" s="4" t="str"/>
      <x:c r="G392" s="4" t="str">
        <x:v>本轮独立来源库保留该已知条款，但尚未建立可核验的正式场景映射；不是无业务依据，也不转为产品待确认。</x:v>
      </x:c>
    </x:row>
    <x:row r="393" ht="44" customHeight="1">
      <x:c r="A393" s="4" t="str">
        <x:v>REQ-44ae0e3ef059</x:v>
      </x:c>
      <x:c r="B393" s="4" t="str">
        <x:v>运营管理</x:v>
      </x:c>
      <x:c r="C393" s="4" t="n">
        <x:v>2274</x:v>
      </x:c>
      <x:c r="D393" s="4" t="str">
        <x:v>搜索按名称或账号 ID 匹配；创建 -&gt; 新建账号；点击账号 -&gt; 进入账号主页。</x:v>
      </x:c>
      <x:c r="E393" s="4" t="str">
        <x:v>整段分支核验未闭合</x:v>
      </x:c>
      <x:c r="F393" s="4" t="str">
        <x:v>GUILD-0028</x:v>
      </x:c>
      <x:c r="G393" s="4" t="str">
        <x:v>本段剩余子句、条件组合及状态后续影响仍需与独立规则逐项闭合；这是生成覆盖缺口，不是产品决策缺失。</x:v>
      </x:c>
    </x:row>
    <x:row r="394" ht="44" customHeight="1">
      <x:c r="A394" s="4" t="str">
        <x:v>REQ-29384e98e3e9</x:v>
      </x:c>
      <x:c r="B394" s="4" t="str">
        <x:v>运营管理</x:v>
      </x:c>
      <x:c r="C394" s="4" t="n">
        <x:v>2278</x:v>
      </x:c>
      <x:c r="D394" s="4" t="str">
        <x:v>头像：必填；JPG、PNG、WebP，选择后预览。</x:v>
      </x:c>
      <x:c r="E394" s="4" t="str">
        <x:v>整段分支核验未闭合</x:v>
      </x:c>
      <x:c r="F394" s="4" t="str">
        <x:v>GUILD-0069、GUILD-0070、GUILD-0071、GUILD-0072</x:v>
      </x:c>
      <x:c r="G394" s="4" t="str">
        <x:v>本段剩余子句、条件组合及状态后续影响仍需与独立规则逐项闭合；这是生成覆盖缺口，不是产品决策缺失。</x:v>
      </x:c>
    </x:row>
    <x:row r="395" ht="57" customHeight="1">
      <x:c r="A395" s="4" t="str">
        <x:v>REQ-de8f072dbdee</x:v>
      </x:c>
      <x:c r="B395" s="4" t="str">
        <x:v>运营管理</x:v>
      </x:c>
      <x:c r="C395" s="4" t="n">
        <x:v>2279</x:v>
      </x:c>
      <x:c r="D395" s="4" t="str">
        <x:v>名称：必填，最多 30 字符。</x:v>
      </x:c>
      <x:c r="E395" s="4" t="str">
        <x:v>整段分支核验未闭合</x:v>
      </x:c>
      <x:c r="F395" s="4" t="str">
        <x:v>GUILD-0069、GUILD-0070、GUILD-0071、GUILD-0072、GUILD-0073、GUILD-0074、GUILD-0075</x:v>
      </x:c>
      <x:c r="G395" s="4" t="str">
        <x:v>本段剩余子句、条件组合及状态后续影响仍需与独立规则逐项闭合；这是生成覆盖缺口，不是产品决策缺失。</x:v>
      </x:c>
    </x:row>
    <x:row r="396" ht="57" customHeight="1">
      <x:c r="A396" s="4" t="str">
        <x:v>REQ-61a40748d370</x:v>
      </x:c>
      <x:c r="B396" s="4" t="str">
        <x:v>运营管理</x:v>
      </x:c>
      <x:c r="C396" s="4" t="n">
        <x:v>2280</x:v>
      </x:c>
      <x:c r="D396" s="4" t="str">
        <x:v>账号：必填，最多 30 字符，全平台唯一；</x:v>
      </x:c>
      <x:c r="E396" s="4" t="str">
        <x:v>整段分支核验未闭合</x:v>
      </x:c>
      <x:c r="F396" s="4" t="str">
        <x:v>GUILD-0069、GUILD-0070、GUILD-0071、GUILD-0072、GUILD-0076、GUILD-0077、GUILD-0078、GUILD-0087</x:v>
      </x:c>
      <x:c r="G396" s="4" t="str">
        <x:v>本段剩余子句、条件组合及状态后续影响仍需与独立规则逐项闭合；这是生成覆盖缺口，不是产品决策缺失。</x:v>
      </x:c>
    </x:row>
    <x:row r="397" ht="57" customHeight="1">
      <x:c r="A397" s="4" t="str">
        <x:v>REQ-85b9fe5809d5</x:v>
      </x:c>
      <x:c r="B397" s="4" t="str">
        <x:v>运营管理</x:v>
      </x:c>
      <x:c r="C397" s="4" t="n">
        <x:v>2281</x:v>
      </x:c>
      <x:c r="D397" s="4" t="str">
        <x:v>初始密码：必填，至少 6 位。</x:v>
      </x:c>
      <x:c r="E397" s="4" t="str">
        <x:v>整段分支核验未闭合</x:v>
      </x:c>
      <x:c r="F397" s="4" t="str">
        <x:v>GUILD-0069、GUILD-0070、GUILD-0071、GUILD-0072、GUILD-0079、GUILD-0080、GUILD-0081</x:v>
      </x:c>
      <x:c r="G397" s="4" t="str">
        <x:v>本段剩余子句、条件组合及状态后续影响仍需与独立规则逐项闭合；这是生成覆盖缺口，不是产品决策缺失。</x:v>
      </x:c>
    </x:row>
    <x:row r="398" ht="44" customHeight="1">
      <x:c r="A398" s="4" t="str">
        <x:v>REQ-56080a546b14</x:v>
      </x:c>
      <x:c r="B398" s="4" t="str">
        <x:v>运营管理</x:v>
      </x:c>
      <x:c r="C398" s="4" t="n">
        <x:v>2282</x:v>
      </x:c>
      <x:c r="D398" s="4" t="str">
        <x:v>账号状态：默认启用；禁用后不可登录或送礼。</x:v>
      </x:c>
      <x:c r="E398" s="4" t="str">
        <x:v>整段分支核验未闭合</x:v>
      </x:c>
      <x:c r="F398" s="4" t="str">
        <x:v>GUILD-0071、GUILD-0076、GUILD-0077、GUILD-0078、GUILD-0087</x:v>
      </x:c>
      <x:c r="G398" s="4" t="str">
        <x:v>本段剩余子句、条件组合及状态后续影响仍需与独立规则逐项闭合；这是生成覆盖缺口，不是产品决策缺失。</x:v>
      </x:c>
    </x:row>
    <x:row r="399" ht="44" customHeight="1">
      <x:c r="A399" s="4" t="str">
        <x:v>REQ-de31735abdfb</x:v>
      </x:c>
      <x:c r="B399" s="4" t="str">
        <x:v>运营管理</x:v>
      </x:c>
      <x:c r="C399" s="4" t="n">
        <x:v>2283</x:v>
      </x:c>
      <x:c r="D399" s="4" t="str">
        <x:v>发放金币：初始发放虚拟金币，默认 0，非负且不超过本次可发额度。</x:v>
      </x:c>
      <x:c r="E399" s="4" t="str">
        <x:v>整段分支核验未闭合</x:v>
      </x:c>
      <x:c r="F399" s="4" t="str">
        <x:v>GUILD-0082、GUILD-0083、GUILD-0084、GUILD-0085、GUILD-0086</x:v>
      </x:c>
      <x:c r="G399" s="4" t="str">
        <x:v>本段剩余子句、条件组合及状态后续影响仍需与独立规则逐项闭合；这是生成覆盖缺口，不是产品决策缺失。</x:v>
      </x:c>
    </x:row>
    <x:row r="400" ht="72" customHeight="1">
      <x:c r="A400" s="4" t="str">
        <x:v>REQ-701086bd886c</x:v>
      </x:c>
      <x:c r="B400" s="4" t="str">
        <x:v>运营管理</x:v>
      </x:c>
      <x:c r="C400" s="4" t="n">
        <x:v>2284</x:v>
      </x:c>
      <x:c r="D400" s="4" t="str">
        <x:v>最多可发放：取账号月剩余额度与公会月剩余额度的较小值，单位为金币。</x:v>
      </x:c>
      <x:c r="E400" s="4" t="str">
        <x:v>整段分支核验未闭合</x:v>
      </x:c>
      <x:c r="F400" s="4" t="str">
        <x:v>GUILD-0071、GUILD-0076、GUILD-0077、GUILD-0078、GUILD-0082、GUILD-0083、GUILD-0084、GUILD-0085、GUILD-0086、GUILD-0087</x:v>
      </x:c>
      <x:c r="G400" s="4" t="str">
        <x:v>本段剩余子句、条件组合及状态后续影响仍需与独立规则逐项闭合；这是生成覆盖缺口，不是产品决策缺失。</x:v>
      </x:c>
    </x:row>
    <x:row r="401" ht="44" customHeight="1">
      <x:c r="A401" s="4" t="str">
        <x:v>REQ-735a1d24cc32</x:v>
      </x:c>
      <x:c r="B401" s="4" t="str">
        <x:v>运营管理</x:v>
      </x:c>
      <x:c r="C401" s="4" t="n">
        <x:v>2285</x:v>
      </x:c>
      <x:c r="D401" s="4" t="str">
        <x:v>创建时发放的是虚拟金币，资金来源为所属公会；运营账号没有真实金币，不能充值或通过任务获得金币。</x:v>
      </x:c>
      <x:c r="E401" s="4" t="str">
        <x:v>整段分支核验未闭合</x:v>
      </x:c>
      <x:c r="F401" s="4" t="str">
        <x:v>GUILD-0071、GUILD-0076、GUILD-0077、GUILD-0078、GUILD-0087</x:v>
      </x:c>
      <x:c r="G401" s="4" t="str">
        <x:v>本段剩余子句、条件组合及状态后续影响仍需与独立规则逐项闭合；这是生成覆盖缺口，不是产品决策缺失。</x:v>
      </x:c>
    </x:row>
    <x:row r="402" ht="72" customHeight="1">
      <x:c r="A402" s="4" t="str">
        <x:v>REQ-075e0a28916f</x:v>
      </x:c>
      <x:c r="B402" s="4" t="str">
        <x:v>运营管理</x:v>
      </x:c>
      <x:c r="C402" s="4" t="n">
        <x:v>2286</x:v>
      </x:c>
      <x:c r="D402" s="4" t="str">
        <x:v>确认创建 -&gt; 校验字段和额度 -&gt; 创建账号、记入发放额度并返回列表。</x:v>
      </x:c>
      <x:c r="E402" s="4" t="str">
        <x:v>整段分支核验未闭合</x:v>
      </x:c>
      <x:c r="F402" s="4" t="str">
        <x:v>GUILD-0071、GUILD-0076、GUILD-0077、GUILD-0078、GUILD-0082、GUILD-0083、GUILD-0084、GUILD-0085、GUILD-0086、GUILD-0087</x:v>
      </x:c>
      <x:c r="G402" s="4" t="str">
        <x:v>本段剩余子句、条件组合及状态后续影响仍需与独立规则逐项闭合；这是生成覆盖缺口，不是产品决策缺失。</x:v>
      </x:c>
    </x:row>
    <x:row r="403" ht="44" customHeight="1">
      <x:c r="A403" s="4" t="str">
        <x:v>REQ-9a301f4fcc80</x:v>
      </x:c>
      <x:c r="B403" s="4" t="str">
        <x:v>运营管理</x:v>
      </x:c>
      <x:c r="C403" s="4" t="n">
        <x:v>2290</x:v>
      </x:c>
      <x:c r="D403" s="4" t="str">
        <x:v>头像 / 名称 / 账号 ID：当前运营账号资料和唯一标识。</x:v>
      </x:c>
      <x:c r="E403" s="4" t="str">
        <x:v>整段分支核验未闭合</x:v>
      </x:c>
      <x:c r="F403" s="4" t="str">
        <x:v>GUILD-0190、GUILD-0191</x:v>
      </x:c>
      <x:c r="G403" s="4" t="str">
        <x:v>本段剩余子句、条件组合及状态后续影响仍需与独立规则逐项闭合；这是生成覆盖缺口，不是产品决策缺失。</x:v>
      </x:c>
    </x:row>
    <x:row r="404" ht="44" customHeight="1">
      <x:c r="A404" s="4" t="str">
        <x:v>REQ-85ea55b175e8</x:v>
      </x:c>
      <x:c r="B404" s="4" t="str">
        <x:v>运营管理</x:v>
      </x:c>
      <x:c r="C404" s="4" t="n">
        <x:v>2291</x:v>
      </x:c>
      <x:c r="D404" s="4" t="str">
        <x:v>启用状态：启用或禁用；与平台管理锁定状态分开。</x:v>
      </x:c>
      <x:c r="E404" s="4" t="str">
        <x:v>整段分支核验未闭合</x:v>
      </x:c>
      <x:c r="F404" s="4" t="str">
        <x:v>GUILD-0092、GUILD-0093</x:v>
      </x:c>
      <x:c r="G404" s="4" t="str">
        <x:v>本段剩余子句、条件组合及状态后续影响仍需与独立规则逐项闭合；这是生成覆盖缺口，不是产品决策缺失。</x:v>
      </x:c>
    </x:row>
    <x:row r="405" ht="44" customHeight="1">
      <x:c r="A405" s="4" t="str">
        <x:v>REQ-33d8544cba8f</x:v>
      </x:c>
      <x:c r="B405" s="4" t="str">
        <x:v>运营管理</x:v>
      </x:c>
      <x:c r="C405" s="4" t="n">
        <x:v>2292</x:v>
      </x:c>
      <x:c r="D405" s="4" t="str">
        <x:v>管理权限锁定提示：平台锁定时仅可查看，隐藏或禁用管理操作。</x:v>
      </x:c>
      <x:c r="E405" s="4" t="str">
        <x:v>整段分支核验未闭合</x:v>
      </x:c>
      <x:c r="F405" s="4" t="str">
        <x:v>GUILD-0092、GUILD-0093</x:v>
      </x:c>
      <x:c r="G405" s="4" t="str">
        <x:v>本段剩余子句、条件组合及状态后续影响仍需与独立规则逐项闭合；这是生成覆盖缺口，不是产品决策缺失。</x:v>
      </x:c>
    </x:row>
    <x:row r="406" ht="44" customHeight="1">
      <x:c r="A406" s="4" t="str">
        <x:v>REQ-6b41dca2bb99</x:v>
      </x:c>
      <x:c r="B406" s="4" t="str">
        <x:v>运营管理</x:v>
      </x:c>
      <x:c r="C406" s="4" t="n">
        <x:v>2293</x:v>
      </x:c>
      <x:c r="D406" s="4" t="str">
        <x:v>日期范围：按当前筛选起止日期统计，包含开始日和结束日；随快捷日期或自定义日期更新。</x:v>
      </x:c>
      <x:c r="E406" s="4" t="str">
        <x:v>整段分支核验未闭合</x:v>
      </x:c>
      <x:c r="F406" s="4" t="str">
        <x:v>GUILD-0122、GUILD-0123、GUILD-0124</x:v>
      </x:c>
      <x:c r="G406" s="4" t="str">
        <x:v>本段剩余子句、条件组合及状态后续影响仍需与独立规则逐项闭合；这是生成覆盖缺口，不是产品决策缺失。</x:v>
      </x:c>
    </x:row>
    <x:row r="407" ht="44" customHeight="1">
      <x:c r="A407" s="4" t="str">
        <x:v>REQ-ffb5c04ae2bf</x:v>
      </x:c>
      <x:c r="B407" s="4" t="str">
        <x:v>运营管理</x:v>
      </x:c>
      <x:c r="C407" s="4" t="n">
        <x:v>2294</x:v>
      </x:c>
      <x:c r="D407" s="4" t="str">
        <x:v>快捷日期：今日、昨日、本周、上周、本月、上月、自定义，默认本月。</x:v>
      </x:c>
      <x:c r="E407" s="4" t="str">
        <x:v>整段分支核验未闭合</x:v>
      </x:c>
      <x:c r="F407" s="4" t="str">
        <x:v>GUILD-0308</x:v>
      </x:c>
      <x:c r="G407" s="4" t="str">
        <x:v>本段剩余子句、条件组合及状态后续影响仍需与独立规则逐项闭合；这是生成覆盖缺口，不是产品决策缺失。</x:v>
      </x:c>
    </x:row>
    <x:row r="408" ht="44" customHeight="1">
      <x:c r="A408" s="4" t="str">
        <x:v>REQ-0d183c1b1a8f</x:v>
      </x:c>
      <x:c r="B408" s="4" t="str">
        <x:v>运营管理</x:v>
      </x:c>
      <x:c r="C408" s="4" t="n">
        <x:v>2295</x:v>
      </x:c>
      <x:c r="D408" s="4" t="str">
        <x:v>日期 / 消费金币：按自然日汇总该账号虚拟金币消费；点击进入对应送礼记录。</x:v>
      </x:c>
      <x:c r="E408" s="4" t="str">
        <x:v>尚未建立场景映射</x:v>
      </x:c>
      <x:c r="F408" s="4" t="str"/>
      <x:c r="G408" s="4" t="str">
        <x:v>本轮独立来源库保留该已知条款，但尚未建立可核验的正式场景映射；不是无业务依据，也不转为产品待确认。</x:v>
      </x:c>
    </x:row>
    <x:row r="409" ht="44" customHeight="1">
      <x:c r="A409" s="4" t="str">
        <x:v>REQ-404687aa8764</x:v>
      </x:c>
      <x:c r="B409" s="4" t="str">
        <x:v>运营管理</x:v>
      </x:c>
      <x:c r="C409" s="4" t="n">
        <x:v>2296</x:v>
      </x:c>
      <x:c r="D409" s="4" t="str">
        <x:v>账号状态开关：启用或禁用当前账号。</x:v>
      </x:c>
      <x:c r="E409" s="4" t="str">
        <x:v>尚未建立场景映射</x:v>
      </x:c>
      <x:c r="F409" s="4" t="str"/>
      <x:c r="G409" s="4" t="str">
        <x:v>本轮独立来源库保留该已知条款，但尚未建立可核验的正式场景映射；不是无业务依据，也不转为产品待确认。</x:v>
      </x:c>
    </x:row>
    <x:row r="410" ht="44" customHeight="1">
      <x:c r="A410" s="4" t="str">
        <x:v>REQ-32378557ba74</x:v>
      </x:c>
      <x:c r="B410" s="4" t="str">
        <x:v>运营管理</x:v>
      </x:c>
      <x:c r="C410" s="4" t="n">
        <x:v>2297</x:v>
      </x:c>
      <x:c r="D410" s="4" t="str">
        <x:v>发放数量 / 可发上限：输入本次发放虚拟金币，受账号与公会月剩余额度共同限制。</x:v>
      </x:c>
      <x:c r="E410" s="4" t="str">
        <x:v>整段分支核验未闭合</x:v>
      </x:c>
      <x:c r="F410" s="4" t="str">
        <x:v>GUILD-0089、GUILD-0090、GUILD-0091</x:v>
      </x:c>
      <x:c r="G410" s="4" t="str">
        <x:v>本段剩余子句、条件组合及状态后续影响仍需与独立规则逐项闭合；这是生成覆盖缺口，不是产品决策缺失。</x:v>
      </x:c>
    </x:row>
    <x:row r="411" ht="44" customHeight="1">
      <x:c r="A411" s="4" t="str">
        <x:v>REQ-cdac02520c9e</x:v>
      </x:c>
      <x:c r="B411" s="4" t="str">
        <x:v>运营管理</x:v>
      </x:c>
      <x:c r="C411" s="4" t="n">
        <x:v>2298</x:v>
      </x:c>
      <x:c r="D411" s="4" t="str">
        <x:v>账户余额：累计成功发放虚拟金币减去累计成功消费虚拟金币。</x:v>
      </x:c>
      <x:c r="E411" s="4" t="str">
        <x:v>整段分支核验未闭合</x:v>
      </x:c>
      <x:c r="F411" s="4" t="str">
        <x:v>GUILD-0089、GUILD-0090、GUILD-0091、GUILD-0239</x:v>
      </x:c>
      <x:c r="G411" s="4" t="str">
        <x:v>本段剩余子句、条件组合及状态后续影响仍需与独立规则逐项闭合；这是生成覆盖缺口，不是产品决策缺失。</x:v>
      </x:c>
    </x:row>
    <x:row r="412" ht="44" customHeight="1">
      <x:c r="A412" s="4" t="str">
        <x:v>REQ-cb2f1597cb22</x:v>
      </x:c>
      <x:c r="B412" s="4" t="str">
        <x:v>运营管理</x:v>
      </x:c>
      <x:c r="C412" s="4" t="n">
        <x:v>2299</x:v>
      </x:c>
      <x:c r="D412" s="4" t="str">
        <x:v>累计消费：账号历史成功送礼实际消费虚拟金币总和。</x:v>
      </x:c>
      <x:c r="E412" s="4" t="str">
        <x:v>尚未建立场景映射</x:v>
      </x:c>
      <x:c r="F412" s="4" t="str"/>
      <x:c r="G412" s="4" t="str">
        <x:v>本轮独立来源库保留该已知条款，但尚未建立可核验的正式场景映射；不是无业务依据，也不转为产品待确认。</x:v>
      </x:c>
    </x:row>
    <x:row r="413" ht="44" customHeight="1">
      <x:c r="A413" s="4" t="str">
        <x:v>REQ-6187fe048a35</x:v>
      </x:c>
      <x:c r="B413" s="4" t="str">
        <x:v>运营管理</x:v>
      </x:c>
      <x:c r="C413" s="4" t="n">
        <x:v>2300</x:v>
      </x:c>
      <x:c r="D413" s="4" t="str">
        <x:v>本月发放：账号本月成功发放虚拟金币总和。</x:v>
      </x:c>
      <x:c r="E413" s="4" t="str">
        <x:v>整段分支核验未闭合</x:v>
      </x:c>
      <x:c r="F413" s="4" t="str">
        <x:v>GUILD-0089、GUILD-0090、GUILD-0091</x:v>
      </x:c>
      <x:c r="G413" s="4" t="str">
        <x:v>本段剩余子句、条件组合及状态后续影响仍需与独立规则逐项闭合；这是生成覆盖缺口，不是产品决策缺失。</x:v>
      </x:c>
    </x:row>
    <x:row r="414" ht="44" customHeight="1">
      <x:c r="A414" s="4" t="str">
        <x:v>REQ-94bff1c09560</x:v>
      </x:c>
      <x:c r="B414" s="4" t="str">
        <x:v>运营管理</x:v>
      </x:c>
      <x:c r="C414" s="4" t="n">
        <x:v>2301</x:v>
      </x:c>
      <x:c r="D414" s="4" t="str">
        <x:v>本月消费：账号本月成功送礼实际消费虚拟金币总和。</x:v>
      </x:c>
      <x:c r="E414" s="4" t="str">
        <x:v>尚未建立场景映射</x:v>
      </x:c>
      <x:c r="F414" s="4" t="str"/>
      <x:c r="G414" s="4" t="str">
        <x:v>本轮独立来源库保留该已知条款，但尚未建立可核验的正式场景映射；不是无业务依据，也不转为产品待确认。</x:v>
      </x:c>
    </x:row>
    <x:row r="415" ht="57" customHeight="1">
      <x:c r="A415" s="4" t="str">
        <x:v>REQ-2fa9a7ac1d2e</x:v>
      </x:c>
      <x:c r="B415" s="4" t="str">
        <x:v>运营管理</x:v>
      </x:c>
      <x:c r="C415" s="4" t="n">
        <x:v>2302</x:v>
      </x:c>
      <x:c r="D415" s="4" t="str">
        <x:v>运营账号没有真实金币，不能加入粉丝团；虚拟金币只能由所属公会发放，不能充值或通过任务获得，仅可用于赠送普通礼物和定制礼物，不能购买装扮、门票或用于其他消费。</x:v>
      </x:c>
      <x:c r="E415" s="4" t="str">
        <x:v>整段分支核验未闭合</x:v>
      </x:c>
      <x:c r="F415" s="4" t="str">
        <x:v>GUILD-0089、GUILD-0090、GUILD-0091</x:v>
      </x:c>
      <x:c r="G415" s="4" t="str">
        <x:v>本段剩余子句、条件组合及状态后续影响仍需与独立规则逐项闭合；这是生成覆盖缺口，不是产品决策缺失。</x:v>
      </x:c>
    </x:row>
    <x:row r="416" ht="44" customHeight="1">
      <x:c r="A416" s="4" t="str">
        <x:v>REQ-722c17a54831</x:v>
      </x:c>
      <x:c r="B416" s="4" t="str">
        <x:v>运营管理</x:v>
      </x:c>
      <x:c r="C416" s="4" t="n">
        <x:v>2303</x:v>
      </x:c>
      <x:c r="D416" s="4" t="str">
        <x:v>禁用后不可登录或送礼，历史记录和余额保留；重新启用后恢复。</x:v>
      </x:c>
      <x:c r="E416" s="4" t="str">
        <x:v>整段分支核验未闭合</x:v>
      </x:c>
      <x:c r="F416" s="4" t="str">
        <x:v>GUILD-0089、GUILD-0090、GUILD-0091、GUILD-0094、GUILD-0095</x:v>
      </x:c>
      <x:c r="G416" s="4" t="str">
        <x:v>本段剩余子句、条件组合及状态后续影响仍需与独立规则逐项闭合；这是生成覆盖缺口，不是产品决策缺失。</x:v>
      </x:c>
    </x:row>
    <x:row r="417" ht="44" customHeight="1">
      <x:c r="A417" s="4" t="str">
        <x:v>REQ-805cf44f6817</x:v>
      </x:c>
      <x:c r="B417" s="4" t="str">
        <x:v>运营管理</x:v>
      </x:c>
      <x:c r="C417" s="4" t="n">
        <x:v>2304</x:v>
      </x:c>
      <x:c r="D417" s="4" t="str">
        <x:v>平台锁定公会管理权限时仅可查看，不能启停或发放金币。</x:v>
      </x:c>
      <x:c r="E417" s="4" t="str">
        <x:v>整段分支核验未闭合</x:v>
      </x:c>
      <x:c r="F417" s="4" t="str">
        <x:v>GUILD-0089、GUILD-0090、GUILD-0091、GUILD-0092、GUILD-0093</x:v>
      </x:c>
      <x:c r="G417" s="4" t="str">
        <x:v>本段剩余子句、条件组合及状态后续影响仍需与独立规则逐项闭合；这是生成覆盖缺口，不是产品决策缺失。</x:v>
      </x:c>
    </x:row>
    <x:row r="418" ht="44" customHeight="1">
      <x:c r="A418" s="4" t="str">
        <x:v>REQ-43f3dfaba8d2</x:v>
      </x:c>
      <x:c r="B418" s="4" t="str">
        <x:v>运营管理</x:v>
      </x:c>
      <x:c r="C418" s="4" t="n">
        <x:v>2305</x:v>
      </x:c>
      <x:c r="D418" s="4" t="str">
        <x:v>发放上限取账号月剩余额度与公会月剩余额度的较小值。</x:v>
      </x:c>
      <x:c r="E418" s="4" t="str">
        <x:v>整段分支核验未闭合</x:v>
      </x:c>
      <x:c r="F418" s="4" t="str">
        <x:v>GUILD-0088、GUILD-0089、GUILD-0090、GUILD-0091</x:v>
      </x:c>
      <x:c r="G418" s="4" t="str">
        <x:v>本段剩余子句、条件组合及状态后续影响仍需与独立规则逐项闭合；这是生成覆盖缺口，不是产品决策缺失。</x:v>
      </x:c>
    </x:row>
    <x:row r="419" ht="44" customHeight="1">
      <x:c r="A419" s="4" t="str">
        <x:v>REQ-3cb9a733a5b0</x:v>
      </x:c>
      <x:c r="B419" s="4" t="str">
        <x:v>运营管理</x:v>
      </x:c>
      <x:c r="C419" s="4" t="n">
        <x:v>2306</x:v>
      </x:c>
      <x:c r="D419" s="4" t="str">
        <x:v>点击日期消费 -&gt; 进入送礼记录并带入账号和日期；启停或发放成功后刷新指标。</x:v>
      </x:c>
      <x:c r="E419" s="4" t="str">
        <x:v>整段分支核验未闭合</x:v>
      </x:c>
      <x:c r="F419" s="4" t="str">
        <x:v>GUILD-0029、GUILD-0089、GUILD-0090、GUILD-0091</x:v>
      </x:c>
      <x:c r="G419" s="4" t="str">
        <x:v>本段剩余子句、条件组合及状态后续影响仍需与独立规则逐项闭合；这是生成覆盖缺口，不是产品决策缺失。</x:v>
      </x:c>
    </x:row>
    <x:row r="420" ht="44" customHeight="1">
      <x:c r="A420" s="4" t="str">
        <x:v>REQ-21482a338b4c</x:v>
      </x:c>
      <x:c r="B420" s="4" t="str">
        <x:v>运营管理</x:v>
      </x:c>
      <x:c r="C420" s="4" t="n">
        <x:v>2310</x:v>
      </x:c>
      <x:c r="D420" s="4" t="str">
        <x:v>礼物名称 / 赠送时间：每行一笔成功赠送记录。</x:v>
      </x:c>
      <x:c r="E420" s="4" t="str">
        <x:v>整段分支核验未闭合</x:v>
      </x:c>
      <x:c r="F420" s="4" t="str">
        <x:v>GUILD-0192、GUILD-0193</x:v>
      </x:c>
      <x:c r="G420" s="4" t="str">
        <x:v>本段剩余子句、条件组合及状态后续影响仍需与独立规则逐项闭合；这是生成覆盖缺口，不是产品决策缺失。</x:v>
      </x:c>
    </x:row>
    <x:row r="421" ht="44" customHeight="1">
      <x:c r="A421" s="4" t="str">
        <x:v>REQ-b62796c68fa1</x:v>
      </x:c>
      <x:c r="B421" s="4" t="str">
        <x:v>运营管理</x:v>
      </x:c>
      <x:c r="C421" s="4" t="n">
        <x:v>2311</x:v>
      </x:c>
      <x:c r="D421" s="4" t="str">
        <x:v>消费金币：单价 × 数量，均为运营账号虚拟金币。</x:v>
      </x:c>
      <x:c r="E421" s="4" t="str">
        <x:v>整段分支核验未闭合</x:v>
      </x:c>
      <x:c r="F421" s="4" t="str">
        <x:v>GUILD-0240</x:v>
      </x:c>
      <x:c r="G421" s="4" t="str">
        <x:v>本段剩余子句、条件组合及状态后续影响仍需与独立规则逐项闭合；这是生成覆盖缺口，不是产品决策缺失。</x:v>
      </x:c>
    </x:row>
    <x:row r="422" ht="44" customHeight="1">
      <x:c r="A422" s="4" t="str">
        <x:v>REQ-8886e923a248</x:v>
      </x:c>
      <x:c r="B422" s="4" t="str">
        <x:v>运营管理</x:v>
      </x:c>
      <x:c r="C422" s="4" t="n">
        <x:v>2312</x:v>
      </x:c>
      <x:c r="D422" s="4" t="str">
        <x:v>赠送时间：该笔成功赠送发生时间。</x:v>
      </x:c>
      <x:c r="E422" s="4" t="str">
        <x:v>整段分支核验未闭合</x:v>
      </x:c>
      <x:c r="F422" s="4" t="str">
        <x:v>GUILD-0193</x:v>
      </x:c>
      <x:c r="G422" s="4" t="str">
        <x:v>本段剩余子句、条件组合及状态后续影响仍需与独立规则逐项闭合；这是生成覆盖缺口，不是产品决策缺失。</x:v>
      </x:c>
    </x:row>
    <x:row r="423" ht="44" customHeight="1">
      <x:c r="A423" s="4" t="str">
        <x:v>REQ-9e277d7deccf</x:v>
      </x:c>
      <x:c r="B423" s="4" t="str">
        <x:v>运营管理</x:v>
      </x:c>
      <x:c r="C423" s="4" t="n">
        <x:v>2313</x:v>
      </x:c>
      <x:c r="D423" s="4" t="str">
        <x:v>礼物名称：赠送礼物名称。</x:v>
      </x:c>
      <x:c r="E423" s="4" t="str">
        <x:v>整段分支核验未闭合</x:v>
      </x:c>
      <x:c r="F423" s="4" t="str">
        <x:v>GUILD-0194</x:v>
      </x:c>
      <x:c r="G423" s="4" t="str">
        <x:v>本段剩余子句、条件组合及状态后续影响仍需与独立规则逐项闭合；这是生成覆盖缺口，不是产品决策缺失。</x:v>
      </x:c>
    </x:row>
    <x:row r="424" ht="44" customHeight="1">
      <x:c r="A424" s="4" t="str">
        <x:v>REQ-044bfc926083</x:v>
      </x:c>
      <x:c r="B424" s="4" t="str">
        <x:v>运营管理</x:v>
      </x:c>
      <x:c r="C424" s="4" t="n">
        <x:v>2314</x:v>
      </x:c>
      <x:c r="D424" s="4" t="str">
        <x:v>消费金币：礼物单价 × 赠送数量，不等于主播分成。</x:v>
      </x:c>
      <x:c r="E424" s="4" t="str">
        <x:v>整段分支核验未闭合</x:v>
      </x:c>
      <x:c r="F424" s="4" t="str">
        <x:v>GUILD-0240</x:v>
      </x:c>
      <x:c r="G424" s="4" t="str">
        <x:v>本段剩余子句、条件组合及状态后续影响仍需与独立规则逐项闭合；这是生成覆盖缺口，不是产品决策缺失。</x:v>
      </x:c>
    </x:row>
    <x:row r="425" ht="44" customHeight="1">
      <x:c r="A425" s="4" t="str">
        <x:v>REQ-35bd384b5c24</x:v>
      </x:c>
      <x:c r="B425" s="4" t="str">
        <x:v>运营管理</x:v>
      </x:c>
      <x:c r="C425" s="4" t="n">
        <x:v>2315</x:v>
      </x:c>
      <x:c r="D425" s="4" t="str">
        <x:v>礼物单价：本次赠送采用的单件礼物金币价格。</x:v>
      </x:c>
      <x:c r="E425" s="4" t="str">
        <x:v>尚未建立场景映射</x:v>
      </x:c>
      <x:c r="F425" s="4" t="str"/>
      <x:c r="G425" s="4" t="str">
        <x:v>本轮独立来源库保留该已知条款，但尚未建立可核验的正式场景映射；不是无业务依据，也不转为产品待确认。</x:v>
      </x:c>
    </x:row>
    <x:row r="426" ht="44" customHeight="1">
      <x:c r="A426" s="4" t="str">
        <x:v>REQ-24c46a7ac13f</x:v>
      </x:c>
      <x:c r="B426" s="4" t="str">
        <x:v>运营管理</x:v>
      </x:c>
      <x:c r="C426" s="4" t="n">
        <x:v>2316</x:v>
      </x:c>
      <x:c r="D426" s="4" t="str">
        <x:v>礼物类型：对应普通、定制等礼物类型。</x:v>
      </x:c>
      <x:c r="E426" s="4" t="str">
        <x:v>尚未建立场景映射</x:v>
      </x:c>
      <x:c r="F426" s="4" t="str"/>
      <x:c r="G426" s="4" t="str">
        <x:v>本轮独立来源库保留该已知条款，但尚未建立可核验的正式场景映射；不是无业务依据，也不转为产品待确认。</x:v>
      </x:c>
    </x:row>
    <x:row r="427" ht="44" customHeight="1">
      <x:c r="A427" s="4" t="str">
        <x:v>REQ-f738c96c68a0</x:v>
      </x:c>
      <x:c r="B427" s="4" t="str">
        <x:v>运营管理</x:v>
      </x:c>
      <x:c r="C427" s="4" t="n">
        <x:v>2317</x:v>
      </x:c>
      <x:c r="D427" s="4" t="str">
        <x:v>赠送数量：该笔礼物件数，单位为件。</x:v>
      </x:c>
      <x:c r="E427" s="4" t="str">
        <x:v>尚未建立场景映射</x:v>
      </x:c>
      <x:c r="F427" s="4" t="str"/>
      <x:c r="G427" s="4" t="str">
        <x:v>本轮独立来源库保留该已知条款，但尚未建立可核验的正式场景映射；不是无业务依据，也不转为产品待确认。</x:v>
      </x:c>
    </x:row>
    <x:row r="428" ht="44" customHeight="1">
      <x:c r="A428" s="4" t="str">
        <x:v>REQ-fe92bf460795</x:v>
      </x:c>
      <x:c r="B428" s="4" t="str">
        <x:v>运营管理</x:v>
      </x:c>
      <x:c r="C428" s="4" t="n">
        <x:v>2318</x:v>
      </x:c>
      <x:c r="D428" s="4" t="str">
        <x:v>主播名称 / 主播 ID：该笔礼物接收主播的名称及唯一标识。</x:v>
      </x:c>
      <x:c r="E428" s="4" t="str">
        <x:v>整段分支核验未闭合</x:v>
      </x:c>
      <x:c r="F428" s="4" t="str">
        <x:v>GUILD-0195、GUILD-0196</x:v>
      </x:c>
      <x:c r="G428" s="4" t="str">
        <x:v>本段剩余子句、条件组合及状态后续影响仍需与独立规则逐项闭合；这是生成覆盖缺口，不是产品决策缺失。</x:v>
      </x:c>
    </x:row>
    <x:row r="429" ht="44" customHeight="1">
      <x:c r="A429" s="4" t="str">
        <x:v>REQ-18cc1beb60b8</x:v>
      </x:c>
      <x:c r="B429" s="4" t="str">
        <x:v>运营管理</x:v>
      </x:c>
      <x:c r="C429" s="4" t="n">
        <x:v>2319</x:v>
      </x:c>
      <x:c r="D429" s="4" t="str">
        <x:v>支持多选运营账号和今日、昨日、本周、上周、本月、上月、自定义；默认全部运营账号、今日。</x:v>
      </x:c>
      <x:c r="E429" s="4" t="str">
        <x:v>整段分支核验未闭合</x:v>
      </x:c>
      <x:c r="F429" s="4" t="str">
        <x:v>GUILD-0309</x:v>
      </x:c>
      <x:c r="G429" s="4" t="str">
        <x:v>本段剩余子句、条件组合及状态后续影响仍需与独立规则逐项闭合；这是生成覆盖缺口，不是产品决策缺失。</x:v>
      </x:c>
    </x:row>
    <x:row r="430" ht="44" customHeight="1">
      <x:c r="A430" s="4" t="str">
        <x:v>REQ-9d12cfa29c07</x:v>
      </x:c>
      <x:c r="B430" s="4" t="str">
        <x:v>运营管理</x:v>
      </x:c>
      <x:c r="C430" s="4" t="n">
        <x:v>2320</x:v>
      </x:c>
      <x:c r="D430" s="4" t="str">
        <x:v>总送礼次数：筛选范围内成功送礼记录数。</x:v>
      </x:c>
      <x:c r="E430" s="4" t="str">
        <x:v>整段分支核验未闭合</x:v>
      </x:c>
      <x:c r="F430" s="4" t="str">
        <x:v>GUILD-0293</x:v>
      </x:c>
      <x:c r="G430" s="4" t="str">
        <x:v>本段剩余子句、条件组合及状态后续影响仍需与独立规则逐项闭合；这是生成覆盖缺口，不是产品决策缺失。</x:v>
      </x:c>
    </x:row>
    <x:row r="431" ht="44" customHeight="1">
      <x:c r="A431" s="4" t="str">
        <x:v>REQ-18e1e75f6ebd</x:v>
      </x:c>
      <x:c r="B431" s="4" t="str">
        <x:v>运营管理</x:v>
      </x:c>
      <x:c r="C431" s="4" t="n">
        <x:v>2321</x:v>
      </x:c>
      <x:c r="D431" s="4" t="str">
        <x:v>总消费金币：筛选范围内各成功送礼记录的礼物单价乘赠送数量之和。</x:v>
      </x:c>
      <x:c r="E431" s="4" t="str">
        <x:v>整段分支核验未闭合</x:v>
      </x:c>
      <x:c r="F431" s="4" t="str">
        <x:v>GUILD-0294</x:v>
      </x:c>
      <x:c r="G431" s="4" t="str">
        <x:v>本段剩余子句、条件组合及状态后续影响仍需与独立规则逐项闭合；这是生成覆盖缺口，不是产品决策缺失。</x:v>
      </x:c>
    </x:row>
    <x:row r="432" ht="44" customHeight="1">
      <x:c r="A432" s="4" t="str">
        <x:v>REQ-d6b57fc1c481</x:v>
      </x:c>
      <x:c r="B432" s="4" t="str">
        <x:v>运营管理</x:v>
      </x:c>
      <x:c r="C432" s="4" t="n">
        <x:v>2322</x:v>
      </x:c>
      <x:c r="D432" s="4" t="str">
        <x:v>虚拟金币仅可用于赠送普通礼物和定制礼物，不能赠送幸运礼物，不能购买装扮、门票或用于其他消费；虚拟金币送礼不计入主播收益或分成。</x:v>
      </x:c>
      <x:c r="E432" s="4" t="str">
        <x:v>尚未建立场景映射</x:v>
      </x:c>
      <x:c r="F432" s="4" t="str"/>
      <x:c r="G432" s="4" t="str">
        <x:v>本轮独立来源库保留该已知条款，但尚未建立可核验的正式场景映射；不是无业务依据，也不转为产品待确认。</x:v>
      </x:c>
    </x:row>
    <x:row r="433" ht="44" customHeight="1">
      <x:c r="A433" s="4" t="str">
        <x:v>REQ-d50e680d0a9b</x:v>
      </x:c>
      <x:c r="B433" s="4" t="str">
        <x:v>运营管理</x:v>
      </x:c>
      <x:c r="C433" s="4" t="n">
        <x:v>2323</x:v>
      </x:c>
      <x:c r="D433" s="4" t="str">
        <x:v>点击记录 -&gt; 打开送礼详情；筛选变化 -&gt; 刷新汇总和列表。</x:v>
      </x:c>
      <x:c r="E433" s="4" t="str">
        <x:v>尚未建立场景映射</x:v>
      </x:c>
      <x:c r="F433" s="4" t="str"/>
      <x:c r="G433" s="4" t="str">
        <x:v>本轮独立来源库保留该已知条款，但尚未建立可核验的正式场景映射；不是无业务依据，也不转为产品待确认。</x:v>
      </x:c>
    </x:row>
    <x:row r="434" ht="44" customHeight="1">
      <x:c r="A434" s="4" t="str">
        <x:v>REQ-3357f27fc152</x:v>
      </x:c>
      <x:c r="B434" s="4" t="str">
        <x:v>运营管理</x:v>
      </x:c>
      <x:c r="C434" s="4" t="n">
        <x:v>2327</x:v>
      </x:c>
      <x:c r="D434" s="4" t="str">
        <x:v>搜索：按运营账号名称或登录账号模糊匹配。</x:v>
      </x:c>
      <x:c r="E434" s="4" t="str">
        <x:v>尚未建立场景映射</x:v>
      </x:c>
      <x:c r="F434" s="4" t="str"/>
      <x:c r="G434" s="4" t="str">
        <x:v>本轮独立来源库保留该已知条款，但尚未建立可核验的正式场景映射；不是无业务依据，也不转为产品待确认。</x:v>
      </x:c>
    </x:row>
    <x:row r="435" ht="44" customHeight="1">
      <x:c r="A435" s="4" t="str">
        <x:v>REQ-79212888b0a2</x:v>
      </x:c>
      <x:c r="B435" s="4" t="str">
        <x:v>运营管理</x:v>
      </x:c>
      <x:c r="C435" s="4" t="n">
        <x:v>2328</x:v>
      </x:c>
      <x:c r="D435" s="4" t="str">
        <x:v>头像 / 名称 / 登录账号：显示当前公会运营账号资料；此处显示登录账号，不是账号 ID。</x:v>
      </x:c>
      <x:c r="E435" s="4" t="str">
        <x:v>尚未建立场景映射</x:v>
      </x:c>
      <x:c r="F435" s="4" t="str"/>
      <x:c r="G435" s="4" t="str">
        <x:v>本轮独立来源库保留该已知条款，但尚未建立可核验的正式场景映射；不是无业务依据，也不转为产品待确认。</x:v>
      </x:c>
    </x:row>
    <x:row r="436" ht="44" customHeight="1">
      <x:c r="A436" s="4" t="str">
        <x:v>REQ-93b398b52072</x:v>
      </x:c>
      <x:c r="B436" s="4" t="str">
        <x:v>运营管理</x:v>
      </x:c>
      <x:c r="C436" s="4" t="n">
        <x:v>2329</x:v>
      </x:c>
      <x:c r="D436" s="4" t="str">
        <x:v>结果数量 / 已选数量：分别表示搜索结果数和所有已选账号数。</x:v>
      </x:c>
      <x:c r="E436" s="4" t="str">
        <x:v>整段分支核验未闭合</x:v>
      </x:c>
      <x:c r="F436" s="4" t="str">
        <x:v>GUILD-0295、GUILD-0296</x:v>
      </x:c>
      <x:c r="G436" s="4" t="str">
        <x:v>本段剩余子句、条件组合及状态后续影响仍需与独立规则逐项闭合；这是生成覆盖缺口，不是产品决策缺失。</x:v>
      </x:c>
    </x:row>
    <x:row r="437" ht="44" customHeight="1">
      <x:c r="A437" s="4" t="str">
        <x:v>REQ-a0bb60a7cf49</x:v>
      </x:c>
      <x:c r="B437" s="4" t="str">
        <x:v>运营管理</x:v>
      </x:c>
      <x:c r="C437" s="4" t="n">
        <x:v>2330</x:v>
      </x:c>
      <x:c r="D437" s="4" t="str">
        <x:v>全选 / 选中标记：支持多选；全选作用于全部运营账号，取消全选清空选择。</x:v>
      </x:c>
      <x:c r="E437" s="4" t="str">
        <x:v>整段分支核验未闭合</x:v>
      </x:c>
      <x:c r="F437" s="4" t="str">
        <x:v>GUILD-0096、GUILD-0097</x:v>
      </x:c>
      <x:c r="G437" s="4" t="str">
        <x:v>本段剩余子句、条件组合及状态后续影响仍需与独立规则逐项闭合；这是生成覆盖缺口，不是产品决策缺失。</x:v>
      </x:c>
    </x:row>
    <x:row r="438" ht="44" customHeight="1">
      <x:c r="A438" s="4" t="str">
        <x:v>REQ-1a233850b6a8</x:v>
      </x:c>
      <x:c r="B438" s="4" t="str">
        <x:v>运营管理</x:v>
      </x:c>
      <x:c r="C438" s="4" t="n">
        <x:v>2331</x:v>
      </x:c>
      <x:c r="D438" s="4" t="str">
        <x:v>完成 -&gt; 返回送礼记录，回填账号并保留日期条件；取消全选 -&gt; 清空选择。</x:v>
      </x:c>
      <x:c r="E438" s="4" t="str">
        <x:v>整段分支核验未闭合</x:v>
      </x:c>
      <x:c r="F438" s="4" t="str">
        <x:v>GUILD-0096、GUILD-0097</x:v>
      </x:c>
      <x:c r="G438" s="4" t="str">
        <x:v>本段剩余子句、条件组合及状态后续影响仍需与独立规则逐项闭合；这是生成覆盖缺口，不是产品决策缺失。</x:v>
      </x:c>
    </x:row>
    <x:row r="439" ht="44" customHeight="1">
      <x:c r="A439" s="4" t="str">
        <x:v>REQ-bfb5dec0051f</x:v>
      </x:c>
      <x:c r="B439" s="4" t="str">
        <x:v>公会设置</x:v>
      </x:c>
      <x:c r="C439" s="4" t="n">
        <x:v>2335</x:v>
      </x:c>
      <x:c r="D439" s="4" t="str">
        <x:v>公会 ID：平台创建，永久只读。</x:v>
      </x:c>
      <x:c r="E439" s="4" t="str">
        <x:v>整段分支核验未闭合</x:v>
      </x:c>
      <x:c r="F439" s="4" t="str">
        <x:v>GUILD-0197</x:v>
      </x:c>
      <x:c r="G439" s="4" t="str">
        <x:v>本段剩余子句、条件组合及状态后续影响仍需与独立规则逐项闭合；这是生成覆盖缺口，不是产品决策缺失。</x:v>
      </x:c>
    </x:row>
    <x:row r="440" ht="44" customHeight="1">
      <x:c r="A440" s="4" t="str">
        <x:v>REQ-67367b9e484f</x:v>
      </x:c>
      <x:c r="B440" s="4" t="str">
        <x:v>公会设置</x:v>
      </x:c>
      <x:c r="C440" s="4" t="n">
        <x:v>2336</x:v>
      </x:c>
      <x:c r="D440" s="4" t="str">
        <x:v>公会 Logo：支持 JPG、PNG、WebP。</x:v>
      </x:c>
      <x:c r="E440" s="4" t="str">
        <x:v>尚未建立场景映射</x:v>
      </x:c>
      <x:c r="F440" s="4" t="str"/>
      <x:c r="G440" s="4" t="str">
        <x:v>本轮独立来源库保留该已知条款，但尚未建立可核验的正式场景映射；不是无业务依据，也不转为产品待确认。</x:v>
      </x:c>
    </x:row>
    <x:row r="441" ht="44" customHeight="1">
      <x:c r="A441" s="4" t="str">
        <x:v>REQ-719b170ec807</x:v>
      </x:c>
      <x:c r="B441" s="4" t="str">
        <x:v>公会设置</x:v>
      </x:c>
      <x:c r="C441" s="4" t="n">
        <x:v>2337</x:v>
      </x:c>
      <x:c r="D441" s="4" t="str">
        <x:v>公会名称：必填，去除首尾空格后最多 40 字。</x:v>
      </x:c>
      <x:c r="E441" s="4" t="str">
        <x:v>整段分支核验未闭合</x:v>
      </x:c>
      <x:c r="F441" s="4" t="str">
        <x:v>GUILD-0098、GUILD-0099、GUILD-0100、GUILD-0101、GUILD-0106</x:v>
      </x:c>
      <x:c r="G441" s="4" t="str">
        <x:v>本段剩余子句、条件组合及状态后续影响仍需与独立规则逐项闭合；这是生成覆盖缺口，不是产品决策缺失。</x:v>
      </x:c>
    </x:row>
    <x:row r="442" ht="44" customHeight="1">
      <x:c r="A442" s="4" t="str">
        <x:v>REQ-d816064a736d</x:v>
      </x:c>
      <x:c r="B442" s="4" t="str">
        <x:v>公会设置</x:v>
      </x:c>
      <x:c r="C442" s="4" t="n">
        <x:v>2338</x:v>
      </x:c>
      <x:c r="D442" s="4" t="str">
        <x:v>公会简介：选填，最多 200 字。</x:v>
      </x:c>
      <x:c r="E442" s="4" t="str">
        <x:v>整段分支核验未闭合</x:v>
      </x:c>
      <x:c r="F442" s="4" t="str">
        <x:v>GUILD-0102、GUILD-0103、GUILD-0104、GUILD-0105</x:v>
      </x:c>
      <x:c r="G442" s="4" t="str">
        <x:v>本段剩余子句、条件组合及状态后续影响仍需与独立规则逐项闭合；这是生成覆盖缺口，不是产品决策缺失。</x:v>
      </x:c>
    </x:row>
    <x:row r="443" ht="44" customHeight="1">
      <x:c r="A443" s="4" t="str">
        <x:v>REQ-27f2001713c4</x:v>
      </x:c>
      <x:c r="B443" s="4" t="str">
        <x:v>公会设置</x:v>
      </x:c>
      <x:c r="C443" s="4" t="n">
        <x:v>2339</x:v>
      </x:c>
      <x:c r="D443" s="4" t="str">
        <x:v>保存 -&gt; 校验字段 -&gt; 更新当前公会资料；不改变公会 ID 和公会关系。</x:v>
      </x:c>
      <x:c r="E443" s="4" t="str">
        <x:v>尚未建立场景映射</x:v>
      </x:c>
      <x:c r="F443" s="4" t="str"/>
      <x:c r="G443" s="4" t="str">
        <x:v>本轮独立来源库保留该已知条款，但尚未建立可核验的正式场景映射；不是无业务依据，也不转为产品待确认。</x:v>
      </x:c>
    </x:row>
    <x:row r="444" ht="44" customHeight="1">
      <x:c r="A444" s="4" t="str">
        <x:v>REQ-3cecb107f6b2</x:v>
      </x:c>
      <x:c r="B444" s="4" t="str">
        <x:v>公会设置</x:v>
      </x:c>
      <x:c r="C444" s="4" t="n">
        <x:v>2343</x:v>
      </x:c>
      <x:c r="D444" s="4" t="str">
        <x:v>头像 / 公会长名称：当前登录公会长资料。</x:v>
      </x:c>
      <x:c r="E444" s="4" t="str">
        <x:v>尚未建立场景映射</x:v>
      </x:c>
      <x:c r="F444" s="4" t="str"/>
      <x:c r="G444" s="4" t="str">
        <x:v>本轮独立来源库保留该已知条款，但尚未建立可核验的正式场景映射；不是无业务依据，也不转为产品待确认。</x:v>
      </x:c>
    </x:row>
    <x:row r="445" ht="44" customHeight="1">
      <x:c r="A445" s="4" t="str">
        <x:v>REQ-1f3eaeeb6874</x:v>
      </x:c>
      <x:c r="B445" s="4" t="str">
        <x:v>公会设置</x:v>
      </x:c>
      <x:c r="C445" s="4" t="n">
        <x:v>2344</x:v>
      </x:c>
      <x:c r="D445" s="4" t="str">
        <x:v>公会 ID：当前管理公会的 ID，不是公会长用户 ID。</x:v>
      </x:c>
      <x:c r="E445" s="4" t="str">
        <x:v>尚未建立场景映射</x:v>
      </x:c>
      <x:c r="F445" s="4" t="str"/>
      <x:c r="G445" s="4" t="str">
        <x:v>本轮独立来源库保留该已知条款，但尚未建立可核验的正式场景映射；不是无业务依据，也不转为产品待确认。</x:v>
      </x:c>
    </x:row>
    <x:row r="446" ht="44" customHeight="1">
      <x:c r="A446" s="4" t="str">
        <x:v>REQ-d6a1139e269a</x:v>
      </x:c>
      <x:c r="B446" s="4" t="str">
        <x:v>公会设置</x:v>
      </x:c>
      <x:c r="C446" s="4" t="n">
        <x:v>2345</x:v>
      </x:c>
      <x:c r="D446" s="4" t="str">
        <x:v>语言：中文、English、Bahasa Indonesia、Bahasa Melayu；选择后更新当前语言显示。</x:v>
      </x:c>
      <x:c r="E446" s="4" t="str">
        <x:v>整段分支核验未闭合</x:v>
      </x:c>
      <x:c r="F446" s="4" t="str">
        <x:v>GUILD-0107、GUILD-0108、GUILD-0109、GUILD-0110</x:v>
      </x:c>
      <x:c r="G446" s="4" t="str">
        <x:v>本段剩余子句、条件组合及状态后续影响仍需与独立规则逐项闭合；这是生成覆盖缺口，不是产品决策缺失。</x:v>
      </x:c>
    </x:row>
    <x:row r="447" ht="44" customHeight="1">
      <x:c r="A447" s="4" t="str">
        <x:v>REQ-8f05fd294d21</x:v>
      </x:c>
      <x:c r="B447" s="4" t="str">
        <x:v>公会设置</x:v>
      </x:c>
      <x:c r="C447" s="4" t="n">
        <x:v>2346</x:v>
      </x:c>
      <x:c r="D447" s="4" t="str">
        <x:v>修改密码：进入修改密码页。</x:v>
      </x:c>
      <x:c r="E447" s="4" t="str">
        <x:v>尚未建立场景映射</x:v>
      </x:c>
      <x:c r="F447" s="4" t="str"/>
      <x:c r="G447" s="4" t="str">
        <x:v>本轮独立来源库保留该已知条款，但尚未建立可核验的正式场景映射；不是无业务依据，也不转为产品待确认。</x:v>
      </x:c>
    </x:row>
    <x:row r="448" ht="44" customHeight="1">
      <x:c r="A448" s="4" t="str">
        <x:v>REQ-64fae34ac59a</x:v>
      </x:c>
      <x:c r="B448" s="4" t="str">
        <x:v>公会设置</x:v>
      </x:c>
      <x:c r="C448" s="4" t="n">
        <x:v>2347</x:v>
      </x:c>
      <x:c r="D448" s="4" t="str">
        <x:v>退出登录：二次确认后清除会话并返回登录页。</x:v>
      </x:c>
      <x:c r="E448" s="4" t="str">
        <x:v>整段分支核验未闭合</x:v>
      </x:c>
      <x:c r="F448" s="4" t="str">
        <x:v>GUILD-0111</x:v>
      </x:c>
      <x:c r="G448" s="4" t="str">
        <x:v>本段剩余子句、条件组合及状态后续影响仍需与独立规则逐项闭合；这是生成覆盖缺口，不是产品决策缺失。</x:v>
      </x:c>
    </x:row>
    <x:row r="449" ht="44" customHeight="1">
      <x:c r="A449" s="4" t="str">
        <x:v>REQ-8826ed80561a</x:v>
      </x:c>
      <x:c r="B449" s="4" t="str">
        <x:v>公会设置</x:v>
      </x:c>
      <x:c r="C449" s="4" t="n">
        <x:v>2348</x:v>
      </x:c>
      <x:c r="D449" s="4" t="str">
        <x:v>语言设置作用于当前登录账号的公会端，不修改公会或主播资料。</x:v>
      </x:c>
      <x:c r="E449" s="4" t="str">
        <x:v>整段分支核验未闭合</x:v>
      </x:c>
      <x:c r="F449" s="4" t="str">
        <x:v>GUILD-0107、GUILD-0108、GUILD-0109、GUILD-0110</x:v>
      </x:c>
      <x:c r="G449" s="4" t="str">
        <x:v>本段剩余子句、条件组合及状态后续影响仍需与独立规则逐项闭合；这是生成覆盖缺口，不是产品决策缺失。</x:v>
      </x:c>
    </x:row>
    <x:row r="450" ht="44" customHeight="1">
      <x:c r="A450" s="4" t="str">
        <x:v>REQ-e855670b3ded</x:v>
      </x:c>
      <x:c r="B450" s="4" t="str">
        <x:v>公会设置</x:v>
      </x:c>
      <x:c r="C450" s="4" t="n">
        <x:v>2349</x:v>
      </x:c>
      <x:c r="D450" s="4" t="str">
        <x:v>修改密码 -&gt; 独立页面；退出登录 -&gt; 二次确认 -&gt; 清除会话并返回登录页。</x:v>
      </x:c>
      <x:c r="E450" s="4" t="str">
        <x:v>整段分支核验未闭合</x:v>
      </x:c>
      <x:c r="F450" s="4" t="str">
        <x:v>GUILD-0111</x:v>
      </x:c>
      <x:c r="G450" s="4" t="str">
        <x:v>本段剩余子句、条件组合及状态后续影响仍需与独立规则逐项闭合；这是生成覆盖缺口，不是产品决策缺失。</x:v>
      </x:c>
    </x:row>
    <x:row r="451" ht="44" customHeight="1">
      <x:c r="A451" s="4" t="str">
        <x:v>REQ-e433f84a8574</x:v>
      </x:c>
      <x:c r="B451" s="4" t="str">
        <x:v>公会设置</x:v>
      </x:c>
      <x:c r="C451" s="4" t="n">
        <x:v>2353</x:v>
      </x:c>
      <x:c r="D451" s="4" t="str">
        <x:v>当前密码：必填，必须与当前密码一致。</x:v>
      </x:c>
      <x:c r="E451" s="4" t="str">
        <x:v>整段分支核验未闭合</x:v>
      </x:c>
      <x:c r="F451" s="4" t="str">
        <x:v>GUILD-0112、GUILD-0113、GUILD-0114</x:v>
      </x:c>
      <x:c r="G451" s="4" t="str">
        <x:v>本段剩余子句、条件组合及状态后续影响仍需与独立规则逐项闭合；这是生成覆盖缺口，不是产品决策缺失。</x:v>
      </x:c>
    </x:row>
    <x:row r="452" ht="44" customHeight="1">
      <x:c r="A452" s="4" t="str">
        <x:v>REQ-91704eabb038</x:v>
      </x:c>
      <x:c r="B452" s="4" t="str">
        <x:v>公会设置</x:v>
      </x:c>
      <x:c r="C452" s="4" t="n">
        <x:v>2354</x:v>
      </x:c>
      <x:c r="D452" s="4" t="str">
        <x:v>新密码：必填，至少 8 位，不能与当前密码相同。</x:v>
      </x:c>
      <x:c r="E452" s="4" t="str">
        <x:v>整段分支核验未闭合</x:v>
      </x:c>
      <x:c r="F452" s="4" t="str">
        <x:v>GUILD-0112、GUILD-0113、GUILD-0114</x:v>
      </x:c>
      <x:c r="G452" s="4" t="str">
        <x:v>本段剩余子句、条件组合及状态后续影响仍需与独立规则逐项闭合；这是生成覆盖缺口，不是产品决策缺失。</x:v>
      </x:c>
    </x:row>
    <x:row r="453" ht="44" customHeight="1">
      <x:c r="A453" s="4" t="str">
        <x:v>REQ-b2fb543894d9</x:v>
      </x:c>
      <x:c r="B453" s="4" t="str">
        <x:v>公会设置</x:v>
      </x:c>
      <x:c r="C453" s="4" t="n">
        <x:v>2355</x:v>
      </x:c>
      <x:c r="D453" s="4" t="str">
        <x:v>确认新密码：必填，必须与新密码一致。</x:v>
      </x:c>
      <x:c r="E453" s="4" t="str">
        <x:v>整段分支核验未闭合</x:v>
      </x:c>
      <x:c r="F453" s="4" t="str">
        <x:v>GUILD-0112、GUILD-0113、GUILD-0114</x:v>
      </x:c>
      <x:c r="G453" s="4" t="str">
        <x:v>本段剩余子句、条件组合及状态后续影响仍需与独立规则逐项闭合；这是生成覆盖缺口，不是产品决策缺失。</x:v>
      </x:c>
    </x:row>
    <x:row r="454" ht="57" customHeight="1">
      <x:c r="A454" s="4" t="str">
        <x:v>REQ-1e4230a9bda5</x:v>
      </x:c>
      <x:c r="B454" s="4" t="str">
        <x:v>公会设置</x:v>
      </x:c>
      <x:c r="C454" s="4" t="n">
        <x:v>2356</x:v>
      </x:c>
      <x:c r="D454" s="4" t="str">
        <x:v>当前密码错误 -&gt; 保留输入并提示“当前密码错误”；新密码与旧密码相同 -&gt; 保留输入并提示“新密码不能和旧密码一样”；请求失败 -&gt; 保留输入并提示“保存失败”；校验成功后更新密码并返回账号设置。</x:v>
      </x:c>
      <x:c r="E454" s="4" t="str">
        <x:v>整段分支核验未闭合</x:v>
      </x:c>
      <x:c r="F454" s="4" t="str">
        <x:v>GUILD-0112、GUILD-0113、GUILD-0114、GUILD-0115</x:v>
      </x:c>
      <x:c r="G454" s="4" t="str">
        <x:v>本段剩余子句、条件组合及状态后续影响仍需与独立规则逐项闭合；这是生成覆盖缺口，不是产品决策缺失。</x:v>
      </x:c>
    </x:row>
    <x:row r="455" ht="44" customHeight="1">
      <x:c r="A455" s="4" t="str">
        <x:v>REQ-bc61f595358c</x:v>
      </x:c>
      <x:c r="B455" s="4" t="str">
        <x:v>数据与收益</x:v>
      </x:c>
      <x:c r="C455" s="4" t="n">
        <x:v>2360</x:v>
      </x:c>
      <x:c r="D455" s="4" t="str">
        <x:v>主播 / 已选人数：支持多选，默认全部；进入选择页回填，保留日期条件。</x:v>
      </x:c>
      <x:c r="E455" s="4" t="str">
        <x:v>尚未建立场景映射</x:v>
      </x:c>
      <x:c r="F455" s="4" t="str"/>
      <x:c r="G455" s="4" t="str">
        <x:v>本轮独立来源库保留该已知条款，但尚未建立可核验的正式场景映射；不是无业务依据，也不转为产品待确认。</x:v>
      </x:c>
    </x:row>
    <x:row r="456" ht="44" customHeight="1">
      <x:c r="A456" s="4" t="str">
        <x:v>REQ-ea9a5bdb93b9</x:v>
      </x:c>
      <x:c r="B456" s="4" t="str">
        <x:v>数据与收益</x:v>
      </x:c>
      <x:c r="C456" s="4" t="n">
        <x:v>2361</x:v>
      </x:c>
      <x:c r="D456" s="4" t="str">
        <x:v>日期范围：按当前筛选起止日期统计，包含开始日和结束日；随快捷日期或自定义日期更新。</x:v>
      </x:c>
      <x:c r="E456" s="4" t="str">
        <x:v>整段分支核验未闭合</x:v>
      </x:c>
      <x:c r="F456" s="4" t="str">
        <x:v>GUILD-0125、GUILD-0126、GUILD-0127、GUILD-0314</x:v>
      </x:c>
      <x:c r="G456" s="4" t="str">
        <x:v>本段剩余子句、条件组合及状态后续影响仍需与独立规则逐项闭合；这是生成覆盖缺口，不是产品决策缺失。</x:v>
      </x:c>
    </x:row>
    <x:row r="457" ht="44" customHeight="1">
      <x:c r="A457" s="4" t="str">
        <x:v>REQ-4ff7e197f956</x:v>
      </x:c>
      <x:c r="B457" s="4" t="str">
        <x:v>数据与收益</x:v>
      </x:c>
      <x:c r="C457" s="4" t="n">
        <x:v>2362</x:v>
      </x:c>
      <x:c r="D457" s="4" t="str">
        <x:v>快捷日期：今日、昨日、本周、上周、本月、上月、自定义，默认今日；从其他页进入可带入范围。</x:v>
      </x:c>
      <x:c r="E457" s="4" t="str">
        <x:v>整段分支核验未闭合</x:v>
      </x:c>
      <x:c r="F457" s="4" t="str">
        <x:v>GUILD-0310</x:v>
      </x:c>
      <x:c r="G457" s="4" t="str">
        <x:v>本段剩余子句、条件组合及状态后续影响仍需与独立规则逐项闭合；这是生成覆盖缺口，不是产品决策缺失。</x:v>
      </x:c>
    </x:row>
    <x:row r="458" ht="44" customHeight="1">
      <x:c r="A458" s="4" t="str">
        <x:v>REQ-b8fbc07e8999</x:v>
      </x:c>
      <x:c r="B458" s="4" t="str">
        <x:v>数据与收益</x:v>
      </x:c>
      <x:c r="C458" s="4" t="n">
        <x:v>2363</x:v>
      </x:c>
      <x:c r="D458" s="4" t="str">
        <x:v>直播主题：该直播场次标题。</x:v>
      </x:c>
      <x:c r="E458" s="4" t="str">
        <x:v>整段分支核验未闭合</x:v>
      </x:c>
      <x:c r="F458" s="4" t="str">
        <x:v>GUILD-0137、GUILD-0138、GUILD-0198、GUILD-0314</x:v>
      </x:c>
      <x:c r="G458" s="4" t="str">
        <x:v>本段剩余子句、条件组合及状态后续影响仍需与独立规则逐项闭合；这是生成覆盖缺口，不是产品决策缺失。</x:v>
      </x:c>
    </x:row>
    <x:row r="459" ht="44" customHeight="1">
      <x:c r="A459" s="4" t="str">
        <x:v>REQ-682303c96745</x:v>
      </x:c>
      <x:c r="B459" s="4" t="str">
        <x:v>数据与收益</x:v>
      </x:c>
      <x:c r="C459" s="4" t="n">
        <x:v>2364</x:v>
      </x:c>
      <x:c r="D459" s="4" t="str">
        <x:v>房型图标：区分普通、门票、密码等直播房型。</x:v>
      </x:c>
      <x:c r="E459" s="4" t="str">
        <x:v>尚未建立场景映射</x:v>
      </x:c>
      <x:c r="F459" s="4" t="str"/>
      <x:c r="G459" s="4" t="str">
        <x:v>本轮独立来源库保留该已知条款，但尚未建立可核验的正式场景映射；不是无业务依据，也不转为产品待确认。</x:v>
      </x:c>
    </x:row>
    <x:row r="460" ht="44" customHeight="1">
      <x:c r="A460" s="4" t="str">
        <x:v>REQ-bcdfbce8488c</x:v>
      </x:c>
      <x:c r="B460" s="4" t="str">
        <x:v>数据与收益</x:v>
      </x:c>
      <x:c r="C460" s="4" t="n">
        <x:v>2365</x:v>
      </x:c>
      <x:c r="D460" s="4" t="str">
        <x:v>主播名称 / 主播 ID：多主播范围显示所属主播信息，单主播范围由顶部标识。</x:v>
      </x:c>
      <x:c r="E460" s="4" t="str">
        <x:v>整段分支核验未闭合</x:v>
      </x:c>
      <x:c r="F460" s="4" t="str">
        <x:v>GUILD-0199、GUILD-0200</x:v>
      </x:c>
      <x:c r="G460" s="4" t="str">
        <x:v>本段剩余子句、条件组合及状态后续影响仍需与独立规则逐项闭合；这是生成覆盖缺口，不是产品决策缺失。</x:v>
      </x:c>
    </x:row>
    <x:row r="461" ht="44" customHeight="1">
      <x:c r="A461" s="4" t="str">
        <x:v>REQ-636637b2a0cc</x:v>
      </x:c>
      <x:c r="B461" s="4" t="str">
        <x:v>数据与收益</x:v>
      </x:c>
      <x:c r="C461" s="4" t="n">
        <x:v>2366</x:v>
      </x:c>
      <x:c r="D461" s="4" t="str">
        <x:v>开播时间：本场直播开始时间；列表按开播时间倒序。</x:v>
      </x:c>
      <x:c r="E461" s="4" t="str">
        <x:v>整段分支核验未闭合</x:v>
      </x:c>
      <x:c r="F461" s="4" t="str">
        <x:v>GUILD-0201、GUILD-0231</x:v>
      </x:c>
      <x:c r="G461" s="4" t="str">
        <x:v>本段剩余子句、条件组合及状态后续影响仍需与独立规则逐项闭合；这是生成覆盖缺口，不是产品决策缺失。</x:v>
      </x:c>
    </x:row>
    <x:row r="462" ht="44" customHeight="1">
      <x:c r="A462" s="4" t="str">
        <x:v>REQ-fb2f7046d77a</x:v>
      </x:c>
      <x:c r="B462" s="4" t="str">
        <x:v>数据与收益</x:v>
      </x:c>
      <x:c r="C462" s="4" t="n">
        <x:v>2367</x:v>
      </x:c>
      <x:c r="D462" s="4" t="str">
        <x:v>直播时长：当前场次累计时长，以小时、分钟展示。</x:v>
      </x:c>
      <x:c r="E462" s="4" t="str">
        <x:v>整段分支核验未闭合</x:v>
      </x:c>
      <x:c r="F462" s="4" t="str">
        <x:v>GUILD-0314</x:v>
      </x:c>
      <x:c r="G462" s="4" t="str">
        <x:v>本段剩余子句、条件组合及状态后续影响仍需与独立规则逐项闭合；这是生成覆盖缺口，不是产品决策缺失。</x:v>
      </x:c>
    </x:row>
    <x:row r="463" ht="44" customHeight="1">
      <x:c r="A463" s="4" t="str">
        <x:v>REQ-06ce5f7ae15a</x:v>
      </x:c>
      <x:c r="B463" s="4" t="str">
        <x:v>数据与收益</x:v>
      </x:c>
      <x:c r="C463" s="4" t="n">
        <x:v>2368</x:v>
      </x:c>
      <x:c r="D463" s="4" t="str">
        <x:v>收益：本场计入主播收益的金币。</x:v>
      </x:c>
      <x:c r="E463" s="4" t="str">
        <x:v>尚未建立场景映射</x:v>
      </x:c>
      <x:c r="F463" s="4" t="str"/>
      <x:c r="G463" s="4" t="str">
        <x:v>本轮独立来源库保留该已知条款，但尚未建立可核验的正式场景映射；不是无业务依据，也不转为产品待确认。</x:v>
      </x:c>
    </x:row>
    <x:row r="464" ht="44" customHeight="1">
      <x:c r="A464" s="4" t="str">
        <x:v>REQ-af1d816ec2c6</x:v>
      </x:c>
      <x:c r="B464" s="4" t="str">
        <x:v>数据与收益</x:v>
      </x:c>
      <x:c r="C464" s="4" t="n">
        <x:v>2369</x:v>
      </x:c>
      <x:c r="D464" s="4" t="str">
        <x:v>观众：本场进入直播间的去重用户数，重复进入只计 1 人。</x:v>
      </x:c>
      <x:c r="E464" s="4" t="str">
        <x:v>整段分支核验未闭合</x:v>
      </x:c>
      <x:c r="F464" s="4" t="str">
        <x:v>GUILD-0241</x:v>
      </x:c>
      <x:c r="G464" s="4" t="str">
        <x:v>本段剩余子句、条件组合及状态后续影响仍需与独立规则逐项闭合；这是生成覆盖缺口，不是产品决策缺失。</x:v>
      </x:c>
    </x:row>
    <x:row r="465" ht="44" customHeight="1">
      <x:c r="A465" s="4" t="str">
        <x:v>REQ-87e274cd7605</x:v>
      </x:c>
      <x:c r="B465" s="4" t="str">
        <x:v>数据与收益</x:v>
      </x:c>
      <x:c r="C465" s="4" t="n">
        <x:v>2370</x:v>
      </x:c>
      <x:c r="D465" s="4" t="str">
        <x:v>收礼数量：本场成功收到的礼物件数总和，不是送礼人数。</x:v>
      </x:c>
      <x:c r="E465" s="4" t="str">
        <x:v>整段分支核验未闭合</x:v>
      </x:c>
      <x:c r="F465" s="4" t="str">
        <x:v>GUILD-0242</x:v>
      </x:c>
      <x:c r="G465" s="4" t="str">
        <x:v>本段剩余子句、条件组合及状态后续影响仍需与独立规则逐项闭合；这是生成覆盖缺口，不是产品决策缺失。</x:v>
      </x:c>
    </x:row>
    <x:row r="466" ht="44" customHeight="1">
      <x:c r="A466" s="4" t="str">
        <x:v>REQ-978ae84c9129</x:v>
      </x:c>
      <x:c r="B466" s="4" t="str">
        <x:v>数据与收益</x:v>
      </x:c>
      <x:c r="C466" s="4" t="n">
        <x:v>2371</x:v>
      </x:c>
      <x:c r="D466" s="4" t="str">
        <x:v>收益：所选主播在所选日期范围内计入收益的礼物金币总和。</x:v>
      </x:c>
      <x:c r="E466" s="4" t="str">
        <x:v>整段分支核验未闭合</x:v>
      </x:c>
      <x:c r="F466" s="4" t="str">
        <x:v>GUILD-0243</x:v>
      </x:c>
      <x:c r="G466" s="4" t="str">
        <x:v>本段剩余子句、条件组合及状态后续影响仍需与独立规则逐项闭合；这是生成覆盖缺口，不是产品决策缺失。</x:v>
      </x:c>
    </x:row>
    <x:row r="467" ht="44" customHeight="1">
      <x:c r="A467" s="4" t="str">
        <x:v>REQ-b852b846541e</x:v>
      </x:c>
      <x:c r="B467" s="4" t="str">
        <x:v>数据与收益</x:v>
      </x:c>
      <x:c r="C467" s="4" t="n">
        <x:v>2372</x:v>
      </x:c>
      <x:c r="D467" s="4" t="str">
        <x:v>开播人数：所选日期范围内至少完成 1 场直播的去重主播数。</x:v>
      </x:c>
      <x:c r="E467" s="4" t="str">
        <x:v>整段分支核验未闭合</x:v>
      </x:c>
      <x:c r="F467" s="4" t="str">
        <x:v>GUILD-0137、GUILD-0138、GUILD-0244</x:v>
      </x:c>
      <x:c r="G467" s="4" t="str">
        <x:v>本段剩余子句、条件组合及状态后续影响仍需与独立规则逐项闭合；这是生成覆盖缺口，不是产品决策缺失。</x:v>
      </x:c>
    </x:row>
    <x:row r="468" ht="44" customHeight="1">
      <x:c r="A468" s="4" t="str">
        <x:v>REQ-5a047639c8df</x:v>
      </x:c>
      <x:c r="B468" s="4" t="str">
        <x:v>数据与收益</x:v>
      </x:c>
      <x:c r="C468" s="4" t="n">
        <x:v>2373</x:v>
      </x:c>
      <x:c r="D468" s="4" t="str">
        <x:v>直播场次：所选主播在所选日期范围内创建的直播场次总数。</x:v>
      </x:c>
      <x:c r="E468" s="4" t="str">
        <x:v>整段分支核验未闭合</x:v>
      </x:c>
      <x:c r="F468" s="4" t="str">
        <x:v>GUILD-0137、GUILD-0138、GUILD-0314</x:v>
      </x:c>
      <x:c r="G468" s="4" t="str">
        <x:v>本段剩余子句、条件组合及状态后续影响仍需与独立规则逐项闭合；这是生成覆盖缺口，不是产品决策缺失。</x:v>
      </x:c>
    </x:row>
    <x:row r="469" ht="44" customHeight="1">
      <x:c r="A469" s="4" t="str">
        <x:v>REQ-d1ff9ee9a737</x:v>
      </x:c>
      <x:c r="B469" s="4" t="str">
        <x:v>数据与收益</x:v>
      </x:c>
      <x:c r="C469" s="4" t="n">
        <x:v>2374</x:v>
      </x:c>
      <x:c r="D469" s="4" t="str">
        <x:v>每次开播创建一个新场次；场次结束后消息、消费、处置和收益记录继续保留。</x:v>
      </x:c>
      <x:c r="E469" s="4" t="str">
        <x:v>整段分支核验未闭合</x:v>
      </x:c>
      <x:c r="F469" s="4" t="str">
        <x:v>GUILD-0314</x:v>
      </x:c>
      <x:c r="G469" s="4" t="str">
        <x:v>本段剩余子句、条件组合及状态后续影响仍需与独立规则逐项闭合；这是生成覆盖缺口，不是产品决策缺失。</x:v>
      </x:c>
    </x:row>
    <x:row r="470" ht="44" customHeight="1">
      <x:c r="A470" s="4" t="str">
        <x:v>REQ-201858313f73</x:v>
      </x:c>
      <x:c r="B470" s="4" t="str">
        <x:v>数据与收益</x:v>
      </x:c>
      <x:c r="C470" s="4" t="n">
        <x:v>2375</x:v>
      </x:c>
      <x:c r="D470" s="4" t="str">
        <x:v>点击直播场次 -&gt; 进入「直播场次详情」，带入主播 ID、日期和场次 ID。</x:v>
      </x:c>
      <x:c r="E470" s="4" t="str">
        <x:v>整段分支核验未闭合</x:v>
      </x:c>
      <x:c r="F470" s="4" t="str">
        <x:v>GUILD-0137、GUILD-0138、GUILD-0314</x:v>
      </x:c>
      <x:c r="G470" s="4" t="str">
        <x:v>本段剩余子句、条件组合及状态后续影响仍需与独立规则逐项闭合；这是生成覆盖缺口，不是产品决策缺失。</x:v>
      </x:c>
    </x:row>
    <x:row r="471" ht="44" customHeight="1">
      <x:c r="A471" s="4" t="str">
        <x:v>REQ-a31a4484f0c8</x:v>
      </x:c>
      <x:c r="B471" s="4" t="str">
        <x:v>数据与收益</x:v>
      </x:c>
      <x:c r="C471" s="4" t="n">
        <x:v>2376</x:v>
      </x:c>
      <x:c r="D471" s="4" t="str">
        <x:v>开播人数当前固定为 20，尚未按所选主播及日期范围计算。</x:v>
      </x:c>
      <x:c r="E471" s="4" t="str">
        <x:v>整段分支核验未闭合</x:v>
      </x:c>
      <x:c r="F471" s="4" t="str">
        <x:v>GUILD-0137、GUILD-0138</x:v>
      </x:c>
      <x:c r="G471" s="4" t="str">
        <x:v>本段剩余子句、条件组合及状态后续影响仍需与独立规则逐项闭合；这是生成覆盖缺口，不是产品决策缺失。</x:v>
      </x:c>
    </x:row>
    <x:row r="472" ht="44" customHeight="1">
      <x:c r="A472" s="4" t="str">
        <x:v>REQ-cee0274fdc6e</x:v>
      </x:c>
      <x:c r="B472" s="4" t="str">
        <x:v>数据与收益</x:v>
      </x:c>
      <x:c r="C472" s="4" t="n">
        <x:v>2380</x:v>
      </x:c>
      <x:c r="D472" s="4" t="str">
        <x:v>直播主题 / 场次 ID：当前直播主题及本场唯一 ID；不是房间号。</x:v>
      </x:c>
      <x:c r="E472" s="4" t="str">
        <x:v>整段分支核验未闭合</x:v>
      </x:c>
      <x:c r="F472" s="4" t="str">
        <x:v>GUILD-0202、GUILD-0203</x:v>
      </x:c>
      <x:c r="G472" s="4" t="str">
        <x:v>本段剩余子句、条件组合及状态后续影响仍需与独立规则逐项闭合；这是生成覆盖缺口，不是产品决策缺失。</x:v>
      </x:c>
    </x:row>
    <x:row r="473" ht="44" customHeight="1">
      <x:c r="A473" s="4" t="str">
        <x:v>REQ-931746f514f1</x:v>
      </x:c>
      <x:c r="B473" s="4" t="str">
        <x:v>数据与收益</x:v>
      </x:c>
      <x:c r="C473" s="4" t="n">
        <x:v>2381</x:v>
      </x:c>
      <x:c r="D473" s="4" t="str">
        <x:v>主播名称 / 主播 ID：当前场次所属主播。</x:v>
      </x:c>
      <x:c r="E473" s="4" t="str">
        <x:v>整段分支核验未闭合</x:v>
      </x:c>
      <x:c r="F473" s="4" t="str">
        <x:v>GUILD-0204、GUILD-0205</x:v>
      </x:c>
      <x:c r="G473" s="4" t="str">
        <x:v>本段剩余子句、条件组合及状态后续影响仍需与独立规则逐项闭合；这是生成覆盖缺口，不是产品决策缺失。</x:v>
      </x:c>
    </x:row>
    <x:row r="474" ht="44" customHeight="1">
      <x:c r="A474" s="4" t="str">
        <x:v>REQ-eeff117f8090</x:v>
      </x:c>
      <x:c r="B474" s="4" t="str">
        <x:v>数据与收益</x:v>
      </x:c>
      <x:c r="C474" s="4" t="n">
        <x:v>2382</x:v>
      </x:c>
      <x:c r="D474" s="4" t="str">
        <x:v>开播时间：本场开始时间。</x:v>
      </x:c>
      <x:c r="E474" s="4" t="str">
        <x:v>整段分支核验未闭合</x:v>
      </x:c>
      <x:c r="F474" s="4" t="str">
        <x:v>GUILD-0206</x:v>
      </x:c>
      <x:c r="G474" s="4" t="str">
        <x:v>本段剩余子句、条件组合及状态后续影响仍需与独立规则逐项闭合；这是生成覆盖缺口，不是产品决策缺失。</x:v>
      </x:c>
    </x:row>
    <x:row r="475" ht="44" customHeight="1">
      <x:c r="A475" s="4" t="str">
        <x:v>REQ-116762a0f46a</x:v>
      </x:c>
      <x:c r="B475" s="4" t="str">
        <x:v>数据与收益</x:v>
      </x:c>
      <x:c r="C475" s="4" t="n">
        <x:v>2383</x:v>
      </x:c>
      <x:c r="D475" s="4" t="str">
        <x:v>直播时长：本场累计时长。</x:v>
      </x:c>
      <x:c r="E475" s="4" t="str">
        <x:v>尚未建立场景映射</x:v>
      </x:c>
      <x:c r="F475" s="4" t="str"/>
      <x:c r="G475" s="4" t="str">
        <x:v>本轮独立来源库保留该已知条款，但尚未建立可核验的正式场景映射；不是无业务依据，也不转为产品待确认。</x:v>
      </x:c>
    </x:row>
    <x:row r="476" ht="44" customHeight="1">
      <x:c r="A476" s="4" t="str">
        <x:v>REQ-522c5292c024</x:v>
      </x:c>
      <x:c r="B476" s="4" t="str">
        <x:v>数据与收益</x:v>
      </x:c>
      <x:c r="C476" s="4" t="n">
        <x:v>2384</x:v>
      </x:c>
      <x:c r="D476" s="4" t="str">
        <x:v>礼物名称 / 赠送时间：一行一笔赠送记录。</x:v>
      </x:c>
      <x:c r="E476" s="4" t="str">
        <x:v>整段分支核验未闭合</x:v>
      </x:c>
      <x:c r="F476" s="4" t="str">
        <x:v>GUILD-0018、GUILD-0207、GUILD-0208</x:v>
      </x:c>
      <x:c r="G476" s="4" t="str">
        <x:v>本段剩余子句、条件组合及状态后续影响仍需与独立规则逐项闭合；这是生成覆盖缺口，不是产品决策缺失。</x:v>
      </x:c>
    </x:row>
    <x:row r="477" ht="44" customHeight="1">
      <x:c r="A477" s="4" t="str">
        <x:v>REQ-61bbf5f75bd1</x:v>
      </x:c>
      <x:c r="B477" s="4" t="str">
        <x:v>数据与收益</x:v>
      </x:c>
      <x:c r="C477" s="4" t="n">
        <x:v>2385</x:v>
      </x:c>
      <x:c r="D477" s="4" t="str">
        <x:v>金币：本次礼物消费金币，点击进入详情。</x:v>
      </x:c>
      <x:c r="E477" s="4" t="str">
        <x:v>整段分支核验未闭合</x:v>
      </x:c>
      <x:c r="F477" s="4" t="str">
        <x:v>GUILD-0018</x:v>
      </x:c>
      <x:c r="G477" s="4" t="str">
        <x:v>本段剩余子句、条件组合及状态后续影响仍需与独立规则逐项闭合；这是生成覆盖缺口，不是产品决策缺失。</x:v>
      </x:c>
    </x:row>
    <x:row r="478" ht="44" customHeight="1">
      <x:c r="A478" s="4" t="str">
        <x:v>REQ-ce17809e6029</x:v>
      </x:c>
      <x:c r="B478" s="4" t="str">
        <x:v>数据与收益</x:v>
      </x:c>
      <x:c r="C478" s="4" t="n">
        <x:v>2386</x:v>
      </x:c>
      <x:c r="D478" s="4" t="str">
        <x:v>赠送时间：该笔成功赠送发生时间。</x:v>
      </x:c>
      <x:c r="E478" s="4" t="str">
        <x:v>整段分支核验未闭合</x:v>
      </x:c>
      <x:c r="F478" s="4" t="str">
        <x:v>GUILD-0209</x:v>
      </x:c>
      <x:c r="G478" s="4" t="str">
        <x:v>本段剩余子句、条件组合及状态后续影响仍需与独立规则逐项闭合；这是生成覆盖缺口，不是产品决策缺失。</x:v>
      </x:c>
    </x:row>
    <x:row r="479" ht="44" customHeight="1">
      <x:c r="A479" s="4" t="str">
        <x:v>REQ-d9fa75022018</x:v>
      </x:c>
      <x:c r="B479" s="4" t="str">
        <x:v>数据与收益</x:v>
      </x:c>
      <x:c r="C479" s="4" t="n">
        <x:v>2387</x:v>
      </x:c>
      <x:c r="D479" s="4" t="str">
        <x:v>礼物名称：赠送礼物名称。</x:v>
      </x:c>
      <x:c r="E479" s="4" t="str">
        <x:v>整段分支核验未闭合</x:v>
      </x:c>
      <x:c r="F479" s="4" t="str">
        <x:v>GUILD-0018、GUILD-0207</x:v>
      </x:c>
      <x:c r="G479" s="4" t="str">
        <x:v>本段剩余子句、条件组合及状态后续影响仍需与独立规则逐项闭合；这是生成覆盖缺口，不是产品决策缺失。</x:v>
      </x:c>
    </x:row>
    <x:row r="480" ht="44" customHeight="1">
      <x:c r="A480" s="4" t="str">
        <x:v>REQ-2f94055c070c</x:v>
      </x:c>
      <x:c r="B480" s="4" t="str">
        <x:v>数据与收益</x:v>
      </x:c>
      <x:c r="C480" s="4" t="n">
        <x:v>2388</x:v>
      </x:c>
      <x:c r="D480" s="4" t="str">
        <x:v>消费金币：礼物单价 × 赠送数量，不等于主播分成。</x:v>
      </x:c>
      <x:c r="E480" s="4" t="str">
        <x:v>整段分支核验未闭合</x:v>
      </x:c>
      <x:c r="F480" s="4" t="str">
        <x:v>GUILD-0018、GUILD-0245</x:v>
      </x:c>
      <x:c r="G480" s="4" t="str">
        <x:v>本段剩余子句、条件组合及状态后续影响仍需与独立规则逐项闭合；这是生成覆盖缺口，不是产品决策缺失。</x:v>
      </x:c>
    </x:row>
    <x:row r="481" ht="44" customHeight="1">
      <x:c r="A481" s="4" t="str">
        <x:v>REQ-0be76a1f4058</x:v>
      </x:c>
      <x:c r="B481" s="4" t="str">
        <x:v>数据与收益</x:v>
      </x:c>
      <x:c r="C481" s="4" t="n">
        <x:v>2389</x:v>
      </x:c>
      <x:c r="D481" s="4" t="str">
        <x:v>礼物单价：本次赠送采用的单件礼物金币价格。</x:v>
      </x:c>
      <x:c r="E481" s="4" t="str">
        <x:v>整段分支核验未闭合</x:v>
      </x:c>
      <x:c r="F481" s="4" t="str">
        <x:v>GUILD-0018</x:v>
      </x:c>
      <x:c r="G481" s="4" t="str">
        <x:v>本段剩余子句、条件组合及状态后续影响仍需与独立规则逐项闭合；这是生成覆盖缺口，不是产品决策缺失。</x:v>
      </x:c>
    </x:row>
    <x:row r="482" ht="44" customHeight="1">
      <x:c r="A482" s="4" t="str">
        <x:v>REQ-056fee828da5</x:v>
      </x:c>
      <x:c r="B482" s="4" t="str">
        <x:v>数据与收益</x:v>
      </x:c>
      <x:c r="C482" s="4" t="n">
        <x:v>2390</x:v>
      </x:c>
      <x:c r="D482" s="4" t="str">
        <x:v>礼物类型：对应普通、定制等礼物类型。</x:v>
      </x:c>
      <x:c r="E482" s="4" t="str">
        <x:v>整段分支核验未闭合</x:v>
      </x:c>
      <x:c r="F482" s="4" t="str">
        <x:v>GUILD-0018</x:v>
      </x:c>
      <x:c r="G482" s="4" t="str">
        <x:v>本段剩余子句、条件组合及状态后续影响仍需与独立规则逐项闭合；这是生成覆盖缺口，不是产品决策缺失。</x:v>
      </x:c>
    </x:row>
    <x:row r="483" ht="44" customHeight="1">
      <x:c r="A483" s="4" t="str">
        <x:v>REQ-fb723479307b</x:v>
      </x:c>
      <x:c r="B483" s="4" t="str">
        <x:v>数据与收益</x:v>
      </x:c>
      <x:c r="C483" s="4" t="n">
        <x:v>2391</x:v>
      </x:c>
      <x:c r="D483" s="4" t="str">
        <x:v>赠送数量：该笔礼物件数，单位为件。</x:v>
      </x:c>
      <x:c r="E483" s="4" t="str">
        <x:v>整段分支核验未闭合</x:v>
      </x:c>
      <x:c r="F483" s="4" t="str">
        <x:v>GUILD-0018</x:v>
      </x:c>
      <x:c r="G483" s="4" t="str">
        <x:v>本段剩余子句、条件组合及状态后续影响仍需与独立规则逐项闭合；这是生成覆盖缺口，不是产品决策缺失。</x:v>
      </x:c>
    </x:row>
    <x:row r="484" ht="44" customHeight="1">
      <x:c r="A484" s="4" t="str">
        <x:v>REQ-fbb528057483</x:v>
      </x:c>
      <x:c r="B484" s="4" t="str">
        <x:v>数据与收益</x:v>
      </x:c>
      <x:c r="C484" s="4" t="n">
        <x:v>2392</x:v>
      </x:c>
      <x:c r="D484" s="4" t="str">
        <x:v>用户名称 / 用户 ID：赠送礼物的用户资料和唯一标识；页面未展示用户等级。</x:v>
      </x:c>
      <x:c r="E484" s="4" t="str">
        <x:v>整段分支核验未闭合</x:v>
      </x:c>
      <x:c r="F484" s="4" t="str">
        <x:v>GUILD-0018、GUILD-0210、GUILD-0211</x:v>
      </x:c>
      <x:c r="G484" s="4" t="str">
        <x:v>本段剩余子句、条件组合及状态后续影响仍需与独立规则逐项闭合；这是生成覆盖缺口，不是产品决策缺失。</x:v>
      </x:c>
    </x:row>
    <x:row r="485" ht="44" customHeight="1">
      <x:c r="A485" s="4" t="str">
        <x:v>REQ-8bae2a494638</x:v>
      </x:c>
      <x:c r="B485" s="4" t="str">
        <x:v>数据与收益</x:v>
      </x:c>
      <x:c r="C485" s="4" t="n">
        <x:v>2393</x:v>
      </x:c>
      <x:c r="D485" s="4" t="str">
        <x:v>观众数量：当前场次进入直播间的去重用户数。</x:v>
      </x:c>
      <x:c r="E485" s="4" t="str">
        <x:v>整段分支核验未闭合</x:v>
      </x:c>
      <x:c r="F485" s="4" t="str">
        <x:v>GUILD-0018、GUILD-0139、GUILD-0140、GUILD-0141、GUILD-0246</x:v>
      </x:c>
      <x:c r="G485" s="4" t="str">
        <x:v>本段剩余子句、条件组合及状态后续影响仍需与独立规则逐项闭合；这是生成覆盖缺口，不是产品决策缺失。</x:v>
      </x:c>
    </x:row>
    <x:row r="486" ht="44" customHeight="1">
      <x:c r="A486" s="4" t="str">
        <x:v>REQ-27630e55c9ee</x:v>
      </x:c>
      <x:c r="B486" s="4" t="str">
        <x:v>数据与收益</x:v>
      </x:c>
      <x:c r="C486" s="4" t="n">
        <x:v>2394</x:v>
      </x:c>
      <x:c r="D486" s="4" t="str">
        <x:v>送礼观众：当前场次成功送礼的去重用户数。</x:v>
      </x:c>
      <x:c r="E486" s="4" t="str">
        <x:v>整段分支核验未闭合</x:v>
      </x:c>
      <x:c r="F486" s="4" t="str">
        <x:v>GUILD-0139、GUILD-0140、GUILD-0141、GUILD-0247</x:v>
      </x:c>
      <x:c r="G486" s="4" t="str">
        <x:v>本段剩余子句、条件组合及状态后续影响仍需与独立规则逐项闭合；这是生成覆盖缺口，不是产品决策缺失。</x:v>
      </x:c>
    </x:row>
    <x:row r="487" ht="44" customHeight="1">
      <x:c r="A487" s="4" t="str">
        <x:v>REQ-77644e12086b</x:v>
      </x:c>
      <x:c r="B487" s="4" t="str">
        <x:v>数据与收益</x:v>
      </x:c>
      <x:c r="C487" s="4" t="n">
        <x:v>2395</x:v>
      </x:c>
      <x:c r="D487" s="4" t="str">
        <x:v>礼物数量：当前场次成功收到的礼物件数之和。</x:v>
      </x:c>
      <x:c r="E487" s="4" t="str">
        <x:v>整段分支核验未闭合</x:v>
      </x:c>
      <x:c r="F487" s="4" t="str">
        <x:v>GUILD-0018、GUILD-0139、GUILD-0140、GUILD-0141、GUILD-0248</x:v>
      </x:c>
      <x:c r="G487" s="4" t="str">
        <x:v>本段剩余子句、条件组合及状态后续影响仍需与独立规则逐项闭合；这是生成覆盖缺口，不是产品决策缺失。</x:v>
      </x:c>
    </x:row>
    <x:row r="488" ht="44" customHeight="1">
      <x:c r="A488" s="4" t="str">
        <x:v>REQ-5e39153fcfa6</x:v>
      </x:c>
      <x:c r="B488" s="4" t="str">
        <x:v>数据与收益</x:v>
      </x:c>
      <x:c r="C488" s="4" t="n">
        <x:v>2396</x:v>
      </x:c>
      <x:c r="D488" s="4" t="str">
        <x:v>礼物收益：当前场次计入主播收益的礼物金币总和。</x:v>
      </x:c>
      <x:c r="E488" s="4" t="str">
        <x:v>整段分支核验未闭合</x:v>
      </x:c>
      <x:c r="F488" s="4" t="str">
        <x:v>GUILD-0018、GUILD-0249</x:v>
      </x:c>
      <x:c r="G488" s="4" t="str">
        <x:v>本段剩余子句、条件组合及状态后续影响仍需与独立规则逐项闭合；这是生成覆盖缺口，不是产品决策缺失。</x:v>
      </x:c>
    </x:row>
    <x:row r="489" ht="44" customHeight="1">
      <x:c r="A489" s="4" t="str">
        <x:v>REQ-8526bb52368c</x:v>
      </x:c>
      <x:c r="B489" s="4" t="str">
        <x:v>数据与收益</x:v>
      </x:c>
      <x:c r="C489" s="4" t="n">
        <x:v>2397</x:v>
      </x:c>
      <x:c r="D489" s="4" t="str">
        <x:v>普通礼物、定制礼物按成功实际消费金币计入；幸运礼物按礼物总价值 × 后台配置比例计入，默认 1%，返奖不影响主播收益。</x:v>
      </x:c>
      <x:c r="E489" s="4" t="str">
        <x:v>整段分支核验未闭合</x:v>
      </x:c>
      <x:c r="F489" s="4" t="str">
        <x:v>GUILD-0018</x:v>
      </x:c>
      <x:c r="G489" s="4" t="str">
        <x:v>本段剩余子句、条件组合及状态后续影响仍需与独立规则逐项闭合；这是生成覆盖缺口，不是产品决策缺失。</x:v>
      </x:c>
    </x:row>
    <x:row r="490" ht="44" customHeight="1">
      <x:c r="A490" s="4" t="str">
        <x:v>REQ-916c296c5395</x:v>
      </x:c>
      <x:c r="B490" s="4" t="str">
        <x:v>数据与收益</x:v>
      </x:c>
      <x:c r="C490" s="4" t="n">
        <x:v>2398</x:v>
      </x:c>
      <x:c r="D490" s="4" t="str">
        <x:v>运营账号赠送的礼物不计入主播实际收益。</x:v>
      </x:c>
      <x:c r="E490" s="4" t="str">
        <x:v>整段分支核验未闭合</x:v>
      </x:c>
      <x:c r="F490" s="4" t="str">
        <x:v>GUILD-0018</x:v>
      </x:c>
      <x:c r="G490" s="4" t="str">
        <x:v>本段剩余子句、条件组合及状态后续影响仍需与独立规则逐项闭合；这是生成覆盖缺口，不是产品决策缺失。</x:v>
      </x:c>
    </x:row>
    <x:row r="491" ht="44" customHeight="1">
      <x:c r="A491" s="4" t="str">
        <x:v>REQ-74649f6b30de</x:v>
      </x:c>
      <x:c r="B491" s="4" t="str">
        <x:v>数据与收益</x:v>
      </x:c>
      <x:c r="C491" s="4" t="n">
        <x:v>2399</x:v>
      </x:c>
      <x:c r="D491" s="4" t="str">
        <x:v>点击送礼记录 -&gt; 查看送礼详情；返回时保留主播和日期筛选条件。</x:v>
      </x:c>
      <x:c r="E491" s="4" t="str">
        <x:v>尚未建立场景映射</x:v>
      </x:c>
      <x:c r="F491" s="4" t="str"/>
      <x:c r="G491" s="4" t="str">
        <x:v>本轮独立来源库保留该已知条款，但尚未建立可核验的正式场景映射；不是无业务依据，也不转为产品待确认。</x:v>
      </x:c>
    </x:row>
    <x:row r="492" ht="44" customHeight="1">
      <x:c r="A492" s="4" t="str">
        <x:v>REQ-d7800825d926</x:v>
      </x:c>
      <x:c r="B492" s="4" t="str">
        <x:v>数据与收益</x:v>
      </x:c>
      <x:c r="C492" s="4" t="n">
        <x:v>2403</x:v>
      </x:c>
      <x:c r="D492" s="4" t="str">
        <x:v>违规范围：直播间违规或账号违规。</x:v>
      </x:c>
      <x:c r="E492" s="4" t="str">
        <x:v>整段分支核验未闭合</x:v>
      </x:c>
      <x:c r="F492" s="4" t="str">
        <x:v>GUILD-0301、GUILD-0302</x:v>
      </x:c>
      <x:c r="G492" s="4" t="str">
        <x:v>本段剩余子句、条件组合及状态后续影响仍需与独立规则逐项闭合；这是生成覆盖缺口，不是产品决策缺失。</x:v>
      </x:c>
    </x:row>
    <x:row r="493" ht="44" customHeight="1">
      <x:c r="A493" s="4" t="str">
        <x:v>REQ-7eadb622865d</x:v>
      </x:c>
      <x:c r="B493" s="4" t="str">
        <x:v>数据与收益</x:v>
      </x:c>
      <x:c r="C493" s="4" t="n">
        <x:v>2404</x:v>
      </x:c>
      <x:c r="D493" s="4" t="str">
        <x:v>主播 / 已选人数：支持多选，默认全部；未选择时提示选择主播。</x:v>
      </x:c>
      <x:c r="E493" s="4" t="str">
        <x:v>整段分支核验未闭合</x:v>
      </x:c>
      <x:c r="F493" s="4" t="str">
        <x:v>GUILD-0300</x:v>
      </x:c>
      <x:c r="G493" s="4" t="str">
        <x:v>本段剩余子句、条件组合及状态后续影响仍需与独立规则逐项闭合；这是生成覆盖缺口，不是产品决策缺失。</x:v>
      </x:c>
    </x:row>
    <x:row r="494" ht="44" customHeight="1">
      <x:c r="A494" s="4" t="str">
        <x:v>REQ-f4b1abc721d8</x:v>
      </x:c>
      <x:c r="B494" s="4" t="str">
        <x:v>数据与收益</x:v>
      </x:c>
      <x:c r="C494" s="4" t="n">
        <x:v>2405</x:v>
      </x:c>
      <x:c r="D494" s="4" t="str">
        <x:v>日期范围：按当前筛选起止日期统计，包含开始日和结束日；随快捷日期或自定义日期更新。</x:v>
      </x:c>
      <x:c r="E494" s="4" t="str">
        <x:v>整段分支核验未闭合</x:v>
      </x:c>
      <x:c r="F494" s="4" t="str">
        <x:v>GUILD-0128、GUILD-0129、GUILD-0130</x:v>
      </x:c>
      <x:c r="G494" s="4" t="str">
        <x:v>本段剩余子句、条件组合及状态后续影响仍需与独立规则逐项闭合；这是生成覆盖缺口，不是产品决策缺失。</x:v>
      </x:c>
    </x:row>
    <x:row r="495" ht="44" customHeight="1">
      <x:c r="A495" s="4" t="str">
        <x:v>REQ-32e86242c0d5</x:v>
      </x:c>
      <x:c r="B495" s="4" t="str">
        <x:v>数据与收益</x:v>
      </x:c>
      <x:c r="C495" s="4" t="n">
        <x:v>2406</x:v>
      </x:c>
      <x:c r="D495" s="4" t="str">
        <x:v>违规主播 / 违规账号：对应主播或账号名称和 ID，可进入主播详情。</x:v>
      </x:c>
      <x:c r="E495" s="4" t="str">
        <x:v>尚未建立场景映射</x:v>
      </x:c>
      <x:c r="F495" s="4" t="str"/>
      <x:c r="G495" s="4" t="str">
        <x:v>本轮独立来源库保留该已知条款，但尚未建立可核验的正式场景映射；不是无业务依据，也不转为产品待确认。</x:v>
      </x:c>
    </x:row>
    <x:row r="496" ht="44" customHeight="1">
      <x:c r="A496" s="4" t="str">
        <x:v>REQ-e6e62d583779</x:v>
      </x:c>
      <x:c r="B496" s="4" t="str">
        <x:v>数据与收益</x:v>
      </x:c>
      <x:c r="C496" s="4" t="n">
        <x:v>2407</x:v>
      </x:c>
      <x:c r="D496" s="4" t="str">
        <x:v>违规类型：读取平台违规类型配置。</x:v>
      </x:c>
      <x:c r="E496" s="4" t="str">
        <x:v>整段分支核验未闭合</x:v>
      </x:c>
      <x:c r="F496" s="4" t="str">
        <x:v>GUILD-0299</x:v>
      </x:c>
      <x:c r="G496" s="4" t="str">
        <x:v>本段剩余子句、条件组合及状态后续影响仍需与独立规则逐项闭合；这是生成覆盖缺口，不是产品决策缺失。</x:v>
      </x:c>
    </x:row>
    <x:row r="497" ht="44" customHeight="1">
      <x:c r="A497" s="4" t="str">
        <x:v>REQ-0e93ad444dd2</x:v>
      </x:c>
      <x:c r="B497" s="4" t="str">
        <x:v>数据与收益</x:v>
      </x:c>
      <x:c r="C497" s="4" t="n">
        <x:v>2408</x:v>
      </x:c>
      <x:c r="D497" s="4" t="str">
        <x:v>举报时间 / 发生时间：直播间违规显示举报时间，账号违规显示发生时间；按该时间倒序。</x:v>
      </x:c>
      <x:c r="E497" s="4" t="str">
        <x:v>尚未建立场景映射</x:v>
      </x:c>
      <x:c r="F497" s="4" t="str"/>
      <x:c r="G497" s="4" t="str">
        <x:v>本轮独立来源库保留该已知条款，但尚未建立可核验的正式场景映射；不是无业务依据，也不转为产品待确认。</x:v>
      </x:c>
    </x:row>
    <x:row r="498" ht="44" customHeight="1">
      <x:c r="A498" s="4" t="str">
        <x:v>REQ-02eb22f92b59</x:v>
      </x:c>
      <x:c r="B498" s="4" t="str">
        <x:v>数据与收益</x:v>
      </x:c>
      <x:c r="C498" s="4" t="n">
        <x:v>2409</x:v>
      </x:c>
      <x:c r="D498" s="4" t="str">
        <x:v>处理结果：警告、关闭场次、关闭直播权限、账号封禁等；无处置结果显示“-”。</x:v>
      </x:c>
      <x:c r="E498" s="4" t="str">
        <x:v>尚未建立场景映射</x:v>
      </x:c>
      <x:c r="F498" s="4" t="str"/>
      <x:c r="G498" s="4" t="str">
        <x:v>本轮独立来源库保留该已知条款，但尚未建立可核验的正式场景映射；不是无业务依据，也不转为产品待确认。</x:v>
      </x:c>
    </x:row>
    <x:row r="499" ht="44" customHeight="1">
      <x:c r="A499" s="4" t="str">
        <x:v>REQ-b8c55635b4fb</x:v>
      </x:c>
      <x:c r="B499" s="4" t="str">
        <x:v>数据与收益</x:v>
      </x:c>
      <x:c r="C499" s="4" t="n">
        <x:v>2410</x:v>
      </x:c>
      <x:c r="D499" s="4" t="str">
        <x:v>警告不结束直播；关闭场次仅结束当前直播；关闭直播权限立即结束当前直播并阻止再次开播。</x:v>
      </x:c>
      <x:c r="E499" s="4" t="str">
        <x:v>尚未建立场景映射</x:v>
      </x:c>
      <x:c r="F499" s="4" t="str"/>
      <x:c r="G499" s="4" t="str">
        <x:v>本轮独立来源库保留该已知条款，但尚未建立可核验的正式场景映射；不是无业务依据，也不转为产品待确认。</x:v>
      </x:c>
    </x:row>
    <x:row r="500" ht="44" customHeight="1">
      <x:c r="A500" s="4" t="str">
        <x:v>REQ-739f70aff6e8</x:v>
      </x:c>
      <x:c r="B500" s="4" t="str">
        <x:v>数据与收益</x:v>
      </x:c>
      <x:c r="C500" s="4" t="n">
        <x:v>2411</x:v>
      </x:c>
      <x:c r="D500" s="4" t="str">
        <x:v>账号封禁后当前会话下线；直播中同时结束当前场次。</x:v>
      </x:c>
      <x:c r="E500" s="4" t="str">
        <x:v>尚未建立场景映射</x:v>
      </x:c>
      <x:c r="F500" s="4" t="str"/>
      <x:c r="G500" s="4" t="str">
        <x:v>本轮独立来源库保留该已知条款，但尚未建立可核验的正式场景映射；不是无业务依据，也不转为产品待确认。</x:v>
      </x:c>
    </x:row>
    <x:row r="501" ht="44" customHeight="1">
      <x:c r="A501" s="4" t="str">
        <x:v>REQ-040968bcc9fe</x:v>
      </x:c>
      <x:c r="B501" s="4" t="str">
        <x:v>数据与收益</x:v>
      </x:c>
      <x:c r="C501" s="4" t="n">
        <x:v>2412</x:v>
      </x:c>
      <x:c r="D501" s="4" t="str">
        <x:v>筛选变化 -&gt; 刷新记录；点击主播 -&gt; 进入主播详情。</x:v>
      </x:c>
      <x:c r="E501" s="4" t="str">
        <x:v>整段分支核验未闭合</x:v>
      </x:c>
      <x:c r="F501" s="4" t="str">
        <x:v>GUILD-0030</x:v>
      </x:c>
      <x:c r="G501" s="4" t="str">
        <x:v>本段剩余子句、条件组合及状态后续影响仍需与独立规则逐项闭合；这是生成覆盖缺口，不是产品决策缺失。</x:v>
      </x:c>
    </x:row>
    <x:row r="502" ht="44" customHeight="1">
      <x:c r="A502" s="4" t="str">
        <x:v>REQ-4b5984b00419</x:v>
      </x:c>
      <x:c r="B502" s="4" t="str">
        <x:v>数据与收益</x:v>
      </x:c>
      <x:c r="C502" s="4" t="n">
        <x:v>2416</x:v>
      </x:c>
      <x:c r="D502" s="4" t="str">
        <x:v>日数据 / 月数据：切换统计粒度并更新汇总、趋势和列表。</x:v>
      </x:c>
      <x:c r="E502" s="4" t="str">
        <x:v>尚未建立场景映射</x:v>
      </x:c>
      <x:c r="F502" s="4" t="str"/>
      <x:c r="G502" s="4" t="str">
        <x:v>本轮独立来源库保留该已知条款，但尚未建立可核验的正式场景映射；不是无业务依据，也不转为产品待确认。</x:v>
      </x:c>
    </x:row>
    <x:row r="503" ht="44" customHeight="1">
      <x:c r="A503" s="4" t="str">
        <x:v>REQ-3fd81bfc06b9</x:v>
      </x:c>
      <x:c r="B503" s="4" t="str">
        <x:v>数据与收益</x:v>
      </x:c>
      <x:c r="C503" s="4" t="n">
        <x:v>2417</x:v>
      </x:c>
      <x:c r="D503" s="4" t="str">
        <x:v>日范围：本周、上周、本月、上月、自定义，默认本月。</x:v>
      </x:c>
      <x:c r="E503" s="4" t="str">
        <x:v>整段分支核验未闭合</x:v>
      </x:c>
      <x:c r="F503" s="4" t="str">
        <x:v>GUILD-0311</x:v>
      </x:c>
      <x:c r="G503" s="4" t="str">
        <x:v>本段剩余子句、条件组合及状态后续影响仍需与独立规则逐项闭合；这是生成覆盖缺口，不是产品决策缺失。</x:v>
      </x:c>
    </x:row>
    <x:row r="504" ht="44" customHeight="1">
      <x:c r="A504" s="4" t="str">
        <x:v>REQ-d313b28021e1</x:v>
      </x:c>
      <x:c r="B504" s="4" t="str">
        <x:v>数据与收益</x:v>
      </x:c>
      <x:c r="C504" s="4" t="n">
        <x:v>2418</x:v>
      </x:c>
      <x:c r="D504" s="4" t="str">
        <x:v>月范围：近半年、近一年、自定义，默认近半年；统计所选月份，不是全部历史。</x:v>
      </x:c>
      <x:c r="E504" s="4" t="str">
        <x:v>整段分支核验未闭合</x:v>
      </x:c>
      <x:c r="F504" s="4" t="str">
        <x:v>GUILD-0312</x:v>
      </x:c>
      <x:c r="G504" s="4" t="str">
        <x:v>本段剩余子句、条件组合及状态后续影响仍需与独立规则逐项闭合；这是生成覆盖缺口，不是产品决策缺失。</x:v>
      </x:c>
    </x:row>
    <x:row r="505" ht="44" customHeight="1">
      <x:c r="A505" s="4" t="str">
        <x:v>REQ-1ff0ca58162f</x:v>
      </x:c>
      <x:c r="B505" s="4" t="str">
        <x:v>数据与收益</x:v>
      </x:c>
      <x:c r="C505" s="4" t="n">
        <x:v>2419</x:v>
      </x:c>
      <x:c r="D505" s="4" t="str">
        <x:v>日期：对应自然日。</x:v>
      </x:c>
      <x:c r="E505" s="4" t="str">
        <x:v>尚未建立场景映射</x:v>
      </x:c>
      <x:c r="F505" s="4" t="str"/>
      <x:c r="G505" s="4" t="str">
        <x:v>本轮独立来源库保留该已知条款，但尚未建立可核验的正式场景映射；不是无业务依据，也不转为产品待确认。</x:v>
      </x:c>
    </x:row>
    <x:row r="506" ht="44" customHeight="1">
      <x:c r="A506" s="4" t="str">
        <x:v>REQ-af64b1bbaea6</x:v>
      </x:c>
      <x:c r="B506" s="4" t="str">
        <x:v>数据与收益</x:v>
      </x:c>
      <x:c r="C506" s="4" t="n">
        <x:v>2420</x:v>
      </x:c>
      <x:c r="D506" s="4" t="str">
        <x:v>直播场次：该日直播场次数，单位为场。</x:v>
      </x:c>
      <x:c r="E506" s="4" t="str">
        <x:v>整段分支核验未闭合</x:v>
      </x:c>
      <x:c r="F506" s="4" t="str">
        <x:v>GUILD-0303</x:v>
      </x:c>
      <x:c r="G506" s="4" t="str">
        <x:v>本段剩余子句、条件组合及状态后续影响仍需与独立规则逐项闭合；这是生成覆盖缺口，不是产品决策缺失。</x:v>
      </x:c>
    </x:row>
    <x:row r="507" ht="44" customHeight="1">
      <x:c r="A507" s="4" t="str">
        <x:v>REQ-14ba7a1cd732</x:v>
      </x:c>
      <x:c r="B507" s="4" t="str">
        <x:v>数据与收益</x:v>
      </x:c>
      <x:c r="C507" s="4" t="n">
        <x:v>2421</x:v>
      </x:c>
      <x:c r="D507" s="4" t="str">
        <x:v>达标主播：该日有效直播满 3 小时的主播人数。</x:v>
      </x:c>
      <x:c r="E507" s="4" t="str">
        <x:v>整段分支核验未闭合</x:v>
      </x:c>
      <x:c r="F507" s="4" t="str">
        <x:v>GUILD-0250</x:v>
      </x:c>
      <x:c r="G507" s="4" t="str">
        <x:v>本段剩余子句、条件组合及状态后续影响仍需与独立规则逐项闭合；这是生成覆盖缺口，不是产品决策缺失。</x:v>
      </x:c>
    </x:row>
    <x:row r="508" ht="44" customHeight="1">
      <x:c r="A508" s="4" t="str">
        <x:v>REQ-ccb51d7a71ad</x:v>
      </x:c>
      <x:c r="B508" s="4" t="str">
        <x:v>数据与收益</x:v>
      </x:c>
      <x:c r="C508" s="4" t="n">
        <x:v>2422</x:v>
      </x:c>
      <x:c r="D508" s="4" t="str">
        <x:v>收益（金币）：该日当前公会主播收益汇总，非公会分成金额。</x:v>
      </x:c>
      <x:c r="E508" s="4" t="str">
        <x:v>整段分支核验未闭合</x:v>
      </x:c>
      <x:c r="F508" s="4" t="str">
        <x:v>GUILD-0251</x:v>
      </x:c>
      <x:c r="G508" s="4" t="str">
        <x:v>本段剩余子句、条件组合及状态后续影响仍需与独立规则逐项闭合；这是生成覆盖缺口，不是产品决策缺失。</x:v>
      </x:c>
    </x:row>
    <x:row r="509" ht="44" customHeight="1">
      <x:c r="A509" s="4" t="str">
        <x:v>REQ-631cfc9ae98a</x:v>
      </x:c>
      <x:c r="B509" s="4" t="str">
        <x:v>数据与收益</x:v>
      </x:c>
      <x:c r="C509" s="4" t="n">
        <x:v>2423</x:v>
      </x:c>
      <x:c r="D509" s="4" t="str">
        <x:v>月份：对应自然月。</x:v>
      </x:c>
      <x:c r="E509" s="4" t="str">
        <x:v>尚未建立场景映射</x:v>
      </x:c>
      <x:c r="F509" s="4" t="str"/>
      <x:c r="G509" s="4" t="str">
        <x:v>本轮独立来源库保留该已知条款，但尚未建立可核验的正式场景映射；不是无业务依据，也不转为产品待确认。</x:v>
      </x:c>
    </x:row>
    <x:row r="510" ht="44" customHeight="1">
      <x:c r="A510" s="4" t="str">
        <x:v>REQ-5f23a2ca2390</x:v>
      </x:c>
      <x:c r="B510" s="4" t="str">
        <x:v>数据与收益</x:v>
      </x:c>
      <x:c r="C510" s="4" t="n">
        <x:v>2424</x:v>
      </x:c>
      <x:c r="D510" s="4" t="str">
        <x:v>收益：该月主播收益金币汇总。</x:v>
      </x:c>
      <x:c r="E510" s="4" t="str">
        <x:v>整段分支核验未闭合</x:v>
      </x:c>
      <x:c r="F510" s="4" t="str">
        <x:v>GUILD-0252</x:v>
      </x:c>
      <x:c r="G510" s="4" t="str">
        <x:v>本段剩余子句、条件组合及状态后续影响仍需与独立规则逐项闭合；这是生成覆盖缺口，不是产品决策缺失。</x:v>
      </x:c>
    </x:row>
    <x:row r="511" ht="44" customHeight="1">
      <x:c r="A511" s="4" t="str">
        <x:v>REQ-4df17b6aa9fa</x:v>
      </x:c>
      <x:c r="B511" s="4" t="str">
        <x:v>数据与收益</x:v>
      </x:c>
      <x:c r="C511" s="4" t="n">
        <x:v>2425</x:v>
      </x:c>
      <x:c r="D511" s="4" t="str">
        <x:v>开播人数：该月有开播的去重主播人数。</x:v>
      </x:c>
      <x:c r="E511" s="4" t="str">
        <x:v>整段分支核验未闭合</x:v>
      </x:c>
      <x:c r="F511" s="4" t="str">
        <x:v>GUILD-0135、GUILD-0136、GUILD-0253</x:v>
      </x:c>
      <x:c r="G511" s="4" t="str">
        <x:v>本段剩余子句、条件组合及状态后续影响仍需与独立规则逐项闭合；这是生成覆盖缺口，不是产品决策缺失。</x:v>
      </x:c>
    </x:row>
    <x:row r="512" ht="44" customHeight="1">
      <x:c r="A512" s="4" t="str">
        <x:v>REQ-b44be692034b</x:v>
      </x:c>
      <x:c r="B512" s="4" t="str">
        <x:v>数据与收益</x:v>
      </x:c>
      <x:c r="C512" s="4" t="n">
        <x:v>2426</x:v>
      </x:c>
      <x:c r="D512" s="4" t="str">
        <x:v>公会收益：所选日期范围内全部主播计入收益的礼物金币总和。</x:v>
      </x:c>
      <x:c r="E512" s="4" t="str">
        <x:v>整段分支核验未闭合</x:v>
      </x:c>
      <x:c r="F512" s="4" t="str">
        <x:v>GUILD-0254</x:v>
      </x:c>
      <x:c r="G512" s="4" t="str">
        <x:v>本段剩余子句、条件组合及状态后续影响仍需与独立规则逐项闭合；这是生成覆盖缺口，不是产品决策缺失。</x:v>
      </x:c>
    </x:row>
    <x:row r="513" ht="44" customHeight="1">
      <x:c r="A513" s="4" t="str">
        <x:v>REQ-6e67ed0c3023</x:v>
      </x:c>
      <x:c r="B513" s="4" t="str">
        <x:v>数据与收益</x:v>
      </x:c>
      <x:c r="C513" s="4" t="n">
        <x:v>2427</x:v>
      </x:c>
      <x:c r="D513" s="4" t="str">
        <x:v>直播场次：所选日期范围内全部主播创建的直播场次总数。</x:v>
      </x:c>
      <x:c r="E513" s="4" t="str">
        <x:v>整段分支核验未闭合</x:v>
      </x:c>
      <x:c r="F513" s="4" t="str">
        <x:v>GUILD-0304</x:v>
      </x:c>
      <x:c r="G513" s="4" t="str">
        <x:v>本段剩余子句、条件组合及状态后续影响仍需与独立规则逐项闭合；这是生成覆盖缺口，不是产品决策缺失。</x:v>
      </x:c>
    </x:row>
    <x:row r="514" ht="44" customHeight="1">
      <x:c r="A514" s="4" t="str">
        <x:v>REQ-895dd4ecd051</x:v>
      </x:c>
      <x:c r="B514" s="4" t="str">
        <x:v>数据与收益</x:v>
      </x:c>
      <x:c r="C514" s="4" t="n">
        <x:v>2428</x:v>
      </x:c>
      <x:c r="D514" s="4" t="str">
        <x:v>开播人数：所选日期范围内至少完成 1 场直播的去重主播数。</x:v>
      </x:c>
      <x:c r="E514" s="4" t="str">
        <x:v>整段分支核验未闭合</x:v>
      </x:c>
      <x:c r="F514" s="4" t="str">
        <x:v>GUILD-0135、GUILD-0136、GUILD-0253</x:v>
      </x:c>
      <x:c r="G514" s="4" t="str">
        <x:v>本段剩余子句、条件组合及状态后续影响仍需与独立规则逐项闭合；这是生成覆盖缺口，不是产品决策缺失。</x:v>
      </x:c>
    </x:row>
    <x:row r="515" ht="44" customHeight="1">
      <x:c r="A515" s="4" t="str">
        <x:v>REQ-a7fc2f515b8e</x:v>
      </x:c>
      <x:c r="B515" s="4" t="str">
        <x:v>数据与收益</x:v>
      </x:c>
      <x:c r="C515" s="4" t="n">
        <x:v>2429</x:v>
      </x:c>
      <x:c r="D515" s="4" t="str">
        <x:v>达成有效天：所选日期范围内全部主播自然日累计直播满 3 小时产生的有效天总数。</x:v>
      </x:c>
      <x:c r="E515" s="4" t="str">
        <x:v>整段分支核验未闭合</x:v>
      </x:c>
      <x:c r="F515" s="4" t="str">
        <x:v>GUILD-0135、GUILD-0136</x:v>
      </x:c>
      <x:c r="G515" s="4" t="str">
        <x:v>本段剩余子句、条件组合及状态后续影响仍需与独立规则逐项闭合；这是生成覆盖缺口，不是产品决策缺失。</x:v>
      </x:c>
    </x:row>
    <x:row r="516" ht="44" customHeight="1">
      <x:c r="A516" s="4" t="str">
        <x:v>REQ-99876c93fae7</x:v>
      </x:c>
      <x:c r="B516" s="4" t="str">
        <x:v>数据与收益</x:v>
      </x:c>
      <x:c r="C516" s="4" t="n">
        <x:v>2430</x:v>
      </x:c>
      <x:c r="D516" s="4" t="str">
        <x:v>公会收益：所选月份范围内计入收益的礼物金币总和。</x:v>
      </x:c>
      <x:c r="E516" s="4" t="str">
        <x:v>整段分支核验未闭合</x:v>
      </x:c>
      <x:c r="F516" s="4" t="str">
        <x:v>GUILD-0254</x:v>
      </x:c>
      <x:c r="G516" s="4" t="str">
        <x:v>本段剩余子句、条件组合及状态后续影响仍需与独立规则逐项闭合；这是生成覆盖缺口，不是产品决策缺失。</x:v>
      </x:c>
    </x:row>
    <x:row r="517" ht="44" customHeight="1">
      <x:c r="A517" s="4" t="str">
        <x:v>REQ-3f1eb3fc164d</x:v>
      </x:c>
      <x:c r="B517" s="4" t="str">
        <x:v>数据与收益</x:v>
      </x:c>
      <x:c r="C517" s="4" t="n">
        <x:v>2431</x:v>
      </x:c>
      <x:c r="D517" s="4" t="str">
        <x:v>直播场次：所选月份范围内创建的直播场次总数。</x:v>
      </x:c>
      <x:c r="E517" s="4" t="str">
        <x:v>尚未建立场景映射</x:v>
      </x:c>
      <x:c r="F517" s="4" t="str"/>
      <x:c r="G517" s="4" t="str">
        <x:v>本轮独立来源库保留该已知条款，但尚未建立可核验的正式场景映射；不是无业务依据，也不转为产品待确认。</x:v>
      </x:c>
    </x:row>
    <x:row r="518" ht="44" customHeight="1">
      <x:c r="A518" s="4" t="str">
        <x:v>REQ-c4d52f906bd9</x:v>
      </x:c>
      <x:c r="B518" s="4" t="str">
        <x:v>数据与收益</x:v>
      </x:c>
      <x:c r="C518" s="4" t="n">
        <x:v>2432</x:v>
      </x:c>
      <x:c r="D518" s="4" t="str">
        <x:v>开播人数：所选月份范围内至少完成 1 场直播的去重主播数。</x:v>
      </x:c>
      <x:c r="E518" s="4" t="str">
        <x:v>整段分支核验未闭合</x:v>
      </x:c>
      <x:c r="F518" s="4" t="str">
        <x:v>GUILD-0135、GUILD-0136、GUILD-0253</x:v>
      </x:c>
      <x:c r="G518" s="4" t="str">
        <x:v>本段剩余子句、条件组合及状态后续影响仍需与独立规则逐项闭合；这是生成覆盖缺口，不是产品决策缺失。</x:v>
      </x:c>
    </x:row>
    <x:row r="519" ht="44" customHeight="1">
      <x:c r="A519" s="4" t="str">
        <x:v>REQ-c045b44e5312</x:v>
      </x:c>
      <x:c r="B519" s="4" t="str">
        <x:v>数据与收益</x:v>
      </x:c>
      <x:c r="C519" s="4" t="n">
        <x:v>2433</x:v>
      </x:c>
      <x:c r="D519" s="4" t="str">
        <x:v>达成有效天：所选月份范围内产生的有效天总数。</x:v>
      </x:c>
      <x:c r="E519" s="4" t="str">
        <x:v>整段分支核验未闭合</x:v>
      </x:c>
      <x:c r="F519" s="4" t="str">
        <x:v>GUILD-0135、GUILD-0136</x:v>
      </x:c>
      <x:c r="G519" s="4" t="str">
        <x:v>本段剩余子句、条件组合及状态后续影响仍需与独立规则逐项闭合；这是生成覆盖缺口，不是产品决策缺失。</x:v>
      </x:c>
    </x:row>
    <x:row r="520" ht="44" customHeight="1">
      <x:c r="A520" s="4" t="str">
        <x:v>REQ-0023c31a5da8</x:v>
      </x:c>
      <x:c r="B520" s="4" t="str">
        <x:v>数据与收益</x:v>
      </x:c>
      <x:c r="C520" s="4" t="n">
        <x:v>2434</x:v>
      </x:c>
      <x:c r="D520" s="4" t="str">
        <x:v>点击指标卡片 -&gt; 切换对应趋势；日数据按日期展示，月数据按月份展示。</x:v>
      </x:c>
      <x:c r="E520" s="4" t="str">
        <x:v>尚未建立场景映射</x:v>
      </x:c>
      <x:c r="F520" s="4" t="str"/>
      <x:c r="G520" s="4" t="str">
        <x:v>本轮独立来源库保留该已知条款，但尚未建立可核验的正式场景映射；不是无业务依据，也不转为产品待确认。</x:v>
      </x:c>
    </x:row>
    <x:row r="521" ht="44" customHeight="1">
      <x:c r="A521" s="4" t="str">
        <x:v>REQ-8f470024aa8e</x:v>
      </x:c>
      <x:c r="B521" s="4" t="str">
        <x:v>数据与收益</x:v>
      </x:c>
      <x:c r="C521" s="4" t="n">
        <x:v>2435</x:v>
      </x:c>
      <x:c r="D521" s="4" t="str">
        <x:v>点击日数据行 -&gt; 进入主播业绩并带入日期；点击月数据行 -&gt; 带入月份。</x:v>
      </x:c>
      <x:c r="E521" s="4" t="str">
        <x:v>整段分支核验未闭合</x:v>
      </x:c>
      <x:c r="F521" s="4" t="str">
        <x:v>GUILD-0031</x:v>
      </x:c>
      <x:c r="G521" s="4" t="str">
        <x:v>本段剩余子句、条件组合及状态后续影响仍需与独立规则逐项闭合；这是生成覆盖缺口，不是产品决策缺失。</x:v>
      </x:c>
    </x:row>
    <x:row r="522" ht="44" customHeight="1">
      <x:c r="A522" s="4" t="str">
        <x:v>REQ-3257800206c1</x:v>
      </x:c>
      <x:c r="B522" s="4" t="str">
        <x:v>数据与收益</x:v>
      </x:c>
      <x:c r="C522" s="4" t="n">
        <x:v>2436</x:v>
      </x:c>
      <x:c r="D522" s="4" t="str">
        <x:v>跨日或跨月开播人数按主播去重，不能取每日人数最大值，也不能累加每日去重人数。</x:v>
      </x:c>
      <x:c r="E522" s="4" t="str">
        <x:v>整段分支核验未闭合</x:v>
      </x:c>
      <x:c r="F522" s="4" t="str">
        <x:v>GUILD-0135、GUILD-0136</x:v>
      </x:c>
      <x:c r="G522" s="4" t="str">
        <x:v>本段剩余子句、条件组合及状态后续影响仍需与独立规则逐项闭合；这是生成覆盖缺口，不是产品决策缺失。</x:v>
      </x:c>
    </x:row>
    <x:row r="523" ht="44" customHeight="1">
      <x:c r="A523" s="4" t="str">
        <x:v>REQ-cd4e81aab118</x:v>
      </x:c>
      <x:c r="B523" s="4" t="str">
        <x:v>数据与收益</x:v>
      </x:c>
      <x:c r="C523" s="4" t="n">
        <x:v>2440</x:v>
      </x:c>
      <x:c r="D523" s="4" t="str">
        <x:v>日期 / 历史标记：当前查看的自然日；非今日显示历史标记。</x:v>
      </x:c>
      <x:c r="E523" s="4" t="str">
        <x:v>整段分支核验未闭合</x:v>
      </x:c>
      <x:c r="F523" s="4" t="str">
        <x:v>GUILD-0145、GUILD-0146</x:v>
      </x:c>
      <x:c r="G523" s="4" t="str">
        <x:v>本段剩余子句、条件组合及状态后续影响仍需与独立规则逐项闭合；这是生成覆盖缺口，不是产品决策缺失。</x:v>
      </x:c>
    </x:row>
    <x:row r="524" ht="44" customHeight="1">
      <x:c r="A524" s="4" t="str">
        <x:v>REQ-d5648134233d</x:v>
      </x:c>
      <x:c r="B524" s="4" t="str">
        <x:v>数据与收益</x:v>
      </x:c>
      <x:c r="C524" s="4" t="n">
        <x:v>2441</x:v>
      </x:c>
      <x:c r="D524" s="4" t="str">
        <x:v>已开播 / 未开播及人数：按当日是否有直播区分主播列表，已开播按当日收益倒序。</x:v>
      </x:c>
      <x:c r="E524" s="4" t="str">
        <x:v>尚未建立场景映射</x:v>
      </x:c>
      <x:c r="F524" s="4" t="str"/>
      <x:c r="G524" s="4" t="str">
        <x:v>本轮独立来源库保留该已知条款，但尚未建立可核验的正式场景映射；不是无业务依据，也不转为产品待确认。</x:v>
      </x:c>
    </x:row>
    <x:row r="525" ht="44" customHeight="1">
      <x:c r="A525" s="4" t="str">
        <x:v>REQ-06ad3c0d866a</x:v>
      </x:c>
      <x:c r="B525" s="4" t="str">
        <x:v>数据与收益</x:v>
      </x:c>
      <x:c r="C525" s="4" t="n">
        <x:v>2442</x:v>
      </x:c>
      <x:c r="D525" s="4" t="str">
        <x:v>头像 / 名称：当前主播账号头像和名称。</x:v>
      </x:c>
      <x:c r="E525" s="4" t="str">
        <x:v>整段分支核验未闭合</x:v>
      </x:c>
      <x:c r="F525" s="4" t="str">
        <x:v>GUILD-0212</x:v>
      </x:c>
      <x:c r="G525" s="4" t="str">
        <x:v>本段剩余子句、条件组合及状态后续影响仍需与独立规则逐项闭合；这是生成覆盖缺口，不是产品决策缺失。</x:v>
      </x:c>
    </x:row>
    <x:row r="526" ht="44" customHeight="1">
      <x:c r="A526" s="4" t="str">
        <x:v>REQ-beddde584aab</x:v>
      </x:c>
      <x:c r="B526" s="4" t="str">
        <x:v>数据与收益</x:v>
      </x:c>
      <x:c r="C526" s="4" t="n">
        <x:v>2443</x:v>
      </x:c>
      <x:c r="D526" s="4" t="str">
        <x:v>主播 ID：主播账号唯一标识。</x:v>
      </x:c>
      <x:c r="E526" s="4" t="str">
        <x:v>整段分支核验未闭合</x:v>
      </x:c>
      <x:c r="F526" s="4" t="str">
        <x:v>GUILD-0213</x:v>
      </x:c>
      <x:c r="G526" s="4" t="str">
        <x:v>本段剩余子句、条件组合及状态后续影响仍需与独立规则逐项闭合；这是生成覆盖缺口，不是产品决策缺失。</x:v>
      </x:c>
    </x:row>
    <x:row r="527" ht="44" customHeight="1">
      <x:c r="A527" s="4" t="str">
        <x:v>REQ-9d262cff137e</x:v>
      </x:c>
      <x:c r="B527" s="4" t="str">
        <x:v>数据与收益</x:v>
      </x:c>
      <x:c r="C527" s="4" t="n">
        <x:v>2444</x:v>
      </x:c>
      <x:c r="D527" s="4" t="str">
        <x:v>主播等级：按后台主播等级累计门槛匹配分成前收益，不含运营号金币，与财富等级分开。</x:v>
      </x:c>
      <x:c r="E527" s="4" t="str">
        <x:v>尚未建立场景映射</x:v>
      </x:c>
      <x:c r="F527" s="4" t="str"/>
      <x:c r="G527" s="4" t="str">
        <x:v>本轮独立来源库保留该已知条款，但尚未建立可核验的正式场景映射；不是无业务依据，也不转为产品待确认。</x:v>
      </x:c>
    </x:row>
    <x:row r="528" ht="44" customHeight="1">
      <x:c r="A528" s="4" t="str">
        <x:v>REQ-1db91ec3c02e</x:v>
      </x:c>
      <x:c r="B528" s="4" t="str">
        <x:v>数据与收益</x:v>
      </x:c>
      <x:c r="C528" s="4" t="n">
        <x:v>2445</x:v>
      </x:c>
      <x:c r="D528" s="4" t="str">
        <x:v>当日收益：已开播主播当日收益金币。</x:v>
      </x:c>
      <x:c r="E528" s="4" t="str">
        <x:v>尚未建立场景映射</x:v>
      </x:c>
      <x:c r="F528" s="4" t="str"/>
      <x:c r="G528" s="4" t="str">
        <x:v>本轮独立来源库保留该已知条款，但尚未建立可核验的正式场景映射；不是无业务依据，也不转为产品待确认。</x:v>
      </x:c>
    </x:row>
    <x:row r="529" ht="44" customHeight="1">
      <x:c r="A529" s="4" t="str">
        <x:v>REQ-df3be85b3d95</x:v>
      </x:c>
      <x:c r="B529" s="4" t="str">
        <x:v>数据与收益</x:v>
      </x:c>
      <x:c r="C529" s="4" t="n">
        <x:v>2446</x:v>
      </x:c>
      <x:c r="D529" s="4" t="str">
        <x:v>直播时长 / 有效天状态：当日累计时长及是否达成有效天，未开播不显示业绩。</x:v>
      </x:c>
      <x:c r="E529" s="4" t="str">
        <x:v>尚未建立场景映射</x:v>
      </x:c>
      <x:c r="F529" s="4" t="str"/>
      <x:c r="G529" s="4" t="str">
        <x:v>本轮独立来源库保留该已知条款，但尚未建立可核验的正式场景映射；不是无业务依据，也不转为产品待确认。</x:v>
      </x:c>
    </x:row>
    <x:row r="530" ht="44" customHeight="1">
      <x:c r="A530" s="4" t="str">
        <x:v>REQ-87ec9467d4df</x:v>
      </x:c>
      <x:c r="B530" s="4" t="str">
        <x:v>数据与收益</x:v>
      </x:c>
      <x:c r="C530" s="4" t="n">
        <x:v>2447</x:v>
      </x:c>
      <x:c r="D530" s="4" t="str">
        <x:v>当日收益：全部主播当日计入收益的礼物金币总和。</x:v>
      </x:c>
      <x:c r="E530" s="4" t="str">
        <x:v>整段分支核验未闭合</x:v>
      </x:c>
      <x:c r="F530" s="4" t="str">
        <x:v>GUILD-0255</x:v>
      </x:c>
      <x:c r="G530" s="4" t="str">
        <x:v>本段剩余子句、条件组合及状态后续影响仍需与独立规则逐项闭合；这是生成覆盖缺口，不是产品决策缺失。</x:v>
      </x:c>
    </x:row>
    <x:row r="531" ht="44" customHeight="1">
      <x:c r="A531" s="4" t="str">
        <x:v>REQ-b03f834055b4</x:v>
      </x:c>
      <x:c r="B531" s="4" t="str">
        <x:v>数据与收益</x:v>
      </x:c>
      <x:c r="C531" s="4" t="n">
        <x:v>2448</x:v>
      </x:c>
      <x:c r="D531" s="4" t="str">
        <x:v>直播中：查看今日时为当前正在直播的去重主播数，查看历史日期时为当日开播主播数。</x:v>
      </x:c>
      <x:c r="E531" s="4" t="str">
        <x:v>整段分支核验未闭合</x:v>
      </x:c>
      <x:c r="F531" s="4" t="str">
        <x:v>GUILD-0145、GUILD-0146</x:v>
      </x:c>
      <x:c r="G531" s="4" t="str">
        <x:v>本段剩余子句、条件组合及状态后续影响仍需与独立规则逐项闭合；这是生成覆盖缺口，不是产品决策缺失。</x:v>
      </x:c>
    </x:row>
    <x:row r="532" ht="44" customHeight="1">
      <x:c r="A532" s="4" t="str">
        <x:v>REQ-f41d28f9fe68</x:v>
      </x:c>
      <x:c r="B532" s="4" t="str">
        <x:v>数据与收益</x:v>
      </x:c>
      <x:c r="C532" s="4" t="n">
        <x:v>2449</x:v>
      </x:c>
      <x:c r="D532" s="4" t="str">
        <x:v>达成有效天：当日累计直播时长达到 3 小时的主播数。</x:v>
      </x:c>
      <x:c r="E532" s="4" t="str">
        <x:v>整段分支核验未闭合</x:v>
      </x:c>
      <x:c r="F532" s="4" t="str">
        <x:v>GUILD-0256</x:v>
      </x:c>
      <x:c r="G532" s="4" t="str">
        <x:v>本段剩余子句、条件组合及状态后续影响仍需与独立规则逐项闭合；这是生成覆盖缺口，不是产品决策缺失。</x:v>
      </x:c>
    </x:row>
    <x:row r="533" ht="44" customHeight="1">
      <x:c r="A533" s="4" t="str">
        <x:v>REQ-92eb7753253a</x:v>
      </x:c>
      <x:c r="B533" s="4" t="str">
        <x:v>数据与收益</x:v>
      </x:c>
      <x:c r="C533" s="4" t="n">
        <x:v>2450</x:v>
      </x:c>
      <x:c r="D533" s="4" t="str">
        <x:v>切换开播状态 -&gt; 更新列表；点击主播 -&gt; 进入主播数据并带入当前日期。</x:v>
      </x:c>
      <x:c r="E533" s="4" t="str">
        <x:v>整段分支核验未闭合</x:v>
      </x:c>
      <x:c r="F533" s="4" t="str">
        <x:v>GUILD-0032</x:v>
      </x:c>
      <x:c r="G533" s="4" t="str">
        <x:v>本段剩余子句、条件组合及状态后续影响仍需与独立规则逐项闭合；这是生成覆盖缺口，不是产品决策缺失。</x:v>
      </x:c>
    </x:row>
    <x:row r="534" ht="44" customHeight="1">
      <x:c r="A534" s="4" t="str">
        <x:v>REQ-955b8a81aa0e</x:v>
      </x:c>
      <x:c r="B534" s="4" t="str">
        <x:v>数据与收益</x:v>
      </x:c>
      <x:c r="C534" s="4" t="n">
        <x:v>2454</x:v>
      </x:c>
      <x:c r="D534" s="4" t="str">
        <x:v>主播 / 已选人数：默认全部，支持多选；保留日期条件。</x:v>
      </x:c>
      <x:c r="E534" s="4" t="str">
        <x:v>尚未建立场景映射</x:v>
      </x:c>
      <x:c r="F534" s="4" t="str"/>
      <x:c r="G534" s="4" t="str">
        <x:v>本轮独立来源库保留该已知条款，但尚未建立可核验的正式场景映射；不是无业务依据，也不转为产品待确认。</x:v>
      </x:c>
    </x:row>
    <x:row r="535" ht="44" customHeight="1">
      <x:c r="A535" s="4" t="str">
        <x:v>REQ-226cf54bb205</x:v>
      </x:c>
      <x:c r="B535" s="4" t="str">
        <x:v>数据与收益</x:v>
      </x:c>
      <x:c r="C535" s="4" t="n">
        <x:v>2455</x:v>
      </x:c>
      <x:c r="D535" s="4" t="str">
        <x:v>日期范围：按当前筛选起止日期统计，包含开始日和结束日；随快捷日期或自定义日期更新。</x:v>
      </x:c>
      <x:c r="E535" s="4" t="str">
        <x:v>整段分支核验未闭合</x:v>
      </x:c>
      <x:c r="F535" s="4" t="str">
        <x:v>GUILD-0131、GUILD-0132、GUILD-0133</x:v>
      </x:c>
      <x:c r="G535" s="4" t="str">
        <x:v>本段剩余子句、条件组合及状态后续影响仍需与独立规则逐项闭合；这是生成覆盖缺口，不是产品决策缺失。</x:v>
      </x:c>
    </x:row>
    <x:row r="536" ht="44" customHeight="1">
      <x:c r="A536" s="4" t="str">
        <x:v>REQ-40165a196f29</x:v>
      </x:c>
      <x:c r="B536" s="4" t="str">
        <x:v>数据与收益</x:v>
      </x:c>
      <x:c r="C536" s="4" t="n">
        <x:v>2456</x:v>
      </x:c>
      <x:c r="D536" s="4" t="str">
        <x:v>快捷日期：今日、昨日、本周、上周、本月、上月、自定义，默认本月；按分成时间筛选。</x:v>
      </x:c>
      <x:c r="E536" s="4" t="str">
        <x:v>整段分支核验未闭合</x:v>
      </x:c>
      <x:c r="F536" s="4" t="str">
        <x:v>GUILD-0147</x:v>
      </x:c>
      <x:c r="G536" s="4" t="str">
        <x:v>本段剩余子句、条件组合及状态后续影响仍需与独立规则逐项闭合；这是生成覆盖缺口，不是产品决策缺失。</x:v>
      </x:c>
    </x:row>
    <x:row r="537" ht="44" customHeight="1">
      <x:c r="A537" s="4" t="str">
        <x:v>REQ-a4961bd70b3f</x:v>
      </x:c>
      <x:c r="B537" s="4" t="str">
        <x:v>数据与收益</x:v>
      </x:c>
      <x:c r="C537" s="4" t="n">
        <x:v>2457</x:v>
      </x:c>
      <x:c r="D537" s="4" t="str">
        <x:v>主播名称 / 主播 ID：该笔分成所属主播。</x:v>
      </x:c>
      <x:c r="E537" s="4" t="str">
        <x:v>整段分支核验未闭合</x:v>
      </x:c>
      <x:c r="F537" s="4" t="str">
        <x:v>GUILD-0214、GUILD-0215</x:v>
      </x:c>
      <x:c r="G537" s="4" t="str">
        <x:v>本段剩余子句、条件组合及状态后续影响仍需与独立规则逐项闭合；这是生成覆盖缺口，不是产品决策缺失。</x:v>
      </x:c>
    </x:row>
    <x:row r="538" ht="44" customHeight="1">
      <x:c r="A538" s="4" t="str">
        <x:v>REQ-7363006e887b</x:v>
      </x:c>
      <x:c r="B538" s="4" t="str">
        <x:v>数据与收益</x:v>
      </x:c>
      <x:c r="C538" s="4" t="n">
        <x:v>2458</x:v>
      </x:c>
      <x:c r="D538" s="4" t="str">
        <x:v>分成时间：财务结果入账时间，以页面本地化日期时间展示。</x:v>
      </x:c>
      <x:c r="E538" s="4" t="str">
        <x:v>整段分支核验未闭合</x:v>
      </x:c>
      <x:c r="F538" s="4" t="str">
        <x:v>GUILD-0147</x:v>
      </x:c>
      <x:c r="G538" s="4" t="str">
        <x:v>本段剩余子句、条件组合及状态后续影响仍需与独立规则逐项闭合；这是生成覆盖缺口，不是产品决策缺失。</x:v>
      </x:c>
    </x:row>
    <x:row r="539" ht="44" customHeight="1">
      <x:c r="A539" s="4" t="str">
        <x:v>REQ-d5475168b9b4</x:v>
      </x:c>
      <x:c r="B539" s="4" t="str">
        <x:v>数据与收益</x:v>
      </x:c>
      <x:c r="C539" s="4" t="n">
        <x:v>2459</x:v>
      </x:c>
      <x:c r="D539" s="4" t="str">
        <x:v>分成金额：USD 金额，保留两位小数；正数增加，负数冲正或扣减。</x:v>
      </x:c>
      <x:c r="E539" s="4" t="str">
        <x:v>尚未建立场景映射</x:v>
      </x:c>
      <x:c r="F539" s="4" t="str"/>
      <x:c r="G539" s="4" t="str">
        <x:v>本轮独立来源库保留该已知条款，但尚未建立可核验的正式场景映射；不是无业务依据，也不转为产品待确认。</x:v>
      </x:c>
    </x:row>
    <x:row r="540" ht="44" customHeight="1">
      <x:c r="A540" s="4" t="str">
        <x:v>REQ-a00c25f0c736</x:v>
      </x:c>
      <x:c r="B540" s="4" t="str">
        <x:v>数据与收益</x:v>
      </x:c>
      <x:c r="C540" s="4" t="n">
        <x:v>2460</x:v>
      </x:c>
      <x:c r="D540" s="4" t="str">
        <x:v>系统不在线计算或审批最终分成；财务线下确定比例和金额后上传结果。</x:v>
      </x:c>
      <x:c r="E540" s="4" t="str">
        <x:v>尚未建立场景映射</x:v>
      </x:c>
      <x:c r="F540" s="4" t="str"/>
      <x:c r="G540" s="4" t="str">
        <x:v>本轮独立来源库保留该已知条款，但尚未建立可核验的正式场景映射；不是无业务依据，也不转为产品待确认。</x:v>
      </x:c>
    </x:row>
    <x:row r="541" ht="44" customHeight="1">
      <x:c r="A541" s="4" t="str">
        <x:v>REQ-50ee1a396c02</x:v>
      </x:c>
      <x:c r="B541" s="4" t="str">
        <x:v>数据与收益</x:v>
      </x:c>
      <x:c r="C541" s="4" t="n">
        <x:v>2461</x:v>
      </x:c>
      <x:c r="D541" s="4" t="str">
        <x:v>分成时间与收益所属周期可以跨月；按分成时间倒序。</x:v>
      </x:c>
      <x:c r="E541" s="4" t="str">
        <x:v>整段分支核验未闭合</x:v>
      </x:c>
      <x:c r="F541" s="4" t="str">
        <x:v>GUILD-0147、GUILD-0232</x:v>
      </x:c>
      <x:c r="G541" s="4" t="str">
        <x:v>本段剩余子句、条件组合及状态后续影响仍需与独立规则逐项闭合；这是生成覆盖缺口，不是产品决策缺失。</x:v>
      </x:c>
    </x:row>
    <x:row r="542" ht="44" customHeight="1">
      <x:c r="A542" s="4" t="str">
        <x:v>REQ-97eddfd7336d</x:v>
      </x:c>
      <x:c r="B542" s="4" t="str">
        <x:v>数据与收益</x:v>
      </x:c>
      <x:c r="C542" s="4" t="n">
        <x:v>2465</x:v>
      </x:c>
      <x:c r="D542" s="4" t="str">
        <x:v>分成时间：当前公会财务结果入账时间，按时间倒序。</x:v>
      </x:c>
      <x:c r="E542" s="4" t="str">
        <x:v>整段分支核验未闭合</x:v>
      </x:c>
      <x:c r="F542" s="4" t="str">
        <x:v>GUILD-0017</x:v>
      </x:c>
      <x:c r="G542" s="4" t="str">
        <x:v>本段剩余子句、条件组合及状态后续影响仍需与独立规则逐项闭合；这是生成覆盖缺口，不是产品决策缺失。</x:v>
      </x:c>
    </x:row>
    <x:row r="543" ht="44" customHeight="1">
      <x:c r="A543" s="4" t="str">
        <x:v>REQ-290d0c4a70a5</x:v>
      </x:c>
      <x:c r="B543" s="4" t="str">
        <x:v>数据与收益</x:v>
      </x:c>
      <x:c r="C543" s="4" t="n">
        <x:v>2466</x:v>
      </x:c>
      <x:c r="D543" s="4" t="str">
        <x:v>分成金额：USD 金额，保留两位小数；正数增加、绿色，负数冲正或扣减、红色。</x:v>
      </x:c>
      <x:c r="E543" s="4" t="str">
        <x:v>整段分支核验未闭合</x:v>
      </x:c>
      <x:c r="F543" s="4" t="str">
        <x:v>GUILD-0017</x:v>
      </x:c>
      <x:c r="G543" s="4" t="str">
        <x:v>本段剩余子句、条件组合及状态后续影响仍需与独立规则逐项闭合；这是生成覆盖缺口，不是产品决策缺失。</x:v>
      </x:c>
    </x:row>
    <x:row r="544" ht="44" customHeight="1">
      <x:c r="A544" s="4" t="str">
        <x:v>REQ-ab7fad33ca13</x:v>
      </x:c>
      <x:c r="B544" s="4" t="str">
        <x:v>数据与收益</x:v>
      </x:c>
      <x:c r="C544" s="4" t="n">
        <x:v>2467</x:v>
      </x:c>
      <x:c r="D544" s="4" t="str">
        <x:v>仅展示当前公会的财务上传结果，不提供日期筛选或在线分成计算。</x:v>
      </x:c>
      <x:c r="E544" s="4" t="str">
        <x:v>整段分支核验未闭合</x:v>
      </x:c>
      <x:c r="F544" s="4" t="str">
        <x:v>GUILD-0017</x:v>
      </x:c>
      <x:c r="G544" s="4" t="str">
        <x:v>本段剩余子句、条件组合及状态后续影响仍需与独立规则逐项闭合；这是生成覆盖缺口，不是产品决策缺失。</x:v>
      </x:c>
    </x:row>
    <x:row r="545" ht="44" customHeight="1">
      <x:c r="A545" s="4" t="str">
        <x:v>REQ-26b0cd31708d</x:v>
      </x:c>
      <x:c r="B545" s="4" t="str">
        <x:v>数据与收益</x:v>
      </x:c>
      <x:c r="C545" s="4" t="n">
        <x:v>2468</x:v>
      </x:c>
      <x:c r="D545" s="4" t="str">
        <x:v>按分成时间倒序；分成时间与收益所属周期可以跨月。</x:v>
      </x:c>
      <x:c r="E545" s="4" t="str">
        <x:v>整段分支核验未闭合</x:v>
      </x:c>
      <x:c r="F545" s="4" t="str">
        <x:v>GUILD-0017、GUILD-0233</x:v>
      </x:c>
      <x:c r="G545" s="4" t="str">
        <x:v>本段剩余子句、条件组合及状态后续影响仍需与独立规则逐项闭合；这是生成覆盖缺口，不是产品决策缺失。</x:v>
      </x:c>
    </x:row>
    <x:row r="546" ht="44" customHeight="1">
      <x:c r="A546" s="4" t="str">
        <x:v>REQ-255a51e425fe</x:v>
      </x:c>
      <x:c r="B546" s="4" t="str">
        <x:v>数据与收益</x:v>
      </x:c>
      <x:c r="C546" s="4" t="n">
        <x:v>2472</x:v>
      </x:c>
      <x:c r="D546" s="4" t="str">
        <x:v>搜索：按主播名称或主播 ID 模糊匹配。</x:v>
      </x:c>
      <x:c r="E546" s="4" t="str">
        <x:v>尚未建立场景映射</x:v>
      </x:c>
      <x:c r="F546" s="4" t="str"/>
      <x:c r="G546" s="4" t="str">
        <x:v>本轮独立来源库保留该已知条款，但尚未建立可核验的正式场景映射；不是无业务依据，也不转为产品待确认。</x:v>
      </x:c>
    </x:row>
    <x:row r="547" ht="44" customHeight="1">
      <x:c r="A547" s="4" t="str">
        <x:v>REQ-4f1488c6ef14</x:v>
      </x:c>
      <x:c r="B547" s="4" t="str">
        <x:v>数据与收益</x:v>
      </x:c>
      <x:c r="C547" s="4" t="n">
        <x:v>2473</x:v>
      </x:c>
      <x:c r="D547" s="4" t="str">
        <x:v>头像 / 名称：当前主播账号头像和名称。</x:v>
      </x:c>
      <x:c r="E547" s="4" t="str">
        <x:v>尚未建立场景映射</x:v>
      </x:c>
      <x:c r="F547" s="4" t="str"/>
      <x:c r="G547" s="4" t="str">
        <x:v>本轮独立来源库保留该已知条款，但尚未建立可核验的正式场景映射；不是无业务依据，也不转为产品待确认。</x:v>
      </x:c>
    </x:row>
    <x:row r="548" ht="44" customHeight="1">
      <x:c r="A548" s="4" t="str">
        <x:v>REQ-893b7e4f0546</x:v>
      </x:c>
      <x:c r="B548" s="4" t="str">
        <x:v>数据与收益</x:v>
      </x:c>
      <x:c r="C548" s="4" t="n">
        <x:v>2474</x:v>
      </x:c>
      <x:c r="D548" s="4" t="str">
        <x:v>主播 ID：主播账号唯一标识。</x:v>
      </x:c>
      <x:c r="E548" s="4" t="str">
        <x:v>尚未建立场景映射</x:v>
      </x:c>
      <x:c r="F548" s="4" t="str"/>
      <x:c r="G548" s="4" t="str">
        <x:v>本轮独立来源库保留该已知条款，但尚未建立可核验的正式场景映射；不是无业务依据，也不转为产品待确认。</x:v>
      </x:c>
    </x:row>
    <x:row r="549" ht="44" customHeight="1">
      <x:c r="A549" s="4" t="str">
        <x:v>REQ-2ab5ed661332</x:v>
      </x:c>
      <x:c r="B549" s="4" t="str">
        <x:v>数据与收益</x:v>
      </x:c>
      <x:c r="C549" s="4" t="n">
        <x:v>2475</x:v>
      </x:c>
      <x:c r="D549" s="4" t="str">
        <x:v>结果人数 / 已选人数：搜索结果人数与当前已选主播数分别显示。</x:v>
      </x:c>
      <x:c r="E549" s="4" t="str">
        <x:v>整段分支核验未闭合</x:v>
      </x:c>
      <x:c r="F549" s="4" t="str">
        <x:v>GUILD-0297、GUILD-0298</x:v>
      </x:c>
      <x:c r="G549" s="4" t="str">
        <x:v>本段剩余子句、条件组合及状态后续影响仍需与独立规则逐项闭合；这是生成覆盖缺口，不是产品决策缺失。</x:v>
      </x:c>
    </x:row>
    <x:row r="550" ht="44" customHeight="1">
      <x:c r="A550" s="4" t="str">
        <x:v>REQ-fb9bcb201c95</x:v>
      </x:c>
      <x:c r="B550" s="4" t="str">
        <x:v>数据与收益</x:v>
      </x:c>
      <x:c r="C550" s="4" t="n">
        <x:v>2476</x:v>
      </x:c>
      <x:c r="D550" s="4" t="str">
        <x:v>全选 / 选中标记：支持多选，全选全部主播；全部选中后切换取消全选。</x:v>
      </x:c>
      <x:c r="E550" s="4" t="str">
        <x:v>整段分支核验未闭合</x:v>
      </x:c>
      <x:c r="F550" s="4" t="str">
        <x:v>GUILD-0218、GUILD-0219</x:v>
      </x:c>
      <x:c r="G550" s="4" t="str">
        <x:v>本段剩余子句、条件组合及状态后续影响仍需与独立规则逐项闭合；这是生成覆盖缺口，不是产品决策缺失。</x:v>
      </x:c>
    </x:row>
    <x:row r="551" ht="44" customHeight="1">
      <x:c r="A551" s="4" t="str">
        <x:v>REQ-809ef5b87a67</x:v>
      </x:c>
      <x:c r="B551" s="4" t="str">
        <x:v>数据与收益</x:v>
      </x:c>
      <x:c r="C551" s="4" t="n">
        <x:v>2477</x:v>
      </x:c>
      <x:c r="D551" s="4" t="str">
        <x:v>支持多选；完成后返回违规记录、直播记录或主播分成记录，回填主播并保留其他筛选条件。</x:v>
      </x:c>
      <x:c r="E551" s="4" t="str">
        <x:v>整段分支核验未闭合</x:v>
      </x:c>
      <x:c r="F551" s="4" t="str">
        <x:v>GUILD-0218、GUILD-0219</x:v>
      </x:c>
      <x:c r="G551" s="4" t="str">
        <x:v>本段剩余子句、条件组合及状态后续影响仍需与独立规则逐项闭合；这是生成覆盖缺口，不是产品决策缺失。</x:v>
      </x:c>
    </x:row>
    <x:row r="552" ht="44" customHeight="1">
      <x:c r="A552" s="4" t="str">
        <x:v>REQ-7f64ff578699</x:v>
      </x:c>
      <x:c r="B552" s="4" t="str">
        <x:v>公会管理</x:v>
      </x:c>
      <x:c r="C552" s="4" t="n">
        <x:v>2711</x:v>
      </x:c>
      <x:c r="D552" s="4" t="str">
        <x:v>公会长账号停用时，仅该账号不能登录，不改变公会状态，也不影响主播。</x:v>
      </x:c>
      <x:c r="E552" s="4" t="str">
        <x:v>整段分支核验未闭合</x:v>
      </x:c>
      <x:c r="F552" s="4" t="str">
        <x:v>GUILD-0134</x:v>
      </x:c>
      <x:c r="G552" s="4" t="str">
        <x:v>本段剩余子句、条件组合及状态后续影响仍需与独立规则逐项闭合；这是生成覆盖缺口，不是产品决策缺失。</x:v>
      </x:c>
    </x:row>
    <x:row r="553" ht="44" customHeight="1">
      <x:c r="A553" s="4" t="str">
        <x:v>REQ-06e5fe687f7e</x:v>
      </x:c>
      <x:c r="B553" s="4" t="str">
        <x:v>公会管理</x:v>
      </x:c>
      <x:c r="C553" s="4" t="n">
        <x:v>2726</x:v>
      </x:c>
      <x:c r="D553" s="4" t="str">
        <x:v>登录须同时满足公会启用和管理账号自身启用。公会停用会拦截全部管理账号；公会长账号停用只拦截该账号。</x:v>
      </x:c>
      <x:c r="E553" s="4" t="str">
        <x:v>整段分支核验未闭合</x:v>
      </x:c>
      <x:c r="F553" s="4" t="str">
        <x:v>GUILD-0134</x:v>
      </x:c>
      <x:c r="G553" s="4" t="str">
        <x:v>本段剩余子句、条件组合及状态后续影响仍需与独立规则逐项闭合；这是生成覆盖缺口，不是产品决策缺失。</x:v>
      </x:c>
    </x:row>
  </x:sheetData>
  <x:pageMargins left="0.7" right="0.7" top="0.75" bottom="0.75" header="0.3" footer="0.3"/>
  <x:tableParts count="1">
    <x:tablePart xmlns:r="http://schemas.openxmlformats.org/officeDocument/2006/relationships" r:id="Rd940b0466727479f"/>
  </x:tableParts>
</x:worksheet>
</file>