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996a84015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eb4e3abbe5044156"/>
    <x:sheet xmlns:r="http://schemas.openxmlformats.org/officeDocument/2006/relationships" name="功能测试用例" sheetId="2" r:id="R41e62babe4624722"/>
    <x:sheet xmlns:r="http://schemas.openxmlformats.org/officeDocument/2006/relationships" name="需求待确认" sheetId="3" r:id="R81863ceb608e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02918bac04451" /><Relationship Type="http://schemas.openxmlformats.org/officeDocument/2006/relationships/theme" Target="/xl/theme/theme1.xml" Id="R357d84211750443e" /><Relationship Type="http://schemas.openxmlformats.org/officeDocument/2006/relationships/sharedStrings" Target="/xl/sharedStrings.xml" Id="R23e659e525654bbe" /><Relationship Type="http://schemas.openxmlformats.org/officeDocument/2006/relationships/worksheet" Target="/xl/worksheets/sheet1.xml" Id="Reb4e3abbe5044156" /><Relationship Type="http://schemas.openxmlformats.org/officeDocument/2006/relationships/worksheet" Target="/xl/worksheets/sheet2.xml" Id="R41e62babe4624722" /><Relationship Type="http://schemas.openxmlformats.org/officeDocument/2006/relationships/worksheet" Target="/xl/worksheets/sheet3.xml" Id="R81863ceb608e411c" /></Relationships>
</file>

<file path=xl/tables/table1.xml><?xml version="1.0" encoding="utf-8"?>
<x:table xmlns:x="http://schemas.openxmlformats.org/spreadsheetml/2006/main" id="1" name="LiveCasesTable" displayName="LiveCasesTable" ref="A1:O336" headerRowCount="1" totalsRowCount="0" totalsRowShown="0">
  <x:autoFilter ref="A1:O336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2" headerRowCount="1" totalsRowCount="0" totalsRowShown="0">
  <x:autoFilter ref="A1:T12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0882449f674d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107130467b48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阶段性-公会App-全部模块-260915-001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COUNTA('需求待确认'!$A$2:$A$12)</x:f>
        <x:v>11</x:v>
      </x:c>
      <x:c r="C5" s="13"/>
      <x:c r="D5" s="20" t="str">
        <x:v>阻塞测试</x:v>
      </x:c>
      <x:c r="E5" s="22" t="n">
        <x:f>COUNTIFS('需求待确认'!$E$2:$E$12,"阻塞测试",'需求待确认'!$T$2:$T$12,"待确认")</x:f>
        <x:v>0</x:v>
      </x:c>
      <x:c r="F5" s="13"/>
      <x:c r="G5" s="20" t="str">
        <x:v>产品</x:v>
      </x:c>
      <x:c r="H5" s="22" t="n">
        <x:f>COUNTIFS('需求待确认'!$R$2:$R$12,"产品",'需求待确认'!$T$2:$T$12,"待确认")</x:f>
        <x:v>10</x:v>
      </x:c>
    </x:row>
    <x:row r="6">
      <x:c r="A6" s="20" t="str">
        <x:v>当前可回答</x:v>
      </x:c>
      <x:c r="B6" s="22" t="n">
        <x:f>COUNTIF('需求待确认'!$T$2:$T$12,"待确认")</x:f>
        <x:v>11</x:v>
      </x:c>
      <x:c r="C6" s="13"/>
      <x:c r="D6" s="20" t="str">
        <x:v>部分阻塞</x:v>
      </x:c>
      <x:c r="E6" s="22" t="n">
        <x:f>COUNTIFS('需求待确认'!$E$2:$E$12,"部分阻塞",'需求待确认'!$T$2:$T$12,"待确认")</x:f>
        <x:v>11</x:v>
      </x:c>
      <x:c r="F6" s="13"/>
      <x:c r="G6" s="20" t="str">
        <x:v>交互</x:v>
      </x:c>
      <x:c r="H6" s="22" t="n">
        <x:f>COUNTIFS('需求待确认'!$R$2:$R$12,"交互",'需求待确认'!$T$2:$T$12,"待确认")</x:f>
        <x:v>0</x:v>
      </x:c>
    </x:row>
    <x:row r="7">
      <x:c r="A7" s="20" t="str">
        <x:v>待前置结论</x:v>
      </x:c>
      <x:c r="B7" s="22" t="n">
        <x:f>COUNTIF('需求待确认'!$T$2:$T$12,"待前置结论")</x:f>
        <x:v>0</x:v>
      </x:c>
      <x:c r="C7" s="13"/>
      <x:c r="D7" s="20" t="str">
        <x:v>不阻塞</x:v>
      </x:c>
      <x:c r="E7" s="22" t="n">
        <x:f>COUNTIFS('需求待确认'!$E$2:$E$12,"不阻塞",'需求待确认'!$T$2:$T$12,"待确认")</x:f>
        <x:v>0</x:v>
      </x:c>
      <x:c r="F7" s="13"/>
      <x:c r="G7" s="20" t="str">
        <x:v>技术</x:v>
      </x:c>
      <x:c r="H7" s="22" t="n">
        <x:f>COUNTIFS('需求待确认'!$R$2:$R$12,"技术",'需求待确认'!$T$2:$T$12,"待确认")</x:f>
        <x:v>0</x:v>
      </x:c>
    </x:row>
    <x:row r="8">
      <x:c r="A8" s="20" t="str">
        <x:v>确认中</x:v>
      </x:c>
      <x:c r="B8" s="22" t="n">
        <x:f>COUNTIF('需求待确认'!$T$2:$T$12,"确认中")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COUNTIFS('需求待确认'!$R$2:$R$12,"多方确认",'需求待确认'!$T$2:$T$12,"待确认")</x:f>
        <x:v>1</x:v>
      </x:c>
    </x:row>
    <x:row r="9">
      <x:c r="A9" s="20" t="str">
        <x:v>已确认</x:v>
      </x:c>
      <x:c r="B9" s="22" t="n">
        <x:f>COUNTIF('需求待确认'!$T$2:$T$12,"已确认")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COUNTIF('需求待确认'!$T$2:$T$12,"无需处理")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15" customHeight="1">
      <x:c r="A2" s="10" t="n">
        <x:v>1</x:v>
      </x:c>
      <x:c r="B2" s="10" t="str">
        <x:v>GUILD-01-0001</x:v>
      </x:c>
      <x:c r="C2" s="10" t="str">
        <x:v>登录与首页</x:v>
      </x:c>
      <x:c r="D2" s="10" t="str">
        <x:v>首页</x:v>
      </x:c>
      <x:c r="E2" s="10" t="str">
        <x:v>功能需求</x:v>
      </x:c>
      <x:c r="F2" s="10" t="str">
        <x:v>P1</x:v>
      </x:c>
      <x:c r="G2" s="9" t="str">
        <x:v>验证首页切换公会入口</x:v>
      </x:c>
      <x:c r="H2" s="9" t="str">
        <x:v>公会选择入口</x:v>
      </x:c>
      <x:c r="I2" s="9" t="str">
        <x:v>1. 公会长账号可用，已选择待测公会
2. 当前公会有效</x:v>
      </x:c>
      <x:c r="J2" s="9" t="str">
        <x:v>1. 打开首页
2. 点击公会名称</x:v>
      </x:c>
      <x:c r="K2" s="9" t="str">
        <x:v>进入选择公会页面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来源（当前证据）：liveshow-proto/MainBasis/统一需求文档.md；位置：第2082行、第2083行 REQ-fe7aaa3b42c1、第2084行 REQ-a014380ae33b、第2085行 REQ-b3b81cfd00e4、第2091行 REQ-e54100a8dca9
2. 规则：BR-95cc532733f33ba8
3. 未动态验证</x:v>
      </x:c>
    </x:row>
    <x:row r="3" ht="115" customHeight="1">
      <x:c r="A3" s="10" t="n">
        <x:v>2</x:v>
      </x:c>
      <x:c r="B3" s="10" t="str">
        <x:v>GUILD-01-0002</x:v>
      </x:c>
      <x:c r="C3" s="10" t="str">
        <x:v>登录与首页</x:v>
      </x:c>
      <x:c r="D3" s="10" t="str">
        <x:v>首页</x:v>
      </x:c>
      <x:c r="E3" s="10" t="str">
        <x:v>功能需求</x:v>
      </x:c>
      <x:c r="F3" s="10" t="str">
        <x:v>P1</x:v>
      </x:c>
      <x:c r="G3" s="9" t="str">
        <x:v>验证首页通知入口</x:v>
      </x:c>
      <x:c r="H3" s="9" t="str">
        <x:v>通知列表入口</x:v>
      </x:c>
      <x:c r="I3" s="9" t="str">
        <x:v>1. 公会长账号可用，已选择待测公会
2. 当前公会有效</x:v>
      </x:c>
      <x:c r="J3" s="9" t="str">
        <x:v>1. 打开首页
2. 点击通知入口</x:v>
      </x:c>
      <x:c r="K3" s="9" t="str">
        <x:v>进入通知消息页面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来源（当前证据）：liveshow-proto/MainBasis/统一需求文档.md；位置：第2082行、第2083行 REQ-fe7aaa3b42c1、第2084行 REQ-a014380ae33b、第2085行 REQ-b3b81cfd00e4、第2091行 REQ-e54100a8dca9
2. 规则：BR-662e835b44041a20
3. 未动态验证</x:v>
      </x:c>
    </x:row>
    <x:row r="4" ht="115" customHeight="1">
      <x:c r="A4" s="10" t="n">
        <x:v>3</x:v>
      </x:c>
      <x:c r="B4" s="10" t="str">
        <x:v>GUILD-01-0003</x:v>
      </x:c>
      <x:c r="C4" s="10" t="str">
        <x:v>登录与首页</x:v>
      </x:c>
      <x:c r="D4" s="10" t="str">
        <x:v>首页</x:v>
      </x:c>
      <x:c r="E4" s="10" t="str">
        <x:v>功能需求</x:v>
      </x:c>
      <x:c r="F4" s="10" t="str">
        <x:v>P1</x:v>
      </x:c>
      <x:c r="G4" s="9" t="str">
        <x:v>验证首页账号设置入口</x:v>
      </x:c>
      <x:c r="H4" s="9" t="str">
        <x:v>设置页面入口</x:v>
      </x:c>
      <x:c r="I4" s="9" t="str">
        <x:v>1. 公会长账号可用，已选择待测公会
2. 当前公会有效</x:v>
      </x:c>
      <x:c r="J4" s="9" t="str">
        <x:v>1. 打开首页
2. 点击账号设置</x:v>
      </x:c>
      <x:c r="K4" s="9" t="str">
        <x:v>进入账号设置页面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来源（当前证据）：liveshow-proto/MainBasis/统一需求文档.md；位置：第2082行、第2083行 REQ-fe7aaa3b42c1、第2084行 REQ-a014380ae33b、第2085行 REQ-b3b81cfd00e4、第2091行 REQ-e54100a8dca9
2. 规则：BR-f7d16b67ccb23eb5
3. 未动态验证</x:v>
      </x:c>
    </x:row>
    <x:row r="5" ht="115" customHeight="1">
      <x:c r="A5" s="10" t="n">
        <x:v>4</x:v>
      </x:c>
      <x:c r="B5" s="10" t="str">
        <x:v>GUILD-01-0004</x:v>
      </x:c>
      <x:c r="C5" s="10" t="str">
        <x:v>登录与首页</x:v>
      </x:c>
      <x:c r="D5" s="10" t="str">
        <x:v>首页</x:v>
      </x:c>
      <x:c r="E5" s="10" t="str">
        <x:v>功能需求</x:v>
      </x:c>
      <x:c r="F5" s="10" t="str">
        <x:v>P1</x:v>
      </x:c>
      <x:c r="G5" s="9" t="str">
        <x:v>验证进入当日经营详情</x:v>
      </x:c>
      <x:c r="H5" s="9" t="str">
        <x:v>今日概况入口</x:v>
      </x:c>
      <x:c r="I5" s="9" t="str">
        <x:v>1. 公会长账号可用，已选择待测公会
2. 当前公会有当日经营数据</x:v>
      </x:c>
      <x:c r="J5" s="9" t="str">
        <x:v>1. 打开首页
2. 点击今日概况</x:v>
      </x:c>
      <x:c r="K5" s="9" t="str">
        <x:v>进入当前公会当日经营详情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来源（当前证据）：liveshow-proto/MainBasis/统一需求文档.md；位置：第2082行、第2083行 REQ-fe7aaa3b42c1、第2084行 REQ-a014380ae33b、第2085行 REQ-b3b81cfd00e4、第2091行 REQ-e54100a8dca9
2. 规则：BR-5063914418121d80
3. 未动态验证</x:v>
      </x:c>
    </x:row>
    <x:row r="6" ht="115" customHeight="1">
      <x:c r="A6" s="10" t="n">
        <x:v>5</x:v>
      </x:c>
      <x:c r="B6" s="10" t="str">
        <x:v>GUILD-01-0005</x:v>
      </x:c>
      <x:c r="C6" s="10" t="str">
        <x:v>登录与首页</x:v>
      </x:c>
      <x:c r="D6" s="10" t="str">
        <x:v>首页</x:v>
      </x:c>
      <x:c r="E6" s="10" t="str">
        <x:v>逻辑校验</x:v>
      </x:c>
      <x:c r="F6" s="10" t="str">
        <x:v>P1</x:v>
      </x:c>
      <x:c r="G6" s="9" t="str">
        <x:v>验证当日不同消费形成收益</x:v>
      </x:c>
      <x:c r="H6" s="9" t="str">
        <x:v>主播收益汇总</x:v>
      </x:c>
      <x:c r="I6" s="9" t="str">
        <x:v>1. 公会长账号可用，已选择待测公会
2. 当前业务日内本公会成功普通礼物100金币、定制礼物200金币、门票100金币、幸运礼物1000金币且比例1%；另有虚拟礼物500金币及失败礼物300金币</x:v>
      </x:c>
      <x:c r="J6" s="9" t="str">
        <x:v>1. 打开首页</x:v>
      </x:c>
      <x:c r="K6" s="9" t="str">
        <x:v>计算结果：当日主播收益金币=100+200+100+1000×1%=410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来源（当前证据）：liveshow-proto/MainBasis/统一需求文档.md；位置：第2082行、第2086行 REQ-433881f19711、第2089行 REQ-bff46daf0b22、第2090行 REQ-1e95cd4b3385、第2055行 COMMON-income
2. 规则：BR-9c1bae9b36cb5c77
3. 未动态验证</x:v>
      </x:c>
    </x:row>
    <x:row r="7" ht="85" customHeight="1">
      <x:c r="A7" s="10" t="n">
        <x:v>6</x:v>
      </x:c>
      <x:c r="B7" s="10" t="str">
        <x:v>GUILD-01-0006</x:v>
      </x:c>
      <x:c r="C7" s="10" t="str">
        <x:v>登录与首页</x:v>
      </x:c>
      <x:c r="D7" s="10" t="str">
        <x:v>首页</x:v>
      </x:c>
      <x:c r="E7" s="10" t="str">
        <x:v>功能需求</x:v>
      </x:c>
      <x:c r="F7" s="10" t="str">
        <x:v>P1</x:v>
      </x:c>
      <x:c r="G7" s="9" t="str">
        <x:v>验证首页在播人数</x:v>
      </x:c>
      <x:c r="H7" s="9" t="str">
        <x:v>当前在播去重人数</x:v>
      </x:c>
      <x:c r="I7" s="9" t="str">
        <x:v>1. 公会长账号可用，已选择待测公会
2. 本公会两名主播正在直播，另一名当日开播后已结束</x:v>
      </x:c>
      <x:c r="J7" s="9" t="str">
        <x:v>1. 打开首页</x:v>
      </x:c>
      <x:c r="K7" s="9" t="str">
        <x:v>直播中人数为2人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来源（当前证据）：liveshow-proto/MainBasis/统一需求文档.md；位置：第2082行、第2087行 REQ-7ac74b3449f8
2. 规则：BR-b35cbe14b78264dd
3. 未动态验证</x:v>
      </x:c>
    </x:row>
    <x:row r="8" ht="85" customHeight="1">
      <x:c r="A8" s="10" t="n">
        <x:v>7</x:v>
      </x:c>
      <x:c r="B8" s="10" t="str">
        <x:v>GUILD-01-0007</x:v>
      </x:c>
      <x:c r="C8" s="10" t="str">
        <x:v>登录与首页</x:v>
      </x:c>
      <x:c r="D8" s="10" t="str">
        <x:v>首页</x:v>
      </x:c>
      <x:c r="E8" s="10" t="str">
        <x:v>逻辑校验</x:v>
      </x:c>
      <x:c r="F8" s="10" t="str">
        <x:v>P1</x:v>
      </x:c>
      <x:c r="G8" s="9" t="str">
        <x:v>验证有效天门槛179分钟</x:v>
      </x:c>
      <x:c r="H8" s="9" t="str">
        <x:v>有效天达标人数</x:v>
      </x:c>
      <x:c r="I8" s="9" t="str">
        <x:v>1. 公会长账号可用，已选择待测公会
2. 本公会仅一名主播，当日连续有效推流179分钟，无跨日或断流</x:v>
      </x:c>
      <x:c r="J8" s="9" t="str">
        <x:v>1. 打开首页</x:v>
      </x:c>
      <x:c r="K8" s="9" t="str">
        <x:v>达成有效天显示0人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来源（当前证据）：liveshow-proto/MainBasis/统一需求文档.md；位置：第2082行、第2088行 REQ-66355bf4de83
2. 规则：BR-63cb06cbd51f833d
3. 未动态验证</x:v>
      </x:c>
    </x:row>
    <x:row r="9" ht="85" customHeight="1">
      <x:c r="A9" s="10" t="n">
        <x:v>8</x:v>
      </x:c>
      <x:c r="B9" s="10" t="str">
        <x:v>GUILD-01-0008</x:v>
      </x:c>
      <x:c r="C9" s="10" t="str">
        <x:v>登录与首页</x:v>
      </x:c>
      <x:c r="D9" s="10" t="str">
        <x:v>首页</x:v>
      </x:c>
      <x:c r="E9" s="10" t="str">
        <x:v>逻辑校验</x:v>
      </x:c>
      <x:c r="F9" s="10" t="str">
        <x:v>P1</x:v>
      </x:c>
      <x:c r="G9" s="9" t="str">
        <x:v>验证有效天门槛180分钟</x:v>
      </x:c>
      <x:c r="H9" s="9" t="str">
        <x:v>有效天达标人数</x:v>
      </x:c>
      <x:c r="I9" s="9" t="str">
        <x:v>1. 公会长账号可用，已选择待测公会
2. 本公会仅一名主播，当日连续有效推流180分钟，无跨日或断流</x:v>
      </x:c>
      <x:c r="J9" s="9" t="str">
        <x:v>1. 打开首页</x:v>
      </x:c>
      <x:c r="K9" s="9" t="str">
        <x:v>达成有效天显示1人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来源（当前证据）：liveshow-proto/MainBasis/统一需求文档.md；位置：第2082行、第2088行 REQ-66355bf4de83
2. 规则：BR-bc52a36bce700ada
3. 未动态验证</x:v>
      </x:c>
    </x:row>
    <x:row r="10" ht="85" customHeight="1">
      <x:c r="A10" s="10" t="n">
        <x:v>9</x:v>
      </x:c>
      <x:c r="B10" s="10" t="str">
        <x:v>GUILD-01-0009</x:v>
      </x:c>
      <x:c r="C10" s="10" t="str">
        <x:v>登录与首页</x:v>
      </x:c>
      <x:c r="D10" s="10" t="str">
        <x:v>首页</x:v>
      </x:c>
      <x:c r="E10" s="10" t="str">
        <x:v>逻辑校验</x:v>
      </x:c>
      <x:c r="F10" s="10" t="str">
        <x:v>P1</x:v>
      </x:c>
      <x:c r="G10" s="9" t="str">
        <x:v>验证有效天门槛181分钟</x:v>
      </x:c>
      <x:c r="H10" s="9" t="str">
        <x:v>有效天达标人数</x:v>
      </x:c>
      <x:c r="I10" s="9" t="str">
        <x:v>1. 公会长账号可用，已选择待测公会
2. 本公会仅一名主播，当日连续有效推流181分钟，无跨日或断流</x:v>
      </x:c>
      <x:c r="J10" s="9" t="str">
        <x:v>1. 打开首页</x:v>
      </x:c>
      <x:c r="K10" s="9" t="str">
        <x:v>达成有效天显示1人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来源（当前证据）：liveshow-proto/MainBasis/统一需求文档.md；位置：第2082行、第2088行 REQ-66355bf4de83
2. 规则：BR-587cceed82989f3d
3. 未动态验证</x:v>
      </x:c>
    </x:row>
    <x:row r="11" ht="130" customHeight="1">
      <x:c r="A11" s="10" t="n">
        <x:v>10</x:v>
      </x:c>
      <x:c r="B11" s="10" t="str">
        <x:v>GUILD-01-0010</x:v>
      </x:c>
      <x:c r="C11" s="10" t="str">
        <x:v>登录与首页</x:v>
      </x:c>
      <x:c r="D11" s="10" t="str">
        <x:v>公会登录</x:v>
      </x:c>
      <x:c r="E11" s="10" t="str">
        <x:v>功能需求</x:v>
      </x:c>
      <x:c r="F11" s="10" t="str">
        <x:v>P1</x:v>
      </x:c>
      <x:c r="G11" s="9" t="str">
        <x:v>验证有效公会长登录</x:v>
      </x:c>
      <x:c r="H11" s="9" t="str">
        <x:v>登录成功路由</x:v>
      </x:c>
      <x:c r="I11" s="9" t="str">
        <x:v>1. 公会端尚未登录
2. 平台已创建启用的公会长账号，密码已知</x:v>
      </x:c>
      <x:c r="J11" s="9" t="str">
        <x:v>1. 打开公会登录
2. 输入公会账号和匹配的密码
3. 点击登录</x:v>
      </x:c>
      <x:c r="K11" s="9" t="str">
        <x:v>页面进入选择公会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规则：BR-c098448b48c6efa6
3. 未动态验证</x:v>
      </x:c>
    </x:row>
    <x:row r="12" ht="130" customHeight="1">
      <x:c r="A12" s="10" t="n">
        <x:v>11</x:v>
      </x:c>
      <x:c r="B12" s="10" t="str">
        <x:v>GUILD-01-0011</x:v>
      </x:c>
      <x:c r="C12" s="10" t="str">
        <x:v>登录与首页</x:v>
      </x:c>
      <x:c r="D12" s="10" t="str">
        <x:v>公会登录</x:v>
      </x:c>
      <x:c r="E12" s="10" t="str">
        <x:v>功能需求</x:v>
      </x:c>
      <x:c r="F12" s="10" t="str">
        <x:v>P1</x:v>
      </x:c>
      <x:c r="G12" s="9" t="str">
        <x:v>验证账号为空</x:v>
      </x:c>
      <x:c r="H12" s="9" t="str">
        <x:v>公会账号必填</x:v>
      </x:c>
      <x:c r="I12" s="9" t="str">
        <x:v>1. 公会端尚未登录
2. 密码为已知有效值</x:v>
      </x:c>
      <x:c r="J12" s="9" t="str">
        <x:v>1. 打开公会登录
2. 清空公会账号
3. 点击登录</x:v>
      </x:c>
      <x:c r="K12" s="9" t="str">
        <x:v>空账号不能建立登录会话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规则：BR-fcd9f1d8e902925c
3. 未动态验证</x:v>
      </x:c>
    </x:row>
    <x:row r="13" ht="130" customHeight="1">
      <x:c r="A13" s="10" t="n">
        <x:v>12</x:v>
      </x:c>
      <x:c r="B13" s="10" t="str">
        <x:v>GUILD-01-0012</x:v>
      </x:c>
      <x:c r="C13" s="10" t="str">
        <x:v>登录与首页</x:v>
      </x:c>
      <x:c r="D13" s="10" t="str">
        <x:v>公会登录</x:v>
      </x:c>
      <x:c r="E13" s="10" t="str">
        <x:v>功能需求</x:v>
      </x:c>
      <x:c r="F13" s="10" t="str">
        <x:v>P1</x:v>
      </x:c>
      <x:c r="G13" s="9" t="str">
        <x:v>验证密码为空</x:v>
      </x:c>
      <x:c r="H13" s="9" t="str">
        <x:v>密码必填</x:v>
      </x:c>
      <x:c r="I13" s="9" t="str">
        <x:v>1. 公会端尚未登录
2. 账号为启用的公会长账号</x:v>
      </x:c>
      <x:c r="J13" s="9" t="str">
        <x:v>1. 打开公会登录
2. 输入公会账号
3. 清空密码
4. 点击登录</x:v>
      </x:c>
      <x:c r="K13" s="9" t="str">
        <x:v>空密码不能建立登录会话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规则：BR-ea1184a7f8b8f46e
3. 未动态验证</x:v>
      </x:c>
    </x:row>
    <x:row r="14" ht="130" customHeight="1">
      <x:c r="A14" s="10" t="n">
        <x:v>13</x:v>
      </x:c>
      <x:c r="B14" s="10" t="str">
        <x:v>GUILD-01-0013</x:v>
      </x:c>
      <x:c r="C14" s="10" t="str">
        <x:v>登录与首页</x:v>
      </x:c>
      <x:c r="D14" s="10" t="str">
        <x:v>公会登录</x:v>
      </x:c>
      <x:c r="E14" s="10" t="str">
        <x:v>功能需求</x:v>
      </x:c>
      <x:c r="F14" s="10" t="str">
        <x:v>P1</x:v>
      </x:c>
      <x:c r="G14" s="9" t="str">
        <x:v>验证密码错误</x:v>
      </x:c>
      <x:c r="H14" s="9" t="str">
        <x:v>凭证错误提示</x:v>
      </x:c>
      <x:c r="I14" s="9" t="str">
        <x:v>1. 公会端尚未登录
2. 账号存在，已知其有效密码</x:v>
      </x:c>
      <x:c r="J14" s="9" t="str">
        <x:v>1. 打开公会登录
2. 输入公会账号和一个不匹配的密码
3. 点击登录</x:v>
      </x:c>
      <x:c r="K14" s="9" t="str">
        <x:v>提示“账号或密码错误”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规则：BR-dcd22357185d4c27
3. 未动态验证</x:v>
      </x:c>
    </x:row>
    <x:row r="15" ht="130" customHeight="1">
      <x:c r="A15" s="10" t="n">
        <x:v>14</x:v>
      </x:c>
      <x:c r="B15" s="10" t="str">
        <x:v>GUILD-01-0014</x:v>
      </x:c>
      <x:c r="C15" s="10" t="str">
        <x:v>登录与首页</x:v>
      </x:c>
      <x:c r="D15" s="10" t="str">
        <x:v>公会登录</x:v>
      </x:c>
      <x:c r="E15" s="10" t="str">
        <x:v>功能需求</x:v>
      </x:c>
      <x:c r="F15" s="10" t="str">
        <x:v>P1</x:v>
      </x:c>
      <x:c r="G15" s="9" t="str">
        <x:v>验证不存在的账号登录</x:v>
      </x:c>
      <x:c r="H15" s="9" t="str">
        <x:v>未知账号反馈</x:v>
      </x:c>
      <x:c r="I15" s="9" t="str">
        <x:v>1. 公会端尚未登录
2. 登录名未被平台注册</x:v>
      </x:c>
      <x:c r="J15" s="9" t="str">
        <x:v>1. 打开公会登录
2. 输入未注册账号和密码
3. 点击登录</x:v>
      </x:c>
      <x:c r="K15" s="9" t="str">
        <x:v>提示“账号或密码错误”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规则：BR-f2d49990b6e4c596
3. 未动态验证</x:v>
      </x:c>
    </x:row>
    <x:row r="16" ht="130" customHeight="1">
      <x:c r="A16" s="10" t="n">
        <x:v>15</x:v>
      </x:c>
      <x:c r="B16" s="10" t="str">
        <x:v>GUILD-01-0015</x:v>
      </x:c>
      <x:c r="C16" s="10" t="str">
        <x:v>登录与首页</x:v>
      </x:c>
      <x:c r="D16" s="10" t="str">
        <x:v>公会登录</x:v>
      </x:c>
      <x:c r="E16" s="10" t="str">
        <x:v>功能需求</x:v>
      </x:c>
      <x:c r="F16" s="10" t="str">
        <x:v>P1</x:v>
      </x:c>
      <x:c r="G16" s="9" t="str">
        <x:v>验证停用公会长登录</x:v>
      </x:c>
      <x:c r="H16" s="9" t="str">
        <x:v>账号停用拦截</x:v>
      </x:c>
      <x:c r="I16" s="9" t="str">
        <x:v>1. 公会端尚未登录
2. 公会长账号已由平台停用</x:v>
      </x:c>
      <x:c r="J16" s="9" t="str">
        <x:v>1. 打开公会登录
2. 输入该账号及匹配密码
3. 点击登录</x:v>
      </x:c>
      <x:c r="K16" s="9" t="str">
        <x:v>不能建立公会端登录会话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规则：BR-8b19e93012bff202
3. 未动态验证</x:v>
      </x:c>
    </x:row>
    <x:row r="17" ht="130" customHeight="1">
      <x:c r="A17" s="10" t="n">
        <x:v>16</x:v>
      </x:c>
      <x:c r="B17" s="10" t="str">
        <x:v>GUILD-01-0016</x:v>
      </x:c>
      <x:c r="C17" s="10" t="str">
        <x:v>登录与首页</x:v>
      </x:c>
      <x:c r="D17" s="10" t="str">
        <x:v>公会登录</x:v>
      </x:c>
      <x:c r="E17" s="10" t="str">
        <x:v>功能需求</x:v>
      </x:c>
      <x:c r="F17" s="10" t="str">
        <x:v>P1</x:v>
      </x:c>
      <x:c r="G17" s="9" t="str">
        <x:v>验证运营账号登录公会端</x:v>
      </x:c>
      <x:c r="H17" s="9" t="str">
        <x:v>登录角色限制</x:v>
      </x:c>
      <x:c r="I17" s="9" t="str">
        <x:v>1. 公会端尚未登录
2. 存在启用的运营账号，密码已知</x:v>
      </x:c>
      <x:c r="J17" s="9" t="str">
        <x:v>1. 打开公会登录
2. 输入运营账号及匹配密码
3. 点击登录</x:v>
      </x:c>
      <x:c r="K17" s="9" t="str">
        <x:v>运营账号不能建立公会端登录会话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规则：BR-3a0657b5f79ca0ad
3. 未动态验证</x:v>
      </x:c>
    </x:row>
    <x:row r="18" ht="115" customHeight="1">
      <x:c r="A18" s="10" t="n">
        <x:v>17</x:v>
      </x:c>
      <x:c r="B18" s="10" t="str">
        <x:v>GUILD-01-0017</x:v>
      </x:c>
      <x:c r="C18" s="10" t="str">
        <x:v>登录与首页</x:v>
      </x:c>
      <x:c r="D18" s="10" t="str">
        <x:v>通知详情</x:v>
      </x:c>
      <x:c r="E18" s="10" t="str">
        <x:v>功能需求</x:v>
      </x:c>
      <x:c r="F18" s="10" t="str">
        <x:v>P1</x:v>
      </x:c>
      <x:c r="G18" s="9" t="str">
        <x:v>验证通知详情读取通知正文</x:v>
      </x:c>
      <x:c r="H18" s="9" t="str">
        <x:v>通知正文字段来源</x:v>
      </x:c>
      <x:c r="I18" s="9" t="str">
        <x:v>1. 公会长账号可用，已选择待测公会
2. 已知目标通知标题、生成时间和业务正文</x:v>
      </x:c>
      <x:c r="J18" s="9" t="str">
        <x:v>1. 打开通知详情</x:v>
      </x:c>
      <x:c r="K18" s="9" t="str">
        <x:v>详情内容取自当前所选通知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来源（当前证据）：liveshow-proto/MainBasis/统一需求文档.md；位置：第2106行、第2107行 REQ-f1b1d7a499b3、第2108行 REQ-b3a0c4bc92a4、第2109行 REQ-f3d0239d304c
2. 规则：BR-a6e195e78213c55c
3. 未动态验证</x:v>
      </x:c>
    </x:row>
    <x:row r="19" ht="100" customHeight="1">
      <x:c r="A19" s="10" t="n">
        <x:v>18</x:v>
      </x:c>
      <x:c r="B19" s="10" t="str">
        <x:v>GUILD-01-0018</x:v>
      </x:c>
      <x:c r="C19" s="10" t="str">
        <x:v>登录与首页</x:v>
      </x:c>
      <x:c r="D19" s="10" t="str">
        <x:v>通知详情</x:v>
      </x:c>
      <x:c r="E19" s="10" t="str">
        <x:v>功能需求</x:v>
      </x:c>
      <x:c r="F19" s="10" t="str">
        <x:v>P1</x:v>
      </x:c>
      <x:c r="G19" s="9" t="str">
        <x:v>验证进入未读通知详情</x:v>
      </x:c>
      <x:c r="H19" s="9" t="str">
        <x:v>通知已读状态</x:v>
      </x:c>
      <x:c r="I19" s="9" t="str">
        <x:v>1. 公会长账号可用，已选择待测公会
2. 目标通知尚未读</x:v>
      </x:c>
      <x:c r="J19" s="9" t="str">
        <x:v>1. 打开通知详情
2. 返回通知消息</x:v>
      </x:c>
      <x:c r="K19" s="9" t="str">
        <x:v>刚打开的通知不再显示未读圆点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来源（当前证据）：liveshow-proto/MainBasis/统一需求文档.md；位置：第2106行、第2110行 REQ-01bb2597a448、第2111行 REQ-b8ea404c5252
2. 规则：BR-72c81edaf7c50a41
3. 未动态验证</x:v>
      </x:c>
    </x:row>
    <x:row r="20" ht="100" customHeight="1">
      <x:c r="A20" s="10" t="n">
        <x:v>19</x:v>
      </x:c>
      <x:c r="B20" s="10" t="str">
        <x:v>GUILD-01-0019</x:v>
      </x:c>
      <x:c r="C20" s="10" t="str">
        <x:v>登录与首页</x:v>
      </x:c>
      <x:c r="D20" s="10" t="str">
        <x:v>通知详情</x:v>
      </x:c>
      <x:c r="E20" s="10" t="str">
        <x:v>功能需求</x:v>
      </x:c>
      <x:c r="F20" s="10" t="str">
        <x:v>P1</x:v>
      </x:c>
      <x:c r="G20" s="9" t="str">
        <x:v>验证有权限的业务入口</x:v>
      </x:c>
      <x:c r="H20" s="9" t="str">
        <x:v>关联记录入口</x:v>
      </x:c>
      <x:c r="I20" s="9" t="str">
        <x:v>1. 公会长账号可用，已选择待测公会
2. 通知关联记录存在且公会长有查看权限</x:v>
      </x:c>
      <x:c r="J20" s="9" t="str">
        <x:v>1. 打开通知详情
2. 点击业务入口</x:v>
      </x:c>
      <x:c r="K20" s="9" t="str">
        <x:v>进入该通知关联的业务记录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来源（当前证据）：liveshow-proto/MainBasis/统一需求文档.md；位置：第2106行、第2110行 REQ-01bb2597a448、第2111行 REQ-b8ea404c5252
2. 规则：BR-f105ec09e40b45ad
3. 未动态验证</x:v>
      </x:c>
    </x:row>
    <x:row r="21" ht="100" customHeight="1">
      <x:c r="A21" s="10" t="n">
        <x:v>20</x:v>
      </x:c>
      <x:c r="B21" s="10" t="str">
        <x:v>GUILD-01-0020</x:v>
      </x:c>
      <x:c r="C21" s="10" t="str">
        <x:v>登录与首页</x:v>
      </x:c>
      <x:c r="D21" s="10" t="str">
        <x:v>通知详情</x:v>
      </x:c>
      <x:c r="E21" s="10" t="str">
        <x:v>功能需求</x:v>
      </x:c>
      <x:c r="F21" s="10" t="str">
        <x:v>P1</x:v>
      </x:c>
      <x:c r="G21" s="9" t="str">
        <x:v>验证无权限关联记录</x:v>
      </x:c>
      <x:c r="H21" s="9" t="str">
        <x:v>业务入口权限</x:v>
      </x:c>
      <x:c r="I21" s="9" t="str">
        <x:v>1. 公会长账号可用，已选择待测公会
2. 通知关联的记录不在当前公会长权限内</x:v>
      </x:c>
      <x:c r="J21" s="9" t="str">
        <x:v>1. 打开通知详情</x:v>
      </x:c>
      <x:c r="K21" s="9" t="str">
        <x:v>详情不显示该关联业务入口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来源（当前证据）：liveshow-proto/MainBasis/统一需求文档.md；位置：第2106行、第2110行 REQ-01bb2597a448、第2111行 REQ-b8ea404c5252
2. 规则：BR-06056bd057dd87b5
3. 未动态验证</x:v>
      </x:c>
    </x:row>
    <x:row r="22" ht="115" customHeight="1">
      <x:c r="A22" s="10" t="n">
        <x:v>21</x:v>
      </x:c>
      <x:c r="B22" s="10" t="str">
        <x:v>GUILD-01-0021</x:v>
      </x:c>
      <x:c r="C22" s="10" t="str">
        <x:v>登录与首页</x:v>
      </x:c>
      <x:c r="D22" s="10" t="str">
        <x:v>通知消息</x:v>
      </x:c>
      <x:c r="E22" s="10" t="str">
        <x:v>功能需求</x:v>
      </x:c>
      <x:c r="F22" s="10" t="str">
        <x:v>P1</x:v>
      </x:c>
      <x:c r="G22" s="9" t="str">
        <x:v>验证通知按时间排列</x:v>
      </x:c>
      <x:c r="H22" s="9" t="str">
        <x:v>通知时间倒序</x:v>
      </x:c>
      <x:c r="I22" s="9" t="str">
        <x:v>1. 公会长账号可用，已选择待测公会
2. 存在三条生成时间不同的通知</x:v>
      </x:c>
      <x:c r="J22" s="9" t="str">
        <x:v>1. 打开通知消息</x:v>
      </x:c>
      <x:c r="K22" s="9" t="str">
        <x:v>最新生成的通知排列在前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来源（当前证据）：liveshow-proto/MainBasis/统一需求文档.md；位置：第2094行、第2097行 REQ-15916749586e、第2098行 REQ-b725b023c4f3、第2103行 REQ-c75a323ec1ec
2. 规则：BR-0237901555bb52da
3. 未动态验证</x:v>
      </x:c>
    </x:row>
    <x:row r="23" ht="115" customHeight="1">
      <x:c r="A23" s="10" t="n">
        <x:v>22</x:v>
      </x:c>
      <x:c r="B23" s="10" t="str">
        <x:v>GUILD-01-0022</x:v>
      </x:c>
      <x:c r="C23" s="10" t="str">
        <x:v>登录与首页</x:v>
      </x:c>
      <x:c r="D23" s="10" t="str">
        <x:v>通知消息</x:v>
      </x:c>
      <x:c r="E23" s="10" t="str">
        <x:v>功能需求</x:v>
      </x:c>
      <x:c r="F23" s="10" t="str">
        <x:v>P1</x:v>
      </x:c>
      <x:c r="G23" s="9" t="str">
        <x:v>验证未读通知标记</x:v>
      </x:c>
      <x:c r="H23" s="9" t="str">
        <x:v>未读标记可见性</x:v>
      </x:c>
      <x:c r="I23" s="9" t="str">
        <x:v>1. 公会长账号可用，已选择待测公会
2. 存在一条未读通知</x:v>
      </x:c>
      <x:c r="J23" s="9" t="str">
        <x:v>1. 打开通知消息</x:v>
      </x:c>
      <x:c r="K23" s="9" t="str">
        <x:v>未读通知显示圆点标记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来源（当前证据）：liveshow-proto/MainBasis/统一需求文档.md；位置：第2094行、第2097行 REQ-15916749586e、第2098行 REQ-b725b023c4f3、第2103行 REQ-c75a323ec1ec
2. 规则：BR-d42a82b493ace296
3. 未动态验证</x:v>
      </x:c>
    </x:row>
    <x:row r="24" ht="115" customHeight="1">
      <x:c r="A24" s="10" t="n">
        <x:v>23</x:v>
      </x:c>
      <x:c r="B24" s="10" t="str">
        <x:v>GUILD-01-0023</x:v>
      </x:c>
      <x:c r="C24" s="10" t="str">
        <x:v>登录与首页</x:v>
      </x:c>
      <x:c r="D24" s="10" t="str">
        <x:v>通知消息</x:v>
      </x:c>
      <x:c r="E24" s="10" t="str">
        <x:v>功能需求</x:v>
      </x:c>
      <x:c r="F24" s="10" t="str">
        <x:v>P1</x:v>
      </x:c>
      <x:c r="G24" s="9" t="str">
        <x:v>验证已读通知标记</x:v>
      </x:c>
      <x:c r="H24" s="9" t="str">
        <x:v>已读标记隐藏</x:v>
      </x:c>
      <x:c r="I24" s="9" t="str">
        <x:v>1. 公会长账号可用，已选择待测公会
2. 存在一条已读通知</x:v>
      </x:c>
      <x:c r="J24" s="9" t="str">
        <x:v>1. 打开通知消息</x:v>
      </x:c>
      <x:c r="K24" s="9" t="str">
        <x:v>已读通知不显示圆点标记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来源（当前证据）：liveshow-proto/MainBasis/统一需求文档.md；位置：第2094行、第2097行 REQ-15916749586e、第2098行 REQ-b725b023c4f3、第2103行 REQ-c75a323ec1ec
2. 规则：BR-732441ab210120a2
3. 未动态验证</x:v>
      </x:c>
    </x:row>
    <x:row r="25" ht="115" customHeight="1">
      <x:c r="A25" s="10" t="n">
        <x:v>24</x:v>
      </x:c>
      <x:c r="B25" s="10" t="str">
        <x:v>GUILD-01-0024</x:v>
      </x:c>
      <x:c r="C25" s="10" t="str">
        <x:v>登录与首页</x:v>
      </x:c>
      <x:c r="D25" s="10" t="str">
        <x:v>通知消息</x:v>
      </x:c>
      <x:c r="E25" s="10" t="str">
        <x:v>功能需求</x:v>
      </x:c>
      <x:c r="F25" s="10" t="str">
        <x:v>P1</x:v>
      </x:c>
      <x:c r="G25" s="9" t="str">
        <x:v>验证打开指定通知</x:v>
      </x:c>
      <x:c r="H25" s="9" t="str">
        <x:v>通知详情归属</x:v>
      </x:c>
      <x:c r="I25" s="9" t="str">
        <x:v>1. 公会长账号可用，已选择待测公会
2. 列表存在两条不同业务对象的通知</x:v>
      </x:c>
      <x:c r="J25" s="9" t="str">
        <x:v>1. 打开通知消息
2. 点击其中一条通知</x:v>
      </x:c>
      <x:c r="K25" s="9" t="str">
        <x:v>进入所选通知的详情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来源（当前证据）：liveshow-proto/MainBasis/统一需求文档.md；位置：第2094行、第2097行 REQ-15916749586e、第2098行 REQ-b725b023c4f3、第2103行 REQ-c75a323ec1ec
2. 规则：BR-1884867efe591f29
3. 未动态验证</x:v>
      </x:c>
    </x:row>
    <x:row r="26" ht="85" customHeight="1">
      <x:c r="A26" s="10" t="n">
        <x:v>25</x:v>
      </x:c>
      <x:c r="B26" s="10" t="str">
        <x:v>GUILD-01-0025</x:v>
      </x:c>
      <x:c r="C26" s="10" t="str">
        <x:v>登录与首页</x:v>
      </x:c>
      <x:c r="D26" s="10" t="str">
        <x:v>通知消息</x:v>
      </x:c>
      <x:c r="E26" s="10" t="str">
        <x:v>功能需求</x:v>
      </x:c>
      <x:c r="F26" s="10" t="str">
        <x:v>P1</x:v>
      </x:c>
      <x:c r="G26" s="9" t="str">
        <x:v>验证入会申请待初审通知</x:v>
      </x:c>
      <x:c r="H26" s="9" t="str">
        <x:v>业务事件通知归属</x:v>
      </x:c>
      <x:c r="I26" s="9" t="str">
        <x:v>1. 公会长账号可用，已选择待测公会
2. 当前公会已发生入会申请待初审且对应通知已生成</x:v>
      </x:c>
      <x:c r="J26" s="9" t="str">
        <x:v>1. 打开通知消息
2. 刷新通知列表</x:v>
      </x:c>
      <x:c r="K26" s="9" t="str">
        <x:v>列表包含该事件对应的通知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来源（当前证据）：liveshow-proto/MainBasis/统一需求文档.md；位置：第2094行、第2099行 REQ-fe77df8ea353
2. 规则：BR-80cdab52a4440d43
3. 未动态验证</x:v>
      </x:c>
    </x:row>
    <x:row r="27" ht="85" customHeight="1">
      <x:c r="A27" s="10" t="n">
        <x:v>26</x:v>
      </x:c>
      <x:c r="B27" s="10" t="str">
        <x:v>GUILD-01-0026</x:v>
      </x:c>
      <x:c r="C27" s="10" t="str">
        <x:v>登录与首页</x:v>
      </x:c>
      <x:c r="D27" s="10" t="str">
        <x:v>通知消息</x:v>
      </x:c>
      <x:c r="E27" s="10" t="str">
        <x:v>功能需求</x:v>
      </x:c>
      <x:c r="F27" s="10" t="str">
        <x:v>P1</x:v>
      </x:c>
      <x:c r="G27" s="9" t="str">
        <x:v>验证平台终审通过通知</x:v>
      </x:c>
      <x:c r="H27" s="9" t="str">
        <x:v>业务事件通知归属</x:v>
      </x:c>
      <x:c r="I27" s="9" t="str">
        <x:v>1. 公会长账号可用，已选择待测公会
2. 当前公会已发生平台终审通过且对应通知已生成</x:v>
      </x:c>
      <x:c r="J27" s="9" t="str">
        <x:v>1. 打开通知消息
2. 刷新通知列表</x:v>
      </x:c>
      <x:c r="K27" s="9" t="str">
        <x:v>列表包含该事件对应的通知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来源（当前证据）：liveshow-proto/MainBasis/统一需求文档.md；位置：第2094行、第2099行 REQ-fe77df8ea353
2. 规则：BR-33ef7f469e304329
3. 未动态验证</x:v>
      </x:c>
    </x:row>
    <x:row r="28" ht="85" customHeight="1">
      <x:c r="A28" s="10" t="n">
        <x:v>27</x:v>
      </x:c>
      <x:c r="B28" s="10" t="str">
        <x:v>GUILD-01-0027</x:v>
      </x:c>
      <x:c r="C28" s="10" t="str">
        <x:v>登录与首页</x:v>
      </x:c>
      <x:c r="D28" s="10" t="str">
        <x:v>通知消息</x:v>
      </x:c>
      <x:c r="E28" s="10" t="str">
        <x:v>功能需求</x:v>
      </x:c>
      <x:c r="F28" s="10" t="str">
        <x:v>P1</x:v>
      </x:c>
      <x:c r="G28" s="9" t="str">
        <x:v>验证平台终审驳回通知</x:v>
      </x:c>
      <x:c r="H28" s="9" t="str">
        <x:v>业务事件通知归属</x:v>
      </x:c>
      <x:c r="I28" s="9" t="str">
        <x:v>1. 公会长账号可用，已选择待测公会
2. 当前公会已发生平台终审驳回且对应通知已生成</x:v>
      </x:c>
      <x:c r="J28" s="9" t="str">
        <x:v>1. 打开通知消息
2. 刷新通知列表</x:v>
      </x:c>
      <x:c r="K28" s="9" t="str">
        <x:v>列表包含该事件对应的通知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来源（当前证据）：liveshow-proto/MainBasis/统一需求文档.md；位置：第2094行、第2099行 REQ-fe77df8ea353
2. 规则：BR-13181aa8f2265852
3. 未动态验证</x:v>
      </x:c>
    </x:row>
    <x:row r="29" ht="85" customHeight="1">
      <x:c r="A29" s="10" t="n">
        <x:v>28</x:v>
      </x:c>
      <x:c r="B29" s="10" t="str">
        <x:v>GUILD-01-0028</x:v>
      </x:c>
      <x:c r="C29" s="10" t="str">
        <x:v>登录与首页</x:v>
      </x:c>
      <x:c r="D29" s="10" t="str">
        <x:v>通知消息</x:v>
      </x:c>
      <x:c r="E29" s="10" t="str">
        <x:v>功能需求</x:v>
      </x:c>
      <x:c r="F29" s="10" t="str">
        <x:v>P1</x:v>
      </x:c>
      <x:c r="G29" s="9" t="str">
        <x:v>验证退会申请待审核通知</x:v>
      </x:c>
      <x:c r="H29" s="9" t="str">
        <x:v>业务事件通知归属</x:v>
      </x:c>
      <x:c r="I29" s="9" t="str">
        <x:v>1. 公会长账号可用，已选择待测公会
2. 当前公会已发生退会申请待审核且对应通知已生成</x:v>
      </x:c>
      <x:c r="J29" s="9" t="str">
        <x:v>1. 打开通知消息
2. 刷新通知列表</x:v>
      </x:c>
      <x:c r="K29" s="9" t="str">
        <x:v>列表包含该事件对应的通知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来源（当前证据）：liveshow-proto/MainBasis/统一需求文档.md；位置：第2094行、第2099行 REQ-fe77df8ea353
2. 规则：BR-2766eedc05218da3
3. 未动态验证</x:v>
      </x:c>
    </x:row>
    <x:row r="30" ht="85" customHeight="1">
      <x:c r="A30" s="10" t="n">
        <x:v>29</x:v>
      </x:c>
      <x:c r="B30" s="10" t="str">
        <x:v>GUILD-01-0029</x:v>
      </x:c>
      <x:c r="C30" s="10" t="str">
        <x:v>登录与首页</x:v>
      </x:c>
      <x:c r="D30" s="10" t="str">
        <x:v>通知消息</x:v>
      </x:c>
      <x:c r="E30" s="10" t="str">
        <x:v>功能需求</x:v>
      </x:c>
      <x:c r="F30" s="10" t="str">
        <x:v>P1</x:v>
      </x:c>
      <x:c r="G30" s="9" t="str">
        <x:v>验证平台关闭直播场次通知</x:v>
      </x:c>
      <x:c r="H30" s="9" t="str">
        <x:v>业务事件通知归属</x:v>
      </x:c>
      <x:c r="I30" s="9" t="str">
        <x:v>1. 公会长账号可用，已选择待测公会
2. 当前公会已发生平台关闭直播场次且对应通知已生成</x:v>
      </x:c>
      <x:c r="J30" s="9" t="str">
        <x:v>1. 打开通知消息
2. 刷新通知列表</x:v>
      </x:c>
      <x:c r="K30" s="9" t="str">
        <x:v>列表包含该事件对应的通知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来源（当前证据）：liveshow-proto/MainBasis/统一需求文档.md；位置：第2094行、第2100行 REQ-c6bead40e22f
2. 规则：BR-b380a4be1ad61e69
3. 未动态验证</x:v>
      </x:c>
    </x:row>
    <x:row r="31" ht="85" customHeight="1">
      <x:c r="A31" s="10" t="n">
        <x:v>30</x:v>
      </x:c>
      <x:c r="B31" s="10" t="str">
        <x:v>GUILD-01-0030</x:v>
      </x:c>
      <x:c r="C31" s="10" t="str">
        <x:v>登录与首页</x:v>
      </x:c>
      <x:c r="D31" s="10" t="str">
        <x:v>通知消息</x:v>
      </x:c>
      <x:c r="E31" s="10" t="str">
        <x:v>功能需求</x:v>
      </x:c>
      <x:c r="F31" s="10" t="str">
        <x:v>P1</x:v>
      </x:c>
      <x:c r="G31" s="9" t="str">
        <x:v>验证平台恢复直播权限通知</x:v>
      </x:c>
      <x:c r="H31" s="9" t="str">
        <x:v>业务事件通知归属</x:v>
      </x:c>
      <x:c r="I31" s="9" t="str">
        <x:v>1. 公会长账号可用，已选择待测公会
2. 当前公会已发生平台恢复直播权限且对应通知已生成</x:v>
      </x:c>
      <x:c r="J31" s="9" t="str">
        <x:v>1. 打开通知消息
2. 刷新通知列表</x:v>
      </x:c>
      <x:c r="K31" s="9" t="str">
        <x:v>列表包含该事件对应的通知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来源（当前证据）：liveshow-proto/MainBasis/统一需求文档.md；位置：第2094行、第2100行 REQ-c6bead40e22f
2. 规则：BR-b0ef3c393156f42d
3. 未动态验证</x:v>
      </x:c>
    </x:row>
    <x:row r="32" ht="85" customHeight="1">
      <x:c r="A32" s="10" t="n">
        <x:v>31</x:v>
      </x:c>
      <x:c r="B32" s="10" t="str">
        <x:v>GUILD-01-0031</x:v>
      </x:c>
      <x:c r="C32" s="10" t="str">
        <x:v>登录与首页</x:v>
      </x:c>
      <x:c r="D32" s="10" t="str">
        <x:v>通知消息</x:v>
      </x:c>
      <x:c r="E32" s="10" t="str">
        <x:v>功能需求</x:v>
      </x:c>
      <x:c r="F32" s="10" t="str">
        <x:v>P1</x:v>
      </x:c>
      <x:c r="G32" s="9" t="str">
        <x:v>验证运营账号管理权限变更通知</x:v>
      </x:c>
      <x:c r="H32" s="9" t="str">
        <x:v>业务事件通知归属</x:v>
      </x:c>
      <x:c r="I32" s="9" t="str">
        <x:v>1. 公会长账号可用，已选择待测公会
2. 当前公会已发生运营账号管理权限变更且对应通知已生成</x:v>
      </x:c>
      <x:c r="J32" s="9" t="str">
        <x:v>1. 打开通知消息
2. 刷新通知列表</x:v>
      </x:c>
      <x:c r="K32" s="9" t="str">
        <x:v>列表包含该事件对应的通知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来源（当前证据）：liveshow-proto/MainBasis/统一需求文档.md；位置：第2094行、第2101行 REQ-dab2ae0821f7
2. 规则：BR-46fcf79f83614281
3. 未动态验证</x:v>
      </x:c>
    </x:row>
    <x:row r="33" ht="85" customHeight="1">
      <x:c r="A33" s="10" t="n">
        <x:v>32</x:v>
      </x:c>
      <x:c r="B33" s="10" t="str">
        <x:v>GUILD-01-0032</x:v>
      </x:c>
      <x:c r="C33" s="10" t="str">
        <x:v>登录与首页</x:v>
      </x:c>
      <x:c r="D33" s="10" t="str">
        <x:v>通知消息</x:v>
      </x:c>
      <x:c r="E33" s="10" t="str">
        <x:v>功能需求</x:v>
      </x:c>
      <x:c r="F33" s="10" t="str">
        <x:v>P1</x:v>
      </x:c>
      <x:c r="G33" s="9" t="str">
        <x:v>验证主播分成结果新增通知</x:v>
      </x:c>
      <x:c r="H33" s="9" t="str">
        <x:v>业务事件通知归属</x:v>
      </x:c>
      <x:c r="I33" s="9" t="str">
        <x:v>1. 公会长账号可用，已选择待测公会
2. 当前公会已发生主播分成结果新增且对应通知已生成</x:v>
      </x:c>
      <x:c r="J33" s="9" t="str">
        <x:v>1. 打开通知消息
2. 刷新通知列表</x:v>
      </x:c>
      <x:c r="K33" s="9" t="str">
        <x:v>列表包含该事件对应的通知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来源（当前证据）：liveshow-proto/MainBasis/统一需求文档.md；位置：第2094行、第2102行 REQ-5b002603fe95
2. 规则：BR-47901f031bcd8b4c
3. 未动态验证</x:v>
      </x:c>
    </x:row>
    <x:row r="34" ht="85" customHeight="1">
      <x:c r="A34" s="10" t="n">
        <x:v>33</x:v>
      </x:c>
      <x:c r="B34" s="10" t="str">
        <x:v>GUILD-01-0033</x:v>
      </x:c>
      <x:c r="C34" s="10" t="str">
        <x:v>登录与首页</x:v>
      </x:c>
      <x:c r="D34" s="10" t="str">
        <x:v>通知消息</x:v>
      </x:c>
      <x:c r="E34" s="10" t="str">
        <x:v>功能需求</x:v>
      </x:c>
      <x:c r="F34" s="10" t="str">
        <x:v>P1</x:v>
      </x:c>
      <x:c r="G34" s="9" t="str">
        <x:v>验证公会分成结果冲正通知</x:v>
      </x:c>
      <x:c r="H34" s="9" t="str">
        <x:v>业务事件通知归属</x:v>
      </x:c>
      <x:c r="I34" s="9" t="str">
        <x:v>1. 公会长账号可用，已选择待测公会
2. 当前公会已发生公会分成结果冲正且对应通知已生成</x:v>
      </x:c>
      <x:c r="J34" s="9" t="str">
        <x:v>1. 打开通知消息
2. 刷新通知列表</x:v>
      </x:c>
      <x:c r="K34" s="9" t="str">
        <x:v>列表包含该事件对应的通知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来源（当前证据）：liveshow-proto/MainBasis/统一需求文档.md；位置：第2094行、第2102行 REQ-5b002603fe95
2. 规则：BR-6c4c38ef8ca0f2e1
3. 未动态验证</x:v>
      </x:c>
    </x:row>
    <x:row r="35" ht="100" customHeight="1">
      <x:c r="A35" s="10" t="n">
        <x:v>34</x:v>
      </x:c>
      <x:c r="B35" s="10" t="str">
        <x:v>GUILD-01-0034</x:v>
      </x:c>
      <x:c r="C35" s="10" t="str">
        <x:v>登录与首页</x:v>
      </x:c>
      <x:c r="D35" s="10" t="str">
        <x:v>通知消息</x:v>
      </x:c>
      <x:c r="E35" s="10" t="str">
        <x:v>功能需求</x:v>
      </x:c>
      <x:c r="F35" s="10" t="str">
        <x:v>P1</x:v>
      </x:c>
      <x:c r="G35" s="9" t="str">
        <x:v>验证公会端日期时间格式</x:v>
      </x:c>
      <x:c r="H35" s="9" t="str">
        <x:v>通知日期格式</x:v>
      </x:c>
      <x:c r="I35" s="9" t="str">
        <x:v>1. 公会长账号可用，已选择待测公会
2. 一条通知的业务时间为2026年9月5日14点03分</x:v>
      </x:c>
      <x:c r="J35" s="9" t="str">
        <x:v>1. 打开通知消息</x:v>
      </x:c>
      <x:c r="K35" s="9" t="str">
        <x:v>通知时间显示05/09/2026 14.03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来源（当前证据）：liveshow-proto/MainBasis/统一需求文档.md；位置：第2094行、第2045行 COMMON-guild-date-format、第2097行 REQ-15916749586e
2. 规则：BR-55e684f7d0238d80
3. 未动态验证</x:v>
      </x:c>
    </x:row>
    <x:row r="36" ht="115" customHeight="1">
      <x:c r="A36" s="10" t="n">
        <x:v>35</x:v>
      </x:c>
      <x:c r="B36" s="10" t="str">
        <x:v>GUILD-01-0035</x:v>
      </x:c>
      <x:c r="C36" s="10" t="str">
        <x:v>登录与首页</x:v>
      </x:c>
      <x:c r="D36" s="10" t="str">
        <x:v>通知消息</x:v>
      </x:c>
      <x:c r="E36" s="10" t="str">
        <x:v>功能需求</x:v>
      </x:c>
      <x:c r="F36" s="10" t="str">
        <x:v>P1</x:v>
      </x:c>
      <x:c r="G36" s="9" t="str">
        <x:v>验证通知消息读取通知摘要：通知标题</x:v>
      </x:c>
      <x:c r="H36" s="9" t="str">
        <x:v>通知标题</x:v>
      </x:c>
      <x:c r="I36" s="9" t="str">
        <x:v>1. 公会长账号可用，已选择待测公会
2. 当前公会存在未读和已读通知，已知各通知生成时间</x:v>
      </x:c>
      <x:c r="J36" s="9" t="str">
        <x:v>1. 打开通知消息</x:v>
      </x:c>
      <x:c r="K36" s="9" t="str">
        <x:v>每条通知标题取自对应通知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来源（当前证据）：liveshow-proto/MainBasis/统一需求文档.md；位置：第2094行、第2095行 REQ-8c6a1c183e1a、第2096行 REQ-e2cda6c8e9f0、第2097行 REQ-15916749586e、第2098行 REQ-b725b023c4f3
2. 规则：BR-988f6c924880a3a8
3. 未动态验证</x:v>
      </x:c>
    </x:row>
    <x:row r="37" ht="115" customHeight="1">
      <x:c r="A37" s="10" t="n">
        <x:v>36</x:v>
      </x:c>
      <x:c r="B37" s="10" t="str">
        <x:v>GUILD-01-0036</x:v>
      </x:c>
      <x:c r="C37" s="10" t="str">
        <x:v>登录与首页</x:v>
      </x:c>
      <x:c r="D37" s="10" t="str">
        <x:v>通知消息</x:v>
      </x:c>
      <x:c r="E37" s="10" t="str">
        <x:v>功能需求</x:v>
      </x:c>
      <x:c r="F37" s="10" t="str">
        <x:v>P1</x:v>
      </x:c>
      <x:c r="G37" s="9" t="str">
        <x:v>验证通知消息读取通知摘要：通知摘要</x:v>
      </x:c>
      <x:c r="H37" s="9" t="str">
        <x:v>通知摘要</x:v>
      </x:c>
      <x:c r="I37" s="9" t="str">
        <x:v>1. 公会长账号可用，已选择待测公会
2. 当前公会存在未读和已读通知，已知各通知生成时间</x:v>
      </x:c>
      <x:c r="J37" s="9" t="str">
        <x:v>1. 打开通知消息</x:v>
      </x:c>
      <x:c r="K37" s="9" t="str">
        <x:v>每条通知摘要取自对应通知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来源（当前证据）：liveshow-proto/MainBasis/统一需求文档.md；位置：第2094行、第2095行 REQ-8c6a1c183e1a、第2096行 REQ-e2cda6c8e9f0、第2097行 REQ-15916749586e、第2098行 REQ-b725b023c4f3
2. 规则：BR-2263ade2d1d38dd2
3. 未动态验证</x:v>
      </x:c>
    </x:row>
    <x:row r="38" ht="115" customHeight="1">
      <x:c r="A38" s="10" t="n">
        <x:v>37</x:v>
      </x:c>
      <x:c r="B38" s="10" t="str">
        <x:v>GUILD-01-0037</x:v>
      </x:c>
      <x:c r="C38" s="10" t="str">
        <x:v>登录与首页</x:v>
      </x:c>
      <x:c r="D38" s="10" t="str">
        <x:v>通知消息</x:v>
      </x:c>
      <x:c r="E38" s="10" t="str">
        <x:v>功能需求</x:v>
      </x:c>
      <x:c r="F38" s="10" t="str">
        <x:v>P1</x:v>
      </x:c>
      <x:c r="G38" s="9" t="str">
        <x:v>验证通知消息读取通知摘要：通知生成时间</x:v>
      </x:c>
      <x:c r="H38" s="9" t="str">
        <x:v>通知生成时间</x:v>
      </x:c>
      <x:c r="I38" s="9" t="str">
        <x:v>1. 公会长账号可用，已选择待测公会
2. 当前公会存在未读和已读通知，已知各通知生成时间</x:v>
      </x:c>
      <x:c r="J38" s="9" t="str">
        <x:v>1. 打开通知消息</x:v>
      </x:c>
      <x:c r="K38" s="9" t="str">
        <x:v>通知时间显示生成时间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来源（当前证据）：liveshow-proto/MainBasis/统一需求文档.md；位置：第2094行、第2095行 REQ-8c6a1c183e1a、第2096行 REQ-e2cda6c8e9f0、第2097行 REQ-15916749586e、第2098行 REQ-b725b023c4f3
2. 规则：BR-893ffa0775b2f3fc
3. 未动态验证</x:v>
      </x:c>
    </x:row>
    <x:row r="39" ht="115" customHeight="1">
      <x:c r="A39" s="10" t="n">
        <x:v>38</x:v>
      </x:c>
      <x:c r="B39" s="10" t="str">
        <x:v>GUILD-01-0038</x:v>
      </x:c>
      <x:c r="C39" s="10" t="str">
        <x:v>登录与首页</x:v>
      </x:c>
      <x:c r="D39" s="10" t="str">
        <x:v>选择公会</x:v>
      </x:c>
      <x:c r="E39" s="10" t="str">
        <x:v>功能需求</x:v>
      </x:c>
      <x:c r="F39" s="10" t="str">
        <x:v>P1</x:v>
      </x:c>
      <x:c r="G39" s="9" t="str">
        <x:v>验证可选公会范围</x:v>
      </x:c>
      <x:c r="H39" s="9" t="str">
        <x:v>管理范围隔离</x:v>
      </x:c>
      <x:c r="I39" s="9" t="str">
        <x:v>1. 公会长账号可用，已选择待测公会
2. 账号管理一个有效公会，另有不归其管理的公会</x:v>
      </x:c>
      <x:c r="J39" s="9" t="str">
        <x:v>1. 打开选择公会</x:v>
      </x:c>
      <x:c r="K39" s="9" t="str">
        <x:v>公会列表不包含无管理权限的公会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来源（当前证据）：liveshow-proto/MainBasis/统一需求文档.md；位置：第2073行、第2078行 REQ-623425048656、第2079行 REQ-2b1c7a5786cf、第2077行 REQ-c68c08b0d254
2. 规则：BR-a3ecca9aab9d6bef
3. 未动态验证</x:v>
      </x:c>
    </x:row>
    <x:row r="40" ht="115" customHeight="1">
      <x:c r="A40" s="10" t="n">
        <x:v>39</x:v>
      </x:c>
      <x:c r="B40" s="10" t="str">
        <x:v>GUILD-01-0039</x:v>
      </x:c>
      <x:c r="C40" s="10" t="str">
        <x:v>登录与首页</x:v>
      </x:c>
      <x:c r="D40" s="10" t="str">
        <x:v>选择公会</x:v>
      </x:c>
      <x:c r="E40" s="10" t="str">
        <x:v>功能需求</x:v>
      </x:c>
      <x:c r="F40" s="10" t="str">
        <x:v>P1</x:v>
      </x:c>
      <x:c r="G40" s="9" t="str">
        <x:v>验证解散公会不再可选</x:v>
      </x:c>
      <x:c r="H40" s="9" t="str">
        <x:v>解散公会排除</x:v>
      </x:c>
      <x:c r="I40" s="9" t="str">
        <x:v>1. 公会长账号可用，已选择待测公会
2. 账号原来管理的一个公会已解散</x:v>
      </x:c>
      <x:c r="J40" s="9" t="str">
        <x:v>1. 打开选择公会</x:v>
      </x:c>
      <x:c r="K40" s="9" t="str">
        <x:v>已解散公会不在可选列表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来源（当前证据）：liveshow-proto/MainBasis/统一需求文档.md；位置：第2073行、第2078行 REQ-623425048656、第2079行 REQ-2b1c7a5786cf、第2077行 REQ-c68c08b0d254
2. 规则：BR-94e681daeef06cf7
3. 未动态验证</x:v>
      </x:c>
    </x:row>
    <x:row r="41" ht="115" customHeight="1">
      <x:c r="A41" s="10" t="n">
        <x:v>40</x:v>
      </x:c>
      <x:c r="B41" s="10" t="str">
        <x:v>GUILD-01-0040</x:v>
      </x:c>
      <x:c r="C41" s="10" t="str">
        <x:v>登录与首页</x:v>
      </x:c>
      <x:c r="D41" s="10" t="str">
        <x:v>选择公会</x:v>
      </x:c>
      <x:c r="E41" s="10" t="str">
        <x:v>功能需求</x:v>
      </x:c>
      <x:c r="F41" s="10" t="str">
        <x:v>P1</x:v>
      </x:c>
      <x:c r="G41" s="9" t="str">
        <x:v>验证切换至另一个公会</x:v>
      </x:c>
      <x:c r="H41" s="9" t="str">
        <x:v>公会切换后的数据归属</x:v>
      </x:c>
      <x:c r="I41" s="9" t="str">
        <x:v>1. 公会长账号可用，已选择待测公会
2. 账号管理两个有效公会，当前选中第一个</x:v>
      </x:c>
      <x:c r="J41" s="9" t="str">
        <x:v>1. 打开选择公会
2. 选择第二个公会</x:v>
      </x:c>
      <x:c r="K41" s="9" t="str">
        <x:v>首页数据归属于新选择的公会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来源（当前证据）：liveshow-proto/MainBasis/统一需求文档.md；位置：第2073行、第2078行 REQ-623425048656、第2079行 REQ-2b1c7a5786cf、第2077行 REQ-c68c08b0d254
2. 规则：BR-c503321c676f6b7e
3. 未动态验证</x:v>
      </x:c>
    </x:row>
    <x:row r="42" ht="115" customHeight="1">
      <x:c r="A42" s="10" t="n">
        <x:v>41</x:v>
      </x:c>
      <x:c r="B42" s="10" t="str">
        <x:v>GUILD-01-0041</x:v>
      </x:c>
      <x:c r="C42" s="10" t="str">
        <x:v>登录与首页</x:v>
      </x:c>
      <x:c r="D42" s="10" t="str">
        <x:v>选择公会</x:v>
      </x:c>
      <x:c r="E42" s="10" t="str">
        <x:v>功能需求</x:v>
      </x:c>
      <x:c r="F42" s="10" t="str">
        <x:v>P1</x:v>
      </x:c>
      <x:c r="G42" s="9" t="str">
        <x:v>验证当前公会标记</x:v>
      </x:c>
      <x:c r="H42" s="9" t="str">
        <x:v>当前选择标识</x:v>
      </x:c>
      <x:c r="I42" s="9" t="str">
        <x:v>1. 公会长账号可用，已选择待测公会
2. 账号管理两个公会且已选择其中一个</x:v>
      </x:c>
      <x:c r="J42" s="9" t="str">
        <x:v>1. 打开选择公会</x:v>
      </x:c>
      <x:c r="K42" s="9" t="str">
        <x:v>仅已选公会显示“当前公会”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来源（当前证据）：liveshow-proto/MainBasis/统一需求文档.md；位置：第2073行、第2078行 REQ-623425048656、第2079行 REQ-2b1c7a5786cf、第2077行 REQ-c68c08b0d254
2. 规则：BR-f9da3c2f03f7c719
3. 未动态验证</x:v>
      </x:c>
    </x:row>
    <x:row r="43" ht="115" customHeight="1">
      <x:c r="A43" s="10" t="n">
        <x:v>42</x:v>
      </x:c>
      <x:c r="B43" s="10" t="str">
        <x:v>GUILD-01-0042</x:v>
      </x:c>
      <x:c r="C43" s="10" t="str">
        <x:v>登录与首页</x:v>
      </x:c>
      <x:c r="D43" s="10" t="str">
        <x:v>选择公会</x:v>
      </x:c>
      <x:c r="E43" s="10" t="str">
        <x:v>功能需求</x:v>
      </x:c>
      <x:c r="F43" s="10" t="str">
        <x:v>P1</x:v>
      </x:c>
      <x:c r="G43" s="9" t="str">
        <x:v>验证选择公会读取公会长与公会标识：登录公会长身份</x:v>
      </x:c>
      <x:c r="H43" s="9" t="str">
        <x:v>登录公会长身份</x:v>
      </x:c>
      <x:c r="I43" s="9" t="str">
        <x:v>1. 公会长账号可用，已选择待测公会
2. 同一公会长可管理两个未解散公会，记录两者真实ID</x:v>
      </x:c>
      <x:c r="J43" s="9" t="str">
        <x:v>1. 打开选择公会</x:v>
      </x:c>
      <x:c r="K43" s="9" t="str">
        <x:v>页面公会长身份属于当前登录账号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来源（当前证据）：liveshow-proto/MainBasis/统一需求文档.md；位置：第2073行、第2074行 REQ-f087480a5ec3、第2075行 REQ-91381ce452c7、第2076行 REQ-1465c7186b08、第2077行 REQ-c68c08b0d254
2. 规则：BR-0c8bf581dbc7a3de
3. 未动态验证</x:v>
      </x:c>
    </x:row>
    <x:row r="44" ht="115" customHeight="1">
      <x:c r="A44" s="10" t="n">
        <x:v>43</x:v>
      </x:c>
      <x:c r="B44" s="10" t="str">
        <x:v>GUILD-01-0043</x:v>
      </x:c>
      <x:c r="C44" s="10" t="str">
        <x:v>登录与首页</x:v>
      </x:c>
      <x:c r="D44" s="10" t="str">
        <x:v>选择公会</x:v>
      </x:c>
      <x:c r="E44" s="10" t="str">
        <x:v>功能需求</x:v>
      </x:c>
      <x:c r="F44" s="10" t="str">
        <x:v>P1</x:v>
      </x:c>
      <x:c r="G44" s="9" t="str">
        <x:v>验证选择公会读取公会长与公会标识：可管理公会ID</x:v>
      </x:c>
      <x:c r="H44" s="9" t="str">
        <x:v>可管理公会ID</x:v>
      </x:c>
      <x:c r="I44" s="9" t="str">
        <x:v>1. 公会长账号可用，已选择待测公会
2. 同一公会长可管理两个未解散公会，记录两者真实ID</x:v>
      </x:c>
      <x:c r="J44" s="9" t="str">
        <x:v>1. 打开选择公会</x:v>
      </x:c>
      <x:c r="K44" s="9" t="str">
        <x:v>公会列表中的ID与账号可管理的两个公会一致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来源（当前证据）：liveshow-proto/MainBasis/统一需求文档.md；位置：第2073行、第2074行 REQ-f087480a5ec3、第2075行 REQ-91381ce452c7、第2076行 REQ-1465c7186b08、第2077行 REQ-c68c08b0d254
2. 规则：BR-154efefa758b0997
3. 未动态验证</x:v>
      </x:c>
    </x:row>
    <x:row r="45" ht="175" customHeight="1">
      <x:c r="A45" s="10" t="n">
        <x:v>44</x:v>
      </x:c>
      <x:c r="B45" s="10" t="str">
        <x:v>GUILD-02-0001</x:v>
      </x:c>
      <x:c r="C45" s="10" t="str">
        <x:v>主播管理</x:v>
      </x:c>
      <x:c r="D45" s="10" t="str">
        <x:v>主播主页</x:v>
      </x:c>
      <x:c r="E45" s="10" t="str">
        <x:v>功能需求</x:v>
      </x:c>
      <x:c r="F45" s="10" t="str">
        <x:v>P1</x:v>
      </x:c>
      <x:c r="G45" s="9" t="str">
        <x:v>验证未结清收益时移出</x:v>
      </x:c>
      <x:c r="H45" s="9" t="str">
        <x:v>移出按钮可用性</x:v>
      </x:c>
      <x:c r="I45" s="9" t="str">
        <x:v>1. 公会长账号可用，已选择待测公会
2. 本会在会主播有未结清收益</x:v>
      </x:c>
      <x:c r="J45" s="9" t="str">
        <x:v>1. 打开主播主页</x:v>
      </x:c>
      <x:c r="K45" s="9" t="str">
        <x:v>移出公会按钮不可用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规则：BR-57033a545e961d8b
3. 未动态验证</x:v>
      </x:c>
    </x:row>
    <x:row r="46" ht="175" customHeight="1">
      <x:c r="A46" s="10" t="n">
        <x:v>45</x:v>
      </x:c>
      <x:c r="B46" s="10" t="str">
        <x:v>GUILD-02-0002</x:v>
      </x:c>
      <x:c r="C46" s="10" t="str">
        <x:v>主播管理</x:v>
      </x:c>
      <x:c r="D46" s="10" t="str">
        <x:v>主播主页</x:v>
      </x:c>
      <x:c r="E46" s="10" t="str">
        <x:v>功能需求</x:v>
      </x:c>
      <x:c r="F46" s="10" t="str">
        <x:v>P1</x:v>
      </x:c>
      <x:c r="G46" s="9" t="str">
        <x:v>验证移出已结清主播</x:v>
      </x:c>
      <x:c r="H46" s="9" t="str">
        <x:v>移出后的公会关系</x:v>
      </x:c>
      <x:c r="I46" s="9" t="str">
        <x:v>1. 公会长账号可用，已选择待测公会
2. 本会在会主播无未结清收益</x:v>
      </x:c>
      <x:c r="J46" s="9" t="str">
        <x:v>1. 打开主播主页
2. 点击移出公会
3. 确认移出</x:v>
      </x:c>
      <x:c r="K46" s="9" t="str">
        <x:v>该主播关系显示已退会</x:v>
      </x:c>
      <x:c r="L46" s="10" t="str">
        <x:v>FLOW-LEAVE</x:v>
      </x:c>
      <x:c r="M46" s="10" t="str">
        <x:v>未测</x:v>
      </x:c>
      <x:c r="N46" s="10" t="str"/>
      <x:c r="O46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规则：BR-37e18c842abae8da
3. 未动态验证</x:v>
      </x:c>
    </x:row>
    <x:row r="47" ht="175" customHeight="1">
      <x:c r="A47" s="10" t="n">
        <x:v>46</x:v>
      </x:c>
      <x:c r="B47" s="10" t="str">
        <x:v>GUILD-02-0003</x:v>
      </x:c>
      <x:c r="C47" s="10" t="str">
        <x:v>主播管理</x:v>
      </x:c>
      <x:c r="D47" s="10" t="str">
        <x:v>主播主页</x:v>
      </x:c>
      <x:c r="E47" s="10" t="str">
        <x:v>功能需求</x:v>
      </x:c>
      <x:c r="F47" s="10" t="str">
        <x:v>P1</x:v>
      </x:c>
      <x:c r="G47" s="9" t="str">
        <x:v>验证取消移出主播</x:v>
      </x:c>
      <x:c r="H47" s="9" t="str">
        <x:v>移出取消保留关系</x:v>
      </x:c>
      <x:c r="I47" s="9" t="str">
        <x:v>1. 公会长账号可用，已选择待测公会
2. 主播在会且无未结清收益</x:v>
      </x:c>
      <x:c r="J47" s="9" t="str">
        <x:v>1. 打开主播主页
2. 点击移出公会
3. 取消确认弹窗</x:v>
      </x:c>
      <x:c r="K47" s="9" t="str">
        <x:v>主播仍为在会关系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规则：BR-57fb3c2c73838e68
3. 未动态验证</x:v>
      </x:c>
    </x:row>
    <x:row r="48" ht="175" customHeight="1">
      <x:c r="A48" s="10" t="n">
        <x:v>47</x:v>
      </x:c>
      <x:c r="B48" s="10" t="str">
        <x:v>GUILD-02-0004</x:v>
      </x:c>
      <x:c r="C48" s="10" t="str">
        <x:v>主播管理</x:v>
      </x:c>
      <x:c r="D48" s="10" t="str">
        <x:v>主播主页</x:v>
      </x:c>
      <x:c r="E48" s="10" t="str">
        <x:v>功能需求</x:v>
      </x:c>
      <x:c r="F48" s="10" t="str">
        <x:v>P1</x:v>
      </x:c>
      <x:c r="G48" s="9" t="str">
        <x:v>验证关闭公会直播权限</x:v>
      </x:c>
      <x:c r="H48" s="9" t="str">
        <x:v>公会直播权限关闭</x:v>
      </x:c>
      <x:c r="I48" s="9" t="str">
        <x:v>1. 公会长账号可用，已选择待测公会
2. 平台开启且未锁定，本会开关开启，主播正在直播</x:v>
      </x:c>
      <x:c r="J48" s="9" t="str">
        <x:v>1. 打开主播主页
2. 关闭直播权限
3. 确认二次确认弹窗</x:v>
      </x:c>
      <x:c r="K48" s="9" t="str">
        <x:v>公会直播权限显示关闭</x:v>
      </x:c>
      <x:c r="L48" s="10" t="str">
        <x:v>FLOW-LIVE-PERMISSION</x:v>
      </x:c>
      <x:c r="M48" s="10" t="str">
        <x:v>未测</x:v>
      </x:c>
      <x:c r="N48" s="10" t="str"/>
      <x:c r="O48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规则：BR-565a5ef5fae844e2
3. 未动态验证</x:v>
      </x:c>
    </x:row>
    <x:row r="49" ht="175" customHeight="1">
      <x:c r="A49" s="10" t="n">
        <x:v>48</x:v>
      </x:c>
      <x:c r="B49" s="10" t="str">
        <x:v>GUILD-02-0005</x:v>
      </x:c>
      <x:c r="C49" s="10" t="str">
        <x:v>主播管理</x:v>
      </x:c>
      <x:c r="D49" s="10" t="str">
        <x:v>主播主页</x:v>
      </x:c>
      <x:c r="E49" s="10" t="str">
        <x:v>功能需求</x:v>
      </x:c>
      <x:c r="F49" s="10" t="str">
        <x:v>P1</x:v>
      </x:c>
      <x:c r="G49" s="9" t="str">
        <x:v>验证取消关闭直播权限</x:v>
      </x:c>
      <x:c r="H49" s="9" t="str">
        <x:v>权限关闭取消</x:v>
      </x:c>
      <x:c r="I49" s="9" t="str">
        <x:v>1. 公会长账号可用，已选择待测公会
2. 公会直播权限开启且平台未锁定</x:v>
      </x:c>
      <x:c r="J49" s="9" t="str">
        <x:v>1. 打开主播主页
2. 关闭直播权限
3. 取消确认弹窗</x:v>
      </x:c>
      <x:c r="K49" s="9" t="str">
        <x:v>公会直播权限保持开启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规则：BR-7c07b33ad93ef596
3. 未动态验证</x:v>
      </x:c>
    </x:row>
    <x:row r="50" ht="175" customHeight="1">
      <x:c r="A50" s="10" t="n">
        <x:v>49</x:v>
      </x:c>
      <x:c r="B50" s="10" t="str">
        <x:v>GUILD-02-0006</x:v>
      </x:c>
      <x:c r="C50" s="10" t="str">
        <x:v>主播管理</x:v>
      </x:c>
      <x:c r="D50" s="10" t="str">
        <x:v>主播主页</x:v>
      </x:c>
      <x:c r="E50" s="10" t="str">
        <x:v>功能需求</x:v>
      </x:c>
      <x:c r="F50" s="10" t="str">
        <x:v>P1</x:v>
      </x:c>
      <x:c r="G50" s="9" t="str">
        <x:v>验证平台锁定且开启</x:v>
      </x:c>
      <x:c r="H50" s="9" t="str">
        <x:v>锁定权限只读</x:v>
      </x:c>
      <x:c r="I50" s="9" t="str">
        <x:v>1. 公会长账号可用，已选择待测公会
2. 平台已开启权限并锁定，锁定前公会开关关闭</x:v>
      </x:c>
      <x:c r="J50" s="9" t="str">
        <x:v>1. 打开主播主页
2. 刷新主播主页</x:v>
      </x:c>
      <x:c r="K50" s="9" t="str">
        <x:v>公会直播权限只读显示开启</x:v>
      </x:c>
      <x:c r="L50" s="10" t="str">
        <x:v>FLOW-LIVE-PERMISSION</x:v>
      </x:c>
      <x:c r="M50" s="10" t="str">
        <x:v>未测</x:v>
      </x:c>
      <x:c r="N50" s="10" t="str"/>
      <x:c r="O50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规则：BR-bcb194e4c45d177e
3. 未动态验证</x:v>
      </x:c>
    </x:row>
    <x:row r="51" ht="175" customHeight="1">
      <x:c r="A51" s="10" t="n">
        <x:v>50</x:v>
      </x:c>
      <x:c r="B51" s="10" t="str">
        <x:v>GUILD-02-0007</x:v>
      </x:c>
      <x:c r="C51" s="10" t="str">
        <x:v>主播管理</x:v>
      </x:c>
      <x:c r="D51" s="10" t="str">
        <x:v>主播主页</x:v>
      </x:c>
      <x:c r="E51" s="10" t="str">
        <x:v>功能需求</x:v>
      </x:c>
      <x:c r="F51" s="10" t="str">
        <x:v>P1</x:v>
      </x:c>
      <x:c r="G51" s="9" t="str">
        <x:v>验证平台解锁恢复原值</x:v>
      </x:c>
      <x:c r="H51" s="9" t="str">
        <x:v>解锁恢复公会开关</x:v>
      </x:c>
      <x:c r="I51" s="9" t="str">
        <x:v>1. 公会长账号可用，已选择待测公会
2. 锁定前公会关闭，平台开启并锁定后又解锁</x:v>
      </x:c>
      <x:c r="J51" s="9" t="str">
        <x:v>1. 打开主播主页
2. 刷新主播主页</x:v>
      </x:c>
      <x:c r="K51" s="9" t="str">
        <x:v>公会直播权限恢复关闭</x:v>
      </x:c>
      <x:c r="L51" s="10" t="str">
        <x:v>FLOW-LIVE-PERMISSION</x:v>
      </x:c>
      <x:c r="M51" s="10" t="str">
        <x:v>未测</x:v>
      </x:c>
      <x:c r="N51" s="10" t="str"/>
      <x:c r="O51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规则：BR-1951fc7e347bc806
3. 未动态验证</x:v>
      </x:c>
    </x:row>
    <x:row r="52" ht="175" customHeight="1">
      <x:c r="A52" s="10" t="n">
        <x:v>51</x:v>
      </x:c>
      <x:c r="B52" s="10" t="str">
        <x:v>GUILD-02-0008</x:v>
      </x:c>
      <x:c r="C52" s="10" t="str">
        <x:v>主播管理</x:v>
      </x:c>
      <x:c r="D52" s="10" t="str">
        <x:v>主播主页</x:v>
      </x:c>
      <x:c r="E52" s="10" t="str">
        <x:v>功能需求</x:v>
      </x:c>
      <x:c r="F52" s="10" t="str">
        <x:v>P1</x:v>
      </x:c>
      <x:c r="G52" s="9" t="str">
        <x:v>验证平台关闭直播权限</x:v>
      </x:c>
      <x:c r="H52" s="9" t="str">
        <x:v>平台关闭后的权限</x:v>
      </x:c>
      <x:c r="I52" s="9" t="str">
        <x:v>1. 公会长账号可用，已选择待测公会
2. 平台已经关闭该主播直播权限</x:v>
      </x:c>
      <x:c r="J52" s="9" t="str">
        <x:v>1. 打开主播主页
2. 刷新主播主页</x:v>
      </x:c>
      <x:c r="K52" s="9" t="str">
        <x:v>主播最终直播权限为关闭</x:v>
      </x:c>
      <x:c r="L52" s="10" t="str">
        <x:v>FLOW-LIVE-PERMISSION</x:v>
      </x:c>
      <x:c r="M52" s="10" t="str">
        <x:v>未测</x:v>
      </x:c>
      <x:c r="N52" s="10" t="str"/>
      <x:c r="O52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规则：BR-2b2cc200a13c3860
3. 未动态验证</x:v>
      </x:c>
    </x:row>
    <x:row r="53" ht="175" customHeight="1">
      <x:c r="A53" s="10" t="n">
        <x:v>52</x:v>
      </x:c>
      <x:c r="B53" s="10" t="str">
        <x:v>GUILD-02-0009</x:v>
      </x:c>
      <x:c r="C53" s="10" t="str">
        <x:v>主播管理</x:v>
      </x:c>
      <x:c r="D53" s="10" t="str">
        <x:v>主播主页</x:v>
      </x:c>
      <x:c r="E53" s="10" t="str">
        <x:v>功能需求</x:v>
      </x:c>
      <x:c r="F53" s="10" t="str">
        <x:v>P1</x:v>
      </x:c>
      <x:c r="G53" s="9" t="str">
        <x:v>验证退会主播不可管理</x:v>
      </x:c>
      <x:c r="H53" s="9" t="str">
        <x:v>退会管理入口隐藏</x:v>
      </x:c>
      <x:c r="I53" s="9" t="str">
        <x:v>1. 公会长账号可用，已选择待测公会
2. 该主播已退出当前公会</x:v>
      </x:c>
      <x:c r="J53" s="9" t="str">
        <x:v>1. 打开主播主页</x:v>
      </x:c>
      <x:c r="K53" s="9" t="str">
        <x:v>主播主页不显示管理入口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规则：BR-3b3d459fcf18be5b
3. 未动态验证</x:v>
      </x:c>
    </x:row>
    <x:row r="54" ht="175" customHeight="1">
      <x:c r="A54" s="10" t="n">
        <x:v>53</x:v>
      </x:c>
      <x:c r="B54" s="10" t="str">
        <x:v>GUILD-02-0010</x:v>
      </x:c>
      <x:c r="C54" s="10" t="str">
        <x:v>主播管理</x:v>
      </x:c>
      <x:c r="D54" s="10" t="str">
        <x:v>主播主页</x:v>
      </x:c>
      <x:c r="E54" s="10" t="str">
        <x:v>功能需求</x:v>
      </x:c>
      <x:c r="F54" s="10" t="str">
        <x:v>P1</x:v>
      </x:c>
      <x:c r="G54" s="9" t="str">
        <x:v>验证从主页查看业绩</x:v>
      </x:c>
      <x:c r="H54" s="9" t="str">
        <x:v>主播数据入口</x:v>
      </x:c>
      <x:c r="I54" s="9" t="str">
        <x:v>1. 公会长账号可用，已选择待测公会
2. 当前主播存在历史业绩</x:v>
      </x:c>
      <x:c r="J54" s="9" t="str">
        <x:v>1. 打开主播主页
2. 点击业绩</x:v>
      </x:c>
      <x:c r="K54" s="9" t="str">
        <x:v>进入该主播的数据页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规则：BR-c172ab140c3c3809
3. 未动态验证</x:v>
      </x:c>
    </x:row>
    <x:row r="55" ht="115" customHeight="1">
      <x:c r="A55" s="10" t="n">
        <x:v>54</x:v>
      </x:c>
      <x:c r="B55" s="10" t="str">
        <x:v>GUILD-02-0011</x:v>
      </x:c>
      <x:c r="C55" s="10" t="str">
        <x:v>主播管理</x:v>
      </x:c>
      <x:c r="D55" s="10" t="str">
        <x:v>主播主页</x:v>
      </x:c>
      <x:c r="E55" s="10" t="str">
        <x:v>功能需求</x:v>
      </x:c>
      <x:c r="F55" s="10" t="str">
        <x:v>P1</x:v>
      </x:c>
      <x:c r="G55" s="9" t="str">
        <x:v>验证主播主页读取主播认证资料</x:v>
      </x:c>
      <x:c r="H55" s="9" t="str">
        <x:v>主播认证资料字段来源</x:v>
      </x:c>
      <x:c r="I55" s="9" t="str">
        <x:v>1. 公会长账号可用，已选择待测公会
2. 已知本会主播账号ID及其提交的认证姓名、电话和证件</x:v>
      </x:c>
      <x:c r="J55" s="9" t="str">
        <x:v>1. 打开主播主页</x:v>
      </x:c>
      <x:c r="K55" s="9" t="str">
        <x:v>主页认证区显示该主播提交的认证资料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来源（当前证据）：liveshow-proto/MainBasis/统一需求文档.md；位置：第2215行、第2216行 REQ-8614a441253f、第2217行 REQ-0645b37a4b08、第2220行 REQ-03a9aa5421c2、第2221行 REQ-317007b56c63
2. 规则：BR-ee3918ded78ce177
3. 未动态验证</x:v>
      </x:c>
    </x:row>
    <x:row r="56" ht="100" customHeight="1">
      <x:c r="A56" s="10" t="n">
        <x:v>55</x:v>
      </x:c>
      <x:c r="B56" s="10" t="str">
        <x:v>GUILD-02-0012</x:v>
      </x:c>
      <x:c r="C56" s="10" t="str">
        <x:v>主播管理</x:v>
      </x:c>
      <x:c r="D56" s="10" t="str">
        <x:v>主播主页</x:v>
      </x:c>
      <x:c r="E56" s="10" t="str">
        <x:v>功能需求</x:v>
      </x:c>
      <x:c r="F56" s="10" t="str">
        <x:v>P1</x:v>
      </x:c>
      <x:c r="G56" s="9" t="str">
        <x:v>验证粉丝取关后的当前人数</x:v>
      </x:c>
      <x:c r="H56" s="9" t="str">
        <x:v>当前粉丝数量</x:v>
      </x:c>
      <x:c r="I56" s="9" t="str">
        <x:v>1. 公会长账号可用，已选择待测公会
2. 该主播原有2名粉丝，其中1名已经取消关注</x:v>
      </x:c>
      <x:c r="J56" s="9" t="str">
        <x:v>1. 打开主播主页
2. 刷新主播主页</x:v>
      </x:c>
      <x:c r="K56" s="9" t="str">
        <x:v>粉丝数显示1人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来源（当前证据）：liveshow-proto/MainBasis/统一需求文档.md；位置：第2215行、第2229行 REQ-08945282e23d、第2239行 REQ-e47c32840ee5
2. 规则：BR-9fcb99ee3f829c3c
3. 未动态验证</x:v>
      </x:c>
    </x:row>
    <x:row r="57" ht="100" customHeight="1">
      <x:c r="A57" s="10" t="n">
        <x:v>56</x:v>
      </x:c>
      <x:c r="B57" s="10" t="str">
        <x:v>GUILD-02-0013</x:v>
      </x:c>
      <x:c r="C57" s="10" t="str">
        <x:v>主播管理</x:v>
      </x:c>
      <x:c r="D57" s="10" t="str">
        <x:v>主播主页</x:v>
      </x:c>
      <x:c r="E57" s="10" t="str">
        <x:v>功能需求</x:v>
      </x:c>
      <x:c r="F57" s="10" t="str">
        <x:v>P1</x:v>
      </x:c>
      <x:c r="G57" s="9" t="str">
        <x:v>验证移出正在直播的主播</x:v>
      </x:c>
      <x:c r="H57" s="9" t="str">
        <x:v>移出后的场次状态</x:v>
      </x:c>
      <x:c r="I57" s="9" t="str">
        <x:v>1. 公会长账号可用，已选择待测公会
2. 本会主播正在直播且无未结清收益</x:v>
      </x:c>
      <x:c r="J57" s="9" t="str">
        <x:v>1. 打开主播主页
2. 点击移出公会
3. 确认移出
4. 打开该主播直播记录</x:v>
      </x:c>
      <x:c r="K57" s="9" t="str">
        <x:v>移出时的直播场次显示已结束</x:v>
      </x:c>
      <x:c r="L57" s="10" t="str">
        <x:v>FLOW-LEAVE</x:v>
      </x:c>
      <x:c r="M57" s="10" t="str">
        <x:v>未测</x:v>
      </x:c>
      <x:c r="N57" s="10" t="str"/>
      <x:c r="O57" s="9" t="str">
        <x:v>1. 来源（当前证据）：liveshow-proto/MainBasis/统一需求文档.md；位置：第2215行、第2224行 REQ-c38fd8665271、第2237行 REQ-cc2e01100f18
2. 规则：BR-86de81f75d7192c7
3. 未动态验证</x:v>
      </x:c>
    </x:row>
    <x:row r="58" ht="100" customHeight="1">
      <x:c r="A58" s="10" t="n">
        <x:v>57</x:v>
      </x:c>
      <x:c r="B58" s="10" t="str">
        <x:v>GUILD-02-0014</x:v>
      </x:c>
      <x:c r="C58" s="10" t="str">
        <x:v>主播管理</x:v>
      </x:c>
      <x:c r="D58" s="10" t="str">
        <x:v>主播主页</x:v>
      </x:c>
      <x:c r="E58" s="10" t="str">
        <x:v>功能需求</x:v>
      </x:c>
      <x:c r="F58" s="10" t="str">
        <x:v>P1</x:v>
      </x:c>
      <x:c r="G58" s="9" t="str">
        <x:v>验证主播等级排除虚拟赠礼</x:v>
      </x:c>
      <x:c r="H58" s="9" t="str">
        <x:v>主播等级收益归属</x:v>
      </x:c>
      <x:c r="I58" s="9" t="str">
        <x:v>1. 公会长账号可用，已选择待测公会
2. 主播分成前真实收益达到已配置2级门槛，尚未达到3级；虚拟赠礼与财富贡献足以达到更高档</x:v>
      </x:c>
      <x:c r="J58" s="9" t="str">
        <x:v>1. 打开主播主页</x:v>
      </x:c>
      <x:c r="K58" s="9" t="str">
        <x:v>主播等级显示2级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来源（当前证据）：liveshow-proto/MainBasis/统一需求文档.md；位置：第2215行、第2218行 REQ-6e33633dfb70
2. 规则：BR-15789ae5cfad1f40
3. 未动态验证</x:v>
      </x:c>
    </x:row>
    <x:row r="59" ht="115" customHeight="1">
      <x:c r="A59" s="10" t="n">
        <x:v>58</x:v>
      </x:c>
      <x:c r="B59" s="10" t="str">
        <x:v>GUILD-02-0015</x:v>
      </x:c>
      <x:c r="C59" s="10" t="str">
        <x:v>主播管理</x:v>
      </x:c>
      <x:c r="D59" s="10" t="str">
        <x:v>主播主页</x:v>
      </x:c>
      <x:c r="E59" s="10" t="str">
        <x:v>逻辑校验</x:v>
      </x:c>
      <x:c r="F59" s="10" t="str">
        <x:v>P1</x:v>
      </x:c>
      <x:c r="G59" s="9" t="str">
        <x:v>验证总收益统计成功真实礼物</x:v>
      </x:c>
      <x:c r="H59" s="9" t="str">
        <x:v>收益范围汇总</x:v>
      </x:c>
      <x:c r="I59" s="9" t="str">
        <x:v>1. 公会长账号可用，已选择待测公会
2. 当前主播全部历史普通礼物100金币、定制200金币、幸运1000金币且赠送时比例1%；虚拟500金币、失败50金币、范围外300金币</x:v>
      </x:c>
      <x:c r="J59" s="9" t="str">
        <x:v>1. 打开主播主页</x:v>
      </x:c>
      <x:c r="K59" s="9" t="str">
        <x:v>总收益计算结果=100+200+10=310金币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来源（当前证据）：liveshow-proto/MainBasis/统一需求文档.md；位置：第2215行、第2230行 REQ-70ca27a17af9
2. 规则：BR-3cf468a6a588eadb
3. 未动态验证</x:v>
      </x:c>
    </x:row>
    <x:row r="60" ht="115" customHeight="1">
      <x:c r="A60" s="10" t="n">
        <x:v>59</x:v>
      </x:c>
      <x:c r="B60" s="10" t="str">
        <x:v>GUILD-02-0016</x:v>
      </x:c>
      <x:c r="C60" s="10" t="str">
        <x:v>主播管理</x:v>
      </x:c>
      <x:c r="D60" s="10" t="str">
        <x:v>主播主页</x:v>
      </x:c>
      <x:c r="E60" s="10" t="str">
        <x:v>功能需求</x:v>
      </x:c>
      <x:c r="F60" s="10" t="str">
        <x:v>P1</x:v>
      </x:c>
      <x:c r="G60" s="9" t="str">
        <x:v>验证累计完成场次</x:v>
      </x:c>
      <x:c r="H60" s="9" t="str">
        <x:v>历史直播次数</x:v>
      </x:c>
      <x:c r="I60" s="9" t="str">
        <x:v>1. 公会长账号可用，已选择待测公会
2. 该主播已完成2场，另有1场正在直播</x:v>
      </x:c>
      <x:c r="J60" s="9" t="str">
        <x:v>1. 打开主播主页</x:v>
      </x:c>
      <x:c r="K60" s="9" t="str">
        <x:v>直播次数显示2场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来源（当前证据）：liveshow-proto/MainBasis/统一需求文档.md；位置：第2215行、第2231行 REQ-71267e7ac9bf、第2232行 REQ-32a21ffeb6ce、第2233行 REQ-8fd5344097e4
2. 规则：BR-0bdc1ae06e106291
3. 未动态验证</x:v>
      </x:c>
    </x:row>
    <x:row r="61" ht="115" customHeight="1">
      <x:c r="A61" s="10" t="n">
        <x:v>60</x:v>
      </x:c>
      <x:c r="B61" s="10" t="str">
        <x:v>GUILD-02-0017</x:v>
      </x:c>
      <x:c r="C61" s="10" t="str">
        <x:v>主播管理</x:v>
      </x:c>
      <x:c r="D61" s="10" t="str">
        <x:v>主播主页</x:v>
      </x:c>
      <x:c r="E61" s="10" t="str">
        <x:v>功能需求</x:v>
      </x:c>
      <x:c r="F61" s="10" t="str">
        <x:v>P1</x:v>
      </x:c>
      <x:c r="G61" s="9" t="str">
        <x:v>验证已完成场次时长汇总</x:v>
      </x:c>
      <x:c r="H61" s="9" t="str">
        <x:v>历史直播时长</x:v>
      </x:c>
      <x:c r="I61" s="9" t="str">
        <x:v>1. 公会长账号可用，已选择待测公会
2. 已完成两场分别30和60分钟，另有正在直播的场次</x:v>
      </x:c>
      <x:c r="J61" s="9" t="str">
        <x:v>1. 打开主播主页</x:v>
      </x:c>
      <x:c r="K61" s="9" t="str">
        <x:v>直播时长计算结果=30+60=90分钟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来源（当前证据）：liveshow-proto/MainBasis/统一需求文档.md；位置：第2215行、第2231行 REQ-71267e7ac9bf、第2232行 REQ-32a21ffeb6ce、第2233行 REQ-8fd5344097e4
2. 规则：BR-5a41dddc20250a05
3. 未动态验证</x:v>
      </x:c>
    </x:row>
    <x:row r="62" ht="115" customHeight="1">
      <x:c r="A62" s="10" t="n">
        <x:v>61</x:v>
      </x:c>
      <x:c r="B62" s="10" t="str">
        <x:v>GUILD-02-0018</x:v>
      </x:c>
      <x:c r="C62" s="10" t="str">
        <x:v>主播管理</x:v>
      </x:c>
      <x:c r="D62" s="10" t="str">
        <x:v>主播主页</x:v>
      </x:c>
      <x:c r="E62" s="10" t="str">
        <x:v>功能需求</x:v>
      </x:c>
      <x:c r="F62" s="10" t="str">
        <x:v>P1</x:v>
      </x:c>
      <x:c r="G62" s="9" t="str">
        <x:v>验证账号与直播违规累计</x:v>
      </x:c>
      <x:c r="H62" s="9" t="str">
        <x:v>累计违规范围</x:v>
      </x:c>
      <x:c r="I62" s="9" t="str">
        <x:v>1. 公会长账号可用，已选择待测公会
2. 当前主播账号违规1条、直播违规2条，另有其他主播违规</x:v>
      </x:c>
      <x:c r="J62" s="9" t="str">
        <x:v>1. 打开主播主页</x:v>
      </x:c>
      <x:c r="K62" s="9" t="str">
        <x:v>累计违规显示3条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来源（当前证据）：liveshow-proto/MainBasis/统一需求文档.md；位置：第2215行、第2231行 REQ-71267e7ac9bf、第2232行 REQ-32a21ffeb6ce、第2233行 REQ-8fd5344097e4
2. 规则：BR-5f63dcc7063e7651
3. 未动态验证</x:v>
      </x:c>
    </x:row>
    <x:row r="63" ht="115" customHeight="1">
      <x:c r="A63" s="10" t="n">
        <x:v>62</x:v>
      </x:c>
      <x:c r="B63" s="10" t="str">
        <x:v>GUILD-02-0019</x:v>
      </x:c>
      <x:c r="C63" s="10" t="str">
        <x:v>主播管理</x:v>
      </x:c>
      <x:c r="D63" s="10" t="str">
        <x:v>主播主页</x:v>
      </x:c>
      <x:c r="E63" s="10" t="str">
        <x:v>功能需求</x:v>
      </x:c>
      <x:c r="F63" s="10" t="str">
        <x:v>P1</x:v>
      </x:c>
      <x:c r="G63" s="9" t="str">
        <x:v>验证主播主页读取关系申请历史：申请历史排序</x:v>
      </x:c>
      <x:c r="H63" s="9" t="str">
        <x:v>申请历史排序</x:v>
      </x:c>
      <x:c r="I63" s="9" t="str">
        <x:v>1. 公会长账号可用，已选择待测公会
2. 当前主播有两次提交时间不同的入会或退出申请</x:v>
      </x:c>
      <x:c r="J63" s="9" t="str">
        <x:v>1. 打开主播主页</x:v>
      </x:c>
      <x:c r="K63" s="9" t="str">
        <x:v>申请历史按提交时间倒序排列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来源（当前证据）：liveshow-proto/MainBasis/统一需求文档.md；位置：第2215行、第2225行 REQ-01e670797f57、第2226行 REQ-39f4c81152d2、第2227行 REQ-d2a5c66939bd、第2228行 REQ-b8c06507c5bf
2. 规则：BR-6928e8e460cc6e97
3. 未动态验证</x:v>
      </x:c>
    </x:row>
    <x:row r="64" ht="115" customHeight="1">
      <x:c r="A64" s="10" t="n">
        <x:v>63</x:v>
      </x:c>
      <x:c r="B64" s="10" t="str">
        <x:v>GUILD-02-0020</x:v>
      </x:c>
      <x:c r="C64" s="10" t="str">
        <x:v>主播管理</x:v>
      </x:c>
      <x:c r="D64" s="10" t="str">
        <x:v>主播主页</x:v>
      </x:c>
      <x:c r="E64" s="10" t="str">
        <x:v>功能需求</x:v>
      </x:c>
      <x:c r="F64" s="10" t="str">
        <x:v>P1</x:v>
      </x:c>
      <x:c r="G64" s="9" t="str">
        <x:v>验证主播主页读取关系申请历史：历史申请类型</x:v>
      </x:c>
      <x:c r="H64" s="9" t="str">
        <x:v>历史申请类型</x:v>
      </x:c>
      <x:c r="I64" s="9" t="str">
        <x:v>1. 公会长账号可用，已选择待测公会
2. 当前主播有两次提交时间不同的入会或退出申请</x:v>
      </x:c>
      <x:c r="J64" s="9" t="str">
        <x:v>1. 打开主播主页</x:v>
      </x:c>
      <x:c r="K64" s="9" t="str">
        <x:v>每笔申请显示其实际申请类型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来源（当前证据）：liveshow-proto/MainBasis/统一需求文档.md；位置：第2215行、第2225行 REQ-01e670797f57、第2226行 REQ-39f4c81152d2、第2227行 REQ-d2a5c66939bd、第2228行 REQ-b8c06507c5bf
2. 规则：BR-564e80d44a5c7288
3. 未动态验证</x:v>
      </x:c>
    </x:row>
    <x:row r="65" ht="115" customHeight="1">
      <x:c r="A65" s="10" t="n">
        <x:v>64</x:v>
      </x:c>
      <x:c r="B65" s="10" t="str">
        <x:v>GUILD-02-0021</x:v>
      </x:c>
      <x:c r="C65" s="10" t="str">
        <x:v>主播管理</x:v>
      </x:c>
      <x:c r="D65" s="10" t="str">
        <x:v>主播主页</x:v>
      </x:c>
      <x:c r="E65" s="10" t="str">
        <x:v>功能需求</x:v>
      </x:c>
      <x:c r="F65" s="10" t="str">
        <x:v>P1</x:v>
      </x:c>
      <x:c r="G65" s="9" t="str">
        <x:v>验证主播主页读取关系申请历史：历史处理原因</x:v>
      </x:c>
      <x:c r="H65" s="9" t="str">
        <x:v>历史处理原因</x:v>
      </x:c>
      <x:c r="I65" s="9" t="str">
        <x:v>1. 公会长账号可用，已选择待测公会
2. 当前主播有两次提交时间不同的入会或退出申请</x:v>
      </x:c>
      <x:c r="J65" s="9" t="str">
        <x:v>1. 打开主播主页</x:v>
      </x:c>
      <x:c r="K65" s="9" t="str">
        <x:v>处理原因取自对应审核节点填写内容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来源（当前证据）：liveshow-proto/MainBasis/统一需求文档.md；位置：第2215行、第2225行 REQ-01e670797f57、第2226行 REQ-39f4c81152d2、第2227行 REQ-d2a5c66939bd、第2228行 REQ-b8c06507c5bf
2. 规则：BR-53e5153c2fc5005a
3. 未动态验证</x:v>
      </x:c>
    </x:row>
    <x:row r="66" ht="115" customHeight="1">
      <x:c r="A66" s="10" t="n">
        <x:v>65</x:v>
      </x:c>
      <x:c r="B66" s="10" t="str">
        <x:v>GUILD-02-0022</x:v>
      </x:c>
      <x:c r="C66" s="10" t="str">
        <x:v>主播管理</x:v>
      </x:c>
      <x:c r="D66" s="10" t="str">
        <x:v>主播业绩</x:v>
      </x:c>
      <x:c r="E66" s="10" t="str">
        <x:v>功能需求</x:v>
      </x:c>
      <x:c r="F66" s="10" t="str">
        <x:v>P1</x:v>
      </x:c>
      <x:c r="G66" s="9" t="str">
        <x:v>验证首次打开的日期范围</x:v>
      </x:c>
      <x:c r="H66" s="9" t="str">
        <x:v>默认日期范围</x:v>
      </x:c>
      <x:c r="I66" s="9" t="str">
        <x:v>1. 公会长账号可用，已选择待测公会
2. 存在默认范围内与范围外记录</x:v>
      </x:c>
      <x:c r="J66" s="9" t="str">
        <x:v>1. 打开主播业绩</x:v>
      </x:c>
      <x:c r="K66" s="9" t="str">
        <x:v>日期条件默认选择今日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来源（当前证据）：liveshow-proto/MainBasis/统一需求文档.md；位置：第2178行、第2179行 REQ-48e0d62dff35、第2180行 REQ-34c93fe323d0、第2187行 REQ-3649c97c9a4e、第2194行 REQ-8bf87e9cdc14
2. 规则：BR-4a13d6775ba1bc1f
3. 未动态验证</x:v>
      </x:c>
    </x:row>
    <x:row r="67" ht="115" customHeight="1">
      <x:c r="A67" s="10" t="n">
        <x:v>66</x:v>
      </x:c>
      <x:c r="B67" s="10" t="str">
        <x:v>GUILD-02-0023</x:v>
      </x:c>
      <x:c r="C67" s="10" t="str">
        <x:v>主播管理</x:v>
      </x:c>
      <x:c r="D67" s="10" t="str">
        <x:v>主播业绩</x:v>
      </x:c>
      <x:c r="E67" s="10" t="str">
        <x:v>功能需求</x:v>
      </x:c>
      <x:c r="F67" s="10" t="str">
        <x:v>P1</x:v>
      </x:c>
      <x:c r="G67" s="9" t="str">
        <x:v>验证自定义日期包含起止日</x:v>
      </x:c>
      <x:c r="H67" s="9" t="str">
        <x:v>日期首尾包含</x:v>
      </x:c>
      <x:c r="I67" s="9" t="str">
        <x:v>1. 公会长账号可用，已选择待测公会
2. 同一当前公会业务对象有开始日、结束日、结束日次日各一条记录</x:v>
      </x:c>
      <x:c r="J67" s="9" t="str">
        <x:v>1. 打开主播业绩
2. 选择自定义日期为开始日至结束日</x:v>
      </x:c>
      <x:c r="K67" s="9" t="str">
        <x:v>列表仅包含开始日和结束日的2条记录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来源（当前证据）：liveshow-proto/MainBasis/统一需求文档.md；位置：第2178行、第2179行 REQ-48e0d62dff35、第2180行 REQ-34c93fe323d0、第2187行 REQ-3649c97c9a4e、第2194行 REQ-8bf87e9cdc14
2. 规则：BR-3281910c786fa9e7
3. 未动态验证</x:v>
      </x:c>
    </x:row>
    <x:row r="68" ht="115" customHeight="1">
      <x:c r="A68" s="10" t="n">
        <x:v>67</x:v>
      </x:c>
      <x:c r="B68" s="10" t="str">
        <x:v>GUILD-02-0024</x:v>
      </x:c>
      <x:c r="C68" s="10" t="str">
        <x:v>主播管理</x:v>
      </x:c>
      <x:c r="D68" s="10" t="str">
        <x:v>主播业绩</x:v>
      </x:c>
      <x:c r="E68" s="10" t="str">
        <x:v>功能需求</x:v>
      </x:c>
      <x:c r="F68" s="10" t="str">
        <x:v>P1</x:v>
      </x:c>
      <x:c r="G68" s="9" t="str">
        <x:v>验证搜索指定主播业绩</x:v>
      </x:c>
      <x:c r="H68" s="9" t="str">
        <x:v>业绩主播筛选</x:v>
      </x:c>
      <x:c r="I68" s="9" t="str">
        <x:v>1. 公会长账号可用，已选择待测公会
2. 已知本会主播实际ID，另有其他主播记录</x:v>
      </x:c>
      <x:c r="J68" s="9" t="str">
        <x:v>1. 打开主播业绩
2. 输入搜索关键词为该主播ID</x:v>
      </x:c>
      <x:c r="K68" s="9" t="str">
        <x:v>仅展示该主播的业绩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来源（当前证据）：liveshow-proto/MainBasis/统一需求文档.md；位置：第2178行、第2181行 REQ-8009ee5e1fdb、第2185行 REQ-c2705d48361c、第2193行 REQ-d6fc92786e6e、第2194行 REQ-8bf87e9cdc14
2. 规则：BR-2c879f52c282a0f4
3. 未动态验证</x:v>
      </x:c>
    </x:row>
    <x:row r="69" ht="115" customHeight="1">
      <x:c r="A69" s="10" t="n">
        <x:v>68</x:v>
      </x:c>
      <x:c r="B69" s="10" t="str">
        <x:v>GUILD-02-0025</x:v>
      </x:c>
      <x:c r="C69" s="10" t="str">
        <x:v>主播管理</x:v>
      </x:c>
      <x:c r="D69" s="10" t="str">
        <x:v>主播业绩</x:v>
      </x:c>
      <x:c r="E69" s="10" t="str">
        <x:v>功能需求</x:v>
      </x:c>
      <x:c r="F69" s="10" t="str">
        <x:v>P1</x:v>
      </x:c>
      <x:c r="G69" s="9" t="str">
        <x:v>验证已退会主播历史业绩</x:v>
      </x:c>
      <x:c r="H69" s="9" t="str">
        <x:v>历史公会业绩归属</x:v>
      </x:c>
      <x:c r="I69" s="9" t="str">
        <x:v>1. 公会长账号可用，已选择待测公会
2. 该主播在本会期间有收益，退会并加入另一个公会后也有收益</x:v>
      </x:c>
      <x:c r="J69" s="9" t="str">
        <x:v>1. 打开主播业绩
2. 选择包含两段期间的日期范围</x:v>
      </x:c>
      <x:c r="K69" s="9" t="str">
        <x:v>本会统计只保留归属于本会期间的业绩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来源（当前证据）：liveshow-proto/MainBasis/统一需求文档.md；位置：第2178行、第2181行 REQ-8009ee5e1fdb、第2185行 REQ-c2705d48361c、第2193行 REQ-d6fc92786e6e、第2194行 REQ-8bf87e9cdc14
2. 规则：BR-b28076e3ff659a58
3. 未动态验证</x:v>
      </x:c>
    </x:row>
    <x:row r="70" ht="115" customHeight="1">
      <x:c r="A70" s="10" t="n">
        <x:v>69</x:v>
      </x:c>
      <x:c r="B70" s="10" t="str">
        <x:v>GUILD-02-0026</x:v>
      </x:c>
      <x:c r="C70" s="10" t="str">
        <x:v>主播管理</x:v>
      </x:c>
      <x:c r="D70" s="10" t="str">
        <x:v>主播业绩</x:v>
      </x:c>
      <x:c r="E70" s="10" t="str">
        <x:v>功能需求</x:v>
      </x:c>
      <x:c r="F70" s="10" t="str">
        <x:v>P1</x:v>
      </x:c>
      <x:c r="G70" s="9" t="str">
        <x:v>验证退会标记展示</x:v>
      </x:c>
      <x:c r="H70" s="9" t="str">
        <x:v>业绩退会标识</x:v>
      </x:c>
      <x:c r="I70" s="9" t="str">
        <x:v>1. 公会长账号可用，已选择待测公会
2. 当前记录属于历史退会主播</x:v>
      </x:c>
      <x:c r="J70" s="9" t="str">
        <x:v>1. 打开主播业绩</x:v>
      </x:c>
      <x:c r="K70" s="9" t="str">
        <x:v>该主播显示【退会】标记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来源（当前证据）：liveshow-proto/MainBasis/统一需求文档.md；位置：第2178行、第2181行 REQ-8009ee5e1fdb、第2185行 REQ-c2705d48361c、第2193行 REQ-d6fc92786e6e、第2194行 REQ-8bf87e9cdc14
2. 规则：BR-b10a6b15d7fc28ac
3. 未动态验证</x:v>
      </x:c>
    </x:row>
    <x:row r="71" ht="115" customHeight="1">
      <x:c r="A71" s="10" t="n">
        <x:v>70</x:v>
      </x:c>
      <x:c r="B71" s="10" t="str">
        <x:v>GUILD-02-0027</x:v>
      </x:c>
      <x:c r="C71" s="10" t="str">
        <x:v>主播管理</x:v>
      </x:c>
      <x:c r="D71" s="10" t="str">
        <x:v>主播业绩</x:v>
      </x:c>
      <x:c r="E71" s="10" t="str">
        <x:v>功能需求</x:v>
      </x:c>
      <x:c r="F71" s="10" t="str">
        <x:v>P1</x:v>
      </x:c>
      <x:c r="G71" s="9" t="str">
        <x:v>验证业绩进入主播数据</x:v>
      </x:c>
      <x:c r="H71" s="9" t="str">
        <x:v>业绩详情入口</x:v>
      </x:c>
      <x:c r="I71" s="9" t="str">
        <x:v>1. 公会长账号可用，已选择待测公会
2. 列表存在主播业绩</x:v>
      </x:c>
      <x:c r="J71" s="9" t="str">
        <x:v>1. 打开主播业绩
2. 点击主播行</x:v>
      </x:c>
      <x:c r="K71" s="9" t="str">
        <x:v>进入该主播数据页面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来源（当前证据）：liveshow-proto/MainBasis/统一需求文档.md；位置：第2178行、第2181行 REQ-8009ee5e1fdb、第2185行 REQ-c2705d48361c、第2193行 REQ-d6fc92786e6e、第2194行 REQ-8bf87e9cdc14
2. 规则：BR-0b09ad216d338de2
3. 未动态验证</x:v>
      </x:c>
    </x:row>
    <x:row r="72" ht="85" customHeight="1">
      <x:c r="A72" s="10" t="n">
        <x:v>71</x:v>
      </x:c>
      <x:c r="B72" s="10" t="str">
        <x:v>GUILD-02-0028</x:v>
      </x:c>
      <x:c r="C72" s="10" t="str">
        <x:v>主播管理</x:v>
      </x:c>
      <x:c r="D72" s="10" t="str">
        <x:v>主播业绩</x:v>
      </x:c>
      <x:c r="E72" s="10" t="str">
        <x:v>功能需求</x:v>
      </x:c>
      <x:c r="F72" s="10" t="str">
        <x:v>P1</x:v>
      </x:c>
      <x:c r="G72" s="9" t="str">
        <x:v>验证同一主播跨日开播去重</x:v>
      </x:c>
      <x:c r="H72" s="9" t="str">
        <x:v>开播人数跨日去重</x:v>
      </x:c>
      <x:c r="I72" s="9" t="str">
        <x:v>1. 公会长账号可用，已选择待测公会
2. 所选周期内主播一在两天完成3场直播，主播二完成1场；其他公会主播不在范围内</x:v>
      </x:c>
      <x:c r="J72" s="9" t="str">
        <x:v>1. 打开主播业绩</x:v>
      </x:c>
      <x:c r="K72" s="9" t="str">
        <x:v>开播人数显示2人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来源（当前证据）：liveshow-proto/MainBasis/统一需求文档.md；位置：第2178行、第2190行 REQ-b0b8fa948dee
2. 规则：BR-bb4cf21fc0ed3409
3. 未动态验证</x:v>
      </x:c>
    </x:row>
    <x:row r="73" ht="100" customHeight="1">
      <x:c r="A73" s="10" t="n">
        <x:v>72</x:v>
      </x:c>
      <x:c r="B73" s="10" t="str">
        <x:v>GUILD-02-0029</x:v>
      </x:c>
      <x:c r="C73" s="10" t="str">
        <x:v>主播管理</x:v>
      </x:c>
      <x:c r="D73" s="10" t="str">
        <x:v>主播业绩</x:v>
      </x:c>
      <x:c r="E73" s="10" t="str">
        <x:v>功能需求</x:v>
      </x:c>
      <x:c r="F73" s="10" t="str">
        <x:v>P1</x:v>
      </x:c>
      <x:c r="G73" s="9" t="str">
        <x:v>验证周期达标人数去重</x:v>
      </x:c>
      <x:c r="H73" s="9" t="str">
        <x:v>达标主播去重</x:v>
      </x:c>
      <x:c r="I73" s="9" t="str">
        <x:v>1. 公会长账号可用，已选择待测公会
2. 所选周期内同一主播有2个有效天，另一主播从未达到当日3小时</x:v>
      </x:c>
      <x:c r="J73" s="9" t="str">
        <x:v>1. 打开主播业绩</x:v>
      </x:c>
      <x:c r="K73" s="9" t="str">
        <x:v>达标人数显示1人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来源（当前证据）：liveshow-proto/MainBasis/统一需求文档.md；位置：第2178行、第2191行 REQ-18e7374634ae、第2192行 REQ-0516063a534b
2. 规则：BR-b1153d20bd1b8ec0
3. 未动态验证</x:v>
      </x:c>
    </x:row>
    <x:row r="74" ht="100" customHeight="1">
      <x:c r="A74" s="10" t="n">
        <x:v>73</x:v>
      </x:c>
      <x:c r="B74" s="10" t="str">
        <x:v>GUILD-02-0030</x:v>
      </x:c>
      <x:c r="C74" s="10" t="str">
        <x:v>主播管理</x:v>
      </x:c>
      <x:c r="D74" s="10" t="str">
        <x:v>主播业绩</x:v>
      </x:c>
      <x:c r="E74" s="10" t="str">
        <x:v>功能需求</x:v>
      </x:c>
      <x:c r="F74" s="10" t="str">
        <x:v>P1</x:v>
      </x:c>
      <x:c r="G74" s="9" t="str">
        <x:v>验证主播业绩主播标识核对</x:v>
      </x:c>
      <x:c r="H74" s="9" t="str">
        <x:v>头像名称与ID归属</x:v>
      </x:c>
      <x:c r="I74" s="9" t="str">
        <x:v>1. 公会长账号可用，已选择待测公会
2. 本会两名主播使用相似昵称，已知各自真实ID及头像</x:v>
      </x:c>
      <x:c r="J74" s="9" t="str">
        <x:v>1. 打开主播业绩</x:v>
      </x:c>
      <x:c r="K74" s="9" t="str">
        <x:v>头像、名称和ID对应同一主播账号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来源（当前证据）：liveshow-proto/MainBasis/统一需求文档.md；位置：第2178行、第2182行 REQ-854e9365081d、第2183行 REQ-dd888a11578e
2. 规则：BR-30c836742d539496
3. 未动态验证</x:v>
      </x:c>
    </x:row>
    <x:row r="75" ht="100" customHeight="1">
      <x:c r="A75" s="10" t="n">
        <x:v>74</x:v>
      </x:c>
      <x:c r="B75" s="10" t="str">
        <x:v>GUILD-02-0031</x:v>
      </x:c>
      <x:c r="C75" s="10" t="str">
        <x:v>主播管理</x:v>
      </x:c>
      <x:c r="D75" s="10" t="str">
        <x:v>主播业绩</x:v>
      </x:c>
      <x:c r="E75" s="10" t="str">
        <x:v>功能需求</x:v>
      </x:c>
      <x:c r="F75" s="10" t="str">
        <x:v>P1</x:v>
      </x:c>
      <x:c r="G75" s="9" t="str">
        <x:v>验证主播等级排除虚拟赠礼</x:v>
      </x:c>
      <x:c r="H75" s="9" t="str">
        <x:v>主播等级收益归属</x:v>
      </x:c>
      <x:c r="I75" s="9" t="str">
        <x:v>1. 公会长账号可用，已选择待测公会
2. 主播分成前真实收益达到已配置2级门槛，尚未达到3级；虚拟赠礼与财富贡献足以达到更高档</x:v>
      </x:c>
      <x:c r="J75" s="9" t="str">
        <x:v>1. 打开主播业绩</x:v>
      </x:c>
      <x:c r="K75" s="9" t="str">
        <x:v>主播等级显示2级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来源（当前证据）：liveshow-proto/MainBasis/统一需求文档.md；位置：第2178行、第2184行 REQ-4916bb8dbe1d
2. 规则：BR-ba3f557d74019366
3. 未动态验证</x:v>
      </x:c>
    </x:row>
    <x:row r="76" ht="115" customHeight="1">
      <x:c r="A76" s="10" t="n">
        <x:v>75</x:v>
      </x:c>
      <x:c r="B76" s="10" t="str">
        <x:v>GUILD-02-0032</x:v>
      </x:c>
      <x:c r="C76" s="10" t="str">
        <x:v>主播管理</x:v>
      </x:c>
      <x:c r="D76" s="10" t="str">
        <x:v>主播业绩</x:v>
      </x:c>
      <x:c r="E76" s="10" t="str">
        <x:v>逻辑校验</x:v>
      </x:c>
      <x:c r="F76" s="10" t="str">
        <x:v>P1</x:v>
      </x:c>
      <x:c r="G76" s="9" t="str">
        <x:v>验证主播收益统计成功真实礼物</x:v>
      </x:c>
      <x:c r="H76" s="9" t="str">
        <x:v>收益范围汇总</x:v>
      </x:c>
      <x:c r="I76" s="9" t="str">
        <x:v>1. 公会长账号可用，已选择待测公会
2. 所选周期内本会主播普通礼物100金币、定制200金币、幸运1000金币且赠送时比例1%；虚拟500金币、失败50金币、范围外300金币</x:v>
      </x:c>
      <x:c r="J76" s="9" t="str">
        <x:v>1. 打开主播业绩</x:v>
      </x:c>
      <x:c r="K76" s="9" t="str">
        <x:v>主播收益计算结果=100+200+10=310金币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来源（当前证据）：liveshow-proto/MainBasis/统一需求文档.md；位置：第2178行、第2186行 REQ-8f3a10c61900、第2189行 REQ-045697d76e54、第2188行 REQ-5e4ba2d8de06
2. 规则：BR-a1864759d68ae9b4
3. 未动态验证</x:v>
      </x:c>
    </x:row>
    <x:row r="77" ht="145" customHeight="1">
      <x:c r="A77" s="10" t="n">
        <x:v>76</x:v>
      </x:c>
      <x:c r="B77" s="10" t="str">
        <x:v>GUILD-02-0033</x:v>
      </x:c>
      <x:c r="C77" s="10" t="str">
        <x:v>主播管理</x:v>
      </x:c>
      <x:c r="D77" s="10" t="str">
        <x:v>主播数据</x:v>
      </x:c>
      <x:c r="E77" s="10" t="str">
        <x:v>功能需求</x:v>
      </x:c>
      <x:c r="F77" s="10" t="str">
        <x:v>P1</x:v>
      </x:c>
      <x:c r="G77" s="9" t="str">
        <x:v>验证正在直播标记</x:v>
      </x:c>
      <x:c r="H77" s="9" t="str">
        <x:v>主播在播标识</x:v>
      </x:c>
      <x:c r="I77" s="9" t="str">
        <x:v>1. 公会长账号可用，已选择待测公会
2. 该主播正在直播</x:v>
      </x:c>
      <x:c r="J77" s="9" t="str">
        <x:v>1. 打开主播数据</x:v>
      </x:c>
      <x:c r="K77" s="9" t="str">
        <x:v>显示直播中标记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规则：BR-a2bac532518c3176
3. 未动态验证</x:v>
      </x:c>
    </x:row>
    <x:row r="78" ht="145" customHeight="1">
      <x:c r="A78" s="10" t="n">
        <x:v>77</x:v>
      </x:c>
      <x:c r="B78" s="10" t="str">
        <x:v>GUILD-02-0034</x:v>
      </x:c>
      <x:c r="C78" s="10" t="str">
        <x:v>主播管理</x:v>
      </x:c>
      <x:c r="D78" s="10" t="str">
        <x:v>主播数据</x:v>
      </x:c>
      <x:c r="E78" s="10" t="str">
        <x:v>功能需求</x:v>
      </x:c>
      <x:c r="F78" s="10" t="str">
        <x:v>P1</x:v>
      </x:c>
      <x:c r="G78" s="9" t="str">
        <x:v>验证主播未开播标记</x:v>
      </x:c>
      <x:c r="H78" s="9" t="str">
        <x:v>非直播标识隐藏</x:v>
      </x:c>
      <x:c r="I78" s="9" t="str">
        <x:v>1. 公会长账号可用，已选择待测公会
2. 该主播未开播</x:v>
      </x:c>
      <x:c r="J78" s="9" t="str">
        <x:v>1. 打开主播数据</x:v>
      </x:c>
      <x:c r="K78" s="9" t="str">
        <x:v>不显示直播中标记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规则：BR-294b87fb375e3404
3. 未动态验证</x:v>
      </x:c>
    </x:row>
    <x:row r="79" ht="145" customHeight="1">
      <x:c r="A79" s="10" t="n">
        <x:v>78</x:v>
      </x:c>
      <x:c r="B79" s="10" t="str">
        <x:v>GUILD-02-0035</x:v>
      </x:c>
      <x:c r="C79" s="10" t="str">
        <x:v>主播管理</x:v>
      </x:c>
      <x:c r="D79" s="10" t="str">
        <x:v>主播数据</x:v>
      </x:c>
      <x:c r="E79" s="10" t="str">
        <x:v>功能需求</x:v>
      </x:c>
      <x:c r="F79" s="10" t="str">
        <x:v>P1</x:v>
      </x:c>
      <x:c r="G79" s="9" t="str">
        <x:v>验证主播日数据范围</x:v>
      </x:c>
      <x:c r="H79" s="9" t="str">
        <x:v>日数据默认周期</x:v>
      </x:c>
      <x:c r="I79" s="9" t="str">
        <x:v>1. 公会长账号可用，已选择待测公会
2. 有本月和上月直播数据</x:v>
      </x:c>
      <x:c r="J79" s="9" t="str">
        <x:v>1. 打开主播数据
2. 切换日数据</x:v>
      </x:c>
      <x:c r="K79" s="9" t="str">
        <x:v>日期范围默认本月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规则：BR-fb2688986abb7f7a
3. 未动态验证</x:v>
      </x:c>
    </x:row>
    <x:row r="80" ht="145" customHeight="1">
      <x:c r="A80" s="10" t="n">
        <x:v>79</x:v>
      </x:c>
      <x:c r="B80" s="10" t="str">
        <x:v>GUILD-02-0036</x:v>
      </x:c>
      <x:c r="C80" s="10" t="str">
        <x:v>主播管理</x:v>
      </x:c>
      <x:c r="D80" s="10" t="str">
        <x:v>主播数据</x:v>
      </x:c>
      <x:c r="E80" s="10" t="str">
        <x:v>功能需求</x:v>
      </x:c>
      <x:c r="F80" s="10" t="str">
        <x:v>P1</x:v>
      </x:c>
      <x:c r="G80" s="9" t="str">
        <x:v>验证主播月数据视图</x:v>
      </x:c>
      <x:c r="H80" s="9" t="str">
        <x:v>月数据粒度</x:v>
      </x:c>
      <x:c r="I80" s="9" t="str">
        <x:v>1. 公会长账号可用，已选择待测公会
2. 该主播有两个自然月的直播数据</x:v>
      </x:c>
      <x:c r="J80" s="9" t="str">
        <x:v>1. 打开主播数据
2. 切换月数据</x:v>
      </x:c>
      <x:c r="K80" s="9" t="str">
        <x:v>列表按自然月展示数据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规则：BR-41ef635b525cd5bd
3. 未动态验证</x:v>
      </x:c>
    </x:row>
    <x:row r="81" ht="145" customHeight="1">
      <x:c r="A81" s="10" t="n">
        <x:v>80</x:v>
      </x:c>
      <x:c r="B81" s="10" t="str">
        <x:v>GUILD-02-0037</x:v>
      </x:c>
      <x:c r="C81" s="10" t="str">
        <x:v>主播管理</x:v>
      </x:c>
      <x:c r="D81" s="10" t="str">
        <x:v>主播数据</x:v>
      </x:c>
      <x:c r="E81" s="10" t="str">
        <x:v>功能需求</x:v>
      </x:c>
      <x:c r="F81" s="10" t="str">
        <x:v>P1</x:v>
      </x:c>
      <x:c r="G81" s="9" t="str">
        <x:v>验证月数据不补写筛选入口</x:v>
      </x:c>
      <x:c r="H81" s="9" t="str">
        <x:v>月份筛选入口边界</x:v>
      </x:c>
      <x:c r="I81" s="9" t="str">
        <x:v>1. 公会长账号可用，已选择待测公会
2. 已切换月数据</x:v>
      </x:c>
      <x:c r="J81" s="9" t="str">
        <x:v>1. 打开主播数据</x:v>
      </x:c>
      <x:c r="K81" s="9" t="str">
        <x:v>月数据页没有月份筛选控件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规则：BR-68995da25b42bbc7
3. 未动态验证</x:v>
      </x:c>
    </x:row>
    <x:row r="82" ht="145" customHeight="1">
      <x:c r="A82" s="10" t="n">
        <x:v>81</x:v>
      </x:c>
      <x:c r="B82" s="10" t="str">
        <x:v>GUILD-02-0038</x:v>
      </x:c>
      <x:c r="C82" s="10" t="str">
        <x:v>主播管理</x:v>
      </x:c>
      <x:c r="D82" s="10" t="str">
        <x:v>主播数据</x:v>
      </x:c>
      <x:c r="E82" s="10" t="str">
        <x:v>功能需求</x:v>
      </x:c>
      <x:c r="F82" s="10" t="str">
        <x:v>P1</x:v>
      </x:c>
      <x:c r="G82" s="9" t="str">
        <x:v>验证日行跳转直播记录</x:v>
      </x:c>
      <x:c r="H82" s="9" t="str">
        <x:v>单日范围透传</x:v>
      </x:c>
      <x:c r="I82" s="9" t="str">
        <x:v>1. 公会长账号可用，已选择待测公会
2. 主播有指定日期的数据</x:v>
      </x:c>
      <x:c r="J82" s="9" t="str">
        <x:v>1. 打开主播数据
2. 点击该日数据行</x:v>
      </x:c>
      <x:c r="K82" s="9" t="str">
        <x:v>直播记录带入当前主播及所选日期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规则：BR-536052e2151d5899
3. 未动态验证</x:v>
      </x:c>
    </x:row>
    <x:row r="83" ht="145" customHeight="1">
      <x:c r="A83" s="10" t="n">
        <x:v>82</x:v>
      </x:c>
      <x:c r="B83" s="10" t="str">
        <x:v>GUILD-02-0039</x:v>
      </x:c>
      <x:c r="C83" s="10" t="str">
        <x:v>主播管理</x:v>
      </x:c>
      <x:c r="D83" s="10" t="str">
        <x:v>主播数据</x:v>
      </x:c>
      <x:c r="E83" s="10" t="str">
        <x:v>功能需求</x:v>
      </x:c>
      <x:c r="F83" s="10" t="str">
        <x:v>P1</x:v>
      </x:c>
      <x:c r="G83" s="9" t="str">
        <x:v>验证月行跳转直播记录</x:v>
      </x:c>
      <x:c r="H83" s="9" t="str">
        <x:v>月份范围透传</x:v>
      </x:c>
      <x:c r="I83" s="9" t="str">
        <x:v>1. 公会长账号可用，已选择待测公会
2. 主播有指定月份的数据</x:v>
      </x:c>
      <x:c r="J83" s="9" t="str">
        <x:v>1. 打开主播数据
2. 切换月数据
3. 点击该月数据行</x:v>
      </x:c>
      <x:c r="K83" s="9" t="str">
        <x:v>直播记录带入当前主播及所选月份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规则：BR-94cb10e19c8a9a00
3. 未动态验证</x:v>
      </x:c>
    </x:row>
    <x:row r="84" ht="145" customHeight="1">
      <x:c r="A84" s="10" t="n">
        <x:v>83</x:v>
      </x:c>
      <x:c r="B84" s="10" t="str">
        <x:v>GUILD-02-0040</x:v>
      </x:c>
      <x:c r="C84" s="10" t="str">
        <x:v>主播管理</x:v>
      </x:c>
      <x:c r="D84" s="10" t="str">
        <x:v>主播数据</x:v>
      </x:c>
      <x:c r="E84" s="10" t="str">
        <x:v>功能需求</x:v>
      </x:c>
      <x:c r="F84" s="10" t="str">
        <x:v>P1</x:v>
      </x:c>
      <x:c r="G84" s="9" t="str">
        <x:v>验证主播数据查看主页</x:v>
      </x:c>
      <x:c r="H84" s="9" t="str">
        <x:v>主播主页入口</x:v>
      </x:c>
      <x:c r="I84" s="9" t="str">
        <x:v>1. 公会长账号可用，已选择待测公会
2. 当前主播存在账号资料</x:v>
      </x:c>
      <x:c r="J84" s="9" t="str">
        <x:v>1. 打开主播数据
2. 点击主页入口</x:v>
      </x:c>
      <x:c r="K84" s="9" t="str">
        <x:v>进入该主播主页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规则：BR-54b51a1410b85590
3. 未动态验证</x:v>
      </x:c>
    </x:row>
    <x:row r="85" ht="100" customHeight="1">
      <x:c r="A85" s="10" t="n">
        <x:v>84</x:v>
      </x:c>
      <x:c r="B85" s="10" t="str">
        <x:v>GUILD-02-0041</x:v>
      </x:c>
      <x:c r="C85" s="10" t="str">
        <x:v>主播管理</x:v>
      </x:c>
      <x:c r="D85" s="10" t="str">
        <x:v>主播数据</x:v>
      </x:c>
      <x:c r="E85" s="10" t="str">
        <x:v>功能需求</x:v>
      </x:c>
      <x:c r="F85" s="10" t="str">
        <x:v>P1</x:v>
      </x:c>
      <x:c r="G85" s="9" t="str">
        <x:v>验证新增粉丝不扣取关</x:v>
      </x:c>
      <x:c r="H85" s="9" t="str">
        <x:v>新增粉丝口径</x:v>
      </x:c>
      <x:c r="I85" s="9" t="str">
        <x:v>1. 公会长账号可用，已选择待测公会
2. 所选日有3名新增关注者，其中1人在当日取消关注</x:v>
      </x:c>
      <x:c r="J85" s="9" t="str">
        <x:v>1. 打开主播数据</x:v>
      </x:c>
      <x:c r="K85" s="9" t="str">
        <x:v>新增粉丝显示3人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来源（当前证据）：liveshow-proto/MainBasis/统一需求文档.md；位置：第2198行、第2208行 REQ-3ea539e255fe、第2212行 REQ-470abdcad474
2. 规则：BR-25ec77c911314e8e
3. 未动态验证</x:v>
      </x:c>
    </x:row>
    <x:row r="86" ht="100" customHeight="1">
      <x:c r="A86" s="10" t="n">
        <x:v>85</x:v>
      </x:c>
      <x:c r="B86" s="10" t="str">
        <x:v>GUILD-02-0042</x:v>
      </x:c>
      <x:c r="C86" s="10" t="str">
        <x:v>主播管理</x:v>
      </x:c>
      <x:c r="D86" s="10" t="str">
        <x:v>主播数据</x:v>
      </x:c>
      <x:c r="E86" s="10" t="str">
        <x:v>功能需求</x:v>
      </x:c>
      <x:c r="F86" s="10" t="str">
        <x:v>P1</x:v>
      </x:c>
      <x:c r="G86" s="9" t="str">
        <x:v>验证日有效时长179分钟</x:v>
      </x:c>
      <x:c r="H86" s="9" t="str">
        <x:v>日有效天标记</x:v>
      </x:c>
      <x:c r="I86" s="9" t="str">
        <x:v>1. 公会长账号可用，已选择待测公会
2. 该日无跨日或中断，累计有效直播179分钟</x:v>
      </x:c>
      <x:c r="J86" s="9" t="str">
        <x:v>1. 打开主播数据</x:v>
      </x:c>
      <x:c r="K86" s="9" t="str">
        <x:v>日数据时长旁显示“!”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来源（当前证据）：liveshow-proto/MainBasis/统一需求文档.md；位置：第2198行、第2206行 REQ-b510ba153f21、第2207行 REQ-5efb27f48e7f
2. 规则：BR-2a60aa3a27bb9e1c
3. 未动态验证</x:v>
      </x:c>
    </x:row>
    <x:row r="87" ht="100" customHeight="1">
      <x:c r="A87" s="10" t="n">
        <x:v>86</x:v>
      </x:c>
      <x:c r="B87" s="10" t="str">
        <x:v>GUILD-02-0043</x:v>
      </x:c>
      <x:c r="C87" s="10" t="str">
        <x:v>主播管理</x:v>
      </x:c>
      <x:c r="D87" s="10" t="str">
        <x:v>主播数据</x:v>
      </x:c>
      <x:c r="E87" s="10" t="str">
        <x:v>功能需求</x:v>
      </x:c>
      <x:c r="F87" s="10" t="str">
        <x:v>P1</x:v>
      </x:c>
      <x:c r="G87" s="9" t="str">
        <x:v>验证日有效时长180分钟</x:v>
      </x:c>
      <x:c r="H87" s="9" t="str">
        <x:v>日有效天标记</x:v>
      </x:c>
      <x:c r="I87" s="9" t="str">
        <x:v>1. 公会长账号可用，已选择待测公会
2. 该日无跨日或中断，累计有效直播180分钟</x:v>
      </x:c>
      <x:c r="J87" s="9" t="str">
        <x:v>1. 打开主播数据</x:v>
      </x:c>
      <x:c r="K87" s="9" t="str">
        <x:v>日数据时长旁显示“✓”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来源（当前证据）：liveshow-proto/MainBasis/统一需求文档.md；位置：第2198行、第2206行 REQ-b510ba153f21、第2207行 REQ-5efb27f48e7f
2. 规则：BR-d2789924d10c549a
3. 未动态验证</x:v>
      </x:c>
    </x:row>
    <x:row r="88" ht="100" customHeight="1">
      <x:c r="A88" s="10" t="n">
        <x:v>87</x:v>
      </x:c>
      <x:c r="B88" s="10" t="str">
        <x:v>GUILD-02-0044</x:v>
      </x:c>
      <x:c r="C88" s="10" t="str">
        <x:v>主播管理</x:v>
      </x:c>
      <x:c r="D88" s="10" t="str">
        <x:v>主播数据</x:v>
      </x:c>
      <x:c r="E88" s="10" t="str">
        <x:v>功能需求</x:v>
      </x:c>
      <x:c r="F88" s="10" t="str">
        <x:v>P1</x:v>
      </x:c>
      <x:c r="G88" s="9" t="str">
        <x:v>验证日有效时长181分钟</x:v>
      </x:c>
      <x:c r="H88" s="9" t="str">
        <x:v>日有效天标记</x:v>
      </x:c>
      <x:c r="I88" s="9" t="str">
        <x:v>1. 公会长账号可用，已选择待测公会
2. 该日无跨日或中断，累计有效直播181分钟</x:v>
      </x:c>
      <x:c r="J88" s="9" t="str">
        <x:v>1. 打开主播数据</x:v>
      </x:c>
      <x:c r="K88" s="9" t="str">
        <x:v>日数据时长旁显示“✓”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来源（当前证据）：liveshow-proto/MainBasis/统一需求文档.md；位置：第2198行、第2206行 REQ-b510ba153f21、第2207行 REQ-5efb27f48e7f
2. 规则：BR-3b566730b7983558
3. 未动态验证</x:v>
      </x:c>
    </x:row>
    <x:row r="89" ht="100" customHeight="1">
      <x:c r="A89" s="10" t="n">
        <x:v>88</x:v>
      </x:c>
      <x:c r="B89" s="10" t="str">
        <x:v>GUILD-02-0045</x:v>
      </x:c>
      <x:c r="C89" s="10" t="str">
        <x:v>主播管理</x:v>
      </x:c>
      <x:c r="D89" s="10" t="str">
        <x:v>主播数据</x:v>
      </x:c>
      <x:c r="E89" s="10" t="str">
        <x:v>功能需求</x:v>
      </x:c>
      <x:c r="F89" s="10" t="str">
        <x:v>P1</x:v>
      </x:c>
      <x:c r="G89" s="9" t="str">
        <x:v>验证主播数据主播标识核对</x:v>
      </x:c>
      <x:c r="H89" s="9" t="str">
        <x:v>头像名称与ID归属</x:v>
      </x:c>
      <x:c r="I89" s="9" t="str">
        <x:v>1. 公会长账号可用，已选择待测公会
2. 本会两名主播使用相似昵称，已知各自真实ID及头像</x:v>
      </x:c>
      <x:c r="J89" s="9" t="str">
        <x:v>1. 打开主播数据</x:v>
      </x:c>
      <x:c r="K89" s="9" t="str">
        <x:v>头像、名称和ID对应同一主播账号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来源（当前证据）：liveshow-proto/MainBasis/统一需求文档.md；位置：第2198行、第2199行 REQ-b2509dc0e635、第2200行 REQ-f1350c8e7f5a
2. 规则：BR-200dcdcda5118718
3. 未动态验证</x:v>
      </x:c>
    </x:row>
    <x:row r="90" ht="100" customHeight="1">
      <x:c r="A90" s="10" t="n">
        <x:v>89</x:v>
      </x:c>
      <x:c r="B90" s="10" t="str">
        <x:v>GUILD-02-0046</x:v>
      </x:c>
      <x:c r="C90" s="10" t="str">
        <x:v>主播管理</x:v>
      </x:c>
      <x:c r="D90" s="10" t="str">
        <x:v>主播数据</x:v>
      </x:c>
      <x:c r="E90" s="10" t="str">
        <x:v>功能需求</x:v>
      </x:c>
      <x:c r="F90" s="10" t="str">
        <x:v>P1</x:v>
      </x:c>
      <x:c r="G90" s="9" t="str">
        <x:v>验证主播等级排除虚拟赠礼</x:v>
      </x:c>
      <x:c r="H90" s="9" t="str">
        <x:v>主播等级收益归属</x:v>
      </x:c>
      <x:c r="I90" s="9" t="str">
        <x:v>1. 公会长账号可用，已选择待测公会
2. 主播分成前真实收益达到已配置2级门槛，尚未达到3级；虚拟赠礼与财富贡献足以达到更高档</x:v>
      </x:c>
      <x:c r="J90" s="9" t="str">
        <x:v>1. 打开主播数据</x:v>
      </x:c>
      <x:c r="K90" s="9" t="str">
        <x:v>主播等级显示2级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来源（当前证据）：liveshow-proto/MainBasis/统一需求文档.md；位置：第2198行、第2201行 REQ-8ed1344bc371
2. 规则：BR-09815383bf072f30
3. 未动态验证</x:v>
      </x:c>
    </x:row>
    <x:row r="91" ht="115" customHeight="1">
      <x:c r="A91" s="10" t="n">
        <x:v>90</x:v>
      </x:c>
      <x:c r="B91" s="10" t="str">
        <x:v>GUILD-02-0047</x:v>
      </x:c>
      <x:c r="C91" s="10" t="str">
        <x:v>主播管理</x:v>
      </x:c>
      <x:c r="D91" s="10" t="str">
        <x:v>主播数据</x:v>
      </x:c>
      <x:c r="E91" s="10" t="str">
        <x:v>逻辑校验</x:v>
      </x:c>
      <x:c r="F91" s="10" t="str">
        <x:v>P1</x:v>
      </x:c>
      <x:c r="G91" s="9" t="str">
        <x:v>验证收益统计成功真实礼物</x:v>
      </x:c>
      <x:c r="H91" s="9" t="str">
        <x:v>收益范围汇总</x:v>
      </x:c>
      <x:c r="I91" s="9" t="str">
        <x:v>1. 公会长账号可用，已选择待测公会
2. 所选主播及日或月普通礼物100金币、定制200金币、幸运1000金币且赠送时比例1%；虚拟500金币、失败50金币、范围外300金币</x:v>
      </x:c>
      <x:c r="J91" s="9" t="str">
        <x:v>1. 打开主播数据</x:v>
      </x:c>
      <x:c r="K91" s="9" t="str">
        <x:v>收益计算结果=100+200+10=310金币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来源（当前证据）：liveshow-proto/MainBasis/统一需求文档.md；位置：第2198行、第2209行 REQ-77a6dcfb012c
2. 规则：BR-8b5b0ae685679cf0
3. 未动态验证</x:v>
      </x:c>
    </x:row>
    <x:row r="92" ht="115" customHeight="1">
      <x:c r="A92" s="10" t="n">
        <x:v>91</x:v>
      </x:c>
      <x:c r="B92" s="10" t="str">
        <x:v>GUILD-02-0048</x:v>
      </x:c>
      <x:c r="C92" s="10" t="str">
        <x:v>主播管理</x:v>
      </x:c>
      <x:c r="D92" s="10" t="str">
        <x:v>入会申请详情</x:v>
      </x:c>
      <x:c r="E92" s="10" t="str">
        <x:v>功能需求</x:v>
      </x:c>
      <x:c r="F92" s="10" t="str">
        <x:v>P1</x:v>
      </x:c>
      <x:c r="G92" s="9" t="str">
        <x:v>验证入会申请详情读取申请资料快照</x:v>
      </x:c>
      <x:c r="H92" s="9" t="str">
        <x:v>申请资料快照字段来源</x:v>
      </x:c>
      <x:c r="I92" s="9" t="str">
        <x:v>1. 公会长账号可用，已选择待测公会
2. 一笔入会申请的认证姓名不同于账号昵称，已记录提交资料</x:v>
      </x:c>
      <x:c r="J92" s="9" t="str">
        <x:v>1. 打开入会申请详情</x:v>
      </x:c>
      <x:c r="K92" s="9" t="str">
        <x:v>详情显示该笔申请提交的姓名和电话，不以昵称代替姓名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来源（当前证据）：liveshow-proto/MainBasis/统一需求文档.md；位置：第2125行、第2126行 REQ-c6402e3288ac、第2127行 REQ-47dad45c332e、第2128行 REQ-8fbd435e36e5、第2129行 REQ-ba73c62f2098
2. 规则：BR-97e061d762e744b3
3. 未动态验证</x:v>
      </x:c>
    </x:row>
    <x:row r="93" ht="115" customHeight="1">
      <x:c r="A93" s="10" t="n">
        <x:v>92</x:v>
      </x:c>
      <x:c r="B93" s="10" t="str">
        <x:v>GUILD-02-0049</x:v>
      </x:c>
      <x:c r="C93" s="10" t="str">
        <x:v>主播管理</x:v>
      </x:c>
      <x:c r="D93" s="10" t="str">
        <x:v>入会申请详情</x:v>
      </x:c>
      <x:c r="E93" s="10" t="str">
        <x:v>功能需求</x:v>
      </x:c>
      <x:c r="F93" s="10" t="str">
        <x:v>P1</x:v>
      </x:c>
      <x:c r="G93" s="9" t="str">
        <x:v>验证查看本人照片</x:v>
      </x:c>
      <x:c r="H93" s="9" t="str">
        <x:v>本人照片大图</x:v>
      </x:c>
      <x:c r="I93" s="9" t="str">
        <x:v>1. 公会长账号可用，已选择待测公会
2. 申请已提交本人照片</x:v>
      </x:c>
      <x:c r="J93" s="9" t="str">
        <x:v>1. 打开入会申请详情
2. 点击本人照片</x:v>
      </x:c>
      <x:c r="K93" s="9" t="str">
        <x:v>展示该笔申请的本人照片大图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来源（当前证据）：liveshow-proto/MainBasis/统一需求文档.md；位置：第2125行、第2130行 REQ-ead1380c96ec、第2131行 REQ-f6891ba15597、第2140行 REQ-20fd4dfde21d
2. 规则：BR-42f77f4bf5dda0b5
3. 未动态验证</x:v>
      </x:c>
    </x:row>
    <x:row r="94" ht="115" customHeight="1">
      <x:c r="A94" s="10" t="n">
        <x:v>93</x:v>
      </x:c>
      <x:c r="B94" s="10" t="str">
        <x:v>GUILD-02-0050</x:v>
      </x:c>
      <x:c r="C94" s="10" t="str">
        <x:v>主播管理</x:v>
      </x:c>
      <x:c r="D94" s="10" t="str">
        <x:v>入会申请详情</x:v>
      </x:c>
      <x:c r="E94" s="10" t="str">
        <x:v>功能需求</x:v>
      </x:c>
      <x:c r="F94" s="10" t="str">
        <x:v>P1</x:v>
      </x:c>
      <x:c r="G94" s="9" t="str">
        <x:v>验证查看证件正面</x:v>
      </x:c>
      <x:c r="H94" s="9" t="str">
        <x:v>证件正面大图</x:v>
      </x:c>
      <x:c r="I94" s="9" t="str">
        <x:v>1. 公会长账号可用，已选择待测公会
2. 申请已提交证件正反面照片</x:v>
      </x:c>
      <x:c r="J94" s="9" t="str">
        <x:v>1. 打开入会申请详情
2. 点击证件正面</x:v>
      </x:c>
      <x:c r="K94" s="9" t="str">
        <x:v>展示该笔申请的证件正面照片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来源（当前证据）：liveshow-proto/MainBasis/统一需求文档.md；位置：第2125行、第2130行 REQ-ead1380c96ec、第2131行 REQ-f6891ba15597、第2140行 REQ-20fd4dfde21d
2. 规则：BR-2033b893501a1f38
3. 未动态验证</x:v>
      </x:c>
    </x:row>
    <x:row r="95" ht="115" customHeight="1">
      <x:c r="A95" s="10" t="n">
        <x:v>94</x:v>
      </x:c>
      <x:c r="B95" s="10" t="str">
        <x:v>GUILD-02-0051</x:v>
      </x:c>
      <x:c r="C95" s="10" t="str">
        <x:v>主播管理</x:v>
      </x:c>
      <x:c r="D95" s="10" t="str">
        <x:v>入会申请详情</x:v>
      </x:c>
      <x:c r="E95" s="10" t="str">
        <x:v>功能需求</x:v>
      </x:c>
      <x:c r="F95" s="10" t="str">
        <x:v>P1</x:v>
      </x:c>
      <x:c r="G95" s="9" t="str">
        <x:v>验证查看证件反面</x:v>
      </x:c>
      <x:c r="H95" s="9" t="str">
        <x:v>证件反面大图</x:v>
      </x:c>
      <x:c r="I95" s="9" t="str">
        <x:v>1. 公会长账号可用，已选择待测公会
2. 申请已提交证件正反面照片</x:v>
      </x:c>
      <x:c r="J95" s="9" t="str">
        <x:v>1. 打开入会申请详情
2. 点击证件反面</x:v>
      </x:c>
      <x:c r="K95" s="9" t="str">
        <x:v>展示该笔申请的证件反面照片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来源（当前证据）：liveshow-proto/MainBasis/统一需求文档.md；位置：第2125行、第2130行 REQ-ead1380c96ec、第2131行 REQ-f6891ba15597、第2140行 REQ-20fd4dfde21d
2. 规则：BR-37f8ca49443159f6
3. 未动态验证</x:v>
      </x:c>
    </x:row>
    <x:row r="96" ht="145" customHeight="1">
      <x:c r="A96" s="10" t="n">
        <x:v>95</x:v>
      </x:c>
      <x:c r="B96" s="10" t="str">
        <x:v>GUILD-02-0052</x:v>
      </x:c>
      <x:c r="C96" s="10" t="str">
        <x:v>主播管理</x:v>
      </x:c>
      <x:c r="D96" s="10" t="str">
        <x:v>入会申请详情</x:v>
      </x:c>
      <x:c r="E96" s="10" t="str">
        <x:v>功能需求</x:v>
      </x:c>
      <x:c r="F96" s="10" t="str">
        <x:v>P1</x:v>
      </x:c>
      <x:c r="G96" s="9" t="str">
        <x:v>验证公会初审通过</x:v>
      </x:c>
      <x:c r="H96" s="9" t="str">
        <x:v>平台待审状态</x:v>
      </x:c>
      <x:c r="I96" s="9" t="str">
        <x:v>1. 公会长账号可用，已选择待测公会
2. 本公会入会申请待初审</x:v>
      </x:c>
      <x:c r="J96" s="9" t="str">
        <x:v>1. 打开入会申请详情
2. 点击通过
3. 确认二次确认弹窗</x:v>
      </x:c>
      <x:c r="K96" s="9" t="str">
        <x:v>该申请进入平台审核中</x:v>
      </x:c>
      <x:c r="L96" s="10" t="str">
        <x:v>FLOW-JOIN</x:v>
      </x:c>
      <x:c r="M96" s="10" t="str">
        <x:v>未测</x:v>
      </x:c>
      <x:c r="N96" s="10" t="str"/>
      <x:c r="O96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规则：BR-8c9bc1b492bfd621
3. 未动态验证</x:v>
      </x:c>
    </x:row>
    <x:row r="97" ht="145" customHeight="1">
      <x:c r="A97" s="10" t="n">
        <x:v>96</x:v>
      </x:c>
      <x:c r="B97" s="10" t="str">
        <x:v>GUILD-02-0053</x:v>
      </x:c>
      <x:c r="C97" s="10" t="str">
        <x:v>主播管理</x:v>
      </x:c>
      <x:c r="D97" s="10" t="str">
        <x:v>入会申请详情</x:v>
      </x:c>
      <x:c r="E97" s="10" t="str">
        <x:v>功能需求</x:v>
      </x:c>
      <x:c r="F97" s="10" t="str">
        <x:v>P1</x:v>
      </x:c>
      <x:c r="G97" s="9" t="str">
        <x:v>验证取消初审通过</x:v>
      </x:c>
      <x:c r="H97" s="9" t="str">
        <x:v>初审取消保留状态</x:v>
      </x:c>
      <x:c r="I97" s="9" t="str">
        <x:v>1. 公会长账号可用，已选择待测公会
2. 本公会入会申请待初审</x:v>
      </x:c>
      <x:c r="J97" s="9" t="str">
        <x:v>1. 打开入会申请详情
2. 点击通过
3. 取消二次确认弹窗</x:v>
      </x:c>
      <x:c r="K97" s="9" t="str">
        <x:v>申请仍为待公会审核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规则：BR-393af7831e2fd3fd
3. 未动态验证</x:v>
      </x:c>
    </x:row>
    <x:row r="98" ht="145" customHeight="1">
      <x:c r="A98" s="10" t="n">
        <x:v>97</x:v>
      </x:c>
      <x:c r="B98" s="10" t="str">
        <x:v>GUILD-02-0054</x:v>
      </x:c>
      <x:c r="C98" s="10" t="str">
        <x:v>主播管理</x:v>
      </x:c>
      <x:c r="D98" s="10" t="str">
        <x:v>入会申请详情</x:v>
      </x:c>
      <x:c r="E98" s="10" t="str">
        <x:v>功能需求</x:v>
      </x:c>
      <x:c r="F98" s="10" t="str">
        <x:v>P1</x:v>
      </x:c>
      <x:c r="G98" s="9" t="str">
        <x:v>验证初审驳回</x:v>
      </x:c>
      <x:c r="H98" s="9" t="str">
        <x:v>公会驳回终态</x:v>
      </x:c>
      <x:c r="I98" s="9" t="str">
        <x:v>1. 公会长账号可用，已选择待测公会
2. 本公会入会申请待初审</x:v>
      </x:c>
      <x:c r="J98" s="9" t="str">
        <x:v>1. 打开入会申请详情
2. 点击驳回
3. 输入驳回理由为材料不完整
4. 确认驳回</x:v>
      </x:c>
      <x:c r="K98" s="9" t="str">
        <x:v>该申请成为公会已驳回</x:v>
      </x:c>
      <x:c r="L98" s="10" t="str">
        <x:v>FLOW-JOIN</x:v>
      </x:c>
      <x:c r="M98" s="10" t="str">
        <x:v>未测</x:v>
      </x:c>
      <x:c r="N98" s="10" t="str"/>
      <x:c r="O98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规则：BR-f89fe02f6e5295fc
3. 未动态验证</x:v>
      </x:c>
    </x:row>
    <x:row r="99" ht="145" customHeight="1">
      <x:c r="A99" s="10" t="n">
        <x:v>98</x:v>
      </x:c>
      <x:c r="B99" s="10" t="str">
        <x:v>GUILD-02-0055</x:v>
      </x:c>
      <x:c r="C99" s="10" t="str">
        <x:v>主播管理</x:v>
      </x:c>
      <x:c r="D99" s="10" t="str">
        <x:v>入会申请详情</x:v>
      </x:c>
      <x:c r="E99" s="10" t="str">
        <x:v>功能需求</x:v>
      </x:c>
      <x:c r="F99" s="10" t="str">
        <x:v>P1</x:v>
      </x:c>
      <x:c r="G99" s="9" t="str">
        <x:v>验证平台通过后查看进度</x:v>
      </x:c>
      <x:c r="H99" s="9" t="str">
        <x:v>主播身份建立</x:v>
      </x:c>
      <x:c r="I99" s="9" t="str">
        <x:v>1. 公会长账号可用，已选择待测公会
2. 平台已终审通过本公会申请</x:v>
      </x:c>
      <x:c r="J99" s="9" t="str">
        <x:v>1. 打开入会申请详情
2. 刷新申请详情</x:v>
      </x:c>
      <x:c r="K99" s="9" t="str">
        <x:v>审核进度显示成为主播</x:v>
      </x:c>
      <x:c r="L99" s="10" t="str">
        <x:v>FLOW-JOIN</x:v>
      </x:c>
      <x:c r="M99" s="10" t="str">
        <x:v>未测</x:v>
      </x:c>
      <x:c r="N99" s="10" t="str"/>
      <x:c r="O99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规则：BR-6d38cf0e686a80b8
3. 未动态验证</x:v>
      </x:c>
    </x:row>
    <x:row r="100" ht="145" customHeight="1">
      <x:c r="A100" s="10" t="n">
        <x:v>99</x:v>
      </x:c>
      <x:c r="B100" s="10" t="str">
        <x:v>GUILD-02-0056</x:v>
      </x:c>
      <x:c r="C100" s="10" t="str">
        <x:v>主播管理</x:v>
      </x:c>
      <x:c r="D100" s="10" t="str">
        <x:v>入会申请详情</x:v>
      </x:c>
      <x:c r="E100" s="10" t="str">
        <x:v>功能需求</x:v>
      </x:c>
      <x:c r="F100" s="10" t="str">
        <x:v>P1</x:v>
      </x:c>
      <x:c r="G100" s="9" t="str">
        <x:v>验证平台驳回后重新申请</x:v>
      </x:c>
      <x:c r="H100" s="9" t="str">
        <x:v>重新初审路径</x:v>
      </x:c>
      <x:c r="I100" s="9" t="str">
        <x:v>1. 公会长账号可用，已选择待测公会
2. 用户在平台驳回后重新提交加入本公会申请</x:v>
      </x:c>
      <x:c r="J100" s="9" t="str">
        <x:v>1. 打开入会申请详情
2. 返回入会申请列表
3. 点击新申请</x:v>
      </x:c>
      <x:c r="K100" s="9" t="str">
        <x:v>新申请从待公会审核开始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规则：BR-c588904f40ba8d73
3. 未动态验证</x:v>
      </x:c>
    </x:row>
    <x:row r="101" ht="145" customHeight="1">
      <x:c r="A101" s="10" t="n">
        <x:v>100</x:v>
      </x:c>
      <x:c r="B101" s="10" t="str">
        <x:v>GUILD-02-0057</x:v>
      </x:c>
      <x:c r="C101" s="10" t="str">
        <x:v>主播管理</x:v>
      </x:c>
      <x:c r="D101" s="10" t="str">
        <x:v>入会申请详情</x:v>
      </x:c>
      <x:c r="E101" s="10" t="str">
        <x:v>功能需求</x:v>
      </x:c>
      <x:c r="F101" s="10" t="str">
        <x:v>P1</x:v>
      </x:c>
      <x:c r="G101" s="9" t="str">
        <x:v>验证公会已处理结果只读</x:v>
      </x:c>
      <x:c r="H101" s="9" t="str">
        <x:v>重复初审限制</x:v>
      </x:c>
      <x:c r="I101" s="9" t="str">
        <x:v>1. 公会长账号可用，已选择待测公会
2. 公会已通过该申请，平台尚未处理</x:v>
      </x:c>
      <x:c r="J101" s="9" t="str">
        <x:v>1. 打开入会申请详情</x:v>
      </x:c>
      <x:c r="K101" s="9" t="str">
        <x:v>公会审核结果只读且无可提交的重复审核操作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规则：BR-e4585d392e44dea6
3. 未动态验证</x:v>
      </x:c>
    </x:row>
    <x:row r="102" ht="145" customHeight="1">
      <x:c r="A102" s="10" t="n">
        <x:v>101</x:v>
      </x:c>
      <x:c r="B102" s="10" t="str">
        <x:v>GUILD-02-0058</x:v>
      </x:c>
      <x:c r="C102" s="10" t="str">
        <x:v>主播管理</x:v>
      </x:c>
      <x:c r="D102" s="10" t="str">
        <x:v>入会申请详情</x:v>
      </x:c>
      <x:c r="E102" s="10" t="str">
        <x:v>功能需求</x:v>
      </x:c>
      <x:c r="F102" s="10" t="str">
        <x:v>P1</x:v>
      </x:c>
      <x:c r="G102" s="9" t="str">
        <x:v>验证未发生审核时间</x:v>
      </x:c>
      <x:c r="H102" s="9" t="str">
        <x:v>未来节点时间隐藏</x:v>
      </x:c>
      <x:c r="I102" s="9" t="str">
        <x:v>1. 公会长账号可用，已选择待测公会
2. 申请尚在公会初审</x:v>
      </x:c>
      <x:c r="J102" s="9" t="str">
        <x:v>1. 打开入会申请详情</x:v>
      </x:c>
      <x:c r="K102" s="9" t="str">
        <x:v>平台审核完成时间不显示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规则：BR-8da1ced572806964
3. 未动态验证</x:v>
      </x:c>
    </x:row>
    <x:row r="103" ht="100" customHeight="1">
      <x:c r="A103" s="10" t="n">
        <x:v>102</x:v>
      </x:c>
      <x:c r="B103" s="10" t="str">
        <x:v>GUILD-02-0059</x:v>
      </x:c>
      <x:c r="C103" s="10" t="str">
        <x:v>主播管理</x:v>
      </x:c>
      <x:c r="D103" s="10" t="str">
        <x:v>入会申请详情</x:v>
      </x:c>
      <x:c r="E103" s="10" t="str">
        <x:v>逻辑校验</x:v>
      </x:c>
      <x:c r="F103" s="10" t="str">
        <x:v>P1</x:v>
      </x:c>
      <x:c r="G103" s="9" t="str">
        <x:v>验证驳回理由达到200字符上限</x:v>
      </x:c>
      <x:c r="H103" s="9" t="str">
        <x:v>驳回理由长度上界</x:v>
      </x:c>
      <x:c r="I103" s="9" t="str">
        <x:v>1. 公会长账号可用，已选择待测公会
2. 本公会存在待审核申请</x:v>
      </x:c>
      <x:c r="J103" s="9" t="str">
        <x:v>1. 打开入会申请详情
2. 点击驳回
3. 输入驳回理由为200个汉字
4. 确认驳回</x:v>
      </x:c>
      <x:c r="K103" s="9" t="str">
        <x:v>驳回理由的200字符值通过长度校验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来源（当前证据）：liveshow-proto/MainBasis/统一需求文档.md；位置：第2125行、第2134行 REQ-cf1b70d3c79f、第2139行 REQ-da806b26301b
2. 规则：BR-a4e2f7d68f313286
3. 未动态验证</x:v>
      </x:c>
    </x:row>
    <x:row r="104" ht="100" customHeight="1">
      <x:c r="A104" s="10" t="n">
        <x:v>103</x:v>
      </x:c>
      <x:c r="B104" s="10" t="str">
        <x:v>GUILD-02-0060</x:v>
      </x:c>
      <x:c r="C104" s="10" t="str">
        <x:v>主播管理</x:v>
      </x:c>
      <x:c r="D104" s="10" t="str">
        <x:v>入会申请详情</x:v>
      </x:c>
      <x:c r="E104" s="10" t="str">
        <x:v>异常用例</x:v>
      </x:c>
      <x:c r="F104" s="10" t="str">
        <x:v>P1</x:v>
      </x:c>
      <x:c r="G104" s="9" t="str">
        <x:v>验证驳回理由超过200字符上限</x:v>
      </x:c>
      <x:c r="H104" s="9" t="str">
        <x:v>驳回理由超长拦截</x:v>
      </x:c>
      <x:c r="I104" s="9" t="str">
        <x:v>1. 公会长账号可用，已选择待测公会
2. 本公会存在待审核申请</x:v>
      </x:c>
      <x:c r="J104" s="9" t="str">
        <x:v>1. 打开入会申请详情
2. 点击驳回
3. 输入驳回理由为201个汉字
4. 确认驳回</x:v>
      </x:c>
      <x:c r="K104" s="9" t="str">
        <x:v>驳回理由不能保存超过200字符的内容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来源（当前证据）：liveshow-proto/MainBasis/统一需求文档.md；位置：第2125行、第2134行 REQ-cf1b70d3c79f、第2139行 REQ-da806b26301b
2. 规则：BR-1406cddeaae917f0
3. 未动态验证</x:v>
      </x:c>
    </x:row>
    <x:row r="105" ht="100" customHeight="1">
      <x:c r="A105" s="10" t="n">
        <x:v>104</x:v>
      </x:c>
      <x:c r="B105" s="10" t="str">
        <x:v>GUILD-02-0061</x:v>
      </x:c>
      <x:c r="C105" s="10" t="str">
        <x:v>主播管理</x:v>
      </x:c>
      <x:c r="D105" s="10" t="str">
        <x:v>入会申请详情</x:v>
      </x:c>
      <x:c r="E105" s="10" t="str">
        <x:v>功能需求</x:v>
      </x:c>
      <x:c r="F105" s="10" t="str">
        <x:v>P1</x:v>
      </x:c>
      <x:c r="G105" s="9" t="str">
        <x:v>验证不填写驳回理由</x:v>
      </x:c>
      <x:c r="H105" s="9" t="str">
        <x:v>空理由显示</x:v>
      </x:c>
      <x:c r="I105" s="9" t="str">
        <x:v>1. 公会长账号可用，已选择待测公会
2. 申请待公会审核</x:v>
      </x:c>
      <x:c r="J105" s="9" t="str">
        <x:v>1. 打开入会申请详情
2. 点击驳回
3. 清空驳回理由
4. 确认驳回</x:v>
      </x:c>
      <x:c r="K105" s="9" t="str">
        <x:v>对应审核节点理由显示“未填写”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来源（当前证据）：liveshow-proto/MainBasis/统一需求文档.md；位置：第2125行、第2134行 REQ-cf1b70d3c79f、第2139行 REQ-da806b26301b
2. 规则：BR-e988b047b4d1b477
3. 未动态验证</x:v>
      </x:c>
    </x:row>
    <x:row r="106" ht="100" customHeight="1">
      <x:c r="A106" s="10" t="n">
        <x:v>105</x:v>
      </x:c>
      <x:c r="B106" s="10" t="str">
        <x:v>GUILD-02-0062</x:v>
      </x:c>
      <x:c r="C106" s="10" t="str">
        <x:v>主播管理</x:v>
      </x:c>
      <x:c r="D106" s="10" t="str">
        <x:v>入会申请详情</x:v>
      </x:c>
      <x:c r="E106" s="10" t="str">
        <x:v>功能需求</x:v>
      </x:c>
      <x:c r="F106" s="10" t="str">
        <x:v>P1</x:v>
      </x:c>
      <x:c r="G106" s="9" t="str">
        <x:v>验证认证通过后查看主页</x:v>
      </x:c>
      <x:c r="H106" s="9" t="str">
        <x:v>主播详情入口</x:v>
      </x:c>
      <x:c r="I106" s="9" t="str">
        <x:v>1. 公会长账号可用，已选择待测公会
2. 平台已终审通过且该用户成为本会主播</x:v>
      </x:c>
      <x:c r="J106" s="9" t="str">
        <x:v>1. 打开入会申请详情
2. 点击查看主页</x:v>
      </x:c>
      <x:c r="K106" s="9" t="str">
        <x:v>进入该主播详情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来源（当前证据）：liveshow-proto/MainBasis/统一需求文档.md；位置：第2125行、第2135行 REQ-e2ac5e93afea、第2140行 REQ-20fd4dfde21d
2. 规则：BR-b19a4e71249a8975
3. 未动态验证</x:v>
      </x:c>
    </x:row>
    <x:row r="107" ht="145" customHeight="1">
      <x:c r="A107" s="10" t="n">
        <x:v>106</x:v>
      </x:c>
      <x:c r="B107" s="10" t="str">
        <x:v>GUILD-02-0063</x:v>
      </x:c>
      <x:c r="C107" s="10" t="str">
        <x:v>主播管理</x:v>
      </x:c>
      <x:c r="D107" s="10" t="str">
        <x:v>入会申请详情</x:v>
      </x:c>
      <x:c r="E107" s="10" t="str">
        <x:v>功能需求</x:v>
      </x:c>
      <x:c r="F107" s="10" t="str">
        <x:v>P1</x:v>
      </x:c>
      <x:c r="G107" s="9" t="str">
        <x:v>验证平台驳回后的原申请：平台驳回终态</x:v>
      </x:c>
      <x:c r="H107" s="9" t="str">
        <x:v>平台驳回终态</x:v>
      </x:c>
      <x:c r="I107" s="9" t="str">
        <x:v>1. 公会长账号可用，已选择待测公会
2. 平台已驳回该笔公会初审通过的申请</x:v>
      </x:c>
      <x:c r="J107" s="9" t="str">
        <x:v>1. 打开入会申请详情
2. 刷新申请详情</x:v>
      </x:c>
      <x:c r="K107" s="9" t="str">
        <x:v>原申请显示平台已驳回</x:v>
      </x:c>
      <x:c r="L107" s="10" t="str">
        <x:v>FLOW-JOIN</x:v>
      </x:c>
      <x:c r="M107" s="10" t="str">
        <x:v>未测</x:v>
      </x:c>
      <x:c r="N107" s="10" t="str"/>
      <x:c r="O107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规则：BR-79e41569a1710f23
3. 未动态验证</x:v>
      </x:c>
    </x:row>
    <x:row r="108" ht="145" customHeight="1">
      <x:c r="A108" s="10" t="n">
        <x:v>107</x:v>
      </x:c>
      <x:c r="B108" s="10" t="str">
        <x:v>GUILD-02-0064</x:v>
      </x:c>
      <x:c r="C108" s="10" t="str">
        <x:v>主播管理</x:v>
      </x:c>
      <x:c r="D108" s="10" t="str">
        <x:v>入会申请详情</x:v>
      </x:c>
      <x:c r="E108" s="10" t="str">
        <x:v>功能需求</x:v>
      </x:c>
      <x:c r="F108" s="10" t="str">
        <x:v>P1</x:v>
      </x:c>
      <x:c r="G108" s="9" t="str">
        <x:v>验证平台驳回后的原申请：旧申请重复审核限制</x:v>
      </x:c>
      <x:c r="H108" s="9" t="str">
        <x:v>旧申请重复审核限制</x:v>
      </x:c>
      <x:c r="I108" s="9" t="str">
        <x:v>1. 公会长账号可用，已选择待测公会
2. 平台已驳回该笔公会初审通过的申请</x:v>
      </x:c>
      <x:c r="J108" s="9" t="str">
        <x:v>1. 打开入会申请详情
2. 刷新申请详情</x:v>
      </x:c>
      <x:c r="K108" s="9" t="str">
        <x:v>已驳回的原申请不能再次审核</x:v>
      </x:c>
      <x:c r="L108" s="10" t="str">
        <x:v>FLOW-JOIN</x:v>
      </x:c>
      <x:c r="M108" s="10" t="str">
        <x:v>未测</x:v>
      </x:c>
      <x:c r="N108" s="10" t="str"/>
      <x:c r="O108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规则：BR-5261abccf6750c6c
3. 未动态验证</x:v>
      </x:c>
    </x:row>
    <x:row r="109" ht="115" customHeight="1">
      <x:c r="A109" s="10" t="n">
        <x:v>108</x:v>
      </x:c>
      <x:c r="B109" s="10" t="str">
        <x:v>GUILD-02-0065</x:v>
      </x:c>
      <x:c r="C109" s="10" t="str">
        <x:v>主播管理</x:v>
      </x:c>
      <x:c r="D109" s="10" t="str">
        <x:v>入会申请</x:v>
      </x:c>
      <x:c r="E109" s="10" t="str">
        <x:v>功能需求</x:v>
      </x:c>
      <x:c r="F109" s="10" t="str">
        <x:v>P1</x:v>
      </x:c>
      <x:c r="G109" s="9" t="str">
        <x:v>验证筛选审核中申请</x:v>
      </x:c>
      <x:c r="H109" s="9" t="str">
        <x:v>申请状态筛选</x:v>
      </x:c>
      <x:c r="I109" s="9" t="str">
        <x:v>1. 公会长账号可用，已选择待测公会
2. 本公会三种状态各有2笔申请</x:v>
      </x:c>
      <x:c r="J109" s="9" t="str">
        <x:v>1. 打开入会申请
2. 切换审核中标签</x:v>
      </x:c>
      <x:c r="K109" s="9" t="str">
        <x:v>仅显示所选状态的2笔申请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来源（当前证据）：liveshow-proto/MainBasis/统一需求文档.md；位置：第2114行、第2115行 REQ-15f627e7928f、第2118行 REQ-bbd9cc4ccd76、第2122行 REQ-6e63424342d0
2. 规则：BR-280640e56c9db57b
3. 未动态验证</x:v>
      </x:c>
    </x:row>
    <x:row r="110" ht="115" customHeight="1">
      <x:c r="A110" s="10" t="n">
        <x:v>109</x:v>
      </x:c>
      <x:c r="B110" s="10" t="str">
        <x:v>GUILD-02-0066</x:v>
      </x:c>
      <x:c r="C110" s="10" t="str">
        <x:v>主播管理</x:v>
      </x:c>
      <x:c r="D110" s="10" t="str">
        <x:v>入会申请</x:v>
      </x:c>
      <x:c r="E110" s="10" t="str">
        <x:v>功能需求</x:v>
      </x:c>
      <x:c r="F110" s="10" t="str">
        <x:v>P1</x:v>
      </x:c>
      <x:c r="G110" s="9" t="str">
        <x:v>验证筛选已通过申请</x:v>
      </x:c>
      <x:c r="H110" s="9" t="str">
        <x:v>申请状态筛选</x:v>
      </x:c>
      <x:c r="I110" s="9" t="str">
        <x:v>1. 公会长账号可用，已选择待测公会
2. 本公会三种状态各有2笔申请</x:v>
      </x:c>
      <x:c r="J110" s="9" t="str">
        <x:v>1. 打开入会申请
2. 切换已通过标签</x:v>
      </x:c>
      <x:c r="K110" s="9" t="str">
        <x:v>仅显示所选状态的2笔申请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来源（当前证据）：liveshow-proto/MainBasis/统一需求文档.md；位置：第2114行、第2115行 REQ-15f627e7928f、第2118行 REQ-bbd9cc4ccd76、第2122行 REQ-6e63424342d0
2. 规则：BR-c4c3b107d5c6200a
3. 未动态验证</x:v>
      </x:c>
    </x:row>
    <x:row r="111" ht="115" customHeight="1">
      <x:c r="A111" s="10" t="n">
        <x:v>110</x:v>
      </x:c>
      <x:c r="B111" s="10" t="str">
        <x:v>GUILD-02-0067</x:v>
      </x:c>
      <x:c r="C111" s="10" t="str">
        <x:v>主播管理</x:v>
      </x:c>
      <x:c r="D111" s="10" t="str">
        <x:v>入会申请</x:v>
      </x:c>
      <x:c r="E111" s="10" t="str">
        <x:v>功能需求</x:v>
      </x:c>
      <x:c r="F111" s="10" t="str">
        <x:v>P1</x:v>
      </x:c>
      <x:c r="G111" s="9" t="str">
        <x:v>验证筛选已驳回申请</x:v>
      </x:c>
      <x:c r="H111" s="9" t="str">
        <x:v>申请状态筛选</x:v>
      </x:c>
      <x:c r="I111" s="9" t="str">
        <x:v>1. 公会长账号可用，已选择待测公会
2. 本公会三种状态各有2笔申请</x:v>
      </x:c>
      <x:c r="J111" s="9" t="str">
        <x:v>1. 打开入会申请
2. 切换已驳回标签</x:v>
      </x:c>
      <x:c r="K111" s="9" t="str">
        <x:v>仅显示所选状态的2笔申请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来源（当前证据）：liveshow-proto/MainBasis/统一需求文档.md；位置：第2114行、第2115行 REQ-15f627e7928f、第2118行 REQ-bbd9cc4ccd76、第2122行 REQ-6e63424342d0
2. 规则：BR-d85e6c3a073e43b6
3. 未动态验证</x:v>
      </x:c>
    </x:row>
    <x:row r="112" ht="115" customHeight="1">
      <x:c r="A112" s="10" t="n">
        <x:v>111</x:v>
      </x:c>
      <x:c r="B112" s="10" t="str">
        <x:v>GUILD-02-0068</x:v>
      </x:c>
      <x:c r="C112" s="10" t="str">
        <x:v>主播管理</x:v>
      </x:c>
      <x:c r="D112" s="10" t="str">
        <x:v>入会申请</x:v>
      </x:c>
      <x:c r="E112" s="10" t="str">
        <x:v>功能需求</x:v>
      </x:c>
      <x:c r="F112" s="10" t="str">
        <x:v>P1</x:v>
      </x:c>
      <x:c r="G112" s="9" t="str">
        <x:v>验证首次进入申请列表</x:v>
      </x:c>
      <x:c r="H112" s="9" t="str">
        <x:v>申请默认标签</x:v>
      </x:c>
      <x:c r="I112" s="9" t="str">
        <x:v>1. 公会长账号可用，已选择待测公会
2. 本公会存在待审核申请</x:v>
      </x:c>
      <x:c r="J112" s="9" t="str">
        <x:v>1. 打开入会申请</x:v>
      </x:c>
      <x:c r="K112" s="9" t="str">
        <x:v>默认选中审核中标签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来源（当前证据）：liveshow-proto/MainBasis/统一需求文档.md；位置：第2114行、第2115行 REQ-15f627e7928f、第2118行 REQ-bbd9cc4ccd76、第2122行 REQ-6e63424342d0
2. 规则：BR-4f3b8147ea3763d8
3. 未动态验证</x:v>
      </x:c>
    </x:row>
    <x:row r="113" ht="115" customHeight="1">
      <x:c r="A113" s="10" t="n">
        <x:v>112</x:v>
      </x:c>
      <x:c r="B113" s="10" t="str">
        <x:v>GUILD-02-0069</x:v>
      </x:c>
      <x:c r="C113" s="10" t="str">
        <x:v>主播管理</x:v>
      </x:c>
      <x:c r="D113" s="10" t="str">
        <x:v>入会申请</x:v>
      </x:c>
      <x:c r="E113" s="10" t="str">
        <x:v>功能需求</x:v>
      </x:c>
      <x:c r="F113" s="10" t="str">
        <x:v>P1</x:v>
      </x:c>
      <x:c r="G113" s="9" t="str">
        <x:v>验证申请列表打开详情</x:v>
      </x:c>
      <x:c r="H113" s="9" t="str">
        <x:v>申请详情定位</x:v>
      </x:c>
      <x:c r="I113" s="9" t="str">
        <x:v>1. 公会长账号可用，已选择待测公会
2. 列表存在两笔不同申请</x:v>
      </x:c>
      <x:c r="J113" s="9" t="str">
        <x:v>1. 打开入会申请
2. 点击其中一笔申请卡片</x:v>
      </x:c>
      <x:c r="K113" s="9" t="str">
        <x:v>详情对应所选申请单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来源（当前证据）：liveshow-proto/MainBasis/统一需求文档.md；位置：第2114行、第2115行 REQ-15f627e7928f、第2118行 REQ-bbd9cc4ccd76、第2122行 REQ-6e63424342d0
2. 规则：BR-ab3df3d97915c941
3. 未动态验证</x:v>
      </x:c>
    </x:row>
    <x:row r="114" ht="100" customHeight="1">
      <x:c r="A114" s="10" t="n">
        <x:v>113</x:v>
      </x:c>
      <x:c r="B114" s="10" t="str">
        <x:v>GUILD-02-0070</x:v>
      </x:c>
      <x:c r="C114" s="10" t="str">
        <x:v>主播管理</x:v>
      </x:c>
      <x:c r="D114" s="10" t="str">
        <x:v>入会申请</x:v>
      </x:c>
      <x:c r="E114" s="10" t="str">
        <x:v>功能需求</x:v>
      </x:c>
      <x:c r="F114" s="10" t="str">
        <x:v>P1</x:v>
      </x:c>
      <x:c r="G114" s="9" t="str">
        <x:v>验证入会申请人身份核对</x:v>
      </x:c>
      <x:c r="H114" s="9" t="str">
        <x:v>申请主体身份</x:v>
      </x:c>
      <x:c r="I114" s="9" t="str">
        <x:v>1. 公会长账号可用，已选择待测公会
2. 存在两个申请人，姓名相似而实际ID不同</x:v>
      </x:c>
      <x:c r="J114" s="9" t="str">
        <x:v>1. 打开入会申请</x:v>
      </x:c>
      <x:c r="K114" s="9" t="str">
        <x:v>每张申请卡片的头像、名称、ID取自同一申请人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来源（当前证据）：liveshow-proto/MainBasis/统一需求文档.md；位置：第2114行、第2116行 REQ-457953c7b57a、第2117行 REQ-83968f78cc30
2. 规则：BR-9ca9993e1948e2d1
3. 未动态验证</x:v>
      </x:c>
    </x:row>
    <x:row r="115" ht="100" customHeight="1">
      <x:c r="A115" s="10" t="n">
        <x:v>114</x:v>
      </x:c>
      <x:c r="B115" s="10" t="str">
        <x:v>GUILD-02-0071</x:v>
      </x:c>
      <x:c r="C115" s="10" t="str">
        <x:v>主播管理</x:v>
      </x:c>
      <x:c r="D115" s="10" t="str">
        <x:v>入会申请</x:v>
      </x:c>
      <x:c r="E115" s="10" t="str">
        <x:v>功能需求</x:v>
      </x:c>
      <x:c r="F115" s="10" t="str">
        <x:v>P1</x:v>
      </x:c>
      <x:c r="G115" s="9" t="str">
        <x:v>验证入会提交时间与审核时间不同</x:v>
      </x:c>
      <x:c r="H115" s="9" t="str">
        <x:v>申请提交时间</x:v>
      </x:c>
      <x:c r="I115" s="9" t="str">
        <x:v>1. 公会长账号可用，已选择待测公会
2. 申请9月1日提交、9月2日处理，已记录服务端提交时间</x:v>
      </x:c>
      <x:c r="J115" s="9" t="str">
        <x:v>1. 打开入会申请</x:v>
      </x:c>
      <x:c r="K115" s="9" t="str">
        <x:v>申请时间显示9月1日对应的提交时间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来源（当前证据）：liveshow-proto/MainBasis/统一需求文档.md；位置：第2114行、第2116行 REQ-457953c7b57a、第2117行 REQ-83968f78cc30
2. 规则：BR-ce27099ef781e8d9
3. 未动态验证</x:v>
      </x:c>
    </x:row>
    <x:row r="116" ht="85" customHeight="1">
      <x:c r="A116" s="10" t="n">
        <x:v>115</x:v>
      </x:c>
      <x:c r="B116" s="10" t="str">
        <x:v>GUILD-02-0072</x:v>
      </x:c>
      <x:c r="C116" s="10" t="str">
        <x:v>主播管理</x:v>
      </x:c>
      <x:c r="D116" s="10" t="str">
        <x:v>入会申请</x:v>
      </x:c>
      <x:c r="E116" s="10" t="str">
        <x:v>功能需求</x:v>
      </x:c>
      <x:c r="F116" s="10" t="str">
        <x:v>P1</x:v>
      </x:c>
      <x:c r="G116" s="9" t="str">
        <x:v>验证同一用户在审申请唯一</x:v>
      </x:c>
      <x:c r="H116" s="9" t="str">
        <x:v>待处理申请去重</x:v>
      </x:c>
      <x:c r="I116" s="9" t="str">
        <x:v>1. 公会长账号可用，已选择待测公会
2. 同一用户已存在本会待处理入会申请，用户端重复提交被业务规则拒绝</x:v>
      </x:c>
      <x:c r="J116" s="9" t="str">
        <x:v>1. 打开入会申请
2. 刷新申请列表</x:v>
      </x:c>
      <x:c r="K116" s="9" t="str">
        <x:v>该用户只保留一笔待处理申请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来源（当前证据）：liveshow-proto/MainBasis/统一需求文档.md；位置：第2114行、第2119行 REQ-a5054ddf8e35
2. 规则：BR-410c9ce8953d9181
3. 未动态验证</x:v>
      </x:c>
    </x:row>
    <x:row r="117" ht="85" customHeight="1">
      <x:c r="A117" s="10" t="n">
        <x:v>116</x:v>
      </x:c>
      <x:c r="B117" s="10" t="str">
        <x:v>GUILD-02-0073</x:v>
      </x:c>
      <x:c r="C117" s="10" t="str">
        <x:v>主播管理</x:v>
      </x:c>
      <x:c r="D117" s="10" t="str">
        <x:v>入会申请</x:v>
      </x:c>
      <x:c r="E117" s="10" t="str">
        <x:v>功能需求</x:v>
      </x:c>
      <x:c r="F117" s="10" t="str">
        <x:v>P1</x:v>
      </x:c>
      <x:c r="G117" s="9" t="str">
        <x:v>验证公会驳回后收到新申请</x:v>
      </x:c>
      <x:c r="H117" s="9" t="str">
        <x:v>新旧申请单隔离</x:v>
      </x:c>
      <x:c r="I117" s="9" t="str">
        <x:v>1. 公会长账号可用，已选择待测公会
2. 旧申请被公会驳回后，该用户已重新向本会提交</x:v>
      </x:c>
      <x:c r="J117" s="9" t="str">
        <x:v>1. 打开入会申请
2. 刷新申请列表</x:v>
      </x:c>
      <x:c r="K117" s="9" t="str">
        <x:v>新的待审申请使用不同于旧申请的申请单ID</x:v>
      </x:c>
      <x:c r="L117" s="10" t="str">
        <x:v>FLOW-JOIN</x:v>
      </x:c>
      <x:c r="M117" s="10" t="str">
        <x:v>未测</x:v>
      </x:c>
      <x:c r="N117" s="10" t="str"/>
      <x:c r="O117" s="9" t="str">
        <x:v>1. 来源（当前证据）：liveshow-proto/MainBasis/统一需求文档.md；位置：第2114行、第2120行 REQ-aad9d80d34b7
2. 规则：BR-3ce7c7d3fd8d80d6
3. 未动态验证</x:v>
      </x:c>
    </x:row>
    <x:row r="118" ht="115" customHeight="1">
      <x:c r="A118" s="10" t="n">
        <x:v>117</x:v>
      </x:c>
      <x:c r="B118" s="10" t="str">
        <x:v>GUILD-02-0074</x:v>
      </x:c>
      <x:c r="C118" s="10" t="str">
        <x:v>主播管理</x:v>
      </x:c>
      <x:c r="D118" s="10" t="str">
        <x:v>退会申请详情</x:v>
      </x:c>
      <x:c r="E118" s="10" t="str">
        <x:v>功能需求</x:v>
      </x:c>
      <x:c r="F118" s="10" t="str">
        <x:v>P1</x:v>
      </x:c>
      <x:c r="G118" s="9" t="str">
        <x:v>验证确认通过退会</x:v>
      </x:c>
      <x:c r="H118" s="9" t="str">
        <x:v>公会关系解除</x:v>
      </x:c>
      <x:c r="I118" s="9" t="str">
        <x:v>1. 公会长账号可用，已选择待测公会
2. 本会主播已提交退会申请</x:v>
      </x:c>
      <x:c r="J118" s="9" t="str">
        <x:v>1. 打开退会申请详情
2. 点击通过
3. 确认二次确认弹窗</x:v>
      </x:c>
      <x:c r="K118" s="9" t="str">
        <x:v>主播关系变为已退会</x:v>
      </x:c>
      <x:c r="L118" s="10" t="str">
        <x:v>FLOW-LEAVE</x:v>
      </x:c>
      <x:c r="M118" s="10" t="str">
        <x:v>未测</x:v>
      </x:c>
      <x:c r="N118" s="10" t="str"/>
      <x:c r="O118" s="9" t="str">
        <x:v>1. 来源（当前证据）：liveshow-proto/MainBasis/统一需求文档.md；位置：第2153行、第2162行 REQ-44d45e0c5d62、第2163行 REQ-1ba98012803f、第2164行 REQ-7126bee0f50e、第2165行 REQ-305ac142e6f4
2. 规则：BR-aa99bacac278f230
3. 未动态验证</x:v>
      </x:c>
    </x:row>
    <x:row r="119" ht="115" customHeight="1">
      <x:c r="A119" s="10" t="n">
        <x:v>118</x:v>
      </x:c>
      <x:c r="B119" s="10" t="str">
        <x:v>GUILD-02-0075</x:v>
      </x:c>
      <x:c r="C119" s="10" t="str">
        <x:v>主播管理</x:v>
      </x:c>
      <x:c r="D119" s="10" t="str">
        <x:v>退会申请详情</x:v>
      </x:c>
      <x:c r="E119" s="10" t="str">
        <x:v>功能需求</x:v>
      </x:c>
      <x:c r="F119" s="10" t="str">
        <x:v>P1</x:v>
      </x:c>
      <x:c r="G119" s="9" t="str">
        <x:v>验证取消通过退会</x:v>
      </x:c>
      <x:c r="H119" s="9" t="str">
        <x:v>退会审核取消</x:v>
      </x:c>
      <x:c r="I119" s="9" t="str">
        <x:v>1. 公会长账号可用，已选择待测公会
2. 退会申请仍待公会审核</x:v>
      </x:c>
      <x:c r="J119" s="9" t="str">
        <x:v>1. 打开退会申请详情
2. 点击通过
3. 取消二次确认弹窗</x:v>
      </x:c>
      <x:c r="K119" s="9" t="str">
        <x:v>退会申请仍为待审核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来源（当前证据）：liveshow-proto/MainBasis/统一需求文档.md；位置：第2153行、第2162行 REQ-44d45e0c5d62、第2163行 REQ-1ba98012803f、第2164行 REQ-7126bee0f50e、第2165行 REQ-305ac142e6f4
2. 规则：BR-284b92766c9f398b
3. 未动态验证</x:v>
      </x:c>
    </x:row>
    <x:row r="120" ht="115" customHeight="1">
      <x:c r="A120" s="10" t="n">
        <x:v>119</x:v>
      </x:c>
      <x:c r="B120" s="10" t="str">
        <x:v>GUILD-02-0076</x:v>
      </x:c>
      <x:c r="C120" s="10" t="str">
        <x:v>主播管理</x:v>
      </x:c>
      <x:c r="D120" s="10" t="str">
        <x:v>退会申请详情</x:v>
      </x:c>
      <x:c r="E120" s="10" t="str">
        <x:v>功能需求</x:v>
      </x:c>
      <x:c r="F120" s="10" t="str">
        <x:v>P1</x:v>
      </x:c>
      <x:c r="G120" s="9" t="str">
        <x:v>验证驳回退会</x:v>
      </x:c>
      <x:c r="H120" s="9" t="str">
        <x:v>在会身份保留</x:v>
      </x:c>
      <x:c r="I120" s="9" t="str">
        <x:v>1. 公会长账号可用，已选择待测公会
2. 本会在会主播有待审退会申请</x:v>
      </x:c>
      <x:c r="J120" s="9" t="str">
        <x:v>1. 打开退会申请详情
2. 点击驳回
3. 确认驳回</x:v>
      </x:c>
      <x:c r="K120" s="9" t="str">
        <x:v>该主播仍为在会主播</x:v>
      </x:c>
      <x:c r="L120" s="10" t="str">
        <x:v>FLOW-LEAVE</x:v>
      </x:c>
      <x:c r="M120" s="10" t="str">
        <x:v>未测</x:v>
      </x:c>
      <x:c r="N120" s="10" t="str"/>
      <x:c r="O120" s="9" t="str">
        <x:v>1. 来源（当前证据）：liveshow-proto/MainBasis/统一需求文档.md；位置：第2153行、第2162行 REQ-44d45e0c5d62、第2163行 REQ-1ba98012803f、第2164行 REQ-7126bee0f50e、第2165行 REQ-305ac142e6f4
2. 规则：BR-9ec8647066f6a585
3. 未动态验证</x:v>
      </x:c>
    </x:row>
    <x:row r="121" ht="115" customHeight="1">
      <x:c r="A121" s="10" t="n">
        <x:v>120</x:v>
      </x:c>
      <x:c r="B121" s="10" t="str">
        <x:v>GUILD-02-0077</x:v>
      </x:c>
      <x:c r="C121" s="10" t="str">
        <x:v>主播管理</x:v>
      </x:c>
      <x:c r="D121" s="10" t="str">
        <x:v>退会申请详情</x:v>
      </x:c>
      <x:c r="E121" s="10" t="str">
        <x:v>功能需求</x:v>
      </x:c>
      <x:c r="F121" s="10" t="str">
        <x:v>P1</x:v>
      </x:c>
      <x:c r="G121" s="9" t="str">
        <x:v>验证已通过退会记录</x:v>
      </x:c>
      <x:c r="H121" s="9" t="str">
        <x:v>退会终态只读</x:v>
      </x:c>
      <x:c r="I121" s="9" t="str">
        <x:v>1. 公会长账号可用，已选择待测公会
2. 退会申请已通过</x:v>
      </x:c>
      <x:c r="J121" s="9" t="str">
        <x:v>1. 打开退会申请详情</x:v>
      </x:c>
      <x:c r="K121" s="9" t="str">
        <x:v>已处理退会记录不可再次提交审核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来源（当前证据）：liveshow-proto/MainBasis/统一需求文档.md；位置：第2153行、第2162行 REQ-44d45e0c5d62、第2163行 REQ-1ba98012803f、第2164行 REQ-7126bee0f50e、第2165行 REQ-305ac142e6f4
2. 规则：BR-20c638543453ca0d
3. 未动态验证</x:v>
      </x:c>
    </x:row>
    <x:row r="122" ht="115" customHeight="1">
      <x:c r="A122" s="10" t="n">
        <x:v>121</x:v>
      </x:c>
      <x:c r="B122" s="10" t="str">
        <x:v>GUILD-02-0078</x:v>
      </x:c>
      <x:c r="C122" s="10" t="str">
        <x:v>主播管理</x:v>
      </x:c>
      <x:c r="D122" s="10" t="str">
        <x:v>退会申请详情</x:v>
      </x:c>
      <x:c r="E122" s="10" t="str">
        <x:v>功能需求</x:v>
      </x:c>
      <x:c r="F122" s="10" t="str">
        <x:v>P1</x:v>
      </x:c>
      <x:c r="G122" s="9" t="str">
        <x:v>验证已驳回退会记录</x:v>
      </x:c>
      <x:c r="H122" s="9" t="str">
        <x:v>驳回终态只读</x:v>
      </x:c>
      <x:c r="I122" s="9" t="str">
        <x:v>1. 公会长账号可用，已选择待测公会
2. 退会申请已驳回</x:v>
      </x:c>
      <x:c r="J122" s="9" t="str">
        <x:v>1. 打开退会申请详情</x:v>
      </x:c>
      <x:c r="K122" s="9" t="str">
        <x:v>已处理退会记录不可再次提交审核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来源（当前证据）：liveshow-proto/MainBasis/统一需求文档.md；位置：第2153行、第2162行 REQ-44d45e0c5d62、第2163行 REQ-1ba98012803f、第2164行 REQ-7126bee0f50e、第2165行 REQ-305ac142e6f4
2. 规则：BR-3ad24a1323d026c1
3. 未动态验证</x:v>
      </x:c>
    </x:row>
    <x:row r="123" ht="100" customHeight="1">
      <x:c r="A123" s="10" t="n">
        <x:v>122</x:v>
      </x:c>
      <x:c r="B123" s="10" t="str">
        <x:v>GUILD-02-0079</x:v>
      </x:c>
      <x:c r="C123" s="10" t="str">
        <x:v>主播管理</x:v>
      </x:c>
      <x:c r="D123" s="10" t="str">
        <x:v>退会申请详情</x:v>
      </x:c>
      <x:c r="E123" s="10" t="str">
        <x:v>逻辑校验</x:v>
      </x:c>
      <x:c r="F123" s="10" t="str">
        <x:v>P1</x:v>
      </x:c>
      <x:c r="G123" s="9" t="str">
        <x:v>验证驳回理由达到200字符上限</x:v>
      </x:c>
      <x:c r="H123" s="9" t="str">
        <x:v>驳回理由长度上界</x:v>
      </x:c>
      <x:c r="I123" s="9" t="str">
        <x:v>1. 公会长账号可用，已选择待测公会
2. 本公会存在待审核申请</x:v>
      </x:c>
      <x:c r="J123" s="9" t="str">
        <x:v>1. 打开退会申请详情
2. 点击驳回
3. 输入驳回理由为200个汉字
4. 确认驳回</x:v>
      </x:c>
      <x:c r="K123" s="9" t="str">
        <x:v>驳回理由的200字符值通过长度校验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来源（当前证据）：liveshow-proto/MainBasis/统一需求文档.md；位置：第2153行、第2161行 REQ-6cafd7643204、第2164行 REQ-7126bee0f50e
2. 规则：BR-28b25ad828c29351
3. 未动态验证</x:v>
      </x:c>
    </x:row>
    <x:row r="124" ht="100" customHeight="1">
      <x:c r="A124" s="10" t="n">
        <x:v>123</x:v>
      </x:c>
      <x:c r="B124" s="10" t="str">
        <x:v>GUILD-02-0080</x:v>
      </x:c>
      <x:c r="C124" s="10" t="str">
        <x:v>主播管理</x:v>
      </x:c>
      <x:c r="D124" s="10" t="str">
        <x:v>退会申请详情</x:v>
      </x:c>
      <x:c r="E124" s="10" t="str">
        <x:v>异常用例</x:v>
      </x:c>
      <x:c r="F124" s="10" t="str">
        <x:v>P1</x:v>
      </x:c>
      <x:c r="G124" s="9" t="str">
        <x:v>验证驳回理由超过200字符上限</x:v>
      </x:c>
      <x:c r="H124" s="9" t="str">
        <x:v>驳回理由超长拦截</x:v>
      </x:c>
      <x:c r="I124" s="9" t="str">
        <x:v>1. 公会长账号可用，已选择待测公会
2. 本公会存在待审核申请</x:v>
      </x:c>
      <x:c r="J124" s="9" t="str">
        <x:v>1. 打开退会申请详情
2. 点击驳回
3. 输入驳回理由为201个汉字
4. 确认驳回</x:v>
      </x:c>
      <x:c r="K124" s="9" t="str">
        <x:v>驳回理由不能保存超过200字符的内容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来源（当前证据）：liveshow-proto/MainBasis/统一需求文档.md；位置：第2153行、第2161行 REQ-6cafd7643204、第2164行 REQ-7126bee0f50e
2. 规则：BR-09ef92b2d0d1d9ff
3. 未动态验证</x:v>
      </x:c>
    </x:row>
    <x:row r="125" ht="100" customHeight="1">
      <x:c r="A125" s="10" t="n">
        <x:v>124</x:v>
      </x:c>
      <x:c r="B125" s="10" t="str">
        <x:v>GUILD-02-0081</x:v>
      </x:c>
      <x:c r="C125" s="10" t="str">
        <x:v>主播管理</x:v>
      </x:c>
      <x:c r="D125" s="10" t="str">
        <x:v>退会申请详情</x:v>
      </x:c>
      <x:c r="E125" s="10" t="str">
        <x:v>功能需求</x:v>
      </x:c>
      <x:c r="F125" s="10" t="str">
        <x:v>P1</x:v>
      </x:c>
      <x:c r="G125" s="9" t="str">
        <x:v>验证退会驳回理由未填</x:v>
      </x:c>
      <x:c r="H125" s="9" t="str">
        <x:v>退会空理由显示</x:v>
      </x:c>
      <x:c r="I125" s="9" t="str">
        <x:v>1. 公会长账号可用，已选择待测公会
2. 退会申请待审核</x:v>
      </x:c>
      <x:c r="J125" s="9" t="str">
        <x:v>1. 打开退会申请详情
2. 点击驳回
3. 清空驳回理由
4. 确认驳回</x:v>
      </x:c>
      <x:c r="K125" s="9" t="str">
        <x:v>理由显示“未填写”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来源（当前证据）：liveshow-proto/MainBasis/统一需求文档.md；位置：第2153行、第2161行 REQ-6cafd7643204、第2164行 REQ-7126bee0f50e
2. 规则：BR-20d70857b0b49802
3. 未动态验证</x:v>
      </x:c>
    </x:row>
    <x:row r="126" ht="100" customHeight="1">
      <x:c r="A126" s="10" t="n">
        <x:v>125</x:v>
      </x:c>
      <x:c r="B126" s="10" t="str">
        <x:v>GUILD-02-0082</x:v>
      </x:c>
      <x:c r="C126" s="10" t="str">
        <x:v>主播管理</x:v>
      </x:c>
      <x:c r="D126" s="10" t="str">
        <x:v>退会申请详情</x:v>
      </x:c>
      <x:c r="E126" s="10" t="str">
        <x:v>功能需求</x:v>
      </x:c>
      <x:c r="F126" s="10" t="str">
        <x:v>P1</x:v>
      </x:c>
      <x:c r="G126" s="9" t="str">
        <x:v>验证退会通过不进入平台审核</x:v>
      </x:c>
      <x:c r="H126" s="9" t="str">
        <x:v>退会终审归属</x:v>
      </x:c>
      <x:c r="I126" s="9" t="str">
        <x:v>1. 公会长账号可用，已选择待测公会
2. 本会主播有待审退会申请</x:v>
      </x:c>
      <x:c r="J126" s="9" t="str">
        <x:v>1. 打开退会申请详情
2. 点击通过
3. 确认二次确认弹窗</x:v>
      </x:c>
      <x:c r="K126" s="9" t="str">
        <x:v>申请直接显示已通过，不出现平台待审节点</x:v>
      </x:c>
      <x:c r="L126" s="10" t="str">
        <x:v>FLOW-LEAVE</x:v>
      </x:c>
      <x:c r="M126" s="10" t="str">
        <x:v>未测</x:v>
      </x:c>
      <x:c r="N126" s="10" t="str"/>
      <x:c r="O126" s="9" t="str">
        <x:v>1. 来源（当前证据）：liveshow-proto/MainBasis/统一需求文档.md；位置：第2153行、第2148行 REQ-4f04fbe0f282、第2149行 REQ-dc1ca0561434
2. 规则：BR-d96edadb41c5d530
3. 未动态验证</x:v>
      </x:c>
    </x:row>
    <x:row r="127" ht="145" customHeight="1">
      <x:c r="A127" s="10" t="n">
        <x:v>126</x:v>
      </x:c>
      <x:c r="B127" s="10" t="str">
        <x:v>GUILD-02-0083</x:v>
      </x:c>
      <x:c r="C127" s="10" t="str">
        <x:v>主播管理</x:v>
      </x:c>
      <x:c r="D127" s="10" t="str">
        <x:v>退会申请详情</x:v>
      </x:c>
      <x:c r="E127" s="10" t="str">
        <x:v>功能需求</x:v>
      </x:c>
      <x:c r="F127" s="10" t="str">
        <x:v>P1</x:v>
      </x:c>
      <x:c r="G127" s="9" t="str">
        <x:v>验证退会申请详情读取退会申请记录：本次入会日期</x:v>
      </x:c>
      <x:c r="H127" s="9" t="str">
        <x:v>本次入会日期</x:v>
      </x:c>
      <x:c r="I127" s="9" t="str">
        <x:v>1. 公会长账号可用，已选择待测公会
2. 已知该主播本次加入日期与退会原因，申请尚未处理</x:v>
      </x:c>
      <x:c r="J127" s="9" t="str">
        <x:v>1. 打开退会申请详情</x:v>
      </x:c>
      <x:c r="K127" s="9" t="str">
        <x:v>加入日期使用本次公会关系的加入日期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来源（当前证据）：liveshow-proto/MainBasis/统一需求文档.md；位置：第2153行、第2154行 REQ-c4f27cd5a1e2、第2155行 REQ-f42e4484494b、第2156行 REQ-5c090b220506、第2157行 REQ-9fb4a71d06b5、第2158行 REQ-c27f4dc80b59、第2159行 REQ-e04cd7aa2abc、第2160行 REQ-0bb5af2f5376
2. 规则：BR-c7ace015e14812a2
3. 未动态验证</x:v>
      </x:c>
    </x:row>
    <x:row r="128" ht="145" customHeight="1">
      <x:c r="A128" s="10" t="n">
        <x:v>127</x:v>
      </x:c>
      <x:c r="B128" s="10" t="str">
        <x:v>GUILD-02-0084</x:v>
      </x:c>
      <x:c r="C128" s="10" t="str">
        <x:v>主播管理</x:v>
      </x:c>
      <x:c r="D128" s="10" t="str">
        <x:v>退会申请详情</x:v>
      </x:c>
      <x:c r="E128" s="10" t="str">
        <x:v>功能需求</x:v>
      </x:c>
      <x:c r="F128" s="10" t="str">
        <x:v>P1</x:v>
      </x:c>
      <x:c r="G128" s="9" t="str">
        <x:v>验证退会申请详情读取退会申请记录：退会提交时间</x:v>
      </x:c>
      <x:c r="H128" s="9" t="str">
        <x:v>退会提交时间</x:v>
      </x:c>
      <x:c r="I128" s="9" t="str">
        <x:v>1. 公会长账号可用，已选择待测公会
2. 已知该主播本次加入日期与退会原因，申请尚未处理</x:v>
      </x:c>
      <x:c r="J128" s="9" t="str">
        <x:v>1. 打开退会申请详情</x:v>
      </x:c>
      <x:c r="K128" s="9" t="str">
        <x:v>申请时间显示本笔退会申请提交时间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来源（当前证据）：liveshow-proto/MainBasis/统一需求文档.md；位置：第2153行、第2154行 REQ-c4f27cd5a1e2、第2155行 REQ-f42e4484494b、第2156行 REQ-5c090b220506、第2157行 REQ-9fb4a71d06b5、第2158行 REQ-c27f4dc80b59、第2159行 REQ-e04cd7aa2abc、第2160行 REQ-0bb5af2f5376
2. 规则：BR-58a1dd57546926c6
3. 未动态验证</x:v>
      </x:c>
    </x:row>
    <x:row r="129" ht="145" customHeight="1">
      <x:c r="A129" s="10" t="n">
        <x:v>128</x:v>
      </x:c>
      <x:c r="B129" s="10" t="str">
        <x:v>GUILD-02-0085</x:v>
      </x:c>
      <x:c r="C129" s="10" t="str">
        <x:v>主播管理</x:v>
      </x:c>
      <x:c r="D129" s="10" t="str">
        <x:v>退会申请详情</x:v>
      </x:c>
      <x:c r="E129" s="10" t="str">
        <x:v>功能需求</x:v>
      </x:c>
      <x:c r="F129" s="10" t="str">
        <x:v>P1</x:v>
      </x:c>
      <x:c r="G129" s="9" t="str">
        <x:v>验证退会申请详情读取退会申请记录：退会原因快照</x:v>
      </x:c>
      <x:c r="H129" s="9" t="str">
        <x:v>退会原因快照</x:v>
      </x:c>
      <x:c r="I129" s="9" t="str">
        <x:v>1. 公会长账号可用，已选择待测公会
2. 已知该主播本次加入日期与退会原因，申请尚未处理</x:v>
      </x:c>
      <x:c r="J129" s="9" t="str">
        <x:v>1. 打开退会申请详情</x:v>
      </x:c>
      <x:c r="K129" s="9" t="str">
        <x:v>原因显示本笔申请提交的退会原因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来源（当前证据）：liveshow-proto/MainBasis/统一需求文档.md；位置：第2153行、第2154行 REQ-c4f27cd5a1e2、第2155行 REQ-f42e4484494b、第2156行 REQ-5c090b220506、第2157行 REQ-9fb4a71d06b5、第2158行 REQ-c27f4dc80b59、第2159行 REQ-e04cd7aa2abc、第2160行 REQ-0bb5af2f5376
2. 规则：BR-a63b57c6f241b959
3. 未动态验证</x:v>
      </x:c>
    </x:row>
    <x:row r="130" ht="145" customHeight="1">
      <x:c r="A130" s="10" t="n">
        <x:v>129</x:v>
      </x:c>
      <x:c r="B130" s="10" t="str">
        <x:v>GUILD-02-0086</x:v>
      </x:c>
      <x:c r="C130" s="10" t="str">
        <x:v>主播管理</x:v>
      </x:c>
      <x:c r="D130" s="10" t="str">
        <x:v>退会申请详情</x:v>
      </x:c>
      <x:c r="E130" s="10" t="str">
        <x:v>功能需求</x:v>
      </x:c>
      <x:c r="F130" s="10" t="str">
        <x:v>P1</x:v>
      </x:c>
      <x:c r="G130" s="9" t="str">
        <x:v>验证退会申请详情读取退会申请记录：待审核状态</x:v>
      </x:c>
      <x:c r="H130" s="9" t="str">
        <x:v>待审核状态</x:v>
      </x:c>
      <x:c r="I130" s="9" t="str">
        <x:v>1. 公会长账号可用，已选择待测公会
2. 已知该主播本次加入日期与退会原因，申请尚未处理</x:v>
      </x:c>
      <x:c r="J130" s="9" t="str">
        <x:v>1. 打开退会申请详情</x:v>
      </x:c>
      <x:c r="K130" s="9" t="str">
        <x:v>尚未处理的退会申请显示待审核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来源（当前证据）：liveshow-proto/MainBasis/统一需求文档.md；位置：第2153行、第2154行 REQ-c4f27cd5a1e2、第2155行 REQ-f42e4484494b、第2156行 REQ-5c090b220506、第2157行 REQ-9fb4a71d06b5、第2158行 REQ-c27f4dc80b59、第2159行 REQ-e04cd7aa2abc、第2160行 REQ-0bb5af2f5376
2. 规则：BR-c623ed2d07594c7d
3. 未动态验证</x:v>
      </x:c>
    </x:row>
    <x:row r="131" ht="115" customHeight="1">
      <x:c r="A131" s="10" t="n">
        <x:v>130</x:v>
      </x:c>
      <x:c r="B131" s="10" t="str">
        <x:v>GUILD-02-0087</x:v>
      </x:c>
      <x:c r="C131" s="10" t="str">
        <x:v>主播管理</x:v>
      </x:c>
      <x:c r="D131" s="10" t="str">
        <x:v>退会申请</x:v>
      </x:c>
      <x:c r="E131" s="10" t="str">
        <x:v>功能需求</x:v>
      </x:c>
      <x:c r="F131" s="10" t="str">
        <x:v>P1</x:v>
      </x:c>
      <x:c r="G131" s="9" t="str">
        <x:v>验证筛选审核中申请</x:v>
      </x:c>
      <x:c r="H131" s="9" t="str">
        <x:v>申请状态筛选</x:v>
      </x:c>
      <x:c r="I131" s="9" t="str">
        <x:v>1. 公会长账号可用，已选择待测公会
2. 本公会三种状态各有2笔申请</x:v>
      </x:c>
      <x:c r="J131" s="9" t="str">
        <x:v>1. 打开退会申请
2. 切换审核中标签</x:v>
      </x:c>
      <x:c r="K131" s="9" t="str">
        <x:v>仅显示所选状态的2笔申请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来源（当前证据）：liveshow-proto/MainBasis/统一需求文档.md；位置：第2143行、第2144行 REQ-34ccb328cc03、第2147行 REQ-38a749afe7fb、第2150行 REQ-e9eaaac2af1c
2. 规则：BR-a99e9c3ea540e645
3. 未动态验证</x:v>
      </x:c>
    </x:row>
    <x:row r="132" ht="115" customHeight="1">
      <x:c r="A132" s="10" t="n">
        <x:v>131</x:v>
      </x:c>
      <x:c r="B132" s="10" t="str">
        <x:v>GUILD-02-0088</x:v>
      </x:c>
      <x:c r="C132" s="10" t="str">
        <x:v>主播管理</x:v>
      </x:c>
      <x:c r="D132" s="10" t="str">
        <x:v>退会申请</x:v>
      </x:c>
      <x:c r="E132" s="10" t="str">
        <x:v>功能需求</x:v>
      </x:c>
      <x:c r="F132" s="10" t="str">
        <x:v>P1</x:v>
      </x:c>
      <x:c r="G132" s="9" t="str">
        <x:v>验证筛选已通过申请</x:v>
      </x:c>
      <x:c r="H132" s="9" t="str">
        <x:v>申请状态筛选</x:v>
      </x:c>
      <x:c r="I132" s="9" t="str">
        <x:v>1. 公会长账号可用，已选择待测公会
2. 本公会三种状态各有2笔申请</x:v>
      </x:c>
      <x:c r="J132" s="9" t="str">
        <x:v>1. 打开退会申请
2. 切换已通过标签</x:v>
      </x:c>
      <x:c r="K132" s="9" t="str">
        <x:v>仅显示所选状态的2笔申请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来源（当前证据）：liveshow-proto/MainBasis/统一需求文档.md；位置：第2143行、第2144行 REQ-34ccb328cc03、第2147行 REQ-38a749afe7fb、第2150行 REQ-e9eaaac2af1c
2. 规则：BR-541fbd2b4a7169b3
3. 未动态验证</x:v>
      </x:c>
    </x:row>
    <x:row r="133" ht="115" customHeight="1">
      <x:c r="A133" s="10" t="n">
        <x:v>132</x:v>
      </x:c>
      <x:c r="B133" s="10" t="str">
        <x:v>GUILD-02-0089</x:v>
      </x:c>
      <x:c r="C133" s="10" t="str">
        <x:v>主播管理</x:v>
      </x:c>
      <x:c r="D133" s="10" t="str">
        <x:v>退会申请</x:v>
      </x:c>
      <x:c r="E133" s="10" t="str">
        <x:v>功能需求</x:v>
      </x:c>
      <x:c r="F133" s="10" t="str">
        <x:v>P1</x:v>
      </x:c>
      <x:c r="G133" s="9" t="str">
        <x:v>验证筛选已驳回申请</x:v>
      </x:c>
      <x:c r="H133" s="9" t="str">
        <x:v>申请状态筛选</x:v>
      </x:c>
      <x:c r="I133" s="9" t="str">
        <x:v>1. 公会长账号可用，已选择待测公会
2. 本公会三种状态各有2笔申请</x:v>
      </x:c>
      <x:c r="J133" s="9" t="str">
        <x:v>1. 打开退会申请
2. 切换已驳回标签</x:v>
      </x:c>
      <x:c r="K133" s="9" t="str">
        <x:v>仅显示所选状态的2笔申请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来源（当前证据）：liveshow-proto/MainBasis/统一需求文档.md；位置：第2143行、第2144行 REQ-34ccb328cc03、第2147行 REQ-38a749afe7fb、第2150行 REQ-e9eaaac2af1c
2. 规则：BR-888679bfaf76db43
3. 未动态验证</x:v>
      </x:c>
    </x:row>
    <x:row r="134" ht="115" customHeight="1">
      <x:c r="A134" s="10" t="n">
        <x:v>133</x:v>
      </x:c>
      <x:c r="B134" s="10" t="str">
        <x:v>GUILD-02-0090</x:v>
      </x:c>
      <x:c r="C134" s="10" t="str">
        <x:v>主播管理</x:v>
      </x:c>
      <x:c r="D134" s="10" t="str">
        <x:v>退会申请</x:v>
      </x:c>
      <x:c r="E134" s="10" t="str">
        <x:v>功能需求</x:v>
      </x:c>
      <x:c r="F134" s="10" t="str">
        <x:v>P1</x:v>
      </x:c>
      <x:c r="G134" s="9" t="str">
        <x:v>验证首次进入申请列表</x:v>
      </x:c>
      <x:c r="H134" s="9" t="str">
        <x:v>申请默认标签</x:v>
      </x:c>
      <x:c r="I134" s="9" t="str">
        <x:v>1. 公会长账号可用，已选择待测公会
2. 本公会存在待审核申请</x:v>
      </x:c>
      <x:c r="J134" s="9" t="str">
        <x:v>1. 打开退会申请</x:v>
      </x:c>
      <x:c r="K134" s="9" t="str">
        <x:v>默认选中审核中标签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来源（当前证据）：liveshow-proto/MainBasis/统一需求文档.md；位置：第2143行、第2144行 REQ-34ccb328cc03、第2147行 REQ-38a749afe7fb、第2150行 REQ-e9eaaac2af1c
2. 规则：BR-8e8580f5544a1c2a
3. 未动态验证</x:v>
      </x:c>
    </x:row>
    <x:row r="135" ht="115" customHeight="1">
      <x:c r="A135" s="10" t="n">
        <x:v>134</x:v>
      </x:c>
      <x:c r="B135" s="10" t="str">
        <x:v>GUILD-02-0091</x:v>
      </x:c>
      <x:c r="C135" s="10" t="str">
        <x:v>主播管理</x:v>
      </x:c>
      <x:c r="D135" s="10" t="str">
        <x:v>退会申请</x:v>
      </x:c>
      <x:c r="E135" s="10" t="str">
        <x:v>功能需求</x:v>
      </x:c>
      <x:c r="F135" s="10" t="str">
        <x:v>P1</x:v>
      </x:c>
      <x:c r="G135" s="9" t="str">
        <x:v>验证申请列表打开详情</x:v>
      </x:c>
      <x:c r="H135" s="9" t="str">
        <x:v>申请详情定位</x:v>
      </x:c>
      <x:c r="I135" s="9" t="str">
        <x:v>1. 公会长账号可用，已选择待测公会
2. 列表存在两笔不同申请</x:v>
      </x:c>
      <x:c r="J135" s="9" t="str">
        <x:v>1. 打开退会申请
2. 点击其中一笔申请卡片</x:v>
      </x:c>
      <x:c r="K135" s="9" t="str">
        <x:v>详情对应所选申请单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来源（当前证据）：liveshow-proto/MainBasis/统一需求文档.md；位置：第2143行、第2144行 REQ-34ccb328cc03、第2147行 REQ-38a749afe7fb、第2150行 REQ-e9eaaac2af1c
2. 规则：BR-fd23106dd7ce0132
3. 未动态验证</x:v>
      </x:c>
    </x:row>
    <x:row r="136" ht="100" customHeight="1">
      <x:c r="A136" s="10" t="n">
        <x:v>135</x:v>
      </x:c>
      <x:c r="B136" s="10" t="str">
        <x:v>GUILD-02-0092</x:v>
      </x:c>
      <x:c r="C136" s="10" t="str">
        <x:v>主播管理</x:v>
      </x:c>
      <x:c r="D136" s="10" t="str">
        <x:v>退会申请</x:v>
      </x:c>
      <x:c r="E136" s="10" t="str">
        <x:v>功能需求</x:v>
      </x:c>
      <x:c r="F136" s="10" t="str">
        <x:v>P1</x:v>
      </x:c>
      <x:c r="G136" s="9" t="str">
        <x:v>验证退会申请人身份核对</x:v>
      </x:c>
      <x:c r="H136" s="9" t="str">
        <x:v>申请主体身份</x:v>
      </x:c>
      <x:c r="I136" s="9" t="str">
        <x:v>1. 公会长账号可用，已选择待测公会
2. 存在两个申请人，姓名相似而实际ID不同</x:v>
      </x:c>
      <x:c r="J136" s="9" t="str">
        <x:v>1. 打开退会申请</x:v>
      </x:c>
      <x:c r="K136" s="9" t="str">
        <x:v>每张申请卡片的头像、名称、ID取自同一申请人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来源（当前证据）：liveshow-proto/MainBasis/统一需求文档.md；位置：第2143行、第2145行 REQ-acb4de4aef54、第2146行 REQ-283dcbce445a
2. 规则：BR-8a114dc6690f1e6c
3. 未动态验证</x:v>
      </x:c>
    </x:row>
    <x:row r="137" ht="100" customHeight="1">
      <x:c r="A137" s="10" t="n">
        <x:v>136</x:v>
      </x:c>
      <x:c r="B137" s="10" t="str">
        <x:v>GUILD-02-0093</x:v>
      </x:c>
      <x:c r="C137" s="10" t="str">
        <x:v>主播管理</x:v>
      </x:c>
      <x:c r="D137" s="10" t="str">
        <x:v>退会申请</x:v>
      </x:c>
      <x:c r="E137" s="10" t="str">
        <x:v>功能需求</x:v>
      </x:c>
      <x:c r="F137" s="10" t="str">
        <x:v>P1</x:v>
      </x:c>
      <x:c r="G137" s="9" t="str">
        <x:v>验证退会提交时间与审核时间不同</x:v>
      </x:c>
      <x:c r="H137" s="9" t="str">
        <x:v>申请提交时间</x:v>
      </x:c>
      <x:c r="I137" s="9" t="str">
        <x:v>1. 公会长账号可用，已选择待测公会
2. 申请9月1日提交、9月2日处理，已记录服务端提交时间</x:v>
      </x:c>
      <x:c r="J137" s="9" t="str">
        <x:v>1. 打开退会申请</x:v>
      </x:c>
      <x:c r="K137" s="9" t="str">
        <x:v>申请时间显示9月1日对应的提交时间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来源（当前证据）：liveshow-proto/MainBasis/统一需求文档.md；位置：第2143行、第2145行 REQ-acb4de4aef54、第2146行 REQ-283dcbce445a
2. 规则：BR-89016138ba32aeba
3. 未动态验证</x:v>
      </x:c>
    </x:row>
    <x:row r="138" ht="130" customHeight="1">
      <x:c r="A138" s="10" t="n">
        <x:v>137</x:v>
      </x:c>
      <x:c r="B138" s="10" t="str">
        <x:v>GUILD-02-0094</x:v>
      </x:c>
      <x:c r="C138" s="10" t="str">
        <x:v>主播管理</x:v>
      </x:c>
      <x:c r="D138" s="10" t="str">
        <x:v>主播列表</x:v>
      </x:c>
      <x:c r="E138" s="10" t="str">
        <x:v>功能需求</x:v>
      </x:c>
      <x:c r="F138" s="10" t="str">
        <x:v>P1</x:v>
      </x:c>
      <x:c r="G138" s="9" t="str">
        <x:v>验证首次进入主播列表</x:v>
      </x:c>
      <x:c r="H138" s="9" t="str">
        <x:v>在会默认范围</x:v>
      </x:c>
      <x:c r="I138" s="9" t="str">
        <x:v>1. 公会长账号可用，已选择待测公会
2. 本会有在会和已退会主播</x:v>
      </x:c>
      <x:c r="J138" s="9" t="str">
        <x:v>1. 打开主播列表</x:v>
      </x:c>
      <x:c r="K138" s="9" t="str">
        <x:v>默认仅展示在会主播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规则：BR-37f4103c763c7464
3. 未动态验证</x:v>
      </x:c>
    </x:row>
    <x:row r="139" ht="130" customHeight="1">
      <x:c r="A139" s="10" t="n">
        <x:v>138</x:v>
      </x:c>
      <x:c r="B139" s="10" t="str">
        <x:v>GUILD-02-0095</x:v>
      </x:c>
      <x:c r="C139" s="10" t="str">
        <x:v>主播管理</x:v>
      </x:c>
      <x:c r="D139" s="10" t="str">
        <x:v>主播列表</x:v>
      </x:c>
      <x:c r="E139" s="10" t="str">
        <x:v>功能需求</x:v>
      </x:c>
      <x:c r="F139" s="10" t="str">
        <x:v>P1</x:v>
      </x:c>
      <x:c r="G139" s="9" t="str">
        <x:v>验证查询历史退会主播</x:v>
      </x:c>
      <x:c r="H139" s="9" t="str">
        <x:v>历史关系保留</x:v>
      </x:c>
      <x:c r="I139" s="9" t="str">
        <x:v>1. 公会长账号可用，已选择待测公会
2. 本会一名主播已退会</x:v>
      </x:c>
      <x:c r="J139" s="9" t="str">
        <x:v>1. 打开主播列表
2. 切换已退会</x:v>
      </x:c>
      <x:c r="K139" s="9" t="str">
        <x:v>已退会列表包含该主播</x:v>
      </x:c>
      <x:c r="L139" s="10" t="str">
        <x:v>FLOW-LEAVE</x:v>
      </x:c>
      <x:c r="M139" s="10" t="str">
        <x:v>未测</x:v>
      </x:c>
      <x:c r="N139" s="10" t="str"/>
      <x:c r="O139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规则：BR-5a59aa453a7cff1c
3. 未动态验证</x:v>
      </x:c>
    </x:row>
    <x:row r="140" ht="130" customHeight="1">
      <x:c r="A140" s="10" t="n">
        <x:v>139</x:v>
      </x:c>
      <x:c r="B140" s="10" t="str">
        <x:v>GUILD-02-0096</x:v>
      </x:c>
      <x:c r="C140" s="10" t="str">
        <x:v>主播管理</x:v>
      </x:c>
      <x:c r="D140" s="10" t="str">
        <x:v>主播列表</x:v>
      </x:c>
      <x:c r="E140" s="10" t="str">
        <x:v>功能需求</x:v>
      </x:c>
      <x:c r="F140" s="10" t="str">
        <x:v>P1</x:v>
      </x:c>
      <x:c r="G140" s="9" t="str">
        <x:v>验证本会主播范围</x:v>
      </x:c>
      <x:c r="H140" s="9" t="str">
        <x:v>公会关系隔离</x:v>
      </x:c>
      <x:c r="I140" s="9" t="str">
        <x:v>1. 公会长账号可用，已选择待测公会
2. 平台存在本会主播、其他公会主播和普通用户</x:v>
      </x:c>
      <x:c r="J140" s="9" t="str">
        <x:v>1. 打开主播列表</x:v>
      </x:c>
      <x:c r="K140" s="9" t="str">
        <x:v>本会主播列表不包含其他公会主播或普通用户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规则：BR-0af472290c51d473
3. 未动态验证</x:v>
      </x:c>
    </x:row>
    <x:row r="141" ht="130" customHeight="1">
      <x:c r="A141" s="10" t="n">
        <x:v>140</x:v>
      </x:c>
      <x:c r="B141" s="10" t="str">
        <x:v>GUILD-02-0097</x:v>
      </x:c>
      <x:c r="C141" s="10" t="str">
        <x:v>主播管理</x:v>
      </x:c>
      <x:c r="D141" s="10" t="str">
        <x:v>主播列表</x:v>
      </x:c>
      <x:c r="E141" s="10" t="str">
        <x:v>功能需求</x:v>
      </x:c>
      <x:c r="F141" s="10" t="str">
        <x:v>P1</x:v>
      </x:c>
      <x:c r="G141" s="9" t="str">
        <x:v>验证名称与状态联合查询</x:v>
      </x:c>
      <x:c r="H141" s="9" t="str">
        <x:v>名称筛选交集</x:v>
      </x:c>
      <x:c r="I141" s="9" t="str">
        <x:v>1. 公会长账号可用，已选择待测公会
2. 本会两名主播名称含同一字符，其中一名已退会</x:v>
      </x:c>
      <x:c r="J141" s="9" t="str">
        <x:v>1. 打开主播列表
2. 切换在会
3. 输入搜索关键词为两人共有的名称字符</x:v>
      </x:c>
      <x:c r="K141" s="9" t="str">
        <x:v>仅显示仍在会的匹配主播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规则：BR-317ca0887d288654
3. 未动态验证</x:v>
      </x:c>
    </x:row>
    <x:row r="142" ht="130" customHeight="1">
      <x:c r="A142" s="10" t="n">
        <x:v>141</x:v>
      </x:c>
      <x:c r="B142" s="10" t="str">
        <x:v>GUILD-02-0098</x:v>
      </x:c>
      <x:c r="C142" s="10" t="str">
        <x:v>主播管理</x:v>
      </x:c>
      <x:c r="D142" s="10" t="str">
        <x:v>主播列表</x:v>
      </x:c>
      <x:c r="E142" s="10" t="str">
        <x:v>功能需求</x:v>
      </x:c>
      <x:c r="F142" s="10" t="str">
        <x:v>P1</x:v>
      </x:c>
      <x:c r="G142" s="9" t="str">
        <x:v>验证主播ID模糊查询</x:v>
      </x:c>
      <x:c r="H142" s="9" t="str">
        <x:v>主播ID模糊匹配</x:v>
      </x:c>
      <x:c r="I142" s="9" t="str">
        <x:v>1. 公会长账号可用，已选择待测公会
2. 已知两名本会主播实际ID的不同尾号</x:v>
      </x:c>
      <x:c r="J142" s="9" t="str">
        <x:v>1. 打开主播列表
2. 输入搜索关键词为其中一人ID尾号</x:v>
      </x:c>
      <x:c r="K142" s="9" t="str">
        <x:v>显示ID包含该尾号的主播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规则：BR-b4ebfddcb41261fa
3. 未动态验证</x:v>
      </x:c>
    </x:row>
    <x:row r="143" ht="130" customHeight="1">
      <x:c r="A143" s="10" t="n">
        <x:v>142</x:v>
      </x:c>
      <x:c r="B143" s="10" t="str">
        <x:v>GUILD-02-0099</x:v>
      </x:c>
      <x:c r="C143" s="10" t="str">
        <x:v>主播管理</x:v>
      </x:c>
      <x:c r="D143" s="10" t="str">
        <x:v>主播列表</x:v>
      </x:c>
      <x:c r="E143" s="10" t="str">
        <x:v>功能需求</x:v>
      </x:c>
      <x:c r="F143" s="10" t="str">
        <x:v>P1</x:v>
      </x:c>
      <x:c r="G143" s="9" t="str">
        <x:v>验证按加入日期排序</x:v>
      </x:c>
      <x:c r="H143" s="9" t="str">
        <x:v>入会时间倒序</x:v>
      </x:c>
      <x:c r="I143" s="9" t="str">
        <x:v>1. 公会长账号可用，已选择待测公会
2. 本会三名主播加入时间不同</x:v>
      </x:c>
      <x:c r="J143" s="9" t="str">
        <x:v>1. 打开主播列表</x:v>
      </x:c>
      <x:c r="K143" s="9" t="str">
        <x:v>加入时间较晚的主播排列在前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规则：BR-a44ff06bff18ea19
3. 未动态验证</x:v>
      </x:c>
    </x:row>
    <x:row r="144" ht="130" customHeight="1">
      <x:c r="A144" s="10" t="n">
        <x:v>143</x:v>
      </x:c>
      <x:c r="B144" s="10" t="str">
        <x:v>GUILD-02-0100</x:v>
      </x:c>
      <x:c r="C144" s="10" t="str">
        <x:v>主播管理</x:v>
      </x:c>
      <x:c r="D144" s="10" t="str">
        <x:v>主播列表</x:v>
      </x:c>
      <x:c r="E144" s="10" t="str">
        <x:v>功能需求</x:v>
      </x:c>
      <x:c r="F144" s="10" t="str">
        <x:v>P1</x:v>
      </x:c>
      <x:c r="G144" s="9" t="str">
        <x:v>验证主播列表打开主页</x:v>
      </x:c>
      <x:c r="H144" s="9" t="str">
        <x:v>主播主页定位</x:v>
      </x:c>
      <x:c r="I144" s="9" t="str">
        <x:v>1. 公会长账号可用，已选择待测公会
2. 存在在会主播</x:v>
      </x:c>
      <x:c r="J144" s="9" t="str">
        <x:v>1. 打开主播列表
2. 点击主播行</x:v>
      </x:c>
      <x:c r="K144" s="9" t="str">
        <x:v>进入所选主播主页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规则：BR-288b64751b3fa1fd
3. 未动态验证</x:v>
      </x:c>
    </x:row>
    <x:row r="145" ht="100" customHeight="1">
      <x:c r="A145" s="10" t="n">
        <x:v>144</x:v>
      </x:c>
      <x:c r="B145" s="10" t="str">
        <x:v>GUILD-02-0101</x:v>
      </x:c>
      <x:c r="C145" s="10" t="str">
        <x:v>主播管理</x:v>
      </x:c>
      <x:c r="D145" s="10" t="str">
        <x:v>主播列表</x:v>
      </x:c>
      <x:c r="E145" s="10" t="str">
        <x:v>功能需求</x:v>
      </x:c>
      <x:c r="F145" s="10" t="str">
        <x:v>P1</x:v>
      </x:c>
      <x:c r="G145" s="9" t="str">
        <x:v>验证主播列表读取主播身份</x:v>
      </x:c>
      <x:c r="H145" s="9" t="str">
        <x:v>主播身份字段来源</x:v>
      </x:c>
      <x:c r="I145" s="9" t="str">
        <x:v>1. 公会长账号可用，已选择待测公会
2. 本会两名主播头像、名称和真实ID不同</x:v>
      </x:c>
      <x:c r="J145" s="9" t="str">
        <x:v>1. 打开主播列表</x:v>
      </x:c>
      <x:c r="K145" s="9" t="str">
        <x:v>每行头像和名称对应该行主播ID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来源（当前证据）：liveshow-proto/MainBasis/统一需求文档.md；位置：第2168行、第2171行 REQ-bae0f08d57d5、第2172行 REQ-0caffc93bbfd
2. 规则：BR-e38e9db407022dc2
3. 未动态验证</x:v>
      </x:c>
    </x:row>
    <x:row r="146" ht="115" customHeight="1">
      <x:c r="A146" s="10" t="n">
        <x:v>145</x:v>
      </x:c>
      <x:c r="B146" s="10" t="str">
        <x:v>GUILD-03-0001</x:v>
      </x:c>
      <x:c r="C146" s="10" t="str">
        <x:v>运营工具</x:v>
      </x:c>
      <x:c r="D146" s="10" t="str">
        <x:v>选择主播（运营消息接收范围）</x:v>
      </x:c>
      <x:c r="E146" s="10" t="str">
        <x:v>功能需求</x:v>
      </x:c>
      <x:c r="F146" s="10" t="str">
        <x:v>P1</x:v>
      </x:c>
      <x:c r="G146" s="9" t="str">
        <x:v>验证指定主播单选</x:v>
      </x:c>
      <x:c r="H146" s="9" t="str">
        <x:v>消息接收人单选</x:v>
      </x:c>
      <x:c r="I146" s="9" t="str">
        <x:v>1. 公会长账号可用，已选择待测公会
2. 本会有两名在会主播</x:v>
      </x:c>
      <x:c r="J146" s="9" t="str">
        <x:v>1. 打开运营消息接收范围中的选择主播
2. 选择第一名主播
3. 选择第二名主播</x:v>
      </x:c>
      <x:c r="K146" s="9" t="str">
        <x:v>仅第二名主播保持选中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来源（当前证据）：liveshow-proto/MainBasis/统一需求文档.md；位置：第2262行、第2263行 REQ-72f407f193bf、第2264行 REQ-ffef8c8a4d81、第2267行 REQ-0d20da6a1fa9、第2268行 REQ-5d699926b257
2. 规则：BR-1041b11530ab8e74
3. 未动态验证</x:v>
      </x:c>
    </x:row>
    <x:row r="147" ht="115" customHeight="1">
      <x:c r="A147" s="10" t="n">
        <x:v>146</x:v>
      </x:c>
      <x:c r="B147" s="10" t="str">
        <x:v>GUILD-03-0002</x:v>
      </x:c>
      <x:c r="C147" s="10" t="str">
        <x:v>运营工具</x:v>
      </x:c>
      <x:c r="D147" s="10" t="str">
        <x:v>选择主播（运营消息接收范围）</x:v>
      </x:c>
      <x:c r="E147" s="10" t="str">
        <x:v>功能需求</x:v>
      </x:c>
      <x:c r="F147" s="10" t="str">
        <x:v>P1</x:v>
      </x:c>
      <x:c r="G147" s="9" t="str">
        <x:v>验证不选主播完成</x:v>
      </x:c>
      <x:c r="H147" s="9" t="str">
        <x:v>接收人必选</x:v>
      </x:c>
      <x:c r="I147" s="9" t="str">
        <x:v>1. 公会长账号可用，已选择待测公会
2. 当前未选中主播</x:v>
      </x:c>
      <x:c r="J147" s="9" t="str">
        <x:v>1. 打开运营消息接收范围中的选择主播
2. 点击完成</x:v>
      </x:c>
      <x:c r="K147" s="9" t="str">
        <x:v>提示选择主播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来源（当前证据）：liveshow-proto/MainBasis/统一需求文档.md；位置：第2262行、第2263行 REQ-72f407f193bf、第2264行 REQ-ffef8c8a4d81、第2267行 REQ-0d20da6a1fa9、第2268行 REQ-5d699926b257
2. 规则：BR-3259768afce88cbb
3. 未动态验证</x:v>
      </x:c>
    </x:row>
    <x:row r="148" ht="115" customHeight="1">
      <x:c r="A148" s="10" t="n">
        <x:v>147</x:v>
      </x:c>
      <x:c r="B148" s="10" t="str">
        <x:v>GUILD-03-0003</x:v>
      </x:c>
      <x:c r="C148" s="10" t="str">
        <x:v>运营工具</x:v>
      </x:c>
      <x:c r="D148" s="10" t="str">
        <x:v>选择主播（运营消息接收范围）</x:v>
      </x:c>
      <x:c r="E148" s="10" t="str">
        <x:v>功能需求</x:v>
      </x:c>
      <x:c r="F148" s="10" t="str">
        <x:v>P1</x:v>
      </x:c>
      <x:c r="G148" s="9" t="str">
        <x:v>验证选中后回填</x:v>
      </x:c>
      <x:c r="H148" s="9" t="str">
        <x:v>消息接收人回填</x:v>
      </x:c>
      <x:c r="I148" s="9" t="str">
        <x:v>1. 公会长账号可用，已选择待测公会
2. 从新建运营消息进入选择页</x:v>
      </x:c>
      <x:c r="J148" s="9" t="str">
        <x:v>1. 打开运营消息接收范围中的选择主播
2. 选择一名主播
3. 点击完成</x:v>
      </x:c>
      <x:c r="K148" s="9" t="str">
        <x:v>新建运营消息显示所选主播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来源（当前证据）：liveshow-proto/MainBasis/统一需求文档.md；位置：第2262行、第2263行 REQ-72f407f193bf、第2264行 REQ-ffef8c8a4d81、第2267行 REQ-0d20da6a1fa9、第2268行 REQ-5d699926b257
2. 规则：BR-0b982b23152bfe00
3. 未动态验证</x:v>
      </x:c>
    </x:row>
    <x:row r="149" ht="115" customHeight="1">
      <x:c r="A149" s="10" t="n">
        <x:v>148</x:v>
      </x:c>
      <x:c r="B149" s="10" t="str">
        <x:v>GUILD-03-0004</x:v>
      </x:c>
      <x:c r="C149" s="10" t="str">
        <x:v>运营工具</x:v>
      </x:c>
      <x:c r="D149" s="10" t="str">
        <x:v>选择主播（运营消息接收范围）</x:v>
      </x:c>
      <x:c r="E149" s="10" t="str">
        <x:v>功能需求</x:v>
      </x:c>
      <x:c r="F149" s="10" t="str">
        <x:v>P1</x:v>
      </x:c>
      <x:c r="G149" s="9" t="str">
        <x:v>验证搜索主播名称</x:v>
      </x:c>
      <x:c r="H149" s="9" t="str">
        <x:v>接收人名称匹配</x:v>
      </x:c>
      <x:c r="I149" s="9" t="str">
        <x:v>1. 公会长账号可用，已选择待测公会
2. 本会两名主播名称不同</x:v>
      </x:c>
      <x:c r="J149" s="9" t="str">
        <x:v>1. 打开运营消息接收范围中的选择主播
2. 输入搜索关键词为其中一人名称</x:v>
      </x:c>
      <x:c r="K149" s="9" t="str">
        <x:v>搜索结果只包含匹配的本会主播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来源（当前证据）：liveshow-proto/MainBasis/统一需求文档.md；位置：第2262行、第2263行 REQ-72f407f193bf、第2264行 REQ-ffef8c8a4d81、第2267行 REQ-0d20da6a1fa9、第2268行 REQ-5d699926b257
2. 规则：BR-1ac4585a986bfc5e
3. 未动态验证</x:v>
      </x:c>
    </x:row>
    <x:row r="150" ht="100" customHeight="1">
      <x:c r="A150" s="10" t="n">
        <x:v>149</x:v>
      </x:c>
      <x:c r="B150" s="10" t="str">
        <x:v>GUILD-03-0005</x:v>
      </x:c>
      <x:c r="C150" s="10" t="str">
        <x:v>运营工具</x:v>
      </x:c>
      <x:c r="D150" s="10" t="str">
        <x:v>选择主播（运营消息接收范围）</x:v>
      </x:c>
      <x:c r="E150" s="10" t="str">
        <x:v>功能需求</x:v>
      </x:c>
      <x:c r="F150" s="10" t="str">
        <x:v>P1</x:v>
      </x:c>
      <x:c r="G150" s="9" t="str">
        <x:v>验证选择主播主播标识核对</x:v>
      </x:c>
      <x:c r="H150" s="9" t="str">
        <x:v>头像名称与ID归属</x:v>
      </x:c>
      <x:c r="I150" s="9" t="str">
        <x:v>1. 公会长账号可用，已选择待测公会
2. 本会两名主播使用相似昵称，已知各自真实ID及头像</x:v>
      </x:c>
      <x:c r="J150" s="9" t="str">
        <x:v>1. 打开运营消息接收范围中的选择主播</x:v>
      </x:c>
      <x:c r="K150" s="9" t="str">
        <x:v>头像、名称和ID对应同一主播账号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来源（当前证据）：liveshow-proto/MainBasis/统一需求文档.md；位置：第2262行、第2265行 REQ-22d3084bfdfe、第2266行 REQ-276cb5a06416
2. 规则：BR-46aee733d1dfff8c
3. 未动态验证</x:v>
      </x:c>
    </x:row>
    <x:row r="151" ht="145" customHeight="1">
      <x:c r="A151" s="10" t="n">
        <x:v>150</x:v>
      </x:c>
      <x:c r="B151" s="10" t="str">
        <x:v>GUILD-03-0006</x:v>
      </x:c>
      <x:c r="C151" s="10" t="str">
        <x:v>运营工具</x:v>
      </x:c>
      <x:c r="D151" s="10" t="str">
        <x:v>新建运营消息</x:v>
      </x:c>
      <x:c r="E151" s="10" t="str">
        <x:v>功能需求</x:v>
      </x:c>
      <x:c r="F151" s="10" t="str">
        <x:v>P1</x:v>
      </x:c>
      <x:c r="G151" s="9" t="str">
        <x:v>验证向全体主播发送消息</x:v>
      </x:c>
      <x:c r="H151" s="9" t="str">
        <x:v>全体接收范围确认</x:v>
      </x:c>
      <x:c r="I151" s="9" t="str">
        <x:v>1. 公会长账号可用，已选择待测公会
2. 本会当前有2名在会主播，另有1名已退会主播</x:v>
      </x:c>
      <x:c r="J151" s="9" t="str">
        <x:v>1. 打开新建运营消息
2. 选择全体主播
3. 输入文字内容为本周开播安排
4. 点击发送</x:v>
      </x:c>
      <x:c r="K151" s="9" t="str">
        <x:v>二次确认接收人数为2人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规则：BR-d23649c74edb00bd
3. 未动态验证</x:v>
      </x:c>
    </x:row>
    <x:row r="152" ht="145" customHeight="1">
      <x:c r="A152" s="10" t="n">
        <x:v>151</x:v>
      </x:c>
      <x:c r="B152" s="10" t="str">
        <x:v>GUILD-03-0007</x:v>
      </x:c>
      <x:c r="C152" s="10" t="str">
        <x:v>运营工具</x:v>
      </x:c>
      <x:c r="D152" s="10" t="str">
        <x:v>新建运营消息</x:v>
      </x:c>
      <x:c r="E152" s="10" t="str">
        <x:v>功能需求</x:v>
      </x:c>
      <x:c r="F152" s="10" t="str">
        <x:v>P1</x:v>
      </x:c>
      <x:c r="G152" s="9" t="str">
        <x:v>验证确认发送全体消息</x:v>
      </x:c>
      <x:c r="H152" s="9" t="str">
        <x:v>消息发送记录</x:v>
      </x:c>
      <x:c r="I152" s="9" t="str">
        <x:v>1. 公会长账号可用，已选择待测公会
2. 本会有在会主播</x:v>
      </x:c>
      <x:c r="J152" s="9" t="str">
        <x:v>1. 打开新建运营消息
2. 选择全体主播
3. 输入文字内容为本周开播安排
4. 点击发送
5. 确认接收范围</x:v>
      </x:c>
      <x:c r="K152" s="9" t="str">
        <x:v>列表新增本次发送记录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规则：BR-43851994b8524469
3. 未动态验证</x:v>
      </x:c>
    </x:row>
    <x:row r="153" ht="145" customHeight="1">
      <x:c r="A153" s="10" t="n">
        <x:v>152</x:v>
      </x:c>
      <x:c r="B153" s="10" t="str">
        <x:v>GUILD-03-0008</x:v>
      </x:c>
      <x:c r="C153" s="10" t="str">
        <x:v>运营工具</x:v>
      </x:c>
      <x:c r="D153" s="10" t="str">
        <x:v>新建运营消息</x:v>
      </x:c>
      <x:c r="E153" s="10" t="str">
        <x:v>功能需求</x:v>
      </x:c>
      <x:c r="F153" s="10" t="str">
        <x:v>P1</x:v>
      </x:c>
      <x:c r="G153" s="9" t="str">
        <x:v>验证指定一名主播发送</x:v>
      </x:c>
      <x:c r="H153" s="9" t="str">
        <x:v>指定接收人记录</x:v>
      </x:c>
      <x:c r="I153" s="9" t="str">
        <x:v>1. 公会长账号可用，已选择待测公会
2. 本会有两名在会主播</x:v>
      </x:c>
      <x:c r="J153" s="9" t="str">
        <x:v>1. 打开新建运营消息
2. 选择指定主播
3. 选择其中一名主播
4. 输入文字内容为本周开播安排
5. 点击发送
6. 确认接收范围</x:v>
      </x:c>
      <x:c r="K153" s="9" t="str">
        <x:v>发送记录仅关联所选主播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规则：BR-a7677033b45d82ce
3. 未动态验证</x:v>
      </x:c>
    </x:row>
    <x:row r="154" ht="145" customHeight="1">
      <x:c r="A154" s="10" t="n">
        <x:v>153</x:v>
      </x:c>
      <x:c r="B154" s="10" t="str">
        <x:v>GUILD-03-0009</x:v>
      </x:c>
      <x:c r="C154" s="10" t="str">
        <x:v>运营工具</x:v>
      </x:c>
      <x:c r="D154" s="10" t="str">
        <x:v>新建运营消息</x:v>
      </x:c>
      <x:c r="E154" s="10" t="str">
        <x:v>功能需求</x:v>
      </x:c>
      <x:c r="F154" s="10" t="str">
        <x:v>P1</x:v>
      </x:c>
      <x:c r="G154" s="9" t="str">
        <x:v>验证取消发送确认</x:v>
      </x:c>
      <x:c r="H154" s="9" t="str">
        <x:v>取消不生成发送记录</x:v>
      </x:c>
      <x:c r="I154" s="9" t="str">
        <x:v>1. 公会长账号可用，已选择待测公会
2. 本会有在会主播</x:v>
      </x:c>
      <x:c r="J154" s="9" t="str">
        <x:v>1. 打开新建运营消息
2. 选择全体主播
3. 输入文字内容为本周开播安排
4. 点击发送
5. 取消确认弹窗</x:v>
      </x:c>
      <x:c r="K154" s="9" t="str">
        <x:v>未新增本次发送记录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规则：BR-043aced49f14d722
3. 未动态验证</x:v>
      </x:c>
    </x:row>
    <x:row r="155" ht="145" customHeight="1">
      <x:c r="A155" s="10" t="n">
        <x:v>154</x:v>
      </x:c>
      <x:c r="B155" s="10" t="str">
        <x:v>GUILD-03-0010</x:v>
      </x:c>
      <x:c r="C155" s="10" t="str">
        <x:v>运营工具</x:v>
      </x:c>
      <x:c r="D155" s="10" t="str">
        <x:v>新建运营消息</x:v>
      </x:c>
      <x:c r="E155" s="10" t="str">
        <x:v>功能需求</x:v>
      </x:c>
      <x:c r="F155" s="10" t="str">
        <x:v>P1</x:v>
      </x:c>
      <x:c r="G155" s="9" t="str">
        <x:v>验证移除附带图片</x:v>
      </x:c>
      <x:c r="H155" s="9" t="str">
        <x:v>消息图片移除</x:v>
      </x:c>
      <x:c r="I155" s="9" t="str">
        <x:v>1. 公会长账号可用，已选择待测公会
2. 已选择一张PNG图片</x:v>
      </x:c>
      <x:c r="J155" s="9" t="str">
        <x:v>1. 打开新建运营消息
2. 点击图片移除入口</x:v>
      </x:c>
      <x:c r="K155" s="9" t="str">
        <x:v>图片不再作为本次待发送附件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规则：BR-63e41db857e0b125
3. 未动态验证</x:v>
      </x:c>
    </x:row>
    <x:row r="156" ht="145" customHeight="1">
      <x:c r="A156" s="10" t="n">
        <x:v>155</x:v>
      </x:c>
      <x:c r="B156" s="10" t="str">
        <x:v>GUILD-03-0011</x:v>
      </x:c>
      <x:c r="C156" s="10" t="str">
        <x:v>运营工具</x:v>
      </x:c>
      <x:c r="D156" s="10" t="str">
        <x:v>新建运营消息</x:v>
      </x:c>
      <x:c r="E156" s="10" t="str">
        <x:v>功能需求</x:v>
      </x:c>
      <x:c r="F156" s="10" t="str">
        <x:v>P1</x:v>
      </x:c>
      <x:c r="G156" s="9" t="str">
        <x:v>验证只发文字消息</x:v>
      </x:c>
      <x:c r="H156" s="9" t="str">
        <x:v>图片选填</x:v>
      </x:c>
      <x:c r="I156" s="9" t="str">
        <x:v>1. 公会长账号可用，已选择待测公会
2. 发送对象有效</x:v>
      </x:c>
      <x:c r="J156" s="9" t="str">
        <x:v>1. 打开新建运营消息
2. 输入文字内容为本周开播安排
3. 点击发送
4. 确认接收范围</x:v>
      </x:c>
      <x:c r="K156" s="9" t="str">
        <x:v>发送记录不含图片附件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规则：BR-12ae89afaebe5c40
3. 未动态验证</x:v>
      </x:c>
    </x:row>
    <x:row r="157" ht="100" customHeight="1">
      <x:c r="A157" s="10" t="n">
        <x:v>156</x:v>
      </x:c>
      <x:c r="B157" s="10" t="str">
        <x:v>GUILD-03-0012</x:v>
      </x:c>
      <x:c r="C157" s="10" t="str">
        <x:v>运营工具</x:v>
      </x:c>
      <x:c r="D157" s="10" t="str">
        <x:v>新建运营消息</x:v>
      </x:c>
      <x:c r="E157" s="10" t="str">
        <x:v>异常用例</x:v>
      </x:c>
      <x:c r="F157" s="10" t="str">
        <x:v>P1</x:v>
      </x:c>
      <x:c r="G157" s="9" t="str">
        <x:v>验证文字内容为空时不可提交</x:v>
      </x:c>
      <x:c r="H157" s="9" t="str">
        <x:v>文字内容必填校验</x:v>
      </x:c>
      <x:c r="I157" s="9" t="str">
        <x:v>1. 公会长账号可用，已选择待测公会
2. 其余必填字段保持已有合法值</x:v>
      </x:c>
      <x:c r="J157" s="9" t="str">
        <x:v>1. 打开新建运营消息
2. 清空文字内容
3. 点击发送</x:v>
      </x:c>
      <x:c r="K157" s="9" t="str">
        <x:v>文字内容为空的表单不能提交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来源（当前证据）：liveshow-proto/MainBasis/统一需求文档.md；位置：第2253行、第2256行 REQ-dfb0280c6c20、第2259行 REQ-6caa3d6ba0bd
2. 规则：BR-b042d5453cd237de
3. 未动态验证</x:v>
      </x:c>
    </x:row>
    <x:row r="158" ht="100" customHeight="1">
      <x:c r="A158" s="10" t="n">
        <x:v>157</x:v>
      </x:c>
      <x:c r="B158" s="10" t="str">
        <x:v>GUILD-03-0013</x:v>
      </x:c>
      <x:c r="C158" s="10" t="str">
        <x:v>运营工具</x:v>
      </x:c>
      <x:c r="D158" s="10" t="str">
        <x:v>新建运营消息</x:v>
      </x:c>
      <x:c r="E158" s="10" t="str">
        <x:v>逻辑校验</x:v>
      </x:c>
      <x:c r="F158" s="10" t="str">
        <x:v>P1</x:v>
      </x:c>
      <x:c r="G158" s="9" t="str">
        <x:v>验证文字内容达到500字符上限</x:v>
      </x:c>
      <x:c r="H158" s="9" t="str">
        <x:v>文字内容长度上界</x:v>
      </x:c>
      <x:c r="I158" s="9" t="str">
        <x:v>1. 公会长账号可用，已选择待测公会
2. 其余必填字段保持已有合法值</x:v>
      </x:c>
      <x:c r="J158" s="9" t="str">
        <x:v>1. 打开新建运营消息
2. 输入文字内容为500个汉字
3. 点击发送</x:v>
      </x:c>
      <x:c r="K158" s="9" t="str">
        <x:v>文字内容的500字符值通过长度校验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来源（当前证据）：liveshow-proto/MainBasis/统一需求文档.md；位置：第2253行、第2256行 REQ-dfb0280c6c20、第2259行 REQ-6caa3d6ba0bd
2. 规则：BR-cc36cc1ab74ef8c4
3. 未动态验证</x:v>
      </x:c>
    </x:row>
    <x:row r="159" ht="100" customHeight="1">
      <x:c r="A159" s="10" t="n">
        <x:v>158</x:v>
      </x:c>
      <x:c r="B159" s="10" t="str">
        <x:v>GUILD-03-0014</x:v>
      </x:c>
      <x:c r="C159" s="10" t="str">
        <x:v>运营工具</x:v>
      </x:c>
      <x:c r="D159" s="10" t="str">
        <x:v>新建运营消息</x:v>
      </x:c>
      <x:c r="E159" s="10" t="str">
        <x:v>异常用例</x:v>
      </x:c>
      <x:c r="F159" s="10" t="str">
        <x:v>P1</x:v>
      </x:c>
      <x:c r="G159" s="9" t="str">
        <x:v>验证文字内容超过500字符上限</x:v>
      </x:c>
      <x:c r="H159" s="9" t="str">
        <x:v>文字内容超长拦截</x:v>
      </x:c>
      <x:c r="I159" s="9" t="str">
        <x:v>1. 公会长账号可用，已选择待测公会
2. 其余必填字段保持已有合法值</x:v>
      </x:c>
      <x:c r="J159" s="9" t="str">
        <x:v>1. 打开新建运营消息
2. 输入文字内容为501个汉字
3. 点击发送</x:v>
      </x:c>
      <x:c r="K159" s="9" t="str">
        <x:v>文字内容不能保存超过500字符的内容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来源（当前证据）：liveshow-proto/MainBasis/统一需求文档.md；位置：第2253行、第2256行 REQ-dfb0280c6c20、第2259行 REQ-6caa3d6ba0bd
2. 规则：BR-c577d8653e6012c9
3. 未动态验证</x:v>
      </x:c>
    </x:row>
    <x:row r="160" ht="85" customHeight="1">
      <x:c r="A160" s="10" t="n">
        <x:v>159</x:v>
      </x:c>
      <x:c r="B160" s="10" t="str">
        <x:v>GUILD-03-0015</x:v>
      </x:c>
      <x:c r="C160" s="10" t="str">
        <x:v>运营工具</x:v>
      </x:c>
      <x:c r="D160" s="10" t="str">
        <x:v>新建运营消息</x:v>
      </x:c>
      <x:c r="E160" s="10" t="str">
        <x:v>功能需求</x:v>
      </x:c>
      <x:c r="F160" s="10" t="str">
        <x:v>P1</x:v>
      </x:c>
      <x:c r="G160" s="9" t="str">
        <x:v>验证上传JPG消息图片</x:v>
      </x:c>
      <x:c r="H160" s="9" t="str">
        <x:v>消息图片格式</x:v>
      </x:c>
      <x:c r="I160" s="9" t="str">
        <x:v>1. 公会长账号可用，已选择待测公会
2. 已准备一张可打开的JPG图片</x:v>
      </x:c>
      <x:c r="J160" s="9" t="str">
        <x:v>1. 打开新建运营消息
2. 上传图片</x:v>
      </x:c>
      <x:c r="K160" s="9" t="str">
        <x:v>图片显示已选择的附件预览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来源（当前证据）：liveshow-proto/MainBasis/统一需求文档.md；位置：第2253行、第2257行 REQ-e5b4036c1c77
2. 规则：BR-18f6c3a98e35d3d8
3. 未动态验证</x:v>
      </x:c>
    </x:row>
    <x:row r="161" ht="85" customHeight="1">
      <x:c r="A161" s="10" t="n">
        <x:v>160</x:v>
      </x:c>
      <x:c r="B161" s="10" t="str">
        <x:v>GUILD-03-0016</x:v>
      </x:c>
      <x:c r="C161" s="10" t="str">
        <x:v>运营工具</x:v>
      </x:c>
      <x:c r="D161" s="10" t="str">
        <x:v>新建运营消息</x:v>
      </x:c>
      <x:c r="E161" s="10" t="str">
        <x:v>功能需求</x:v>
      </x:c>
      <x:c r="F161" s="10" t="str">
        <x:v>P1</x:v>
      </x:c>
      <x:c r="G161" s="9" t="str">
        <x:v>验证上传PNG消息图片</x:v>
      </x:c>
      <x:c r="H161" s="9" t="str">
        <x:v>消息图片格式</x:v>
      </x:c>
      <x:c r="I161" s="9" t="str">
        <x:v>1. 公会长账号可用，已选择待测公会
2. 已准备一张可打开的PNG图片</x:v>
      </x:c>
      <x:c r="J161" s="9" t="str">
        <x:v>1. 打开新建运营消息
2. 上传图片</x:v>
      </x:c>
      <x:c r="K161" s="9" t="str">
        <x:v>图片显示已选择的附件预览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来源（当前证据）：liveshow-proto/MainBasis/统一需求文档.md；位置：第2253行、第2257行 REQ-e5b4036c1c77
2. 规则：BR-7741b86a498346cf
3. 未动态验证</x:v>
      </x:c>
    </x:row>
    <x:row r="162" ht="85" customHeight="1">
      <x:c r="A162" s="10" t="n">
        <x:v>161</x:v>
      </x:c>
      <x:c r="B162" s="10" t="str">
        <x:v>GUILD-03-0017</x:v>
      </x:c>
      <x:c r="C162" s="10" t="str">
        <x:v>运营工具</x:v>
      </x:c>
      <x:c r="D162" s="10" t="str">
        <x:v>新建运营消息</x:v>
      </x:c>
      <x:c r="E162" s="10" t="str">
        <x:v>功能需求</x:v>
      </x:c>
      <x:c r="F162" s="10" t="str">
        <x:v>P1</x:v>
      </x:c>
      <x:c r="G162" s="9" t="str">
        <x:v>验证上传WebP消息图片</x:v>
      </x:c>
      <x:c r="H162" s="9" t="str">
        <x:v>消息图片格式</x:v>
      </x:c>
      <x:c r="I162" s="9" t="str">
        <x:v>1. 公会长账号可用，已选择待测公会
2. 已准备一张可打开的WebP图片</x:v>
      </x:c>
      <x:c r="J162" s="9" t="str">
        <x:v>1. 打开新建运营消息
2. 上传图片</x:v>
      </x:c>
      <x:c r="K162" s="9" t="str">
        <x:v>图片显示已选择的附件预览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来源（当前证据）：liveshow-proto/MainBasis/统一需求文档.md；位置：第2253行、第2257行 REQ-e5b4036c1c77
2. 规则：BR-6d9a011b61f879fa
3. 未动态验证</x:v>
      </x:c>
    </x:row>
    <x:row r="163" ht="85" customHeight="1">
      <x:c r="A163" s="10" t="n">
        <x:v>162</x:v>
      </x:c>
      <x:c r="B163" s="10" t="str">
        <x:v>GUILD-03-0018</x:v>
      </x:c>
      <x:c r="C163" s="10" t="str">
        <x:v>运营工具</x:v>
      </x:c>
      <x:c r="D163" s="10" t="str">
        <x:v>新建运营消息</x:v>
      </x:c>
      <x:c r="E163" s="10" t="str">
        <x:v>功能需求</x:v>
      </x:c>
      <x:c r="F163" s="10" t="str">
        <x:v>P1</x:v>
      </x:c>
      <x:c r="G163" s="9" t="str">
        <x:v>验证图片数量上限</x:v>
      </x:c>
      <x:c r="H163" s="9" t="str">
        <x:v>单张附件限制</x:v>
      </x:c>
      <x:c r="I163" s="9" t="str">
        <x:v>1. 公会长账号可用，已选择待测公会
2. 已经选择一张PNG图片</x:v>
      </x:c>
      <x:c r="J163" s="9" t="str">
        <x:v>1. 打开新建运营消息
2. 上传第二张PNG图片</x:v>
      </x:c>
      <x:c r="K163" s="9" t="str">
        <x:v>待发送附件不会同时包含两张图片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来源（当前证据）：liveshow-proto/MainBasis/统一需求文档.md；位置：第2253行、第2257行 REQ-e5b4036c1c77
2. 规则：BR-e3bff720da4c3d20
3. 未动态验证</x:v>
      </x:c>
    </x:row>
    <x:row r="164" ht="100" customHeight="1">
      <x:c r="A164" s="10" t="n">
        <x:v>163</x:v>
      </x:c>
      <x:c r="B164" s="10" t="str">
        <x:v>GUILD-03-0019</x:v>
      </x:c>
      <x:c r="C164" s="10" t="str">
        <x:v>运营工具</x:v>
      </x:c>
      <x:c r="D164" s="10" t="str">
        <x:v>运营消息详情</x:v>
      </x:c>
      <x:c r="E164" s="10" t="str">
        <x:v>功能需求</x:v>
      </x:c>
      <x:c r="F164" s="10" t="str">
        <x:v>P1</x:v>
      </x:c>
      <x:c r="G164" s="9" t="str">
        <x:v>验证接收主播已退会</x:v>
      </x:c>
      <x:c r="H164" s="9" t="str">
        <x:v>消息历史接收范围</x:v>
      </x:c>
      <x:c r="I164" s="9" t="str">
        <x:v>1. 公会长账号可用，已选择待测公会
2. 消息发送后其中一名接收主播已退会</x:v>
      </x:c>
      <x:c r="J164" s="9" t="str">
        <x:v>1. 打开运营消息详情</x:v>
      </x:c>
      <x:c r="K164" s="9" t="str">
        <x:v>详情保留该主播在发送时的接收记录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来源（当前证据）：liveshow-proto/MainBasis/统一需求文档.md；位置：第2271行、第2277行 REQ-bc6ffc5cf6cd、第2278行 REQ-84d09063cc5c
2. 规则：BR-1b1f615c692a38a1
3. 未动态验证</x:v>
      </x:c>
    </x:row>
    <x:row r="165" ht="100" customHeight="1">
      <x:c r="A165" s="10" t="n">
        <x:v>164</x:v>
      </x:c>
      <x:c r="B165" s="10" t="str">
        <x:v>GUILD-03-0020</x:v>
      </x:c>
      <x:c r="C165" s="10" t="str">
        <x:v>运营工具</x:v>
      </x:c>
      <x:c r="D165" s="10" t="str">
        <x:v>运营消息详情</x:v>
      </x:c>
      <x:c r="E165" s="10" t="str">
        <x:v>功能需求</x:v>
      </x:c>
      <x:c r="F165" s="10" t="str">
        <x:v>P1</x:v>
      </x:c>
      <x:c r="G165" s="9" t="str">
        <x:v>验证已发消息只读</x:v>
      </x:c>
      <x:c r="H165" s="9" t="str">
        <x:v>发送记录不可编辑</x:v>
      </x:c>
      <x:c r="I165" s="9" t="str">
        <x:v>1. 公会长账号可用，已选择待测公会
2. 消息已发送</x:v>
      </x:c>
      <x:c r="J165" s="9" t="str">
        <x:v>1. 打开运营消息详情</x:v>
      </x:c>
      <x:c r="K165" s="9" t="str">
        <x:v>详情不提供编辑或撤回操作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来源（当前证据）：liveshow-proto/MainBasis/统一需求文档.md；位置：第2271行、第2277行 REQ-bc6ffc5cf6cd、第2278行 REQ-84d09063cc5c
2. 规则：BR-1addd58fbdda6e11
3. 未动态验证</x:v>
      </x:c>
    </x:row>
    <x:row r="166" ht="100" customHeight="1">
      <x:c r="A166" s="10" t="n">
        <x:v>165</x:v>
      </x:c>
      <x:c r="B166" s="10" t="str">
        <x:v>GUILD-03-0021</x:v>
      </x:c>
      <x:c r="C166" s="10" t="str">
        <x:v>运营工具</x:v>
      </x:c>
      <x:c r="D166" s="10" t="str">
        <x:v>运营消息详情</x:v>
      </x:c>
      <x:c r="E166" s="10" t="str">
        <x:v>功能需求</x:v>
      </x:c>
      <x:c r="F166" s="10" t="str">
        <x:v>P1</x:v>
      </x:c>
      <x:c r="G166" s="9" t="str">
        <x:v>验证无附图消息</x:v>
      </x:c>
      <x:c r="H166" s="9" t="str">
        <x:v>无图区域隐藏</x:v>
      </x:c>
      <x:c r="I166" s="9" t="str">
        <x:v>1. 公会长账号可用，已选择待测公会
2. 目标消息发送时未附图</x:v>
      </x:c>
      <x:c r="J166" s="9" t="str">
        <x:v>1. 打开运营消息详情</x:v>
      </x:c>
      <x:c r="K166" s="9" t="str">
        <x:v>详情不显示图片附件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来源（当前证据）：liveshow-proto/MainBasis/统一需求文档.md；位置：第2271行、第2277行 REQ-bc6ffc5cf6cd、第2278行 REQ-84d09063cc5c
2. 规则：BR-43ee3a1d20fb6d77
3. 未动态验证</x:v>
      </x:c>
    </x:row>
    <x:row r="167" ht="145" customHeight="1">
      <x:c r="A167" s="10" t="n">
        <x:v>166</x:v>
      </x:c>
      <x:c r="B167" s="10" t="str">
        <x:v>GUILD-03-0022</x:v>
      </x:c>
      <x:c r="C167" s="10" t="str">
        <x:v>运营工具</x:v>
      </x:c>
      <x:c r="D167" s="10" t="str">
        <x:v>运营消息详情</x:v>
      </x:c>
      <x:c r="E167" s="10" t="str">
        <x:v>功能需求</x:v>
      </x:c>
      <x:c r="F167" s="10" t="str">
        <x:v>P1</x:v>
      </x:c>
      <x:c r="G167" s="9" t="str">
        <x:v>验证运营消息详情读取发送快照：发送对象快照</x:v>
      </x:c>
      <x:c r="H167" s="9" t="str">
        <x:v>发送对象快照</x:v>
      </x:c>
      <x:c r="I167" s="9" t="str">
        <x:v>1. 公会长账号可用，已选择待测公会
2. 已发送一条包含图片的消息，已记录发送者、接收范围、时间和正文</x:v>
      </x:c>
      <x:c r="J167" s="9" t="str">
        <x:v>1. 打开运营消息详情</x:v>
      </x:c>
      <x:c r="K167" s="9" t="str">
        <x:v>接收范围保持发送时选定范围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来源（当前证据）：liveshow-proto/MainBasis/统一需求文档.md；位置：第2271行、第2272行 REQ-eb1fe01e4d16、第2273行 REQ-1ff8b13ac737、第2274行 REQ-3c8314c9f414、第2275行 REQ-9cd1caddc550、第2276行 REQ-d26a7f3cbd0b、第2277行 REQ-bc6ffc5cf6cd
2. 规则：BR-7cd9e089c5d7165f
3. 未动态验证</x:v>
      </x:c>
    </x:row>
    <x:row r="168" ht="145" customHeight="1">
      <x:c r="A168" s="10" t="n">
        <x:v>167</x:v>
      </x:c>
      <x:c r="B168" s="10" t="str">
        <x:v>GUILD-03-0023</x:v>
      </x:c>
      <x:c r="C168" s="10" t="str">
        <x:v>运营工具</x:v>
      </x:c>
      <x:c r="D168" s="10" t="str">
        <x:v>运营消息详情</x:v>
      </x:c>
      <x:c r="E168" s="10" t="str">
        <x:v>功能需求</x:v>
      </x:c>
      <x:c r="F168" s="10" t="str">
        <x:v>P1</x:v>
      </x:c>
      <x:c r="G168" s="9" t="str">
        <x:v>验证运营消息详情读取发送快照：发送者身份</x:v>
      </x:c>
      <x:c r="H168" s="9" t="str">
        <x:v>发送者身份</x:v>
      </x:c>
      <x:c r="I168" s="9" t="str">
        <x:v>1. 公会长账号可用，已选择待测公会
2. 已发送一条包含图片的消息，已记录发送者、接收范围、时间和正文</x:v>
      </x:c>
      <x:c r="J168" s="9" t="str">
        <x:v>1. 打开运营消息详情</x:v>
      </x:c>
      <x:c r="K168" s="9" t="str">
        <x:v>发送人对应实际发送账号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来源（当前证据）：liveshow-proto/MainBasis/统一需求文档.md；位置：第2271行、第2272行 REQ-eb1fe01e4d16、第2273行 REQ-1ff8b13ac737、第2274行 REQ-3c8314c9f414、第2275行 REQ-9cd1caddc550、第2276行 REQ-d26a7f3cbd0b、第2277行 REQ-bc6ffc5cf6cd
2. 规则：BR-c097ff9c289b1c34
3. 未动态验证</x:v>
      </x:c>
    </x:row>
    <x:row r="169" ht="145" customHeight="1">
      <x:c r="A169" s="10" t="n">
        <x:v>168</x:v>
      </x:c>
      <x:c r="B169" s="10" t="str">
        <x:v>GUILD-03-0024</x:v>
      </x:c>
      <x:c r="C169" s="10" t="str">
        <x:v>运营工具</x:v>
      </x:c>
      <x:c r="D169" s="10" t="str">
        <x:v>运营消息详情</x:v>
      </x:c>
      <x:c r="E169" s="10" t="str">
        <x:v>功能需求</x:v>
      </x:c>
      <x:c r="F169" s="10" t="str">
        <x:v>P1</x:v>
      </x:c>
      <x:c r="G169" s="9" t="str">
        <x:v>验证运营消息详情读取发送快照：历史消息正文</x:v>
      </x:c>
      <x:c r="H169" s="9" t="str">
        <x:v>历史消息正文</x:v>
      </x:c>
      <x:c r="I169" s="9" t="str">
        <x:v>1. 公会长账号可用，已选择待测公会
2. 已发送一条包含图片的消息，已记录发送者、接收范围、时间和正文</x:v>
      </x:c>
      <x:c r="J169" s="9" t="str">
        <x:v>1. 打开运营消息详情</x:v>
      </x:c>
      <x:c r="K169" s="9" t="str">
        <x:v>正文与发送时一致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来源（当前证据）：liveshow-proto/MainBasis/统一需求文档.md；位置：第2271行、第2272行 REQ-eb1fe01e4d16、第2273行 REQ-1ff8b13ac737、第2274行 REQ-3c8314c9f414、第2275行 REQ-9cd1caddc550、第2276行 REQ-d26a7f3cbd0b、第2277行 REQ-bc6ffc5cf6cd
2. 规则：BR-e4bedbbdbfffecf7
3. 未动态验证</x:v>
      </x:c>
    </x:row>
    <x:row r="170" ht="145" customHeight="1">
      <x:c r="A170" s="10" t="n">
        <x:v>169</x:v>
      </x:c>
      <x:c r="B170" s="10" t="str">
        <x:v>GUILD-03-0025</x:v>
      </x:c>
      <x:c r="C170" s="10" t="str">
        <x:v>运营工具</x:v>
      </x:c>
      <x:c r="D170" s="10" t="str">
        <x:v>运营消息详情</x:v>
      </x:c>
      <x:c r="E170" s="10" t="str">
        <x:v>功能需求</x:v>
      </x:c>
      <x:c r="F170" s="10" t="str">
        <x:v>P1</x:v>
      </x:c>
      <x:c r="G170" s="9" t="str">
        <x:v>验证运营消息详情读取发送快照：历史消息附图</x:v>
      </x:c>
      <x:c r="H170" s="9" t="str">
        <x:v>历史消息附图</x:v>
      </x:c>
      <x:c r="I170" s="9" t="str">
        <x:v>1. 公会长账号可用，已选择待测公会
2. 已发送一条包含图片的消息，已记录发送者、接收范围、时间和正文</x:v>
      </x:c>
      <x:c r="J170" s="9" t="str">
        <x:v>1. 打开运营消息详情</x:v>
      </x:c>
      <x:c r="K170" s="9" t="str">
        <x:v>附图与发送时一致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来源（当前证据）：liveshow-proto/MainBasis/统一需求文档.md；位置：第2271行、第2272行 REQ-eb1fe01e4d16、第2273行 REQ-1ff8b13ac737、第2274行 REQ-3c8314c9f414、第2275行 REQ-9cd1caddc550、第2276行 REQ-d26a7f3cbd0b、第2277行 REQ-bc6ffc5cf6cd
2. 规则：BR-60bdd89d6e21502f
3. 未动态验证</x:v>
      </x:c>
    </x:row>
    <x:row r="171" ht="145" customHeight="1">
      <x:c r="A171" s="10" t="n">
        <x:v>170</x:v>
      </x:c>
      <x:c r="B171" s="10" t="str">
        <x:v>GUILD-03-0026</x:v>
      </x:c>
      <x:c r="C171" s="10" t="str">
        <x:v>运营工具</x:v>
      </x:c>
      <x:c r="D171" s="10" t="str">
        <x:v>运营消息</x:v>
      </x:c>
      <x:c r="E171" s="10" t="str">
        <x:v>功能需求</x:v>
      </x:c>
      <x:c r="F171" s="10" t="str">
        <x:v>P1</x:v>
      </x:c>
      <x:c r="G171" s="9" t="str">
        <x:v>验证默认查看本月消息</x:v>
      </x:c>
      <x:c r="H171" s="9" t="str">
        <x:v>消息默认时间范围</x:v>
      </x:c>
      <x:c r="I171" s="9" t="str">
        <x:v>1. 公会长账号可用，已选择待测公会
2. 存在本月与上月的发送记录</x:v>
      </x:c>
      <x:c r="J171" s="9" t="str">
        <x:v>1. 打开运营消息</x:v>
      </x:c>
      <x:c r="K171" s="9" t="str">
        <x:v>列表仅展示本月发送记录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来源（当前证据）：liveshow-proto/MainBasis/统一需求文档.md；位置：第2243行、第2244行 REQ-c875529c79de、第2245行 REQ-6bb0d557d199、第2246行 REQ-77b1cd84565d、第2247行 REQ-e8126dadbd4a、第2248行 REQ-ac1a81a4ddc2、第2249行 REQ-58ccf650f17f、第2250行 REQ-d9e45606a774
2. 规则：BR-b45d900d6b410cea
3. 未动态验证</x:v>
      </x:c>
    </x:row>
    <x:row r="172" ht="145" customHeight="1">
      <x:c r="A172" s="10" t="n">
        <x:v>171</x:v>
      </x:c>
      <x:c r="B172" s="10" t="str">
        <x:v>GUILD-03-0027</x:v>
      </x:c>
      <x:c r="C172" s="10" t="str">
        <x:v>运营工具</x:v>
      </x:c>
      <x:c r="D172" s="10" t="str">
        <x:v>运营消息</x:v>
      </x:c>
      <x:c r="E172" s="10" t="str">
        <x:v>功能需求</x:v>
      </x:c>
      <x:c r="F172" s="10" t="str">
        <x:v>P1</x:v>
      </x:c>
      <x:c r="G172" s="9" t="str">
        <x:v>验证消息日期范围含首尾</x:v>
      </x:c>
      <x:c r="H172" s="9" t="str">
        <x:v>发送日期边界</x:v>
      </x:c>
      <x:c r="I172" s="9" t="str">
        <x:v>1. 公会长账号可用，已选择待测公会
2. 三条消息分别在所选开始日、结束日及结束日次日发送</x:v>
      </x:c>
      <x:c r="J172" s="9" t="str">
        <x:v>1. 打开运营消息
2. 选择包含前两条的自定义日期范围</x:v>
      </x:c>
      <x:c r="K172" s="9" t="str">
        <x:v>列表保留开始日与结束日的2条消息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来源（当前证据）：liveshow-proto/MainBasis/统一需求文档.md；位置：第2243行、第2244行 REQ-c875529c79de、第2245行 REQ-6bb0d557d199、第2246行 REQ-77b1cd84565d、第2247行 REQ-e8126dadbd4a、第2248行 REQ-ac1a81a4ddc2、第2249行 REQ-58ccf650f17f、第2250行 REQ-d9e45606a774
2. 规则：BR-b95e98305ca9745f
3. 未动态验证</x:v>
      </x:c>
    </x:row>
    <x:row r="173" ht="145" customHeight="1">
      <x:c r="A173" s="10" t="n">
        <x:v>172</x:v>
      </x:c>
      <x:c r="B173" s="10" t="str">
        <x:v>GUILD-03-0028</x:v>
      </x:c>
      <x:c r="C173" s="10" t="str">
        <x:v>运营工具</x:v>
      </x:c>
      <x:c r="D173" s="10" t="str">
        <x:v>运营消息</x:v>
      </x:c>
      <x:c r="E173" s="10" t="str">
        <x:v>功能需求</x:v>
      </x:c>
      <x:c r="F173" s="10" t="str">
        <x:v>P1</x:v>
      </x:c>
      <x:c r="G173" s="9" t="str">
        <x:v>验证新建消息入口</x:v>
      </x:c>
      <x:c r="H173" s="9" t="str">
        <x:v>消息创建入口</x:v>
      </x:c>
      <x:c r="I173" s="9" t="str">
        <x:v>1. 公会长账号可用，已选择待测公会
2. 当前公会有效</x:v>
      </x:c>
      <x:c r="J173" s="9" t="str">
        <x:v>1. 打开运营消息
2. 点击新建</x:v>
      </x:c>
      <x:c r="K173" s="9" t="str">
        <x:v>进入新建运营消息页面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来源（当前证据）：liveshow-proto/MainBasis/统一需求文档.md；位置：第2243行、第2244行 REQ-c875529c79de、第2245行 REQ-6bb0d557d199、第2246行 REQ-77b1cd84565d、第2247行 REQ-e8126dadbd4a、第2248行 REQ-ac1a81a4ddc2、第2249行 REQ-58ccf650f17f、第2250行 REQ-d9e45606a774
2. 规则：BR-5dd54ce051c512d7
3. 未动态验证</x:v>
      </x:c>
    </x:row>
    <x:row r="174" ht="145" customHeight="1">
      <x:c r="A174" s="10" t="n">
        <x:v>173</x:v>
      </x:c>
      <x:c r="B174" s="10" t="str">
        <x:v>GUILD-03-0029</x:v>
      </x:c>
      <x:c r="C174" s="10" t="str">
        <x:v>运营工具</x:v>
      </x:c>
      <x:c r="D174" s="10" t="str">
        <x:v>运营消息</x:v>
      </x:c>
      <x:c r="E174" s="10" t="str">
        <x:v>功能需求</x:v>
      </x:c>
      <x:c r="F174" s="10" t="str">
        <x:v>P1</x:v>
      </x:c>
      <x:c r="G174" s="9" t="str">
        <x:v>验证打开发送记录</x:v>
      </x:c>
      <x:c r="H174" s="9" t="str">
        <x:v>消息详情入口</x:v>
      </x:c>
      <x:c r="I174" s="9" t="str">
        <x:v>1. 公会长账号可用，已选择待测公会
2. 存在两条发送记录</x:v>
      </x:c>
      <x:c r="J174" s="9" t="str">
        <x:v>1. 打开运营消息
2. 点击其中一条消息记录</x:v>
      </x:c>
      <x:c r="K174" s="9" t="str">
        <x:v>详情展示所选发送记录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来源（当前证据）：liveshow-proto/MainBasis/统一需求文档.md；位置：第2243行、第2244行 REQ-c875529c79de、第2245行 REQ-6bb0d557d199、第2246行 REQ-77b1cd84565d、第2247行 REQ-e8126dadbd4a、第2248行 REQ-ac1a81a4ddc2、第2249行 REQ-58ccf650f17f、第2250行 REQ-d9e45606a774
2. 规则：BR-fd93f1c80fe8123b
3. 未动态验证</x:v>
      </x:c>
    </x:row>
    <x:row r="175" ht="145" customHeight="1">
      <x:c r="A175" s="10" t="n">
        <x:v>174</x:v>
      </x:c>
      <x:c r="B175" s="10" t="str">
        <x:v>GUILD-03-0030</x:v>
      </x:c>
      <x:c r="C175" s="10" t="str">
        <x:v>运营工具</x:v>
      </x:c>
      <x:c r="D175" s="10" t="str">
        <x:v>运营消息</x:v>
      </x:c>
      <x:c r="E175" s="10" t="str">
        <x:v>功能需求</x:v>
      </x:c>
      <x:c r="F175" s="10" t="str">
        <x:v>P1</x:v>
      </x:c>
      <x:c r="G175" s="9" t="str">
        <x:v>验证筛选结果数量</x:v>
      </x:c>
      <x:c r="H175" s="9" t="str">
        <x:v>消息记录数量</x:v>
      </x:c>
      <x:c r="I175" s="9" t="str">
        <x:v>1. 公会长账号可用，已选择待测公会
2. 所选日期范围恰有2条发送记录</x:v>
      </x:c>
      <x:c r="J175" s="9" t="str">
        <x:v>1. 打开运营消息
2. 选择该日期范围</x:v>
      </x:c>
      <x:c r="K175" s="9" t="str">
        <x:v>记录数量显示2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来源（当前证据）：liveshow-proto/MainBasis/统一需求文档.md；位置：第2243行、第2244行 REQ-c875529c79de、第2245行 REQ-6bb0d557d199、第2246行 REQ-77b1cd84565d、第2247行 REQ-e8126dadbd4a、第2248行 REQ-ac1a81a4ddc2、第2249行 REQ-58ccf650f17f、第2250行 REQ-d9e45606a774
2. 规则：BR-573094619e01352c
3. 未动态验证</x:v>
      </x:c>
    </x:row>
    <x:row r="176" ht="100" customHeight="1">
      <x:c r="A176" s="10" t="n">
        <x:v>175</x:v>
      </x:c>
      <x:c r="B176" s="10" t="str">
        <x:v>GUILD-03-0031</x:v>
      </x:c>
      <x:c r="C176" s="10" t="str">
        <x:v>运营工具</x:v>
      </x:c>
      <x:c r="D176" s="10" t="str">
        <x:v>创建运营账号</x:v>
      </x:c>
      <x:c r="E176" s="10" t="str">
        <x:v>异常用例</x:v>
      </x:c>
      <x:c r="F176" s="10" t="str">
        <x:v>P1</x:v>
      </x:c>
      <x:c r="G176" s="9" t="str">
        <x:v>验证名称为空时不可提交</x:v>
      </x:c>
      <x:c r="H176" s="9" t="str">
        <x:v>名称必填校验</x:v>
      </x:c>
      <x:c r="I176" s="9" t="str">
        <x:v>1. 公会长账号可用，已选择待测公会
2. 其余必填字段保持已有合法值</x:v>
      </x:c>
      <x:c r="J176" s="9" t="str">
        <x:v>1. 打开创建运营账号
2. 清空名称
3. 点击确认创建</x:v>
      </x:c>
      <x:c r="K176" s="9" t="str">
        <x:v>名称为空的表单不能提交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来源（当前证据）：liveshow-proto/MainBasis/统一需求文档.md；位置：第2297行、第2299行 REQ-de8f072dbdee、第2306行 REQ-075e0a28916f
2. 规则：BR-2358ce068e415b4f
3. 未动态验证</x:v>
      </x:c>
    </x:row>
    <x:row r="177" ht="100" customHeight="1">
      <x:c r="A177" s="10" t="n">
        <x:v>176</x:v>
      </x:c>
      <x:c r="B177" s="10" t="str">
        <x:v>GUILD-03-0032</x:v>
      </x:c>
      <x:c r="C177" s="10" t="str">
        <x:v>运营工具</x:v>
      </x:c>
      <x:c r="D177" s="10" t="str">
        <x:v>创建运营账号</x:v>
      </x:c>
      <x:c r="E177" s="10" t="str">
        <x:v>逻辑校验</x:v>
      </x:c>
      <x:c r="F177" s="10" t="str">
        <x:v>P1</x:v>
      </x:c>
      <x:c r="G177" s="9" t="str">
        <x:v>验证名称达到30字符上限</x:v>
      </x:c>
      <x:c r="H177" s="9" t="str">
        <x:v>名称长度上界</x:v>
      </x:c>
      <x:c r="I177" s="9" t="str">
        <x:v>1. 公会长账号可用，已选择待测公会
2. 其余必填字段保持已有合法值</x:v>
      </x:c>
      <x:c r="J177" s="9" t="str">
        <x:v>1. 打开创建运营账号
2. 输入名称为30个汉字
3. 点击确认创建</x:v>
      </x:c>
      <x:c r="K177" s="9" t="str">
        <x:v>名称的30字符值通过长度校验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来源（当前证据）：liveshow-proto/MainBasis/统一需求文档.md；位置：第2297行、第2299行 REQ-de8f072dbdee、第2306行 REQ-075e0a28916f
2. 规则：BR-5110c25bfea28ecc
3. 未动态验证</x:v>
      </x:c>
    </x:row>
    <x:row r="178" ht="100" customHeight="1">
      <x:c r="A178" s="10" t="n">
        <x:v>177</x:v>
      </x:c>
      <x:c r="B178" s="10" t="str">
        <x:v>GUILD-03-0033</x:v>
      </x:c>
      <x:c r="C178" s="10" t="str">
        <x:v>运营工具</x:v>
      </x:c>
      <x:c r="D178" s="10" t="str">
        <x:v>创建运营账号</x:v>
      </x:c>
      <x:c r="E178" s="10" t="str">
        <x:v>异常用例</x:v>
      </x:c>
      <x:c r="F178" s="10" t="str">
        <x:v>P1</x:v>
      </x:c>
      <x:c r="G178" s="9" t="str">
        <x:v>验证名称超过30字符上限</x:v>
      </x:c>
      <x:c r="H178" s="9" t="str">
        <x:v>名称超长拦截</x:v>
      </x:c>
      <x:c r="I178" s="9" t="str">
        <x:v>1. 公会长账号可用，已选择待测公会
2. 其余必填字段保持已有合法值</x:v>
      </x:c>
      <x:c r="J178" s="9" t="str">
        <x:v>1. 打开创建运营账号
2. 输入名称为31个汉字
3. 点击确认创建</x:v>
      </x:c>
      <x:c r="K178" s="9" t="str">
        <x:v>名称不能保存超过30字符的内容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来源（当前证据）：liveshow-proto/MainBasis/统一需求文档.md；位置：第2297行、第2299行 REQ-de8f072dbdee、第2306行 REQ-075e0a28916f
2. 规则：BR-d257d73e3717b721
3. 未动态验证</x:v>
      </x:c>
    </x:row>
    <x:row r="179" ht="100" customHeight="1">
      <x:c r="A179" s="10" t="n">
        <x:v>178</x:v>
      </x:c>
      <x:c r="B179" s="10" t="str">
        <x:v>GUILD-03-0034</x:v>
      </x:c>
      <x:c r="C179" s="10" t="str">
        <x:v>运营工具</x:v>
      </x:c>
      <x:c r="D179" s="10" t="str">
        <x:v>创建运营账号</x:v>
      </x:c>
      <x:c r="E179" s="10" t="str">
        <x:v>异常用例</x:v>
      </x:c>
      <x:c r="F179" s="10" t="str">
        <x:v>P1</x:v>
      </x:c>
      <x:c r="G179" s="9" t="str">
        <x:v>验证账号为空时不可提交</x:v>
      </x:c>
      <x:c r="H179" s="9" t="str">
        <x:v>账号必填校验</x:v>
      </x:c>
      <x:c r="I179" s="9" t="str">
        <x:v>1. 公会长账号可用，已选择待测公会
2. 其余必填字段保持已有合法值</x:v>
      </x:c>
      <x:c r="J179" s="9" t="str">
        <x:v>1. 打开创建运营账号
2. 清空账号
3. 点击确认创建</x:v>
      </x:c>
      <x:c r="K179" s="9" t="str">
        <x:v>账号为空的表单不能提交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来源（当前证据）：liveshow-proto/MainBasis/统一需求文档.md；位置：第2297行、第2300行 REQ-61a40748d370、第2306行 REQ-075e0a28916f
2. 规则：BR-e5710f1ae3c82be8
3. 未动态验证</x:v>
      </x:c>
    </x:row>
    <x:row r="180" ht="100" customHeight="1">
      <x:c r="A180" s="10" t="n">
        <x:v>179</x:v>
      </x:c>
      <x:c r="B180" s="10" t="str">
        <x:v>GUILD-03-0035</x:v>
      </x:c>
      <x:c r="C180" s="10" t="str">
        <x:v>运营工具</x:v>
      </x:c>
      <x:c r="D180" s="10" t="str">
        <x:v>创建运营账号</x:v>
      </x:c>
      <x:c r="E180" s="10" t="str">
        <x:v>逻辑校验</x:v>
      </x:c>
      <x:c r="F180" s="10" t="str">
        <x:v>P1</x:v>
      </x:c>
      <x:c r="G180" s="9" t="str">
        <x:v>验证账号达到30字符上限</x:v>
      </x:c>
      <x:c r="H180" s="9" t="str">
        <x:v>账号长度上界</x:v>
      </x:c>
      <x:c r="I180" s="9" t="str">
        <x:v>1. 公会长账号可用，已选择待测公会
2. 其余必填字段保持已有合法值</x:v>
      </x:c>
      <x:c r="J180" s="9" t="str">
        <x:v>1. 打开创建运营账号
2. 输入账号为aaaaaaaaaaaaaaaaaa@example.com
3. 点击确认创建</x:v>
      </x:c>
      <x:c r="K180" s="9" t="str">
        <x:v>账号的30字符值通过长度校验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来源（当前证据）：liveshow-proto/MainBasis/统一需求文档.md；位置：第2297行、第2300行 REQ-61a40748d370、第2306行 REQ-075e0a28916f
2. 规则：BR-7d65c287839d876c
3. 未动态验证</x:v>
      </x:c>
    </x:row>
    <x:row r="181" ht="100" customHeight="1">
      <x:c r="A181" s="10" t="n">
        <x:v>180</x:v>
      </x:c>
      <x:c r="B181" s="10" t="str">
        <x:v>GUILD-03-0036</x:v>
      </x:c>
      <x:c r="C181" s="10" t="str">
        <x:v>运营工具</x:v>
      </x:c>
      <x:c r="D181" s="10" t="str">
        <x:v>创建运营账号</x:v>
      </x:c>
      <x:c r="E181" s="10" t="str">
        <x:v>异常用例</x:v>
      </x:c>
      <x:c r="F181" s="10" t="str">
        <x:v>P1</x:v>
      </x:c>
      <x:c r="G181" s="9" t="str">
        <x:v>验证账号超过30字符上限</x:v>
      </x:c>
      <x:c r="H181" s="9" t="str">
        <x:v>账号超长拦截</x:v>
      </x:c>
      <x:c r="I181" s="9" t="str">
        <x:v>1. 公会长账号可用，已选择待测公会
2. 其余必填字段保持已有合法值</x:v>
      </x:c>
      <x:c r="J181" s="9" t="str">
        <x:v>1. 打开创建运营账号
2. 输入账号为aaaaaaaaaaaaaaaaaaa@example.com
3. 点击确认创建</x:v>
      </x:c>
      <x:c r="K181" s="9" t="str">
        <x:v>账号不能保存超过30字符的内容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来源（当前证据）：liveshow-proto/MainBasis/统一需求文档.md；位置：第2297行、第2300行 REQ-61a40748d370、第2306行 REQ-075e0a28916f
2. 规则：BR-5e8b051a4051a36f
3. 未动态验证</x:v>
      </x:c>
    </x:row>
    <x:row r="182" ht="145" customHeight="1">
      <x:c r="A182" s="10" t="n">
        <x:v>181</x:v>
      </x:c>
      <x:c r="B182" s="10" t="str">
        <x:v>GUILD-03-0037</x:v>
      </x:c>
      <x:c r="C182" s="10" t="str">
        <x:v>运营工具</x:v>
      </x:c>
      <x:c r="D182" s="10" t="str">
        <x:v>创建运营账号</x:v>
      </x:c>
      <x:c r="E182" s="10" t="str">
        <x:v>功能需求</x:v>
      </x:c>
      <x:c r="F182" s="10" t="str">
        <x:v>P1</x:v>
      </x:c>
      <x:c r="G182" s="9" t="str">
        <x:v>验证初始密码短于6位</x:v>
      </x:c>
      <x:c r="H182" s="9" t="str">
        <x:v>初始密码下界</x:v>
      </x:c>
      <x:c r="I182" s="9" t="str">
        <x:v>1. 公会长账号可用，已选择待测公会
2. 其他必填字段有效且账号格式已由环境确认</x:v>
      </x:c>
      <x:c r="J182" s="9" t="str">
        <x:v>1. 打开创建运营账号
2. 输入初始密码为12345
3. 点击确认创建</x:v>
      </x:c>
      <x:c r="K182" s="9" t="str">
        <x:v>密码不足6位时不能创建账号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规则：BR-3fd6f16ac7846e45
3. 未动态验证</x:v>
      </x:c>
    </x:row>
    <x:row r="183" ht="145" customHeight="1">
      <x:c r="A183" s="10" t="n">
        <x:v>182</x:v>
      </x:c>
      <x:c r="B183" s="10" t="str">
        <x:v>GUILD-03-0038</x:v>
      </x:c>
      <x:c r="C183" s="10" t="str">
        <x:v>运营工具</x:v>
      </x:c>
      <x:c r="D183" s="10" t="str">
        <x:v>创建运营账号</x:v>
      </x:c>
      <x:c r="E183" s="10" t="str">
        <x:v>功能需求</x:v>
      </x:c>
      <x:c r="F183" s="10" t="str">
        <x:v>P1</x:v>
      </x:c>
      <x:c r="G183" s="9" t="str">
        <x:v>验证初始密码达到6位</x:v>
      </x:c>
      <x:c r="H183" s="9" t="str">
        <x:v>初始密码合法边界</x:v>
      </x:c>
      <x:c r="I183" s="9" t="str">
        <x:v>1. 公会长账号可用，已选择待测公会
2. 其他必填字段有效且账号格式已由环境确认</x:v>
      </x:c>
      <x:c r="J183" s="9" t="str">
        <x:v>1. 打开创建运营账号
2. 输入初始密码为123456
3. 点击确认创建</x:v>
      </x:c>
      <x:c r="K183" s="9" t="str">
        <x:v>6位初始密码通过长度校验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规则：BR-a2f6d2ddea263732
3. 未动态验证</x:v>
      </x:c>
    </x:row>
    <x:row r="184" ht="145" customHeight="1">
      <x:c r="A184" s="10" t="n">
        <x:v>183</x:v>
      </x:c>
      <x:c r="B184" s="10" t="str">
        <x:v>GUILD-03-0039</x:v>
      </x:c>
      <x:c r="C184" s="10" t="str">
        <x:v>运营工具</x:v>
      </x:c>
      <x:c r="D184" s="10" t="str">
        <x:v>创建运营账号</x:v>
      </x:c>
      <x:c r="E184" s="10" t="str">
        <x:v>功能需求</x:v>
      </x:c>
      <x:c r="F184" s="10" t="str">
        <x:v>P1</x:v>
      </x:c>
      <x:c r="G184" s="9" t="str">
        <x:v>验证创建默认不发币</x:v>
      </x:c>
      <x:c r="H184" s="9" t="str">
        <x:v>初始发放默认值</x:v>
      </x:c>
      <x:c r="I184" s="9" t="str">
        <x:v>1. 公会长账号可用，已选择待测公会
2. 新创建表单</x:v>
      </x:c>
      <x:c r="J184" s="9" t="str">
        <x:v>1. 打开创建运营账号</x:v>
      </x:c>
      <x:c r="K184" s="9" t="str">
        <x:v>发放金币默认显示0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规则：BR-691d83461913ae9b
3. 未动态验证</x:v>
      </x:c>
    </x:row>
    <x:row r="185" ht="145" customHeight="1">
      <x:c r="A185" s="10" t="n">
        <x:v>184</x:v>
      </x:c>
      <x:c r="B185" s="10" t="str">
        <x:v>GUILD-03-0040</x:v>
      </x:c>
      <x:c r="C185" s="10" t="str">
        <x:v>运营工具</x:v>
      </x:c>
      <x:c r="D185" s="10" t="str">
        <x:v>创建运营账号</x:v>
      </x:c>
      <x:c r="E185" s="10" t="str">
        <x:v>功能需求</x:v>
      </x:c>
      <x:c r="F185" s="10" t="str">
        <x:v>P1</x:v>
      </x:c>
      <x:c r="G185" s="9" t="str">
        <x:v>验证创建默认启用</x:v>
      </x:c>
      <x:c r="H185" s="9" t="str">
        <x:v>创建账号默认状态</x:v>
      </x:c>
      <x:c r="I185" s="9" t="str">
        <x:v>1. 公会长账号可用，已选择待测公会
2. 新创建表单</x:v>
      </x:c>
      <x:c r="J185" s="9" t="str">
        <x:v>1. 打开创建运营账号</x:v>
      </x:c>
      <x:c r="K185" s="9" t="str">
        <x:v>账号状态默认启用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规则：BR-54eb3a7782b2a7b5
3. 未动态验证</x:v>
      </x:c>
    </x:row>
    <x:row r="186" ht="145" customHeight="1">
      <x:c r="A186" s="10" t="n">
        <x:v>185</x:v>
      </x:c>
      <x:c r="B186" s="10" t="str">
        <x:v>GUILD-03-0041</x:v>
      </x:c>
      <x:c r="C186" s="10" t="str">
        <x:v>运营工具</x:v>
      </x:c>
      <x:c r="D186" s="10" t="str">
        <x:v>创建运营账号</x:v>
      </x:c>
      <x:c r="E186" s="10" t="str">
        <x:v>功能需求</x:v>
      </x:c>
      <x:c r="F186" s="10" t="str">
        <x:v>P1</x:v>
      </x:c>
      <x:c r="G186" s="9" t="str">
        <x:v>验证创建时负数发币</x:v>
      </x:c>
      <x:c r="H186" s="9" t="str">
        <x:v>初始发放负数拒绝</x:v>
      </x:c>
      <x:c r="I186" s="9" t="str">
        <x:v>1. 公会长账号可用，已选择待测公会
2. 其他必填字段有效</x:v>
      </x:c>
      <x:c r="J186" s="9" t="str">
        <x:v>1. 打开创建运营账号
2. 输入发放金币为-1
3. 点击确认创建</x:v>
      </x:c>
      <x:c r="K186" s="9" t="str">
        <x:v>负数初始发放不能提交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规则：BR-71766ea3aea1ad22
3. 未动态验证</x:v>
      </x:c>
    </x:row>
    <x:row r="187" ht="145" customHeight="1">
      <x:c r="A187" s="10" t="n">
        <x:v>186</x:v>
      </x:c>
      <x:c r="B187" s="10" t="str">
        <x:v>GUILD-03-0042</x:v>
      </x:c>
      <x:c r="C187" s="10" t="str">
        <x:v>运营工具</x:v>
      </x:c>
      <x:c r="D187" s="10" t="str">
        <x:v>创建运营账号</x:v>
      </x:c>
      <x:c r="E187" s="10" t="str">
        <x:v>功能需求</x:v>
      </x:c>
      <x:c r="F187" s="10" t="str">
        <x:v>P1</x:v>
      </x:c>
      <x:c r="G187" s="9" t="str">
        <x:v>验证头像缺失</x:v>
      </x:c>
      <x:c r="H187" s="9" t="str">
        <x:v>运营头像必填</x:v>
      </x:c>
      <x:c r="I187" s="9" t="str">
        <x:v>1. 公会长账号可用，已选择待测公会
2. 其他必填字段有效</x:v>
      </x:c>
      <x:c r="J187" s="9" t="str">
        <x:v>1. 打开创建运营账号
2. 点击确认创建</x:v>
      </x:c>
      <x:c r="K187" s="9" t="str">
        <x:v>未提供头像不能创建运营账号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规则：BR-2f57aa2b23c7dcf1
3. 未动态验证</x:v>
      </x:c>
    </x:row>
    <x:row r="188" ht="100" customHeight="1">
      <x:c r="A188" s="10" t="n">
        <x:v>187</x:v>
      </x:c>
      <x:c r="B188" s="10" t="str">
        <x:v>GUILD-03-0043</x:v>
      </x:c>
      <x:c r="C188" s="10" t="str">
        <x:v>运营工具</x:v>
      </x:c>
      <x:c r="D188" s="10" t="str">
        <x:v>创建运营账号</x:v>
      </x:c>
      <x:c r="E188" s="10" t="str">
        <x:v>功能需求</x:v>
      </x:c>
      <x:c r="F188" s="10" t="str">
        <x:v>P1</x:v>
      </x:c>
      <x:c r="G188" s="9" t="str">
        <x:v>验证运营账号跨公会重复</x:v>
      </x:c>
      <x:c r="H188" s="9" t="str">
        <x:v>全平台账号唯一性</x:v>
      </x:c>
      <x:c r="I188" s="9" t="str">
        <x:v>1. 公会长账号可用，已选择待测公会
2. 其他公会已有一个运营登录账号，已取得该真实账号值，其他字段有效</x:v>
      </x:c>
      <x:c r="J188" s="9" t="str">
        <x:v>1. 打开创建运营账号
2. 输入账号为已存在的登录账号
3. 点击确认创建</x:v>
      </x:c>
      <x:c r="K188" s="9" t="str">
        <x:v>重复登录账号不能创建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来源（当前证据）：liveshow-proto/MainBasis/统一需求文档.md；位置：第2297行、第2300行 REQ-61a40748d370、第2306行 REQ-075e0a28916f
2. 规则：BR-791ea0d8aa46a90c
3. 未动态验证</x:v>
      </x:c>
    </x:row>
    <x:row r="189" ht="85" customHeight="1">
      <x:c r="A189" s="10" t="n">
        <x:v>188</x:v>
      </x:c>
      <x:c r="B189" s="10" t="str">
        <x:v>GUILD-03-0044</x:v>
      </x:c>
      <x:c r="C189" s="10" t="str">
        <x:v>运营工具</x:v>
      </x:c>
      <x:c r="D189" s="10" t="str">
        <x:v>创建运营账号</x:v>
      </x:c>
      <x:c r="E189" s="10" t="str">
        <x:v>功能需求</x:v>
      </x:c>
      <x:c r="F189" s="10" t="str">
        <x:v>P1</x:v>
      </x:c>
      <x:c r="G189" s="9" t="str">
        <x:v>验证运营头像JPG预览</x:v>
      </x:c>
      <x:c r="H189" s="9" t="str">
        <x:v>运营头像格式</x:v>
      </x:c>
      <x:c r="I189" s="9" t="str">
        <x:v>1. 公会长账号可用，已选择待测公会
2. 已准备一张可打开的JPG图片</x:v>
      </x:c>
      <x:c r="J189" s="9" t="str">
        <x:v>1. 打开创建运营账号
2. 上传头像</x:v>
      </x:c>
      <x:c r="K189" s="9" t="str">
        <x:v>显示所选头像预览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来源（当前证据）：liveshow-proto/MainBasis/统一需求文档.md；位置：第2297行、第2298行 REQ-29384e98e3e9
2. 规则：BR-28d04e359c28b9ea
3. 未动态验证</x:v>
      </x:c>
    </x:row>
    <x:row r="190" ht="85" customHeight="1">
      <x:c r="A190" s="10" t="n">
        <x:v>189</x:v>
      </x:c>
      <x:c r="B190" s="10" t="str">
        <x:v>GUILD-03-0045</x:v>
      </x:c>
      <x:c r="C190" s="10" t="str">
        <x:v>运营工具</x:v>
      </x:c>
      <x:c r="D190" s="10" t="str">
        <x:v>创建运营账号</x:v>
      </x:c>
      <x:c r="E190" s="10" t="str">
        <x:v>功能需求</x:v>
      </x:c>
      <x:c r="F190" s="10" t="str">
        <x:v>P1</x:v>
      </x:c>
      <x:c r="G190" s="9" t="str">
        <x:v>验证运营头像PNG预览</x:v>
      </x:c>
      <x:c r="H190" s="9" t="str">
        <x:v>运营头像格式</x:v>
      </x:c>
      <x:c r="I190" s="9" t="str">
        <x:v>1. 公会长账号可用，已选择待测公会
2. 已准备一张可打开的PNG图片</x:v>
      </x:c>
      <x:c r="J190" s="9" t="str">
        <x:v>1. 打开创建运营账号
2. 上传头像</x:v>
      </x:c>
      <x:c r="K190" s="9" t="str">
        <x:v>显示所选头像预览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来源（当前证据）：liveshow-proto/MainBasis/统一需求文档.md；位置：第2297行、第2298行 REQ-29384e98e3e9
2. 规则：BR-e4976b3cba83d45f
3. 未动态验证</x:v>
      </x:c>
    </x:row>
    <x:row r="191" ht="85" customHeight="1">
      <x:c r="A191" s="10" t="n">
        <x:v>190</x:v>
      </x:c>
      <x:c r="B191" s="10" t="str">
        <x:v>GUILD-03-0046</x:v>
      </x:c>
      <x:c r="C191" s="10" t="str">
        <x:v>运营工具</x:v>
      </x:c>
      <x:c r="D191" s="10" t="str">
        <x:v>创建运营账号</x:v>
      </x:c>
      <x:c r="E191" s="10" t="str">
        <x:v>功能需求</x:v>
      </x:c>
      <x:c r="F191" s="10" t="str">
        <x:v>P1</x:v>
      </x:c>
      <x:c r="G191" s="9" t="str">
        <x:v>验证运营头像WebP预览</x:v>
      </x:c>
      <x:c r="H191" s="9" t="str">
        <x:v>运营头像格式</x:v>
      </x:c>
      <x:c r="I191" s="9" t="str">
        <x:v>1. 公会长账号可用，已选择待测公会
2. 已准备一张可打开的WebP图片</x:v>
      </x:c>
      <x:c r="J191" s="9" t="str">
        <x:v>1. 打开创建运营账号
2. 上传头像</x:v>
      </x:c>
      <x:c r="K191" s="9" t="str">
        <x:v>显示所选头像预览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来源（当前证据）：liveshow-proto/MainBasis/统一需求文档.md；位置：第2297行、第2298行 REQ-29384e98e3e9
2. 规则：BR-ae1cbc4d6d780d25
3. 未动态验证</x:v>
      </x:c>
    </x:row>
    <x:row r="192" ht="145" customHeight="1">
      <x:c r="A192" s="10" t="n">
        <x:v>191</x:v>
      </x:c>
      <x:c r="B192" s="10" t="str">
        <x:v>GUILD-03-0047</x:v>
      </x:c>
      <x:c r="C192" s="10" t="str">
        <x:v>运营工具</x:v>
      </x:c>
      <x:c r="D192" s="10" t="str">
        <x:v>创建运营账号</x:v>
      </x:c>
      <x:c r="E192" s="10" t="str">
        <x:v>功能需求</x:v>
      </x:c>
      <x:c r="F192" s="10" t="str">
        <x:v>P1</x:v>
      </x:c>
      <x:c r="G192" s="9" t="str">
        <x:v>验证创建时超过剩余额度：超限创建拦截</x:v>
      </x:c>
      <x:c r="H192" s="9" t="str">
        <x:v>超限创建拦截</x:v>
      </x:c>
      <x:c r="I192" s="9" t="str">
        <x:v>1. 公会长账号可用，已选择待测公会
2. 本次可发放上限为100金币，其他必填字段有效</x:v>
      </x:c>
      <x:c r="J192" s="9" t="str">
        <x:v>1. 打开创建运营账号
2. 输入发放金币为101
3. 点击确认创建</x:v>
      </x:c>
      <x:c r="K192" s="9" t="str">
        <x:v>超出可发额度时运营账号不能创建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规则：BR-8a4c23b828cf3b4e
3. 未动态验证</x:v>
      </x:c>
    </x:row>
    <x:row r="193" ht="145" customHeight="1">
      <x:c r="A193" s="10" t="n">
        <x:v>192</x:v>
      </x:c>
      <x:c r="B193" s="10" t="str">
        <x:v>GUILD-03-0048</x:v>
      </x:c>
      <x:c r="C193" s="10" t="str">
        <x:v>运营工具</x:v>
      </x:c>
      <x:c r="D193" s="10" t="str">
        <x:v>创建运营账号</x:v>
      </x:c>
      <x:c r="E193" s="10" t="str">
        <x:v>功能需求</x:v>
      </x:c>
      <x:c r="F193" s="10" t="str">
        <x:v>P1</x:v>
      </x:c>
      <x:c r="G193" s="9" t="str">
        <x:v>验证创建时超过剩余额度：超限发币拦截</x:v>
      </x:c>
      <x:c r="H193" s="9" t="str">
        <x:v>超限发币拦截</x:v>
      </x:c>
      <x:c r="I193" s="9" t="str">
        <x:v>1. 公会长账号可用，已选择待测公会
2. 本次可发放上限为100金币，其他必填字段有效</x:v>
      </x:c>
      <x:c r="J193" s="9" t="str">
        <x:v>1. 打开创建运营账号
2. 输入发放金币为101
3. 点击确认创建</x:v>
      </x:c>
      <x:c r="K193" s="9" t="str">
        <x:v>超出可发额度时不生成成功发放记录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规则：BR-e25b7cb4337389c0
3. 未动态验证</x:v>
      </x:c>
    </x:row>
    <x:row r="194" ht="145" customHeight="1">
      <x:c r="A194" s="10" t="n">
        <x:v>193</x:v>
      </x:c>
      <x:c r="B194" s="10" t="str">
        <x:v>GUILD-03-0049</x:v>
      </x:c>
      <x:c r="C194" s="10" t="str">
        <x:v>运营工具</x:v>
      </x:c>
      <x:c r="D194" s="10" t="str">
        <x:v>运营账号主页</x:v>
      </x:c>
      <x:c r="E194" s="10" t="str">
        <x:v>功能需求</x:v>
      </x:c>
      <x:c r="F194" s="10" t="str">
        <x:v>P1</x:v>
      </x:c>
      <x:c r="G194" s="9" t="str">
        <x:v>验证公会禁用运营账号</x:v>
      </x:c>
      <x:c r="H194" s="9" t="str">
        <x:v>公会启停状态</x:v>
      </x:c>
      <x:c r="I194" s="9" t="str">
        <x:v>1. 公会长账号可用，已选择待测公会
2. 平台未锁定且运营账号启用</x:v>
      </x:c>
      <x:c r="J194" s="9" t="str">
        <x:v>1. 打开运营账号主页
2. 禁用账号状态开关</x:v>
      </x:c>
      <x:c r="K194" s="9" t="str">
        <x:v>账号状态显示禁用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来源（当前证据）：liveshow-proto/MainBasis/统一需求文档.md；位置：第2309行、第2311行 REQ-85ea55b175e8、第2312行 REQ-33d8544cba8f、第2316行 REQ-404687aa8764、第2323行 REQ-722c17a54831、第2324行 REQ-805cf44f6817、第2326行 REQ-3cb9a733a5b0
2. 规则：BR-f3a7f755a88bfafa
3. 未动态验证</x:v>
      </x:c>
    </x:row>
    <x:row r="195" ht="145" customHeight="1">
      <x:c r="A195" s="10" t="n">
        <x:v>194</x:v>
      </x:c>
      <x:c r="B195" s="10" t="str">
        <x:v>GUILD-03-0050</x:v>
      </x:c>
      <x:c r="C195" s="10" t="str">
        <x:v>运营工具</x:v>
      </x:c>
      <x:c r="D195" s="10" t="str">
        <x:v>运营账号主页</x:v>
      </x:c>
      <x:c r="E195" s="10" t="str">
        <x:v>功能需求</x:v>
      </x:c>
      <x:c r="F195" s="10" t="str">
        <x:v>P1</x:v>
      </x:c>
      <x:c r="G195" s="9" t="str">
        <x:v>验证公会重新启用账号</x:v>
      </x:c>
      <x:c r="H195" s="9" t="str">
        <x:v>公会恢复账号状态</x:v>
      </x:c>
      <x:c r="I195" s="9" t="str">
        <x:v>1. 公会长账号可用，已选择待测公会
2. 平台未锁定且运营账号禁用</x:v>
      </x:c>
      <x:c r="J195" s="9" t="str">
        <x:v>1. 打开运营账号主页
2. 启用账号状态开关</x:v>
      </x:c>
      <x:c r="K195" s="9" t="str">
        <x:v>账号状态显示启用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来源（当前证据）：liveshow-proto/MainBasis/统一需求文档.md；位置：第2309行、第2311行 REQ-85ea55b175e8、第2312行 REQ-33d8544cba8f、第2316行 REQ-404687aa8764、第2323行 REQ-722c17a54831、第2324行 REQ-805cf44f6817、第2326行 REQ-3cb9a733a5b0
2. 规则：BR-98b09d7ed9b90d57
3. 未动态验证</x:v>
      </x:c>
    </x:row>
    <x:row r="196" ht="145" customHeight="1">
      <x:c r="A196" s="10" t="n">
        <x:v>195</x:v>
      </x:c>
      <x:c r="B196" s="10" t="str">
        <x:v>GUILD-03-0051</x:v>
      </x:c>
      <x:c r="C196" s="10" t="str">
        <x:v>运营工具</x:v>
      </x:c>
      <x:c r="D196" s="10" t="str">
        <x:v>运营账号主页</x:v>
      </x:c>
      <x:c r="E196" s="10" t="str">
        <x:v>功能需求</x:v>
      </x:c>
      <x:c r="F196" s="10" t="str">
        <x:v>P1</x:v>
      </x:c>
      <x:c r="G196" s="9" t="str">
        <x:v>验证平台锁定后公会只读</x:v>
      </x:c>
      <x:c r="H196" s="9" t="str">
        <x:v>运营管理锁定</x:v>
      </x:c>
      <x:c r="I196" s="9" t="str">
        <x:v>1. 公会长账号可用，已选择待测公会
2. 平台已锁定该运营账号的公会管理权限</x:v>
      </x:c>
      <x:c r="J196" s="9" t="str">
        <x:v>1. 打开运营账号主页
2. 刷新运营账号主页</x:v>
      </x:c>
      <x:c r="K196" s="9" t="str">
        <x:v>启停和发放操作不可用</x:v>
      </x:c>
      <x:c r="L196" s="10" t="str">
        <x:v>FLOW-OPERATION</x:v>
      </x:c>
      <x:c r="M196" s="10" t="str">
        <x:v>未测</x:v>
      </x:c>
      <x:c r="N196" s="10" t="str"/>
      <x:c r="O196" s="9" t="str">
        <x:v>1. 来源（当前证据）：liveshow-proto/MainBasis/统一需求文档.md；位置：第2309行、第2311行 REQ-85ea55b175e8、第2312行 REQ-33d8544cba8f、第2316行 REQ-404687aa8764、第2323行 REQ-722c17a54831、第2324行 REQ-805cf44f6817、第2326行 REQ-3cb9a733a5b0
2. 规则：BR-a86800027f542420
3. 未动态验证</x:v>
      </x:c>
    </x:row>
    <x:row r="197" ht="145" customHeight="1">
      <x:c r="A197" s="10" t="n">
        <x:v>196</x:v>
      </x:c>
      <x:c r="B197" s="10" t="str">
        <x:v>GUILD-03-0052</x:v>
      </x:c>
      <x:c r="C197" s="10" t="str">
        <x:v>运营工具</x:v>
      </x:c>
      <x:c r="D197" s="10" t="str">
        <x:v>运营账号主页</x:v>
      </x:c>
      <x:c r="E197" s="10" t="str">
        <x:v>功能需求</x:v>
      </x:c>
      <x:c r="F197" s="10" t="str">
        <x:v>P1</x:v>
      </x:c>
      <x:c r="G197" s="9" t="str">
        <x:v>验证平台禁用后的记录保留</x:v>
      </x:c>
      <x:c r="H197" s="9" t="str">
        <x:v>禁用历史保留</x:v>
      </x:c>
      <x:c r="I197" s="9" t="str">
        <x:v>1. 公会长账号可用，已选择待测公会
2. 账号有虚拟余额和消费记录，平台已将其禁用</x:v>
      </x:c>
      <x:c r="J197" s="9" t="str">
        <x:v>1. 打开运营账号主页
2. 刷新运营账号主页</x:v>
      </x:c>
      <x:c r="K197" s="9" t="str">
        <x:v>既有虚拟余额与历史消费记录仍可查看</x:v>
      </x:c>
      <x:c r="L197" s="10" t="str">
        <x:v>FLOW-OPERATION</x:v>
      </x:c>
      <x:c r="M197" s="10" t="str">
        <x:v>未测</x:v>
      </x:c>
      <x:c r="N197" s="10" t="str"/>
      <x:c r="O197" s="9" t="str">
        <x:v>1. 来源（当前证据）：liveshow-proto/MainBasis/统一需求文档.md；位置：第2309行、第2311行 REQ-85ea55b175e8、第2312行 REQ-33d8544cba8f、第2316行 REQ-404687aa8764、第2323行 REQ-722c17a54831、第2324行 REQ-805cf44f6817、第2326行 REQ-3cb9a733a5b0
2. 规则：BR-30f5041c9117c406
3. 未动态验证</x:v>
      </x:c>
    </x:row>
    <x:row r="198" ht="145" customHeight="1">
      <x:c r="A198" s="10" t="n">
        <x:v>197</x:v>
      </x:c>
      <x:c r="B198" s="10" t="str">
        <x:v>GUILD-03-0053</x:v>
      </x:c>
      <x:c r="C198" s="10" t="str">
        <x:v>运营工具</x:v>
      </x:c>
      <x:c r="D198" s="10" t="str">
        <x:v>运营账号主页</x:v>
      </x:c>
      <x:c r="E198" s="10" t="str">
        <x:v>功能需求</x:v>
      </x:c>
      <x:c r="F198" s="10" t="str">
        <x:v>P1</x:v>
      </x:c>
      <x:c r="G198" s="9" t="str">
        <x:v>验证从日期消费进入明细</x:v>
      </x:c>
      <x:c r="H198" s="9" t="str">
        <x:v>运营消费日期透传</x:v>
      </x:c>
      <x:c r="I198" s="9" t="str">
        <x:v>1. 公会长账号可用，已选择待测公会
2. 当前账号某日有消费记录</x:v>
      </x:c>
      <x:c r="J198" s="9" t="str">
        <x:v>1. 打开运营账号主页
2. 点击该日期消费</x:v>
      </x:c>
      <x:c r="K198" s="9" t="str">
        <x:v>送礼记录已带入该账号和所选日期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来源（当前证据）：liveshow-proto/MainBasis/统一需求文档.md；位置：第2309行、第2311行 REQ-85ea55b175e8、第2312行 REQ-33d8544cba8f、第2316行 REQ-404687aa8764、第2323行 REQ-722c17a54831、第2324行 REQ-805cf44f6817、第2326行 REQ-3cb9a733a5b0
2. 规则：BR-943f052dd58fee99
3. 未动态验证</x:v>
      </x:c>
    </x:row>
    <x:row r="199" ht="100" customHeight="1">
      <x:c r="A199" s="10" t="n">
        <x:v>198</x:v>
      </x:c>
      <x:c r="B199" s="10" t="str">
        <x:v>GUILD-03-0054</x:v>
      </x:c>
      <x:c r="C199" s="10" t="str">
        <x:v>运营工具</x:v>
      </x:c>
      <x:c r="D199" s="10" t="str">
        <x:v>运营账号主页</x:v>
      </x:c>
      <x:c r="E199" s="10" t="str">
        <x:v>逻辑校验</x:v>
      </x:c>
      <x:c r="F199" s="10" t="str">
        <x:v>P1</x:v>
      </x:c>
      <x:c r="G199" s="9" t="str">
        <x:v>验证双重月额度100与200</x:v>
      </x:c>
      <x:c r="H199" s="9" t="str">
        <x:v>单次发放上限</x:v>
      </x:c>
      <x:c r="I199" s="9" t="str">
        <x:v>1. 公会长账号可用，已选择待测公会
2. 账号月剩余额度为100金币，公会月剩余额度为200金币</x:v>
      </x:c>
      <x:c r="J199" s="9" t="str">
        <x:v>1. 打开运营账号主页</x:v>
      </x:c>
      <x:c r="K199" s="9" t="str">
        <x:v>计算结果：可发上限=min(100,200)=100金币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来源（当前证据）：liveshow-proto/MainBasis/统一需求文档.md；位置：第2309行、第2317行 REQ-32378557ba74、第2325行 REQ-43f3dfaba8d2
2. 规则：BR-3e1671f9abb3725d
3. 未动态验证</x:v>
      </x:c>
    </x:row>
    <x:row r="200" ht="100" customHeight="1">
      <x:c r="A200" s="10" t="n">
        <x:v>199</x:v>
      </x:c>
      <x:c r="B200" s="10" t="str">
        <x:v>GUILD-03-0055</x:v>
      </x:c>
      <x:c r="C200" s="10" t="str">
        <x:v>运营工具</x:v>
      </x:c>
      <x:c r="D200" s="10" t="str">
        <x:v>运营账号主页</x:v>
      </x:c>
      <x:c r="E200" s="10" t="str">
        <x:v>逻辑校验</x:v>
      </x:c>
      <x:c r="F200" s="10" t="str">
        <x:v>P1</x:v>
      </x:c>
      <x:c r="G200" s="9" t="str">
        <x:v>验证双重月额度200与100</x:v>
      </x:c>
      <x:c r="H200" s="9" t="str">
        <x:v>单次发放上限</x:v>
      </x:c>
      <x:c r="I200" s="9" t="str">
        <x:v>1. 公会长账号可用，已选择待测公会
2. 账号月剩余额度为200金币，公会月剩余额度为100金币</x:v>
      </x:c>
      <x:c r="J200" s="9" t="str">
        <x:v>1. 打开运营账号主页</x:v>
      </x:c>
      <x:c r="K200" s="9" t="str">
        <x:v>计算结果：可发上限=min(200,100)=100金币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来源（当前证据）：liveshow-proto/MainBasis/统一需求文档.md；位置：第2309行、第2317行 REQ-32378557ba74、第2325行 REQ-43f3dfaba8d2
2. 规则：BR-ea33c67b205c004d
3. 未动态验证</x:v>
      </x:c>
    </x:row>
    <x:row r="201" ht="100" customHeight="1">
      <x:c r="A201" s="10" t="n">
        <x:v>200</x:v>
      </x:c>
      <x:c r="B201" s="10" t="str">
        <x:v>GUILD-03-0056</x:v>
      </x:c>
      <x:c r="C201" s="10" t="str">
        <x:v>运营工具</x:v>
      </x:c>
      <x:c r="D201" s="10" t="str">
        <x:v>运营账号主页</x:v>
      </x:c>
      <x:c r="E201" s="10" t="str">
        <x:v>逻辑校验</x:v>
      </x:c>
      <x:c r="F201" s="10" t="str">
        <x:v>P1</x:v>
      </x:c>
      <x:c r="G201" s="9" t="str">
        <x:v>验证双重月额度0与100</x:v>
      </x:c>
      <x:c r="H201" s="9" t="str">
        <x:v>单次发放上限</x:v>
      </x:c>
      <x:c r="I201" s="9" t="str">
        <x:v>1. 公会长账号可用，已选择待测公会
2. 账号月剩余额度为0金币，公会月剩余额度为100金币</x:v>
      </x:c>
      <x:c r="J201" s="9" t="str">
        <x:v>1. 打开运营账号主页</x:v>
      </x:c>
      <x:c r="K201" s="9" t="str">
        <x:v>计算结果：可发上限=min(0,100)=0金币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来源（当前证据）：liveshow-proto/MainBasis/统一需求文档.md；位置：第2309行、第2317行 REQ-32378557ba74、第2325行 REQ-43f3dfaba8d2
2. 规则：BR-b2c240f59e1032e1
3. 未动态验证</x:v>
      </x:c>
    </x:row>
    <x:row r="202" ht="115" customHeight="1">
      <x:c r="A202" s="10" t="n">
        <x:v>201</x:v>
      </x:c>
      <x:c r="B202" s="10" t="str">
        <x:v>GUILD-03-0057</x:v>
      </x:c>
      <x:c r="C202" s="10" t="str">
        <x:v>运营工具</x:v>
      </x:c>
      <x:c r="D202" s="10" t="str">
        <x:v>运营账号主页</x:v>
      </x:c>
      <x:c r="E202" s="10" t="str">
        <x:v>功能需求</x:v>
      </x:c>
      <x:c r="F202" s="10" t="str">
        <x:v>P1</x:v>
      </x:c>
      <x:c r="G202" s="9" t="str">
        <x:v>验证按剩余额度足额发放</x:v>
      </x:c>
      <x:c r="H202" s="9" t="str">
        <x:v>发放额度上界</x:v>
      </x:c>
      <x:c r="I202" s="9" t="str">
        <x:v>1. 公会长账号可用，已选择待测公会
2. 账号与公会月剩余均为100金币，平台未锁定</x:v>
      </x:c>
      <x:c r="J202" s="9" t="str">
        <x:v>1. 打开运营账号主页
2. 输入发放数量为100
3. 确认发放</x:v>
      </x:c>
      <x:c r="K202" s="9" t="str">
        <x:v>本月发放增加100金币</x:v>
      </x:c>
      <x:c r="L202" s="10" t="str">
        <x:v>FLOW-OPERATION</x:v>
      </x:c>
      <x:c r="M202" s="10" t="str">
        <x:v>未测</x:v>
      </x:c>
      <x:c r="N202" s="10" t="str"/>
      <x:c r="O202" s="9" t="str">
        <x:v>1. 来源（当前证据）：liveshow-proto/MainBasis/统一需求文档.md；位置：第2309行、第2317行 REQ-32378557ba74、第2325行 REQ-43f3dfaba8d2、第2326行 REQ-3cb9a733a5b0
2. 规则：BR-5eb2216a4906fc25
3. 未动态验证</x:v>
      </x:c>
    </x:row>
    <x:row r="203" ht="115" customHeight="1">
      <x:c r="A203" s="10" t="n">
        <x:v>202</x:v>
      </x:c>
      <x:c r="B203" s="10" t="str">
        <x:v>GUILD-03-0058</x:v>
      </x:c>
      <x:c r="C203" s="10" t="str">
        <x:v>运营工具</x:v>
      </x:c>
      <x:c r="D203" s="10" t="str">
        <x:v>运营账号主页</x:v>
      </x:c>
      <x:c r="E203" s="10" t="str">
        <x:v>功能需求</x:v>
      </x:c>
      <x:c r="F203" s="10" t="str">
        <x:v>P1</x:v>
      </x:c>
      <x:c r="G203" s="9" t="str">
        <x:v>验证超过剩余额度发放</x:v>
      </x:c>
      <x:c r="H203" s="9" t="str">
        <x:v>发放超额拒绝</x:v>
      </x:c>
      <x:c r="I203" s="9" t="str">
        <x:v>1. 公会长账号可用，已选择待测公会
2. 可发上限100金币且平台未锁定</x:v>
      </x:c>
      <x:c r="J203" s="9" t="str">
        <x:v>1. 打开运营账号主页
2. 输入发放数量为101
3. 确认发放</x:v>
      </x:c>
      <x:c r="K203" s="9" t="str">
        <x:v>本次超额发放不能提交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来源（当前证据）：liveshow-proto/MainBasis/统一需求文档.md；位置：第2309行、第2317行 REQ-32378557ba74、第2325行 REQ-43f3dfaba8d2、第2326行 REQ-3cb9a733a5b0
2. 规则：BR-7b31c213a6ab496f
3. 未动态验证</x:v>
      </x:c>
    </x:row>
    <x:row r="204" ht="115" customHeight="1">
      <x:c r="A204" s="10" t="n">
        <x:v>203</x:v>
      </x:c>
      <x:c r="B204" s="10" t="str">
        <x:v>GUILD-03-0059</x:v>
      </x:c>
      <x:c r="C204" s="10" t="str">
        <x:v>运营工具</x:v>
      </x:c>
      <x:c r="D204" s="10" t="str">
        <x:v>运营账号主页</x:v>
      </x:c>
      <x:c r="E204" s="10" t="str">
        <x:v>功能需求</x:v>
      </x:c>
      <x:c r="F204" s="10" t="str">
        <x:v>P1</x:v>
      </x:c>
      <x:c r="G204" s="9" t="str">
        <x:v>验证发放后重新读取</x:v>
      </x:c>
      <x:c r="H204" s="9" t="str">
        <x:v>发放余额回显</x:v>
      </x:c>
      <x:c r="I204" s="9" t="str">
        <x:v>1. 公会长账号可用，已选择待测公会
2. 发放前余额20金币，本次成功发放100金币</x:v>
      </x:c>
      <x:c r="J204" s="9" t="str">
        <x:v>1. 打开运营账号主页
2. 刷新运营账号主页</x:v>
      </x:c>
      <x:c r="K204" s="9" t="str">
        <x:v>账户余额显示120金币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来源（当前证据）：liveshow-proto/MainBasis/统一需求文档.md；位置：第2309行、第2317行 REQ-32378557ba74、第2325行 REQ-43f3dfaba8d2、第2326行 REQ-3cb9a733a5b0
2. 规则：BR-5e51ac598a1128e7
3. 未动态验证</x:v>
      </x:c>
    </x:row>
    <x:row r="205" ht="85" customHeight="1">
      <x:c r="A205" s="10" t="n">
        <x:v>204</x:v>
      </x:c>
      <x:c r="B205" s="10" t="str">
        <x:v>GUILD-03-0060</x:v>
      </x:c>
      <x:c r="C205" s="10" t="str">
        <x:v>运营工具</x:v>
      </x:c>
      <x:c r="D205" s="10" t="str">
        <x:v>运营账号主页</x:v>
      </x:c>
      <x:c r="E205" s="10" t="str">
        <x:v>逻辑校验</x:v>
      </x:c>
      <x:c r="F205" s="10" t="str">
        <x:v>P1</x:v>
      </x:c>
      <x:c r="G205" s="9" t="str">
        <x:v>验证运营余额扣除历史消费</x:v>
      </x:c>
      <x:c r="H205" s="9" t="str">
        <x:v>虚拟余额计算</x:v>
      </x:c>
      <x:c r="I205" s="9" t="str">
        <x:v>1. 公会长账号可用，已选择待测公会
2. 当前账号累计成功发放500金币，累计成功消费200金币，失败消费50金币</x:v>
      </x:c>
      <x:c r="J205" s="9" t="str">
        <x:v>1. 打开运营账号主页</x:v>
      </x:c>
      <x:c r="K205" s="9" t="str">
        <x:v>计算结果：账户余额=500-200=300金币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来源（当前证据）：liveshow-proto/MainBasis/统一需求文档.md；位置：第2309行、第2318行 REQ-cdac02520c9e
2. 规则：BR-71b615d9a99ab989
3. 未动态验证</x:v>
      </x:c>
    </x:row>
    <x:row r="206" ht="115" customHeight="1">
      <x:c r="A206" s="10" t="n">
        <x:v>205</x:v>
      </x:c>
      <x:c r="B206" s="10" t="str">
        <x:v>GUILD-03-0061</x:v>
      </x:c>
      <x:c r="C206" s="10" t="str">
        <x:v>运营工具</x:v>
      </x:c>
      <x:c r="D206" s="10" t="str">
        <x:v>运营账号主页</x:v>
      </x:c>
      <x:c r="E206" s="10" t="str">
        <x:v>功能需求</x:v>
      </x:c>
      <x:c r="F206" s="10" t="str">
        <x:v>P1</x:v>
      </x:c>
      <x:c r="G206" s="9" t="str">
        <x:v>验证首次打开的日期范围</x:v>
      </x:c>
      <x:c r="H206" s="9" t="str">
        <x:v>默认日期范围</x:v>
      </x:c>
      <x:c r="I206" s="9" t="str">
        <x:v>1. 公会长账号可用，已选择待测公会
2. 存在默认范围内与范围外记录</x:v>
      </x:c>
      <x:c r="J206" s="9" t="str">
        <x:v>1. 打开运营账号主页</x:v>
      </x:c>
      <x:c r="K206" s="9" t="str">
        <x:v>日期条件默认选择本月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来源（当前证据）：liveshow-proto/MainBasis/统一需求文档.md；位置：第2309行、第2313行 REQ-6b41dca2bb99、第2314行 REQ-ffb5c04ae2bf、第2315行 REQ-0d183c1b1a8f
2. 规则：BR-0581e6f01a09e1c2
3. 未动态验证</x:v>
      </x:c>
    </x:row>
    <x:row r="207" ht="115" customHeight="1">
      <x:c r="A207" s="10" t="n">
        <x:v>206</x:v>
      </x:c>
      <x:c r="B207" s="10" t="str">
        <x:v>GUILD-03-0062</x:v>
      </x:c>
      <x:c r="C207" s="10" t="str">
        <x:v>运营工具</x:v>
      </x:c>
      <x:c r="D207" s="10" t="str">
        <x:v>运营账号主页</x:v>
      </x:c>
      <x:c r="E207" s="10" t="str">
        <x:v>功能需求</x:v>
      </x:c>
      <x:c r="F207" s="10" t="str">
        <x:v>P1</x:v>
      </x:c>
      <x:c r="G207" s="9" t="str">
        <x:v>验证自定义日期包含起止日</x:v>
      </x:c>
      <x:c r="H207" s="9" t="str">
        <x:v>日期首尾包含</x:v>
      </x:c>
      <x:c r="I207" s="9" t="str">
        <x:v>1. 公会长账号可用，已选择待测公会
2. 同一当前公会业务对象有开始日、结束日、结束日次日各一条记录</x:v>
      </x:c>
      <x:c r="J207" s="9" t="str">
        <x:v>1. 打开运营账号主页
2. 选择自定义日期为开始日至结束日</x:v>
      </x:c>
      <x:c r="K207" s="9" t="str">
        <x:v>列表仅包含开始日和结束日的2条记录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来源（当前证据）：liveshow-proto/MainBasis/统一需求文档.md；位置：第2309行、第2313行 REQ-6b41dca2bb99、第2314行 REQ-ffb5c04ae2bf、第2315行 REQ-0d183c1b1a8f
2. 规则：BR-62d516f475eef193
3. 未动态验证</x:v>
      </x:c>
    </x:row>
    <x:row r="208" ht="85" customHeight="1">
      <x:c r="A208" s="10" t="n">
        <x:v>207</x:v>
      </x:c>
      <x:c r="B208" s="10" t="str">
        <x:v>GUILD-03-0063</x:v>
      </x:c>
      <x:c r="C208" s="10" t="str">
        <x:v>运营工具</x:v>
      </x:c>
      <x:c r="D208" s="10" t="str">
        <x:v>运营账号主页</x:v>
      </x:c>
      <x:c r="E208" s="10" t="str">
        <x:v>功能需求</x:v>
      </x:c>
      <x:c r="F208" s="10" t="str">
        <x:v>P1</x:v>
      </x:c>
      <x:c r="G208" s="9" t="str">
        <x:v>验证运营账号详情身份</x:v>
      </x:c>
      <x:c r="H208" s="9" t="str">
        <x:v>运营账号资料归属</x:v>
      </x:c>
      <x:c r="I208" s="9" t="str">
        <x:v>1. 公会长账号可用，已选择待测公会
2. 两个运营账号昵称相似而ID不同，已知目标账号头像</x:v>
      </x:c>
      <x:c r="J208" s="9" t="str">
        <x:v>1. 打开运营账号主页</x:v>
      </x:c>
      <x:c r="K208" s="9" t="str">
        <x:v>账号详情的头像、名称和ID属于所选运营账号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来源（当前证据）：liveshow-proto/MainBasis/统一需求文档.md；位置：第2309行、第2310行 REQ-9a301f4fcc80
2. 规则：BR-e8179076a184825f
3. 未动态验证</x:v>
      </x:c>
    </x:row>
    <x:row r="209" ht="85" customHeight="1">
      <x:c r="A209" s="10" t="n">
        <x:v>208</x:v>
      </x:c>
      <x:c r="B209" s="10" t="str">
        <x:v>GUILD-03-0064</x:v>
      </x:c>
      <x:c r="C209" s="10" t="str">
        <x:v>运营工具</x:v>
      </x:c>
      <x:c r="D209" s="10" t="str">
        <x:v>运营账号主页</x:v>
      </x:c>
      <x:c r="E209" s="10" t="str">
        <x:v>功能需求</x:v>
      </x:c>
      <x:c r="F209" s="10" t="str">
        <x:v>P1</x:v>
      </x:c>
      <x:c r="G209" s="9" t="str">
        <x:v>验证累计消费排除失败记录</x:v>
      </x:c>
      <x:c r="H209" s="9" t="str">
        <x:v>累计消费汇总</x:v>
      </x:c>
      <x:c r="I209" s="9" t="str">
        <x:v>1. 公会长账号可用，已选择待测公会
2. 全部历史两笔成功记录100、200金币，失败记录50金币，其他账号400金币</x:v>
      </x:c>
      <x:c r="J209" s="9" t="str">
        <x:v>1. 打开运营账号主页</x:v>
      </x:c>
      <x:c r="K209" s="9" t="str">
        <x:v>累计消费计算结果=100+200=300金币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来源（当前证据）：liveshow-proto/MainBasis/统一需求文档.md；位置：第2309行、第2319行 REQ-cb2f1597cb22
2. 规则：BR-915488beb5a0b452
3. 未动态验证</x:v>
      </x:c>
    </x:row>
    <x:row r="210" ht="85" customHeight="1">
      <x:c r="A210" s="10" t="n">
        <x:v>209</x:v>
      </x:c>
      <x:c r="B210" s="10" t="str">
        <x:v>GUILD-03-0065</x:v>
      </x:c>
      <x:c r="C210" s="10" t="str">
        <x:v>运营工具</x:v>
      </x:c>
      <x:c r="D210" s="10" t="str">
        <x:v>运营账号主页</x:v>
      </x:c>
      <x:c r="E210" s="10" t="str">
        <x:v>功能需求</x:v>
      </x:c>
      <x:c r="F210" s="10" t="str">
        <x:v>P1</x:v>
      </x:c>
      <x:c r="G210" s="9" t="str">
        <x:v>验证本月发放排除失败记录</x:v>
      </x:c>
      <x:c r="H210" s="9" t="str">
        <x:v>本月发放汇总</x:v>
      </x:c>
      <x:c r="I210" s="9" t="str">
        <x:v>1. 公会长账号可用，已选择待测公会
2. 当前自然月两笔成功记录100、200金币，失败记录50金币，其他账号400金币</x:v>
      </x:c>
      <x:c r="J210" s="9" t="str">
        <x:v>1. 打开运营账号主页</x:v>
      </x:c>
      <x:c r="K210" s="9" t="str">
        <x:v>本月发放计算结果=100+200=300金币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来源（当前证据）：liveshow-proto/MainBasis/统一需求文档.md；位置：第2309行、第2320行 REQ-6187fe048a35
2. 规则：BR-0f9f641692212504
3. 未动态验证</x:v>
      </x:c>
    </x:row>
    <x:row r="211" ht="85" customHeight="1">
      <x:c r="A211" s="10" t="n">
        <x:v>210</x:v>
      </x:c>
      <x:c r="B211" s="10" t="str">
        <x:v>GUILD-03-0066</x:v>
      </x:c>
      <x:c r="C211" s="10" t="str">
        <x:v>运营工具</x:v>
      </x:c>
      <x:c r="D211" s="10" t="str">
        <x:v>运营账号主页</x:v>
      </x:c>
      <x:c r="E211" s="10" t="str">
        <x:v>功能需求</x:v>
      </x:c>
      <x:c r="F211" s="10" t="str">
        <x:v>P1</x:v>
      </x:c>
      <x:c r="G211" s="9" t="str">
        <x:v>验证本月消费排除失败记录</x:v>
      </x:c>
      <x:c r="H211" s="9" t="str">
        <x:v>本月消费汇总</x:v>
      </x:c>
      <x:c r="I211" s="9" t="str">
        <x:v>1. 公会长账号可用，已选择待测公会
2. 当前自然月两笔成功记录100、200金币，失败记录50金币，其他账号400金币</x:v>
      </x:c>
      <x:c r="J211" s="9" t="str">
        <x:v>1. 打开运营账号主页</x:v>
      </x:c>
      <x:c r="K211" s="9" t="str">
        <x:v>本月消费计算结果=100+200=300金币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来源（当前证据）：liveshow-proto/MainBasis/统一需求文档.md；位置：第2309行、第2321行 REQ-94bff1c09560
2. 规则：BR-b9495f580309eb6e
3. 未动态验证</x:v>
      </x:c>
    </x:row>
    <x:row r="212" ht="115" customHeight="1">
      <x:c r="A212" s="10" t="n">
        <x:v>211</x:v>
      </x:c>
      <x:c r="B212" s="10" t="str">
        <x:v>GUILD-03-0067</x:v>
      </x:c>
      <x:c r="C212" s="10" t="str">
        <x:v>运营工具</x:v>
      </x:c>
      <x:c r="D212" s="10" t="str">
        <x:v>选择运营账号</x:v>
      </x:c>
      <x:c r="E212" s="10" t="str">
        <x:v>功能需求</x:v>
      </x:c>
      <x:c r="F212" s="10" t="str">
        <x:v>P1</x:v>
      </x:c>
      <x:c r="G212" s="9" t="str">
        <x:v>验证选择多个运营账号</x:v>
      </x:c>
      <x:c r="H212" s="9" t="str">
        <x:v>多选对象回填</x:v>
      </x:c>
      <x:c r="I212" s="9" t="str">
        <x:v>1. 公会长账号可用，已选择待测公会
2. 当前公会有3个可选运营账号</x:v>
      </x:c>
      <x:c r="J212" s="9" t="str">
        <x:v>1. 打开选择运营账号
2. 选择其中2个运营账号
3. 点击完成</x:v>
      </x:c>
      <x:c r="K212" s="9" t="str">
        <x:v>来源页回填这2个已选运营账号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来源（当前证据）：liveshow-proto/MainBasis/统一需求文档.md；位置：第2346行、第2347行 REQ-3357f27fc152、第2349行 REQ-93b398b52072、第2350行 REQ-a0bb60a7cf49、第2351行 REQ-1a233850b6a8
2. 规则：BR-6d38f16561a40697
3. 未动态验证</x:v>
      </x:c>
    </x:row>
    <x:row r="213" ht="115" customHeight="1">
      <x:c r="A213" s="10" t="n">
        <x:v>212</x:v>
      </x:c>
      <x:c r="B213" s="10" t="str">
        <x:v>GUILD-03-0068</x:v>
      </x:c>
      <x:c r="C213" s="10" t="str">
        <x:v>运营工具</x:v>
      </x:c>
      <x:c r="D213" s="10" t="str">
        <x:v>选择运营账号</x:v>
      </x:c>
      <x:c r="E213" s="10" t="str">
        <x:v>功能需求</x:v>
      </x:c>
      <x:c r="F213" s="10" t="str">
        <x:v>P1</x:v>
      </x:c>
      <x:c r="G213" s="9" t="str">
        <x:v>验证全选全部运营账号</x:v>
      </x:c>
      <x:c r="H213" s="9" t="str">
        <x:v>全选作用范围</x:v>
      </x:c>
      <x:c r="I213" s="9" t="str">
        <x:v>1. 公会长账号可用，已选择待测公会
2. 当前公会有3个可选运营账号</x:v>
      </x:c>
      <x:c r="J213" s="9" t="str">
        <x:v>1. 打开选择运营账号
2. 点击全选</x:v>
      </x:c>
      <x:c r="K213" s="9" t="str">
        <x:v>3个运营账号均显示选中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来源（当前证据）：liveshow-proto/MainBasis/统一需求文档.md；位置：第2346行、第2347行 REQ-3357f27fc152、第2349行 REQ-93b398b52072、第2350行 REQ-a0bb60a7cf49、第2351行 REQ-1a233850b6a8
2. 规则：BR-d6440107f5da9d20
3. 未动态验证</x:v>
      </x:c>
    </x:row>
    <x:row r="214" ht="115" customHeight="1">
      <x:c r="A214" s="10" t="n">
        <x:v>213</x:v>
      </x:c>
      <x:c r="B214" s="10" t="str">
        <x:v>GUILD-03-0069</x:v>
      </x:c>
      <x:c r="C214" s="10" t="str">
        <x:v>运营工具</x:v>
      </x:c>
      <x:c r="D214" s="10" t="str">
        <x:v>选择运营账号</x:v>
      </x:c>
      <x:c r="E214" s="10" t="str">
        <x:v>功能需求</x:v>
      </x:c>
      <x:c r="F214" s="10" t="str">
        <x:v>P1</x:v>
      </x:c>
      <x:c r="G214" s="9" t="str">
        <x:v>验证取消全选运营账号</x:v>
      </x:c>
      <x:c r="H214" s="9" t="str">
        <x:v>选择清空</x:v>
      </x:c>
      <x:c r="I214" s="9" t="str">
        <x:v>1. 公会长账号可用，已选择待测公会
2. 全部运营账号已选中</x:v>
      </x:c>
      <x:c r="J214" s="9" t="str">
        <x:v>1. 打开选择运营账号
2. 点击取消全选</x:v>
      </x:c>
      <x:c r="K214" s="9" t="str">
        <x:v>已选数量显示0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来源（当前证据）：liveshow-proto/MainBasis/统一需求文档.md；位置：第2346行、第2347行 REQ-3357f27fc152、第2349行 REQ-93b398b52072、第2350行 REQ-a0bb60a7cf49、第2351行 REQ-1a233850b6a8
2. 规则：BR-9d307fe3f6512e3e
3. 未动态验证</x:v>
      </x:c>
    </x:row>
    <x:row r="215" ht="115" customHeight="1">
      <x:c r="A215" s="10" t="n">
        <x:v>214</x:v>
      </x:c>
      <x:c r="B215" s="10" t="str">
        <x:v>GUILD-03-0070</x:v>
      </x:c>
      <x:c r="C215" s="10" t="str">
        <x:v>运营工具</x:v>
      </x:c>
      <x:c r="D215" s="10" t="str">
        <x:v>选择运营账号</x:v>
      </x:c>
      <x:c r="E215" s="10" t="str">
        <x:v>功能需求</x:v>
      </x:c>
      <x:c r="F215" s="10" t="str">
        <x:v>P1</x:v>
      </x:c>
      <x:c r="G215" s="9" t="str">
        <x:v>验证保留来源日期</x:v>
      </x:c>
      <x:c r="H215" s="9" t="str">
        <x:v>返回日期保持</x:v>
      </x:c>
      <x:c r="I215" s="9" t="str">
        <x:v>1. 公会长账号可用，已选择待测公会
2. 来源页已指定非默认日期范围</x:v>
      </x:c>
      <x:c r="J215" s="9" t="str">
        <x:v>1. 打开选择运营账号
2. 选择一个运营账号
3. 点击完成</x:v>
      </x:c>
      <x:c r="K215" s="9" t="str">
        <x:v>来源页保持原日期范围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来源（当前证据）：liveshow-proto/MainBasis/统一需求文档.md；位置：第2346行、第2347行 REQ-3357f27fc152、第2349行 REQ-93b398b52072、第2350行 REQ-a0bb60a7cf49、第2351行 REQ-1a233850b6a8
2. 规则：BR-bf65955488b2d9f0
3. 未动态验证</x:v>
      </x:c>
    </x:row>
    <x:row r="216" ht="115" customHeight="1">
      <x:c r="A216" s="10" t="n">
        <x:v>215</x:v>
      </x:c>
      <x:c r="B216" s="10" t="str">
        <x:v>GUILD-03-0071</x:v>
      </x:c>
      <x:c r="C216" s="10" t="str">
        <x:v>运营工具</x:v>
      </x:c>
      <x:c r="D216" s="10" t="str">
        <x:v>选择运营账号</x:v>
      </x:c>
      <x:c r="E216" s="10" t="str">
        <x:v>功能需求</x:v>
      </x:c>
      <x:c r="F216" s="10" t="str">
        <x:v>P1</x:v>
      </x:c>
      <x:c r="G216" s="9" t="str">
        <x:v>验证搜索不重算已选数</x:v>
      </x:c>
      <x:c r="H216" s="9" t="str">
        <x:v>搜索数量与选择数量</x:v>
      </x:c>
      <x:c r="I216" s="9" t="str">
        <x:v>1. 公会长账号可用，已选择待测公会
2. 已选2个运营账号，搜索词只匹配其中1个</x:v>
      </x:c>
      <x:c r="J216" s="9" t="str">
        <x:v>1. 打开选择运营账号
2. 输入搜索关键词</x:v>
      </x:c>
      <x:c r="K216" s="9" t="str">
        <x:v>搜索结果数为1，已选数量仍为2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来源（当前证据）：liveshow-proto/MainBasis/统一需求文档.md；位置：第2346行、第2347行 REQ-3357f27fc152、第2349行 REQ-93b398b52072、第2350行 REQ-a0bb60a7cf49、第2351行 REQ-1a233850b6a8
2. 规则：BR-8510aa03e1bd6a65
3. 未动态验证</x:v>
      </x:c>
    </x:row>
    <x:row r="217" ht="85" customHeight="1">
      <x:c r="A217" s="10" t="n">
        <x:v>216</x:v>
      </x:c>
      <x:c r="B217" s="10" t="str">
        <x:v>GUILD-03-0072</x:v>
      </x:c>
      <x:c r="C217" s="10" t="str">
        <x:v>运营工具</x:v>
      </x:c>
      <x:c r="D217" s="10" t="str">
        <x:v>选择运营账号</x:v>
      </x:c>
      <x:c r="E217" s="10" t="str">
        <x:v>功能需求</x:v>
      </x:c>
      <x:c r="F217" s="10" t="str">
        <x:v>P1</x:v>
      </x:c>
      <x:c r="G217" s="9" t="str">
        <x:v>验证选择运营账号读取登录账号</x:v>
      </x:c>
      <x:c r="H217" s="9" t="str">
        <x:v>登录账号字段来源</x:v>
      </x:c>
      <x:c r="I217" s="9" t="str">
        <x:v>1. 公会长账号可用，已选择待测公会
2. 已知运营账号登录名与账号ID不同</x:v>
      </x:c>
      <x:c r="J217" s="9" t="str">
        <x:v>1. 打开选择运营账号</x:v>
      </x:c>
      <x:c r="K217" s="9" t="str">
        <x:v>选项显示登录账号，不以账号ID替代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来源（当前证据）：liveshow-proto/MainBasis/统一需求文档.md；位置：第2346行、第2348行 REQ-79212888b0a2
2. 规则：BR-c1d327afff1c2bd5
3. 未动态验证</x:v>
      </x:c>
    </x:row>
    <x:row r="218" ht="115" customHeight="1">
      <x:c r="A218" s="10" t="n">
        <x:v>217</x:v>
      </x:c>
      <x:c r="B218" s="10" t="str">
        <x:v>GUILD-03-0073</x:v>
      </x:c>
      <x:c r="C218" s="10" t="str">
        <x:v>运营工具</x:v>
      </x:c>
      <x:c r="D218" s="10" t="str">
        <x:v>运营账号</x:v>
      </x:c>
      <x:c r="E218" s="10" t="str">
        <x:v>功能需求</x:v>
      </x:c>
      <x:c r="F218" s="10" t="str">
        <x:v>P1</x:v>
      </x:c>
      <x:c r="G218" s="9" t="str">
        <x:v>验证按运营账号名称搜索</x:v>
      </x:c>
      <x:c r="H218" s="9" t="str">
        <x:v>运营名称匹配</x:v>
      </x:c>
      <x:c r="I218" s="9" t="str">
        <x:v>1. 公会长账号可用，已选择待测公会
2. 本会有两个名称不同的运营账号</x:v>
      </x:c>
      <x:c r="J218" s="9" t="str">
        <x:v>1. 打开运营账号
2. 输入搜索关键词为其中一个账号名称</x:v>
      </x:c>
      <x:c r="K218" s="9" t="str">
        <x:v>列表显示匹配名称的账号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来源（当前证据）：liveshow-proto/MainBasis/统一需求文档.md；位置：第2281行、第2282行 REQ-9b5a10629a57、第2283行 REQ-caa3708e5b1d、第2294行 REQ-44ae0e3ef059
2. 规则：BR-6c5f0de2c0c47e9f
3. 未动态验证</x:v>
      </x:c>
    </x:row>
    <x:row r="219" ht="115" customHeight="1">
      <x:c r="A219" s="10" t="n">
        <x:v>218</x:v>
      </x:c>
      <x:c r="B219" s="10" t="str">
        <x:v>GUILD-03-0074</x:v>
      </x:c>
      <x:c r="C219" s="10" t="str">
        <x:v>运营工具</x:v>
      </x:c>
      <x:c r="D219" s="10" t="str">
        <x:v>运营账号</x:v>
      </x:c>
      <x:c r="E219" s="10" t="str">
        <x:v>功能需求</x:v>
      </x:c>
      <x:c r="F219" s="10" t="str">
        <x:v>P1</x:v>
      </x:c>
      <x:c r="G219" s="9" t="str">
        <x:v>验证按运营账号ID搜索</x:v>
      </x:c>
      <x:c r="H219" s="9" t="str">
        <x:v>运营ID匹配</x:v>
      </x:c>
      <x:c r="I219" s="9" t="str">
        <x:v>1. 公会长账号可用，已选择待测公会
2. 已知本会运营账号的实际账号ID</x:v>
      </x:c>
      <x:c r="J219" s="9" t="str">
        <x:v>1. 打开运营账号
2. 输入搜索关键词为该账号ID</x:v>
      </x:c>
      <x:c r="K219" s="9" t="str">
        <x:v>列表显示该ID对应账号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来源（当前证据）：liveshow-proto/MainBasis/统一需求文档.md；位置：第2281行、第2282行 REQ-9b5a10629a57、第2283行 REQ-caa3708e5b1d、第2294行 REQ-44ae0e3ef059
2. 规则：BR-742edb56caaeb949
3. 未动态验证</x:v>
      </x:c>
    </x:row>
    <x:row r="220" ht="115" customHeight="1">
      <x:c r="A220" s="10" t="n">
        <x:v>219</x:v>
      </x:c>
      <x:c r="B220" s="10" t="str">
        <x:v>GUILD-03-0075</x:v>
      </x:c>
      <x:c r="C220" s="10" t="str">
        <x:v>运营工具</x:v>
      </x:c>
      <x:c r="D220" s="10" t="str">
        <x:v>运营账号</x:v>
      </x:c>
      <x:c r="E220" s="10" t="str">
        <x:v>功能需求</x:v>
      </x:c>
      <x:c r="F220" s="10" t="str">
        <x:v>P1</x:v>
      </x:c>
      <x:c r="G220" s="9" t="str">
        <x:v>验证创建运营账号入口</x:v>
      </x:c>
      <x:c r="H220" s="9" t="str">
        <x:v>账号创建入口</x:v>
      </x:c>
      <x:c r="I220" s="9" t="str">
        <x:v>1. 公会长账号可用，已选择待测公会
2. 平台未锁定公会管理</x:v>
      </x:c>
      <x:c r="J220" s="9" t="str">
        <x:v>1. 打开运营账号
2. 点击创建</x:v>
      </x:c>
      <x:c r="K220" s="9" t="str">
        <x:v>进入创建运营账号页面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来源（当前证据）：liveshow-proto/MainBasis/统一需求文档.md；位置：第2281行、第2282行 REQ-9b5a10629a57、第2283行 REQ-caa3708e5b1d、第2294行 REQ-44ae0e3ef059
2. 规则：BR-d6f873022e9c5f41
3. 未动态验证</x:v>
      </x:c>
    </x:row>
    <x:row r="221" ht="115" customHeight="1">
      <x:c r="A221" s="10" t="n">
        <x:v>220</x:v>
      </x:c>
      <x:c r="B221" s="10" t="str">
        <x:v>GUILD-03-0076</x:v>
      </x:c>
      <x:c r="C221" s="10" t="str">
        <x:v>运营工具</x:v>
      </x:c>
      <x:c r="D221" s="10" t="str">
        <x:v>运营账号</x:v>
      </x:c>
      <x:c r="E221" s="10" t="str">
        <x:v>功能需求</x:v>
      </x:c>
      <x:c r="F221" s="10" t="str">
        <x:v>P1</x:v>
      </x:c>
      <x:c r="G221" s="9" t="str">
        <x:v>验证进入运营账号主页</x:v>
      </x:c>
      <x:c r="H221" s="9" t="str">
        <x:v>运营详情定位</x:v>
      </x:c>
      <x:c r="I221" s="9" t="str">
        <x:v>1. 公会长账号可用，已选择待测公会
2. 列表有两个运营账号</x:v>
      </x:c>
      <x:c r="J221" s="9" t="str">
        <x:v>1. 打开运营账号
2. 点击其中一个账号</x:v>
      </x:c>
      <x:c r="K221" s="9" t="str">
        <x:v>进入所选运营账号主页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来源（当前证据）：liveshow-proto/MainBasis/统一需求文档.md；位置：第2281行、第2282行 REQ-9b5a10629a57、第2283行 REQ-caa3708e5b1d、第2294行 REQ-44ae0e3ef059
2. 规则：BR-f81dc6bd66300554
3. 未动态验证</x:v>
      </x:c>
    </x:row>
    <x:row r="222" ht="100" customHeight="1">
      <x:c r="A222" s="10" t="n">
        <x:v>221</x:v>
      </x:c>
      <x:c r="B222" s="10" t="str">
        <x:v>GUILD-03-0077</x:v>
      </x:c>
      <x:c r="C222" s="10" t="str">
        <x:v>运营工具</x:v>
      </x:c>
      <x:c r="D222" s="10" t="str">
        <x:v>运营账号</x:v>
      </x:c>
      <x:c r="E222" s="10" t="str">
        <x:v>逻辑校验</x:v>
      </x:c>
      <x:c r="F222" s="10" t="str">
        <x:v>P1</x:v>
      </x:c>
      <x:c r="G222" s="9" t="str">
        <x:v>验证公会月可发余额</x:v>
      </x:c>
      <x:c r="H222" s="9" t="str">
        <x:v>公会月剩余额度</x:v>
      </x:c>
      <x:c r="I222" s="9" t="str">
        <x:v>1. 公会长账号可用，已选择待测公会
2. 本公会月上限1000金币，本月成功发放400金币</x:v>
      </x:c>
      <x:c r="J222" s="9" t="str">
        <x:v>1. 打开运营账号</x:v>
      </x:c>
      <x:c r="K222" s="9" t="str">
        <x:v>计算结果：本月剩余可发=1000-400=600金币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来源（当前证据）：liveshow-proto/MainBasis/统一需求文档.md；位置：第2281行、第2287行 REQ-106a2ab4234a、第2288行 REQ-629a171defa4
2. 规则：BR-5b1e359179871b8d
3. 未动态验证</x:v>
      </x:c>
    </x:row>
    <x:row r="223" ht="85" customHeight="1">
      <x:c r="A223" s="10" t="n">
        <x:v>222</x:v>
      </x:c>
      <x:c r="B223" s="10" t="str">
        <x:v>GUILD-03-0078</x:v>
      </x:c>
      <x:c r="C223" s="10" t="str">
        <x:v>运营工具</x:v>
      </x:c>
      <x:c r="D223" s="10" t="str">
        <x:v>运营账号</x:v>
      </x:c>
      <x:c r="E223" s="10" t="str">
        <x:v>功能需求</x:v>
      </x:c>
      <x:c r="F223" s="10" t="str">
        <x:v>P1</x:v>
      </x:c>
      <x:c r="G223" s="9" t="str">
        <x:v>验证公会月额度已用尽</x:v>
      </x:c>
      <x:c r="H223" s="9" t="str">
        <x:v>剩余额度零下界</x:v>
      </x:c>
      <x:c r="I223" s="9" t="str">
        <x:v>1. 公会长账号可用，已选择待测公会
2. 本月已成功发放400金币，公会月上限为400金币</x:v>
      </x:c>
      <x:c r="J223" s="9" t="str">
        <x:v>1. 打开运营账号
2. 刷新运营账号列表</x:v>
      </x:c>
      <x:c r="K223" s="9" t="str">
        <x:v>本月剩余可发显示0金币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来源（当前证据）：liveshow-proto/MainBasis/统一需求文档.md；位置：第2281行、第2288行 REQ-629a171defa4
2. 规则：BR-7cf03a02037a3d64
3. 未动态验证</x:v>
      </x:c>
    </x:row>
    <x:row r="224" ht="85" customHeight="1">
      <x:c r="A224" s="10" t="n">
        <x:v>223</x:v>
      </x:c>
      <x:c r="B224" s="10" t="str">
        <x:v>GUILD-03-0079</x:v>
      </x:c>
      <x:c r="C224" s="10" t="str">
        <x:v>运营工具</x:v>
      </x:c>
      <x:c r="D224" s="10" t="str">
        <x:v>运营账号</x:v>
      </x:c>
      <x:c r="E224" s="10" t="str">
        <x:v>逻辑校验</x:v>
      </x:c>
      <x:c r="F224" s="10" t="str">
        <x:v>P1</x:v>
      </x:c>
      <x:c r="G224" s="9" t="str">
        <x:v>验证累计账号余额</x:v>
      </x:c>
      <x:c r="H224" s="9" t="str">
        <x:v>虚拟余额汇总</x:v>
      </x:c>
      <x:c r="I224" s="9" t="str">
        <x:v>1. 公会长账号可用，已选择待测公会
2. 本公会两个运营账号可用虚拟金币分别100和200，另有其他公会账号500</x:v>
      </x:c>
      <x:c r="J224" s="9" t="str">
        <x:v>1. 打开运营账号</x:v>
      </x:c>
      <x:c r="K224" s="9" t="str">
        <x:v>计算结果：账户余额累计=100+200=300金币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来源（当前证据）：liveshow-proto/MainBasis/统一需求文档.md；位置：第2281行、第2289行 REQ-78fbc0a52b64
2. 规则：BR-80aed9fee8bfd3ba
3. 未动态验证</x:v>
      </x:c>
    </x:row>
    <x:row r="225" ht="100" customHeight="1">
      <x:c r="A225" s="10" t="n">
        <x:v>224</x:v>
      </x:c>
      <x:c r="B225" s="10" t="str">
        <x:v>GUILD-03-0080</x:v>
      </x:c>
      <x:c r="C225" s="10" t="str">
        <x:v>运营工具</x:v>
      </x:c>
      <x:c r="D225" s="10" t="str">
        <x:v>运营账号</x:v>
      </x:c>
      <x:c r="E225" s="10" t="str">
        <x:v>逻辑校验</x:v>
      </x:c>
      <x:c r="F225" s="10" t="str">
        <x:v>P1</x:v>
      </x:c>
      <x:c r="G225" s="9" t="str">
        <x:v>验证本月运营消费</x:v>
      </x:c>
      <x:c r="H225" s="9" t="str">
        <x:v>月成功消费范围</x:v>
      </x:c>
      <x:c r="I225" s="9" t="str">
        <x:v>1. 公会长账号可用，已选择待测公会
2. 本公会本月两笔成功虚拟赠礼各100和200金币，另有失败50及上月成功80</x:v>
      </x:c>
      <x:c r="J225" s="9" t="str">
        <x:v>1. 打开运营账号</x:v>
      </x:c>
      <x:c r="K225" s="9" t="str">
        <x:v>计算结果：本月累计消费=100+200=300金币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来源（当前证据）：liveshow-proto/MainBasis/统一需求文档.md；位置：第2281行、第2285行 REQ-015f48c33080、第2290行 REQ-36c672501212
2. 规则：BR-7ea7babd357a4a57
3. 未动态验证</x:v>
      </x:c>
    </x:row>
    <x:row r="226" ht="85" customHeight="1">
      <x:c r="A226" s="10" t="n">
        <x:v>225</x:v>
      </x:c>
      <x:c r="B226" s="10" t="str">
        <x:v>GUILD-03-0081</x:v>
      </x:c>
      <x:c r="C226" s="10" t="str">
        <x:v>运营工具</x:v>
      </x:c>
      <x:c r="D226" s="10" t="str">
        <x:v>运营账号</x:v>
      </x:c>
      <x:c r="E226" s="10" t="str">
        <x:v>功能需求</x:v>
      </x:c>
      <x:c r="F226" s="10" t="str">
        <x:v>P1</x:v>
      </x:c>
      <x:c r="G226" s="9" t="str">
        <x:v>验证运营账号创建入口</x:v>
      </x:c>
      <x:c r="H226" s="9" t="str">
        <x:v>创建页面路由</x:v>
      </x:c>
      <x:c r="I226" s="9" t="str">
        <x:v>1. 公会长账号可用，已选择待测公会
2. 公会有运营账号管理权限</x:v>
      </x:c>
      <x:c r="J226" s="9" t="str">
        <x:v>1. 打开运营账号
2. 点击创建</x:v>
      </x:c>
      <x:c r="K226" s="9" t="str">
        <x:v>进入创建运营账号页面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来源（当前证据）：liveshow-proto/MainBasis/统一需求文档.md；位置：第2281行、第2286行 REQ-cd0c1de92fde
2. 规则：BR-688890c33a9ff400
3. 未动态验证</x:v>
      </x:c>
    </x:row>
    <x:row r="227" ht="85" customHeight="1">
      <x:c r="A227" s="10" t="n">
        <x:v>226</x:v>
      </x:c>
      <x:c r="B227" s="10" t="str">
        <x:v>GUILD-03-0082</x:v>
      </x:c>
      <x:c r="C227" s="10" t="str">
        <x:v>运营工具</x:v>
      </x:c>
      <x:c r="D227" s="10" t="str">
        <x:v>运营账号</x:v>
      </x:c>
      <x:c r="E227" s="10" t="str">
        <x:v>功能需求</x:v>
      </x:c>
      <x:c r="F227" s="10" t="str">
        <x:v>P1</x:v>
      </x:c>
      <x:c r="G227" s="9" t="str">
        <x:v>验证列表余额币种</x:v>
      </x:c>
      <x:c r="H227" s="9" t="str">
        <x:v>虚拟余额展示</x:v>
      </x:c>
      <x:c r="I227" s="9" t="str">
        <x:v>1. 公会长账号可用，已选择待测公会
2. 目标运营账号可用虚拟金币100，未持有真实金币</x:v>
      </x:c>
      <x:c r="J227" s="9" t="str">
        <x:v>1. 打开运营账号</x:v>
      </x:c>
      <x:c r="K227" s="9" t="str">
        <x:v>余额显示100虚拟金币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来源（当前证据）：liveshow-proto/MainBasis/统一需求文档.md；位置：第2281行、第2284行 REQ-56bc7f0fa718
2. 规则：BR-30e89d2608cbb08a
3. 未动态验证</x:v>
      </x:c>
    </x:row>
    <x:row r="228" ht="115" customHeight="1">
      <x:c r="A228" s="10" t="n">
        <x:v>227</x:v>
      </x:c>
      <x:c r="B228" s="10" t="str">
        <x:v>GUILD-03-0083</x:v>
      </x:c>
      <x:c r="C228" s="10" t="str">
        <x:v>运营工具</x:v>
      </x:c>
      <x:c r="D228" s="10" t="str">
        <x:v>送礼记录</x:v>
      </x:c>
      <x:c r="E228" s="10" t="str">
        <x:v>功能需求</x:v>
      </x:c>
      <x:c r="F228" s="10" t="str">
        <x:v>P1</x:v>
      </x:c>
      <x:c r="G228" s="9" t="str">
        <x:v>验证运营送礼默认范围</x:v>
      </x:c>
      <x:c r="H228" s="9" t="str">
        <x:v>送礼记录默认筛选</x:v>
      </x:c>
      <x:c r="I228" s="9" t="str">
        <x:v>1. 公会长账号可用，已选择待测公会
2. 本公会有今日及昨日运营送礼记录</x:v>
      </x:c>
      <x:c r="J228" s="9" t="str">
        <x:v>1. 打开送礼记录</x:v>
      </x:c>
      <x:c r="K228" s="9" t="str">
        <x:v>默认选中全部运营账号和今日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来源（当前证据）：liveshow-proto/MainBasis/统一需求文档.md；位置：第2329行、第2330行 REQ-21482a338b4c、第2339行 REQ-18cc1beb60b8、第2343行 REQ-d50e680d0a9b
2. 规则：BR-50e1d4e5591eed68
3. 未动态验证</x:v>
      </x:c>
    </x:row>
    <x:row r="229" ht="115" customHeight="1">
      <x:c r="A229" s="10" t="n">
        <x:v>228</x:v>
      </x:c>
      <x:c r="B229" s="10" t="str">
        <x:v>GUILD-03-0084</x:v>
      </x:c>
      <x:c r="C229" s="10" t="str">
        <x:v>运营工具</x:v>
      </x:c>
      <x:c r="D229" s="10" t="str">
        <x:v>送礼记录</x:v>
      </x:c>
      <x:c r="E229" s="10" t="str">
        <x:v>功能需求</x:v>
      </x:c>
      <x:c r="F229" s="10" t="str">
        <x:v>P1</x:v>
      </x:c>
      <x:c r="G229" s="9" t="str">
        <x:v>验证仅展示成功送礼记录</x:v>
      </x:c>
      <x:c r="H229" s="9" t="str">
        <x:v>送礼成功状态范围</x:v>
      </x:c>
      <x:c r="I229" s="9" t="str">
        <x:v>1. 公会长账号可用，已选择待测公会
2. 当前范围有成功、失败各一笔虚拟赠礼</x:v>
      </x:c>
      <x:c r="J229" s="9" t="str">
        <x:v>1. 打开送礼记录</x:v>
      </x:c>
      <x:c r="K229" s="9" t="str">
        <x:v>列表仅包含成功赠送记录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来源（当前证据）：liveshow-proto/MainBasis/统一需求文档.md；位置：第2329行、第2330行 REQ-21482a338b4c、第2339行 REQ-18cc1beb60b8、第2343行 REQ-d50e680d0a9b
2. 规则：BR-1be16ef9cefc228b
3. 未动态验证</x:v>
      </x:c>
    </x:row>
    <x:row r="230" ht="115" customHeight="1">
      <x:c r="A230" s="10" t="n">
        <x:v>229</x:v>
      </x:c>
      <x:c r="B230" s="10" t="str">
        <x:v>GUILD-03-0085</x:v>
      </x:c>
      <x:c r="C230" s="10" t="str">
        <x:v>运营工具</x:v>
      </x:c>
      <x:c r="D230" s="10" t="str">
        <x:v>送礼记录</x:v>
      </x:c>
      <x:c r="E230" s="10" t="str">
        <x:v>功能需求</x:v>
      </x:c>
      <x:c r="F230" s="10" t="str">
        <x:v>P1</x:v>
      </x:c>
      <x:c r="G230" s="9" t="str">
        <x:v>验证运营送礼打开详情</x:v>
      </x:c>
      <x:c r="H230" s="9" t="str">
        <x:v>送礼详情归属</x:v>
      </x:c>
      <x:c r="I230" s="9" t="str">
        <x:v>1. 公会长账号可用，已选择待测公会
2. 有两笔不同礼物赠送记录</x:v>
      </x:c>
      <x:c r="J230" s="9" t="str">
        <x:v>1. 打开送礼记录
2. 点击其中一笔记录</x:v>
      </x:c>
      <x:c r="K230" s="9" t="str">
        <x:v>详情展示该笔赠送记录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来源（当前证据）：liveshow-proto/MainBasis/统一需求文档.md；位置：第2329行、第2330行 REQ-21482a338b4c、第2339行 REQ-18cc1beb60b8、第2343行 REQ-d50e680d0a9b
2. 规则：BR-b0e55c1cbbd28a2d
3. 未动态验证</x:v>
      </x:c>
    </x:row>
    <x:row r="231" ht="100" customHeight="1">
      <x:c r="A231" s="10" t="n">
        <x:v>230</x:v>
      </x:c>
      <x:c r="B231" s="10" t="str">
        <x:v>GUILD-03-0086</x:v>
      </x:c>
      <x:c r="C231" s="10" t="str">
        <x:v>运营工具</x:v>
      </x:c>
      <x:c r="D231" s="10" t="str">
        <x:v>送礼记录</x:v>
      </x:c>
      <x:c r="E231" s="10" t="str">
        <x:v>逻辑校验</x:v>
      </x:c>
      <x:c r="F231" s="10" t="str">
        <x:v>P1</x:v>
      </x:c>
      <x:c r="G231" s="9" t="str">
        <x:v>验证运营赠礼消费金额</x:v>
      </x:c>
      <x:c r="H231" s="9" t="str">
        <x:v>单笔虚拟消费</x:v>
      </x:c>
      <x:c r="I231" s="9" t="str">
        <x:v>1. 公会长账号可用，已选择待测公会
2. 单笔成功赠礼的快照单价100金币，数量3件</x:v>
      </x:c>
      <x:c r="J231" s="9" t="str">
        <x:v>1. 打开送礼记录
2. 点击该笔送礼记录</x:v>
      </x:c>
      <x:c r="K231" s="9" t="str">
        <x:v>计算结果：消费金币=100×3=300金币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来源（当前证据）：liveshow-proto/MainBasis/统一需求文档.md；位置：第2329行、第2331行 REQ-b62796c68fa1、第2334行 REQ-044bfc926083
2. 规则：BR-fa2f8461013bef97
3. 未动态验证</x:v>
      </x:c>
    </x:row>
    <x:row r="232" ht="100" customHeight="1">
      <x:c r="A232" s="10" t="n">
        <x:v>231</x:v>
      </x:c>
      <x:c r="B232" s="10" t="str">
        <x:v>GUILD-03-0087</x:v>
      </x:c>
      <x:c r="C232" s="10" t="str">
        <x:v>运营工具</x:v>
      </x:c>
      <x:c r="D232" s="10" t="str">
        <x:v>送礼记录</x:v>
      </x:c>
      <x:c r="E232" s="10" t="str">
        <x:v>逻辑校验</x:v>
      </x:c>
      <x:c r="F232" s="10" t="str">
        <x:v>P1</x:v>
      </x:c>
      <x:c r="G232" s="9" t="str">
        <x:v>验证运营送礼汇总</x:v>
      </x:c>
      <x:c r="H232" s="9" t="str">
        <x:v>筛选成功消费汇总</x:v>
      </x:c>
      <x:c r="I232" s="9" t="str">
        <x:v>1. 公会长账号可用，已选择待测公会
2. 当前筛选两笔成功虚拟消费100和200金币，另有范围外成功500及范围内失败50</x:v>
      </x:c>
      <x:c r="J232" s="9" t="str">
        <x:v>1. 打开送礼记录</x:v>
      </x:c>
      <x:c r="K232" s="9" t="str">
        <x:v>计算结果：总消费金币=100+200=300金币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来源（当前证据）：liveshow-proto/MainBasis/统一需求文档.md；位置：第2329行、第2340行 REQ-9d12cfa29c07、第2341行 REQ-18e1e75f6ebd
2. 规则：BR-bc9b4dd891494045
3. 未动态验证</x:v>
      </x:c>
    </x:row>
    <x:row r="233" ht="145" customHeight="1">
      <x:c r="A233" s="10" t="n">
        <x:v>232</x:v>
      </x:c>
      <x:c r="B233" s="10" t="str">
        <x:v>GUILD-03-0088</x:v>
      </x:c>
      <x:c r="C233" s="10" t="str">
        <x:v>运营工具</x:v>
      </x:c>
      <x:c r="D233" s="10" t="str">
        <x:v>送礼记录</x:v>
      </x:c>
      <x:c r="E233" s="10" t="str">
        <x:v>功能需求</x:v>
      </x:c>
      <x:c r="F233" s="10" t="str">
        <x:v>P1</x:v>
      </x:c>
      <x:c r="G233" s="9" t="str">
        <x:v>验证送礼记录读取虚拟赠礼快照：赠礼价格快照</x:v>
      </x:c>
      <x:c r="H233" s="9" t="str">
        <x:v>赠礼价格快照</x:v>
      </x:c>
      <x:c r="I233" s="9" t="str">
        <x:v>1. 公会长账号可用，已选择待测公会
2. 已知一笔成功运营赠礼的时间、价格、数量及接收主播</x:v>
      </x:c>
      <x:c r="J233" s="9" t="str">
        <x:v>1. 打开送礼记录
2. 点击该赠送记录</x:v>
      </x:c>
      <x:c r="K233" s="9" t="str">
        <x:v>详情单价等于赠送时单价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来源（当前证据）：liveshow-proto/MainBasis/统一需求文档.md；位置：第2329行、第2332行 REQ-8886e923a248、第2333行 REQ-9e277d7deccf、第2335行 REQ-35bd384b5c24、第2336行 REQ-24c46a7ac13f、第2337行 REQ-f738c96c68a0、第2338行 REQ-fe92bf460795
2. 规则：BR-810ec3c5022a1fce
3. 未动态验证</x:v>
      </x:c>
    </x:row>
    <x:row r="234" ht="145" customHeight="1">
      <x:c r="A234" s="10" t="n">
        <x:v>233</x:v>
      </x:c>
      <x:c r="B234" s="10" t="str">
        <x:v>GUILD-03-0089</x:v>
      </x:c>
      <x:c r="C234" s="10" t="str">
        <x:v>运营工具</x:v>
      </x:c>
      <x:c r="D234" s="10" t="str">
        <x:v>送礼记录</x:v>
      </x:c>
      <x:c r="E234" s="10" t="str">
        <x:v>功能需求</x:v>
      </x:c>
      <x:c r="F234" s="10" t="str">
        <x:v>P1</x:v>
      </x:c>
      <x:c r="G234" s="9" t="str">
        <x:v>验证送礼记录读取虚拟赠礼快照：赠礼数量快照</x:v>
      </x:c>
      <x:c r="H234" s="9" t="str">
        <x:v>赠礼数量快照</x:v>
      </x:c>
      <x:c r="I234" s="9" t="str">
        <x:v>1. 公会长账号可用，已选择待测公会
2. 已知一笔成功运营赠礼的时间、价格、数量及接收主播</x:v>
      </x:c>
      <x:c r="J234" s="9" t="str">
        <x:v>1. 打开送礼记录
2. 点击该赠送记录</x:v>
      </x:c>
      <x:c r="K234" s="9" t="str">
        <x:v>数量等于当次成功赠送件数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来源（当前证据）：liveshow-proto/MainBasis/统一需求文档.md；位置：第2329行、第2332行 REQ-8886e923a248、第2333行 REQ-9e277d7deccf、第2335行 REQ-35bd384b5c24、第2336行 REQ-24c46a7ac13f、第2337行 REQ-f738c96c68a0、第2338行 REQ-fe92bf460795
2. 规则：BR-ea5b3fa760fb9e82
3. 未动态验证</x:v>
      </x:c>
    </x:row>
    <x:row r="235" ht="145" customHeight="1">
      <x:c r="A235" s="10" t="n">
        <x:v>234</x:v>
      </x:c>
      <x:c r="B235" s="10" t="str">
        <x:v>GUILD-03-0090</x:v>
      </x:c>
      <x:c r="C235" s="10" t="str">
        <x:v>运营工具</x:v>
      </x:c>
      <x:c r="D235" s="10" t="str">
        <x:v>送礼记录</x:v>
      </x:c>
      <x:c r="E235" s="10" t="str">
        <x:v>功能需求</x:v>
      </x:c>
      <x:c r="F235" s="10" t="str">
        <x:v>P1</x:v>
      </x:c>
      <x:c r="G235" s="9" t="str">
        <x:v>验证送礼记录读取虚拟赠礼快照：赠礼接收主播</x:v>
      </x:c>
      <x:c r="H235" s="9" t="str">
        <x:v>赠礼接收主播</x:v>
      </x:c>
      <x:c r="I235" s="9" t="str">
        <x:v>1. 公会长账号可用，已选择待测公会
2. 已知一笔成功运营赠礼的时间、价格、数量及接收主播</x:v>
      </x:c>
      <x:c r="J235" s="9" t="str">
        <x:v>1. 打开送礼记录
2. 点击该赠送记录</x:v>
      </x:c>
      <x:c r="K235" s="9" t="str">
        <x:v>接收主播为当次实际赠礼对象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来源（当前证据）：liveshow-proto/MainBasis/统一需求文档.md；位置：第2329行、第2332行 REQ-8886e923a248、第2333行 REQ-9e277d7deccf、第2335行 REQ-35bd384b5c24、第2336行 REQ-24c46a7ac13f、第2337行 REQ-f738c96c68a0、第2338行 REQ-fe92bf460795
2. 规则：BR-06e6cd3d3eab6185
3. 未动态验证</x:v>
      </x:c>
    </x:row>
    <x:row r="236" ht="145" customHeight="1">
      <x:c r="A236" s="10" t="n">
        <x:v>235</x:v>
      </x:c>
      <x:c r="B236" s="10" t="str">
        <x:v>GUILD-03-0091</x:v>
      </x:c>
      <x:c r="C236" s="10" t="str">
        <x:v>运营工具</x:v>
      </x:c>
      <x:c r="D236" s="10" t="str">
        <x:v>送礼记录</x:v>
      </x:c>
      <x:c r="E236" s="10" t="str">
        <x:v>功能需求</x:v>
      </x:c>
      <x:c r="F236" s="10" t="str">
        <x:v>P1</x:v>
      </x:c>
      <x:c r="G236" s="9" t="str">
        <x:v>验证送礼记录读取虚拟赠礼快照：赠礼时间快照</x:v>
      </x:c>
      <x:c r="H236" s="9" t="str">
        <x:v>赠礼时间快照</x:v>
      </x:c>
      <x:c r="I236" s="9" t="str">
        <x:v>1. 公会长账号可用，已选择待测公会
2. 已知一笔成功运营赠礼的时间、价格、数量及接收主播</x:v>
      </x:c>
      <x:c r="J236" s="9" t="str">
        <x:v>1. 打开送礼记录
2. 点击该赠送记录</x:v>
      </x:c>
      <x:c r="K236" s="9" t="str">
        <x:v>赠送时间等于当次成功赠送时间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来源（当前证据）：liveshow-proto/MainBasis/统一需求文档.md；位置：第2329行、第2332行 REQ-8886e923a248、第2333行 REQ-9e277d7deccf、第2335行 REQ-35bd384b5c24、第2336行 REQ-24c46a7ac13f、第2337行 REQ-f738c96c68a0、第2338行 REQ-fe92bf460795
2. 规则：BR-aeb3697635e407e0
3. 未动态验证</x:v>
      </x:c>
    </x:row>
    <x:row r="237" ht="115" customHeight="1">
      <x:c r="A237" s="10" t="n">
        <x:v>236</x:v>
      </x:c>
      <x:c r="B237" s="10" t="str">
        <x:v>GUILD-04-0001</x:v>
      </x:c>
      <x:c r="C237" s="10" t="str">
        <x:v>公会管理</x:v>
      </x:c>
      <x:c r="D237" s="10" t="str">
        <x:v>修改密码</x:v>
      </x:c>
      <x:c r="E237" s="10" t="str">
        <x:v>功能需求</x:v>
      </x:c>
      <x:c r="F237" s="10" t="str">
        <x:v>P1</x:v>
      </x:c>
      <x:c r="G237" s="9" t="str">
        <x:v>验证当前密码错误</x:v>
      </x:c>
      <x:c r="H237" s="9" t="str">
        <x:v>旧密码错误反馈</x:v>
      </x:c>
      <x:c r="I237" s="9" t="str">
        <x:v>1. 公会长账号可用，已选择待测公会
2. 已知当前密码，两个新密码相同且不少于8位</x:v>
      </x:c>
      <x:c r="J237" s="9" t="str">
        <x:v>1. 打开修改密码
2. 输入不匹配的当前密码
3. 输入新密码和确认密码
4. 点击保存</x:v>
      </x:c>
      <x:c r="K237" s="9" t="str">
        <x:v>提示“当前密码错误”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来源（当前证据）：liveshow-proto/MainBasis/统一需求文档.md；位置：第2372行、第2373行 REQ-e433f84a8574、第2374行 REQ-91704eabb038、第2375行 REQ-b2fb543894d9、第2376行 REQ-1e4230a9bda5
2. 规则：BR-76b5d08fb69707bf
3. 未动态验证</x:v>
      </x:c>
    </x:row>
    <x:row r="238" ht="115" customHeight="1">
      <x:c r="A238" s="10" t="n">
        <x:v>237</x:v>
      </x:c>
      <x:c r="B238" s="10" t="str">
        <x:v>GUILD-04-0002</x:v>
      </x:c>
      <x:c r="C238" s="10" t="str">
        <x:v>公会管理</x:v>
      </x:c>
      <x:c r="D238" s="10" t="str">
        <x:v>修改密码</x:v>
      </x:c>
      <x:c r="E238" s="10" t="str">
        <x:v>功能需求</x:v>
      </x:c>
      <x:c r="F238" s="10" t="str">
        <x:v>P1</x:v>
      </x:c>
      <x:c r="G238" s="9" t="str">
        <x:v>验证新旧密码相同</x:v>
      </x:c>
      <x:c r="H238" s="9" t="str">
        <x:v>新旧密码重复反馈</x:v>
      </x:c>
      <x:c r="I238" s="9" t="str">
        <x:v>1. 公会长账号可用，已选择待测公会
2. 已知当前密码不少于8位</x:v>
      </x:c>
      <x:c r="J238" s="9" t="str">
        <x:v>1. 打开修改密码
2. 输入当前密码
3. 输入新密码和确认密码为当前密码
4. 点击保存</x:v>
      </x:c>
      <x:c r="K238" s="9" t="str">
        <x:v>提示“新密码不能和旧密码一样”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来源（当前证据）：liveshow-proto/MainBasis/统一需求文档.md；位置：第2372行、第2373行 REQ-e433f84a8574、第2374行 REQ-91704eabb038、第2375行 REQ-b2fb543894d9、第2376行 REQ-1e4230a9bda5
2. 规则：BR-10b40ba06ee694a9
3. 未动态验证</x:v>
      </x:c>
    </x:row>
    <x:row r="239" ht="115" customHeight="1">
      <x:c r="A239" s="10" t="n">
        <x:v>238</x:v>
      </x:c>
      <x:c r="B239" s="10" t="str">
        <x:v>GUILD-04-0003</x:v>
      </x:c>
      <x:c r="C239" s="10" t="str">
        <x:v>公会管理</x:v>
      </x:c>
      <x:c r="D239" s="10" t="str">
        <x:v>修改密码</x:v>
      </x:c>
      <x:c r="E239" s="10" t="str">
        <x:v>功能需求</x:v>
      </x:c>
      <x:c r="F239" s="10" t="str">
        <x:v>P1</x:v>
      </x:c>
      <x:c r="G239" s="9" t="str">
        <x:v>验证两次新密码不一致</x:v>
      </x:c>
      <x:c r="H239" s="9" t="str">
        <x:v>新密码一致性</x:v>
      </x:c>
      <x:c r="I239" s="9" t="str">
        <x:v>1. 公会长账号可用，已选择待测公会
2. 当前密码有效</x:v>
      </x:c>
      <x:c r="J239" s="9" t="str">
        <x:v>1. 打开修改密码
2. 输入新密码为12345678
3. 输入确认新密码为12345679
4. 点击保存</x:v>
      </x:c>
      <x:c r="K239" s="9" t="str">
        <x:v>不一致的新密码不能保存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来源（当前证据）：liveshow-proto/MainBasis/统一需求文档.md；位置：第2372行、第2373行 REQ-e433f84a8574、第2374行 REQ-91704eabb038、第2375行 REQ-b2fb543894d9、第2376行 REQ-1e4230a9bda5
2. 规则：BR-f8606df10caa3792
3. 未动态验证</x:v>
      </x:c>
    </x:row>
    <x:row r="240" ht="115" customHeight="1">
      <x:c r="A240" s="10" t="n">
        <x:v>239</x:v>
      </x:c>
      <x:c r="B240" s="10" t="str">
        <x:v>GUILD-04-0004</x:v>
      </x:c>
      <x:c r="C240" s="10" t="str">
        <x:v>公会管理</x:v>
      </x:c>
      <x:c r="D240" s="10" t="str">
        <x:v>修改密码</x:v>
      </x:c>
      <x:c r="E240" s="10" t="str">
        <x:v>功能需求</x:v>
      </x:c>
      <x:c r="F240" s="10" t="str">
        <x:v>P1</x:v>
      </x:c>
      <x:c r="G240" s="9" t="str">
        <x:v>验证新密码7位</x:v>
      </x:c>
      <x:c r="H240" s="9" t="str">
        <x:v>新密码长度下界</x:v>
      </x:c>
      <x:c r="I240" s="9" t="str">
        <x:v>1. 公会长账号可用，已选择待测公会
2. 当前密码有效且不是1234567</x:v>
      </x:c>
      <x:c r="J240" s="9" t="str">
        <x:v>1. 打开修改密码
2. 输入新密码和确认新密码为1234567
3. 点击保存</x:v>
      </x:c>
      <x:c r="K240" s="9" t="str">
        <x:v>7位新密码不能保存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来源（当前证据）：liveshow-proto/MainBasis/统一需求文档.md；位置：第2372行、第2373行 REQ-e433f84a8574、第2374行 REQ-91704eabb038、第2375行 REQ-b2fb543894d9、第2376行 REQ-1e4230a9bda5
2. 规则：BR-0daa8f2ecdb4c03b
3. 未动态验证</x:v>
      </x:c>
    </x:row>
    <x:row r="241" ht="115" customHeight="1">
      <x:c r="A241" s="10" t="n">
        <x:v>240</x:v>
      </x:c>
      <x:c r="B241" s="10" t="str">
        <x:v>GUILD-04-0005</x:v>
      </x:c>
      <x:c r="C241" s="10" t="str">
        <x:v>公会管理</x:v>
      </x:c>
      <x:c r="D241" s="10" t="str">
        <x:v>修改密码</x:v>
      </x:c>
      <x:c r="E241" s="10" t="str">
        <x:v>功能需求</x:v>
      </x:c>
      <x:c r="F241" s="10" t="str">
        <x:v>P1</x:v>
      </x:c>
      <x:c r="G241" s="9" t="str">
        <x:v>验证8位新密码保存</x:v>
      </x:c>
      <x:c r="H241" s="9" t="str">
        <x:v>新密码合法边界</x:v>
      </x:c>
      <x:c r="I241" s="9" t="str">
        <x:v>1. 公会长账号可用，已选择待测公会
2. 当前密码有效且不是12345678</x:v>
      </x:c>
      <x:c r="J241" s="9" t="str">
        <x:v>1. 打开修改密码
2. 输入当前密码
3. 输入新密码和确认新密码为12345678
4. 点击保存</x:v>
      </x:c>
      <x:c r="K241" s="9" t="str">
        <x:v>修改完成后返回账号设置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来源（当前证据）：liveshow-proto/MainBasis/统一需求文档.md；位置：第2372行、第2373行 REQ-e433f84a8574、第2374行 REQ-91704eabb038、第2375行 REQ-b2fb543894d9、第2376行 REQ-1e4230a9bda5
2. 规则：BR-d18dcfc3cb49c76d
3. 未动态验证</x:v>
      </x:c>
    </x:row>
    <x:row r="242" ht="115" customHeight="1">
      <x:c r="A242" s="10" t="n">
        <x:v>241</x:v>
      </x:c>
      <x:c r="B242" s="10" t="str">
        <x:v>GUILD-04-0006</x:v>
      </x:c>
      <x:c r="C242" s="10" t="str">
        <x:v>公会管理</x:v>
      </x:c>
      <x:c r="D242" s="10" t="str">
        <x:v>修改密码</x:v>
      </x:c>
      <x:c r="E242" s="10" t="str">
        <x:v>功能需求</x:v>
      </x:c>
      <x:c r="F242" s="10" t="str">
        <x:v>P1</x:v>
      </x:c>
      <x:c r="G242" s="9" t="str">
        <x:v>验证保存请求失败：密码失败输入保留</x:v>
      </x:c>
      <x:c r="H242" s="9" t="str">
        <x:v>密码失败输入保留</x:v>
      </x:c>
      <x:c r="I242" s="9" t="str">
        <x:v>1. 公会长账号可用，已选择待测公会
2. 字段有效，测试环境可使保存请求失败</x:v>
      </x:c>
      <x:c r="J242" s="9" t="str">
        <x:v>1. 打开修改密码
2. 输入当前密码和有效的新密码
3. 点击保存</x:v>
      </x:c>
      <x:c r="K242" s="9" t="str">
        <x:v>保存失败后输入内容保留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来源（当前证据）：liveshow-proto/MainBasis/统一需求文档.md；位置：第2372行、第2373行 REQ-e433f84a8574、第2374行 REQ-91704eabb038、第2375行 REQ-b2fb543894d9、第2376行 REQ-1e4230a9bda5
2. 规则：BR-8c0622414df7aa4c
3. 未动态验证</x:v>
      </x:c>
    </x:row>
    <x:row r="243" ht="115" customHeight="1">
      <x:c r="A243" s="10" t="n">
        <x:v>242</x:v>
      </x:c>
      <x:c r="B243" s="10" t="str">
        <x:v>GUILD-04-0007</x:v>
      </x:c>
      <x:c r="C243" s="10" t="str">
        <x:v>公会管理</x:v>
      </x:c>
      <x:c r="D243" s="10" t="str">
        <x:v>修改密码</x:v>
      </x:c>
      <x:c r="E243" s="10" t="str">
        <x:v>功能需求</x:v>
      </x:c>
      <x:c r="F243" s="10" t="str">
        <x:v>P1</x:v>
      </x:c>
      <x:c r="G243" s="9" t="str">
        <x:v>验证保存请求失败：密码失败提示</x:v>
      </x:c>
      <x:c r="H243" s="9" t="str">
        <x:v>密码失败提示</x:v>
      </x:c>
      <x:c r="I243" s="9" t="str">
        <x:v>1. 公会长账号可用，已选择待测公会
2. 字段有效，测试环境可使保存请求失败</x:v>
      </x:c>
      <x:c r="J243" s="9" t="str">
        <x:v>1. 打开修改密码
2. 输入当前密码和有效的新密码
3. 点击保存</x:v>
      </x:c>
      <x:c r="K243" s="9" t="str">
        <x:v>提示“保存失败”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来源（当前证据）：liveshow-proto/MainBasis/统一需求文档.md；位置：第2372行、第2373行 REQ-e433f84a8574、第2374行 REQ-91704eabb038、第2375行 REQ-b2fb543894d9、第2376行 REQ-1e4230a9bda5
2. 规则：BR-b371b9511672eb7c
3. 未动态验证</x:v>
      </x:c>
    </x:row>
    <x:row r="244" ht="100" customHeight="1">
      <x:c r="A244" s="10" t="n">
        <x:v>243</x:v>
      </x:c>
      <x:c r="B244" s="10" t="str">
        <x:v>GUILD-04-0008</x:v>
      </x:c>
      <x:c r="C244" s="10" t="str">
        <x:v>公会管理</x:v>
      </x:c>
      <x:c r="D244" s="10" t="str">
        <x:v>公会资料</x:v>
      </x:c>
      <x:c r="E244" s="10" t="str">
        <x:v>异常用例</x:v>
      </x:c>
      <x:c r="F244" s="10" t="str">
        <x:v>P1</x:v>
      </x:c>
      <x:c r="G244" s="9" t="str">
        <x:v>验证公会名称为空时不可提交</x:v>
      </x:c>
      <x:c r="H244" s="9" t="str">
        <x:v>公会名称必填校验</x:v>
      </x:c>
      <x:c r="I244" s="9" t="str">
        <x:v>1. 公会长账号可用，已选择待测公会
2. 其余必填字段保持已有合法值</x:v>
      </x:c>
      <x:c r="J244" s="9" t="str">
        <x:v>1. 打开公会资料
2. 清空公会名称
3. 点击保存</x:v>
      </x:c>
      <x:c r="K244" s="9" t="str">
        <x:v>公会名称为空的表单不能提交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来源（当前证据）：liveshow-proto/MainBasis/统一需求文档.md；位置：第2354行、第2357行 REQ-719b170ec807、第2359行 REQ-27f2001713c4
2. 规则：BR-3829610485ae2d61
3. 未动态验证</x:v>
      </x:c>
    </x:row>
    <x:row r="245" ht="100" customHeight="1">
      <x:c r="A245" s="10" t="n">
        <x:v>244</x:v>
      </x:c>
      <x:c r="B245" s="10" t="str">
        <x:v>GUILD-04-0009</x:v>
      </x:c>
      <x:c r="C245" s="10" t="str">
        <x:v>公会管理</x:v>
      </x:c>
      <x:c r="D245" s="10" t="str">
        <x:v>公会资料</x:v>
      </x:c>
      <x:c r="E245" s="10" t="str">
        <x:v>逻辑校验</x:v>
      </x:c>
      <x:c r="F245" s="10" t="str">
        <x:v>P1</x:v>
      </x:c>
      <x:c r="G245" s="9" t="str">
        <x:v>验证公会名称达到40字符上限</x:v>
      </x:c>
      <x:c r="H245" s="9" t="str">
        <x:v>公会名称长度上界</x:v>
      </x:c>
      <x:c r="I245" s="9" t="str">
        <x:v>1. 公会长账号可用，已选择待测公会
2. 其余必填字段保持已有合法值</x:v>
      </x:c>
      <x:c r="J245" s="9" t="str">
        <x:v>1. 打开公会资料
2. 输入公会名称为40个汉字
3. 点击保存</x:v>
      </x:c>
      <x:c r="K245" s="9" t="str">
        <x:v>公会名称的40字符值通过长度校验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来源（当前证据）：liveshow-proto/MainBasis/统一需求文档.md；位置：第2354行、第2357行 REQ-719b170ec807、第2359行 REQ-27f2001713c4
2. 规则：BR-74b29891d33e5fe4
3. 未动态验证</x:v>
      </x:c>
    </x:row>
    <x:row r="246" ht="100" customHeight="1">
      <x:c r="A246" s="10" t="n">
        <x:v>245</x:v>
      </x:c>
      <x:c r="B246" s="10" t="str">
        <x:v>GUILD-04-0010</x:v>
      </x:c>
      <x:c r="C246" s="10" t="str">
        <x:v>公会管理</x:v>
      </x:c>
      <x:c r="D246" s="10" t="str">
        <x:v>公会资料</x:v>
      </x:c>
      <x:c r="E246" s="10" t="str">
        <x:v>异常用例</x:v>
      </x:c>
      <x:c r="F246" s="10" t="str">
        <x:v>P1</x:v>
      </x:c>
      <x:c r="G246" s="9" t="str">
        <x:v>验证公会名称超过40字符上限</x:v>
      </x:c>
      <x:c r="H246" s="9" t="str">
        <x:v>公会名称超长拦截</x:v>
      </x:c>
      <x:c r="I246" s="9" t="str">
        <x:v>1. 公会长账号可用，已选择待测公会
2. 其余必填字段保持已有合法值</x:v>
      </x:c>
      <x:c r="J246" s="9" t="str">
        <x:v>1. 打开公会资料
2. 输入公会名称为41个汉字
3. 点击保存</x:v>
      </x:c>
      <x:c r="K246" s="9" t="str">
        <x:v>公会名称不能保存超过40字符的内容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来源（当前证据）：liveshow-proto/MainBasis/统一需求文档.md；位置：第2354行、第2357行 REQ-719b170ec807、第2359行 REQ-27f2001713c4
2. 规则：BR-a2037806e22bfda1
3. 未动态验证</x:v>
      </x:c>
    </x:row>
    <x:row r="247" ht="100" customHeight="1">
      <x:c r="A247" s="10" t="n">
        <x:v>246</x:v>
      </x:c>
      <x:c r="B247" s="10" t="str">
        <x:v>GUILD-04-0011</x:v>
      </x:c>
      <x:c r="C247" s="10" t="str">
        <x:v>公会管理</x:v>
      </x:c>
      <x:c r="D247" s="10" t="str">
        <x:v>公会资料</x:v>
      </x:c>
      <x:c r="E247" s="10" t="str">
        <x:v>逻辑校验</x:v>
      </x:c>
      <x:c r="F247" s="10" t="str">
        <x:v>P1</x:v>
      </x:c>
      <x:c r="G247" s="9" t="str">
        <x:v>验证公会简介达到200字符上限</x:v>
      </x:c>
      <x:c r="H247" s="9" t="str">
        <x:v>公会简介长度上界</x:v>
      </x:c>
      <x:c r="I247" s="9" t="str">
        <x:v>1. 公会长账号可用，已选择待测公会
2. 其余必填字段保持已有合法值</x:v>
      </x:c>
      <x:c r="J247" s="9" t="str">
        <x:v>1. 打开公会资料
2. 输入公会简介为200个汉字
3. 点击保存</x:v>
      </x:c>
      <x:c r="K247" s="9" t="str">
        <x:v>公会简介的200字符值通过长度校验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来源（当前证据）：liveshow-proto/MainBasis/统一需求文档.md；位置：第2354行、第2358行 REQ-d816064a736d、第2359行 REQ-27f2001713c4
2. 规则：BR-3d5111796cb8fe86
3. 未动态验证</x:v>
      </x:c>
    </x:row>
    <x:row r="248" ht="100" customHeight="1">
      <x:c r="A248" s="10" t="n">
        <x:v>247</x:v>
      </x:c>
      <x:c r="B248" s="10" t="str">
        <x:v>GUILD-04-0012</x:v>
      </x:c>
      <x:c r="C248" s="10" t="str">
        <x:v>公会管理</x:v>
      </x:c>
      <x:c r="D248" s="10" t="str">
        <x:v>公会资料</x:v>
      </x:c>
      <x:c r="E248" s="10" t="str">
        <x:v>异常用例</x:v>
      </x:c>
      <x:c r="F248" s="10" t="str">
        <x:v>P1</x:v>
      </x:c>
      <x:c r="G248" s="9" t="str">
        <x:v>验证公会简介超过200字符上限</x:v>
      </x:c>
      <x:c r="H248" s="9" t="str">
        <x:v>公会简介超长拦截</x:v>
      </x:c>
      <x:c r="I248" s="9" t="str">
        <x:v>1. 公会长账号可用，已选择待测公会
2. 其余必填字段保持已有合法值</x:v>
      </x:c>
      <x:c r="J248" s="9" t="str">
        <x:v>1. 打开公会资料
2. 输入公会简介为201个汉字
3. 点击保存</x:v>
      </x:c>
      <x:c r="K248" s="9" t="str">
        <x:v>公会简介不能保存超过200字符的内容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来源（当前证据）：liveshow-proto/MainBasis/统一需求文档.md；位置：第2354行、第2358行 REQ-d816064a736d、第2359行 REQ-27f2001713c4
2. 规则：BR-d021bc58c36c3307
3. 未动态验证</x:v>
      </x:c>
    </x:row>
    <x:row r="249" ht="115" customHeight="1">
      <x:c r="A249" s="10" t="n">
        <x:v>248</x:v>
      </x:c>
      <x:c r="B249" s="10" t="str">
        <x:v>GUILD-04-0013</x:v>
      </x:c>
      <x:c r="C249" s="10" t="str">
        <x:v>公会管理</x:v>
      </x:c>
      <x:c r="D249" s="10" t="str">
        <x:v>公会资料</x:v>
      </x:c>
      <x:c r="E249" s="10" t="str">
        <x:v>功能需求</x:v>
      </x:c>
      <x:c r="F249" s="10" t="str">
        <x:v>P1</x:v>
      </x:c>
      <x:c r="G249" s="9" t="str">
        <x:v>验证公会ID只读</x:v>
      </x:c>
      <x:c r="H249" s="9" t="str">
        <x:v>公会标识不可修改</x:v>
      </x:c>
      <x:c r="I249" s="9" t="str">
        <x:v>1. 公会长账号可用，已选择待测公会
2. 已知当前公会ID</x:v>
      </x:c>
      <x:c r="J249" s="9" t="str">
        <x:v>1. 打开公会资料</x:v>
      </x:c>
      <x:c r="K249" s="9" t="str">
        <x:v>公会ID没有可编辑输入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来源（当前证据）：liveshow-proto/MainBasis/统一需求文档.md；位置：第2354行、第2355行 REQ-bfb5dec0051f、第2357行 REQ-719b170ec807、第2358行 REQ-d816064a736d、第2359行 REQ-27f2001713c4
2. 规则：BR-36e0034421cb32ce
3. 未动态验证</x:v>
      </x:c>
    </x:row>
    <x:row r="250" ht="115" customHeight="1">
      <x:c r="A250" s="10" t="n">
        <x:v>249</x:v>
      </x:c>
      <x:c r="B250" s="10" t="str">
        <x:v>GUILD-04-0014</x:v>
      </x:c>
      <x:c r="C250" s="10" t="str">
        <x:v>公会管理</x:v>
      </x:c>
      <x:c r="D250" s="10" t="str">
        <x:v>公会资料</x:v>
      </x:c>
      <x:c r="E250" s="10" t="str">
        <x:v>功能需求</x:v>
      </x:c>
      <x:c r="F250" s="10" t="str">
        <x:v>P1</x:v>
      </x:c>
      <x:c r="G250" s="9" t="str">
        <x:v>验证名称首尾空格处理</x:v>
      </x:c>
      <x:c r="H250" s="9" t="str">
        <x:v>公会名称去空格</x:v>
      </x:c>
      <x:c r="I250" s="9" t="str">
        <x:v>1. 公会长账号可用，已选择待测公会
2. 其他字段有效</x:v>
      </x:c>
      <x:c r="J250" s="9" t="str">
        <x:v>1. 打开公会资料
2. 输入公会名称为首尾各1个空格且中间为原名称
3. 点击保存</x:v>
      </x:c>
      <x:c r="K250" s="9" t="str">
        <x:v>保存后的公会名称不含首尾空格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来源（当前证据）：liveshow-proto/MainBasis/统一需求文档.md；位置：第2354行、第2355行 REQ-bfb5dec0051f、第2357行 REQ-719b170ec807、第2358行 REQ-d816064a736d、第2359行 REQ-27f2001713c4
2. 规则：BR-4ddb0f160b3596be
3. 未动态验证</x:v>
      </x:c>
    </x:row>
    <x:row r="251" ht="115" customHeight="1">
      <x:c r="A251" s="10" t="n">
        <x:v>250</x:v>
      </x:c>
      <x:c r="B251" s="10" t="str">
        <x:v>GUILD-04-0015</x:v>
      </x:c>
      <x:c r="C251" s="10" t="str">
        <x:v>公会管理</x:v>
      </x:c>
      <x:c r="D251" s="10" t="str">
        <x:v>公会资料</x:v>
      </x:c>
      <x:c r="E251" s="10" t="str">
        <x:v>功能需求</x:v>
      </x:c>
      <x:c r="F251" s="10" t="str">
        <x:v>P1</x:v>
      </x:c>
      <x:c r="G251" s="9" t="str">
        <x:v>验证名称全为空格</x:v>
      </x:c>
      <x:c r="H251" s="9" t="str">
        <x:v>空白名称拒绝</x:v>
      </x:c>
      <x:c r="I251" s="9" t="str">
        <x:v>1. 公会长账号可用，已选择待测公会
2. 其他字段有效</x:v>
      </x:c>
      <x:c r="J251" s="9" t="str">
        <x:v>1. 打开公会资料
2. 输入公会名称为3个空格
3. 点击保存</x:v>
      </x:c>
      <x:c r="K251" s="9" t="str">
        <x:v>空白公会名称不能保存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来源（当前证据）：liveshow-proto/MainBasis/统一需求文档.md；位置：第2354行、第2355行 REQ-bfb5dec0051f、第2357行 REQ-719b170ec807、第2358行 REQ-d816064a736d、第2359行 REQ-27f2001713c4
2. 规则：BR-b9264ef4f46ad614
3. 未动态验证</x:v>
      </x:c>
    </x:row>
    <x:row r="252" ht="115" customHeight="1">
      <x:c r="A252" s="10" t="n">
        <x:v>251</x:v>
      </x:c>
      <x:c r="B252" s="10" t="str">
        <x:v>GUILD-04-0016</x:v>
      </x:c>
      <x:c r="C252" s="10" t="str">
        <x:v>公会管理</x:v>
      </x:c>
      <x:c r="D252" s="10" t="str">
        <x:v>公会资料</x:v>
      </x:c>
      <x:c r="E252" s="10" t="str">
        <x:v>功能需求</x:v>
      </x:c>
      <x:c r="F252" s="10" t="str">
        <x:v>P1</x:v>
      </x:c>
      <x:c r="G252" s="9" t="str">
        <x:v>验证简介留空保存</x:v>
      </x:c>
      <x:c r="H252" s="9" t="str">
        <x:v>简介选填</x:v>
      </x:c>
      <x:c r="I252" s="9" t="str">
        <x:v>1. 公会长账号可用，已选择待测公会
2. 公会名称有效</x:v>
      </x:c>
      <x:c r="J252" s="9" t="str">
        <x:v>1. 打开公会资料
2. 清空公会简介
3. 点击保存</x:v>
      </x:c>
      <x:c r="K252" s="9" t="str">
        <x:v>公会简介保存为空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来源（当前证据）：liveshow-proto/MainBasis/统一需求文档.md；位置：第2354行、第2355行 REQ-bfb5dec0051f、第2357行 REQ-719b170ec807、第2358行 REQ-d816064a736d、第2359行 REQ-27f2001713c4
2. 规则：BR-513427ca1d6da211
3. 未动态验证</x:v>
      </x:c>
    </x:row>
    <x:row r="253" ht="115" customHeight="1">
      <x:c r="A253" s="10" t="n">
        <x:v>252</x:v>
      </x:c>
      <x:c r="B253" s="10" t="str">
        <x:v>GUILD-04-0017</x:v>
      </x:c>
      <x:c r="C253" s="10" t="str">
        <x:v>公会管理</x:v>
      </x:c>
      <x:c r="D253" s="10" t="str">
        <x:v>公会资料</x:v>
      </x:c>
      <x:c r="E253" s="10" t="str">
        <x:v>功能需求</x:v>
      </x:c>
      <x:c r="F253" s="10" t="str">
        <x:v>P1</x:v>
      </x:c>
      <x:c r="G253" s="9" t="str">
        <x:v>验证保存后重新进入</x:v>
      </x:c>
      <x:c r="H253" s="9" t="str">
        <x:v>公会资料持久化</x:v>
      </x:c>
      <x:c r="I253" s="9" t="str">
        <x:v>1. 公会长账号可用，已选择待测公会
2. 当前公会资料可编辑</x:v>
      </x:c>
      <x:c r="J253" s="9" t="str">
        <x:v>1. 打开公会资料
2. 输入公会简介为本周直播安排
3. 点击保存
4. 返回首页
5. 打开公会资料</x:v>
      </x:c>
      <x:c r="K253" s="9" t="str">
        <x:v>公会简介显示“本周直播安排”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来源（当前证据）：liveshow-proto/MainBasis/统一需求文档.md；位置：第2354行、第2355行 REQ-bfb5dec0051f、第2357行 REQ-719b170ec807、第2358行 REQ-d816064a736d、第2359行 REQ-27f2001713c4
2. 规则：BR-d4f965e5ef12ebf7
3. 未动态验证</x:v>
      </x:c>
    </x:row>
    <x:row r="254" ht="100" customHeight="1">
      <x:c r="A254" s="10" t="n">
        <x:v>253</x:v>
      </x:c>
      <x:c r="B254" s="10" t="str">
        <x:v>GUILD-04-0018</x:v>
      </x:c>
      <x:c r="C254" s="10" t="str">
        <x:v>公会管理</x:v>
      </x:c>
      <x:c r="D254" s="10" t="str">
        <x:v>公会资料</x:v>
      </x:c>
      <x:c r="E254" s="10" t="str">
        <x:v>功能需求</x:v>
      </x:c>
      <x:c r="F254" s="10" t="str">
        <x:v>P1</x:v>
      </x:c>
      <x:c r="G254" s="9" t="str">
        <x:v>验证保存JPG公会Logo</x:v>
      </x:c>
      <x:c r="H254" s="9" t="str">
        <x:v>公会Logo格式</x:v>
      </x:c>
      <x:c r="I254" s="9" t="str">
        <x:v>1. 公会长账号可用，已选择待测公会
2. 已准备可打开的JPG图片，其他字段有效</x:v>
      </x:c>
      <x:c r="J254" s="9" t="str">
        <x:v>1. 打开公会资料
2. 上传公会Logo
3. 点击保存</x:v>
      </x:c>
      <x:c r="K254" s="9" t="str">
        <x:v>公会Logo更新为所选图片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来源（当前证据）：liveshow-proto/MainBasis/统一需求文档.md；位置：第2354行、第2356行 REQ-67367b9e484f、第2359行 REQ-27f2001713c4
2. 规则：BR-4085fb9a3bbdc127
3. 未动态验证</x:v>
      </x:c>
    </x:row>
    <x:row r="255" ht="100" customHeight="1">
      <x:c r="A255" s="10" t="n">
        <x:v>254</x:v>
      </x:c>
      <x:c r="B255" s="10" t="str">
        <x:v>GUILD-04-0019</x:v>
      </x:c>
      <x:c r="C255" s="10" t="str">
        <x:v>公会管理</x:v>
      </x:c>
      <x:c r="D255" s="10" t="str">
        <x:v>公会资料</x:v>
      </x:c>
      <x:c r="E255" s="10" t="str">
        <x:v>功能需求</x:v>
      </x:c>
      <x:c r="F255" s="10" t="str">
        <x:v>P1</x:v>
      </x:c>
      <x:c r="G255" s="9" t="str">
        <x:v>验证保存PNG公会Logo</x:v>
      </x:c>
      <x:c r="H255" s="9" t="str">
        <x:v>公会Logo格式</x:v>
      </x:c>
      <x:c r="I255" s="9" t="str">
        <x:v>1. 公会长账号可用，已选择待测公会
2. 已准备可打开的PNG图片，其他字段有效</x:v>
      </x:c>
      <x:c r="J255" s="9" t="str">
        <x:v>1. 打开公会资料
2. 上传公会Logo
3. 点击保存</x:v>
      </x:c>
      <x:c r="K255" s="9" t="str">
        <x:v>公会Logo更新为所选图片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来源（当前证据）：liveshow-proto/MainBasis/统一需求文档.md；位置：第2354行、第2356行 REQ-67367b9e484f、第2359行 REQ-27f2001713c4
2. 规则：BR-14da6a5a38e8c689
3. 未动态验证</x:v>
      </x:c>
    </x:row>
    <x:row r="256" ht="100" customHeight="1">
      <x:c r="A256" s="10" t="n">
        <x:v>255</x:v>
      </x:c>
      <x:c r="B256" s="10" t="str">
        <x:v>GUILD-04-0020</x:v>
      </x:c>
      <x:c r="C256" s="10" t="str">
        <x:v>公会管理</x:v>
      </x:c>
      <x:c r="D256" s="10" t="str">
        <x:v>公会资料</x:v>
      </x:c>
      <x:c r="E256" s="10" t="str">
        <x:v>功能需求</x:v>
      </x:c>
      <x:c r="F256" s="10" t="str">
        <x:v>P1</x:v>
      </x:c>
      <x:c r="G256" s="9" t="str">
        <x:v>验证保存WebP公会Logo</x:v>
      </x:c>
      <x:c r="H256" s="9" t="str">
        <x:v>公会Logo格式</x:v>
      </x:c>
      <x:c r="I256" s="9" t="str">
        <x:v>1. 公会长账号可用，已选择待测公会
2. 已准备可打开的WebP图片，其他字段有效</x:v>
      </x:c>
      <x:c r="J256" s="9" t="str">
        <x:v>1. 打开公会资料
2. 上传公会Logo
3. 点击保存</x:v>
      </x:c>
      <x:c r="K256" s="9" t="str">
        <x:v>公会Logo更新为所选图片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来源（当前证据）：liveshow-proto/MainBasis/统一需求文档.md；位置：第2354行、第2356行 REQ-67367b9e484f、第2359行 REQ-27f2001713c4
2. 规则：BR-0ba6ad7694f14f88
3. 未动态验证</x:v>
      </x:c>
    </x:row>
    <x:row r="257" ht="100" customHeight="1">
      <x:c r="A257" s="10" t="n">
        <x:v>256</x:v>
      </x:c>
      <x:c r="B257" s="10" t="str">
        <x:v>GUILD-04-0021</x:v>
      </x:c>
      <x:c r="C257" s="10" t="str">
        <x:v>公会管理</x:v>
      </x:c>
      <x:c r="D257" s="10" t="str">
        <x:v>账号设置</x:v>
      </x:c>
      <x:c r="E257" s="10" t="str">
        <x:v>功能需求</x:v>
      </x:c>
      <x:c r="F257" s="10" t="str">
        <x:v>P1</x:v>
      </x:c>
      <x:c r="G257" s="9" t="str">
        <x:v>验证切换公会端语言为中文</x:v>
      </x:c>
      <x:c r="H257" s="9" t="str">
        <x:v>账号语言选择</x:v>
      </x:c>
      <x:c r="I257" s="9" t="str">
        <x:v>1. 公会长账号可用，已选择待测公会
2. 当前账号已登录</x:v>
      </x:c>
      <x:c r="J257" s="9" t="str">
        <x:v>1. 打开账号设置
2. 点击语言
3. 选择中文</x:v>
      </x:c>
      <x:c r="K257" s="9" t="str">
        <x:v>当前语言显示中文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来源（当前证据）：liveshow-proto/MainBasis/统一需求文档.md；位置：第2362行、第2365行 REQ-d6a1139e269a、第2368行 REQ-8826ed80561a
2. 规则：BR-3fc547b2e983c64d
3. 未动态验证</x:v>
      </x:c>
    </x:row>
    <x:row r="258" ht="100" customHeight="1">
      <x:c r="A258" s="10" t="n">
        <x:v>257</x:v>
      </x:c>
      <x:c r="B258" s="10" t="str">
        <x:v>GUILD-04-0022</x:v>
      </x:c>
      <x:c r="C258" s="10" t="str">
        <x:v>公会管理</x:v>
      </x:c>
      <x:c r="D258" s="10" t="str">
        <x:v>账号设置</x:v>
      </x:c>
      <x:c r="E258" s="10" t="str">
        <x:v>功能需求</x:v>
      </x:c>
      <x:c r="F258" s="10" t="str">
        <x:v>P1</x:v>
      </x:c>
      <x:c r="G258" s="9" t="str">
        <x:v>验证切换公会端语言为English</x:v>
      </x:c>
      <x:c r="H258" s="9" t="str">
        <x:v>账号语言选择</x:v>
      </x:c>
      <x:c r="I258" s="9" t="str">
        <x:v>1. 公会长账号可用，已选择待测公会
2. 当前账号已登录</x:v>
      </x:c>
      <x:c r="J258" s="9" t="str">
        <x:v>1. 打开账号设置
2. 点击语言
3. 选择English</x:v>
      </x:c>
      <x:c r="K258" s="9" t="str">
        <x:v>当前语言显示English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来源（当前证据）：liveshow-proto/MainBasis/统一需求文档.md；位置：第2362行、第2365行 REQ-d6a1139e269a、第2368行 REQ-8826ed80561a
2. 规则：BR-2c5c9b7cc4659e80
3. 未动态验证</x:v>
      </x:c>
    </x:row>
    <x:row r="259" ht="100" customHeight="1">
      <x:c r="A259" s="10" t="n">
        <x:v>258</x:v>
      </x:c>
      <x:c r="B259" s="10" t="str">
        <x:v>GUILD-04-0023</x:v>
      </x:c>
      <x:c r="C259" s="10" t="str">
        <x:v>公会管理</x:v>
      </x:c>
      <x:c r="D259" s="10" t="str">
        <x:v>账号设置</x:v>
      </x:c>
      <x:c r="E259" s="10" t="str">
        <x:v>功能需求</x:v>
      </x:c>
      <x:c r="F259" s="10" t="str">
        <x:v>P1</x:v>
      </x:c>
      <x:c r="G259" s="9" t="str">
        <x:v>验证切换公会端语言为Bahasa Indonesia</x:v>
      </x:c>
      <x:c r="H259" s="9" t="str">
        <x:v>账号语言选择</x:v>
      </x:c>
      <x:c r="I259" s="9" t="str">
        <x:v>1. 公会长账号可用，已选择待测公会
2. 当前账号已登录</x:v>
      </x:c>
      <x:c r="J259" s="9" t="str">
        <x:v>1. 打开账号设置
2. 点击语言
3. 选择Bahasa Indonesia</x:v>
      </x:c>
      <x:c r="K259" s="9" t="str">
        <x:v>当前语言显示Bahasa Indonesia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来源（当前证据）：liveshow-proto/MainBasis/统一需求文档.md；位置：第2362行、第2365行 REQ-d6a1139e269a、第2368行 REQ-8826ed80561a
2. 规则：BR-0a297174a859c88c
3. 未动态验证</x:v>
      </x:c>
    </x:row>
    <x:row r="260" ht="100" customHeight="1">
      <x:c r="A260" s="10" t="n">
        <x:v>259</x:v>
      </x:c>
      <x:c r="B260" s="10" t="str">
        <x:v>GUILD-04-0024</x:v>
      </x:c>
      <x:c r="C260" s="10" t="str">
        <x:v>公会管理</x:v>
      </x:c>
      <x:c r="D260" s="10" t="str">
        <x:v>账号设置</x:v>
      </x:c>
      <x:c r="E260" s="10" t="str">
        <x:v>功能需求</x:v>
      </x:c>
      <x:c r="F260" s="10" t="str">
        <x:v>P1</x:v>
      </x:c>
      <x:c r="G260" s="9" t="str">
        <x:v>验证切换公会端语言为Bahasa Melayu</x:v>
      </x:c>
      <x:c r="H260" s="9" t="str">
        <x:v>账号语言选择</x:v>
      </x:c>
      <x:c r="I260" s="9" t="str">
        <x:v>1. 公会长账号可用，已选择待测公会
2. 当前账号已登录</x:v>
      </x:c>
      <x:c r="J260" s="9" t="str">
        <x:v>1. 打开账号设置
2. 点击语言
3. 选择Bahasa Melayu</x:v>
      </x:c>
      <x:c r="K260" s="9" t="str">
        <x:v>当前语言显示Bahasa Melayu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来源（当前证据）：liveshow-proto/MainBasis/统一需求文档.md；位置：第2362行、第2365行 REQ-d6a1139e269a、第2368行 REQ-8826ed80561a
2. 规则：BR-ed19ac15648ae3b9
3. 未动态验证</x:v>
      </x:c>
    </x:row>
    <x:row r="261" ht="130" customHeight="1">
      <x:c r="A261" s="10" t="n">
        <x:v>260</x:v>
      </x:c>
      <x:c r="B261" s="10" t="str">
        <x:v>GUILD-04-0025</x:v>
      </x:c>
      <x:c r="C261" s="10" t="str">
        <x:v>公会管理</x:v>
      </x:c>
      <x:c r="D261" s="10" t="str">
        <x:v>账号设置</x:v>
      </x:c>
      <x:c r="E261" s="10" t="str">
        <x:v>功能需求</x:v>
      </x:c>
      <x:c r="F261" s="10" t="str">
        <x:v>P1</x:v>
      </x:c>
      <x:c r="G261" s="9" t="str">
        <x:v>验证设置中的公会标识</x:v>
      </x:c>
      <x:c r="H261" s="9" t="str">
        <x:v>公会ID字段归属</x:v>
      </x:c>
      <x:c r="I261" s="9" t="str">
        <x:v>1. 公会长账号可用，已选择待测公会
2. 已知登录公会长用户ID和当前公会ID不同</x:v>
      </x:c>
      <x:c r="J261" s="9" t="str">
        <x:v>1. 打开账号设置</x:v>
      </x:c>
      <x:c r="K261" s="9" t="str">
        <x:v>公会ID字段显示当前管理的公会ID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来源（当前证据）：liveshow-proto/MainBasis/统一需求文档.md；位置：第2362行、第2363行 REQ-3cecb107f6b2、第2364行 REQ-1f3eaeeb6874、第2366行 REQ-8f05fd294d21、第2367行 REQ-64fae34ac59a、第2369行 REQ-e855670b3ded
2. 规则：BR-7753818938eb9cc0
3. 未动态验证</x:v>
      </x:c>
    </x:row>
    <x:row r="262" ht="130" customHeight="1">
      <x:c r="A262" s="10" t="n">
        <x:v>261</x:v>
      </x:c>
      <x:c r="B262" s="10" t="str">
        <x:v>GUILD-04-0026</x:v>
      </x:c>
      <x:c r="C262" s="10" t="str">
        <x:v>公会管理</x:v>
      </x:c>
      <x:c r="D262" s="10" t="str">
        <x:v>账号设置</x:v>
      </x:c>
      <x:c r="E262" s="10" t="str">
        <x:v>功能需求</x:v>
      </x:c>
      <x:c r="F262" s="10" t="str">
        <x:v>P1</x:v>
      </x:c>
      <x:c r="G262" s="9" t="str">
        <x:v>验证进入修改密码</x:v>
      </x:c>
      <x:c r="H262" s="9" t="str">
        <x:v>修改密码入口</x:v>
      </x:c>
      <x:c r="I262" s="9" t="str">
        <x:v>1. 公会长账号可用，已选择待测公会
2. 当前公会长账号启用</x:v>
      </x:c>
      <x:c r="J262" s="9" t="str">
        <x:v>1. 打开账号设置
2. 点击修改密码</x:v>
      </x:c>
      <x:c r="K262" s="9" t="str">
        <x:v>进入独立修改密码页面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来源（当前证据）：liveshow-proto/MainBasis/统一需求文档.md；位置：第2362行、第2363行 REQ-3cecb107f6b2、第2364行 REQ-1f3eaeeb6874、第2366行 REQ-8f05fd294d21、第2367行 REQ-64fae34ac59a、第2369行 REQ-e855670b3ded
2. 规则：BR-4b069f830cad1175
3. 未动态验证</x:v>
      </x:c>
    </x:row>
    <x:row r="263" ht="130" customHeight="1">
      <x:c r="A263" s="10" t="n">
        <x:v>262</x:v>
      </x:c>
      <x:c r="B263" s="10" t="str">
        <x:v>GUILD-04-0027</x:v>
      </x:c>
      <x:c r="C263" s="10" t="str">
        <x:v>公会管理</x:v>
      </x:c>
      <x:c r="D263" s="10" t="str">
        <x:v>账号设置</x:v>
      </x:c>
      <x:c r="E263" s="10" t="str">
        <x:v>功能需求</x:v>
      </x:c>
      <x:c r="F263" s="10" t="str">
        <x:v>P1</x:v>
      </x:c>
      <x:c r="G263" s="9" t="str">
        <x:v>验证确认退出登录</x:v>
      </x:c>
      <x:c r="H263" s="9" t="str">
        <x:v>退出会话</x:v>
      </x:c>
      <x:c r="I263" s="9" t="str">
        <x:v>1. 公会长账号可用，已选择待测公会
2. 当前会话有效</x:v>
      </x:c>
      <x:c r="J263" s="9" t="str">
        <x:v>1. 打开账号设置
2. 点击退出登录
3. 确认二次确认弹窗</x:v>
      </x:c>
      <x:c r="K263" s="9" t="str">
        <x:v>页面返回公会登录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来源（当前证据）：liveshow-proto/MainBasis/统一需求文档.md；位置：第2362行、第2363行 REQ-3cecb107f6b2、第2364行 REQ-1f3eaeeb6874、第2366行 REQ-8f05fd294d21、第2367行 REQ-64fae34ac59a、第2369行 REQ-e855670b3ded
2. 规则：BR-4ec10f48c81ee96d
3. 未动态验证</x:v>
      </x:c>
    </x:row>
    <x:row r="264" ht="130" customHeight="1">
      <x:c r="A264" s="10" t="n">
        <x:v>263</x:v>
      </x:c>
      <x:c r="B264" s="10" t="str">
        <x:v>GUILD-04-0028</x:v>
      </x:c>
      <x:c r="C264" s="10" t="str">
        <x:v>公会管理</x:v>
      </x:c>
      <x:c r="D264" s="10" t="str">
        <x:v>账号设置</x:v>
      </x:c>
      <x:c r="E264" s="10" t="str">
        <x:v>功能需求</x:v>
      </x:c>
      <x:c r="F264" s="10" t="str">
        <x:v>P1</x:v>
      </x:c>
      <x:c r="G264" s="9" t="str">
        <x:v>验证取消退出登录</x:v>
      </x:c>
      <x:c r="H264" s="9" t="str">
        <x:v>退出取消保持会话</x:v>
      </x:c>
      <x:c r="I264" s="9" t="str">
        <x:v>1. 公会长账号可用，已选择待测公会
2. 当前会话有效</x:v>
      </x:c>
      <x:c r="J264" s="9" t="str">
        <x:v>1. 打开账号设置
2. 点击退出登录
3. 取消二次确认弹窗</x:v>
      </x:c>
      <x:c r="K264" s="9" t="str">
        <x:v>当前账号仍保持登录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来源（当前证据）：liveshow-proto/MainBasis/统一需求文档.md；位置：第2362行、第2363行 REQ-3cecb107f6b2、第2364行 REQ-1f3eaeeb6874、第2366行 REQ-8f05fd294d21、第2367行 REQ-64fae34ac59a、第2369行 REQ-e855670b3ded
2. 规则：BR-23492309a86a9429
3. 未动态验证</x:v>
      </x:c>
    </x:row>
    <x:row r="265" ht="115" customHeight="1">
      <x:c r="A265" s="10" t="n">
        <x:v>264</x:v>
      </x:c>
      <x:c r="B265" s="10" t="str">
        <x:v>GUILD-05-0001</x:v>
      </x:c>
      <x:c r="C265" s="10" t="str">
        <x:v>数据与收益</x:v>
      </x:c>
      <x:c r="D265" s="10" t="str">
        <x:v>违规记录</x:v>
      </x:c>
      <x:c r="E265" s="10" t="str">
        <x:v>功能需求</x:v>
      </x:c>
      <x:c r="F265" s="10" t="str">
        <x:v>P1</x:v>
      </x:c>
      <x:c r="G265" s="9" t="str">
        <x:v>验证自定义日期包含起止日</x:v>
      </x:c>
      <x:c r="H265" s="9" t="str">
        <x:v>日期首尾包含</x:v>
      </x:c>
      <x:c r="I265" s="9" t="str">
        <x:v>1. 公会长账号可用，已选择待测公会
2. 同一当前公会业务对象有开始日、结束日、结束日次日各一条记录</x:v>
      </x:c>
      <x:c r="J265" s="9" t="str">
        <x:v>1. 打开违规记录
2. 选择自定义日期为开始日至结束日</x:v>
      </x:c>
      <x:c r="K265" s="9" t="str">
        <x:v>列表仅包含开始日和结束日的2条记录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来源（当前证据）：liveshow-proto/MainBasis/统一需求文档.md；位置：第2422行、第2425行 REQ-f4b1abc721d8、第2424行 REQ-7eadb622865d、第2432行 REQ-040968bcc9fe
2. 规则：BR-a076842cd08f3124
3. 未动态验证</x:v>
      </x:c>
    </x:row>
    <x:row r="266" ht="145" customHeight="1">
      <x:c r="A266" s="10" t="n">
        <x:v>265</x:v>
      </x:c>
      <x:c r="B266" s="10" t="str">
        <x:v>GUILD-05-0002</x:v>
      </x:c>
      <x:c r="C266" s="10" t="str">
        <x:v>数据与收益</x:v>
      </x:c>
      <x:c r="D266" s="10" t="str">
        <x:v>违规记录</x:v>
      </x:c>
      <x:c r="E266" s="10" t="str">
        <x:v>功能需求</x:v>
      </x:c>
      <x:c r="F266" s="10" t="str">
        <x:v>P1</x:v>
      </x:c>
      <x:c r="G266" s="9" t="str">
        <x:v>验证直播违规范围</x:v>
      </x:c>
      <x:c r="H266" s="9" t="str">
        <x:v>违规对象类型筛选</x:v>
      </x:c>
      <x:c r="I266" s="9" t="str">
        <x:v>1. 公会长账号可用，已选择待测公会
2. 存在账号违规和直播场次违规各1条</x:v>
      </x:c>
      <x:c r="J266" s="9" t="str">
        <x:v>1. 打开违规记录
2. 选择直播间违规</x:v>
      </x:c>
      <x:c r="K266" s="9" t="str">
        <x:v>列表仅显示直播场次违规记录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来源（当前证据）：liveshow-proto/MainBasis/统一需求文档.md；位置：第2422行、第2423行 REQ-d7800825d926、第2426行 REQ-32e86242c0d5、第2427行 REQ-e6e62d583779、第2428行 REQ-0e93ad444dd2、第2429行 REQ-02eb22f92b59、第2432行 REQ-040968bcc9fe
2. 规则：BR-d36771bc197f3cbf
3. 未动态验证</x:v>
      </x:c>
    </x:row>
    <x:row r="267" ht="145" customHeight="1">
      <x:c r="A267" s="10" t="n">
        <x:v>266</x:v>
      </x:c>
      <x:c r="B267" s="10" t="str">
        <x:v>GUILD-05-0003</x:v>
      </x:c>
      <x:c r="C267" s="10" t="str">
        <x:v>数据与收益</x:v>
      </x:c>
      <x:c r="D267" s="10" t="str">
        <x:v>违规记录</x:v>
      </x:c>
      <x:c r="E267" s="10" t="str">
        <x:v>功能需求</x:v>
      </x:c>
      <x:c r="F267" s="10" t="str">
        <x:v>P1</x:v>
      </x:c>
      <x:c r="G267" s="9" t="str">
        <x:v>验证账号违规范围</x:v>
      </x:c>
      <x:c r="H267" s="9" t="str">
        <x:v>账号违规筛选</x:v>
      </x:c>
      <x:c r="I267" s="9" t="str">
        <x:v>1. 公会长账号可用，已选择待测公会
2. 存在账号违规和直播场次违规各1条</x:v>
      </x:c>
      <x:c r="J267" s="9" t="str">
        <x:v>1. 打开违规记录
2. 选择账号违规</x:v>
      </x:c>
      <x:c r="K267" s="9" t="str">
        <x:v>列表仅显示账号违规记录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来源（当前证据）：liveshow-proto/MainBasis/统一需求文档.md；位置：第2422行、第2423行 REQ-d7800825d926、第2426行 REQ-32e86242c0d5、第2427行 REQ-e6e62d583779、第2428行 REQ-0e93ad444dd2、第2429行 REQ-02eb22f92b59、第2432行 REQ-040968bcc9fe
2. 规则：BR-8a62846cfcd883d4
3. 未动态验证</x:v>
      </x:c>
    </x:row>
    <x:row r="268" ht="145" customHeight="1">
      <x:c r="A268" s="10" t="n">
        <x:v>267</x:v>
      </x:c>
      <x:c r="B268" s="10" t="str">
        <x:v>GUILD-05-0004</x:v>
      </x:c>
      <x:c r="C268" s="10" t="str">
        <x:v>数据与收益</x:v>
      </x:c>
      <x:c r="D268" s="10" t="str">
        <x:v>违规记录</x:v>
      </x:c>
      <x:c r="E268" s="10" t="str">
        <x:v>功能需求</x:v>
      </x:c>
      <x:c r="F268" s="10" t="str">
        <x:v>P1</x:v>
      </x:c>
      <x:c r="G268" s="9" t="str">
        <x:v>验证无处置的违规记录</x:v>
      </x:c>
      <x:c r="H268" s="9" t="str">
        <x:v>空处理结果占位</x:v>
      </x:c>
      <x:c r="I268" s="9" t="str">
        <x:v>1. 公会长账号可用，已选择待测公会
2. 目标记录未形成处置结果</x:v>
      </x:c>
      <x:c r="J268" s="9" t="str">
        <x:v>1. 打开违规记录</x:v>
      </x:c>
      <x:c r="K268" s="9" t="str">
        <x:v>处理结果显示“-”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来源（当前证据）：liveshow-proto/MainBasis/统一需求文档.md；位置：第2422行、第2423行 REQ-d7800825d926、第2426行 REQ-32e86242c0d5、第2427行 REQ-e6e62d583779、第2428行 REQ-0e93ad444dd2、第2429行 REQ-02eb22f92b59、第2432行 REQ-040968bcc9fe
2. 规则：BR-29b9659a4f6a10ed
3. 未动态验证</x:v>
      </x:c>
    </x:row>
    <x:row r="269" ht="145" customHeight="1">
      <x:c r="A269" s="10" t="n">
        <x:v>268</x:v>
      </x:c>
      <x:c r="B269" s="10" t="str">
        <x:v>GUILD-05-0005</x:v>
      </x:c>
      <x:c r="C269" s="10" t="str">
        <x:v>数据与收益</x:v>
      </x:c>
      <x:c r="D269" s="10" t="str">
        <x:v>违规记录</x:v>
      </x:c>
      <x:c r="E269" s="10" t="str">
        <x:v>功能需求</x:v>
      </x:c>
      <x:c r="F269" s="10" t="str">
        <x:v>P1</x:v>
      </x:c>
      <x:c r="G269" s="9" t="str">
        <x:v>验证违规记录时间排序</x:v>
      </x:c>
      <x:c r="H269" s="9" t="str">
        <x:v>违规发生时间倒序</x:v>
      </x:c>
      <x:c r="I269" s="9" t="str">
        <x:v>1. 公会长账号可用，已选择待测公会
2. 同一范围有3条时间不同的记录</x:v>
      </x:c>
      <x:c r="J269" s="9" t="str">
        <x:v>1. 打开违规记录</x:v>
      </x:c>
      <x:c r="K269" s="9" t="str">
        <x:v>记录按该范围使用的发生或举报时间倒序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来源（当前证据）：liveshow-proto/MainBasis/统一需求文档.md；位置：第2422行、第2423行 REQ-d7800825d926、第2426行 REQ-32e86242c0d5、第2427行 REQ-e6e62d583779、第2428行 REQ-0e93ad444dd2、第2429行 REQ-02eb22f92b59、第2432行 REQ-040968bcc9fe
2. 规则：BR-0ddcf37dea13c4e3
3. 未动态验证</x:v>
      </x:c>
    </x:row>
    <x:row r="270" ht="145" customHeight="1">
      <x:c r="A270" s="10" t="n">
        <x:v>269</x:v>
      </x:c>
      <x:c r="B270" s="10" t="str">
        <x:v>GUILD-05-0006</x:v>
      </x:c>
      <x:c r="C270" s="10" t="str">
        <x:v>数据与收益</x:v>
      </x:c>
      <x:c r="D270" s="10" t="str">
        <x:v>违规记录</x:v>
      </x:c>
      <x:c r="E270" s="10" t="str">
        <x:v>功能需求</x:v>
      </x:c>
      <x:c r="F270" s="10" t="str">
        <x:v>P1</x:v>
      </x:c>
      <x:c r="G270" s="9" t="str">
        <x:v>验证违规列表查看主播</x:v>
      </x:c>
      <x:c r="H270" s="9" t="str">
        <x:v>违规主体入口</x:v>
      </x:c>
      <x:c r="I270" s="9" t="str">
        <x:v>1. 公会长账号可用，已选择待测公会
2. 记录关联本公会主播</x:v>
      </x:c>
      <x:c r="J270" s="9" t="str">
        <x:v>1. 打开违规记录
2. 点击该主播名称</x:v>
      </x:c>
      <x:c r="K270" s="9" t="str">
        <x:v>进入该主播详情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来源（当前证据）：liveshow-proto/MainBasis/统一需求文档.md；位置：第2422行、第2423行 REQ-d7800825d926、第2426行 REQ-32e86242c0d5、第2427行 REQ-e6e62d583779、第2428行 REQ-0e93ad444dd2、第2429行 REQ-02eb22f92b59、第2432行 REQ-040968bcc9fe
2. 规则：BR-f1f4aff62e0148ab
3. 未动态验证</x:v>
      </x:c>
    </x:row>
    <x:row r="271" ht="115" customHeight="1">
      <x:c r="A271" s="10" t="n">
        <x:v>270</x:v>
      </x:c>
      <x:c r="B271" s="10" t="str">
        <x:v>GUILD-05-0007</x:v>
      </x:c>
      <x:c r="C271" s="10" t="str">
        <x:v>数据与收益</x:v>
      </x:c>
      <x:c r="D271" s="10" t="str">
        <x:v>直播记录</x:v>
      </x:c>
      <x:c r="E271" s="10" t="str">
        <x:v>功能需求</x:v>
      </x:c>
      <x:c r="F271" s="10" t="str">
        <x:v>P1</x:v>
      </x:c>
      <x:c r="G271" s="9" t="str">
        <x:v>验证首次打开的日期范围</x:v>
      </x:c>
      <x:c r="H271" s="9" t="str">
        <x:v>默认日期范围</x:v>
      </x:c>
      <x:c r="I271" s="9" t="str">
        <x:v>1. 公会长账号可用，已选择待测公会
2. 存在默认范围内与范围外记录</x:v>
      </x:c>
      <x:c r="J271" s="9" t="str">
        <x:v>1. 打开直播记录</x:v>
      </x:c>
      <x:c r="K271" s="9" t="str">
        <x:v>日期条件默认选择今日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来源（当前证据）：liveshow-proto/MainBasis/统一需求文档.md；位置：第2379行、第2381行 REQ-ea9a5bdb93b9、第2382行 REQ-4ff7e197f956、第2380行 REQ-bc61f595358c
2. 规则：BR-d4360502b3a6f4aa
3. 未动态验证</x:v>
      </x:c>
    </x:row>
    <x:row r="272" ht="115" customHeight="1">
      <x:c r="A272" s="10" t="n">
        <x:v>271</x:v>
      </x:c>
      <x:c r="B272" s="10" t="str">
        <x:v>GUILD-05-0008</x:v>
      </x:c>
      <x:c r="C272" s="10" t="str">
        <x:v>数据与收益</x:v>
      </x:c>
      <x:c r="D272" s="10" t="str">
        <x:v>直播记录</x:v>
      </x:c>
      <x:c r="E272" s="10" t="str">
        <x:v>功能需求</x:v>
      </x:c>
      <x:c r="F272" s="10" t="str">
        <x:v>P1</x:v>
      </x:c>
      <x:c r="G272" s="9" t="str">
        <x:v>验证自定义日期包含起止日</x:v>
      </x:c>
      <x:c r="H272" s="9" t="str">
        <x:v>日期首尾包含</x:v>
      </x:c>
      <x:c r="I272" s="9" t="str">
        <x:v>1. 公会长账号可用，已选择待测公会
2. 同一当前公会业务对象有开始日、结束日、结束日次日各一条记录</x:v>
      </x:c>
      <x:c r="J272" s="9" t="str">
        <x:v>1. 打开直播记录
2. 选择自定义日期为开始日至结束日</x:v>
      </x:c>
      <x:c r="K272" s="9" t="str">
        <x:v>列表仅包含开始日和结束日的2条记录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来源（当前证据）：liveshow-proto/MainBasis/统一需求文档.md；位置：第2379行、第2381行 REQ-ea9a5bdb93b9、第2382行 REQ-4ff7e197f956、第2380行 REQ-bc61f595358c
2. 规则：BR-0a1a7d98d234df22
3. 未动态验证</x:v>
      </x:c>
    </x:row>
    <x:row r="273" ht="85" customHeight="1">
      <x:c r="A273" s="10" t="n">
        <x:v>272</x:v>
      </x:c>
      <x:c r="B273" s="10" t="str">
        <x:v>GUILD-05-0009</x:v>
      </x:c>
      <x:c r="C273" s="10" t="str">
        <x:v>数据与收益</x:v>
      </x:c>
      <x:c r="D273" s="10" t="str">
        <x:v>直播记录</x:v>
      </x:c>
      <x:c r="E273" s="10" t="str">
        <x:v>功能需求</x:v>
      </x:c>
      <x:c r="F273" s="10" t="str">
        <x:v>P1</x:v>
      </x:c>
      <x:c r="G273" s="9" t="str">
        <x:v>验证同一主播跨日开播去重</x:v>
      </x:c>
      <x:c r="H273" s="9" t="str">
        <x:v>开播人数跨日去重</x:v>
      </x:c>
      <x:c r="I273" s="9" t="str">
        <x:v>1. 公会长账号可用，已选择待测公会
2. 所选周期内主播一在两天完成3场直播，主播二完成1场；其他公会主播不在范围内</x:v>
      </x:c>
      <x:c r="J273" s="9" t="str">
        <x:v>1. 打开直播记录</x:v>
      </x:c>
      <x:c r="K273" s="9" t="str">
        <x:v>开播人数显示2人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来源（当前证据）：liveshow-proto/MainBasis/统一需求文档.md；位置：第2379行、第2392行 REQ-b852b846541e
2. 规则：BR-37e848f1b1ec5122
3. 未动态验证</x:v>
      </x:c>
    </x:row>
    <x:row r="274" ht="145" customHeight="1">
      <x:c r="A274" s="10" t="n">
        <x:v>273</x:v>
      </x:c>
      <x:c r="B274" s="10" t="str">
        <x:v>GUILD-05-0010</x:v>
      </x:c>
      <x:c r="C274" s="10" t="str">
        <x:v>数据与收益</x:v>
      </x:c>
      <x:c r="D274" s="10" t="str">
        <x:v>直播记录</x:v>
      </x:c>
      <x:c r="E274" s="10" t="str">
        <x:v>功能需求</x:v>
      </x:c>
      <x:c r="F274" s="10" t="str">
        <x:v>P1</x:v>
      </x:c>
      <x:c r="G274" s="9" t="str">
        <x:v>验证直播记录时间排序</x:v>
      </x:c>
      <x:c r="H274" s="9" t="str">
        <x:v>开播时间倒序</x:v>
      </x:c>
      <x:c r="I274" s="9" t="str">
        <x:v>1. 公会长账号可用，已选择待测公会
2. 所选主播有开播时间不同的3个场次</x:v>
      </x:c>
      <x:c r="J274" s="9" t="str">
        <x:v>1. 打开直播记录</x:v>
      </x:c>
      <x:c r="K274" s="9" t="str">
        <x:v>场次按开播时间从新到旧排列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来源（当前证据）：liveshow-proto/MainBasis/统一需求文档.md；位置：第2379行、第2383行 REQ-b8fbc07e8999、第2384行 REQ-682303c96745、第2385行 REQ-bcdfbce8488c、第2386行 REQ-636637b2a0cc、第2387行 REQ-fb2f7046d77a、第2394行 REQ-d1ff9ee9a737、第2395行 REQ-201858313f73
2. 规则：BR-ab03ede9de7ed89c
3. 未动态验证</x:v>
      </x:c>
    </x:row>
    <x:row r="275" ht="145" customHeight="1">
      <x:c r="A275" s="10" t="n">
        <x:v>274</x:v>
      </x:c>
      <x:c r="B275" s="10" t="str">
        <x:v>GUILD-05-0011</x:v>
      </x:c>
      <x:c r="C275" s="10" t="str">
        <x:v>数据与收益</x:v>
      </x:c>
      <x:c r="D275" s="10" t="str">
        <x:v>直播记录</x:v>
      </x:c>
      <x:c r="E275" s="10" t="str">
        <x:v>功能需求</x:v>
      </x:c>
      <x:c r="F275" s="10" t="str">
        <x:v>P1</x:v>
      </x:c>
      <x:c r="G275" s="9" t="str">
        <x:v>验证历史场次不随设置改变</x:v>
      </x:c>
      <x:c r="H275" s="9" t="str">
        <x:v>场次历史快照</x:v>
      </x:c>
      <x:c r="I275" s="9" t="str">
        <x:v>1. 公会长账号可用，已选择待测公会
2. 已结束场次原标题已记录，主播之后修改了开播标题</x:v>
      </x:c>
      <x:c r="J275" s="9" t="str">
        <x:v>1. 打开直播记录</x:v>
      </x:c>
      <x:c r="K275" s="9" t="str">
        <x:v>历史场次仍显示原标题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来源（当前证据）：liveshow-proto/MainBasis/统一需求文档.md；位置：第2379行、第2383行 REQ-b8fbc07e8999、第2384行 REQ-682303c96745、第2385行 REQ-bcdfbce8488c、第2386行 REQ-636637b2a0cc、第2387行 REQ-fb2f7046d77a、第2394行 REQ-d1ff9ee9a737、第2395行 REQ-201858313f73
2. 规则：BR-90b8e7a7ea05c0e0
3. 未动态验证</x:v>
      </x:c>
    </x:row>
    <x:row r="276" ht="145" customHeight="1">
      <x:c r="A276" s="10" t="n">
        <x:v>275</x:v>
      </x:c>
      <x:c r="B276" s="10" t="str">
        <x:v>GUILD-05-0012</x:v>
      </x:c>
      <x:c r="C276" s="10" t="str">
        <x:v>数据与收益</x:v>
      </x:c>
      <x:c r="D276" s="10" t="str">
        <x:v>直播记录</x:v>
      </x:c>
      <x:c r="E276" s="10" t="str">
        <x:v>功能需求</x:v>
      </x:c>
      <x:c r="F276" s="10" t="str">
        <x:v>P1</x:v>
      </x:c>
      <x:c r="G276" s="9" t="str">
        <x:v>验证进入所选直播场次</x:v>
      </x:c>
      <x:c r="H276" s="9" t="str">
        <x:v>场次身份透传</x:v>
      </x:c>
      <x:c r="I276" s="9" t="str">
        <x:v>1. 公会长账号可用，已选择待测公会
2. 所选主播当日有两个不同场次</x:v>
      </x:c>
      <x:c r="J276" s="9" t="str">
        <x:v>1. 打开直播记录
2. 点击其中一场直播记录</x:v>
      </x:c>
      <x:c r="K276" s="9" t="str">
        <x:v>详情定位到所选主播及该场次ID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来源（当前证据）：liveshow-proto/MainBasis/统一需求文档.md；位置：第2379行、第2383行 REQ-b8fbc07e8999、第2384行 REQ-682303c96745、第2385行 REQ-bcdfbce8488c、第2386行 REQ-636637b2a0cc、第2387行 REQ-fb2f7046d77a、第2394行 REQ-d1ff9ee9a737、第2395行 REQ-201858313f73
2. 规则：BR-a823c946f27ebc1e
3. 未动态验证</x:v>
      </x:c>
    </x:row>
    <x:row r="277" ht="85" customHeight="1">
      <x:c r="A277" s="10" t="n">
        <x:v>276</x:v>
      </x:c>
      <x:c r="B277" s="10" t="str">
        <x:v>GUILD-05-0013</x:v>
      </x:c>
      <x:c r="C277" s="10" t="str">
        <x:v>数据与收益</x:v>
      </x:c>
      <x:c r="D277" s="10" t="str">
        <x:v>直播记录</x:v>
      </x:c>
      <x:c r="E277" s="10" t="str">
        <x:v>功能需求</x:v>
      </x:c>
      <x:c r="F277" s="10" t="str">
        <x:v>P1</x:v>
      </x:c>
      <x:c r="G277" s="9" t="str">
        <x:v>验证重复进房观众去重</x:v>
      </x:c>
      <x:c r="H277" s="9" t="str">
        <x:v>单场观众去重</x:v>
      </x:c>
      <x:c r="I277" s="9" t="str">
        <x:v>1. 公会长账号可用，已选择待测公会
2. 同一用户在本场进入3次，另一个用户进入1次</x:v>
      </x:c>
      <x:c r="J277" s="9" t="str">
        <x:v>1. 打开直播记录</x:v>
      </x:c>
      <x:c r="K277" s="9" t="str">
        <x:v>本场观众显示2人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来源（当前证据）：liveshow-proto/MainBasis/统一需求文档.md；位置：第2379行、第2389行 REQ-af1d816ec2c6
2. 规则：BR-89ffed37aed3c929
3. 未动态验证</x:v>
      </x:c>
    </x:row>
    <x:row r="278" ht="85" customHeight="1">
      <x:c r="A278" s="10" t="n">
        <x:v>277</x:v>
      </x:c>
      <x:c r="B278" s="10" t="str">
        <x:v>GUILD-05-0014</x:v>
      </x:c>
      <x:c r="C278" s="10" t="str">
        <x:v>数据与收益</x:v>
      </x:c>
      <x:c r="D278" s="10" t="str">
        <x:v>直播记录</x:v>
      </x:c>
      <x:c r="E278" s="10" t="str">
        <x:v>功能需求</x:v>
      </x:c>
      <x:c r="F278" s="10" t="str">
        <x:v>P1</x:v>
      </x:c>
      <x:c r="G278" s="9" t="str">
        <x:v>验证礼物件数区别人数</x:v>
      </x:c>
      <x:c r="H278" s="9" t="str">
        <x:v>成功礼物件数</x:v>
      </x:c>
      <x:c r="I278" s="9" t="str">
        <x:v>1. 公会长账号可用，已选择待测公会
2. 本场同一用户成功赠送3件和2件礼物，另有失败4件</x:v>
      </x:c>
      <x:c r="J278" s="9" t="str">
        <x:v>1. 打开直播记录</x:v>
      </x:c>
      <x:c r="K278" s="9" t="str">
        <x:v>收礼数量显示5件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来源（当前证据）：liveshow-proto/MainBasis/统一需求文档.md；位置：第2379行、第2390行 REQ-87e274cd7605
2. 规则：BR-c157c9644a5257f2
3. 未动态验证</x:v>
      </x:c>
    </x:row>
    <x:row r="279" ht="115" customHeight="1">
      <x:c r="A279" s="10" t="n">
        <x:v>278</x:v>
      </x:c>
      <x:c r="B279" s="10" t="str">
        <x:v>GUILD-05-0015</x:v>
      </x:c>
      <x:c r="C279" s="10" t="str">
        <x:v>数据与收益</x:v>
      </x:c>
      <x:c r="D279" s="10" t="str">
        <x:v>直播记录</x:v>
      </x:c>
      <x:c r="E279" s="10" t="str">
        <x:v>逻辑校验</x:v>
      </x:c>
      <x:c r="F279" s="10" t="str">
        <x:v>P1</x:v>
      </x:c>
      <x:c r="G279" s="9" t="str">
        <x:v>验证收益统计成功真实礼物</x:v>
      </x:c>
      <x:c r="H279" s="9" t="str">
        <x:v>收益范围汇总</x:v>
      </x:c>
      <x:c r="I279" s="9" t="str">
        <x:v>1. 公会长账号可用，已选择待测公会
2. 所选主播及日期范围普通礼物100金币、定制200金币、幸运1000金币且赠送时比例1%；虚拟500金币、失败50金币、范围外300金币</x:v>
      </x:c>
      <x:c r="J279" s="9" t="str">
        <x:v>1. 打开直播记录</x:v>
      </x:c>
      <x:c r="K279" s="9" t="str">
        <x:v>收益计算结果=100+200+10=310金币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来源（当前证据）：liveshow-proto/MainBasis/统一需求文档.md；位置：第2379行、第2388行 REQ-06ce5f7ae15a、第2391行 REQ-978ae84c9129
2. 规则：BR-469a4dc90fb9d100
3. 未动态验证</x:v>
      </x:c>
    </x:row>
    <x:row r="280" ht="85" customHeight="1">
      <x:c r="A280" s="10" t="n">
        <x:v>279</x:v>
      </x:c>
      <x:c r="B280" s="10" t="str">
        <x:v>GUILD-05-0016</x:v>
      </x:c>
      <x:c r="C280" s="10" t="str">
        <x:v>数据与收益</x:v>
      </x:c>
      <x:c r="D280" s="10" t="str">
        <x:v>直播记录</x:v>
      </x:c>
      <x:c r="E280" s="10" t="str">
        <x:v>功能需求</x:v>
      </x:c>
      <x:c r="F280" s="10" t="str">
        <x:v>P1</x:v>
      </x:c>
      <x:c r="G280" s="9" t="str">
        <x:v>验证创建场次按所选周期统计</x:v>
      </x:c>
      <x:c r="H280" s="9" t="str">
        <x:v>直播场次统计范围</x:v>
      </x:c>
      <x:c r="I280" s="9" t="str">
        <x:v>1. 公会长账号可用，已选择待测公会
2. 当前范围成功创建3场，其中1场尚在直播；另有范围外场次</x:v>
      </x:c>
      <x:c r="J280" s="9" t="str">
        <x:v>1. 打开直播记录</x:v>
      </x:c>
      <x:c r="K280" s="9" t="str">
        <x:v>直播场次显示3场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来源（当前证据）：liveshow-proto/MainBasis/统一需求文档.md；位置：第2379行、第2393行 REQ-5a047639c8df
2. 规则：BR-11dc6a96e32cf20b
3. 未动态验证</x:v>
      </x:c>
    </x:row>
    <x:row r="281" ht="145" customHeight="1">
      <x:c r="A281" s="10" t="n">
        <x:v>280</x:v>
      </x:c>
      <x:c r="B281" s="10" t="str">
        <x:v>GUILD-05-0017</x:v>
      </x:c>
      <x:c r="C281" s="10" t="str">
        <x:v>数据与收益</x:v>
      </x:c>
      <x:c r="D281" s="10" t="str">
        <x:v>直播记录</x:v>
      </x:c>
      <x:c r="E281" s="10" t="str">
        <x:v>功能需求</x:v>
      </x:c>
      <x:c r="F281" s="10" t="str">
        <x:v>P1</x:v>
      </x:c>
      <x:c r="G281" s="9" t="str">
        <x:v>验证多主播记录显示归属：场次主播名称</x:v>
      </x:c>
      <x:c r="H281" s="9" t="str">
        <x:v>场次主播名称</x:v>
      </x:c>
      <x:c r="I281" s="9" t="str">
        <x:v>1. 公会长账号可用，已选择待测公会
2. 当前选择了两名主播，各有一场直播</x:v>
      </x:c>
      <x:c r="J281" s="9" t="str">
        <x:v>1. 打开直播记录</x:v>
      </x:c>
      <x:c r="K281" s="9" t="str">
        <x:v>场次记录中的主播名称属于实际开播主播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来源（当前证据）：liveshow-proto/MainBasis/统一需求文档.md；位置：第2379行、第2383行 REQ-b8fbc07e8999、第2384行 REQ-682303c96745、第2385行 REQ-bcdfbce8488c、第2386行 REQ-636637b2a0cc、第2387行 REQ-fb2f7046d77a、第2394行 REQ-d1ff9ee9a737、第2395行 REQ-201858313f73
2. 规则：BR-a293b23cc0dca53c
3. 未动态验证</x:v>
      </x:c>
    </x:row>
    <x:row r="282" ht="145" customHeight="1">
      <x:c r="A282" s="10" t="n">
        <x:v>281</x:v>
      </x:c>
      <x:c r="B282" s="10" t="str">
        <x:v>GUILD-05-0018</x:v>
      </x:c>
      <x:c r="C282" s="10" t="str">
        <x:v>数据与收益</x:v>
      </x:c>
      <x:c r="D282" s="10" t="str">
        <x:v>直播记录</x:v>
      </x:c>
      <x:c r="E282" s="10" t="str">
        <x:v>功能需求</x:v>
      </x:c>
      <x:c r="F282" s="10" t="str">
        <x:v>P1</x:v>
      </x:c>
      <x:c r="G282" s="9" t="str">
        <x:v>验证多主播记录显示归属：场次主播ID</x:v>
      </x:c>
      <x:c r="H282" s="9" t="str">
        <x:v>场次主播ID</x:v>
      </x:c>
      <x:c r="I282" s="9" t="str">
        <x:v>1. 公会长账号可用，已选择待测公会
2. 当前选择了两名主播，各有一场直播</x:v>
      </x:c>
      <x:c r="J282" s="9" t="str">
        <x:v>1. 打开直播记录</x:v>
      </x:c>
      <x:c r="K282" s="9" t="str">
        <x:v>场次记录中的主播ID属于实际开播主播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来源（当前证据）：liveshow-proto/MainBasis/统一需求文档.md；位置：第2379行、第2383行 REQ-b8fbc07e8999、第2384行 REQ-682303c96745、第2385行 REQ-bcdfbce8488c、第2386行 REQ-636637b2a0cc、第2387行 REQ-fb2f7046d77a、第2394行 REQ-d1ff9ee9a737、第2395行 REQ-201858313f73
2. 规则：BR-fa13911c455ccb7a
3. 未动态验证</x:v>
      </x:c>
    </x:row>
    <x:row r="283" ht="130" customHeight="1">
      <x:c r="A283" s="10" t="n">
        <x:v>282</x:v>
      </x:c>
      <x:c r="B283" s="10" t="str">
        <x:v>GUILD-05-0019</x:v>
      </x:c>
      <x:c r="C283" s="10" t="str">
        <x:v>数据与收益</x:v>
      </x:c>
      <x:c r="D283" s="10" t="str">
        <x:v>每日</x:v>
      </x:c>
      <x:c r="E283" s="10" t="str">
        <x:v>功能需求</x:v>
      </x:c>
      <x:c r="F283" s="10" t="str">
        <x:v>P1</x:v>
      </x:c>
      <x:c r="G283" s="9" t="str">
        <x:v>验证查看过去日期</x:v>
      </x:c>
      <x:c r="H283" s="9" t="str">
        <x:v>历史日期标记</x:v>
      </x:c>
      <x:c r="I283" s="9" t="str">
        <x:v>1. 公会长账号可用，已选择待测公会
2. 当前查看日期早于今天</x:v>
      </x:c>
      <x:c r="J283" s="9" t="str">
        <x:v>1. 打开每日</x:v>
      </x:c>
      <x:c r="K283" s="9" t="str">
        <x:v>显示历史标记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规则：BR-6d0688dee4cf6235
3. 未动态验证</x:v>
      </x:c>
    </x:row>
    <x:row r="284" ht="130" customHeight="1">
      <x:c r="A284" s="10" t="n">
        <x:v>283</x:v>
      </x:c>
      <x:c r="B284" s="10" t="str">
        <x:v>GUILD-05-0020</x:v>
      </x:c>
      <x:c r="C284" s="10" t="str">
        <x:v>数据与收益</x:v>
      </x:c>
      <x:c r="D284" s="10" t="str">
        <x:v>每日</x:v>
      </x:c>
      <x:c r="E284" s="10" t="str">
        <x:v>功能需求</x:v>
      </x:c>
      <x:c r="F284" s="10" t="str">
        <x:v>P1</x:v>
      </x:c>
      <x:c r="G284" s="9" t="str">
        <x:v>验证历史日开播人数</x:v>
      </x:c>
      <x:c r="H284" s="9" t="str">
        <x:v>历史开播人数口径</x:v>
      </x:c>
      <x:c r="I284" s="9" t="str">
        <x:v>1. 公会长账号可用，已选择待测公会
2. 所选历史日2名主播开过播且均已结束</x:v>
      </x:c>
      <x:c r="J284" s="9" t="str">
        <x:v>1. 打开每日</x:v>
      </x:c>
      <x:c r="K284" s="9" t="str">
        <x:v>直播中指标按该日开播人数显示2人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规则：BR-f696fca1aaedae2f
3. 未动态验证</x:v>
      </x:c>
    </x:row>
    <x:row r="285" ht="130" customHeight="1">
      <x:c r="A285" s="10" t="n">
        <x:v>284</x:v>
      </x:c>
      <x:c r="B285" s="10" t="str">
        <x:v>GUILD-05-0021</x:v>
      </x:c>
      <x:c r="C285" s="10" t="str">
        <x:v>数据与收益</x:v>
      </x:c>
      <x:c r="D285" s="10" t="str">
        <x:v>每日</x:v>
      </x:c>
      <x:c r="E285" s="10" t="str">
        <x:v>功能需求</x:v>
      </x:c>
      <x:c r="F285" s="10" t="str">
        <x:v>P1</x:v>
      </x:c>
      <x:c r="G285" s="9" t="str">
        <x:v>验证今日实时在播人数</x:v>
      </x:c>
      <x:c r="H285" s="9" t="str">
        <x:v>今日在播人数口径</x:v>
      </x:c>
      <x:c r="I285" s="9" t="str">
        <x:v>1. 公会长账号可用，已选择待测公会
2. 今天2名主播开过播，其中1名现已结束</x:v>
      </x:c>
      <x:c r="J285" s="9" t="str">
        <x:v>1. 打开每日</x:v>
      </x:c>
      <x:c r="K285" s="9" t="str">
        <x:v>直播中指标显示1人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规则：BR-1b9364a7c66d4378
3. 未动态验证</x:v>
      </x:c>
    </x:row>
    <x:row r="286" ht="130" customHeight="1">
      <x:c r="A286" s="10" t="n">
        <x:v>285</x:v>
      </x:c>
      <x:c r="B286" s="10" t="str">
        <x:v>GUILD-05-0022</x:v>
      </x:c>
      <x:c r="C286" s="10" t="str">
        <x:v>数据与收益</x:v>
      </x:c>
      <x:c r="D286" s="10" t="str">
        <x:v>每日</x:v>
      </x:c>
      <x:c r="E286" s="10" t="str">
        <x:v>功能需求</x:v>
      </x:c>
      <x:c r="F286" s="10" t="str">
        <x:v>P1</x:v>
      </x:c>
      <x:c r="G286" s="9" t="str">
        <x:v>验证未开播主播列表</x:v>
      </x:c>
      <x:c r="H286" s="9" t="str">
        <x:v>未开播范围</x:v>
      </x:c>
      <x:c r="I286" s="9" t="str">
        <x:v>1. 公会长账号可用，已选择待测公会
2. 当日有在会主播未开播</x:v>
      </x:c>
      <x:c r="J286" s="9" t="str">
        <x:v>1. 打开每日
2. 切换未开播</x:v>
      </x:c>
      <x:c r="K286" s="9" t="str">
        <x:v>未开播主播不显示当日业绩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规则：BR-ded3555745e90c5d
3. 未动态验证</x:v>
      </x:c>
    </x:row>
    <x:row r="287" ht="130" customHeight="1">
      <x:c r="A287" s="10" t="n">
        <x:v>286</x:v>
      </x:c>
      <x:c r="B287" s="10" t="str">
        <x:v>GUILD-05-0023</x:v>
      </x:c>
      <x:c r="C287" s="10" t="str">
        <x:v>数据与收益</x:v>
      </x:c>
      <x:c r="D287" s="10" t="str">
        <x:v>每日</x:v>
      </x:c>
      <x:c r="E287" s="10" t="str">
        <x:v>功能需求</x:v>
      </x:c>
      <x:c r="F287" s="10" t="str">
        <x:v>P1</x:v>
      </x:c>
      <x:c r="G287" s="9" t="str">
        <x:v>验证已开播按收益排序</x:v>
      </x:c>
      <x:c r="H287" s="9" t="str">
        <x:v>当日收益倒序</x:v>
      </x:c>
      <x:c r="I287" s="9" t="str">
        <x:v>1. 公会长账号可用，已选择待测公会
2. 两名已开播主播当日收益分别100和200金币</x:v>
      </x:c>
      <x:c r="J287" s="9" t="str">
        <x:v>1. 打开每日
2. 切换已开播</x:v>
      </x:c>
      <x:c r="K287" s="9" t="str">
        <x:v>200金币收益主播排列在100金币主播之前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规则：BR-bc6d0b44a23d8f62
3. 未动态验证</x:v>
      </x:c>
    </x:row>
    <x:row r="288" ht="130" customHeight="1">
      <x:c r="A288" s="10" t="n">
        <x:v>287</x:v>
      </x:c>
      <x:c r="B288" s="10" t="str">
        <x:v>GUILD-05-0024</x:v>
      </x:c>
      <x:c r="C288" s="10" t="str">
        <x:v>数据与收益</x:v>
      </x:c>
      <x:c r="D288" s="10" t="str">
        <x:v>每日</x:v>
      </x:c>
      <x:c r="E288" s="10" t="str">
        <x:v>功能需求</x:v>
      </x:c>
      <x:c r="F288" s="10" t="str">
        <x:v>P1</x:v>
      </x:c>
      <x:c r="G288" s="9" t="str">
        <x:v>验证每日进入主播数据</x:v>
      </x:c>
      <x:c r="H288" s="9" t="str">
        <x:v>每日日期传递</x:v>
      </x:c>
      <x:c r="I288" s="9" t="str">
        <x:v>1. 公会长账号可用，已选择待测公会
2. 当前查看指定历史日</x:v>
      </x:c>
      <x:c r="J288" s="9" t="str">
        <x:v>1. 打开每日
2. 点击主播行</x:v>
      </x:c>
      <x:c r="K288" s="9" t="str">
        <x:v>主播数据带入该主播及当前查看日期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规则：BR-30977f9334487e24
3. 未动态验证</x:v>
      </x:c>
    </x:row>
    <x:row r="289" ht="100" customHeight="1">
      <x:c r="A289" s="10" t="n">
        <x:v>288</x:v>
      </x:c>
      <x:c r="B289" s="10" t="str">
        <x:v>GUILD-05-0025</x:v>
      </x:c>
      <x:c r="C289" s="10" t="str">
        <x:v>数据与收益</x:v>
      </x:c>
      <x:c r="D289" s="10" t="str">
        <x:v>每日</x:v>
      </x:c>
      <x:c r="E289" s="10" t="str">
        <x:v>功能需求</x:v>
      </x:c>
      <x:c r="F289" s="10" t="str">
        <x:v>P1</x:v>
      </x:c>
      <x:c r="G289" s="9" t="str">
        <x:v>验证每日主播标识核对</x:v>
      </x:c>
      <x:c r="H289" s="9" t="str">
        <x:v>头像名称与ID归属</x:v>
      </x:c>
      <x:c r="I289" s="9" t="str">
        <x:v>1. 公会长账号可用，已选择待测公会
2. 本会两名主播使用相似昵称，已知各自真实ID及头像</x:v>
      </x:c>
      <x:c r="J289" s="9" t="str">
        <x:v>1. 打开每日</x:v>
      </x:c>
      <x:c r="K289" s="9" t="str">
        <x:v>头像、名称和ID对应同一主播账号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来源（当前证据）：liveshow-proto/MainBasis/统一需求文档.md；位置：第2459行、第2462行 REQ-06ad3c0d866a、第2463行 REQ-beddde584aab
2. 规则：BR-f7650a4be1bfda5e
3. 未动态验证</x:v>
      </x:c>
    </x:row>
    <x:row r="290" ht="100" customHeight="1">
      <x:c r="A290" s="10" t="n">
        <x:v>289</x:v>
      </x:c>
      <x:c r="B290" s="10" t="str">
        <x:v>GUILD-05-0026</x:v>
      </x:c>
      <x:c r="C290" s="10" t="str">
        <x:v>数据与收益</x:v>
      </x:c>
      <x:c r="D290" s="10" t="str">
        <x:v>每日</x:v>
      </x:c>
      <x:c r="E290" s="10" t="str">
        <x:v>功能需求</x:v>
      </x:c>
      <x:c r="F290" s="10" t="str">
        <x:v>P1</x:v>
      </x:c>
      <x:c r="G290" s="9" t="str">
        <x:v>验证主播等级排除虚拟赠礼</x:v>
      </x:c>
      <x:c r="H290" s="9" t="str">
        <x:v>主播等级收益归属</x:v>
      </x:c>
      <x:c r="I290" s="9" t="str">
        <x:v>1. 公会长账号可用，已选择待测公会
2. 主播分成前真实收益达到已配置2级门槛，尚未达到3级；虚拟赠礼与财富贡献足以达到更高档</x:v>
      </x:c>
      <x:c r="J290" s="9" t="str">
        <x:v>1. 打开每日</x:v>
      </x:c>
      <x:c r="K290" s="9" t="str">
        <x:v>主播等级显示2级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来源（当前证据）：liveshow-proto/MainBasis/统一需求文档.md；位置：第2459行、第2464行 REQ-9d262cff137e
2. 规则：BR-3f33c739c6fcafef
3. 未动态验证</x:v>
      </x:c>
    </x:row>
    <x:row r="291" ht="115" customHeight="1">
      <x:c r="A291" s="10" t="n">
        <x:v>290</x:v>
      </x:c>
      <x:c r="B291" s="10" t="str">
        <x:v>GUILD-05-0027</x:v>
      </x:c>
      <x:c r="C291" s="10" t="str">
        <x:v>数据与收益</x:v>
      </x:c>
      <x:c r="D291" s="10" t="str">
        <x:v>每日</x:v>
      </x:c>
      <x:c r="E291" s="10" t="str">
        <x:v>逻辑校验</x:v>
      </x:c>
      <x:c r="F291" s="10" t="str">
        <x:v>P1</x:v>
      </x:c>
      <x:c r="G291" s="9" t="str">
        <x:v>验证当日收益统计成功真实礼物</x:v>
      </x:c>
      <x:c r="H291" s="9" t="str">
        <x:v>收益范围汇总</x:v>
      </x:c>
      <x:c r="I291" s="9" t="str">
        <x:v>1. 公会长账号可用，已选择待测公会
2. 本会所选日主播普通礼物100金币、定制200金币、幸运1000金币且赠送时比例1%；虚拟500金币、失败50金币、范围外300金币</x:v>
      </x:c>
      <x:c r="J291" s="9" t="str">
        <x:v>1. 打开每日</x:v>
      </x:c>
      <x:c r="K291" s="9" t="str">
        <x:v>当日收益计算结果=100+200+10=310金币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来源（当前证据）：liveshow-proto/MainBasis/统一需求文档.md；位置：第2459行、第2465行 REQ-1db91ec3c02e、第2467行 REQ-87ec9467d4df
2. 规则：BR-409acf1367ff6bda
3. 未动态验证</x:v>
      </x:c>
    </x:row>
    <x:row r="292" ht="85" customHeight="1">
      <x:c r="A292" s="10" t="n">
        <x:v>291</x:v>
      </x:c>
      <x:c r="B292" s="10" t="str">
        <x:v>GUILD-05-0028</x:v>
      </x:c>
      <x:c r="C292" s="10" t="str">
        <x:v>数据与收益</x:v>
      </x:c>
      <x:c r="D292" s="10" t="str">
        <x:v>每日</x:v>
      </x:c>
      <x:c r="E292" s="10" t="str">
        <x:v>功能需求</x:v>
      </x:c>
      <x:c r="F292" s="10" t="str">
        <x:v>P1</x:v>
      </x:c>
      <x:c r="G292" s="9" t="str">
        <x:v>验证当日累计179分钟达标判断</x:v>
      </x:c>
      <x:c r="H292" s="9" t="str">
        <x:v>当日达标人数边界</x:v>
      </x:c>
      <x:c r="I292" s="9" t="str">
        <x:v>1. 公会长账号可用，已选择待测公会
2. 本会仅一名主播，当日有效时长累计179分钟，无跨日或中断</x:v>
      </x:c>
      <x:c r="J292" s="9" t="str">
        <x:v>1. 打开每日</x:v>
      </x:c>
      <x:c r="K292" s="9" t="str">
        <x:v>当日达标主播人数显示0人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来源（当前证据）：liveshow-proto/MainBasis/统一需求文档.md；位置：第2459行、第2469行 REQ-f41d28f9fe68
2. 规则：BR-5dfae47264df6c7d
3. 未动态验证</x:v>
      </x:c>
    </x:row>
    <x:row r="293" ht="85" customHeight="1">
      <x:c r="A293" s="10" t="n">
        <x:v>292</x:v>
      </x:c>
      <x:c r="B293" s="10" t="str">
        <x:v>GUILD-05-0029</x:v>
      </x:c>
      <x:c r="C293" s="10" t="str">
        <x:v>数据与收益</x:v>
      </x:c>
      <x:c r="D293" s="10" t="str">
        <x:v>每日</x:v>
      </x:c>
      <x:c r="E293" s="10" t="str">
        <x:v>功能需求</x:v>
      </x:c>
      <x:c r="F293" s="10" t="str">
        <x:v>P1</x:v>
      </x:c>
      <x:c r="G293" s="9" t="str">
        <x:v>验证当日累计180分钟达标判断</x:v>
      </x:c>
      <x:c r="H293" s="9" t="str">
        <x:v>当日达标人数边界</x:v>
      </x:c>
      <x:c r="I293" s="9" t="str">
        <x:v>1. 公会长账号可用，已选择待测公会
2. 本会仅一名主播，当日有效时长累计180分钟，无跨日或中断</x:v>
      </x:c>
      <x:c r="J293" s="9" t="str">
        <x:v>1. 打开每日</x:v>
      </x:c>
      <x:c r="K293" s="9" t="str">
        <x:v>当日达标主播人数显示1人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来源（当前证据）：liveshow-proto/MainBasis/统一需求文档.md；位置：第2459行、第2469行 REQ-f41d28f9fe68
2. 规则：BR-b80a9516cff334a4
3. 未动态验证</x:v>
      </x:c>
    </x:row>
    <x:row r="294" ht="85" customHeight="1">
      <x:c r="A294" s="10" t="n">
        <x:v>293</x:v>
      </x:c>
      <x:c r="B294" s="10" t="str">
        <x:v>GUILD-05-0030</x:v>
      </x:c>
      <x:c r="C294" s="10" t="str">
        <x:v>数据与收益</x:v>
      </x:c>
      <x:c r="D294" s="10" t="str">
        <x:v>每日</x:v>
      </x:c>
      <x:c r="E294" s="10" t="str">
        <x:v>功能需求</x:v>
      </x:c>
      <x:c r="F294" s="10" t="str">
        <x:v>P1</x:v>
      </x:c>
      <x:c r="G294" s="9" t="str">
        <x:v>验证当日累计181分钟达标判断</x:v>
      </x:c>
      <x:c r="H294" s="9" t="str">
        <x:v>当日达标人数边界</x:v>
      </x:c>
      <x:c r="I294" s="9" t="str">
        <x:v>1. 公会长账号可用，已选择待测公会
2. 本会仅一名主播，当日有效时长累计181分钟，无跨日或中断</x:v>
      </x:c>
      <x:c r="J294" s="9" t="str">
        <x:v>1. 打开每日</x:v>
      </x:c>
      <x:c r="K294" s="9" t="str">
        <x:v>当日达标主播人数显示1人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来源（当前证据）：liveshow-proto/MainBasis/统一需求文档.md；位置：第2459行、第2469行 REQ-f41d28f9fe68
2. 规则：BR-acb61f154e6e937f
3. 未动态验证</x:v>
      </x:c>
    </x:row>
    <x:row r="295" ht="100" customHeight="1">
      <x:c r="A295" s="10" t="n">
        <x:v>294</x:v>
      </x:c>
      <x:c r="B295" s="10" t="str">
        <x:v>GUILD-05-0031</x:v>
      </x:c>
      <x:c r="C295" s="10" t="str">
        <x:v>数据与收益</x:v>
      </x:c>
      <x:c r="D295" s="10" t="str">
        <x:v>公会业绩</x:v>
      </x:c>
      <x:c r="E295" s="10" t="str">
        <x:v>功能需求</x:v>
      </x:c>
      <x:c r="F295" s="10" t="str">
        <x:v>P1</x:v>
      </x:c>
      <x:c r="G295" s="9" t="str">
        <x:v>验证同一主播跨日开播去重</x:v>
      </x:c>
      <x:c r="H295" s="9" t="str">
        <x:v>开播人数跨日去重</x:v>
      </x:c>
      <x:c r="I295" s="9" t="str">
        <x:v>1. 公会长账号可用，已选择待测公会
2. 所选周期内主播一在两天完成3场直播，主播二完成1场；其他公会主播不在范围内</x:v>
      </x:c>
      <x:c r="J295" s="9" t="str">
        <x:v>1. 打开公会业绩</x:v>
      </x:c>
      <x:c r="K295" s="9" t="str">
        <x:v>开播人数显示2人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来源（当前证据）：liveshow-proto/MainBasis/统一需求文档.md；位置：第2435行、第2448行 REQ-895dd4ecd051、第2456行 REQ-3257800206c1
2. 规则：BR-15eb5bfc2d1b73ed
3. 未动态验证</x:v>
      </x:c>
    </x:row>
    <x:row r="296" ht="130" customHeight="1">
      <x:c r="A296" s="10" t="n">
        <x:v>295</x:v>
      </x:c>
      <x:c r="B296" s="10" t="str">
        <x:v>GUILD-05-0032</x:v>
      </x:c>
      <x:c r="C296" s="10" t="str">
        <x:v>数据与收益</x:v>
      </x:c>
      <x:c r="D296" s="10" t="str">
        <x:v>公会业绩</x:v>
      </x:c>
      <x:c r="E296" s="10" t="str">
        <x:v>功能需求</x:v>
      </x:c>
      <x:c r="F296" s="10" t="str">
        <x:v>P1</x:v>
      </x:c>
      <x:c r="G296" s="9" t="str">
        <x:v>验证公会日业绩默认范围</x:v>
      </x:c>
      <x:c r="H296" s="9" t="str">
        <x:v>日业绩默认周期</x:v>
      </x:c>
      <x:c r="I296" s="9" t="str">
        <x:v>1. 公会长账号可用，已选择待测公会
2. 本会有本月和上月数据</x:v>
      </x:c>
      <x:c r="J296" s="9" t="str">
        <x:v>1. 打开公会业绩
2. 切换日数据</x:v>
      </x:c>
      <x:c r="K296" s="9" t="str">
        <x:v>日期范围默认本月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规则：BR-217af2ef2845db93
3. 未动态验证</x:v>
      </x:c>
    </x:row>
    <x:row r="297" ht="130" customHeight="1">
      <x:c r="A297" s="10" t="n">
        <x:v>296</x:v>
      </x:c>
      <x:c r="B297" s="10" t="str">
        <x:v>GUILD-05-0033</x:v>
      </x:c>
      <x:c r="C297" s="10" t="str">
        <x:v>数据与收益</x:v>
      </x:c>
      <x:c r="D297" s="10" t="str">
        <x:v>公会业绩</x:v>
      </x:c>
      <x:c r="E297" s="10" t="str">
        <x:v>功能需求</x:v>
      </x:c>
      <x:c r="F297" s="10" t="str">
        <x:v>P1</x:v>
      </x:c>
      <x:c r="G297" s="9" t="str">
        <x:v>验证公会月业绩默认范围</x:v>
      </x:c>
      <x:c r="H297" s="9" t="str">
        <x:v>月业绩默认周期</x:v>
      </x:c>
      <x:c r="I297" s="9" t="str">
        <x:v>1. 公会长账号可用，已选择待测公会
2. 本会有一年以上数据</x:v>
      </x:c>
      <x:c r="J297" s="9" t="str">
        <x:v>1. 打开公会业绩
2. 切换月数据</x:v>
      </x:c>
      <x:c r="K297" s="9" t="str">
        <x:v>月份范围默认近半年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规则：BR-1b20ef1ecbb7c724
3. 未动态验证</x:v>
      </x:c>
    </x:row>
    <x:row r="298" ht="130" customHeight="1">
      <x:c r="A298" s="10" t="n">
        <x:v>297</x:v>
      </x:c>
      <x:c r="B298" s="10" t="str">
        <x:v>GUILD-05-0034</x:v>
      </x:c>
      <x:c r="C298" s="10" t="str">
        <x:v>数据与收益</x:v>
      </x:c>
      <x:c r="D298" s="10" t="str">
        <x:v>公会业绩</x:v>
      </x:c>
      <x:c r="E298" s="10" t="str">
        <x:v>功能需求</x:v>
      </x:c>
      <x:c r="F298" s="10" t="str">
        <x:v>P1</x:v>
      </x:c>
      <x:c r="G298" s="9" t="str">
        <x:v>验证指标切换趋势</x:v>
      </x:c>
      <x:c r="H298" s="9" t="str">
        <x:v>趋势指标绑定</x:v>
      </x:c>
      <x:c r="I298" s="9" t="str">
        <x:v>1. 公会长账号可用，已选择待测公会
2. 当前范围有收益和直播场次数据</x:v>
      </x:c>
      <x:c r="J298" s="9" t="str">
        <x:v>1. 打开公会业绩
2. 点击直播场次指标卡</x:v>
      </x:c>
      <x:c r="K298" s="9" t="str">
        <x:v>趋势显示直播场次指标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规则：BR-4e994a61e3db385e
3. 未动态验证</x:v>
      </x:c>
    </x:row>
    <x:row r="299" ht="130" customHeight="1">
      <x:c r="A299" s="10" t="n">
        <x:v>298</x:v>
      </x:c>
      <x:c r="B299" s="10" t="str">
        <x:v>GUILD-05-0035</x:v>
      </x:c>
      <x:c r="C299" s="10" t="str">
        <x:v>数据与收益</x:v>
      </x:c>
      <x:c r="D299" s="10" t="str">
        <x:v>公会业绩</x:v>
      </x:c>
      <x:c r="E299" s="10" t="str">
        <x:v>功能需求</x:v>
      </x:c>
      <x:c r="F299" s="10" t="str">
        <x:v>P1</x:v>
      </x:c>
      <x:c r="G299" s="9" t="str">
        <x:v>验证日数据行进入主播业绩</x:v>
      </x:c>
      <x:c r="H299" s="9" t="str">
        <x:v>业绩日期透传</x:v>
      </x:c>
      <x:c r="I299" s="9" t="str">
        <x:v>1. 公会长账号可用，已选择待测公会
2. 日列表有两天数据</x:v>
      </x:c>
      <x:c r="J299" s="9" t="str">
        <x:v>1. 打开公会业绩
2. 点击其中一天的数据行</x:v>
      </x:c>
      <x:c r="K299" s="9" t="str">
        <x:v>主播业绩带入所选日期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规则：BR-47886ea485e6fece
3. 未动态验证</x:v>
      </x:c>
    </x:row>
    <x:row r="300" ht="130" customHeight="1">
      <x:c r="A300" s="10" t="n">
        <x:v>299</x:v>
      </x:c>
      <x:c r="B300" s="10" t="str">
        <x:v>GUILD-05-0036</x:v>
      </x:c>
      <x:c r="C300" s="10" t="str">
        <x:v>数据与收益</x:v>
      </x:c>
      <x:c r="D300" s="10" t="str">
        <x:v>公会业绩</x:v>
      </x:c>
      <x:c r="E300" s="10" t="str">
        <x:v>功能需求</x:v>
      </x:c>
      <x:c r="F300" s="10" t="str">
        <x:v>P1</x:v>
      </x:c>
      <x:c r="G300" s="9" t="str">
        <x:v>验证月数据行进入主播业绩</x:v>
      </x:c>
      <x:c r="H300" s="9" t="str">
        <x:v>业绩月份透传</x:v>
      </x:c>
      <x:c r="I300" s="9" t="str">
        <x:v>1. 公会长账号可用，已选择待测公会
2. 月列表有两个月数据</x:v>
      </x:c>
      <x:c r="J300" s="9" t="str">
        <x:v>1. 打开公会业绩
2. 切换月数据
3. 点击其中一月的数据行</x:v>
      </x:c>
      <x:c r="K300" s="9" t="str">
        <x:v>主播业绩带入所选月份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规则：BR-b7aa4789105cf525
3. 未动态验证</x:v>
      </x:c>
    </x:row>
    <x:row r="301" ht="130" customHeight="1">
      <x:c r="A301" s="10" t="n">
        <x:v>300</x:v>
      </x:c>
      <x:c r="B301" s="10" t="str">
        <x:v>GUILD-05-0037</x:v>
      </x:c>
      <x:c r="C301" s="10" t="str">
        <x:v>数据与收益</x:v>
      </x:c>
      <x:c r="D301" s="10" t="str">
        <x:v>公会业绩</x:v>
      </x:c>
      <x:c r="E301" s="10" t="str">
        <x:v>功能需求</x:v>
      </x:c>
      <x:c r="F301" s="10" t="str">
        <x:v>P1</x:v>
      </x:c>
      <x:c r="G301" s="9" t="str">
        <x:v>验证月范围排除更早数据</x:v>
      </x:c>
      <x:c r="H301" s="9" t="str">
        <x:v>月统计范围</x:v>
      </x:c>
      <x:c r="I301" s="9" t="str">
        <x:v>1. 公会长账号可用，已选择待测公会
2. 近半年内2场、更早月份3场直播</x:v>
      </x:c>
      <x:c r="J301" s="9" t="str">
        <x:v>1. 打开公会业绩
2. 切换月数据
3. 选择近半年</x:v>
      </x:c>
      <x:c r="K301" s="9" t="str">
        <x:v>直播场次汇总仅包含近半年内的2场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规则：BR-6652b7909a8df625
3. 未动态验证</x:v>
      </x:c>
    </x:row>
    <x:row r="302" ht="100" customHeight="1">
      <x:c r="A302" s="10" t="n">
        <x:v>301</x:v>
      </x:c>
      <x:c r="B302" s="10" t="str">
        <x:v>GUILD-05-0038</x:v>
      </x:c>
      <x:c r="C302" s="10" t="str">
        <x:v>数据与收益</x:v>
      </x:c>
      <x:c r="D302" s="10" t="str">
        <x:v>公会业绩</x:v>
      </x:c>
      <x:c r="E302" s="10" t="str">
        <x:v>功能需求</x:v>
      </x:c>
      <x:c r="F302" s="10" t="str">
        <x:v>P1</x:v>
      </x:c>
      <x:c r="G302" s="9" t="str">
        <x:v>验证有效天跨人跨日累计</x:v>
      </x:c>
      <x:c r="H302" s="9" t="str">
        <x:v>有效天累计</x:v>
      </x:c>
      <x:c r="I302" s="9" t="str">
        <x:v>1. 公会长账号可用，已选择待测公会
2. 所选周期内主播一有2个满3小时有效天，主播二有1个，另一天不足3小时</x:v>
      </x:c>
      <x:c r="J302" s="9" t="str">
        <x:v>1. 打开公会业绩</x:v>
      </x:c>
      <x:c r="K302" s="9" t="str">
        <x:v>达成有效天显示3天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来源（当前证据）：liveshow-proto/MainBasis/统一需求文档.md；位置：第2435行、第2449行 REQ-a7fc2f515b8e、第2453行 REQ-c045b44e5312
2. 规则：BR-ede8d7cbb667549c
3. 未动态验证</x:v>
      </x:c>
    </x:row>
    <x:row r="303" ht="115" customHeight="1">
      <x:c r="A303" s="10" t="n">
        <x:v>302</x:v>
      </x:c>
      <x:c r="B303" s="10" t="str">
        <x:v>GUILD-05-0039</x:v>
      </x:c>
      <x:c r="C303" s="10" t="str">
        <x:v>数据与收益</x:v>
      </x:c>
      <x:c r="D303" s="10" t="str">
        <x:v>公会业绩</x:v>
      </x:c>
      <x:c r="E303" s="10" t="str">
        <x:v>逻辑校验</x:v>
      </x:c>
      <x:c r="F303" s="10" t="str">
        <x:v>P1</x:v>
      </x:c>
      <x:c r="G303" s="9" t="str">
        <x:v>验证公会收益统计成功真实礼物</x:v>
      </x:c>
      <x:c r="H303" s="9" t="str">
        <x:v>收益范围汇总</x:v>
      </x:c>
      <x:c r="I303" s="9" t="str">
        <x:v>1. 公会长账号可用，已选择待测公会
2. 所选日或月范围本会主播普通礼物100金币、定制200金币、幸运1000金币且赠送时比例1%；虚拟500金币、失败50金币、范围外300金币</x:v>
      </x:c>
      <x:c r="J303" s="9" t="str">
        <x:v>1. 打开公会业绩</x:v>
      </x:c>
      <x:c r="K303" s="9" t="str">
        <x:v>公会收益计算结果=100+200+10=310金币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来源（当前证据）：liveshow-proto/MainBasis/统一需求文档.md；位置：第2435行、第2442行 REQ-ccb51d7a71ad、第2444行 REQ-5f23a2ca2390、第2446行 REQ-b44be692034b、第2450行 REQ-99876c93fae7
2. 规则：BR-b8a95f6ed295c4d9
3. 未动态验证</x:v>
      </x:c>
    </x:row>
    <x:row r="304" ht="115" customHeight="1">
      <x:c r="A304" s="10" t="n">
        <x:v>303</x:v>
      </x:c>
      <x:c r="B304" s="10" t="str">
        <x:v>GUILD-05-0040</x:v>
      </x:c>
      <x:c r="C304" s="10" t="str">
        <x:v>数据与收益</x:v>
      </x:c>
      <x:c r="D304" s="10" t="str">
        <x:v>公会业绩</x:v>
      </x:c>
      <x:c r="E304" s="10" t="str">
        <x:v>功能需求</x:v>
      </x:c>
      <x:c r="F304" s="10" t="str">
        <x:v>P1</x:v>
      </x:c>
      <x:c r="G304" s="9" t="str">
        <x:v>验证创建场次按所选周期统计</x:v>
      </x:c>
      <x:c r="H304" s="9" t="str">
        <x:v>直播场次统计范围</x:v>
      </x:c>
      <x:c r="I304" s="9" t="str">
        <x:v>1. 公会长账号可用，已选择待测公会
2. 当前范围成功创建3场，其中1场尚在直播；另有范围外场次</x:v>
      </x:c>
      <x:c r="J304" s="9" t="str">
        <x:v>1. 打开公会业绩</x:v>
      </x:c>
      <x:c r="K304" s="9" t="str">
        <x:v>直播场次显示3场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来源（当前证据）：liveshow-proto/MainBasis/统一需求文档.md；位置：第2435行、第2440行 REQ-af64b1bbaea6、第2447行 REQ-6e67ed0c3023、第2451行 REQ-3f1eb3fc164d
2. 规则：BR-15b2e67eea385f90
3. 未动态验证</x:v>
      </x:c>
    </x:row>
    <x:row r="305" ht="100" customHeight="1">
      <x:c r="A305" s="10" t="n">
        <x:v>304</x:v>
      </x:c>
      <x:c r="B305" s="10" t="str">
        <x:v>GUILD-05-0041</x:v>
      </x:c>
      <x:c r="C305" s="10" t="str">
        <x:v>数据与收益</x:v>
      </x:c>
      <x:c r="D305" s="10" t="str">
        <x:v>公会业绩</x:v>
      </x:c>
      <x:c r="E305" s="10" t="str">
        <x:v>功能需求</x:v>
      </x:c>
      <x:c r="F305" s="10" t="str">
        <x:v>P1</x:v>
      </x:c>
      <x:c r="G305" s="9" t="str">
        <x:v>验证日月记录日期归属</x:v>
      </x:c>
      <x:c r="H305" s="9" t="str">
        <x:v>统计周期标识</x:v>
      </x:c>
      <x:c r="I305" s="9" t="str">
        <x:v>1. 公会长账号可用，已选择待测公会
2. 本公会存在跨自然月的两日数据</x:v>
      </x:c>
      <x:c r="J305" s="9" t="str">
        <x:v>1. 打开公会业绩
2. 切换月数据</x:v>
      </x:c>
      <x:c r="K305" s="9" t="str">
        <x:v>各行月份对应数据所属自然月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来源（当前证据）：liveshow-proto/MainBasis/统一需求文档.md；位置：第2435行、第2439行 REQ-1ff0ca58162f、第2443行 REQ-631cfc9ae98a
2. 规则：BR-7ada0e91ca408ecf
3. 未动态验证</x:v>
      </x:c>
    </x:row>
    <x:row r="306" ht="100" customHeight="1">
      <x:c r="A306" s="10" t="n">
        <x:v>305</x:v>
      </x:c>
      <x:c r="B306" s="10" t="str">
        <x:v>GUILD-05-0042</x:v>
      </x:c>
      <x:c r="C306" s="10" t="str">
        <x:v>数据与收益</x:v>
      </x:c>
      <x:c r="D306" s="10" t="str">
        <x:v>公会业绩</x:v>
      </x:c>
      <x:c r="E306" s="10" t="str">
        <x:v>功能需求</x:v>
      </x:c>
      <x:c r="F306" s="10" t="str">
        <x:v>P1</x:v>
      </x:c>
      <x:c r="G306" s="9" t="str">
        <x:v>验证月开播人数跨日去重</x:v>
      </x:c>
      <x:c r="H306" s="9" t="str">
        <x:v>月开播主体去重</x:v>
      </x:c>
      <x:c r="I306" s="9" t="str">
        <x:v>1. 公会长账号可用，已选择待测公会
2. 所选月主播一完成3场，主播二完成1场，其他主播没有完成直播</x:v>
      </x:c>
      <x:c r="J306" s="9" t="str">
        <x:v>1. 打开公会业绩
2. 切换月数据</x:v>
      </x:c>
      <x:c r="K306" s="9" t="str">
        <x:v>月开播人数显示2人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来源（当前证据）：liveshow-proto/MainBasis/统一需求文档.md；位置：第2435行、第2445行 REQ-4df17b6aa9fa、第2452行 REQ-c4d52f906bd9
2. 规则：BR-77c6a0ee3409eb8a
3. 未动态验证</x:v>
      </x:c>
    </x:row>
    <x:row r="307" ht="85" customHeight="1">
      <x:c r="A307" s="10" t="n">
        <x:v>306</x:v>
      </x:c>
      <x:c r="B307" s="10" t="str">
        <x:v>GUILD-05-0043</x:v>
      </x:c>
      <x:c r="C307" s="10" t="str">
        <x:v>数据与收益</x:v>
      </x:c>
      <x:c r="D307" s="10" t="str">
        <x:v>公会业绩</x:v>
      </x:c>
      <x:c r="E307" s="10" t="str">
        <x:v>功能需求</x:v>
      </x:c>
      <x:c r="F307" s="10" t="str">
        <x:v>P1</x:v>
      </x:c>
      <x:c r="G307" s="9" t="str">
        <x:v>验证当日累计179分钟达标判断</x:v>
      </x:c>
      <x:c r="H307" s="9" t="str">
        <x:v>当日达标人数边界</x:v>
      </x:c>
      <x:c r="I307" s="9" t="str">
        <x:v>1. 公会长账号可用，已选择待测公会
2. 本会仅一名主播，当日有效时长累计179分钟，无跨日或中断</x:v>
      </x:c>
      <x:c r="J307" s="9" t="str">
        <x:v>1. 打开公会业绩</x:v>
      </x:c>
      <x:c r="K307" s="9" t="str">
        <x:v>当日达标主播人数显示0人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来源（当前证据）：liveshow-proto/MainBasis/统一需求文档.md；位置：第2435行、第2441行 REQ-14ba7a1cd732
2. 规则：BR-dfdfee6868dcfca1
3. 未动态验证</x:v>
      </x:c>
    </x:row>
    <x:row r="308" ht="85" customHeight="1">
      <x:c r="A308" s="10" t="n">
        <x:v>307</x:v>
      </x:c>
      <x:c r="B308" s="10" t="str">
        <x:v>GUILD-05-0044</x:v>
      </x:c>
      <x:c r="C308" s="10" t="str">
        <x:v>数据与收益</x:v>
      </x:c>
      <x:c r="D308" s="10" t="str">
        <x:v>公会业绩</x:v>
      </x:c>
      <x:c r="E308" s="10" t="str">
        <x:v>功能需求</x:v>
      </x:c>
      <x:c r="F308" s="10" t="str">
        <x:v>P1</x:v>
      </x:c>
      <x:c r="G308" s="9" t="str">
        <x:v>验证当日累计180分钟达标判断</x:v>
      </x:c>
      <x:c r="H308" s="9" t="str">
        <x:v>当日达标人数边界</x:v>
      </x:c>
      <x:c r="I308" s="9" t="str">
        <x:v>1. 公会长账号可用，已选择待测公会
2. 本会仅一名主播，当日有效时长累计180分钟，无跨日或中断</x:v>
      </x:c>
      <x:c r="J308" s="9" t="str">
        <x:v>1. 打开公会业绩</x:v>
      </x:c>
      <x:c r="K308" s="9" t="str">
        <x:v>当日达标主播人数显示1人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来源（当前证据）：liveshow-proto/MainBasis/统一需求文档.md；位置：第2435行、第2441行 REQ-14ba7a1cd732
2. 规则：BR-a0ea650ee0e3b4e3
3. 未动态验证</x:v>
      </x:c>
    </x:row>
    <x:row r="309" ht="85" customHeight="1">
      <x:c r="A309" s="10" t="n">
        <x:v>308</x:v>
      </x:c>
      <x:c r="B309" s="10" t="str">
        <x:v>GUILD-05-0045</x:v>
      </x:c>
      <x:c r="C309" s="10" t="str">
        <x:v>数据与收益</x:v>
      </x:c>
      <x:c r="D309" s="10" t="str">
        <x:v>公会业绩</x:v>
      </x:c>
      <x:c r="E309" s="10" t="str">
        <x:v>功能需求</x:v>
      </x:c>
      <x:c r="F309" s="10" t="str">
        <x:v>P1</x:v>
      </x:c>
      <x:c r="G309" s="9" t="str">
        <x:v>验证当日累计181分钟达标判断</x:v>
      </x:c>
      <x:c r="H309" s="9" t="str">
        <x:v>当日达标人数边界</x:v>
      </x:c>
      <x:c r="I309" s="9" t="str">
        <x:v>1. 公会长账号可用，已选择待测公会
2. 本会仅一名主播，当日有效时长累计181分钟，无跨日或中断</x:v>
      </x:c>
      <x:c r="J309" s="9" t="str">
        <x:v>1. 打开公会业绩</x:v>
      </x:c>
      <x:c r="K309" s="9" t="str">
        <x:v>当日达标主播人数显示1人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来源（当前证据）：liveshow-proto/MainBasis/统一需求文档.md；位置：第2435行、第2441行 REQ-14ba7a1cd732
2. 规则：BR-03548a2b0607e8ef
3. 未动态验证</x:v>
      </x:c>
    </x:row>
    <x:row r="310" ht="115" customHeight="1">
      <x:c r="A310" s="10" t="n">
        <x:v>309</x:v>
      </x:c>
      <x:c r="B310" s="10" t="str">
        <x:v>GUILD-05-0046</x:v>
      </x:c>
      <x:c r="C310" s="10" t="str">
        <x:v>数据与收益</x:v>
      </x:c>
      <x:c r="D310" s="10" t="str">
        <x:v>直播场次详情</x:v>
      </x:c>
      <x:c r="E310" s="10" t="str">
        <x:v>功能需求</x:v>
      </x:c>
      <x:c r="F310" s="10" t="str">
        <x:v>P1</x:v>
      </x:c>
      <x:c r="G310" s="9" t="str">
        <x:v>验证直播场次详情读取场次定位信息</x:v>
      </x:c>
      <x:c r="H310" s="9" t="str">
        <x:v>场次定位信息字段来源</x:v>
      </x:c>
      <x:c r="I310" s="9" t="str">
        <x:v>1. 公会长账号可用，已选择待测公会
2. 同一主播有固定房间号和两个不同场次ID，已知所选场次信息</x:v>
      </x:c>
      <x:c r="J310" s="9" t="str">
        <x:v>1. 打开直播场次详情</x:v>
      </x:c>
      <x:c r="K310" s="9" t="str">
        <x:v>详情显示所选场次ID而不是固定房间号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来源（当前证据）：liveshow-proto/MainBasis/统一需求文档.md；位置：第2399行、第2400行 REQ-cee0274fdc6e、第2401行 REQ-931746f514f1、第2402行 REQ-eeff117f8090、第2403行 REQ-116762a0f46a
2. 规则：BR-3d836d9a261a0e81
3. 未动态验证</x:v>
      </x:c>
    </x:row>
    <x:row r="311" ht="115" customHeight="1">
      <x:c r="A311" s="10" t="n">
        <x:v>310</x:v>
      </x:c>
      <x:c r="B311" s="10" t="str">
        <x:v>GUILD-05-0047</x:v>
      </x:c>
      <x:c r="C311" s="10" t="str">
        <x:v>数据与收益</x:v>
      </x:c>
      <x:c r="D311" s="10" t="str">
        <x:v>直播场次详情</x:v>
      </x:c>
      <x:c r="E311" s="10" t="str">
        <x:v>功能需求</x:v>
      </x:c>
      <x:c r="F311" s="10" t="str">
        <x:v>P1</x:v>
      </x:c>
      <x:c r="G311" s="9" t="str">
        <x:v>验证场次中查看一笔赠礼</x:v>
      </x:c>
      <x:c r="H311" s="9" t="str">
        <x:v>单笔赠礼详情入口</x:v>
      </x:c>
      <x:c r="I311" s="9" t="str">
        <x:v>1. 公会长账号可用，已选择待测公会
2. 当前场次有两笔赠礼记录</x:v>
      </x:c>
      <x:c r="J311" s="9" t="str">
        <x:v>1. 打开直播场次详情
2. 点击其中一笔送礼记录</x:v>
      </x:c>
      <x:c r="K311" s="9" t="str">
        <x:v>送礼详情对应所选赠礼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来源（当前证据）：liveshow-proto/MainBasis/统一需求文档.md；位置：第2399行、第2404行 REQ-522c5292c024、第2405行 REQ-61bbf5f75bd1、第2419行 REQ-74649f6b30de
2. 规则：BR-93bcef8a87d67584
3. 未动态验证</x:v>
      </x:c>
    </x:row>
    <x:row r="312" ht="115" customHeight="1">
      <x:c r="A312" s="10" t="n">
        <x:v>311</x:v>
      </x:c>
      <x:c r="B312" s="10" t="str">
        <x:v>GUILD-05-0048</x:v>
      </x:c>
      <x:c r="C312" s="10" t="str">
        <x:v>数据与收益</x:v>
      </x:c>
      <x:c r="D312" s="10" t="str">
        <x:v>直播场次详情</x:v>
      </x:c>
      <x:c r="E312" s="10" t="str">
        <x:v>功能需求</x:v>
      </x:c>
      <x:c r="F312" s="10" t="str">
        <x:v>P1</x:v>
      </x:c>
      <x:c r="G312" s="9" t="str">
        <x:v>验证返回保留筛选</x:v>
      </x:c>
      <x:c r="H312" s="9" t="str">
        <x:v>场次返回条件保持</x:v>
      </x:c>
      <x:c r="I312" s="9" t="str">
        <x:v>1. 公会长账号可用，已选择待测公会
2. 从指定主播和非默认日期范围进入场次详情</x:v>
      </x:c>
      <x:c r="J312" s="9" t="str">
        <x:v>1. 打开直播场次详情
2. 返回直播记录</x:v>
      </x:c>
      <x:c r="K312" s="9" t="str">
        <x:v>主播和日期筛选保持进入详情前的值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来源（当前证据）：liveshow-proto/MainBasis/统一需求文档.md；位置：第2399行、第2404行 REQ-522c5292c024、第2405行 REQ-61bbf5f75bd1、第2419行 REQ-74649f6b30de
2. 规则：BR-b1ccfc56db1aa3c0
3. 未动态验证</x:v>
      </x:c>
    </x:row>
    <x:row r="313" ht="145" customHeight="1">
      <x:c r="A313" s="10" t="n">
        <x:v>312</x:v>
      </x:c>
      <x:c r="B313" s="10" t="str">
        <x:v>GUILD-05-0049</x:v>
      </x:c>
      <x:c r="C313" s="10" t="str">
        <x:v>数据与收益</x:v>
      </x:c>
      <x:c r="D313" s="10" t="str">
        <x:v>直播场次详情</x:v>
      </x:c>
      <x:c r="E313" s="10" t="str">
        <x:v>功能需求</x:v>
      </x:c>
      <x:c r="F313" s="10" t="str">
        <x:v>P1</x:v>
      </x:c>
      <x:c r="G313" s="9" t="str">
        <x:v>验证直播场次详情读取赠礼快照</x:v>
      </x:c>
      <x:c r="H313" s="9" t="str">
        <x:v>赠礼快照字段来源</x:v>
      </x:c>
      <x:c r="I313" s="9" t="str">
        <x:v>1. 公会长账号可用，已选择待测公会
2. 已知一笔成功礼物赠送的用户、礼物、单价、数量及时间</x:v>
      </x:c>
      <x:c r="J313" s="9" t="str">
        <x:v>1. 打开直播场次详情
2. 点击该笔送礼记录</x:v>
      </x:c>
      <x:c r="K313" s="9" t="str">
        <x:v>详情显示该笔赠礼快照且不新增用户等级字段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来源（当前证据）：liveshow-proto/MainBasis/统一需求文档.md；位置：第2399行、第2406行 REQ-ce17809e6029、第2407行 REQ-d9fa75022018、第2409行 REQ-0be76a1f4058、第2410行 REQ-056fee828da5、第2411行 REQ-fb723479307b、第2412行 REQ-fbb528057483
2. 规则：BR-bca5677db1cc534c
3. 未动态验证</x:v>
      </x:c>
    </x:row>
    <x:row r="314" ht="85" customHeight="1">
      <x:c r="A314" s="10" t="n">
        <x:v>313</x:v>
      </x:c>
      <x:c r="B314" s="10" t="str">
        <x:v>GUILD-05-0050</x:v>
      </x:c>
      <x:c r="C314" s="10" t="str">
        <x:v>数据与收益</x:v>
      </x:c>
      <x:c r="D314" s="10" t="str">
        <x:v>直播场次详情</x:v>
      </x:c>
      <x:c r="E314" s="10" t="str">
        <x:v>逻辑校验</x:v>
      </x:c>
      <x:c r="F314" s="10" t="str">
        <x:v>P1</x:v>
      </x:c>
      <x:c r="G314" s="9" t="str">
        <x:v>验证单笔赠礼金额计算</x:v>
      </x:c>
      <x:c r="H314" s="9" t="str">
        <x:v>真实赠礼消费金币</x:v>
      </x:c>
      <x:c r="I314" s="9" t="str">
        <x:v>1. 公会长账号可用，已选择待测公会
2. 目标成功赠礼单价50金币、数量3件</x:v>
      </x:c>
      <x:c r="J314" s="9" t="str">
        <x:v>1. 打开直播场次详情
2. 点击该笔送礼记录</x:v>
      </x:c>
      <x:c r="K314" s="9" t="str">
        <x:v>计算结果：消费金币=50×3=150金币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来源（当前证据）：liveshow-proto/MainBasis/统一需求文档.md；位置：第2399行、第2408行 REQ-2f94055c070c
2. 规则：BR-978506d13b4d3fb3
3. 未动态验证</x:v>
      </x:c>
    </x:row>
    <x:row r="315" ht="100" customHeight="1">
      <x:c r="A315" s="10" t="n">
        <x:v>314</x:v>
      </x:c>
      <x:c r="B315" s="10" t="str">
        <x:v>GUILD-05-0051</x:v>
      </x:c>
      <x:c r="C315" s="10" t="str">
        <x:v>数据与收益</x:v>
      </x:c>
      <x:c r="D315" s="10" t="str">
        <x:v>直播场次详情</x:v>
      </x:c>
      <x:c r="E315" s="10" t="str">
        <x:v>功能需求</x:v>
      </x:c>
      <x:c r="F315" s="10" t="str">
        <x:v>P1</x:v>
      </x:c>
      <x:c r="G315" s="9" t="str">
        <x:v>验证同一送礼观众去重</x:v>
      </x:c>
      <x:c r="H315" s="9" t="str">
        <x:v>送礼人数去重</x:v>
      </x:c>
      <x:c r="I315" s="9" t="str">
        <x:v>1. 公会长账号可用，已选择待测公会
2. 本场两名观众进入，其中一人成功赠礼3笔，另一人未赠礼</x:v>
      </x:c>
      <x:c r="J315" s="9" t="str">
        <x:v>1. 打开直播场次详情</x:v>
      </x:c>
      <x:c r="K315" s="9" t="str">
        <x:v>送礼观众显示1人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来源（当前证据）：liveshow-proto/MainBasis/统一需求文档.md；位置：第2399行、第2413行 REQ-8bae2a494638、第2414行 REQ-27630e55c9ee
2. 规则：BR-bd0a2c260a8f4a38
3. 未动态验证</x:v>
      </x:c>
    </x:row>
    <x:row r="316" ht="85" customHeight="1">
      <x:c r="A316" s="10" t="n">
        <x:v>315</x:v>
      </x:c>
      <x:c r="B316" s="10" t="str">
        <x:v>GUILD-05-0052</x:v>
      </x:c>
      <x:c r="C316" s="10" t="str">
        <x:v>数据与收益</x:v>
      </x:c>
      <x:c r="D316" s="10" t="str">
        <x:v>直播场次详情</x:v>
      </x:c>
      <x:c r="E316" s="10" t="str">
        <x:v>功能需求</x:v>
      </x:c>
      <x:c r="F316" s="10" t="str">
        <x:v>P1</x:v>
      </x:c>
      <x:c r="G316" s="9" t="str">
        <x:v>验证赠礼件数累计</x:v>
      </x:c>
      <x:c r="H316" s="9" t="str">
        <x:v>礼物数量汇总</x:v>
      </x:c>
      <x:c r="I316" s="9" t="str">
        <x:v>1. 公会长账号可用，已选择待测公会
2. 本场成功赠礼记录分别为2件和3件，失败赠礼4件</x:v>
      </x:c>
      <x:c r="J316" s="9" t="str">
        <x:v>1. 打开直播场次详情</x:v>
      </x:c>
      <x:c r="K316" s="9" t="str">
        <x:v>礼物数量显示5件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来源（当前证据）：liveshow-proto/MainBasis/统一需求文档.md；位置：第2399行、第2415行 REQ-77644e12086b
2. 规则：BR-28fc3b3f803b6d7f
3. 未动态验证</x:v>
      </x:c>
    </x:row>
    <x:row r="317" ht="115" customHeight="1">
      <x:c r="A317" s="10" t="n">
        <x:v>316</x:v>
      </x:c>
      <x:c r="B317" s="10" t="str">
        <x:v>GUILD-05-0053</x:v>
      </x:c>
      <x:c r="C317" s="10" t="str">
        <x:v>数据与收益</x:v>
      </x:c>
      <x:c r="D317" s="10" t="str">
        <x:v>直播场次详情</x:v>
      </x:c>
      <x:c r="E317" s="10" t="str">
        <x:v>逻辑校验</x:v>
      </x:c>
      <x:c r="F317" s="10" t="str">
        <x:v>P1</x:v>
      </x:c>
      <x:c r="G317" s="9" t="str">
        <x:v>验证场次礼物收益</x:v>
      </x:c>
      <x:c r="H317" s="9" t="str">
        <x:v>幸运收益与返奖隔离</x:v>
      </x:c>
      <x:c r="I317" s="9" t="str">
        <x:v>1. 公会长账号可用，已选择待测公会
2. 当前场次成功普通礼物100金币、定制200金币、幸运1000金币且比例1%、返奖500金币，另有运营虚拟赠礼300金币</x:v>
      </x:c>
      <x:c r="J317" s="9" t="str">
        <x:v>1. 打开直播场次详情</x:v>
      </x:c>
      <x:c r="K317" s="9" t="str">
        <x:v>计算结果：礼物收益=100+200+1000×1%=310金币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来源（当前证据）：liveshow-proto/MainBasis/统一需求文档.md；位置：第2399行、第2416行 REQ-5e39153fcfa6、第2417行 REQ-8526bb52368c、第2418行 REQ-916c296c5395
2. 规则：BR-473b8e04b577b8a3
3. 未动态验证</x:v>
      </x:c>
    </x:row>
    <x:row r="318" ht="115" customHeight="1">
      <x:c r="A318" s="10" t="n">
        <x:v>317</x:v>
      </x:c>
      <x:c r="B318" s="10" t="str">
        <x:v>GUILD-05-0054</x:v>
      </x:c>
      <x:c r="C318" s="10" t="str">
        <x:v>数据与收益</x:v>
      </x:c>
      <x:c r="D318" s="10" t="str">
        <x:v>公会分成记录</x:v>
      </x:c>
      <x:c r="E318" s="10" t="str">
        <x:v>功能需求</x:v>
      </x:c>
      <x:c r="F318" s="10" t="str">
        <x:v>P1</x:v>
      </x:c>
      <x:c r="G318" s="9" t="str">
        <x:v>验证查看财务上传公会分成</x:v>
      </x:c>
      <x:c r="H318" s="9" t="str">
        <x:v>线下结果展示</x:v>
      </x:c>
      <x:c r="I318" s="9" t="str">
        <x:v>1. 公会长账号可用，已选择待测公会
2. 财务已上传本公会分成结果，金额为100.50USD</x:v>
      </x:c>
      <x:c r="J318" s="9" t="str">
        <x:v>1. 打开公会分成记录
2. 刷新分成记录</x:v>
      </x:c>
      <x:c r="K318" s="9" t="str">
        <x:v>所选分成记录显示100.50USD对应的本地化金额</x:v>
      </x:c>
      <x:c r="L318" s="10" t="str">
        <x:v>FLOW-FINANCE-GUILD</x:v>
      </x:c>
      <x:c r="M318" s="10" t="str">
        <x:v>未测</x:v>
      </x:c>
      <x:c r="N318" s="10" t="str"/>
      <x:c r="O318" s="9" t="str">
        <x:v>1. 来源（当前证据）：liveshow-proto/MainBasis/统一需求文档.md；位置：第2484行、第2485行 REQ-97eddfd7336d、第2486行 REQ-290d0c4a70a5、第2487行 REQ-ab7fad33ca13、第2488行 REQ-26b0cd31708d
2. 规则：BR-6a68ac999eb57f50
3. 未动态验证</x:v>
      </x:c>
    </x:row>
    <x:row r="319" ht="115" customHeight="1">
      <x:c r="A319" s="10" t="n">
        <x:v>318</x:v>
      </x:c>
      <x:c r="B319" s="10" t="str">
        <x:v>GUILD-05-0055</x:v>
      </x:c>
      <x:c r="C319" s="10" t="str">
        <x:v>数据与收益</x:v>
      </x:c>
      <x:c r="D319" s="10" t="str">
        <x:v>公会分成记录</x:v>
      </x:c>
      <x:c r="E319" s="10" t="str">
        <x:v>功能需求</x:v>
      </x:c>
      <x:c r="F319" s="10" t="str">
        <x:v>P1</x:v>
      </x:c>
      <x:c r="G319" s="9" t="str">
        <x:v>验证负数分成修正</x:v>
      </x:c>
      <x:c r="H319" s="9" t="str">
        <x:v>负向修正金额</x:v>
      </x:c>
      <x:c r="I319" s="9" t="str">
        <x:v>1. 公会长账号可用，已选择待测公会
2. 已有一笔-20.50USD的分成修正记录</x:v>
      </x:c>
      <x:c r="J319" s="9" t="str">
        <x:v>1. 打开公会分成记录</x:v>
      </x:c>
      <x:c r="K319" s="9" t="str">
        <x:v>分成金额保留负号及两位小数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来源（当前证据）：liveshow-proto/MainBasis/统一需求文档.md；位置：第2484行、第2485行 REQ-97eddfd7336d、第2486行 REQ-290d0c4a70a5、第2487行 REQ-ab7fad33ca13、第2488行 REQ-26b0cd31708d
2. 规则：BR-d740e8bc9b5502be
3. 未动态验证</x:v>
      </x:c>
    </x:row>
    <x:row r="320" ht="115" customHeight="1">
      <x:c r="A320" s="10" t="n">
        <x:v>319</x:v>
      </x:c>
      <x:c r="B320" s="10" t="str">
        <x:v>GUILD-05-0056</x:v>
      </x:c>
      <x:c r="C320" s="10" t="str">
        <x:v>数据与收益</x:v>
      </x:c>
      <x:c r="D320" s="10" t="str">
        <x:v>公会分成记录</x:v>
      </x:c>
      <x:c r="E320" s="10" t="str">
        <x:v>功能需求</x:v>
      </x:c>
      <x:c r="F320" s="10" t="str">
        <x:v>P1</x:v>
      </x:c>
      <x:c r="G320" s="9" t="str">
        <x:v>验证分成按入账时间排序</x:v>
      </x:c>
      <x:c r="H320" s="9" t="str">
        <x:v>分成入账倒序</x:v>
      </x:c>
      <x:c r="I320" s="9" t="str">
        <x:v>1. 公会长账号可用，已选择待测公会
2. 两笔记录收益所属周期与分成入账先后顺序相反</x:v>
      </x:c>
      <x:c r="J320" s="9" t="str">
        <x:v>1. 打开公会分成记录</x:v>
      </x:c>
      <x:c r="K320" s="9" t="str">
        <x:v>记录按分成入账时间倒序而非收益周期排序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来源（当前证据）：liveshow-proto/MainBasis/统一需求文档.md；位置：第2484行、第2485行 REQ-97eddfd7336d、第2486行 REQ-290d0c4a70a5、第2487行 REQ-ab7fad33ca13、第2488行 REQ-26b0cd31708d
2. 规则：BR-49a196662869c821
3. 未动态验证</x:v>
      </x:c>
    </x:row>
    <x:row r="321" ht="115" customHeight="1">
      <x:c r="A321" s="10" t="n">
        <x:v>320</x:v>
      </x:c>
      <x:c r="B321" s="10" t="str">
        <x:v>GUILD-05-0057</x:v>
      </x:c>
      <x:c r="C321" s="10" t="str">
        <x:v>数据与收益</x:v>
      </x:c>
      <x:c r="D321" s="10" t="str">
        <x:v>公会分成记录</x:v>
      </x:c>
      <x:c r="E321" s="10" t="str">
        <x:v>功能需求</x:v>
      </x:c>
      <x:c r="F321" s="10" t="str">
        <x:v>P1</x:v>
      </x:c>
      <x:c r="G321" s="9" t="str">
        <x:v>验证分成结果只读</x:v>
      </x:c>
      <x:c r="H321" s="9" t="str">
        <x:v>线上结算入口边界</x:v>
      </x:c>
      <x:c r="I321" s="9" t="str">
        <x:v>1. 公会长账号可用，已选择待测公会
2. 财务已上传分成记录</x:v>
      </x:c>
      <x:c r="J321" s="9" t="str">
        <x:v>1. 打开公会分成记录</x:v>
      </x:c>
      <x:c r="K321" s="9" t="str">
        <x:v>页面不提供线上计算或审批最终分成操作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来源（当前证据）：liveshow-proto/MainBasis/统一需求文档.md；位置：第2484行、第2485行 REQ-97eddfd7336d、第2486行 REQ-290d0c4a70a5、第2487行 REQ-ab7fad33ca13、第2488行 REQ-26b0cd31708d
2. 规则：BR-fa28c981712e4693
3. 未动态验证</x:v>
      </x:c>
    </x:row>
    <x:row r="322" ht="85" customHeight="1">
      <x:c r="A322" s="10" t="n">
        <x:v>321</x:v>
      </x:c>
      <x:c r="B322" s="10" t="str">
        <x:v>GUILD-05-0058</x:v>
      </x:c>
      <x:c r="C322" s="10" t="str">
        <x:v>数据与收益</x:v>
      </x:c>
      <x:c r="D322" s="10" t="str">
        <x:v>公会分成记录</x:v>
      </x:c>
      <x:c r="E322" s="10" t="str">
        <x:v>功能需求</x:v>
      </x:c>
      <x:c r="F322" s="10" t="str">
        <x:v>P1</x:v>
      </x:c>
      <x:c r="G322" s="9" t="str">
        <x:v>验证公会分成隔离</x:v>
      </x:c>
      <x:c r="H322" s="9" t="str">
        <x:v>公会分成数据范围</x:v>
      </x:c>
      <x:c r="I322" s="9" t="str">
        <x:v>1. 公会长账号可用，已选择待测公会
2. 平台已上传当前公会及另一个公会各1笔分成</x:v>
      </x:c>
      <x:c r="J322" s="9" t="str">
        <x:v>1. 打开公会分成记录</x:v>
      </x:c>
      <x:c r="K322" s="9" t="str">
        <x:v>列表仅显示当前公会分成结果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来源（当前证据）：liveshow-proto/MainBasis/统一需求文档.md；位置：第2484行、第2487行 REQ-ab7fad33ca13
2. 规则：BR-1ae65096ea9dffd4
3. 未动态验证</x:v>
      </x:c>
    </x:row>
    <x:row r="323" ht="85" customHeight="1">
      <x:c r="A323" s="10" t="n">
        <x:v>322</x:v>
      </x:c>
      <x:c r="B323" s="10" t="str">
        <x:v>GUILD-05-0059</x:v>
      </x:c>
      <x:c r="C323" s="10" t="str">
        <x:v>数据与收益</x:v>
      </x:c>
      <x:c r="D323" s="10" t="str">
        <x:v>公会分成记录</x:v>
      </x:c>
      <x:c r="E323" s="10" t="str">
        <x:v>功能需求</x:v>
      </x:c>
      <x:c r="F323" s="10" t="str">
        <x:v>P1</x:v>
      </x:c>
      <x:c r="G323" s="9" t="str">
        <x:v>验证公会分成无日期筛选</x:v>
      </x:c>
      <x:c r="H323" s="9" t="str">
        <x:v>公会分成筛选边界</x:v>
      </x:c>
      <x:c r="I323" s="9" t="str">
        <x:v>1. 公会长账号可用，已选择待测公会
2. 当前公会有分成记录</x:v>
      </x:c>
      <x:c r="J323" s="9" t="str">
        <x:v>1. 打开公会分成记录</x:v>
      </x:c>
      <x:c r="K323" s="9" t="str">
        <x:v>页面不提供日期筛选控件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来源（当前证据）：liveshow-proto/MainBasis/统一需求文档.md；位置：第2484行、第2487行 REQ-ab7fad33ca13
2. 规则：BR-eed988cc6721e3db
3. 未动态验证</x:v>
      </x:c>
    </x:row>
    <x:row r="324" ht="115" customHeight="1">
      <x:c r="A324" s="10" t="n">
        <x:v>323</x:v>
      </x:c>
      <x:c r="B324" s="10" t="str">
        <x:v>GUILD-05-0060</x:v>
      </x:c>
      <x:c r="C324" s="10" t="str">
        <x:v>数据与收益</x:v>
      </x:c>
      <x:c r="D324" s="10" t="str">
        <x:v>主播分成记录</x:v>
      </x:c>
      <x:c r="E324" s="10" t="str">
        <x:v>功能需求</x:v>
      </x:c>
      <x:c r="F324" s="10" t="str">
        <x:v>P1</x:v>
      </x:c>
      <x:c r="G324" s="9" t="str">
        <x:v>验证首次打开的日期范围</x:v>
      </x:c>
      <x:c r="H324" s="9" t="str">
        <x:v>默认日期范围</x:v>
      </x:c>
      <x:c r="I324" s="9" t="str">
        <x:v>1. 公会长账号可用，已选择待测公会
2. 存在默认范围内与范围外记录</x:v>
      </x:c>
      <x:c r="J324" s="9" t="str">
        <x:v>1. 打开主播分成记录</x:v>
      </x:c>
      <x:c r="K324" s="9" t="str">
        <x:v>日期条件默认选择本月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来源（当前证据）：liveshow-proto/MainBasis/统一需求文档.md；位置：第2473行、第2475行 REQ-226cf54bb205、第2476行 REQ-40165a196f29、第2474行 REQ-955b8a81aa0e
2. 规则：BR-5d35762e249f76ca
3. 未动态验证</x:v>
      </x:c>
    </x:row>
    <x:row r="325" ht="115" customHeight="1">
      <x:c r="A325" s="10" t="n">
        <x:v>324</x:v>
      </x:c>
      <x:c r="B325" s="10" t="str">
        <x:v>GUILD-05-0061</x:v>
      </x:c>
      <x:c r="C325" s="10" t="str">
        <x:v>数据与收益</x:v>
      </x:c>
      <x:c r="D325" s="10" t="str">
        <x:v>主播分成记录</x:v>
      </x:c>
      <x:c r="E325" s="10" t="str">
        <x:v>功能需求</x:v>
      </x:c>
      <x:c r="F325" s="10" t="str">
        <x:v>P1</x:v>
      </x:c>
      <x:c r="G325" s="9" t="str">
        <x:v>验证自定义日期包含起止日</x:v>
      </x:c>
      <x:c r="H325" s="9" t="str">
        <x:v>日期首尾包含</x:v>
      </x:c>
      <x:c r="I325" s="9" t="str">
        <x:v>1. 公会长账号可用，已选择待测公会
2. 同一当前公会业务对象有开始日、结束日、结束日次日各一条记录</x:v>
      </x:c>
      <x:c r="J325" s="9" t="str">
        <x:v>1. 打开主播分成记录
2. 选择自定义日期为开始日至结束日</x:v>
      </x:c>
      <x:c r="K325" s="9" t="str">
        <x:v>列表仅包含开始日和结束日的2条记录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来源（当前证据）：liveshow-proto/MainBasis/统一需求文档.md；位置：第2473行、第2475行 REQ-226cf54bb205、第2476行 REQ-40165a196f29、第2474行 REQ-955b8a81aa0e
2. 规则：BR-eeb135a37007f882
3. 未动态验证</x:v>
      </x:c>
    </x:row>
    <x:row r="326" ht="130" customHeight="1">
      <x:c r="A326" s="10" t="n">
        <x:v>325</x:v>
      </x:c>
      <x:c r="B326" s="10" t="str">
        <x:v>GUILD-05-0062</x:v>
      </x:c>
      <x:c r="C326" s="10" t="str">
        <x:v>数据与收益</x:v>
      </x:c>
      <x:c r="D326" s="10" t="str">
        <x:v>主播分成记录</x:v>
      </x:c>
      <x:c r="E326" s="10" t="str">
        <x:v>功能需求</x:v>
      </x:c>
      <x:c r="F326" s="10" t="str">
        <x:v>P1</x:v>
      </x:c>
      <x:c r="G326" s="9" t="str">
        <x:v>验证查看财务上传主播分成</x:v>
      </x:c>
      <x:c r="H326" s="9" t="str">
        <x:v>线下结果展示</x:v>
      </x:c>
      <x:c r="I326" s="9" t="str">
        <x:v>1. 公会长账号可用，已选择待测公会
2. 财务已上传本主播分成结果，金额为100.50USD</x:v>
      </x:c>
      <x:c r="J326" s="9" t="str">
        <x:v>1. 打开主播分成记录
2. 刷新分成记录</x:v>
      </x:c>
      <x:c r="K326" s="9" t="str">
        <x:v>所选分成记录显示100.50USD对应的本地化金额</x:v>
      </x:c>
      <x:c r="L326" s="10" t="str">
        <x:v>FLOW-FINANCE-HOST</x:v>
      </x:c>
      <x:c r="M326" s="10" t="str">
        <x:v>未测</x:v>
      </x:c>
      <x:c r="N326" s="10" t="str"/>
      <x:c r="O326" s="9" t="str">
        <x:v>1. 来源（当前证据）：liveshow-proto/MainBasis/统一需求文档.md；位置：第2473行、第2477行 REQ-a4961bd70b3f、第2478行 REQ-7363006e887b、第2479行 REQ-d5475168b9b4、第2480行 REQ-a00c25f0c736、第2481行 REQ-50ee1a396c02
2. 规则：BR-b59b118825efc97d
3. 未动态验证</x:v>
      </x:c>
    </x:row>
    <x:row r="327" ht="130" customHeight="1">
      <x:c r="A327" s="10" t="n">
        <x:v>326</x:v>
      </x:c>
      <x:c r="B327" s="10" t="str">
        <x:v>GUILD-05-0063</x:v>
      </x:c>
      <x:c r="C327" s="10" t="str">
        <x:v>数据与收益</x:v>
      </x:c>
      <x:c r="D327" s="10" t="str">
        <x:v>主播分成记录</x:v>
      </x:c>
      <x:c r="E327" s="10" t="str">
        <x:v>功能需求</x:v>
      </x:c>
      <x:c r="F327" s="10" t="str">
        <x:v>P1</x:v>
      </x:c>
      <x:c r="G327" s="9" t="str">
        <x:v>验证负数分成修正</x:v>
      </x:c>
      <x:c r="H327" s="9" t="str">
        <x:v>负向修正金额</x:v>
      </x:c>
      <x:c r="I327" s="9" t="str">
        <x:v>1. 公会长账号可用，已选择待测公会
2. 已有一笔-20.50USD的分成修正记录</x:v>
      </x:c>
      <x:c r="J327" s="9" t="str">
        <x:v>1. 打开主播分成记录</x:v>
      </x:c>
      <x:c r="K327" s="9" t="str">
        <x:v>分成金额保留负号及两位小数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来源（当前证据）：liveshow-proto/MainBasis/统一需求文档.md；位置：第2473行、第2477行 REQ-a4961bd70b3f、第2478行 REQ-7363006e887b、第2479行 REQ-d5475168b9b4、第2480行 REQ-a00c25f0c736、第2481行 REQ-50ee1a396c02
2. 规则：BR-9717a7cfad983217
3. 未动态验证</x:v>
      </x:c>
    </x:row>
    <x:row r="328" ht="130" customHeight="1">
      <x:c r="A328" s="10" t="n">
        <x:v>327</x:v>
      </x:c>
      <x:c r="B328" s="10" t="str">
        <x:v>GUILD-05-0064</x:v>
      </x:c>
      <x:c r="C328" s="10" t="str">
        <x:v>数据与收益</x:v>
      </x:c>
      <x:c r="D328" s="10" t="str">
        <x:v>主播分成记录</x:v>
      </x:c>
      <x:c r="E328" s="10" t="str">
        <x:v>功能需求</x:v>
      </x:c>
      <x:c r="F328" s="10" t="str">
        <x:v>P1</x:v>
      </x:c>
      <x:c r="G328" s="9" t="str">
        <x:v>验证分成按入账时间排序</x:v>
      </x:c>
      <x:c r="H328" s="9" t="str">
        <x:v>分成入账倒序</x:v>
      </x:c>
      <x:c r="I328" s="9" t="str">
        <x:v>1. 公会长账号可用，已选择待测公会
2. 两笔记录收益所属周期与分成入账先后顺序相反</x:v>
      </x:c>
      <x:c r="J328" s="9" t="str">
        <x:v>1. 打开主播分成记录</x:v>
      </x:c>
      <x:c r="K328" s="9" t="str">
        <x:v>记录按分成入账时间倒序而非收益周期排序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来源（当前证据）：liveshow-proto/MainBasis/统一需求文档.md；位置：第2473行、第2477行 REQ-a4961bd70b3f、第2478行 REQ-7363006e887b、第2479行 REQ-d5475168b9b4、第2480行 REQ-a00c25f0c736、第2481行 REQ-50ee1a396c02
2. 规则：BR-53557cfdbbe45bb8
3. 未动态验证</x:v>
      </x:c>
    </x:row>
    <x:row r="329" ht="130" customHeight="1">
      <x:c r="A329" s="10" t="n">
        <x:v>328</x:v>
      </x:c>
      <x:c r="B329" s="10" t="str">
        <x:v>GUILD-05-0065</x:v>
      </x:c>
      <x:c r="C329" s="10" t="str">
        <x:v>数据与收益</x:v>
      </x:c>
      <x:c r="D329" s="10" t="str">
        <x:v>主播分成记录</x:v>
      </x:c>
      <x:c r="E329" s="10" t="str">
        <x:v>功能需求</x:v>
      </x:c>
      <x:c r="F329" s="10" t="str">
        <x:v>P1</x:v>
      </x:c>
      <x:c r="G329" s="9" t="str">
        <x:v>验证分成结果只读</x:v>
      </x:c>
      <x:c r="H329" s="9" t="str">
        <x:v>线上结算入口边界</x:v>
      </x:c>
      <x:c r="I329" s="9" t="str">
        <x:v>1. 公会长账号可用，已选择待测公会
2. 财务已上传分成记录</x:v>
      </x:c>
      <x:c r="J329" s="9" t="str">
        <x:v>1. 打开主播分成记录</x:v>
      </x:c>
      <x:c r="K329" s="9" t="str">
        <x:v>页面不提供线上计算或审批最终分成操作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来源（当前证据）：liveshow-proto/MainBasis/统一需求文档.md；位置：第2473行、第2477行 REQ-a4961bd70b3f、第2478行 REQ-7363006e887b、第2479行 REQ-d5475168b9b4、第2480行 REQ-a00c25f0c736、第2481行 REQ-50ee1a396c02
2. 规则：BR-f8435abd4c40c17b
3. 未动态验证</x:v>
      </x:c>
    </x:row>
    <x:row r="330" ht="100" customHeight="1">
      <x:c r="A330" s="10" t="n">
        <x:v>329</x:v>
      </x:c>
      <x:c r="B330" s="10" t="str">
        <x:v>GUILD-05-0066</x:v>
      </x:c>
      <x:c r="C330" s="10" t="str">
        <x:v>数据与收益</x:v>
      </x:c>
      <x:c r="D330" s="10" t="str">
        <x:v>主播分成记录</x:v>
      </x:c>
      <x:c r="E330" s="10" t="str">
        <x:v>功能需求</x:v>
      </x:c>
      <x:c r="F330" s="10" t="str">
        <x:v>P1</x:v>
      </x:c>
      <x:c r="G330" s="9" t="str">
        <x:v>验证跨月分成入账筛选</x:v>
      </x:c>
      <x:c r="H330" s="9" t="str">
        <x:v>分成时间筛选口径</x:v>
      </x:c>
      <x:c r="I330" s="9" t="str">
        <x:v>1. 公会长账号可用，已选择待测公会
2. 收益属于8月，财务分成在9月1日入账</x:v>
      </x:c>
      <x:c r="J330" s="9" t="str">
        <x:v>1. 打开主播分成记录
2. 选择9月日期范围</x:v>
      </x:c>
      <x:c r="K330" s="9" t="str">
        <x:v>该笔分成包含在9月筛选结果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来源（当前证据）：liveshow-proto/MainBasis/统一需求文档.md；位置：第2473行、第2476行 REQ-40165a196f29、第2481行 REQ-50ee1a396c02
2. 规则：BR-06f39ebe08064761
3. 未动态验证</x:v>
      </x:c>
    </x:row>
    <x:row r="331" ht="115" customHeight="1">
      <x:c r="A331" s="10" t="n">
        <x:v>330</x:v>
      </x:c>
      <x:c r="B331" s="10" t="str">
        <x:v>GUILD-05-0067</x:v>
      </x:c>
      <x:c r="C331" s="10" t="str">
        <x:v>数据与收益</x:v>
      </x:c>
      <x:c r="D331" s="10" t="str">
        <x:v>选择主播（数据报表主播筛选）</x:v>
      </x:c>
      <x:c r="E331" s="10" t="str">
        <x:v>功能需求</x:v>
      </x:c>
      <x:c r="F331" s="10" t="str">
        <x:v>P1</x:v>
      </x:c>
      <x:c r="G331" s="9" t="str">
        <x:v>验证选择多个主播</x:v>
      </x:c>
      <x:c r="H331" s="9" t="str">
        <x:v>多选对象回填</x:v>
      </x:c>
      <x:c r="I331" s="9" t="str">
        <x:v>1. 公会长账号可用，已选择待测公会
2. 当前公会有3个可选主播</x:v>
      </x:c>
      <x:c r="J331" s="9" t="str">
        <x:v>1. 打开数据报表主播筛选中的选择主播
2. 选择其中2个主播
3. 点击完成</x:v>
      </x:c>
      <x:c r="K331" s="9" t="str">
        <x:v>来源页回填这2个已选主播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来源（当前证据）：liveshow-proto/MainBasis/统一需求文档.md；位置：第2491行、第2492行 REQ-255a51e425fe、第2495行 REQ-2ab5ed661332、第2496行 REQ-fb9bcb201c95、第2497行 REQ-809ef5b87a67
2. 规则：BR-7175d499045b9a9f
3. 未动态验证</x:v>
      </x:c>
    </x:row>
    <x:row r="332" ht="115" customHeight="1">
      <x:c r="A332" s="10" t="n">
        <x:v>331</x:v>
      </x:c>
      <x:c r="B332" s="10" t="str">
        <x:v>GUILD-05-0068</x:v>
      </x:c>
      <x:c r="C332" s="10" t="str">
        <x:v>数据与收益</x:v>
      </x:c>
      <x:c r="D332" s="10" t="str">
        <x:v>选择主播（数据报表主播筛选）</x:v>
      </x:c>
      <x:c r="E332" s="10" t="str">
        <x:v>功能需求</x:v>
      </x:c>
      <x:c r="F332" s="10" t="str">
        <x:v>P1</x:v>
      </x:c>
      <x:c r="G332" s="9" t="str">
        <x:v>验证全选全部主播</x:v>
      </x:c>
      <x:c r="H332" s="9" t="str">
        <x:v>全选作用范围</x:v>
      </x:c>
      <x:c r="I332" s="9" t="str">
        <x:v>1. 公会长账号可用，已选择待测公会
2. 当前公会有3个可选主播</x:v>
      </x:c>
      <x:c r="J332" s="9" t="str">
        <x:v>1. 打开数据报表主播筛选中的选择主播
2. 点击全选</x:v>
      </x:c>
      <x:c r="K332" s="9" t="str">
        <x:v>3个主播均显示选中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来源（当前证据）：liveshow-proto/MainBasis/统一需求文档.md；位置：第2491行、第2492行 REQ-255a51e425fe、第2495行 REQ-2ab5ed661332、第2496行 REQ-fb9bcb201c95、第2497行 REQ-809ef5b87a67
2. 规则：BR-827ca6052df4a661
3. 未动态验证</x:v>
      </x:c>
    </x:row>
    <x:row r="333" ht="115" customHeight="1">
      <x:c r="A333" s="10" t="n">
        <x:v>332</x:v>
      </x:c>
      <x:c r="B333" s="10" t="str">
        <x:v>GUILD-05-0069</x:v>
      </x:c>
      <x:c r="C333" s="10" t="str">
        <x:v>数据与收益</x:v>
      </x:c>
      <x:c r="D333" s="10" t="str">
        <x:v>选择主播（数据报表主播筛选）</x:v>
      </x:c>
      <x:c r="E333" s="10" t="str">
        <x:v>功能需求</x:v>
      </x:c>
      <x:c r="F333" s="10" t="str">
        <x:v>P1</x:v>
      </x:c>
      <x:c r="G333" s="9" t="str">
        <x:v>验证取消全选主播</x:v>
      </x:c>
      <x:c r="H333" s="9" t="str">
        <x:v>选择清空</x:v>
      </x:c>
      <x:c r="I333" s="9" t="str">
        <x:v>1. 公会长账号可用，已选择待测公会
2. 全部主播已选中</x:v>
      </x:c>
      <x:c r="J333" s="9" t="str">
        <x:v>1. 打开数据报表主播筛选中的选择主播
2. 点击取消全选</x:v>
      </x:c>
      <x:c r="K333" s="9" t="str">
        <x:v>已选数量显示0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来源（当前证据）：liveshow-proto/MainBasis/统一需求文档.md；位置：第2491行、第2492行 REQ-255a51e425fe、第2495行 REQ-2ab5ed661332、第2496行 REQ-fb9bcb201c95、第2497行 REQ-809ef5b87a67
2. 规则：BR-3aba6ff7c3600ce3
3. 未动态验证</x:v>
      </x:c>
    </x:row>
    <x:row r="334" ht="115" customHeight="1">
      <x:c r="A334" s="10" t="n">
        <x:v>333</x:v>
      </x:c>
      <x:c r="B334" s="10" t="str">
        <x:v>GUILD-05-0070</x:v>
      </x:c>
      <x:c r="C334" s="10" t="str">
        <x:v>数据与收益</x:v>
      </x:c>
      <x:c r="D334" s="10" t="str">
        <x:v>选择主播（数据报表主播筛选）</x:v>
      </x:c>
      <x:c r="E334" s="10" t="str">
        <x:v>功能需求</x:v>
      </x:c>
      <x:c r="F334" s="10" t="str">
        <x:v>P1</x:v>
      </x:c>
      <x:c r="G334" s="9" t="str">
        <x:v>验证保留来源日期</x:v>
      </x:c>
      <x:c r="H334" s="9" t="str">
        <x:v>返回日期保持</x:v>
      </x:c>
      <x:c r="I334" s="9" t="str">
        <x:v>1. 公会长账号可用，已选择待测公会
2. 来源页已指定非默认日期范围</x:v>
      </x:c>
      <x:c r="J334" s="9" t="str">
        <x:v>1. 打开数据报表主播筛选中的选择主播
2. 选择一个主播
3. 点击完成</x:v>
      </x:c>
      <x:c r="K334" s="9" t="str">
        <x:v>来源页保持原日期范围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来源（当前证据）：liveshow-proto/MainBasis/统一需求文档.md；位置：第2491行、第2492行 REQ-255a51e425fe、第2495行 REQ-2ab5ed661332、第2496行 REQ-fb9bcb201c95、第2497行 REQ-809ef5b87a67
2. 规则：BR-bde7e653a63ec540
3. 未动态验证</x:v>
      </x:c>
    </x:row>
    <x:row r="335" ht="115" customHeight="1">
      <x:c r="A335" s="10" t="n">
        <x:v>334</x:v>
      </x:c>
      <x:c r="B335" s="10" t="str">
        <x:v>GUILD-05-0071</x:v>
      </x:c>
      <x:c r="C335" s="10" t="str">
        <x:v>数据与收益</x:v>
      </x:c>
      <x:c r="D335" s="10" t="str">
        <x:v>选择主播（数据报表主播筛选）</x:v>
      </x:c>
      <x:c r="E335" s="10" t="str">
        <x:v>功能需求</x:v>
      </x:c>
      <x:c r="F335" s="10" t="str">
        <x:v>P1</x:v>
      </x:c>
      <x:c r="G335" s="9" t="str">
        <x:v>验证搜索不重算已选数</x:v>
      </x:c>
      <x:c r="H335" s="9" t="str">
        <x:v>搜索数量与选择数量</x:v>
      </x:c>
      <x:c r="I335" s="9" t="str">
        <x:v>1. 公会长账号可用，已选择待测公会
2. 已选2个主播，搜索词只匹配其中1个</x:v>
      </x:c>
      <x:c r="J335" s="9" t="str">
        <x:v>1. 打开数据报表主播筛选中的选择主播
2. 输入搜索关键词</x:v>
      </x:c>
      <x:c r="K335" s="9" t="str">
        <x:v>搜索结果数为1，已选数量仍为2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来源（当前证据）：liveshow-proto/MainBasis/统一需求文档.md；位置：第2491行、第2492行 REQ-255a51e425fe、第2495行 REQ-2ab5ed661332、第2496行 REQ-fb9bcb201c95、第2497行 REQ-809ef5b87a67
2. 规则：BR-25a1ab0c3fa958d4
3. 未动态验证</x:v>
      </x:c>
    </x:row>
    <x:row r="336" ht="100" customHeight="1">
      <x:c r="A336" s="10" t="n">
        <x:v>335</x:v>
      </x:c>
      <x:c r="B336" s="10" t="str">
        <x:v>GUILD-05-0072</x:v>
      </x:c>
      <x:c r="C336" s="10" t="str">
        <x:v>数据与收益</x:v>
      </x:c>
      <x:c r="D336" s="10" t="str">
        <x:v>选择主播（数据报表主播筛选）</x:v>
      </x:c>
      <x:c r="E336" s="10" t="str">
        <x:v>功能需求</x:v>
      </x:c>
      <x:c r="F336" s="10" t="str">
        <x:v>P1</x:v>
      </x:c>
      <x:c r="G336" s="9" t="str">
        <x:v>验证选择主播主播标识核对</x:v>
      </x:c>
      <x:c r="H336" s="9" t="str">
        <x:v>头像名称与ID归属</x:v>
      </x:c>
      <x:c r="I336" s="9" t="str">
        <x:v>1. 公会长账号可用，已选择待测公会
2. 本会两名主播使用相似昵称，已知各自真实ID及头像</x:v>
      </x:c>
      <x:c r="J336" s="9" t="str">
        <x:v>1. 打开数据报表主播筛选中的选择主播</x:v>
      </x:c>
      <x:c r="K336" s="9" t="str">
        <x:v>头像、名称和ID对应同一主播账号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来源（当前证据）：liveshow-proto/MainBasis/统一需求文档.md；位置：第2491行、第2493行 REQ-4f1488c6ef14、第2494行 REQ-893b7e4f0546
2. 规则：BR-0df4d2501b8ce05f
3. 未动态验证</x:v>
      </x:c>
    </x:row>
  </x:sheetData>
  <x:dataValidations count="3">
    <x:dataValidation type="list" sqref="E2:E336">
      <x:formula1>"功能需求,业务流程,逻辑校验,异常用例"</x:formula1>
    </x:dataValidation>
    <x:dataValidation type="list" sqref="F2:F336">
      <x:formula1>"P0,P1,P2,P3"</x:formula1>
    </x:dataValidation>
    <x:dataValidation type="list" sqref="M2:M336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0882449f674d8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45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主播管理、数据与收益</x:v>
      </x:c>
      <x:c r="G2" s="9" t="str">
        <x:v>主播管理、数据与收益中，业务日和周界限发生时的结果判定</x:v>
      </x:c>
      <x:c r="H2" s="9" t="str">
        <x:v>计算与统计口径</x:v>
      </x:c>
      <x:c r="I2" s="9" t="str">
        <x:v>签到、任务、榜单、直播有效天和报表，是否统一采用印尼雅加达时间 UTC+7？</x:v>
      </x:c>
      <x:c r="J2" s="9" t="str">
        <x:v>A. 全部统一采用 UTC+7，按该时区切分自然日
B. 全部统一采用 UTC，按 UTC 切分自然日
C. 全部统一采用 UTC+8，按该时区切分自然日</x:v>
      </x:c>
      <x:c r="K2" s="9" t="str">
        <x:v>建议 A：采用首项所述明确口径，便于准备数据和复算；产品确认前仅作为候选，不据此验收。</x:v>
      </x:c>
      <x:c r="L2" s="12" t="str"/>
      <x:c r="M2" s="12" t="str"/>
      <x:c r="N2" s="10" t="str">
        <x:v>1. liveshow-proto/MainBasis/需求待确认清单.md 第94行：- [PENDING-business-zone] 业务日和周界限：签到、任务、榜单、直播有效天和报表分别采用什么业务时区；任务周是否统一从周一开始？ 影响端：用户App、公会App、管理后台。依据：AN-6162c5b34166、AN-2d643ddb84e1。</x:v>
      </x:c>
      <x:c r="O2" s="9" t="str">
        <x:v>1. 公会App：主播管理、数据与收益
2. 仅隔离该未确认分支，其他已确认规则继续测试</x:v>
      </x:c>
      <x:c r="P2" s="9" t="str"/>
      <x:c r="Q2" s="9" t="str">
        <x:v>1. 补充业务日和周界限在已选方案下的正常、边界及异常结果</x:v>
      </x:c>
      <x:c r="R2" s="9" t="str">
        <x:v>产品</x:v>
      </x:c>
      <x:c r="S2" s="9" t="str">
        <x:v>版本验收前</x:v>
      </x:c>
      <x:c r="T2" s="9" t="str">
        <x:v>待确认</x:v>
      </x:c>
    </x:row>
    <x:row r="3" ht="145" customHeight="1">
      <x:c r="A3" s="10" t="str">
        <x:v>Q-002</x:v>
      </x:c>
      <x:c r="B3" s="10" t="str">
        <x:v>RQ-001</x:v>
      </x:c>
      <x:c r="C3" s="10" t="str"/>
      <x:c r="D3" s="10" t="str"/>
      <x:c r="E3" s="10" t="str">
        <x:v>部分阻塞</x:v>
      </x:c>
      <x:c r="F3" s="10" t="str">
        <x:v>主播管理、数据与收益</x:v>
      </x:c>
      <x:c r="G3" s="9" t="str">
        <x:v>主播管理、数据与收益中，业务日和周界限发生时的结果判定</x:v>
      </x:c>
      <x:c r="H3" s="9" t="str">
        <x:v>计算与统计口径</x:v>
      </x:c>
      <x:c r="I3" s="9" t="str">
        <x:v>任务的统计周从哪一天开始？</x:v>
      </x:c>
      <x:c r="J3" s="9" t="str">
        <x:v>A. 周一 00:00 至下周一 00:00 前
B. 周日 00:00 至下周日 00:00 前</x:v>
      </x:c>
      <x:c r="K3" s="9" t="str">
        <x:v>建议 A：采用首项所述明确口径，便于准备数据和复算；产品确认前仅作为候选，不据此验收。</x:v>
      </x:c>
      <x:c r="L3" s="12" t="str"/>
      <x:c r="M3" s="12" t="str"/>
      <x:c r="N3" s="10" t="str">
        <x:v>1. liveshow-proto/MainBasis/需求待确认清单.md 第94行：- [PENDING-business-zone] 业务日和周界限：签到、任务、榜单、直播有效天和报表分别采用什么业务时区；任务周是否统一从周一开始？ 影响端：用户App、公会App、管理后台。依据：AN-6162c5b34166、AN-2d643ddb84e1。</x:v>
      </x:c>
      <x:c r="O3" s="9" t="str">
        <x:v>1. 公会App：主播管理、数据与收益
2. 仅隔离该未确认分支，其他已确认规则继续测试</x:v>
      </x:c>
      <x:c r="P3" s="9" t="str"/>
      <x:c r="Q3" s="9" t="str">
        <x:v>1. 任务的统计周从哪一天开始的边界与失败分支</x:v>
      </x:c>
      <x:c r="R3" s="9" t="str">
        <x:v>产品</x:v>
      </x:c>
      <x:c r="S3" s="9" t="str">
        <x:v>版本验收前</x:v>
      </x:c>
      <x:c r="T3" s="9" t="str">
        <x:v>待确认</x:v>
      </x:c>
    </x:row>
    <x:row r="4" ht="115" customHeight="1">
      <x:c r="A4" s="10" t="str">
        <x:v>Q-003</x:v>
      </x:c>
      <x:c r="B4" s="10" t="str">
        <x:v>RQ-002</x:v>
      </x:c>
      <x:c r="C4" s="10" t="str"/>
      <x:c r="D4" s="10" t="str"/>
      <x:c r="E4" s="10" t="str">
        <x:v>部分阻塞</x:v>
      </x:c>
      <x:c r="F4" s="10" t="str">
        <x:v>主播管理、数据与收益</x:v>
      </x:c>
      <x:c r="G4" s="9" t="str">
        <x:v>主播管理、数据与收益中，金币和收益精度发生时的结果判定</x:v>
      </x:c>
      <x:c r="H4" s="9" t="str">
        <x:v>计算与统计口径</x:v>
      </x:c>
      <x:c r="I4" s="9" t="str">
        <x:v>不足 1 金币的单笔幸运收益，采用哪种存储与累计口径？</x:v>
      </x:c>
      <x:c r="J4" s="9" t="str">
        <x:v>A. 每笔截断为整数后累计
B. 保留至 6 位小数，累计后再按展示精度显示
C. 每笔四舍五入为整数后累计</x:v>
      </x:c>
      <x:c r="K4" s="9" t="str">
        <x:v>建议 A：采用首项所述明确口径，便于准备数据和复算；产品确认前仅作为候选，不据此验收。</x:v>
      </x:c>
      <x:c r="L4" s="12" t="str"/>
      <x:c r="M4" s="12" t="str"/>
      <x:c r="N4" s="10" t="str">
        <x:v>1. liveshow-proto/MainBasis/需求待确认清单.md 第138行：- [PENDING-coin-precision] 金币和收益精度：幸运礼物收益出现不足 1 金币的小数时如何存储、累计和展示？ 影响端：用户App、公会App、管理后台。依据：AN-3839cfde3299。</x:v>
      </x:c>
      <x:c r="O4" s="9" t="str">
        <x:v>1. 公会App：主播管理、数据与收益
2. 仅隔离该未确认分支，其他已确认规则继续测试</x:v>
      </x:c>
      <x:c r="P4" s="9" t="str"/>
      <x:c r="Q4" s="9" t="str">
        <x:v>1. 补充金币和收益精度在已选方案下的正常、边界及异常结果</x:v>
      </x:c>
      <x:c r="R4" s="9" t="str">
        <x:v>产品</x:v>
      </x:c>
      <x:c r="S4" s="9" t="str">
        <x:v>版本验收前</x:v>
      </x:c>
      <x:c r="T4" s="9" t="str">
        <x:v>待确认</x:v>
      </x:c>
    </x:row>
    <x:row r="5" ht="115" customHeight="1">
      <x:c r="A5" s="10" t="str">
        <x:v>Q-004</x:v>
      </x:c>
      <x:c r="B5" s="10" t="str">
        <x:v>RQ-002</x:v>
      </x:c>
      <x:c r="C5" s="10" t="str"/>
      <x:c r="D5" s="10" t="str"/>
      <x:c r="E5" s="10" t="str">
        <x:v>部分阻塞</x:v>
      </x:c>
      <x:c r="F5" s="10" t="str">
        <x:v>主播管理、数据与收益</x:v>
      </x:c>
      <x:c r="G5" s="9" t="str">
        <x:v>主播管理、数据与收益中，金币和收益精度发生时的结果判定</x:v>
      </x:c>
      <x:c r="H5" s="9" t="str">
        <x:v>计算与统计口径</x:v>
      </x:c>
      <x:c r="I5" s="9" t="str">
        <x:v>金币收益含小数时，页面显示几位小数？</x:v>
      </x:c>
      <x:c r="J5" s="9" t="str">
        <x:v>A. 显示 2 位小数，四舍五入
B. 显示 6 位小数，末尾零省略</x:v>
      </x:c>
      <x:c r="K5" s="9" t="str">
        <x:v>建议 A：采用首项所述明确口径，便于准备数据和复算；产品确认前仅作为候选，不据此验收。</x:v>
      </x:c>
      <x:c r="L5" s="12" t="str"/>
      <x:c r="M5" s="12" t="str"/>
      <x:c r="N5" s="10" t="str">
        <x:v>1. liveshow-proto/MainBasis/需求待确认清单.md 第138行：- [PENDING-coin-precision] 金币和收益精度：幸运礼物收益出现不足 1 金币的小数时如何存储、累计和展示？ 影响端：用户App、公会App、管理后台。依据：AN-3839cfde3299。</x:v>
      </x:c>
      <x:c r="O5" s="9" t="str">
        <x:v>1. 公会App：主播管理、数据与收益
2. 仅隔离该未确认分支，其他已确认规则继续测试</x:v>
      </x:c>
      <x:c r="P5" s="9" t="str"/>
      <x:c r="Q5" s="9" t="str">
        <x:v>1. 金币收益含小数时，页面显示几位小数的边界与失败分支</x:v>
      </x:c>
      <x:c r="R5" s="9" t="str">
        <x:v>产品</x:v>
      </x:c>
      <x:c r="S5" s="9" t="str">
        <x:v>版本验收前</x:v>
      </x:c>
      <x:c r="T5" s="9" t="str">
        <x:v>待确认</x:v>
      </x:c>
    </x:row>
    <x:row r="6" ht="115" customHeight="1">
      <x:c r="A6" s="10" t="str">
        <x:v>Q-005</x:v>
      </x:c>
      <x:c r="B6" s="10" t="str">
        <x:v>RQ-003</x:v>
      </x:c>
      <x:c r="C6" s="10" t="str"/>
      <x:c r="D6" s="10" t="str"/>
      <x:c r="E6" s="10" t="str">
        <x:v>部分阻塞</x:v>
      </x:c>
      <x:c r="F6" s="10" t="str">
        <x:v>主播管理、数据与收益</x:v>
      </x:c>
      <x:c r="G6" s="9" t="str">
        <x:v>主播管理、数据与收益中，跨日直播时长分配发生时的结果判定</x:v>
      </x:c>
      <x:c r="H6" s="9" t="str">
        <x:v>计算与统计口径</x:v>
      </x:c>
      <x:c r="I6" s="9" t="str">
        <x:v>跨自然日的一场直播如何分配每天的有效时长及收益？</x:v>
      </x:c>
      <x:c r="J6" s="9" t="str">
        <x:v>A. 按事件发生时间切分到各日
B. 全部归入开播日</x:v>
      </x:c>
      <x:c r="K6" s="9" t="str">
        <x:v>建议 A：采用首项所述明确口径，便于准备数据和复算；产品确认前仅作为候选，不据此验收。</x:v>
      </x:c>
      <x:c r="L6" s="12" t="str"/>
      <x:c r="M6" s="12" t="str"/>
      <x:c r="N6" s="10" t="str">
        <x:v>1. liveshow-proto/MainBasis/需求待确认清单.md 第106行：- [PENDING-cross-day-live] 跨日直播时长分配：跨自然日的一场直播如何分配每天的有效时长及收益？ 影响端：用户App、公会App、管理后台。依据：AN-2d643ddb84e1。</x:v>
      </x:c>
      <x:c r="O6" s="9" t="str">
        <x:v>1. 公会App：主播管理、数据与收益
2. 仅隔离该未确认分支，其他已确认规则继续测试</x:v>
      </x:c>
      <x:c r="P6" s="9" t="str"/>
      <x:c r="Q6" s="9" t="str">
        <x:v>1. 补充跨日直播时长分配在已选方案下的正常、边界及异常结果</x:v>
      </x:c>
      <x:c r="R6" s="9" t="str">
        <x:v>产品</x:v>
      </x:c>
      <x:c r="S6" s="9" t="str">
        <x:v>版本验收前</x:v>
      </x:c>
      <x:c r="T6" s="9" t="str">
        <x:v>待确认</x:v>
      </x:c>
    </x:row>
    <x:row r="7" ht="115" customHeight="1">
      <x:c r="A7" s="10" t="str">
        <x:v>Q-006</x:v>
      </x:c>
      <x:c r="B7" s="10" t="str">
        <x:v>RQ-004</x:v>
      </x:c>
      <x:c r="C7" s="10" t="str"/>
      <x:c r="D7" s="10" t="str"/>
      <x:c r="E7" s="10" t="str">
        <x:v>部分阻塞</x:v>
      </x:c>
      <x:c r="F7" s="10" t="str">
        <x:v>主播管理、数据与收益</x:v>
      </x:c>
      <x:c r="G7" s="9" t="str">
        <x:v>主播管理、数据与收益中，有效时长排除条件发生时的结果判定</x:v>
      </x:c>
      <x:c r="H7" s="9" t="str">
        <x:v>计算与统计口径</x:v>
      </x:c>
      <x:c r="I7" s="9" t="str">
        <x:v>断流、后台挂起和暂停期间哪些时长计入每日 3 小时门槛？</x:v>
      </x:c>
      <x:c r="J7" s="9" t="str">
        <x:v>A. 仅累计服务端确认成功推流的时段，断流、后台挂起和暂停不计入
B. 按直播会话持续时间累计，断流、后台挂起和暂停仍计入至场次结束</x:v>
      </x:c>
      <x:c r="K7" s="9" t="str">
        <x:v>建议 A：采用首项所述明确口径，便于准备数据和复算；产品确认前仅作为候选，不据此验收。</x:v>
      </x:c>
      <x:c r="L7" s="12" t="str"/>
      <x:c r="M7" s="12" t="str"/>
      <x:c r="N7" s="10" t="str">
        <x:v>1. liveshow-proto/MainBasis/需求待确认清单.md 第102行：- [PENDING-effective-duration] 有效时长排除条件：断流、后台挂起和暂停期间哪些时长计入每日 3 小时门槛？ 影响端：用户App、公会App、管理后台。依据：AN-2d643ddb84e1。</x:v>
      </x:c>
      <x:c r="O7" s="9" t="str">
        <x:v>1. 公会App：主播管理、数据与收益
2. 仅隔离该未确认分支，其他已确认规则继续测试</x:v>
      </x:c>
      <x:c r="P7" s="9" t="str"/>
      <x:c r="Q7" s="9" t="str">
        <x:v>1. 补充有效时长排除条件在已选方案下的正常、边界及异常结果</x:v>
      </x:c>
      <x:c r="R7" s="9" t="str">
        <x:v>产品</x:v>
      </x:c>
      <x:c r="S7" s="9" t="str">
        <x:v>版本验收前</x:v>
      </x:c>
      <x:c r="T7" s="9" t="str">
        <x:v>待确认</x:v>
      </x:c>
    </x:row>
    <x:row r="8" ht="100" customHeight="1">
      <x:c r="A8" s="10" t="str">
        <x:v>Q-007</x:v>
      </x:c>
      <x:c r="B8" s="10" t="str">
        <x:v>RQ-005</x:v>
      </x:c>
      <x:c r="C8" s="10" t="str"/>
      <x:c r="D8" s="10" t="str"/>
      <x:c r="E8" s="10" t="str">
        <x:v>部分阻塞</x:v>
      </x:c>
      <x:c r="F8" s="10" t="str">
        <x:v>登录与首页</x:v>
      </x:c>
      <x:c r="G8" s="9" t="str">
        <x:v>登录与首页中，公会通知顺序发生时的结果判定</x:v>
      </x:c>
      <x:c r="H8" s="9" t="str">
        <x:v>业务规则</x:v>
      </x:c>
      <x:c r="I8" s="9" t="str">
        <x:v>主播端公会通知列表如何排序？</x:v>
      </x:c>
      <x:c r="J8" s="9" t="str">
        <x:v>A. 生成时间倒序
B. 未读优先再按生成时间倒序</x:v>
      </x:c>
      <x:c r="K8" s="9" t="str">
        <x:v>建议 A：采用首项所述明确口径，便于准备数据和复算；产品确认前仅作为候选，不据此验收。</x:v>
      </x:c>
      <x:c r="L8" s="12" t="str"/>
      <x:c r="M8" s="12" t="str"/>
      <x:c r="N8" s="10" t="str">
        <x:v>1. liveshow-proto/MainBasis/需求待确认清单.md 第54行：- [PENDING-guild-notice-sort] 公会通知顺序：主播端公会通知列表如何排序？ 影响端：用户App、公会App。依据：AN-205fe7899e2d。</x:v>
      </x:c>
      <x:c r="O8" s="9" t="str">
        <x:v>1. 公会App：登录与首页
2. 仅隔离该未确认分支，其他已确认规则继续测试</x:v>
      </x:c>
      <x:c r="P8" s="9" t="str"/>
      <x:c r="Q8" s="9" t="str">
        <x:v>1. 补充公会通知顺序在已选方案下的正常、边界及异常结果</x:v>
      </x:c>
      <x:c r="R8" s="9" t="str">
        <x:v>产品</x:v>
      </x:c>
      <x:c r="S8" s="9" t="str">
        <x:v>版本验收前</x:v>
      </x:c>
      <x:c r="T8" s="9" t="str">
        <x:v>待确认</x:v>
      </x:c>
    </x:row>
    <x:row r="9" ht="115" customHeight="1">
      <x:c r="A9" s="10" t="str">
        <x:v>Q-008</x:v>
      </x:c>
      <x:c r="B9" s="10" t="str">
        <x:v>RQ-006</x:v>
      </x:c>
      <x:c r="C9" s="10" t="str"/>
      <x:c r="D9" s="10" t="str"/>
      <x:c r="E9" s="10" t="str">
        <x:v>部分阻塞</x:v>
      </x:c>
      <x:c r="F9" s="10" t="str">
        <x:v>主播管理、数据与收益</x:v>
      </x:c>
      <x:c r="G9" s="9" t="str">
        <x:v>主播管理、数据与收益中，历史等级快照发生时的结果判定</x:v>
      </x:c>
      <x:c r="H9" s="9" t="str">
        <x:v>业务规则</x:v>
      </x:c>
      <x:c r="I9" s="9" t="str">
        <x:v>调整等级阈值后历史记录展示原等级还是重算等级？</x:v>
      </x:c>
      <x:c r="J9" s="9" t="str">
        <x:v>A. 保留事件发生时等级
B. 显示当前重算等级</x:v>
      </x:c>
      <x:c r="K9" s="9" t="str">
        <x:v>建议 A：采用首项所述明确口径，便于准备数据和复算；产品确认前仅作为候选，不据此验收。</x:v>
      </x:c>
      <x:c r="L9" s="12" t="str"/>
      <x:c r="M9" s="12" t="str"/>
      <x:c r="N9" s="10" t="str">
        <x:v>1. liveshow-proto/MainBasis/需求待确认清单.md 第146行：- [PENDING-level-history] 历史等级快照：调整等级阈值后历史记录展示原等级还是重算等级？ 影响端：用户App、公会App、管理后台。依据：AN-10e4cbde5c33。</x:v>
      </x:c>
      <x:c r="O9" s="9" t="str">
        <x:v>1. 公会App：主播管理、数据与收益
2. 仅隔离该未确认分支，其他已确认规则继续测试</x:v>
      </x:c>
      <x:c r="P9" s="9" t="str"/>
      <x:c r="Q9" s="9" t="str">
        <x:v>1. 补充历史等级快照在已选方案下的正常、边界及异常结果</x:v>
      </x:c>
      <x:c r="R9" s="9" t="str">
        <x:v>产品</x:v>
      </x:c>
      <x:c r="S9" s="9" t="str">
        <x:v>版本验收前</x:v>
      </x:c>
      <x:c r="T9" s="9" t="str">
        <x:v>待确认</x:v>
      </x:c>
    </x:row>
    <x:row r="10" ht="130" customHeight="1">
      <x:c r="A10" s="10" t="str">
        <x:v>Q-009</x:v>
      </x:c>
      <x:c r="B10" s="10" t="str">
        <x:v>RQ-007</x:v>
      </x:c>
      <x:c r="C10" s="10" t="str"/>
      <x:c r="D10" s="10" t="str"/>
      <x:c r="E10" s="10" t="str">
        <x:v>部分阻塞</x:v>
      </x:c>
      <x:c r="F10" s="10" t="str">
        <x:v>主播管理、数据与收益</x:v>
      </x:c>
      <x:c r="G10" s="9" t="str">
        <x:v>主播管理、数据与收益中，指标刷新时效发生时的结果判定</x:v>
      </x:c>
      <x:c r="H10" s="9" t="str">
        <x:v>业务规则</x:v>
      </x:c>
      <x:c r="I10" s="9" t="str">
        <x:v>直播、收益和等级变动后，各端指标最迟何时应更新？</x:v>
      </x:c>
      <x:c r="J10" s="9" t="str">
        <x:v>A. 业务提交成功后 5 秒内更新对应指标
B. 每 5 分钟汇总一次，汇总完成后展示新指标</x:v>
      </x:c>
      <x:c r="K10" s="9" t="str">
        <x:v>建议 A：采用首项所述明确口径，便于准备数据和复算；产品确认前仅作为候选，不据此验收。</x:v>
      </x:c>
      <x:c r="L10" s="12" t="str"/>
      <x:c r="M10" s="12" t="str"/>
      <x:c r="N10" s="10" t="str">
        <x:v>1. liveshow-proto/MainBasis/需求待确认清单.md 第110行：- [PENDING-metric-latency] 指标刷新时效：直播、收益和等级变动后，各端指标最迟何时应更新？ 影响端：用户App、公会App、管理后台。依据：AN-2d643ddb84e1、AN-4c265a228f16。</x:v>
      </x:c>
      <x:c r="O10" s="9" t="str">
        <x:v>1. 公会App：主播管理、数据与收益
2. 仅隔离该未确认分支，其他已确认规则继续测试</x:v>
      </x:c>
      <x:c r="P10" s="9" t="str"/>
      <x:c r="Q10" s="9" t="str">
        <x:v>1. 补充指标刷新时效在已选方案下的正常、边界及异常结果</x:v>
      </x:c>
      <x:c r="R10" s="9" t="str">
        <x:v>多方确认</x:v>
      </x:c>
      <x:c r="S10" s="9" t="str">
        <x:v>版本验收前</x:v>
      </x:c>
      <x:c r="T10" s="9" t="str">
        <x:v>待确认</x:v>
      </x:c>
    </x:row>
    <x:row r="11" ht="130" customHeight="1">
      <x:c r="A11" s="10" t="str">
        <x:v>Q-010</x:v>
      </x:c>
      <x:c r="B11" s="10" t="str">
        <x:v>RQ-008</x:v>
      </x:c>
      <x:c r="C11" s="10" t="str"/>
      <x:c r="D11" s="10" t="str"/>
      <x:c r="E11" s="10" t="str">
        <x:v>部分阻塞</x:v>
      </x:c>
      <x:c r="F11" s="10" t="str">
        <x:v>运营工具</x:v>
      </x:c>
      <x:c r="G11" s="9" t="str">
        <x:v>运营工具中，运营账号登录格式发生时的结果判定</x:v>
      </x:c>
      <x:c r="H11" s="9" t="str">
        <x:v>字段与数据校验</x:v>
      </x:c>
      <x:c r="I11" s="9" t="str">
        <x:v>运营账号必须是可接收验证码的邮箱，还是允许普通登录名？</x:v>
      </x:c>
      <x:c r="J11" s="9" t="str">
        <x:v>A. 必须为有效邮箱地址
B. 允许普通登录名并使用密码登录</x:v>
      </x:c>
      <x:c r="K11" s="9" t="str">
        <x:v>建议 A：采用首项所述明确口径，便于准备数据和复算；产品确认前仅作为候选，不据此验收。</x:v>
      </x:c>
      <x:c r="L11" s="12" t="str"/>
      <x:c r="M11" s="12" t="str"/>
      <x:c r="N11" s="10" t="str">
        <x:v>1. liveshow-proto/MainBasis/需求待确认清单.md 第70行：- [PENDING-operation-login-format] 运营账号登录格式：运营账号必须是可接收验证码的邮箱，还是允许普通登录名？ 影响端：用户App、公会App、管理后台。依据：AN-ff08deec1174、AN-053fd74e2f42。</x:v>
      </x:c>
      <x:c r="O11" s="9" t="str">
        <x:v>1. 公会App：运营工具
2. 仅隔离该未确认分支，其他已确认规则继续测试</x:v>
      </x:c>
      <x:c r="P11" s="9" t="str"/>
      <x:c r="Q11" s="9" t="str">
        <x:v>1. 补充运营账号登录格式在已选方案下的正常、边界及异常结果</x:v>
      </x:c>
      <x:c r="R11" s="9" t="str">
        <x:v>产品</x:v>
      </x:c>
      <x:c r="S11" s="9" t="str">
        <x:v>版本验收前</x:v>
      </x:c>
      <x:c r="T11" s="9" t="str">
        <x:v>待确认</x:v>
      </x:c>
    </x:row>
    <x:row r="12" ht="145" customHeight="1">
      <x:c r="A12" s="10" t="str">
        <x:v>Q-011</x:v>
      </x:c>
      <x:c r="B12" s="10" t="str">
        <x:v>RQ-009</x:v>
      </x:c>
      <x:c r="C12" s="10" t="str"/>
      <x:c r="D12" s="10" t="str"/>
      <x:c r="E12" s="10" t="str">
        <x:v>部分阻塞</x:v>
      </x:c>
      <x:c r="F12" s="10" t="str">
        <x:v>运营工具</x:v>
      </x:c>
      <x:c r="G12" s="9" t="str">
        <x:v>运营工具中，虚拟金币榜单范围发生时的结果判定</x:v>
      </x:c>
      <x:c r="H12" s="9" t="str">
        <x:v>业务规则</x:v>
      </x:c>
      <x:c r="I12" s="9" t="str">
        <x:v>系统概要允许虚拟赠礼计入榜单展示，具体适用于哪些榜单？</x:v>
      </x:c>
      <x:c r="J12" s="9" t="str">
        <x:v>A. 仅本场氛围榜
B. 本场榜及平台双榜
C. 由后台逐榜配置</x:v>
      </x:c>
      <x:c r="K12" s="9" t="str">
        <x:v>建议 A：采用首项所述明确口径，便于准备数据和复算；产品确认前仅作为候选，不据此验收。</x:v>
      </x:c>
      <x:c r="L12" s="12" t="str"/>
      <x:c r="M12" s="12" t="str"/>
      <x:c r="N12" s="10" t="str">
        <x:v>1. liveshow-proto/MainBasis/需求待确认清单.md 第30行：- [PENDING-virtual-board] 虚拟金币榜单范围：系统概要允许虚拟赠礼计入榜单展示，具体适用于哪些榜单？ 影响端：用户App、公会App、管理后台。依据：AN-58bdfd055651、AN-9076ce003939、AN-ba0acac09cff、AN-bbb10e3b591b、AN-7861fb19ad1a。</x:v>
      </x:c>
      <x:c r="O12" s="9" t="str">
        <x:v>1. 公会App：运营工具
2. 仅隔离该未确认分支，其他已确认规则继续测试</x:v>
      </x:c>
      <x:c r="P12" s="9" t="str"/>
      <x:c r="Q12" s="9" t="str">
        <x:v>1. 补充虚拟金币榜单范围在已选方案下的正常、边界及异常结果</x:v>
      </x:c>
      <x:c r="R12" s="9" t="str">
        <x:v>产品</x:v>
      </x:c>
      <x:c r="S12" s="9" t="str">
        <x:v>版本验收前</x:v>
      </x:c>
      <x:c r="T12" s="9" t="str">
        <x:v>待确认</x:v>
      </x:c>
    </x:row>
  </x:sheetData>
  <x:dataValidations count="5">
    <x:dataValidation type="list" sqref="E2:E12">
      <x:formula1>"阻塞测试,部分阻塞,不阻塞"</x:formula1>
    </x:dataValidation>
    <x:dataValidation type="list" sqref="H2:H12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2">
      <x:formula1>"A,B,C,D,其他"</x:formula1>
    </x:dataValidation>
    <x:dataValidation type="list" sqref="R2:R12">
      <x:formula1>"产品,交互,技术,多方确认"</x:formula1>
    </x:dataValidation>
    <x:dataValidation type="list" sqref="T2:T12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107130467b4825"/>
  </x:tableParts>
</x:worksheet>
</file>