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51c5f1c7f4cf4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88e7aaed70084cff"/>
    <x:sheet xmlns:r="http://schemas.openxmlformats.org/officeDocument/2006/relationships" name="需求待确认" sheetId="2" r:id="R57c5e6d13cf04366"/>
    <x:sheet xmlns:r="http://schemas.openxmlformats.org/officeDocument/2006/relationships" name="产品决策概览" sheetId="3" r:id="R8a5c8de4a49142e9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f1100a5084e3b" /><Relationship Type="http://schemas.openxmlformats.org/officeDocument/2006/relationships/theme" Target="/xl/theme/theme1.xml" Id="R05ed72034fa24b05" /><Relationship Type="http://schemas.openxmlformats.org/officeDocument/2006/relationships/sharedStrings" Target="/xl/sharedStrings.xml" Id="R0d22e8ed407e4d67" /><Relationship Type="http://schemas.openxmlformats.org/officeDocument/2006/relationships/worksheet" Target="/xl/worksheets/sheet1.xml" Id="R88e7aaed70084cff" /><Relationship Type="http://schemas.openxmlformats.org/officeDocument/2006/relationships/worksheet" Target="/xl/worksheets/sheet2.xml" Id="R57c5e6d13cf04366" /><Relationship Type="http://schemas.openxmlformats.org/officeDocument/2006/relationships/worksheet" Target="/xl/worksheets/sheet3.xml" Id="R8a5c8de4a49142e9" /></Relationships>
</file>

<file path=xl/tables/table1.xml><?xml version="1.0" encoding="utf-8"?>
<x:table xmlns:x="http://schemas.openxmlformats.org/spreadsheetml/2006/main" id="1" name="FunctionalTestCases" displayName="FunctionalTestCases" ref="A1:O215" headerRowCount="1" totalsRowCount="0" totalsRowShown="0">
  <x:autoFilter ref="A1:O215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Requirements" displayName="PendingRequirements" ref="A1:T68" headerRowCount="1" totalsRowCount="0" totalsRowShown="0">
  <x:autoFilter ref="A1:T68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1ebd3fdd8a45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072a522d3e4b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2" hidden="0" customWidth="1"/>
    <x:col min="10" max="10" width="48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48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55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P0</x:v>
      </x:c>
      <x:c r="G2" s="5" t="str">
        <x:v>验证用户进入直播广场并识别可观看直播</x:v>
      </x:c>
      <x:c r="H2" s="5" t="str">
        <x:v>广场入口与直播卡片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直播卡片展示直播间封面、主播昵称或头像、直播标题、在线人数和分类标签，普通房、门票房和密码房具有可区分的进入状态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</x:v>
      </x:c>
    </x:row>
    <x:row r="3" ht="55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选择“新人”后展示新人直播数据且“新人”处于选中状态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</x:v>
      </x:c>
    </x:row>
    <x:row r="4" ht="55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选择“热门”后展示按后台热门权重返回的直播数据且“热门”处于选中状态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</x:v>
      </x:c>
    </x:row>
    <x:row r="5" ht="43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</x:v>
      </x:c>
    </x:row>
    <x:row r="6" ht="43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</x:v>
      </x:c>
    </x:row>
    <x:row r="7" ht="43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</x:v>
      </x:c>
    </x:row>
    <x:row r="8" ht="31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服务端新增或结束一场直播</x:v>
      </x:c>
      <x:c r="J8" s="5" t="str">
        <x:v>1. 在直播列表顶部向下拖动并释放
2. 等待刷新完成</x:v>
      </x:c>
      <x:c r="K8" s="5" t="str">
        <x:v>页面完成一次直播列表刷新，刷新后的列表反映服务端最新在播状态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</x:v>
      </x:c>
    </x:row>
    <x:row r="9" ht="43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列表追加后续直播数据，已展示的直播卡片不重复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</x:v>
      </x:c>
    </x:row>
    <x:row r="10" ht="31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验证无直播数据时展示空状态</x:v>
      </x:c>
      <x:c r="H10" s="5" t="str">
        <x:v>广场空状态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页面展示“暂无直播，去关注喜欢的主播”，页面展示“去发现”按钮，页面不展示失效的直播卡片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</x:v>
      </x:c>
    </x:row>
    <x:row r="11" ht="55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普通房进房</x:v>
      </x:c>
      <x:c r="E11" s="5" t="str">
        <x:v>业务流程</x:v>
      </x:c>
      <x:c r="F11" s="5" t="str">
        <x:v>P0</x:v>
      </x:c>
      <x:c r="G11" s="5" t="str">
        <x:v>验证用户免费进入普通房并自动播放</x:v>
      </x:c>
      <x:c r="H11" s="5" t="str">
        <x:v>普通房首次进入</x:v>
      </x:c>
      <x:c r="I11" s="5" t="str">
        <x:v>1. 用户已登录
2. 目标普通房正在直播且用户无进房限制</x:v>
      </x:c>
      <x:c r="J11" s="5" t="str">
        <x:v>1. 在直播广场点击目标普通房卡片
2. 等待直播间加载</x:v>
      </x:c>
      <x:c r="K11" s="5" t="str">
        <x:v>用户无需支付金币或输入密码即可进入目标普通房，直播画面自动开始播放</x:v>
      </x:c>
      <x:c r="L11" s="5" t="str">
        <x:v>FLOW-LIVE-001</x:v>
      </x:c>
      <x:c r="M11" s="5" t="str">
        <x:v>未测</x:v>
      </x:c>
      <x:c r="N11" s="5" t="str"/>
      <x:c r="O11" s="5" t="str">
        <x:v>1. 来源：context/01-用户主播App-项目需求清单.md
2. 来源：prototype/Luma Live-原型说明.md
3. 追溯：业务底稿 LIVE-007。
4. 流程：阶段 03：观众进入直播间；共同业务对象：LIVE-SESSION-N01。</x:v>
      </x:c>
    </x:row>
    <x:row r="12" ht="43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普通房进房</x:v>
      </x:c>
      <x:c r="E12" s="5" t="str">
        <x:v>异常用例</x:v>
      </x:c>
      <x:c r="F12" s="5" t="str">
        <x:v>P1</x:v>
      </x:c>
      <x:c r="G12" s="5" t="str">
        <x:v>验证直播断流时展示重连提示</x:v>
      </x:c>
      <x:c r="H12" s="5" t="str">
        <x:v>断流重连提示</x:v>
      </x:c>
      <x:c r="I12" s="5" t="str">
        <x:v>1. 用户正在观看普通房
2. 可模拟直播流中断后恢复</x:v>
      </x:c>
      <x:c r="J12" s="5" t="str">
        <x:v>1. 中断直播流连接
2. 观察直播间状态
3. 恢复直播流连接</x:v>
      </x:c>
      <x:c r="K12" s="5" t="str">
        <x:v>断流期间页面展示重连提示</x:v>
      </x:c>
      <x:c r="L12" s="5" t="str"/>
      <x:c r="M12" s="5" t="str">
        <x:v>未测</x:v>
      </x:c>
      <x:c r="N12" s="5" t="str"/>
      <x:c r="O12" s="5" t="str">
        <x:v>1. 来源：context/01-用户主播App-项目需求清单.md
2. 追溯：业务底稿 LIVE-008。</x:v>
      </x:c>
    </x:row>
    <x:row r="13" ht="43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普通房进房</x:v>
      </x:c>
      <x:c r="E13" s="5" t="str">
        <x:v>异常用例</x:v>
      </x:c>
      <x:c r="F13" s="5" t="str">
        <x:v>P1</x:v>
      </x:c>
      <x:c r="G13" s="5" t="str">
        <x:v>验证直播流中断后的自动恢复</x:v>
      </x:c>
      <x:c r="H13" s="5" t="str">
        <x:v>断流恢复播放</x:v>
      </x:c>
      <x:c r="I13" s="5" t="str">
        <x:v>1. 用户正在观看普通房
2. 可模拟直播流中断后恢复</x:v>
      </x:c>
      <x:c r="J13" s="5" t="str">
        <x:v>1. 中断直播流连接
2. 观察直播间状态
3. 恢复直播流连接</x:v>
      </x:c>
      <x:c r="K13" s="5" t="str">
        <x:v>流恢复后直播画面继续播放</x:v>
      </x:c>
      <x:c r="L13" s="5" t="str"/>
      <x:c r="M13" s="5" t="str">
        <x:v>未测</x:v>
      </x:c>
      <x:c r="N13" s="5" t="str"/>
      <x:c r="O13" s="5" t="str">
        <x:v>1. 来源：context/01-用户主播App-项目需求清单.md
2. 追溯：业务底稿 LIVE-008。</x:v>
      </x:c>
    </x:row>
    <x:row r="14" ht="31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普通房进房</x:v>
      </x:c>
      <x:c r="E14" s="5" t="str">
        <x:v>功能需求</x:v>
      </x:c>
      <x:c r="F14" s="5" t="str">
        <x:v>P2</x:v>
      </x:c>
      <x:c r="G14" s="5" t="str">
        <x:v>验证观看中切换清晰度</x:v>
      </x:c>
      <x:c r="H14" s="5" t="str">
        <x:v>清晰度切换</x:v>
      </x:c>
      <x:c r="I14" s="5" t="str">
        <x:v>1. 用户正在观看普通房
2. 当前直播流提供多个可用清晰度档位</x:v>
      </x:c>
      <x:c r="J14" s="5" t="str">
        <x:v>1. 打开清晰度选项
2. 选择另一个可用档位</x:v>
      </x:c>
      <x:c r="K14" s="5" t="str">
        <x:v>所选清晰度显示为当前档位，直播流切换为所选档位并继续播放</x:v>
      </x:c>
      <x:c r="L14" s="5" t="str"/>
      <x:c r="M14" s="5" t="str">
        <x:v>未测</x:v>
      </x:c>
      <x:c r="N14" s="5" t="str"/>
      <x:c r="O14" s="5" t="str">
        <x:v>1. 来源：context/01-用户主播App-项目需求清单.md
2. 追溯：业务底稿 LIVE-009。</x:v>
      </x:c>
    </x:row>
    <x:row r="15" ht="31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普通房进房</x:v>
      </x:c>
      <x:c r="E15" s="5" t="str">
        <x:v>功能需求</x:v>
      </x:c>
      <x:c r="F15" s="5" t="str">
        <x:v>P2</x:v>
      </x:c>
      <x:c r="G15" s="5" t="str">
        <x:v>验证直播画面切换为横屏</x:v>
      </x:c>
      <x:c r="H15" s="5" t="str">
        <x:v>横屏切换</x:v>
      </x:c>
      <x:c r="I15" s="5" t="str">
        <x:v>1. 用户正在观看普通房</x:v>
      </x:c>
      <x:c r="J15" s="5" t="str">
        <x:v>1. 将直播画面切换为横屏
2. 再切换回竖屏</x:v>
      </x:c>
      <x:c r="K15" s="5" t="str">
        <x:v>横屏时直播画面按横屏模式展示且直播不中断</x:v>
      </x:c>
      <x:c r="L15" s="5" t="str"/>
      <x:c r="M15" s="5" t="str">
        <x:v>未测</x:v>
      </x:c>
      <x:c r="N15" s="5" t="str"/>
      <x:c r="O15" s="5" t="str">
        <x:v>1. 来源：context/01-用户主播App-项目需求清单.md
2. 追溯：业务底稿 LIVE-010。</x:v>
      </x:c>
    </x:row>
    <x:row r="16" ht="31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普通房进房</x:v>
      </x:c>
      <x:c r="E16" s="5" t="str">
        <x:v>功能需求</x:v>
      </x:c>
      <x:c r="F16" s="5" t="str">
        <x:v>P2</x:v>
      </x:c>
      <x:c r="G16" s="5" t="str">
        <x:v>验证直播画面恢复为竖屏</x:v>
      </x:c>
      <x:c r="H16" s="5" t="str">
        <x:v>竖屏恢复</x:v>
      </x:c>
      <x:c r="I16" s="5" t="str">
        <x:v>1. 用户正在观看普通房</x:v>
      </x:c>
      <x:c r="J16" s="5" t="str">
        <x:v>1. 将直播画面切换为横屏
2. 再切换回竖屏</x:v>
      </x:c>
      <x:c r="K16" s="5" t="str">
        <x:v>返回竖屏后直播画面恢复竖屏模式</x:v>
      </x:c>
      <x:c r="L16" s="5" t="str"/>
      <x:c r="M16" s="5" t="str">
        <x:v>未测</x:v>
      </x:c>
      <x:c r="N16" s="5" t="str"/>
      <x:c r="O16" s="5" t="str">
        <x:v>1. 来源：context/01-用户主播App-项目需求清单.md
2. 追溯：业务底稿 LIVE-010。</x:v>
      </x:c>
    </x:row>
    <x:row r="17" ht="55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门票房进房</x:v>
      </x:c>
      <x:c r="E17" s="5" t="str">
        <x:v>业务流程</x:v>
      </x:c>
      <x:c r="F17" s="5" t="str">
        <x:v>P1</x:v>
      </x:c>
      <x:c r="G17" s="5" t="str">
        <x:v>验证门票购买信息展示</x:v>
      </x:c>
      <x:c r="H17" s="5" t="str">
        <x:v>门票购买信息</x:v>
      </x:c>
      <x:c r="I17" s="5" t="str">
        <x:v>1. 门票房灰度开关已开启
2. 目标门票房正在直播
3. 门票价格为 10 金币
4. 用户余额为 20 金币且未购买本场门票</x:v>
      </x:c>
      <x:c r="J17" s="5" t="str">
        <x:v>1. 在直播广场点击目标门票房
2. 核对门票价格
3. 点击“购买”</x:v>
      </x:c>
      <x:c r="K17" s="5" t="str">
        <x:v>购票前展示本场门票价格 10 金币和当前余额</x:v>
      </x:c>
      <x:c r="L17" s="5" t="str"/>
      <x:c r="M17" s="5" t="str">
        <x:v>未测</x:v>
      </x:c>
      <x:c r="N17" s="5" t="str"/>
      <x:c r="O17" s="5" t="str">
        <x:v>1. 来源：context/01-用户主播App-项目需求清单.md
2. 来源：prototype/assets/annotations.js
3. 来源：对应 HTML 静态原型；未动态验证
4. 追溯：业务底稿 LIVE-011。</x:v>
      </x:c>
    </x:row>
    <x:row r="18" ht="79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门票房进房</x:v>
      </x:c>
      <x:c r="E18" s="5" t="str">
        <x:v>业务流程</x:v>
      </x:c>
      <x:c r="F18" s="5" t="str">
        <x:v>P0</x:v>
      </x:c>
      <x:c r="G18" s="5" t="str">
        <x:v>验证购买门票后进入直播间</x:v>
      </x:c>
      <x:c r="H18" s="5" t="str">
        <x:v>购票成功进房</x:v>
      </x:c>
      <x:c r="I18" s="5" t="str">
        <x:v>1. 门票房灰度开关已开启
2. 目标门票房正在直播
3. 门票价格为 10 金币
4. 用户余额为 20 金币且未购买本场门票</x:v>
      </x:c>
      <x:c r="J18" s="5" t="str">
        <x:v>1. 在直播广场点击目标门票房
2. 核对门票价格
3. 点击“购买”</x:v>
      </x:c>
      <x:c r="K18" s="5" t="str">
        <x:v>购买成功后进入目标直播间</x:v>
      </x:c>
      <x:c r="L18" s="5" t="str">
        <x:v>FLOW-LIVE-002</x:v>
      </x:c>
      <x:c r="M18" s="5" t="str">
        <x:v>未测</x:v>
      </x:c>
      <x:c r="N18" s="5" t="str"/>
      <x:c r="O18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</x:v>
      </x:c>
    </x:row>
    <x:row r="19" ht="79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门票房进房</x:v>
      </x:c>
      <x:c r="E19" s="5" t="str">
        <x:v>业务流程</x:v>
      </x:c>
      <x:c r="F19" s="5" t="str">
        <x:v>P1</x:v>
      </x:c>
      <x:c r="G19" s="5" t="str">
        <x:v>验证购买门票扣减用户余额</x:v>
      </x:c>
      <x:c r="H19" s="5" t="str">
        <x:v>购票余额扣减</x:v>
      </x:c>
      <x:c r="I19" s="5" t="str">
        <x:v>1. 门票房灰度开关已开启
2. 目标门票房正在直播
3. 门票价格为 10 金币
4. 用户余额为 20 金币且未购买本场门票</x:v>
      </x:c>
      <x:c r="J19" s="5" t="str">
        <x:v>1. 记录购票前余额
2. 购买门票
3. 进入金币钱包查看余额</x:v>
      </x:c>
      <x:c r="K19" s="5" t="str">
        <x:v>用户余额由 20 减为 10 金币</x:v>
      </x:c>
      <x:c r="L19" s="5" t="str">
        <x:v>FLOW-LIVE-002</x:v>
      </x:c>
      <x:c r="M19" s="5" t="str">
        <x:v>未测</x:v>
      </x:c>
      <x:c r="N19" s="5" t="str"/>
      <x:c r="O19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</x:v>
      </x:c>
    </x:row>
    <x:row r="20" ht="79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门票房进房</x:v>
      </x:c>
      <x:c r="E20" s="5" t="str">
        <x:v>业务流程</x:v>
      </x:c>
      <x:c r="F20" s="5" t="str">
        <x:v>P1</x:v>
      </x:c>
      <x:c r="G20" s="5" t="str">
        <x:v>验证购买门票生成消费流水</x:v>
      </x:c>
      <x:c r="H20" s="5" t="str">
        <x:v>购票流水记录</x:v>
      </x:c>
      <x:c r="I20" s="5" t="str">
        <x:v>1. 门票房灰度开关已开启
2. 目标门票房正在直播
3. 门票价格为 10 金币
4. 用户余额为 20 金币且未购买本场门票</x:v>
      </x:c>
      <x:c r="J20" s="5" t="str">
        <x:v>1. 购买门票
2. 进入金币消费明细
3. 查看本场门票记录</x:v>
      </x:c>
      <x:c r="K20" s="5" t="str">
        <x:v>消费明细新增一条 10 金币的本场门票记录</x:v>
      </x:c>
      <x:c r="L20" s="5" t="str">
        <x:v>FLOW-LIVE-002</x:v>
      </x:c>
      <x:c r="M20" s="5" t="str">
        <x:v>未测</x:v>
      </x:c>
      <x:c r="N20" s="5" t="str"/>
      <x:c r="O20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</x:v>
      </x:c>
    </x:row>
    <x:row r="21" ht="43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门票房进房</x:v>
      </x:c>
      <x:c r="E21" s="5" t="str">
        <x:v>异常用例</x:v>
      </x:c>
      <x:c r="F21" s="5" t="str">
        <x:v>P1</x:v>
      </x:c>
      <x:c r="G21" s="5" t="str">
        <x:v>验证余额不足时不能购买门票</x:v>
      </x:c>
      <x:c r="H21" s="5" t="str">
        <x:v>余额不足购票拦截</x:v>
      </x:c>
      <x:c r="I21" s="5" t="str">
        <x:v>1. 目标门票价格为 10 金币
2. 用户余额为 9 金币
3. 用户未购买本场门票</x:v>
      </x:c>
      <x:c r="J21" s="5" t="str">
        <x:v>1. 点击目标门票房
2. 点击“购买”</x:v>
      </x:c>
      <x:c r="K21" s="5" t="str">
        <x:v>用户不进入目标直播间</x:v>
      </x:c>
      <x:c r="L21" s="5" t="str"/>
      <x:c r="M21" s="5" t="str">
        <x:v>未测</x:v>
      </x:c>
      <x:c r="N21" s="5" t="str"/>
      <x:c r="O21" s="5" t="str">
        <x:v>1. 来源：context/01-用户主播App-项目需求清单.md
2. 来源：对应 HTML 静态原型；未动态验证
3. 追溯：业务底稿 LIVE-012。</x:v>
      </x:c>
    </x:row>
    <x:row r="22" ht="43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门票房进房</x:v>
      </x:c>
      <x:c r="E22" s="5" t="str">
        <x:v>异常用例</x:v>
      </x:c>
      <x:c r="F22" s="5" t="str">
        <x:v>P1</x:v>
      </x:c>
      <x:c r="G22" s="5" t="str">
        <x:v>验证购票失败后用户余额不变</x:v>
      </x:c>
      <x:c r="H22" s="5" t="str">
        <x:v>购票失败余额</x:v>
      </x:c>
      <x:c r="I22" s="5" t="str">
        <x:v>1. 目标门票价格为 10 金币
2. 用户余额为 9 金币
3. 用户未购买本场门票</x:v>
      </x:c>
      <x:c r="J22" s="5" t="str">
        <x:v>1. 点击目标门票房
2. 点击“购买”</x:v>
      </x:c>
      <x:c r="K22" s="5" t="str">
        <x:v>用户金币余额不变</x:v>
      </x:c>
      <x:c r="L22" s="5" t="str"/>
      <x:c r="M22" s="5" t="str">
        <x:v>未测</x:v>
      </x:c>
      <x:c r="N22" s="5" t="str"/>
      <x:c r="O22" s="5" t="str">
        <x:v>1. 来源：context/01-用户主播App-项目需求清单.md
2. 来源：对应 HTML 静态原型；未动态验证
3. 追溯：业务底稿 LIVE-012。</x:v>
      </x:c>
    </x:row>
    <x:row r="23" ht="43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门票房进房</x:v>
      </x:c>
      <x:c r="E23" s="5" t="str">
        <x:v>异常用例</x:v>
      </x:c>
      <x:c r="F23" s="5" t="str">
        <x:v>P1</x:v>
      </x:c>
      <x:c r="G23" s="5" t="str">
        <x:v>验证余额不足时提供充值入口</x:v>
      </x:c>
      <x:c r="H23" s="5" t="str">
        <x:v>购票充值入口</x:v>
      </x:c>
      <x:c r="I23" s="5" t="str">
        <x:v>1. 目标门票价格为 10 金币
2. 用户余额为 9 金币
3. 用户未购买本场门票</x:v>
      </x:c>
      <x:c r="J23" s="5" t="str">
        <x:v>1. 点击目标门票房
2. 点击“购买”</x:v>
      </x:c>
      <x:c r="K23" s="5" t="str">
        <x:v>页面提供充值入口</x:v>
      </x:c>
      <x:c r="L23" s="5" t="str"/>
      <x:c r="M23" s="5" t="str">
        <x:v>未测</x:v>
      </x:c>
      <x:c r="N23" s="5" t="str"/>
      <x:c r="O23" s="5" t="str">
        <x:v>1. 来源：context/01-用户主播App-项目需求清单.md
2. 来源：对应 HTML 静态原型；未动态验证
3. 追溯：业务底稿 LIVE-012。</x:v>
      </x:c>
    </x:row>
    <x:row r="24" ht="55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门票房进房</x:v>
      </x:c>
      <x:c r="E24" s="5" t="str">
        <x:v>逻辑校验</x:v>
      </x:c>
      <x:c r="F24" s="5" t="str">
        <x:v>P1</x:v>
      </x:c>
      <x:c r="G24" s="5" t="str">
        <x:v>验证已购票用户再次进入同一场次</x:v>
      </x:c>
      <x:c r="H24" s="5" t="str">
        <x:v>已购票再次进房</x:v>
      </x:c>
      <x:c r="I24" s="5" t="str">
        <x:v>1. 用户已购买目标门票房当前场次门票
2. 当前场次尚未结束且用户未被踢出</x:v>
      </x:c>
      <x:c r="J24" s="5" t="str">
        <x:v>1. 退出直播间
2. 再次点击同一场门票房</x:v>
      </x:c>
      <x:c r="K24" s="5" t="str">
        <x:v>用户可再次进入目标直播间</x:v>
      </x:c>
      <x:c r="L24" s="5" t="str">
        <x:v>FLOW-LIVE-002</x:v>
      </x:c>
      <x:c r="M24" s="5" t="str">
        <x:v>未测</x:v>
      </x:c>
      <x:c r="N24" s="5" t="str"/>
      <x:c r="O24" s="5" t="str">
        <x:v>1. 来源：context/01-用户主播App-项目需求清单.md
2. 追溯：业务底稿 LIVE-013。
3. 流程：阶段 05：观众重复进入同一场次；共同业务对象：LIVE-SESSION-T01、USER-T01。</x:v>
      </x:c>
    </x:row>
    <x:row r="25" ht="43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门票房进房</x:v>
      </x:c>
      <x:c r="E25" s="5" t="str">
        <x:v>逻辑校验</x:v>
      </x:c>
      <x:c r="F25" s="5" t="str">
        <x:v>P1</x:v>
      </x:c>
      <x:c r="G25" s="5" t="str">
        <x:v>验证重复进房不重复扣费</x:v>
      </x:c>
      <x:c r="H25" s="5" t="str">
        <x:v>重复进房扣费</x:v>
      </x:c>
      <x:c r="I25" s="5" t="str">
        <x:v>1. 用户已购买目标门票房当前场次门票
2. 当前场次尚未结束且用户未被踢出</x:v>
      </x:c>
      <x:c r="J25" s="5" t="str">
        <x:v>1. 记录当前余额
2. 退出并重新进入同一门票场次
3. 再次查看余额</x:v>
      </x:c>
      <x:c r="K25" s="5" t="str">
        <x:v>再次进入不扣减金币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LIVE-013。</x:v>
      </x:c>
    </x:row>
    <x:row r="26" ht="43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门票房进房</x:v>
      </x:c>
      <x:c r="E26" s="5" t="str">
        <x:v>逻辑校验</x:v>
      </x:c>
      <x:c r="F26" s="5" t="str">
        <x:v>P1</x:v>
      </x:c>
      <x:c r="G26" s="5" t="str">
        <x:v>验证重复进房不生成重复流水</x:v>
      </x:c>
      <x:c r="H26" s="5" t="str">
        <x:v>重复进房流水</x:v>
      </x:c>
      <x:c r="I26" s="5" t="str">
        <x:v>1. 用户已购买目标门票房当前场次门票
2. 当前场次尚未结束且用户未被踢出</x:v>
      </x:c>
      <x:c r="J26" s="5" t="str">
        <x:v>1. 记录购票流水数量
2. 退出并重新进入同一门票场次
3. 再次查看消费明细</x:v>
      </x:c>
      <x:c r="K26" s="5" t="str">
        <x:v>消费明细不新增重复门票记录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LIVE-013。</x:v>
      </x:c>
    </x:row>
    <x:row r="27" ht="43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门票房进房</x:v>
      </x:c>
      <x:c r="E27" s="5" t="str">
        <x:v>逻辑校验</x:v>
      </x:c>
      <x:c r="F27" s="5" t="str">
        <x:v>P1</x:v>
      </x:c>
      <x:c r="G27" s="5" t="str">
        <x:v>验证直播结束后原门票失效</x:v>
      </x:c>
      <x:c r="H27" s="5" t="str">
        <x:v>场次结束后门票失效</x:v>
      </x:c>
      <x:c r="I27" s="5" t="str">
        <x:v>1. 用户已购买场次 A 的门票
2. 场次 A 已结束
3. 同一主播开启新的门票场次 B</x:v>
      </x:c>
      <x:c r="J27" s="5" t="str">
        <x:v>1. 点击场次 B 的直播卡片</x:v>
      </x:c>
      <x:c r="K27" s="5" t="str">
        <x:v>场次 A 结束后原门票失效，进入场次 B 时重新展示场次 B 的购票信息</x:v>
      </x:c>
      <x:c r="L27" s="5" t="str"/>
      <x:c r="M27" s="5" t="str">
        <x:v>未测</x:v>
      </x:c>
      <x:c r="N27" s="5" t="str"/>
      <x:c r="O27" s="5" t="str">
        <x:v>1. 来源：context/01-用户主播App-项目需求清单.md
2. 追溯：业务底稿 LIVE-014。</x:v>
      </x:c>
    </x:row>
    <x:row r="28" ht="67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验证门票房被踢后的进房限制</x:v>
      </x:c>
      <x:c r="H28" s="5" t="str">
        <x:v>被踢后进房限制</x:v>
      </x:c>
      <x:c r="I28" s="5" t="str">
        <x:v>1. 用户已购买并进入当前门票房
2. 用户金币余额和购票流水已记录</x:v>
      </x:c>
      <x:c r="J28" s="5" t="str">
        <x:v>1. 由主播将该用户踢出直播间
2. 用户再次尝试进入当前场次
3. 查看金币余额和消费明细</x:v>
      </x:c>
      <x:c r="K28" s="5" t="str">
        <x:v>用户被踢出门票房后离开当前直播间，本场次不可重新进入</x:v>
      </x:c>
      <x:c r="L28" s="5" t="str">
        <x:v>FLOW-LIVE-002</x:v>
      </x:c>
      <x:c r="M28" s="5" t="str">
        <x:v>未测</x:v>
      </x:c>
      <x:c r="N28" s="5" t="str"/>
      <x:c r="O28" s="5" t="str">
        <x:v>1. 来源：context/01-用户主播App-角色与用例.md
2. 来源：context/01-互动场景权限规则.md
3. 追溯：业务底稿 LIVE-015。
4. 流程：阶段 06：观众被踢后限制重进；共同业务对象：LIVE-SESSION-T01、USER-T01。</x:v>
      </x:c>
    </x:row>
    <x:row r="29" ht="67.5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P1</x:v>
      </x:c>
      <x:c r="G29" s="5" t="str">
        <x:v>验证门票房被踢后不退款</x:v>
      </x:c>
      <x:c r="H29" s="5" t="str">
        <x:v>被踢后门票退款</x:v>
      </x:c>
      <x:c r="I29" s="5" t="str">
        <x:v>1. 用户已购买并进入当前门票房
2. 用户金币余额和购票流水已记录</x:v>
      </x:c>
      <x:c r="J29" s="5" t="str">
        <x:v>1. 记录被踢前余额
2. 由主播踢出用户
3. 查看用户金币余额</x:v>
      </x:c>
      <x:c r="K29" s="5" t="str">
        <x:v>已支付门票不退回金币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来源：context/01-用户主播App-角色与用例.md
2. 来源：context/01-互动场景权限规则.md
3. 追溯：业务底稿 LIVE-015。
4. 流程：阶段 07：核对被踢后余额；共同业务对象：LIVE-SESSION-T01、USER-T01。</x:v>
      </x:c>
    </x:row>
    <x:row r="30" ht="67.5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验证门票房被踢后的消费流水</x:v>
      </x:c>
      <x:c r="H30" s="5" t="str">
        <x:v>被踢后门票流水</x:v>
      </x:c>
      <x:c r="I30" s="5" t="str">
        <x:v>1. 用户已购买并进入当前门票房
2. 用户金币余额和购票流水已记录</x:v>
      </x:c>
      <x:c r="J30" s="5" t="str">
        <x:v>1. 由主播踢出用户
2. 进入金币消费明细
3. 查看原门票流水和退款流水</x:v>
      </x:c>
      <x:c r="K30" s="5" t="str">
        <x:v>原消费明细保留且不生成退款流水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来源：context/01-用户主播App-角色与用例.md
2. 来源：context/01-互动场景权限规则.md
3. 追溯：业务底稿 LIVE-015。
4. 流程：阶段 08：核对被踢后流水；共同业务对象：LIVE-SESSION-T01、USER-T01。</x:v>
      </x:c>
    </x:row>
    <x:row r="31" ht="79.5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密码房进房</x:v>
      </x:c>
      <x:c r="E31" s="5" t="str">
        <x:v>业务流程</x:v>
      </x:c>
      <x:c r="F31" s="5" t="str">
        <x:v>P0</x:v>
      </x:c>
      <x:c r="G31" s="5" t="str">
        <x:v>验证用户输入有效密码进入密码房</x:v>
      </x:c>
      <x:c r="H31" s="5" t="str">
        <x:v>有效密码进房</x:v>
      </x:c>
      <x:c r="I31" s="5" t="str">
        <x:v>1. 密码房灰度开关已开启
2. 目标密码房正在直播
3. 用户已获得当前房间密码</x:v>
      </x:c>
      <x:c r="J31" s="5" t="str">
        <x:v>1. 点击目标密码房入口
2. 输入当前房间密码
3. 点击“进入直播间”</x:v>
      </x:c>
      <x:c r="K31" s="5" t="str">
        <x:v>当前密码验证通过后进入目标密码房，直播画面开始播放</x:v>
      </x:c>
      <x:c r="L31" s="5" t="str">
        <x:v>FLOW-LIVE-003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</x:v>
      </x:c>
    </x:row>
    <x:row r="32" ht="43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密码房进房</x:v>
      </x:c>
      <x:c r="E32" s="5" t="str">
        <x:v>异常用例</x:v>
      </x:c>
      <x:c r="F32" s="5" t="str">
        <x:v>P1</x:v>
      </x:c>
      <x:c r="G32" s="5" t="str">
        <x:v>验证错误密码无法进入直播间</x:v>
      </x:c>
      <x:c r="H32" s="5" t="str">
        <x:v>错误密码进房拦截</x:v>
      </x:c>
      <x:c r="I32" s="5" t="str">
        <x:v>1. 目标密码房正在直播</x:v>
      </x:c>
      <x:c r="J32" s="5" t="str">
        <x:v>1. 点击目标密码房入口
2. 输入与当前密码不一致的内容
3. 点击“进入直播间”</x:v>
      </x:c>
      <x:c r="K32" s="5" t="str">
        <x:v>页面不进入直播间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LIVE-017。</x:v>
      </x:c>
    </x:row>
    <x:row r="33" ht="43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密码房进房</x:v>
      </x:c>
      <x:c r="E33" s="5" t="str">
        <x:v>异常用例</x:v>
      </x:c>
      <x:c r="F33" s="5" t="str">
        <x:v>P1</x:v>
      </x:c>
      <x:c r="G33" s="5" t="str">
        <x:v>验证错误密码校验提示</x:v>
      </x:c>
      <x:c r="H33" s="5" t="str">
        <x:v>错误密码提示</x:v>
      </x:c>
      <x:c r="I33" s="5" t="str">
        <x:v>1. 目标密码房正在直播</x:v>
      </x:c>
      <x:c r="J33" s="5" t="str">
        <x:v>1. 点击目标密码房入口
2. 输入与当前密码不一致的内容
3. 点击“进入直播间”</x:v>
      </x:c>
      <x:c r="K33" s="5" t="str">
        <x:v>密码输入区域显示“密码错误，请重新输入”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LIVE-017。</x:v>
      </x:c>
    </x:row>
    <x:row r="34" ht="43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密码房进房</x:v>
      </x:c>
      <x:c r="E34" s="5" t="str">
        <x:v>功能需求</x:v>
      </x:c>
      <x:c r="F34" s="5" t="str">
        <x:v>P2</x:v>
      </x:c>
      <x:c r="G34" s="5" t="str">
        <x:v>验证关闭密码输入后取消进房</x:v>
      </x:c>
      <x:c r="H34" s="5" t="str">
        <x:v>取消密码输入</x:v>
      </x:c>
      <x:c r="I34" s="5" t="str">
        <x:v>1. 密码输入面板已打开</x:v>
      </x:c>
      <x:c r="J34" s="5" t="str">
        <x:v>1. 填写任意密码
2. 点击关闭按钮</x:v>
      </x:c>
      <x:c r="K34" s="5" t="str">
        <x:v>密码输入面板关闭，用户停留在原页面且未进入目标直播间</x:v>
      </x:c>
      <x:c r="L34" s="5" t="str"/>
      <x:c r="M34" s="5" t="str">
        <x:v>未测</x:v>
      </x:c>
      <x:c r="N34" s="5" t="str"/>
      <x:c r="O34" s="5" t="str">
        <x:v>1. 来源：prototype/Luma Live-原型说明.md
2. 来源：对应 HTML 静态原型；未动态验证
3. 追溯：业务底稿 LIVE-018。</x:v>
      </x:c>
    </x:row>
    <x:row r="35" ht="67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密码房进房</x:v>
      </x:c>
      <x:c r="E35" s="5" t="str">
        <x:v>逻辑校验</x:v>
      </x:c>
      <x:c r="F35" s="5" t="str">
        <x:v>P1</x:v>
      </x:c>
      <x:c r="G35" s="5" t="str">
        <x:v>验证重置密码后旧密码失效</x:v>
      </x:c>
      <x:c r="H35" s="5" t="str">
        <x:v>旧密码失效</x:v>
      </x:c>
      <x:c r="I35" s="5" t="str">
        <x:v>1. 目标密码房正在直播
2. 主播已将房间密码从旧值重置为新值</x:v>
      </x:c>
      <x:c r="J35" s="5" t="str">
        <x:v>1. 使用旧密码尝试进入</x:v>
      </x:c>
      <x:c r="K35" s="5" t="str">
        <x:v>旧密码验证失败且用户不能进入</x:v>
      </x:c>
      <x:c r="L35" s="5" t="str">
        <x:v>FLOW-LIVE-003</x:v>
      </x:c>
      <x:c r="M35" s="5" t="str">
        <x:v>未测</x:v>
      </x:c>
      <x:c r="N35" s="5" t="str"/>
      <x:c r="O35" s="5" t="str">
        <x:v>1. 来源：context/01-用户主播App-角色与用例.md
2. 来源：context/01-互动场景权限规则.md
3. 追溯：业务底稿 LIVE-019。
4. 流程：阶段 04：观众使用旧密码验证；共同业务对象：LIVE-SESSION-P01、USER-P01。</x:v>
      </x:c>
    </x:row>
    <x:row r="36" ht="67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密码房进房</x:v>
      </x:c>
      <x:c r="E36" s="5" t="str">
        <x:v>逻辑校验</x:v>
      </x:c>
      <x:c r="F36" s="5" t="str">
        <x:v>P1</x:v>
      </x:c>
      <x:c r="G36" s="5" t="str">
        <x:v>验证重置密码后新密码生效</x:v>
      </x:c>
      <x:c r="H36" s="5" t="str">
        <x:v>新密码生效</x:v>
      </x:c>
      <x:c r="I36" s="5" t="str">
        <x:v>1. 目标密码房正在直播
2. 主播已将房间密码从旧值重置为新值</x:v>
      </x:c>
      <x:c r="J36" s="5" t="str">
        <x:v>1. 使用新密码尝试进入</x:v>
      </x:c>
      <x:c r="K36" s="5" t="str">
        <x:v>新密码验证通过并进入目标密码房</x:v>
      </x:c>
      <x:c r="L36" s="5" t="str">
        <x:v>FLOW-LIVE-003</x:v>
      </x:c>
      <x:c r="M36" s="5" t="str">
        <x:v>未测</x:v>
      </x:c>
      <x:c r="N36" s="5" t="str"/>
      <x:c r="O36" s="5" t="str">
        <x:v>1. 来源：context/01-用户主播App-角色与用例.md
2. 来源：context/01-互动场景权限规则.md
3. 追溯：业务底稿 LIVE-019。
4. 流程：阶段 05：观众使用新密码验证；共同业务对象：LIVE-SESSION-P01、USER-P01。</x:v>
      </x:c>
    </x:row>
    <x:row r="37" ht="43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密码房进房</x:v>
      </x:c>
      <x:c r="E37" s="5" t="str">
        <x:v>逻辑校验</x:v>
      </x:c>
      <x:c r="F37" s="5" t="str">
        <x:v>P1</x:v>
      </x:c>
      <x:c r="G37" s="5" t="str">
        <x:v>验证隐藏展示入口不绕过密码校验</x:v>
      </x:c>
      <x:c r="H37" s="5" t="str">
        <x:v>隐藏房间仍校验密码</x:v>
      </x:c>
      <x:c r="I37" s="5" t="str">
        <x:v>1. 主播关闭密码房的广场展示
2. 用户通过已知房间号或授权入口找到该房间</x:v>
      </x:c>
      <x:c r="J37" s="5" t="str">
        <x:v>1. 点击目标密码房入口</x:v>
      </x:c>
      <x:c r="K37" s="5" t="str">
        <x:v>隐藏密码房的可见入口不能绕过进房密码校验，未验证用户无法观看直播</x:v>
      </x:c>
      <x:c r="L37" s="5" t="str"/>
      <x:c r="M37" s="5" t="str">
        <x:v>未测</x:v>
      </x:c>
      <x:c r="N37" s="5" t="str"/>
      <x:c r="O37" s="5" t="str">
        <x:v>1. 来源：context/01-用户主播App-角色与用例.md
2. 来源：prototype/assets/annotations.js
3. 追溯：业务底稿 LIVE-020。</x:v>
      </x:c>
    </x:row>
    <x:row r="38" ht="43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观众互动</x:v>
      </x:c>
      <x:c r="E38" s="5" t="str">
        <x:v>功能需求</x:v>
      </x:c>
      <x:c r="F38" s="5" t="str">
        <x:v>P1</x:v>
      </x:c>
      <x:c r="G38" s="5" t="str">
        <x:v>验证观众关注直播中的主播</x:v>
      </x:c>
      <x:c r="H38" s="5" t="str">
        <x:v>直播间关注主播</x:v>
      </x:c>
      <x:c r="I38" s="5" t="str">
        <x:v>1. 用户正在观看直播
2. 用户尚未关注当前主播</x:v>
      </x:c>
      <x:c r="J38" s="5" t="str">
        <x:v>1. 点击主播信息区域的关注按钮</x:v>
      </x:c>
      <x:c r="K38" s="5" t="str">
        <x:v>当前用户与主播建立关注关系，直播间关注按钮回显已关注状态</x:v>
      </x:c>
      <x:c r="L38" s="5" t="str"/>
      <x:c r="M38" s="5" t="str">
        <x:v>未测</x:v>
      </x:c>
      <x:c r="N38" s="5" t="str"/>
      <x:c r="O38" s="5" t="str">
        <x:v>1. 来源：context/01-用户主播App-项目需求清单.md
2. 来源：对应 HTML 静态原型；未动态验证
3. 追溯：业务底稿 LIVE-021。</x:v>
      </x:c>
    </x:row>
    <x:row r="39" ht="43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观众互动</x:v>
      </x:c>
      <x:c r="E39" s="5" t="str">
        <x:v>业务流程</x:v>
      </x:c>
      <x:c r="F39" s="5" t="str">
        <x:v>P0</x:v>
      </x:c>
      <x:c r="G39" s="5" t="str">
        <x:v>验证公屏文字消息展示</x:v>
      </x:c>
      <x:c r="H39" s="5" t="str">
        <x:v>公屏文字展示</x:v>
      </x:c>
      <x:c r="I39" s="5" t="str">
        <x:v>1. 用户已进入直播间
2. 用户未被禁言或平台封禁</x:v>
      </x:c>
      <x:c r="J39" s="5" t="str">
        <x:v>1. 在评论框输入“今晚的歌很好听”
2. 点击“发送”</x:v>
      </x:c>
      <x:c r="K39" s="5" t="str">
        <x:v>公屏新增当前用户发送的文字消息，消息展示当前用户昵称及已有身份标识</x:v>
      </x:c>
      <x:c r="L39" s="5" t="str"/>
      <x:c r="M39" s="5" t="str">
        <x:v>未测</x:v>
      </x:c>
      <x:c r="N39" s="5" t="str"/>
      <x:c r="O39" s="5" t="str">
        <x:v>1. 来源：context/01-用户主播App-项目需求清单.md
2. 来源：对应 HTML 静态原型；未动态验证
3. 追溯：业务底稿 LIVE-022。</x:v>
      </x:c>
    </x:row>
    <x:row r="40" ht="43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观众互动</x:v>
      </x:c>
      <x:c r="E40" s="5" t="str">
        <x:v>业务流程</x:v>
      </x:c>
      <x:c r="F40" s="5" t="str">
        <x:v>P1</x:v>
      </x:c>
      <x:c r="G40" s="5" t="str">
        <x:v>验证消息发送后的输入区状态</x:v>
      </x:c>
      <x:c r="H40" s="5" t="str">
        <x:v>发送后输入区复位</x:v>
      </x:c>
      <x:c r="I40" s="5" t="str">
        <x:v>1. 用户已进入直播间
2. 用户未被禁言或平台封禁</x:v>
      </x:c>
      <x:c r="J40" s="5" t="str">
        <x:v>1. 在评论框输入“今晚的歌很好听”
2. 点击“发送”</x:v>
      </x:c>
      <x:c r="K40" s="5" t="str">
        <x:v>输入框清空且发送按钮恢复不可用状态</x:v>
      </x:c>
      <x:c r="L40" s="5" t="str"/>
      <x:c r="M40" s="5" t="str">
        <x:v>未测</x:v>
      </x:c>
      <x:c r="N40" s="5" t="str"/>
      <x:c r="O40" s="5" t="str">
        <x:v>1. 来源：context/01-用户主播App-项目需求清单.md
2. 来源：对应 HTML 静态原型；未动态验证
3. 追溯：业务底稿 LIVE-022。</x:v>
      </x:c>
    </x:row>
    <x:row r="41" ht="43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观众互动</x:v>
      </x:c>
      <x:c r="E41" s="5" t="str">
        <x:v>逻辑校验</x:v>
      </x:c>
      <x:c r="F41" s="5" t="str">
        <x:v>P2</x:v>
      </x:c>
      <x:c r="G41" s="5" t="str">
        <x:v>验证空白评论不能发送</x:v>
      </x:c>
      <x:c r="H41" s="5" t="str">
        <x:v>空白评论拦截</x:v>
      </x:c>
      <x:c r="I41" s="5" t="str">
        <x:v>1. 用户已进入直播间且可发言</x:v>
      </x:c>
      <x:c r="J41" s="5" t="str">
        <x:v>1. 在评论框输入空格
2. 观察发送按钮
3. 尝试提交</x:v>
      </x:c>
      <x:c r="K41" s="5" t="str">
        <x:v>空白内容不能提交，公屏不新增消息</x:v>
      </x:c>
      <x:c r="L41" s="5" t="str"/>
      <x:c r="M41" s="5" t="str">
        <x:v>未测</x:v>
      </x:c>
      <x:c r="N41" s="5" t="str"/>
      <x:c r="O41" s="5" t="str">
        <x:v>1. 来源：对应 HTML 静态原型；未动态验证
2. 追溯：业务底稿 LIVE-023。</x:v>
      </x:c>
    </x:row>
    <x:row r="42" ht="31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观众互动</x:v>
      </x:c>
      <x:c r="E42" s="5" t="str">
        <x:v>逻辑校验</x:v>
      </x:c>
      <x:c r="F42" s="5" t="str">
        <x:v>P2</x:v>
      </x:c>
      <x:c r="G42" s="5" t="str">
        <x:v>验证 80 字评论可以发送</x:v>
      </x:c>
      <x:c r="H42" s="5" t="str">
        <x:v>评论 80 字边界</x:v>
      </x:c>
      <x:c r="I42" s="5" t="str">
        <x:v>1. 用户已进入直播间且可发言</x:v>
      </x:c>
      <x:c r="J42" s="5" t="str">
        <x:v>1. 输入 80 个字符
2. 点击“发送”</x:v>
      </x:c>
      <x:c r="K42" s="5" t="str">
        <x:v>80 个字符的消息可提交并展示在公屏</x:v>
      </x:c>
      <x:c r="L42" s="5" t="str"/>
      <x:c r="M42" s="5" t="str">
        <x:v>未测</x:v>
      </x:c>
      <x:c r="N42" s="5" t="str"/>
      <x:c r="O42" s="5" t="str">
        <x:v>1. 来源：对应 HTML 静态原型；未动态验证
2. 追溯：业务底稿 LIVE-024。</x:v>
      </x:c>
    </x:row>
    <x:row r="43" ht="31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观众互动</x:v>
      </x:c>
      <x:c r="E43" s="5" t="str">
        <x:v>逻辑校验</x:v>
      </x:c>
      <x:c r="F43" s="5" t="str">
        <x:v>P2</x:v>
      </x:c>
      <x:c r="G43" s="5" t="str">
        <x:v>验证评论输入长度上限</x:v>
      </x:c>
      <x:c r="H43" s="5" t="str">
        <x:v>评论超长限制</x:v>
      </x:c>
      <x:c r="I43" s="5" t="str">
        <x:v>1. 用户已进入直播间且可发言</x:v>
      </x:c>
      <x:c r="J43" s="5" t="str">
        <x:v>1. 输入超过 80 个字符的内容</x:v>
      </x:c>
      <x:c r="K43" s="5" t="str">
        <x:v>输入框最多保留 80 个字符</x:v>
      </x:c>
      <x:c r="L43" s="5" t="str"/>
      <x:c r="M43" s="5" t="str">
        <x:v>未测</x:v>
      </x:c>
      <x:c r="N43" s="5" t="str"/>
      <x:c r="O43" s="5" t="str">
        <x:v>1. 来源：对应 HTML 静态原型；未动态验证
2. 追溯：业务底稿 LIVE-024。</x:v>
      </x:c>
    </x:row>
    <x:row r="44" ht="43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观众互动</x:v>
      </x:c>
      <x:c r="E44" s="5" t="str">
        <x:v>逻辑校验</x:v>
      </x:c>
      <x:c r="F44" s="5" t="str">
        <x:v>P1</x:v>
      </x:c>
      <x:c r="G44" s="5" t="str">
        <x:v>验证禁言用户无法发送评论</x:v>
      </x:c>
      <x:c r="H44" s="5" t="str">
        <x:v>禁言发送限制</x:v>
      </x:c>
      <x:c r="I44" s="5" t="str">
        <x:v>1. 用户已被主播或房管设置为当前场次禁言</x:v>
      </x:c>
      <x:c r="J44" s="5" t="str">
        <x:v>1. 查看评论输入区域
2. 尝试点击并输入内容</x:v>
      </x:c>
      <x:c r="K44" s="5" t="str">
        <x:v>评论输入区域显示“已被禁言”，用户不能输入或发送公屏消息</x:v>
      </x:c>
      <x:c r="L44" s="5" t="str"/>
      <x:c r="M44" s="5" t="str">
        <x:v>未测</x:v>
      </x:c>
      <x:c r="N44" s="5" t="str"/>
      <x:c r="O44" s="5" t="str">
        <x:v>1. 来源：context/01-互动场景权限规则.md
2. 来源：prototype/assets/annotations.js
3. 追溯：业务底稿 LIVE-025。</x:v>
      </x:c>
    </x:row>
    <x:row r="45" ht="43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观众互动</x:v>
      </x:c>
      <x:c r="E45" s="5" t="str">
        <x:v>逻辑校验</x:v>
      </x:c>
      <x:c r="F45" s="5" t="str">
        <x:v>P1</x:v>
      </x:c>
      <x:c r="G45" s="5" t="str">
        <x:v>验证禁言不删除历史消息</x:v>
      </x:c>
      <x:c r="H45" s="5" t="str">
        <x:v>禁言历史消息</x:v>
      </x:c>
      <x:c r="I45" s="5" t="str">
        <x:v>1. 用户已被主播或房管设置为当前场次禁言</x:v>
      </x:c>
      <x:c r="J45" s="5" t="str">
        <x:v>1. 查看评论输入区域
2. 尝试点击并输入内容</x:v>
      </x:c>
      <x:c r="K45" s="5" t="str">
        <x:v>用户已发送的历史消息仍保留</x:v>
      </x:c>
      <x:c r="L45" s="5" t="str"/>
      <x:c r="M45" s="5" t="str">
        <x:v>未测</x:v>
      </x:c>
      <x:c r="N45" s="5" t="str"/>
      <x:c r="O45" s="5" t="str">
        <x:v>1. 来源：context/01-互动场景权限规则.md
2. 来源：prototype/assets/annotations.js
3. 追溯：业务底稿 LIVE-025。</x:v>
      </x:c>
    </x:row>
    <x:row r="46" ht="43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观众互动</x:v>
      </x:c>
      <x:c r="E46" s="5" t="str">
        <x:v>功能需求</x:v>
      </x:c>
      <x:c r="F46" s="5" t="str">
        <x:v>P2</x:v>
      </x:c>
      <x:c r="G46" s="5" t="str">
        <x:v>验证从直播间进入主播主页</x:v>
      </x:c>
      <x:c r="H46" s="5" t="str">
        <x:v>主播主页入口</x:v>
      </x:c>
      <x:c r="I46" s="5" t="str">
        <x:v>1. 用户正在观看直播</x:v>
      </x:c>
      <x:c r="J46" s="5" t="str">
        <x:v>1. 点击直播间顶部主播头像或昵称</x:v>
      </x:c>
      <x:c r="K46" s="5" t="str">
        <x:v>页面进入当前主播主页，主播主页展示的账号与当前直播间主播一致</x:v>
      </x:c>
      <x:c r="L46" s="5" t="str"/>
      <x:c r="M46" s="5" t="str">
        <x:v>未测</x:v>
      </x:c>
      <x:c r="N46" s="5" t="str"/>
      <x:c r="O46" s="5" t="str">
        <x:v>1. 来源：context/01-用户主播App-项目需求清单.md
2. 来源：prototype/Luma Live-原型说明.md
3. 追溯：业务底稿 LIVE-026。</x:v>
      </x:c>
    </x:row>
    <x:row r="47" ht="43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观众互动</x:v>
      </x:c>
      <x:c r="E47" s="5" t="str">
        <x:v>功能需求</x:v>
      </x:c>
      <x:c r="F47" s="5" t="str">
        <x:v>P2</x:v>
      </x:c>
      <x:c r="G47" s="5" t="str">
        <x:v>验证查看当前在线观众列表</x:v>
      </x:c>
      <x:c r="H47" s="5" t="str">
        <x:v>在线观众列表</x:v>
      </x:c>
      <x:c r="I47" s="5" t="str">
        <x:v>1. 直播间内存在多名在线观众</x:v>
      </x:c>
      <x:c r="J47" s="5" t="str">
        <x:v>1. 点击直播间在线人数或头像入口</x:v>
      </x:c>
      <x:c r="K47" s="5" t="str">
        <x:v>页面打开当前直播间在线观众列表，列表中的用户均属于当前场次在线范围</x:v>
      </x:c>
      <x:c r="L47" s="5" t="str"/>
      <x:c r="M47" s="5" t="str">
        <x:v>未测</x:v>
      </x:c>
      <x:c r="N47" s="5" t="str"/>
      <x:c r="O47" s="5" t="str">
        <x:v>1. 来源：context/01-用户主播App-项目需求清单.md
2. 来源：prototype/assets/annotations.js
3. 追溯：业务底稿 LIVE-027。</x:v>
      </x:c>
    </x:row>
    <x:row r="48" ht="43.5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观众互动</x:v>
      </x:c>
      <x:c r="E48" s="5" t="str">
        <x:v>功能需求</x:v>
      </x:c>
      <x:c r="F48" s="5" t="str">
        <x:v>P2</x:v>
      </x:c>
      <x:c r="G48" s="5" t="str">
        <x:v>验证查看本场贡献榜</x:v>
      </x:c>
      <x:c r="H48" s="5" t="str">
        <x:v>本场贡献榜</x:v>
      </x:c>
      <x:c r="I48" s="5" t="str">
        <x:v>1. 当前场次已有用户送礼或购票贡献记录</x:v>
      </x:c>
      <x:c r="J48" s="5" t="str">
        <x:v>1. 点击“本场贡献榜”入口</x:v>
      </x:c>
      <x:c r="K48" s="5" t="str">
        <x:v>贡献榜仅展示当前直播场次的用户贡献数据和对应数值</x:v>
      </x:c>
      <x:c r="L48" s="5" t="str"/>
      <x:c r="M48" s="5" t="str">
        <x:v>未测</x:v>
      </x:c>
      <x:c r="N48" s="5" t="str"/>
      <x:c r="O48" s="5" t="str">
        <x:v>1. 来源：context/01-用户主播App-项目需求清单.md
2. 来源：prototype/assets/annotations.js
3. 追溯：业务底稿 LIVE-028。</x:v>
      </x:c>
    </x:row>
    <x:row r="49" ht="43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观众互动</x:v>
      </x:c>
      <x:c r="E49" s="5" t="str">
        <x:v>功能需求</x:v>
      </x:c>
      <x:c r="F49" s="5" t="str">
        <x:v>P2</x:v>
      </x:c>
      <x:c r="G49" s="5" t="str">
        <x:v>验证观众主动退出后返回直播广场</x:v>
      </x:c>
      <x:c r="H49" s="5" t="str">
        <x:v>观众退出返回</x:v>
      </x:c>
      <x:c r="I49" s="5" t="str">
        <x:v>1. 用户正在观看直播</x:v>
      </x:c>
      <x:c r="J49" s="5" t="str">
        <x:v>1. 点击直播间退出按钮</x:v>
      </x:c>
      <x:c r="K49" s="5" t="str">
        <x:v>页面离开当前直播间并返回直播广场</x:v>
      </x:c>
      <x:c r="L49" s="5" t="str"/>
      <x:c r="M49" s="5" t="str">
        <x:v>未测</x:v>
      </x:c>
      <x:c r="N49" s="5" t="str"/>
      <x:c r="O49" s="5" t="str">
        <x:v>1. 来源：prototype/Luma Live-原型说明.md
2. 来源：对应 HTML 静态原型；未动态验证
3. 追溯：业务底稿 LIVE-029。</x:v>
      </x:c>
    </x:row>
    <x:row r="50" ht="43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观众互动</x:v>
      </x:c>
      <x:c r="E50" s="5" t="str">
        <x:v>功能需求</x:v>
      </x:c>
      <x:c r="F50" s="5" t="str">
        <x:v>P2</x:v>
      </x:c>
      <x:c r="G50" s="5" t="str">
        <x:v>验证观众退出不结束直播场次</x:v>
      </x:c>
      <x:c r="H50" s="5" t="str">
        <x:v>观众退出场次状态</x:v>
      </x:c>
      <x:c r="I50" s="5" t="str">
        <x:v>1. 用户正在观看直播</x:v>
      </x:c>
      <x:c r="J50" s="5" t="str">
        <x:v>1. 点击直播间退出按钮</x:v>
      </x:c>
      <x:c r="K50" s="5" t="str">
        <x:v>主播直播场次保持进行中</x:v>
      </x:c>
      <x:c r="L50" s="5" t="str"/>
      <x:c r="M50" s="5" t="str">
        <x:v>未测</x:v>
      </x:c>
      <x:c r="N50" s="5" t="str"/>
      <x:c r="O50" s="5" t="str">
        <x:v>1. 来源：prototype/Luma Live-原型说明.md
2. 来源：对应 HTML 静态原型；未动态验证
3. 追溯：业务底稿 LIVE-029。</x:v>
      </x:c>
    </x:row>
    <x:row r="51" ht="43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直播送礼</x:v>
      </x:c>
      <x:c r="E51" s="5" t="str">
        <x:v>功能需求</x:v>
      </x:c>
      <x:c r="F51" s="5" t="str">
        <x:v>P1</x:v>
      </x:c>
      <x:c r="G51" s="5" t="str">
        <x:v>验证礼物面板展示可赠送信息</x:v>
      </x:c>
      <x:c r="H51" s="5" t="str">
        <x:v>礼物面板内容</x:v>
      </x:c>
      <x:c r="I51" s="5" t="str">
        <x:v>1. 用户正在观看直播
2. 后台已上架礼物并配置价格和分类</x:v>
      </x:c>
      <x:c r="J51" s="5" t="str">
        <x:v>1. 点击礼物按钮
2. 切换礼物分类</x:v>
      </x:c>
      <x:c r="K51" s="5" t="str">
        <x:v>面板展示礼物分类、图标、名称和金币价格，面板展示当前金币余额和充值入口，切换分类后仅展示该分类的可用礼物</x:v>
      </x:c>
      <x:c r="L51" s="5" t="str"/>
      <x:c r="M51" s="5" t="str">
        <x:v>未测</x:v>
      </x:c>
      <x:c r="N51" s="5" t="str"/>
      <x:c r="O51" s="5" t="str">
        <x:v>1. 来源：context/01-用户主播App-项目需求清单.md
2. 来源：对应 HTML 静态原型；未动态验证
3. 追溯：业务底稿 LIVE-030。</x:v>
      </x:c>
    </x:row>
    <x:row r="52" ht="55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直播送礼</x:v>
      </x:c>
      <x:c r="E52" s="5" t="str">
        <x:v>业务流程</x:v>
      </x:c>
      <x:c r="F52" s="5" t="str">
        <x:v>P0</x:v>
      </x:c>
      <x:c r="G52" s="5" t="str">
        <x:v>验证普通礼物扣费和用户余额</x:v>
      </x:c>
      <x:c r="H52" s="5" t="str">
        <x:v>用户扣费与余额</x:v>
      </x:c>
      <x:c r="I52" s="5" t="str">
        <x:v>1. 普通礼物“鲜花”单价为 20 金币
2. 用户余额为 100 金币
3. 主播当前实时收益为 500 金币</x:v>
      </x:c>
      <x:c r="J52" s="5" t="str">
        <x:v>1. 打开礼物面板
2. 选择“鲜花”及数量 1
3. 点击赠送</x:v>
      </x:c>
      <x:c r="K52" s="5" t="str">
        <x:v>用户消费金额 = 20 × 1 = 20 金币，余额 = 100 - 20 = 80 金币</x:v>
      </x:c>
      <x:c r="L52" s="5" t="str">
        <x:v>FLOW-LIVE-004</x:v>
      </x:c>
      <x:c r="M52" s="5" t="str">
        <x:v>未测</x:v>
      </x:c>
      <x:c r="N52" s="5" t="str"/>
      <x:c r="O52" s="5" t="str">
        <x:v>1. 来源：context/01-用户主播App-项目需求清单.md
2. 来源：context/01-用户主播App-角色与用例.md
3. 追溯：业务底稿 LIVE-031。
4. 流程：阶段 01：观众送礼并核对余额；共同业务对象：GIFT-TXN-01。</x:v>
      </x:c>
    </x:row>
    <x:row r="53" ht="55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直播送礼</x:v>
      </x:c>
      <x:c r="E53" s="5" t="str">
        <x:v>业务流程</x:v>
      </x:c>
      <x:c r="F53" s="5" t="str">
        <x:v>P1</x:v>
      </x:c>
      <x:c r="G53" s="5" t="str">
        <x:v>验证普通礼物计入主播实时收益</x:v>
      </x:c>
      <x:c r="H53" s="5" t="str">
        <x:v>主播实时收益</x:v>
      </x:c>
      <x:c r="I53" s="5" t="str">
        <x:v>1. 普通礼物“鲜花”单价为 20 金币
2. 用户余额为 100 金币
3. 主播当前实时收益为 500 金币</x:v>
      </x:c>
      <x:c r="J53" s="5" t="str">
        <x:v>1. 记录主播当前实时收益
2. 观众赠送 1 个鲜花
3. 切换到主播端查看实时收益</x:v>
      </x:c>
      <x:c r="K53" s="5" t="str">
        <x:v>主播实时收益 = 500 + 20 = 520 金币</x:v>
      </x:c>
      <x:c r="L53" s="5" t="str">
        <x:v>FLOW-LIVE-004</x:v>
      </x:c>
      <x:c r="M53" s="5" t="str">
        <x:v>未测</x:v>
      </x:c>
      <x:c r="N53" s="5" t="str"/>
      <x:c r="O53" s="5" t="str">
        <x:v>1. 来源：context/01-用户主播App-项目需求清单.md
2. 来源：context/01-用户主播App-角色与用例.md
3. 追溯：业务底稿 LIVE-031。
4. 流程：阶段 02：主播核对实时收益；共同业务对象：GIFT-TXN-01。</x:v>
      </x:c>
    </x:row>
    <x:row r="54" ht="55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直播送礼</x:v>
      </x:c>
      <x:c r="E54" s="5" t="str">
        <x:v>业务流程</x:v>
      </x:c>
      <x:c r="F54" s="5" t="str">
        <x:v>P1</x:v>
      </x:c>
      <x:c r="G54" s="5" t="str">
        <x:v>验证普通礼物生成公屏播报</x:v>
      </x:c>
      <x:c r="H54" s="5" t="str">
        <x:v>公屏送礼播报</x:v>
      </x:c>
      <x:c r="I54" s="5" t="str">
        <x:v>1. 普通礼物“鲜花”单价为 20 金币
2. 用户余额为 100 金币
3. 主播当前实时收益为 500 金币</x:v>
      </x:c>
      <x:c r="J54" s="5" t="str">
        <x:v>1. 观众赠送 1 个鲜花
2. 查看直播间公屏</x:v>
      </x:c>
      <x:c r="K54" s="5" t="str">
        <x:v>公屏新增当前用户“送出 鲜花”的播报</x:v>
      </x:c>
      <x:c r="L54" s="5" t="str">
        <x:v>FLOW-LIVE-004</x:v>
      </x:c>
      <x:c r="M54" s="5" t="str">
        <x:v>未测</x:v>
      </x:c>
      <x:c r="N54" s="5" t="str"/>
      <x:c r="O54" s="5" t="str">
        <x:v>1. 来源：context/01-用户主播App-项目需求清单.md
2. 来源：context/01-用户主播App-角色与用例.md
3. 追溯：业务底稿 LIVE-031。
4. 流程：阶段 03：直播间核对礼物播报；共同业务对象：GIFT-TXN-01。</x:v>
      </x:c>
    </x:row>
    <x:row r="55" ht="55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直播送礼</x:v>
      </x:c>
      <x:c r="E55" s="5" t="str">
        <x:v>业务流程</x:v>
      </x:c>
      <x:c r="F55" s="5" t="str">
        <x:v>P1</x:v>
      </x:c>
      <x:c r="G55" s="5" t="str">
        <x:v>验证普通礼物生成消费流水</x:v>
      </x:c>
      <x:c r="H55" s="5" t="str">
        <x:v>礼物消费流水</x:v>
      </x:c>
      <x:c r="I55" s="5" t="str">
        <x:v>1. 普通礼物“鲜花”单价为 20 金币
2. 用户余额为 100 金币
3. 主播当前实时收益为 500 金币</x:v>
      </x:c>
      <x:c r="J55" s="5" t="str">
        <x:v>1. 观众赠送 1 个鲜花
2. 进入用户金币消费明细
3. 查看本次礼物流水</x:v>
      </x:c>
      <x:c r="K55" s="5" t="str">
        <x:v>消费流水记录礼物、数量、20 金币和当前直播场次</x:v>
      </x:c>
      <x:c r="L55" s="5" t="str">
        <x:v>FLOW-LIVE-004</x:v>
      </x:c>
      <x:c r="M55" s="5" t="str">
        <x:v>未测</x:v>
      </x:c>
      <x:c r="N55" s="5" t="str"/>
      <x:c r="O55" s="5" t="str">
        <x:v>1. 来源：context/01-用户主播App-项目需求清单.md
2. 来源：context/01-用户主播App-角色与用例.md
3. 追溯：业务底稿 LIVE-031。
4. 流程：阶段 04：用户核对消费流水；共同业务对象：GIFT-TXN-01。</x:v>
      </x:c>
    </x:row>
    <x:row r="56" ht="31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直播送礼</x:v>
      </x:c>
      <x:c r="E56" s="5" t="str">
        <x:v>异常用例</x:v>
      </x:c>
      <x:c r="F56" s="5" t="str">
        <x:v>P1</x:v>
      </x:c>
      <x:c r="G56" s="5" t="str">
        <x:v>验证余额不足时拒绝送礼</x:v>
      </x:c>
      <x:c r="H56" s="5" t="str">
        <x:v>余额不足送礼拦截</x:v>
      </x:c>
      <x:c r="I56" s="5" t="str">
        <x:v>1. 目标礼物总价为 100 金币
2. 用户余额为 99 金币</x:v>
      </x:c>
      <x:c r="J56" s="5" t="str">
        <x:v>1. 选择目标礼物和数量
2. 点击赠送</x:v>
      </x:c>
      <x:c r="K56" s="5" t="str">
        <x:v>余额 19 金币小于礼物价格 20 金币时，目标礼物不送出，用户余额保持 19 金币</x:v>
      </x:c>
      <x:c r="L56" s="5" t="str"/>
      <x:c r="M56" s="5" t="str">
        <x:v>未测</x:v>
      </x:c>
      <x:c r="N56" s="5" t="str"/>
      <x:c r="O56" s="5" t="str">
        <x:v>1. 来源：context/01-用户主播App-项目需求清单.md
2. 追溯：业务底稿 LIVE-032。</x:v>
      </x:c>
    </x:row>
    <x:row r="57" ht="31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直播送礼</x:v>
      </x:c>
      <x:c r="E57" s="5" t="str">
        <x:v>异常用例</x:v>
      </x:c>
      <x:c r="F57" s="5" t="str">
        <x:v>P1</x:v>
      </x:c>
      <x:c r="G57" s="5" t="str">
        <x:v>验证送礼失败不增加主播收益</x:v>
      </x:c>
      <x:c r="H57" s="5" t="str">
        <x:v>送礼失败主播收益</x:v>
      </x:c>
      <x:c r="I57" s="5" t="str">
        <x:v>1. 目标礼物总价为 100 金币
2. 用户余额为 99 金币</x:v>
      </x:c>
      <x:c r="J57" s="5" t="str">
        <x:v>1. 选择目标礼物和数量
2. 点击赠送</x:v>
      </x:c>
      <x:c r="K57" s="5" t="str">
        <x:v>主播收益不变</x:v>
      </x:c>
      <x:c r="L57" s="5" t="str"/>
      <x:c r="M57" s="5" t="str">
        <x:v>未测</x:v>
      </x:c>
      <x:c r="N57" s="5" t="str"/>
      <x:c r="O57" s="5" t="str">
        <x:v>1. 来源：context/01-用户主播App-项目需求清单.md
2. 追溯：业务底稿 LIVE-032。</x:v>
      </x:c>
    </x:row>
    <x:row r="58" ht="31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直播送礼</x:v>
      </x:c>
      <x:c r="E58" s="5" t="str">
        <x:v>异常用例</x:v>
      </x:c>
      <x:c r="F58" s="5" t="str">
        <x:v>P1</x:v>
      </x:c>
      <x:c r="G58" s="5" t="str">
        <x:v>验证送礼余额不足时提供充值入口</x:v>
      </x:c>
      <x:c r="H58" s="5" t="str">
        <x:v>送礼充值入口</x:v>
      </x:c>
      <x:c r="I58" s="5" t="str">
        <x:v>1. 目标礼物总价为 100 金币
2. 用户余额为 99 金币</x:v>
      </x:c>
      <x:c r="J58" s="5" t="str">
        <x:v>1. 选择目标礼物和数量
2. 点击赠送</x:v>
      </x:c>
      <x:c r="K58" s="5" t="str">
        <x:v>页面提供充值入口</x:v>
      </x:c>
      <x:c r="L58" s="5" t="str"/>
      <x:c r="M58" s="5" t="str">
        <x:v>未测</x:v>
      </x:c>
      <x:c r="N58" s="5" t="str"/>
      <x:c r="O58" s="5" t="str">
        <x:v>1. 来源：context/01-用户主播App-项目需求清单.md
2. 追溯：业务底稿 LIVE-032。</x:v>
      </x:c>
    </x:row>
    <x:row r="59" ht="31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直播送礼</x:v>
      </x:c>
      <x:c r="E59" s="5" t="str">
        <x:v>逻辑校验</x:v>
      </x:c>
      <x:c r="F59" s="5" t="str">
        <x:v>P1</x:v>
      </x:c>
      <x:c r="G59" s="5" t="str">
        <x:v>验证连送礼物累计扣费</x:v>
      </x:c>
      <x:c r="H59" s="5" t="str">
        <x:v>连送扣费与余额</x:v>
      </x:c>
      <x:c r="I59" s="5" t="str">
        <x:v>1. 目标普通礼物单价为 20 金币
2. 用户余额为 200 金币</x:v>
      </x:c>
      <x:c r="J59" s="5" t="str">
        <x:v>1. 选择目标礼物和数量 5
2. 点击赠送</x:v>
      </x:c>
      <x:c r="K59" s="5" t="str">
        <x:v>连续赠送 5 个单价 20 金币的礼物，本次消耗 = 20 × 5 = 100 金币，余额 = 200 - 100 = 100 金币</x:v>
      </x:c>
      <x:c r="L59" s="5" t="str"/>
      <x:c r="M59" s="5" t="str">
        <x:v>未测</x:v>
      </x:c>
      <x:c r="N59" s="5" t="str"/>
      <x:c r="O59" s="5" t="str">
        <x:v>1. 来源：context/01-用户主播App-项目需求清单.md
2. 追溯：业务底稿 LIVE-033。</x:v>
      </x:c>
    </x:row>
    <x:row r="60" ht="31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直播送礼</x:v>
      </x:c>
      <x:c r="E60" s="5" t="str">
        <x:v>逻辑校验</x:v>
      </x:c>
      <x:c r="F60" s="5" t="str">
        <x:v>P1</x:v>
      </x:c>
      <x:c r="G60" s="5" t="str">
        <x:v>验证连送礼物累计主播收益</x:v>
      </x:c>
      <x:c r="H60" s="5" t="str">
        <x:v>连送主播收益</x:v>
      </x:c>
      <x:c r="I60" s="5" t="str">
        <x:v>1. 目标普通礼物单价为 20 金币
2. 用户余额为 200 金币</x:v>
      </x:c>
      <x:c r="J60" s="5" t="str">
        <x:v>1. 选择目标礼物和数量 5
2. 点击赠送</x:v>
      </x:c>
      <x:c r="K60" s="5" t="str">
        <x:v>主播实时收益增加 100 金币</x:v>
      </x:c>
      <x:c r="L60" s="5" t="str"/>
      <x:c r="M60" s="5" t="str">
        <x:v>未测</x:v>
      </x:c>
      <x:c r="N60" s="5" t="str"/>
      <x:c r="O60" s="5" t="str">
        <x:v>1. 来源：context/01-用户主播App-项目需求清单.md
2. 追溯：业务底稿 LIVE-033。</x:v>
      </x:c>
    </x:row>
    <x:row r="61" ht="31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直播送礼</x:v>
      </x:c>
      <x:c r="E61" s="5" t="str">
        <x:v>逻辑校验</x:v>
      </x:c>
      <x:c r="F61" s="5" t="str">
        <x:v>P1</x:v>
      </x:c>
      <x:c r="G61" s="5" t="str">
        <x:v>验证连送礼物累计公屏数量</x:v>
      </x:c>
      <x:c r="H61" s="5" t="str">
        <x:v>连送公屏播报</x:v>
      </x:c>
      <x:c r="I61" s="5" t="str">
        <x:v>1. 目标普通礼物单价为 20 金币
2. 用户余额为 200 金币</x:v>
      </x:c>
      <x:c r="J61" s="5" t="str">
        <x:v>1. 选择目标礼物和数量 5
2. 点击赠送</x:v>
      </x:c>
      <x:c r="K61" s="5" t="str">
        <x:v>公屏播报目标礼物及累计数量 5</x:v>
      </x:c>
      <x:c r="L61" s="5" t="str"/>
      <x:c r="M61" s="5" t="str">
        <x:v>未测</x:v>
      </x:c>
      <x:c r="N61" s="5" t="str"/>
      <x:c r="O61" s="5" t="str">
        <x:v>1. 来源：context/01-用户主播App-项目需求清单.md
2. 追溯：业务底稿 LIVE-033。</x:v>
      </x:c>
    </x:row>
    <x:row r="62" ht="55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直播送礼</x:v>
      </x:c>
      <x:c r="E62" s="5" t="str">
        <x:v>逻辑校验</x:v>
      </x:c>
      <x:c r="F62" s="5" t="str">
        <x:v>P1</x:v>
      </x:c>
      <x:c r="G62" s="5" t="str">
        <x:v>验证幸运礼物主播收益计算</x:v>
      </x:c>
      <x:c r="H62" s="5" t="str">
        <x:v>幸运礼物收益计算</x:v>
      </x:c>
      <x:c r="I62" s="5" t="str">
        <x:v>1. 同一结算周期仅有本组幸运礼物记录
2. 用户累计投入 1,000 金币
3. 中奖返还累计 200 金币
4. 幸运礼物收益计入比例为 1%</x:v>
      </x:c>
      <x:c r="J62" s="5" t="str">
        <x:v>1. 完成结算周期
2. 查看主播收益流水和结算汇总</x:v>
      </x:c>
      <x:c r="K62" s="5" t="str">
        <x:v>用户净消耗 = 1,000 - 200 = 800 金币，主播收益 = 800 × 1% = 8 金币，结算周期汇总舍去小数后的最终值为 8 金币</x:v>
      </x:c>
      <x:c r="L62" s="5" t="str"/>
      <x:c r="M62" s="5" t="str">
        <x:v>未测</x:v>
      </x:c>
      <x:c r="N62" s="5" t="str"/>
      <x:c r="O62" s="5" t="str">
        <x:v>1. 来源：context/01-用户主播App-角色与用例.md
2. 来源：角色与用例文档的业务口径 3
3. 追溯：业务底稿 LIVE-034。</x:v>
      </x:c>
    </x:row>
    <x:row r="63" ht="55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直播送礼</x:v>
      </x:c>
      <x:c r="E63" s="5" t="str">
        <x:v>逻辑校验</x:v>
      </x:c>
      <x:c r="F63" s="5" t="str">
        <x:v>P1</x:v>
      </x:c>
      <x:c r="G63" s="5" t="str">
        <x:v>验证幸运礼物收益流水可追溯</x:v>
      </x:c>
      <x:c r="H63" s="5" t="str">
        <x:v>幸运礼物收益追溯</x:v>
      </x:c>
      <x:c r="I63" s="5" t="str">
        <x:v>1. 同一结算周期仅有本组幸运礼物记录
2. 用户累计投入 1,000 金币
3. 中奖返还累计 200 金币
4. 幸运礼物收益计入比例为 1%</x:v>
      </x:c>
      <x:c r="J63" s="5" t="str">
        <x:v>1. 完成结算周期
2. 查看主播收益流水和结算汇总</x:v>
      </x:c>
      <x:c r="K63" s="5" t="str">
        <x:v>收益流水可追溯到该结算周期的投入和返还范围</x:v>
      </x:c>
      <x:c r="L63" s="5" t="str"/>
      <x:c r="M63" s="5" t="str">
        <x:v>未测</x:v>
      </x:c>
      <x:c r="N63" s="5" t="str"/>
      <x:c r="O63" s="5" t="str">
        <x:v>1. 来源：context/01-用户主播App-角色与用例.md
2. 来源：角色与用例文档的业务口径 3
3. 追溯：业务底稿 LIVE-034。</x:v>
      </x:c>
    </x:row>
    <x:row r="64" ht="55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直播间粉丝团</x:v>
      </x:c>
      <x:c r="E64" s="5" t="str">
        <x:v>业务流程</x:v>
      </x:c>
      <x:c r="F64" s="5" t="str">
        <x:v>P2</x:v>
      </x:c>
      <x:c r="G64" s="5" t="str">
        <x:v>验证加入粉丝团后建立团籍和群籍</x:v>
      </x:c>
      <x:c r="H64" s="5" t="str">
        <x:v>粉丝团与群籍建立</x:v>
      </x:c>
      <x:c r="I64" s="5" t="str">
        <x:v>1. 主播已创建粉丝团
2. 当前用户未加入且满足主播配置的加入条件
3. 粉丝团人数少于 500</x:v>
      </x:c>
      <x:c r="J64" s="5" t="str">
        <x:v>1. 点击直播间粉丝团入口
2. 查看粉丝团权益和条件
3. 点击加入</x:v>
      </x:c>
      <x:c r="K64" s="5" t="str">
        <x:v>用户建立该主播粉丝团团籍和群籍，直播间粉丝团状态更新为已加入</x:v>
      </x:c>
      <x:c r="L64" s="5" t="str"/>
      <x:c r="M64" s="5" t="str">
        <x:v>未测</x:v>
      </x:c>
      <x:c r="N64" s="5" t="str"/>
      <x:c r="O64" s="5" t="str">
        <x:v>1. 来源：context/01-用户主播App-项目需求清单.md
2. 来源：context/01-用户主播App-角色与用例.md
3. 来源：prototype/assets/annotations.js
4. 追溯：业务底稿 LIVE-035。</x:v>
      </x:c>
    </x:row>
    <x:row r="65" ht="55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直播间粉丝团</x:v>
      </x:c>
      <x:c r="E65" s="5" t="str">
        <x:v>业务流程</x:v>
      </x:c>
      <x:c r="F65" s="5" t="str">
        <x:v>P2</x:v>
      </x:c>
      <x:c r="G65" s="5" t="str">
        <x:v>验证加入粉丝团后的身份权益</x:v>
      </x:c>
      <x:c r="H65" s="5" t="str">
        <x:v>入团身份权益</x:v>
      </x:c>
      <x:c r="I65" s="5" t="str">
        <x:v>1. 主播已创建粉丝团
2. 当前用户未加入且满足主播配置的加入条件
3. 粉丝团人数少于 500</x:v>
      </x:c>
      <x:c r="J65" s="5" t="str">
        <x:v>1. 点击直播间粉丝团入口
2. 查看粉丝团权益和条件
3. 点击加入</x:v>
      </x:c>
      <x:c r="K65" s="5" t="str">
        <x:v>用户获得该粉丝团身份标识</x:v>
      </x:c>
      <x:c r="L65" s="5" t="str"/>
      <x:c r="M65" s="5" t="str">
        <x:v>未测</x:v>
      </x:c>
      <x:c r="N65" s="5" t="str"/>
      <x:c r="O65" s="5" t="str">
        <x:v>1. 来源：context/01-用户主播App-项目需求清单.md
2. 来源：context/01-用户主播App-角色与用例.md
3. 来源：prototype/assets/annotations.js
4. 追溯：业务底稿 LIVE-035。</x:v>
      </x:c>
    </x:row>
    <x:row r="66" ht="43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直播间举报</x:v>
      </x:c>
      <x:c r="E66" s="5" t="str">
        <x:v>逻辑校验</x:v>
      </x:c>
      <x:c r="F66" s="5" t="str">
        <x:v>P1</x:v>
      </x:c>
      <x:c r="G66" s="5" t="str">
        <x:v>验证未选择举报原因时不能提交</x:v>
      </x:c>
      <x:c r="H66" s="5" t="str">
        <x:v>举报原因必选</x:v>
      </x:c>
      <x:c r="I66" s="5" t="str">
        <x:v>1. 用户已进入举报直播间页面</x:v>
      </x:c>
      <x:c r="J66" s="5" t="str">
        <x:v>1. 不选择举报原因
2. 填写或不填写补充说明
3. 观察“提交”按钮</x:v>
      </x:c>
      <x:c r="K66" s="5" t="str">
        <x:v>未选择举报原因时提交按钮不可用，系统不生成举报工单</x:v>
      </x:c>
      <x:c r="L66" s="5" t="str"/>
      <x:c r="M66" s="5" t="str">
        <x:v>未测</x:v>
      </x:c>
      <x:c r="N66" s="5" t="str"/>
      <x:c r="O66" s="5" t="str">
        <x:v>1. 来源：prototype/assets/annotations.js
2. 来源：对应 HTML 静态原型；未动态验证
3. 追溯：业务底稿 LIVE-036。</x:v>
      </x:c>
    </x:row>
    <x:row r="67" ht="67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直播间举报</x:v>
      </x:c>
      <x:c r="E67" s="5" t="str">
        <x:v>业务流程</x:v>
      </x:c>
      <x:c r="F67" s="5" t="str">
        <x:v>P1</x:v>
      </x:c>
      <x:c r="G67" s="5" t="str">
        <x:v>验证提交直播间举报生成工单</x:v>
      </x:c>
      <x:c r="H67" s="5" t="str">
        <x:v>直播间举报工单</x:v>
      </x:c>
      <x:c r="I67" s="5" t="str">
        <x:v>1. 用户已登录并正在观看目标直播间</x:v>
      </x:c>
      <x:c r="J67" s="5" t="str">
        <x:v>1. 选择任一举报原因
2. 点击“提交”
3. 检查举报记录</x:v>
      </x:c>
      <x:c r="K67" s="5" t="str">
        <x:v>系统生成关联当前直播间和举报人的举报工单</x:v>
      </x:c>
      <x:c r="L67" s="5" t="str"/>
      <x:c r="M67" s="5" t="str">
        <x:v>未测</x:v>
      </x:c>
      <x:c r="N67" s="5" t="str"/>
      <x:c r="O67" s="5" t="str">
        <x:v>1. 来源：context/01-用户主播App-项目需求清单.md
2. 来源：context/01-互动场景权限规则.md
3. 来源：prototype/assets/annotations.js
4. 来源：对应 HTML 静态原型；未动态验证
5. 追溯：业务底稿 LIVE-037。</x:v>
      </x:c>
    </x:row>
    <x:row r="68" ht="67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直播间举报</x:v>
      </x:c>
      <x:c r="E68" s="5" t="str">
        <x:v>业务流程</x:v>
      </x:c>
      <x:c r="F68" s="5" t="str">
        <x:v>P1</x:v>
      </x:c>
      <x:c r="G68" s="5" t="str">
        <x:v>验证提交直播间举报的成功提示</x:v>
      </x:c>
      <x:c r="H68" s="5" t="str">
        <x:v>直播间举报提示</x:v>
      </x:c>
      <x:c r="I68" s="5" t="str">
        <x:v>1. 用户已登录并正在观看目标直播间</x:v>
      </x:c>
      <x:c r="J68" s="5" t="str">
        <x:v>1. 选择任一举报原因
2. 点击“提交”
3. 查看页面反馈</x:v>
      </x:c>
      <x:c r="K68" s="5" t="str">
        <x:v>页面提示“举报已提交”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来源：context/01-互动场景权限规则.md
3. 来源：prototype/assets/annotations.js
4. 来源：对应 HTML 静态原型；未动态验证
5. 追溯：业务底稿 LIVE-037。</x:v>
      </x:c>
    </x:row>
    <x:row r="69" ht="67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直播间举报</x:v>
      </x:c>
      <x:c r="E69" s="5" t="str">
        <x:v>业务流程</x:v>
      </x:c>
      <x:c r="F69" s="5" t="str">
        <x:v>P1</x:v>
      </x:c>
      <x:c r="G69" s="5" t="str">
        <x:v>验证提交直播间举报后返回直播间</x:v>
      </x:c>
      <x:c r="H69" s="5" t="str">
        <x:v>直播间举报返回</x:v>
      </x:c>
      <x:c r="I69" s="5" t="str">
        <x:v>1. 用户已登录并正在观看目标直播间</x:v>
      </x:c>
      <x:c r="J69" s="5" t="str">
        <x:v>1. 打开更多功能
2. 点击“举报”
3. 选择“色情低俗”
4. 填写补充说明
5. 点击“提交”</x:v>
      </x:c>
      <x:c r="K69" s="5" t="str">
        <x:v>页面返回原直播间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来源：context/01-互动场景权限规则.md
3. 来源：prototype/assets/annotations.js
4. 来源：对应 HTML 静态原型；未动态验证
5. 追溯：业务底稿 LIVE-037。</x:v>
      </x:c>
    </x:row>
    <x:row r="70" ht="67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直播间举报</x:v>
      </x:c>
      <x:c r="E70" s="5" t="str">
        <x:v>业务流程</x:v>
      </x:c>
      <x:c r="F70" s="5" t="str">
        <x:v>P1</x:v>
      </x:c>
      <x:c r="G70" s="5" t="str">
        <x:v>验证提交用户举报生成工单</x:v>
      </x:c>
      <x:c r="H70" s="5" t="str">
        <x:v>用户举报工单</x:v>
      </x:c>
      <x:c r="I70" s="5" t="str">
        <x:v>1. 用户已登录
2. 直播间在线列表中存在目标用户</x:v>
      </x:c>
      <x:c r="J70" s="5" t="str">
        <x:v>1. 打开目标用户资料卡
2. 点击举报
3. 选择任一原因并提交
4. 检查举报记录</x:v>
      </x:c>
      <x:c r="K70" s="5" t="str">
        <x:v>系统生成关联目标用户和举报人的举报工单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来源：context/01-互动场景权限规则.md
3. 来源：prototype/assets/annotations.js
4. 来源：对应 HTML 静态原型；未动态验证
5. 追溯：业务底稿 LIVE-038。</x:v>
      </x:c>
    </x:row>
    <x:row r="71" ht="67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直播间举报</x:v>
      </x:c>
      <x:c r="E71" s="5" t="str">
        <x:v>业务流程</x:v>
      </x:c>
      <x:c r="F71" s="5" t="str">
        <x:v>P1</x:v>
      </x:c>
      <x:c r="G71" s="5" t="str">
        <x:v>验证提交用户举报的成功提示</x:v>
      </x:c>
      <x:c r="H71" s="5" t="str">
        <x:v>用户举报提示</x:v>
      </x:c>
      <x:c r="I71" s="5" t="str">
        <x:v>1. 用户已登录
2. 直播间在线列表中存在目标用户</x:v>
      </x:c>
      <x:c r="J71" s="5" t="str">
        <x:v>1. 打开目标用户资料卡
2. 点击举报
3. 选择任一原因并提交
4. 查看页面反馈</x:v>
      </x:c>
      <x:c r="K71" s="5" t="str">
        <x:v>页面提示“举报已提交”</x:v>
      </x:c>
      <x:c r="L71" s="5" t="str"/>
      <x:c r="M71" s="5" t="str">
        <x:v>未测</x:v>
      </x:c>
      <x:c r="N71" s="5" t="str"/>
      <x:c r="O71" s="5" t="str">
        <x:v>1. 来源：context/01-用户主播App-项目需求清单.md
2. 来源：context/01-互动场景权限规则.md
3. 来源：prototype/assets/annotations.js
4. 来源：对应 HTML 静态原型；未动态验证
5. 追溯：业务底稿 LIVE-038。</x:v>
      </x:c>
    </x:row>
    <x:row r="72" ht="67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直播间举报</x:v>
      </x:c>
      <x:c r="E72" s="5" t="str">
        <x:v>业务流程</x:v>
      </x:c>
      <x:c r="F72" s="5" t="str">
        <x:v>P1</x:v>
      </x:c>
      <x:c r="G72" s="5" t="str">
        <x:v>验证提交用户举报后返回直播间</x:v>
      </x:c>
      <x:c r="H72" s="5" t="str">
        <x:v>用户举报返回</x:v>
      </x:c>
      <x:c r="I72" s="5" t="str">
        <x:v>1. 用户已登录
2. 直播间在线列表中存在目标用户</x:v>
      </x:c>
      <x:c r="J72" s="5" t="str">
        <x:v>1. 打开目标用户资料卡
2. 点击“举报”
3. 选择举报原因
4. 点击“提交”</x:v>
      </x:c>
      <x:c r="K72" s="5" t="str">
        <x:v>页面返回原直播间</x:v>
      </x:c>
      <x:c r="L72" s="5" t="str"/>
      <x:c r="M72" s="5" t="str">
        <x:v>未测</x:v>
      </x:c>
      <x:c r="N72" s="5" t="str"/>
      <x:c r="O72" s="5" t="str">
        <x:v>1. 来源：context/01-用户主播App-项目需求清单.md
2. 来源：context/01-互动场景权限规则.md
3. 来源：prototype/assets/annotations.js
4. 来源：对应 HTML 静态原型；未动态验证
5. 追溯：业务底稿 LIVE-038。</x:v>
      </x:c>
    </x:row>
    <x:row r="73" ht="31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直播间举报</x:v>
      </x:c>
      <x:c r="E73" s="5" t="str">
        <x:v>逻辑校验</x:v>
      </x:c>
      <x:c r="F73" s="5" t="str">
        <x:v>P2</x:v>
      </x:c>
      <x:c r="G73" s="5" t="str">
        <x:v>验证举报操作不改变既有互动关系</x:v>
      </x:c>
      <x:c r="H73" s="5" t="str">
        <x:v>举报关系无副作用</x:v>
      </x:c>
      <x:c r="I73" s="5" t="str">
        <x:v>1. 用户与被举报主播或用户存在可识别的关注、好友或粉丝团关系
2. 用户已登录</x:v>
      </x:c>
      <x:c r="J73" s="5" t="str">
        <x:v>1. 提交一条直播间举报或用户举报
2. 举报成功后查看双方原有互动关系</x:v>
      </x:c>
      <x:c r="K73" s="5" t="str">
        <x:v>举报前已存在的关注、好友或粉丝团关系保持不变，举报操作仅生成举报工单，不新增拉黑或直播间限制</x:v>
      </x:c>
      <x:c r="L73" s="5" t="str"/>
      <x:c r="M73" s="5" t="str">
        <x:v>未测</x:v>
      </x:c>
      <x:c r="N73" s="5" t="str"/>
      <x:c r="O73" s="5" t="str">
        <x:v>1. 来源：context/01-互动场景权限规则.md
2. 追溯：业务底稿 LIVE-039。</x:v>
      </x:c>
    </x:row>
    <x:row r="74" ht="31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直播间举报</x:v>
      </x:c>
      <x:c r="E74" s="5" t="str">
        <x:v>功能需求</x:v>
      </x:c>
      <x:c r="F74" s="5" t="str">
        <x:v>P2</x:v>
      </x:c>
      <x:c r="G74" s="5" t="str">
        <x:v>验证取消举报后返回直播间</x:v>
      </x:c>
      <x:c r="H74" s="5" t="str">
        <x:v>取消举报返回</x:v>
      </x:c>
      <x:c r="I74" s="5" t="str">
        <x:v>1. 直播间举报页面已打开且已选择举报原因</x:v>
      </x:c>
      <x:c r="J74" s="5" t="str">
        <x:v>1. 点击“取消”</x:v>
      </x:c>
      <x:c r="K74" s="5" t="str">
        <x:v>页面返回原直播间</x:v>
      </x:c>
      <x:c r="L74" s="5" t="str"/>
      <x:c r="M74" s="5" t="str">
        <x:v>未测</x:v>
      </x:c>
      <x:c r="N74" s="5" t="str"/>
      <x:c r="O74" s="5" t="str">
        <x:v>1. 来源：对应 HTML 静态原型；未动态验证
2. 追溯：业务底稿 LIVE-040。</x:v>
      </x:c>
    </x:row>
    <x:row r="75" ht="31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直播间举报</x:v>
      </x:c>
      <x:c r="E75" s="5" t="str">
        <x:v>功能需求</x:v>
      </x:c>
      <x:c r="F75" s="5" t="str">
        <x:v>P2</x:v>
      </x:c>
      <x:c r="G75" s="5" t="str">
        <x:v>验证取消举报不生成工单</x:v>
      </x:c>
      <x:c r="H75" s="5" t="str">
        <x:v>取消举报工单</x:v>
      </x:c>
      <x:c r="I75" s="5" t="str">
        <x:v>1. 直播间举报页面已打开且已选择举报原因</x:v>
      </x:c>
      <x:c r="J75" s="5" t="str">
        <x:v>1. 点击“取消”</x:v>
      </x:c>
      <x:c r="K75" s="5" t="str">
        <x:v>系统不生成举报工单</x:v>
      </x:c>
      <x:c r="L75" s="5" t="str"/>
      <x:c r="M75" s="5" t="str">
        <x:v>未测</x:v>
      </x:c>
      <x:c r="N75" s="5" t="str"/>
      <x:c r="O75" s="5" t="str">
        <x:v>1. 来源：对应 HTML 静态原型；未动态验证
2. 追溯：业务底稿 LIVE-040。</x:v>
      </x:c>
    </x:row>
    <x:row r="76" ht="31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直播间举报</x:v>
      </x:c>
      <x:c r="E76" s="5" t="str">
        <x:v>逻辑校验</x:v>
      </x:c>
      <x:c r="F76" s="5" t="str">
        <x:v>P2</x:v>
      </x:c>
      <x:c r="G76" s="5" t="str">
        <x:v>验证补充说明可以输入 200 字</x:v>
      </x:c>
      <x:c r="H76" s="5" t="str">
        <x:v>补充说明 200 字边界</x:v>
      </x:c>
      <x:c r="I76" s="5" t="str">
        <x:v>1. 用户已进入直播间或用户举报页面
2. 已选择举报原因</x:v>
      </x:c>
      <x:c r="J76" s="5" t="str">
        <x:v>1. 在补充说明输入 200 个字符</x:v>
      </x:c>
      <x:c r="K76" s="5" t="str">
        <x:v>输入框保留前 200 个字符</x:v>
      </x:c>
      <x:c r="L76" s="5" t="str"/>
      <x:c r="M76" s="5" t="str">
        <x:v>未测</x:v>
      </x:c>
      <x:c r="N76" s="5" t="str"/>
      <x:c r="O76" s="5" t="str">
        <x:v>1. 来源：对应 HTML 静态原型；未动态验证
2. 追溯：业务底稿 LIVE-041。</x:v>
      </x:c>
    </x:row>
    <x:row r="77" ht="31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直播间举报</x:v>
      </x:c>
      <x:c r="E77" s="5" t="str">
        <x:v>逻辑校验</x:v>
      </x:c>
      <x:c r="F77" s="5" t="str">
        <x:v>P2</x:v>
      </x:c>
      <x:c r="G77" s="5" t="str">
        <x:v>验证补充说明第 201 字被限制</x:v>
      </x:c>
      <x:c r="H77" s="5" t="str">
        <x:v>补充说明超长限制</x:v>
      </x:c>
      <x:c r="I77" s="5" t="str">
        <x:v>1. 用户已进入直播间或用户举报页面
2. 已选择举报原因</x:v>
      </x:c>
      <x:c r="J77" s="5" t="str">
        <x:v>1. 在补充说明输入 200 个字符
2. 继续输入第 201 个字符</x:v>
      </x:c>
      <x:c r="K77" s="5" t="str">
        <x:v>第 201 个字符不进入输入框</x:v>
      </x:c>
      <x:c r="L77" s="5" t="str"/>
      <x:c r="M77" s="5" t="str">
        <x:v>未测</x:v>
      </x:c>
      <x:c r="N77" s="5" t="str"/>
      <x:c r="O77" s="5" t="str">
        <x:v>1. 来源：对应 HTML 静态原型；未动态验证
2. 追溯：业务底稿 LIVE-041。</x:v>
      </x:c>
    </x:row>
    <x:row r="78" ht="43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直播间举报</x:v>
      </x:c>
      <x:c r="E78" s="5" t="str">
        <x:v>逻辑校验</x:v>
      </x:c>
      <x:c r="F78" s="5" t="str">
        <x:v>P2</x:v>
      </x:c>
      <x:c r="G78" s="5" t="str">
        <x:v>验证 200 字补充说明可以提交</x:v>
      </x:c>
      <x:c r="H78" s="5" t="str">
        <x:v>补充说明提交</x:v>
      </x:c>
      <x:c r="I78" s="5" t="str">
        <x:v>1. 用户已进入直播间或用户举报页面
2. 已选择举报原因</x:v>
      </x:c>
      <x:c r="J78" s="5" t="str">
        <x:v>1. 选择举报原因
2. 输入 200 个字符
3. 点击“提交”</x:v>
      </x:c>
      <x:c r="K78" s="5" t="str">
        <x:v>已有 200 个字符可随举报原因一并提交</x:v>
      </x:c>
      <x:c r="L78" s="5" t="str"/>
      <x:c r="M78" s="5" t="str">
        <x:v>未测</x:v>
      </x:c>
      <x:c r="N78" s="5" t="str"/>
      <x:c r="O78" s="5" t="str">
        <x:v>1. 来源：对应 HTML 静态原型；未动态验证
2. 追溯：业务底稿 LIVE-041。</x:v>
      </x:c>
    </x:row>
    <x:row r="79" ht="55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房管协助管理</x:v>
      </x:c>
      <x:c r="E79" s="5" t="str">
        <x:v>功能需求</x:v>
      </x:c>
      <x:c r="F79" s="5" t="str">
        <x:v>P1</x:v>
      </x:c>
      <x:c r="G79" s="5" t="str">
        <x:v>验证房管资料卡展示受限管理操作</x:v>
      </x:c>
      <x:c r="H79" s="5" t="str">
        <x:v>房管操作范围</x:v>
      </x:c>
      <x:c r="I79" s="5" t="str">
        <x:v>1. 当前用户已被主播设置为房管
2. 当前直播仍在进行</x:v>
      </x:c>
      <x:c r="J79" s="5" t="str">
        <x:v>1. 以房管身份进入直播间
2. 打开在线观众资料卡</x:v>
      </x:c>
      <x:c r="K79" s="5" t="str">
        <x:v>房管资料卡仅提供禁言、踢出和有依据的评论处置能力，不提供房管授权或结束直播能力</x:v>
      </x:c>
      <x:c r="L79" s="5" t="str"/>
      <x:c r="M79" s="5" t="str">
        <x:v>未测</x:v>
      </x:c>
      <x:c r="N79" s="5" t="str"/>
      <x:c r="O79" s="5" t="str">
        <x:v>1. 来源：context/01-用户主播App-角色与用例.md
2. 来源：context/01-互动场景权限规则.md
3. 来源：prototype/assets/annotations.js
4. 追溯：业务底稿 LIVE-042。</x:v>
      </x:c>
    </x:row>
    <x:row r="80" ht="55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房管协助管理</x:v>
      </x:c>
      <x:c r="E80" s="5" t="str">
        <x:v>业务流程</x:v>
      </x:c>
      <x:c r="F80" s="5" t="str">
        <x:v>P1</x:v>
      </x:c>
      <x:c r="G80" s="5" t="str">
        <x:v>验证房管禁言限制用户发言</x:v>
      </x:c>
      <x:c r="H80" s="5" t="str">
        <x:v>房管禁言生效</x:v>
      </x:c>
      <x:c r="I80" s="5" t="str">
        <x:v>1. 房管和目标用户均在当前直播间
2. 目标用户可正常发言</x:v>
      </x:c>
      <x:c r="J80" s="5" t="str">
        <x:v>1. 房管打开目标用户资料卡
2. 选择禁言
3. 在确认提示中点击确认
4. 目标用户尝试发送公屏消息</x:v>
      </x:c>
      <x:c r="K80" s="5" t="str">
        <x:v>目标用户在当前场次不能继续发送公屏消息</x:v>
      </x:c>
      <x:c r="L80" s="5" t="str"/>
      <x:c r="M80" s="5" t="str">
        <x:v>未测</x:v>
      </x:c>
      <x:c r="N80" s="5" t="str"/>
      <x:c r="O80" s="5" t="str">
        <x:v>1. 来源：context/01-用户主播App-角色与用例.md
2. 来源：context/01-互动场景权限规则.md
3. 来源：prototype/assets/annotations.js
4. 追溯：业务底稿 LIVE-043。</x:v>
      </x:c>
    </x:row>
    <x:row r="81" ht="55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房管协助管理</x:v>
      </x:c>
      <x:c r="E81" s="5" t="str">
        <x:v>业务流程</x:v>
      </x:c>
      <x:c r="F81" s="5" t="str">
        <x:v>P1</x:v>
      </x:c>
      <x:c r="G81" s="5" t="str">
        <x:v>验证房管禁言保留历史消息</x:v>
      </x:c>
      <x:c r="H81" s="5" t="str">
        <x:v>房管禁言历史消息</x:v>
      </x:c>
      <x:c r="I81" s="5" t="str">
        <x:v>1. 房管和目标用户均在当前直播间
2. 目标用户可正常发言</x:v>
      </x:c>
      <x:c r="J81" s="5" t="str">
        <x:v>1. 房管打开目标用户资料卡
2. 选择禁言
3. 在确认提示中点击确认
4. 目标用户尝试发送公屏消息</x:v>
      </x:c>
      <x:c r="K81" s="5" t="str">
        <x:v>目标用户已发送消息不受影响</x:v>
      </x:c>
      <x:c r="L81" s="5" t="str"/>
      <x:c r="M81" s="5" t="str">
        <x:v>未测</x:v>
      </x:c>
      <x:c r="N81" s="5" t="str"/>
      <x:c r="O81" s="5" t="str">
        <x:v>1. 来源：context/01-用户主播App-角色与用例.md
2. 来源：context/01-互动场景权限规则.md
3. 来源：prototype/assets/annotations.js
4. 追溯：业务底稿 LIVE-043。</x:v>
      </x:c>
    </x:row>
    <x:row r="82" ht="55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房管协助管理</x:v>
      </x:c>
      <x:c r="E82" s="5" t="str">
        <x:v>业务流程</x:v>
      </x:c>
      <x:c r="F82" s="5" t="str">
        <x:v>P1</x:v>
      </x:c>
      <x:c r="G82" s="5" t="str">
        <x:v>验证房管禁言操作留痕</x:v>
      </x:c>
      <x:c r="H82" s="5" t="str">
        <x:v>房管禁言记录</x:v>
      </x:c>
      <x:c r="I82" s="5" t="str">
        <x:v>1. 房管和目标用户均在当前直播间
2. 目标用户可正常发言</x:v>
      </x:c>
      <x:c r="J82" s="5" t="str">
        <x:v>1. 房管打开目标用户资料卡
2. 选择禁言
3. 在确认提示中点击确认
4. 目标用户尝试发送公屏消息</x:v>
      </x:c>
      <x:c r="K82" s="5" t="str">
        <x:v>系统保留房管、目标用户、场次和操作时间记录</x:v>
      </x:c>
      <x:c r="L82" s="5" t="str"/>
      <x:c r="M82" s="5" t="str">
        <x:v>未测</x:v>
      </x:c>
      <x:c r="N82" s="5" t="str"/>
      <x:c r="O82" s="5" t="str">
        <x:v>1. 来源：context/01-用户主播App-角色与用例.md
2. 来源：context/01-互动场景权限规则.md
3. 来源：prototype/assets/annotations.js
4. 追溯：业务底稿 LIVE-043。</x:v>
      </x:c>
    </x:row>
    <x:row r="83" ht="31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房管协助管理</x:v>
      </x:c>
      <x:c r="E83" s="5" t="str">
        <x:v>功能需求</x:v>
      </x:c>
      <x:c r="F83" s="5" t="str">
        <x:v>P2</x:v>
      </x:c>
      <x:c r="G83" s="5" t="str">
        <x:v>验证房管取消禁言操作后状态不变</x:v>
      </x:c>
      <x:c r="H83" s="5" t="str">
        <x:v>取消房管禁言</x:v>
      </x:c>
      <x:c r="I83" s="5" t="str">
        <x:v>1. 房管已打开对可发言用户的禁言确认提示</x:v>
      </x:c>
      <x:c r="J83" s="5" t="str">
        <x:v>1. 点击“取消”
2. 由目标用户发送公屏消息</x:v>
      </x:c>
      <x:c r="K83" s="5" t="str">
        <x:v>取消房管禁言确认后目标用户状态不变，系统不新增禁言操作记录</x:v>
      </x:c>
      <x:c r="L83" s="5" t="str"/>
      <x:c r="M83" s="5" t="str">
        <x:v>未测</x:v>
      </x:c>
      <x:c r="N83" s="5" t="str"/>
      <x:c r="O83" s="5" t="str">
        <x:v>1. 来源：prototype/assets/annotations.js
2. 追溯：业务底稿 LIVE-044。</x:v>
      </x:c>
    </x:row>
    <x:row r="84" ht="55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房管协助管理</x:v>
      </x:c>
      <x:c r="E84" s="5" t="str">
        <x:v>业务流程</x:v>
      </x:c>
      <x:c r="F84" s="5" t="str">
        <x:v>P1</x:v>
      </x:c>
      <x:c r="G84" s="5" t="str">
        <x:v>验证房管踢人限制本场重进</x:v>
      </x:c>
      <x:c r="H84" s="5" t="str">
        <x:v>房管踢人当前场次</x:v>
      </x:c>
      <x:c r="I84" s="5" t="str">
        <x:v>1. 房管和目标用户均在当前直播间</x:v>
      </x:c>
      <x:c r="J84" s="5" t="str">
        <x:v>1. 房管打开目标用户资料卡
2. 点击“踢出直播间”
3. 在确认提示中点击确认
4. 目标用户再次尝试进入当前场次</x:v>
      </x:c>
      <x:c r="K84" s="5" t="str">
        <x:v>目标用户被移出当前直播间，目标用户本场次不能重新进入</x:v>
      </x:c>
      <x:c r="L84" s="5" t="str"/>
      <x:c r="M84" s="5" t="str">
        <x:v>未测</x:v>
      </x:c>
      <x:c r="N84" s="5" t="str"/>
      <x:c r="O84" s="5" t="str">
        <x:v>1. 来源：context/01-用户主播App-角色与用例.md
2. 来源：context/01-互动场景权限规则.md
3. 来源：prototype/assets/annotations.js
4. 追溯：业务底稿 LIVE-045。</x:v>
      </x:c>
    </x:row>
    <x:row r="85" ht="55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房管协助管理</x:v>
      </x:c>
      <x:c r="E85" s="5" t="str">
        <x:v>业务流程</x:v>
      </x:c>
      <x:c r="F85" s="5" t="str">
        <x:v>P1</x:v>
      </x:c>
      <x:c r="G85" s="5" t="str">
        <x:v>验证房管踢人不影响下一场直播</x:v>
      </x:c>
      <x:c r="H85" s="5" t="str">
        <x:v>房管踢人跨场恢复</x:v>
      </x:c>
      <x:c r="I85" s="5" t="str">
        <x:v>1. 房管和目标用户均在当前直播间</x:v>
      </x:c>
      <x:c r="J85" s="5" t="str">
        <x:v>1. 房管打开目标用户资料卡
2. 点击“踢出直播间”
3. 在确认提示中点击确认
4. 目标用户再次尝试进入当前场次</x:v>
      </x:c>
      <x:c r="K85" s="5" t="str">
        <x:v>下一场直播不继承本次踢出限制</x:v>
      </x:c>
      <x:c r="L85" s="5" t="str"/>
      <x:c r="M85" s="5" t="str">
        <x:v>未测</x:v>
      </x:c>
      <x:c r="N85" s="5" t="str"/>
      <x:c r="O85" s="5" t="str">
        <x:v>1. 来源：context/01-用户主播App-角色与用例.md
2. 来源：context/01-互动场景权限规则.md
3. 来源：prototype/assets/annotations.js
4. 追溯：业务底稿 LIVE-045。</x:v>
      </x:c>
    </x:row>
    <x:row r="86" ht="55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房管协助管理</x:v>
      </x:c>
      <x:c r="E86" s="5" t="str">
        <x:v>业务流程</x:v>
      </x:c>
      <x:c r="F86" s="5" t="str">
        <x:v>P1</x:v>
      </x:c>
      <x:c r="G86" s="5" t="str">
        <x:v>验证房管踢人操作留痕</x:v>
      </x:c>
      <x:c r="H86" s="5" t="str">
        <x:v>房管踢人记录</x:v>
      </x:c>
      <x:c r="I86" s="5" t="str">
        <x:v>1. 房管和目标用户均在当前直播间</x:v>
      </x:c>
      <x:c r="J86" s="5" t="str">
        <x:v>1. 房管打开目标用户资料卡
2. 点击“踢出直播间”
3. 在确认提示中点击确认
4. 目标用户再次尝试进入当前场次</x:v>
      </x:c>
      <x:c r="K86" s="5" t="str">
        <x:v>系统保留房管、目标用户、场次和操作时间记录</x:v>
      </x:c>
      <x:c r="L86" s="5" t="str"/>
      <x:c r="M86" s="5" t="str">
        <x:v>未测</x:v>
      </x:c>
      <x:c r="N86" s="5" t="str"/>
      <x:c r="O86" s="5" t="str">
        <x:v>1. 来源：context/01-用户主播App-角色与用例.md
2. 来源：context/01-互动场景权限规则.md
3. 来源：prototype/assets/annotations.js
4. 追溯：业务底稿 LIVE-045。</x:v>
      </x:c>
    </x:row>
    <x:row r="87" ht="55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开播设置</x:v>
      </x:c>
      <x:c r="E87" s="5" t="str">
        <x:v>业务流程</x:v>
      </x:c>
      <x:c r="F87" s="5" t="str">
        <x:v>P0</x:v>
      </x:c>
      <x:c r="G87" s="5" t="str">
        <x:v>验证具备直播权限的主播进入开播设置</x:v>
      </x:c>
      <x:c r="H87" s="5" t="str">
        <x:v>开播设置入口</x:v>
      </x:c>
      <x:c r="I87" s="5" t="str">
        <x:v>1. 用户已加入工会并通过主播认证
2. 平台与工会均已开启直播权限</x:v>
      </x:c>
      <x:c r="J87" s="5" t="str">
        <x:v>1. 进入主播中心
2. 点击“开始直播”</x:v>
      </x:c>
      <x:c r="K87" s="5" t="str">
        <x:v>具备权限的主播进入开播设置页，可见摄像头预览、标题、封面、分类、房型和美颜入口</x:v>
      </x:c>
      <x:c r="L87" s="5" t="str"/>
      <x:c r="M87" s="5" t="str">
        <x:v>未测</x:v>
      </x:c>
      <x:c r="N87" s="5" t="str"/>
      <x:c r="O87" s="5" t="str">
        <x:v>1. 来源：context/01-用户主播App-项目需求清单.md
2. 来源：context/01-用户主播App-角色与用例.md
3. 来源：prototype/Luma Live-原型说明.md
4. 追溯：业务底稿 LIVE-046。</x:v>
      </x:c>
    </x:row>
    <x:row r="88" ht="43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开播设置</x:v>
      </x:c>
      <x:c r="E88" s="5" t="str">
        <x:v>异常用例</x:v>
      </x:c>
      <x:c r="F88" s="5" t="str">
        <x:v>P1</x:v>
      </x:c>
      <x:c r="G88" s="5" t="str">
        <x:v>验证平台关闭直播权限后不能开播</x:v>
      </x:c>
      <x:c r="H88" s="5" t="str">
        <x:v>平台直播权限限制</x:v>
      </x:c>
      <x:c r="I88" s="5" t="str">
        <x:v>1. 主播认证已通过
2. 平台关闭或锁定该主播直播权限</x:v>
      </x:c>
      <x:c r="J88" s="5" t="str">
        <x:v>1. 进入主播中心
2. 尝试进入开播设置并开始直播</x:v>
      </x:c>
      <x:c r="K88" s="5" t="str">
        <x:v>主播不能创建直播场次</x:v>
      </x:c>
      <x:c r="L88" s="5" t="str"/>
      <x:c r="M88" s="5" t="str">
        <x:v>未测</x:v>
      </x:c>
      <x:c r="N88" s="5" t="str"/>
      <x:c r="O88" s="5" t="str">
        <x:v>1. 来源：context/01-用户主播App-项目需求清单.md
2. 来源：context/01-用户主播App-角色与用例.md
3. 追溯：业务底稿 LIVE-047。</x:v>
      </x:c>
    </x:row>
    <x:row r="89" ht="43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开播设置</x:v>
      </x:c>
      <x:c r="E89" s="5" t="str">
        <x:v>异常用例</x:v>
      </x:c>
      <x:c r="F89" s="5" t="str">
        <x:v>P1</x:v>
      </x:c>
      <x:c r="G89" s="5" t="str">
        <x:v>验证直播权限关闭原因展示</x:v>
      </x:c>
      <x:c r="H89" s="5" t="str">
        <x:v>直播权限关闭原因</x:v>
      </x:c>
      <x:c r="I89" s="5" t="str">
        <x:v>1. 主播认证已通过
2. 平台关闭或锁定该主播直播权限</x:v>
      </x:c>
      <x:c r="J89" s="5" t="str">
        <x:v>1. 进入主播中心
2. 尝试进入开播设置并开始直播</x:v>
      </x:c>
      <x:c r="K89" s="5" t="str">
        <x:v>直播权限状态展示已关闭及已有原因</x:v>
      </x:c>
      <x:c r="L89" s="5" t="str"/>
      <x:c r="M89" s="5" t="str">
        <x:v>未测</x:v>
      </x:c>
      <x:c r="N89" s="5" t="str"/>
      <x:c r="O89" s="5" t="str">
        <x:v>1. 来源：context/01-用户主播App-项目需求清单.md
2. 来源：context/01-用户主播App-角色与用例.md
3. 追溯：业务底稿 LIVE-047。</x:v>
      </x:c>
    </x:row>
    <x:row r="90" ht="43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开播设置</x:v>
      </x:c>
      <x:c r="E90" s="5" t="str">
        <x:v>异常用例</x:v>
      </x:c>
      <x:c r="F90" s="5" t="str">
        <x:v>P1</x:v>
      </x:c>
      <x:c r="G90" s="5" t="str">
        <x:v>验证工会不能覆盖平台直播权限</x:v>
      </x:c>
      <x:c r="H90" s="5" t="str">
        <x:v>直播权限优先级</x:v>
      </x:c>
      <x:c r="I90" s="5" t="str">
        <x:v>1. 主播认证已通过
2. 平台关闭或锁定该主播直播权限</x:v>
      </x:c>
      <x:c r="J90" s="5" t="str">
        <x:v>1. 进入主播中心
2. 尝试进入开播设置并开始直播</x:v>
      </x:c>
      <x:c r="K90" s="5" t="str">
        <x:v>工会侧开启操作不能覆盖平台关闭或锁定状态</x:v>
      </x:c>
      <x:c r="L90" s="5" t="str"/>
      <x:c r="M90" s="5" t="str">
        <x:v>未测</x:v>
      </x:c>
      <x:c r="N90" s="5" t="str"/>
      <x:c r="O90" s="5" t="str">
        <x:v>1. 来源：context/01-用户主播App-项目需求清单.md
2. 来源：context/01-用户主播App-角色与用例.md
3. 追溯：业务底稿 LIVE-047。</x:v>
      </x:c>
    </x:row>
    <x:row r="91" ht="55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开播设置</x:v>
      </x:c>
      <x:c r="E91" s="5" t="str">
        <x:v>功能需求</x:v>
      </x:c>
      <x:c r="F91" s="5" t="str">
        <x:v>P1</x:v>
      </x:c>
      <x:c r="G91" s="5" t="str">
        <x:v>验证主播保存有效直播标题</x:v>
      </x:c>
      <x:c r="H91" s="5" t="str">
        <x:v>直播标题保存</x:v>
      </x:c>
      <x:c r="I91" s="5" t="str">
        <x:v>1. 主播已进入开播设置</x:v>
      </x:c>
      <x:c r="J91" s="5" t="str">
        <x:v>1. 点击“修改主题”
2. 输入“今晚唱到你睡着”
3. 点击“保存”</x:v>
      </x:c>
      <x:c r="K91" s="5" t="str">
        <x:v>有效直播标题保存后在开播设置页回显，本次开播使用该标题</x:v>
      </x:c>
      <x:c r="L91" s="5" t="str"/>
      <x:c r="M91" s="5" t="str">
        <x:v>未测</x:v>
      </x:c>
      <x:c r="N91" s="5" t="str"/>
      <x:c r="O91" s="5" t="str">
        <x:v>1. 来源：context/01-用户主播App-项目需求清单.md
2. 来源：prototype/assets/annotations.js
3. 来源：对应 HTML 静态原型；未动态验证
4. 追溯：业务底稿 LIVE-048。</x:v>
      </x:c>
    </x:row>
    <x:row r="92" ht="31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开播设置</x:v>
      </x:c>
      <x:c r="E92" s="5" t="str">
        <x:v>逻辑校验</x:v>
      </x:c>
      <x:c r="F92" s="5" t="str">
        <x:v>P1</x:v>
      </x:c>
      <x:c r="G92" s="5" t="str">
        <x:v>验证空直播标题不能保存</x:v>
      </x:c>
      <x:c r="H92" s="5" t="str">
        <x:v>直播标题必填</x:v>
      </x:c>
      <x:c r="I92" s="5" t="str">
        <x:v>1. 主播已打开“修改主题”</x:v>
      </x:c>
      <x:c r="J92" s="5" t="str">
        <x:v>1. 清空标题或仅输入空格
2. 点击“保存”</x:v>
      </x:c>
      <x:c r="K92" s="5" t="str">
        <x:v>空标题无法保存，标题面板保持打开并提示“请设置直播标题”</x:v>
      </x:c>
      <x:c r="L92" s="5" t="str"/>
      <x:c r="M92" s="5" t="str">
        <x:v>未测</x:v>
      </x:c>
      <x:c r="N92" s="5" t="str"/>
      <x:c r="O92" s="5" t="str">
        <x:v>1. 来源：对应 HTML 静态原型；未动态验证
2. 追溯：业务底稿 LIVE-049。</x:v>
      </x:c>
    </x:row>
    <x:row r="93" ht="31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开播设置</x:v>
      </x:c>
      <x:c r="E93" s="5" t="str">
        <x:v>逻辑校验</x:v>
      </x:c>
      <x:c r="F93" s="5" t="str">
        <x:v>P2</x:v>
      </x:c>
      <x:c r="G93" s="5" t="str">
        <x:v>验证 40 字直播标题可以保存</x:v>
      </x:c>
      <x:c r="H93" s="5" t="str">
        <x:v>标题 40 字边界</x:v>
      </x:c>
      <x:c r="I93" s="5" t="str">
        <x:v>1. 主播已打开“修改主题”</x:v>
      </x:c>
      <x:c r="J93" s="5" t="str">
        <x:v>1. 输入 40 个字符并保存
2. 再次打开并继续输入第 41 个字符</x:v>
      </x:c>
      <x:c r="K93" s="5" t="str">
        <x:v>40 个字符的标题可保存并回显</x:v>
      </x:c>
      <x:c r="L93" s="5" t="str"/>
      <x:c r="M93" s="5" t="str">
        <x:v>未测</x:v>
      </x:c>
      <x:c r="N93" s="5" t="str"/>
      <x:c r="O93" s="5" t="str">
        <x:v>1. 来源：对应 HTML 静态原型；未动态验证
2. 追溯：业务底稿 LIVE-050。</x:v>
      </x:c>
    </x:row>
    <x:row r="94" ht="31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开播设置</x:v>
      </x:c>
      <x:c r="E94" s="5" t="str">
        <x:v>逻辑校验</x:v>
      </x:c>
      <x:c r="F94" s="5" t="str">
        <x:v>P2</x:v>
      </x:c>
      <x:c r="G94" s="5" t="str">
        <x:v>验证直播标题输入长度上限</x:v>
      </x:c>
      <x:c r="H94" s="5" t="str">
        <x:v>标题超长限制</x:v>
      </x:c>
      <x:c r="I94" s="5" t="str">
        <x:v>1. 主播已打开“修改主题”</x:v>
      </x:c>
      <x:c r="J94" s="5" t="str">
        <x:v>1. 输入 40 个字符并保存
2. 再次打开并继续输入第 41 个字符</x:v>
      </x:c>
      <x:c r="K94" s="5" t="str">
        <x:v>输入框最多保留 40 个字符</x:v>
      </x:c>
      <x:c r="L94" s="5" t="str"/>
      <x:c r="M94" s="5" t="str">
        <x:v>未测</x:v>
      </x:c>
      <x:c r="N94" s="5" t="str"/>
      <x:c r="O94" s="5" t="str">
        <x:v>1. 来源：对应 HTML 静态原型；未动态验证
2. 追溯：业务底稿 LIVE-050。</x:v>
      </x:c>
    </x:row>
    <x:row r="95" ht="43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开播设置</x:v>
      </x:c>
      <x:c r="E95" s="5" t="str">
        <x:v>功能需求</x:v>
      </x:c>
      <x:c r="F95" s="5" t="str">
        <x:v>P2</x:v>
      </x:c>
      <x:c r="G95" s="5" t="str">
        <x:v>验证主播选择有效图片作为直播封面</x:v>
      </x:c>
      <x:c r="H95" s="5" t="str">
        <x:v>直播封面选择</x:v>
      </x:c>
      <x:c r="I95" s="5" t="str">
        <x:v>1. 主播已进入开播设置
2. 设备中存在可访问的有效图片</x:v>
      </x:c>
      <x:c r="J95" s="5" t="str">
        <x:v>1. 点击“修改封面”
2. 从设备选择一张有效图片</x:v>
      </x:c>
      <x:c r="K95" s="5" t="str">
        <x:v>系统接受所选图片，开播设置页使用所选图片作为本场封面预览</x:v>
      </x:c>
      <x:c r="L95" s="5" t="str"/>
      <x:c r="M95" s="5" t="str">
        <x:v>未测</x:v>
      </x:c>
      <x:c r="N95" s="5" t="str"/>
      <x:c r="O95" s="5" t="str">
        <x:v>1. 来源：context/01-用户主播App-项目需求清单.md
2. 来源：对应 HTML 静态原型；未动态验证
3. 追溯：业务底稿 LIVE-051。</x:v>
      </x:c>
    </x:row>
    <x:row r="96" ht="43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开播设置</x:v>
      </x:c>
      <x:c r="E96" s="5" t="str">
        <x:v>功能需求</x:v>
      </x:c>
      <x:c r="F96" s="5" t="str">
        <x:v>P1</x:v>
      </x:c>
      <x:c r="G96" s="5" t="str">
        <x:v>验证直播分类仅使用后台启用项</x:v>
      </x:c>
      <x:c r="H96" s="5" t="str">
        <x:v>启用分类范围</x:v>
      </x:c>
      <x:c r="I96" s="5" t="str">
        <x:v>1. 后台至少启用两个直播分类
2. 主播已进入开播设置</x:v>
      </x:c>
      <x:c r="J96" s="5" t="str">
        <x:v>1. 点击分类入口
2. 选择分类“唱歌”</x:v>
      </x:c>
      <x:c r="K96" s="5" t="str">
        <x:v>分类列表仅展示后台启用的分类</x:v>
      </x:c>
      <x:c r="L96" s="5" t="str"/>
      <x:c r="M96" s="5" t="str">
        <x:v>未测</x:v>
      </x:c>
      <x:c r="N96" s="5" t="str"/>
      <x:c r="O96" s="5" t="str">
        <x:v>1. 来源：context/01-用户主播App-项目需求清单.md
2. 来源：对应 HTML 静态原型；未动态验证
3. 追溯：业务底稿 LIVE-052。</x:v>
      </x:c>
    </x:row>
    <x:row r="97" ht="43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开播设置</x:v>
      </x:c>
      <x:c r="E97" s="5" t="str">
        <x:v>功能需求</x:v>
      </x:c>
      <x:c r="F97" s="5" t="str">
        <x:v>P1</x:v>
      </x:c>
      <x:c r="G97" s="5" t="str">
        <x:v>验证保存并回显直播分类</x:v>
      </x:c>
      <x:c r="H97" s="5" t="str">
        <x:v>分类选择保存</x:v>
      </x:c>
      <x:c r="I97" s="5" t="str">
        <x:v>1. 后台至少启用两个直播分类
2. 主播已进入开播设置</x:v>
      </x:c>
      <x:c r="J97" s="5" t="str">
        <x:v>1. 点击分类入口
2. 选择分类“唱歌”</x:v>
      </x:c>
      <x:c r="K97" s="5" t="str">
        <x:v>选择后页面回显“唱歌”并作为本场直播分类</x:v>
      </x:c>
      <x:c r="L97" s="5" t="str"/>
      <x:c r="M97" s="5" t="str">
        <x:v>未测</x:v>
      </x:c>
      <x:c r="N97" s="5" t="str"/>
      <x:c r="O97" s="5" t="str">
        <x:v>1. 来源：context/01-用户主播App-项目需求清单.md
2. 来源：对应 HTML 静态原型；未动态验证
3. 追溯：业务底稿 LIVE-052。</x:v>
      </x:c>
    </x:row>
    <x:row r="98" ht="43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开播设置</x:v>
      </x:c>
      <x:c r="E98" s="5" t="str">
        <x:v>功能需求</x:v>
      </x:c>
      <x:c r="F98" s="5" t="str">
        <x:v>P1</x:v>
      </x:c>
      <x:c r="G98" s="5" t="str">
        <x:v>验证主播选择普通房</x:v>
      </x:c>
      <x:c r="H98" s="5" t="str">
        <x:v>普通房设置</x:v>
      </x:c>
      <x:c r="I98" s="5" t="str">
        <x:v>1. 主播已进入房型设置</x:v>
      </x:c>
      <x:c r="J98" s="5" t="str">
        <x:v>1. 选择“普通房”
2. 点击“确认”</x:v>
      </x:c>
      <x:c r="K98" s="5" t="str">
        <x:v>普通房设置保存后回显为“普通”，无需填写门票价格或房间密码</x:v>
      </x:c>
      <x:c r="L98" s="5" t="str"/>
      <x:c r="M98" s="5" t="str">
        <x:v>未测</x:v>
      </x:c>
      <x:c r="N98" s="5" t="str"/>
      <x:c r="O98" s="5" t="str">
        <x:v>1. 来源：context/01-用户主播App-项目需求清单.md
2. 来源：对应 HTML 静态原型；未动态验证
3. 追溯：业务底稿 LIVE-053。</x:v>
      </x:c>
    </x:row>
    <x:row r="99" ht="55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开播设置</x:v>
      </x:c>
      <x:c r="E99" s="5" t="str">
        <x:v>逻辑校验</x:v>
      </x:c>
      <x:c r="F99" s="5" t="str">
        <x:v>P1</x:v>
      </x:c>
      <x:c r="G99" s="5" t="str">
        <x:v>验证门票房未填写价格不能保存</x:v>
      </x:c>
      <x:c r="H99" s="5" t="str">
        <x:v>门票价格必填</x:v>
      </x:c>
      <x:c r="I99" s="5" t="str">
        <x:v>1. 门票房灰度开关已开启
2. 主播已进入房型设置</x:v>
      </x:c>
      <x:c r="J99" s="5" t="str">
        <x:v>1. 选择“门票房”
2. 保持门票价格为空
3. 点击“确认”</x:v>
      </x:c>
      <x:c r="K99" s="5" t="str">
        <x:v>门票价格为空时房型设置无法保存，页面提示“请设置门票价格”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来源：prototype/assets/annotations.js
3. 来源：对应 HTML 静态原型；未动态验证
4. 追溯：业务底稿 LIVE-054。</x:v>
      </x:c>
    </x:row>
    <x:row r="100" ht="55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开播设置</x:v>
      </x:c>
      <x:c r="E100" s="5" t="str">
        <x:v>逻辑校验</x:v>
      </x:c>
      <x:c r="F100" s="5" t="str">
        <x:v>P1</x:v>
      </x:c>
      <x:c r="G100" s="5" t="str">
        <x:v>验证密码房未填写密码不能保存</x:v>
      </x:c>
      <x:c r="H100" s="5" t="str">
        <x:v>房间密码必填</x:v>
      </x:c>
      <x:c r="I100" s="5" t="str">
        <x:v>1. 密码房灰度开关已开启
2. 主播已进入房型设置</x:v>
      </x:c>
      <x:c r="J100" s="5" t="str">
        <x:v>1. 选择“密码房”
2. 保持房间密码为空
3. 点击“确认”</x:v>
      </x:c>
      <x:c r="K100" s="5" t="str">
        <x:v>房间密码为空时房型设置无法保存，页面提示“请设置房间密码”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来源：prototype/assets/annotations.js
3. 来源：对应 HTML 静态原型；未动态验证
4. 追溯：业务底稿 LIVE-055。</x:v>
      </x:c>
    </x:row>
    <x:row r="101" ht="55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开播设置</x:v>
      </x:c>
      <x:c r="E101" s="5" t="str">
        <x:v>逻辑校验</x:v>
      </x:c>
      <x:c r="F101" s="5" t="str">
        <x:v>P1</x:v>
      </x:c>
      <x:c r="G101" s="5" t="str">
        <x:v>验证密码房广场展示范围</x:v>
      </x:c>
      <x:c r="H101" s="5" t="str">
        <x:v>密码房可见范围</x:v>
      </x:c>
      <x:c r="I101" s="5" t="str">
        <x:v>1. 密码房灰度开关已开启
2. 主播已选择密码房并设置有效密码</x:v>
      </x:c>
      <x:c r="J101" s="5" t="str">
        <x:v>1. 关闭“在广场展示”
2. 开启“从粉丝中授权可见”并选择两名粉丝
3. 保存房型
4. 分别由授权粉丝和非授权用户通过已知入口尝试进入</x:v>
      </x:c>
      <x:c r="K101" s="5" t="str">
        <x:v>广场不展示该密码房，授权名单仅影响可见入口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来源：context/01-用户主播App-角色与用例.md
3. 来源：prototype/assets/annotations.js
4. 追溯：业务底稿 LIVE-056。</x:v>
      </x:c>
    </x:row>
    <x:row r="102" ht="55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开播设置</x:v>
      </x:c>
      <x:c r="E102" s="5" t="str">
        <x:v>逻辑校验</x:v>
      </x:c>
      <x:c r="F102" s="5" t="str">
        <x:v>P1</x:v>
      </x:c>
      <x:c r="G102" s="5" t="str">
        <x:v>验证授权名单不能绕过房间密码</x:v>
      </x:c>
      <x:c r="H102" s="5" t="str">
        <x:v>授权用户密码校验</x:v>
      </x:c>
      <x:c r="I102" s="5" t="str">
        <x:v>1. 密码房灰度开关已开启
2. 主播已选择密码房并设置有效密码</x:v>
      </x:c>
      <x:c r="J102" s="5" t="str">
        <x:v>1. 关闭“在广场展示”
2. 开启“从粉丝中授权可见”并选择两名粉丝
3. 保存房型
4. 分别由授权粉丝和非授权用户通过已知入口尝试进入</x:v>
      </x:c>
      <x:c r="K102" s="5" t="str">
        <x:v>授权粉丝和非授权用户进入直播内容前均需通过房间密码校验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来源：context/01-用户主播App-角色与用例.md
3. 来源：prototype/assets/annotations.js
4. 追溯：业务底稿 LIVE-056。</x:v>
      </x:c>
    </x:row>
    <x:row r="103" ht="43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开播设置</x:v>
      </x:c>
      <x:c r="E103" s="5" t="str">
        <x:v>功能需求</x:v>
      </x:c>
      <x:c r="F103" s="5" t="str">
        <x:v>P2</x:v>
      </x:c>
      <x:c r="G103" s="5" t="str">
        <x:v>验证摄像头从前置切换为后置</x:v>
      </x:c>
      <x:c r="H103" s="5" t="str">
        <x:v>后置摄像头切换</x:v>
      </x:c>
      <x:c r="I103" s="5" t="str">
        <x:v>1. 设备前后摄像头可用
2. 主播已进入开播设置</x:v>
      </x:c>
      <x:c r="J103" s="5" t="str">
        <x:v>1. 点击切换摄像头</x:v>
      </x:c>
      <x:c r="K103" s="5" t="str">
        <x:v>首次点击后预览从前置切换为后置</x:v>
      </x:c>
      <x:c r="L103" s="5" t="str"/>
      <x:c r="M103" s="5" t="str">
        <x:v>未测</x:v>
      </x:c>
      <x:c r="N103" s="5" t="str"/>
      <x:c r="O103" s="5" t="str">
        <x:v>1. 来源：prototype/assets/annotations.js
2. 来源：对应 HTML 静态原型；未动态验证
3. 追溯：业务底稿 LIVE-057。</x:v>
      </x:c>
    </x:row>
    <x:row r="104" ht="43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开播设置</x:v>
      </x:c>
      <x:c r="E104" s="5" t="str">
        <x:v>功能需求</x:v>
      </x:c>
      <x:c r="F104" s="5" t="str">
        <x:v>P2</x:v>
      </x:c>
      <x:c r="G104" s="5" t="str">
        <x:v>验证摄像头从后置切换回前置</x:v>
      </x:c>
      <x:c r="H104" s="5" t="str">
        <x:v>前置摄像头恢复</x:v>
      </x:c>
      <x:c r="I104" s="5" t="str">
        <x:v>1. 设备前后摄像头可用
2. 主播已进入开播设置</x:v>
      </x:c>
      <x:c r="J104" s="5" t="str">
        <x:v>1. 点击切换摄像头
2. 再次点击切换摄像头</x:v>
      </x:c>
      <x:c r="K104" s="5" t="str">
        <x:v>再次点击后预览恢复前置</x:v>
      </x:c>
      <x:c r="L104" s="5" t="str"/>
      <x:c r="M104" s="5" t="str">
        <x:v>未测</x:v>
      </x:c>
      <x:c r="N104" s="5" t="str"/>
      <x:c r="O104" s="5" t="str">
        <x:v>1. 来源：prototype/assets/annotations.js
2. 来源：对应 HTML 静态原型；未动态验证
3. 追溯：业务底稿 LIVE-057。</x:v>
      </x:c>
    </x:row>
    <x:row r="105" ht="43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开播设置</x:v>
      </x:c>
      <x:c r="E105" s="5" t="str">
        <x:v>功能需求</x:v>
      </x:c>
      <x:c r="F105" s="5" t="str">
        <x:v>P2</x:v>
      </x:c>
      <x:c r="G105" s="5" t="str">
        <x:v>验证美颜参数切换后保留</x:v>
      </x:c>
      <x:c r="H105" s="5" t="str">
        <x:v>美颜参数记忆</x:v>
      </x:c>
      <x:c r="I105" s="5" t="str">
        <x:v>1. 美颜 SDK 可用
2. 主播已打开美颜设置</x:v>
      </x:c>
      <x:c r="J105" s="5" t="str">
        <x:v>1. 选择“磨皮”并调至 70
2. 切换分类后返回“美颜”</x:v>
      </x:c>
      <x:c r="K105" s="5" t="str">
        <x:v>“磨皮”保持选中且数值为 70</x:v>
      </x:c>
      <x:c r="L105" s="5" t="str"/>
      <x:c r="M105" s="5" t="str">
        <x:v>未测</x:v>
      </x:c>
      <x:c r="N105" s="5" t="str"/>
      <x:c r="O105" s="5" t="str">
        <x:v>1. 来源：prototype/assets/annotations.js
2. 来源：对应 HTML 静态原型；未动态验证
3. 追溯：业务底稿 LIVE-058。</x:v>
      </x:c>
    </x:row>
    <x:row r="106" ht="43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开播设置</x:v>
      </x:c>
      <x:c r="E106" s="5" t="str">
        <x:v>功能需求</x:v>
      </x:c>
      <x:c r="F106" s="5" t="str">
        <x:v>P2</x:v>
      </x:c>
      <x:c r="G106" s="5" t="str">
        <x:v>验证美型参数切换后保留</x:v>
      </x:c>
      <x:c r="H106" s="5" t="str">
        <x:v>美型参数记忆</x:v>
      </x:c>
      <x:c r="I106" s="5" t="str">
        <x:v>1. 美颜 SDK 可用
2. 主播已打开美颜设置</x:v>
      </x:c>
      <x:c r="J106" s="5" t="str">
        <x:v>1. 选择“大眼”并调至 30
2. 切换分类后返回“美型”</x:v>
      </x:c>
      <x:c r="K106" s="5" t="str">
        <x:v>“大眼”保持选中且数值为 30</x:v>
      </x:c>
      <x:c r="L106" s="5" t="str"/>
      <x:c r="M106" s="5" t="str">
        <x:v>未测</x:v>
      </x:c>
      <x:c r="N106" s="5" t="str"/>
      <x:c r="O106" s="5" t="str">
        <x:v>1. 来源：prototype/assets/annotations.js
2. 来源：对应 HTML 静态原型；未动态验证
3. 追溯：业务底稿 LIVE-058。</x:v>
      </x:c>
    </x:row>
    <x:row r="107" ht="43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开播设置</x:v>
      </x:c>
      <x:c r="E107" s="5" t="str">
        <x:v>逻辑校验</x:v>
      </x:c>
      <x:c r="F107" s="5" t="str">
        <x:v>P2</x:v>
      </x:c>
      <x:c r="G107" s="5" t="str">
        <x:v>验证恢复默认重置全部美颜参数</x:v>
      </x:c>
      <x:c r="H107" s="5" t="str">
        <x:v>美颜恢复默认</x:v>
      </x:c>
      <x:c r="I107" s="5" t="str">
        <x:v>1. 美颜和美型均已选择项目并修改参数</x:v>
      </x:c>
      <x:c r="J107" s="5" t="str">
        <x:v>1. 点击“恢复默认”
2. 分别查看美颜和美型</x:v>
      </x:c>
      <x:c r="K107" s="5" t="str">
        <x:v>恢复默认后美颜与美型均清空选中项目，全部参数重置为 50</x:v>
      </x:c>
      <x:c r="L107" s="5" t="str"/>
      <x:c r="M107" s="5" t="str">
        <x:v>未测</x:v>
      </x:c>
      <x:c r="N107" s="5" t="str"/>
      <x:c r="O107" s="5" t="str">
        <x:v>1. 来源：prototype/assets/annotations.js
2. 来源：对应 HTML 静态原型；未动态验证
3. 追溯：业务底稿 LIVE-059。</x:v>
      </x:c>
    </x:row>
    <x:row r="108" ht="67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开播设置</x:v>
      </x:c>
      <x:c r="E108" s="5" t="str">
        <x:v>业务流程</x:v>
      </x:c>
      <x:c r="F108" s="5" t="str">
        <x:v>P0</x:v>
      </x:c>
      <x:c r="G108" s="5" t="str">
        <x:v>验证开播时创建直播场次</x:v>
      </x:c>
      <x:c r="H108" s="5" t="str">
        <x:v>直播场次创建</x:v>
      </x:c>
      <x:c r="I108" s="5" t="str">
        <x:v>1. 主播具备直播权限
2. 已设置有效标题、封面、分类和房型
3. 摄像头与直播 SDK 可用</x:v>
      </x:c>
      <x:c r="J108" s="5" t="str">
        <x:v>1. 点击“开始直播”
2. 等待开播倒计时完成
3. 点击“进入直播间”</x:v>
      </x:c>
      <x:c r="K108" s="5" t="str">
        <x:v>系统创建一场进行中的直播场次</x:v>
      </x:c>
      <x:c r="L108" s="5" t="str">
        <x:v>FLOW-LIVE-001</x:v>
      </x:c>
      <x:c r="M108" s="5" t="str">
        <x:v>未测</x:v>
      </x:c>
      <x:c r="N108" s="5" t="str"/>
      <x:c r="O108" s="5" t="str">
        <x:v>1. 来源：context/01-用户主播App-项目需求清单.md
2. 来源：context/01-用户主播App-角色与用例.md
3. 来源：对应 HTML 静态原型；未动态验证
4. 追溯：业务底稿 LIVE-060。
5. 流程：阶段 01：主播创建普通直播场次；共同业务对象：LIVE-SESSION-N01。</x:v>
      </x:c>
    </x:row>
    <x:row r="109" ht="55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开播设置</x:v>
      </x:c>
      <x:c r="E109" s="5" t="str">
        <x:v>业务流程</x:v>
      </x:c>
      <x:c r="F109" s="5" t="str">
        <x:v>P1</x:v>
      </x:c>
      <x:c r="G109" s="5" t="str">
        <x:v>验证开播后进入主播直播间</x:v>
      </x:c>
      <x:c r="H109" s="5" t="str">
        <x:v>开播页面跳转</x:v>
      </x:c>
      <x:c r="I109" s="5" t="str">
        <x:v>1. 主播具备直播权限
2. 已设置有效标题、封面、分类和房型
3. 摄像头与直播 SDK 可用</x:v>
      </x:c>
      <x:c r="J109" s="5" t="str">
        <x:v>1. 点击“开始直播”
2. 等待开播倒计时完成
3. 点击“进入直播间”</x:v>
      </x:c>
      <x:c r="K109" s="5" t="str">
        <x:v>页面进入该主播直播间</x:v>
      </x:c>
      <x:c r="L109" s="5" t="str"/>
      <x:c r="M109" s="5" t="str">
        <x:v>未测</x:v>
      </x:c>
      <x:c r="N109" s="5" t="str"/>
      <x:c r="O109" s="5" t="str">
        <x:v>1. 来源：context/01-用户主播App-项目需求清单.md
2. 来源：context/01-用户主播App-角色与用例.md
3. 来源：对应 HTML 静态原型；未动态验证
4. 追溯：业务底稿 LIVE-060。</x:v>
      </x:c>
    </x:row>
    <x:row r="110" ht="55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开播控制</x:v>
      </x:c>
      <x:c r="E110" s="5" t="str">
        <x:v>业务流程</x:v>
      </x:c>
      <x:c r="F110" s="5" t="str">
        <x:v>P1</x:v>
      </x:c>
      <x:c r="G110" s="5" t="str">
        <x:v>验证开播成功后直播场次进入直播广场</x:v>
      </x:c>
      <x:c r="H110" s="5" t="str">
        <x:v>开播后的广场入口</x:v>
      </x:c>
      <x:c r="I110" s="5" t="str">
        <x:v>1. 主播已成功创建一场进行中的直播
2. 直播标题、封面、分类和房型已保存</x:v>
      </x:c>
      <x:c r="J110" s="5" t="str">
        <x:v>1. 由另一名用户刷新直播广场
2. 查找该主播的直播场次</x:v>
      </x:c>
      <x:c r="K110" s="5" t="str">
        <x:v>开播成功后直播广场出现本场观看入口，卡片的主播、标题、封面、分类和房型与开播设置一致</x:v>
      </x:c>
      <x:c r="L110" s="5" t="str">
        <x:v>FLOW-LIVE-001</x:v>
      </x:c>
      <x:c r="M110" s="5" t="str">
        <x:v>未测</x:v>
      </x:c>
      <x:c r="N110" s="5" t="str"/>
      <x:c r="O110" s="5" t="str">
        <x:v>1. 来源：context/01-用户主播App-项目需求清单.md
2. 来源：context/01-用户主播App-角色与用例.md
3. 追溯：业务底稿 LIVE-061。
4. 流程：阶段 02：直播广场出现观看入口；共同业务对象：LIVE-SESSION-N01。</x:v>
      </x:c>
    </x:row>
    <x:row r="111" ht="43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开播控制</x:v>
      </x:c>
      <x:c r="E111" s="5" t="str">
        <x:v>业务流程</x:v>
      </x:c>
      <x:c r="F111" s="5" t="str">
        <x:v>P1</x:v>
      </x:c>
      <x:c r="G111" s="5" t="str">
        <x:v>验证开播成功后向关注用户发送提醒</x:v>
      </x:c>
      <x:c r="H111" s="5" t="str">
        <x:v>关注用户开播提醒</x:v>
      </x:c>
      <x:c r="I111" s="5" t="str">
        <x:v>1. 用户 A 已关注目标主播并允许接收开播提醒
2. 用户 B 未关注目标主播
3. 目标主播尚未开播</x:v>
      </x:c>
      <x:c r="J111" s="5" t="str">
        <x:v>1. 目标主播成功开始直播
2. 分别查看用户 A 和用户 B 的通知</x:v>
      </x:c>
      <x:c r="K111" s="5" t="str">
        <x:v>仅已关注目标主播的用户 A 收到本场开播提醒，未关注的用户 B 不收到该提醒</x:v>
      </x:c>
      <x:c r="L111" s="5" t="str"/>
      <x:c r="M111" s="5" t="str">
        <x:v>未测</x:v>
      </x:c>
      <x:c r="N111" s="5" t="str"/>
      <x:c r="O111" s="5" t="str">
        <x:v>1. 来源：context/01-用户主播App-项目需求清单.md
2. 来源：context/01-用户主播App-角色与用例.md
3. 追溯：业务底稿 LIVE-062。</x:v>
      </x:c>
    </x:row>
    <x:row r="112" ht="43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开播设置</x:v>
      </x:c>
      <x:c r="E112" s="5" t="str">
        <x:v>逻辑校验</x:v>
      </x:c>
      <x:c r="F112" s="5" t="str">
        <x:v>P1</x:v>
      </x:c>
      <x:c r="G112" s="5" t="str">
        <x:v>验证灰度关闭时不能保存特殊房型</x:v>
      </x:c>
      <x:c r="H112" s="5" t="str">
        <x:v>特殊房型灰度限制</x:v>
      </x:c>
      <x:c r="I112" s="5" t="str">
        <x:v>1. 后台关闭门票房和密码房灰度开关
2. 主播已进入房型设置</x:v>
      </x:c>
      <x:c r="J112" s="5" t="str">
        <x:v>1. 查看可选房型
2. 尝试选择门票房和密码房</x:v>
      </x:c>
      <x:c r="K112" s="5" t="str">
        <x:v>主播不能保存被关闭的特殊房型</x:v>
      </x:c>
      <x:c r="L112" s="5" t="str"/>
      <x:c r="M112" s="5" t="str">
        <x:v>未测</x:v>
      </x:c>
      <x:c r="N112" s="5" t="str"/>
      <x:c r="O112" s="5" t="str">
        <x:v>1. 来源：context/01-用户主播App-项目需求清单.md
2. 来源：context/01-用户主播App-角色与用例.md
3. 追溯：业务底稿 LIVE-063。</x:v>
      </x:c>
    </x:row>
    <x:row r="113" ht="43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开播设置</x:v>
      </x:c>
      <x:c r="E113" s="5" t="str">
        <x:v>逻辑校验</x:v>
      </x:c>
      <x:c r="F113" s="5" t="str">
        <x:v>P1</x:v>
      </x:c>
      <x:c r="G113" s="5" t="str">
        <x:v>验证特殊房型关闭不影响普通房</x:v>
      </x:c>
      <x:c r="H113" s="5" t="str">
        <x:v>普通房灰度隔离</x:v>
      </x:c>
      <x:c r="I113" s="5" t="str">
        <x:v>1. 后台关闭门票房和密码房灰度开关
2. 主播已进入房型设置</x:v>
      </x:c>
      <x:c r="J113" s="5" t="str">
        <x:v>1. 查看可选房型
2. 尝试选择门票房和密码房</x:v>
      </x:c>
      <x:c r="K113" s="5" t="str">
        <x:v>普通房仍可选择并保存</x:v>
      </x:c>
      <x:c r="L113" s="5" t="str"/>
      <x:c r="M113" s="5" t="str">
        <x:v>未测</x:v>
      </x:c>
      <x:c r="N113" s="5" t="str"/>
      <x:c r="O113" s="5" t="str">
        <x:v>1. 来源：context/01-用户主播App-项目需求清单.md
2. 来源：context/01-用户主播App-角色与用例.md
3. 追溯：业务底稿 LIVE-063。</x:v>
      </x:c>
    </x:row>
    <x:row r="114" ht="55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主播直播间</x:v>
      </x:c>
      <x:c r="E114" s="5" t="str">
        <x:v>功能需求</x:v>
      </x:c>
      <x:c r="F114" s="5" t="str">
        <x:v>P1</x:v>
      </x:c>
      <x:c r="G114" s="5" t="str">
        <x:v>验证主播查看在线用户经营标识</x:v>
      </x:c>
      <x:c r="H114" s="5" t="str">
        <x:v>在线用户身份标识</x:v>
      </x:c>
      <x:c r="I114" s="5" t="str">
        <x:v>1. 主播正在直播
2. 在线用户覆盖新用户、老粉、粉丝团成员、高贡献用户、财富等级用户和受限用户</x:v>
      </x:c>
      <x:c r="J114" s="5" t="str">
        <x:v>1. 点击在线观众入口
2. 查看各类用户资料</x:v>
      </x:c>
      <x:c r="K114" s="5" t="str">
        <x:v>在线用户列表按实际用户状态展示新用户、关注或老粉、粉丝团、贡献、财富等级和限制标识</x:v>
      </x:c>
      <x:c r="L114" s="5" t="str"/>
      <x:c r="M114" s="5" t="str">
        <x:v>未测</x:v>
      </x:c>
      <x:c r="N114" s="5" t="str"/>
      <x:c r="O114" s="5" t="str">
        <x:v>1. 来源：context/01-用户主播App-项目需求清单.md
2. 来源：context/01-用户主播App-角色与用例.md
3. 来源：prototype/assets/annotations.js
4. 追溯：业务底稿 LIVE-064。</x:v>
      </x:c>
    </x:row>
    <x:row r="115" ht="43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主播直播间</x:v>
      </x:c>
      <x:c r="E115" s="5" t="str">
        <x:v>逻辑校验</x:v>
      </x:c>
      <x:c r="F115" s="5" t="str">
        <x:v>P1</x:v>
      </x:c>
      <x:c r="G115" s="5" t="str">
        <x:v>验证普通礼物计入本场收礼</x:v>
      </x:c>
      <x:c r="H115" s="5" t="str">
        <x:v>本场收礼金额</x:v>
      </x:c>
      <x:c r="I115" s="5" t="str">
        <x:v>1. 主播本场初始普通礼物收益为 500 金币
2. 观众随后赠送价值 100 金币的普通礼物
3. 无其他收益变动</x:v>
      </x:c>
      <x:c r="J115" s="5" t="str">
        <x:v>1. 记录本场收礼值
2. 观众赠送 100 金币普通礼物
3. 查看本场收礼</x:v>
      </x:c>
      <x:c r="K115" s="5" t="str">
        <x:v>本场普通礼物收礼增加 100 金币</x:v>
      </x:c>
      <x:c r="L115" s="5" t="str"/>
      <x:c r="M115" s="5" t="str">
        <x:v>未测</x:v>
      </x:c>
      <x:c r="N115" s="5" t="str"/>
      <x:c r="O115" s="5" t="str">
        <x:v>1. 来源：context/01-用户主播App-项目需求清单.md
2. 来源：context/01-用户主播App-角色与用例.md
3. 追溯：业务底稿 LIVE-065。</x:v>
      </x:c>
    </x:row>
    <x:row r="116" ht="43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主播直播间</x:v>
      </x:c>
      <x:c r="E116" s="5" t="str">
        <x:v>逻辑校验</x:v>
      </x:c>
      <x:c r="F116" s="5" t="str">
        <x:v>P1</x:v>
      </x:c>
      <x:c r="G116" s="5" t="str">
        <x:v>验证普通礼物计入实时收益</x:v>
      </x:c>
      <x:c r="H116" s="5" t="str">
        <x:v>实时收益金额</x:v>
      </x:c>
      <x:c r="I116" s="5" t="str">
        <x:v>1. 主播本场初始普通礼物收益为 500 金币
2. 观众随后赠送价值 100 金币的普通礼物
3. 无其他收益变动</x:v>
      </x:c>
      <x:c r="J116" s="5" t="str">
        <x:v>1. 记录主播实时收益 500 金币
2. 观众赠送 100 金币普通礼物
3. 查看实时收益</x:v>
      </x:c>
      <x:c r="K116" s="5" t="str">
        <x:v>实时收益 = 500 + 100 = 600 金币</x:v>
      </x:c>
      <x:c r="L116" s="5" t="str"/>
      <x:c r="M116" s="5" t="str">
        <x:v>未测</x:v>
      </x:c>
      <x:c r="N116" s="5" t="str"/>
      <x:c r="O116" s="5" t="str">
        <x:v>1. 来源：context/01-用户主播App-项目需求清单.md
2. 来源：context/01-用户主播App-角色与用例.md
3. 追溯：业务底稿 LIVE-065。</x:v>
      </x:c>
    </x:row>
    <x:row r="117" ht="43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主播直播间</x:v>
      </x:c>
      <x:c r="E117" s="5" t="str">
        <x:v>逻辑校验</x:v>
      </x:c>
      <x:c r="F117" s="5" t="str">
        <x:v>P1</x:v>
      </x:c>
      <x:c r="G117" s="5" t="str">
        <x:v>验证礼物消费和收益流水关联</x:v>
      </x:c>
      <x:c r="H117" s="5" t="str">
        <x:v>消费收益流水关联</x:v>
      </x:c>
      <x:c r="I117" s="5" t="str">
        <x:v>1. 主播本场初始普通礼物收益为 500 金币
2. 观众随后赠送价值 100 金币的普通礼物
3. 无其他收益变动</x:v>
      </x:c>
      <x:c r="J117" s="5" t="str">
        <x:v>1. 观众赠送 100 金币普通礼物
2. 分别查看消费流水和收益流水</x:v>
      </x:c>
      <x:c r="K117" s="5" t="str">
        <x:v>消费流水与收益流水关联同一直播场次且金额均为 100 金币</x:v>
      </x:c>
      <x:c r="L117" s="5" t="str"/>
      <x:c r="M117" s="5" t="str">
        <x:v>未测</x:v>
      </x:c>
      <x:c r="N117" s="5" t="str"/>
      <x:c r="O117" s="5" t="str">
        <x:v>1. 来源：context/01-用户主播App-项目需求清单.md
2. 来源：context/01-用户主播App-角色与用例.md
3. 追溯：业务底稿 LIVE-065。</x:v>
      </x:c>
    </x:row>
    <x:row r="118" ht="43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主播直播间</x:v>
      </x:c>
      <x:c r="E118" s="5" t="str">
        <x:v>功能需求</x:v>
      </x:c>
      <x:c r="F118" s="5" t="str">
        <x:v>P2</x:v>
      </x:c>
      <x:c r="G118" s="5" t="str">
        <x:v>验证在线观众按贡献排序</x:v>
      </x:c>
      <x:c r="H118" s="5" t="str">
        <x:v>观众贡献排序</x:v>
      </x:c>
      <x:c r="I118" s="5" t="str">
        <x:v>1. 主播正在直播
2. 至少三名在线用户具有不同贡献和停留时长</x:v>
      </x:c>
      <x:c r="J118" s="5" t="str">
        <x:v>1. 打开在线观众
2. 选择按贡献排序</x:v>
      </x:c>
      <x:c r="K118" s="5" t="str">
        <x:v>按贡献排序时列表顺序依据本场贡献值</x:v>
      </x:c>
      <x:c r="L118" s="5" t="str"/>
      <x:c r="M118" s="5" t="str">
        <x:v>未测</x:v>
      </x:c>
      <x:c r="N118" s="5" t="str"/>
      <x:c r="O118" s="5" t="str">
        <x:v>1. 来源：prototype/assets/annotations.js
2. 来源：对应 HTML 静态原型；未动态验证
3. 追溯：业务底稿 LIVE-066。</x:v>
      </x:c>
    </x:row>
    <x:row r="119" ht="43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主播直播间</x:v>
      </x:c>
      <x:c r="E119" s="5" t="str">
        <x:v>功能需求</x:v>
      </x:c>
      <x:c r="F119" s="5" t="str">
        <x:v>P2</x:v>
      </x:c>
      <x:c r="G119" s="5" t="str">
        <x:v>验证在线观众按停留时长排序</x:v>
      </x:c>
      <x:c r="H119" s="5" t="str">
        <x:v>观众停留时长排序</x:v>
      </x:c>
      <x:c r="I119" s="5" t="str">
        <x:v>1. 主播正在直播
2. 至少三名在线用户具有不同贡献和停留时长</x:v>
      </x:c>
      <x:c r="J119" s="5" t="str">
        <x:v>1. 打开在线观众
2. 选择按停留时长排序</x:v>
      </x:c>
      <x:c r="K119" s="5" t="str">
        <x:v>按停留时长排序时列表顺序依据本场停留时长</x:v>
      </x:c>
      <x:c r="L119" s="5" t="str"/>
      <x:c r="M119" s="5" t="str">
        <x:v>未测</x:v>
      </x:c>
      <x:c r="N119" s="5" t="str"/>
      <x:c r="O119" s="5" t="str">
        <x:v>1. 来源：prototype/assets/annotations.js
2. 来源：对应 HTML 静态原型；未动态验证
3. 追溯：业务底稿 LIVE-066。</x:v>
      </x:c>
    </x:row>
    <x:row r="120" ht="55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主播直播间</x:v>
      </x:c>
      <x:c r="E120" s="5" t="str">
        <x:v>功能需求</x:v>
      </x:c>
      <x:c r="F120" s="5" t="str">
        <x:v>P2</x:v>
      </x:c>
      <x:c r="G120" s="5" t="str">
        <x:v>验证主播从用户卡发送 @ 欢迎</x:v>
      </x:c>
      <x:c r="H120" s="5" t="str">
        <x:v>@欢迎用户</x:v>
      </x:c>
      <x:c r="I120" s="5" t="str">
        <x:v>1. 主播正在直播
2. 目标用户在线且可接收公屏消息</x:v>
      </x:c>
      <x:c r="J120" s="5" t="str">
        <x:v>1. 打开目标用户资料卡
2. 点击“@Ta”
3. 填写欢迎内容并发送</x:v>
      </x:c>
      <x:c r="K120" s="5" t="str">
        <x:v>公屏新增由当前主播发送且包含目标用户标识的欢迎消息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来源：context/01-用户主播App-角色与用例.md
3. 来源：对应 HTML 静态原型；未动态验证
4. 追溯：业务底稿 LIVE-067。</x:v>
      </x:c>
    </x:row>
    <x:row r="121" ht="43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主播直播间</x:v>
      </x:c>
      <x:c r="E121" s="5" t="str">
        <x:v>逻辑校验</x:v>
      </x:c>
      <x:c r="F121" s="5" t="str">
        <x:v>P1</x:v>
      </x:c>
      <x:c r="G121" s="5" t="str">
        <x:v>验证单场前三条直播间私信可以发送</x:v>
      </x:c>
      <x:c r="H121" s="5" t="str">
        <x:v>前三条私信发送</x:v>
      </x:c>
      <x:c r="I121" s="5" t="str">
        <x:v>1. 主播正在自己的直播场次
2. 目标观众在线、非好友且双方未拉黑
3. 本场尚未向目标发送直播间私信</x:v>
      </x:c>
      <x:c r="J121" s="5" t="str">
        <x:v>1. 通过目标用户卡连续发送三条私信
2. 再次尝试发送第四条私信</x:v>
      </x:c>
      <x:c r="K121" s="5" t="str">
        <x:v>前三条私信以普通私信样式进入目标主消息列表</x:v>
      </x:c>
      <x:c r="L121" s="5" t="str"/>
      <x:c r="M121" s="5" t="str">
        <x:v>未测</x:v>
      </x:c>
      <x:c r="N121" s="5" t="str"/>
      <x:c r="O121" s="5" t="str">
        <x:v>1. 来源：context/01-用户主播App-角色与用例.md
2. 来源：角色与用例文档的业务口径 10
3. 追溯：业务底稿 LIVE-068。</x:v>
      </x:c>
    </x:row>
    <x:row r="122" ht="43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主播直播间</x:v>
      </x:c>
      <x:c r="E122" s="5" t="str">
        <x:v>逻辑校验</x:v>
      </x:c>
      <x:c r="F122" s="5" t="str">
        <x:v>P1</x:v>
      </x:c>
      <x:c r="G122" s="5" t="str">
        <x:v>验证单场第四条直播间私信被拦截</x:v>
      </x:c>
      <x:c r="H122" s="5" t="str">
        <x:v>第四条私信拦截</x:v>
      </x:c>
      <x:c r="I122" s="5" t="str">
        <x:v>1. 主播正在自己的直播场次
2. 目标观众在线、非好友且双方未拉黑
3. 本场尚未向目标发送直播间私信</x:v>
      </x:c>
      <x:c r="J122" s="5" t="str">
        <x:v>1. 通过目标用户卡连续发送三条私信
2. 再次尝试发送第四条私信</x:v>
      </x:c>
      <x:c r="K122" s="5" t="str">
        <x:v>第四条私信不发送，系统记录本场对该用户已发送三条直播间私信</x:v>
      </x:c>
      <x:c r="L122" s="5" t="str"/>
      <x:c r="M122" s="5" t="str">
        <x:v>未测</x:v>
      </x:c>
      <x:c r="N122" s="5" t="str"/>
      <x:c r="O122" s="5" t="str">
        <x:v>1. 来源：context/01-用户主播App-角色与用例.md
2. 来源：角色与用例文档的业务口径 10
3. 追溯：业务底稿 LIVE-068。</x:v>
      </x:c>
    </x:row>
    <x:row r="123" ht="43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主播直播间</x:v>
      </x:c>
      <x:c r="E123" s="5" t="str">
        <x:v>业务流程</x:v>
      </x:c>
      <x:c r="F123" s="5" t="str">
        <x:v>P1</x:v>
      </x:c>
      <x:c r="G123" s="5" t="str">
        <x:v>验证观众可以回复直播间私信</x:v>
      </x:c>
      <x:c r="H123" s="5" t="str">
        <x:v>观众回复私信</x:v>
      </x:c>
      <x:c r="I123" s="5" t="str">
        <x:v>1. 当前直播场次仍在进行
2. 主播已向在线非好友观众发送有效直播间私信
3. 双方未拉黑</x:v>
      </x:c>
      <x:c r="J123" s="5" t="str">
        <x:v>1. 由观众回复该私信
2. 双方继续互发私信</x:v>
      </x:c>
      <x:c r="K123" s="5" t="str">
        <x:v>观众回复消息发送成功</x:v>
      </x:c>
      <x:c r="L123" s="5" t="str"/>
      <x:c r="M123" s="5" t="str">
        <x:v>未测</x:v>
      </x:c>
      <x:c r="N123" s="5" t="str"/>
      <x:c r="O123" s="5" t="str">
        <x:v>1. 来源：context/01-用户主播App-角色与用例.md
2. 来源：context/01-互动场景权限规则.md
3. 追溯：业务底稿 LIVE-069。</x:v>
      </x:c>
    </x:row>
    <x:row r="124" ht="43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主播直播间</x:v>
      </x:c>
      <x:c r="E124" s="5" t="str">
        <x:v>业务流程</x:v>
      </x:c>
      <x:c r="F124" s="5" t="str">
        <x:v>P1</x:v>
      </x:c>
      <x:c r="G124" s="5" t="str">
        <x:v>验证回复直播间私信后建立好友关系</x:v>
      </x:c>
      <x:c r="H124" s="5" t="str">
        <x:v>回复后建立好友关系</x:v>
      </x:c>
      <x:c r="I124" s="5" t="str">
        <x:v>1. 当前直播场次仍在进行
2. 主播已向在线非好友观众发送有效直播间私信
3. 双方未拉黑</x:v>
      </x:c>
      <x:c r="J124" s="5" t="str">
        <x:v>1. 由观众回复该私信
2. 双方继续互发私信</x:v>
      </x:c>
      <x:c r="K124" s="5" t="str">
        <x:v>双方自动建立好友关系，建立好友后双方可按好友规则继续发送私信</x:v>
      </x:c>
      <x:c r="L124" s="5" t="str"/>
      <x:c r="M124" s="5" t="str">
        <x:v>未测</x:v>
      </x:c>
      <x:c r="N124" s="5" t="str"/>
      <x:c r="O124" s="5" t="str">
        <x:v>1. 来源：context/01-用户主播App-角色与用例.md
2. 来源：context/01-互动场景权限规则.md
3. 追溯：业务底稿 LIVE-069。</x:v>
      </x:c>
    </x:row>
    <x:row r="125" ht="43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主播直播间</x:v>
      </x:c>
      <x:c r="E125" s="5" t="str">
        <x:v>逻辑校验</x:v>
      </x:c>
      <x:c r="F125" s="5" t="str">
        <x:v>P1</x:v>
      </x:c>
      <x:c r="G125" s="5" t="str">
        <x:v>验证场次结束后非好友不能回复直播间私信</x:v>
      </x:c>
      <x:c r="H125" s="5" t="str">
        <x:v>直播结束后的非好友回复</x:v>
      </x:c>
      <x:c r="I125" s="5" t="str">
        <x:v>1. 主播曾在场次 A 向非好友观众发送直播间私信
2. 场次 A 已结束
3. 观众在场次内未回复且双方仍非好友</x:v>
      </x:c>
      <x:c r="J125" s="5" t="str">
        <x:v>1. 由观众在历史会话中尝试回复该私信</x:v>
      </x:c>
      <x:c r="K125" s="5" t="str">
        <x:v>直播结束后非好友观众不能回复历史直播间私信，双方不会因此建立好友关系</x:v>
      </x:c>
      <x:c r="L125" s="5" t="str"/>
      <x:c r="M125" s="5" t="str">
        <x:v>未测</x:v>
      </x:c>
      <x:c r="N125" s="5" t="str"/>
      <x:c r="O125" s="5" t="str">
        <x:v>1. 来源：context/01-用户主播App-角色与用例.md
2. 来源：context/01-互动场景权限规则.md
3. 追溯：业务底稿 LIVE-070。</x:v>
      </x:c>
    </x:row>
    <x:row r="126" ht="55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主播直播间</x:v>
      </x:c>
      <x:c r="E126" s="5" t="str">
        <x:v>业务流程</x:v>
      </x:c>
      <x:c r="F126" s="5" t="str">
        <x:v>P2</x:v>
      </x:c>
      <x:c r="G126" s="5" t="str">
        <x:v>验证主播答谢礼物送达观众</x:v>
      </x:c>
      <x:c r="H126" s="5" t="str">
        <x:v>答谢礼物送达</x:v>
      </x:c>
      <x:c r="I126" s="5" t="str">
        <x:v>1. 主播正在直播
2. 目标观众在线
3. 主播具备可用的答谢礼物</x:v>
      </x:c>
      <x:c r="J126" s="5" t="str">
        <x:v>1. 打开目标观众资料卡
2. 点击“答谢”
3. 选择答谢礼物并确认</x:v>
      </x:c>
      <x:c r="K126" s="5" t="str">
        <x:v>目标观众收到答谢礼物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来源：context/01-用户主播App-角色与用例.md
3. 来源：对应 HTML 静态原型；未动态验证
4. 追溯：业务底稿 LIVE-071。</x:v>
      </x:c>
    </x:row>
    <x:row r="127" ht="55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主播直播间</x:v>
      </x:c>
      <x:c r="E127" s="5" t="str">
        <x:v>业务流程</x:v>
      </x:c>
      <x:c r="F127" s="5" t="str">
        <x:v>P2</x:v>
      </x:c>
      <x:c r="G127" s="5" t="str">
        <x:v>验证主播答谢礼物生成记录</x:v>
      </x:c>
      <x:c r="H127" s="5" t="str">
        <x:v>答谢礼物记录</x:v>
      </x:c>
      <x:c r="I127" s="5" t="str">
        <x:v>1. 主播正在直播
2. 目标观众在线
3. 主播具备可用的答谢礼物</x:v>
      </x:c>
      <x:c r="J127" s="5" t="str">
        <x:v>1. 打开目标观众资料卡
2. 点击“答谢”
3. 选择答谢礼物并确认</x:v>
      </x:c>
      <x:c r="K127" s="5" t="str">
        <x:v>系统生成关联主播、观众和当前直播场次的答谢礼物记录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来源：context/01-用户主播App-角色与用例.md
3. 来源：对应 HTML 静态原型；未动态验证
4. 追溯：业务底稿 LIVE-071。</x:v>
      </x:c>
    </x:row>
    <x:row r="128" ht="55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主播直播间</x:v>
      </x:c>
      <x:c r="E128" s="5" t="str">
        <x:v>业务流程</x:v>
      </x:c>
      <x:c r="F128" s="5" t="str">
        <x:v>P1</x:v>
      </x:c>
      <x:c r="G128" s="5" t="str">
        <x:v>验证长期房管授权生效</x:v>
      </x:c>
      <x:c r="H128" s="5" t="str">
        <x:v>长期房管权限</x:v>
      </x:c>
      <x:c r="I128" s="5" t="str">
        <x:v>1. 主播已设置的房管少于 3 人
2. 目标用户不在直播间黑名单内
3. 双方无账号拉黑关系</x:v>
      </x:c>
      <x:c r="J128" s="5" t="str">
        <x:v>1. 输入目标用户 ID 或打开目标用户资料卡
2. 开启“设为房管”</x:v>
      </x:c>
      <x:c r="K128" s="5" t="str">
        <x:v>目标用户获得该主播的房管权限，授权在该主播后续直播中持续有效，直至主播取消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来源：context/01-用户主播App-角色与用例.md
3. 来源：context/01-互动场景权限规则.md
4. 追溯：业务底稿 LIVE-072。</x:v>
      </x:c>
    </x:row>
    <x:row r="129" ht="55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主播直播间</x:v>
      </x:c>
      <x:c r="E129" s="5" t="str">
        <x:v>业务流程</x:v>
      </x:c>
      <x:c r="F129" s="5" t="str">
        <x:v>P1</x:v>
      </x:c>
      <x:c r="G129" s="5" t="str">
        <x:v>验证房管授权关系留存</x:v>
      </x:c>
      <x:c r="H129" s="5" t="str">
        <x:v>房管授权记录</x:v>
      </x:c>
      <x:c r="I129" s="5" t="str">
        <x:v>1. 主播已设置的房管少于 3 人
2. 目标用户不在直播间黑名单内
3. 双方无账号拉黑关系</x:v>
      </x:c>
      <x:c r="J129" s="5" t="str">
        <x:v>1. 输入目标用户 ID 或打开目标用户资料卡
2. 开启“设为房管”</x:v>
      </x:c>
      <x:c r="K129" s="5" t="str">
        <x:v>系统保存主播与房管的授权关系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来源：context/01-用户主播App-角色与用例.md
3. 来源：context/01-互动场景权限规则.md
4. 追溯：业务底稿 LIVE-072。</x:v>
      </x:c>
    </x:row>
    <x:row r="130" ht="55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主播直播间</x:v>
      </x:c>
      <x:c r="E130" s="5" t="str">
        <x:v>逻辑校验</x:v>
      </x:c>
      <x:c r="F130" s="5" t="str">
        <x:v>P1</x:v>
      </x:c>
      <x:c r="G130" s="5" t="str">
        <x:v>验证房管达到三人后不能继续添加</x:v>
      </x:c>
      <x:c r="H130" s="5" t="str">
        <x:v>房管人数上限</x:v>
      </x:c>
      <x:c r="I130" s="5" t="str">
        <x:v>1. 主播已存在 3 名有效房管
2. 第 4 名目标用户满足其他房管条件</x:v>
      </x:c>
      <x:c r="J130" s="5" t="str">
        <x:v>1. 尝试将第 4 名用户设置为房管</x:v>
      </x:c>
      <x:c r="K130" s="5" t="str">
        <x:v>已有 3 名房管时第 4 名用户不能获得房管权限，现有房管关系保持不变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来源：context/01-用户主播App-角色与用例.md
3. 来源：context/01-互动场景权限规则.md
4. 追溯：业务底稿 LIVE-073。</x:v>
      </x:c>
    </x:row>
    <x:row r="131" ht="55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主播直播间</x:v>
      </x:c>
      <x:c r="E131" s="5" t="str">
        <x:v>异常用例</x:v>
      </x:c>
      <x:c r="F131" s="5" t="str">
        <x:v>P1</x:v>
      </x:c>
      <x:c r="G131" s="5" t="str">
        <x:v>验证直播间黑名单用户不能设为房管</x:v>
      </x:c>
      <x:c r="H131" s="5" t="str">
        <x:v>黑名单用户房管限制</x:v>
      </x:c>
      <x:c r="I131" s="5" t="str">
        <x:v>1. 场景 A：目标用户在该主播直播间黑名单内
2. 场景 B：主播与目标用户存在任一方向账号拉黑</x:v>
      </x:c>
      <x:c r="J131" s="5" t="str">
        <x:v>1. 将目标用户加入直播间黑名单
2. 尝试将其设置为房管</x:v>
      </x:c>
      <x:c r="K131" s="5" t="str">
        <x:v>直播间黑名单内的目标用户未获得房管权限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来源：context/01-用户主播App-角色与用例.md
3. 来源：context/01-互动场景权限规则.md
4. 追溯：业务底稿 LIVE-074。</x:v>
      </x:c>
    </x:row>
    <x:row r="132" ht="55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主播直播间</x:v>
      </x:c>
      <x:c r="E132" s="5" t="str">
        <x:v>异常用例</x:v>
      </x:c>
      <x:c r="F132" s="5" t="str">
        <x:v>P1</x:v>
      </x:c>
      <x:c r="G132" s="5" t="str">
        <x:v>验证房管设置失败不改变直播间黑名单</x:v>
      </x:c>
      <x:c r="H132" s="5" t="str">
        <x:v>黑名单关系保持</x:v>
      </x:c>
      <x:c r="I132" s="5" t="str">
        <x:v>1. 场景 A：目标用户在该主播直播间黑名单内
2. 场景 B：主播与目标用户存在任一方向账号拉黑</x:v>
      </x:c>
      <x:c r="J132" s="5" t="str">
        <x:v>1. 将目标用户加入直播间黑名单
2. 尝试将其设置为房管
3. 查看直播间黑名单</x:v>
      </x:c>
      <x:c r="K132" s="5" t="str">
        <x:v>目标用户原有的直播间黑名单关系保持不变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来源：context/01-用户主播App-角色与用例.md
3. 来源：context/01-互动场景权限规则.md
4. 追溯：业务底稿 LIVE-074。</x:v>
      </x:c>
    </x:row>
    <x:row r="133" ht="55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主播直播间</x:v>
      </x:c>
      <x:c r="E133" s="5" t="str">
        <x:v>异常用例</x:v>
      </x:c>
      <x:c r="F133" s="5" t="str">
        <x:v>P1</x:v>
      </x:c>
      <x:c r="G133" s="5" t="str">
        <x:v>验证账号拉黑用户不能设为房管</x:v>
      </x:c>
      <x:c r="H133" s="5" t="str">
        <x:v>账号拉黑房管限制</x:v>
      </x:c>
      <x:c r="I133" s="5" t="str">
        <x:v>1. 场景 A：目标用户在该主播直播间黑名单内
2. 场景 B：主播与目标用户存在任一方向账号拉黑</x:v>
      </x:c>
      <x:c r="J133" s="5" t="str">
        <x:v>1. 建立任一方向账号拉黑关系
2. 尝试将目标用户设置为房管</x:v>
      </x:c>
      <x:c r="K133" s="5" t="str">
        <x:v>与主播存在账号拉黑关系的目标用户未获得房管权限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来源：context/01-用户主播App-角色与用例.md
3. 来源：context/01-互动场景权限规则.md
4. 追溯：业务底稿 LIVE-074。</x:v>
      </x:c>
    </x:row>
    <x:row r="134" ht="55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主播直播间</x:v>
      </x:c>
      <x:c r="E134" s="5" t="str">
        <x:v>异常用例</x:v>
      </x:c>
      <x:c r="F134" s="5" t="str">
        <x:v>P1</x:v>
      </x:c>
      <x:c r="G134" s="5" t="str">
        <x:v>验证房管设置失败不改变账号拉黑关系</x:v>
      </x:c>
      <x:c r="H134" s="5" t="str">
        <x:v>账号拉黑关系保持</x:v>
      </x:c>
      <x:c r="I134" s="5" t="str">
        <x:v>1. 场景 A：目标用户在该主播直播间黑名单内
2. 场景 B：主播与目标用户存在任一方向账号拉黑</x:v>
      </x:c>
      <x:c r="J134" s="5" t="str">
        <x:v>1. 建立任一方向账号拉黑关系
2. 尝试将目标用户设置为房管
3. 查看账号拉黑关系</x:v>
      </x:c>
      <x:c r="K134" s="5" t="str">
        <x:v>主播与目标用户原有的账号拉黑关系保持不变</x:v>
      </x:c>
      <x:c r="L134" s="5" t="str"/>
      <x:c r="M134" s="5" t="str">
        <x:v>未测</x:v>
      </x:c>
      <x:c r="N134" s="5" t="str"/>
      <x:c r="O134" s="5" t="str">
        <x:v>1. 来源：context/01-用户主播App-项目需求清单.md
2. 来源：context/01-用户主播App-角色与用例.md
3. 来源：context/01-互动场景权限规则.md
4. 追溯：业务底稿 LIVE-074。</x:v>
      </x:c>
    </x:row>
    <x:row r="135" ht="55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主播直播间</x:v>
      </x:c>
      <x:c r="E135" s="5" t="str">
        <x:v>业务流程</x:v>
      </x:c>
      <x:c r="F135" s="5" t="str">
        <x:v>P1</x:v>
      </x:c>
      <x:c r="G135" s="5" t="str">
        <x:v>验证主播取消长期房管授权</x:v>
      </x:c>
      <x:c r="H135" s="5" t="str">
        <x:v>取消房管</x:v>
      </x:c>
      <x:c r="I135" s="5" t="str">
        <x:v>1. 目标用户是该主播的有效房管</x:v>
      </x:c>
      <x:c r="J135" s="5" t="str">
        <x:v>1. 主播打开房管列表
2. 对目标用户执行取消房管
3. 在确认提示中确认
4. 进入该主播后续直播场次</x:v>
      </x:c>
      <x:c r="K135" s="5" t="str">
        <x:v>取消房管后目标用户失去长期房管权限，后续场次不再获得房管操作</x:v>
      </x:c>
      <x:c r="L135" s="5" t="str"/>
      <x:c r="M135" s="5" t="str">
        <x:v>未测</x:v>
      </x:c>
      <x:c r="N135" s="5" t="str"/>
      <x:c r="O135" s="5" t="str">
        <x:v>1. 来源：context/01-用户主播App-项目需求清单.md
2. 来源：context/01-用户主播App-角色与用例.md
3. 来源：prototype/assets/annotations.js
4. 追溯：业务底稿 LIVE-075。</x:v>
      </x:c>
    </x:row>
    <x:row r="136" ht="43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主播直播间</x:v>
      </x:c>
      <x:c r="E136" s="5" t="str">
        <x:v>业务流程</x:v>
      </x:c>
      <x:c r="F136" s="5" t="str">
        <x:v>P1</x:v>
      </x:c>
      <x:c r="G136" s="5" t="str">
        <x:v>验证主播禁言限制用户发言</x:v>
      </x:c>
      <x:c r="H136" s="5" t="str">
        <x:v>主播禁言生效</x:v>
      </x:c>
      <x:c r="I136" s="5" t="str">
        <x:v>1. 主播正在直播
2. 目标用户在线且可发言</x:v>
      </x:c>
      <x:c r="J136" s="5" t="str">
        <x:v>1. 主播打开目标用户资料卡
2. 执行禁言并确认
3. 目标用户尝试发送公屏消息</x:v>
      </x:c>
      <x:c r="K136" s="5" t="str">
        <x:v>目标用户在当前场次不能继续发送公屏消息</x:v>
      </x:c>
      <x:c r="L136" s="5" t="str"/>
      <x:c r="M136" s="5" t="str">
        <x:v>未测</x:v>
      </x:c>
      <x:c r="N136" s="5" t="str"/>
      <x:c r="O136" s="5" t="str">
        <x:v>1. 来源：context/01-用户主播App-项目需求清单.md
2. 来源：context/01-互动场景权限规则.md
3. 追溯：业务底稿 LIVE-076。</x:v>
      </x:c>
    </x:row>
    <x:row r="137" ht="43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主播直播间</x:v>
      </x:c>
      <x:c r="E137" s="5" t="str">
        <x:v>业务流程</x:v>
      </x:c>
      <x:c r="F137" s="5" t="str">
        <x:v>P1</x:v>
      </x:c>
      <x:c r="G137" s="5" t="str">
        <x:v>验证主播禁言保留历史消息</x:v>
      </x:c>
      <x:c r="H137" s="5" t="str">
        <x:v>主播禁言历史消息</x:v>
      </x:c>
      <x:c r="I137" s="5" t="str">
        <x:v>1. 主播正在直播
2. 目标用户在线且可发言</x:v>
      </x:c>
      <x:c r="J137" s="5" t="str">
        <x:v>1. 主播打开目标用户资料卡
2. 执行禁言并确认
3. 目标用户尝试发送公屏消息</x:v>
      </x:c>
      <x:c r="K137" s="5" t="str">
        <x:v>目标用户已发送消息保留</x:v>
      </x:c>
      <x:c r="L137" s="5" t="str"/>
      <x:c r="M137" s="5" t="str">
        <x:v>未测</x:v>
      </x:c>
      <x:c r="N137" s="5" t="str"/>
      <x:c r="O137" s="5" t="str">
        <x:v>1. 来源：context/01-用户主播App-项目需求清单.md
2. 来源：context/01-互动场景权限规则.md
3. 追溯：业务底稿 LIVE-076。</x:v>
      </x:c>
    </x:row>
    <x:row r="138" ht="43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主播直播间</x:v>
      </x:c>
      <x:c r="E138" s="5" t="str">
        <x:v>业务流程</x:v>
      </x:c>
      <x:c r="F138" s="5" t="str">
        <x:v>P1</x:v>
      </x:c>
      <x:c r="G138" s="5" t="str">
        <x:v>验证主播禁言操作留痕</x:v>
      </x:c>
      <x:c r="H138" s="5" t="str">
        <x:v>主播禁言记录</x:v>
      </x:c>
      <x:c r="I138" s="5" t="str">
        <x:v>1. 主播正在直播
2. 目标用户在线且可发言</x:v>
      </x:c>
      <x:c r="J138" s="5" t="str">
        <x:v>1. 主播打开目标用户资料卡
2. 执行禁言并确认
3. 目标用户尝试发送公屏消息</x:v>
      </x:c>
      <x:c r="K138" s="5" t="str">
        <x:v>系统记录主播的禁言操作</x:v>
      </x:c>
      <x:c r="L138" s="5" t="str"/>
      <x:c r="M138" s="5" t="str">
        <x:v>未测</x:v>
      </x:c>
      <x:c r="N138" s="5" t="str"/>
      <x:c r="O138" s="5" t="str">
        <x:v>1. 来源：context/01-用户主播App-项目需求清单.md
2. 来源：context/01-互动场景权限规则.md
3. 追溯：业务底稿 LIVE-076。</x:v>
      </x:c>
    </x:row>
    <x:row r="139" ht="55.5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主播直播间</x:v>
      </x:c>
      <x:c r="E139" s="5" t="str">
        <x:v>业务流程</x:v>
      </x:c>
      <x:c r="F139" s="5" t="str">
        <x:v>P1</x:v>
      </x:c>
      <x:c r="G139" s="5" t="str">
        <x:v>验证主播踢人限制本场重进</x:v>
      </x:c>
      <x:c r="H139" s="5" t="str">
        <x:v>主播踢人当前场次</x:v>
      </x:c>
      <x:c r="I139" s="5" t="str">
        <x:v>1. 主播正在直播
2. 目标用户在线</x:v>
      </x:c>
      <x:c r="J139" s="5" t="str">
        <x:v>1. 主播打开目标用户资料卡
2. 点击“踢出直播间”并确认
3. 目标用户再次尝试进入当前场次
4. 目标用户尝试进入主播下一场直播</x:v>
      </x:c>
      <x:c r="K139" s="5" t="str">
        <x:v>目标用户退出当前直播间并在本场不可重进</x:v>
      </x:c>
      <x:c r="L139" s="5" t="str"/>
      <x:c r="M139" s="5" t="str">
        <x:v>未测</x:v>
      </x:c>
      <x:c r="N139" s="5" t="str"/>
      <x:c r="O139" s="5" t="str">
        <x:v>1. 来源：context/01-用户主播App-项目需求清单.md
2. 来源：context/01-互动场景权限规则.md
3. 追溯：业务底稿 LIVE-077。</x:v>
      </x:c>
    </x:row>
    <x:row r="140" ht="55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主播直播间</x:v>
      </x:c>
      <x:c r="E140" s="5" t="str">
        <x:v>业务流程</x:v>
      </x:c>
      <x:c r="F140" s="5" t="str">
        <x:v>P1</x:v>
      </x:c>
      <x:c r="G140" s="5" t="str">
        <x:v>验证主播踢人不影响下一场直播</x:v>
      </x:c>
      <x:c r="H140" s="5" t="str">
        <x:v>主播踢人跨场恢复</x:v>
      </x:c>
      <x:c r="I140" s="5" t="str">
        <x:v>1. 主播正在直播
2. 目标用户在线</x:v>
      </x:c>
      <x:c r="J140" s="5" t="str">
        <x:v>1. 主播打开目标用户资料卡
2. 点击“踢出直播间”并确认
3. 目标用户再次尝试进入当前场次
4. 目标用户尝试进入主播下一场直播</x:v>
      </x:c>
      <x:c r="K140" s="5" t="str">
        <x:v>下一场直播不继承本次踢出限制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来源：context/01-互动场景权限规则.md
3. 追溯：业务底稿 LIVE-077。</x:v>
      </x:c>
    </x:row>
    <x:row r="141" ht="43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主播直播间</x:v>
      </x:c>
      <x:c r="E141" s="5" t="str">
        <x:v>业务流程</x:v>
      </x:c>
      <x:c r="F141" s="5" t="str">
        <x:v>P1</x:v>
      </x:c>
      <x:c r="G141" s="5" t="str">
        <x:v>验证直播间黑名单持续限制进房</x:v>
      </x:c>
      <x:c r="H141" s="5" t="str">
        <x:v>直播间黑名单进房限制</x:v>
      </x:c>
      <x:c r="I141" s="5" t="str">
        <x:v>1. 主播与目标用户不存在账号拉黑
2. 目标用户当前可私信或申请好友</x:v>
      </x:c>
      <x:c r="J141" s="5" t="str">
        <x:v>1. 主播将目标用户加入直播间黑名单
2. 目标用户尝试进入该主播当前及后续直播间
3. 目标用户尝试私信或申请好友</x:v>
      </x:c>
      <x:c r="K141" s="5" t="str">
        <x:v>目标用户不能进入该主播当前及后续直播间</x:v>
      </x:c>
      <x:c r="L141" s="5" t="str"/>
      <x:c r="M141" s="5" t="str">
        <x:v>未测</x:v>
      </x:c>
      <x:c r="N141" s="5" t="str"/>
      <x:c r="O141" s="5" t="str">
        <x:v>1. 来源：context/01-用户主播App-角色与用例.md
2. 来源：context/01-互动场景权限规则.md
3. 追溯：业务底稿 LIVE-078。</x:v>
      </x:c>
    </x:row>
    <x:row r="142" ht="43.5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主播直播间</x:v>
      </x:c>
      <x:c r="E142" s="5" t="str">
        <x:v>业务流程</x:v>
      </x:c>
      <x:c r="F142" s="5" t="str">
        <x:v>P1</x:v>
      </x:c>
      <x:c r="G142" s="5" t="str">
        <x:v>验证直播间黑名单不影响账号互动</x:v>
      </x:c>
      <x:c r="H142" s="5" t="str">
        <x:v>直播间黑名单作用域</x:v>
      </x:c>
      <x:c r="I142" s="5" t="str">
        <x:v>1. 主播与目标用户不存在账号拉黑
2. 目标用户当前可私信或申请好友</x:v>
      </x:c>
      <x:c r="J142" s="5" t="str">
        <x:v>1. 主播将目标用户加入直播间黑名单
2. 目标用户尝试进入该主播当前及后续直播间
3. 目标用户尝试私信或申请好友</x:v>
      </x:c>
      <x:c r="K142" s="5" t="str">
        <x:v>仅加入直播间黑名单不阻止私信或好友申请</x:v>
      </x:c>
      <x:c r="L142" s="5" t="str"/>
      <x:c r="M142" s="5" t="str">
        <x:v>未测</x:v>
      </x:c>
      <x:c r="N142" s="5" t="str"/>
      <x:c r="O142" s="5" t="str">
        <x:v>1. 来源：context/01-用户主播App-角色与用例.md
2. 来源：context/01-互动场景权限规则.md
3. 追溯：业务底稿 LIVE-078。</x:v>
      </x:c>
    </x:row>
    <x:row r="143" ht="43.5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主播直播间</x:v>
      </x:c>
      <x:c r="E143" s="5" t="str">
        <x:v>业务流程</x:v>
      </x:c>
      <x:c r="F143" s="5" t="str">
        <x:v>P1</x:v>
      </x:c>
      <x:c r="G143" s="5" t="str">
        <x:v>验证解除直播间黑名单后恢复进房资格</x:v>
      </x:c>
      <x:c r="H143" s="5" t="str">
        <x:v>解除直播间黑名单</x:v>
      </x:c>
      <x:c r="I143" s="5" t="str">
        <x:v>1. 目标用户在该主播直播间黑名单内
2. 双方不存在账号拉黑或平台封禁</x:v>
      </x:c>
      <x:c r="J143" s="5" t="str">
        <x:v>1. 主播在直播间黑名单中解除目标用户
2. 目标用户尝试进入该主播直播间</x:v>
      </x:c>
      <x:c r="K143" s="5" t="str">
        <x:v>解除直播间黑名单后对应记录被移除，目标用户恢复进入该主播直播间的资格</x:v>
      </x:c>
      <x:c r="L143" s="5" t="str"/>
      <x:c r="M143" s="5" t="str">
        <x:v>未测</x:v>
      </x:c>
      <x:c r="N143" s="5" t="str"/>
      <x:c r="O143" s="5" t="str">
        <x:v>1. 来源：context/01-用户主播App-角色与用例.md
2. 来源：context/01-互动场景权限规则.md
3. 追溯：业务底稿 LIVE-079。</x:v>
      </x:c>
    </x:row>
    <x:row r="144" ht="55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主播直播间</x:v>
      </x:c>
      <x:c r="E144" s="5" t="str">
        <x:v>业务流程</x:v>
      </x:c>
      <x:c r="F144" s="5" t="str">
        <x:v>P1</x:v>
      </x:c>
      <x:c r="G144" s="5" t="str">
        <x:v>验证账号拉黑限制进入主播直播间</x:v>
      </x:c>
      <x:c r="H144" s="5" t="str">
        <x:v>账号拉黑进房限制</x:v>
      </x:c>
      <x:c r="I144" s="5" t="str">
        <x:v>1. 主播与目标用户未拉黑
2. 目标用户可进入直播间并发起私信或好友申请</x:v>
      </x:c>
      <x:c r="J144" s="5" t="str">
        <x:v>1. 主播拉黑目标用户账号
2. 目标用户尝试进入该主播直播间
3. 双方尝试私信和好友申请
4. 检查既有粉丝团团籍</x:v>
      </x:c>
      <x:c r="K144" s="5" t="str">
        <x:v>目标用户不能进入该主播直播间</x:v>
      </x:c>
      <x:c r="L144" s="5" t="str"/>
      <x:c r="M144" s="5" t="str">
        <x:v>未测</x:v>
      </x:c>
      <x:c r="N144" s="5" t="str"/>
      <x:c r="O144" s="5" t="str">
        <x:v>1. 来源：context/01-用户主播App-角色与用例.md
2. 来源：context/01-互动场景权限规则.md
3. 追溯：业务底稿 LIVE-080。</x:v>
      </x:c>
    </x:row>
    <x:row r="145" ht="55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主播直播间</x:v>
      </x:c>
      <x:c r="E145" s="5" t="str">
        <x:v>业务流程</x:v>
      </x:c>
      <x:c r="F145" s="5" t="str">
        <x:v>P1</x:v>
      </x:c>
      <x:c r="G145" s="5" t="str">
        <x:v>验证账号拉黑限制私信和好友申请</x:v>
      </x:c>
      <x:c r="H145" s="5" t="str">
        <x:v>账号拉黑社交限制</x:v>
      </x:c>
      <x:c r="I145" s="5" t="str">
        <x:v>1. 主播与目标用户未拉黑
2. 目标用户可进入直播间并发起私信或好友申请</x:v>
      </x:c>
      <x:c r="J145" s="5" t="str">
        <x:v>1. 主播拉黑目标用户账号
2. 目标用户尝试进入该主播直播间
3. 双方尝试私信和好友申请
4. 检查既有粉丝团团籍</x:v>
      </x:c>
      <x:c r="K145" s="5" t="str">
        <x:v>双方不能私信或发起、处理好友申请</x:v>
      </x:c>
      <x:c r="L145" s="5" t="str"/>
      <x:c r="M145" s="5" t="str">
        <x:v>未测</x:v>
      </x:c>
      <x:c r="N145" s="5" t="str"/>
      <x:c r="O145" s="5" t="str">
        <x:v>1. 来源：context/01-用户主播App-角色与用例.md
2. 来源：context/01-互动场景权限规则.md
3. 追溯：业务底稿 LIVE-080。</x:v>
      </x:c>
    </x:row>
    <x:row r="146" ht="55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主播直播间</x:v>
      </x:c>
      <x:c r="E146" s="5" t="str">
        <x:v>业务流程</x:v>
      </x:c>
      <x:c r="F146" s="5" t="str">
        <x:v>P1</x:v>
      </x:c>
      <x:c r="G146" s="5" t="str">
        <x:v>验证账号拉黑不改变既有粉丝团团籍</x:v>
      </x:c>
      <x:c r="H146" s="5" t="str">
        <x:v>账号拉黑团籍保持</x:v>
      </x:c>
      <x:c r="I146" s="5" t="str">
        <x:v>1. 主播与目标用户未拉黑
2. 目标用户可进入直播间并发起私信或好友申请</x:v>
      </x:c>
      <x:c r="J146" s="5" t="str">
        <x:v>1. 主播拉黑目标用户账号
2. 目标用户尝试进入该主播直播间
3. 双方尝试私信和好友申请
4. 检查既有粉丝团团籍</x:v>
      </x:c>
      <x:c r="K146" s="5" t="str">
        <x:v>已有粉丝团团籍不变</x:v>
      </x:c>
      <x:c r="L146" s="5" t="str"/>
      <x:c r="M146" s="5" t="str">
        <x:v>未测</x:v>
      </x:c>
      <x:c r="N146" s="5" t="str"/>
      <x:c r="O146" s="5" t="str">
        <x:v>1. 来源：context/01-用户主播App-角色与用例.md
2. 来源：context/01-互动场景权限规则.md
3. 追溯：业务底稿 LIVE-080。</x:v>
      </x:c>
    </x:row>
    <x:row r="147" ht="43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主播直播间</x:v>
      </x:c>
      <x:c r="E147" s="5" t="str">
        <x:v>业务流程</x:v>
      </x:c>
      <x:c r="F147" s="5" t="str">
        <x:v>P1</x:v>
      </x:c>
      <x:c r="G147" s="5" t="str">
        <x:v>验证解除账号拉黑恢复账号互动</x:v>
      </x:c>
      <x:c r="H147" s="5" t="str">
        <x:v>解除拉黑社交恢复</x:v>
      </x:c>
      <x:c r="I147" s="5" t="str">
        <x:v>1. 主播与目标用户存在账号拉黑关系
2. 双方不存在平台封禁
3. 目标用户不在该主播直播间黑名单内</x:v>
      </x:c>
      <x:c r="J147" s="5" t="str">
        <x:v>1. 解除双方账号拉黑关系
2. 目标用户尝试进入该主播直播间
3. 双方尝试发送私信和好友申请</x:v>
      </x:c>
      <x:c r="K147" s="5" t="str">
        <x:v>双方恢复私信和好友申请资格</x:v>
      </x:c>
      <x:c r="L147" s="5" t="str"/>
      <x:c r="M147" s="5" t="str">
        <x:v>未测</x:v>
      </x:c>
      <x:c r="N147" s="5" t="str"/>
      <x:c r="O147" s="5" t="str">
        <x:v>1. 来源：context/01-用户主播App-角色与用例.md
2. 来源：context/01-互动场景权限规则.md
3. 追溯：业务底稿 LIVE-081。</x:v>
      </x:c>
    </x:row>
    <x:row r="148" ht="43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主播直播间</x:v>
      </x:c>
      <x:c r="E148" s="5" t="str">
        <x:v>业务流程</x:v>
      </x:c>
      <x:c r="F148" s="5" t="str">
        <x:v>P1</x:v>
      </x:c>
      <x:c r="G148" s="5" t="str">
        <x:v>验证解除账号拉黑恢复进房资格</x:v>
      </x:c>
      <x:c r="H148" s="5" t="str">
        <x:v>解除拉黑进房恢复</x:v>
      </x:c>
      <x:c r="I148" s="5" t="str">
        <x:v>1. 主播与目标用户存在账号拉黑关系
2. 双方不存在平台封禁
3. 目标用户不在该主播直播间黑名单内</x:v>
      </x:c>
      <x:c r="J148" s="5" t="str">
        <x:v>1. 解除双方账号拉黑关系
2. 目标用户尝试进入该主播直播间
3. 双方尝试发送私信和好友申请</x:v>
      </x:c>
      <x:c r="K148" s="5" t="str">
        <x:v>目标用户恢复进入该主播直播间的资格</x:v>
      </x:c>
      <x:c r="L148" s="5" t="str"/>
      <x:c r="M148" s="5" t="str">
        <x:v>未测</x:v>
      </x:c>
      <x:c r="N148" s="5" t="str"/>
      <x:c r="O148" s="5" t="str">
        <x:v>1. 来源：context/01-用户主播App-角色与用例.md
2. 来源：context/01-互动场景权限规则.md
3. 追溯：业务底稿 LIVE-081。</x:v>
      </x:c>
    </x:row>
    <x:row r="149" ht="43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主播直播间</x:v>
      </x:c>
      <x:c r="E149" s="5" t="str">
        <x:v>业务流程</x:v>
      </x:c>
      <x:c r="F149" s="5" t="str">
        <x:v>P1</x:v>
      </x:c>
      <x:c r="G149" s="5" t="str">
        <x:v>验证解除账号拉黑不清除其他限制</x:v>
      </x:c>
      <x:c r="H149" s="5" t="str">
        <x:v>解除拉黑限制隔离</x:v>
      </x:c>
      <x:c r="I149" s="5" t="str">
        <x:v>1. 主播与目标用户存在账号拉黑关系
2. 双方不存在平台封禁
3. 目标用户不在该主播直播间黑名单内</x:v>
      </x:c>
      <x:c r="J149" s="5" t="str">
        <x:v>1. 解除双方账号拉黑关系
2. 目标用户尝试进入该主播直播间
3. 双方尝试发送私信和好友申请</x:v>
      </x:c>
      <x:c r="K149" s="5" t="str">
        <x:v>其他独立限制不因解除账号拉黑而变化</x:v>
      </x:c>
      <x:c r="L149" s="5" t="str"/>
      <x:c r="M149" s="5" t="str">
        <x:v>未测</x:v>
      </x:c>
      <x:c r="N149" s="5" t="str"/>
      <x:c r="O149" s="5" t="str">
        <x:v>1. 来源：context/01-用户主播App-角色与用例.md
2. 来源：context/01-互动场景权限规则.md
3. 追溯：业务底稿 LIVE-081。</x:v>
      </x:c>
    </x:row>
    <x:row r="150" ht="67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主播直播间</x:v>
      </x:c>
      <x:c r="E150" s="5" t="str">
        <x:v>功能需求</x:v>
      </x:c>
      <x:c r="F150" s="5" t="str">
        <x:v>P2</x:v>
      </x:c>
      <x:c r="G150" s="5" t="str">
        <x:v>验证主播清屏仅清除当前公屏展示</x:v>
      </x:c>
      <x:c r="H150" s="5" t="str">
        <x:v>直播间清屏</x:v>
      </x:c>
      <x:c r="I150" s="5" t="str">
        <x:v>1. 当前公屏存在多条互动消息
2. 主播正在直播</x:v>
      </x:c>
      <x:c r="J150" s="5" t="str">
        <x:v>1. 打开直播设置或更多功能
2. 点击“清屏”</x:v>
      </x:c>
      <x:c r="K150" s="5" t="str">
        <x:v>主播清屏后当前公屏消息被清除，直播场次保持进行中</x:v>
      </x:c>
      <x:c r="L150" s="5" t="str"/>
      <x:c r="M150" s="5" t="str">
        <x:v>未测</x:v>
      </x:c>
      <x:c r="N150" s="5" t="str"/>
      <x:c r="O150" s="5" t="str">
        <x:v>1. 来源：context/01-用户主播App-项目需求清单.md
2. 来源：context/01-互动场景权限规则.md
3. 来源：prototype/assets/annotations.js
4. 来源：对应 HTML 静态原型；未动态验证
5. 追溯：业务底稿 LIVE-082。</x:v>
      </x:c>
    </x:row>
    <x:row r="151" ht="43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结束直播</x:v>
      </x:c>
      <x:c r="E151" s="5" t="str">
        <x:v>功能需求</x:v>
      </x:c>
      <x:c r="F151" s="5" t="str">
        <x:v>P2</x:v>
      </x:c>
      <x:c r="G151" s="5" t="str">
        <x:v>验证主播取消结束直播后继续开播</x:v>
      </x:c>
      <x:c r="H151" s="5" t="str">
        <x:v>取消结束直播</x:v>
      </x:c>
      <x:c r="I151" s="5" t="str">
        <x:v>1. 主播正在直播</x:v>
      </x:c>
      <x:c r="J151" s="5" t="str">
        <x:v>1. 点击结束直播按钮
2. 在确认提示中点击“取消”</x:v>
      </x:c>
      <x:c r="K151" s="5" t="str">
        <x:v>取消结束直播后确认提示关闭，当前场次和观众观看均保持进行中</x:v>
      </x:c>
      <x:c r="L151" s="5" t="str"/>
      <x:c r="M151" s="5" t="str">
        <x:v>未测</x:v>
      </x:c>
      <x:c r="N151" s="5" t="str"/>
      <x:c r="O151" s="5" t="str">
        <x:v>1. 来源：context/01-用户主播App-项目需求清单.md
2. 来源：对应 HTML 静态原型；未动态验证
3. 追溯：业务底稿 LIVE-083。</x:v>
      </x:c>
    </x:row>
    <x:row r="152" ht="67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结束直播</x:v>
      </x:c>
      <x:c r="E152" s="5" t="str">
        <x:v>业务流程</x:v>
      </x:c>
      <x:c r="F152" s="5" t="str">
        <x:v>P0</x:v>
      </x:c>
      <x:c r="G152" s="5" t="str">
        <x:v>验证主播结束直播后关闭场次</x:v>
      </x:c>
      <x:c r="H152" s="5" t="str">
        <x:v>直播场次关闭</x:v>
      </x:c>
      <x:c r="I152" s="5" t="str">
        <x:v>1. 主播存在进行中的直播场次
2. 本场已有观看、礼物和涨粉数据</x:v>
      </x:c>
      <x:c r="J152" s="5" t="str">
        <x:v>1. 主播点击结束直播
2. 确认结束
3. 查询本场场次状态</x:v>
      </x:c>
      <x:c r="K152" s="5" t="str">
        <x:v>当前直播场次关闭且不再接受新观众进入</x:v>
      </x:c>
      <x:c r="L152" s="5" t="str">
        <x:v>FLOW-LIVE-001</x:v>
      </x:c>
      <x:c r="M152" s="5" t="str">
        <x:v>未测</x:v>
      </x:c>
      <x:c r="N152" s="5" t="str"/>
      <x:c r="O152" s="5" t="str">
        <x:v>1. 来源：context/01-用户主播App-项目需求清单.md
2. 来源：context/01-用户主播App-角色与用例.md
3. 来源：对应 HTML 静态原型；未动态验证
4. 追溯：业务底稿 LIVE-084。
5. 流程：阶段 04：主播关闭场次；共同业务对象：LIVE-SESSION-N01。</x:v>
      </x:c>
    </x:row>
    <x:row r="153" ht="55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结束直播</x:v>
      </x:c>
      <x:c r="E153" s="5" t="str">
        <x:v>业务流程</x:v>
      </x:c>
      <x:c r="F153" s="5" t="str">
        <x:v>P1</x:v>
      </x:c>
      <x:c r="G153" s="5" t="str">
        <x:v>验证主播结束直播后观众进入结束页</x:v>
      </x:c>
      <x:c r="H153" s="5" t="str">
        <x:v>观众端结束页</x:v>
      </x:c>
      <x:c r="I153" s="5" t="str">
        <x:v>1. 主播存在进行中的直播场次
2. 本场已有观看、礼物和涨粉数据</x:v>
      </x:c>
      <x:c r="J153" s="5" t="str">
        <x:v>1. 主播确认结束直播
2. 查看在线观众页面</x:v>
      </x:c>
      <x:c r="K153" s="5" t="str">
        <x:v>在线观众进入观众直播结束页</x:v>
      </x:c>
      <x:c r="L153" s="5" t="str"/>
      <x:c r="M153" s="5" t="str">
        <x:v>未测</x:v>
      </x:c>
      <x:c r="N153" s="5" t="str"/>
      <x:c r="O153" s="5" t="str">
        <x:v>1. 来源：context/01-用户主播App-项目需求清单.md
2. 来源：context/01-用户主播App-角色与用例.md
3. 来源：对应 HTML 静态原型；未动态验证
4. 追溯：业务底稿 LIVE-084。</x:v>
      </x:c>
    </x:row>
    <x:row r="154" ht="55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结束直播</x:v>
      </x:c>
      <x:c r="E154" s="5" t="str">
        <x:v>业务流程</x:v>
      </x:c>
      <x:c r="F154" s="5" t="str">
        <x:v>P1</x:v>
      </x:c>
      <x:c r="G154" s="5" t="str">
        <x:v>验证结束直播后的主播端落点</x:v>
      </x:c>
      <x:c r="H154" s="5" t="str">
        <x:v>主播端结束页</x:v>
      </x:c>
      <x:c r="I154" s="5" t="str">
        <x:v>1. 主播存在进行中的直播场次
2. 本场已有观看、礼物和涨粉数据</x:v>
      </x:c>
      <x:c r="J154" s="5" t="str">
        <x:v>1. 主播确认结束直播
2. 查看主播端页面</x:v>
      </x:c>
      <x:c r="K154" s="5" t="str">
        <x:v>主播进入主播直播结束页</x:v>
      </x:c>
      <x:c r="L154" s="5" t="str"/>
      <x:c r="M154" s="5" t="str">
        <x:v>未测</x:v>
      </x:c>
      <x:c r="N154" s="5" t="str"/>
      <x:c r="O154" s="5" t="str">
        <x:v>1. 来源：context/01-用户主播App-项目需求清单.md
2. 来源：context/01-用户主播App-角色与用例.md
3. 来源：对应 HTML 静态原型；未动态验证
4. 追溯：业务底稿 LIVE-084。</x:v>
      </x:c>
    </x:row>
    <x:row r="155" ht="55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结束直播</x:v>
      </x:c>
      <x:c r="E155" s="5" t="str">
        <x:v>业务流程</x:v>
      </x:c>
      <x:c r="F155" s="5" t="str">
        <x:v>P1</x:v>
      </x:c>
      <x:c r="G155" s="5" t="str">
        <x:v>验证结束直播后生成场次数据</x:v>
      </x:c>
      <x:c r="H155" s="5" t="str">
        <x:v>直播结束数据生成</x:v>
      </x:c>
      <x:c r="I155" s="5" t="str">
        <x:v>1. 主播存在进行中的直播场次
2. 本场已有观看、礼物和涨粉数据</x:v>
      </x:c>
      <x:c r="J155" s="5" t="str">
        <x:v>1. 主播确认结束直播
2. 查看本场直播记录和数据概览</x:v>
      </x:c>
      <x:c r="K155" s="5" t="str">
        <x:v>系统生成本场直播记录、收益和数据概览</x:v>
      </x:c>
      <x:c r="L155" s="5" t="str"/>
      <x:c r="M155" s="5" t="str">
        <x:v>未测</x:v>
      </x:c>
      <x:c r="N155" s="5" t="str"/>
      <x:c r="O155" s="5" t="str">
        <x:v>1. 来源：context/01-用户主播App-项目需求清单.md
2. 来源：context/01-用户主播App-角色与用例.md
3. 来源：对应 HTML 静态原型；未动态验证
4. 追溯：业务底稿 LIVE-084。</x:v>
      </x:c>
    </x:row>
    <x:row r="156" ht="67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结束直播</x:v>
      </x:c>
      <x:c r="E156" s="5" t="str">
        <x:v>逻辑校验</x:v>
      </x:c>
      <x:c r="F156" s="5" t="str">
        <x:v>P1</x:v>
      </x:c>
      <x:c r="G156" s="5" t="str">
        <x:v>验证主播结束页数据与本场记录一致</x:v>
      </x:c>
      <x:c r="H156" s="5" t="str">
        <x:v>主播结束页数据</x:v>
      </x:c>
      <x:c r="I156" s="5" t="str">
        <x:v>1. 主播刚结束一场直播
2. 本场时长、观看人数和收益已结算到场次记录</x:v>
      </x:c>
      <x:c r="J156" s="5" t="str">
        <x:v>1. 查看主播直播结束页
2. 核对直播时长、观看人数和本场收益</x:v>
      </x:c>
      <x:c r="K156" s="5" t="str">
        <x:v>主播结束页的直播时长、观看人数和本场收益分别与当前场次记录一致</x:v>
      </x:c>
      <x:c r="L156" s="5" t="str">
        <x:v>FLOW-LIVE-001</x:v>
      </x:c>
      <x:c r="M156" s="5" t="str">
        <x:v>未测</x:v>
      </x:c>
      <x:c r="N156" s="5" t="str"/>
      <x:c r="O156" s="5" t="str">
        <x:v>1. 来源：context/01-用户主播App-项目需求清单.md
2. 来源：context/01-用户主播App-角色与用例.md
3. 来源：对应 HTML 静态原型；未动态验证
4. 追溯：业务底稿 LIVE-085。
5. 流程：阶段 06：主播核对结束页数据；共同业务对象：LIVE-SESSION-N01。</x:v>
      </x:c>
    </x:row>
    <x:row r="157" ht="43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结束直播</x:v>
      </x:c>
      <x:c r="E157" s="5" t="str">
        <x:v>功能需求</x:v>
      </x:c>
      <x:c r="F157" s="5" t="str">
        <x:v>P2</x:v>
      </x:c>
      <x:c r="G157" s="5" t="str">
        <x:v>验证主播结束页进入直播数据</x:v>
      </x:c>
      <x:c r="H157" s="5" t="str">
        <x:v>查看直播数据入口</x:v>
      </x:c>
      <x:c r="I157" s="5" t="str">
        <x:v>1. 主播位于本场直播结束页</x:v>
      </x:c>
      <x:c r="J157" s="5" t="str">
        <x:v>1. 点击“查看直播数据”</x:v>
      </x:c>
      <x:c r="K157" s="5" t="str">
        <x:v>页面进入当前主播的直播数据页</x:v>
      </x:c>
      <x:c r="L157" s="5" t="str"/>
      <x:c r="M157" s="5" t="str">
        <x:v>未测</x:v>
      </x:c>
      <x:c r="N157" s="5" t="str"/>
      <x:c r="O157" s="5" t="str">
        <x:v>1. 来源：prototype/Luma Live-原型说明.md
2. 来源：对应 HTML 静态原型；未动态验证
3. 追溯：业务底稿 LIVE-086。</x:v>
      </x:c>
    </x:row>
    <x:row r="158" ht="43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结束直播</x:v>
      </x:c>
      <x:c r="E158" s="5" t="str">
        <x:v>功能需求</x:v>
      </x:c>
      <x:c r="F158" s="5" t="str">
        <x:v>P2</x:v>
      </x:c>
      <x:c r="G158" s="5" t="str">
        <x:v>验证主播结束页返回主播中心</x:v>
      </x:c>
      <x:c r="H158" s="5" t="str">
        <x:v>返回主播中心入口</x:v>
      </x:c>
      <x:c r="I158" s="5" t="str">
        <x:v>1. 主播位于本场直播结束页</x:v>
      </x:c>
      <x:c r="J158" s="5" t="str">
        <x:v>1. 点击“返回主播中心”</x:v>
      </x:c>
      <x:c r="K158" s="5" t="str">
        <x:v>页面进入当前主播的主播中心</x:v>
      </x:c>
      <x:c r="L158" s="5" t="str"/>
      <x:c r="M158" s="5" t="str">
        <x:v>未测</x:v>
      </x:c>
      <x:c r="N158" s="5" t="str"/>
      <x:c r="O158" s="5" t="str">
        <x:v>1. 来源：prototype/Luma Live-原型说明.md
2. 来源：对应 HTML 静态原型；未动态验证
3. 追溯：业务底稿 LIVE-087。</x:v>
      </x:c>
    </x:row>
    <x:row r="159" ht="67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主播连麦</x:v>
      </x:c>
      <x:c r="E159" s="5" t="str">
        <x:v>业务流程</x:v>
      </x:c>
      <x:c r="F159" s="5" t="str">
        <x:v>P1</x:v>
      </x:c>
      <x:c r="G159" s="5" t="str">
        <x:v>验证主播发起连麦请求</x:v>
      </x:c>
      <x:c r="H159" s="5" t="str">
        <x:v>连麦请求创建</x:v>
      </x:c>
      <x:c r="I159" s="5" t="str">
        <x:v>1. 连麦功能已纳入当前版本并开启
2. 双方均在普通房、在线且具备连麦权限
3. 双方当前未连麦</x:v>
      </x:c>
      <x:c r="J159" s="5" t="str">
        <x:v>1. 主播 A 搜索主播 B
2. 点击发起连麦
3. 查看发出请求</x:v>
      </x:c>
      <x:c r="K159" s="5" t="str">
        <x:v>系统生成一条待主播 B 处理的连麦邀请</x:v>
      </x:c>
      <x:c r="L159" s="5" t="str">
        <x:v>FLOW-LIVE-005</x:v>
      </x:c>
      <x:c r="M159" s="5" t="str">
        <x:v>未测</x:v>
      </x:c>
      <x:c r="N159" s="5" t="str"/>
      <x:c r="O159" s="5" t="str">
        <x:v>1. 来源：context/01-用户主播App-项目需求清单.md
2. 来源：context/01-用户主播App-角色与用例.md
3. 来源：prototype/assets/annotations.js
4. 追溯：业务底稿 LIVE-088。
5. 流程：阶段 01：主播 A 发起邀请；共同业务对象：COHOST-SESSION-01。</x:v>
      </x:c>
    </x:row>
    <x:row r="160" ht="67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主播连麦</x:v>
      </x:c>
      <x:c r="E160" s="5" t="str">
        <x:v>业务流程</x:v>
      </x:c>
      <x:c r="F160" s="5" t="str">
        <x:v>P1</x:v>
      </x:c>
      <x:c r="G160" s="5" t="str">
        <x:v>验证被邀请主播收到连麦请求</x:v>
      </x:c>
      <x:c r="H160" s="5" t="str">
        <x:v>连麦邀请接收</x:v>
      </x:c>
      <x:c r="I160" s="5" t="str">
        <x:v>1. 连麦功能已纳入当前版本并开启
2. 双方均在普通房、在线且具备连麦权限
3. 双方当前未连麦</x:v>
      </x:c>
      <x:c r="J160" s="5" t="str">
        <x:v>1. 主播 A 向主播 B 发起连麦
2. 切换到主播 B 查看收到邀请</x:v>
      </x:c>
      <x:c r="K160" s="5" t="str">
        <x:v>主播 B 收到该邀请</x:v>
      </x:c>
      <x:c r="L160" s="5" t="str">
        <x:v>FLOW-LIVE-005</x:v>
      </x:c>
      <x:c r="M160" s="5" t="str">
        <x:v>未测</x:v>
      </x:c>
      <x:c r="N160" s="5" t="str"/>
      <x:c r="O160" s="5" t="str">
        <x:v>1. 来源：context/01-用户主播App-项目需求清单.md
2. 来源：context/01-用户主播App-角色与用例.md
3. 来源：prototype/assets/annotations.js
4. 追溯：业务底稿 LIVE-088。
5. 流程：阶段 02：主播 B 收到邀请；共同业务对象：COHOST-SESSION-01。</x:v>
      </x:c>
    </x:row>
    <x:row r="161" ht="55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主播连麦</x:v>
      </x:c>
      <x:c r="E161" s="5" t="str">
        <x:v>业务流程</x:v>
      </x:c>
      <x:c r="F161" s="5" t="str">
        <x:v>P1</x:v>
      </x:c>
      <x:c r="G161" s="5" t="str">
        <x:v>验证连麦接受前发起方保持单人直播</x:v>
      </x:c>
      <x:c r="H161" s="5" t="str">
        <x:v>连麦等待状态</x:v>
      </x:c>
      <x:c r="I161" s="5" t="str">
        <x:v>1. 连麦功能已纳入当前版本并开启
2. 双方均在普通房、在线且具备连麦权限
3. 双方当前未连麦</x:v>
      </x:c>
      <x:c r="J161" s="5" t="str">
        <x:v>1. 主播 A 向主播 B 发起连麦
2. 在主播 B 接受前查看主播 A 的直播画面</x:v>
      </x:c>
      <x:c r="K161" s="5" t="str">
        <x:v>主播 A 在对方接受前保持单主播直播状态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来源：context/01-用户主播App-角色与用例.md
3. 来源：prototype/assets/annotations.js
4. 追溯：业务底稿 LIVE-088。</x:v>
      </x:c>
    </x:row>
    <x:row r="162" ht="67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主播连麦</x:v>
      </x:c>
      <x:c r="E162" s="5" t="str">
        <x:v>业务流程</x:v>
      </x:c>
      <x:c r="F162" s="5" t="str">
        <x:v>P1</x:v>
      </x:c>
      <x:c r="G162" s="5" t="str">
        <x:v>验证受邀主播接受后建立两人连麦</x:v>
      </x:c>
      <x:c r="H162" s="5" t="str">
        <x:v>两人连麦关系</x:v>
      </x:c>
      <x:c r="I162" s="5" t="str">
        <x:v>1. 主播 B 存在主播 A 发出的有效邀请
2. 双方仍在普通房且在线</x:v>
      </x:c>
      <x:c r="J162" s="5" t="str">
        <x:v>1. 主播 B 打开连麦邀请
2. 点击接受</x:v>
      </x:c>
      <x:c r="K162" s="5" t="str">
        <x:v>系统建立主播 A 与主播 B 的两人连麦关系，参与主播数量为 2</x:v>
      </x:c>
      <x:c r="L162" s="5" t="str">
        <x:v>FLOW-LIVE-005</x:v>
      </x:c>
      <x:c r="M162" s="5" t="str">
        <x:v>未测</x:v>
      </x:c>
      <x:c r="N162" s="5" t="str"/>
      <x:c r="O162" s="5" t="str">
        <x:v>1. 来源：context/01-用户主播App-项目需求清单.md
2. 来源：context/01-用户主播App-角色与用例.md
3. 来源：prototype/assets/annotations.js
4. 追溯：业务底稿 LIVE-089。
5. 流程：阶段 03：双方建立连麦关系；共同业务对象：COHOST-SESSION-01。</x:v>
      </x:c>
    </x:row>
    <x:row r="163" ht="67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主播连麦</x:v>
      </x:c>
      <x:c r="E163" s="5" t="str">
        <x:v>业务流程</x:v>
      </x:c>
      <x:c r="F163" s="5" t="str">
        <x:v>P1</x:v>
      </x:c>
      <x:c r="G163" s="5" t="str">
        <x:v>验证主播 A 进入两人分屏画面</x:v>
      </x:c>
      <x:c r="H163" s="5" t="str">
        <x:v>主播 A 连麦分屏</x:v>
      </x:c>
      <x:c r="I163" s="5" t="str">
        <x:v>1. 主播 B 存在主播 A 发出的有效邀请
2. 双方仍在普通房且在线</x:v>
      </x:c>
      <x:c r="J163" s="5" t="str">
        <x:v>1. 主播 B 接受主播 A 的邀请
2. 查看主播 A 的直播画面</x:v>
      </x:c>
      <x:c r="K163" s="5" t="str">
        <x:v>主播 A 的直播间展示主播 A 与主播 B 的左右分屏画面</x:v>
      </x:c>
      <x:c r="L163" s="5" t="str">
        <x:v>FLOW-LIVE-005</x:v>
      </x:c>
      <x:c r="M163" s="5" t="str">
        <x:v>未测</x:v>
      </x:c>
      <x:c r="N163" s="5" t="str"/>
      <x:c r="O163" s="5" t="str">
        <x:v>1. 来源：context/01-用户主播App-项目需求清单.md
2. 来源：context/01-用户主播App-角色与用例.md
3. 来源：prototype/assets/annotations.js
4. 追溯：业务底稿 LIVE-089。
5. 流程：阶段 04：主播 A 进入分屏；共同业务对象：COHOST-SESSION-01。</x:v>
      </x:c>
    </x:row>
    <x:row r="164" ht="67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主播连麦</x:v>
      </x:c>
      <x:c r="E164" s="5" t="str">
        <x:v>业务流程</x:v>
      </x:c>
      <x:c r="F164" s="5" t="str">
        <x:v>P1</x:v>
      </x:c>
      <x:c r="G164" s="5" t="str">
        <x:v>验证主播 B 进入两人分屏画面</x:v>
      </x:c>
      <x:c r="H164" s="5" t="str">
        <x:v>主播 B 连麦分屏</x:v>
      </x:c>
      <x:c r="I164" s="5" t="str">
        <x:v>1. 主播 B 存在主播 A 发出的有效邀请
2. 双方仍在普通房且在线</x:v>
      </x:c>
      <x:c r="J164" s="5" t="str">
        <x:v>1. 主播 B 接受主播 A 的邀请
2. 查看主播 B 的直播画面</x:v>
      </x:c>
      <x:c r="K164" s="5" t="str">
        <x:v>主播 B 的直播间展示主播 A 与主播 B 的左右分屏画面</x:v>
      </x:c>
      <x:c r="L164" s="5" t="str">
        <x:v>FLOW-LIVE-005</x:v>
      </x:c>
      <x:c r="M164" s="5" t="str">
        <x:v>未测</x:v>
      </x:c>
      <x:c r="N164" s="5" t="str"/>
      <x:c r="O164" s="5" t="str">
        <x:v>1. 来源：context/01-用户主播App-项目需求清单.md
2. 来源：context/01-用户主播App-角色与用例.md
3. 来源：prototype/assets/annotations.js
4. 追溯：业务底稿 LIVE-089。
5. 流程：阶段 05：主播 B 进入分屏；共同业务对象：COHOST-SESSION-01。</x:v>
      </x:c>
    </x:row>
    <x:row r="165" ht="67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主播连麦</x:v>
      </x:c>
      <x:c r="E165" s="5" t="str">
        <x:v>业务流程</x:v>
      </x:c>
      <x:c r="F165" s="5" t="str">
        <x:v>P1</x:v>
      </x:c>
      <x:c r="G165" s="5" t="str">
        <x:v>验证退出连麦后的会话状态</x:v>
      </x:c>
      <x:c r="H165" s="5" t="str">
        <x:v>连麦退出结果</x:v>
      </x:c>
      <x:c r="I165" s="5" t="str">
        <x:v>1. 两位主播正在连麦</x:v>
      </x:c>
      <x:c r="J165" s="5" t="str">
        <x:v>1. 连麦主播点击退出
2. 确认退出
3. 查询连麦关系</x:v>
      </x:c>
      <x:c r="K165" s="5" t="str">
        <x:v>两位主播的连麦关系解除</x:v>
      </x:c>
      <x:c r="L165" s="5" t="str">
        <x:v>FLOW-LIVE-005</x:v>
      </x:c>
      <x:c r="M165" s="5" t="str">
        <x:v>未测</x:v>
      </x:c>
      <x:c r="N165" s="5" t="str"/>
      <x:c r="O165" s="5" t="str">
        <x:v>1. 来源：context/01-用户主播App-项目需求清单.md
2. 来源：context/01-用户主播App-角色与用例.md
3. 来源：prototype/assets/annotations.js
4. 追溯：业务底稿 LIVE-090。
5. 流程：阶段 06：解除连麦关系；共同业务对象：COHOST-SESSION-01。</x:v>
      </x:c>
    </x:row>
    <x:row r="166" ht="79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主播连麦</x:v>
      </x:c>
      <x:c r="E166" s="5" t="str">
        <x:v>业务流程</x:v>
      </x:c>
      <x:c r="F166" s="5" t="str">
        <x:v>P1</x:v>
      </x:c>
      <x:c r="G166" s="5" t="str">
        <x:v>验证主播 A 退出连麦后恢复单人画面</x:v>
      </x:c>
      <x:c r="H166" s="5" t="str">
        <x:v>主播 A 单人画面恢复</x:v>
      </x:c>
      <x:c r="I166" s="5" t="str">
        <x:v>1. 两位主播正在连麦</x:v>
      </x:c>
      <x:c r="J166" s="5" t="str">
        <x:v>1. 连麦主播确认退出
2. 查看主播 A 的直播画面</x:v>
      </x:c>
      <x:c r="K166" s="5" t="str">
        <x:v>主播 A 的直播间恢复主播 A 的单人直播画面</x:v>
      </x:c>
      <x:c r="L166" s="5" t="str">
        <x:v>FLOW-LIVE-005</x:v>
      </x:c>
      <x:c r="M166" s="5" t="str">
        <x:v>未测</x:v>
      </x:c>
      <x:c r="N166" s="5" t="str"/>
      <x:c r="O166" s="5" t="str">
        <x:v>1. 来源：context/01-用户主播App-项目需求清单.md
2. 来源：context/01-用户主播App-角色与用例.md
3. 来源：prototype/assets/annotations.js
4. 追溯：业务底稿 LIVE-090。
5. 流程：阶段 07：主播 A 恢复单人画面；共同业务对象：COHOST-SESSION-01。</x:v>
      </x:c>
    </x:row>
    <x:row r="167" ht="79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主播连麦</x:v>
      </x:c>
      <x:c r="E167" s="5" t="str">
        <x:v>业务流程</x:v>
      </x:c>
      <x:c r="F167" s="5" t="str">
        <x:v>P1</x:v>
      </x:c>
      <x:c r="G167" s="5" t="str">
        <x:v>验证主播 B 退出连麦后恢复单人画面</x:v>
      </x:c>
      <x:c r="H167" s="5" t="str">
        <x:v>主播 B 单人画面恢复</x:v>
      </x:c>
      <x:c r="I167" s="5" t="str">
        <x:v>1. 两位主播正在连麦</x:v>
      </x:c>
      <x:c r="J167" s="5" t="str">
        <x:v>1. 连麦主播确认退出
2. 查看主播 B 的直播画面</x:v>
      </x:c>
      <x:c r="K167" s="5" t="str">
        <x:v>主播 B 的直播间恢复主播 B 的单人直播画面</x:v>
      </x:c>
      <x:c r="L167" s="5" t="str">
        <x:v>FLOW-LIVE-005</x:v>
      </x:c>
      <x:c r="M167" s="5" t="str">
        <x:v>未测</x:v>
      </x:c>
      <x:c r="N167" s="5" t="str"/>
      <x:c r="O167" s="5" t="str">
        <x:v>1. 来源：context/01-用户主播App-项目需求清单.md
2. 来源：context/01-用户主播App-角色与用例.md
3. 来源：prototype/assets/annotations.js
4. 追溯：业务底稿 LIVE-090。
5. 流程：阶段 08：主播 B 恢复单人画面；共同业务对象：COHOST-SESSION-01。</x:v>
      </x:c>
    </x:row>
    <x:row r="168" ht="67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主播连麦</x:v>
      </x:c>
      <x:c r="E168" s="5" t="str">
        <x:v>业务流程</x:v>
      </x:c>
      <x:c r="F168" s="5" t="str">
        <x:v>P1</x:v>
      </x:c>
      <x:c r="G168" s="5" t="str">
        <x:v>验证退出连麦后恢复连麦入口</x:v>
      </x:c>
      <x:c r="H168" s="5" t="str">
        <x:v>连麦入口恢复</x:v>
      </x:c>
      <x:c r="I168" s="5" t="str">
        <x:v>1. 两位主播正在连麦</x:v>
      </x:c>
      <x:c r="J168" s="5" t="str">
        <x:v>1. 连麦主播确认退出
2. 查看普通房连麦入口</x:v>
      </x:c>
      <x:c r="K168" s="5" t="str">
        <x:v>普通房恢复可用的连麦入口</x:v>
      </x:c>
      <x:c r="L168" s="5" t="str">
        <x:v>FLOW-LIVE-005</x:v>
      </x:c>
      <x:c r="M168" s="5" t="str">
        <x:v>未测</x:v>
      </x:c>
      <x:c r="N168" s="5" t="str"/>
      <x:c r="O168" s="5" t="str">
        <x:v>1. 来源：context/01-用户主播App-项目需求清单.md
2. 来源：context/01-用户主播App-角色与用例.md
3. 来源：prototype/assets/annotations.js
4. 追溯：业务底稿 LIVE-090。
5. 流程：阶段 09：恢复普通房连麦入口；共同业务对象：COHOST-SESSION-01。</x:v>
      </x:c>
    </x:row>
    <x:row r="169" ht="67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主播连麦</x:v>
      </x:c>
      <x:c r="E169" s="5" t="str">
        <x:v>业务流程</x:v>
      </x:c>
      <x:c r="F169" s="5" t="str">
        <x:v>P1</x:v>
      </x:c>
      <x:c r="G169" s="5" t="str">
        <x:v>验证退出连麦不结束双方直播场次</x:v>
      </x:c>
      <x:c r="H169" s="5" t="str">
        <x:v>连麦退出场次状态</x:v>
      </x:c>
      <x:c r="I169" s="5" t="str">
        <x:v>1. 两位主播正在连麦</x:v>
      </x:c>
      <x:c r="J169" s="5" t="str">
        <x:v>1. 连麦主播确认退出
2. 查看主播 A 和主播 B 的直播场次状态</x:v>
      </x:c>
      <x:c r="K169" s="5" t="str">
        <x:v>两场直播均保持进行中</x:v>
      </x:c>
      <x:c r="L169" s="5" t="str">
        <x:v>FLOW-LIVE-005</x:v>
      </x:c>
      <x:c r="M169" s="5" t="str">
        <x:v>未测</x:v>
      </x:c>
      <x:c r="N169" s="5" t="str"/>
      <x:c r="O169" s="5" t="str">
        <x:v>1. 来源：context/01-用户主播App-项目需求清单.md
2. 来源：context/01-用户主播App-角色与用例.md
3. 来源：prototype/assets/annotations.js
4. 追溯：业务底稿 LIVE-090。
5. 流程：阶段 10：双方直播场次继续；共同业务对象：COHOST-SESSION-01。</x:v>
      </x:c>
    </x:row>
    <x:row r="170" ht="55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主播连麦</x:v>
      </x:c>
      <x:c r="E170" s="5" t="str">
        <x:v>逻辑校验</x:v>
      </x:c>
      <x:c r="F170" s="5" t="str">
        <x:v>P1</x:v>
      </x:c>
      <x:c r="G170" s="5" t="str">
        <x:v>验证门票房禁用连麦和 PK</x:v>
      </x:c>
      <x:c r="H170" s="5" t="str">
        <x:v>门票房连麦限制</x:v>
      </x:c>
      <x:c r="I170" s="5" t="str">
        <x:v>1. 主播分别在门票房和密码房直播</x:v>
      </x:c>
      <x:c r="J170" s="5" t="str">
        <x:v>1. 进入门票房主播端
2. 查看并尝试连麦或 PK 入口</x:v>
      </x:c>
      <x:c r="K170" s="5" t="str">
        <x:v>门票房不提供可用的连麦或 PK 入口，系统不生成连麦邀请</x:v>
      </x:c>
      <x:c r="L170" s="5" t="str"/>
      <x:c r="M170" s="5" t="str">
        <x:v>未测</x:v>
      </x:c>
      <x:c r="N170" s="5" t="str"/>
      <x:c r="O170" s="5" t="str">
        <x:v>1. 来源：context/01-用户主播App-项目需求清单.md
2. 来源：context/01-用户主播App-角色与用例.md
3. 来源：prototype/assets/annotations.js
4. 追溯：业务底稿 LIVE-091。</x:v>
      </x:c>
    </x:row>
    <x:row r="171" ht="55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主播连麦</x:v>
      </x:c>
      <x:c r="E171" s="5" t="str">
        <x:v>逻辑校验</x:v>
      </x:c>
      <x:c r="F171" s="5" t="str">
        <x:v>P1</x:v>
      </x:c>
      <x:c r="G171" s="5" t="str">
        <x:v>验证密码房禁用连麦和 PK</x:v>
      </x:c>
      <x:c r="H171" s="5" t="str">
        <x:v>密码房连麦限制</x:v>
      </x:c>
      <x:c r="I171" s="5" t="str">
        <x:v>1. 主播分别在门票房和密码房直播</x:v>
      </x:c>
      <x:c r="J171" s="5" t="str">
        <x:v>1. 进入密码房主播端
2. 查看并尝试连麦或 PK 入口</x:v>
      </x:c>
      <x:c r="K171" s="5" t="str">
        <x:v>密码房不提供可用的连麦或 PK 入口，系统不生成连麦邀请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来源：context/01-用户主播App-角色与用例.md
3. 来源：prototype/assets/annotations.js
4. 追溯：业务底稿 LIVE-091。</x:v>
      </x:c>
    </x:row>
    <x:row r="172" ht="55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主播连麦</x:v>
      </x:c>
      <x:c r="E172" s="5" t="str">
        <x:v>逻辑校验</x:v>
      </x:c>
      <x:c r="F172" s="5" t="str">
        <x:v>P1</x:v>
      </x:c>
      <x:c r="G172" s="5" t="str">
        <x:v>验证两人连麦中不能加入第三位主播</x:v>
      </x:c>
      <x:c r="H172" s="5" t="str">
        <x:v>连麦人数上限</x:v>
      </x:c>
      <x:c r="I172" s="5" t="str">
        <x:v>1. 主播 A 与主播 B 正在普通房连麦
2. 主播 C 在线且具备连麦权限</x:v>
      </x:c>
      <x:c r="J172" s="5" t="str">
        <x:v>1. 尝试邀请主播 C 加入当前连麦</x:v>
      </x:c>
      <x:c r="K172" s="5" t="str">
        <x:v>两人连麦中主播 C 不能加入，当前连麦关系仍仅包含主播 A 和主播 B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来源：context/01-用户主播App-角色与用例.md
3. 来源：prototype/assets/annotations.js
4. 追溯：业务底稿 LIVE-092。</x:v>
      </x:c>
    </x:row>
    <x:row r="173" ht="31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主播连麦</x:v>
      </x:c>
      <x:c r="E173" s="5" t="str">
        <x:v>异常用例</x:v>
      </x:c>
      <x:c r="F173" s="5" t="str">
        <x:v>P2</x:v>
      </x:c>
      <x:c r="G173" s="5" t="str">
        <x:v>验证不能向离线主播创建连麦邀请</x:v>
      </x:c>
      <x:c r="H173" s="5" t="str">
        <x:v>离线主播邀请限制</x:v>
      </x:c>
      <x:c r="I173" s="5" t="str">
        <x:v>1. 场景 A：目标主播离线
2. 场景 B：目标主播无连麦权限</x:v>
      </x:c>
      <x:c r="J173" s="5" t="str">
        <x:v>1. 向离线主播发起连麦邀请
2. 查询连麦邀请记录</x:v>
      </x:c>
      <x:c r="K173" s="5" t="str">
        <x:v>目标主播离线时系统不生成有效连麦邀请</x:v>
      </x:c>
      <x:c r="L173" s="5" t="str"/>
      <x:c r="M173" s="5" t="str">
        <x:v>未测</x:v>
      </x:c>
      <x:c r="N173" s="5" t="str"/>
      <x:c r="O173" s="5" t="str">
        <x:v>1. 来源：context/01-用户主播App-角色与用例.md
2. 追溯：业务底稿 LIVE-093。</x:v>
      </x:c>
    </x:row>
    <x:row r="174" ht="31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主播连麦</x:v>
      </x:c>
      <x:c r="E174" s="5" t="str">
        <x:v>异常用例</x:v>
      </x:c>
      <x:c r="F174" s="5" t="str">
        <x:v>P2</x:v>
      </x:c>
      <x:c r="G174" s="5" t="str">
        <x:v>验证邀请离线主播不改变发起方直播状态</x:v>
      </x:c>
      <x:c r="H174" s="5" t="str">
        <x:v>离线邀请状态保持</x:v>
      </x:c>
      <x:c r="I174" s="5" t="str">
        <x:v>1. 场景 A：目标主播离线
2. 场景 B：目标主播无连麦权限</x:v>
      </x:c>
      <x:c r="J174" s="5" t="str">
        <x:v>1. 向离线主播发起连麦邀请
2. 查看发起方直播状态</x:v>
      </x:c>
      <x:c r="K174" s="5" t="str">
        <x:v>邀请离线主播后发起方保持原直播状态</x:v>
      </x:c>
      <x:c r="L174" s="5" t="str"/>
      <x:c r="M174" s="5" t="str">
        <x:v>未测</x:v>
      </x:c>
      <x:c r="N174" s="5" t="str"/>
      <x:c r="O174" s="5" t="str">
        <x:v>1. 来源：context/01-用户主播App-角色与用例.md
2. 追溯：业务底稿 LIVE-093。</x:v>
      </x:c>
    </x:row>
    <x:row r="175" ht="31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主播连麦</x:v>
      </x:c>
      <x:c r="E175" s="5" t="str">
        <x:v>异常用例</x:v>
      </x:c>
      <x:c r="F175" s="5" t="str">
        <x:v>P2</x:v>
      </x:c>
      <x:c r="G175" s="5" t="str">
        <x:v>验证不能向无权限主播创建连麦邀请</x:v>
      </x:c>
      <x:c r="H175" s="5" t="str">
        <x:v>无权限主播邀请限制</x:v>
      </x:c>
      <x:c r="I175" s="5" t="str">
        <x:v>1. 场景 A：目标主播离线
2. 场景 B：目标主播无连麦权限</x:v>
      </x:c>
      <x:c r="J175" s="5" t="str">
        <x:v>1. 向无连麦权限的主播发起连麦邀请
2. 查询连麦邀请记录</x:v>
      </x:c>
      <x:c r="K175" s="5" t="str">
        <x:v>目标主播无连麦权限时系统不生成有效连麦邀请</x:v>
      </x:c>
      <x:c r="L175" s="5" t="str"/>
      <x:c r="M175" s="5" t="str">
        <x:v>未测</x:v>
      </x:c>
      <x:c r="N175" s="5" t="str"/>
      <x:c r="O175" s="5" t="str">
        <x:v>1. 来源：context/01-用户主播App-角色与用例.md
2. 追溯：业务底稿 LIVE-093。</x:v>
      </x:c>
    </x:row>
    <x:row r="176" ht="31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主播连麦</x:v>
      </x:c>
      <x:c r="E176" s="5" t="str">
        <x:v>异常用例</x:v>
      </x:c>
      <x:c r="F176" s="5" t="str">
        <x:v>P2</x:v>
      </x:c>
      <x:c r="G176" s="5" t="str">
        <x:v>验证邀请无权限主播不改变发起方直播状态</x:v>
      </x:c>
      <x:c r="H176" s="5" t="str">
        <x:v>无权限邀请状态保持</x:v>
      </x:c>
      <x:c r="I176" s="5" t="str">
        <x:v>1. 场景 A：目标主播离线
2. 场景 B：目标主播无连麦权限</x:v>
      </x:c>
      <x:c r="J176" s="5" t="str">
        <x:v>1. 向无连麦权限的主播发起连麦邀请
2. 查看发起方直播状态</x:v>
      </x:c>
      <x:c r="K176" s="5" t="str">
        <x:v>邀请无连麦权限主播后发起方保持原直播状态</x:v>
      </x:c>
      <x:c r="L176" s="5" t="str"/>
      <x:c r="M176" s="5" t="str">
        <x:v>未测</x:v>
      </x:c>
      <x:c r="N176" s="5" t="str"/>
      <x:c r="O176" s="5" t="str">
        <x:v>1. 来源：context/01-用户主播App-角色与用例.md
2. 追溯：业务底稿 LIVE-093。</x:v>
      </x:c>
    </x:row>
    <x:row r="177" ht="55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结束直播</x:v>
      </x:c>
      <x:c r="E177" s="5" t="str">
        <x:v>功能需求</x:v>
      </x:c>
      <x:c r="F177" s="5" t="str">
        <x:v>P1</x:v>
      </x:c>
      <x:c r="G177" s="5" t="str">
        <x:v>验证主播结束后观众进入直播结束页</x:v>
      </x:c>
      <x:c r="H177" s="5" t="str">
        <x:v>观众直播结束页</x:v>
      </x:c>
      <x:c r="I177" s="5" t="str">
        <x:v>1. 观众正在观看直播
2. 主播结束当前直播</x:v>
      </x:c>
      <x:c r="J177" s="5" t="str">
        <x:v>1. 查看观众端页面状态</x:v>
      </x:c>
      <x:c r="K177" s="5" t="str">
        <x:v>主播结束直播后观众进入对应结束页，页面展示“Sari 的直播已结束”</x:v>
      </x:c>
      <x:c r="L177" s="5" t="str">
        <x:v>FLOW-LIVE-001</x:v>
      </x:c>
      <x:c r="M177" s="5" t="str">
        <x:v>未测</x:v>
      </x:c>
      <x:c r="N177" s="5" t="str"/>
      <x:c r="O177" s="5" t="str">
        <x:v>1. 来源：prototype/Luma Live-原型说明.md
2. 来源：对应 HTML 静态原型；未动态验证
3. 追溯：业务底稿 LIVE-094。
4. 流程：阶段 05：观众进入结束页；共同业务对象：LIVE-SESSION-N01。</x:v>
      </x:c>
    </x:row>
    <x:row r="178" ht="43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结束直播</x:v>
      </x:c>
      <x:c r="E178" s="5" t="str">
        <x:v>功能需求</x:v>
      </x:c>
      <x:c r="F178" s="5" t="str">
        <x:v>P2</x:v>
      </x:c>
      <x:c r="G178" s="5" t="str">
        <x:v>验证观众从直播结束页返回直播广场</x:v>
      </x:c>
      <x:c r="H178" s="5" t="str">
        <x:v>观众结束页返回</x:v>
      </x:c>
      <x:c r="I178" s="5" t="str">
        <x:v>1. 观众位于直播结束页</x:v>
      </x:c>
      <x:c r="J178" s="5" t="str">
        <x:v>1. 点击“返回首页”</x:v>
      </x:c>
      <x:c r="K178" s="5" t="str">
        <x:v>页面返回直播广场</x:v>
      </x:c>
      <x:c r="L178" s="5" t="str"/>
      <x:c r="M178" s="5" t="str">
        <x:v>未测</x:v>
      </x:c>
      <x:c r="N178" s="5" t="str"/>
      <x:c r="O178" s="5" t="str">
        <x:v>1. 来源：prototype/Luma Live-原型说明.md
2. 来源：对应 HTML 静态原型；未动态验证
3. 追溯：业务底稿 LIVE-095。</x:v>
      </x:c>
    </x:row>
    <x:row r="179" ht="67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开播设置</x:v>
      </x:c>
      <x:c r="E179" s="5" t="str">
        <x:v>业务流程</x:v>
      </x:c>
      <x:c r="F179" s="5" t="str">
        <x:v>P1</x:v>
      </x:c>
      <x:c r="G179" s="5" t="str">
        <x:v>验证主播保存有效门票房设置</x:v>
      </x:c>
      <x:c r="H179" s="5" t="str">
        <x:v>门票房有效设置</x:v>
      </x:c>
      <x:c r="I179" s="5" t="str">
        <x:v>1. 主播具备直播权限
2. 门票房灰度开关已开启</x:v>
      </x:c>
      <x:c r="J179" s="5" t="str">
        <x:v>1. 进入开播设置
2. 打开房型设置
3. 选择“门票”
4. 填写门票价格 10 金币
5. 保存房型设置</x:v>
      </x:c>
      <x:c r="K179" s="5" t="str">
        <x:v>房型设置保存为门票房并回显门票价格 10 金币</x:v>
      </x:c>
      <x:c r="L179" s="5" t="str">
        <x:v>FLOW-LIVE-002</x:v>
      </x:c>
      <x:c r="M179" s="5" t="str">
        <x:v>未测</x:v>
      </x:c>
      <x:c r="N179" s="5" t="str"/>
      <x:c r="O179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</x:v>
      </x:c>
    </x:row>
    <x:row r="180" ht="79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开播设置</x:v>
      </x:c>
      <x:c r="E180" s="5" t="str">
        <x:v>业务流程</x:v>
      </x:c>
      <x:c r="F180" s="5" t="str">
        <x:v>P1</x:v>
      </x:c>
      <x:c r="G180" s="5" t="str">
        <x:v>验证主播保存有效密码房设置</x:v>
      </x:c>
      <x:c r="H180" s="5" t="str">
        <x:v>密码房有效设置</x:v>
      </x:c>
      <x:c r="I180" s="5" t="str">
        <x:v>1. 主播具备直播权限
2. 密码房灰度开关已开启
3. 使用符合当前原型 4 至 12 位提示的测试密码</x:v>
      </x:c>
      <x:c r="J180" s="5" t="str">
        <x:v>1. 进入开播设置
2. 打开房型设置
3. 选择“密码”
4. 填写有效密码
5. 设置广场展示范围和粉丝授权名单
6. 保存房型设置</x:v>
      </x:c>
      <x:c r="K180" s="5" t="str">
        <x:v>房型设置保存为密码房并回显本次可见范围配置</x:v>
      </x:c>
      <x:c r="L180" s="5" t="str">
        <x:v>FLOW-LIVE-003</x:v>
      </x:c>
      <x:c r="M180" s="5" t="str">
        <x:v>未测</x:v>
      </x:c>
      <x:c r="N180" s="5" t="str"/>
      <x:c r="O180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</x:v>
      </x:c>
    </x:row>
    <x:row r="181" ht="43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观众互动</x:v>
      </x:c>
      <x:c r="E181" s="5" t="str">
        <x:v>功能需求</x:v>
      </x:c>
      <x:c r="F181" s="5" t="str">
        <x:v>P2</x:v>
      </x:c>
      <x:c r="G181" s="5" t="str">
        <x:v>验证观众清屏仅清除本地互动展示</x:v>
      </x:c>
      <x:c r="H181" s="5" t="str">
        <x:v>观众端清屏</x:v>
      </x:c>
      <x:c r="I181" s="5" t="str">
        <x:v>1. 观众正在直播间观看
2. 当前公屏已有评论和礼物消息</x:v>
      </x:c>
      <x:c r="J181" s="5" t="str">
        <x:v>1. 打开“全部功能”
2. 点击“清屏”</x:v>
      </x:c>
      <x:c r="K181" s="5" t="str">
        <x:v>当前观众端的互动消息区域被清空，直播播放保持进行中</x:v>
      </x:c>
      <x:c r="L181" s="5" t="str"/>
      <x:c r="M181" s="5" t="str">
        <x:v>未测</x:v>
      </x:c>
      <x:c r="N181" s="5" t="str"/>
      <x:c r="O181" s="5" t="str">
        <x:v>1. 来源：prototype/assets/annotations.js
2. 来源：对应 HTML 静态原型；未动态验证
3. 追溯：业务底稿 LIVE-098。</x:v>
      </x:c>
    </x:row>
    <x:row r="182" ht="43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功能需求</x:v>
      </x:c>
      <x:c r="F182" s="5" t="str">
        <x:v>P1</x:v>
      </x:c>
      <x:c r="G182" s="5" t="str">
        <x:v>验证普通房主播打开直播设置</x:v>
      </x:c>
      <x:c r="H182" s="5" t="str">
        <x:v>普通房直播设置菜单</x:v>
      </x:c>
      <x:c r="I182" s="5" t="str">
        <x:v>1. 主播正在普通房直播</x:v>
      </x:c>
      <x:c r="J182" s="5" t="str">
        <x:v>1. 点击直播间底部“…”</x:v>
      </x:c>
      <x:c r="K182" s="5" t="str">
        <x:v>直播设置菜单提供美颜设置、禁用用户、清屏和转发操作，房间密码入口为不可用状态</x:v>
      </x:c>
      <x:c r="L182" s="5" t="str"/>
      <x:c r="M182" s="5" t="str">
        <x:v>未测</x:v>
      </x:c>
      <x:c r="N182" s="5" t="str"/>
      <x:c r="O182" s="5" t="str">
        <x:v>1. 来源：prototype/assets/annotations.js
2. 来源：对应 HTML 静态原型；未动态验证
3. 追溯：业务底稿 LIVE-099。</x:v>
      </x:c>
    </x:row>
    <x:row r="183" ht="55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功能需求</x:v>
      </x:c>
      <x:c r="F183" s="5" t="str">
        <x:v>P1</x:v>
      </x:c>
      <x:c r="G183" s="5" t="str">
        <x:v>验证主播查看本场禁用用户</x:v>
      </x:c>
      <x:c r="H183" s="5" t="str">
        <x:v>禁用用户列表</x:v>
      </x:c>
      <x:c r="I183" s="5" t="str">
        <x:v>1. 主播正在直播
2. 当前场次已有被禁言或被踢出的用户</x:v>
      </x:c>
      <x:c r="J183" s="5" t="str">
        <x:v>1. 打开直播设置
2. 点击“禁用用户”</x:v>
      </x:c>
      <x:c r="K183" s="5" t="str">
        <x:v>禁用用户列表展示当前场次受限制的用户及其限制状态</x:v>
      </x:c>
      <x:c r="L183" s="5" t="str"/>
      <x:c r="M183" s="5" t="str">
        <x:v>未测</x:v>
      </x:c>
      <x:c r="N183" s="5" t="str"/>
      <x:c r="O183" s="5" t="str">
        <x:v>1. 来源：prototype/assets/annotations.js
2. 来源：prototype/assets/live-muted-users.js
3. 来源：对应 HTML 静态原型；未动态验证
4. 追溯：业务底稿 LIVE-100。</x:v>
      </x:c>
    </x:row>
    <x:row r="184" ht="55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验证主播二次确认后解除用户禁言</x:v>
      </x:c>
      <x:c r="H184" s="5" t="str">
        <x:v>解除禁言确认</x:v>
      </x:c>
      <x:c r="I184" s="5" t="str">
        <x:v>1. 主播正在直播
2. 目标用户处于当前场次禁言状态</x:v>
      </x:c>
      <x:c r="J184" s="5" t="str">
        <x:v>1. 进入禁用用户列表
2. 点击目标用户的解除禁言操作
3. 完成两次确认</x:v>
      </x:c>
      <x:c r="K184" s="5" t="str">
        <x:v>目标用户的当前场次禁言状态被解除</x:v>
      </x:c>
      <x:c r="L184" s="5" t="str"/>
      <x:c r="M184" s="5" t="str">
        <x:v>未测</x:v>
      </x:c>
      <x:c r="N184" s="5" t="str"/>
      <x:c r="O184" s="5" t="str">
        <x:v>1. 来源：prototype/assets/annotations.js
2. 来源：prototype/assets/live-muted-users.js
3. 来源：对应 HTML 静态原型；未动态验证
4. 追溯：业务底稿 LIVE-101。</x:v>
      </x:c>
    </x:row>
    <x:row r="185" ht="79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验证密码房主播修改房间密码</x:v>
      </x:c>
      <x:c r="H185" s="5" t="str">
        <x:v>直播中修改密码</x:v>
      </x:c>
      <x:c r="I185" s="5" t="str">
        <x:v>1. 主播正在密码房直播
2. 准备符合最终密码规则的新密码</x:v>
      </x:c>
      <x:c r="J185" s="5" t="str">
        <x:v>1. 打开直播设置
2. 进入房间密码设置
3. 输入新密码
4. 确认修改</x:v>
      </x:c>
      <x:c r="K185" s="5" t="str">
        <x:v>密码房保存新密码，后续进房校验使用新密码</x:v>
      </x:c>
      <x:c r="L185" s="5" t="str">
        <x:v>FLOW-LIVE-003</x:v>
      </x:c>
      <x:c r="M185" s="5" t="str">
        <x:v>未测</x:v>
      </x:c>
      <x:c r="N185" s="5" t="str"/>
      <x:c r="O185" s="5" t="str">
        <x:v>1. 来源：context/01-用户主播App-角色与用例.md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</x:v>
      </x:c>
    </x:row>
    <x:row r="186" ht="55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P2</x:v>
      </x:c>
      <x:c r="G186" s="5" t="str">
        <x:v>验证主播确认转发直播间给粉丝群</x:v>
      </x:c>
      <x:c r="H186" s="5" t="str">
        <x:v>转发至粉丝群</x:v>
      </x:c>
      <x:c r="I186" s="5" t="str">
        <x:v>1. 主播正在直播
2. 主播已创建粉丝群</x:v>
      </x:c>
      <x:c r="J186" s="5" t="str">
        <x:v>1. 打开直播设置
2. 点击“转发”
3. 选择置顶的粉丝群
4. 确认转发</x:v>
      </x:c>
      <x:c r="K186" s="5" t="str">
        <x:v>目标粉丝群收到可进入当前直播间的直播房间卡片</x:v>
      </x:c>
      <x:c r="L186" s="5" t="str"/>
      <x:c r="M186" s="5" t="str">
        <x:v>未测</x:v>
      </x:c>
      <x:c r="N186" s="5" t="str"/>
      <x:c r="O186" s="5" t="str">
        <x:v>1. 来源：prototype/assets/annotations.js
2. 来源：对应 HTML 静态原型；未动态验证
3. 追溯：业务底稿 LIVE-103。</x:v>
      </x:c>
    </x:row>
    <x:row r="187" ht="43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功能需求</x:v>
      </x:c>
      <x:c r="F187" s="5" t="str">
        <x:v>P1</x:v>
      </x:c>
      <x:c r="G187" s="5" t="str">
        <x:v>验证主播查看本场贡献和收到礼物</x:v>
      </x:c>
      <x:c r="H187" s="5" t="str">
        <x:v>本场贡献与收礼入口</x:v>
      </x:c>
      <x:c r="I187" s="5" t="str">
        <x:v>1. 主播正在直播
2. 当前场次已有观众送礼数据</x:v>
      </x:c>
      <x:c r="J187" s="5" t="str">
        <x:v>1. 点击直播间顶部的本场贡献数值</x:v>
      </x:c>
      <x:c r="K187" s="5" t="str">
        <x:v>页面展示当前场次的贡献榜和收到礼物记录</x:v>
      </x:c>
      <x:c r="L187" s="5" t="str"/>
      <x:c r="M187" s="5" t="str">
        <x:v>未测</x:v>
      </x:c>
      <x:c r="N187" s="5" t="str"/>
      <x:c r="O187" s="5" t="str">
        <x:v>1. 来源：prototype/assets/annotations.js
2. 来源：对应 HTML 静态原型；未动态验证
3. 追溯：业务底稿 LIVE-104。</x:v>
      </x:c>
    </x:row>
    <x:row r="188" ht="55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主播连麦</x:v>
      </x:c>
      <x:c r="E188" s="5" t="str">
        <x:v>功能需求</x:v>
      </x:c>
      <x:c r="F188" s="5" t="str">
        <x:v>P1</x:v>
      </x:c>
      <x:c r="G188" s="5" t="str">
        <x:v>验证主播按 ID 或名字搜索连麦对象</x:v>
      </x:c>
      <x:c r="H188" s="5" t="str">
        <x:v>连麦主播搜索</x:v>
      </x:c>
      <x:c r="I188" s="5" t="str">
        <x:v>1. 主播正在普通房直播
2. 目标主播在线且具备连麦权限</x:v>
      </x:c>
      <x:c r="J188" s="5" t="str">
        <x:v>1. 打开连麦主播面板
2. 分别按目标主播 ID 和名字搜索</x:v>
      </x:c>
      <x:c r="K188" s="5" t="str">
        <x:v>两种搜索方式均返回身份与目标主播一致的可邀请记录</x:v>
      </x:c>
      <x:c r="L188" s="5" t="str"/>
      <x:c r="M188" s="5" t="str">
        <x:v>未测</x:v>
      </x:c>
      <x:c r="N188" s="5" t="str"/>
      <x:c r="O188" s="5" t="str">
        <x:v>1. 来源：context/01-用户主播App-项目需求清单.md
2. 来源：prototype/assets/annotations.js
3. 来源：对应 HTML 静态原型；未动态验证
4. 追溯：业务底稿 LIVE-105。</x:v>
      </x:c>
    </x:row>
    <x:row r="189" ht="43.5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主播连麦</x:v>
      </x:c>
      <x:c r="E189" s="5" t="str">
        <x:v>业务流程</x:v>
      </x:c>
      <x:c r="F189" s="5" t="str">
        <x:v>P2</x:v>
      </x:c>
      <x:c r="G189" s="5" t="str">
        <x:v>验证主播取消已发出的连麦请求</x:v>
      </x:c>
      <x:c r="H189" s="5" t="str">
        <x:v>取消发出请求</x:v>
      </x:c>
      <x:c r="I189" s="5" t="str">
        <x:v>1. 主播 A 已向主播 B 发出连麦请求
2. 主播 B 尚未处理</x:v>
      </x:c>
      <x:c r="J189" s="5" t="str">
        <x:v>1. 在发出的请求中选择主播 B
2. 点击取消请求</x:v>
      </x:c>
      <x:c r="K189" s="5" t="str">
        <x:v>主播 B 对应的待处理连麦请求被取消</x:v>
      </x:c>
      <x:c r="L189" s="5" t="str"/>
      <x:c r="M189" s="5" t="str">
        <x:v>未测</x:v>
      </x:c>
      <x:c r="N189" s="5" t="str"/>
      <x:c r="O189" s="5" t="str">
        <x:v>1. 来源：prototype/assets/annotations.js
2. 来源：对应 HTML 静态原型；未动态验证
3. 追溯：业务底稿 LIVE-106。</x:v>
      </x:c>
    </x:row>
    <x:row r="190" ht="43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主播连麦</x:v>
      </x:c>
      <x:c r="E190" s="5" t="str">
        <x:v>逻辑校验</x:v>
      </x:c>
      <x:c r="F190" s="5" t="str">
        <x:v>P1</x:v>
      </x:c>
      <x:c r="G190" s="5" t="str">
        <x:v>验证被邀请主播可同时收到多条连麦邀请</x:v>
      </x:c>
      <x:c r="H190" s="5" t="str">
        <x:v>多条收到邀请</x:v>
      </x:c>
      <x:c r="I190" s="5" t="str">
        <x:v>1. 主播 B 正在普通房直播且未连麦
2. 主播 A 和主播 C 均满足连麦条件</x:v>
      </x:c>
      <x:c r="J190" s="5" t="str">
        <x:v>1. 由主播 A 向主播 B 发起邀请
2. 由主播 C 向主播 B 发起邀请
3. 查看主播 B 的收到邀请列表</x:v>
      </x:c>
      <x:c r="K190" s="5" t="str">
        <x:v>主播 B 的收到邀请列表同时保留主播 A 和主播 C 的两条待处理邀请</x:v>
      </x:c>
      <x:c r="L190" s="5" t="str"/>
      <x:c r="M190" s="5" t="str">
        <x:v>未测</x:v>
      </x:c>
      <x:c r="N190" s="5" t="str"/>
      <x:c r="O190" s="5" t="str">
        <x:v>1. 来源：prototype/assets/annotations.js
2. 来源：对应 HTML 静态原型；未动态验证
3. 追溯：业务底稿 LIVE-107。</x:v>
      </x:c>
    </x:row>
    <x:row r="191" ht="43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逻辑校验</x:v>
      </x:c>
      <x:c r="F191" s="5" t="str">
        <x:v>P2</x:v>
      </x:c>
      <x:c r="G191" s="5" t="str">
        <x:v>验证普通房房间密码入口不可用</x:v>
      </x:c>
      <x:c r="H191" s="5" t="str">
        <x:v>普通房密码入口限制</x:v>
      </x:c>
      <x:c r="I191" s="5" t="str">
        <x:v>1. 主播正在普通房直播</x:v>
      </x:c>
      <x:c r="J191" s="5" t="str">
        <x:v>1. 打开直播设置
2. 查看并点击房间密码入口</x:v>
      </x:c>
      <x:c r="K191" s="5" t="str">
        <x:v>房间密码入口保持置灰且不打开密码编辑面板</x:v>
      </x:c>
      <x:c r="L191" s="5" t="str"/>
      <x:c r="M191" s="5" t="str">
        <x:v>未测</x:v>
      </x:c>
      <x:c r="N191" s="5" t="str"/>
      <x:c r="O191" s="5" t="str">
        <x:v>1. 来源：prototype/assets/annotations.js
2. 来源：对应 HTML 静态原型；未动态验证
3. 追溯：业务底稿 LIVE-108。</x:v>
      </x:c>
    </x:row>
    <x:row r="192" ht="55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主播连麦</x:v>
      </x:c>
      <x:c r="E192" s="5" t="str">
        <x:v>逻辑校验</x:v>
      </x:c>
      <x:c r="F192" s="5" t="str">
        <x:v>P1</x:v>
      </x:c>
      <x:c r="G192" s="5" t="str">
        <x:v>验证密码房 PK 入口不可用</x:v>
      </x:c>
      <x:c r="H192" s="5" t="str">
        <x:v>密码房 PK 限制</x:v>
      </x:c>
      <x:c r="I192" s="5" t="str">
        <x:v>1. 主播正在密码房直播</x:v>
      </x:c>
      <x:c r="J192" s="5" t="str">
        <x:v>1. 点击 PK 入口</x:v>
      </x:c>
      <x:c r="K192" s="5" t="str">
        <x:v>页面不发起连麦并提示“密码房无法发起连麦”</x:v>
      </x:c>
      <x:c r="L192" s="5" t="str"/>
      <x:c r="M192" s="5" t="str">
        <x:v>未测</x:v>
      </x:c>
      <x:c r="N192" s="5" t="str"/>
      <x:c r="O192" s="5" t="str">
        <x:v>1. 来源：context/01-用户主播App-项目需求清单.md
2. 来源：prototype/assets/annotations.js
3. 来源：对应 HTML 静态原型；未动态验证
4. 追溯：业务底稿 LIVE-109。</x:v>
      </x:c>
    </x:row>
    <x:row r="193" ht="43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主播连麦</x:v>
      </x:c>
      <x:c r="E193" s="5" t="str">
        <x:v>逻辑校验</x:v>
      </x:c>
      <x:c r="F193" s="5" t="str">
        <x:v>P2</x:v>
      </x:c>
      <x:c r="G193" s="5" t="str">
        <x:v>验证连麦中房间密码入口不可用</x:v>
      </x:c>
      <x:c r="H193" s="5" t="str">
        <x:v>连麦中密码入口限制</x:v>
      </x:c>
      <x:c r="I193" s="5" t="str">
        <x:v>1. 主播正在普通房两人连麦中</x:v>
      </x:c>
      <x:c r="J193" s="5" t="str">
        <x:v>1. 打开直播设置
2. 查看并点击房间密码入口</x:v>
      </x:c>
      <x:c r="K193" s="5" t="str">
        <x:v>房间密码入口保持置灰且不打开密码编辑面板</x:v>
      </x:c>
      <x:c r="L193" s="5" t="str"/>
      <x:c r="M193" s="5" t="str">
        <x:v>未测</x:v>
      </x:c>
      <x:c r="N193" s="5" t="str"/>
      <x:c r="O193" s="5" t="str">
        <x:v>1. 来源：prototype/assets/annotations.js
2. 来源：对应 HTML 静态原型；未动态验证
3. 追溯：业务底稿 LIVE-110。</x:v>
      </x:c>
    </x:row>
    <x:row r="194" ht="55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P2</x:v>
      </x:c>
      <x:c r="G194" s="5" t="str">
        <x:v>验证密码房修改密码成功反馈</x:v>
      </x:c>
      <x:c r="H194" s="5" t="str">
        <x:v>修改密码成功反馈</x:v>
      </x:c>
      <x:c r="I194" s="5" t="str">
        <x:v>1. 主播正在密码房直播
2. 新密码为 8 位数字 13572468</x:v>
      </x:c>
      <x:c r="J194" s="5" t="str">
        <x:v>1. 打开直播设置
2. 进入房间密码设置
3. 输入 13572468
4. 点击“保存密码”</x:v>
      </x:c>
      <x:c r="K194" s="5" t="str">
        <x:v>页面提示“房间密码已修改”</x:v>
      </x:c>
      <x:c r="L194" s="5" t="str">
        <x:v>FLOW-LIVE-003</x:v>
      </x:c>
      <x:c r="M194" s="5" t="str">
        <x:v>未测</x:v>
      </x:c>
      <x:c r="N194" s="5" t="str"/>
      <x:c r="O194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5" ht="55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P2</x:v>
      </x:c>
      <x:c r="G195" s="5" t="str">
        <x:v>验证转发直播间成功反馈</x:v>
      </x:c>
      <x:c r="H195" s="5" t="str">
        <x:v>转发成功反馈</x:v>
      </x:c>
      <x:c r="I195" s="5" t="str">
        <x:v>1. 主播正在直播
2. 主播存在“Sari 粉丝团”</x:v>
      </x:c>
      <x:c r="J195" s="5" t="str">
        <x:v>1. 打开直播设置
2. 点击“转发”
3. 选择“Sari 粉丝团”
4. 确认转发</x:v>
      </x:c>
      <x:c r="K195" s="5" t="str">
        <x:v>页面提示“已转发至 Sari 粉丝团”</x:v>
      </x:c>
      <x:c r="L195" s="5" t="str"/>
      <x:c r="M195" s="5" t="str">
        <x:v>未测</x:v>
      </x:c>
      <x:c r="N195" s="5" t="str"/>
      <x:c r="O195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6" ht="43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主播连麦</x:v>
      </x:c>
      <x:c r="E196" s="5" t="str">
        <x:v>功能需求</x:v>
      </x:c>
      <x:c r="F196" s="5" t="str">
        <x:v>P2</x:v>
      </x:c>
      <x:c r="G196" s="5" t="str">
        <x:v>验证发起连麦请求成功反馈</x:v>
      </x:c>
      <x:c r="H196" s="5" t="str">
        <x:v>连麦请求发送反馈</x:v>
      </x:c>
      <x:c r="I196" s="5" t="str">
        <x:v>1. 主播正在普通房直播
2. 当前没有已发出的连麦请求
3. 主播 Zara 在线且具备连麦权限</x:v>
      </x:c>
      <x:c r="J196" s="5" t="str">
        <x:v>1. 打开连麦主播面板
2. 搜索 Zara
3. 点击发起连麦</x:v>
      </x:c>
      <x:c r="K196" s="5" t="str">
        <x:v>页面提示“已向 Zara 发起连麦请求”</x:v>
      </x:c>
      <x:c r="L196" s="5" t="str">
        <x:v>FLOW-LIVE-005</x:v>
      </x:c>
      <x:c r="M196" s="5" t="str">
        <x:v>未测</x:v>
      </x:c>
      <x:c r="N196" s="5" t="str"/>
      <x:c r="O196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7" ht="43.5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主播连麦</x:v>
      </x:c>
      <x:c r="E197" s="5" t="str">
        <x:v>异常用例</x:v>
      </x:c>
      <x:c r="F197" s="5" t="str">
        <x:v>P2</x:v>
      </x:c>
      <x:c r="G197" s="5" t="str">
        <x:v>验证已有请求时不重复创建连麦请求</x:v>
      </x:c>
      <x:c r="H197" s="5" t="str">
        <x:v>重复连麦请求拦截</x:v>
      </x:c>
      <x:c r="I197" s="5" t="str">
        <x:v>1. 主播正在普通房直播
2. 已存在一条未处理的发出请求</x:v>
      </x:c>
      <x:c r="J197" s="5" t="str">
        <x:v>1. 打开连麦主播面板
2. 搜索另一名可连麦主播
3. 点击发起连麦</x:v>
      </x:c>
      <x:c r="K197" s="5" t="str">
        <x:v>发出的请求列表不新增第二条连麦请求</x:v>
      </x:c>
      <x:c r="L197" s="5" t="str">
        <x:v>FLOW-LIVE-005</x:v>
      </x:c>
      <x:c r="M197" s="5" t="str">
        <x:v>未测</x:v>
      </x:c>
      <x:c r="N197" s="5" t="str"/>
      <x:c r="O197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8" ht="43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主播连麦</x:v>
      </x:c>
      <x:c r="E198" s="5" t="str">
        <x:v>异常用例</x:v>
      </x:c>
      <x:c r="F198" s="5" t="str">
        <x:v>P2</x:v>
      </x:c>
      <x:c r="G198" s="5" t="str">
        <x:v>验证已有请求时的重复发起反馈</x:v>
      </x:c>
      <x:c r="H198" s="5" t="str">
        <x:v>重复连麦请求提示</x:v>
      </x:c>
      <x:c r="I198" s="5" t="str">
        <x:v>1. 主播正在普通房直播
2. 已存在一条未处理的发出请求</x:v>
      </x:c>
      <x:c r="J198" s="5" t="str">
        <x:v>1. 打开连麦主播面板
2. 搜索另一名可连麦主播
3. 点击发起连麦</x:v>
      </x:c>
      <x:c r="K198" s="5" t="str">
        <x:v>页面提示“已有发出的连麦请求”</x:v>
      </x:c>
      <x:c r="L198" s="5" t="str">
        <x:v>FLOW-LIVE-005</x:v>
      </x:c>
      <x:c r="M198" s="5" t="str">
        <x:v>未测</x:v>
      </x:c>
      <x:c r="N198" s="5" t="str"/>
      <x:c r="O198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9" ht="43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主播连麦</x:v>
      </x:c>
      <x:c r="E199" s="5" t="str">
        <x:v>功能需求</x:v>
      </x:c>
      <x:c r="F199" s="5" t="str">
        <x:v>P2</x:v>
      </x:c>
      <x:c r="G199" s="5" t="str">
        <x:v>验证取消连麦请求成功反馈</x:v>
      </x:c>
      <x:c r="H199" s="5" t="str">
        <x:v>取消连麦请求反馈</x:v>
      </x:c>
      <x:c r="I199" s="5" t="str">
        <x:v>1. 主播已向 Sinta 发出连麦请求
2. Sinta 尚未处理</x:v>
      </x:c>
      <x:c r="J199" s="5" t="str">
        <x:v>1. 打开连麦主播面板
2. 在发出的请求中点击“取消”</x:v>
      </x:c>
      <x:c r="K199" s="5" t="str">
        <x:v>页面提示“已取消向 Sinta 发出的连麦请求”</x:v>
      </x:c>
      <x:c r="L199" s="5" t="str">
        <x:v>FLOW-LIVE-005</x:v>
      </x:c>
      <x:c r="M199" s="5" t="str">
        <x:v>未测</x:v>
      </x:c>
      <x:c r="N199" s="5" t="str"/>
      <x:c r="O199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0" ht="43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主播连麦</x:v>
      </x:c>
      <x:c r="E200" s="5" t="str">
        <x:v>功能需求</x:v>
      </x:c>
      <x:c r="F200" s="5" t="str">
        <x:v>P2</x:v>
      </x:c>
      <x:c r="G200" s="5" t="str">
        <x:v>验证接受连麦邀请成功反馈</x:v>
      </x:c>
      <x:c r="H200" s="5" t="str">
        <x:v>接受连麦邀请反馈</x:v>
      </x:c>
      <x:c r="I200" s="5" t="str">
        <x:v>1. 主播收到 Nadia 的有效连麦邀请
2. 双方均在普通房直播</x:v>
      </x:c>
      <x:c r="J200" s="5" t="str">
        <x:v>1. 打开连麦主播面板
2. 在 Nadia 的邀请中点击“接受”</x:v>
      </x:c>
      <x:c r="K200" s="5" t="str">
        <x:v>页面提示“已接受 Nadia 的连麦邀请”</x:v>
      </x:c>
      <x:c r="L200" s="5" t="str">
        <x:v>FLOW-LIVE-005</x:v>
      </x:c>
      <x:c r="M200" s="5" t="str">
        <x:v>未测</x:v>
      </x:c>
      <x:c r="N200" s="5" t="str"/>
      <x:c r="O200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1" ht="43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主播连麦</x:v>
      </x:c>
      <x:c r="E201" s="5" t="str">
        <x:v>业务流程</x:v>
      </x:c>
      <x:c r="F201" s="5" t="str">
        <x:v>P1</x:v>
      </x:c>
      <x:c r="G201" s="5" t="str">
        <x:v>验证拒绝后关闭目标连麦邀请</x:v>
      </x:c>
      <x:c r="H201" s="5" t="str">
        <x:v>拒绝连麦邀请状态</x:v>
      </x:c>
      <x:c r="I201" s="5" t="str">
        <x:v>1. 主播收到 Lina 的有效连麦邀请
2. 双方均在普通房直播</x:v>
      </x:c>
      <x:c r="J201" s="5" t="str">
        <x:v>1. 打开连麦主播面板
2. 在 Lina 的邀请中点击“拒绝”</x:v>
      </x:c>
      <x:c r="K201" s="5" t="str">
        <x:v>Lina 的邀请从收到的邀请列表中移除</x:v>
      </x:c>
      <x:c r="L201" s="5" t="str">
        <x:v>FLOW-LIVE-005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2" ht="43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主播连麦</x:v>
      </x:c>
      <x:c r="E202" s="5" t="str">
        <x:v>业务流程</x:v>
      </x:c>
      <x:c r="F202" s="5" t="str">
        <x:v>P1</x:v>
      </x:c>
      <x:c r="G202" s="5" t="str">
        <x:v>验证拒绝后不建立连麦关系</x:v>
      </x:c>
      <x:c r="H202" s="5" t="str">
        <x:v>拒绝连麦关系结果</x:v>
      </x:c>
      <x:c r="I202" s="5" t="str">
        <x:v>1. 主播收到 Lina 的有效连麦邀请
2. 双方均在普通房直播</x:v>
      </x:c>
      <x:c r="J202" s="5" t="str">
        <x:v>1. 打开连麦主播面板
2. 在 Lina 的邀请中点击“拒绝”</x:v>
      </x:c>
      <x:c r="K202" s="5" t="str">
        <x:v>当前主播与 Lina 不建立连麦关系</x:v>
      </x:c>
      <x:c r="L202" s="5" t="str">
        <x:v>FLOW-LIVE-005</x:v>
      </x:c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3" ht="43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主播连麦</x:v>
      </x:c>
      <x:c r="E203" s="5" t="str">
        <x:v>功能需求</x:v>
      </x:c>
      <x:c r="F203" s="5" t="str">
        <x:v>P2</x:v>
      </x:c>
      <x:c r="G203" s="5" t="str">
        <x:v>验证拒绝连麦邀请成功反馈</x:v>
      </x:c>
      <x:c r="H203" s="5" t="str">
        <x:v>拒绝连麦邀请反馈</x:v>
      </x:c>
      <x:c r="I203" s="5" t="str">
        <x:v>1. 主播收到 Lina 的有效连麦邀请
2. 双方均在普通房直播</x:v>
      </x:c>
      <x:c r="J203" s="5" t="str">
        <x:v>1. 打开连麦主播面板
2. 在 Lina 的邀请中点击“拒绝”</x:v>
      </x:c>
      <x:c r="K203" s="5" t="str">
        <x:v>页面提示“已拒绝 Lina 的连麦邀请”</x:v>
      </x:c>
      <x:c r="L203" s="5" t="str">
        <x:v>FLOW-LIVE-005</x:v>
      </x:c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4" ht="43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主播连麦</x:v>
      </x:c>
      <x:c r="E204" s="5" t="str">
        <x:v>功能需求</x:v>
      </x:c>
      <x:c r="F204" s="5" t="str">
        <x:v>P2</x:v>
      </x:c>
      <x:c r="G204" s="5" t="str">
        <x:v>验证退出连麦成功反馈</x:v>
      </x:c>
      <x:c r="H204" s="5" t="str">
        <x:v>退出连麦反馈</x:v>
      </x:c>
      <x:c r="I204" s="5" t="str">
        <x:v>1. 两位主播正在连麦</x:v>
      </x:c>
      <x:c r="J204" s="5" t="str">
        <x:v>1. 点击“退出”
2. 在确认提示中点击“确认退出”</x:v>
      </x:c>
      <x:c r="K204" s="5" t="str">
        <x:v>页面提示“已退出连麦”</x:v>
      </x:c>
      <x:c r="L204" s="5" t="str">
        <x:v>FLOW-LIVE-005</x:v>
      </x:c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5" ht="43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验证主播禁言成功反馈</x:v>
      </x:c>
      <x:c r="H205" s="5" t="str">
        <x:v>主播禁言反馈</x:v>
      </x:c>
      <x:c r="I205" s="5" t="str">
        <x:v>1. 主播正在直播
2. 目标用户未被禁言</x:v>
      </x:c>
      <x:c r="J205" s="5" t="str">
        <x:v>1. 打开目标用户资料卡
2. 点击“禁言”</x:v>
      </x:c>
      <x:c r="K205" s="5" t="str">
        <x:v>页面提示“已禁言”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6" ht="43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验证主播解除禁言成功反馈</x:v>
      </x:c>
      <x:c r="H206" s="5" t="str">
        <x:v>主播解除禁言反馈</x:v>
      </x:c>
      <x:c r="I206" s="5" t="str">
        <x:v>1. 主播正在直播
2. 目标用户已被禁言</x:v>
      </x:c>
      <x:c r="J206" s="5" t="str">
        <x:v>1. 打开目标用户资料卡
2. 点击“解除禁言”</x:v>
      </x:c>
      <x:c r="K206" s="5" t="str">
        <x:v>页面提示“已解除禁言”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7" ht="43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验证主播踢出用户成功反馈</x:v>
      </x:c>
      <x:c r="H207" s="5" t="str">
        <x:v>主播踢出反馈</x:v>
      </x:c>
      <x:c r="I207" s="5" t="str">
        <x:v>1. 主播正在直播
2. 目标用户在当前直播间</x:v>
      </x:c>
      <x:c r="J207" s="5" t="str">
        <x:v>1. 打开目标用户资料卡
2. 点击“踢出”</x:v>
      </x:c>
      <x:c r="K207" s="5" t="str">
        <x:v>页面提示“已踢出直播间”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8" ht="43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验证主播设置房管成功反馈</x:v>
      </x:c>
      <x:c r="H208" s="5" t="str">
        <x:v>设置房管反馈</x:v>
      </x:c>
      <x:c r="I208" s="5" t="str">
        <x:v>1. 主播正在直播
2. 目标用户满足房管授权条件</x:v>
      </x:c>
      <x:c r="J208" s="5" t="str">
        <x:v>1. 打开目标用户资料卡
2. 点击“设房管”</x:v>
      </x:c>
      <x:c r="K208" s="5" t="str">
        <x:v>页面提示“已设为房管”</x:v>
      </x:c>
      <x:c r="L208" s="5" t="str"/>
      <x:c r="M208" s="5" t="str">
        <x:v>未测</x:v>
      </x:c>
      <x:c r="N208" s="5" t="str"/>
      <x:c r="O208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09" ht="43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P2</x:v>
      </x:c>
      <x:c r="G209" s="5" t="str">
        <x:v>验证主播取消房管成功反馈</x:v>
      </x:c>
      <x:c r="H209" s="5" t="str">
        <x:v>取消房管反馈</x:v>
      </x:c>
      <x:c r="I209" s="5" t="str">
        <x:v>1. 主播正在直播
2. 目标用户是当前主播的房管</x:v>
      </x:c>
      <x:c r="J209" s="5" t="str">
        <x:v>1. 打开目标用户资料卡
2. 点击“取消房管”</x:v>
      </x:c>
      <x:c r="K209" s="5" t="str">
        <x:v>页面提示“已取消房管”</x:v>
      </x:c>
      <x:c r="L209" s="5" t="str"/>
      <x:c r="M209" s="5" t="str">
        <x:v>未测</x:v>
      </x:c>
      <x:c r="N209" s="5" t="str"/>
      <x:c r="O209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10" ht="55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P2</x:v>
      </x:c>
      <x:c r="G210" s="5" t="str">
        <x:v>验证禁用用户列表恢复发言成功反馈</x:v>
      </x:c>
      <x:c r="H210" s="5" t="str">
        <x:v>恢复发言反馈</x:v>
      </x:c>
      <x:c r="I210" s="5" t="str">
        <x:v>1. 主播正在普通房直播
2. 用户 Nila 处于当前场次禁言状态</x:v>
      </x:c>
      <x:c r="J210" s="5" t="str">
        <x:v>1. 打开直播设置
2. 进入“禁用用户”
3. 点击 Nila 的“恢复发言”
4. 完成两次确认</x:v>
      </x:c>
      <x:c r="K210" s="5" t="str">
        <x:v>页面提示“已恢复 Nila 的发言”</x:v>
      </x:c>
      <x:c r="L210" s="5" t="str"/>
      <x:c r="M210" s="5" t="str">
        <x:v>未测</x:v>
      </x:c>
      <x:c r="N210" s="5" t="str"/>
      <x:c r="O210" s="5" t="str">
        <x:v>1. 来源：prototype/assets/live-muted-users.js 动态交互脚本
2. 静态分析已确认事件绑定；未在浏览器动态验证
3. 补充原因：业务结果完整性扫描发现独立反馈观察点未覆盖</x:v>
      </x:c>
    </x:row>
    <x:row r="211" ht="55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门票房进房</x:v>
      </x:c>
      <x:c r="E211" s="5" t="str">
        <x:v>功能需求</x:v>
      </x:c>
      <x:c r="F211" s="5" t="str">
        <x:v>P2</x:v>
      </x:c>
      <x:c r="G211" s="5" t="str">
        <x:v>验证购买门票成功反馈</x:v>
      </x:c>
      <x:c r="H211" s="5" t="str">
        <x:v>购票成功反馈</x:v>
      </x:c>
      <x:c r="I211" s="5" t="str">
        <x:v>1. 用户未购买当前场次门票
2. 门票价格为 10 金币
3. 用户金币余额不少于 10</x:v>
      </x:c>
      <x:c r="J211" s="5" t="str">
        <x:v>1. 进入目标门票房
2. 确认购买门票</x:v>
      </x:c>
      <x:c r="K211" s="5" t="str">
        <x:v>页面提示“购买门票成功”</x:v>
      </x:c>
      <x:c r="L211" s="5" t="str">
        <x:v>FLOW-LIVE-002</x:v>
      </x:c>
      <x:c r="M211" s="5" t="str">
        <x:v>未测</x:v>
      </x:c>
      <x:c r="N211" s="5" t="str"/>
      <x:c r="O211" s="5" t="str">
        <x:v>1. 来源：prototype/pages/user/live/live-room.html 动态交互脚本
2. 静态分析已确认事件绑定；未在浏览器动态验证
3. 补充原因：业务结果完整性扫描发现独立反馈观察点未覆盖</x:v>
      </x:c>
    </x:row>
    <x:row r="212" ht="67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直播送礼</x:v>
      </x:c>
      <x:c r="E212" s="5" t="str">
        <x:v>功能需求</x:v>
      </x:c>
      <x:c r="F212" s="5" t="str">
        <x:v>P2</x:v>
      </x:c>
      <x:c r="G212" s="5" t="str">
        <x:v>验证赠送礼物成功反馈</x:v>
      </x:c>
      <x:c r="H212" s="5" t="str">
        <x:v>赠礼成功反馈</x:v>
      </x:c>
      <x:c r="I212" s="5" t="str">
        <x:v>1. 用户正在观看直播
2. 用户余额足够赠送 1 个鲜花</x:v>
      </x:c>
      <x:c r="J212" s="5" t="str">
        <x:v>1. 打开礼物面板
2. 切换到“普通”
3. 选择“鲜花”
4. 选择数量 1
5. 点击“赠送”</x:v>
      </x:c>
      <x:c r="K212" s="5" t="str">
        <x:v>页面提示“已赠送 鲜花 x1”</x:v>
      </x:c>
      <x:c r="L212" s="5" t="str">
        <x:v>FLOW-LIVE-004</x:v>
      </x:c>
      <x:c r="M212" s="5" t="str">
        <x:v>未测</x:v>
      </x:c>
      <x:c r="N212" s="5" t="str"/>
      <x:c r="O212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13" ht="43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直播间粉丝团</x:v>
      </x:c>
      <x:c r="E213" s="5" t="str">
        <x:v>功能需求</x:v>
      </x:c>
      <x:c r="F213" s="5" t="str">
        <x:v>P2</x:v>
      </x:c>
      <x:c r="G213" s="5" t="str">
        <x:v>验证加入粉丝团成功反馈</x:v>
      </x:c>
      <x:c r="H213" s="5" t="str">
        <x:v>加入粉丝团反馈</x:v>
      </x:c>
      <x:c r="I213" s="5" t="str">
        <x:v>1. 用户正在观看 Sari 的直播
2. 用户尚未加入 Sari 粉丝团
3. 用户满足加入条件</x:v>
      </x:c>
      <x:c r="J213" s="5" t="str">
        <x:v>1. 打开粉丝团面板
2. 点击“加入粉丝团”</x:v>
      </x:c>
      <x:c r="K213" s="5" t="str">
        <x:v>页面提示“已加入 Sari 粉丝团”</x:v>
      </x:c>
      <x:c r="L213" s="5" t="str"/>
      <x:c r="M213" s="5" t="str">
        <x:v>未测</x:v>
      </x:c>
      <x:c r="N213" s="5" t="str"/>
      <x:c r="O213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214" ht="55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观众互动</x:v>
      </x:c>
      <x:c r="E214" s="5" t="str">
        <x:v>功能需求</x:v>
      </x:c>
      <x:c r="F214" s="5" t="str">
        <x:v>P2</x:v>
      </x:c>
      <x:c r="G214" s="5" t="str">
        <x:v>验证发送评论成功反馈</x:v>
      </x:c>
      <x:c r="H214" s="5" t="str">
        <x:v>评论发送反馈</x:v>
      </x:c>
      <x:c r="I214" s="5" t="str">
        <x:v>1. 用户正在观看直播
2. 用户未被禁言</x:v>
      </x:c>
      <x:c r="J214" s="5" t="str">
        <x:v>1. 在评论框输入“今晚的歌很好听”
2. 点击发送</x:v>
      </x:c>
      <x:c r="K214" s="5" t="str">
        <x:v>页面提示“评论已发送”</x:v>
      </x:c>
      <x:c r="L214" s="5" t="str"/>
      <x:c r="M214" s="5" t="str">
        <x:v>未测</x:v>
      </x:c>
      <x:c r="N214" s="5" t="str"/>
      <x:c r="O214" s="5" t="str">
        <x:v>1. 来源：prototype/pages/user/live/live-room.html 动态交互脚本
2. 静态分析已确认事件绑定；未在浏览器动态验证
3. 补充原因：业务结果完整性扫描发现独立反馈观察点未覆盖</x:v>
      </x:c>
    </x:row>
    <x:row r="215" ht="55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开播设置</x:v>
      </x:c>
      <x:c r="E215" s="5" t="str">
        <x:v>功能需求</x:v>
      </x:c>
      <x:c r="F215" s="5" t="str">
        <x:v>P2</x:v>
      </x:c>
      <x:c r="G215" s="5" t="str">
        <x:v>验证开始直播成功反馈</x:v>
      </x:c>
      <x:c r="H215" s="5" t="str">
        <x:v>开播成功反馈</x:v>
      </x:c>
      <x:c r="I215" s="5" t="str">
        <x:v>1. 主播具备直播权限
2. 已完成有效开播设置</x:v>
      </x:c>
      <x:c r="J215" s="5" t="str">
        <x:v>1. 点击“开始直播”</x:v>
      </x:c>
      <x:c r="K215" s="5" t="str">
        <x:v>页面提示“已开始直播”</x:v>
      </x:c>
      <x:c r="L215" s="5" t="str">
        <x:v>FLOW-LIVE-001</x:v>
      </x:c>
      <x:c r="M215" s="5" t="str">
        <x:v>未测</x:v>
      </x:c>
      <x:c r="N215" s="5" t="str"/>
      <x:c r="O215" s="5" t="str">
        <x:v>1. 来源：prototype/pages/user/host/start-live-settings.html 动态交互脚本
2. 静态分析已确认事件绑定；未在浏览器动态验证
3. 补充原因：业务结果完整性扫描发现独立反馈观察点未覆盖</x:v>
      </x:c>
    </x:row>
  </x:sheetData>
  <x:conditionalFormatting sqref="F2:F215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215">
      <x:formula1>"功能需求,业务流程,逻辑校验,异常用例"</x:formula1>
    </x:dataValidation>
    <x:dataValidation type="list" sqref="F2:F215">
      <x:formula1>"P0,P1,P2,P3"</x:formula1>
    </x:dataValidation>
    <x:dataValidation type="list" sqref="M2:M215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1ebd3fdd8a4534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2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4" hidden="0" customWidth="1"/>
    <x:col min="8" max="8" width="22" hidden="1" customWidth="1"/>
    <x:col min="9" max="9" width="44" hidden="0" customWidth="1"/>
    <x:col min="10" max="10" width="58" hidden="0" customWidth="1"/>
    <x:col min="11" max="11" width="48" hidden="0" customWidth="1"/>
    <x:col min="12" max="12" width="15" hidden="0" customWidth="1"/>
    <x:col min="13" max="13" width="34" hidden="0" customWidth="1"/>
    <x:col min="14" max="14" width="52" hidden="1" customWidth="1"/>
    <x:col min="15" max="15" width="38" hidden="1" customWidth="1"/>
    <x:col min="16" max="16" width="26" hidden="1" customWidth="1"/>
    <x:col min="17" max="17" width="38" hidden="1" customWidth="1"/>
    <x:col min="18" max="18" width="16" hidden="0" customWidth="1"/>
    <x:col min="19" max="19" width="20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55.5" customHeight="1" collapsed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
D. 其他：请补充平台范围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55.5" customHeight="1" hidden="1" outlineLevel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
D. 其他：请补充处理方式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55.5" customHeight="1" hidden="1" outlineLevel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
D. 其他：请补充反馈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67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
D. 其他：请补充完整规则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>
        <x:v>1. LIVE-030 至 LIVE-035
2. LIVE-099
3. LIVE-179
4. LIVE-184
5. LIVE-193</x:v>
      </x:c>
      <x:c r="Q5" s="15" t="str"/>
      <x:c r="R5" s="15" t="str">
        <x:v>产品</x:v>
      </x:c>
      <x:c r="S5" s="15" t="str">
        <x:v>进入对应功能测试前</x:v>
      </x:c>
      <x:c r="T5" s="15" t="str">
        <x:v>待确认</x:v>
      </x:c>
    </x:row>
    <x:row r="6" ht="91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
D. 其他：请补充三个入口的规则、旧房间范围、新规则生效时点和旧规则退出条件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55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
D. 其他：请补充最小值、最大值和精度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>
        <x:v>1. LIVE-016 至 LIVE-025
2. LIVE-098
3. LIVE-178
4. LIVE-210</x:v>
      </x:c>
      <x:c r="Q7" s="15" t="str"/>
      <x:c r="R7" s="15" t="str">
        <x:v>产品</x:v>
      </x:c>
      <x:c r="S7" s="15" t="str">
        <x:v>进入对应功能测试前</x:v>
      </x:c>
      <x:c r="T7" s="15" t="str">
        <x:v>待确认</x:v>
      </x:c>
    </x:row>
    <x:row r="8" ht="55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
D. 其他：请补充反馈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55.5" customHeight="1" collapsed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
D. 其他：请补充处理方式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55.5" customHeight="1" hidden="1" outlineLevel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
D. 其他：请补充反馈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>
        <x:v>1. LIVE-043 至 LIVE-044
2. LIVE-079 至 LIVE-082
3. LIVE-135 至 LIVE-137</x:v>
      </x:c>
      <x:c r="Q12" s="15" t="str"/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55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
D. 其他：请补充可解除角色和到期后的处理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>
        <x:v>1. LIVE-183
2. LIVE-205
3. LIVE-209</x:v>
      </x:c>
      <x:c r="Q13" s="5" t="str"/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 collapsed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>
        <x:v>1. LIVE-078</x:v>
      </x:c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 hidden="1" outlineLevel="1" collapsed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55.5" customHeight="1" hidden="1" outlineLevel="2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
D. 其他：请补充规则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>
        <x:v>1. LIVE-140 至 LIVE-148</x:v>
      </x:c>
      <x:c r="Q17" s="15" t="str"/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55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
D. 其他：请补充确认方式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55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
D. 其他：请补充入口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>
        <x:v>1. LIVE-142
2. LIVE-146 至 LIVE-148</x:v>
      </x:c>
      <x:c r="Q19" s="5" t="str"/>
      <x:c r="R19" s="5" t="str">
        <x:v>多方确认</x:v>
      </x:c>
      <x:c r="S19" s="5" t="str">
        <x:v>本轮回归前</x:v>
      </x:c>
      <x:c r="T19" s="5" t="str">
        <x:v>待确认</x:v>
      </x:c>
    </x:row>
    <x:row r="20" ht="55.5" customHeight="1" collapsed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
D. 其他：请补充关系变化</x:v>
      </x:c>
      <x:c r="K20" s="17" t="str">
        <x:v>建议 A；避免用户继续收到已拉黑主播的开播提醒。</x:v>
      </x:c>
      <x:c r="L20" s="18" t="str"/>
      <x:c r="M20" s="18" t="str"/>
      <x:c r="N20" s="15" t="str">
        <x:v>1. 互动权限规则写账号拉黑不解除既有关注
2. 角色与用例文档写观众拉黑主播会取消关注</x:v>
      </x:c>
      <x:c r="O20" s="15" t="str">
        <x:v>1. 账号拉黑
2. 关注关系
3. 开播提醒</x:v>
      </x:c>
      <x:c r="P20" s="15" t="str"/>
      <x:c r="Q20" s="15" t="str">
        <x:v>1. 观众拉黑主播后的关注状态</x:v>
      </x:c>
      <x:c r="R20" s="15" t="str">
        <x:v>产品</x:v>
      </x:c>
      <x:c r="S20" s="15" t="str">
        <x:v>进入对应功能测试前</x:v>
      </x:c>
      <x:c r="T20" s="15" t="str">
        <x:v>待确认</x:v>
      </x:c>
    </x:row>
    <x:row r="21" ht="43.5" customHeight="1" hidden="1" outlineLevel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/>
      <x:c r="M21" s="14" t="str"/>
      <x:c r="N21" s="5" t="str">
        <x:v>1. 互动权限规则写账号拉黑不解除既有关注
2. 角色与用例文档写观众拉黑主播会取消关注</x:v>
      </x:c>
      <x:c r="O21" s="5" t="str">
        <x:v>1. 解除拉黑
2. 历史关注关系</x:v>
      </x:c>
      <x:c r="P21" s="5" t="str"/>
      <x:c r="Q21" s="5" t="str">
        <x:v>1. 解除拉黑后的关注状态</x:v>
      </x:c>
      <x:c r="R21" s="5" t="str">
        <x:v>产品</x:v>
      </x:c>
      <x:c r="S21" s="5" t="str">
        <x:v>本轮回归前</x:v>
      </x:c>
      <x:c r="T21" s="5" t="str">
        <x:v>待前置结论</x:v>
      </x:c>
    </x:row>
    <x:row r="22" ht="55.5" customHeight="1">
      <x:c r="A22" s="15" t="str">
        <x:v>Q-012-01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用户在礼物面板选择赠送数量</x:v>
      </x:c>
      <x:c r="H22" s="15" t="str">
        <x:v>字段与数据校验</x:v>
      </x:c>
      <x:c r="I22" s="16" t="str">
        <x:v>用户单次赠送同一种礼物时，可选择或输入的数量范围是什么？</x:v>
      </x:c>
      <x:c r="J22" s="15" t="str">
        <x:v>A. 仅提供 1、5、10、20 四个固定数量
B. 仅允许输入 1 至 99 的正整数
C. 同时提供 1、5、10、20 四个固定数量和 1 至 99 的自定义正整数
D. 其他：请补充固定数量清单、自定义最小值和最大值</x:v>
      </x:c>
      <x:c r="K22" s="17" t="str">
        <x:v>建议 A；与当前原型的固定数量选择方式一致，选中后可以直接形成数量等价类。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礼物数量选择
2. 扣费和收益计算</x:v>
      </x:c>
      <x:c r="P22" s="15" t="str">
        <x:v>1. LIVE-050 至 LIVE-060</x:v>
      </x:c>
      <x:c r="Q22" s="15" t="str"/>
      <x:c r="R22" s="15" t="str">
        <x:v>产品</x:v>
      </x:c>
      <x:c r="S22" s="15" t="str">
        <x:v>本轮回归前</x:v>
      </x:c>
      <x:c r="T22" s="15" t="str">
        <x:v>待确认</x:v>
      </x:c>
    </x:row>
    <x:row r="23" ht="55.5" customHeight="1">
      <x:c r="A23" s="5" t="str">
        <x:v>Q-012-02</x:v>
      </x:c>
      <x:c r="B23" s="22" t="str">
        <x:v>RQ-012</x:v>
      </x:c>
      <x:c r="C23" s="5" t="str"/>
      <x:c r="D23" s="5" t="str"/>
      <x:c r="E23" s="5" t="str">
        <x:v>部分阻塞</x:v>
      </x:c>
      <x:c r="F23" s="5" t="str">
        <x:v>用户App-直播模块</x:v>
      </x:c>
      <x:c r="G23" s="5" t="str">
        <x:v>用户连续点击赠送同一种礼物</x:v>
      </x:c>
      <x:c r="H23" s="5" t="str">
        <x:v>业务规则</x:v>
      </x:c>
      <x:c r="I23" s="9" t="str">
        <x:v>用户连续赠送同一种礼物时，几秒内计为同一轮连击，计时从何时重新开始？</x:v>
      </x:c>
      <x:c r="J23" s="5" t="str">
        <x:v>A. 从首次赠送成功起固定计算 3 秒，3 秒后重新计数
B. 每次赠送成功后重新计算 3 秒，连续超过 3 秒未成功赠送时重新计数
C. 不设置时间限制，用户切换礼物或关闭礼物面板后重新计数
D. 其他：请补充具体秒数、计时起点和重新计数条件</x:v>
      </x:c>
      <x:c r="K23" s="10" t="str">
        <x:v>建议 B；每次成功赠送后都有相同继续连击时间，并能形成明确时间边界。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礼物连击展示
2. 连续赠送</x:v>
      </x:c>
      <x:c r="P23" s="5" t="str">
        <x:v>1. LIVE-058 至 LIVE-060</x:v>
      </x:c>
      <x:c r="Q23" s="5" t="str"/>
      <x:c r="R23" s="5" t="str">
        <x:v>产品</x:v>
      </x:c>
      <x:c r="S23" s="5" t="str">
        <x:v>本轮回归前</x:v>
      </x:c>
      <x:c r="T23" s="5" t="str">
        <x:v>待确认</x:v>
      </x:c>
    </x:row>
    <x:row r="24" ht="55.5" customHeight="1">
      <x:c r="A24" s="5" t="str">
        <x:v>Q-012-03</x:v>
      </x:c>
      <x:c r="B24" s="22" t="str">
        <x:v>RQ-012</x:v>
      </x:c>
      <x:c r="C24" s="5" t="str"/>
      <x:c r="D24" s="5" t="str"/>
      <x:c r="E24" s="5" t="str">
        <x:v>阻塞测试</x:v>
      </x:c>
      <x:c r="F24" s="5" t="str">
        <x:v>用户App-直播模块</x:v>
      </x:c>
      <x:c r="G24" s="5" t="str">
        <x:v>用户余额只能支付所选礼物数量的一部分</x:v>
      </x:c>
      <x:c r="H24" s="5" t="str">
        <x:v>业务规则</x:v>
      </x:c>
      <x:c r="I24" s="9" t="str">
        <x:v>余额不足以完成整次赠送时是否允许部分成功？</x:v>
      </x:c>
      <x:c r="J24" s="5" t="str">
        <x:v>A. 整次失败且不扣费
B. 按余额可支付数量部分成功
C. 引导充值后保留本次赠送
D. 其他：请补充处理方式</x:v>
      </x:c>
      <x:c r="K24" s="10" t="str">
        <x:v>建议 A；交易原子性最清晰，也便于核对扣款和收益。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赠礼扣款
2. 主播收益
3. 消费流水</x:v>
      </x:c>
      <x:c r="P24" s="5" t="str">
        <x:v>1. LIVE-055 至 LIVE-057</x:v>
      </x:c>
      <x:c r="Q24" s="5" t="str"/>
      <x:c r="R24" s="5" t="str">
        <x:v>产品</x:v>
      </x:c>
      <x:c r="S24" s="5" t="str">
        <x:v>进入对应功能测试前</x:v>
      </x:c>
      <x:c r="T24" s="5" t="str">
        <x:v>待确认</x:v>
      </x:c>
    </x:row>
    <x:row r="25" ht="55.5" customHeight="1">
      <x:c r="A25" s="5" t="str">
        <x:v>Q-012-04</x:v>
      </x:c>
      <x:c r="B25" s="22" t="str">
        <x:v>RQ-012</x:v>
      </x:c>
      <x:c r="C25" s="5" t="str"/>
      <x:c r="D25" s="5" t="str"/>
      <x:c r="E25" s="5" t="str">
        <x:v>部分阻塞</x:v>
      </x:c>
      <x:c r="F25" s="5" t="str">
        <x:v>用户App-直播模块</x:v>
      </x:c>
      <x:c r="G25" s="5" t="str">
        <x:v>用户在上一次赠送结果返回前，连续点击同一礼物的赠送按钮</x:v>
      </x:c>
      <x:c r="H25" s="5" t="str">
        <x:v>异常处理</x:v>
      </x:c>
      <x:c r="I25" s="9" t="str">
        <x:v>连续点击到达服务端后，应产生几次扣款、赠礼结果和消费流水？</x:v>
      </x:c>
      <x:c r="J25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
D. 其他：请补充接受点击的条件及扣款、赠礼和流水数量</x:v>
      </x:c>
      <x:c r="K25" s="10" t="str">
        <x:v>建议 C；用户在等待结果时不会因重复点击产生非预期的多次扣款。</x:v>
      </x:c>
      <x:c r="L25" s="14" t="str"/>
      <x:c r="M25" s="14" t="str"/>
      <x:c r="N25" s="5" t="str">
        <x:v>1. 项目需求明确礼物支持选择数量和连击
2. 资料未给出数量边界、连击窗口和部分成功规则</x:v>
      </x:c>
      <x:c r="O25" s="5" t="str">
        <x:v>1. 赠礼重复提交
2. 消费流水</x:v>
      </x:c>
      <x:c r="P25" s="5" t="str"/>
      <x:c r="Q25" s="5" t="str">
        <x:v>1. 礼物重复点击
2. 重复请求去重</x:v>
      </x:c>
      <x:c r="R25" s="5" t="str">
        <x:v>多方确认</x:v>
      </x:c>
      <x:c r="S25" s="5" t="str">
        <x:v>本轮回归前</x:v>
      </x:c>
      <x:c r="T25" s="5" t="str">
        <x:v>待确认</x:v>
      </x:c>
    </x:row>
    <x:row r="26" ht="55.5" customHeight="1">
      <x:c r="A26" s="15" t="str">
        <x:v>Q-014-01</x:v>
      </x:c>
      <x:c r="B26" s="19" t="str">
        <x:v>RQ-014</x:v>
      </x:c>
      <x:c r="C26" s="15" t="str"/>
      <x:c r="D26" s="15" t="str"/>
      <x:c r="E26" s="15" t="str">
        <x:v>部分阻塞</x:v>
      </x:c>
      <x:c r="F26" s="15" t="str">
        <x:v>用户App-直播模块</x:v>
      </x:c>
      <x:c r="G26" s="15" t="str">
        <x:v>主播在首次开播请求尚未返回时再次点击开始直播，或同一请求被网络重发</x:v>
      </x:c>
      <x:c r="H26" s="15" t="str">
        <x:v>异常处理</x:v>
      </x:c>
      <x:c r="I26" s="16" t="str">
        <x:v>多次开播请求到达后，系统最终应创建几个直播场次并向主播返回什么结果？</x:v>
      </x:c>
      <x:c r="J26" s="15" t="str">
        <x:v>A. 仅首次请求创建一个场次，后续请求返回同一场次
B. 仅首次请求创建一个场次，后续请求提示正在开播
C. 每次请求都创建独立场次
D. 其他：请补充创建场次数量和后续请求返回结果</x:v>
      </x:c>
      <x:c r="K26" s="17" t="str">
        <x:v>建议 A；无论重复点击还是网络重发，主播都只进入同一个已创建场次。</x:v>
      </x:c>
      <x:c r="L26" s="18" t="str"/>
      <x:c r="M26" s="18" t="str"/>
      <x:c r="N26" s="15" t="str">
        <x:v>1. 需求要求创建直播场次并发送开播提醒
2. 资料未定义重复请求、推流失败或提醒失败的补偿</x:v>
      </x:c>
      <x:c r="O26" s="15" t="str">
        <x:v>1. 开播按钮
2. 直播场次创建</x:v>
      </x:c>
      <x:c r="P26" s="15" t="str">
        <x:v>1. LIVE-107 至 LIVE-110</x:v>
      </x:c>
      <x:c r="Q26" s="15" t="str">
        <x:v>1. 重复开播</x:v>
      </x:c>
      <x:c r="R26" s="15" t="str">
        <x:v>多方确认</x:v>
      </x:c>
      <x:c r="S26" s="15" t="str">
        <x:v>本轮回归前</x:v>
      </x:c>
      <x:c r="T26" s="15" t="str">
        <x:v>待确认</x:v>
      </x:c>
    </x:row>
    <x:row r="27" ht="55.5" customHeight="1">
      <x:c r="A27" s="5" t="str">
        <x:v>Q-014-02</x:v>
      </x:c>
      <x:c r="B27" s="22" t="str">
        <x:v>RQ-014</x:v>
      </x:c>
      <x:c r="C27" s="5" t="str"/>
      <x:c r="D27" s="5" t="str"/>
      <x:c r="E27" s="5" t="str">
        <x:v>部分阻塞</x:v>
      </x:c>
      <x:c r="F27" s="5" t="str">
        <x:v>用户App-直播模块</x:v>
      </x:c>
      <x:c r="G27" s="5" t="str">
        <x:v>主播提交开播请求后持续未收到成功或失败结果</x:v>
      </x:c>
      <x:c r="H27" s="5" t="str">
        <x:v>异常处理</x:v>
      </x:c>
      <x:c r="I27" s="9" t="str">
        <x:v>提交后经过多少秒仍无结果时，页面显示什么业务结果？</x:v>
      </x:c>
      <x:c r="J27" s="5" t="str">
        <x:v>A. 15 秒后显示结果未知，并提供查询是否已创建场次的入口
B. 15 秒后显示开播失败，并允许主播重新提交
C. 30 秒内保持处理中，30 秒后显示结果未知并自动查询一次场次结果
D. 其他：请补充具体秒数、页面业务结果和可执行的下一步操作</x:v>
      </x:c>
      <x:c r="K27" s="10" t="str">
        <x:v>建议 A；先查询是否已创建场次可以降低重复开播风险。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开播处理中
2. 超时恢复</x:v>
      </x:c>
      <x:c r="P27" s="5" t="str"/>
      <x:c r="Q27" s="5" t="str">
        <x:v>1. 开播超时
2. 超时后查询</x:v>
      </x:c>
      <x:c r="R27" s="5" t="str">
        <x:v>多方确认</x:v>
      </x:c>
      <x:c r="S27" s="5" t="str">
        <x:v>本轮回归前</x:v>
      </x:c>
      <x:c r="T27" s="5" t="str">
        <x:v>待确认</x:v>
      </x:c>
    </x:row>
    <x:row r="28" ht="55.5" customHeight="1">
      <x:c r="A28" s="5" t="str">
        <x:v>Q-014-03</x:v>
      </x:c>
      <x:c r="B28" s="22" t="str">
        <x:v>RQ-014</x:v>
      </x:c>
      <x:c r="C28" s="5" t="str"/>
      <x:c r="D28" s="5" t="str"/>
      <x:c r="E28" s="5" t="str">
        <x:v>阻塞测试</x:v>
      </x:c>
      <x:c r="F28" s="5" t="str">
        <x:v>用户App-直播模块</x:v>
      </x:c>
      <x:c r="G28" s="5" t="str">
        <x:v>直播场次已创建但推流 SDK 启动失败</x:v>
      </x:c>
      <x:c r="H28" s="5" t="str">
        <x:v>异常处理</x:v>
      </x:c>
      <x:c r="I28" s="9" t="str">
        <x:v>场次创建后推流失败采用哪一种补偿？</x:v>
      </x:c>
      <x:c r="J28" s="5" t="str">
        <x:v>A. 关闭场次并允许重新开播
B. 保留场次并在原场次重试推流
C. 将场次标记异常并等待人工处理
D. 其他：请补充补偿</x:v>
      </x:c>
      <x:c r="K28" s="10" t="str">
        <x:v>建议 B；可以保留已生成的场次对象，避免重复入口和提醒。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推流 SDK</x:v>
      </x:c>
      <x:c r="P28" s="5" t="str"/>
      <x:c r="Q28" s="5" t="str">
        <x:v>1. 开播部分成功
2. 推流失败恢复</x:v>
      </x:c>
      <x:c r="R28" s="5" t="str">
        <x:v>多方确认</x:v>
      </x:c>
      <x:c r="S28" s="5" t="str">
        <x:v>进入对应功能测试前</x:v>
      </x:c>
      <x:c r="T28" s="5" t="str">
        <x:v>待确认</x:v>
      </x:c>
    </x:row>
    <x:row r="29" ht="55.5" customHeight="1">
      <x:c r="A29" s="5" t="str">
        <x:v>Q-014-04</x:v>
      </x:c>
      <x:c r="B29" s="22" t="str">
        <x:v>RQ-014</x:v>
      </x:c>
      <x:c r="C29" s="5" t="str"/>
      <x:c r="D29" s="5" t="str"/>
      <x:c r="E29" s="5" t="str">
        <x:v>部分阻塞</x:v>
      </x:c>
      <x:c r="F29" s="5" t="str">
        <x:v>用户App-直播模块</x:v>
      </x:c>
      <x:c r="G29" s="5" t="str">
        <x:v>直播场次和观看入口已成功但开播提醒发送失败</x:v>
      </x:c>
      <x:c r="H29" s="5" t="str">
        <x:v>跨端与跨模块一致性</x:v>
      </x:c>
      <x:c r="I29" s="9" t="str">
        <x:v>开播提醒失败是否影响直播场次继续进行？</x:v>
      </x:c>
      <x:c r="J29" s="5" t="str">
        <x:v>A. 直播继续，提醒异步重试
B. 直播继续且不重试提醒
C. 关闭直播场次
D. 其他：请补充处理方式</x:v>
      </x:c>
      <x:c r="K29" s="10" t="str">
        <x:v>建议 A；提醒是附属链路，不应阻断已成功的直播主流程。</x:v>
      </x:c>
      <x:c r="L29" s="14" t="str"/>
      <x:c r="M29" s="14" t="str"/>
      <x:c r="N29" s="5" t="str">
        <x:v>1. 需求要求创建直播场次并发送开播提醒
2. 资料未定义重复请求、推流失败或提醒失败的补偿</x:v>
      </x:c>
      <x:c r="O29" s="5" t="str">
        <x:v>1. 直播场次
2. 关注用户提醒</x:v>
      </x:c>
      <x:c r="P29" s="5" t="str">
        <x:v>1. LIVE-109 至 LIVE-110</x:v>
      </x:c>
      <x:c r="Q29" s="5" t="str">
        <x:v>1. 提醒失败补偿</x:v>
      </x:c>
      <x:c r="R29" s="5" t="str">
        <x:v>产品</x:v>
      </x:c>
      <x:c r="S29" s="5" t="str">
        <x:v>本轮回归前</x:v>
      </x:c>
      <x:c r="T29" s="5" t="str">
        <x:v>待确认</x:v>
      </x:c>
    </x:row>
    <x:row r="30" ht="43.5" customHeight="1" collapsed="1">
      <x:c r="A30" s="15" t="str">
        <x:v>Q-015-01</x:v>
      </x:c>
      <x:c r="B30" s="19" t="str">
        <x:v>RQ-015</x:v>
      </x:c>
      <x:c r="C30" s="15" t="str"/>
      <x:c r="D30" s="15" t="str"/>
      <x:c r="E30" s="15" t="str">
        <x:v>阻塞测试</x:v>
      </x:c>
      <x:c r="F30" s="15" t="str">
        <x:v>用户App-直播模块</x:v>
      </x:c>
      <x:c r="G30" s="15" t="str">
        <x:v>确定当前版本直播验收范围</x:v>
      </x:c>
      <x:c r="H30" s="15" t="str">
        <x:v>需求范围</x:v>
      </x:c>
      <x:c r="I30" s="16" t="str">
        <x:v>两位主播视频连麦是否纳入当前版本验收？</x:v>
      </x:c>
      <x:c r="J30" s="15" t="str">
        <x:v>A. 纳入当前版本
B. 延后到下一期
C. 仅保留入口但不验收完整流程</x:v>
      </x:c>
      <x:c r="K30" s="17" t="str">
        <x:v>建议 A；当前需求、角色用例和原型均已形成完整两人连麦流程。</x:v>
      </x:c>
      <x:c r="L30" s="18" t="str"/>
      <x:c r="M30" s="18" t="str"/>
      <x:c r="N30" s="15" t="str">
        <x:v>1. 当前需求、角色用例和原型包含两人连麦
2. 早期沟通提出 PK 和多人房放到二期</x:v>
      </x:c>
      <x:c r="O30" s="15" t="str">
        <x:v>1. 主播连麦全流程</x:v>
      </x:c>
      <x:c r="P30" s="15" t="str">
        <x:v>1. LIVE-158 至 LIVE-175
2. LIVE-187 至 LIVE-203</x:v>
      </x:c>
      <x:c r="Q30" s="15" t="str"/>
      <x:c r="R30" s="15" t="str">
        <x:v>产品</x:v>
      </x:c>
      <x:c r="S30" s="15" t="str">
        <x:v>进入对应功能测试前</x:v>
      </x:c>
      <x:c r="T30" s="15" t="str">
        <x:v>待确认</x:v>
      </x:c>
    </x:row>
    <x:row r="31" ht="43.5" customHeight="1" hidden="1" outlineLevel="1" collapsed="1">
      <x:c r="A31" s="20" t="str">
        <x:v>Q-015-02</x:v>
      </x:c>
      <x:c r="B31" s="20" t="str">
        <x:v>RQ-015</x:v>
      </x:c>
      <x:c r="C31" s="21" t="str">
        <x:v>Q-015-01</x:v>
      </x:c>
      <x:c r="D31" s="21" t="str">
        <x:v>Q-015-01 选择 A，两位主播视频连麦纳入当前版本时</x:v>
      </x:c>
      <x:c r="E31" s="5" t="str">
        <x:v>阻塞测试</x:v>
      </x:c>
      <x:c r="F31" s="5" t="str">
        <x:v>用户App-直播模块</x:v>
      </x:c>
      <x:c r="G31" s="5" t="str">
        <x:v>确定当前版本 PK 能力范围</x:v>
      </x:c>
      <x:c r="H31" s="5" t="str">
        <x:v>需求范围</x:v>
      </x:c>
      <x:c r="I31" s="9" t="str">
        <x:v>带胜负或对战规则的 PK 是否纳入当前版本验收？</x:v>
      </x:c>
      <x:c r="J31" s="5" t="str">
        <x:v>A. 纳入当前版本并补充完整 PK 规则
B. 当前版本仅支持视频连麦，不支持 PK
C. PK 入口展示但暂不可用</x:v>
      </x:c>
      <x:c r="K31" s="10" t="str">
        <x:v>建议 B；现有证据只有两人分屏连麦，没有胜负和计分规则。</x:v>
      </x:c>
      <x:c r="L31" s="14" t="str"/>
      <x:c r="M31" s="14" t="str"/>
      <x:c r="N31" s="5" t="str">
        <x:v>1. 当前需求、角色用例和原型包含两人连麦
2. 早期沟通提出 PK 和多人房放到二期</x:v>
      </x:c>
      <x:c r="O31" s="5" t="str">
        <x:v>1. PK 入口
2. PK 业务规则</x:v>
      </x:c>
      <x:c r="P31" s="5" t="str"/>
      <x:c r="Q31" s="5" t="str">
        <x:v>1. PK 发起和结束
2. 特殊房型 PK 限制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 hidden="1" outlineLevel="2">
      <x:c r="A32" s="20" t="str">
        <x:v>Q-015-03</x:v>
      </x:c>
      <x:c r="B32" s="20" t="str">
        <x:v>RQ-015</x:v>
      </x:c>
      <x:c r="C32" s="21" t="str">
        <x:v>Q-015-02</x:v>
      </x:c>
      <x:c r="D32" s="21" t="str">
        <x:v>Q-015-02 选择 A、B 或 C，当前版本保留连麦或 PK 入口时</x:v>
      </x:c>
      <x:c r="E32" s="5" t="str">
        <x:v>不阻塞</x:v>
      </x:c>
      <x:c r="F32" s="5" t="str">
        <x:v>用户App-直播模块</x:v>
      </x:c>
      <x:c r="G32" s="5" t="str">
        <x:v>普通房主播打开两人互动入口</x:v>
      </x:c>
      <x:c r="H32" s="5" t="str">
        <x:v>交互与文案规则</x:v>
      </x:c>
      <x:c r="I32" s="9" t="str">
        <x:v>当前版本入口统一使用“连麦”还是“PK”？</x:v>
      </x:c>
      <x:c r="J32" s="5" t="str">
        <x:v>A. 统一使用“连麦”
B. 统一使用“PK”
C. 按实际能力分别展示两个入口</x:v>
      </x:c>
      <x:c r="K32" s="10" t="str">
        <x:v>建议 A；当前可验证能力是两位主播视频连麦，不包含完整 PK 规则。</x:v>
      </x:c>
      <x:c r="L32" s="14" t="str"/>
      <x:c r="M32" s="14" t="str"/>
      <x:c r="N32" s="5" t="str">
        <x:v>1. 当前需求、角色用例和原型包含两人连麦
2. 早期沟通提出 PK 和多人房放到二期</x:v>
      </x:c>
      <x:c r="O32" s="5" t="str">
        <x:v>1. 主播直播间入口文案
2. 连麦面板标题</x:v>
      </x:c>
      <x:c r="P32" s="5" t="str">
        <x:v>1. LIVE-158
2. LIVE-187
3. LIVE-191</x:v>
      </x:c>
      <x:c r="Q32" s="5" t="str"/>
      <x:c r="R32" s="5" t="str">
        <x:v>多方确认</x:v>
      </x:c>
      <x:c r="S32" s="5" t="str">
        <x:v>版本验收前</x:v>
      </x:c>
      <x:c r="T32" s="5" t="str">
        <x:v>待前置结论</x:v>
      </x:c>
    </x:row>
    <x:row r="33" ht="55.5" customHeight="1" collapsed="1">
      <x:c r="A33" s="15" t="str">
        <x:v>Q-018-01</x:v>
      </x:c>
      <x:c r="B33" s="19" t="str">
        <x:v>RQ-018</x:v>
      </x:c>
      <x:c r="C33" s="15" t="str"/>
      <x:c r="D33" s="15" t="str"/>
      <x:c r="E33" s="15" t="str">
        <x:v>阻塞测试</x:v>
      </x:c>
      <x:c r="F33" s="15" t="str">
        <x:v>用户App-直播模块</x:v>
      </x:c>
      <x:c r="G33" s="15" t="str">
        <x:v>密码房主播在直播中保存新密码</x:v>
      </x:c>
      <x:c r="H33" s="15" t="str">
        <x:v>配置和历史数据影响</x:v>
      </x:c>
      <x:c r="I33" s="16" t="str">
        <x:v>新密码从哪个时点开始用于进房校验？</x:v>
      </x:c>
      <x:c r="J33" s="15" t="str">
        <x:v>A. 保存成功后立即生效
B. 主播关闭设置面板后生效
C. 下一位新观众请求进房时生效
D. 下一场直播生效</x:v>
      </x:c>
      <x:c r="K33" s="17" t="str">
        <x:v>建议 A；成功提示与实际生效时点一致，安全边界最清晰。</x:v>
      </x:c>
      <x:c r="L33" s="18" t="str"/>
      <x:c r="M33" s="18" t="str"/>
      <x:c r="N33" s="15" t="str">
        <x:v>1. 原型保存后提示“房间密码已修改”
2. 角色用例说明后续进房使用新密码</x:v>
      </x:c>
      <x:c r="O33" s="15" t="str">
        <x:v>1. 直播中修改密码
2. 密码进房校验</x:v>
      </x:c>
      <x:c r="P33" s="15" t="str">
        <x:v>1. LIVE-034
2. LIVE-035
3. LIVE-184
4. LIVE-193</x:v>
      </x:c>
      <x:c r="Q33" s="15" t="str"/>
      <x:c r="R33" s="15" t="str">
        <x:v>产品</x:v>
      </x:c>
      <x:c r="S33" s="15" t="str">
        <x:v>进入对应功能测试前</x:v>
      </x:c>
      <x:c r="T33" s="15" t="str">
        <x:v>待确认</x:v>
      </x:c>
    </x:row>
    <x:row r="34" ht="43.5" customHeight="1" hidden="1" outlineLevel="1">
      <x:c r="A34" s="20" t="str">
        <x:v>Q-018-02</x:v>
      </x:c>
      <x:c r="B34" s="20" t="str">
        <x:v>RQ-018</x:v>
      </x:c>
      <x:c r="C34" s="21" t="str">
        <x:v>Q-018-01</x:v>
      </x:c>
      <x:c r="D34" s="21" t="str">
        <x:v>Q-018-01 选择 A、B 或 C，新密码在当前直播中生效时</x:v>
      </x:c>
      <x:c r="E34" s="5" t="str">
        <x:v>部分阻塞</x:v>
      </x:c>
      <x:c r="F34" s="5" t="str">
        <x:v>用户App-直播模块</x:v>
      </x:c>
      <x:c r="G34" s="5" t="str">
        <x:v>主播修改密码时观众已经在密码房内观看</x:v>
      </x:c>
      <x:c r="H34" s="5" t="str">
        <x:v>配置和历史数据影响</x:v>
      </x:c>
      <x:c r="I34" s="9" t="str">
        <x:v>已在房间内的观众是否需要重新验证新密码？</x:v>
      </x:c>
      <x:c r="J34" s="5" t="str">
        <x:v>A. 不受影响，继续观看
B. 立即要求重新验证
C. 下一次重新进入时验证新密码</x:v>
      </x:c>
      <x:c r="K34" s="10" t="str">
        <x:v>建议 C；不中断当前观看，同时保证后续进房使用新密码。</x:v>
      </x:c>
      <x:c r="L34" s="14" t="str"/>
      <x:c r="M34" s="14" t="str"/>
      <x:c r="N34" s="5" t="str">
        <x:v>1. 原型保存后提示“房间密码已修改”
2. 角色用例说明后续进房使用新密码</x:v>
      </x:c>
      <x:c r="O34" s="5" t="str">
        <x:v>1. 已在房观众
2. 重新进房</x:v>
      </x:c>
      <x:c r="P34" s="5" t="str"/>
      <x:c r="Q34" s="5" t="str">
        <x:v>1. 密码修改后的在房观众
2. 密码修改后重新进入</x:v>
      </x:c>
      <x:c r="R34" s="5" t="str">
        <x:v>产品</x:v>
      </x:c>
      <x:c r="S34" s="5" t="str">
        <x:v>本轮回归前</x:v>
      </x:c>
      <x:c r="T34" s="5" t="str">
        <x:v>待前置结论</x:v>
      </x:c>
    </x:row>
    <x:row r="35" ht="55.5" customHeight="1" hidden="1" outlineLevel="1">
      <x:c r="A35" s="20" t="str">
        <x:v>Q-018-03</x:v>
      </x:c>
      <x:c r="B35" s="20" t="str">
        <x:v>RQ-018</x:v>
      </x:c>
      <x:c r="C35" s="21" t="str">
        <x:v>Q-018-01</x:v>
      </x:c>
      <x:c r="D35" s="21" t="str">
        <x:v>Q-018-01 选择 A、B 或 C，新密码在当前直播中生效时</x:v>
      </x:c>
      <x:c r="E35" s="5" t="str">
        <x:v>阻塞测试</x:v>
      </x:c>
      <x:c r="F35" s="5" t="str">
        <x:v>用户App-直播模块</x:v>
      </x:c>
      <x:c r="G35" s="5" t="str">
        <x:v>观众已打开密码面板但尚未提交，主播此时保存新密码</x:v>
      </x:c>
      <x:c r="H35" s="5" t="str">
        <x:v>流程与状态</x:v>
      </x:c>
      <x:c r="I35" s="9" t="str">
        <x:v>观众随后提交旧密码时应按哪一种规则处理？</x:v>
      </x:c>
      <x:c r="J35" s="5" t="str">
        <x:v>A. 旧密码从新密码生效时立即失效
B. 已打开密码面板的观众可用旧密码成功一次，成功或关闭面板后旧密码失效
C. 新密码生效后的 30 秒内新旧密码均可使用，30 秒后旧密码失效
D. 其他：请补充旧密码可用对象、具体时长和失效时点</x:v>
      </x:c>
      <x:c r="K35" s="10" t="str">
        <x:v>建议 A；不存在双密码并存窗口，规则最容易理解和验证。</x:v>
      </x:c>
      <x:c r="L35" s="14" t="str"/>
      <x:c r="M35" s="14" t="str"/>
      <x:c r="N35" s="5" t="str">
        <x:v>1. 原型保存后提示“房间密码已修改”
2. 角色用例说明后续进房使用新密码</x:v>
      </x:c>
      <x:c r="O35" s="5" t="str">
        <x:v>1. 密码修改并发
2. 旧密码失效</x:v>
      </x:c>
      <x:c r="P35" s="5" t="str">
        <x:v>1. LIVE-034</x:v>
      </x:c>
      <x:c r="Q35" s="5" t="str">
        <x:v>1. 并发提交旧密码</x:v>
      </x:c>
      <x:c r="R35" s="5" t="str">
        <x:v>产品</x:v>
      </x:c>
      <x:c r="S35" s="5" t="str">
        <x:v>进入对应功能测试前</x:v>
      </x:c>
      <x:c r="T35" s="5" t="str">
        <x:v>待前置结论</x:v>
      </x:c>
    </x:row>
    <x:row r="36" ht="43.5" customHeight="1">
      <x:c r="A36" s="5" t="str">
        <x:v>Q-018-04</x:v>
      </x:c>
      <x:c r="B36" s="22" t="str">
        <x:v>RQ-018</x:v>
      </x:c>
      <x:c r="C36" s="5" t="str"/>
      <x:c r="D36" s="5" t="str"/>
      <x:c r="E36" s="5" t="str">
        <x:v>部分阻塞</x:v>
      </x:c>
      <x:c r="F36" s="5" t="str">
        <x:v>用户App-直播模块</x:v>
      </x:c>
      <x:c r="G36" s="5" t="str">
        <x:v>密码房已配置粉丝授权可见名单，主播只修改密码</x:v>
      </x:c>
      <x:c r="H36" s="5" t="str">
        <x:v>配置和历史数据影响</x:v>
      </x:c>
      <x:c r="I36" s="9" t="str">
        <x:v>修改密码后原授权可见名单是否保留？</x:v>
      </x:c>
      <x:c r="J36" s="5" t="str">
        <x:v>A. 完整保留原名单
B. 清空名单并要求重新授权
C. 弹窗让主播选择是否保留</x:v>
      </x:c>
      <x:c r="K36" s="10" t="str">
        <x:v>建议 A；修改进房凭证不应无提示改变房间可见范围。</x:v>
      </x:c>
      <x:c r="L36" s="14" t="str"/>
      <x:c r="M36" s="14" t="str"/>
      <x:c r="N36" s="5" t="str">
        <x:v>1. 原型保存后提示“房间密码已修改”
2. 角色用例说明后续进房使用新密码</x:v>
      </x:c>
      <x:c r="O36" s="5" t="str">
        <x:v>1. 密码房授权名单
2. 直播广场可见入口</x:v>
      </x:c>
      <x:c r="P36" s="5" t="str">
        <x:v>1. LIVE-100
2. LIVE-101
3. LIVE-179</x:v>
      </x:c>
      <x:c r="Q36" s="5" t="str"/>
      <x:c r="R36" s="5" t="str">
        <x:v>产品</x:v>
      </x:c>
      <x:c r="S36" s="5" t="str">
        <x:v>本轮回归前</x:v>
      </x:c>
      <x:c r="T36" s="5" t="str">
        <x:v>待确认</x:v>
      </x:c>
    </x:row>
    <x:row r="37" ht="55.5" customHeight="1">
      <x:c r="A37" s="15" t="str">
        <x:v>Q-022-01</x:v>
      </x:c>
      <x:c r="B37" s="19" t="str">
        <x:v>RQ-022</x:v>
      </x:c>
      <x:c r="C37" s="15" t="str"/>
      <x:c r="D37" s="15" t="str"/>
      <x:c r="E37" s="15" t="str">
        <x:v>部分阻塞</x:v>
      </x:c>
      <x:c r="F37" s="15" t="str">
        <x:v>用户App-直播模块</x:v>
      </x:c>
      <x:c r="G37" s="15" t="str">
        <x:v>金币扣款成功但用户没有进入门票房</x:v>
      </x:c>
      <x:c r="H37" s="15" t="str">
        <x:v>异常处理</x:v>
      </x:c>
      <x:c r="I37" s="16" t="str">
        <x:v>扣款成功但进房失败时采用哪一种补偿？</x:v>
      </x:c>
      <x:c r="J37" s="15" t="str">
        <x:v>A. 保留门票资格并提供重新进房
B. 自动退回金币并关闭订单
C. 标记异常并等待人工处理
D. 其他：请补充补偿</x:v>
      </x:c>
      <x:c r="K37" s="17" t="str">
        <x:v>建议 A；门票本场可重复进入，保留资格可以避免不必要退款。</x:v>
      </x:c>
      <x:c r="L37" s="18" t="str"/>
      <x:c r="M37" s="18" t="str"/>
      <x:c r="N37" s="15" t="str">
        <x:v>1. 购票成功需要扣减金币、生成消费记录并获得本场资格
2. 资料未定义多系统部分成功的补偿</x:v>
      </x:c>
      <x:c r="O37" s="15" t="str">
        <x:v>1. 金币余额
2. 门票资格
3. 进房</x:v>
      </x:c>
      <x:c r="P37" s="15" t="str">
        <x:v>1. LIVE-017 至 LIVE-025</x:v>
      </x:c>
      <x:c r="Q37" s="15" t="str">
        <x:v>1. 扣款成功进房失败</x:v>
      </x:c>
      <x:c r="R37" s="15" t="str">
        <x:v>多方确认</x:v>
      </x:c>
      <x:c r="S37" s="15" t="str">
        <x:v>本轮回归前</x:v>
      </x:c>
      <x:c r="T37" s="15" t="str">
        <x:v>待确认</x:v>
      </x:c>
    </x:row>
    <x:row r="38" ht="55.5" customHeight="1">
      <x:c r="A38" s="5" t="str">
        <x:v>Q-022-02</x:v>
      </x:c>
      <x:c r="B38" s="22" t="str">
        <x:v>RQ-022</x:v>
      </x:c>
      <x:c r="C38" s="5" t="str"/>
      <x:c r="D38" s="5" t="str"/>
      <x:c r="E38" s="5" t="str">
        <x:v>阻塞测试</x:v>
      </x:c>
      <x:c r="F38" s="5" t="str">
        <x:v>用户App-直播模块</x:v>
      </x:c>
      <x:c r="G38" s="5" t="str">
        <x:v>购票订单成功但本场门票资格未生成</x:v>
      </x:c>
      <x:c r="H38" s="5" t="str">
        <x:v>异常处理</x:v>
      </x:c>
      <x:c r="I38" s="9" t="str">
        <x:v>订单成功但资格未生效时采用哪一种补偿？</x:v>
      </x:c>
      <x:c r="J38" s="5" t="str">
        <x:v>A. 自动补发本场资格
B. 自动退款并关闭订单
C. 查询后由用户选择补发或退款
D. 进入人工处理</x:v>
      </x:c>
      <x:c r="K38" s="10" t="str">
        <x:v>建议 A；订单和扣款已成功时，补发资格最符合用户原始购买目的。</x:v>
      </x:c>
      <x:c r="L38" s="14" t="str"/>
      <x:c r="M38" s="14" t="str"/>
      <x:c r="N38" s="5" t="str">
        <x:v>1. 购票成功需要扣减金币、生成消费记录并获得本场资格
2. 资料未定义多系统部分成功的补偿</x:v>
      </x:c>
      <x:c r="O38" s="5" t="str">
        <x:v>1. 购票订单
2. 本场门票资格</x:v>
      </x:c>
      <x:c r="P38" s="5" t="str"/>
      <x:c r="Q38" s="5" t="str">
        <x:v>1. 订单成功资格缺失</x:v>
      </x:c>
      <x:c r="R38" s="5" t="str">
        <x:v>多方确认</x:v>
      </x:c>
      <x:c r="S38" s="5" t="str">
        <x:v>进入对应功能测试前</x:v>
      </x:c>
      <x:c r="T38" s="5" t="str">
        <x:v>待确认</x:v>
      </x:c>
    </x:row>
    <x:row r="39" ht="55.5" customHeight="1">
      <x:c r="A39" s="5" t="str">
        <x:v>Q-022-03</x:v>
      </x:c>
      <x:c r="B39" s="22" t="str">
        <x:v>RQ-022</x:v>
      </x:c>
      <x:c r="C39" s="5" t="str"/>
      <x:c r="D39" s="5" t="str"/>
      <x:c r="E39" s="5" t="str">
        <x:v>部分阻塞</x:v>
      </x:c>
      <x:c r="F39" s="5" t="str">
        <x:v>用户App-直播模块</x:v>
      </x:c>
      <x:c r="G39" s="5" t="str">
        <x:v>支付回调重复到达或超时后迟到</x:v>
      </x:c>
      <x:c r="H39" s="5" t="str">
        <x:v>异常处理</x:v>
      </x:c>
      <x:c r="I39" s="9" t="str">
        <x:v>同一订单的支付回调重复到达，或在页面显示超时后到达时，订单应保留哪一个业务结果？</x:v>
      </x:c>
      <x:c r="J39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
D. 其他：请补充重复回调和超时后回调各自对订单、扣款和资格的影响</x:v>
      </x:c>
      <x:c r="K39" s="10" t="str">
        <x:v>建议 A；同一订单只形成一次扣款结果和一份观看资格。</x:v>
      </x:c>
      <x:c r="L39" s="14" t="str"/>
      <x:c r="M39" s="14" t="str"/>
      <x:c r="N39" s="5" t="str">
        <x:v>1. 购票成功需要扣减金币、生成消费记录并获得本场资格
2. 资料未定义多系统部分成功的补偿</x:v>
      </x:c>
      <x:c r="O39" s="5" t="str">
        <x:v>1. 支付回调
2. 金币余额
3. 消费流水
4. 门票资格</x:v>
      </x:c>
      <x:c r="P39" s="5" t="str"/>
      <x:c r="Q39" s="5" t="str">
        <x:v>1. 重复支付回调
2. 超时后实际成功</x:v>
      </x:c>
      <x:c r="R39" s="5" t="str">
        <x:v>技术</x:v>
      </x:c>
      <x:c r="S39" s="5" t="str">
        <x:v>本轮回归前</x:v>
      </x:c>
      <x:c r="T39" s="5" t="str">
        <x:v>待确认</x:v>
      </x:c>
    </x:row>
    <x:row r="40" ht="43.5" customHeight="1">
      <x:c r="A40" s="15" t="str">
        <x:v>Q-001-01</x:v>
      </x:c>
      <x:c r="B40" s="19" t="str">
        <x:v>RQ-001</x:v>
      </x:c>
      <x:c r="C40" s="15" t="str"/>
      <x:c r="D40" s="15" t="str"/>
      <x:c r="E40" s="15" t="str">
        <x:v>部分阻塞</x:v>
      </x:c>
      <x:c r="F40" s="15" t="str">
        <x:v>用户App-直播模块</x:v>
      </x:c>
      <x:c r="G40" s="15" t="str">
        <x:v>观众进入直播广场查看已关注且正在直播的主播</x:v>
      </x:c>
      <x:c r="H40" s="15" t="str">
        <x:v>交互与文案规则</x:v>
      </x:c>
      <x:c r="I40" s="16" t="str">
        <x:v>关注直播应使用第三个 Tab 还是顶部独立区域？</x:v>
      </x:c>
      <x:c r="J40" s="15" t="str">
        <x:v>A. 使用第三个“关注”Tab
B. 使用顶部独立区域
C. Tab 和顶部区域同时保留</x:v>
      </x:c>
      <x:c r="K40" s="17" t="str">
        <x:v>建议 B；与当前原型结构一致，用户进入广场即可看到关注主播。</x:v>
      </x:c>
      <x:c r="L40" s="18" t="str"/>
      <x:c r="M40" s="18" t="str"/>
      <x:c r="N40" s="15" t="str">
        <x:v>1. 项目需求清单写明热门、新人、关注 3 个 Tab
2. 静态原型仅有热门、新人 Tab，关注主播位于顶部独立区域</x:v>
      </x:c>
      <x:c r="O40" s="15" t="str">
        <x:v>1. 直播广场信息架构
2. 关注直播入口</x:v>
      </x:c>
      <x:c r="P40" s="15" t="str"/>
      <x:c r="Q40" s="15" t="str">
        <x:v>1. 关注直播入口
2. 直播广场导航</x:v>
      </x:c>
      <x:c r="R40" s="15" t="str">
        <x:v>多方确认</x:v>
      </x:c>
      <x:c r="S40" s="15" t="str">
        <x:v>本轮回归前</x:v>
      </x:c>
      <x:c r="T40" s="15" t="str">
        <x:v>待确认</x:v>
      </x:c>
    </x:row>
    <x:row r="41" ht="55.5" customHeight="1">
      <x:c r="A41" s="5" t="str">
        <x:v>Q-001-02</x:v>
      </x:c>
      <x:c r="B41" s="22" t="str">
        <x:v>RQ-001</x:v>
      </x:c>
      <x:c r="C41" s="5" t="str"/>
      <x:c r="D41" s="5" t="str"/>
      <x:c r="E41" s="5" t="str">
        <x:v>部分阻塞</x:v>
      </x:c>
      <x:c r="F41" s="5" t="str">
        <x:v>用户App-直播模块</x:v>
      </x:c>
      <x:c r="G41" s="5" t="str">
        <x:v>关注主播存在多个同时在播房间</x:v>
      </x:c>
      <x:c r="H41" s="5" t="str">
        <x:v>业务规则</x:v>
      </x:c>
      <x:c r="I41" s="9" t="str">
        <x:v>关注直播列表采用哪一种排序规则？</x:v>
      </x:c>
      <x:c r="J41" s="5" t="str">
        <x:v>A. 沿用热门直播排序规则
B. 按开播时间倒序，开播时间相同按直播间编号升序
C. 按测试环境可读取的关注直播权重配置倒序，权重相同按开播时间倒序
D. 其他：请补充完整排序字段和同值时的第二排序字段</x:v>
      </x:c>
      <x:c r="K41" s="10" t="str">
        <x:v>建议 A；复用现有口径可以减少新增排序规则和跨页面差异。</x:v>
      </x:c>
      <x:c r="L41" s="14" t="str"/>
      <x:c r="M41" s="14" t="str"/>
      <x:c r="N41" s="5" t="str">
        <x:v>1. 项目需求清单写明热门、新人、关注 3 个 Tab
2. 静态原型仅有热门、新人 Tab，关注主播位于顶部独立区域</x:v>
      </x:c>
      <x:c r="O41" s="5" t="str">
        <x:v>1. 关注直播列表
2. 直播广场排序</x:v>
      </x:c>
      <x:c r="P41" s="5" t="str"/>
      <x:c r="Q41" s="5" t="str">
        <x:v>1. 关注直播多房间排序</x:v>
      </x:c>
      <x:c r="R41" s="5" t="str">
        <x:v>产品</x:v>
      </x:c>
      <x:c r="S41" s="5" t="str">
        <x:v>本轮回归前</x:v>
      </x:c>
      <x:c r="T41" s="5" t="str">
        <x:v>待确认</x:v>
      </x:c>
    </x:row>
    <x:row r="42" ht="43.5" customHeight="1">
      <x:c r="A42" s="5" t="str">
        <x:v>Q-001-03</x:v>
      </x:c>
      <x:c r="B42" s="22" t="str">
        <x:v>RQ-001</x:v>
      </x:c>
      <x:c r="C42" s="5" t="str"/>
      <x:c r="D42" s="5" t="str"/>
      <x:c r="E42" s="5" t="str">
        <x:v>不阻塞</x:v>
      </x:c>
      <x:c r="F42" s="5" t="str">
        <x:v>用户App-直播模块</x:v>
      </x:c>
      <x:c r="G42" s="5" t="str">
        <x:v>用户没有任何已关注且正在直播的主播</x:v>
      </x:c>
      <x:c r="H42" s="5" t="str">
        <x:v>交互与文案规则</x:v>
      </x:c>
      <x:c r="I42" s="9" t="str">
        <x:v>关注直播为空时页面采用哪一种展示方式？</x:v>
      </x:c>
      <x:c r="J42" s="5" t="str">
        <x:v>A. 展示空态并提供发现主播入口
B. 展示空态且不提供跳转
C. 直接展示平台推荐直播</x:v>
      </x:c>
      <x:c r="K42" s="10" t="str">
        <x:v>建议 A；既说明当前没有关注直播，也保留可继续浏览的路径。</x:v>
      </x:c>
      <x:c r="L42" s="14" t="str"/>
      <x:c r="M42" s="14" t="str"/>
      <x:c r="N42" s="5" t="str">
        <x:v>1. 项目需求清单写明热门、新人、关注 3 个 Tab
2. 静态原型仅有热门、新人 Tab，关注主播位于顶部独立区域</x:v>
      </x:c>
      <x:c r="O42" s="5" t="str">
        <x:v>1. 关注直播空态</x:v>
      </x:c>
      <x:c r="P42" s="5" t="str"/>
      <x:c r="Q42" s="5" t="str">
        <x:v>1. 关注直播空态
2. 空态操作入口</x:v>
      </x:c>
      <x:c r="R42" s="5" t="str">
        <x:v>多方确认</x:v>
      </x:c>
      <x:c r="S42" s="5" t="str">
        <x:v>版本验收前</x:v>
      </x:c>
      <x:c r="T42" s="5" t="str">
        <x:v>待确认</x:v>
      </x:c>
    </x:row>
    <x:row r="43" ht="55.5" customHeight="1">
      <x:c r="A43" s="15" t="str">
        <x:v>Q-005-01</x:v>
      </x:c>
      <x:c r="B43" s="19" t="str">
        <x:v>RQ-005</x:v>
      </x:c>
      <x:c r="C43" s="15" t="str"/>
      <x:c r="D43" s="15" t="str"/>
      <x:c r="E43" s="15" t="str">
        <x:v>部分阻塞</x:v>
      </x:c>
      <x:c r="F43" s="15" t="str">
        <x:v>用户App-直播模块</x:v>
      </x:c>
      <x:c r="G43" s="15" t="str">
        <x:v>主播开播前选择直播清晰度</x:v>
      </x:c>
      <x:c r="H43" s="15" t="str">
        <x:v>业务规则</x:v>
      </x:c>
      <x:c r="I43" s="16" t="str">
        <x:v>主播开播前可选择哪一组清晰度档位，页面默认选中哪一档？</x:v>
      </x:c>
      <x:c r="J43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43" s="17" t="str">
        <x:v>建议 C；配置是唯一判断依据时，产品选定方案后即可按测试环境实际配置准备用例。</x:v>
      </x:c>
      <x:c r="L43" s="18" t="str"/>
      <x:c r="M43" s="18" t="str"/>
      <x:c r="N43" s="15" t="str">
        <x:v>1. 项目需求要求开播前和观看中支持多档清晰度
2. 当前开播设置原型未展示清晰度控件</x:v>
      </x:c>
      <x:c r="O43" s="15" t="str">
        <x:v>1. 开播设置
2. 推流参数</x:v>
      </x:c>
      <x:c r="P43" s="15" t="str"/>
      <x:c r="Q43" s="15" t="str">
        <x:v>1. 开播清晰度档位
2. 默认清晰度</x:v>
      </x:c>
      <x:c r="R43" s="15" t="str">
        <x:v>多方确认</x:v>
      </x:c>
      <x:c r="S43" s="15" t="str">
        <x:v>本轮回归前</x:v>
      </x:c>
      <x:c r="T43" s="15" t="str">
        <x:v>待确认</x:v>
      </x:c>
    </x:row>
    <x:row r="44" ht="55.5" customHeight="1">
      <x:c r="A44" s="5" t="str">
        <x:v>Q-005-02</x:v>
      </x:c>
      <x:c r="B44" s="22" t="str">
        <x:v>RQ-005</x:v>
      </x:c>
      <x:c r="C44" s="5" t="str"/>
      <x:c r="D44" s="5" t="str"/>
      <x:c r="E44" s="5" t="str">
        <x:v>部分阻塞</x:v>
      </x:c>
      <x:c r="F44" s="5" t="str">
        <x:v>用户App-直播模块</x:v>
      </x:c>
      <x:c r="G44" s="5" t="str">
        <x:v>直播中网络质量发生变化</x:v>
      </x:c>
      <x:c r="H44" s="5" t="str">
        <x:v>流程与状态</x:v>
      </x:c>
      <x:c r="I44" s="9" t="str">
        <x:v>网络变化时清晰度是否自动切换？</x:v>
      </x:c>
      <x:c r="J44" s="5" t="str">
        <x:v>A. 自动降级且网络恢复后自动升级
B. 仅自动降级，恢复由用户选择
C. 始终由用户手动切换
D. 其他：请补充切换规则</x:v>
      </x:c>
      <x:c r="K44" s="10" t="str">
        <x:v>建议 B；优先保证播放连续性，同时避免恢复时频繁自动切换。</x:v>
      </x:c>
      <x:c r="L44" s="14" t="str"/>
      <x:c r="M44" s="14" t="str"/>
      <x:c r="N44" s="5" t="str">
        <x:v>1. 项目需求要求开播前和观看中支持多档清晰度
2. 当前开播设置原型未展示清晰度控件</x:v>
      </x:c>
      <x:c r="O44" s="5" t="str">
        <x:v>1. 观看中清晰度切换
2. 断流恢复</x:v>
      </x:c>
      <x:c r="P44" s="5" t="str">
        <x:v>1. LIVE-011 至 LIVE-013</x:v>
      </x:c>
      <x:c r="Q44" s="5" t="str"/>
      <x:c r="R44" s="5" t="str">
        <x:v>多方确认</x:v>
      </x:c>
      <x:c r="S44" s="5" t="str">
        <x:v>本轮回归前</x:v>
      </x:c>
      <x:c r="T44" s="5" t="str">
        <x:v>待确认</x:v>
      </x:c>
    </x:row>
    <x:row r="45" ht="55.5" customHeight="1">
      <x:c r="A45" s="15" t="str">
        <x:v>Q-008-01</x:v>
      </x:c>
      <x:c r="B45" s="19" t="str">
        <x:v>RQ-008</x:v>
      </x:c>
      <x:c r="C45" s="15" t="str"/>
      <x:c r="D45" s="15" t="str"/>
      <x:c r="E45" s="15" t="str">
        <x:v>部分阻塞</x:v>
      </x:c>
      <x:c r="F45" s="15" t="str">
        <x:v>用户App-直播模块</x:v>
      </x:c>
      <x:c r="G45" s="15" t="str">
        <x:v>主播或房管定位需要屏蔽的单条评论</x:v>
      </x:c>
      <x:c r="H45" s="15" t="str">
        <x:v>交互与文案规则</x:v>
      </x:c>
      <x:c r="I45" s="16" t="str">
        <x:v>屏蔽指定评论应使用哪一种触发手势？</x:v>
      </x:c>
      <x:c r="J45" s="15" t="str">
        <x:v>A. 长按评论
B. 单击评论后选择屏蔽
C. 评论右侧常驻更多按钮
D. 其他：请补充手势</x:v>
      </x:c>
      <x:c r="K45" s="17" t="str">
        <x:v>建议 A；与正式需求一致，并降低误触概率。</x:v>
      </x:c>
      <x:c r="L45" s="18" t="str"/>
      <x:c r="M45" s="18" t="str"/>
      <x:c r="N45" s="15" t="str">
        <x:v>1. 正式需求写长按消息后二次确认
2. 原型批注写点击评论后出现按钮并直接移除</x:v>
      </x:c>
      <x:c r="O45" s="15" t="str">
        <x:v>1. 主播评论处置
2. 房管评论处置</x:v>
      </x:c>
      <x:c r="P45" s="15" t="str"/>
      <x:c r="Q45" s="15" t="str">
        <x:v>1. 屏蔽评论入口</x:v>
      </x:c>
      <x:c r="R45" s="15" t="str">
        <x:v>交互</x:v>
      </x:c>
      <x:c r="S45" s="15" t="str">
        <x:v>本轮回归前</x:v>
      </x:c>
      <x:c r="T45" s="15" t="str">
        <x:v>待确认</x:v>
      </x:c>
    </x:row>
    <x:row r="46" ht="43.5" customHeight="1">
      <x:c r="A46" s="5" t="str">
        <x:v>Q-008-02</x:v>
      </x:c>
      <x:c r="B46" s="22" t="str">
        <x:v>RQ-008</x:v>
      </x:c>
      <x:c r="C46" s="5" t="str"/>
      <x:c r="D46" s="5" t="str"/>
      <x:c r="E46" s="5" t="str">
        <x:v>部分阻塞</x:v>
      </x:c>
      <x:c r="F46" s="5" t="str">
        <x:v>用户App-直播模块</x:v>
      </x:c>
      <x:c r="G46" s="5" t="str">
        <x:v>用户已经触发屏蔽指定评论操作</x:v>
      </x:c>
      <x:c r="H46" s="5" t="str">
        <x:v>流程与状态</x:v>
      </x:c>
      <x:c r="I46" s="9" t="str">
        <x:v>移除评论前是否必须二次确认？</x:v>
      </x:c>
      <x:c r="J46" s="5" t="str">
        <x:v>A. 移除前必须二次确认
B. 点击后直接移除，并在 5 秒内提供撤销入口
C. 点击后直接移除且不提供撤销入口</x:v>
      </x:c>
      <x:c r="K46" s="10" t="str">
        <x:v>建议 A；与正式需求一致，并避免不可恢复的误操作。</x:v>
      </x:c>
      <x:c r="L46" s="14" t="str"/>
      <x:c r="M46" s="14" t="str"/>
      <x:c r="N46" s="5" t="str">
        <x:v>1. 正式需求写长按消息后二次确认
2. 原型批注写点击评论后出现按钮并直接移除</x:v>
      </x:c>
      <x:c r="O46" s="5" t="str">
        <x:v>1. 评论屏蔽确认
2. 取消屏蔽操作</x:v>
      </x:c>
      <x:c r="P46" s="5" t="str"/>
      <x:c r="Q46" s="5" t="str">
        <x:v>1. 主播或房管屏蔽评论
2. 取消屏蔽确认</x:v>
      </x:c>
      <x:c r="R46" s="5" t="str">
        <x:v>产品</x:v>
      </x:c>
      <x:c r="S46" s="5" t="str">
        <x:v>本轮回归前</x:v>
      </x:c>
      <x:c r="T46" s="5" t="str">
        <x:v>待确认</x:v>
      </x:c>
    </x:row>
    <x:row r="47" ht="55.5" customHeight="1">
      <x:c r="A47" s="15" t="str">
        <x:v>Q-013-01</x:v>
      </x:c>
      <x:c r="B47" s="19" t="str">
        <x:v>RQ-013</x:v>
      </x:c>
      <x:c r="C47" s="15" t="str"/>
      <x:c r="D47" s="15" t="str"/>
      <x:c r="E47" s="15" t="str">
        <x:v>部分阻塞</x:v>
      </x:c>
      <x:c r="F47" s="15" t="str">
        <x:v>用户App-直播模块</x:v>
      </x:c>
      <x:c r="G47" s="15" t="str">
        <x:v>同一举报人短时间内重复提交举报</x:v>
      </x:c>
      <x:c r="H47" s="15" t="str">
        <x:v>业务规则</x:v>
      </x:c>
      <x:c r="I47" s="16" t="str">
        <x:v>同一举报人对同一直播对象重复举报时，允许再次提交的时间边界是什么？</x:v>
      </x:c>
      <x:c r="J47" s="15" t="str">
        <x:v>A. 首次提交后 10 分钟内不允许再次提交，10 分钟后可重新提交
B. 同一自然日只允许提交一次，次日 00:00 后可重新提交
C. 不限制提交次数，每次点击提交都创建一条举报记录
D. 其他：请补充限制对象、具体时长和重新允许提交的时点</x:v>
      </x:c>
      <x:c r="K47" s="17" t="str">
        <x:v>建议 A；能减少同一事件的短时重复记录，同时保留后续重新举报入口。</x:v>
      </x:c>
      <x:c r="L47" s="18" t="str"/>
      <x:c r="M47" s="18" t="str"/>
      <x:c r="N47" s="15" t="str">
        <x:v>1. 原型支持五类举报原因和 200 字补充说明
2. 需求只说明举报联动后台审核处置</x:v>
      </x:c>
      <x:c r="O47" s="15" t="str">
        <x:v>1. 直播间举报
2. 用户举报</x:v>
      </x:c>
      <x:c r="P47" s="15" t="str"/>
      <x:c r="Q47" s="15" t="str">
        <x:v>1. 重复举报频控</x:v>
      </x:c>
      <x:c r="R47" s="15" t="str">
        <x:v>产品</x:v>
      </x:c>
      <x:c r="S47" s="15" t="str">
        <x:v>本轮回归前</x:v>
      </x:c>
      <x:c r="T47" s="15" t="str">
        <x:v>待确认</x:v>
      </x:c>
    </x:row>
    <x:row r="48" ht="55.5" customHeight="1">
      <x:c r="A48" s="5" t="str">
        <x:v>Q-013-02</x:v>
      </x:c>
      <x:c r="B48" s="22" t="str">
        <x:v>RQ-013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同一用户对同一对象重复举报</x:v>
      </x:c>
      <x:c r="H48" s="5" t="str">
        <x:v>流程与状态</x:v>
      </x:c>
      <x:c r="I48" s="9" t="str">
        <x:v>重复举报记录采用哪一种合并方式？</x:v>
      </x:c>
      <x:c r="J48" s="5" t="str">
        <x:v>A. 合并到原工单并累计次数
B. 每次生成独立工单
C. 拒绝重复举报且不新增记录
D. 其他：请补充方式</x:v>
      </x:c>
      <x:c r="K48" s="10" t="str">
        <x:v>建议 A；后台可以看到举报热度，又不会产生大量重复工单。</x:v>
      </x:c>
      <x:c r="L48" s="14" t="str"/>
      <x:c r="M48" s="14" t="str"/>
      <x:c r="N48" s="5" t="str">
        <x:v>1. 原型支持五类举报原因和 200 字补充说明
2. 需求只说明举报联动后台审核处置</x:v>
      </x:c>
      <x:c r="O48" s="5" t="str">
        <x:v>1. 举报工单
2. 后台审核</x:v>
      </x:c>
      <x:c r="P48" s="5" t="str"/>
      <x:c r="Q48" s="5" t="str">
        <x:v>1. 重复举报记录</x:v>
      </x:c>
      <x:c r="R48" s="5" t="str">
        <x:v>多方确认</x:v>
      </x:c>
      <x:c r="S48" s="5" t="str">
        <x:v>本轮回归前</x:v>
      </x:c>
      <x:c r="T48" s="5" t="str">
        <x:v>待确认</x:v>
      </x:c>
    </x:row>
    <x:row r="49" ht="55.5" customHeight="1">
      <x:c r="A49" s="5" t="str">
        <x:v>Q-013-03</x:v>
      </x:c>
      <x:c r="B49" s="22" t="str">
        <x:v>RQ-013</x:v>
      </x:c>
      <x:c r="C49" s="5" t="str"/>
      <x:c r="D49" s="5" t="str"/>
      <x:c r="E49" s="5" t="str">
        <x:v>不阻塞</x:v>
      </x:c>
      <x:c r="F49" s="5" t="str">
        <x:v>用户App-直播模块</x:v>
      </x:c>
      <x:c r="G49" s="5" t="str">
        <x:v>举报人需要补充文字之外的证据</x:v>
      </x:c>
      <x:c r="H49" s="5" t="str">
        <x:v>需求范围</x:v>
      </x:c>
      <x:c r="I49" s="9" t="str">
        <x:v>当前版本举报是否支持上传附件？</x:v>
      </x:c>
      <x:c r="J49" s="5" t="str">
        <x:v>A. 当前版本不支持附件
B. 支持图片附件
C. 支持图片和视频附件
D. 其他：请补充附件范围</x:v>
      </x:c>
      <x:c r="K49" s="10" t="str">
        <x:v>建议 A；当前原型没有附件入口，可将附件能力作为后续独立需求。</x:v>
      </x:c>
      <x:c r="L49" s="14" t="str"/>
      <x:c r="M49" s="14" t="str"/>
      <x:c r="N49" s="5" t="str">
        <x:v>1. 原型支持五类举报原因和 200 字补充说明
2. 需求只说明举报联动后台审核处置</x:v>
      </x:c>
      <x:c r="O49" s="5" t="str">
        <x:v>1. 举报表单
2. 举报证据</x:v>
      </x:c>
      <x:c r="P49" s="5" t="str"/>
      <x:c r="Q49" s="5" t="str">
        <x:v>1. 举报附件入口和上传</x:v>
      </x:c>
      <x:c r="R49" s="5" t="str">
        <x:v>产品</x:v>
      </x:c>
      <x:c r="S49" s="5" t="str">
        <x:v>版本验收前</x:v>
      </x:c>
      <x:c r="T49" s="5" t="str">
        <x:v>待确认</x:v>
      </x:c>
    </x:row>
    <x:row r="50" ht="55.5" customHeight="1">
      <x:c r="A50" s="5" t="str">
        <x:v>Q-013-04</x:v>
      </x:c>
      <x:c r="B50" s="22" t="str">
        <x:v>RQ-013</x:v>
      </x:c>
      <x:c r="C50" s="5" t="str"/>
      <x:c r="D50" s="5" t="str"/>
      <x:c r="E50" s="5" t="str">
        <x:v>不阻塞</x:v>
      </x:c>
      <x:c r="F50" s="5" t="str">
        <x:v>用户App-直播模块</x:v>
      </x:c>
      <x:c r="G50" s="5" t="str">
        <x:v>后台完成举报工单处置</x:v>
      </x:c>
      <x:c r="H50" s="5" t="str">
        <x:v>跨端与跨模块一致性</x:v>
      </x:c>
      <x:c r="I50" s="9" t="str">
        <x:v>举报处置结果是否通知举报人？</x:v>
      </x:c>
      <x:c r="J50" s="5" t="str">
        <x:v>A. 通知最终处置结果
B. 仅通知工单已受理
C. 不向举报人回告
D. 其他：请补充通知规则</x:v>
      </x:c>
      <x:c r="K50" s="10" t="str">
        <x:v>建议 B；确认平台已处理请求，同时避免暴露具体处罚细节。</x:v>
      </x:c>
      <x:c r="L50" s="14" t="str"/>
      <x:c r="M50" s="14" t="str"/>
      <x:c r="N50" s="5" t="str">
        <x:v>1. 原型支持五类举报原因和 200 字补充说明
2. 需求只说明举报联动后台审核处置</x:v>
      </x:c>
      <x:c r="O50" s="5" t="str">
        <x:v>1. 后台审核
2. App 通知</x:v>
      </x:c>
      <x:c r="P50" s="5" t="str"/>
      <x:c r="Q50" s="5" t="str">
        <x:v>1. 举报受理通知
2. 举报结果通知</x:v>
      </x:c>
      <x:c r="R50" s="5" t="str">
        <x:v>产品</x:v>
      </x:c>
      <x:c r="S50" s="5" t="str">
        <x:v>版本验收前</x:v>
      </x:c>
      <x:c r="T50" s="5" t="str">
        <x:v>待确认</x:v>
      </x:c>
    </x:row>
    <x:row r="51" ht="55.5" customHeight="1">
      <x:c r="A51" s="15" t="str">
        <x:v>Q-016</x:v>
      </x:c>
      <x:c r="B51" s="19" t="str">
        <x:v>RQ-016</x:v>
      </x:c>
      <x:c r="C51" s="15" t="str"/>
      <x:c r="D51" s="15" t="str"/>
      <x:c r="E51" s="15" t="str">
        <x:v>部分阻塞</x:v>
      </x:c>
      <x:c r="F51" s="15" t="str">
        <x:v>用户App-直播模块</x:v>
      </x:c>
      <x:c r="G51" s="15" t="str">
        <x:v>主播和观众删除好友后进入后续直播场次</x:v>
      </x:c>
      <x:c r="H51" s="15" t="str">
        <x:v>业务规则</x:v>
      </x:c>
      <x:c r="I51" s="16" t="str">
        <x:v>主播在后续直播场次是否可以再次发起直播间私信？</x:v>
      </x:c>
      <x:c r="J51" s="15" t="str">
        <x:v>A. 下一场直播可以重新发起
B. 删除好友后持续禁止，直到重新成为好友
C. 当前场次禁止，经过新的自然日后恢复
D. 其他：请补充恢复条件</x:v>
      </x:c>
      <x:c r="K51" s="17" t="str">
        <x:v>建议 A；直播间私信属于场次经营能力，完全阻断可由账号拉黑承担。</x:v>
      </x:c>
      <x:c r="L51" s="18" t="str"/>
      <x:c r="M51" s="18" t="str"/>
      <x:c r="N51" s="15" t="str">
        <x:v>1. 角色与用例文档将删除好友后的后续场次私信保留为待确认
2. 完全阻断关系已有账号拉黑能力</x:v>
      </x:c>
      <x:c r="O51" s="15" t="str">
        <x:v>1. 直播间私信
2. 好友关系</x:v>
      </x:c>
      <x:c r="P51" s="15" t="str">
        <x:v>1. LIVE-120 至 LIVE-124</x:v>
      </x:c>
      <x:c r="Q51" s="15" t="str">
        <x:v>1. 删除好友后的后续场次私信</x:v>
      </x:c>
      <x:c r="R51" s="15" t="str">
        <x:v>产品</x:v>
      </x:c>
      <x:c r="S51" s="15" t="str">
        <x:v>本轮回归前</x:v>
      </x:c>
      <x:c r="T51" s="15" t="str">
        <x:v>待确认</x:v>
      </x:c>
    </x:row>
    <x:row r="52" ht="55.5" customHeight="1">
      <x:c r="A52" s="15" t="str">
        <x:v>Q-017-01</x:v>
      </x:c>
      <x:c r="B52" s="19" t="str">
        <x:v>RQ-017</x:v>
      </x:c>
      <x:c r="C52" s="15" t="str"/>
      <x:c r="D52" s="15" t="str"/>
      <x:c r="E52" s="15" t="str">
        <x:v>部分阻塞</x:v>
      </x:c>
      <x:c r="F52" s="15" t="str">
        <x:v>用户App-直播模块</x:v>
      </x:c>
      <x:c r="G52" s="15" t="str">
        <x:v>主播从本地选择直播封面文件</x:v>
      </x:c>
      <x:c r="H52" s="15" t="str">
        <x:v>字段与数据校验</x:v>
      </x:c>
      <x:c r="I52" s="16" t="str">
        <x:v>主播上传直播封面时，允许的文件格式和单个文件大小上限采用哪一组完整规则？</x:v>
      </x:c>
      <x:c r="J52" s="15" t="str">
        <x:v>A. 仅 JPG、PNG，单个文件不超过 5 MB
B. 支持 JPG、PNG、WebP，单个文件不超过 10 MB
C. 文件格式和大小上限均以测试环境可读取的后台配置为准
D. 其他：请补充完整格式清单和具体 MB 上限</x:v>
      </x:c>
      <x:c r="K52" s="17" t="str">
        <x:v>建议 A；候选格式常见且大小边界明确，选中后可以直接形成等价类和边界用例。</x:v>
      </x:c>
      <x:c r="L52" s="18" t="str"/>
      <x:c r="M52" s="18" t="str"/>
      <x:c r="N52" s="15" t="str">
        <x:v>1. 需求要求设置直播封面
2. 静态原型只限制 image/*，没有业务校验</x:v>
      </x:c>
      <x:c r="O52" s="15" t="str">
        <x:v>1. 开播封面上传</x:v>
      </x:c>
      <x:c r="P52" s="15" t="str">
        <x:v>1. LIVE-094</x:v>
      </x:c>
      <x:c r="Q52" s="15" t="str">
        <x:v>1. 封面格式和大小边界</x:v>
      </x:c>
      <x:c r="R52" s="15" t="str">
        <x:v>多方确认</x:v>
      </x:c>
      <x:c r="S52" s="15" t="str">
        <x:v>本轮回归前</x:v>
      </x:c>
      <x:c r="T52" s="15" t="str">
        <x:v>待确认</x:v>
      </x:c>
    </x:row>
    <x:row r="53" ht="55.5" customHeight="1">
      <x:c r="A53" s="5" t="str">
        <x:v>Q-017-02</x:v>
      </x:c>
      <x:c r="B53" s="22" t="str">
        <x:v>RQ-017</x:v>
      </x:c>
      <x:c r="C53" s="5" t="str"/>
      <x:c r="D53" s="5" t="str"/>
      <x:c r="E53" s="5" t="str">
        <x:v>部分阻塞</x:v>
      </x:c>
      <x:c r="F53" s="5" t="str">
        <x:v>用户App-直播模块</x:v>
      </x:c>
      <x:c r="G53" s="5" t="str">
        <x:v>主播上传不同尺寸或比例的直播封面</x:v>
      </x:c>
      <x:c r="H53" s="5" t="str">
        <x:v>业务规则</x:v>
      </x:c>
      <x:c r="I53" s="9" t="str">
        <x:v>不符合目标比例的封面采用哪一种处理？</x:v>
      </x:c>
      <x:c r="J53" s="5" t="str">
        <x:v>A. 进入裁剪页后保存
B. 自动居中裁剪
C. 拒绝上传并提示目标比例
D. 保持原图比例展示</x:v>
      </x:c>
      <x:c r="K53" s="10" t="str">
        <x:v>建议 A；主播可以确认最终展示区域，减少关键内容被自动截断。</x:v>
      </x:c>
      <x:c r="L53" s="14" t="str"/>
      <x:c r="M53" s="14" t="str"/>
      <x:c r="N53" s="5" t="str">
        <x:v>1. 需求要求设置直播封面
2. 静态原型只限制 image/*，没有业务校验</x:v>
      </x:c>
      <x:c r="O53" s="5" t="str">
        <x:v>1. 封面尺寸
2. 封面裁剪</x:v>
      </x:c>
      <x:c r="P53" s="5" t="str"/>
      <x:c r="Q53" s="5" t="str">
        <x:v>1. 封面尺寸和比例</x:v>
      </x:c>
      <x:c r="R53" s="5" t="str">
        <x:v>多方确认</x:v>
      </x:c>
      <x:c r="S53" s="5" t="str">
        <x:v>本轮回归前</x:v>
      </x:c>
      <x:c r="T53" s="5" t="str">
        <x:v>待确认</x:v>
      </x:c>
    </x:row>
    <x:row r="54" ht="55.5" customHeight="1">
      <x:c r="A54" s="5" t="str">
        <x:v>Q-017-03</x:v>
      </x:c>
      <x:c r="B54" s="22" t="str">
        <x:v>RQ-017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直播封面命中内容审核规则</x:v>
      </x:c>
      <x:c r="H54" s="5" t="str">
        <x:v>流程与状态</x:v>
      </x:c>
      <x:c r="I54" s="9" t="str">
        <x:v>封面审核不通过时采用哪一种业务结果？</x:v>
      </x:c>
      <x:c r="J54" s="5" t="str">
        <x:v>A. 不允许开播并要求更换封面
B. 使用平台默认封面继续开播
C. 允许开播后进入人工审核
D. 其他：请补充处理方式</x:v>
      </x:c>
      <x:c r="K54" s="10" t="str">
        <x:v>建议 A；违规封面不会先进入直播广场。</x:v>
      </x:c>
      <x:c r="L54" s="14" t="str"/>
      <x:c r="M54" s="14" t="str"/>
      <x:c r="N54" s="5" t="str">
        <x:v>1. 需求要求设置直播封面
2. 静态原型只限制 image/*，没有业务校验</x:v>
      </x:c>
      <x:c r="O54" s="5" t="str">
        <x:v>1. 封面审核
2. 开始直播</x:v>
      </x:c>
      <x:c r="P54" s="5" t="str"/>
      <x:c r="Q54" s="5" t="str">
        <x:v>1. 封面审核失败
2. 开播拦截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103.5" customHeight="1">
      <x:c r="A55" s="15" t="str">
        <x:v>Q-020-01</x:v>
      </x:c>
      <x:c r="B55" s="19" t="str">
        <x:v>RQ-020</x:v>
      </x:c>
      <x:c r="C55" s="15" t="str"/>
      <x:c r="D55" s="15" t="str"/>
      <x:c r="E55" s="15" t="str">
        <x:v>部分阻塞</x:v>
      </x:c>
      <x:c r="F55" s="15" t="str">
        <x:v>用户App-直播模块</x:v>
      </x:c>
      <x:c r="G55" s="15" t="str">
        <x:v>关注、评论、加入粉丝团、转发、修改房间密码、房间管理、购票或赠礼提交后持续未收到结果</x:v>
      </x:c>
      <x:c r="H55" s="15" t="str">
        <x:v>异常处理</x:v>
      </x:c>
      <x:c r="I55" s="16" t="str">
        <x:v>列出的操作提交后经过多少秒仍无结果时，页面显示哪一种业务结果？</x:v>
      </x:c>
      <x:c r="J55" s="15" t="str">
        <x:v>A. 全部操作在 10 秒后显示“结果未知”，并提供查询或重新进入查看结果的入口
B. 全部操作在 10 秒后显示失败，并允许用户手动重试
C. 购票和赠礼在 30 秒后显示“结果未知”并提供查询；其他操作在 10 秒后显示失败并允许重试
D. 全部操作不设置页面超时，持续显示处理中直到收到成功或失败结果</x:v>
      </x:c>
      <x:c r="K55" s="17" t="str">
        <x:v>建议 C；交易操作先核对实际结果，非交易操作则允许用户明确重试。</x:v>
      </x:c>
      <x:c r="L55" s="18" t="str"/>
      <x:c r="M55" s="18" t="str"/>
      <x:c r="N55" s="15" t="str">
        <x:v>1. 需求和原型描述了多种直播间写操作的成功结果
2. 资料未统一描述提交中、超时和失败状态</x:v>
      </x:c>
      <x:c r="O55" s="15" t="str">
        <x:v>1. 关注
2. 评论
3. 加入粉丝团
4. 转发
5. 修改房间密码
6. 禁言、踢出、拉黑和房管变更
7. 购票
8. 赠礼</x:v>
      </x:c>
      <x:c r="P55" s="15" t="str"/>
      <x:c r="Q55" s="15" t="str">
        <x:v>1. 关键写操作超时</x:v>
      </x:c>
      <x:c r="R55" s="15" t="str">
        <x:v>多方确认</x:v>
      </x:c>
      <x:c r="S55" s="15" t="str">
        <x:v>本轮回归前</x:v>
      </x:c>
      <x:c r="T55" s="15" t="str">
        <x:v>待确认</x:v>
      </x:c>
    </x:row>
    <x:row r="56" ht="103.5" customHeight="1">
      <x:c r="A56" s="5" t="str">
        <x:v>Q-020-02</x:v>
      </x:c>
      <x:c r="B56" s="22" t="str">
        <x:v>RQ-020</x:v>
      </x:c>
      <x:c r="C56" s="5" t="str"/>
      <x:c r="D56" s="5" t="str"/>
      <x:c r="E56" s="5" t="str">
        <x:v>部分阻塞</x:v>
      </x:c>
      <x:c r="F56" s="5" t="str">
        <x:v>用户App-直播模块</x:v>
      </x:c>
      <x:c r="G56" s="5" t="str">
        <x:v>关注、评论、加入粉丝团、转发、修改房间密码、房间管理、购票或赠礼正在提交</x:v>
      </x:c>
      <x:c r="H56" s="5" t="str">
        <x:v>交互与文案规则</x:v>
      </x:c>
      <x:c r="I56" s="9" t="str">
        <x:v>列出的操作在结果返回前，操作按钮统一采用哪一种可点击状态？</x:v>
      </x:c>
      <x:c r="J56" s="5" t="str">
        <x:v>A. 全部禁用按钮并显示处理中
B. 购票、赠礼、修改密码和房间管理禁用按钮；关注、评论、粉丝团和转发保持可点击但只显示首次操作结果
C. 全部保持可点击，每次点击都作为一次独立操作处理
D. 全部隐藏按钮，结果返回后恢复显示</x:v>
      </x:c>
      <x:c r="K56" s="10" t="str">
        <x:v>建议 A；能够阻止重复操作，并明确告知当前状态。</x:v>
      </x:c>
      <x:c r="L56" s="14" t="str"/>
      <x:c r="M56" s="14" t="str"/>
      <x:c r="N56" s="5" t="str">
        <x:v>1. 需求和原型描述了多种直播间写操作的成功结果
2. 资料未统一描述提交中、超时和失败状态</x:v>
      </x:c>
      <x:c r="O56" s="5" t="str">
        <x:v>1. 关注
2. 评论
3. 加入粉丝团
4. 转发
5. 修改房间密码
6. 禁言、踢出、拉黑和房管变更
7. 购票
8. 赠礼</x:v>
      </x:c>
      <x:c r="P56" s="5" t="str"/>
      <x:c r="Q56" s="5" t="str">
        <x:v>1. 处理中重复点击</x:v>
      </x:c>
      <x:c r="R56" s="5" t="str">
        <x:v>多方确认</x:v>
      </x:c>
      <x:c r="S56" s="5" t="str">
        <x:v>本轮回归前</x:v>
      </x:c>
      <x:c r="T56" s="5" t="str">
        <x:v>待确认</x:v>
      </x:c>
    </x:row>
    <x:row r="57" ht="103.5" customHeight="1">
      <x:c r="A57" s="5" t="str">
        <x:v>Q-020-03</x:v>
      </x:c>
      <x:c r="B57" s="22" t="str">
        <x:v>RQ-020</x:v>
      </x:c>
      <x:c r="C57" s="5" t="str"/>
      <x:c r="D57" s="5" t="str"/>
      <x:c r="E57" s="5" t="str">
        <x:v>部分阻塞</x:v>
      </x:c>
      <x:c r="F57" s="5" t="str">
        <x:v>用户App-直播模块</x:v>
      </x:c>
      <x:c r="G57" s="5" t="str">
        <x:v>关注、评论、加入粉丝团、转发、修改房间密码、房间管理、购票或赠礼明确返回失败</x:v>
      </x:c>
      <x:c r="H57" s="5" t="str">
        <x:v>异常处理</x:v>
      </x:c>
      <x:c r="I57" s="9" t="str">
        <x:v>列出的操作失败后，页面统一提供哪一种再次尝试方式？</x:v>
      </x:c>
      <x:c r="J57" s="5" t="str">
        <x:v>A. 全部保留原输入并提供手动重试
B. 购票和赠礼自动重试一次；其他操作保留原输入并提供手动重试
C. 全部关闭当前面板，用户重新进入后才能再次操作
D. 全部只显示失败，不提供当前页面内的再次尝试入口</x:v>
      </x:c>
      <x:c r="K57" s="10" t="str">
        <x:v>建议 A；用户可以控制重试时点，也不会丢失已填写内容。</x:v>
      </x:c>
      <x:c r="L57" s="14" t="str"/>
      <x:c r="M57" s="14" t="str"/>
      <x:c r="N57" s="5" t="str">
        <x:v>1. 需求和原型描述了多种直播间写操作的成功结果
2. 资料未统一描述提交中、超时和失败状态</x:v>
      </x:c>
      <x:c r="O57" s="5" t="str">
        <x:v>1. 关注
2. 评论
3. 加入粉丝团
4. 转发
5. 修改房间密码
6. 禁言、踢出、拉黑和房管变更
7. 购票
8. 赠礼</x:v>
      </x:c>
      <x:c r="P57" s="5" t="str"/>
      <x:c r="Q57" s="5" t="str">
        <x:v>1. 失败后重试
2. 原输入保留</x:v>
      </x:c>
      <x:c r="R57" s="5" t="str">
        <x:v>产品</x:v>
      </x:c>
      <x:c r="S57" s="5" t="str">
        <x:v>本轮回归前</x:v>
      </x:c>
      <x:c r="T57" s="5" t="str">
        <x:v>待确认</x:v>
      </x:c>
    </x:row>
    <x:row r="58" ht="103.5" customHeight="1">
      <x:c r="A58" s="5" t="str">
        <x:v>Q-020-04</x:v>
      </x:c>
      <x:c r="B58" s="22" t="str">
        <x:v>RQ-020</x:v>
      </x:c>
      <x:c r="C58" s="5" t="str"/>
      <x:c r="D58" s="5" t="str"/>
      <x:c r="E58" s="5" t="str">
        <x:v>部分阻塞</x:v>
      </x:c>
      <x:c r="F58" s="5" t="str">
        <x:v>用户App-直播模块</x:v>
      </x:c>
      <x:c r="G58" s="5" t="str">
        <x:v>关注、评论、加入粉丝团、转发、修改房间密码、房间管理、购票或赠礼因重复点击或网络重发到达多次</x:v>
      </x:c>
      <x:c r="H58" s="5" t="str">
        <x:v>异常处理</x:v>
      </x:c>
      <x:c r="I58" s="9" t="str">
        <x:v>同一次用户操作到达多次时，应产生几次业务状态变化、扣款或记录？</x:v>
      </x:c>
      <x:c r="J58" s="5" t="str">
        <x:v>A. 仅首次请求改变业务结果，后续请求返回与首次相同的结果
B. 仅首次请求改变业务结果，后续请求均返回重复操作失败
C. 每次请求都独立改变业务结果并新增对应记录
D. 购票和赠礼采用 A；关注、评论、粉丝团、转发、密码修改和房间管理采用 B</x:v>
      </x:c>
      <x:c r="K58" s="10" t="str">
        <x:v>建议 A；重复点击或网络重发不会产生重复扣款、重复关系或重复管理记录。</x:v>
      </x:c>
      <x:c r="L58" s="14" t="str"/>
      <x:c r="M58" s="14" t="str"/>
      <x:c r="N58" s="5" t="str">
        <x:v>1. 需求和原型描述了多种直播间写操作的成功结果
2. 资料未统一描述提交中、超时和失败状态</x:v>
      </x:c>
      <x:c r="O58" s="5" t="str">
        <x:v>1. 关注关系
2. 评论记录
3. 粉丝团关系
4. 转发记录
5. 房间密码
6. 禁言、踢出、拉黑和房管关系
7. 购票订单
8. 赠礼扣款和流水</x:v>
      </x:c>
      <x:c r="P58" s="5" t="str"/>
      <x:c r="Q58" s="5" t="str">
        <x:v>1. 重复提交不重复生效</x:v>
      </x:c>
      <x:c r="R58" s="5" t="str">
        <x:v>多方确认</x:v>
      </x:c>
      <x:c r="S58" s="5" t="str">
        <x:v>本轮回归前</x:v>
      </x:c>
      <x:c r="T58" s="5" t="str">
        <x:v>待确认</x:v>
      </x:c>
    </x:row>
    <x:row r="59" ht="55.5" customHeight="1">
      <x:c r="A59" s="15" t="str">
        <x:v>Q-021-01</x:v>
      </x:c>
      <x:c r="B59" s="19" t="str">
        <x:v>RQ-021</x:v>
      </x:c>
      <x:c r="C59" s="15" t="str"/>
      <x:c r="D59" s="15" t="str"/>
      <x:c r="E59" s="15" t="str">
        <x:v>部分阻塞</x:v>
      </x:c>
      <x:c r="F59" s="15" t="str">
        <x:v>用户App-直播模块</x:v>
      </x:c>
      <x:c r="G59" s="15" t="str">
        <x:v>主播或房管成功禁言目标观众后，目标观众仍停留在直播间并准备发送评论</x:v>
      </x:c>
      <x:c r="H59" s="15" t="str">
        <x:v>跨端与跨模块一致性</x:v>
      </x:c>
      <x:c r="I59" s="16" t="str">
        <x:v>禁言成功后，目标观众端从哪个动作开始不能发送评论？</x:v>
      </x:c>
      <x:c r="J59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
D. 其他：请补充观众端出现禁言状态的具体触发动作</x:v>
      </x:c>
      <x:c r="K59" s="17" t="str">
        <x:v>建议 B；管理操作成功后，目标观众无需先发送一条失败评论就能看到限制。</x:v>
      </x:c>
      <x:c r="L59" s="18" t="str"/>
      <x:c r="M59" s="18" t="str"/>
      <x:c r="N59" s="15" t="str">
        <x:v>1. 需求明确禁言、踢出、拉黑和房管变更的业务作用域
2. 原型展示主播或房管侧操作入口</x:v>
      </x:c>
      <x:c r="O59" s="15" t="str">
        <x:v>1. 被禁言观众的评论输入区
2. 被禁言观众的发送动作
3. 主播和房管查看的观众管理状态</x:v>
      </x:c>
      <x:c r="P59" s="15" t="str">
        <x:v>1. LIVE-043
2. LIVE-079
3. LIVE-135
4. LIVE-204 至 LIVE-205</x:v>
      </x:c>
      <x:c r="Q59" s="15" t="str"/>
      <x:c r="R59" s="15" t="str">
        <x:v>多方确认</x:v>
      </x:c>
      <x:c r="S59" s="15" t="str">
        <x:v>本轮回归前</x:v>
      </x:c>
      <x:c r="T59" s="15" t="str">
        <x:v>待确认</x:v>
      </x:c>
    </x:row>
    <x:row r="60" ht="67.5" customHeight="1">
      <x:c r="A60" s="5" t="str">
        <x:v>Q-021-02</x:v>
      </x:c>
      <x:c r="B60" s="22" t="str">
        <x:v>RQ-021</x:v>
      </x:c>
      <x:c r="C60" s="5" t="str"/>
      <x:c r="D60" s="5" t="str"/>
      <x:c r="E60" s="5" t="str">
        <x:v>部分阻塞</x:v>
      </x:c>
      <x:c r="F60" s="5" t="str">
        <x:v>用户App-直播模块</x:v>
      </x:c>
      <x:c r="G60" s="5" t="str">
        <x:v>主播或房管成功踢出目标观众，或主播把目标观众加入允许的黑名单</x:v>
      </x:c>
      <x:c r="H60" s="5" t="str">
        <x:v>跨端与跨模块一致性</x:v>
      </x:c>
      <x:c r="I60" s="9" t="str">
        <x:v>操作成功后，目标观众何时离开当前直播间并被限制再次进入？</x:v>
      </x:c>
      <x:c r="J60" s="5" t="str">
        <x:v>A. 操作成功后立即离开当前直播间，下一次进房请求被拒绝
B. 当前观看不受影响，仅下一次重新进房时被拒绝
C. 目标观众刷新或重新进入后离开直播间，之后进房请求被拒绝
D. 其他：请分别补充离开当前房间和再次进房受限的触发时点</x:v>
      </x:c>
      <x:c r="K60" s="10" t="str">
        <x:v>建议 A；当前场次限制和后续进房限制都有明确的观察时点。</x:v>
      </x:c>
      <x:c r="L60" s="14" t="str"/>
      <x:c r="M60" s="14" t="str"/>
      <x:c r="N60" s="5" t="str">
        <x:v>1. 需求明确禁言、踢出、拉黑和房管变更的业务作用域
2. 原型展示主播或房管侧操作入口</x:v>
      </x:c>
      <x:c r="O60" s="5" t="str">
        <x:v>1. 被踢或被拉黑观众的当前观看页
2. 目标观众再次进房
3. 主播和房管查看的观众管理状态</x:v>
      </x:c>
      <x:c r="P60" s="5" t="str">
        <x:v>1. LIVE-083
2. LIVE-138
3. LIVE-140
4. LIVE-143
5. LIVE-206</x:v>
      </x:c>
      <x:c r="Q60" s="5" t="str"/>
      <x:c r="R60" s="5" t="str">
        <x:v>多方确认</x:v>
      </x:c>
      <x:c r="S60" s="5" t="str">
        <x:v>本轮回归前</x:v>
      </x:c>
      <x:c r="T60" s="5" t="str">
        <x:v>待确认</x:v>
      </x:c>
    </x:row>
    <x:row r="61" ht="55.5" customHeight="1">
      <x:c r="A61" s="5" t="str">
        <x:v>Q-021-03</x:v>
      </x:c>
      <x:c r="B61" s="22" t="str">
        <x:v>RQ-021</x:v>
      </x:c>
      <x:c r="C61" s="5" t="str"/>
      <x:c r="D61" s="5" t="str"/>
      <x:c r="E61" s="5" t="str">
        <x:v>部分阻塞</x:v>
      </x:c>
      <x:c r="F61" s="5" t="str">
        <x:v>用户App-直播模块</x:v>
      </x:c>
      <x:c r="G61" s="5" t="str">
        <x:v>主播在直播中新增或取消目标用户的长期房管身份</x:v>
      </x:c>
      <x:c r="H61" s="5" t="str">
        <x:v>跨端与跨模块一致性</x:v>
      </x:c>
      <x:c r="I61" s="9" t="str">
        <x:v>操作成功后，目标用户从何时开始获得或失去房管操作权限？</x:v>
      </x:c>
      <x:c r="J61" s="5" t="str">
        <x:v>A. 当前直播中立即变化，后续直播继续沿用变化后的身份
B. 当前直播身份不变，从下一场直播开始变化
C. 目标用户重新进入当前直播间后变化，后续直播继续沿用
D. 其他：请补充当前直播和后续直播各自的生效时点</x:v>
      </x:c>
      <x:c r="K61" s="10" t="str">
        <x:v>建议 A；与长期房管关系的业务定义一致，主播操作后可立即使用。</x:v>
      </x:c>
      <x:c r="L61" s="14" t="str"/>
      <x:c r="M61" s="14" t="str"/>
      <x:c r="N61" s="5" t="str">
        <x:v>1. 需求明确禁言、踢出、拉黑和房管变更的业务作用域
2. 原型展示主播或房管侧操作入口</x:v>
      </x:c>
      <x:c r="O61" s="5" t="str">
        <x:v>1. 目标用户当前直播的房管入口
2. 目标用户当前直播的管理权限
3. 目标用户后续直播的房管身份</x:v>
      </x:c>
      <x:c r="P61" s="5" t="str">
        <x:v>1. LIVE-127 至 LIVE-134
2. LIVE-207 至 LIVE-208</x:v>
      </x:c>
      <x:c r="Q61" s="5" t="str"/>
      <x:c r="R61" s="5" t="str">
        <x:v>产品</x:v>
      </x:c>
      <x:c r="S61" s="5" t="str">
        <x:v>本轮回归前</x:v>
      </x:c>
      <x:c r="T61" s="5" t="str">
        <x:v>待确认</x:v>
      </x:c>
    </x:row>
    <x:row r="62" ht="55.5" customHeight="1">
      <x:c r="A62" s="15" t="str">
        <x:v>Q-023-01</x:v>
      </x:c>
      <x:c r="B62" s="19" t="str">
        <x:v>RQ-023</x:v>
      </x:c>
      <x:c r="C62" s="15" t="str"/>
      <x:c r="D62" s="15" t="str"/>
      <x:c r="E62" s="15" t="str">
        <x:v>部分阻塞</x:v>
      </x:c>
      <x:c r="F62" s="15" t="str">
        <x:v>用户App-直播模块</x:v>
      </x:c>
      <x:c r="G62" s="15" t="str">
        <x:v>连麦邀请长期未被受邀主播处理</x:v>
      </x:c>
      <x:c r="H62" s="15" t="str">
        <x:v>流程与状态</x:v>
      </x:c>
      <x:c r="I62" s="16" t="str">
        <x:v>受邀主播未处理连麦邀请时，邀请在什么具体条件下失效？</x:v>
      </x:c>
      <x:c r="J62" s="15" t="str">
        <x:v>A. 发出 30 秒后自动失效
B. 发出 60 秒后自动失效
C. 不按时间失效，仅在发起方取消、任一方结束直播或离线、房型不再支持连麦时失效
D. 其他：请补充具体秒数或完整的失效条件清单</x:v>
      </x:c>
      <x:c r="K62" s="17" t="str">
        <x:v>建议 C；是否可继续连麦直接由双方状态和房型决定，不需要猜测未定义的等待秒数。</x:v>
      </x:c>
      <x:c r="L62" s="18" t="str"/>
      <x:c r="M62" s="18" t="str"/>
      <x:c r="N62" s="15" t="str">
        <x:v>1. 原型支持发出、取消、接受、拒绝和同时收到多条连麦邀请
2. 需求只限定在线、权限、普通房和两人上限</x:v>
      </x:c>
      <x:c r="O62" s="15" t="str">
        <x:v>1. 发出邀请
2. 收到邀请</x:v>
      </x:c>
      <x:c r="P62" s="15" t="str">
        <x:v>1. LIVE-158 至 LIVE-160
2. LIVE-188</x:v>
      </x:c>
      <x:c r="Q62" s="15" t="str">
        <x:v>1. 邀请失效</x:v>
      </x:c>
      <x:c r="R62" s="15" t="str">
        <x:v>产品</x:v>
      </x:c>
      <x:c r="S62" s="15" t="str">
        <x:v>本轮回归前</x:v>
      </x:c>
      <x:c r="T62" s="15" t="str">
        <x:v>待确认</x:v>
      </x:c>
    </x:row>
    <x:row r="63" ht="55.5" customHeight="1">
      <x:c r="A63" s="5" t="str">
        <x:v>Q-023-02</x:v>
      </x:c>
      <x:c r="B63" s="22" t="str">
        <x:v>RQ-023</x:v>
      </x:c>
      <x:c r="C63" s="5" t="str"/>
      <x:c r="D63" s="5" t="str"/>
      <x:c r="E63" s="5" t="str">
        <x:v>部分阻塞</x:v>
      </x:c>
      <x:c r="F63" s="5" t="str">
        <x:v>用户App-直播模块</x:v>
      </x:c>
      <x:c r="G63" s="5" t="str">
        <x:v>邀请等待期间任一主播离线或结束直播</x:v>
      </x:c>
      <x:c r="H63" s="5" t="str">
        <x:v>流程与状态</x:v>
      </x:c>
      <x:c r="I63" s="9" t="str">
        <x:v>主播离线或结束直播后待处理邀请如何变化？</x:v>
      </x:c>
      <x:c r="J63" s="5" t="str">
        <x:v>A. 与离线或结束直播一方相关的待处理邀请立即关闭
B. 待处理邀请保留至 Q-023-01 选定的时间到期，期间不能接受
C. 对方重新开播后恢复原邀请并允许继续处理
D. 其他：请补充邀请关闭、保留或恢复的条件</x:v>
      </x:c>
      <x:c r="K63" s="10" t="str">
        <x:v>建议 A；双方已经不满足连麦前置条件，保留邀请容易产生迟到处理。</x:v>
      </x:c>
      <x:c r="L63" s="14" t="str"/>
      <x:c r="M63" s="14" t="str"/>
      <x:c r="N63" s="5" t="str">
        <x:v>1. 原型支持发出、取消、接受、拒绝和同时收到多条连麦邀请
2. 需求只限定在线、权限、普通房和两人上限</x:v>
      </x:c>
      <x:c r="O63" s="5" t="str">
        <x:v>1. 主播在线状态
2. 直播场次
3. 连麦邀请</x:v>
      </x:c>
      <x:c r="P63" s="5" t="str">
        <x:v>1. LIVE-172 至 LIVE-175</x:v>
      </x:c>
      <x:c r="Q63" s="5" t="str">
        <x:v>1. 邀请期间结束直播</x:v>
      </x:c>
      <x:c r="R63" s="5" t="str">
        <x:v>产品</x:v>
      </x:c>
      <x:c r="S63" s="5" t="str">
        <x:v>本轮回归前</x:v>
      </x:c>
      <x:c r="T63" s="5" t="str">
        <x:v>待确认</x:v>
      </x:c>
    </x:row>
    <x:row r="64" ht="55.5" customHeight="1">
      <x:c r="A64" s="5" t="str">
        <x:v>Q-023-03</x:v>
      </x:c>
      <x:c r="B64" s="22" t="str">
        <x:v>RQ-023</x:v>
      </x:c>
      <x:c r="C64" s="5" t="str"/>
      <x:c r="D64" s="5" t="str"/>
      <x:c r="E64" s="5" t="str">
        <x:v>部分阻塞</x:v>
      </x:c>
      <x:c r="F64" s="5" t="str">
        <x:v>用户App-直播模块</x:v>
      </x:c>
      <x:c r="G64" s="5" t="str">
        <x:v>邀请等待期间任一直播间切换为门票房或密码房</x:v>
      </x:c>
      <x:c r="H64" s="5" t="str">
        <x:v>流程与状态</x:v>
      </x:c>
      <x:c r="I64" s="9" t="str">
        <x:v>房型变为不支持连麦后待处理邀请如何变化？</x:v>
      </x:c>
      <x:c r="J64" s="5" t="str">
        <x:v>A. 邀请立即关闭
B. 保留邀请但禁止接受
C. 房型恢复普通房后继续处理
D. 其他：请补充规则</x:v>
      </x:c>
      <x:c r="K64" s="10" t="str">
        <x:v>建议 A；特殊房型不支持连麦，关闭邀请可以保持状态一致。</x:v>
      </x:c>
      <x:c r="L64" s="14" t="str"/>
      <x:c r="M64" s="14" t="str"/>
      <x:c r="N64" s="5" t="str">
        <x:v>1. 原型支持发出、取消、接受、拒绝和同时收到多条连麦邀请
2. 需求只限定在线、权限、普通房和两人上限</x:v>
      </x:c>
      <x:c r="O64" s="5" t="str">
        <x:v>1. 房型变更
2. 连麦邀请</x:v>
      </x:c>
      <x:c r="P64" s="5" t="str">
        <x:v>1. LIVE-169 至 LIVE-170
2. LIVE-191 至 LIVE-192</x:v>
      </x:c>
      <x:c r="Q64" s="5" t="str"/>
      <x:c r="R64" s="5" t="str">
        <x:v>产品</x:v>
      </x:c>
      <x:c r="S64" s="5" t="str">
        <x:v>本轮回归前</x:v>
      </x:c>
      <x:c r="T64" s="5" t="str">
        <x:v>待确认</x:v>
      </x:c>
    </x:row>
    <x:row r="65" ht="55.5" customHeight="1">
      <x:c r="A65" s="5" t="str">
        <x:v>Q-023-04</x:v>
      </x:c>
      <x:c r="B65" s="22" t="str">
        <x:v>RQ-023</x:v>
      </x:c>
      <x:c r="C65" s="5" t="str"/>
      <x:c r="D65" s="5" t="str"/>
      <x:c r="E65" s="5" t="str">
        <x:v>部分阻塞</x:v>
      </x:c>
      <x:c r="F65" s="5" t="str">
        <x:v>用户App-直播模块</x:v>
      </x:c>
      <x:c r="G65" s="5" t="str">
        <x:v>主播几乎同时处理多条邀请或收到迟到响应</x:v>
      </x:c>
      <x:c r="H65" s="5" t="str">
        <x:v>流程与状态</x:v>
      </x:c>
      <x:c r="I65" s="9" t="str">
        <x:v>多条连麦邀请几乎同时被接受时，系统最终应保留哪一个连麦关系？</x:v>
      </x:c>
      <x:c r="J65" s="5" t="str">
        <x:v>A. 保留最先成功建立的连麦关系，并关闭其他待处理邀请
B. 保留最后成功建立的连麦关系，并结束此前建立的关系
C. 不建立任何连麦关系，全部返回失败后由主播重新选择
D. 其他：请补充最终保留的关系和其余邀请结果</x:v>
      </x:c>
      <x:c r="K65" s="10" t="str">
        <x:v>建议 A；两人上限下只保留第一条成功关系，最终结果唯一且可观察。</x:v>
      </x:c>
      <x:c r="L65" s="14" t="str"/>
      <x:c r="M65" s="14" t="str"/>
      <x:c r="N65" s="5" t="str">
        <x:v>1. 原型支持发出、取消、接受、拒绝和同时收到多条连麦邀请
2. 需求只限定在线、权限、普通房和两人上限</x:v>
      </x:c>
      <x:c r="O65" s="5" t="str">
        <x:v>1. 多条收到邀请
2. 两人连麦上限
3. 迟到响应</x:v>
      </x:c>
      <x:c r="P65" s="5" t="str">
        <x:v>1. LIVE-171
2. LIVE-189</x:v>
      </x:c>
      <x:c r="Q65" s="5" t="str">
        <x:v>1. 并发接受邀请</x:v>
      </x:c>
      <x:c r="R65" s="5" t="str">
        <x:v>多方确认</x:v>
      </x:c>
      <x:c r="S65" s="5" t="str">
        <x:v>本轮回归前</x:v>
      </x:c>
      <x:c r="T65" s="5" t="str">
        <x:v>待确认</x:v>
      </x:c>
    </x:row>
    <x:row r="66" ht="103.5" customHeight="1" collapsed="1">
      <x:c r="A66" s="15" t="str">
        <x:v>Q-019-01</x:v>
      </x:c>
      <x:c r="B66" s="19" t="str">
        <x:v>RQ-019</x:v>
      </x:c>
      <x:c r="C66" s="15" t="str"/>
      <x:c r="D66" s="15" t="str"/>
      <x:c r="E66" s="15" t="str">
        <x:v>不阻塞</x:v>
      </x:c>
      <x:c r="F66" s="15" t="str">
        <x:v>用户App-直播模块</x:v>
      </x:c>
      <x:c r="G66" s="15" t="str">
        <x:v>用户完成关注、评论、加入粉丝团、转发、修改房间密码、禁言/踢出/拉黑/房管变更、购票或赠礼</x:v>
      </x:c>
      <x:c r="H66" s="15" t="str">
        <x:v>交互与文案规则</x:v>
      </x:c>
      <x:c r="I66" s="16" t="str">
        <x:v>上述操作中，哪些在页面状态变化之外还必须展示成功或失败提示？</x:v>
      </x:c>
      <x:c r="J66" s="15" t="str">
        <x:v>A. 仅页面没有持续可见结果的操作展示提示
B. 列出的全部操作都展示提示
C. 仅修改房间密码、禁言/踢出/拉黑/房管变更、购票和赠礼展示提示
D. 仅按当前动态原型已经展示的提示执行，不新增统一提示范围</x:v>
      </x:c>
      <x:c r="K66" s="17" t="str">
        <x:v>建议 A；用户无法从页面持续状态判断结果时再补充提示，可减少重复反馈。</x:v>
      </x:c>
      <x:c r="L66" s="18" t="str"/>
      <x:c r="M66" s="18" t="str"/>
      <x:c r="N66" s="15" t="str">
        <x:v>1. 动态原型对部分关键写操作提供成功提示
2. 部分操作只通过页面状态变化反馈</x:v>
      </x:c>
      <x:c r="O66" s="15" t="str">
        <x:v>1. 关注
2. 评论
3. 加入粉丝团
4. 转发
5. 修改房间密码
6. 禁言、踢出、拉黑和房管变更
7. 购票
8. 赠礼</x:v>
      </x:c>
      <x:c r="P66" s="15" t="str">
        <x:v>1. LIVE-193 至 LIVE-214</x:v>
      </x:c>
      <x:c r="Q66" s="15" t="str"/>
      <x:c r="R66" s="15" t="str">
        <x:v>多方确认</x:v>
      </x:c>
      <x:c r="S66" s="15" t="str">
        <x:v>版本验收前</x:v>
      </x:c>
      <x:c r="T66" s="15" t="str">
        <x:v>待确认</x:v>
      </x:c>
    </x:row>
    <x:row r="67" ht="55.5" customHeight="1" hidden="1" outlineLevel="1">
      <x:c r="A67" s="20" t="str">
        <x:v>Q-019-02</x:v>
      </x:c>
      <x:c r="B67" s="20" t="str">
        <x:v>RQ-019</x:v>
      </x:c>
      <x:c r="C67" s="21" t="str">
        <x:v>Q-019-01</x:v>
      </x:c>
      <x:c r="D67" s="21" t="str">
        <x:v>Q-019-01 选择 A、B 或 C，已经确定需要额外提示的操作范围时</x:v>
      </x:c>
      <x:c r="E67" s="5" t="str">
        <x:v>不阻塞</x:v>
      </x:c>
      <x:c r="F67" s="5" t="str">
        <x:v>用户App-直播模块</x:v>
      </x:c>
      <x:c r="G67" s="5" t="str">
        <x:v>Q-019-01 选定的操作返回成功、失败或仍在处理中</x:v>
      </x:c>
      <x:c r="H67" s="5" t="str">
        <x:v>交互与文案规则</x:v>
      </x:c>
      <x:c r="I67" s="9" t="str">
        <x:v>这些操作的成功、失败和处理中状态统一采用哪一组反馈方式？</x:v>
      </x:c>
      <x:c r="J67" s="5" t="str">
        <x:v>A. 成功使用 Toast，失败在操作区域就地提示，处理中显示按钮状态
B. 成功和失败均使用 Toast，处理中显示按钮状态
C. 成功和失败均使用弹窗，处理中显示页面遮罩
D. 不单独提示，仅通过操作后的页面状态展示结果</x:v>
      </x:c>
      <x:c r="K67" s="10" t="str">
        <x:v>建议 A；反馈强度与处理需求匹配，失败信息也靠近操作位置。</x:v>
      </x:c>
      <x:c r="L67" s="14" t="str"/>
      <x:c r="M67" s="14" t="str"/>
      <x:c r="N67" s="5" t="str">
        <x:v>1. 动态原型对部分关键写操作提供成功提示
2. 部分操作只通过页面状态变化反馈</x:v>
      </x:c>
      <x:c r="O67" s="5" t="str">
        <x:v>1. Q-019-01 选定操作的成功反馈
2. Q-019-01 选定操作的失败反馈
3. Q-019-01 选定操作的处理中反馈</x:v>
      </x:c>
      <x:c r="P67" s="5" t="str"/>
      <x:c r="Q67" s="5" t="str">
        <x:v>1. 关键写操作成功
2. 失败和处理中反馈</x:v>
      </x:c>
      <x:c r="R67" s="5" t="str">
        <x:v>交互</x:v>
      </x:c>
      <x:c r="S67" s="5" t="str">
        <x:v>版本验收前</x:v>
      </x:c>
      <x:c r="T67" s="5" t="str">
        <x:v>待前置结论</x:v>
      </x:c>
    </x:row>
    <x:row r="68" ht="55.5" customHeight="1">
      <x:c r="A68" s="5" t="str">
        <x:v>Q-019-03</x:v>
      </x:c>
      <x:c r="B68" s="22" t="str">
        <x:v>RQ-019</x:v>
      </x:c>
      <x:c r="C68" s="5" t="str"/>
      <x:c r="D68" s="5" t="str"/>
      <x:c r="E68" s="5" t="str">
        <x:v>不阻塞</x:v>
      </x:c>
      <x:c r="F68" s="5" t="str">
        <x:v>用户App-直播模块</x:v>
      </x:c>
      <x:c r="G68" s="5" t="str">
        <x:v>关注、评论、粉丝团、转发、密码修改、房间管理、购票或赠礼在两个以上直播页面出现相同业务结果</x:v>
      </x:c>
      <x:c r="H68" s="5" t="str">
        <x:v>交互与文案规则</x:v>
      </x:c>
      <x:c r="I68" s="9" t="str">
        <x:v>同一业务结果在不同直播页面出现时，提示文案按哪一层统一？</x:v>
      </x:c>
      <x:c r="J68" s="5" t="str">
        <x:v>A. 成功和失败文案都按业务结果统一
B. 仅失败文案按业务结果统一，成功文案允许按页面区分
C. 成功和失败文案都允许按页面区分
D. 其他：请列出需要统一的业务结果和允许例外的页面</x:v>
      </x:c>
      <x:c r="K68" s="10" t="str">
        <x:v>建议 A；测试判断标准一致，用户也不会误解同一结果。</x:v>
      </x:c>
      <x:c r="L68" s="14" t="str"/>
      <x:c r="M68" s="14" t="str"/>
      <x:c r="N68" s="5" t="str">
        <x:v>1. 动态原型对部分关键写操作提供成功提示
2. 部分操作只通过页面状态变化反馈</x:v>
      </x:c>
      <x:c r="O68" s="5" t="str">
        <x:v>1. 普通房提示文案
2. 密码房提示文案
3. 门票房提示文案
4. 连麦房提示文案</x:v>
      </x:c>
      <x:c r="P68" s="5" t="str"/>
      <x:c r="Q68" s="5" t="str">
        <x:v>1. 跨页面反馈文案一致性</x:v>
      </x:c>
      <x:c r="R68" s="5" t="str">
        <x:v>交互</x:v>
      </x:c>
      <x:c r="S68" s="5" t="str">
        <x:v>版本验收前</x:v>
      </x:c>
      <x:c r="T68" s="5" t="str">
        <x:v>待确认</x:v>
      </x:c>
    </x:row>
  </x:sheetData>
  <x:conditionalFormatting sqref="E2:E68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68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68">
      <x:formula1>"阻塞测试,部分阻塞,不阻塞"</x:formula1>
    </x:dataValidation>
    <x:dataValidation type="list" sqref="H2:H68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68">
      <x:formula1>"A,B,C,D,其他"</x:formula1>
    </x:dataValidation>
    <x:dataValidation type="list" sqref="R2:R68">
      <x:formula1>"产品,交互,技术,多方确认"</x:formula1>
    </x:dataValidation>
    <x:dataValidation type="list" sqref="T2:T68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072a522d3e4b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决策明细以“需求待确认”为准；产品选择 A/B/C/D/其他，选择“其他”时填写结论补充。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COUNTA('需求待确认'!$A$2:$A$68)</x:f>
        <x:v>67</x:v>
      </x:c>
      <x:c r="B5" s="40" t="str"/>
      <x:c r="C5" s="40" t="n">
        <x:f>COUNTIF('需求待确认'!$T$2:$T$68,"待确认")</x:f>
        <x:v>56</x:v>
      </x:c>
      <x:c r="D5" s="40" t="str"/>
      <x:c r="E5" s="40" t="n">
        <x:f>COUNTIF('需求待确认'!$T$2:$T$68,"待前置结论")</x:f>
        <x:v>11</x:v>
      </x:c>
      <x:c r="F5" s="40" t="str"/>
      <x:c r="G5" s="40" t="n">
        <x:f>COUNTIF('需求待确认'!$T$2:$T$68,"已确认")</x:f>
        <x:v>0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COUNTIF('需求待确认'!$T$2:$T$68,"待前置结论")</x:f>
        <x:v>11</x:v>
      </x:c>
      <x:c r="C8" s="45" t="str">
        <x:v>阻塞测试</x:v>
      </x:c>
      <x:c r="D8" s="46" t="n">
        <x:f>COUNTIFS('需求待确认'!$E$2:$E$68,"阻塞测试",'需求待确认'!$T$2:$T$68,"待确认")</x:f>
        <x:v>14</x:v>
      </x:c>
      <x:c r="E8" s="45" t="str">
        <x:v>产品</x:v>
      </x:c>
      <x:c r="F8" s="46" t="n">
        <x:f>COUNTIFS('需求待确认'!$R$2:$R$68,"产品",'需求待确认'!$T$2:$T$68,"待确认")</x:f>
        <x:v>27</x:v>
      </x:c>
      <x:c r="G8" s="45" t="str">
        <x:v>需求组</x:v>
      </x:c>
      <x:c r="H8" s="46" t="n">
        <x:v>23</x:v>
      </x:c>
    </x:row>
    <x:row r="9" ht="23.25" customHeight="1">
      <x:c r="A9" s="45" t="str">
        <x:v>待确认</x:v>
      </x:c>
      <x:c r="B9" s="46" t="n">
        <x:f>COUNTIF('需求待确认'!$T$2:$T$68,"待确认")</x:f>
        <x:v>56</x:v>
      </x:c>
      <x:c r="C9" s="45" t="str">
        <x:v>部分阻塞</x:v>
      </x:c>
      <x:c r="D9" s="46" t="n">
        <x:f>COUNTIFS('需求待确认'!$E$2:$E$68,"部分阻塞",'需求待确认'!$T$2:$T$68,"待确认")</x:f>
        <x:v>36</x:v>
      </x:c>
      <x:c r="E9" s="45" t="str">
        <x:v>交互</x:v>
      </x:c>
      <x:c r="F9" s="46" t="n">
        <x:f>COUNTIFS('需求待确认'!$R$2:$R$68,"交互",'需求待确认'!$T$2:$T$68,"待确认")</x:f>
        <x:v>3</x:v>
      </x:c>
      <x:c r="G9" s="45" t="str">
        <x:v>追问子问题</x:v>
      </x:c>
      <x:c r="H9" s="46" t="n">
        <x:f>COUNTA('需求待确认'!$A$2:$A$68)-COUNTBLANK('需求待确认'!$C$2:$C$68)</x:f>
        <x:v>11</x:v>
      </x:c>
    </x:row>
    <x:row r="10" ht="23.25" customHeight="1">
      <x:c r="A10" s="45" t="str">
        <x:v>确认中</x:v>
      </x:c>
      <x:c r="B10" s="46" t="n">
        <x:f>COUNTIF('需求待确认'!$T$2:$T$68,"确认中")</x:f>
        <x:v>0</x:v>
      </x:c>
      <x:c r="C10" s="45" t="str">
        <x:v>不阻塞</x:v>
      </x:c>
      <x:c r="D10" s="46" t="n">
        <x:f>COUNTIFS('需求待确认'!$E$2:$E$68,"不阻塞",'需求待确认'!$T$2:$T$68,"待确认")</x:f>
        <x:v>6</x:v>
      </x:c>
      <x:c r="E10" s="45" t="str">
        <x:v>技术</x:v>
      </x:c>
      <x:c r="F10" s="46" t="n">
        <x:f>COUNTIFS('需求待确认'!$R$2:$R$68,"技术",'需求待确认'!$T$2:$T$68,"待确认")</x:f>
        <x:v>1</x:v>
      </x:c>
      <x:c r="G10" s="45" t="str">
        <x:v>未填写产品结论</x:v>
      </x:c>
      <x:c r="H10" s="46" t="n">
        <x:f>COUNTBLANK('需求待确认'!$L$2:$L$68)</x:f>
        <x:v>67</x:v>
      </x:c>
    </x:row>
    <x:row r="11" ht="23.25" customHeight="1">
      <x:c r="A11" s="45" t="str">
        <x:v>已确认</x:v>
      </x:c>
      <x:c r="B11" s="46" t="n">
        <x:f>COUNTIF('需求待确认'!$T$2:$T$68,"已确认")</x:f>
        <x:v>0</x:v>
      </x:c>
      <x:c r="C11" s="5"/>
      <x:c r="D11" s="5"/>
      <x:c r="E11" s="45" t="str">
        <x:v>多方确认</x:v>
      </x:c>
      <x:c r="F11" s="46" t="n">
        <x:f>COUNTIFS('需求待确认'!$R$2:$R$68,"多方确认",'需求待确认'!$T$2:$T$68,"待确认")</x:f>
        <x:v>25</x:v>
      </x:c>
      <x:c r="G11" s="45" t="str">
        <x:v>选其他但未补充</x:v>
      </x:c>
      <x:c r="H11" s="46" t="n">
        <x:f>COUNTIFS('需求待确认'!$L$2:$L$68,"其他",'需求待确认'!$M$2:$M$68,"")</x:f>
        <x:v>0</x:v>
      </x:c>
    </x:row>
    <x:row r="12" ht="23.25" customHeight="1">
      <x:c r="A12" s="45" t="str">
        <x:v>无需处理</x:v>
      </x:c>
      <x:c r="B12" s="46" t="n">
        <x:f>COUNTIF('需求待确认'!$T$2:$T$68,"无需处理")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处理顺序：先回答当前可回答的问题；展开父问题左侧分级按钮后，再处理由该结论触发的追问。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