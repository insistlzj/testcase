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3a50ed390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6211b75330a943bd"/>
    <x:sheet xmlns:r="http://schemas.openxmlformats.org/officeDocument/2006/relationships" name="功能测试用例" sheetId="2" r:id="Rb2a4ee78b678465b"/>
    <x:sheet xmlns:r="http://schemas.openxmlformats.org/officeDocument/2006/relationships" name="需求待确认" sheetId="3" r:id="R9d910bddad27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91539c002490b" /><Relationship Type="http://schemas.openxmlformats.org/officeDocument/2006/relationships/theme" Target="/xl/theme/theme1.xml" Id="R5614790fcade4789" /><Relationship Type="http://schemas.openxmlformats.org/officeDocument/2006/relationships/sharedStrings" Target="/xl/sharedStrings.xml" Id="Ra33bff69f70b4f25" /><Relationship Type="http://schemas.openxmlformats.org/officeDocument/2006/relationships/worksheet" Target="/xl/worksheets/sheet1.xml" Id="R6211b75330a943bd" /><Relationship Type="http://schemas.openxmlformats.org/officeDocument/2006/relationships/worksheet" Target="/xl/worksheets/sheet2.xml" Id="Rb2a4ee78b678465b" /><Relationship Type="http://schemas.openxmlformats.org/officeDocument/2006/relationships/worksheet" Target="/xl/worksheets/sheet3.xml" Id="R9d910bddad274f82" /></Relationships>
</file>

<file path=xl/tables/table1.xml><?xml version="1.0" encoding="utf-8"?>
<x:table xmlns:x="http://schemas.openxmlformats.org/spreadsheetml/2006/main" id="1" name="LiveCasesTable" displayName="LiveCasesTable" ref="A1:O252" headerRowCount="1" totalsRowCount="0" totalsRowShown="0">
  <x:autoFilter ref="A1:O252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" headerRowCount="1" totalsRowCount="0" totalsRowShown="0">
  <x:autoFilter ref="A1:T2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53d2846da84f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0479e0e69d41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阶段性-公会App-全部模块-260916-001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COUNTA('需求待确认'!$A$2:$A$2)</x:f>
        <x:v>1</x:v>
      </x:c>
      <x:c r="C5" s="13"/>
      <x:c r="D5" s="20" t="str">
        <x:v>阻塞测试</x:v>
      </x:c>
      <x:c r="E5" s="22" t="n">
        <x:f>COUNTIFS('需求待确认'!$E$2:$E$2,"阻塞测试",'需求待确认'!$T$2:$T$2,"待确认")</x:f>
        <x:v>0</x:v>
      </x:c>
      <x:c r="F5" s="13"/>
      <x:c r="G5" s="20" t="str">
        <x:v>产品</x:v>
      </x:c>
      <x:c r="H5" s="22" t="n">
        <x:f>COUNTIFS('需求待确认'!$R$2:$R$2,"产品",'需求待确认'!$T$2:$T$2,"待确认")</x:f>
        <x:v>1</x:v>
      </x:c>
    </x:row>
    <x:row r="6">
      <x:c r="A6" s="20" t="str">
        <x:v>当前可回答</x:v>
      </x:c>
      <x:c r="B6" s="22" t="n">
        <x:f>COUNTIF('需求待确认'!$T$2:$T$2,"待确认")</x:f>
        <x:v>1</x:v>
      </x:c>
      <x:c r="C6" s="13"/>
      <x:c r="D6" s="20" t="str">
        <x:v>部分阻塞</x:v>
      </x:c>
      <x:c r="E6" s="22" t="n">
        <x:f>COUNTIFS('需求待确认'!$E$2:$E$2,"部分阻塞",'需求待确认'!$T$2:$T$2,"待确认")</x:f>
        <x:v>1</x:v>
      </x:c>
      <x:c r="F6" s="13"/>
      <x:c r="G6" s="20" t="str">
        <x:v>交互</x:v>
      </x:c>
      <x:c r="H6" s="22" t="n">
        <x:f>COUNTIFS('需求待确认'!$R$2:$R$2,"交互",'需求待确认'!$T$2:$T$2,"待确认")</x:f>
        <x:v>0</x:v>
      </x:c>
    </x:row>
    <x:row r="7">
      <x:c r="A7" s="20" t="str">
        <x:v>待前置结论</x:v>
      </x:c>
      <x:c r="B7" s="22" t="n">
        <x:f>COUNTIF('需求待确认'!$T$2:$T$2,"待前置结论")</x:f>
        <x:v>0</x:v>
      </x:c>
      <x:c r="C7" s="13"/>
      <x:c r="D7" s="20" t="str">
        <x:v>不阻塞</x:v>
      </x:c>
      <x:c r="E7" s="22" t="n">
        <x:f>COUNTIFS('需求待确认'!$E$2:$E$2,"不阻塞",'需求待确认'!$T$2:$T$2,"待确认")</x:f>
        <x:v>0</x:v>
      </x:c>
      <x:c r="F7" s="13"/>
      <x:c r="G7" s="20" t="str">
        <x:v>技术</x:v>
      </x:c>
      <x:c r="H7" s="22" t="n">
        <x:f>COUNTIFS('需求待确认'!$R$2:$R$2,"技术",'需求待确认'!$T$2:$T$2,"待确认")</x:f>
        <x:v>0</x:v>
      </x:c>
    </x:row>
    <x:row r="8">
      <x:c r="A8" s="20" t="str">
        <x:v>确认中</x:v>
      </x:c>
      <x:c r="B8" s="22" t="n">
        <x:f>COUNTIF('需求待确认'!$T$2:$T$2,"确认中")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COUNTIFS('需求待确认'!$R$2:$R$2,"多方确认",'需求待确认'!$T$2:$T$2,"待确认")</x:f>
        <x:v>0</x:v>
      </x:c>
    </x:row>
    <x:row r="9">
      <x:c r="A9" s="20" t="str">
        <x:v>已确认</x:v>
      </x:c>
      <x:c r="B9" s="22" t="n">
        <x:f>COUNTIF('需求待确认'!$T$2:$T$2,"已确认")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GUILD-01-0001</x:v>
      </x:c>
      <x:c r="C2" s="10" t="str">
        <x:v>登录与首页</x:v>
      </x:c>
      <x:c r="D2" s="10" t="str">
        <x:v>公会登录（公会长视角）</x:v>
      </x:c>
      <x:c r="E2" s="10" t="str">
        <x:v>业务流程</x:v>
      </x:c>
      <x:c r="F2" s="10" t="str">
        <x:v>P0</x:v>
      </x:c>
      <x:c r="G2" s="9" t="str">
        <x:v>验证公会长有效凭证登录</x:v>
      </x:c>
      <x:c r="H2" s="9" t="str">
        <x:v>公会登录成功去向</x:v>
      </x:c>
      <x:c r="I2" s="9" t="str">
        <x:v>1. 执行角色为公会长
2. 平台已创建并启用公会长qa-chief，测试密码QaChief!2026</x:v>
      </x:c>
      <x:c r="J2" s="9" t="str">
        <x:v>1. 进入公会登录页
2. 填写公会账号为qa-chief
3. 填写密码为QaChief!2026
4. 点击登录</x:v>
      </x:c>
      <x:c r="K2" s="9" t="str">
        <x:v>进入选择公会页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来源（当前证据）：liveshow-proto/MainBasis/统一需求文档.md；位置：REQ-dda7dbff3ea0；行2715
2. 规则：BR-5ef2d75e14573dd9
3. 未动态验证</x:v>
      </x:c>
    </x:row>
    <x:row r="3" ht="85" customHeight="1">
      <x:c r="A3" s="10" t="n">
        <x:v>2</x:v>
      </x:c>
      <x:c r="B3" s="10" t="str">
        <x:v>GUILD-01-0002</x:v>
      </x:c>
      <x:c r="C3" s="10" t="str">
        <x:v>登录与首页</x:v>
      </x:c>
      <x:c r="D3" s="10" t="str">
        <x:v>公会登录（公会长视角）</x:v>
      </x:c>
      <x:c r="E3" s="10" t="str">
        <x:v>逻辑校验</x:v>
      </x:c>
      <x:c r="F3" s="10" t="str">
        <x:v>P1</x:v>
      </x:c>
      <x:c r="G3" s="9" t="str">
        <x:v>验证公会登录漏填公会账号</x:v>
      </x:c>
      <x:c r="H3" s="9" t="str">
        <x:v>公会账号必填</x:v>
      </x:c>
      <x:c r="I3" s="9" t="str">
        <x:v>1. 执行角色为公会长
2. 公会长qa-chief已启用，密码QaChief!2026</x:v>
      </x:c>
      <x:c r="J3" s="9" t="str">
        <x:v>1. 进入公会登录页
2. 填写公会账号为qa-chief
3. 填写密码为QaChief!2026
4. 清空公会账号
5. 点击登录</x:v>
      </x:c>
      <x:c r="K3" s="9" t="str">
        <x:v>不能提交缺少必填项的登录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来源（当前证据）：liveshow-proto/MainBasis/统一需求文档.md；位置：REQ-5f61f44b53b1；行2707
2. 规则：BR-b2600113f6e4a954
3. 未动态验证</x:v>
      </x:c>
    </x:row>
    <x:row r="4" ht="85" customHeight="1">
      <x:c r="A4" s="10" t="n">
        <x:v>3</x:v>
      </x:c>
      <x:c r="B4" s="10" t="str">
        <x:v>GUILD-01-0003</x:v>
      </x:c>
      <x:c r="C4" s="10" t="str">
        <x:v>登录与首页</x:v>
      </x:c>
      <x:c r="D4" s="10" t="str">
        <x:v>公会登录（公会长视角）</x:v>
      </x:c>
      <x:c r="E4" s="10" t="str">
        <x:v>逻辑校验</x:v>
      </x:c>
      <x:c r="F4" s="10" t="str">
        <x:v>P1</x:v>
      </x:c>
      <x:c r="G4" s="9" t="str">
        <x:v>验证公会登录漏填密码</x:v>
      </x:c>
      <x:c r="H4" s="9" t="str">
        <x:v>密码必填</x:v>
      </x:c>
      <x:c r="I4" s="9" t="str">
        <x:v>1. 执行角色为公会长
2. 公会长qa-chief已启用，密码QaChief!2026</x:v>
      </x:c>
      <x:c r="J4" s="9" t="str">
        <x:v>1. 进入公会登录页
2. 填写公会账号为qa-chief
3. 填写密码为QaChief!2026
4. 清空密码
5. 点击登录</x:v>
      </x:c>
      <x:c r="K4" s="9" t="str">
        <x:v>不能提交缺少必填项的登录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来源（当前证据）：liveshow-proto/MainBasis/统一需求文档.md；位置：REQ-d7201c8835b7；行2709
2. 规则：BR-37b783e07e47bd80
3. 未动态验证</x:v>
      </x:c>
    </x:row>
    <x:row r="5" ht="100" customHeight="1">
      <x:c r="A5" s="10" t="n">
        <x:v>4</x:v>
      </x:c>
      <x:c r="B5" s="10" t="str">
        <x:v>GUILD-01-0004</x:v>
      </x:c>
      <x:c r="C5" s="10" t="str">
        <x:v>登录与首页</x:v>
      </x:c>
      <x:c r="D5" s="10" t="str">
        <x:v>公会登录（公会长视角）</x:v>
      </x:c>
      <x:c r="E5" s="10" t="str">
        <x:v>异常用例</x:v>
      </x:c>
      <x:c r="F5" s="10" t="str">
        <x:v>P1</x:v>
      </x:c>
      <x:c r="G5" s="9" t="str">
        <x:v>验证账号不存在时统一提示</x:v>
      </x:c>
      <x:c r="H5" s="9" t="str">
        <x:v>公会登录错误提示</x:v>
      </x:c>
      <x:c r="I5" s="9" t="str">
        <x:v>1. 执行角色为公会长
2. qa-unknown不存在；qa-chief已启用且正确密码QaChief!2026</x:v>
      </x:c>
      <x:c r="J5" s="9" t="str">
        <x:v>1. 进入公会登录页
2. 填写公会账号为qa-unknown
3. 填写密码为Wrong!2026
4. 点击登录</x:v>
      </x:c>
      <x:c r="K5" s="9" t="str">
        <x:v>提示“账号或密码错误”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来源（当前证据）：liveshow-proto/MainBasis/统一需求文档.md；位置：REQ-d7201c8835b7；行2709、REQ-dda7dbff3ea0；行2715
2. 规则：BR-f7140390b3a6d620
3. 未动态验证</x:v>
      </x:c>
    </x:row>
    <x:row r="6" ht="100" customHeight="1">
      <x:c r="A6" s="10" t="n">
        <x:v>5</x:v>
      </x:c>
      <x:c r="B6" s="10" t="str">
        <x:v>GUILD-01-0005</x:v>
      </x:c>
      <x:c r="C6" s="10" t="str">
        <x:v>登录与首页</x:v>
      </x:c>
      <x:c r="D6" s="10" t="str">
        <x:v>公会登录（公会长视角）</x:v>
      </x:c>
      <x:c r="E6" s="10" t="str">
        <x:v>异常用例</x:v>
      </x:c>
      <x:c r="F6" s="10" t="str">
        <x:v>P1</x:v>
      </x:c>
      <x:c r="G6" s="9" t="str">
        <x:v>验证密码错误时统一提示</x:v>
      </x:c>
      <x:c r="H6" s="9" t="str">
        <x:v>公会登录错误提示</x:v>
      </x:c>
      <x:c r="I6" s="9" t="str">
        <x:v>1. 执行角色为公会长
2. qa-unknown不存在；qa-chief已启用且正确密码QaChief!2026</x:v>
      </x:c>
      <x:c r="J6" s="9" t="str">
        <x:v>1. 进入公会登录页
2. 填写公会账号为qa-chief
3. 填写密码为Wrong!2026
4. 点击登录</x:v>
      </x:c>
      <x:c r="K6" s="9" t="str">
        <x:v>提示“账号或密码错误”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来源（当前证据）：liveshow-proto/MainBasis/统一需求文档.md；位置：REQ-d7201c8835b7；行2709、REQ-dda7dbff3ea0；行2715
2. 规则：BR-76d422da87c8c340
3. 未动态验证</x:v>
      </x:c>
    </x:row>
    <x:row r="7" ht="85" customHeight="1">
      <x:c r="A7" s="10" t="n">
        <x:v>6</x:v>
      </x:c>
      <x:c r="B7" s="10" t="str">
        <x:v>GUILD-01-0006</x:v>
      </x:c>
      <x:c r="C7" s="10" t="str">
        <x:v>登录与首页</x:v>
      </x:c>
      <x:c r="D7" s="10" t="str">
        <x:v>公会登录（公会长视角）</x:v>
      </x:c>
      <x:c r="E7" s="10" t="str">
        <x:v>逻辑校验</x:v>
      </x:c>
      <x:c r="F7" s="10" t="str">
        <x:v>P1</x:v>
      </x:c>
      <x:c r="G7" s="9" t="str">
        <x:v>验证停用公会长不能登录</x:v>
      </x:c>
      <x:c r="H7" s="9" t="str">
        <x:v>公会长停用登录限制</x:v>
      </x:c>
      <x:c r="I7" s="9" t="str">
        <x:v>1. 执行角色为公会长
2. 平台已经停用该公会长，密码仍为原正确值</x:v>
      </x:c>
      <x:c r="J7" s="9" t="str">
        <x:v>1. 进入公会登录页
2. 填写公会账号为已停用账号
3. 填写密码为原正确密码
4. 点击登录</x:v>
      </x:c>
      <x:c r="K7" s="9" t="str">
        <x:v>不能进入选择公会页</x:v>
      </x:c>
      <x:c r="L7" s="10" t="str">
        <x:v>FLOW-AEA28E2203</x:v>
      </x:c>
      <x:c r="M7" s="10" t="str">
        <x:v>未测</x:v>
      </x:c>
      <x:c r="N7" s="10" t="str"/>
      <x:c r="O7" s="9" t="str">
        <x:v>1. 来源（当前证据）：liveshow-proto/MainBasis/统一需求文档.md；位置：REQ-15b87f23d830；行2713
2. 规则：BR-3f2fffc97db70ae6
3. 未动态验证</x:v>
      </x:c>
    </x:row>
    <x:row r="8" ht="85" customHeight="1">
      <x:c r="A8" s="10" t="n">
        <x:v>7</x:v>
      </x:c>
      <x:c r="B8" s="10" t="str">
        <x:v>GUILD-01-0007</x:v>
      </x:c>
      <x:c r="C8" s="10" t="str">
        <x:v>登录与首页</x:v>
      </x:c>
      <x:c r="D8" s="10" t="str">
        <x:v>公会登录（运营账号视角）</x:v>
      </x:c>
      <x:c r="E8" s="10" t="str">
        <x:v>逻辑校验</x:v>
      </x:c>
      <x:c r="F8" s="10" t="str">
        <x:v>P1</x:v>
      </x:c>
      <x:c r="G8" s="9" t="str">
        <x:v>验证运营账号不能冒用公会登录</x:v>
      </x:c>
      <x:c r="H8" s="9" t="str">
        <x:v>公会登录角色边界</x:v>
      </x:c>
      <x:c r="I8" s="9" t="str">
        <x:v>1. 执行角色为运营账号
2. 运营账号qa-ops及其密码有效</x:v>
      </x:c>
      <x:c r="J8" s="9" t="str">
        <x:v>1. 进入公会登录页
2. 填写公会账号为qa-ops
3. 填写密码为该运营账号密码
4. 点击登录</x:v>
      </x:c>
      <x:c r="K8" s="9" t="str">
        <x:v>不能进入选择公会页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来源（当前证据）：liveshow-proto/MainBasis/统一需求文档.md；位置：REQ-76a4e00d61ef；行2711
2. 规则：BR-c3ba98c0bd450da4
3. 未动态验证</x:v>
      </x:c>
    </x:row>
    <x:row r="9" ht="85" customHeight="1">
      <x:c r="A9" s="10" t="n">
        <x:v>8</x:v>
      </x:c>
      <x:c r="B9" s="10" t="str">
        <x:v>GUILD-01-0008</x:v>
      </x:c>
      <x:c r="C9" s="10" t="str">
        <x:v>登录与首页</x:v>
      </x:c>
      <x:c r="D9" s="10" t="str">
        <x:v>选择公会（公会长视角）</x:v>
      </x:c>
      <x:c r="E9" s="10" t="str">
        <x:v>逻辑校验</x:v>
      </x:c>
      <x:c r="F9" s="10" t="str">
        <x:v>P1</x:v>
      </x:c>
      <x:c r="G9" s="9" t="str">
        <x:v>验证选择公会限定管理范围</x:v>
      </x:c>
      <x:c r="H9" s="9" t="str">
        <x:v>可管理公会范围</x:v>
      </x:c>
      <x:c r="I9" s="9" t="str">
        <x:v>1. 执行角色为公会长
2. 账号可管理公会A和已解散B，无权管理C</x:v>
      </x:c>
      <x:c r="J9" s="9" t="str">
        <x:v>1. 进入选择公会页</x:v>
      </x:c>
      <x:c r="K9" s="9" t="str">
        <x:v>可选择公会仅包含A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来源（当前证据）：liveshow-proto/MainBasis/统一需求文档.md；位置：REQ-b8c4f29fd3e0；行2728
2. 规则：BR-4d20fdedde905369
3. 未动态验证</x:v>
      </x:c>
    </x:row>
    <x:row r="10" ht="85" customHeight="1">
      <x:c r="A10" s="10" t="n">
        <x:v>9</x:v>
      </x:c>
      <x:c r="B10" s="10" t="str">
        <x:v>GUILD-01-0009</x:v>
      </x:c>
      <x:c r="C10" s="10" t="str">
        <x:v>登录与首页</x:v>
      </x:c>
      <x:c r="D10" s="10" t="str">
        <x:v>选择公会（公会长视角）</x:v>
      </x:c>
      <x:c r="E10" s="10" t="str">
        <x:v>逻辑校验</x:v>
      </x:c>
      <x:c r="F10" s="10" t="str">
        <x:v>P1</x:v>
      </x:c>
      <x:c r="G10" s="9" t="str">
        <x:v>验证切换到另一可管理公会</x:v>
      </x:c>
      <x:c r="H10" s="9" t="str">
        <x:v>切换公会首页数据</x:v>
      </x:c>
      <x:c r="I10" s="9" t="str">
        <x:v>1. 执行角色为公会长
2. 当前为A，账号有权管理B</x:v>
      </x:c>
      <x:c r="J10" s="9" t="str">
        <x:v>1. 进入选择公会页
2. 点击选择公会B</x:v>
      </x:c>
      <x:c r="K10" s="9" t="str">
        <x:v>首页显示公会B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来源（当前证据）：liveshow-proto/MainBasis/统一需求文档.md；位置：REQ-b8cc4e99b745；行2730
2. 规则：BR-ddaf948f6ebe52fa
3. 未动态验证</x:v>
      </x:c>
    </x:row>
    <x:row r="11" ht="85" customHeight="1">
      <x:c r="A11" s="10" t="n">
        <x:v>10</x:v>
      </x:c>
      <x:c r="B11" s="10" t="str">
        <x:v>GUILD-01-0010</x:v>
      </x:c>
      <x:c r="C11" s="10" t="str">
        <x:v>登录与首页</x:v>
      </x:c>
      <x:c r="D11" s="10" t="str">
        <x:v>选择公会（公会长视角）</x:v>
      </x:c>
      <x:c r="E11" s="10" t="str">
        <x:v>功能需求</x:v>
      </x:c>
      <x:c r="F11" s="10" t="str">
        <x:v>P2</x:v>
      </x:c>
      <x:c r="G11" s="9" t="str">
        <x:v>验证选择公会页标记当前对象</x:v>
      </x:c>
      <x:c r="H11" s="9" t="str">
        <x:v>当前管理公会标识</x:v>
      </x:c>
      <x:c r="I11" s="9" t="str">
        <x:v>1. 执行角色为公会长
2. 当前管理公会为A</x:v>
      </x:c>
      <x:c r="J11" s="9" t="str">
        <x:v>1. 进入选择公会页</x:v>
      </x:c>
      <x:c r="K11" s="9" t="str">
        <x:v>公会A显示“当前公会”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来源（当前证据）：liveshow-proto/MainBasis/统一需求文档.md；位置：REQ-225adc4fd6df；行2726
2. 规则：BR-fc7c508702c6aaf7
3. 未动态验证</x:v>
      </x:c>
    </x:row>
    <x:row r="12" ht="85" customHeight="1">
      <x:c r="A12" s="10" t="n">
        <x:v>11</x:v>
      </x:c>
      <x:c r="B12" s="10" t="str">
        <x:v>GUILD-01-0011</x:v>
      </x:c>
      <x:c r="C12" s="10" t="str">
        <x:v>登录与首页</x:v>
      </x:c>
      <x:c r="D12" s="10" t="str">
        <x:v>首页（公会长视角）</x:v>
      </x:c>
      <x:c r="E12" s="10" t="str">
        <x:v>逻辑校验</x:v>
      </x:c>
      <x:c r="F12" s="10" t="str">
        <x:v>P1</x:v>
      </x:c>
      <x:c r="G12" s="9" t="str">
        <x:v>验证首页统计在播主播人数</x:v>
      </x:c>
      <x:c r="H12" s="9" t="str">
        <x:v>公会实时在播人数</x:v>
      </x:c>
      <x:c r="I12" s="9" t="str">
        <x:v>1. 执行角色为公会长
2. 公会A有主播甲、乙在播，丙已下播，其他公会另有主播在播</x:v>
      </x:c>
      <x:c r="J12" s="9" t="str">
        <x:v>1. 进入首页页</x:v>
      </x:c>
      <x:c r="K12" s="9" t="str">
        <x:v>直播中显示2人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来源（当前证据）：liveshow-proto/MainBasis/统一需求文档.md；位置：REQ-e912d0aca3d6；行2743
2. 规则：BR-5741a9bf507fc147
3. 未动态验证</x:v>
      </x:c>
    </x:row>
    <x:row r="13" ht="85" customHeight="1">
      <x:c r="A13" s="10" t="n">
        <x:v>12</x:v>
      </x:c>
      <x:c r="B13" s="10" t="str">
        <x:v>GUILD-01-0012</x:v>
      </x:c>
      <x:c r="C13" s="10" t="str">
        <x:v>登录与首页</x:v>
      </x:c>
      <x:c r="D13" s="10" t="str">
        <x:v>首页（公会长视角）</x:v>
      </x:c>
      <x:c r="E13" s="10" t="str">
        <x:v>逻辑校验</x:v>
      </x:c>
      <x:c r="F13" s="10" t="str">
        <x:v>P1</x:v>
      </x:c>
      <x:c r="G13" s="9" t="str">
        <x:v>验证首页统计有效天达标主播</x:v>
      </x:c>
      <x:c r="H13" s="9" t="str">
        <x:v>公会有效天达标人数</x:v>
      </x:c>
      <x:c r="I13" s="9" t="str">
        <x:v>1. 执行角色为公会长
2. 当前公会甲当天有效直播180分钟、乙179分钟、丙360分钟</x:v>
      </x:c>
      <x:c r="J13" s="9" t="str">
        <x:v>1. 进入首页页</x:v>
      </x:c>
      <x:c r="K13" s="9" t="str">
        <x:v>达成有效天显示2人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来源（当前证据）：liveshow-proto/MainBasis/统一需求文档.md；位置：REQ-6504613d1273；行2745
2. 规则：BR-5a9d02b27beffb77
3. 未动态验证</x:v>
      </x:c>
    </x:row>
    <x:row r="14" ht="85" customHeight="1">
      <x:c r="A14" s="10" t="n">
        <x:v>13</x:v>
      </x:c>
      <x:c r="B14" s="10" t="str">
        <x:v>GUILD-01-0013</x:v>
      </x:c>
      <x:c r="C14" s="10" t="str">
        <x:v>登录与首页</x:v>
      </x:c>
      <x:c r="D14" s="10" t="str">
        <x:v>首页（公会长视角）</x:v>
      </x:c>
      <x:c r="E14" s="10" t="str">
        <x:v>逻辑校验</x:v>
      </x:c>
      <x:c r="F14" s="10" t="str">
        <x:v>P1</x:v>
      </x:c>
      <x:c r="G14" s="9" t="str">
        <x:v>验证公会首页收益不等于最终分成</x:v>
      </x:c>
      <x:c r="H14" s="9" t="str">
        <x:v>公会当日金币收益</x:v>
      </x:c>
      <x:c r="I14" s="9" t="str">
        <x:v>1. 执行角色为公会长
2. 当天在会主播甲收益1000金币、乙500金币；财务上传分成为10美元</x:v>
      </x:c>
      <x:c r="J14" s="9" t="str">
        <x:v>1. 进入首页页</x:v>
      </x:c>
      <x:c r="K14" s="9" t="str">
        <x:v>当日收益 = 1500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来源（当前证据）：liveshow-proto/MainBasis/统一需求文档.md；位置：REQ-6a94a8b12ee1；行2741
2. 规则：BR-5adf62d88a989a29
3. 未动态验证</x:v>
      </x:c>
    </x:row>
    <x:row r="15" ht="85" customHeight="1">
      <x:c r="A15" s="10" t="n">
        <x:v>14</x:v>
      </x:c>
      <x:c r="B15" s="10" t="str">
        <x:v>GUILD-01-0014</x:v>
      </x:c>
      <x:c r="C15" s="10" t="str">
        <x:v>登录与首页</x:v>
      </x:c>
      <x:c r="D15" s="10" t="str">
        <x:v>首页（公会长视角）</x:v>
      </x:c>
      <x:c r="E15" s="10" t="str">
        <x:v>功能需求</x:v>
      </x:c>
      <x:c r="F15" s="10" t="str">
        <x:v>P2</x:v>
      </x:c>
      <x:c r="G15" s="9" t="str">
        <x:v>验证首页进入公会名称</x:v>
      </x:c>
      <x:c r="H15" s="9" t="str">
        <x:v>公会首页公会名称入口</x:v>
      </x:c>
      <x:c r="I15" s="9" t="str">
        <x:v>1. 执行角色为公会长</x:v>
      </x:c>
      <x:c r="J15" s="9" t="str">
        <x:v>1. 进入首页页
2. 点击公会名称</x:v>
      </x:c>
      <x:c r="K15" s="9" t="str">
        <x:v>进入选择公会页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来源（当前证据）：liveshow-proto/MainBasis/统一需求文档.md；位置：REQ-6913df3ee9d5；行2735
2. 规则：BR-e1e55c4fb9309911
3. 未动态验证</x:v>
      </x:c>
    </x:row>
    <x:row r="16" ht="85" customHeight="1">
      <x:c r="A16" s="10" t="n">
        <x:v>15</x:v>
      </x:c>
      <x:c r="B16" s="10" t="str">
        <x:v>GUILD-01-0015</x:v>
      </x:c>
      <x:c r="C16" s="10" t="str">
        <x:v>登录与首页</x:v>
      </x:c>
      <x:c r="D16" s="10" t="str">
        <x:v>首页（公会长视角）</x:v>
      </x:c>
      <x:c r="E16" s="10" t="str">
        <x:v>功能需求</x:v>
      </x:c>
      <x:c r="F16" s="10" t="str">
        <x:v>P2</x:v>
      </x:c>
      <x:c r="G16" s="9" t="str">
        <x:v>验证首页进入通知</x:v>
      </x:c>
      <x:c r="H16" s="9" t="str">
        <x:v>公会首页通知入口</x:v>
      </x:c>
      <x:c r="I16" s="9" t="str">
        <x:v>1. 执行角色为公会长</x:v>
      </x:c>
      <x:c r="J16" s="9" t="str">
        <x:v>1. 进入首页页
2. 点击通知</x:v>
      </x:c>
      <x:c r="K16" s="9" t="str">
        <x:v>进入通知消息页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来源（当前证据）：liveshow-proto/MainBasis/统一需求文档.md；位置：REQ-3b9a4901a62b；行2737
2. 规则：BR-f5bbb13919012a38
3. 未动态验证</x:v>
      </x:c>
    </x:row>
    <x:row r="17" ht="85" customHeight="1">
      <x:c r="A17" s="10" t="n">
        <x:v>16</x:v>
      </x:c>
      <x:c r="B17" s="10" t="str">
        <x:v>GUILD-01-0016</x:v>
      </x:c>
      <x:c r="C17" s="10" t="str">
        <x:v>登录与首页</x:v>
      </x:c>
      <x:c r="D17" s="10" t="str">
        <x:v>首页（公会长视角）</x:v>
      </x:c>
      <x:c r="E17" s="10" t="str">
        <x:v>功能需求</x:v>
      </x:c>
      <x:c r="F17" s="10" t="str">
        <x:v>P2</x:v>
      </x:c>
      <x:c r="G17" s="9" t="str">
        <x:v>验证首页进入账号设置</x:v>
      </x:c>
      <x:c r="H17" s="9" t="str">
        <x:v>公会首页账号设置入口</x:v>
      </x:c>
      <x:c r="I17" s="9" t="str">
        <x:v>1. 执行角色为公会长</x:v>
      </x:c>
      <x:c r="J17" s="9" t="str">
        <x:v>1. 进入首页页
2. 点击账号设置</x:v>
      </x:c>
      <x:c r="K17" s="9" t="str">
        <x:v>进入账号设置页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来源（当前证据）：liveshow-proto/MainBasis/统一需求文档.md；位置：REQ-498d6cecdd5e；行2739
2. 规则：BR-c2ff6436e231b1aa
3. 未动态验证</x:v>
      </x:c>
    </x:row>
    <x:row r="18" ht="85" customHeight="1">
      <x:c r="A18" s="10" t="n">
        <x:v>17</x:v>
      </x:c>
      <x:c r="B18" s="10" t="str">
        <x:v>GUILD-01-0017</x:v>
      </x:c>
      <x:c r="C18" s="10" t="str">
        <x:v>登录与首页</x:v>
      </x:c>
      <x:c r="D18" s="10" t="str">
        <x:v>首页（公会长视角）</x:v>
      </x:c>
      <x:c r="E18" s="10" t="str">
        <x:v>功能需求</x:v>
      </x:c>
      <x:c r="F18" s="10" t="str">
        <x:v>P2</x:v>
      </x:c>
      <x:c r="G18" s="9" t="str">
        <x:v>验证首页进入今日概况</x:v>
      </x:c>
      <x:c r="H18" s="9" t="str">
        <x:v>公会首页今日概况入口</x:v>
      </x:c>
      <x:c r="I18" s="9" t="str">
        <x:v>1. 执行角色为公会长</x:v>
      </x:c>
      <x:c r="J18" s="9" t="str">
        <x:v>1. 进入首页页
2. 点击今日概况</x:v>
      </x:c>
      <x:c r="K18" s="9" t="str">
        <x:v>进入当日经营详情页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来源（当前证据）：liveshow-proto/MainBasis/统一需求文档.md；位置：REQ-1d3b1a61a3da；行2751
2. 规则：BR-b1d9788b0a6e69af
3. 未动态验证</x:v>
      </x:c>
    </x:row>
    <x:row r="19" ht="85" customHeight="1">
      <x:c r="A19" s="10" t="n">
        <x:v>18</x:v>
      </x:c>
      <x:c r="B19" s="10" t="str">
        <x:v>GUILD-01-0018</x:v>
      </x:c>
      <x:c r="C19" s="10" t="str">
        <x:v>登录与首页</x:v>
      </x:c>
      <x:c r="D19" s="10" t="str">
        <x:v>通知消息（公会长视角）</x:v>
      </x:c>
      <x:c r="E19" s="10" t="str">
        <x:v>功能需求</x:v>
      </x:c>
      <x:c r="F19" s="10" t="str">
        <x:v>P2</x:v>
      </x:c>
      <x:c r="G19" s="9" t="str">
        <x:v>验证公会通知展示入会申请事件</x:v>
      </x:c>
      <x:c r="H19" s="9" t="str">
        <x:v>公会入会申请通知</x:v>
      </x:c>
      <x:c r="I19" s="9" t="str">
        <x:v>1. 执行角色为公会长
2. 环境准备：当前管理公会已产生一条入会申请通知</x:v>
      </x:c>
      <x:c r="J19" s="9" t="str">
        <x:v>1. 进入通知消息页</x:v>
      </x:c>
      <x:c r="K19" s="9" t="str">
        <x:v>列表显示该入会申请通知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来源（当前证据）：liveshow-proto/MainBasis/统一需求文档.md；位置：REQ-fbccc72d47be；行2764
2. 规则：BR-ed8a630e174e4173
3. 未动态验证</x:v>
      </x:c>
    </x:row>
    <x:row r="20" ht="85" customHeight="1">
      <x:c r="A20" s="10" t="n">
        <x:v>19</x:v>
      </x:c>
      <x:c r="B20" s="10" t="str">
        <x:v>GUILD-01-0019</x:v>
      </x:c>
      <x:c r="C20" s="10" t="str">
        <x:v>登录与首页</x:v>
      </x:c>
      <x:c r="D20" s="10" t="str">
        <x:v>通知消息（公会长视角）</x:v>
      </x:c>
      <x:c r="E20" s="10" t="str">
        <x:v>功能需求</x:v>
      </x:c>
      <x:c r="F20" s="10" t="str">
        <x:v>P2</x:v>
      </x:c>
      <x:c r="G20" s="9" t="str">
        <x:v>验证公会通知展示平台终审结果事件</x:v>
      </x:c>
      <x:c r="H20" s="9" t="str">
        <x:v>公会平台终审结果通知</x:v>
      </x:c>
      <x:c r="I20" s="9" t="str">
        <x:v>1. 执行角色为公会长
2. 环境准备：当前管理公会已产生一条平台终审结果通知</x:v>
      </x:c>
      <x:c r="J20" s="9" t="str">
        <x:v>1. 进入通知消息页</x:v>
      </x:c>
      <x:c r="K20" s="9" t="str">
        <x:v>列表显示该平台终审结果通知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来源（当前证据）：liveshow-proto/MainBasis/统一需求文档.md；位置：REQ-fbccc72d47be；行2764
2. 规则：BR-0f18f9e197730521
3. 未动态验证</x:v>
      </x:c>
    </x:row>
    <x:row r="21" ht="85" customHeight="1">
      <x:c r="A21" s="10" t="n">
        <x:v>20</x:v>
      </x:c>
      <x:c r="B21" s="10" t="str">
        <x:v>GUILD-01-0020</x:v>
      </x:c>
      <x:c r="C21" s="10" t="str">
        <x:v>登录与首页</x:v>
      </x:c>
      <x:c r="D21" s="10" t="str">
        <x:v>通知消息（公会长视角）</x:v>
      </x:c>
      <x:c r="E21" s="10" t="str">
        <x:v>功能需求</x:v>
      </x:c>
      <x:c r="F21" s="10" t="str">
        <x:v>P2</x:v>
      </x:c>
      <x:c r="G21" s="9" t="str">
        <x:v>验证公会通知展示退会申请事件</x:v>
      </x:c>
      <x:c r="H21" s="9" t="str">
        <x:v>公会退会申请通知</x:v>
      </x:c>
      <x:c r="I21" s="9" t="str">
        <x:v>1. 执行角色为公会长
2. 环境准备：当前管理公会已产生一条退会申请通知</x:v>
      </x:c>
      <x:c r="J21" s="9" t="str">
        <x:v>1. 进入通知消息页</x:v>
      </x:c>
      <x:c r="K21" s="9" t="str">
        <x:v>列表显示该退会申请通知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来源（当前证据）：liveshow-proto/MainBasis/统一需求文档.md；位置：REQ-fbccc72d47be；行2764
2. 规则：BR-420b4138af86b0e7
3. 未动态验证</x:v>
      </x:c>
    </x:row>
    <x:row r="22" ht="85" customHeight="1">
      <x:c r="A22" s="10" t="n">
        <x:v>21</x:v>
      </x:c>
      <x:c r="B22" s="10" t="str">
        <x:v>GUILD-01-0021</x:v>
      </x:c>
      <x:c r="C22" s="10" t="str">
        <x:v>登录与首页</x:v>
      </x:c>
      <x:c r="D22" s="10" t="str">
        <x:v>通知消息（公会长视角）</x:v>
      </x:c>
      <x:c r="E22" s="10" t="str">
        <x:v>功能需求</x:v>
      </x:c>
      <x:c r="F22" s="10" t="str">
        <x:v>P2</x:v>
      </x:c>
      <x:c r="G22" s="9" t="str">
        <x:v>验证公会通知展示直播权限事件</x:v>
      </x:c>
      <x:c r="H22" s="9" t="str">
        <x:v>公会直播权限通知</x:v>
      </x:c>
      <x:c r="I22" s="9" t="str">
        <x:v>1. 执行角色为公会长
2. 环境准备：当前管理公会已产生一条直播权限通知</x:v>
      </x:c>
      <x:c r="J22" s="9" t="str">
        <x:v>1. 进入通知消息页</x:v>
      </x:c>
      <x:c r="K22" s="9" t="str">
        <x:v>列表显示该直播权限通知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来源（当前证据）：liveshow-proto/MainBasis/统一需求文档.md；位置：REQ-4d0543771bfa；行2766
2. 规则：BR-07dcd670a9fe0fd6
3. 未动态验证</x:v>
      </x:c>
    </x:row>
    <x:row r="23" ht="85" customHeight="1">
      <x:c r="A23" s="10" t="n">
        <x:v>22</x:v>
      </x:c>
      <x:c r="B23" s="10" t="str">
        <x:v>GUILD-01-0022</x:v>
      </x:c>
      <x:c r="C23" s="10" t="str">
        <x:v>登录与首页</x:v>
      </x:c>
      <x:c r="D23" s="10" t="str">
        <x:v>通知消息（公会长视角）</x:v>
      </x:c>
      <x:c r="E23" s="10" t="str">
        <x:v>功能需求</x:v>
      </x:c>
      <x:c r="F23" s="10" t="str">
        <x:v>P2</x:v>
      </x:c>
      <x:c r="G23" s="9" t="str">
        <x:v>验证公会通知展示公会状态事件</x:v>
      </x:c>
      <x:c r="H23" s="9" t="str">
        <x:v>公会公会状态通知</x:v>
      </x:c>
      <x:c r="I23" s="9" t="str">
        <x:v>1. 执行角色为公会长
2. 环境准备：当前管理公会已产生一条公会状态通知</x:v>
      </x:c>
      <x:c r="J23" s="9" t="str">
        <x:v>1. 进入通知消息页</x:v>
      </x:c>
      <x:c r="K23" s="9" t="str">
        <x:v>列表显示该公会状态通知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来源（当前证据）：liveshow-proto/MainBasis/统一需求文档.md；位置：REQ-ad9fa1638ecd；行2768
2. 规则：BR-fe483258caa3c428
3. 未动态验证</x:v>
      </x:c>
    </x:row>
    <x:row r="24" ht="85" customHeight="1">
      <x:c r="A24" s="10" t="n">
        <x:v>23</x:v>
      </x:c>
      <x:c r="B24" s="10" t="str">
        <x:v>GUILD-01-0023</x:v>
      </x:c>
      <x:c r="C24" s="10" t="str">
        <x:v>登录与首页</x:v>
      </x:c>
      <x:c r="D24" s="10" t="str">
        <x:v>通知消息（公会长视角）</x:v>
      </x:c>
      <x:c r="E24" s="10" t="str">
        <x:v>功能需求</x:v>
      </x:c>
      <x:c r="F24" s="10" t="str">
        <x:v>P2</x:v>
      </x:c>
      <x:c r="G24" s="9" t="str">
        <x:v>验证公会通知展示运营账号管理权限事件</x:v>
      </x:c>
      <x:c r="H24" s="9" t="str">
        <x:v>公会运营账号管理权限通知</x:v>
      </x:c>
      <x:c r="I24" s="9" t="str">
        <x:v>1. 执行角色为公会长
2. 环境准备：当前管理公会已产生一条运营账号管理权限通知</x:v>
      </x:c>
      <x:c r="J24" s="9" t="str">
        <x:v>1. 进入通知消息页</x:v>
      </x:c>
      <x:c r="K24" s="9" t="str">
        <x:v>列表显示该运营账号管理权限通知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来源（当前证据）：liveshow-proto/MainBasis/统一需求文档.md；位置：REQ-ad9fa1638ecd；行2768
2. 规则：BR-48fd6f4217f075c3
3. 未动态验证</x:v>
      </x:c>
    </x:row>
    <x:row r="25" ht="85" customHeight="1">
      <x:c r="A25" s="10" t="n">
        <x:v>24</x:v>
      </x:c>
      <x:c r="B25" s="10" t="str">
        <x:v>GUILD-01-0024</x:v>
      </x:c>
      <x:c r="C25" s="10" t="str">
        <x:v>登录与首页</x:v>
      </x:c>
      <x:c r="D25" s="10" t="str">
        <x:v>通知消息（公会长视角）</x:v>
      </x:c>
      <x:c r="E25" s="10" t="str">
        <x:v>功能需求</x:v>
      </x:c>
      <x:c r="F25" s="10" t="str">
        <x:v>P2</x:v>
      </x:c>
      <x:c r="G25" s="9" t="str">
        <x:v>验证公会通知展示主播分成事件</x:v>
      </x:c>
      <x:c r="H25" s="9" t="str">
        <x:v>公会主播分成通知</x:v>
      </x:c>
      <x:c r="I25" s="9" t="str">
        <x:v>1. 执行角色为公会长
2. 环境准备：当前管理公会已产生一条主播分成通知</x:v>
      </x:c>
      <x:c r="J25" s="9" t="str">
        <x:v>1. 进入通知消息页</x:v>
      </x:c>
      <x:c r="K25" s="9" t="str">
        <x:v>列表显示该主播分成通知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来源（当前证据）：liveshow-proto/MainBasis/统一需求文档.md；位置：REQ-bb6cd0c38874；行2770
2. 规则：BR-f9af857029821828
3. 未动态验证</x:v>
      </x:c>
    </x:row>
    <x:row r="26" ht="85" customHeight="1">
      <x:c r="A26" s="10" t="n">
        <x:v>25</x:v>
      </x:c>
      <x:c r="B26" s="10" t="str">
        <x:v>GUILD-01-0025</x:v>
      </x:c>
      <x:c r="C26" s="10" t="str">
        <x:v>登录与首页</x:v>
      </x:c>
      <x:c r="D26" s="10" t="str">
        <x:v>通知消息（公会长视角）</x:v>
      </x:c>
      <x:c r="E26" s="10" t="str">
        <x:v>功能需求</x:v>
      </x:c>
      <x:c r="F26" s="10" t="str">
        <x:v>P2</x:v>
      </x:c>
      <x:c r="G26" s="9" t="str">
        <x:v>验证公会通知展示公会分成事件</x:v>
      </x:c>
      <x:c r="H26" s="9" t="str">
        <x:v>公会公会分成通知</x:v>
      </x:c>
      <x:c r="I26" s="9" t="str">
        <x:v>1. 执行角色为公会长
2. 环境准备：当前管理公会已产生一条公会分成通知</x:v>
      </x:c>
      <x:c r="J26" s="9" t="str">
        <x:v>1. 进入通知消息页</x:v>
      </x:c>
      <x:c r="K26" s="9" t="str">
        <x:v>列表显示该公会分成通知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来源（当前证据）：liveshow-proto/MainBasis/统一需求文档.md；位置：REQ-bb6cd0c38874；行2770
2. 规则：BR-2b998bbde55e9b58
3. 未动态验证</x:v>
      </x:c>
    </x:row>
    <x:row r="27" ht="85" customHeight="1">
      <x:c r="A27" s="10" t="n">
        <x:v>26</x:v>
      </x:c>
      <x:c r="B27" s="10" t="str">
        <x:v>GUILD-01-0026</x:v>
      </x:c>
      <x:c r="C27" s="10" t="str">
        <x:v>登录与首页</x:v>
      </x:c>
      <x:c r="D27" s="10" t="str">
        <x:v>通知详情（公会长视角）</x:v>
      </x:c>
      <x:c r="E27" s="10" t="str">
        <x:v>功能需求</x:v>
      </x:c>
      <x:c r="F27" s="10" t="str">
        <x:v>P2</x:v>
      </x:c>
      <x:c r="G27" s="9" t="str">
        <x:v>验证进入公会通知详情标记已读</x:v>
      </x:c>
      <x:c r="H27" s="9" t="str">
        <x:v>公会通知已读更新</x:v>
      </x:c>
      <x:c r="I27" s="9" t="str">
        <x:v>1. 执行角色为公会长
2. 通知N当前未读</x:v>
      </x:c>
      <x:c r="J27" s="9" t="str">
        <x:v>1. 进入通知消息页
2. 点击通知N
3. 返回通知列表</x:v>
      </x:c>
      <x:c r="K27" s="9" t="str">
        <x:v>N不再显示未读标记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来源（当前证据）：liveshow-proto/MainBasis/统一需求文档.md；位置：REQ-f325634a9fac；行2785
2. 规则：BR-23e35e3f544ec15c
3. 未动态验证</x:v>
      </x:c>
    </x:row>
    <x:row r="28" ht="85" customHeight="1">
      <x:c r="A28" s="10" t="n">
        <x:v>27</x:v>
      </x:c>
      <x:c r="B28" s="10" t="str">
        <x:v>GUILD-01-0027</x:v>
      </x:c>
      <x:c r="C28" s="10" t="str">
        <x:v>登录与首页</x:v>
      </x:c>
      <x:c r="D28" s="10" t="str">
        <x:v>通知详情（公会长视角）</x:v>
      </x:c>
      <x:c r="E28" s="10" t="str">
        <x:v>逻辑校验</x:v>
      </x:c>
      <x:c r="F28" s="10" t="str">
        <x:v>P1</x:v>
      </x:c>
      <x:c r="G28" s="9" t="str">
        <x:v>验证有权限查看通知关联业务</x:v>
      </x:c>
      <x:c r="H28" s="9" t="str">
        <x:v>公会通知关联入口权限</x:v>
      </x:c>
      <x:c r="I28" s="9" t="str">
        <x:v>1. 执行角色为公会长
2. 当前通知关联入会申请单，账号有访问该记录权限</x:v>
      </x:c>
      <x:c r="J28" s="9" t="str">
        <x:v>1. 进入通知详情页</x:v>
      </x:c>
      <x:c r="K28" s="9" t="str">
        <x:v>显示关联业务入口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来源（当前证据）：liveshow-proto/MainBasis/统一需求文档.md；位置：REQ-90d3a493f427；行2783
2. 规则：BR-8555ce7d8ee40a08
3. 未动态验证</x:v>
      </x:c>
    </x:row>
    <x:row r="29" ht="85" customHeight="1">
      <x:c r="A29" s="10" t="n">
        <x:v>28</x:v>
      </x:c>
      <x:c r="B29" s="10" t="str">
        <x:v>GUILD-01-0028</x:v>
      </x:c>
      <x:c r="C29" s="10" t="str">
        <x:v>登录与首页</x:v>
      </x:c>
      <x:c r="D29" s="10" t="str">
        <x:v>通知详情（公会长视角）</x:v>
      </x:c>
      <x:c r="E29" s="10" t="str">
        <x:v>逻辑校验</x:v>
      </x:c>
      <x:c r="F29" s="10" t="str">
        <x:v>P1</x:v>
      </x:c>
      <x:c r="G29" s="9" t="str">
        <x:v>验证无权限查看通知关联业务</x:v>
      </x:c>
      <x:c r="H29" s="9" t="str">
        <x:v>公会通知关联入口权限</x:v>
      </x:c>
      <x:c r="I29" s="9" t="str">
        <x:v>1. 执行角色为公会长
2. 当前通知关联入会申请单，账号无访问该记录权限</x:v>
      </x:c>
      <x:c r="J29" s="9" t="str">
        <x:v>1. 进入通知详情页</x:v>
      </x:c>
      <x:c r="K29" s="9" t="str">
        <x:v>不显示关联业务入口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来源（当前证据）：liveshow-proto/MainBasis/统一需求文档.md；位置：REQ-90d3a493f427；行2783
2. 规则：BR-ef58171d3ccf7175
3. 未动态验证</x:v>
      </x:c>
    </x:row>
    <x:row r="30" ht="85" customHeight="1">
      <x:c r="A30" s="10" t="n">
        <x:v>29</x:v>
      </x:c>
      <x:c r="B30" s="10" t="str">
        <x:v>GUILD-02-0001</x:v>
      </x:c>
      <x:c r="C30" s="10" t="str">
        <x:v>主播管理</x:v>
      </x:c>
      <x:c r="D30" s="10" t="str">
        <x:v>入会申请（公会长视角）</x:v>
      </x:c>
      <x:c r="E30" s="10" t="str">
        <x:v>功能需求</x:v>
      </x:c>
      <x:c r="F30" s="10" t="str">
        <x:v>P2</x:v>
      </x:c>
      <x:c r="G30" s="9" t="str">
        <x:v>验证入会申请默认待处理列表</x:v>
      </x:c>
      <x:c r="H30" s="9" t="str">
        <x:v>入会默认状态筛选</x:v>
      </x:c>
      <x:c r="I30" s="9" t="str">
        <x:v>1. 执行角色为公会长</x:v>
      </x:c>
      <x:c r="J30" s="9" t="str">
        <x:v>1. 进入入会申请页</x:v>
      </x:c>
      <x:c r="K30" s="9" t="str">
        <x:v>选中审核中Tab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来源（当前证据）：liveshow-proto/MainBasis/统一需求文档.md；位置：REQ-7c3feec7bb55；行2790
2. 规则：BR-471104864aeb920b
3. 未动态验证</x:v>
      </x:c>
    </x:row>
    <x:row r="31" ht="85" customHeight="1">
      <x:c r="A31" s="10" t="n">
        <x:v>30</x:v>
      </x:c>
      <x:c r="B31" s="10" t="str">
        <x:v>GUILD-02-0002</x:v>
      </x:c>
      <x:c r="C31" s="10" t="str">
        <x:v>主播管理</x:v>
      </x:c>
      <x:c r="D31" s="10" t="str">
        <x:v>入会申请（公会长视角）</x:v>
      </x:c>
      <x:c r="E31" s="10" t="str">
        <x:v>逻辑校验</x:v>
      </x:c>
      <x:c r="F31" s="10" t="str">
        <x:v>P1</x:v>
      </x:c>
      <x:c r="G31" s="9" t="str">
        <x:v>验证入会列表筛选审核中</x:v>
      </x:c>
      <x:c r="H31" s="9" t="str">
        <x:v>入会审核中列表范围</x:v>
      </x:c>
      <x:c r="I31" s="9" t="str">
        <x:v>1. 执行角色为公会长
2. 当前公会有审核中及其他状态申请</x:v>
      </x:c>
      <x:c r="J31" s="9" t="str">
        <x:v>1. 进入入会申请页
2. 切换审核中</x:v>
      </x:c>
      <x:c r="K31" s="9" t="str">
        <x:v>只显示属于审核中分类的申请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来源（当前证据）：liveshow-proto/MainBasis/统一需求文档.md；位置：REQ-2627f61b5dcf；行2804
2. 规则：BR-525088903cd097cf
3. 未动态验证</x:v>
      </x:c>
    </x:row>
    <x:row r="32" ht="85" customHeight="1">
      <x:c r="A32" s="10" t="n">
        <x:v>31</x:v>
      </x:c>
      <x:c r="B32" s="10" t="str">
        <x:v>GUILD-02-0003</x:v>
      </x:c>
      <x:c r="C32" s="10" t="str">
        <x:v>主播管理</x:v>
      </x:c>
      <x:c r="D32" s="10" t="str">
        <x:v>入会申请（公会长视角）</x:v>
      </x:c>
      <x:c r="E32" s="10" t="str">
        <x:v>逻辑校验</x:v>
      </x:c>
      <x:c r="F32" s="10" t="str">
        <x:v>P1</x:v>
      </x:c>
      <x:c r="G32" s="9" t="str">
        <x:v>验证入会列表筛选已通过</x:v>
      </x:c>
      <x:c r="H32" s="9" t="str">
        <x:v>入会已通过列表范围</x:v>
      </x:c>
      <x:c r="I32" s="9" t="str">
        <x:v>1. 执行角色为公会长
2. 当前公会有已通过及其他状态申请</x:v>
      </x:c>
      <x:c r="J32" s="9" t="str">
        <x:v>1. 进入入会申请页
2. 切换已通过</x:v>
      </x:c>
      <x:c r="K32" s="9" t="str">
        <x:v>只显示属于已通过分类的申请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来源（当前证据）：liveshow-proto/MainBasis/统一需求文档.md；位置：REQ-2627f61b5dcf；行2804
2. 规则：BR-ff43685befc74fc3
3. 未动态验证</x:v>
      </x:c>
    </x:row>
    <x:row r="33" ht="85" customHeight="1">
      <x:c r="A33" s="10" t="n">
        <x:v>32</x:v>
      </x:c>
      <x:c r="B33" s="10" t="str">
        <x:v>GUILD-02-0004</x:v>
      </x:c>
      <x:c r="C33" s="10" t="str">
        <x:v>主播管理</x:v>
      </x:c>
      <x:c r="D33" s="10" t="str">
        <x:v>入会申请（公会长视角）</x:v>
      </x:c>
      <x:c r="E33" s="10" t="str">
        <x:v>逻辑校验</x:v>
      </x:c>
      <x:c r="F33" s="10" t="str">
        <x:v>P1</x:v>
      </x:c>
      <x:c r="G33" s="9" t="str">
        <x:v>验证入会列表筛选已驳回</x:v>
      </x:c>
      <x:c r="H33" s="9" t="str">
        <x:v>入会已驳回列表范围</x:v>
      </x:c>
      <x:c r="I33" s="9" t="str">
        <x:v>1. 执行角色为公会长
2. 当前公会有已驳回及其他状态申请</x:v>
      </x:c>
      <x:c r="J33" s="9" t="str">
        <x:v>1. 进入入会申请页
2. 切换已驳回</x:v>
      </x:c>
      <x:c r="K33" s="9" t="str">
        <x:v>只显示属于已驳回分类的申请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来源（当前证据）：liveshow-proto/MainBasis/统一需求文档.md；位置：REQ-2627f61b5dcf；行2804
2. 规则：BR-ccf0f07be77a355d
3. 未动态验证</x:v>
      </x:c>
    </x:row>
    <x:row r="34" ht="85" customHeight="1">
      <x:c r="A34" s="10" t="n">
        <x:v>33</x:v>
      </x:c>
      <x:c r="B34" s="10" t="str">
        <x:v>GUILD-02-0005</x:v>
      </x:c>
      <x:c r="C34" s="10" t="str">
        <x:v>主播管理</x:v>
      </x:c>
      <x:c r="D34" s="10" t="str">
        <x:v>入会申请（公会长视角）</x:v>
      </x:c>
      <x:c r="E34" s="10" t="str">
        <x:v>功能需求</x:v>
      </x:c>
      <x:c r="F34" s="10" t="str">
        <x:v>P2</x:v>
      </x:c>
      <x:c r="G34" s="9" t="str">
        <x:v>验证入会列表进入申请详情</x:v>
      </x:c>
      <x:c r="H34" s="9" t="str">
        <x:v>入会详情入口</x:v>
      </x:c>
      <x:c r="I34" s="9" t="str">
        <x:v>1. 执行角色为公会长
2. 存在当前公会申请单A</x:v>
      </x:c>
      <x:c r="J34" s="9" t="str">
        <x:v>1. 进入入会申请页
2. 点击申请单A</x:v>
      </x:c>
      <x:c r="K34" s="9" t="str">
        <x:v>进入入会申请详情页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来源（当前证据）：liveshow-proto/MainBasis/统一需求文档.md；位置：REQ-2627f61b5dcf；行2804
2. 规则：BR-13a6f847bc5d8fa4
3. 未动态验证</x:v>
      </x:c>
    </x:row>
    <x:row r="35" ht="85" customHeight="1">
      <x:c r="A35" s="10" t="n">
        <x:v>34</x:v>
      </x:c>
      <x:c r="B35" s="10" t="str">
        <x:v>GUILD-02-0006</x:v>
      </x:c>
      <x:c r="C35" s="10" t="str">
        <x:v>主播管理</x:v>
      </x:c>
      <x:c r="D35" s="10" t="str">
        <x:v>退会申请（公会长视角）</x:v>
      </x:c>
      <x:c r="E35" s="10" t="str">
        <x:v>功能需求</x:v>
      </x:c>
      <x:c r="F35" s="10" t="str">
        <x:v>P2</x:v>
      </x:c>
      <x:c r="G35" s="9" t="str">
        <x:v>验证退会申请默认待处理列表</x:v>
      </x:c>
      <x:c r="H35" s="9" t="str">
        <x:v>退会默认状态筛选</x:v>
      </x:c>
      <x:c r="I35" s="9" t="str">
        <x:v>1. 执行角色为公会长</x:v>
      </x:c>
      <x:c r="J35" s="9" t="str">
        <x:v>1. 进入退会申请页</x:v>
      </x:c>
      <x:c r="K35" s="9" t="str">
        <x:v>选中审核中Tab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来源（当前证据）：liveshow-proto/MainBasis/统一需求文档.md；位置：REQ-34f3e2e1e60c；行2842
2. 规则：BR-e36d75ba1a7375be
3. 未动态验证</x:v>
      </x:c>
    </x:row>
    <x:row r="36" ht="85" customHeight="1">
      <x:c r="A36" s="10" t="n">
        <x:v>35</x:v>
      </x:c>
      <x:c r="B36" s="10" t="str">
        <x:v>GUILD-02-0007</x:v>
      </x:c>
      <x:c r="C36" s="10" t="str">
        <x:v>主播管理</x:v>
      </x:c>
      <x:c r="D36" s="10" t="str">
        <x:v>退会申请（公会长视角）</x:v>
      </x:c>
      <x:c r="E36" s="10" t="str">
        <x:v>逻辑校验</x:v>
      </x:c>
      <x:c r="F36" s="10" t="str">
        <x:v>P1</x:v>
      </x:c>
      <x:c r="G36" s="9" t="str">
        <x:v>验证退会列表筛选审核中</x:v>
      </x:c>
      <x:c r="H36" s="9" t="str">
        <x:v>退会审核中列表范围</x:v>
      </x:c>
      <x:c r="I36" s="9" t="str">
        <x:v>1. 执行角色为公会长
2. 当前公会有审核中及其他状态申请</x:v>
      </x:c>
      <x:c r="J36" s="9" t="str">
        <x:v>1. 进入退会申请页
2. 切换审核中</x:v>
      </x:c>
      <x:c r="K36" s="9" t="str">
        <x:v>只显示属于审核中分类的申请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来源（当前证据）：liveshow-proto/MainBasis/统一需求文档.md；位置：REQ-e238b21c76a7；行2854
2. 规则：BR-f69d48b559d7065d
3. 未动态验证</x:v>
      </x:c>
    </x:row>
    <x:row r="37" ht="85" customHeight="1">
      <x:c r="A37" s="10" t="n">
        <x:v>36</x:v>
      </x:c>
      <x:c r="B37" s="10" t="str">
        <x:v>GUILD-02-0008</x:v>
      </x:c>
      <x:c r="C37" s="10" t="str">
        <x:v>主播管理</x:v>
      </x:c>
      <x:c r="D37" s="10" t="str">
        <x:v>退会申请（公会长视角）</x:v>
      </x:c>
      <x:c r="E37" s="10" t="str">
        <x:v>逻辑校验</x:v>
      </x:c>
      <x:c r="F37" s="10" t="str">
        <x:v>P1</x:v>
      </x:c>
      <x:c r="G37" s="9" t="str">
        <x:v>验证退会列表筛选已通过</x:v>
      </x:c>
      <x:c r="H37" s="9" t="str">
        <x:v>退会已通过列表范围</x:v>
      </x:c>
      <x:c r="I37" s="9" t="str">
        <x:v>1. 执行角色为公会长
2. 当前公会有已通过及其他状态申请</x:v>
      </x:c>
      <x:c r="J37" s="9" t="str">
        <x:v>1. 进入退会申请页
2. 切换已通过</x:v>
      </x:c>
      <x:c r="K37" s="9" t="str">
        <x:v>只显示属于已通过分类的申请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来源（当前证据）：liveshow-proto/MainBasis/统一需求文档.md；位置：REQ-e238b21c76a7；行2854
2. 规则：BR-6ecbeb448dc1d408
3. 未动态验证</x:v>
      </x:c>
    </x:row>
    <x:row r="38" ht="85" customHeight="1">
      <x:c r="A38" s="10" t="n">
        <x:v>37</x:v>
      </x:c>
      <x:c r="B38" s="10" t="str">
        <x:v>GUILD-02-0009</x:v>
      </x:c>
      <x:c r="C38" s="10" t="str">
        <x:v>主播管理</x:v>
      </x:c>
      <x:c r="D38" s="10" t="str">
        <x:v>退会申请（公会长视角）</x:v>
      </x:c>
      <x:c r="E38" s="10" t="str">
        <x:v>逻辑校验</x:v>
      </x:c>
      <x:c r="F38" s="10" t="str">
        <x:v>P1</x:v>
      </x:c>
      <x:c r="G38" s="9" t="str">
        <x:v>验证退会列表筛选已驳回</x:v>
      </x:c>
      <x:c r="H38" s="9" t="str">
        <x:v>退会已驳回列表范围</x:v>
      </x:c>
      <x:c r="I38" s="9" t="str">
        <x:v>1. 执行角色为公会长
2. 当前公会有已驳回及其他状态申请</x:v>
      </x:c>
      <x:c r="J38" s="9" t="str">
        <x:v>1. 进入退会申请页
2. 切换已驳回</x:v>
      </x:c>
      <x:c r="K38" s="9" t="str">
        <x:v>只显示属于已驳回分类的申请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来源（当前证据）：liveshow-proto/MainBasis/统一需求文档.md；位置：REQ-e238b21c76a7；行2854
2. 规则：BR-b2e05aa53797506e
3. 未动态验证</x:v>
      </x:c>
    </x:row>
    <x:row r="39" ht="85" customHeight="1">
      <x:c r="A39" s="10" t="n">
        <x:v>38</x:v>
      </x:c>
      <x:c r="B39" s="10" t="str">
        <x:v>GUILD-02-0010</x:v>
      </x:c>
      <x:c r="C39" s="10" t="str">
        <x:v>主播管理</x:v>
      </x:c>
      <x:c r="D39" s="10" t="str">
        <x:v>退会申请（公会长视角）</x:v>
      </x:c>
      <x:c r="E39" s="10" t="str">
        <x:v>功能需求</x:v>
      </x:c>
      <x:c r="F39" s="10" t="str">
        <x:v>P2</x:v>
      </x:c>
      <x:c r="G39" s="9" t="str">
        <x:v>验证退会列表进入申请详情</x:v>
      </x:c>
      <x:c r="H39" s="9" t="str">
        <x:v>退会详情入口</x:v>
      </x:c>
      <x:c r="I39" s="9" t="str">
        <x:v>1. 执行角色为公会长
2. 存在当前公会申请单A</x:v>
      </x:c>
      <x:c r="J39" s="9" t="str">
        <x:v>1. 进入退会申请页
2. 点击申请单A</x:v>
      </x:c>
      <x:c r="K39" s="9" t="str">
        <x:v>进入退会申请详情页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来源（当前证据）：liveshow-proto/MainBasis/统一需求文档.md；位置：REQ-e238b21c76a7；行2854
2. 规则：BR-171329e3faa67916
3. 未动态验证</x:v>
      </x:c>
    </x:row>
    <x:row r="40" ht="85" customHeight="1">
      <x:c r="A40" s="10" t="n">
        <x:v>39</x:v>
      </x:c>
      <x:c r="B40" s="10" t="str">
        <x:v>GUILD-02-0011</x:v>
      </x:c>
      <x:c r="C40" s="10" t="str">
        <x:v>主播管理</x:v>
      </x:c>
      <x:c r="D40" s="10" t="str">
        <x:v>入会申请详情（公会长视角）</x:v>
      </x:c>
      <x:c r="E40" s="10" t="str">
        <x:v>逻辑校验</x:v>
      </x:c>
      <x:c r="F40" s="10" t="str">
        <x:v>P1</x:v>
      </x:c>
      <x:c r="G40" s="9" t="str">
        <x:v>验证通过入会前确认</x:v>
      </x:c>
      <x:c r="H40" s="9" t="str">
        <x:v>公会入会通过确认</x:v>
      </x:c>
      <x:c r="I40" s="9" t="str">
        <x:v>1. 执行角色为公会长
2. 当前申请待公会审核</x:v>
      </x:c>
      <x:c r="J40" s="9" t="str">
        <x:v>1. 进入入会申请详情页
2. 点击通过</x:v>
      </x:c>
      <x:c r="K40" s="9" t="str">
        <x:v>显示通过申请二次确认弹窗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来源（当前证据）：liveshow-proto/MainBasis/统一需求文档.md；位置：REQ-58a3b3083f47；行2835
2. 规则：BR-5475373a3a0f9478
3. 未动态验证</x:v>
      </x:c>
    </x:row>
    <x:row r="41" ht="85" customHeight="1">
      <x:c r="A41" s="10" t="n">
        <x:v>40</x:v>
      </x:c>
      <x:c r="B41" s="10" t="str">
        <x:v>GUILD-02-0012</x:v>
      </x:c>
      <x:c r="C41" s="10" t="str">
        <x:v>主播管理</x:v>
      </x:c>
      <x:c r="D41" s="10" t="str">
        <x:v>入会申请详情（公会长视角）</x:v>
      </x:c>
      <x:c r="E41" s="10" t="str">
        <x:v>业务流程</x:v>
      </x:c>
      <x:c r="F41" s="10" t="str">
        <x:v>P0</x:v>
      </x:c>
      <x:c r="G41" s="9" t="str">
        <x:v>验证公会通过后提交平台终审</x:v>
      </x:c>
      <x:c r="H41" s="9" t="str">
        <x:v>公会初审通过去向</x:v>
      </x:c>
      <x:c r="I41" s="9" t="str">
        <x:v>1. 执行角色为公会长
2. 申请A待公会审核且资料完整</x:v>
      </x:c>
      <x:c r="J41" s="9" t="str">
        <x:v>1. 进入入会申请详情页
2. 点击通过
3. 点击确认</x:v>
      </x:c>
      <x:c r="K41" s="9" t="str">
        <x:v>申请A进入平台审核中</x:v>
      </x:c>
      <x:c r="L41" s="10" t="str">
        <x:v>FLOW-B8276CAE9E</x:v>
      </x:c>
      <x:c r="M41" s="10" t="str">
        <x:v>未测</x:v>
      </x:c>
      <x:c r="N41" s="10" t="str"/>
      <x:c r="O41" s="9" t="str">
        <x:v>1. 来源（当前证据）：liveshow-proto/MainBasis/统一需求文档.md；位置：REQ-58a3b3083f47；行2835
2. 规则：BR-29e1c4570685ae87
3. 未动态验证</x:v>
      </x:c>
    </x:row>
    <x:row r="42" ht="85" customHeight="1">
      <x:c r="A42" s="10" t="n">
        <x:v>41</x:v>
      </x:c>
      <x:c r="B42" s="10" t="str">
        <x:v>GUILD-02-0013</x:v>
      </x:c>
      <x:c r="C42" s="10" t="str">
        <x:v>主播管理</x:v>
      </x:c>
      <x:c r="D42" s="10" t="str">
        <x:v>入会申请详情（公会长视角）</x:v>
      </x:c>
      <x:c r="E42" s="10" t="str">
        <x:v>逻辑校验</x:v>
      </x:c>
      <x:c r="F42" s="10" t="str">
        <x:v>P1</x:v>
      </x:c>
      <x:c r="G42" s="9" t="str">
        <x:v>验证入会驳回不填写理由</x:v>
      </x:c>
      <x:c r="H42" s="9" t="str">
        <x:v>入会空驳回理由回显</x:v>
      </x:c>
      <x:c r="I42" s="9" t="str">
        <x:v>1. 执行角色为公会长
2. 当前入会申请待公会处理</x:v>
      </x:c>
      <x:c r="J42" s="9" t="str">
        <x:v>1. 进入入会申请详情页
2. 点击驳回
3. 清空驳回理由
4. 点击确认</x:v>
      </x:c>
      <x:c r="K42" s="9" t="str">
        <x:v>对应驳回理由显示“未填写”</x:v>
      </x:c>
      <x:c r="L42" s="10" t="str">
        <x:v>FLOW-B8276CAE9E</x:v>
      </x:c>
      <x:c r="M42" s="10" t="str">
        <x:v>未测</x:v>
      </x:c>
      <x:c r="N42" s="10" t="str"/>
      <x:c r="O42" s="9" t="str">
        <x:v>1. 来源（当前证据）：liveshow-proto/MainBasis/统一需求文档.md；位置：REQ-53046ad842aa；行2825
2. 规则：BR-b881ab99e254c54e
3. 未动态验证</x:v>
      </x:c>
    </x:row>
    <x:row r="43" ht="85" customHeight="1">
      <x:c r="A43" s="10" t="n">
        <x:v>42</x:v>
      </x:c>
      <x:c r="B43" s="10" t="str">
        <x:v>GUILD-02-0014</x:v>
      </x:c>
      <x:c r="C43" s="10" t="str">
        <x:v>主播管理</x:v>
      </x:c>
      <x:c r="D43" s="10" t="str">
        <x:v>入会申请详情（公会长视角）</x:v>
      </x:c>
      <x:c r="E43" s="10" t="str">
        <x:v>逻辑校验</x:v>
      </x:c>
      <x:c r="F43" s="10" t="str">
        <x:v>P1</x:v>
      </x:c>
      <x:c r="G43" s="9" t="str">
        <x:v>验证入会驳回理由200字符边界</x:v>
      </x:c>
      <x:c r="H43" s="9" t="str">
        <x:v>入会驳回理由长度</x:v>
      </x:c>
      <x:c r="I43" s="9" t="str">
        <x:v>1. 执行角色为公会长
2. 当前入会申请待公会处理</x:v>
      </x:c>
      <x:c r="J43" s="9" t="str">
        <x:v>1. 进入入会申请详情页
2. 点击驳回
3. 填写驳回理由为200个A
4. 输入驳回理由末尾追加B</x:v>
      </x:c>
      <x:c r="K43" s="9" t="str">
        <x:v>驳回理由不接受超过200字符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来源（当前证据）：liveshow-proto/MainBasis/统一需求文档.md；位置：REQ-53046ad842aa；行2825
2. 规则：BR-546a8e5e514b3d73
3. 未动态验证</x:v>
      </x:c>
    </x:row>
    <x:row r="44" ht="85" customHeight="1">
      <x:c r="A44" s="10" t="n">
        <x:v>43</x:v>
      </x:c>
      <x:c r="B44" s="10" t="str">
        <x:v>GUILD-02-0015</x:v>
      </x:c>
      <x:c r="C44" s="10" t="str">
        <x:v>主播管理</x:v>
      </x:c>
      <x:c r="D44" s="10" t="str">
        <x:v>入会申请详情（公会长视角）</x:v>
      </x:c>
      <x:c r="E44" s="10" t="str">
        <x:v>逻辑校验</x:v>
      </x:c>
      <x:c r="F44" s="10" t="str">
        <x:v>P1</x:v>
      </x:c>
      <x:c r="G44" s="9" t="str">
        <x:v>验证已处理入会申请不能重复审核</x:v>
      </x:c>
      <x:c r="H44" s="9" t="str">
        <x:v>入会终态只读</x:v>
      </x:c>
      <x:c r="I44" s="9" t="str">
        <x:v>1. 执行角色为公会长
2. 当前入会申请已驳回</x:v>
      </x:c>
      <x:c r="J44" s="9" t="str">
        <x:v>1. 进入入会申请详情页</x:v>
      </x:c>
      <x:c r="K44" s="9" t="str">
        <x:v>审核结果只读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来源（当前证据）：liveshow-proto/MainBasis/统一需求文档.md；位置：REQ-291af42ec723；行2833
2. 规则：BR-3022daf45e3973b7
3. 未动态验证</x:v>
      </x:c>
    </x:row>
    <x:row r="45" ht="85" customHeight="1">
      <x:c r="A45" s="10" t="n">
        <x:v>44</x:v>
      </x:c>
      <x:c r="B45" s="10" t="str">
        <x:v>GUILD-02-0016</x:v>
      </x:c>
      <x:c r="C45" s="10" t="str">
        <x:v>主播管理</x:v>
      </x:c>
      <x:c r="D45" s="10" t="str">
        <x:v>退会申请详情（公会长视角）</x:v>
      </x:c>
      <x:c r="E45" s="10" t="str">
        <x:v>逻辑校验</x:v>
      </x:c>
      <x:c r="F45" s="10" t="str">
        <x:v>P1</x:v>
      </x:c>
      <x:c r="G45" s="9" t="str">
        <x:v>验证退会驳回不填写理由</x:v>
      </x:c>
      <x:c r="H45" s="9" t="str">
        <x:v>退会空驳回理由回显</x:v>
      </x:c>
      <x:c r="I45" s="9" t="str">
        <x:v>1. 执行角色为公会长
2. 当前退会申请待公会处理</x:v>
      </x:c>
      <x:c r="J45" s="9" t="str">
        <x:v>1. 进入退会申请详情页
2. 点击驳回
3. 清空驳回理由
4. 点击确认</x:v>
      </x:c>
      <x:c r="K45" s="9" t="str">
        <x:v>对应驳回理由显示“未填写”</x:v>
      </x:c>
      <x:c r="L45" s="10" t="str">
        <x:v>FLOW-289CDBD17D</x:v>
      </x:c>
      <x:c r="M45" s="10" t="str">
        <x:v>未测</x:v>
      </x:c>
      <x:c r="N45" s="10" t="str"/>
      <x:c r="O45" s="9" t="str">
        <x:v>1. 来源（当前证据）：liveshow-proto/MainBasis/统一需求文档.md；位置：REQ-30c7a0c47120；行2873
2. 规则：BR-7c02d39b40a3c34b
3. 未动态验证</x:v>
      </x:c>
    </x:row>
    <x:row r="46" ht="100" customHeight="1">
      <x:c r="A46" s="10" t="n">
        <x:v>45</x:v>
      </x:c>
      <x:c r="B46" s="10" t="str">
        <x:v>GUILD-02-0017</x:v>
      </x:c>
      <x:c r="C46" s="10" t="str">
        <x:v>主播管理</x:v>
      </x:c>
      <x:c r="D46" s="10" t="str">
        <x:v>退会申请详情（公会长视角）</x:v>
      </x:c>
      <x:c r="E46" s="10" t="str">
        <x:v>逻辑校验</x:v>
      </x:c>
      <x:c r="F46" s="10" t="str">
        <x:v>P1</x:v>
      </x:c>
      <x:c r="G46" s="9" t="str">
        <x:v>验证退会驳回理由200字符边界</x:v>
      </x:c>
      <x:c r="H46" s="9" t="str">
        <x:v>退会驳回理由长度</x:v>
      </x:c>
      <x:c r="I46" s="9" t="str">
        <x:v>1. 执行角色为公会长
2. 当前退会申请待公会处理</x:v>
      </x:c>
      <x:c r="J46" s="9" t="str">
        <x:v>1. 进入退会申请详情页
2. 点击驳回
3. 填写驳回理由为200个A
4. 输入驳回理由末尾追加B</x:v>
      </x:c>
      <x:c r="K46" s="9" t="str">
        <x:v>驳回理由不接受超过200字符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来源（当前证据）：liveshow-proto/MainBasis/统一需求文档.md；位置：REQ-30c7a0c47120；行2873、REQ-4e84386ce9a6；行2879
2. 规则：BR-20c22c6dc552a11c
3. 未动态验证</x:v>
      </x:c>
    </x:row>
    <x:row r="47" ht="85" customHeight="1">
      <x:c r="A47" s="10" t="n">
        <x:v>46</x:v>
      </x:c>
      <x:c r="B47" s="10" t="str">
        <x:v>GUILD-02-0018</x:v>
      </x:c>
      <x:c r="C47" s="10" t="str">
        <x:v>主播管理</x:v>
      </x:c>
      <x:c r="D47" s="10" t="str">
        <x:v>退会申请详情（公会长视角）</x:v>
      </x:c>
      <x:c r="E47" s="10" t="str">
        <x:v>逻辑校验</x:v>
      </x:c>
      <x:c r="F47" s="10" t="str">
        <x:v>P1</x:v>
      </x:c>
      <x:c r="G47" s="9" t="str">
        <x:v>验证已处理退会申请不能重复审核</x:v>
      </x:c>
      <x:c r="H47" s="9" t="str">
        <x:v>退会终态只读</x:v>
      </x:c>
      <x:c r="I47" s="9" t="str">
        <x:v>1. 执行角色为公会长
2. 当前退会申请已驳回</x:v>
      </x:c>
      <x:c r="J47" s="9" t="str">
        <x:v>1. 进入退会申请详情页</x:v>
      </x:c>
      <x:c r="K47" s="9" t="str">
        <x:v>审核结果只读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来源（当前证据）：liveshow-proto/MainBasis/统一需求文档.md；位置：REQ-4e84386ce9a6；行2879
2. 规则：BR-2d5cad670244579d
3. 未动态验证</x:v>
      </x:c>
    </x:row>
    <x:row r="48" ht="100" customHeight="1">
      <x:c r="A48" s="10" t="n">
        <x:v>47</x:v>
      </x:c>
      <x:c r="B48" s="10" t="str">
        <x:v>GUILD-02-0019</x:v>
      </x:c>
      <x:c r="C48" s="10" t="str">
        <x:v>主播管理</x:v>
      </x:c>
      <x:c r="D48" s="10" t="str">
        <x:v>入会申请详情（公会长视角）</x:v>
      </x:c>
      <x:c r="E48" s="10" t="str">
        <x:v>功能需求</x:v>
      </x:c>
      <x:c r="F48" s="10" t="str">
        <x:v>P2</x:v>
      </x:c>
      <x:c r="G48" s="9" t="str">
        <x:v>验证查看申请本人照片</x:v>
      </x:c>
      <x:c r="H48" s="9" t="str">
        <x:v>申请本人照片大图</x:v>
      </x:c>
      <x:c r="I48" s="9" t="str">
        <x:v>1. 执行角色为公会长
2. 申请包含本人照片测试图片A</x:v>
      </x:c>
      <x:c r="J48" s="9" t="str">
        <x:v>1. 进入入会申请详情页
2. 点击本人照片</x:v>
      </x:c>
      <x:c r="K48" s="9" t="str">
        <x:v>打开所选材料大图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来源（当前证据）：liveshow-proto/MainBasis/统一需求文档.md；位置：REQ-282f21a0e2d2；行2837、REQ-7de42daabd25；行2819
2. 规则：BR-ae798a2294e0c908
3. 未动态验证</x:v>
      </x:c>
    </x:row>
    <x:row r="49" ht="100" customHeight="1">
      <x:c r="A49" s="10" t="n">
        <x:v>48</x:v>
      </x:c>
      <x:c r="B49" s="10" t="str">
        <x:v>GUILD-02-0020</x:v>
      </x:c>
      <x:c r="C49" s="10" t="str">
        <x:v>主播管理</x:v>
      </x:c>
      <x:c r="D49" s="10" t="str">
        <x:v>入会申请详情（公会长视角）</x:v>
      </x:c>
      <x:c r="E49" s="10" t="str">
        <x:v>功能需求</x:v>
      </x:c>
      <x:c r="F49" s="10" t="str">
        <x:v>P2</x:v>
      </x:c>
      <x:c r="G49" s="9" t="str">
        <x:v>验证查看申请证件正面</x:v>
      </x:c>
      <x:c r="H49" s="9" t="str">
        <x:v>申请证件正面大图</x:v>
      </x:c>
      <x:c r="I49" s="9" t="str">
        <x:v>1. 执行角色为公会长
2. 申请包含证件正面测试图片A</x:v>
      </x:c>
      <x:c r="J49" s="9" t="str">
        <x:v>1. 进入入会申请详情页
2. 点击证件正面</x:v>
      </x:c>
      <x:c r="K49" s="9" t="str">
        <x:v>打开所选材料大图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来源（当前证据）：liveshow-proto/MainBasis/统一需求文档.md；位置：REQ-282f21a0e2d2；行2837、REQ-7de42daabd25；行2819
2. 规则：BR-36eeb75bbf172006
3. 未动态验证</x:v>
      </x:c>
    </x:row>
    <x:row r="50" ht="100" customHeight="1">
      <x:c r="A50" s="10" t="n">
        <x:v>49</x:v>
      </x:c>
      <x:c r="B50" s="10" t="str">
        <x:v>GUILD-02-0021</x:v>
      </x:c>
      <x:c r="C50" s="10" t="str">
        <x:v>主播管理</x:v>
      </x:c>
      <x:c r="D50" s="10" t="str">
        <x:v>入会申请详情（公会长视角）</x:v>
      </x:c>
      <x:c r="E50" s="10" t="str">
        <x:v>功能需求</x:v>
      </x:c>
      <x:c r="F50" s="10" t="str">
        <x:v>P2</x:v>
      </x:c>
      <x:c r="G50" s="9" t="str">
        <x:v>验证查看申请证件反面</x:v>
      </x:c>
      <x:c r="H50" s="9" t="str">
        <x:v>申请证件反面大图</x:v>
      </x:c>
      <x:c r="I50" s="9" t="str">
        <x:v>1. 执行角色为公会长
2. 申请包含证件反面测试图片A</x:v>
      </x:c>
      <x:c r="J50" s="9" t="str">
        <x:v>1. 进入入会申请详情页
2. 点击证件反面</x:v>
      </x:c>
      <x:c r="K50" s="9" t="str">
        <x:v>打开所选材料大图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来源（当前证据）：liveshow-proto/MainBasis/统一需求文档.md；位置：REQ-282f21a0e2d2；行2837、REQ-7de42daabd25；行2819
2. 规则：BR-7dc717b14b055e02
3. 未动态验证</x:v>
      </x:c>
    </x:row>
    <x:row r="51" ht="85" customHeight="1">
      <x:c r="A51" s="10" t="n">
        <x:v>50</x:v>
      </x:c>
      <x:c r="B51" s="10" t="str">
        <x:v>GUILD-02-0022</x:v>
      </x:c>
      <x:c r="C51" s="10" t="str">
        <x:v>主播管理</x:v>
      </x:c>
      <x:c r="D51" s="10" t="str">
        <x:v>入会申请详情（公会长视角）</x:v>
      </x:c>
      <x:c r="E51" s="10" t="str">
        <x:v>逻辑校验</x:v>
      </x:c>
      <x:c r="F51" s="10" t="str">
        <x:v>P1</x:v>
      </x:c>
      <x:c r="G51" s="9" t="str">
        <x:v>验证平台驳回后新单重新公会审核</x:v>
      </x:c>
      <x:c r="H51" s="9" t="str">
        <x:v>重新申请公会审核资格</x:v>
      </x:c>
      <x:c r="I51" s="9" t="str">
        <x:v>1. 执行角色为公会长
2. 旧申请公会通过、平台驳回，用户已提交新申请B</x:v>
      </x:c>
      <x:c r="J51" s="9" t="str">
        <x:v>1. 进入入会申请详情页</x:v>
      </x:c>
      <x:c r="K51" s="9" t="str">
        <x:v>新申请B的公会审核状态为待审核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来源（当前证据）：liveshow-proto/MainBasis/统一需求文档.md；位置：REQ-894cab3df5ee；行2831
2. 规则：BR-78131e23d43ae437
3. 未动态验证</x:v>
      </x:c>
    </x:row>
    <x:row r="52" ht="85" customHeight="1">
      <x:c r="A52" s="10" t="n">
        <x:v>51</x:v>
      </x:c>
      <x:c r="B52" s="10" t="str">
        <x:v>GUILD-02-0023</x:v>
      </x:c>
      <x:c r="C52" s="10" t="str">
        <x:v>主播管理</x:v>
      </x:c>
      <x:c r="D52" s="10" t="str">
        <x:v>入会申请详情（公会长视角）</x:v>
      </x:c>
      <x:c r="E52" s="10" t="str">
        <x:v>逻辑校验</x:v>
      </x:c>
      <x:c r="F52" s="10" t="str">
        <x:v>P1</x:v>
      </x:c>
      <x:c r="G52" s="9" t="str">
        <x:v>验证平台通过后查看主播主页</x:v>
      </x:c>
      <x:c r="H52" s="9" t="str">
        <x:v>审核通过主播详情入口</x:v>
      </x:c>
      <x:c r="I52" s="9" t="str">
        <x:v>1. 执行角色为公会长
2. 该申请已通过平台终审</x:v>
      </x:c>
      <x:c r="J52" s="9" t="str">
        <x:v>1. 进入入会申请详情页
2. 点击查看主页</x:v>
      </x:c>
      <x:c r="K52" s="9" t="str">
        <x:v>进入该主播详情</x:v>
      </x:c>
      <x:c r="L52" s="10" t="str">
        <x:v>FLOW-B8276CAE9E</x:v>
      </x:c>
      <x:c r="M52" s="10" t="str">
        <x:v>未测</x:v>
      </x:c>
      <x:c r="N52" s="10" t="str"/>
      <x:c r="O52" s="9" t="str">
        <x:v>1. 来源（当前证据）：liveshow-proto/MainBasis/统一需求文档.md；位置：REQ-282f21a0e2d2；行2837
2. 规则：BR-9e8f81b3549c0718
3. 未动态验证</x:v>
      </x:c>
    </x:row>
    <x:row r="53" ht="85" customHeight="1">
      <x:c r="A53" s="10" t="n">
        <x:v>52</x:v>
      </x:c>
      <x:c r="B53" s="10" t="str">
        <x:v>GUILD-02-0024</x:v>
      </x:c>
      <x:c r="C53" s="10" t="str">
        <x:v>主播管理</x:v>
      </x:c>
      <x:c r="D53" s="10" t="str">
        <x:v>退会申请详情（公会长视角）</x:v>
      </x:c>
      <x:c r="E53" s="10" t="str">
        <x:v>逻辑校验</x:v>
      </x:c>
      <x:c r="F53" s="10" t="str">
        <x:v>P1</x:v>
      </x:c>
      <x:c r="G53" s="9" t="str">
        <x:v>验证通过退会前二次确认</x:v>
      </x:c>
      <x:c r="H53" s="9" t="str">
        <x:v>退会审核确认</x:v>
      </x:c>
      <x:c r="I53" s="9" t="str">
        <x:v>1. 执行角色为公会长
2. 申请待公会审核
3. 环境准备：测试版本需实现当前批注明确要求的退会二次确认，静态原型尚未接入</x:v>
      </x:c>
      <x:c r="J53" s="9" t="str">
        <x:v>1. 进入退会申请详情页
2. 点击通过</x:v>
      </x:c>
      <x:c r="K53" s="9" t="str">
        <x:v>显示通过退会二次确认弹窗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来源（当前证据）：liveshow-proto/MainBasis/统一需求文档.md；位置：REQ-4e84386ce9a6；行2879
2. 规则：BR-a254575aff371066
3. 未动态验证</x:v>
      </x:c>
    </x:row>
    <x:row r="54" ht="100" customHeight="1">
      <x:c r="A54" s="10" t="n">
        <x:v>53</x:v>
      </x:c>
      <x:c r="B54" s="10" t="str">
        <x:v>GUILD-02-0025</x:v>
      </x:c>
      <x:c r="C54" s="10" t="str">
        <x:v>主播管理</x:v>
      </x:c>
      <x:c r="D54" s="10" t="str">
        <x:v>主播列表（公会长视角）</x:v>
      </x:c>
      <x:c r="E54" s="10" t="str">
        <x:v>业务流程</x:v>
      </x:c>
      <x:c r="F54" s="10" t="str">
        <x:v>P0</x:v>
      </x:c>
      <x:c r="G54" s="9" t="str">
        <x:v>验证确认通过退会移除在会关系</x:v>
      </x:c>
      <x:c r="H54" s="9" t="str">
        <x:v>退会通过后的公会关系</x:v>
      </x:c>
      <x:c r="I54" s="9" t="str">
        <x:v>1. 执行角色为公会长
2. 申请主播在会且退会待审核</x:v>
      </x:c>
      <x:c r="J54" s="9" t="str">
        <x:v>1. 进入退会申请详情页
2. 点击通过
3. 点击确认
4. 进入主播列表页
5. 切换已退会</x:v>
      </x:c>
      <x:c r="K54" s="9" t="str">
        <x:v>该主播显示在已退会列表</x:v>
      </x:c>
      <x:c r="L54" s="10" t="str">
        <x:v>FLOW-289CDBD17D</x:v>
      </x:c>
      <x:c r="M54" s="10" t="str">
        <x:v>未测</x:v>
      </x:c>
      <x:c r="N54" s="10" t="str"/>
      <x:c r="O54" s="9" t="str">
        <x:v>1. 来源（当前证据）：liveshow-proto/MainBasis/统一需求文档.md；位置：REQ-b0f181b59384；行2875、REQ-0d0a38bc020e；行2886
2. 规则：BR-fcb0f5bd95627e68
3. 未动态验证</x:v>
      </x:c>
    </x:row>
    <x:row r="55" ht="100" customHeight="1">
      <x:c r="A55" s="10" t="n">
        <x:v>54</x:v>
      </x:c>
      <x:c r="B55" s="10" t="str">
        <x:v>GUILD-02-0026</x:v>
      </x:c>
      <x:c r="C55" s="10" t="str">
        <x:v>主播管理</x:v>
      </x:c>
      <x:c r="D55" s="10" t="str">
        <x:v>主播列表（公会长视角）</x:v>
      </x:c>
      <x:c r="E55" s="10" t="str">
        <x:v>逻辑校验</x:v>
      </x:c>
      <x:c r="F55" s="10" t="str">
        <x:v>P1</x:v>
      </x:c>
      <x:c r="G55" s="9" t="str">
        <x:v>验证驳回退会保留在会成员</x:v>
      </x:c>
      <x:c r="H55" s="9" t="str">
        <x:v>退会驳回后的公会关系</x:v>
      </x:c>
      <x:c r="I55" s="9" t="str">
        <x:v>1. 执行角色为公会长
2. 申请主播在会且退会待审核</x:v>
      </x:c>
      <x:c r="J55" s="9" t="str">
        <x:v>1. 进入退会申请详情页
2. 点击驳回
3. 点击确认
4. 进入主播列表页
5. 切换在会</x:v>
      </x:c>
      <x:c r="K55" s="9" t="str">
        <x:v>该主播仍在在会列表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来源（当前证据）：liveshow-proto/MainBasis/统一需求文档.md；位置：REQ-6bec92629c2b；行2877、REQ-0d0a38bc020e；行2886
2. 规则：BR-a385186fa5b5bbaa
3. 未动态验证</x:v>
      </x:c>
    </x:row>
    <x:row r="56" ht="85" customHeight="1">
      <x:c r="A56" s="10" t="n">
        <x:v>55</x:v>
      </x:c>
      <x:c r="B56" s="10" t="str">
        <x:v>GUILD-02-0027</x:v>
      </x:c>
      <x:c r="C56" s="10" t="str">
        <x:v>主播管理</x:v>
      </x:c>
      <x:c r="D56" s="10" t="str">
        <x:v>主播列表（公会长视角）</x:v>
      </x:c>
      <x:c r="E56" s="10" t="str">
        <x:v>逻辑校验</x:v>
      </x:c>
      <x:c r="F56" s="10" t="str">
        <x:v>P1</x:v>
      </x:c>
      <x:c r="G56" s="9" t="str">
        <x:v>验证主播列表隔离其他公会</x:v>
      </x:c>
      <x:c r="H56" s="9" t="str">
        <x:v>公会主播管理范围</x:v>
      </x:c>
      <x:c r="I56" s="9" t="str">
        <x:v>1. 执行角色为公会长
2. 当前公会A有主播甲，公会B有主播乙</x:v>
      </x:c>
      <x:c r="J56" s="9" t="str">
        <x:v>1. 进入主播列表页</x:v>
      </x:c>
      <x:c r="K56" s="9" t="str">
        <x:v>列表不包含乙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来源（当前证据）：liveshow-proto/MainBasis/统一需求文档.md；位置：REQ-381281aaf488；行2896
2. 规则：BR-e5267f631aa3e340
3. 未动态验证</x:v>
      </x:c>
    </x:row>
    <x:row r="57" ht="85" customHeight="1">
      <x:c r="A57" s="10" t="n">
        <x:v>56</x:v>
      </x:c>
      <x:c r="B57" s="10" t="str">
        <x:v>GUILD-02-0028</x:v>
      </x:c>
      <x:c r="C57" s="10" t="str">
        <x:v>主播管理</x:v>
      </x:c>
      <x:c r="D57" s="10" t="str">
        <x:v>主播列表（公会长视角）</x:v>
      </x:c>
      <x:c r="E57" s="10" t="str">
        <x:v>逻辑校验</x:v>
      </x:c>
      <x:c r="F57" s="10" t="str">
        <x:v>P1</x:v>
      </x:c>
      <x:c r="G57" s="9" t="str">
        <x:v>验证已退会搜索与状态取交集</x:v>
      </x:c>
      <x:c r="H57" s="9" t="str">
        <x:v>公会主播组合筛选</x:v>
      </x:c>
      <x:c r="I57" s="9" t="str">
        <x:v>1. 执行角色为公会长
2. 甲已退会，乙在会，两人名称都含QA</x:v>
      </x:c>
      <x:c r="J57" s="9" t="str">
        <x:v>1. 进入主播列表页
2. 切换已退会
3. 输入搜索框内容为QA</x:v>
      </x:c>
      <x:c r="K57" s="9" t="str">
        <x:v>列表只显示甲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来源（当前证据）：liveshow-proto/MainBasis/统一需求文档.md；位置：REQ-cbb7a2174f2f；行2898
2. 规则：BR-174ad783d40672a8
3. 未动态验证</x:v>
      </x:c>
    </x:row>
    <x:row r="58" ht="85" customHeight="1">
      <x:c r="A58" s="10" t="n">
        <x:v>57</x:v>
      </x:c>
      <x:c r="B58" s="10" t="str">
        <x:v>GUILD-02-0029</x:v>
      </x:c>
      <x:c r="C58" s="10" t="str">
        <x:v>主播管理</x:v>
      </x:c>
      <x:c r="D58" s="10" t="str">
        <x:v>主播主页（公会长视角）</x:v>
      </x:c>
      <x:c r="E58" s="10" t="str">
        <x:v>逻辑校验</x:v>
      </x:c>
      <x:c r="F58" s="10" t="str">
        <x:v>P1</x:v>
      </x:c>
      <x:c r="G58" s="9" t="str">
        <x:v>验证历史退会主播不提供管理操作</x:v>
      </x:c>
      <x:c r="H58" s="9" t="str">
        <x:v>退会主播管理入口</x:v>
      </x:c>
      <x:c r="I58" s="9" t="str">
        <x:v>1. 执行角色为公会长
2. 该主播已退出当前公会</x:v>
      </x:c>
      <x:c r="J58" s="9" t="str">
        <x:v>1. 进入主播主页页</x:v>
      </x:c>
      <x:c r="K58" s="9" t="str">
        <x:v>不显示主播管理操作入口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来源（当前证据）：liveshow-proto/MainBasis/统一需求文档.md；位置：REQ-81fc8f1e04b7；行2977
2. 规则：BR-dbf0f5f07de36be0
3. 未动态验证</x:v>
      </x:c>
    </x:row>
    <x:row r="59" ht="85" customHeight="1">
      <x:c r="A59" s="10" t="n">
        <x:v>58</x:v>
      </x:c>
      <x:c r="B59" s="10" t="str">
        <x:v>GUILD-02-0030</x:v>
      </x:c>
      <x:c r="C59" s="10" t="str">
        <x:v>主播管理</x:v>
      </x:c>
      <x:c r="D59" s="10" t="str">
        <x:v>主播主页（公会长视角）</x:v>
      </x:c>
      <x:c r="E59" s="10" t="str">
        <x:v>逻辑校验</x:v>
      </x:c>
      <x:c r="F59" s="10" t="str">
        <x:v>P1</x:v>
      </x:c>
      <x:c r="G59" s="9" t="str">
        <x:v>验证主播主页粉丝数取当前人数</x:v>
      </x:c>
      <x:c r="H59" s="9" t="str">
        <x:v>公会主播当前粉丝数</x:v>
      </x:c>
      <x:c r="I59" s="9" t="str">
        <x:v>1. 执行角色为公会长
2. 主播现有关注者10人，本月新增20人，本月取关15人</x:v>
      </x:c>
      <x:c r="J59" s="9" t="str">
        <x:v>1. 进入主播主页页</x:v>
      </x:c>
      <x:c r="K59" s="9" t="str">
        <x:v>粉丝数显示10人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来源（当前证据）：liveshow-proto/MainBasis/统一需求文档.md；位置：REQ-4e9b69496562；行2997
2. 规则：BR-8817c16eeba357ee
3. 未动态验证</x:v>
      </x:c>
    </x:row>
    <x:row r="60" ht="85" customHeight="1">
      <x:c r="A60" s="10" t="n">
        <x:v>59</x:v>
      </x:c>
      <x:c r="B60" s="10" t="str">
        <x:v>GUILD-02-0031</x:v>
      </x:c>
      <x:c r="C60" s="10" t="str">
        <x:v>主播管理</x:v>
      </x:c>
      <x:c r="D60" s="10" t="str">
        <x:v>主播主页（公会长视角）</x:v>
      </x:c>
      <x:c r="E60" s="10" t="str">
        <x:v>逻辑校验</x:v>
      </x:c>
      <x:c r="F60" s="10" t="str">
        <x:v>P1</x:v>
      </x:c>
      <x:c r="G60" s="9" t="str">
        <x:v>验证平台锁定后公会不可改权限</x:v>
      </x:c>
      <x:c r="H60" s="9" t="str">
        <x:v>公会开播权限锁定</x:v>
      </x:c>
      <x:c r="I60" s="9" t="str">
        <x:v>1. 执行角色为公会长
2. 平台开播权限开启且锁定，公会原设置为关闭</x:v>
      </x:c>
      <x:c r="J60" s="9" t="str">
        <x:v>1. 进入主播主页页</x:v>
      </x:c>
      <x:c r="K60" s="9" t="str">
        <x:v>公会直播权限开关只读</x:v>
      </x:c>
      <x:c r="L60" s="10" t="str">
        <x:v>FLOW-B994D746A6</x:v>
      </x:c>
      <x:c r="M60" s="10" t="str">
        <x:v>未测</x:v>
      </x:c>
      <x:c r="N60" s="10" t="str"/>
      <x:c r="O60" s="9" t="str">
        <x:v>1. 来源（当前证据）：liveshow-proto/MainBasis/统一需求文档.md；位置：REQ-4fc6cf0d0919；行3009
2. 规则：BR-c29290da1df19a05
3. 未动态验证</x:v>
      </x:c>
    </x:row>
    <x:row r="61" ht="85" customHeight="1">
      <x:c r="A61" s="10" t="n">
        <x:v>60</x:v>
      </x:c>
      <x:c r="B61" s="10" t="str">
        <x:v>GUILD-02-0032</x:v>
      </x:c>
      <x:c r="C61" s="10" t="str">
        <x:v>主播管理</x:v>
      </x:c>
      <x:c r="D61" s="10" t="str">
        <x:v>主播主页（公会长视角）</x:v>
      </x:c>
      <x:c r="E61" s="10" t="str">
        <x:v>逻辑校验</x:v>
      </x:c>
      <x:c r="F61" s="10" t="str">
        <x:v>P1</x:v>
      </x:c>
      <x:c r="G61" s="9" t="str">
        <x:v>验证平台开启锁定时显示平台权限</x:v>
      </x:c>
      <x:c r="H61" s="9" t="str">
        <x:v>平台锁定期间权限取值</x:v>
      </x:c>
      <x:c r="I61" s="9" t="str">
        <x:v>1. 执行角色为公会长
2. 平台开播权限开启且锁定，公会锁定前关闭</x:v>
      </x:c>
      <x:c r="J61" s="9" t="str">
        <x:v>1. 进入主播主页页</x:v>
      </x:c>
      <x:c r="K61" s="9" t="str">
        <x:v>实际开播权限显示开启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来源（当前证据）：liveshow-proto/MainBasis/统一需求文档.md；位置：REQ-3bc8908ef0a3；行3007
2. 规则：BR-38eaf6851bbd4367
3. 未动态验证</x:v>
      </x:c>
    </x:row>
    <x:row r="62" ht="85" customHeight="1">
      <x:c r="A62" s="10" t="n">
        <x:v>61</x:v>
      </x:c>
      <x:c r="B62" s="10" t="str">
        <x:v>GUILD-02-0033</x:v>
      </x:c>
      <x:c r="C62" s="10" t="str">
        <x:v>主播管理</x:v>
      </x:c>
      <x:c r="D62" s="10" t="str">
        <x:v>主播主页（公会长视角）</x:v>
      </x:c>
      <x:c r="E62" s="10" t="str">
        <x:v>逻辑校验</x:v>
      </x:c>
      <x:c r="F62" s="10" t="str">
        <x:v>P1</x:v>
      </x:c>
      <x:c r="G62" s="9" t="str">
        <x:v>验证解锁后恢复公会原设置</x:v>
      </x:c>
      <x:c r="H62" s="9" t="str">
        <x:v>公会权限解锁恢复</x:v>
      </x:c>
      <x:c r="I62" s="9" t="str">
        <x:v>1. 执行角色为公会长
2. 公会原设置关闭，平台开启锁定后又解除锁定</x:v>
      </x:c>
      <x:c r="J62" s="9" t="str">
        <x:v>1. 进入主播主页页</x:v>
      </x:c>
      <x:c r="K62" s="9" t="str">
        <x:v>公会直播权限恢复关闭</x:v>
      </x:c>
      <x:c r="L62" s="10" t="str">
        <x:v>FLOW-B994D746A6</x:v>
      </x:c>
      <x:c r="M62" s="10" t="str">
        <x:v>未测</x:v>
      </x:c>
      <x:c r="N62" s="10" t="str"/>
      <x:c r="O62" s="9" t="str">
        <x:v>1. 来源（当前证据）：liveshow-proto/MainBasis/统一需求文档.md；位置：REQ-4fc6cf0d0919；行3009
2. 规则：BR-c5143b4e7461785b
3. 未动态验证</x:v>
      </x:c>
    </x:row>
    <x:row r="63" ht="85" customHeight="1">
      <x:c r="A63" s="10" t="n">
        <x:v>62</x:v>
      </x:c>
      <x:c r="B63" s="10" t="str">
        <x:v>GUILD-02-0034</x:v>
      </x:c>
      <x:c r="C63" s="10" t="str">
        <x:v>主播管理</x:v>
      </x:c>
      <x:c r="D63" s="10" t="str">
        <x:v>主播主页（公会长视角）</x:v>
      </x:c>
      <x:c r="E63" s="10" t="str">
        <x:v>逻辑校验</x:v>
      </x:c>
      <x:c r="F63" s="10" t="str">
        <x:v>P1</x:v>
      </x:c>
      <x:c r="G63" s="9" t="str">
        <x:v>验证公会关闭主播权限前确认</x:v>
      </x:c>
      <x:c r="H63" s="9" t="str">
        <x:v>公会关闭权限确认</x:v>
      </x:c>
      <x:c r="I63" s="9" t="str">
        <x:v>1. 执行角色为公会长
2. 主播当前在播，平台允许公会管理</x:v>
      </x:c>
      <x:c r="J63" s="9" t="str">
        <x:v>1. 进入主播主页页
2. 禁用直播权限</x:v>
      </x:c>
      <x:c r="K63" s="9" t="str">
        <x:v>显示关闭直播权限二次确认弹窗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来源（当前证据）：liveshow-proto/MainBasis/统一需求文档.md；位置：REQ-d7578655d74c；行3011
2. 规则：BR-7c0a7406b82854e7
3. 未动态验证</x:v>
      </x:c>
    </x:row>
    <x:row r="64" ht="85" customHeight="1">
      <x:c r="A64" s="10" t="n">
        <x:v>63</x:v>
      </x:c>
      <x:c r="B64" s="10" t="str">
        <x:v>GUILD-02-0035</x:v>
      </x:c>
      <x:c r="C64" s="10" t="str">
        <x:v>主播管理</x:v>
      </x:c>
      <x:c r="D64" s="10" t="str">
        <x:v>主播主页（公会长视角）</x:v>
      </x:c>
      <x:c r="E64" s="10" t="str">
        <x:v>逻辑校验</x:v>
      </x:c>
      <x:c r="F64" s="10" t="str">
        <x:v>P1</x:v>
      </x:c>
      <x:c r="G64" s="9" t="str">
        <x:v>验证公会关闭主播开播权限</x:v>
      </x:c>
      <x:c r="H64" s="9" t="str">
        <x:v>公会开播权限关闭</x:v>
      </x:c>
      <x:c r="I64" s="9" t="str">
        <x:v>1. 执行角色为公会长
2. 平台未锁定，主播当前公会权限开启</x:v>
      </x:c>
      <x:c r="J64" s="9" t="str">
        <x:v>1. 进入主播主页页
2. 禁用直播权限
3. 点击确认</x:v>
      </x:c>
      <x:c r="K64" s="9" t="str">
        <x:v>直播权限显示关闭</x:v>
      </x:c>
      <x:c r="L64" s="10" t="str">
        <x:v>FLOW-B994D746A6</x:v>
      </x:c>
      <x:c r="M64" s="10" t="str">
        <x:v>未测</x:v>
      </x:c>
      <x:c r="N64" s="10" t="str"/>
      <x:c r="O64" s="9" t="str">
        <x:v>1. 来源（当前证据）：liveshow-proto/MainBasis/统一需求文档.md；位置：REQ-d7578655d74c；行3011
2. 规则：BR-7d251592591c8fc5
3. 未动态验证</x:v>
      </x:c>
    </x:row>
    <x:row r="65" ht="85" customHeight="1">
      <x:c r="A65" s="10" t="n">
        <x:v>64</x:v>
      </x:c>
      <x:c r="B65" s="10" t="str">
        <x:v>GUILD-02-0036</x:v>
      </x:c>
      <x:c r="C65" s="10" t="str">
        <x:v>主播管理</x:v>
      </x:c>
      <x:c r="D65" s="10" t="str">
        <x:v>主播主页（公会长视角）</x:v>
      </x:c>
      <x:c r="E65" s="10" t="str">
        <x:v>逻辑校验</x:v>
      </x:c>
      <x:c r="F65" s="10" t="str">
        <x:v>P1</x:v>
      </x:c>
      <x:c r="G65" s="9" t="str">
        <x:v>验证未结清收益不能移出主播</x:v>
      </x:c>
      <x:c r="H65" s="9" t="str">
        <x:v>主播移出结清门槛</x:v>
      </x:c>
      <x:c r="I65" s="9" t="str">
        <x:v>1. 执行角色为公会长
2. 主播存在未结清收益
3. 环境准备：测试版本需实现批注中的收益结清判断，原型尚未接入</x:v>
      </x:c>
      <x:c r="J65" s="9" t="str">
        <x:v>1. 进入主播主页页</x:v>
      </x:c>
      <x:c r="K65" s="9" t="str">
        <x:v>移出公会按钮不可用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来源（当前证据）：liveshow-proto/MainBasis/统一需求文档.md；位置：REQ-e479d67b9151；行3013
2. 规则：BR-0582cdf9028226d0
3. 未动态验证</x:v>
      </x:c>
    </x:row>
    <x:row r="66" ht="85" customHeight="1">
      <x:c r="A66" s="10" t="n">
        <x:v>65</x:v>
      </x:c>
      <x:c r="B66" s="10" t="str">
        <x:v>GUILD-02-0037</x:v>
      </x:c>
      <x:c r="C66" s="10" t="str">
        <x:v>主播管理</x:v>
      </x:c>
      <x:c r="D66" s="10" t="str">
        <x:v>主播主页（公会长视角）</x:v>
      </x:c>
      <x:c r="E66" s="10" t="str">
        <x:v>逻辑校验</x:v>
      </x:c>
      <x:c r="F66" s="10" t="str">
        <x:v>P1</x:v>
      </x:c>
      <x:c r="G66" s="9" t="str">
        <x:v>验证已结清收益主播确认移出</x:v>
      </x:c>
      <x:c r="H66" s="9" t="str">
        <x:v>公会移出主播</x:v>
      </x:c>
      <x:c r="I66" s="9" t="str">
        <x:v>1. 执行角色为公会长
2. 主播收益已结清且目前在会</x:v>
      </x:c>
      <x:c r="J66" s="9" t="str">
        <x:v>1. 进入主播主页页
2. 点击移出公会
3. 点击确认</x:v>
      </x:c>
      <x:c r="K66" s="9" t="str">
        <x:v>公会关系显示已退会</x:v>
      </x:c>
      <x:c r="L66" s="10" t="str">
        <x:v>FLOW-EA7D49B97D</x:v>
      </x:c>
      <x:c r="M66" s="10" t="str">
        <x:v>未测</x:v>
      </x:c>
      <x:c r="N66" s="10" t="str"/>
      <x:c r="O66" s="9" t="str">
        <x:v>1. 来源（当前证据）：liveshow-proto/MainBasis/统一需求文档.md；位置：REQ-e479d67b9151；行3013
2. 规则：BR-d888a0442549097a
3. 未动态验证</x:v>
      </x:c>
    </x:row>
    <x:row r="67" ht="85" customHeight="1">
      <x:c r="A67" s="10" t="n">
        <x:v>66</x:v>
      </x:c>
      <x:c r="B67" s="10" t="str">
        <x:v>GUILD-03-0001</x:v>
      </x:c>
      <x:c r="C67" s="10" t="str">
        <x:v>运营工具</x:v>
      </x:c>
      <x:c r="D67" s="10" t="str">
        <x:v>新建运营消息（公会长视角）</x:v>
      </x:c>
      <x:c r="E67" s="10" t="str">
        <x:v>逻辑校验</x:v>
      </x:c>
      <x:c r="F67" s="10" t="str">
        <x:v>P1</x:v>
      </x:c>
      <x:c r="G67" s="9" t="str">
        <x:v>验证运营消息正文长度0</x:v>
      </x:c>
      <x:c r="H67" s="9" t="str">
        <x:v>运营消息正文字数</x:v>
      </x:c>
      <x:c r="I67" s="9" t="str">
        <x:v>1. 执行角色为公会长
2. 发送对象为当前公会主播甲</x:v>
      </x:c>
      <x:c r="J67" s="9" t="str">
        <x:v>1. 进入新建运营消息页
2. 清空文字内容
3. 点击发送</x:v>
      </x:c>
      <x:c r="K67" s="9" t="str">
        <x:v>不能发送空正文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来源（当前证据）：liveshow-proto/MainBasis/统一需求文档.md；位置：REQ-ad8aa90131f0；行3045
2. 规则：BR-64b2ca050b1648e2
3. 未动态验证</x:v>
      </x:c>
    </x:row>
    <x:row r="68" ht="85" customHeight="1">
      <x:c r="A68" s="10" t="n">
        <x:v>67</x:v>
      </x:c>
      <x:c r="B68" s="10" t="str">
        <x:v>GUILD-03-0002</x:v>
      </x:c>
      <x:c r="C68" s="10" t="str">
        <x:v>运营工具</x:v>
      </x:c>
      <x:c r="D68" s="10" t="str">
        <x:v>新建运营消息（公会长视角）</x:v>
      </x:c>
      <x:c r="E68" s="10" t="str">
        <x:v>逻辑校验</x:v>
      </x:c>
      <x:c r="F68" s="10" t="str">
        <x:v>P1</x:v>
      </x:c>
      <x:c r="G68" s="9" t="str">
        <x:v>验证运营消息正文长度500</x:v>
      </x:c>
      <x:c r="H68" s="9" t="str">
        <x:v>运营消息正文字数</x:v>
      </x:c>
      <x:c r="I68" s="9" t="str">
        <x:v>1. 执行角色为公会长
2. 发送对象为当前公会主播甲</x:v>
      </x:c>
      <x:c r="J68" s="9" t="str">
        <x:v>1. 进入新建运营消息页
2. 填写文字内容为500个A
3. 点击发送</x:v>
      </x:c>
      <x:c r="K68" s="9" t="str">
        <x:v>显示接收范围二次确认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来源（当前证据）：liveshow-proto/MainBasis/统一需求文档.md；位置：REQ-ad8aa90131f0；行3045
2. 规则：BR-d14490ed88d76578
3. 未动态验证</x:v>
      </x:c>
    </x:row>
    <x:row r="69" ht="85" customHeight="1">
      <x:c r="A69" s="10" t="n">
        <x:v>68</x:v>
      </x:c>
      <x:c r="B69" s="10" t="str">
        <x:v>GUILD-03-0003</x:v>
      </x:c>
      <x:c r="C69" s="10" t="str">
        <x:v>运营工具</x:v>
      </x:c>
      <x:c r="D69" s="10" t="str">
        <x:v>新建运营消息（公会长视角）</x:v>
      </x:c>
      <x:c r="E69" s="10" t="str">
        <x:v>逻辑校验</x:v>
      </x:c>
      <x:c r="F69" s="10" t="str">
        <x:v>P1</x:v>
      </x:c>
      <x:c r="G69" s="9" t="str">
        <x:v>验证运营消息正文长度501</x:v>
      </x:c>
      <x:c r="H69" s="9" t="str">
        <x:v>运营消息正文字数</x:v>
      </x:c>
      <x:c r="I69" s="9" t="str">
        <x:v>1. 执行角色为公会长
2. 发送对象为当前公会主播甲</x:v>
      </x:c>
      <x:c r="J69" s="9" t="str">
        <x:v>1. 进入新建运营消息页
2. 填写文字内容为501个A
3. 点击发送</x:v>
      </x:c>
      <x:c r="K69" s="9" t="str">
        <x:v>正文不接受超过500字符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来源（当前证据）：liveshow-proto/MainBasis/统一需求文档.md；位置：REQ-ad8aa90131f0；行3045
2. 规则：BR-1f198992112a45ab
3. 未动态验证</x:v>
      </x:c>
    </x:row>
    <x:row r="70" ht="85" customHeight="1">
      <x:c r="A70" s="10" t="n">
        <x:v>69</x:v>
      </x:c>
      <x:c r="B70" s="10" t="str">
        <x:v>GUILD-03-0004</x:v>
      </x:c>
      <x:c r="C70" s="10" t="str">
        <x:v>运营工具</x:v>
      </x:c>
      <x:c r="D70" s="10" t="str">
        <x:v>新建运营消息（公会长视角）</x:v>
      </x:c>
      <x:c r="E70" s="10" t="str">
        <x:v>功能需求</x:v>
      </x:c>
      <x:c r="F70" s="10" t="str">
        <x:v>P2</x:v>
      </x:c>
      <x:c r="G70" s="9" t="str">
        <x:v>验证运营消息上传JPG图片</x:v>
      </x:c>
      <x:c r="H70" s="9" t="str">
        <x:v>运营消息图片格式</x:v>
      </x:c>
      <x:c r="I70" s="9" t="str">
        <x:v>1. 执行角色为公会长
2. 正文和发送对象已填写
3. 本地有可读取qa.jpg图片</x:v>
      </x:c>
      <x:c r="J70" s="9" t="str">
        <x:v>1. 进入新建运营消息页
2. 上传图片选择qa.jpg</x:v>
      </x:c>
      <x:c r="K70" s="9" t="str">
        <x:v>显示所选图片预览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来源（当前证据）：liveshow-proto/MainBasis/统一需求文档.md；位置：REQ-2230182a7752；行3047
2. 规则：BR-dae4c1d2b2900b32
3. 未动态验证</x:v>
      </x:c>
    </x:row>
    <x:row r="71" ht="85" customHeight="1">
      <x:c r="A71" s="10" t="n">
        <x:v>70</x:v>
      </x:c>
      <x:c r="B71" s="10" t="str">
        <x:v>GUILD-03-0005</x:v>
      </x:c>
      <x:c r="C71" s="10" t="str">
        <x:v>运营工具</x:v>
      </x:c>
      <x:c r="D71" s="10" t="str">
        <x:v>新建运营消息（公会长视角）</x:v>
      </x:c>
      <x:c r="E71" s="10" t="str">
        <x:v>功能需求</x:v>
      </x:c>
      <x:c r="F71" s="10" t="str">
        <x:v>P2</x:v>
      </x:c>
      <x:c r="G71" s="9" t="str">
        <x:v>验证运营消息上传PNG图片</x:v>
      </x:c>
      <x:c r="H71" s="9" t="str">
        <x:v>运营消息图片格式</x:v>
      </x:c>
      <x:c r="I71" s="9" t="str">
        <x:v>1. 执行角色为公会长
2. 正文和发送对象已填写
3. 本地有可读取qa.png图片</x:v>
      </x:c>
      <x:c r="J71" s="9" t="str">
        <x:v>1. 进入新建运营消息页
2. 上传图片选择qa.png</x:v>
      </x:c>
      <x:c r="K71" s="9" t="str">
        <x:v>显示所选图片预览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来源（当前证据）：liveshow-proto/MainBasis/统一需求文档.md；位置：REQ-2230182a7752；行3047
2. 规则：BR-7ebed5e8b9080a45
3. 未动态验证</x:v>
      </x:c>
    </x:row>
    <x:row r="72" ht="85" customHeight="1">
      <x:c r="A72" s="10" t="n">
        <x:v>71</x:v>
      </x:c>
      <x:c r="B72" s="10" t="str">
        <x:v>GUILD-03-0006</x:v>
      </x:c>
      <x:c r="C72" s="10" t="str">
        <x:v>运营工具</x:v>
      </x:c>
      <x:c r="D72" s="10" t="str">
        <x:v>新建运营消息（公会长视角）</x:v>
      </x:c>
      <x:c r="E72" s="10" t="str">
        <x:v>功能需求</x:v>
      </x:c>
      <x:c r="F72" s="10" t="str">
        <x:v>P2</x:v>
      </x:c>
      <x:c r="G72" s="9" t="str">
        <x:v>验证运营消息上传WebP图片</x:v>
      </x:c>
      <x:c r="H72" s="9" t="str">
        <x:v>运营消息图片格式</x:v>
      </x:c>
      <x:c r="I72" s="9" t="str">
        <x:v>1. 执行角色为公会长
2. 正文和发送对象已填写
3. 本地有可读取qa.webp图片</x:v>
      </x:c>
      <x:c r="J72" s="9" t="str">
        <x:v>1. 进入新建运营消息页
2. 上传图片选择qa.webp</x:v>
      </x:c>
      <x:c r="K72" s="9" t="str">
        <x:v>显示所选图片预览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来源（当前证据）：liveshow-proto/MainBasis/统一需求文档.md；位置：REQ-2230182a7752；行3047
2. 规则：BR-a73e3882531ce635
3. 未动态验证</x:v>
      </x:c>
    </x:row>
    <x:row r="73" ht="85" customHeight="1">
      <x:c r="A73" s="10" t="n">
        <x:v>72</x:v>
      </x:c>
      <x:c r="B73" s="10" t="str">
        <x:v>GUILD-03-0007</x:v>
      </x:c>
      <x:c r="C73" s="10" t="str">
        <x:v>运营工具</x:v>
      </x:c>
      <x:c r="D73" s="10" t="str">
        <x:v>新建运营消息（公会长视角）</x:v>
      </x:c>
      <x:c r="E73" s="10" t="str">
        <x:v>逻辑校验</x:v>
      </x:c>
      <x:c r="F73" s="10" t="str">
        <x:v>P1</x:v>
      </x:c>
      <x:c r="G73" s="9" t="str">
        <x:v>验证运营消息最多附带1张图</x:v>
      </x:c>
      <x:c r="H73" s="9" t="str">
        <x:v>运营消息图片数量</x:v>
      </x:c>
      <x:c r="I73" s="9" t="str">
        <x:v>1. 执行角色为公会长
2. 已有一张附图A</x:v>
      </x:c>
      <x:c r="J73" s="9" t="str">
        <x:v>1. 进入新建运营消息页
2. 上传图片选择第二张B</x:v>
      </x:c>
      <x:c r="K73" s="9" t="str">
        <x:v>消息附图数量不超过1张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来源（当前证据）：liveshow-proto/MainBasis/统一需求文档.md；位置：REQ-2230182a7752；行3047
2. 规则：BR-3f37c821de561ce6
3. 未动态验证</x:v>
      </x:c>
    </x:row>
    <x:row r="74" ht="85" customHeight="1">
      <x:c r="A74" s="10" t="n">
        <x:v>73</x:v>
      </x:c>
      <x:c r="B74" s="10" t="str">
        <x:v>GUILD-03-0008</x:v>
      </x:c>
      <x:c r="C74" s="10" t="str">
        <x:v>运营工具</x:v>
      </x:c>
      <x:c r="D74" s="10" t="str">
        <x:v>新建运营消息（公会长视角）</x:v>
      </x:c>
      <x:c r="E74" s="10" t="str">
        <x:v>业务流程</x:v>
      </x:c>
      <x:c r="F74" s="10" t="str">
        <x:v>P0</x:v>
      </x:c>
      <x:c r="G74" s="9" t="str">
        <x:v>验证确认发送当前公会消息</x:v>
      </x:c>
      <x:c r="H74" s="9" t="str">
        <x:v>公会消息发送成功</x:v>
      </x:c>
      <x:c r="I74" s="9" t="str">
        <x:v>1. 执行角色为公会长
2. 正文为QA通知，接收范围为全体当前主播</x:v>
      </x:c>
      <x:c r="J74" s="9" t="str">
        <x:v>1. 进入新建运营消息页
2. 点击发送
3. 点击确认</x:v>
      </x:c>
      <x:c r="K74" s="9" t="str">
        <x:v>返回运营消息列表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来源（当前证据）：liveshow-proto/MainBasis/统一需求文档.md；位置：REQ-48fe35060417；行3051
2. 规则：BR-f8fa53838b71b73c
3. 未动态验证</x:v>
      </x:c>
    </x:row>
    <x:row r="75" ht="85" customHeight="1">
      <x:c r="A75" s="10" t="n">
        <x:v>74</x:v>
      </x:c>
      <x:c r="B75" s="10" t="str">
        <x:v>GUILD-03-0009</x:v>
      </x:c>
      <x:c r="C75" s="10" t="str">
        <x:v>运营工具</x:v>
      </x:c>
      <x:c r="D75" s="10" t="str">
        <x:v>选择主播（公会长视角）</x:v>
      </x:c>
      <x:c r="E75" s="10" t="str">
        <x:v>逻辑校验</x:v>
      </x:c>
      <x:c r="F75" s="10" t="str">
        <x:v>P1</x:v>
      </x:c>
      <x:c r="G75" s="9" t="str">
        <x:v>验证指定消息只能选择1名主播</x:v>
      </x:c>
      <x:c r="H75" s="9" t="str">
        <x:v>消息接收主播单选</x:v>
      </x:c>
      <x:c r="I75" s="9" t="str">
        <x:v>1. 执行角色为公会长
2. 当前公会有甲乙两名主播</x:v>
      </x:c>
      <x:c r="J75" s="9" t="str">
        <x:v>1. 进入选择主播页
2. 选择主播甲
3. 选择主播乙</x:v>
      </x:c>
      <x:c r="K75" s="9" t="str">
        <x:v>仅主播乙保持选中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来源（当前证据）：liveshow-proto/MainBasis/统一需求文档.md；位置：REQ-3711cde5fe62；行3064
2. 规则：BR-4b26127a8a5dbd5e
3. 未动态验证</x:v>
      </x:c>
    </x:row>
    <x:row r="76" ht="85" customHeight="1">
      <x:c r="A76" s="10" t="n">
        <x:v>75</x:v>
      </x:c>
      <x:c r="B76" s="10" t="str">
        <x:v>GUILD-03-0010</x:v>
      </x:c>
      <x:c r="C76" s="10" t="str">
        <x:v>运营工具</x:v>
      </x:c>
      <x:c r="D76" s="10" t="str">
        <x:v>选择主播（公会长视角）</x:v>
      </x:c>
      <x:c r="E76" s="10" t="str">
        <x:v>逻辑校验</x:v>
      </x:c>
      <x:c r="F76" s="10" t="str">
        <x:v>P1</x:v>
      </x:c>
      <x:c r="G76" s="9" t="str">
        <x:v>验证未选接收主播不能完成</x:v>
      </x:c>
      <x:c r="H76" s="9" t="str">
        <x:v>指定接收人必选</x:v>
      </x:c>
      <x:c r="I76" s="9" t="str">
        <x:v>1. 执行角色为公会长</x:v>
      </x:c>
      <x:c r="J76" s="9" t="str">
        <x:v>1. 进入选择主播页
2. 点击完成</x:v>
      </x:c>
      <x:c r="K76" s="9" t="str">
        <x:v>提示选择主播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来源（当前证据）：liveshow-proto/MainBasis/统一需求文档.md；位置：REQ-ab3611f8dec0；行3066
2. 规则：BR-3b9fe19f3305e60b
3. 未动态验证</x:v>
      </x:c>
    </x:row>
    <x:row r="77" ht="85" customHeight="1">
      <x:c r="A77" s="10" t="n">
        <x:v>76</x:v>
      </x:c>
      <x:c r="B77" s="10" t="str">
        <x:v>GUILD-03-0011</x:v>
      </x:c>
      <x:c r="C77" s="10" t="str">
        <x:v>运营工具</x:v>
      </x:c>
      <x:c r="D77" s="10" t="str">
        <x:v>消息详情（公会长视角）</x:v>
      </x:c>
      <x:c r="E77" s="10" t="str">
        <x:v>逻辑校验</x:v>
      </x:c>
      <x:c r="F77" s="10" t="str">
        <x:v>P1</x:v>
      </x:c>
      <x:c r="G77" s="9" t="str">
        <x:v>验证接收主播退会后保留发送快照</x:v>
      </x:c>
      <x:c r="H77" s="9" t="str">
        <x:v>运营消息接收人快照</x:v>
      </x:c>
      <x:c r="I77" s="9" t="str">
        <x:v>1. 执行角色为公会长
2. 消息N发送时接收人甲仍在会，甲随后退会</x:v>
      </x:c>
      <x:c r="J77" s="9" t="str">
        <x:v>1. 进入消息详情页</x:v>
      </x:c>
      <x:c r="K77" s="9" t="str">
        <x:v>消息N接收人仍显示甲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来源（当前证据）：liveshow-proto/MainBasis/统一需求文档.md；位置：REQ-46295ce894ac；行3083
2. 规则：BR-02f7789fde3eb3ac
3. 未动态验证</x:v>
      </x:c>
    </x:row>
    <x:row r="78" ht="85" customHeight="1">
      <x:c r="A78" s="10" t="n">
        <x:v>77</x:v>
      </x:c>
      <x:c r="B78" s="10" t="str">
        <x:v>GUILD-03-0012</x:v>
      </x:c>
      <x:c r="C78" s="10" t="str">
        <x:v>运营工具</x:v>
      </x:c>
      <x:c r="D78" s="10" t="str">
        <x:v>消息详情（公会长视角）</x:v>
      </x:c>
      <x:c r="E78" s="10" t="str">
        <x:v>逻辑校验</x:v>
      </x:c>
      <x:c r="F78" s="10" t="str">
        <x:v>P1</x:v>
      </x:c>
      <x:c r="G78" s="9" t="str">
        <x:v>验证已发送运营消息不可编辑撤回</x:v>
      </x:c>
      <x:c r="H78" s="9" t="str">
        <x:v>已发送消息只读</x:v>
      </x:c>
      <x:c r="I78" s="9" t="str">
        <x:v>1. 执行角色为公会长
2. 消息N已发送</x:v>
      </x:c>
      <x:c r="J78" s="9" t="str">
        <x:v>1. 进入消息详情页</x:v>
      </x:c>
      <x:c r="K78" s="9" t="str">
        <x:v>不显示编辑或撤回入口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来源（当前证据）：liveshow-proto/MainBasis/统一需求文档.md；位置：REQ-46295ce894ac；行3083
2. 规则：BR-551fdba84b700829
3. 未动态验证</x:v>
      </x:c>
    </x:row>
    <x:row r="79" ht="85" customHeight="1">
      <x:c r="A79" s="10" t="n">
        <x:v>78</x:v>
      </x:c>
      <x:c r="B79" s="10" t="str">
        <x:v>GUILD-04-0001</x:v>
      </x:c>
      <x:c r="C79" s="10" t="str">
        <x:v>公会管理</x:v>
      </x:c>
      <x:c r="D79" s="10" t="str">
        <x:v>公会资料（公会长视角）</x:v>
      </x:c>
      <x:c r="E79" s="10" t="str">
        <x:v>逻辑校验</x:v>
      </x:c>
      <x:c r="F79" s="10" t="str">
        <x:v>P1</x:v>
      </x:c>
      <x:c r="G79" s="9" t="str">
        <x:v>验证公会资料不可编辑ID</x:v>
      </x:c>
      <x:c r="H79" s="9" t="str">
        <x:v>公会ID只读</x:v>
      </x:c>
      <x:c r="I79" s="9" t="str">
        <x:v>1. 执行角色为公会长</x:v>
      </x:c>
      <x:c r="J79" s="9" t="str">
        <x:v>1. 进入公会资料页
2. 点击公会ID</x:v>
      </x:c>
      <x:c r="K79" s="9" t="str">
        <x:v>公会ID不可编辑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来源（当前证据）：liveshow-proto/MainBasis/统一需求文档.md；位置：REQ-c68ea3b46fc7；行3220
2. 规则：BR-a10d9927ee64e4da
3. 未动态验证</x:v>
      </x:c>
    </x:row>
    <x:row r="80" ht="85" customHeight="1">
      <x:c r="A80" s="10" t="n">
        <x:v>79</x:v>
      </x:c>
      <x:c r="B80" s="10" t="str">
        <x:v>GUILD-04-0002</x:v>
      </x:c>
      <x:c r="C80" s="10" t="str">
        <x:v>公会管理</x:v>
      </x:c>
      <x:c r="D80" s="10" t="str">
        <x:v>公会资料（公会长视角）</x:v>
      </x:c>
      <x:c r="E80" s="10" t="str">
        <x:v>逻辑校验</x:v>
      </x:c>
      <x:c r="F80" s="10" t="str">
        <x:v>P1</x:v>
      </x:c>
      <x:c r="G80" s="9" t="str">
        <x:v>验证公会名称最大长度</x:v>
      </x:c>
      <x:c r="H80" s="9" t="str">
        <x:v>公会名称输入上限</x:v>
      </x:c>
      <x:c r="I80" s="9" t="str">
        <x:v>1. 执行角色为公会长</x:v>
      </x:c>
      <x:c r="J80" s="9" t="str">
        <x:v>1. 进入公会资料页
2. 填写公会名称为40个A
3. 输入公会名称末尾追加B</x:v>
      </x:c>
      <x:c r="K80" s="9" t="str">
        <x:v>公会名称不接受超过40字符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来源（当前证据）：liveshow-proto/MainBasis/统一需求文档.md；位置：REQ-827721b095f8；行3224
2. 规则：BR-80a237c3f5e99fba
3. 未动态验证</x:v>
      </x:c>
    </x:row>
    <x:row r="81" ht="85" customHeight="1">
      <x:c r="A81" s="10" t="n">
        <x:v>80</x:v>
      </x:c>
      <x:c r="B81" s="10" t="str">
        <x:v>GUILD-04-0003</x:v>
      </x:c>
      <x:c r="C81" s="10" t="str">
        <x:v>公会管理</x:v>
      </x:c>
      <x:c r="D81" s="10" t="str">
        <x:v>公会资料（公会长视角）</x:v>
      </x:c>
      <x:c r="E81" s="10" t="str">
        <x:v>逻辑校验</x:v>
      </x:c>
      <x:c r="F81" s="10" t="str">
        <x:v>P1</x:v>
      </x:c>
      <x:c r="G81" s="9" t="str">
        <x:v>验证公会简介最大长度</x:v>
      </x:c>
      <x:c r="H81" s="9" t="str">
        <x:v>公会简介输入上限</x:v>
      </x:c>
      <x:c r="I81" s="9" t="str">
        <x:v>1. 执行角色为公会长</x:v>
      </x:c>
      <x:c r="J81" s="9" t="str">
        <x:v>1. 进入公会资料页
2. 填写公会简介为200个A
3. 输入公会简介末尾追加B</x:v>
      </x:c>
      <x:c r="K81" s="9" t="str">
        <x:v>公会简介不接受超过200字符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来源（当前证据）：liveshow-proto/MainBasis/统一需求文档.md；位置：REQ-db923df69f8a；行3226
2. 规则：BR-c2817c38b33616c4
3. 未动态验证</x:v>
      </x:c>
    </x:row>
    <x:row r="82" ht="85" customHeight="1">
      <x:c r="A82" s="10" t="n">
        <x:v>81</x:v>
      </x:c>
      <x:c r="B82" s="10" t="str">
        <x:v>GUILD-04-0004</x:v>
      </x:c>
      <x:c r="C82" s="10" t="str">
        <x:v>公会管理</x:v>
      </x:c>
      <x:c r="D82" s="10" t="str">
        <x:v>公会资料（公会长视角）</x:v>
      </x:c>
      <x:c r="E82" s="10" t="str">
        <x:v>逻辑校验</x:v>
      </x:c>
      <x:c r="F82" s="10" t="str">
        <x:v>P1</x:v>
      </x:c>
      <x:c r="G82" s="9" t="str">
        <x:v>验证公会名称不能为空</x:v>
      </x:c>
      <x:c r="H82" s="9" t="str">
        <x:v>公会名称必填</x:v>
      </x:c>
      <x:c r="I82" s="9" t="str">
        <x:v>1. 执行角色为公会长</x:v>
      </x:c>
      <x:c r="J82" s="9" t="str">
        <x:v>1. 进入公会资料页
2. 清空公会名称
3. 点击保存</x:v>
      </x:c>
      <x:c r="K82" s="9" t="str">
        <x:v>不能保存空公会名称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来源（当前证据）：liveshow-proto/MainBasis/统一需求文档.md；位置：REQ-827721b095f8；行3224
2. 规则：BR-6e7dbc9883b1509c
3. 未动态验证</x:v>
      </x:c>
    </x:row>
    <x:row r="83" ht="85" customHeight="1">
      <x:c r="A83" s="10" t="n">
        <x:v>82</x:v>
      </x:c>
      <x:c r="B83" s="10" t="str">
        <x:v>GUILD-04-0005</x:v>
      </x:c>
      <x:c r="C83" s="10" t="str">
        <x:v>公会管理</x:v>
      </x:c>
      <x:c r="D83" s="10" t="str">
        <x:v>公会资料（公会长视角）</x:v>
      </x:c>
      <x:c r="E83" s="10" t="str">
        <x:v>功能需求</x:v>
      </x:c>
      <x:c r="F83" s="10" t="str">
        <x:v>P2</x:v>
      </x:c>
      <x:c r="G83" s="9" t="str">
        <x:v>验证公会资料保存新名称</x:v>
      </x:c>
      <x:c r="H83" s="9" t="str">
        <x:v>公会名称保存</x:v>
      </x:c>
      <x:c r="I83" s="9" t="str">
        <x:v>1. 执行角色为公会长
2. 当前公会名称为QA旧名</x:v>
      </x:c>
      <x:c r="J83" s="9" t="str">
        <x:v>1. 进入公会资料页
2. 填写公会名称为QA新名
3. 点击保存</x:v>
      </x:c>
      <x:c r="K83" s="9" t="str">
        <x:v>公会名称显示QA新名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来源（当前证据）：liveshow-proto/MainBasis/统一需求文档.md；位置：REQ-70ec7b1e0c3d；行3228
2. 规则：BR-2c30e8d5bcb42bf6
3. 未动态验证</x:v>
      </x:c>
    </x:row>
    <x:row r="84" ht="85" customHeight="1">
      <x:c r="A84" s="10" t="n">
        <x:v>83</x:v>
      </x:c>
      <x:c r="B84" s="10" t="str">
        <x:v>GUILD-04-0006</x:v>
      </x:c>
      <x:c r="C84" s="10" t="str">
        <x:v>公会管理</x:v>
      </x:c>
      <x:c r="D84" s="10" t="str">
        <x:v>账号设置（公会长视角）</x:v>
      </x:c>
      <x:c r="E84" s="10" t="str">
        <x:v>功能需求</x:v>
      </x:c>
      <x:c r="F84" s="10" t="str">
        <x:v>P2</x:v>
      </x:c>
      <x:c r="G84" s="9" t="str">
        <x:v>验证公会App选择中文</x:v>
      </x:c>
      <x:c r="H84" s="9" t="str">
        <x:v>公会App语言选择</x:v>
      </x:c>
      <x:c r="I84" s="9" t="str">
        <x:v>1. 执行角色为公会长</x:v>
      </x:c>
      <x:c r="J84" s="9" t="str">
        <x:v>1. 进入账号设置页
2. 点击语言
3. 选择中文</x:v>
      </x:c>
      <x:c r="K84" s="9" t="str">
        <x:v>当前语言显示中文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来源（当前证据）：liveshow-proto/MainBasis/统一需求文档.md；位置：REQ-abaa8f0c3396；行3237
2. 规则：BR-8592ea08dbed7e9d
3. 未动态验证</x:v>
      </x:c>
    </x:row>
    <x:row r="85" ht="85" customHeight="1">
      <x:c r="A85" s="10" t="n">
        <x:v>84</x:v>
      </x:c>
      <x:c r="B85" s="10" t="str">
        <x:v>GUILD-04-0007</x:v>
      </x:c>
      <x:c r="C85" s="10" t="str">
        <x:v>公会管理</x:v>
      </x:c>
      <x:c r="D85" s="10" t="str">
        <x:v>账号设置（公会长视角）</x:v>
      </x:c>
      <x:c r="E85" s="10" t="str">
        <x:v>功能需求</x:v>
      </x:c>
      <x:c r="F85" s="10" t="str">
        <x:v>P2</x:v>
      </x:c>
      <x:c r="G85" s="9" t="str">
        <x:v>验证公会App选择English</x:v>
      </x:c>
      <x:c r="H85" s="9" t="str">
        <x:v>公会App语言选择</x:v>
      </x:c>
      <x:c r="I85" s="9" t="str">
        <x:v>1. 执行角色为公会长</x:v>
      </x:c>
      <x:c r="J85" s="9" t="str">
        <x:v>1. 进入账号设置页
2. 点击语言
3. 选择English</x:v>
      </x:c>
      <x:c r="K85" s="9" t="str">
        <x:v>当前语言显示English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来源（当前证据）：liveshow-proto/MainBasis/统一需求文档.md；位置：REQ-abaa8f0c3396；行3237
2. 规则：BR-7c3d0fff53d87ffb
3. 未动态验证</x:v>
      </x:c>
    </x:row>
    <x:row r="86" ht="85" customHeight="1">
      <x:c r="A86" s="10" t="n">
        <x:v>85</x:v>
      </x:c>
      <x:c r="B86" s="10" t="str">
        <x:v>GUILD-04-0008</x:v>
      </x:c>
      <x:c r="C86" s="10" t="str">
        <x:v>公会管理</x:v>
      </x:c>
      <x:c r="D86" s="10" t="str">
        <x:v>账号设置（公会长视角）</x:v>
      </x:c>
      <x:c r="E86" s="10" t="str">
        <x:v>功能需求</x:v>
      </x:c>
      <x:c r="F86" s="10" t="str">
        <x:v>P2</x:v>
      </x:c>
      <x:c r="G86" s="9" t="str">
        <x:v>验证公会App选择Bahasa Indonesia</x:v>
      </x:c>
      <x:c r="H86" s="9" t="str">
        <x:v>公会App语言选择</x:v>
      </x:c>
      <x:c r="I86" s="9" t="str">
        <x:v>1. 执行角色为公会长</x:v>
      </x:c>
      <x:c r="J86" s="9" t="str">
        <x:v>1. 进入账号设置页
2. 点击语言
3. 选择Bahasa Indonesia</x:v>
      </x:c>
      <x:c r="K86" s="9" t="str">
        <x:v>当前语言显示Bahasa Indonesia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来源（当前证据）：liveshow-proto/MainBasis/统一需求文档.md；位置：REQ-abaa8f0c3396；行3237
2. 规则：BR-8364cde112b93087
3. 未动态验证</x:v>
      </x:c>
    </x:row>
    <x:row r="87" ht="85" customHeight="1">
      <x:c r="A87" s="10" t="n">
        <x:v>86</x:v>
      </x:c>
      <x:c r="B87" s="10" t="str">
        <x:v>GUILD-04-0009</x:v>
      </x:c>
      <x:c r="C87" s="10" t="str">
        <x:v>公会管理</x:v>
      </x:c>
      <x:c r="D87" s="10" t="str">
        <x:v>账号设置（公会长视角）</x:v>
      </x:c>
      <x:c r="E87" s="10" t="str">
        <x:v>功能需求</x:v>
      </x:c>
      <x:c r="F87" s="10" t="str">
        <x:v>P2</x:v>
      </x:c>
      <x:c r="G87" s="9" t="str">
        <x:v>验证公会App选择Bahasa Melayu</x:v>
      </x:c>
      <x:c r="H87" s="9" t="str">
        <x:v>公会App语言选择</x:v>
      </x:c>
      <x:c r="I87" s="9" t="str">
        <x:v>1. 执行角色为公会长</x:v>
      </x:c>
      <x:c r="J87" s="9" t="str">
        <x:v>1. 进入账号设置页
2. 点击语言
3. 选择Bahasa Melayu</x:v>
      </x:c>
      <x:c r="K87" s="9" t="str">
        <x:v>当前语言显示Bahasa Melayu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来源（当前证据）：liveshow-proto/MainBasis/统一需求文档.md；位置：REQ-abaa8f0c3396；行3237
2. 规则：BR-140627d625a82364
3. 未动态验证</x:v>
      </x:c>
    </x:row>
    <x:row r="88" ht="85" customHeight="1">
      <x:c r="A88" s="10" t="n">
        <x:v>87</x:v>
      </x:c>
      <x:c r="B88" s="10" t="str">
        <x:v>GUILD-04-0010</x:v>
      </x:c>
      <x:c r="C88" s="10" t="str">
        <x:v>公会管理</x:v>
      </x:c>
      <x:c r="D88" s="10" t="str">
        <x:v>账号设置（公会长视角）</x:v>
      </x:c>
      <x:c r="E88" s="10" t="str">
        <x:v>功能需求</x:v>
      </x:c>
      <x:c r="F88" s="10" t="str">
        <x:v>P2</x:v>
      </x:c>
      <x:c r="G88" s="9" t="str">
        <x:v>验证公会长退出登录前确认</x:v>
      </x:c>
      <x:c r="H88" s="9" t="str">
        <x:v>公会退出登录确认</x:v>
      </x:c>
      <x:c r="I88" s="9" t="str">
        <x:v>1. 执行角色为公会长</x:v>
      </x:c>
      <x:c r="J88" s="9" t="str">
        <x:v>1. 进入账号设置页
2. 点击退出登录</x:v>
      </x:c>
      <x:c r="K88" s="9" t="str">
        <x:v>显示退出登录二次确认弹窗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来源（当前证据）：liveshow-proto/MainBasis/统一需求文档.md；位置：REQ-308eb014e34f；行3245
2. 规则：BR-7375dd9576117795
3. 未动态验证</x:v>
      </x:c>
    </x:row>
    <x:row r="89" ht="100" customHeight="1">
      <x:c r="A89" s="10" t="n">
        <x:v>88</x:v>
      </x:c>
      <x:c r="B89" s="10" t="str">
        <x:v>GUILD-04-0011</x:v>
      </x:c>
      <x:c r="C89" s="10" t="str">
        <x:v>公会管理</x:v>
      </x:c>
      <x:c r="D89" s="10" t="str">
        <x:v>账号设置（公会长视角）</x:v>
      </x:c>
      <x:c r="E89" s="10" t="str">
        <x:v>逻辑校验</x:v>
      </x:c>
      <x:c r="F89" s="10" t="str">
        <x:v>P1</x:v>
      </x:c>
      <x:c r="G89" s="9" t="str">
        <x:v>验证确认退出公会App</x:v>
      </x:c>
      <x:c r="H89" s="9" t="str">
        <x:v>公会退出登录去向</x:v>
      </x:c>
      <x:c r="I89" s="9" t="str">
        <x:v>1. 执行角色为公会长</x:v>
      </x:c>
      <x:c r="J89" s="9" t="str">
        <x:v>1. 进入账号设置页
2. 点击退出登录
3. 点击确认</x:v>
      </x:c>
      <x:c r="K89" s="9" t="str">
        <x:v>返回公会登录页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来源（当前证据）：liveshow-proto/MainBasis/统一需求文档.md；位置：REQ-5924278ce187；行3241、REQ-308eb014e34f；行3245
2. 规则：BR-b8a00fcd90862c35
3. 未动态验证</x:v>
      </x:c>
    </x:row>
    <x:row r="90" ht="85" customHeight="1">
      <x:c r="A90" s="10" t="n">
        <x:v>89</x:v>
      </x:c>
      <x:c r="B90" s="10" t="str">
        <x:v>GUILD-04-0012</x:v>
      </x:c>
      <x:c r="C90" s="10" t="str">
        <x:v>公会管理</x:v>
      </x:c>
      <x:c r="D90" s="10" t="str">
        <x:v>修改密码（公会长视角）</x:v>
      </x:c>
      <x:c r="E90" s="10" t="str">
        <x:v>逻辑校验</x:v>
      </x:c>
      <x:c r="F90" s="10" t="str">
        <x:v>P1</x:v>
      </x:c>
      <x:c r="G90" s="9" t="str">
        <x:v>验证公会修改密码：提示“当前密码错误”</x:v>
      </x:c>
      <x:c r="H90" s="9" t="str">
        <x:v>公会密码提交校验</x:v>
      </x:c>
      <x:c r="I90" s="9" t="str">
        <x:v>1. 执行角色为公会长
2. 当前密码为QaOld!2026</x:v>
      </x:c>
      <x:c r="J90" s="9" t="str">
        <x:v>1. 进入修改密码页
2. 填写当前密码为BadOld!2026
3. 填写新密码为QaNew!2026
4. 填写确认新密码为QaNew!2026
5. 点击保存</x:v>
      </x:c>
      <x:c r="K90" s="9" t="str">
        <x:v>提示“当前密码错误”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来源（当前证据）：liveshow-proto/MainBasis/统一需求文档.md；位置：REQ-ebcb7b632099；行3256
2. 规则：BR-e2c69e9fa99c8a0d
3. 未动态验证</x:v>
      </x:c>
    </x:row>
    <x:row r="91" ht="85" customHeight="1">
      <x:c r="A91" s="10" t="n">
        <x:v>90</x:v>
      </x:c>
      <x:c r="B91" s="10" t="str">
        <x:v>GUILD-04-0013</x:v>
      </x:c>
      <x:c r="C91" s="10" t="str">
        <x:v>公会管理</x:v>
      </x:c>
      <x:c r="D91" s="10" t="str">
        <x:v>修改密码（公会长视角）</x:v>
      </x:c>
      <x:c r="E91" s="10" t="str">
        <x:v>逻辑校验</x:v>
      </x:c>
      <x:c r="F91" s="10" t="str">
        <x:v>P1</x:v>
      </x:c>
      <x:c r="G91" s="9" t="str">
        <x:v>验证公会修改密码：提示“新密码不能和旧密码一样”</x:v>
      </x:c>
      <x:c r="H91" s="9" t="str">
        <x:v>公会密码提交校验</x:v>
      </x:c>
      <x:c r="I91" s="9" t="str">
        <x:v>1. 执行角色为公会长
2. 当前密码为QaOld!2026</x:v>
      </x:c>
      <x:c r="J91" s="9" t="str">
        <x:v>1. 进入修改密码页
2. 填写当前密码为QaOld!2026
3. 填写新密码为QaOld!2026
4. 填写确认新密码为QaOld!2026
5. 点击保存</x:v>
      </x:c>
      <x:c r="K91" s="9" t="str">
        <x:v>提示“新密码不能和旧密码一样”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来源（当前证据）：liveshow-proto/MainBasis/统一需求文档.md；位置：REQ-ebcb7b632099；行3256
2. 规则：BR-f3fe302f5fac9e48
3. 未动态验证</x:v>
      </x:c>
    </x:row>
    <x:row r="92" ht="85" customHeight="1">
      <x:c r="A92" s="10" t="n">
        <x:v>91</x:v>
      </x:c>
      <x:c r="B92" s="10" t="str">
        <x:v>GUILD-04-0014</x:v>
      </x:c>
      <x:c r="C92" s="10" t="str">
        <x:v>公会管理</x:v>
      </x:c>
      <x:c r="D92" s="10" t="str">
        <x:v>修改密码（公会长视角）</x:v>
      </x:c>
      <x:c r="E92" s="10" t="str">
        <x:v>逻辑校验</x:v>
      </x:c>
      <x:c r="F92" s="10" t="str">
        <x:v>P1</x:v>
      </x:c>
      <x:c r="G92" s="9" t="str">
        <x:v>验证公会修改密码：返回账号设置页</x:v>
      </x:c>
      <x:c r="H92" s="9" t="str">
        <x:v>公会密码提交校验</x:v>
      </x:c>
      <x:c r="I92" s="9" t="str">
        <x:v>1. 执行角色为公会长
2. 当前密码为QaOld!2026</x:v>
      </x:c>
      <x:c r="J92" s="9" t="str">
        <x:v>1. 进入修改密码页
2. 填写当前密码为QaOld!2026
3. 填写新密码为QaNew!2026
4. 填写确认新密码为QaNew!2026
5. 点击保存</x:v>
      </x:c>
      <x:c r="K92" s="9" t="str">
        <x:v>返回账号设置页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来源（当前证据）：liveshow-proto/MainBasis/统一需求文档.md；位置：REQ-ebcb7b632099；行3256
2. 规则：BR-07bef6f66463879f
3. 未动态验证</x:v>
      </x:c>
    </x:row>
    <x:row r="93" ht="85" customHeight="1">
      <x:c r="A93" s="10" t="n">
        <x:v>92</x:v>
      </x:c>
      <x:c r="B93" s="10" t="str">
        <x:v>GUILD-04-0015</x:v>
      </x:c>
      <x:c r="C93" s="10" t="str">
        <x:v>公会管理</x:v>
      </x:c>
      <x:c r="D93" s="10" t="str">
        <x:v>修改密码（公会长视角）</x:v>
      </x:c>
      <x:c r="E93" s="10" t="str">
        <x:v>逻辑校验</x:v>
      </x:c>
      <x:c r="F93" s="10" t="str">
        <x:v>P1</x:v>
      </x:c>
      <x:c r="G93" s="9" t="str">
        <x:v>验证公会新密码不足8位</x:v>
      </x:c>
      <x:c r="H93" s="9" t="str">
        <x:v>公会新密码长度</x:v>
      </x:c>
      <x:c r="I93" s="9" t="str">
        <x:v>1. 执行角色为公会长
2. 当前密码QaOld!2026</x:v>
      </x:c>
      <x:c r="J93" s="9" t="str">
        <x:v>1. 进入修改密码页
2. 填写当前密码为QaOld!2026
3. 填写新密码为Qa12345
4. 填写确认新密码为Qa12345
5. 点击保存</x:v>
      </x:c>
      <x:c r="K93" s="9" t="str">
        <x:v>不能保存不足8位的新密码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来源（当前证据）：liveshow-proto/MainBasis/统一需求文档.md；位置：REQ-e6fec0352ac9；行3252
2. 规则：BR-c919f6697cc9a76e
3. 未动态验证</x:v>
      </x:c>
    </x:row>
    <x:row r="94" ht="85" customHeight="1">
      <x:c r="A94" s="10" t="n">
        <x:v>93</x:v>
      </x:c>
      <x:c r="B94" s="10" t="str">
        <x:v>GUILD-04-0016</x:v>
      </x:c>
      <x:c r="C94" s="10" t="str">
        <x:v>公会管理</x:v>
      </x:c>
      <x:c r="D94" s="10" t="str">
        <x:v>修改密码（公会长视角）</x:v>
      </x:c>
      <x:c r="E94" s="10" t="str">
        <x:v>异常用例</x:v>
      </x:c>
      <x:c r="F94" s="10" t="str">
        <x:v>P1</x:v>
      </x:c>
      <x:c r="G94" s="9" t="str">
        <x:v>验证公会改密请求失败保留输入</x:v>
      </x:c>
      <x:c r="H94" s="9" t="str">
        <x:v>公会改密失败提示</x:v>
      </x:c>
      <x:c r="I94" s="9" t="str">
        <x:v>1. 执行角色为公会长
2. 原密码正确，新密码满足要求
3. 环境准备：改密请求返回失败</x:v>
      </x:c>
      <x:c r="J94" s="9" t="str">
        <x:v>1. 进入修改密码页
2. 填写当前密码为QaOld!2026
3. 填写新密码为QaNew!2026
4. 填写确认新密码为QaNew!2026
5. 点击保存</x:v>
      </x:c>
      <x:c r="K94" s="9" t="str">
        <x:v>提示“保存失败”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来源（当前证据）：liveshow-proto/MainBasis/统一需求文档.md；位置：REQ-ebcb7b632099；行3256
2. 规则：BR-14607cab2aac5de7
3. 未动态验证</x:v>
      </x:c>
    </x:row>
    <x:row r="95" ht="85" customHeight="1">
      <x:c r="A95" s="10" t="n">
        <x:v>94</x:v>
      </x:c>
      <x:c r="B95" s="10" t="str">
        <x:v>GUILD-03-0013</x:v>
      </x:c>
      <x:c r="C95" s="10" t="str">
        <x:v>运营工具</x:v>
      </x:c>
      <x:c r="D95" s="10" t="str">
        <x:v>运营账号（公会长视角）</x:v>
      </x:c>
      <x:c r="E95" s="10" t="str">
        <x:v>功能需求</x:v>
      </x:c>
      <x:c r="F95" s="10" t="str">
        <x:v>P2</x:v>
      </x:c>
      <x:c r="G95" s="9" t="str">
        <x:v>验证按账号ID搜索运营账号</x:v>
      </x:c>
      <x:c r="H95" s="9" t="str">
        <x:v>运营账号ID搜索</x:v>
      </x:c>
      <x:c r="I95" s="9" t="str">
        <x:v>1. 执行角色为公会长
2. 当前公会账号甲ID为9001，乙ID为9002</x:v>
      </x:c>
      <x:c r="J95" s="9" t="str">
        <x:v>1. 进入运营账号页
2. 输入搜索框为9001</x:v>
      </x:c>
      <x:c r="K95" s="9" t="str">
        <x:v>搜索结果仅显示甲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来源（当前证据）：liveshow-proto/MainBasis/统一需求文档.md；位置：REQ-56cd13972b64；行3088
2. 规则：BR-ab9e04160e964baf
3. 未动态验证</x:v>
      </x:c>
    </x:row>
    <x:row r="96" ht="85" customHeight="1">
      <x:c r="A96" s="10" t="n">
        <x:v>95</x:v>
      </x:c>
      <x:c r="B96" s="10" t="str">
        <x:v>GUILD-03-0014</x:v>
      </x:c>
      <x:c r="C96" s="10" t="str">
        <x:v>运营工具</x:v>
      </x:c>
      <x:c r="D96" s="10" t="str">
        <x:v>运营账号（公会长视角）</x:v>
      </x:c>
      <x:c r="E96" s="10" t="str">
        <x:v>逻辑校验</x:v>
      </x:c>
      <x:c r="F96" s="10" t="str">
        <x:v>P1</x:v>
      </x:c>
      <x:c r="G96" s="9" t="str">
        <x:v>验证公会当月额度用尽时显示零</x:v>
      </x:c>
      <x:c r="H96" s="9" t="str">
        <x:v>公会剩余额度下限</x:v>
      </x:c>
      <x:c r="I96" s="9" t="str">
        <x:v>1. 执行角色为公会长
2. 本月发放上限1000金币且已成功发放1000金币</x:v>
      </x:c>
      <x:c r="J96" s="9" t="str">
        <x:v>1. 进入运营账号页</x:v>
      </x:c>
      <x:c r="K96" s="9" t="str">
        <x:v>本月剩余可发显示0金币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来源（当前证据）：liveshow-proto/MainBasis/统一需求文档.md；位置：REQ-07ccfe1b17c0；行3100
2. 规则：BR-f79146c9f5bdfda5
3. 未动态验证</x:v>
      </x:c>
    </x:row>
    <x:row r="97" ht="85" customHeight="1">
      <x:c r="A97" s="10" t="n">
        <x:v>96</x:v>
      </x:c>
      <x:c r="B97" s="10" t="str">
        <x:v>GUILD-03-0015</x:v>
      </x:c>
      <x:c r="C97" s="10" t="str">
        <x:v>运营工具</x:v>
      </x:c>
      <x:c r="D97" s="10" t="str">
        <x:v>运营账号（公会长视角）</x:v>
      </x:c>
      <x:c r="E97" s="10" t="str">
        <x:v>逻辑校验</x:v>
      </x:c>
      <x:c r="F97" s="10" t="str">
        <x:v>P1</x:v>
      </x:c>
      <x:c r="G97" s="9" t="str">
        <x:v>验证汇总全部运营账号余额</x:v>
      </x:c>
      <x:c r="H97" s="9" t="str">
        <x:v>公会虚拟币总余额</x:v>
      </x:c>
      <x:c r="I97" s="9" t="str">
        <x:v>1. 执行角色为公会长
2. 公会运营账号甲余额100金币，乙200金币</x:v>
      </x:c>
      <x:c r="J97" s="9" t="str">
        <x:v>1. 进入运营账号页</x:v>
      </x:c>
      <x:c r="K97" s="9" t="str">
        <x:v>账户余额累计 = 300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来源（当前证据）：liveshow-proto/MainBasis/统一需求文档.md；位置：REQ-c7b698bb777a；行3102
2. 规则：BR-0f2f9bd361b2074e
3. 未动态验证</x:v>
      </x:c>
    </x:row>
    <x:row r="98" ht="85" customHeight="1">
      <x:c r="A98" s="10" t="n">
        <x:v>97</x:v>
      </x:c>
      <x:c r="B98" s="10" t="str">
        <x:v>GUILD-03-0016</x:v>
      </x:c>
      <x:c r="C98" s="10" t="str">
        <x:v>运营工具</x:v>
      </x:c>
      <x:c r="D98" s="10" t="str">
        <x:v>创建运营账号（公会长视角）</x:v>
      </x:c>
      <x:c r="E98" s="10" t="str">
        <x:v>逻辑校验</x:v>
      </x:c>
      <x:c r="F98" s="10" t="str">
        <x:v>P1</x:v>
      </x:c>
      <x:c r="G98" s="9" t="str">
        <x:v>验证创建运营账号必填头像</x:v>
      </x:c>
      <x:c r="H98" s="9" t="str">
        <x:v>运营账号头像必填</x:v>
      </x:c>
      <x:c r="I98" s="9" t="str">
        <x:v>1. 执行角色为公会长
2. 其他创建字段合法且已填写</x:v>
      </x:c>
      <x:c r="J98" s="9" t="str">
        <x:v>1. 进入创建运营账号页
2. 清空头像
3. 点击确认创建</x:v>
      </x:c>
      <x:c r="K98" s="9" t="str">
        <x:v>不能创建缺少头像的账号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来源（当前证据）：liveshow-proto/MainBasis/统一需求文档.md；位置：REQ-9d6081f3950c；行3117
2. 规则：BR-2fe99dcc449eca49
3. 未动态验证</x:v>
      </x:c>
    </x:row>
    <x:row r="99" ht="85" customHeight="1">
      <x:c r="A99" s="10" t="n">
        <x:v>98</x:v>
      </x:c>
      <x:c r="B99" s="10" t="str">
        <x:v>GUILD-03-0017</x:v>
      </x:c>
      <x:c r="C99" s="10" t="str">
        <x:v>运营工具</x:v>
      </x:c>
      <x:c r="D99" s="10" t="str">
        <x:v>创建运营账号（公会长视角）</x:v>
      </x:c>
      <x:c r="E99" s="10" t="str">
        <x:v>逻辑校验</x:v>
      </x:c>
      <x:c r="F99" s="10" t="str">
        <x:v>P1</x:v>
      </x:c>
      <x:c r="G99" s="9" t="str">
        <x:v>验证创建运营账号必填名称</x:v>
      </x:c>
      <x:c r="H99" s="9" t="str">
        <x:v>运营账号名称必填</x:v>
      </x:c>
      <x:c r="I99" s="9" t="str">
        <x:v>1. 执行角色为公会长
2. 其他创建字段合法且已填写</x:v>
      </x:c>
      <x:c r="J99" s="9" t="str">
        <x:v>1. 进入创建运营账号页
2. 清空名称
3. 点击确认创建</x:v>
      </x:c>
      <x:c r="K99" s="9" t="str">
        <x:v>不能创建缺少名称的账号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来源（当前证据）：liveshow-proto/MainBasis/统一需求文档.md；位置：REQ-26ba8fb92142；行3119
2. 规则：BR-3cb57d39af4f463e
3. 未动态验证</x:v>
      </x:c>
    </x:row>
    <x:row r="100" ht="85" customHeight="1">
      <x:c r="A100" s="10" t="n">
        <x:v>99</x:v>
      </x:c>
      <x:c r="B100" s="10" t="str">
        <x:v>GUILD-03-0018</x:v>
      </x:c>
      <x:c r="C100" s="10" t="str">
        <x:v>运营工具</x:v>
      </x:c>
      <x:c r="D100" s="10" t="str">
        <x:v>创建运营账号（公会长视角）</x:v>
      </x:c>
      <x:c r="E100" s="10" t="str">
        <x:v>逻辑校验</x:v>
      </x:c>
      <x:c r="F100" s="10" t="str">
        <x:v>P1</x:v>
      </x:c>
      <x:c r="G100" s="9" t="str">
        <x:v>验证创建运营账号必填账号</x:v>
      </x:c>
      <x:c r="H100" s="9" t="str">
        <x:v>运营账号账号必填</x:v>
      </x:c>
      <x:c r="I100" s="9" t="str">
        <x:v>1. 执行角色为公会长
2. 其他创建字段合法且已填写</x:v>
      </x:c>
      <x:c r="J100" s="9" t="str">
        <x:v>1. 进入创建运营账号页
2. 清空账号
3. 点击确认创建</x:v>
      </x:c>
      <x:c r="K100" s="9" t="str">
        <x:v>不能创建缺少账号的账号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来源（当前证据）：liveshow-proto/MainBasis/统一需求文档.md；位置：REQ-ba4adee83342；行3121
2. 规则：BR-f17aac5f7bce40f3
3. 未动态验证</x:v>
      </x:c>
    </x:row>
    <x:row r="101" ht="85" customHeight="1">
      <x:c r="A101" s="10" t="n">
        <x:v>100</x:v>
      </x:c>
      <x:c r="B101" s="10" t="str">
        <x:v>GUILD-03-0019</x:v>
      </x:c>
      <x:c r="C101" s="10" t="str">
        <x:v>运营工具</x:v>
      </x:c>
      <x:c r="D101" s="10" t="str">
        <x:v>创建运营账号（公会长视角）</x:v>
      </x:c>
      <x:c r="E101" s="10" t="str">
        <x:v>逻辑校验</x:v>
      </x:c>
      <x:c r="F101" s="10" t="str">
        <x:v>P1</x:v>
      </x:c>
      <x:c r="G101" s="9" t="str">
        <x:v>验证创建运营账号必填初始密码</x:v>
      </x:c>
      <x:c r="H101" s="9" t="str">
        <x:v>运营账号初始密码必填</x:v>
      </x:c>
      <x:c r="I101" s="9" t="str">
        <x:v>1. 执行角色为公会长
2. 其他创建字段合法且已填写</x:v>
      </x:c>
      <x:c r="J101" s="9" t="str">
        <x:v>1. 进入创建运营账号页
2. 清空初始密码
3. 点击确认创建</x:v>
      </x:c>
      <x:c r="K101" s="9" t="str">
        <x:v>不能创建缺少初始密码的账号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来源（当前证据）：liveshow-proto/MainBasis/统一需求文档.md；位置：REQ-37d509ce6e38；行3123
2. 规则：BR-cb411b8f86043ea8
3. 未动态验证</x:v>
      </x:c>
    </x:row>
    <x:row r="102" ht="85" customHeight="1">
      <x:c r="A102" s="10" t="n">
        <x:v>101</x:v>
      </x:c>
      <x:c r="B102" s="10" t="str">
        <x:v>GUILD-03-0020</x:v>
      </x:c>
      <x:c r="C102" s="10" t="str">
        <x:v>运营工具</x:v>
      </x:c>
      <x:c r="D102" s="10" t="str">
        <x:v>创建运营账号（公会长视角）</x:v>
      </x:c>
      <x:c r="E102" s="10" t="str">
        <x:v>逻辑校验</x:v>
      </x:c>
      <x:c r="F102" s="10" t="str">
        <x:v>P1</x:v>
      </x:c>
      <x:c r="G102" s="9" t="str">
        <x:v>验证运营账号名称超过30字符</x:v>
      </x:c>
      <x:c r="H102" s="9" t="str">
        <x:v>运营账号名称长度</x:v>
      </x:c>
      <x:c r="I102" s="9" t="str">
        <x:v>1. 执行角色为公会长</x:v>
      </x:c>
      <x:c r="J102" s="9" t="str">
        <x:v>1. 进入创建运营账号页
2. 填写名称为30个A
3. 输入名称末尾追加B</x:v>
      </x:c>
      <x:c r="K102" s="9" t="str">
        <x:v>名称不接受超过30字符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来源（当前证据）：liveshow-proto/MainBasis/统一需求文档.md；位置：REQ-26ba8fb92142；行3119
2. 规则：BR-ee8aa9344a44efcd
3. 未动态验证</x:v>
      </x:c>
    </x:row>
    <x:row r="103" ht="85" customHeight="1">
      <x:c r="A103" s="10" t="n">
        <x:v>102</x:v>
      </x:c>
      <x:c r="B103" s="10" t="str">
        <x:v>GUILD-03-0021</x:v>
      </x:c>
      <x:c r="C103" s="10" t="str">
        <x:v>运营工具</x:v>
      </x:c>
      <x:c r="D103" s="10" t="str">
        <x:v>创建运营账号（公会长视角）</x:v>
      </x:c>
      <x:c r="E103" s="10" t="str">
        <x:v>逻辑校验</x:v>
      </x:c>
      <x:c r="F103" s="10" t="str">
        <x:v>P1</x:v>
      </x:c>
      <x:c r="G103" s="9" t="str">
        <x:v>验证运营账号账号超过30字符</x:v>
      </x:c>
      <x:c r="H103" s="9" t="str">
        <x:v>运营账号账号长度</x:v>
      </x:c>
      <x:c r="I103" s="9" t="str">
        <x:v>1. 执行角色为公会长</x:v>
      </x:c>
      <x:c r="J103" s="9" t="str">
        <x:v>1. 进入创建运营账号页
2. 填写账号为30个A
3. 输入账号末尾追加B</x:v>
      </x:c>
      <x:c r="K103" s="9" t="str">
        <x:v>账号不接受超过30字符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来源（当前证据）：liveshow-proto/MainBasis/统一需求文档.md；位置：REQ-ba4adee83342；行3121
2. 规则：BR-b2f1fd70948cd427
3. 未动态验证</x:v>
      </x:c>
    </x:row>
    <x:row r="104" ht="85" customHeight="1">
      <x:c r="A104" s="10" t="n">
        <x:v>103</x:v>
      </x:c>
      <x:c r="B104" s="10" t="str">
        <x:v>GUILD-03-0022</x:v>
      </x:c>
      <x:c r="C104" s="10" t="str">
        <x:v>运营工具</x:v>
      </x:c>
      <x:c r="D104" s="10" t="str">
        <x:v>创建运营账号（公会长视角）</x:v>
      </x:c>
      <x:c r="E104" s="10" t="str">
        <x:v>功能需求</x:v>
      </x:c>
      <x:c r="F104" s="10" t="str">
        <x:v>P2</x:v>
      </x:c>
      <x:c r="G104" s="9" t="str">
        <x:v>验证运营账号头像支持JPG</x:v>
      </x:c>
      <x:c r="H104" s="9" t="str">
        <x:v>运营账号头像预览</x:v>
      </x:c>
      <x:c r="I104" s="9" t="str">
        <x:v>1. 执行角色为公会长
2. 准备有效qa.jpg图片</x:v>
      </x:c>
      <x:c r="J104" s="9" t="str">
        <x:v>1. 进入创建运营账号页
2. 上传头像选择qa.jpg</x:v>
      </x:c>
      <x:c r="K104" s="9" t="str">
        <x:v>显示所选头像预览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来源（当前证据）：liveshow-proto/MainBasis/统一需求文档.md；位置：REQ-9d6081f3950c；行3117
2. 规则：BR-be57d786df09ac72
3. 未动态验证</x:v>
      </x:c>
    </x:row>
    <x:row r="105" ht="85" customHeight="1">
      <x:c r="A105" s="10" t="n">
        <x:v>104</x:v>
      </x:c>
      <x:c r="B105" s="10" t="str">
        <x:v>GUILD-03-0023</x:v>
      </x:c>
      <x:c r="C105" s="10" t="str">
        <x:v>运营工具</x:v>
      </x:c>
      <x:c r="D105" s="10" t="str">
        <x:v>创建运营账号（公会长视角）</x:v>
      </x:c>
      <x:c r="E105" s="10" t="str">
        <x:v>功能需求</x:v>
      </x:c>
      <x:c r="F105" s="10" t="str">
        <x:v>P2</x:v>
      </x:c>
      <x:c r="G105" s="9" t="str">
        <x:v>验证运营账号头像支持PNG</x:v>
      </x:c>
      <x:c r="H105" s="9" t="str">
        <x:v>运营账号头像预览</x:v>
      </x:c>
      <x:c r="I105" s="9" t="str">
        <x:v>1. 执行角色为公会长
2. 准备有效qa.png图片</x:v>
      </x:c>
      <x:c r="J105" s="9" t="str">
        <x:v>1. 进入创建运营账号页
2. 上传头像选择qa.png</x:v>
      </x:c>
      <x:c r="K105" s="9" t="str">
        <x:v>显示所选头像预览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来源（当前证据）：liveshow-proto/MainBasis/统一需求文档.md；位置：REQ-9d6081f3950c；行3117
2. 规则：BR-0e4c8772a523f5ec
3. 未动态验证</x:v>
      </x:c>
    </x:row>
    <x:row r="106" ht="85" customHeight="1">
      <x:c r="A106" s="10" t="n">
        <x:v>105</x:v>
      </x:c>
      <x:c r="B106" s="10" t="str">
        <x:v>GUILD-03-0024</x:v>
      </x:c>
      <x:c r="C106" s="10" t="str">
        <x:v>运营工具</x:v>
      </x:c>
      <x:c r="D106" s="10" t="str">
        <x:v>创建运营账号（公会长视角）</x:v>
      </x:c>
      <x:c r="E106" s="10" t="str">
        <x:v>功能需求</x:v>
      </x:c>
      <x:c r="F106" s="10" t="str">
        <x:v>P2</x:v>
      </x:c>
      <x:c r="G106" s="9" t="str">
        <x:v>验证运营账号头像支持WebP</x:v>
      </x:c>
      <x:c r="H106" s="9" t="str">
        <x:v>运营账号头像预览</x:v>
      </x:c>
      <x:c r="I106" s="9" t="str">
        <x:v>1. 执行角色为公会长
2. 准备有效qa.webp图片</x:v>
      </x:c>
      <x:c r="J106" s="9" t="str">
        <x:v>1. 进入创建运营账号页
2. 上传头像选择qa.webp</x:v>
      </x:c>
      <x:c r="K106" s="9" t="str">
        <x:v>显示所选头像预览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来源（当前证据）：liveshow-proto/MainBasis/统一需求文档.md；位置：REQ-9d6081f3950c；行3117
2. 规则：BR-453b678ba749d796
3. 未动态验证</x:v>
      </x:c>
    </x:row>
    <x:row r="107" ht="85" customHeight="1">
      <x:c r="A107" s="10" t="n">
        <x:v>106</x:v>
      </x:c>
      <x:c r="B107" s="10" t="str">
        <x:v>GUILD-03-0025</x:v>
      </x:c>
      <x:c r="C107" s="10" t="str">
        <x:v>运营工具</x:v>
      </x:c>
      <x:c r="D107" s="10" t="str">
        <x:v>创建运营账号（公会长视角）</x:v>
      </x:c>
      <x:c r="E107" s="10" t="str">
        <x:v>逻辑校验</x:v>
      </x:c>
      <x:c r="F107" s="10" t="str">
        <x:v>P1</x:v>
      </x:c>
      <x:c r="G107" s="9" t="str">
        <x:v>验证其他公会已占用账号不能重建</x:v>
      </x:c>
      <x:c r="H107" s="9" t="str">
        <x:v>运营登录账号唯一性</x:v>
      </x:c>
      <x:c r="I107" s="9" t="str">
        <x:v>1. 执行角色为公会长
2. 公会B已有有效登录账号L；当前公会A创建资料均合法</x:v>
      </x:c>
      <x:c r="J107" s="9" t="str">
        <x:v>1. 进入创建运营账号页
2. 填写账号为L
3. 点击确认创建</x:v>
      </x:c>
      <x:c r="K107" s="9" t="str">
        <x:v>不能创建重复登录账号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来源（当前证据）：liveshow-proto/MainBasis/统一需求文档.md；位置：REQ-ba4adee83342；行3121
2. 规则：BR-d35428bcb9ff8d40
3. 未动态验证</x:v>
      </x:c>
    </x:row>
    <x:row r="108" ht="85" customHeight="1">
      <x:c r="A108" s="10" t="n">
        <x:v>107</x:v>
      </x:c>
      <x:c r="B108" s="10" t="str">
        <x:v>GUILD-03-0026</x:v>
      </x:c>
      <x:c r="C108" s="10" t="str">
        <x:v>运营工具</x:v>
      </x:c>
      <x:c r="D108" s="10" t="str">
        <x:v>创建运营账号（公会长视角）</x:v>
      </x:c>
      <x:c r="E108" s="10" t="str">
        <x:v>逻辑校验</x:v>
      </x:c>
      <x:c r="F108" s="10" t="str">
        <x:v>P1</x:v>
      </x:c>
      <x:c r="G108" s="9" t="str">
        <x:v>验证运营账号初始密码5位不通过</x:v>
      </x:c>
      <x:c r="H108" s="9" t="str">
        <x:v>运营初始密码最小长度</x:v>
      </x:c>
      <x:c r="I108" s="9" t="str">
        <x:v>1. 执行角色为公会长
2. 其他资料已填写</x:v>
      </x:c>
      <x:c r="J108" s="9" t="str">
        <x:v>1. 进入创建运营账号页
2. 填写初始密码为Qa123
3. 点击确认创建</x:v>
      </x:c>
      <x:c r="K108" s="9" t="str">
        <x:v>不能创建密码不足6位的账号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来源（当前证据）：liveshow-proto/MainBasis/统一需求文档.md；位置：REQ-37d509ce6e38；行3123
2. 规则：BR-ee548584c487f13e
3. 未动态验证</x:v>
      </x:c>
    </x:row>
    <x:row r="109" ht="85" customHeight="1">
      <x:c r="A109" s="10" t="n">
        <x:v>108</x:v>
      </x:c>
      <x:c r="B109" s="10" t="str">
        <x:v>GUILD-03-0027</x:v>
      </x:c>
      <x:c r="C109" s="10" t="str">
        <x:v>运营工具</x:v>
      </x:c>
      <x:c r="D109" s="10" t="str">
        <x:v>创建运营账号（公会长视角）</x:v>
      </x:c>
      <x:c r="E109" s="10" t="str">
        <x:v>功能需求</x:v>
      </x:c>
      <x:c r="F109" s="10" t="str">
        <x:v>P2</x:v>
      </x:c>
      <x:c r="G109" s="9" t="str">
        <x:v>验证创建运营账号默认启用</x:v>
      </x:c>
      <x:c r="H109" s="9" t="str">
        <x:v>运营账号初始状态</x:v>
      </x:c>
      <x:c r="I109" s="9" t="str">
        <x:v>1. 执行角色为公会长</x:v>
      </x:c>
      <x:c r="J109" s="9" t="str">
        <x:v>1. 进入创建运营账号页</x:v>
      </x:c>
      <x:c r="K109" s="9" t="str">
        <x:v>账号状态默认为启用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来源（当前证据）：liveshow-proto/MainBasis/统一需求文档.md；位置：REQ-dcf9b5ec5baf；行3125
2. 规则：BR-885340207ae54233
3. 未动态验证</x:v>
      </x:c>
    </x:row>
    <x:row r="110" ht="85" customHeight="1">
      <x:c r="A110" s="10" t="n">
        <x:v>109</x:v>
      </x:c>
      <x:c r="B110" s="10" t="str">
        <x:v>GUILD-03-0028</x:v>
      </x:c>
      <x:c r="C110" s="10" t="str">
        <x:v>运营工具</x:v>
      </x:c>
      <x:c r="D110" s="10" t="str">
        <x:v>创建运营账号（公会长视角）</x:v>
      </x:c>
      <x:c r="E110" s="10" t="str">
        <x:v>功能需求</x:v>
      </x:c>
      <x:c r="F110" s="10" t="str">
        <x:v>P2</x:v>
      </x:c>
      <x:c r="G110" s="9" t="str">
        <x:v>验证初始发放虚拟金币默认零</x:v>
      </x:c>
      <x:c r="H110" s="9" t="str">
        <x:v>运营账号初始发放额</x:v>
      </x:c>
      <x:c r="I110" s="9" t="str">
        <x:v>1. 执行角色为公会长</x:v>
      </x:c>
      <x:c r="J110" s="9" t="str">
        <x:v>1. 进入创建运营账号页</x:v>
      </x:c>
      <x:c r="K110" s="9" t="str">
        <x:v>发放金币默认为0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来源（当前证据）：liveshow-proto/MainBasis/统一需求文档.md；位置：REQ-6f2664020d2b；行3127
2. 规则：BR-6a9ed64ee0abb6f6
3. 未动态验证</x:v>
      </x:c>
    </x:row>
    <x:row r="111" ht="85" customHeight="1">
      <x:c r="A111" s="10" t="n">
        <x:v>110</x:v>
      </x:c>
      <x:c r="B111" s="10" t="str">
        <x:v>GUILD-03-0029</x:v>
      </x:c>
      <x:c r="C111" s="10" t="str">
        <x:v>运营工具</x:v>
      </x:c>
      <x:c r="D111" s="10" t="str">
        <x:v>创建运营账号（公会长视角）</x:v>
      </x:c>
      <x:c r="E111" s="10" t="str">
        <x:v>逻辑校验</x:v>
      </x:c>
      <x:c r="F111" s="10" t="str">
        <x:v>P1</x:v>
      </x:c>
      <x:c r="G111" s="9" t="str">
        <x:v>验证账号剩余100公会剩余200时发放上限</x:v>
      </x:c>
      <x:c r="H111" s="9" t="str">
        <x:v>双额度取小值</x:v>
      </x:c>
      <x:c r="I111" s="9" t="str">
        <x:v>1. 执行角色为公会长
2. 账号月剩余额度100金币，公会月剩余额度200金币</x:v>
      </x:c>
      <x:c r="J111" s="9" t="str">
        <x:v>1. 进入创建运营账号页</x:v>
      </x:c>
      <x:c r="K111" s="9" t="str">
        <x:v>最多可发放显示100金币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来源（当前证据）：liveshow-proto/MainBasis/统一需求文档.md；位置：REQ-cd6a03e29391；行3129
2. 规则：BR-bf63b5747b7bd668
3. 未动态验证</x:v>
      </x:c>
    </x:row>
    <x:row r="112" ht="85" customHeight="1">
      <x:c r="A112" s="10" t="n">
        <x:v>111</x:v>
      </x:c>
      <x:c r="B112" s="10" t="str">
        <x:v>GUILD-03-0030</x:v>
      </x:c>
      <x:c r="C112" s="10" t="str">
        <x:v>运营工具</x:v>
      </x:c>
      <x:c r="D112" s="10" t="str">
        <x:v>创建运营账号（公会长视角）</x:v>
      </x:c>
      <x:c r="E112" s="10" t="str">
        <x:v>逻辑校验</x:v>
      </x:c>
      <x:c r="F112" s="10" t="str">
        <x:v>P1</x:v>
      </x:c>
      <x:c r="G112" s="9" t="str">
        <x:v>验证账号剩余300公会剩余200时发放上限</x:v>
      </x:c>
      <x:c r="H112" s="9" t="str">
        <x:v>双额度取小值</x:v>
      </x:c>
      <x:c r="I112" s="9" t="str">
        <x:v>1. 执行角色为公会长
2. 账号月剩余额度300金币，公会月剩余额度200金币</x:v>
      </x:c>
      <x:c r="J112" s="9" t="str">
        <x:v>1. 进入创建运营账号页</x:v>
      </x:c>
      <x:c r="K112" s="9" t="str">
        <x:v>最多可发放显示200金币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来源（当前证据）：liveshow-proto/MainBasis/统一需求文档.md；位置：REQ-cd6a03e29391；行3129
2. 规则：BR-2b20f2434f27593c
3. 未动态验证</x:v>
      </x:c>
    </x:row>
    <x:row r="113" ht="85" customHeight="1">
      <x:c r="A113" s="10" t="n">
        <x:v>112</x:v>
      </x:c>
      <x:c r="B113" s="10" t="str">
        <x:v>GUILD-03-0031</x:v>
      </x:c>
      <x:c r="C113" s="10" t="str">
        <x:v>运营工具</x:v>
      </x:c>
      <x:c r="D113" s="10" t="str">
        <x:v>创建运营账号（公会长视角）</x:v>
      </x:c>
      <x:c r="E113" s="10" t="str">
        <x:v>逻辑校验</x:v>
      </x:c>
      <x:c r="F113" s="10" t="str">
        <x:v>P1</x:v>
      </x:c>
      <x:c r="G113" s="9" t="str">
        <x:v>验证账号剩余100公会剩余0时发放上限</x:v>
      </x:c>
      <x:c r="H113" s="9" t="str">
        <x:v>双额度取小值</x:v>
      </x:c>
      <x:c r="I113" s="9" t="str">
        <x:v>1. 执行角色为公会长
2. 账号月剩余额度100金币，公会月剩余额度0金币</x:v>
      </x:c>
      <x:c r="J113" s="9" t="str">
        <x:v>1. 进入创建运营账号页</x:v>
      </x:c>
      <x:c r="K113" s="9" t="str">
        <x:v>最多可发放显示0金币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来源（当前证据）：liveshow-proto/MainBasis/统一需求文档.md；位置：REQ-cd6a03e29391；行3129
2. 规则：BR-52510cbb3b225a99
3. 未动态验证</x:v>
      </x:c>
    </x:row>
    <x:row r="114" ht="85" customHeight="1">
      <x:c r="A114" s="10" t="n">
        <x:v>113</x:v>
      </x:c>
      <x:c r="B114" s="10" t="str">
        <x:v>GUILD-03-0032</x:v>
      </x:c>
      <x:c r="C114" s="10" t="str">
        <x:v>运营工具</x:v>
      </x:c>
      <x:c r="D114" s="10" t="str">
        <x:v>创建运营账号（公会长视角）</x:v>
      </x:c>
      <x:c r="E114" s="10" t="str">
        <x:v>逻辑校验</x:v>
      </x:c>
      <x:c r="F114" s="10" t="str">
        <x:v>P1</x:v>
      </x:c>
      <x:c r="G114" s="9" t="str">
        <x:v>验证初始发放-1金币不合法</x:v>
      </x:c>
      <x:c r="H114" s="9" t="str">
        <x:v>初始发放额度校验</x:v>
      </x:c>
      <x:c r="I114" s="9" t="str">
        <x:v>1. 执行角色为公会长
2. 本次最多可发放100金币，其他资料合法</x:v>
      </x:c>
      <x:c r="J114" s="9" t="str">
        <x:v>1. 进入创建运营账号页
2. 填写发放金币为-1
3. 点击确认创建</x:v>
      </x:c>
      <x:c r="K114" s="9" t="str">
        <x:v>不能创建额度不合法的账号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来源（当前证据）：liveshow-proto/MainBasis/统一需求文档.md；位置：REQ-6f2664020d2b；行3127
2. 规则：BR-77a71e689edcdd02
3. 未动态验证</x:v>
      </x:c>
    </x:row>
    <x:row r="115" ht="85" customHeight="1">
      <x:c r="A115" s="10" t="n">
        <x:v>114</x:v>
      </x:c>
      <x:c r="B115" s="10" t="str">
        <x:v>GUILD-03-0033</x:v>
      </x:c>
      <x:c r="C115" s="10" t="str">
        <x:v>运营工具</x:v>
      </x:c>
      <x:c r="D115" s="10" t="str">
        <x:v>创建运营账号（公会长视角）</x:v>
      </x:c>
      <x:c r="E115" s="10" t="str">
        <x:v>逻辑校验</x:v>
      </x:c>
      <x:c r="F115" s="10" t="str">
        <x:v>P1</x:v>
      </x:c>
      <x:c r="G115" s="9" t="str">
        <x:v>验证初始发放101金币不合法</x:v>
      </x:c>
      <x:c r="H115" s="9" t="str">
        <x:v>初始发放额度校验</x:v>
      </x:c>
      <x:c r="I115" s="9" t="str">
        <x:v>1. 执行角色为公会长
2. 本次最多可发放100金币，其他资料合法</x:v>
      </x:c>
      <x:c r="J115" s="9" t="str">
        <x:v>1. 进入创建运营账号页
2. 填写发放金币为101
3. 点击确认创建</x:v>
      </x:c>
      <x:c r="K115" s="9" t="str">
        <x:v>不能创建额度不合法的账号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来源（当前证据）：liveshow-proto/MainBasis/统一需求文档.md；位置：REQ-6f2664020d2b；行3127
2. 规则：BR-8131a46692ac89bc
3. 未动态验证</x:v>
      </x:c>
    </x:row>
    <x:row r="116" ht="85" customHeight="1">
      <x:c r="A116" s="10" t="n">
        <x:v>115</x:v>
      </x:c>
      <x:c r="B116" s="10" t="str">
        <x:v>GUILD-03-0034</x:v>
      </x:c>
      <x:c r="C116" s="10" t="str">
        <x:v>运营工具</x:v>
      </x:c>
      <x:c r="D116" s="10" t="str">
        <x:v>创建运营账号（公会长视角）</x:v>
      </x:c>
      <x:c r="E116" s="10" t="str">
        <x:v>业务流程</x:v>
      </x:c>
      <x:c r="F116" s="10" t="str">
        <x:v>P0</x:v>
      </x:c>
      <x:c r="G116" s="9" t="str">
        <x:v>验证创建零初始余额运营账号</x:v>
      </x:c>
      <x:c r="H116" s="9" t="str">
        <x:v>运营账号创建完成</x:v>
      </x:c>
      <x:c r="I116" s="9" t="str">
        <x:v>1. 执行角色为公会长
2. 头像、名称、平台唯一有效格式账号、6位以上密码已填写，初始发放0</x:v>
      </x:c>
      <x:c r="J116" s="9" t="str">
        <x:v>1. 进入创建运营账号页
2. 点击确认创建</x:v>
      </x:c>
      <x:c r="K116" s="9" t="str">
        <x:v>返回运营账号列表</x:v>
      </x:c>
      <x:c r="L116" s="10" t="str">
        <x:v>FLOW-9DD46CA244</x:v>
      </x:c>
      <x:c r="M116" s="10" t="str">
        <x:v>未测</x:v>
      </x:c>
      <x:c r="N116" s="10" t="str"/>
      <x:c r="O116" s="9" t="str">
        <x:v>1. 来源（当前证据）：liveshow-proto/MainBasis/统一需求文档.md；位置：REQ-18e6f92ab030；行3133
2. 规则：BR-ea5002b2c3e489ac
3. 未动态验证</x:v>
      </x:c>
    </x:row>
    <x:row r="117" ht="85" customHeight="1">
      <x:c r="A117" s="10" t="n">
        <x:v>116</x:v>
      </x:c>
      <x:c r="B117" s="10" t="str">
        <x:v>GUILD-03-0035</x:v>
      </x:c>
      <x:c r="C117" s="10" t="str">
        <x:v>运营工具</x:v>
      </x:c>
      <x:c r="D117" s="10" t="str">
        <x:v>运营账号主页（公会长视角）</x:v>
      </x:c>
      <x:c r="E117" s="10" t="str">
        <x:v>逻辑校验</x:v>
      </x:c>
      <x:c r="F117" s="10" t="str">
        <x:v>P1</x:v>
      </x:c>
      <x:c r="G117" s="9" t="str">
        <x:v>验证平台锁定后公会运营账号只读</x:v>
      </x:c>
      <x:c r="H117" s="9" t="str">
        <x:v>运营账号公会管理锁定</x:v>
      </x:c>
      <x:c r="I117" s="9" t="str">
        <x:v>1. 执行角色为公会长
2. 平台已锁定该账号公会管理权限</x:v>
      </x:c>
      <x:c r="J117" s="9" t="str">
        <x:v>1. 进入运营账号主页页</x:v>
      </x:c>
      <x:c r="K117" s="9" t="str">
        <x:v>管理操作隐藏或不可用</x:v>
      </x:c>
      <x:c r="L117" s="10" t="str">
        <x:v>FLOW-9DD46CA244</x:v>
      </x:c>
      <x:c r="M117" s="10" t="str">
        <x:v>未测</x:v>
      </x:c>
      <x:c r="N117" s="10" t="str"/>
      <x:c r="O117" s="9" t="str">
        <x:v>1. 来源（当前证据）：liveshow-proto/MainBasis/统一需求文档.md；位置：REQ-08aa8f7fddb5；行3143
2. 规则：BR-8c8f2b13ba301a22
3. 未动态验证</x:v>
      </x:c>
    </x:row>
    <x:row r="118" ht="85" customHeight="1">
      <x:c r="A118" s="10" t="n">
        <x:v>117</x:v>
      </x:c>
      <x:c r="B118" s="10" t="str">
        <x:v>GUILD-03-0036</x:v>
      </x:c>
      <x:c r="C118" s="10" t="str">
        <x:v>运营工具</x:v>
      </x:c>
      <x:c r="D118" s="10" t="str">
        <x:v>运营账号主页（公会长视角）</x:v>
      </x:c>
      <x:c r="E118" s="10" t="str">
        <x:v>逻辑校验</x:v>
      </x:c>
      <x:c r="F118" s="10" t="str">
        <x:v>P1</x:v>
      </x:c>
      <x:c r="G118" s="9" t="str">
        <x:v>验证禁用运营账号保留余额</x:v>
      </x:c>
      <x:c r="H118" s="9" t="str">
        <x:v>禁用运营账号余额</x:v>
      </x:c>
      <x:c r="I118" s="9" t="str">
        <x:v>1. 执行角色为公会长
2. 运营账号启用且余额100金币，管理权限未锁定</x:v>
      </x:c>
      <x:c r="J118" s="9" t="str">
        <x:v>1. 进入运营账号主页页
2. 禁用账号状态开关</x:v>
      </x:c>
      <x:c r="K118" s="9" t="str">
        <x:v>账户余额仍为100金币</x:v>
      </x:c>
      <x:c r="L118" s="10" t="str">
        <x:v>FLOW-9DD46CA244</x:v>
      </x:c>
      <x:c r="M118" s="10" t="str">
        <x:v>未测</x:v>
      </x:c>
      <x:c r="N118" s="10" t="str"/>
      <x:c r="O118" s="9" t="str">
        <x:v>1. 来源（当前证据）：liveshow-proto/MainBasis/统一需求文档.md；位置：REQ-6c9432dc3f2d；行3165
2. 规则：BR-fe093ef17c872fc8
3. 未动态验证</x:v>
      </x:c>
    </x:row>
    <x:row r="119" ht="85" customHeight="1">
      <x:c r="A119" s="10" t="n">
        <x:v>118</x:v>
      </x:c>
      <x:c r="B119" s="10" t="str">
        <x:v>GUILD-03-0037</x:v>
      </x:c>
      <x:c r="C119" s="10" t="str">
        <x:v>运营工具</x:v>
      </x:c>
      <x:c r="D119" s="10" t="str">
        <x:v>运营账号主页（公会长视角）</x:v>
      </x:c>
      <x:c r="E119" s="10" t="str">
        <x:v>逻辑校验</x:v>
      </x:c>
      <x:c r="F119" s="10" t="str">
        <x:v>P1</x:v>
      </x:c>
      <x:c r="G119" s="9" t="str">
        <x:v>验证重新启用已禁用运营账号</x:v>
      </x:c>
      <x:c r="H119" s="9" t="str">
        <x:v>运营账号恢复启用</x:v>
      </x:c>
      <x:c r="I119" s="9" t="str">
        <x:v>1. 执行角色为公会长
2. 当前运营账号禁用，管理权限未锁定</x:v>
      </x:c>
      <x:c r="J119" s="9" t="str">
        <x:v>1. 进入运营账号主页页
2. 启用账号状态开关</x:v>
      </x:c>
      <x:c r="K119" s="9" t="str">
        <x:v>账号状态显示启用</x:v>
      </x:c>
      <x:c r="L119" s="10" t="str">
        <x:v>FLOW-9DD46CA244</x:v>
      </x:c>
      <x:c r="M119" s="10" t="str">
        <x:v>未测</x:v>
      </x:c>
      <x:c r="N119" s="10" t="str"/>
      <x:c r="O119" s="9" t="str">
        <x:v>1. 来源（当前证据）：liveshow-proto/MainBasis/统一需求文档.md；位置：REQ-6c9432dc3f2d；行3165
2. 规则：BR-9b182c2c33b9b482
3. 未动态验证</x:v>
      </x:c>
    </x:row>
    <x:row r="120" ht="85" customHeight="1">
      <x:c r="A120" s="10" t="n">
        <x:v>119</x:v>
      </x:c>
      <x:c r="B120" s="10" t="str">
        <x:v>GUILD-03-0038</x:v>
      </x:c>
      <x:c r="C120" s="10" t="str">
        <x:v>运营工具</x:v>
      </x:c>
      <x:c r="D120" s="10" t="str">
        <x:v>运营账号主页（公会长视角）</x:v>
      </x:c>
      <x:c r="E120" s="10" t="str">
        <x:v>逻辑校验</x:v>
      </x:c>
      <x:c r="F120" s="10" t="str">
        <x:v>P1</x:v>
      </x:c>
      <x:c r="G120" s="9" t="str">
        <x:v>验证发放虚拟金币后余额更新</x:v>
      </x:c>
      <x:c r="H120" s="9" t="str">
        <x:v>运营账号发放后余额</x:v>
      </x:c>
      <x:c r="I120" s="9" t="str">
        <x:v>1. 执行角色为公会长
2. 余额100金币，可发上限200金币，权限未锁定</x:v>
      </x:c>
      <x:c r="J120" s="9" t="str">
        <x:v>1. 进入运营账号主页页
2. 填写发放数量为50
3. 点击发放金币</x:v>
      </x:c>
      <x:c r="K120" s="9" t="str">
        <x:v>账户余额 = 150</x:v>
      </x:c>
      <x:c r="L120" s="10" t="str">
        <x:v>FLOW-E6B5F087D2</x:v>
      </x:c>
      <x:c r="M120" s="10" t="str">
        <x:v>未测</x:v>
      </x:c>
      <x:c r="N120" s="10" t="str"/>
      <x:c r="O120" s="9" t="str">
        <x:v>1. 来源（当前证据）：liveshow-proto/MainBasis/统一需求文档.md；位置：REQ-ff9041624126；行3171
2. 规则：BR-d8fa764f806cbf81
3. 未动态验证</x:v>
      </x:c>
    </x:row>
    <x:row r="121" ht="85" customHeight="1">
      <x:c r="A121" s="10" t="n">
        <x:v>120</x:v>
      </x:c>
      <x:c r="B121" s="10" t="str">
        <x:v>GUILD-03-0039</x:v>
      </x:c>
      <x:c r="C121" s="10" t="str">
        <x:v>运营工具</x:v>
      </x:c>
      <x:c r="D121" s="10" t="str">
        <x:v>运营账号主页（公会长视角）</x:v>
      </x:c>
      <x:c r="E121" s="10" t="str">
        <x:v>逻辑校验</x:v>
      </x:c>
      <x:c r="F121" s="10" t="str">
        <x:v>P1</x:v>
      </x:c>
      <x:c r="G121" s="9" t="str">
        <x:v>验证发放虚拟金币超公会剩余额度</x:v>
      </x:c>
      <x:c r="H121" s="9" t="str">
        <x:v>运营账号发放超额限制</x:v>
      </x:c>
      <x:c r="I121" s="9" t="str">
        <x:v>1. 执行角色为公会长
2. 账号月剩余100金币，公会月剩余50金币，权限未锁定</x:v>
      </x:c>
      <x:c r="J121" s="9" t="str">
        <x:v>1. 进入运营账号主页页
2. 填写发放数量为51
3. 点击发放金币</x:v>
      </x:c>
      <x:c r="K121" s="9" t="str">
        <x:v>不能完成超额发放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来源（当前证据）：liveshow-proto/MainBasis/统一需求文档.md；位置：REQ-679e814edf80；行3153
2. 规则：BR-7cc3c1a730f41398
3. 未动态验证</x:v>
      </x:c>
    </x:row>
    <x:row r="122" ht="85" customHeight="1">
      <x:c r="A122" s="10" t="n">
        <x:v>121</x:v>
      </x:c>
      <x:c r="B122" s="10" t="str">
        <x:v>GUILD-03-0040</x:v>
      </x:c>
      <x:c r="C122" s="10" t="str">
        <x:v>运营工具</x:v>
      </x:c>
      <x:c r="D122" s="10" t="str">
        <x:v>运营账号主页（公会长视角）</x:v>
      </x:c>
      <x:c r="E122" s="10" t="str">
        <x:v>功能需求</x:v>
      </x:c>
      <x:c r="F122" s="10" t="str">
        <x:v>P2</x:v>
      </x:c>
      <x:c r="G122" s="9" t="str">
        <x:v>验证运营账号消费默认本月</x:v>
      </x:c>
      <x:c r="H122" s="9" t="str">
        <x:v>运营账号默认消费周期</x:v>
      </x:c>
      <x:c r="I122" s="9" t="str">
        <x:v>1. 执行角色为公会长</x:v>
      </x:c>
      <x:c r="J122" s="9" t="str">
        <x:v>1. 进入运营账号主页页</x:v>
      </x:c>
      <x:c r="K122" s="9" t="str">
        <x:v>快捷日期默认本月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来源（当前证据）：liveshow-proto/MainBasis/统一需求文档.md；位置：REQ-366c4df6d782；行3147
2. 规则：BR-920cece1cf7c1eec
3. 未动态验证</x:v>
      </x:c>
    </x:row>
    <x:row r="123" ht="85" customHeight="1">
      <x:c r="A123" s="10" t="n">
        <x:v>122</x:v>
      </x:c>
      <x:c r="B123" s="10" t="str">
        <x:v>GUILD-03-0041</x:v>
      </x:c>
      <x:c r="C123" s="10" t="str">
        <x:v>运营工具</x:v>
      </x:c>
      <x:c r="D123" s="10" t="str">
        <x:v>运营账号主页（公会长视角）</x:v>
      </x:c>
      <x:c r="E123" s="10" t="str">
        <x:v>功能需求</x:v>
      </x:c>
      <x:c r="F123" s="10" t="str">
        <x:v>P2</x:v>
      </x:c>
      <x:c r="G123" s="9" t="str">
        <x:v>验证按日消费进入送礼记录</x:v>
      </x:c>
      <x:c r="H123" s="9" t="str">
        <x:v>运营送礼下钻条件</x:v>
      </x:c>
      <x:c r="I123" s="9" t="str">
        <x:v>1. 执行角色为公会长
2. 正在查看账号甲，列表有9月15日消费</x:v>
      </x:c>
      <x:c r="J123" s="9" t="str">
        <x:v>1. 进入运营账号主页页
2. 点击9月15日消费行</x:v>
      </x:c>
      <x:c r="K123" s="9" t="str">
        <x:v>送礼记录按账号甲和9月15日筛选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来源（当前证据）：liveshow-proto/MainBasis/统一需求文档.md；位置：REQ-ff9041624126；行3171
2. 规则：BR-110f740b5cba91f3
3. 未动态验证</x:v>
      </x:c>
    </x:row>
    <x:row r="124" ht="85" customHeight="1">
      <x:c r="A124" s="10" t="n">
        <x:v>123</x:v>
      </x:c>
      <x:c r="B124" s="10" t="str">
        <x:v>GUILD-03-0042</x:v>
      </x:c>
      <x:c r="C124" s="10" t="str">
        <x:v>运营工具</x:v>
      </x:c>
      <x:c r="D124" s="10" t="str">
        <x:v>送礼记录（公会长视角）</x:v>
      </x:c>
      <x:c r="E124" s="10" t="str">
        <x:v>功能需求</x:v>
      </x:c>
      <x:c r="F124" s="10" t="str">
        <x:v>P2</x:v>
      </x:c>
      <x:c r="G124" s="9" t="str">
        <x:v>验证运营送礼记录默认范围</x:v>
      </x:c>
      <x:c r="H124" s="9" t="str">
        <x:v>运营送礼默认筛选</x:v>
      </x:c>
      <x:c r="I124" s="9" t="str">
        <x:v>1. 执行角色为公会长</x:v>
      </x:c>
      <x:c r="J124" s="9" t="str">
        <x:v>1. 进入送礼记录页</x:v>
      </x:c>
      <x:c r="K124" s="9" t="str">
        <x:v>筛选范围为全部运营账号的今日记录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来源（当前证据）：liveshow-proto/MainBasis/统一需求文档.md；位置：REQ-cbaa9bccc9de；行3194
2. 规则：BR-af802c9462020a42
3. 未动态验证</x:v>
      </x:c>
    </x:row>
    <x:row r="125" ht="85" customHeight="1">
      <x:c r="A125" s="10" t="n">
        <x:v>124</x:v>
      </x:c>
      <x:c r="B125" s="10" t="str">
        <x:v>GUILD-03-0043</x:v>
      </x:c>
      <x:c r="C125" s="10" t="str">
        <x:v>运营工具</x:v>
      </x:c>
      <x:c r="D125" s="10" t="str">
        <x:v>送礼记录（公会长视角）</x:v>
      </x:c>
      <x:c r="E125" s="10" t="str">
        <x:v>逻辑校验</x:v>
      </x:c>
      <x:c r="F125" s="10" t="str">
        <x:v>P1</x:v>
      </x:c>
      <x:c r="G125" s="9" t="str">
        <x:v>验证运营送礼消费按单价件数计算</x:v>
      </x:c>
      <x:c r="H125" s="9" t="str">
        <x:v>运营送礼消费金额</x:v>
      </x:c>
      <x:c r="I125" s="9" t="str">
        <x:v>1. 执行角色为公会长
2. 成功记录单价10虚拟金币，赠送20件</x:v>
      </x:c>
      <x:c r="J125" s="9" t="str">
        <x:v>1. 进入送礼记录页
2. 点击该送礼记录</x:v>
      </x:c>
      <x:c r="K125" s="9" t="str">
        <x:v>消费金币 = 200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来源（当前证据）：liveshow-proto/MainBasis/统一需求文档.md；位置：REQ-b1708057eef3；行3178
2. 规则：BR-1986459d64d532a1
3. 未动态验证</x:v>
      </x:c>
    </x:row>
    <x:row r="126" ht="85" customHeight="1">
      <x:c r="A126" s="10" t="n">
        <x:v>125</x:v>
      </x:c>
      <x:c r="B126" s="10" t="str">
        <x:v>GUILD-03-0044</x:v>
      </x:c>
      <x:c r="C126" s="10" t="str">
        <x:v>运营工具</x:v>
      </x:c>
      <x:c r="D126" s="10" t="str">
        <x:v>送礼记录（公会长视角）</x:v>
      </x:c>
      <x:c r="E126" s="10" t="str">
        <x:v>逻辑校验</x:v>
      </x:c>
      <x:c r="F126" s="10" t="str">
        <x:v>P1</x:v>
      </x:c>
      <x:c r="G126" s="9" t="str">
        <x:v>验证运营送礼次数不按件数统计</x:v>
      </x:c>
      <x:c r="H126" s="9" t="str">
        <x:v>运营成功送礼笔数</x:v>
      </x:c>
      <x:c r="I126" s="9" t="str">
        <x:v>1. 执行角色为公会长
2. 筛选范围内2笔成功送礼各10件，1笔失败</x:v>
      </x:c>
      <x:c r="J126" s="9" t="str">
        <x:v>1. 进入送礼记录页</x:v>
      </x:c>
      <x:c r="K126" s="9" t="str">
        <x:v>总送礼次数显示2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来源（当前证据）：liveshow-proto/MainBasis/统一需求文档.md；位置：REQ-81a3ed5abf3a；行3196
2. 规则：BR-b1481d0354836df7
3. 未动态验证</x:v>
      </x:c>
    </x:row>
    <x:row r="127" ht="85" customHeight="1">
      <x:c r="A127" s="10" t="n">
        <x:v>126</x:v>
      </x:c>
      <x:c r="B127" s="10" t="str">
        <x:v>GUILD-03-0045</x:v>
      </x:c>
      <x:c r="C127" s="10" t="str">
        <x:v>运营工具</x:v>
      </x:c>
      <x:c r="D127" s="10" t="str">
        <x:v>选择运营账号（多选）（公会长视角）</x:v>
      </x:c>
      <x:c r="E127" s="10" t="str">
        <x:v>逻辑校验</x:v>
      </x:c>
      <x:c r="F127" s="10" t="str">
        <x:v>P1</x:v>
      </x:c>
      <x:c r="G127" s="9" t="str">
        <x:v>验证搜索后全选仍作用全部运营账号</x:v>
      </x:c>
      <x:c r="H127" s="9" t="str">
        <x:v>运营账号全选范围</x:v>
      </x:c>
      <x:c r="I127" s="9" t="str">
        <x:v>1. 执行角色为公会长
2. 共3个运营账号，搜索QA仅命中1个</x:v>
      </x:c>
      <x:c r="J127" s="9" t="str">
        <x:v>1. 进入选择运营账号（多选）页
2. 输入搜索框为QA
3. 点击全选</x:v>
      </x:c>
      <x:c r="K127" s="9" t="str">
        <x:v>已选数量显示3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来源（当前证据）：liveshow-proto/MainBasis/统一需求文档.md；位置：REQ-731cc63e8bb2；行3213
2. 规则：BR-02bfef3bc799dd03
3. 未动态验证</x:v>
      </x:c>
    </x:row>
    <x:row r="128" ht="85" customHeight="1">
      <x:c r="A128" s="10" t="n">
        <x:v>127</x:v>
      </x:c>
      <x:c r="B128" s="10" t="str">
        <x:v>GUILD-03-0046</x:v>
      </x:c>
      <x:c r="C128" s="10" t="str">
        <x:v>运营工具</x:v>
      </x:c>
      <x:c r="D128" s="10" t="str">
        <x:v>选择运营账号（多选）（公会长视角）</x:v>
      </x:c>
      <x:c r="E128" s="10" t="str">
        <x:v>功能需求</x:v>
      </x:c>
      <x:c r="F128" s="10" t="str">
        <x:v>P2</x:v>
      </x:c>
      <x:c r="G128" s="9" t="str">
        <x:v>验证取消运营账号全选</x:v>
      </x:c>
      <x:c r="H128" s="9" t="str">
        <x:v>运营账号清空选择</x:v>
      </x:c>
      <x:c r="I128" s="9" t="str">
        <x:v>1. 执行角色为公会长
2. 当前全部运营账号已选</x:v>
      </x:c>
      <x:c r="J128" s="9" t="str">
        <x:v>1. 进入选择运营账号（多选）页
2. 点击取消全选</x:v>
      </x:c>
      <x:c r="K128" s="9" t="str">
        <x:v>已选数量显示0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来源（当前证据）：liveshow-proto/MainBasis/统一需求文档.md；位置：REQ-731cc63e8bb2；行3213
2. 规则：BR-a37ba05b24b8e0d5
3. 未动态验证</x:v>
      </x:c>
    </x:row>
    <x:row r="129" ht="85" customHeight="1">
      <x:c r="A129" s="10" t="n">
        <x:v>128</x:v>
      </x:c>
      <x:c r="B129" s="10" t="str">
        <x:v>GUILD-03-0047</x:v>
      </x:c>
      <x:c r="C129" s="10" t="str">
        <x:v>运营工具</x:v>
      </x:c>
      <x:c r="D129" s="10" t="str">
        <x:v>选择运营账号（多选）（公会长视角）</x:v>
      </x:c>
      <x:c r="E129" s="10" t="str">
        <x:v>功能需求</x:v>
      </x:c>
      <x:c r="F129" s="10" t="str">
        <x:v>P2</x:v>
      </x:c>
      <x:c r="G129" s="9" t="str">
        <x:v>验证选择运营账号后保留送礼日期</x:v>
      </x:c>
      <x:c r="H129" s="9" t="str">
        <x:v>运营送礼筛选保留</x:v>
      </x:c>
      <x:c r="I129" s="9" t="str">
        <x:v>1. 执行角色为公会长
2. 送礼记录已选9月1日至9月15日</x:v>
      </x:c>
      <x:c r="J129" s="9" t="str">
        <x:v>1. 进入选择运营账号（多选）页
2. 选择运营账号甲
3. 选择运营账号乙
4. 点击完成</x:v>
      </x:c>
      <x:c r="K129" s="9" t="str">
        <x:v>送礼记录日期仍为9月1日至9月15日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来源（当前证据）：liveshow-proto/MainBasis/统一需求文档.md；位置：REQ-ec36dd70dcff；行3215
2. 规则：BR-44566a92f96b75c9
3. 未动态验证</x:v>
      </x:c>
    </x:row>
    <x:row r="130" ht="85" customHeight="1">
      <x:c r="A130" s="10" t="n">
        <x:v>129</x:v>
      </x:c>
      <x:c r="B130" s="10" t="str">
        <x:v>GUILD-02-0038</x:v>
      </x:c>
      <x:c r="C130" s="10" t="str">
        <x:v>主播管理</x:v>
      </x:c>
      <x:c r="D130" s="10" t="str">
        <x:v>主播业绩（公会长视角）</x:v>
      </x:c>
      <x:c r="E130" s="10" t="str">
        <x:v>逻辑校验</x:v>
      </x:c>
      <x:c r="F130" s="10" t="str">
        <x:v>P1</x:v>
      </x:c>
      <x:c r="G130" s="9" t="str">
        <x:v>验证退会主播保留原公会期间业绩</x:v>
      </x:c>
      <x:c r="H130" s="9" t="str">
        <x:v>公会历史业绩归属</x:v>
      </x:c>
      <x:c r="I130" s="9" t="str">
        <x:v>1. 执行角色为公会长
2. 甲在公会A产生收益100，退出A加入B后产生200，当前查看A</x:v>
      </x:c>
      <x:c r="J130" s="9" t="str">
        <x:v>1. 进入主播业绩页</x:v>
      </x:c>
      <x:c r="K130" s="9" t="str">
        <x:v>甲在A的收益显示100金币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来源（当前证据）：liveshow-proto/MainBasis/统一需求文档.md；位置：REQ-67458be2a092；行2931
2. 规则：BR-cc7393d24edb55d3
3. 未动态验证</x:v>
      </x:c>
    </x:row>
    <x:row r="131" ht="85" customHeight="1">
      <x:c r="A131" s="10" t="n">
        <x:v>130</x:v>
      </x:c>
      <x:c r="B131" s="10" t="str">
        <x:v>GUILD-02-0039</x:v>
      </x:c>
      <x:c r="C131" s="10" t="str">
        <x:v>主播管理</x:v>
      </x:c>
      <x:c r="D131" s="10" t="str">
        <x:v>主播业绩（公会长视角）</x:v>
      </x:c>
      <x:c r="E131" s="10" t="str">
        <x:v>逻辑校验</x:v>
      </x:c>
      <x:c r="F131" s="10" t="str">
        <x:v>P1</x:v>
      </x:c>
      <x:c r="G131" s="9" t="str">
        <x:v>验证周期内同主播多场只算1人</x:v>
      </x:c>
      <x:c r="H131" s="9" t="str">
        <x:v>公会开播人数去重</x:v>
      </x:c>
      <x:c r="I131" s="9" t="str">
        <x:v>1. 执行角色为公会长
2. 周期内甲完成2场，乙完成1场</x:v>
      </x:c>
      <x:c r="J131" s="9" t="str">
        <x:v>1. 进入主播业绩页</x:v>
      </x:c>
      <x:c r="K131" s="9" t="str">
        <x:v>开播人数显示2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来源（当前证据）：liveshow-proto/MainBasis/统一需求文档.md；位置：REQ-0f3fd7e3397f；行2925
2. 规则：BR-d41fcc4e577aeca5
3. 未动态验证</x:v>
      </x:c>
    </x:row>
    <x:row r="132" ht="85" customHeight="1">
      <x:c r="A132" s="10" t="n">
        <x:v>131</x:v>
      </x:c>
      <x:c r="B132" s="10" t="str">
        <x:v>GUILD-02-0040</x:v>
      </x:c>
      <x:c r="C132" s="10" t="str">
        <x:v>主播管理</x:v>
      </x:c>
      <x:c r="D132" s="10" t="str">
        <x:v>主播数据（公会长视角）</x:v>
      </x:c>
      <x:c r="E132" s="10" t="str">
        <x:v>逻辑校验</x:v>
      </x:c>
      <x:c r="F132" s="10" t="str">
        <x:v>P1</x:v>
      </x:c>
      <x:c r="G132" s="9" t="str">
        <x:v>验证新增粉丝不抵减取关人数</x:v>
      </x:c>
      <x:c r="H132" s="9" t="str">
        <x:v>公会主播新增粉丝口径</x:v>
      </x:c>
      <x:c r="I132" s="9" t="str">
        <x:v>1. 执行角色为公会长
2. 目标日新增10关注，取关3人</x:v>
      </x:c>
      <x:c r="J132" s="9" t="str">
        <x:v>1. 进入主播数据页</x:v>
      </x:c>
      <x:c r="K132" s="9" t="str">
        <x:v>该日新增粉丝显示10人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来源（当前证据）：liveshow-proto/MainBasis/统一需求文档.md；位置：REQ-287d99181822；行2958
2. 规则：BR-bc9b4d4808f40266
3. 未动态验证</x:v>
      </x:c>
    </x:row>
    <x:row r="133" ht="85" customHeight="1">
      <x:c r="A133" s="10" t="n">
        <x:v>132</x:v>
      </x:c>
      <x:c r="B133" s="10" t="str">
        <x:v>GUILD-02-0041</x:v>
      </x:c>
      <x:c r="C133" s="10" t="str">
        <x:v>主播管理</x:v>
      </x:c>
      <x:c r="D133" s="10" t="str">
        <x:v>主播数据（公会长视角）</x:v>
      </x:c>
      <x:c r="E133" s="10" t="str">
        <x:v>逻辑校验</x:v>
      </x:c>
      <x:c r="F133" s="10" t="str">
        <x:v>P1</x:v>
      </x:c>
      <x:c r="G133" s="9" t="str">
        <x:v>验证主播日累计179分钟有效天</x:v>
      </x:c>
      <x:c r="H133" s="9" t="str">
        <x:v>主播有效天边界</x:v>
      </x:c>
      <x:c r="I133" s="9" t="str">
        <x:v>1. 执行角色为公会长
2. 目标日有效直播累计179分钟</x:v>
      </x:c>
      <x:c r="J133" s="9" t="str">
        <x:v>1. 进入主播数据页</x:v>
      </x:c>
      <x:c r="K133" s="9" t="str">
        <x:v>该日有效天标记为未达标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来源（当前证据）：liveshow-proto/MainBasis/统一需求文档.md；位置：REQ-27451eaf9055；行2956
2. 规则：BR-92f4b131285d001d
3. 未动态验证</x:v>
      </x:c>
    </x:row>
    <x:row r="134" ht="85" customHeight="1">
      <x:c r="A134" s="10" t="n">
        <x:v>133</x:v>
      </x:c>
      <x:c r="B134" s="10" t="str">
        <x:v>GUILD-02-0042</x:v>
      </x:c>
      <x:c r="C134" s="10" t="str">
        <x:v>主播管理</x:v>
      </x:c>
      <x:c r="D134" s="10" t="str">
        <x:v>主播数据（公会长视角）</x:v>
      </x:c>
      <x:c r="E134" s="10" t="str">
        <x:v>逻辑校验</x:v>
      </x:c>
      <x:c r="F134" s="10" t="str">
        <x:v>P1</x:v>
      </x:c>
      <x:c r="G134" s="9" t="str">
        <x:v>验证主播日累计180分钟有效天</x:v>
      </x:c>
      <x:c r="H134" s="9" t="str">
        <x:v>主播有效天边界</x:v>
      </x:c>
      <x:c r="I134" s="9" t="str">
        <x:v>1. 执行角色为公会长
2. 目标日有效直播累计180分钟</x:v>
      </x:c>
      <x:c r="J134" s="9" t="str">
        <x:v>1. 进入主播数据页</x:v>
      </x:c>
      <x:c r="K134" s="9" t="str">
        <x:v>该日有效天标记为达标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来源（当前证据）：liveshow-proto/MainBasis/统一需求文档.md；位置：REQ-27451eaf9055；行2956
2. 规则：BR-58be8df6c48a6f0f
3. 未动态验证</x:v>
      </x:c>
    </x:row>
    <x:row r="135" ht="85" customHeight="1">
      <x:c r="A135" s="10" t="n">
        <x:v>134</x:v>
      </x:c>
      <x:c r="B135" s="10" t="str">
        <x:v>GUILD-02-0043</x:v>
      </x:c>
      <x:c r="C135" s="10" t="str">
        <x:v>主播管理</x:v>
      </x:c>
      <x:c r="D135" s="10" t="str">
        <x:v>主播数据（公会长视角）</x:v>
      </x:c>
      <x:c r="E135" s="10" t="str">
        <x:v>逻辑校验</x:v>
      </x:c>
      <x:c r="F135" s="10" t="str">
        <x:v>P1</x:v>
      </x:c>
      <x:c r="G135" s="9" t="str">
        <x:v>验证主播日累计181分钟有效天</x:v>
      </x:c>
      <x:c r="H135" s="9" t="str">
        <x:v>主播有效天边界</x:v>
      </x:c>
      <x:c r="I135" s="9" t="str">
        <x:v>1. 执行角色为公会长
2. 目标日有效直播累计181分钟</x:v>
      </x:c>
      <x:c r="J135" s="9" t="str">
        <x:v>1. 进入主播数据页</x:v>
      </x:c>
      <x:c r="K135" s="9" t="str">
        <x:v>该日有效天标记为达标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来源（当前证据）：liveshow-proto/MainBasis/统一需求文档.md；位置：REQ-27451eaf9055；行2956
2. 规则：BR-e04743b635971e49
3. 未动态验证</x:v>
      </x:c>
    </x:row>
    <x:row r="136" ht="85" customHeight="1">
      <x:c r="A136" s="10" t="n">
        <x:v>135</x:v>
      </x:c>
      <x:c r="B136" s="10" t="str">
        <x:v>GUILD-02-0044</x:v>
      </x:c>
      <x:c r="C136" s="10" t="str">
        <x:v>主播管理</x:v>
      </x:c>
      <x:c r="D136" s="10" t="str">
        <x:v>主播数据（公会长视角）</x:v>
      </x:c>
      <x:c r="E136" s="10" t="str">
        <x:v>功能需求</x:v>
      </x:c>
      <x:c r="F136" s="10" t="str">
        <x:v>P2</x:v>
      </x:c>
      <x:c r="G136" s="9" t="str">
        <x:v>验证主播月数据不出现未定义筛选</x:v>
      </x:c>
      <x:c r="H136" s="9" t="str">
        <x:v>主播月数据入口范围</x:v>
      </x:c>
      <x:c r="I136" s="9" t="str">
        <x:v>1. 执行角色为公会长</x:v>
      </x:c>
      <x:c r="J136" s="9" t="str">
        <x:v>1. 进入主播数据页
2. 切换月数据</x:v>
      </x:c>
      <x:c r="K136" s="9" t="str">
        <x:v>不显示月份筛选控件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来源（当前证据）：liveshow-proto/MainBasis/统一需求文档.md；位置：REQ-601776b12c53；行2950
2. 规则：BR-81fe7393a64e6a7c
3. 未动态验证</x:v>
      </x:c>
    </x:row>
    <x:row r="137" ht="85" customHeight="1">
      <x:c r="A137" s="10" t="n">
        <x:v>136</x:v>
      </x:c>
      <x:c r="B137" s="10" t="str">
        <x:v>GUILD-02-0045</x:v>
      </x:c>
      <x:c r="C137" s="10" t="str">
        <x:v>主播管理</x:v>
      </x:c>
      <x:c r="D137" s="10" t="str">
        <x:v>主播数据（公会长视角）</x:v>
      </x:c>
      <x:c r="E137" s="10" t="str">
        <x:v>功能需求</x:v>
      </x:c>
      <x:c r="F137" s="10" t="str">
        <x:v>P2</x:v>
      </x:c>
      <x:c r="G137" s="9" t="str">
        <x:v>验证主播月数据下钻直播记录</x:v>
      </x:c>
      <x:c r="H137" s="9" t="str">
        <x:v>主播月数据下钻条件</x:v>
      </x:c>
      <x:c r="I137" s="9" t="str">
        <x:v>1. 执行角色为公会长
2. 当前对象为主播甲，9月有数据</x:v>
      </x:c>
      <x:c r="J137" s="9" t="str">
        <x:v>1. 进入主播数据页
2. 切换月数据
3. 点击9月数据行</x:v>
      </x:c>
      <x:c r="K137" s="9" t="str">
        <x:v>直播记录按甲和9月筛选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来源（当前证据）：liveshow-proto/MainBasis/统一需求文档.md；位置：REQ-0a5f516ac158；行2962
2. 规则：BR-f347871afb3738d0
3. 未动态验证</x:v>
      </x:c>
    </x:row>
    <x:row r="138" ht="85" customHeight="1">
      <x:c r="A138" s="10" t="n">
        <x:v>137</x:v>
      </x:c>
      <x:c r="B138" s="10" t="str">
        <x:v>GUILD-05-0001</x:v>
      </x:c>
      <x:c r="C138" s="10" t="str">
        <x:v>数据与收益</x:v>
      </x:c>
      <x:c r="D138" s="10" t="str">
        <x:v>直播记录（公会长视角）</x:v>
      </x:c>
      <x:c r="E138" s="10" t="str">
        <x:v>功能需求</x:v>
      </x:c>
      <x:c r="F138" s="10" t="str">
        <x:v>P2</x:v>
      </x:c>
      <x:c r="G138" s="9" t="str">
        <x:v>验证直播记录按开播先后排序</x:v>
      </x:c>
      <x:c r="H138" s="9" t="str">
        <x:v>公会直播记录顺序</x:v>
      </x:c>
      <x:c r="I138" s="9" t="str">
        <x:v>1. 执行角色为公会长
2. 同一日甲10点开播，乙12点开播</x:v>
      </x:c>
      <x:c r="J138" s="9" t="str">
        <x:v>1. 进入直播记录页</x:v>
      </x:c>
      <x:c r="K138" s="9" t="str">
        <x:v>12点场次排列在10点场次前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来源（当前证据）：liveshow-proto/MainBasis/统一需求文档.md；位置：REQ-27679ba94edc；行3273
2. 规则：BR-3dc89676da815883
3. 未动态验证</x:v>
      </x:c>
    </x:row>
    <x:row r="139" ht="85" customHeight="1">
      <x:c r="A139" s="10" t="n">
        <x:v>138</x:v>
      </x:c>
      <x:c r="B139" s="10" t="str">
        <x:v>GUILD-05-0002</x:v>
      </x:c>
      <x:c r="C139" s="10" t="str">
        <x:v>数据与收益</x:v>
      </x:c>
      <x:c r="D139" s="10" t="str">
        <x:v>直播记录（公会长视角）</x:v>
      </x:c>
      <x:c r="E139" s="10" t="str">
        <x:v>逻辑校验</x:v>
      </x:c>
      <x:c r="F139" s="10" t="str">
        <x:v>P1</x:v>
      </x:c>
      <x:c r="G139" s="9" t="str">
        <x:v>验证直播观众重复进入去重</x:v>
      </x:c>
      <x:c r="H139" s="9" t="str">
        <x:v>场次观众去重</x:v>
      </x:c>
      <x:c r="I139" s="9" t="str">
        <x:v>1. 执行角色为公会长
2. 用户甲进出3次、乙进入1次</x:v>
      </x:c>
      <x:c r="J139" s="9" t="str">
        <x:v>1. 进入直播记录页</x:v>
      </x:c>
      <x:c r="K139" s="9" t="str">
        <x:v>该场次观众显示2人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来源（当前证据）：liveshow-proto/MainBasis/统一需求文档.md；位置：REQ-4f9b330976db；行3279
2. 规则：BR-cc85e8c6ca54775b
3. 未动态验证</x:v>
      </x:c>
    </x:row>
    <x:row r="140" ht="85" customHeight="1">
      <x:c r="A140" s="10" t="n">
        <x:v>139</x:v>
      </x:c>
      <x:c r="B140" s="10" t="str">
        <x:v>GUILD-05-0003</x:v>
      </x:c>
      <x:c r="C140" s="10" t="str">
        <x:v>数据与收益</x:v>
      </x:c>
      <x:c r="D140" s="10" t="str">
        <x:v>直播记录（公会长视角）</x:v>
      </x:c>
      <x:c r="E140" s="10" t="str">
        <x:v>逻辑校验</x:v>
      </x:c>
      <x:c r="F140" s="10" t="str">
        <x:v>P1</x:v>
      </x:c>
      <x:c r="G140" s="9" t="str">
        <x:v>验证场次收礼数量按件统计</x:v>
      </x:c>
      <x:c r="H140" s="9" t="str">
        <x:v>场次收礼件数</x:v>
      </x:c>
      <x:c r="I140" s="9" t="str">
        <x:v>1. 执行角色为公会长
2. 2名用户分别送10件和20件礼物</x:v>
      </x:c>
      <x:c r="J140" s="9" t="str">
        <x:v>1. 进入直播记录页</x:v>
      </x:c>
      <x:c r="K140" s="9" t="str">
        <x:v>该场次收礼数量显示30件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来源（当前证据）：liveshow-proto/MainBasis/统一需求文档.md；位置：REQ-b0dd1ad499ca；行3281
2. 规则：BR-6810bdfa8ecf5dcd
3. 未动态验证</x:v>
      </x:c>
    </x:row>
    <x:row r="141" ht="85" customHeight="1">
      <x:c r="A141" s="10" t="n">
        <x:v>140</x:v>
      </x:c>
      <x:c r="B141" s="10" t="str">
        <x:v>GUILD-05-0004</x:v>
      </x:c>
      <x:c r="C141" s="10" t="str">
        <x:v>数据与收益</x:v>
      </x:c>
      <x:c r="D141" s="10" t="str">
        <x:v>直播记录（公会长视角）</x:v>
      </x:c>
      <x:c r="E141" s="10" t="str">
        <x:v>逻辑校验</x:v>
      </x:c>
      <x:c r="F141" s="10" t="str">
        <x:v>P1</x:v>
      </x:c>
      <x:c r="G141" s="9" t="str">
        <x:v>验证同一主播重复开播保留不同场次</x:v>
      </x:c>
      <x:c r="H141" s="9" t="str">
        <x:v>公会直播场次区分</x:v>
      </x:c>
      <x:c r="I141" s="9" t="str">
        <x:v>1. 执行角色为公会长
2. 同一主播同日先后开播2次，第一次已结束</x:v>
      </x:c>
      <x:c r="J141" s="9" t="str">
        <x:v>1. 进入直播记录页</x:v>
      </x:c>
      <x:c r="K141" s="9" t="str">
        <x:v>列表保留两条不同场次记录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来源（当前证据）：liveshow-proto/MainBasis/统一需求文档.md；位置：REQ-a5a3a5ccbbb6；行3289
2. 规则：BR-cf62b391bf8e01bb
3. 未动态验证</x:v>
      </x:c>
    </x:row>
    <x:row r="142" ht="85" customHeight="1">
      <x:c r="A142" s="10" t="n">
        <x:v>141</x:v>
      </x:c>
      <x:c r="B142" s="10" t="str">
        <x:v>GUILD-05-0005</x:v>
      </x:c>
      <x:c r="C142" s="10" t="str">
        <x:v>数据与收益</x:v>
      </x:c>
      <x:c r="D142" s="10" t="str">
        <x:v>直播记录（公会长视角）</x:v>
      </x:c>
      <x:c r="E142" s="10" t="str">
        <x:v>功能需求</x:v>
      </x:c>
      <x:c r="F142" s="10" t="str">
        <x:v>P2</x:v>
      </x:c>
      <x:c r="G142" s="9" t="str">
        <x:v>验证直播场次下钻绑定正确对象</x:v>
      </x:c>
      <x:c r="H142" s="9" t="str">
        <x:v>公会场次详情定位</x:v>
      </x:c>
      <x:c r="I142" s="9" t="str">
        <x:v>1. 执行角色为公会长
2. 列表含同主播同日两场记录A和B</x:v>
      </x:c>
      <x:c r="J142" s="9" t="str">
        <x:v>1. 进入直播记录页
2. 点击场次B</x:v>
      </x:c>
      <x:c r="K142" s="9" t="str">
        <x:v>详情显示场次B的ID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来源（当前证据）：liveshow-proto/MainBasis/统一需求文档.md；位置：REQ-26d51d07b374；行3291
2. 规则：BR-77e3425bc046058a
3. 未动态验证</x:v>
      </x:c>
    </x:row>
    <x:row r="143" ht="85" customHeight="1">
      <x:c r="A143" s="10" t="n">
        <x:v>142</x:v>
      </x:c>
      <x:c r="B143" s="10" t="str">
        <x:v>GUILD-05-0006</x:v>
      </x:c>
      <x:c r="C143" s="10" t="str">
        <x:v>数据与收益</x:v>
      </x:c>
      <x:c r="D143" s="10" t="str">
        <x:v>直播场次详情（公会长视角）</x:v>
      </x:c>
      <x:c r="E143" s="10" t="str">
        <x:v>逻辑校验</x:v>
      </x:c>
      <x:c r="F143" s="10" t="str">
        <x:v>P1</x:v>
      </x:c>
      <x:c r="G143" s="9" t="str">
        <x:v>验证同一用户多笔送礼去重</x:v>
      </x:c>
      <x:c r="H143" s="9" t="str">
        <x:v>场次送礼观众人数</x:v>
      </x:c>
      <x:c r="I143" s="9" t="str">
        <x:v>1. 执行角色为公会长
2. 甲成功送礼2笔、乙1笔、丙失败1笔</x:v>
      </x:c>
      <x:c r="J143" s="9" t="str">
        <x:v>1. 进入直播场次详情页</x:v>
      </x:c>
      <x:c r="K143" s="9" t="str">
        <x:v>送礼观众显示2人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来源（当前证据）：liveshow-proto/MainBasis/统一需求文档.md；位置：REQ-7d068e075206；行3326
2. 规则：BR-d36f78d252d3a180
3. 未动态验证</x:v>
      </x:c>
    </x:row>
    <x:row r="144" ht="85" customHeight="1">
      <x:c r="A144" s="10" t="n">
        <x:v>143</x:v>
      </x:c>
      <x:c r="B144" s="10" t="str">
        <x:v>GUILD-05-0007</x:v>
      </x:c>
      <x:c r="C144" s="10" t="str">
        <x:v>数据与收益</x:v>
      </x:c>
      <x:c r="D144" s="10" t="str">
        <x:v>直播场次详情（公会长视角）</x:v>
      </x:c>
      <x:c r="E144" s="10" t="str">
        <x:v>逻辑校验</x:v>
      </x:c>
      <x:c r="F144" s="10" t="str">
        <x:v>P1</x:v>
      </x:c>
      <x:c r="G144" s="9" t="str">
        <x:v>验证普通礼物和定制礼物计入主播收益</x:v>
      </x:c>
      <x:c r="H144" s="9" t="str">
        <x:v>公会查看普通定制收益</x:v>
      </x:c>
      <x:c r="I144" s="9" t="str">
        <x:v>1. 执行角色为公会长
2. 该场仅普通礼物实际消费100金币、定制礼物200金币</x:v>
      </x:c>
      <x:c r="J144" s="9" t="str">
        <x:v>1. 进入直播场次详情页</x:v>
      </x:c>
      <x:c r="K144" s="9" t="str">
        <x:v>礼物收益 = 300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来源（当前证据）：liveshow-proto/MainBasis/统一需求文档.md；位置：REQ-50afce4f563f；行3332
2. 规则：BR-548d0b40f063b415
3. 未动态验证</x:v>
      </x:c>
    </x:row>
    <x:row r="145" ht="85" customHeight="1">
      <x:c r="A145" s="10" t="n">
        <x:v>144</x:v>
      </x:c>
      <x:c r="B145" s="10" t="str">
        <x:v>GUILD-05-0008</x:v>
      </x:c>
      <x:c r="C145" s="10" t="str">
        <x:v>数据与收益</x:v>
      </x:c>
      <x:c r="D145" s="10" t="str">
        <x:v>直播场次详情（公会长视角）</x:v>
      </x:c>
      <x:c r="E145" s="10" t="str">
        <x:v>逻辑校验</x:v>
      </x:c>
      <x:c r="F145" s="10" t="str">
        <x:v>P1</x:v>
      </x:c>
      <x:c r="G145" s="9" t="str">
        <x:v>验证幸运礼物返奖0时主播收益</x:v>
      </x:c>
      <x:c r="H145" s="9" t="str">
        <x:v>公会查看幸运礼物收益</x:v>
      </x:c>
      <x:c r="I145" s="9" t="str">
        <x:v>1. 执行角色为公会长
2. 本场仅一笔幸运礼物价值1000金币，快照比例1%，返奖0金币</x:v>
      </x:c>
      <x:c r="J145" s="9" t="str">
        <x:v>1. 进入直播场次详情页</x:v>
      </x:c>
      <x:c r="K145" s="9" t="str">
        <x:v>礼物收益 = 10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来源（当前证据）：liveshow-proto/MainBasis/统一需求文档.md；位置：REQ-50afce4f563f；行3332
2. 规则：BR-e81017c9c7c2b0a8
3. 未动态验证</x:v>
      </x:c>
    </x:row>
    <x:row r="146" ht="85" customHeight="1">
      <x:c r="A146" s="10" t="n">
        <x:v>145</x:v>
      </x:c>
      <x:c r="B146" s="10" t="str">
        <x:v>GUILD-05-0009</x:v>
      </x:c>
      <x:c r="C146" s="10" t="str">
        <x:v>数据与收益</x:v>
      </x:c>
      <x:c r="D146" s="10" t="str">
        <x:v>直播场次详情（公会长视角）</x:v>
      </x:c>
      <x:c r="E146" s="10" t="str">
        <x:v>逻辑校验</x:v>
      </x:c>
      <x:c r="F146" s="10" t="str">
        <x:v>P1</x:v>
      </x:c>
      <x:c r="G146" s="9" t="str">
        <x:v>验证幸运礼物返奖1000时主播收益</x:v>
      </x:c>
      <x:c r="H146" s="9" t="str">
        <x:v>公会查看幸运礼物收益</x:v>
      </x:c>
      <x:c r="I146" s="9" t="str">
        <x:v>1. 执行角色为公会长
2. 本场仅一笔幸运礼物价值1000金币，快照比例1%，返奖1000金币</x:v>
      </x:c>
      <x:c r="J146" s="9" t="str">
        <x:v>1. 进入直播场次详情页</x:v>
      </x:c>
      <x:c r="K146" s="9" t="str">
        <x:v>礼物收益 = 10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来源（当前证据）：liveshow-proto/MainBasis/统一需求文档.md；位置：REQ-50afce4f563f；行3332
2. 规则：BR-5d1c54e47dd31b44
3. 未动态验证</x:v>
      </x:c>
    </x:row>
    <x:row r="147" ht="85" customHeight="1">
      <x:c r="A147" s="10" t="n">
        <x:v>146</x:v>
      </x:c>
      <x:c r="B147" s="10" t="str">
        <x:v>GUILD-05-0010</x:v>
      </x:c>
      <x:c r="C147" s="10" t="str">
        <x:v>数据与收益</x:v>
      </x:c>
      <x:c r="D147" s="10" t="str">
        <x:v>直播场次详情（公会长视角）</x:v>
      </x:c>
      <x:c r="E147" s="10" t="str">
        <x:v>逻辑校验</x:v>
      </x:c>
      <x:c r="F147" s="10" t="str">
        <x:v>P1</x:v>
      </x:c>
      <x:c r="G147" s="9" t="str">
        <x:v>验证运营赠礼不增加主播收益</x:v>
      </x:c>
      <x:c r="H147" s="9" t="str">
        <x:v>公会查看运营赠礼收益</x:v>
      </x:c>
      <x:c r="I147" s="9" t="str">
        <x:v>1. 执行角色为公会长
2. 该场仅运营账号成功送出1000虚拟金币礼物</x:v>
      </x:c>
      <x:c r="J147" s="9" t="str">
        <x:v>1. 进入直播场次详情页</x:v>
      </x:c>
      <x:c r="K147" s="9" t="str">
        <x:v>礼物收益显示0金币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来源（当前证据）：liveshow-proto/MainBasis/统一需求文档.md；位置：REQ-b409f84ccf77；行3334
2. 规则：BR-5878afb0553f922c
3. 未动态验证</x:v>
      </x:c>
    </x:row>
    <x:row r="148" ht="85" customHeight="1">
      <x:c r="A148" s="10" t="n">
        <x:v>147</x:v>
      </x:c>
      <x:c r="B148" s="10" t="str">
        <x:v>GUILD-05-0011</x:v>
      </x:c>
      <x:c r="C148" s="10" t="str">
        <x:v>数据与收益</x:v>
      </x:c>
      <x:c r="D148" s="10" t="str">
        <x:v>直播场次详情（公会长视角）</x:v>
      </x:c>
      <x:c r="E148" s="10" t="str">
        <x:v>功能需求</x:v>
      </x:c>
      <x:c r="F148" s="10" t="str">
        <x:v>P2</x:v>
      </x:c>
      <x:c r="G148" s="9" t="str">
        <x:v>验证场次详情返回保留筛选</x:v>
      </x:c>
      <x:c r="H148" s="9" t="str">
        <x:v>公会直播记录返回筛选</x:v>
      </x:c>
      <x:c r="I148" s="9" t="str">
        <x:v>1. 执行角色为公会长
2. 列表已按主播甲和9月15日筛选</x:v>
      </x:c>
      <x:c r="J148" s="9" t="str">
        <x:v>1. 进入直播场次详情页
2. 返回直播记录</x:v>
      </x:c>
      <x:c r="K148" s="9" t="str">
        <x:v>筛选仍为主播甲和9月15日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来源（当前证据）：liveshow-proto/MainBasis/统一需求文档.md；位置：REQ-9714708419d5；行3336
2. 规则：BR-62796fe4dff9e1e4
3. 未动态验证</x:v>
      </x:c>
    </x:row>
    <x:row r="149" ht="100" customHeight="1">
      <x:c r="A149" s="10" t="n">
        <x:v>148</x:v>
      </x:c>
      <x:c r="B149" s="10" t="str">
        <x:v>GUILD-05-0012</x:v>
      </x:c>
      <x:c r="C149" s="10" t="str">
        <x:v>数据与收益</x:v>
      </x:c>
      <x:c r="D149" s="10" t="str">
        <x:v>公会业绩（公会长视角）</x:v>
      </x:c>
      <x:c r="E149" s="10" t="str">
        <x:v>逻辑校验</x:v>
      </x:c>
      <x:c r="F149" s="10" t="str">
        <x:v>P1</x:v>
      </x:c>
      <x:c r="G149" s="9" t="str">
        <x:v>验证日数据跨日期统计去重开播人数</x:v>
      </x:c>
      <x:c r="H149" s="9" t="str">
        <x:v>公会日数据开播去重</x:v>
      </x:c>
      <x:c r="I149" s="9" t="str">
        <x:v>1. 执行角色为公会长
2. 选中范围内首日甲乙开播、次日乙丙开播，无其他开播主播</x:v>
      </x:c>
      <x:c r="J149" s="9" t="str">
        <x:v>1. 进入公会业绩页
2. 切换日数据</x:v>
      </x:c>
      <x:c r="K149" s="9" t="str">
        <x:v>开播人数显示3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来源（当前证据）：liveshow-proto/MainBasis/统一需求文档.md；位置：REQ-024f8f36e810；行3388、REQ-646b45ea7bb0；行3396
2. 规则：BR-3bc58b406a60a4c9
3. 未动态验证</x:v>
      </x:c>
    </x:row>
    <x:row r="150" ht="100" customHeight="1">
      <x:c r="A150" s="10" t="n">
        <x:v>149</x:v>
      </x:c>
      <x:c r="B150" s="10" t="str">
        <x:v>GUILD-05-0013</x:v>
      </x:c>
      <x:c r="C150" s="10" t="str">
        <x:v>数据与收益</x:v>
      </x:c>
      <x:c r="D150" s="10" t="str">
        <x:v>公会业绩（公会长视角）</x:v>
      </x:c>
      <x:c r="E150" s="10" t="str">
        <x:v>逻辑校验</x:v>
      </x:c>
      <x:c r="F150" s="10" t="str">
        <x:v>P1</x:v>
      </x:c>
      <x:c r="G150" s="9" t="str">
        <x:v>验证日数据累计主播有效天</x:v>
      </x:c>
      <x:c r="H150" s="9" t="str">
        <x:v>公会日数据有效天统计</x:v>
      </x:c>
      <x:c r="I150" s="9" t="str">
        <x:v>1. 执行角色为公会长
2. 范围内甲2个有效天、乙3个有效天</x:v>
      </x:c>
      <x:c r="J150" s="9" t="str">
        <x:v>1. 进入公会业绩页
2. 切换日数据</x:v>
      </x:c>
      <x:c r="K150" s="9" t="str">
        <x:v>达成有效天显示5天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来源（当前证据）：liveshow-proto/MainBasis/统一需求文档.md；位置：REQ-9ed85696f36b；行3390、REQ-91e61389b432；行3398
2. 规则：BR-880cb19e216d4cb5
3. 未动态验证</x:v>
      </x:c>
    </x:row>
    <x:row r="151" ht="100" customHeight="1">
      <x:c r="A151" s="10" t="n">
        <x:v>150</x:v>
      </x:c>
      <x:c r="B151" s="10" t="str">
        <x:v>GUILD-05-0014</x:v>
      </x:c>
      <x:c r="C151" s="10" t="str">
        <x:v>数据与收益</x:v>
      </x:c>
      <x:c r="D151" s="10" t="str">
        <x:v>公会业绩（公会长视角）</x:v>
      </x:c>
      <x:c r="E151" s="10" t="str">
        <x:v>逻辑校验</x:v>
      </x:c>
      <x:c r="F151" s="10" t="str">
        <x:v>P1</x:v>
      </x:c>
      <x:c r="G151" s="9" t="str">
        <x:v>验证月数据跨日期统计去重开播人数</x:v>
      </x:c>
      <x:c r="H151" s="9" t="str">
        <x:v>公会月数据开播去重</x:v>
      </x:c>
      <x:c r="I151" s="9" t="str">
        <x:v>1. 执行角色为公会长
2. 选中范围内首日甲乙开播、次日乙丙开播，无其他开播主播</x:v>
      </x:c>
      <x:c r="J151" s="9" t="str">
        <x:v>1. 进入公会业绩页
2. 切换月数据</x:v>
      </x:c>
      <x:c r="K151" s="9" t="str">
        <x:v>开播人数显示3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来源（当前证据）：liveshow-proto/MainBasis/统一需求文档.md；位置：REQ-024f8f36e810；行3388、REQ-646b45ea7bb0；行3396
2. 规则：BR-0e7c7ec9bd0fb039
3. 未动态验证</x:v>
      </x:c>
    </x:row>
    <x:row r="152" ht="100" customHeight="1">
      <x:c r="A152" s="10" t="n">
        <x:v>151</x:v>
      </x:c>
      <x:c r="B152" s="10" t="str">
        <x:v>GUILD-05-0015</x:v>
      </x:c>
      <x:c r="C152" s="10" t="str">
        <x:v>数据与收益</x:v>
      </x:c>
      <x:c r="D152" s="10" t="str">
        <x:v>公会业绩（公会长视角）</x:v>
      </x:c>
      <x:c r="E152" s="10" t="str">
        <x:v>逻辑校验</x:v>
      </x:c>
      <x:c r="F152" s="10" t="str">
        <x:v>P1</x:v>
      </x:c>
      <x:c r="G152" s="9" t="str">
        <x:v>验证月数据累计主播有效天</x:v>
      </x:c>
      <x:c r="H152" s="9" t="str">
        <x:v>公会月数据有效天统计</x:v>
      </x:c>
      <x:c r="I152" s="9" t="str">
        <x:v>1. 执行角色为公会长
2. 范围内甲2个有效天、乙3个有效天</x:v>
      </x:c>
      <x:c r="J152" s="9" t="str">
        <x:v>1. 进入公会业绩页
2. 切换月数据</x:v>
      </x:c>
      <x:c r="K152" s="9" t="str">
        <x:v>达成有效天显示5天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来源（当前证据）：liveshow-proto/MainBasis/统一需求文档.md；位置：REQ-9ed85696f36b；行3390、REQ-91e61389b432；行3398
2. 规则：BR-64c723f6f8e2d46b
3. 未动态验证</x:v>
      </x:c>
    </x:row>
    <x:row r="153" ht="85" customHeight="1">
      <x:c r="A153" s="10" t="n">
        <x:v>152</x:v>
      </x:c>
      <x:c r="B153" s="10" t="str">
        <x:v>GUILD-05-0016</x:v>
      </x:c>
      <x:c r="C153" s="10" t="str">
        <x:v>数据与收益</x:v>
      </x:c>
      <x:c r="D153" s="10" t="str">
        <x:v>公会业绩（公会长视角）</x:v>
      </x:c>
      <x:c r="E153" s="10" t="str">
        <x:v>逻辑校验</x:v>
      </x:c>
      <x:c r="F153" s="10" t="str">
        <x:v>P1</x:v>
      </x:c>
      <x:c r="G153" s="9" t="str">
        <x:v>验证公会月业绩按所选月份统计</x:v>
      </x:c>
      <x:c r="H153" s="9" t="str">
        <x:v>公会月份过滤</x:v>
      </x:c>
      <x:c r="I153" s="9" t="str">
        <x:v>1. 执行角色为公会长
2. 本月收益100金币，上月200金币，去年1000金币</x:v>
      </x:c>
      <x:c r="J153" s="9" t="str">
        <x:v>1. 进入公会业绩页
2. 切换月数据
3. 选择自定义月份为本月</x:v>
      </x:c>
      <x:c r="K153" s="9" t="str">
        <x:v>公会收益显示100金币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来源（当前证据）：liveshow-proto/MainBasis/统一需求文档.md；位置：REQ-1c1f3cfd5125；行3368
2. 规则：BR-c6bf9eabb51ed331
3. 未动态验证</x:v>
      </x:c>
    </x:row>
    <x:row r="154" ht="85" customHeight="1">
      <x:c r="A154" s="10" t="n">
        <x:v>153</x:v>
      </x:c>
      <x:c r="B154" s="10" t="str">
        <x:v>GUILD-05-0017</x:v>
      </x:c>
      <x:c r="C154" s="10" t="str">
        <x:v>数据与收益</x:v>
      </x:c>
      <x:c r="D154" s="10" t="str">
        <x:v>公会业绩（公会长视角）</x:v>
      </x:c>
      <x:c r="E154" s="10" t="str">
        <x:v>功能需求</x:v>
      </x:c>
      <x:c r="F154" s="10" t="str">
        <x:v>P2</x:v>
      </x:c>
      <x:c r="G154" s="9" t="str">
        <x:v>验证公会日业绩下钻主播业绩</x:v>
      </x:c>
      <x:c r="H154" s="9" t="str">
        <x:v>公会日业绩下钻日期</x:v>
      </x:c>
      <x:c r="I154" s="9" t="str">
        <x:v>1. 执行角色为公会长
2. 日数据存在9月15日记录</x:v>
      </x:c>
      <x:c r="J154" s="9" t="str">
        <x:v>1. 进入公会业绩页
2. 点击9月15日数据行</x:v>
      </x:c>
      <x:c r="K154" s="9" t="str">
        <x:v>主播业绩筛选日期为9月15日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来源（当前证据）：liveshow-proto/MainBasis/统一需求文档.md；位置：REQ-b4a379f3681c；行3402
2. 规则：BR-f7861c3a61df32f9
3. 未动态验证</x:v>
      </x:c>
    </x:row>
    <x:row r="155" ht="85" customHeight="1">
      <x:c r="A155" s="10" t="n">
        <x:v>154</x:v>
      </x:c>
      <x:c r="B155" s="10" t="str">
        <x:v>GUILD-05-0018</x:v>
      </x:c>
      <x:c r="C155" s="10" t="str">
        <x:v>数据与收益</x:v>
      </x:c>
      <x:c r="D155" s="10" t="str">
        <x:v>每日（公会长视角）</x:v>
      </x:c>
      <x:c r="E155" s="10" t="str">
        <x:v>功能需求</x:v>
      </x:c>
      <x:c r="F155" s="10" t="str">
        <x:v>P2</x:v>
      </x:c>
      <x:c r="G155" s="9" t="str">
        <x:v>验证已开播主播按收益排序</x:v>
      </x:c>
      <x:c r="H155" s="9" t="str">
        <x:v>当日主播收益排序</x:v>
      </x:c>
      <x:c r="I155" s="9" t="str">
        <x:v>1. 执行角色为公会长
2. 甲收益100金币、乙200金币</x:v>
      </x:c>
      <x:c r="J155" s="9" t="str">
        <x:v>1. 进入每日页
2. 切换已开播</x:v>
      </x:c>
      <x:c r="K155" s="9" t="str">
        <x:v>乙排列在甲之前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来源（当前证据）：liveshow-proto/MainBasis/统一需求文档.md；位置：REQ-7f4dbabfcda9；行3411
2. 规则：BR-e7a7bcdda87cc947
3. 未动态验证</x:v>
      </x:c>
    </x:row>
    <x:row r="156" ht="85" customHeight="1">
      <x:c r="A156" s="10" t="n">
        <x:v>155</x:v>
      </x:c>
      <x:c r="B156" s="10" t="str">
        <x:v>GUILD-05-0019</x:v>
      </x:c>
      <x:c r="C156" s="10" t="str">
        <x:v>数据与收益</x:v>
      </x:c>
      <x:c r="D156" s="10" t="str">
        <x:v>每日（公会长视角）</x:v>
      </x:c>
      <x:c r="E156" s="10" t="str">
        <x:v>逻辑校验</x:v>
      </x:c>
      <x:c r="F156" s="10" t="str">
        <x:v>P1</x:v>
      </x:c>
      <x:c r="G156" s="9" t="str">
        <x:v>验证历史每日页直播中统计历史开播</x:v>
      </x:c>
      <x:c r="H156" s="9" t="str">
        <x:v>历史日期开播人数</x:v>
      </x:c>
      <x:c r="I156" s="9" t="str">
        <x:v>1. 执行角色为公会长
2. 历史日甲乙开播，当前只有丙在播</x:v>
      </x:c>
      <x:c r="J156" s="9" t="str">
        <x:v>1. 进入每日页</x:v>
      </x:c>
      <x:c r="K156" s="9" t="str">
        <x:v>直播中显示2人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来源（当前证据）：liveshow-proto/MainBasis/统一需求文档.md；位置：REQ-7e73bff3ce0c；行3425
2. 规则：BR-4373cfa8b78b1fb0
3. 未动态验证</x:v>
      </x:c>
    </x:row>
    <x:row r="157" ht="85" customHeight="1">
      <x:c r="A157" s="10" t="n">
        <x:v>156</x:v>
      </x:c>
      <x:c r="B157" s="10" t="str">
        <x:v>GUILD-05-0020</x:v>
      </x:c>
      <x:c r="C157" s="10" t="str">
        <x:v>数据与收益</x:v>
      </x:c>
      <x:c r="D157" s="10" t="str">
        <x:v>每日（公会长视角）</x:v>
      </x:c>
      <x:c r="E157" s="10" t="str">
        <x:v>功能需求</x:v>
      </x:c>
      <x:c r="F157" s="10" t="str">
        <x:v>P2</x:v>
      </x:c>
      <x:c r="G157" s="9" t="str">
        <x:v>验证未开播列表不显示虚构收益</x:v>
      </x:c>
      <x:c r="H157" s="9" t="str">
        <x:v>未开播主播业绩展示</x:v>
      </x:c>
      <x:c r="I157" s="9" t="str">
        <x:v>1. 执行角色为公会长
2. 主播甲目标日未开播</x:v>
      </x:c>
      <x:c r="J157" s="9" t="str">
        <x:v>1. 进入每日页
2. 切换未开播</x:v>
      </x:c>
      <x:c r="K157" s="9" t="str">
        <x:v>甲不显示当日业绩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来源（当前证据）：liveshow-proto/MainBasis/统一需求文档.md；位置：REQ-6359ffa4e7fc；行3421
2. 规则：BR-fc9fdabf41cc6b29
3. 未动态验证</x:v>
      </x:c>
    </x:row>
    <x:row r="158" ht="85" customHeight="1">
      <x:c r="A158" s="10" t="n">
        <x:v>157</x:v>
      </x:c>
      <x:c r="B158" s="10" t="str">
        <x:v>GUILD-05-0021</x:v>
      </x:c>
      <x:c r="C158" s="10" t="str">
        <x:v>数据与收益</x:v>
      </x:c>
      <x:c r="D158" s="10" t="str">
        <x:v>违规记录（公会长视角）</x:v>
      </x:c>
      <x:c r="E158" s="10" t="str">
        <x:v>逻辑校验</x:v>
      </x:c>
      <x:c r="F158" s="10" t="str">
        <x:v>P1</x:v>
      </x:c>
      <x:c r="G158" s="9" t="str">
        <x:v>验证按直播间违规筛选违规记录</x:v>
      </x:c>
      <x:c r="H158" s="9" t="str">
        <x:v>公会直播间违规范围</x:v>
      </x:c>
      <x:c r="I158" s="9" t="str">
        <x:v>1. 执行角色为公会长
2. 当前公会两类违规各有记录</x:v>
      </x:c>
      <x:c r="J158" s="9" t="str">
        <x:v>1. 进入违规记录页
2. 选择违规范围为直播间违规</x:v>
      </x:c>
      <x:c r="K158" s="9" t="str">
        <x:v>只显示直播间违规记录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来源（当前证据）：liveshow-proto/MainBasis/统一需求文档.md；位置：REQ-209e305f2a95；行3341
2. 规则：BR-9eca3829af64764a
3. 未动态验证</x:v>
      </x:c>
    </x:row>
    <x:row r="159" ht="85" customHeight="1">
      <x:c r="A159" s="10" t="n">
        <x:v>158</x:v>
      </x:c>
      <x:c r="B159" s="10" t="str">
        <x:v>GUILD-05-0022</x:v>
      </x:c>
      <x:c r="C159" s="10" t="str">
        <x:v>数据与收益</x:v>
      </x:c>
      <x:c r="D159" s="10" t="str">
        <x:v>违规记录（公会长视角）</x:v>
      </x:c>
      <x:c r="E159" s="10" t="str">
        <x:v>逻辑校验</x:v>
      </x:c>
      <x:c r="F159" s="10" t="str">
        <x:v>P1</x:v>
      </x:c>
      <x:c r="G159" s="9" t="str">
        <x:v>验证按账号违规筛选违规记录</x:v>
      </x:c>
      <x:c r="H159" s="9" t="str">
        <x:v>公会账号违规范围</x:v>
      </x:c>
      <x:c r="I159" s="9" t="str">
        <x:v>1. 执行角色为公会长
2. 当前公会两类违规各有记录</x:v>
      </x:c>
      <x:c r="J159" s="9" t="str">
        <x:v>1. 进入违规记录页
2. 选择违规范围为账号违规</x:v>
      </x:c>
      <x:c r="K159" s="9" t="str">
        <x:v>只显示账号违规记录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来源（当前证据）：liveshow-proto/MainBasis/统一需求文档.md；位置：REQ-209e305f2a95；行3341
2. 规则：BR-29c35aa2e6138a17
3. 未动态验证</x:v>
      </x:c>
    </x:row>
    <x:row r="160" ht="85" customHeight="1">
      <x:c r="A160" s="10" t="n">
        <x:v>159</x:v>
      </x:c>
      <x:c r="B160" s="10" t="str">
        <x:v>GUILD-05-0023</x:v>
      </x:c>
      <x:c r="C160" s="10" t="str">
        <x:v>数据与收益</x:v>
      </x:c>
      <x:c r="D160" s="10" t="str">
        <x:v>违规记录（公会长视角）</x:v>
      </x:c>
      <x:c r="E160" s="10" t="str">
        <x:v>功能需求</x:v>
      </x:c>
      <x:c r="F160" s="10" t="str">
        <x:v>P2</x:v>
      </x:c>
      <x:c r="G160" s="9" t="str">
        <x:v>验证未处置违规不显示虚假结果</x:v>
      </x:c>
      <x:c r="H160" s="9" t="str">
        <x:v>公会未处置违规结果</x:v>
      </x:c>
      <x:c r="I160" s="9" t="str">
        <x:v>1. 执行角色为公会长
2. 违规记录尚无处置结果</x:v>
      </x:c>
      <x:c r="J160" s="9" t="str">
        <x:v>1. 进入违规记录页</x:v>
      </x:c>
      <x:c r="K160" s="9" t="str">
        <x:v>处理结果显示“-”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来源（当前证据）：liveshow-proto/MainBasis/统一需求文档.md；位置：REQ-fbc17ab917b7；行3353
2. 规则：BR-52a0d4c86514b1c7
3. 未动态验证</x:v>
      </x:c>
    </x:row>
    <x:row r="161" ht="85" customHeight="1">
      <x:c r="A161" s="10" t="n">
        <x:v>160</x:v>
      </x:c>
      <x:c r="B161" s="10" t="str">
        <x:v>GUILD-05-0024</x:v>
      </x:c>
      <x:c r="C161" s="10" t="str">
        <x:v>数据与收益</x:v>
      </x:c>
      <x:c r="D161" s="10" t="str">
        <x:v>主播分成记录（公会长视角）</x:v>
      </x:c>
      <x:c r="E161" s="10" t="str">
        <x:v>逻辑校验</x:v>
      </x:c>
      <x:c r="F161" s="10" t="str">
        <x:v>P1</x:v>
      </x:c>
      <x:c r="G161" s="9" t="str">
        <x:v>验证主播分成展示12.30美元</x:v>
      </x:c>
      <x:c r="H161" s="9" t="str">
        <x:v>主播财务分成金额</x:v>
      </x:c>
      <x:c r="I161" s="9" t="str">
        <x:v>1. 执行角色为公会长
2. 平台已上传当前主播的12.30USD有效结果</x:v>
      </x:c>
      <x:c r="J161" s="9" t="str">
        <x:v>1. 进入主播分成记录页</x:v>
      </x:c>
      <x:c r="K161" s="9" t="str">
        <x:v>分成金额显示12.30美元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来源（当前证据）：liveshow-proto/MainBasis/统一需求文档.md；位置：REQ-e04b2fc8da54；行3444
2. 规则：BR-c54c0edb6203259e
3. 未动态验证</x:v>
      </x:c>
    </x:row>
    <x:row r="162" ht="85" customHeight="1">
      <x:c r="A162" s="10" t="n">
        <x:v>161</x:v>
      </x:c>
      <x:c r="B162" s="10" t="str">
        <x:v>GUILD-05-0025</x:v>
      </x:c>
      <x:c r="C162" s="10" t="str">
        <x:v>数据与收益</x:v>
      </x:c>
      <x:c r="D162" s="10" t="str">
        <x:v>主播分成记录（公会长视角）</x:v>
      </x:c>
      <x:c r="E162" s="10" t="str">
        <x:v>逻辑校验</x:v>
      </x:c>
      <x:c r="F162" s="10" t="str">
        <x:v>P1</x:v>
      </x:c>
      <x:c r="G162" s="9" t="str">
        <x:v>验证主播分成展示-2.50美元</x:v>
      </x:c>
      <x:c r="H162" s="9" t="str">
        <x:v>主播财务分成金额</x:v>
      </x:c>
      <x:c r="I162" s="9" t="str">
        <x:v>1. 执行角色为公会长
2. 平台已上传当前主播的-2.50USD有效结果</x:v>
      </x:c>
      <x:c r="J162" s="9" t="str">
        <x:v>1. 进入主播分成记录页</x:v>
      </x:c>
      <x:c r="K162" s="9" t="str">
        <x:v>分成金额显示-2.50美元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来源（当前证据）：liveshow-proto/MainBasis/统一需求文档.md；位置：REQ-e04b2fc8da54；行3444
2. 规则：BR-d4e3818f33914e86
3. 未动态验证</x:v>
      </x:c>
    </x:row>
    <x:row r="163" ht="85" customHeight="1">
      <x:c r="A163" s="10" t="n">
        <x:v>162</x:v>
      </x:c>
      <x:c r="B163" s="10" t="str">
        <x:v>GUILD-05-0026</x:v>
      </x:c>
      <x:c r="C163" s="10" t="str">
        <x:v>数据与收益</x:v>
      </x:c>
      <x:c r="D163" s="10" t="str">
        <x:v>主播分成记录（公会长视角）</x:v>
      </x:c>
      <x:c r="E163" s="10" t="str">
        <x:v>逻辑校验</x:v>
      </x:c>
      <x:c r="F163" s="10" t="str">
        <x:v>P1</x:v>
      </x:c>
      <x:c r="G163" s="9" t="str">
        <x:v>验证主播分成按入账时间排序</x:v>
      </x:c>
      <x:c r="H163" s="9" t="str">
        <x:v>主播分成记录顺序</x:v>
      </x:c>
      <x:c r="I163" s="9" t="str">
        <x:v>1. 执行角色为公会长
2. 8月收益9月15日入账，9月收益9月14日入账</x:v>
      </x:c>
      <x:c r="J163" s="9" t="str">
        <x:v>1. 进入主播分成记录页</x:v>
      </x:c>
      <x:c r="K163" s="9" t="str">
        <x:v>9月15日入账记录排列在9月14日记录之前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来源（当前证据）：liveshow-proto/MainBasis/统一需求文档.md；位置：REQ-bc96b41ae0a2；行3448
2. 规则：BR-5055706da47305d1
3. 未动态验证</x:v>
      </x:c>
    </x:row>
    <x:row r="164" ht="85" customHeight="1">
      <x:c r="A164" s="10" t="n">
        <x:v>163</x:v>
      </x:c>
      <x:c r="B164" s="10" t="str">
        <x:v>GUILD-05-0027</x:v>
      </x:c>
      <x:c r="C164" s="10" t="str">
        <x:v>数据与收益</x:v>
      </x:c>
      <x:c r="D164" s="10" t="str">
        <x:v>公会分成记录（公会长视角）</x:v>
      </x:c>
      <x:c r="E164" s="10" t="str">
        <x:v>逻辑校验</x:v>
      </x:c>
      <x:c r="F164" s="10" t="str">
        <x:v>P1</x:v>
      </x:c>
      <x:c r="G164" s="9" t="str">
        <x:v>验证公会分成展示12.30美元</x:v>
      </x:c>
      <x:c r="H164" s="9" t="str">
        <x:v>公会财务分成金额</x:v>
      </x:c>
      <x:c r="I164" s="9" t="str">
        <x:v>1. 执行角色为公会长
2. 平台已上传当前公会的12.30USD有效结果</x:v>
      </x:c>
      <x:c r="J164" s="9" t="str">
        <x:v>1. 进入公会分成记录页</x:v>
      </x:c>
      <x:c r="K164" s="9" t="str">
        <x:v>分成金额显示12.30美元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来源（当前证据）：liveshow-proto/MainBasis/统一需求文档.md；位置：REQ-39e59f822231；行3455
2. 规则：BR-ed5154e77a772a70
3. 未动态验证</x:v>
      </x:c>
    </x:row>
    <x:row r="165" ht="85" customHeight="1">
      <x:c r="A165" s="10" t="n">
        <x:v>164</x:v>
      </x:c>
      <x:c r="B165" s="10" t="str">
        <x:v>GUILD-05-0028</x:v>
      </x:c>
      <x:c r="C165" s="10" t="str">
        <x:v>数据与收益</x:v>
      </x:c>
      <x:c r="D165" s="10" t="str">
        <x:v>公会分成记录（公会长视角）</x:v>
      </x:c>
      <x:c r="E165" s="10" t="str">
        <x:v>逻辑校验</x:v>
      </x:c>
      <x:c r="F165" s="10" t="str">
        <x:v>P1</x:v>
      </x:c>
      <x:c r="G165" s="9" t="str">
        <x:v>验证公会分成展示-2.50美元</x:v>
      </x:c>
      <x:c r="H165" s="9" t="str">
        <x:v>公会财务分成金额</x:v>
      </x:c>
      <x:c r="I165" s="9" t="str">
        <x:v>1. 执行角色为公会长
2. 平台已上传当前公会的-2.50USD有效结果</x:v>
      </x:c>
      <x:c r="J165" s="9" t="str">
        <x:v>1. 进入公会分成记录页</x:v>
      </x:c>
      <x:c r="K165" s="9" t="str">
        <x:v>分成金额显示-2.50美元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来源（当前证据）：liveshow-proto/MainBasis/统一需求文档.md；位置：REQ-39e59f822231；行3455
2. 规则：BR-c996971dc3b42638
3. 未动态验证</x:v>
      </x:c>
    </x:row>
    <x:row r="166" ht="85" customHeight="1">
      <x:c r="A166" s="10" t="n">
        <x:v>165</x:v>
      </x:c>
      <x:c r="B166" s="10" t="str">
        <x:v>GUILD-05-0029</x:v>
      </x:c>
      <x:c r="C166" s="10" t="str">
        <x:v>数据与收益</x:v>
      </x:c>
      <x:c r="D166" s="10" t="str">
        <x:v>公会分成记录（公会长视角）</x:v>
      </x:c>
      <x:c r="E166" s="10" t="str">
        <x:v>逻辑校验</x:v>
      </x:c>
      <x:c r="F166" s="10" t="str">
        <x:v>P1</x:v>
      </x:c>
      <x:c r="G166" s="9" t="str">
        <x:v>验证公会分成按入账时间排序</x:v>
      </x:c>
      <x:c r="H166" s="9" t="str">
        <x:v>公会分成记录顺序</x:v>
      </x:c>
      <x:c r="I166" s="9" t="str">
        <x:v>1. 执行角色为公会长
2. 8月收益9月15日入账，9月收益9月14日入账</x:v>
      </x:c>
      <x:c r="J166" s="9" t="str">
        <x:v>1. 进入公会分成记录页</x:v>
      </x:c>
      <x:c r="K166" s="9" t="str">
        <x:v>9月15日入账记录排列在9月14日记录之前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来源（当前证据）：liveshow-proto/MainBasis/统一需求文档.md；位置：REQ-bc29e36d3b72；行3459
2. 规则：BR-a394835631ad1035
3. 未动态验证</x:v>
      </x:c>
    </x:row>
    <x:row r="167" ht="85" customHeight="1">
      <x:c r="A167" s="10" t="n">
        <x:v>166</x:v>
      </x:c>
      <x:c r="B167" s="10" t="str">
        <x:v>GUILD-05-0030</x:v>
      </x:c>
      <x:c r="C167" s="10" t="str">
        <x:v>数据与收益</x:v>
      </x:c>
      <x:c r="D167" s="10" t="str">
        <x:v>主播分成记录（公会长视角）</x:v>
      </x:c>
      <x:c r="E167" s="10" t="str">
        <x:v>逻辑校验</x:v>
      </x:c>
      <x:c r="F167" s="10" t="str">
        <x:v>P1</x:v>
      </x:c>
      <x:c r="G167" s="9" t="str">
        <x:v>验证主播分成跨月按入账时间筛选</x:v>
      </x:c>
      <x:c r="H167" s="9" t="str">
        <x:v>主播分成日期口径</x:v>
      </x:c>
      <x:c r="I167" s="9" t="str">
        <x:v>1. 执行角色为公会长
2. 8月收益的分成9月15日入账</x:v>
      </x:c>
      <x:c r="J167" s="9" t="str">
        <x:v>1. 进入主播分成记录页
2. 选择自定义日期为9月15日</x:v>
      </x:c>
      <x:c r="K167" s="9" t="str">
        <x:v>列表包含该8月收益的分成记录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来源（当前证据）：liveshow-proto/MainBasis/统一需求文档.md；位置：REQ-e9c530534e0b；行3438
2. 规则：BR-4d836ee41c4c443b
3. 未动态验证</x:v>
      </x:c>
    </x:row>
    <x:row r="168" ht="85" customHeight="1">
      <x:c r="A168" s="10" t="n">
        <x:v>167</x:v>
      </x:c>
      <x:c r="B168" s="10" t="str">
        <x:v>GUILD-05-0031</x:v>
      </x:c>
      <x:c r="C168" s="10" t="str">
        <x:v>数据与收益</x:v>
      </x:c>
      <x:c r="D168" s="10" t="str">
        <x:v>公会分成记录（公会长视角）</x:v>
      </x:c>
      <x:c r="E168" s="10" t="str">
        <x:v>逻辑校验</x:v>
      </x:c>
      <x:c r="F168" s="10" t="str">
        <x:v>P1</x:v>
      </x:c>
      <x:c r="G168" s="9" t="str">
        <x:v>验证公会分成隔离其他公会</x:v>
      </x:c>
      <x:c r="H168" s="9" t="str">
        <x:v>公会分成查看范围</x:v>
      </x:c>
      <x:c r="I168" s="9" t="str">
        <x:v>1. 执行角色为公会长
2. 当前公会A和公会B各有财务上传结果</x:v>
      </x:c>
      <x:c r="J168" s="9" t="str">
        <x:v>1. 进入公会分成记录页</x:v>
      </x:c>
      <x:c r="K168" s="9" t="str">
        <x:v>不显示公会B的分成记录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来源（当前证据）：liveshow-proto/MainBasis/统一需求文档.md；位置：REQ-1afa9bbb787d；行3457
2. 规则：BR-0a4ed58e5a302761
3. 未动态验证</x:v>
      </x:c>
    </x:row>
    <x:row r="169" ht="100" customHeight="1">
      <x:c r="A169" s="10" t="n">
        <x:v>168</x:v>
      </x:c>
      <x:c r="B169" s="10" t="str">
        <x:v>GUILD-05-0032</x:v>
      </x:c>
      <x:c r="C169" s="10" t="str">
        <x:v>数据与收益</x:v>
      </x:c>
      <x:c r="D169" s="10" t="str">
        <x:v>选择主播（多选）（公会长视角）</x:v>
      </x:c>
      <x:c r="E169" s="10" t="str">
        <x:v>功能需求</x:v>
      </x:c>
      <x:c r="F169" s="10" t="str">
        <x:v>P2</x:v>
      </x:c>
      <x:c r="G169" s="9" t="str">
        <x:v>验证选择多名主播回填筛选</x:v>
      </x:c>
      <x:c r="H169" s="9" t="str">
        <x:v>公会数据多主播选择</x:v>
      </x:c>
      <x:c r="I169" s="9" t="str">
        <x:v>1. 执行角色为公会长
2. 从直播记录进入选择页，已有日期条件9月15日</x:v>
      </x:c>
      <x:c r="J169" s="9" t="str">
        <x:v>1. 进入选择主播（多选）页
2. 选择主播甲
3. 选择主播乙
4. 点击完成</x:v>
      </x:c>
      <x:c r="K169" s="9" t="str">
        <x:v>已选主播为甲和乙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来源（当前证据）：liveshow-proto/MainBasis/统一需求文档.md；位置：REQ-74d9c44c037d；行3472、REQ-9b94ebc6e08d；行3474
2. 规则：BR-ca5c1c8e2cc25c49
3. 未动态验证</x:v>
      </x:c>
    </x:row>
    <x:row r="170" ht="85" customHeight="1">
      <x:c r="A170" s="10" t="n">
        <x:v>169</x:v>
      </x:c>
      <x:c r="B170" s="10" t="str">
        <x:v>GUILD-01-0029</x:v>
      </x:c>
      <x:c r="C170" s="10" t="str">
        <x:v>登录与首页</x:v>
      </x:c>
      <x:c r="D170" s="10" t="str">
        <x:v>选择公会（公会长视角）</x:v>
      </x:c>
      <x:c r="E170" s="10" t="str">
        <x:v>功能需求</x:v>
      </x:c>
      <x:c r="F170" s="10" t="str">
        <x:v>P2</x:v>
      </x:c>
      <x:c r="G170" s="9" t="str">
        <x:v>验证选择公会用户ID取正确业务对象</x:v>
      </x:c>
      <x:c r="H170" s="9" t="str">
        <x:v>选择公会用户ID</x:v>
      </x:c>
      <x:c r="I170" s="9" t="str">
        <x:v>1. 执行角色为公会长
2. 当前公会长用户ID为C001，当前公会ID为G001</x:v>
      </x:c>
      <x:c r="J170" s="9" t="str">
        <x:v>1. 进入选择公会页</x:v>
      </x:c>
      <x:c r="K170" s="9" t="str">
        <x:v>用户ID显示C001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来源（当前证据）：liveshow-proto/MainBasis/统一需求文档.md；位置：REQ-3480df046bf9；行2720
2. 规则：BR-4736c58db363c961
3. 未动态验证</x:v>
      </x:c>
    </x:row>
    <x:row r="171" ht="85" customHeight="1">
      <x:c r="A171" s="10" t="n">
        <x:v>170</x:v>
      </x:c>
      <x:c r="B171" s="10" t="str">
        <x:v>GUILD-04-0017</x:v>
      </x:c>
      <x:c r="C171" s="10" t="str">
        <x:v>公会管理</x:v>
      </x:c>
      <x:c r="D171" s="10" t="str">
        <x:v>账号设置（公会长视角）</x:v>
      </x:c>
      <x:c r="E171" s="10" t="str">
        <x:v>功能需求</x:v>
      </x:c>
      <x:c r="F171" s="10" t="str">
        <x:v>P2</x:v>
      </x:c>
      <x:c r="G171" s="9" t="str">
        <x:v>验证账号设置公会ID取正确业务对象</x:v>
      </x:c>
      <x:c r="H171" s="9" t="str">
        <x:v>账号设置公会ID</x:v>
      </x:c>
      <x:c r="I171" s="9" t="str">
        <x:v>1. 执行角色为公会长
2. 当前公会长用户ID为C001，当前公会ID为G001</x:v>
      </x:c>
      <x:c r="J171" s="9" t="str">
        <x:v>1. 进入账号设置页</x:v>
      </x:c>
      <x:c r="K171" s="9" t="str">
        <x:v>公会ID显示G001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来源（当前证据）：liveshow-proto/MainBasis/统一需求文档.md；位置：REQ-8be05b68b85e；行3235
2. 规则：BR-5781f4cf30f39420
3. 未动态验证</x:v>
      </x:c>
    </x:row>
    <x:row r="172" ht="85" customHeight="1">
      <x:c r="A172" s="10" t="n">
        <x:v>171</x:v>
      </x:c>
      <x:c r="B172" s="10" t="str">
        <x:v>GUILD-02-0046</x:v>
      </x:c>
      <x:c r="C172" s="10" t="str">
        <x:v>主播管理</x:v>
      </x:c>
      <x:c r="D172" s="10" t="str">
        <x:v>入会申请详情（公会长视角）</x:v>
      </x:c>
      <x:c r="E172" s="10" t="str">
        <x:v>功能需求</x:v>
      </x:c>
      <x:c r="F172" s="10" t="str">
        <x:v>P2</x:v>
      </x:c>
      <x:c r="G172" s="9" t="str">
        <x:v>验证入会申请详情姓名取正确业务对象</x:v>
      </x:c>
      <x:c r="H172" s="9" t="str">
        <x:v>入会申请详情姓名</x:v>
      </x:c>
      <x:c r="I172" s="9" t="str">
        <x:v>1. 执行角色为公会长
2. 申请昵称为QA，实名为张甲</x:v>
      </x:c>
      <x:c r="J172" s="9" t="str">
        <x:v>1. 进入入会申请详情页</x:v>
      </x:c>
      <x:c r="K172" s="9" t="str">
        <x:v>姓名显示张甲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来源（当前证据）：liveshow-proto/MainBasis/统一需求文档.md；位置：REQ-e3ed126d2036；行2813
2. 规则：BR-9f0c155a0e853caf
3. 未动态验证</x:v>
      </x:c>
    </x:row>
    <x:row r="173" ht="85" customHeight="1">
      <x:c r="A173" s="10" t="n">
        <x:v>172</x:v>
      </x:c>
      <x:c r="B173" s="10" t="str">
        <x:v>GUILD-02-0047</x:v>
      </x:c>
      <x:c r="C173" s="10" t="str">
        <x:v>主播管理</x:v>
      </x:c>
      <x:c r="D173" s="10" t="str">
        <x:v>入会申请详情（公会长视角）</x:v>
      </x:c>
      <x:c r="E173" s="10" t="str">
        <x:v>功能需求</x:v>
      </x:c>
      <x:c r="F173" s="10" t="str">
        <x:v>P2</x:v>
      </x:c>
      <x:c r="G173" s="9" t="str">
        <x:v>验证入会申请详情联系电话取正确业务对象</x:v>
      </x:c>
      <x:c r="H173" s="9" t="str">
        <x:v>入会申请详情联系电话</x:v>
      </x:c>
      <x:c r="I173" s="9" t="str">
        <x:v>1. 执行角色为公会长
2. 申请联系电话为+628123456789</x:v>
      </x:c>
      <x:c r="J173" s="9" t="str">
        <x:v>1. 进入入会申请详情页</x:v>
      </x:c>
      <x:c r="K173" s="9" t="str">
        <x:v>联系电话显示+628123456789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来源（当前证据）：liveshow-proto/MainBasis/统一需求文档.md；位置：REQ-3475235a94e5；行2815
2. 规则：BR-d28a38394f4fd16e
3. 未动态验证</x:v>
      </x:c>
    </x:row>
    <x:row r="174" ht="85" customHeight="1">
      <x:c r="A174" s="10" t="n">
        <x:v>173</x:v>
      </x:c>
      <x:c r="B174" s="10" t="str">
        <x:v>GUILD-02-0048</x:v>
      </x:c>
      <x:c r="C174" s="10" t="str">
        <x:v>主播管理</x:v>
      </x:c>
      <x:c r="D174" s="10" t="str">
        <x:v>入会申请详情（公会长视角）</x:v>
      </x:c>
      <x:c r="E174" s="10" t="str">
        <x:v>功能需求</x:v>
      </x:c>
      <x:c r="F174" s="10" t="str">
        <x:v>P2</x:v>
      </x:c>
      <x:c r="G174" s="9" t="str">
        <x:v>验证入会申请详情申请公会取正确业务对象</x:v>
      </x:c>
      <x:c r="H174" s="9" t="str">
        <x:v>入会申请详情申请公会</x:v>
      </x:c>
      <x:c r="I174" s="9" t="str">
        <x:v>1. 执行角色为公会长
2. 该申请目标公会为QA公会</x:v>
      </x:c>
      <x:c r="J174" s="9" t="str">
        <x:v>1. 进入入会申请详情页</x:v>
      </x:c>
      <x:c r="K174" s="9" t="str">
        <x:v>申请公会显示QA公会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来源（当前证据）：liveshow-proto/MainBasis/统一需求文档.md；位置：REQ-f30ceeca123b；行2811
2. 规则：BR-9ddfbd116dd548cf
3. 未动态验证</x:v>
      </x:c>
    </x:row>
    <x:row r="175" ht="85" customHeight="1">
      <x:c r="A175" s="10" t="n">
        <x:v>174</x:v>
      </x:c>
      <x:c r="B175" s="10" t="str">
        <x:v>GUILD-02-0049</x:v>
      </x:c>
      <x:c r="C175" s="10" t="str">
        <x:v>主播管理</x:v>
      </x:c>
      <x:c r="D175" s="10" t="str">
        <x:v>退会申请详情（公会长视角）</x:v>
      </x:c>
      <x:c r="E175" s="10" t="str">
        <x:v>功能需求</x:v>
      </x:c>
      <x:c r="F175" s="10" t="str">
        <x:v>P2</x:v>
      </x:c>
      <x:c r="G175" s="9" t="str">
        <x:v>验证退会申请详情退会原因取正确业务对象</x:v>
      </x:c>
      <x:c r="H175" s="9" t="str">
        <x:v>退会申请详情退会原因</x:v>
      </x:c>
      <x:c r="I175" s="9" t="str">
        <x:v>1. 执行角色为公会长
2. 主播申请填写原因个人安排</x:v>
      </x:c>
      <x:c r="J175" s="9" t="str">
        <x:v>1. 进入退会申请详情页</x:v>
      </x:c>
      <x:c r="K175" s="9" t="str">
        <x:v>退会原因显示个人安排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来源（当前证据）：liveshow-proto/MainBasis/统一需求文档.md；位置：REQ-c72b0d74078b；行2869
2. 规则：BR-4d4ad8f732daaac7
3. 未动态验证</x:v>
      </x:c>
    </x:row>
    <x:row r="176" ht="85" customHeight="1">
      <x:c r="A176" s="10" t="n">
        <x:v>175</x:v>
      </x:c>
      <x:c r="B176" s="10" t="str">
        <x:v>GUILD-02-0050</x:v>
      </x:c>
      <x:c r="C176" s="10" t="str">
        <x:v>主播管理</x:v>
      </x:c>
      <x:c r="D176" s="10" t="str">
        <x:v>主播主页（公会长视角）</x:v>
      </x:c>
      <x:c r="E176" s="10" t="str">
        <x:v>功能需求</x:v>
      </x:c>
      <x:c r="F176" s="10" t="str">
        <x:v>P2</x:v>
      </x:c>
      <x:c r="G176" s="9" t="str">
        <x:v>验证主播主页认证姓名取正确业务对象</x:v>
      </x:c>
      <x:c r="H176" s="9" t="str">
        <x:v>主播主页认证姓名</x:v>
      </x:c>
      <x:c r="I176" s="9" t="str">
        <x:v>1. 执行角色为公会长
2. 主播昵称QA，认证实名张甲</x:v>
      </x:c>
      <x:c r="J176" s="9" t="str">
        <x:v>1. 进入主播主页页</x:v>
      </x:c>
      <x:c r="K176" s="9" t="str">
        <x:v>认证姓名显示张甲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来源（当前证据）：liveshow-proto/MainBasis/统一需求文档.md；位置：REQ-e351e91ed44f；行2979
2. 规则：BR-8da8ba05d1ed7375
3. 未动态验证</x:v>
      </x:c>
    </x:row>
    <x:row r="177" ht="85" customHeight="1">
      <x:c r="A177" s="10" t="n">
        <x:v>176</x:v>
      </x:c>
      <x:c r="B177" s="10" t="str">
        <x:v>GUILD-03-0048</x:v>
      </x:c>
      <x:c r="C177" s="10" t="str">
        <x:v>运营工具</x:v>
      </x:c>
      <x:c r="D177" s="10" t="str">
        <x:v>消息详情（公会长视角）</x:v>
      </x:c>
      <x:c r="E177" s="10" t="str">
        <x:v>功能需求</x:v>
      </x:c>
      <x:c r="F177" s="10" t="str">
        <x:v>P2</x:v>
      </x:c>
      <x:c r="G177" s="9" t="str">
        <x:v>验证消息详情发送人取正确业务对象</x:v>
      </x:c>
      <x:c r="H177" s="9" t="str">
        <x:v>消息详情发送人</x:v>
      </x:c>
      <x:c r="I177" s="9" t="str">
        <x:v>1. 执行角色为公会长
2. 发送时公会长名称为ChiefA</x:v>
      </x:c>
      <x:c r="J177" s="9" t="str">
        <x:v>1. 进入消息详情页</x:v>
      </x:c>
      <x:c r="K177" s="9" t="str">
        <x:v>发送人显示ChiefA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来源（当前证据）：liveshow-proto/MainBasis/统一需求文档.md；位置：REQ-297b5e0e3bf7；行3077
2. 规则：BR-d4a26ee396aa420a
3. 未动态验证</x:v>
      </x:c>
    </x:row>
    <x:row r="178" ht="85" customHeight="1">
      <x:c r="A178" s="10" t="n">
        <x:v>177</x:v>
      </x:c>
      <x:c r="B178" s="10" t="str">
        <x:v>GUILD-03-0049</x:v>
      </x:c>
      <x:c r="C178" s="10" t="str">
        <x:v>运营工具</x:v>
      </x:c>
      <x:c r="D178" s="10" t="str">
        <x:v>消息详情（公会长视角）</x:v>
      </x:c>
      <x:c r="E178" s="10" t="str">
        <x:v>功能需求</x:v>
      </x:c>
      <x:c r="F178" s="10" t="str">
        <x:v>P2</x:v>
      </x:c>
      <x:c r="G178" s="9" t="str">
        <x:v>验证消息详情正文取正确业务对象</x:v>
      </x:c>
      <x:c r="H178" s="9" t="str">
        <x:v>消息详情正文</x:v>
      </x:c>
      <x:c r="I178" s="9" t="str">
        <x:v>1. 执行角色为公会长
2. 发送时消息正文为QA发布内容</x:v>
      </x:c>
      <x:c r="J178" s="9" t="str">
        <x:v>1. 进入消息详情页</x:v>
      </x:c>
      <x:c r="K178" s="9" t="str">
        <x:v>正文显示QA发布内容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来源（当前证据）：liveshow-proto/MainBasis/统一需求文档.md；位置：REQ-a4835c8a89b4；行3079
2. 规则：BR-6f6db9336a4b6f1d
3. 未动态验证</x:v>
      </x:c>
    </x:row>
    <x:row r="179" ht="85" customHeight="1">
      <x:c r="A179" s="10" t="n">
        <x:v>178</x:v>
      </x:c>
      <x:c r="B179" s="10" t="str">
        <x:v>GUILD-03-0050</x:v>
      </x:c>
      <x:c r="C179" s="10" t="str">
        <x:v>运营工具</x:v>
      </x:c>
      <x:c r="D179" s="10" t="str">
        <x:v>运营账号（公会长视角）</x:v>
      </x:c>
      <x:c r="E179" s="10" t="str">
        <x:v>功能需求</x:v>
      </x:c>
      <x:c r="F179" s="10" t="str">
        <x:v>P2</x:v>
      </x:c>
      <x:c r="G179" s="9" t="str">
        <x:v>验证运营账号账号ID取正确业务对象</x:v>
      </x:c>
      <x:c r="H179" s="9" t="str">
        <x:v>运营账号账号ID</x:v>
      </x:c>
      <x:c r="I179" s="9" t="str">
        <x:v>1. 执行角色为公会长
2. 运营账号唯一ID9001，登录账号loginQA</x:v>
      </x:c>
      <x:c r="J179" s="9" t="str">
        <x:v>1. 进入运营账号页</x:v>
      </x:c>
      <x:c r="K179" s="9" t="str">
        <x:v>账号ID显示9001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来源（当前证据）：liveshow-proto/MainBasis/统一需求文档.md；位置：REQ-48472b42ff0b；行3090
2. 规则：BR-2fa5774b3aba9247
3. 未动态验证</x:v>
      </x:c>
    </x:row>
    <x:row r="180" ht="85" customHeight="1">
      <x:c r="A180" s="10" t="n">
        <x:v>179</x:v>
      </x:c>
      <x:c r="B180" s="10" t="str">
        <x:v>GUILD-03-0051</x:v>
      </x:c>
      <x:c r="C180" s="10" t="str">
        <x:v>运营工具</x:v>
      </x:c>
      <x:c r="D180" s="10" t="str">
        <x:v>选择运营账号（多选）（公会长视角）</x:v>
      </x:c>
      <x:c r="E180" s="10" t="str">
        <x:v>功能需求</x:v>
      </x:c>
      <x:c r="F180" s="10" t="str">
        <x:v>P2</x:v>
      </x:c>
      <x:c r="G180" s="9" t="str">
        <x:v>验证选择运营账号（多选）登录账号取正确业务对象</x:v>
      </x:c>
      <x:c r="H180" s="9" t="str">
        <x:v>选择运营账号（多选）登录账号</x:v>
      </x:c>
      <x:c r="I180" s="9" t="str">
        <x:v>1. 执行角色为公会长
2. 运营账号ID9001，登录账号loginQA</x:v>
      </x:c>
      <x:c r="J180" s="9" t="str">
        <x:v>1. 进入选择运营账号（多选）页</x:v>
      </x:c>
      <x:c r="K180" s="9" t="str">
        <x:v>登录账号显示loginQA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来源（当前证据）：liveshow-proto/MainBasis/统一需求文档.md；位置：REQ-174d0cbda32b；行3209
2. 规则：BR-b280b7c57bb0759d
3. 未动态验证</x:v>
      </x:c>
    </x:row>
    <x:row r="181" ht="85" customHeight="1">
      <x:c r="A181" s="10" t="n">
        <x:v>180</x:v>
      </x:c>
      <x:c r="B181" s="10" t="str">
        <x:v>GUILD-05-0033</x:v>
      </x:c>
      <x:c r="C181" s="10" t="str">
        <x:v>数据与收益</x:v>
      </x:c>
      <x:c r="D181" s="10" t="str">
        <x:v>直播场次详情（公会长视角）</x:v>
      </x:c>
      <x:c r="E181" s="10" t="str">
        <x:v>功能需求</x:v>
      </x:c>
      <x:c r="F181" s="10" t="str">
        <x:v>P2</x:v>
      </x:c>
      <x:c r="G181" s="9" t="str">
        <x:v>验证直播场次详情场次ID取正确业务对象</x:v>
      </x:c>
      <x:c r="H181" s="9" t="str">
        <x:v>直播场次详情场次ID</x:v>
      </x:c>
      <x:c r="I181" s="9" t="str">
        <x:v>1. 执行角色为公会长
2. 主播房间号1001，本场ID为S002</x:v>
      </x:c>
      <x:c r="J181" s="9" t="str">
        <x:v>1. 进入直播场次详情页</x:v>
      </x:c>
      <x:c r="K181" s="9" t="str">
        <x:v>场次ID显示S002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来源（当前证据）：liveshow-proto/MainBasis/统一需求文档.md；位置：REQ-7a61e5f92e6d；行3298
2. 规则：BR-f907c29035f913a0
3. 未动态验证</x:v>
      </x:c>
    </x:row>
    <x:row r="182" ht="85" customHeight="1">
      <x:c r="A182" s="10" t="n">
        <x:v>181</x:v>
      </x:c>
      <x:c r="B182" s="10" t="str">
        <x:v>GUILD-03-0052</x:v>
      </x:c>
      <x:c r="C182" s="10" t="str">
        <x:v>运营工具</x:v>
      </x:c>
      <x:c r="D182" s="10" t="str">
        <x:v>送礼记录（公会长视角）</x:v>
      </x:c>
      <x:c r="E182" s="10" t="str">
        <x:v>功能需求</x:v>
      </x:c>
      <x:c r="F182" s="10" t="str">
        <x:v>P2</x:v>
      </x:c>
      <x:c r="G182" s="9" t="str">
        <x:v>验证送礼记录礼物单价取正确业务对象</x:v>
      </x:c>
      <x:c r="H182" s="9" t="str">
        <x:v>送礼记录礼物单价</x:v>
      </x:c>
      <x:c r="I182" s="9" t="str">
        <x:v>1. 执行角色为公会长
2. 赠送时单价10，礼物现价20金币</x:v>
      </x:c>
      <x:c r="J182" s="9" t="str">
        <x:v>1. 进入送礼记录页</x:v>
      </x:c>
      <x:c r="K182" s="9" t="str">
        <x:v>礼物单价显示10金币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来源（当前证据）：liveshow-proto/MainBasis/统一需求文档.md；位置：REQ-097e125c296e；行3186
2. 规则：BR-12100423de774a4f
3. 未动态验证</x:v>
      </x:c>
    </x:row>
    <x:row r="183" ht="85" customHeight="1">
      <x:c r="A183" s="10" t="n">
        <x:v>182</x:v>
      </x:c>
      <x:c r="B183" s="10" t="str">
        <x:v>GUILD-05-0034</x:v>
      </x:c>
      <x:c r="C183" s="10" t="str">
        <x:v>数据与收益</x:v>
      </x:c>
      <x:c r="D183" s="10" t="str">
        <x:v>直播场次详情（公会长视角）</x:v>
      </x:c>
      <x:c r="E183" s="10" t="str">
        <x:v>功能需求</x:v>
      </x:c>
      <x:c r="F183" s="10" t="str">
        <x:v>P2</x:v>
      </x:c>
      <x:c r="G183" s="9" t="str">
        <x:v>验证直播场次详情礼物单价取正确业务对象</x:v>
      </x:c>
      <x:c r="H183" s="9" t="str">
        <x:v>直播场次详情礼物单价</x:v>
      </x:c>
      <x:c r="I183" s="9" t="str">
        <x:v>1. 执行角色为公会长
2. 赠送时单价10，礼物现价20金币</x:v>
      </x:c>
      <x:c r="J183" s="9" t="str">
        <x:v>1. 进入直播场次详情页</x:v>
      </x:c>
      <x:c r="K183" s="9" t="str">
        <x:v>礼物单价显示10金币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来源（当前证据）：liveshow-proto/MainBasis/统一需求文档.md；位置：REQ-5b1eecfc9a27；行3316
2. 规则：BR-42d4d07fc74e46fb
3. 未动态验证</x:v>
      </x:c>
    </x:row>
    <x:row r="184" ht="85" customHeight="1">
      <x:c r="A184" s="10" t="n">
        <x:v>183</x:v>
      </x:c>
      <x:c r="B184" s="10" t="str">
        <x:v>GUILD-01-0030</x:v>
      </x:c>
      <x:c r="C184" s="10" t="str">
        <x:v>登录与首页</x:v>
      </x:c>
      <x:c r="D184" s="10" t="str">
        <x:v>通知消息（公会长视角）</x:v>
      </x:c>
      <x:c r="E184" s="10" t="str">
        <x:v>功能需求</x:v>
      </x:c>
      <x:c r="F184" s="10" t="str">
        <x:v>P2</x:v>
      </x:c>
      <x:c r="G184" s="9" t="str">
        <x:v>验证公会通知按生成时间倒序</x:v>
      </x:c>
      <x:c r="H184" s="9" t="str">
        <x:v>公会通知时间排序</x:v>
      </x:c>
      <x:c r="I184" s="9" t="str">
        <x:v>1. 执行角色为公会长
2. 通知甲10点、乙11点生成</x:v>
      </x:c>
      <x:c r="J184" s="9" t="str">
        <x:v>1. 进入通知消息页</x:v>
      </x:c>
      <x:c r="K184" s="9" t="str">
        <x:v>乙排列在甲之前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来源（当前证据）：liveshow-proto/MainBasis/统一需求文档.md；位置：REQ-11aaa73d412a；行2760
2. 规则：BR-89e0e4d1ef1c348f
3. 未动态验证</x:v>
      </x:c>
    </x:row>
    <x:row r="185" ht="85" customHeight="1">
      <x:c r="A185" s="10" t="n">
        <x:v>184</x:v>
      </x:c>
      <x:c r="B185" s="10" t="str">
        <x:v>GUILD-01-0031</x:v>
      </x:c>
      <x:c r="C185" s="10" t="str">
        <x:v>登录与首页</x:v>
      </x:c>
      <x:c r="D185" s="10" t="str">
        <x:v>通知详情（公会长视角）</x:v>
      </x:c>
      <x:c r="E185" s="10" t="str">
        <x:v>逻辑校验</x:v>
      </x:c>
      <x:c r="F185" s="10" t="str">
        <x:v>P1</x:v>
      </x:c>
      <x:c r="G185" s="9" t="str">
        <x:v>验证公会通知详情对应选中业务事件</x:v>
      </x:c>
      <x:c r="H185" s="9" t="str">
        <x:v>公会通知详情内容</x:v>
      </x:c>
      <x:c r="I185" s="9" t="str">
        <x:v>1. 执行角色为公会长
2. 通知N对应主播甲入会申请被平台驳回</x:v>
      </x:c>
      <x:c r="J185" s="9" t="str">
        <x:v>1. 进入通知消息页
2. 点击通知N</x:v>
      </x:c>
      <x:c r="K185" s="9" t="str">
        <x:v>正文对应甲的该次平台驳回事件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来源（当前证据）：liveshow-proto/MainBasis/统一需求文档.md；位置：REQ-2ec1339592d2；行2781
2. 规则：BR-c2d241a1052817c4
3. 未动态验证</x:v>
      </x:c>
    </x:row>
    <x:row r="186" ht="85" customHeight="1">
      <x:c r="A186" s="10" t="n">
        <x:v>185</x:v>
      </x:c>
      <x:c r="B186" s="10" t="str">
        <x:v>GUILD-02-0051</x:v>
      </x:c>
      <x:c r="C186" s="10" t="str">
        <x:v>主播管理</x:v>
      </x:c>
      <x:c r="D186" s="10" t="str">
        <x:v>入会申请（公会长视角）</x:v>
      </x:c>
      <x:c r="E186" s="10" t="str">
        <x:v>逻辑校验</x:v>
      </x:c>
      <x:c r="F186" s="10" t="str">
        <x:v>P1</x:v>
      </x:c>
      <x:c r="G186" s="9" t="str">
        <x:v>验证入会审核中包含两种待审阶段</x:v>
      </x:c>
      <x:c r="H186" s="9" t="str">
        <x:v>公会入会审核中集合</x:v>
      </x:c>
      <x:c r="I186" s="9" t="str">
        <x:v>1. 执行角色为公会长
2. 甲待公会审，乙待平台审，丙已平台通过</x:v>
      </x:c>
      <x:c r="J186" s="9" t="str">
        <x:v>1. 进入入会申请页
2. 切换审核中</x:v>
      </x:c>
      <x:c r="K186" s="9" t="str">
        <x:v>列表仅包含甲和乙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来源（当前证据）：liveshow-proto/MainBasis/统一需求文档.md；位置：REQ-01aea7c3c29c；行2796
2. 规则：BR-f2946819fe85f537
3. 未动态验证</x:v>
      </x:c>
    </x:row>
    <x:row r="187" ht="85" customHeight="1">
      <x:c r="A187" s="10" t="n">
        <x:v>186</x:v>
      </x:c>
      <x:c r="B187" s="10" t="str">
        <x:v>GUILD-02-0052</x:v>
      </x:c>
      <x:c r="C187" s="10" t="str">
        <x:v>主播管理</x:v>
      </x:c>
      <x:c r="D187" s="10" t="str">
        <x:v>入会申请（公会长视角）</x:v>
      </x:c>
      <x:c r="E187" s="10" t="str">
        <x:v>逻辑校验</x:v>
      </x:c>
      <x:c r="F187" s="10" t="str">
        <x:v>P1</x:v>
      </x:c>
      <x:c r="G187" s="9" t="str">
        <x:v>验证入会驳回列表区分平台驳回</x:v>
      </x:c>
      <x:c r="H187" s="9" t="str">
        <x:v>公会入会驳回阶段</x:v>
      </x:c>
      <x:c r="I187" s="9" t="str">
        <x:v>1. 执行角色为公会长
2. 申请A公会通过后被平台驳回</x:v>
      </x:c>
      <x:c r="J187" s="9" t="str">
        <x:v>1. 进入入会申请页
2. 切换已驳回</x:v>
      </x:c>
      <x:c r="K187" s="9" t="str">
        <x:v>申请A状态显示平台驳回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来源（当前证据）：liveshow-proto/MainBasis/统一需求文档.md；位置：REQ-01aea7c3c29c；行2796
2. 规则：BR-8d4c14779d6feb37
3. 未动态验证</x:v>
      </x:c>
    </x:row>
    <x:row r="188" ht="85" customHeight="1">
      <x:c r="A188" s="10" t="n">
        <x:v>187</x:v>
      </x:c>
      <x:c r="B188" s="10" t="str">
        <x:v>GUILD-02-0053</x:v>
      </x:c>
      <x:c r="C188" s="10" t="str">
        <x:v>主播管理</x:v>
      </x:c>
      <x:c r="D188" s="10" t="str">
        <x:v>入会申请详情（公会长视角）</x:v>
      </x:c>
      <x:c r="E188" s="10" t="str">
        <x:v>功能需求</x:v>
      </x:c>
      <x:c r="F188" s="10" t="str">
        <x:v>P2</x:v>
      </x:c>
      <x:c r="G188" s="9" t="str">
        <x:v>验证未完成的平台审核不显示处理时间</x:v>
      </x:c>
      <x:c r="H188" s="9" t="str">
        <x:v>入会未来审核节点时间</x:v>
      </x:c>
      <x:c r="I188" s="9" t="str">
        <x:v>1. 执行角色为公会长
2. 公会已通过，平台待审核</x:v>
      </x:c>
      <x:c r="J188" s="9" t="str">
        <x:v>1. 进入入会申请详情页</x:v>
      </x:c>
      <x:c r="K188" s="9" t="str">
        <x:v>平台审核节点不显示处理完成时间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来源（当前证据）：liveshow-proto/MainBasis/统一需求文档.md；位置：REQ-e5d474e04dec；行2823
2. 规则：BR-c67e9606b9575314
3. 未动态验证</x:v>
      </x:c>
    </x:row>
    <x:row r="189" ht="85" customHeight="1">
      <x:c r="A189" s="10" t="n">
        <x:v>188</x:v>
      </x:c>
      <x:c r="B189" s="10" t="str">
        <x:v>GUILD-02-0054</x:v>
      </x:c>
      <x:c r="C189" s="10" t="str">
        <x:v>主播管理</x:v>
      </x:c>
      <x:c r="D189" s="10" t="str">
        <x:v>退会申请详情（公会长视角）</x:v>
      </x:c>
      <x:c r="E189" s="10" t="str">
        <x:v>功能需求</x:v>
      </x:c>
      <x:c r="F189" s="10" t="str">
        <x:v>P2</x:v>
      </x:c>
      <x:c r="G189" s="9" t="str">
        <x:v>验证退会详情显示本次处理时间</x:v>
      </x:c>
      <x:c r="H189" s="9" t="str">
        <x:v>退会审核时间</x:v>
      </x:c>
      <x:c r="I189" s="9" t="str">
        <x:v>1. 执行角色为公会长
2. 退会申请9月15日提交，9月16日10:00审核通过</x:v>
      </x:c>
      <x:c r="J189" s="9" t="str">
        <x:v>1. 进入退会申请详情页</x:v>
      </x:c>
      <x:c r="K189" s="9" t="str">
        <x:v>处理时间对应9月16日10:00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来源（当前证据）：liveshow-proto/MainBasis/统一需求文档.md；位置：REQ-d6b381f70c6f；行2871
2. 规则：BR-42ada3aa8d152e9d
3. 未动态验证</x:v>
      </x:c>
    </x:row>
    <x:row r="190" ht="85" customHeight="1">
      <x:c r="A190" s="10" t="n">
        <x:v>189</x:v>
      </x:c>
      <x:c r="B190" s="10" t="str">
        <x:v>GUILD-02-0055</x:v>
      </x:c>
      <x:c r="C190" s="10" t="str">
        <x:v>主播管理</x:v>
      </x:c>
      <x:c r="D190" s="10" t="str">
        <x:v>主播列表（公会长视角）</x:v>
      </x:c>
      <x:c r="E190" s="10" t="str">
        <x:v>功能需求</x:v>
      </x:c>
      <x:c r="F190" s="10" t="str">
        <x:v>P2</x:v>
      </x:c>
      <x:c r="G190" s="9" t="str">
        <x:v>验证主播列表默认当前在会</x:v>
      </x:c>
      <x:c r="H190" s="9" t="str">
        <x:v>公会主播默认分类</x:v>
      </x:c>
      <x:c r="I190" s="9" t="str">
        <x:v>1. 执行角色为公会长</x:v>
      </x:c>
      <x:c r="J190" s="9" t="str">
        <x:v>1. 进入主播列表页</x:v>
      </x:c>
      <x:c r="K190" s="9" t="str">
        <x:v>默认选中在会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来源（当前证据）：liveshow-proto/MainBasis/统一需求文档.md；位置：REQ-0d0a38bc020e；行2886
2. 规则：BR-cf7b6e3efbb46485
3. 未动态验证</x:v>
      </x:c>
    </x:row>
    <x:row r="191" ht="85" customHeight="1">
      <x:c r="A191" s="10" t="n">
        <x:v>190</x:v>
      </x:c>
      <x:c r="B191" s="10" t="str">
        <x:v>GUILD-02-0056</x:v>
      </x:c>
      <x:c r="C191" s="10" t="str">
        <x:v>主播管理</x:v>
      </x:c>
      <x:c r="D191" s="10" t="str">
        <x:v>主播列表（公会长视角）</x:v>
      </x:c>
      <x:c r="E191" s="10" t="str">
        <x:v>功能需求</x:v>
      </x:c>
      <x:c r="F191" s="10" t="str">
        <x:v>P2</x:v>
      </x:c>
      <x:c r="G191" s="9" t="str">
        <x:v>验证主播列表按本次加入时间排序</x:v>
      </x:c>
      <x:c r="H191" s="9" t="str">
        <x:v>公会成员加入排序</x:v>
      </x:c>
      <x:c r="I191" s="9" t="str">
        <x:v>1. 执行角色为公会长
2. 甲9月1日加入，乙9月10日加入</x:v>
      </x:c>
      <x:c r="J191" s="9" t="str">
        <x:v>1. 进入主播列表页</x:v>
      </x:c>
      <x:c r="K191" s="9" t="str">
        <x:v>乙排列在甲之前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来源（当前证据）：liveshow-proto/MainBasis/统一需求文档.md；位置：REQ-5f9e6c9e5f24；行2894
2. 规则：BR-34ae606404fe56a5
3. 未动态验证</x:v>
      </x:c>
    </x:row>
    <x:row r="192" ht="85" customHeight="1">
      <x:c r="A192" s="10" t="n">
        <x:v>191</x:v>
      </x:c>
      <x:c r="B192" s="10" t="str">
        <x:v>GUILD-02-0057</x:v>
      </x:c>
      <x:c r="C192" s="10" t="str">
        <x:v>主播管理</x:v>
      </x:c>
      <x:c r="D192" s="10" t="str">
        <x:v>主播列表（公会长视角）</x:v>
      </x:c>
      <x:c r="E192" s="10" t="str">
        <x:v>功能需求</x:v>
      </x:c>
      <x:c r="F192" s="10" t="str">
        <x:v>P2</x:v>
      </x:c>
      <x:c r="G192" s="9" t="str">
        <x:v>验证主播列表按主播ID查找</x:v>
      </x:c>
      <x:c r="H192" s="9" t="str">
        <x:v>主播列表ID搜索</x:v>
      </x:c>
      <x:c r="I192" s="9" t="str">
        <x:v>1. 执行角色为公会长
2. 当前公会主播甲ID1001，乙ID1002</x:v>
      </x:c>
      <x:c r="J192" s="9" t="str">
        <x:v>1. 进入主播列表页
2. 输入搜索框为1001</x:v>
      </x:c>
      <x:c r="K192" s="9" t="str">
        <x:v>结果仅显示甲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来源（当前证据）：liveshow-proto/MainBasis/统一需求文档.md；位置：REQ-946b654076e0；行2888
2. 规则：BR-03b1fee55fbe916c
3. 未动态验证</x:v>
      </x:c>
    </x:row>
    <x:row r="193" ht="85" customHeight="1">
      <x:c r="A193" s="10" t="n">
        <x:v>192</x:v>
      </x:c>
      <x:c r="B193" s="10" t="str">
        <x:v>GUILD-02-0058</x:v>
      </x:c>
      <x:c r="C193" s="10" t="str">
        <x:v>主播管理</x:v>
      </x:c>
      <x:c r="D193" s="10" t="str">
        <x:v>主播业绩（公会长视角）</x:v>
      </x:c>
      <x:c r="E193" s="10" t="str">
        <x:v>功能需求</x:v>
      </x:c>
      <x:c r="F193" s="10" t="str">
        <x:v>P2</x:v>
      </x:c>
      <x:c r="G193" s="9" t="str">
        <x:v>验证主播业绩按主播ID查找</x:v>
      </x:c>
      <x:c r="H193" s="9" t="str">
        <x:v>主播业绩ID搜索</x:v>
      </x:c>
      <x:c r="I193" s="9" t="str">
        <x:v>1. 执行角色为公会长
2. 当前公会主播甲ID1001，乙ID1002</x:v>
      </x:c>
      <x:c r="J193" s="9" t="str">
        <x:v>1. 进入主播业绩页
2. 输入搜索框为1001</x:v>
      </x:c>
      <x:c r="K193" s="9" t="str">
        <x:v>结果仅显示甲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来源（当前证据）：liveshow-proto/MainBasis/统一需求文档.md；位置：REQ-b714dfa901eb；行2907
2. 规则：BR-e0ffc09b4c21b94d
3. 未动态验证</x:v>
      </x:c>
    </x:row>
    <x:row r="194" ht="85" customHeight="1">
      <x:c r="A194" s="10" t="n">
        <x:v>193</x:v>
      </x:c>
      <x:c r="B194" s="10" t="str">
        <x:v>GUILD-03-0053</x:v>
      </x:c>
      <x:c r="C194" s="10" t="str">
        <x:v>运营工具</x:v>
      </x:c>
      <x:c r="D194" s="10" t="str">
        <x:v>选择主播（公会长视角）</x:v>
      </x:c>
      <x:c r="E194" s="10" t="str">
        <x:v>功能需求</x:v>
      </x:c>
      <x:c r="F194" s="10" t="str">
        <x:v>P2</x:v>
      </x:c>
      <x:c r="G194" s="9" t="str">
        <x:v>验证选择主播按主播ID查找</x:v>
      </x:c>
      <x:c r="H194" s="9" t="str">
        <x:v>选择主播ID搜索</x:v>
      </x:c>
      <x:c r="I194" s="9" t="str">
        <x:v>1. 执行角色为公会长
2. 当前公会主播甲ID1001，乙ID1002</x:v>
      </x:c>
      <x:c r="J194" s="9" t="str">
        <x:v>1. 进入选择主播页
2. 输入搜索框为1001</x:v>
      </x:c>
      <x:c r="K194" s="9" t="str">
        <x:v>结果仅显示甲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来源（当前证据）：liveshow-proto/MainBasis/统一需求文档.md；位置：REQ-7012869c65e6；行3056
2. 规则：BR-99c62ed2a416ccac
3. 未动态验证</x:v>
      </x:c>
    </x:row>
    <x:row r="195" ht="85" customHeight="1">
      <x:c r="A195" s="10" t="n">
        <x:v>194</x:v>
      </x:c>
      <x:c r="B195" s="10" t="str">
        <x:v>GUILD-05-0035</x:v>
      </x:c>
      <x:c r="C195" s="10" t="str">
        <x:v>数据与收益</x:v>
      </x:c>
      <x:c r="D195" s="10" t="str">
        <x:v>选择主播（多选）（公会长视角）</x:v>
      </x:c>
      <x:c r="E195" s="10" t="str">
        <x:v>功能需求</x:v>
      </x:c>
      <x:c r="F195" s="10" t="str">
        <x:v>P2</x:v>
      </x:c>
      <x:c r="G195" s="9" t="str">
        <x:v>验证选择主播（多选）按主播ID查找</x:v>
      </x:c>
      <x:c r="H195" s="9" t="str">
        <x:v>选择主播（多选）ID搜索</x:v>
      </x:c>
      <x:c r="I195" s="9" t="str">
        <x:v>1. 执行角色为公会长
2. 当前公会主播甲ID1001，乙ID1002</x:v>
      </x:c>
      <x:c r="J195" s="9" t="str">
        <x:v>1. 进入选择主播（多选）页
2. 输入搜索框为1001</x:v>
      </x:c>
      <x:c r="K195" s="9" t="str">
        <x:v>结果仅显示甲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来源（当前证据）：liveshow-proto/MainBasis/统一需求文档.md；位置：REQ-2ee500261795；行3464
2. 规则：BR-f67e9f14cc0ef38b
3. 未动态验证</x:v>
      </x:c>
    </x:row>
    <x:row r="196" ht="85" customHeight="1">
      <x:c r="A196" s="10" t="n">
        <x:v>195</x:v>
      </x:c>
      <x:c r="B196" s="10" t="str">
        <x:v>GUILD-02-0059</x:v>
      </x:c>
      <x:c r="C196" s="10" t="str">
        <x:v>主播管理</x:v>
      </x:c>
      <x:c r="D196" s="10" t="str">
        <x:v>主播业绩（公会长视角）</x:v>
      </x:c>
      <x:c r="E196" s="10" t="str">
        <x:v>逻辑校验</x:v>
      </x:c>
      <x:c r="F196" s="10" t="str">
        <x:v>P1</x:v>
      </x:c>
      <x:c r="G196" s="9" t="str">
        <x:v>验证主播业绩主播等级不混用财富等级</x:v>
      </x:c>
      <x:c r="H196" s="9" t="str">
        <x:v>主播业绩主播等级</x:v>
      </x:c>
      <x:c r="I196" s="9" t="str">
        <x:v>1. 执行角色为公会长
2. 主播按分成前真实收益达到主播等级3，财富等级5，运营虚拟赠礼不计收益</x:v>
      </x:c>
      <x:c r="J196" s="9" t="str">
        <x:v>1. 进入主播业绩页</x:v>
      </x:c>
      <x:c r="K196" s="9" t="str">
        <x:v>主播等级显示3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来源（当前证据）：liveshow-proto/MainBasis/统一需求文档.md；位置：REQ-5891c9734594；行2913
2. 规则：BR-b1e64a7c5ff47d30
3. 未动态验证</x:v>
      </x:c>
    </x:row>
    <x:row r="197" ht="85" customHeight="1">
      <x:c r="A197" s="10" t="n">
        <x:v>196</x:v>
      </x:c>
      <x:c r="B197" s="10" t="str">
        <x:v>GUILD-02-0060</x:v>
      </x:c>
      <x:c r="C197" s="10" t="str">
        <x:v>主播管理</x:v>
      </x:c>
      <x:c r="D197" s="10" t="str">
        <x:v>主播数据（公会长视角）</x:v>
      </x:c>
      <x:c r="E197" s="10" t="str">
        <x:v>逻辑校验</x:v>
      </x:c>
      <x:c r="F197" s="10" t="str">
        <x:v>P1</x:v>
      </x:c>
      <x:c r="G197" s="9" t="str">
        <x:v>验证主播数据主播等级不混用财富等级</x:v>
      </x:c>
      <x:c r="H197" s="9" t="str">
        <x:v>主播数据主播等级</x:v>
      </x:c>
      <x:c r="I197" s="9" t="str">
        <x:v>1. 执行角色为公会长
2. 主播按分成前真实收益达到主播等级3，财富等级5，运营虚拟赠礼不计收益</x:v>
      </x:c>
      <x:c r="J197" s="9" t="str">
        <x:v>1. 进入主播数据页</x:v>
      </x:c>
      <x:c r="K197" s="9" t="str">
        <x:v>主播等级显示3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来源（当前证据）：liveshow-proto/MainBasis/统一需求文档.md；位置：REQ-75eff86df698；行2944
2. 规则：BR-b08ebc13a9d0c9fc
3. 未动态验证</x:v>
      </x:c>
    </x:row>
    <x:row r="198" ht="85" customHeight="1">
      <x:c r="A198" s="10" t="n">
        <x:v>197</x:v>
      </x:c>
      <x:c r="B198" s="10" t="str">
        <x:v>GUILD-02-0061</x:v>
      </x:c>
      <x:c r="C198" s="10" t="str">
        <x:v>主播管理</x:v>
      </x:c>
      <x:c r="D198" s="10" t="str">
        <x:v>主播主页（公会长视角）</x:v>
      </x:c>
      <x:c r="E198" s="10" t="str">
        <x:v>逻辑校验</x:v>
      </x:c>
      <x:c r="F198" s="10" t="str">
        <x:v>P1</x:v>
      </x:c>
      <x:c r="G198" s="9" t="str">
        <x:v>验证主播主页主播等级不混用财富等级</x:v>
      </x:c>
      <x:c r="H198" s="9" t="str">
        <x:v>主播主页主播等级</x:v>
      </x:c>
      <x:c r="I198" s="9" t="str">
        <x:v>1. 执行角色为公会长
2. 主播按分成前真实收益达到主播等级3，财富等级5，运营虚拟赠礼不计收益</x:v>
      </x:c>
      <x:c r="J198" s="9" t="str">
        <x:v>1. 进入主播主页页</x:v>
      </x:c>
      <x:c r="K198" s="9" t="str">
        <x:v>主播等级显示3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来源（当前证据）：liveshow-proto/MainBasis/统一需求文档.md；位置：REQ-a82a66570557；行2975
2. 规则：BR-94bcbd35836ca581
3. 未动态验证</x:v>
      </x:c>
    </x:row>
    <x:row r="199" ht="85" customHeight="1">
      <x:c r="A199" s="10" t="n">
        <x:v>198</x:v>
      </x:c>
      <x:c r="B199" s="10" t="str">
        <x:v>GUILD-05-0036</x:v>
      </x:c>
      <x:c r="C199" s="10" t="str">
        <x:v>数据与收益</x:v>
      </x:c>
      <x:c r="D199" s="10" t="str">
        <x:v>每日（公会长视角）</x:v>
      </x:c>
      <x:c r="E199" s="10" t="str">
        <x:v>逻辑校验</x:v>
      </x:c>
      <x:c r="F199" s="10" t="str">
        <x:v>P1</x:v>
      </x:c>
      <x:c r="G199" s="9" t="str">
        <x:v>验证每日主播等级不混用财富等级</x:v>
      </x:c>
      <x:c r="H199" s="9" t="str">
        <x:v>每日主播等级</x:v>
      </x:c>
      <x:c r="I199" s="9" t="str">
        <x:v>1. 执行角色为公会长
2. 主播按分成前真实收益达到主播等级3，财富等级5，运营虚拟赠礼不计收益</x:v>
      </x:c>
      <x:c r="J199" s="9" t="str">
        <x:v>1. 进入每日页</x:v>
      </x:c>
      <x:c r="K199" s="9" t="str">
        <x:v>主播等级显示3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来源（当前证据）：liveshow-proto/MainBasis/统一需求文档.md；位置：REQ-588e794e69c3；行3417
2. 规则：BR-2e6d7147aab9fc24
3. 未动态验证</x:v>
      </x:c>
    </x:row>
    <x:row r="200" ht="85" customHeight="1">
      <x:c r="A200" s="10" t="n">
        <x:v>199</x:v>
      </x:c>
      <x:c r="B200" s="10" t="str">
        <x:v>GUILD-02-0062</x:v>
      </x:c>
      <x:c r="C200" s="10" t="str">
        <x:v>主播管理</x:v>
      </x:c>
      <x:c r="D200" s="10" t="str">
        <x:v>主播业绩（公会长视角）</x:v>
      </x:c>
      <x:c r="E200" s="10" t="str">
        <x:v>功能需求</x:v>
      </x:c>
      <x:c r="F200" s="10" t="str">
        <x:v>P2</x:v>
      </x:c>
      <x:c r="G200" s="9" t="str">
        <x:v>验证主播业绩保留退会标识</x:v>
      </x:c>
      <x:c r="H200" s="9" t="str">
        <x:v>主播业绩退会标识</x:v>
      </x:c>
      <x:c r="I200" s="9" t="str">
        <x:v>1. 执行角色为公会长
2. 该主播有历史业绩且已退出当前公会</x:v>
      </x:c>
      <x:c r="J200" s="9" t="str">
        <x:v>1. 进入主播业绩页</x:v>
      </x:c>
      <x:c r="K200" s="9" t="str">
        <x:v>该主播显示“退会”标记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来源（当前证据）：liveshow-proto/MainBasis/统一需求文档.md；位置：REQ-1eac88140da3；行2915
2. 规则：BR-8ca887945be8a0bc
3. 未动态验证</x:v>
      </x:c>
    </x:row>
    <x:row r="201" ht="85" customHeight="1">
      <x:c r="A201" s="10" t="n">
        <x:v>200</x:v>
      </x:c>
      <x:c r="B201" s="10" t="str">
        <x:v>GUILD-02-0063</x:v>
      </x:c>
      <x:c r="C201" s="10" t="str">
        <x:v>主播管理</x:v>
      </x:c>
      <x:c r="D201" s="10" t="str">
        <x:v>主播数据（公会长视角）</x:v>
      </x:c>
      <x:c r="E201" s="10" t="str">
        <x:v>功能需求</x:v>
      </x:c>
      <x:c r="F201" s="10" t="str">
        <x:v>P2</x:v>
      </x:c>
      <x:c r="G201" s="9" t="str">
        <x:v>验证主播数据保留退会标识</x:v>
      </x:c>
      <x:c r="H201" s="9" t="str">
        <x:v>主播数据退会标识</x:v>
      </x:c>
      <x:c r="I201" s="9" t="str">
        <x:v>1. 执行角色为公会长
2. 该主播有历史业绩且已退出当前公会</x:v>
      </x:c>
      <x:c r="J201" s="9" t="str">
        <x:v>1. 进入主播数据页</x:v>
      </x:c>
      <x:c r="K201" s="9" t="str">
        <x:v>该主播显示“退会”标记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来源（当前证据）：liveshow-proto/MainBasis/统一需求文档.md；位置：REQ-396541118a33；行2948
2. 规则：BR-541341632d213071
3. 未动态验证</x:v>
      </x:c>
    </x:row>
    <x:row r="202" ht="85" customHeight="1">
      <x:c r="A202" s="10" t="n">
        <x:v>201</x:v>
      </x:c>
      <x:c r="B202" s="10" t="str">
        <x:v>GUILD-02-0064</x:v>
      </x:c>
      <x:c r="C202" s="10" t="str">
        <x:v>主播管理</x:v>
      </x:c>
      <x:c r="D202" s="10" t="str">
        <x:v>主播数据（公会长视角）</x:v>
      </x:c>
      <x:c r="E202" s="10" t="str">
        <x:v>功能需求</x:v>
      </x:c>
      <x:c r="F202" s="10" t="str">
        <x:v>P2</x:v>
      </x:c>
      <x:c r="G202" s="9" t="str">
        <x:v>验证主播在播的实时标记</x:v>
      </x:c>
      <x:c r="H202" s="9" t="str">
        <x:v>公会主播实时状态</x:v>
      </x:c>
      <x:c r="I202" s="9" t="str">
        <x:v>1. 执行角色为公会长
2. 目标主播当前正在直播</x:v>
      </x:c>
      <x:c r="J202" s="9" t="str">
        <x:v>1. 进入主播数据页</x:v>
      </x:c>
      <x:c r="K202" s="9" t="str">
        <x:v>显示直播中标记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来源（当前证据）：liveshow-proto/MainBasis/统一需求文档.md；位置：REQ-dd4a60d7c8f3；行2946
2. 规则：BR-f5eecea9df91a376
3. 未动态验证</x:v>
      </x:c>
    </x:row>
    <x:row r="203" ht="85" customHeight="1">
      <x:c r="A203" s="10" t="n">
        <x:v>202</x:v>
      </x:c>
      <x:c r="B203" s="10" t="str">
        <x:v>GUILD-02-0065</x:v>
      </x:c>
      <x:c r="C203" s="10" t="str">
        <x:v>主播管理</x:v>
      </x:c>
      <x:c r="D203" s="10" t="str">
        <x:v>主播数据（公会长视角）</x:v>
      </x:c>
      <x:c r="E203" s="10" t="str">
        <x:v>功能需求</x:v>
      </x:c>
      <x:c r="F203" s="10" t="str">
        <x:v>P2</x:v>
      </x:c>
      <x:c r="G203" s="9" t="str">
        <x:v>验证主播未开播的实时标记</x:v>
      </x:c>
      <x:c r="H203" s="9" t="str">
        <x:v>公会主播实时状态</x:v>
      </x:c>
      <x:c r="I203" s="9" t="str">
        <x:v>1. 执行角色为公会长
2. 目标主播当前未开播</x:v>
      </x:c>
      <x:c r="J203" s="9" t="str">
        <x:v>1. 进入主播数据页</x:v>
      </x:c>
      <x:c r="K203" s="9" t="str">
        <x:v>不显示直播中标记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来源（当前证据）：liveshow-proto/MainBasis/统一需求文档.md；位置：REQ-dd4a60d7c8f3；行2946
2. 规则：BR-63bf6973d1525796
3. 未动态验证</x:v>
      </x:c>
    </x:row>
    <x:row r="204" ht="85" customHeight="1">
      <x:c r="A204" s="10" t="n">
        <x:v>203</x:v>
      </x:c>
      <x:c r="B204" s="10" t="str">
        <x:v>GUILD-02-0066</x:v>
      </x:c>
      <x:c r="C204" s="10" t="str">
        <x:v>主播管理</x:v>
      </x:c>
      <x:c r="D204" s="10" t="str">
        <x:v>主播主页（公会长视角）</x:v>
      </x:c>
      <x:c r="E204" s="10" t="str">
        <x:v>功能需求</x:v>
      </x:c>
      <x:c r="F204" s="10" t="str">
        <x:v>P2</x:v>
      </x:c>
      <x:c r="G204" s="9" t="str">
        <x:v>验证公会查看主播认证本人照片</x:v>
      </x:c>
      <x:c r="H204" s="9" t="str">
        <x:v>主播认证本人照片详情</x:v>
      </x:c>
      <x:c r="I204" s="9" t="str">
        <x:v>1. 执行角色为公会长
2. 主播认证材料包含本人照片图片A</x:v>
      </x:c>
      <x:c r="J204" s="9" t="str">
        <x:v>1. 进入主播主页页
2. 点击本人照片</x:v>
      </x:c>
      <x:c r="K204" s="9" t="str">
        <x:v>打开所选认证图片大图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来源（当前证据）：liveshow-proto/MainBasis/统一需求文档.md；位置：REQ-be79750ac19b；行2981
2. 规则：BR-8a541736f35dd56e
3. 未动态验证</x:v>
      </x:c>
    </x:row>
    <x:row r="205" ht="85" customHeight="1">
      <x:c r="A205" s="10" t="n">
        <x:v>204</x:v>
      </x:c>
      <x:c r="B205" s="10" t="str">
        <x:v>GUILD-02-0067</x:v>
      </x:c>
      <x:c r="C205" s="10" t="str">
        <x:v>主播管理</x:v>
      </x:c>
      <x:c r="D205" s="10" t="str">
        <x:v>主播主页（公会长视角）</x:v>
      </x:c>
      <x:c r="E205" s="10" t="str">
        <x:v>功能需求</x:v>
      </x:c>
      <x:c r="F205" s="10" t="str">
        <x:v>P2</x:v>
      </x:c>
      <x:c r="G205" s="9" t="str">
        <x:v>验证公会查看主播认证证件正面</x:v>
      </x:c>
      <x:c r="H205" s="9" t="str">
        <x:v>主播认证证件正面详情</x:v>
      </x:c>
      <x:c r="I205" s="9" t="str">
        <x:v>1. 执行角色为公会长
2. 主播认证材料包含证件正面图片A</x:v>
      </x:c>
      <x:c r="J205" s="9" t="str">
        <x:v>1. 进入主播主页页
2. 点击证件正面</x:v>
      </x:c>
      <x:c r="K205" s="9" t="str">
        <x:v>打开所选认证图片大图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来源（当前证据）：liveshow-proto/MainBasis/统一需求文档.md；位置：REQ-be79750ac19b；行2981
2. 规则：BR-809487e986e014b8
3. 未动态验证</x:v>
      </x:c>
    </x:row>
    <x:row r="206" ht="85" customHeight="1">
      <x:c r="A206" s="10" t="n">
        <x:v>205</x:v>
      </x:c>
      <x:c r="B206" s="10" t="str">
        <x:v>GUILD-02-0068</x:v>
      </x:c>
      <x:c r="C206" s="10" t="str">
        <x:v>主播管理</x:v>
      </x:c>
      <x:c r="D206" s="10" t="str">
        <x:v>主播主页（公会长视角）</x:v>
      </x:c>
      <x:c r="E206" s="10" t="str">
        <x:v>功能需求</x:v>
      </x:c>
      <x:c r="F206" s="10" t="str">
        <x:v>P2</x:v>
      </x:c>
      <x:c r="G206" s="9" t="str">
        <x:v>验证公会查看主播认证证件反面</x:v>
      </x:c>
      <x:c r="H206" s="9" t="str">
        <x:v>主播认证证件反面详情</x:v>
      </x:c>
      <x:c r="I206" s="9" t="str">
        <x:v>1. 执行角色为公会长
2. 主播认证材料包含证件反面图片A</x:v>
      </x:c>
      <x:c r="J206" s="9" t="str">
        <x:v>1. 进入主播主页页
2. 点击证件反面</x:v>
      </x:c>
      <x:c r="K206" s="9" t="str">
        <x:v>打开所选认证图片大图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来源（当前证据）：liveshow-proto/MainBasis/统一需求文档.md；位置：REQ-be79750ac19b；行2981
2. 规则：BR-5c4712e17ab73d4b
3. 未动态验证</x:v>
      </x:c>
    </x:row>
    <x:row r="207" ht="85" customHeight="1">
      <x:c r="A207" s="10" t="n">
        <x:v>206</x:v>
      </x:c>
      <x:c r="B207" s="10" t="str">
        <x:v>GUILD-02-0069</x:v>
      </x:c>
      <x:c r="C207" s="10" t="str">
        <x:v>主播管理</x:v>
      </x:c>
      <x:c r="D207" s="10" t="str">
        <x:v>主播主页（公会长视角）</x:v>
      </x:c>
      <x:c r="E207" s="10" t="str">
        <x:v>逻辑校验</x:v>
      </x:c>
      <x:c r="F207" s="10" t="str">
        <x:v>P1</x:v>
      </x:c>
      <x:c r="G207" s="9" t="str">
        <x:v>验证主播主页直播次数排除进行中场次</x:v>
      </x:c>
      <x:c r="H207" s="9" t="str">
        <x:v>公会主播已完成直播次数</x:v>
      </x:c>
      <x:c r="I207" s="9" t="str">
        <x:v>1. 执行角色为公会长
2. 已完成2场，另1场当前在播</x:v>
      </x:c>
      <x:c r="J207" s="9" t="str">
        <x:v>1. 进入主播主页页</x:v>
      </x:c>
      <x:c r="K207" s="9" t="str">
        <x:v>直播次数显示2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来源（当前证据）：liveshow-proto/MainBasis/统一需求文档.md；位置：REQ-bccc67cb07b8；行3001
2. 规则：BR-19c2e750b9c52e61
3. 未动态验证</x:v>
      </x:c>
    </x:row>
    <x:row r="208" ht="85" customHeight="1">
      <x:c r="A208" s="10" t="n">
        <x:v>207</x:v>
      </x:c>
      <x:c r="B208" s="10" t="str">
        <x:v>GUILD-02-0070</x:v>
      </x:c>
      <x:c r="C208" s="10" t="str">
        <x:v>主播管理</x:v>
      </x:c>
      <x:c r="D208" s="10" t="str">
        <x:v>主播主页（公会长视角）</x:v>
      </x:c>
      <x:c r="E208" s="10" t="str">
        <x:v>逻辑校验</x:v>
      </x:c>
      <x:c r="F208" s="10" t="str">
        <x:v>P1</x:v>
      </x:c>
      <x:c r="G208" s="9" t="str">
        <x:v>验证主播主页时长仅累计已完成场次</x:v>
      </x:c>
      <x:c r="H208" s="9" t="str">
        <x:v>公会主播历史直播时长</x:v>
      </x:c>
      <x:c r="I208" s="9" t="str">
        <x:v>1. 执行角色为公会长
2. 已完成两场分别60分钟和90分钟，另有进行中场次20分钟</x:v>
      </x:c>
      <x:c r="J208" s="9" t="str">
        <x:v>1. 进入主播主页页</x:v>
      </x:c>
      <x:c r="K208" s="9" t="str">
        <x:v>直播时长显示2小时30分钟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来源（当前证据）：liveshow-proto/MainBasis/统一需求文档.md；位置：REQ-0e48ead52cc5；行3003
2. 规则：BR-9c85667c5f5fc3cb
3. 未动态验证</x:v>
      </x:c>
    </x:row>
    <x:row r="209" ht="85" customHeight="1">
      <x:c r="A209" s="10" t="n">
        <x:v>208</x:v>
      </x:c>
      <x:c r="B209" s="10" t="str">
        <x:v>GUILD-02-0071</x:v>
      </x:c>
      <x:c r="C209" s="10" t="str">
        <x:v>主播管理</x:v>
      </x:c>
      <x:c r="D209" s="10" t="str">
        <x:v>主播主页（公会长视角）</x:v>
      </x:c>
      <x:c r="E209" s="10" t="str">
        <x:v>逻辑校验</x:v>
      </x:c>
      <x:c r="F209" s="10" t="str">
        <x:v>P1</x:v>
      </x:c>
      <x:c r="G209" s="9" t="str">
        <x:v>验证主播主页违规统计包含两类</x:v>
      </x:c>
      <x:c r="H209" s="9" t="str">
        <x:v>公会主播累计违规范围</x:v>
      </x:c>
      <x:c r="I209" s="9" t="str">
        <x:v>1. 执行角色为公会长
2. 该主播直播间违规2条、账号违规1条</x:v>
      </x:c>
      <x:c r="J209" s="9" t="str">
        <x:v>1. 进入主播主页页</x:v>
      </x:c>
      <x:c r="K209" s="9" t="str">
        <x:v>累计违规显示3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来源（当前证据）：liveshow-proto/MainBasis/统一需求文档.md；位置：REQ-8af217e09909；行3005
2. 规则：BR-9848ee99c385aa1a
3. 未动态验证</x:v>
      </x:c>
    </x:row>
    <x:row r="210" ht="85" customHeight="1">
      <x:c r="A210" s="10" t="n">
        <x:v>209</x:v>
      </x:c>
      <x:c r="B210" s="10" t="str">
        <x:v>GUILD-02-0072</x:v>
      </x:c>
      <x:c r="C210" s="10" t="str">
        <x:v>主播管理</x:v>
      </x:c>
      <x:c r="D210" s="10" t="str">
        <x:v>主播主页（公会长视角）</x:v>
      </x:c>
      <x:c r="E210" s="10" t="str">
        <x:v>功能需求</x:v>
      </x:c>
      <x:c r="F210" s="10" t="str">
        <x:v>P2</x:v>
      </x:c>
      <x:c r="G210" s="9" t="str">
        <x:v>验证主播申请记录按提交时间排序</x:v>
      </x:c>
      <x:c r="H210" s="9" t="str">
        <x:v>主播申请记录顺序</x:v>
      </x:c>
      <x:c r="I210" s="9" t="str">
        <x:v>1. 执行角色为公会长
2. 入会申请9月1日，退会申请9月15日</x:v>
      </x:c>
      <x:c r="J210" s="9" t="str">
        <x:v>1. 进入主播主页页</x:v>
      </x:c>
      <x:c r="K210" s="9" t="str">
        <x:v>退会申请排列在入会申请之前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来源（当前证据）：liveshow-proto/MainBasis/统一需求文档.md；位置：REQ-1a81bbf86bd2；行2991
2. 规则：BR-2017b17f90727562
3. 未动态验证</x:v>
      </x:c>
    </x:row>
    <x:row r="211" ht="85" customHeight="1">
      <x:c r="A211" s="10" t="n">
        <x:v>210</x:v>
      </x:c>
      <x:c r="B211" s="10" t="str">
        <x:v>GUILD-03-0054</x:v>
      </x:c>
      <x:c r="C211" s="10" t="str">
        <x:v>运营工具</x:v>
      </x:c>
      <x:c r="D211" s="10" t="str">
        <x:v>运营消息（公会长视角）</x:v>
      </x:c>
      <x:c r="E211" s="10" t="str">
        <x:v>逻辑校验</x:v>
      </x:c>
      <x:c r="F211" s="10" t="str">
        <x:v>P1</x:v>
      </x:c>
      <x:c r="G211" s="9" t="str">
        <x:v>验证公会运营消息数量随日期筛选</x:v>
      </x:c>
      <x:c r="H211" s="9" t="str">
        <x:v>公会消息筛选数量</x:v>
      </x:c>
      <x:c r="I211" s="9" t="str">
        <x:v>1. 执行角色为公会长
2. 9月15日2条，9月16日1条发送记录</x:v>
      </x:c>
      <x:c r="J211" s="9" t="str">
        <x:v>1. 进入运营消息页
2. 选择自定义日期为9月15日</x:v>
      </x:c>
      <x:c r="K211" s="9" t="str">
        <x:v>记录数量显示2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来源（当前证据）：liveshow-proto/MainBasis/统一需求文档.md；位置：REQ-d94cf97e0735；行3034
2. 规则：BR-654017b2010fa722
3. 未动态验证</x:v>
      </x:c>
    </x:row>
    <x:row r="212" ht="85" customHeight="1">
      <x:c r="A212" s="10" t="n">
        <x:v>211</x:v>
      </x:c>
      <x:c r="B212" s="10" t="str">
        <x:v>GUILD-03-0055</x:v>
      </x:c>
      <x:c r="C212" s="10" t="str">
        <x:v>运营工具</x:v>
      </x:c>
      <x:c r="D212" s="10" t="str">
        <x:v>运营消息（公会长视角）</x:v>
      </x:c>
      <x:c r="E212" s="10" t="str">
        <x:v>功能需求</x:v>
      </x:c>
      <x:c r="F212" s="10" t="str">
        <x:v>P2</x:v>
      </x:c>
      <x:c r="G212" s="9" t="str">
        <x:v>验证运营消息列表进入对应详情</x:v>
      </x:c>
      <x:c r="H212" s="9" t="str">
        <x:v>公会消息详情入口</x:v>
      </x:c>
      <x:c r="I212" s="9" t="str">
        <x:v>1. 执行角色为公会长
2. 列表存在消息A和B</x:v>
      </x:c>
      <x:c r="J212" s="9" t="str">
        <x:v>1. 进入运营消息页
2. 点击消息B</x:v>
      </x:c>
      <x:c r="K212" s="9" t="str">
        <x:v>详情为消息B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来源（当前证据）：liveshow-proto/MainBasis/统一需求文档.md；位置：REQ-b89ae6ba9123；行3036
2. 规则：BR-2caa3b512a4af60d
3. 未动态验证</x:v>
      </x:c>
    </x:row>
    <x:row r="213" ht="85" customHeight="1">
      <x:c r="A213" s="10" t="n">
        <x:v>212</x:v>
      </x:c>
      <x:c r="B213" s="10" t="str">
        <x:v>GUILD-03-0056</x:v>
      </x:c>
      <x:c r="C213" s="10" t="str">
        <x:v>运营工具</x:v>
      </x:c>
      <x:c r="D213" s="10" t="str">
        <x:v>新建运营消息（公会长视角）</x:v>
      </x:c>
      <x:c r="E213" s="10" t="str">
        <x:v>逻辑校验</x:v>
      </x:c>
      <x:c r="F213" s="10" t="str">
        <x:v>P1</x:v>
      </x:c>
      <x:c r="G213" s="9" t="str">
        <x:v>验证全体主播消息确认显示接收人数</x:v>
      </x:c>
      <x:c r="H213" s="9" t="str">
        <x:v>公会消息确认人数</x:v>
      </x:c>
      <x:c r="I213" s="9" t="str">
        <x:v>1. 执行角色为公会长
2. 当前公会2名在会主播，1名已退会</x:v>
      </x:c>
      <x:c r="J213" s="9" t="str">
        <x:v>1. 进入新建运营消息页
2. 选择对象类型为全体主播
3. 填写文字内容为QA通知
4. 点击发送</x:v>
      </x:c>
      <x:c r="K213" s="9" t="str">
        <x:v>确认接收人数为2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来源（当前证据）：liveshow-proto/MainBasis/统一需求文档.md；位置：REQ-290b9184d089；行3043
2. 规则：BR-ddd0184f0fd8d592
3. 未动态验证</x:v>
      </x:c>
    </x:row>
    <x:row r="214" ht="85" customHeight="1">
      <x:c r="A214" s="10" t="n">
        <x:v>213</x:v>
      </x:c>
      <x:c r="B214" s="10" t="str">
        <x:v>GUILD-03-0057</x:v>
      </x:c>
      <x:c r="C214" s="10" t="str">
        <x:v>运营工具</x:v>
      </x:c>
      <x:c r="D214" s="10" t="str">
        <x:v>消息详情（公会长视角）</x:v>
      </x:c>
      <x:c r="E214" s="10" t="str">
        <x:v>功能需求</x:v>
      </x:c>
      <x:c r="F214" s="10" t="str">
        <x:v>P2</x:v>
      </x:c>
      <x:c r="G214" s="9" t="str">
        <x:v>验证有附图的公会消息详情</x:v>
      </x:c>
      <x:c r="H214" s="9" t="str">
        <x:v>公会消息附图显示</x:v>
      </x:c>
      <x:c r="I214" s="9" t="str">
        <x:v>1. 执行角色为公会长
2. 已发送消息附带图片A</x:v>
      </x:c>
      <x:c r="J214" s="9" t="str">
        <x:v>1. 进入消息详情页</x:v>
      </x:c>
      <x:c r="K214" s="9" t="str">
        <x:v>显示发送时图片A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来源（当前证据）：liveshow-proto/MainBasis/统一需求文档.md；位置：REQ-e882b7259ce5；行3081
2. 规则：BR-7ad7d987fb94f474
3. 未动态验证</x:v>
      </x:c>
    </x:row>
    <x:row r="215" ht="85" customHeight="1">
      <x:c r="A215" s="10" t="n">
        <x:v>214</x:v>
      </x:c>
      <x:c r="B215" s="10" t="str">
        <x:v>GUILD-03-0058</x:v>
      </x:c>
      <x:c r="C215" s="10" t="str">
        <x:v>运营工具</x:v>
      </x:c>
      <x:c r="D215" s="10" t="str">
        <x:v>消息详情（公会长视角）</x:v>
      </x:c>
      <x:c r="E215" s="10" t="str">
        <x:v>功能需求</x:v>
      </x:c>
      <x:c r="F215" s="10" t="str">
        <x:v>P2</x:v>
      </x:c>
      <x:c r="G215" s="9" t="str">
        <x:v>验证无附图的公会消息详情</x:v>
      </x:c>
      <x:c r="H215" s="9" t="str">
        <x:v>公会消息附图显示</x:v>
      </x:c>
      <x:c r="I215" s="9" t="str">
        <x:v>1. 执行角色为公会长
2. 已发送消息没有附图</x:v>
      </x:c>
      <x:c r="J215" s="9" t="str">
        <x:v>1. 进入消息详情页</x:v>
      </x:c>
      <x:c r="K215" s="9" t="str">
        <x:v>不显示附图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来源（当前证据）：liveshow-proto/MainBasis/统一需求文档.md；位置：REQ-e882b7259ce5；行3081
2. 规则：BR-298f52df848c8bb2
3. 未动态验证</x:v>
      </x:c>
    </x:row>
    <x:row r="216" ht="85" customHeight="1">
      <x:c r="A216" s="10" t="n">
        <x:v>215</x:v>
      </x:c>
      <x:c r="B216" s="10" t="str">
        <x:v>GUILD-03-0059</x:v>
      </x:c>
      <x:c r="C216" s="10" t="str">
        <x:v>运营工具</x:v>
      </x:c>
      <x:c r="D216" s="10" t="str">
        <x:v>运营账号（公会长视角）</x:v>
      </x:c>
      <x:c r="E216" s="10" t="str">
        <x:v>功能需求</x:v>
      </x:c>
      <x:c r="F216" s="10" t="str">
        <x:v>P2</x:v>
      </x:c>
      <x:c r="G216" s="9" t="str">
        <x:v>验证公会运营账号列表进入创建页</x:v>
      </x:c>
      <x:c r="H216" s="9" t="str">
        <x:v>运营账号创建入口</x:v>
      </x:c>
      <x:c r="I216" s="9" t="str">
        <x:v>1. 执行角色为公会长</x:v>
      </x:c>
      <x:c r="J216" s="9" t="str">
        <x:v>1. 进入运营账号页
2. 点击创建</x:v>
      </x:c>
      <x:c r="K216" s="9" t="str">
        <x:v>进入创建运营账号页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来源（当前证据）：liveshow-proto/MainBasis/统一需求文档.md；位置：REQ-25f5f780296f；行3112
2. 规则：BR-d436468fb2eccdc8
3. 未动态验证</x:v>
      </x:c>
    </x:row>
    <x:row r="217" ht="100" customHeight="1">
      <x:c r="A217" s="10" t="n">
        <x:v>216</x:v>
      </x:c>
      <x:c r="B217" s="10" t="str">
        <x:v>GUILD-03-0060</x:v>
      </x:c>
      <x:c r="C217" s="10" t="str">
        <x:v>运营工具</x:v>
      </x:c>
      <x:c r="D217" s="10" t="str">
        <x:v>运营账号（公会长视角）</x:v>
      </x:c>
      <x:c r="E217" s="10" t="str">
        <x:v>逻辑校验</x:v>
      </x:c>
      <x:c r="F217" s="10" t="str">
        <x:v>P1</x:v>
      </x:c>
      <x:c r="G217" s="9" t="str">
        <x:v>验证运营账号本月已发放按指定范围统计</x:v>
      </x:c>
      <x:c r="H217" s="9" t="str">
        <x:v>运营账号本月已发放</x:v>
      </x:c>
      <x:c r="I217" s="9" t="str">
        <x:v>1. 执行角色为公会长
2. 公会仅当前一个运营账号，本月成功发放300金币，上月500金币；本月成功送礼100金币、失败20金币，上月成功消费50金币</x:v>
      </x:c>
      <x:c r="J217" s="9" t="str">
        <x:v>1. 进入运营账号页</x:v>
      </x:c>
      <x:c r="K217" s="9" t="str">
        <x:v>本月已发放显示300金币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来源（当前证据）：liveshow-proto/MainBasis/统一需求文档.md；位置：REQ-5479c2595a0d；行3098
2. 规则：BR-9118ecf5b6dd2158
3. 未动态验证</x:v>
      </x:c>
    </x:row>
    <x:row r="218" ht="100" customHeight="1">
      <x:c r="A218" s="10" t="n">
        <x:v>217</x:v>
      </x:c>
      <x:c r="B218" s="10" t="str">
        <x:v>GUILD-03-0061</x:v>
      </x:c>
      <x:c r="C218" s="10" t="str">
        <x:v>运营工具</x:v>
      </x:c>
      <x:c r="D218" s="10" t="str">
        <x:v>运营账号主页（公会长视角）</x:v>
      </x:c>
      <x:c r="E218" s="10" t="str">
        <x:v>逻辑校验</x:v>
      </x:c>
      <x:c r="F218" s="10" t="str">
        <x:v>P1</x:v>
      </x:c>
      <x:c r="G218" s="9" t="str">
        <x:v>验证运营账号主页本月发放按指定范围统计</x:v>
      </x:c>
      <x:c r="H218" s="9" t="str">
        <x:v>运营账号主页本月发放</x:v>
      </x:c>
      <x:c r="I218" s="9" t="str">
        <x:v>1. 执行角色为公会长
2. 公会仅当前一个运营账号，本月成功发放300金币，上月500金币；本月成功送礼100金币、失败20金币，上月成功消费50金币</x:v>
      </x:c>
      <x:c r="J218" s="9" t="str">
        <x:v>1. 进入运营账号主页页</x:v>
      </x:c>
      <x:c r="K218" s="9" t="str">
        <x:v>本月发放显示300金币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来源（当前证据）：liveshow-proto/MainBasis/统一需求文档.md；位置：REQ-07cd82ef5b3a；行3159
2. 规则：BR-c9e040355af9d3ba
3. 未动态验证</x:v>
      </x:c>
    </x:row>
    <x:row r="219" ht="100" customHeight="1">
      <x:c r="A219" s="10" t="n">
        <x:v>218</x:v>
      </x:c>
      <x:c r="B219" s="10" t="str">
        <x:v>GUILD-03-0062</x:v>
      </x:c>
      <x:c r="C219" s="10" t="str">
        <x:v>运营工具</x:v>
      </x:c>
      <x:c r="D219" s="10" t="str">
        <x:v>运营账号（公会长视角）</x:v>
      </x:c>
      <x:c r="E219" s="10" t="str">
        <x:v>逻辑校验</x:v>
      </x:c>
      <x:c r="F219" s="10" t="str">
        <x:v>P1</x:v>
      </x:c>
      <x:c r="G219" s="9" t="str">
        <x:v>验证运营账号本月累计消费按指定范围统计</x:v>
      </x:c>
      <x:c r="H219" s="9" t="str">
        <x:v>运营账号本月累计消费</x:v>
      </x:c>
      <x:c r="I219" s="9" t="str">
        <x:v>1. 执行角色为公会长
2. 公会仅当前一个运营账号，本月成功发放300金币，上月500金币；本月成功送礼100金币、失败20金币，上月成功消费50金币</x:v>
      </x:c>
      <x:c r="J219" s="9" t="str">
        <x:v>1. 进入运营账号页</x:v>
      </x:c>
      <x:c r="K219" s="9" t="str">
        <x:v>本月累计消费显示100金币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来源（当前证据）：liveshow-proto/MainBasis/统一需求文档.md；位置：REQ-bf39582dcdf6；行3104
2. 规则：BR-3725c6aff878b592
3. 未动态验证</x:v>
      </x:c>
    </x:row>
    <x:row r="220" ht="100" customHeight="1">
      <x:c r="A220" s="10" t="n">
        <x:v>219</x:v>
      </x:c>
      <x:c r="B220" s="10" t="str">
        <x:v>GUILD-03-0063</x:v>
      </x:c>
      <x:c r="C220" s="10" t="str">
        <x:v>运营工具</x:v>
      </x:c>
      <x:c r="D220" s="10" t="str">
        <x:v>运营账号主页（公会长视角）</x:v>
      </x:c>
      <x:c r="E220" s="10" t="str">
        <x:v>逻辑校验</x:v>
      </x:c>
      <x:c r="F220" s="10" t="str">
        <x:v>P1</x:v>
      </x:c>
      <x:c r="G220" s="9" t="str">
        <x:v>验证运营账号主页本月消费按指定范围统计</x:v>
      </x:c>
      <x:c r="H220" s="9" t="str">
        <x:v>运营账号主页本月消费</x:v>
      </x:c>
      <x:c r="I220" s="9" t="str">
        <x:v>1. 执行角色为公会长
2. 公会仅当前一个运营账号，本月成功发放300金币，上月500金币；本月成功送礼100金币、失败20金币，上月成功消费50金币</x:v>
      </x:c>
      <x:c r="J220" s="9" t="str">
        <x:v>1. 进入运营账号主页页</x:v>
      </x:c>
      <x:c r="K220" s="9" t="str">
        <x:v>本月消费显示100金币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来源（当前证据）：liveshow-proto/MainBasis/统一需求文档.md；位置：REQ-30339bdad58d；行3161
2. 规则：BR-a689b14d02cabe72
3. 未动态验证</x:v>
      </x:c>
    </x:row>
    <x:row r="221" ht="100" customHeight="1">
      <x:c r="A221" s="10" t="n">
        <x:v>220</x:v>
      </x:c>
      <x:c r="B221" s="10" t="str">
        <x:v>GUILD-03-0064</x:v>
      </x:c>
      <x:c r="C221" s="10" t="str">
        <x:v>运营工具</x:v>
      </x:c>
      <x:c r="D221" s="10" t="str">
        <x:v>运营账号主页（公会长视角）</x:v>
      </x:c>
      <x:c r="E221" s="10" t="str">
        <x:v>逻辑校验</x:v>
      </x:c>
      <x:c r="F221" s="10" t="str">
        <x:v>P1</x:v>
      </x:c>
      <x:c r="G221" s="9" t="str">
        <x:v>验证运营账号主页累计消费按指定范围统计</x:v>
      </x:c>
      <x:c r="H221" s="9" t="str">
        <x:v>运营账号主页累计消费</x:v>
      </x:c>
      <x:c r="I221" s="9" t="str">
        <x:v>1. 执行角色为公会长
2. 公会仅当前一个运营账号，本月成功发放300金币，上月500金币；本月成功送礼100金币、失败20金币，上月成功消费50金币</x:v>
      </x:c>
      <x:c r="J221" s="9" t="str">
        <x:v>1. 进入运营账号主页页</x:v>
      </x:c>
      <x:c r="K221" s="9" t="str">
        <x:v>累计消费显示150金币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来源（当前证据）：liveshow-proto/MainBasis/统一需求文档.md；位置：REQ-3b632dcb59da；行3157
2. 规则：BR-8caf33f495a0e9d5
3. 未动态验证</x:v>
      </x:c>
    </x:row>
    <x:row r="222" ht="85" customHeight="1">
      <x:c r="A222" s="10" t="n">
        <x:v>221</x:v>
      </x:c>
      <x:c r="B222" s="10" t="str">
        <x:v>GUILD-03-0065</x:v>
      </x:c>
      <x:c r="C222" s="10" t="str">
        <x:v>运营工具</x:v>
      </x:c>
      <x:c r="D222" s="10" t="str">
        <x:v>运营账号主页（公会长视角）</x:v>
      </x:c>
      <x:c r="E222" s="10" t="str">
        <x:v>逻辑校验</x:v>
      </x:c>
      <x:c r="F222" s="10" t="str">
        <x:v>P1</x:v>
      </x:c>
      <x:c r="G222" s="9" t="str">
        <x:v>验证已建运营账号发放上限取双额度小值</x:v>
      </x:c>
      <x:c r="H222" s="9" t="str">
        <x:v>运营账号追加发放上限</x:v>
      </x:c>
      <x:c r="I222" s="9" t="str">
        <x:v>1. 执行角色为公会长
2. 账号剩余100金币，公会剩余50金币</x:v>
      </x:c>
      <x:c r="J222" s="9" t="str">
        <x:v>1. 进入运营账号主页页</x:v>
      </x:c>
      <x:c r="K222" s="9" t="str">
        <x:v>可发上限显示50金币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来源（当前证据）：liveshow-proto/MainBasis/统一需求文档.md；位置：REQ-027d2650847b；行3169
2. 规则：BR-f906cd038498e975
3. 未动态验证</x:v>
      </x:c>
    </x:row>
    <x:row r="223" ht="85" customHeight="1">
      <x:c r="A223" s="10" t="n">
        <x:v>222</x:v>
      </x:c>
      <x:c r="B223" s="10" t="str">
        <x:v>GUILD-03-0066</x:v>
      </x:c>
      <x:c r="C223" s="10" t="str">
        <x:v>运营工具</x:v>
      </x:c>
      <x:c r="D223" s="10" t="str">
        <x:v>选择运营账号（多选）（公会长视角）</x:v>
      </x:c>
      <x:c r="E223" s="10" t="str">
        <x:v>逻辑校验</x:v>
      </x:c>
      <x:c r="F223" s="10" t="str">
        <x:v>P1</x:v>
      </x:c>
      <x:c r="G223" s="9" t="str">
        <x:v>验证搜索后已选数量不等于搜索结果数</x:v>
      </x:c>
      <x:c r="H223" s="9" t="str">
        <x:v>运营账号已选统计</x:v>
      </x:c>
      <x:c r="I223" s="9" t="str">
        <x:v>1. 执行角色为公会长
2. 先选甲乙2人，搜索仅命中甲</x:v>
      </x:c>
      <x:c r="J223" s="9" t="str">
        <x:v>1. 进入选择运营账号（多选）页
2. 输入搜索框为甲</x:v>
      </x:c>
      <x:c r="K223" s="9" t="str">
        <x:v>已选数量仍为2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来源（当前证据）：liveshow-proto/MainBasis/统一需求文档.md；位置：REQ-0c9d662848b4；行3211
2. 规则：BR-e016f880d3e536b6
3. 未动态验证</x:v>
      </x:c>
    </x:row>
    <x:row r="224" ht="85" customHeight="1">
      <x:c r="A224" s="10" t="n">
        <x:v>223</x:v>
      </x:c>
      <x:c r="B224" s="10" t="str">
        <x:v>GUILD-03-0067</x:v>
      </x:c>
      <x:c r="C224" s="10" t="str">
        <x:v>运营工具</x:v>
      </x:c>
      <x:c r="D224" s="10" t="str">
        <x:v>选择运营账号（多选）（公会长视角）</x:v>
      </x:c>
      <x:c r="E224" s="10" t="str">
        <x:v>功能需求</x:v>
      </x:c>
      <x:c r="F224" s="10" t="str">
        <x:v>P2</x:v>
      </x:c>
      <x:c r="G224" s="9" t="str">
        <x:v>验证运营多选页支持登录账号搜索</x:v>
      </x:c>
      <x:c r="H224" s="9" t="str">
        <x:v>运营账号登录名检索</x:v>
      </x:c>
      <x:c r="I224" s="9" t="str">
        <x:v>1. 执行角色为公会长
2. 甲登录账号opsQA01，乙other01</x:v>
      </x:c>
      <x:c r="J224" s="9" t="str">
        <x:v>1. 进入选择运营账号（多选）页
2. 输入搜索框为opsQA</x:v>
      </x:c>
      <x:c r="K224" s="9" t="str">
        <x:v>结果仅显示甲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来源（当前证据）：liveshow-proto/MainBasis/统一需求文档.md；位置：REQ-ef0c0a831aa2；行3207
2. 规则：BR-add622c65078e213
3. 未动态验证</x:v>
      </x:c>
    </x:row>
    <x:row r="225" ht="85" customHeight="1">
      <x:c r="A225" s="10" t="n">
        <x:v>224</x:v>
      </x:c>
      <x:c r="B225" s="10" t="str">
        <x:v>GUILD-04-0018</x:v>
      </x:c>
      <x:c r="C225" s="10" t="str">
        <x:v>公会管理</x:v>
      </x:c>
      <x:c r="D225" s="10" t="str">
        <x:v>公会资料（公会长视角）</x:v>
      </x:c>
      <x:c r="E225" s="10" t="str">
        <x:v>功能需求</x:v>
      </x:c>
      <x:c r="F225" s="10" t="str">
        <x:v>P2</x:v>
      </x:c>
      <x:c r="G225" s="9" t="str">
        <x:v>验证公会Logo上传JPG</x:v>
      </x:c>
      <x:c r="H225" s="9" t="str">
        <x:v>公会Logo格式</x:v>
      </x:c>
      <x:c r="I225" s="9" t="str">
        <x:v>1. 执行角色为公会长
2. 本地存在有效qa.jpg图片</x:v>
      </x:c>
      <x:c r="J225" s="9" t="str">
        <x:v>1. 进入公会资料页
2. 上传公会Logo选择qa.jpg
3. 点击保存</x:v>
      </x:c>
      <x:c r="K225" s="9" t="str">
        <x:v>公会Logo更新为所选图片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来源（当前证据）：liveshow-proto/MainBasis/统一需求文档.md；位置：REQ-bdd6386bbb66；行3222
2. 规则：BR-5c81976124fdaa1c
3. 未动态验证</x:v>
      </x:c>
    </x:row>
    <x:row r="226" ht="85" customHeight="1">
      <x:c r="A226" s="10" t="n">
        <x:v>225</x:v>
      </x:c>
      <x:c r="B226" s="10" t="str">
        <x:v>GUILD-04-0019</x:v>
      </x:c>
      <x:c r="C226" s="10" t="str">
        <x:v>公会管理</x:v>
      </x:c>
      <x:c r="D226" s="10" t="str">
        <x:v>公会资料（公会长视角）</x:v>
      </x:c>
      <x:c r="E226" s="10" t="str">
        <x:v>功能需求</x:v>
      </x:c>
      <x:c r="F226" s="10" t="str">
        <x:v>P2</x:v>
      </x:c>
      <x:c r="G226" s="9" t="str">
        <x:v>验证公会Logo上传PNG</x:v>
      </x:c>
      <x:c r="H226" s="9" t="str">
        <x:v>公会Logo格式</x:v>
      </x:c>
      <x:c r="I226" s="9" t="str">
        <x:v>1. 执行角色为公会长
2. 本地存在有效qa.png图片</x:v>
      </x:c>
      <x:c r="J226" s="9" t="str">
        <x:v>1. 进入公会资料页
2. 上传公会Logo选择qa.png
3. 点击保存</x:v>
      </x:c>
      <x:c r="K226" s="9" t="str">
        <x:v>公会Logo更新为所选图片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来源（当前证据）：liveshow-proto/MainBasis/统一需求文档.md；位置：REQ-bdd6386bbb66；行3222
2. 规则：BR-9eb2152805343ea8
3. 未动态验证</x:v>
      </x:c>
    </x:row>
    <x:row r="227" ht="85" customHeight="1">
      <x:c r="A227" s="10" t="n">
        <x:v>226</x:v>
      </x:c>
      <x:c r="B227" s="10" t="str">
        <x:v>GUILD-04-0020</x:v>
      </x:c>
      <x:c r="C227" s="10" t="str">
        <x:v>公会管理</x:v>
      </x:c>
      <x:c r="D227" s="10" t="str">
        <x:v>公会资料（公会长视角）</x:v>
      </x:c>
      <x:c r="E227" s="10" t="str">
        <x:v>功能需求</x:v>
      </x:c>
      <x:c r="F227" s="10" t="str">
        <x:v>P2</x:v>
      </x:c>
      <x:c r="G227" s="9" t="str">
        <x:v>验证公会Logo上传WebP</x:v>
      </x:c>
      <x:c r="H227" s="9" t="str">
        <x:v>公会Logo格式</x:v>
      </x:c>
      <x:c r="I227" s="9" t="str">
        <x:v>1. 执行角色为公会长
2. 本地存在有效qa.webp图片</x:v>
      </x:c>
      <x:c r="J227" s="9" t="str">
        <x:v>1. 进入公会资料页
2. 上传公会Logo选择qa.webp
3. 点击保存</x:v>
      </x:c>
      <x:c r="K227" s="9" t="str">
        <x:v>公会Logo更新为所选图片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来源（当前证据）：liveshow-proto/MainBasis/统一需求文档.md；位置：REQ-bdd6386bbb66；行3222
2. 规则：BR-2dd4526ed213a2d5
3. 未动态验证</x:v>
      </x:c>
    </x:row>
    <x:row r="228" ht="100" customHeight="1">
      <x:c r="A228" s="10" t="n">
        <x:v>227</x:v>
      </x:c>
      <x:c r="B228" s="10" t="str">
        <x:v>GUILD-04-0021</x:v>
      </x:c>
      <x:c r="C228" s="10" t="str">
        <x:v>公会管理</x:v>
      </x:c>
      <x:c r="D228" s="10" t="str">
        <x:v>修改密码（公会长视角）</x:v>
      </x:c>
      <x:c r="E228" s="10" t="str">
        <x:v>逻辑校验</x:v>
      </x:c>
      <x:c r="F228" s="10" t="str">
        <x:v>P1</x:v>
      </x:c>
      <x:c r="G228" s="9" t="str">
        <x:v>验证公会改密确认密码必须一致</x:v>
      </x:c>
      <x:c r="H228" s="9" t="str">
        <x:v>公会确认密码匹配</x:v>
      </x:c>
      <x:c r="I228" s="9" t="str">
        <x:v>1. 执行角色为公会长
2. 旧密码有效，新密码QaNew!2026满足长度</x:v>
      </x:c>
      <x:c r="J228" s="9" t="str">
        <x:v>1. 进入修改密码页
2. 填写当前密码为原正确密码
3. 填写新密码为QaNew!2026
4. 填写确认新密码为QaOther!2026
5. 点击保存</x:v>
      </x:c>
      <x:c r="K228" s="9" t="str">
        <x:v>不能保存两次不一致的新密码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来源（当前证据）：liveshow-proto/MainBasis/统一需求文档.md；位置：REQ-b84a8280b95e；行3254
2. 规则：BR-274eba877bdcc3c0
3. 未动态验证</x:v>
      </x:c>
    </x:row>
    <x:row r="229" ht="85" customHeight="1">
      <x:c r="A229" s="10" t="n">
        <x:v>228</x:v>
      </x:c>
      <x:c r="B229" s="10" t="str">
        <x:v>GUILD-04-0022</x:v>
      </x:c>
      <x:c r="C229" s="10" t="str">
        <x:v>公会管理</x:v>
      </x:c>
      <x:c r="D229" s="10" t="str">
        <x:v>修改密码（公会长视角）</x:v>
      </x:c>
      <x:c r="E229" s="10" t="str">
        <x:v>逻辑校验</x:v>
      </x:c>
      <x:c r="F229" s="10" t="str">
        <x:v>P1</x:v>
      </x:c>
      <x:c r="G229" s="9" t="str">
        <x:v>验证公会改密当前密码不能为空</x:v>
      </x:c>
      <x:c r="H229" s="9" t="str">
        <x:v>公会当前密码必填</x:v>
      </x:c>
      <x:c r="I229" s="9" t="str">
        <x:v>1. 执行角色为公会长
2. 其他密码字段完整有效</x:v>
      </x:c>
      <x:c r="J229" s="9" t="str">
        <x:v>1. 进入修改密码页
2. 清空当前密码
3. 点击保存</x:v>
      </x:c>
      <x:c r="K229" s="9" t="str">
        <x:v>不能提交缺少必填项的改密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来源（当前证据）：liveshow-proto/MainBasis/统一需求文档.md；位置：REQ-8ca419878fbb；行3250
2. 规则：BR-cd202cd20423a01f
3. 未动态验证</x:v>
      </x:c>
    </x:row>
    <x:row r="230" ht="85" customHeight="1">
      <x:c r="A230" s="10" t="n">
        <x:v>229</x:v>
      </x:c>
      <x:c r="B230" s="10" t="str">
        <x:v>GUILD-04-0023</x:v>
      </x:c>
      <x:c r="C230" s="10" t="str">
        <x:v>公会管理</x:v>
      </x:c>
      <x:c r="D230" s="10" t="str">
        <x:v>修改密码（公会长视角）</x:v>
      </x:c>
      <x:c r="E230" s="10" t="str">
        <x:v>逻辑校验</x:v>
      </x:c>
      <x:c r="F230" s="10" t="str">
        <x:v>P1</x:v>
      </x:c>
      <x:c r="G230" s="9" t="str">
        <x:v>验证公会改密确认新密码不能为空</x:v>
      </x:c>
      <x:c r="H230" s="9" t="str">
        <x:v>公会确认新密码必填</x:v>
      </x:c>
      <x:c r="I230" s="9" t="str">
        <x:v>1. 执行角色为公会长
2. 其他密码字段完整有效</x:v>
      </x:c>
      <x:c r="J230" s="9" t="str">
        <x:v>1. 进入修改密码页
2. 清空确认新密码
3. 点击保存</x:v>
      </x:c>
      <x:c r="K230" s="9" t="str">
        <x:v>不能提交缺少必填项的改密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来源（当前证据）：liveshow-proto/MainBasis/统一需求文档.md；位置：REQ-b84a8280b95e；行3254
2. 规则：BR-0caa446649b3614e
3. 未动态验证</x:v>
      </x:c>
    </x:row>
    <x:row r="231" ht="100" customHeight="1">
      <x:c r="A231" s="10" t="n">
        <x:v>230</x:v>
      </x:c>
      <x:c r="B231" s="10" t="str">
        <x:v>GUILD-02-0073</x:v>
      </x:c>
      <x:c r="C231" s="10" t="str">
        <x:v>主播管理</x:v>
      </x:c>
      <x:c r="D231" s="10" t="str">
        <x:v>主播业绩（公会长视角）</x:v>
      </x:c>
      <x:c r="E231" s="10" t="str">
        <x:v>功能需求</x:v>
      </x:c>
      <x:c r="F231" s="10" t="str">
        <x:v>P2</x:v>
      </x:c>
      <x:c r="G231" s="9" t="str">
        <x:v>验证主播业绩默认日期周期</x:v>
      </x:c>
      <x:c r="H231" s="9" t="str">
        <x:v>主播业绩默认周期</x:v>
      </x:c>
      <x:c r="I231" s="9" t="str">
        <x:v>1. 执行角色为公会长</x:v>
      </x:c>
      <x:c r="J231" s="9" t="str">
        <x:v>1. 进入主播业绩页</x:v>
      </x:c>
      <x:c r="K231" s="9" t="str">
        <x:v>默认周期为今日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来源（当前证据）：liveshow-proto/MainBasis/统一需求文档.md；位置：REQ-8e961a9af293；行2905、REQ-37610426be25；行2919
2. 规则：BR-9b13862e93c40e5f
3. 未动态验证</x:v>
      </x:c>
    </x:row>
    <x:row r="232" ht="85" customHeight="1">
      <x:c r="A232" s="10" t="n">
        <x:v>231</x:v>
      </x:c>
      <x:c r="B232" s="10" t="str">
        <x:v>GUILD-02-0074</x:v>
      </x:c>
      <x:c r="C232" s="10" t="str">
        <x:v>主播管理</x:v>
      </x:c>
      <x:c r="D232" s="10" t="str">
        <x:v>主播业绩（公会长视角）</x:v>
      </x:c>
      <x:c r="E232" s="10" t="str">
        <x:v>逻辑校验</x:v>
      </x:c>
      <x:c r="F232" s="10" t="str">
        <x:v>P1</x:v>
      </x:c>
      <x:c r="G232" s="9" t="str">
        <x:v>验证主播业绩包含开始日记录</x:v>
      </x:c>
      <x:c r="H232" s="9" t="str">
        <x:v>主播业绩日期开始日边界</x:v>
      </x:c>
      <x:c r="I232" s="9" t="str">
        <x:v>1. 执行角色为公会长
2. 日期范围9月1日至9月15日，开始日存在业务记录A，范围外存在B</x:v>
      </x:c>
      <x:c r="J232" s="9" t="str">
        <x:v>1. 进入主播业绩页
2. 选择自定义日期为9月1日至9月15日</x:v>
      </x:c>
      <x:c r="K232" s="9" t="str">
        <x:v>筛选结果包含记录A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来源（当前证据）：liveshow-proto/MainBasis/统一需求文档.md；位置：REQ-11ec1831d720；行2903
2. 规则：BR-4cac3d9addfa15da
3. 未动态验证</x:v>
      </x:c>
    </x:row>
    <x:row r="233" ht="85" customHeight="1">
      <x:c r="A233" s="10" t="n">
        <x:v>232</x:v>
      </x:c>
      <x:c r="B233" s="10" t="str">
        <x:v>GUILD-02-0075</x:v>
      </x:c>
      <x:c r="C233" s="10" t="str">
        <x:v>主播管理</x:v>
      </x:c>
      <x:c r="D233" s="10" t="str">
        <x:v>主播业绩（公会长视角）</x:v>
      </x:c>
      <x:c r="E233" s="10" t="str">
        <x:v>逻辑校验</x:v>
      </x:c>
      <x:c r="F233" s="10" t="str">
        <x:v>P1</x:v>
      </x:c>
      <x:c r="G233" s="9" t="str">
        <x:v>验证主播业绩包含结束日记录</x:v>
      </x:c>
      <x:c r="H233" s="9" t="str">
        <x:v>主播业绩日期结束日边界</x:v>
      </x:c>
      <x:c r="I233" s="9" t="str">
        <x:v>1. 执行角色为公会长
2. 日期范围9月1日至9月15日，结束日存在业务记录A，范围外存在B</x:v>
      </x:c>
      <x:c r="J233" s="9" t="str">
        <x:v>1. 进入主播业绩页
2. 选择自定义日期为9月1日至9月15日</x:v>
      </x:c>
      <x:c r="K233" s="9" t="str">
        <x:v>筛选结果包含记录A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来源（当前证据）：liveshow-proto/MainBasis/统一需求文档.md；位置：REQ-11ec1831d720；行2903
2. 规则：BR-fa0f4aebcff18da3
3. 未动态验证</x:v>
      </x:c>
    </x:row>
    <x:row r="234" ht="85" customHeight="1">
      <x:c r="A234" s="10" t="n">
        <x:v>233</x:v>
      </x:c>
      <x:c r="B234" s="10" t="str">
        <x:v>GUILD-05-0037</x:v>
      </x:c>
      <x:c r="C234" s="10" t="str">
        <x:v>数据与收益</x:v>
      </x:c>
      <x:c r="D234" s="10" t="str">
        <x:v>直播记录（公会长视角）</x:v>
      </x:c>
      <x:c r="E234" s="10" t="str">
        <x:v>功能需求</x:v>
      </x:c>
      <x:c r="F234" s="10" t="str">
        <x:v>P2</x:v>
      </x:c>
      <x:c r="G234" s="9" t="str">
        <x:v>验证直播记录默认日期周期</x:v>
      </x:c>
      <x:c r="H234" s="9" t="str">
        <x:v>直播记录默认周期</x:v>
      </x:c>
      <x:c r="I234" s="9" t="str">
        <x:v>1. 执行角色为公会长</x:v>
      </x:c>
      <x:c r="J234" s="9" t="str">
        <x:v>1. 进入直播记录页</x:v>
      </x:c>
      <x:c r="K234" s="9" t="str">
        <x:v>默认周期为今日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来源（当前证据）：liveshow-proto/MainBasis/统一需求文档.md；位置：REQ-b5fab014efd8；行3265
2. 规则：BR-18cb4b1e1587b684
3. 未动态验证</x:v>
      </x:c>
    </x:row>
    <x:row r="235" ht="85" customHeight="1">
      <x:c r="A235" s="10" t="n">
        <x:v>234</x:v>
      </x:c>
      <x:c r="B235" s="10" t="str">
        <x:v>GUILD-05-0038</x:v>
      </x:c>
      <x:c r="C235" s="10" t="str">
        <x:v>数据与收益</x:v>
      </x:c>
      <x:c r="D235" s="10" t="str">
        <x:v>直播记录（公会长视角）</x:v>
      </x:c>
      <x:c r="E235" s="10" t="str">
        <x:v>逻辑校验</x:v>
      </x:c>
      <x:c r="F235" s="10" t="str">
        <x:v>P1</x:v>
      </x:c>
      <x:c r="G235" s="9" t="str">
        <x:v>验证直播记录包含开始日记录</x:v>
      </x:c>
      <x:c r="H235" s="9" t="str">
        <x:v>直播记录日期开始日边界</x:v>
      </x:c>
      <x:c r="I235" s="9" t="str">
        <x:v>1. 执行角色为公会长
2. 日期范围9月1日至9月15日，开始日存在业务记录A，范围外存在B</x:v>
      </x:c>
      <x:c r="J235" s="9" t="str">
        <x:v>1. 进入直播记录页
2. 选择自定义日期为9月1日至9月15日</x:v>
      </x:c>
      <x:c r="K235" s="9" t="str">
        <x:v>筛选结果包含记录A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来源（当前证据）：liveshow-proto/MainBasis/统一需求文档.md；位置：REQ-1be57bba4047；行3263
2. 规则：BR-99ae7ee5cb82357b
3. 未动态验证</x:v>
      </x:c>
    </x:row>
    <x:row r="236" ht="85" customHeight="1">
      <x:c r="A236" s="10" t="n">
        <x:v>235</x:v>
      </x:c>
      <x:c r="B236" s="10" t="str">
        <x:v>GUILD-05-0039</x:v>
      </x:c>
      <x:c r="C236" s="10" t="str">
        <x:v>数据与收益</x:v>
      </x:c>
      <x:c r="D236" s="10" t="str">
        <x:v>直播记录（公会长视角）</x:v>
      </x:c>
      <x:c r="E236" s="10" t="str">
        <x:v>逻辑校验</x:v>
      </x:c>
      <x:c r="F236" s="10" t="str">
        <x:v>P1</x:v>
      </x:c>
      <x:c r="G236" s="9" t="str">
        <x:v>验证直播记录包含结束日记录</x:v>
      </x:c>
      <x:c r="H236" s="9" t="str">
        <x:v>直播记录日期结束日边界</x:v>
      </x:c>
      <x:c r="I236" s="9" t="str">
        <x:v>1. 执行角色为公会长
2. 日期范围9月1日至9月15日，结束日存在业务记录A，范围外存在B</x:v>
      </x:c>
      <x:c r="J236" s="9" t="str">
        <x:v>1. 进入直播记录页
2. 选择自定义日期为9月1日至9月15日</x:v>
      </x:c>
      <x:c r="K236" s="9" t="str">
        <x:v>筛选结果包含记录A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来源（当前证据）：liveshow-proto/MainBasis/统一需求文档.md；位置：REQ-1be57bba4047；行3263
2. 规则：BR-c83b30a2c3713b0b
3. 未动态验证</x:v>
      </x:c>
    </x:row>
    <x:row r="237" ht="85" customHeight="1">
      <x:c r="A237" s="10" t="n">
        <x:v>236</x:v>
      </x:c>
      <x:c r="B237" s="10" t="str">
        <x:v>GUILD-03-0068</x:v>
      </x:c>
      <x:c r="C237" s="10" t="str">
        <x:v>运营工具</x:v>
      </x:c>
      <x:c r="D237" s="10" t="str">
        <x:v>运营消息（公会长视角）</x:v>
      </x:c>
      <x:c r="E237" s="10" t="str">
        <x:v>功能需求</x:v>
      </x:c>
      <x:c r="F237" s="10" t="str">
        <x:v>P2</x:v>
      </x:c>
      <x:c r="G237" s="9" t="str">
        <x:v>验证运营消息默认日期周期</x:v>
      </x:c>
      <x:c r="H237" s="9" t="str">
        <x:v>运营消息默认周期</x:v>
      </x:c>
      <x:c r="I237" s="9" t="str">
        <x:v>1. 执行角色为公会长</x:v>
      </x:c>
      <x:c r="J237" s="9" t="str">
        <x:v>1. 进入运营消息页</x:v>
      </x:c>
      <x:c r="K237" s="9" t="str">
        <x:v>默认周期为本月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来源（当前证据）：liveshow-proto/MainBasis/统一需求文档.md；位置：REQ-84fcbbb4bde2；行3026
2. 规则：BR-500eefe0ac82ed4b
3. 未动态验证</x:v>
      </x:c>
    </x:row>
    <x:row r="238" ht="85" customHeight="1">
      <x:c r="A238" s="10" t="n">
        <x:v>237</x:v>
      </x:c>
      <x:c r="B238" s="10" t="str">
        <x:v>GUILD-03-0069</x:v>
      </x:c>
      <x:c r="C238" s="10" t="str">
        <x:v>运营工具</x:v>
      </x:c>
      <x:c r="D238" s="10" t="str">
        <x:v>运营消息（公会长视角）</x:v>
      </x:c>
      <x:c r="E238" s="10" t="str">
        <x:v>逻辑校验</x:v>
      </x:c>
      <x:c r="F238" s="10" t="str">
        <x:v>P1</x:v>
      </x:c>
      <x:c r="G238" s="9" t="str">
        <x:v>验证运营消息包含开始日记录</x:v>
      </x:c>
      <x:c r="H238" s="9" t="str">
        <x:v>运营消息日期开始日边界</x:v>
      </x:c>
      <x:c r="I238" s="9" t="str">
        <x:v>1. 执行角色为公会长
2. 日期范围9月1日至9月15日，开始日存在业务记录A，范围外存在B</x:v>
      </x:c>
      <x:c r="J238" s="9" t="str">
        <x:v>1. 进入运营消息页
2. 选择自定义日期为9月1日至9月15日</x:v>
      </x:c>
      <x:c r="K238" s="9" t="str">
        <x:v>筛选结果包含记录A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来源（当前证据）：liveshow-proto/MainBasis/统一需求文档.md；位置：REQ-47c155de9784；行3024
2. 规则：BR-b71fbb1dd5c7bba8
3. 未动态验证</x:v>
      </x:c>
    </x:row>
    <x:row r="239" ht="85" customHeight="1">
      <x:c r="A239" s="10" t="n">
        <x:v>238</x:v>
      </x:c>
      <x:c r="B239" s="10" t="str">
        <x:v>GUILD-03-0070</x:v>
      </x:c>
      <x:c r="C239" s="10" t="str">
        <x:v>运营工具</x:v>
      </x:c>
      <x:c r="D239" s="10" t="str">
        <x:v>运营消息（公会长视角）</x:v>
      </x:c>
      <x:c r="E239" s="10" t="str">
        <x:v>逻辑校验</x:v>
      </x:c>
      <x:c r="F239" s="10" t="str">
        <x:v>P1</x:v>
      </x:c>
      <x:c r="G239" s="9" t="str">
        <x:v>验证运营消息包含结束日记录</x:v>
      </x:c>
      <x:c r="H239" s="9" t="str">
        <x:v>运营消息日期结束日边界</x:v>
      </x:c>
      <x:c r="I239" s="9" t="str">
        <x:v>1. 执行角色为公会长
2. 日期范围9月1日至9月15日，结束日存在业务记录A，范围外存在B</x:v>
      </x:c>
      <x:c r="J239" s="9" t="str">
        <x:v>1. 进入运营消息页
2. 选择自定义日期为9月1日至9月15日</x:v>
      </x:c>
      <x:c r="K239" s="9" t="str">
        <x:v>筛选结果包含记录A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来源（当前证据）：liveshow-proto/MainBasis/统一需求文档.md；位置：REQ-47c155de9784；行3024
2. 规则：BR-97da55f2b29c71e8
3. 未动态验证</x:v>
      </x:c>
    </x:row>
    <x:row r="240" ht="85" customHeight="1">
      <x:c r="A240" s="10" t="n">
        <x:v>239</x:v>
      </x:c>
      <x:c r="B240" s="10" t="str">
        <x:v>GUILD-03-0071</x:v>
      </x:c>
      <x:c r="C240" s="10" t="str">
        <x:v>运营工具</x:v>
      </x:c>
      <x:c r="D240" s="10" t="str">
        <x:v>运营账号主页（公会长视角）</x:v>
      </x:c>
      <x:c r="E240" s="10" t="str">
        <x:v>逻辑校验</x:v>
      </x:c>
      <x:c r="F240" s="10" t="str">
        <x:v>P1</x:v>
      </x:c>
      <x:c r="G240" s="9" t="str">
        <x:v>验证运营账号主页包含开始日记录</x:v>
      </x:c>
      <x:c r="H240" s="9" t="str">
        <x:v>运营账号主页日期开始日边界</x:v>
      </x:c>
      <x:c r="I240" s="9" t="str">
        <x:v>1. 执行角色为公会长
2. 日期范围9月1日至9月15日，开始日存在业务记录A，范围外存在B</x:v>
      </x:c>
      <x:c r="J240" s="9" t="str">
        <x:v>1. 进入运营账号主页页
2. 选择自定义日期为9月1日至9月15日</x:v>
      </x:c>
      <x:c r="K240" s="9" t="str">
        <x:v>筛选结果包含记录A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来源（当前证据）：liveshow-proto/MainBasis/统一需求文档.md；位置：REQ-6e7a5925d5b4；行3145
2. 规则：BR-6539035aa521b3b2
3. 未动态验证</x:v>
      </x:c>
    </x:row>
    <x:row r="241" ht="85" customHeight="1">
      <x:c r="A241" s="10" t="n">
        <x:v>240</x:v>
      </x:c>
      <x:c r="B241" s="10" t="str">
        <x:v>GUILD-03-0072</x:v>
      </x:c>
      <x:c r="C241" s="10" t="str">
        <x:v>运营工具</x:v>
      </x:c>
      <x:c r="D241" s="10" t="str">
        <x:v>运营账号主页（公会长视角）</x:v>
      </x:c>
      <x:c r="E241" s="10" t="str">
        <x:v>逻辑校验</x:v>
      </x:c>
      <x:c r="F241" s="10" t="str">
        <x:v>P1</x:v>
      </x:c>
      <x:c r="G241" s="9" t="str">
        <x:v>验证运营账号主页包含结束日记录</x:v>
      </x:c>
      <x:c r="H241" s="9" t="str">
        <x:v>运营账号主页日期结束日边界</x:v>
      </x:c>
      <x:c r="I241" s="9" t="str">
        <x:v>1. 执行角色为公会长
2. 日期范围9月1日至9月15日，结束日存在业务记录A，范围外存在B</x:v>
      </x:c>
      <x:c r="J241" s="9" t="str">
        <x:v>1. 进入运营账号主页页
2. 选择自定义日期为9月1日至9月15日</x:v>
      </x:c>
      <x:c r="K241" s="9" t="str">
        <x:v>筛选结果包含记录A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来源（当前证据）：liveshow-proto/MainBasis/统一需求文档.md；位置：REQ-6e7a5925d5b4；行3145
2. 规则：BR-e537c392cdd4b4ff
3. 未动态验证</x:v>
      </x:c>
    </x:row>
    <x:row r="242" ht="85" customHeight="1">
      <x:c r="A242" s="10" t="n">
        <x:v>241</x:v>
      </x:c>
      <x:c r="B242" s="10" t="str">
        <x:v>GUILD-05-0040</x:v>
      </x:c>
      <x:c r="C242" s="10" t="str">
        <x:v>数据与收益</x:v>
      </x:c>
      <x:c r="D242" s="10" t="str">
        <x:v>主播分成记录（公会长视角）</x:v>
      </x:c>
      <x:c r="E242" s="10" t="str">
        <x:v>功能需求</x:v>
      </x:c>
      <x:c r="F242" s="10" t="str">
        <x:v>P2</x:v>
      </x:c>
      <x:c r="G242" s="9" t="str">
        <x:v>验证主播分成记录默认日期周期</x:v>
      </x:c>
      <x:c r="H242" s="9" t="str">
        <x:v>主播分成记录默认周期</x:v>
      </x:c>
      <x:c r="I242" s="9" t="str">
        <x:v>1. 执行角色为公会长</x:v>
      </x:c>
      <x:c r="J242" s="9" t="str">
        <x:v>1. 进入主播分成记录页</x:v>
      </x:c>
      <x:c r="K242" s="9" t="str">
        <x:v>默认周期为本月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来源（当前证据）：liveshow-proto/MainBasis/统一需求文档.md；位置：REQ-e9c530534e0b；行3438
2. 规则：BR-90db05c0e0b6aee0
3. 未动态验证</x:v>
      </x:c>
    </x:row>
    <x:row r="243" ht="85" customHeight="1">
      <x:c r="A243" s="10" t="n">
        <x:v>242</x:v>
      </x:c>
      <x:c r="B243" s="10" t="str">
        <x:v>GUILD-05-0041</x:v>
      </x:c>
      <x:c r="C243" s="10" t="str">
        <x:v>数据与收益</x:v>
      </x:c>
      <x:c r="D243" s="10" t="str">
        <x:v>主播分成记录（公会长视角）</x:v>
      </x:c>
      <x:c r="E243" s="10" t="str">
        <x:v>逻辑校验</x:v>
      </x:c>
      <x:c r="F243" s="10" t="str">
        <x:v>P1</x:v>
      </x:c>
      <x:c r="G243" s="9" t="str">
        <x:v>验证主播分成记录包含开始日记录</x:v>
      </x:c>
      <x:c r="H243" s="9" t="str">
        <x:v>主播分成记录日期开始日边界</x:v>
      </x:c>
      <x:c r="I243" s="9" t="str">
        <x:v>1. 执行角色为公会长
2. 日期范围9月1日至9月15日，开始日存在业务记录A，范围外存在B</x:v>
      </x:c>
      <x:c r="J243" s="9" t="str">
        <x:v>1. 进入主播分成记录页
2. 选择自定义日期为9月1日至9月15日</x:v>
      </x:c>
      <x:c r="K243" s="9" t="str">
        <x:v>筛选结果包含记录A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来源（当前证据）：liveshow-proto/MainBasis/统一需求文档.md；位置：REQ-7f9821d8e4a3；行3436
2. 规则：BR-9f3c36806db91fc7
3. 未动态验证</x:v>
      </x:c>
    </x:row>
    <x:row r="244" ht="85" customHeight="1">
      <x:c r="A244" s="10" t="n">
        <x:v>243</x:v>
      </x:c>
      <x:c r="B244" s="10" t="str">
        <x:v>GUILD-05-0042</x:v>
      </x:c>
      <x:c r="C244" s="10" t="str">
        <x:v>数据与收益</x:v>
      </x:c>
      <x:c r="D244" s="10" t="str">
        <x:v>主播分成记录（公会长视角）</x:v>
      </x:c>
      <x:c r="E244" s="10" t="str">
        <x:v>逻辑校验</x:v>
      </x:c>
      <x:c r="F244" s="10" t="str">
        <x:v>P1</x:v>
      </x:c>
      <x:c r="G244" s="9" t="str">
        <x:v>验证主播分成记录包含结束日记录</x:v>
      </x:c>
      <x:c r="H244" s="9" t="str">
        <x:v>主播分成记录日期结束日边界</x:v>
      </x:c>
      <x:c r="I244" s="9" t="str">
        <x:v>1. 执行角色为公会长
2. 日期范围9月1日至9月15日，结束日存在业务记录A，范围外存在B</x:v>
      </x:c>
      <x:c r="J244" s="9" t="str">
        <x:v>1. 进入主播分成记录页
2. 选择自定义日期为9月1日至9月15日</x:v>
      </x:c>
      <x:c r="K244" s="9" t="str">
        <x:v>筛选结果包含记录A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来源（当前证据）：liveshow-proto/MainBasis/统一需求文档.md；位置：REQ-7f9821d8e4a3；行3436
2. 规则：BR-b7f75317c846c568
3. 未动态验证</x:v>
      </x:c>
    </x:row>
    <x:row r="245" ht="85" customHeight="1">
      <x:c r="A245" s="10" t="n">
        <x:v>244</x:v>
      </x:c>
      <x:c r="B245" s="10" t="str">
        <x:v>GUILD-05-0043</x:v>
      </x:c>
      <x:c r="C245" s="10" t="str">
        <x:v>数据与收益</x:v>
      </x:c>
      <x:c r="D245" s="10" t="str">
        <x:v>直播记录（公会长视角）</x:v>
      </x:c>
      <x:c r="E245" s="10" t="str">
        <x:v>逻辑校验</x:v>
      </x:c>
      <x:c r="F245" s="10" t="str">
        <x:v>P1</x:v>
      </x:c>
      <x:c r="G245" s="9" t="str">
        <x:v>验证直播记录汇总开播人数去重</x:v>
      </x:c>
      <x:c r="H245" s="9" t="str">
        <x:v>公会直播记录开播人数</x:v>
      </x:c>
      <x:c r="I245" s="9" t="str">
        <x:v>1. 执行角色为公会长
2. 甲完成2场乙完成1场，范围已包含</x:v>
      </x:c>
      <x:c r="J245" s="9" t="str">
        <x:v>1. 进入直播记录页</x:v>
      </x:c>
      <x:c r="K245" s="9" t="str">
        <x:v>开播人数显示2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来源（当前证据）：liveshow-proto/MainBasis/统一需求文档.md；位置：REQ-8fc59d945f54；行3285
2. 规则：BR-ed837253a6324a66
3. 未动态验证</x:v>
      </x:c>
    </x:row>
    <x:row r="246" ht="85" customHeight="1">
      <x:c r="A246" s="10" t="n">
        <x:v>245</x:v>
      </x:c>
      <x:c r="B246" s="10" t="str">
        <x:v>GUILD-05-0044</x:v>
      </x:c>
      <x:c r="C246" s="10" t="str">
        <x:v>数据与收益</x:v>
      </x:c>
      <x:c r="D246" s="10" t="str">
        <x:v>直播记录（公会长视角）</x:v>
      </x:c>
      <x:c r="E246" s="10" t="str">
        <x:v>逻辑校验</x:v>
      </x:c>
      <x:c r="F246" s="10" t="str">
        <x:v>P1</x:v>
      </x:c>
      <x:c r="G246" s="9" t="str">
        <x:v>验证直播记录场次数包含每次开播</x:v>
      </x:c>
      <x:c r="H246" s="9" t="str">
        <x:v>公会直播记录场次数</x:v>
      </x:c>
      <x:c r="I246" s="9" t="str">
        <x:v>1. 执行角色为公会长
2. 甲创建2场，乙创建1场，其中一场正在直播</x:v>
      </x:c>
      <x:c r="J246" s="9" t="str">
        <x:v>1. 进入直播记录页</x:v>
      </x:c>
      <x:c r="K246" s="9" t="str">
        <x:v>直播场次显示3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来源（当前证据）：liveshow-proto/MainBasis/统一需求文档.md；位置：REQ-0c21593960fd；行3287
2. 规则：BR-b9b816ef1ffef938
3. 未动态验证</x:v>
      </x:c>
    </x:row>
    <x:row r="247" ht="85" customHeight="1">
      <x:c r="A247" s="10" t="n">
        <x:v>246</x:v>
      </x:c>
      <x:c r="B247" s="10" t="str">
        <x:v>GUILD-05-0045</x:v>
      </x:c>
      <x:c r="C247" s="10" t="str">
        <x:v>数据与收益</x:v>
      </x:c>
      <x:c r="D247" s="10" t="str">
        <x:v>直播场次详情（公会长视角）</x:v>
      </x:c>
      <x:c r="E247" s="10" t="str">
        <x:v>功能需求</x:v>
      </x:c>
      <x:c r="F247" s="10" t="str">
        <x:v>P2</x:v>
      </x:c>
      <x:c r="G247" s="9" t="str">
        <x:v>验证赠礼详情不显示未定义用户等级</x:v>
      </x:c>
      <x:c r="H247" s="9" t="str">
        <x:v>公会赠礼用户资料范围</x:v>
      </x:c>
      <x:c r="I247" s="9" t="str">
        <x:v>1. 执行角色为公会长
2. 场次有真实用户送礼记录</x:v>
      </x:c>
      <x:c r="J247" s="9" t="str">
        <x:v>1. 进入直播场次详情页
2. 点击送礼记录</x:v>
      </x:c>
      <x:c r="K247" s="9" t="str">
        <x:v>详情不显示用户等级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来源（当前证据）：liveshow-proto/MainBasis/统一需求文档.md；位置：REQ-93d5b7f8688f；行3322
2. 规则：BR-dad9088c207f5e62
3. 未动态验证</x:v>
      </x:c>
    </x:row>
    <x:row r="248" ht="85" customHeight="1">
      <x:c r="A248" s="10" t="n">
        <x:v>247</x:v>
      </x:c>
      <x:c r="B248" s="10" t="str">
        <x:v>GUILD-05-0046</x:v>
      </x:c>
      <x:c r="C248" s="10" t="str">
        <x:v>数据与收益</x:v>
      </x:c>
      <x:c r="D248" s="10" t="str">
        <x:v>违规记录（公会长视角）</x:v>
      </x:c>
      <x:c r="E248" s="10" t="str">
        <x:v>功能需求</x:v>
      </x:c>
      <x:c r="F248" s="10" t="str">
        <x:v>P2</x:v>
      </x:c>
      <x:c r="G248" s="9" t="str">
        <x:v>验证公会账号违规按发生时间排序</x:v>
      </x:c>
      <x:c r="H248" s="9" t="str">
        <x:v>公会违规时间排序</x:v>
      </x:c>
      <x:c r="I248" s="9" t="str">
        <x:v>1. 执行角色为公会长
2. 账号违规甲10点、乙11点，当前选择账号违规</x:v>
      </x:c>
      <x:c r="J248" s="9" t="str">
        <x:v>1. 进入违规记录页</x:v>
      </x:c>
      <x:c r="K248" s="9" t="str">
        <x:v>乙排列在甲之前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来源（当前证据）：liveshow-proto/MainBasis/统一需求文档.md；位置：REQ-2193ff33f58c；行3351
2. 规则：BR-b7fa97bedb41e147
3. 未动态验证</x:v>
      </x:c>
    </x:row>
    <x:row r="249" ht="85" customHeight="1">
      <x:c r="A249" s="10" t="n">
        <x:v>248</x:v>
      </x:c>
      <x:c r="B249" s="10" t="str">
        <x:v>GUILD-05-0047</x:v>
      </x:c>
      <x:c r="C249" s="10" t="str">
        <x:v>数据与收益</x:v>
      </x:c>
      <x:c r="D249" s="10" t="str">
        <x:v>违规记录（公会长视角）</x:v>
      </x:c>
      <x:c r="E249" s="10" t="str">
        <x:v>功能需求</x:v>
      </x:c>
      <x:c r="F249" s="10" t="str">
        <x:v>P2</x:v>
      </x:c>
      <x:c r="G249" s="9" t="str">
        <x:v>验证违规筛选未选择主播提示</x:v>
      </x:c>
      <x:c r="H249" s="9" t="str">
        <x:v>公会违规主播筛选必选</x:v>
      </x:c>
      <x:c r="I249" s="9" t="str">
        <x:v>1. 执行角色为公会长
2. 主播选择清空</x:v>
      </x:c>
      <x:c r="J249" s="9" t="str">
        <x:v>1. 进入违规记录页</x:v>
      </x:c>
      <x:c r="K249" s="9" t="str">
        <x:v>提示选择主播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来源（当前证据）：liveshow-proto/MainBasis/统一需求文档.md；位置：REQ-bb3258b612d5；行3343
2. 规则：BR-37fb0ad56bec8d9c
3. 未动态验证</x:v>
      </x:c>
    </x:row>
    <x:row r="250" ht="85" customHeight="1">
      <x:c r="A250" s="10" t="n">
        <x:v>249</x:v>
      </x:c>
      <x:c r="B250" s="10" t="str">
        <x:v>GUILD-05-0048</x:v>
      </x:c>
      <x:c r="C250" s="10" t="str">
        <x:v>数据与收益</x:v>
      </x:c>
      <x:c r="D250" s="10" t="str">
        <x:v>每日（公会长视角）</x:v>
      </x:c>
      <x:c r="E250" s="10" t="str">
        <x:v>功能需求</x:v>
      </x:c>
      <x:c r="F250" s="10" t="str">
        <x:v>P2</x:v>
      </x:c>
      <x:c r="G250" s="9" t="str">
        <x:v>验证查看往日经营数据标记历史</x:v>
      </x:c>
      <x:c r="H250" s="9" t="str">
        <x:v>公会每日历史标记</x:v>
      </x:c>
      <x:c r="I250" s="9" t="str">
        <x:v>1. 执行角色为公会长
2. 当前目标日期为昨天</x:v>
      </x:c>
      <x:c r="J250" s="9" t="str">
        <x:v>1. 进入每日页</x:v>
      </x:c>
      <x:c r="K250" s="9" t="str">
        <x:v>显示历史标记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来源（当前证据）：liveshow-proto/MainBasis/统一需求文档.md；位置：REQ-136eaaa6e25c；行3409
2. 规则：BR-43e6bddf60cb802a
3. 未动态验证</x:v>
      </x:c>
    </x:row>
    <x:row r="251" ht="85" customHeight="1">
      <x:c r="A251" s="10" t="n">
        <x:v>250</x:v>
      </x:c>
      <x:c r="B251" s="10" t="str">
        <x:v>GUILD-05-0049</x:v>
      </x:c>
      <x:c r="C251" s="10" t="str">
        <x:v>数据与收益</x:v>
      </x:c>
      <x:c r="D251" s="10" t="str">
        <x:v>主播分成记录（公会长视角）</x:v>
      </x:c>
      <x:c r="E251" s="10" t="str">
        <x:v>逻辑校验</x:v>
      </x:c>
      <x:c r="F251" s="10" t="str">
        <x:v>P1</x:v>
      </x:c>
      <x:c r="G251" s="9" t="str">
        <x:v>验证公会主播分成不提供线上审批</x:v>
      </x:c>
      <x:c r="H251" s="9" t="str">
        <x:v>公会主播分成只读范围</x:v>
      </x:c>
      <x:c r="I251" s="9" t="str">
        <x:v>1. 执行角色为公会长</x:v>
      </x:c>
      <x:c r="J251" s="9" t="str">
        <x:v>1. 进入主播分成记录页</x:v>
      </x:c>
      <x:c r="K251" s="9" t="str">
        <x:v>不提供分成计算或审批操作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来源（当前证据）：liveshow-proto/MainBasis/统一需求文档.md；位置：REQ-2010984afb60；行3446
2. 规则：BR-a0dc7cfebc21534d
3. 未动态验证</x:v>
      </x:c>
    </x:row>
    <x:row r="252" ht="100" customHeight="1">
      <x:c r="A252" s="10" t="n">
        <x:v>251</x:v>
      </x:c>
      <x:c r="B252" s="10" t="str">
        <x:v>GUILD-01-0032</x:v>
      </x:c>
      <x:c r="C252" s="10" t="str">
        <x:v>登录与首页</x:v>
      </x:c>
      <x:c r="D252" s="10" t="str">
        <x:v>公会登录（公会长视角）</x:v>
      </x:c>
      <x:c r="E252" s="10" t="str">
        <x:v>逻辑校验</x:v>
      </x:c>
      <x:c r="F252" s="10" t="str">
        <x:v>P1</x:v>
      </x:c>
      <x:c r="G252" s="9" t="str">
        <x:v>验证公会停用后阻止该公会管理账号登录</x:v>
      </x:c>
      <x:c r="H252" s="9" t="str">
        <x:v>公会停用登录限制</x:v>
      </x:c>
      <x:c r="I252" s="9" t="str">
        <x:v>1. 执行角色为公会长
2. 公会已停用，所属公会长qa-chief自身状态启用，正确密码QaChief!2026</x:v>
      </x:c>
      <x:c r="J252" s="9" t="str">
        <x:v>1. 进入公会登录页
2. 填写公会账号为qa-chief
3. 填写密码为QaChief!2026
4. 点击登录</x:v>
      </x:c>
      <x:c r="K252" s="9" t="str">
        <x:v>不能进入该公会管理范围</x:v>
      </x:c>
      <x:c r="L252" s="10" t="str">
        <x:v>FLOW-A69D552849</x:v>
      </x:c>
      <x:c r="M252" s="10" t="str">
        <x:v>未测</x:v>
      </x:c>
      <x:c r="N252" s="10" t="str"/>
      <x:c r="O252" s="9" t="str">
        <x:v>1. 来源（当前证据）：liveshow-proto/MainBasis/统一需求文档.md；位置：REQ-dda7dbff3ea0；行2715、REQ-41cbba51b71b；行3910
2. 规则：BR-a974ba0edd724cc8
3. 未动态验证</x:v>
      </x:c>
    </x:row>
  </x:sheetData>
  <x:dataValidations count="3">
    <x:dataValidation type="list" sqref="E2:E252">
      <x:formula1>"功能需求,业务流程,逻辑校验,异常用例"</x:formula1>
    </x:dataValidation>
    <x:dataValidation type="list" sqref="F2:F252">
      <x:formula1>"P0,P1,P2,P3"</x:formula1>
    </x:dataValidation>
    <x:dataValidation type="list" sqref="M2:M252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53d2846da84f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00" customHeight="1">
      <x:c r="A2" s="10" t="str">
        <x:v>Q-005</x:v>
      </x:c>
      <x:c r="B2" s="10" t="str">
        <x:v>RQ-005</x:v>
      </x:c>
      <x:c r="C2" s="10" t="str"/>
      <x:c r="D2" s="10" t="str"/>
      <x:c r="E2" s="10" t="str">
        <x:v>部分阻塞</x:v>
      </x:c>
      <x:c r="F2" s="10" t="str">
        <x:v>运营工具</x:v>
      </x:c>
      <x:c r="G2" s="9" t="str">
        <x:v>创建运营账号</x:v>
      </x:c>
      <x:c r="H2" s="9" t="str">
        <x:v>字段与数据校验</x:v>
      </x:c>
      <x:c r="I2" s="9" t="str">
        <x:v>运营账号登录名允许什么格式？</x:v>
      </x:c>
      <x:c r="J2" s="9" t="str">
        <x:v>A. 必须为邮箱地址
B. 普通账号名且不要求邮箱格式</x:v>
      </x:c>
      <x:c r="K2" s="9" t="str">
        <x:v>建议先明确登录凭证类型，再补格式与唯一性边界。</x:v>
      </x:c>
      <x:c r="L2" s="12" t="str"/>
      <x:c r="M2" s="12" t="str"/>
      <x:c r="N2" s="10" t="str">
        <x:v>1. liveshow-proto/MainBasis/需求待确认清单.md：- **REQ-bf9cdcdc206d** 【需求待确认】页面说明使用邮箱登录，但当前示例 nadia_ops 不是邮箱；需明确账号格式及校验。</x:v>
      </x:c>
      <x:c r="O2" s="9" t="str">
        <x:v>1. 创建运营账号</x:v>
      </x:c>
      <x:c r="P2" s="9" t="str"/>
      <x:c r="Q2" s="9" t="str">
        <x:v>1. 创建运营账号中由本问题决定的有效、无效及状态变更分支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</x:sheetData>
  <x:dataValidations count="5">
    <x:dataValidation type="list" sqref="E2">
      <x:formula1>"阻塞测试,部分阻塞,不阻塞"</x:formula1>
    </x:dataValidation>
    <x:dataValidation type="list" sqref="H2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">
      <x:formula1>"A,B,C,D,其他"</x:formula1>
    </x:dataValidation>
    <x:dataValidation type="list" sqref="R2">
      <x:formula1>"产品,交互,技术,多方确认"</x:formula1>
    </x:dataValidation>
    <x:dataValidation type="list" sqref="T2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0479e0e69d41da"/>
  </x:tableParts>
</x:worksheet>
</file>