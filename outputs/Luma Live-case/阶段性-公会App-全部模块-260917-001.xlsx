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52353f867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ff0be3f144b49dd"/>
    <x:sheet xmlns:r="http://schemas.openxmlformats.org/officeDocument/2006/relationships" name="功能测试用例" sheetId="2" r:id="R3ab1ef4205a34fb5"/>
    <x:sheet xmlns:r="http://schemas.openxmlformats.org/officeDocument/2006/relationships" name="需求待确认" sheetId="3" r:id="Rc06d240fa62f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0cc7d55aa45b7" /><Relationship Type="http://schemas.openxmlformats.org/officeDocument/2006/relationships/theme" Target="/xl/theme/theme1.xml" Id="R11b9671c597b478a" /><Relationship Type="http://schemas.openxmlformats.org/officeDocument/2006/relationships/sharedStrings" Target="/xl/sharedStrings.xml" Id="R6d7c04fdb1284803" /><Relationship Type="http://schemas.openxmlformats.org/officeDocument/2006/relationships/worksheet" Target="/xl/worksheets/sheet1.xml" Id="R1ff0be3f144b49dd" /><Relationship Type="http://schemas.openxmlformats.org/officeDocument/2006/relationships/worksheet" Target="/xl/worksheets/sheet2.xml" Id="R3ab1ef4205a34fb5" /><Relationship Type="http://schemas.openxmlformats.org/officeDocument/2006/relationships/worksheet" Target="/xl/worksheets/sheet3.xml" Id="Rc06d240fa62f4b79" /></Relationships>
</file>

<file path=xl/tables/table1.xml><?xml version="1.0" encoding="utf-8"?>
<x:table xmlns:x="http://schemas.openxmlformats.org/spreadsheetml/2006/main" id="1" name="LiveCasesTable" displayName="LiveCasesTable" ref="A1:O558" headerRowCount="1" totalsRowCount="0" totalsRowShown="0">
  <x:autoFilter ref="A1:O558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3" headerRowCount="1" totalsRowCount="0" totalsRowShown="0">
  <x:autoFilter ref="A1:T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e1755cad40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f8aff3f02d41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阶段性-公会App-全部模块-260916-002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COUNTA('需求待确认'!$A$2:$A$3)</x:f>
        <x:v>2</x:v>
      </x:c>
      <x:c r="C5" s="13"/>
      <x:c r="D5" s="20" t="str">
        <x:v>阻塞测试</x:v>
      </x:c>
      <x:c r="E5" s="22" t="n">
        <x:f>COUNTIFS('需求待确认'!$E$2:$E$3,"阻塞测试",'需求待确认'!$T$2:$T$3,"待确认")</x:f>
        <x:v>0</x:v>
      </x:c>
      <x:c r="F5" s="13"/>
      <x:c r="G5" s="20" t="str">
        <x:v>产品</x:v>
      </x:c>
      <x:c r="H5" s="22" t="n">
        <x:f>COUNTIFS('需求待确认'!$R$2:$R$3,"产品",'需求待确认'!$T$2:$T$3,"待确认")</x:f>
        <x:v>2</x:v>
      </x:c>
    </x:row>
    <x:row r="6">
      <x:c r="A6" s="20" t="str">
        <x:v>当前可回答</x:v>
      </x:c>
      <x:c r="B6" s="22" t="n">
        <x:f>COUNTIF('需求待确认'!$T$2:$T$3,"待确认")</x:f>
        <x:v>2</x:v>
      </x:c>
      <x:c r="C6" s="13"/>
      <x:c r="D6" s="20" t="str">
        <x:v>部分阻塞</x:v>
      </x:c>
      <x:c r="E6" s="22" t="n">
        <x:f>COUNTIFS('需求待确认'!$E$2:$E$3,"部分阻塞",'需求待确认'!$T$2:$T$3,"待确认")</x:f>
        <x:v>2</x:v>
      </x:c>
      <x:c r="F6" s="13"/>
      <x:c r="G6" s="20" t="str">
        <x:v>交互</x:v>
      </x:c>
      <x:c r="H6" s="22" t="n">
        <x:f>COUNTIFS('需求待确认'!$R$2:$R$3,"交互",'需求待确认'!$T$2:$T$3,"待确认")</x:f>
        <x:v>0</x:v>
      </x:c>
    </x:row>
    <x:row r="7">
      <x:c r="A7" s="20" t="str">
        <x:v>待前置结论</x:v>
      </x:c>
      <x:c r="B7" s="22" t="n">
        <x:f>COUNTIF('需求待确认'!$T$2:$T$3,"待前置结论")</x:f>
        <x:v>0</x:v>
      </x:c>
      <x:c r="C7" s="13"/>
      <x:c r="D7" s="20" t="str">
        <x:v>不阻塞</x:v>
      </x:c>
      <x:c r="E7" s="22" t="n">
        <x:f>COUNTIFS('需求待确认'!$E$2:$E$3,"不阻塞",'需求待确认'!$T$2:$T$3,"待确认")</x:f>
        <x:v>0</x:v>
      </x:c>
      <x:c r="F7" s="13"/>
      <x:c r="G7" s="20" t="str">
        <x:v>技术</x:v>
      </x:c>
      <x:c r="H7" s="22" t="n">
        <x:f>COUNTIFS('需求待确认'!$R$2:$R$3,"技术",'需求待确认'!$T$2:$T$3,"待确认")</x:f>
        <x:v>0</x:v>
      </x:c>
    </x:row>
    <x:row r="8">
      <x:c r="A8" s="20" t="str">
        <x:v>确认中</x:v>
      </x:c>
      <x:c r="B8" s="22" t="n">
        <x:f>COUNTIF('需求待确认'!$T$2:$T$3,"确认中")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COUNTIFS('需求待确认'!$R$2:$R$3,"多方确认",'需求待确认'!$T$2:$T$3,"待确认")</x:f>
        <x:v>0</x:v>
      </x:c>
    </x:row>
    <x:row r="9">
      <x:c r="A9" s="20" t="str">
        <x:v>已确认</x:v>
      </x:c>
      <x:c r="B9" s="22" t="n">
        <x:f>COUNTIF('需求待确认'!$T$2:$T$3,"已确认")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00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P0</x:v>
      </x:c>
      <x:c r="G2" s="9" t="str">
        <x:v>验证公会长有效凭证登录</x:v>
      </x:c>
      <x:c r="H2" s="9" t="str">
        <x:v>公会登录成功去向</x:v>
      </x:c>
      <x:c r="I2" s="9" t="str">
        <x:v>1. 执行角色为公会长
2. 业务数据已准备且本页已打开；表单和筛选保持下列指定状态
3. 平台已创建并启用公会长qa-chief，测试密码QaChief!2026</x:v>
      </x:c>
      <x:c r="J2" s="9" t="str">
        <x:v>1. 查看公会登录页
2. 填写公会账号为qa-chief
3. 填写密码为QaChief!2026
4. 点击登录</x:v>
      </x:c>
      <x:c r="K2" s="9" t="str">
        <x:v>进入选择公会页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来源（当前证据）：liveshow-proto/MainBasis/统一需求文档.md；位置：REQ-dda7dbff3ea0；行2715
2. 规则：BR-b489b49e31a969eb
3. 未动态验证</x:v>
      </x:c>
    </x:row>
    <x:row r="3" ht="100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公会登录（公会长视角）</x:v>
      </x:c>
      <x:c r="E3" s="10" t="str">
        <x:v>逻辑校验</x:v>
      </x:c>
      <x:c r="F3" s="10" t="str">
        <x:v>P1</x:v>
      </x:c>
      <x:c r="G3" s="9" t="str">
        <x:v>验证公会登录漏填公会账号</x:v>
      </x:c>
      <x:c r="H3" s="9" t="str">
        <x:v>公会账号必填</x:v>
      </x:c>
      <x:c r="I3" s="9" t="str">
        <x:v>1. 执行角色为公会长
2. 业务数据已准备且本页已打开；表单和筛选保持下列指定状态
3. 公会长qa-chief已启用，密码QaChief!2026</x:v>
      </x:c>
      <x:c r="J3" s="9" t="str">
        <x:v>1. 查看公会登录页
2. 填写公会账号为qa-chief
3. 填写密码为QaChief!2026
4. 清空公会账号
5. 点击登录</x:v>
      </x:c>
      <x:c r="K3" s="9" t="str">
        <x:v>不能提交缺少必填项的登录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来源（当前证据）：liveshow-proto/MainBasis/统一需求文档.md；位置：REQ-5f61f44b53b1；行2707
2. 规则：BR-2f2a47b9023c98d3
3. 未动态验证</x:v>
      </x:c>
    </x:row>
    <x:row r="4" ht="100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逻辑校验</x:v>
      </x:c>
      <x:c r="F4" s="10" t="str">
        <x:v>P1</x:v>
      </x:c>
      <x:c r="G4" s="9" t="str">
        <x:v>验证公会登录漏填密码</x:v>
      </x:c>
      <x:c r="H4" s="9" t="str">
        <x:v>密码必填</x:v>
      </x:c>
      <x:c r="I4" s="9" t="str">
        <x:v>1. 执行角色为公会长
2. 业务数据已准备且本页已打开；表单和筛选保持下列指定状态
3. 公会长qa-chief已启用，密码QaChief!2026</x:v>
      </x:c>
      <x:c r="J4" s="9" t="str">
        <x:v>1. 查看公会登录页
2. 填写公会账号为qa-chief
3. 填写密码为QaChief!2026
4. 清空密码
5. 点击登录</x:v>
      </x:c>
      <x:c r="K4" s="9" t="str">
        <x:v>不能提交缺少必填项的登录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来源（当前证据）：liveshow-proto/MainBasis/统一需求文档.md；位置：REQ-d7201c8835b7；行2709
2. 规则：BR-57eaaa9fc7729e18
3. 未动态验证</x:v>
      </x:c>
    </x:row>
    <x:row r="5" ht="11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公会登录（公会长视角）</x:v>
      </x:c>
      <x:c r="E5" s="10" t="str">
        <x:v>异常用例</x:v>
      </x:c>
      <x:c r="F5" s="10" t="str">
        <x:v>P1</x:v>
      </x:c>
      <x:c r="G5" s="9" t="str">
        <x:v>验证账号不存在时统一提示</x:v>
      </x:c>
      <x:c r="H5" s="9" t="str">
        <x:v>公会登录错误提示</x:v>
      </x:c>
      <x:c r="I5" s="9" t="str">
        <x:v>1. 执行角色为公会长
2. 业务数据已准备且本页已打开；表单和筛选保持下列指定状态
3. qa-unknown不存在；qa-chief已启用且正确密码QaChief!2026</x:v>
      </x:c>
      <x:c r="J5" s="9" t="str">
        <x:v>1. 查看公会登录页
2. 填写公会账号为qa-unknown
3. 填写密码为Wrong!2026
4. 点击登录</x:v>
      </x:c>
      <x:c r="K5" s="9" t="str">
        <x:v>提示“账号或密码错误”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来源（当前证据）：liveshow-proto/MainBasis/统一需求文档.md；位置：REQ-d7201c8835b7；行2709、REQ-dda7dbff3ea0；行2715
2. 规则：BR-7370c4335c830896
3. 未动态验证</x:v>
      </x:c>
    </x:row>
    <x:row r="6" ht="11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公会登录（公会长视角）</x:v>
      </x:c>
      <x:c r="E6" s="10" t="str">
        <x:v>异常用例</x:v>
      </x:c>
      <x:c r="F6" s="10" t="str">
        <x:v>P1</x:v>
      </x:c>
      <x:c r="G6" s="9" t="str">
        <x:v>验证密码错误时统一提示</x:v>
      </x:c>
      <x:c r="H6" s="9" t="str">
        <x:v>公会登录错误提示</x:v>
      </x:c>
      <x:c r="I6" s="9" t="str">
        <x:v>1. 执行角色为公会长
2. 业务数据已准备且本页已打开；表单和筛选保持下列指定状态
3. qa-unknown不存在；qa-chief已启用且正确密码QaChief!2026</x:v>
      </x:c>
      <x:c r="J6" s="9" t="str">
        <x:v>1. 查看公会登录页
2. 填写公会账号为qa-chief
3. 填写密码为Wrong!2026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来源（当前证据）：liveshow-proto/MainBasis/统一需求文档.md；位置：REQ-d7201c8835b7；行2709、REQ-dda7dbff3ea0；行2715
2. 规则：BR-c3e3feca46829129
3. 未动态验证</x:v>
      </x:c>
    </x:row>
    <x:row r="7" ht="100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公会登录（公会长视角）</x:v>
      </x:c>
      <x:c r="E7" s="10" t="str">
        <x:v>逻辑校验</x:v>
      </x:c>
      <x:c r="F7" s="10" t="str">
        <x:v>P1</x:v>
      </x:c>
      <x:c r="G7" s="9" t="str">
        <x:v>验证停用公会长不能登录</x:v>
      </x:c>
      <x:c r="H7" s="9" t="str">
        <x:v>公会长停用登录限制</x:v>
      </x:c>
      <x:c r="I7" s="9" t="str">
        <x:v>1. 执行角色为公会长
2. 业务数据已准备且本页已打开；表单和筛选保持下列指定状态
3. 平台已经停用该公会长，密码仍为原正确值</x:v>
      </x:c>
      <x:c r="J7" s="9" t="str">
        <x:v>1. 查看公会登录页
2. 填写公会账号为已停用账号
3. 填写密码为原正确密码
4. 点击登录</x:v>
      </x:c>
      <x:c r="K7" s="9" t="str">
        <x:v>不能进入选择公会页</x:v>
      </x:c>
      <x:c r="L7" s="10" t="str">
        <x:v>FLOW-AEA28E2203</x:v>
      </x:c>
      <x:c r="M7" s="10" t="str">
        <x:v>未测</x:v>
      </x:c>
      <x:c r="N7" s="10" t="str"/>
      <x:c r="O7" s="9" t="str">
        <x:v>1. 来源（当前证据）：liveshow-proto/MainBasis/统一需求文档.md；位置：REQ-15b87f23d830；行2713
2. 规则：BR-3187f3fce55b43c3
3. 未动态验证</x:v>
      </x:c>
    </x:row>
    <x:row r="8" ht="85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公会登录（运营账号视角）</x:v>
      </x:c>
      <x:c r="E8" s="10" t="str">
        <x:v>逻辑校验</x:v>
      </x:c>
      <x:c r="F8" s="10" t="str">
        <x:v>P1</x:v>
      </x:c>
      <x:c r="G8" s="9" t="str">
        <x:v>验证运营账号不能冒用公会登录</x:v>
      </x:c>
      <x:c r="H8" s="9" t="str">
        <x:v>公会登录角色边界</x:v>
      </x:c>
      <x:c r="I8" s="9" t="str">
        <x:v>1. 执行角色为运营账号
2. 运营账号qa-ops及其密码有效</x:v>
      </x:c>
      <x:c r="J8" s="9" t="str">
        <x:v>1. 进入公会登录页
2. 填写公会账号为qa-ops
3. 填写密码为该运营账号密码
4. 点击登录</x:v>
      </x:c>
      <x:c r="K8" s="9" t="str">
        <x:v>不能进入选择公会页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来源（当前证据）：liveshow-proto/MainBasis/统一需求文档.md；位置：REQ-76a4e00d61ef；行2711
2. 规则：BR-c3ba98c0bd450da4
3. 未动态验证</x:v>
      </x:c>
    </x:row>
    <x:row r="9" ht="10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选择公会（公会长视角）</x:v>
      </x:c>
      <x:c r="E9" s="10" t="str">
        <x:v>逻辑校验</x:v>
      </x:c>
      <x:c r="F9" s="10" t="str">
        <x:v>P1</x:v>
      </x:c>
      <x:c r="G9" s="9" t="str">
        <x:v>验证选择公会限定管理范围</x:v>
      </x:c>
      <x:c r="H9" s="9" t="str">
        <x:v>可管理公会范围</x:v>
      </x:c>
      <x:c r="I9" s="9" t="str">
        <x:v>1. 执行角色为公会长
2. 业务数据已准备且本页已打开；表单和筛选保持下列指定状态
3. 账号可管理公会A和已解散B，无权管理C</x:v>
      </x:c>
      <x:c r="J9" s="9" t="str">
        <x:v>1. 查看选择公会页</x:v>
      </x:c>
      <x:c r="K9" s="9" t="str">
        <x:v>可选择公会仅包含A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来源（当前证据）：liveshow-proto/MainBasis/统一需求文档.md；位置：REQ-b8c4f29fd3e0；行2728
2. 规则：BR-e3a8c6b2eeaaaa71
3. 未动态验证</x:v>
      </x:c>
    </x:row>
    <x:row r="10" ht="8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选择公会（公会长视角）</x:v>
      </x:c>
      <x:c r="E10" s="10" t="str">
        <x:v>逻辑校验</x:v>
      </x:c>
      <x:c r="F10" s="10" t="str">
        <x:v>P1</x:v>
      </x:c>
      <x:c r="G10" s="9" t="str">
        <x:v>验证切换到另一可管理公会</x:v>
      </x:c>
      <x:c r="H10" s="9" t="str">
        <x:v>切换公会首页数据</x:v>
      </x:c>
      <x:c r="I10" s="9" t="str">
        <x:v>1. 执行角色为公会长
2. 业务数据已准备且本页已打开；表单和筛选保持下列指定状态
3. 当前为A，账号有权管理B</x:v>
      </x:c>
      <x:c r="J10" s="9" t="str">
        <x:v>1. 查看选择公会页
2. 点击选择公会B</x:v>
      </x:c>
      <x:c r="K10" s="9" t="str">
        <x:v>首页显示公会B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来源（当前证据）：liveshow-proto/MainBasis/统一需求文档.md；位置：REQ-b8cc4e99b745；行2730
2. 规则：BR-ebaf62c6b93f15b4
3. 未动态验证</x:v>
      </x:c>
    </x:row>
    <x:row r="11" ht="8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验证选择公会页标记当前对象</x:v>
      </x:c>
      <x:c r="H11" s="9" t="str">
        <x:v>当前管理公会标识</x:v>
      </x:c>
      <x:c r="I11" s="9" t="str">
        <x:v>1. 执行角色为公会长
2. 业务数据已准备且本页已打开；表单和筛选保持下列指定状态
3. 当前管理公会为A</x:v>
      </x:c>
      <x:c r="J11" s="9" t="str">
        <x:v>1. 查看选择公会页</x:v>
      </x:c>
      <x:c r="K11" s="9" t="str">
        <x:v>公会A显示“当前公会”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来源（当前证据）：liveshow-proto/MainBasis/统一需求文档.md；位置：REQ-225adc4fd6df；行2726
2. 规则：BR-f302bb9f9491fc9a
3. 未动态验证</x:v>
      </x:c>
    </x:row>
    <x:row r="12" ht="115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首页（公会长视角）</x:v>
      </x:c>
      <x:c r="E12" s="10" t="str">
        <x:v>逻辑校验</x:v>
      </x:c>
      <x:c r="F12" s="10" t="str">
        <x:v>P1</x:v>
      </x:c>
      <x:c r="G12" s="9" t="str">
        <x:v>验证首页统计在播主播人数</x:v>
      </x:c>
      <x:c r="H12" s="9" t="str">
        <x:v>公会实时在播人数</x:v>
      </x:c>
      <x:c r="I12" s="9" t="str">
        <x:v>1. 执行角色为公会长
2. 业务数据已准备且本页已打开；表单和筛选保持下列指定状态
3. 公会A有主播甲、乙在播，丙已下播，其他公会另有主播在播</x:v>
      </x:c>
      <x:c r="J12" s="9" t="str">
        <x:v>1. 查看首页页</x:v>
      </x:c>
      <x:c r="K12" s="9" t="str">
        <x:v>直播中显示2人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来源（当前证据）：liveshow-proto/MainBasis/统一需求文档.md；位置：REQ-e912d0aca3d6；行2743
2. 规则：BR-1e74fc9a873e00df
3. 未动态验证</x:v>
      </x:c>
    </x:row>
    <x:row r="13" ht="10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首页（公会长视角）</x:v>
      </x:c>
      <x:c r="E13" s="10" t="str">
        <x:v>逻辑校验</x:v>
      </x:c>
      <x:c r="F13" s="10" t="str">
        <x:v>P1</x:v>
      </x:c>
      <x:c r="G13" s="9" t="str">
        <x:v>验证首页统计有效天达标主播</x:v>
      </x:c>
      <x:c r="H13" s="9" t="str">
        <x:v>公会有效天达标人数</x:v>
      </x:c>
      <x:c r="I13" s="9" t="str">
        <x:v>1. 执行角色为公会长
2. 业务数据已准备且本页已打开；表单和筛选保持下列指定状态
3. 当前公会甲当天有效直播180分钟、乙179分钟、丙360分钟</x:v>
      </x:c>
      <x:c r="J13" s="9" t="str">
        <x:v>1. 查看首页页</x:v>
      </x:c>
      <x:c r="K13" s="9" t="str">
        <x:v>达成有效天显示2人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来源（当前证据）：liveshow-proto/MainBasis/统一需求文档.md；位置：REQ-6504613d1273；行2745
2. 规则：BR-4ccc2ea5f21efede
3. 未动态验证</x:v>
      </x:c>
    </x:row>
    <x:row r="14" ht="11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首页（公会长视角）</x:v>
      </x:c>
      <x:c r="E14" s="10" t="str">
        <x:v>逻辑校验</x:v>
      </x:c>
      <x:c r="F14" s="10" t="str">
        <x:v>P1</x:v>
      </x:c>
      <x:c r="G14" s="9" t="str">
        <x:v>验证公会首页收益不等于最终分成</x:v>
      </x:c>
      <x:c r="H14" s="9" t="str">
        <x:v>公会当日金币收益</x:v>
      </x:c>
      <x:c r="I14" s="9" t="str">
        <x:v>1. 执行角色为公会长
2. 业务数据已准备且本页已打开；表单和筛选保持下列指定状态
3. 当天在会主播甲收益1000金币、乙500金币；财务上传分成为10美元</x:v>
      </x:c>
      <x:c r="J14" s="9" t="str">
        <x:v>1. 查看首页页</x:v>
      </x:c>
      <x:c r="K14" s="9" t="str">
        <x:v>当日收益 = 1500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来源（当前证据）：liveshow-proto/MainBasis/统一需求文档.md；位置：REQ-6a94a8b12ee1；行2741
2. 规则：BR-2e367dbdb2fe2f08
3. 未动态验证</x:v>
      </x:c>
    </x:row>
    <x:row r="15" ht="85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首页（公会长视角）</x:v>
      </x:c>
      <x:c r="E15" s="10" t="str">
        <x:v>功能需求</x:v>
      </x:c>
      <x:c r="F15" s="10" t="str">
        <x:v>P2</x:v>
      </x:c>
      <x:c r="G15" s="9" t="str">
        <x:v>验证首页进入公会名称</x:v>
      </x:c>
      <x:c r="H15" s="9" t="str">
        <x:v>公会首页公会名称入口</x:v>
      </x:c>
      <x:c r="I15" s="9" t="str">
        <x:v>1. 执行角色为公会长</x:v>
      </x:c>
      <x:c r="J15" s="9" t="str">
        <x:v>1. 进入首页页
2. 点击公会名称</x:v>
      </x:c>
      <x:c r="K15" s="9" t="str">
        <x:v>进入选择公会页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来源（当前证据）：liveshow-proto/MainBasis/统一需求文档.md；位置：REQ-6913df3ee9d5；行2735
2. 规则：BR-e1e55c4fb9309911
3. 未动态验证</x:v>
      </x:c>
    </x:row>
    <x:row r="16" ht="8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首页（公会长视角）</x:v>
      </x:c>
      <x:c r="E16" s="10" t="str">
        <x:v>功能需求</x:v>
      </x:c>
      <x:c r="F16" s="10" t="str">
        <x:v>P2</x:v>
      </x:c>
      <x:c r="G16" s="9" t="str">
        <x:v>验证首页进入通知</x:v>
      </x:c>
      <x:c r="H16" s="9" t="str">
        <x:v>公会首页通知入口</x:v>
      </x:c>
      <x:c r="I16" s="9" t="str">
        <x:v>1. 执行角色为公会长</x:v>
      </x:c>
      <x:c r="J16" s="9" t="str">
        <x:v>1. 进入首页页
2. 点击通知</x:v>
      </x:c>
      <x:c r="K16" s="9" t="str">
        <x:v>进入通知消息页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来源（当前证据）：liveshow-proto/MainBasis/统一需求文档.md；位置：REQ-3b9a4901a62b；行2737
2. 规则：BR-f5bbb13919012a38
3. 未动态验证</x:v>
      </x:c>
    </x:row>
    <x:row r="17" ht="8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首页（公会长视角）</x:v>
      </x:c>
      <x:c r="E17" s="10" t="str">
        <x:v>功能需求</x:v>
      </x:c>
      <x:c r="F17" s="10" t="str">
        <x:v>P2</x:v>
      </x:c>
      <x:c r="G17" s="9" t="str">
        <x:v>验证首页进入账号设置</x:v>
      </x:c>
      <x:c r="H17" s="9" t="str">
        <x:v>公会首页账号设置入口</x:v>
      </x:c>
      <x:c r="I17" s="9" t="str">
        <x:v>1. 执行角色为公会长</x:v>
      </x:c>
      <x:c r="J17" s="9" t="str">
        <x:v>1. 进入首页页
2. 点击账号设置</x:v>
      </x:c>
      <x:c r="K17" s="9" t="str">
        <x:v>进入账号设置页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来源（当前证据）：liveshow-proto/MainBasis/统一需求文档.md；位置：REQ-498d6cecdd5e；行2739
2. 规则：BR-c2ff6436e231b1aa
3. 未动态验证</x:v>
      </x:c>
    </x:row>
    <x:row r="18" ht="8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首页（公会长视角）</x:v>
      </x:c>
      <x:c r="E18" s="10" t="str">
        <x:v>功能需求</x:v>
      </x:c>
      <x:c r="F18" s="10" t="str">
        <x:v>P2</x:v>
      </x:c>
      <x:c r="G18" s="9" t="str">
        <x:v>验证首页进入今日概况</x:v>
      </x:c>
      <x:c r="H18" s="9" t="str">
        <x:v>公会首页今日概况入口</x:v>
      </x:c>
      <x:c r="I18" s="9" t="str">
        <x:v>1. 执行角色为公会长</x:v>
      </x:c>
      <x:c r="J18" s="9" t="str">
        <x:v>1. 进入首页页
2. 点击今日概况</x:v>
      </x:c>
      <x:c r="K18" s="9" t="str">
        <x:v>进入当日经营详情页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来源（当前证据）：liveshow-proto/MainBasis/统一需求文档.md；位置：REQ-1d3b1a61a3da；行2751
2. 规则：BR-b1d9788b0a6e69af
3. 未动态验证</x:v>
      </x:c>
    </x:row>
    <x:row r="19" ht="100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通知消息（公会长视角）</x:v>
      </x:c>
      <x:c r="E19" s="10" t="str">
        <x:v>功能需求</x:v>
      </x:c>
      <x:c r="F19" s="10" t="str">
        <x:v>P2</x:v>
      </x:c>
      <x:c r="G19" s="9" t="str">
        <x:v>验证公会通知展示入会申请事件</x:v>
      </x:c>
      <x:c r="H19" s="9" t="str">
        <x:v>公会入会申请通知</x:v>
      </x:c>
      <x:c r="I19" s="9" t="str">
        <x:v>1. 执行角色为公会长
2. 业务数据已准备且本页已打开；表单和筛选保持下列指定状态
3. 环境准备：当前管理公会已产生一条入会申请通知</x:v>
      </x:c>
      <x:c r="J19" s="9" t="str">
        <x:v>1. 查看通知消息页</x:v>
      </x:c>
      <x:c r="K19" s="9" t="str">
        <x:v>列表显示该入会申请通知</x:v>
      </x:c>
      <x:c r="L19" s="10" t="str">
        <x:v>FLOW-B8276CAE9E</x:v>
      </x:c>
      <x:c r="M19" s="10" t="str">
        <x:v>未测</x:v>
      </x:c>
      <x:c r="N19" s="10" t="str"/>
      <x:c r="O19" s="9" t="str">
        <x:v>1. 来源（当前证据）：liveshow-proto/MainBasis/统一需求文档.md；位置：REQ-fbccc72d47be；行2764
2. 规则：BR-0713ce85ed118e64
3. 未动态验证</x:v>
      </x:c>
    </x:row>
    <x:row r="20" ht="100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通知消息（公会长视角）</x:v>
      </x:c>
      <x:c r="E20" s="10" t="str">
        <x:v>功能需求</x:v>
      </x:c>
      <x:c r="F20" s="10" t="str">
        <x:v>P2</x:v>
      </x:c>
      <x:c r="G20" s="9" t="str">
        <x:v>验证公会通知展示平台终审结果事件</x:v>
      </x:c>
      <x:c r="H20" s="9" t="str">
        <x:v>公会平台终审结果通知</x:v>
      </x:c>
      <x:c r="I20" s="9" t="str">
        <x:v>1. 执行角色为公会长
2. 业务数据已准备且本页已打开；表单和筛选保持下列指定状态
3. 环境准备：当前管理公会已产生一条平台终审结果通知</x:v>
      </x:c>
      <x:c r="J20" s="9" t="str">
        <x:v>1. 查看通知消息页</x:v>
      </x:c>
      <x:c r="K20" s="9" t="str">
        <x:v>列表显示该平台终审结果通知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来源（当前证据）：liveshow-proto/MainBasis/统一需求文档.md；位置：REQ-fbccc72d47be；行2764
2. 规则：BR-91c6a97275f87f2f
3. 未动态验证</x:v>
      </x:c>
    </x:row>
    <x:row r="21" ht="100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通知消息（公会长视角）</x:v>
      </x:c>
      <x:c r="E21" s="10" t="str">
        <x:v>功能需求</x:v>
      </x:c>
      <x:c r="F21" s="10" t="str">
        <x:v>P2</x:v>
      </x:c>
      <x:c r="G21" s="9" t="str">
        <x:v>验证公会通知展示退会申请事件</x:v>
      </x:c>
      <x:c r="H21" s="9" t="str">
        <x:v>公会退会申请通知</x:v>
      </x:c>
      <x:c r="I21" s="9" t="str">
        <x:v>1. 执行角色为公会长
2. 业务数据已准备且本页已打开；表单和筛选保持下列指定状态
3. 环境准备：当前管理公会已产生一条退会申请通知</x:v>
      </x:c>
      <x:c r="J21" s="9" t="str">
        <x:v>1. 查看通知消息页</x:v>
      </x:c>
      <x:c r="K21" s="9" t="str">
        <x:v>列表显示该退会申请通知</x:v>
      </x:c>
      <x:c r="L21" s="10" t="str">
        <x:v>FLOW-289CDBD17D</x:v>
      </x:c>
      <x:c r="M21" s="10" t="str">
        <x:v>未测</x:v>
      </x:c>
      <x:c r="N21" s="10" t="str"/>
      <x:c r="O21" s="9" t="str">
        <x:v>1. 来源（当前证据）：liveshow-proto/MainBasis/统一需求文档.md；位置：REQ-fbccc72d47be；行2764
2. 规则：BR-153e02739d29be76
3. 未动态验证</x:v>
      </x:c>
    </x:row>
    <x:row r="22" ht="100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通知消息（公会长视角）</x:v>
      </x:c>
      <x:c r="E22" s="10" t="str">
        <x:v>功能需求</x:v>
      </x:c>
      <x:c r="F22" s="10" t="str">
        <x:v>P2</x:v>
      </x:c>
      <x:c r="G22" s="9" t="str">
        <x:v>验证公会通知展示直播权限事件</x:v>
      </x:c>
      <x:c r="H22" s="9" t="str">
        <x:v>公会直播权限通知</x:v>
      </x:c>
      <x:c r="I22" s="9" t="str">
        <x:v>1. 执行角色为公会长
2. 业务数据已准备且本页已打开；表单和筛选保持下列指定状态
3. 环境准备：当前管理公会已产生一条直播权限通知</x:v>
      </x:c>
      <x:c r="J22" s="9" t="str">
        <x:v>1. 查看通知消息页</x:v>
      </x:c>
      <x:c r="K22" s="9" t="str">
        <x:v>列表显示该直播权限通知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来源（当前证据）：liveshow-proto/MainBasis/统一需求文档.md；位置：REQ-4d0543771bfa；行2766
2. 规则：BR-b39dcfa93163b2d4
3. 未动态验证</x:v>
      </x:c>
    </x:row>
    <x:row r="23" ht="10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通知消息（公会长视角）</x:v>
      </x:c>
      <x:c r="E23" s="10" t="str">
        <x:v>功能需求</x:v>
      </x:c>
      <x:c r="F23" s="10" t="str">
        <x:v>P2</x:v>
      </x:c>
      <x:c r="G23" s="9" t="str">
        <x:v>验证公会通知展示公会状态事件</x:v>
      </x:c>
      <x:c r="H23" s="9" t="str">
        <x:v>公会公会状态通知</x:v>
      </x:c>
      <x:c r="I23" s="9" t="str">
        <x:v>1. 执行角色为公会长
2. 业务数据已准备且本页已打开；表单和筛选保持下列指定状态
3. 环境准备：当前管理公会已产生一条公会状态通知</x:v>
      </x:c>
      <x:c r="J23" s="9" t="str">
        <x:v>1. 查看通知消息页</x:v>
      </x:c>
      <x:c r="K23" s="9" t="str">
        <x:v>列表显示该公会状态通知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来源（当前证据）：liveshow-proto/MainBasis/统一需求文档.md；位置：REQ-ad9fa1638ecd；行2768
2. 规则：BR-b79b8a8add69b0d4
3. 未动态验证</x:v>
      </x:c>
    </x:row>
    <x:row r="24" ht="100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通知消息（公会长视角）</x:v>
      </x:c>
      <x:c r="E24" s="10" t="str">
        <x:v>功能需求</x:v>
      </x:c>
      <x:c r="F24" s="10" t="str">
        <x:v>P2</x:v>
      </x:c>
      <x:c r="G24" s="9" t="str">
        <x:v>验证公会通知展示运营账号管理权限事件</x:v>
      </x:c>
      <x:c r="H24" s="9" t="str">
        <x:v>公会运营账号管理权限通知</x:v>
      </x:c>
      <x:c r="I24" s="9" t="str">
        <x:v>1. 执行角色为公会长
2. 业务数据已准备且本页已打开；表单和筛选保持下列指定状态
3. 环境准备：当前管理公会已产生一条运营账号管理权限通知</x:v>
      </x:c>
      <x:c r="J24" s="9" t="str">
        <x:v>1. 查看通知消息页</x:v>
      </x:c>
      <x:c r="K24" s="9" t="str">
        <x:v>列表显示该运营账号管理权限通知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来源（当前证据）：liveshow-proto/MainBasis/统一需求文档.md；位置：REQ-ad9fa1638ecd；行2768
2. 规则：BR-00025ff71ffe0cc5
3. 未动态验证</x:v>
      </x:c>
    </x:row>
    <x:row r="25" ht="100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通知消息（公会长视角）</x:v>
      </x:c>
      <x:c r="E25" s="10" t="str">
        <x:v>功能需求</x:v>
      </x:c>
      <x:c r="F25" s="10" t="str">
        <x:v>P2</x:v>
      </x:c>
      <x:c r="G25" s="9" t="str">
        <x:v>验证公会通知展示主播分成事件</x:v>
      </x:c>
      <x:c r="H25" s="9" t="str">
        <x:v>公会主播分成通知</x:v>
      </x:c>
      <x:c r="I25" s="9" t="str">
        <x:v>1. 执行角色为公会长
2. 业务数据已准备且本页已打开；表单和筛选保持下列指定状态
3. 环境准备：当前管理公会已产生一条主播分成通知</x:v>
      </x:c>
      <x:c r="J25" s="9" t="str">
        <x:v>1. 查看通知消息页</x:v>
      </x:c>
      <x:c r="K25" s="9" t="str">
        <x:v>列表显示该主播分成通知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来源（当前证据）：liveshow-proto/MainBasis/统一需求文档.md；位置：REQ-bb6cd0c38874；行2770
2. 规则：BR-4d0c6665d9fffab5
3. 未动态验证</x:v>
      </x:c>
    </x:row>
    <x:row r="26" ht="100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通知消息（公会长视角）</x:v>
      </x:c>
      <x:c r="E26" s="10" t="str">
        <x:v>功能需求</x:v>
      </x:c>
      <x:c r="F26" s="10" t="str">
        <x:v>P2</x:v>
      </x:c>
      <x:c r="G26" s="9" t="str">
        <x:v>验证公会通知展示公会分成事件</x:v>
      </x:c>
      <x:c r="H26" s="9" t="str">
        <x:v>公会公会分成通知</x:v>
      </x:c>
      <x:c r="I26" s="9" t="str">
        <x:v>1. 执行角色为公会长
2. 业务数据已准备且本页已打开；表单和筛选保持下列指定状态
3. 环境准备：当前管理公会已产生一条公会分成通知</x:v>
      </x:c>
      <x:c r="J26" s="9" t="str">
        <x:v>1. 查看通知消息页</x:v>
      </x:c>
      <x:c r="K26" s="9" t="str">
        <x:v>列表显示该公会分成通知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来源（当前证据）：liveshow-proto/MainBasis/统一需求文档.md；位置：REQ-bb6cd0c38874；行2770
2. 规则：BR-a7c3084e35eb4a66
3. 未动态验证</x:v>
      </x:c>
    </x:row>
    <x:row r="27" ht="8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通知详情（公会长视角）</x:v>
      </x:c>
      <x:c r="E27" s="10" t="str">
        <x:v>功能需求</x:v>
      </x:c>
      <x:c r="F27" s="10" t="str">
        <x:v>P2</x:v>
      </x:c>
      <x:c r="G27" s="9" t="str">
        <x:v>验证进入公会通知详情标记已读</x:v>
      </x:c>
      <x:c r="H27" s="9" t="str">
        <x:v>公会通知已读更新</x:v>
      </x:c>
      <x:c r="I27" s="9" t="str">
        <x:v>1. 执行角色为公会长
2. 通知N当前未读</x:v>
      </x:c>
      <x:c r="J27" s="9" t="str">
        <x:v>1. 进入通知消息页
2. 点击通知N
3. 返回通知列表</x:v>
      </x:c>
      <x:c r="K27" s="9" t="str">
        <x:v>N不再显示未读标记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来源（当前证据）：liveshow-proto/MainBasis/统一需求文档.md；位置：REQ-f325634a9fac；行2785
2. 规则：BR-23e35e3f544ec15c
3. 未动态验证</x:v>
      </x:c>
    </x:row>
    <x:row r="28" ht="100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通知详情（公会长视角）</x:v>
      </x:c>
      <x:c r="E28" s="10" t="str">
        <x:v>逻辑校验</x:v>
      </x:c>
      <x:c r="F28" s="10" t="str">
        <x:v>P1</x:v>
      </x:c>
      <x:c r="G28" s="9" t="str">
        <x:v>验证有权限查看通知关联业务</x:v>
      </x:c>
      <x:c r="H28" s="9" t="str">
        <x:v>公会通知关联入口权限</x:v>
      </x:c>
      <x:c r="I28" s="9" t="str">
        <x:v>1. 执行角色为公会长
2. 业务数据已准备且本页已打开；表单和筛选保持下列指定状态
3. 当前通知关联入会申请单，账号有访问该记录权限</x:v>
      </x:c>
      <x:c r="J28" s="9" t="str">
        <x:v>1. 查看通知详情页</x:v>
      </x:c>
      <x:c r="K28" s="9" t="str">
        <x:v>显示关联业务入口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来源（当前证据）：liveshow-proto/MainBasis/统一需求文档.md；位置：REQ-90d3a493f427；行2783
2. 规则：BR-563f53e5f8730657
3. 未动态验证</x:v>
      </x:c>
    </x:row>
    <x:row r="29" ht="100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通知详情（公会长视角）</x:v>
      </x:c>
      <x:c r="E29" s="10" t="str">
        <x:v>逻辑校验</x:v>
      </x:c>
      <x:c r="F29" s="10" t="str">
        <x:v>P1</x:v>
      </x:c>
      <x:c r="G29" s="9" t="str">
        <x:v>验证无权限查看通知关联业务</x:v>
      </x:c>
      <x:c r="H29" s="9" t="str">
        <x:v>公会通知关联入口权限</x:v>
      </x:c>
      <x:c r="I29" s="9" t="str">
        <x:v>1. 执行角色为公会长
2. 业务数据已准备且本页已打开；表单和筛选保持下列指定状态
3. 当前通知关联入会申请单，账号无访问该记录权限</x:v>
      </x:c>
      <x:c r="J29" s="9" t="str">
        <x:v>1. 查看通知详情页</x:v>
      </x:c>
      <x:c r="K29" s="9" t="str">
        <x:v>不显示关联业务入口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来源（当前证据）：liveshow-proto/MainBasis/统一需求文档.md；位置：REQ-90d3a493f427；行2783
2. 规则：BR-f94853117bf9eefe
3. 未动态验证</x:v>
      </x:c>
    </x:row>
    <x:row r="30" ht="85" customHeight="1">
      <x:c r="A30" s="10" t="n">
        <x:v>29</x:v>
      </x:c>
      <x:c r="B30" s="10" t="str">
        <x:v>GUILD-02-0001</x:v>
      </x:c>
      <x:c r="C30" s="10" t="str">
        <x:v>主播管理</x:v>
      </x:c>
      <x:c r="D30" s="10" t="str">
        <x:v>入会申请（公会长视角）</x:v>
      </x:c>
      <x:c r="E30" s="10" t="str">
        <x:v>功能需求</x:v>
      </x:c>
      <x:c r="F30" s="10" t="str">
        <x:v>P2</x:v>
      </x:c>
      <x:c r="G30" s="9" t="str">
        <x:v>验证入会申请默认待处理列表</x:v>
      </x:c>
      <x:c r="H30" s="9" t="str">
        <x:v>入会默认状态筛选</x:v>
      </x:c>
      <x:c r="I30" s="9" t="str">
        <x:v>1. 执行角色为公会长</x:v>
      </x:c>
      <x:c r="J30" s="9" t="str">
        <x:v>1. 进入入会申请页</x:v>
      </x:c>
      <x:c r="K30" s="9" t="str">
        <x:v>选中审核中Tab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来源（当前证据）：liveshow-proto/MainBasis/统一需求文档.md；位置：REQ-7c3feec7bb55；行2790
2. 规则：BR-471104864aeb920b
3. 未动态验证</x:v>
      </x:c>
    </x:row>
    <x:row r="31" ht="100" customHeight="1">
      <x:c r="A31" s="10" t="n">
        <x:v>30</x:v>
      </x:c>
      <x:c r="B31" s="10" t="str">
        <x:v>GUILD-02-0002</x:v>
      </x:c>
      <x:c r="C31" s="10" t="str">
        <x:v>主播管理</x:v>
      </x:c>
      <x:c r="D31" s="10" t="str">
        <x:v>入会申请（公会长视角）</x:v>
      </x:c>
      <x:c r="E31" s="10" t="str">
        <x:v>逻辑校验</x:v>
      </x:c>
      <x:c r="F31" s="10" t="str">
        <x:v>P1</x:v>
      </x:c>
      <x:c r="G31" s="9" t="str">
        <x:v>验证入会列表筛选审核中</x:v>
      </x:c>
      <x:c r="H31" s="9" t="str">
        <x:v>入会审核中列表范围</x:v>
      </x:c>
      <x:c r="I31" s="9" t="str">
        <x:v>1. 执行角色为公会长
2. 业务数据已准备且本页已打开；表单和筛选保持下列指定状态
3. 当前公会有审核中及其他状态申请</x:v>
      </x:c>
      <x:c r="J31" s="9" t="str">
        <x:v>1. 查看入会申请页
2. 切换审核中</x:v>
      </x:c>
      <x:c r="K31" s="9" t="str">
        <x:v>只显示属于审核中分类的申请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来源（当前证据）：liveshow-proto/MainBasis/统一需求文档.md；位置：REQ-2627f61b5dcf；行2804
2. 规则：BR-5fb381bb880bbaf5
3. 未动态验证</x:v>
      </x:c>
    </x:row>
    <x:row r="32" ht="100" customHeight="1">
      <x:c r="A32" s="10" t="n">
        <x:v>31</x:v>
      </x:c>
      <x:c r="B32" s="10" t="str">
        <x:v>GUILD-02-0003</x:v>
      </x:c>
      <x:c r="C32" s="10" t="str">
        <x:v>主播管理</x:v>
      </x:c>
      <x:c r="D32" s="10" t="str">
        <x:v>入会申请（公会长视角）</x:v>
      </x:c>
      <x:c r="E32" s="10" t="str">
        <x:v>逻辑校验</x:v>
      </x:c>
      <x:c r="F32" s="10" t="str">
        <x:v>P1</x:v>
      </x:c>
      <x:c r="G32" s="9" t="str">
        <x:v>验证入会列表筛选已通过</x:v>
      </x:c>
      <x:c r="H32" s="9" t="str">
        <x:v>入会已通过列表范围</x:v>
      </x:c>
      <x:c r="I32" s="9" t="str">
        <x:v>1. 执行角色为公会长
2. 业务数据已准备且本页已打开；表单和筛选保持下列指定状态
3. 当前公会有已通过及其他状态申请</x:v>
      </x:c>
      <x:c r="J32" s="9" t="str">
        <x:v>1. 查看入会申请页
2. 切换已通过</x:v>
      </x:c>
      <x:c r="K32" s="9" t="str">
        <x:v>只显示属于已通过分类的申请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来源（当前证据）：liveshow-proto/MainBasis/统一需求文档.md；位置：REQ-2627f61b5dcf；行2804
2. 规则：BR-41711b073870108c
3. 未动态验证</x:v>
      </x:c>
    </x:row>
    <x:row r="33" ht="100" customHeight="1">
      <x:c r="A33" s="10" t="n">
        <x:v>32</x:v>
      </x:c>
      <x:c r="B33" s="10" t="str">
        <x:v>GUILD-02-0004</x:v>
      </x:c>
      <x:c r="C33" s="10" t="str">
        <x:v>主播管理</x:v>
      </x:c>
      <x:c r="D33" s="10" t="str">
        <x:v>入会申请（公会长视角）</x:v>
      </x:c>
      <x:c r="E33" s="10" t="str">
        <x:v>逻辑校验</x:v>
      </x:c>
      <x:c r="F33" s="10" t="str">
        <x:v>P1</x:v>
      </x:c>
      <x:c r="G33" s="9" t="str">
        <x:v>验证入会列表筛选已驳回</x:v>
      </x:c>
      <x:c r="H33" s="9" t="str">
        <x:v>入会已驳回列表范围</x:v>
      </x:c>
      <x:c r="I33" s="9" t="str">
        <x:v>1. 执行角色为公会长
2. 业务数据已准备且本页已打开；表单和筛选保持下列指定状态
3. 当前公会有已驳回及其他状态申请</x:v>
      </x:c>
      <x:c r="J33" s="9" t="str">
        <x:v>1. 查看入会申请页
2. 切换已驳回</x:v>
      </x:c>
      <x:c r="K33" s="9" t="str">
        <x:v>只显示属于已驳回分类的申请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来源（当前证据）：liveshow-proto/MainBasis/统一需求文档.md；位置：REQ-2627f61b5dcf；行2804
2. 规则：BR-faca3f1e7525af44
3. 未动态验证</x:v>
      </x:c>
    </x:row>
    <x:row r="34" ht="85" customHeight="1">
      <x:c r="A34" s="10" t="n">
        <x:v>33</x:v>
      </x:c>
      <x:c r="B34" s="10" t="str">
        <x:v>GUILD-02-0005</x:v>
      </x:c>
      <x:c r="C34" s="10" t="str">
        <x:v>主播管理</x:v>
      </x:c>
      <x:c r="D34" s="10" t="str">
        <x:v>入会申请（公会长视角）</x:v>
      </x:c>
      <x:c r="E34" s="10" t="str">
        <x:v>功能需求</x:v>
      </x:c>
      <x:c r="F34" s="10" t="str">
        <x:v>P2</x:v>
      </x:c>
      <x:c r="G34" s="9" t="str">
        <x:v>验证入会列表进入申请详情</x:v>
      </x:c>
      <x:c r="H34" s="9" t="str">
        <x:v>入会详情入口</x:v>
      </x:c>
      <x:c r="I34" s="9" t="str">
        <x:v>1. 执行角色为公会长
2. 业务数据已准备且本页已打开；表单和筛选保持下列指定状态
3. 存在当前公会申请单A</x:v>
      </x:c>
      <x:c r="J34" s="9" t="str">
        <x:v>1. 查看入会申请页
2. 点击申请单A</x:v>
      </x:c>
      <x:c r="K34" s="9" t="str">
        <x:v>进入入会申请详情页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来源（当前证据）：liveshow-proto/MainBasis/统一需求文档.md；位置：REQ-2627f61b5dcf；行2804
2. 规则：BR-e6deeeef62b7f9b3
3. 未动态验证</x:v>
      </x:c>
    </x:row>
    <x:row r="35" ht="85" customHeight="1">
      <x:c r="A35" s="10" t="n">
        <x:v>34</x:v>
      </x:c>
      <x:c r="B35" s="10" t="str">
        <x:v>GUILD-02-0006</x:v>
      </x:c>
      <x:c r="C35" s="10" t="str">
        <x:v>主播管理</x:v>
      </x:c>
      <x:c r="D35" s="10" t="str">
        <x:v>退会申请（公会长视角）</x:v>
      </x:c>
      <x:c r="E35" s="10" t="str">
        <x:v>功能需求</x:v>
      </x:c>
      <x:c r="F35" s="10" t="str">
        <x:v>P2</x:v>
      </x:c>
      <x:c r="G35" s="9" t="str">
        <x:v>验证退会申请默认待处理列表</x:v>
      </x:c>
      <x:c r="H35" s="9" t="str">
        <x:v>退会默认状态筛选</x:v>
      </x:c>
      <x:c r="I35" s="9" t="str">
        <x:v>1. 执行角色为公会长</x:v>
      </x:c>
      <x:c r="J35" s="9" t="str">
        <x:v>1. 进入退会申请页</x:v>
      </x:c>
      <x:c r="K35" s="9" t="str">
        <x:v>选中审核中Tab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来源（当前证据）：liveshow-proto/MainBasis/统一需求文档.md；位置：REQ-34f3e2e1e60c；行2842
2. 规则：BR-e36d75ba1a7375be
3. 未动态验证</x:v>
      </x:c>
    </x:row>
    <x:row r="36" ht="100" customHeight="1">
      <x:c r="A36" s="10" t="n">
        <x:v>35</x:v>
      </x:c>
      <x:c r="B36" s="10" t="str">
        <x:v>GUILD-02-0007</x:v>
      </x:c>
      <x:c r="C36" s="10" t="str">
        <x:v>主播管理</x:v>
      </x:c>
      <x:c r="D36" s="10" t="str">
        <x:v>退会申请（公会长视角）</x:v>
      </x:c>
      <x:c r="E36" s="10" t="str">
        <x:v>逻辑校验</x:v>
      </x:c>
      <x:c r="F36" s="10" t="str">
        <x:v>P1</x:v>
      </x:c>
      <x:c r="G36" s="9" t="str">
        <x:v>验证退会列表筛选审核中</x:v>
      </x:c>
      <x:c r="H36" s="9" t="str">
        <x:v>退会审核中列表范围</x:v>
      </x:c>
      <x:c r="I36" s="9" t="str">
        <x:v>1. 执行角色为公会长
2. 业务数据已准备且本页已打开；表单和筛选保持下列指定状态
3. 当前公会有审核中及其他状态申请</x:v>
      </x:c>
      <x:c r="J36" s="9" t="str">
        <x:v>1. 查看退会申请页
2. 切换审核中</x:v>
      </x:c>
      <x:c r="K36" s="9" t="str">
        <x:v>只显示属于审核中分类的申请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来源（当前证据）：liveshow-proto/MainBasis/统一需求文档.md；位置：REQ-e238b21c76a7；行2854
2. 规则：BR-fca2a25e53bf3554
3. 未动态验证</x:v>
      </x:c>
    </x:row>
    <x:row r="37" ht="100" customHeight="1">
      <x:c r="A37" s="10" t="n">
        <x:v>36</x:v>
      </x:c>
      <x:c r="B37" s="10" t="str">
        <x:v>GUILD-02-0008</x:v>
      </x:c>
      <x:c r="C37" s="10" t="str">
        <x:v>主播管理</x:v>
      </x:c>
      <x:c r="D37" s="10" t="str">
        <x:v>退会申请（公会长视角）</x:v>
      </x:c>
      <x:c r="E37" s="10" t="str">
        <x:v>逻辑校验</x:v>
      </x:c>
      <x:c r="F37" s="10" t="str">
        <x:v>P1</x:v>
      </x:c>
      <x:c r="G37" s="9" t="str">
        <x:v>验证退会列表筛选已通过</x:v>
      </x:c>
      <x:c r="H37" s="9" t="str">
        <x:v>退会已通过列表范围</x:v>
      </x:c>
      <x:c r="I37" s="9" t="str">
        <x:v>1. 执行角色为公会长
2. 业务数据已准备且本页已打开；表单和筛选保持下列指定状态
3. 当前公会有已通过及其他状态申请</x:v>
      </x:c>
      <x:c r="J37" s="9" t="str">
        <x:v>1. 查看退会申请页
2. 切换已通过</x:v>
      </x:c>
      <x:c r="K37" s="9" t="str">
        <x:v>只显示属于已通过分类的申请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来源（当前证据）：liveshow-proto/MainBasis/统一需求文档.md；位置：REQ-e238b21c76a7；行2854
2. 规则：BR-c9af16d087284a3f
3. 未动态验证</x:v>
      </x:c>
    </x:row>
    <x:row r="38" ht="100" customHeight="1">
      <x:c r="A38" s="10" t="n">
        <x:v>37</x:v>
      </x:c>
      <x:c r="B38" s="10" t="str">
        <x:v>GUILD-02-0009</x:v>
      </x:c>
      <x:c r="C38" s="10" t="str">
        <x:v>主播管理</x:v>
      </x:c>
      <x:c r="D38" s="10" t="str">
        <x:v>退会申请（公会长视角）</x:v>
      </x:c>
      <x:c r="E38" s="10" t="str">
        <x:v>逻辑校验</x:v>
      </x:c>
      <x:c r="F38" s="10" t="str">
        <x:v>P1</x:v>
      </x:c>
      <x:c r="G38" s="9" t="str">
        <x:v>验证退会列表筛选已驳回</x:v>
      </x:c>
      <x:c r="H38" s="9" t="str">
        <x:v>退会已驳回列表范围</x:v>
      </x:c>
      <x:c r="I38" s="9" t="str">
        <x:v>1. 执行角色为公会长
2. 业务数据已准备且本页已打开；表单和筛选保持下列指定状态
3. 当前公会有已驳回及其他状态申请</x:v>
      </x:c>
      <x:c r="J38" s="9" t="str">
        <x:v>1. 查看退会申请页
2. 切换已驳回</x:v>
      </x:c>
      <x:c r="K38" s="9" t="str">
        <x:v>只显示属于已驳回分类的申请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来源（当前证据）：liveshow-proto/MainBasis/统一需求文档.md；位置：REQ-e238b21c76a7；行2854
2. 规则：BR-c2f6631e5be3494f
3. 未动态验证</x:v>
      </x:c>
    </x:row>
    <x:row r="39" ht="85" customHeight="1">
      <x:c r="A39" s="10" t="n">
        <x:v>38</x:v>
      </x:c>
      <x:c r="B39" s="10" t="str">
        <x:v>GUILD-02-0010</x:v>
      </x:c>
      <x:c r="C39" s="10" t="str">
        <x:v>主播管理</x:v>
      </x:c>
      <x:c r="D39" s="10" t="str">
        <x:v>退会申请（公会长视角）</x:v>
      </x:c>
      <x:c r="E39" s="10" t="str">
        <x:v>功能需求</x:v>
      </x:c>
      <x:c r="F39" s="10" t="str">
        <x:v>P2</x:v>
      </x:c>
      <x:c r="G39" s="9" t="str">
        <x:v>验证退会列表进入申请详情</x:v>
      </x:c>
      <x:c r="H39" s="9" t="str">
        <x:v>退会详情入口</x:v>
      </x:c>
      <x:c r="I39" s="9" t="str">
        <x:v>1. 执行角色为公会长
2. 业务数据已准备且本页已打开；表单和筛选保持下列指定状态
3. 存在当前公会申请单A</x:v>
      </x:c>
      <x:c r="J39" s="9" t="str">
        <x:v>1. 查看退会申请页
2. 点击申请单A</x:v>
      </x:c>
      <x:c r="K39" s="9" t="str">
        <x:v>进入退会申请详情页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来源（当前证据）：liveshow-proto/MainBasis/统一需求文档.md；位置：REQ-e238b21c76a7；行2854
2. 规则：BR-707daa6d2dc69a86
3. 未动态验证</x:v>
      </x:c>
    </x:row>
    <x:row r="40" ht="85" customHeight="1">
      <x:c r="A40" s="10" t="n">
        <x:v>39</x:v>
      </x:c>
      <x:c r="B40" s="10" t="str">
        <x:v>GUILD-02-0011</x:v>
      </x:c>
      <x:c r="C40" s="10" t="str">
        <x:v>主播管理</x:v>
      </x:c>
      <x:c r="D40" s="10" t="str">
        <x:v>入会申请详情（公会长视角）</x:v>
      </x:c>
      <x:c r="E40" s="10" t="str">
        <x:v>逻辑校验</x:v>
      </x:c>
      <x:c r="F40" s="10" t="str">
        <x:v>P1</x:v>
      </x:c>
      <x:c r="G40" s="9" t="str">
        <x:v>验证通过入会前确认</x:v>
      </x:c>
      <x:c r="H40" s="9" t="str">
        <x:v>公会入会通过确认</x:v>
      </x:c>
      <x:c r="I40" s="9" t="str">
        <x:v>1. 执行角色为公会长
2. 业务数据已准备且本页已打开；表单和筛选保持下列指定状态
3. 当前申请待公会审核</x:v>
      </x:c>
      <x:c r="J40" s="9" t="str">
        <x:v>1. 查看入会申请详情页
2. 点击通过</x:v>
      </x:c>
      <x:c r="K40" s="9" t="str">
        <x:v>显示通过申请二次确认弹窗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来源（当前证据）：liveshow-proto/MainBasis/统一需求文档.md；位置：REQ-58a3b3083f47；行2835
2. 规则：BR-3f6b690a79a73fe6
3. 未动态验证</x:v>
      </x:c>
    </x:row>
    <x:row r="41" ht="100" customHeight="1">
      <x:c r="A41" s="10" t="n">
        <x:v>40</x:v>
      </x:c>
      <x:c r="B41" s="10" t="str">
        <x:v>GUILD-02-0012</x:v>
      </x:c>
      <x:c r="C41" s="10" t="str">
        <x:v>主播管理</x:v>
      </x:c>
      <x:c r="D41" s="10" t="str">
        <x:v>入会申请详情（公会长视角）</x:v>
      </x:c>
      <x:c r="E41" s="10" t="str">
        <x:v>业务流程</x:v>
      </x:c>
      <x:c r="F41" s="10" t="str">
        <x:v>P0</x:v>
      </x:c>
      <x:c r="G41" s="9" t="str">
        <x:v>验证公会通过后提交平台终审</x:v>
      </x:c>
      <x:c r="H41" s="9" t="str">
        <x:v>公会初审通过去向</x:v>
      </x:c>
      <x:c r="I41" s="9" t="str">
        <x:v>1. 执行角色为公会长
2. 业务数据已准备且本页已打开；表单和筛选保持下列指定状态
3. 申请A待公会审核且资料完整</x:v>
      </x:c>
      <x:c r="J41" s="9" t="str">
        <x:v>1. 查看入会申请详情页
2. 点击通过
3. 点击确认</x:v>
      </x:c>
      <x:c r="K41" s="9" t="str">
        <x:v>申请A进入平台审核中</x:v>
      </x:c>
      <x:c r="L41" s="10" t="str">
        <x:v>FLOW-B8276CAE9E</x:v>
      </x:c>
      <x:c r="M41" s="10" t="str">
        <x:v>未测</x:v>
      </x:c>
      <x:c r="N41" s="10" t="str"/>
      <x:c r="O41" s="9" t="str">
        <x:v>1. 来源（当前证据）：liveshow-proto/MainBasis/统一需求文档.md；位置：REQ-58a3b3083f47；行2835
2. 规则：BR-92337d9905f7d084
3. 未动态验证</x:v>
      </x:c>
    </x:row>
    <x:row r="42" ht="85" customHeight="1">
      <x:c r="A42" s="10" t="n">
        <x:v>41</x:v>
      </x:c>
      <x:c r="B42" s="10" t="str">
        <x:v>GUILD-02-0013</x:v>
      </x:c>
      <x:c r="C42" s="10" t="str">
        <x:v>主播管理</x:v>
      </x:c>
      <x:c r="D42" s="10" t="str">
        <x:v>入会申请详情（公会长视角）</x:v>
      </x:c>
      <x:c r="E42" s="10" t="str">
        <x:v>逻辑校验</x:v>
      </x:c>
      <x:c r="F42" s="10" t="str">
        <x:v>P1</x:v>
      </x:c>
      <x:c r="G42" s="9" t="str">
        <x:v>验证入会驳回不填写理由</x:v>
      </x:c>
      <x:c r="H42" s="9" t="str">
        <x:v>入会空驳回理由回显</x:v>
      </x:c>
      <x:c r="I42" s="9" t="str">
        <x:v>1. 执行角色为公会长
2. 业务数据已准备且本页已打开；表单和筛选保持下列指定状态
3. 当前入会申请待公会处理</x:v>
      </x:c>
      <x:c r="J42" s="9" t="str">
        <x:v>1. 查看入会申请详情页
2. 点击驳回
3. 清空驳回理由
4. 点击确认</x:v>
      </x:c>
      <x:c r="K42" s="9" t="str">
        <x:v>对应驳回理由显示“未填写”</x:v>
      </x:c>
      <x:c r="L42" s="10" t="str">
        <x:v>FLOW-B8276CAE9E</x:v>
      </x:c>
      <x:c r="M42" s="10" t="str">
        <x:v>未测</x:v>
      </x:c>
      <x:c r="N42" s="10" t="str"/>
      <x:c r="O42" s="9" t="str">
        <x:v>1. 来源（当前证据）：liveshow-proto/MainBasis/统一需求文档.md；位置：REQ-53046ad842aa；行2825
2. 规则：BR-3cad42c1619775ed
3. 未动态验证</x:v>
      </x:c>
    </x:row>
    <x:row r="43" ht="85" customHeight="1">
      <x:c r="A43" s="10" t="n">
        <x:v>42</x:v>
      </x:c>
      <x:c r="B43" s="10" t="str">
        <x:v>GUILD-02-0014</x:v>
      </x:c>
      <x:c r="C43" s="10" t="str">
        <x:v>主播管理</x:v>
      </x:c>
      <x:c r="D43" s="10" t="str">
        <x:v>入会申请详情（公会长视角）</x:v>
      </x:c>
      <x:c r="E43" s="10" t="str">
        <x:v>逻辑校验</x:v>
      </x:c>
      <x:c r="F43" s="10" t="str">
        <x:v>P1</x:v>
      </x:c>
      <x:c r="G43" s="9" t="str">
        <x:v>验证入会驳回理由200字符边界</x:v>
      </x:c>
      <x:c r="H43" s="9" t="str">
        <x:v>入会驳回理由长度</x:v>
      </x:c>
      <x:c r="I43" s="9" t="str">
        <x:v>1. 执行角色为公会长
2. 业务数据已准备且本页已打开；表单和筛选保持下列指定状态
3. 当前入会申请待公会处理</x:v>
      </x:c>
      <x:c r="J43" s="9" t="str">
        <x:v>1. 查看入会申请详情页
2. 点击驳回
3. 填写驳回理由为200个A
4. 输入驳回理由末尾追加B</x:v>
      </x:c>
      <x:c r="K43" s="9" t="str">
        <x:v>驳回理由不接受超过200字符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来源（当前证据）：liveshow-proto/MainBasis/统一需求文档.md；位置：REQ-53046ad842aa；行2825
2. 规则：BR-b9042e68dbf792ca
3. 未动态验证</x:v>
      </x:c>
    </x:row>
    <x:row r="44" ht="85" customHeight="1">
      <x:c r="A44" s="10" t="n">
        <x:v>43</x:v>
      </x:c>
      <x:c r="B44" s="10" t="str">
        <x:v>GUILD-02-0015</x:v>
      </x:c>
      <x:c r="C44" s="10" t="str">
        <x:v>主播管理</x:v>
      </x:c>
      <x:c r="D44" s="10" t="str">
        <x:v>入会申请详情（公会长视角）</x:v>
      </x:c>
      <x:c r="E44" s="10" t="str">
        <x:v>逻辑校验</x:v>
      </x:c>
      <x:c r="F44" s="10" t="str">
        <x:v>P1</x:v>
      </x:c>
      <x:c r="G44" s="9" t="str">
        <x:v>验证已处理入会申请不能重复审核</x:v>
      </x:c>
      <x:c r="H44" s="9" t="str">
        <x:v>入会终态只读</x:v>
      </x:c>
      <x:c r="I44" s="9" t="str">
        <x:v>1. 执行角色为公会长
2. 业务数据已准备且本页已打开；表单和筛选保持下列指定状态
3. 当前入会申请已驳回</x:v>
      </x:c>
      <x:c r="J44" s="9" t="str">
        <x:v>1. 查看入会申请详情页</x:v>
      </x:c>
      <x:c r="K44" s="9" t="str">
        <x:v>审核结果只读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来源（当前证据）：liveshow-proto/MainBasis/统一需求文档.md；位置：REQ-291af42ec723；行2833
2. 规则：BR-fdd1f5bcef767676
3. 未动态验证</x:v>
      </x:c>
    </x:row>
    <x:row r="45" ht="85" customHeight="1">
      <x:c r="A45" s="10" t="n">
        <x:v>44</x:v>
      </x:c>
      <x:c r="B45" s="10" t="str">
        <x:v>GUILD-02-0016</x:v>
      </x:c>
      <x:c r="C45" s="10" t="str">
        <x:v>主播管理</x:v>
      </x:c>
      <x:c r="D45" s="10" t="str">
        <x:v>退会申请详情（公会长视角）</x:v>
      </x:c>
      <x:c r="E45" s="10" t="str">
        <x:v>逻辑校验</x:v>
      </x:c>
      <x:c r="F45" s="10" t="str">
        <x:v>P1</x:v>
      </x:c>
      <x:c r="G45" s="9" t="str">
        <x:v>验证退会驳回不填写理由</x:v>
      </x:c>
      <x:c r="H45" s="9" t="str">
        <x:v>退会空驳回理由回显</x:v>
      </x:c>
      <x:c r="I45" s="9" t="str">
        <x:v>1. 执行角色为公会长
2. 业务数据已准备且本页已打开；表单和筛选保持下列指定状态
3. 当前退会申请待公会处理</x:v>
      </x:c>
      <x:c r="J45" s="9" t="str">
        <x:v>1. 查看退会申请详情页
2. 点击驳回
3. 清空驳回理由
4. 点击确认</x:v>
      </x:c>
      <x:c r="K45" s="9" t="str">
        <x:v>对应驳回理由显示“未填写”</x:v>
      </x:c>
      <x:c r="L45" s="10" t="str">
        <x:v>FLOW-289CDBD17D</x:v>
      </x:c>
      <x:c r="M45" s="10" t="str">
        <x:v>未测</x:v>
      </x:c>
      <x:c r="N45" s="10" t="str"/>
      <x:c r="O45" s="9" t="str">
        <x:v>1. 来源（当前证据）：liveshow-proto/MainBasis/统一需求文档.md；位置：REQ-30c7a0c47120；行2873
2. 规则：BR-0fcde31a0467fdd9
3. 未动态验证</x:v>
      </x:c>
    </x:row>
    <x:row r="46" ht="100" customHeight="1">
      <x:c r="A46" s="10" t="n">
        <x:v>45</x:v>
      </x:c>
      <x:c r="B46" s="10" t="str">
        <x:v>GUILD-02-0017</x:v>
      </x:c>
      <x:c r="C46" s="10" t="str">
        <x:v>主播管理</x:v>
      </x:c>
      <x:c r="D46" s="10" t="str">
        <x:v>退会申请详情（公会长视角）</x:v>
      </x:c>
      <x:c r="E46" s="10" t="str">
        <x:v>逻辑校验</x:v>
      </x:c>
      <x:c r="F46" s="10" t="str">
        <x:v>P1</x:v>
      </x:c>
      <x:c r="G46" s="9" t="str">
        <x:v>验证退会驳回理由200字符边界</x:v>
      </x:c>
      <x:c r="H46" s="9" t="str">
        <x:v>退会驳回理由长度</x:v>
      </x:c>
      <x:c r="I46" s="9" t="str">
        <x:v>1. 执行角色为公会长
2. 业务数据已准备且本页已打开；表单和筛选保持下列指定状态
3. 当前退会申请待公会处理</x:v>
      </x:c>
      <x:c r="J46" s="9" t="str">
        <x:v>1. 查看退会申请详情页
2. 点击驳回
3. 填写驳回理由为200个A
4. 输入驳回理由末尾追加B</x:v>
      </x:c>
      <x:c r="K46" s="9" t="str">
        <x:v>驳回理由不接受超过200字符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来源（当前证据）：liveshow-proto/MainBasis/统一需求文档.md；位置：REQ-30c7a0c47120；行2873、REQ-4e84386ce9a6；行2879
2. 规则：BR-8437f7b450736f29
3. 未动态验证</x:v>
      </x:c>
    </x:row>
    <x:row r="47" ht="85" customHeight="1">
      <x:c r="A47" s="10" t="n">
        <x:v>46</x:v>
      </x:c>
      <x:c r="B47" s="10" t="str">
        <x:v>GUILD-02-0018</x:v>
      </x:c>
      <x:c r="C47" s="10" t="str">
        <x:v>主播管理</x:v>
      </x:c>
      <x:c r="D47" s="10" t="str">
        <x:v>退会申请详情（公会长视角）</x:v>
      </x:c>
      <x:c r="E47" s="10" t="str">
        <x:v>逻辑校验</x:v>
      </x:c>
      <x:c r="F47" s="10" t="str">
        <x:v>P1</x:v>
      </x:c>
      <x:c r="G47" s="9" t="str">
        <x:v>验证已处理退会申请不能重复审核</x:v>
      </x:c>
      <x:c r="H47" s="9" t="str">
        <x:v>退会终态只读</x:v>
      </x:c>
      <x:c r="I47" s="9" t="str">
        <x:v>1. 执行角色为公会长
2. 业务数据已准备且本页已打开；表单和筛选保持下列指定状态
3. 当前退会申请已驳回</x:v>
      </x:c>
      <x:c r="J47" s="9" t="str">
        <x:v>1. 查看退会申请详情页</x:v>
      </x:c>
      <x:c r="K47" s="9" t="str">
        <x:v>审核结果只读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来源（当前证据）：liveshow-proto/MainBasis/统一需求文档.md；位置：REQ-4e84386ce9a6；行2879
2. 规则：BR-bbde833596e68d37
3. 未动态验证</x:v>
      </x:c>
    </x:row>
    <x:row r="48" ht="100" customHeight="1">
      <x:c r="A48" s="10" t="n">
        <x:v>47</x:v>
      </x:c>
      <x:c r="B48" s="10" t="str">
        <x:v>GUILD-02-0019</x:v>
      </x:c>
      <x:c r="C48" s="10" t="str">
        <x:v>主播管理</x:v>
      </x:c>
      <x:c r="D48" s="10" t="str">
        <x:v>入会申请详情（公会长视角）</x:v>
      </x:c>
      <x:c r="E48" s="10" t="str">
        <x:v>功能需求</x:v>
      </x:c>
      <x:c r="F48" s="10" t="str">
        <x:v>P2</x:v>
      </x:c>
      <x:c r="G48" s="9" t="str">
        <x:v>验证查看申请本人照片</x:v>
      </x:c>
      <x:c r="H48" s="9" t="str">
        <x:v>申请本人照片大图</x:v>
      </x:c>
      <x:c r="I48" s="9" t="str">
        <x:v>1. 执行角色为公会长
2. 业务数据已准备且本页已打开；表单和筛选保持下列指定状态
3. 申请包含本人照片测试图片A</x:v>
      </x:c>
      <x:c r="J48" s="9" t="str">
        <x:v>1. 查看入会申请详情页
2. 点击本人照片</x:v>
      </x:c>
      <x:c r="K48" s="9" t="str">
        <x:v>打开所选材料大图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来源（当前证据）：liveshow-proto/MainBasis/统一需求文档.md；位置：REQ-282f21a0e2d2；行2837、REQ-7de42daabd25；行2819
2. 规则：BR-73b3c91555b024a6
3. 未动态验证</x:v>
      </x:c>
    </x:row>
    <x:row r="49" ht="100" customHeight="1">
      <x:c r="A49" s="10" t="n">
        <x:v>48</x:v>
      </x:c>
      <x:c r="B49" s="10" t="str">
        <x:v>GUILD-02-0020</x:v>
      </x:c>
      <x:c r="C49" s="10" t="str">
        <x:v>主播管理</x:v>
      </x:c>
      <x:c r="D49" s="10" t="str">
        <x:v>入会申请详情（公会长视角）</x:v>
      </x:c>
      <x:c r="E49" s="10" t="str">
        <x:v>功能需求</x:v>
      </x:c>
      <x:c r="F49" s="10" t="str">
        <x:v>P2</x:v>
      </x:c>
      <x:c r="G49" s="9" t="str">
        <x:v>验证查看申请证件正面</x:v>
      </x:c>
      <x:c r="H49" s="9" t="str">
        <x:v>申请证件正面大图</x:v>
      </x:c>
      <x:c r="I49" s="9" t="str">
        <x:v>1. 执行角色为公会长
2. 业务数据已准备且本页已打开；表单和筛选保持下列指定状态
3. 申请包含证件正面测试图片A</x:v>
      </x:c>
      <x:c r="J49" s="9" t="str">
        <x:v>1. 查看入会申请详情页
2. 点击证件正面</x:v>
      </x:c>
      <x:c r="K49" s="9" t="str">
        <x:v>打开所选材料大图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来源（当前证据）：liveshow-proto/MainBasis/统一需求文档.md；位置：REQ-282f21a0e2d2；行2837、REQ-7de42daabd25；行2819
2. 规则：BR-fb0a27dc65a32745
3. 未动态验证</x:v>
      </x:c>
    </x:row>
    <x:row r="50" ht="100" customHeight="1">
      <x:c r="A50" s="10" t="n">
        <x:v>49</x:v>
      </x:c>
      <x:c r="B50" s="10" t="str">
        <x:v>GUILD-02-0021</x:v>
      </x:c>
      <x:c r="C50" s="10" t="str">
        <x:v>主播管理</x:v>
      </x:c>
      <x:c r="D50" s="10" t="str">
        <x:v>入会申请详情（公会长视角）</x:v>
      </x:c>
      <x:c r="E50" s="10" t="str">
        <x:v>功能需求</x:v>
      </x:c>
      <x:c r="F50" s="10" t="str">
        <x:v>P2</x:v>
      </x:c>
      <x:c r="G50" s="9" t="str">
        <x:v>验证查看申请证件反面</x:v>
      </x:c>
      <x:c r="H50" s="9" t="str">
        <x:v>申请证件反面大图</x:v>
      </x:c>
      <x:c r="I50" s="9" t="str">
        <x:v>1. 执行角色为公会长
2. 业务数据已准备且本页已打开；表单和筛选保持下列指定状态
3. 申请包含证件反面测试图片A</x:v>
      </x:c>
      <x:c r="J50" s="9" t="str">
        <x:v>1. 查看入会申请详情页
2. 点击证件反面</x:v>
      </x:c>
      <x:c r="K50" s="9" t="str">
        <x:v>打开所选材料大图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来源（当前证据）：liveshow-proto/MainBasis/统一需求文档.md；位置：REQ-282f21a0e2d2；行2837、REQ-7de42daabd25；行2819
2. 规则：BR-a2eab04b9d4bcd73
3. 未动态验证</x:v>
      </x:c>
    </x:row>
    <x:row r="51" ht="100" customHeight="1">
      <x:c r="A51" s="10" t="n">
        <x:v>50</x:v>
      </x:c>
      <x:c r="B51" s="10" t="str">
        <x:v>GUILD-02-0022</x:v>
      </x:c>
      <x:c r="C51" s="10" t="str">
        <x:v>主播管理</x:v>
      </x:c>
      <x:c r="D51" s="10" t="str">
        <x:v>入会申请详情（公会长视角）</x:v>
      </x:c>
      <x:c r="E51" s="10" t="str">
        <x:v>逻辑校验</x:v>
      </x:c>
      <x:c r="F51" s="10" t="str">
        <x:v>P1</x:v>
      </x:c>
      <x:c r="G51" s="9" t="str">
        <x:v>验证平台驳回后新单重新公会审核</x:v>
      </x:c>
      <x:c r="H51" s="9" t="str">
        <x:v>重新申请公会审核资格</x:v>
      </x:c>
      <x:c r="I51" s="9" t="str">
        <x:v>1. 执行角色为公会长
2. 业务数据已准备且本页已打开；表单和筛选保持下列指定状态
3. 旧申请公会通过、平台驳回，用户已提交新申请B</x:v>
      </x:c>
      <x:c r="J51" s="9" t="str">
        <x:v>1. 查看入会申请详情页</x:v>
      </x:c>
      <x:c r="K51" s="9" t="str">
        <x:v>新申请B的公会审核状态为待审核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来源（当前证据）：liveshow-proto/MainBasis/统一需求文档.md；位置：REQ-894cab3df5ee；行2831
2. 规则：BR-d3f6150c40333435
3. 未动态验证</x:v>
      </x:c>
    </x:row>
    <x:row r="52" ht="85" customHeight="1">
      <x:c r="A52" s="10" t="n">
        <x:v>51</x:v>
      </x:c>
      <x:c r="B52" s="10" t="str">
        <x:v>GUILD-02-0023</x:v>
      </x:c>
      <x:c r="C52" s="10" t="str">
        <x:v>主播管理</x:v>
      </x:c>
      <x:c r="D52" s="10" t="str">
        <x:v>入会申请详情（公会长视角）</x:v>
      </x:c>
      <x:c r="E52" s="10" t="str">
        <x:v>逻辑校验</x:v>
      </x:c>
      <x:c r="F52" s="10" t="str">
        <x:v>P1</x:v>
      </x:c>
      <x:c r="G52" s="9" t="str">
        <x:v>验证平台通过后查看主播主页</x:v>
      </x:c>
      <x:c r="H52" s="9" t="str">
        <x:v>审核通过主播详情入口</x:v>
      </x:c>
      <x:c r="I52" s="9" t="str">
        <x:v>1. 执行角色为公会长
2. 业务数据已准备且本页已打开；表单和筛选保持下列指定状态
3. 该申请已通过平台终审</x:v>
      </x:c>
      <x:c r="J52" s="9" t="str">
        <x:v>1. 查看入会申请详情页
2. 点击查看主页</x:v>
      </x:c>
      <x:c r="K52" s="9" t="str">
        <x:v>进入该主播详情</x:v>
      </x:c>
      <x:c r="L52" s="10" t="str">
        <x:v>FLOW-B8276CAE9E</x:v>
      </x:c>
      <x:c r="M52" s="10" t="str">
        <x:v>未测</x:v>
      </x:c>
      <x:c r="N52" s="10" t="str"/>
      <x:c r="O52" s="9" t="str">
        <x:v>1. 来源（当前证据）：liveshow-proto/MainBasis/统一需求文档.md；位置：REQ-282f21a0e2d2；行2837
2. 规则：BR-8b9acebc60e1dec4
3. 未动态验证</x:v>
      </x:c>
    </x:row>
    <x:row r="53" ht="130" customHeight="1">
      <x:c r="A53" s="10" t="n">
        <x:v>52</x:v>
      </x:c>
      <x:c r="B53" s="10" t="str">
        <x:v>GUILD-02-0024</x:v>
      </x:c>
      <x:c r="C53" s="10" t="str">
        <x:v>主播管理</x:v>
      </x:c>
      <x:c r="D53" s="10" t="str">
        <x:v>退会申请详情（公会长视角）</x:v>
      </x:c>
      <x:c r="E53" s="10" t="str">
        <x:v>逻辑校验</x:v>
      </x:c>
      <x:c r="F53" s="10" t="str">
        <x:v>P1</x:v>
      </x:c>
      <x:c r="G53" s="9" t="str">
        <x:v>验证通过退会前二次确认</x:v>
      </x:c>
      <x:c r="H53" s="9" t="str">
        <x:v>退会审核确认</x:v>
      </x:c>
      <x:c r="I53" s="9" t="str">
        <x:v>1. 执行角色为公会长
2. 业务数据已准备且本页已打开；表单和筛选保持下列指定状态
3. 申请待公会审核
4. 环境准备：测试版本需实现当前批注明确要求的退会二次确认，静态原型尚未接入</x:v>
      </x:c>
      <x:c r="J53" s="9" t="str">
        <x:v>1. 查看退会申请详情页
2. 点击通过</x:v>
      </x:c>
      <x:c r="K53" s="9" t="str">
        <x:v>显示通过退会二次确认弹窗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来源（当前证据）：liveshow-proto/MainBasis/统一需求文档.md；位置：REQ-4e84386ce9a6；行2879
2. 规则：BR-19b246d05cdc239b
3. 未动态验证</x:v>
      </x:c>
    </x:row>
    <x:row r="54" ht="100" customHeight="1">
      <x:c r="A54" s="10" t="n">
        <x:v>53</x:v>
      </x:c>
      <x:c r="B54" s="10" t="str">
        <x:v>GUILD-02-0025</x:v>
      </x:c>
      <x:c r="C54" s="10" t="str">
        <x:v>主播管理</x:v>
      </x:c>
      <x:c r="D54" s="10" t="str">
        <x:v>主播列表（公会长视角）</x:v>
      </x:c>
      <x:c r="E54" s="10" t="str">
        <x:v>业务流程</x:v>
      </x:c>
      <x:c r="F54" s="10" t="str">
        <x:v>P0</x:v>
      </x:c>
      <x:c r="G54" s="9" t="str">
        <x:v>验证确认通过退会移除在会关系</x:v>
      </x:c>
      <x:c r="H54" s="9" t="str">
        <x:v>退会通过后的公会关系</x:v>
      </x:c>
      <x:c r="I54" s="9" t="str">
        <x:v>1. 执行角色为公会长
2. 业务数据已准备且本页已打开；表单和筛选保持下列指定状态
3. 申请主播在会且退会待审核</x:v>
      </x:c>
      <x:c r="J54" s="9" t="str">
        <x:v>1. 查看退会申请详情页
2. 点击通过
3. 点击确认
4. 进入主播列表页
5. 切换已退会</x:v>
      </x:c>
      <x:c r="K54" s="9" t="str">
        <x:v>该主播显示在已退会列表</x:v>
      </x:c>
      <x:c r="L54" s="10" t="str">
        <x:v>FLOW-289CDBD17D</x:v>
      </x:c>
      <x:c r="M54" s="10" t="str">
        <x:v>未测</x:v>
      </x:c>
      <x:c r="N54" s="10" t="str"/>
      <x:c r="O54" s="9" t="str">
        <x:v>1. 来源（当前证据）：liveshow-proto/MainBasis/统一需求文档.md；位置：REQ-b0f181b59384；行2875、REQ-0d0a38bc020e；行2886
2. 规则：BR-f2cb013397c45c9e
3. 未动态验证</x:v>
      </x:c>
    </x:row>
    <x:row r="55" ht="100" customHeight="1">
      <x:c r="A55" s="10" t="n">
        <x:v>54</x:v>
      </x:c>
      <x:c r="B55" s="10" t="str">
        <x:v>GUILD-02-0026</x:v>
      </x:c>
      <x:c r="C55" s="10" t="str">
        <x:v>主播管理</x:v>
      </x:c>
      <x:c r="D55" s="10" t="str">
        <x:v>主播列表（公会长视角）</x:v>
      </x:c>
      <x:c r="E55" s="10" t="str">
        <x:v>逻辑校验</x:v>
      </x:c>
      <x:c r="F55" s="10" t="str">
        <x:v>P1</x:v>
      </x:c>
      <x:c r="G55" s="9" t="str">
        <x:v>验证驳回退会保留在会成员</x:v>
      </x:c>
      <x:c r="H55" s="9" t="str">
        <x:v>退会驳回后的公会关系</x:v>
      </x:c>
      <x:c r="I55" s="9" t="str">
        <x:v>1. 执行角色为公会长
2. 业务数据已准备且本页已打开；表单和筛选保持下列指定状态
3. 申请主播在会且退会待审核</x:v>
      </x:c>
      <x:c r="J55" s="9" t="str">
        <x:v>1. 查看退会申请详情页
2. 点击驳回
3. 点击确认
4. 进入主播列表页
5. 切换在会</x:v>
      </x:c>
      <x:c r="K55" s="9" t="str">
        <x:v>该主播仍在在会列表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来源（当前证据）：liveshow-proto/MainBasis/统一需求文档.md；位置：REQ-6bec92629c2b；行2877、REQ-0d0a38bc020e；行2886
2. 规则：BR-44ca61ba9ee1a3fd
3. 未动态验证</x:v>
      </x:c>
    </x:row>
    <x:row r="56" ht="100" customHeight="1">
      <x:c r="A56" s="10" t="n">
        <x:v>55</x:v>
      </x:c>
      <x:c r="B56" s="10" t="str">
        <x:v>GUILD-02-0027</x:v>
      </x:c>
      <x:c r="C56" s="10" t="str">
        <x:v>主播管理</x:v>
      </x:c>
      <x:c r="D56" s="10" t="str">
        <x:v>主播列表（公会长视角）</x:v>
      </x:c>
      <x:c r="E56" s="10" t="str">
        <x:v>逻辑校验</x:v>
      </x:c>
      <x:c r="F56" s="10" t="str">
        <x:v>P1</x:v>
      </x:c>
      <x:c r="G56" s="9" t="str">
        <x:v>验证主播列表隔离其他公会</x:v>
      </x:c>
      <x:c r="H56" s="9" t="str">
        <x:v>公会主播管理范围</x:v>
      </x:c>
      <x:c r="I56" s="9" t="str">
        <x:v>1. 执行角色为公会长
2. 业务数据已准备且本页已打开；表单和筛选保持下列指定状态
3. 当前公会A有主播甲，公会B有主播乙</x:v>
      </x:c>
      <x:c r="J56" s="9" t="str">
        <x:v>1. 查看主播列表页</x:v>
      </x:c>
      <x:c r="K56" s="9" t="str">
        <x:v>列表不包含乙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来源（当前证据）：liveshow-proto/MainBasis/统一需求文档.md；位置：REQ-381281aaf488；行2896
2. 规则：BR-0ffb1ecd45942b65
3. 未动态验证</x:v>
      </x:c>
    </x:row>
    <x:row r="57" ht="100" customHeight="1">
      <x:c r="A57" s="10" t="n">
        <x:v>56</x:v>
      </x:c>
      <x:c r="B57" s="10" t="str">
        <x:v>GUILD-02-0028</x:v>
      </x:c>
      <x:c r="C57" s="10" t="str">
        <x:v>主播管理</x:v>
      </x:c>
      <x:c r="D57" s="10" t="str">
        <x:v>主播列表（公会长视角）</x:v>
      </x:c>
      <x:c r="E57" s="10" t="str">
        <x:v>逻辑校验</x:v>
      </x:c>
      <x:c r="F57" s="10" t="str">
        <x:v>P1</x:v>
      </x:c>
      <x:c r="G57" s="9" t="str">
        <x:v>验证已退会搜索与状态取交集</x:v>
      </x:c>
      <x:c r="H57" s="9" t="str">
        <x:v>公会主播组合筛选</x:v>
      </x:c>
      <x:c r="I57" s="9" t="str">
        <x:v>1. 执行角色为公会长
2. 业务数据已准备且本页已打开；表单和筛选保持下列指定状态
3. 甲已退会，乙在会，两人名称都含QA</x:v>
      </x:c>
      <x:c r="J57" s="9" t="str">
        <x:v>1. 查看主播列表页
2. 切换已退会
3. 输入搜索框内容为QA</x:v>
      </x:c>
      <x:c r="K57" s="9" t="str">
        <x:v>列表只显示甲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来源（当前证据）：liveshow-proto/MainBasis/统一需求文档.md；位置：REQ-cbb7a2174f2f；行2898
2. 规则：BR-74752b30ab519b02
3. 未动态验证</x:v>
      </x:c>
    </x:row>
    <x:row r="58" ht="85" customHeight="1">
      <x:c r="A58" s="10" t="n">
        <x:v>57</x:v>
      </x:c>
      <x:c r="B58" s="10" t="str">
        <x:v>GUILD-02-0029</x:v>
      </x:c>
      <x:c r="C58" s="10" t="str">
        <x:v>主播管理</x:v>
      </x:c>
      <x:c r="D58" s="10" t="str">
        <x:v>主播主页（公会长视角）</x:v>
      </x:c>
      <x:c r="E58" s="10" t="str">
        <x:v>逻辑校验</x:v>
      </x:c>
      <x:c r="F58" s="10" t="str">
        <x:v>P1</x:v>
      </x:c>
      <x:c r="G58" s="9" t="str">
        <x:v>验证历史退会主播不提供管理操作</x:v>
      </x:c>
      <x:c r="H58" s="9" t="str">
        <x:v>退会主播管理入口</x:v>
      </x:c>
      <x:c r="I58" s="9" t="str">
        <x:v>1. 执行角色为公会长
2. 业务数据已准备且本页已打开；表单和筛选保持下列指定状态
3. 该主播已退出当前公会</x:v>
      </x:c>
      <x:c r="J58" s="9" t="str">
        <x:v>1. 查看主播主页页</x:v>
      </x:c>
      <x:c r="K58" s="9" t="str">
        <x:v>不显示主播管理操作入口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来源（当前证据）：liveshow-proto/MainBasis/统一需求文档.md；位置：REQ-81fc8f1e04b7；行2977
2. 规则：BR-3160b94c6bf133ce
3. 未动态验证</x:v>
      </x:c>
    </x:row>
    <x:row r="59" ht="100" customHeight="1">
      <x:c r="A59" s="10" t="n">
        <x:v>58</x:v>
      </x:c>
      <x:c r="B59" s="10" t="str">
        <x:v>GUILD-02-0030</x:v>
      </x:c>
      <x:c r="C59" s="10" t="str">
        <x:v>主播管理</x:v>
      </x:c>
      <x:c r="D59" s="10" t="str">
        <x:v>主播主页（公会长视角）</x:v>
      </x:c>
      <x:c r="E59" s="10" t="str">
        <x:v>逻辑校验</x:v>
      </x:c>
      <x:c r="F59" s="10" t="str">
        <x:v>P1</x:v>
      </x:c>
      <x:c r="G59" s="9" t="str">
        <x:v>验证主播主页粉丝数取当前人数</x:v>
      </x:c>
      <x:c r="H59" s="9" t="str">
        <x:v>公会主播当前粉丝数</x:v>
      </x:c>
      <x:c r="I59" s="9" t="str">
        <x:v>1. 执行角色为公会长
2. 业务数据已准备且本页已打开；表单和筛选保持下列指定状态
3. 主播现有关注者10人，本月新增20人，本月取关15人</x:v>
      </x:c>
      <x:c r="J59" s="9" t="str">
        <x:v>1. 查看主播主页页</x:v>
      </x:c>
      <x:c r="K59" s="9" t="str">
        <x:v>粉丝数显示10人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来源（当前证据）：liveshow-proto/MainBasis/统一需求文档.md；位置：REQ-4e9b69496562；行2997
2. 规则：BR-064b0724cb7bfaef
3. 未动态验证</x:v>
      </x:c>
    </x:row>
    <x:row r="60" ht="100" customHeight="1">
      <x:c r="A60" s="10" t="n">
        <x:v>59</x:v>
      </x:c>
      <x:c r="B60" s="10" t="str">
        <x:v>GUILD-02-0031</x:v>
      </x:c>
      <x:c r="C60" s="10" t="str">
        <x:v>主播管理</x:v>
      </x:c>
      <x:c r="D60" s="10" t="str">
        <x:v>主播主页（公会长视角）</x:v>
      </x:c>
      <x:c r="E60" s="10" t="str">
        <x:v>逻辑校验</x:v>
      </x:c>
      <x:c r="F60" s="10" t="str">
        <x:v>P1</x:v>
      </x:c>
      <x:c r="G60" s="9" t="str">
        <x:v>验证平台锁定后公会不可改权限</x:v>
      </x:c>
      <x:c r="H60" s="9" t="str">
        <x:v>公会开播权限锁定</x:v>
      </x:c>
      <x:c r="I60" s="9" t="str">
        <x:v>1. 执行角色为公会长
2. 业务数据已准备且本页已打开；表单和筛选保持下列指定状态
3. 平台开播权限开启且锁定，公会原设置为关闭</x:v>
      </x:c>
      <x:c r="J60" s="9" t="str">
        <x:v>1. 查看主播主页页</x:v>
      </x:c>
      <x:c r="K60" s="9" t="str">
        <x:v>公会直播权限开关只读</x:v>
      </x:c>
      <x:c r="L60" s="10" t="str">
        <x:v>FLOW-B994D746A6</x:v>
      </x:c>
      <x:c r="M60" s="10" t="str">
        <x:v>未测</x:v>
      </x:c>
      <x:c r="N60" s="10" t="str"/>
      <x:c r="O60" s="9" t="str">
        <x:v>1. 来源（当前证据）：liveshow-proto/MainBasis/统一需求文档.md；位置：REQ-4fc6cf0d0919；行3009
2. 规则：BR-592cb226d8d39d01
3. 未动态验证</x:v>
      </x:c>
    </x:row>
    <x:row r="61" ht="100" customHeight="1">
      <x:c r="A61" s="10" t="n">
        <x:v>60</x:v>
      </x:c>
      <x:c r="B61" s="10" t="str">
        <x:v>GUILD-02-0032</x:v>
      </x:c>
      <x:c r="C61" s="10" t="str">
        <x:v>主播管理</x:v>
      </x:c>
      <x:c r="D61" s="10" t="str">
        <x:v>主播主页（公会长视角）</x:v>
      </x:c>
      <x:c r="E61" s="10" t="str">
        <x:v>逻辑校验</x:v>
      </x:c>
      <x:c r="F61" s="10" t="str">
        <x:v>P1</x:v>
      </x:c>
      <x:c r="G61" s="9" t="str">
        <x:v>验证平台开启锁定时显示平台权限</x:v>
      </x:c>
      <x:c r="H61" s="9" t="str">
        <x:v>平台锁定期间权限取值</x:v>
      </x:c>
      <x:c r="I61" s="9" t="str">
        <x:v>1. 执行角色为公会长
2. 业务数据已准备且本页已打开；表单和筛选保持下列指定状态
3. 平台开播权限开启且锁定，公会锁定前关闭</x:v>
      </x:c>
      <x:c r="J61" s="9" t="str">
        <x:v>1. 查看主播主页页</x:v>
      </x:c>
      <x:c r="K61" s="9" t="str">
        <x:v>实际开播权限显示开启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来源（当前证据）：liveshow-proto/MainBasis/统一需求文档.md；位置：REQ-3bc8908ef0a3；行3007
2. 规则：BR-47610441666dbd9d
3. 未动态验证</x:v>
      </x:c>
    </x:row>
    <x:row r="62" ht="100" customHeight="1">
      <x:c r="A62" s="10" t="n">
        <x:v>61</x:v>
      </x:c>
      <x:c r="B62" s="10" t="str">
        <x:v>GUILD-02-0033</x:v>
      </x:c>
      <x:c r="C62" s="10" t="str">
        <x:v>主播管理</x:v>
      </x:c>
      <x:c r="D62" s="10" t="str">
        <x:v>主播主页（公会长视角）</x:v>
      </x:c>
      <x:c r="E62" s="10" t="str">
        <x:v>逻辑校验</x:v>
      </x:c>
      <x:c r="F62" s="10" t="str">
        <x:v>P1</x:v>
      </x:c>
      <x:c r="G62" s="9" t="str">
        <x:v>验证解锁后恢复公会原设置</x:v>
      </x:c>
      <x:c r="H62" s="9" t="str">
        <x:v>公会权限解锁恢复</x:v>
      </x:c>
      <x:c r="I62" s="9" t="str">
        <x:v>1. 执行角色为公会长
2. 业务数据已准备且本页已打开；表单和筛选保持下列指定状态
3. 公会原设置关闭，平台开启锁定后又解除锁定</x:v>
      </x:c>
      <x:c r="J62" s="9" t="str">
        <x:v>1. 查看主播主页页</x:v>
      </x:c>
      <x:c r="K62" s="9" t="str">
        <x:v>公会直播权限恢复关闭</x:v>
      </x:c>
      <x:c r="L62" s="10" t="str">
        <x:v>FLOW-B994D746A6</x:v>
      </x:c>
      <x:c r="M62" s="10" t="str">
        <x:v>未测</x:v>
      </x:c>
      <x:c r="N62" s="10" t="str"/>
      <x:c r="O62" s="9" t="str">
        <x:v>1. 来源（当前证据）：liveshow-proto/MainBasis/统一需求文档.md；位置：REQ-4fc6cf0d0919；行3009
2. 规则：BR-9047b3cfcef9567c
3. 未动态验证</x:v>
      </x:c>
    </x:row>
    <x:row r="63" ht="100" customHeight="1">
      <x:c r="A63" s="10" t="n">
        <x:v>62</x:v>
      </x:c>
      <x:c r="B63" s="10" t="str">
        <x:v>GUILD-02-0034</x:v>
      </x:c>
      <x:c r="C63" s="10" t="str">
        <x:v>主播管理</x:v>
      </x:c>
      <x:c r="D63" s="10" t="str">
        <x:v>主播主页（公会长视角）</x:v>
      </x:c>
      <x:c r="E63" s="10" t="str">
        <x:v>逻辑校验</x:v>
      </x:c>
      <x:c r="F63" s="10" t="str">
        <x:v>P1</x:v>
      </x:c>
      <x:c r="G63" s="9" t="str">
        <x:v>验证公会关闭主播权限前确认</x:v>
      </x:c>
      <x:c r="H63" s="9" t="str">
        <x:v>公会关闭权限确认</x:v>
      </x:c>
      <x:c r="I63" s="9" t="str">
        <x:v>1. 执行角色为公会长
2. 业务数据已准备且本页已打开；表单和筛选保持下列指定状态
3. 主播当前在播，平台允许公会管理</x:v>
      </x:c>
      <x:c r="J63" s="9" t="str">
        <x:v>1. 查看主播主页页
2. 禁用直播权限</x:v>
      </x:c>
      <x:c r="K63" s="9" t="str">
        <x:v>显示关闭直播权限二次确认弹窗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来源（当前证据）：liveshow-proto/MainBasis/统一需求文档.md；位置：REQ-d7578655d74c；行3011
2. 规则：BR-f7c7392dcdcb9310
3. 未动态验证</x:v>
      </x:c>
    </x:row>
    <x:row r="64" ht="100" customHeight="1">
      <x:c r="A64" s="10" t="n">
        <x:v>63</x:v>
      </x:c>
      <x:c r="B64" s="10" t="str">
        <x:v>GUILD-02-0035</x:v>
      </x:c>
      <x:c r="C64" s="10" t="str">
        <x:v>主播管理</x:v>
      </x:c>
      <x:c r="D64" s="10" t="str">
        <x:v>主播主页（公会长视角）</x:v>
      </x:c>
      <x:c r="E64" s="10" t="str">
        <x:v>逻辑校验</x:v>
      </x:c>
      <x:c r="F64" s="10" t="str">
        <x:v>P1</x:v>
      </x:c>
      <x:c r="G64" s="9" t="str">
        <x:v>验证公会关闭主播开播权限</x:v>
      </x:c>
      <x:c r="H64" s="9" t="str">
        <x:v>公会开播权限关闭</x:v>
      </x:c>
      <x:c r="I64" s="9" t="str">
        <x:v>1. 执行角色为公会长
2. 业务数据已准备且本页已打开；表单和筛选保持下列指定状态
3. 平台未锁定，主播当前公会权限开启</x:v>
      </x:c>
      <x:c r="J64" s="9" t="str">
        <x:v>1. 查看主播主页页
2. 禁用直播权限
3. 点击确认</x:v>
      </x:c>
      <x:c r="K64" s="9" t="str">
        <x:v>直播权限显示关闭</x:v>
      </x:c>
      <x:c r="L64" s="10" t="str">
        <x:v>FLOW-B994D746A6</x:v>
      </x:c>
      <x:c r="M64" s="10" t="str">
        <x:v>未测</x:v>
      </x:c>
      <x:c r="N64" s="10" t="str"/>
      <x:c r="O64" s="9" t="str">
        <x:v>1. 来源（当前证据）：liveshow-proto/MainBasis/统一需求文档.md；位置：REQ-d7578655d74c；行3011
2. 规则：BR-ac9c7b431d7807d7
3. 未动态验证</x:v>
      </x:c>
    </x:row>
    <x:row r="65" ht="130" customHeight="1">
      <x:c r="A65" s="10" t="n">
        <x:v>64</x:v>
      </x:c>
      <x:c r="B65" s="10" t="str">
        <x:v>GUILD-02-0036</x:v>
      </x:c>
      <x:c r="C65" s="10" t="str">
        <x:v>主播管理</x:v>
      </x:c>
      <x:c r="D65" s="10" t="str">
        <x:v>主播主页（公会长视角）</x:v>
      </x:c>
      <x:c r="E65" s="10" t="str">
        <x:v>逻辑校验</x:v>
      </x:c>
      <x:c r="F65" s="10" t="str">
        <x:v>P1</x:v>
      </x:c>
      <x:c r="G65" s="9" t="str">
        <x:v>验证未结清收益不能移出主播</x:v>
      </x:c>
      <x:c r="H65" s="9" t="str">
        <x:v>主播移出结清门槛</x:v>
      </x:c>
      <x:c r="I65" s="9" t="str">
        <x:v>1. 执行角色为公会长
2. 业务数据已准备且本页已打开；表单和筛选保持下列指定状态
3. 主播存在未结清收益
4. 环境准备：测试版本需实现批注中的收益结清判断，原型尚未接入</x:v>
      </x:c>
      <x:c r="J65" s="9" t="str">
        <x:v>1. 查看主播主页页</x:v>
      </x:c>
      <x:c r="K65" s="9" t="str">
        <x:v>移出公会按钮不可用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来源（当前证据）：liveshow-proto/MainBasis/统一需求文档.md；位置：REQ-e479d67b9151；行3013
2. 规则：BR-aae5ba21dae4d4ba
3. 未动态验证</x:v>
      </x:c>
    </x:row>
    <x:row r="66" ht="85" customHeight="1">
      <x:c r="A66" s="10" t="n">
        <x:v>65</x:v>
      </x:c>
      <x:c r="B66" s="10" t="str">
        <x:v>GUILD-02-0037</x:v>
      </x:c>
      <x:c r="C66" s="10" t="str">
        <x:v>主播管理</x:v>
      </x:c>
      <x:c r="D66" s="10" t="str">
        <x:v>主播主页（公会长视角）</x:v>
      </x:c>
      <x:c r="E66" s="10" t="str">
        <x:v>逻辑校验</x:v>
      </x:c>
      <x:c r="F66" s="10" t="str">
        <x:v>P1</x:v>
      </x:c>
      <x:c r="G66" s="9" t="str">
        <x:v>验证已结清收益主播确认移出</x:v>
      </x:c>
      <x:c r="H66" s="9" t="str">
        <x:v>公会移出主播</x:v>
      </x:c>
      <x:c r="I66" s="9" t="str">
        <x:v>1. 执行角色为公会长
2. 业务数据已准备且本页已打开；表单和筛选保持下列指定状态
3. 主播收益已结清且目前在会</x:v>
      </x:c>
      <x:c r="J66" s="9" t="str">
        <x:v>1. 查看主播主页页
2. 点击移出公会
3. 点击确认</x:v>
      </x:c>
      <x:c r="K66" s="9" t="str">
        <x:v>公会关系显示已退会</x:v>
      </x:c>
      <x:c r="L66" s="10" t="str">
        <x:v>FLOW-EA7D49B97D</x:v>
      </x:c>
      <x:c r="M66" s="10" t="str">
        <x:v>未测</x:v>
      </x:c>
      <x:c r="N66" s="10" t="str"/>
      <x:c r="O66" s="9" t="str">
        <x:v>1. 来源（当前证据）：liveshow-proto/MainBasis/统一需求文档.md；位置：REQ-e479d67b9151；行3013
2. 规则：BR-06a6fbd98dd118a0
3. 未动态验证</x:v>
      </x:c>
    </x:row>
    <x:row r="67" ht="85" customHeight="1">
      <x:c r="A67" s="10" t="n">
        <x:v>66</x:v>
      </x:c>
      <x:c r="B67" s="10" t="str">
        <x:v>GUILD-03-0001</x:v>
      </x:c>
      <x:c r="C67" s="10" t="str">
        <x:v>运营工具</x:v>
      </x:c>
      <x:c r="D67" s="10" t="str">
        <x:v>新建运营消息（公会长视角）</x:v>
      </x:c>
      <x:c r="E67" s="10" t="str">
        <x:v>逻辑校验</x:v>
      </x:c>
      <x:c r="F67" s="10" t="str">
        <x:v>P1</x:v>
      </x:c>
      <x:c r="G67" s="9" t="str">
        <x:v>验证运营消息正文长度0</x:v>
      </x:c>
      <x:c r="H67" s="9" t="str">
        <x:v>运营消息正文字数</x:v>
      </x:c>
      <x:c r="I67" s="9" t="str">
        <x:v>1. 执行角色为公会长
2. 业务数据已准备且本页已打开；表单和筛选保持下列指定状态
3. 发送对象为当前公会主播甲</x:v>
      </x:c>
      <x:c r="J67" s="9" t="str">
        <x:v>1. 查看新建运营消息页
2. 清空文字内容
3. 点击发送</x:v>
      </x:c>
      <x:c r="K67" s="9" t="str">
        <x:v>不能发送空正文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来源（当前证据）：liveshow-proto/MainBasis/统一需求文档.md；位置：REQ-ad8aa90131f0；行3045
2. 规则：BR-4b415ba62087ad0c
3. 未动态验证</x:v>
      </x:c>
    </x:row>
    <x:row r="68" ht="85" customHeight="1">
      <x:c r="A68" s="10" t="n">
        <x:v>67</x:v>
      </x:c>
      <x:c r="B68" s="10" t="str">
        <x:v>GUILD-03-0002</x:v>
      </x:c>
      <x:c r="C68" s="10" t="str">
        <x:v>运营工具</x:v>
      </x:c>
      <x:c r="D68" s="10" t="str">
        <x:v>新建运营消息（公会长视角）</x:v>
      </x:c>
      <x:c r="E68" s="10" t="str">
        <x:v>逻辑校验</x:v>
      </x:c>
      <x:c r="F68" s="10" t="str">
        <x:v>P1</x:v>
      </x:c>
      <x:c r="G68" s="9" t="str">
        <x:v>验证运营消息正文长度500</x:v>
      </x:c>
      <x:c r="H68" s="9" t="str">
        <x:v>运营消息正文字数</x:v>
      </x:c>
      <x:c r="I68" s="9" t="str">
        <x:v>1. 执行角色为公会长
2. 业务数据已准备且本页已打开；表单和筛选保持下列指定状态
3. 发送对象为当前公会主播甲</x:v>
      </x:c>
      <x:c r="J68" s="9" t="str">
        <x:v>1. 查看新建运营消息页
2. 填写文字内容为500个A
3. 点击发送</x:v>
      </x:c>
      <x:c r="K68" s="9" t="str">
        <x:v>显示接收范围二次确认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来源（当前证据）：liveshow-proto/MainBasis/统一需求文档.md；位置：REQ-ad8aa90131f0；行3045
2. 规则：BR-8f90c8d8444d8ee8
3. 未动态验证</x:v>
      </x:c>
    </x:row>
    <x:row r="69" ht="85" customHeight="1">
      <x:c r="A69" s="10" t="n">
        <x:v>68</x:v>
      </x:c>
      <x:c r="B69" s="10" t="str">
        <x:v>GUILD-03-0003</x:v>
      </x:c>
      <x:c r="C69" s="10" t="str">
        <x:v>运营工具</x:v>
      </x:c>
      <x:c r="D69" s="10" t="str">
        <x:v>新建运营消息（公会长视角）</x:v>
      </x:c>
      <x:c r="E69" s="10" t="str">
        <x:v>逻辑校验</x:v>
      </x:c>
      <x:c r="F69" s="10" t="str">
        <x:v>P1</x:v>
      </x:c>
      <x:c r="G69" s="9" t="str">
        <x:v>验证运营消息正文长度501</x:v>
      </x:c>
      <x:c r="H69" s="9" t="str">
        <x:v>运营消息正文字数</x:v>
      </x:c>
      <x:c r="I69" s="9" t="str">
        <x:v>1. 执行角色为公会长
2. 业务数据已准备且本页已打开；表单和筛选保持下列指定状态
3. 发送对象为当前公会主播甲</x:v>
      </x:c>
      <x:c r="J69" s="9" t="str">
        <x:v>1. 查看新建运营消息页
2. 填写文字内容为501个A
3. 点击发送</x:v>
      </x:c>
      <x:c r="K69" s="9" t="str">
        <x:v>正文不接受超过500字符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来源（当前证据）：liveshow-proto/MainBasis/统一需求文档.md；位置：REQ-ad8aa90131f0；行3045
2. 规则：BR-8d968ffe62f56351
3. 未动态验证</x:v>
      </x:c>
    </x:row>
    <x:row r="70" ht="100" customHeight="1">
      <x:c r="A70" s="10" t="n">
        <x:v>69</x:v>
      </x:c>
      <x:c r="B70" s="10" t="str">
        <x:v>GUILD-03-0004</x:v>
      </x:c>
      <x:c r="C70" s="10" t="str">
        <x:v>运营工具</x:v>
      </x:c>
      <x:c r="D70" s="10" t="str">
        <x:v>新建运营消息（公会长视角）</x:v>
      </x:c>
      <x:c r="E70" s="10" t="str">
        <x:v>功能需求</x:v>
      </x:c>
      <x:c r="F70" s="10" t="str">
        <x:v>P2</x:v>
      </x:c>
      <x:c r="G70" s="9" t="str">
        <x:v>验证运营消息上传JPG图片</x:v>
      </x:c>
      <x:c r="H70" s="9" t="str">
        <x:v>运营消息图片格式</x:v>
      </x:c>
      <x:c r="I70" s="9" t="str">
        <x:v>1. 执行角色为公会长
2. 业务数据已准备且本页已打开；表单和筛选保持下列指定状态
3. 正文和发送对象已填写
4. 本地有可读取qa.jpg图片</x:v>
      </x:c>
      <x:c r="J70" s="9" t="str">
        <x:v>1. 查看新建运营消息页
2. 上传图片选择qa.jpg</x:v>
      </x:c>
      <x:c r="K70" s="9" t="str">
        <x:v>显示所选图片预览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来源（当前证据）：liveshow-proto/MainBasis/统一需求文档.md；位置：REQ-2230182a7752；行3047
2. 规则：BR-23034cc1df87511a
3. 未动态验证</x:v>
      </x:c>
    </x:row>
    <x:row r="71" ht="100" customHeight="1">
      <x:c r="A71" s="10" t="n">
        <x:v>70</x:v>
      </x:c>
      <x:c r="B71" s="10" t="str">
        <x:v>GUILD-03-0005</x:v>
      </x:c>
      <x:c r="C71" s="10" t="str">
        <x:v>运营工具</x:v>
      </x:c>
      <x:c r="D71" s="10" t="str">
        <x:v>新建运营消息（公会长视角）</x:v>
      </x:c>
      <x:c r="E71" s="10" t="str">
        <x:v>功能需求</x:v>
      </x:c>
      <x:c r="F71" s="10" t="str">
        <x:v>P2</x:v>
      </x:c>
      <x:c r="G71" s="9" t="str">
        <x:v>验证运营消息上传PNG图片</x:v>
      </x:c>
      <x:c r="H71" s="9" t="str">
        <x:v>运营消息图片格式</x:v>
      </x:c>
      <x:c r="I71" s="9" t="str">
        <x:v>1. 执行角色为公会长
2. 业务数据已准备且本页已打开；表单和筛选保持下列指定状态
3. 正文和发送对象已填写
4. 本地有可读取qa.png图片</x:v>
      </x:c>
      <x:c r="J71" s="9" t="str">
        <x:v>1. 查看新建运营消息页
2. 上传图片选择qa.png</x:v>
      </x:c>
      <x:c r="K71" s="9" t="str">
        <x:v>显示所选图片预览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来源（当前证据）：liveshow-proto/MainBasis/统一需求文档.md；位置：REQ-2230182a7752；行3047
2. 规则：BR-d8729e8c9f8d55e9
3. 未动态验证</x:v>
      </x:c>
    </x:row>
    <x:row r="72" ht="100" customHeight="1">
      <x:c r="A72" s="10" t="n">
        <x:v>71</x:v>
      </x:c>
      <x:c r="B72" s="10" t="str">
        <x:v>GUILD-03-0006</x:v>
      </x:c>
      <x:c r="C72" s="10" t="str">
        <x:v>运营工具</x:v>
      </x:c>
      <x:c r="D72" s="10" t="str">
        <x:v>新建运营消息（公会长视角）</x:v>
      </x:c>
      <x:c r="E72" s="10" t="str">
        <x:v>功能需求</x:v>
      </x:c>
      <x:c r="F72" s="10" t="str">
        <x:v>P2</x:v>
      </x:c>
      <x:c r="G72" s="9" t="str">
        <x:v>验证运营消息上传WebP图片</x:v>
      </x:c>
      <x:c r="H72" s="9" t="str">
        <x:v>运营消息图片格式</x:v>
      </x:c>
      <x:c r="I72" s="9" t="str">
        <x:v>1. 执行角色为公会长
2. 业务数据已准备且本页已打开；表单和筛选保持下列指定状态
3. 正文和发送对象已填写
4. 本地有可读取qa.webp图片</x:v>
      </x:c>
      <x:c r="J72" s="9" t="str">
        <x:v>1. 查看新建运营消息页
2. 上传图片选择qa.webp</x:v>
      </x:c>
      <x:c r="K72" s="9" t="str">
        <x:v>显示所选图片预览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来源（当前证据）：liveshow-proto/MainBasis/统一需求文档.md；位置：REQ-2230182a7752；行3047
2. 规则：BR-877b254a3393a4b1
3. 未动态验证</x:v>
      </x:c>
    </x:row>
    <x:row r="73" ht="85" customHeight="1">
      <x:c r="A73" s="10" t="n">
        <x:v>72</x:v>
      </x:c>
      <x:c r="B73" s="10" t="str">
        <x:v>GUILD-03-0007</x:v>
      </x:c>
      <x:c r="C73" s="10" t="str">
        <x:v>运营工具</x:v>
      </x:c>
      <x:c r="D73" s="10" t="str">
        <x:v>新建运营消息（公会长视角）</x:v>
      </x:c>
      <x:c r="E73" s="10" t="str">
        <x:v>逻辑校验</x:v>
      </x:c>
      <x:c r="F73" s="10" t="str">
        <x:v>P1</x:v>
      </x:c>
      <x:c r="G73" s="9" t="str">
        <x:v>验证运营消息最多附带1张图</x:v>
      </x:c>
      <x:c r="H73" s="9" t="str">
        <x:v>运营消息图片数量</x:v>
      </x:c>
      <x:c r="I73" s="9" t="str">
        <x:v>1. 执行角色为公会长
2. 业务数据已准备且本页已打开；表单和筛选保持下列指定状态
3. 已有一张附图A</x:v>
      </x:c>
      <x:c r="J73" s="9" t="str">
        <x:v>1. 查看新建运营消息页
2. 上传图片选择第二张B</x:v>
      </x:c>
      <x:c r="K73" s="9" t="str">
        <x:v>消息附图数量不超过1张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来源（当前证据）：liveshow-proto/MainBasis/统一需求文档.md；位置：REQ-2230182a7752；行3047
2. 规则：BR-42b9c94a8a1cda55
3. 未动态验证</x:v>
      </x:c>
    </x:row>
    <x:row r="74" ht="100" customHeight="1">
      <x:c r="A74" s="10" t="n">
        <x:v>73</x:v>
      </x:c>
      <x:c r="B74" s="10" t="str">
        <x:v>GUILD-03-0008</x:v>
      </x:c>
      <x:c r="C74" s="10" t="str">
        <x:v>运营工具</x:v>
      </x:c>
      <x:c r="D74" s="10" t="str">
        <x:v>新建运营消息（公会长视角）</x:v>
      </x:c>
      <x:c r="E74" s="10" t="str">
        <x:v>业务流程</x:v>
      </x:c>
      <x:c r="F74" s="10" t="str">
        <x:v>P0</x:v>
      </x:c>
      <x:c r="G74" s="9" t="str">
        <x:v>验证确认发送当前公会消息</x:v>
      </x:c>
      <x:c r="H74" s="9" t="str">
        <x:v>公会消息发送成功</x:v>
      </x:c>
      <x:c r="I74" s="9" t="str">
        <x:v>1. 执行角色为公会长
2. 业务数据已准备且本页已打开；表单和筛选保持下列指定状态
3. 正文为QA通知，接收范围为全体当前主播</x:v>
      </x:c>
      <x:c r="J74" s="9" t="str">
        <x:v>1. 查看新建运营消息页
2. 点击发送
3. 点击确认</x:v>
      </x:c>
      <x:c r="K74" s="9" t="str">
        <x:v>返回运营消息列表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来源（当前证据）：liveshow-proto/MainBasis/统一需求文档.md；位置：REQ-48fe35060417；行3051
2. 规则：BR-955ea77fb635c593
3. 未动态验证</x:v>
      </x:c>
    </x:row>
    <x:row r="75" ht="85" customHeight="1">
      <x:c r="A75" s="10" t="n">
        <x:v>74</x:v>
      </x:c>
      <x:c r="B75" s="10" t="str">
        <x:v>GUILD-03-0009</x:v>
      </x:c>
      <x:c r="C75" s="10" t="str">
        <x:v>运营工具</x:v>
      </x:c>
      <x:c r="D75" s="10" t="str">
        <x:v>选择主播（公会长视角）</x:v>
      </x:c>
      <x:c r="E75" s="10" t="str">
        <x:v>逻辑校验</x:v>
      </x:c>
      <x:c r="F75" s="10" t="str">
        <x:v>P1</x:v>
      </x:c>
      <x:c r="G75" s="9" t="str">
        <x:v>验证指定消息只能选择1名主播</x:v>
      </x:c>
      <x:c r="H75" s="9" t="str">
        <x:v>消息接收主播单选</x:v>
      </x:c>
      <x:c r="I75" s="9" t="str">
        <x:v>1. 执行角色为公会长
2. 业务数据已准备且本页已打开；表单和筛选保持下列指定状态
3. 当前公会有甲乙两名主播</x:v>
      </x:c>
      <x:c r="J75" s="9" t="str">
        <x:v>1. 查看选择主播页
2. 选择主播甲
3. 选择主播乙</x:v>
      </x:c>
      <x:c r="K75" s="9" t="str">
        <x:v>仅主播乙保持选中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来源（当前证据）：liveshow-proto/MainBasis/统一需求文档.md；位置：REQ-3711cde5fe62；行3064
2. 规则：BR-c79ef6d506f821b2
3. 未动态验证</x:v>
      </x:c>
    </x:row>
    <x:row r="76" ht="85" customHeight="1">
      <x:c r="A76" s="10" t="n">
        <x:v>75</x:v>
      </x:c>
      <x:c r="B76" s="10" t="str">
        <x:v>GUILD-03-0010</x:v>
      </x:c>
      <x:c r="C76" s="10" t="str">
        <x:v>运营工具</x:v>
      </x:c>
      <x:c r="D76" s="10" t="str">
        <x:v>选择主播（公会长视角）</x:v>
      </x:c>
      <x:c r="E76" s="10" t="str">
        <x:v>逻辑校验</x:v>
      </x:c>
      <x:c r="F76" s="10" t="str">
        <x:v>P1</x:v>
      </x:c>
      <x:c r="G76" s="9" t="str">
        <x:v>验证未选接收主播不能完成</x:v>
      </x:c>
      <x:c r="H76" s="9" t="str">
        <x:v>指定接收人必选</x:v>
      </x:c>
      <x:c r="I76" s="9" t="str">
        <x:v>1. 执行角色为公会长</x:v>
      </x:c>
      <x:c r="J76" s="9" t="str">
        <x:v>1. 进入选择主播页
2. 点击完成</x:v>
      </x:c>
      <x:c r="K76" s="9" t="str">
        <x:v>提示选择主播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来源（当前证据）：liveshow-proto/MainBasis/统一需求文档.md；位置：REQ-ab3611f8dec0；行3066
2. 规则：BR-3b9fe19f3305e60b
3. 未动态验证</x:v>
      </x:c>
    </x:row>
    <x:row r="77" ht="100" customHeight="1">
      <x:c r="A77" s="10" t="n">
        <x:v>76</x:v>
      </x:c>
      <x:c r="B77" s="10" t="str">
        <x:v>GUILD-03-0011</x:v>
      </x:c>
      <x:c r="C77" s="10" t="str">
        <x:v>运营工具</x:v>
      </x:c>
      <x:c r="D77" s="10" t="str">
        <x:v>消息详情（公会长视角）</x:v>
      </x:c>
      <x:c r="E77" s="10" t="str">
        <x:v>逻辑校验</x:v>
      </x:c>
      <x:c r="F77" s="10" t="str">
        <x:v>P1</x:v>
      </x:c>
      <x:c r="G77" s="9" t="str">
        <x:v>验证接收主播退会后保留发送快照</x:v>
      </x:c>
      <x:c r="H77" s="9" t="str">
        <x:v>运营消息接收人快照</x:v>
      </x:c>
      <x:c r="I77" s="9" t="str">
        <x:v>1. 执行角色为公会长
2. 业务数据已准备且本页已打开；表单和筛选保持下列指定状态
3. 消息N发送时接收人甲仍在会，甲随后退会</x:v>
      </x:c>
      <x:c r="J77" s="9" t="str">
        <x:v>1. 查看消息详情页</x:v>
      </x:c>
      <x:c r="K77" s="9" t="str">
        <x:v>消息N接收人仍显示甲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来源（当前证据）：liveshow-proto/MainBasis/统一需求文档.md；位置：REQ-46295ce894ac；行3083
2. 规则：BR-ddf701f7de1216d1
3. 未动态验证</x:v>
      </x:c>
    </x:row>
    <x:row r="78" ht="85" customHeight="1">
      <x:c r="A78" s="10" t="n">
        <x:v>77</x:v>
      </x:c>
      <x:c r="B78" s="10" t="str">
        <x:v>GUILD-03-0012</x:v>
      </x:c>
      <x:c r="C78" s="10" t="str">
        <x:v>运营工具</x:v>
      </x:c>
      <x:c r="D78" s="10" t="str">
        <x:v>消息详情（公会长视角）</x:v>
      </x:c>
      <x:c r="E78" s="10" t="str">
        <x:v>逻辑校验</x:v>
      </x:c>
      <x:c r="F78" s="10" t="str">
        <x:v>P1</x:v>
      </x:c>
      <x:c r="G78" s="9" t="str">
        <x:v>验证已发送运营消息不可编辑撤回</x:v>
      </x:c>
      <x:c r="H78" s="9" t="str">
        <x:v>已发送消息只读</x:v>
      </x:c>
      <x:c r="I78" s="9" t="str">
        <x:v>1. 执行角色为公会长
2. 业务数据已准备且本页已打开；表单和筛选保持下列指定状态
3. 消息N已发送</x:v>
      </x:c>
      <x:c r="J78" s="9" t="str">
        <x:v>1. 查看消息详情页</x:v>
      </x:c>
      <x:c r="K78" s="9" t="str">
        <x:v>不显示编辑或撤回入口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来源（当前证据）：liveshow-proto/MainBasis/统一需求文档.md；位置：REQ-46295ce894ac；行3083
2. 规则：BR-64a9e36527921132
3. 未动态验证</x:v>
      </x:c>
    </x:row>
    <x:row r="79" ht="85" customHeight="1">
      <x:c r="A79" s="10" t="n">
        <x:v>78</x:v>
      </x:c>
      <x:c r="B79" s="10" t="str">
        <x:v>GUILD-04-0001</x:v>
      </x:c>
      <x:c r="C79" s="10" t="str">
        <x:v>公会管理</x:v>
      </x:c>
      <x:c r="D79" s="10" t="str">
        <x:v>公会资料（公会长视角）</x:v>
      </x:c>
      <x:c r="E79" s="10" t="str">
        <x:v>逻辑校验</x:v>
      </x:c>
      <x:c r="F79" s="10" t="str">
        <x:v>P1</x:v>
      </x:c>
      <x:c r="G79" s="9" t="str">
        <x:v>验证公会资料不可编辑ID</x:v>
      </x:c>
      <x:c r="H79" s="9" t="str">
        <x:v>公会ID只读</x:v>
      </x:c>
      <x:c r="I79" s="9" t="str">
        <x:v>1. 执行角色为公会长</x:v>
      </x:c>
      <x:c r="J79" s="9" t="str">
        <x:v>1. 进入公会资料页
2. 点击公会ID</x:v>
      </x:c>
      <x:c r="K79" s="9" t="str">
        <x:v>公会ID不可编辑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来源（当前证据）：liveshow-proto/MainBasis/统一需求文档.md；位置：REQ-c68ea3b46fc7；行3220
2. 规则：BR-a10d9927ee64e4da
3. 未动态验证</x:v>
      </x:c>
    </x:row>
    <x:row r="80" ht="85" customHeight="1">
      <x:c r="A80" s="10" t="n">
        <x:v>79</x:v>
      </x:c>
      <x:c r="B80" s="10" t="str">
        <x:v>GUILD-04-0002</x:v>
      </x:c>
      <x:c r="C80" s="10" t="str">
        <x:v>公会管理</x:v>
      </x:c>
      <x:c r="D80" s="10" t="str">
        <x:v>公会资料（公会长视角）</x:v>
      </x:c>
      <x:c r="E80" s="10" t="str">
        <x:v>逻辑校验</x:v>
      </x:c>
      <x:c r="F80" s="10" t="str">
        <x:v>P1</x:v>
      </x:c>
      <x:c r="G80" s="9" t="str">
        <x:v>验证公会名称最大长度</x:v>
      </x:c>
      <x:c r="H80" s="9" t="str">
        <x:v>公会名称输入上限</x:v>
      </x:c>
      <x:c r="I80" s="9" t="str">
        <x:v>1. 执行角色为公会长</x:v>
      </x:c>
      <x:c r="J80" s="9" t="str">
        <x:v>1. 进入公会资料页
2. 填写公会名称为40个A
3. 输入公会名称末尾追加B</x:v>
      </x:c>
      <x:c r="K80" s="9" t="str">
        <x:v>公会名称不接受超过40字符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来源（当前证据）：liveshow-proto/MainBasis/统一需求文档.md；位置：REQ-827721b095f8；行3224
2. 规则：BR-80a237c3f5e99fba
3. 未动态验证</x:v>
      </x:c>
    </x:row>
    <x:row r="81" ht="85" customHeight="1">
      <x:c r="A81" s="10" t="n">
        <x:v>80</x:v>
      </x:c>
      <x:c r="B81" s="10" t="str">
        <x:v>GUILD-04-0003</x:v>
      </x:c>
      <x:c r="C81" s="10" t="str">
        <x:v>公会管理</x:v>
      </x:c>
      <x:c r="D81" s="10" t="str">
        <x:v>公会资料（公会长视角）</x:v>
      </x:c>
      <x:c r="E81" s="10" t="str">
        <x:v>逻辑校验</x:v>
      </x:c>
      <x:c r="F81" s="10" t="str">
        <x:v>P1</x:v>
      </x:c>
      <x:c r="G81" s="9" t="str">
        <x:v>验证公会简介最大长度</x:v>
      </x:c>
      <x:c r="H81" s="9" t="str">
        <x:v>公会简介输入上限</x:v>
      </x:c>
      <x:c r="I81" s="9" t="str">
        <x:v>1. 执行角色为公会长</x:v>
      </x:c>
      <x:c r="J81" s="9" t="str">
        <x:v>1. 进入公会资料页
2. 填写公会简介为200个A
3. 输入公会简介末尾追加B</x:v>
      </x:c>
      <x:c r="K81" s="9" t="str">
        <x:v>公会简介不接受超过200字符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来源（当前证据）：liveshow-proto/MainBasis/统一需求文档.md；位置：REQ-db923df69f8a；行3226
2. 规则：BR-c2817c38b33616c4
3. 未动态验证</x:v>
      </x:c>
    </x:row>
    <x:row r="82" ht="85" customHeight="1">
      <x:c r="A82" s="10" t="n">
        <x:v>81</x:v>
      </x:c>
      <x:c r="B82" s="10" t="str">
        <x:v>GUILD-04-0004</x:v>
      </x:c>
      <x:c r="C82" s="10" t="str">
        <x:v>公会管理</x:v>
      </x:c>
      <x:c r="D82" s="10" t="str">
        <x:v>公会资料（公会长视角）</x:v>
      </x:c>
      <x:c r="E82" s="10" t="str">
        <x:v>逻辑校验</x:v>
      </x:c>
      <x:c r="F82" s="10" t="str">
        <x:v>P1</x:v>
      </x:c>
      <x:c r="G82" s="9" t="str">
        <x:v>验证公会名称不能为空</x:v>
      </x:c>
      <x:c r="H82" s="9" t="str">
        <x:v>公会名称必填</x:v>
      </x:c>
      <x:c r="I82" s="9" t="str">
        <x:v>1. 执行角色为公会长</x:v>
      </x:c>
      <x:c r="J82" s="9" t="str">
        <x:v>1. 进入公会资料页
2. 清空公会名称
3. 点击保存</x:v>
      </x:c>
      <x:c r="K82" s="9" t="str">
        <x:v>不能保存空公会名称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来源（当前证据）：liveshow-proto/MainBasis/统一需求文档.md；位置：REQ-827721b095f8；行3224
2. 规则：BR-6e7dbc9883b1509c
3. 未动态验证</x:v>
      </x:c>
    </x:row>
    <x:row r="83" ht="85" customHeight="1">
      <x:c r="A83" s="10" t="n">
        <x:v>82</x:v>
      </x:c>
      <x:c r="B83" s="10" t="str">
        <x:v>GUILD-04-0005</x:v>
      </x:c>
      <x:c r="C83" s="10" t="str">
        <x:v>公会管理</x:v>
      </x:c>
      <x:c r="D83" s="10" t="str">
        <x:v>公会资料（公会长视角）</x:v>
      </x:c>
      <x:c r="E83" s="10" t="str">
        <x:v>功能需求</x:v>
      </x:c>
      <x:c r="F83" s="10" t="str">
        <x:v>P2</x:v>
      </x:c>
      <x:c r="G83" s="9" t="str">
        <x:v>验证公会资料保存新名称</x:v>
      </x:c>
      <x:c r="H83" s="9" t="str">
        <x:v>公会名称保存</x:v>
      </x:c>
      <x:c r="I83" s="9" t="str">
        <x:v>1. 执行角色为公会长
2. 业务数据已准备且本页已打开；表单和筛选保持下列指定状态
3. 当前公会名称为QA旧名</x:v>
      </x:c>
      <x:c r="J83" s="9" t="str">
        <x:v>1. 查看公会资料页
2. 填写公会名称为QA新名
3. 点击保存</x:v>
      </x:c>
      <x:c r="K83" s="9" t="str">
        <x:v>公会名称显示QA新名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来源（当前证据）：liveshow-proto/MainBasis/统一需求文档.md；位置：REQ-70ec7b1e0c3d；行3228
2. 规则：BR-b9cf273b121d4baf
3. 未动态验证</x:v>
      </x:c>
    </x:row>
    <x:row r="84" ht="85" customHeight="1">
      <x:c r="A84" s="10" t="n">
        <x:v>83</x:v>
      </x:c>
      <x:c r="B84" s="10" t="str">
        <x:v>GUILD-04-0006</x:v>
      </x:c>
      <x:c r="C84" s="10" t="str">
        <x:v>公会管理</x:v>
      </x:c>
      <x:c r="D84" s="10" t="str">
        <x:v>账号设置（公会长视角）</x:v>
      </x:c>
      <x:c r="E84" s="10" t="str">
        <x:v>功能需求</x:v>
      </x:c>
      <x:c r="F84" s="10" t="str">
        <x:v>P2</x:v>
      </x:c>
      <x:c r="G84" s="9" t="str">
        <x:v>验证公会App选择中文</x:v>
      </x:c>
      <x:c r="H84" s="9" t="str">
        <x:v>公会App语言选择</x:v>
      </x:c>
      <x:c r="I84" s="9" t="str">
        <x:v>1. 执行角色为公会长</x:v>
      </x:c>
      <x:c r="J84" s="9" t="str">
        <x:v>1. 进入账号设置页
2. 点击语言
3. 选择中文</x:v>
      </x:c>
      <x:c r="K84" s="9" t="str">
        <x:v>当前语言显示中文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来源（当前证据）：liveshow-proto/MainBasis/统一需求文档.md；位置：REQ-abaa8f0c3396；行3237
2. 规则：BR-8592ea08dbed7e9d
3. 未动态验证</x:v>
      </x:c>
    </x:row>
    <x:row r="85" ht="85" customHeight="1">
      <x:c r="A85" s="10" t="n">
        <x:v>84</x:v>
      </x:c>
      <x:c r="B85" s="10" t="str">
        <x:v>GUILD-04-0007</x:v>
      </x:c>
      <x:c r="C85" s="10" t="str">
        <x:v>公会管理</x:v>
      </x:c>
      <x:c r="D85" s="10" t="str">
        <x:v>账号设置（公会长视角）</x:v>
      </x:c>
      <x:c r="E85" s="10" t="str">
        <x:v>功能需求</x:v>
      </x:c>
      <x:c r="F85" s="10" t="str">
        <x:v>P2</x:v>
      </x:c>
      <x:c r="G85" s="9" t="str">
        <x:v>验证公会App选择English</x:v>
      </x:c>
      <x:c r="H85" s="9" t="str">
        <x:v>公会App语言选择</x:v>
      </x:c>
      <x:c r="I85" s="9" t="str">
        <x:v>1. 执行角色为公会长</x:v>
      </x:c>
      <x:c r="J85" s="9" t="str">
        <x:v>1. 进入账号设置页
2. 点击语言
3. 选择English</x:v>
      </x:c>
      <x:c r="K85" s="9" t="str">
        <x:v>当前语言显示English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来源（当前证据）：liveshow-proto/MainBasis/统一需求文档.md；位置：REQ-abaa8f0c3396；行3237
2. 规则：BR-7c3d0fff53d87ffb
3. 未动态验证</x:v>
      </x:c>
    </x:row>
    <x:row r="86" ht="85" customHeight="1">
      <x:c r="A86" s="10" t="n">
        <x:v>85</x:v>
      </x:c>
      <x:c r="B86" s="10" t="str">
        <x:v>GUILD-04-0008</x:v>
      </x:c>
      <x:c r="C86" s="10" t="str">
        <x:v>公会管理</x:v>
      </x:c>
      <x:c r="D86" s="10" t="str">
        <x:v>账号设置（公会长视角）</x:v>
      </x:c>
      <x:c r="E86" s="10" t="str">
        <x:v>功能需求</x:v>
      </x:c>
      <x:c r="F86" s="10" t="str">
        <x:v>P2</x:v>
      </x:c>
      <x:c r="G86" s="9" t="str">
        <x:v>验证公会App选择Bahasa Indonesia</x:v>
      </x:c>
      <x:c r="H86" s="9" t="str">
        <x:v>公会App语言选择</x:v>
      </x:c>
      <x:c r="I86" s="9" t="str">
        <x:v>1. 执行角色为公会长</x:v>
      </x:c>
      <x:c r="J86" s="9" t="str">
        <x:v>1. 进入账号设置页
2. 点击语言
3. 选择Bahasa Indonesia</x:v>
      </x:c>
      <x:c r="K86" s="9" t="str">
        <x:v>当前语言显示Bahasa Indonesia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来源（当前证据）：liveshow-proto/MainBasis/统一需求文档.md；位置：REQ-abaa8f0c3396；行3237
2. 规则：BR-8364cde112b93087
3. 未动态验证</x:v>
      </x:c>
    </x:row>
    <x:row r="87" ht="85" customHeight="1">
      <x:c r="A87" s="10" t="n">
        <x:v>86</x:v>
      </x:c>
      <x:c r="B87" s="10" t="str">
        <x:v>GUILD-04-0009</x:v>
      </x:c>
      <x:c r="C87" s="10" t="str">
        <x:v>公会管理</x:v>
      </x:c>
      <x:c r="D87" s="10" t="str">
        <x:v>账号设置（公会长视角）</x:v>
      </x:c>
      <x:c r="E87" s="10" t="str">
        <x:v>功能需求</x:v>
      </x:c>
      <x:c r="F87" s="10" t="str">
        <x:v>P2</x:v>
      </x:c>
      <x:c r="G87" s="9" t="str">
        <x:v>验证公会App选择Bahasa Melayu</x:v>
      </x:c>
      <x:c r="H87" s="9" t="str">
        <x:v>公会App语言选择</x:v>
      </x:c>
      <x:c r="I87" s="9" t="str">
        <x:v>1. 执行角色为公会长</x:v>
      </x:c>
      <x:c r="J87" s="9" t="str">
        <x:v>1. 进入账号设置页
2. 点击语言
3. 选择Bahasa Melayu</x:v>
      </x:c>
      <x:c r="K87" s="9" t="str">
        <x:v>当前语言显示Bahasa Melayu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来源（当前证据）：liveshow-proto/MainBasis/统一需求文档.md；位置：REQ-abaa8f0c3396；行3237
2. 规则：BR-140627d625a82364
3. 未动态验证</x:v>
      </x:c>
    </x:row>
    <x:row r="88" ht="85" customHeight="1">
      <x:c r="A88" s="10" t="n">
        <x:v>87</x:v>
      </x:c>
      <x:c r="B88" s="10" t="str">
        <x:v>GUILD-04-0010</x:v>
      </x:c>
      <x:c r="C88" s="10" t="str">
        <x:v>公会管理</x:v>
      </x:c>
      <x:c r="D88" s="10" t="str">
        <x:v>账号设置（公会长视角）</x:v>
      </x:c>
      <x:c r="E88" s="10" t="str">
        <x:v>功能需求</x:v>
      </x:c>
      <x:c r="F88" s="10" t="str">
        <x:v>P2</x:v>
      </x:c>
      <x:c r="G88" s="9" t="str">
        <x:v>验证公会长退出登录前确认</x:v>
      </x:c>
      <x:c r="H88" s="9" t="str">
        <x:v>公会退出登录确认</x:v>
      </x:c>
      <x:c r="I88" s="9" t="str">
        <x:v>1. 执行角色为公会长</x:v>
      </x:c>
      <x:c r="J88" s="9" t="str">
        <x:v>1. 进入账号设置页
2. 点击退出登录</x:v>
      </x:c>
      <x:c r="K88" s="9" t="str">
        <x:v>显示退出登录二次确认弹窗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来源（当前证据）：liveshow-proto/MainBasis/统一需求文档.md；位置：REQ-308eb014e34f；行3245
2. 规则：BR-7375dd9576117795
3. 未动态验证</x:v>
      </x:c>
    </x:row>
    <x:row r="89" ht="100" customHeight="1">
      <x:c r="A89" s="10" t="n">
        <x:v>88</x:v>
      </x:c>
      <x:c r="B89" s="10" t="str">
        <x:v>GUILD-04-0011</x:v>
      </x:c>
      <x:c r="C89" s="10" t="str">
        <x:v>公会管理</x:v>
      </x:c>
      <x:c r="D89" s="10" t="str">
        <x:v>账号设置（公会长视角）</x:v>
      </x:c>
      <x:c r="E89" s="10" t="str">
        <x:v>逻辑校验</x:v>
      </x:c>
      <x:c r="F89" s="10" t="str">
        <x:v>P1</x:v>
      </x:c>
      <x:c r="G89" s="9" t="str">
        <x:v>验证确认退出公会App</x:v>
      </x:c>
      <x:c r="H89" s="9" t="str">
        <x:v>公会退出登录去向</x:v>
      </x:c>
      <x:c r="I89" s="9" t="str">
        <x:v>1. 执行角色为公会长</x:v>
      </x:c>
      <x:c r="J89" s="9" t="str">
        <x:v>1. 进入账号设置页
2. 点击退出登录
3. 点击确认</x:v>
      </x:c>
      <x:c r="K89" s="9" t="str">
        <x:v>返回公会登录页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来源（当前证据）：liveshow-proto/MainBasis/统一需求文档.md；位置：REQ-5924278ce187；行3241、REQ-308eb014e34f；行3245
2. 规则：BR-b8a00fcd90862c35
3. 未动态验证</x:v>
      </x:c>
    </x:row>
    <x:row r="90" ht="85" customHeight="1">
      <x:c r="A90" s="10" t="n">
        <x:v>89</x:v>
      </x:c>
      <x:c r="B90" s="10" t="str">
        <x:v>GUILD-04-0012</x:v>
      </x:c>
      <x:c r="C90" s="10" t="str">
        <x:v>公会管理</x:v>
      </x:c>
      <x:c r="D90" s="10" t="str">
        <x:v>修改密码（公会长视角）</x:v>
      </x:c>
      <x:c r="E90" s="10" t="str">
        <x:v>逻辑校验</x:v>
      </x:c>
      <x:c r="F90" s="10" t="str">
        <x:v>P1</x:v>
      </x:c>
      <x:c r="G90" s="9" t="str">
        <x:v>验证公会修改密码：提示“当前密码错误”</x:v>
      </x:c>
      <x:c r="H90" s="9" t="str">
        <x:v>公会密码提交校验</x:v>
      </x:c>
      <x:c r="I90" s="9" t="str">
        <x:v>1. 执行角色为公会长
2. 业务数据已准备且本页已打开；表单和筛选保持下列指定状态
3. 当前密码为QaOld!2026</x:v>
      </x:c>
      <x:c r="J90" s="9" t="str">
        <x:v>1. 查看修改密码页
2. 填写当前密码为BadOld!2026
3. 填写新密码为QaNew!2026
4. 填写确认新密码为QaNew!2026
5. 点击保存</x:v>
      </x:c>
      <x:c r="K90" s="9" t="str">
        <x:v>提示“当前密码错误”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来源（当前证据）：liveshow-proto/MainBasis/统一需求文档.md；位置：REQ-ebcb7b632099；行3256
2. 规则：BR-11e7eaf43c056f43
3. 未动态验证</x:v>
      </x:c>
    </x:row>
    <x:row r="91" ht="85" customHeight="1">
      <x:c r="A91" s="10" t="n">
        <x:v>90</x:v>
      </x:c>
      <x:c r="B91" s="10" t="str">
        <x:v>GUILD-04-0013</x:v>
      </x:c>
      <x:c r="C91" s="10" t="str">
        <x:v>公会管理</x:v>
      </x:c>
      <x:c r="D91" s="10" t="str">
        <x:v>修改密码（公会长视角）</x:v>
      </x:c>
      <x:c r="E91" s="10" t="str">
        <x:v>逻辑校验</x:v>
      </x:c>
      <x:c r="F91" s="10" t="str">
        <x:v>P1</x:v>
      </x:c>
      <x:c r="G91" s="9" t="str">
        <x:v>验证公会修改密码：提示“新密码不能和旧密码一样”</x:v>
      </x:c>
      <x:c r="H91" s="9" t="str">
        <x:v>公会密码提交校验</x:v>
      </x:c>
      <x:c r="I91" s="9" t="str">
        <x:v>1. 执行角色为公会长
2. 业务数据已准备且本页已打开；表单和筛选保持下列指定状态
3. 当前密码为QaOld!2026</x:v>
      </x:c>
      <x:c r="J91" s="9" t="str">
        <x:v>1. 查看修改密码页
2. 填写当前密码为QaOld!2026
3. 填写新密码为QaOld!2026
4. 填写确认新密码为QaOld!2026
5. 点击保存</x:v>
      </x:c>
      <x:c r="K91" s="9" t="str">
        <x:v>提示“新密码不能和旧密码一样”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来源（当前证据）：liveshow-proto/MainBasis/统一需求文档.md；位置：REQ-ebcb7b632099；行3256
2. 规则：BR-6724650ab32a136e
3. 未动态验证</x:v>
      </x:c>
    </x:row>
    <x:row r="92" ht="85" customHeight="1">
      <x:c r="A92" s="10" t="n">
        <x:v>91</x:v>
      </x:c>
      <x:c r="B92" s="10" t="str">
        <x:v>GUILD-04-0014</x:v>
      </x:c>
      <x:c r="C92" s="10" t="str">
        <x:v>公会管理</x:v>
      </x:c>
      <x:c r="D92" s="10" t="str">
        <x:v>修改密码（公会长视角）</x:v>
      </x:c>
      <x:c r="E92" s="10" t="str">
        <x:v>逻辑校验</x:v>
      </x:c>
      <x:c r="F92" s="10" t="str">
        <x:v>P1</x:v>
      </x:c>
      <x:c r="G92" s="9" t="str">
        <x:v>验证公会修改密码：返回账号设置页</x:v>
      </x:c>
      <x:c r="H92" s="9" t="str">
        <x:v>公会密码提交校验</x:v>
      </x:c>
      <x:c r="I92" s="9" t="str">
        <x:v>1. 执行角色为公会长
2. 业务数据已准备且本页已打开；表单和筛选保持下列指定状态
3. 当前密码为QaOld!2026</x:v>
      </x:c>
      <x:c r="J92" s="9" t="str">
        <x:v>1. 查看修改密码页
2. 填写当前密码为QaOld!2026
3. 填写新密码为QaNew!2026
4. 填写确认新密码为QaNew!2026
5. 点击保存</x:v>
      </x:c>
      <x:c r="K92" s="9" t="str">
        <x:v>返回账号设置页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来源（当前证据）：liveshow-proto/MainBasis/统一需求文档.md；位置：REQ-ebcb7b632099；行3256
2. 规则：BR-a98b501104bbae88
3. 未动态验证</x:v>
      </x:c>
    </x:row>
    <x:row r="93" ht="85" customHeight="1">
      <x:c r="A93" s="10" t="n">
        <x:v>92</x:v>
      </x:c>
      <x:c r="B93" s="10" t="str">
        <x:v>GUILD-04-0015</x:v>
      </x:c>
      <x:c r="C93" s="10" t="str">
        <x:v>公会管理</x:v>
      </x:c>
      <x:c r="D93" s="10" t="str">
        <x:v>修改密码（公会长视角）</x:v>
      </x:c>
      <x:c r="E93" s="10" t="str">
        <x:v>逻辑校验</x:v>
      </x:c>
      <x:c r="F93" s="10" t="str">
        <x:v>P1</x:v>
      </x:c>
      <x:c r="G93" s="9" t="str">
        <x:v>验证公会新密码不足8位</x:v>
      </x:c>
      <x:c r="H93" s="9" t="str">
        <x:v>公会新密码长度</x:v>
      </x:c>
      <x:c r="I93" s="9" t="str">
        <x:v>1. 执行角色为公会长
2. 业务数据已准备且本页已打开；表单和筛选保持下列指定状态
3. 当前密码QaOld!2026</x:v>
      </x:c>
      <x:c r="J93" s="9" t="str">
        <x:v>1. 查看修改密码页
2. 填写当前密码为QaOld!2026
3. 填写新密码为Qa12345
4. 填写确认新密码为Qa12345
5. 点击保存</x:v>
      </x:c>
      <x:c r="K93" s="9" t="str">
        <x:v>不能保存不足8位的新密码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来源（当前证据）：liveshow-proto/MainBasis/统一需求文档.md；位置：REQ-e6fec0352ac9；行3252
2. 规则：BR-f5ac225907d53320
3. 未动态验证</x:v>
      </x:c>
    </x:row>
    <x:row r="94" ht="130" customHeight="1">
      <x:c r="A94" s="10" t="n">
        <x:v>93</x:v>
      </x:c>
      <x:c r="B94" s="10" t="str">
        <x:v>GUILD-04-0016</x:v>
      </x:c>
      <x:c r="C94" s="10" t="str">
        <x:v>公会管理</x:v>
      </x:c>
      <x:c r="D94" s="10" t="str">
        <x:v>修改密码（公会长视角）</x:v>
      </x:c>
      <x:c r="E94" s="10" t="str">
        <x:v>异常用例</x:v>
      </x:c>
      <x:c r="F94" s="10" t="str">
        <x:v>P1</x:v>
      </x:c>
      <x:c r="G94" s="9" t="str">
        <x:v>验证公会改密请求失败显示提示</x:v>
      </x:c>
      <x:c r="H94" s="9" t="str">
        <x:v>公会改密失败提示</x:v>
      </x:c>
      <x:c r="I94" s="9" t="str">
        <x:v>1. 执行角色为公会长
2. 业务数据已准备且本页已打开；表单和筛选保持下列指定状态
3. 原密码正确，新密码满足要求
4. 环境准备：改密请求返回失败</x:v>
      </x:c>
      <x:c r="J94" s="9" t="str">
        <x:v>1. 查看修改密码页
2. 填写当前密码为QaOld!2026
3. 填写新密码为QaNew!2026
4. 填写确认新密码为QaNew!2026
5. 点击保存</x:v>
      </x:c>
      <x:c r="K94" s="9" t="str">
        <x:v>提示“保存失败”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来源（当前证据）：liveshow-proto/MainBasis/统一需求文档.md；位置：REQ-ebcb7b632099；行3256
2. 规则：BR-f152975e6b8a2a21
3. 未动态验证</x:v>
      </x:c>
    </x:row>
    <x:row r="95" ht="100" customHeight="1">
      <x:c r="A95" s="10" t="n">
        <x:v>94</x:v>
      </x:c>
      <x:c r="B95" s="10" t="str">
        <x:v>GUILD-03-0013</x:v>
      </x:c>
      <x:c r="C95" s="10" t="str">
        <x:v>运营工具</x:v>
      </x:c>
      <x:c r="D95" s="10" t="str">
        <x:v>运营账号（公会长视角）</x:v>
      </x:c>
      <x:c r="E95" s="10" t="str">
        <x:v>功能需求</x:v>
      </x:c>
      <x:c r="F95" s="10" t="str">
        <x:v>P2</x:v>
      </x:c>
      <x:c r="G95" s="9" t="str">
        <x:v>验证按账号ID搜索运营账号</x:v>
      </x:c>
      <x:c r="H95" s="9" t="str">
        <x:v>运营账号ID搜索</x:v>
      </x:c>
      <x:c r="I95" s="9" t="str">
        <x:v>1. 执行角色为公会长
2. 业务数据已准备且本页已打开；表单和筛选保持下列指定状态
3. 当前公会账号甲ID为9001，乙ID为9002</x:v>
      </x:c>
      <x:c r="J95" s="9" t="str">
        <x:v>1. 查看运营账号页
2. 输入搜索框为9001</x:v>
      </x:c>
      <x:c r="K95" s="9" t="str">
        <x:v>搜索结果仅显示甲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来源（当前证据）：liveshow-proto/MainBasis/统一需求文档.md；位置：REQ-56cd13972b64；行3088
2. 规则：BR-665d41933cc4fb84
3. 未动态验证</x:v>
      </x:c>
    </x:row>
    <x:row r="96" ht="100" customHeight="1">
      <x:c r="A96" s="10" t="n">
        <x:v>95</x:v>
      </x:c>
      <x:c r="B96" s="10" t="str">
        <x:v>GUILD-03-0014</x:v>
      </x:c>
      <x:c r="C96" s="10" t="str">
        <x:v>运营工具</x:v>
      </x:c>
      <x:c r="D96" s="10" t="str">
        <x:v>运营账号（公会长视角）</x:v>
      </x:c>
      <x:c r="E96" s="10" t="str">
        <x:v>逻辑校验</x:v>
      </x:c>
      <x:c r="F96" s="10" t="str">
        <x:v>P1</x:v>
      </x:c>
      <x:c r="G96" s="9" t="str">
        <x:v>验证公会当月额度用尽时显示零</x:v>
      </x:c>
      <x:c r="H96" s="9" t="str">
        <x:v>公会剩余额度下限</x:v>
      </x:c>
      <x:c r="I96" s="9" t="str">
        <x:v>1. 执行角色为公会长
2. 业务数据已准备且本页已打开；表单和筛选保持下列指定状态
3. 本月发放上限1000金币且已成功发放1000金币</x:v>
      </x:c>
      <x:c r="J96" s="9" t="str">
        <x:v>1. 查看运营账号页</x:v>
      </x:c>
      <x:c r="K96" s="9" t="str">
        <x:v>本月剩余可发显示0金币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来源（当前证据）：liveshow-proto/MainBasis/统一需求文档.md；位置：REQ-07ccfe1b17c0；行3100
2. 规则：BR-3d082e016d357292
3. 未动态验证</x:v>
      </x:c>
    </x:row>
    <x:row r="97" ht="100" customHeight="1">
      <x:c r="A97" s="10" t="n">
        <x:v>96</x:v>
      </x:c>
      <x:c r="B97" s="10" t="str">
        <x:v>GUILD-03-0015</x:v>
      </x:c>
      <x:c r="C97" s="10" t="str">
        <x:v>运营工具</x:v>
      </x:c>
      <x:c r="D97" s="10" t="str">
        <x:v>运营账号（公会长视角）</x:v>
      </x:c>
      <x:c r="E97" s="10" t="str">
        <x:v>逻辑校验</x:v>
      </x:c>
      <x:c r="F97" s="10" t="str">
        <x:v>P1</x:v>
      </x:c>
      <x:c r="G97" s="9" t="str">
        <x:v>验证汇总全部运营账号余额</x:v>
      </x:c>
      <x:c r="H97" s="9" t="str">
        <x:v>公会虚拟币总余额</x:v>
      </x:c>
      <x:c r="I97" s="9" t="str">
        <x:v>1. 执行角色为公会长
2. 业务数据已准备且本页已打开；表单和筛选保持下列指定状态
3. 公会运营账号甲余额100金币，乙200金币</x:v>
      </x:c>
      <x:c r="J97" s="9" t="str">
        <x:v>1. 查看运营账号页</x:v>
      </x:c>
      <x:c r="K97" s="9" t="str">
        <x:v>账户余额累计 = 300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来源（当前证据）：liveshow-proto/MainBasis/统一需求文档.md；位置：REQ-c7b698bb777a；行3102
2. 规则：BR-5e07df441010f75e
3. 未动态验证</x:v>
      </x:c>
    </x:row>
    <x:row r="98" ht="85" customHeight="1">
      <x:c r="A98" s="10" t="n">
        <x:v>97</x:v>
      </x:c>
      <x:c r="B98" s="10" t="str">
        <x:v>GUILD-03-0016</x:v>
      </x:c>
      <x:c r="C98" s="10" t="str">
        <x:v>运营工具</x:v>
      </x:c>
      <x:c r="D98" s="10" t="str">
        <x:v>创建运营账号（公会长视角）</x:v>
      </x:c>
      <x:c r="E98" s="10" t="str">
        <x:v>逻辑校验</x:v>
      </x:c>
      <x:c r="F98" s="10" t="str">
        <x:v>P1</x:v>
      </x:c>
      <x:c r="G98" s="9" t="str">
        <x:v>验证创建运营账号必填头像</x:v>
      </x:c>
      <x:c r="H98" s="9" t="str">
        <x:v>运营账号头像必填</x:v>
      </x:c>
      <x:c r="I98" s="9" t="str">
        <x:v>1. 执行角色为公会长
2. 业务数据已准备且本页已打开；表单和筛选保持下列指定状态
3. 其他创建字段合法且已填写</x:v>
      </x:c>
      <x:c r="J98" s="9" t="str">
        <x:v>1. 查看创建运营账号页
2. 清空头像
3. 点击确认创建</x:v>
      </x:c>
      <x:c r="K98" s="9" t="str">
        <x:v>不能创建缺少头像的账号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来源（当前证据）：liveshow-proto/MainBasis/统一需求文档.md；位置：REQ-9d6081f3950c；行3117
2. 规则：BR-350e1db8329f573e
3. 未动态验证</x:v>
      </x:c>
    </x:row>
    <x:row r="99" ht="85" customHeight="1">
      <x:c r="A99" s="10" t="n">
        <x:v>98</x:v>
      </x:c>
      <x:c r="B99" s="10" t="str">
        <x:v>GUILD-03-0017</x:v>
      </x:c>
      <x:c r="C99" s="10" t="str">
        <x:v>运营工具</x:v>
      </x:c>
      <x:c r="D99" s="10" t="str">
        <x:v>创建运营账号（公会长视角）</x:v>
      </x:c>
      <x:c r="E99" s="10" t="str">
        <x:v>逻辑校验</x:v>
      </x:c>
      <x:c r="F99" s="10" t="str">
        <x:v>P1</x:v>
      </x:c>
      <x:c r="G99" s="9" t="str">
        <x:v>验证创建运营账号必填名称</x:v>
      </x:c>
      <x:c r="H99" s="9" t="str">
        <x:v>运营账号名称必填</x:v>
      </x:c>
      <x:c r="I99" s="9" t="str">
        <x:v>1. 执行角色为公会长
2. 业务数据已准备且本页已打开；表单和筛选保持下列指定状态
3. 其他创建字段合法且已填写</x:v>
      </x:c>
      <x:c r="J99" s="9" t="str">
        <x:v>1. 查看创建运营账号页
2. 清空名称
3. 点击确认创建</x:v>
      </x:c>
      <x:c r="K99" s="9" t="str">
        <x:v>不能创建缺少名称的账号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来源（当前证据）：liveshow-proto/MainBasis/统一需求文档.md；位置：REQ-26ba8fb92142；行3119
2. 规则：BR-da919edfdade32a9
3. 未动态验证</x:v>
      </x:c>
    </x:row>
    <x:row r="100" ht="85" customHeight="1">
      <x:c r="A100" s="10" t="n">
        <x:v>99</x:v>
      </x:c>
      <x:c r="B100" s="10" t="str">
        <x:v>GUILD-03-0018</x:v>
      </x:c>
      <x:c r="C100" s="10" t="str">
        <x:v>运营工具</x:v>
      </x:c>
      <x:c r="D100" s="10" t="str">
        <x:v>创建运营账号（公会长视角）</x:v>
      </x:c>
      <x:c r="E100" s="10" t="str">
        <x:v>逻辑校验</x:v>
      </x:c>
      <x:c r="F100" s="10" t="str">
        <x:v>P1</x:v>
      </x:c>
      <x:c r="G100" s="9" t="str">
        <x:v>验证创建运营账号必填账号</x:v>
      </x:c>
      <x:c r="H100" s="9" t="str">
        <x:v>运营账号账号必填</x:v>
      </x:c>
      <x:c r="I100" s="9" t="str">
        <x:v>1. 执行角色为公会长
2. 业务数据已准备且本页已打开；表单和筛选保持下列指定状态
3. 其他创建字段合法且已填写</x:v>
      </x:c>
      <x:c r="J100" s="9" t="str">
        <x:v>1. 查看创建运营账号页
2. 清空账号
3. 点击确认创建</x:v>
      </x:c>
      <x:c r="K100" s="9" t="str">
        <x:v>不能创建缺少账号的账号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来源（当前证据）：liveshow-proto/MainBasis/统一需求文档.md；位置：REQ-ba4adee83342；行3121
2. 规则：BR-27befa8ca1a1d0aa
3. 未动态验证</x:v>
      </x:c>
    </x:row>
    <x:row r="101" ht="85" customHeight="1">
      <x:c r="A101" s="10" t="n">
        <x:v>100</x:v>
      </x:c>
      <x:c r="B101" s="10" t="str">
        <x:v>GUILD-03-0019</x:v>
      </x:c>
      <x:c r="C101" s="10" t="str">
        <x:v>运营工具</x:v>
      </x:c>
      <x:c r="D101" s="10" t="str">
        <x:v>创建运营账号（公会长视角）</x:v>
      </x:c>
      <x:c r="E101" s="10" t="str">
        <x:v>逻辑校验</x:v>
      </x:c>
      <x:c r="F101" s="10" t="str">
        <x:v>P1</x:v>
      </x:c>
      <x:c r="G101" s="9" t="str">
        <x:v>验证创建运营账号必填初始密码</x:v>
      </x:c>
      <x:c r="H101" s="9" t="str">
        <x:v>运营账号初始密码必填</x:v>
      </x:c>
      <x:c r="I101" s="9" t="str">
        <x:v>1. 执行角色为公会长
2. 业务数据已准备且本页已打开；表单和筛选保持下列指定状态
3. 其他创建字段合法且已填写</x:v>
      </x:c>
      <x:c r="J101" s="9" t="str">
        <x:v>1. 查看创建运营账号页
2. 清空初始密码
3. 点击确认创建</x:v>
      </x:c>
      <x:c r="K101" s="9" t="str">
        <x:v>不能创建缺少初始密码的账号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来源（当前证据）：liveshow-proto/MainBasis/统一需求文档.md；位置：REQ-37d509ce6e38；行3123
2. 规则：BR-a8d773f7db09d864
3. 未动态验证</x:v>
      </x:c>
    </x:row>
    <x:row r="102" ht="85" customHeight="1">
      <x:c r="A102" s="10" t="n">
        <x:v>101</x:v>
      </x:c>
      <x:c r="B102" s="10" t="str">
        <x:v>GUILD-03-0020</x:v>
      </x:c>
      <x:c r="C102" s="10" t="str">
        <x:v>运营工具</x:v>
      </x:c>
      <x:c r="D102" s="10" t="str">
        <x:v>创建运营账号（公会长视角）</x:v>
      </x:c>
      <x:c r="E102" s="10" t="str">
        <x:v>逻辑校验</x:v>
      </x:c>
      <x:c r="F102" s="10" t="str">
        <x:v>P1</x:v>
      </x:c>
      <x:c r="G102" s="9" t="str">
        <x:v>验证运营账号名称超过30字符</x:v>
      </x:c>
      <x:c r="H102" s="9" t="str">
        <x:v>运营账号名称长度</x:v>
      </x:c>
      <x:c r="I102" s="9" t="str">
        <x:v>1. 执行角色为公会长</x:v>
      </x:c>
      <x:c r="J102" s="9" t="str">
        <x:v>1. 进入创建运营账号页
2. 填写名称为30个A
3. 输入名称末尾追加B</x:v>
      </x:c>
      <x:c r="K102" s="9" t="str">
        <x:v>名称不接受超过30字符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来源（当前证据）：liveshow-proto/MainBasis/统一需求文档.md；位置：REQ-26ba8fb92142；行3119
2. 规则：BR-ee8aa9344a44efcd
3. 未动态验证</x:v>
      </x:c>
    </x:row>
    <x:row r="103" ht="85" customHeight="1">
      <x:c r="A103" s="10" t="n">
        <x:v>102</x:v>
      </x:c>
      <x:c r="B103" s="10" t="str">
        <x:v>GUILD-03-0021</x:v>
      </x:c>
      <x:c r="C103" s="10" t="str">
        <x:v>运营工具</x:v>
      </x:c>
      <x:c r="D103" s="10" t="str">
        <x:v>创建运营账号（公会长视角）</x:v>
      </x:c>
      <x:c r="E103" s="10" t="str">
        <x:v>逻辑校验</x:v>
      </x:c>
      <x:c r="F103" s="10" t="str">
        <x:v>P1</x:v>
      </x:c>
      <x:c r="G103" s="9" t="str">
        <x:v>验证运营账号账号超过30字符</x:v>
      </x:c>
      <x:c r="H103" s="9" t="str">
        <x:v>运营账号账号长度</x:v>
      </x:c>
      <x:c r="I103" s="9" t="str">
        <x:v>1. 执行角色为公会长</x:v>
      </x:c>
      <x:c r="J103" s="9" t="str">
        <x:v>1. 进入创建运营账号页
2. 填写账号为30个A
3. 输入账号末尾追加B</x:v>
      </x:c>
      <x:c r="K103" s="9" t="str">
        <x:v>账号不接受超过30字符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来源（当前证据）：liveshow-proto/MainBasis/统一需求文档.md；位置：REQ-ba4adee83342；行3121
2. 规则：BR-b2f1fd70948cd427
3. 未动态验证</x:v>
      </x:c>
    </x:row>
    <x:row r="104" ht="85" customHeight="1">
      <x:c r="A104" s="10" t="n">
        <x:v>103</x:v>
      </x:c>
      <x:c r="B104" s="10" t="str">
        <x:v>GUILD-03-0022</x:v>
      </x:c>
      <x:c r="C104" s="10" t="str">
        <x:v>运营工具</x:v>
      </x:c>
      <x:c r="D104" s="10" t="str">
        <x:v>创建运营账号（公会长视角）</x:v>
      </x:c>
      <x:c r="E104" s="10" t="str">
        <x:v>功能需求</x:v>
      </x:c>
      <x:c r="F104" s="10" t="str">
        <x:v>P2</x:v>
      </x:c>
      <x:c r="G104" s="9" t="str">
        <x:v>验证运营账号头像支持JPG</x:v>
      </x:c>
      <x:c r="H104" s="9" t="str">
        <x:v>运营账号头像预览</x:v>
      </x:c>
      <x:c r="I104" s="9" t="str">
        <x:v>1. 执行角色为公会长
2. 业务数据已准备且本页已打开；表单和筛选保持下列指定状态
3. 准备有效qa.jpg图片</x:v>
      </x:c>
      <x:c r="J104" s="9" t="str">
        <x:v>1. 查看创建运营账号页
2. 上传头像选择qa.jpg</x:v>
      </x:c>
      <x:c r="K104" s="9" t="str">
        <x:v>显示所选头像预览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来源（当前证据）：liveshow-proto/MainBasis/统一需求文档.md；位置：REQ-9d6081f3950c；行3117
2. 规则：BR-091de006afa549e3
3. 未动态验证</x:v>
      </x:c>
    </x:row>
    <x:row r="105" ht="85" customHeight="1">
      <x:c r="A105" s="10" t="n">
        <x:v>104</x:v>
      </x:c>
      <x:c r="B105" s="10" t="str">
        <x:v>GUILD-03-0023</x:v>
      </x:c>
      <x:c r="C105" s="10" t="str">
        <x:v>运营工具</x:v>
      </x:c>
      <x:c r="D105" s="10" t="str">
        <x:v>创建运营账号（公会长视角）</x:v>
      </x:c>
      <x:c r="E105" s="10" t="str">
        <x:v>功能需求</x:v>
      </x:c>
      <x:c r="F105" s="10" t="str">
        <x:v>P2</x:v>
      </x:c>
      <x:c r="G105" s="9" t="str">
        <x:v>验证运营账号头像支持PNG</x:v>
      </x:c>
      <x:c r="H105" s="9" t="str">
        <x:v>运营账号头像预览</x:v>
      </x:c>
      <x:c r="I105" s="9" t="str">
        <x:v>1. 执行角色为公会长
2. 业务数据已准备且本页已打开；表单和筛选保持下列指定状态
3. 准备有效qa.png图片</x:v>
      </x:c>
      <x:c r="J105" s="9" t="str">
        <x:v>1. 查看创建运营账号页
2. 上传头像选择qa.png</x:v>
      </x:c>
      <x:c r="K105" s="9" t="str">
        <x:v>显示所选头像预览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来源（当前证据）：liveshow-proto/MainBasis/统一需求文档.md；位置：REQ-9d6081f3950c；行3117
2. 规则：BR-28d1e4b21904b370
3. 未动态验证</x:v>
      </x:c>
    </x:row>
    <x:row r="106" ht="85" customHeight="1">
      <x:c r="A106" s="10" t="n">
        <x:v>105</x:v>
      </x:c>
      <x:c r="B106" s="10" t="str">
        <x:v>GUILD-03-0024</x:v>
      </x:c>
      <x:c r="C106" s="10" t="str">
        <x:v>运营工具</x:v>
      </x:c>
      <x:c r="D106" s="10" t="str">
        <x:v>创建运营账号（公会长视角）</x:v>
      </x:c>
      <x:c r="E106" s="10" t="str">
        <x:v>功能需求</x:v>
      </x:c>
      <x:c r="F106" s="10" t="str">
        <x:v>P2</x:v>
      </x:c>
      <x:c r="G106" s="9" t="str">
        <x:v>验证运营账号头像支持WebP</x:v>
      </x:c>
      <x:c r="H106" s="9" t="str">
        <x:v>运营账号头像预览</x:v>
      </x:c>
      <x:c r="I106" s="9" t="str">
        <x:v>1. 执行角色为公会长
2. 业务数据已准备且本页已打开；表单和筛选保持下列指定状态
3. 准备有效qa.webp图片</x:v>
      </x:c>
      <x:c r="J106" s="9" t="str">
        <x:v>1. 查看创建运营账号页
2. 上传头像选择qa.webp</x:v>
      </x:c>
      <x:c r="K106" s="9" t="str">
        <x:v>显示所选头像预览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来源（当前证据）：liveshow-proto/MainBasis/统一需求文档.md；位置：REQ-9d6081f3950c；行3117
2. 规则：BR-7a04e2f33b99cf71
3. 未动态验证</x:v>
      </x:c>
    </x:row>
    <x:row r="107" ht="100" customHeight="1">
      <x:c r="A107" s="10" t="n">
        <x:v>106</x:v>
      </x:c>
      <x:c r="B107" s="10" t="str">
        <x:v>GUILD-03-0025</x:v>
      </x:c>
      <x:c r="C107" s="10" t="str">
        <x:v>运营工具</x:v>
      </x:c>
      <x:c r="D107" s="10" t="str">
        <x:v>创建运营账号（公会长视角）</x:v>
      </x:c>
      <x:c r="E107" s="10" t="str">
        <x:v>逻辑校验</x:v>
      </x:c>
      <x:c r="F107" s="10" t="str">
        <x:v>P1</x:v>
      </x:c>
      <x:c r="G107" s="9" t="str">
        <x:v>验证其他公会已占用账号不能重建</x:v>
      </x:c>
      <x:c r="H107" s="9" t="str">
        <x:v>运营登录账号唯一性</x:v>
      </x:c>
      <x:c r="I107" s="9" t="str">
        <x:v>1. 执行角色为公会长
2. 业务数据已准备且本页已打开；表单和筛选保持下列指定状态
3. 公会B已有有效登录账号L；当前公会A创建资料均合法</x:v>
      </x:c>
      <x:c r="J107" s="9" t="str">
        <x:v>1. 查看创建运营账号页
2. 填写账号为L
3. 点击确认创建</x:v>
      </x:c>
      <x:c r="K107" s="9" t="str">
        <x:v>不能创建重复登录账号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来源（当前证据）：liveshow-proto/MainBasis/统一需求文档.md；位置：REQ-ba4adee83342；行3121
2. 规则：BR-bc9b2e973b1ddb7b
3. 未动态验证</x:v>
      </x:c>
    </x:row>
    <x:row r="108" ht="85" customHeight="1">
      <x:c r="A108" s="10" t="n">
        <x:v>107</x:v>
      </x:c>
      <x:c r="B108" s="10" t="str">
        <x:v>GUILD-03-0026</x:v>
      </x:c>
      <x:c r="C108" s="10" t="str">
        <x:v>运营工具</x:v>
      </x:c>
      <x:c r="D108" s="10" t="str">
        <x:v>创建运营账号（公会长视角）</x:v>
      </x:c>
      <x:c r="E108" s="10" t="str">
        <x:v>逻辑校验</x:v>
      </x:c>
      <x:c r="F108" s="10" t="str">
        <x:v>P1</x:v>
      </x:c>
      <x:c r="G108" s="9" t="str">
        <x:v>验证运营账号初始密码5位不通过</x:v>
      </x:c>
      <x:c r="H108" s="9" t="str">
        <x:v>运营初始密码最小长度</x:v>
      </x:c>
      <x:c r="I108" s="9" t="str">
        <x:v>1. 执行角色为公会长
2. 业务数据已准备且本页已打开；表单和筛选保持下列指定状态
3. 其他资料已填写</x:v>
      </x:c>
      <x:c r="J108" s="9" t="str">
        <x:v>1. 查看创建运营账号页
2. 填写初始密码为Qa123
3. 点击确认创建</x:v>
      </x:c>
      <x:c r="K108" s="9" t="str">
        <x:v>不能创建密码不足6位的账号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来源（当前证据）：liveshow-proto/MainBasis/统一需求文档.md；位置：REQ-37d509ce6e38；行3123
2. 规则：BR-39fb083bac30ba7e
3. 未动态验证</x:v>
      </x:c>
    </x:row>
    <x:row r="109" ht="85" customHeight="1">
      <x:c r="A109" s="10" t="n">
        <x:v>108</x:v>
      </x:c>
      <x:c r="B109" s="10" t="str">
        <x:v>GUILD-03-0027</x:v>
      </x:c>
      <x:c r="C109" s="10" t="str">
        <x:v>运营工具</x:v>
      </x:c>
      <x:c r="D109" s="10" t="str">
        <x:v>创建运营账号（公会长视角）</x:v>
      </x:c>
      <x:c r="E109" s="10" t="str">
        <x:v>功能需求</x:v>
      </x:c>
      <x:c r="F109" s="10" t="str">
        <x:v>P2</x:v>
      </x:c>
      <x:c r="G109" s="9" t="str">
        <x:v>验证创建运营账号默认启用</x:v>
      </x:c>
      <x:c r="H109" s="9" t="str">
        <x:v>运营账号初始状态</x:v>
      </x:c>
      <x:c r="I109" s="9" t="str">
        <x:v>1. 执行角色为公会长</x:v>
      </x:c>
      <x:c r="J109" s="9" t="str">
        <x:v>1. 进入创建运营账号页</x:v>
      </x:c>
      <x:c r="K109" s="9" t="str">
        <x:v>账号状态默认为启用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来源（当前证据）：liveshow-proto/MainBasis/统一需求文档.md；位置：REQ-dcf9b5ec5baf；行3125
2. 规则：BR-885340207ae54233
3. 未动态验证</x:v>
      </x:c>
    </x:row>
    <x:row r="110" ht="85" customHeight="1">
      <x:c r="A110" s="10" t="n">
        <x:v>109</x:v>
      </x:c>
      <x:c r="B110" s="10" t="str">
        <x:v>GUILD-03-0028</x:v>
      </x:c>
      <x:c r="C110" s="10" t="str">
        <x:v>运营工具</x:v>
      </x:c>
      <x:c r="D110" s="10" t="str">
        <x:v>创建运营账号（公会长视角）</x:v>
      </x:c>
      <x:c r="E110" s="10" t="str">
        <x:v>功能需求</x:v>
      </x:c>
      <x:c r="F110" s="10" t="str">
        <x:v>P2</x:v>
      </x:c>
      <x:c r="G110" s="9" t="str">
        <x:v>验证初始发放虚拟金币默认零</x:v>
      </x:c>
      <x:c r="H110" s="9" t="str">
        <x:v>运营账号初始发放额</x:v>
      </x:c>
      <x:c r="I110" s="9" t="str">
        <x:v>1. 执行角色为公会长</x:v>
      </x:c>
      <x:c r="J110" s="9" t="str">
        <x:v>1. 进入创建运营账号页</x:v>
      </x:c>
      <x:c r="K110" s="9" t="str">
        <x:v>发放金币默认为0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来源（当前证据）：liveshow-proto/MainBasis/统一需求文档.md；位置：REQ-6f2664020d2b；行3127
2. 规则：BR-6a9ed64ee0abb6f6
3. 未动态验证</x:v>
      </x:c>
    </x:row>
    <x:row r="111" ht="100" customHeight="1">
      <x:c r="A111" s="10" t="n">
        <x:v>110</x:v>
      </x:c>
      <x:c r="B111" s="10" t="str">
        <x:v>GUILD-03-0029</x:v>
      </x:c>
      <x:c r="C111" s="10" t="str">
        <x:v>运营工具</x:v>
      </x:c>
      <x:c r="D111" s="10" t="str">
        <x:v>创建运营账号（公会长视角）</x:v>
      </x:c>
      <x:c r="E111" s="10" t="str">
        <x:v>逻辑校验</x:v>
      </x:c>
      <x:c r="F111" s="10" t="str">
        <x:v>P1</x:v>
      </x:c>
      <x:c r="G111" s="9" t="str">
        <x:v>验证账号剩余100公会剩余200时发放上限</x:v>
      </x:c>
      <x:c r="H111" s="9" t="str">
        <x:v>双额度取小值</x:v>
      </x:c>
      <x:c r="I111" s="9" t="str">
        <x:v>1. 执行角色为公会长
2. 业务数据已准备且本页已打开；表单和筛选保持下列指定状态
3. 账号月剩余额度100金币，公会月剩余额度200金币</x:v>
      </x:c>
      <x:c r="J111" s="9" t="str">
        <x:v>1. 查看创建运营账号页</x:v>
      </x:c>
      <x:c r="K111" s="9" t="str">
        <x:v>最多可发放显示100金币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来源（当前证据）：liveshow-proto/MainBasis/统一需求文档.md；位置：REQ-cd6a03e29391；行3129
2. 规则：BR-cecdf7108ae8d7ca
3. 未动态验证</x:v>
      </x:c>
    </x:row>
    <x:row r="112" ht="100" customHeight="1">
      <x:c r="A112" s="10" t="n">
        <x:v>111</x:v>
      </x:c>
      <x:c r="B112" s="10" t="str">
        <x:v>GUILD-03-0030</x:v>
      </x:c>
      <x:c r="C112" s="10" t="str">
        <x:v>运营工具</x:v>
      </x:c>
      <x:c r="D112" s="10" t="str">
        <x:v>创建运营账号（公会长视角）</x:v>
      </x:c>
      <x:c r="E112" s="10" t="str">
        <x:v>逻辑校验</x:v>
      </x:c>
      <x:c r="F112" s="10" t="str">
        <x:v>P1</x:v>
      </x:c>
      <x:c r="G112" s="9" t="str">
        <x:v>验证账号剩余300公会剩余200时发放上限</x:v>
      </x:c>
      <x:c r="H112" s="9" t="str">
        <x:v>双额度取小值</x:v>
      </x:c>
      <x:c r="I112" s="9" t="str">
        <x:v>1. 执行角色为公会长
2. 业务数据已准备且本页已打开；表单和筛选保持下列指定状态
3. 账号月剩余额度300金币，公会月剩余额度200金币</x:v>
      </x:c>
      <x:c r="J112" s="9" t="str">
        <x:v>1. 查看创建运营账号页</x:v>
      </x:c>
      <x:c r="K112" s="9" t="str">
        <x:v>最多可发放显示200金币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来源（当前证据）：liveshow-proto/MainBasis/统一需求文档.md；位置：REQ-cd6a03e29391；行3129
2. 规则：BR-be3048a458653d1c
3. 未动态验证</x:v>
      </x:c>
    </x:row>
    <x:row r="113" ht="100" customHeight="1">
      <x:c r="A113" s="10" t="n">
        <x:v>112</x:v>
      </x:c>
      <x:c r="B113" s="10" t="str">
        <x:v>GUILD-03-0031</x:v>
      </x:c>
      <x:c r="C113" s="10" t="str">
        <x:v>运营工具</x:v>
      </x:c>
      <x:c r="D113" s="10" t="str">
        <x:v>创建运营账号（公会长视角）</x:v>
      </x:c>
      <x:c r="E113" s="10" t="str">
        <x:v>逻辑校验</x:v>
      </x:c>
      <x:c r="F113" s="10" t="str">
        <x:v>P1</x:v>
      </x:c>
      <x:c r="G113" s="9" t="str">
        <x:v>验证账号剩余100公会剩余0时发放上限</x:v>
      </x:c>
      <x:c r="H113" s="9" t="str">
        <x:v>双额度取小值</x:v>
      </x:c>
      <x:c r="I113" s="9" t="str">
        <x:v>1. 执行角色为公会长
2. 业务数据已准备且本页已打开；表单和筛选保持下列指定状态
3. 账号月剩余额度100金币，公会月剩余额度0金币</x:v>
      </x:c>
      <x:c r="J113" s="9" t="str">
        <x:v>1. 查看创建运营账号页</x:v>
      </x:c>
      <x:c r="K113" s="9" t="str">
        <x:v>最多可发放显示0金币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来源（当前证据）：liveshow-proto/MainBasis/统一需求文档.md；位置：REQ-cd6a03e29391；行3129
2. 规则：BR-8dafe044a152774f
3. 未动态验证</x:v>
      </x:c>
    </x:row>
    <x:row r="114" ht="100" customHeight="1">
      <x:c r="A114" s="10" t="n">
        <x:v>113</x:v>
      </x:c>
      <x:c r="B114" s="10" t="str">
        <x:v>GUILD-03-0032</x:v>
      </x:c>
      <x:c r="C114" s="10" t="str">
        <x:v>运营工具</x:v>
      </x:c>
      <x:c r="D114" s="10" t="str">
        <x:v>创建运营账号（公会长视角）</x:v>
      </x:c>
      <x:c r="E114" s="10" t="str">
        <x:v>逻辑校验</x:v>
      </x:c>
      <x:c r="F114" s="10" t="str">
        <x:v>P1</x:v>
      </x:c>
      <x:c r="G114" s="9" t="str">
        <x:v>验证初始发放-1金币不合法</x:v>
      </x:c>
      <x:c r="H114" s="9" t="str">
        <x:v>初始发放额度校验</x:v>
      </x:c>
      <x:c r="I114" s="9" t="str">
        <x:v>1. 执行角色为公会长
2. 业务数据已准备且本页已打开；表单和筛选保持下列指定状态
3. 本次最多可发放100金币，其他资料合法</x:v>
      </x:c>
      <x:c r="J114" s="9" t="str">
        <x:v>1. 查看创建运营账号页
2. 填写发放金币为-1
3. 点击确认创建</x:v>
      </x:c>
      <x:c r="K114" s="9" t="str">
        <x:v>不能创建额度不合法的账号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来源（当前证据）：liveshow-proto/MainBasis/统一需求文档.md；位置：REQ-6f2664020d2b；行3127
2. 规则：BR-7bfb65f5fb08648e
3. 未动态验证</x:v>
      </x:c>
    </x:row>
    <x:row r="115" ht="100" customHeight="1">
      <x:c r="A115" s="10" t="n">
        <x:v>114</x:v>
      </x:c>
      <x:c r="B115" s="10" t="str">
        <x:v>GUILD-03-0033</x:v>
      </x:c>
      <x:c r="C115" s="10" t="str">
        <x:v>运营工具</x:v>
      </x:c>
      <x:c r="D115" s="10" t="str">
        <x:v>创建运营账号（公会长视角）</x:v>
      </x:c>
      <x:c r="E115" s="10" t="str">
        <x:v>逻辑校验</x:v>
      </x:c>
      <x:c r="F115" s="10" t="str">
        <x:v>P1</x:v>
      </x:c>
      <x:c r="G115" s="9" t="str">
        <x:v>验证初始发放101金币不合法</x:v>
      </x:c>
      <x:c r="H115" s="9" t="str">
        <x:v>初始发放额度校验</x:v>
      </x:c>
      <x:c r="I115" s="9" t="str">
        <x:v>1. 执行角色为公会长
2. 业务数据已准备且本页已打开；表单和筛选保持下列指定状态
3. 本次最多可发放100金币，其他资料合法</x:v>
      </x:c>
      <x:c r="J115" s="9" t="str">
        <x:v>1. 查看创建运营账号页
2. 填写发放金币为101
3. 点击确认创建</x:v>
      </x:c>
      <x:c r="K115" s="9" t="str">
        <x:v>不能创建额度不合法的账号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来源（当前证据）：liveshow-proto/MainBasis/统一需求文档.md；位置：REQ-6f2664020d2b；行3127
2. 规则：BR-e5896f4f9c7b85fe
3. 未动态验证</x:v>
      </x:c>
    </x:row>
    <x:row r="116" ht="100" customHeight="1">
      <x:c r="A116" s="10" t="n">
        <x:v>115</x:v>
      </x:c>
      <x:c r="B116" s="10" t="str">
        <x:v>GUILD-03-0034</x:v>
      </x:c>
      <x:c r="C116" s="10" t="str">
        <x:v>运营工具</x:v>
      </x:c>
      <x:c r="D116" s="10" t="str">
        <x:v>运营账号主页（公会长视角）</x:v>
      </x:c>
      <x:c r="E116" s="10" t="str">
        <x:v>逻辑校验</x:v>
      </x:c>
      <x:c r="F116" s="10" t="str">
        <x:v>P1</x:v>
      </x:c>
      <x:c r="G116" s="9" t="str">
        <x:v>验证平台锁定后公会运营账号只读</x:v>
      </x:c>
      <x:c r="H116" s="9" t="str">
        <x:v>运营账号公会管理锁定</x:v>
      </x:c>
      <x:c r="I116" s="9" t="str">
        <x:v>1. 执行角色为公会长
2. 业务数据已准备且本页已打开；表单和筛选保持下列指定状态
3. 平台已锁定该账号公会管理权限</x:v>
      </x:c>
      <x:c r="J116" s="9" t="str">
        <x:v>1. 查看运营账号主页页</x:v>
      </x:c>
      <x:c r="K116" s="9" t="str">
        <x:v>管理操作隐藏或不可用</x:v>
      </x:c>
      <x:c r="L116" s="10" t="str">
        <x:v>FLOW-9DD46CA244</x:v>
      </x:c>
      <x:c r="M116" s="10" t="str">
        <x:v>未测</x:v>
      </x:c>
      <x:c r="N116" s="10" t="str"/>
      <x:c r="O116" s="9" t="str">
        <x:v>1. 来源（当前证据）：liveshow-proto/MainBasis/统一需求文档.md；位置：REQ-08aa8f7fddb5；行3143
2. 规则：BR-4444476346e4f1ad
3. 未动态验证</x:v>
      </x:c>
    </x:row>
    <x:row r="117" ht="100" customHeight="1">
      <x:c r="A117" s="10" t="n">
        <x:v>116</x:v>
      </x:c>
      <x:c r="B117" s="10" t="str">
        <x:v>GUILD-03-0035</x:v>
      </x:c>
      <x:c r="C117" s="10" t="str">
        <x:v>运营工具</x:v>
      </x:c>
      <x:c r="D117" s="10" t="str">
        <x:v>运营账号主页（公会长视角）</x:v>
      </x:c>
      <x:c r="E117" s="10" t="str">
        <x:v>逻辑校验</x:v>
      </x:c>
      <x:c r="F117" s="10" t="str">
        <x:v>P1</x:v>
      </x:c>
      <x:c r="G117" s="9" t="str">
        <x:v>验证禁用运营账号保留余额</x:v>
      </x:c>
      <x:c r="H117" s="9" t="str">
        <x:v>禁用运营账号余额</x:v>
      </x:c>
      <x:c r="I117" s="9" t="str">
        <x:v>1. 执行角色为公会长
2. 业务数据已准备且本页已打开；表单和筛选保持下列指定状态
3. 运营账号启用且余额100金币，管理权限未锁定</x:v>
      </x:c>
      <x:c r="J117" s="9" t="str">
        <x:v>1. 查看运营账号主页页
2. 禁用账号状态开关</x:v>
      </x:c>
      <x:c r="K117" s="9" t="str">
        <x:v>账户余额仍为100金币</x:v>
      </x:c>
      <x:c r="L117" s="10" t="str">
        <x:v>FLOW-9DD46CA244</x:v>
      </x:c>
      <x:c r="M117" s="10" t="str">
        <x:v>未测</x:v>
      </x:c>
      <x:c r="N117" s="10" t="str"/>
      <x:c r="O117" s="9" t="str">
        <x:v>1. 来源（当前证据）：liveshow-proto/MainBasis/统一需求文档.md；位置：REQ-6c9432dc3f2d；行3165
2. 规则：BR-e8801322eb3b6a18
3. 未动态验证</x:v>
      </x:c>
    </x:row>
    <x:row r="118" ht="100" customHeight="1">
      <x:c r="A118" s="10" t="n">
        <x:v>117</x:v>
      </x:c>
      <x:c r="B118" s="10" t="str">
        <x:v>GUILD-03-0036</x:v>
      </x:c>
      <x:c r="C118" s="10" t="str">
        <x:v>运营工具</x:v>
      </x:c>
      <x:c r="D118" s="10" t="str">
        <x:v>运营账号主页（公会长视角）</x:v>
      </x:c>
      <x:c r="E118" s="10" t="str">
        <x:v>逻辑校验</x:v>
      </x:c>
      <x:c r="F118" s="10" t="str">
        <x:v>P1</x:v>
      </x:c>
      <x:c r="G118" s="9" t="str">
        <x:v>验证重新启用已禁用运营账号</x:v>
      </x:c>
      <x:c r="H118" s="9" t="str">
        <x:v>运营账号恢复启用</x:v>
      </x:c>
      <x:c r="I118" s="9" t="str">
        <x:v>1. 执行角色为公会长
2. 业务数据已准备且本页已打开；表单和筛选保持下列指定状态
3. 当前运营账号禁用，管理权限未锁定</x:v>
      </x:c>
      <x:c r="J118" s="9" t="str">
        <x:v>1. 查看运营账号主页页
2. 启用账号状态开关</x:v>
      </x:c>
      <x:c r="K118" s="9" t="str">
        <x:v>账号状态显示启用</x:v>
      </x:c>
      <x:c r="L118" s="10" t="str">
        <x:v>FLOW-9DD46CA244</x:v>
      </x:c>
      <x:c r="M118" s="10" t="str">
        <x:v>未测</x:v>
      </x:c>
      <x:c r="N118" s="10" t="str"/>
      <x:c r="O118" s="9" t="str">
        <x:v>1. 来源（当前证据）：liveshow-proto/MainBasis/统一需求文档.md；位置：REQ-6c9432dc3f2d；行3165
2. 规则：BR-623aeac3134208bc
3. 未动态验证</x:v>
      </x:c>
    </x:row>
    <x:row r="119" ht="100" customHeight="1">
      <x:c r="A119" s="10" t="n">
        <x:v>118</x:v>
      </x:c>
      <x:c r="B119" s="10" t="str">
        <x:v>GUILD-03-0037</x:v>
      </x:c>
      <x:c r="C119" s="10" t="str">
        <x:v>运营工具</x:v>
      </x:c>
      <x:c r="D119" s="10" t="str">
        <x:v>运营账号主页（公会长视角）</x:v>
      </x:c>
      <x:c r="E119" s="10" t="str">
        <x:v>逻辑校验</x:v>
      </x:c>
      <x:c r="F119" s="10" t="str">
        <x:v>P1</x:v>
      </x:c>
      <x:c r="G119" s="9" t="str">
        <x:v>验证发放虚拟金币后余额更新</x:v>
      </x:c>
      <x:c r="H119" s="9" t="str">
        <x:v>运营账号发放后余额</x:v>
      </x:c>
      <x:c r="I119" s="9" t="str">
        <x:v>1. 执行角色为公会长
2. 业务数据已准备且本页已打开；表单和筛选保持下列指定状态
3. 余额100金币，可发上限200金币，权限未锁定</x:v>
      </x:c>
      <x:c r="J119" s="9" t="str">
        <x:v>1. 查看运营账号主页页
2. 填写发放数量为50
3. 点击发放金币</x:v>
      </x:c>
      <x:c r="K119" s="9" t="str">
        <x:v>账户余额 = 150</x:v>
      </x:c>
      <x:c r="L119" s="10" t="str">
        <x:v>FLOW-E6B5F087D2</x:v>
      </x:c>
      <x:c r="M119" s="10" t="str">
        <x:v>未测</x:v>
      </x:c>
      <x:c r="N119" s="10" t="str"/>
      <x:c r="O119" s="9" t="str">
        <x:v>1. 来源（当前证据）：liveshow-proto/MainBasis/统一需求文档.md；位置：REQ-ff9041624126；行3171
2. 规则：BR-df8f47b9b97d1416
3. 未动态验证</x:v>
      </x:c>
    </x:row>
    <x:row r="120" ht="100" customHeight="1">
      <x:c r="A120" s="10" t="n">
        <x:v>119</x:v>
      </x:c>
      <x:c r="B120" s="10" t="str">
        <x:v>GUILD-03-0038</x:v>
      </x:c>
      <x:c r="C120" s="10" t="str">
        <x:v>运营工具</x:v>
      </x:c>
      <x:c r="D120" s="10" t="str">
        <x:v>运营账号主页（公会长视角）</x:v>
      </x:c>
      <x:c r="E120" s="10" t="str">
        <x:v>逻辑校验</x:v>
      </x:c>
      <x:c r="F120" s="10" t="str">
        <x:v>P1</x:v>
      </x:c>
      <x:c r="G120" s="9" t="str">
        <x:v>验证发放虚拟金币超公会剩余额度</x:v>
      </x:c>
      <x:c r="H120" s="9" t="str">
        <x:v>运营账号发放超额限制</x:v>
      </x:c>
      <x:c r="I120" s="9" t="str">
        <x:v>1. 执行角色为公会长
2. 业务数据已准备且本页已打开；表单和筛选保持下列指定状态
3. 账号月剩余100金币，公会月剩余50金币，权限未锁定</x:v>
      </x:c>
      <x:c r="J120" s="9" t="str">
        <x:v>1. 查看运营账号主页页
2. 填写发放数量为51
3. 点击发放金币</x:v>
      </x:c>
      <x:c r="K120" s="9" t="str">
        <x:v>不能完成超额发放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来源（当前证据）：liveshow-proto/MainBasis/统一需求文档.md；位置：REQ-679e814edf80；行3153
2. 规则：BR-b2eb19461c212c1b
3. 未动态验证</x:v>
      </x:c>
    </x:row>
    <x:row r="121" ht="85" customHeight="1">
      <x:c r="A121" s="10" t="n">
        <x:v>120</x:v>
      </x:c>
      <x:c r="B121" s="10" t="str">
        <x:v>GUILD-03-0039</x:v>
      </x:c>
      <x:c r="C121" s="10" t="str">
        <x:v>运营工具</x:v>
      </x:c>
      <x:c r="D121" s="10" t="str">
        <x:v>运营账号主页（公会长视角）</x:v>
      </x:c>
      <x:c r="E121" s="10" t="str">
        <x:v>功能需求</x:v>
      </x:c>
      <x:c r="F121" s="10" t="str">
        <x:v>P2</x:v>
      </x:c>
      <x:c r="G121" s="9" t="str">
        <x:v>验证运营账号消费默认本月</x:v>
      </x:c>
      <x:c r="H121" s="9" t="str">
        <x:v>运营账号默认消费周期</x:v>
      </x:c>
      <x:c r="I121" s="9" t="str">
        <x:v>1. 执行角色为公会长</x:v>
      </x:c>
      <x:c r="J121" s="9" t="str">
        <x:v>1. 进入运营账号主页页</x:v>
      </x:c>
      <x:c r="K121" s="9" t="str">
        <x:v>快捷日期默认本月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来源（当前证据）：liveshow-proto/MainBasis/统一需求文档.md；位置：REQ-366c4df6d782；行3147
2. 规则：BR-920cece1cf7c1eec
3. 未动态验证</x:v>
      </x:c>
    </x:row>
    <x:row r="122" ht="100" customHeight="1">
      <x:c r="A122" s="10" t="n">
        <x:v>121</x:v>
      </x:c>
      <x:c r="B122" s="10" t="str">
        <x:v>GUILD-03-0040</x:v>
      </x:c>
      <x:c r="C122" s="10" t="str">
        <x:v>运营工具</x:v>
      </x:c>
      <x:c r="D122" s="10" t="str">
        <x:v>运营账号主页（公会长视角）</x:v>
      </x:c>
      <x:c r="E122" s="10" t="str">
        <x:v>功能需求</x:v>
      </x:c>
      <x:c r="F122" s="10" t="str">
        <x:v>P2</x:v>
      </x:c>
      <x:c r="G122" s="9" t="str">
        <x:v>验证按日消费进入送礼记录</x:v>
      </x:c>
      <x:c r="H122" s="9" t="str">
        <x:v>运营送礼下钻条件</x:v>
      </x:c>
      <x:c r="I122" s="9" t="str">
        <x:v>1. 执行角色为公会长
2. 业务数据已准备且本页已打开；表单和筛选保持下列指定状态
3. 正在查看账号甲，列表有9月15日消费</x:v>
      </x:c>
      <x:c r="J122" s="9" t="str">
        <x:v>1. 查看运营账号主页页
2. 点击9月15日消费行</x:v>
      </x:c>
      <x:c r="K122" s="9" t="str">
        <x:v>送礼记录按账号甲和9月15日筛选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来源（当前证据）：liveshow-proto/MainBasis/统一需求文档.md；位置：REQ-ff9041624126；行3171
2. 规则：BR-407934b4266e9a25
3. 未动态验证</x:v>
      </x:c>
    </x:row>
    <x:row r="123" ht="85" customHeight="1">
      <x:c r="A123" s="10" t="n">
        <x:v>122</x:v>
      </x:c>
      <x:c r="B123" s="10" t="str">
        <x:v>GUILD-03-0041</x:v>
      </x:c>
      <x:c r="C123" s="10" t="str">
        <x:v>运营工具</x:v>
      </x:c>
      <x:c r="D123" s="10" t="str">
        <x:v>送礼记录（公会长视角）</x:v>
      </x:c>
      <x:c r="E123" s="10" t="str">
        <x:v>功能需求</x:v>
      </x:c>
      <x:c r="F123" s="10" t="str">
        <x:v>P2</x:v>
      </x:c>
      <x:c r="G123" s="9" t="str">
        <x:v>验证运营送礼记录默认范围</x:v>
      </x:c>
      <x:c r="H123" s="9" t="str">
        <x:v>运营送礼默认筛选</x:v>
      </x:c>
      <x:c r="I123" s="9" t="str">
        <x:v>1. 执行角色为公会长</x:v>
      </x:c>
      <x:c r="J123" s="9" t="str">
        <x:v>1. 进入送礼记录页</x:v>
      </x:c>
      <x:c r="K123" s="9" t="str">
        <x:v>筛选范围为全部运营账号的今日记录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来源（当前证据）：liveshow-proto/MainBasis/统一需求文档.md；位置：REQ-cbaa9bccc9de；行3194
2. 规则：BR-af802c9462020a42
3. 未动态验证</x:v>
      </x:c>
    </x:row>
    <x:row r="124" ht="100" customHeight="1">
      <x:c r="A124" s="10" t="n">
        <x:v>123</x:v>
      </x:c>
      <x:c r="B124" s="10" t="str">
        <x:v>GUILD-03-0042</x:v>
      </x:c>
      <x:c r="C124" s="10" t="str">
        <x:v>运营工具</x:v>
      </x:c>
      <x:c r="D124" s="10" t="str">
        <x:v>送礼记录（公会长视角）</x:v>
      </x:c>
      <x:c r="E124" s="10" t="str">
        <x:v>逻辑校验</x:v>
      </x:c>
      <x:c r="F124" s="10" t="str">
        <x:v>P1</x:v>
      </x:c>
      <x:c r="G124" s="9" t="str">
        <x:v>验证运营送礼消费按单价件数计算</x:v>
      </x:c>
      <x:c r="H124" s="9" t="str">
        <x:v>运营送礼消费金额</x:v>
      </x:c>
      <x:c r="I124" s="9" t="str">
        <x:v>1. 执行角色为公会长
2. 业务数据已准备且本页已打开；表单和筛选保持下列指定状态
3. 成功记录单价10虚拟金币，赠送20件</x:v>
      </x:c>
      <x:c r="J124" s="9" t="str">
        <x:v>1. 查看送礼记录页
2. 点击该送礼记录</x:v>
      </x:c>
      <x:c r="K124" s="9" t="str">
        <x:v>消费金币 = 200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来源（当前证据）：liveshow-proto/MainBasis/统一需求文档.md；位置：REQ-b1708057eef3；行3178
2. 规则：BR-cc064944fe9179fe
3. 未动态验证</x:v>
      </x:c>
    </x:row>
    <x:row r="125" ht="100" customHeight="1">
      <x:c r="A125" s="10" t="n">
        <x:v>124</x:v>
      </x:c>
      <x:c r="B125" s="10" t="str">
        <x:v>GUILD-03-0043</x:v>
      </x:c>
      <x:c r="C125" s="10" t="str">
        <x:v>运营工具</x:v>
      </x:c>
      <x:c r="D125" s="10" t="str">
        <x:v>送礼记录（公会长视角）</x:v>
      </x:c>
      <x:c r="E125" s="10" t="str">
        <x:v>逻辑校验</x:v>
      </x:c>
      <x:c r="F125" s="10" t="str">
        <x:v>P1</x:v>
      </x:c>
      <x:c r="G125" s="9" t="str">
        <x:v>验证运营送礼次数不按件数统计</x:v>
      </x:c>
      <x:c r="H125" s="9" t="str">
        <x:v>运营成功送礼笔数</x:v>
      </x:c>
      <x:c r="I125" s="9" t="str">
        <x:v>1. 执行角色为公会长
2. 业务数据已准备且本页已打开；表单和筛选保持下列指定状态
3. 筛选范围内2笔成功送礼各10件，1笔失败</x:v>
      </x:c>
      <x:c r="J125" s="9" t="str">
        <x:v>1. 查看送礼记录页</x:v>
      </x:c>
      <x:c r="K125" s="9" t="str">
        <x:v>总送礼次数显示2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来源（当前证据）：liveshow-proto/MainBasis/统一需求文档.md；位置：REQ-81a3ed5abf3a；行3196
2. 规则：BR-e32b0b62019c122f
3. 未动态验证</x:v>
      </x:c>
    </x:row>
    <x:row r="126" ht="100" customHeight="1">
      <x:c r="A126" s="10" t="n">
        <x:v>125</x:v>
      </x:c>
      <x:c r="B126" s="10" t="str">
        <x:v>GUILD-03-0044</x:v>
      </x:c>
      <x:c r="C126" s="10" t="str">
        <x:v>运营工具</x:v>
      </x:c>
      <x:c r="D126" s="10" t="str">
        <x:v>选择运营账号（多选）（公会长视角）</x:v>
      </x:c>
      <x:c r="E126" s="10" t="str">
        <x:v>逻辑校验</x:v>
      </x:c>
      <x:c r="F126" s="10" t="str">
        <x:v>P1</x:v>
      </x:c>
      <x:c r="G126" s="9" t="str">
        <x:v>验证搜索后全选仍作用全部运营账号</x:v>
      </x:c>
      <x:c r="H126" s="9" t="str">
        <x:v>运营账号全选范围</x:v>
      </x:c>
      <x:c r="I126" s="9" t="str">
        <x:v>1. 执行角色为公会长
2. 业务数据已准备且本页已打开；表单和筛选保持下列指定状态
3. 共3个运营账号，搜索QA仅命中1个</x:v>
      </x:c>
      <x:c r="J126" s="9" t="str">
        <x:v>1. 查看选择运营账号（多选）页
2. 输入搜索框为QA
3. 点击全选</x:v>
      </x:c>
      <x:c r="K126" s="9" t="str">
        <x:v>已选数量显示3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来源（当前证据）：liveshow-proto/MainBasis/统一需求文档.md；位置：REQ-731cc63e8bb2；行3213
2. 规则：BR-c9d2e9f65a2ed31d
3. 未动态验证</x:v>
      </x:c>
    </x:row>
    <x:row r="127" ht="85" customHeight="1">
      <x:c r="A127" s="10" t="n">
        <x:v>126</x:v>
      </x:c>
      <x:c r="B127" s="10" t="str">
        <x:v>GUILD-03-0045</x:v>
      </x:c>
      <x:c r="C127" s="10" t="str">
        <x:v>运营工具</x:v>
      </x:c>
      <x:c r="D127" s="10" t="str">
        <x:v>选择运营账号（多选）（公会长视角）</x:v>
      </x:c>
      <x:c r="E127" s="10" t="str">
        <x:v>功能需求</x:v>
      </x:c>
      <x:c r="F127" s="10" t="str">
        <x:v>P2</x:v>
      </x:c>
      <x:c r="G127" s="9" t="str">
        <x:v>验证取消运营账号全选</x:v>
      </x:c>
      <x:c r="H127" s="9" t="str">
        <x:v>运营账号清空选择</x:v>
      </x:c>
      <x:c r="I127" s="9" t="str">
        <x:v>1. 执行角色为公会长
2. 业务数据已准备且本页已打开；表单和筛选保持下列指定状态
3. 当前全部运营账号已选</x:v>
      </x:c>
      <x:c r="J127" s="9" t="str">
        <x:v>1. 查看选择运营账号（多选）页
2. 点击取消全选</x:v>
      </x:c>
      <x:c r="K127" s="9" t="str">
        <x:v>已选数量显示0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来源（当前证据）：liveshow-proto/MainBasis/统一需求文档.md；位置：REQ-731cc63e8bb2；行3213
2. 规则：BR-b83fde02f8cbf3b5
3. 未动态验证</x:v>
      </x:c>
    </x:row>
    <x:row r="128" ht="100" customHeight="1">
      <x:c r="A128" s="10" t="n">
        <x:v>127</x:v>
      </x:c>
      <x:c r="B128" s="10" t="str">
        <x:v>GUILD-03-0046</x:v>
      </x:c>
      <x:c r="C128" s="10" t="str">
        <x:v>运营工具</x:v>
      </x:c>
      <x:c r="D128" s="10" t="str">
        <x:v>选择运营账号（多选）（公会长视角）</x:v>
      </x:c>
      <x:c r="E128" s="10" t="str">
        <x:v>功能需求</x:v>
      </x:c>
      <x:c r="F128" s="10" t="str">
        <x:v>P2</x:v>
      </x:c>
      <x:c r="G128" s="9" t="str">
        <x:v>验证选择运营账号后保留送礼日期</x:v>
      </x:c>
      <x:c r="H128" s="9" t="str">
        <x:v>运营送礼筛选保留</x:v>
      </x:c>
      <x:c r="I128" s="9" t="str">
        <x:v>1. 执行角色为公会长
2. 业务数据已准备且本页已打开；表单和筛选保持下列指定状态
3. 送礼记录已选9月1日至9月15日</x:v>
      </x:c>
      <x:c r="J128" s="9" t="str">
        <x:v>1. 查看选择运营账号（多选）页
2. 选择运营账号甲
3. 选择运营账号乙
4. 点击完成</x:v>
      </x:c>
      <x:c r="K128" s="9" t="str">
        <x:v>送礼记录日期仍为9月1日至9月15日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来源（当前证据）：liveshow-proto/MainBasis/统一需求文档.md；位置：REQ-ec36dd70dcff；行3215
2. 规则：BR-d5d6bff4e5882c22
3. 未动态验证</x:v>
      </x:c>
    </x:row>
    <x:row r="129" ht="100" customHeight="1">
      <x:c r="A129" s="10" t="n">
        <x:v>128</x:v>
      </x:c>
      <x:c r="B129" s="10" t="str">
        <x:v>GUILD-02-0038</x:v>
      </x:c>
      <x:c r="C129" s="10" t="str">
        <x:v>主播管理</x:v>
      </x:c>
      <x:c r="D129" s="10" t="str">
        <x:v>主播业绩（公会长视角）</x:v>
      </x:c>
      <x:c r="E129" s="10" t="str">
        <x:v>逻辑校验</x:v>
      </x:c>
      <x:c r="F129" s="10" t="str">
        <x:v>P1</x:v>
      </x:c>
      <x:c r="G129" s="9" t="str">
        <x:v>验证退会主播保留原公会期间业绩</x:v>
      </x:c>
      <x:c r="H129" s="9" t="str">
        <x:v>公会历史业绩归属</x:v>
      </x:c>
      <x:c r="I129" s="9" t="str">
        <x:v>1. 执行角色为公会长
2. 业务数据已准备且本页已打开；表单和筛选保持下列指定状态
3. 甲在公会A产生收益100，退出A加入B后产生200，当前查看A</x:v>
      </x:c>
      <x:c r="J129" s="9" t="str">
        <x:v>1. 查看主播业绩页</x:v>
      </x:c>
      <x:c r="K129" s="9" t="str">
        <x:v>甲在A的收益显示100金币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来源（当前证据）：liveshow-proto/MainBasis/统一需求文档.md；位置：REQ-67458be2a092；行2931
2. 规则：BR-08dd5471cb43da6d
3. 未动态验证</x:v>
      </x:c>
    </x:row>
    <x:row r="130" ht="100" customHeight="1">
      <x:c r="A130" s="10" t="n">
        <x:v>129</x:v>
      </x:c>
      <x:c r="B130" s="10" t="str">
        <x:v>GUILD-02-0039</x:v>
      </x:c>
      <x:c r="C130" s="10" t="str">
        <x:v>主播管理</x:v>
      </x:c>
      <x:c r="D130" s="10" t="str">
        <x:v>主播业绩（公会长视角）</x:v>
      </x:c>
      <x:c r="E130" s="10" t="str">
        <x:v>逻辑校验</x:v>
      </x:c>
      <x:c r="F130" s="10" t="str">
        <x:v>P1</x:v>
      </x:c>
      <x:c r="G130" s="9" t="str">
        <x:v>验证周期内同主播多场只算1人</x:v>
      </x:c>
      <x:c r="H130" s="9" t="str">
        <x:v>公会开播人数去重</x:v>
      </x:c>
      <x:c r="I130" s="9" t="str">
        <x:v>1. 执行角色为公会长
2. 业务数据已准备且本页已打开；表单和筛选保持下列指定状态
3. 周期内甲完成2场，乙完成1场</x:v>
      </x:c>
      <x:c r="J130" s="9" t="str">
        <x:v>1. 查看主播业绩页</x:v>
      </x:c>
      <x:c r="K130" s="9" t="str">
        <x:v>开播人数显示2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来源（当前证据）：liveshow-proto/MainBasis/统一需求文档.md；位置：REQ-0f3fd7e3397f；行2925
2. 规则：BR-1d27347f16547f60
3. 未动态验证</x:v>
      </x:c>
    </x:row>
    <x:row r="131" ht="100" customHeight="1">
      <x:c r="A131" s="10" t="n">
        <x:v>130</x:v>
      </x:c>
      <x:c r="B131" s="10" t="str">
        <x:v>GUILD-02-0040</x:v>
      </x:c>
      <x:c r="C131" s="10" t="str">
        <x:v>主播管理</x:v>
      </x:c>
      <x:c r="D131" s="10" t="str">
        <x:v>主播数据（公会长视角）</x:v>
      </x:c>
      <x:c r="E131" s="10" t="str">
        <x:v>逻辑校验</x:v>
      </x:c>
      <x:c r="F131" s="10" t="str">
        <x:v>P1</x:v>
      </x:c>
      <x:c r="G131" s="9" t="str">
        <x:v>验证新增粉丝不抵减取关人数</x:v>
      </x:c>
      <x:c r="H131" s="9" t="str">
        <x:v>公会主播新增粉丝口径</x:v>
      </x:c>
      <x:c r="I131" s="9" t="str">
        <x:v>1. 执行角色为公会长
2. 业务数据已准备且本页已打开；表单和筛选保持下列指定状态
3. 目标日新增10关注，取关3人</x:v>
      </x:c>
      <x:c r="J131" s="9" t="str">
        <x:v>1. 查看主播数据页</x:v>
      </x:c>
      <x:c r="K131" s="9" t="str">
        <x:v>该日新增粉丝显示10人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来源（当前证据）：liveshow-proto/MainBasis/统一需求文档.md；位置：REQ-287d99181822；行2958
2. 规则：BR-8a65fb69c86d9523
3. 未动态验证</x:v>
      </x:c>
    </x:row>
    <x:row r="132" ht="100" customHeight="1">
      <x:c r="A132" s="10" t="n">
        <x:v>131</x:v>
      </x:c>
      <x:c r="B132" s="10" t="str">
        <x:v>GUILD-02-0041</x:v>
      </x:c>
      <x:c r="C132" s="10" t="str">
        <x:v>主播管理</x:v>
      </x:c>
      <x:c r="D132" s="10" t="str">
        <x:v>主播数据（公会长视角）</x:v>
      </x:c>
      <x:c r="E132" s="10" t="str">
        <x:v>逻辑校验</x:v>
      </x:c>
      <x:c r="F132" s="10" t="str">
        <x:v>P1</x:v>
      </x:c>
      <x:c r="G132" s="9" t="str">
        <x:v>验证主播日累计179分钟有效天</x:v>
      </x:c>
      <x:c r="H132" s="9" t="str">
        <x:v>主播有效天边界</x:v>
      </x:c>
      <x:c r="I132" s="9" t="str">
        <x:v>1. 执行角色为公会长
2. 业务数据已准备且本页已打开；表单和筛选保持下列指定状态
3. 目标日有效直播累计179分钟</x:v>
      </x:c>
      <x:c r="J132" s="9" t="str">
        <x:v>1. 查看主播数据页</x:v>
      </x:c>
      <x:c r="K132" s="9" t="str">
        <x:v>该日有效天标记为未达标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来源（当前证据）：liveshow-proto/MainBasis/统一需求文档.md；位置：REQ-27451eaf9055；行2956
2. 规则：BR-c30658381b6c095a
3. 未动态验证</x:v>
      </x:c>
    </x:row>
    <x:row r="133" ht="100" customHeight="1">
      <x:c r="A133" s="10" t="n">
        <x:v>132</x:v>
      </x:c>
      <x:c r="B133" s="10" t="str">
        <x:v>GUILD-02-0042</x:v>
      </x:c>
      <x:c r="C133" s="10" t="str">
        <x:v>主播管理</x:v>
      </x:c>
      <x:c r="D133" s="10" t="str">
        <x:v>主播数据（公会长视角）</x:v>
      </x:c>
      <x:c r="E133" s="10" t="str">
        <x:v>逻辑校验</x:v>
      </x:c>
      <x:c r="F133" s="10" t="str">
        <x:v>P1</x:v>
      </x:c>
      <x:c r="G133" s="9" t="str">
        <x:v>验证主播日累计180分钟有效天</x:v>
      </x:c>
      <x:c r="H133" s="9" t="str">
        <x:v>主播有效天边界</x:v>
      </x:c>
      <x:c r="I133" s="9" t="str">
        <x:v>1. 执行角色为公会长
2. 业务数据已准备且本页已打开；表单和筛选保持下列指定状态
3. 目标日有效直播累计180分钟</x:v>
      </x:c>
      <x:c r="J133" s="9" t="str">
        <x:v>1. 查看主播数据页</x:v>
      </x:c>
      <x:c r="K133" s="9" t="str">
        <x:v>该日有效天标记为达标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来源（当前证据）：liveshow-proto/MainBasis/统一需求文档.md；位置：REQ-27451eaf9055；行2956
2. 规则：BR-a16e219322195a2b
3. 未动态验证</x:v>
      </x:c>
    </x:row>
    <x:row r="134" ht="100" customHeight="1">
      <x:c r="A134" s="10" t="n">
        <x:v>133</x:v>
      </x:c>
      <x:c r="B134" s="10" t="str">
        <x:v>GUILD-02-0043</x:v>
      </x:c>
      <x:c r="C134" s="10" t="str">
        <x:v>主播管理</x:v>
      </x:c>
      <x:c r="D134" s="10" t="str">
        <x:v>主播数据（公会长视角）</x:v>
      </x:c>
      <x:c r="E134" s="10" t="str">
        <x:v>逻辑校验</x:v>
      </x:c>
      <x:c r="F134" s="10" t="str">
        <x:v>P1</x:v>
      </x:c>
      <x:c r="G134" s="9" t="str">
        <x:v>验证主播日累计181分钟有效天</x:v>
      </x:c>
      <x:c r="H134" s="9" t="str">
        <x:v>主播有效天边界</x:v>
      </x:c>
      <x:c r="I134" s="9" t="str">
        <x:v>1. 执行角色为公会长
2. 业务数据已准备且本页已打开；表单和筛选保持下列指定状态
3. 目标日有效直播累计181分钟</x:v>
      </x:c>
      <x:c r="J134" s="9" t="str">
        <x:v>1. 查看主播数据页</x:v>
      </x:c>
      <x:c r="K134" s="9" t="str">
        <x:v>该日有效天标记为达标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来源（当前证据）：liveshow-proto/MainBasis/统一需求文档.md；位置：REQ-27451eaf9055；行2956
2. 规则：BR-7845af3388d84382
3. 未动态验证</x:v>
      </x:c>
    </x:row>
    <x:row r="135" ht="85" customHeight="1">
      <x:c r="A135" s="10" t="n">
        <x:v>134</x:v>
      </x:c>
      <x:c r="B135" s="10" t="str">
        <x:v>GUILD-02-0044</x:v>
      </x:c>
      <x:c r="C135" s="10" t="str">
        <x:v>主播管理</x:v>
      </x:c>
      <x:c r="D135" s="10" t="str">
        <x:v>主播数据（公会长视角）</x:v>
      </x:c>
      <x:c r="E135" s="10" t="str">
        <x:v>功能需求</x:v>
      </x:c>
      <x:c r="F135" s="10" t="str">
        <x:v>P2</x:v>
      </x:c>
      <x:c r="G135" s="9" t="str">
        <x:v>验证主播月数据不出现未定义筛选</x:v>
      </x:c>
      <x:c r="H135" s="9" t="str">
        <x:v>主播月数据入口范围</x:v>
      </x:c>
      <x:c r="I135" s="9" t="str">
        <x:v>1. 执行角色为公会长</x:v>
      </x:c>
      <x:c r="J135" s="9" t="str">
        <x:v>1. 进入主播数据页
2. 切换月数据</x:v>
      </x:c>
      <x:c r="K135" s="9" t="str">
        <x:v>不显示月份筛选控件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来源（当前证据）：liveshow-proto/MainBasis/统一需求文档.md；位置：REQ-601776b12c53；行2950
2. 规则：BR-81fe7393a64e6a7c
3. 未动态验证</x:v>
      </x:c>
    </x:row>
    <x:row r="136" ht="100" customHeight="1">
      <x:c r="A136" s="10" t="n">
        <x:v>135</x:v>
      </x:c>
      <x:c r="B136" s="10" t="str">
        <x:v>GUILD-02-0045</x:v>
      </x:c>
      <x:c r="C136" s="10" t="str">
        <x:v>主播管理</x:v>
      </x:c>
      <x:c r="D136" s="10" t="str">
        <x:v>主播数据（公会长视角）</x:v>
      </x:c>
      <x:c r="E136" s="10" t="str">
        <x:v>功能需求</x:v>
      </x:c>
      <x:c r="F136" s="10" t="str">
        <x:v>P2</x:v>
      </x:c>
      <x:c r="G136" s="9" t="str">
        <x:v>验证主播月数据下钻直播记录</x:v>
      </x:c>
      <x:c r="H136" s="9" t="str">
        <x:v>主播月数据下钻条件</x:v>
      </x:c>
      <x:c r="I136" s="9" t="str">
        <x:v>1. 执行角色为公会长
2. 业务数据已准备且本页已打开；表单和筛选保持下列指定状态
3. 当前对象为主播甲，9月有数据</x:v>
      </x:c>
      <x:c r="J136" s="9" t="str">
        <x:v>1. 查看主播数据页
2. 切换月数据
3. 点击9月数据行</x:v>
      </x:c>
      <x:c r="K136" s="9" t="str">
        <x:v>直播记录按甲和9月筛选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来源（当前证据）：liveshow-proto/MainBasis/统一需求文档.md；位置：REQ-0a5f516ac158；行2962
2. 规则：BR-4cc040e34048cb42
3. 未动态验证</x:v>
      </x:c>
    </x:row>
    <x:row r="137" ht="100" customHeight="1">
      <x:c r="A137" s="10" t="n">
        <x:v>136</x:v>
      </x:c>
      <x:c r="B137" s="10" t="str">
        <x:v>GUILD-05-0001</x:v>
      </x:c>
      <x:c r="C137" s="10" t="str">
        <x:v>数据与收益</x:v>
      </x:c>
      <x:c r="D137" s="10" t="str">
        <x:v>直播记录（公会长视角）</x:v>
      </x:c>
      <x:c r="E137" s="10" t="str">
        <x:v>功能需求</x:v>
      </x:c>
      <x:c r="F137" s="10" t="str">
        <x:v>P2</x:v>
      </x:c>
      <x:c r="G137" s="9" t="str">
        <x:v>验证直播记录按开播先后排序</x:v>
      </x:c>
      <x:c r="H137" s="9" t="str">
        <x:v>公会直播记录顺序</x:v>
      </x:c>
      <x:c r="I137" s="9" t="str">
        <x:v>1. 执行角色为公会长
2. 业务数据已准备且本页已打开；表单和筛选保持下列指定状态
3. 同一日甲10点开播，乙12点开播</x:v>
      </x:c>
      <x:c r="J137" s="9" t="str">
        <x:v>1. 查看直播记录页</x:v>
      </x:c>
      <x:c r="K137" s="9" t="str">
        <x:v>12点场次排列在10点场次前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来源（当前证据）：liveshow-proto/MainBasis/统一需求文档.md；位置：REQ-27679ba94edc；行3273
2. 规则：BR-eb9b291c00f1acf3
3. 未动态验证</x:v>
      </x:c>
    </x:row>
    <x:row r="138" ht="85" customHeight="1">
      <x:c r="A138" s="10" t="n">
        <x:v>137</x:v>
      </x:c>
      <x:c r="B138" s="10" t="str">
        <x:v>GUILD-05-0002</x:v>
      </x:c>
      <x:c r="C138" s="10" t="str">
        <x:v>数据与收益</x:v>
      </x:c>
      <x:c r="D138" s="10" t="str">
        <x:v>直播记录（公会长视角）</x:v>
      </x:c>
      <x:c r="E138" s="10" t="str">
        <x:v>逻辑校验</x:v>
      </x:c>
      <x:c r="F138" s="10" t="str">
        <x:v>P1</x:v>
      </x:c>
      <x:c r="G138" s="9" t="str">
        <x:v>验证直播观众重复进入去重</x:v>
      </x:c>
      <x:c r="H138" s="9" t="str">
        <x:v>场次观众去重</x:v>
      </x:c>
      <x:c r="I138" s="9" t="str">
        <x:v>1. 执行角色为公会长
2. 业务数据已准备且本页已打开；表单和筛选保持下列指定状态
3. 用户甲进出3次、乙进入1次</x:v>
      </x:c>
      <x:c r="J138" s="9" t="str">
        <x:v>1. 查看直播记录页</x:v>
      </x:c>
      <x:c r="K138" s="9" t="str">
        <x:v>该场次观众显示2人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来源（当前证据）：liveshow-proto/MainBasis/统一需求文档.md；位置：REQ-4f9b330976db；行3279
2. 规则：BR-7ef0550b2cbf2f9e
3. 未动态验证</x:v>
      </x:c>
    </x:row>
    <x:row r="139" ht="100" customHeight="1">
      <x:c r="A139" s="10" t="n">
        <x:v>138</x:v>
      </x:c>
      <x:c r="B139" s="10" t="str">
        <x:v>GUILD-05-0003</x:v>
      </x:c>
      <x:c r="C139" s="10" t="str">
        <x:v>数据与收益</x:v>
      </x:c>
      <x:c r="D139" s="10" t="str">
        <x:v>直播记录（公会长视角）</x:v>
      </x:c>
      <x:c r="E139" s="10" t="str">
        <x:v>逻辑校验</x:v>
      </x:c>
      <x:c r="F139" s="10" t="str">
        <x:v>P1</x:v>
      </x:c>
      <x:c r="G139" s="9" t="str">
        <x:v>验证场次收礼数量按件统计</x:v>
      </x:c>
      <x:c r="H139" s="9" t="str">
        <x:v>场次收礼件数</x:v>
      </x:c>
      <x:c r="I139" s="9" t="str">
        <x:v>1. 执行角色为公会长
2. 业务数据已准备且本页已打开；表单和筛选保持下列指定状态
3. 2名用户分别送10件和20件礼物</x:v>
      </x:c>
      <x:c r="J139" s="9" t="str">
        <x:v>1. 查看直播记录页</x:v>
      </x:c>
      <x:c r="K139" s="9" t="str">
        <x:v>该场次收礼数量显示30件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来源（当前证据）：liveshow-proto/MainBasis/统一需求文档.md；位置：REQ-b0dd1ad499ca；行3281
2. 规则：BR-86f3dbefdcff64fe
3. 未动态验证</x:v>
      </x:c>
    </x:row>
    <x:row r="140" ht="100" customHeight="1">
      <x:c r="A140" s="10" t="n">
        <x:v>139</x:v>
      </x:c>
      <x:c r="B140" s="10" t="str">
        <x:v>GUILD-05-0004</x:v>
      </x:c>
      <x:c r="C140" s="10" t="str">
        <x:v>数据与收益</x:v>
      </x:c>
      <x:c r="D140" s="10" t="str">
        <x:v>直播记录（公会长视角）</x:v>
      </x:c>
      <x:c r="E140" s="10" t="str">
        <x:v>逻辑校验</x:v>
      </x:c>
      <x:c r="F140" s="10" t="str">
        <x:v>P1</x:v>
      </x:c>
      <x:c r="G140" s="9" t="str">
        <x:v>验证同一主播重复开播保留不同场次</x:v>
      </x:c>
      <x:c r="H140" s="9" t="str">
        <x:v>公会直播场次区分</x:v>
      </x:c>
      <x:c r="I140" s="9" t="str">
        <x:v>1. 执行角色为公会长
2. 业务数据已准备且本页已打开；表单和筛选保持下列指定状态
3. 同一主播同日先后开播2次，第一次已结束</x:v>
      </x:c>
      <x:c r="J140" s="9" t="str">
        <x:v>1. 查看直播记录页</x:v>
      </x:c>
      <x:c r="K140" s="9" t="str">
        <x:v>列表保留两条不同场次记录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来源（当前证据）：liveshow-proto/MainBasis/统一需求文档.md；位置：REQ-a5a3a5ccbbb6；行3289
2. 规则：BR-9787f89dba335c35
3. 未动态验证</x:v>
      </x:c>
    </x:row>
    <x:row r="141" ht="100" customHeight="1">
      <x:c r="A141" s="10" t="n">
        <x:v>140</x:v>
      </x:c>
      <x:c r="B141" s="10" t="str">
        <x:v>GUILD-05-0005</x:v>
      </x:c>
      <x:c r="C141" s="10" t="str">
        <x:v>数据与收益</x:v>
      </x:c>
      <x:c r="D141" s="10" t="str">
        <x:v>直播记录（公会长视角）</x:v>
      </x:c>
      <x:c r="E141" s="10" t="str">
        <x:v>功能需求</x:v>
      </x:c>
      <x:c r="F141" s="10" t="str">
        <x:v>P2</x:v>
      </x:c>
      <x:c r="G141" s="9" t="str">
        <x:v>验证直播场次下钻绑定正确对象</x:v>
      </x:c>
      <x:c r="H141" s="9" t="str">
        <x:v>公会场次详情定位</x:v>
      </x:c>
      <x:c r="I141" s="9" t="str">
        <x:v>1. 执行角色为公会长
2. 业务数据已准备且本页已打开；表单和筛选保持下列指定状态
3. 列表含同主播同日两场记录A和B</x:v>
      </x:c>
      <x:c r="J141" s="9" t="str">
        <x:v>1. 查看直播记录页
2. 点击场次B</x:v>
      </x:c>
      <x:c r="K141" s="9" t="str">
        <x:v>详情显示场次B的ID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来源（当前证据）：liveshow-proto/MainBasis/统一需求文档.md；位置：REQ-26d51d07b374；行3291
2. 规则：BR-875bea5aa1419ae3
3. 未动态验证</x:v>
      </x:c>
    </x:row>
    <x:row r="142" ht="100" customHeight="1">
      <x:c r="A142" s="10" t="n">
        <x:v>141</x:v>
      </x:c>
      <x:c r="B142" s="10" t="str">
        <x:v>GUILD-05-0006</x:v>
      </x:c>
      <x:c r="C142" s="10" t="str">
        <x:v>数据与收益</x:v>
      </x:c>
      <x:c r="D142" s="10" t="str">
        <x:v>直播场次详情（公会长视角）</x:v>
      </x:c>
      <x:c r="E142" s="10" t="str">
        <x:v>逻辑校验</x:v>
      </x:c>
      <x:c r="F142" s="10" t="str">
        <x:v>P1</x:v>
      </x:c>
      <x:c r="G142" s="9" t="str">
        <x:v>验证同一用户多笔送礼去重</x:v>
      </x:c>
      <x:c r="H142" s="9" t="str">
        <x:v>场次送礼观众人数</x:v>
      </x:c>
      <x:c r="I142" s="9" t="str">
        <x:v>1. 执行角色为公会长
2. 业务数据已准备且本页已打开；表单和筛选保持下列指定状态
3. 甲成功送礼2笔、乙1笔、丙失败1笔</x:v>
      </x:c>
      <x:c r="J142" s="9" t="str">
        <x:v>1. 查看直播场次详情页</x:v>
      </x:c>
      <x:c r="K142" s="9" t="str">
        <x:v>送礼观众显示2人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来源（当前证据）：liveshow-proto/MainBasis/统一需求文档.md；位置：REQ-7d068e075206；行3326
2. 规则：BR-299929edeab00992
3. 未动态验证</x:v>
      </x:c>
    </x:row>
    <x:row r="143" ht="100" customHeight="1">
      <x:c r="A143" s="10" t="n">
        <x:v>142</x:v>
      </x:c>
      <x:c r="B143" s="10" t="str">
        <x:v>GUILD-05-0007</x:v>
      </x:c>
      <x:c r="C143" s="10" t="str">
        <x:v>数据与收益</x:v>
      </x:c>
      <x:c r="D143" s="10" t="str">
        <x:v>直播场次详情（公会长视角）</x:v>
      </x:c>
      <x:c r="E143" s="10" t="str">
        <x:v>逻辑校验</x:v>
      </x:c>
      <x:c r="F143" s="10" t="str">
        <x:v>P1</x:v>
      </x:c>
      <x:c r="G143" s="9" t="str">
        <x:v>验证普通礼物和定制礼物计入主播收益</x:v>
      </x:c>
      <x:c r="H143" s="9" t="str">
        <x:v>公会查看普通定制收益</x:v>
      </x:c>
      <x:c r="I143" s="9" t="str">
        <x:v>1. 执行角色为公会长
2. 业务数据已准备且本页已打开；表单和筛选保持下列指定状态
3. 该场仅普通礼物实际消费100金币、定制礼物200金币</x:v>
      </x:c>
      <x:c r="J143" s="9" t="str">
        <x:v>1. 查看直播场次详情页</x:v>
      </x:c>
      <x:c r="K143" s="9" t="str">
        <x:v>礼物收益 = 300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来源（当前证据）：liveshow-proto/MainBasis/统一需求文档.md；位置：REQ-50afce4f563f；行3332
2. 规则：BR-056dcdd45ecfba44
3. 未动态验证</x:v>
      </x:c>
    </x:row>
    <x:row r="144" ht="115" customHeight="1">
      <x:c r="A144" s="10" t="n">
        <x:v>143</x:v>
      </x:c>
      <x:c r="B144" s="10" t="str">
        <x:v>GUILD-05-0008</x:v>
      </x:c>
      <x:c r="C144" s="10" t="str">
        <x:v>数据与收益</x:v>
      </x:c>
      <x:c r="D144" s="10" t="str">
        <x:v>直播场次详情（公会长视角）</x:v>
      </x:c>
      <x:c r="E144" s="10" t="str">
        <x:v>逻辑校验</x:v>
      </x:c>
      <x:c r="F144" s="10" t="str">
        <x:v>P1</x:v>
      </x:c>
      <x:c r="G144" s="9" t="str">
        <x:v>验证幸运礼物返奖0时主播收益</x:v>
      </x:c>
      <x:c r="H144" s="9" t="str">
        <x:v>公会查看幸运礼物收益</x:v>
      </x:c>
      <x:c r="I144" s="9" t="str">
        <x:v>1. 执行角色为公会长
2. 业务数据已准备且本页已打开；表单和筛选保持下列指定状态
3. 本场仅一笔幸运礼物价值1000金币，快照比例1%，返奖0金币</x:v>
      </x:c>
      <x:c r="J144" s="9" t="str">
        <x:v>1. 查看直播场次详情页</x:v>
      </x:c>
      <x:c r="K144" s="9" t="str">
        <x:v>礼物收益 = 10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来源（当前证据）：liveshow-proto/MainBasis/统一需求文档.md；位置：REQ-50afce4f563f；行3332
2. 规则：BR-f43f6f2ffb2af5d2
3. 未动态验证</x:v>
      </x:c>
    </x:row>
    <x:row r="145" ht="115" customHeight="1">
      <x:c r="A145" s="10" t="n">
        <x:v>144</x:v>
      </x:c>
      <x:c r="B145" s="10" t="str">
        <x:v>GUILD-05-0009</x:v>
      </x:c>
      <x:c r="C145" s="10" t="str">
        <x:v>数据与收益</x:v>
      </x:c>
      <x:c r="D145" s="10" t="str">
        <x:v>直播场次详情（公会长视角）</x:v>
      </x:c>
      <x:c r="E145" s="10" t="str">
        <x:v>逻辑校验</x:v>
      </x:c>
      <x:c r="F145" s="10" t="str">
        <x:v>P1</x:v>
      </x:c>
      <x:c r="G145" s="9" t="str">
        <x:v>验证幸运礼物返奖1000时主播收益</x:v>
      </x:c>
      <x:c r="H145" s="9" t="str">
        <x:v>公会查看幸运礼物收益</x:v>
      </x:c>
      <x:c r="I145" s="9" t="str">
        <x:v>1. 执行角色为公会长
2. 业务数据已准备且本页已打开；表单和筛选保持下列指定状态
3. 本场仅一笔幸运礼物价值1000金币，快照比例1%，返奖1000金币</x:v>
      </x:c>
      <x:c r="J145" s="9" t="str">
        <x:v>1. 查看直播场次详情页</x:v>
      </x:c>
      <x:c r="K145" s="9" t="str">
        <x:v>礼物收益 = 10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来源（当前证据）：liveshow-proto/MainBasis/统一需求文档.md；位置：REQ-50afce4f563f；行3332
2. 规则：BR-31ae94c5fd0e38c9
3. 未动态验证</x:v>
      </x:c>
    </x:row>
    <x:row r="146" ht="100" customHeight="1">
      <x:c r="A146" s="10" t="n">
        <x:v>145</x:v>
      </x:c>
      <x:c r="B146" s="10" t="str">
        <x:v>GUILD-05-0010</x:v>
      </x:c>
      <x:c r="C146" s="10" t="str">
        <x:v>数据与收益</x:v>
      </x:c>
      <x:c r="D146" s="10" t="str">
        <x:v>直播场次详情（公会长视角）</x:v>
      </x:c>
      <x:c r="E146" s="10" t="str">
        <x:v>逻辑校验</x:v>
      </x:c>
      <x:c r="F146" s="10" t="str">
        <x:v>P1</x:v>
      </x:c>
      <x:c r="G146" s="9" t="str">
        <x:v>验证运营赠礼不增加主播收益</x:v>
      </x:c>
      <x:c r="H146" s="9" t="str">
        <x:v>公会查看运营赠礼收益</x:v>
      </x:c>
      <x:c r="I146" s="9" t="str">
        <x:v>1. 执行角色为公会长
2. 业务数据已准备且本页已打开；表单和筛选保持下列指定状态
3. 该场仅运营账号成功送出1000虚拟金币礼物</x:v>
      </x:c>
      <x:c r="J146" s="9" t="str">
        <x:v>1. 查看直播场次详情页</x:v>
      </x:c>
      <x:c r="K146" s="9" t="str">
        <x:v>礼物收益显示0金币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来源（当前证据）：liveshow-proto/MainBasis/统一需求文档.md；位置：REQ-b409f84ccf77；行3334
2. 规则：BR-0b38889265e0ead9
3. 未动态验证</x:v>
      </x:c>
    </x:row>
    <x:row r="147" ht="100" customHeight="1">
      <x:c r="A147" s="10" t="n">
        <x:v>146</x:v>
      </x:c>
      <x:c r="B147" s="10" t="str">
        <x:v>GUILD-05-0011</x:v>
      </x:c>
      <x:c r="C147" s="10" t="str">
        <x:v>数据与收益</x:v>
      </x:c>
      <x:c r="D147" s="10" t="str">
        <x:v>直播场次详情（公会长视角）</x:v>
      </x:c>
      <x:c r="E147" s="10" t="str">
        <x:v>功能需求</x:v>
      </x:c>
      <x:c r="F147" s="10" t="str">
        <x:v>P2</x:v>
      </x:c>
      <x:c r="G147" s="9" t="str">
        <x:v>验证场次详情返回保留筛选</x:v>
      </x:c>
      <x:c r="H147" s="9" t="str">
        <x:v>公会直播记录返回筛选</x:v>
      </x:c>
      <x:c r="I147" s="9" t="str">
        <x:v>1. 执行角色为公会长
2. 业务数据已准备且本页已打开；表单和筛选保持下列指定状态
3. 列表已按主播甲和9月15日筛选</x:v>
      </x:c>
      <x:c r="J147" s="9" t="str">
        <x:v>1. 查看直播场次详情页
2. 返回直播记录</x:v>
      </x:c>
      <x:c r="K147" s="9" t="str">
        <x:v>筛选仍为主播甲和9月15日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来源（当前证据）：liveshow-proto/MainBasis/统一需求文档.md；位置：REQ-9714708419d5；行3336
2. 规则：BR-9f874d0a95145c16
3. 未动态验证</x:v>
      </x:c>
    </x:row>
    <x:row r="148" ht="100" customHeight="1">
      <x:c r="A148" s="10" t="n">
        <x:v>147</x:v>
      </x:c>
      <x:c r="B148" s="10" t="str">
        <x:v>GUILD-05-0012</x:v>
      </x:c>
      <x:c r="C148" s="10" t="str">
        <x:v>数据与收益</x:v>
      </x:c>
      <x:c r="D148" s="10" t="str">
        <x:v>公会业绩（公会长视角）</x:v>
      </x:c>
      <x:c r="E148" s="10" t="str">
        <x:v>逻辑校验</x:v>
      </x:c>
      <x:c r="F148" s="10" t="str">
        <x:v>P1</x:v>
      </x:c>
      <x:c r="G148" s="9" t="str">
        <x:v>验证日数据跨日期统计去重开播人数</x:v>
      </x:c>
      <x:c r="H148" s="9" t="str">
        <x:v>公会日数据开播去重</x:v>
      </x:c>
      <x:c r="I148" s="9" t="str">
        <x:v>1. 执行角色为公会长
2. 业务数据已准备且本页已打开；表单和筛选保持下列指定状态
3. 选中范围内首日甲乙开播、次日乙丙开播，无其他开播主播</x:v>
      </x:c>
      <x:c r="J148" s="9" t="str">
        <x:v>1. 查看公会业绩页
2. 切换日数据</x:v>
      </x:c>
      <x:c r="K148" s="9" t="str">
        <x:v>开播人数显示3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来源（当前证据）：liveshow-proto/MainBasis/统一需求文档.md；位置：REQ-024f8f36e810；行3388、REQ-646b45ea7bb0；行3396
2. 规则：BR-2f51fd8fabc82d39
3. 未动态验证</x:v>
      </x:c>
    </x:row>
    <x:row r="149" ht="100" customHeight="1">
      <x:c r="A149" s="10" t="n">
        <x:v>148</x:v>
      </x:c>
      <x:c r="B149" s="10" t="str">
        <x:v>GUILD-05-0013</x:v>
      </x:c>
      <x:c r="C149" s="10" t="str">
        <x:v>数据与收益</x:v>
      </x:c>
      <x:c r="D149" s="10" t="str">
        <x:v>公会业绩（公会长视角）</x:v>
      </x:c>
      <x:c r="E149" s="10" t="str">
        <x:v>逻辑校验</x:v>
      </x:c>
      <x:c r="F149" s="10" t="str">
        <x:v>P1</x:v>
      </x:c>
      <x:c r="G149" s="9" t="str">
        <x:v>验证日数据累计主播有效天</x:v>
      </x:c>
      <x:c r="H149" s="9" t="str">
        <x:v>公会日数据有效天统计</x:v>
      </x:c>
      <x:c r="I149" s="9" t="str">
        <x:v>1. 执行角色为公会长
2. 业务数据已准备且本页已打开；表单和筛选保持下列指定状态
3. 范围内甲2个有效天、乙3个有效天</x:v>
      </x:c>
      <x:c r="J149" s="9" t="str">
        <x:v>1. 查看公会业绩页
2. 切换日数据</x:v>
      </x:c>
      <x:c r="K149" s="9" t="str">
        <x:v>达成有效天显示5天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来源（当前证据）：liveshow-proto/MainBasis/统一需求文档.md；位置：REQ-9ed85696f36b；行3390、REQ-91e61389b432；行3398
2. 规则：BR-50cdf4a023abb53c
3. 未动态验证</x:v>
      </x:c>
    </x:row>
    <x:row r="150" ht="100" customHeight="1">
      <x:c r="A150" s="10" t="n">
        <x:v>149</x:v>
      </x:c>
      <x:c r="B150" s="10" t="str">
        <x:v>GUILD-05-0014</x:v>
      </x:c>
      <x:c r="C150" s="10" t="str">
        <x:v>数据与收益</x:v>
      </x:c>
      <x:c r="D150" s="10" t="str">
        <x:v>公会业绩（公会长视角）</x:v>
      </x:c>
      <x:c r="E150" s="10" t="str">
        <x:v>逻辑校验</x:v>
      </x:c>
      <x:c r="F150" s="10" t="str">
        <x:v>P1</x:v>
      </x:c>
      <x:c r="G150" s="9" t="str">
        <x:v>验证月数据跨日期统计去重开播人数</x:v>
      </x:c>
      <x:c r="H150" s="9" t="str">
        <x:v>公会月数据开播去重</x:v>
      </x:c>
      <x:c r="I150" s="9" t="str">
        <x:v>1. 执行角色为公会长
2. 业务数据已准备且本页已打开；表单和筛选保持下列指定状态
3. 选中范围内首日甲乙开播、次日乙丙开播，无其他开播主播</x:v>
      </x:c>
      <x:c r="J150" s="9" t="str">
        <x:v>1. 查看公会业绩页
2. 切换月数据</x:v>
      </x:c>
      <x:c r="K150" s="9" t="str">
        <x:v>开播人数显示3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来源（当前证据）：liveshow-proto/MainBasis/统一需求文档.md；位置：REQ-024f8f36e810；行3388、REQ-646b45ea7bb0；行3396
2. 规则：BR-b3237d1bc9be544b
3. 未动态验证</x:v>
      </x:c>
    </x:row>
    <x:row r="151" ht="100" customHeight="1">
      <x:c r="A151" s="10" t="n">
        <x:v>150</x:v>
      </x:c>
      <x:c r="B151" s="10" t="str">
        <x:v>GUILD-05-0015</x:v>
      </x:c>
      <x:c r="C151" s="10" t="str">
        <x:v>数据与收益</x:v>
      </x:c>
      <x:c r="D151" s="10" t="str">
        <x:v>公会业绩（公会长视角）</x:v>
      </x:c>
      <x:c r="E151" s="10" t="str">
        <x:v>逻辑校验</x:v>
      </x:c>
      <x:c r="F151" s="10" t="str">
        <x:v>P1</x:v>
      </x:c>
      <x:c r="G151" s="9" t="str">
        <x:v>验证月数据累计主播有效天</x:v>
      </x:c>
      <x:c r="H151" s="9" t="str">
        <x:v>公会月数据有效天统计</x:v>
      </x:c>
      <x:c r="I151" s="9" t="str">
        <x:v>1. 执行角色为公会长
2. 业务数据已准备且本页已打开；表单和筛选保持下列指定状态
3. 范围内甲2个有效天、乙3个有效天</x:v>
      </x:c>
      <x:c r="J151" s="9" t="str">
        <x:v>1. 查看公会业绩页
2. 切换月数据</x:v>
      </x:c>
      <x:c r="K151" s="9" t="str">
        <x:v>达成有效天显示5天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来源（当前证据）：liveshow-proto/MainBasis/统一需求文档.md；位置：REQ-9ed85696f36b；行3390、REQ-91e61389b432；行3398
2. 规则：BR-cc61b9b102c8b55f
3. 未动态验证</x:v>
      </x:c>
    </x:row>
    <x:row r="152" ht="100" customHeight="1">
      <x:c r="A152" s="10" t="n">
        <x:v>151</x:v>
      </x:c>
      <x:c r="B152" s="10" t="str">
        <x:v>GUILD-05-0016</x:v>
      </x:c>
      <x:c r="C152" s="10" t="str">
        <x:v>数据与收益</x:v>
      </x:c>
      <x:c r="D152" s="10" t="str">
        <x:v>公会业绩（公会长视角）</x:v>
      </x:c>
      <x:c r="E152" s="10" t="str">
        <x:v>逻辑校验</x:v>
      </x:c>
      <x:c r="F152" s="10" t="str">
        <x:v>P1</x:v>
      </x:c>
      <x:c r="G152" s="9" t="str">
        <x:v>验证公会月业绩按所选月份统计</x:v>
      </x:c>
      <x:c r="H152" s="9" t="str">
        <x:v>公会月份过滤</x:v>
      </x:c>
      <x:c r="I152" s="9" t="str">
        <x:v>1. 执行角色为公会长
2. 业务数据已准备且本页已打开；表单和筛选保持下列指定状态
3. 本月收益100金币，上月200金币，去年1000金币</x:v>
      </x:c>
      <x:c r="J152" s="9" t="str">
        <x:v>1. 查看公会业绩页
2. 切换月数据
3. 选择自定义月份为本月</x:v>
      </x:c>
      <x:c r="K152" s="9" t="str">
        <x:v>公会收益显示100金币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来源（当前证据）：liveshow-proto/MainBasis/统一需求文档.md；位置：REQ-1c1f3cfd5125；行3368
2. 规则：BR-e4f3c1169aacce6b
3. 未动态验证</x:v>
      </x:c>
    </x:row>
    <x:row r="153" ht="85" customHeight="1">
      <x:c r="A153" s="10" t="n">
        <x:v>152</x:v>
      </x:c>
      <x:c r="B153" s="10" t="str">
        <x:v>GUILD-05-0017</x:v>
      </x:c>
      <x:c r="C153" s="10" t="str">
        <x:v>数据与收益</x:v>
      </x:c>
      <x:c r="D153" s="10" t="str">
        <x:v>公会业绩（公会长视角）</x:v>
      </x:c>
      <x:c r="E153" s="10" t="str">
        <x:v>功能需求</x:v>
      </x:c>
      <x:c r="F153" s="10" t="str">
        <x:v>P2</x:v>
      </x:c>
      <x:c r="G153" s="9" t="str">
        <x:v>验证公会日业绩下钻主播业绩</x:v>
      </x:c>
      <x:c r="H153" s="9" t="str">
        <x:v>公会日业绩下钻日期</x:v>
      </x:c>
      <x:c r="I153" s="9" t="str">
        <x:v>1. 执行角色为公会长
2. 业务数据已准备且本页已打开；表单和筛选保持下列指定状态
3. 日数据存在9月15日记录</x:v>
      </x:c>
      <x:c r="J153" s="9" t="str">
        <x:v>1. 查看公会业绩页
2. 点击9月15日数据行</x:v>
      </x:c>
      <x:c r="K153" s="9" t="str">
        <x:v>主播业绩筛选日期为9月15日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来源（当前证据）：liveshow-proto/MainBasis/统一需求文档.md；位置：REQ-b4a379f3681c；行3402
2. 规则：BR-95aeed264bfcb7bd
3. 未动态验证</x:v>
      </x:c>
    </x:row>
    <x:row r="154" ht="85" customHeight="1">
      <x:c r="A154" s="10" t="n">
        <x:v>153</x:v>
      </x:c>
      <x:c r="B154" s="10" t="str">
        <x:v>GUILD-05-0018</x:v>
      </x:c>
      <x:c r="C154" s="10" t="str">
        <x:v>数据与收益</x:v>
      </x:c>
      <x:c r="D154" s="10" t="str">
        <x:v>每日（公会长视角）</x:v>
      </x:c>
      <x:c r="E154" s="10" t="str">
        <x:v>功能需求</x:v>
      </x:c>
      <x:c r="F154" s="10" t="str">
        <x:v>P2</x:v>
      </x:c>
      <x:c r="G154" s="9" t="str">
        <x:v>验证已开播主播按收益排序</x:v>
      </x:c>
      <x:c r="H154" s="9" t="str">
        <x:v>当日主播收益排序</x:v>
      </x:c>
      <x:c r="I154" s="9" t="str">
        <x:v>1. 执行角色为公会长
2. 业务数据已准备且本页已打开；表单和筛选保持下列指定状态
3. 甲收益100金币、乙200金币</x:v>
      </x:c>
      <x:c r="J154" s="9" t="str">
        <x:v>1. 查看每日页
2. 切换已开播</x:v>
      </x:c>
      <x:c r="K154" s="9" t="str">
        <x:v>乙排列在甲之前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来源（当前证据）：liveshow-proto/MainBasis/统一需求文档.md；位置：REQ-7f4dbabfcda9；行3411
2. 规则：BR-6bd756ec946471b5
3. 未动态验证</x:v>
      </x:c>
    </x:row>
    <x:row r="155" ht="100" customHeight="1">
      <x:c r="A155" s="10" t="n">
        <x:v>154</x:v>
      </x:c>
      <x:c r="B155" s="10" t="str">
        <x:v>GUILD-05-0019</x:v>
      </x:c>
      <x:c r="C155" s="10" t="str">
        <x:v>数据与收益</x:v>
      </x:c>
      <x:c r="D155" s="10" t="str">
        <x:v>每日（公会长视角）</x:v>
      </x:c>
      <x:c r="E155" s="10" t="str">
        <x:v>逻辑校验</x:v>
      </x:c>
      <x:c r="F155" s="10" t="str">
        <x:v>P1</x:v>
      </x:c>
      <x:c r="G155" s="9" t="str">
        <x:v>验证历史每日页直播中统计历史开播</x:v>
      </x:c>
      <x:c r="H155" s="9" t="str">
        <x:v>历史日期开播人数</x:v>
      </x:c>
      <x:c r="I155" s="9" t="str">
        <x:v>1. 执行角色为公会长
2. 业务数据已准备且本页已打开；表单和筛选保持下列指定状态
3. 历史日甲乙开播，当前只有丙在播</x:v>
      </x:c>
      <x:c r="J155" s="9" t="str">
        <x:v>1. 查看每日页</x:v>
      </x:c>
      <x:c r="K155" s="9" t="str">
        <x:v>直播中显示2人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来源（当前证据）：liveshow-proto/MainBasis/统一需求文档.md；位置：REQ-7e73bff3ce0c；行3425
2. 规则：BR-841b9078103dbc35
3. 未动态验证</x:v>
      </x:c>
    </x:row>
    <x:row r="156" ht="85" customHeight="1">
      <x:c r="A156" s="10" t="n">
        <x:v>155</x:v>
      </x:c>
      <x:c r="B156" s="10" t="str">
        <x:v>GUILD-05-0020</x:v>
      </x:c>
      <x:c r="C156" s="10" t="str">
        <x:v>数据与收益</x:v>
      </x:c>
      <x:c r="D156" s="10" t="str">
        <x:v>每日（公会长视角）</x:v>
      </x:c>
      <x:c r="E156" s="10" t="str">
        <x:v>功能需求</x:v>
      </x:c>
      <x:c r="F156" s="10" t="str">
        <x:v>P2</x:v>
      </x:c>
      <x:c r="G156" s="9" t="str">
        <x:v>验证未开播列表不显示虚构收益</x:v>
      </x:c>
      <x:c r="H156" s="9" t="str">
        <x:v>未开播主播业绩展示</x:v>
      </x:c>
      <x:c r="I156" s="9" t="str">
        <x:v>1. 执行角色为公会长
2. 业务数据已准备且本页已打开；表单和筛选保持下列指定状态
3. 主播甲目标日未开播</x:v>
      </x:c>
      <x:c r="J156" s="9" t="str">
        <x:v>1. 查看每日页
2. 切换未开播</x:v>
      </x:c>
      <x:c r="K156" s="9" t="str">
        <x:v>甲不显示当日业绩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来源（当前证据）：liveshow-proto/MainBasis/统一需求文档.md；位置：REQ-6359ffa4e7fc；行3421
2. 规则：BR-c9238ce045161a8f
3. 未动态验证</x:v>
      </x:c>
    </x:row>
    <x:row r="157" ht="85" customHeight="1">
      <x:c r="A157" s="10" t="n">
        <x:v>156</x:v>
      </x:c>
      <x:c r="B157" s="10" t="str">
        <x:v>GUILD-05-0021</x:v>
      </x:c>
      <x:c r="C157" s="10" t="str">
        <x:v>数据与收益</x:v>
      </x:c>
      <x:c r="D157" s="10" t="str">
        <x:v>违规记录（公会长视角）</x:v>
      </x:c>
      <x:c r="E157" s="10" t="str">
        <x:v>逻辑校验</x:v>
      </x:c>
      <x:c r="F157" s="10" t="str">
        <x:v>P1</x:v>
      </x:c>
      <x:c r="G157" s="9" t="str">
        <x:v>验证按直播间违规筛选违规记录</x:v>
      </x:c>
      <x:c r="H157" s="9" t="str">
        <x:v>公会直播间违规范围</x:v>
      </x:c>
      <x:c r="I157" s="9" t="str">
        <x:v>1. 执行角色为公会长
2. 业务数据已准备且本页已打开；表单和筛选保持下列指定状态
3. 当前公会两类违规各有记录</x:v>
      </x:c>
      <x:c r="J157" s="9" t="str">
        <x:v>1. 查看违规记录页
2. 选择违规范围为直播间违规</x:v>
      </x:c>
      <x:c r="K157" s="9" t="str">
        <x:v>只显示直播间违规记录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来源（当前证据）：liveshow-proto/MainBasis/统一需求文档.md；位置：REQ-209e305f2a95；行3341
2. 规则：BR-5a4b89478c15c5f1
3. 未动态验证</x:v>
      </x:c>
    </x:row>
    <x:row r="158" ht="85" customHeight="1">
      <x:c r="A158" s="10" t="n">
        <x:v>157</x:v>
      </x:c>
      <x:c r="B158" s="10" t="str">
        <x:v>GUILD-05-0022</x:v>
      </x:c>
      <x:c r="C158" s="10" t="str">
        <x:v>数据与收益</x:v>
      </x:c>
      <x:c r="D158" s="10" t="str">
        <x:v>违规记录（公会长视角）</x:v>
      </x:c>
      <x:c r="E158" s="10" t="str">
        <x:v>逻辑校验</x:v>
      </x:c>
      <x:c r="F158" s="10" t="str">
        <x:v>P1</x:v>
      </x:c>
      <x:c r="G158" s="9" t="str">
        <x:v>验证按账号违规筛选违规记录</x:v>
      </x:c>
      <x:c r="H158" s="9" t="str">
        <x:v>公会账号违规范围</x:v>
      </x:c>
      <x:c r="I158" s="9" t="str">
        <x:v>1. 执行角色为公会长
2. 业务数据已准备且本页已打开；表单和筛选保持下列指定状态
3. 当前公会两类违规各有记录</x:v>
      </x:c>
      <x:c r="J158" s="9" t="str">
        <x:v>1. 查看违规记录页
2. 选择违规范围为账号违规</x:v>
      </x:c>
      <x:c r="K158" s="9" t="str">
        <x:v>只显示账号违规记录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来源（当前证据）：liveshow-proto/MainBasis/统一需求文档.md；位置：REQ-209e305f2a95；行3341
2. 规则：BR-65ddc4b0a2d79247
3. 未动态验证</x:v>
      </x:c>
    </x:row>
    <x:row r="159" ht="85" customHeight="1">
      <x:c r="A159" s="10" t="n">
        <x:v>158</x:v>
      </x:c>
      <x:c r="B159" s="10" t="str">
        <x:v>GUILD-05-0023</x:v>
      </x:c>
      <x:c r="C159" s="10" t="str">
        <x:v>数据与收益</x:v>
      </x:c>
      <x:c r="D159" s="10" t="str">
        <x:v>违规记录（公会长视角）</x:v>
      </x:c>
      <x:c r="E159" s="10" t="str">
        <x:v>功能需求</x:v>
      </x:c>
      <x:c r="F159" s="10" t="str">
        <x:v>P2</x:v>
      </x:c>
      <x:c r="G159" s="9" t="str">
        <x:v>验证未处置违规不显示虚假结果</x:v>
      </x:c>
      <x:c r="H159" s="9" t="str">
        <x:v>公会未处置违规结果</x:v>
      </x:c>
      <x:c r="I159" s="9" t="str">
        <x:v>1. 执行角色为公会长
2. 业务数据已准备且本页已打开；表单和筛选保持下列指定状态
3. 违规记录尚无处置结果</x:v>
      </x:c>
      <x:c r="J159" s="9" t="str">
        <x:v>1. 查看违规记录页</x:v>
      </x:c>
      <x:c r="K159" s="9" t="str">
        <x:v>处理结果显示“-”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来源（当前证据）：liveshow-proto/MainBasis/统一需求文档.md；位置：REQ-fbc17ab917b7；行3353
2. 规则：BR-a935f14537ce4e20
3. 未动态验证</x:v>
      </x:c>
    </x:row>
    <x:row r="160" ht="100" customHeight="1">
      <x:c r="A160" s="10" t="n">
        <x:v>159</x:v>
      </x:c>
      <x:c r="B160" s="10" t="str">
        <x:v>GUILD-05-0024</x:v>
      </x:c>
      <x:c r="C160" s="10" t="str">
        <x:v>数据与收益</x:v>
      </x:c>
      <x:c r="D160" s="10" t="str">
        <x:v>主播分成记录（公会长视角）</x:v>
      </x:c>
      <x:c r="E160" s="10" t="str">
        <x:v>逻辑校验</x:v>
      </x:c>
      <x:c r="F160" s="10" t="str">
        <x:v>P1</x:v>
      </x:c>
      <x:c r="G160" s="9" t="str">
        <x:v>验证主播分成展示12.30美元</x:v>
      </x:c>
      <x:c r="H160" s="9" t="str">
        <x:v>主播财务分成金额</x:v>
      </x:c>
      <x:c r="I160" s="9" t="str">
        <x:v>1. 执行角色为公会长
2. 业务数据已准备且本页已打开；表单和筛选保持下列指定状态
3. 平台已上传当前主播的12.30USD有效结果</x:v>
      </x:c>
      <x:c r="J160" s="9" t="str">
        <x:v>1. 查看主播分成记录页</x:v>
      </x:c>
      <x:c r="K160" s="9" t="str">
        <x:v>分成金额显示12.30美元</x:v>
      </x:c>
      <x:c r="L160" s="10" t="str">
        <x:v>FLOW-3A2F6811F8</x:v>
      </x:c>
      <x:c r="M160" s="10" t="str">
        <x:v>未测</x:v>
      </x:c>
      <x:c r="N160" s="10" t="str"/>
      <x:c r="O160" s="9" t="str">
        <x:v>1. 来源（当前证据）：liveshow-proto/MainBasis/统一需求文档.md；位置：REQ-e04b2fc8da54；行3444
2. 规则：BR-3eb50f56f7bc48ae
3. 未动态验证</x:v>
      </x:c>
    </x:row>
    <x:row r="161" ht="100" customHeight="1">
      <x:c r="A161" s="10" t="n">
        <x:v>160</x:v>
      </x:c>
      <x:c r="B161" s="10" t="str">
        <x:v>GUILD-05-0025</x:v>
      </x:c>
      <x:c r="C161" s="10" t="str">
        <x:v>数据与收益</x:v>
      </x:c>
      <x:c r="D161" s="10" t="str">
        <x:v>主播分成记录（公会长视角）</x:v>
      </x:c>
      <x:c r="E161" s="10" t="str">
        <x:v>逻辑校验</x:v>
      </x:c>
      <x:c r="F161" s="10" t="str">
        <x:v>P1</x:v>
      </x:c>
      <x:c r="G161" s="9" t="str">
        <x:v>验证主播分成展示-2.50美元</x:v>
      </x:c>
      <x:c r="H161" s="9" t="str">
        <x:v>主播财务分成金额</x:v>
      </x:c>
      <x:c r="I161" s="9" t="str">
        <x:v>1. 执行角色为公会长
2. 业务数据已准备且本页已打开；表单和筛选保持下列指定状态
3. 平台已上传当前主播的-2.50USD有效结果</x:v>
      </x:c>
      <x:c r="J161" s="9" t="str">
        <x:v>1. 查看主播分成记录页</x:v>
      </x:c>
      <x:c r="K161" s="9" t="str">
        <x:v>分成金额显示-2.50美元</x:v>
      </x:c>
      <x:c r="L161" s="10" t="str">
        <x:v>FLOW-3A2F6811F8</x:v>
      </x:c>
      <x:c r="M161" s="10" t="str">
        <x:v>未测</x:v>
      </x:c>
      <x:c r="N161" s="10" t="str"/>
      <x:c r="O161" s="9" t="str">
        <x:v>1. 来源（当前证据）：liveshow-proto/MainBasis/统一需求文档.md；位置：REQ-e04b2fc8da54；行3444
2. 规则：BR-655e323e1e0a6ec9
3. 未动态验证</x:v>
      </x:c>
    </x:row>
    <x:row r="162" ht="100" customHeight="1">
      <x:c r="A162" s="10" t="n">
        <x:v>161</x:v>
      </x:c>
      <x:c r="B162" s="10" t="str">
        <x:v>GUILD-05-0026</x:v>
      </x:c>
      <x:c r="C162" s="10" t="str">
        <x:v>数据与收益</x:v>
      </x:c>
      <x:c r="D162" s="10" t="str">
        <x:v>主播分成记录（公会长视角）</x:v>
      </x:c>
      <x:c r="E162" s="10" t="str">
        <x:v>逻辑校验</x:v>
      </x:c>
      <x:c r="F162" s="10" t="str">
        <x:v>P1</x:v>
      </x:c>
      <x:c r="G162" s="9" t="str">
        <x:v>验证主播分成按入账时间排序</x:v>
      </x:c>
      <x:c r="H162" s="9" t="str">
        <x:v>主播分成记录顺序</x:v>
      </x:c>
      <x:c r="I162" s="9" t="str">
        <x:v>1. 执行角色为公会长
2. 业务数据已准备且本页已打开；表单和筛选保持下列指定状态
3. 8月收益9月15日入账，9月收益9月14日入账</x:v>
      </x:c>
      <x:c r="J162" s="9" t="str">
        <x:v>1. 查看主播分成记录页</x:v>
      </x:c>
      <x:c r="K162" s="9" t="str">
        <x:v>9月15日入账记录排列在9月14日记录之前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来源（当前证据）：liveshow-proto/MainBasis/统一需求文档.md；位置：REQ-bc96b41ae0a2；行3448
2. 规则：BR-145bfab4810ba2e2
3. 未动态验证</x:v>
      </x:c>
    </x:row>
    <x:row r="163" ht="100" customHeight="1">
      <x:c r="A163" s="10" t="n">
        <x:v>162</x:v>
      </x:c>
      <x:c r="B163" s="10" t="str">
        <x:v>GUILD-05-0027</x:v>
      </x:c>
      <x:c r="C163" s="10" t="str">
        <x:v>数据与收益</x:v>
      </x:c>
      <x:c r="D163" s="10" t="str">
        <x:v>公会分成记录（公会长视角）</x:v>
      </x:c>
      <x:c r="E163" s="10" t="str">
        <x:v>逻辑校验</x:v>
      </x:c>
      <x:c r="F163" s="10" t="str">
        <x:v>P1</x:v>
      </x:c>
      <x:c r="G163" s="9" t="str">
        <x:v>验证公会分成展示12.30美元</x:v>
      </x:c>
      <x:c r="H163" s="9" t="str">
        <x:v>公会财务分成金额</x:v>
      </x:c>
      <x:c r="I163" s="9" t="str">
        <x:v>1. 执行角色为公会长
2. 业务数据已准备且本页已打开；表单和筛选保持下列指定状态
3. 平台已上传当前公会的12.30USD有效结果</x:v>
      </x:c>
      <x:c r="J163" s="9" t="str">
        <x:v>1. 查看公会分成记录页</x:v>
      </x:c>
      <x:c r="K163" s="9" t="str">
        <x:v>分成金额显示12.30美元</x:v>
      </x:c>
      <x:c r="L163" s="10" t="str">
        <x:v>FLOW-54E5CF1154</x:v>
      </x:c>
      <x:c r="M163" s="10" t="str">
        <x:v>未测</x:v>
      </x:c>
      <x:c r="N163" s="10" t="str"/>
      <x:c r="O163" s="9" t="str">
        <x:v>1. 来源（当前证据）：liveshow-proto/MainBasis/统一需求文档.md；位置：REQ-39e59f822231；行3455
2. 规则：BR-dc23540edab25617
3. 未动态验证</x:v>
      </x:c>
    </x:row>
    <x:row r="164" ht="100" customHeight="1">
      <x:c r="A164" s="10" t="n">
        <x:v>163</x:v>
      </x:c>
      <x:c r="B164" s="10" t="str">
        <x:v>GUILD-05-0028</x:v>
      </x:c>
      <x:c r="C164" s="10" t="str">
        <x:v>数据与收益</x:v>
      </x:c>
      <x:c r="D164" s="10" t="str">
        <x:v>公会分成记录（公会长视角）</x:v>
      </x:c>
      <x:c r="E164" s="10" t="str">
        <x:v>逻辑校验</x:v>
      </x:c>
      <x:c r="F164" s="10" t="str">
        <x:v>P1</x:v>
      </x:c>
      <x:c r="G164" s="9" t="str">
        <x:v>验证公会分成展示-2.50美元</x:v>
      </x:c>
      <x:c r="H164" s="9" t="str">
        <x:v>公会财务分成金额</x:v>
      </x:c>
      <x:c r="I164" s="9" t="str">
        <x:v>1. 执行角色为公会长
2. 业务数据已准备且本页已打开；表单和筛选保持下列指定状态
3. 平台已上传当前公会的-2.50USD有效结果</x:v>
      </x:c>
      <x:c r="J164" s="9" t="str">
        <x:v>1. 查看公会分成记录页</x:v>
      </x:c>
      <x:c r="K164" s="9" t="str">
        <x:v>分成金额显示-2.50美元</x:v>
      </x:c>
      <x:c r="L164" s="10" t="str">
        <x:v>FLOW-54E5CF1154</x:v>
      </x:c>
      <x:c r="M164" s="10" t="str">
        <x:v>未测</x:v>
      </x:c>
      <x:c r="N164" s="10" t="str"/>
      <x:c r="O164" s="9" t="str">
        <x:v>1. 来源（当前证据）：liveshow-proto/MainBasis/统一需求文档.md；位置：REQ-39e59f822231；行3455
2. 规则：BR-85969be6a875f586
3. 未动态验证</x:v>
      </x:c>
    </x:row>
    <x:row r="165" ht="100" customHeight="1">
      <x:c r="A165" s="10" t="n">
        <x:v>164</x:v>
      </x:c>
      <x:c r="B165" s="10" t="str">
        <x:v>GUILD-05-0029</x:v>
      </x:c>
      <x:c r="C165" s="10" t="str">
        <x:v>数据与收益</x:v>
      </x:c>
      <x:c r="D165" s="10" t="str">
        <x:v>公会分成记录（公会长视角）</x:v>
      </x:c>
      <x:c r="E165" s="10" t="str">
        <x:v>逻辑校验</x:v>
      </x:c>
      <x:c r="F165" s="10" t="str">
        <x:v>P1</x:v>
      </x:c>
      <x:c r="G165" s="9" t="str">
        <x:v>验证公会分成按入账时间排序</x:v>
      </x:c>
      <x:c r="H165" s="9" t="str">
        <x:v>公会分成记录顺序</x:v>
      </x:c>
      <x:c r="I165" s="9" t="str">
        <x:v>1. 执行角色为公会长
2. 业务数据已准备且本页已打开；表单和筛选保持下列指定状态
3. 8月收益9月15日入账，9月收益9月14日入账</x:v>
      </x:c>
      <x:c r="J165" s="9" t="str">
        <x:v>1. 查看公会分成记录页</x:v>
      </x:c>
      <x:c r="K165" s="9" t="str">
        <x:v>9月15日入账记录排列在9月14日记录之前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来源（当前证据）：liveshow-proto/MainBasis/统一需求文档.md；位置：REQ-bc29e36d3b72；行3459
2. 规则：BR-6b2b4744925ec933
3. 未动态验证</x:v>
      </x:c>
    </x:row>
    <x:row r="166" ht="85" customHeight="1">
      <x:c r="A166" s="10" t="n">
        <x:v>165</x:v>
      </x:c>
      <x:c r="B166" s="10" t="str">
        <x:v>GUILD-05-0030</x:v>
      </x:c>
      <x:c r="C166" s="10" t="str">
        <x:v>数据与收益</x:v>
      </x:c>
      <x:c r="D166" s="10" t="str">
        <x:v>主播分成记录（公会长视角）</x:v>
      </x:c>
      <x:c r="E166" s="10" t="str">
        <x:v>逻辑校验</x:v>
      </x:c>
      <x:c r="F166" s="10" t="str">
        <x:v>P1</x:v>
      </x:c>
      <x:c r="G166" s="9" t="str">
        <x:v>验证主播分成跨月按入账时间筛选</x:v>
      </x:c>
      <x:c r="H166" s="9" t="str">
        <x:v>主播分成日期口径</x:v>
      </x:c>
      <x:c r="I166" s="9" t="str">
        <x:v>1. 执行角色为公会长
2. 业务数据已准备且本页已打开；表单和筛选保持下列指定状态
3. 8月收益的分成9月15日入账</x:v>
      </x:c>
      <x:c r="J166" s="9" t="str">
        <x:v>1. 查看主播分成记录页
2. 选择自定义日期为9月15日</x:v>
      </x:c>
      <x:c r="K166" s="9" t="str">
        <x:v>列表包含该8月收益的分成记录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来源（当前证据）：liveshow-proto/MainBasis/统一需求文档.md；位置：REQ-e9c530534e0b；行3438
2. 规则：BR-f32ab9bb86d243b4
3. 未动态验证</x:v>
      </x:c>
    </x:row>
    <x:row r="167" ht="100" customHeight="1">
      <x:c r="A167" s="10" t="n">
        <x:v>166</x:v>
      </x:c>
      <x:c r="B167" s="10" t="str">
        <x:v>GUILD-05-0031</x:v>
      </x:c>
      <x:c r="C167" s="10" t="str">
        <x:v>数据与收益</x:v>
      </x:c>
      <x:c r="D167" s="10" t="str">
        <x:v>公会分成记录（公会长视角）</x:v>
      </x:c>
      <x:c r="E167" s="10" t="str">
        <x:v>逻辑校验</x:v>
      </x:c>
      <x:c r="F167" s="10" t="str">
        <x:v>P1</x:v>
      </x:c>
      <x:c r="G167" s="9" t="str">
        <x:v>验证公会分成隔离其他公会</x:v>
      </x:c>
      <x:c r="H167" s="9" t="str">
        <x:v>公会分成查看范围</x:v>
      </x:c>
      <x:c r="I167" s="9" t="str">
        <x:v>1. 执行角色为公会长
2. 业务数据已准备且本页已打开；表单和筛选保持下列指定状态
3. 当前公会A和公会B各有财务上传结果</x:v>
      </x:c>
      <x:c r="J167" s="9" t="str">
        <x:v>1. 查看公会分成记录页</x:v>
      </x:c>
      <x:c r="K167" s="9" t="str">
        <x:v>不显示公会B的分成记录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来源（当前证据）：liveshow-proto/MainBasis/统一需求文档.md；位置：REQ-1afa9bbb787d；行3457
2. 规则：BR-e433eb3ba1a554c1
3. 未动态验证</x:v>
      </x:c>
    </x:row>
    <x:row r="168" ht="100" customHeight="1">
      <x:c r="A168" s="10" t="n">
        <x:v>167</x:v>
      </x:c>
      <x:c r="B168" s="10" t="str">
        <x:v>GUILD-05-0032</x:v>
      </x:c>
      <x:c r="C168" s="10" t="str">
        <x:v>数据与收益</x:v>
      </x:c>
      <x:c r="D168" s="10" t="str">
        <x:v>选择主播（多选）（公会长视角）</x:v>
      </x:c>
      <x:c r="E168" s="10" t="str">
        <x:v>功能需求</x:v>
      </x:c>
      <x:c r="F168" s="10" t="str">
        <x:v>P2</x:v>
      </x:c>
      <x:c r="G168" s="9" t="str">
        <x:v>验证选择多名主播回填筛选</x:v>
      </x:c>
      <x:c r="H168" s="9" t="str">
        <x:v>公会数据多主播选择</x:v>
      </x:c>
      <x:c r="I168" s="9" t="str">
        <x:v>1. 执行角色为公会长
2. 业务数据已准备且本页已打开；表单和筛选保持下列指定状态
3. 从直播记录进入选择页，已有日期条件9月15日</x:v>
      </x:c>
      <x:c r="J168" s="9" t="str">
        <x:v>1. 查看选择主播（多选）页
2. 选择主播甲
3. 选择主播乙
4. 点击完成</x:v>
      </x:c>
      <x:c r="K168" s="9" t="str">
        <x:v>已选主播为甲和乙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来源（当前证据）：liveshow-proto/MainBasis/统一需求文档.md；位置：REQ-74d9c44c037d；行3472、REQ-9b94ebc6e08d；行3474
2. 规则：BR-0fc10f339b0ab556
3. 未动态验证</x:v>
      </x:c>
    </x:row>
    <x:row r="169" ht="85" customHeight="1">
      <x:c r="A169" s="10" t="n">
        <x:v>168</x:v>
      </x:c>
      <x:c r="B169" s="10" t="str">
        <x:v>GUILD-01-0029</x:v>
      </x:c>
      <x:c r="C169" s="10" t="str">
        <x:v>登录与首页</x:v>
      </x:c>
      <x:c r="D169" s="10" t="str">
        <x:v>选择公会（公会长视角）</x:v>
      </x:c>
      <x:c r="E169" s="10" t="str">
        <x:v>功能需求</x:v>
      </x:c>
      <x:c r="F169" s="10" t="str">
        <x:v>P2</x:v>
      </x:c>
      <x:c r="G169" s="9" t="str">
        <x:v>验证选择公会用户ID取正确业务对象</x:v>
      </x:c>
      <x:c r="H169" s="9" t="str">
        <x:v>选择公会用户ID</x:v>
      </x:c>
      <x:c r="I169" s="9" t="str">
        <x:v>1. 执行角色为公会长
2. 当前公会长用户ID为C001，当前公会ID为G001</x:v>
      </x:c>
      <x:c r="J169" s="9" t="str">
        <x:v>1. 进入选择公会页</x:v>
      </x:c>
      <x:c r="K169" s="9" t="str">
        <x:v>用户ID显示C001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来源（当前证据）：liveshow-proto/MainBasis/统一需求文档.md；位置：REQ-3480df046bf9；行2720
2. 规则：BR-4736c58db363c961
3. 未动态验证</x:v>
      </x:c>
    </x:row>
    <x:row r="170" ht="85" customHeight="1">
      <x:c r="A170" s="10" t="n">
        <x:v>169</x:v>
      </x:c>
      <x:c r="B170" s="10" t="str">
        <x:v>GUILD-04-0017</x:v>
      </x:c>
      <x:c r="C170" s="10" t="str">
        <x:v>公会管理</x:v>
      </x:c>
      <x:c r="D170" s="10" t="str">
        <x:v>账号设置（公会长视角）</x:v>
      </x:c>
      <x:c r="E170" s="10" t="str">
        <x:v>功能需求</x:v>
      </x:c>
      <x:c r="F170" s="10" t="str">
        <x:v>P2</x:v>
      </x:c>
      <x:c r="G170" s="9" t="str">
        <x:v>验证账号设置公会ID取正确业务对象</x:v>
      </x:c>
      <x:c r="H170" s="9" t="str">
        <x:v>账号设置公会ID</x:v>
      </x:c>
      <x:c r="I170" s="9" t="str">
        <x:v>1. 执行角色为公会长
2. 当前公会长用户ID为C001，当前公会ID为G001</x:v>
      </x:c>
      <x:c r="J170" s="9" t="str">
        <x:v>1. 进入账号设置页</x:v>
      </x:c>
      <x:c r="K170" s="9" t="str">
        <x:v>公会ID显示G001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来源（当前证据）：liveshow-proto/MainBasis/统一需求文档.md；位置：REQ-8be05b68b85e；行3235
2. 规则：BR-5781f4cf30f39420
3. 未动态验证</x:v>
      </x:c>
    </x:row>
    <x:row r="171" ht="85" customHeight="1">
      <x:c r="A171" s="10" t="n">
        <x:v>170</x:v>
      </x:c>
      <x:c r="B171" s="10" t="str">
        <x:v>GUILD-02-0046</x:v>
      </x:c>
      <x:c r="C171" s="10" t="str">
        <x:v>主播管理</x:v>
      </x:c>
      <x:c r="D171" s="10" t="str">
        <x:v>入会申请详情（公会长视角）</x:v>
      </x:c>
      <x:c r="E171" s="10" t="str">
        <x:v>功能需求</x:v>
      </x:c>
      <x:c r="F171" s="10" t="str">
        <x:v>P2</x:v>
      </x:c>
      <x:c r="G171" s="9" t="str">
        <x:v>验证入会申请详情姓名取正确业务对象</x:v>
      </x:c>
      <x:c r="H171" s="9" t="str">
        <x:v>入会申请详情姓名</x:v>
      </x:c>
      <x:c r="I171" s="9" t="str">
        <x:v>1. 执行角色为公会长
2. 申请昵称为QA，实名为张甲</x:v>
      </x:c>
      <x:c r="J171" s="9" t="str">
        <x:v>1. 进入入会申请详情页</x:v>
      </x:c>
      <x:c r="K171" s="9" t="str">
        <x:v>姓名显示张甲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来源（当前证据）：liveshow-proto/MainBasis/统一需求文档.md；位置：REQ-e3ed126d2036；行2813
2. 规则：BR-9f0c155a0e853caf
3. 未动态验证</x:v>
      </x:c>
    </x:row>
    <x:row r="172" ht="85" customHeight="1">
      <x:c r="A172" s="10" t="n">
        <x:v>171</x:v>
      </x:c>
      <x:c r="B172" s="10" t="str">
        <x:v>GUILD-02-0047</x:v>
      </x:c>
      <x:c r="C172" s="10" t="str">
        <x:v>主播管理</x:v>
      </x:c>
      <x:c r="D172" s="10" t="str">
        <x:v>入会申请详情（公会长视角）</x:v>
      </x:c>
      <x:c r="E172" s="10" t="str">
        <x:v>功能需求</x:v>
      </x:c>
      <x:c r="F172" s="10" t="str">
        <x:v>P2</x:v>
      </x:c>
      <x:c r="G172" s="9" t="str">
        <x:v>验证入会申请详情联系电话取正确业务对象</x:v>
      </x:c>
      <x:c r="H172" s="9" t="str">
        <x:v>入会申请详情联系电话</x:v>
      </x:c>
      <x:c r="I172" s="9" t="str">
        <x:v>1. 执行角色为公会长
2. 申请联系电话为+628123456789</x:v>
      </x:c>
      <x:c r="J172" s="9" t="str">
        <x:v>1. 进入入会申请详情页</x:v>
      </x:c>
      <x:c r="K172" s="9" t="str">
        <x:v>联系电话显示+628123456789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来源（当前证据）：liveshow-proto/MainBasis/统一需求文档.md；位置：REQ-3475235a94e5；行2815
2. 规则：BR-d28a38394f4fd16e
3. 未动态验证</x:v>
      </x:c>
    </x:row>
    <x:row r="173" ht="85" customHeight="1">
      <x:c r="A173" s="10" t="n">
        <x:v>172</x:v>
      </x:c>
      <x:c r="B173" s="10" t="str">
        <x:v>GUILD-02-0048</x:v>
      </x:c>
      <x:c r="C173" s="10" t="str">
        <x:v>主播管理</x:v>
      </x:c>
      <x:c r="D173" s="10" t="str">
        <x:v>入会申请详情（公会长视角）</x:v>
      </x:c>
      <x:c r="E173" s="10" t="str">
        <x:v>功能需求</x:v>
      </x:c>
      <x:c r="F173" s="10" t="str">
        <x:v>P2</x:v>
      </x:c>
      <x:c r="G173" s="9" t="str">
        <x:v>验证入会申请详情申请公会取正确业务对象</x:v>
      </x:c>
      <x:c r="H173" s="9" t="str">
        <x:v>入会申请详情申请公会</x:v>
      </x:c>
      <x:c r="I173" s="9" t="str">
        <x:v>1. 执行角色为公会长
2. 该申请目标公会为QA公会</x:v>
      </x:c>
      <x:c r="J173" s="9" t="str">
        <x:v>1. 进入入会申请详情页</x:v>
      </x:c>
      <x:c r="K173" s="9" t="str">
        <x:v>申请公会显示QA公会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来源（当前证据）：liveshow-proto/MainBasis/统一需求文档.md；位置：REQ-f30ceeca123b；行2811
2. 规则：BR-9ddfbd116dd548cf
3. 未动态验证</x:v>
      </x:c>
    </x:row>
    <x:row r="174" ht="85" customHeight="1">
      <x:c r="A174" s="10" t="n">
        <x:v>173</x:v>
      </x:c>
      <x:c r="B174" s="10" t="str">
        <x:v>GUILD-02-0049</x:v>
      </x:c>
      <x:c r="C174" s="10" t="str">
        <x:v>主播管理</x:v>
      </x:c>
      <x:c r="D174" s="10" t="str">
        <x:v>退会申请详情（公会长视角）</x:v>
      </x:c>
      <x:c r="E174" s="10" t="str">
        <x:v>功能需求</x:v>
      </x:c>
      <x:c r="F174" s="10" t="str">
        <x:v>P2</x:v>
      </x:c>
      <x:c r="G174" s="9" t="str">
        <x:v>验证退会申请详情退会原因取正确业务对象</x:v>
      </x:c>
      <x:c r="H174" s="9" t="str">
        <x:v>退会申请详情退会原因</x:v>
      </x:c>
      <x:c r="I174" s="9" t="str">
        <x:v>1. 执行角色为公会长
2. 主播申请填写原因个人安排</x:v>
      </x:c>
      <x:c r="J174" s="9" t="str">
        <x:v>1. 进入退会申请详情页</x:v>
      </x:c>
      <x:c r="K174" s="9" t="str">
        <x:v>退会原因显示个人安排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来源（当前证据）：liveshow-proto/MainBasis/统一需求文档.md；位置：REQ-c72b0d74078b；行2869
2. 规则：BR-4d4ad8f732daaac7
3. 未动态验证</x:v>
      </x:c>
    </x:row>
    <x:row r="175" ht="85" customHeight="1">
      <x:c r="A175" s="10" t="n">
        <x:v>174</x:v>
      </x:c>
      <x:c r="B175" s="10" t="str">
        <x:v>GUILD-02-0050</x:v>
      </x:c>
      <x:c r="C175" s="10" t="str">
        <x:v>主播管理</x:v>
      </x:c>
      <x:c r="D175" s="10" t="str">
        <x:v>主播主页（公会长视角）</x:v>
      </x:c>
      <x:c r="E175" s="10" t="str">
        <x:v>功能需求</x:v>
      </x:c>
      <x:c r="F175" s="10" t="str">
        <x:v>P2</x:v>
      </x:c>
      <x:c r="G175" s="9" t="str">
        <x:v>验证主播主页认证姓名取正确业务对象</x:v>
      </x:c>
      <x:c r="H175" s="9" t="str">
        <x:v>主播主页认证姓名</x:v>
      </x:c>
      <x:c r="I175" s="9" t="str">
        <x:v>1. 执行角色为公会长
2. 主播昵称QA，认证实名张甲</x:v>
      </x:c>
      <x:c r="J175" s="9" t="str">
        <x:v>1. 进入主播主页页</x:v>
      </x:c>
      <x:c r="K175" s="9" t="str">
        <x:v>认证姓名显示张甲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来源（当前证据）：liveshow-proto/MainBasis/统一需求文档.md；位置：REQ-e351e91ed44f；行2979
2. 规则：BR-8da8ba05d1ed7375
3. 未动态验证</x:v>
      </x:c>
    </x:row>
    <x:row r="176" ht="85" customHeight="1">
      <x:c r="A176" s="10" t="n">
        <x:v>175</x:v>
      </x:c>
      <x:c r="B176" s="10" t="str">
        <x:v>GUILD-03-0047</x:v>
      </x:c>
      <x:c r="C176" s="10" t="str">
        <x:v>运营工具</x:v>
      </x:c>
      <x:c r="D176" s="10" t="str">
        <x:v>消息详情（公会长视角）</x:v>
      </x:c>
      <x:c r="E176" s="10" t="str">
        <x:v>功能需求</x:v>
      </x:c>
      <x:c r="F176" s="10" t="str">
        <x:v>P2</x:v>
      </x:c>
      <x:c r="G176" s="9" t="str">
        <x:v>验证消息详情发送人取正确业务对象</x:v>
      </x:c>
      <x:c r="H176" s="9" t="str">
        <x:v>消息详情发送人</x:v>
      </x:c>
      <x:c r="I176" s="9" t="str">
        <x:v>1. 执行角色为公会长
2. 发送时公会长名称为ChiefA</x:v>
      </x:c>
      <x:c r="J176" s="9" t="str">
        <x:v>1. 进入消息详情页</x:v>
      </x:c>
      <x:c r="K176" s="9" t="str">
        <x:v>发送人显示ChiefA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来源（当前证据）：liveshow-proto/MainBasis/统一需求文档.md；位置：REQ-297b5e0e3bf7；行3077
2. 规则：BR-d4a26ee396aa420a
3. 未动态验证</x:v>
      </x:c>
    </x:row>
    <x:row r="177" ht="85" customHeight="1">
      <x:c r="A177" s="10" t="n">
        <x:v>176</x:v>
      </x:c>
      <x:c r="B177" s="10" t="str">
        <x:v>GUILD-03-0048</x:v>
      </x:c>
      <x:c r="C177" s="10" t="str">
        <x:v>运营工具</x:v>
      </x:c>
      <x:c r="D177" s="10" t="str">
        <x:v>消息详情（公会长视角）</x:v>
      </x:c>
      <x:c r="E177" s="10" t="str">
        <x:v>功能需求</x:v>
      </x:c>
      <x:c r="F177" s="10" t="str">
        <x:v>P2</x:v>
      </x:c>
      <x:c r="G177" s="9" t="str">
        <x:v>验证消息详情正文取正确业务对象</x:v>
      </x:c>
      <x:c r="H177" s="9" t="str">
        <x:v>消息详情正文</x:v>
      </x:c>
      <x:c r="I177" s="9" t="str">
        <x:v>1. 执行角色为公会长
2. 发送时消息正文为QA发布内容</x:v>
      </x:c>
      <x:c r="J177" s="9" t="str">
        <x:v>1. 进入消息详情页</x:v>
      </x:c>
      <x:c r="K177" s="9" t="str">
        <x:v>正文显示QA发布内容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来源（当前证据）：liveshow-proto/MainBasis/统一需求文档.md；位置：REQ-a4835c8a89b4；行3079
2. 规则：BR-6f6db9336a4b6f1d
3. 未动态验证</x:v>
      </x:c>
    </x:row>
    <x:row r="178" ht="85" customHeight="1">
      <x:c r="A178" s="10" t="n">
        <x:v>177</x:v>
      </x:c>
      <x:c r="B178" s="10" t="str">
        <x:v>GUILD-03-0049</x:v>
      </x:c>
      <x:c r="C178" s="10" t="str">
        <x:v>运营工具</x:v>
      </x:c>
      <x:c r="D178" s="10" t="str">
        <x:v>运营账号（公会长视角）</x:v>
      </x:c>
      <x:c r="E178" s="10" t="str">
        <x:v>功能需求</x:v>
      </x:c>
      <x:c r="F178" s="10" t="str">
        <x:v>P2</x:v>
      </x:c>
      <x:c r="G178" s="9" t="str">
        <x:v>验证运营账号账号ID取正确业务对象</x:v>
      </x:c>
      <x:c r="H178" s="9" t="str">
        <x:v>运营账号账号ID</x:v>
      </x:c>
      <x:c r="I178" s="9" t="str">
        <x:v>1. 执行角色为公会长
2. 运营账号唯一ID9001，登录账号loginQA</x:v>
      </x:c>
      <x:c r="J178" s="9" t="str">
        <x:v>1. 进入运营账号页</x:v>
      </x:c>
      <x:c r="K178" s="9" t="str">
        <x:v>账号ID显示9001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来源（当前证据）：liveshow-proto/MainBasis/统一需求文档.md；位置：REQ-48472b42ff0b；行3090
2. 规则：BR-2fa5774b3aba9247
3. 未动态验证</x:v>
      </x:c>
    </x:row>
    <x:row r="179" ht="85" customHeight="1">
      <x:c r="A179" s="10" t="n">
        <x:v>178</x:v>
      </x:c>
      <x:c r="B179" s="10" t="str">
        <x:v>GUILD-03-0050</x:v>
      </x:c>
      <x:c r="C179" s="10" t="str">
        <x:v>运营工具</x:v>
      </x:c>
      <x:c r="D179" s="10" t="str">
        <x:v>选择运营账号（多选）（公会长视角）</x:v>
      </x:c>
      <x:c r="E179" s="10" t="str">
        <x:v>功能需求</x:v>
      </x:c>
      <x:c r="F179" s="10" t="str">
        <x:v>P2</x:v>
      </x:c>
      <x:c r="G179" s="9" t="str">
        <x:v>验证选择运营账号（多选）登录账号取正确业务对象</x:v>
      </x:c>
      <x:c r="H179" s="9" t="str">
        <x:v>选择运营账号（多选）登录账号</x:v>
      </x:c>
      <x:c r="I179" s="9" t="str">
        <x:v>1. 执行角色为公会长
2. 运营账号ID9001，登录账号loginQA</x:v>
      </x:c>
      <x:c r="J179" s="9" t="str">
        <x:v>1. 进入选择运营账号（多选）页</x:v>
      </x:c>
      <x:c r="K179" s="9" t="str">
        <x:v>登录账号显示loginQA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来源（当前证据）：liveshow-proto/MainBasis/统一需求文档.md；位置：REQ-174d0cbda32b；行3209
2. 规则：BR-b280b7c57bb0759d
3. 未动态验证</x:v>
      </x:c>
    </x:row>
    <x:row r="180" ht="85" customHeight="1">
      <x:c r="A180" s="10" t="n">
        <x:v>179</x:v>
      </x:c>
      <x:c r="B180" s="10" t="str">
        <x:v>GUILD-05-0033</x:v>
      </x:c>
      <x:c r="C180" s="10" t="str">
        <x:v>数据与收益</x:v>
      </x:c>
      <x:c r="D180" s="10" t="str">
        <x:v>直播场次详情（公会长视角）</x:v>
      </x:c>
      <x:c r="E180" s="10" t="str">
        <x:v>功能需求</x:v>
      </x:c>
      <x:c r="F180" s="10" t="str">
        <x:v>P2</x:v>
      </x:c>
      <x:c r="G180" s="9" t="str">
        <x:v>验证直播场次详情场次ID取正确业务对象</x:v>
      </x:c>
      <x:c r="H180" s="9" t="str">
        <x:v>直播场次详情场次ID</x:v>
      </x:c>
      <x:c r="I180" s="9" t="str">
        <x:v>1. 执行角色为公会长
2. 主播房间号1001，本场ID为S002</x:v>
      </x:c>
      <x:c r="J180" s="9" t="str">
        <x:v>1. 进入直播场次详情页</x:v>
      </x:c>
      <x:c r="K180" s="9" t="str">
        <x:v>场次ID显示S002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来源（当前证据）：liveshow-proto/MainBasis/统一需求文档.md；位置：REQ-7a61e5f92e6d；行3298
2. 规则：BR-f907c29035f913a0
3. 未动态验证</x:v>
      </x:c>
    </x:row>
    <x:row r="181" ht="85" customHeight="1">
      <x:c r="A181" s="10" t="n">
        <x:v>180</x:v>
      </x:c>
      <x:c r="B181" s="10" t="str">
        <x:v>GUILD-03-0051</x:v>
      </x:c>
      <x:c r="C181" s="10" t="str">
        <x:v>运营工具</x:v>
      </x:c>
      <x:c r="D181" s="10" t="str">
        <x:v>送礼记录（公会长视角）</x:v>
      </x:c>
      <x:c r="E181" s="10" t="str">
        <x:v>功能需求</x:v>
      </x:c>
      <x:c r="F181" s="10" t="str">
        <x:v>P2</x:v>
      </x:c>
      <x:c r="G181" s="9" t="str">
        <x:v>验证送礼记录礼物单价取正确业务对象</x:v>
      </x:c>
      <x:c r="H181" s="9" t="str">
        <x:v>送礼记录礼物单价</x:v>
      </x:c>
      <x:c r="I181" s="9" t="str">
        <x:v>1. 执行角色为公会长
2. 赠送时单价10，礼物现价20金币</x:v>
      </x:c>
      <x:c r="J181" s="9" t="str">
        <x:v>1. 进入送礼记录页</x:v>
      </x:c>
      <x:c r="K181" s="9" t="str">
        <x:v>礼物单价显示10金币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来源（当前证据）：liveshow-proto/MainBasis/统一需求文档.md；位置：REQ-097e125c296e；行3186
2. 规则：BR-12100423de774a4f
3. 未动态验证</x:v>
      </x:c>
    </x:row>
    <x:row r="182" ht="85" customHeight="1">
      <x:c r="A182" s="10" t="n">
        <x:v>181</x:v>
      </x:c>
      <x:c r="B182" s="10" t="str">
        <x:v>GUILD-05-0034</x:v>
      </x:c>
      <x:c r="C182" s="10" t="str">
        <x:v>数据与收益</x:v>
      </x:c>
      <x:c r="D182" s="10" t="str">
        <x:v>直播场次详情（公会长视角）</x:v>
      </x:c>
      <x:c r="E182" s="10" t="str">
        <x:v>功能需求</x:v>
      </x:c>
      <x:c r="F182" s="10" t="str">
        <x:v>P2</x:v>
      </x:c>
      <x:c r="G182" s="9" t="str">
        <x:v>验证直播场次详情礼物单价取正确业务对象</x:v>
      </x:c>
      <x:c r="H182" s="9" t="str">
        <x:v>直播场次详情礼物单价</x:v>
      </x:c>
      <x:c r="I182" s="9" t="str">
        <x:v>1. 执行角色为公会长
2. 赠送时单价10，礼物现价20金币</x:v>
      </x:c>
      <x:c r="J182" s="9" t="str">
        <x:v>1. 进入直播场次详情页</x:v>
      </x:c>
      <x:c r="K182" s="9" t="str">
        <x:v>礼物单价显示10金币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来源（当前证据）：liveshow-proto/MainBasis/统一需求文档.md；位置：REQ-5b1eecfc9a27；行3316
2. 规则：BR-42d4d07fc74e46fb
3. 未动态验证</x:v>
      </x:c>
    </x:row>
    <x:row r="183" ht="85" customHeight="1">
      <x:c r="A183" s="10" t="n">
        <x:v>182</x:v>
      </x:c>
      <x:c r="B183" s="10" t="str">
        <x:v>GUILD-01-0030</x:v>
      </x:c>
      <x:c r="C183" s="10" t="str">
        <x:v>登录与首页</x:v>
      </x:c>
      <x:c r="D183" s="10" t="str">
        <x:v>通知消息（公会长视角）</x:v>
      </x:c>
      <x:c r="E183" s="10" t="str">
        <x:v>功能需求</x:v>
      </x:c>
      <x:c r="F183" s="10" t="str">
        <x:v>P2</x:v>
      </x:c>
      <x:c r="G183" s="9" t="str">
        <x:v>验证公会通知按生成时间倒序</x:v>
      </x:c>
      <x:c r="H183" s="9" t="str">
        <x:v>公会通知时间排序</x:v>
      </x:c>
      <x:c r="I183" s="9" t="str">
        <x:v>1. 执行角色为公会长
2. 通知甲10点、乙11点生成</x:v>
      </x:c>
      <x:c r="J183" s="9" t="str">
        <x:v>1. 进入通知消息页</x:v>
      </x:c>
      <x:c r="K183" s="9" t="str">
        <x:v>乙排列在甲之前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来源（当前证据）：liveshow-proto/MainBasis/统一需求文档.md；位置：REQ-11aaa73d412a；行2760
2. 规则：BR-89e0e4d1ef1c348f
3. 未动态验证</x:v>
      </x:c>
    </x:row>
    <x:row r="184" ht="85" customHeight="1">
      <x:c r="A184" s="10" t="n">
        <x:v>183</x:v>
      </x:c>
      <x:c r="B184" s="10" t="str">
        <x:v>GUILD-01-0031</x:v>
      </x:c>
      <x:c r="C184" s="10" t="str">
        <x:v>登录与首页</x:v>
      </x:c>
      <x:c r="D184" s="10" t="str">
        <x:v>通知详情（公会长视角）</x:v>
      </x:c>
      <x:c r="E184" s="10" t="str">
        <x:v>逻辑校验</x:v>
      </x:c>
      <x:c r="F184" s="10" t="str">
        <x:v>P1</x:v>
      </x:c>
      <x:c r="G184" s="9" t="str">
        <x:v>验证公会通知详情对应选中业务事件</x:v>
      </x:c>
      <x:c r="H184" s="9" t="str">
        <x:v>公会通知详情内容</x:v>
      </x:c>
      <x:c r="I184" s="9" t="str">
        <x:v>1. 执行角色为公会长
2. 通知N对应主播甲入会申请被平台驳回</x:v>
      </x:c>
      <x:c r="J184" s="9" t="str">
        <x:v>1. 进入通知消息页
2. 点击通知N</x:v>
      </x:c>
      <x:c r="K184" s="9" t="str">
        <x:v>正文对应甲的该次平台驳回事件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来源（当前证据）：liveshow-proto/MainBasis/统一需求文档.md；位置：REQ-2ec1339592d2；行2781
2. 规则：BR-c2d241a1052817c4
3. 未动态验证</x:v>
      </x:c>
    </x:row>
    <x:row r="185" ht="85" customHeight="1">
      <x:c r="A185" s="10" t="n">
        <x:v>184</x:v>
      </x:c>
      <x:c r="B185" s="10" t="str">
        <x:v>GUILD-02-0051</x:v>
      </x:c>
      <x:c r="C185" s="10" t="str">
        <x:v>主播管理</x:v>
      </x:c>
      <x:c r="D185" s="10" t="str">
        <x:v>入会申请（公会长视角）</x:v>
      </x:c>
      <x:c r="E185" s="10" t="str">
        <x:v>逻辑校验</x:v>
      </x:c>
      <x:c r="F185" s="10" t="str">
        <x:v>P1</x:v>
      </x:c>
      <x:c r="G185" s="9" t="str">
        <x:v>验证入会审核中包含两种待审阶段</x:v>
      </x:c>
      <x:c r="H185" s="9" t="str">
        <x:v>公会入会审核中集合</x:v>
      </x:c>
      <x:c r="I185" s="9" t="str">
        <x:v>1. 执行角色为公会长
2. 甲待公会审，乙待平台审，丙已平台通过</x:v>
      </x:c>
      <x:c r="J185" s="9" t="str">
        <x:v>1. 进入入会申请页
2. 切换审核中</x:v>
      </x:c>
      <x:c r="K185" s="9" t="str">
        <x:v>列表仅包含甲和乙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来源（当前证据）：liveshow-proto/MainBasis/统一需求文档.md；位置：REQ-01aea7c3c29c；行2796
2. 规则：BR-f2946819fe85f537
3. 未动态验证</x:v>
      </x:c>
    </x:row>
    <x:row r="186" ht="85" customHeight="1">
      <x:c r="A186" s="10" t="n">
        <x:v>185</x:v>
      </x:c>
      <x:c r="B186" s="10" t="str">
        <x:v>GUILD-02-0052</x:v>
      </x:c>
      <x:c r="C186" s="10" t="str">
        <x:v>主播管理</x:v>
      </x:c>
      <x:c r="D186" s="10" t="str">
        <x:v>入会申请（公会长视角）</x:v>
      </x:c>
      <x:c r="E186" s="10" t="str">
        <x:v>逻辑校验</x:v>
      </x:c>
      <x:c r="F186" s="10" t="str">
        <x:v>P1</x:v>
      </x:c>
      <x:c r="G186" s="9" t="str">
        <x:v>验证入会驳回列表区分平台驳回</x:v>
      </x:c>
      <x:c r="H186" s="9" t="str">
        <x:v>公会入会驳回阶段</x:v>
      </x:c>
      <x:c r="I186" s="9" t="str">
        <x:v>1. 执行角色为公会长
2. 申请A公会通过后被平台驳回</x:v>
      </x:c>
      <x:c r="J186" s="9" t="str">
        <x:v>1. 进入入会申请页
2. 切换已驳回</x:v>
      </x:c>
      <x:c r="K186" s="9" t="str">
        <x:v>申请A状态显示平台驳回</x:v>
      </x:c>
      <x:c r="L186" s="10" t="str">
        <x:v>FLOW-B8276CAE9E</x:v>
      </x:c>
      <x:c r="M186" s="10" t="str">
        <x:v>未测</x:v>
      </x:c>
      <x:c r="N186" s="10" t="str"/>
      <x:c r="O186" s="9" t="str">
        <x:v>1. 来源（当前证据）：liveshow-proto/MainBasis/统一需求文档.md；位置：REQ-01aea7c3c29c；行2796
2. 规则：BR-8d4c14779d6feb37
3. 未动态验证</x:v>
      </x:c>
    </x:row>
    <x:row r="187" ht="85" customHeight="1">
      <x:c r="A187" s="10" t="n">
        <x:v>186</x:v>
      </x:c>
      <x:c r="B187" s="10" t="str">
        <x:v>GUILD-02-0053</x:v>
      </x:c>
      <x:c r="C187" s="10" t="str">
        <x:v>主播管理</x:v>
      </x:c>
      <x:c r="D187" s="10" t="str">
        <x:v>入会申请详情（公会长视角）</x:v>
      </x:c>
      <x:c r="E187" s="10" t="str">
        <x:v>功能需求</x:v>
      </x:c>
      <x:c r="F187" s="10" t="str">
        <x:v>P2</x:v>
      </x:c>
      <x:c r="G187" s="9" t="str">
        <x:v>验证未完成的平台审核不显示处理时间</x:v>
      </x:c>
      <x:c r="H187" s="9" t="str">
        <x:v>入会未来审核节点时间</x:v>
      </x:c>
      <x:c r="I187" s="9" t="str">
        <x:v>1. 执行角色为公会长
2. 公会已通过，平台待审核</x:v>
      </x:c>
      <x:c r="J187" s="9" t="str">
        <x:v>1. 进入入会申请详情页</x:v>
      </x:c>
      <x:c r="K187" s="9" t="str">
        <x:v>平台审核节点不显示处理完成时间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来源（当前证据）：liveshow-proto/MainBasis/统一需求文档.md；位置：REQ-e5d474e04dec；行2823
2. 规则：BR-c67e9606b9575314
3. 未动态验证</x:v>
      </x:c>
    </x:row>
    <x:row r="188" ht="85" customHeight="1">
      <x:c r="A188" s="10" t="n">
        <x:v>187</x:v>
      </x:c>
      <x:c r="B188" s="10" t="str">
        <x:v>GUILD-02-0054</x:v>
      </x:c>
      <x:c r="C188" s="10" t="str">
        <x:v>主播管理</x:v>
      </x:c>
      <x:c r="D188" s="10" t="str">
        <x:v>退会申请详情（公会长视角）</x:v>
      </x:c>
      <x:c r="E188" s="10" t="str">
        <x:v>功能需求</x:v>
      </x:c>
      <x:c r="F188" s="10" t="str">
        <x:v>P2</x:v>
      </x:c>
      <x:c r="G188" s="9" t="str">
        <x:v>验证退会详情显示本次处理时间</x:v>
      </x:c>
      <x:c r="H188" s="9" t="str">
        <x:v>退会审核时间</x:v>
      </x:c>
      <x:c r="I188" s="9" t="str">
        <x:v>1. 执行角色为公会长
2. 退会申请9月15日提交，9月16日10:00审核通过</x:v>
      </x:c>
      <x:c r="J188" s="9" t="str">
        <x:v>1. 进入退会申请详情页</x:v>
      </x:c>
      <x:c r="K188" s="9" t="str">
        <x:v>处理时间对应9月16日10:00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来源（当前证据）：liveshow-proto/MainBasis/统一需求文档.md；位置：REQ-d6b381f70c6f；行2871
2. 规则：BR-42ada3aa8d152e9d
3. 未动态验证</x:v>
      </x:c>
    </x:row>
    <x:row r="189" ht="85" customHeight="1">
      <x:c r="A189" s="10" t="n">
        <x:v>188</x:v>
      </x:c>
      <x:c r="B189" s="10" t="str">
        <x:v>GUILD-02-0055</x:v>
      </x:c>
      <x:c r="C189" s="10" t="str">
        <x:v>主播管理</x:v>
      </x:c>
      <x:c r="D189" s="10" t="str">
        <x:v>主播列表（公会长视角）</x:v>
      </x:c>
      <x:c r="E189" s="10" t="str">
        <x:v>功能需求</x:v>
      </x:c>
      <x:c r="F189" s="10" t="str">
        <x:v>P2</x:v>
      </x:c>
      <x:c r="G189" s="9" t="str">
        <x:v>验证主播列表默认当前在会</x:v>
      </x:c>
      <x:c r="H189" s="9" t="str">
        <x:v>公会主播默认分类</x:v>
      </x:c>
      <x:c r="I189" s="9" t="str">
        <x:v>1. 执行角色为公会长</x:v>
      </x:c>
      <x:c r="J189" s="9" t="str">
        <x:v>1. 进入主播列表页</x:v>
      </x:c>
      <x:c r="K189" s="9" t="str">
        <x:v>默认选中在会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来源（当前证据）：liveshow-proto/MainBasis/统一需求文档.md；位置：REQ-0d0a38bc020e；行2886
2. 规则：BR-cf7b6e3efbb46485
3. 未动态验证</x:v>
      </x:c>
    </x:row>
    <x:row r="190" ht="85" customHeight="1">
      <x:c r="A190" s="10" t="n">
        <x:v>189</x:v>
      </x:c>
      <x:c r="B190" s="10" t="str">
        <x:v>GUILD-02-0056</x:v>
      </x:c>
      <x:c r="C190" s="10" t="str">
        <x:v>主播管理</x:v>
      </x:c>
      <x:c r="D190" s="10" t="str">
        <x:v>主播列表（公会长视角）</x:v>
      </x:c>
      <x:c r="E190" s="10" t="str">
        <x:v>功能需求</x:v>
      </x:c>
      <x:c r="F190" s="10" t="str">
        <x:v>P2</x:v>
      </x:c>
      <x:c r="G190" s="9" t="str">
        <x:v>验证主播列表按本次加入时间排序</x:v>
      </x:c>
      <x:c r="H190" s="9" t="str">
        <x:v>公会成员加入排序</x:v>
      </x:c>
      <x:c r="I190" s="9" t="str">
        <x:v>1. 执行角色为公会长
2. 甲9月1日加入，乙9月10日加入</x:v>
      </x:c>
      <x:c r="J190" s="9" t="str">
        <x:v>1. 进入主播列表页</x:v>
      </x:c>
      <x:c r="K190" s="9" t="str">
        <x:v>乙排列在甲之前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来源（当前证据）：liveshow-proto/MainBasis/统一需求文档.md；位置：REQ-5f9e6c9e5f24；行2894
2. 规则：BR-34ae606404fe56a5
3. 未动态验证</x:v>
      </x:c>
    </x:row>
    <x:row r="191" ht="85" customHeight="1">
      <x:c r="A191" s="10" t="n">
        <x:v>190</x:v>
      </x:c>
      <x:c r="B191" s="10" t="str">
        <x:v>GUILD-02-0057</x:v>
      </x:c>
      <x:c r="C191" s="10" t="str">
        <x:v>主播管理</x:v>
      </x:c>
      <x:c r="D191" s="10" t="str">
        <x:v>主播列表（公会长视角）</x:v>
      </x:c>
      <x:c r="E191" s="10" t="str">
        <x:v>功能需求</x:v>
      </x:c>
      <x:c r="F191" s="10" t="str">
        <x:v>P2</x:v>
      </x:c>
      <x:c r="G191" s="9" t="str">
        <x:v>验证主播列表按主播ID查找</x:v>
      </x:c>
      <x:c r="H191" s="9" t="str">
        <x:v>主播列表ID搜索</x:v>
      </x:c>
      <x:c r="I191" s="9" t="str">
        <x:v>1. 执行角色为公会长
2. 当前公会主播甲ID1001，乙ID1002</x:v>
      </x:c>
      <x:c r="J191" s="9" t="str">
        <x:v>1. 进入主播列表页
2. 输入搜索框为1001</x:v>
      </x:c>
      <x:c r="K191" s="9" t="str">
        <x:v>结果仅显示甲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来源（当前证据）：liveshow-proto/MainBasis/统一需求文档.md；位置：REQ-946b654076e0；行2888
2. 规则：BR-03b1fee55fbe916c
3. 未动态验证</x:v>
      </x:c>
    </x:row>
    <x:row r="192" ht="85" customHeight="1">
      <x:c r="A192" s="10" t="n">
        <x:v>191</x:v>
      </x:c>
      <x:c r="B192" s="10" t="str">
        <x:v>GUILD-02-0058</x:v>
      </x:c>
      <x:c r="C192" s="10" t="str">
        <x:v>主播管理</x:v>
      </x:c>
      <x:c r="D192" s="10" t="str">
        <x:v>主播业绩（公会长视角）</x:v>
      </x:c>
      <x:c r="E192" s="10" t="str">
        <x:v>功能需求</x:v>
      </x:c>
      <x:c r="F192" s="10" t="str">
        <x:v>P2</x:v>
      </x:c>
      <x:c r="G192" s="9" t="str">
        <x:v>验证主播业绩按主播ID查找</x:v>
      </x:c>
      <x:c r="H192" s="9" t="str">
        <x:v>主播业绩ID搜索</x:v>
      </x:c>
      <x:c r="I192" s="9" t="str">
        <x:v>1. 执行角色为公会长
2. 当前公会主播甲ID1001，乙ID1002</x:v>
      </x:c>
      <x:c r="J192" s="9" t="str">
        <x:v>1. 进入主播业绩页
2. 输入搜索框为1001</x:v>
      </x:c>
      <x:c r="K192" s="9" t="str">
        <x:v>结果仅显示甲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来源（当前证据）：liveshow-proto/MainBasis/统一需求文档.md；位置：REQ-b714dfa901eb；行2907
2. 规则：BR-e0ffc09b4c21b94d
3. 未动态验证</x:v>
      </x:c>
    </x:row>
    <x:row r="193" ht="85" customHeight="1">
      <x:c r="A193" s="10" t="n">
        <x:v>192</x:v>
      </x:c>
      <x:c r="B193" s="10" t="str">
        <x:v>GUILD-03-0052</x:v>
      </x:c>
      <x:c r="C193" s="10" t="str">
        <x:v>运营工具</x:v>
      </x:c>
      <x:c r="D193" s="10" t="str">
        <x:v>选择主播（公会长视角）</x:v>
      </x:c>
      <x:c r="E193" s="10" t="str">
        <x:v>功能需求</x:v>
      </x:c>
      <x:c r="F193" s="10" t="str">
        <x:v>P2</x:v>
      </x:c>
      <x:c r="G193" s="9" t="str">
        <x:v>验证选择主播按主播ID查找</x:v>
      </x:c>
      <x:c r="H193" s="9" t="str">
        <x:v>选择主播ID搜索</x:v>
      </x:c>
      <x:c r="I193" s="9" t="str">
        <x:v>1. 执行角色为公会长
2. 当前公会主播甲ID1001，乙ID1002</x:v>
      </x:c>
      <x:c r="J193" s="9" t="str">
        <x:v>1. 进入选择主播页
2. 输入搜索框为1001</x:v>
      </x:c>
      <x:c r="K193" s="9" t="str">
        <x:v>结果仅显示甲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来源（当前证据）：liveshow-proto/MainBasis/统一需求文档.md；位置：REQ-7012869c65e6；行3056
2. 规则：BR-99c62ed2a416ccac
3. 未动态验证</x:v>
      </x:c>
    </x:row>
    <x:row r="194" ht="85" customHeight="1">
      <x:c r="A194" s="10" t="n">
        <x:v>193</x:v>
      </x:c>
      <x:c r="B194" s="10" t="str">
        <x:v>GUILD-05-0035</x:v>
      </x:c>
      <x:c r="C194" s="10" t="str">
        <x:v>数据与收益</x:v>
      </x:c>
      <x:c r="D194" s="10" t="str">
        <x:v>选择主播（多选）（公会长视角）</x:v>
      </x:c>
      <x:c r="E194" s="10" t="str">
        <x:v>功能需求</x:v>
      </x:c>
      <x:c r="F194" s="10" t="str">
        <x:v>P2</x:v>
      </x:c>
      <x:c r="G194" s="9" t="str">
        <x:v>验证选择主播（多选）按主播ID查找</x:v>
      </x:c>
      <x:c r="H194" s="9" t="str">
        <x:v>选择主播（多选）ID搜索</x:v>
      </x:c>
      <x:c r="I194" s="9" t="str">
        <x:v>1. 执行角色为公会长
2. 当前公会主播甲ID1001，乙ID1002</x:v>
      </x:c>
      <x:c r="J194" s="9" t="str">
        <x:v>1. 进入选择主播（多选）页
2. 输入搜索框为1001</x:v>
      </x:c>
      <x:c r="K194" s="9" t="str">
        <x:v>结果仅显示甲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来源（当前证据）：liveshow-proto/MainBasis/统一需求文档.md；位置：REQ-2ee500261795；行3464
2. 规则：BR-f67e9f14cc0ef38b
3. 未动态验证</x:v>
      </x:c>
    </x:row>
    <x:row r="195" ht="115" customHeight="1">
      <x:c r="A195" s="10" t="n">
        <x:v>194</x:v>
      </x:c>
      <x:c r="B195" s="10" t="str">
        <x:v>GUILD-02-0059</x:v>
      </x:c>
      <x:c r="C195" s="10" t="str">
        <x:v>主播管理</x:v>
      </x:c>
      <x:c r="D195" s="10" t="str">
        <x:v>主播业绩（公会长视角）</x:v>
      </x:c>
      <x:c r="E195" s="10" t="str">
        <x:v>逻辑校验</x:v>
      </x:c>
      <x:c r="F195" s="10" t="str">
        <x:v>P1</x:v>
      </x:c>
      <x:c r="G195" s="9" t="str">
        <x:v>验证主播业绩主播等级不混用财富等级</x:v>
      </x:c>
      <x:c r="H195" s="9" t="str">
        <x:v>主播业绩主播等级</x:v>
      </x:c>
      <x:c r="I195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5" s="9" t="str">
        <x:v>1. 进入主播业绩页</x:v>
      </x:c>
      <x:c r="K195" s="9" t="str">
        <x:v>主播等级显示3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来源（当前证据）：liveshow-proto/MainBasis/统一需求文档.md；位置：REQ-5891c9734594；行2913、REQ-399f8c398faf；行4334
2. 规则：BR-73aa86c8a5d5a6b7
3. 未动态验证</x:v>
      </x:c>
    </x:row>
    <x:row r="196" ht="115" customHeight="1">
      <x:c r="A196" s="10" t="n">
        <x:v>195</x:v>
      </x:c>
      <x:c r="B196" s="10" t="str">
        <x:v>GUILD-02-0060</x:v>
      </x:c>
      <x:c r="C196" s="10" t="str">
        <x:v>主播管理</x:v>
      </x:c>
      <x:c r="D196" s="10" t="str">
        <x:v>主播数据（公会长视角）</x:v>
      </x:c>
      <x:c r="E196" s="10" t="str">
        <x:v>逻辑校验</x:v>
      </x:c>
      <x:c r="F196" s="10" t="str">
        <x:v>P1</x:v>
      </x:c>
      <x:c r="G196" s="9" t="str">
        <x:v>验证主播数据主播等级不混用财富等级</x:v>
      </x:c>
      <x:c r="H196" s="9" t="str">
        <x:v>主播数据主播等级</x:v>
      </x:c>
      <x:c r="I196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6" s="9" t="str">
        <x:v>1. 进入主播数据页</x:v>
      </x:c>
      <x:c r="K196" s="9" t="str">
        <x:v>主播等级显示3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来源（当前证据）：liveshow-proto/MainBasis/统一需求文档.md；位置：REQ-75eff86df698；行2944、REQ-399f8c398faf；行4334
2. 规则：BR-abb959c22ea73fdf
3. 未动态验证</x:v>
      </x:c>
    </x:row>
    <x:row r="197" ht="115" customHeight="1">
      <x:c r="A197" s="10" t="n">
        <x:v>196</x:v>
      </x:c>
      <x:c r="B197" s="10" t="str">
        <x:v>GUILD-02-0061</x:v>
      </x:c>
      <x:c r="C197" s="10" t="str">
        <x:v>主播管理</x:v>
      </x:c>
      <x:c r="D197" s="10" t="str">
        <x:v>主播主页（公会长视角）</x:v>
      </x:c>
      <x:c r="E197" s="10" t="str">
        <x:v>逻辑校验</x:v>
      </x:c>
      <x:c r="F197" s="10" t="str">
        <x:v>P1</x:v>
      </x:c>
      <x:c r="G197" s="9" t="str">
        <x:v>验证主播主页主播等级不混用财富等级</x:v>
      </x:c>
      <x:c r="H197" s="9" t="str">
        <x:v>主播主页主播等级</x:v>
      </x:c>
      <x:c r="I197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7" s="9" t="str">
        <x:v>1. 进入主播主页页</x:v>
      </x:c>
      <x:c r="K197" s="9" t="str">
        <x:v>主播等级显示3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来源（当前证据）：liveshow-proto/MainBasis/统一需求文档.md；位置：REQ-a82a66570557；行2975、REQ-399f8c398faf；行4334
2. 规则：BR-6d0d7e4a6c242570
3. 未动态验证</x:v>
      </x:c>
    </x:row>
    <x:row r="198" ht="115" customHeight="1">
      <x:c r="A198" s="10" t="n">
        <x:v>197</x:v>
      </x:c>
      <x:c r="B198" s="10" t="str">
        <x:v>GUILD-05-0036</x:v>
      </x:c>
      <x:c r="C198" s="10" t="str">
        <x:v>数据与收益</x:v>
      </x:c>
      <x:c r="D198" s="10" t="str">
        <x:v>每日（公会长视角）</x:v>
      </x:c>
      <x:c r="E198" s="10" t="str">
        <x:v>逻辑校验</x:v>
      </x:c>
      <x:c r="F198" s="10" t="str">
        <x:v>P1</x:v>
      </x:c>
      <x:c r="G198" s="9" t="str">
        <x:v>验证每日主播等级不混用财富等级</x:v>
      </x:c>
      <x:c r="H198" s="9" t="str">
        <x:v>每日主播等级</x:v>
      </x:c>
      <x:c r="I198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8" s="9" t="str">
        <x:v>1. 进入每日页</x:v>
      </x:c>
      <x:c r="K198" s="9" t="str">
        <x:v>主播等级显示3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来源（当前证据）：liveshow-proto/MainBasis/统一需求文档.md；位置：REQ-588e794e69c3；行3417、REQ-399f8c398faf；行4334
2. 规则：BR-5a71df04eb886ab8
3. 未动态验证</x:v>
      </x:c>
    </x:row>
    <x:row r="199" ht="85" customHeight="1">
      <x:c r="A199" s="10" t="n">
        <x:v>198</x:v>
      </x:c>
      <x:c r="B199" s="10" t="str">
        <x:v>GUILD-02-0062</x:v>
      </x:c>
      <x:c r="C199" s="10" t="str">
        <x:v>主播管理</x:v>
      </x:c>
      <x:c r="D199" s="10" t="str">
        <x:v>主播业绩（公会长视角）</x:v>
      </x:c>
      <x:c r="E199" s="10" t="str">
        <x:v>功能需求</x:v>
      </x:c>
      <x:c r="F199" s="10" t="str">
        <x:v>P2</x:v>
      </x:c>
      <x:c r="G199" s="9" t="str">
        <x:v>验证主播业绩保留退会标识</x:v>
      </x:c>
      <x:c r="H199" s="9" t="str">
        <x:v>主播业绩退会标识</x:v>
      </x:c>
      <x:c r="I199" s="9" t="str">
        <x:v>1. 执行角色为公会长
2. 该主播有历史业绩且已退出当前公会</x:v>
      </x:c>
      <x:c r="J199" s="9" t="str">
        <x:v>1. 进入主播业绩页</x:v>
      </x:c>
      <x:c r="K199" s="9" t="str">
        <x:v>该主播显示“退会”标记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来源（当前证据）：liveshow-proto/MainBasis/统一需求文档.md；位置：REQ-1eac88140da3；行2915
2. 规则：BR-8ca887945be8a0bc
3. 未动态验证</x:v>
      </x:c>
    </x:row>
    <x:row r="200" ht="85" customHeight="1">
      <x:c r="A200" s="10" t="n">
        <x:v>199</x:v>
      </x:c>
      <x:c r="B200" s="10" t="str">
        <x:v>GUILD-02-0063</x:v>
      </x:c>
      <x:c r="C200" s="10" t="str">
        <x:v>主播管理</x:v>
      </x:c>
      <x:c r="D200" s="10" t="str">
        <x:v>主播数据（公会长视角）</x:v>
      </x:c>
      <x:c r="E200" s="10" t="str">
        <x:v>功能需求</x:v>
      </x:c>
      <x:c r="F200" s="10" t="str">
        <x:v>P2</x:v>
      </x:c>
      <x:c r="G200" s="9" t="str">
        <x:v>验证主播数据保留退会标识</x:v>
      </x:c>
      <x:c r="H200" s="9" t="str">
        <x:v>主播数据退会标识</x:v>
      </x:c>
      <x:c r="I200" s="9" t="str">
        <x:v>1. 执行角色为公会长
2. 该主播有历史业绩且已退出当前公会</x:v>
      </x:c>
      <x:c r="J200" s="9" t="str">
        <x:v>1. 进入主播数据页</x:v>
      </x:c>
      <x:c r="K200" s="9" t="str">
        <x:v>该主播显示“退会”标记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来源（当前证据）：liveshow-proto/MainBasis/统一需求文档.md；位置：REQ-396541118a33；行2948
2. 规则：BR-541341632d213071
3. 未动态验证</x:v>
      </x:c>
    </x:row>
    <x:row r="201" ht="85" customHeight="1">
      <x:c r="A201" s="10" t="n">
        <x:v>200</x:v>
      </x:c>
      <x:c r="B201" s="10" t="str">
        <x:v>GUILD-02-0064</x:v>
      </x:c>
      <x:c r="C201" s="10" t="str">
        <x:v>主播管理</x:v>
      </x:c>
      <x:c r="D201" s="10" t="str">
        <x:v>主播数据（公会长视角）</x:v>
      </x:c>
      <x:c r="E201" s="10" t="str">
        <x:v>功能需求</x:v>
      </x:c>
      <x:c r="F201" s="10" t="str">
        <x:v>P2</x:v>
      </x:c>
      <x:c r="G201" s="9" t="str">
        <x:v>验证主播在播的实时标记</x:v>
      </x:c>
      <x:c r="H201" s="9" t="str">
        <x:v>公会主播实时状态</x:v>
      </x:c>
      <x:c r="I201" s="9" t="str">
        <x:v>1. 执行角色为公会长
2. 目标主播当前正在直播</x:v>
      </x:c>
      <x:c r="J201" s="9" t="str">
        <x:v>1. 进入主播数据页</x:v>
      </x:c>
      <x:c r="K201" s="9" t="str">
        <x:v>显示直播中标记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来源（当前证据）：liveshow-proto/MainBasis/统一需求文档.md；位置：REQ-dd4a60d7c8f3；行2946
2. 规则：BR-f5eecea9df91a376
3. 未动态验证</x:v>
      </x:c>
    </x:row>
    <x:row r="202" ht="85" customHeight="1">
      <x:c r="A202" s="10" t="n">
        <x:v>201</x:v>
      </x:c>
      <x:c r="B202" s="10" t="str">
        <x:v>GUILD-02-0065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验证主播未开播的实时标记</x:v>
      </x:c>
      <x:c r="H202" s="9" t="str">
        <x:v>公会主播实时状态</x:v>
      </x:c>
      <x:c r="I202" s="9" t="str">
        <x:v>1. 执行角色为公会长
2. 目标主播当前未开播</x:v>
      </x:c>
      <x:c r="J202" s="9" t="str">
        <x:v>1. 进入主播数据页</x:v>
      </x:c>
      <x:c r="K202" s="9" t="str">
        <x:v>不显示直播中标记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来源（当前证据）：liveshow-proto/MainBasis/统一需求文档.md；位置：REQ-dd4a60d7c8f3；行2946
2. 规则：BR-63bf6973d1525796
3. 未动态验证</x:v>
      </x:c>
    </x:row>
    <x:row r="203" ht="85" customHeight="1">
      <x:c r="A203" s="10" t="n">
        <x:v>202</x:v>
      </x:c>
      <x:c r="B203" s="10" t="str">
        <x:v>GUILD-02-0066</x:v>
      </x:c>
      <x:c r="C203" s="10" t="str">
        <x:v>主播管理</x:v>
      </x:c>
      <x:c r="D203" s="10" t="str">
        <x:v>主播主页（公会长视角）</x:v>
      </x:c>
      <x:c r="E203" s="10" t="str">
        <x:v>功能需求</x:v>
      </x:c>
      <x:c r="F203" s="10" t="str">
        <x:v>P2</x:v>
      </x:c>
      <x:c r="G203" s="9" t="str">
        <x:v>验证公会查看主播认证本人照片</x:v>
      </x:c>
      <x:c r="H203" s="9" t="str">
        <x:v>主播认证本人照片详情</x:v>
      </x:c>
      <x:c r="I203" s="9" t="str">
        <x:v>1. 执行角色为公会长
2. 主播认证材料包含本人照片图片A</x:v>
      </x:c>
      <x:c r="J203" s="9" t="str">
        <x:v>1. 进入主播主页页
2. 点击本人照片</x:v>
      </x:c>
      <x:c r="K203" s="9" t="str">
        <x:v>打开所选认证图片大图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来源（当前证据）：liveshow-proto/MainBasis/统一需求文档.md；位置：REQ-be79750ac19b；行2981
2. 规则：BR-8a541736f35dd56e
3. 未动态验证</x:v>
      </x:c>
    </x:row>
    <x:row r="204" ht="85" customHeight="1">
      <x:c r="A204" s="10" t="n">
        <x:v>203</x:v>
      </x:c>
      <x:c r="B204" s="10" t="str">
        <x:v>GUILD-02-0067</x:v>
      </x:c>
      <x:c r="C204" s="10" t="str">
        <x:v>主播管理</x:v>
      </x:c>
      <x:c r="D204" s="10" t="str">
        <x:v>主播主页（公会长视角）</x:v>
      </x:c>
      <x:c r="E204" s="10" t="str">
        <x:v>功能需求</x:v>
      </x:c>
      <x:c r="F204" s="10" t="str">
        <x:v>P2</x:v>
      </x:c>
      <x:c r="G204" s="9" t="str">
        <x:v>验证公会查看主播认证证件正面</x:v>
      </x:c>
      <x:c r="H204" s="9" t="str">
        <x:v>主播认证证件正面详情</x:v>
      </x:c>
      <x:c r="I204" s="9" t="str">
        <x:v>1. 执行角色为公会长
2. 主播认证材料包含证件正面图片A</x:v>
      </x:c>
      <x:c r="J204" s="9" t="str">
        <x:v>1. 进入主播主页页
2. 点击证件正面</x:v>
      </x:c>
      <x:c r="K204" s="9" t="str">
        <x:v>打开所选认证图片大图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来源（当前证据）：liveshow-proto/MainBasis/统一需求文档.md；位置：REQ-be79750ac19b；行2981
2. 规则：BR-809487e986e014b8
3. 未动态验证</x:v>
      </x:c>
    </x:row>
    <x:row r="205" ht="85" customHeight="1">
      <x:c r="A205" s="10" t="n">
        <x:v>204</x:v>
      </x:c>
      <x:c r="B205" s="10" t="str">
        <x:v>GUILD-02-0068</x:v>
      </x:c>
      <x:c r="C205" s="10" t="str">
        <x:v>主播管理</x:v>
      </x:c>
      <x:c r="D205" s="10" t="str">
        <x:v>主播主页（公会长视角）</x:v>
      </x:c>
      <x:c r="E205" s="10" t="str">
        <x:v>功能需求</x:v>
      </x:c>
      <x:c r="F205" s="10" t="str">
        <x:v>P2</x:v>
      </x:c>
      <x:c r="G205" s="9" t="str">
        <x:v>验证公会查看主播认证证件反面</x:v>
      </x:c>
      <x:c r="H205" s="9" t="str">
        <x:v>主播认证证件反面详情</x:v>
      </x:c>
      <x:c r="I205" s="9" t="str">
        <x:v>1. 执行角色为公会长
2. 主播认证材料包含证件反面图片A</x:v>
      </x:c>
      <x:c r="J205" s="9" t="str">
        <x:v>1. 进入主播主页页
2. 点击证件反面</x:v>
      </x:c>
      <x:c r="K205" s="9" t="str">
        <x:v>打开所选认证图片大图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来源（当前证据）：liveshow-proto/MainBasis/统一需求文档.md；位置：REQ-be79750ac19b；行2981
2. 规则：BR-5c4712e17ab73d4b
3. 未动态验证</x:v>
      </x:c>
    </x:row>
    <x:row r="206" ht="85" customHeight="1">
      <x:c r="A206" s="10" t="n">
        <x:v>205</x:v>
      </x:c>
      <x:c r="B206" s="10" t="str">
        <x:v>GUILD-02-0069</x:v>
      </x:c>
      <x:c r="C206" s="10" t="str">
        <x:v>主播管理</x:v>
      </x:c>
      <x:c r="D206" s="10" t="str">
        <x:v>主播主页（公会长视角）</x:v>
      </x:c>
      <x:c r="E206" s="10" t="str">
        <x:v>逻辑校验</x:v>
      </x:c>
      <x:c r="F206" s="10" t="str">
        <x:v>P1</x:v>
      </x:c>
      <x:c r="G206" s="9" t="str">
        <x:v>验证主播主页直播次数排除进行中场次</x:v>
      </x:c>
      <x:c r="H206" s="9" t="str">
        <x:v>公会主播已完成直播次数</x:v>
      </x:c>
      <x:c r="I206" s="9" t="str">
        <x:v>1. 执行角色为公会长
2. 已完成2场，另1场当前在播</x:v>
      </x:c>
      <x:c r="J206" s="9" t="str">
        <x:v>1. 进入主播主页页</x:v>
      </x:c>
      <x:c r="K206" s="9" t="str">
        <x:v>直播次数显示2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来源（当前证据）：liveshow-proto/MainBasis/统一需求文档.md；位置：REQ-bccc67cb07b8；行3001
2. 规则：BR-19c2e750b9c52e61
3. 未动态验证</x:v>
      </x:c>
    </x:row>
    <x:row r="207" ht="85" customHeight="1">
      <x:c r="A207" s="10" t="n">
        <x:v>206</x:v>
      </x:c>
      <x:c r="B207" s="10" t="str">
        <x:v>GUILD-02-0070</x:v>
      </x:c>
      <x:c r="C207" s="10" t="str">
        <x:v>主播管理</x:v>
      </x:c>
      <x:c r="D207" s="10" t="str">
        <x:v>主播主页（公会长视角）</x:v>
      </x:c>
      <x:c r="E207" s="10" t="str">
        <x:v>逻辑校验</x:v>
      </x:c>
      <x:c r="F207" s="10" t="str">
        <x:v>P1</x:v>
      </x:c>
      <x:c r="G207" s="9" t="str">
        <x:v>验证主播主页时长仅累计已完成场次</x:v>
      </x:c>
      <x:c r="H207" s="9" t="str">
        <x:v>公会主播历史直播时长</x:v>
      </x:c>
      <x:c r="I207" s="9" t="str">
        <x:v>1. 执行角色为公会长
2. 已完成两场分别60分钟和90分钟，另有进行中场次20分钟</x:v>
      </x:c>
      <x:c r="J207" s="9" t="str">
        <x:v>1. 进入主播主页页</x:v>
      </x:c>
      <x:c r="K207" s="9" t="str">
        <x:v>直播时长显示2小时30分钟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来源（当前证据）：liveshow-proto/MainBasis/统一需求文档.md；位置：REQ-0e48ead52cc5；行3003
2. 规则：BR-9c85667c5f5fc3cb
3. 未动态验证</x:v>
      </x:c>
    </x:row>
    <x:row r="208" ht="85" customHeight="1">
      <x:c r="A208" s="10" t="n">
        <x:v>207</x:v>
      </x:c>
      <x:c r="B208" s="10" t="str">
        <x:v>GUILD-02-0071</x:v>
      </x:c>
      <x:c r="C208" s="10" t="str">
        <x:v>主播管理</x:v>
      </x:c>
      <x:c r="D208" s="10" t="str">
        <x:v>主播主页（公会长视角）</x:v>
      </x:c>
      <x:c r="E208" s="10" t="str">
        <x:v>逻辑校验</x:v>
      </x:c>
      <x:c r="F208" s="10" t="str">
        <x:v>P1</x:v>
      </x:c>
      <x:c r="G208" s="9" t="str">
        <x:v>验证主播主页违规统计包含两类</x:v>
      </x:c>
      <x:c r="H208" s="9" t="str">
        <x:v>公会主播累计违规范围</x:v>
      </x:c>
      <x:c r="I208" s="9" t="str">
        <x:v>1. 执行角色为公会长
2. 该主播直播间违规2条、账号违规1条</x:v>
      </x:c>
      <x:c r="J208" s="9" t="str">
        <x:v>1. 进入主播主页页</x:v>
      </x:c>
      <x:c r="K208" s="9" t="str">
        <x:v>累计违规显示3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来源（当前证据）：liveshow-proto/MainBasis/统一需求文档.md；位置：REQ-8af217e09909；行3005
2. 规则：BR-9848ee99c385aa1a
3. 未动态验证</x:v>
      </x:c>
    </x:row>
    <x:row r="209" ht="85" customHeight="1">
      <x:c r="A209" s="10" t="n">
        <x:v>208</x:v>
      </x:c>
      <x:c r="B209" s="10" t="str">
        <x:v>GUILD-02-0072</x:v>
      </x:c>
      <x:c r="C209" s="10" t="str">
        <x:v>主播管理</x:v>
      </x:c>
      <x:c r="D209" s="10" t="str">
        <x:v>主播主页（公会长视角）</x:v>
      </x:c>
      <x:c r="E209" s="10" t="str">
        <x:v>功能需求</x:v>
      </x:c>
      <x:c r="F209" s="10" t="str">
        <x:v>P2</x:v>
      </x:c>
      <x:c r="G209" s="9" t="str">
        <x:v>验证主播申请记录按提交时间排序</x:v>
      </x:c>
      <x:c r="H209" s="9" t="str">
        <x:v>主播申请记录顺序</x:v>
      </x:c>
      <x:c r="I209" s="9" t="str">
        <x:v>1. 执行角色为公会长
2. 入会申请9月1日，退会申请9月15日</x:v>
      </x:c>
      <x:c r="J209" s="9" t="str">
        <x:v>1. 进入主播主页页</x:v>
      </x:c>
      <x:c r="K209" s="9" t="str">
        <x:v>退会申请排列在入会申请之前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来源（当前证据）：liveshow-proto/MainBasis/统一需求文档.md；位置：REQ-1a81bbf86bd2；行2991
2. 规则：BR-2017b17f90727562
3. 未动态验证</x:v>
      </x:c>
    </x:row>
    <x:row r="210" ht="85" customHeight="1">
      <x:c r="A210" s="10" t="n">
        <x:v>209</x:v>
      </x:c>
      <x:c r="B210" s="10" t="str">
        <x:v>GUILD-03-0053</x:v>
      </x:c>
      <x:c r="C210" s="10" t="str">
        <x:v>运营工具</x:v>
      </x:c>
      <x:c r="D210" s="10" t="str">
        <x:v>运营消息（公会长视角）</x:v>
      </x:c>
      <x:c r="E210" s="10" t="str">
        <x:v>逻辑校验</x:v>
      </x:c>
      <x:c r="F210" s="10" t="str">
        <x:v>P1</x:v>
      </x:c>
      <x:c r="G210" s="9" t="str">
        <x:v>验证公会运营消息数量随日期筛选</x:v>
      </x:c>
      <x:c r="H210" s="9" t="str">
        <x:v>公会消息筛选数量</x:v>
      </x:c>
      <x:c r="I210" s="9" t="str">
        <x:v>1. 执行角色为公会长
2. 9月15日2条，9月16日1条发送记录</x:v>
      </x:c>
      <x:c r="J210" s="9" t="str">
        <x:v>1. 进入运营消息页
2. 选择自定义日期为9月15日</x:v>
      </x:c>
      <x:c r="K210" s="9" t="str">
        <x:v>记录数量显示2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来源（当前证据）：liveshow-proto/MainBasis/统一需求文档.md；位置：REQ-d94cf97e0735；行3034
2. 规则：BR-654017b2010fa722
3. 未动态验证</x:v>
      </x:c>
    </x:row>
    <x:row r="211" ht="85" customHeight="1">
      <x:c r="A211" s="10" t="n">
        <x:v>210</x:v>
      </x:c>
      <x:c r="B211" s="10" t="str">
        <x:v>GUILD-03-0054</x:v>
      </x:c>
      <x:c r="C211" s="10" t="str">
        <x:v>运营工具</x:v>
      </x:c>
      <x:c r="D211" s="10" t="str">
        <x:v>运营消息（公会长视角）</x:v>
      </x:c>
      <x:c r="E211" s="10" t="str">
        <x:v>功能需求</x:v>
      </x:c>
      <x:c r="F211" s="10" t="str">
        <x:v>P2</x:v>
      </x:c>
      <x:c r="G211" s="9" t="str">
        <x:v>验证运营消息列表进入对应详情</x:v>
      </x:c>
      <x:c r="H211" s="9" t="str">
        <x:v>公会消息详情入口</x:v>
      </x:c>
      <x:c r="I211" s="9" t="str">
        <x:v>1. 执行角色为公会长
2. 列表存在消息A和B</x:v>
      </x:c>
      <x:c r="J211" s="9" t="str">
        <x:v>1. 进入运营消息页
2. 点击消息B</x:v>
      </x:c>
      <x:c r="K211" s="9" t="str">
        <x:v>详情为消息B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来源（当前证据）：liveshow-proto/MainBasis/统一需求文档.md；位置：REQ-b89ae6ba9123；行3036
2. 规则：BR-2caa3b512a4af60d
3. 未动态验证</x:v>
      </x:c>
    </x:row>
    <x:row r="212" ht="85" customHeight="1">
      <x:c r="A212" s="10" t="n">
        <x:v>211</x:v>
      </x:c>
      <x:c r="B212" s="10" t="str">
        <x:v>GUILD-03-0055</x:v>
      </x:c>
      <x:c r="C212" s="10" t="str">
        <x:v>运营工具</x:v>
      </x:c>
      <x:c r="D212" s="10" t="str">
        <x:v>新建运营消息（公会长视角）</x:v>
      </x:c>
      <x:c r="E212" s="10" t="str">
        <x:v>逻辑校验</x:v>
      </x:c>
      <x:c r="F212" s="10" t="str">
        <x:v>P1</x:v>
      </x:c>
      <x:c r="G212" s="9" t="str">
        <x:v>验证全体主播消息确认显示接收人数</x:v>
      </x:c>
      <x:c r="H212" s="9" t="str">
        <x:v>公会消息确认人数</x:v>
      </x:c>
      <x:c r="I212" s="9" t="str">
        <x:v>1. 执行角色为公会长
2. 当前公会2名在会主播，1名已退会</x:v>
      </x:c>
      <x:c r="J212" s="9" t="str">
        <x:v>1. 进入新建运营消息页
2. 选择对象类型为全体主播
3. 填写文字内容为QA通知
4. 点击发送</x:v>
      </x:c>
      <x:c r="K212" s="9" t="str">
        <x:v>确认接收人数为2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来源（当前证据）：liveshow-proto/MainBasis/统一需求文档.md；位置：REQ-290b9184d089；行3043
2. 规则：BR-ddd0184f0fd8d592
3. 未动态验证</x:v>
      </x:c>
    </x:row>
    <x:row r="213" ht="85" customHeight="1">
      <x:c r="A213" s="10" t="n">
        <x:v>212</x:v>
      </x:c>
      <x:c r="B213" s="10" t="str">
        <x:v>GUILD-03-0056</x:v>
      </x:c>
      <x:c r="C213" s="10" t="str">
        <x:v>运营工具</x:v>
      </x:c>
      <x:c r="D213" s="10" t="str">
        <x:v>消息详情（公会长视角）</x:v>
      </x:c>
      <x:c r="E213" s="10" t="str">
        <x:v>功能需求</x:v>
      </x:c>
      <x:c r="F213" s="10" t="str">
        <x:v>P2</x:v>
      </x:c>
      <x:c r="G213" s="9" t="str">
        <x:v>验证有附图的公会消息详情</x:v>
      </x:c>
      <x:c r="H213" s="9" t="str">
        <x:v>公会消息附图显示</x:v>
      </x:c>
      <x:c r="I213" s="9" t="str">
        <x:v>1. 执行角色为公会长
2. 已发送消息附带图片A</x:v>
      </x:c>
      <x:c r="J213" s="9" t="str">
        <x:v>1. 进入消息详情页</x:v>
      </x:c>
      <x:c r="K213" s="9" t="str">
        <x:v>显示发送时图片A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来源（当前证据）：liveshow-proto/MainBasis/统一需求文档.md；位置：REQ-e882b7259ce5；行3081
2. 规则：BR-7ad7d987fb94f474
3. 未动态验证</x:v>
      </x:c>
    </x:row>
    <x:row r="214" ht="85" customHeight="1">
      <x:c r="A214" s="10" t="n">
        <x:v>213</x:v>
      </x:c>
      <x:c r="B214" s="10" t="str">
        <x:v>GUILD-03-0057</x:v>
      </x:c>
      <x:c r="C214" s="10" t="str">
        <x:v>运营工具</x:v>
      </x:c>
      <x:c r="D214" s="10" t="str">
        <x:v>消息详情（公会长视角）</x:v>
      </x:c>
      <x:c r="E214" s="10" t="str">
        <x:v>功能需求</x:v>
      </x:c>
      <x:c r="F214" s="10" t="str">
        <x:v>P2</x:v>
      </x:c>
      <x:c r="G214" s="9" t="str">
        <x:v>验证无附图的公会消息详情</x:v>
      </x:c>
      <x:c r="H214" s="9" t="str">
        <x:v>公会消息附图显示</x:v>
      </x:c>
      <x:c r="I214" s="9" t="str">
        <x:v>1. 执行角色为公会长
2. 已发送消息没有附图</x:v>
      </x:c>
      <x:c r="J214" s="9" t="str">
        <x:v>1. 进入消息详情页</x:v>
      </x:c>
      <x:c r="K214" s="9" t="str">
        <x:v>不显示附图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来源（当前证据）：liveshow-proto/MainBasis/统一需求文档.md；位置：REQ-e882b7259ce5；行3081
2. 规则：BR-298f52df848c8bb2
3. 未动态验证</x:v>
      </x:c>
    </x:row>
    <x:row r="215" ht="85" customHeight="1">
      <x:c r="A215" s="10" t="n">
        <x:v>214</x:v>
      </x:c>
      <x:c r="B215" s="10" t="str">
        <x:v>GUILD-03-0058</x:v>
      </x:c>
      <x:c r="C215" s="10" t="str">
        <x:v>运营工具</x:v>
      </x:c>
      <x:c r="D215" s="10" t="str">
        <x:v>运营账号（公会长视角）</x:v>
      </x:c>
      <x:c r="E215" s="10" t="str">
        <x:v>功能需求</x:v>
      </x:c>
      <x:c r="F215" s="10" t="str">
        <x:v>P2</x:v>
      </x:c>
      <x:c r="G215" s="9" t="str">
        <x:v>验证公会运营账号列表进入创建页</x:v>
      </x:c>
      <x:c r="H215" s="9" t="str">
        <x:v>运营账号创建入口</x:v>
      </x:c>
      <x:c r="I215" s="9" t="str">
        <x:v>1. 执行角色为公会长</x:v>
      </x:c>
      <x:c r="J215" s="9" t="str">
        <x:v>1. 进入运营账号页
2. 点击创建</x:v>
      </x:c>
      <x:c r="K215" s="9" t="str">
        <x:v>进入创建运营账号页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来源（当前证据）：liveshow-proto/MainBasis/统一需求文档.md；位置：REQ-25f5f780296f；行3112
2. 规则：BR-d436468fb2eccdc8
3. 未动态验证</x:v>
      </x:c>
    </x:row>
    <x:row r="216" ht="100" customHeight="1">
      <x:c r="A216" s="10" t="n">
        <x:v>215</x:v>
      </x:c>
      <x:c r="B216" s="10" t="str">
        <x:v>GUILD-03-0059</x:v>
      </x:c>
      <x:c r="C216" s="10" t="str">
        <x:v>运营工具</x:v>
      </x:c>
      <x:c r="D216" s="10" t="str">
        <x:v>运营账号（公会长视角）</x:v>
      </x:c>
      <x:c r="E216" s="10" t="str">
        <x:v>逻辑校验</x:v>
      </x:c>
      <x:c r="F216" s="10" t="str">
        <x:v>P1</x:v>
      </x:c>
      <x:c r="G216" s="9" t="str">
        <x:v>验证运营账号本月已发放按指定范围统计</x:v>
      </x:c>
      <x:c r="H216" s="9" t="str">
        <x:v>运营账号本月已发放</x:v>
      </x:c>
      <x:c r="I216" s="9" t="str">
        <x:v>1. 执行角色为公会长
2. 公会仅当前一个运营账号，本月成功发放300金币，上月500金币；本月成功送礼100金币、失败20金币，上月成功消费50金币</x:v>
      </x:c>
      <x:c r="J216" s="9" t="str">
        <x:v>1. 进入运营账号页</x:v>
      </x:c>
      <x:c r="K216" s="9" t="str">
        <x:v>本月已发放显示300金币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来源（当前证据）：liveshow-proto/MainBasis/统一需求文档.md；位置：REQ-5479c2595a0d；行3098
2. 规则：BR-9118ecf5b6dd2158
3. 未动态验证</x:v>
      </x:c>
    </x:row>
    <x:row r="217" ht="100" customHeight="1">
      <x:c r="A217" s="10" t="n">
        <x:v>216</x:v>
      </x:c>
      <x:c r="B217" s="10" t="str">
        <x:v>GUILD-03-0060</x:v>
      </x:c>
      <x:c r="C217" s="10" t="str">
        <x:v>运营工具</x:v>
      </x:c>
      <x:c r="D217" s="10" t="str">
        <x:v>运营账号主页（公会长视角）</x:v>
      </x:c>
      <x:c r="E217" s="10" t="str">
        <x:v>逻辑校验</x:v>
      </x:c>
      <x:c r="F217" s="10" t="str">
        <x:v>P1</x:v>
      </x:c>
      <x:c r="G217" s="9" t="str">
        <x:v>验证运营账号主页本月发放按指定范围统计</x:v>
      </x:c>
      <x:c r="H217" s="9" t="str">
        <x:v>运营账号主页本月发放</x:v>
      </x:c>
      <x:c r="I217" s="9" t="str">
        <x:v>1. 执行角色为公会长
2. 公会仅当前一个运营账号，本月成功发放300金币，上月500金币；本月成功送礼100金币、失败20金币，上月成功消费50金币</x:v>
      </x:c>
      <x:c r="J217" s="9" t="str">
        <x:v>1. 进入运营账号主页页</x:v>
      </x:c>
      <x:c r="K217" s="9" t="str">
        <x:v>本月发放显示300金币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来源（当前证据）：liveshow-proto/MainBasis/统一需求文档.md；位置：REQ-07cd82ef5b3a；行3159
2. 规则：BR-c9e040355af9d3ba
3. 未动态验证</x:v>
      </x:c>
    </x:row>
    <x:row r="218" ht="100" customHeight="1">
      <x:c r="A218" s="10" t="n">
        <x:v>217</x:v>
      </x:c>
      <x:c r="B218" s="10" t="str">
        <x:v>GUILD-03-0061</x:v>
      </x:c>
      <x:c r="C218" s="10" t="str">
        <x:v>运营工具</x:v>
      </x:c>
      <x:c r="D218" s="10" t="str">
        <x:v>运营账号（公会长视角）</x:v>
      </x:c>
      <x:c r="E218" s="10" t="str">
        <x:v>逻辑校验</x:v>
      </x:c>
      <x:c r="F218" s="10" t="str">
        <x:v>P1</x:v>
      </x:c>
      <x:c r="G218" s="9" t="str">
        <x:v>验证运营账号本月累计消费按指定范围统计</x:v>
      </x:c>
      <x:c r="H218" s="9" t="str">
        <x:v>运营账号本月累计消费</x:v>
      </x:c>
      <x:c r="I218" s="9" t="str">
        <x:v>1. 执行角色为公会长
2. 公会仅当前一个运营账号，本月成功发放300金币，上月500金币；本月成功送礼100金币、失败20金币，上月成功消费50金币</x:v>
      </x:c>
      <x:c r="J218" s="9" t="str">
        <x:v>1. 进入运营账号页</x:v>
      </x:c>
      <x:c r="K218" s="9" t="str">
        <x:v>本月累计消费显示100金币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来源（当前证据）：liveshow-proto/MainBasis/统一需求文档.md；位置：REQ-bf39582dcdf6；行3104
2. 规则：BR-3725c6aff878b592
3. 未动态验证</x:v>
      </x:c>
    </x:row>
    <x:row r="219" ht="100" customHeight="1">
      <x:c r="A219" s="10" t="n">
        <x:v>218</x:v>
      </x:c>
      <x:c r="B219" s="10" t="str">
        <x:v>GUILD-03-0062</x:v>
      </x:c>
      <x:c r="C219" s="10" t="str">
        <x:v>运营工具</x:v>
      </x:c>
      <x:c r="D219" s="10" t="str">
        <x:v>运营账号主页（公会长视角）</x:v>
      </x:c>
      <x:c r="E219" s="10" t="str">
        <x:v>逻辑校验</x:v>
      </x:c>
      <x:c r="F219" s="10" t="str">
        <x:v>P1</x:v>
      </x:c>
      <x:c r="G219" s="9" t="str">
        <x:v>验证运营账号主页本月消费按指定范围统计</x:v>
      </x:c>
      <x:c r="H219" s="9" t="str">
        <x:v>运营账号主页本月消费</x:v>
      </x:c>
      <x:c r="I219" s="9" t="str">
        <x:v>1. 执行角色为公会长
2. 公会仅当前一个运营账号，本月成功发放300金币，上月500金币；本月成功送礼100金币、失败20金币，上月成功消费50金币</x:v>
      </x:c>
      <x:c r="J219" s="9" t="str">
        <x:v>1. 进入运营账号主页页</x:v>
      </x:c>
      <x:c r="K219" s="9" t="str">
        <x:v>本月消费显示100金币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来源（当前证据）：liveshow-proto/MainBasis/统一需求文档.md；位置：REQ-30339bdad58d；行3161
2. 规则：BR-a689b14d02cabe72
3. 未动态验证</x:v>
      </x:c>
    </x:row>
    <x:row r="220" ht="100" customHeight="1">
      <x:c r="A220" s="10" t="n">
        <x:v>219</x:v>
      </x:c>
      <x:c r="B220" s="10" t="str">
        <x:v>GUILD-03-0063</x:v>
      </x:c>
      <x:c r="C220" s="10" t="str">
        <x:v>运营工具</x:v>
      </x:c>
      <x:c r="D220" s="10" t="str">
        <x:v>运营账号主页（公会长视角）</x:v>
      </x:c>
      <x:c r="E220" s="10" t="str">
        <x:v>逻辑校验</x:v>
      </x:c>
      <x:c r="F220" s="10" t="str">
        <x:v>P1</x:v>
      </x:c>
      <x:c r="G220" s="9" t="str">
        <x:v>验证运营账号主页累计消费按指定范围统计</x:v>
      </x:c>
      <x:c r="H220" s="9" t="str">
        <x:v>运营账号主页累计消费</x:v>
      </x:c>
      <x:c r="I220" s="9" t="str">
        <x:v>1. 执行角色为公会长
2. 公会仅当前一个运营账号，本月成功发放300金币，上月500金币；本月成功送礼100金币、失败20金币，上月成功消费50金币</x:v>
      </x:c>
      <x:c r="J220" s="9" t="str">
        <x:v>1. 进入运营账号主页页</x:v>
      </x:c>
      <x:c r="K220" s="9" t="str">
        <x:v>累计消费显示150金币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来源（当前证据）：liveshow-proto/MainBasis/统一需求文档.md；位置：REQ-3b632dcb59da；行3157
2. 规则：BR-8caf33f495a0e9d5
3. 未动态验证</x:v>
      </x:c>
    </x:row>
    <x:row r="221" ht="85" customHeight="1">
      <x:c r="A221" s="10" t="n">
        <x:v>220</x:v>
      </x:c>
      <x:c r="B221" s="10" t="str">
        <x:v>GUILD-03-0064</x:v>
      </x:c>
      <x:c r="C221" s="10" t="str">
        <x:v>运营工具</x:v>
      </x:c>
      <x:c r="D221" s="10" t="str">
        <x:v>运营账号主页（公会长视角）</x:v>
      </x:c>
      <x:c r="E221" s="10" t="str">
        <x:v>逻辑校验</x:v>
      </x:c>
      <x:c r="F221" s="10" t="str">
        <x:v>P1</x:v>
      </x:c>
      <x:c r="G221" s="9" t="str">
        <x:v>验证已建运营账号发放上限取双额度小值</x:v>
      </x:c>
      <x:c r="H221" s="9" t="str">
        <x:v>运营账号追加发放上限</x:v>
      </x:c>
      <x:c r="I221" s="9" t="str">
        <x:v>1. 执行角色为公会长
2. 账号剩余100金币，公会剩余50金币</x:v>
      </x:c>
      <x:c r="J221" s="9" t="str">
        <x:v>1. 进入运营账号主页页</x:v>
      </x:c>
      <x:c r="K221" s="9" t="str">
        <x:v>可发上限显示50金币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来源（当前证据）：liveshow-proto/MainBasis/统一需求文档.md；位置：REQ-027d2650847b；行3169
2. 规则：BR-f906cd038498e975
3. 未动态验证</x:v>
      </x:c>
    </x:row>
    <x:row r="222" ht="85" customHeight="1">
      <x:c r="A222" s="10" t="n">
        <x:v>221</x:v>
      </x:c>
      <x:c r="B222" s="10" t="str">
        <x:v>GUILD-03-0065</x:v>
      </x:c>
      <x:c r="C222" s="10" t="str">
        <x:v>运营工具</x:v>
      </x:c>
      <x:c r="D222" s="10" t="str">
        <x:v>选择运营账号（多选）（公会长视角）</x:v>
      </x:c>
      <x:c r="E222" s="10" t="str">
        <x:v>逻辑校验</x:v>
      </x:c>
      <x:c r="F222" s="10" t="str">
        <x:v>P1</x:v>
      </x:c>
      <x:c r="G222" s="9" t="str">
        <x:v>验证搜索后已选数量不等于搜索结果数</x:v>
      </x:c>
      <x:c r="H222" s="9" t="str">
        <x:v>运营账号已选统计</x:v>
      </x:c>
      <x:c r="I222" s="9" t="str">
        <x:v>1. 执行角色为公会长
2. 先选甲乙2人，搜索仅命中甲</x:v>
      </x:c>
      <x:c r="J222" s="9" t="str">
        <x:v>1. 进入选择运营账号（多选）页
2. 输入搜索框为甲</x:v>
      </x:c>
      <x:c r="K222" s="9" t="str">
        <x:v>已选数量仍为2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来源（当前证据）：liveshow-proto/MainBasis/统一需求文档.md；位置：REQ-0c9d662848b4；行3211
2. 规则：BR-e016f880d3e536b6
3. 未动态验证</x:v>
      </x:c>
    </x:row>
    <x:row r="223" ht="85" customHeight="1">
      <x:c r="A223" s="10" t="n">
        <x:v>222</x:v>
      </x:c>
      <x:c r="B223" s="10" t="str">
        <x:v>GUILD-03-0066</x:v>
      </x:c>
      <x:c r="C223" s="10" t="str">
        <x:v>运营工具</x:v>
      </x:c>
      <x:c r="D223" s="10" t="str">
        <x:v>选择运营账号（多选）（公会长视角）</x:v>
      </x:c>
      <x:c r="E223" s="10" t="str">
        <x:v>功能需求</x:v>
      </x:c>
      <x:c r="F223" s="10" t="str">
        <x:v>P2</x:v>
      </x:c>
      <x:c r="G223" s="9" t="str">
        <x:v>验证运营多选页支持登录账号搜索</x:v>
      </x:c>
      <x:c r="H223" s="9" t="str">
        <x:v>运营账号登录名检索</x:v>
      </x:c>
      <x:c r="I223" s="9" t="str">
        <x:v>1. 执行角色为公会长
2. 甲登录账号opsQA01，乙other01</x:v>
      </x:c>
      <x:c r="J223" s="9" t="str">
        <x:v>1. 进入选择运营账号（多选）页
2. 输入搜索框为opsQA</x:v>
      </x:c>
      <x:c r="K223" s="9" t="str">
        <x:v>结果仅显示甲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来源（当前证据）：liveshow-proto/MainBasis/统一需求文档.md；位置：REQ-ef0c0a831aa2；行3207
2. 规则：BR-add622c65078e213
3. 未动态验证</x:v>
      </x:c>
    </x:row>
    <x:row r="224" ht="85" customHeight="1">
      <x:c r="A224" s="10" t="n">
        <x:v>223</x:v>
      </x:c>
      <x:c r="B224" s="10" t="str">
        <x:v>GUILD-04-0018</x:v>
      </x:c>
      <x:c r="C224" s="10" t="str">
        <x:v>公会管理</x:v>
      </x:c>
      <x:c r="D224" s="10" t="str">
        <x:v>公会资料（公会长视角）</x:v>
      </x:c>
      <x:c r="E224" s="10" t="str">
        <x:v>功能需求</x:v>
      </x:c>
      <x:c r="F224" s="10" t="str">
        <x:v>P2</x:v>
      </x:c>
      <x:c r="G224" s="9" t="str">
        <x:v>验证公会Logo上传JPG</x:v>
      </x:c>
      <x:c r="H224" s="9" t="str">
        <x:v>公会Logo格式</x:v>
      </x:c>
      <x:c r="I224" s="9" t="str">
        <x:v>1. 执行角色为公会长
2. 本地存在有效qa.jpg图片</x:v>
      </x:c>
      <x:c r="J224" s="9" t="str">
        <x:v>1. 进入公会资料页
2. 上传公会Logo选择qa.jpg
3. 点击保存</x:v>
      </x:c>
      <x:c r="K224" s="9" t="str">
        <x:v>公会Logo更新为所选图片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来源（当前证据）：liveshow-proto/MainBasis/统一需求文档.md；位置：REQ-bdd6386bbb66；行3222
2. 规则：BR-5c81976124fdaa1c
3. 未动态验证</x:v>
      </x:c>
    </x:row>
    <x:row r="225" ht="85" customHeight="1">
      <x:c r="A225" s="10" t="n">
        <x:v>224</x:v>
      </x:c>
      <x:c r="B225" s="10" t="str">
        <x:v>GUILD-04-0019</x:v>
      </x:c>
      <x:c r="C225" s="10" t="str">
        <x:v>公会管理</x:v>
      </x:c>
      <x:c r="D225" s="10" t="str">
        <x:v>公会资料（公会长视角）</x:v>
      </x:c>
      <x:c r="E225" s="10" t="str">
        <x:v>功能需求</x:v>
      </x:c>
      <x:c r="F225" s="10" t="str">
        <x:v>P2</x:v>
      </x:c>
      <x:c r="G225" s="9" t="str">
        <x:v>验证公会Logo上传PNG</x:v>
      </x:c>
      <x:c r="H225" s="9" t="str">
        <x:v>公会Logo格式</x:v>
      </x:c>
      <x:c r="I225" s="9" t="str">
        <x:v>1. 执行角色为公会长
2. 本地存在有效qa.png图片</x:v>
      </x:c>
      <x:c r="J225" s="9" t="str">
        <x:v>1. 进入公会资料页
2. 上传公会Logo选择qa.png
3. 点击保存</x:v>
      </x:c>
      <x:c r="K225" s="9" t="str">
        <x:v>公会Logo更新为所选图片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来源（当前证据）：liveshow-proto/MainBasis/统一需求文档.md；位置：REQ-bdd6386bbb66；行3222
2. 规则：BR-9eb2152805343ea8
3. 未动态验证</x:v>
      </x:c>
    </x:row>
    <x:row r="226" ht="85" customHeight="1">
      <x:c r="A226" s="10" t="n">
        <x:v>225</x:v>
      </x:c>
      <x:c r="B226" s="10" t="str">
        <x:v>GUILD-04-0020</x:v>
      </x:c>
      <x:c r="C226" s="10" t="str">
        <x:v>公会管理</x:v>
      </x:c>
      <x:c r="D226" s="10" t="str">
        <x:v>公会资料（公会长视角）</x:v>
      </x:c>
      <x:c r="E226" s="10" t="str">
        <x:v>功能需求</x:v>
      </x:c>
      <x:c r="F226" s="10" t="str">
        <x:v>P2</x:v>
      </x:c>
      <x:c r="G226" s="9" t="str">
        <x:v>验证公会Logo上传WebP</x:v>
      </x:c>
      <x:c r="H226" s="9" t="str">
        <x:v>公会Logo格式</x:v>
      </x:c>
      <x:c r="I226" s="9" t="str">
        <x:v>1. 执行角色为公会长
2. 本地存在有效qa.webp图片</x:v>
      </x:c>
      <x:c r="J226" s="9" t="str">
        <x:v>1. 进入公会资料页
2. 上传公会Logo选择qa.webp
3. 点击保存</x:v>
      </x:c>
      <x:c r="K226" s="9" t="str">
        <x:v>公会Logo更新为所选图片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来源（当前证据）：liveshow-proto/MainBasis/统一需求文档.md；位置：REQ-bdd6386bbb66；行3222
2. 规则：BR-2dd4526ed213a2d5
3. 未动态验证</x:v>
      </x:c>
    </x:row>
    <x:row r="227" ht="100" customHeight="1">
      <x:c r="A227" s="10" t="n">
        <x:v>226</x:v>
      </x:c>
      <x:c r="B227" s="10" t="str">
        <x:v>GUILD-04-0021</x:v>
      </x:c>
      <x:c r="C227" s="10" t="str">
        <x:v>公会管理</x:v>
      </x:c>
      <x:c r="D227" s="10" t="str">
        <x:v>修改密码（公会长视角）</x:v>
      </x:c>
      <x:c r="E227" s="10" t="str">
        <x:v>逻辑校验</x:v>
      </x:c>
      <x:c r="F227" s="10" t="str">
        <x:v>P1</x:v>
      </x:c>
      <x:c r="G227" s="9" t="str">
        <x:v>验证公会改密确认密码必须一致</x:v>
      </x:c>
      <x:c r="H227" s="9" t="str">
        <x:v>公会确认密码匹配</x:v>
      </x:c>
      <x:c r="I227" s="9" t="str">
        <x:v>1. 执行角色为公会长
2. 旧密码有效，新密码QaNew!2026满足长度</x:v>
      </x:c>
      <x:c r="J227" s="9" t="str">
        <x:v>1. 进入修改密码页
2. 填写当前密码为原正确密码
3. 填写新密码为QaNew!2026
4. 填写确认新密码为QaOther!2026
5. 点击保存</x:v>
      </x:c>
      <x:c r="K227" s="9" t="str">
        <x:v>不能保存两次不一致的新密码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来源（当前证据）：liveshow-proto/MainBasis/统一需求文档.md；位置：REQ-b84a8280b95e；行3254
2. 规则：BR-274eba877bdcc3c0
3. 未动态验证</x:v>
      </x:c>
    </x:row>
    <x:row r="228" ht="85" customHeight="1">
      <x:c r="A228" s="10" t="n">
        <x:v>227</x:v>
      </x:c>
      <x:c r="B228" s="10" t="str">
        <x:v>GUILD-04-0022</x:v>
      </x:c>
      <x:c r="C228" s="10" t="str">
        <x:v>公会管理</x:v>
      </x:c>
      <x:c r="D228" s="10" t="str">
        <x:v>修改密码（公会长视角）</x:v>
      </x:c>
      <x:c r="E228" s="10" t="str">
        <x:v>逻辑校验</x:v>
      </x:c>
      <x:c r="F228" s="10" t="str">
        <x:v>P1</x:v>
      </x:c>
      <x:c r="G228" s="9" t="str">
        <x:v>验证公会改密当前密码不能为空</x:v>
      </x:c>
      <x:c r="H228" s="9" t="str">
        <x:v>公会当前密码必填</x:v>
      </x:c>
      <x:c r="I228" s="9" t="str">
        <x:v>1. 执行角色为公会长
2. 其他密码字段完整有效</x:v>
      </x:c>
      <x:c r="J228" s="9" t="str">
        <x:v>1. 进入修改密码页
2. 清空当前密码
3. 点击保存</x:v>
      </x:c>
      <x:c r="K228" s="9" t="str">
        <x:v>不能提交缺少必填项的改密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来源（当前证据）：liveshow-proto/MainBasis/统一需求文档.md；位置：REQ-8ca419878fbb；行3250
2. 规则：BR-cd202cd20423a01f
3. 未动态验证</x:v>
      </x:c>
    </x:row>
    <x:row r="229" ht="85" customHeight="1">
      <x:c r="A229" s="10" t="n">
        <x:v>228</x:v>
      </x:c>
      <x:c r="B229" s="10" t="str">
        <x:v>GUILD-04-0023</x:v>
      </x:c>
      <x:c r="C229" s="10" t="str">
        <x:v>公会管理</x:v>
      </x:c>
      <x:c r="D229" s="10" t="str">
        <x:v>修改密码（公会长视角）</x:v>
      </x:c>
      <x:c r="E229" s="10" t="str">
        <x:v>逻辑校验</x:v>
      </x:c>
      <x:c r="F229" s="10" t="str">
        <x:v>P1</x:v>
      </x:c>
      <x:c r="G229" s="9" t="str">
        <x:v>验证公会改密确认新密码不能为空</x:v>
      </x:c>
      <x:c r="H229" s="9" t="str">
        <x:v>公会确认新密码必填</x:v>
      </x:c>
      <x:c r="I229" s="9" t="str">
        <x:v>1. 执行角色为公会长
2. 其他密码字段完整有效</x:v>
      </x:c>
      <x:c r="J229" s="9" t="str">
        <x:v>1. 进入修改密码页
2. 清空确认新密码
3. 点击保存</x:v>
      </x:c>
      <x:c r="K229" s="9" t="str">
        <x:v>不能提交缺少必填项的改密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来源（当前证据）：liveshow-proto/MainBasis/统一需求文档.md；位置：REQ-b84a8280b95e；行3254
2. 规则：BR-0caa446649b3614e
3. 未动态验证</x:v>
      </x:c>
    </x:row>
    <x:row r="230" ht="100" customHeight="1">
      <x:c r="A230" s="10" t="n">
        <x:v>229</x:v>
      </x:c>
      <x:c r="B230" s="10" t="str">
        <x:v>GUILD-02-0073</x:v>
      </x:c>
      <x:c r="C230" s="10" t="str">
        <x:v>主播管理</x:v>
      </x:c>
      <x:c r="D230" s="10" t="str">
        <x:v>主播业绩（公会长视角）</x:v>
      </x:c>
      <x:c r="E230" s="10" t="str">
        <x:v>功能需求</x:v>
      </x:c>
      <x:c r="F230" s="10" t="str">
        <x:v>P2</x:v>
      </x:c>
      <x:c r="G230" s="9" t="str">
        <x:v>验证主播业绩默认日期周期</x:v>
      </x:c>
      <x:c r="H230" s="9" t="str">
        <x:v>主播业绩默认周期</x:v>
      </x:c>
      <x:c r="I230" s="9" t="str">
        <x:v>1. 执行角色为公会长</x:v>
      </x:c>
      <x:c r="J230" s="9" t="str">
        <x:v>1. 进入主播业绩页</x:v>
      </x:c>
      <x:c r="K230" s="9" t="str">
        <x:v>默认周期为今日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来源（当前证据）：liveshow-proto/MainBasis/统一需求文档.md；位置：REQ-8e961a9af293；行2905、REQ-37610426be25；行2919
2. 规则：BR-9b13862e93c40e5f
3. 未动态验证</x:v>
      </x:c>
    </x:row>
    <x:row r="231" ht="85" customHeight="1">
      <x:c r="A231" s="10" t="n">
        <x:v>230</x:v>
      </x:c>
      <x:c r="B231" s="10" t="str">
        <x:v>GUILD-02-0074</x:v>
      </x:c>
      <x:c r="C231" s="10" t="str">
        <x:v>主播管理</x:v>
      </x:c>
      <x:c r="D231" s="10" t="str">
        <x:v>主播业绩（公会长视角）</x:v>
      </x:c>
      <x:c r="E231" s="10" t="str">
        <x:v>逻辑校验</x:v>
      </x:c>
      <x:c r="F231" s="10" t="str">
        <x:v>P1</x:v>
      </x:c>
      <x:c r="G231" s="9" t="str">
        <x:v>验证主播业绩包含开始日记录</x:v>
      </x:c>
      <x:c r="H231" s="9" t="str">
        <x:v>主播业绩日期开始日边界</x:v>
      </x:c>
      <x:c r="I231" s="9" t="str">
        <x:v>1. 执行角色为公会长
2. 日期范围9月1日至9月15日，开始日存在业务记录A，范围外存在B</x:v>
      </x:c>
      <x:c r="J231" s="9" t="str">
        <x:v>1. 进入主播业绩页
2. 选择自定义日期为9月1日至9月15日</x:v>
      </x:c>
      <x:c r="K231" s="9" t="str">
        <x:v>筛选结果包含记录A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来源（当前证据）：liveshow-proto/MainBasis/统一需求文档.md；位置：REQ-11ec1831d720；行2903
2. 规则：BR-4cac3d9addfa15da
3. 未动态验证</x:v>
      </x:c>
    </x:row>
    <x:row r="232" ht="85" customHeight="1">
      <x:c r="A232" s="10" t="n">
        <x:v>231</x:v>
      </x:c>
      <x:c r="B232" s="10" t="str">
        <x:v>GUILD-02-0075</x:v>
      </x:c>
      <x:c r="C232" s="10" t="str">
        <x:v>主播管理</x:v>
      </x:c>
      <x:c r="D232" s="10" t="str">
        <x:v>主播业绩（公会长视角）</x:v>
      </x:c>
      <x:c r="E232" s="10" t="str">
        <x:v>逻辑校验</x:v>
      </x:c>
      <x:c r="F232" s="10" t="str">
        <x:v>P1</x:v>
      </x:c>
      <x:c r="G232" s="9" t="str">
        <x:v>验证主播业绩包含结束日记录</x:v>
      </x:c>
      <x:c r="H232" s="9" t="str">
        <x:v>主播业绩日期结束日边界</x:v>
      </x:c>
      <x:c r="I232" s="9" t="str">
        <x:v>1. 执行角色为公会长
2. 日期范围9月1日至9月15日，结束日存在业务记录A，范围外存在B</x:v>
      </x:c>
      <x:c r="J232" s="9" t="str">
        <x:v>1. 进入主播业绩页
2. 选择自定义日期为9月1日至9月15日</x:v>
      </x:c>
      <x:c r="K232" s="9" t="str">
        <x:v>筛选结果包含记录A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来源（当前证据）：liveshow-proto/MainBasis/统一需求文档.md；位置：REQ-11ec1831d720；行2903
2. 规则：BR-fa0f4aebcff18da3
3. 未动态验证</x:v>
      </x:c>
    </x:row>
    <x:row r="233" ht="85" customHeight="1">
      <x:c r="A233" s="10" t="n">
        <x:v>232</x:v>
      </x:c>
      <x:c r="B233" s="10" t="str">
        <x:v>GUILD-05-0037</x:v>
      </x:c>
      <x:c r="C233" s="10" t="str">
        <x:v>数据与收益</x:v>
      </x:c>
      <x:c r="D233" s="10" t="str">
        <x:v>直播记录（公会长视角）</x:v>
      </x:c>
      <x:c r="E233" s="10" t="str">
        <x:v>功能需求</x:v>
      </x:c>
      <x:c r="F233" s="10" t="str">
        <x:v>P2</x:v>
      </x:c>
      <x:c r="G233" s="9" t="str">
        <x:v>验证直播记录默认日期周期</x:v>
      </x:c>
      <x:c r="H233" s="9" t="str">
        <x:v>直播记录默认周期</x:v>
      </x:c>
      <x:c r="I233" s="9" t="str">
        <x:v>1. 执行角色为公会长</x:v>
      </x:c>
      <x:c r="J233" s="9" t="str">
        <x:v>1. 进入直播记录页</x:v>
      </x:c>
      <x:c r="K233" s="9" t="str">
        <x:v>默认周期为今日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来源（当前证据）：liveshow-proto/MainBasis/统一需求文档.md；位置：REQ-b5fab014efd8；行3265
2. 规则：BR-18cb4b1e1587b684
3. 未动态验证</x:v>
      </x:c>
    </x:row>
    <x:row r="234" ht="85" customHeight="1">
      <x:c r="A234" s="10" t="n">
        <x:v>233</x:v>
      </x:c>
      <x:c r="B234" s="10" t="str">
        <x:v>GUILD-05-0038</x:v>
      </x:c>
      <x:c r="C234" s="10" t="str">
        <x:v>数据与收益</x:v>
      </x:c>
      <x:c r="D234" s="10" t="str">
        <x:v>直播记录（公会长视角）</x:v>
      </x:c>
      <x:c r="E234" s="10" t="str">
        <x:v>逻辑校验</x:v>
      </x:c>
      <x:c r="F234" s="10" t="str">
        <x:v>P1</x:v>
      </x:c>
      <x:c r="G234" s="9" t="str">
        <x:v>验证直播记录包含开始日记录</x:v>
      </x:c>
      <x:c r="H234" s="9" t="str">
        <x:v>直播记录日期开始日边界</x:v>
      </x:c>
      <x:c r="I234" s="9" t="str">
        <x:v>1. 执行角色为公会长
2. 日期范围9月1日至9月15日，开始日存在业务记录A，范围外存在B</x:v>
      </x:c>
      <x:c r="J234" s="9" t="str">
        <x:v>1. 进入直播记录页
2. 选择自定义日期为9月1日至9月15日</x:v>
      </x:c>
      <x:c r="K234" s="9" t="str">
        <x:v>筛选结果包含记录A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来源（当前证据）：liveshow-proto/MainBasis/统一需求文档.md；位置：REQ-1be57bba4047；行3263
2. 规则：BR-99ae7ee5cb82357b
3. 未动态验证</x:v>
      </x:c>
    </x:row>
    <x:row r="235" ht="85" customHeight="1">
      <x:c r="A235" s="10" t="n">
        <x:v>234</x:v>
      </x:c>
      <x:c r="B235" s="10" t="str">
        <x:v>GUILD-05-0039</x:v>
      </x:c>
      <x:c r="C235" s="10" t="str">
        <x:v>数据与收益</x:v>
      </x:c>
      <x:c r="D235" s="10" t="str">
        <x:v>直播记录（公会长视角）</x:v>
      </x:c>
      <x:c r="E235" s="10" t="str">
        <x:v>逻辑校验</x:v>
      </x:c>
      <x:c r="F235" s="10" t="str">
        <x:v>P1</x:v>
      </x:c>
      <x:c r="G235" s="9" t="str">
        <x:v>验证直播记录包含结束日记录</x:v>
      </x:c>
      <x:c r="H235" s="9" t="str">
        <x:v>直播记录日期结束日边界</x:v>
      </x:c>
      <x:c r="I235" s="9" t="str">
        <x:v>1. 执行角色为公会长
2. 日期范围9月1日至9月15日，结束日存在业务记录A，范围外存在B</x:v>
      </x:c>
      <x:c r="J235" s="9" t="str">
        <x:v>1. 进入直播记录页
2. 选择自定义日期为9月1日至9月15日</x:v>
      </x:c>
      <x:c r="K235" s="9" t="str">
        <x:v>筛选结果包含记录A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来源（当前证据）：liveshow-proto/MainBasis/统一需求文档.md；位置：REQ-1be57bba4047；行3263
2. 规则：BR-c83b30a2c3713b0b
3. 未动态验证</x:v>
      </x:c>
    </x:row>
    <x:row r="236" ht="85" customHeight="1">
      <x:c r="A236" s="10" t="n">
        <x:v>235</x:v>
      </x:c>
      <x:c r="B236" s="10" t="str">
        <x:v>GUILD-03-0067</x:v>
      </x:c>
      <x:c r="C236" s="10" t="str">
        <x:v>运营工具</x:v>
      </x:c>
      <x:c r="D236" s="10" t="str">
        <x:v>运营消息（公会长视角）</x:v>
      </x:c>
      <x:c r="E236" s="10" t="str">
        <x:v>功能需求</x:v>
      </x:c>
      <x:c r="F236" s="10" t="str">
        <x:v>P2</x:v>
      </x:c>
      <x:c r="G236" s="9" t="str">
        <x:v>验证运营消息默认日期周期</x:v>
      </x:c>
      <x:c r="H236" s="9" t="str">
        <x:v>运营消息默认周期</x:v>
      </x:c>
      <x:c r="I236" s="9" t="str">
        <x:v>1. 执行角色为公会长</x:v>
      </x:c>
      <x:c r="J236" s="9" t="str">
        <x:v>1. 进入运营消息页</x:v>
      </x:c>
      <x:c r="K236" s="9" t="str">
        <x:v>默认周期为本月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来源（当前证据）：liveshow-proto/MainBasis/统一需求文档.md；位置：REQ-84fcbbb4bde2；行3026
2. 规则：BR-500eefe0ac82ed4b
3. 未动态验证</x:v>
      </x:c>
    </x:row>
    <x:row r="237" ht="85" customHeight="1">
      <x:c r="A237" s="10" t="n">
        <x:v>236</x:v>
      </x:c>
      <x:c r="B237" s="10" t="str">
        <x:v>GUILD-03-0068</x:v>
      </x:c>
      <x:c r="C237" s="10" t="str">
        <x:v>运营工具</x:v>
      </x:c>
      <x:c r="D237" s="10" t="str">
        <x:v>运营消息（公会长视角）</x:v>
      </x:c>
      <x:c r="E237" s="10" t="str">
        <x:v>逻辑校验</x:v>
      </x:c>
      <x:c r="F237" s="10" t="str">
        <x:v>P1</x:v>
      </x:c>
      <x:c r="G237" s="9" t="str">
        <x:v>验证运营消息包含开始日记录</x:v>
      </x:c>
      <x:c r="H237" s="9" t="str">
        <x:v>运营消息日期开始日边界</x:v>
      </x:c>
      <x:c r="I237" s="9" t="str">
        <x:v>1. 执行角色为公会长
2. 日期范围9月1日至9月15日，开始日存在业务记录A，范围外存在B</x:v>
      </x:c>
      <x:c r="J237" s="9" t="str">
        <x:v>1. 进入运营消息页
2. 选择自定义日期为9月1日至9月15日</x:v>
      </x:c>
      <x:c r="K237" s="9" t="str">
        <x:v>筛选结果包含记录A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来源（当前证据）：liveshow-proto/MainBasis/统一需求文档.md；位置：REQ-47c155de9784；行3024
2. 规则：BR-b71fbb1dd5c7bba8
3. 未动态验证</x:v>
      </x:c>
    </x:row>
    <x:row r="238" ht="85" customHeight="1">
      <x:c r="A238" s="10" t="n">
        <x:v>237</x:v>
      </x:c>
      <x:c r="B238" s="10" t="str">
        <x:v>GUILD-03-0069</x:v>
      </x:c>
      <x:c r="C238" s="10" t="str">
        <x:v>运营工具</x:v>
      </x:c>
      <x:c r="D238" s="10" t="str">
        <x:v>运营消息（公会长视角）</x:v>
      </x:c>
      <x:c r="E238" s="10" t="str">
        <x:v>逻辑校验</x:v>
      </x:c>
      <x:c r="F238" s="10" t="str">
        <x:v>P1</x:v>
      </x:c>
      <x:c r="G238" s="9" t="str">
        <x:v>验证运营消息包含结束日记录</x:v>
      </x:c>
      <x:c r="H238" s="9" t="str">
        <x:v>运营消息日期结束日边界</x:v>
      </x:c>
      <x:c r="I238" s="9" t="str">
        <x:v>1. 执行角色为公会长
2. 日期范围9月1日至9月15日，结束日存在业务记录A，范围外存在B</x:v>
      </x:c>
      <x:c r="J238" s="9" t="str">
        <x:v>1. 进入运营消息页
2. 选择自定义日期为9月1日至9月15日</x:v>
      </x:c>
      <x:c r="K238" s="9" t="str">
        <x:v>筛选结果包含记录A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来源（当前证据）：liveshow-proto/MainBasis/统一需求文档.md；位置：REQ-47c155de9784；行3024
2. 规则：BR-97da55f2b29c71e8
3. 未动态验证</x:v>
      </x:c>
    </x:row>
    <x:row r="239" ht="85" customHeight="1">
      <x:c r="A239" s="10" t="n">
        <x:v>238</x:v>
      </x:c>
      <x:c r="B239" s="10" t="str">
        <x:v>GUILD-03-0070</x:v>
      </x:c>
      <x:c r="C239" s="10" t="str">
        <x:v>运营工具</x:v>
      </x:c>
      <x:c r="D239" s="10" t="str">
        <x:v>运营账号主页（公会长视角）</x:v>
      </x:c>
      <x:c r="E239" s="10" t="str">
        <x:v>逻辑校验</x:v>
      </x:c>
      <x:c r="F239" s="10" t="str">
        <x:v>P1</x:v>
      </x:c>
      <x:c r="G239" s="9" t="str">
        <x:v>验证运营账号主页包含开始日记录</x:v>
      </x:c>
      <x:c r="H239" s="9" t="str">
        <x:v>运营账号主页日期开始日边界</x:v>
      </x:c>
      <x:c r="I239" s="9" t="str">
        <x:v>1. 执行角色为公会长
2. 日期范围9月1日至9月15日，开始日存在业务记录A，范围外存在B</x:v>
      </x:c>
      <x:c r="J239" s="9" t="str">
        <x:v>1. 进入运营账号主页页
2. 选择自定义日期为9月1日至9月15日</x:v>
      </x:c>
      <x:c r="K239" s="9" t="str">
        <x:v>筛选结果包含记录A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来源（当前证据）：liveshow-proto/MainBasis/统一需求文档.md；位置：REQ-6e7a5925d5b4；行3145
2. 规则：BR-6539035aa521b3b2
3. 未动态验证</x:v>
      </x:c>
    </x:row>
    <x:row r="240" ht="85" customHeight="1">
      <x:c r="A240" s="10" t="n">
        <x:v>239</x:v>
      </x:c>
      <x:c r="B240" s="10" t="str">
        <x:v>GUILD-03-0071</x:v>
      </x:c>
      <x:c r="C240" s="10" t="str">
        <x:v>运营工具</x:v>
      </x:c>
      <x:c r="D240" s="10" t="str">
        <x:v>运营账号主页（公会长视角）</x:v>
      </x:c>
      <x:c r="E240" s="10" t="str">
        <x:v>逻辑校验</x:v>
      </x:c>
      <x:c r="F240" s="10" t="str">
        <x:v>P1</x:v>
      </x:c>
      <x:c r="G240" s="9" t="str">
        <x:v>验证运营账号主页包含结束日记录</x:v>
      </x:c>
      <x:c r="H240" s="9" t="str">
        <x:v>运营账号主页日期结束日边界</x:v>
      </x:c>
      <x:c r="I240" s="9" t="str">
        <x:v>1. 执行角色为公会长
2. 日期范围9月1日至9月15日，结束日存在业务记录A，范围外存在B</x:v>
      </x:c>
      <x:c r="J240" s="9" t="str">
        <x:v>1. 进入运营账号主页页
2. 选择自定义日期为9月1日至9月15日</x:v>
      </x:c>
      <x:c r="K240" s="9" t="str">
        <x:v>筛选结果包含记录A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来源（当前证据）：liveshow-proto/MainBasis/统一需求文档.md；位置：REQ-6e7a5925d5b4；行3145
2. 规则：BR-e537c392cdd4b4ff
3. 未动态验证</x:v>
      </x:c>
    </x:row>
    <x:row r="241" ht="85" customHeight="1">
      <x:c r="A241" s="10" t="n">
        <x:v>240</x:v>
      </x:c>
      <x:c r="B241" s="10" t="str">
        <x:v>GUILD-05-0040</x:v>
      </x:c>
      <x:c r="C241" s="10" t="str">
        <x:v>数据与收益</x:v>
      </x:c>
      <x:c r="D241" s="10" t="str">
        <x:v>主播分成记录（公会长视角）</x:v>
      </x:c>
      <x:c r="E241" s="10" t="str">
        <x:v>功能需求</x:v>
      </x:c>
      <x:c r="F241" s="10" t="str">
        <x:v>P2</x:v>
      </x:c>
      <x:c r="G241" s="9" t="str">
        <x:v>验证主播分成记录默认日期周期</x:v>
      </x:c>
      <x:c r="H241" s="9" t="str">
        <x:v>主播分成记录默认周期</x:v>
      </x:c>
      <x:c r="I241" s="9" t="str">
        <x:v>1. 执行角色为公会长</x:v>
      </x:c>
      <x:c r="J241" s="9" t="str">
        <x:v>1. 进入主播分成记录页</x:v>
      </x:c>
      <x:c r="K241" s="9" t="str">
        <x:v>默认周期为本月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来源（当前证据）：liveshow-proto/MainBasis/统一需求文档.md；位置：REQ-e9c530534e0b；行3438
2. 规则：BR-90db05c0e0b6aee0
3. 未动态验证</x:v>
      </x:c>
    </x:row>
    <x:row r="242" ht="85" customHeight="1">
      <x:c r="A242" s="10" t="n">
        <x:v>241</x:v>
      </x:c>
      <x:c r="B242" s="10" t="str">
        <x:v>GUILD-05-0041</x:v>
      </x:c>
      <x:c r="C242" s="10" t="str">
        <x:v>数据与收益</x:v>
      </x:c>
      <x:c r="D242" s="10" t="str">
        <x:v>主播分成记录（公会长视角）</x:v>
      </x:c>
      <x:c r="E242" s="10" t="str">
        <x:v>逻辑校验</x:v>
      </x:c>
      <x:c r="F242" s="10" t="str">
        <x:v>P1</x:v>
      </x:c>
      <x:c r="G242" s="9" t="str">
        <x:v>验证主播分成记录包含开始日记录</x:v>
      </x:c>
      <x:c r="H242" s="9" t="str">
        <x:v>主播分成记录日期开始日边界</x:v>
      </x:c>
      <x:c r="I242" s="9" t="str">
        <x:v>1. 执行角色为公会长
2. 日期范围9月1日至9月15日，开始日存在业务记录A，范围外存在B</x:v>
      </x:c>
      <x:c r="J242" s="9" t="str">
        <x:v>1. 进入主播分成记录页
2. 选择自定义日期为9月1日至9月15日</x:v>
      </x:c>
      <x:c r="K242" s="9" t="str">
        <x:v>筛选结果包含记录A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来源（当前证据）：liveshow-proto/MainBasis/统一需求文档.md；位置：REQ-7f9821d8e4a3；行3436
2. 规则：BR-9f3c36806db91fc7
3. 未动态验证</x:v>
      </x:c>
    </x:row>
    <x:row r="243" ht="85" customHeight="1">
      <x:c r="A243" s="10" t="n">
        <x:v>242</x:v>
      </x:c>
      <x:c r="B243" s="10" t="str">
        <x:v>GUILD-05-0042</x:v>
      </x:c>
      <x:c r="C243" s="10" t="str">
        <x:v>数据与收益</x:v>
      </x:c>
      <x:c r="D243" s="10" t="str">
        <x:v>主播分成记录（公会长视角）</x:v>
      </x:c>
      <x:c r="E243" s="10" t="str">
        <x:v>逻辑校验</x:v>
      </x:c>
      <x:c r="F243" s="10" t="str">
        <x:v>P1</x:v>
      </x:c>
      <x:c r="G243" s="9" t="str">
        <x:v>验证主播分成记录包含结束日记录</x:v>
      </x:c>
      <x:c r="H243" s="9" t="str">
        <x:v>主播分成记录日期结束日边界</x:v>
      </x:c>
      <x:c r="I243" s="9" t="str">
        <x:v>1. 执行角色为公会长
2. 日期范围9月1日至9月15日，结束日存在业务记录A，范围外存在B</x:v>
      </x:c>
      <x:c r="J243" s="9" t="str">
        <x:v>1. 进入主播分成记录页
2. 选择自定义日期为9月1日至9月15日</x:v>
      </x:c>
      <x:c r="K243" s="9" t="str">
        <x:v>筛选结果包含记录A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来源（当前证据）：liveshow-proto/MainBasis/统一需求文档.md；位置：REQ-7f9821d8e4a3；行3436
2. 规则：BR-b7f75317c846c568
3. 未动态验证</x:v>
      </x:c>
    </x:row>
    <x:row r="244" ht="85" customHeight="1">
      <x:c r="A244" s="10" t="n">
        <x:v>243</x:v>
      </x:c>
      <x:c r="B244" s="10" t="str">
        <x:v>GUILD-05-0043</x:v>
      </x:c>
      <x:c r="C244" s="10" t="str">
        <x:v>数据与收益</x:v>
      </x:c>
      <x:c r="D244" s="10" t="str">
        <x:v>直播记录（公会长视角）</x:v>
      </x:c>
      <x:c r="E244" s="10" t="str">
        <x:v>逻辑校验</x:v>
      </x:c>
      <x:c r="F244" s="10" t="str">
        <x:v>P1</x:v>
      </x:c>
      <x:c r="G244" s="9" t="str">
        <x:v>验证直播记录汇总开播人数去重</x:v>
      </x:c>
      <x:c r="H244" s="9" t="str">
        <x:v>公会直播记录开播人数</x:v>
      </x:c>
      <x:c r="I244" s="9" t="str">
        <x:v>1. 执行角色为公会长
2. 甲完成2场乙完成1场，范围已包含</x:v>
      </x:c>
      <x:c r="J244" s="9" t="str">
        <x:v>1. 进入直播记录页</x:v>
      </x:c>
      <x:c r="K244" s="9" t="str">
        <x:v>开播人数显示2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来源（当前证据）：liveshow-proto/MainBasis/统一需求文档.md；位置：REQ-8fc59d945f54；行3285
2. 规则：BR-ed837253a6324a66
3. 未动态验证</x:v>
      </x:c>
    </x:row>
    <x:row r="245" ht="85" customHeight="1">
      <x:c r="A245" s="10" t="n">
        <x:v>244</x:v>
      </x:c>
      <x:c r="B245" s="10" t="str">
        <x:v>GUILD-05-0044</x:v>
      </x:c>
      <x:c r="C245" s="10" t="str">
        <x:v>数据与收益</x:v>
      </x:c>
      <x:c r="D245" s="10" t="str">
        <x:v>直播记录（公会长视角）</x:v>
      </x:c>
      <x:c r="E245" s="10" t="str">
        <x:v>逻辑校验</x:v>
      </x:c>
      <x:c r="F245" s="10" t="str">
        <x:v>P1</x:v>
      </x:c>
      <x:c r="G245" s="9" t="str">
        <x:v>验证直播记录场次数包含每次开播</x:v>
      </x:c>
      <x:c r="H245" s="9" t="str">
        <x:v>公会直播记录场次数</x:v>
      </x:c>
      <x:c r="I245" s="9" t="str">
        <x:v>1. 执行角色为公会长
2. 甲创建2场，乙创建1场，其中一场正在直播</x:v>
      </x:c>
      <x:c r="J245" s="9" t="str">
        <x:v>1. 进入直播记录页</x:v>
      </x:c>
      <x:c r="K245" s="9" t="str">
        <x:v>直播场次显示3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来源（当前证据）：liveshow-proto/MainBasis/统一需求文档.md；位置：REQ-0c21593960fd；行3287
2. 规则：BR-b9b816ef1ffef938
3. 未动态验证</x:v>
      </x:c>
    </x:row>
    <x:row r="246" ht="85" customHeight="1">
      <x:c r="A246" s="10" t="n">
        <x:v>245</x:v>
      </x:c>
      <x:c r="B246" s="10" t="str">
        <x:v>GUILD-05-0045</x:v>
      </x:c>
      <x:c r="C246" s="10" t="str">
        <x:v>数据与收益</x:v>
      </x:c>
      <x:c r="D246" s="10" t="str">
        <x:v>直播场次详情（公会长视角）</x:v>
      </x:c>
      <x:c r="E246" s="10" t="str">
        <x:v>功能需求</x:v>
      </x:c>
      <x:c r="F246" s="10" t="str">
        <x:v>P2</x:v>
      </x:c>
      <x:c r="G246" s="9" t="str">
        <x:v>验证赠礼详情不显示未定义用户等级</x:v>
      </x:c>
      <x:c r="H246" s="9" t="str">
        <x:v>公会赠礼用户资料范围</x:v>
      </x:c>
      <x:c r="I246" s="9" t="str">
        <x:v>1. 执行角色为公会长
2. 场次有真实用户送礼记录</x:v>
      </x:c>
      <x:c r="J246" s="9" t="str">
        <x:v>1. 进入直播场次详情页
2. 点击送礼记录</x:v>
      </x:c>
      <x:c r="K246" s="9" t="str">
        <x:v>详情不显示用户等级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来源（当前证据）：liveshow-proto/MainBasis/统一需求文档.md；位置：REQ-93d5b7f8688f；行3322
2. 规则：BR-dad9088c207f5e62
3. 未动态验证</x:v>
      </x:c>
    </x:row>
    <x:row r="247" ht="85" customHeight="1">
      <x:c r="A247" s="10" t="n">
        <x:v>246</x:v>
      </x:c>
      <x:c r="B247" s="10" t="str">
        <x:v>GUILD-05-0046</x:v>
      </x:c>
      <x:c r="C247" s="10" t="str">
        <x:v>数据与收益</x:v>
      </x:c>
      <x:c r="D247" s="10" t="str">
        <x:v>违规记录（公会长视角）</x:v>
      </x:c>
      <x:c r="E247" s="10" t="str">
        <x:v>功能需求</x:v>
      </x:c>
      <x:c r="F247" s="10" t="str">
        <x:v>P2</x:v>
      </x:c>
      <x:c r="G247" s="9" t="str">
        <x:v>验证公会账号违规按发生时间排序</x:v>
      </x:c>
      <x:c r="H247" s="9" t="str">
        <x:v>公会违规时间排序</x:v>
      </x:c>
      <x:c r="I247" s="9" t="str">
        <x:v>1. 执行角色为公会长
2. 账号违规甲10点、乙11点，当前选择账号违规</x:v>
      </x:c>
      <x:c r="J247" s="9" t="str">
        <x:v>1. 进入违规记录页</x:v>
      </x:c>
      <x:c r="K247" s="9" t="str">
        <x:v>乙排列在甲之前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来源（当前证据）：liveshow-proto/MainBasis/统一需求文档.md；位置：REQ-2193ff33f58c；行3351
2. 规则：BR-b7fa97bedb41e147
3. 未动态验证</x:v>
      </x:c>
    </x:row>
    <x:row r="248" ht="85" customHeight="1">
      <x:c r="A248" s="10" t="n">
        <x:v>247</x:v>
      </x:c>
      <x:c r="B248" s="10" t="str">
        <x:v>GUILD-05-0047</x:v>
      </x:c>
      <x:c r="C248" s="10" t="str">
        <x:v>数据与收益</x:v>
      </x:c>
      <x:c r="D248" s="10" t="str">
        <x:v>违规记录（公会长视角）</x:v>
      </x:c>
      <x:c r="E248" s="10" t="str">
        <x:v>功能需求</x:v>
      </x:c>
      <x:c r="F248" s="10" t="str">
        <x:v>P2</x:v>
      </x:c>
      <x:c r="G248" s="9" t="str">
        <x:v>验证违规筛选未选择主播提示</x:v>
      </x:c>
      <x:c r="H248" s="9" t="str">
        <x:v>公会违规主播筛选必选</x:v>
      </x:c>
      <x:c r="I248" s="9" t="str">
        <x:v>1. 执行角色为公会长
2. 主播选择清空</x:v>
      </x:c>
      <x:c r="J248" s="9" t="str">
        <x:v>1. 进入违规记录页</x:v>
      </x:c>
      <x:c r="K248" s="9" t="str">
        <x:v>提示选择主播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来源（当前证据）：liveshow-proto/MainBasis/统一需求文档.md；位置：REQ-bb3258b612d5；行3343
2. 规则：BR-37fb0ad56bec8d9c
3. 未动态验证</x:v>
      </x:c>
    </x:row>
    <x:row r="249" ht="85" customHeight="1">
      <x:c r="A249" s="10" t="n">
        <x:v>248</x:v>
      </x:c>
      <x:c r="B249" s="10" t="str">
        <x:v>GUILD-05-0048</x:v>
      </x:c>
      <x:c r="C249" s="10" t="str">
        <x:v>数据与收益</x:v>
      </x:c>
      <x:c r="D249" s="10" t="str">
        <x:v>每日（公会长视角）</x:v>
      </x:c>
      <x:c r="E249" s="10" t="str">
        <x:v>功能需求</x:v>
      </x:c>
      <x:c r="F249" s="10" t="str">
        <x:v>P2</x:v>
      </x:c>
      <x:c r="G249" s="9" t="str">
        <x:v>验证查看往日经营数据标记历史</x:v>
      </x:c>
      <x:c r="H249" s="9" t="str">
        <x:v>公会每日历史标记</x:v>
      </x:c>
      <x:c r="I249" s="9" t="str">
        <x:v>1. 执行角色为公会长
2. 当前目标日期为昨天</x:v>
      </x:c>
      <x:c r="J249" s="9" t="str">
        <x:v>1. 进入每日页</x:v>
      </x:c>
      <x:c r="K249" s="9" t="str">
        <x:v>显示历史标记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来源（当前证据）：liveshow-proto/MainBasis/统一需求文档.md；位置：REQ-136eaaa6e25c；行3409
2. 规则：BR-43e6bddf60cb802a
3. 未动态验证</x:v>
      </x:c>
    </x:row>
    <x:row r="250" ht="85" customHeight="1">
      <x:c r="A250" s="10" t="n">
        <x:v>249</x:v>
      </x:c>
      <x:c r="B250" s="10" t="str">
        <x:v>GUILD-05-0049</x:v>
      </x:c>
      <x:c r="C250" s="10" t="str">
        <x:v>数据与收益</x:v>
      </x:c>
      <x:c r="D250" s="10" t="str">
        <x:v>主播分成记录（公会长视角）</x:v>
      </x:c>
      <x:c r="E250" s="10" t="str">
        <x:v>逻辑校验</x:v>
      </x:c>
      <x:c r="F250" s="10" t="str">
        <x:v>P1</x:v>
      </x:c>
      <x:c r="G250" s="9" t="str">
        <x:v>验证公会主播分成不提供线上审批</x:v>
      </x:c>
      <x:c r="H250" s="9" t="str">
        <x:v>公会主播分成只读范围</x:v>
      </x:c>
      <x:c r="I250" s="9" t="str">
        <x:v>1. 执行角色为公会长</x:v>
      </x:c>
      <x:c r="J250" s="9" t="str">
        <x:v>1. 进入主播分成记录页</x:v>
      </x:c>
      <x:c r="K250" s="9" t="str">
        <x:v>不提供分成计算或审批操作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来源（当前证据）：liveshow-proto/MainBasis/统一需求文档.md；位置：REQ-2010984afb60；行3446
2. 规则：BR-a0dc7cfebc21534d
3. 未动态验证</x:v>
      </x:c>
    </x:row>
    <x:row r="251" ht="100" customHeight="1">
      <x:c r="A251" s="10" t="n">
        <x:v>250</x:v>
      </x:c>
      <x:c r="B251" s="10" t="str">
        <x:v>GUILD-01-0032</x:v>
      </x:c>
      <x:c r="C251" s="10" t="str">
        <x:v>登录与首页</x:v>
      </x:c>
      <x:c r="D251" s="10" t="str">
        <x:v>公会登录（公会长视角）</x:v>
      </x:c>
      <x:c r="E251" s="10" t="str">
        <x:v>逻辑校验</x:v>
      </x:c>
      <x:c r="F251" s="10" t="str">
        <x:v>P1</x:v>
      </x:c>
      <x:c r="G251" s="9" t="str">
        <x:v>验证公会停用后阻止该公会管理账号登录</x:v>
      </x:c>
      <x:c r="H251" s="9" t="str">
        <x:v>公会停用登录限制</x:v>
      </x:c>
      <x:c r="I251" s="9" t="str">
        <x:v>1. 执行角色为公会长
2. 公会已停用，所属公会长qa-chief自身状态启用，正确密码QaChief!2026</x:v>
      </x:c>
      <x:c r="J251" s="9" t="str">
        <x:v>1. 进入公会登录页
2. 填写公会账号为qa-chief
3. 填写密码为QaChief!2026
4. 点击登录</x:v>
      </x:c>
      <x:c r="K251" s="9" t="str">
        <x:v>不能进入该公会管理范围</x:v>
      </x:c>
      <x:c r="L251" s="10" t="str">
        <x:v>FLOW-A69D552849</x:v>
      </x:c>
      <x:c r="M251" s="10" t="str">
        <x:v>未测</x:v>
      </x:c>
      <x:c r="N251" s="10" t="str"/>
      <x:c r="O251" s="9" t="str">
        <x:v>1. 来源（当前证据）：liveshow-proto/MainBasis/统一需求文档.md；位置：REQ-dda7dbff3ea0；行2715、REQ-41cbba51b71b；行3910
2. 规则：BR-a974ba0edd724cc8
3. 未动态验证</x:v>
      </x:c>
    </x:row>
    <x:row r="252" ht="100" customHeight="1">
      <x:c r="A252" s="10" t="n">
        <x:v>251</x:v>
      </x:c>
      <x:c r="B252" s="10" t="str">
        <x:v>GUILD-01-0033</x:v>
      </x:c>
      <x:c r="C252" s="10" t="str">
        <x:v>登录与首页</x:v>
      </x:c>
      <x:c r="D252" s="10" t="str">
        <x:v>公会登录（公会长视角）</x:v>
      </x:c>
      <x:c r="E252" s="10" t="str">
        <x:v>逻辑校验</x:v>
      </x:c>
      <x:c r="F252" s="10" t="str">
        <x:v>P1</x:v>
      </x:c>
      <x:c r="G252" s="9" t="str">
        <x:v>验证公会解散后验证登录资格</x:v>
      </x:c>
      <x:c r="H252" s="9" t="str">
        <x:v>公会解散登录结果</x:v>
      </x:c>
      <x:c r="I252" s="9" t="str">
        <x:v>1. 执行角色为公会长
2. 公会G001已被平台解散；公会长qa-chief账号自身随公会解散失效，原正确密码QaChief!2026；无其他状态变动</x:v>
      </x:c>
      <x:c r="J252" s="9" t="str">
        <x:v>1. 进入公会登录页
2. 填写公会账号为qa-chief
3. 填写密码为QaChief!2026
4. 点击登录</x:v>
      </x:c>
      <x:c r="K252" s="9" t="str">
        <x:v>不能进入已解散公会的管理范围</x:v>
      </x:c>
      <x:c r="L252" s="10" t="str">
        <x:v>FLOW-A69D552849</x:v>
      </x:c>
      <x:c r="M252" s="10" t="str">
        <x:v>未测</x:v>
      </x:c>
      <x:c r="N252" s="10" t="str"/>
      <x:c r="O252" s="9" t="str">
        <x:v>1. 来源（当前证据）：liveshow-proto/MainBasis/统一需求文档.md；位置：REQ-dda7dbff3ea0；行2715、REQ-24899ab93370；行3885
2. 规则：BR-2849db691b6738ff
3. 未动态验证</x:v>
      </x:c>
    </x:row>
    <x:row r="253" ht="100" customHeight="1">
      <x:c r="A253" s="10" t="n">
        <x:v>252</x:v>
      </x:c>
      <x:c r="B253" s="10" t="str">
        <x:v>GUILD-01-0034</x:v>
      </x:c>
      <x:c r="C253" s="10" t="str">
        <x:v>登录与首页</x:v>
      </x:c>
      <x:c r="D253" s="10" t="str">
        <x:v>公会登录（公会长视角）</x:v>
      </x:c>
      <x:c r="E253" s="10" t="str">
        <x:v>逻辑校验</x:v>
      </x:c>
      <x:c r="F253" s="10" t="str">
        <x:v>P1</x:v>
      </x:c>
      <x:c r="G253" s="9" t="str">
        <x:v>验证公会重新启用后验证登录资格</x:v>
      </x:c>
      <x:c r="H253" s="9" t="str">
        <x:v>公会重新启用登录结果</x:v>
      </x:c>
      <x:c r="I253" s="9" t="str">
        <x:v>1. 执行角色为公会长
2. 公会G001已被平台重新启用；公会长qa-chief账号自身启用，原正确密码QaChief!2026；无其他状态变动</x:v>
      </x:c>
      <x:c r="J253" s="9" t="str">
        <x:v>1. 进入公会登录页
2. 填写公会账号为qa-chief
3. 填写密码为QaChief!2026
4. 点击登录</x:v>
      </x:c>
      <x:c r="K253" s="9" t="str">
        <x:v>进入该公会管理范围</x:v>
      </x:c>
      <x:c r="L253" s="10" t="str">
        <x:v>FLOW-A69D552849</x:v>
      </x:c>
      <x:c r="M253" s="10" t="str">
        <x:v>未测</x:v>
      </x:c>
      <x:c r="N253" s="10" t="str"/>
      <x:c r="O253" s="9" t="str">
        <x:v>1. 来源（当前证据）：liveshow-proto/MainBasis/统一需求文档.md；位置：REQ-dda7dbff3ea0；行2715、REQ-dec051bc541b；行3871、REQ-68834a7974f0；行3887
2. 规则：BR-42593f7da155dce1
3. 未动态验证</x:v>
      </x:c>
    </x:row>
    <x:row r="254" ht="115" customHeight="1">
      <x:c r="A254" s="10" t="n">
        <x:v>253</x:v>
      </x:c>
      <x:c r="B254" s="10" t="str">
        <x:v>GUILD-02-0076</x:v>
      </x:c>
      <x:c r="C254" s="10" t="str">
        <x:v>主播管理</x:v>
      </x:c>
      <x:c r="D254" s="10" t="str">
        <x:v>主播主页（公会长视角）</x:v>
      </x:c>
      <x:c r="E254" s="10" t="str">
        <x:v>逻辑校验</x:v>
      </x:c>
      <x:c r="F254" s="10" t="str">
        <x:v>P1</x:v>
      </x:c>
      <x:c r="G254" s="9" t="str">
        <x:v>验证平台关权后查看公会权限关闭状态</x:v>
      </x:c>
      <x:c r="H254" s="9" t="str">
        <x:v>平台关闭时公会权限关闭状态</x:v>
      </x:c>
      <x:c r="I254" s="9" t="str">
        <x:v>1. 执行角色为公会长
2. 主播H001属于本公会且此前平台与公会权限均开启；环境准备：平台管理员刚关闭H001的平台开播权限</x:v>
      </x:c>
      <x:c r="J254" s="9" t="str">
        <x:v>1. 进入主播主页页
2. 查看H001直播权限开关</x:v>
      </x:c>
      <x:c r="K254" s="9" t="str">
        <x:v>直播权限开关显示关闭</x:v>
      </x:c>
      <x:c r="L254" s="10" t="str">
        <x:v>FLOW-B994D746A6</x:v>
      </x:c>
      <x:c r="M254" s="10" t="str">
        <x:v>未测</x:v>
      </x:c>
      <x:c r="N254" s="10" t="str"/>
      <x:c r="O254" s="9" t="str">
        <x:v>1. 来源（当前证据）：liveshow-proto/MainBasis/统一需求文档.md；位置：REQ-3bc8908ef0a3；行3007、REQ-4fc6cf0d0919；行3009、53a6d7ed67d44bd21367c8ae75522b25110749828b54449c84c0941c963efa81；行5753
2. 规则：BR-98dedd5ec2935bd2
3. 未动态验证</x:v>
      </x:c>
    </x:row>
    <x:row r="255" ht="115" customHeight="1">
      <x:c r="A255" s="10" t="n">
        <x:v>254</x:v>
      </x:c>
      <x:c r="B255" s="10" t="str">
        <x:v>GUILD-02-0077</x:v>
      </x:c>
      <x:c r="C255" s="10" t="str">
        <x:v>主播管理</x:v>
      </x:c>
      <x:c r="D255" s="10" t="str">
        <x:v>主播主页（公会长视角）</x:v>
      </x:c>
      <x:c r="E255" s="10" t="str">
        <x:v>逻辑校验</x:v>
      </x:c>
      <x:c r="F255" s="10" t="str">
        <x:v>P1</x:v>
      </x:c>
      <x:c r="G255" s="9" t="str">
        <x:v>验证平台关权后查看公会权限只读限制</x:v>
      </x:c>
      <x:c r="H255" s="9" t="str">
        <x:v>平台关闭时公会权限只读限制</x:v>
      </x:c>
      <x:c r="I255" s="9" t="str">
        <x:v>1. 执行角色为公会长
2. 主播H001属于本公会且此前平台与公会权限均开启；环境准备：平台管理员刚关闭H001的平台开播权限</x:v>
      </x:c>
      <x:c r="J255" s="9" t="str">
        <x:v>1. 进入主播主页页
2. 查看H001直播权限开关</x:v>
      </x:c>
      <x:c r="K255" s="9" t="str">
        <x:v>直播权限开关不可修改</x:v>
      </x:c>
      <x:c r="L255" s="10" t="str">
        <x:v>FLOW-B994D746A6</x:v>
      </x:c>
      <x:c r="M255" s="10" t="str">
        <x:v>未测</x:v>
      </x:c>
      <x:c r="N255" s="10" t="str"/>
      <x:c r="O255" s="9" t="str">
        <x:v>1. 来源（当前证据）：liveshow-proto/MainBasis/统一需求文档.md；位置：REQ-3bc8908ef0a3；行3007、REQ-4fc6cf0d0919；行3009、53a6d7ed67d44bd21367c8ae75522b25110749828b54449c84c0941c963efa81；行5753
2. 规则：BR-81f62971bbeb8299
3. 未动态验证</x:v>
      </x:c>
    </x:row>
    <x:row r="256" ht="100" customHeight="1">
      <x:c r="A256" s="10" t="n">
        <x:v>255</x:v>
      </x:c>
      <x:c r="B256" s="10" t="str">
        <x:v>GUILD-02-0078</x:v>
      </x:c>
      <x:c r="C256" s="10" t="str">
        <x:v>主播管理</x:v>
      </x:c>
      <x:c r="D256" s="10" t="str">
        <x:v>主播数据（公会长视角）</x:v>
      </x:c>
      <x:c r="E256" s="10" t="str">
        <x:v>逻辑校验</x:v>
      </x:c>
      <x:c r="F256" s="10" t="str">
        <x:v>P1</x:v>
      </x:c>
      <x:c r="G256" s="9" t="str">
        <x:v>验证主播主动结束后公会刷新在播标记</x:v>
      </x:c>
      <x:c r="H256" s="9" t="str">
        <x:v>公会观察主动下播</x:v>
      </x:c>
      <x:c r="I256" s="9" t="str">
        <x:v>1. 执行角色为公会长
2. 当前公会主播甲原正在S1直播；环境准备：甲刚主动结束S1，尚未重新开播</x:v>
      </x:c>
      <x:c r="J256" s="9" t="str">
        <x:v>1. 进入主播数据页
2. 刷新甲的主播数据页</x:v>
      </x:c>
      <x:c r="K256" s="9" t="str">
        <x:v>不显示直播中标记</x:v>
      </x:c>
      <x:c r="L256" s="10" t="str">
        <x:v>FLOW-3316A78DEE</x:v>
      </x:c>
      <x:c r="M256" s="10" t="str">
        <x:v>未测</x:v>
      </x:c>
      <x:c r="N256" s="10" t="str"/>
      <x:c r="O256" s="9" t="str">
        <x:v>1. 来源（当前证据）：liveshow-proto/MainBasis/统一需求文档.md；位置：REQ-dd4a60d7c8f3；行2946、REQ-a5a3a5ccbbb6；行3289
2. 规则：BR-885c8260011f65d3
3. 未动态验证</x:v>
      </x:c>
    </x:row>
    <x:row r="257" ht="100" customHeight="1">
      <x:c r="A257" s="10" t="n">
        <x:v>256</x:v>
      </x:c>
      <x:c r="B257" s="10" t="str">
        <x:v>GUILD-01-0035</x:v>
      </x:c>
      <x:c r="C257" s="10" t="str">
        <x:v>登录与首页</x:v>
      </x:c>
      <x:c r="D257" s="10" t="str">
        <x:v>选择公会（公会长视角）</x:v>
      </x:c>
      <x:c r="E257" s="10" t="str">
        <x:v>功能需求</x:v>
      </x:c>
      <x:c r="F257" s="10" t="str">
        <x:v>P2</x:v>
      </x:c>
      <x:c r="G257" s="9" t="str">
        <x:v>验证当前登录身份不串用其他业务对象</x:v>
      </x:c>
      <x:c r="H257" s="9" t="str">
        <x:v>当前登录身份</x:v>
      </x:c>
      <x:c r="I257" s="9" t="str">
        <x:v>1. 执行角色为公会长
2. 已登录目标公会的公会长账号，打开选择公会页并完成下列数据和页面状态准备
3. 当前登录公会长名称ChiefA、用户IDC001，当前公会IDG001</x:v>
      </x:c>
      <x:c r="J257" s="9" t="str">
        <x:v>1. 查看选择公会页</x:v>
      </x:c>
      <x:c r="K257" s="9" t="str">
        <x:v>登录身份显示公会长ChiefA（用户IDC001）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来源（当前证据）：liveshow-proto/MainBasis/统一需求文档.md；位置：REQ-3480df046bf9；行2720、REQ-ac0b60fbcabc；行2722
2. 规则：BR-721d13ce704a188d
3. 未动态验证</x:v>
      </x:c>
    </x:row>
    <x:row r="258" ht="100" customHeight="1">
      <x:c r="A258" s="10" t="n">
        <x:v>257</x:v>
      </x:c>
      <x:c r="B258" s="10" t="str">
        <x:v>GUILD-01-0036</x:v>
      </x:c>
      <x:c r="C258" s="10" t="str">
        <x:v>登录与首页</x:v>
      </x:c>
      <x:c r="D258" s="10" t="str">
        <x:v>选择公会（公会长视角）</x:v>
      </x:c>
      <x:c r="E258" s="10" t="str">
        <x:v>功能需求</x:v>
      </x:c>
      <x:c r="F258" s="10" t="str">
        <x:v>P2</x:v>
      </x:c>
      <x:c r="G258" s="9" t="str">
        <x:v>验证可选公会标识不串用其他业务对象</x:v>
      </x:c>
      <x:c r="H258" s="9" t="str">
        <x:v>可选公会标识</x:v>
      </x:c>
      <x:c r="I258" s="9" t="str">
        <x:v>1. 执行角色为公会长
2. 已登录目标公会的公会长账号，打开选择公会页并完成下列数据和页面状态准备
3. 可管理公会A名称QA公会、IDG001、Logo为图片A</x:v>
      </x:c>
      <x:c r="J258" s="9" t="str">
        <x:v>1. 查看选择公会页</x:v>
      </x:c>
      <x:c r="K258" s="9" t="str">
        <x:v>公会A标识显示QA公会（G001，Logo为图片A）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来源（当前证据）：liveshow-proto/MainBasis/统一需求文档.md；位置：REQ-c36f94897185；行2724
2. 规则：BR-42e61ed8d6122e32
3. 未动态验证</x:v>
      </x:c>
    </x:row>
    <x:row r="259" ht="100" customHeight="1">
      <x:c r="A259" s="10" t="n">
        <x:v>258</x:v>
      </x:c>
      <x:c r="B259" s="10" t="str">
        <x:v>GUILD-01-0037</x:v>
      </x:c>
      <x:c r="C259" s="10" t="str">
        <x:v>登录与首页</x:v>
      </x:c>
      <x:c r="D259" s="10" t="str">
        <x:v>首页（公会长视角）</x:v>
      </x:c>
      <x:c r="E259" s="10" t="str">
        <x:v>功能需求</x:v>
      </x:c>
      <x:c r="F259" s="10" t="str">
        <x:v>P2</x:v>
      </x:c>
      <x:c r="G259" s="9" t="str">
        <x:v>验证当前公会标识不串用其他业务对象</x:v>
      </x:c>
      <x:c r="H259" s="9" t="str">
        <x:v>当前公会标识</x:v>
      </x:c>
      <x:c r="I259" s="9" t="str">
        <x:v>1. 执行角色为公会长
2. 已登录目标公会的公会长账号，打开首页页并完成下列数据和页面状态准备
3. 当前管理QA公会G001、Logo图片A，另有权限管理G002</x:v>
      </x:c>
      <x:c r="J259" s="9" t="str">
        <x:v>1. 查看首页页</x:v>
      </x:c>
      <x:c r="K259" s="9" t="str">
        <x:v>当前公会标识显示QA公会（G001，Logo为图片A）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来源（当前证据）：liveshow-proto/MainBasis/统一需求文档.md；位置：REQ-6913df3ee9d5；行2735
2. 规则：BR-2281ea8957e20d1b
3. 未动态验证</x:v>
      </x:c>
    </x:row>
    <x:row r="260" ht="115" customHeight="1">
      <x:c r="A260" s="10" t="n">
        <x:v>259</x:v>
      </x:c>
      <x:c r="B260" s="10" t="str">
        <x:v>GUILD-02-0079</x:v>
      </x:c>
      <x:c r="C260" s="10" t="str">
        <x:v>主播管理</x:v>
      </x:c>
      <x:c r="D260" s="10" t="str">
        <x:v>入会申请（公会长视角）</x:v>
      </x:c>
      <x:c r="E260" s="10" t="str">
        <x:v>功能需求</x:v>
      </x:c>
      <x:c r="F260" s="10" t="str">
        <x:v>P2</x:v>
      </x:c>
      <x:c r="G260" s="9" t="str">
        <x:v>验证入会申请人身份不串用其他业务对象</x:v>
      </x:c>
      <x:c r="H260" s="9" t="str">
        <x:v>入会申请人身份</x:v>
      </x:c>
      <x:c r="I260" s="9" t="str">
        <x:v>1. 执行角色为公会长
2. 已登录目标公会的公会长账号，打开入会申请页并完成下列数据和页面状态准备
3. 申请A由用户甲U001提交，昵称QA甲、头像图片A；其认证姓名为张甲</x:v>
      </x:c>
      <x:c r="J260" s="9" t="str">
        <x:v>1. 查看入会申请页</x:v>
      </x:c>
      <x:c r="K260" s="9" t="str">
        <x:v>申请A的申请人显示QA甲（U001，头像图片A）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来源（当前证据）：liveshow-proto/MainBasis/统一需求文档.md；位置：REQ-d16e735ecacf；行2792
2. 规则：BR-59d9849b9acc148b
3. 未动态验证</x:v>
      </x:c>
    </x:row>
    <x:row r="261" ht="115" customHeight="1">
      <x:c r="A261" s="10" t="n">
        <x:v>260</x:v>
      </x:c>
      <x:c r="B261" s="10" t="str">
        <x:v>GUILD-02-0080</x:v>
      </x:c>
      <x:c r="C261" s="10" t="str">
        <x:v>主播管理</x:v>
      </x:c>
      <x:c r="D261" s="10" t="str">
        <x:v>入会申请详情（公会长视角）</x:v>
      </x:c>
      <x:c r="E261" s="10" t="str">
        <x:v>功能需求</x:v>
      </x:c>
      <x:c r="F261" s="10" t="str">
        <x:v>P2</x:v>
      </x:c>
      <x:c r="G261" s="9" t="str">
        <x:v>验证入会详情账号身份不串用其他业务对象</x:v>
      </x:c>
      <x:c r="H261" s="9" t="str">
        <x:v>入会详情账号身份</x:v>
      </x:c>
      <x:c r="I261" s="9" t="str">
        <x:v>1. 执行角色为公会长
2. 已登录目标公会的公会长账号，打开入会申请详情页并完成下列数据和页面状态准备
3. 当前申请由用户甲U001提交，昵称QA甲、头像图片A；认证姓名为张甲</x:v>
      </x:c>
      <x:c r="J261" s="9" t="str">
        <x:v>1. 查看入会申请详情页</x:v>
      </x:c>
      <x:c r="K261" s="9" t="str">
        <x:v>账号资料显示QA甲（U001，头像图片A）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来源（当前证据）：liveshow-proto/MainBasis/统一需求文档.md；位置：REQ-f5ae96afc3b9；行2809
2. 规则：BR-01d6e4895b669465
3. 未动态验证</x:v>
      </x:c>
    </x:row>
    <x:row r="262" ht="100" customHeight="1">
      <x:c r="A262" s="10" t="n">
        <x:v>261</x:v>
      </x:c>
      <x:c r="B262" s="10" t="str">
        <x:v>GUILD-02-0081</x:v>
      </x:c>
      <x:c r="C262" s="10" t="str">
        <x:v>主播管理</x:v>
      </x:c>
      <x:c r="D262" s="10" t="str">
        <x:v>退会申请（公会长视角）</x:v>
      </x:c>
      <x:c r="E262" s="10" t="str">
        <x:v>功能需求</x:v>
      </x:c>
      <x:c r="F262" s="10" t="str">
        <x:v>P2</x:v>
      </x:c>
      <x:c r="G262" s="9" t="str">
        <x:v>验证退会申请人身份不串用其他业务对象</x:v>
      </x:c>
      <x:c r="H262" s="9" t="str">
        <x:v>退会申请人身份</x:v>
      </x:c>
      <x:c r="I262" s="9" t="str">
        <x:v>1. 执行角色为公会长
2. 已登录目标公会的公会长账号，打开退会申请页并完成下列数据和页面状态准备
3. 申请A由在会主播甲H001提交，昵称QA甲、头像图片A</x:v>
      </x:c>
      <x:c r="J262" s="9" t="str">
        <x:v>1. 查看退会申请页</x:v>
      </x:c>
      <x:c r="K262" s="9" t="str">
        <x:v>申请A的申请人显示QA甲（H001，头像图片A）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来源（当前证据）：liveshow-proto/MainBasis/统一需求文档.md；位置：REQ-1ec2195a8925；行2844
2. 规则：BR-529aba9822380cd9
3. 未动态验证</x:v>
      </x:c>
    </x:row>
    <x:row r="263" ht="100" customHeight="1">
      <x:c r="A263" s="10" t="n">
        <x:v>262</x:v>
      </x:c>
      <x:c r="B263" s="10" t="str">
        <x:v>GUILD-02-0082</x:v>
      </x:c>
      <x:c r="C263" s="10" t="str">
        <x:v>主播管理</x:v>
      </x:c>
      <x:c r="D263" s="10" t="str">
        <x:v>退会申请详情（公会长视角）</x:v>
      </x:c>
      <x:c r="E263" s="10" t="str">
        <x:v>功能需求</x:v>
      </x:c>
      <x:c r="F263" s="10" t="str">
        <x:v>P2</x:v>
      </x:c>
      <x:c r="G263" s="9" t="str">
        <x:v>验证退会详情主播身份不串用其他业务对象</x:v>
      </x:c>
      <x:c r="H263" s="9" t="str">
        <x:v>退会详情主播身份</x:v>
      </x:c>
      <x:c r="I263" s="9" t="str">
        <x:v>1. 执行角色为公会长
2. 已登录目标公会的公会长账号，打开退会申请详情页并完成下列数据和页面状态准备
3. 当前退会申请属于主播甲H001，昵称QA甲、头像图片A</x:v>
      </x:c>
      <x:c r="J263" s="9" t="str">
        <x:v>1. 查看退会申请详情页</x:v>
      </x:c>
      <x:c r="K263" s="9" t="str">
        <x:v>主播资料显示QA甲（H001，头像图片A）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来源（当前证据）：liveshow-proto/MainBasis/统一需求文档.md；位置：REQ-a48ba6bfa371；行2859、REQ-26bf1cfca040；行2861
2. 规则：BR-95661c48b765e8fd
3. 未动态验证</x:v>
      </x:c>
    </x:row>
    <x:row r="264" ht="100" customHeight="1">
      <x:c r="A264" s="10" t="n">
        <x:v>263</x:v>
      </x:c>
      <x:c r="B264" s="10" t="str">
        <x:v>GUILD-02-0083</x:v>
      </x:c>
      <x:c r="C264" s="10" t="str">
        <x:v>主播管理</x:v>
      </x:c>
      <x:c r="D264" s="10" t="str">
        <x:v>主播列表（公会长视角）</x:v>
      </x:c>
      <x:c r="E264" s="10" t="str">
        <x:v>功能需求</x:v>
      </x:c>
      <x:c r="F264" s="10" t="str">
        <x:v>P2</x:v>
      </x:c>
      <x:c r="G264" s="9" t="str">
        <x:v>验证成员列表主播身份不串用其他业务对象</x:v>
      </x:c>
      <x:c r="H264" s="9" t="str">
        <x:v>成员列表主播身份</x:v>
      </x:c>
      <x:c r="I264" s="9" t="str">
        <x:v>1. 执行角色为公会长
2. 已登录目标公会的公会长账号，打开主播列表页并完成下列数据和页面状态准备
3. 当前公会成员甲H001昵称QA甲、头像图片A</x:v>
      </x:c>
      <x:c r="J264" s="9" t="str">
        <x:v>1. 查看主播列表页</x:v>
      </x:c>
      <x:c r="K264" s="9" t="str">
        <x:v>甲的成员行显示QA甲（H001，头像图片A）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来源（当前证据）：liveshow-proto/MainBasis/统一需求文档.md；位置：REQ-0ba7c960a009；行2890、REQ-18b92dc9135e；行2892
2. 规则：BR-d8fc8f766c29b863
3. 未动态验证</x:v>
      </x:c>
    </x:row>
    <x:row r="265" ht="100" customHeight="1">
      <x:c r="A265" s="10" t="n">
        <x:v>264</x:v>
      </x:c>
      <x:c r="B265" s="10" t="str">
        <x:v>GUILD-02-0084</x:v>
      </x:c>
      <x:c r="C265" s="10" t="str">
        <x:v>主播管理</x:v>
      </x:c>
      <x:c r="D265" s="10" t="str">
        <x:v>主播业绩（公会长视角）</x:v>
      </x:c>
      <x:c r="E265" s="10" t="str">
        <x:v>功能需求</x:v>
      </x:c>
      <x:c r="F265" s="10" t="str">
        <x:v>P2</x:v>
      </x:c>
      <x:c r="G265" s="9" t="str">
        <x:v>验证业绩列表主播身份不串用其他业务对象</x:v>
      </x:c>
      <x:c r="H265" s="9" t="str">
        <x:v>业绩列表主播身份</x:v>
      </x:c>
      <x:c r="I265" s="9" t="str">
        <x:v>1. 执行角色为公会长
2. 已登录目标公会的公会长账号，打开主播业绩页并完成下列数据和页面状态准备
3. 当前业绩行属于甲H001，昵称QA甲、头像图片A</x:v>
      </x:c>
      <x:c r="J265" s="9" t="str">
        <x:v>1. 查看主播业绩页</x:v>
      </x:c>
      <x:c r="K265" s="9" t="str">
        <x:v>甲的业绩行显示QA甲（H001，头像图片A）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来源（当前证据）：liveshow-proto/MainBasis/统一需求文档.md；位置：REQ-8c2c22c4168d；行2909、REQ-b4777791eb9d；行2911
2. 规则：BR-7a304fab8a6c3d47
3. 未动态验证</x:v>
      </x:c>
    </x:row>
    <x:row r="266" ht="115" customHeight="1">
      <x:c r="A266" s="10" t="n">
        <x:v>265</x:v>
      </x:c>
      <x:c r="B266" s="10" t="str">
        <x:v>GUILD-02-0085</x:v>
      </x:c>
      <x:c r="C266" s="10" t="str">
        <x:v>主播管理</x:v>
      </x:c>
      <x:c r="D266" s="10" t="str">
        <x:v>主播数据（公会长视角）</x:v>
      </x:c>
      <x:c r="E266" s="10" t="str">
        <x:v>功能需求</x:v>
      </x:c>
      <x:c r="F266" s="10" t="str">
        <x:v>P2</x:v>
      </x:c>
      <x:c r="G266" s="9" t="str">
        <x:v>验证主播数据身份不串用其他业务对象</x:v>
      </x:c>
      <x:c r="H266" s="9" t="str">
        <x:v>主播数据身份</x:v>
      </x:c>
      <x:c r="I266" s="9" t="str">
        <x:v>1. 执行角色为公会长
2. 已登录目标公会的公会长账号，打开主播数据页并完成下列数据和页面状态准备
3. 当前查看甲H001，昵称QA甲、头像图片A；列表还存在乙H002</x:v>
      </x:c>
      <x:c r="J266" s="9" t="str">
        <x:v>1. 查看主播数据页</x:v>
      </x:c>
      <x:c r="K266" s="9" t="str">
        <x:v>资料区显示QA甲（H001，头像图片A）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来源（当前证据）：liveshow-proto/MainBasis/统一需求文档.md；位置：REQ-0996dff5d166；行2940、REQ-6c4f8435a29e；行2942
2. 规则：BR-6e882bd93354e126
3. 未动态验证</x:v>
      </x:c>
    </x:row>
    <x:row r="267" ht="100" customHeight="1">
      <x:c r="A267" s="10" t="n">
        <x:v>266</x:v>
      </x:c>
      <x:c r="B267" s="10" t="str">
        <x:v>GUILD-02-0086</x:v>
      </x:c>
      <x:c r="C267" s="10" t="str">
        <x:v>主播管理</x:v>
      </x:c>
      <x:c r="D267" s="10" t="str">
        <x:v>主播主页（公会长视角）</x:v>
      </x:c>
      <x:c r="E267" s="10" t="str">
        <x:v>功能需求</x:v>
      </x:c>
      <x:c r="F267" s="10" t="str">
        <x:v>P2</x:v>
      </x:c>
      <x:c r="G267" s="9" t="str">
        <x:v>验证主播主页身份不串用其他业务对象</x:v>
      </x:c>
      <x:c r="H267" s="9" t="str">
        <x:v>主播主页身份</x:v>
      </x:c>
      <x:c r="I267" s="9" t="str">
        <x:v>1. 执行角色为公会长
2. 已登录目标公会的公会长账号，打开主播主页页并完成下列数据和页面状态准备
3. 当前查看甲H001，昵称QA甲、头像图片A；已加入本公会</x:v>
      </x:c>
      <x:c r="J267" s="9" t="str">
        <x:v>1. 查看主播主页页</x:v>
      </x:c>
      <x:c r="K267" s="9" t="str">
        <x:v>资料区显示QA甲（H001，头像图片A）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来源（当前证据）：liveshow-proto/MainBasis/统一需求文档.md；位置：REQ-9c8365970619；行2971、REQ-fa2507b4d6df；行2973
2. 规则：BR-22687aa6175ac562
3. 未动态验证</x:v>
      </x:c>
    </x:row>
    <x:row r="268" ht="115" customHeight="1">
      <x:c r="A268" s="10" t="n">
        <x:v>267</x:v>
      </x:c>
      <x:c r="B268" s="10" t="str">
        <x:v>GUILD-03-0072</x:v>
      </x:c>
      <x:c r="C268" s="10" t="str">
        <x:v>运营工具</x:v>
      </x:c>
      <x:c r="D268" s="10" t="str">
        <x:v>运营账号主页（公会长视角）</x:v>
      </x:c>
      <x:c r="E268" s="10" t="str">
        <x:v>功能需求</x:v>
      </x:c>
      <x:c r="F268" s="10" t="str">
        <x:v>P2</x:v>
      </x:c>
      <x:c r="G268" s="9" t="str">
        <x:v>验证运营账号主页身份不串用其他业务对象</x:v>
      </x:c>
      <x:c r="H268" s="9" t="str">
        <x:v>运营账号主页身份</x:v>
      </x:c>
      <x:c r="I268" s="9" t="str">
        <x:v>1. 执行角色为公会长
2. 已登录目标公会的公会长账号，打开运营账号主页页并完成下列数据和页面状态准备
3. 当前查看运营账号O001，名称OpsA、头像图片A；登录名为qa.ops</x:v>
      </x:c>
      <x:c r="J268" s="9" t="str">
        <x:v>1. 查看运营账号主页页</x:v>
      </x:c>
      <x:c r="K268" s="9" t="str">
        <x:v>资料区显示OpsA（账号IDO001，头像图片A）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来源（当前证据）：liveshow-proto/MainBasis/统一需求文档.md；位置：REQ-d25b35a4df90；行3139
2. 规则：BR-7c72764f7ce578e3
3. 未动态验证</x:v>
      </x:c>
    </x:row>
    <x:row r="269" ht="100" customHeight="1">
      <x:c r="A269" s="10" t="n">
        <x:v>268</x:v>
      </x:c>
      <x:c r="B269" s="10" t="str">
        <x:v>GUILD-05-0050</x:v>
      </x:c>
      <x:c r="C269" s="10" t="str">
        <x:v>数据与收益</x:v>
      </x:c>
      <x:c r="D269" s="10" t="str">
        <x:v>每日（公会长视角）</x:v>
      </x:c>
      <x:c r="E269" s="10" t="str">
        <x:v>功能需求</x:v>
      </x:c>
      <x:c r="F269" s="10" t="str">
        <x:v>P2</x:v>
      </x:c>
      <x:c r="G269" s="9" t="str">
        <x:v>验证当日业绩主播身份不串用其他业务对象</x:v>
      </x:c>
      <x:c r="H269" s="9" t="str">
        <x:v>当日业绩主播身份</x:v>
      </x:c>
      <x:c r="I269" s="9" t="str">
        <x:v>1. 执行角色为公会长
2. 已登录目标公会的公会长账号，打开每日页并完成下列数据和页面状态准备
3. 当前公会主播甲H001，昵称QA甲、头像图片A</x:v>
      </x:c>
      <x:c r="J269" s="9" t="str">
        <x:v>1. 查看每日页</x:v>
      </x:c>
      <x:c r="K269" s="9" t="str">
        <x:v>甲的业绩行显示QA甲（H001，头像图片A）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来源（当前证据）：liveshow-proto/MainBasis/统一需求文档.md；位置：REQ-89a5c71d337c；行3413、REQ-85c8b60ca454；行3415
2. 规则：BR-a5e2b047cea242cb
3. 未动态验证</x:v>
      </x:c>
    </x:row>
    <x:row r="270" ht="100" customHeight="1">
      <x:c r="A270" s="10" t="n">
        <x:v>269</x:v>
      </x:c>
      <x:c r="B270" s="10" t="str">
        <x:v>GUILD-05-0051</x:v>
      </x:c>
      <x:c r="C270" s="10" t="str">
        <x:v>数据与收益</x:v>
      </x:c>
      <x:c r="D270" s="10" t="str">
        <x:v>选择主播（多选）（公会长视角）</x:v>
      </x:c>
      <x:c r="E270" s="10" t="str">
        <x:v>功能需求</x:v>
      </x:c>
      <x:c r="F270" s="10" t="str">
        <x:v>P2</x:v>
      </x:c>
      <x:c r="G270" s="9" t="str">
        <x:v>验证多选页主播身份不串用其他业务对象</x:v>
      </x:c>
      <x:c r="H270" s="9" t="str">
        <x:v>多选页主播身份</x:v>
      </x:c>
      <x:c r="I270" s="9" t="str">
        <x:v>1. 执行角色为公会长
2. 已登录目标公会的公会长账号，打开选择主播（多选）页并完成下列数据和页面状态准备
3. 当前公会主播甲H001，昵称QA甲、头像图片A</x:v>
      </x:c>
      <x:c r="J270" s="9" t="str">
        <x:v>1. 查看选择主播（多选）页</x:v>
      </x:c>
      <x:c r="K270" s="9" t="str">
        <x:v>甲的选项显示QA甲（H001，头像图片A）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来源（当前证据）：liveshow-proto/MainBasis/统一需求文档.md；位置：REQ-a55c36ffadaa；行3466、REQ-30e2a7348149；行3468
2. 规则：BR-53c2c3c0fb4c10b7
3. 未动态验证</x:v>
      </x:c>
    </x:row>
    <x:row r="271" ht="100" customHeight="1">
      <x:c r="A271" s="10" t="n">
        <x:v>270</x:v>
      </x:c>
      <x:c r="B271" s="10" t="str">
        <x:v>GUILD-02-0087</x:v>
      </x:c>
      <x:c r="C271" s="10" t="str">
        <x:v>主播管理</x:v>
      </x:c>
      <x:c r="D271" s="10" t="str">
        <x:v>入会申请（公会长视角）</x:v>
      </x:c>
      <x:c r="E271" s="10" t="str">
        <x:v>功能需求</x:v>
      </x:c>
      <x:c r="F271" s="10" t="str">
        <x:v>P2</x:v>
      </x:c>
      <x:c r="G271" s="9" t="str">
        <x:v>验证入会申请提交时间采用业务发生时点</x:v>
      </x:c>
      <x:c r="H271" s="9" t="str">
        <x:v>入会申请提交时间</x:v>
      </x:c>
      <x:c r="I271" s="9" t="str">
        <x:v>1. 执行角色为公会长
2. 已登录目标公会的公会长账号，打开入会申请页并完成下列数据和页面状态准备
3. 申请9月15日10:00提交，9月16日处理</x:v>
      </x:c>
      <x:c r="J271" s="9" t="str">
        <x:v>1. 查看入会申请页</x:v>
      </x:c>
      <x:c r="K271" s="9" t="str">
        <x:v>申请时间对应9月15日10:00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来源（当前证据）：liveshow-proto/MainBasis/统一需求文档.md；位置：REQ-9cbb2af001ee；行2794
2. 规则：BR-efb22032382666fa
3. 未动态验证</x:v>
      </x:c>
    </x:row>
    <x:row r="272" ht="100" customHeight="1">
      <x:c r="A272" s="10" t="n">
        <x:v>271</x:v>
      </x:c>
      <x:c r="B272" s="10" t="str">
        <x:v>GUILD-02-0088</x:v>
      </x:c>
      <x:c r="C272" s="10" t="str">
        <x:v>主播管理</x:v>
      </x:c>
      <x:c r="D272" s="10" t="str">
        <x:v>退会申请（公会长视角）</x:v>
      </x:c>
      <x:c r="E272" s="10" t="str">
        <x:v>功能需求</x:v>
      </x:c>
      <x:c r="F272" s="10" t="str">
        <x:v>P2</x:v>
      </x:c>
      <x:c r="G272" s="9" t="str">
        <x:v>验证退会申请提交时间采用业务发生时点</x:v>
      </x:c>
      <x:c r="H272" s="9" t="str">
        <x:v>退会申请提交时间</x:v>
      </x:c>
      <x:c r="I272" s="9" t="str">
        <x:v>1. 执行角色为公会长
2. 已登录目标公会的公会长账号，打开退会申请页并完成下列数据和页面状态准备
3. 9月1日加入，9月15日10:00提交退会</x:v>
      </x:c>
      <x:c r="J272" s="9" t="str">
        <x:v>1. 查看退会申请页</x:v>
      </x:c>
      <x:c r="K272" s="9" t="str">
        <x:v>申请时间对应9月15日10:00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来源（当前证据）：liveshow-proto/MainBasis/统一需求文档.md；位置：REQ-244e380c3182；行2846
2. 规则：BR-e12a82fb2314c1c9
3. 未动态验证</x:v>
      </x:c>
    </x:row>
    <x:row r="273" ht="100" customHeight="1">
      <x:c r="A273" s="10" t="n">
        <x:v>272</x:v>
      </x:c>
      <x:c r="B273" s="10" t="str">
        <x:v>GUILD-02-0089</x:v>
      </x:c>
      <x:c r="C273" s="10" t="str">
        <x:v>主播管理</x:v>
      </x:c>
      <x:c r="D273" s="10" t="str">
        <x:v>退会申请详情（公会长视角）</x:v>
      </x:c>
      <x:c r="E273" s="10" t="str">
        <x:v>功能需求</x:v>
      </x:c>
      <x:c r="F273" s="10" t="str">
        <x:v>P2</x:v>
      </x:c>
      <x:c r="G273" s="9" t="str">
        <x:v>验证当前公会关系生效日期采用业务发生时点</x:v>
      </x:c>
      <x:c r="H273" s="9" t="str">
        <x:v>当前公会关系生效日期</x:v>
      </x:c>
      <x:c r="I273" s="9" t="str">
        <x:v>1. 执行角色为公会长
2. 已登录目标公会的公会长账号，打开退会申请详情页并完成下列数据和页面状态准备
3. 旧关系8月1日结束，本次9月1日加入，9月15日申请退会</x:v>
      </x:c>
      <x:c r="J273" s="9" t="str">
        <x:v>1. 查看退会申请详情页</x:v>
      </x:c>
      <x:c r="K273" s="9" t="str">
        <x:v>加入时间对应9月1日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来源（当前证据）：liveshow-proto/MainBasis/统一需求文档.md；位置：REQ-8fb398d1b1d8；行2863
2. 规则：BR-3bd50623ad990a0e
3. 未动态验证</x:v>
      </x:c>
    </x:row>
    <x:row r="274" ht="100" customHeight="1">
      <x:c r="A274" s="10" t="n">
        <x:v>273</x:v>
      </x:c>
      <x:c r="B274" s="10" t="str">
        <x:v>GUILD-02-0090</x:v>
      </x:c>
      <x:c r="C274" s="10" t="str">
        <x:v>主播管理</x:v>
      </x:c>
      <x:c r="D274" s="10" t="str">
        <x:v>退会申请详情（公会长视角）</x:v>
      </x:c>
      <x:c r="E274" s="10" t="str">
        <x:v>功能需求</x:v>
      </x:c>
      <x:c r="F274" s="10" t="str">
        <x:v>P2</x:v>
      </x:c>
      <x:c r="G274" s="9" t="str">
        <x:v>验证退会详情本次提交时间采用业务发生时点</x:v>
      </x:c>
      <x:c r="H274" s="9" t="str">
        <x:v>退会详情本次提交时间</x:v>
      </x:c>
      <x:c r="I274" s="9" t="str">
        <x:v>1. 执行角色为公会长
2. 已登录目标公会的公会长账号，打开退会申请详情页并完成下列数据和页面状态准备
3. 9月15日10:00提交退会，9月16日审核通过</x:v>
      </x:c>
      <x:c r="J274" s="9" t="str">
        <x:v>1. 查看退会申请详情页</x:v>
      </x:c>
      <x:c r="K274" s="9" t="str">
        <x:v>申请时间对应9月15日10:00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来源（当前证据）：liveshow-proto/MainBasis/统一需求文档.md；位置：REQ-bb414c358408；行2865
2. 规则：BR-0ec3402a4a84107b
3. 未动态验证</x:v>
      </x:c>
    </x:row>
    <x:row r="275" ht="100" customHeight="1">
      <x:c r="A275" s="10" t="n">
        <x:v>274</x:v>
      </x:c>
      <x:c r="B275" s="10" t="str">
        <x:v>GUILD-03-0073</x:v>
      </x:c>
      <x:c r="C275" s="10" t="str">
        <x:v>运营工具</x:v>
      </x:c>
      <x:c r="D275" s="10" t="str">
        <x:v>消息详情（公会长视角）</x:v>
      </x:c>
      <x:c r="E275" s="10" t="str">
        <x:v>功能需求</x:v>
      </x:c>
      <x:c r="F275" s="10" t="str">
        <x:v>P2</x:v>
      </x:c>
      <x:c r="G275" s="9" t="str">
        <x:v>验证消息实际发送时间采用业务发生时点</x:v>
      </x:c>
      <x:c r="H275" s="9" t="str">
        <x:v>消息实际发送时间</x:v>
      </x:c>
      <x:c r="I275" s="9" t="str">
        <x:v>1. 执行角色为公会长
2. 已登录目标公会的公会长账号，打开消息详情页并完成下列数据和页面状态准备
3. 消息9月15日10:00发送，9月16日查看</x:v>
      </x:c>
      <x:c r="J275" s="9" t="str">
        <x:v>1. 查看消息详情页</x:v>
      </x:c>
      <x:c r="K275" s="9" t="str">
        <x:v>发送时间对应9月15日10:00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来源（当前证据）：liveshow-proto/MainBasis/统一需求文档.md；位置：REQ-ca337fc6ee2d；行3075
2. 规则：BR-421316beb715eca5
3. 未动态验证</x:v>
      </x:c>
    </x:row>
    <x:row r="276" ht="100" customHeight="1">
      <x:c r="A276" s="10" t="n">
        <x:v>275</x:v>
      </x:c>
      <x:c r="B276" s="10" t="str">
        <x:v>GUILD-01-0038</x:v>
      </x:c>
      <x:c r="C276" s="10" t="str">
        <x:v>登录与首页</x:v>
      </x:c>
      <x:c r="D276" s="10" t="str">
        <x:v>通知详情（公会长视角）</x:v>
      </x:c>
      <x:c r="E276" s="10" t="str">
        <x:v>功能需求</x:v>
      </x:c>
      <x:c r="F276" s="10" t="str">
        <x:v>P2</x:v>
      </x:c>
      <x:c r="G276" s="9" t="str">
        <x:v>验证通知生成时间采用业务发生时点</x:v>
      </x:c>
      <x:c r="H276" s="9" t="str">
        <x:v>通知生成时间</x:v>
      </x:c>
      <x:c r="I276" s="9" t="str">
        <x:v>1. 执行角色为公会长
2. 已登录目标公会的公会长账号，打开通知详情页并完成下列数据和页面状态准备
3. 通知9月15日10:00生成，9月16日读取</x:v>
      </x:c>
      <x:c r="J276" s="9" t="str">
        <x:v>1. 查看通知详情页</x:v>
      </x:c>
      <x:c r="K276" s="9" t="str">
        <x:v>发送时间对应9月15日10:00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来源（当前证据）：liveshow-proto/MainBasis/统一需求文档.md；位置：REQ-36e42f069039；行2779
2. 规则：BR-6e21b3027bc70435
3. 未动态验证</x:v>
      </x:c>
    </x:row>
    <x:row r="277" ht="100" customHeight="1">
      <x:c r="A277" s="10" t="n">
        <x:v>276</x:v>
      </x:c>
      <x:c r="B277" s="10" t="str">
        <x:v>GUILD-05-0052</x:v>
      </x:c>
      <x:c r="C277" s="10" t="str">
        <x:v>数据与收益</x:v>
      </x:c>
      <x:c r="D277" s="10" t="str">
        <x:v>直播场次详情（公会长视角）</x:v>
      </x:c>
      <x:c r="E277" s="10" t="str">
        <x:v>功能需求</x:v>
      </x:c>
      <x:c r="F277" s="10" t="str">
        <x:v>P2</x:v>
      </x:c>
      <x:c r="G277" s="9" t="str">
        <x:v>验证场次实际开播时间采用业务发生时点</x:v>
      </x:c>
      <x:c r="H277" s="9" t="str">
        <x:v>场次实际开播时间</x:v>
      </x:c>
      <x:c r="I277" s="9" t="str">
        <x:v>1. 执行角色为公会长
2. 已登录目标公会的公会长账号，打开直播场次详情页并完成下列数据和页面状态准备
3. 场次S1于9月15日10:00开播，11:00结束</x:v>
      </x:c>
      <x:c r="J277" s="9" t="str">
        <x:v>1. 查看直播场次详情页</x:v>
      </x:c>
      <x:c r="K277" s="9" t="str">
        <x:v>开播时间对应9月15日10:00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来源（当前证据）：liveshow-proto/MainBasis/统一需求文档.md；位置：REQ-bc39746dc10e；行3302
2. 规则：BR-d9e97c1ce231404a
3. 未动态验证</x:v>
      </x:c>
    </x:row>
    <x:row r="278" ht="115" customHeight="1">
      <x:c r="A278" s="10" t="n">
        <x:v>277</x:v>
      </x:c>
      <x:c r="B278" s="10" t="str">
        <x:v>GUILD-02-0091</x:v>
      </x:c>
      <x:c r="C278" s="10" t="str">
        <x:v>主播管理</x:v>
      </x:c>
      <x:c r="D278" s="10" t="str">
        <x:v>入会申请（公会长视角）</x:v>
      </x:c>
      <x:c r="E278" s="10" t="str">
        <x:v>逻辑校验</x:v>
      </x:c>
      <x:c r="F278" s="10" t="str">
        <x:v>P1</x:v>
      </x:c>
      <x:c r="G278" s="9" t="str">
        <x:v>验证入会审核状态数量独立统计</x:v>
      </x:c>
      <x:c r="H278" s="9" t="str">
        <x:v>入会状态数量</x:v>
      </x:c>
      <x:c r="I278" s="9" t="str">
        <x:v>1. 执行角色为公会长
2. 已登录目标公会的公会长账号，打开入会申请页并完成下列数据和页面状态准备
3. 本公会待公会审核2单、平台审核中1单、已通过4单、已驳回5单</x:v>
      </x:c>
      <x:c r="J278" s="9" t="str">
        <x:v>1. 查看入会申请页</x:v>
      </x:c>
      <x:c r="K278" s="9" t="str">
        <x:v>审核中数量显示3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来源（当前证据）：liveshow-proto/MainBasis/统一需求文档.md；位置：REQ-7c3feec7bb55；行2790
2. 规则：BR-5545a4123d706985
3. 未动态验证</x:v>
      </x:c>
    </x:row>
    <x:row r="279" ht="100" customHeight="1">
      <x:c r="A279" s="10" t="n">
        <x:v>278</x:v>
      </x:c>
      <x:c r="B279" s="10" t="str">
        <x:v>GUILD-02-0092</x:v>
      </x:c>
      <x:c r="C279" s="10" t="str">
        <x:v>主播管理</x:v>
      </x:c>
      <x:c r="D279" s="10" t="str">
        <x:v>退会申请（公会长视角）</x:v>
      </x:c>
      <x:c r="E279" s="10" t="str">
        <x:v>逻辑校验</x:v>
      </x:c>
      <x:c r="F279" s="10" t="str">
        <x:v>P1</x:v>
      </x:c>
      <x:c r="G279" s="9" t="str">
        <x:v>验证退会审核数量只计待公会处理</x:v>
      </x:c>
      <x:c r="H279" s="9" t="str">
        <x:v>退会状态数量</x:v>
      </x:c>
      <x:c r="I279" s="9" t="str">
        <x:v>1. 执行角色为公会长
2. 已登录目标公会的公会长账号，打开退会申请页并完成下列数据和页面状态准备
3. 本公会待审核2单、已通过3单、已驳回4单</x:v>
      </x:c>
      <x:c r="J279" s="9" t="str">
        <x:v>1. 查看退会申请页</x:v>
      </x:c>
      <x:c r="K279" s="9" t="str">
        <x:v>审核中数量显示2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来源（当前证据）：liveshow-proto/MainBasis/统一需求文档.md；位置：REQ-34f3e2e1e60c；行2842
2. 规则：BR-d5fdabceb9e59941
3. 未动态验证</x:v>
      </x:c>
    </x:row>
    <x:row r="280" ht="115" customHeight="1">
      <x:c r="A280" s="10" t="n">
        <x:v>279</x:v>
      </x:c>
      <x:c r="B280" s="10" t="str">
        <x:v>GUILD-02-0093</x:v>
      </x:c>
      <x:c r="C280" s="10" t="str">
        <x:v>主播管理</x:v>
      </x:c>
      <x:c r="D280" s="10" t="str">
        <x:v>主播列表（公会长视角）</x:v>
      </x:c>
      <x:c r="E280" s="10" t="str">
        <x:v>逻辑校验</x:v>
      </x:c>
      <x:c r="F280" s="10" t="str">
        <x:v>P1</x:v>
      </x:c>
      <x:c r="G280" s="9" t="str">
        <x:v>验证成员人数按有效公会关系区分</x:v>
      </x:c>
      <x:c r="H280" s="9" t="str">
        <x:v>当前在会成员人数</x:v>
      </x:c>
      <x:c r="I280" s="9" t="str">
        <x:v>1. 执行角色为公会长
2. 已登录目标公会的公会长账号，打开主播列表页并完成下列数据和页面状态准备
3. 本公会当前在会2人、历史已退会3人，另有普通用户待审1人</x:v>
      </x:c>
      <x:c r="J280" s="9" t="str">
        <x:v>1. 查看主播列表页</x:v>
      </x:c>
      <x:c r="K280" s="9" t="str">
        <x:v>在会人数显示2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来源（当前证据）：liveshow-proto/MainBasis/统一需求文档.md；位置：REQ-0d0a38bc020e；行2886
2. 规则：BR-1514fd1f34024b37
3. 未动态验证</x:v>
      </x:c>
    </x:row>
    <x:row r="281" ht="100" customHeight="1">
      <x:c r="A281" s="10" t="n">
        <x:v>280</x:v>
      </x:c>
      <x:c r="B281" s="10" t="str">
        <x:v>GUILD-02-0094</x:v>
      </x:c>
      <x:c r="C281" s="10" t="str">
        <x:v>主播管理</x:v>
      </x:c>
      <x:c r="D281" s="10" t="str">
        <x:v>入会申请（公会长视角）</x:v>
      </x:c>
      <x:c r="E281" s="10" t="str">
        <x:v>逻辑校验</x:v>
      </x:c>
      <x:c r="F281" s="10" t="str">
        <x:v>P1</x:v>
      </x:c>
      <x:c r="G281" s="9" t="str">
        <x:v>验证公会驳回后再次申请重新进入审核</x:v>
      </x:c>
      <x:c r="H281" s="9" t="str">
        <x:v>重新申请单据独立</x:v>
      </x:c>
      <x:c r="I281" s="9" t="str">
        <x:v>1. 执行角色为公会长
2. 已登录目标公会的公会长账号，打开入会申请页并完成下列数据和页面状态准备
3. 用户甲旧申请A已公会驳回，现已重新提交申请B</x:v>
      </x:c>
      <x:c r="J281" s="9" t="str">
        <x:v>1. 查看入会申请页
2. 切换审核中</x:v>
      </x:c>
      <x:c r="K281" s="9" t="str">
        <x:v>新申请B处于待公会审核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来源（当前证据）：liveshow-proto/MainBasis/统一需求文档.md；位置：REQ-347fa03b678b；行2800
2. 规则：BR-065b8c1b8df08c24
3. 未动态验证</x:v>
      </x:c>
    </x:row>
    <x:row r="282" ht="100" customHeight="1">
      <x:c r="A282" s="10" t="n">
        <x:v>281</x:v>
      </x:c>
      <x:c r="B282" s="10" t="str">
        <x:v>GUILD-02-0095</x:v>
      </x:c>
      <x:c r="C282" s="10" t="str">
        <x:v>主播管理</x:v>
      </x:c>
      <x:c r="D282" s="10" t="str">
        <x:v>入会申请详情（公会长视角）</x:v>
      </x:c>
      <x:c r="E282" s="10" t="str">
        <x:v>逻辑校验</x:v>
      </x:c>
      <x:c r="F282" s="10" t="str">
        <x:v>P1</x:v>
      </x:c>
      <x:c r="G282" s="9" t="str">
        <x:v>验证公会通过后审核进度停在平台节点</x:v>
      </x:c>
      <x:c r="H282" s="9" t="str">
        <x:v>入会审核节点进度</x:v>
      </x:c>
      <x:c r="I282" s="9" t="str">
        <x:v>1. 执行角色为公会长
2. 已登录目标公会的公会长账号，打开入会申请详情页并完成下列数据和页面状态准备
3. 公会已通过本申请，平台尚未处理</x:v>
      </x:c>
      <x:c r="J282" s="9" t="str">
        <x:v>1. 查看入会申请详情页</x:v>
      </x:c>
      <x:c r="K282" s="9" t="str">
        <x:v>当前节点显示平台审核中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来源（当前证据）：liveshow-proto/MainBasis/统一需求文档.md；位置：REQ-14cedfd463b3；行2821
2. 规则：BR-e080dc1506283259
3. 未动态验证</x:v>
      </x:c>
    </x:row>
    <x:row r="283" ht="85" customHeight="1">
      <x:c r="A283" s="10" t="n">
        <x:v>282</x:v>
      </x:c>
      <x:c r="B283" s="10" t="str">
        <x:v>GUILD-02-0096</x:v>
      </x:c>
      <x:c r="C283" s="10" t="str">
        <x:v>主播管理</x:v>
      </x:c>
      <x:c r="D283" s="10" t="str">
        <x:v>退会申请详情（公会长视角）</x:v>
      </x:c>
      <x:c r="E283" s="10" t="str">
        <x:v>逻辑校验</x:v>
      </x:c>
      <x:c r="F283" s="10" t="str">
        <x:v>P1</x:v>
      </x:c>
      <x:c r="G283" s="9" t="str">
        <x:v>验证退会驳回结果展示当前申请状态</x:v>
      </x:c>
      <x:c r="H283" s="9" t="str">
        <x:v>退会已驳回状态</x:v>
      </x:c>
      <x:c r="I283" s="9" t="str">
        <x:v>1. 执行角色为公会长
2. 已登录目标公会的公会长账号，打开退会申请详情页并完成下列数据和页面状态准备
3. 当前退会申请已被公会驳回</x:v>
      </x:c>
      <x:c r="J283" s="9" t="str">
        <x:v>1. 查看退会申请详情页</x:v>
      </x:c>
      <x:c r="K283" s="9" t="str">
        <x:v>申请状态显示已驳回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来源（当前证据）：liveshow-proto/MainBasis/统一需求文档.md；位置：REQ-7cd6e6046561；行2867
2. 规则：BR-a0ca645901880869
3. 未动态验证</x:v>
      </x:c>
    </x:row>
    <x:row r="284" ht="115" customHeight="1">
      <x:c r="A284" s="10" t="n">
        <x:v>283</x:v>
      </x:c>
      <x:c r="B284" s="10" t="str">
        <x:v>GUILD-02-0097</x:v>
      </x:c>
      <x:c r="C284" s="10" t="str">
        <x:v>主播管理</x:v>
      </x:c>
      <x:c r="D284" s="10" t="str">
        <x:v>主播业绩（公会长视角）</x:v>
      </x:c>
      <x:c r="E284" s="10" t="str">
        <x:v>逻辑校验</x:v>
      </x:c>
      <x:c r="F284" s="10" t="str">
        <x:v>P1</x:v>
      </x:c>
      <x:c r="G284" s="9" t="str">
        <x:v>验证周期内多天达标的主播按人去重</x:v>
      </x:c>
      <x:c r="H284" s="9" t="str">
        <x:v>公会周期达标人数</x:v>
      </x:c>
      <x:c r="I284" s="9" t="str">
        <x:v>1. 执行角色为公会长
2. 已登录目标公会的公会长账号，打开主播业绩页并完成下列数据和页面状态准备
3. 甲两天均达标，乙一天达标，丙未达标；筛选范围覆盖上述两日</x:v>
      </x:c>
      <x:c r="J284" s="9" t="str">
        <x:v>1. 查看主播业绩页</x:v>
      </x:c>
      <x:c r="K284" s="9" t="str">
        <x:v>达标人数显示2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来源（当前证据）：liveshow-proto/MainBasis/统一需求文档.md；位置：REQ-ad5f3403fb33；行2927
2. 规则：BR-ccbcda78d9a03e36
3. 未动态验证</x:v>
      </x:c>
    </x:row>
    <x:row r="285" ht="85" customHeight="1">
      <x:c r="A285" s="10" t="n">
        <x:v>284</x:v>
      </x:c>
      <x:c r="B285" s="10" t="str">
        <x:v>GUILD-05-0053</x:v>
      </x:c>
      <x:c r="C285" s="10" t="str">
        <x:v>数据与收益</x:v>
      </x:c>
      <x:c r="D285" s="10" t="str">
        <x:v>公会业绩（公会长视角）</x:v>
      </x:c>
      <x:c r="E285" s="10" t="str">
        <x:v>功能需求</x:v>
      </x:c>
      <x:c r="F285" s="10" t="str">
        <x:v>P2</x:v>
      </x:c>
      <x:c r="G285" s="9" t="str">
        <x:v>验证公会业绩首次进入选择本月</x:v>
      </x:c>
      <x:c r="H285" s="9" t="str">
        <x:v>公会业绩默认日期</x:v>
      </x:c>
      <x:c r="I285" s="9" t="str">
        <x:v>1. 执行角色为公会长
2. 已登录目标公会的公会长账号，打开公会业绩页并完成下列数据和页面状态准备</x:v>
      </x:c>
      <x:c r="J285" s="9" t="str">
        <x:v>1. 查看公会业绩页</x:v>
      </x:c>
      <x:c r="K285" s="9" t="str">
        <x:v>日数据范围默认本月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来源（当前证据）：liveshow-proto/MainBasis/统一需求文档.md；位置：REQ-d37771cb543f；行3366
2. 规则：BR-388a506702f8592e
3. 未动态验证</x:v>
      </x:c>
    </x:row>
    <x:row r="286" ht="100" customHeight="1">
      <x:c r="A286" s="10" t="n">
        <x:v>285</x:v>
      </x:c>
      <x:c r="B286" s="10" t="str">
        <x:v>GUILD-05-0054</x:v>
      </x:c>
      <x:c r="C286" s="10" t="str">
        <x:v>数据与收益</x:v>
      </x:c>
      <x:c r="D286" s="10" t="str">
        <x:v>公会业绩（公会长视角）</x:v>
      </x:c>
      <x:c r="E286" s="10" t="str">
        <x:v>逻辑校验</x:v>
      </x:c>
      <x:c r="F286" s="10" t="str">
        <x:v>P1</x:v>
      </x:c>
      <x:c r="G286" s="9" t="str">
        <x:v>验证月行开播人数对同主播去重</x:v>
      </x:c>
      <x:c r="H286" s="9" t="str">
        <x:v>月业绩开播人数</x:v>
      </x:c>
      <x:c r="I286" s="9" t="str">
        <x:v>1. 执行角色为公会长
2. 已登录目标公会的公会长账号，打开公会业绩页并完成下列数据和页面状态准备
3. 9月甲完成3场，乙完成1场，其他主播无开播</x:v>
      </x:c>
      <x:c r="J286" s="9" t="str">
        <x:v>1. 查看公会业绩页
2. 切换月数据</x:v>
      </x:c>
      <x:c r="K286" s="9" t="str">
        <x:v>9月行开播人数显示2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来源（当前证据）：liveshow-proto/MainBasis/统一需求文档.md；位置：REQ-32710a91047a；行3382
2. 规则：BR-901ef3a3f0b6d2f0
3. 未动态验证</x:v>
      </x:c>
    </x:row>
    <x:row r="287" ht="100" customHeight="1">
      <x:c r="A287" s="10" t="n">
        <x:v>286</x:v>
      </x:c>
      <x:c r="B287" s="10" t="str">
        <x:v>GUILD-05-0055</x:v>
      </x:c>
      <x:c r="C287" s="10" t="str">
        <x:v>数据与收益</x:v>
      </x:c>
      <x:c r="D287" s="10" t="str">
        <x:v>公会业绩（公会长视角）</x:v>
      </x:c>
      <x:c r="E287" s="10" t="str">
        <x:v>逻辑校验</x:v>
      </x:c>
      <x:c r="F287" s="10" t="str">
        <x:v>P1</x:v>
      </x:c>
      <x:c r="G287" s="9" t="str">
        <x:v>验证日行业绩统计全部场次</x:v>
      </x:c>
      <x:c r="H287" s="9" t="str">
        <x:v>日业绩场次数</x:v>
      </x:c>
      <x:c r="I287" s="9" t="str">
        <x:v>1. 执行角色为公会长
2. 已登录目标公会的公会长账号，打开公会业绩页并完成下列数据和页面状态准备
3. 9月15日甲完成2场、乙完成1场，无其他场次</x:v>
      </x:c>
      <x:c r="J287" s="9" t="str">
        <x:v>1. 查看公会业绩页
2. 切换日数据</x:v>
      </x:c>
      <x:c r="K287" s="9" t="str">
        <x:v>9月15日行直播场次显示3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来源（当前证据）：liveshow-proto/MainBasis/统一需求文档.md；位置：REQ-c1a6e3b703bb；行3372
2. 规则：BR-1eb95afc81f51259
3. 未动态验证</x:v>
      </x:c>
    </x:row>
    <x:row r="288" ht="100" customHeight="1">
      <x:c r="A288" s="10" t="n">
        <x:v>287</x:v>
      </x:c>
      <x:c r="B288" s="10" t="str">
        <x:v>GUILD-05-0056</x:v>
      </x:c>
      <x:c r="C288" s="10" t="str">
        <x:v>数据与收益</x:v>
      </x:c>
      <x:c r="D288" s="10" t="str">
        <x:v>公会业绩（公会长视角）</x:v>
      </x:c>
      <x:c r="E288" s="10" t="str">
        <x:v>逻辑校验</x:v>
      </x:c>
      <x:c r="F288" s="10" t="str">
        <x:v>P1</x:v>
      </x:c>
      <x:c r="G288" s="9" t="str">
        <x:v>验证日行收益不显示线下分成</x:v>
      </x:c>
      <x:c r="H288" s="9" t="str">
        <x:v>日业绩收益单位</x:v>
      </x:c>
      <x:c r="I288" s="9" t="str">
        <x:v>1. 执行角色为公会长
2. 已登录目标公会的公会长账号，打开公会业绩页并完成下列数据和页面状态准备
3. 9月15日甲主播收益100金币、乙200金币，财务分成10USD</x:v>
      </x:c>
      <x:c r="J288" s="9" t="str">
        <x:v>1. 查看公会业绩页
2. 切换日数据</x:v>
      </x:c>
      <x:c r="K288" s="9" t="str">
        <x:v>9月15日行收益 = 300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来源（当前证据）：liveshow-proto/MainBasis/统一需求文档.md；位置：REQ-90228a85fe97；行3376
2. 规则：BR-e575b520777486d0
3. 未动态验证</x:v>
      </x:c>
    </x:row>
    <x:row r="289" ht="100" customHeight="1">
      <x:c r="A289" s="10" t="n">
        <x:v>288</x:v>
      </x:c>
      <x:c r="B289" s="10" t="str">
        <x:v>GUILD-05-0057</x:v>
      </x:c>
      <x:c r="C289" s="10" t="str">
        <x:v>数据与收益</x:v>
      </x:c>
      <x:c r="D289" s="10" t="str">
        <x:v>公会业绩（公会长视角）</x:v>
      </x:c>
      <x:c r="E289" s="10" t="str">
        <x:v>功能需求</x:v>
      </x:c>
      <x:c r="F289" s="10" t="str">
        <x:v>P2</x:v>
      </x:c>
      <x:c r="G289" s="9" t="str">
        <x:v>验证切换业绩卡片更新趋势指标</x:v>
      </x:c>
      <x:c r="H289" s="9" t="str">
        <x:v>业绩趋势指标选择</x:v>
      </x:c>
      <x:c r="I289" s="9" t="str">
        <x:v>1. 执行角色为公会长
2. 已登录目标公会的公会长账号，打开公会业绩页并完成下列数据和页面状态准备
3. 当前收益趋势，范围内存在直播场次数据</x:v>
      </x:c>
      <x:c r="J289" s="9" t="str">
        <x:v>1. 查看公会业绩页
2. 点击直播场次指标卡片</x:v>
      </x:c>
      <x:c r="K289" s="9" t="str">
        <x:v>趋势显示直播场次数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来源（当前证据）：liveshow-proto/MainBasis/统一需求文档.md；位置：REQ-1e99a6258a1d；行3400
2. 规则：BR-449da5440d0ebcd4
3. 未动态验证</x:v>
      </x:c>
    </x:row>
    <x:row r="290" ht="100" customHeight="1">
      <x:c r="A290" s="10" t="n">
        <x:v>289</x:v>
      </x:c>
      <x:c r="B290" s="10" t="str">
        <x:v>GUILD-05-0058</x:v>
      </x:c>
      <x:c r="C290" s="10" t="str">
        <x:v>数据与收益</x:v>
      </x:c>
      <x:c r="D290" s="10" t="str">
        <x:v>直播场次详情（公会长视角）</x:v>
      </x:c>
      <x:c r="E290" s="10" t="str">
        <x:v>逻辑校验</x:v>
      </x:c>
      <x:c r="F290" s="10" t="str">
        <x:v>P1</x:v>
      </x:c>
      <x:c r="G290" s="9" t="str">
        <x:v>验证场次详情重复进房只计一名观众</x:v>
      </x:c>
      <x:c r="H290" s="9" t="str">
        <x:v>详情观众去重</x:v>
      </x:c>
      <x:c r="I290" s="9" t="str">
        <x:v>1. 执行角色为公会长
2. 已登录目标公会的公会长账号，打开直播场次详情页并完成下列数据和页面状态准备
3. 同场甲进出3次，乙进入1次，均为真实用户</x:v>
      </x:c>
      <x:c r="J290" s="9" t="str">
        <x:v>1. 查看直播场次详情页</x:v>
      </x:c>
      <x:c r="K290" s="9" t="str">
        <x:v>观众数量显示2人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来源（当前证据）：liveshow-proto/MainBasis/统一需求文档.md；位置：REQ-b6422feedd6e；行3324
2. 规则：BR-a000b4b9a1aac198
3. 未动态验证</x:v>
      </x:c>
    </x:row>
    <x:row r="291" ht="100" customHeight="1">
      <x:c r="A291" s="10" t="n">
        <x:v>290</x:v>
      </x:c>
      <x:c r="B291" s="10" t="str">
        <x:v>GUILD-05-0059</x:v>
      </x:c>
      <x:c r="C291" s="10" t="str">
        <x:v>数据与收益</x:v>
      </x:c>
      <x:c r="D291" s="10" t="str">
        <x:v>直播场次详情（公会长视角）</x:v>
      </x:c>
      <x:c r="E291" s="10" t="str">
        <x:v>逻辑校验</x:v>
      </x:c>
      <x:c r="F291" s="10" t="str">
        <x:v>P1</x:v>
      </x:c>
      <x:c r="G291" s="9" t="str">
        <x:v>验证场次详情收礼数量排除失败赠送</x:v>
      </x:c>
      <x:c r="H291" s="9" t="str">
        <x:v>详情成功礼物件数</x:v>
      </x:c>
      <x:c r="I291" s="9" t="str">
        <x:v>1. 执行角色为公会长
2. 已登录目标公会的公会长账号，打开直播场次详情页并完成下列数据和页面状态准备
3. 本场甲成功送3件、乙成功送2件，另有失败4件</x:v>
      </x:c>
      <x:c r="J291" s="9" t="str">
        <x:v>1. 查看直播场次详情页</x:v>
      </x:c>
      <x:c r="K291" s="9" t="str">
        <x:v>礼物数量显示5件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来源（当前证据）：liveshow-proto/MainBasis/统一需求文档.md；位置：REQ-f6239cd9ae7b；行3328
2. 规则：BR-b9aabf14757b52fd
3. 未动态验证</x:v>
      </x:c>
    </x:row>
    <x:row r="292" ht="100" customHeight="1">
      <x:c r="A292" s="10" t="n">
        <x:v>291</x:v>
      </x:c>
      <x:c r="B292" s="10" t="str">
        <x:v>GUILD-05-0060</x:v>
      </x:c>
      <x:c r="C292" s="10" t="str">
        <x:v>数据与收益</x:v>
      </x:c>
      <x:c r="D292" s="10" t="str">
        <x:v>直播场次详情（公会长视角）</x:v>
      </x:c>
      <x:c r="E292" s="10" t="str">
        <x:v>逻辑校验</x:v>
      </x:c>
      <x:c r="F292" s="10" t="str">
        <x:v>P1</x:v>
      </x:c>
      <x:c r="G292" s="9" t="str">
        <x:v>验证赠礼详情金额按成交单价乘件数</x:v>
      </x:c>
      <x:c r="H292" s="9" t="str">
        <x:v>详情单笔礼物消费</x:v>
      </x:c>
      <x:c r="I292" s="9" t="str">
        <x:v>1. 执行角色为公会长
2. 已登录目标公会的公会长账号，打开直播场次详情页并完成下列数据和页面状态准备
3. 记录A成交单价10金币、数量3，当前礼物价20金币</x:v>
      </x:c>
      <x:c r="J292" s="9" t="str">
        <x:v>1. 查看直播场次详情页
2. 点击记录A</x:v>
      </x:c>
      <x:c r="K292" s="9" t="str">
        <x:v>消费金币 = 30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来源（当前证据）：liveshow-proto/MainBasis/统一需求文档.md；位置：REQ-64e41a53b88f；行3314
2. 规则：BR-a42f6117f884101e
3. 未动态验证</x:v>
      </x:c>
    </x:row>
    <x:row r="293" ht="100" customHeight="1">
      <x:c r="A293" s="10" t="n">
        <x:v>292</x:v>
      </x:c>
      <x:c r="B293" s="10" t="str">
        <x:v>GUILD-05-0061</x:v>
      </x:c>
      <x:c r="C293" s="10" t="str">
        <x:v>数据与收益</x:v>
      </x:c>
      <x:c r="D293" s="10" t="str">
        <x:v>直播场次详情（公会长视角）</x:v>
      </x:c>
      <x:c r="E293" s="10" t="str">
        <x:v>功能需求</x:v>
      </x:c>
      <x:c r="F293" s="10" t="str">
        <x:v>P2</x:v>
      </x:c>
      <x:c r="G293" s="9" t="str">
        <x:v>验证赠礼明细时间采用成功赠送时点</x:v>
      </x:c>
      <x:c r="H293" s="9" t="str">
        <x:v>详情赠送成功时间</x:v>
      </x:c>
      <x:c r="I293" s="9" t="str">
        <x:v>1. 执行角色为公会长
2. 已登录目标公会的公会长账号，打开直播场次详情页并完成下列数据和页面状态准备
3. 记录A于9月15日10:00成功赠送，9月16日查看</x:v>
      </x:c>
      <x:c r="J293" s="9" t="str">
        <x:v>1. 查看直播场次详情页
2. 点击记录A</x:v>
      </x:c>
      <x:c r="K293" s="9" t="str">
        <x:v>赠送时间对应9月15日10:00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来源（当前证据）：liveshow-proto/MainBasis/统一需求文档.md；位置：REQ-55e89c691eee；行3306、REQ-11c07952190f；行3310
2. 规则：BR-105421f0dbe5868e
3. 未动态验证</x:v>
      </x:c>
    </x:row>
    <x:row r="294" ht="100" customHeight="1">
      <x:c r="A294" s="10" t="n">
        <x:v>293</x:v>
      </x:c>
      <x:c r="B294" s="10" t="str">
        <x:v>GUILD-05-0062</x:v>
      </x:c>
      <x:c r="C294" s="10" t="str">
        <x:v>数据与收益</x:v>
      </x:c>
      <x:c r="D294" s="10" t="str">
        <x:v>直播记录（公会长视角）</x:v>
      </x:c>
      <x:c r="E294" s="10" t="str">
        <x:v>逻辑校验</x:v>
      </x:c>
      <x:c r="F294" s="10" t="str">
        <x:v>P1</x:v>
      </x:c>
      <x:c r="G294" s="9" t="str">
        <x:v>验证多主播场次各自显示所属主播</x:v>
      </x:c>
      <x:c r="H294" s="9" t="str">
        <x:v>多主播记录身份</x:v>
      </x:c>
      <x:c r="I294" s="9" t="str">
        <x:v>1. 执行角色为公会长
2. 已登录目标公会的公会长账号，打开直播记录页并完成下列数据和页面状态准备
3. 当前范围包括甲H001与乙H002，甲的场次S1、乙的S2</x:v>
      </x:c>
      <x:c r="J294" s="9" t="str">
        <x:v>1. 查看直播记录页</x:v>
      </x:c>
      <x:c r="K294" s="9" t="str">
        <x:v>S2对应主播乙H002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来源（当前证据）：liveshow-proto/MainBasis/统一需求文档.md；位置：REQ-1221acc6aa29；行3271
2. 规则：BR-2331b984f43c69de
3. 未动态验证</x:v>
      </x:c>
    </x:row>
    <x:row r="295" ht="100" customHeight="1">
      <x:c r="A295" s="10" t="n">
        <x:v>294</x:v>
      </x:c>
      <x:c r="B295" s="10" t="str">
        <x:v>GUILD-05-0063</x:v>
      </x:c>
      <x:c r="C295" s="10" t="str">
        <x:v>数据与收益</x:v>
      </x:c>
      <x:c r="D295" s="10" t="str">
        <x:v>直播记录（公会长视角）</x:v>
      </x:c>
      <x:c r="E295" s="10" t="str">
        <x:v>功能需求</x:v>
      </x:c>
      <x:c r="F295" s="10" t="str">
        <x:v>P2</x:v>
      </x:c>
      <x:c r="G295" s="9" t="str">
        <x:v>验证场次时长按小时分钟显示</x:v>
      </x:c>
      <x:c r="H295" s="9" t="str">
        <x:v>公会场次时长</x:v>
      </x:c>
      <x:c r="I295" s="9" t="str">
        <x:v>1. 执行角色为公会长
2. 已登录目标公会的公会长账号，打开直播记录页并完成下列数据和页面状态准备
3. 目标场次已结束，累计直播90分钟</x:v>
      </x:c>
      <x:c r="J295" s="9" t="str">
        <x:v>1. 查看直播记录页</x:v>
      </x:c>
      <x:c r="K295" s="9" t="str">
        <x:v>该场次时长显示1小时30分钟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来源（当前证据）：liveshow-proto/MainBasis/统一需求文档.md；位置：REQ-dd0807235d97；行3275
2. 规则：BR-028c6e3e486683e4
3. 未动态验证</x:v>
      </x:c>
    </x:row>
    <x:row r="296" ht="100" customHeight="1">
      <x:c r="A296" s="10" t="n">
        <x:v>295</x:v>
      </x:c>
      <x:c r="B296" s="10" t="str">
        <x:v>GUILD-05-0064</x:v>
      </x:c>
      <x:c r="C296" s="10" t="str">
        <x:v>数据与收益</x:v>
      </x:c>
      <x:c r="D296" s="10" t="str">
        <x:v>直播记录（公会长视角）</x:v>
      </x:c>
      <x:c r="E296" s="10" t="str">
        <x:v>逻辑校验</x:v>
      </x:c>
      <x:c r="F296" s="10" t="str">
        <x:v>P1</x:v>
      </x:c>
      <x:c r="G296" s="9" t="str">
        <x:v>验证更换主播筛选后收益范围更新</x:v>
      </x:c>
      <x:c r="H296" s="9" t="str">
        <x:v>公会场次汇总筛选</x:v>
      </x:c>
      <x:c r="I296" s="9" t="str">
        <x:v>1. 执行角色为公会长
2. 已登录目标公会的公会长账号，打开直播记录页并完成下列数据和页面状态准备
3. 同日甲收益100金币、乙200金币，默认全部主播</x:v>
      </x:c>
      <x:c r="J296" s="9" t="str">
        <x:v>1. 查看直播记录页
2. 点击主播筛选
3. 选择仅主播甲
4. 点击完成</x:v>
      </x:c>
      <x:c r="K296" s="9" t="str">
        <x:v>收益汇总显示100金币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来源（当前证据）：liveshow-proto/MainBasis/统一需求文档.md；位置：REQ-56ed49642530；行3283
2. 规则：BR-2def9accb6a80b7c
3. 未动态验证</x:v>
      </x:c>
    </x:row>
    <x:row r="297" ht="100" customHeight="1">
      <x:c r="A297" s="10" t="n">
        <x:v>296</x:v>
      </x:c>
      <x:c r="B297" s="10" t="str">
        <x:v>GUILD-03-0074</x:v>
      </x:c>
      <x:c r="C297" s="10" t="str">
        <x:v>运营工具</x:v>
      </x:c>
      <x:c r="D297" s="10" t="str">
        <x:v>消息详情（公会长视角）</x:v>
      </x:c>
      <x:c r="E297" s="10" t="str">
        <x:v>逻辑校验</x:v>
      </x:c>
      <x:c r="F297" s="10" t="str">
        <x:v>P1</x:v>
      </x:c>
      <x:c r="G297" s="9" t="str">
        <x:v>验证群发历史人数不随退会减少</x:v>
      </x:c>
      <x:c r="H297" s="9" t="str">
        <x:v>消息历史接收人数</x:v>
      </x:c>
      <x:c r="I297" s="9" t="str">
        <x:v>1. 执行角色为公会长
2. 已登录目标公会的公会长账号，打开消息详情页并完成下列数据和页面状态准备
3. 消息N发送时3名接收人，随后其中1人退会</x:v>
      </x:c>
      <x:c r="J297" s="9" t="str">
        <x:v>1. 查看消息详情页</x:v>
      </x:c>
      <x:c r="K297" s="9" t="str">
        <x:v>消息N接收人数仍为3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来源（当前证据）：liveshow-proto/MainBasis/统一需求文档.md；位置：REQ-bea99a86a3b3；行3071
2. 规则：BR-c34af269866f60d2
3. 未动态验证</x:v>
      </x:c>
    </x:row>
    <x:row r="298" ht="100" customHeight="1">
      <x:c r="A298" s="10" t="n">
        <x:v>297</x:v>
      </x:c>
      <x:c r="B298" s="10" t="str">
        <x:v>GUILD-03-0075</x:v>
      </x:c>
      <x:c r="C298" s="10" t="str">
        <x:v>运营工具</x:v>
      </x:c>
      <x:c r="D298" s="10" t="str">
        <x:v>消息详情（公会长视角）</x:v>
      </x:c>
      <x:c r="E298" s="10" t="str">
        <x:v>逻辑校验</x:v>
      </x:c>
      <x:c r="F298" s="10" t="str">
        <x:v>P1</x:v>
      </x:c>
      <x:c r="G298" s="9" t="str">
        <x:v>验证改名后历史接收人使用发送时名称</x:v>
      </x:c>
      <x:c r="H298" s="9" t="str">
        <x:v>消息历史接收名称</x:v>
      </x:c>
      <x:c r="I298" s="9" t="str">
        <x:v>1. 执行角色为公会长
2. 已登录目标公会的公会长账号，打开消息详情页并完成下列数据和页面状态准备
3. 发送时接收人名称甲，随后改名乙</x:v>
      </x:c>
      <x:c r="J298" s="9" t="str">
        <x:v>1. 查看消息详情页</x:v>
      </x:c>
      <x:c r="K298" s="9" t="str">
        <x:v>该历史消息接收人名称显示甲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来源（当前证据）：liveshow-proto/MainBasis/统一需求文档.md；位置：REQ-933d994eee0b；行3073
2. 规则：BR-a22913100861635b
3. 未动态验证</x:v>
      </x:c>
    </x:row>
    <x:row r="299" ht="115" customHeight="1">
      <x:c r="A299" s="10" t="n">
        <x:v>298</x:v>
      </x:c>
      <x:c r="B299" s="10" t="str">
        <x:v>GUILD-03-0076</x:v>
      </x:c>
      <x:c r="C299" s="10" t="str">
        <x:v>运营工具</x:v>
      </x:c>
      <x:c r="D299" s="10" t="str">
        <x:v>运营账号主页（公会长视角）</x:v>
      </x:c>
      <x:c r="E299" s="10" t="str">
        <x:v>逻辑校验</x:v>
      </x:c>
      <x:c r="F299" s="10" t="str">
        <x:v>P1</x:v>
      </x:c>
      <x:c r="G299" s="9" t="str">
        <x:v>验证运营余额按成功发放减消费</x:v>
      </x:c>
      <x:c r="H299" s="9" t="str">
        <x:v>运营虚拟金币可用余额</x:v>
      </x:c>
      <x:c r="I299" s="9" t="str">
        <x:v>1. 执行角色为公会长
2. 已登录目标公会的公会长账号，打开运营账号主页页并完成下列数据和页面状态准备
3. 累计成功发放1000金币、成功消费200金币，另有失败发放100与失败消费50</x:v>
      </x:c>
      <x:c r="J299" s="9" t="str">
        <x:v>1. 查看运营账号主页页</x:v>
      </x:c>
      <x:c r="K299" s="9" t="str">
        <x:v>账户余额 = 800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来源（当前证据）：liveshow-proto/MainBasis/统一需求文档.md；位置：REQ-829bf72e5c0a；行3155
2. 规则：BR-c381eed54dd4b7f1
3. 未动态验证</x:v>
      </x:c>
    </x:row>
    <x:row r="300" ht="100" customHeight="1">
      <x:c r="A300" s="10" t="n">
        <x:v>299</x:v>
      </x:c>
      <x:c r="B300" s="10" t="str">
        <x:v>GUILD-03-0077</x:v>
      </x:c>
      <x:c r="C300" s="10" t="str">
        <x:v>运营工具</x:v>
      </x:c>
      <x:c r="D300" s="10" t="str">
        <x:v>运营账号主页（公会长视角）</x:v>
      </x:c>
      <x:c r="E300" s="10" t="str">
        <x:v>逻辑校验</x:v>
      </x:c>
      <x:c r="F300" s="10" t="str">
        <x:v>P1</x:v>
      </x:c>
      <x:c r="G300" s="9" t="str">
        <x:v>验证平台锁定不会改成禁用状态</x:v>
      </x:c>
      <x:c r="H300" s="9" t="str">
        <x:v>运营启停与管理锁定独立</x:v>
      </x:c>
      <x:c r="I300" s="9" t="str">
        <x:v>1. 执行角色为公会长
2. 已登录目标公会的公会长账号，打开运营账号主页页并完成下列数据和页面状态准备
3. 运营账号启用，平台随后锁定公会对它的管理权限</x:v>
      </x:c>
      <x:c r="J300" s="9" t="str">
        <x:v>1. 查看运营账号主页页</x:v>
      </x:c>
      <x:c r="K300" s="9" t="str">
        <x:v>启用状态仍为启用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来源（当前证据）：liveshow-proto/MainBasis/统一需求文档.md；位置：REQ-7646c62698b9；行3141
2. 规则：BR-e3728b38711733e4
3. 未动态验证</x:v>
      </x:c>
    </x:row>
    <x:row r="301" ht="115" customHeight="1">
      <x:c r="A301" s="10" t="n">
        <x:v>300</x:v>
      </x:c>
      <x:c r="B301" s="10" t="str">
        <x:v>GUILD-03-0078</x:v>
      </x:c>
      <x:c r="C301" s="10" t="str">
        <x:v>运营工具</x:v>
      </x:c>
      <x:c r="D301" s="10" t="str">
        <x:v>送礼记录（公会长视角）</x:v>
      </x:c>
      <x:c r="E301" s="10" t="str">
        <x:v>逻辑校验</x:v>
      </x:c>
      <x:c r="F301" s="10" t="str">
        <x:v>P1</x:v>
      </x:c>
      <x:c r="G301" s="9" t="str">
        <x:v>验证多笔虚拟赠礼按成交额汇总</x:v>
      </x:c>
      <x:c r="H301" s="9" t="str">
        <x:v>虚拟赠礼汇总消费</x:v>
      </x:c>
      <x:c r="I301" s="9" t="str">
        <x:v>1. 执行角色为公会长
2. 已登录目标公会的公会长账号，打开送礼记录页并完成下列数据和页面状态准备
3. 当前筛选成功记录A单价10数量3、B单价20数量2，失败记录C单价50数量1</x:v>
      </x:c>
      <x:c r="J301" s="9" t="str">
        <x:v>1. 查看送礼记录页</x:v>
      </x:c>
      <x:c r="K301" s="9" t="str">
        <x:v>总消费金币 = 70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来源（当前证据）：liveshow-proto/MainBasis/统一需求文档.md；位置：REQ-7d4a601f95fa；行3198
2. 规则：BR-fd53787d95a825f6
3. 未动态验证</x:v>
      </x:c>
    </x:row>
    <x:row r="302" ht="100" customHeight="1">
      <x:c r="A302" s="10" t="n">
        <x:v>301</x:v>
      </x:c>
      <x:c r="B302" s="10" t="str">
        <x:v>GUILD-03-0079</x:v>
      </x:c>
      <x:c r="C302" s="10" t="str">
        <x:v>运营工具</x:v>
      </x:c>
      <x:c r="D302" s="10" t="str">
        <x:v>送礼记录（公会长视角）</x:v>
      </x:c>
      <x:c r="E302" s="10" t="str">
        <x:v>逻辑校验</x:v>
      </x:c>
      <x:c r="F302" s="10" t="str">
        <x:v>P1</x:v>
      </x:c>
      <x:c r="G302" s="9" t="str">
        <x:v>验证运营赠礼明细使用实际接收主播</x:v>
      </x:c>
      <x:c r="H302" s="9" t="str">
        <x:v>虚拟赠礼接收对象</x:v>
      </x:c>
      <x:c r="I302" s="9" t="str">
        <x:v>1. 执行角色为公会长
2. 已登录目标公会的公会长账号，打开送礼记录页并完成下列数据和页面状态准备
3. 运营账号O001向主播H002送礼，另一主播H003未收礼</x:v>
      </x:c>
      <x:c r="J302" s="9" t="str">
        <x:v>1. 查看送礼记录页
2. 点击该笔送礼记录</x:v>
      </x:c>
      <x:c r="K302" s="9" t="str">
        <x:v>接收主播ID显示H002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来源（当前证据）：liveshow-proto/MainBasis/统一需求文档.md；位置：REQ-43f811c0f6ae；行3192
2. 规则：BR-606428ddf6acc772
3. 未动态验证</x:v>
      </x:c>
    </x:row>
    <x:row r="303" ht="100" customHeight="1">
      <x:c r="A303" s="10" t="n">
        <x:v>302</x:v>
      </x:c>
      <x:c r="B303" s="10" t="str">
        <x:v>GUILD-01-0039</x:v>
      </x:c>
      <x:c r="C303" s="10" t="str">
        <x:v>登录与首页</x:v>
      </x:c>
      <x:c r="D303" s="10" t="str">
        <x:v>通知消息（公会长视角）</x:v>
      </x:c>
      <x:c r="E303" s="10" t="str">
        <x:v>功能需求</x:v>
      </x:c>
      <x:c r="F303" s="10" t="str">
        <x:v>P2</x:v>
      </x:c>
      <x:c r="G303" s="9" t="str">
        <x:v>验证核对通知标题事件结果对应当前业务记录</x:v>
      </x:c>
      <x:c r="H303" s="9" t="str">
        <x:v>通知标题事件结果</x:v>
      </x:c>
      <x:c r="I303" s="9" t="str">
        <x:v>1. 执行角色为公会长
2. 已登录目标公会的公会长账号，打开通知消息页并完成下列数据和页面状态准备
3. 用户甲入会申请由平台驳回，已有对应通知N</x:v>
      </x:c>
      <x:c r="J303" s="9" t="str">
        <x:v>1. 查看通知消息页</x:v>
      </x:c>
      <x:c r="K303" s="9" t="str">
        <x:v>N标题表达入会申请的平台驳回结果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来源（当前证据）：liveshow-proto/MainBasis/统一需求文档.md；位置：REQ-4aa953016658；行2756
2. 规则：BR-d81a1147f073572b
3. 未动态验证</x:v>
      </x:c>
    </x:row>
    <x:row r="304" ht="100" customHeight="1">
      <x:c r="A304" s="10" t="n">
        <x:v>303</x:v>
      </x:c>
      <x:c r="B304" s="10" t="str">
        <x:v>GUILD-01-0040</x:v>
      </x:c>
      <x:c r="C304" s="10" t="str">
        <x:v>登录与首页</x:v>
      </x:c>
      <x:c r="D304" s="10" t="str">
        <x:v>通知消息（公会长视角）</x:v>
      </x:c>
      <x:c r="E304" s="10" t="str">
        <x:v>功能需求</x:v>
      </x:c>
      <x:c r="F304" s="10" t="str">
        <x:v>P2</x:v>
      </x:c>
      <x:c r="G304" s="9" t="str">
        <x:v>验证核对通知摘要对象对应当前业务记录</x:v>
      </x:c>
      <x:c r="H304" s="9" t="str">
        <x:v>通知摘要对象</x:v>
      </x:c>
      <x:c r="I304" s="9" t="str">
        <x:v>1. 执行角色为公会长
2. 已登录目标公会的公会长账号，打开通知消息页并完成下列数据和页面状态准备
3. 用户甲U001申请被驳回，另有乙U002已通过</x:v>
      </x:c>
      <x:c r="J304" s="9" t="str">
        <x:v>1. 查看通知消息页</x:v>
      </x:c>
      <x:c r="K304" s="9" t="str">
        <x:v>甲的驳回通知摘要对应甲U001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来源（当前证据）：liveshow-proto/MainBasis/统一需求文档.md；位置：REQ-2148c0172896；行2758
2. 规则：BR-abfb940ac0733733
3. 未动态验证</x:v>
      </x:c>
    </x:row>
    <x:row r="305" ht="100" customHeight="1">
      <x:c r="A305" s="10" t="n">
        <x:v>304</x:v>
      </x:c>
      <x:c r="B305" s="10" t="str">
        <x:v>GUILD-01-0041</x:v>
      </x:c>
      <x:c r="C305" s="10" t="str">
        <x:v>登录与首页</x:v>
      </x:c>
      <x:c r="D305" s="10" t="str">
        <x:v>通知详情（公会长视角）</x:v>
      </x:c>
      <x:c r="E305" s="10" t="str">
        <x:v>功能需求</x:v>
      </x:c>
      <x:c r="F305" s="10" t="str">
        <x:v>P2</x:v>
      </x:c>
      <x:c r="G305" s="9" t="str">
        <x:v>验证核对通知详情标题一致性对应当前业务记录</x:v>
      </x:c>
      <x:c r="H305" s="9" t="str">
        <x:v>通知详情标题一致性</x:v>
      </x:c>
      <x:c r="I305" s="9" t="str">
        <x:v>1. 执行角色为公会长
2. 已登录目标公会的公会长账号，打开通知详情页并完成下列数据和页面状态准备
3. 列表通知N标题为实际生成的入会审核结果，记录该标题</x:v>
      </x:c>
      <x:c r="J305" s="9" t="str">
        <x:v>1. 查看通知详情页</x:v>
      </x:c>
      <x:c r="K305" s="9" t="str">
        <x:v>详情标题与N的列表标题一致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来源（当前证据）：liveshow-proto/MainBasis/统一需求文档.md；位置：REQ-78c8d9aa028d；行2777
2. 规则：BR-b7747ea841a0845e
3. 未动态验证</x:v>
      </x:c>
    </x:row>
    <x:row r="306" ht="100" customHeight="1">
      <x:c r="A306" s="10" t="n">
        <x:v>305</x:v>
      </x:c>
      <x:c r="B306" s="10" t="str">
        <x:v>GUILD-03-0080</x:v>
      </x:c>
      <x:c r="C306" s="10" t="str">
        <x:v>运营工具</x:v>
      </x:c>
      <x:c r="D306" s="10" t="str">
        <x:v>运营消息（公会长视角）</x:v>
      </x:c>
      <x:c r="E306" s="10" t="str">
        <x:v>功能需求</x:v>
      </x:c>
      <x:c r="F306" s="10" t="str">
        <x:v>P2</x:v>
      </x:c>
      <x:c r="G306" s="9" t="str">
        <x:v>验证核对指定消息接收人对应当前业务记录</x:v>
      </x:c>
      <x:c r="H306" s="9" t="str">
        <x:v>指定消息接收人</x:v>
      </x:c>
      <x:c r="I306" s="9" t="str">
        <x:v>1. 执行角色为公会长
2. 已登录目标公会的公会长账号，打开运营消息页并完成下列数据和页面状态准备
3. 消息N仅发送给主播甲H001，乙H002未接收</x:v>
      </x:c>
      <x:c r="J306" s="9" t="str">
        <x:v>1. 查看运营消息页</x:v>
      </x:c>
      <x:c r="K306" s="9" t="str">
        <x:v>消息N发送对象显示甲H001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来源（当前证据）：liveshow-proto/MainBasis/统一需求文档.md；位置：REQ-c8958e03713f；行3028
2. 规则：BR-dcf53907e44b5a37
3. 未动态验证</x:v>
      </x:c>
    </x:row>
    <x:row r="307" ht="115" customHeight="1">
      <x:c r="A307" s="10" t="n">
        <x:v>306</x:v>
      </x:c>
      <x:c r="B307" s="10" t="str">
        <x:v>GUILD-03-0081</x:v>
      </x:c>
      <x:c r="C307" s="10" t="str">
        <x:v>运营工具</x:v>
      </x:c>
      <x:c r="D307" s="10" t="str">
        <x:v>运营消息（公会长视角）</x:v>
      </x:c>
      <x:c r="E307" s="10" t="str">
        <x:v>功能需求</x:v>
      </x:c>
      <x:c r="F307" s="10" t="str">
        <x:v>P2</x:v>
      </x:c>
      <x:c r="G307" s="9" t="str">
        <x:v>验证核对消息列表发送时点对应当前业务记录</x:v>
      </x:c>
      <x:c r="H307" s="9" t="str">
        <x:v>消息列表发送时点</x:v>
      </x:c>
      <x:c r="I307" s="9" t="str">
        <x:v>1. 执行角色为公会长
2. 已登录目标公会的公会长账号，打开运营消息页并完成下列数据和页面状态准备
3. 消息N于9月15日10:00发送，9月16日查看；选择包含该时间的日期范围</x:v>
      </x:c>
      <x:c r="J307" s="9" t="str">
        <x:v>1. 查看运营消息页</x:v>
      </x:c>
      <x:c r="K307" s="9" t="str">
        <x:v>消息N发送时间对应9月15日10:00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来源（当前证据）：liveshow-proto/MainBasis/统一需求文档.md；位置：REQ-2263ce51fcbc；行3030
2. 规则：BR-91bc06fedfe79d79
3. 未动态验证</x:v>
      </x:c>
    </x:row>
    <x:row r="308" ht="100" customHeight="1">
      <x:c r="A308" s="10" t="n">
        <x:v>307</x:v>
      </x:c>
      <x:c r="B308" s="10" t="str">
        <x:v>GUILD-03-0082</x:v>
      </x:c>
      <x:c r="C308" s="10" t="str">
        <x:v>运营工具</x:v>
      </x:c>
      <x:c r="D308" s="10" t="str">
        <x:v>选择主播（公会长视角）</x:v>
      </x:c>
      <x:c r="E308" s="10" t="str">
        <x:v>功能需求</x:v>
      </x:c>
      <x:c r="F308" s="10" t="str">
        <x:v>P2</x:v>
      </x:c>
      <x:c r="G308" s="9" t="str">
        <x:v>验证核对单选搜索结果人数对应当前业务记录</x:v>
      </x:c>
      <x:c r="H308" s="9" t="str">
        <x:v>单选搜索结果人数</x:v>
      </x:c>
      <x:c r="I308" s="9" t="str">
        <x:v>1. 执行角色为公会长
2. 已登录目标公会的公会长账号，打开选择主播页并完成下列数据和页面状态准备
3. 当前公会2名主播昵称含QA，另有1名不含QA；当前搜索QA</x:v>
      </x:c>
      <x:c r="J308" s="9" t="str">
        <x:v>1. 查看选择主播页</x:v>
      </x:c>
      <x:c r="K308" s="9" t="str">
        <x:v>结果人数显示2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来源（当前证据）：liveshow-proto/MainBasis/统一需求文档.md；位置：REQ-df4b3542a7c2；行3058
2. 规则：BR-5a5e943ab96f8c6f
3. 未动态验证</x:v>
      </x:c>
    </x:row>
    <x:row r="309" ht="100" customHeight="1">
      <x:c r="A309" s="10" t="n">
        <x:v>308</x:v>
      </x:c>
      <x:c r="B309" s="10" t="str">
        <x:v>GUILD-03-0083</x:v>
      </x:c>
      <x:c r="C309" s="10" t="str">
        <x:v>运营工具</x:v>
      </x:c>
      <x:c r="D309" s="10" t="str">
        <x:v>选择主播（公会长视角）</x:v>
      </x:c>
      <x:c r="E309" s="10" t="str">
        <x:v>功能需求</x:v>
      </x:c>
      <x:c r="F309" s="10" t="str">
        <x:v>P2</x:v>
      </x:c>
      <x:c r="G309" s="9" t="str">
        <x:v>验证核对单选主播账号身份对应当前业务记录</x:v>
      </x:c>
      <x:c r="H309" s="9" t="str">
        <x:v>单选主播账号身份</x:v>
      </x:c>
      <x:c r="I309" s="9" t="str">
        <x:v>1. 执行角色为公会长
2. 已登录目标公会的公会长账号，打开选择主播页并完成下列数据和页面状态准备
3. 当前公会主播甲H001昵称QA甲、头像图片A</x:v>
      </x:c>
      <x:c r="J309" s="9" t="str">
        <x:v>1. 查看选择主播页</x:v>
      </x:c>
      <x:c r="K309" s="9" t="str">
        <x:v>甲的选项显示QA甲（头像图片A）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来源（当前证据）：liveshow-proto/MainBasis/统一需求文档.md；位置：REQ-97cd72373bf2；行3060
2. 规则：BR-6aca4fe45ada760c
3. 未动态验证</x:v>
      </x:c>
    </x:row>
    <x:row r="310" ht="100" customHeight="1">
      <x:c r="A310" s="10" t="n">
        <x:v>309</x:v>
      </x:c>
      <x:c r="B310" s="10" t="str">
        <x:v>GUILD-03-0084</x:v>
      </x:c>
      <x:c r="C310" s="10" t="str">
        <x:v>运营工具</x:v>
      </x:c>
      <x:c r="D310" s="10" t="str">
        <x:v>选择主播（公会长视角）</x:v>
      </x:c>
      <x:c r="E310" s="10" t="str">
        <x:v>功能需求</x:v>
      </x:c>
      <x:c r="F310" s="10" t="str">
        <x:v>P2</x:v>
      </x:c>
      <x:c r="G310" s="9" t="str">
        <x:v>验证核对单选主播唯一标识对应当前业务记录</x:v>
      </x:c>
      <x:c r="H310" s="9" t="str">
        <x:v>单选主播唯一标识</x:v>
      </x:c>
      <x:c r="I310" s="9" t="str">
        <x:v>1. 执行角色为公会长
2. 已登录目标公会的公会长账号，打开选择主播页并完成下列数据和页面状态准备
3. 当前公会主播甲IDH001，昵称与另一主播相同</x:v>
      </x:c>
      <x:c r="J310" s="9" t="str">
        <x:v>1. 查看选择主播页</x:v>
      </x:c>
      <x:c r="K310" s="9" t="str">
        <x:v>甲的选项显示H001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来源（当前证据）：liveshow-proto/MainBasis/统一需求文档.md；位置：REQ-dc31b1a4e9a0；行3062
2. 规则：BR-aaadafa4db56c83f
3. 未动态验证</x:v>
      </x:c>
    </x:row>
    <x:row r="311" ht="115" customHeight="1">
      <x:c r="A311" s="10" t="n">
        <x:v>310</x:v>
      </x:c>
      <x:c r="B311" s="10" t="str">
        <x:v>GUILD-04-0024</x:v>
      </x:c>
      <x:c r="C311" s="10" t="str">
        <x:v>公会管理</x:v>
      </x:c>
      <x:c r="D311" s="10" t="str">
        <x:v>账号设置（公会长视角）</x:v>
      </x:c>
      <x:c r="E311" s="10" t="str">
        <x:v>功能需求</x:v>
      </x:c>
      <x:c r="F311" s="10" t="str">
        <x:v>P2</x:v>
      </x:c>
      <x:c r="G311" s="9" t="str">
        <x:v>验证核对设置页公会长资料对应当前业务记录</x:v>
      </x:c>
      <x:c r="H311" s="9" t="str">
        <x:v>设置页公会长资料</x:v>
      </x:c>
      <x:c r="I311" s="9" t="str">
        <x:v>1. 执行角色为公会长
2. 已登录目标公会的公会长账号，打开账号设置页并完成下列数据和页面状态准备
3. 公会长名称ChiefA、头像图片A；公会名称GuildA、Logo图片B</x:v>
      </x:c>
      <x:c r="J311" s="9" t="str">
        <x:v>1. 查看账号设置页</x:v>
      </x:c>
      <x:c r="K311" s="9" t="str">
        <x:v>账号资料显示ChiefA（头像图片A）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来源（当前证据）：liveshow-proto/MainBasis/统一需求文档.md；位置：REQ-24f58a645007；行3233
2. 规则：BR-00624800d16adab2
3. 未动态验证</x:v>
      </x:c>
    </x:row>
    <x:row r="312" ht="100" customHeight="1">
      <x:c r="A312" s="10" t="n">
        <x:v>311</x:v>
      </x:c>
      <x:c r="B312" s="10" t="str">
        <x:v>GUILD-05-0065</x:v>
      </x:c>
      <x:c r="C312" s="10" t="str">
        <x:v>数据与收益</x:v>
      </x:c>
      <x:c r="D312" s="10" t="str">
        <x:v>直播记录（公会长视角）</x:v>
      </x:c>
      <x:c r="E312" s="10" t="str">
        <x:v>功能需求</x:v>
      </x:c>
      <x:c r="F312" s="10" t="str">
        <x:v>P2</x:v>
      </x:c>
      <x:c r="G312" s="9" t="str">
        <x:v>验证核对场次标题快照对应当前业务记录</x:v>
      </x:c>
      <x:c r="H312" s="9" t="str">
        <x:v>场次标题快照</x:v>
      </x:c>
      <x:c r="I312" s="9" t="str">
        <x:v>1. 执行角色为公会长
2. 已登录目标公会的公会长账号，打开直播记录页并完成下列数据和页面状态准备
3. 场次S1标题QA首场，S2标题QA次场；日期范围包含两场</x:v>
      </x:c>
      <x:c r="J312" s="9" t="str">
        <x:v>1. 查看直播记录页</x:v>
      </x:c>
      <x:c r="K312" s="9" t="str">
        <x:v>S1显示主题QA首场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来源（当前证据）：liveshow-proto/MainBasis/统一需求文档.md；位置：REQ-e3767edd9c7b；行3267
2. 规则：BR-00d51f9133fe3b83
3. 未动态验证</x:v>
      </x:c>
    </x:row>
    <x:row r="313" ht="100" customHeight="1">
      <x:c r="A313" s="10" t="n">
        <x:v>312</x:v>
      </x:c>
      <x:c r="B313" s="10" t="str">
        <x:v>GUILD-05-0066</x:v>
      </x:c>
      <x:c r="C313" s="10" t="str">
        <x:v>数据与收益</x:v>
      </x:c>
      <x:c r="D313" s="10" t="str">
        <x:v>直播场次详情（公会长视角）</x:v>
      </x:c>
      <x:c r="E313" s="10" t="str">
        <x:v>功能需求</x:v>
      </x:c>
      <x:c r="F313" s="10" t="str">
        <x:v>P2</x:v>
      </x:c>
      <x:c r="G313" s="9" t="str">
        <x:v>验证核对场次所属主播对应当前业务记录</x:v>
      </x:c>
      <x:c r="H313" s="9" t="str">
        <x:v>场次所属主播</x:v>
      </x:c>
      <x:c r="I313" s="9" t="str">
        <x:v>1. 执行角色为公会长
2. 已登录目标公会的公会长账号，打开直播场次详情页并完成下列数据和页面状态准备
3. 场次S1由主播甲H001创建，乙H002未参与</x:v>
      </x:c>
      <x:c r="J313" s="9" t="str">
        <x:v>1. 查看直播场次详情页</x:v>
      </x:c>
      <x:c r="K313" s="9" t="str">
        <x:v>所属主播显示甲H001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来源（当前证据）：liveshow-proto/MainBasis/统一需求文档.md；位置：REQ-d7b1689b308d；行3300
2. 规则：BR-bf578d32f23d3104
3. 未动态验证</x:v>
      </x:c>
    </x:row>
    <x:row r="314" ht="85" customHeight="1">
      <x:c r="A314" s="10" t="n">
        <x:v>313</x:v>
      </x:c>
      <x:c r="B314" s="10" t="str">
        <x:v>GUILD-05-0067</x:v>
      </x:c>
      <x:c r="C314" s="10" t="str">
        <x:v>数据与收益</x:v>
      </x:c>
      <x:c r="D314" s="10" t="str">
        <x:v>直播场次详情（公会长视角）</x:v>
      </x:c>
      <x:c r="E314" s="10" t="str">
        <x:v>功能需求</x:v>
      </x:c>
      <x:c r="F314" s="10" t="str">
        <x:v>P2</x:v>
      </x:c>
      <x:c r="G314" s="9" t="str">
        <x:v>验证核对场次详情累计时长对应当前业务记录</x:v>
      </x:c>
      <x:c r="H314" s="9" t="str">
        <x:v>场次详情累计时长</x:v>
      </x:c>
      <x:c r="I314" s="9" t="str">
        <x:v>1. 执行角色为公会长
2. 已登录目标公会的公会长账号，打开直播场次详情页并完成下列数据和页面状态准备
3. 已结束场次S1累计90分钟</x:v>
      </x:c>
      <x:c r="J314" s="9" t="str">
        <x:v>1. 查看直播场次详情页</x:v>
      </x:c>
      <x:c r="K314" s="9" t="str">
        <x:v>直播时长显示1小时30分钟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来源（当前证据）：liveshow-proto/MainBasis/统一需求文档.md；位置：REQ-3a4675da5911；行3304
2. 规则：BR-2936ff7a6ad0d7cf
3. 未动态验证</x:v>
      </x:c>
    </x:row>
    <x:row r="315" ht="100" customHeight="1">
      <x:c r="A315" s="10" t="n">
        <x:v>314</x:v>
      </x:c>
      <x:c r="B315" s="10" t="str">
        <x:v>GUILD-05-0068</x:v>
      </x:c>
      <x:c r="C315" s="10" t="str">
        <x:v>数据与收益</x:v>
      </x:c>
      <x:c r="D315" s="10" t="str">
        <x:v>违规记录（公会长视角）</x:v>
      </x:c>
      <x:c r="E315" s="10" t="str">
        <x:v>功能需求</x:v>
      </x:c>
      <x:c r="F315" s="10" t="str">
        <x:v>P2</x:v>
      </x:c>
      <x:c r="G315" s="9" t="str">
        <x:v>验证核对违规记录类型配置对应当前业务记录</x:v>
      </x:c>
      <x:c r="H315" s="9" t="str">
        <x:v>违规记录类型配置</x:v>
      </x:c>
      <x:c r="I315" s="9" t="str">
        <x:v>1. 执行角色为公会长
2. 已登录目标公会的公会长账号，打开违规记录页并完成下列数据和页面状态准备
3. 平台已配置违规类型QA类型，记录N使用该类型</x:v>
      </x:c>
      <x:c r="J315" s="9" t="str">
        <x:v>1. 查看违规记录页</x:v>
      </x:c>
      <x:c r="K315" s="9" t="str">
        <x:v>记录N违规类型显示QA类型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来源（当前证据）：liveshow-proto/MainBasis/统一需求文档.md；位置：REQ-b6b51e83e296；行3349
2. 规则：BR-e460472f23a0a059
3. 未动态验证</x:v>
      </x:c>
    </x:row>
    <x:row r="316" ht="100" customHeight="1">
      <x:c r="A316" s="10" t="n">
        <x:v>315</x:v>
      </x:c>
      <x:c r="B316" s="10" t="str">
        <x:v>GUILD-05-0069</x:v>
      </x:c>
      <x:c r="C316" s="10" t="str">
        <x:v>数据与收益</x:v>
      </x:c>
      <x:c r="D316" s="10" t="str">
        <x:v>主播分成记录（公会长视角）</x:v>
      </x:c>
      <x:c r="E316" s="10" t="str">
        <x:v>功能需求</x:v>
      </x:c>
      <x:c r="F316" s="10" t="str">
        <x:v>P2</x:v>
      </x:c>
      <x:c r="G316" s="9" t="str">
        <x:v>验证核对分成记录归属主播对应当前业务记录</x:v>
      </x:c>
      <x:c r="H316" s="9" t="str">
        <x:v>分成记录归属主播</x:v>
      </x:c>
      <x:c r="I316" s="9" t="str">
        <x:v>1. 执行角色为公会长
2. 已登录目标公会的公会长账号，打开主播分成记录页并完成下列数据和页面状态准备
3. 财务结果N属于主播甲H001，另有乙H002的结果；日期覆盖N</x:v>
      </x:c>
      <x:c r="J316" s="9" t="str">
        <x:v>1. 查看主播分成记录页</x:v>
      </x:c>
      <x:c r="K316" s="9" t="str">
        <x:v>结果N显示主播甲H001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来源（当前证据）：liveshow-proto/MainBasis/统一需求文档.md；位置：REQ-55421b93ab90；行3440
2. 规则：BR-2e1c38069a35a384
3. 未动态验证</x:v>
      </x:c>
    </x:row>
    <x:row r="317" ht="100" customHeight="1">
      <x:c r="A317" s="10" t="n">
        <x:v>316</x:v>
      </x:c>
      <x:c r="B317" s="10" t="str">
        <x:v>GUILD-05-0070</x:v>
      </x:c>
      <x:c r="C317" s="10" t="str">
        <x:v>数据与收益</x:v>
      </x:c>
      <x:c r="D317" s="10" t="str">
        <x:v>主播分成记录（公会长视角）</x:v>
      </x:c>
      <x:c r="E317" s="10" t="str">
        <x:v>功能需求</x:v>
      </x:c>
      <x:c r="F317" s="10" t="str">
        <x:v>P2</x:v>
      </x:c>
      <x:c r="G317" s="9" t="str">
        <x:v>验证核对主播分成入账时点对应当前业务记录</x:v>
      </x:c>
      <x:c r="H317" s="9" t="str">
        <x:v>主播分成入账时点</x:v>
      </x:c>
      <x:c r="I317" s="9" t="str">
        <x:v>1. 执行角色为公会长
2. 已登录目标公会的公会长账号，打开主播分成记录页并完成下列数据和页面状态准备
3. 结果N收益所属期8月，9月15日10:00入账；查看9月</x:v>
      </x:c>
      <x:c r="J317" s="9" t="str">
        <x:v>1. 查看主播分成记录页</x:v>
      </x:c>
      <x:c r="K317" s="9" t="str">
        <x:v>分成时间对应9月15日10:00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来源（当前证据）：liveshow-proto/MainBasis/统一需求文档.md；位置：REQ-91564db9a916；行3442
2. 规则：BR-7d916a0ce23b8884
3. 未动态验证</x:v>
      </x:c>
    </x:row>
    <x:row r="318" ht="100" customHeight="1">
      <x:c r="A318" s="10" t="n">
        <x:v>317</x:v>
      </x:c>
      <x:c r="B318" s="10" t="str">
        <x:v>GUILD-05-0071</x:v>
      </x:c>
      <x:c r="C318" s="10" t="str">
        <x:v>数据与收益</x:v>
      </x:c>
      <x:c r="D318" s="10" t="str">
        <x:v>公会分成记录（公会长视角）</x:v>
      </x:c>
      <x:c r="E318" s="10" t="str">
        <x:v>功能需求</x:v>
      </x:c>
      <x:c r="F318" s="10" t="str">
        <x:v>P2</x:v>
      </x:c>
      <x:c r="G318" s="9" t="str">
        <x:v>验证核对公会分成入账时点对应当前业务记录</x:v>
      </x:c>
      <x:c r="H318" s="9" t="str">
        <x:v>公会分成入账时点</x:v>
      </x:c>
      <x:c r="I318" s="9" t="str">
        <x:v>1. 执行角色为公会长
2. 已登录目标公会的公会长账号，打开公会分成记录页并完成下列数据和页面状态准备
3. 结果N收益所属期8月，9月15日10:00入账</x:v>
      </x:c>
      <x:c r="J318" s="9" t="str">
        <x:v>1. 查看公会分成记录页</x:v>
      </x:c>
      <x:c r="K318" s="9" t="str">
        <x:v>分成时间对应9月15日10:00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来源（当前证据）：liveshow-proto/MainBasis/统一需求文档.md；位置：REQ-38b9fe91cceb；行3453
2. 规则：BR-c8ee82facd0be048
3. 未动态验证</x:v>
      </x:c>
    </x:row>
    <x:row r="319" ht="100" customHeight="1">
      <x:c r="A319" s="10" t="n">
        <x:v>318</x:v>
      </x:c>
      <x:c r="B319" s="10" t="str">
        <x:v>GUILD-02-0098</x:v>
      </x:c>
      <x:c r="C319" s="10" t="str">
        <x:v>主播管理</x:v>
      </x:c>
      <x:c r="D319" s="10" t="str">
        <x:v>主播主页（公会长视角）</x:v>
      </x:c>
      <x:c r="E319" s="10" t="str">
        <x:v>功能需求</x:v>
      </x:c>
      <x:c r="F319" s="10" t="str">
        <x:v>P2</x:v>
      </x:c>
      <x:c r="G319" s="9" t="str">
        <x:v>验证核对主播认证联系电话对应当前业务记录</x:v>
      </x:c>
      <x:c r="H319" s="9" t="str">
        <x:v>主播认证联系电话</x:v>
      </x:c>
      <x:c r="I319" s="9" t="str">
        <x:v>1. 执行角色为公会长
2. 已登录目标公会的公会长账号，打开主播主页页并完成下列数据和页面状态准备
3. 主播认证电话+628123456789，公会长电话+628987654321</x:v>
      </x:c>
      <x:c r="J319" s="9" t="str">
        <x:v>1. 查看主播主页页</x:v>
      </x:c>
      <x:c r="K319" s="9" t="str">
        <x:v>联系电话显示+628123456789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来源（当前证据）：liveshow-proto/MainBasis/统一需求文档.md；位置：REQ-e351e91ed44f；行2979
2. 规则：BR-cfcc2a2b06dbe62a
3. 未动态验证</x:v>
      </x:c>
    </x:row>
    <x:row r="320" ht="100" customHeight="1">
      <x:c r="A320" s="10" t="n">
        <x:v>319</x:v>
      </x:c>
      <x:c r="B320" s="10" t="str">
        <x:v>GUILD-02-0099</x:v>
      </x:c>
      <x:c r="C320" s="10" t="str">
        <x:v>主播管理</x:v>
      </x:c>
      <x:c r="D320" s="10" t="str">
        <x:v>主播主页（公会长视角）</x:v>
      </x:c>
      <x:c r="E320" s="10" t="str">
        <x:v>功能需求</x:v>
      </x:c>
      <x:c r="F320" s="10" t="str">
        <x:v>P2</x:v>
      </x:c>
      <x:c r="G320" s="9" t="str">
        <x:v>验证核对平台锁定提示对应当前业务记录</x:v>
      </x:c>
      <x:c r="H320" s="9" t="str">
        <x:v>平台锁定提示</x:v>
      </x:c>
      <x:c r="I320" s="9" t="str">
        <x:v>1. 执行角色为公会长
2. 已登录目标公会的公会长账号，打开主播主页页并完成下列数据和页面状态准备
3. 平台已锁定公会对主播甲的直播权限管理</x:v>
      </x:c>
      <x:c r="J320" s="9" t="str">
        <x:v>1. 查看主播主页页</x:v>
      </x:c>
      <x:c r="K320" s="9" t="str">
        <x:v>显示权限已锁定提示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来源（当前证据）：liveshow-proto/MainBasis/统一需求文档.md；位置：REQ-2bdde8e39011；行2985
2. 规则：BR-2f215b0d57ed0157
3. 未动态验证</x:v>
      </x:c>
    </x:row>
    <x:row r="321" ht="100" customHeight="1">
      <x:c r="A321" s="10" t="n">
        <x:v>320</x:v>
      </x:c>
      <x:c r="B321" s="10" t="str">
        <x:v>GUILD-02-0100</x:v>
      </x:c>
      <x:c r="C321" s="10" t="str">
        <x:v>主播管理</x:v>
      </x:c>
      <x:c r="D321" s="10" t="str">
        <x:v>主播主页（公会长视角）</x:v>
      </x:c>
      <x:c r="E321" s="10" t="str">
        <x:v>功能需求</x:v>
      </x:c>
      <x:c r="F321" s="10" t="str">
        <x:v>P2</x:v>
      </x:c>
      <x:c r="G321" s="9" t="str">
        <x:v>验证核对主播历史申请结果对应当前业务记录</x:v>
      </x:c>
      <x:c r="H321" s="9" t="str">
        <x:v>主播历史申请结果</x:v>
      </x:c>
      <x:c r="I321" s="9" t="str">
        <x:v>1. 执行角色为公会长
2. 已登录目标公会的公会长账号，打开主播主页页并完成下列数据和页面状态准备
3. 主播甲有已通过入会申请A及已驳回退会申请B</x:v>
      </x:c>
      <x:c r="J321" s="9" t="str">
        <x:v>1. 查看主播主页页</x:v>
      </x:c>
      <x:c r="K321" s="9" t="str">
        <x:v>申请B显示退出申请及已驳回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来源（当前证据）：liveshow-proto/MainBasis/统一需求文档.md；位置：REQ-a4148668b89f；行2989
2. 规则：BR-4c2f2618b8c0a2af
3. 未动态验证</x:v>
      </x:c>
    </x:row>
    <x:row r="322" ht="100" customHeight="1">
      <x:c r="A322" s="10" t="n">
        <x:v>321</x:v>
      </x:c>
      <x:c r="B322" s="10" t="str">
        <x:v>GUILD-02-0101</x:v>
      </x:c>
      <x:c r="C322" s="10" t="str">
        <x:v>主播管理</x:v>
      </x:c>
      <x:c r="D322" s="10" t="str">
        <x:v>主播主页（公会长视角）</x:v>
      </x:c>
      <x:c r="E322" s="10" t="str">
        <x:v>功能需求</x:v>
      </x:c>
      <x:c r="F322" s="10" t="str">
        <x:v>P2</x:v>
      </x:c>
      <x:c r="G322" s="9" t="str">
        <x:v>验证核对主播历史审核节点对应当前业务记录</x:v>
      </x:c>
      <x:c r="H322" s="9" t="str">
        <x:v>主播历史审核节点</x:v>
      </x:c>
      <x:c r="I322" s="9" t="str">
        <x:v>1. 执行角色为公会长
2. 已登录目标公会的公会长账号，打开主播主页页并完成下列数据和页面状态准备
3. 入会申请A公会9月14日10:00通过、平台9月15日11:00通过</x:v>
      </x:c>
      <x:c r="J322" s="9" t="str">
        <x:v>1. 查看主播主页页</x:v>
      </x:c>
      <x:c r="K322" s="9" t="str">
        <x:v>申请A平台节点显示通过及9月15日11:00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来源（当前证据）：liveshow-proto/MainBasis/统一需求文档.md；位置：REQ-5bf9d823291d；行2993
2. 规则：BR-4d3d9b3d04a7bc05
3. 未动态验证</x:v>
      </x:c>
    </x:row>
    <x:row r="323" ht="100" customHeight="1">
      <x:c r="A323" s="10" t="n">
        <x:v>322</x:v>
      </x:c>
      <x:c r="B323" s="10" t="str">
        <x:v>GUILD-02-0102</x:v>
      </x:c>
      <x:c r="C323" s="10" t="str">
        <x:v>主播管理</x:v>
      </x:c>
      <x:c r="D323" s="10" t="str">
        <x:v>主播主页（公会长视角）</x:v>
      </x:c>
      <x:c r="E323" s="10" t="str">
        <x:v>功能需求</x:v>
      </x:c>
      <x:c r="F323" s="10" t="str">
        <x:v>P2</x:v>
      </x:c>
      <x:c r="G323" s="9" t="str">
        <x:v>验证核对主播历史退会原因对应当前业务记录</x:v>
      </x:c>
      <x:c r="H323" s="9" t="str">
        <x:v>主播历史退会原因</x:v>
      </x:c>
      <x:c r="I323" s="9" t="str">
        <x:v>1. 执行角色为公会长
2. 已登录目标公会的公会长账号，打开主播主页页并完成下列数据和页面状态准备
3. 退会申请B原因个人安排、驳回原因资料需补充</x:v>
      </x:c>
      <x:c r="J323" s="9" t="str">
        <x:v>1. 查看主播主页页</x:v>
      </x:c>
      <x:c r="K323" s="9" t="str">
        <x:v>申请B申请原因显示个人安排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来源（当前证据）：liveshow-proto/MainBasis/统一需求文档.md；位置：REQ-ccb9a3faf7eb；行2995
2. 规则：BR-7d5833dd68676ed5
3. 未动态验证</x:v>
      </x:c>
    </x:row>
    <x:row r="324" ht="100" customHeight="1">
      <x:c r="A324" s="10" t="n">
        <x:v>323</x:v>
      </x:c>
      <x:c r="B324" s="10" t="str">
        <x:v>GUILD-02-0103</x:v>
      </x:c>
      <x:c r="C324" s="10" t="str">
        <x:v>主播管理</x:v>
      </x:c>
      <x:c r="D324" s="10" t="str">
        <x:v>主播主页（公会长视角）</x:v>
      </x:c>
      <x:c r="E324" s="10" t="str">
        <x:v>功能需求</x:v>
      </x:c>
      <x:c r="F324" s="10" t="str">
        <x:v>P2</x:v>
      </x:c>
      <x:c r="G324" s="9" t="str">
        <x:v>验证核对主播历史驳回原因对应当前业务记录</x:v>
      </x:c>
      <x:c r="H324" s="9" t="str">
        <x:v>主播历史驳回原因</x:v>
      </x:c>
      <x:c r="I324" s="9" t="str">
        <x:v>1. 执行角色为公会长
2. 已登录目标公会的公会长账号，打开主播主页页并完成下列数据和页面状态准备
3. 退会申请B原因个人安排、驳回原因资料需补充</x:v>
      </x:c>
      <x:c r="J324" s="9" t="str">
        <x:v>1. 查看主播主页页</x:v>
      </x:c>
      <x:c r="K324" s="9" t="str">
        <x:v>申请B驳回原因显示资料需补充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来源（当前证据）：liveshow-proto/MainBasis/统一需求文档.md；位置：REQ-ccb9a3faf7eb；行2995
2. 规则：BR-fa6ca21248114ba2
3. 未动态验证</x:v>
      </x:c>
    </x:row>
    <x:row r="325" ht="85" customHeight="1">
      <x:c r="A325" s="10" t="n">
        <x:v>324</x:v>
      </x:c>
      <x:c r="B325" s="10" t="str">
        <x:v>GUILD-01-0042</x:v>
      </x:c>
      <x:c r="C325" s="10" t="str">
        <x:v>登录与首页</x:v>
      </x:c>
      <x:c r="D325" s="10" t="str">
        <x:v>通知消息（公会长视角）</x:v>
      </x:c>
      <x:c r="E325" s="10" t="str">
        <x:v>功能需求</x:v>
      </x:c>
      <x:c r="F325" s="10" t="str">
        <x:v>P2</x:v>
      </x:c>
      <x:c r="G325" s="9" t="str">
        <x:v>验证公会通知未读标记</x:v>
      </x:c>
      <x:c r="H325" s="9" t="str">
        <x:v>通知已读状态</x:v>
      </x:c>
      <x:c r="I325" s="9" t="str">
        <x:v>1. 执行角色为公会长
2. 已登录目标公会的公会长账号，打开通知消息页并完成下列数据和页面状态准备
3. 当前公会通知N从未读取</x:v>
      </x:c>
      <x:c r="J325" s="9" t="str">
        <x:v>1. 查看通知消息页</x:v>
      </x:c>
      <x:c r="K325" s="9" t="str">
        <x:v>通知N显示未读圆点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来源（当前证据）：liveshow-proto/MainBasis/统一需求文档.md；位置：REQ-ec9c6cf09271；行2762
2. 规则：BR-6c452213b155b9d1
3. 未动态验证</x:v>
      </x:c>
    </x:row>
    <x:row r="326" ht="85" customHeight="1">
      <x:c r="A326" s="10" t="n">
        <x:v>325</x:v>
      </x:c>
      <x:c r="B326" s="10" t="str">
        <x:v>GUILD-01-0043</x:v>
      </x:c>
      <x:c r="C326" s="10" t="str">
        <x:v>登录与首页</x:v>
      </x:c>
      <x:c r="D326" s="10" t="str">
        <x:v>通知消息（公会长视角）</x:v>
      </x:c>
      <x:c r="E326" s="10" t="str">
        <x:v>功能需求</x:v>
      </x:c>
      <x:c r="F326" s="10" t="str">
        <x:v>P2</x:v>
      </x:c>
      <x:c r="G326" s="9" t="str">
        <x:v>验证公会通知已读标记</x:v>
      </x:c>
      <x:c r="H326" s="9" t="str">
        <x:v>通知已读状态</x:v>
      </x:c>
      <x:c r="I326" s="9" t="str">
        <x:v>1. 执行角色为公会长
2. 已登录目标公会的公会长账号，打开通知消息页并完成下列数据和页面状态准备
3. 当前公会通知N已读取</x:v>
      </x:c>
      <x:c r="J326" s="9" t="str">
        <x:v>1. 查看通知消息页</x:v>
      </x:c>
      <x:c r="K326" s="9" t="str">
        <x:v>通知N不显示未读圆点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来源（当前证据）：liveshow-proto/MainBasis/统一需求文档.md；位置：REQ-ec9c6cf09271；行2762
2. 规则：BR-b9a15a18437e1b60
3. 未动态验证</x:v>
      </x:c>
    </x:row>
    <x:row r="327" ht="100" customHeight="1">
      <x:c r="A327" s="10" t="n">
        <x:v>326</x:v>
      </x:c>
      <x:c r="B327" s="10" t="str">
        <x:v>GUILD-01-0044</x:v>
      </x:c>
      <x:c r="C327" s="10" t="str">
        <x:v>登录与首页</x:v>
      </x:c>
      <x:c r="D327" s="10" t="str">
        <x:v>通知详情（公会长视角）</x:v>
      </x:c>
      <x:c r="E327" s="10" t="str">
        <x:v>逻辑校验</x:v>
      </x:c>
      <x:c r="F327" s="10" t="str">
        <x:v>P1</x:v>
      </x:c>
      <x:c r="G327" s="9" t="str">
        <x:v>验证通知关联记录点击后保持业务对象</x:v>
      </x:c>
      <x:c r="H327" s="9" t="str">
        <x:v>通知业务下钻</x:v>
      </x:c>
      <x:c r="I327" s="9" t="str">
        <x:v>1. 执行角色为公会长
2. 已登录目标公会的公会长账号，打开通知详情页并完成下列数据和页面状态准备
3. 通知N关联入会申请A，公会长有权审核A</x:v>
      </x:c>
      <x:c r="J327" s="9" t="str">
        <x:v>1. 查看通知详情页
2. 点击关联业务入口</x:v>
      </x:c>
      <x:c r="K327" s="9" t="str">
        <x:v>进入申请A详情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来源（当前证据）：liveshow-proto/MainBasis/统一需求文档.md；位置：REQ-90d3a493f427；行2783
2. 规则：BR-1b7256ed9aef96d9
3. 未动态验证</x:v>
      </x:c>
    </x:row>
    <x:row r="328" ht="100" customHeight="1">
      <x:c r="A328" s="10" t="n">
        <x:v>327</x:v>
      </x:c>
      <x:c r="B328" s="10" t="str">
        <x:v>GUILD-02-0104</x:v>
      </x:c>
      <x:c r="C328" s="10" t="str">
        <x:v>主播管理</x:v>
      </x:c>
      <x:c r="D328" s="10" t="str">
        <x:v>主播业绩（公会长视角）</x:v>
      </x:c>
      <x:c r="E328" s="10" t="str">
        <x:v>功能需求</x:v>
      </x:c>
      <x:c r="F328" s="10" t="str">
        <x:v>P2</x:v>
      </x:c>
      <x:c r="G328" s="9" t="str">
        <x:v>验证从实际入口打开主播业绩下钻</x:v>
      </x:c>
      <x:c r="H328" s="9" t="str">
        <x:v>主播业绩下钻</x:v>
      </x:c>
      <x:c r="I328" s="9" t="str">
        <x:v>1. 执行角色为公会长
2. 已登录目标公会的公会长账号，打开主播业绩页并完成下列数据和页面状态准备
3. 公会长已登录；当前页面存在所选主播或记录</x:v>
      </x:c>
      <x:c r="J328" s="9" t="str">
        <x:v>1. 查看主播业绩页
2. 点击主播甲行</x:v>
      </x:c>
      <x:c r="K328" s="9" t="str">
        <x:v>进入甲的主播数据页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来源（当前证据）：liveshow-proto/MainBasis/统一需求文档.md；位置：REQ-8c9d20b12f67；行2933
2. 规则：BR-28ee1510f58870c4
3. 未动态验证</x:v>
      </x:c>
    </x:row>
    <x:row r="329" ht="100" customHeight="1">
      <x:c r="A329" s="10" t="n">
        <x:v>328</x:v>
      </x:c>
      <x:c r="B329" s="10" t="str">
        <x:v>GUILD-02-0105</x:v>
      </x:c>
      <x:c r="C329" s="10" t="str">
        <x:v>主播管理</x:v>
      </x:c>
      <x:c r="D329" s="10" t="str">
        <x:v>主播数据（公会长视角）</x:v>
      </x:c>
      <x:c r="E329" s="10" t="str">
        <x:v>功能需求</x:v>
      </x:c>
      <x:c r="F329" s="10" t="str">
        <x:v>P2</x:v>
      </x:c>
      <x:c r="G329" s="9" t="str">
        <x:v>验证从实际入口打开主播数据主页入口</x:v>
      </x:c>
      <x:c r="H329" s="9" t="str">
        <x:v>主播数据主页入口</x:v>
      </x:c>
      <x:c r="I329" s="9" t="str">
        <x:v>1. 执行角色为公会长
2. 已登录目标公会的公会长账号，打开主播数据页并完成下列数据和页面状态准备
3. 公会长已登录；当前页面存在所选主播或记录</x:v>
      </x:c>
      <x:c r="J329" s="9" t="str">
        <x:v>1. 查看主播数据页
2. 点击主页</x:v>
      </x:c>
      <x:c r="K329" s="9" t="str">
        <x:v>进入当前主播的主播主页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来源（当前证据）：liveshow-proto/MainBasis/统一需求文档.md；位置：REQ-4086521f7068；行2964
2. 规则：BR-a24b1f8d9af13ba1
3. 未动态验证</x:v>
      </x:c>
    </x:row>
    <x:row r="330" ht="100" customHeight="1">
      <x:c r="A330" s="10" t="n">
        <x:v>329</x:v>
      </x:c>
      <x:c r="B330" s="10" t="str">
        <x:v>GUILD-02-0106</x:v>
      </x:c>
      <x:c r="C330" s="10" t="str">
        <x:v>主播管理</x:v>
      </x:c>
      <x:c r="D330" s="10" t="str">
        <x:v>主播主页（公会长视角）</x:v>
      </x:c>
      <x:c r="E330" s="10" t="str">
        <x:v>功能需求</x:v>
      </x:c>
      <x:c r="F330" s="10" t="str">
        <x:v>P2</x:v>
      </x:c>
      <x:c r="G330" s="9" t="str">
        <x:v>验证从实际入口打开主播主页业绩入口</x:v>
      </x:c>
      <x:c r="H330" s="9" t="str">
        <x:v>主播主页业绩入口</x:v>
      </x:c>
      <x:c r="I330" s="9" t="str">
        <x:v>1. 执行角色为公会长
2. 已登录目标公会的公会长账号，打开主播主页页并完成下列数据和页面状态准备
3. 公会长已登录；当前页面存在所选主播或记录</x:v>
      </x:c>
      <x:c r="J330" s="9" t="str">
        <x:v>1. 查看主播主页页
2. 点击业绩</x:v>
      </x:c>
      <x:c r="K330" s="9" t="str">
        <x:v>进入当前主播的主播数据页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来源（当前证据）：liveshow-proto/MainBasis/统一需求文档.md；位置：REQ-49bae997141c；行3015
2. 规则：BR-eb6ca2cbf505039f
3. 未动态验证</x:v>
      </x:c>
    </x:row>
    <x:row r="331" ht="100" customHeight="1">
      <x:c r="A331" s="10" t="n">
        <x:v>330</x:v>
      </x:c>
      <x:c r="B331" s="10" t="str">
        <x:v>GUILD-04-0025</x:v>
      </x:c>
      <x:c r="C331" s="10" t="str">
        <x:v>公会管理</x:v>
      </x:c>
      <x:c r="D331" s="10" t="str">
        <x:v>账号设置（公会长视角）</x:v>
      </x:c>
      <x:c r="E331" s="10" t="str">
        <x:v>功能需求</x:v>
      </x:c>
      <x:c r="F331" s="10" t="str">
        <x:v>P2</x:v>
      </x:c>
      <x:c r="G331" s="9" t="str">
        <x:v>验证从实际入口打开公会改密入口</x:v>
      </x:c>
      <x:c r="H331" s="9" t="str">
        <x:v>公会改密入口</x:v>
      </x:c>
      <x:c r="I331" s="9" t="str">
        <x:v>1. 执行角色为公会长
2. 已登录目标公会的公会长账号，打开账号设置页并完成下列数据和页面状态准备
3. 公会长已登录；当前页面存在所选主播或记录</x:v>
      </x:c>
      <x:c r="J331" s="9" t="str">
        <x:v>1. 查看账号设置页
2. 点击修改密码</x:v>
      </x:c>
      <x:c r="K331" s="9" t="str">
        <x:v>进入修改密码页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来源（当前证据）：liveshow-proto/MainBasis/统一需求文档.md；位置：REQ-2bd29732456c；行3239
2. 规则：BR-05dd9454f0ddf9b4
3. 未动态验证</x:v>
      </x:c>
    </x:row>
    <x:row r="332" ht="100" customHeight="1">
      <x:c r="A332" s="10" t="n">
        <x:v>331</x:v>
      </x:c>
      <x:c r="B332" s="10" t="str">
        <x:v>GUILD-05-0072</x:v>
      </x:c>
      <x:c r="C332" s="10" t="str">
        <x:v>数据与收益</x:v>
      </x:c>
      <x:c r="D332" s="10" t="str">
        <x:v>违规记录（公会长视角）</x:v>
      </x:c>
      <x:c r="E332" s="10" t="str">
        <x:v>功能需求</x:v>
      </x:c>
      <x:c r="F332" s="10" t="str">
        <x:v>P2</x:v>
      </x:c>
      <x:c r="G332" s="9" t="str">
        <x:v>验证从实际入口打开违规记录主播下钻</x:v>
      </x:c>
      <x:c r="H332" s="9" t="str">
        <x:v>违规记录主播下钻</x:v>
      </x:c>
      <x:c r="I332" s="9" t="str">
        <x:v>1. 执行角色为公会长
2. 已登录目标公会的公会长账号，打开违规记录页并完成下列数据和页面状态准备
3. 公会长已登录；当前页面存在所选主播或记录</x:v>
      </x:c>
      <x:c r="J332" s="9" t="str">
        <x:v>1. 查看违规记录页
2. 点击记录N的主播甲</x:v>
      </x:c>
      <x:c r="K332" s="9" t="str">
        <x:v>进入主播甲详情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来源（当前证据）：liveshow-proto/MainBasis/统一需求文档.md；位置：REQ-532e40bab209；行3359
2. 规则：BR-4f20f14c3c33f488
3. 未动态验证</x:v>
      </x:c>
    </x:row>
    <x:row r="333" ht="100" customHeight="1">
      <x:c r="A333" s="10" t="n">
        <x:v>332</x:v>
      </x:c>
      <x:c r="B333" s="10" t="str">
        <x:v>GUILD-03-0085</x:v>
      </x:c>
      <x:c r="C333" s="10" t="str">
        <x:v>运营工具</x:v>
      </x:c>
      <x:c r="D333" s="10" t="str">
        <x:v>送礼记录（公会长视角）</x:v>
      </x:c>
      <x:c r="E333" s="10" t="str">
        <x:v>功能需求</x:v>
      </x:c>
      <x:c r="F333" s="10" t="str">
        <x:v>P2</x:v>
      </x:c>
      <x:c r="G333" s="9" t="str">
        <x:v>验证虚拟赠礼详情礼物名称</x:v>
      </x:c>
      <x:c r="H333" s="9" t="str">
        <x:v>赠礼详情礼物名称</x:v>
      </x:c>
      <x:c r="I333" s="9" t="str">
        <x:v>1. 执行角色为公会长
2. 已登录目标公会的公会长账号，打开送礼记录页并完成下列数据和页面状态准备
3. 记录A成功赠送定制礼物QA玫瑰3件；当前筛选包含A</x:v>
      </x:c>
      <x:c r="J333" s="9" t="str">
        <x:v>1. 查看送礼记录页
2. 点击记录A</x:v>
      </x:c>
      <x:c r="K333" s="9" t="str">
        <x:v>礼物名称显示QA玫瑰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来源（当前证据）：liveshow-proto/MainBasis/统一需求文档.md；位置：REQ-b3ddda9fea5f；行3182
2. 规则：BR-d44cb749582ec176
3. 未动态验证</x:v>
      </x:c>
    </x:row>
    <x:row r="334" ht="100" customHeight="1">
      <x:c r="A334" s="10" t="n">
        <x:v>333</x:v>
      </x:c>
      <x:c r="B334" s="10" t="str">
        <x:v>GUILD-03-0086</x:v>
      </x:c>
      <x:c r="C334" s="10" t="str">
        <x:v>运营工具</x:v>
      </x:c>
      <x:c r="D334" s="10" t="str">
        <x:v>送礼记录（公会长视角）</x:v>
      </x:c>
      <x:c r="E334" s="10" t="str">
        <x:v>功能需求</x:v>
      </x:c>
      <x:c r="F334" s="10" t="str">
        <x:v>P2</x:v>
      </x:c>
      <x:c r="G334" s="9" t="str">
        <x:v>验证虚拟赠礼详情礼物类型</x:v>
      </x:c>
      <x:c r="H334" s="9" t="str">
        <x:v>赠礼详情礼物类型</x:v>
      </x:c>
      <x:c r="I334" s="9" t="str">
        <x:v>1. 执行角色为公会长
2. 已登录目标公会的公会长账号，打开送礼记录页并完成下列数据和页面状态准备
3. 记录A成功赠送定制礼物QA玫瑰3件；当前筛选包含A</x:v>
      </x:c>
      <x:c r="J334" s="9" t="str">
        <x:v>1. 查看送礼记录页
2. 点击记录A</x:v>
      </x:c>
      <x:c r="K334" s="9" t="str">
        <x:v>礼物类型显示定制礼物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来源（当前证据）：liveshow-proto/MainBasis/统一需求文档.md；位置：REQ-36de063203a5；行3188
2. 规则：BR-09fb1dbbeb5fc361
3. 未动态验证</x:v>
      </x:c>
    </x:row>
    <x:row r="335" ht="100" customHeight="1">
      <x:c r="A335" s="10" t="n">
        <x:v>334</x:v>
      </x:c>
      <x:c r="B335" s="10" t="str">
        <x:v>GUILD-03-0087</x:v>
      </x:c>
      <x:c r="C335" s="10" t="str">
        <x:v>运营工具</x:v>
      </x:c>
      <x:c r="D335" s="10" t="str">
        <x:v>送礼记录（公会长视角）</x:v>
      </x:c>
      <x:c r="E335" s="10" t="str">
        <x:v>功能需求</x:v>
      </x:c>
      <x:c r="F335" s="10" t="str">
        <x:v>P2</x:v>
      </x:c>
      <x:c r="G335" s="9" t="str">
        <x:v>验证虚拟赠礼详情件数</x:v>
      </x:c>
      <x:c r="H335" s="9" t="str">
        <x:v>赠礼详情件数</x:v>
      </x:c>
      <x:c r="I335" s="9" t="str">
        <x:v>1. 执行角色为公会长
2. 已登录目标公会的公会长账号，打开送礼记录页并完成下列数据和页面状态准备
3. 记录A成功赠送定制礼物QA玫瑰3件；当前筛选包含A</x:v>
      </x:c>
      <x:c r="J335" s="9" t="str">
        <x:v>1. 查看送礼记录页
2. 点击记录A</x:v>
      </x:c>
      <x:c r="K335" s="9" t="str">
        <x:v>赠送数量显示3件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来源（当前证据）：liveshow-proto/MainBasis/统一需求文档.md；位置：REQ-6d53a55f5980；行3190
2. 规则：BR-fa4f771829797c3b
3. 未动态验证</x:v>
      </x:c>
    </x:row>
    <x:row r="336" ht="100" customHeight="1">
      <x:c r="A336" s="10" t="n">
        <x:v>335</x:v>
      </x:c>
      <x:c r="B336" s="10" t="str">
        <x:v>GUILD-05-0073</x:v>
      </x:c>
      <x:c r="C336" s="10" t="str">
        <x:v>数据与收益</x:v>
      </x:c>
      <x:c r="D336" s="10" t="str">
        <x:v>直播场次详情（公会长视角）</x:v>
      </x:c>
      <x:c r="E336" s="10" t="str">
        <x:v>功能需求</x:v>
      </x:c>
      <x:c r="F336" s="10" t="str">
        <x:v>P2</x:v>
      </x:c>
      <x:c r="G336" s="9" t="str">
        <x:v>验证真实赠礼详情礼物名称</x:v>
      </x:c>
      <x:c r="H336" s="9" t="str">
        <x:v>赠礼详情礼物名称</x:v>
      </x:c>
      <x:c r="I336" s="9" t="str">
        <x:v>1. 执行角色为公会长
2. 已登录目标公会的公会长账号，打开直播场次详情页并完成下列数据和页面状态准备
3. 记录A成功赠送定制礼物QA玫瑰3件；当前筛选包含A</x:v>
      </x:c>
      <x:c r="J336" s="9" t="str">
        <x:v>1. 查看直播场次详情页
2. 点击记录A</x:v>
      </x:c>
      <x:c r="K336" s="9" t="str">
        <x:v>礼物名称显示QA玫瑰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来源（当前证据）：liveshow-proto/MainBasis/统一需求文档.md；位置：REQ-196da5d367ee；行3312
2. 规则：BR-1573cf4197c2a2b6
3. 未动态验证</x:v>
      </x:c>
    </x:row>
    <x:row r="337" ht="100" customHeight="1">
      <x:c r="A337" s="10" t="n">
        <x:v>336</x:v>
      </x:c>
      <x:c r="B337" s="10" t="str">
        <x:v>GUILD-05-0074</x:v>
      </x:c>
      <x:c r="C337" s="10" t="str">
        <x:v>数据与收益</x:v>
      </x:c>
      <x:c r="D337" s="10" t="str">
        <x:v>直播场次详情（公会长视角）</x:v>
      </x:c>
      <x:c r="E337" s="10" t="str">
        <x:v>功能需求</x:v>
      </x:c>
      <x:c r="F337" s="10" t="str">
        <x:v>P2</x:v>
      </x:c>
      <x:c r="G337" s="9" t="str">
        <x:v>验证真实赠礼详情礼物类型</x:v>
      </x:c>
      <x:c r="H337" s="9" t="str">
        <x:v>赠礼详情礼物类型</x:v>
      </x:c>
      <x:c r="I337" s="9" t="str">
        <x:v>1. 执行角色为公会长
2. 已登录目标公会的公会长账号，打开直播场次详情页并完成下列数据和页面状态准备
3. 记录A成功赠送定制礼物QA玫瑰3件；当前筛选包含A</x:v>
      </x:c>
      <x:c r="J337" s="9" t="str">
        <x:v>1. 查看直播场次详情页
2. 点击记录A</x:v>
      </x:c>
      <x:c r="K337" s="9" t="str">
        <x:v>礼物类型显示定制礼物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来源（当前证据）：liveshow-proto/MainBasis/统一需求文档.md；位置：REQ-58b2254a0941；行3318
2. 规则：BR-e1f6e3c7621bbfe5
3. 未动态验证</x:v>
      </x:c>
    </x:row>
    <x:row r="338" ht="100" customHeight="1">
      <x:c r="A338" s="10" t="n">
        <x:v>337</x:v>
      </x:c>
      <x:c r="B338" s="10" t="str">
        <x:v>GUILD-05-0075</x:v>
      </x:c>
      <x:c r="C338" s="10" t="str">
        <x:v>数据与收益</x:v>
      </x:c>
      <x:c r="D338" s="10" t="str">
        <x:v>直播场次详情（公会长视角）</x:v>
      </x:c>
      <x:c r="E338" s="10" t="str">
        <x:v>功能需求</x:v>
      </x:c>
      <x:c r="F338" s="10" t="str">
        <x:v>P2</x:v>
      </x:c>
      <x:c r="G338" s="9" t="str">
        <x:v>验证真实赠礼详情件数</x:v>
      </x:c>
      <x:c r="H338" s="9" t="str">
        <x:v>赠礼详情件数</x:v>
      </x:c>
      <x:c r="I338" s="9" t="str">
        <x:v>1. 执行角色为公会长
2. 已登录目标公会的公会长账号，打开直播场次详情页并完成下列数据和页面状态准备
3. 记录A成功赠送定制礼物QA玫瑰3件；当前筛选包含A</x:v>
      </x:c>
      <x:c r="J338" s="9" t="str">
        <x:v>1. 查看直播场次详情页
2. 点击记录A</x:v>
      </x:c>
      <x:c r="K338" s="9" t="str">
        <x:v>赠送数量显示3件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来源（当前证据）：liveshow-proto/MainBasis/统一需求文档.md；位置：REQ-b2197c3c2e58；行3320
2. 规则：BR-9360a1bf44f8b855
3. 未动态验证</x:v>
      </x:c>
    </x:row>
    <x:row r="339" ht="100" customHeight="1">
      <x:c r="A339" s="10" t="n">
        <x:v>338</x:v>
      </x:c>
      <x:c r="B339" s="10" t="str">
        <x:v>GUILD-03-0088</x:v>
      </x:c>
      <x:c r="C339" s="10" t="str">
        <x:v>运营工具</x:v>
      </x:c>
      <x:c r="D339" s="10" t="str">
        <x:v>送礼记录（公会长视角）</x:v>
      </x:c>
      <x:c r="E339" s="10" t="str">
        <x:v>功能需求</x:v>
      </x:c>
      <x:c r="F339" s="10" t="str">
        <x:v>P2</x:v>
      </x:c>
      <x:c r="G339" s="9" t="str">
        <x:v>验证虚拟赠礼详情显示成交时点</x:v>
      </x:c>
      <x:c r="H339" s="9" t="str">
        <x:v>虚拟赠礼成交时间</x:v>
      </x:c>
      <x:c r="I339" s="9" t="str">
        <x:v>1. 执行角色为公会长
2. 已登录目标公会的公会长账号，打开送礼记录页并完成下列数据和页面状态准备
3. 记录A于9月15日10:00成功赠送，筛选范围包含该日</x:v>
      </x:c>
      <x:c r="J339" s="9" t="str">
        <x:v>1. 查看送礼记录页
2. 点击记录A</x:v>
      </x:c>
      <x:c r="K339" s="9" t="str">
        <x:v>赠送时间对应9月15日10:00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来源（当前证据）：liveshow-proto/MainBasis/统一需求文档.md；位置：REQ-bcb12c6e3d70；行3176、REQ-3a16fbf7a035；行3180
2. 规则：BR-19e8538f33c30842
3. 未动态验证</x:v>
      </x:c>
    </x:row>
    <x:row r="340" ht="100" customHeight="1">
      <x:c r="A340" s="10" t="n">
        <x:v>339</x:v>
      </x:c>
      <x:c r="B340" s="10" t="str">
        <x:v>GUILD-05-0076</x:v>
      </x:c>
      <x:c r="C340" s="10" t="str">
        <x:v>数据与收益</x:v>
      </x:c>
      <x:c r="D340" s="10" t="str">
        <x:v>直播记录（公会长视角）</x:v>
      </x:c>
      <x:c r="E340" s="10" t="str">
        <x:v>功能需求</x:v>
      </x:c>
      <x:c r="F340" s="10" t="str">
        <x:v>P2</x:v>
      </x:c>
      <x:c r="G340" s="9" t="str">
        <x:v>验证公会直播记录识别普通房</x:v>
      </x:c>
      <x:c r="H340" s="9" t="str">
        <x:v>场次房型标识</x:v>
      </x:c>
      <x:c r="I340" s="9" t="str">
        <x:v>1. 执行角色为公会长
2. 已登录目标公会的公会长账号，打开直播记录页并完成下列数据和页面状态准备
3. 场次S1为普通房，筛选范围包含S1</x:v>
      </x:c>
      <x:c r="J340" s="9" t="str">
        <x:v>1. 查看直播记录页</x:v>
      </x:c>
      <x:c r="K340" s="9" t="str">
        <x:v>S1显示普通房型标识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来源（当前证据）：liveshow-proto/MainBasis/统一需求文档.md；位置：REQ-442147718fe6；行3269
2. 规则：BR-b57f9167c1bcebf0
3. 未动态验证</x:v>
      </x:c>
    </x:row>
    <x:row r="341" ht="100" customHeight="1">
      <x:c r="A341" s="10" t="n">
        <x:v>340</x:v>
      </x:c>
      <x:c r="B341" s="10" t="str">
        <x:v>GUILD-05-0077</x:v>
      </x:c>
      <x:c r="C341" s="10" t="str">
        <x:v>数据与收益</x:v>
      </x:c>
      <x:c r="D341" s="10" t="str">
        <x:v>直播记录（公会长视角）</x:v>
      </x:c>
      <x:c r="E341" s="10" t="str">
        <x:v>功能需求</x:v>
      </x:c>
      <x:c r="F341" s="10" t="str">
        <x:v>P2</x:v>
      </x:c>
      <x:c r="G341" s="9" t="str">
        <x:v>验证公会直播记录识别门票房</x:v>
      </x:c>
      <x:c r="H341" s="9" t="str">
        <x:v>场次房型标识</x:v>
      </x:c>
      <x:c r="I341" s="9" t="str">
        <x:v>1. 执行角色为公会长
2. 已登录目标公会的公会长账号，打开直播记录页并完成下列数据和页面状态准备
3. 场次S1为门票房，筛选范围包含S1</x:v>
      </x:c>
      <x:c r="J341" s="9" t="str">
        <x:v>1. 查看直播记录页</x:v>
      </x:c>
      <x:c r="K341" s="9" t="str">
        <x:v>S1显示门票房型标识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来源（当前证据）：liveshow-proto/MainBasis/统一需求文档.md；位置：REQ-442147718fe6；行3269
2. 规则：BR-e8435c74ef8b706d
3. 未动态验证</x:v>
      </x:c>
    </x:row>
    <x:row r="342" ht="100" customHeight="1">
      <x:c r="A342" s="10" t="n">
        <x:v>341</x:v>
      </x:c>
      <x:c r="B342" s="10" t="str">
        <x:v>GUILD-05-0078</x:v>
      </x:c>
      <x:c r="C342" s="10" t="str">
        <x:v>数据与收益</x:v>
      </x:c>
      <x:c r="D342" s="10" t="str">
        <x:v>直播记录（公会长视角）</x:v>
      </x:c>
      <x:c r="E342" s="10" t="str">
        <x:v>功能需求</x:v>
      </x:c>
      <x:c r="F342" s="10" t="str">
        <x:v>P2</x:v>
      </x:c>
      <x:c r="G342" s="9" t="str">
        <x:v>验证公会直播记录识别密码房</x:v>
      </x:c>
      <x:c r="H342" s="9" t="str">
        <x:v>场次房型标识</x:v>
      </x:c>
      <x:c r="I342" s="9" t="str">
        <x:v>1. 执行角色为公会长
2. 已登录目标公会的公会长账号，打开直播记录页并完成下列数据和页面状态准备
3. 场次S1为密码房，筛选范围包含S1</x:v>
      </x:c>
      <x:c r="J342" s="9" t="str">
        <x:v>1. 查看直播记录页</x:v>
      </x:c>
      <x:c r="K342" s="9" t="str">
        <x:v>S1显示密码房型标识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来源（当前证据）：liveshow-proto/MainBasis/统一需求文档.md；位置：REQ-442147718fe6；行3269
2. 规则：BR-a6809f65a3b97a02
3. 未动态验证</x:v>
      </x:c>
    </x:row>
    <x:row r="343" ht="115" customHeight="1">
      <x:c r="A343" s="10" t="n">
        <x:v>342</x:v>
      </x:c>
      <x:c r="B343" s="10" t="str">
        <x:v>GUILD-01-0045</x:v>
      </x:c>
      <x:c r="C343" s="10" t="str">
        <x:v>登录与首页</x:v>
      </x:c>
      <x:c r="D343" s="10" t="str">
        <x:v>首页（公会长视角）</x:v>
      </x:c>
      <x:c r="E343" s="10" t="str">
        <x:v>逻辑校验</x:v>
      </x:c>
      <x:c r="F343" s="10" t="str">
        <x:v>P1</x:v>
      </x:c>
      <x:c r="G343" s="9" t="str">
        <x:v>验证核对首页礼物收益范围的统计范围</x:v>
      </x:c>
      <x:c r="H343" s="9" t="str">
        <x:v>首页礼物收益范围</x:v>
      </x:c>
      <x:c r="I343" s="9" t="str">
        <x:v>1. 执行角色为公会长
2. 已登录目标公会的公会长账号，打开首页页并完成下列数据和页面状态准备
3. 当日普通礼物成功消费100、定制200、幸运总价值1000且收益比例1%；无其他收益</x:v>
      </x:c>
      <x:c r="J343" s="9" t="str">
        <x:v>1. 查看首页页</x:v>
      </x:c>
      <x:c r="K343" s="9" t="str">
        <x:v>当日收益显示310金币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来源（当前证据）：liveshow-proto/MainBasis/统一需求文档.md；位置：REQ-d823c785cbbd；行2747
2. 规则：BR-6b44d6df4655f8c9
3. 未动态验证</x:v>
      </x:c>
    </x:row>
    <x:row r="344" ht="115" customHeight="1">
      <x:c r="A344" s="10" t="n">
        <x:v>343</x:v>
      </x:c>
      <x:c r="B344" s="10" t="str">
        <x:v>GUILD-01-0046</x:v>
      </x:c>
      <x:c r="C344" s="10" t="str">
        <x:v>登录与首页</x:v>
      </x:c>
      <x:c r="D344" s="10" t="str">
        <x:v>首页（公会长视角）</x:v>
      </x:c>
      <x:c r="E344" s="10" t="str">
        <x:v>逻辑校验</x:v>
      </x:c>
      <x:c r="F344" s="10" t="str">
        <x:v>P1</x:v>
      </x:c>
      <x:c r="G344" s="9" t="str">
        <x:v>验证核对首页排除虚拟及失败消费的统计范围</x:v>
      </x:c>
      <x:c r="H344" s="9" t="str">
        <x:v>首页排除虚拟及失败消费</x:v>
      </x:c>
      <x:c r="I344" s="9" t="str">
        <x:v>1. 执行角色为公会长
2. 已登录目标公会的公会长账号，打开首页页并完成下列数据和页面状态准备
3. 当日真实普通礼物成功100金币；虚拟礼物500金币；失败真实消费200金币</x:v>
      </x:c>
      <x:c r="J344" s="9" t="str">
        <x:v>1. 查看首页页</x:v>
      </x:c>
      <x:c r="K344" s="9" t="str">
        <x:v>当日收益显示100金币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来源（当前证据）：liveshow-proto/MainBasis/统一需求文档.md；位置：REQ-cc1efac54a82；行2749
2. 规则：BR-1eb61a372a79b768
3. 未动态验证</x:v>
      </x:c>
    </x:row>
    <x:row r="345" ht="115" customHeight="1">
      <x:c r="A345" s="10" t="n">
        <x:v>344</x:v>
      </x:c>
      <x:c r="B345" s="10" t="str">
        <x:v>GUILD-02-0107</x:v>
      </x:c>
      <x:c r="C345" s="10" t="str">
        <x:v>主播管理</x:v>
      </x:c>
      <x:c r="D345" s="10" t="str">
        <x:v>主播业绩（公会长视角）</x:v>
      </x:c>
      <x:c r="E345" s="10" t="str">
        <x:v>逻辑校验</x:v>
      </x:c>
      <x:c r="F345" s="10" t="str">
        <x:v>P1</x:v>
      </x:c>
      <x:c r="G345" s="9" t="str">
        <x:v>验证核对主播行周期收益的统计范围</x:v>
      </x:c>
      <x:c r="H345" s="9" t="str">
        <x:v>主播行周期收益</x:v>
      </x:c>
      <x:c r="I345" s="9" t="str">
        <x:v>1. 执行角色为公会长
2. 已登录目标公会的公会长账号，打开主播业绩页并完成下列数据和页面状态准备
3. 所选周期甲成功普通礼物收益100金币，线下分成5美元，周期外收益200金币</x:v>
      </x:c>
      <x:c r="J345" s="9" t="str">
        <x:v>1. 查看主播业绩页</x:v>
      </x:c>
      <x:c r="K345" s="9" t="str">
        <x:v>甲的金币收益显示100金币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来源（当前证据）：liveshow-proto/MainBasis/统一需求文档.md；位置：REQ-7b9651bd111c；行2917
2. 规则：BR-ad9009b19d5296eb
3. 未动态验证</x:v>
      </x:c>
    </x:row>
    <x:row r="346" ht="100" customHeight="1">
      <x:c r="A346" s="10" t="n">
        <x:v>345</x:v>
      </x:c>
      <x:c r="B346" s="10" t="str">
        <x:v>GUILD-02-0108</x:v>
      </x:c>
      <x:c r="C346" s="10" t="str">
        <x:v>主播管理</x:v>
      </x:c>
      <x:c r="D346" s="10" t="str">
        <x:v>主播业绩（公会长视角）</x:v>
      </x:c>
      <x:c r="E346" s="10" t="str">
        <x:v>逻辑校验</x:v>
      </x:c>
      <x:c r="F346" s="10" t="str">
        <x:v>P1</x:v>
      </x:c>
      <x:c r="G346" s="9" t="str">
        <x:v>验证核对主播业绩汇总收益的统计范围</x:v>
      </x:c>
      <x:c r="H346" s="9" t="str">
        <x:v>主播业绩汇总收益</x:v>
      </x:c>
      <x:c r="I346" s="9" t="str">
        <x:v>1. 执行角色为公会长
2. 已登录目标公会的公会长账号，打开主播业绩页并完成下列数据和页面状态准备
3. 所选周期甲收益100、乙200金币，周期外另有500金币</x:v>
      </x:c>
      <x:c r="J346" s="9" t="str">
        <x:v>1. 查看主播业绩页</x:v>
      </x:c>
      <x:c r="K346" s="9" t="str">
        <x:v>主播收益汇总显示300金币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来源（当前证据）：liveshow-proto/MainBasis/统一需求文档.md；位置：REQ-a6b491d7b1aa；行2923
2. 规则：BR-db72dcf543f2af21
3. 未动态验证</x:v>
      </x:c>
    </x:row>
    <x:row r="347" ht="100" customHeight="1">
      <x:c r="A347" s="10" t="n">
        <x:v>346</x:v>
      </x:c>
      <x:c r="B347" s="10" t="str">
        <x:v>GUILD-02-0109</x:v>
      </x:c>
      <x:c r="C347" s="10" t="str">
        <x:v>主播管理</x:v>
      </x:c>
      <x:c r="D347" s="10" t="str">
        <x:v>主播数据（公会长视角）</x:v>
      </x:c>
      <x:c r="E347" s="10" t="str">
        <x:v>逻辑校验</x:v>
      </x:c>
      <x:c r="F347" s="10" t="str">
        <x:v>P1</x:v>
      </x:c>
      <x:c r="G347" s="9" t="str">
        <x:v>验证核对主播日累计时长的统计范围</x:v>
      </x:c>
      <x:c r="H347" s="9" t="str">
        <x:v>主播日累计时长</x:v>
      </x:c>
      <x:c r="I347" s="9" t="str">
        <x:v>1. 执行角色为公会长
2. 已登录目标公会的公会长账号，打开主播数据页并完成下列数据和页面状态准备
3. 甲当日两场已结束直播分别60及90分钟，日数据范围含该日</x:v>
      </x:c>
      <x:c r="J347" s="9" t="str">
        <x:v>1. 查看主播数据页</x:v>
      </x:c>
      <x:c r="K347" s="9" t="str">
        <x:v>该日直播时长显示2小时30分钟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来源（当前证据）：liveshow-proto/MainBasis/统一需求文档.md；位置：REQ-f997046439a2；行2954
2. 规则：BR-94cb52ae888f53a3
3. 未动态验证</x:v>
      </x:c>
    </x:row>
    <x:row r="348" ht="115" customHeight="1">
      <x:c r="A348" s="10" t="n">
        <x:v>347</x:v>
      </x:c>
      <x:c r="B348" s="10" t="str">
        <x:v>GUILD-02-0110</x:v>
      </x:c>
      <x:c r="C348" s="10" t="str">
        <x:v>主播管理</x:v>
      </x:c>
      <x:c r="D348" s="10" t="str">
        <x:v>主播数据（公会长视角）</x:v>
      </x:c>
      <x:c r="E348" s="10" t="str">
        <x:v>逻辑校验</x:v>
      </x:c>
      <x:c r="F348" s="10" t="str">
        <x:v>P1</x:v>
      </x:c>
      <x:c r="G348" s="9" t="str">
        <x:v>验证核对主播日收益的统计范围</x:v>
      </x:c>
      <x:c r="H348" s="9" t="str">
        <x:v>主播日收益</x:v>
      </x:c>
      <x:c r="I348" s="9" t="str">
        <x:v>1. 执行角色为公会长
2. 已登录目标公会的公会长账号，打开主播数据页并完成下列数据和页面状态准备
3. 甲当日两场收益100及200金币，线下分成10美元，日范围含该日</x:v>
      </x:c>
      <x:c r="J348" s="9" t="str">
        <x:v>1. 查看主播数据页</x:v>
      </x:c>
      <x:c r="K348" s="9" t="str">
        <x:v>该日收益显示300金币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来源（当前证据）：liveshow-proto/MainBasis/统一需求文档.md；位置：REQ-542f71638053；行2960
2. 规则：BR-510ea465df944a6b
3. 未动态验证</x:v>
      </x:c>
    </x:row>
    <x:row r="349" ht="115" customHeight="1">
      <x:c r="A349" s="10" t="n">
        <x:v>348</x:v>
      </x:c>
      <x:c r="B349" s="10" t="str">
        <x:v>GUILD-02-0111</x:v>
      </x:c>
      <x:c r="C349" s="10" t="str">
        <x:v>主播管理</x:v>
      </x:c>
      <x:c r="D349" s="10" t="str">
        <x:v>主播主页（公会长视角）</x:v>
      </x:c>
      <x:c r="E349" s="10" t="str">
        <x:v>逻辑校验</x:v>
      </x:c>
      <x:c r="F349" s="10" t="str">
        <x:v>P1</x:v>
      </x:c>
      <x:c r="G349" s="9" t="str">
        <x:v>验证核对主播历史收益总额的统计范围</x:v>
      </x:c>
      <x:c r="H349" s="9" t="str">
        <x:v>主播历史收益总额</x:v>
      </x:c>
      <x:c r="I349" s="9" t="str">
        <x:v>1. 执行角色为公会长
2. 已登录目标公会的公会长账号，打开主播主页页并完成下列数据和页面状态准备
3. 该主播历史普通礼物收益100金币、定制200金币，无其他计入收益记录</x:v>
      </x:c>
      <x:c r="J349" s="9" t="str">
        <x:v>1. 查看主播主页页</x:v>
      </x:c>
      <x:c r="K349" s="9" t="str">
        <x:v>总收益显示300金币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来源（当前证据）：liveshow-proto/MainBasis/统一需求文档.md；位置：REQ-4fb585b39a12；行2999
2. 规则：BR-8a7c252af2ea9bf1
3. 未动态验证</x:v>
      </x:c>
    </x:row>
    <x:row r="350" ht="100" customHeight="1">
      <x:c r="A350" s="10" t="n">
        <x:v>349</x:v>
      </x:c>
      <x:c r="B350" s="10" t="str">
        <x:v>GUILD-03-0089</x:v>
      </x:c>
      <x:c r="C350" s="10" t="str">
        <x:v>运营工具</x:v>
      </x:c>
      <x:c r="D350" s="10" t="str">
        <x:v>运营账号（公会长视角）</x:v>
      </x:c>
      <x:c r="E350" s="10" t="str">
        <x:v>逻辑校验</x:v>
      </x:c>
      <x:c r="F350" s="10" t="str">
        <x:v>P1</x:v>
      </x:c>
      <x:c r="G350" s="9" t="str">
        <x:v>验证核对运营列表可用余额的统计范围</x:v>
      </x:c>
      <x:c r="H350" s="9" t="str">
        <x:v>运营列表可用余额</x:v>
      </x:c>
      <x:c r="I350" s="9" t="str">
        <x:v>1. 执行角色为公会长
2. 已登录目标公会的公会长账号，打开运营账号页并完成下列数据和页面状态准备
3. 运营账号A已发虚拟金币100、成功消费30，无其他变动</x:v>
      </x:c>
      <x:c r="J350" s="9" t="str">
        <x:v>1. 查看运营账号页</x:v>
      </x:c>
      <x:c r="K350" s="9" t="str">
        <x:v>A余额显示70金币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来源（当前证据）：liveshow-proto/MainBasis/统一需求文档.md；位置：REQ-7a47312e00c4；行3092
2. 规则：BR-45d42d7992887b72
3. 未动态验证</x:v>
      </x:c>
    </x:row>
    <x:row r="351" ht="115" customHeight="1">
      <x:c r="A351" s="10" t="n">
        <x:v>350</x:v>
      </x:c>
      <x:c r="B351" s="10" t="str">
        <x:v>GUILD-03-0090</x:v>
      </x:c>
      <x:c r="C351" s="10" t="str">
        <x:v>运营工具</x:v>
      </x:c>
      <x:c r="D351" s="10" t="str">
        <x:v>运营账号（公会长视角）</x:v>
      </x:c>
      <x:c r="E351" s="10" t="str">
        <x:v>逻辑校验</x:v>
      </x:c>
      <x:c r="F351" s="10" t="str">
        <x:v>P1</x:v>
      </x:c>
      <x:c r="G351" s="9" t="str">
        <x:v>验证核对运营行当月消费的统计范围</x:v>
      </x:c>
      <x:c r="H351" s="9" t="str">
        <x:v>运营行当月消费</x:v>
      </x:c>
      <x:c r="I351" s="9" t="str">
        <x:v>1. 执行角色为公会长
2. 已登录目标公会的公会长账号，打开运营账号页并完成下列数据和页面状态准备
3. 账号A本月成功消费100，上月200，本月失败消费50；账号B本月消费300</x:v>
      </x:c>
      <x:c r="J351" s="9" t="str">
        <x:v>1. 查看运营账号页</x:v>
      </x:c>
      <x:c r="K351" s="9" t="str">
        <x:v>A本月消费显示100金币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来源（当前证据）：liveshow-proto/MainBasis/统一需求文档.md；位置：REQ-f40c8344e1ab；行3094
2. 规则：BR-5c9bc4303b80b2e6
3. 未动态验证</x:v>
      </x:c>
    </x:row>
    <x:row r="352" ht="115" customHeight="1">
      <x:c r="A352" s="10" t="n">
        <x:v>351</x:v>
      </x:c>
      <x:c r="B352" s="10" t="str">
        <x:v>GUILD-05-0079</x:v>
      </x:c>
      <x:c r="C352" s="10" t="str">
        <x:v>数据与收益</x:v>
      </x:c>
      <x:c r="D352" s="10" t="str">
        <x:v>公会业绩（公会长视角）</x:v>
      </x:c>
      <x:c r="E352" s="10" t="str">
        <x:v>逻辑校验</x:v>
      </x:c>
      <x:c r="F352" s="10" t="str">
        <x:v>P1</x:v>
      </x:c>
      <x:c r="G352" s="9" t="str">
        <x:v>验证核对公会日行达标人数的统计范围</x:v>
      </x:c>
      <x:c r="H352" s="9" t="str">
        <x:v>公会日行达标人数</x:v>
      </x:c>
      <x:c r="I352" s="9" t="str">
        <x:v>1. 执行角色为公会长
2. 已登录目标公会的公会长账号，打开公会业绩页并完成下列数据和页面状态准备
3. 9月15日甲累计180分钟、乙179分钟、丙181分钟；查看该日期行</x:v>
      </x:c>
      <x:c r="J352" s="9" t="str">
        <x:v>1. 查看公会业绩页</x:v>
      </x:c>
      <x:c r="K352" s="9" t="str">
        <x:v>9月15日达标主播显示2人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来源（当前证据）：liveshow-proto/MainBasis/统一需求文档.md；位置：REQ-1955ff14d117；行3374
2. 规则：BR-9cc985a296cba56d
3. 未动态验证</x:v>
      </x:c>
    </x:row>
    <x:row r="353" ht="115" customHeight="1">
      <x:c r="A353" s="10" t="n">
        <x:v>352</x:v>
      </x:c>
      <x:c r="B353" s="10" t="str">
        <x:v>GUILD-05-0080</x:v>
      </x:c>
      <x:c r="C353" s="10" t="str">
        <x:v>数据与收益</x:v>
      </x:c>
      <x:c r="D353" s="10" t="str">
        <x:v>公会业绩（公会长视角）</x:v>
      </x:c>
      <x:c r="E353" s="10" t="str">
        <x:v>逻辑校验</x:v>
      </x:c>
      <x:c r="F353" s="10" t="str">
        <x:v>P1</x:v>
      </x:c>
      <x:c r="G353" s="9" t="str">
        <x:v>验证核对公会月行收益的统计范围</x:v>
      </x:c>
      <x:c r="H353" s="9" t="str">
        <x:v>公会月行收益</x:v>
      </x:c>
      <x:c r="I353" s="9" t="str">
        <x:v>1. 执行角色为公会长
2. 已登录目标公会的公会长账号，打开公会业绩页并完成下列数据和页面状态准备
3. 9月甲收益100、乙200金币；8月收益500金币；查看9月月数据</x:v>
      </x:c>
      <x:c r="J353" s="9" t="str">
        <x:v>1. 查看公会业绩页</x:v>
      </x:c>
      <x:c r="K353" s="9" t="str">
        <x:v>9月收益显示300金币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来源（当前证据）：liveshow-proto/MainBasis/统一需求文档.md；位置：REQ-0c6a7c118842；行3380
2. 规则：BR-0b29ac975dc98040
3. 未动态验证</x:v>
      </x:c>
    </x:row>
    <x:row r="354" ht="115" customHeight="1">
      <x:c r="A354" s="10" t="n">
        <x:v>353</x:v>
      </x:c>
      <x:c r="B354" s="10" t="str">
        <x:v>GUILD-05-0081</x:v>
      </x:c>
      <x:c r="C354" s="10" t="str">
        <x:v>数据与收益</x:v>
      </x:c>
      <x:c r="D354" s="10" t="str">
        <x:v>公会业绩（公会长视角）</x:v>
      </x:c>
      <x:c r="E354" s="10" t="str">
        <x:v>逻辑校验</x:v>
      </x:c>
      <x:c r="F354" s="10" t="str">
        <x:v>P1</x:v>
      </x:c>
      <x:c r="G354" s="9" t="str">
        <x:v>验证核对公会日期范围场次的统计范围</x:v>
      </x:c>
      <x:c r="H354" s="9" t="str">
        <x:v>公会日期范围场次</x:v>
      </x:c>
      <x:c r="I354" s="9" t="str">
        <x:v>1. 执行角色为公会长
2. 已登录目标公会的公会长账号，打开公会业绩页并完成下列数据和页面状态准备
3. 9月1日至15日甲两场、乙一场，16日另有一场；选择1日至15日</x:v>
      </x:c>
      <x:c r="J354" s="9" t="str">
        <x:v>1. 查看公会业绩页</x:v>
      </x:c>
      <x:c r="K354" s="9" t="str">
        <x:v>直播场次汇总显示3场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来源（当前证据）：liveshow-proto/MainBasis/统一需求文档.md；位置：REQ-d15b0fa3a16a；行3386
2. 规则：BR-6d8b3a7fec78a89b
3. 未动态验证</x:v>
      </x:c>
    </x:row>
    <x:row r="355" ht="100" customHeight="1">
      <x:c r="A355" s="10" t="n">
        <x:v>354</x:v>
      </x:c>
      <x:c r="B355" s="10" t="str">
        <x:v>GUILD-05-0082</x:v>
      </x:c>
      <x:c r="C355" s="10" t="str">
        <x:v>数据与收益</x:v>
      </x:c>
      <x:c r="D355" s="10" t="str">
        <x:v>公会业绩（公会长视角）</x:v>
      </x:c>
      <x:c r="E355" s="10" t="str">
        <x:v>逻辑校验</x:v>
      </x:c>
      <x:c r="F355" s="10" t="str">
        <x:v>P1</x:v>
      </x:c>
      <x:c r="G355" s="9" t="str">
        <x:v>验证核对公会月份范围场次的统计范围</x:v>
      </x:c>
      <x:c r="H355" s="9" t="str">
        <x:v>公会月份范围场次</x:v>
      </x:c>
      <x:c r="I355" s="9" t="str">
        <x:v>1. 执行角色为公会长
2. 已登录目标公会的公会长账号，打开公会业绩页并完成下列数据和页面状态准备
3. 8月两场、9月三场、7月一场；月范围选8月至9月</x:v>
      </x:c>
      <x:c r="J355" s="9" t="str">
        <x:v>1. 查看公会业绩页</x:v>
      </x:c>
      <x:c r="K355" s="9" t="str">
        <x:v>直播场次汇总显示5场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来源（当前证据）：liveshow-proto/MainBasis/统一需求文档.md；位置：REQ-4a356878298a；行3394
2. 规则：BR-d3cba495645e7856
3. 未动态验证</x:v>
      </x:c>
    </x:row>
    <x:row r="356" ht="100" customHeight="1">
      <x:c r="A356" s="10" t="n">
        <x:v>355</x:v>
      </x:c>
      <x:c r="B356" s="10" t="str">
        <x:v>GUILD-05-0083</x:v>
      </x:c>
      <x:c r="C356" s="10" t="str">
        <x:v>数据与收益</x:v>
      </x:c>
      <x:c r="D356" s="10" t="str">
        <x:v>每日（公会长视角）</x:v>
      </x:c>
      <x:c r="E356" s="10" t="str">
        <x:v>逻辑校验</x:v>
      </x:c>
      <x:c r="F356" s="10" t="str">
        <x:v>P1</x:v>
      </x:c>
      <x:c r="G356" s="9" t="str">
        <x:v>验证核对每日主播行收益的统计范围</x:v>
      </x:c>
      <x:c r="H356" s="9" t="str">
        <x:v>每日主播行收益</x:v>
      </x:c>
      <x:c r="I356" s="9" t="str">
        <x:v>1. 执行角色为公会长
2. 已登录目标公会的公会长账号，打开每日页并完成下列数据和页面状态准备
3. 9月15日甲收益100金币、乙200金币，查看该日</x:v>
      </x:c>
      <x:c r="J356" s="9" t="str">
        <x:v>1. 查看每日页</x:v>
      </x:c>
      <x:c r="K356" s="9" t="str">
        <x:v>甲的当日收益显示100金币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来源（当前证据）：liveshow-proto/MainBasis/统一需求文档.md；位置：REQ-12600d763965；行3419
2. 规则：BR-d654007d9dfdf8a0
3. 未动态验证</x:v>
      </x:c>
    </x:row>
    <x:row r="357" ht="100" customHeight="1">
      <x:c r="A357" s="10" t="n">
        <x:v>356</x:v>
      </x:c>
      <x:c r="B357" s="10" t="str">
        <x:v>GUILD-05-0084</x:v>
      </x:c>
      <x:c r="C357" s="10" t="str">
        <x:v>数据与收益</x:v>
      </x:c>
      <x:c r="D357" s="10" t="str">
        <x:v>每日（公会长视角）</x:v>
      </x:c>
      <x:c r="E357" s="10" t="str">
        <x:v>逻辑校验</x:v>
      </x:c>
      <x:c r="F357" s="10" t="str">
        <x:v>P1</x:v>
      </x:c>
      <x:c r="G357" s="9" t="str">
        <x:v>验证核对每日全部主播收益的统计范围</x:v>
      </x:c>
      <x:c r="H357" s="9" t="str">
        <x:v>每日全部主播收益</x:v>
      </x:c>
      <x:c r="I357" s="9" t="str">
        <x:v>1. 执行角色为公会长
2. 已登录目标公会的公会长账号，打开每日页并完成下列数据和页面状态准备
3. 9月15日甲收益100金币、乙200金币，查看该日</x:v>
      </x:c>
      <x:c r="J357" s="9" t="str">
        <x:v>1. 查看每日页</x:v>
      </x:c>
      <x:c r="K357" s="9" t="str">
        <x:v>当日收益汇总显示300金币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来源（当前证据）：liveshow-proto/MainBasis/统一需求文档.md；位置：REQ-48b8679384f1；行3423
2. 规则：BR-037c6fabbd519703
3. 未动态验证</x:v>
      </x:c>
    </x:row>
    <x:row r="358" ht="100" customHeight="1">
      <x:c r="A358" s="10" t="n">
        <x:v>357</x:v>
      </x:c>
      <x:c r="B358" s="10" t="str">
        <x:v>GUILD-05-0085</x:v>
      </x:c>
      <x:c r="C358" s="10" t="str">
        <x:v>数据与收益</x:v>
      </x:c>
      <x:c r="D358" s="10" t="str">
        <x:v>每日（公会长视角）</x:v>
      </x:c>
      <x:c r="E358" s="10" t="str">
        <x:v>逻辑校验</x:v>
      </x:c>
      <x:c r="F358" s="10" t="str">
        <x:v>P1</x:v>
      </x:c>
      <x:c r="G358" s="9" t="str">
        <x:v>验证核对每日达标人数的统计范围</x:v>
      </x:c>
      <x:c r="H358" s="9" t="str">
        <x:v>每日达标人数</x:v>
      </x:c>
      <x:c r="I358" s="9" t="str">
        <x:v>1. 执行角色为公会长
2. 已登录目标公会的公会长账号，打开每日页并完成下列数据和页面状态准备
3. 9月15日甲180分钟、乙179分钟、丙181分钟，查看该日</x:v>
      </x:c>
      <x:c r="J358" s="9" t="str">
        <x:v>1. 查看每日页</x:v>
      </x:c>
      <x:c r="K358" s="9" t="str">
        <x:v>达成有效天显示2人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来源（当前证据）：liveshow-proto/MainBasis/统一需求文档.md；位置：REQ-f24885176749；行3427
2. 规则：BR-3eaf6d9b1b6edf47
3. 未动态验证</x:v>
      </x:c>
    </x:row>
    <x:row r="359" ht="85" customHeight="1">
      <x:c r="A359" s="10" t="n">
        <x:v>358</x:v>
      </x:c>
      <x:c r="B359" s="10" t="str">
        <x:v>GUILD-01-0047</x:v>
      </x:c>
      <x:c r="C359" s="10" t="str">
        <x:v>登录与首页</x:v>
      </x:c>
      <x:c r="D359" s="10" t="str">
        <x:v>首页（公会长视角）</x:v>
      </x:c>
      <x:c r="E359" s="10" t="str">
        <x:v>功能需求</x:v>
      </x:c>
      <x:c r="F359" s="10" t="str">
        <x:v>P2</x:v>
      </x:c>
      <x:c r="G359" s="9" t="str">
        <x:v>验证公会首页通知入口未读提示</x:v>
      </x:c>
      <x:c r="H359" s="9" t="str">
        <x:v>通知入口未读提示</x:v>
      </x:c>
      <x:c r="I359" s="9" t="str">
        <x:v>1. 执行角色为公会长
2. 已登录目标公会的公会长账号，打开首页页并完成下列数据和页面状态准备
3. 当前公会有1条未读通知</x:v>
      </x:c>
      <x:c r="J359" s="9" t="str">
        <x:v>1. 查看首页页</x:v>
      </x:c>
      <x:c r="K359" s="9" t="str">
        <x:v>通知入口显示未读提示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来源（当前证据）：liveshow-proto/MainBasis/统一需求文档.md；位置：REQ-3b9a4901a62b；行2737
2. 规则：BR-8c552d14d864a004
3. 未动态验证</x:v>
      </x:c>
    </x:row>
    <x:row r="360" ht="85" customHeight="1">
      <x:c r="A360" s="10" t="n">
        <x:v>359</x:v>
      </x:c>
      <x:c r="B360" s="10" t="str">
        <x:v>GUILD-01-0048</x:v>
      </x:c>
      <x:c r="C360" s="10" t="str">
        <x:v>登录与首页</x:v>
      </x:c>
      <x:c r="D360" s="10" t="str">
        <x:v>首页（公会长视角）</x:v>
      </x:c>
      <x:c r="E360" s="10" t="str">
        <x:v>功能需求</x:v>
      </x:c>
      <x:c r="F360" s="10" t="str">
        <x:v>P2</x:v>
      </x:c>
      <x:c r="G360" s="9" t="str">
        <x:v>验证公会首页通知入口已读状态</x:v>
      </x:c>
      <x:c r="H360" s="9" t="str">
        <x:v>通知入口已读状态</x:v>
      </x:c>
      <x:c r="I360" s="9" t="str">
        <x:v>1. 执行角色为公会长
2. 已登录目标公会的公会长账号，打开首页页并完成下列数据和页面状态准备
3. 当前公会所有通知均已读</x:v>
      </x:c>
      <x:c r="J360" s="9" t="str">
        <x:v>1. 查看首页页</x:v>
      </x:c>
      <x:c r="K360" s="9" t="str">
        <x:v>通知入口不显示未读提示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来源（当前证据）：liveshow-proto/MainBasis/统一需求文档.md；位置：REQ-3b9a4901a62b；行2737
2. 规则：BR-394503ba3ec22348
3. 未动态验证</x:v>
      </x:c>
    </x:row>
    <x:row r="361" ht="115" customHeight="1">
      <x:c r="A361" s="10" t="n">
        <x:v>360</x:v>
      </x:c>
      <x:c r="B361" s="10" t="str">
        <x:v>GUILD-01-0049</x:v>
      </x:c>
      <x:c r="C361" s="10" t="str">
        <x:v>登录与首页</x:v>
      </x:c>
      <x:c r="D361" s="10" t="str">
        <x:v>通知消息（公会长视角）</x:v>
      </x:c>
      <x:c r="E361" s="10" t="str">
        <x:v>逻辑校验</x:v>
      </x:c>
      <x:c r="F361" s="10" t="str">
        <x:v>P1</x:v>
      </x:c>
      <x:c r="G361" s="9" t="str">
        <x:v>验证公会收到平台关闭直播场次通知</x:v>
      </x:c>
      <x:c r="H361" s="9" t="str">
        <x:v>平台关闭直播场次业务通知</x:v>
      </x:c>
      <x:c r="I361" s="9" t="str">
        <x:v>1. 执行角色为公会长
2. 已登录目标公会的公会长账号，打开通知消息页并完成下列数据和页面状态准备
3. 当前公会已发生平台关闭直播场次，通知服务已完成该事件投递</x:v>
      </x:c>
      <x:c r="J361" s="9" t="str">
        <x:v>1. 查看通知消息页</x:v>
      </x:c>
      <x:c r="K361" s="9" t="str">
        <x:v>存在对应平台关闭直播场次通知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来源（当前证据）：liveshow-proto/MainBasis/统一需求文档.md；位置：REQ-4d0543771bfa；行2766
2. 规则：BR-d500bf97beab35a1
3. 未动态验证</x:v>
      </x:c>
    </x:row>
    <x:row r="362" ht="115" customHeight="1">
      <x:c r="A362" s="10" t="n">
        <x:v>361</x:v>
      </x:c>
      <x:c r="B362" s="10" t="str">
        <x:v>GUILD-01-0050</x:v>
      </x:c>
      <x:c r="C362" s="10" t="str">
        <x:v>登录与首页</x:v>
      </x:c>
      <x:c r="D362" s="10" t="str">
        <x:v>通知消息（公会长视角）</x:v>
      </x:c>
      <x:c r="E362" s="10" t="str">
        <x:v>逻辑校验</x:v>
      </x:c>
      <x:c r="F362" s="10" t="str">
        <x:v>P1</x:v>
      </x:c>
      <x:c r="G362" s="9" t="str">
        <x:v>验证公会收到平台恢复直播权限通知</x:v>
      </x:c>
      <x:c r="H362" s="9" t="str">
        <x:v>平台恢复直播权限业务通知</x:v>
      </x:c>
      <x:c r="I362" s="9" t="str">
        <x:v>1. 执行角色为公会长
2. 已登录目标公会的公会长账号，打开通知消息页并完成下列数据和页面状态准备
3. 当前公会已发生平台恢复直播权限，通知服务已完成该事件投递</x:v>
      </x:c>
      <x:c r="J362" s="9" t="str">
        <x:v>1. 查看通知消息页</x:v>
      </x:c>
      <x:c r="K362" s="9" t="str">
        <x:v>存在对应平台恢复直播权限通知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来源（当前证据）：liveshow-proto/MainBasis/统一需求文档.md；位置：REQ-4d0543771bfa；行2766
2. 规则：BR-a14459189f2565d4
3. 未动态验证</x:v>
      </x:c>
    </x:row>
    <x:row r="363" ht="115" customHeight="1">
      <x:c r="A363" s="10" t="n">
        <x:v>362</x:v>
      </x:c>
      <x:c r="B363" s="10" t="str">
        <x:v>GUILD-01-0051</x:v>
      </x:c>
      <x:c r="C363" s="10" t="str">
        <x:v>登录与首页</x:v>
      </x:c>
      <x:c r="D363" s="10" t="str">
        <x:v>通知消息（公会长视角）</x:v>
      </x:c>
      <x:c r="E363" s="10" t="str">
        <x:v>逻辑校验</x:v>
      </x:c>
      <x:c r="F363" s="10" t="str">
        <x:v>P1</x:v>
      </x:c>
      <x:c r="G363" s="9" t="str">
        <x:v>验证公会收到公会长账号状态变更通知</x:v>
      </x:c>
      <x:c r="H363" s="9" t="str">
        <x:v>公会长账号状态变更业务通知</x:v>
      </x:c>
      <x:c r="I363" s="9" t="str">
        <x:v>1. 执行角色为公会长
2. 已登录目标公会的公会长账号，打开通知消息页并完成下列数据和页面状态准备
3. 当前公会已发生公会长账号状态变更，通知服务已完成该事件投递</x:v>
      </x:c>
      <x:c r="J363" s="9" t="str">
        <x:v>1. 查看通知消息页</x:v>
      </x:c>
      <x:c r="K363" s="9" t="str">
        <x:v>存在对应公会长账号状态变更通知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来源（当前证据）：liveshow-proto/MainBasis/统一需求文档.md；位置：REQ-ad9fa1638ecd；行2768
2. 规则：BR-50b9ff7174039b93
3. 未动态验证</x:v>
      </x:c>
    </x:row>
    <x:row r="364" ht="100" customHeight="1">
      <x:c r="A364" s="10" t="n">
        <x:v>363</x:v>
      </x:c>
      <x:c r="B364" s="10" t="str">
        <x:v>GUILD-01-0052</x:v>
      </x:c>
      <x:c r="C364" s="10" t="str">
        <x:v>登录与首页</x:v>
      </x:c>
      <x:c r="D364" s="10" t="str">
        <x:v>通知消息（公会长视角）</x:v>
      </x:c>
      <x:c r="E364" s="10" t="str">
        <x:v>逻辑校验</x:v>
      </x:c>
      <x:c r="F364" s="10" t="str">
        <x:v>P1</x:v>
      </x:c>
      <x:c r="G364" s="9" t="str">
        <x:v>验证公会收到主播分成冲正通知</x:v>
      </x:c>
      <x:c r="H364" s="9" t="str">
        <x:v>主播分成冲正业务通知</x:v>
      </x:c>
      <x:c r="I364" s="9" t="str">
        <x:v>1. 执行角色为公会长
2. 已登录目标公会的公会长账号，打开通知消息页并完成下列数据和页面状态准备
3. 当前公会已发生主播分成冲正，通知服务已完成该事件投递</x:v>
      </x:c>
      <x:c r="J364" s="9" t="str">
        <x:v>1. 查看通知消息页</x:v>
      </x:c>
      <x:c r="K364" s="9" t="str">
        <x:v>存在对应主播分成冲正通知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来源（当前证据）：liveshow-proto/MainBasis/统一需求文档.md；位置：REQ-bb6cd0c38874；行2770
2. 规则：BR-5fab1a67b7d29eea
3. 未动态验证</x:v>
      </x:c>
    </x:row>
    <x:row r="365" ht="100" customHeight="1">
      <x:c r="A365" s="10" t="n">
        <x:v>364</x:v>
      </x:c>
      <x:c r="B365" s="10" t="str">
        <x:v>GUILD-01-0053</x:v>
      </x:c>
      <x:c r="C365" s="10" t="str">
        <x:v>登录与首页</x:v>
      </x:c>
      <x:c r="D365" s="10" t="str">
        <x:v>通知消息（公会长视角）</x:v>
      </x:c>
      <x:c r="E365" s="10" t="str">
        <x:v>逻辑校验</x:v>
      </x:c>
      <x:c r="F365" s="10" t="str">
        <x:v>P1</x:v>
      </x:c>
      <x:c r="G365" s="9" t="str">
        <x:v>验证公会收到公会分成冲正通知</x:v>
      </x:c>
      <x:c r="H365" s="9" t="str">
        <x:v>公会分成冲正业务通知</x:v>
      </x:c>
      <x:c r="I365" s="9" t="str">
        <x:v>1. 执行角色为公会长
2. 已登录目标公会的公会长账号，打开通知消息页并完成下列数据和页面状态准备
3. 当前公会已发生公会分成冲正，通知服务已完成该事件投递</x:v>
      </x:c>
      <x:c r="J365" s="9" t="str">
        <x:v>1. 查看通知消息页</x:v>
      </x:c>
      <x:c r="K365" s="9" t="str">
        <x:v>存在对应公会分成冲正通知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来源（当前证据）：liveshow-proto/MainBasis/统一需求文档.md；位置：REQ-bb6cd0c38874；行2770
2. 规则：BR-0b424aae0aa5777c
3. 未动态验证</x:v>
      </x:c>
    </x:row>
    <x:row r="366" ht="85" customHeight="1">
      <x:c r="A366" s="10" t="n">
        <x:v>365</x:v>
      </x:c>
      <x:c r="B366" s="10" t="str">
        <x:v>GUILD-01-0054</x:v>
      </x:c>
      <x:c r="C366" s="10" t="str">
        <x:v>登录与首页</x:v>
      </x:c>
      <x:c r="D366" s="10" t="str">
        <x:v>通知消息（公会长视角）</x:v>
      </x:c>
      <x:c r="E366" s="10" t="str">
        <x:v>功能需求</x:v>
      </x:c>
      <x:c r="F366" s="10" t="str">
        <x:v>P2</x:v>
      </x:c>
      <x:c r="G366" s="9" t="str">
        <x:v>验证通知列表打开选中通知</x:v>
      </x:c>
      <x:c r="H366" s="9" t="str">
        <x:v>通知列表详情对应</x:v>
      </x:c>
      <x:c r="I366" s="9" t="str">
        <x:v>1. 执行角色为公会长
2. 已登录目标公会的公会长账号，打开通知消息页并完成下列数据和页面状态准备
3. 当前列表有通知N和M</x:v>
      </x:c>
      <x:c r="J366" s="9" t="str">
        <x:v>1. 查看通知消息页
2. 点击通知N</x:v>
      </x:c>
      <x:c r="K366" s="9" t="str">
        <x:v>详情展示通知N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来源（当前证据）：liveshow-proto/MainBasis/统一需求文档.md；位置：REQ-10ced19ffe25；行2772
2. 规则：BR-4ea4631106a824cd
3. 未动态验证</x:v>
      </x:c>
    </x:row>
    <x:row r="367" ht="100" customHeight="1">
      <x:c r="A367" s="10" t="n">
        <x:v>366</x:v>
      </x:c>
      <x:c r="B367" s="10" t="str">
        <x:v>GUILD-02-0112</x:v>
      </x:c>
      <x:c r="C367" s="10" t="str">
        <x:v>主播管理</x:v>
      </x:c>
      <x:c r="D367" s="10" t="str">
        <x:v>入会申请（公会长视角）</x:v>
      </x:c>
      <x:c r="E367" s="10" t="str">
        <x:v>逻辑校验</x:v>
      </x:c>
      <x:c r="F367" s="10" t="str">
        <x:v>P1</x:v>
      </x:c>
      <x:c r="G367" s="9" t="str">
        <x:v>验证入会已通过数量</x:v>
      </x:c>
      <x:c r="H367" s="9" t="str">
        <x:v>已通过申请数量</x:v>
      </x:c>
      <x:c r="I367" s="9" t="str">
        <x:v>1. 执行角色为公会长
2. 已登录目标公会的公会长账号，打开入会申请页并完成下列数据和页面状态准备
3. 当前公会已通过申请3单，其他状态4单</x:v>
      </x:c>
      <x:c r="J367" s="9" t="str">
        <x:v>1. 查看入会申请页</x:v>
      </x:c>
      <x:c r="K367" s="9" t="str">
        <x:v>已通过数量显示3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来源（当前证据）：liveshow-proto/MainBasis/统一需求文档.md；位置：REQ-7c3feec7bb55；行2790
2. 规则：BR-9669025e68f6a2fd
3. 未动态验证</x:v>
      </x:c>
    </x:row>
    <x:row r="368" ht="100" customHeight="1">
      <x:c r="A368" s="10" t="n">
        <x:v>367</x:v>
      </x:c>
      <x:c r="B368" s="10" t="str">
        <x:v>GUILD-02-0113</x:v>
      </x:c>
      <x:c r="C368" s="10" t="str">
        <x:v>主播管理</x:v>
      </x:c>
      <x:c r="D368" s="10" t="str">
        <x:v>入会申请（公会长视角）</x:v>
      </x:c>
      <x:c r="E368" s="10" t="str">
        <x:v>逻辑校验</x:v>
      </x:c>
      <x:c r="F368" s="10" t="str">
        <x:v>P1</x:v>
      </x:c>
      <x:c r="G368" s="9" t="str">
        <x:v>验证入会已驳回数量</x:v>
      </x:c>
      <x:c r="H368" s="9" t="str">
        <x:v>已驳回申请数量</x:v>
      </x:c>
      <x:c r="I368" s="9" t="str">
        <x:v>1. 执行角色为公会长
2. 已登录目标公会的公会长账号，打开入会申请页并完成下列数据和页面状态准备
3. 当前公会已驳回申请3单，其他状态4单</x:v>
      </x:c>
      <x:c r="J368" s="9" t="str">
        <x:v>1. 查看入会申请页</x:v>
      </x:c>
      <x:c r="K368" s="9" t="str">
        <x:v>已驳回数量显示3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来源（当前证据）：liveshow-proto/MainBasis/统一需求文档.md；位置：REQ-7c3feec7bb55；行2790
2. 规则：BR-552b6357e34067b1
3. 未动态验证</x:v>
      </x:c>
    </x:row>
    <x:row r="369" ht="100" customHeight="1">
      <x:c r="A369" s="10" t="n">
        <x:v>368</x:v>
      </x:c>
      <x:c r="B369" s="10" t="str">
        <x:v>GUILD-02-0114</x:v>
      </x:c>
      <x:c r="C369" s="10" t="str">
        <x:v>主播管理</x:v>
      </x:c>
      <x:c r="D369" s="10" t="str">
        <x:v>退会申请（公会长视角）</x:v>
      </x:c>
      <x:c r="E369" s="10" t="str">
        <x:v>逻辑校验</x:v>
      </x:c>
      <x:c r="F369" s="10" t="str">
        <x:v>P1</x:v>
      </x:c>
      <x:c r="G369" s="9" t="str">
        <x:v>验证退会已通过数量</x:v>
      </x:c>
      <x:c r="H369" s="9" t="str">
        <x:v>已通过申请数量</x:v>
      </x:c>
      <x:c r="I369" s="9" t="str">
        <x:v>1. 执行角色为公会长
2. 已登录目标公会的公会长账号，打开退会申请页并完成下列数据和页面状态准备
3. 当前公会已通过申请3单，其他状态4单</x:v>
      </x:c>
      <x:c r="J369" s="9" t="str">
        <x:v>1. 查看退会申请页</x:v>
      </x:c>
      <x:c r="K369" s="9" t="str">
        <x:v>已通过数量显示3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来源（当前证据）：liveshow-proto/MainBasis/统一需求文档.md；位置：REQ-34f3e2e1e60c；行2842
2. 规则：BR-7e9423fae5bbe290
3. 未动态验证</x:v>
      </x:c>
    </x:row>
    <x:row r="370" ht="100" customHeight="1">
      <x:c r="A370" s="10" t="n">
        <x:v>369</x:v>
      </x:c>
      <x:c r="B370" s="10" t="str">
        <x:v>GUILD-02-0115</x:v>
      </x:c>
      <x:c r="C370" s="10" t="str">
        <x:v>主播管理</x:v>
      </x:c>
      <x:c r="D370" s="10" t="str">
        <x:v>退会申请（公会长视角）</x:v>
      </x:c>
      <x:c r="E370" s="10" t="str">
        <x:v>逻辑校验</x:v>
      </x:c>
      <x:c r="F370" s="10" t="str">
        <x:v>P1</x:v>
      </x:c>
      <x:c r="G370" s="9" t="str">
        <x:v>验证退会已驳回数量</x:v>
      </x:c>
      <x:c r="H370" s="9" t="str">
        <x:v>已驳回申请数量</x:v>
      </x:c>
      <x:c r="I370" s="9" t="str">
        <x:v>1. 执行角色为公会长
2. 已登录目标公会的公会长账号，打开退会申请页并完成下列数据和页面状态准备
3. 当前公会已驳回申请3单，其他状态4单</x:v>
      </x:c>
      <x:c r="J370" s="9" t="str">
        <x:v>1. 查看退会申请页</x:v>
      </x:c>
      <x:c r="K370" s="9" t="str">
        <x:v>已驳回数量显示3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来源（当前证据）：liveshow-proto/MainBasis/统一需求文档.md；位置：REQ-34f3e2e1e60c；行2842
2. 规则：BR-3756ec1fc685400a
3. 未动态验证</x:v>
      </x:c>
    </x:row>
    <x:row r="371" ht="100" customHeight="1">
      <x:c r="A371" s="10" t="n">
        <x:v>370</x:v>
      </x:c>
      <x:c r="B371" s="10" t="str">
        <x:v>GUILD-02-0116</x:v>
      </x:c>
      <x:c r="C371" s="10" t="str">
        <x:v>主播管理</x:v>
      </x:c>
      <x:c r="D371" s="10" t="str">
        <x:v>入会申请（公会长视角）</x:v>
      </x:c>
      <x:c r="E371" s="10" t="str">
        <x:v>逻辑校验</x:v>
      </x:c>
      <x:c r="F371" s="10" t="str">
        <x:v>P1</x:v>
      </x:c>
      <x:c r="G371" s="9" t="str">
        <x:v>验证入会公会驳回状态不冒充平台结论</x:v>
      </x:c>
      <x:c r="H371" s="9" t="str">
        <x:v>公会驳回阶段标识</x:v>
      </x:c>
      <x:c r="I371" s="9" t="str">
        <x:v>1. 执行角色为公会长
2. 已登录目标公会的公会长账号，打开入会申请页并完成下列数据和页面状态准备
3. 申请A被公会驳回，平台从未处理</x:v>
      </x:c>
      <x:c r="J371" s="9" t="str">
        <x:v>1. 查看入会申请页
2. 切换已驳回</x:v>
      </x:c>
      <x:c r="K371" s="9" t="str">
        <x:v>申请A显示公会驳回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来源（当前证据）：liveshow-proto/MainBasis/统一需求文档.md；位置：REQ-01aea7c3c29c；行2796
2. 规则：BR-3113b482996631c6
3. 未动态验证</x:v>
      </x:c>
    </x:row>
    <x:row r="372" ht="85" customHeight="1">
      <x:c r="A372" s="10" t="n">
        <x:v>371</x:v>
      </x:c>
      <x:c r="B372" s="10" t="str">
        <x:v>GUILD-02-0117</x:v>
      </x:c>
      <x:c r="C372" s="10" t="str">
        <x:v>主播管理</x:v>
      </x:c>
      <x:c r="D372" s="10" t="str">
        <x:v>入会申请详情（公会长视角）</x:v>
      </x:c>
      <x:c r="E372" s="10" t="str">
        <x:v>逻辑校验</x:v>
      </x:c>
      <x:c r="F372" s="10" t="str">
        <x:v>P1</x:v>
      </x:c>
      <x:c r="G372" s="9" t="str">
        <x:v>验证入会进度识别用户刚提交</x:v>
      </x:c>
      <x:c r="H372" s="9" t="str">
        <x:v>入会当前审核阶段</x:v>
      </x:c>
      <x:c r="I372" s="9" t="str">
        <x:v>1. 执行角色为公会长
2. 已登录目标公会的公会长账号，打开入会申请详情页并完成下列数据和页面状态准备
3. 当前申请用户刚提交</x:v>
      </x:c>
      <x:c r="J372" s="9" t="str">
        <x:v>1. 查看入会申请详情页</x:v>
      </x:c>
      <x:c r="K372" s="9" t="str">
        <x:v>当前阶段显示待公会审核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来源（当前证据）：liveshow-proto/MainBasis/统一需求文档.md；位置：REQ-14cedfd463b3；行2821
2. 规则：BR-93b7705e9e8baec2
3. 未动态验证</x:v>
      </x:c>
    </x:row>
    <x:row r="373" ht="85" customHeight="1">
      <x:c r="A373" s="10" t="n">
        <x:v>372</x:v>
      </x:c>
      <x:c r="B373" s="10" t="str">
        <x:v>GUILD-02-0118</x:v>
      </x:c>
      <x:c r="C373" s="10" t="str">
        <x:v>主播管理</x:v>
      </x:c>
      <x:c r="D373" s="10" t="str">
        <x:v>入会申请详情（公会长视角）</x:v>
      </x:c>
      <x:c r="E373" s="10" t="str">
        <x:v>逻辑校验</x:v>
      </x:c>
      <x:c r="F373" s="10" t="str">
        <x:v>P1</x:v>
      </x:c>
      <x:c r="G373" s="9" t="str">
        <x:v>验证入会进度识别平台终审已通过</x:v>
      </x:c>
      <x:c r="H373" s="9" t="str">
        <x:v>入会当前审核阶段</x:v>
      </x:c>
      <x:c r="I373" s="9" t="str">
        <x:v>1. 执行角色为公会长
2. 已登录目标公会的公会长账号，打开入会申请详情页并完成下列数据和页面状态准备
3. 当前申请平台终审已通过</x:v>
      </x:c>
      <x:c r="J373" s="9" t="str">
        <x:v>1. 查看入会申请详情页</x:v>
      </x:c>
      <x:c r="K373" s="9" t="str">
        <x:v>当前阶段显示成为主播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来源（当前证据）：liveshow-proto/MainBasis/统一需求文档.md；位置：REQ-14cedfd463b3；行2821
2. 规则：BR-8809db1c485f3176
3. 未动态验证</x:v>
      </x:c>
    </x:row>
    <x:row r="374" ht="100" customHeight="1">
      <x:c r="A374" s="10" t="n">
        <x:v>373</x:v>
      </x:c>
      <x:c r="B374" s="10" t="str">
        <x:v>GUILD-02-0119</x:v>
      </x:c>
      <x:c r="C374" s="10" t="str">
        <x:v>主播管理</x:v>
      </x:c>
      <x:c r="D374" s="10" t="str">
        <x:v>入会申请详情（公会长视角）</x:v>
      </x:c>
      <x:c r="E374" s="10" t="str">
        <x:v>功能需求</x:v>
      </x:c>
      <x:c r="F374" s="10" t="str">
        <x:v>P2</x:v>
      </x:c>
      <x:c r="G374" s="9" t="str">
        <x:v>验证入会审核完成显示实际节点时间</x:v>
      </x:c>
      <x:c r="H374" s="9" t="str">
        <x:v>入会完成节点时间</x:v>
      </x:c>
      <x:c r="I374" s="9" t="str">
        <x:v>1. 执行角色为公会长
2. 已登录目标公会的公会长账号，打开入会申请详情页并完成下列数据和页面状态准备
3. 申请9月14日10:00提交，公会9月15日11:00通过</x:v>
      </x:c>
      <x:c r="J374" s="9" t="str">
        <x:v>1. 查看入会申请详情页</x:v>
      </x:c>
      <x:c r="K374" s="9" t="str">
        <x:v>公会节点时间对应9月15日11:00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来源（当前证据）：liveshow-proto/MainBasis/统一需求文档.md；位置：REQ-e5d474e04dec；行2823
2. 规则：BR-c9c50d9a95cc1bd1
3. 未动态验证</x:v>
      </x:c>
    </x:row>
    <x:row r="375" ht="85" customHeight="1">
      <x:c r="A375" s="10" t="n">
        <x:v>374</x:v>
      </x:c>
      <x:c r="B375" s="10" t="str">
        <x:v>GUILD-02-0120</x:v>
      </x:c>
      <x:c r="C375" s="10" t="str">
        <x:v>主播管理</x:v>
      </x:c>
      <x:c r="D375" s="10" t="str">
        <x:v>入会申请详情（公会长视角）</x:v>
      </x:c>
      <x:c r="E375" s="10" t="str">
        <x:v>逻辑校验</x:v>
      </x:c>
      <x:c r="F375" s="10" t="str">
        <x:v>P1</x:v>
      </x:c>
      <x:c r="G375" s="9" t="str">
        <x:v>验证入会驳回理由达到200字符可提交</x:v>
      </x:c>
      <x:c r="H375" s="9" t="str">
        <x:v>入会驳回理由上限可用</x:v>
      </x:c>
      <x:c r="I375" s="9" t="str">
        <x:v>1. 执行角色为公会长
2. 已登录目标公会的公会长账号，打开入会申请详情页并完成下列数据和页面状态准备
3. 当前入会申请待公会处理</x:v>
      </x:c>
      <x:c r="J375" s="9" t="str">
        <x:v>1. 查看入会申请详情页
2. 点击驳回
3. 填写驳回理由为200个A
4. 点击确认</x:v>
      </x:c>
      <x:c r="K375" s="9" t="str">
        <x:v>对应驳回节点显示完整200个A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来源（当前证据）：liveshow-proto/MainBasis/统一需求文档.md；位置：REQ-53046ad842aa；行2825
2. 规则：BR-b1454237d628615a
3. 未动态验证</x:v>
      </x:c>
    </x:row>
    <x:row r="376" ht="85" customHeight="1">
      <x:c r="A376" s="10" t="n">
        <x:v>375</x:v>
      </x:c>
      <x:c r="B376" s="10" t="str">
        <x:v>GUILD-02-0121</x:v>
      </x:c>
      <x:c r="C376" s="10" t="str">
        <x:v>主播管理</x:v>
      </x:c>
      <x:c r="D376" s="10" t="str">
        <x:v>入会申请详情（公会长视角）</x:v>
      </x:c>
      <x:c r="E376" s="10" t="str">
        <x:v>逻辑校验</x:v>
      </x:c>
      <x:c r="F376" s="10" t="str">
        <x:v>P1</x:v>
      </x:c>
      <x:c r="G376" s="9" t="str">
        <x:v>验证入会已通过申请不可再审核</x:v>
      </x:c>
      <x:c r="H376" s="9" t="str">
        <x:v>入会通过结果只读</x:v>
      </x:c>
      <x:c r="I376" s="9" t="str">
        <x:v>1. 执行角色为公会长
2. 已登录目标公会的公会长账号，打开入会申请详情页并完成下列数据和页面状态准备
3. 当前入会申请已处理为通过</x:v>
      </x:c>
      <x:c r="J376" s="9" t="str">
        <x:v>1. 查看入会申请详情页</x:v>
      </x:c>
      <x:c r="K376" s="9" t="str">
        <x:v>不提供再次通过或驳回操作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来源（当前证据）：liveshow-proto/MainBasis/统一需求文档.md；位置：REQ-291af42ec723；行2833
2. 规则：BR-18b1b9a4d4f68043
3. 未动态验证</x:v>
      </x:c>
    </x:row>
    <x:row r="377" ht="100" customHeight="1">
      <x:c r="A377" s="10" t="n">
        <x:v>376</x:v>
      </x:c>
      <x:c r="B377" s="10" t="str">
        <x:v>GUILD-02-0122</x:v>
      </x:c>
      <x:c r="C377" s="10" t="str">
        <x:v>主播管理</x:v>
      </x:c>
      <x:c r="D377" s="10" t="str">
        <x:v>退会申请详情（公会长视角）</x:v>
      </x:c>
      <x:c r="E377" s="10" t="str">
        <x:v>逻辑校验</x:v>
      </x:c>
      <x:c r="F377" s="10" t="str">
        <x:v>P1</x:v>
      </x:c>
      <x:c r="G377" s="9" t="str">
        <x:v>验证退会驳回理由达到200字符可提交</x:v>
      </x:c>
      <x:c r="H377" s="9" t="str">
        <x:v>退会驳回理由上限可用</x:v>
      </x:c>
      <x:c r="I377" s="9" t="str">
        <x:v>1. 执行角色为公会长
2. 已登录目标公会的公会长账号，打开退会申请详情页并完成下列数据和页面状态准备
3. 当前退会申请待公会处理</x:v>
      </x:c>
      <x:c r="J377" s="9" t="str">
        <x:v>1. 查看退会申请详情页
2. 点击驳回
3. 填写驳回理由为200个A
4. 点击确认</x:v>
      </x:c>
      <x:c r="K377" s="9" t="str">
        <x:v>对应驳回节点显示完整200个A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来源（当前证据）：liveshow-proto/MainBasis/统一需求文档.md；位置：REQ-30c7a0c47120；行2873、REQ-4e84386ce9a6；行2879
2. 规则：BR-2fb89658ad31a12c
3. 未动态验证</x:v>
      </x:c>
    </x:row>
    <x:row r="378" ht="85" customHeight="1">
      <x:c r="A378" s="10" t="n">
        <x:v>377</x:v>
      </x:c>
      <x:c r="B378" s="10" t="str">
        <x:v>GUILD-02-0123</x:v>
      </x:c>
      <x:c r="C378" s="10" t="str">
        <x:v>主播管理</x:v>
      </x:c>
      <x:c r="D378" s="10" t="str">
        <x:v>退会申请详情（公会长视角）</x:v>
      </x:c>
      <x:c r="E378" s="10" t="str">
        <x:v>逻辑校验</x:v>
      </x:c>
      <x:c r="F378" s="10" t="str">
        <x:v>P1</x:v>
      </x:c>
      <x:c r="G378" s="9" t="str">
        <x:v>验证退会已通过申请不可再审核</x:v>
      </x:c>
      <x:c r="H378" s="9" t="str">
        <x:v>退会通过结果只读</x:v>
      </x:c>
      <x:c r="I378" s="9" t="str">
        <x:v>1. 执行角色为公会长
2. 已登录目标公会的公会长账号，打开退会申请详情页并完成下列数据和页面状态准备
3. 当前退会申请已处理为通过</x:v>
      </x:c>
      <x:c r="J378" s="9" t="str">
        <x:v>1. 查看退会申请详情页</x:v>
      </x:c>
      <x:c r="K378" s="9" t="str">
        <x:v>不提供再次通过或驳回操作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来源（当前证据）：liveshow-proto/MainBasis/统一需求文档.md；位置：REQ-4e84386ce9a6；行2879
2. 规则：BR-a9988e069ed416db
3. 未动态验证</x:v>
      </x:c>
    </x:row>
    <x:row r="379" ht="85" customHeight="1">
      <x:c r="A379" s="10" t="n">
        <x:v>378</x:v>
      </x:c>
      <x:c r="B379" s="10" t="str">
        <x:v>GUILD-02-0124</x:v>
      </x:c>
      <x:c r="C379" s="10" t="str">
        <x:v>主播管理</x:v>
      </x:c>
      <x:c r="D379" s="10" t="str">
        <x:v>入会申请详情（公会长视角）</x:v>
      </x:c>
      <x:c r="E379" s="10" t="str">
        <x:v>逻辑校验</x:v>
      </x:c>
      <x:c r="F379" s="10" t="str">
        <x:v>P1</x:v>
      </x:c>
      <x:c r="G379" s="9" t="str">
        <x:v>验证公会驳回入会形成终态</x:v>
      </x:c>
      <x:c r="H379" s="9" t="str">
        <x:v>公会驳回申请状态</x:v>
      </x:c>
      <x:c r="I379" s="9" t="str">
        <x:v>1. 执行角色为公会长
2. 已登录目标公会的公会长账号，打开入会申请详情页并完成下列数据和页面状态准备
3. 当前申请待公会审核</x:v>
      </x:c>
      <x:c r="J379" s="9" t="str">
        <x:v>1. 查看入会申请详情页
2. 点击驳回
3. 填写驳回理由为资料不足
4. 点击确认</x:v>
      </x:c>
      <x:c r="K379" s="9" t="str">
        <x:v>本次申请显示公会驳回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来源（当前证据）：liveshow-proto/MainBasis/统一需求文档.md；位置：REQ-58a3b3083f47；行2835
2. 规则：BR-719f3bf2af7f09b1
3. 未动态验证</x:v>
      </x:c>
    </x:row>
    <x:row r="380" ht="85" customHeight="1">
      <x:c r="A380" s="10" t="n">
        <x:v>379</x:v>
      </x:c>
      <x:c r="B380" s="10" t="str">
        <x:v>GUILD-02-0125</x:v>
      </x:c>
      <x:c r="C380" s="10" t="str">
        <x:v>主播管理</x:v>
      </x:c>
      <x:c r="D380" s="10" t="str">
        <x:v>退会申请详情（公会长视角）</x:v>
      </x:c>
      <x:c r="E380" s="10" t="str">
        <x:v>逻辑校验</x:v>
      </x:c>
      <x:c r="F380" s="10" t="str">
        <x:v>P1</x:v>
      </x:c>
      <x:c r="G380" s="9" t="str">
        <x:v>验证退会详情显示待审核</x:v>
      </x:c>
      <x:c r="H380" s="9" t="str">
        <x:v>退会申请当前状态</x:v>
      </x:c>
      <x:c r="I380" s="9" t="str">
        <x:v>1. 执行角色为公会长
2. 已登录目标公会的公会长账号，打开退会申请详情页并完成下列数据和页面状态准备
3. 当前申请状态待审核</x:v>
      </x:c>
      <x:c r="J380" s="9" t="str">
        <x:v>1. 查看退会申请详情页</x:v>
      </x:c>
      <x:c r="K380" s="9" t="str">
        <x:v>申请状态显示待审核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来源（当前证据）：liveshow-proto/MainBasis/统一需求文档.md；位置：REQ-7cd6e6046561；行2867
2. 规则：BR-4b5f1c701fc55c89
3. 未动态验证</x:v>
      </x:c>
    </x:row>
    <x:row r="381" ht="85" customHeight="1">
      <x:c r="A381" s="10" t="n">
        <x:v>380</x:v>
      </x:c>
      <x:c r="B381" s="10" t="str">
        <x:v>GUILD-02-0126</x:v>
      </x:c>
      <x:c r="C381" s="10" t="str">
        <x:v>主播管理</x:v>
      </x:c>
      <x:c r="D381" s="10" t="str">
        <x:v>退会申请详情（公会长视角）</x:v>
      </x:c>
      <x:c r="E381" s="10" t="str">
        <x:v>逻辑校验</x:v>
      </x:c>
      <x:c r="F381" s="10" t="str">
        <x:v>P1</x:v>
      </x:c>
      <x:c r="G381" s="9" t="str">
        <x:v>验证退会详情显示已通过</x:v>
      </x:c>
      <x:c r="H381" s="9" t="str">
        <x:v>退会申请当前状态</x:v>
      </x:c>
      <x:c r="I381" s="9" t="str">
        <x:v>1. 执行角色为公会长
2. 已登录目标公会的公会长账号，打开退会申请详情页并完成下列数据和页面状态准备
3. 当前申请状态已通过</x:v>
      </x:c>
      <x:c r="J381" s="9" t="str">
        <x:v>1. 查看退会申请详情页</x:v>
      </x:c>
      <x:c r="K381" s="9" t="str">
        <x:v>申请状态显示已通过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来源（当前证据）：liveshow-proto/MainBasis/统一需求文档.md；位置：REQ-7cd6e6046561；行2867
2. 规则：BR-6d8e1201a29493c8
3. 未动态验证</x:v>
      </x:c>
    </x:row>
    <x:row r="382" ht="100" customHeight="1">
      <x:c r="A382" s="10" t="n">
        <x:v>381</x:v>
      </x:c>
      <x:c r="B382" s="10" t="str">
        <x:v>GUILD-02-0127</x:v>
      </x:c>
      <x:c r="C382" s="10" t="str">
        <x:v>主播管理</x:v>
      </x:c>
      <x:c r="D382" s="10" t="str">
        <x:v>主播列表（公会长视角）</x:v>
      </x:c>
      <x:c r="E382" s="10" t="str">
        <x:v>逻辑校验</x:v>
      </x:c>
      <x:c r="F382" s="10" t="str">
        <x:v>P1</x:v>
      </x:c>
      <x:c r="G382" s="9" t="str">
        <x:v>验证已退会列表人数只统计历史关系</x:v>
      </x:c>
      <x:c r="H382" s="9" t="str">
        <x:v>已退会成员人数</x:v>
      </x:c>
      <x:c r="I382" s="9" t="str">
        <x:v>1. 执行角色为公会长
2. 已登录目标公会的公会长账号，打开主播列表页并完成下列数据和页面状态准备
3. 当前公会历史已退会3人，在会2人</x:v>
      </x:c>
      <x:c r="J382" s="9" t="str">
        <x:v>1. 查看主播列表页</x:v>
      </x:c>
      <x:c r="K382" s="9" t="str">
        <x:v>已退会人数显示3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来源（当前证据）：liveshow-proto/MainBasis/统一需求文档.md；位置：REQ-0d0a38bc020e；行2886
2. 规则：BR-f738f86aec6cf1b8
3. 未动态验证</x:v>
      </x:c>
    </x:row>
    <x:row r="383" ht="100" customHeight="1">
      <x:c r="A383" s="10" t="n">
        <x:v>382</x:v>
      </x:c>
      <x:c r="B383" s="10" t="str">
        <x:v>GUILD-02-0128</x:v>
      </x:c>
      <x:c r="C383" s="10" t="str">
        <x:v>主播管理</x:v>
      </x:c>
      <x:c r="D383" s="10" t="str">
        <x:v>主播列表（公会长视角）</x:v>
      </x:c>
      <x:c r="E383" s="10" t="str">
        <x:v>逻辑校验</x:v>
      </x:c>
      <x:c r="F383" s="10" t="str">
        <x:v>P1</x:v>
      </x:c>
      <x:c r="G383" s="9" t="str">
        <x:v>验证待认证普通用户不列为主播</x:v>
      </x:c>
      <x:c r="H383" s="9" t="str">
        <x:v>主播列表身份范围</x:v>
      </x:c>
      <x:c r="I383" s="9" t="str">
        <x:v>1. 执行角色为公会长
2. 已登录目标公会的公会长账号，打开主播列表页并完成下列数据和页面状态准备
3. 甲当前为在会主播，乙普通用户入会待平台审核</x:v>
      </x:c>
      <x:c r="J383" s="9" t="str">
        <x:v>1. 查看主播列表页</x:v>
      </x:c>
      <x:c r="K383" s="9" t="str">
        <x:v>在会列表不显示乙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来源（当前证据）：liveshow-proto/MainBasis/统一需求文档.md；位置：REQ-381281aaf488；行2896
2. 规则：BR-4feb9ef45994b2fc
3. 未动态验证</x:v>
      </x:c>
    </x:row>
    <x:row r="384" ht="100" customHeight="1">
      <x:c r="A384" s="10" t="n">
        <x:v>383</x:v>
      </x:c>
      <x:c r="B384" s="10" t="str">
        <x:v>GUILD-02-0129</x:v>
      </x:c>
      <x:c r="C384" s="10" t="str">
        <x:v>主播管理</x:v>
      </x:c>
      <x:c r="D384" s="10" t="str">
        <x:v>主播列表（公会长视角）</x:v>
      </x:c>
      <x:c r="E384" s="10" t="str">
        <x:v>功能需求</x:v>
      </x:c>
      <x:c r="F384" s="10" t="str">
        <x:v>P2</x:v>
      </x:c>
      <x:c r="G384" s="9" t="str">
        <x:v>验证成员列表打开目标主播主页</x:v>
      </x:c>
      <x:c r="H384" s="9" t="str">
        <x:v>成员详情对象</x:v>
      </x:c>
      <x:c r="I384" s="9" t="str">
        <x:v>1. 执行角色为公会长
2. 已登录目标公会的公会长账号，打开主播列表页并完成下列数据和页面状态准备
3. 当前公会甲H001和乙H002均在会</x:v>
      </x:c>
      <x:c r="J384" s="9" t="str">
        <x:v>1. 查看主播列表页
2. 点击主播甲</x:v>
      </x:c>
      <x:c r="K384" s="9" t="str">
        <x:v>进入甲H001的主播主页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来源（当前证据）：liveshow-proto/MainBasis/统一需求文档.md；位置：REQ-cbb7a2174f2f；行2898
2. 规则：BR-16802e000f28d556
3. 未动态验证</x:v>
      </x:c>
    </x:row>
    <x:row r="385" ht="100" customHeight="1">
      <x:c r="A385" s="10" t="n">
        <x:v>384</x:v>
      </x:c>
      <x:c r="B385" s="10" t="str">
        <x:v>GUILD-02-0130</x:v>
      </x:c>
      <x:c r="C385" s="10" t="str">
        <x:v>主播管理</x:v>
      </x:c>
      <x:c r="D385" s="10" t="str">
        <x:v>主播列表（公会长视角）</x:v>
      </x:c>
      <x:c r="E385" s="10" t="str">
        <x:v>功能需求</x:v>
      </x:c>
      <x:c r="F385" s="10" t="str">
        <x:v>P2</x:v>
      </x:c>
      <x:c r="G385" s="9" t="str">
        <x:v>验证主播列表按部分昵称查询</x:v>
      </x:c>
      <x:c r="H385" s="9" t="str">
        <x:v>昵称模糊搜索</x:v>
      </x:c>
      <x:c r="I385" s="9" t="str">
        <x:v>1. 执行角色为公会长
2. 已登录目标公会的公会长账号，打开主播列表页并完成下列数据和页面状态准备
3. 本公会QA甲、QA乙与丙各1人</x:v>
      </x:c>
      <x:c r="J385" s="9" t="str">
        <x:v>1. 查看主播列表页
2. 填写搜索框为QA</x:v>
      </x:c>
      <x:c r="K385" s="9" t="str">
        <x:v>搜索结果仅包含QA甲和QA乙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来源（当前证据）：liveshow-proto/MainBasis/统一需求文档.md；位置：REQ-946b654076e0；行2888
2. 规则：BR-147dc03e56342eae
3. 未动态验证</x:v>
      </x:c>
    </x:row>
    <x:row r="386" ht="100" customHeight="1">
      <x:c r="A386" s="10" t="n">
        <x:v>385</x:v>
      </x:c>
      <x:c r="B386" s="10" t="str">
        <x:v>GUILD-02-0131</x:v>
      </x:c>
      <x:c r="C386" s="10" t="str">
        <x:v>主播管理</x:v>
      </x:c>
      <x:c r="D386" s="10" t="str">
        <x:v>主播业绩（公会长视角）</x:v>
      </x:c>
      <x:c r="E386" s="10" t="str">
        <x:v>功能需求</x:v>
      </x:c>
      <x:c r="F386" s="10" t="str">
        <x:v>P2</x:v>
      </x:c>
      <x:c r="G386" s="9" t="str">
        <x:v>验证主播业绩按部分昵称查询</x:v>
      </x:c>
      <x:c r="H386" s="9" t="str">
        <x:v>昵称模糊搜索</x:v>
      </x:c>
      <x:c r="I386" s="9" t="str">
        <x:v>1. 执行角色为公会长
2. 已登录目标公会的公会长账号，打开主播业绩页并完成下列数据和页面状态准备
3. 本公会QA甲、QA乙与丙各1人</x:v>
      </x:c>
      <x:c r="J386" s="9" t="str">
        <x:v>1. 查看主播业绩页
2. 填写搜索框为QA</x:v>
      </x:c>
      <x:c r="K386" s="9" t="str">
        <x:v>搜索结果仅包含QA甲和QA乙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来源（当前证据）：liveshow-proto/MainBasis/统一需求文档.md；位置：REQ-b714dfa901eb；行2907
2. 规则：BR-08cc8193b1a9c10e
3. 未动态验证</x:v>
      </x:c>
    </x:row>
    <x:row r="387" ht="100" customHeight="1">
      <x:c r="A387" s="10" t="n">
        <x:v>386</x:v>
      </x:c>
      <x:c r="B387" s="10" t="str">
        <x:v>GUILD-03-0091</x:v>
      </x:c>
      <x:c r="C387" s="10" t="str">
        <x:v>运营工具</x:v>
      </x:c>
      <x:c r="D387" s="10" t="str">
        <x:v>选择主播（公会长视角）</x:v>
      </x:c>
      <x:c r="E387" s="10" t="str">
        <x:v>功能需求</x:v>
      </x:c>
      <x:c r="F387" s="10" t="str">
        <x:v>P2</x:v>
      </x:c>
      <x:c r="G387" s="9" t="str">
        <x:v>验证选择主播按部分昵称查询</x:v>
      </x:c>
      <x:c r="H387" s="9" t="str">
        <x:v>昵称模糊搜索</x:v>
      </x:c>
      <x:c r="I387" s="9" t="str">
        <x:v>1. 执行角色为公会长
2. 已登录目标公会的公会长账号，打开选择主播页并完成下列数据和页面状态准备
3. 本公会QA甲、QA乙与丙各1人</x:v>
      </x:c>
      <x:c r="J387" s="9" t="str">
        <x:v>1. 查看选择主播页
2. 填写搜索框为QA</x:v>
      </x:c>
      <x:c r="K387" s="9" t="str">
        <x:v>搜索结果仅包含QA甲和QA乙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来源（当前证据）：liveshow-proto/MainBasis/统一需求文档.md；位置：REQ-7012869c65e6；行3056
2. 规则：BR-8e2948179337f395
3. 未动态验证</x:v>
      </x:c>
    </x:row>
    <x:row r="388" ht="100" customHeight="1">
      <x:c r="A388" s="10" t="n">
        <x:v>387</x:v>
      </x:c>
      <x:c r="B388" s="10" t="str">
        <x:v>GUILD-05-0086</x:v>
      </x:c>
      <x:c r="C388" s="10" t="str">
        <x:v>数据与收益</x:v>
      </x:c>
      <x:c r="D388" s="10" t="str">
        <x:v>选择主播（多选）（公会长视角）</x:v>
      </x:c>
      <x:c r="E388" s="10" t="str">
        <x:v>功能需求</x:v>
      </x:c>
      <x:c r="F388" s="10" t="str">
        <x:v>P2</x:v>
      </x:c>
      <x:c r="G388" s="9" t="str">
        <x:v>验证选择主播（多选）按部分昵称查询</x:v>
      </x:c>
      <x:c r="H388" s="9" t="str">
        <x:v>昵称模糊搜索</x:v>
      </x:c>
      <x:c r="I388" s="9" t="str">
        <x:v>1. 执行角色为公会长
2. 已登录目标公会的公会长账号，打开选择主播（多选）页并完成下列数据和页面状态准备
3. 本公会QA甲、QA乙与丙各1人</x:v>
      </x:c>
      <x:c r="J388" s="9" t="str">
        <x:v>1. 查看选择主播（多选）页
2. 填写搜索框为QA</x:v>
      </x:c>
      <x:c r="K388" s="9" t="str">
        <x:v>搜索结果仅包含QA甲和QA乙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来源（当前证据）：liveshow-proto/MainBasis/统一需求文档.md；位置：REQ-2ee500261795；行3464
2. 规则：BR-bd04041902dff59e
3. 未动态验证</x:v>
      </x:c>
    </x:row>
    <x:row r="389" ht="100" customHeight="1">
      <x:c r="A389" s="10" t="n">
        <x:v>388</x:v>
      </x:c>
      <x:c r="B389" s="10" t="str">
        <x:v>GUILD-03-0092</x:v>
      </x:c>
      <x:c r="C389" s="10" t="str">
        <x:v>运营工具</x:v>
      </x:c>
      <x:c r="D389" s="10" t="str">
        <x:v>运营账号（公会长视角）</x:v>
      </x:c>
      <x:c r="E389" s="10" t="str">
        <x:v>功能需求</x:v>
      </x:c>
      <x:c r="F389" s="10" t="str">
        <x:v>P2</x:v>
      </x:c>
      <x:c r="G389" s="9" t="str">
        <x:v>验证运营账号按名称查询</x:v>
      </x:c>
      <x:c r="H389" s="9" t="str">
        <x:v>运营账号名称搜索</x:v>
      </x:c>
      <x:c r="I389" s="9" t="str">
        <x:v>1. 执行角色为公会长
2. 已登录目标公会的公会长账号，打开运营账号页并完成下列数据和页面状态准备
3. 本公会运营QA甲、QA乙与丙各1个</x:v>
      </x:c>
      <x:c r="J389" s="9" t="str">
        <x:v>1. 查看运营账号页
2. 填写搜索框为QA</x:v>
      </x:c>
      <x:c r="K389" s="9" t="str">
        <x:v>结果仅包含QA甲和QA乙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来源（当前证据）：liveshow-proto/MainBasis/统一需求文档.md；位置：REQ-56cd13972b64；行3088
2. 规则：BR-1bd50a2e877167d5
3. 未动态验证</x:v>
      </x:c>
    </x:row>
    <x:row r="390" ht="115" customHeight="1">
      <x:c r="A390" s="10" t="n">
        <x:v>389</x:v>
      </x:c>
      <x:c r="B390" s="10" t="str">
        <x:v>GUILD-03-0093</x:v>
      </x:c>
      <x:c r="C390" s="10" t="str">
        <x:v>运营工具</x:v>
      </x:c>
      <x:c r="D390" s="10" t="str">
        <x:v>选择运营账号（多选）（公会长视角）</x:v>
      </x:c>
      <x:c r="E390" s="10" t="str">
        <x:v>功能需求</x:v>
      </x:c>
      <x:c r="F390" s="10" t="str">
        <x:v>P2</x:v>
      </x:c>
      <x:c r="G390" s="9" t="str">
        <x:v>验证选择运营账号（多选）按名称查询</x:v>
      </x:c>
      <x:c r="H390" s="9" t="str">
        <x:v>运营账号名称搜索</x:v>
      </x:c>
      <x:c r="I390" s="9" t="str">
        <x:v>1. 执行角色为公会长
2. 已登录目标公会的公会长账号，打开选择运营账号（多选）页并完成下列数据和页面状态准备
3. 本公会运营QA甲、QA乙与丙各1个</x:v>
      </x:c>
      <x:c r="J390" s="9" t="str">
        <x:v>1. 查看选择运营账号（多选）页
2. 填写搜索框为QA</x:v>
      </x:c>
      <x:c r="K390" s="9" t="str">
        <x:v>结果仅包含QA甲和QA乙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来源（当前证据）：liveshow-proto/MainBasis/统一需求文档.md；位置：REQ-ef0c0a831aa2；行3207
2. 规则：BR-a64104d9e991759a
3. 未动态验证</x:v>
      </x:c>
    </x:row>
    <x:row r="391" ht="100" customHeight="1">
      <x:c r="A391" s="10" t="n">
        <x:v>390</x:v>
      </x:c>
      <x:c r="B391" s="10" t="str">
        <x:v>GUILD-02-0132</x:v>
      </x:c>
      <x:c r="C391" s="10" t="str">
        <x:v>主播管理</x:v>
      </x:c>
      <x:c r="D391" s="10" t="str">
        <x:v>主播数据（公会长视角）</x:v>
      </x:c>
      <x:c r="E391" s="10" t="str">
        <x:v>逻辑校验</x:v>
      </x:c>
      <x:c r="F391" s="10" t="str">
        <x:v>P1</x:v>
      </x:c>
      <x:c r="G391" s="9" t="str">
        <x:v>验证主播月数据主播月累计时长</x:v>
      </x:c>
      <x:c r="H391" s="9" t="str">
        <x:v>主播月累计时长</x:v>
      </x:c>
      <x:c r="I391" s="9" t="str">
        <x:v>1. 执行角色为公会长
2. 已登录目标公会的公会长账号，打开主播数据页并完成下列数据和页面状态准备
3. 甲9月完成两场分别60与90分钟</x:v>
      </x:c>
      <x:c r="J391" s="9" t="str">
        <x:v>1. 查看主播数据页
2. 切换月数据</x:v>
      </x:c>
      <x:c r="K391" s="9" t="str">
        <x:v>9月直播时长显示2小时30分钟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来源（当前证据）：liveshow-proto/MainBasis/统一需求文档.md；位置：REQ-f997046439a2；行2954
2. 规则：BR-224d9debafbee7e0
3. 未动态验证</x:v>
      </x:c>
    </x:row>
    <x:row r="392" ht="100" customHeight="1">
      <x:c r="A392" s="10" t="n">
        <x:v>391</x:v>
      </x:c>
      <x:c r="B392" s="10" t="str">
        <x:v>GUILD-02-0133</x:v>
      </x:c>
      <x:c r="C392" s="10" t="str">
        <x:v>主播管理</x:v>
      </x:c>
      <x:c r="D392" s="10" t="str">
        <x:v>主播数据（公会长视角）</x:v>
      </x:c>
      <x:c r="E392" s="10" t="str">
        <x:v>逻辑校验</x:v>
      </x:c>
      <x:c r="F392" s="10" t="str">
        <x:v>P1</x:v>
      </x:c>
      <x:c r="G392" s="9" t="str">
        <x:v>验证主播月数据主播月收益</x:v>
      </x:c>
      <x:c r="H392" s="9" t="str">
        <x:v>主播月收益</x:v>
      </x:c>
      <x:c r="I392" s="9" t="str">
        <x:v>1. 执行角色为公会长
2. 已登录目标公会的公会长账号，打开主播数据页并完成下列数据和页面状态准备
3. 甲9月收益100与200金币，8月500金币</x:v>
      </x:c>
      <x:c r="J392" s="9" t="str">
        <x:v>1. 查看主播数据页
2. 切换月数据</x:v>
      </x:c>
      <x:c r="K392" s="9" t="str">
        <x:v>9月收益显示300金币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来源（当前证据）：liveshow-proto/MainBasis/统一需求文档.md；位置：REQ-542f71638053；行2960
2. 规则：BR-1b96395ef5790998
3. 未动态验证</x:v>
      </x:c>
    </x:row>
    <x:row r="393" ht="100" customHeight="1">
      <x:c r="A393" s="10" t="n">
        <x:v>392</x:v>
      </x:c>
      <x:c r="B393" s="10" t="str">
        <x:v>GUILD-02-0134</x:v>
      </x:c>
      <x:c r="C393" s="10" t="str">
        <x:v>主播管理</x:v>
      </x:c>
      <x:c r="D393" s="10" t="str">
        <x:v>主播数据（公会长视角）</x:v>
      </x:c>
      <x:c r="E393" s="10" t="str">
        <x:v>逻辑校验</x:v>
      </x:c>
      <x:c r="F393" s="10" t="str">
        <x:v>P1</x:v>
      </x:c>
      <x:c r="G393" s="9" t="str">
        <x:v>验证主播月数据主播月新增粉丝</x:v>
      </x:c>
      <x:c r="H393" s="9" t="str">
        <x:v>主播月新增粉丝</x:v>
      </x:c>
      <x:c r="I393" s="9" t="str">
        <x:v>1. 执行角色为公会长
2. 已登录目标公会的公会长账号，打开主播数据页并完成下列数据和页面状态准备
3. 甲9月新增10次关注，取关3人，8月新增20人</x:v>
      </x:c>
      <x:c r="J393" s="9" t="str">
        <x:v>1. 查看主播数据页
2. 切换月数据</x:v>
      </x:c>
      <x:c r="K393" s="9" t="str">
        <x:v>9月新增粉丝显示10人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来源（当前证据）：liveshow-proto/MainBasis/统一需求文档.md；位置：REQ-287d99181822；行2958
2. 规则：BR-d1e1071156883f01
3. 未动态验证</x:v>
      </x:c>
    </x:row>
    <x:row r="394" ht="100" customHeight="1">
      <x:c r="A394" s="10" t="n">
        <x:v>393</x:v>
      </x:c>
      <x:c r="B394" s="10" t="str">
        <x:v>GUILD-02-0135</x:v>
      </x:c>
      <x:c r="C394" s="10" t="str">
        <x:v>主播管理</x:v>
      </x:c>
      <x:c r="D394" s="10" t="str">
        <x:v>主播数据（公会长视角）</x:v>
      </x:c>
      <x:c r="E394" s="10" t="str">
        <x:v>功能需求</x:v>
      </x:c>
      <x:c r="F394" s="10" t="str">
        <x:v>P2</x:v>
      </x:c>
      <x:c r="G394" s="9" t="str">
        <x:v>验证主播日数据按自然日划分记录</x:v>
      </x:c>
      <x:c r="H394" s="9" t="str">
        <x:v>主播日粒度</x:v>
      </x:c>
      <x:c r="I394" s="9" t="str">
        <x:v>1. 执行角色为公会长
2. 已登录目标公会的公会长账号，打开主播数据页并完成下列数据和页面状态准备
3. 甲9月14日及15日各有2场；当前日范围包含两日</x:v>
      </x:c>
      <x:c r="J394" s="9" t="str">
        <x:v>1. 查看主播数据页</x:v>
      </x:c>
      <x:c r="K394" s="9" t="str">
        <x:v>两日分别汇总为各自日期行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来源（当前证据）：liveshow-proto/MainBasis/统一需求文档.md；位置：REQ-1779db697186；行2952
2. 规则：BR-7c38b58af1b8abdd
3. 未动态验证</x:v>
      </x:c>
    </x:row>
    <x:row r="395" ht="85" customHeight="1">
      <x:c r="A395" s="10" t="n">
        <x:v>394</x:v>
      </x:c>
      <x:c r="B395" s="10" t="str">
        <x:v>GUILD-02-0136</x:v>
      </x:c>
      <x:c r="C395" s="10" t="str">
        <x:v>主播管理</x:v>
      </x:c>
      <x:c r="D395" s="10" t="str">
        <x:v>主播数据（公会长视角）</x:v>
      </x:c>
      <x:c r="E395" s="10" t="str">
        <x:v>功能需求</x:v>
      </x:c>
      <x:c r="F395" s="10" t="str">
        <x:v>P2</x:v>
      </x:c>
      <x:c r="G395" s="9" t="str">
        <x:v>验证主播月数据按自然月划分记录</x:v>
      </x:c>
      <x:c r="H395" s="9" t="str">
        <x:v>主播月粒度</x:v>
      </x:c>
      <x:c r="I395" s="9" t="str">
        <x:v>1. 执行角色为公会长
2. 已登录目标公会的公会长账号，打开主播数据页并完成下列数据和页面状态准备
3. 甲8月及9月各有2场</x:v>
      </x:c>
      <x:c r="J395" s="9" t="str">
        <x:v>1. 查看主播数据页
2. 切换月数据</x:v>
      </x:c>
      <x:c r="K395" s="9" t="str">
        <x:v>8月与9月分别汇总为各自月份行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来源（当前证据）：liveshow-proto/MainBasis/统一需求文档.md；位置：REQ-1779db697186；行2952
2. 规则：BR-cc1aa5e76c7ab3d9
3. 未动态验证</x:v>
      </x:c>
    </x:row>
    <x:row r="396" ht="85" customHeight="1">
      <x:c r="A396" s="10" t="n">
        <x:v>395</x:v>
      </x:c>
      <x:c r="B396" s="10" t="str">
        <x:v>GUILD-02-0137</x:v>
      </x:c>
      <x:c r="C396" s="10" t="str">
        <x:v>主播管理</x:v>
      </x:c>
      <x:c r="D396" s="10" t="str">
        <x:v>主播数据（公会长视角）</x:v>
      </x:c>
      <x:c r="E396" s="10" t="str">
        <x:v>功能需求</x:v>
      </x:c>
      <x:c r="F396" s="10" t="str">
        <x:v>P2</x:v>
      </x:c>
      <x:c r="G396" s="9" t="str">
        <x:v>验证主播数据日范围默认本月</x:v>
      </x:c>
      <x:c r="H396" s="9" t="str">
        <x:v>主播数据默认日范围</x:v>
      </x:c>
      <x:c r="I396" s="9" t="str">
        <x:v>1. 执行角色为公会长
2. 已登录目标公会的公会长账号，打开主播数据页并完成下列数据和页面状态准备</x:v>
      </x:c>
      <x:c r="J396" s="9" t="str">
        <x:v>1. 查看主播数据页</x:v>
      </x:c>
      <x:c r="K396" s="9" t="str">
        <x:v>日范围默认本月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来源（当前证据）：liveshow-proto/MainBasis/统一需求文档.md；位置：REQ-601776b12c53；行2950
2. 规则：BR-4db227e8ea040017
3. 未动态验证</x:v>
      </x:c>
    </x:row>
    <x:row r="397" ht="100" customHeight="1">
      <x:c r="A397" s="10" t="n">
        <x:v>396</x:v>
      </x:c>
      <x:c r="B397" s="10" t="str">
        <x:v>GUILD-02-0138</x:v>
      </x:c>
      <x:c r="C397" s="10" t="str">
        <x:v>主播管理</x:v>
      </x:c>
      <x:c r="D397" s="10" t="str">
        <x:v>主播数据（公会长视角）</x:v>
      </x:c>
      <x:c r="E397" s="10" t="str">
        <x:v>逻辑校验</x:v>
      </x:c>
      <x:c r="F397" s="10" t="str">
        <x:v>P1</x:v>
      </x:c>
      <x:c r="G397" s="9" t="str">
        <x:v>验证主播日数据下钻携带当天日期</x:v>
      </x:c>
      <x:c r="H397" s="9" t="str">
        <x:v>主播日行下钻范围</x:v>
      </x:c>
      <x:c r="I397" s="9" t="str">
        <x:v>1. 执行角色为公会长
2. 已登录目标公会的公会长账号，打开主播数据页并完成下列数据和页面状态准备
3. 当前查看主播甲，存在9月15日日数据</x:v>
      </x:c>
      <x:c r="J397" s="9" t="str">
        <x:v>1. 查看主播数据页
2. 点击9月15日数据行</x:v>
      </x:c>
      <x:c r="K397" s="9" t="str">
        <x:v>直播记录限定主播甲和9月15日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来源（当前证据）：liveshow-proto/MainBasis/统一需求文档.md；位置：REQ-0a5f516ac158；行2962
2. 规则：BR-f59bcfe2bb904643
3. 未动态验证</x:v>
      </x:c>
    </x:row>
    <x:row r="398" ht="85" customHeight="1">
      <x:c r="A398" s="10" t="n">
        <x:v>397</x:v>
      </x:c>
      <x:c r="B398" s="10" t="str">
        <x:v>GUILD-02-0139</x:v>
      </x:c>
      <x:c r="C398" s="10" t="str">
        <x:v>主播管理</x:v>
      </x:c>
      <x:c r="D398" s="10" t="str">
        <x:v>主播主页（公会长视角）</x:v>
      </x:c>
      <x:c r="E398" s="10" t="str">
        <x:v>功能需求</x:v>
      </x:c>
      <x:c r="F398" s="10" t="str">
        <x:v>P2</x:v>
      </x:c>
      <x:c r="G398" s="9" t="str">
        <x:v>验证历史主播主页标明已退会</x:v>
      </x:c>
      <x:c r="H398" s="9" t="str">
        <x:v>主播主页退会标记</x:v>
      </x:c>
      <x:c r="I398" s="9" t="str">
        <x:v>1. 执行角色为公会长
2. 已登录目标公会的公会长账号，打开主播主页页并完成下列数据和页面状态准备
3. 当前主播已退出本公会</x:v>
      </x:c>
      <x:c r="J398" s="9" t="str">
        <x:v>1. 查看主播主页页</x:v>
      </x:c>
      <x:c r="K398" s="9" t="str">
        <x:v>显示退会标记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来源（当前证据）：liveshow-proto/MainBasis/统一需求文档.md；位置：REQ-81fc8f1e04b7；行2977
2. 规则：BR-a0e957394dadb694
3. 未动态验证</x:v>
      </x:c>
    </x:row>
    <x:row r="399" ht="85" customHeight="1">
      <x:c r="A399" s="10" t="n">
        <x:v>398</x:v>
      </x:c>
      <x:c r="B399" s="10" t="str">
        <x:v>GUILD-02-0140</x:v>
      </x:c>
      <x:c r="C399" s="10" t="str">
        <x:v>主播管理</x:v>
      </x:c>
      <x:c r="D399" s="10" t="str">
        <x:v>主播主页（公会长视角）</x:v>
      </x:c>
      <x:c r="E399" s="10" t="str">
        <x:v>功能需求</x:v>
      </x:c>
      <x:c r="F399" s="10" t="str">
        <x:v>P2</x:v>
      </x:c>
      <x:c r="G399" s="9" t="str">
        <x:v>验证主播历史入会申请显示已通过</x:v>
      </x:c>
      <x:c r="H399" s="9" t="str">
        <x:v>主播历史入会结果</x:v>
      </x:c>
      <x:c r="I399" s="9" t="str">
        <x:v>1. 执行角色为公会长
2. 已登录目标公会的公会长账号，打开主播主页页并完成下列数据和页面状态准备
3. 当前主播入会申请A已通过</x:v>
      </x:c>
      <x:c r="J399" s="9" t="str">
        <x:v>1. 查看主播主页页</x:v>
      </x:c>
      <x:c r="K399" s="9" t="str">
        <x:v>申请A显示加入申请及已通过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来源（当前证据）：liveshow-proto/MainBasis/统一需求文档.md；位置：REQ-a4148668b89f；行2989
2. 规则：BR-1ca6664828a2cbc8
3. 未动态验证</x:v>
      </x:c>
    </x:row>
    <x:row r="400" ht="100" customHeight="1">
      <x:c r="A400" s="10" t="n">
        <x:v>399</x:v>
      </x:c>
      <x:c r="B400" s="10" t="str">
        <x:v>GUILD-02-0141</x:v>
      </x:c>
      <x:c r="C400" s="10" t="str">
        <x:v>主播管理</x:v>
      </x:c>
      <x:c r="D400" s="10" t="str">
        <x:v>主播主页（公会长视角）</x:v>
      </x:c>
      <x:c r="E400" s="10" t="str">
        <x:v>逻辑校验</x:v>
      </x:c>
      <x:c r="F400" s="10" t="str">
        <x:v>P1</x:v>
      </x:c>
      <x:c r="G400" s="9" t="str">
        <x:v>验证退会历史只显示公会审核节点</x:v>
      </x:c>
      <x:c r="H400" s="9" t="str">
        <x:v>退会历史审核范围</x:v>
      </x:c>
      <x:c r="I400" s="9" t="str">
        <x:v>1. 执行角色为公会长
2. 已登录目标公会的公会长账号，打开主播主页页并完成下列数据和页面状态准备
3. 退会申请B仅由公会9月15日10:00驳回</x:v>
      </x:c>
      <x:c r="J400" s="9" t="str">
        <x:v>1. 查看主播主页页</x:v>
      </x:c>
      <x:c r="K400" s="9" t="str">
        <x:v>申请B仅有公会处理节点，时间对应9月15日10:00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来源（当前证据）：liveshow-proto/MainBasis/统一需求文档.md；位置：REQ-5bf9d823291d；行2993
2. 规则：BR-d064c9e4bed324d1
3. 未动态验证</x:v>
      </x:c>
    </x:row>
    <x:row r="401" ht="85" customHeight="1">
      <x:c r="A401" s="10" t="n">
        <x:v>400</x:v>
      </x:c>
      <x:c r="B401" s="10" t="str">
        <x:v>GUILD-03-0094</x:v>
      </x:c>
      <x:c r="C401" s="10" t="str">
        <x:v>运营工具</x:v>
      </x:c>
      <x:c r="D401" s="10" t="str">
        <x:v>运营消息（公会长视角）</x:v>
      </x:c>
      <x:c r="E401" s="10" t="str">
        <x:v>功能需求</x:v>
      </x:c>
      <x:c r="F401" s="10" t="str">
        <x:v>P2</x:v>
      </x:c>
      <x:c r="G401" s="9" t="str">
        <x:v>验证消息列表摘要取发送时文本</x:v>
      </x:c>
      <x:c r="H401" s="9" t="str">
        <x:v>运营消息摘要内容</x:v>
      </x:c>
      <x:c r="I401" s="9" t="str">
        <x:v>1. 执行角色为公会长
2. 已登录目标公会的公会长账号，打开运营消息页并完成下列数据和页面状态准备
3. 消息N正文为QA测试通知</x:v>
      </x:c>
      <x:c r="J401" s="9" t="str">
        <x:v>1. 查看运营消息页</x:v>
      </x:c>
      <x:c r="K401" s="9" t="str">
        <x:v>消息N摘要显示QA测试通知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来源（当前证据）：liveshow-proto/MainBasis/统一需求文档.md；位置：REQ-e187f162f7b8；行3032
2. 规则：BR-1a905eafb06076a6
3. 未动态验证</x:v>
      </x:c>
    </x:row>
    <x:row r="402" ht="100" customHeight="1">
      <x:c r="A402" s="10" t="n">
        <x:v>401</x:v>
      </x:c>
      <x:c r="B402" s="10" t="str">
        <x:v>GUILD-03-0095</x:v>
      </x:c>
      <x:c r="C402" s="10" t="str">
        <x:v>运营工具</x:v>
      </x:c>
      <x:c r="D402" s="10" t="str">
        <x:v>运营消息（公会长视角）</x:v>
      </x:c>
      <x:c r="E402" s="10" t="str">
        <x:v>功能需求</x:v>
      </x:c>
      <x:c r="F402" s="10" t="str">
        <x:v>P2</x:v>
      </x:c>
      <x:c r="G402" s="9" t="str">
        <x:v>验证长消息摘要截断不改变原文</x:v>
      </x:c>
      <x:c r="H402" s="9" t="str">
        <x:v>长消息摘要截断</x:v>
      </x:c>
      <x:c r="I402" s="9" t="str">
        <x:v>1. 执行角色为公会长
2. 已登录目标公会的公会长账号，打开运营消息页并完成下列数据和页面状态准备
3. 消息N有500字正文，在当前设备超过卡片可见长度</x:v>
      </x:c>
      <x:c r="J402" s="9" t="str">
        <x:v>1. 查看运营消息页</x:v>
      </x:c>
      <x:c r="K402" s="9" t="str">
        <x:v>列表摘要显示原文前部并截断超出部分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来源（当前证据）：liveshow-proto/MainBasis/统一需求文档.md；位置：REQ-e187f162f7b8；行3032
2. 规则：BR-bdc37097aa4e1531
3. 未动态验证</x:v>
      </x:c>
    </x:row>
    <x:row r="403" ht="85" customHeight="1">
      <x:c r="A403" s="10" t="n">
        <x:v>402</x:v>
      </x:c>
      <x:c r="B403" s="10" t="str">
        <x:v>GUILD-03-0096</x:v>
      </x:c>
      <x:c r="C403" s="10" t="str">
        <x:v>运营工具</x:v>
      </x:c>
      <x:c r="D403" s="10" t="str">
        <x:v>运营消息（公会长视角）</x:v>
      </x:c>
      <x:c r="E403" s="10" t="str">
        <x:v>功能需求</x:v>
      </x:c>
      <x:c r="F403" s="10" t="str">
        <x:v>P2</x:v>
      </x:c>
      <x:c r="G403" s="9" t="str">
        <x:v>验证运营消息列表创建新消息</x:v>
      </x:c>
      <x:c r="H403" s="9" t="str">
        <x:v>新建运营消息入口</x:v>
      </x:c>
      <x:c r="I403" s="9" t="str">
        <x:v>1. 执行角色为公会长
2. 已登录目标公会的公会长账号，打开运营消息页并完成下列数据和页面状态准备</x:v>
      </x:c>
      <x:c r="J403" s="9" t="str">
        <x:v>1. 查看运营消息页
2. 点击新建</x:v>
      </x:c>
      <x:c r="K403" s="9" t="str">
        <x:v>进入发送运营消息页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来源（当前证据）：liveshow-proto/MainBasis/统一需求文档.md；位置：REQ-b89ae6ba9123；行3036
2. 规则：BR-fe2cf9259ba1b6b5
3. 未动态验证</x:v>
      </x:c>
    </x:row>
    <x:row r="404" ht="85" customHeight="1">
      <x:c r="A404" s="10" t="n">
        <x:v>403</x:v>
      </x:c>
      <x:c r="B404" s="10" t="str">
        <x:v>GUILD-03-0097</x:v>
      </x:c>
      <x:c r="C404" s="10" t="str">
        <x:v>运营工具</x:v>
      </x:c>
      <x:c r="D404" s="10" t="str">
        <x:v>新建运营消息（公会长视角）</x:v>
      </x:c>
      <x:c r="E404" s="10" t="str">
        <x:v>功能需求</x:v>
      </x:c>
      <x:c r="F404" s="10" t="str">
        <x:v>P2</x:v>
      </x:c>
      <x:c r="G404" s="9" t="str">
        <x:v>验证消息输入更新字数</x:v>
      </x:c>
      <x:c r="H404" s="9" t="str">
        <x:v>消息正文字数反馈</x:v>
      </x:c>
      <x:c r="I404" s="9" t="str">
        <x:v>1. 执行角色为公会长
2. 已登录目标公会的公会长账号，打开新建运营消息页并完成下列数据和页面状态准备</x:v>
      </x:c>
      <x:c r="J404" s="9" t="str">
        <x:v>1. 查看新建运营消息页
2. 填写文字内容为QA测试</x:v>
      </x:c>
      <x:c r="K404" s="9" t="str">
        <x:v>当前字数显示4/500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来源（当前证据）：liveshow-proto/MainBasis/统一需求文档.md；位置：REQ-ad8aa90131f0；行3045
2. 规则：BR-9292b82dff21f943
3. 未动态验证</x:v>
      </x:c>
    </x:row>
    <x:row r="405" ht="85" customHeight="1">
      <x:c r="A405" s="10" t="n">
        <x:v>404</x:v>
      </x:c>
      <x:c r="B405" s="10" t="str">
        <x:v>GUILD-03-0098</x:v>
      </x:c>
      <x:c r="C405" s="10" t="str">
        <x:v>运营工具</x:v>
      </x:c>
      <x:c r="D405" s="10" t="str">
        <x:v>新建运营消息（公会长视角）</x:v>
      </x:c>
      <x:c r="E405" s="10" t="str">
        <x:v>功能需求</x:v>
      </x:c>
      <x:c r="F405" s="10" t="str">
        <x:v>P2</x:v>
      </x:c>
      <x:c r="G405" s="9" t="str">
        <x:v>验证移除已选消息附图</x:v>
      </x:c>
      <x:c r="H405" s="9" t="str">
        <x:v>运营消息附图移除</x:v>
      </x:c>
      <x:c r="I405" s="9" t="str">
        <x:v>1. 执行角色为公会长
2. 已登录目标公会的公会长账号，打开新建运营消息页并完成下列数据和页面状态准备
3. 当前编辑消息已选择图片A</x:v>
      </x:c>
      <x:c r="J405" s="9" t="str">
        <x:v>1. 查看新建运营消息页
2. 点击图片A移除</x:v>
      </x:c>
      <x:c r="K405" s="9" t="str">
        <x:v>消息不再附带图片A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来源（当前证据）：liveshow-proto/MainBasis/统一需求文档.md；位置：REQ-2230182a7752；行3047
2. 规则：BR-751aa986a28cc470
3. 未动态验证</x:v>
      </x:c>
    </x:row>
    <x:row r="406" ht="100" customHeight="1">
      <x:c r="A406" s="10" t="n">
        <x:v>405</x:v>
      </x:c>
      <x:c r="B406" s="10" t="str">
        <x:v>GUILD-03-0099</x:v>
      </x:c>
      <x:c r="C406" s="10" t="str">
        <x:v>运营工具</x:v>
      </x:c>
      <x:c r="D406" s="10" t="str">
        <x:v>选择主播（公会长视角）</x:v>
      </x:c>
      <x:c r="E406" s="10" t="str">
        <x:v>逻辑校验</x:v>
      </x:c>
      <x:c r="F406" s="10" t="str">
        <x:v>P1</x:v>
      </x:c>
      <x:c r="G406" s="9" t="str">
        <x:v>验证选择主播完成后回填指定接收人</x:v>
      </x:c>
      <x:c r="H406" s="9" t="str">
        <x:v>指定接收主播回填</x:v>
      </x:c>
      <x:c r="I406" s="9" t="str">
        <x:v>1. 执行角色为公会长
2. 已登录目标公会的公会长账号，打开选择主播页并完成下列数据和页面状态准备
3. 由新建消息页进入，当前公会有甲H001</x:v>
      </x:c>
      <x:c r="J406" s="9" t="str">
        <x:v>1. 查看选择主播页
2. 选择主播甲
3. 点击完成</x:v>
      </x:c>
      <x:c r="K406" s="9" t="str">
        <x:v>消息发送对象显示甲H001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来源（当前证据）：liveshow-proto/MainBasis/统一需求文档.md；位置：REQ-ab3611f8dec0；行3066
2. 规则：BR-f880a424fd2584bd
3. 未动态验证</x:v>
      </x:c>
    </x:row>
    <x:row r="407" ht="100" customHeight="1">
      <x:c r="A407" s="10" t="n">
        <x:v>406</x:v>
      </x:c>
      <x:c r="B407" s="10" t="str">
        <x:v>GUILD-03-0100</x:v>
      </x:c>
      <x:c r="C407" s="10" t="str">
        <x:v>运营工具</x:v>
      </x:c>
      <x:c r="D407" s="10" t="str">
        <x:v>运营账号（公会长视角）</x:v>
      </x:c>
      <x:c r="E407" s="10" t="str">
        <x:v>功能需求</x:v>
      </x:c>
      <x:c r="F407" s="10" t="str">
        <x:v>P2</x:v>
      </x:c>
      <x:c r="G407" s="9" t="str">
        <x:v>验证运营列表打开对应账号主页</x:v>
      </x:c>
      <x:c r="H407" s="9" t="str">
        <x:v>运营账号详情对象</x:v>
      </x:c>
      <x:c r="I407" s="9" t="str">
        <x:v>1. 执行角色为公会长
2. 已登录目标公会的公会长账号，打开运营账号页并完成下列数据和页面状态准备
3. 列表存在账号甲O001和乙O002</x:v>
      </x:c>
      <x:c r="J407" s="9" t="str">
        <x:v>1. 查看运营账号页
2. 点击账号甲</x:v>
      </x:c>
      <x:c r="K407" s="9" t="str">
        <x:v>主页显示账号甲O001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来源（当前证据）：liveshow-proto/MainBasis/统一需求文档.md；位置：REQ-25f5f780296f；行3112
2. 规则：BR-2080ad2f5d464e35
3. 未动态验证</x:v>
      </x:c>
    </x:row>
    <x:row r="408" ht="85" customHeight="1">
      <x:c r="A408" s="10" t="n">
        <x:v>407</x:v>
      </x:c>
      <x:c r="B408" s="10" t="str">
        <x:v>GUILD-04-0026</x:v>
      </x:c>
      <x:c r="C408" s="10" t="str">
        <x:v>公会管理</x:v>
      </x:c>
      <x:c r="D408" s="10" t="str">
        <x:v>公会资料（公会长视角）</x:v>
      </x:c>
      <x:c r="E408" s="10" t="str">
        <x:v>逻辑校验</x:v>
      </x:c>
      <x:c r="F408" s="10" t="str">
        <x:v>P1</x:v>
      </x:c>
      <x:c r="G408" s="9" t="str">
        <x:v>验证公会名称保存时清理首尾空格</x:v>
      </x:c>
      <x:c r="H408" s="9" t="str">
        <x:v>公会名称空格处理</x:v>
      </x:c>
      <x:c r="I408" s="9" t="str">
        <x:v>1. 执行角色为公会长
2. 已登录目标公会的公会长账号，打开公会资料页并完成下列数据和页面状态准备</x:v>
      </x:c>
      <x:c r="J408" s="9" t="str">
        <x:v>1. 查看公会资料页
2. 填写公会名称为前后各2个空格的QA公会
3. 点击保存</x:v>
      </x:c>
      <x:c r="K408" s="9" t="str">
        <x:v>公会名称保存为QA公会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来源（当前证据）：liveshow-proto/MainBasis/统一需求文档.md；位置：REQ-827721b095f8；行3224
2. 规则：BR-34da3681eae3b751
3. 未动态验证</x:v>
      </x:c>
    </x:row>
    <x:row r="409" ht="85" customHeight="1">
      <x:c r="A409" s="10" t="n">
        <x:v>408</x:v>
      </x:c>
      <x:c r="B409" s="10" t="str">
        <x:v>GUILD-04-0027</x:v>
      </x:c>
      <x:c r="C409" s="10" t="str">
        <x:v>公会管理</x:v>
      </x:c>
      <x:c r="D409" s="10" t="str">
        <x:v>公会资料（公会长视角）</x:v>
      </x:c>
      <x:c r="E409" s="10" t="str">
        <x:v>功能需求</x:v>
      </x:c>
      <x:c r="F409" s="10" t="str">
        <x:v>P2</x:v>
      </x:c>
      <x:c r="G409" s="9" t="str">
        <x:v>验证公会简介允许留空保存</x:v>
      </x:c>
      <x:c r="H409" s="9" t="str">
        <x:v>公会简介非必填</x:v>
      </x:c>
      <x:c r="I409" s="9" t="str">
        <x:v>1. 执行角色为公会长
2. 已登录目标公会的公会长账号，打开公会资料页并完成下列数据和页面状态准备
3. 当前公会名称有效</x:v>
      </x:c>
      <x:c r="J409" s="9" t="str">
        <x:v>1. 查看公会资料页
2. 清空公会简介
3. 点击保存</x:v>
      </x:c>
      <x:c r="K409" s="9" t="str">
        <x:v>公会简介保存为空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来源（当前证据）：liveshow-proto/MainBasis/统一需求文档.md；位置：REQ-db923df69f8a；行3226
2. 规则：BR-287390a25f79bfa5
3. 未动态验证</x:v>
      </x:c>
    </x:row>
    <x:row r="410" ht="100" customHeight="1">
      <x:c r="A410" s="10" t="n">
        <x:v>409</x:v>
      </x:c>
      <x:c r="B410" s="10" t="str">
        <x:v>GUILD-04-0028</x:v>
      </x:c>
      <x:c r="C410" s="10" t="str">
        <x:v>公会管理</x:v>
      </x:c>
      <x:c r="D410" s="10" t="str">
        <x:v>修改密码（公会长视角）</x:v>
      </x:c>
      <x:c r="E410" s="10" t="str">
        <x:v>逻辑校验</x:v>
      </x:c>
      <x:c r="F410" s="10" t="str">
        <x:v>P1</x:v>
      </x:c>
      <x:c r="G410" s="9" t="str">
        <x:v>验证公会改密新密码不能为空</x:v>
      </x:c>
      <x:c r="H410" s="9" t="str">
        <x:v>公会新密码必填</x:v>
      </x:c>
      <x:c r="I410" s="9" t="str">
        <x:v>1. 执行角色为公会长
2. 已登录目标公会的公会长账号，打开修改密码页并完成下列数据和页面状态准备
3. 当前密码QaOld!2026</x:v>
      </x:c>
      <x:c r="J410" s="9" t="str">
        <x:v>1. 查看修改密码页
2. 填写当前密码为QaOld!2026
3. 清空新密码
4. 填写确认新密码为QaNew!2026
5. 点击保存</x:v>
      </x:c>
      <x:c r="K410" s="9" t="str">
        <x:v>不能提交缺少新密码的修改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来源（当前证据）：liveshow-proto/MainBasis/统一需求文档.md；位置：REQ-e6fec0352ac9；行3252、REQ-b84a8280b95e；行3254
2. 规则：BR-ac5f65c077b0ad8b
3. 未动态验证</x:v>
      </x:c>
    </x:row>
    <x:row r="411" ht="100" customHeight="1">
      <x:c r="A411" s="10" t="n">
        <x:v>410</x:v>
      </x:c>
      <x:c r="B411" s="10" t="str">
        <x:v>GUILD-04-0029</x:v>
      </x:c>
      <x:c r="C411" s="10" t="str">
        <x:v>公会管理</x:v>
      </x:c>
      <x:c r="D411" s="10" t="str">
        <x:v>修改密码（公会长视角）</x:v>
      </x:c>
      <x:c r="E411" s="10" t="str">
        <x:v>逻辑校验</x:v>
      </x:c>
      <x:c r="F411" s="10" t="str">
        <x:v>P1</x:v>
      </x:c>
      <x:c r="G411" s="9" t="str">
        <x:v>验证公会改密当前密码错误保留输入</x:v>
      </x:c>
      <x:c r="H411" s="9" t="str">
        <x:v>公会改密失败输入保持</x:v>
      </x:c>
      <x:c r="I411" s="9" t="str">
        <x:v>1. 执行角色为公会长
2. 已登录目标公会的公会长账号，打开修改密码页并完成下列数据和页面状态准备
3. 当前密码QaOld!2026；请求服务正常</x:v>
      </x:c>
      <x:c r="J411" s="9" t="str">
        <x:v>1. 查看修改密码页
2. 填写当前密码为BadOld!2026
3. 填写新密码为QaNew!2026
4. 填写确认新密码为QaNew!2026
5. 点击保存</x:v>
      </x:c>
      <x:c r="K411" s="9" t="str">
        <x:v>三个密码输入框保留本次输入内容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来源（当前证据）：liveshow-proto/MainBasis/统一需求文档.md；位置：REQ-ebcb7b632099；行3256
2. 规则：BR-2705195d4a21fdd5
3. 未动态验证</x:v>
      </x:c>
    </x:row>
    <x:row r="412" ht="100" customHeight="1">
      <x:c r="A412" s="10" t="n">
        <x:v>411</x:v>
      </x:c>
      <x:c r="B412" s="10" t="str">
        <x:v>GUILD-04-0030</x:v>
      </x:c>
      <x:c r="C412" s="10" t="str">
        <x:v>公会管理</x:v>
      </x:c>
      <x:c r="D412" s="10" t="str">
        <x:v>修改密码（公会长视角）</x:v>
      </x:c>
      <x:c r="E412" s="10" t="str">
        <x:v>逻辑校验</x:v>
      </x:c>
      <x:c r="F412" s="10" t="str">
        <x:v>P1</x:v>
      </x:c>
      <x:c r="G412" s="9" t="str">
        <x:v>验证公会改密新密码与旧密码相同保留输入</x:v>
      </x:c>
      <x:c r="H412" s="9" t="str">
        <x:v>公会改密失败输入保持</x:v>
      </x:c>
      <x:c r="I412" s="9" t="str">
        <x:v>1. 执行角色为公会长
2. 已登录目标公会的公会长账号，打开修改密码页并完成下列数据和页面状态准备
3. 当前密码QaOld!2026；请求服务正常</x:v>
      </x:c>
      <x:c r="J412" s="9" t="str">
        <x:v>1. 查看修改密码页
2. 填写当前密码为QaOld!2026
3. 填写新密码为QaOld!2026
4. 填写确认新密码为QaOld!2026
5. 点击保存</x:v>
      </x:c>
      <x:c r="K412" s="9" t="str">
        <x:v>三个密码输入框保留本次输入内容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来源（当前证据）：liveshow-proto/MainBasis/统一需求文档.md；位置：REQ-ebcb7b632099；行3256
2. 规则：BR-d9b99a97b1c4f2b0
3. 未动态验证</x:v>
      </x:c>
    </x:row>
    <x:row r="413" ht="115" customHeight="1">
      <x:c r="A413" s="10" t="n">
        <x:v>412</x:v>
      </x:c>
      <x:c r="B413" s="10" t="str">
        <x:v>GUILD-04-0031</x:v>
      </x:c>
      <x:c r="C413" s="10" t="str">
        <x:v>公会管理</x:v>
      </x:c>
      <x:c r="D413" s="10" t="str">
        <x:v>修改密码（公会长视角）</x:v>
      </x:c>
      <x:c r="E413" s="10" t="str">
        <x:v>逻辑校验</x:v>
      </x:c>
      <x:c r="F413" s="10" t="str">
        <x:v>P1</x:v>
      </x:c>
      <x:c r="G413" s="9" t="str">
        <x:v>验证公会改密请求失败保留输入</x:v>
      </x:c>
      <x:c r="H413" s="9" t="str">
        <x:v>公会改密失败输入保持</x:v>
      </x:c>
      <x:c r="I413" s="9" t="str">
        <x:v>1. 执行角色为公会长
2. 已登录目标公会的公会长账号，打开修改密码页并完成下列数据和页面状态准备
3. 当前密码QaOld!2026；环境准备：可模拟改密请求失败，执行前须提供故障模拟能力</x:v>
      </x:c>
      <x:c r="J413" s="9" t="str">
        <x:v>1. 查看修改密码页
2. 填写当前密码为QaOld!2026
3. 填写新密码为QaNew!2026
4. 填写确认新密码为QaNew!2026
5. 点击保存</x:v>
      </x:c>
      <x:c r="K413" s="9" t="str">
        <x:v>三个密码输入框保留本次输入内容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来源（当前证据）：liveshow-proto/MainBasis/统一需求文档.md；位置：REQ-ebcb7b632099；行3256
2. 规则：BR-b1b0a6bddeedd9dc
3. 未动态验证</x:v>
      </x:c>
    </x:row>
    <x:row r="414" ht="115" customHeight="1">
      <x:c r="A414" s="10" t="n">
        <x:v>413</x:v>
      </x:c>
      <x:c r="B414" s="10" t="str">
        <x:v>GUILD-01-0055</x:v>
      </x:c>
      <x:c r="C414" s="10" t="str">
        <x:v>登录与首页</x:v>
      </x:c>
      <x:c r="D414" s="10" t="str">
        <x:v>通知详情（公会长视角）</x:v>
      </x:c>
      <x:c r="E414" s="10" t="str">
        <x:v>功能需求</x:v>
      </x:c>
      <x:c r="F414" s="10" t="str">
        <x:v>P2</x:v>
      </x:c>
      <x:c r="G414" s="9" t="str">
        <x:v>验证通知发送时间采用本端日期时间格式</x:v>
      </x:c>
      <x:c r="H414" s="9" t="str">
        <x:v>通知发送时间格式</x:v>
      </x:c>
      <x:c r="I414" s="9" t="str">
        <x:v>1. 执行角色为公会长
2. 测试记录对应的页面本地时间为2026年12月8日14时30分；有权访问本记录</x:v>
      </x:c>
      <x:c r="J414" s="9" t="str">
        <x:v>1. 进入通知详情页
2. 查看该记录的通知发送时间</x:v>
      </x:c>
      <x:c r="K414" s="9" t="str">
        <x:v>通知发送时间显示08/12/2026 14.30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来源（当前证据）：liveshow-proto/MainBasis/统一需求文档.md；位置：REQ-36e42f069039；行2779、290462ff97300ba58d974980aec4cd2835b0383db9ef0c4a7bb510ec8d55953a；行3479
2. 规则：BR-9469a17a68a0d86a
3. 未动态验证</x:v>
      </x:c>
    </x:row>
    <x:row r="415" ht="115" customHeight="1">
      <x:c r="A415" s="10" t="n">
        <x:v>414</x:v>
      </x:c>
      <x:c r="B415" s="10" t="str">
        <x:v>GUILD-02-0142</x:v>
      </x:c>
      <x:c r="C415" s="10" t="str">
        <x:v>主播管理</x:v>
      </x:c>
      <x:c r="D415" s="10" t="str">
        <x:v>退会申请详情（公会长视角）</x:v>
      </x:c>
      <x:c r="E415" s="10" t="str">
        <x:v>功能需求</x:v>
      </x:c>
      <x:c r="F415" s="10" t="str">
        <x:v>P2</x:v>
      </x:c>
      <x:c r="G415" s="9" t="str">
        <x:v>验证加入日期为纯日期时不附加时间</x:v>
      </x:c>
      <x:c r="H415" s="9" t="str">
        <x:v>加入日期纯日期格式</x:v>
      </x:c>
      <x:c r="I415" s="9" t="str">
        <x:v>1. 执行角色为公会长
2. 当前记录的对应日期为2026年12月8日；有权访问该记录</x:v>
      </x:c>
      <x:c r="J415" s="9" t="str">
        <x:v>1. 进入退会申请详情页
2. 查看该记录的加入日期</x:v>
      </x:c>
      <x:c r="K415" s="9" t="str">
        <x:v>加入日期显示08/12/2026且不附加时间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来源（当前证据）：liveshow-proto/MainBasis/统一需求文档.md；位置：REQ-8fb398d1b1d8；行2863、290462ff97300ba58d974980aec4cd2835b0383db9ef0c4a7bb510ec8d55953a；行3479
2. 规则：BR-4e88f71ddb9634b4
3. 未动态验证</x:v>
      </x:c>
    </x:row>
    <x:row r="416" ht="115" customHeight="1">
      <x:c r="A416" s="10" t="n">
        <x:v>415</x:v>
      </x:c>
      <x:c r="B416" s="10" t="str">
        <x:v>GUILD-02-0143</x:v>
      </x:c>
      <x:c r="C416" s="10" t="str">
        <x:v>主播管理</x:v>
      </x:c>
      <x:c r="D416" s="10" t="str">
        <x:v>主播业绩（公会长视角）</x:v>
      </x:c>
      <x:c r="E416" s="10" t="str">
        <x:v>逻辑校验</x:v>
      </x:c>
      <x:c r="F416" s="10" t="str">
        <x:v>P1</x:v>
      </x:c>
      <x:c r="G416" s="9" t="str">
        <x:v>验证主播业绩排除开始日前记录</x:v>
      </x:c>
      <x:c r="H416" s="9" t="str">
        <x:v>日期范围外记录排除</x:v>
      </x:c>
      <x:c r="I416" s="9" t="str">
        <x:v>1. 执行角色为公会长
2. 已登录目标公会的公会长账号，打开主播业绩页并完成下列数据和页面状态准备
3. 可访问的记录A属于2026年9月9日，B属于9月12日；其他筛选均包含A和B</x:v>
      </x:c>
      <x:c r="J416" s="9" t="str">
        <x:v>1. 查看主播业绩页
2. 选择日期范围为2026年9月10日至9月15日</x:v>
      </x:c>
      <x:c r="K416" s="9" t="str">
        <x:v>筛选结果不包含记录A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来源（当前证据）：liveshow-proto/MainBasis/统一需求文档.md；位置：REQ-11ec1831d720；行2903
2. 规则：BR-d9d9fd2cbd4fa694
3. 未动态验证</x:v>
      </x:c>
    </x:row>
    <x:row r="417" ht="115" customHeight="1">
      <x:c r="A417" s="10" t="n">
        <x:v>416</x:v>
      </x:c>
      <x:c r="B417" s="10" t="str">
        <x:v>GUILD-02-0144</x:v>
      </x:c>
      <x:c r="C417" s="10" t="str">
        <x:v>主播管理</x:v>
      </x:c>
      <x:c r="D417" s="10" t="str">
        <x:v>主播业绩（公会长视角）</x:v>
      </x:c>
      <x:c r="E417" s="10" t="str">
        <x:v>逻辑校验</x:v>
      </x:c>
      <x:c r="F417" s="10" t="str">
        <x:v>P1</x:v>
      </x:c>
      <x:c r="G417" s="9" t="str">
        <x:v>验证主播业绩排除结束日后记录</x:v>
      </x:c>
      <x:c r="H417" s="9" t="str">
        <x:v>日期范围外记录排除</x:v>
      </x:c>
      <x:c r="I417" s="9" t="str">
        <x:v>1. 执行角色为公会长
2. 已登录目标公会的公会长账号，打开主播业绩页并完成下列数据和页面状态准备
3. 可访问的记录A属于2026年9月16日，B属于9月12日；其他筛选均包含A和B</x:v>
      </x:c>
      <x:c r="J417" s="9" t="str">
        <x:v>1. 查看主播业绩页
2. 选择日期范围为2026年9月10日至9月15日</x:v>
      </x:c>
      <x:c r="K417" s="9" t="str">
        <x:v>筛选结果不包含记录A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来源（当前证据）：liveshow-proto/MainBasis/统一需求文档.md；位置：REQ-11ec1831d720；行2903
2. 规则：BR-1e365d76a90878fb
3. 未动态验证</x:v>
      </x:c>
    </x:row>
    <x:row r="418" ht="115" customHeight="1">
      <x:c r="A418" s="10" t="n">
        <x:v>417</x:v>
      </x:c>
      <x:c r="B418" s="10" t="str">
        <x:v>GUILD-03-0101</x:v>
      </x:c>
      <x:c r="C418" s="10" t="str">
        <x:v>运营工具</x:v>
      </x:c>
      <x:c r="D418" s="10" t="str">
        <x:v>运营消息（公会长视角）</x:v>
      </x:c>
      <x:c r="E418" s="10" t="str">
        <x:v>逻辑校验</x:v>
      </x:c>
      <x:c r="F418" s="10" t="str">
        <x:v>P1</x:v>
      </x:c>
      <x:c r="G418" s="9" t="str">
        <x:v>验证运营消息排除开始日前记录</x:v>
      </x:c>
      <x:c r="H418" s="9" t="str">
        <x:v>日期范围外记录排除</x:v>
      </x:c>
      <x:c r="I418" s="9" t="str">
        <x:v>1. 执行角色为公会长
2. 已登录目标公会的公会长账号，打开运营消息页并完成下列数据和页面状态准备
3. 可访问的记录A属于2026年9月9日，B属于9月12日；其他筛选均包含A和B</x:v>
      </x:c>
      <x:c r="J418" s="9" t="str">
        <x:v>1. 查看运营消息页
2. 选择日期范围为2026年9月10日至9月15日</x:v>
      </x:c>
      <x:c r="K418" s="9" t="str">
        <x:v>筛选结果不包含记录A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来源（当前证据）：liveshow-proto/MainBasis/统一需求文档.md；位置：REQ-47c155de9784；行3024
2. 规则：BR-7f49727185872914
3. 未动态验证</x:v>
      </x:c>
    </x:row>
    <x:row r="419" ht="115" customHeight="1">
      <x:c r="A419" s="10" t="n">
        <x:v>418</x:v>
      </x:c>
      <x:c r="B419" s="10" t="str">
        <x:v>GUILD-03-0102</x:v>
      </x:c>
      <x:c r="C419" s="10" t="str">
        <x:v>运营工具</x:v>
      </x:c>
      <x:c r="D419" s="10" t="str">
        <x:v>运营消息（公会长视角）</x:v>
      </x:c>
      <x:c r="E419" s="10" t="str">
        <x:v>逻辑校验</x:v>
      </x:c>
      <x:c r="F419" s="10" t="str">
        <x:v>P1</x:v>
      </x:c>
      <x:c r="G419" s="9" t="str">
        <x:v>验证运营消息排除结束日后记录</x:v>
      </x:c>
      <x:c r="H419" s="9" t="str">
        <x:v>日期范围外记录排除</x:v>
      </x:c>
      <x:c r="I419" s="9" t="str">
        <x:v>1. 执行角色为公会长
2. 已登录目标公会的公会长账号，打开运营消息页并完成下列数据和页面状态准备
3. 可访问的记录A属于2026年9月16日，B属于9月12日；其他筛选均包含A和B</x:v>
      </x:c>
      <x:c r="J419" s="9" t="str">
        <x:v>1. 查看运营消息页
2. 选择日期范围为2026年9月10日至9月15日</x:v>
      </x:c>
      <x:c r="K419" s="9" t="str">
        <x:v>筛选结果不包含记录A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来源（当前证据）：liveshow-proto/MainBasis/统一需求文档.md；位置：REQ-47c155de9784；行3024
2. 规则：BR-ac86b2f981cb48aa
3. 未动态验证</x:v>
      </x:c>
    </x:row>
    <x:row r="420" ht="115" customHeight="1">
      <x:c r="A420" s="10" t="n">
        <x:v>419</x:v>
      </x:c>
      <x:c r="B420" s="10" t="str">
        <x:v>GUILD-03-0103</x:v>
      </x:c>
      <x:c r="C420" s="10" t="str">
        <x:v>运营工具</x:v>
      </x:c>
      <x:c r="D420" s="10" t="str">
        <x:v>运营账号主页（公会长视角）</x:v>
      </x:c>
      <x:c r="E420" s="10" t="str">
        <x:v>逻辑校验</x:v>
      </x:c>
      <x:c r="F420" s="10" t="str">
        <x:v>P1</x:v>
      </x:c>
      <x:c r="G420" s="9" t="str">
        <x:v>验证运营账号主页排除开始日前记录</x:v>
      </x:c>
      <x:c r="H420" s="9" t="str">
        <x:v>日期范围外记录排除</x:v>
      </x:c>
      <x:c r="I420" s="9" t="str">
        <x:v>1. 执行角色为公会长
2. 已登录目标公会的公会长账号，打开运营账号主页页并完成下列数据和页面状态准备
3. 可访问的记录A属于2026年9月9日，B属于9月12日；其他筛选均包含A和B</x:v>
      </x:c>
      <x:c r="J420" s="9" t="str">
        <x:v>1. 查看运营账号主页页
2. 选择日期范围为2026年9月10日至9月15日</x:v>
      </x:c>
      <x:c r="K420" s="9" t="str">
        <x:v>筛选结果不包含记录A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来源（当前证据）：liveshow-proto/MainBasis/统一需求文档.md；位置：REQ-6e7a5925d5b4；行3145
2. 规则：BR-df5172ad41d55208
3. 未动态验证</x:v>
      </x:c>
    </x:row>
    <x:row r="421" ht="115" customHeight="1">
      <x:c r="A421" s="10" t="n">
        <x:v>420</x:v>
      </x:c>
      <x:c r="B421" s="10" t="str">
        <x:v>GUILD-03-0104</x:v>
      </x:c>
      <x:c r="C421" s="10" t="str">
        <x:v>运营工具</x:v>
      </x:c>
      <x:c r="D421" s="10" t="str">
        <x:v>运营账号主页（公会长视角）</x:v>
      </x:c>
      <x:c r="E421" s="10" t="str">
        <x:v>逻辑校验</x:v>
      </x:c>
      <x:c r="F421" s="10" t="str">
        <x:v>P1</x:v>
      </x:c>
      <x:c r="G421" s="9" t="str">
        <x:v>验证运营账号主页排除结束日后记录</x:v>
      </x:c>
      <x:c r="H421" s="9" t="str">
        <x:v>日期范围外记录排除</x:v>
      </x:c>
      <x:c r="I421" s="9" t="str">
        <x:v>1. 执行角色为公会长
2. 已登录目标公会的公会长账号，打开运营账号主页页并完成下列数据和页面状态准备
3. 可访问的记录A属于2026年9月16日，B属于9月12日；其他筛选均包含A和B</x:v>
      </x:c>
      <x:c r="J421" s="9" t="str">
        <x:v>1. 查看运营账号主页页
2. 选择日期范围为2026年9月10日至9月15日</x:v>
      </x:c>
      <x:c r="K421" s="9" t="str">
        <x:v>筛选结果不包含记录A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来源（当前证据）：liveshow-proto/MainBasis/统一需求文档.md；位置：REQ-6e7a5925d5b4；行3145
2. 规则：BR-4f98edd5b430cdea
3. 未动态验证</x:v>
      </x:c>
    </x:row>
    <x:row r="422" ht="115" customHeight="1">
      <x:c r="A422" s="10" t="n">
        <x:v>421</x:v>
      </x:c>
      <x:c r="B422" s="10" t="str">
        <x:v>GUILD-05-0087</x:v>
      </x:c>
      <x:c r="C422" s="10" t="str">
        <x:v>数据与收益</x:v>
      </x:c>
      <x:c r="D422" s="10" t="str">
        <x:v>直播记录（公会长视角）</x:v>
      </x:c>
      <x:c r="E422" s="10" t="str">
        <x:v>逻辑校验</x:v>
      </x:c>
      <x:c r="F422" s="10" t="str">
        <x:v>P1</x:v>
      </x:c>
      <x:c r="G422" s="9" t="str">
        <x:v>验证直播记录排除开始日前记录</x:v>
      </x:c>
      <x:c r="H422" s="9" t="str">
        <x:v>日期范围外记录排除</x:v>
      </x:c>
      <x:c r="I422" s="9" t="str">
        <x:v>1. 执行角色为公会长
2. 已登录目标公会的公会长账号，打开直播记录页并完成下列数据和页面状态准备
3. 可访问的记录A属于2026年9月9日，B属于9月12日；其他筛选均包含A和B</x:v>
      </x:c>
      <x:c r="J422" s="9" t="str">
        <x:v>1. 查看直播记录页
2. 选择日期范围为2026年9月10日至9月15日</x:v>
      </x:c>
      <x:c r="K422" s="9" t="str">
        <x:v>筛选结果不包含记录A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来源（当前证据）：liveshow-proto/MainBasis/统一需求文档.md；位置：REQ-1be57bba4047；行3263
2. 规则：BR-b057878cec9d3bd7
3. 未动态验证</x:v>
      </x:c>
    </x:row>
    <x:row r="423" ht="115" customHeight="1">
      <x:c r="A423" s="10" t="n">
        <x:v>422</x:v>
      </x:c>
      <x:c r="B423" s="10" t="str">
        <x:v>GUILD-05-0088</x:v>
      </x:c>
      <x:c r="C423" s="10" t="str">
        <x:v>数据与收益</x:v>
      </x:c>
      <x:c r="D423" s="10" t="str">
        <x:v>直播记录（公会长视角）</x:v>
      </x:c>
      <x:c r="E423" s="10" t="str">
        <x:v>逻辑校验</x:v>
      </x:c>
      <x:c r="F423" s="10" t="str">
        <x:v>P1</x:v>
      </x:c>
      <x:c r="G423" s="9" t="str">
        <x:v>验证直播记录排除结束日后记录</x:v>
      </x:c>
      <x:c r="H423" s="9" t="str">
        <x:v>日期范围外记录排除</x:v>
      </x:c>
      <x:c r="I423" s="9" t="str">
        <x:v>1. 执行角色为公会长
2. 已登录目标公会的公会长账号，打开直播记录页并完成下列数据和页面状态准备
3. 可访问的记录A属于2026年9月16日，B属于9月12日；其他筛选均包含A和B</x:v>
      </x:c>
      <x:c r="J423" s="9" t="str">
        <x:v>1. 查看直播记录页
2. 选择日期范围为2026年9月10日至9月15日</x:v>
      </x:c>
      <x:c r="K423" s="9" t="str">
        <x:v>筛选结果不包含记录A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来源（当前证据）：liveshow-proto/MainBasis/统一需求文档.md；位置：REQ-1be57bba4047；行3263
2. 规则：BR-ce6f7cc841abffb7
3. 未动态验证</x:v>
      </x:c>
    </x:row>
    <x:row r="424" ht="115" customHeight="1">
      <x:c r="A424" s="10" t="n">
        <x:v>423</x:v>
      </x:c>
      <x:c r="B424" s="10" t="str">
        <x:v>GUILD-05-0089</x:v>
      </x:c>
      <x:c r="C424" s="10" t="str">
        <x:v>数据与收益</x:v>
      </x:c>
      <x:c r="D424" s="10" t="str">
        <x:v>主播分成记录（公会长视角）</x:v>
      </x:c>
      <x:c r="E424" s="10" t="str">
        <x:v>逻辑校验</x:v>
      </x:c>
      <x:c r="F424" s="10" t="str">
        <x:v>P1</x:v>
      </x:c>
      <x:c r="G424" s="9" t="str">
        <x:v>验证主播分成记录排除开始日前记录</x:v>
      </x:c>
      <x:c r="H424" s="9" t="str">
        <x:v>日期范围外记录排除</x:v>
      </x:c>
      <x:c r="I424" s="9" t="str">
        <x:v>1. 执行角色为公会长
2. 已登录目标公会的公会长账号，打开主播分成记录页并完成下列数据和页面状态准备
3. 可访问的记录A属于2026年9月9日，B属于9月12日；其他筛选均包含A和B</x:v>
      </x:c>
      <x:c r="J424" s="9" t="str">
        <x:v>1. 查看主播分成记录页
2. 选择日期范围为2026年9月10日至9月15日</x:v>
      </x:c>
      <x:c r="K424" s="9" t="str">
        <x:v>筛选结果不包含记录A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来源（当前证据）：liveshow-proto/MainBasis/统一需求文档.md；位置：REQ-7f9821d8e4a3；行3436
2. 规则：BR-1e0cafb5c76fbd8b
3. 未动态验证</x:v>
      </x:c>
    </x:row>
    <x:row r="425" ht="115" customHeight="1">
      <x:c r="A425" s="10" t="n">
        <x:v>424</x:v>
      </x:c>
      <x:c r="B425" s="10" t="str">
        <x:v>GUILD-05-0090</x:v>
      </x:c>
      <x:c r="C425" s="10" t="str">
        <x:v>数据与收益</x:v>
      </x:c>
      <x:c r="D425" s="10" t="str">
        <x:v>主播分成记录（公会长视角）</x:v>
      </x:c>
      <x:c r="E425" s="10" t="str">
        <x:v>逻辑校验</x:v>
      </x:c>
      <x:c r="F425" s="10" t="str">
        <x:v>P1</x:v>
      </x:c>
      <x:c r="G425" s="9" t="str">
        <x:v>验证主播分成记录排除结束日后记录</x:v>
      </x:c>
      <x:c r="H425" s="9" t="str">
        <x:v>日期范围外记录排除</x:v>
      </x:c>
      <x:c r="I425" s="9" t="str">
        <x:v>1. 执行角色为公会长
2. 已登录目标公会的公会长账号，打开主播分成记录页并完成下列数据和页面状态准备
3. 可访问的记录A属于2026年9月16日，B属于9月12日；其他筛选均包含A和B</x:v>
      </x:c>
      <x:c r="J425" s="9" t="str">
        <x:v>1. 查看主播分成记录页
2. 选择日期范围为2026年9月10日至9月15日</x:v>
      </x:c>
      <x:c r="K425" s="9" t="str">
        <x:v>筛选结果不包含记录A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来源（当前证据）：liveshow-proto/MainBasis/统一需求文档.md；位置：REQ-7f9821d8e4a3；行3436
2. 规则：BR-a32096a056d39c33
3. 未动态验证</x:v>
      </x:c>
    </x:row>
    <x:row r="426" ht="115" customHeight="1">
      <x:c r="A426" s="10" t="n">
        <x:v>425</x:v>
      </x:c>
      <x:c r="B426" s="10" t="str">
        <x:v>GUILD-05-0091</x:v>
      </x:c>
      <x:c r="C426" s="10" t="str">
        <x:v>数据与收益</x:v>
      </x:c>
      <x:c r="D426" s="10" t="str">
        <x:v>违规记录（公会长视角）</x:v>
      </x:c>
      <x:c r="E426" s="10" t="str">
        <x:v>逻辑校验</x:v>
      </x:c>
      <x:c r="F426" s="10" t="str">
        <x:v>P1</x:v>
      </x:c>
      <x:c r="G426" s="9" t="str">
        <x:v>验证违规记录排除开始日前记录</x:v>
      </x:c>
      <x:c r="H426" s="9" t="str">
        <x:v>日期范围外记录排除</x:v>
      </x:c>
      <x:c r="I426" s="9" t="str">
        <x:v>1. 执行角色为公会长
2. 已登录目标公会的公会长账号，打开违规记录页并完成下列数据和页面状态准备
3. 可访问的记录A属于2026年9月9日，B属于9月12日；其他筛选均包含A和B</x:v>
      </x:c>
      <x:c r="J426" s="9" t="str">
        <x:v>1. 查看违规记录页
2. 选择日期范围为2026年9月10日至9月15日</x:v>
      </x:c>
      <x:c r="K426" s="9" t="str">
        <x:v>筛选结果不包含记录A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来源（当前证据）：liveshow-proto/MainBasis/统一需求文档.md；位置：REQ-3caa16d1492a；行3345
2. 规则：BR-6f07eb3039ca77c9
3. 未动态验证</x:v>
      </x:c>
    </x:row>
    <x:row r="427" ht="115" customHeight="1">
      <x:c r="A427" s="10" t="n">
        <x:v>426</x:v>
      </x:c>
      <x:c r="B427" s="10" t="str">
        <x:v>GUILD-05-0092</x:v>
      </x:c>
      <x:c r="C427" s="10" t="str">
        <x:v>数据与收益</x:v>
      </x:c>
      <x:c r="D427" s="10" t="str">
        <x:v>违规记录（公会长视角）</x:v>
      </x:c>
      <x:c r="E427" s="10" t="str">
        <x:v>逻辑校验</x:v>
      </x:c>
      <x:c r="F427" s="10" t="str">
        <x:v>P1</x:v>
      </x:c>
      <x:c r="G427" s="9" t="str">
        <x:v>验证违规记录排除结束日后记录</x:v>
      </x:c>
      <x:c r="H427" s="9" t="str">
        <x:v>日期范围外记录排除</x:v>
      </x:c>
      <x:c r="I427" s="9" t="str">
        <x:v>1. 执行角色为公会长
2. 已登录目标公会的公会长账号，打开违规记录页并完成下列数据和页面状态准备
3. 可访问的记录A属于2026年9月16日，B属于9月12日；其他筛选均包含A和B</x:v>
      </x:c>
      <x:c r="J427" s="9" t="str">
        <x:v>1. 查看违规记录页
2. 选择日期范围为2026年9月10日至9月15日</x:v>
      </x:c>
      <x:c r="K427" s="9" t="str">
        <x:v>筛选结果不包含记录A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来源（当前证据）：liveshow-proto/MainBasis/统一需求文档.md；位置：REQ-3caa16d1492a；行3345
2. 规则：BR-eaab158c167fdddb
3. 未动态验证</x:v>
      </x:c>
    </x:row>
    <x:row r="428" ht="100" customHeight="1">
      <x:c r="A428" s="10" t="n">
        <x:v>427</x:v>
      </x:c>
      <x:c r="B428" s="10" t="str">
        <x:v>GUILD-05-0093</x:v>
      </x:c>
      <x:c r="C428" s="10" t="str">
        <x:v>数据与收益</x:v>
      </x:c>
      <x:c r="D428" s="10" t="str">
        <x:v>违规记录（公会长视角）</x:v>
      </x:c>
      <x:c r="E428" s="10" t="str">
        <x:v>逻辑校验</x:v>
      </x:c>
      <x:c r="F428" s="10" t="str">
        <x:v>P1</x:v>
      </x:c>
      <x:c r="G428" s="9" t="str">
        <x:v>验证违规记录包含开始日</x:v>
      </x:c>
      <x:c r="H428" s="9" t="str">
        <x:v>违规日期边界包含</x:v>
      </x:c>
      <x:c r="I428" s="9" t="str">
        <x:v>1. 执行角色为公会长
2. 已登录目标公会的公会长账号，打开违规记录页并完成下列数据和页面状态准备
3. 违规记录A的业务发生日为2026年9月10日；其他条件包含A</x:v>
      </x:c>
      <x:c r="J428" s="9" t="str">
        <x:v>1. 查看违规记录页
2. 选择日期范围为2026年9月10日至9月15日</x:v>
      </x:c>
      <x:c r="K428" s="9" t="str">
        <x:v>筛选结果包含记录A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来源（当前证据）：liveshow-proto/MainBasis/统一需求文档.md；位置：REQ-3caa16d1492a；行3345
2. 规则：BR-004838a42d510235
3. 未动态验证</x:v>
      </x:c>
    </x:row>
    <x:row r="429" ht="100" customHeight="1">
      <x:c r="A429" s="10" t="n">
        <x:v>428</x:v>
      </x:c>
      <x:c r="B429" s="10" t="str">
        <x:v>GUILD-05-0094</x:v>
      </x:c>
      <x:c r="C429" s="10" t="str">
        <x:v>数据与收益</x:v>
      </x:c>
      <x:c r="D429" s="10" t="str">
        <x:v>违规记录（公会长视角）</x:v>
      </x:c>
      <x:c r="E429" s="10" t="str">
        <x:v>逻辑校验</x:v>
      </x:c>
      <x:c r="F429" s="10" t="str">
        <x:v>P1</x:v>
      </x:c>
      <x:c r="G429" s="9" t="str">
        <x:v>验证违规记录包含结束日</x:v>
      </x:c>
      <x:c r="H429" s="9" t="str">
        <x:v>违规日期边界包含</x:v>
      </x:c>
      <x:c r="I429" s="9" t="str">
        <x:v>1. 执行角色为公会长
2. 已登录目标公会的公会长账号，打开违规记录页并完成下列数据和页面状态准备
3. 违规记录A的业务发生日为2026年9月15日；其他条件包含A</x:v>
      </x:c>
      <x:c r="J429" s="9" t="str">
        <x:v>1. 查看违规记录页
2. 选择日期范围为2026年9月10日至9月15日</x:v>
      </x:c>
      <x:c r="K429" s="9" t="str">
        <x:v>筛选结果包含记录A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来源（当前证据）：liveshow-proto/MainBasis/统一需求文档.md；位置：REQ-3caa16d1492a；行3345
2. 规则：BR-e30edb9fb3049526
3. 未动态验证</x:v>
      </x:c>
    </x:row>
    <x:row r="430" ht="85" customHeight="1">
      <x:c r="A430" s="10" t="n">
        <x:v>429</x:v>
      </x:c>
      <x:c r="B430" s="10" t="str">
        <x:v>GUILD-02-0145</x:v>
      </x:c>
      <x:c r="C430" s="10" t="str">
        <x:v>主播管理</x:v>
      </x:c>
      <x:c r="D430" s="10" t="str">
        <x:v>主播业绩（公会长视角）</x:v>
      </x:c>
      <x:c r="E430" s="10" t="str">
        <x:v>功能需求</x:v>
      </x:c>
      <x:c r="F430" s="10" t="str">
        <x:v>P2</x:v>
      </x:c>
      <x:c r="G430" s="9" t="str">
        <x:v>验证主播业绩显示已定义日期选项</x:v>
      </x:c>
      <x:c r="H430" s="9" t="str">
        <x:v>主播业绩日期选项</x:v>
      </x:c>
      <x:c r="I430" s="9" t="str">
        <x:v>1. 执行角色为公会长
2. 已登录目标公会的公会长账号，打开主播业绩页并完成下列数据和页面状态准备
3. 当前处于对应日期筛选视图</x:v>
      </x:c>
      <x:c r="J430" s="9" t="str">
        <x:v>1. 查看主播业绩页
2. 点击日期范围选择</x:v>
      </x:c>
      <x:c r="K430" s="9" t="str">
        <x:v>可选范围为今日、昨日、本周、上周、本月、上月、自定义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来源（当前证据）：liveshow-proto/MainBasis/统一需求文档.md；位置：REQ-8e961a9af293；行2905
2. 规则：BR-55ec08d042e1c0e7
3. 未动态验证</x:v>
      </x:c>
    </x:row>
    <x:row r="431" ht="85" customHeight="1">
      <x:c r="A431" s="10" t="n">
        <x:v>430</x:v>
      </x:c>
      <x:c r="B431" s="10" t="str">
        <x:v>GUILD-03-0105</x:v>
      </x:c>
      <x:c r="C431" s="10" t="str">
        <x:v>运营工具</x:v>
      </x:c>
      <x:c r="D431" s="10" t="str">
        <x:v>运营消息（公会长视角）</x:v>
      </x:c>
      <x:c r="E431" s="10" t="str">
        <x:v>功能需求</x:v>
      </x:c>
      <x:c r="F431" s="10" t="str">
        <x:v>P2</x:v>
      </x:c>
      <x:c r="G431" s="9" t="str">
        <x:v>验证运营消息显示已定义日期选项</x:v>
      </x:c>
      <x:c r="H431" s="9" t="str">
        <x:v>运营消息日期选项</x:v>
      </x:c>
      <x:c r="I431" s="9" t="str">
        <x:v>1. 执行角色为公会长
2. 已登录目标公会的公会长账号，打开运营消息页并完成下列数据和页面状态准备
3. 当前处于对应日期筛选视图</x:v>
      </x:c>
      <x:c r="J431" s="9" t="str">
        <x:v>1. 查看运营消息页
2. 点击日期范围选择</x:v>
      </x:c>
      <x:c r="K431" s="9" t="str">
        <x:v>可选范围为本周、本月、自定义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来源（当前证据）：liveshow-proto/MainBasis/统一需求文档.md；位置：REQ-84fcbbb4bde2；行3026
2. 规则：BR-5b3e97dcd963ac85
3. 未动态验证</x:v>
      </x:c>
    </x:row>
    <x:row r="432" ht="85" customHeight="1">
      <x:c r="A432" s="10" t="n">
        <x:v>431</x:v>
      </x:c>
      <x:c r="B432" s="10" t="str">
        <x:v>GUILD-03-0106</x:v>
      </x:c>
      <x:c r="C432" s="10" t="str">
        <x:v>运营工具</x:v>
      </x:c>
      <x:c r="D432" s="10" t="str">
        <x:v>运营账号主页（公会长视角）</x:v>
      </x:c>
      <x:c r="E432" s="10" t="str">
        <x:v>功能需求</x:v>
      </x:c>
      <x:c r="F432" s="10" t="str">
        <x:v>P2</x:v>
      </x:c>
      <x:c r="G432" s="9" t="str">
        <x:v>验证运营账号主页显示已定义日期选项</x:v>
      </x:c>
      <x:c r="H432" s="9" t="str">
        <x:v>运营账号主页日期选项</x:v>
      </x:c>
      <x:c r="I432" s="9" t="str">
        <x:v>1. 执行角色为公会长
2. 已登录目标公会的公会长账号，打开运营账号主页页并完成下列数据和页面状态准备
3. 当前处于对应日期筛选视图</x:v>
      </x:c>
      <x:c r="J432" s="9" t="str">
        <x:v>1. 查看运营账号主页页
2. 点击日期范围选择</x:v>
      </x:c>
      <x:c r="K432" s="9" t="str">
        <x:v>可选范围为今日、昨日、本周、上周、本月、上月、自定义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来源（当前证据）：liveshow-proto/MainBasis/统一需求文档.md；位置：REQ-366c4df6d782；行3147
2. 规则：BR-7c732c28408d4980
3. 未动态验证</x:v>
      </x:c>
    </x:row>
    <x:row r="433" ht="85" customHeight="1">
      <x:c r="A433" s="10" t="n">
        <x:v>432</x:v>
      </x:c>
      <x:c r="B433" s="10" t="str">
        <x:v>GUILD-05-0095</x:v>
      </x:c>
      <x:c r="C433" s="10" t="str">
        <x:v>数据与收益</x:v>
      </x:c>
      <x:c r="D433" s="10" t="str">
        <x:v>直播记录（公会长视角）</x:v>
      </x:c>
      <x:c r="E433" s="10" t="str">
        <x:v>功能需求</x:v>
      </x:c>
      <x:c r="F433" s="10" t="str">
        <x:v>P2</x:v>
      </x:c>
      <x:c r="G433" s="9" t="str">
        <x:v>验证直播记录显示已定义日期选项</x:v>
      </x:c>
      <x:c r="H433" s="9" t="str">
        <x:v>直播记录日期选项</x:v>
      </x:c>
      <x:c r="I433" s="9" t="str">
        <x:v>1. 执行角色为公会长
2. 已登录目标公会的公会长账号，打开直播记录页并完成下列数据和页面状态准备
3. 当前处于对应日期筛选视图</x:v>
      </x:c>
      <x:c r="J433" s="9" t="str">
        <x:v>1. 查看直播记录页
2. 点击日期范围选择</x:v>
      </x:c>
      <x:c r="K433" s="9" t="str">
        <x:v>可选范围为今日、昨日、本周、上周、本月、上月、自定义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来源（当前证据）：liveshow-proto/MainBasis/统一需求文档.md；位置：REQ-b5fab014efd8；行3265
2. 规则：BR-029bef9ee33ee6ff
3. 未动态验证</x:v>
      </x:c>
    </x:row>
    <x:row r="434" ht="85" customHeight="1">
      <x:c r="A434" s="10" t="n">
        <x:v>433</x:v>
      </x:c>
      <x:c r="B434" s="10" t="str">
        <x:v>GUILD-05-0096</x:v>
      </x:c>
      <x:c r="C434" s="10" t="str">
        <x:v>数据与收益</x:v>
      </x:c>
      <x:c r="D434" s="10" t="str">
        <x:v>主播分成记录（公会长视角）</x:v>
      </x:c>
      <x:c r="E434" s="10" t="str">
        <x:v>功能需求</x:v>
      </x:c>
      <x:c r="F434" s="10" t="str">
        <x:v>P2</x:v>
      </x:c>
      <x:c r="G434" s="9" t="str">
        <x:v>验证主播分成记录显示已定义日期选项</x:v>
      </x:c>
      <x:c r="H434" s="9" t="str">
        <x:v>主播分成记录日期选项</x:v>
      </x:c>
      <x:c r="I434" s="9" t="str">
        <x:v>1. 执行角色为公会长
2. 已登录目标公会的公会长账号，打开主播分成记录页并完成下列数据和页面状态准备
3. 当前处于对应日期筛选视图</x:v>
      </x:c>
      <x:c r="J434" s="9" t="str">
        <x:v>1. 查看主播分成记录页
2. 点击日期范围选择</x:v>
      </x:c>
      <x:c r="K434" s="9" t="str">
        <x:v>可选范围为今日、昨日、本周、上周、本月、上月、自定义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来源（当前证据）：liveshow-proto/MainBasis/统一需求文档.md；位置：REQ-e9c530534e0b；行3438
2. 规则：BR-6a5e58dc78e29fd8
3. 未动态验证</x:v>
      </x:c>
    </x:row>
    <x:row r="435" ht="85" customHeight="1">
      <x:c r="A435" s="10" t="n">
        <x:v>434</x:v>
      </x:c>
      <x:c r="B435" s="10" t="str">
        <x:v>GUILD-02-0146</x:v>
      </x:c>
      <x:c r="C435" s="10" t="str">
        <x:v>主播管理</x:v>
      </x:c>
      <x:c r="D435" s="10" t="str">
        <x:v>主播数据（公会长视角）</x:v>
      </x:c>
      <x:c r="E435" s="10" t="str">
        <x:v>功能需求</x:v>
      </x:c>
      <x:c r="F435" s="10" t="str">
        <x:v>P2</x:v>
      </x:c>
      <x:c r="G435" s="9" t="str">
        <x:v>验证主播数据显示已定义日期选项</x:v>
      </x:c>
      <x:c r="H435" s="9" t="str">
        <x:v>主播数据日期选项</x:v>
      </x:c>
      <x:c r="I435" s="9" t="str">
        <x:v>1. 执行角色为公会长
2. 已登录目标公会的公会长账号，打开主播数据页并完成下列数据和页面状态准备
3. 当前处于对应日期筛选视图</x:v>
      </x:c>
      <x:c r="J435" s="9" t="str">
        <x:v>1. 查看主播数据页
2. 点击日期范围选择</x:v>
      </x:c>
      <x:c r="K435" s="9" t="str">
        <x:v>可选范围为本周、上周、本月、上月、自定义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来源（当前证据）：liveshow-proto/MainBasis/统一需求文档.md；位置：REQ-601776b12c53；行2950
2. 规则：BR-18b464229611548d
3. 未动态验证</x:v>
      </x:c>
    </x:row>
    <x:row r="436" ht="85" customHeight="1">
      <x:c r="A436" s="10" t="n">
        <x:v>435</x:v>
      </x:c>
      <x:c r="B436" s="10" t="str">
        <x:v>GUILD-05-0097</x:v>
      </x:c>
      <x:c r="C436" s="10" t="str">
        <x:v>数据与收益</x:v>
      </x:c>
      <x:c r="D436" s="10" t="str">
        <x:v>公会业绩（公会长视角）</x:v>
      </x:c>
      <x:c r="E436" s="10" t="str">
        <x:v>功能需求</x:v>
      </x:c>
      <x:c r="F436" s="10" t="str">
        <x:v>P2</x:v>
      </x:c>
      <x:c r="G436" s="9" t="str">
        <x:v>验证公会业绩显示已定义日期选项</x:v>
      </x:c>
      <x:c r="H436" s="9" t="str">
        <x:v>公会业绩日期选项</x:v>
      </x:c>
      <x:c r="I436" s="9" t="str">
        <x:v>1. 执行角色为公会长
2. 已登录目标公会的公会长账号，打开公会业绩页并完成下列数据和页面状态准备
3. 当前选择月数据</x:v>
      </x:c>
      <x:c r="J436" s="9" t="str">
        <x:v>1. 查看公会业绩页
2. 点击日期范围选择</x:v>
      </x:c>
      <x:c r="K436" s="9" t="str">
        <x:v>可选范围为近半年、近一年、自定义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来源（当前证据）：liveshow-proto/MainBasis/统一需求文档.md；位置：REQ-1c1f3cfd5125；行3368
2. 规则：BR-13767b7c04adcb9f
3. 未动态验证</x:v>
      </x:c>
    </x:row>
    <x:row r="437" ht="100" customHeight="1">
      <x:c r="A437" s="10" t="n">
        <x:v>436</x:v>
      </x:c>
      <x:c r="B437" s="10" t="str">
        <x:v>GUILD-02-0147</x:v>
      </x:c>
      <x:c r="C437" s="10" t="str">
        <x:v>主播管理</x:v>
      </x:c>
      <x:c r="D437" s="10" t="str">
        <x:v>退会申请（公会长视角）</x:v>
      </x:c>
      <x:c r="E437" s="10" t="str">
        <x:v>逻辑校验</x:v>
      </x:c>
      <x:c r="F437" s="10" t="str">
        <x:v>P1</x:v>
      </x:c>
      <x:c r="G437" s="9" t="str">
        <x:v>验证退会列表显示待审核结果</x:v>
      </x:c>
      <x:c r="H437" s="9" t="str">
        <x:v>退会列表申请状态</x:v>
      </x:c>
      <x:c r="I437" s="9" t="str">
        <x:v>1. 执行角色为公会长
2. 已登录目标公会的公会长账号，打开退会申请页并完成下列数据和页面状态准备
3. 申请A当前待审核；当前Tab包含A</x:v>
      </x:c>
      <x:c r="J437" s="9" t="str">
        <x:v>1. 查看退会申请页</x:v>
      </x:c>
      <x:c r="K437" s="9" t="str">
        <x:v>A状态显示待审核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来源（当前证据）：liveshow-proto/MainBasis/统一需求文档.md；位置：REQ-458da153b105；行2848
2. 规则：BR-debf14fd3b1130e4
3. 未动态验证</x:v>
      </x:c>
    </x:row>
    <x:row r="438" ht="100" customHeight="1">
      <x:c r="A438" s="10" t="n">
        <x:v>437</x:v>
      </x:c>
      <x:c r="B438" s="10" t="str">
        <x:v>GUILD-02-0148</x:v>
      </x:c>
      <x:c r="C438" s="10" t="str">
        <x:v>主播管理</x:v>
      </x:c>
      <x:c r="D438" s="10" t="str">
        <x:v>退会申请（公会长视角）</x:v>
      </x:c>
      <x:c r="E438" s="10" t="str">
        <x:v>逻辑校验</x:v>
      </x:c>
      <x:c r="F438" s="10" t="str">
        <x:v>P1</x:v>
      </x:c>
      <x:c r="G438" s="9" t="str">
        <x:v>验证退会列表显示已通过结果</x:v>
      </x:c>
      <x:c r="H438" s="9" t="str">
        <x:v>退会列表申请状态</x:v>
      </x:c>
      <x:c r="I438" s="9" t="str">
        <x:v>1. 执行角色为公会长
2. 已登录目标公会的公会长账号，打开退会申请页并完成下列数据和页面状态准备
3. 申请A当前已通过；当前Tab包含A</x:v>
      </x:c>
      <x:c r="J438" s="9" t="str">
        <x:v>1. 查看退会申请页</x:v>
      </x:c>
      <x:c r="K438" s="9" t="str">
        <x:v>A状态显示已通过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来源（当前证据）：liveshow-proto/MainBasis/统一需求文档.md；位置：REQ-458da153b105；行2848
2. 规则：BR-f887117ef44f6f1c
3. 未动态验证</x:v>
      </x:c>
    </x:row>
    <x:row r="439" ht="100" customHeight="1">
      <x:c r="A439" s="10" t="n">
        <x:v>438</x:v>
      </x:c>
      <x:c r="B439" s="10" t="str">
        <x:v>GUILD-02-0149</x:v>
      </x:c>
      <x:c r="C439" s="10" t="str">
        <x:v>主播管理</x:v>
      </x:c>
      <x:c r="D439" s="10" t="str">
        <x:v>退会申请（公会长视角）</x:v>
      </x:c>
      <x:c r="E439" s="10" t="str">
        <x:v>逻辑校验</x:v>
      </x:c>
      <x:c r="F439" s="10" t="str">
        <x:v>P1</x:v>
      </x:c>
      <x:c r="G439" s="9" t="str">
        <x:v>验证退会列表显示已驳回结果</x:v>
      </x:c>
      <x:c r="H439" s="9" t="str">
        <x:v>退会列表申请状态</x:v>
      </x:c>
      <x:c r="I439" s="9" t="str">
        <x:v>1. 执行角色为公会长
2. 已登录目标公会的公会长账号，打开退会申请页并完成下列数据和页面状态准备
3. 申请A当前已驳回；当前Tab包含A</x:v>
      </x:c>
      <x:c r="J439" s="9" t="str">
        <x:v>1. 查看退会申请页</x:v>
      </x:c>
      <x:c r="K439" s="9" t="str">
        <x:v>A状态显示已驳回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来源（当前证据）：liveshow-proto/MainBasis/统一需求文档.md；位置：REQ-458da153b105；行2848
2. 规则：BR-fd047730b178c9ec
3. 未动态验证</x:v>
      </x:c>
    </x:row>
    <x:row r="440" ht="100" customHeight="1">
      <x:c r="A440" s="10" t="n">
        <x:v>439</x:v>
      </x:c>
      <x:c r="B440" s="10" t="str">
        <x:v>GUILD-02-0150</x:v>
      </x:c>
      <x:c r="C440" s="10" t="str">
        <x:v>主播管理</x:v>
      </x:c>
      <x:c r="D440" s="10" t="str">
        <x:v>退会申请详情（公会长视角）</x:v>
      </x:c>
      <x:c r="E440" s="10" t="str">
        <x:v>逻辑校验</x:v>
      </x:c>
      <x:c r="F440" s="10" t="str">
        <x:v>P1</x:v>
      </x:c>
      <x:c r="G440" s="9" t="str">
        <x:v>验证公会通过退会后直接形成终审结果</x:v>
      </x:c>
      <x:c r="H440" s="9" t="str">
        <x:v>退会通过不再等待平台</x:v>
      </x:c>
      <x:c r="I440" s="9" t="str">
        <x:v>1. 执行角色为公会长
2. 已登录目标公会的公会长账号，打开退会申请详情页并完成下列数据和页面状态准备
3. 本次退会申请待公会审核</x:v>
      </x:c>
      <x:c r="J440" s="9" t="str">
        <x:v>1. 查看退会申请详情页
2. 点击通过
3. 点击确认</x:v>
      </x:c>
      <x:c r="K440" s="9" t="str">
        <x:v>本次退会状态显示已通过</x:v>
      </x:c>
      <x:c r="L440" s="10" t="str">
        <x:v>FLOW-289CDBD17D</x:v>
      </x:c>
      <x:c r="M440" s="10" t="str">
        <x:v>未测</x:v>
      </x:c>
      <x:c r="N440" s="10" t="str"/>
      <x:c r="O440" s="9" t="str">
        <x:v>1. 来源（当前证据）：liveshow-proto/MainBasis/统一需求文档.md；位置：REQ-b0f181b59384；行2875、REQ-d663601c7f44；行2850
2. 规则：BR-3c63cb92d652ab6d
3. 未动态验证</x:v>
      </x:c>
    </x:row>
    <x:row r="441" ht="130" customHeight="1">
      <x:c r="A441" s="10" t="n">
        <x:v>440</x:v>
      </x:c>
      <x:c r="B441" s="10" t="str">
        <x:v>GUILD-02-0151</x:v>
      </x:c>
      <x:c r="C441" s="10" t="str">
        <x:v>主播管理</x:v>
      </x:c>
      <x:c r="D441" s="10" t="str">
        <x:v>主播业绩（公会长视角）</x:v>
      </x:c>
      <x:c r="E441" s="10" t="str">
        <x:v>逻辑校验</x:v>
      </x:c>
      <x:c r="F441" s="10" t="str">
        <x:v>P1</x:v>
      </x:c>
      <x:c r="G441" s="9" t="str">
        <x:v>验证更换业绩日期后更新主播收益</x:v>
      </x:c>
      <x:c r="H441" s="9" t="str">
        <x:v>业绩日期切换主播收益</x:v>
      </x:c>
      <x:c r="I441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1" s="9" t="str">
        <x:v>1. 查看主播业绩页
2. 选择快捷日期为昨日</x:v>
      </x:c>
      <x:c r="K441" s="9" t="str">
        <x:v>主播收益显示300金币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来源（当前证据）：liveshow-proto/MainBasis/统一需求文档.md；位置：REQ-0d705a92bb23；行2921
2. 规则：BR-eb409d0a91fcef6e
3. 未动态验证</x:v>
      </x:c>
    </x:row>
    <x:row r="442" ht="130" customHeight="1">
      <x:c r="A442" s="10" t="n">
        <x:v>441</x:v>
      </x:c>
      <x:c r="B442" s="10" t="str">
        <x:v>GUILD-02-0152</x:v>
      </x:c>
      <x:c r="C442" s="10" t="str">
        <x:v>主播管理</x:v>
      </x:c>
      <x:c r="D442" s="10" t="str">
        <x:v>主播业绩（公会长视角）</x:v>
      </x:c>
      <x:c r="E442" s="10" t="str">
        <x:v>逻辑校验</x:v>
      </x:c>
      <x:c r="F442" s="10" t="str">
        <x:v>P1</x:v>
      </x:c>
      <x:c r="G442" s="9" t="str">
        <x:v>验证更换业绩日期后更新开播人数</x:v>
      </x:c>
      <x:c r="H442" s="9" t="str">
        <x:v>业绩日期切换开播人数</x:v>
      </x:c>
      <x:c r="I442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2" s="9" t="str">
        <x:v>1. 查看主播业绩页
2. 选择快捷日期为昨日</x:v>
      </x:c>
      <x:c r="K442" s="9" t="str">
        <x:v>开播人数显示2人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来源（当前证据）：liveshow-proto/MainBasis/统一需求文档.md；位置：REQ-0d705a92bb23；行2921
2. 规则：BR-80b57a08395ea5bc
3. 未动态验证</x:v>
      </x:c>
    </x:row>
    <x:row r="443" ht="130" customHeight="1">
      <x:c r="A443" s="10" t="n">
        <x:v>442</x:v>
      </x:c>
      <x:c r="B443" s="10" t="str">
        <x:v>GUILD-02-0153</x:v>
      </x:c>
      <x:c r="C443" s="10" t="str">
        <x:v>主播管理</x:v>
      </x:c>
      <x:c r="D443" s="10" t="str">
        <x:v>主播业绩（公会长视角）</x:v>
      </x:c>
      <x:c r="E443" s="10" t="str">
        <x:v>逻辑校验</x:v>
      </x:c>
      <x:c r="F443" s="10" t="str">
        <x:v>P1</x:v>
      </x:c>
      <x:c r="G443" s="9" t="str">
        <x:v>验证更换业绩日期后更新达标人数</x:v>
      </x:c>
      <x:c r="H443" s="9" t="str">
        <x:v>业绩日期切换达标人数</x:v>
      </x:c>
      <x:c r="I443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3" s="9" t="str">
        <x:v>1. 查看主播业绩页
2. 选择快捷日期为昨日</x:v>
      </x:c>
      <x:c r="K443" s="9" t="str">
        <x:v>达标人数显示1人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来源（当前证据）：liveshow-proto/MainBasis/统一需求文档.md；位置：REQ-0d705a92bb23；行2921
2. 规则：BR-33abdbaa22d4267e
3. 未动态验证</x:v>
      </x:c>
    </x:row>
    <x:row r="444" ht="130" customHeight="1">
      <x:c r="A444" s="10" t="n">
        <x:v>443</x:v>
      </x:c>
      <x:c r="B444" s="10" t="str">
        <x:v>GUILD-02-0154</x:v>
      </x:c>
      <x:c r="C444" s="10" t="str">
        <x:v>主播管理</x:v>
      </x:c>
      <x:c r="D444" s="10" t="str">
        <x:v>主播业绩（公会长视角）</x:v>
      </x:c>
      <x:c r="E444" s="10" t="str">
        <x:v>逻辑校验</x:v>
      </x:c>
      <x:c r="F444" s="10" t="str">
        <x:v>P1</x:v>
      </x:c>
      <x:c r="G444" s="9" t="str">
        <x:v>验证同日两场累计三小时的达标人数</x:v>
      </x:c>
      <x:c r="H444" s="9" t="str">
        <x:v>有效天自然日累计</x:v>
      </x:c>
      <x:c r="I444" s="9" t="str">
        <x:v>1. 执行角色为公会长
2. 已登录目标公会的公会长账号，打开主播业绩页并完成下列数据和页面状态准备
3. 当前统计9月14日至15日，仅主播甲有完成场次
4. 甲15日先完成120分钟，再完成60分钟</x:v>
      </x:c>
      <x:c r="J444" s="9" t="str">
        <x:v>1. 查看主播业绩页</x:v>
      </x:c>
      <x:c r="K444" s="9" t="str">
        <x:v>达标人数显示1人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来源（当前证据）：liveshow-proto/MainBasis/统一需求文档.md；位置：REQ-da175ce63bb2；行2929
2. 规则：BR-0335adcc4f9aacd5
3. 未动态验证</x:v>
      </x:c>
    </x:row>
    <x:row r="445" ht="130" customHeight="1">
      <x:c r="A445" s="10" t="n">
        <x:v>444</x:v>
      </x:c>
      <x:c r="B445" s="10" t="str">
        <x:v>GUILD-02-0155</x:v>
      </x:c>
      <x:c r="C445" s="10" t="str">
        <x:v>主播管理</x:v>
      </x:c>
      <x:c r="D445" s="10" t="str">
        <x:v>主播业绩（公会长视角）</x:v>
      </x:c>
      <x:c r="E445" s="10" t="str">
        <x:v>逻辑校验</x:v>
      </x:c>
      <x:c r="F445" s="10" t="str">
        <x:v>P1</x:v>
      </x:c>
      <x:c r="G445" s="9" t="str">
        <x:v>验证跨日两场累计三小时的达标人数</x:v>
      </x:c>
      <x:c r="H445" s="9" t="str">
        <x:v>有效天自然日累计</x:v>
      </x:c>
      <x:c r="I445" s="9" t="str">
        <x:v>1. 执行角色为公会长
2. 已登录目标公会的公会长账号，打开主播业绩页并完成下列数据和页面状态准备
3. 当前统计9月14日至15日，仅主播甲有完成场次
4. 甲14日120分钟，15日60分钟</x:v>
      </x:c>
      <x:c r="J445" s="9" t="str">
        <x:v>1. 查看主播业绩页</x:v>
      </x:c>
      <x:c r="K445" s="9" t="str">
        <x:v>达标人数显示0人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来源（当前证据）：liveshow-proto/MainBasis/统一需求文档.md；位置：REQ-da175ce63bb2；行2929
2. 规则：BR-b540f0b63b44e344
3. 未动态验证</x:v>
      </x:c>
    </x:row>
    <x:row r="446" ht="100" customHeight="1">
      <x:c r="A446" s="10" t="n">
        <x:v>445</x:v>
      </x:c>
      <x:c r="B446" s="10" t="str">
        <x:v>GUILD-02-0156</x:v>
      </x:c>
      <x:c r="C446" s="10" t="str">
        <x:v>主播管理</x:v>
      </x:c>
      <x:c r="D446" s="10" t="str">
        <x:v>主播主页（公会长视角）</x:v>
      </x:c>
      <x:c r="E446" s="10" t="str">
        <x:v>逻辑校验</x:v>
      </x:c>
      <x:c r="F446" s="10" t="str">
        <x:v>P1</x:v>
      </x:c>
      <x:c r="G446" s="9" t="str">
        <x:v>验证退会主播不能修改公会开播权限</x:v>
      </x:c>
      <x:c r="H446" s="9" t="str">
        <x:v>退会后的公会权限操作</x:v>
      </x:c>
      <x:c r="I446" s="9" t="str">
        <x:v>1. 执行角色为公会长
2. 已登录目标公会的公会长账号，打开主播主页页并完成下列数据和页面状态准备
3. 主播甲已从当前公会退出；通过历史业绩进入甲主页</x:v>
      </x:c>
      <x:c r="J446" s="9" t="str">
        <x:v>1. 查看主播主页页</x:v>
      </x:c>
      <x:c r="K446" s="9" t="str">
        <x:v>没有可修改的直播权限开关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来源（当前证据）：liveshow-proto/MainBasis/统一需求文档.md；位置：REQ-cc076c5df509；行2983
2. 规则：BR-d2e5e244e4ce2c90
3. 未动态验证</x:v>
      </x:c>
    </x:row>
    <x:row r="447" ht="85" customHeight="1">
      <x:c r="A447" s="10" t="n">
        <x:v>446</x:v>
      </x:c>
      <x:c r="B447" s="10" t="str">
        <x:v>GUILD-03-0107</x:v>
      </x:c>
      <x:c r="C447" s="10" t="str">
        <x:v>运营工具</x:v>
      </x:c>
      <x:c r="D447" s="10" t="str">
        <x:v>新建运营消息（公会长视角）</x:v>
      </x:c>
      <x:c r="E447" s="10" t="str">
        <x:v>功能需求</x:v>
      </x:c>
      <x:c r="F447" s="10" t="str">
        <x:v>P2</x:v>
      </x:c>
      <x:c r="G447" s="9" t="str">
        <x:v>验证公会消息接收范围只含两类</x:v>
      </x:c>
      <x:c r="H447" s="9" t="str">
        <x:v>公会消息接收类型</x:v>
      </x:c>
      <x:c r="I447" s="9" t="str">
        <x:v>1. 执行角色为公会长
2. 已登录目标公会的公会长账号，打开新建运营消息页并完成下列数据和页面状态准备</x:v>
      </x:c>
      <x:c r="J447" s="9" t="str">
        <x:v>1. 查看新建运营消息页
2. 点击对象类型</x:v>
      </x:c>
      <x:c r="K447" s="9" t="str">
        <x:v>可选类型仅全体主播或指定1名当前公会主播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来源（当前证据）：liveshow-proto/MainBasis/统一需求文档.md；位置：REQ-071be1de5357；行3041
2. 规则：BR-301ff678fb85106d
3. 未动态验证</x:v>
      </x:c>
    </x:row>
    <x:row r="448" ht="115" customHeight="1">
      <x:c r="A448" s="10" t="n">
        <x:v>447</x:v>
      </x:c>
      <x:c r="B448" s="10" t="str">
        <x:v>GUILD-03-0108</x:v>
      </x:c>
      <x:c r="C448" s="10" t="str">
        <x:v>运营工具</x:v>
      </x:c>
      <x:c r="D448" s="10" t="str">
        <x:v>运营账号主页（公会长视角）</x:v>
      </x:c>
      <x:c r="E448" s="10" t="str">
        <x:v>逻辑校验</x:v>
      </x:c>
      <x:c r="F448" s="10" t="str">
        <x:v>P1</x:v>
      </x:c>
      <x:c r="G448" s="9" t="str">
        <x:v>验证运营账号日期行汇总同日虚拟消费</x:v>
      </x:c>
      <x:c r="H448" s="9" t="str">
        <x:v>运营账号单日消费汇总</x:v>
      </x:c>
      <x:c r="I448" s="9" t="str">
        <x:v>1. 执行角色为公会长
2. 已登录目标公会的公会长账号，打开运营账号主页页并完成下列数据和页面状态准备
3. 当前账号15日两笔成功消费100和200金币，16日成功消费500；所选范围包含两日</x:v>
      </x:c>
      <x:c r="J448" s="9" t="str">
        <x:v>1. 查看运营账号主页页</x:v>
      </x:c>
      <x:c r="K448" s="9" t="str">
        <x:v>15日消费金币显示300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来源（当前证据）：liveshow-proto/MainBasis/统一需求文档.md；位置：REQ-4b572c434fc6；行3149
2. 规则：BR-b86b4700549c0557
3. 未动态验证</x:v>
      </x:c>
    </x:row>
    <x:row r="449" ht="115" customHeight="1">
      <x:c r="A449" s="10" t="n">
        <x:v>448</x:v>
      </x:c>
      <x:c r="B449" s="10" t="str">
        <x:v>GUILD-03-0109</x:v>
      </x:c>
      <x:c r="C449" s="10" t="str">
        <x:v>运营工具</x:v>
      </x:c>
      <x:c r="D449" s="10" t="str">
        <x:v>送礼记录（公会长视角）</x:v>
      </x:c>
      <x:c r="E449" s="10" t="str">
        <x:v>逻辑校验</x:v>
      </x:c>
      <x:c r="F449" s="10" t="str">
        <x:v>P1</x:v>
      </x:c>
      <x:c r="G449" s="9" t="str">
        <x:v>验证运营账号筛选后更新送礼汇总</x:v>
      </x:c>
      <x:c r="H449" s="9" t="str">
        <x:v>账号筛选送礼汇总</x:v>
      </x:c>
      <x:c r="I449" s="9" t="str">
        <x:v>1. 执行角色为公会长
2. 已登录目标公会的公会长账号，打开送礼记录页并完成下列数据和页面状态准备
3. 同一日期范围内甲成功消费100、乙成功消费200；当前选择全部账号</x:v>
      </x:c>
      <x:c r="J449" s="9" t="str">
        <x:v>1. 查看送礼记录页
2. 点击运营账号筛选
3. 选择仅账号甲
4. 点击完成</x:v>
      </x:c>
      <x:c r="K449" s="9" t="str">
        <x:v>总消费金币显示100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来源（当前证据）：liveshow-proto/MainBasis/统一需求文档.md；位置：REQ-507664dd9eeb；行3202
2. 规则：BR-a24a955ee952a103
3. 未动态验证</x:v>
      </x:c>
    </x:row>
    <x:row r="450" ht="115" customHeight="1">
      <x:c r="A450" s="10" t="n">
        <x:v>449</x:v>
      </x:c>
      <x:c r="B450" s="10" t="str">
        <x:v>GUILD-03-0110</x:v>
      </x:c>
      <x:c r="C450" s="10" t="str">
        <x:v>运营工具</x:v>
      </x:c>
      <x:c r="D450" s="10" t="str">
        <x:v>送礼记录（公会长视角）</x:v>
      </x:c>
      <x:c r="E450" s="10" t="str">
        <x:v>逻辑校验</x:v>
      </x:c>
      <x:c r="F450" s="10" t="str">
        <x:v>P1</x:v>
      </x:c>
      <x:c r="G450" s="9" t="str">
        <x:v>验证运营账号筛选后更新送礼列表</x:v>
      </x:c>
      <x:c r="H450" s="9" t="str">
        <x:v>账号筛选送礼列表</x:v>
      </x:c>
      <x:c r="I450" s="9" t="str">
        <x:v>1. 执行角色为公会长
2. 已登录目标公会的公会长账号，打开送礼记录页并完成下列数据和页面状态准备
3. 同一日期范围内甲成功消费100、乙成功消费200；当前选择全部账号</x:v>
      </x:c>
      <x:c r="J450" s="9" t="str">
        <x:v>1. 查看送礼记录页
2. 点击运营账号筛选
3. 选择仅账号甲
4. 点击完成</x:v>
      </x:c>
      <x:c r="K450" s="9" t="str">
        <x:v>列表仅显示甲的成功赠礼记录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来源（当前证据）：liveshow-proto/MainBasis/统一需求文档.md；位置：REQ-507664dd9eeb；行3202
2. 规则：BR-515f680bdf02dd82
3. 未动态验证</x:v>
      </x:c>
    </x:row>
    <x:row r="451" ht="100" customHeight="1">
      <x:c r="A451" s="10" t="n">
        <x:v>450</x:v>
      </x:c>
      <x:c r="B451" s="10" t="str">
        <x:v>GUILD-04-0032</x:v>
      </x:c>
      <x:c r="C451" s="10" t="str">
        <x:v>公会管理</x:v>
      </x:c>
      <x:c r="D451" s="10" t="str">
        <x:v>公会资料（公会长视角）</x:v>
      </x:c>
      <x:c r="E451" s="10" t="str">
        <x:v>逻辑校验</x:v>
      </x:c>
      <x:c r="F451" s="10" t="str">
        <x:v>P1</x:v>
      </x:c>
      <x:c r="G451" s="9" t="str">
        <x:v>验证切换公会端语言不修改公会名称</x:v>
      </x:c>
      <x:c r="H451" s="9" t="str">
        <x:v>语言切换后的公会资料</x:v>
      </x:c>
      <x:c r="I451" s="9" t="str">
        <x:v>1. 执行角色为公会长
2. 当前公会名称QA甲；当前界面语言中文</x:v>
      </x:c>
      <x:c r="J451" s="9" t="str">
        <x:v>1. 进入账号设置页
2. 点击语言
3. 选择English
4. 进入公会资料页</x:v>
      </x:c>
      <x:c r="K451" s="9" t="str">
        <x:v>公会名称仍为QA甲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来源（当前证据）：liveshow-proto/MainBasis/统一需求文档.md；位置：REQ-3203791f25d8；行3243、REQ-827721b095f8；行3224
2. 规则：BR-12d7c34a422f9f38
3. 未动态验证</x:v>
      </x:c>
    </x:row>
    <x:row r="452" ht="100" customHeight="1">
      <x:c r="A452" s="10" t="n">
        <x:v>451</x:v>
      </x:c>
      <x:c r="B452" s="10" t="str">
        <x:v>GUILD-02-0157</x:v>
      </x:c>
      <x:c r="C452" s="10" t="str">
        <x:v>主播管理</x:v>
      </x:c>
      <x:c r="D452" s="10" t="str">
        <x:v>主播主页（公会长视角）</x:v>
      </x:c>
      <x:c r="E452" s="10" t="str">
        <x:v>逻辑校验</x:v>
      </x:c>
      <x:c r="F452" s="10" t="str">
        <x:v>P1</x:v>
      </x:c>
      <x:c r="G452" s="9" t="str">
        <x:v>验证切换公会端语言不修改主播名称</x:v>
      </x:c>
      <x:c r="H452" s="9" t="str">
        <x:v>语言切换后的主播资料</x:v>
      </x:c>
      <x:c r="I452" s="9" t="str">
        <x:v>1. 执行角色为公会长
2. 当前主播名称QA甲；当前界面语言中文</x:v>
      </x:c>
      <x:c r="J452" s="9" t="str">
        <x:v>1. 进入账号设置页
2. 点击语言
3. 选择English
4. 进入主播主页页</x:v>
      </x:c>
      <x:c r="K452" s="9" t="str">
        <x:v>主播名称仍为QA甲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来源（当前证据）：liveshow-proto/MainBasis/统一需求文档.md；位置：REQ-3203791f25d8；行3243、REQ-9c8365970619；行2971
2. 规则：BR-03e7c2d73e8ca6ec
3. 未动态验证</x:v>
      </x:c>
    </x:row>
    <x:row r="453" ht="85" customHeight="1">
      <x:c r="A453" s="10" t="n">
        <x:v>452</x:v>
      </x:c>
      <x:c r="B453" s="10" t="str">
        <x:v>GUILD-05-0098</x:v>
      </x:c>
      <x:c r="C453" s="10" t="str">
        <x:v>数据与收益</x:v>
      </x:c>
      <x:c r="D453" s="10" t="str">
        <x:v>直播记录（公会长视角）</x:v>
      </x:c>
      <x:c r="E453" s="10" t="str">
        <x:v>功能需求</x:v>
      </x:c>
      <x:c r="F453" s="10" t="str">
        <x:v>P2</x:v>
      </x:c>
      <x:c r="G453" s="9" t="str">
        <x:v>验证直播记录默认全部主播</x:v>
      </x:c>
      <x:c r="H453" s="9" t="str">
        <x:v>主播筛选默认范围</x:v>
      </x:c>
      <x:c r="I453" s="9" t="str">
        <x:v>1. 执行角色为公会长
2. 已登录目标公会的公会长账号，打开直播记录页并完成下列数据和页面状态准备</x:v>
      </x:c>
      <x:c r="J453" s="9" t="str">
        <x:v>1. 查看直播记录页</x:v>
      </x:c>
      <x:c r="K453" s="9" t="str">
        <x:v>主播筛选默认为全部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来源（当前证据）：liveshow-proto/MainBasis/统一需求文档.md；位置：REQ-08faa1304783；行3261
2. 规则：BR-6cf17ac0971d5463
3. 未动态验证</x:v>
      </x:c>
    </x:row>
    <x:row r="454" ht="100" customHeight="1">
      <x:c r="A454" s="10" t="n">
        <x:v>453</x:v>
      </x:c>
      <x:c r="B454" s="10" t="str">
        <x:v>GUILD-05-0099</x:v>
      </x:c>
      <x:c r="C454" s="10" t="str">
        <x:v>数据与收益</x:v>
      </x:c>
      <x:c r="D454" s="10" t="str">
        <x:v>直播记录（公会长视角）</x:v>
      </x:c>
      <x:c r="E454" s="10" t="str">
        <x:v>逻辑校验</x:v>
      </x:c>
      <x:c r="F454" s="10" t="str">
        <x:v>P1</x:v>
      </x:c>
      <x:c r="G454" s="9" t="str">
        <x:v>验证直播记录多选回填保留日期</x:v>
      </x:c>
      <x:c r="H454" s="9" t="str">
        <x:v>主播多选回填后的日期</x:v>
      </x:c>
      <x:c r="I454" s="9" t="str">
        <x:v>1. 执行角色为公会长
2. 已登录目标公会的公会长账号，打开直播记录页并完成下列数据和页面状态准备
3. 当前筛选2026年9月1日至15日；公会有甲乙丙3名可选主播</x:v>
      </x:c>
      <x:c r="J454" s="9" t="str">
        <x:v>1. 查看直播记录页
2. 点击主播筛选
3. 选择主播甲
4. 选择主播乙
5. 点击完成</x:v>
      </x:c>
      <x:c r="K454" s="9" t="str">
        <x:v>日期仍为2026年9月1日至15日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来源（当前证据）：liveshow-proto/MainBasis/统一需求文档.md；位置：REQ-08faa1304783；行3261、REQ-9b94ebc6e08d；行3474
2. 规则：BR-aa37b342e4a11567
3. 未动态验证</x:v>
      </x:c>
    </x:row>
    <x:row r="455" ht="100" customHeight="1">
      <x:c r="A455" s="10" t="n">
        <x:v>454</x:v>
      </x:c>
      <x:c r="B455" s="10" t="str">
        <x:v>GUILD-05-0100</x:v>
      </x:c>
      <x:c r="C455" s="10" t="str">
        <x:v>数据与收益</x:v>
      </x:c>
      <x:c r="D455" s="10" t="str">
        <x:v>直播记录（公会长视角）</x:v>
      </x:c>
      <x:c r="E455" s="10" t="str">
        <x:v>逻辑校验</x:v>
      </x:c>
      <x:c r="F455" s="10" t="str">
        <x:v>P1</x:v>
      </x:c>
      <x:c r="G455" s="9" t="str">
        <x:v>验证直播记录显示回填主播范围</x:v>
      </x:c>
      <x:c r="H455" s="9" t="str">
        <x:v>主播多选回填对象</x:v>
      </x:c>
      <x:c r="I455" s="9" t="str">
        <x:v>1. 执行角色为公会长
2. 已登录目标公会的公会长账号，打开直播记录页并完成下列数据和页面状态准备
3. 公会有甲乙丙3名可选主播</x:v>
      </x:c>
      <x:c r="J455" s="9" t="str">
        <x:v>1. 查看直播记录页
2. 点击主播筛选
3. 选择主播甲
4. 选择主播乙
5. 点击完成</x:v>
      </x:c>
      <x:c r="K455" s="9" t="str">
        <x:v>主播筛选仅选中甲和乙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来源（当前证据）：liveshow-proto/MainBasis/统一需求文档.md；位置：REQ-08faa1304783；行3261、REQ-9b94ebc6e08d；行3474
2. 规则：BR-a45409227fceca38
3. 未动态验证</x:v>
      </x:c>
    </x:row>
    <x:row r="456" ht="85" customHeight="1">
      <x:c r="A456" s="10" t="n">
        <x:v>455</x:v>
      </x:c>
      <x:c r="B456" s="10" t="str">
        <x:v>GUILD-05-0101</x:v>
      </x:c>
      <x:c r="C456" s="10" t="str">
        <x:v>数据与收益</x:v>
      </x:c>
      <x:c r="D456" s="10" t="str">
        <x:v>主播分成记录（公会长视角）</x:v>
      </x:c>
      <x:c r="E456" s="10" t="str">
        <x:v>功能需求</x:v>
      </x:c>
      <x:c r="F456" s="10" t="str">
        <x:v>P2</x:v>
      </x:c>
      <x:c r="G456" s="9" t="str">
        <x:v>验证主播分成记录默认全部主播</x:v>
      </x:c>
      <x:c r="H456" s="9" t="str">
        <x:v>主播筛选默认范围</x:v>
      </x:c>
      <x:c r="I456" s="9" t="str">
        <x:v>1. 执行角色为公会长
2. 已登录目标公会的公会长账号，打开主播分成记录页并完成下列数据和页面状态准备</x:v>
      </x:c>
      <x:c r="J456" s="9" t="str">
        <x:v>1. 查看主播分成记录页</x:v>
      </x:c>
      <x:c r="K456" s="9" t="str">
        <x:v>主播筛选默认为全部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来源（当前证据）：liveshow-proto/MainBasis/统一需求文档.md；位置：REQ-8ce55a2012b9；行3434
2. 规则：BR-34f8b85e477c1e3d
3. 未动态验证</x:v>
      </x:c>
    </x:row>
    <x:row r="457" ht="100" customHeight="1">
      <x:c r="A457" s="10" t="n">
        <x:v>456</x:v>
      </x:c>
      <x:c r="B457" s="10" t="str">
        <x:v>GUILD-05-0102</x:v>
      </x:c>
      <x:c r="C457" s="10" t="str">
        <x:v>数据与收益</x:v>
      </x:c>
      <x:c r="D457" s="10" t="str">
        <x:v>主播分成记录（公会长视角）</x:v>
      </x:c>
      <x:c r="E457" s="10" t="str">
        <x:v>逻辑校验</x:v>
      </x:c>
      <x:c r="F457" s="10" t="str">
        <x:v>P1</x:v>
      </x:c>
      <x:c r="G457" s="9" t="str">
        <x:v>验证主播分成记录多选回填保留日期</x:v>
      </x:c>
      <x:c r="H457" s="9" t="str">
        <x:v>主播多选回填后的日期</x:v>
      </x:c>
      <x:c r="I457" s="9" t="str">
        <x:v>1. 执行角色为公会长
2. 已登录目标公会的公会长账号，打开主播分成记录页并完成下列数据和页面状态准备
3. 当前筛选2026年9月1日至15日；公会有甲乙丙3名可选主播</x:v>
      </x:c>
      <x:c r="J457" s="9" t="str">
        <x:v>1. 查看主播分成记录页
2. 点击主播筛选
3. 选择主播甲
4. 选择主播乙
5. 点击完成</x:v>
      </x:c>
      <x:c r="K457" s="9" t="str">
        <x:v>日期仍为2026年9月1日至15日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来源（当前证据）：liveshow-proto/MainBasis/统一需求文档.md；位置：REQ-8ce55a2012b9；行3434、REQ-9b94ebc6e08d；行3474
2. 规则：BR-bc0becc1a77692c7
3. 未动态验证</x:v>
      </x:c>
    </x:row>
    <x:row r="458" ht="100" customHeight="1">
      <x:c r="A458" s="10" t="n">
        <x:v>457</x:v>
      </x:c>
      <x:c r="B458" s="10" t="str">
        <x:v>GUILD-05-0103</x:v>
      </x:c>
      <x:c r="C458" s="10" t="str">
        <x:v>数据与收益</x:v>
      </x:c>
      <x:c r="D458" s="10" t="str">
        <x:v>主播分成记录（公会长视角）</x:v>
      </x:c>
      <x:c r="E458" s="10" t="str">
        <x:v>逻辑校验</x:v>
      </x:c>
      <x:c r="F458" s="10" t="str">
        <x:v>P1</x:v>
      </x:c>
      <x:c r="G458" s="9" t="str">
        <x:v>验证主播分成记录显示回填主播范围</x:v>
      </x:c>
      <x:c r="H458" s="9" t="str">
        <x:v>主播多选回填对象</x:v>
      </x:c>
      <x:c r="I458" s="9" t="str">
        <x:v>1. 执行角色为公会长
2. 已登录目标公会的公会长账号，打开主播分成记录页并完成下列数据和页面状态准备
3. 公会有甲乙丙3名可选主播</x:v>
      </x:c>
      <x:c r="J458" s="9" t="str">
        <x:v>1. 查看主播分成记录页
2. 点击主播筛选
3. 选择主播甲
4. 选择主播乙
5. 点击完成</x:v>
      </x:c>
      <x:c r="K458" s="9" t="str">
        <x:v>主播筛选仅选中甲和乙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来源（当前证据）：liveshow-proto/MainBasis/统一需求文档.md；位置：REQ-8ce55a2012b9；行3434、REQ-9b94ebc6e08d；行3474
2. 规则：BR-38da320ebc8bb307
3. 未动态验证</x:v>
      </x:c>
    </x:row>
    <x:row r="459" ht="115" customHeight="1">
      <x:c r="A459" s="10" t="n">
        <x:v>458</x:v>
      </x:c>
      <x:c r="B459" s="10" t="str">
        <x:v>GUILD-05-0104</x:v>
      </x:c>
      <x:c r="C459" s="10" t="str">
        <x:v>数据与收益</x:v>
      </x:c>
      <x:c r="D459" s="10" t="str">
        <x:v>直播记录（公会长视角）</x:v>
      </x:c>
      <x:c r="E459" s="10" t="str">
        <x:v>逻辑校验</x:v>
      </x:c>
      <x:c r="F459" s="10" t="str">
        <x:v>P1</x:v>
      </x:c>
      <x:c r="G459" s="9" t="str">
        <x:v>验证公会场次收益计入门票实际消费</x:v>
      </x:c>
      <x:c r="H459" s="9" t="str">
        <x:v>公会场次门票收益</x:v>
      </x:c>
      <x:c r="I459" s="9" t="str">
        <x:v>1. 执行角色为公会长
2. 已登录目标公会的公会长账号，打开直播记录页并完成下列数据和页面状态准备
3. S1真实用户普通礼物消费100金币、门票消费20金币，无幸运礼物、虚拟金币及失败消费</x:v>
      </x:c>
      <x:c r="J459" s="9" t="str">
        <x:v>1. 查看直播记录页</x:v>
      </x:c>
      <x:c r="K459" s="9" t="str">
        <x:v>S1收益显示120金币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来源（当前证据）：liveshow-proto/MainBasis/统一需求文档.md；位置：REQ-6b593d7d38f6；行3277、b902f1e7feafc4c5cc89c0fb8aa31e4d6dfc31f8c7dc9d7c4ab2c74ea2dc1af8；行5964
2. 规则：BR-d8c10d5fe7097fb8
3. 未动态验证</x:v>
      </x:c>
    </x:row>
    <x:row r="460" ht="100" customHeight="1">
      <x:c r="A460" s="10" t="n">
        <x:v>459</x:v>
      </x:c>
      <x:c r="B460" s="10" t="str">
        <x:v>GUILD-05-0105</x:v>
      </x:c>
      <x:c r="C460" s="10" t="str">
        <x:v>数据与收益</x:v>
      </x:c>
      <x:c r="D460" s="10" t="str">
        <x:v>直播场次详情（公会长视角）</x:v>
      </x:c>
      <x:c r="E460" s="10" t="str">
        <x:v>逻辑校验</x:v>
      </x:c>
      <x:c r="F460" s="10" t="str">
        <x:v>P1</x:v>
      </x:c>
      <x:c r="G460" s="9" t="str">
        <x:v>验证点击赠礼金币查看本笔消费</x:v>
      </x:c>
      <x:c r="H460" s="9" t="str">
        <x:v>赠礼金币下钻记录</x:v>
      </x:c>
      <x:c r="I460" s="9" t="str">
        <x:v>1. 执行角色为公会长
2. 已登录目标公会的公会长账号，打开直播场次详情页并完成下列数据和页面状态准备
3. 当前场次记录R1单价10、数量4，另有不同金额的R2</x:v>
      </x:c>
      <x:c r="J460" s="9" t="str">
        <x:v>1. 查看直播场次详情页
2. 点击R1金币</x:v>
      </x:c>
      <x:c r="K460" s="9" t="str">
        <x:v>详情的本次消费金币显示40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来源（当前证据）：liveshow-proto/MainBasis/统一需求文档.md；位置：REQ-a52a416cf13e；行3308
2. 规则：BR-037d8f5ea7a0c94c
3. 未动态验证</x:v>
      </x:c>
    </x:row>
    <x:row r="461" ht="100" customHeight="1">
      <x:c r="A461" s="10" t="n">
        <x:v>460</x:v>
      </x:c>
      <x:c r="B461" s="10" t="str">
        <x:v>GUILD-05-0106</x:v>
      </x:c>
      <x:c r="C461" s="10" t="str">
        <x:v>数据与收益</x:v>
      </x:c>
      <x:c r="D461" s="10" t="str">
        <x:v>选择主播（多选）（公会长视角）</x:v>
      </x:c>
      <x:c r="E461" s="10" t="str">
        <x:v>功能需求</x:v>
      </x:c>
      <x:c r="F461" s="10" t="str">
        <x:v>P2</x:v>
      </x:c>
      <x:c r="G461" s="9" t="str">
        <x:v>验证主播多选搜索后核对结果人数</x:v>
      </x:c>
      <x:c r="H461" s="9" t="str">
        <x:v>主播多选结果人数</x:v>
      </x:c>
      <x:c r="I461" s="9" t="str">
        <x:v>1. 执行角色为公会长
2. 已登录目标公会的公会长账号，打开选择主播（多选）页并完成下列数据和页面状态准备
3. 已经选中甲乙，当前搜索甲仅命中甲</x:v>
      </x:c>
      <x:c r="J461" s="9" t="str">
        <x:v>1. 查看选择主播（多选）页</x:v>
      </x:c>
      <x:c r="K461" s="9" t="str">
        <x:v>结果人数显示1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来源（当前证据）：liveshow-proto/MainBasis/统一需求文档.md；位置：REQ-49205bdc523a；行3470
2. 规则：BR-7131f635387078a0
3. 未动态验证</x:v>
      </x:c>
    </x:row>
    <x:row r="462" ht="100" customHeight="1">
      <x:c r="A462" s="10" t="n">
        <x:v>461</x:v>
      </x:c>
      <x:c r="B462" s="10" t="str">
        <x:v>GUILD-05-0107</x:v>
      </x:c>
      <x:c r="C462" s="10" t="str">
        <x:v>数据与收益</x:v>
      </x:c>
      <x:c r="D462" s="10" t="str">
        <x:v>选择主播（多选）（公会长视角）</x:v>
      </x:c>
      <x:c r="E462" s="10" t="str">
        <x:v>功能需求</x:v>
      </x:c>
      <x:c r="F462" s="10" t="str">
        <x:v>P2</x:v>
      </x:c>
      <x:c r="G462" s="9" t="str">
        <x:v>验证主播多选搜索后核对已选人数</x:v>
      </x:c>
      <x:c r="H462" s="9" t="str">
        <x:v>主播多选已选人数</x:v>
      </x:c>
      <x:c r="I462" s="9" t="str">
        <x:v>1. 执行角色为公会长
2. 已登录目标公会的公会长账号，打开选择主播（多选）页并完成下列数据和页面状态准备
3. 已经选中甲乙，当前搜索甲仅命中甲</x:v>
      </x:c>
      <x:c r="J462" s="9" t="str">
        <x:v>1. 查看选择主播（多选）页</x:v>
      </x:c>
      <x:c r="K462" s="9" t="str">
        <x:v>已选人数显示2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来源（当前证据）：liveshow-proto/MainBasis/统一需求文档.md；位置：REQ-49205bdc523a；行3470
2. 规则：BR-99030ba77eafc562
3. 未动态验证</x:v>
      </x:c>
    </x:row>
    <x:row r="463" ht="115" customHeight="1">
      <x:c r="A463" s="10" t="n">
        <x:v>462</x:v>
      </x:c>
      <x:c r="B463" s="10" t="str">
        <x:v>GUILD-05-0108</x:v>
      </x:c>
      <x:c r="C463" s="10" t="str">
        <x:v>数据与收益</x:v>
      </x:c>
      <x:c r="D463" s="10" t="str">
        <x:v>公会业绩（公会长视角）</x:v>
      </x:c>
      <x:c r="E463" s="10" t="str">
        <x:v>功能需求</x:v>
      </x:c>
      <x:c r="F463" s="10" t="str">
        <x:v>P2</x:v>
      </x:c>
      <x:c r="G463" s="9" t="str">
        <x:v>验证公会日数据按自然日分行</x:v>
      </x:c>
      <x:c r="H463" s="9" t="str">
        <x:v>公会业绩日期行</x:v>
      </x:c>
      <x:c r="I463" s="9" t="str">
        <x:v>1. 执行角色为公会长
2. 已登录目标公会的公会长账号，打开公会业绩页并完成下列数据和页面状态准备
3. 9月14日两场、15日三场；所选范围包含两日；已切换日数据</x:v>
      </x:c>
      <x:c r="J463" s="9" t="str">
        <x:v>1. 查看公会业绩页</x:v>
      </x:c>
      <x:c r="K463" s="9" t="str">
        <x:v>14日和15日分别形成各自日期行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来源（当前证据）：liveshow-proto/MainBasis/统一需求文档.md；位置：REQ-a53e83783e87；行3370
2. 规则：BR-a5115a27fb4e569f
3. 未动态验证</x:v>
      </x:c>
    </x:row>
    <x:row r="464" ht="100" customHeight="1">
      <x:c r="A464" s="10" t="n">
        <x:v>463</x:v>
      </x:c>
      <x:c r="B464" s="10" t="str">
        <x:v>GUILD-05-0109</x:v>
      </x:c>
      <x:c r="C464" s="10" t="str">
        <x:v>数据与收益</x:v>
      </x:c>
      <x:c r="D464" s="10" t="str">
        <x:v>公会业绩（公会长视角）</x:v>
      </x:c>
      <x:c r="E464" s="10" t="str">
        <x:v>功能需求</x:v>
      </x:c>
      <x:c r="F464" s="10" t="str">
        <x:v>P2</x:v>
      </x:c>
      <x:c r="G464" s="9" t="str">
        <x:v>验证公会月数据按自然月分行</x:v>
      </x:c>
      <x:c r="H464" s="9" t="str">
        <x:v>公会业绩月份行</x:v>
      </x:c>
      <x:c r="I464" s="9" t="str">
        <x:v>1. 执行角色为公会长
2. 已登录目标公会的公会长账号，打开公会业绩页并完成下列数据和页面状态准备
3. 8月和9月各有多场直播；所选月份包含两月；已切换月数据</x:v>
      </x:c>
      <x:c r="J464" s="9" t="str">
        <x:v>1. 查看公会业绩页</x:v>
      </x:c>
      <x:c r="K464" s="9" t="str">
        <x:v>8月和9月分别形成各自月份行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来源（当前证据）：liveshow-proto/MainBasis/统一需求文档.md；位置：REQ-b4ecf178659c；行3378
2. 规则：BR-29064dcfe477e920
3. 未动态验证</x:v>
      </x:c>
    </x:row>
    <x:row r="465" ht="130" customHeight="1">
      <x:c r="A465" s="10" t="n">
        <x:v>464</x:v>
      </x:c>
      <x:c r="B465" s="10" t="str">
        <x:v>GUILD-05-0110</x:v>
      </x:c>
      <x:c r="C465" s="10" t="str">
        <x:v>数据与收益</x:v>
      </x:c>
      <x:c r="D465" s="10" t="str">
        <x:v>公会业绩（公会长视角）</x:v>
      </x:c>
      <x:c r="E465" s="10" t="str">
        <x:v>逻辑校验</x:v>
      </x:c>
      <x:c r="F465" s="10" t="str">
        <x:v>P1</x:v>
      </x:c>
      <x:c r="G465" s="9" t="str">
        <x:v>验证日数据公会收益限定当前筛选范围</x:v>
      </x:c>
      <x:c r="H465" s="9" t="str">
        <x:v>公会日数据收益汇总</x:v>
      </x:c>
      <x:c r="I465" s="9" t="str">
        <x:v>1. 执行角色为公会长
2. 已登录目标公会的公会长账号，打开公会业绩页并完成下列数据和页面状态准备
3. 当前日数据范围9月14日至15日，范围内主播甲收益100、乙200，范围外另有500；实际线下分成另有20美元</x:v>
      </x:c>
      <x:c r="J465" s="9" t="str">
        <x:v>1. 查看公会业绩页</x:v>
      </x:c>
      <x:c r="K465" s="9" t="str">
        <x:v>公会收益显示300金币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来源（当前证据）：liveshow-proto/MainBasis/统一需求文档.md；位置：REQ-120491ce9925；行3384
2. 规则：BR-8244738f8d7f817d
3. 未动态验证</x:v>
      </x:c>
    </x:row>
    <x:row r="466" ht="130" customHeight="1">
      <x:c r="A466" s="10" t="n">
        <x:v>465</x:v>
      </x:c>
      <x:c r="B466" s="10" t="str">
        <x:v>GUILD-05-0111</x:v>
      </x:c>
      <x:c r="C466" s="10" t="str">
        <x:v>数据与收益</x:v>
      </x:c>
      <x:c r="D466" s="10" t="str">
        <x:v>公会业绩（公会长视角）</x:v>
      </x:c>
      <x:c r="E466" s="10" t="str">
        <x:v>逻辑校验</x:v>
      </x:c>
      <x:c r="F466" s="10" t="str">
        <x:v>P1</x:v>
      </x:c>
      <x:c r="G466" s="9" t="str">
        <x:v>验证月数据公会收益限定当前筛选范围</x:v>
      </x:c>
      <x:c r="H466" s="9" t="str">
        <x:v>公会月数据收益汇总</x:v>
      </x:c>
      <x:c r="I466" s="9" t="str">
        <x:v>1. 执行角色为公会长
2. 已登录目标公会的公会长账号，打开公会业绩页并完成下列数据和页面状态准备
3. 当前月数据范围8月至9月，范围内主播甲收益100、乙200，范围外另有500；实际线下分成另有20美元</x:v>
      </x:c>
      <x:c r="J466" s="9" t="str">
        <x:v>1. 查看公会业绩页</x:v>
      </x:c>
      <x:c r="K466" s="9" t="str">
        <x:v>公会收益显示300金币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来源（当前证据）：liveshow-proto/MainBasis/统一需求文档.md；位置：REQ-36b7dd55bc1a；行3392
2. 规则：BR-6ec101245a8a896c
3. 未动态验证</x:v>
      </x:c>
    </x:row>
    <x:row r="467" ht="100" customHeight="1">
      <x:c r="A467" s="10" t="n">
        <x:v>466</x:v>
      </x:c>
      <x:c r="B467" s="10" t="str">
        <x:v>GUILD-05-0112</x:v>
      </x:c>
      <x:c r="C467" s="10" t="str">
        <x:v>数据与收益</x:v>
      </x:c>
      <x:c r="D467" s="10" t="str">
        <x:v>每日（公会长视角）</x:v>
      </x:c>
      <x:c r="E467" s="10" t="str">
        <x:v>逻辑校验</x:v>
      </x:c>
      <x:c r="F467" s="10" t="str">
        <x:v>P1</x:v>
      </x:c>
      <x:c r="G467" s="9" t="str">
        <x:v>验证每日业绩切换已开播列表</x:v>
      </x:c>
      <x:c r="H467" s="9" t="str">
        <x:v>每日开播状态筛选</x:v>
      </x:c>
      <x:c r="I467" s="9" t="str">
        <x:v>1. 执行角色为公会长
2. 已登录目标公会的公会长账号，打开每日页并完成下列数据和页面状态准备
3. 当前选中9月15日，甲当日开过播、乙未开播</x:v>
      </x:c>
      <x:c r="J467" s="9" t="str">
        <x:v>1. 查看每日页
2. 切换已开播</x:v>
      </x:c>
      <x:c r="K467" s="9" t="str">
        <x:v>列表仅显示甲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来源（当前证据）：liveshow-proto/MainBasis/统一需求文档.md；位置：REQ-3d4df208c603；行3429
2. 规则：BR-d96260c02e68b3c5
3. 未动态验证</x:v>
      </x:c>
    </x:row>
    <x:row r="468" ht="100" customHeight="1">
      <x:c r="A468" s="10" t="n">
        <x:v>467</x:v>
      </x:c>
      <x:c r="B468" s="10" t="str">
        <x:v>GUILD-05-0113</x:v>
      </x:c>
      <x:c r="C468" s="10" t="str">
        <x:v>数据与收益</x:v>
      </x:c>
      <x:c r="D468" s="10" t="str">
        <x:v>每日（公会长视角）</x:v>
      </x:c>
      <x:c r="E468" s="10" t="str">
        <x:v>逻辑校验</x:v>
      </x:c>
      <x:c r="F468" s="10" t="str">
        <x:v>P1</x:v>
      </x:c>
      <x:c r="G468" s="9" t="str">
        <x:v>验证每日业绩切换未开播列表</x:v>
      </x:c>
      <x:c r="H468" s="9" t="str">
        <x:v>每日开播状态筛选</x:v>
      </x:c>
      <x:c r="I468" s="9" t="str">
        <x:v>1. 执行角色为公会长
2. 已登录目标公会的公会长账号，打开每日页并完成下列数据和页面状态准备
3. 当前选中9月15日，甲当日开过播、乙未开播</x:v>
      </x:c>
      <x:c r="J468" s="9" t="str">
        <x:v>1. 查看每日页
2. 切换未开播</x:v>
      </x:c>
      <x:c r="K468" s="9" t="str">
        <x:v>列表仅显示乙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来源（当前证据）：liveshow-proto/MainBasis/统一需求文档.md；位置：REQ-3d4df208c603；行3429
2. 规则：BR-e3cd33dc4ee2b70e
3. 未动态验证</x:v>
      </x:c>
    </x:row>
    <x:row r="469" ht="100" customHeight="1">
      <x:c r="A469" s="10" t="n">
        <x:v>468</x:v>
      </x:c>
      <x:c r="B469" s="10" t="str">
        <x:v>GUILD-05-0114</x:v>
      </x:c>
      <x:c r="C469" s="10" t="str">
        <x:v>数据与收益</x:v>
      </x:c>
      <x:c r="D469" s="10" t="str">
        <x:v>每日（公会长视角）</x:v>
      </x:c>
      <x:c r="E469" s="10" t="str">
        <x:v>逻辑校验</x:v>
      </x:c>
      <x:c r="F469" s="10" t="str">
        <x:v>P1</x:v>
      </x:c>
      <x:c r="G469" s="9" t="str">
        <x:v>验证每日页进入主播数据保留业务日期</x:v>
      </x:c>
      <x:c r="H469" s="9" t="str">
        <x:v>每日主播数据下钻日期</x:v>
      </x:c>
      <x:c r="I469" s="9" t="str">
        <x:v>1. 执行角色为公会长
2. 已登录目标公会的公会长账号，打开每日页并完成下列数据和页面状态准备
3. 当前查看9月15日，甲在当前列表</x:v>
      </x:c>
      <x:c r="J469" s="9" t="str">
        <x:v>1. 查看每日页
2. 点击主播甲</x:v>
      </x:c>
      <x:c r="K469" s="9" t="str">
        <x:v>主播数据页筛选为甲及9月15日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来源（当前证据）：liveshow-proto/MainBasis/统一需求文档.md；位置：REQ-3d4df208c603；行3429
2. 规则：BR-1fc1bfbcfb9c3737
3. 未动态验证</x:v>
      </x:c>
    </x:row>
    <x:row r="470" ht="100" customHeight="1">
      <x:c r="A470" s="10" t="n">
        <x:v>469</x:v>
      </x:c>
      <x:c r="B470" s="10" t="str">
        <x:v>GUILD-01-0056</x:v>
      </x:c>
      <x:c r="C470" s="10" t="str">
        <x:v>登录与首页</x:v>
      </x:c>
      <x:c r="D470" s="10" t="str">
        <x:v>公会登录（公会长视角）</x:v>
      </x:c>
      <x:c r="E470" s="10" t="str">
        <x:v>逻辑校验</x:v>
      </x:c>
      <x:c r="F470" s="10" t="str">
        <x:v>P1</x:v>
      </x:c>
      <x:c r="G470" s="9" t="str">
        <x:v>验证公会修改密码后使用新密码登录</x:v>
      </x:c>
      <x:c r="H470" s="9" t="str">
        <x:v>公会改密后的凭证有效性</x:v>
      </x:c>
      <x:c r="I470" s="9" t="str">
        <x:v>1. 执行角色为公会长
2. 公会和qa-chief账号启用；刚成功将密码由QaOld!2026改为QaNew123，已经退出登录</x:v>
      </x:c>
      <x:c r="J470" s="9" t="str">
        <x:v>1. 进入公会登录页
2. 填写公会账号为qa-chief
3. 填写密码为QaNew123
4. 点击登录</x:v>
      </x:c>
      <x:c r="K470" s="9" t="str">
        <x:v>进入选择公会页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来源（当前证据）：liveshow-proto/MainBasis/统一需求文档.md；位置：REQ-ebcb7b632099；行3256、REQ-dda7dbff3ea0；行2715
2. 规则：BR-ae16586b0dcd6640
3. 未动态验证</x:v>
      </x:c>
    </x:row>
    <x:row r="471" ht="100" customHeight="1">
      <x:c r="A471" s="10" t="n">
        <x:v>470</x:v>
      </x:c>
      <x:c r="B471" s="10" t="str">
        <x:v>GUILD-01-0057</x:v>
      </x:c>
      <x:c r="C471" s="10" t="str">
        <x:v>登录与首页</x:v>
      </x:c>
      <x:c r="D471" s="10" t="str">
        <x:v>公会登录（公会长视角）</x:v>
      </x:c>
      <x:c r="E471" s="10" t="str">
        <x:v>逻辑校验</x:v>
      </x:c>
      <x:c r="F471" s="10" t="str">
        <x:v>P1</x:v>
      </x:c>
      <x:c r="G471" s="9" t="str">
        <x:v>验证公会修改密码后使用旧密码登录</x:v>
      </x:c>
      <x:c r="H471" s="9" t="str">
        <x:v>公会改密后的凭证有效性</x:v>
      </x:c>
      <x:c r="I471" s="9" t="str">
        <x:v>1. 执行角色为公会长
2. 公会和qa-chief账号启用；刚成功将密码由QaOld!2026改为QaNew123，已经退出登录</x:v>
      </x:c>
      <x:c r="J471" s="9" t="str">
        <x:v>1. 进入公会登录页
2. 填写公会账号为qa-chief
3. 填写密码为QaOld!2026
4. 点击登录</x:v>
      </x:c>
      <x:c r="K471" s="9" t="str">
        <x:v>提示“账号或密码错误”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来源（当前证据）：liveshow-proto/MainBasis/统一需求文档.md；位置：REQ-ebcb7b632099；行3256、REQ-dda7dbff3ea0；行2715
2. 规则：BR-04b31c552482e3e6
3. 未动态验证</x:v>
      </x:c>
    </x:row>
    <x:row r="472" ht="100" customHeight="1">
      <x:c r="A472" s="10" t="n">
        <x:v>471</x:v>
      </x:c>
      <x:c r="B472" s="10" t="str">
        <x:v>GUILD-01-0058</x:v>
      </x:c>
      <x:c r="C472" s="10" t="str">
        <x:v>登录与首页</x:v>
      </x:c>
      <x:c r="D472" s="10" t="str">
        <x:v>通知消息（公会长视角）</x:v>
      </x:c>
      <x:c r="E472" s="10" t="str">
        <x:v>功能需求</x:v>
      </x:c>
      <x:c r="F472" s="10" t="str">
        <x:v>P2</x:v>
      </x:c>
      <x:c r="G472" s="9" t="str">
        <x:v>验证核对通知摘要处理结果</x:v>
      </x:c>
      <x:c r="H472" s="9" t="str">
        <x:v>通知摘要处理结果</x:v>
      </x:c>
      <x:c r="I472" s="9" t="str">
        <x:v>1. 执行角色为公会长
2. 已登录目标公会的公会长账号，打开通知消息页并完成下列数据和页面状态准备
3. 甲的入会申请刚被平台驳回，对应结果通知已生成</x:v>
      </x:c>
      <x:c r="J472" s="9" t="str">
        <x:v>1. 查看通知消息页</x:v>
      </x:c>
      <x:c r="K472" s="9" t="str">
        <x:v>该通知摘要表达甲的入会申请已被平台驳回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来源（当前证据）：liveshow-proto/MainBasis/统一需求文档.md；位置：REQ-2148c0172896；行2758
2. 规则：BR-43b92b35187ffab1
3. 未动态验证</x:v>
      </x:c>
    </x:row>
    <x:row r="473" ht="100" customHeight="1">
      <x:c r="A473" s="10" t="n">
        <x:v>472</x:v>
      </x:c>
      <x:c r="B473" s="10" t="str">
        <x:v>GUILD-01-0059</x:v>
      </x:c>
      <x:c r="C473" s="10" t="str">
        <x:v>登录与首页</x:v>
      </x:c>
      <x:c r="D473" s="10" t="str">
        <x:v>通知消息（公会长视角）</x:v>
      </x:c>
      <x:c r="E473" s="10" t="str">
        <x:v>功能需求</x:v>
      </x:c>
      <x:c r="F473" s="10" t="str">
        <x:v>P2</x:v>
      </x:c>
      <x:c r="G473" s="9" t="str">
        <x:v>验证核对通知摘要待处理数量</x:v>
      </x:c>
      <x:c r="H473" s="9" t="str">
        <x:v>通知摘要待处理数量</x:v>
      </x:c>
      <x:c r="I473" s="9" t="str">
        <x:v>1. 执行角色为公会长
2. 已登录目标公会的公会长账号，打开通知消息页并完成下列数据和页面状态准备
3. 当前业务通知的待处理数量为3</x:v>
      </x:c>
      <x:c r="J473" s="9" t="str">
        <x:v>1. 查看通知消息页</x:v>
      </x:c>
      <x:c r="K473" s="9" t="str">
        <x:v>该通知摘要显示待处理数量3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来源（当前证据）：liveshow-proto/MainBasis/统一需求文档.md；位置：REQ-2148c0172896；行2758
2. 规则：BR-e895793521d69c69
3. 未动态验证</x:v>
      </x:c>
    </x:row>
    <x:row r="474" ht="100" customHeight="1">
      <x:c r="A474" s="10" t="n">
        <x:v>473</x:v>
      </x:c>
      <x:c r="B474" s="10" t="str">
        <x:v>GUILD-01-0060</x:v>
      </x:c>
      <x:c r="C474" s="10" t="str">
        <x:v>登录与首页</x:v>
      </x:c>
      <x:c r="D474" s="10" t="str">
        <x:v>通知消息（公会长视角）</x:v>
      </x:c>
      <x:c r="E474" s="10" t="str">
        <x:v>功能需求</x:v>
      </x:c>
      <x:c r="F474" s="10" t="str">
        <x:v>P2</x:v>
      </x:c>
      <x:c r="G474" s="9" t="str">
        <x:v>验证核对通知列表生成时点</x:v>
      </x:c>
      <x:c r="H474" s="9" t="str">
        <x:v>通知列表生成时点</x:v>
      </x:c>
      <x:c r="I474" s="9" t="str">
        <x:v>1. 执行角色为公会长
2. 已登录目标公会的公会长账号，打开通知消息页并完成下列数据和页面状态准备
3. 通知N于9月15日10:00生成，9月16日查看</x:v>
      </x:c>
      <x:c r="J474" s="9" t="str">
        <x:v>1. 查看通知消息页</x:v>
      </x:c>
      <x:c r="K474" s="9" t="str">
        <x:v>N时间对应9月15日10:00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来源（当前证据）：liveshow-proto/MainBasis/统一需求文档.md；位置：REQ-11aaa73d412a；行2760
2. 规则：BR-3aaf97983ffd4711
3. 未动态验证</x:v>
      </x:c>
    </x:row>
    <x:row r="475" ht="100" customHeight="1">
      <x:c r="A475" s="10" t="n">
        <x:v>474</x:v>
      </x:c>
      <x:c r="B475" s="10" t="str">
        <x:v>GUILD-02-0158</x:v>
      </x:c>
      <x:c r="C475" s="10" t="str">
        <x:v>主播管理</x:v>
      </x:c>
      <x:c r="D475" s="10" t="str">
        <x:v>入会申请详情（公会长视角）</x:v>
      </x:c>
      <x:c r="E475" s="10" t="str">
        <x:v>功能需求</x:v>
      </x:c>
      <x:c r="F475" s="10" t="str">
        <x:v>P2</x:v>
      </x:c>
      <x:c r="G475" s="9" t="str">
        <x:v>验证核对入会提交节点时间</x:v>
      </x:c>
      <x:c r="H475" s="9" t="str">
        <x:v>入会提交节点时间</x:v>
      </x:c>
      <x:c r="I475" s="9" t="str">
        <x:v>1. 执行角色为公会长
2. 已登录目标公会的公会长账号，打开入会申请详情页并完成下列数据和页面状态准备
3. A于9月14日10:00提交，公会尚未审核</x:v>
      </x:c>
      <x:c r="J475" s="9" t="str">
        <x:v>1. 查看入会申请详情页</x:v>
      </x:c>
      <x:c r="K475" s="9" t="str">
        <x:v>用户提交节点时间对应9月14日10:00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来源（当前证据）：liveshow-proto/MainBasis/统一需求文档.md；位置：REQ-e5d474e04dec；行2823
2. 规则：BR-3963f62f9084280a
3. 未动态验证</x:v>
      </x:c>
    </x:row>
    <x:row r="476" ht="100" customHeight="1">
      <x:c r="A476" s="10" t="n">
        <x:v>475</x:v>
      </x:c>
      <x:c r="B476" s="10" t="str">
        <x:v>GUILD-02-0159</x:v>
      </x:c>
      <x:c r="C476" s="10" t="str">
        <x:v>主播管理</x:v>
      </x:c>
      <x:c r="D476" s="10" t="str">
        <x:v>入会申请详情（公会长视角）</x:v>
      </x:c>
      <x:c r="E476" s="10" t="str">
        <x:v>功能需求</x:v>
      </x:c>
      <x:c r="F476" s="10" t="str">
        <x:v>P2</x:v>
      </x:c>
      <x:c r="G476" s="9" t="str">
        <x:v>验证核对入会平台完成节点时间</x:v>
      </x:c>
      <x:c r="H476" s="9" t="str">
        <x:v>入会平台完成节点时间</x:v>
      </x:c>
      <x:c r="I476" s="9" t="str">
        <x:v>1. 执行角色为公会长
2. 已登录目标公会的公会长账号，打开入会申请详情页并完成下列数据和页面状态准备
3. 公会9月14日通过，平台9月15日11:00通过</x:v>
      </x:c>
      <x:c r="J476" s="9" t="str">
        <x:v>1. 查看入会申请详情页</x:v>
      </x:c>
      <x:c r="K476" s="9" t="str">
        <x:v>平台审核节点时间对应9月15日11:00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来源（当前证据）：liveshow-proto/MainBasis/统一需求文档.md；位置：REQ-e5d474e04dec；行2823
2. 规则：BR-17b0ef3287cc618d
3. 未动态验证</x:v>
      </x:c>
    </x:row>
    <x:row r="477" ht="100" customHeight="1">
      <x:c r="A477" s="10" t="n">
        <x:v>476</x:v>
      </x:c>
      <x:c r="B477" s="10" t="str">
        <x:v>GUILD-02-0160</x:v>
      </x:c>
      <x:c r="C477" s="10" t="str">
        <x:v>主播管理</x:v>
      </x:c>
      <x:c r="D477" s="10" t="str">
        <x:v>主播列表（公会长视角）</x:v>
      </x:c>
      <x:c r="E477" s="10" t="str">
        <x:v>功能需求</x:v>
      </x:c>
      <x:c r="F477" s="10" t="str">
        <x:v>P2</x:v>
      </x:c>
      <x:c r="G477" s="9" t="str">
        <x:v>验证核对成员关系生效日</x:v>
      </x:c>
      <x:c r="H477" s="9" t="str">
        <x:v>成员关系生效日</x:v>
      </x:c>
      <x:c r="I477" s="9" t="str">
        <x:v>1. 执行角色为公会长
2. 已登录目标公会的公会长账号，打开主播列表页并完成下列数据和页面状态准备
3. 甲旧关系已结束，本次于9月15日加入当前公会</x:v>
      </x:c>
      <x:c r="J477" s="9" t="str">
        <x:v>1. 查看主播列表页</x:v>
      </x:c>
      <x:c r="K477" s="9" t="str">
        <x:v>甲加入时间对应本次9月15日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来源（当前证据）：liveshow-proto/MainBasis/统一需求文档.md；位置：REQ-5f9e6c9e5f24；行2894
2. 规则：BR-f85273f1a634fe41
3. 未动态验证</x:v>
      </x:c>
    </x:row>
    <x:row r="478" ht="100" customHeight="1">
      <x:c r="A478" s="10" t="n">
        <x:v>477</x:v>
      </x:c>
      <x:c r="B478" s="10" t="str">
        <x:v>GUILD-03-0111</x:v>
      </x:c>
      <x:c r="C478" s="10" t="str">
        <x:v>运营工具</x:v>
      </x:c>
      <x:c r="D478" s="10" t="str">
        <x:v>运营账号（公会长视角）</x:v>
      </x:c>
      <x:c r="E478" s="10" t="str">
        <x:v>功能需求</x:v>
      </x:c>
      <x:c r="F478" s="10" t="str">
        <x:v>P2</x:v>
      </x:c>
      <x:c r="G478" s="9" t="str">
        <x:v>验证核对运营列表当前名称</x:v>
      </x:c>
      <x:c r="H478" s="9" t="str">
        <x:v>运营列表当前名称</x:v>
      </x:c>
      <x:c r="I478" s="9" t="str">
        <x:v>1. 执行角色为公会长
2. 已登录目标公会的公会长账号，打开运营账号页并完成下列数据和页面状态准备
3. O001当前名称QA运营甲，登录名另为LoginA</x:v>
      </x:c>
      <x:c r="J478" s="9" t="str">
        <x:v>1. 查看运营账号页</x:v>
      </x:c>
      <x:c r="K478" s="9" t="str">
        <x:v>O001名称显示QA运营甲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来源（当前证据）：liveshow-proto/MainBasis/统一需求文档.md；位置：REQ-48472b42ff0b；行3090
2. 规则：BR-0346e270186e090c
3. 未动态验证</x:v>
      </x:c>
    </x:row>
    <x:row r="479" ht="115" customHeight="1">
      <x:c r="A479" s="10" t="n">
        <x:v>478</x:v>
      </x:c>
      <x:c r="B479" s="10" t="str">
        <x:v>GUILD-03-0112</x:v>
      </x:c>
      <x:c r="C479" s="10" t="str">
        <x:v>运营工具</x:v>
      </x:c>
      <x:c r="D479" s="10" t="str">
        <x:v>选择运营账号（多选）（公会长视角）</x:v>
      </x:c>
      <x:c r="E479" s="10" t="str">
        <x:v>功能需求</x:v>
      </x:c>
      <x:c r="F479" s="10" t="str">
        <x:v>P2</x:v>
      </x:c>
      <x:c r="G479" s="9" t="str">
        <x:v>验证核对运营多选账号资料</x:v>
      </x:c>
      <x:c r="H479" s="9" t="str">
        <x:v>运营多选账号资料</x:v>
      </x:c>
      <x:c r="I479" s="9" t="str">
        <x:v>1. 执行角色为公会长
2. 已登录目标公会的公会长账号，打开选择运营账号（多选）页并完成下列数据和页面状态准备
3. 运营账号O001当前名称QA运营甲、头像A、登录账号LoginA</x:v>
      </x:c>
      <x:c r="J479" s="9" t="str">
        <x:v>1. 查看选择运营账号（多选）页</x:v>
      </x:c>
      <x:c r="K479" s="9" t="str">
        <x:v>选项显示QA运营甲及头像A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来源（当前证据）：liveshow-proto/MainBasis/统一需求文档.md；位置：REQ-174d0cbda32b；行3209
2. 规则：BR-005ebd6e623d3ce6
3. 未动态验证</x:v>
      </x:c>
    </x:row>
    <x:row r="480" ht="115" customHeight="1">
      <x:c r="A480" s="10" t="n">
        <x:v>479</x:v>
      </x:c>
      <x:c r="B480" s="10" t="str">
        <x:v>GUILD-03-0113</x:v>
      </x:c>
      <x:c r="C480" s="10" t="str">
        <x:v>运营工具</x:v>
      </x:c>
      <x:c r="D480" s="10" t="str">
        <x:v>选择运营账号（多选）（公会长视角）</x:v>
      </x:c>
      <x:c r="E480" s="10" t="str">
        <x:v>功能需求</x:v>
      </x:c>
      <x:c r="F480" s="10" t="str">
        <x:v>P2</x:v>
      </x:c>
      <x:c r="G480" s="9" t="str">
        <x:v>验证核对运营多选搜索结果数</x:v>
      </x:c>
      <x:c r="H480" s="9" t="str">
        <x:v>运营多选搜索结果数</x:v>
      </x:c>
      <x:c r="I480" s="9" t="str">
        <x:v>1. 执行角色为公会长
2. 已登录目标公会的公会长账号，打开选择运营账号（多选）页并完成下列数据和页面状态准备
3. 公会共3个运营账号，已选2个，当前搜索只命中甲</x:v>
      </x:c>
      <x:c r="J480" s="9" t="str">
        <x:v>1. 查看选择运营账号（多选）页</x:v>
      </x:c>
      <x:c r="K480" s="9" t="str">
        <x:v>搜索结果数量显示1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来源（当前证据）：liveshow-proto/MainBasis/统一需求文档.md；位置：REQ-0c9d662848b4；行3211
2. 规则：BR-6c0ee585fc9060d7
3. 未动态验证</x:v>
      </x:c>
    </x:row>
    <x:row r="481" ht="100" customHeight="1">
      <x:c r="A481" s="10" t="n">
        <x:v>480</x:v>
      </x:c>
      <x:c r="B481" s="10" t="str">
        <x:v>GUILD-05-0115</x:v>
      </x:c>
      <x:c r="C481" s="10" t="str">
        <x:v>数据与收益</x:v>
      </x:c>
      <x:c r="D481" s="10" t="str">
        <x:v>直播记录（公会长视角）</x:v>
      </x:c>
      <x:c r="E481" s="10" t="str">
        <x:v>功能需求</x:v>
      </x:c>
      <x:c r="F481" s="10" t="str">
        <x:v>P2</x:v>
      </x:c>
      <x:c r="G481" s="9" t="str">
        <x:v>验证核对单主播范围身份标识</x:v>
      </x:c>
      <x:c r="H481" s="9" t="str">
        <x:v>单主播范围身份标识</x:v>
      </x:c>
      <x:c r="I481" s="9" t="str">
        <x:v>1. 执行角色为公会长
2. 已登录目标公会的公会长账号，打开直播记录页并完成下列数据和页面状态准备
3. 当前只选择甲H001，列表包含甲多个场次</x:v>
      </x:c>
      <x:c r="J481" s="9" t="str">
        <x:v>1. 查看直播记录页</x:v>
      </x:c>
      <x:c r="K481" s="9" t="str">
        <x:v>顶部主播标识显示甲H001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来源（当前证据）：liveshow-proto/MainBasis/统一需求文档.md；位置：REQ-1221acc6aa29；行3271
2. 规则：BR-d7eed75af7e60cd1
3. 未动态验证</x:v>
      </x:c>
    </x:row>
    <x:row r="482" ht="100" customHeight="1">
      <x:c r="A482" s="10" t="n">
        <x:v>481</x:v>
      </x:c>
      <x:c r="B482" s="10" t="str">
        <x:v>GUILD-05-0116</x:v>
      </x:c>
      <x:c r="C482" s="10" t="str">
        <x:v>数据与收益</x:v>
      </x:c>
      <x:c r="D482" s="10" t="str">
        <x:v>直播记录（公会长视角）</x:v>
      </x:c>
      <x:c r="E482" s="10" t="str">
        <x:v>功能需求</x:v>
      </x:c>
      <x:c r="F482" s="10" t="str">
        <x:v>P2</x:v>
      </x:c>
      <x:c r="G482" s="9" t="str">
        <x:v>验证核对场次列表开播时点</x:v>
      </x:c>
      <x:c r="H482" s="9" t="str">
        <x:v>场次列表开播时点</x:v>
      </x:c>
      <x:c r="I482" s="9" t="str">
        <x:v>1. 执行角色为公会长
2. 已登录目标公会的公会长账号，打开直播记录页并完成下列数据和页面状态准备
3. S1在9月15日10:00开始、11:00结束</x:v>
      </x:c>
      <x:c r="J482" s="9" t="str">
        <x:v>1. 查看直播记录页</x:v>
      </x:c>
      <x:c r="K482" s="9" t="str">
        <x:v>S1开播时间对应9月15日10:00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来源（当前证据）：liveshow-proto/MainBasis/统一需求文档.md；位置：REQ-27679ba94edc；行3273
2. 规则：BR-353a614562bd4432
3. 未动态验证</x:v>
      </x:c>
    </x:row>
    <x:row r="483" ht="100" customHeight="1">
      <x:c r="A483" s="10" t="n">
        <x:v>482</x:v>
      </x:c>
      <x:c r="B483" s="10" t="str">
        <x:v>GUILD-05-0117</x:v>
      </x:c>
      <x:c r="C483" s="10" t="str">
        <x:v>数据与收益</x:v>
      </x:c>
      <x:c r="D483" s="10" t="str">
        <x:v>直播场次详情（公会长视角）</x:v>
      </x:c>
      <x:c r="E483" s="10" t="str">
        <x:v>功能需求</x:v>
      </x:c>
      <x:c r="F483" s="10" t="str">
        <x:v>P2</x:v>
      </x:c>
      <x:c r="G483" s="9" t="str">
        <x:v>验证核对场次详情直播标题</x:v>
      </x:c>
      <x:c r="H483" s="9" t="str">
        <x:v>场次详情直播标题</x:v>
      </x:c>
      <x:c r="I483" s="9" t="str">
        <x:v>1. 执行角色为公会长
2. 已登录目标公会的公会长账号，打开直播场次详情页并完成下列数据和页面状态准备
3. 当前进入S1，其开播标题QA首场；该主播新场S2标题QA次场</x:v>
      </x:c>
      <x:c r="J483" s="9" t="str">
        <x:v>1. 查看直播场次详情页</x:v>
      </x:c>
      <x:c r="K483" s="9" t="str">
        <x:v>详情直播主题显示QA首场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来源（当前证据）：liveshow-proto/MainBasis/统一需求文档.md；位置：REQ-7a61e5f92e6d；行3298
2. 规则：BR-e505e98f50d0ed5d
3. 未动态验证</x:v>
      </x:c>
    </x:row>
    <x:row r="484" ht="100" customHeight="1">
      <x:c r="A484" s="10" t="n">
        <x:v>483</x:v>
      </x:c>
      <x:c r="B484" s="10" t="str">
        <x:v>GUILD-05-0118</x:v>
      </x:c>
      <x:c r="C484" s="10" t="str">
        <x:v>数据与收益</x:v>
      </x:c>
      <x:c r="D484" s="10" t="str">
        <x:v>直播场次详情（公会长视角）</x:v>
      </x:c>
      <x:c r="E484" s="10" t="str">
        <x:v>功能需求</x:v>
      </x:c>
      <x:c r="F484" s="10" t="str">
        <x:v>P2</x:v>
      </x:c>
      <x:c r="G484" s="9" t="str">
        <x:v>验证核对赠礼人真实身份</x:v>
      </x:c>
      <x:c r="H484" s="9" t="str">
        <x:v>赠礼人真实身份</x:v>
      </x:c>
      <x:c r="I484" s="9" t="str">
        <x:v>1. 执行角色为公会长
2. 已登录目标公会的公会长账号，打开直播场次详情页并完成下列数据和页面状态准备
3. R1由甲U001向主播乙H002赠送，甲昵称QA观众</x:v>
      </x:c>
      <x:c r="J484" s="9" t="str">
        <x:v>1. 查看直播场次详情页</x:v>
      </x:c>
      <x:c r="K484" s="9" t="str">
        <x:v>R1赠送用户显示QA观众及U001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来源（当前证据）：liveshow-proto/MainBasis/统一需求文档.md；位置：REQ-93d5b7f8688f；行3322
2. 规则：BR-7929a2a43b15ad40
3. 未动态验证</x:v>
      </x:c>
    </x:row>
    <x:row r="485" ht="100" customHeight="1">
      <x:c r="A485" s="10" t="n">
        <x:v>484</x:v>
      </x:c>
      <x:c r="B485" s="10" t="str">
        <x:v>GUILD-05-0119</x:v>
      </x:c>
      <x:c r="C485" s="10" t="str">
        <x:v>数据与收益</x:v>
      </x:c>
      <x:c r="D485" s="10" t="str">
        <x:v>违规记录（公会长视角）</x:v>
      </x:c>
      <x:c r="E485" s="10" t="str">
        <x:v>功能需求</x:v>
      </x:c>
      <x:c r="F485" s="10" t="str">
        <x:v>P2</x:v>
      </x:c>
      <x:c r="G485" s="9" t="str">
        <x:v>验证核对违规记录被处置对象</x:v>
      </x:c>
      <x:c r="H485" s="9" t="str">
        <x:v>违规记录被处置对象</x:v>
      </x:c>
      <x:c r="I485" s="9" t="str">
        <x:v>1. 执行角色为公会长
2. 已登录目标公会的公会长账号，打开违规记录页并完成下列数据和页面状态准备
3. N处罚甲H001，举报人乙U002</x:v>
      </x:c>
      <x:c r="J485" s="9" t="str">
        <x:v>1. 查看违规记录页</x:v>
      </x:c>
      <x:c r="K485" s="9" t="str">
        <x:v>N违规对象显示甲H001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来源（当前证据）：liveshow-proto/MainBasis/统一需求文档.md；位置：REQ-be1399973dbd；行3347
2. 规则：BR-4f1f392b87214461
3. 未动态验证</x:v>
      </x:c>
    </x:row>
    <x:row r="486" ht="100" customHeight="1">
      <x:c r="A486" s="10" t="n">
        <x:v>485</x:v>
      </x:c>
      <x:c r="B486" s="10" t="str">
        <x:v>GUILD-05-0120</x:v>
      </x:c>
      <x:c r="C486" s="10" t="str">
        <x:v>数据与收益</x:v>
      </x:c>
      <x:c r="D486" s="10" t="str">
        <x:v>每日（公会长视角）</x:v>
      </x:c>
      <x:c r="E486" s="10" t="str">
        <x:v>功能需求</x:v>
      </x:c>
      <x:c r="F486" s="10" t="str">
        <x:v>P2</x:v>
      </x:c>
      <x:c r="G486" s="9" t="str">
        <x:v>验证核对当日经营日期值</x:v>
      </x:c>
      <x:c r="H486" s="9" t="str">
        <x:v>当日经营日期值</x:v>
      </x:c>
      <x:c r="I486" s="9" t="str">
        <x:v>1. 执行角色为公会长
2. 已登录目标公会的公会长账号，打开每日页并完成下列数据和页面状态准备
3. 当前进入9月15日经营详情，今天为9月16日</x:v>
      </x:c>
      <x:c r="J486" s="9" t="str">
        <x:v>1. 查看每日页</x:v>
      </x:c>
      <x:c r="K486" s="9" t="str">
        <x:v>业务日期显示9月15日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来源（当前证据）：liveshow-proto/MainBasis/统一需求文档.md；位置：REQ-136eaaa6e25c；行3409
2. 规则：BR-28c2698509f7ff12
3. 未动态验证</x:v>
      </x:c>
    </x:row>
    <x:row r="487" ht="85" customHeight="1">
      <x:c r="A487" s="10" t="n">
        <x:v>486</x:v>
      </x:c>
      <x:c r="B487" s="10" t="str">
        <x:v>GUILD-05-0121</x:v>
      </x:c>
      <x:c r="C487" s="10" t="str">
        <x:v>数据与收益</x:v>
      </x:c>
      <x:c r="D487" s="10" t="str">
        <x:v>每日（公会长视角）</x:v>
      </x:c>
      <x:c r="E487" s="10" t="str">
        <x:v>功能需求</x:v>
      </x:c>
      <x:c r="F487" s="10" t="str">
        <x:v>P2</x:v>
      </x:c>
      <x:c r="G487" s="9" t="str">
        <x:v>验证核对今日经营无历史标记</x:v>
      </x:c>
      <x:c r="H487" s="9" t="str">
        <x:v>今日经营无历史标记</x:v>
      </x:c>
      <x:c r="I487" s="9" t="str">
        <x:v>1. 执行角色为公会长
2. 已登录目标公会的公会长账号，打开每日页并完成下列数据和页面状态准备
3. 当前进入今日经营详情</x:v>
      </x:c>
      <x:c r="J487" s="9" t="str">
        <x:v>1. 查看每日页</x:v>
      </x:c>
      <x:c r="K487" s="9" t="str">
        <x:v>不显示历史标记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来源（当前证据）：liveshow-proto/MainBasis/统一需求文档.md；位置：REQ-136eaaa6e25c；行3409
2. 规则：BR-35a6f4a5810bae36
3. 未动态验证</x:v>
      </x:c>
    </x:row>
    <x:row r="488" ht="100" customHeight="1">
      <x:c r="A488" s="10" t="n">
        <x:v>487</x:v>
      </x:c>
      <x:c r="B488" s="10" t="str">
        <x:v>GUILD-05-0122</x:v>
      </x:c>
      <x:c r="C488" s="10" t="str">
        <x:v>数据与收益</x:v>
      </x:c>
      <x:c r="D488" s="10" t="str">
        <x:v>每日（公会长视角）</x:v>
      </x:c>
      <x:c r="E488" s="10" t="str">
        <x:v>功能需求</x:v>
      </x:c>
      <x:c r="F488" s="10" t="str">
        <x:v>P2</x:v>
      </x:c>
      <x:c r="G488" s="9" t="str">
        <x:v>验证核对每日已开播人数</x:v>
      </x:c>
      <x:c r="H488" s="9" t="str">
        <x:v>每日已开播人数</x:v>
      </x:c>
      <x:c r="I488" s="9" t="str">
        <x:v>1. 执行角色为公会长
2. 已登录目标公会的公会长账号，打开每日页并完成下列数据和页面状态准备
3. 当日甲两场、乙一场、丙未开播</x:v>
      </x:c>
      <x:c r="J488" s="9" t="str">
        <x:v>1. 查看每日页</x:v>
      </x:c>
      <x:c r="K488" s="9" t="str">
        <x:v>已开播人数显示2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来源（当前证据）：liveshow-proto/MainBasis/统一需求文档.md；位置：REQ-7f4dbabfcda9；行3411
2. 规则：BR-43cfcdc0cf4150f9
3. 未动态验证</x:v>
      </x:c>
    </x:row>
    <x:row r="489" ht="85" customHeight="1">
      <x:c r="A489" s="10" t="n">
        <x:v>488</x:v>
      </x:c>
      <x:c r="B489" s="10" t="str">
        <x:v>GUILD-05-0123</x:v>
      </x:c>
      <x:c r="C489" s="10" t="str">
        <x:v>数据与收益</x:v>
      </x:c>
      <x:c r="D489" s="10" t="str">
        <x:v>每日（公会长视角）</x:v>
      </x:c>
      <x:c r="E489" s="10" t="str">
        <x:v>功能需求</x:v>
      </x:c>
      <x:c r="F489" s="10" t="str">
        <x:v>P2</x:v>
      </x:c>
      <x:c r="G489" s="9" t="str">
        <x:v>验证核对每日未开播人数</x:v>
      </x:c>
      <x:c r="H489" s="9" t="str">
        <x:v>每日未开播人数</x:v>
      </x:c>
      <x:c r="I489" s="9" t="str">
        <x:v>1. 执行角色为公会长
2. 已登录目标公会的公会长账号，打开每日页并完成下列数据和页面状态准备
3. 当日甲已开播，乙丙未开播</x:v>
      </x:c>
      <x:c r="J489" s="9" t="str">
        <x:v>1. 查看每日页</x:v>
      </x:c>
      <x:c r="K489" s="9" t="str">
        <x:v>未开播人数显示2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来源（当前证据）：liveshow-proto/MainBasis/统一需求文档.md；位置：REQ-7f4dbabfcda9；行3411
2. 规则：BR-c37cd095555ca43a
3. 未动态验证</x:v>
      </x:c>
    </x:row>
    <x:row r="490" ht="100" customHeight="1">
      <x:c r="A490" s="10" t="n">
        <x:v>489</x:v>
      </x:c>
      <x:c r="B490" s="10" t="str">
        <x:v>GUILD-05-0124</x:v>
      </x:c>
      <x:c r="C490" s="10" t="str">
        <x:v>数据与收益</x:v>
      </x:c>
      <x:c r="D490" s="10" t="str">
        <x:v>每日（公会长视角）</x:v>
      </x:c>
      <x:c r="E490" s="10" t="str">
        <x:v>功能需求</x:v>
      </x:c>
      <x:c r="F490" s="10" t="str">
        <x:v>P2</x:v>
      </x:c>
      <x:c r="G490" s="9" t="str">
        <x:v>验证核对每日累计直播时长</x:v>
      </x:c>
      <x:c r="H490" s="9" t="str">
        <x:v>每日累计直播时长</x:v>
      </x:c>
      <x:c r="I490" s="9" t="str">
        <x:v>1. 执行角色为公会长
2. 已登录目标公会的公会长账号，打开每日页并完成下列数据和页面状态准备
3. 主播甲当日两场累计210分钟，当前已开播列表</x:v>
      </x:c>
      <x:c r="J490" s="9" t="str">
        <x:v>1. 查看每日页</x:v>
      </x:c>
      <x:c r="K490" s="9" t="str">
        <x:v>甲直播时长显示3小时30分钟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来源（当前证据）：liveshow-proto/MainBasis/统一需求文档.md；位置：REQ-6359ffa4e7fc；行3421
2. 规则：BR-c7161a499747ee39
3. 未动态验证</x:v>
      </x:c>
    </x:row>
    <x:row r="491" ht="100" customHeight="1">
      <x:c r="A491" s="10" t="n">
        <x:v>490</x:v>
      </x:c>
      <x:c r="B491" s="10" t="str">
        <x:v>GUILD-05-0125</x:v>
      </x:c>
      <x:c r="C491" s="10" t="str">
        <x:v>数据与收益</x:v>
      </x:c>
      <x:c r="D491" s="10" t="str">
        <x:v>每日（公会长视角）</x:v>
      </x:c>
      <x:c r="E491" s="10" t="str">
        <x:v>功能需求</x:v>
      </x:c>
      <x:c r="F491" s="10" t="str">
        <x:v>P2</x:v>
      </x:c>
      <x:c r="G491" s="9" t="str">
        <x:v>验证核对今日在播人数</x:v>
      </x:c>
      <x:c r="H491" s="9" t="str">
        <x:v>今日在播人数</x:v>
      </x:c>
      <x:c r="I491" s="9" t="str">
        <x:v>1. 执行角色为公会长
2. 已登录目标公会的公会长账号，打开每日页并完成下列数据和页面状态准备
3. 甲已结束一场，乙丙当前正在直播；当前日期为今日</x:v>
      </x:c>
      <x:c r="J491" s="9" t="str">
        <x:v>1. 查看每日页</x:v>
      </x:c>
      <x:c r="K491" s="9" t="str">
        <x:v>直播中显示2人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来源（当前证据）：liveshow-proto/MainBasis/统一需求文档.md；位置：REQ-7e73bff3ce0c；行3425
2. 规则：BR-8fb86d6ec8729821
3. 未动态验证</x:v>
      </x:c>
    </x:row>
    <x:row r="492" ht="100" customHeight="1">
      <x:c r="A492" s="10" t="n">
        <x:v>491</x:v>
      </x:c>
      <x:c r="B492" s="10" t="str">
        <x:v>GUILD-05-0126</x:v>
      </x:c>
      <x:c r="C492" s="10" t="str">
        <x:v>数据与收益</x:v>
      </x:c>
      <x:c r="D492" s="10" t="str">
        <x:v>每日（公会长视角）</x:v>
      </x:c>
      <x:c r="E492" s="10" t="str">
        <x:v>逻辑校验</x:v>
      </x:c>
      <x:c r="F492" s="10" t="str">
        <x:v>P1</x:v>
      </x:c>
      <x:c r="G492" s="9" t="str">
        <x:v>验证每日详情累计179分钟的有效天状态</x:v>
      </x:c>
      <x:c r="H492" s="9" t="str">
        <x:v>每日主播有效天边界</x:v>
      </x:c>
      <x:c r="I492" s="9" t="str">
        <x:v>1. 执行角色为公会长
2. 已登录目标公会的公会长账号，打开每日页并完成下列数据和页面状态准备
3. 甲当日已完成场次累计179分钟；当前已开播列表</x:v>
      </x:c>
      <x:c r="J492" s="9" t="str">
        <x:v>1. 查看每日页</x:v>
      </x:c>
      <x:c r="K492" s="9" t="str">
        <x:v>甲有效天状态显示未达标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来源（当前证据）：liveshow-proto/MainBasis/统一需求文档.md；位置：REQ-6359ffa4e7fc；行3421
2. 规则：BR-d36e41859ba37a67
3. 未动态验证</x:v>
      </x:c>
    </x:row>
    <x:row r="493" ht="100" customHeight="1">
      <x:c r="A493" s="10" t="n">
        <x:v>492</x:v>
      </x:c>
      <x:c r="B493" s="10" t="str">
        <x:v>GUILD-05-0127</x:v>
      </x:c>
      <x:c r="C493" s="10" t="str">
        <x:v>数据与收益</x:v>
      </x:c>
      <x:c r="D493" s="10" t="str">
        <x:v>每日（公会长视角）</x:v>
      </x:c>
      <x:c r="E493" s="10" t="str">
        <x:v>逻辑校验</x:v>
      </x:c>
      <x:c r="F493" s="10" t="str">
        <x:v>P1</x:v>
      </x:c>
      <x:c r="G493" s="9" t="str">
        <x:v>验证每日详情累计180分钟的有效天状态</x:v>
      </x:c>
      <x:c r="H493" s="9" t="str">
        <x:v>每日主播有效天边界</x:v>
      </x:c>
      <x:c r="I493" s="9" t="str">
        <x:v>1. 执行角色为公会长
2. 已登录目标公会的公会长账号，打开每日页并完成下列数据和页面状态准备
3. 甲当日已完成场次累计180分钟；当前已开播列表</x:v>
      </x:c>
      <x:c r="J493" s="9" t="str">
        <x:v>1. 查看每日页</x:v>
      </x:c>
      <x:c r="K493" s="9" t="str">
        <x:v>甲有效天状态显示达标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来源（当前证据）：liveshow-proto/MainBasis/统一需求文档.md；位置：REQ-6359ffa4e7fc；行3421
2. 规则：BR-0010ae2bb50d6132
3. 未动态验证</x:v>
      </x:c>
    </x:row>
    <x:row r="494" ht="100" customHeight="1">
      <x:c r="A494" s="10" t="n">
        <x:v>493</x:v>
      </x:c>
      <x:c r="B494" s="10" t="str">
        <x:v>GUILD-05-0128</x:v>
      </x:c>
      <x:c r="C494" s="10" t="str">
        <x:v>数据与收益</x:v>
      </x:c>
      <x:c r="D494" s="10" t="str">
        <x:v>每日（公会长视角）</x:v>
      </x:c>
      <x:c r="E494" s="10" t="str">
        <x:v>逻辑校验</x:v>
      </x:c>
      <x:c r="F494" s="10" t="str">
        <x:v>P1</x:v>
      </x:c>
      <x:c r="G494" s="9" t="str">
        <x:v>验证每日详情累计181分钟的有效天状态</x:v>
      </x:c>
      <x:c r="H494" s="9" t="str">
        <x:v>每日主播有效天边界</x:v>
      </x:c>
      <x:c r="I494" s="9" t="str">
        <x:v>1. 执行角色为公会长
2. 已登录目标公会的公会长账号，打开每日页并完成下列数据和页面状态准备
3. 甲当日已完成场次累计181分钟；当前已开播列表</x:v>
      </x:c>
      <x:c r="J494" s="9" t="str">
        <x:v>1. 查看每日页</x:v>
      </x:c>
      <x:c r="K494" s="9" t="str">
        <x:v>甲有效天状态显示达标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来源（当前证据）：liveshow-proto/MainBasis/统一需求文档.md；位置：REQ-6359ffa4e7fc；行3421
2. 规则：BR-a30b7e265b679935
3. 未动态验证</x:v>
      </x:c>
    </x:row>
    <x:row r="495" ht="100" customHeight="1">
      <x:c r="A495" s="10" t="n">
        <x:v>494</x:v>
      </x:c>
      <x:c r="B495" s="10" t="str">
        <x:v>GUILD-03-0114</x:v>
      </x:c>
      <x:c r="C495" s="10" t="str">
        <x:v>运营工具</x:v>
      </x:c>
      <x:c r="D495" s="10" t="str">
        <x:v>运营账号（公会长视角）</x:v>
      </x:c>
      <x:c r="E495" s="10" t="str">
        <x:v>逻辑校验</x:v>
      </x:c>
      <x:c r="F495" s="10" t="str">
        <x:v>P1</x:v>
      </x:c>
      <x:c r="G495" s="9" t="str">
        <x:v>验证公会剩余额度按上限减已发</x:v>
      </x:c>
      <x:c r="H495" s="9" t="str">
        <x:v>公会月度可发余额</x:v>
      </x:c>
      <x:c r="I495" s="9" t="str">
        <x:v>1. 执行角色为公会长
2. 已登录目标公会的公会长账号，打开运营账号页并完成下列数据和页面状态准备
3. 公会本月上限1000，成功发放300，失败发放100</x:v>
      </x:c>
      <x:c r="J495" s="9" t="str">
        <x:v>1. 查看运营账号页</x:v>
      </x:c>
      <x:c r="K495" s="9" t="str">
        <x:v>本月剩余可发显示700金币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来源（当前证据）：liveshow-proto/MainBasis/统一需求文档.md；位置：REQ-07ccfe1b17c0；行3100
2. 规则：BR-3f75d260d9317ca9
3. 未动态验证</x:v>
      </x:c>
    </x:row>
    <x:row r="496" ht="100" customHeight="1">
      <x:c r="A496" s="10" t="n">
        <x:v>495</x:v>
      </x:c>
      <x:c r="B496" s="10" t="str">
        <x:v>GUILD-03-0115</x:v>
      </x:c>
      <x:c r="C496" s="10" t="str">
        <x:v>运营工具</x:v>
      </x:c>
      <x:c r="D496" s="10" t="str">
        <x:v>运营账号（公会长视角）</x:v>
      </x:c>
      <x:c r="E496" s="10" t="str">
        <x:v>逻辑校验</x:v>
      </x:c>
      <x:c r="F496" s="10" t="str">
        <x:v>P1</x:v>
      </x:c>
      <x:c r="G496" s="9" t="str">
        <x:v>验证降低公会额度后剩余不为负</x:v>
      </x:c>
      <x:c r="H496" s="9" t="str">
        <x:v>公会额度下调后的余额下限</x:v>
      </x:c>
      <x:c r="I496" s="9" t="str">
        <x:v>1. 执行角色为公会长
2. 已登录目标公会的公会长账号，打开运营账号页并完成下列数据和页面状态准备
3. 公会本月已发1000，后台当前将上限调整为800</x:v>
      </x:c>
      <x:c r="J496" s="9" t="str">
        <x:v>1. 查看运营账号页</x:v>
      </x:c>
      <x:c r="K496" s="9" t="str">
        <x:v>本月剩余可发显示0金币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来源（当前证据）：liveshow-proto/MainBasis/统一需求文档.md；位置：REQ-07ccfe1b17c0；行3100
2. 规则：BR-faab158f45d3c9a8
3. 未动态验证</x:v>
      </x:c>
    </x:row>
    <x:row r="497" ht="85" customHeight="1">
      <x:c r="A497" s="10" t="n">
        <x:v>496</x:v>
      </x:c>
      <x:c r="B497" s="10" t="str">
        <x:v>GUILD-05-0129</x:v>
      </x:c>
      <x:c r="C497" s="10" t="str">
        <x:v>数据与收益</x:v>
      </x:c>
      <x:c r="D497" s="10" t="str">
        <x:v>公会分成记录（公会长视角）</x:v>
      </x:c>
      <x:c r="E497" s="10" t="str">
        <x:v>逻辑校验</x:v>
      </x:c>
      <x:c r="F497" s="10" t="str">
        <x:v>P1</x:v>
      </x:c>
      <x:c r="G497" s="9" t="str">
        <x:v>验证公会分成记录没有未定义日期筛选</x:v>
      </x:c>
      <x:c r="H497" s="9" t="str">
        <x:v>公会财务记录筛选入口</x:v>
      </x:c>
      <x:c r="I497" s="9" t="str">
        <x:v>1. 执行角色为公会长
2. 已登录目标公会的公会长账号，打开公会分成记录页并完成下列数据和页面状态准备
3. 已有当前公会上传结果</x:v>
      </x:c>
      <x:c r="J497" s="9" t="str">
        <x:v>1. 查看公会分成记录页</x:v>
      </x:c>
      <x:c r="K497" s="9" t="str">
        <x:v>本页不提供日期筛选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来源（当前证据）：liveshow-proto/MainBasis/统一需求文档.md；位置：REQ-1afa9bbb787d；行3457
2. 规则：BR-b58edfb2372f010c
3. 未动态验证</x:v>
      </x:c>
    </x:row>
    <x:row r="498" ht="85" customHeight="1">
      <x:c r="A498" s="10" t="n">
        <x:v>497</x:v>
      </x:c>
      <x:c r="B498" s="10" t="str">
        <x:v>GUILD-05-0130</x:v>
      </x:c>
      <x:c r="C498" s="10" t="str">
        <x:v>数据与收益</x:v>
      </x:c>
      <x:c r="D498" s="10" t="str">
        <x:v>公会分成记录（公会长视角）</x:v>
      </x:c>
      <x:c r="E498" s="10" t="str">
        <x:v>逻辑校验</x:v>
      </x:c>
      <x:c r="F498" s="10" t="str">
        <x:v>P1</x:v>
      </x:c>
      <x:c r="G498" s="9" t="str">
        <x:v>验证公会分成记录没有在线计算</x:v>
      </x:c>
      <x:c r="H498" s="9" t="str">
        <x:v>公会财务记录计算入口</x:v>
      </x:c>
      <x:c r="I498" s="9" t="str">
        <x:v>1. 执行角色为公会长
2. 已登录目标公会的公会长账号，打开公会分成记录页并完成下列数据和页面状态准备
3. 已有当前公会上传结果</x:v>
      </x:c>
      <x:c r="J498" s="9" t="str">
        <x:v>1. 查看公会分成记录页</x:v>
      </x:c>
      <x:c r="K498" s="9" t="str">
        <x:v>本页不提供在线分成计算操作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来源（当前证据）：liveshow-proto/MainBasis/统一需求文档.md；位置：REQ-1afa9bbb787d；行3457
2. 规则：BR-62bb77ff2e1fd0da
3. 未动态验证</x:v>
      </x:c>
    </x:row>
    <x:row r="499" ht="100" customHeight="1">
      <x:c r="A499" s="10" t="n">
        <x:v>498</x:v>
      </x:c>
      <x:c r="B499" s="10" t="str">
        <x:v>GUILD-05-0131</x:v>
      </x:c>
      <x:c r="C499" s="10" t="str">
        <x:v>数据与收益</x:v>
      </x:c>
      <x:c r="D499" s="10" t="str">
        <x:v>公会分成记录（公会长视角）</x:v>
      </x:c>
      <x:c r="E499" s="10" t="str">
        <x:v>逻辑校验</x:v>
      </x:c>
      <x:c r="F499" s="10" t="str">
        <x:v>P1</x:v>
      </x:c>
      <x:c r="G499" s="9" t="str">
        <x:v>验证公会分成跨月按入账时间展示</x:v>
      </x:c>
      <x:c r="H499" s="9" t="str">
        <x:v>跨月分成的入账日期</x:v>
      </x:c>
      <x:c r="I499" s="9" t="str">
        <x:v>1. 执行角色为公会长
2. 已登录目标公会的公会长账号，打开公会分成记录页并完成下列数据和页面状态准备
3. 8月收益的财务结果在9月15日入账</x:v>
      </x:c>
      <x:c r="J499" s="9" t="str">
        <x:v>1. 查看公会分成记录页</x:v>
      </x:c>
      <x:c r="K499" s="9" t="str">
        <x:v>分成时间对应9月15日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来源（当前证据）：liveshow-proto/MainBasis/统一需求文档.md；位置：REQ-bc29e36d3b72；行3459
2. 规则：BR-279015bbe141324d
3. 未动态验证</x:v>
      </x:c>
    </x:row>
    <x:row r="500" ht="100" customHeight="1">
      <x:c r="A500" s="10" t="n">
        <x:v>499</x:v>
      </x:c>
      <x:c r="B500" s="10" t="str">
        <x:v>GUILD-04-0033</x:v>
      </x:c>
      <x:c r="C500" s="10" t="str">
        <x:v>公会管理</x:v>
      </x:c>
      <x:c r="D500" s="10" t="str">
        <x:v>公会资料（公会长视角）</x:v>
      </x:c>
      <x:c r="E500" s="10" t="str">
        <x:v>逻辑校验</x:v>
      </x:c>
      <x:c r="F500" s="10" t="str">
        <x:v>P1</x:v>
      </x:c>
      <x:c r="G500" s="9" t="str">
        <x:v>验证公会名称达到40字仍可保存</x:v>
      </x:c>
      <x:c r="H500" s="9" t="str">
        <x:v>公会名称合法上边界</x:v>
      </x:c>
      <x:c r="I500" s="9" t="str">
        <x:v>1. 执行角色为公会长
2. 已登录目标公会的公会长账号，打开公会资料页并完成下列数据和页面状态准备
3. 当前公会Logo有效，其他资料均有效</x:v>
      </x:c>
      <x:c r="J500" s="9" t="str">
        <x:v>1. 查看公会资料页
2. 填写公会名称为40个A
3. 点击保存
4. 刷新当前公会资料页</x:v>
      </x:c>
      <x:c r="K500" s="9" t="str">
        <x:v>公会名称完整保留40个A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来源（当前证据）：liveshow-proto/MainBasis/统一需求文档.md；位置：REQ-827721b095f8；行3224
2. 规则：BR-cc892909259ba5c6
3. 未动态验证</x:v>
      </x:c>
    </x:row>
    <x:row r="501" ht="100" customHeight="1">
      <x:c r="A501" s="10" t="n">
        <x:v>500</x:v>
      </x:c>
      <x:c r="B501" s="10" t="str">
        <x:v>GUILD-04-0034</x:v>
      </x:c>
      <x:c r="C501" s="10" t="str">
        <x:v>公会管理</x:v>
      </x:c>
      <x:c r="D501" s="10" t="str">
        <x:v>公会资料（公会长视角）</x:v>
      </x:c>
      <x:c r="E501" s="10" t="str">
        <x:v>逻辑校验</x:v>
      </x:c>
      <x:c r="F501" s="10" t="str">
        <x:v>P1</x:v>
      </x:c>
      <x:c r="G501" s="9" t="str">
        <x:v>验证公会简介达到200字仍可保存</x:v>
      </x:c>
      <x:c r="H501" s="9" t="str">
        <x:v>公会简介合法上边界</x:v>
      </x:c>
      <x:c r="I501" s="9" t="str">
        <x:v>1. 执行角色为公会长
2. 已登录目标公会的公会长账号，打开公会资料页并完成下列数据和页面状态准备
3. 当前公会Logo有效，其他资料均有效</x:v>
      </x:c>
      <x:c r="J501" s="9" t="str">
        <x:v>1. 查看公会资料页
2. 填写公会简介为200个A
3. 点击保存
4. 刷新当前公会资料页</x:v>
      </x:c>
      <x:c r="K501" s="9" t="str">
        <x:v>公会简介完整保留200个A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来源（当前证据）：liveshow-proto/MainBasis/统一需求文档.md；位置：REQ-db923df69f8a；行3226
2. 规则：BR-a5b5467d0b933740
3. 未动态验证</x:v>
      </x:c>
    </x:row>
    <x:row r="502" ht="100" customHeight="1">
      <x:c r="A502" s="10" t="n">
        <x:v>501</x:v>
      </x:c>
      <x:c r="B502" s="10" t="str">
        <x:v>GUILD-01-0061</x:v>
      </x:c>
      <x:c r="C502" s="10" t="str">
        <x:v>登录与首页</x:v>
      </x:c>
      <x:c r="D502" s="10" t="str">
        <x:v>选择公会（公会长视角）</x:v>
      </x:c>
      <x:c r="E502" s="10" t="str">
        <x:v>功能需求</x:v>
      </x:c>
      <x:c r="F502" s="10" t="str">
        <x:v>P2</x:v>
      </x:c>
      <x:c r="G502" s="9" t="str">
        <x:v>验证选择公会区分其他公会入口</x:v>
      </x:c>
      <x:c r="H502" s="9" t="str">
        <x:v>公会选择其他公会入口</x:v>
      </x:c>
      <x:c r="I502" s="9" t="str">
        <x:v>1. 执行角色为公会长
2. 已登录目标公会的公会长账号，打开选择公会页并完成下列数据和页面状态准备
3. 当前账号管理A和B，正在A中</x:v>
      </x:c>
      <x:c r="J502" s="9" t="str">
        <x:v>1. 查看选择公会页</x:v>
      </x:c>
      <x:c r="K502" s="9" t="str">
        <x:v>B显示选择入口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来源（当前证据）：liveshow-proto/MainBasis/统一需求文档.md；位置：REQ-225adc4fd6df；行2726
2. 规则：BR-d4f3c02b3935bdd0
3. 未动态验证</x:v>
      </x:c>
    </x:row>
    <x:row r="503" ht="100" customHeight="1">
      <x:c r="A503" s="10" t="n">
        <x:v>502</x:v>
      </x:c>
      <x:c r="B503" s="10" t="str">
        <x:v>GUILD-01-0062</x:v>
      </x:c>
      <x:c r="C503" s="10" t="str">
        <x:v>登录与首页</x:v>
      </x:c>
      <x:c r="D503" s="10" t="str">
        <x:v>选择公会（公会长视角）</x:v>
      </x:c>
      <x:c r="E503" s="10" t="str">
        <x:v>功能需求</x:v>
      </x:c>
      <x:c r="F503" s="10" t="str">
        <x:v>P2</x:v>
      </x:c>
      <x:c r="G503" s="9" t="str">
        <x:v>验证选择公会区分当前与启用状态区分</x:v>
      </x:c>
      <x:c r="H503" s="9" t="str">
        <x:v>公会选择当前与启用状态区分</x:v>
      </x:c>
      <x:c r="I503" s="9" t="str">
        <x:v>1. 执行角色为公会长
2. 已登录目标公会的公会长账号，打开选择公会页并完成下列数据和页面状态准备
3. 公会A仍启用，但当前账号正在管理B</x:v>
      </x:c>
      <x:c r="J503" s="9" t="str">
        <x:v>1. 查看选择公会页</x:v>
      </x:c>
      <x:c r="K503" s="9" t="str">
        <x:v>A不显示当前公会标记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来源（当前证据）：liveshow-proto/MainBasis/统一需求文档.md；位置：REQ-225adc4fd6df；行2726
2. 规则：BR-6453b43dedc8d054
3. 未动态验证</x:v>
      </x:c>
    </x:row>
    <x:row r="504" ht="100" customHeight="1">
      <x:c r="A504" s="10" t="n">
        <x:v>503</x:v>
      </x:c>
      <x:c r="B504" s="10" t="str">
        <x:v>GUILD-01-0063</x:v>
      </x:c>
      <x:c r="C504" s="10" t="str">
        <x:v>登录与首页</x:v>
      </x:c>
      <x:c r="D504" s="10" t="str">
        <x:v>公会登录（公会长视角）</x:v>
      </x:c>
      <x:c r="E504" s="10" t="str">
        <x:v>逻辑校验</x:v>
      </x:c>
      <x:c r="F504" s="10" t="str">
        <x:v>P1</x:v>
      </x:c>
      <x:c r="G504" s="9" t="str">
        <x:v>验证错误密码登录后停留公会登录页</x:v>
      </x:c>
      <x:c r="H504" s="9" t="str">
        <x:v>登录失败页面保持</x:v>
      </x:c>
      <x:c r="I504" s="9" t="str">
        <x:v>1. 执行角色为公会长
2. 已登录目标公会的公会长账号，打开公会登录页并完成下列数据和页面状态准备
3. 账号qa-chief启用且正确密码QaChief!2026</x:v>
      </x:c>
      <x:c r="J504" s="9" t="str">
        <x:v>1. 查看公会登录页
2. 填写公会账号为qa-chief
3. 填写密码为Wrong!2026
4. 点击登录</x:v>
      </x:c>
      <x:c r="K504" s="9" t="str">
        <x:v>仍显示公会登录页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来源（当前证据）：liveshow-proto/MainBasis/统一需求文档.md；位置：REQ-dda7dbff3ea0；行2715
2. 规则：BR-f21d9564e7de56d3
3. 未动态验证</x:v>
      </x:c>
    </x:row>
    <x:row r="505" ht="115" customHeight="1">
      <x:c r="A505" s="10" t="n">
        <x:v>504</x:v>
      </x:c>
      <x:c r="B505" s="10" t="str">
        <x:v>GUILD-01-0064</x:v>
      </x:c>
      <x:c r="C505" s="10" t="str">
        <x:v>登录与首页</x:v>
      </x:c>
      <x:c r="D505" s="10" t="str">
        <x:v>首页（公会长视角）</x:v>
      </x:c>
      <x:c r="E505" s="10" t="str">
        <x:v>逻辑校验</x:v>
      </x:c>
      <x:c r="F505" s="10" t="str">
        <x:v>P1</x:v>
      </x:c>
      <x:c r="G505" s="9" t="str">
        <x:v>验证首页幸运收益排除返奖0</x:v>
      </x:c>
      <x:c r="H505" s="9" t="str">
        <x:v>首页幸运收益与返奖独立</x:v>
      </x:c>
      <x:c r="I505" s="9" t="str">
        <x:v>1. 执行角色为公会长
2. 已登录目标公会的公会长账号，打开首页页并完成下列数据和页面状态准备
3. 本日仅有真实幸运赠礼1000金币，后台收益比例2%，返奖0金币</x:v>
      </x:c>
      <x:c r="J505" s="9" t="str">
        <x:v>1. 查看首页页</x:v>
      </x:c>
      <x:c r="K505" s="9" t="str">
        <x:v>当日收益显示20金币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来源（当前证据）：liveshow-proto/MainBasis/统一需求文档.md；位置：REQ-d823c785cbbd；行2747
2. 规则：BR-9daa5a44516cf8aa
3. 未动态验证</x:v>
      </x:c>
    </x:row>
    <x:row r="506" ht="115" customHeight="1">
      <x:c r="A506" s="10" t="n">
        <x:v>505</x:v>
      </x:c>
      <x:c r="B506" s="10" t="str">
        <x:v>GUILD-01-0065</x:v>
      </x:c>
      <x:c r="C506" s="10" t="str">
        <x:v>登录与首页</x:v>
      </x:c>
      <x:c r="D506" s="10" t="str">
        <x:v>首页（公会长视角）</x:v>
      </x:c>
      <x:c r="E506" s="10" t="str">
        <x:v>逻辑校验</x:v>
      </x:c>
      <x:c r="F506" s="10" t="str">
        <x:v>P1</x:v>
      </x:c>
      <x:c r="G506" s="9" t="str">
        <x:v>验证首页幸运收益排除返奖1000</x:v>
      </x:c>
      <x:c r="H506" s="9" t="str">
        <x:v>首页幸运收益与返奖独立</x:v>
      </x:c>
      <x:c r="I506" s="9" t="str">
        <x:v>1. 执行角色为公会长
2. 已登录目标公会的公会长账号，打开首页页并完成下列数据和页面状态准备
3. 本日仅有真实幸运赠礼1000金币，后台收益比例2%，返奖1000金币</x:v>
      </x:c>
      <x:c r="J506" s="9" t="str">
        <x:v>1. 查看首页页</x:v>
      </x:c>
      <x:c r="K506" s="9" t="str">
        <x:v>当日收益显示20金币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来源（当前证据）：liveshow-proto/MainBasis/统一需求文档.md；位置：REQ-d823c785cbbd；行2747
2. 规则：BR-96273e0b54258547
3. 未动态验证</x:v>
      </x:c>
    </x:row>
    <x:row r="507" ht="100" customHeight="1">
      <x:c r="A507" s="10" t="n">
        <x:v>506</x:v>
      </x:c>
      <x:c r="B507" s="10" t="str">
        <x:v>GUILD-01-0066</x:v>
      </x:c>
      <x:c r="C507" s="10" t="str">
        <x:v>登录与首页</x:v>
      </x:c>
      <x:c r="D507" s="10" t="str">
        <x:v>通知消息（公会长视角）</x:v>
      </x:c>
      <x:c r="E507" s="10" t="str">
        <x:v>逻辑校验</x:v>
      </x:c>
      <x:c r="F507" s="10" t="str">
        <x:v>P1</x:v>
      </x:c>
      <x:c r="G507" s="9" t="str">
        <x:v>验证公会收到平台关闭主播权限通知</x:v>
      </x:c>
      <x:c r="H507" s="9" t="str">
        <x:v>平台关权公会通知</x:v>
      </x:c>
      <x:c r="I507" s="9" t="str">
        <x:v>1. 执行角色为公会长
2. 已登录目标公会的公会长账号，打开通知消息页并完成下列数据和页面状态准备
3. 环境准备：平台刚关闭本公会甲主播直播权限，通知已生成</x:v>
      </x:c>
      <x:c r="J507" s="9" t="str">
        <x:v>1. 查看通知消息页</x:v>
      </x:c>
      <x:c r="K507" s="9" t="str">
        <x:v>列表出现甲的直播权限关闭通知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来源（当前证据）：liveshow-proto/MainBasis/统一需求文档.md；位置：REQ-4d0543771bfa；行2766
2. 规则：BR-520daa4467998adb
3. 未动态验证</x:v>
      </x:c>
    </x:row>
    <x:row r="508" ht="100" customHeight="1">
      <x:c r="A508" s="10" t="n">
        <x:v>507</x:v>
      </x:c>
      <x:c r="B508" s="10" t="str">
        <x:v>GUILD-01-0067</x:v>
      </x:c>
      <x:c r="C508" s="10" t="str">
        <x:v>登录与首页</x:v>
      </x:c>
      <x:c r="D508" s="10" t="str">
        <x:v>通知详情（公会长视角）</x:v>
      </x:c>
      <x:c r="E508" s="10" t="str">
        <x:v>逻辑校验</x:v>
      </x:c>
      <x:c r="F508" s="10" t="str">
        <x:v>P1</x:v>
      </x:c>
      <x:c r="G508" s="9" t="str">
        <x:v>验证无关联记录的通知不提供业务入口</x:v>
      </x:c>
      <x:c r="H508" s="9" t="str">
        <x:v>通知关联对象前提</x:v>
      </x:c>
      <x:c r="I508" s="9" t="str">
        <x:v>1. 执行角色为公会长
2. 已登录目标公会的公会长账号，打开通知详情页并完成下列数据和页面状态准备
3. 通知N只有平台公告正文，不关联业务记录</x:v>
      </x:c>
      <x:c r="J508" s="9" t="str">
        <x:v>1. 查看通知详情页</x:v>
      </x:c>
      <x:c r="K508" s="9" t="str">
        <x:v>不显示关联业务入口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来源（当前证据）：liveshow-proto/MainBasis/统一需求文档.md；位置：REQ-90d3a493f427；行2783
2. 规则：BR-c73f6d8d9b6015cf
3. 未动态验证</x:v>
      </x:c>
    </x:row>
    <x:row r="509" ht="115" customHeight="1">
      <x:c r="A509" s="10" t="n">
        <x:v>508</x:v>
      </x:c>
      <x:c r="B509" s="10" t="str">
        <x:v>GUILD-02-0161</x:v>
      </x:c>
      <x:c r="C509" s="10" t="str">
        <x:v>主播管理</x:v>
      </x:c>
      <x:c r="D509" s="10" t="str">
        <x:v>入会申请详情（公会长视角）</x:v>
      </x:c>
      <x:c r="E509" s="10" t="str">
        <x:v>逻辑校验</x:v>
      </x:c>
      <x:c r="F509" s="10" t="str">
        <x:v>P1</x:v>
      </x:c>
      <x:c r="G509" s="9" t="str">
        <x:v>验证公会驳回重申后旧单保持只读</x:v>
      </x:c>
      <x:c r="H509" s="9" t="str">
        <x:v>重新申请的旧单隔离</x:v>
      </x:c>
      <x:c r="I509" s="9" t="str">
        <x:v>1. 执行角色为公会长
2. 已登录目标公会的公会长账号，打开入会申请详情页并完成下列数据和页面状态准备
3. 旧单A已被公会驳回；用户提交新单B待公会审核；当前查看旧单A</x:v>
      </x:c>
      <x:c r="J509" s="9" t="str">
        <x:v>1. 查看入会申请详情页</x:v>
      </x:c>
      <x:c r="K509" s="9" t="str">
        <x:v>旧单A的审核结果只读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来源（当前证据）：liveshow-proto/MainBasis/统一需求文档.md；位置：REQ-291af42ec723；行2833
2. 规则：BR-9cdb3c796ed2dc31
3. 未动态验证</x:v>
      </x:c>
    </x:row>
    <x:row r="510" ht="115" customHeight="1">
      <x:c r="A510" s="10" t="n">
        <x:v>509</x:v>
      </x:c>
      <x:c r="B510" s="10" t="str">
        <x:v>GUILD-02-0162</x:v>
      </x:c>
      <x:c r="C510" s="10" t="str">
        <x:v>主播管理</x:v>
      </x:c>
      <x:c r="D510" s="10" t="str">
        <x:v>入会申请详情（公会长视角）</x:v>
      </x:c>
      <x:c r="E510" s="10" t="str">
        <x:v>逻辑校验</x:v>
      </x:c>
      <x:c r="F510" s="10" t="str">
        <x:v>P1</x:v>
      </x:c>
      <x:c r="G510" s="9" t="str">
        <x:v>验证平台驳回重申后旧单保持只读</x:v>
      </x:c>
      <x:c r="H510" s="9" t="str">
        <x:v>重新申请的旧单隔离</x:v>
      </x:c>
      <x:c r="I510" s="9" t="str">
        <x:v>1. 执行角色为公会长
2. 已登录目标公会的公会长账号，打开入会申请详情页并完成下列数据和页面状态准备
3. 旧单A已被平台驳回；用户提交新单B待公会审核；当前查看旧单A</x:v>
      </x:c>
      <x:c r="J510" s="9" t="str">
        <x:v>1. 查看入会申请详情页</x:v>
      </x:c>
      <x:c r="K510" s="9" t="str">
        <x:v>旧单A的审核结果只读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来源（当前证据）：liveshow-proto/MainBasis/统一需求文档.md；位置：REQ-291af42ec723；行2833
2. 规则：BR-b333b5578b3faa87
3. 未动态验证</x:v>
      </x:c>
    </x:row>
    <x:row r="511" ht="100" customHeight="1">
      <x:c r="A511" s="10" t="n">
        <x:v>510</x:v>
      </x:c>
      <x:c r="B511" s="10" t="str">
        <x:v>GUILD-02-0163</x:v>
      </x:c>
      <x:c r="C511" s="10" t="str">
        <x:v>主播管理</x:v>
      </x:c>
      <x:c r="D511" s="10" t="str">
        <x:v>退会申请详情（公会长视角）</x:v>
      </x:c>
      <x:c r="E511" s="10" t="str">
        <x:v>逻辑校验</x:v>
      </x:c>
      <x:c r="F511" s="10" t="str">
        <x:v>P1</x:v>
      </x:c>
      <x:c r="G511" s="9" t="str">
        <x:v>验证退会详情展示本次终审结果</x:v>
      </x:c>
      <x:c r="H511" s="9" t="str">
        <x:v>退会处理结果回显</x:v>
      </x:c>
      <x:c r="I511" s="9" t="str">
        <x:v>1. 执行角色为公会长
2. 已登录目标公会的公会长账号，打开退会申请详情页并完成下列数据和页面状态准备
3. 当前申请A已于9月16日通过，旧申请B曾被驳回</x:v>
      </x:c>
      <x:c r="J511" s="9" t="str">
        <x:v>1. 查看退会申请详情页</x:v>
      </x:c>
      <x:c r="K511" s="9" t="str">
        <x:v>本次A处理结果显示已通过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来源（当前证据）：liveshow-proto/MainBasis/统一需求文档.md；位置：REQ-d6b381f70c6f；行2871
2. 规则：BR-ee6ce69e30d6b1b0
3. 未动态验证</x:v>
      </x:c>
    </x:row>
    <x:row r="512" ht="115" customHeight="1">
      <x:c r="A512" s="10" t="n">
        <x:v>511</x:v>
      </x:c>
      <x:c r="B512" s="10" t="str">
        <x:v>GUILD-02-0164</x:v>
      </x:c>
      <x:c r="C512" s="10" t="str">
        <x:v>主播管理</x:v>
      </x:c>
      <x:c r="D512" s="10" t="str">
        <x:v>主播数据（公会长视角）</x:v>
      </x:c>
      <x:c r="E512" s="10" t="str">
        <x:v>逻辑校验</x:v>
      </x:c>
      <x:c r="F512" s="10" t="str">
        <x:v>P1</x:v>
      </x:c>
      <x:c r="G512" s="9" t="str">
        <x:v>验证公会通过退会后本公会场次结束</x:v>
      </x:c>
      <x:c r="H512" s="9" t="str">
        <x:v>公会通过退会场次终态</x:v>
      </x:c>
      <x:c r="I512" s="9" t="str">
        <x:v>1. 执行角色为公会长
2. 已登录目标公会的公会长账号，打开退会申请详情页并完成下列数据和页面状态准备
3. 甲当前S1直播；账号与公会均有效，收益已结清；当前操作待确认且未锁定</x:v>
      </x:c>
      <x:c r="J512" s="9" t="str">
        <x:v>1. 查看退会申请详情页
2. 点击通过
3. 点击确认
4. 进入主播数据页
5. 查看甲的在播标记</x:v>
      </x:c>
      <x:c r="K512" s="9" t="str">
        <x:v>甲不再显示直播中标记</x:v>
      </x:c>
      <x:c r="L512" s="10" t="str">
        <x:v>FLOW-289CDBD17D</x:v>
      </x:c>
      <x:c r="M512" s="10" t="str">
        <x:v>未测</x:v>
      </x:c>
      <x:c r="N512" s="10" t="str"/>
      <x:c r="O512" s="9" t="str">
        <x:v>1. 来源（当前证据）：liveshow-proto/MainBasis/统一需求文档.md；位置：REQ-b0f181b59384；行2875、REQ-dd4a60d7c8f3；行2946
2. 规则：BR-725a1e5d5cca3ac0
3. 未动态验证</x:v>
      </x:c>
    </x:row>
    <x:row r="513" ht="115" customHeight="1">
      <x:c r="A513" s="10" t="n">
        <x:v>512</x:v>
      </x:c>
      <x:c r="B513" s="10" t="str">
        <x:v>GUILD-02-0165</x:v>
      </x:c>
      <x:c r="C513" s="10" t="str">
        <x:v>主播管理</x:v>
      </x:c>
      <x:c r="D513" s="10" t="str">
        <x:v>主播数据（公会长视角）</x:v>
      </x:c>
      <x:c r="E513" s="10" t="str">
        <x:v>逻辑校验</x:v>
      </x:c>
      <x:c r="F513" s="10" t="str">
        <x:v>P1</x:v>
      </x:c>
      <x:c r="G513" s="9" t="str">
        <x:v>验证公会移出主播后本公会场次结束</x:v>
      </x:c>
      <x:c r="H513" s="9" t="str">
        <x:v>公会移出主播场次终态</x:v>
      </x:c>
      <x:c r="I513" s="9" t="str">
        <x:v>1. 执行角色为公会长
2. 已登录目标公会的公会长账号，打开主播主页页并完成下列数据和页面状态准备
3. 甲当前S1直播；账号与公会均有效，收益已结清；当前操作待确认且未锁定</x:v>
      </x:c>
      <x:c r="J513" s="9" t="str">
        <x:v>1. 查看主播主页页
2. 点击移出公会
3. 点击确认
4. 进入主播数据页
5. 查看甲的在播标记</x:v>
      </x:c>
      <x:c r="K513" s="9" t="str">
        <x:v>甲不再显示直播中标记</x:v>
      </x:c>
      <x:c r="L513" s="10" t="str">
        <x:v>FLOW-EA7D49B97D</x:v>
      </x:c>
      <x:c r="M513" s="10" t="str">
        <x:v>未测</x:v>
      </x:c>
      <x:c r="N513" s="10" t="str"/>
      <x:c r="O513" s="9" t="str">
        <x:v>1. 来源（当前证据）：liveshow-proto/MainBasis/统一需求文档.md；位置：REQ-e479d67b9151；行3013、REQ-dd4a60d7c8f3；行2946
2. 规则：BR-57960720d77c8275
3. 未动态验证</x:v>
      </x:c>
    </x:row>
    <x:row r="514" ht="115" customHeight="1">
      <x:c r="A514" s="10" t="n">
        <x:v>513</x:v>
      </x:c>
      <x:c r="B514" s="10" t="str">
        <x:v>GUILD-02-0166</x:v>
      </x:c>
      <x:c r="C514" s="10" t="str">
        <x:v>主播管理</x:v>
      </x:c>
      <x:c r="D514" s="10" t="str">
        <x:v>主播数据（公会长视角）</x:v>
      </x:c>
      <x:c r="E514" s="10" t="str">
        <x:v>逻辑校验</x:v>
      </x:c>
      <x:c r="F514" s="10" t="str">
        <x:v>P1</x:v>
      </x:c>
      <x:c r="G514" s="9" t="str">
        <x:v>验证公会关闭直播权限后本公会场次结束</x:v>
      </x:c>
      <x:c r="H514" s="9" t="str">
        <x:v>公会关闭直播权限场次终态</x:v>
      </x:c>
      <x:c r="I514" s="9" t="str">
        <x:v>1. 执行角色为公会长
2. 已登录目标公会的公会长账号，打开主播主页页并完成下列数据和页面状态准备
3. 甲当前S1直播；账号与公会均有效，收益已结清；当前操作待确认且未锁定</x:v>
      </x:c>
      <x:c r="J514" s="9" t="str">
        <x:v>1. 查看主播主页页
2. 禁用直播权限
3. 点击确认
4. 进入主播数据页
5. 查看甲的在播标记</x:v>
      </x:c>
      <x:c r="K514" s="9" t="str">
        <x:v>甲不再显示直播中标记</x:v>
      </x:c>
      <x:c r="L514" s="10" t="str">
        <x:v>FLOW-B994D746A6</x:v>
      </x:c>
      <x:c r="M514" s="10" t="str">
        <x:v>未测</x:v>
      </x:c>
      <x:c r="N514" s="10" t="str"/>
      <x:c r="O514" s="9" t="str">
        <x:v>1. 来源（当前证据）：liveshow-proto/MainBasis/统一需求文档.md；位置：REQ-d7578655d74c；行3011、REQ-dd4a60d7c8f3；行2946
2. 规则：BR-d99305ec8398ec63
3. 未动态验证</x:v>
      </x:c>
    </x:row>
    <x:row r="515" ht="130" customHeight="1">
      <x:c r="A515" s="10" t="n">
        <x:v>514</x:v>
      </x:c>
      <x:c r="B515" s="10" t="str">
        <x:v>GUILD-02-0167</x:v>
      </x:c>
      <x:c r="C515" s="10" t="str">
        <x:v>主播管理</x:v>
      </x:c>
      <x:c r="D515" s="10" t="str">
        <x:v>主播业绩（公会长视角）</x:v>
      </x:c>
      <x:c r="E515" s="10" t="str">
        <x:v>逻辑校验</x:v>
      </x:c>
      <x:c r="F515" s="10" t="str">
        <x:v>P1</x:v>
      </x:c>
      <x:c r="G515" s="9" t="str">
        <x:v>验证移出主播后旧公会收益不继续增加</x:v>
      </x:c>
      <x:c r="H515" s="9" t="str">
        <x:v>移出时点收益归属</x:v>
      </x:c>
      <x:c r="I515" s="9" t="str">
        <x:v>1. 执行角色为公会长
2. 已登录目标公会的公会长账号，打开主播主页页并完成下列数据和页面状态准备
3. 甲9月15日移出前给G001贡献100金币收益，移出后在G002另产生50金币；当前公会G001</x:v>
      </x:c>
      <x:c r="J515" s="9" t="str">
        <x:v>1. 进入主播业绩页
2. 选择日期范围为9月15日
3. 查看甲的收益</x:v>
      </x:c>
      <x:c r="K515" s="9" t="str">
        <x:v>甲在G001本日收益显示100金币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来源（当前证据）：liveshow-proto/MainBasis/统一需求文档.md；位置：REQ-3adcb5adabe3；行2987、REQ-5891c9734594；行2913、REQ-7b9651bd111c；行2917、REQ-0d705a92bb23；行2921、REQ-a6b491d7b1aa；行2923
2. 规则：BR-24b2cad66b4d9ccd
3. 未动态验证</x:v>
      </x:c>
    </x:row>
    <x:row r="516" ht="100" customHeight="1">
      <x:c r="A516" s="10" t="n">
        <x:v>515</x:v>
      </x:c>
      <x:c r="B516" s="10" t="str">
        <x:v>GUILD-02-0168</x:v>
      </x:c>
      <x:c r="C516" s="10" t="str">
        <x:v>主播管理</x:v>
      </x:c>
      <x:c r="D516" s="10" t="str">
        <x:v>主播列表（公会长视角）</x:v>
      </x:c>
      <x:c r="E516" s="10" t="str">
        <x:v>逻辑校验</x:v>
      </x:c>
      <x:c r="F516" s="10" t="str">
        <x:v>P1</x:v>
      </x:c>
      <x:c r="G516" s="9" t="str">
        <x:v>验证已退会状态和主播ID搜索取交集</x:v>
      </x:c>
      <x:c r="H516" s="9" t="str">
        <x:v>成员状态与ID联合筛选</x:v>
      </x:c>
      <x:c r="I516" s="9" t="str">
        <x:v>1. 执行角色为公会长
2. 已登录目标公会的公会长账号，打开主播列表页并完成下列数据和页面状态准备
3. 已退会甲ID1001、在会乙ID1002；当前选择已退会</x:v>
      </x:c>
      <x:c r="J516" s="9" t="str">
        <x:v>1. 查看主播列表页
2. 填写搜索框为100</x:v>
      </x:c>
      <x:c r="K516" s="9" t="str">
        <x:v>结果只包含甲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来源（当前证据）：liveshow-proto/MainBasis/统一需求文档.md；位置：REQ-946b654076e0；行2888
2. 规则：BR-35fbe10559793bf0
3. 未动态验证</x:v>
      </x:c>
    </x:row>
    <x:row r="517" ht="100" customHeight="1">
      <x:c r="A517" s="10" t="n">
        <x:v>516</x:v>
      </x:c>
      <x:c r="B517" s="10" t="str">
        <x:v>GUILD-02-0169</x:v>
      </x:c>
      <x:c r="C517" s="10" t="str">
        <x:v>主播管理</x:v>
      </x:c>
      <x:c r="D517" s="10" t="str">
        <x:v>主播业绩（公会长视角）</x:v>
      </x:c>
      <x:c r="E517" s="10" t="str">
        <x:v>逻辑校验</x:v>
      </x:c>
      <x:c r="F517" s="10" t="str">
        <x:v>P1</x:v>
      </x:c>
      <x:c r="G517" s="9" t="str">
        <x:v>验证切换日期更新主播业绩列表</x:v>
      </x:c>
      <x:c r="H517" s="9" t="str">
        <x:v>业绩日期变更列表内容</x:v>
      </x:c>
      <x:c r="I517" s="9" t="str">
        <x:v>1. 执行角色为公会长
2. 已登录目标公会的公会长账号，打开主播业绩页并完成下列数据和页面状态准备
3. 9月14日仅甲有业绩、15日仅乙有业绩；当前选择14日</x:v>
      </x:c>
      <x:c r="J517" s="9" t="str">
        <x:v>1. 查看主播业绩页
2. 选择日期范围为9月15日</x:v>
      </x:c>
      <x:c r="K517" s="9" t="str">
        <x:v>列表按15日业绩显示乙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来源（当前证据）：liveshow-proto/MainBasis/统一需求文档.md；位置：REQ-8c9d20b12f67；行2933
2. 规则：BR-6ecf032cb7b9f881
3. 未动态验证</x:v>
      </x:c>
    </x:row>
    <x:row r="518" ht="100" customHeight="1">
      <x:c r="A518" s="10" t="n">
        <x:v>517</x:v>
      </x:c>
      <x:c r="B518" s="10" t="str">
        <x:v>GUILD-02-0170</x:v>
      </x:c>
      <x:c r="C518" s="10" t="str">
        <x:v>主播管理</x:v>
      </x:c>
      <x:c r="D518" s="10" t="str">
        <x:v>主播主页（公会长视角）</x:v>
      </x:c>
      <x:c r="E518" s="10" t="str">
        <x:v>功能需求</x:v>
      </x:c>
      <x:c r="F518" s="10" t="str">
        <x:v>P2</x:v>
      </x:c>
      <x:c r="G518" s="9" t="str">
        <x:v>验证主播历史申请显示各自提交时点</x:v>
      </x:c>
      <x:c r="H518" s="9" t="str">
        <x:v>申请历史提交时间</x:v>
      </x:c>
      <x:c r="I518" s="9" t="str">
        <x:v>1. 执行角色为公会长
2. 已登录目标公会的公会长账号，打开主播主页页并完成下列数据和页面状态准备
3. 入会单A9月14日10:00提交、9月15日处理</x:v>
      </x:c>
      <x:c r="J518" s="9" t="str">
        <x:v>1. 查看主播主页页</x:v>
      </x:c>
      <x:c r="K518" s="9" t="str">
        <x:v>A申请时间对应9月14日10:00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来源（当前证据）：liveshow-proto/MainBasis/统一需求文档.md；位置：REQ-1a81bbf86bd2；行2991
2. 规则：BR-70a040bb16874a72
3. 未动态验证</x:v>
      </x:c>
    </x:row>
    <x:row r="519" ht="100" customHeight="1">
      <x:c r="A519" s="10" t="n">
        <x:v>518</x:v>
      </x:c>
      <x:c r="B519" s="10" t="str">
        <x:v>GUILD-02-0171</x:v>
      </x:c>
      <x:c r="C519" s="10" t="str">
        <x:v>主播管理</x:v>
      </x:c>
      <x:c r="D519" s="10" t="str">
        <x:v>主播主页（公会长视角）</x:v>
      </x:c>
      <x:c r="E519" s="10" t="str">
        <x:v>功能需求</x:v>
      </x:c>
      <x:c r="F519" s="10" t="str">
        <x:v>P2</x:v>
      </x:c>
      <x:c r="G519" s="9" t="str">
        <x:v>验证主播资料点击本人照片放大</x:v>
      </x:c>
      <x:c r="H519" s="9" t="str">
        <x:v>主播认证本人照片大图</x:v>
      </x:c>
      <x:c r="I519" s="9" t="str">
        <x:v>1. 执行角色为公会长
2. 已登录目标公会的公会长账号，打开主播主页页并完成下列数据和页面状态准备
3. 甲认证资料中本人照片为图片A</x:v>
      </x:c>
      <x:c r="J519" s="9" t="str">
        <x:v>1. 查看主播主页页
2. 点击本人照片</x:v>
      </x:c>
      <x:c r="K519" s="9" t="str">
        <x:v>打开图片A的大图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来源（当前证据）：liveshow-proto/MainBasis/统一需求文档.md；位置：REQ-49bae997141c；行3015
2. 规则：BR-d30238ef7d173ea8
3. 未动态验证</x:v>
      </x:c>
    </x:row>
    <x:row r="520" ht="100" customHeight="1">
      <x:c r="A520" s="10" t="n">
        <x:v>519</x:v>
      </x:c>
      <x:c r="B520" s="10" t="str">
        <x:v>GUILD-02-0172</x:v>
      </x:c>
      <x:c r="C520" s="10" t="str">
        <x:v>主播管理</x:v>
      </x:c>
      <x:c r="D520" s="10" t="str">
        <x:v>主播主页（公会长视角）</x:v>
      </x:c>
      <x:c r="E520" s="10" t="str">
        <x:v>功能需求</x:v>
      </x:c>
      <x:c r="F520" s="10" t="str">
        <x:v>P2</x:v>
      </x:c>
      <x:c r="G520" s="9" t="str">
        <x:v>验证主播资料点击证件正面放大</x:v>
      </x:c>
      <x:c r="H520" s="9" t="str">
        <x:v>主播认证证件正面大图</x:v>
      </x:c>
      <x:c r="I520" s="9" t="str">
        <x:v>1. 执行角色为公会长
2. 已登录目标公会的公会长账号，打开主播主页页并完成下列数据和页面状态准备
3. 甲认证资料中证件正面为图片A</x:v>
      </x:c>
      <x:c r="J520" s="9" t="str">
        <x:v>1. 查看主播主页页
2. 点击证件正面</x:v>
      </x:c>
      <x:c r="K520" s="9" t="str">
        <x:v>打开图片A的大图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来源（当前证据）：liveshow-proto/MainBasis/统一需求文档.md；位置：REQ-49bae997141c；行3015
2. 规则：BR-5de11558fd8eb25b
3. 未动态验证</x:v>
      </x:c>
    </x:row>
    <x:row r="521" ht="100" customHeight="1">
      <x:c r="A521" s="10" t="n">
        <x:v>520</x:v>
      </x:c>
      <x:c r="B521" s="10" t="str">
        <x:v>GUILD-02-0173</x:v>
      </x:c>
      <x:c r="C521" s="10" t="str">
        <x:v>主播管理</x:v>
      </x:c>
      <x:c r="D521" s="10" t="str">
        <x:v>主播主页（公会长视角）</x:v>
      </x:c>
      <x:c r="E521" s="10" t="str">
        <x:v>功能需求</x:v>
      </x:c>
      <x:c r="F521" s="10" t="str">
        <x:v>P2</x:v>
      </x:c>
      <x:c r="G521" s="9" t="str">
        <x:v>验证主播资料点击证件反面放大</x:v>
      </x:c>
      <x:c r="H521" s="9" t="str">
        <x:v>主播认证证件反面大图</x:v>
      </x:c>
      <x:c r="I521" s="9" t="str">
        <x:v>1. 执行角色为公会长
2. 已登录目标公会的公会长账号，打开主播主页页并完成下列数据和页面状态准备
3. 甲认证资料中证件反面为图片A</x:v>
      </x:c>
      <x:c r="J521" s="9" t="str">
        <x:v>1. 查看主播主页页
2. 点击证件反面</x:v>
      </x:c>
      <x:c r="K521" s="9" t="str">
        <x:v>打开图片A的大图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来源（当前证据）：liveshow-proto/MainBasis/统一需求文档.md；位置：REQ-49bae997141c；行3015
2. 规则：BR-bd34fdb1c23c3477
3. 未动态验证</x:v>
      </x:c>
    </x:row>
    <x:row r="522" ht="100" customHeight="1">
      <x:c r="A522" s="10" t="n">
        <x:v>521</x:v>
      </x:c>
      <x:c r="B522" s="10" t="str">
        <x:v>GUILD-02-0174</x:v>
      </x:c>
      <x:c r="C522" s="10" t="str">
        <x:v>主播管理</x:v>
      </x:c>
      <x:c r="D522" s="10" t="str">
        <x:v>主播主页（公会长视角）</x:v>
      </x:c>
      <x:c r="E522" s="10" t="str">
        <x:v>逻辑校验</x:v>
      </x:c>
      <x:c r="F522" s="10" t="str">
        <x:v>P1</x:v>
      </x:c>
      <x:c r="G522" s="9" t="str">
        <x:v>验证移出主播前显示确认弹窗</x:v>
      </x:c>
      <x:c r="H522" s="9" t="str">
        <x:v>移出主播二次确认</x:v>
      </x:c>
      <x:c r="I522" s="9" t="str">
        <x:v>1. 执行角色为公会长
2. 已登录目标公会的公会长账号，打开主播主页页并完成下列数据和页面状态准备
3. 甲仍在会且收益已结清；公会有管理权限</x:v>
      </x:c>
      <x:c r="J522" s="9" t="str">
        <x:v>1. 查看主播主页页
2. 点击移出公会</x:v>
      </x:c>
      <x:c r="K522" s="9" t="str">
        <x:v>显示移出公会确认弹窗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来源（当前证据）：liveshow-proto/MainBasis/统一需求文档.md；位置：REQ-49bae997141c；行3015
2. 规则：BR-98eee44f49118f5d
3. 未动态验证</x:v>
      </x:c>
    </x:row>
    <x:row r="523" ht="100" customHeight="1">
      <x:c r="A523" s="10" t="n">
        <x:v>522</x:v>
      </x:c>
      <x:c r="B523" s="10" t="str">
        <x:v>GUILD-03-0116</x:v>
      </x:c>
      <x:c r="C523" s="10" t="str">
        <x:v>运营工具</x:v>
      </x:c>
      <x:c r="D523" s="10" t="str">
        <x:v>运营消息（公会长视角）</x:v>
      </x:c>
      <x:c r="E523" s="10" t="str">
        <x:v>功能需求</x:v>
      </x:c>
      <x:c r="F523" s="10" t="str">
        <x:v>P2</x:v>
      </x:c>
      <x:c r="G523" s="9" t="str">
        <x:v>验证公会群发列表显示全体主播范围</x:v>
      </x:c>
      <x:c r="H523" s="9" t="str">
        <x:v>运营消息全体接收范围</x:v>
      </x:c>
      <x:c r="I523" s="9" t="str">
        <x:v>1. 执行角色为公会长
2. 已登录目标公会的公会长账号，打开运营消息页并完成下列数据和页面状态准备
3. 消息N发送时选择全体主播，实际3名接收人</x:v>
      </x:c>
      <x:c r="J523" s="9" t="str">
        <x:v>1. 查看运营消息页</x:v>
      </x:c>
      <x:c r="K523" s="9" t="str">
        <x:v>N发送对象显示全体主播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来源（当前证据）：liveshow-proto/MainBasis/统一需求文档.md；位置：REQ-c8958e03713f；行3028
2. 规则：BR-298f492d0c0fb9e7
3. 未动态验证</x:v>
      </x:c>
    </x:row>
    <x:row r="524" ht="100" customHeight="1">
      <x:c r="A524" s="10" t="n">
        <x:v>523</x:v>
      </x:c>
      <x:c r="B524" s="10" t="str">
        <x:v>GUILD-03-0117</x:v>
      </x:c>
      <x:c r="C524" s="10" t="str">
        <x:v>运营工具</x:v>
      </x:c>
      <x:c r="D524" s="10" t="str">
        <x:v>新建运营消息（公会长视角）</x:v>
      </x:c>
      <x:c r="E524" s="10" t="str">
        <x:v>逻辑校验</x:v>
      </x:c>
      <x:c r="F524" s="10" t="str">
        <x:v>P1</x:v>
      </x:c>
      <x:c r="G524" s="9" t="str">
        <x:v>验证单选主播完成后回填消息对象</x:v>
      </x:c>
      <x:c r="H524" s="9" t="str">
        <x:v>运营消息单选回填</x:v>
      </x:c>
      <x:c r="I524" s="9" t="str">
        <x:v>1. 执行角色为公会长
2. 已登录目标公会的公会长账号，打开选择主播页并完成下列数据和页面状态准备
3. 由指定主播消息页进入，甲H001和乙H002可选</x:v>
      </x:c>
      <x:c r="J524" s="9" t="str">
        <x:v>1. 查看选择主播页
2. 选择主播甲
3. 点击完成</x:v>
      </x:c>
      <x:c r="K524" s="9" t="str">
        <x:v>消息接收对象显示甲H001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来源（当前证据）：liveshow-proto/MainBasis/统一需求文档.md；位置：REQ-3711cde5fe62；行3064、REQ-290b9184d089；行3043
2. 规则：BR-a98e443f1ce5bc90
3. 未动态验证</x:v>
      </x:c>
    </x:row>
    <x:row r="525" ht="100" customHeight="1">
      <x:c r="A525" s="10" t="n">
        <x:v>524</x:v>
      </x:c>
      <x:c r="B525" s="10" t="str">
        <x:v>GUILD-03-0118</x:v>
      </x:c>
      <x:c r="C525" s="10" t="str">
        <x:v>运营工具</x:v>
      </x:c>
      <x:c r="D525" s="10" t="str">
        <x:v>消息详情（公会长视角）</x:v>
      </x:c>
      <x:c r="E525" s="10" t="str">
        <x:v>逻辑校验</x:v>
      </x:c>
      <x:c r="F525" s="10" t="str">
        <x:v>P1</x:v>
      </x:c>
      <x:c r="G525" s="9" t="str">
        <x:v>验证确认发送后消息正文形成快照</x:v>
      </x:c>
      <x:c r="H525" s="9" t="str">
        <x:v>发送确认时正文保存</x:v>
      </x:c>
      <x:c r="I525" s="9" t="str">
        <x:v>1. 执行角色为公会长
2. 已登录目标公会的公会长账号，打开新建运营消息页并完成下列数据和页面状态准备
3. 指定接收人甲，输入正文QA通知，尚未发送</x:v>
      </x:c>
      <x:c r="J525" s="9" t="str">
        <x:v>1. 查看新建运营消息页
2. 点击发送
3. 点击确认
4. 进入消息详情页</x:v>
      </x:c>
      <x:c r="K525" s="9" t="str">
        <x:v>本次消息详情正文显示QA通知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来源（当前证据）：liveshow-proto/MainBasis/统一需求文档.md；位置：REQ-8eb222b06950；行3049、REQ-a4835c8a89b4；行3079
2. 规则：BR-26eff3908a9a6f10
3. 未动态验证</x:v>
      </x:c>
    </x:row>
    <x:row r="526" ht="100" customHeight="1">
      <x:c r="A526" s="10" t="n">
        <x:v>525</x:v>
      </x:c>
      <x:c r="B526" s="10" t="str">
        <x:v>GUILD-03-0119</x:v>
      </x:c>
      <x:c r="C526" s="10" t="str">
        <x:v>运营工具</x:v>
      </x:c>
      <x:c r="D526" s="10" t="str">
        <x:v>消息详情（公会长视角）</x:v>
      </x:c>
      <x:c r="E526" s="10" t="str">
        <x:v>逻辑校验</x:v>
      </x:c>
      <x:c r="F526" s="10" t="str">
        <x:v>P1</x:v>
      </x:c>
      <x:c r="G526" s="9" t="str">
        <x:v>验证指定消息详情只含实际接收人</x:v>
      </x:c>
      <x:c r="H526" s="9" t="str">
        <x:v>单发消息接收快照</x:v>
      </x:c>
      <x:c r="I526" s="9" t="str">
        <x:v>1. 执行角色为公会长
2. 已登录目标公会的公会长账号，打开消息详情页并完成下列数据和页面状态准备
3. N发送时仅选择甲，公会另有乙丙</x:v>
      </x:c>
      <x:c r="J526" s="9" t="str">
        <x:v>1. 查看消息详情页</x:v>
      </x:c>
      <x:c r="K526" s="9" t="str">
        <x:v>N实际接收人数显示1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来源（当前证据）：liveshow-proto/MainBasis/统一需求文档.md；位置：REQ-bea99a86a3b3；行3071
2. 规则：BR-8b848ecc7072e8a0
3. 未动态验证</x:v>
      </x:c>
    </x:row>
    <x:row r="527" ht="100" customHeight="1">
      <x:c r="A527" s="10" t="n">
        <x:v>526</x:v>
      </x:c>
      <x:c r="B527" s="10" t="str">
        <x:v>GUILD-03-0120</x:v>
      </x:c>
      <x:c r="C527" s="10" t="str">
        <x:v>运营工具</x:v>
      </x:c>
      <x:c r="D527" s="10" t="str">
        <x:v>运营账号主页（公会长视角）</x:v>
      </x:c>
      <x:c r="E527" s="10" t="str">
        <x:v>逻辑校验</x:v>
      </x:c>
      <x:c r="F527" s="10" t="str">
        <x:v>P1</x:v>
      </x:c>
      <x:c r="G527" s="9" t="str">
        <x:v>验证公会禁用账号后状态变更</x:v>
      </x:c>
      <x:c r="H527" s="9" t="str">
        <x:v>运营禁用状态回显</x:v>
      </x:c>
      <x:c r="I527" s="9" t="str">
        <x:v>1. 执行角色为公会长
2. 已登录目标公会的公会长账号，打开运营账号主页页并完成下列数据和页面状态准备
3. O001启用且平台未锁定公会管理权限</x:v>
      </x:c>
      <x:c r="J527" s="9" t="str">
        <x:v>1. 查看运营账号主页页
2. 禁用账号状态开关</x:v>
      </x:c>
      <x:c r="K527" s="9" t="str">
        <x:v>账号状态显示禁用</x:v>
      </x:c>
      <x:c r="L527" s="10" t="str">
        <x:v>FLOW-9DD46CA244</x:v>
      </x:c>
      <x:c r="M527" s="10" t="str">
        <x:v>未测</x:v>
      </x:c>
      <x:c r="N527" s="10" t="str"/>
      <x:c r="O527" s="9" t="str">
        <x:v>1. 来源（当前证据）：liveshow-proto/MainBasis/统一需求文档.md；位置：REQ-d4d0020a6fb9；行3151
2. 规则：BR-74fddfdacd085fd8
3. 未动态验证</x:v>
      </x:c>
    </x:row>
    <x:row r="528" ht="100" customHeight="1">
      <x:c r="A528" s="10" t="n">
        <x:v>527</x:v>
      </x:c>
      <x:c r="B528" s="10" t="str">
        <x:v>GUILD-03-0121</x:v>
      </x:c>
      <x:c r="C528" s="10" t="str">
        <x:v>运营工具</x:v>
      </x:c>
      <x:c r="D528" s="10" t="str">
        <x:v>送礼记录（公会长视角）</x:v>
      </x:c>
      <x:c r="E528" s="10" t="str">
        <x:v>逻辑校验</x:v>
      </x:c>
      <x:c r="F528" s="10" t="str">
        <x:v>P1</x:v>
      </x:c>
      <x:c r="G528" s="9" t="str">
        <x:v>验证禁用运营账号后保留消费记录</x:v>
      </x:c>
      <x:c r="H528" s="9" t="str">
        <x:v>运营停用历史保留</x:v>
      </x:c>
      <x:c r="I528" s="9" t="str">
        <x:v>1. 执行角色为公会长
2. 已登录目标公会的公会长账号，打开运营账号主页页并完成下列数据和页面状态准备
3. O001原有9月15日100金币成功赠礼记录R1，刚被禁用</x:v>
      </x:c>
      <x:c r="J528" s="9" t="str">
        <x:v>1. 查看运营账号主页页
2. 选择日期范围为9月15日
3. 点击9月15日消费</x:v>
      </x:c>
      <x:c r="K528" s="9" t="str">
        <x:v>送礼记录仍包含R1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来源（当前证据）：liveshow-proto/MainBasis/统一需求文档.md；位置：REQ-6c9432dc3f2d；行3165、REQ-bcb12c6e3d70；行3176
2. 规则：BR-746905db1e5fca23
3. 未动态验证</x:v>
      </x:c>
    </x:row>
    <x:row r="529" ht="115" customHeight="1">
      <x:c r="A529" s="10" t="n">
        <x:v>528</x:v>
      </x:c>
      <x:c r="B529" s="10" t="str">
        <x:v>GUILD-03-0122</x:v>
      </x:c>
      <x:c r="C529" s="10" t="str">
        <x:v>运营工具</x:v>
      </x:c>
      <x:c r="D529" s="10" t="str">
        <x:v>运营账号主页（公会长视角）</x:v>
      </x:c>
      <x:c r="E529" s="10" t="str">
        <x:v>逻辑校验</x:v>
      </x:c>
      <x:c r="F529" s="10" t="str">
        <x:v>P1</x:v>
      </x:c>
      <x:c r="G529" s="9" t="str">
        <x:v>验证账号剩余50公会剩余100发放51</x:v>
      </x:c>
      <x:c r="H529" s="9" t="str">
        <x:v>本次发放双额度边界</x:v>
      </x:c>
      <x:c r="I529" s="9" t="str">
        <x:v>1. 执行角色为公会长
2. 已登录目标公会的公会长账号，打开运营账号主页页并完成下列数据和页面状态准备
3. 账号剩余50、公会剩余100金币，账号原余额100且管理权限有效</x:v>
      </x:c>
      <x:c r="J529" s="9" t="str">
        <x:v>1. 查看运营账号主页页
2. 填写发放数量为51
3. 点击发放金币</x:v>
      </x:c>
      <x:c r="K529" s="9" t="str">
        <x:v>不能完成超额发放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来源（当前证据）：liveshow-proto/MainBasis/统一需求文档.md；位置：REQ-679e814edf80；行3153
2. 规则：BR-95c74052a6ab99b9
3. 未动态验证</x:v>
      </x:c>
    </x:row>
    <x:row r="530" ht="115" customHeight="1">
      <x:c r="A530" s="10" t="n">
        <x:v>529</x:v>
      </x:c>
      <x:c r="B530" s="10" t="str">
        <x:v>GUILD-03-0123</x:v>
      </x:c>
      <x:c r="C530" s="10" t="str">
        <x:v>运营工具</x:v>
      </x:c>
      <x:c r="D530" s="10" t="str">
        <x:v>运营账号主页（公会长视角）</x:v>
      </x:c>
      <x:c r="E530" s="10" t="str">
        <x:v>逻辑校验</x:v>
      </x:c>
      <x:c r="F530" s="10" t="str">
        <x:v>P1</x:v>
      </x:c>
      <x:c r="G530" s="9" t="str">
        <x:v>验证账号剩余100公会剩余50发放51</x:v>
      </x:c>
      <x:c r="H530" s="9" t="str">
        <x:v>本次发放双额度边界</x:v>
      </x:c>
      <x:c r="I530" s="9" t="str">
        <x:v>1. 执行角色为公会长
2. 已登录目标公会的公会长账号，打开运营账号主页页并完成下列数据和页面状态准备
3. 账号剩余100、公会剩余50金币，账号原余额100且管理权限有效</x:v>
      </x:c>
      <x:c r="J530" s="9" t="str">
        <x:v>1. 查看运营账号主页页
2. 填写发放数量为51
3. 点击发放金币</x:v>
      </x:c>
      <x:c r="K530" s="9" t="str">
        <x:v>不能完成超额发放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来源（当前证据）：liveshow-proto/MainBasis/统一需求文档.md；位置：REQ-679e814edf80；行3153
2. 规则：BR-f7fd753599ce110b
3. 未动态验证</x:v>
      </x:c>
    </x:row>
    <x:row r="531" ht="115" customHeight="1">
      <x:c r="A531" s="10" t="n">
        <x:v>530</x:v>
      </x:c>
      <x:c r="B531" s="10" t="str">
        <x:v>GUILD-03-0124</x:v>
      </x:c>
      <x:c r="C531" s="10" t="str">
        <x:v>运营工具</x:v>
      </x:c>
      <x:c r="D531" s="10" t="str">
        <x:v>运营账号主页（公会长视角）</x:v>
      </x:c>
      <x:c r="E531" s="10" t="str">
        <x:v>逻辑校验</x:v>
      </x:c>
      <x:c r="F531" s="10" t="str">
        <x:v>P1</x:v>
      </x:c>
      <x:c r="G531" s="9" t="str">
        <x:v>验证账号剩余50公会剩余100发放50</x:v>
      </x:c>
      <x:c r="H531" s="9" t="str">
        <x:v>本次发放双额度边界</x:v>
      </x:c>
      <x:c r="I531" s="9" t="str">
        <x:v>1. 执行角色为公会长
2. 已登录目标公会的公会长账号，打开运营账号主页页并完成下列数据和页面状态准备
3. 账号剩余50、公会剩余100金币，账号原余额100且管理权限有效</x:v>
      </x:c>
      <x:c r="J531" s="9" t="str">
        <x:v>1. 查看运营账号主页页
2. 填写发放数量为50
3. 点击发放金币</x:v>
      </x:c>
      <x:c r="K531" s="9" t="str">
        <x:v>账户余额显示150金币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来源（当前证据）：liveshow-proto/MainBasis/统一需求文档.md；位置：REQ-679e814edf80；行3153
2. 规则：BR-938e9c58517cc195
3. 未动态验证</x:v>
      </x:c>
    </x:row>
    <x:row r="532" ht="115" customHeight="1">
      <x:c r="A532" s="10" t="n">
        <x:v>531</x:v>
      </x:c>
      <x:c r="B532" s="10" t="str">
        <x:v>GUILD-03-0125</x:v>
      </x:c>
      <x:c r="C532" s="10" t="str">
        <x:v>运营工具</x:v>
      </x:c>
      <x:c r="D532" s="10" t="str">
        <x:v>运营账号主页（公会长视角）</x:v>
      </x:c>
      <x:c r="E532" s="10" t="str">
        <x:v>逻辑校验</x:v>
      </x:c>
      <x:c r="F532" s="10" t="str">
        <x:v>P1</x:v>
      </x:c>
      <x:c r="G532" s="9" t="str">
        <x:v>验证账号剩余100公会剩余50发放50</x:v>
      </x:c>
      <x:c r="H532" s="9" t="str">
        <x:v>本次发放双额度边界</x:v>
      </x:c>
      <x:c r="I532" s="9" t="str">
        <x:v>1. 执行角色为公会长
2. 已登录目标公会的公会长账号，打开运营账号主页页并完成下列数据和页面状态准备
3. 账号剩余100、公会剩余50金币，账号原余额100且管理权限有效</x:v>
      </x:c>
      <x:c r="J532" s="9" t="str">
        <x:v>1. 查看运营账号主页页
2. 填写发放数量为50
3. 点击发放金币</x:v>
      </x:c>
      <x:c r="K532" s="9" t="str">
        <x:v>账户余额显示150金币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来源（当前证据）：liveshow-proto/MainBasis/统一需求文档.md；位置：REQ-679e814edf80；行3153
2. 规则：BR-2a3267ebd4ed9a75
3. 未动态验证</x:v>
      </x:c>
    </x:row>
    <x:row r="533" ht="100" customHeight="1">
      <x:c r="A533" s="10" t="n">
        <x:v>532</x:v>
      </x:c>
      <x:c r="B533" s="10" t="str">
        <x:v>GUILD-03-0126</x:v>
      </x:c>
      <x:c r="C533" s="10" t="str">
        <x:v>运营工具</x:v>
      </x:c>
      <x:c r="D533" s="10" t="str">
        <x:v>送礼记录（公会长视角）</x:v>
      </x:c>
      <x:c r="E533" s="10" t="str">
        <x:v>功能需求</x:v>
      </x:c>
      <x:c r="F533" s="10" t="str">
        <x:v>P2</x:v>
      </x:c>
      <x:c r="G533" s="9" t="str">
        <x:v>验证运营送礼明细核对礼物名称</x:v>
      </x:c>
      <x:c r="H533" s="9" t="str">
        <x:v>虚拟赠礼礼物名称</x:v>
      </x:c>
      <x:c r="I533" s="9" t="str">
        <x:v>1. 执行角色为公会长
2. 已登录目标公会的公会长账号，打开送礼记录页并完成下列数据和页面状态准备
3. R1为运营账号向QA甲H001成功赠送普通礼物QA玫瑰</x:v>
      </x:c>
      <x:c r="J533" s="9" t="str">
        <x:v>1. 查看送礼记录页
2. 点击R1</x:v>
      </x:c>
      <x:c r="K533" s="9" t="str">
        <x:v>礼物名称显示QA玫瑰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来源（当前证据）：liveshow-proto/MainBasis/统一需求文档.md；位置：REQ-bcb12c6e3d70；行3176
2. 规则：BR-684b9d81a58ac8f8
3. 未动态验证</x:v>
      </x:c>
    </x:row>
    <x:row r="534" ht="100" customHeight="1">
      <x:c r="A534" s="10" t="n">
        <x:v>533</x:v>
      </x:c>
      <x:c r="B534" s="10" t="str">
        <x:v>GUILD-03-0127</x:v>
      </x:c>
      <x:c r="C534" s="10" t="str">
        <x:v>运营工具</x:v>
      </x:c>
      <x:c r="D534" s="10" t="str">
        <x:v>送礼记录（公会长视角）</x:v>
      </x:c>
      <x:c r="E534" s="10" t="str">
        <x:v>功能需求</x:v>
      </x:c>
      <x:c r="F534" s="10" t="str">
        <x:v>P2</x:v>
      </x:c>
      <x:c r="G534" s="9" t="str">
        <x:v>验证运营送礼明细核对主播名称</x:v>
      </x:c>
      <x:c r="H534" s="9" t="str">
        <x:v>虚拟赠礼主播名称</x:v>
      </x:c>
      <x:c r="I534" s="9" t="str">
        <x:v>1. 执行角色为公会长
2. 已登录目标公会的公会长账号，打开送礼记录页并完成下列数据和页面状态准备
3. R1为运营账号向QA甲H001成功赠送普通礼物QA玫瑰</x:v>
      </x:c>
      <x:c r="J534" s="9" t="str">
        <x:v>1. 查看送礼记录页
2. 点击R1</x:v>
      </x:c>
      <x:c r="K534" s="9" t="str">
        <x:v>接收主播名称显示QA甲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来源（当前证据）：liveshow-proto/MainBasis/统一需求文档.md；位置：REQ-43f811c0f6ae；行3192
2. 规则：BR-51d7abf558fa38ec
3. 未动态验证</x:v>
      </x:c>
    </x:row>
    <x:row r="535" ht="100" customHeight="1">
      <x:c r="A535" s="10" t="n">
        <x:v>534</x:v>
      </x:c>
      <x:c r="B535" s="10" t="str">
        <x:v>GUILD-03-0128</x:v>
      </x:c>
      <x:c r="C535" s="10" t="str">
        <x:v>运营工具</x:v>
      </x:c>
      <x:c r="D535" s="10" t="str">
        <x:v>送礼记录（公会长视角）</x:v>
      </x:c>
      <x:c r="E535" s="10" t="str">
        <x:v>功能需求</x:v>
      </x:c>
      <x:c r="F535" s="10" t="str">
        <x:v>P2</x:v>
      </x:c>
      <x:c r="G535" s="9" t="str">
        <x:v>验证运营送礼明细核对普通类型</x:v>
      </x:c>
      <x:c r="H535" s="9" t="str">
        <x:v>虚拟赠礼普通类型</x:v>
      </x:c>
      <x:c r="I535" s="9" t="str">
        <x:v>1. 执行角色为公会长
2. 已登录目标公会的公会长账号，打开送礼记录页并完成下列数据和页面状态准备
3. R1为运营账号向QA甲H001成功赠送普通礼物QA玫瑰</x:v>
      </x:c>
      <x:c r="J535" s="9" t="str">
        <x:v>1. 查看送礼记录页
2. 点击R1</x:v>
      </x:c>
      <x:c r="K535" s="9" t="str">
        <x:v>礼物类型显示普通礼物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来源（当前证据）：liveshow-proto/MainBasis/统一需求文档.md；位置：REQ-36de063203a5；行3188
2. 规则：BR-87ace767f49a8325
3. 未动态验证</x:v>
      </x:c>
    </x:row>
    <x:row r="536" ht="100" customHeight="1">
      <x:c r="A536" s="10" t="n">
        <x:v>535</x:v>
      </x:c>
      <x:c r="B536" s="10" t="str">
        <x:v>GUILD-03-0129</x:v>
      </x:c>
      <x:c r="C536" s="10" t="str">
        <x:v>运营工具</x:v>
      </x:c>
      <x:c r="D536" s="10" t="str">
        <x:v>选择运营账号（多选）（公会长视角）</x:v>
      </x:c>
      <x:c r="E536" s="10" t="str">
        <x:v>逻辑校验</x:v>
      </x:c>
      <x:c r="F536" s="10" t="str">
        <x:v>P1</x:v>
      </x:c>
      <x:c r="G536" s="9" t="str">
        <x:v>验证运营账号多选取消全选</x:v>
      </x:c>
      <x:c r="H536" s="9" t="str">
        <x:v>账号选择全部清空</x:v>
      </x:c>
      <x:c r="I536" s="9" t="str">
        <x:v>1. 执行角色为公会长
2. 已登录目标公会的公会长账号，打开选择运营账号（多选）页并完成下列数据和页面状态准备
3. 甲乙丙均已选中</x:v>
      </x:c>
      <x:c r="J536" s="9" t="str">
        <x:v>1. 查看选择运营账号（多选）页
2. 点击取消全选</x:v>
      </x:c>
      <x:c r="K536" s="9" t="str">
        <x:v>已选数量显示0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来源（当前证据）：liveshow-proto/MainBasis/统一需求文档.md；位置：REQ-ec36dd70dcff；行3215
2. 规则：BR-2b631d4b517bba76
3. 未动态验证</x:v>
      </x:c>
    </x:row>
    <x:row r="537" ht="100" customHeight="1">
      <x:c r="A537" s="10" t="n">
        <x:v>536</x:v>
      </x:c>
      <x:c r="B537" s="10" t="str">
        <x:v>GUILD-04-0035</x:v>
      </x:c>
      <x:c r="C537" s="10" t="str">
        <x:v>公会管理</x:v>
      </x:c>
      <x:c r="D537" s="10" t="str">
        <x:v>公会资料（公会长视角）</x:v>
      </x:c>
      <x:c r="E537" s="10" t="str">
        <x:v>逻辑校验</x:v>
      </x:c>
      <x:c r="F537" s="10" t="str">
        <x:v>P1</x:v>
      </x:c>
      <x:c r="G537" s="9" t="str">
        <x:v>验证修改公会名称保留公会 ID</x:v>
      </x:c>
      <x:c r="H537" s="9" t="str">
        <x:v>公会资料保存公会 ID保持</x:v>
      </x:c>
      <x:c r="I537" s="9" t="str">
        <x:v>1. 执行角色为公会长
2. 已登录目标公会的公会长账号，打开公会资料页并完成下列数据和页面状态准备
3. 当前公会G001名称旧名、有效成员甲乙</x:v>
      </x:c>
      <x:c r="J537" s="9" t="str">
        <x:v>1. 查看公会资料页
2. 填写公会名称为QA新名
3. 点击保存</x:v>
      </x:c>
      <x:c r="K537" s="9" t="str">
        <x:v>公会ID保持G001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来源（当前证据）：liveshow-proto/MainBasis/统一需求文档.md；位置：REQ-70ec7b1e0c3d；行3228
2. 规则：BR-cd9becd57d5e08e9
3. 未动态验证</x:v>
      </x:c>
    </x:row>
    <x:row r="538" ht="100" customHeight="1">
      <x:c r="A538" s="10" t="n">
        <x:v>537</x:v>
      </x:c>
      <x:c r="B538" s="10" t="str">
        <x:v>GUILD-02-0175</x:v>
      </x:c>
      <x:c r="C538" s="10" t="str">
        <x:v>主播管理</x:v>
      </x:c>
      <x:c r="D538" s="10" t="str">
        <x:v>主播列表（公会长视角）</x:v>
      </x:c>
      <x:c r="E538" s="10" t="str">
        <x:v>逻辑校验</x:v>
      </x:c>
      <x:c r="F538" s="10" t="str">
        <x:v>P1</x:v>
      </x:c>
      <x:c r="G538" s="9" t="str">
        <x:v>验证修改公会名称保留公会关系</x:v>
      </x:c>
      <x:c r="H538" s="9" t="str">
        <x:v>公会资料保存公会关系保持</x:v>
      </x:c>
      <x:c r="I538" s="9" t="str">
        <x:v>1. 执行角色为公会长
2. 已登录目标公会的公会长账号，打开公会资料页并完成下列数据和页面状态准备
3. 当前公会G001名称旧名、有效成员甲乙</x:v>
      </x:c>
      <x:c r="J538" s="9" t="str">
        <x:v>1. 查看公会资料页
2. 填写公会名称为QA新名
3. 点击保存
4. 进入主播列表页</x:v>
      </x:c>
      <x:c r="K538" s="9" t="str">
        <x:v>当前公会成员仍为甲和乙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来源（当前证据）：liveshow-proto/MainBasis/统一需求文档.md；位置：REQ-70ec7b1e0c3d；行3228、REQ-0d0a38bc020e；行2886、REQ-381281aaf488；行2896
2. 规则：BR-0befb2ad2f7c1d89
3. 未动态验证</x:v>
      </x:c>
    </x:row>
    <x:row r="539" ht="85" customHeight="1">
      <x:c r="A539" s="10" t="n">
        <x:v>538</x:v>
      </x:c>
      <x:c r="B539" s="10" t="str">
        <x:v>GUILD-04-0036</x:v>
      </x:c>
      <x:c r="C539" s="10" t="str">
        <x:v>公会管理</x:v>
      </x:c>
      <x:c r="D539" s="10" t="str">
        <x:v>修改密码（公会长视角）</x:v>
      </x:c>
      <x:c r="E539" s="10" t="str">
        <x:v>逻辑校验</x:v>
      </x:c>
      <x:c r="F539" s="10" t="str">
        <x:v>P1</x:v>
      </x:c>
      <x:c r="G539" s="9" t="str">
        <x:v>验证公会密码恰好8位可保存</x:v>
      </x:c>
      <x:c r="H539" s="9" t="str">
        <x:v>公会密码合法下边界</x:v>
      </x:c>
      <x:c r="I539" s="9" t="str">
        <x:v>1. 执行角色为公会长
2. 已登录目标公会的公会长账号，打开修改密码页并完成下列数据和页面状态准备
3. 旧密码QaOld!2026</x:v>
      </x:c>
      <x:c r="J539" s="9" t="str">
        <x:v>1. 查看修改密码页
2. 填写当前密码为QaOld!2026
3. 填写新密码为Qa123456
4. 填写确认新密码为Qa123456
5. 点击保存</x:v>
      </x:c>
      <x:c r="K539" s="9" t="str">
        <x:v>返回账号设置页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来源（当前证据）：liveshow-proto/MainBasis/统一需求文档.md；位置：REQ-e6fec0352ac9；行3252
2. 规则：BR-97e81129e4ee4bde
3. 未动态验证</x:v>
      </x:c>
    </x:row>
    <x:row r="540" ht="100" customHeight="1">
      <x:c r="A540" s="10" t="n">
        <x:v>539</x:v>
      </x:c>
      <x:c r="B540" s="10" t="str">
        <x:v>GUILD-05-0132</x:v>
      </x:c>
      <x:c r="C540" s="10" t="str">
        <x:v>数据与收益</x:v>
      </x:c>
      <x:c r="D540" s="10" t="str">
        <x:v>直播场次详情（公会长视角）</x:v>
      </x:c>
      <x:c r="E540" s="10" t="str">
        <x:v>功能需求</x:v>
      </x:c>
      <x:c r="F540" s="10" t="str">
        <x:v>P2</x:v>
      </x:c>
      <x:c r="G540" s="9" t="str">
        <x:v>验证场次赠礼详情核对礼物名称</x:v>
      </x:c>
      <x:c r="H540" s="9" t="str">
        <x:v>真实赠礼礼物名称</x:v>
      </x:c>
      <x:c r="I540" s="9" t="str">
        <x:v>1. 执行角色为公会长
2. 已登录目标公会的公会长账号，打开直播场次详情页并完成下列数据和页面状态准备
3. R1为普通礼物QA玫瑰的成功赠送记录</x:v>
      </x:c>
      <x:c r="J540" s="9" t="str">
        <x:v>1. 查看直播场次详情页
2. 点击R1</x:v>
      </x:c>
      <x:c r="K540" s="9" t="str">
        <x:v>礼物名称显示QA玫瑰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来源（当前证据）：liveshow-proto/MainBasis/统一需求文档.md；位置：REQ-55e89c691eee；行3306
2. 规则：BR-cbb8e6edb72e0b73
3. 未动态验证</x:v>
      </x:c>
    </x:row>
    <x:row r="541" ht="100" customHeight="1">
      <x:c r="A541" s="10" t="n">
        <x:v>540</x:v>
      </x:c>
      <x:c r="B541" s="10" t="str">
        <x:v>GUILD-05-0133</x:v>
      </x:c>
      <x:c r="C541" s="10" t="str">
        <x:v>数据与收益</x:v>
      </x:c>
      <x:c r="D541" s="10" t="str">
        <x:v>直播场次详情（公会长视角）</x:v>
      </x:c>
      <x:c r="E541" s="10" t="str">
        <x:v>功能需求</x:v>
      </x:c>
      <x:c r="F541" s="10" t="str">
        <x:v>P2</x:v>
      </x:c>
      <x:c r="G541" s="9" t="str">
        <x:v>验证场次赠礼详情核对普通类型</x:v>
      </x:c>
      <x:c r="H541" s="9" t="str">
        <x:v>真实赠礼普通类型</x:v>
      </x:c>
      <x:c r="I541" s="9" t="str">
        <x:v>1. 执行角色为公会长
2. 已登录目标公会的公会长账号，打开直播场次详情页并完成下列数据和页面状态准备
3. R1为普通礼物QA玫瑰的成功赠送记录</x:v>
      </x:c>
      <x:c r="J541" s="9" t="str">
        <x:v>1. 查看直播场次详情页
2. 点击R1</x:v>
      </x:c>
      <x:c r="K541" s="9" t="str">
        <x:v>礼物类型显示普通礼物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来源（当前证据）：liveshow-proto/MainBasis/统一需求文档.md；位置：REQ-58b2254a0941；行3318
2. 规则：BR-1eecdbfc16d8e44e
3. 未动态验证</x:v>
      </x:c>
    </x:row>
    <x:row r="542" ht="100" customHeight="1">
      <x:c r="A542" s="10" t="n">
        <x:v>541</x:v>
      </x:c>
      <x:c r="B542" s="10" t="str">
        <x:v>GUILD-05-0134</x:v>
      </x:c>
      <x:c r="C542" s="10" t="str">
        <x:v>数据与收益</x:v>
      </x:c>
      <x:c r="D542" s="10" t="str">
        <x:v>违规记录（公会长视角）</x:v>
      </x:c>
      <x:c r="E542" s="10" t="str">
        <x:v>逻辑校验</x:v>
      </x:c>
      <x:c r="F542" s="10" t="str">
        <x:v>P1</x:v>
      </x:c>
      <x:c r="G542" s="9" t="str">
        <x:v>验证公会违规记录展示警告结果</x:v>
      </x:c>
      <x:c r="H542" s="9" t="str">
        <x:v>违规处理结果映射</x:v>
      </x:c>
      <x:c r="I542" s="9" t="str">
        <x:v>1. 执行角色为公会长
2. 已登录目标公会的公会长账号，打开违规记录页并完成下列数据和页面状态准备
3. 记录N已由平台执行警告，无其他后续处理</x:v>
      </x:c>
      <x:c r="J542" s="9" t="str">
        <x:v>1. 查看违规记录页</x:v>
      </x:c>
      <x:c r="K542" s="9" t="str">
        <x:v>N处理结果显示警告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来源（当前证据）：liveshow-proto/MainBasis/统一需求文档.md；位置：REQ-fbc17ab917b7；行3353
2. 规则：BR-f5cd40ce5edc94c6
3. 未动态验证</x:v>
      </x:c>
    </x:row>
    <x:row r="543" ht="100" customHeight="1">
      <x:c r="A543" s="10" t="n">
        <x:v>542</x:v>
      </x:c>
      <x:c r="B543" s="10" t="str">
        <x:v>GUILD-05-0135</x:v>
      </x:c>
      <x:c r="C543" s="10" t="str">
        <x:v>数据与收益</x:v>
      </x:c>
      <x:c r="D543" s="10" t="str">
        <x:v>违规记录（公会长视角）</x:v>
      </x:c>
      <x:c r="E543" s="10" t="str">
        <x:v>逻辑校验</x:v>
      </x:c>
      <x:c r="F543" s="10" t="str">
        <x:v>P1</x:v>
      </x:c>
      <x:c r="G543" s="9" t="str">
        <x:v>验证公会违规记录展示关闭场次结果</x:v>
      </x:c>
      <x:c r="H543" s="9" t="str">
        <x:v>违规处理结果映射</x:v>
      </x:c>
      <x:c r="I543" s="9" t="str">
        <x:v>1. 执行角色为公会长
2. 已登录目标公会的公会长账号，打开违规记录页并完成下列数据和页面状态准备
3. 记录N已由平台执行关闭场次，无其他后续处理</x:v>
      </x:c>
      <x:c r="J543" s="9" t="str">
        <x:v>1. 查看违规记录页</x:v>
      </x:c>
      <x:c r="K543" s="9" t="str">
        <x:v>N处理结果显示关闭场次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来源（当前证据）：liveshow-proto/MainBasis/统一需求文档.md；位置：REQ-fbc17ab917b7；行3353
2. 规则：BR-a144a3b94d34bde3
3. 未动态验证</x:v>
      </x:c>
    </x:row>
    <x:row r="544" ht="100" customHeight="1">
      <x:c r="A544" s="10" t="n">
        <x:v>543</x:v>
      </x:c>
      <x:c r="B544" s="10" t="str">
        <x:v>GUILD-05-0136</x:v>
      </x:c>
      <x:c r="C544" s="10" t="str">
        <x:v>数据与收益</x:v>
      </x:c>
      <x:c r="D544" s="10" t="str">
        <x:v>违规记录（公会长视角）</x:v>
      </x:c>
      <x:c r="E544" s="10" t="str">
        <x:v>逻辑校验</x:v>
      </x:c>
      <x:c r="F544" s="10" t="str">
        <x:v>P1</x:v>
      </x:c>
      <x:c r="G544" s="9" t="str">
        <x:v>验证公会违规记录展示关闭直播权限结果</x:v>
      </x:c>
      <x:c r="H544" s="9" t="str">
        <x:v>违规处理结果映射</x:v>
      </x:c>
      <x:c r="I544" s="9" t="str">
        <x:v>1. 执行角色为公会长
2. 已登录目标公会的公会长账号，打开违规记录页并完成下列数据和页面状态准备
3. 记录N已由平台执行关闭直播权限，无其他后续处理</x:v>
      </x:c>
      <x:c r="J544" s="9" t="str">
        <x:v>1. 查看违规记录页</x:v>
      </x:c>
      <x:c r="K544" s="9" t="str">
        <x:v>N处理结果显示关闭直播权限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来源（当前证据）：liveshow-proto/MainBasis/统一需求文档.md；位置：REQ-fbc17ab917b7；行3353
2. 规则：BR-84ee803f6f75c88c
3. 未动态验证</x:v>
      </x:c>
    </x:row>
    <x:row r="545" ht="100" customHeight="1">
      <x:c r="A545" s="10" t="n">
        <x:v>544</x:v>
      </x:c>
      <x:c r="B545" s="10" t="str">
        <x:v>GUILD-05-0137</x:v>
      </x:c>
      <x:c r="C545" s="10" t="str">
        <x:v>数据与收益</x:v>
      </x:c>
      <x:c r="D545" s="10" t="str">
        <x:v>违规记录（公会长视角）</x:v>
      </x:c>
      <x:c r="E545" s="10" t="str">
        <x:v>逻辑校验</x:v>
      </x:c>
      <x:c r="F545" s="10" t="str">
        <x:v>P1</x:v>
      </x:c>
      <x:c r="G545" s="9" t="str">
        <x:v>验证公会违规记录展示账号封禁结果</x:v>
      </x:c>
      <x:c r="H545" s="9" t="str">
        <x:v>违规处理结果映射</x:v>
      </x:c>
      <x:c r="I545" s="9" t="str">
        <x:v>1. 执行角色为公会长
2. 已登录目标公会的公会长账号，打开违规记录页并完成下列数据和页面状态准备
3. 记录N已由平台执行账号封禁，无其他后续处理</x:v>
      </x:c>
      <x:c r="J545" s="9" t="str">
        <x:v>1. 查看违规记录页</x:v>
      </x:c>
      <x:c r="K545" s="9" t="str">
        <x:v>N处理结果显示账号封禁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来源（当前证据）：liveshow-proto/MainBasis/统一需求文档.md；位置：REQ-fbc17ab917b7；行3353
2. 规则：BR-d8a990b21f8c15e8
3. 未动态验证</x:v>
      </x:c>
    </x:row>
    <x:row r="546" ht="115" customHeight="1">
      <x:c r="A546" s="10" t="n">
        <x:v>545</x:v>
      </x:c>
      <x:c r="B546" s="10" t="str">
        <x:v>GUILD-05-0138</x:v>
      </x:c>
      <x:c r="C546" s="10" t="str">
        <x:v>数据与收益</x:v>
      </x:c>
      <x:c r="D546" s="10" t="str">
        <x:v>违规记录（公会长视角）</x:v>
      </x:c>
      <x:c r="E546" s="10" t="str">
        <x:v>逻辑校验</x:v>
      </x:c>
      <x:c r="F546" s="10" t="str">
        <x:v>P1</x:v>
      </x:c>
      <x:c r="G546" s="9" t="str">
        <x:v>验证公会直播违规按举报时间排序</x:v>
      </x:c>
      <x:c r="H546" s="9" t="str">
        <x:v>直播违规时间来源</x:v>
      </x:c>
      <x:c r="I546" s="9" t="str">
        <x:v>1. 执行角色为公会长
2. 已登录目标公会的公会长账号，打开违规记录页并完成下列数据和页面状态准备
3. 直播违规甲于10:00举报11:00处理，乙10:30举报10:40处理；当前同类列表</x:v>
      </x:c>
      <x:c r="J546" s="9" t="str">
        <x:v>1. 查看违规记录页</x:v>
      </x:c>
      <x:c r="K546" s="9" t="str">
        <x:v>乙排在甲之前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来源（当前证据）：liveshow-proto/MainBasis/统一需求文档.md；位置：REQ-2193ff33f58c；行3351
2. 规则：BR-fa39b4c062bd3292
3. 未动态验证</x:v>
      </x:c>
    </x:row>
    <x:row r="547" ht="100" customHeight="1">
      <x:c r="A547" s="10" t="n">
        <x:v>546</x:v>
      </x:c>
      <x:c r="B547" s="10" t="str">
        <x:v>GUILD-05-0139</x:v>
      </x:c>
      <x:c r="C547" s="10" t="str">
        <x:v>数据与收益</x:v>
      </x:c>
      <x:c r="D547" s="10" t="str">
        <x:v>违规记录（公会长视角）</x:v>
      </x:c>
      <x:c r="E547" s="10" t="str">
        <x:v>功能需求</x:v>
      </x:c>
      <x:c r="F547" s="10" t="str">
        <x:v>P2</x:v>
      </x:c>
      <x:c r="G547" s="9" t="str">
        <x:v>验证直播间违规记录使用举报时间</x:v>
      </x:c>
      <x:c r="H547" s="9" t="str">
        <x:v>直播间违规时点</x:v>
      </x:c>
      <x:c r="I547" s="9" t="str">
        <x:v>1. 执行角色为公会长
2. 已登录目标公会的公会长账号，打开违规记录页并完成下列数据和页面状态准备
3. 记录N的举报时间为9月15日10:00，处理时间另为12:00</x:v>
      </x:c>
      <x:c r="J547" s="9" t="str">
        <x:v>1. 查看违规记录页</x:v>
      </x:c>
      <x:c r="K547" s="9" t="str">
        <x:v>N时间对应9月15日10:00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来源（当前证据）：liveshow-proto/MainBasis/统一需求文档.md；位置：REQ-2193ff33f58c；行3351
2. 规则：BR-f9edbdf0b52511b1
3. 未动态验证</x:v>
      </x:c>
    </x:row>
    <x:row r="548" ht="100" customHeight="1">
      <x:c r="A548" s="10" t="n">
        <x:v>547</x:v>
      </x:c>
      <x:c r="B548" s="10" t="str">
        <x:v>GUILD-05-0140</x:v>
      </x:c>
      <x:c r="C548" s="10" t="str">
        <x:v>数据与收益</x:v>
      </x:c>
      <x:c r="D548" s="10" t="str">
        <x:v>违规记录（公会长视角）</x:v>
      </x:c>
      <x:c r="E548" s="10" t="str">
        <x:v>功能需求</x:v>
      </x:c>
      <x:c r="F548" s="10" t="str">
        <x:v>P2</x:v>
      </x:c>
      <x:c r="G548" s="9" t="str">
        <x:v>验证账号违规记录使用发生时间</x:v>
      </x:c>
      <x:c r="H548" s="9" t="str">
        <x:v>账号违规时点</x:v>
      </x:c>
      <x:c r="I548" s="9" t="str">
        <x:v>1. 执行角色为公会长
2. 已登录目标公会的公会长账号，打开违规记录页并完成下列数据和页面状态准备
3. 记录N的发生时间为9月15日11:00，处理时间另为12:00</x:v>
      </x:c>
      <x:c r="J548" s="9" t="str">
        <x:v>1. 查看违规记录页</x:v>
      </x:c>
      <x:c r="K548" s="9" t="str">
        <x:v>N时间对应9月15日11:00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来源（当前证据）：liveshow-proto/MainBasis/统一需求文档.md；位置：REQ-2193ff33f58c；行3351
2. 规则：BR-571b09589728aa18
3. 未动态验证</x:v>
      </x:c>
    </x:row>
    <x:row r="549" ht="85" customHeight="1">
      <x:c r="A549" s="10" t="n">
        <x:v>548</x:v>
      </x:c>
      <x:c r="B549" s="10" t="str">
        <x:v>GUILD-05-0141</x:v>
      </x:c>
      <x:c r="C549" s="10" t="str">
        <x:v>数据与收益</x:v>
      </x:c>
      <x:c r="D549" s="10" t="str">
        <x:v>违规记录（公会长视角）</x:v>
      </x:c>
      <x:c r="E549" s="10" t="str">
        <x:v>功能需求</x:v>
      </x:c>
      <x:c r="F549" s="10" t="str">
        <x:v>P2</x:v>
      </x:c>
      <x:c r="G549" s="9" t="str">
        <x:v>验证首次违规查询默认全部主播</x:v>
      </x:c>
      <x:c r="H549" s="9" t="str">
        <x:v>违规主播初始筛选</x:v>
      </x:c>
      <x:c r="I549" s="9" t="str">
        <x:v>1. 执行角色为公会长
2. 已登录目标公会的公会长账号，打开违规记录页并完成下列数据和页面状态准备</x:v>
      </x:c>
      <x:c r="J549" s="9" t="str">
        <x:v>1. 查看违规记录页</x:v>
      </x:c>
      <x:c r="K549" s="9" t="str">
        <x:v>主播范围默认为全部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来源（当前证据）：liveshow-proto/MainBasis/统一需求文档.md；位置：REQ-bb3258b612d5；行3343
2. 规则：BR-704d69b61b571259
3. 未动态验证</x:v>
      </x:c>
    </x:row>
    <x:row r="550" ht="100" customHeight="1">
      <x:c r="A550" s="10" t="n">
        <x:v>549</x:v>
      </x:c>
      <x:c r="B550" s="10" t="str">
        <x:v>GUILD-05-0142</x:v>
      </x:c>
      <x:c r="C550" s="10" t="str">
        <x:v>数据与收益</x:v>
      </x:c>
      <x:c r="D550" s="10" t="str">
        <x:v>违规记录（公会长视角）</x:v>
      </x:c>
      <x:c r="E550" s="10" t="str">
        <x:v>逻辑校验</x:v>
      </x:c>
      <x:c r="F550" s="10" t="str">
        <x:v>P1</x:v>
      </x:c>
      <x:c r="G550" s="9" t="str">
        <x:v>验证只选一个主播后违规记录同步</x:v>
      </x:c>
      <x:c r="H550" s="9" t="str">
        <x:v>违规主播条件生效</x:v>
      </x:c>
      <x:c r="I550" s="9" t="str">
        <x:v>1. 执行角色为公会长
2. 已登录目标公会的公会长账号，打开违规记录页并完成下列数据和页面状态准备
3. 甲有记录A、乙有记录B；当前选择全部</x:v>
      </x:c>
      <x:c r="J550" s="9" t="str">
        <x:v>1. 查看违规记录页
2. 点击主播筛选
3. 选择仅主播甲
4. 点击完成</x:v>
      </x:c>
      <x:c r="K550" s="9" t="str">
        <x:v>列表只包含甲的记录A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来源（当前证据）：liveshow-proto/MainBasis/统一需求文档.md；位置：REQ-532e40bab209；行3359
2. 规则：BR-27b6c7af27089a76
3. 未动态验证</x:v>
      </x:c>
    </x:row>
    <x:row r="551" ht="85" customHeight="1">
      <x:c r="A551" s="10" t="n">
        <x:v>550</x:v>
      </x:c>
      <x:c r="B551" s="10" t="str">
        <x:v>GUILD-05-0143</x:v>
      </x:c>
      <x:c r="C551" s="10" t="str">
        <x:v>数据与收益</x:v>
      </x:c>
      <x:c r="D551" s="10" t="str">
        <x:v>公会业绩（公会长视角）</x:v>
      </x:c>
      <x:c r="E551" s="10" t="str">
        <x:v>功能需求</x:v>
      </x:c>
      <x:c r="F551" s="10" t="str">
        <x:v>P2</x:v>
      </x:c>
      <x:c r="G551" s="9" t="str">
        <x:v>验证月数据首次展示近半年</x:v>
      </x:c>
      <x:c r="H551" s="9" t="str">
        <x:v>公会月统计默认范围</x:v>
      </x:c>
      <x:c r="I551" s="9" t="str">
        <x:v>1. 执行角色为公会长
2. 已登录目标公会的公会长账号，打开公会业绩页并完成下列数据和页面状态准备</x:v>
      </x:c>
      <x:c r="J551" s="9" t="str">
        <x:v>1. 查看公会业绩页
2. 切换月数据</x:v>
      </x:c>
      <x:c r="K551" s="9" t="str">
        <x:v>月范围默认为近半年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来源（当前证据）：liveshow-proto/MainBasis/统一需求文档.md；位置：REQ-1c1f3cfd5125；行3368
2. 规则：BR-2cbfa16f3c47eef2
3. 未动态验证</x:v>
      </x:c>
    </x:row>
    <x:row r="552" ht="100" customHeight="1">
      <x:c r="A552" s="10" t="n">
        <x:v>551</x:v>
      </x:c>
      <x:c r="B552" s="10" t="str">
        <x:v>GUILD-05-0144</x:v>
      </x:c>
      <x:c r="C552" s="10" t="str">
        <x:v>数据与收益</x:v>
      </x:c>
      <x:c r="D552" s="10" t="str">
        <x:v>公会业绩（公会长视角）</x:v>
      </x:c>
      <x:c r="E552" s="10" t="str">
        <x:v>逻辑校验</x:v>
      </x:c>
      <x:c r="F552" s="10" t="str">
        <x:v>P1</x:v>
      </x:c>
      <x:c r="G552" s="9" t="str">
        <x:v>验证日数据按日期呈现趋势</x:v>
      </x:c>
      <x:c r="H552" s="9" t="str">
        <x:v>公会业绩趋势统计粒度</x:v>
      </x:c>
      <x:c r="I552" s="9" t="str">
        <x:v>1. 执行角色为公会长
2. 已登录目标公会的公会长账号，打开公会业绩页并完成下列数据和页面状态准备
3. 当前准备切换日数据；范围内有至少两个日期的经营数据</x:v>
      </x:c>
      <x:c r="J552" s="9" t="str">
        <x:v>1. 查看公会业绩页
2. 切换日数据
3. 点击收益指标卡片</x:v>
      </x:c>
      <x:c r="K552" s="9" t="str">
        <x:v>收益趋势按日期汇总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来源（当前证据）：liveshow-proto/MainBasis/统一需求文档.md；位置：REQ-1e99a6258a1d；行3400
2. 规则：BR-c4efadff48c0837d
3. 未动态验证</x:v>
      </x:c>
    </x:row>
    <x:row r="553" ht="100" customHeight="1">
      <x:c r="A553" s="10" t="n">
        <x:v>552</x:v>
      </x:c>
      <x:c r="B553" s="10" t="str">
        <x:v>GUILD-05-0145</x:v>
      </x:c>
      <x:c r="C553" s="10" t="str">
        <x:v>数据与收益</x:v>
      </x:c>
      <x:c r="D553" s="10" t="str">
        <x:v>公会业绩（公会长视角）</x:v>
      </x:c>
      <x:c r="E553" s="10" t="str">
        <x:v>逻辑校验</x:v>
      </x:c>
      <x:c r="F553" s="10" t="str">
        <x:v>P1</x:v>
      </x:c>
      <x:c r="G553" s="9" t="str">
        <x:v>验证月数据按月份呈现趋势</x:v>
      </x:c>
      <x:c r="H553" s="9" t="str">
        <x:v>公会业绩趋势统计粒度</x:v>
      </x:c>
      <x:c r="I553" s="9" t="str">
        <x:v>1. 执行角色为公会长
2. 已登录目标公会的公会长账号，打开公会业绩页并完成下列数据和页面状态准备
3. 当前准备切换月数据；范围内有至少两个月份的经营数据</x:v>
      </x:c>
      <x:c r="J553" s="9" t="str">
        <x:v>1. 查看公会业绩页
2. 切换月数据
3. 点击收益指标卡片</x:v>
      </x:c>
      <x:c r="K553" s="9" t="str">
        <x:v>收益趋势按月份汇总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来源（当前证据）：liveshow-proto/MainBasis/统一需求文档.md；位置：REQ-1e99a6258a1d；行3400
2. 规则：BR-aa2ac561de843745
3. 未动态验证</x:v>
      </x:c>
    </x:row>
    <x:row r="554" ht="100" customHeight="1">
      <x:c r="A554" s="10" t="n">
        <x:v>553</x:v>
      </x:c>
      <x:c r="B554" s="10" t="str">
        <x:v>GUILD-05-0146</x:v>
      </x:c>
      <x:c r="C554" s="10" t="str">
        <x:v>数据与收益</x:v>
      </x:c>
      <x:c r="D554" s="10" t="str">
        <x:v>公会业绩（公会长视角）</x:v>
      </x:c>
      <x:c r="E554" s="10" t="str">
        <x:v>逻辑校验</x:v>
      </x:c>
      <x:c r="F554" s="10" t="str">
        <x:v>P1</x:v>
      </x:c>
      <x:c r="G554" s="9" t="str">
        <x:v>验证公会月业绩下钻保留月份</x:v>
      </x:c>
      <x:c r="H554" s="9" t="str">
        <x:v>月业绩下钻时间范围</x:v>
      </x:c>
      <x:c r="I554" s="9" t="str">
        <x:v>1. 执行角色为公会长
2. 已登录目标公会的公会长账号，打开公会业绩页并完成下列数据和页面状态准备
3. 当前月数据包含2026年8月记录</x:v>
      </x:c>
      <x:c r="J554" s="9" t="str">
        <x:v>1. 查看公会业绩页
2. 点击2026年8月行</x:v>
      </x:c>
      <x:c r="K554" s="9" t="str">
        <x:v>主播业绩范围为2026年8月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来源（当前证据）：liveshow-proto/MainBasis/统一需求文档.md；位置：REQ-b4a379f3681c；行3402
2. 规则：BR-6cd3772d34c35673
3. 未动态验证</x:v>
      </x:c>
    </x:row>
    <x:row r="555" ht="100" customHeight="1">
      <x:c r="A555" s="10" t="n">
        <x:v>554</x:v>
      </x:c>
      <x:c r="B555" s="10" t="str">
        <x:v>GUILD-05-0147</x:v>
      </x:c>
      <x:c r="C555" s="10" t="str">
        <x:v>数据与收益</x:v>
      </x:c>
      <x:c r="D555" s="10" t="str">
        <x:v>公会分成记录（公会长视角）</x:v>
      </x:c>
      <x:c r="E555" s="10" t="str">
        <x:v>逻辑校验</x:v>
      </x:c>
      <x:c r="F555" s="10" t="str">
        <x:v>P1</x:v>
      </x:c>
      <x:c r="G555" s="9" t="str">
        <x:v>验证公会分成按实际入账先后排列</x:v>
      </x:c>
      <x:c r="H555" s="9" t="str">
        <x:v>公会分成入账排序</x:v>
      </x:c>
      <x:c r="I555" s="9" t="str">
        <x:v>1. 执行角色为公会长
2. 已登录目标公会的公会长账号，打开公会分成记录页并完成下列数据和页面状态准备
3. A9月14日入账、B15日入账，收益所属月份顺序相反</x:v>
      </x:c>
      <x:c r="J555" s="9" t="str">
        <x:v>1. 查看公会分成记录页</x:v>
      </x:c>
      <x:c r="K555" s="9" t="str">
        <x:v>B排在A之前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来源（当前证据）：liveshow-proto/MainBasis/统一需求文档.md；位置：REQ-38b9fe91cceb；行3453
2. 规则：BR-9ccfdd14ad0b4179
3. 未动态验证</x:v>
      </x:c>
    </x:row>
    <x:row r="556" ht="100" customHeight="1">
      <x:c r="A556" s="10" t="n">
        <x:v>555</x:v>
      </x:c>
      <x:c r="B556" s="10" t="str">
        <x:v>GUILD-05-0148</x:v>
      </x:c>
      <x:c r="C556" s="10" t="str">
        <x:v>数据与收益</x:v>
      </x:c>
      <x:c r="D556" s="10" t="str">
        <x:v>选择主播（多选）（公会长视角）</x:v>
      </x:c>
      <x:c r="E556" s="10" t="str">
        <x:v>逻辑校验</x:v>
      </x:c>
      <x:c r="F556" s="10" t="str">
        <x:v>P1</x:v>
      </x:c>
      <x:c r="G556" s="9" t="str">
        <x:v>验证主播多选全选</x:v>
      </x:c>
      <x:c r="H556" s="9" t="str">
        <x:v>主播全量选择切换</x:v>
      </x:c>
      <x:c r="I556" s="9" t="str">
        <x:v>1. 执行角色为公会长
2. 已登录目标公会的公会长账号，打开选择主播（多选）页并完成下列数据和页面状态准备
3. 当前可选甲乙丙3名，尚未选择；搜索为空</x:v>
      </x:c>
      <x:c r="J556" s="9" t="str">
        <x:v>1. 查看选择主播（多选）页
2. 点击全选</x:v>
      </x:c>
      <x:c r="K556" s="9" t="str">
        <x:v>已选人数显示3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来源（当前证据）：liveshow-proto/MainBasis/统一需求文档.md；位置：REQ-74d9c44c037d；行3472
2. 规则：BR-74b0aca2bda09f37
3. 未动态验证</x:v>
      </x:c>
    </x:row>
    <x:row r="557" ht="100" customHeight="1">
      <x:c r="A557" s="10" t="n">
        <x:v>556</x:v>
      </x:c>
      <x:c r="B557" s="10" t="str">
        <x:v>GUILD-05-0149</x:v>
      </x:c>
      <x:c r="C557" s="10" t="str">
        <x:v>数据与收益</x:v>
      </x:c>
      <x:c r="D557" s="10" t="str">
        <x:v>选择主播（多选）（公会长视角）</x:v>
      </x:c>
      <x:c r="E557" s="10" t="str">
        <x:v>逻辑校验</x:v>
      </x:c>
      <x:c r="F557" s="10" t="str">
        <x:v>P1</x:v>
      </x:c>
      <x:c r="G557" s="9" t="str">
        <x:v>验证主播多选取消全选</x:v>
      </x:c>
      <x:c r="H557" s="9" t="str">
        <x:v>主播全量选择切换</x:v>
      </x:c>
      <x:c r="I557" s="9" t="str">
        <x:v>1. 执行角色为公会长
2. 已登录目标公会的公会长账号，打开选择主播（多选）页并完成下列数据和页面状态准备
3. 当前可选甲乙丙3名，全部已选中；搜索为空</x:v>
      </x:c>
      <x:c r="J557" s="9" t="str">
        <x:v>1. 查看选择主播（多选）页
2. 点击取消全选</x:v>
      </x:c>
      <x:c r="K557" s="9" t="str">
        <x:v>已选人数显示0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来源（当前证据）：liveshow-proto/MainBasis/统一需求文档.md；位置：REQ-74d9c44c037d；行3472
2. 规则：BR-5777a77719b28f5d
3. 未动态验证</x:v>
      </x:c>
    </x:row>
    <x:row r="558" ht="100" customHeight="1">
      <x:c r="A558" s="10" t="n">
        <x:v>557</x:v>
      </x:c>
      <x:c r="B558" s="10" t="str">
        <x:v>GUILD-05-0150</x:v>
      </x:c>
      <x:c r="C558" s="10" t="str">
        <x:v>数据与收益</x:v>
      </x:c>
      <x:c r="D558" s="10" t="str">
        <x:v>违规记录（公会长视角）</x:v>
      </x:c>
      <x:c r="E558" s="10" t="str">
        <x:v>逻辑校验</x:v>
      </x:c>
      <x:c r="F558" s="10" t="str">
        <x:v>P1</x:v>
      </x:c>
      <x:c r="G558" s="9" t="str">
        <x:v>验证违规主播多选回填保留日期和类型</x:v>
      </x:c>
      <x:c r="H558" s="9" t="str">
        <x:v>违规多选其他条件保持</x:v>
      </x:c>
      <x:c r="I558" s="9" t="str">
        <x:v>1. 执行角色为公会长
2. 已登录目标公会的公会长账号，打开选择主播（多选）页并完成下列数据和页面状态准备
3. 从违规记录进入，原日期9月1日至15日且类型账号违规</x:v>
      </x:c>
      <x:c r="J558" s="9" t="str">
        <x:v>1. 查看选择主播（多选）页
2. 选择仅主播甲
3. 点击完成</x:v>
      </x:c>
      <x:c r="K558" s="9" t="str">
        <x:v>仍按9月1日至15日的账号违规筛选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来源（当前证据）：liveshow-proto/MainBasis/统一需求文档.md；位置：REQ-9b94ebc6e08d；行3474、REQ-209e305f2a95；行3341、REQ-3caa16d1492a；行3345
2. 规则：BR-77bbc8dd9f54f3e0
3. 未动态验证</x:v>
      </x:c>
    </x:row>
  </x:sheetData>
  <x:dataValidations count="3">
    <x:dataValidation type="list" sqref="E2:E558">
      <x:formula1>"功能需求,业务流程,逻辑校验,异常用例"</x:formula1>
    </x:dataValidation>
    <x:dataValidation type="list" sqref="F2:F558">
      <x:formula1>"P0,P1,P2,P3"</x:formula1>
    </x:dataValidation>
    <x:dataValidation type="list" sqref="M2:M558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e1755cad4046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Q-005</x:v>
      </x:c>
      <x:c r="B2" s="10" t="str">
        <x:v>RQ-005</x:v>
      </x:c>
      <x:c r="C2" s="10" t="str"/>
      <x:c r="D2" s="10" t="str"/>
      <x:c r="E2" s="10" t="str">
        <x:v>部分阻塞</x:v>
      </x:c>
      <x:c r="F2" s="10" t="str">
        <x:v>运营工具</x:v>
      </x:c>
      <x:c r="G2" s="9" t="str">
        <x:v>创建运营账号</x:v>
      </x:c>
      <x:c r="H2" s="9" t="str">
        <x:v>字段与数据校验</x:v>
      </x:c>
      <x:c r="I2" s="9" t="str">
        <x:v>运营账号登录名允许什么格式？</x:v>
      </x:c>
      <x:c r="J2" s="9" t="str">
        <x:v>A. 必须为邮箱地址
B. 普通账号名且不要求邮箱格式</x:v>
      </x:c>
      <x:c r="K2" s="9" t="str">
        <x:v>建议先明确登录凭证类型，再补格式与唯一性边界；创建、启用或禁用后的用户端登录验证也依赖本项。</x:v>
      </x:c>
      <x:c r="L2" s="12" t="str"/>
      <x:c r="M2" s="12" t="str"/>
      <x:c r="N2" s="10" t="str">
        <x:v>1. liveshow-proto/MainBasis/需求待确认清单.md：- **REQ-bf9cdcdc206d** 【需求待确认】页面说明使用邮箱登录，但当前示例 nadia_ops 不是邮箱；需明确账号格式及校验。</x:v>
      </x:c>
      <x:c r="O2" s="9" t="str">
        <x:v>1. 创建运营账号</x:v>
      </x:c>
      <x:c r="P2" s="9" t="str"/>
      <x:c r="Q2" s="9" t="str">
        <x:v>1. 创建运营账号中由本问题决定的有效、无效及状态变更分支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35" customHeight="1">
      <x:c r="A3" s="10" t="str">
        <x:v>Q-027</x:v>
      </x:c>
      <x:c r="B3" s="10" t="str">
        <x:v>RQ-027</x:v>
      </x:c>
      <x:c r="C3" s="10" t="str"/>
      <x:c r="D3" s="10" t="str"/>
      <x:c r="E3" s="10" t="str">
        <x:v>部分阻塞</x:v>
      </x:c>
      <x:c r="F3" s="10" t="str">
        <x:v>数据与收益</x:v>
      </x:c>
      <x:c r="G3" s="9" t="str">
        <x:v>人工余额修正的公会端展示</x:v>
      </x:c>
      <x:c r="H3" s="9" t="str">
        <x:v>配置和历史数据影响</x:v>
      </x:c>
      <x:c r="I3" s="9" t="str">
        <x:v>平台人工修正分成余额后，公会端是否展示对应修正记录？</x:v>
      </x:c>
      <x:c r="J3" s="9" t="str">
        <x:v>A. 公会端分成记录同时展示人工修正
B. 仅管理后台展示人工修正
C. 另设公会端余额与修正明细入口</x:v>
      </x:c>
      <x:c r="K3" s="9" t="str">
        <x:v>已复核当前MainBasis全部公会页面及余额、分成、修正同义条款：公会端只明确财务上传结果，未明确后台人工余额修正的观察入口；后台修正用例可独立执行。</x:v>
      </x:c>
      <x:c r="L3" s="12" t="str"/>
      <x:c r="M3" s="12" t="str"/>
      <x:c r="N3" s="10" t="str">
        <x:v>1. liveshow-proto/MainBasis/统一需求文档.md：- **REQ-2010984afb60** 【正式规则】1. 系统不在线计算或审批最终分成；财务线下确定比例和金额后上传结果。
2. liveshow-proto/MainBasis/统一需求文档.md：- **REQ-1afa9bbb787d** 【正式规则】1. 仅展示当前公会的财务上传结果，不提供日期筛选或在线分成计算。
3. liveshow-proto/MainBasis/统一需求文档.md：- **REQ-4d2a4bf5aa1c** 【正式规则】1. 余额变更 -&gt; 输入金额和原因 -&gt; 校验 -&gt; 生成不可修改的修正流水并更新余额。</x:v>
      </x:c>
      <x:c r="O3" s="9" t="str">
        <x:v>1. 人工余额修正的公会端展示</x:v>
      </x:c>
      <x:c r="P3" s="9" t="str"/>
      <x:c r="Q3" s="9" t="str">
        <x:v>1. 人工余额修正的公会端展示中由本问题决定的有效、无效及状态变更分支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</x:sheetData>
  <x:dataValidations count="5">
    <x:dataValidation type="list" sqref="E2:E3">
      <x:formula1>"阻塞测试,部分阻塞,不阻塞"</x:formula1>
    </x:dataValidation>
    <x:dataValidation type="list" sqref="H2:H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3">
      <x:formula1>"A,B,C,D,其他"</x:formula1>
    </x:dataValidation>
    <x:dataValidation type="list" sqref="R2:R3">
      <x:formula1>"产品,交互,技术,多方确认"</x:formula1>
    </x:dataValidation>
    <x:dataValidation type="list" sqref="T2:T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f8aff3f02d41b5"/>
  </x:tableParts>
</x:worksheet>
</file>