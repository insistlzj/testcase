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2735a684d94e41" /></Relationships>
</file>

<file path=xl/workbook.xml><?xml version="1.0" encoding="utf-8"?>
<x:workbook xmlns:x="http://schemas.openxmlformats.org/spreadsheetml/2006/main">
  <x:sheets>
    <x:sheet xmlns:r="http://schemas.openxmlformats.org/officeDocument/2006/relationships" name="产品决策概览" sheetId="1" r:id="R989a636ccc4c49bf"/>
    <x:sheet xmlns:r="http://schemas.openxmlformats.org/officeDocument/2006/relationships" name="功能测试用例" sheetId="2" r:id="Rfbf023e034444c21"/>
    <x:sheet xmlns:r="http://schemas.openxmlformats.org/officeDocument/2006/relationships" name="需求待确认" sheetId="3" r:id="Re634a86ad3324bb8"/>
    <x:sheet xmlns:r="http://schemas.openxmlformats.org/officeDocument/2006/relationships" name="覆盖核验清单" sheetId="4" r:id="Rd1e78ca65317436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11827"/>
      <x:name val="Arial"/>
    </x:font>
    <x:font>
      <x:b/>
      <x:sz val="10"/>
      <x:color rgb="FFFFFFFF"/>
      <x:name val="Arial"/>
    </x:font>
    <x:font>
      <x:b/>
      <x:sz val="15"/>
      <x:color rgb="FF111827"/>
      <x:name val="Arial"/>
    </x:font>
    <x:font>
      <x:i/>
      <x:sz val="10"/>
      <x:color rgb="FF64748B"/>
      <x:name val="Arial"/>
    </x:font>
    <x:font>
      <x:b/>
      <x:sz val="11"/>
      <x:color rgb="FF1D4ED8"/>
      <x:name val="Arial"/>
    </x:font>
    <x:font>
      <x:sz val="10"/>
      <x:name val="Arial"/>
    </x:font>
  </x:fonts>
  <x:fills count="7">
    <x:fill>
      <x:patternFill patternType="none"/>
    </x:fill>
    <x:fill>
      <x:patternFill patternType="gray125"/>
    </x:fill>
    <x:fill>
      <x:patternFill patternType="solid">
        <x:fgColor rgb="FF1F2937"/>
      </x:patternFill>
    </x:fill>
    <x:fill>
      <x:patternFill patternType="solid">
        <x:fgColor rgb="FFFFF4CC"/>
      </x:patternFill>
    </x:fill>
    <x:fill>
      <x:patternFill patternType="solid">
        <x:fgColor rgb="FFF8FAFC"/>
      </x:patternFill>
    </x:fill>
    <x:fill>
      <x:patternFill patternType="solid">
        <x:fgColor rgb="FFFFF1D6"/>
      </x:patternFill>
    </x:fill>
    <x:fill>
      <x:patternFill patternType="solid">
        <x:fgColor rgb="FF7C4A03"/>
      </x:patternFill>
    </x:fill>
  </x:fills>
  <x:borders count="3">
    <x:border/>
    <x:border>
      <x:left style="thin">
        <x:color rgb="FFCBD5E1"/>
      </x:left>
      <x:right style="thin">
        <x:color rgb="FFCBD5E1"/>
      </x:right>
      <x:top style="thin">
        <x:color rgb="FFCBD5E1"/>
      </x:top>
      <x:bottom style="thin">
        <x:color rgb="FFCBD5E1"/>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1" fillId="4" borderId="1"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1" xfId="0" applyNumberFormat="1" applyFont="1" applyFill="1" applyBorder="1" applyAlignment="1">
      <x:alignment horizontal="right" vertical="center"/>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0" fontId="6" fillId="5" borderId="1" xfId="0" applyNumberFormat="1" applyFont="1" applyFill="1" applyBorder="1" applyAlignment="1">
      <x:alignment wrapText="1"/>
    </x:xf>
    <x:xf numFmtId="0" fontId="6" fillId="0" borderId="0" xfId="0" applyNumberFormat="1" applyFont="1" applyFill="1" applyBorder="1" applyAlignment="1">
      <x:alignment wrapText="0"/>
    </x:xf>
    <x:xf numFmtId="0" fontId="1" fillId="6" borderId="1" xfId="0" applyNumberFormat="1" applyFont="1" applyFill="1" applyBorder="1" applyAlignment="1">
      <x:alignment vertical="center" wrapText="1"/>
    </x:xf>
    <x:xf numFmtId="0" fontId="2" fillId="6"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2a2985e1b446b0" /><Relationship Type="http://schemas.openxmlformats.org/officeDocument/2006/relationships/theme" Target="/xl/theme/theme1.xml" Id="R69b62d052a1d4c5b" /><Relationship Type="http://schemas.openxmlformats.org/officeDocument/2006/relationships/sharedStrings" Target="/xl/sharedStrings.xml" Id="Reb53ea8d1cbe44f1" /><Relationship Type="http://schemas.openxmlformats.org/officeDocument/2006/relationships/worksheet" Target="/xl/worksheets/sheet1.xml" Id="R989a636ccc4c49bf" /><Relationship Type="http://schemas.openxmlformats.org/officeDocument/2006/relationships/worksheet" Target="/xl/worksheets/sheet2.xml" Id="Rfbf023e034444c21" /><Relationship Type="http://schemas.openxmlformats.org/officeDocument/2006/relationships/worksheet" Target="/xl/worksheets/sheet3.xml" Id="Re634a86ad3324bb8" /><Relationship Type="http://schemas.openxmlformats.org/officeDocument/2006/relationships/worksheet" Target="/xl/worksheets/sheet4.xml" Id="Rd1e78ca653174368" /></Relationships>
</file>

<file path=xl/tables/table1.xml><?xml version="1.0" encoding="utf-8"?>
<x:table xmlns:x="http://schemas.openxmlformats.org/spreadsheetml/2006/main" id="1" name="LiveCasesTable" displayName="LiveCasesTable" ref="A1:O621" headerRowCount="1" totalsRowCount="0" totalsRowShown="0">
  <x:autoFilter ref="A1:O621"/>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29" headerRowCount="1" totalsRowCount="0" totalsRowShown="0">
  <x:autoFilter ref="A1:T29"/>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ables/table3.xml><?xml version="1.0" encoding="utf-8"?>
<x:table xmlns:x="http://schemas.openxmlformats.org/spreadsheetml/2006/main" id="3" name="CoverageReviewTable" displayName="CoverageReviewTable" ref="A1:G835" headerRowCount="1" totalsRowCount="0" totalsRowShown="0">
  <x:tableColumns count="7">
    <x:tableColumn id="1" name="需求编号"/>
    <x:tableColumn id="2" name="功能模块"/>
    <x:tableColumn id="3" name="来源行"/>
    <x:tableColumn id="4" name="需求内容"/>
    <x:tableColumn id="5" name="处理状态"/>
    <x:tableColumn id="6" name="关联正式用例"/>
    <x:tableColumn id="7" name="待完成事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bafbe4fadc4a3d" /></Relationships>
</file>

<file path=xl/worksheets/_rels/sheet3.xml.rels>&#65279;<?xml version="1.0" encoding="utf-8"?><Relationships xmlns="http://schemas.openxmlformats.org/package/2006/relationships"><Relationship Type="http://schemas.openxmlformats.org/officeDocument/2006/relationships/table" Target="/xl/tables/table2.xml" Id="R0e63c343a9ac400b" /></Relationships>
</file>

<file path=xl/worksheets/_rels/sheet4.xml.rels>&#65279;<?xml version="1.0" encoding="utf-8"?><Relationships xmlns="http://schemas.openxmlformats.org/package/2006/relationships"><Relationship Type="http://schemas.openxmlformats.org/officeDocument/2006/relationships/table" Target="/xl/tables/table3.xml" Id="R207e981419be4259"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4" t="str">
        <x:v>管理后台-全部模块-260914-002 产品决策概览</x:v>
      </x:c>
      <x:c r="B1" s="13"/>
      <x:c r="C1" s="13"/>
      <x:c r="D1" s="13"/>
      <x:c r="E1" s="13"/>
      <x:c r="F1" s="13"/>
      <x:c r="G1" s="13"/>
      <x:c r="H1" s="13"/>
    </x:row>
    <x:row r="2">
      <x:c r="A2" s="15" t="str">
        <x:v>数量由“需求待确认”工作表实时汇总</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COUNTA('需求待确认'!$A$2:$A$29)</x:f>
        <x:v>28</x:v>
      </x:c>
      <x:c r="C5" s="13"/>
      <x:c r="D5" s="20" t="str">
        <x:v>阻塞测试</x:v>
      </x:c>
      <x:c r="E5" s="22" t="n">
        <x:f>COUNTIFS('需求待确认'!$E$2:$E$29,"阻塞测试",'需求待确认'!$T$2:$T$29,"待确认")</x:f>
        <x:v>0</x:v>
      </x:c>
      <x:c r="F5" s="13"/>
      <x:c r="G5" s="20" t="str">
        <x:v>产品</x:v>
      </x:c>
      <x:c r="H5" s="22" t="n">
        <x:f>COUNTIFS('需求待确认'!$R$2:$R$29,"产品",'需求待确认'!$T$2:$T$29,"待确认")</x:f>
        <x:v>24</x:v>
      </x:c>
    </x:row>
    <x:row r="6">
      <x:c r="A6" s="20" t="str">
        <x:v>当前可回答</x:v>
      </x:c>
      <x:c r="B6" s="22" t="n">
        <x:f>COUNTIF('需求待确认'!$T$2:$T$29,"待确认")</x:f>
        <x:v>27</x:v>
      </x:c>
      <x:c r="C6" s="13"/>
      <x:c r="D6" s="20" t="str">
        <x:v>部分阻塞</x:v>
      </x:c>
      <x:c r="E6" s="22" t="n">
        <x:f>COUNTIFS('需求待确认'!$E$2:$E$29,"部分阻塞",'需求待确认'!$T$2:$T$29,"待确认")</x:f>
        <x:v>27</x:v>
      </x:c>
      <x:c r="F6" s="13"/>
      <x:c r="G6" s="20" t="str">
        <x:v>交互</x:v>
      </x:c>
      <x:c r="H6" s="22" t="n">
        <x:f>COUNTIFS('需求待确认'!$R$2:$R$29,"交互",'需求待确认'!$T$2:$T$29,"待确认")</x:f>
        <x:v>0</x:v>
      </x:c>
    </x:row>
    <x:row r="7">
      <x:c r="A7" s="20" t="str">
        <x:v>待前置结论</x:v>
      </x:c>
      <x:c r="B7" s="22" t="n">
        <x:f>COUNTIF('需求待确认'!$T$2:$T$29,"待前置结论")</x:f>
        <x:v>0</x:v>
      </x:c>
      <x:c r="C7" s="13"/>
      <x:c r="D7" s="20" t="str">
        <x:v>不阻塞</x:v>
      </x:c>
      <x:c r="E7" s="22" t="n">
        <x:f>COUNTIFS('需求待确认'!$E$2:$E$29,"不阻塞",'需求待确认'!$T$2:$T$29,"待确认")</x:f>
        <x:v>0</x:v>
      </x:c>
      <x:c r="F7" s="13"/>
      <x:c r="G7" s="20" t="str">
        <x:v>技术</x:v>
      </x:c>
      <x:c r="H7" s="22" t="n">
        <x:f>COUNTIFS('需求待确认'!$R$2:$R$29,"技术",'需求待确认'!$T$2:$T$29,"待确认")</x:f>
        <x:v>0</x:v>
      </x:c>
    </x:row>
    <x:row r="8">
      <x:c r="A8" s="20" t="str">
        <x:v>确认中</x:v>
      </x:c>
      <x:c r="B8" s="22" t="n">
        <x:f>COUNTIF('需求待确认'!$T$2:$T$29,"确认中")</x:f>
        <x:v>0</x:v>
      </x:c>
      <x:c r="C8" s="13"/>
      <x:c r="D8" s="13"/>
      <x:c r="E8" s="13"/>
      <x:c r="F8" s="13"/>
      <x:c r="G8" s="20" t="str">
        <x:v>多方确认</x:v>
      </x:c>
      <x:c r="H8" s="22" t="n">
        <x:f>COUNTIFS('需求待确认'!$R$2:$R$29,"多方确认",'需求待确认'!$T$2:$T$29,"待确认")</x:f>
        <x:v>3</x:v>
      </x:c>
    </x:row>
    <x:row r="9">
      <x:c r="A9" s="20" t="str">
        <x:v>已确认</x:v>
      </x:c>
      <x:c r="B9" s="22" t="n">
        <x:f>COUNTIF('需求待确认'!$T$2:$T$29,"已确认")</x:f>
        <x:v>0</x:v>
      </x:c>
      <x:c r="C9" s="13"/>
      <x:c r="D9" s="13"/>
      <x:c r="E9" s="13"/>
      <x:c r="F9" s="13"/>
      <x:c r="G9" s="13"/>
      <x:c r="H9" s="13"/>
    </x:row>
    <x:row r="10">
      <x:c r="A10" s="20" t="str">
        <x:v>无需处理</x:v>
      </x:c>
      <x:c r="B10" s="22" t="n">
        <x:f>COUNTIF('需求待确认'!$T$2:$T$29,"无需处理")</x:f>
        <x:v>1</x:v>
      </x:c>
      <x:c r="C10" s="13"/>
      <x:c r="D10" s="13"/>
      <x:c r="E10" s="13"/>
      <x:c r="F10" s="13"/>
      <x:c r="G10" s="13"/>
      <x:c r="H10" s="13"/>
    </x:row>
    <x:row r="12" ht="30" customHeight="1">
      <x:c r="A12" s="25" t="str">
        <x:v>用例交付</x:v>
      </x:c>
      <x:c r="B12" s="25" t="str">
        <x:v>当前已确认部分</x:v>
      </x:c>
      <x:c r="D12" s="27" t="str">
        <x:v>覆盖说明</x:v>
      </x:c>
      <x:c r="E12" s="27" t="str"/>
      <x:c r="F12" s="27" t="str"/>
      <x:c r="G12" s="27" t="str"/>
      <x:c r="H12" s="27" t="str"/>
    </x:row>
    <x:row r="13" ht="30" customHeight="1">
      <x:c r="A13" s="26" t="str">
        <x:v>完整覆盖校验</x:v>
      </x:c>
      <x:c r="B13" s="26" t="str">
        <x:v>未通过</x:v>
      </x:c>
      <x:c r="D13" s="27" t="str">
        <x:v>三端全部模块均有用例；完整需求分支核验尚未闭合。</x:v>
      </x:c>
      <x:c r="E13" s="27" t="str"/>
      <x:c r="F13" s="27" t="str"/>
      <x:c r="G13" s="27" t="str"/>
      <x:c r="H13" s="27" t="str"/>
    </x:row>
    <x:row r="14" ht="30" customHeight="1">
      <x:c r="A14" s="25" t="str">
        <x:v>正式用例数</x:v>
      </x:c>
      <x:c r="B14" s="25" t="n">
        <x:v>620</x:v>
      </x:c>
      <x:c r="D14" s="27" t="str">
        <x:v>“覆盖核验清单”中的未映射或未核验条款必须继续处理。</x:v>
      </x:c>
      <x:c r="E14" s="27" t="str"/>
      <x:c r="F14" s="27" t="str"/>
      <x:c r="G14" s="27" t="str"/>
      <x:c r="H14" s="27" t="str"/>
    </x:row>
    <x:row r="15" ht="30" customHeight="1">
      <x:c r="A15" s="25" t="str">
        <x:v>本端模块数</x:v>
      </x:c>
      <x:c r="B15" s="25" t="n">
        <x:v>12</x:v>
      </x:c>
      <x:c r="D15" s="27" t="str">
        <x:v>需求待确认单列；不把生成缺口转成产品问题。</x:v>
      </x:c>
      <x:c r="E15" s="27" t="str"/>
      <x:c r="F15" s="27" t="str"/>
      <x:c r="G15" s="27" t="str"/>
      <x:c r="H15" s="27" t="str"/>
    </x:row>
    <x:row r="16" ht="30" customHeight="1">
      <x:c r="A16" s="25" t="str">
        <x:v>执行状态</x:v>
      </x:c>
      <x:c r="B16" s="25" t="str">
        <x:v>全部未测</x:v>
      </x:c>
      <x:c r="D16" s="27" t="str">
        <x:v>计数用于追溯，不代表业务覆盖率或测试通过率。</x:v>
      </x:c>
      <x:c r="E16" s="27" t="str"/>
      <x:c r="F16" s="27" t="str"/>
      <x:c r="G16" s="27" t="str"/>
      <x:c r="H16" s="27"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175" customHeight="1">
      <x:c r="A2" s="10" t="n">
        <x:v>1</x:v>
      </x:c>
      <x:c r="B2" s="10" t="str">
        <x:v>ADMIN-0001</x:v>
      </x:c>
      <x:c r="C2" s="10" t="str">
        <x:v>主播管理</x:v>
      </x:c>
      <x:c r="D2" s="10" t="str">
        <x:v>主播审核（平台管理员）</x:v>
      </x:c>
      <x:c r="E2" s="10" t="str">
        <x:v>功能需求</x:v>
      </x:c>
      <x:c r="F2" s="10" t="str">
        <x:v>P1</x:v>
      </x:c>
      <x:c r="G2" s="9" t="str">
        <x:v>验证公会初审通过的申请进入平台审核列表</x:v>
      </x:c>
      <x:c r="H2" s="9" t="str">
        <x:v>终审队列</x:v>
      </x:c>
      <x:c r="I2" s="9" t="str">
        <x:v>1. 平台管理员为本条执行者
2. 申请单 J001 已由公会甲通过，申请人甲未取得主播身份</x:v>
      </x:c>
      <x:c r="J2" s="9" t="str">
        <x:v>1. 打开主播审核
2. 查询申请人甲</x:v>
      </x:c>
      <x:c r="K2" s="9" t="str">
        <x:v>待审核列表包含申请 J001</x:v>
      </x:c>
      <x:c r="L2" s="10" t="str">
        <x:v>FLOW-B8276CAE</x:v>
      </x:c>
      <x:c r="M2" s="10" t="str">
        <x:v>未测</x:v>
      </x:c>
      <x:c r="N2" s="10" t="str"/>
      <x:c r="O2" s="9" t="str">
        <x:v>1. 来源（当前证据）：liveshow-proto/MainBasis/统一需求文档.md；位置：第 2555 行；REQ-a1486babc676、第 2556 行；REQ-5135045639b7、第 2557 行；REQ-d30769807547、第 2559 行；REQ-f2ecf2583393、第 2551 行
2. 规则：BR-684722134FA1E9
3. 未动态验证
4. 示例账号、编号、金额与日期是本条测试数据；执行前按前置条件准备，未填写的产品决策不得自行假定。</x:v>
      </x:c>
    </x:row>
    <x:row r="3" ht="175" customHeight="1">
      <x:c r="A3" s="10" t="n">
        <x:v>2</x:v>
      </x:c>
      <x:c r="B3" s="10" t="str">
        <x:v>ADMIN-0002</x:v>
      </x:c>
      <x:c r="C3" s="10" t="str">
        <x:v>主播管理</x:v>
      </x:c>
      <x:c r="D3" s="10" t="str">
        <x:v>审核详情（平台管理员）</x:v>
      </x:c>
      <x:c r="E3" s="10" t="str">
        <x:v>功能需求</x:v>
      </x:c>
      <x:c r="F3" s="10" t="str">
        <x:v>P2</x:v>
      </x:c>
      <x:c r="G3" s="9" t="str">
        <x:v>验证平台通过入会终审</x:v>
      </x:c>
      <x:c r="H3" s="9" t="str">
        <x:v>终审结果</x:v>
      </x:c>
      <x:c r="I3" s="9" t="str">
        <x:v>1. 平台管理员为本条执行者
2. 申请单 J001 已通过公会甲初审，当前待平台终审</x:v>
      </x:c>
      <x:c r="J3" s="9" t="str">
        <x:v>1. 打开申请 J001 审核详情
2. 点击通过
3. 确认通过</x:v>
      </x:c>
      <x:c r="K3" s="9" t="str">
        <x:v>申请 J001 显示已通过</x:v>
      </x:c>
      <x:c r="L3" s="10" t="str">
        <x:v>FLOW-B8276CAE</x:v>
      </x:c>
      <x:c r="M3" s="10" t="str">
        <x:v>未测</x:v>
      </x:c>
      <x:c r="N3" s="10" t="str"/>
      <x:c r="O3" s="9" t="str">
        <x:v>1. 来源（当前证据）：liveshow-proto/MainBasis/统一需求文档.md；位置：第 2565 行；REQ-239b36943cc7、第 2566 行；REQ-46ad9a1720b8、第 2567 行；REQ-2fa646efb769、第 2568 行；REQ-8f0c6407dafc、第 2570 行；REQ-ff7cedd8262e、第 2562 行
2. 规则：BR-38363C5E5A3EA8
3. 未动态验证
4. 示例账号、编号、金额与日期是本条测试数据；执行前按前置条件准备，未填写的产品决策不得自行假定。</x:v>
      </x:c>
    </x:row>
    <x:row r="4" ht="175" customHeight="1">
      <x:c r="A4" s="10" t="n">
        <x:v>3</x:v>
      </x:c>
      <x:c r="B4" s="10" t="str">
        <x:v>ADMIN-0003</x:v>
      </x:c>
      <x:c r="C4" s="10" t="str">
        <x:v>主播管理</x:v>
      </x:c>
      <x:c r="D4" s="10" t="str">
        <x:v>审核详情（平台管理员）</x:v>
      </x:c>
      <x:c r="E4" s="10" t="str">
        <x:v>功能需求</x:v>
      </x:c>
      <x:c r="F4" s="10" t="str">
        <x:v>P2</x:v>
      </x:c>
      <x:c r="G4" s="9" t="str">
        <x:v>验证平台驳回入会申请</x:v>
      </x:c>
      <x:c r="H4" s="9" t="str">
        <x:v>驳回状态</x:v>
      </x:c>
      <x:c r="I4" s="9" t="str">
        <x:v>1. 平台管理员为本条执行者
2. 申请单 J001 已通过公会甲初审，当前待平台终审</x:v>
      </x:c>
      <x:c r="J4" s="9" t="str">
        <x:v>1. 打开申请 J001 详情
2. 点击驳回
3. 输入原因“认证资料需要补正”
4. 确认驳回</x:v>
      </x:c>
      <x:c r="K4" s="9" t="str">
        <x:v>申请 J001 显示平台驳回</x:v>
      </x:c>
      <x:c r="L4" s="10" t="str">
        <x:v>FLOW-B8276CAE</x:v>
      </x:c>
      <x:c r="M4" s="10" t="str">
        <x:v>未测</x:v>
      </x:c>
      <x:c r="N4" s="10" t="str"/>
      <x:c r="O4" s="9" t="str">
        <x:v>1. 来源（当前证据）：liveshow-proto/MainBasis/统一需求文档.md；位置：第 2566 行；REQ-46ad9a1720b8、第 2567 行；REQ-2fa646efb769、第 2568 行；REQ-8f0c6407dafc、第 2569 行；REQ-0b99db22ad31、第 2570 行；REQ-ff7cedd8262e、第 2562 行
2. 规则：BR-550C8D874D477D
3. 未动态验证
4. 示例账号、编号、金额与日期是本条测试数据；执行前按前置条件准备，未填写的产品决策不得自行假定。</x:v>
      </x:c>
    </x:row>
    <x:row r="5" ht="175" customHeight="1">
      <x:c r="A5" s="10" t="n">
        <x:v>4</x:v>
      </x:c>
      <x:c r="B5" s="10" t="str">
        <x:v>ADMIN-0004</x:v>
      </x:c>
      <x:c r="C5" s="10" t="str">
        <x:v>主播管理</x:v>
      </x:c>
      <x:c r="D5" s="10" t="str">
        <x:v>主播详情（平台管理员）</x:v>
      </x:c>
      <x:c r="E5" s="10" t="str">
        <x:v>功能需求</x:v>
      </x:c>
      <x:c r="F5" s="10" t="str">
        <x:v>P2</x:v>
      </x:c>
      <x:c r="G5" s="9" t="str">
        <x:v>验证解除锁定恢复公会原先关闭设置</x:v>
      </x:c>
      <x:c r="H5" s="9" t="str">
        <x:v>解锁后权限</x:v>
      </x:c>
      <x:c r="I5" s="9" t="str">
        <x:v>1. 平台管理员为本条执行者
2. 主播甲已通过认证且公会甲有效
3. 公会原开关关闭，平台开关开启且已锁定</x:v>
      </x:c>
      <x:c r="J5" s="9" t="str">
        <x:v>1. 打开主播甲详情
2. 解除公会开播权限锁定
3. 确认修改</x:v>
      </x:c>
      <x:c r="K5" s="9" t="str">
        <x:v>主播甲最终直播权限显示关闭</x:v>
      </x:c>
      <x:c r="L5" s="10" t="str">
        <x:v>FLOW-B5CAB366</x:v>
      </x:c>
      <x:c r="M5" s="10" t="str">
        <x:v>未测</x:v>
      </x:c>
      <x:c r="N5" s="10" t="str"/>
      <x:c r="O5" s="9" t="str">
        <x:v>1. 来源（当前证据）：liveshow-proto/MainBasis/统一需求文档.md；位置：第 2542 行；REQ-d130240c4251、第 2543 行；REQ-373e19aa441c、第 2547 行；REQ-010f9be072e9、第 2548 行；REQ-9ca7f9940a95、第 2540 行
2. 规则：BR-74FB64B102F470
3. 未动态验证
4. 示例账号、编号、金额与日期是本条测试数据；执行前按前置条件准备，未填写的产品决策不得自行假定。</x:v>
      </x:c>
    </x:row>
    <x:row r="6" ht="175" customHeight="1">
      <x:c r="A6" s="10" t="n">
        <x:v>5</x:v>
      </x:c>
      <x:c r="B6" s="10" t="str">
        <x:v>ADMIN-0005</x:v>
      </x:c>
      <x:c r="C6" s="10" t="str">
        <x:v>主播管理</x:v>
      </x:c>
      <x:c r="D6" s="10" t="str">
        <x:v>主播详情（平台管理员）</x:v>
      </x:c>
      <x:c r="E6" s="10" t="str">
        <x:v>功能需求</x:v>
      </x:c>
      <x:c r="F6" s="10" t="str">
        <x:v>P1</x:v>
      </x:c>
      <x:c r="G6" s="9" t="str">
        <x:v>验证平台关闭正在直播主播的开播权限</x:v>
      </x:c>
      <x:c r="H6" s="9" t="str">
        <x:v>平台权限状态</x:v>
      </x:c>
      <x:c r="I6" s="9" t="str">
        <x:v>1. 平台管理员为本条执行者
2. 主播甲已通过认证且公会甲有效
3. 主播甲正在场次 S001 直播</x:v>
      </x:c>
      <x:c r="J6" s="9" t="str">
        <x:v>1. 打开主播甲详情
2. 关闭直播权限
3. 输入原因“测试关闭权限”
4. 确认关闭</x:v>
      </x:c>
      <x:c r="K6" s="9" t="str">
        <x:v>主播甲直播权限显示关闭</x:v>
      </x:c>
      <x:c r="L6" s="10" t="str">
        <x:v>FLOW-3316A78D</x:v>
      </x:c>
      <x:c r="M6" s="10" t="str">
        <x:v>未测</x:v>
      </x:c>
      <x:c r="N6" s="10" t="str"/>
      <x:c r="O6" s="9" t="str">
        <x:v>1. 来源（当前证据）：liveshow-proto/MainBasis/统一需求文档.md；位置：第 2542 行；REQ-d130240c4251、第 2543 行；REQ-373e19aa441c、第 2547 行；REQ-010f9be072e9、第 2548 行；REQ-9ca7f9940a95、第 2540 行
2. 规则：BR-2ADF5DC27373FC
3. 未动态验证
4. 示例账号、编号、金额与日期是本条测试数据；执行前按前置条件准备，未填写的产品决策不得自行假定。</x:v>
      </x:c>
    </x:row>
    <x:row r="7" ht="130" customHeight="1">
      <x:c r="A7" s="10" t="n">
        <x:v>6</x:v>
      </x:c>
      <x:c r="B7" s="10" t="str">
        <x:v>ADMIN-0006</x:v>
      </x:c>
      <x:c r="C7" s="10" t="str">
        <x:v>内容审核</x:v>
      </x:c>
      <x:c r="D7" s="10" t="str">
        <x:v>违规类型编辑（审核管理员）</x:v>
      </x:c>
      <x:c r="E7" s="10" t="str">
        <x:v>异常用例</x:v>
      </x:c>
      <x:c r="F7" s="10" t="str">
        <x:v>P1</x:v>
      </x:c>
      <x:c r="G7" s="9" t="str">
        <x:v>验证违规类型的中文名称为空</x:v>
      </x:c>
      <x:c r="H7" s="9" t="str">
        <x:v>中文名称必填性</x:v>
      </x:c>
      <x:c r="I7" s="9" t="str">
        <x:v>1. 审核管理员为本条执行者
2. 表单为新建违规类型；四语名称分别为“测试类型”、Test Type、Jenis Uji、Jenis Ujian，排序 1，属性自定义，状态启用</x:v>
      </x:c>
      <x:c r="J7" s="9" t="str">
        <x:v>1. 打开违规类型编辑
2. 清空中文名称
3. 点击保存</x:v>
      </x:c>
      <x:c r="K7" s="9" t="str">
        <x:v>本次违规类型未保存</x:v>
      </x:c>
      <x:c r="L7" s="10" t="str"/>
      <x:c r="M7" s="10" t="str">
        <x:v>未测</x:v>
      </x:c>
      <x:c r="N7" s="10" t="str"/>
      <x:c r="O7" s="9" t="str">
        <x:v>1. 来源（当前证据）：liveshow-proto/MainBasis/统一需求文档.md；位置：第 2697 行；REQ-fbad1e81adb3、第 2694 行
2. 规则：BR-D636D4D9090E4B
3. 未动态验证
4. 示例账号、编号、金额与日期是本条测试数据；执行前按前置条件准备，未填写的产品决策不得自行假定。</x:v>
      </x:c>
    </x:row>
    <x:row r="8" ht="130" customHeight="1">
      <x:c r="A8" s="10" t="n">
        <x:v>7</x:v>
      </x:c>
      <x:c r="B8" s="10" t="str">
        <x:v>ADMIN-0007</x:v>
      </x:c>
      <x:c r="C8" s="10" t="str">
        <x:v>内容审核</x:v>
      </x:c>
      <x:c r="D8" s="10" t="str">
        <x:v>违规类型编辑（审核管理员）</x:v>
      </x:c>
      <x:c r="E8" s="10" t="str">
        <x:v>异常用例</x:v>
      </x:c>
      <x:c r="F8" s="10" t="str">
        <x:v>P1</x:v>
      </x:c>
      <x:c r="G8" s="9" t="str">
        <x:v>验证违规类型的英语名称为空</x:v>
      </x:c>
      <x:c r="H8" s="9" t="str">
        <x:v>英语名称必填性</x:v>
      </x:c>
      <x:c r="I8" s="9" t="str">
        <x:v>1. 审核管理员为本条执行者
2. 表单为新建违规类型；四语名称分别为“测试类型”、Test Type、Jenis Uji、Jenis Ujian，排序 1，属性自定义，状态启用</x:v>
      </x:c>
      <x:c r="J8" s="9" t="str">
        <x:v>1. 打开违规类型编辑
2. 清空英语名称
3. 点击保存</x:v>
      </x:c>
      <x:c r="K8" s="9" t="str">
        <x:v>本次违规类型未保存</x:v>
      </x:c>
      <x:c r="L8" s="10" t="str"/>
      <x:c r="M8" s="10" t="str">
        <x:v>未测</x:v>
      </x:c>
      <x:c r="N8" s="10" t="str"/>
      <x:c r="O8" s="9" t="str">
        <x:v>1. 来源（当前证据）：liveshow-proto/MainBasis/统一需求文档.md；位置：第 2697 行；REQ-fbad1e81adb3、第 2694 行
2. 规则：BR-35F2D48E977E49
3. 未动态验证
4. 示例账号、编号、金额与日期是本条测试数据；执行前按前置条件准备，未填写的产品决策不得自行假定。</x:v>
      </x:c>
    </x:row>
    <x:row r="9" ht="130" customHeight="1">
      <x:c r="A9" s="10" t="n">
        <x:v>8</x:v>
      </x:c>
      <x:c r="B9" s="10" t="str">
        <x:v>ADMIN-0008</x:v>
      </x:c>
      <x:c r="C9" s="10" t="str">
        <x:v>内容审核</x:v>
      </x:c>
      <x:c r="D9" s="10" t="str">
        <x:v>违规类型编辑（审核管理员）</x:v>
      </x:c>
      <x:c r="E9" s="10" t="str">
        <x:v>异常用例</x:v>
      </x:c>
      <x:c r="F9" s="10" t="str">
        <x:v>P1</x:v>
      </x:c>
      <x:c r="G9" s="9" t="str">
        <x:v>验证违规类型的印尼语名称为空</x:v>
      </x:c>
      <x:c r="H9" s="9" t="str">
        <x:v>印尼语名称必填性</x:v>
      </x:c>
      <x:c r="I9" s="9" t="str">
        <x:v>1. 审核管理员为本条执行者
2. 表单为新建违规类型；四语名称分别为“测试类型”、Test Type、Jenis Uji、Jenis Ujian，排序 1，属性自定义，状态启用</x:v>
      </x:c>
      <x:c r="J9" s="9" t="str">
        <x:v>1. 打开违规类型编辑
2. 清空印尼语名称
3. 点击保存</x:v>
      </x:c>
      <x:c r="K9" s="9" t="str">
        <x:v>本次违规类型未保存</x:v>
      </x:c>
      <x:c r="L9" s="10" t="str"/>
      <x:c r="M9" s="10" t="str">
        <x:v>未测</x:v>
      </x:c>
      <x:c r="N9" s="10" t="str"/>
      <x:c r="O9" s="9" t="str">
        <x:v>1. 来源（当前证据）：liveshow-proto/MainBasis/统一需求文档.md；位置：第 2697 行；REQ-fbad1e81adb3、第 2694 行
2. 规则：BR-E68809DD54CC5F
3. 未动态验证
4. 示例账号、编号、金额与日期是本条测试数据；执行前按前置条件准备，未填写的产品决策不得自行假定。</x:v>
      </x:c>
    </x:row>
    <x:row r="10" ht="130" customHeight="1">
      <x:c r="A10" s="10" t="n">
        <x:v>9</x:v>
      </x:c>
      <x:c r="B10" s="10" t="str">
        <x:v>ADMIN-0009</x:v>
      </x:c>
      <x:c r="C10" s="10" t="str">
        <x:v>内容审核</x:v>
      </x:c>
      <x:c r="D10" s="10" t="str">
        <x:v>违规类型编辑（审核管理员）</x:v>
      </x:c>
      <x:c r="E10" s="10" t="str">
        <x:v>异常用例</x:v>
      </x:c>
      <x:c r="F10" s="10" t="str">
        <x:v>P1</x:v>
      </x:c>
      <x:c r="G10" s="9" t="str">
        <x:v>验证违规类型的马来语名称为空</x:v>
      </x:c>
      <x:c r="H10" s="9" t="str">
        <x:v>马来语名称必填性</x:v>
      </x:c>
      <x:c r="I10" s="9" t="str">
        <x:v>1. 审核管理员为本条执行者
2. 表单为新建违规类型；四语名称分别为“测试类型”、Test Type、Jenis Uji、Jenis Ujian，排序 1，属性自定义，状态启用</x:v>
      </x:c>
      <x:c r="J10" s="9" t="str">
        <x:v>1. 打开违规类型编辑
2. 清空马来语名称
3. 点击保存</x:v>
      </x:c>
      <x:c r="K10" s="9" t="str">
        <x:v>本次违规类型未保存</x:v>
      </x:c>
      <x:c r="L10" s="10" t="str"/>
      <x:c r="M10" s="10" t="str">
        <x:v>未测</x:v>
      </x:c>
      <x:c r="N10" s="10" t="str"/>
      <x:c r="O10" s="9" t="str">
        <x:v>1. 来源（当前证据）：liveshow-proto/MainBasis/统一需求文档.md；位置：第 2697 行；REQ-fbad1e81adb3、第 2694 行
2. 规则：BR-F29D81BE9BB97D
3. 未动态验证
4. 示例账号、编号、金额与日期是本条测试数据；执行前按前置条件准备，未填写的产品决策不得自行假定。</x:v>
      </x:c>
    </x:row>
    <x:row r="11" ht="130" customHeight="1">
      <x:c r="A11" s="10" t="n">
        <x:v>10</x:v>
      </x:c>
      <x:c r="B11" s="10" t="str">
        <x:v>ADMIN-0010</x:v>
      </x:c>
      <x:c r="C11" s="10" t="str">
        <x:v>内容审核</x:v>
      </x:c>
      <x:c r="D11" s="10" t="str">
        <x:v>违规类型编辑（审核管理员）</x:v>
      </x:c>
      <x:c r="E11" s="10" t="str">
        <x:v>功能需求</x:v>
      </x:c>
      <x:c r="F11" s="10" t="str">
        <x:v>P1</x:v>
      </x:c>
      <x:c r="G11" s="9" t="str">
        <x:v>验证违规类型的排序输入-1</x:v>
      </x:c>
      <x:c r="H11" s="9" t="str">
        <x:v>排序正整数约束</x:v>
      </x:c>
      <x:c r="I11" s="9" t="str">
        <x:v>1. 审核管理员为本条执行者
2. 表单为新建违规类型；四语名称分别为“测试类型”、Test Type、Jenis Uji、Jenis Ujian，排序 1，属性自定义，状态启用</x:v>
      </x:c>
      <x:c r="J11" s="9" t="str">
        <x:v>1. 打开违规类型编辑
2. 输入排序 -1
3. 点击保存</x:v>
      </x:c>
      <x:c r="K11" s="9" t="str">
        <x:v>本次违规类型未保存</x:v>
      </x:c>
      <x:c r="L11" s="10" t="str"/>
      <x:c r="M11" s="10" t="str">
        <x:v>未测</x:v>
      </x:c>
      <x:c r="N11" s="10" t="str"/>
      <x:c r="O11" s="9" t="str">
        <x:v>1. 来源（当前证据）：liveshow-proto/MainBasis/统一需求文档.md；位置：第 2698 行；REQ-34ef5cc23216、第 2694 行
2. 规则：BR-995DE43FB37D49
3. 未动态验证
4. 示例账号、编号、金额与日期是本条测试数据；执行前按前置条件准备，未填写的产品决策不得自行假定。</x:v>
      </x:c>
    </x:row>
    <x:row r="12" ht="130" customHeight="1">
      <x:c r="A12" s="10" t="n">
        <x:v>11</x:v>
      </x:c>
      <x:c r="B12" s="10" t="str">
        <x:v>ADMIN-0011</x:v>
      </x:c>
      <x:c r="C12" s="10" t="str">
        <x:v>内容审核</x:v>
      </x:c>
      <x:c r="D12" s="10" t="str">
        <x:v>违规类型编辑（审核管理员）</x:v>
      </x:c>
      <x:c r="E12" s="10" t="str">
        <x:v>功能需求</x:v>
      </x:c>
      <x:c r="F12" s="10" t="str">
        <x:v>P1</x:v>
      </x:c>
      <x:c r="G12" s="9" t="str">
        <x:v>验证违规类型的排序输入0</x:v>
      </x:c>
      <x:c r="H12" s="9" t="str">
        <x:v>排序正整数约束</x:v>
      </x:c>
      <x:c r="I12" s="9" t="str">
        <x:v>1. 审核管理员为本条执行者
2. 表单为新建违规类型；四语名称分别为“测试类型”、Test Type、Jenis Uji、Jenis Ujian，排序 1，属性自定义，状态启用</x:v>
      </x:c>
      <x:c r="J12" s="9" t="str">
        <x:v>1. 打开违规类型编辑
2. 输入排序 0
3. 点击保存</x:v>
      </x:c>
      <x:c r="K12" s="9" t="str">
        <x:v>本次违规类型未保存</x:v>
      </x:c>
      <x:c r="L12" s="10" t="str"/>
      <x:c r="M12" s="10" t="str">
        <x:v>未测</x:v>
      </x:c>
      <x:c r="N12" s="10" t="str"/>
      <x:c r="O12" s="9" t="str">
        <x:v>1. 来源（当前证据）：liveshow-proto/MainBasis/统一需求文档.md；位置：第 2698 行；REQ-34ef5cc23216、第 2694 行
2. 规则：BR-C55F722C474118
3. 未动态验证
4. 示例账号、编号、金额与日期是本条测试数据；执行前按前置条件准备，未填写的产品决策不得自行假定。</x:v>
      </x:c>
    </x:row>
    <x:row r="13" ht="130" customHeight="1">
      <x:c r="A13" s="10" t="n">
        <x:v>12</x:v>
      </x:c>
      <x:c r="B13" s="10" t="str">
        <x:v>ADMIN-0012</x:v>
      </x:c>
      <x:c r="C13" s="10" t="str">
        <x:v>内容审核</x:v>
      </x:c>
      <x:c r="D13" s="10" t="str">
        <x:v>违规类型编辑（审核管理员）</x:v>
      </x:c>
      <x:c r="E13" s="10" t="str">
        <x:v>功能需求</x:v>
      </x:c>
      <x:c r="F13" s="10" t="str">
        <x:v>P1</x:v>
      </x:c>
      <x:c r="G13" s="9" t="str">
        <x:v>验证违规类型的排序输入0.5</x:v>
      </x:c>
      <x:c r="H13" s="9" t="str">
        <x:v>排序正整数约束</x:v>
      </x:c>
      <x:c r="I13" s="9" t="str">
        <x:v>1. 审核管理员为本条执行者
2. 表单为新建违规类型；四语名称分别为“测试类型”、Test Type、Jenis Uji、Jenis Ujian，排序 1，属性自定义，状态启用</x:v>
      </x:c>
      <x:c r="J13" s="9" t="str">
        <x:v>1. 打开违规类型编辑
2. 输入排序 0.5
3. 点击保存</x:v>
      </x:c>
      <x:c r="K13" s="9" t="str">
        <x:v>本次违规类型未保存</x:v>
      </x:c>
      <x:c r="L13" s="10" t="str"/>
      <x:c r="M13" s="10" t="str">
        <x:v>未测</x:v>
      </x:c>
      <x:c r="N13" s="10" t="str"/>
      <x:c r="O13" s="9" t="str">
        <x:v>1. 来源（当前证据）：liveshow-proto/MainBasis/统一需求文档.md；位置：第 2698 行；REQ-34ef5cc23216、第 2694 行
2. 规则：BR-7434EA2C831F3E
3. 未动态验证
4. 示例账号、编号、金额与日期是本条测试数据；执行前按前置条件准备，未填写的产品决策不得自行假定。</x:v>
      </x:c>
    </x:row>
    <x:row r="14" ht="130" customHeight="1">
      <x:c r="A14" s="10" t="n">
        <x:v>13</x:v>
      </x:c>
      <x:c r="B14" s="10" t="str">
        <x:v>ADMIN-0013</x:v>
      </x:c>
      <x:c r="C14" s="10" t="str">
        <x:v>内容审核</x:v>
      </x:c>
      <x:c r="D14" s="10" t="str">
        <x:v>违规类型编辑（审核管理员）</x:v>
      </x:c>
      <x:c r="E14" s="10" t="str">
        <x:v>功能需求</x:v>
      </x:c>
      <x:c r="F14" s="10" t="str">
        <x:v>P1</x:v>
      </x:c>
      <x:c r="G14" s="9" t="str">
        <x:v>验证违规类型的排序输入1</x:v>
      </x:c>
      <x:c r="H14" s="9" t="str">
        <x:v>排序正整数约束</x:v>
      </x:c>
      <x:c r="I14" s="9" t="str">
        <x:v>1. 审核管理员为本条执行者
2. 表单为新建违规类型；四语名称分别为“测试类型”、Test Type、Jenis Uji、Jenis Ujian，排序 1，属性自定义，状态启用</x:v>
      </x:c>
      <x:c r="J14" s="9" t="str">
        <x:v>1. 打开违规类型编辑
2. 输入排序 1
3. 点击保存</x:v>
      </x:c>
      <x:c r="K14" s="9" t="str">
        <x:v>违规类型保存后的排序为 1</x:v>
      </x:c>
      <x:c r="L14" s="10" t="str"/>
      <x:c r="M14" s="10" t="str">
        <x:v>未测</x:v>
      </x:c>
      <x:c r="N14" s="10" t="str"/>
      <x:c r="O14" s="9" t="str">
        <x:v>1. 来源（当前证据）：liveshow-proto/MainBasis/统一需求文档.md；位置：第 2698 行；REQ-34ef5cc23216、第 2694 行
2. 规则：BR-D16EB119E0FBEC
3. 未动态验证
4. 示例账号、编号、金额与日期是本条测试数据；执行前按前置条件准备，未填写的产品决策不得自行假定。</x:v>
      </x:c>
    </x:row>
    <x:row r="15" ht="130" customHeight="1">
      <x:c r="A15" s="10" t="n">
        <x:v>14</x:v>
      </x:c>
      <x:c r="B15" s="10" t="str">
        <x:v>ADMIN-0014</x:v>
      </x:c>
      <x:c r="C15" s="10" t="str">
        <x:v>内容审核</x:v>
      </x:c>
      <x:c r="D15" s="10" t="str">
        <x:v>违规类型编辑（审核管理员）</x:v>
      </x:c>
      <x:c r="E15" s="10" t="str">
        <x:v>功能需求</x:v>
      </x:c>
      <x:c r="F15" s="10" t="str">
        <x:v>P1</x:v>
      </x:c>
      <x:c r="G15" s="9" t="str">
        <x:v>验证编辑违规类型不能修改系统标识</x:v>
      </x:c>
      <x:c r="H15" s="9" t="str">
        <x:v>标识只读性</x:v>
      </x:c>
      <x:c r="I15" s="9" t="str">
        <x:v>1. 审核管理员为本条执行者
2. 表单为新建违规类型；四语名称分别为“测试类型”、Test Type、Jenis Uji、Jenis Ujian，排序 1，属性自定义，状态启用
3. 已有违规类型标识为 900001，本次切换为编辑该记录</x:v>
      </x:c>
      <x:c r="J15" s="9" t="str">
        <x:v>1. 打开违规类型 900001 的编辑页面
2. 查看类型 ID</x:v>
      </x:c>
      <x:c r="K15" s="9" t="str">
        <x:v>类型 ID为只读</x:v>
      </x:c>
      <x:c r="L15" s="10" t="str"/>
      <x:c r="M15" s="10" t="str">
        <x:v>未测</x:v>
      </x:c>
      <x:c r="N15" s="10" t="str"/>
      <x:c r="O15" s="9" t="str">
        <x:v>1. 来源（当前证据）：liveshow-proto/MainBasis/统一需求文档.md；位置：第 2696 行；REQ-b2dc2aa1eed6、第 2694 行
2. 规则：BR-592300E59594D6
3. 未动态验证
4. 示例账号、编号、金额与日期是本条测试数据；执行前按前置条件准备，未填写的产品决策不得自行假定。</x:v>
      </x:c>
    </x:row>
    <x:row r="16" ht="130" customHeight="1">
      <x:c r="A16" s="10" t="n">
        <x:v>15</x:v>
      </x:c>
      <x:c r="B16" s="10" t="str">
        <x:v>ADMIN-0015</x:v>
      </x:c>
      <x:c r="C16" s="10" t="str">
        <x:v>礼物与道具</x:v>
      </x:c>
      <x:c r="D16" s="10" t="str">
        <x:v>礼物详情（平台管理员）</x:v>
      </x:c>
      <x:c r="E16" s="10" t="str">
        <x:v>异常用例</x:v>
      </x:c>
      <x:c r="F16" s="10" t="str">
        <x:v>P2</x:v>
      </x:c>
      <x:c r="G16" s="9" t="str">
        <x:v>验证礼物的中文名称为空</x:v>
      </x:c>
      <x:c r="H16" s="9" t="str">
        <x:v>中文名称必填性</x:v>
      </x:c>
      <x:c r="I16" s="9" t="str">
        <x:v>1. 平台管理员为本条执行者
2. 表单为新建礼物；礼物 ID 为本轮未使用的 900101，四语名称为“测试礼物”、Test Gift、Hadiah Uji、Hadiah Ujian，图标为礼物图标.png，单价 100 金币，排序权重 10</x:v>
      </x:c>
      <x:c r="J16" s="9" t="str">
        <x:v>1. 打开礼物详情
2. 清空中文名称
3. 点击保存</x:v>
      </x:c>
      <x:c r="K16" s="9" t="str">
        <x:v>本次礼物未保存</x:v>
      </x:c>
      <x:c r="L16" s="10" t="str"/>
      <x:c r="M16" s="10" t="str">
        <x:v>未测</x:v>
      </x:c>
      <x:c r="N16" s="10" t="str"/>
      <x:c r="O16" s="9" t="str">
        <x:v>1. 来源（当前证据）：liveshow-proto/MainBasis/统一需求文档.md；位置：第 2746 行；REQ-8da0d37a183a、第 2743 行
2. 规则：BR-074F9BE4776321
3. 未动态验证
4. 示例账号、编号、金额与日期是本条测试数据；执行前按前置条件准备，未填写的产品决策不得自行假定。</x:v>
      </x:c>
    </x:row>
    <x:row r="17" ht="130" customHeight="1">
      <x:c r="A17" s="10" t="n">
        <x:v>16</x:v>
      </x:c>
      <x:c r="B17" s="10" t="str">
        <x:v>ADMIN-0016</x:v>
      </x:c>
      <x:c r="C17" s="10" t="str">
        <x:v>礼物与道具</x:v>
      </x:c>
      <x:c r="D17" s="10" t="str">
        <x:v>礼物详情（平台管理员）</x:v>
      </x:c>
      <x:c r="E17" s="10" t="str">
        <x:v>异常用例</x:v>
      </x:c>
      <x:c r="F17" s="10" t="str">
        <x:v>P2</x:v>
      </x:c>
      <x:c r="G17" s="9" t="str">
        <x:v>验证礼物的英语名称为空</x:v>
      </x:c>
      <x:c r="H17" s="9" t="str">
        <x:v>英语名称必填性</x:v>
      </x:c>
      <x:c r="I17" s="9" t="str">
        <x:v>1. 平台管理员为本条执行者
2. 表单为新建礼物；礼物 ID 为本轮未使用的 900101，四语名称为“测试礼物”、Test Gift、Hadiah Uji、Hadiah Ujian，图标为礼物图标.png，单价 100 金币，排序权重 10</x:v>
      </x:c>
      <x:c r="J17" s="9" t="str">
        <x:v>1. 打开礼物详情
2. 清空英语名称
3. 点击保存</x:v>
      </x:c>
      <x:c r="K17" s="9" t="str">
        <x:v>本次礼物未保存</x:v>
      </x:c>
      <x:c r="L17" s="10" t="str"/>
      <x:c r="M17" s="10" t="str">
        <x:v>未测</x:v>
      </x:c>
      <x:c r="N17" s="10" t="str"/>
      <x:c r="O17" s="9" t="str">
        <x:v>1. 来源（当前证据）：liveshow-proto/MainBasis/统一需求文档.md；位置：第 2746 行；REQ-8da0d37a183a、第 2743 行
2. 规则：BR-DF1E510B1DED57
3. 未动态验证
4. 示例账号、编号、金额与日期是本条测试数据；执行前按前置条件准备，未填写的产品决策不得自行假定。</x:v>
      </x:c>
    </x:row>
    <x:row r="18" ht="130" customHeight="1">
      <x:c r="A18" s="10" t="n">
        <x:v>17</x:v>
      </x:c>
      <x:c r="B18" s="10" t="str">
        <x:v>ADMIN-0017</x:v>
      </x:c>
      <x:c r="C18" s="10" t="str">
        <x:v>礼物与道具</x:v>
      </x:c>
      <x:c r="D18" s="10" t="str">
        <x:v>礼物详情（平台管理员）</x:v>
      </x:c>
      <x:c r="E18" s="10" t="str">
        <x:v>异常用例</x:v>
      </x:c>
      <x:c r="F18" s="10" t="str">
        <x:v>P2</x:v>
      </x:c>
      <x:c r="G18" s="9" t="str">
        <x:v>验证礼物的印尼语名称为空</x:v>
      </x:c>
      <x:c r="H18" s="9" t="str">
        <x:v>印尼语名称必填性</x:v>
      </x:c>
      <x:c r="I18" s="9" t="str">
        <x:v>1. 平台管理员为本条执行者
2. 表单为新建礼物；礼物 ID 为本轮未使用的 900101，四语名称为“测试礼物”、Test Gift、Hadiah Uji、Hadiah Ujian，图标为礼物图标.png，单价 100 金币，排序权重 10</x:v>
      </x:c>
      <x:c r="J18" s="9" t="str">
        <x:v>1. 打开礼物详情
2. 清空印尼语名称
3. 点击保存</x:v>
      </x:c>
      <x:c r="K18" s="9" t="str">
        <x:v>本次礼物未保存</x:v>
      </x:c>
      <x:c r="L18" s="10" t="str"/>
      <x:c r="M18" s="10" t="str">
        <x:v>未测</x:v>
      </x:c>
      <x:c r="N18" s="10" t="str"/>
      <x:c r="O18" s="9" t="str">
        <x:v>1. 来源（当前证据）：liveshow-proto/MainBasis/统一需求文档.md；位置：第 2746 行；REQ-8da0d37a183a、第 2743 行
2. 规则：BR-082CC65FE40E03
3. 未动态验证
4. 示例账号、编号、金额与日期是本条测试数据；执行前按前置条件准备，未填写的产品决策不得自行假定。</x:v>
      </x:c>
    </x:row>
    <x:row r="19" ht="130" customHeight="1">
      <x:c r="A19" s="10" t="n">
        <x:v>18</x:v>
      </x:c>
      <x:c r="B19" s="10" t="str">
        <x:v>ADMIN-0018</x:v>
      </x:c>
      <x:c r="C19" s="10" t="str">
        <x:v>礼物与道具</x:v>
      </x:c>
      <x:c r="D19" s="10" t="str">
        <x:v>礼物详情（平台管理员）</x:v>
      </x:c>
      <x:c r="E19" s="10" t="str">
        <x:v>异常用例</x:v>
      </x:c>
      <x:c r="F19" s="10" t="str">
        <x:v>P2</x:v>
      </x:c>
      <x:c r="G19" s="9" t="str">
        <x:v>验证礼物的马来语名称为空</x:v>
      </x:c>
      <x:c r="H19" s="9" t="str">
        <x:v>马来语名称必填性</x:v>
      </x:c>
      <x:c r="I19" s="9" t="str">
        <x:v>1. 平台管理员为本条执行者
2. 表单为新建礼物；礼物 ID 为本轮未使用的 900101，四语名称为“测试礼物”、Test Gift、Hadiah Uji、Hadiah Ujian，图标为礼物图标.png，单价 100 金币，排序权重 10</x:v>
      </x:c>
      <x:c r="J19" s="9" t="str">
        <x:v>1. 打开礼物详情
2. 清空马来语名称
3. 点击保存</x:v>
      </x:c>
      <x:c r="K19" s="9" t="str">
        <x:v>本次礼物未保存</x:v>
      </x:c>
      <x:c r="L19" s="10" t="str"/>
      <x:c r="M19" s="10" t="str">
        <x:v>未测</x:v>
      </x:c>
      <x:c r="N19" s="10" t="str"/>
      <x:c r="O19" s="9" t="str">
        <x:v>1. 来源（当前证据）：liveshow-proto/MainBasis/统一需求文档.md；位置：第 2746 行；REQ-8da0d37a183a、第 2743 行
2. 规则：BR-2345A335C59B4C
3. 未动态验证
4. 示例账号、编号、金额与日期是本条测试数据；执行前按前置条件准备，未填写的产品决策不得自行假定。</x:v>
      </x:c>
    </x:row>
    <x:row r="20" ht="130" customHeight="1">
      <x:c r="A20" s="10" t="n">
        <x:v>19</x:v>
      </x:c>
      <x:c r="B20" s="10" t="str">
        <x:v>ADMIN-0019</x:v>
      </x:c>
      <x:c r="C20" s="10" t="str">
        <x:v>礼物与道具</x:v>
      </x:c>
      <x:c r="D20" s="10" t="str">
        <x:v>礼物详情（平台管理员）</x:v>
      </x:c>
      <x:c r="E20" s="10" t="str">
        <x:v>异常用例</x:v>
      </x:c>
      <x:c r="F20" s="10" t="str">
        <x:v>P2</x:v>
      </x:c>
      <x:c r="G20" s="9" t="str">
        <x:v>验证礼物的图标为空</x:v>
      </x:c>
      <x:c r="H20" s="9" t="str">
        <x:v>图标必填性</x:v>
      </x:c>
      <x:c r="I20" s="9" t="str">
        <x:v>1. 平台管理员为本条执行者
2. 表单为新建礼物；礼物 ID 为本轮未使用的 900101，四语名称为“测试礼物”、Test Gift、Hadiah Uji、Hadiah Ujian，图标为礼物图标.png，单价 100 金币，排序权重 10</x:v>
      </x:c>
      <x:c r="J20" s="9" t="str">
        <x:v>1. 打开礼物详情
2. 删除图标
3. 点击保存</x:v>
      </x:c>
      <x:c r="K20" s="9" t="str">
        <x:v>本次礼物未保存</x:v>
      </x:c>
      <x:c r="L20" s="10" t="str"/>
      <x:c r="M20" s="10" t="str">
        <x:v>未测</x:v>
      </x:c>
      <x:c r="N20" s="10" t="str"/>
      <x:c r="O20" s="9" t="str">
        <x:v>1. 来源（当前证据）：liveshow-proto/MainBasis/统一需求文档.md；位置：第 2747 行；REQ-8af979e2ac65、第 2743 行
2. 规则：BR-92441BF4CFDEAD
3. 未动态验证
4. 示例账号、编号、金额与日期是本条测试数据；执行前按前置条件准备，未填写的产品决策不得自行假定。</x:v>
      </x:c>
    </x:row>
    <x:row r="21" ht="130" customHeight="1">
      <x:c r="A21" s="10" t="n">
        <x:v>20</x:v>
      </x:c>
      <x:c r="B21" s="10" t="str">
        <x:v>ADMIN-0020</x:v>
      </x:c>
      <x:c r="C21" s="10" t="str">
        <x:v>礼物与道具</x:v>
      </x:c>
      <x:c r="D21" s="10" t="str">
        <x:v>礼物详情（平台管理员）</x:v>
      </x:c>
      <x:c r="E21" s="10" t="str">
        <x:v>功能需求</x:v>
      </x:c>
      <x:c r="F21" s="10" t="str">
        <x:v>P2</x:v>
      </x:c>
      <x:c r="G21" s="9" t="str">
        <x:v>验证礼物的单价输入-1</x:v>
      </x:c>
      <x:c r="H21" s="9" t="str">
        <x:v>单价正整数约束</x:v>
      </x:c>
      <x:c r="I21" s="9" t="str">
        <x:v>1. 平台管理员为本条执行者
2. 表单为新建礼物；礼物 ID 为本轮未使用的 900101，四语名称为“测试礼物”、Test Gift、Hadiah Uji、Hadiah Ujian，图标为礼物图标.png，单价 100 金币，排序权重 10</x:v>
      </x:c>
      <x:c r="J21" s="9" t="str">
        <x:v>1. 打开礼物详情
2. 输入单价 -1
3. 点击保存</x:v>
      </x:c>
      <x:c r="K21" s="9" t="str">
        <x:v>本次礼物未保存</x:v>
      </x:c>
      <x:c r="L21" s="10" t="str"/>
      <x:c r="M21" s="10" t="str">
        <x:v>未测</x:v>
      </x:c>
      <x:c r="N21" s="10" t="str"/>
      <x:c r="O21" s="9" t="str">
        <x:v>1. 来源（当前证据）：liveshow-proto/MainBasis/统一需求文档.md；位置：第 2748 行；REQ-f8be2dc459e3、第 2743 行
2. 规则：BR-CC34AE61838F55
3. 未动态验证
4. 示例账号、编号、金额与日期是本条测试数据；执行前按前置条件准备，未填写的产品决策不得自行假定。</x:v>
      </x:c>
    </x:row>
    <x:row r="22" ht="130" customHeight="1">
      <x:c r="A22" s="10" t="n">
        <x:v>21</x:v>
      </x:c>
      <x:c r="B22" s="10" t="str">
        <x:v>ADMIN-0021</x:v>
      </x:c>
      <x:c r="C22" s="10" t="str">
        <x:v>礼物与道具</x:v>
      </x:c>
      <x:c r="D22" s="10" t="str">
        <x:v>礼物详情（平台管理员）</x:v>
      </x:c>
      <x:c r="E22" s="10" t="str">
        <x:v>功能需求</x:v>
      </x:c>
      <x:c r="F22" s="10" t="str">
        <x:v>P2</x:v>
      </x:c>
      <x:c r="G22" s="9" t="str">
        <x:v>验证礼物的单价输入0</x:v>
      </x:c>
      <x:c r="H22" s="9" t="str">
        <x:v>单价正整数约束</x:v>
      </x:c>
      <x:c r="I22" s="9" t="str">
        <x:v>1. 平台管理员为本条执行者
2. 表单为新建礼物；礼物 ID 为本轮未使用的 900101，四语名称为“测试礼物”、Test Gift、Hadiah Uji、Hadiah Ujian，图标为礼物图标.png，单价 100 金币，排序权重 10</x:v>
      </x:c>
      <x:c r="J22" s="9" t="str">
        <x:v>1. 打开礼物详情
2. 输入单价 0
3. 点击保存</x:v>
      </x:c>
      <x:c r="K22" s="9" t="str">
        <x:v>本次礼物未保存</x:v>
      </x:c>
      <x:c r="L22" s="10" t="str"/>
      <x:c r="M22" s="10" t="str">
        <x:v>未测</x:v>
      </x:c>
      <x:c r="N22" s="10" t="str"/>
      <x:c r="O22" s="9" t="str">
        <x:v>1. 来源（当前证据）：liveshow-proto/MainBasis/统一需求文档.md；位置：第 2748 行；REQ-f8be2dc459e3、第 2743 行
2. 规则：BR-63D314E454D364
3. 未动态验证
4. 示例账号、编号、金额与日期是本条测试数据；执行前按前置条件准备，未填写的产品决策不得自行假定。</x:v>
      </x:c>
    </x:row>
    <x:row r="23" ht="130" customHeight="1">
      <x:c r="A23" s="10" t="n">
        <x:v>22</x:v>
      </x:c>
      <x:c r="B23" s="10" t="str">
        <x:v>ADMIN-0022</x:v>
      </x:c>
      <x:c r="C23" s="10" t="str">
        <x:v>礼物与道具</x:v>
      </x:c>
      <x:c r="D23" s="10" t="str">
        <x:v>礼物详情（平台管理员）</x:v>
      </x:c>
      <x:c r="E23" s="10" t="str">
        <x:v>功能需求</x:v>
      </x:c>
      <x:c r="F23" s="10" t="str">
        <x:v>P2</x:v>
      </x:c>
      <x:c r="G23" s="9" t="str">
        <x:v>验证礼物的单价输入0.5</x:v>
      </x:c>
      <x:c r="H23" s="9" t="str">
        <x:v>单价正整数约束</x:v>
      </x:c>
      <x:c r="I23" s="9" t="str">
        <x:v>1. 平台管理员为本条执行者
2. 表单为新建礼物；礼物 ID 为本轮未使用的 900101，四语名称为“测试礼物”、Test Gift、Hadiah Uji、Hadiah Ujian，图标为礼物图标.png，单价 100 金币，排序权重 10</x:v>
      </x:c>
      <x:c r="J23" s="9" t="str">
        <x:v>1. 打开礼物详情
2. 输入单价 0.5
3. 点击保存</x:v>
      </x:c>
      <x:c r="K23" s="9" t="str">
        <x:v>本次礼物未保存</x:v>
      </x:c>
      <x:c r="L23" s="10" t="str"/>
      <x:c r="M23" s="10" t="str">
        <x:v>未测</x:v>
      </x:c>
      <x:c r="N23" s="10" t="str"/>
      <x:c r="O23" s="9" t="str">
        <x:v>1. 来源（当前证据）：liveshow-proto/MainBasis/统一需求文档.md；位置：第 2748 行；REQ-f8be2dc459e3、第 2743 行
2. 规则：BR-B56877223C62C5
3. 未动态验证
4. 示例账号、编号、金额与日期是本条测试数据；执行前按前置条件准备，未填写的产品决策不得自行假定。</x:v>
      </x:c>
    </x:row>
    <x:row r="24" ht="130" customHeight="1">
      <x:c r="A24" s="10" t="n">
        <x:v>23</x:v>
      </x:c>
      <x:c r="B24" s="10" t="str">
        <x:v>ADMIN-0023</x:v>
      </x:c>
      <x:c r="C24" s="10" t="str">
        <x:v>礼物与道具</x:v>
      </x:c>
      <x:c r="D24" s="10" t="str">
        <x:v>礼物详情（平台管理员）</x:v>
      </x:c>
      <x:c r="E24" s="10" t="str">
        <x:v>功能需求</x:v>
      </x:c>
      <x:c r="F24" s="10" t="str">
        <x:v>P2</x:v>
      </x:c>
      <x:c r="G24" s="9" t="str">
        <x:v>验证礼物的单价输入1</x:v>
      </x:c>
      <x:c r="H24" s="9" t="str">
        <x:v>单价正整数约束</x:v>
      </x:c>
      <x:c r="I24" s="9" t="str">
        <x:v>1. 平台管理员为本条执行者
2. 表单为新建礼物；礼物 ID 为本轮未使用的 900101，四语名称为“测试礼物”、Test Gift、Hadiah Uji、Hadiah Ujian，图标为礼物图标.png，单价 100 金币，排序权重 10</x:v>
      </x:c>
      <x:c r="J24" s="9" t="str">
        <x:v>1. 打开礼物详情
2. 输入单价 1
3. 点击保存</x:v>
      </x:c>
      <x:c r="K24" s="9" t="str">
        <x:v>礼物保存后的单价为 1</x:v>
      </x:c>
      <x:c r="L24" s="10" t="str"/>
      <x:c r="M24" s="10" t="str">
        <x:v>未测</x:v>
      </x:c>
      <x:c r="N24" s="10" t="str"/>
      <x:c r="O24" s="9" t="str">
        <x:v>1. 来源（当前证据）：liveshow-proto/MainBasis/统一需求文档.md；位置：第 2748 行；REQ-f8be2dc459e3、第 2743 行
2. 规则：BR-E1F03DB5AF1B05
3. 未动态验证
4. 示例账号、编号、金额与日期是本条测试数据；执行前按前置条件准备，未填写的产品决策不得自行假定。</x:v>
      </x:c>
    </x:row>
    <x:row r="25" ht="145" customHeight="1">
      <x:c r="A25" s="10" t="n">
        <x:v>24</x:v>
      </x:c>
      <x:c r="B25" s="10" t="str">
        <x:v>ADMIN-0024</x:v>
      </x:c>
      <x:c r="C25" s="10" t="str">
        <x:v>礼物与道具</x:v>
      </x:c>
      <x:c r="D25" s="10" t="str">
        <x:v>礼物详情（平台管理员）</x:v>
      </x:c>
      <x:c r="E25" s="10" t="str">
        <x:v>异常用例</x:v>
      </x:c>
      <x:c r="F25" s="10" t="str">
        <x:v>P2</x:v>
      </x:c>
      <x:c r="G25" s="9" t="str">
        <x:v>验证礼物拒绝重复礼物 ID</x:v>
      </x:c>
      <x:c r="H25" s="9" t="str">
        <x:v>礼物 ID唯一性</x:v>
      </x:c>
      <x:c r="I25" s="9" t="str">
        <x:v>1. 平台管理员为本条执行者
2. 表单为新建礼物；礼物 ID 为本轮未使用的 900101，四语名称为“测试礼物”、Test Gift、Hadiah Uji、Hadiah Ujian，图标为礼物图标.png，单价 100 金币，排序权重 10
3. 已存在一条礼物 ID与本表单相同的记录</x:v>
      </x:c>
      <x:c r="J25" s="9" t="str">
        <x:v>1. 打开礼物详情
2. 点击保存</x:v>
      </x:c>
      <x:c r="K25" s="9" t="str">
        <x:v>未新增重复礼物 ID的礼物</x:v>
      </x:c>
      <x:c r="L25" s="10" t="str"/>
      <x:c r="M25" s="10" t="str">
        <x:v>未测</x:v>
      </x:c>
      <x:c r="N25" s="10" t="str"/>
      <x:c r="O25" s="9" t="str">
        <x:v>1. 来源（当前证据）：liveshow-proto/MainBasis/统一需求文档.md；位置：第 2745 行；REQ-e52d9858f0ee、第 2743 行
2. 规则：BR-96C9F8897212A7
3. 未动态验证
4. 示例账号、编号、金额与日期是本条测试数据；执行前按前置条件准备，未填写的产品决策不得自行假定。</x:v>
      </x:c>
    </x:row>
    <x:row r="26" ht="145" customHeight="1">
      <x:c r="A26" s="10" t="n">
        <x:v>25</x:v>
      </x:c>
      <x:c r="B26" s="10" t="str">
        <x:v>ADMIN-0025</x:v>
      </x:c>
      <x:c r="C26" s="10" t="str">
        <x:v>礼物与道具</x:v>
      </x:c>
      <x:c r="D26" s="10" t="str">
        <x:v>礼物详情（平台管理员）</x:v>
      </x:c>
      <x:c r="E26" s="10" t="str">
        <x:v>功能需求</x:v>
      </x:c>
      <x:c r="F26" s="10" t="str">
        <x:v>P2</x:v>
      </x:c>
      <x:c r="G26" s="9" t="str">
        <x:v>验证编辑礼物不能修改系统标识</x:v>
      </x:c>
      <x:c r="H26" s="9" t="str">
        <x:v>标识只读性</x:v>
      </x:c>
      <x:c r="I26" s="9" t="str">
        <x:v>1. 平台管理员为本条执行者
2. 表单为新建礼物；礼物 ID 为本轮未使用的 900101，四语名称为“测试礼物”、Test Gift、Hadiah Uji、Hadiah Ujian，图标为礼物图标.png，单价 100 金币，排序权重 10
3. 已有礼物标识为 900001，本次切换为编辑该记录</x:v>
      </x:c>
      <x:c r="J26" s="9" t="str">
        <x:v>1. 打开礼物 900001 的编辑页面
2. 查看礼物 ID</x:v>
      </x:c>
      <x:c r="K26" s="9" t="str">
        <x:v>礼物 ID为只读</x:v>
      </x:c>
      <x:c r="L26" s="10" t="str"/>
      <x:c r="M26" s="10" t="str">
        <x:v>未测</x:v>
      </x:c>
      <x:c r="N26" s="10" t="str"/>
      <x:c r="O26" s="9" t="str">
        <x:v>1. 来源（当前证据）：liveshow-proto/MainBasis/统一需求文档.md；位置：第 2745 行；REQ-e52d9858f0ee、第 2743 行
2. 规则：BR-695D73C0BAF5CD
3. 未动态验证
4. 示例账号、编号、金额与日期是本条测试数据；执行前按前置条件准备，未填写的产品决策不得自行假定。</x:v>
      </x:c>
    </x:row>
    <x:row r="27" ht="145" customHeight="1">
      <x:c r="A27" s="10" t="n">
        <x:v>26</x:v>
      </x:c>
      <x:c r="B27" s="10" t="str">
        <x:v>ADMIN-0026</x:v>
      </x:c>
      <x:c r="C27" s="10" t="str">
        <x:v>礼物与道具</x:v>
      </x:c>
      <x:c r="D27" s="10" t="str">
        <x:v>幸运礼物编辑（平台管理员）</x:v>
      </x:c>
      <x:c r="E27" s="10" t="str">
        <x:v>异常用例</x:v>
      </x:c>
      <x:c r="F27" s="10" t="str">
        <x:v>P2</x:v>
      </x:c>
      <x:c r="G27" s="9" t="str">
        <x:v>验证幸运礼物的中文名称为空</x:v>
      </x:c>
      <x:c r="H27" s="9" t="str">
        <x:v>中文名称必填性</x:v>
      </x:c>
      <x:c r="I27"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27" s="9" t="str">
        <x:v>1. 打开幸运礼物编辑
2. 清空中文名称
3. 点击保存</x:v>
      </x:c>
      <x:c r="K27" s="9" t="str">
        <x:v>本次幸运礼物未保存</x:v>
      </x:c>
      <x:c r="L27" s="10" t="str"/>
      <x:c r="M27" s="10" t="str">
        <x:v>未测</x:v>
      </x:c>
      <x:c r="N27" s="10" t="str"/>
      <x:c r="O27" s="9" t="str">
        <x:v>1. 来源（当前证据）：liveshow-proto/MainBasis/统一需求文档.md；位置：第 2783 行；REQ-b86c882650ec、第 2781 行
2. 规则：BR-AABC8D109298FC
3. 未动态验证
4. 示例账号、编号、金额与日期是本条测试数据；执行前按前置条件准备，未填写的产品决策不得自行假定。</x:v>
      </x:c>
    </x:row>
    <x:row r="28" ht="145" customHeight="1">
      <x:c r="A28" s="10" t="n">
        <x:v>27</x:v>
      </x:c>
      <x:c r="B28" s="10" t="str">
        <x:v>ADMIN-0027</x:v>
      </x:c>
      <x:c r="C28" s="10" t="str">
        <x:v>礼物与道具</x:v>
      </x:c>
      <x:c r="D28" s="10" t="str">
        <x:v>幸运礼物编辑（平台管理员）</x:v>
      </x:c>
      <x:c r="E28" s="10" t="str">
        <x:v>异常用例</x:v>
      </x:c>
      <x:c r="F28" s="10" t="str">
        <x:v>P2</x:v>
      </x:c>
      <x:c r="G28" s="9" t="str">
        <x:v>验证幸运礼物的英语名称为空</x:v>
      </x:c>
      <x:c r="H28" s="9" t="str">
        <x:v>英语名称必填性</x:v>
      </x:c>
      <x:c r="I28"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28" s="9" t="str">
        <x:v>1. 打开幸运礼物编辑
2. 清空英语名称
3. 点击保存</x:v>
      </x:c>
      <x:c r="K28" s="9" t="str">
        <x:v>本次幸运礼物未保存</x:v>
      </x:c>
      <x:c r="L28" s="10" t="str"/>
      <x:c r="M28" s="10" t="str">
        <x:v>未测</x:v>
      </x:c>
      <x:c r="N28" s="10" t="str"/>
      <x:c r="O28" s="9" t="str">
        <x:v>1. 来源（当前证据）：liveshow-proto/MainBasis/统一需求文档.md；位置：第 2783 行；REQ-b86c882650ec、第 2781 行
2. 规则：BR-E7EB498DD51346
3. 未动态验证
4. 示例账号、编号、金额与日期是本条测试数据；执行前按前置条件准备，未填写的产品决策不得自行假定。</x:v>
      </x:c>
    </x:row>
    <x:row r="29" ht="145" customHeight="1">
      <x:c r="A29" s="10" t="n">
        <x:v>28</x:v>
      </x:c>
      <x:c r="B29" s="10" t="str">
        <x:v>ADMIN-0028</x:v>
      </x:c>
      <x:c r="C29" s="10" t="str">
        <x:v>礼物与道具</x:v>
      </x:c>
      <x:c r="D29" s="10" t="str">
        <x:v>幸运礼物编辑（平台管理员）</x:v>
      </x:c>
      <x:c r="E29" s="10" t="str">
        <x:v>异常用例</x:v>
      </x:c>
      <x:c r="F29" s="10" t="str">
        <x:v>P2</x:v>
      </x:c>
      <x:c r="G29" s="9" t="str">
        <x:v>验证幸运礼物的印尼语名称为空</x:v>
      </x:c>
      <x:c r="H29" s="9" t="str">
        <x:v>印尼语名称必填性</x:v>
      </x:c>
      <x:c r="I29"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29" s="9" t="str">
        <x:v>1. 打开幸运礼物编辑
2. 清空印尼语名称
3. 点击保存</x:v>
      </x:c>
      <x:c r="K29" s="9" t="str">
        <x:v>本次幸运礼物未保存</x:v>
      </x:c>
      <x:c r="L29" s="10" t="str"/>
      <x:c r="M29" s="10" t="str">
        <x:v>未测</x:v>
      </x:c>
      <x:c r="N29" s="10" t="str"/>
      <x:c r="O29" s="9" t="str">
        <x:v>1. 来源（当前证据）：liveshow-proto/MainBasis/统一需求文档.md；位置：第 2783 行；REQ-b86c882650ec、第 2781 行
2. 规则：BR-27175D3AC217FE
3. 未动态验证
4. 示例账号、编号、金额与日期是本条测试数据；执行前按前置条件准备，未填写的产品决策不得自行假定。</x:v>
      </x:c>
    </x:row>
    <x:row r="30" ht="145" customHeight="1">
      <x:c r="A30" s="10" t="n">
        <x:v>29</x:v>
      </x:c>
      <x:c r="B30" s="10" t="str">
        <x:v>ADMIN-0029</x:v>
      </x:c>
      <x:c r="C30" s="10" t="str">
        <x:v>礼物与道具</x:v>
      </x:c>
      <x:c r="D30" s="10" t="str">
        <x:v>幸运礼物编辑（平台管理员）</x:v>
      </x:c>
      <x:c r="E30" s="10" t="str">
        <x:v>异常用例</x:v>
      </x:c>
      <x:c r="F30" s="10" t="str">
        <x:v>P2</x:v>
      </x:c>
      <x:c r="G30" s="9" t="str">
        <x:v>验证幸运礼物的马来语名称为空</x:v>
      </x:c>
      <x:c r="H30" s="9" t="str">
        <x:v>马来语名称必填性</x:v>
      </x:c>
      <x:c r="I30"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0" s="9" t="str">
        <x:v>1. 打开幸运礼物编辑
2. 清空马来语名称
3. 点击保存</x:v>
      </x:c>
      <x:c r="K30" s="9" t="str">
        <x:v>本次幸运礼物未保存</x:v>
      </x:c>
      <x:c r="L30" s="10" t="str"/>
      <x:c r="M30" s="10" t="str">
        <x:v>未测</x:v>
      </x:c>
      <x:c r="N30" s="10" t="str"/>
      <x:c r="O30" s="9" t="str">
        <x:v>1. 来源（当前证据）：liveshow-proto/MainBasis/统一需求文档.md；位置：第 2783 行；REQ-b86c882650ec、第 2781 行
2. 规则：BR-25D6AF32B3AF71
3. 未动态验证
4. 示例账号、编号、金额与日期是本条测试数据；执行前按前置条件准备，未填写的产品决策不得自行假定。</x:v>
      </x:c>
    </x:row>
    <x:row r="31" ht="145" customHeight="1">
      <x:c r="A31" s="10" t="n">
        <x:v>30</x:v>
      </x:c>
      <x:c r="B31" s="10" t="str">
        <x:v>ADMIN-0030</x:v>
      </x:c>
      <x:c r="C31" s="10" t="str">
        <x:v>礼物与道具</x:v>
      </x:c>
      <x:c r="D31" s="10" t="str">
        <x:v>幸运礼物编辑（平台管理员）</x:v>
      </x:c>
      <x:c r="E31" s="10" t="str">
        <x:v>异常用例</x:v>
      </x:c>
      <x:c r="F31" s="10" t="str">
        <x:v>P2</x:v>
      </x:c>
      <x:c r="G31" s="9" t="str">
        <x:v>验证幸运礼物的图标为空</x:v>
      </x:c>
      <x:c r="H31" s="9" t="str">
        <x:v>图标必填性</x:v>
      </x:c>
      <x:c r="I31"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1" s="9" t="str">
        <x:v>1. 打开幸运礼物编辑
2. 删除图标
3. 点击保存</x:v>
      </x:c>
      <x:c r="K31" s="9" t="str">
        <x:v>本次幸运礼物未保存</x:v>
      </x:c>
      <x:c r="L31" s="10" t="str"/>
      <x:c r="M31" s="10" t="str">
        <x:v>未测</x:v>
      </x:c>
      <x:c r="N31" s="10" t="str"/>
      <x:c r="O31" s="9" t="str">
        <x:v>1. 来源（当前证据）：liveshow-proto/MainBasis/统一需求文档.md；位置：第 2783 行；REQ-b86c882650ec、第 2781 行
2. 规则：BR-765204D835446E
3. 未动态验证
4. 示例账号、编号、金额与日期是本条测试数据；执行前按前置条件准备，未填写的产品决策不得自行假定。</x:v>
      </x:c>
    </x:row>
    <x:row r="32" ht="145" customHeight="1">
      <x:c r="A32" s="10" t="n">
        <x:v>31</x:v>
      </x:c>
      <x:c r="B32" s="10" t="str">
        <x:v>ADMIN-0031</x:v>
      </x:c>
      <x:c r="C32" s="10" t="str">
        <x:v>礼物与道具</x:v>
      </x:c>
      <x:c r="D32" s="10" t="str">
        <x:v>幸运礼物编辑（平台管理员）</x:v>
      </x:c>
      <x:c r="E32" s="10" t="str">
        <x:v>功能需求</x:v>
      </x:c>
      <x:c r="F32" s="10" t="str">
        <x:v>P2</x:v>
      </x:c>
      <x:c r="G32" s="9" t="str">
        <x:v>验证幸运礼物的单次消耗输入-1</x:v>
      </x:c>
      <x:c r="H32" s="9" t="str">
        <x:v>单次消耗正整数约束</x:v>
      </x:c>
      <x:c r="I32"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2" s="9" t="str">
        <x:v>1. 打开幸运礼物编辑
2. 输入单次消耗 -1
3. 点击保存</x:v>
      </x:c>
      <x:c r="K32" s="9" t="str">
        <x:v>本次幸运礼物未保存</x:v>
      </x:c>
      <x:c r="L32" s="10" t="str"/>
      <x:c r="M32" s="10" t="str">
        <x:v>未测</x:v>
      </x:c>
      <x:c r="N32" s="10" t="str"/>
      <x:c r="O32" s="9" t="str">
        <x:v>1. 来源（当前证据）：liveshow-proto/MainBasis/统一需求文档.md；位置：第 2784 行；REQ-c7aee56192e1、第 2781 行
2. 规则：BR-31169990271352
3. 未动态验证
4. 示例账号、编号、金额与日期是本条测试数据；执行前按前置条件准备，未填写的产品决策不得自行假定。</x:v>
      </x:c>
    </x:row>
    <x:row r="33" ht="145" customHeight="1">
      <x:c r="A33" s="10" t="n">
        <x:v>32</x:v>
      </x:c>
      <x:c r="B33" s="10" t="str">
        <x:v>ADMIN-0032</x:v>
      </x:c>
      <x:c r="C33" s="10" t="str">
        <x:v>礼物与道具</x:v>
      </x:c>
      <x:c r="D33" s="10" t="str">
        <x:v>幸运礼物编辑（平台管理员）</x:v>
      </x:c>
      <x:c r="E33" s="10" t="str">
        <x:v>功能需求</x:v>
      </x:c>
      <x:c r="F33" s="10" t="str">
        <x:v>P2</x:v>
      </x:c>
      <x:c r="G33" s="9" t="str">
        <x:v>验证幸运礼物的单次消耗输入0</x:v>
      </x:c>
      <x:c r="H33" s="9" t="str">
        <x:v>单次消耗正整数约束</x:v>
      </x:c>
      <x:c r="I33"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3" s="9" t="str">
        <x:v>1. 打开幸运礼物编辑
2. 输入单次消耗 0
3. 点击保存</x:v>
      </x:c>
      <x:c r="K33" s="9" t="str">
        <x:v>本次幸运礼物未保存</x:v>
      </x:c>
      <x:c r="L33" s="10" t="str"/>
      <x:c r="M33" s="10" t="str">
        <x:v>未测</x:v>
      </x:c>
      <x:c r="N33" s="10" t="str"/>
      <x:c r="O33" s="9" t="str">
        <x:v>1. 来源（当前证据）：liveshow-proto/MainBasis/统一需求文档.md；位置：第 2784 行；REQ-c7aee56192e1、第 2781 行
2. 规则：BR-9A56C3A1193A88
3. 未动态验证
4. 示例账号、编号、金额与日期是本条测试数据；执行前按前置条件准备，未填写的产品决策不得自行假定。</x:v>
      </x:c>
    </x:row>
    <x:row r="34" ht="145" customHeight="1">
      <x:c r="A34" s="10" t="n">
        <x:v>33</x:v>
      </x:c>
      <x:c r="B34" s="10" t="str">
        <x:v>ADMIN-0033</x:v>
      </x:c>
      <x:c r="C34" s="10" t="str">
        <x:v>礼物与道具</x:v>
      </x:c>
      <x:c r="D34" s="10" t="str">
        <x:v>幸运礼物编辑（平台管理员）</x:v>
      </x:c>
      <x:c r="E34" s="10" t="str">
        <x:v>功能需求</x:v>
      </x:c>
      <x:c r="F34" s="10" t="str">
        <x:v>P2</x:v>
      </x:c>
      <x:c r="G34" s="9" t="str">
        <x:v>验证幸运礼物的单次消耗输入0.5</x:v>
      </x:c>
      <x:c r="H34" s="9" t="str">
        <x:v>单次消耗正整数约束</x:v>
      </x:c>
      <x:c r="I34"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4" s="9" t="str">
        <x:v>1. 打开幸运礼物编辑
2. 输入单次消耗 0.5
3. 点击保存</x:v>
      </x:c>
      <x:c r="K34" s="9" t="str">
        <x:v>本次幸运礼物未保存</x:v>
      </x:c>
      <x:c r="L34" s="10" t="str"/>
      <x:c r="M34" s="10" t="str">
        <x:v>未测</x:v>
      </x:c>
      <x:c r="N34" s="10" t="str"/>
      <x:c r="O34" s="9" t="str">
        <x:v>1. 来源（当前证据）：liveshow-proto/MainBasis/统一需求文档.md；位置：第 2784 行；REQ-c7aee56192e1、第 2781 行
2. 规则：BR-3C4DB98E9E3DED
3. 未动态验证
4. 示例账号、编号、金额与日期是本条测试数据；执行前按前置条件准备，未填写的产品决策不得自行假定。</x:v>
      </x:c>
    </x:row>
    <x:row r="35" ht="145" customHeight="1">
      <x:c r="A35" s="10" t="n">
        <x:v>34</x:v>
      </x:c>
      <x:c r="B35" s="10" t="str">
        <x:v>ADMIN-0034</x:v>
      </x:c>
      <x:c r="C35" s="10" t="str">
        <x:v>礼物与道具</x:v>
      </x:c>
      <x:c r="D35" s="10" t="str">
        <x:v>幸运礼物编辑（平台管理员）</x:v>
      </x:c>
      <x:c r="E35" s="10" t="str">
        <x:v>功能需求</x:v>
      </x:c>
      <x:c r="F35" s="10" t="str">
        <x:v>P2</x:v>
      </x:c>
      <x:c r="G35" s="9" t="str">
        <x:v>验证幸运礼物的单次消耗输入1</x:v>
      </x:c>
      <x:c r="H35" s="9" t="str">
        <x:v>单次消耗正整数约束</x:v>
      </x:c>
      <x:c r="I35"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5" s="9" t="str">
        <x:v>1. 打开幸运礼物编辑
2. 输入单次消耗 1
3. 点击保存</x:v>
      </x:c>
      <x:c r="K35" s="9" t="str">
        <x:v>幸运礼物保存后的单次消耗为 1</x:v>
      </x:c>
      <x:c r="L35" s="10" t="str"/>
      <x:c r="M35" s="10" t="str">
        <x:v>未测</x:v>
      </x:c>
      <x:c r="N35" s="10" t="str"/>
      <x:c r="O35" s="9" t="str">
        <x:v>1. 来源（当前证据）：liveshow-proto/MainBasis/统一需求文档.md；位置：第 2784 行；REQ-c7aee56192e1、第 2781 行
2. 规则：BR-08C2CE174E921F
3. 未动态验证
4. 示例账号、编号、金额与日期是本条测试数据；执行前按前置条件准备，未填写的产品决策不得自行假定。</x:v>
      </x:c>
    </x:row>
    <x:row r="36" ht="145" customHeight="1">
      <x:c r="A36" s="10" t="n">
        <x:v>35</x:v>
      </x:c>
      <x:c r="B36" s="10" t="str">
        <x:v>ADMIN-0035</x:v>
      </x:c>
      <x:c r="C36" s="10" t="str">
        <x:v>礼物与道具</x:v>
      </x:c>
      <x:c r="D36" s="10" t="str">
        <x:v>幸运礼物编辑（平台管理员）</x:v>
      </x:c>
      <x:c r="E36" s="10" t="str">
        <x:v>功能需求</x:v>
      </x:c>
      <x:c r="F36" s="10" t="str">
        <x:v>P2</x:v>
      </x:c>
      <x:c r="G36" s="9" t="str">
        <x:v>验证幸运礼物的开奖次数输入-1</x:v>
      </x:c>
      <x:c r="H36" s="9" t="str">
        <x:v>开奖次数正整数约束</x:v>
      </x:c>
      <x:c r="I36"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6" s="9" t="str">
        <x:v>1. 打开幸运礼物编辑
2. 输入开奖次数 -1
3. 点击保存</x:v>
      </x:c>
      <x:c r="K36" s="9" t="str">
        <x:v>本次幸运礼物未保存</x:v>
      </x:c>
      <x:c r="L36" s="10" t="str"/>
      <x:c r="M36" s="10" t="str">
        <x:v>未测</x:v>
      </x:c>
      <x:c r="N36" s="10" t="str"/>
      <x:c r="O36" s="9" t="str">
        <x:v>1. 来源（当前证据）：liveshow-proto/MainBasis/统一需求文档.md；位置：第 2785 行；REQ-5c817820e007、第 2781 行
2. 规则：BR-519248A0C21FF9
3. 未动态验证
4. 示例账号、编号、金额与日期是本条测试数据；执行前按前置条件准备，未填写的产品决策不得自行假定。</x:v>
      </x:c>
    </x:row>
    <x:row r="37" ht="145" customHeight="1">
      <x:c r="A37" s="10" t="n">
        <x:v>36</x:v>
      </x:c>
      <x:c r="B37" s="10" t="str">
        <x:v>ADMIN-0036</x:v>
      </x:c>
      <x:c r="C37" s="10" t="str">
        <x:v>礼物与道具</x:v>
      </x:c>
      <x:c r="D37" s="10" t="str">
        <x:v>幸运礼物编辑（平台管理员）</x:v>
      </x:c>
      <x:c r="E37" s="10" t="str">
        <x:v>功能需求</x:v>
      </x:c>
      <x:c r="F37" s="10" t="str">
        <x:v>P2</x:v>
      </x:c>
      <x:c r="G37" s="9" t="str">
        <x:v>验证幸运礼物的开奖次数输入0</x:v>
      </x:c>
      <x:c r="H37" s="9" t="str">
        <x:v>开奖次数正整数约束</x:v>
      </x:c>
      <x:c r="I37"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7" s="9" t="str">
        <x:v>1. 打开幸运礼物编辑
2. 输入开奖次数 0
3. 点击保存</x:v>
      </x:c>
      <x:c r="K37" s="9" t="str">
        <x:v>本次幸运礼物未保存</x:v>
      </x:c>
      <x:c r="L37" s="10" t="str"/>
      <x:c r="M37" s="10" t="str">
        <x:v>未测</x:v>
      </x:c>
      <x:c r="N37" s="10" t="str"/>
      <x:c r="O37" s="9" t="str">
        <x:v>1. 来源（当前证据）：liveshow-proto/MainBasis/统一需求文档.md；位置：第 2785 行；REQ-5c817820e007、第 2781 行
2. 规则：BR-60EB38889A973B
3. 未动态验证
4. 示例账号、编号、金额与日期是本条测试数据；执行前按前置条件准备，未填写的产品决策不得自行假定。</x:v>
      </x:c>
    </x:row>
    <x:row r="38" ht="145" customHeight="1">
      <x:c r="A38" s="10" t="n">
        <x:v>37</x:v>
      </x:c>
      <x:c r="B38" s="10" t="str">
        <x:v>ADMIN-0037</x:v>
      </x:c>
      <x:c r="C38" s="10" t="str">
        <x:v>礼物与道具</x:v>
      </x:c>
      <x:c r="D38" s="10" t="str">
        <x:v>幸运礼物编辑（平台管理员）</x:v>
      </x:c>
      <x:c r="E38" s="10" t="str">
        <x:v>功能需求</x:v>
      </x:c>
      <x:c r="F38" s="10" t="str">
        <x:v>P2</x:v>
      </x:c>
      <x:c r="G38" s="9" t="str">
        <x:v>验证幸运礼物的开奖次数输入0.5</x:v>
      </x:c>
      <x:c r="H38" s="9" t="str">
        <x:v>开奖次数正整数约束</x:v>
      </x:c>
      <x:c r="I38"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8" s="9" t="str">
        <x:v>1. 打开幸运礼物编辑
2. 输入开奖次数 0.5
3. 点击保存</x:v>
      </x:c>
      <x:c r="K38" s="9" t="str">
        <x:v>本次幸运礼物未保存</x:v>
      </x:c>
      <x:c r="L38" s="10" t="str"/>
      <x:c r="M38" s="10" t="str">
        <x:v>未测</x:v>
      </x:c>
      <x:c r="N38" s="10" t="str"/>
      <x:c r="O38" s="9" t="str">
        <x:v>1. 来源（当前证据）：liveshow-proto/MainBasis/统一需求文档.md；位置：第 2785 行；REQ-5c817820e007、第 2781 行
2. 规则：BR-DB247195472B91
3. 未动态验证
4. 示例账号、编号、金额与日期是本条测试数据；执行前按前置条件准备，未填写的产品决策不得自行假定。</x:v>
      </x:c>
    </x:row>
    <x:row r="39" ht="145" customHeight="1">
      <x:c r="A39" s="10" t="n">
        <x:v>38</x:v>
      </x:c>
      <x:c r="B39" s="10" t="str">
        <x:v>ADMIN-0038</x:v>
      </x:c>
      <x:c r="C39" s="10" t="str">
        <x:v>礼物与道具</x:v>
      </x:c>
      <x:c r="D39" s="10" t="str">
        <x:v>幸运礼物编辑（平台管理员）</x:v>
      </x:c>
      <x:c r="E39" s="10" t="str">
        <x:v>功能需求</x:v>
      </x:c>
      <x:c r="F39" s="10" t="str">
        <x:v>P2</x:v>
      </x:c>
      <x:c r="G39" s="9" t="str">
        <x:v>验证幸运礼物的开奖次数输入1</x:v>
      </x:c>
      <x:c r="H39" s="9" t="str">
        <x:v>开奖次数正整数约束</x:v>
      </x:c>
      <x:c r="I39" s="9" t="str">
        <x:v>1. 平台管理员为本条执行者
2. 表单为新建幸运礼物；礼物 ID 为未使用的 900102，四语名称已填“测试幸运”、Test Lucky、Uji Keberuntungan、Ujian Tuah，图标为幸运图标.png，单次消耗 10 金币，开奖次数 1，奖励 0 和 10 的概率为 4% 和 96%</x:v>
      </x:c>
      <x:c r="J39" s="9" t="str">
        <x:v>1. 打开幸运礼物编辑
2. 输入开奖次数 1
3. 点击保存</x:v>
      </x:c>
      <x:c r="K39" s="9" t="str">
        <x:v>幸运礼物保存后的开奖次数为 1</x:v>
      </x:c>
      <x:c r="L39" s="10" t="str"/>
      <x:c r="M39" s="10" t="str">
        <x:v>未测</x:v>
      </x:c>
      <x:c r="N39" s="10" t="str"/>
      <x:c r="O39" s="9" t="str">
        <x:v>1. 来源（当前证据）：liveshow-proto/MainBasis/统一需求文档.md；位置：第 2785 行；REQ-5c817820e007、第 2781 行
2. 规则：BR-7B657671937D67
3. 未动态验证
4. 示例账号、编号、金额与日期是本条测试数据；执行前按前置条件准备，未填写的产品决策不得自行假定。</x:v>
      </x:c>
    </x:row>
    <x:row r="40" ht="175" customHeight="1">
      <x:c r="A40" s="10" t="n">
        <x:v>39</x:v>
      </x:c>
      <x:c r="B40" s="10" t="str">
        <x:v>ADMIN-0039</x:v>
      </x:c>
      <x:c r="C40" s="10" t="str">
        <x:v>礼物与道具</x:v>
      </x:c>
      <x:c r="D40" s="10" t="str">
        <x:v>幸运礼物编辑（平台管理员）</x:v>
      </x:c>
      <x:c r="E40" s="10" t="str">
        <x:v>异常用例</x:v>
      </x:c>
      <x:c r="F40" s="10" t="str">
        <x:v>P2</x:v>
      </x:c>
      <x:c r="G40" s="9" t="str">
        <x:v>验证幸运礼物拒绝重复礼物 ID</x:v>
      </x:c>
      <x:c r="H40" s="9" t="str">
        <x:v>礼物 ID唯一性</x:v>
      </x:c>
      <x:c r="I40" s="9" t="str">
        <x:v>1. 平台管理员为本条执行者
2. 表单为新建幸运礼物；礼物 ID 为未使用的 900102，四语名称已填“测试幸运”、Test Lucky、Uji Keberuntungan、Ujian Tuah，图标为幸运图标.png，单次消耗 10 金币，开奖次数 1，奖励 0 和 10 的概率为 4% 和 96%
3. 已存在一条礼物 ID与本表单相同的记录</x:v>
      </x:c>
      <x:c r="J40" s="9" t="str">
        <x:v>1. 打开幸运礼物编辑
2. 点击保存</x:v>
      </x:c>
      <x:c r="K40" s="9" t="str">
        <x:v>未新增重复礼物 ID的幸运礼物</x:v>
      </x:c>
      <x:c r="L40" s="10" t="str"/>
      <x:c r="M40" s="10" t="str">
        <x:v>未测</x:v>
      </x:c>
      <x:c r="N40" s="10" t="str"/>
      <x:c r="O40" s="9" t="str">
        <x:v>1. 来源（当前证据）：liveshow-proto/MainBasis/统一需求文档.md；位置：第 2783 行；REQ-b86c882650ec、第 2781 行
2. 规则：BR-78507F7DD23B88
3. 未动态验证
4. 示例账号、编号、金额与日期是本条测试数据；执行前按前置条件准备，未填写的产品决策不得自行假定。</x:v>
      </x:c>
    </x:row>
    <x:row r="41" ht="175" customHeight="1">
      <x:c r="A41" s="10" t="n">
        <x:v>40</x:v>
      </x:c>
      <x:c r="B41" s="10" t="str">
        <x:v>ADMIN-0040</x:v>
      </x:c>
      <x:c r="C41" s="10" t="str">
        <x:v>礼物与道具</x:v>
      </x:c>
      <x:c r="D41" s="10" t="str">
        <x:v>幸运礼物编辑（平台管理员）</x:v>
      </x:c>
      <x:c r="E41" s="10" t="str">
        <x:v>异常用例</x:v>
      </x:c>
      <x:c r="F41" s="10" t="str">
        <x:v>P2</x:v>
      </x:c>
      <x:c r="G41" s="9" t="str">
        <x:v>验证幸运礼物拒绝重复角色名称</x:v>
      </x:c>
      <x:c r="H41" s="9" t="str">
        <x:v>角色名称唯一性</x:v>
      </x:c>
      <x:c r="I41" s="9" t="str">
        <x:v>1. 平台管理员为本条执行者
2. 表单为新建幸运礼物；礼物 ID 为未使用的 900102，四语名称已填“测试幸运”、Test Lucky、Uji Keberuntungan、Ujian Tuah，图标为幸运图标.png，单次消耗 10 金币，开奖次数 1，奖励 0 和 10 的概率为 4% 和 96%
3. 已存在一条角色名称与本表单相同的记录</x:v>
      </x:c>
      <x:c r="J41" s="9" t="str">
        <x:v>1. 打开幸运礼物编辑
2. 点击保存</x:v>
      </x:c>
      <x:c r="K41" s="9" t="str">
        <x:v>未新增重复角色名称的幸运礼物</x:v>
      </x:c>
      <x:c r="L41" s="10" t="str"/>
      <x:c r="M41" s="10" t="str">
        <x:v>未测</x:v>
      </x:c>
      <x:c r="N41" s="10" t="str"/>
      <x:c r="O41" s="9" t="str">
        <x:v>1. 来源（当前证据）：liveshow-proto/MainBasis/统一需求文档.md；位置：第 2783 行；REQ-b86c882650ec、第 2781 行
2. 规则：BR-4A154AA4FE09E3
3. 未动态验证
4. 示例账号、编号、金额与日期是本条测试数据；执行前按前置条件准备，未填写的产品决策不得自行假定。</x:v>
      </x:c>
    </x:row>
    <x:row r="42" ht="145" customHeight="1">
      <x:c r="A42" s="10" t="n">
        <x:v>41</x:v>
      </x:c>
      <x:c r="B42" s="10" t="str">
        <x:v>ADMIN-0041</x:v>
      </x:c>
      <x:c r="C42" s="10" t="str">
        <x:v>礼物与道具</x:v>
      </x:c>
      <x:c r="D42" s="10" t="str">
        <x:v>道具详情（平台管理员）</x:v>
      </x:c>
      <x:c r="E42" s="10" t="str">
        <x:v>异常用例</x:v>
      </x:c>
      <x:c r="F42" s="10" t="str">
        <x:v>P2</x:v>
      </x:c>
      <x:c r="G42" s="9" t="str">
        <x:v>验证道具的中文名称为空</x:v>
      </x:c>
      <x:c r="H42" s="9" t="str">
        <x:v>中文名称必填性</x:v>
      </x:c>
      <x:c r="I42"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42" s="9" t="str">
        <x:v>1. 打开道具详情
2. 清空中文名称
3. 点击保存</x:v>
      </x:c>
      <x:c r="K42" s="9" t="str">
        <x:v>本次道具未保存</x:v>
      </x:c>
      <x:c r="L42" s="10" t="str"/>
      <x:c r="M42" s="10" t="str">
        <x:v>未测</x:v>
      </x:c>
      <x:c r="N42" s="10" t="str"/>
      <x:c r="O42" s="9" t="str">
        <x:v>1. 来源（当前证据）：liveshow-proto/MainBasis/统一需求文档.md；位置：第 2812 行；REQ-33906d76fdac、第 2809 行
2. 规则：BR-16C64CCFE9238C
3. 未动态验证
4. 示例账号、编号、金额与日期是本条测试数据；执行前按前置条件准备，未填写的产品决策不得自行假定。</x:v>
      </x:c>
    </x:row>
    <x:row r="43" ht="145" customHeight="1">
      <x:c r="A43" s="10" t="n">
        <x:v>42</x:v>
      </x:c>
      <x:c r="B43" s="10" t="str">
        <x:v>ADMIN-0042</x:v>
      </x:c>
      <x:c r="C43" s="10" t="str">
        <x:v>礼物与道具</x:v>
      </x:c>
      <x:c r="D43" s="10" t="str">
        <x:v>道具详情（平台管理员）</x:v>
      </x:c>
      <x:c r="E43" s="10" t="str">
        <x:v>异常用例</x:v>
      </x:c>
      <x:c r="F43" s="10" t="str">
        <x:v>P2</x:v>
      </x:c>
      <x:c r="G43" s="9" t="str">
        <x:v>验证道具的英语名称为空</x:v>
      </x:c>
      <x:c r="H43" s="9" t="str">
        <x:v>英语名称必填性</x:v>
      </x:c>
      <x:c r="I43"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43" s="9" t="str">
        <x:v>1. 打开道具详情
2. 清空英语名称
3. 点击保存</x:v>
      </x:c>
      <x:c r="K43" s="9" t="str">
        <x:v>本次道具未保存</x:v>
      </x:c>
      <x:c r="L43" s="10" t="str"/>
      <x:c r="M43" s="10" t="str">
        <x:v>未测</x:v>
      </x:c>
      <x:c r="N43" s="10" t="str"/>
      <x:c r="O43" s="9" t="str">
        <x:v>1. 来源（当前证据）：liveshow-proto/MainBasis/统一需求文档.md；位置：第 2812 行；REQ-33906d76fdac、第 2809 行
2. 规则：BR-1B32909E738423
3. 未动态验证
4. 示例账号、编号、金额与日期是本条测试数据；执行前按前置条件准备，未填写的产品决策不得自行假定。</x:v>
      </x:c>
    </x:row>
    <x:row r="44" ht="145" customHeight="1">
      <x:c r="A44" s="10" t="n">
        <x:v>43</x:v>
      </x:c>
      <x:c r="B44" s="10" t="str">
        <x:v>ADMIN-0043</x:v>
      </x:c>
      <x:c r="C44" s="10" t="str">
        <x:v>礼物与道具</x:v>
      </x:c>
      <x:c r="D44" s="10" t="str">
        <x:v>道具详情（平台管理员）</x:v>
      </x:c>
      <x:c r="E44" s="10" t="str">
        <x:v>异常用例</x:v>
      </x:c>
      <x:c r="F44" s="10" t="str">
        <x:v>P2</x:v>
      </x:c>
      <x:c r="G44" s="9" t="str">
        <x:v>验证道具的印尼语名称为空</x:v>
      </x:c>
      <x:c r="H44" s="9" t="str">
        <x:v>印尼语名称必填性</x:v>
      </x:c>
      <x:c r="I44"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44" s="9" t="str">
        <x:v>1. 打开道具详情
2. 清空印尼语名称
3. 点击保存</x:v>
      </x:c>
      <x:c r="K44" s="9" t="str">
        <x:v>本次道具未保存</x:v>
      </x:c>
      <x:c r="L44" s="10" t="str"/>
      <x:c r="M44" s="10" t="str">
        <x:v>未测</x:v>
      </x:c>
      <x:c r="N44" s="10" t="str"/>
      <x:c r="O44" s="9" t="str">
        <x:v>1. 来源（当前证据）：liveshow-proto/MainBasis/统一需求文档.md；位置：第 2812 行；REQ-33906d76fdac、第 2809 行
2. 规则：BR-3A0CA04E026CA6
3. 未动态验证
4. 示例账号、编号、金额与日期是本条测试数据；执行前按前置条件准备，未填写的产品决策不得自行假定。</x:v>
      </x:c>
    </x:row>
    <x:row r="45" ht="145" customHeight="1">
      <x:c r="A45" s="10" t="n">
        <x:v>44</x:v>
      </x:c>
      <x:c r="B45" s="10" t="str">
        <x:v>ADMIN-0044</x:v>
      </x:c>
      <x:c r="C45" s="10" t="str">
        <x:v>礼物与道具</x:v>
      </x:c>
      <x:c r="D45" s="10" t="str">
        <x:v>道具详情（平台管理员）</x:v>
      </x:c>
      <x:c r="E45" s="10" t="str">
        <x:v>异常用例</x:v>
      </x:c>
      <x:c r="F45" s="10" t="str">
        <x:v>P2</x:v>
      </x:c>
      <x:c r="G45" s="9" t="str">
        <x:v>验证道具的马来语名称为空</x:v>
      </x:c>
      <x:c r="H45" s="9" t="str">
        <x:v>马来语名称必填性</x:v>
      </x:c>
      <x:c r="I45"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45" s="9" t="str">
        <x:v>1. 打开道具详情
2. 清空马来语名称
3. 点击保存</x:v>
      </x:c>
      <x:c r="K45" s="9" t="str">
        <x:v>本次道具未保存</x:v>
      </x:c>
      <x:c r="L45" s="10" t="str"/>
      <x:c r="M45" s="10" t="str">
        <x:v>未测</x:v>
      </x:c>
      <x:c r="N45" s="10" t="str"/>
      <x:c r="O45" s="9" t="str">
        <x:v>1. 来源（当前证据）：liveshow-proto/MainBasis/统一需求文档.md；位置：第 2812 行；REQ-33906d76fdac、第 2809 行
2. 规则：BR-B6862469564C38
3. 未动态验证
4. 示例账号、编号、金额与日期是本条测试数据；执行前按前置条件准备，未填写的产品决策不得自行假定。</x:v>
      </x:c>
    </x:row>
    <x:row r="46" ht="145" customHeight="1">
      <x:c r="A46" s="10" t="n">
        <x:v>45</x:v>
      </x:c>
      <x:c r="B46" s="10" t="str">
        <x:v>ADMIN-0045</x:v>
      </x:c>
      <x:c r="C46" s="10" t="str">
        <x:v>礼物与道具</x:v>
      </x:c>
      <x:c r="D46" s="10" t="str">
        <x:v>道具详情（平台管理员）</x:v>
      </x:c>
      <x:c r="E46" s="10" t="str">
        <x:v>异常用例</x:v>
      </x:c>
      <x:c r="F46" s="10" t="str">
        <x:v>P2</x:v>
      </x:c>
      <x:c r="G46" s="9" t="str">
        <x:v>验证道具的图标为空</x:v>
      </x:c>
      <x:c r="H46" s="9" t="str">
        <x:v>图标必填性</x:v>
      </x:c>
      <x:c r="I46"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46" s="9" t="str">
        <x:v>1. 打开道具详情
2. 删除图标
3. 点击保存</x:v>
      </x:c>
      <x:c r="K46" s="9" t="str">
        <x:v>本次道具未保存</x:v>
      </x:c>
      <x:c r="L46" s="10" t="str"/>
      <x:c r="M46" s="10" t="str">
        <x:v>未测</x:v>
      </x:c>
      <x:c r="N46" s="10" t="str"/>
      <x:c r="O46" s="9" t="str">
        <x:v>1. 来源（当前证据）：liveshow-proto/MainBasis/统一需求文档.md；位置：第 2815 行；REQ-0cedea6f3738、第 2809 行
2. 规则：BR-3C7C83F7AD61E3
3. 未动态验证
4. 示例账号、编号、金额与日期是本条测试数据；执行前按前置条件准备，未填写的产品决策不得自行假定。</x:v>
      </x:c>
    </x:row>
    <x:row r="47" ht="145" customHeight="1">
      <x:c r="A47" s="10" t="n">
        <x:v>46</x:v>
      </x:c>
      <x:c r="B47" s="10" t="str">
        <x:v>ADMIN-0046</x:v>
      </x:c>
      <x:c r="C47" s="10" t="str">
        <x:v>礼物与道具</x:v>
      </x:c>
      <x:c r="D47" s="10" t="str">
        <x:v>道具详情（平台管理员）</x:v>
      </x:c>
      <x:c r="E47" s="10" t="str">
        <x:v>异常用例</x:v>
      </x:c>
      <x:c r="F47" s="10" t="str">
        <x:v>P2</x:v>
      </x:c>
      <x:c r="G47" s="9" t="str">
        <x:v>验证道具的素材为空</x:v>
      </x:c>
      <x:c r="H47" s="9" t="str">
        <x:v>素材必填性</x:v>
      </x:c>
      <x:c r="I47"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47" s="9" t="str">
        <x:v>1. 打开道具详情
2. 删除素材
3. 点击保存</x:v>
      </x:c>
      <x:c r="K47" s="9" t="str">
        <x:v>本次道具未保存</x:v>
      </x:c>
      <x:c r="L47" s="10" t="str"/>
      <x:c r="M47" s="10" t="str">
        <x:v>未测</x:v>
      </x:c>
      <x:c r="N47" s="10" t="str"/>
      <x:c r="O47" s="9" t="str">
        <x:v>1. 来源（当前证据）：liveshow-proto/MainBasis/统一需求文档.md；位置：第 2815 行；REQ-0cedea6f3738、第 2809 行
2. 规则：BR-8E57DA0B5C84E4
3. 未动态验证
4. 示例账号、编号、金额与日期是本条测试数据；执行前按前置条件准备，未填写的产品决策不得自行假定。</x:v>
      </x:c>
    </x:row>
    <x:row r="48" ht="145" customHeight="1">
      <x:c r="A48" s="10" t="n">
        <x:v>47</x:v>
      </x:c>
      <x:c r="B48" s="10" t="str">
        <x:v>ADMIN-0047</x:v>
      </x:c>
      <x:c r="C48" s="10" t="str">
        <x:v>礼物与道具</x:v>
      </x:c>
      <x:c r="D48" s="10" t="str">
        <x:v>道具详情（平台管理员）</x:v>
      </x:c>
      <x:c r="E48" s="10" t="str">
        <x:v>功能需求</x:v>
      </x:c>
      <x:c r="F48" s="10" t="str">
        <x:v>P2</x:v>
      </x:c>
      <x:c r="G48" s="9" t="str">
        <x:v>验证道具的单价输入-1</x:v>
      </x:c>
      <x:c r="H48" s="9" t="str">
        <x:v>单价正整数约束</x:v>
      </x:c>
      <x:c r="I48"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48" s="9" t="str">
        <x:v>1. 打开道具详情
2. 输入单价 -1
3. 点击保存</x:v>
      </x:c>
      <x:c r="K48" s="9" t="str">
        <x:v>本次道具未保存</x:v>
      </x:c>
      <x:c r="L48" s="10" t="str"/>
      <x:c r="M48" s="10" t="str">
        <x:v>未测</x:v>
      </x:c>
      <x:c r="N48" s="10" t="str"/>
      <x:c r="O48" s="9" t="str">
        <x:v>1. 来源（当前证据）：liveshow-proto/MainBasis/统一需求文档.md；位置：第 2814 行；REQ-bc9f5b9f1671、第 2809 行
2. 规则：BR-543D3630E9F2DB
3. 未动态验证
4. 示例账号、编号、金额与日期是本条测试数据；执行前按前置条件准备，未填写的产品决策不得自行假定。</x:v>
      </x:c>
    </x:row>
    <x:row r="49" ht="145" customHeight="1">
      <x:c r="A49" s="10" t="n">
        <x:v>48</x:v>
      </x:c>
      <x:c r="B49" s="10" t="str">
        <x:v>ADMIN-0048</x:v>
      </x:c>
      <x:c r="C49" s="10" t="str">
        <x:v>礼物与道具</x:v>
      </x:c>
      <x:c r="D49" s="10" t="str">
        <x:v>道具详情（平台管理员）</x:v>
      </x:c>
      <x:c r="E49" s="10" t="str">
        <x:v>功能需求</x:v>
      </x:c>
      <x:c r="F49" s="10" t="str">
        <x:v>P2</x:v>
      </x:c>
      <x:c r="G49" s="9" t="str">
        <x:v>验证道具的单价输入0</x:v>
      </x:c>
      <x:c r="H49" s="9" t="str">
        <x:v>单价正整数约束</x:v>
      </x:c>
      <x:c r="I49"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49" s="9" t="str">
        <x:v>1. 打开道具详情
2. 输入单价 0
3. 点击保存</x:v>
      </x:c>
      <x:c r="K49" s="9" t="str">
        <x:v>本次道具未保存</x:v>
      </x:c>
      <x:c r="L49" s="10" t="str"/>
      <x:c r="M49" s="10" t="str">
        <x:v>未测</x:v>
      </x:c>
      <x:c r="N49" s="10" t="str"/>
      <x:c r="O49" s="9" t="str">
        <x:v>1. 来源（当前证据）：liveshow-proto/MainBasis/统一需求文档.md；位置：第 2814 行；REQ-bc9f5b9f1671、第 2809 行
2. 规则：BR-84CF3D9811B720
3. 未动态验证
4. 示例账号、编号、金额与日期是本条测试数据；执行前按前置条件准备，未填写的产品决策不得自行假定。</x:v>
      </x:c>
    </x:row>
    <x:row r="50" ht="145" customHeight="1">
      <x:c r="A50" s="10" t="n">
        <x:v>49</x:v>
      </x:c>
      <x:c r="B50" s="10" t="str">
        <x:v>ADMIN-0049</x:v>
      </x:c>
      <x:c r="C50" s="10" t="str">
        <x:v>礼物与道具</x:v>
      </x:c>
      <x:c r="D50" s="10" t="str">
        <x:v>道具详情（平台管理员）</x:v>
      </x:c>
      <x:c r="E50" s="10" t="str">
        <x:v>功能需求</x:v>
      </x:c>
      <x:c r="F50" s="10" t="str">
        <x:v>P2</x:v>
      </x:c>
      <x:c r="G50" s="9" t="str">
        <x:v>验证道具的单价输入0.5</x:v>
      </x:c>
      <x:c r="H50" s="9" t="str">
        <x:v>单价正整数约束</x:v>
      </x:c>
      <x:c r="I50"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50" s="9" t="str">
        <x:v>1. 打开道具详情
2. 输入单价 0.5
3. 点击保存</x:v>
      </x:c>
      <x:c r="K50" s="9" t="str">
        <x:v>本次道具未保存</x:v>
      </x:c>
      <x:c r="L50" s="10" t="str"/>
      <x:c r="M50" s="10" t="str">
        <x:v>未测</x:v>
      </x:c>
      <x:c r="N50" s="10" t="str"/>
      <x:c r="O50" s="9" t="str">
        <x:v>1. 来源（当前证据）：liveshow-proto/MainBasis/统一需求文档.md；位置：第 2814 行；REQ-bc9f5b9f1671、第 2809 行
2. 规则：BR-CA3E7D55EA9DC2
3. 未动态验证
4. 示例账号、编号、金额与日期是本条测试数据；执行前按前置条件准备，未填写的产品决策不得自行假定。</x:v>
      </x:c>
    </x:row>
    <x:row r="51" ht="145" customHeight="1">
      <x:c r="A51" s="10" t="n">
        <x:v>50</x:v>
      </x:c>
      <x:c r="B51" s="10" t="str">
        <x:v>ADMIN-0050</x:v>
      </x:c>
      <x:c r="C51" s="10" t="str">
        <x:v>礼物与道具</x:v>
      </x:c>
      <x:c r="D51" s="10" t="str">
        <x:v>道具详情（平台管理员）</x:v>
      </x:c>
      <x:c r="E51" s="10" t="str">
        <x:v>功能需求</x:v>
      </x:c>
      <x:c r="F51" s="10" t="str">
        <x:v>P2</x:v>
      </x:c>
      <x:c r="G51" s="9" t="str">
        <x:v>验证道具的单价输入1</x:v>
      </x:c>
      <x:c r="H51" s="9" t="str">
        <x:v>单价正整数约束</x:v>
      </x:c>
      <x:c r="I51"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x:v>
      </x:c>
      <x:c r="J51" s="9" t="str">
        <x:v>1. 打开道具详情
2. 输入单价 1
3. 点击保存</x:v>
      </x:c>
      <x:c r="K51" s="9" t="str">
        <x:v>道具保存后的单价为 1</x:v>
      </x:c>
      <x:c r="L51" s="10" t="str"/>
      <x:c r="M51" s="10" t="str">
        <x:v>未测</x:v>
      </x:c>
      <x:c r="N51" s="10" t="str"/>
      <x:c r="O51" s="9" t="str">
        <x:v>1. 来源（当前证据）：liveshow-proto/MainBasis/统一需求文档.md；位置：第 2814 行；REQ-bc9f5b9f1671、第 2809 行
2. 规则：BR-6B6ADBDB2682C5
3. 未动态验证
4. 示例账号、编号、金额与日期是本条测试数据；执行前按前置条件准备，未填写的产品决策不得自行假定。</x:v>
      </x:c>
    </x:row>
    <x:row r="52" ht="175" customHeight="1">
      <x:c r="A52" s="10" t="n">
        <x:v>51</x:v>
      </x:c>
      <x:c r="B52" s="10" t="str">
        <x:v>ADMIN-0051</x:v>
      </x:c>
      <x:c r="C52" s="10" t="str">
        <x:v>礼物与道具</x:v>
      </x:c>
      <x:c r="D52" s="10" t="str">
        <x:v>道具详情（平台管理员）</x:v>
      </x:c>
      <x:c r="E52" s="10" t="str">
        <x:v>异常用例</x:v>
      </x:c>
      <x:c r="F52" s="10" t="str">
        <x:v>P2</x:v>
      </x:c>
      <x:c r="G52" s="9" t="str">
        <x:v>验证道具拒绝重复道具 ID</x:v>
      </x:c>
      <x:c r="H52" s="9" t="str">
        <x:v>道具 ID唯一性</x:v>
      </x:c>
      <x:c r="I52"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
3. 已存在一条道具 ID与本表单相同的记录</x:v>
      </x:c>
      <x:c r="J52" s="9" t="str">
        <x:v>1. 打开道具详情
2. 点击保存</x:v>
      </x:c>
      <x:c r="K52" s="9" t="str">
        <x:v>未新增重复道具 ID的道具</x:v>
      </x:c>
      <x:c r="L52" s="10" t="str"/>
      <x:c r="M52" s="10" t="str">
        <x:v>未测</x:v>
      </x:c>
      <x:c r="N52" s="10" t="str"/>
      <x:c r="O52" s="9" t="str">
        <x:v>1. 来源（当前证据）：liveshow-proto/MainBasis/统一需求文档.md；位置：第 2811 行；REQ-4ab4ca5a8918、第 2809 行
2. 规则：BR-B33F720AFDF05C
3. 未动态验证
4. 示例账号、编号、金额与日期是本条测试数据；执行前按前置条件准备，未填写的产品决策不得自行假定。</x:v>
      </x:c>
    </x:row>
    <x:row r="53" ht="175" customHeight="1">
      <x:c r="A53" s="10" t="n">
        <x:v>52</x:v>
      </x:c>
      <x:c r="B53" s="10" t="str">
        <x:v>ADMIN-0052</x:v>
      </x:c>
      <x:c r="C53" s="10" t="str">
        <x:v>礼物与道具</x:v>
      </x:c>
      <x:c r="D53" s="10" t="str">
        <x:v>道具详情（平台管理员）</x:v>
      </x:c>
      <x:c r="E53" s="10" t="str">
        <x:v>功能需求</x:v>
      </x:c>
      <x:c r="F53" s="10" t="str">
        <x:v>P2</x:v>
      </x:c>
      <x:c r="G53" s="9" t="str">
        <x:v>验证编辑道具不能修改系统标识</x:v>
      </x:c>
      <x:c r="H53" s="9" t="str">
        <x:v>标识只读性</x:v>
      </x:c>
      <x:c r="I53" s="9" t="str">
        <x:v>1. 平台管理员为本条执行者
2. 表单为新建道具；道具 ID 为未使用的 900103，四语名称为“测试头像框”、Test Frame、Bingkai Uji、Bingkai Ujian，类型头像框，单价 100 金币，图标和素材已上传当前类型可接受资源，排序 10，可佩戴期限从当天起至第 30 天
3. 已有道具标识为 900001，本次切换为编辑该记录</x:v>
      </x:c>
      <x:c r="J53" s="9" t="str">
        <x:v>1. 打开道具 900001 的编辑页面
2. 查看道具 ID</x:v>
      </x:c>
      <x:c r="K53" s="9" t="str">
        <x:v>道具 ID为只读</x:v>
      </x:c>
      <x:c r="L53" s="10" t="str"/>
      <x:c r="M53" s="10" t="str">
        <x:v>未测</x:v>
      </x:c>
      <x:c r="N53" s="10" t="str"/>
      <x:c r="O53" s="9" t="str">
        <x:v>1. 来源（当前证据）：liveshow-proto/MainBasis/统一需求文档.md；位置：第 2811 行；REQ-4ab4ca5a8918、第 2809 行
2. 规则：BR-B56FD039D8CFF9
3. 未动态验证
4. 示例账号、编号、金额与日期是本条测试数据；执行前按前置条件准备，未填写的产品决策不得自行假定。</x:v>
      </x:c>
    </x:row>
    <x:row r="54" ht="130" customHeight="1">
      <x:c r="A54" s="10" t="n">
        <x:v>53</x:v>
      </x:c>
      <x:c r="B54" s="10" t="str">
        <x:v>ADMIN-0053</x:v>
      </x:c>
      <x:c r="C54" s="10" t="str">
        <x:v>运营管理</x:v>
      </x:c>
      <x:c r="D54" s="10" t="str">
        <x:v>充值套餐编辑（平台管理员）</x:v>
      </x:c>
      <x:c r="E54" s="10" t="str">
        <x:v>异常用例</x:v>
      </x:c>
      <x:c r="F54" s="10" t="str">
        <x:v>P1</x:v>
      </x:c>
      <x:c r="G54" s="9" t="str">
        <x:v>验证充值套餐的类型为空</x:v>
      </x:c>
      <x:c r="H54" s="9" t="str">
        <x:v>类型必填性</x:v>
      </x:c>
      <x:c r="I54" s="9" t="str">
        <x:v>1. 平台管理员为本条执行者
2. 表单为新建充值套餐；套餐 ID 为未使用的 900104，类型活动，封面已上传套餐封面.png，销售价格 1.50 USD，充值金币 100，赠送金币 20，限购 1，活动从今天到明天，排序 10</x:v>
      </x:c>
      <x:c r="J54" s="9" t="str">
        <x:v>1. 打开充值套餐编辑
2. 清空类型
3. 点击保存</x:v>
      </x:c>
      <x:c r="K54" s="9" t="str">
        <x:v>本次充值套餐未保存</x:v>
      </x:c>
      <x:c r="L54" s="10" t="str"/>
      <x:c r="M54" s="10" t="str">
        <x:v>未测</x:v>
      </x:c>
      <x:c r="N54" s="10" t="str"/>
      <x:c r="O54" s="9" t="str">
        <x:v>1. 来源（当前证据）：liveshow-proto/MainBasis/统一需求文档.md；位置：第 2902 行；REQ-c8adc3584262、第 2899 行
2. 规则：BR-B0BE13FFD83244
3. 未动态验证
4. 示例账号、编号、金额与日期是本条测试数据；执行前按前置条件准备，未填写的产品决策不得自行假定。</x:v>
      </x:c>
    </x:row>
    <x:row r="55" ht="130" customHeight="1">
      <x:c r="A55" s="10" t="n">
        <x:v>54</x:v>
      </x:c>
      <x:c r="B55" s="10" t="str">
        <x:v>ADMIN-0054</x:v>
      </x:c>
      <x:c r="C55" s="10" t="str">
        <x:v>运营管理</x:v>
      </x:c>
      <x:c r="D55" s="10" t="str">
        <x:v>充值套餐编辑（平台管理员）</x:v>
      </x:c>
      <x:c r="E55" s="10" t="str">
        <x:v>异常用例</x:v>
      </x:c>
      <x:c r="F55" s="10" t="str">
        <x:v>P1</x:v>
      </x:c>
      <x:c r="G55" s="9" t="str">
        <x:v>验证充值套餐的封面为空</x:v>
      </x:c>
      <x:c r="H55" s="9" t="str">
        <x:v>封面必填性</x:v>
      </x:c>
      <x:c r="I55" s="9" t="str">
        <x:v>1. 平台管理员为本条执行者
2. 表单为新建充值套餐；套餐 ID 为未使用的 900104，类型活动，封面已上传套餐封面.png，销售价格 1.50 USD，充值金币 100，赠送金币 20，限购 1，活动从今天到明天，排序 10</x:v>
      </x:c>
      <x:c r="J55" s="9" t="str">
        <x:v>1. 打开充值套餐编辑
2. 删除封面
3. 点击保存</x:v>
      </x:c>
      <x:c r="K55" s="9" t="str">
        <x:v>本次充值套餐未保存</x:v>
      </x:c>
      <x:c r="L55" s="10" t="str"/>
      <x:c r="M55" s="10" t="str">
        <x:v>未测</x:v>
      </x:c>
      <x:c r="N55" s="10" t="str"/>
      <x:c r="O55" s="9" t="str">
        <x:v>1. 来源（当前证据）：liveshow-proto/MainBasis/统一需求文档.md；位置：第 2902 行；REQ-c8adc3584262、第 2899 行
2. 规则：BR-3E8D57A7AE750B
3. 未动态验证
4. 示例账号、编号、金额与日期是本条测试数据；执行前按前置条件准备，未填写的产品决策不得自行假定。</x:v>
      </x:c>
    </x:row>
    <x:row r="56" ht="130" customHeight="1">
      <x:c r="A56" s="10" t="n">
        <x:v>55</x:v>
      </x:c>
      <x:c r="B56" s="10" t="str">
        <x:v>ADMIN-0055</x:v>
      </x:c>
      <x:c r="C56" s="10" t="str">
        <x:v>运营管理</x:v>
      </x:c>
      <x:c r="D56" s="10" t="str">
        <x:v>充值套餐编辑（平台管理员）</x:v>
      </x:c>
      <x:c r="E56" s="10" t="str">
        <x:v>功能需求</x:v>
      </x:c>
      <x:c r="F56" s="10" t="str">
        <x:v>P1</x:v>
      </x:c>
      <x:c r="G56" s="9" t="str">
        <x:v>验证充值套餐的充值金币输入-1</x:v>
      </x:c>
      <x:c r="H56" s="9" t="str">
        <x:v>充值金币正整数约束</x:v>
      </x:c>
      <x:c r="I56" s="9" t="str">
        <x:v>1. 平台管理员为本条执行者
2. 表单为新建充值套餐；套餐 ID 为未使用的 900104，类型活动，封面已上传套餐封面.png，销售价格 1.50 USD，充值金币 100，赠送金币 20，限购 1，活动从今天到明天，排序 10</x:v>
      </x:c>
      <x:c r="J56" s="9" t="str">
        <x:v>1. 打开充值套餐编辑
2. 输入充值金币 -1
3. 点击保存</x:v>
      </x:c>
      <x:c r="K56" s="9" t="str">
        <x:v>本次充值套餐未保存</x:v>
      </x:c>
      <x:c r="L56" s="10" t="str"/>
      <x:c r="M56" s="10" t="str">
        <x:v>未测</x:v>
      </x:c>
      <x:c r="N56" s="10" t="str"/>
      <x:c r="O56" s="9" t="str">
        <x:v>1. 来源（当前证据）：liveshow-proto/MainBasis/统一需求文档.md；位置：第 2904 行；REQ-54fe7fbda407、第 2899 行
2. 规则：BR-56DEFA41C2B16A
3. 未动态验证
4. 示例账号、编号、金额与日期是本条测试数据；执行前按前置条件准备，未填写的产品决策不得自行假定。</x:v>
      </x:c>
    </x:row>
    <x:row r="57" ht="130" customHeight="1">
      <x:c r="A57" s="10" t="n">
        <x:v>56</x:v>
      </x:c>
      <x:c r="B57" s="10" t="str">
        <x:v>ADMIN-0056</x:v>
      </x:c>
      <x:c r="C57" s="10" t="str">
        <x:v>运营管理</x:v>
      </x:c>
      <x:c r="D57" s="10" t="str">
        <x:v>充值套餐编辑（平台管理员）</x:v>
      </x:c>
      <x:c r="E57" s="10" t="str">
        <x:v>功能需求</x:v>
      </x:c>
      <x:c r="F57" s="10" t="str">
        <x:v>P1</x:v>
      </x:c>
      <x:c r="G57" s="9" t="str">
        <x:v>验证充值套餐的充值金币输入0</x:v>
      </x:c>
      <x:c r="H57" s="9" t="str">
        <x:v>充值金币正整数约束</x:v>
      </x:c>
      <x:c r="I57" s="9" t="str">
        <x:v>1. 平台管理员为本条执行者
2. 表单为新建充值套餐；套餐 ID 为未使用的 900104，类型活动，封面已上传套餐封面.png，销售价格 1.50 USD，充值金币 100，赠送金币 20，限购 1，活动从今天到明天，排序 10</x:v>
      </x:c>
      <x:c r="J57" s="9" t="str">
        <x:v>1. 打开充值套餐编辑
2. 输入充值金币 0
3. 点击保存</x:v>
      </x:c>
      <x:c r="K57" s="9" t="str">
        <x:v>本次充值套餐未保存</x:v>
      </x:c>
      <x:c r="L57" s="10" t="str"/>
      <x:c r="M57" s="10" t="str">
        <x:v>未测</x:v>
      </x:c>
      <x:c r="N57" s="10" t="str"/>
      <x:c r="O57" s="9" t="str">
        <x:v>1. 来源（当前证据）：liveshow-proto/MainBasis/统一需求文档.md；位置：第 2904 行；REQ-54fe7fbda407、第 2899 行
2. 规则：BR-E88DB822E18685
3. 未动态验证
4. 示例账号、编号、金额与日期是本条测试数据；执行前按前置条件准备，未填写的产品决策不得自行假定。</x:v>
      </x:c>
    </x:row>
    <x:row r="58" ht="130" customHeight="1">
      <x:c r="A58" s="10" t="n">
        <x:v>57</x:v>
      </x:c>
      <x:c r="B58" s="10" t="str">
        <x:v>ADMIN-0057</x:v>
      </x:c>
      <x:c r="C58" s="10" t="str">
        <x:v>运营管理</x:v>
      </x:c>
      <x:c r="D58" s="10" t="str">
        <x:v>充值套餐编辑（平台管理员）</x:v>
      </x:c>
      <x:c r="E58" s="10" t="str">
        <x:v>功能需求</x:v>
      </x:c>
      <x:c r="F58" s="10" t="str">
        <x:v>P1</x:v>
      </x:c>
      <x:c r="G58" s="9" t="str">
        <x:v>验证充值套餐的充值金币输入0.5</x:v>
      </x:c>
      <x:c r="H58" s="9" t="str">
        <x:v>充值金币正整数约束</x:v>
      </x:c>
      <x:c r="I58" s="9" t="str">
        <x:v>1. 平台管理员为本条执行者
2. 表单为新建充值套餐；套餐 ID 为未使用的 900104，类型活动，封面已上传套餐封面.png，销售价格 1.50 USD，充值金币 100，赠送金币 20，限购 1，活动从今天到明天，排序 10</x:v>
      </x:c>
      <x:c r="J58" s="9" t="str">
        <x:v>1. 打开充值套餐编辑
2. 输入充值金币 0.5
3. 点击保存</x:v>
      </x:c>
      <x:c r="K58" s="9" t="str">
        <x:v>本次充值套餐未保存</x:v>
      </x:c>
      <x:c r="L58" s="10" t="str"/>
      <x:c r="M58" s="10" t="str">
        <x:v>未测</x:v>
      </x:c>
      <x:c r="N58" s="10" t="str"/>
      <x:c r="O58" s="9" t="str">
        <x:v>1. 来源（当前证据）：liveshow-proto/MainBasis/统一需求文档.md；位置：第 2904 行；REQ-54fe7fbda407、第 2899 行
2. 规则：BR-62392AE208E9C0
3. 未动态验证
4. 示例账号、编号、金额与日期是本条测试数据；执行前按前置条件准备，未填写的产品决策不得自行假定。</x:v>
      </x:c>
    </x:row>
    <x:row r="59" ht="130" customHeight="1">
      <x:c r="A59" s="10" t="n">
        <x:v>58</x:v>
      </x:c>
      <x:c r="B59" s="10" t="str">
        <x:v>ADMIN-0058</x:v>
      </x:c>
      <x:c r="C59" s="10" t="str">
        <x:v>运营管理</x:v>
      </x:c>
      <x:c r="D59" s="10" t="str">
        <x:v>充值套餐编辑（平台管理员）</x:v>
      </x:c>
      <x:c r="E59" s="10" t="str">
        <x:v>功能需求</x:v>
      </x:c>
      <x:c r="F59" s="10" t="str">
        <x:v>P1</x:v>
      </x:c>
      <x:c r="G59" s="9" t="str">
        <x:v>验证充值套餐的充值金币输入1</x:v>
      </x:c>
      <x:c r="H59" s="9" t="str">
        <x:v>充值金币正整数约束</x:v>
      </x:c>
      <x:c r="I59" s="9" t="str">
        <x:v>1. 平台管理员为本条执行者
2. 表单为新建充值套餐；套餐 ID 为未使用的 900104，类型活动，封面已上传套餐封面.png，销售价格 1.50 USD，充值金币 100，赠送金币 20，限购 1，活动从今天到明天，排序 10</x:v>
      </x:c>
      <x:c r="J59" s="9" t="str">
        <x:v>1. 打开充值套餐编辑
2. 输入充值金币 1
3. 点击保存</x:v>
      </x:c>
      <x:c r="K59" s="9" t="str">
        <x:v>充值套餐保存后的充值金币为 1</x:v>
      </x:c>
      <x:c r="L59" s="10" t="str"/>
      <x:c r="M59" s="10" t="str">
        <x:v>未测</x:v>
      </x:c>
      <x:c r="N59" s="10" t="str"/>
      <x:c r="O59" s="9" t="str">
        <x:v>1. 来源（当前证据）：liveshow-proto/MainBasis/统一需求文档.md；位置：第 2904 行；REQ-54fe7fbda407、第 2899 行
2. 规则：BR-C8FDAFAC17BEC3
3. 未动态验证
4. 示例账号、编号、金额与日期是本条测试数据；执行前按前置条件准备，未填写的产品决策不得自行假定。</x:v>
      </x:c>
    </x:row>
    <x:row r="60" ht="145" customHeight="1">
      <x:c r="A60" s="10" t="n">
        <x:v>59</x:v>
      </x:c>
      <x:c r="B60" s="10" t="str">
        <x:v>ADMIN-0059</x:v>
      </x:c>
      <x:c r="C60" s="10" t="str">
        <x:v>运营管理</x:v>
      </x:c>
      <x:c r="D60" s="10" t="str">
        <x:v>充值套餐编辑（平台管理员）</x:v>
      </x:c>
      <x:c r="E60" s="10" t="str">
        <x:v>异常用例</x:v>
      </x:c>
      <x:c r="F60" s="10" t="str">
        <x:v>P1</x:v>
      </x:c>
      <x:c r="G60" s="9" t="str">
        <x:v>验证充值套餐拒绝重复套餐 ID</x:v>
      </x:c>
      <x:c r="H60" s="9" t="str">
        <x:v>套餐 ID唯一性</x:v>
      </x:c>
      <x:c r="I60" s="9" t="str">
        <x:v>1. 平台管理员为本条执行者
2. 表单为新建充值套餐；套餐 ID 为未使用的 900104，类型活动，封面已上传套餐封面.png，销售价格 1.50 USD，充值金币 100，赠送金币 20，限购 1，活动从今天到明天，排序 10
3. 已存在一条套餐 ID与本表单相同的记录</x:v>
      </x:c>
      <x:c r="J60" s="9" t="str">
        <x:v>1. 打开充值套餐编辑
2. 点击保存</x:v>
      </x:c>
      <x:c r="K60" s="9" t="str">
        <x:v>未新增重复套餐 ID的充值套餐</x:v>
      </x:c>
      <x:c r="L60" s="10" t="str"/>
      <x:c r="M60" s="10" t="str">
        <x:v>未测</x:v>
      </x:c>
      <x:c r="N60" s="10" t="str"/>
      <x:c r="O60" s="9" t="str">
        <x:v>1. 来源（当前证据）：liveshow-proto/MainBasis/统一需求文档.md；位置：第 2901 行；REQ-305d78ae3746、第 2899 行
2. 规则：BR-74951B07014C35
3. 未动态验证
4. 示例账号、编号、金额与日期是本条测试数据；执行前按前置条件准备，未填写的产品决策不得自行假定。</x:v>
      </x:c>
    </x:row>
    <x:row r="61" ht="145" customHeight="1">
      <x:c r="A61" s="10" t="n">
        <x:v>60</x:v>
      </x:c>
      <x:c r="B61" s="10" t="str">
        <x:v>ADMIN-0060</x:v>
      </x:c>
      <x:c r="C61" s="10" t="str">
        <x:v>运营管理</x:v>
      </x:c>
      <x:c r="D61" s="10" t="str">
        <x:v>充值套餐编辑（平台管理员）</x:v>
      </x:c>
      <x:c r="E61" s="10" t="str">
        <x:v>功能需求</x:v>
      </x:c>
      <x:c r="F61" s="10" t="str">
        <x:v>P1</x:v>
      </x:c>
      <x:c r="G61" s="9" t="str">
        <x:v>验证编辑充值套餐不能修改系统标识</x:v>
      </x:c>
      <x:c r="H61" s="9" t="str">
        <x:v>标识只读性</x:v>
      </x:c>
      <x:c r="I61" s="9" t="str">
        <x:v>1. 平台管理员为本条执行者
2. 表单为新建充值套餐；套餐 ID 为未使用的 900104，类型活动，封面已上传套餐封面.png，销售价格 1.50 USD，充值金币 100，赠送金币 20，限购 1，活动从今天到明天，排序 10
3. 已有充值套餐标识为 900001，本次切换为编辑该记录</x:v>
      </x:c>
      <x:c r="J61" s="9" t="str">
        <x:v>1. 打开充值套餐 900001 的编辑页面
2. 查看套餐 ID</x:v>
      </x:c>
      <x:c r="K61" s="9" t="str">
        <x:v>套餐 ID为只读</x:v>
      </x:c>
      <x:c r="L61" s="10" t="str"/>
      <x:c r="M61" s="10" t="str">
        <x:v>未测</x:v>
      </x:c>
      <x:c r="N61" s="10" t="str"/>
      <x:c r="O61" s="9" t="str">
        <x:v>1. 来源（当前证据）：liveshow-proto/MainBasis/统一需求文档.md；位置：第 2901 行；REQ-305d78ae3746、第 2899 行
2. 规则：BR-084F99E087A101
3. 未动态验证
4. 示例账号、编号、金额与日期是本条测试数据；执行前按前置条件准备，未填写的产品决策不得自行假定。</x:v>
      </x:c>
    </x:row>
    <x:row r="62" ht="145" customHeight="1">
      <x:c r="A62" s="10" t="n">
        <x:v>61</x:v>
      </x:c>
      <x:c r="B62" s="10" t="str">
        <x:v>ADMIN-0061</x:v>
      </x:c>
      <x:c r="C62" s="10" t="str">
        <x:v>运营管理</x:v>
      </x:c>
      <x:c r="D62" s="10" t="str">
        <x:v>通用任务编辑（平台管理员）</x:v>
      </x:c>
      <x:c r="E62" s="10" t="str">
        <x:v>异常用例</x:v>
      </x:c>
      <x:c r="F62" s="10" t="str">
        <x:v>P2</x:v>
      </x:c>
      <x:c r="G62" s="9" t="str">
        <x:v>验证任务的中文名称为空</x:v>
      </x:c>
      <x:c r="H62" s="9" t="str">
        <x:v>中文名称必填性</x:v>
      </x:c>
      <x:c r="I62" s="9" t="str">
        <x:v>1. 平台管理员为本条执行者
2. 表单为新建任务；四语名称为“测试任务”、Test Task、Tugas Uji、Tugasan Ujian，时间从今天到明天，用户动作和指标选当前系统预置的一组可用组合，统计周期选择该指标支持的一个周期，达成条件为 1，奖励 10 金币</x:v>
      </x:c>
      <x:c r="J62" s="9" t="str">
        <x:v>1. 打开通用任务编辑
2. 清空中文名称
3. 点击保存</x:v>
      </x:c>
      <x:c r="K62" s="9" t="str">
        <x:v>本次任务未保存</x:v>
      </x:c>
      <x:c r="L62" s="10" t="str"/>
      <x:c r="M62" s="10" t="str">
        <x:v>未测</x:v>
      </x:c>
      <x:c r="N62" s="10" t="str"/>
      <x:c r="O62" s="9" t="str">
        <x:v>1. 来源（当前证据）：liveshow-proto/MainBasis/统一需求文档.md；位置：第 2924 行；REQ-1132b8ac8e9c、第 2922 行
2. 规则：BR-0D445EB7D8D689
3. 未动态验证
4. 示例账号、编号、金额与日期是本条测试数据；执行前按前置条件准备，未填写的产品决策不得自行假定。</x:v>
      </x:c>
    </x:row>
    <x:row r="63" ht="145" customHeight="1">
      <x:c r="A63" s="10" t="n">
        <x:v>62</x:v>
      </x:c>
      <x:c r="B63" s="10" t="str">
        <x:v>ADMIN-0062</x:v>
      </x:c>
      <x:c r="C63" s="10" t="str">
        <x:v>运营管理</x:v>
      </x:c>
      <x:c r="D63" s="10" t="str">
        <x:v>通用任务编辑（平台管理员）</x:v>
      </x:c>
      <x:c r="E63" s="10" t="str">
        <x:v>异常用例</x:v>
      </x:c>
      <x:c r="F63" s="10" t="str">
        <x:v>P2</x:v>
      </x:c>
      <x:c r="G63" s="9" t="str">
        <x:v>验证任务的英语名称为空</x:v>
      </x:c>
      <x:c r="H63" s="9" t="str">
        <x:v>英语名称必填性</x:v>
      </x:c>
      <x:c r="I63" s="9" t="str">
        <x:v>1. 平台管理员为本条执行者
2. 表单为新建任务；四语名称为“测试任务”、Test Task、Tugas Uji、Tugasan Ujian，时间从今天到明天，用户动作和指标选当前系统预置的一组可用组合，统计周期选择该指标支持的一个周期，达成条件为 1，奖励 10 金币</x:v>
      </x:c>
      <x:c r="J63" s="9" t="str">
        <x:v>1. 打开通用任务编辑
2. 清空英语名称
3. 点击保存</x:v>
      </x:c>
      <x:c r="K63" s="9" t="str">
        <x:v>本次任务未保存</x:v>
      </x:c>
      <x:c r="L63" s="10" t="str"/>
      <x:c r="M63" s="10" t="str">
        <x:v>未测</x:v>
      </x:c>
      <x:c r="N63" s="10" t="str"/>
      <x:c r="O63" s="9" t="str">
        <x:v>1. 来源（当前证据）：liveshow-proto/MainBasis/统一需求文档.md；位置：第 2924 行；REQ-1132b8ac8e9c、第 2922 行
2. 规则：BR-6971F38EDC719F
3. 未动态验证
4. 示例账号、编号、金额与日期是本条测试数据；执行前按前置条件准备，未填写的产品决策不得自行假定。</x:v>
      </x:c>
    </x:row>
    <x:row r="64" ht="145" customHeight="1">
      <x:c r="A64" s="10" t="n">
        <x:v>63</x:v>
      </x:c>
      <x:c r="B64" s="10" t="str">
        <x:v>ADMIN-0063</x:v>
      </x:c>
      <x:c r="C64" s="10" t="str">
        <x:v>运营管理</x:v>
      </x:c>
      <x:c r="D64" s="10" t="str">
        <x:v>通用任务编辑（平台管理员）</x:v>
      </x:c>
      <x:c r="E64" s="10" t="str">
        <x:v>异常用例</x:v>
      </x:c>
      <x:c r="F64" s="10" t="str">
        <x:v>P2</x:v>
      </x:c>
      <x:c r="G64" s="9" t="str">
        <x:v>验证任务的印尼语名称为空</x:v>
      </x:c>
      <x:c r="H64" s="9" t="str">
        <x:v>印尼语名称必填性</x:v>
      </x:c>
      <x:c r="I64" s="9" t="str">
        <x:v>1. 平台管理员为本条执行者
2. 表单为新建任务；四语名称为“测试任务”、Test Task、Tugas Uji、Tugasan Ujian，时间从今天到明天，用户动作和指标选当前系统预置的一组可用组合，统计周期选择该指标支持的一个周期，达成条件为 1，奖励 10 金币</x:v>
      </x:c>
      <x:c r="J64" s="9" t="str">
        <x:v>1. 打开通用任务编辑
2. 清空印尼语名称
3. 点击保存</x:v>
      </x:c>
      <x:c r="K64" s="9" t="str">
        <x:v>本次任务未保存</x:v>
      </x:c>
      <x:c r="L64" s="10" t="str"/>
      <x:c r="M64" s="10" t="str">
        <x:v>未测</x:v>
      </x:c>
      <x:c r="N64" s="10" t="str"/>
      <x:c r="O64" s="9" t="str">
        <x:v>1. 来源（当前证据）：liveshow-proto/MainBasis/统一需求文档.md；位置：第 2924 行；REQ-1132b8ac8e9c、第 2922 行
2. 规则：BR-C5ED1BBC5139C5
3. 未动态验证
4. 示例账号、编号、金额与日期是本条测试数据；执行前按前置条件准备，未填写的产品决策不得自行假定。</x:v>
      </x:c>
    </x:row>
    <x:row r="65" ht="145" customHeight="1">
      <x:c r="A65" s="10" t="n">
        <x:v>64</x:v>
      </x:c>
      <x:c r="B65" s="10" t="str">
        <x:v>ADMIN-0064</x:v>
      </x:c>
      <x:c r="C65" s="10" t="str">
        <x:v>运营管理</x:v>
      </x:c>
      <x:c r="D65" s="10" t="str">
        <x:v>通用任务编辑（平台管理员）</x:v>
      </x:c>
      <x:c r="E65" s="10" t="str">
        <x:v>异常用例</x:v>
      </x:c>
      <x:c r="F65" s="10" t="str">
        <x:v>P2</x:v>
      </x:c>
      <x:c r="G65" s="9" t="str">
        <x:v>验证任务的马来语名称为空</x:v>
      </x:c>
      <x:c r="H65" s="9" t="str">
        <x:v>马来语名称必填性</x:v>
      </x:c>
      <x:c r="I65" s="9" t="str">
        <x:v>1. 平台管理员为本条执行者
2. 表单为新建任务；四语名称为“测试任务”、Test Task、Tugas Uji、Tugasan Ujian，时间从今天到明天，用户动作和指标选当前系统预置的一组可用组合，统计周期选择该指标支持的一个周期，达成条件为 1，奖励 10 金币</x:v>
      </x:c>
      <x:c r="J65" s="9" t="str">
        <x:v>1. 打开通用任务编辑
2. 清空马来语名称
3. 点击保存</x:v>
      </x:c>
      <x:c r="K65" s="9" t="str">
        <x:v>本次任务未保存</x:v>
      </x:c>
      <x:c r="L65" s="10" t="str"/>
      <x:c r="M65" s="10" t="str">
        <x:v>未测</x:v>
      </x:c>
      <x:c r="N65" s="10" t="str"/>
      <x:c r="O65" s="9" t="str">
        <x:v>1. 来源（当前证据）：liveshow-proto/MainBasis/统一需求文档.md；位置：第 2924 行；REQ-1132b8ac8e9c、第 2922 行
2. 规则：BR-9523026092853A
3. 未动态验证
4. 示例账号、编号、金额与日期是本条测试数据；执行前按前置条件准备，未填写的产品决策不得自行假定。</x:v>
      </x:c>
    </x:row>
    <x:row r="66" ht="145" customHeight="1">
      <x:c r="A66" s="10" t="n">
        <x:v>65</x:v>
      </x:c>
      <x:c r="B66" s="10" t="str">
        <x:v>ADMIN-0065</x:v>
      </x:c>
      <x:c r="C66" s="10" t="str">
        <x:v>运营管理</x:v>
      </x:c>
      <x:c r="D66" s="10" t="str">
        <x:v>通用任务编辑（平台管理员）</x:v>
      </x:c>
      <x:c r="E66" s="10" t="str">
        <x:v>功能需求</x:v>
      </x:c>
      <x:c r="F66" s="10" t="str">
        <x:v>P2</x:v>
      </x:c>
      <x:c r="G66" s="9" t="str">
        <x:v>验证任务的达成奖励输入-1</x:v>
      </x:c>
      <x:c r="H66" s="9" t="str">
        <x:v>达成奖励正整数约束</x:v>
      </x:c>
      <x:c r="I66" s="9" t="str">
        <x:v>1. 平台管理员为本条执行者
2. 表单为新建任务；四语名称为“测试任务”、Test Task、Tugas Uji、Tugasan Ujian，时间从今天到明天，用户动作和指标选当前系统预置的一组可用组合，统计周期选择该指标支持的一个周期，达成条件为 1，奖励 10 金币</x:v>
      </x:c>
      <x:c r="J66" s="9" t="str">
        <x:v>1. 打开通用任务编辑
2. 输入达成奖励 -1
3. 点击保存</x:v>
      </x:c>
      <x:c r="K66" s="9" t="str">
        <x:v>本次任务未保存</x:v>
      </x:c>
      <x:c r="L66" s="10" t="str"/>
      <x:c r="M66" s="10" t="str">
        <x:v>未测</x:v>
      </x:c>
      <x:c r="N66" s="10" t="str"/>
      <x:c r="O66" s="9" t="str">
        <x:v>1. 来源（当前证据）：liveshow-proto/MainBasis/统一需求文档.md；位置：第 2929 行；REQ-b2777c1adc0e、第 2922 行
2. 规则：BR-380AC3FF482BA8
3. 未动态验证
4. 示例账号、编号、金额与日期是本条测试数据；执行前按前置条件准备，未填写的产品决策不得自行假定。</x:v>
      </x:c>
    </x:row>
    <x:row r="67" ht="145" customHeight="1">
      <x:c r="A67" s="10" t="n">
        <x:v>66</x:v>
      </x:c>
      <x:c r="B67" s="10" t="str">
        <x:v>ADMIN-0066</x:v>
      </x:c>
      <x:c r="C67" s="10" t="str">
        <x:v>运营管理</x:v>
      </x:c>
      <x:c r="D67" s="10" t="str">
        <x:v>通用任务编辑（平台管理员）</x:v>
      </x:c>
      <x:c r="E67" s="10" t="str">
        <x:v>功能需求</x:v>
      </x:c>
      <x:c r="F67" s="10" t="str">
        <x:v>P2</x:v>
      </x:c>
      <x:c r="G67" s="9" t="str">
        <x:v>验证任务的达成奖励输入0</x:v>
      </x:c>
      <x:c r="H67" s="9" t="str">
        <x:v>达成奖励正整数约束</x:v>
      </x:c>
      <x:c r="I67" s="9" t="str">
        <x:v>1. 平台管理员为本条执行者
2. 表单为新建任务；四语名称为“测试任务”、Test Task、Tugas Uji、Tugasan Ujian，时间从今天到明天，用户动作和指标选当前系统预置的一组可用组合，统计周期选择该指标支持的一个周期，达成条件为 1，奖励 10 金币</x:v>
      </x:c>
      <x:c r="J67" s="9" t="str">
        <x:v>1. 打开通用任务编辑
2. 输入达成奖励 0
3. 点击保存</x:v>
      </x:c>
      <x:c r="K67" s="9" t="str">
        <x:v>本次任务未保存</x:v>
      </x:c>
      <x:c r="L67" s="10" t="str"/>
      <x:c r="M67" s="10" t="str">
        <x:v>未测</x:v>
      </x:c>
      <x:c r="N67" s="10" t="str"/>
      <x:c r="O67" s="9" t="str">
        <x:v>1. 来源（当前证据）：liveshow-proto/MainBasis/统一需求文档.md；位置：第 2929 行；REQ-b2777c1adc0e、第 2922 行
2. 规则：BR-A62C05379CE4B7
3. 未动态验证
4. 示例账号、编号、金额与日期是本条测试数据；执行前按前置条件准备，未填写的产品决策不得自行假定。</x:v>
      </x:c>
    </x:row>
    <x:row r="68" ht="145" customHeight="1">
      <x:c r="A68" s="10" t="n">
        <x:v>67</x:v>
      </x:c>
      <x:c r="B68" s="10" t="str">
        <x:v>ADMIN-0067</x:v>
      </x:c>
      <x:c r="C68" s="10" t="str">
        <x:v>运营管理</x:v>
      </x:c>
      <x:c r="D68" s="10" t="str">
        <x:v>通用任务编辑（平台管理员）</x:v>
      </x:c>
      <x:c r="E68" s="10" t="str">
        <x:v>功能需求</x:v>
      </x:c>
      <x:c r="F68" s="10" t="str">
        <x:v>P2</x:v>
      </x:c>
      <x:c r="G68" s="9" t="str">
        <x:v>验证任务的达成奖励输入0.5</x:v>
      </x:c>
      <x:c r="H68" s="9" t="str">
        <x:v>达成奖励正整数约束</x:v>
      </x:c>
      <x:c r="I68" s="9" t="str">
        <x:v>1. 平台管理员为本条执行者
2. 表单为新建任务；四语名称为“测试任务”、Test Task、Tugas Uji、Tugasan Ujian，时间从今天到明天，用户动作和指标选当前系统预置的一组可用组合，统计周期选择该指标支持的一个周期，达成条件为 1，奖励 10 金币</x:v>
      </x:c>
      <x:c r="J68" s="9" t="str">
        <x:v>1. 打开通用任务编辑
2. 输入达成奖励 0.5
3. 点击保存</x:v>
      </x:c>
      <x:c r="K68" s="9" t="str">
        <x:v>本次任务未保存</x:v>
      </x:c>
      <x:c r="L68" s="10" t="str"/>
      <x:c r="M68" s="10" t="str">
        <x:v>未测</x:v>
      </x:c>
      <x:c r="N68" s="10" t="str"/>
      <x:c r="O68" s="9" t="str">
        <x:v>1. 来源（当前证据）：liveshow-proto/MainBasis/统一需求文档.md；位置：第 2929 行；REQ-b2777c1adc0e、第 2922 行
2. 规则：BR-E0F2266374FD4F
3. 未动态验证
4. 示例账号、编号、金额与日期是本条测试数据；执行前按前置条件准备，未填写的产品决策不得自行假定。</x:v>
      </x:c>
    </x:row>
    <x:row r="69" ht="145" customHeight="1">
      <x:c r="A69" s="10" t="n">
        <x:v>68</x:v>
      </x:c>
      <x:c r="B69" s="10" t="str">
        <x:v>ADMIN-0068</x:v>
      </x:c>
      <x:c r="C69" s="10" t="str">
        <x:v>运营管理</x:v>
      </x:c>
      <x:c r="D69" s="10" t="str">
        <x:v>通用任务编辑（平台管理员）</x:v>
      </x:c>
      <x:c r="E69" s="10" t="str">
        <x:v>功能需求</x:v>
      </x:c>
      <x:c r="F69" s="10" t="str">
        <x:v>P2</x:v>
      </x:c>
      <x:c r="G69" s="9" t="str">
        <x:v>验证任务的达成奖励输入1</x:v>
      </x:c>
      <x:c r="H69" s="9" t="str">
        <x:v>达成奖励正整数约束</x:v>
      </x:c>
      <x:c r="I69" s="9" t="str">
        <x:v>1. 平台管理员为本条执行者
2. 表单为新建任务；四语名称为“测试任务”、Test Task、Tugas Uji、Tugasan Ujian，时间从今天到明天，用户动作和指标选当前系统预置的一组可用组合，统计周期选择该指标支持的一个周期，达成条件为 1，奖励 10 金币</x:v>
      </x:c>
      <x:c r="J69" s="9" t="str">
        <x:v>1. 打开通用任务编辑
2. 输入达成奖励 1
3. 点击保存</x:v>
      </x:c>
      <x:c r="K69" s="9" t="str">
        <x:v>任务保存后的达成奖励为 1</x:v>
      </x:c>
      <x:c r="L69" s="10" t="str"/>
      <x:c r="M69" s="10" t="str">
        <x:v>未测</x:v>
      </x:c>
      <x:c r="N69" s="10" t="str"/>
      <x:c r="O69" s="9" t="str">
        <x:v>1. 来源（当前证据）：liveshow-proto/MainBasis/统一需求文档.md；位置：第 2929 行；REQ-b2777c1adc0e、第 2922 行
2. 规则：BR-46E00AA07DD6A8
3. 未动态验证
4. 示例账号、编号、金额与日期是本条测试数据；执行前按前置条件准备，未填写的产品决策不得自行假定。</x:v>
      </x:c>
    </x:row>
    <x:row r="70" ht="130" customHeight="1">
      <x:c r="A70" s="10" t="n">
        <x:v>69</x:v>
      </x:c>
      <x:c r="B70" s="10" t="str">
        <x:v>ADMIN-0069</x:v>
      </x:c>
      <x:c r="C70" s="10" t="str">
        <x:v>运营管理</x:v>
      </x:c>
      <x:c r="D70" s="10" t="str">
        <x:v>公会推荐编辑（平台管理员）</x:v>
      </x:c>
      <x:c r="E70" s="10" t="str">
        <x:v>异常用例</x:v>
      </x:c>
      <x:c r="F70" s="10" t="str">
        <x:v>P2</x:v>
      </x:c>
      <x:c r="G70" s="9" t="str">
        <x:v>验证公会推荐的推荐公会为空</x:v>
      </x:c>
      <x:c r="H70" s="9" t="str">
        <x:v>推荐公会必填性</x:v>
      </x:c>
      <x:c r="I70" s="9" t="str">
        <x:v>1. 平台管理员为本条执行者
2. 表单为新建公会推荐；推荐公会选择有效且尚未推荐的公会甲，排序权重 1</x:v>
      </x:c>
      <x:c r="J70" s="9" t="str">
        <x:v>1. 打开公会推荐编辑
2. 清空推荐公会
3. 点击保存</x:v>
      </x:c>
      <x:c r="K70" s="9" t="str">
        <x:v>本次公会推荐未保存</x:v>
      </x:c>
      <x:c r="L70" s="10" t="str"/>
      <x:c r="M70" s="10" t="str">
        <x:v>未测</x:v>
      </x:c>
      <x:c r="N70" s="10" t="str"/>
      <x:c r="O70" s="9" t="str">
        <x:v>1. 来源（当前证据）：liveshow-proto/MainBasis/统一需求文档.md；位置：第 2945 行；REQ-6147649b32d7、第 2943 行
2. 规则：BR-4DCAF9FA4B0538
3. 未动态验证
4. 示例账号、编号、金额与日期是本条测试数据；执行前按前置条件准备，未填写的产品决策不得自行假定。</x:v>
      </x:c>
    </x:row>
    <x:row r="71" ht="130" customHeight="1">
      <x:c r="A71" s="10" t="n">
        <x:v>70</x:v>
      </x:c>
      <x:c r="B71" s="10" t="str">
        <x:v>ADMIN-0070</x:v>
      </x:c>
      <x:c r="C71" s="10" t="str">
        <x:v>运营管理</x:v>
      </x:c>
      <x:c r="D71" s="10" t="str">
        <x:v>公会推荐编辑（平台管理员）</x:v>
      </x:c>
      <x:c r="E71" s="10" t="str">
        <x:v>功能需求</x:v>
      </x:c>
      <x:c r="F71" s="10" t="str">
        <x:v>P2</x:v>
      </x:c>
      <x:c r="G71" s="9" t="str">
        <x:v>验证公会推荐的排序权重输入-1</x:v>
      </x:c>
      <x:c r="H71" s="9" t="str">
        <x:v>排序权重正整数约束</x:v>
      </x:c>
      <x:c r="I71" s="9" t="str">
        <x:v>1. 平台管理员为本条执行者
2. 表单为新建公会推荐；推荐公会选择有效且尚未推荐的公会甲，排序权重 1</x:v>
      </x:c>
      <x:c r="J71" s="9" t="str">
        <x:v>1. 打开公会推荐编辑
2. 输入排序权重 -1
3. 点击保存</x:v>
      </x:c>
      <x:c r="K71" s="9" t="str">
        <x:v>本次公会推荐未保存</x:v>
      </x:c>
      <x:c r="L71" s="10" t="str"/>
      <x:c r="M71" s="10" t="str">
        <x:v>未测</x:v>
      </x:c>
      <x:c r="N71" s="10" t="str"/>
      <x:c r="O71" s="9" t="str">
        <x:v>1. 来源（当前证据）：liveshow-proto/MainBasis/统一需求文档.md；位置：第 2946 行；REQ-4ad383f1de8a、第 2943 行
2. 规则：BR-E75BEE62E02BE1
3. 未动态验证
4. 示例账号、编号、金额与日期是本条测试数据；执行前按前置条件准备，未填写的产品决策不得自行假定。</x:v>
      </x:c>
    </x:row>
    <x:row r="72" ht="130" customHeight="1">
      <x:c r="A72" s="10" t="n">
        <x:v>71</x:v>
      </x:c>
      <x:c r="B72" s="10" t="str">
        <x:v>ADMIN-0071</x:v>
      </x:c>
      <x:c r="C72" s="10" t="str">
        <x:v>运营管理</x:v>
      </x:c>
      <x:c r="D72" s="10" t="str">
        <x:v>公会推荐编辑（平台管理员）</x:v>
      </x:c>
      <x:c r="E72" s="10" t="str">
        <x:v>功能需求</x:v>
      </x:c>
      <x:c r="F72" s="10" t="str">
        <x:v>P2</x:v>
      </x:c>
      <x:c r="G72" s="9" t="str">
        <x:v>验证公会推荐的排序权重输入0</x:v>
      </x:c>
      <x:c r="H72" s="9" t="str">
        <x:v>排序权重正整数约束</x:v>
      </x:c>
      <x:c r="I72" s="9" t="str">
        <x:v>1. 平台管理员为本条执行者
2. 表单为新建公会推荐；推荐公会选择有效且尚未推荐的公会甲，排序权重 1</x:v>
      </x:c>
      <x:c r="J72" s="9" t="str">
        <x:v>1. 打开公会推荐编辑
2. 输入排序权重 0
3. 点击保存</x:v>
      </x:c>
      <x:c r="K72" s="9" t="str">
        <x:v>本次公会推荐未保存</x:v>
      </x:c>
      <x:c r="L72" s="10" t="str"/>
      <x:c r="M72" s="10" t="str">
        <x:v>未测</x:v>
      </x:c>
      <x:c r="N72" s="10" t="str"/>
      <x:c r="O72" s="9" t="str">
        <x:v>1. 来源（当前证据）：liveshow-proto/MainBasis/统一需求文档.md；位置：第 2946 行；REQ-4ad383f1de8a、第 2943 行
2. 规则：BR-1AAC6E9E267D7C
3. 未动态验证
4. 示例账号、编号、金额与日期是本条测试数据；执行前按前置条件准备，未填写的产品决策不得自行假定。</x:v>
      </x:c>
    </x:row>
    <x:row r="73" ht="130" customHeight="1">
      <x:c r="A73" s="10" t="n">
        <x:v>72</x:v>
      </x:c>
      <x:c r="B73" s="10" t="str">
        <x:v>ADMIN-0072</x:v>
      </x:c>
      <x:c r="C73" s="10" t="str">
        <x:v>运营管理</x:v>
      </x:c>
      <x:c r="D73" s="10" t="str">
        <x:v>公会推荐编辑（平台管理员）</x:v>
      </x:c>
      <x:c r="E73" s="10" t="str">
        <x:v>功能需求</x:v>
      </x:c>
      <x:c r="F73" s="10" t="str">
        <x:v>P2</x:v>
      </x:c>
      <x:c r="G73" s="9" t="str">
        <x:v>验证公会推荐的排序权重输入0.5</x:v>
      </x:c>
      <x:c r="H73" s="9" t="str">
        <x:v>排序权重正整数约束</x:v>
      </x:c>
      <x:c r="I73" s="9" t="str">
        <x:v>1. 平台管理员为本条执行者
2. 表单为新建公会推荐；推荐公会选择有效且尚未推荐的公会甲，排序权重 1</x:v>
      </x:c>
      <x:c r="J73" s="9" t="str">
        <x:v>1. 打开公会推荐编辑
2. 输入排序权重 0.5
3. 点击保存</x:v>
      </x:c>
      <x:c r="K73" s="9" t="str">
        <x:v>本次公会推荐未保存</x:v>
      </x:c>
      <x:c r="L73" s="10" t="str"/>
      <x:c r="M73" s="10" t="str">
        <x:v>未测</x:v>
      </x:c>
      <x:c r="N73" s="10" t="str"/>
      <x:c r="O73" s="9" t="str">
        <x:v>1. 来源（当前证据）：liveshow-proto/MainBasis/统一需求文档.md；位置：第 2946 行；REQ-4ad383f1de8a、第 2943 行
2. 规则：BR-A6C09A5E4FE528
3. 未动态验证
4. 示例账号、编号、金额与日期是本条测试数据；执行前按前置条件准备，未填写的产品决策不得自行假定。</x:v>
      </x:c>
    </x:row>
    <x:row r="74" ht="130" customHeight="1">
      <x:c r="A74" s="10" t="n">
        <x:v>73</x:v>
      </x:c>
      <x:c r="B74" s="10" t="str">
        <x:v>ADMIN-0073</x:v>
      </x:c>
      <x:c r="C74" s="10" t="str">
        <x:v>运营管理</x:v>
      </x:c>
      <x:c r="D74" s="10" t="str">
        <x:v>公会推荐编辑（平台管理员）</x:v>
      </x:c>
      <x:c r="E74" s="10" t="str">
        <x:v>功能需求</x:v>
      </x:c>
      <x:c r="F74" s="10" t="str">
        <x:v>P2</x:v>
      </x:c>
      <x:c r="G74" s="9" t="str">
        <x:v>验证公会推荐的排序权重输入1</x:v>
      </x:c>
      <x:c r="H74" s="9" t="str">
        <x:v>排序权重正整数约束</x:v>
      </x:c>
      <x:c r="I74" s="9" t="str">
        <x:v>1. 平台管理员为本条执行者
2. 表单为新建公会推荐；推荐公会选择有效且尚未推荐的公会甲，排序权重 1</x:v>
      </x:c>
      <x:c r="J74" s="9" t="str">
        <x:v>1. 打开公会推荐编辑
2. 输入排序权重 1
3. 点击保存</x:v>
      </x:c>
      <x:c r="K74" s="9" t="str">
        <x:v>公会推荐保存后的排序权重为 1</x:v>
      </x:c>
      <x:c r="L74" s="10" t="str"/>
      <x:c r="M74" s="10" t="str">
        <x:v>未测</x:v>
      </x:c>
      <x:c r="N74" s="10" t="str"/>
      <x:c r="O74" s="9" t="str">
        <x:v>1. 来源（当前证据）：liveshow-proto/MainBasis/统一需求文档.md；位置：第 2946 行；REQ-4ad383f1de8a、第 2943 行
2. 规则：BR-441402800D8414
3. 未动态验证
4. 示例账号、编号、金额与日期是本条测试数据；执行前按前置条件准备，未填写的产品决策不得自行假定。</x:v>
      </x:c>
    </x:row>
    <x:row r="75" ht="130" customHeight="1">
      <x:c r="A75" s="10" t="n">
        <x:v>74</x:v>
      </x:c>
      <x:c r="B75" s="10" t="str">
        <x:v>ADMIN-0074</x:v>
      </x:c>
      <x:c r="C75" s="10" t="str">
        <x:v>运营管理</x:v>
      </x:c>
      <x:c r="D75" s="10" t="str">
        <x:v>门票价格档位编辑（平台管理员）</x:v>
      </x:c>
      <x:c r="E75" s="10" t="str">
        <x:v>异常用例</x:v>
      </x:c>
      <x:c r="F75" s="10" t="str">
        <x:v>P2</x:v>
      </x:c>
      <x:c r="G75" s="9" t="str">
        <x:v>验证门票价格档位的门票价格为空</x:v>
      </x:c>
      <x:c r="H75" s="9" t="str">
        <x:v>门票价格必填性</x:v>
      </x:c>
      <x:c r="I75" s="9" t="str">
        <x:v>1. 平台管理员为本条执行者
2. 表单为新建门票价格档位；新建档位价格 100 金币且不存在同价档位，排序 1，另有启用价格 200 金币的档位</x:v>
      </x:c>
      <x:c r="J75" s="9" t="str">
        <x:v>1. 打开门票价格档位编辑
2. 清空门票价格
3. 点击保存</x:v>
      </x:c>
      <x:c r="K75" s="9" t="str">
        <x:v>本次门票价格档位未保存</x:v>
      </x:c>
      <x:c r="L75" s="10" t="str"/>
      <x:c r="M75" s="10" t="str">
        <x:v>未测</x:v>
      </x:c>
      <x:c r="N75" s="10" t="str"/>
      <x:c r="O75" s="9" t="str">
        <x:v>1. 来源（当前证据）：liveshow-proto/MainBasis/统一需求文档.md；位置：第 3003 行；REQ-de186d221f4a、第 3000 行
2. 规则：BR-E929CC91B2CFB0
3. 未动态验证
4. 示例账号、编号、金额与日期是本条测试数据；执行前按前置条件准备，未填写的产品决策不得自行假定。</x:v>
      </x:c>
    </x:row>
    <x:row r="76" ht="130" customHeight="1">
      <x:c r="A76" s="10" t="n">
        <x:v>75</x:v>
      </x:c>
      <x:c r="B76" s="10" t="str">
        <x:v>ADMIN-0075</x:v>
      </x:c>
      <x:c r="C76" s="10" t="str">
        <x:v>运营管理</x:v>
      </x:c>
      <x:c r="D76" s="10" t="str">
        <x:v>门票价格档位编辑（平台管理员）</x:v>
      </x:c>
      <x:c r="E76" s="10" t="str">
        <x:v>功能需求</x:v>
      </x:c>
      <x:c r="F76" s="10" t="str">
        <x:v>P2</x:v>
      </x:c>
      <x:c r="G76" s="9" t="str">
        <x:v>验证门票价格档位的门票价格输入-1</x:v>
      </x:c>
      <x:c r="H76" s="9" t="str">
        <x:v>门票价格正整数约束</x:v>
      </x:c>
      <x:c r="I76" s="9" t="str">
        <x:v>1. 平台管理员为本条执行者
2. 表单为新建门票价格档位；新建档位价格 100 金币且不存在同价档位，排序 1，另有启用价格 200 金币的档位</x:v>
      </x:c>
      <x:c r="J76" s="9" t="str">
        <x:v>1. 打开门票价格档位编辑
2. 输入门票价格 -1
3. 点击保存</x:v>
      </x:c>
      <x:c r="K76" s="9" t="str">
        <x:v>本次门票价格档位未保存</x:v>
      </x:c>
      <x:c r="L76" s="10" t="str"/>
      <x:c r="M76" s="10" t="str">
        <x:v>未测</x:v>
      </x:c>
      <x:c r="N76" s="10" t="str"/>
      <x:c r="O76" s="9" t="str">
        <x:v>1. 来源（当前证据）：liveshow-proto/MainBasis/统一需求文档.md；位置：第 3003 行；REQ-de186d221f4a、第 3000 行
2. 规则：BR-10248BC4C8767B
3. 未动态验证
4. 示例账号、编号、金额与日期是本条测试数据；执行前按前置条件准备，未填写的产品决策不得自行假定。</x:v>
      </x:c>
    </x:row>
    <x:row r="77" ht="130" customHeight="1">
      <x:c r="A77" s="10" t="n">
        <x:v>76</x:v>
      </x:c>
      <x:c r="B77" s="10" t="str">
        <x:v>ADMIN-0076</x:v>
      </x:c>
      <x:c r="C77" s="10" t="str">
        <x:v>运营管理</x:v>
      </x:c>
      <x:c r="D77" s="10" t="str">
        <x:v>门票价格档位编辑（平台管理员）</x:v>
      </x:c>
      <x:c r="E77" s="10" t="str">
        <x:v>功能需求</x:v>
      </x:c>
      <x:c r="F77" s="10" t="str">
        <x:v>P2</x:v>
      </x:c>
      <x:c r="G77" s="9" t="str">
        <x:v>验证门票价格档位的门票价格输入0</x:v>
      </x:c>
      <x:c r="H77" s="9" t="str">
        <x:v>门票价格正整数约束</x:v>
      </x:c>
      <x:c r="I77" s="9" t="str">
        <x:v>1. 平台管理员为本条执行者
2. 表单为新建门票价格档位；新建档位价格 100 金币且不存在同价档位，排序 1，另有启用价格 200 金币的档位</x:v>
      </x:c>
      <x:c r="J77" s="9" t="str">
        <x:v>1. 打开门票价格档位编辑
2. 输入门票价格 0
3. 点击保存</x:v>
      </x:c>
      <x:c r="K77" s="9" t="str">
        <x:v>本次门票价格档位未保存</x:v>
      </x:c>
      <x:c r="L77" s="10" t="str"/>
      <x:c r="M77" s="10" t="str">
        <x:v>未测</x:v>
      </x:c>
      <x:c r="N77" s="10" t="str"/>
      <x:c r="O77" s="9" t="str">
        <x:v>1. 来源（当前证据）：liveshow-proto/MainBasis/统一需求文档.md；位置：第 3003 行；REQ-de186d221f4a、第 3000 行
2. 规则：BR-19B487E36B56A4
3. 未动态验证
4. 示例账号、编号、金额与日期是本条测试数据；执行前按前置条件准备，未填写的产品决策不得自行假定。</x:v>
      </x:c>
    </x:row>
    <x:row r="78" ht="130" customHeight="1">
      <x:c r="A78" s="10" t="n">
        <x:v>77</x:v>
      </x:c>
      <x:c r="B78" s="10" t="str">
        <x:v>ADMIN-0077</x:v>
      </x:c>
      <x:c r="C78" s="10" t="str">
        <x:v>运营管理</x:v>
      </x:c>
      <x:c r="D78" s="10" t="str">
        <x:v>门票价格档位编辑（平台管理员）</x:v>
      </x:c>
      <x:c r="E78" s="10" t="str">
        <x:v>功能需求</x:v>
      </x:c>
      <x:c r="F78" s="10" t="str">
        <x:v>P2</x:v>
      </x:c>
      <x:c r="G78" s="9" t="str">
        <x:v>验证门票价格档位的门票价格输入0.5</x:v>
      </x:c>
      <x:c r="H78" s="9" t="str">
        <x:v>门票价格正整数约束</x:v>
      </x:c>
      <x:c r="I78" s="9" t="str">
        <x:v>1. 平台管理员为本条执行者
2. 表单为新建门票价格档位；新建档位价格 100 金币且不存在同价档位，排序 1，另有启用价格 200 金币的档位</x:v>
      </x:c>
      <x:c r="J78" s="9" t="str">
        <x:v>1. 打开门票价格档位编辑
2. 输入门票价格 0.5
3. 点击保存</x:v>
      </x:c>
      <x:c r="K78" s="9" t="str">
        <x:v>本次门票价格档位未保存</x:v>
      </x:c>
      <x:c r="L78" s="10" t="str"/>
      <x:c r="M78" s="10" t="str">
        <x:v>未测</x:v>
      </x:c>
      <x:c r="N78" s="10" t="str"/>
      <x:c r="O78" s="9" t="str">
        <x:v>1. 来源（当前证据）：liveshow-proto/MainBasis/统一需求文档.md；位置：第 3003 行；REQ-de186d221f4a、第 3000 行
2. 规则：BR-FB1F1D6FC7239C
3. 未动态验证
4. 示例账号、编号、金额与日期是本条测试数据；执行前按前置条件准备，未填写的产品决策不得自行假定。</x:v>
      </x:c>
    </x:row>
    <x:row r="79" ht="130" customHeight="1">
      <x:c r="A79" s="10" t="n">
        <x:v>78</x:v>
      </x:c>
      <x:c r="B79" s="10" t="str">
        <x:v>ADMIN-0078</x:v>
      </x:c>
      <x:c r="C79" s="10" t="str">
        <x:v>运营管理</x:v>
      </x:c>
      <x:c r="D79" s="10" t="str">
        <x:v>门票价格档位编辑（平台管理员）</x:v>
      </x:c>
      <x:c r="E79" s="10" t="str">
        <x:v>功能需求</x:v>
      </x:c>
      <x:c r="F79" s="10" t="str">
        <x:v>P2</x:v>
      </x:c>
      <x:c r="G79" s="9" t="str">
        <x:v>验证门票价格档位的门票价格输入1</x:v>
      </x:c>
      <x:c r="H79" s="9" t="str">
        <x:v>门票价格正整数约束</x:v>
      </x:c>
      <x:c r="I79" s="9" t="str">
        <x:v>1. 平台管理员为本条执行者
2. 表单为新建门票价格档位；新建档位价格 100 金币且不存在同价档位，排序 1，另有启用价格 200 金币的档位</x:v>
      </x:c>
      <x:c r="J79" s="9" t="str">
        <x:v>1. 打开门票价格档位编辑
2. 输入门票价格 1
3. 点击保存</x:v>
      </x:c>
      <x:c r="K79" s="9" t="str">
        <x:v>门票价格档位保存后的门票价格为 1</x:v>
      </x:c>
      <x:c r="L79" s="10" t="str"/>
      <x:c r="M79" s="10" t="str">
        <x:v>未测</x:v>
      </x:c>
      <x:c r="N79" s="10" t="str"/>
      <x:c r="O79" s="9" t="str">
        <x:v>1. 来源（当前证据）：liveshow-proto/MainBasis/统一需求文档.md；位置：第 3003 行；REQ-de186d221f4a、第 3000 行
2. 规则：BR-5763FAE3D2F15E
3. 未动态验证
4. 示例账号、编号、金额与日期是本条测试数据；执行前按前置条件准备，未填写的产品决策不得自行假定。</x:v>
      </x:c>
    </x:row>
    <x:row r="80" ht="130" customHeight="1">
      <x:c r="A80" s="10" t="n">
        <x:v>79</x:v>
      </x:c>
      <x:c r="B80" s="10" t="str">
        <x:v>ADMIN-0079</x:v>
      </x:c>
      <x:c r="C80" s="10" t="str">
        <x:v>运营管理</x:v>
      </x:c>
      <x:c r="D80" s="10" t="str">
        <x:v>门票价格档位编辑（平台管理员）</x:v>
      </x:c>
      <x:c r="E80" s="10" t="str">
        <x:v>功能需求</x:v>
      </x:c>
      <x:c r="F80" s="10" t="str">
        <x:v>P2</x:v>
      </x:c>
      <x:c r="G80" s="9" t="str">
        <x:v>验证门票价格档位的排序输入-1</x:v>
      </x:c>
      <x:c r="H80" s="9" t="str">
        <x:v>排序正整数约束</x:v>
      </x:c>
      <x:c r="I80" s="9" t="str">
        <x:v>1. 平台管理员为本条执行者
2. 表单为新建门票价格档位；新建档位价格 100 金币且不存在同价档位，排序 1，另有启用价格 200 金币的档位</x:v>
      </x:c>
      <x:c r="J80" s="9" t="str">
        <x:v>1. 打开门票价格档位编辑
2. 输入排序 -1
3. 点击保存</x:v>
      </x:c>
      <x:c r="K80" s="9" t="str">
        <x:v>本次门票价格档位未保存</x:v>
      </x:c>
      <x:c r="L80" s="10" t="str"/>
      <x:c r="M80" s="10" t="str">
        <x:v>未测</x:v>
      </x:c>
      <x:c r="N80" s="10" t="str"/>
      <x:c r="O80" s="9" t="str">
        <x:v>1. 来源（当前证据）：liveshow-proto/MainBasis/统一需求文档.md；位置：第 3004 行；REQ-498b2f58533c、第 3000 行
2. 规则：BR-FE15B4DE962C33
3. 未动态验证
4. 示例账号、编号、金额与日期是本条测试数据；执行前按前置条件准备，未填写的产品决策不得自行假定。</x:v>
      </x:c>
    </x:row>
    <x:row r="81" ht="130" customHeight="1">
      <x:c r="A81" s="10" t="n">
        <x:v>80</x:v>
      </x:c>
      <x:c r="B81" s="10" t="str">
        <x:v>ADMIN-0080</x:v>
      </x:c>
      <x:c r="C81" s="10" t="str">
        <x:v>运营管理</x:v>
      </x:c>
      <x:c r="D81" s="10" t="str">
        <x:v>门票价格档位编辑（平台管理员）</x:v>
      </x:c>
      <x:c r="E81" s="10" t="str">
        <x:v>功能需求</x:v>
      </x:c>
      <x:c r="F81" s="10" t="str">
        <x:v>P2</x:v>
      </x:c>
      <x:c r="G81" s="9" t="str">
        <x:v>验证门票价格档位的排序输入0</x:v>
      </x:c>
      <x:c r="H81" s="9" t="str">
        <x:v>排序正整数约束</x:v>
      </x:c>
      <x:c r="I81" s="9" t="str">
        <x:v>1. 平台管理员为本条执行者
2. 表单为新建门票价格档位；新建档位价格 100 金币且不存在同价档位，排序 1，另有启用价格 200 金币的档位</x:v>
      </x:c>
      <x:c r="J81" s="9" t="str">
        <x:v>1. 打开门票价格档位编辑
2. 输入排序 0
3. 点击保存</x:v>
      </x:c>
      <x:c r="K81" s="9" t="str">
        <x:v>本次门票价格档位未保存</x:v>
      </x:c>
      <x:c r="L81" s="10" t="str"/>
      <x:c r="M81" s="10" t="str">
        <x:v>未测</x:v>
      </x:c>
      <x:c r="N81" s="10" t="str"/>
      <x:c r="O81" s="9" t="str">
        <x:v>1. 来源（当前证据）：liveshow-proto/MainBasis/统一需求文档.md；位置：第 3004 行；REQ-498b2f58533c、第 3000 行
2. 规则：BR-A0DE19A2BA4BFE
3. 未动态验证
4. 示例账号、编号、金额与日期是本条测试数据；执行前按前置条件准备，未填写的产品决策不得自行假定。</x:v>
      </x:c>
    </x:row>
    <x:row r="82" ht="130" customHeight="1">
      <x:c r="A82" s="10" t="n">
        <x:v>81</x:v>
      </x:c>
      <x:c r="B82" s="10" t="str">
        <x:v>ADMIN-0081</x:v>
      </x:c>
      <x:c r="C82" s="10" t="str">
        <x:v>运营管理</x:v>
      </x:c>
      <x:c r="D82" s="10" t="str">
        <x:v>门票价格档位编辑（平台管理员）</x:v>
      </x:c>
      <x:c r="E82" s="10" t="str">
        <x:v>功能需求</x:v>
      </x:c>
      <x:c r="F82" s="10" t="str">
        <x:v>P2</x:v>
      </x:c>
      <x:c r="G82" s="9" t="str">
        <x:v>验证门票价格档位的排序输入0.5</x:v>
      </x:c>
      <x:c r="H82" s="9" t="str">
        <x:v>排序正整数约束</x:v>
      </x:c>
      <x:c r="I82" s="9" t="str">
        <x:v>1. 平台管理员为本条执行者
2. 表单为新建门票价格档位；新建档位价格 100 金币且不存在同价档位，排序 1，另有启用价格 200 金币的档位</x:v>
      </x:c>
      <x:c r="J82" s="9" t="str">
        <x:v>1. 打开门票价格档位编辑
2. 输入排序 0.5
3. 点击保存</x:v>
      </x:c>
      <x:c r="K82" s="9" t="str">
        <x:v>本次门票价格档位未保存</x:v>
      </x:c>
      <x:c r="L82" s="10" t="str"/>
      <x:c r="M82" s="10" t="str">
        <x:v>未测</x:v>
      </x:c>
      <x:c r="N82" s="10" t="str"/>
      <x:c r="O82" s="9" t="str">
        <x:v>1. 来源（当前证据）：liveshow-proto/MainBasis/统一需求文档.md；位置：第 3004 行；REQ-498b2f58533c、第 3000 行
2. 规则：BR-C0D0DC34B2C930
3. 未动态验证
4. 示例账号、编号、金额与日期是本条测试数据；执行前按前置条件准备，未填写的产品决策不得自行假定。</x:v>
      </x:c>
    </x:row>
    <x:row r="83" ht="130" customHeight="1">
      <x:c r="A83" s="10" t="n">
        <x:v>82</x:v>
      </x:c>
      <x:c r="B83" s="10" t="str">
        <x:v>ADMIN-0082</x:v>
      </x:c>
      <x:c r="C83" s="10" t="str">
        <x:v>运营管理</x:v>
      </x:c>
      <x:c r="D83" s="10" t="str">
        <x:v>门票价格档位编辑（平台管理员）</x:v>
      </x:c>
      <x:c r="E83" s="10" t="str">
        <x:v>功能需求</x:v>
      </x:c>
      <x:c r="F83" s="10" t="str">
        <x:v>P2</x:v>
      </x:c>
      <x:c r="G83" s="9" t="str">
        <x:v>验证门票价格档位的排序输入1</x:v>
      </x:c>
      <x:c r="H83" s="9" t="str">
        <x:v>排序正整数约束</x:v>
      </x:c>
      <x:c r="I83" s="9" t="str">
        <x:v>1. 平台管理员为本条执行者
2. 表单为新建门票价格档位；新建档位价格 100 金币且不存在同价档位，排序 1，另有启用价格 200 金币的档位</x:v>
      </x:c>
      <x:c r="J83" s="9" t="str">
        <x:v>1. 打开门票价格档位编辑
2. 输入排序 1
3. 点击保存</x:v>
      </x:c>
      <x:c r="K83" s="9" t="str">
        <x:v>门票价格档位保存后的排序为 1</x:v>
      </x:c>
      <x:c r="L83" s="10" t="str"/>
      <x:c r="M83" s="10" t="str">
        <x:v>未测</x:v>
      </x:c>
      <x:c r="N83" s="10" t="str"/>
      <x:c r="O83" s="9" t="str">
        <x:v>1. 来源（当前证据）：liveshow-proto/MainBasis/统一需求文档.md；位置：第 3004 行；REQ-498b2f58533c、第 3000 行
2. 规则：BR-EF9F9FFB0235C1
3. 未动态验证
4. 示例账号、编号、金额与日期是本条测试数据；执行前按前置条件准备，未填写的产品决策不得自行假定。</x:v>
      </x:c>
    </x:row>
    <x:row r="84" ht="130" customHeight="1">
      <x:c r="A84" s="10" t="n">
        <x:v>83</x:v>
      </x:c>
      <x:c r="B84" s="10" t="str">
        <x:v>ADMIN-0083</x:v>
      </x:c>
      <x:c r="C84" s="10" t="str">
        <x:v>运营管理</x:v>
      </x:c>
      <x:c r="D84" s="10" t="str">
        <x:v>门票价格档位编辑（平台管理员）</x:v>
      </x:c>
      <x:c r="E84" s="10" t="str">
        <x:v>异常用例</x:v>
      </x:c>
      <x:c r="F84" s="10" t="str">
        <x:v>P2</x:v>
      </x:c>
      <x:c r="G84" s="9" t="str">
        <x:v>验证门票价格档位拒绝重复门票价格</x:v>
      </x:c>
      <x:c r="H84" s="9" t="str">
        <x:v>门票价格唯一性</x:v>
      </x:c>
      <x:c r="I84" s="9" t="str">
        <x:v>1. 平台管理员为本条执行者
2. 表单为新建门票价格档位；新建档位价格 100 金币且不存在同价档位，排序 1，另有启用价格 200 金币的档位
3. 已存在一条门票价格与本表单相同的记录</x:v>
      </x:c>
      <x:c r="J84" s="9" t="str">
        <x:v>1. 打开门票价格档位编辑
2. 点击保存</x:v>
      </x:c>
      <x:c r="K84" s="9" t="str">
        <x:v>未新增重复门票价格的门票价格档位</x:v>
      </x:c>
      <x:c r="L84" s="10" t="str"/>
      <x:c r="M84" s="10" t="str">
        <x:v>未测</x:v>
      </x:c>
      <x:c r="N84" s="10" t="str"/>
      <x:c r="O84" s="9" t="str">
        <x:v>1. 来源（当前证据）：liveshow-proto/MainBasis/统一需求文档.md；位置：第 3003 行；REQ-de186d221f4a、第 3000 行
2. 规则：BR-A0FEDF02CBF863
3. 未动态验证
4. 示例账号、编号、金额与日期是本条测试数据；执行前按前置条件准备，未填写的产品决策不得自行假定。</x:v>
      </x:c>
    </x:row>
    <x:row r="85" ht="130" customHeight="1">
      <x:c r="A85" s="10" t="n">
        <x:v>84</x:v>
      </x:c>
      <x:c r="B85" s="10" t="str">
        <x:v>ADMIN-0084</x:v>
      </x:c>
      <x:c r="C85" s="10" t="str">
        <x:v>运营管理</x:v>
      </x:c>
      <x:c r="D85" s="10" t="str">
        <x:v>门票价格档位编辑（平台管理员）</x:v>
      </x:c>
      <x:c r="E85" s="10" t="str">
        <x:v>功能需求</x:v>
      </x:c>
      <x:c r="F85" s="10" t="str">
        <x:v>P2</x:v>
      </x:c>
      <x:c r="G85" s="9" t="str">
        <x:v>验证编辑门票价格档位不能修改系统标识</x:v>
      </x:c>
      <x:c r="H85" s="9" t="str">
        <x:v>标识只读性</x:v>
      </x:c>
      <x:c r="I85" s="9" t="str">
        <x:v>1. 平台管理员为本条执行者
2. 表单为新建门票价格档位；新建档位价格 100 金币且不存在同价档位，排序 1，另有启用价格 200 金币的档位
3. 已有门票价格档位标识为 900001，本次切换为编辑该记录</x:v>
      </x:c>
      <x:c r="J85" s="9" t="str">
        <x:v>1. 打开门票价格档位 900001 的编辑页面
2. 查看档位 ID</x:v>
      </x:c>
      <x:c r="K85" s="9" t="str">
        <x:v>档位 ID为只读</x:v>
      </x:c>
      <x:c r="L85" s="10" t="str"/>
      <x:c r="M85" s="10" t="str">
        <x:v>未测</x:v>
      </x:c>
      <x:c r="N85" s="10" t="str"/>
      <x:c r="O85" s="9" t="str">
        <x:v>1. 来源（当前证据）：liveshow-proto/MainBasis/统一需求文档.md；位置：第 3002 行；REQ-ca00aa6fe9cf、第 3000 行
2. 规则：BR-54150B8D775A55
3. 未动态验证
4. 示例账号、编号、金额与日期是本条测试数据；执行前按前置条件准备，未填写的产品决策不得自行假定。</x:v>
      </x:c>
    </x:row>
    <x:row r="86" ht="130" customHeight="1">
      <x:c r="A86" s="10" t="n">
        <x:v>85</x:v>
      </x:c>
      <x:c r="B86" s="10" t="str">
        <x:v>ADMIN-0085</x:v>
      </x:c>
      <x:c r="C86" s="10" t="str">
        <x:v>运营管理</x:v>
      </x:c>
      <x:c r="D86" s="10" t="str">
        <x:v>敏感词编辑（平台管理员）</x:v>
      </x:c>
      <x:c r="E86" s="10" t="str">
        <x:v>异常用例</x:v>
      </x:c>
      <x:c r="F86" s="10" t="str">
        <x:v>P2</x:v>
      </x:c>
      <x:c r="G86" s="9" t="str">
        <x:v>验证敏感词的敏感词为空</x:v>
      </x:c>
      <x:c r="H86" s="9" t="str">
        <x:v>敏感词必填性</x:v>
      </x:c>
      <x:c r="I86" s="9" t="str">
        <x:v>1. 平台管理员为本条执行者
2. 表单为新建敏感词；敏感词为“测试词甲”，分类选当前列表一个启用项，规则包含匹配，使用场景选择公屏，替换内容“***”，状态启用</x:v>
      </x:c>
      <x:c r="J86" s="9" t="str">
        <x:v>1. 打开敏感词编辑
2. 清空敏感词
3. 点击保存</x:v>
      </x:c>
      <x:c r="K86" s="9" t="str">
        <x:v>本次敏感词未保存</x:v>
      </x:c>
      <x:c r="L86" s="10" t="str"/>
      <x:c r="M86" s="10" t="str">
        <x:v>未测</x:v>
      </x:c>
      <x:c r="N86" s="10" t="str"/>
      <x:c r="O86" s="9" t="str">
        <x:v>1. 来源（当前证据）：liveshow-proto/MainBasis/统一需求文档.md；位置：第 3023 行；REQ-411ddb641bcf、第 3020 行
2. 规则：BR-EF15A38246B6FD
3. 未动态验证
4. 示例账号、编号、金额与日期是本条测试数据；执行前按前置条件准备，未填写的产品决策不得自行假定。</x:v>
      </x:c>
    </x:row>
    <x:row r="87" ht="130" customHeight="1">
      <x:c r="A87" s="10" t="n">
        <x:v>86</x:v>
      </x:c>
      <x:c r="B87" s="10" t="str">
        <x:v>ADMIN-0086</x:v>
      </x:c>
      <x:c r="C87" s="10" t="str">
        <x:v>运营管理</x:v>
      </x:c>
      <x:c r="D87" s="10" t="str">
        <x:v>敏感词编辑（平台管理员）</x:v>
      </x:c>
      <x:c r="E87" s="10" t="str">
        <x:v>异常用例</x:v>
      </x:c>
      <x:c r="F87" s="10" t="str">
        <x:v>P2</x:v>
      </x:c>
      <x:c r="G87" s="9" t="str">
        <x:v>验证敏感词的分类为空</x:v>
      </x:c>
      <x:c r="H87" s="9" t="str">
        <x:v>分类必填性</x:v>
      </x:c>
      <x:c r="I87" s="9" t="str">
        <x:v>1. 平台管理员为本条执行者
2. 表单为新建敏感词；敏感词为“测试词甲”，分类选当前列表一个启用项，规则包含匹配，使用场景选择公屏，替换内容“***”，状态启用</x:v>
      </x:c>
      <x:c r="J87" s="9" t="str">
        <x:v>1. 打开敏感词编辑
2. 清空分类
3. 点击保存</x:v>
      </x:c>
      <x:c r="K87" s="9" t="str">
        <x:v>本次敏感词未保存</x:v>
      </x:c>
      <x:c r="L87" s="10" t="str"/>
      <x:c r="M87" s="10" t="str">
        <x:v>未测</x:v>
      </x:c>
      <x:c r="N87" s="10" t="str"/>
      <x:c r="O87" s="9" t="str">
        <x:v>1. 来源（当前证据）：liveshow-proto/MainBasis/统一需求文档.md；位置：第 3023 行；REQ-411ddb641bcf、第 3020 行
2. 规则：BR-73ED1268041759
3. 未动态验证
4. 示例账号、编号、金额与日期是本条测试数据；执行前按前置条件准备，未填写的产品决策不得自行假定。</x:v>
      </x:c>
    </x:row>
    <x:row r="88" ht="130" customHeight="1">
      <x:c r="A88" s="10" t="n">
        <x:v>87</x:v>
      </x:c>
      <x:c r="B88" s="10" t="str">
        <x:v>ADMIN-0087</x:v>
      </x:c>
      <x:c r="C88" s="10" t="str">
        <x:v>运营管理</x:v>
      </x:c>
      <x:c r="D88" s="10" t="str">
        <x:v>敏感词编辑（平台管理员）</x:v>
      </x:c>
      <x:c r="E88" s="10" t="str">
        <x:v>异常用例</x:v>
      </x:c>
      <x:c r="F88" s="10" t="str">
        <x:v>P2</x:v>
      </x:c>
      <x:c r="G88" s="9" t="str">
        <x:v>验证敏感词的替换内容为空</x:v>
      </x:c>
      <x:c r="H88" s="9" t="str">
        <x:v>替换内容必填性</x:v>
      </x:c>
      <x:c r="I88" s="9" t="str">
        <x:v>1. 平台管理员为本条执行者
2. 表单为新建敏感词；敏感词为“测试词甲”，分类选当前列表一个启用项，规则包含匹配，使用场景选择公屏，替换内容“***”，状态启用</x:v>
      </x:c>
      <x:c r="J88" s="9" t="str">
        <x:v>1. 打开敏感词编辑
2. 清空替换内容
3. 点击保存</x:v>
      </x:c>
      <x:c r="K88" s="9" t="str">
        <x:v>本次敏感词未保存</x:v>
      </x:c>
      <x:c r="L88" s="10" t="str"/>
      <x:c r="M88" s="10" t="str">
        <x:v>未测</x:v>
      </x:c>
      <x:c r="N88" s="10" t="str"/>
      <x:c r="O88" s="9" t="str">
        <x:v>1. 来源（当前证据）：liveshow-proto/MainBasis/统一需求文档.md；位置：第 3026 行；REQ-4c6535f0e332、第 3020 行
2. 规则：BR-74B6AA81082DA3
3. 未动态验证
4. 示例账号、编号、金额与日期是本条测试数据；执行前按前置条件准备，未填写的产品决策不得自行假定。</x:v>
      </x:c>
    </x:row>
    <x:row r="89" ht="130" customHeight="1">
      <x:c r="A89" s="10" t="n">
        <x:v>88</x:v>
      </x:c>
      <x:c r="B89" s="10" t="str">
        <x:v>ADMIN-0088</x:v>
      </x:c>
      <x:c r="C89" s="10" t="str">
        <x:v>运营管理</x:v>
      </x:c>
      <x:c r="D89" s="10" t="str">
        <x:v>敏感词编辑（平台管理员）</x:v>
      </x:c>
      <x:c r="E89" s="10" t="str">
        <x:v>功能需求</x:v>
      </x:c>
      <x:c r="F89" s="10" t="str">
        <x:v>P2</x:v>
      </x:c>
      <x:c r="G89" s="9" t="str">
        <x:v>验证编辑敏感词不能修改系统标识</x:v>
      </x:c>
      <x:c r="H89" s="9" t="str">
        <x:v>标识只读性</x:v>
      </x:c>
      <x:c r="I89" s="9" t="str">
        <x:v>1. 平台管理员为本条执行者
2. 表单为新建敏感词；敏感词为“测试词甲”，分类选当前列表一个启用项，规则包含匹配，使用场景选择公屏，替换内容“***”，状态启用
3. 已有敏感词标识为 900001，本次切换为编辑该记录</x:v>
      </x:c>
      <x:c r="J89" s="9" t="str">
        <x:v>1. 打开敏感词 900001 的编辑页面
2. 查看词条 ID</x:v>
      </x:c>
      <x:c r="K89" s="9" t="str">
        <x:v>词条 ID为只读</x:v>
      </x:c>
      <x:c r="L89" s="10" t="str"/>
      <x:c r="M89" s="10" t="str">
        <x:v>未测</x:v>
      </x:c>
      <x:c r="N89" s="10" t="str"/>
      <x:c r="O89" s="9" t="str">
        <x:v>1. 来源（当前证据）：liveshow-proto/MainBasis/统一需求文档.md；位置：第 3022 行；REQ-9252bf1ee614、第 3020 行
2. 规则：BR-FEBC135AEB11AB
3. 未动态验证
4. 示例账号、编号、金额与日期是本条测试数据；执行前按前置条件准备，未填写的产品决策不得自行假定。</x:v>
      </x:c>
    </x:row>
    <x:row r="90" ht="130" customHeight="1">
      <x:c r="A90" s="10" t="n">
        <x:v>89</x:v>
      </x:c>
      <x:c r="B90" s="10" t="str">
        <x:v>ADMIN-0089</x:v>
      </x:c>
      <x:c r="C90" s="10" t="str">
        <x:v>系统管理</x:v>
      </x:c>
      <x:c r="D90" s="10" t="str">
        <x:v>账号编辑（平台管理员）</x:v>
      </x:c>
      <x:c r="E90" s="10" t="str">
        <x:v>异常用例</x:v>
      </x:c>
      <x:c r="F90" s="10" t="str">
        <x:v>P2</x:v>
      </x:c>
      <x:c r="G90" s="9" t="str">
        <x:v>验证后台账号的后台账号为空</x:v>
      </x:c>
      <x:c r="H90" s="9" t="str">
        <x:v>后台账号必填性</x:v>
      </x:c>
      <x:c r="I90" s="9" t="str">
        <x:v>1. 平台管理员为本条执行者
2. 表单为新建后台账号；登录账号 qa_admin_9001 未被使用，姓名“测试管理员”，所属角色为启用的测试运营角色，初始密码 QaTest#2026，状态启用</x:v>
      </x:c>
      <x:c r="J90" s="9" t="str">
        <x:v>1. 打开账号编辑
2. 清空后台账号
3. 点击保存</x:v>
      </x:c>
      <x:c r="K90" s="9" t="str">
        <x:v>本次后台账号未保存</x:v>
      </x:c>
      <x:c r="L90" s="10" t="str"/>
      <x:c r="M90" s="10" t="str">
        <x:v>未测</x:v>
      </x:c>
      <x:c r="N90" s="10" t="str"/>
      <x:c r="O90" s="9" t="str">
        <x:v>1. 来源（当前证据）：liveshow-proto/MainBasis/统一需求文档.md；位置：第 3420 行；REQ-c8e16ffe4a6c、第 3417 行
2. 规则：BR-BF613348507ED2
3. 未动态验证
4. 示例账号、编号、金额与日期是本条测试数据；执行前按前置条件准备，未填写的产品决策不得自行假定。</x:v>
      </x:c>
    </x:row>
    <x:row r="91" ht="130" customHeight="1">
      <x:c r="A91" s="10" t="n">
        <x:v>90</x:v>
      </x:c>
      <x:c r="B91" s="10" t="str">
        <x:v>ADMIN-0090</x:v>
      </x:c>
      <x:c r="C91" s="10" t="str">
        <x:v>系统管理</x:v>
      </x:c>
      <x:c r="D91" s="10" t="str">
        <x:v>账号编辑（平台管理员）</x:v>
      </x:c>
      <x:c r="E91" s="10" t="str">
        <x:v>异常用例</x:v>
      </x:c>
      <x:c r="F91" s="10" t="str">
        <x:v>P2</x:v>
      </x:c>
      <x:c r="G91" s="9" t="str">
        <x:v>验证后台账号的姓名为空</x:v>
      </x:c>
      <x:c r="H91" s="9" t="str">
        <x:v>姓名必填性</x:v>
      </x:c>
      <x:c r="I91" s="9" t="str">
        <x:v>1. 平台管理员为本条执行者
2. 表单为新建后台账号；登录账号 qa_admin_9001 未被使用，姓名“测试管理员”，所属角色为启用的测试运营角色，初始密码 QaTest#2026，状态启用</x:v>
      </x:c>
      <x:c r="J91" s="9" t="str">
        <x:v>1. 打开账号编辑
2. 清空姓名
3. 点击保存</x:v>
      </x:c>
      <x:c r="K91" s="9" t="str">
        <x:v>本次后台账号未保存</x:v>
      </x:c>
      <x:c r="L91" s="10" t="str"/>
      <x:c r="M91" s="10" t="str">
        <x:v>未测</x:v>
      </x:c>
      <x:c r="N91" s="10" t="str"/>
      <x:c r="O91" s="9" t="str">
        <x:v>1. 来源（当前证据）：liveshow-proto/MainBasis/统一需求文档.md；位置：第 3420 行；REQ-c8e16ffe4a6c、第 3417 行
2. 规则：BR-9329CFF4918676
3. 未动态验证
4. 示例账号、编号、金额与日期是本条测试数据；执行前按前置条件准备，未填写的产品决策不得自行假定。</x:v>
      </x:c>
    </x:row>
    <x:row r="92" ht="130" customHeight="1">
      <x:c r="A92" s="10" t="n">
        <x:v>91</x:v>
      </x:c>
      <x:c r="B92" s="10" t="str">
        <x:v>ADMIN-0091</x:v>
      </x:c>
      <x:c r="C92" s="10" t="str">
        <x:v>系统管理</x:v>
      </x:c>
      <x:c r="D92" s="10" t="str">
        <x:v>账号编辑（平台管理员）</x:v>
      </x:c>
      <x:c r="E92" s="10" t="str">
        <x:v>异常用例</x:v>
      </x:c>
      <x:c r="F92" s="10" t="str">
        <x:v>P2</x:v>
      </x:c>
      <x:c r="G92" s="9" t="str">
        <x:v>验证后台账号的所属角色为空</x:v>
      </x:c>
      <x:c r="H92" s="9" t="str">
        <x:v>所属角色必填性</x:v>
      </x:c>
      <x:c r="I92" s="9" t="str">
        <x:v>1. 平台管理员为本条执行者
2. 表单为新建后台账号；登录账号 qa_admin_9001 未被使用，姓名“测试管理员”，所属角色为启用的测试运营角色，初始密码 QaTest#2026，状态启用</x:v>
      </x:c>
      <x:c r="J92" s="9" t="str">
        <x:v>1. 打开账号编辑
2. 清空所属角色
3. 点击保存</x:v>
      </x:c>
      <x:c r="K92" s="9" t="str">
        <x:v>本次后台账号未保存</x:v>
      </x:c>
      <x:c r="L92" s="10" t="str"/>
      <x:c r="M92" s="10" t="str">
        <x:v>未测</x:v>
      </x:c>
      <x:c r="N92" s="10" t="str"/>
      <x:c r="O92" s="9" t="str">
        <x:v>1. 来源（当前证据）：liveshow-proto/MainBasis/统一需求文档.md；位置：第 3421 行；REQ-21f77a663ab3、第 3417 行
2. 规则：BR-A586AC5344ABCC
3. 未动态验证
4. 示例账号、编号、金额与日期是本条测试数据；执行前按前置条件准备，未填写的产品决策不得自行假定。</x:v>
      </x:c>
    </x:row>
    <x:row r="93" ht="130" customHeight="1">
      <x:c r="A93" s="10" t="n">
        <x:v>92</x:v>
      </x:c>
      <x:c r="B93" s="10" t="str">
        <x:v>ADMIN-0092</x:v>
      </x:c>
      <x:c r="C93" s="10" t="str">
        <x:v>系统管理</x:v>
      </x:c>
      <x:c r="D93" s="10" t="str">
        <x:v>账号编辑（平台管理员）</x:v>
      </x:c>
      <x:c r="E93" s="10" t="str">
        <x:v>异常用例</x:v>
      </x:c>
      <x:c r="F93" s="10" t="str">
        <x:v>P2</x:v>
      </x:c>
      <x:c r="G93" s="9" t="str">
        <x:v>验证后台账号的初始密码为空</x:v>
      </x:c>
      <x:c r="H93" s="9" t="str">
        <x:v>初始密码必填性</x:v>
      </x:c>
      <x:c r="I93" s="9" t="str">
        <x:v>1. 平台管理员为本条执行者
2. 表单为新建后台账号；登录账号 qa_admin_9001 未被使用，姓名“测试管理员”，所属角色为启用的测试运营角色，初始密码 QaTest#2026，状态启用</x:v>
      </x:c>
      <x:c r="J93" s="9" t="str">
        <x:v>1. 打开账号编辑
2. 清空初始密码
3. 点击保存</x:v>
      </x:c>
      <x:c r="K93" s="9" t="str">
        <x:v>本次后台账号未保存</x:v>
      </x:c>
      <x:c r="L93" s="10" t="str"/>
      <x:c r="M93" s="10" t="str">
        <x:v>未测</x:v>
      </x:c>
      <x:c r="N93" s="10" t="str"/>
      <x:c r="O93" s="9" t="str">
        <x:v>1. 来源（当前证据）：liveshow-proto/MainBasis/统一需求文档.md；位置：第 3422 行；REQ-658daf0672d1、第 3417 行
2. 规则：BR-EBF9124A389050
3. 未动态验证
4. 示例账号、编号、金额与日期是本条测试数据；执行前按前置条件准备，未填写的产品决策不得自行假定。</x:v>
      </x:c>
    </x:row>
    <x:row r="94" ht="130" customHeight="1">
      <x:c r="A94" s="10" t="n">
        <x:v>93</x:v>
      </x:c>
      <x:c r="B94" s="10" t="str">
        <x:v>ADMIN-0093</x:v>
      </x:c>
      <x:c r="C94" s="10" t="str">
        <x:v>系统管理</x:v>
      </x:c>
      <x:c r="D94" s="10" t="str">
        <x:v>账号编辑（平台管理员）</x:v>
      </x:c>
      <x:c r="E94" s="10" t="str">
        <x:v>异常用例</x:v>
      </x:c>
      <x:c r="F94" s="10" t="str">
        <x:v>P2</x:v>
      </x:c>
      <x:c r="G94" s="9" t="str">
        <x:v>验证后台账号拒绝重复后台账号</x:v>
      </x:c>
      <x:c r="H94" s="9" t="str">
        <x:v>后台账号唯一性</x:v>
      </x:c>
      <x:c r="I94" s="9" t="str">
        <x:v>1. 平台管理员为本条执行者
2. 表单为新建后台账号；登录账号 qa_admin_9001 未被使用，姓名“测试管理员”，所属角色为启用的测试运营角色，初始密码 QaTest#2026，状态启用
3. 已存在一条后台账号与本表单相同的记录</x:v>
      </x:c>
      <x:c r="J94" s="9" t="str">
        <x:v>1. 打开账号编辑
2. 点击保存</x:v>
      </x:c>
      <x:c r="K94" s="9" t="str">
        <x:v>未新增重复后台账号的后台账号</x:v>
      </x:c>
      <x:c r="L94" s="10" t="str"/>
      <x:c r="M94" s="10" t="str">
        <x:v>未测</x:v>
      </x:c>
      <x:c r="N94" s="10" t="str"/>
      <x:c r="O94" s="9" t="str">
        <x:v>1. 来源（当前证据）：liveshow-proto/MainBasis/统一需求文档.md；位置：第 3420 行；REQ-c8e16ffe4a6c、第 3417 行
2. 规则：BR-72A3AB1C58B7B5
3. 未动态验证
4. 示例账号、编号、金额与日期是本条测试数据；执行前按前置条件准备，未填写的产品决策不得自行假定。</x:v>
      </x:c>
    </x:row>
    <x:row r="95" ht="130" customHeight="1">
      <x:c r="A95" s="10" t="n">
        <x:v>94</x:v>
      </x:c>
      <x:c r="B95" s="10" t="str">
        <x:v>ADMIN-0094</x:v>
      </x:c>
      <x:c r="C95" s="10" t="str">
        <x:v>系统管理</x:v>
      </x:c>
      <x:c r="D95" s="10" t="str">
        <x:v>账号编辑（平台管理员）</x:v>
      </x:c>
      <x:c r="E95" s="10" t="str">
        <x:v>功能需求</x:v>
      </x:c>
      <x:c r="F95" s="10" t="str">
        <x:v>P2</x:v>
      </x:c>
      <x:c r="G95" s="9" t="str">
        <x:v>验证编辑后台账号不能修改系统标识</x:v>
      </x:c>
      <x:c r="H95" s="9" t="str">
        <x:v>标识只读性</x:v>
      </x:c>
      <x:c r="I95" s="9" t="str">
        <x:v>1. 平台管理员为本条执行者
2. 表单为新建后台账号；登录账号 qa_admin_9001 未被使用，姓名“测试管理员”，所属角色为启用的测试运营角色，初始密码 QaTest#2026，状态启用
3. 已有后台账号标识为 900001，本次切换为编辑该记录</x:v>
      </x:c>
      <x:c r="J95" s="9" t="str">
        <x:v>1. 打开后台账号 900001 的编辑页面
2. 查看账号 ID</x:v>
      </x:c>
      <x:c r="K95" s="9" t="str">
        <x:v>账号 ID为只读</x:v>
      </x:c>
      <x:c r="L95" s="10" t="str"/>
      <x:c r="M95" s="10" t="str">
        <x:v>未测</x:v>
      </x:c>
      <x:c r="N95" s="10" t="str"/>
      <x:c r="O95" s="9" t="str">
        <x:v>1. 来源（当前证据）：liveshow-proto/MainBasis/统一需求文档.md；位置：第 3419 行；REQ-c7d5462fc6fd、第 3417 行
2. 规则：BR-457323D5BF36A8
3. 未动态验证
4. 示例账号、编号、金额与日期是本条测试数据；执行前按前置条件准备，未填写的产品决策不得自行假定。</x:v>
      </x:c>
    </x:row>
    <x:row r="96" ht="130" customHeight="1">
      <x:c r="A96" s="10" t="n">
        <x:v>95</x:v>
      </x:c>
      <x:c r="B96" s="10" t="str">
        <x:v>ADMIN-0095</x:v>
      </x:c>
      <x:c r="C96" s="10" t="str">
        <x:v>系统管理</x:v>
      </x:c>
      <x:c r="D96" s="10" t="str">
        <x:v>角色编辑（平台管理员）</x:v>
      </x:c>
      <x:c r="E96" s="10" t="str">
        <x:v>异常用例</x:v>
      </x:c>
      <x:c r="F96" s="10" t="str">
        <x:v>P2</x:v>
      </x:c>
      <x:c r="G96" s="9" t="str">
        <x:v>验证后台角色的角色名称为空</x:v>
      </x:c>
      <x:c r="H96" s="9" t="str">
        <x:v>角色名称必填性</x:v>
      </x:c>
      <x:c r="I96" s="9" t="str">
        <x:v>1. 平台管理员为本条执行者
2. 表单为新建后台角色；角色名称“测试角色9001”未被使用，状态启用，菜单只勾选用户管理下的用户列表权限</x:v>
      </x:c>
      <x:c r="J96" s="9" t="str">
        <x:v>1. 打开角色编辑
2. 清空角色名称
3. 点击保存</x:v>
      </x:c>
      <x:c r="K96" s="9" t="str">
        <x:v>本次后台角色未保存</x:v>
      </x:c>
      <x:c r="L96" s="10" t="str"/>
      <x:c r="M96" s="10" t="str">
        <x:v>未测</x:v>
      </x:c>
      <x:c r="N96" s="10" t="str"/>
      <x:c r="O96" s="9" t="str">
        <x:v>1. 来源（当前证据）：liveshow-proto/MainBasis/统一需求文档.md；位置：第 3442 行；REQ-c0561cec08d7、第 3439 行
2. 规则：BR-BCE7F198348CA4
3. 未动态验证
4. 示例账号、编号、金额与日期是本条测试数据；执行前按前置条件准备，未填写的产品决策不得自行假定。</x:v>
      </x:c>
    </x:row>
    <x:row r="97" ht="130" customHeight="1">
      <x:c r="A97" s="10" t="n">
        <x:v>96</x:v>
      </x:c>
      <x:c r="B97" s="10" t="str">
        <x:v>ADMIN-0096</x:v>
      </x:c>
      <x:c r="C97" s="10" t="str">
        <x:v>系统管理</x:v>
      </x:c>
      <x:c r="D97" s="10" t="str">
        <x:v>角色编辑（平台管理员）</x:v>
      </x:c>
      <x:c r="E97" s="10" t="str">
        <x:v>异常用例</x:v>
      </x:c>
      <x:c r="F97" s="10" t="str">
        <x:v>P2</x:v>
      </x:c>
      <x:c r="G97" s="9" t="str">
        <x:v>验证后台角色拒绝重复角色名称</x:v>
      </x:c>
      <x:c r="H97" s="9" t="str">
        <x:v>角色名称唯一性</x:v>
      </x:c>
      <x:c r="I97" s="9" t="str">
        <x:v>1. 平台管理员为本条执行者
2. 表单为新建后台角色；角色名称“测试角色9001”未被使用，状态启用，菜单只勾选用户管理下的用户列表权限
3. 已存在一条角色名称与本表单相同的记录</x:v>
      </x:c>
      <x:c r="J97" s="9" t="str">
        <x:v>1. 打开角色编辑
2. 点击保存</x:v>
      </x:c>
      <x:c r="K97" s="9" t="str">
        <x:v>未新增重复角色名称的后台角色</x:v>
      </x:c>
      <x:c r="L97" s="10" t="str"/>
      <x:c r="M97" s="10" t="str">
        <x:v>未测</x:v>
      </x:c>
      <x:c r="N97" s="10" t="str"/>
      <x:c r="O97" s="9" t="str">
        <x:v>1. 来源（当前证据）：liveshow-proto/MainBasis/统一需求文档.md；位置：第 3442 行；REQ-c0561cec08d7、第 3439 行
2. 规则：BR-8C168D56F27DC5
3. 未动态验证
4. 示例账号、编号、金额与日期是本条测试数据；执行前按前置条件准备，未填写的产品决策不得自行假定。</x:v>
      </x:c>
    </x:row>
    <x:row r="98" ht="130" customHeight="1">
      <x:c r="A98" s="10" t="n">
        <x:v>97</x:v>
      </x:c>
      <x:c r="B98" s="10" t="str">
        <x:v>ADMIN-0097</x:v>
      </x:c>
      <x:c r="C98" s="10" t="str">
        <x:v>系统管理</x:v>
      </x:c>
      <x:c r="D98" s="10" t="str">
        <x:v>角色编辑（平台管理员）</x:v>
      </x:c>
      <x:c r="E98" s="10" t="str">
        <x:v>功能需求</x:v>
      </x:c>
      <x:c r="F98" s="10" t="str">
        <x:v>P2</x:v>
      </x:c>
      <x:c r="G98" s="9" t="str">
        <x:v>验证编辑后台角色不能修改系统标识</x:v>
      </x:c>
      <x:c r="H98" s="9" t="str">
        <x:v>标识只读性</x:v>
      </x:c>
      <x:c r="I98" s="9" t="str">
        <x:v>1. 平台管理员为本条执行者
2. 表单为新建后台角色；角色名称“测试角色9001”未被使用，状态启用，菜单只勾选用户管理下的用户列表权限
3. 已有后台角色标识为 900001，本次切换为编辑该记录</x:v>
      </x:c>
      <x:c r="J98" s="9" t="str">
        <x:v>1. 打开后台角色 900001 的编辑页面
2. 查看角色 ID</x:v>
      </x:c>
      <x:c r="K98" s="9" t="str">
        <x:v>角色 ID为只读</x:v>
      </x:c>
      <x:c r="L98" s="10" t="str"/>
      <x:c r="M98" s="10" t="str">
        <x:v>未测</x:v>
      </x:c>
      <x:c r="N98" s="10" t="str"/>
      <x:c r="O98" s="9" t="str">
        <x:v>1. 来源（当前证据）：liveshow-proto/MainBasis/统一需求文档.md；位置：第 3441 行；REQ-ba899cdfbcd6、第 3439 行
2. 规则：BR-BAE7FA027F05FC
3. 未动态验证
4. 示例账号、编号、金额与日期是本条测试数据；执行前按前置条件准备，未填写的产品决策不得自行假定。</x:v>
      </x:c>
    </x:row>
    <x:row r="99" ht="130" customHeight="1">
      <x:c r="A99" s="10" t="n">
        <x:v>98</x:v>
      </x:c>
      <x:c r="B99" s="10" t="str">
        <x:v>ADMIN-0098</x:v>
      </x:c>
      <x:c r="C99" s="10" t="str">
        <x:v>公会管理</x:v>
      </x:c>
      <x:c r="D99" s="10" t="str">
        <x:v>公会详情（平台管理员）</x:v>
      </x:c>
      <x:c r="E99" s="10" t="str">
        <x:v>异常用例</x:v>
      </x:c>
      <x:c r="F99" s="10" t="str">
        <x:v>P2</x:v>
      </x:c>
      <x:c r="G99" s="9" t="str">
        <x:v>验证公会的名称为空</x:v>
      </x:c>
      <x:c r="H99" s="9" t="str">
        <x:v>名称必填性</x:v>
      </x:c>
      <x:c r="I99" s="9" t="str">
        <x:v>1. 平台管理员为本条执行者
2. 表单为新建公会；公会名称“测试公会9001”，Logo 为公会标志.png，公会长“测试会长”，管理账号 qa_guild_9001 未被使用，初始密码 QaGuild#2026，状态启用</x:v>
      </x:c>
      <x:c r="J99" s="9" t="str">
        <x:v>1. 打开公会详情
2. 清空名称
3. 点击保存</x:v>
      </x:c>
      <x:c r="K99" s="9" t="str">
        <x:v>本次公会未保存</x:v>
      </x:c>
      <x:c r="L99" s="10" t="str"/>
      <x:c r="M99" s="10" t="str">
        <x:v>未测</x:v>
      </x:c>
      <x:c r="N99" s="10" t="str"/>
      <x:c r="O99" s="9" t="str">
        <x:v>1. 来源（当前证据）：liveshow-proto/MainBasis/统一需求文档.md；位置：第 2719 行；REQ-7ab0bb2f38c1、第 2716 行
2. 规则：BR-D9882EA638B84A
3. 未动态验证
4. 示例账号、编号、金额与日期是本条测试数据；执行前按前置条件准备，未填写的产品决策不得自行假定。</x:v>
      </x:c>
    </x:row>
    <x:row r="100" ht="130" customHeight="1">
      <x:c r="A100" s="10" t="n">
        <x:v>99</x:v>
      </x:c>
      <x:c r="B100" s="10" t="str">
        <x:v>ADMIN-0099</x:v>
      </x:c>
      <x:c r="C100" s="10" t="str">
        <x:v>公会管理</x:v>
      </x:c>
      <x:c r="D100" s="10" t="str">
        <x:v>公会详情（平台管理员）</x:v>
      </x:c>
      <x:c r="E100" s="10" t="str">
        <x:v>异常用例</x:v>
      </x:c>
      <x:c r="F100" s="10" t="str">
        <x:v>P2</x:v>
      </x:c>
      <x:c r="G100" s="9" t="str">
        <x:v>验证公会的Logo为空</x:v>
      </x:c>
      <x:c r="H100" s="9" t="str">
        <x:v>Logo必填性</x:v>
      </x:c>
      <x:c r="I100" s="9" t="str">
        <x:v>1. 平台管理员为本条执行者
2. 表单为新建公会；公会名称“测试公会9001”，Logo 为公会标志.png，公会长“测试会长”，管理账号 qa_guild_9001 未被使用，初始密码 QaGuild#2026，状态启用</x:v>
      </x:c>
      <x:c r="J100" s="9" t="str">
        <x:v>1. 打开公会详情
2. 删除Logo
3. 点击保存</x:v>
      </x:c>
      <x:c r="K100" s="9" t="str">
        <x:v>本次公会未保存</x:v>
      </x:c>
      <x:c r="L100" s="10" t="str"/>
      <x:c r="M100" s="10" t="str">
        <x:v>未测</x:v>
      </x:c>
      <x:c r="N100" s="10" t="str"/>
      <x:c r="O100" s="9" t="str">
        <x:v>1. 来源（当前证据）：liveshow-proto/MainBasis/统一需求文档.md；位置：第 2719 行；REQ-7ab0bb2f38c1、第 2716 行
2. 规则：BR-A162650DC5B5B0
3. 未动态验证
4. 示例账号、编号、金额与日期是本条测试数据；执行前按前置条件准备，未填写的产品决策不得自行假定。</x:v>
      </x:c>
    </x:row>
    <x:row r="101" ht="145" customHeight="1">
      <x:c r="A101" s="10" t="n">
        <x:v>100</x:v>
      </x:c>
      <x:c r="B101" s="10" t="str">
        <x:v>ADMIN-0100</x:v>
      </x:c>
      <x:c r="C101" s="10" t="str">
        <x:v>公会管理</x:v>
      </x:c>
      <x:c r="D101" s="10" t="str">
        <x:v>公会详情（平台管理员）</x:v>
      </x:c>
      <x:c r="E101" s="10" t="str">
        <x:v>异常用例</x:v>
      </x:c>
      <x:c r="F101" s="10" t="str">
        <x:v>P2</x:v>
      </x:c>
      <x:c r="G101" s="9" t="str">
        <x:v>验证公会的公会长为空</x:v>
      </x:c>
      <x:c r="H101" s="9" t="str">
        <x:v>公会长必填性</x:v>
      </x:c>
      <x:c r="I101" s="9" t="str">
        <x:v>1. 平台管理员为本条执行者
2. 表单为新建公会；公会名称“测试公会9001”，Logo 为公会标志.png，公会长“测试会长”，管理账号 qa_guild_9001 未被使用，初始密码 QaGuild#2026，状态启用</x:v>
      </x:c>
      <x:c r="J101" s="9" t="str">
        <x:v>1. 打开公会详情
2. 清空公会长
3. 点击保存</x:v>
      </x:c>
      <x:c r="K101" s="9" t="str">
        <x:v>本次公会未保存</x:v>
      </x:c>
      <x:c r="L101" s="10" t="str"/>
      <x:c r="M101" s="10" t="str">
        <x:v>未测</x:v>
      </x:c>
      <x:c r="N101" s="10" t="str"/>
      <x:c r="O101" s="9" t="str">
        <x:v>1. 来源（当前证据）：liveshow-proto/MainBasis/统一需求文档.md；位置：第 2720 行；REQ-7bf5833d4c05、第 2721 行；REQ-98bbfd149ca6、第 2716 行
2. 规则：BR-8CC9C4417F2891
3. 未动态验证
4. 示例账号、编号、金额与日期是本条测试数据；执行前按前置条件准备，未填写的产品决策不得自行假定。</x:v>
      </x:c>
    </x:row>
    <x:row r="102" ht="130" customHeight="1">
      <x:c r="A102" s="10" t="n">
        <x:v>101</x:v>
      </x:c>
      <x:c r="B102" s="10" t="str">
        <x:v>ADMIN-0101</x:v>
      </x:c>
      <x:c r="C102" s="10" t="str">
        <x:v>公会管理</x:v>
      </x:c>
      <x:c r="D102" s="10" t="str">
        <x:v>公会详情（平台管理员）</x:v>
      </x:c>
      <x:c r="E102" s="10" t="str">
        <x:v>异常用例</x:v>
      </x:c>
      <x:c r="F102" s="10" t="str">
        <x:v>P2</x:v>
      </x:c>
      <x:c r="G102" s="9" t="str">
        <x:v>验证公会的管理账号为空</x:v>
      </x:c>
      <x:c r="H102" s="9" t="str">
        <x:v>管理账号必填性</x:v>
      </x:c>
      <x:c r="I102" s="9" t="str">
        <x:v>1. 平台管理员为本条执行者
2. 表单为新建公会；公会名称“测试公会9001”，Logo 为公会标志.png，公会长“测试会长”，管理账号 qa_guild_9001 未被使用，初始密码 QaGuild#2026，状态启用</x:v>
      </x:c>
      <x:c r="J102" s="9" t="str">
        <x:v>1. 打开公会详情
2. 清空管理账号
3. 点击保存</x:v>
      </x:c>
      <x:c r="K102" s="9" t="str">
        <x:v>本次公会未保存</x:v>
      </x:c>
      <x:c r="L102" s="10" t="str"/>
      <x:c r="M102" s="10" t="str">
        <x:v>未测</x:v>
      </x:c>
      <x:c r="N102" s="10" t="str"/>
      <x:c r="O102" s="9" t="str">
        <x:v>1. 来源（当前证据）：liveshow-proto/MainBasis/统一需求文档.md；位置：第 2720 行；REQ-7bf5833d4c05、第 2716 行
2. 规则：BR-ACE56D57987CD7
3. 未动态验证
4. 示例账号、编号、金额与日期是本条测试数据；执行前按前置条件准备，未填写的产品决策不得自行假定。</x:v>
      </x:c>
    </x:row>
    <x:row r="103" ht="145" customHeight="1">
      <x:c r="A103" s="10" t="n">
        <x:v>102</x:v>
      </x:c>
      <x:c r="B103" s="10" t="str">
        <x:v>ADMIN-0102</x:v>
      </x:c>
      <x:c r="C103" s="10" t="str">
        <x:v>公会管理</x:v>
      </x:c>
      <x:c r="D103" s="10" t="str">
        <x:v>公会详情（平台管理员）</x:v>
      </x:c>
      <x:c r="E103" s="10" t="str">
        <x:v>异常用例</x:v>
      </x:c>
      <x:c r="F103" s="10" t="str">
        <x:v>P2</x:v>
      </x:c>
      <x:c r="G103" s="9" t="str">
        <x:v>验证公会的初始密码为空</x:v>
      </x:c>
      <x:c r="H103" s="9" t="str">
        <x:v>初始密码必填性</x:v>
      </x:c>
      <x:c r="I103" s="9" t="str">
        <x:v>1. 平台管理员为本条执行者
2. 表单为新建公会；公会名称“测试公会9001”，Logo 为公会标志.png，公会长“测试会长”，管理账号 qa_guild_9001 未被使用，初始密码 QaGuild#2026，状态启用</x:v>
      </x:c>
      <x:c r="J103" s="9" t="str">
        <x:v>1. 打开公会详情
2. 清空初始密码
3. 点击保存</x:v>
      </x:c>
      <x:c r="K103" s="9" t="str">
        <x:v>本次公会未保存</x:v>
      </x:c>
      <x:c r="L103" s="10" t="str"/>
      <x:c r="M103" s="10" t="str">
        <x:v>未测</x:v>
      </x:c>
      <x:c r="N103" s="10" t="str"/>
      <x:c r="O103" s="9" t="str">
        <x:v>1. 来源（当前证据）：liveshow-proto/MainBasis/统一需求文档.md；位置：第 2720 行；REQ-7bf5833d4c05、第 2722 行；REQ-aef87c3821a8、第 2716 行
2. 规则：BR-DD3A7546E86A84
3. 未动态验证
4. 示例账号、编号、金额与日期是本条测试数据；执行前按前置条件准备，未填写的产品决策不得自行假定。</x:v>
      </x:c>
    </x:row>
    <x:row r="104" ht="145" customHeight="1">
      <x:c r="A104" s="10" t="n">
        <x:v>103</x:v>
      </x:c>
      <x:c r="B104" s="10" t="str">
        <x:v>ADMIN-0103</x:v>
      </x:c>
      <x:c r="C104" s="10" t="str">
        <x:v>公会管理</x:v>
      </x:c>
      <x:c r="D104" s="10" t="str">
        <x:v>公会详情（平台管理员）</x:v>
      </x:c>
      <x:c r="E104" s="10" t="str">
        <x:v>异常用例</x:v>
      </x:c>
      <x:c r="F104" s="10" t="str">
        <x:v>P2</x:v>
      </x:c>
      <x:c r="G104" s="9" t="str">
        <x:v>验证公会拒绝重复管理账号</x:v>
      </x:c>
      <x:c r="H104" s="9" t="str">
        <x:v>管理账号唯一性</x:v>
      </x:c>
      <x:c r="I104" s="9" t="str">
        <x:v>1. 平台管理员为本条执行者
2. 表单为新建公会；公会名称“测试公会9001”，Logo 为公会标志.png，公会长“测试会长”，管理账号 qa_guild_9001 未被使用，初始密码 QaGuild#2026，状态启用
3. 已存在一条管理账号与本表单相同的记录</x:v>
      </x:c>
      <x:c r="J104" s="9" t="str">
        <x:v>1. 打开公会详情
2. 点击保存</x:v>
      </x:c>
      <x:c r="K104" s="9" t="str">
        <x:v>未新增重复管理账号的公会</x:v>
      </x:c>
      <x:c r="L104" s="10" t="str"/>
      <x:c r="M104" s="10" t="str">
        <x:v>未测</x:v>
      </x:c>
      <x:c r="N104" s="10" t="str"/>
      <x:c r="O104" s="9" t="str">
        <x:v>1. 来源（当前证据）：liveshow-proto/MainBasis/统一需求文档.md；位置：第 2720 行；REQ-7bf5833d4c05、第 2716 行
2. 规则：BR-ABCFAE66F5ED13
3. 未动态验证
4. 示例账号、编号、金额与日期是本条测试数据；执行前按前置条件准备，未填写的产品决策不得自行假定。</x:v>
      </x:c>
    </x:row>
    <x:row r="105" ht="145" customHeight="1">
      <x:c r="A105" s="10" t="n">
        <x:v>104</x:v>
      </x:c>
      <x:c r="B105" s="10" t="str">
        <x:v>ADMIN-0104</x:v>
      </x:c>
      <x:c r="C105" s="10" t="str">
        <x:v>公会管理</x:v>
      </x:c>
      <x:c r="D105" s="10" t="str">
        <x:v>公会详情（平台管理员）</x:v>
      </x:c>
      <x:c r="E105" s="10" t="str">
        <x:v>功能需求</x:v>
      </x:c>
      <x:c r="F105" s="10" t="str">
        <x:v>P2</x:v>
      </x:c>
      <x:c r="G105" s="9" t="str">
        <x:v>验证编辑公会不能修改系统标识</x:v>
      </x:c>
      <x:c r="H105" s="9" t="str">
        <x:v>标识只读性</x:v>
      </x:c>
      <x:c r="I105" s="9" t="str">
        <x:v>1. 平台管理员为本条执行者
2. 表单为新建公会；公会名称“测试公会9001”，Logo 为公会标志.png，公会长“测试会长”，管理账号 qa_guild_9001 未被使用，初始密码 QaGuild#2026，状态启用
3. 已有公会标识为 900001，本次切换为编辑该记录</x:v>
      </x:c>
      <x:c r="J105" s="9" t="str">
        <x:v>1. 打开公会 900001 的编辑页面
2. 查看公会 ID</x:v>
      </x:c>
      <x:c r="K105" s="9" t="str">
        <x:v>公会 ID为只读</x:v>
      </x:c>
      <x:c r="L105" s="10" t="str"/>
      <x:c r="M105" s="10" t="str">
        <x:v>未测</x:v>
      </x:c>
      <x:c r="N105" s="10" t="str"/>
      <x:c r="O105" s="9" t="str">
        <x:v>1. 来源（当前证据）：liveshow-proto/MainBasis/统一需求文档.md；位置：第 2718 行；REQ-5dfeb822ca1f、第 2716 行
2. 规则：BR-B1B6AA4219DF58
3. 未动态验证
4. 示例账号、编号、金额与日期是本条测试数据；执行前按前置条件准备，未填写的产品决策不得自行假定。</x:v>
      </x:c>
    </x:row>
    <x:row r="106" ht="130" customHeight="1">
      <x:c r="A106" s="10" t="n">
        <x:v>105</x:v>
      </x:c>
      <x:c r="B106" s="10" t="str">
        <x:v>ADMIN-0105</x:v>
      </x:c>
      <x:c r="C106" s="10" t="str">
        <x:v>运营管理</x:v>
      </x:c>
      <x:c r="D106" s="10" t="str">
        <x:v>充值套餐编辑（平台管理员）</x:v>
      </x:c>
      <x:c r="E106" s="10" t="str">
        <x:v>功能需求</x:v>
      </x:c>
      <x:c r="F106" s="10" t="str">
        <x:v>P2</x:v>
      </x:c>
      <x:c r="G106" s="9" t="str">
        <x:v>验证销售价格输入 -0.01 USD</x:v>
      </x:c>
      <x:c r="H106" s="9" t="str">
        <x:v>销售金额精度和下界</x:v>
      </x:c>
      <x:c r="I106" s="9" t="str">
        <x:v>1. 平台管理员为本条执行者
2. 活动套餐甲：价格 1.50 USD、充值金币 100、赠送金币 20、限购 1，起止时间明天至后天，封面和其他必填项已完成</x:v>
      </x:c>
      <x:c r="J106" s="9" t="str">
        <x:v>1. 打开充值套餐编辑
2. 输入销售价格 -0.01
3. 点击保存</x:v>
      </x:c>
      <x:c r="K106" s="9" t="str">
        <x:v>本次充值套餐未保存</x:v>
      </x:c>
      <x:c r="L106" s="10" t="str"/>
      <x:c r="M106" s="10" t="str">
        <x:v>未测</x:v>
      </x:c>
      <x:c r="N106" s="10" t="str"/>
      <x:c r="O106" s="9" t="str">
        <x:v>1. 来源（当前证据）：liveshow-proto/MainBasis/统一需求文档.md；位置：第 2903 行；REQ-042dc71d2e4d、第 2899 行
2. 规则：BR-3A55C0574B6DFA
3. 未动态验证
4. 示例账号、编号、金额与日期是本条测试数据；执行前按前置条件准备，未填写的产品决策不得自行假定。</x:v>
      </x:c>
    </x:row>
    <x:row r="107" ht="130" customHeight="1">
      <x:c r="A107" s="10" t="n">
        <x:v>106</x:v>
      </x:c>
      <x:c r="B107" s="10" t="str">
        <x:v>ADMIN-0106</x:v>
      </x:c>
      <x:c r="C107" s="10" t="str">
        <x:v>运营管理</x:v>
      </x:c>
      <x:c r="D107" s="10" t="str">
        <x:v>充值套餐编辑（平台管理员）</x:v>
      </x:c>
      <x:c r="E107" s="10" t="str">
        <x:v>功能需求</x:v>
      </x:c>
      <x:c r="F107" s="10" t="str">
        <x:v>P2</x:v>
      </x:c>
      <x:c r="G107" s="9" t="str">
        <x:v>验证销售价格输入 0 USD</x:v>
      </x:c>
      <x:c r="H107" s="9" t="str">
        <x:v>销售金额精度和下界</x:v>
      </x:c>
      <x:c r="I107" s="9" t="str">
        <x:v>1. 平台管理员为本条执行者
2. 活动套餐甲：价格 1.50 USD、充值金币 100、赠送金币 20、限购 1，起止时间明天至后天，封面和其他必填项已完成</x:v>
      </x:c>
      <x:c r="J107" s="9" t="str">
        <x:v>1. 打开充值套餐编辑
2. 输入销售价格 0
3. 点击保存</x:v>
      </x:c>
      <x:c r="K107" s="9" t="str">
        <x:v>本次充值套餐未保存</x:v>
      </x:c>
      <x:c r="L107" s="10" t="str"/>
      <x:c r="M107" s="10" t="str">
        <x:v>未测</x:v>
      </x:c>
      <x:c r="N107" s="10" t="str"/>
      <x:c r="O107" s="9" t="str">
        <x:v>1. 来源（当前证据）：liveshow-proto/MainBasis/统一需求文档.md；位置：第 2903 行；REQ-042dc71d2e4d、第 2899 行
2. 规则：BR-74CFC359D38843
3. 未动态验证
4. 示例账号、编号、金额与日期是本条测试数据；执行前按前置条件准备，未填写的产品决策不得自行假定。</x:v>
      </x:c>
    </x:row>
    <x:row r="108" ht="130" customHeight="1">
      <x:c r="A108" s="10" t="n">
        <x:v>107</x:v>
      </x:c>
      <x:c r="B108" s="10" t="str">
        <x:v>ADMIN-0107</x:v>
      </x:c>
      <x:c r="C108" s="10" t="str">
        <x:v>运营管理</x:v>
      </x:c>
      <x:c r="D108" s="10" t="str">
        <x:v>充值套餐编辑（平台管理员）</x:v>
      </x:c>
      <x:c r="E108" s="10" t="str">
        <x:v>功能需求</x:v>
      </x:c>
      <x:c r="F108" s="10" t="str">
        <x:v>P2</x:v>
      </x:c>
      <x:c r="G108" s="9" t="str">
        <x:v>验证销售价格输入 0.001 USD</x:v>
      </x:c>
      <x:c r="H108" s="9" t="str">
        <x:v>销售金额精度和下界</x:v>
      </x:c>
      <x:c r="I108" s="9" t="str">
        <x:v>1. 平台管理员为本条执行者
2. 活动套餐甲：价格 1.50 USD、充值金币 100、赠送金币 20、限购 1，起止时间明天至后天，封面和其他必填项已完成</x:v>
      </x:c>
      <x:c r="J108" s="9" t="str">
        <x:v>1. 打开充值套餐编辑
2. 输入销售价格 0.001
3. 点击保存</x:v>
      </x:c>
      <x:c r="K108" s="9" t="str">
        <x:v>本次充值套餐未保存</x:v>
      </x:c>
      <x:c r="L108" s="10" t="str"/>
      <x:c r="M108" s="10" t="str">
        <x:v>未测</x:v>
      </x:c>
      <x:c r="N108" s="10" t="str"/>
      <x:c r="O108" s="9" t="str">
        <x:v>1. 来源（当前证据）：liveshow-proto/MainBasis/统一需求文档.md；位置：第 2903 行；REQ-042dc71d2e4d、第 2899 行
2. 规则：BR-7B9F1B1D7471BB
3. 未动态验证
4. 示例账号、编号、金额与日期是本条测试数据；执行前按前置条件准备，未填写的产品决策不得自行假定。</x:v>
      </x:c>
    </x:row>
    <x:row r="109" ht="130" customHeight="1">
      <x:c r="A109" s="10" t="n">
        <x:v>108</x:v>
      </x:c>
      <x:c r="B109" s="10" t="str">
        <x:v>ADMIN-0108</x:v>
      </x:c>
      <x:c r="C109" s="10" t="str">
        <x:v>运营管理</x:v>
      </x:c>
      <x:c r="D109" s="10" t="str">
        <x:v>充值套餐编辑（平台管理员）</x:v>
      </x:c>
      <x:c r="E109" s="10" t="str">
        <x:v>功能需求</x:v>
      </x:c>
      <x:c r="F109" s="10" t="str">
        <x:v>P2</x:v>
      </x:c>
      <x:c r="G109" s="9" t="str">
        <x:v>验证销售价格输入 0.01 USD</x:v>
      </x:c>
      <x:c r="H109" s="9" t="str">
        <x:v>销售金额精度和下界</x:v>
      </x:c>
      <x:c r="I109" s="9" t="str">
        <x:v>1. 平台管理员为本条执行者
2. 活动套餐甲：价格 1.50 USD、充值金币 100、赠送金币 20、限购 1，起止时间明天至后天，封面和其他必填项已完成</x:v>
      </x:c>
      <x:c r="J109" s="9" t="str">
        <x:v>1. 打开充值套餐编辑
2. 输入销售价格 0.01
3. 点击保存</x:v>
      </x:c>
      <x:c r="K109" s="9" t="str">
        <x:v>保存后的销售价格为 0.01 USD</x:v>
      </x:c>
      <x:c r="L109" s="10" t="str"/>
      <x:c r="M109" s="10" t="str">
        <x:v>未测</x:v>
      </x:c>
      <x:c r="N109" s="10" t="str"/>
      <x:c r="O109" s="9" t="str">
        <x:v>1. 来源（当前证据）：liveshow-proto/MainBasis/统一需求文档.md；位置：第 2903 行；REQ-042dc71d2e4d、第 2899 行
2. 规则：BR-18474745367752
3. 未动态验证
4. 示例账号、编号、金额与日期是本条测试数据；执行前按前置条件准备，未填写的产品决策不得自行假定。</x:v>
      </x:c>
    </x:row>
    <x:row r="110" ht="130" customHeight="1">
      <x:c r="A110" s="10" t="n">
        <x:v>109</x:v>
      </x:c>
      <x:c r="B110" s="10" t="str">
        <x:v>ADMIN-0109</x:v>
      </x:c>
      <x:c r="C110" s="10" t="str">
        <x:v>运营管理</x:v>
      </x:c>
      <x:c r="D110" s="10" t="str">
        <x:v>充值套餐编辑（平台管理员）</x:v>
      </x:c>
      <x:c r="E110" s="10" t="str">
        <x:v>功能需求</x:v>
      </x:c>
      <x:c r="F110" s="10" t="str">
        <x:v>P2</x:v>
      </x:c>
      <x:c r="G110" s="9" t="str">
        <x:v>验证销售价格输入 12.34 USD</x:v>
      </x:c>
      <x:c r="H110" s="9" t="str">
        <x:v>销售金额精度和下界</x:v>
      </x:c>
      <x:c r="I110" s="9" t="str">
        <x:v>1. 平台管理员为本条执行者
2. 活动套餐甲：价格 1.50 USD、充值金币 100、赠送金币 20、限购 1，起止时间明天至后天，封面和其他必填项已完成</x:v>
      </x:c>
      <x:c r="J110" s="9" t="str">
        <x:v>1. 打开充值套餐编辑
2. 输入销售价格 12.34
3. 点击保存</x:v>
      </x:c>
      <x:c r="K110" s="9" t="str">
        <x:v>保存后的销售价格为 12.34 USD</x:v>
      </x:c>
      <x:c r="L110" s="10" t="str"/>
      <x:c r="M110" s="10" t="str">
        <x:v>未测</x:v>
      </x:c>
      <x:c r="N110" s="10" t="str"/>
      <x:c r="O110" s="9" t="str">
        <x:v>1. 来源（当前证据）：liveshow-proto/MainBasis/统一需求文档.md；位置：第 2903 行；REQ-042dc71d2e4d、第 2899 行
2. 规则：BR-687EAF95528185
3. 未动态验证
4. 示例账号、编号、金额与日期是本条测试数据；执行前按前置条件准备，未填写的产品决策不得自行假定。</x:v>
      </x:c>
    </x:row>
    <x:row r="111" ht="130" customHeight="1">
      <x:c r="A111" s="10" t="n">
        <x:v>110</x:v>
      </x:c>
      <x:c r="B111" s="10" t="str">
        <x:v>ADMIN-0110</x:v>
      </x:c>
      <x:c r="C111" s="10" t="str">
        <x:v>运营管理</x:v>
      </x:c>
      <x:c r="D111" s="10" t="str">
        <x:v>充值套餐编辑（平台管理员）</x:v>
      </x:c>
      <x:c r="E111" s="10" t="str">
        <x:v>功能需求</x:v>
      </x:c>
      <x:c r="F111" s="10" t="str">
        <x:v>P1</x:v>
      </x:c>
      <x:c r="G111" s="9" t="str">
        <x:v>验证赠送金币输入 -1</x:v>
      </x:c>
      <x:c r="H111" s="9" t="str">
        <x:v>赠送金币非负整数范围</x:v>
      </x:c>
      <x:c r="I111" s="9" t="str">
        <x:v>1. 平台管理员为本条执行者
2. 活动套餐甲：价格 1.50 USD、充值金币 100、赠送金币 20、限购 1，起止时间明天至后天，封面和其他必填项已完成</x:v>
      </x:c>
      <x:c r="J111" s="9" t="str">
        <x:v>1. 打开充值套餐编辑
2. 输入赠送金币 -1
3. 点击保存</x:v>
      </x:c>
      <x:c r="K111" s="9" t="str">
        <x:v>本次充值套餐未保存</x:v>
      </x:c>
      <x:c r="L111" s="10" t="str"/>
      <x:c r="M111" s="10" t="str">
        <x:v>未测</x:v>
      </x:c>
      <x:c r="N111" s="10" t="str"/>
      <x:c r="O111" s="9" t="str">
        <x:v>1. 来源（当前证据）：liveshow-proto/MainBasis/统一需求文档.md；位置：第 2904 行；REQ-54fe7fbda407、第 2899 行
2. 规则：BR-980C61EE0C40CA
3. 未动态验证
4. 示例账号、编号、金额与日期是本条测试数据；执行前按前置条件准备，未填写的产品决策不得自行假定。</x:v>
      </x:c>
    </x:row>
    <x:row r="112" ht="130" customHeight="1">
      <x:c r="A112" s="10" t="n">
        <x:v>111</x:v>
      </x:c>
      <x:c r="B112" s="10" t="str">
        <x:v>ADMIN-0111</x:v>
      </x:c>
      <x:c r="C112" s="10" t="str">
        <x:v>运营管理</x:v>
      </x:c>
      <x:c r="D112" s="10" t="str">
        <x:v>充值套餐编辑（平台管理员）</x:v>
      </x:c>
      <x:c r="E112" s="10" t="str">
        <x:v>功能需求</x:v>
      </x:c>
      <x:c r="F112" s="10" t="str">
        <x:v>P1</x:v>
      </x:c>
      <x:c r="G112" s="9" t="str">
        <x:v>验证赠送金币输入 0</x:v>
      </x:c>
      <x:c r="H112" s="9" t="str">
        <x:v>赠送金币非负整数范围</x:v>
      </x:c>
      <x:c r="I112" s="9" t="str">
        <x:v>1. 平台管理员为本条执行者
2. 活动套餐甲：价格 1.50 USD、充值金币 100、赠送金币 20、限购 1，起止时间明天至后天，封面和其他必填项已完成</x:v>
      </x:c>
      <x:c r="J112" s="9" t="str">
        <x:v>1. 打开充值套餐编辑
2. 输入赠送金币 0
3. 点击保存</x:v>
      </x:c>
      <x:c r="K112" s="9" t="str">
        <x:v>保存后的赠送金币为 0</x:v>
      </x:c>
      <x:c r="L112" s="10" t="str"/>
      <x:c r="M112" s="10" t="str">
        <x:v>未测</x:v>
      </x:c>
      <x:c r="N112" s="10" t="str"/>
      <x:c r="O112" s="9" t="str">
        <x:v>1. 来源（当前证据）：liveshow-proto/MainBasis/统一需求文档.md；位置：第 2904 行；REQ-54fe7fbda407、第 2899 行
2. 规则：BR-3154417B7ACA35
3. 未动态验证
4. 示例账号、编号、金额与日期是本条测试数据；执行前按前置条件准备，未填写的产品决策不得自行假定。</x:v>
      </x:c>
    </x:row>
    <x:row r="113" ht="130" customHeight="1">
      <x:c r="A113" s="10" t="n">
        <x:v>112</x:v>
      </x:c>
      <x:c r="B113" s="10" t="str">
        <x:v>ADMIN-0112</x:v>
      </x:c>
      <x:c r="C113" s="10" t="str">
        <x:v>运营管理</x:v>
      </x:c>
      <x:c r="D113" s="10" t="str">
        <x:v>充值套餐编辑（平台管理员）</x:v>
      </x:c>
      <x:c r="E113" s="10" t="str">
        <x:v>功能需求</x:v>
      </x:c>
      <x:c r="F113" s="10" t="str">
        <x:v>P1</x:v>
      </x:c>
      <x:c r="G113" s="9" t="str">
        <x:v>验证赠送金币输入 1</x:v>
      </x:c>
      <x:c r="H113" s="9" t="str">
        <x:v>赠送金币非负整数范围</x:v>
      </x:c>
      <x:c r="I113" s="9" t="str">
        <x:v>1. 平台管理员为本条执行者
2. 活动套餐甲：价格 1.50 USD、充值金币 100、赠送金币 20、限购 1，起止时间明天至后天，封面和其他必填项已完成</x:v>
      </x:c>
      <x:c r="J113" s="9" t="str">
        <x:v>1. 打开充值套餐编辑
2. 输入赠送金币 1
3. 点击保存</x:v>
      </x:c>
      <x:c r="K113" s="9" t="str">
        <x:v>保存后的赠送金币为 1</x:v>
      </x:c>
      <x:c r="L113" s="10" t="str"/>
      <x:c r="M113" s="10" t="str">
        <x:v>未测</x:v>
      </x:c>
      <x:c r="N113" s="10" t="str"/>
      <x:c r="O113" s="9" t="str">
        <x:v>1. 来源（当前证据）：liveshow-proto/MainBasis/统一需求文档.md；位置：第 2904 行；REQ-54fe7fbda407、第 2899 行
2. 规则：BR-D52A2C5A6C933E
3. 未动态验证
4. 示例账号、编号、金额与日期是本条测试数据；执行前按前置条件准备，未填写的产品决策不得自行假定。</x:v>
      </x:c>
    </x:row>
    <x:row r="114" ht="130" customHeight="1">
      <x:c r="A114" s="10" t="n">
        <x:v>113</x:v>
      </x:c>
      <x:c r="B114" s="10" t="str">
        <x:v>ADMIN-0113</x:v>
      </x:c>
      <x:c r="C114" s="10" t="str">
        <x:v>运营管理</x:v>
      </x:c>
      <x:c r="D114" s="10" t="str">
        <x:v>充值套餐编辑（平台管理员）</x:v>
      </x:c>
      <x:c r="E114" s="10" t="str">
        <x:v>功能需求</x:v>
      </x:c>
      <x:c r="F114" s="10" t="str">
        <x:v>P1</x:v>
      </x:c>
      <x:c r="G114" s="9" t="str">
        <x:v>验证赠送金币输入 0.5</x:v>
      </x:c>
      <x:c r="H114" s="9" t="str">
        <x:v>赠送金币非负整数范围</x:v>
      </x:c>
      <x:c r="I114" s="9" t="str">
        <x:v>1. 平台管理员为本条执行者
2. 活动套餐甲：价格 1.50 USD、充值金币 100、赠送金币 20、限购 1，起止时间明天至后天，封面和其他必填项已完成</x:v>
      </x:c>
      <x:c r="J114" s="9" t="str">
        <x:v>1. 打开充值套餐编辑
2. 输入赠送金币 0.5
3. 点击保存</x:v>
      </x:c>
      <x:c r="K114" s="9" t="str">
        <x:v>本次充值套餐未保存</x:v>
      </x:c>
      <x:c r="L114" s="10" t="str"/>
      <x:c r="M114" s="10" t="str">
        <x:v>未测</x:v>
      </x:c>
      <x:c r="N114" s="10" t="str"/>
      <x:c r="O114" s="9" t="str">
        <x:v>1. 来源（当前证据）：liveshow-proto/MainBasis/统一需求文档.md；位置：第 2904 行；REQ-54fe7fbda407、第 2899 行
2. 规则：BR-300500CF05919E
3. 未动态验证
4. 示例账号、编号、金额与日期是本条测试数据；执行前按前置条件准备，未填写的产品决策不得自行假定。</x:v>
      </x:c>
    </x:row>
    <x:row r="115" ht="145" customHeight="1">
      <x:c r="A115" s="10" t="n">
        <x:v>114</x:v>
      </x:c>
      <x:c r="B115" s="10" t="str">
        <x:v>ADMIN-0114</x:v>
      </x:c>
      <x:c r="C115" s="10" t="str">
        <x:v>运营管理</x:v>
      </x:c>
      <x:c r="D115" s="10" t="str">
        <x:v>充值套餐编辑（平台管理员）</x:v>
      </x:c>
      <x:c r="E115" s="10" t="str">
        <x:v>功能需求</x:v>
      </x:c>
      <x:c r="F115" s="10" t="str">
        <x:v>P2</x:v>
      </x:c>
      <x:c r="G115" s="9" t="str">
        <x:v>验证限购次数输入 -1</x:v>
      </x:c>
      <x:c r="H115" s="9" t="str">
        <x:v>限购次数非负整数范围</x:v>
      </x:c>
      <x:c r="I115" s="9" t="str">
        <x:v>1. 平台管理员为本条执行者
2. 活动套餐甲：价格 1.50 USD、充值金币 100、赠送金币 20、限购 1，起止时间明天至后天，封面和其他必填项已完成</x:v>
      </x:c>
      <x:c r="J115" s="9" t="str">
        <x:v>1. 打开充值套餐编辑
2. 输入限购次数 -1
3. 点击保存</x:v>
      </x:c>
      <x:c r="K115" s="9" t="str">
        <x:v>本次充值套餐未保存</x:v>
      </x:c>
      <x:c r="L115" s="10" t="str"/>
      <x:c r="M115" s="10" t="str">
        <x:v>未测</x:v>
      </x:c>
      <x:c r="N115" s="10" t="str"/>
      <x:c r="O115" s="9" t="str">
        <x:v>1. 来源（当前证据）：liveshow-proto/MainBasis/统一需求文档.md；位置：第 2905 行；REQ-e66ef76860a4、第 2908 行；REQ-dcaa0ae42932、第 2899 行
2. 规则：BR-0B382D635B964D
3. 未动态验证
4. 示例账号、编号、金额与日期是本条测试数据；执行前按前置条件准备，未填写的产品决策不得自行假定。</x:v>
      </x:c>
    </x:row>
    <x:row r="116" ht="145" customHeight="1">
      <x:c r="A116" s="10" t="n">
        <x:v>115</x:v>
      </x:c>
      <x:c r="B116" s="10" t="str">
        <x:v>ADMIN-0115</x:v>
      </x:c>
      <x:c r="C116" s="10" t="str">
        <x:v>运营管理</x:v>
      </x:c>
      <x:c r="D116" s="10" t="str">
        <x:v>充值套餐编辑（平台管理员）</x:v>
      </x:c>
      <x:c r="E116" s="10" t="str">
        <x:v>功能需求</x:v>
      </x:c>
      <x:c r="F116" s="10" t="str">
        <x:v>P2</x:v>
      </x:c>
      <x:c r="G116" s="9" t="str">
        <x:v>验证限购次数输入 0</x:v>
      </x:c>
      <x:c r="H116" s="9" t="str">
        <x:v>限购次数非负整数范围</x:v>
      </x:c>
      <x:c r="I116" s="9" t="str">
        <x:v>1. 平台管理员为本条执行者
2. 活动套餐甲：价格 1.50 USD、充值金币 100、赠送金币 20、限购 1，起止时间明天至后天，封面和其他必填项已完成</x:v>
      </x:c>
      <x:c r="J116" s="9" t="str">
        <x:v>1. 打开充值套餐编辑
2. 输入限购次数 0
3. 点击保存</x:v>
      </x:c>
      <x:c r="K116" s="9" t="str">
        <x:v>保存后的限购次数为 0</x:v>
      </x:c>
      <x:c r="L116" s="10" t="str"/>
      <x:c r="M116" s="10" t="str">
        <x:v>未测</x:v>
      </x:c>
      <x:c r="N116" s="10" t="str"/>
      <x:c r="O116" s="9" t="str">
        <x:v>1. 来源（当前证据）：liveshow-proto/MainBasis/统一需求文档.md；位置：第 2905 行；REQ-e66ef76860a4、第 2908 行；REQ-dcaa0ae42932、第 2899 行
2. 规则：BR-617CF72386C3F2
3. 未动态验证
4. 示例账号、编号、金额与日期是本条测试数据；执行前按前置条件准备，未填写的产品决策不得自行假定。</x:v>
      </x:c>
    </x:row>
    <x:row r="117" ht="145" customHeight="1">
      <x:c r="A117" s="10" t="n">
        <x:v>116</x:v>
      </x:c>
      <x:c r="B117" s="10" t="str">
        <x:v>ADMIN-0116</x:v>
      </x:c>
      <x:c r="C117" s="10" t="str">
        <x:v>运营管理</x:v>
      </x:c>
      <x:c r="D117" s="10" t="str">
        <x:v>充值套餐编辑（平台管理员）</x:v>
      </x:c>
      <x:c r="E117" s="10" t="str">
        <x:v>功能需求</x:v>
      </x:c>
      <x:c r="F117" s="10" t="str">
        <x:v>P2</x:v>
      </x:c>
      <x:c r="G117" s="9" t="str">
        <x:v>验证限购次数输入 1</x:v>
      </x:c>
      <x:c r="H117" s="9" t="str">
        <x:v>限购次数非负整数范围</x:v>
      </x:c>
      <x:c r="I117" s="9" t="str">
        <x:v>1. 平台管理员为本条执行者
2. 活动套餐甲：价格 1.50 USD、充值金币 100、赠送金币 20、限购 1，起止时间明天至后天，封面和其他必填项已完成</x:v>
      </x:c>
      <x:c r="J117" s="9" t="str">
        <x:v>1. 打开充值套餐编辑
2. 输入限购次数 1
3. 点击保存</x:v>
      </x:c>
      <x:c r="K117" s="9" t="str">
        <x:v>保存后的限购次数为 1</x:v>
      </x:c>
      <x:c r="L117" s="10" t="str"/>
      <x:c r="M117" s="10" t="str">
        <x:v>未测</x:v>
      </x:c>
      <x:c r="N117" s="10" t="str"/>
      <x:c r="O117" s="9" t="str">
        <x:v>1. 来源（当前证据）：liveshow-proto/MainBasis/统一需求文档.md；位置：第 2905 行；REQ-e66ef76860a4、第 2908 行；REQ-dcaa0ae42932、第 2899 行
2. 规则：BR-416B1125DE5923
3. 未动态验证
4. 示例账号、编号、金额与日期是本条测试数据；执行前按前置条件准备，未填写的产品决策不得自行假定。</x:v>
      </x:c>
    </x:row>
    <x:row r="118" ht="145" customHeight="1">
      <x:c r="A118" s="10" t="n">
        <x:v>117</x:v>
      </x:c>
      <x:c r="B118" s="10" t="str">
        <x:v>ADMIN-0117</x:v>
      </x:c>
      <x:c r="C118" s="10" t="str">
        <x:v>运营管理</x:v>
      </x:c>
      <x:c r="D118" s="10" t="str">
        <x:v>充值套餐编辑（平台管理员）</x:v>
      </x:c>
      <x:c r="E118" s="10" t="str">
        <x:v>功能需求</x:v>
      </x:c>
      <x:c r="F118" s="10" t="str">
        <x:v>P2</x:v>
      </x:c>
      <x:c r="G118" s="9" t="str">
        <x:v>验证限购次数输入 0.5</x:v>
      </x:c>
      <x:c r="H118" s="9" t="str">
        <x:v>限购次数非负整数范围</x:v>
      </x:c>
      <x:c r="I118" s="9" t="str">
        <x:v>1. 平台管理员为本条执行者
2. 活动套餐甲：价格 1.50 USD、充值金币 100、赠送金币 20、限购 1，起止时间明天至后天，封面和其他必填项已完成</x:v>
      </x:c>
      <x:c r="J118" s="9" t="str">
        <x:v>1. 打开充值套餐编辑
2. 输入限购次数 0.5
3. 点击保存</x:v>
      </x:c>
      <x:c r="K118" s="9" t="str">
        <x:v>本次充值套餐未保存</x:v>
      </x:c>
      <x:c r="L118" s="10" t="str"/>
      <x:c r="M118" s="10" t="str">
        <x:v>未测</x:v>
      </x:c>
      <x:c r="N118" s="10" t="str"/>
      <x:c r="O118" s="9" t="str">
        <x:v>1. 来源（当前证据）：liveshow-proto/MainBasis/统一需求文档.md；位置：第 2905 行；REQ-e66ef76860a4、第 2908 行；REQ-dcaa0ae42932、第 2899 行
2. 规则：BR-029C354EE6F194
3. 未动态验证
4. 示例账号、编号、金额与日期是本条测试数据；执行前按前置条件准备，未填写的产品决策不得自行假定。</x:v>
      </x:c>
    </x:row>
    <x:row r="119" ht="175" customHeight="1">
      <x:c r="A119" s="10" t="n">
        <x:v>118</x:v>
      </x:c>
      <x:c r="B119" s="10" t="str">
        <x:v>ADMIN-0118</x:v>
      </x:c>
      <x:c r="C119" s="10" t="str">
        <x:v>礼物与道具</x:v>
      </x:c>
      <x:c r="D119" s="10" t="str">
        <x:v>幸运礼物编辑（平台管理员）</x:v>
      </x:c>
      <x:c r="E119" s="10" t="str">
        <x:v>功能需求</x:v>
      </x:c>
      <x:c r="F119" s="10" t="str">
        <x:v>P2</x:v>
      </x:c>
      <x:c r="G119" s="9" t="str">
        <x:v>验证幸运礼物概率合计 99%</x:v>
      </x:c>
      <x:c r="H119" s="9" t="str">
        <x:v>概率总和</x:v>
      </x:c>
      <x:c r="I119" s="9" t="str">
        <x:v>1. 平台管理员为本条执行者
2. 幸运礼物配置其余必填项已填，单次消耗 10 金币，开奖次数 10；奖励档位为 0 金币和 10 金币</x:v>
      </x:c>
      <x:c r="J119" s="9" t="str">
        <x:v>1. 打开幸运礼物编辑
2. 输入 0 金币档概率 4%
3. 输入 10 金币档概率 95%
4. 点击保存</x:v>
      </x:c>
      <x:c r="K119" s="9" t="str">
        <x:v>幸运礼物概率配置未保存</x:v>
      </x:c>
      <x:c r="L119" s="10" t="str"/>
      <x:c r="M119" s="10" t="str">
        <x:v>未测</x:v>
      </x:c>
      <x:c r="N119" s="10" t="str"/>
      <x:c r="O119" s="9" t="str">
        <x:v>1. 来源（当前证据）：liveshow-proto/MainBasis/统一需求文档.md；位置：第 2787 行；REQ-995a67b76ab0、第 2788 行；REQ-20e987021be3、第 2791 行；REQ-ec77660b0bd0、第 2792 行；REQ-12dcff94a116、第 2781 行
2. 规则：BR-E3C9EE755E4362
3. 未动态验证
4. 示例账号、编号、金额与日期是本条测试数据；执行前按前置条件准备，未填写的产品决策不得自行假定。</x:v>
      </x:c>
    </x:row>
    <x:row r="120" ht="175" customHeight="1">
      <x:c r="A120" s="10" t="n">
        <x:v>119</x:v>
      </x:c>
      <x:c r="B120" s="10" t="str">
        <x:v>ADMIN-0119</x:v>
      </x:c>
      <x:c r="C120" s="10" t="str">
        <x:v>礼物与道具</x:v>
      </x:c>
      <x:c r="D120" s="10" t="str">
        <x:v>幸运礼物编辑（平台管理员）</x:v>
      </x:c>
      <x:c r="E120" s="10" t="str">
        <x:v>功能需求</x:v>
      </x:c>
      <x:c r="F120" s="10" t="str">
        <x:v>P2</x:v>
      </x:c>
      <x:c r="G120" s="9" t="str">
        <x:v>验证幸运礼物概率合计 100%</x:v>
      </x:c>
      <x:c r="H120" s="9" t="str">
        <x:v>概率总和</x:v>
      </x:c>
      <x:c r="I120" s="9" t="str">
        <x:v>1. 平台管理员为本条执行者
2. 幸运礼物配置其余必填项已填，单次消耗 10 金币，开奖次数 10；奖励档位为 0 金币和 10 金币</x:v>
      </x:c>
      <x:c r="J120" s="9" t="str">
        <x:v>1. 打开幸运礼物编辑
2. 输入 0 金币档概率 4%
3. 输入 10 金币档概率 96%
4. 点击保存</x:v>
      </x:c>
      <x:c r="K120" s="9" t="str">
        <x:v>保存后的概率合计为 100%</x:v>
      </x:c>
      <x:c r="L120" s="10" t="str"/>
      <x:c r="M120" s="10" t="str">
        <x:v>未测</x:v>
      </x:c>
      <x:c r="N120" s="10" t="str"/>
      <x:c r="O120" s="9" t="str">
        <x:v>1. 来源（当前证据）：liveshow-proto/MainBasis/统一需求文档.md；位置：第 2787 行；REQ-995a67b76ab0、第 2788 行；REQ-20e987021be3、第 2791 行；REQ-ec77660b0bd0、第 2792 行；REQ-12dcff94a116、第 2781 行
2. 规则：BR-EF1F054FB28943
3. 未动态验证
4. 示例账号、编号、金额与日期是本条测试数据；执行前按前置条件准备，未填写的产品决策不得自行假定。</x:v>
      </x:c>
    </x:row>
    <x:row r="121" ht="175" customHeight="1">
      <x:c r="A121" s="10" t="n">
        <x:v>120</x:v>
      </x:c>
      <x:c r="B121" s="10" t="str">
        <x:v>ADMIN-0120</x:v>
      </x:c>
      <x:c r="C121" s="10" t="str">
        <x:v>礼物与道具</x:v>
      </x:c>
      <x:c r="D121" s="10" t="str">
        <x:v>幸运礼物编辑（平台管理员）</x:v>
      </x:c>
      <x:c r="E121" s="10" t="str">
        <x:v>功能需求</x:v>
      </x:c>
      <x:c r="F121" s="10" t="str">
        <x:v>P2</x:v>
      </x:c>
      <x:c r="G121" s="9" t="str">
        <x:v>验证幸运礼物概率合计 101%</x:v>
      </x:c>
      <x:c r="H121" s="9" t="str">
        <x:v>概率总和</x:v>
      </x:c>
      <x:c r="I121" s="9" t="str">
        <x:v>1. 平台管理员为本条执行者
2. 幸运礼物配置其余必填项已填，单次消耗 10 金币，开奖次数 10；奖励档位为 0 金币和 10 金币</x:v>
      </x:c>
      <x:c r="J121" s="9" t="str">
        <x:v>1. 打开幸运礼物编辑
2. 输入 0 金币档概率 4%
3. 输入 10 金币档概率 97%
4. 点击保存</x:v>
      </x:c>
      <x:c r="K121" s="9" t="str">
        <x:v>幸运礼物概率配置未保存</x:v>
      </x:c>
      <x:c r="L121" s="10" t="str"/>
      <x:c r="M121" s="10" t="str">
        <x:v>未测</x:v>
      </x:c>
      <x:c r="N121" s="10" t="str"/>
      <x:c r="O121" s="9" t="str">
        <x:v>1. 来源（当前证据）：liveshow-proto/MainBasis/统一需求文档.md；位置：第 2787 行；REQ-995a67b76ab0、第 2788 行；REQ-20e987021be3、第 2791 行；REQ-ec77660b0bd0、第 2792 行；REQ-12dcff94a116、第 2781 行
2. 规则：BR-F61846225493C8
3. 未动态验证
4. 示例账号、编号、金额与日期是本条测试数据；执行前按前置条件准备，未填写的产品决策不得自行假定。</x:v>
      </x:c>
    </x:row>
    <x:row r="122" ht="175" customHeight="1">
      <x:c r="A122" s="10" t="n">
        <x:v>121</x:v>
      </x:c>
      <x:c r="B122" s="10" t="str">
        <x:v>ADMIN-0121</x:v>
      </x:c>
      <x:c r="C122" s="10" t="str">
        <x:v>礼物与道具</x:v>
      </x:c>
      <x:c r="D122" s="10" t="str">
        <x:v>幸运礼物编辑（平台管理员）</x:v>
      </x:c>
      <x:c r="E122" s="10" t="str">
        <x:v>功能需求</x:v>
      </x:c>
      <x:c r="F122" s="10" t="str">
        <x:v>P1</x:v>
      </x:c>
      <x:c r="G122" s="9" t="str">
        <x:v>验证奖励金币档位输入 -1</x:v>
      </x:c>
      <x:c r="H122" s="9" t="str">
        <x:v>奖励金币非负整数</x:v>
      </x:c>
      <x:c r="I122" s="9" t="str">
        <x:v>1. 平台管理员为本条执行者
2. 幸运礼物配置其余必填项已填，单次消耗 10 金币，开奖次数 10；奖励档位为 0 金币和 10 金币
3. 第二档奖励为 10 金币，第一档与第二档不重复</x:v>
      </x:c>
      <x:c r="J122" s="9" t="str">
        <x:v>1. 打开幸运礼物编辑
2. 输入第一档奖励金币 -1
3. 点击保存</x:v>
      </x:c>
      <x:c r="K122" s="9" t="str">
        <x:v>幸运礼物奖励档位未保存</x:v>
      </x:c>
      <x:c r="L122" s="10" t="str"/>
      <x:c r="M122" s="10" t="str">
        <x:v>未测</x:v>
      </x:c>
      <x:c r="N122" s="10" t="str"/>
      <x:c r="O122" s="9" t="str">
        <x:v>1. 来源（当前证据）：liveshow-proto/MainBasis/统一需求文档.md；位置：第 2786 行；REQ-5e443ac8ff7a、第 2787 行；REQ-995a67b76ab0、第 2788 行；REQ-20e987021be3、第 2792 行；REQ-12dcff94a116、第 2781 行
2. 规则：BR-E9A963770D82C0
3. 未动态验证
4. 示例账号、编号、金额与日期是本条测试数据；执行前按前置条件准备，未填写的产品决策不得自行假定。</x:v>
      </x:c>
    </x:row>
    <x:row r="123" ht="175" customHeight="1">
      <x:c r="A123" s="10" t="n">
        <x:v>122</x:v>
      </x:c>
      <x:c r="B123" s="10" t="str">
        <x:v>ADMIN-0122</x:v>
      </x:c>
      <x:c r="C123" s="10" t="str">
        <x:v>礼物与道具</x:v>
      </x:c>
      <x:c r="D123" s="10" t="str">
        <x:v>幸运礼物编辑（平台管理员）</x:v>
      </x:c>
      <x:c r="E123" s="10" t="str">
        <x:v>功能需求</x:v>
      </x:c>
      <x:c r="F123" s="10" t="str">
        <x:v>P1</x:v>
      </x:c>
      <x:c r="G123" s="9" t="str">
        <x:v>验证奖励金币档位输入 0</x:v>
      </x:c>
      <x:c r="H123" s="9" t="str">
        <x:v>奖励金币非负整数</x:v>
      </x:c>
      <x:c r="I123" s="9" t="str">
        <x:v>1. 平台管理员为本条执行者
2. 幸运礼物配置其余必填项已填，单次消耗 10 金币，开奖次数 10；奖励档位为 0 金币和 10 金币
3. 第二档奖励为 10 金币，第一档与第二档不重复</x:v>
      </x:c>
      <x:c r="J123" s="9" t="str">
        <x:v>1. 打开幸运礼物编辑
2. 输入第一档奖励金币 0
3. 点击保存</x:v>
      </x:c>
      <x:c r="K123" s="9" t="str">
        <x:v>第一档奖励金币保存为 0</x:v>
      </x:c>
      <x:c r="L123" s="10" t="str"/>
      <x:c r="M123" s="10" t="str">
        <x:v>未测</x:v>
      </x:c>
      <x:c r="N123" s="10" t="str"/>
      <x:c r="O123" s="9" t="str">
        <x:v>1. 来源（当前证据）：liveshow-proto/MainBasis/统一需求文档.md；位置：第 2786 行；REQ-5e443ac8ff7a、第 2787 行；REQ-995a67b76ab0、第 2788 行；REQ-20e987021be3、第 2792 行；REQ-12dcff94a116、第 2781 行
2. 规则：BR-31E4642888930A
3. 未动态验证
4. 示例账号、编号、金额与日期是本条测试数据；执行前按前置条件准备，未填写的产品决策不得自行假定。</x:v>
      </x:c>
    </x:row>
    <x:row r="124" ht="175" customHeight="1">
      <x:c r="A124" s="10" t="n">
        <x:v>123</x:v>
      </x:c>
      <x:c r="B124" s="10" t="str">
        <x:v>ADMIN-0123</x:v>
      </x:c>
      <x:c r="C124" s="10" t="str">
        <x:v>礼物与道具</x:v>
      </x:c>
      <x:c r="D124" s="10" t="str">
        <x:v>幸运礼物编辑（平台管理员）</x:v>
      </x:c>
      <x:c r="E124" s="10" t="str">
        <x:v>功能需求</x:v>
      </x:c>
      <x:c r="F124" s="10" t="str">
        <x:v>P1</x:v>
      </x:c>
      <x:c r="G124" s="9" t="str">
        <x:v>验证奖励金币档位输入 1.5</x:v>
      </x:c>
      <x:c r="H124" s="9" t="str">
        <x:v>奖励金币非负整数</x:v>
      </x:c>
      <x:c r="I124" s="9" t="str">
        <x:v>1. 平台管理员为本条执行者
2. 幸运礼物配置其余必填项已填，单次消耗 10 金币，开奖次数 10；奖励档位为 0 金币和 10 金币
3. 第二档奖励为 10 金币，第一档与第二档不重复</x:v>
      </x:c>
      <x:c r="J124" s="9" t="str">
        <x:v>1. 打开幸运礼物编辑
2. 输入第一档奖励金币 1.5
3. 点击保存</x:v>
      </x:c>
      <x:c r="K124" s="9" t="str">
        <x:v>幸运礼物奖励档位未保存</x:v>
      </x:c>
      <x:c r="L124" s="10" t="str"/>
      <x:c r="M124" s="10" t="str">
        <x:v>未测</x:v>
      </x:c>
      <x:c r="N124" s="10" t="str"/>
      <x:c r="O124" s="9" t="str">
        <x:v>1. 来源（当前证据）：liveshow-proto/MainBasis/统一需求文档.md；位置：第 2786 行；REQ-5e443ac8ff7a、第 2787 行；REQ-995a67b76ab0、第 2788 行；REQ-20e987021be3、第 2792 行；REQ-12dcff94a116、第 2781 行
2. 规则：BR-88E01B749AC6E6
3. 未动态验证
4. 示例账号、编号、金额与日期是本条测试数据；执行前按前置条件准备，未填写的产品决策不得自行假定。</x:v>
      </x:c>
    </x:row>
    <x:row r="125" ht="175" customHeight="1">
      <x:c r="A125" s="10" t="n">
        <x:v>124</x:v>
      </x:c>
      <x:c r="B125" s="10" t="str">
        <x:v>ADMIN-0124</x:v>
      </x:c>
      <x:c r="C125" s="10" t="str">
        <x:v>礼物与道具</x:v>
      </x:c>
      <x:c r="D125" s="10" t="str">
        <x:v>幸运礼物编辑（平台管理员）</x:v>
      </x:c>
      <x:c r="E125" s="10" t="str">
        <x:v>功能需求</x:v>
      </x:c>
      <x:c r="F125" s="10" t="str">
        <x:v>P1</x:v>
      </x:c>
      <x:c r="G125" s="9" t="str">
        <x:v>验证奖励金币档位不可重复</x:v>
      </x:c>
      <x:c r="H125" s="9" t="str">
        <x:v>奖励档位唯一性</x:v>
      </x:c>
      <x:c r="I125" s="9" t="str">
        <x:v>1. 平台管理员为本条执行者
2. 幸运礼物配置其余必填项已填，单次消耗 10 金币，开奖次数 10；奖励档位为 0 金币和 10 金币</x:v>
      </x:c>
      <x:c r="J125" s="9" t="str">
        <x:v>1. 打开幸运礼物编辑
2. 输入两个奖励档位均为 10 金币
3. 点击保存</x:v>
      </x:c>
      <x:c r="K125" s="9" t="str">
        <x:v>重复奖励档位未保存</x:v>
      </x:c>
      <x:c r="L125" s="10" t="str"/>
      <x:c r="M125" s="10" t="str">
        <x:v>未测</x:v>
      </x:c>
      <x:c r="N125" s="10" t="str"/>
      <x:c r="O125" s="9" t="str">
        <x:v>1. 来源（当前证据）：liveshow-proto/MainBasis/统一需求文档.md；位置：第 2786 行；REQ-5e443ac8ff7a、第 2787 行；REQ-995a67b76ab0、第 2788 行；REQ-20e987021be3、第 2792 行；REQ-12dcff94a116、第 2781 行
2. 规则：BR-596B789A58239F
3. 未动态验证
4. 示例账号、编号、金额与日期是本条测试数据；执行前按前置条件准备，未填写的产品决策不得自行假定。</x:v>
      </x:c>
    </x:row>
    <x:row r="126" ht="160" customHeight="1">
      <x:c r="A126" s="10" t="n">
        <x:v>125</x:v>
      </x:c>
      <x:c r="B126" s="10" t="str">
        <x:v>ADMIN-0125</x:v>
      </x:c>
      <x:c r="C126" s="10" t="str">
        <x:v>礼物与道具</x:v>
      </x:c>
      <x:c r="D126" s="10" t="str">
        <x:v>购买份数配置详情（平台管理员）</x:v>
      </x:c>
      <x:c r="E126" s="10" t="str">
        <x:v>功能需求</x:v>
      </x:c>
      <x:c r="F126" s="10" t="str">
        <x:v>P2</x:v>
      </x:c>
      <x:c r="G126" s="9" t="str">
        <x:v>验证赠送数量配置为 空列表</x:v>
      </x:c>
      <x:c r="H126" s="9" t="str">
        <x:v>赠送数量集合约束</x:v>
      </x:c>
      <x:c r="I126" s="9" t="str">
        <x:v>1. 平台管理员为本条执行者
2. 规则为新建，存在未被其他启用规则关联的普通礼物甲</x:v>
      </x:c>
      <x:c r="J126" s="9" t="str">
        <x:v>1. 打开购买份数配置详情
2. 将赠送数量列表填写为空列表
3. 选择礼物甲
4. 点击保存</x:v>
      </x:c>
      <x:c r="K126" s="9" t="str">
        <x:v>购买份数配置未保存</x:v>
      </x:c>
      <x:c r="L126" s="10" t="str"/>
      <x:c r="M126" s="10" t="str">
        <x:v>未测</x:v>
      </x:c>
      <x:c r="N126" s="10" t="str"/>
      <x:c r="O126" s="9" t="str">
        <x:v>1. 来源（当前证据）：liveshow-proto/MainBasis/统一需求文档.md；位置：第 2837 行；REQ-343cd17ed04f、第 2838 行；REQ-3ee94a2d1e4d、第 2841 行；REQ-03b9725085e3、第 2835 行
2. 规则：BR-040216F5CFC7D7
3. 未动态验证
4. 示例账号、编号、金额与日期是本条测试数据；执行前按前置条件准备，未填写的产品决策不得自行假定。</x:v>
      </x:c>
    </x:row>
    <x:row r="127" ht="160" customHeight="1">
      <x:c r="A127" s="10" t="n">
        <x:v>126</x:v>
      </x:c>
      <x:c r="B127" s="10" t="str">
        <x:v>ADMIN-0126</x:v>
      </x:c>
      <x:c r="C127" s="10" t="str">
        <x:v>礼物与道具</x:v>
      </x:c>
      <x:c r="D127" s="10" t="str">
        <x:v>购买份数配置详情（平台管理员）</x:v>
      </x:c>
      <x:c r="E127" s="10" t="str">
        <x:v>功能需求</x:v>
      </x:c>
      <x:c r="F127" s="10" t="str">
        <x:v>P2</x:v>
      </x:c>
      <x:c r="G127" s="9" t="str">
        <x:v>验证赠送数量配置为 1</x:v>
      </x:c>
      <x:c r="H127" s="9" t="str">
        <x:v>赠送数量集合约束</x:v>
      </x:c>
      <x:c r="I127" s="9" t="str">
        <x:v>1. 平台管理员为本条执行者
2. 规则为新建，存在未被其他启用规则关联的普通礼物甲</x:v>
      </x:c>
      <x:c r="J127" s="9" t="str">
        <x:v>1. 打开购买份数配置详情
2. 将赠送数量列表填写为1
3. 选择礼物甲
4. 选择默认数量 1
5. 点击保存</x:v>
      </x:c>
      <x:c r="K127" s="9" t="str">
        <x:v>保存的赠送数量列表为 1</x:v>
      </x:c>
      <x:c r="L127" s="10" t="str"/>
      <x:c r="M127" s="10" t="str">
        <x:v>未测</x:v>
      </x:c>
      <x:c r="N127" s="10" t="str"/>
      <x:c r="O127" s="9" t="str">
        <x:v>1. 来源（当前证据）：liveshow-proto/MainBasis/统一需求文档.md；位置：第 2837 行；REQ-343cd17ed04f、第 2838 行；REQ-3ee94a2d1e4d、第 2841 行；REQ-03b9725085e3、第 2835 行
2. 规则：BR-3016B4AEE8CC80
3. 未动态验证
4. 示例账号、编号、金额与日期是本条测试数据；执行前按前置条件准备，未填写的产品决策不得自行假定。</x:v>
      </x:c>
    </x:row>
    <x:row r="128" ht="160" customHeight="1">
      <x:c r="A128" s="10" t="n">
        <x:v>127</x:v>
      </x:c>
      <x:c r="B128" s="10" t="str">
        <x:v>ADMIN-0127</x:v>
      </x:c>
      <x:c r="C128" s="10" t="str">
        <x:v>礼物与道具</x:v>
      </x:c>
      <x:c r="D128" s="10" t="str">
        <x:v>购买份数配置详情（平台管理员）</x:v>
      </x:c>
      <x:c r="E128" s="10" t="str">
        <x:v>功能需求</x:v>
      </x:c>
      <x:c r="F128" s="10" t="str">
        <x:v>P2</x:v>
      </x:c>
      <x:c r="G128" s="9" t="str">
        <x:v>验证赠送数量配置为 1、10</x:v>
      </x:c>
      <x:c r="H128" s="9" t="str">
        <x:v>赠送数量集合约束</x:v>
      </x:c>
      <x:c r="I128" s="9" t="str">
        <x:v>1. 平台管理员为本条执行者
2. 规则为新建，存在未被其他启用规则关联的普通礼物甲</x:v>
      </x:c>
      <x:c r="J128" s="9" t="str">
        <x:v>1. 打开购买份数配置详情
2. 将赠送数量列表填写为1、10
3. 选择礼物甲
4. 选择默认数量 1
5. 点击保存</x:v>
      </x:c>
      <x:c r="K128" s="9" t="str">
        <x:v>保存的赠送数量列表为 1、10</x:v>
      </x:c>
      <x:c r="L128" s="10" t="str"/>
      <x:c r="M128" s="10" t="str">
        <x:v>未测</x:v>
      </x:c>
      <x:c r="N128" s="10" t="str"/>
      <x:c r="O128" s="9" t="str">
        <x:v>1. 来源（当前证据）：liveshow-proto/MainBasis/统一需求文档.md；位置：第 2837 行；REQ-343cd17ed04f、第 2838 行；REQ-3ee94a2d1e4d、第 2841 行；REQ-03b9725085e3、第 2835 行
2. 规则：BR-93D4CE737EE70A
3. 未动态验证
4. 示例账号、编号、金额与日期是本条测试数据；执行前按前置条件准备，未填写的产品决策不得自行假定。</x:v>
      </x:c>
    </x:row>
    <x:row r="129" ht="160" customHeight="1">
      <x:c r="A129" s="10" t="n">
        <x:v>128</x:v>
      </x:c>
      <x:c r="B129" s="10" t="str">
        <x:v>ADMIN-0128</x:v>
      </x:c>
      <x:c r="C129" s="10" t="str">
        <x:v>礼物与道具</x:v>
      </x:c>
      <x:c r="D129" s="10" t="str">
        <x:v>购买份数配置详情（平台管理员）</x:v>
      </x:c>
      <x:c r="E129" s="10" t="str">
        <x:v>功能需求</x:v>
      </x:c>
      <x:c r="F129" s="10" t="str">
        <x:v>P2</x:v>
      </x:c>
      <x:c r="G129" s="9" t="str">
        <x:v>验证赠送数量配置为 1、1</x:v>
      </x:c>
      <x:c r="H129" s="9" t="str">
        <x:v>赠送数量集合约束</x:v>
      </x:c>
      <x:c r="I129" s="9" t="str">
        <x:v>1. 平台管理员为本条执行者
2. 规则为新建，存在未被其他启用规则关联的普通礼物甲</x:v>
      </x:c>
      <x:c r="J129" s="9" t="str">
        <x:v>1. 打开购买份数配置详情
2. 将赠送数量列表填写为1、1
3. 选择礼物甲
4. 选择默认数量 1
5. 点击保存</x:v>
      </x:c>
      <x:c r="K129" s="9" t="str">
        <x:v>购买份数配置未保存</x:v>
      </x:c>
      <x:c r="L129" s="10" t="str"/>
      <x:c r="M129" s="10" t="str">
        <x:v>未测</x:v>
      </x:c>
      <x:c r="N129" s="10" t="str"/>
      <x:c r="O129" s="9" t="str">
        <x:v>1. 来源（当前证据）：liveshow-proto/MainBasis/统一需求文档.md；位置：第 2837 行；REQ-343cd17ed04f、第 2838 行；REQ-3ee94a2d1e4d、第 2841 行；REQ-03b9725085e3、第 2835 行
2. 规则：BR-1387BBB0951E45
3. 未动态验证
4. 示例账号、编号、金额与日期是本条测试数据；执行前按前置条件准备，未填写的产品决策不得自行假定。</x:v>
      </x:c>
    </x:row>
    <x:row r="130" ht="160" customHeight="1">
      <x:c r="A130" s="10" t="n">
        <x:v>129</x:v>
      </x:c>
      <x:c r="B130" s="10" t="str">
        <x:v>ADMIN-0129</x:v>
      </x:c>
      <x:c r="C130" s="10" t="str">
        <x:v>礼物与道具</x:v>
      </x:c>
      <x:c r="D130" s="10" t="str">
        <x:v>购买份数配置详情（平台管理员）</x:v>
      </x:c>
      <x:c r="E130" s="10" t="str">
        <x:v>功能需求</x:v>
      </x:c>
      <x:c r="F130" s="10" t="str">
        <x:v>P2</x:v>
      </x:c>
      <x:c r="G130" s="9" t="str">
        <x:v>验证赠送数量配置为 0</x:v>
      </x:c>
      <x:c r="H130" s="9" t="str">
        <x:v>赠送数量集合约束</x:v>
      </x:c>
      <x:c r="I130" s="9" t="str">
        <x:v>1. 平台管理员为本条执行者
2. 规则为新建，存在未被其他启用规则关联的普通礼物甲</x:v>
      </x:c>
      <x:c r="J130" s="9" t="str">
        <x:v>1. 打开购买份数配置详情
2. 将赠送数量列表填写为0
3. 选择礼物甲
4. 选择默认数量 0
5. 点击保存</x:v>
      </x:c>
      <x:c r="K130" s="9" t="str">
        <x:v>购买份数配置未保存</x:v>
      </x:c>
      <x:c r="L130" s="10" t="str"/>
      <x:c r="M130" s="10" t="str">
        <x:v>未测</x:v>
      </x:c>
      <x:c r="N130" s="10" t="str"/>
      <x:c r="O130" s="9" t="str">
        <x:v>1. 来源（当前证据）：liveshow-proto/MainBasis/统一需求文档.md；位置：第 2837 行；REQ-343cd17ed04f、第 2838 行；REQ-3ee94a2d1e4d、第 2841 行；REQ-03b9725085e3、第 2835 行
2. 规则：BR-4A4423F17859D5
3. 未动态验证
4. 示例账号、编号、金额与日期是本条测试数据；执行前按前置条件准备，未填写的产品决策不得自行假定。</x:v>
      </x:c>
    </x:row>
    <x:row r="131" ht="160" customHeight="1">
      <x:c r="A131" s="10" t="n">
        <x:v>130</x:v>
      </x:c>
      <x:c r="B131" s="10" t="str">
        <x:v>ADMIN-0130</x:v>
      </x:c>
      <x:c r="C131" s="10" t="str">
        <x:v>礼物与道具</x:v>
      </x:c>
      <x:c r="D131" s="10" t="str">
        <x:v>购买份数配置详情（平台管理员）</x:v>
      </x:c>
      <x:c r="E131" s="10" t="str">
        <x:v>功能需求</x:v>
      </x:c>
      <x:c r="F131" s="10" t="str">
        <x:v>P2</x:v>
      </x:c>
      <x:c r="G131" s="9" t="str">
        <x:v>验证赠送数量配置为 -1</x:v>
      </x:c>
      <x:c r="H131" s="9" t="str">
        <x:v>赠送数量集合约束</x:v>
      </x:c>
      <x:c r="I131" s="9" t="str">
        <x:v>1. 平台管理员为本条执行者
2. 规则为新建，存在未被其他启用规则关联的普通礼物甲</x:v>
      </x:c>
      <x:c r="J131" s="9" t="str">
        <x:v>1. 打开购买份数配置详情
2. 将赠送数量列表填写为-1
3. 选择礼物甲
4. 选择默认数量 -1
5. 点击保存</x:v>
      </x:c>
      <x:c r="K131" s="9" t="str">
        <x:v>购买份数配置未保存</x:v>
      </x:c>
      <x:c r="L131" s="10" t="str"/>
      <x:c r="M131" s="10" t="str">
        <x:v>未测</x:v>
      </x:c>
      <x:c r="N131" s="10" t="str"/>
      <x:c r="O131" s="9" t="str">
        <x:v>1. 来源（当前证据）：liveshow-proto/MainBasis/统一需求文档.md；位置：第 2837 行；REQ-343cd17ed04f、第 2838 行；REQ-3ee94a2d1e4d、第 2841 行；REQ-03b9725085e3、第 2835 行
2. 规则：BR-96C993B376E20A
3. 未动态验证
4. 示例账号、编号、金额与日期是本条测试数据；执行前按前置条件准备，未填写的产品决策不得自行假定。</x:v>
      </x:c>
    </x:row>
    <x:row r="132" ht="160" customHeight="1">
      <x:c r="A132" s="10" t="n">
        <x:v>131</x:v>
      </x:c>
      <x:c r="B132" s="10" t="str">
        <x:v>ADMIN-0131</x:v>
      </x:c>
      <x:c r="C132" s="10" t="str">
        <x:v>礼物与道具</x:v>
      </x:c>
      <x:c r="D132" s="10" t="str">
        <x:v>购买份数配置详情（平台管理员）</x:v>
      </x:c>
      <x:c r="E132" s="10" t="str">
        <x:v>功能需求</x:v>
      </x:c>
      <x:c r="F132" s="10" t="str">
        <x:v>P2</x:v>
      </x:c>
      <x:c r="G132" s="9" t="str">
        <x:v>验证赠送数量配置为 1.5</x:v>
      </x:c>
      <x:c r="H132" s="9" t="str">
        <x:v>赠送数量集合约束</x:v>
      </x:c>
      <x:c r="I132" s="9" t="str">
        <x:v>1. 平台管理员为本条执行者
2. 规则为新建，存在未被其他启用规则关联的普通礼物甲</x:v>
      </x:c>
      <x:c r="J132" s="9" t="str">
        <x:v>1. 打开购买份数配置详情
2. 将赠送数量列表填写为1.5
3. 选择礼物甲
4. 选择默认数量 1.5
5. 点击保存</x:v>
      </x:c>
      <x:c r="K132" s="9" t="str">
        <x:v>购买份数配置未保存</x:v>
      </x:c>
      <x:c r="L132" s="10" t="str"/>
      <x:c r="M132" s="10" t="str">
        <x:v>未测</x:v>
      </x:c>
      <x:c r="N132" s="10" t="str"/>
      <x:c r="O132" s="9" t="str">
        <x:v>1. 来源（当前证据）：liveshow-proto/MainBasis/统一需求文档.md；位置：第 2837 行；REQ-343cd17ed04f、第 2838 行；REQ-3ee94a2d1e4d、第 2841 行；REQ-03b9725085e3、第 2835 行
2. 规则：BR-387F5E67A1327C
3. 未动态验证
4. 示例账号、编号、金额与日期是本条测试数据；执行前按前置条件准备，未填写的产品决策不得自行假定。</x:v>
      </x:c>
    </x:row>
    <x:row r="133" ht="145" customHeight="1">
      <x:c r="A133" s="10" t="n">
        <x:v>132</x:v>
      </x:c>
      <x:c r="B133" s="10" t="str">
        <x:v>ADMIN-0132</x:v>
      </x:c>
      <x:c r="C133" s="10" t="str">
        <x:v>礼物与道具</x:v>
      </x:c>
      <x:c r="D133" s="10" t="str">
        <x:v>购买份数配置详情（平台管理员）</x:v>
      </x:c>
      <x:c r="E133" s="10" t="str">
        <x:v>功能需求</x:v>
      </x:c>
      <x:c r="F133" s="10" t="str">
        <x:v>P2</x:v>
      </x:c>
      <x:c r="G133" s="9" t="str">
        <x:v>验证默认数量只能从已配置集合选择</x:v>
      </x:c>
      <x:c r="H133" s="9" t="str">
        <x:v>默认数量取值来源</x:v>
      </x:c>
      <x:c r="I133" s="9" t="str">
        <x:v>1. 平台管理员为本条执行者
2. 规则为新建，存在未被其他启用规则关联的普通礼物甲
3. 当前赠送数量列表为 1、10</x:v>
      </x:c>
      <x:c r="J133" s="9" t="str">
        <x:v>1. 打开购买份数配置详情
2. 展开默认数量选项</x:v>
      </x:c>
      <x:c r="K133" s="9" t="str">
        <x:v>默认数量可选项仅为 1 和 10</x:v>
      </x:c>
      <x:c r="L133" s="10" t="str"/>
      <x:c r="M133" s="10" t="str">
        <x:v>未测</x:v>
      </x:c>
      <x:c r="N133" s="10" t="str"/>
      <x:c r="O133" s="9" t="str">
        <x:v>1. 来源（当前证据）：liveshow-proto/MainBasis/统一需求文档.md；位置：第 2838 行；REQ-3ee94a2d1e4d、第 2841 行；REQ-03b9725085e3、第 2835 行
2. 规则：BR-40EF7D6BDF3E73
3. 未动态验证
4. 示例账号、编号、金额与日期是本条测试数据；执行前按前置条件准备，未填写的产品决策不得自行假定。</x:v>
      </x:c>
    </x:row>
    <x:row r="134" ht="160" customHeight="1">
      <x:c r="A134" s="10" t="n">
        <x:v>133</x:v>
      </x:c>
      <x:c r="B134" s="10" t="str">
        <x:v>ADMIN-0133</x:v>
      </x:c>
      <x:c r="C134" s="10" t="str">
        <x:v>礼物与道具</x:v>
      </x:c>
      <x:c r="D134" s="10" t="str">
        <x:v>购买份数配置详情（平台管理员）</x:v>
      </x:c>
      <x:c r="E134" s="10" t="str">
        <x:v>功能需求</x:v>
      </x:c>
      <x:c r="F134" s="10" t="str">
        <x:v>P2</x:v>
      </x:c>
      <x:c r="G134" s="9" t="str">
        <x:v>验证同一礼物不能关联两条启用份数规则</x:v>
      </x:c>
      <x:c r="H134" s="9" t="str">
        <x:v>启用规则冲突</x:v>
      </x:c>
      <x:c r="I134" s="9" t="str">
        <x:v>1. 平台管理员为本条执行者
2. 规则为新建，存在未被其他启用规则关联的普通礼物甲
3. 礼物甲已关联启用规则 R001</x:v>
      </x:c>
      <x:c r="J134" s="9" t="str">
        <x:v>1. 打开新建购买份数配置
2. 填写数量 1 和默认数量 1
3. 选择礼物甲
4. 启用规则
5. 点击保存</x:v>
      </x:c>
      <x:c r="K134" s="9" t="str">
        <x:v>第二条启用规则未保存</x:v>
      </x:c>
      <x:c r="L134" s="10" t="str"/>
      <x:c r="M134" s="10" t="str">
        <x:v>未测</x:v>
      </x:c>
      <x:c r="N134" s="10" t="str"/>
      <x:c r="O134" s="9" t="str">
        <x:v>1. 来源（当前证据）：liveshow-proto/MainBasis/统一需求文档.md；位置：第 2839 行；REQ-3057fbe733bd、第 2840 行；REQ-6cef4d52e3d1、第 2841 行；REQ-03b9725085e3、第 2835 行
2. 规则：BR-D8E768735CB269
3. 未动态验证
4. 示例账号、编号、金额与日期是本条测试数据；执行前按前置条件准备，未填写的产品决策不得自行假定。</x:v>
      </x:c>
    </x:row>
    <x:row r="135" ht="130" customHeight="1">
      <x:c r="A135" s="10" t="n">
        <x:v>134</x:v>
      </x:c>
      <x:c r="B135" s="10" t="str">
        <x:v>ADMIN-0134</x:v>
      </x:c>
      <x:c r="C135" s="10" t="str">
        <x:v>主播管理</x:v>
      </x:c>
      <x:c r="D135" s="10" t="str">
        <x:v>新建排班（平台管理员）</x:v>
      </x:c>
      <x:c r="E135" s="10" t="str">
        <x:v>功能需求</x:v>
      </x:c>
      <x:c r="F135" s="10" t="str">
        <x:v>P2</x:v>
      </x:c>
      <x:c r="G135" s="9" t="str">
        <x:v>验证巡房排班结束早于开始</x:v>
      </x:c>
      <x:c r="H135" s="9" t="str">
        <x:v>排班时间顺序</x:v>
      </x:c>
      <x:c r="I135" s="9" t="str">
        <x:v>1. 平台管理员为本条执行者
2. 当前日期为测试日 D，测试用户甲为可用账号；巡房时段初值为 D+1 日 10:00 至 11:00</x:v>
      </x:c>
      <x:c r="J135" s="9" t="str">
        <x:v>1. 打开新建排班
2. 选择日期 D+1
3. 输入开始时间 11:00
4. 输入结束时间 10:00
5. 选择测试用户甲
6. 点击保存</x:v>
      </x:c>
      <x:c r="K135" s="9" t="str">
        <x:v>巡房排班未保存</x:v>
      </x:c>
      <x:c r="L135" s="10" t="str"/>
      <x:c r="M135" s="10" t="str">
        <x:v>未测</x:v>
      </x:c>
      <x:c r="N135" s="10" t="str"/>
      <x:c r="O135" s="9" t="str">
        <x:v>1. 来源（当前证据）：liveshow-proto/MainBasis/统一需求文档.md；位置：第 2614 行；REQ-49c5a1e78883、第 2611 行
2. 规则：BR-0386B8A3DFFCEC
3. 未动态验证
4. 示例账号、编号、金额与日期是本条测试数据；执行前按前置条件准备，未填写的产品决策不得自行假定。</x:v>
      </x:c>
    </x:row>
    <x:row r="136" ht="130" customHeight="1">
      <x:c r="A136" s="10" t="n">
        <x:v>135</x:v>
      </x:c>
      <x:c r="B136" s="10" t="str">
        <x:v>ADMIN-0135</x:v>
      </x:c>
      <x:c r="C136" s="10" t="str">
        <x:v>主播管理</x:v>
      </x:c>
      <x:c r="D136" s="10" t="str">
        <x:v>新建排班（平台管理员）</x:v>
      </x:c>
      <x:c r="E136" s="10" t="str">
        <x:v>功能需求</x:v>
      </x:c>
      <x:c r="F136" s="10" t="str">
        <x:v>P2</x:v>
      </x:c>
      <x:c r="G136" s="9" t="str">
        <x:v>验证巡房排班起止相等</x:v>
      </x:c>
      <x:c r="H136" s="9" t="str">
        <x:v>排班时间顺序</x:v>
      </x:c>
      <x:c r="I136" s="9" t="str">
        <x:v>1. 平台管理员为本条执行者
2. 当前日期为测试日 D，测试用户甲为可用账号；巡房时段初值为 D+1 日 10:00 至 11:00</x:v>
      </x:c>
      <x:c r="J136" s="9" t="str">
        <x:v>1. 打开新建排班
2. 选择日期 D+1
3. 输入开始时间 10:00
4. 输入结束时间 10:00
5. 选择测试用户甲
6. 点击保存</x:v>
      </x:c>
      <x:c r="K136" s="9" t="str">
        <x:v>巡房排班未保存</x:v>
      </x:c>
      <x:c r="L136" s="10" t="str"/>
      <x:c r="M136" s="10" t="str">
        <x:v>未测</x:v>
      </x:c>
      <x:c r="N136" s="10" t="str"/>
      <x:c r="O136" s="9" t="str">
        <x:v>1. 来源（当前证据）：liveshow-proto/MainBasis/统一需求文档.md；位置：第 2614 行；REQ-49c5a1e78883、第 2611 行
2. 规则：BR-9C9CE83AA4FE13
3. 未动态验证
4. 示例账号、编号、金额与日期是本条测试数据；执行前按前置条件准备，未填写的产品决策不得自行假定。</x:v>
      </x:c>
    </x:row>
    <x:row r="137" ht="130" customHeight="1">
      <x:c r="A137" s="10" t="n">
        <x:v>136</x:v>
      </x:c>
      <x:c r="B137" s="10" t="str">
        <x:v>ADMIN-0136</x:v>
      </x:c>
      <x:c r="C137" s="10" t="str">
        <x:v>主播管理</x:v>
      </x:c>
      <x:c r="D137" s="10" t="str">
        <x:v>新建排班（平台管理员）</x:v>
      </x:c>
      <x:c r="E137" s="10" t="str">
        <x:v>功能需求</x:v>
      </x:c>
      <x:c r="F137" s="10" t="str">
        <x:v>P2</x:v>
      </x:c>
      <x:c r="G137" s="9" t="str">
        <x:v>验证巡房排班结束晚于开始</x:v>
      </x:c>
      <x:c r="H137" s="9" t="str">
        <x:v>排班时间顺序</x:v>
      </x:c>
      <x:c r="I137" s="9" t="str">
        <x:v>1. 平台管理员为本条执行者
2. 当前日期为测试日 D，测试用户甲为可用账号；巡房时段初值为 D+1 日 10:00 至 11:00</x:v>
      </x:c>
      <x:c r="J137" s="9" t="str">
        <x:v>1. 打开新建排班
2. 选择日期 D+1
3. 输入开始时间 10:00
4. 输入结束时间 11:00
5. 选择测试用户甲
6. 点击保存</x:v>
      </x:c>
      <x:c r="K137" s="9" t="str">
        <x:v>排班时段保存为 D+1 日 10:00 至 11:00</x:v>
      </x:c>
      <x:c r="L137" s="10" t="str"/>
      <x:c r="M137" s="10" t="str">
        <x:v>未测</x:v>
      </x:c>
      <x:c r="N137" s="10" t="str"/>
      <x:c r="O137" s="9" t="str">
        <x:v>1. 来源（当前证据）：liveshow-proto/MainBasis/统一需求文档.md；位置：第 2614 行；REQ-49c5a1e78883、第 2611 行
2. 规则：BR-873C84F401943B
3. 未动态验证
4. 示例账号、编号、金额与日期是本条测试数据；执行前按前置条件准备，未填写的产品决策不得自行假定。</x:v>
      </x:c>
    </x:row>
    <x:row r="138" ht="130" customHeight="1">
      <x:c r="A138" s="10" t="n">
        <x:v>137</x:v>
      </x:c>
      <x:c r="B138" s="10" t="str">
        <x:v>ADMIN-0137</x:v>
      </x:c>
      <x:c r="C138" s="10" t="str">
        <x:v>主播管理</x:v>
      </x:c>
      <x:c r="D138" s="10" t="str">
        <x:v>新建排班（平台管理员）</x:v>
      </x:c>
      <x:c r="E138" s="10" t="str">
        <x:v>功能需求</x:v>
      </x:c>
      <x:c r="F138" s="10" t="str">
        <x:v>P2</x:v>
      </x:c>
      <x:c r="G138" s="9" t="str">
        <x:v>验证排班日期为 D-1</x:v>
      </x:c>
      <x:c r="H138" s="9" t="str">
        <x:v>排班日期下界</x:v>
      </x:c>
      <x:c r="I138" s="9" t="str">
        <x:v>1. 平台管理员为本条执行者
2. 当前日期为测试日 D，测试用户甲为可用账号；巡房时段初值为 D+1 日 10:00 至 11:00</x:v>
      </x:c>
      <x:c r="J138" s="9" t="str">
        <x:v>1. 打开新建排班
2. 选择日期 D-1
3. 输入开始时间 10:00 和结束时间 11:00
4. 选择测试用户甲
5. 点击保存</x:v>
      </x:c>
      <x:c r="K138" s="9" t="str">
        <x:v>巡房排班未保存</x:v>
      </x:c>
      <x:c r="L138" s="10" t="str"/>
      <x:c r="M138" s="10" t="str">
        <x:v>未测</x:v>
      </x:c>
      <x:c r="N138" s="10" t="str"/>
      <x:c r="O138" s="9" t="str">
        <x:v>1. 来源（当前证据）：liveshow-proto/MainBasis/统一需求文档.md；位置：第 2613 行；REQ-ed1bff64f18c、第 2611 行
2. 规则：BR-DC067FC50E4B29
3. 未动态验证
4. 示例账号、编号、金额与日期是本条测试数据；执行前按前置条件准备，未填写的产品决策不得自行假定。</x:v>
      </x:c>
    </x:row>
    <x:row r="139" ht="130" customHeight="1">
      <x:c r="A139" s="10" t="n">
        <x:v>138</x:v>
      </x:c>
      <x:c r="B139" s="10" t="str">
        <x:v>ADMIN-0138</x:v>
      </x:c>
      <x:c r="C139" s="10" t="str">
        <x:v>主播管理</x:v>
      </x:c>
      <x:c r="D139" s="10" t="str">
        <x:v>新建排班（平台管理员）</x:v>
      </x:c>
      <x:c r="E139" s="10" t="str">
        <x:v>功能需求</x:v>
      </x:c>
      <x:c r="F139" s="10" t="str">
        <x:v>P2</x:v>
      </x:c>
      <x:c r="G139" s="9" t="str">
        <x:v>验证排班日期为 D</x:v>
      </x:c>
      <x:c r="H139" s="9" t="str">
        <x:v>排班日期下界</x:v>
      </x:c>
      <x:c r="I139" s="9" t="str">
        <x:v>1. 平台管理员为本条执行者
2. 当前日期为测试日 D，测试用户甲为可用账号；巡房时段初值为 D+1 日 10:00 至 11:00</x:v>
      </x:c>
      <x:c r="J139" s="9" t="str">
        <x:v>1. 打开新建排班
2. 选择日期 D
3. 输入开始时间 10:00 和结束时间 11:00
4. 选择测试用户甲
5. 点击保存</x:v>
      </x:c>
      <x:c r="K139" s="9" t="str">
        <x:v>排班日期保存为 D</x:v>
      </x:c>
      <x:c r="L139" s="10" t="str"/>
      <x:c r="M139" s="10" t="str">
        <x:v>未测</x:v>
      </x:c>
      <x:c r="N139" s="10" t="str"/>
      <x:c r="O139" s="9" t="str">
        <x:v>1. 来源（当前证据）：liveshow-proto/MainBasis/统一需求文档.md；位置：第 2613 行；REQ-ed1bff64f18c、第 2611 行
2. 规则：BR-C1615131F3A624
3. 未动态验证
4. 示例账号、编号、金额与日期是本条测试数据；执行前按前置条件准备，未填写的产品决策不得自行假定。</x:v>
      </x:c>
    </x:row>
    <x:row r="140" ht="130" customHeight="1">
      <x:c r="A140" s="10" t="n">
        <x:v>139</x:v>
      </x:c>
      <x:c r="B140" s="10" t="str">
        <x:v>ADMIN-0139</x:v>
      </x:c>
      <x:c r="C140" s="10" t="str">
        <x:v>主播管理</x:v>
      </x:c>
      <x:c r="D140" s="10" t="str">
        <x:v>新建排班（平台管理员）</x:v>
      </x:c>
      <x:c r="E140" s="10" t="str">
        <x:v>功能需求</x:v>
      </x:c>
      <x:c r="F140" s="10" t="str">
        <x:v>P2</x:v>
      </x:c>
      <x:c r="G140" s="9" t="str">
        <x:v>验证排班日期为 D+1</x:v>
      </x:c>
      <x:c r="H140" s="9" t="str">
        <x:v>排班日期下界</x:v>
      </x:c>
      <x:c r="I140" s="9" t="str">
        <x:v>1. 平台管理员为本条执行者
2. 当前日期为测试日 D，测试用户甲为可用账号；巡房时段初值为 D+1 日 10:00 至 11:00</x:v>
      </x:c>
      <x:c r="J140" s="9" t="str">
        <x:v>1. 打开新建排班
2. 选择日期 D+1
3. 输入开始时间 10:00 和结束时间 11:00
4. 选择测试用户甲
5. 点击保存</x:v>
      </x:c>
      <x:c r="K140" s="9" t="str">
        <x:v>排班日期保存为 D+1</x:v>
      </x:c>
      <x:c r="L140" s="10" t="str"/>
      <x:c r="M140" s="10" t="str">
        <x:v>未测</x:v>
      </x:c>
      <x:c r="N140" s="10" t="str"/>
      <x:c r="O140" s="9" t="str">
        <x:v>1. 来源（当前证据）：liveshow-proto/MainBasis/统一需求文档.md；位置：第 2613 行；REQ-ed1bff64f18c、第 2611 行
2. 规则：BR-8E8B1C744B5AB9
3. 未动态验证
4. 示例账号、编号、金额与日期是本条测试数据；执行前按前置条件准备，未填写的产品决策不得自行假定。</x:v>
      </x:c>
    </x:row>
    <x:row r="141" ht="145" customHeight="1">
      <x:c r="A141" s="10" t="n">
        <x:v>140</x:v>
      </x:c>
      <x:c r="B141" s="10" t="str">
        <x:v>ADMIN-0140</x:v>
      </x:c>
      <x:c r="C141" s="10" t="str">
        <x:v>主播管理</x:v>
      </x:c>
      <x:c r="D141" s="10" t="str">
        <x:v>新建排班（平台管理员）</x:v>
      </x:c>
      <x:c r="E141" s="10" t="str">
        <x:v>功能需求</x:v>
      </x:c>
      <x:c r="F141" s="10" t="str">
        <x:v>P2</x:v>
      </x:c>
      <x:c r="G141" s="9" t="str">
        <x:v>验证排班至少需要一名巡房人员</x:v>
      </x:c>
      <x:c r="H141" s="9" t="str">
        <x:v>巡房人员最小数量</x:v>
      </x:c>
      <x:c r="I141" s="9" t="str">
        <x:v>1. 平台管理员为本条执行者
2. 当前日期为测试日 D，测试用户甲为可用账号；巡房时段初值为 D+1 日 10:00 至 11:00</x:v>
      </x:c>
      <x:c r="J141" s="9" t="str">
        <x:v>1. 打开新建排班
2. 取消勾选所有巡房人员
3. 点击保存</x:v>
      </x:c>
      <x:c r="K141" s="9" t="str">
        <x:v>巡房排班未保存</x:v>
      </x:c>
      <x:c r="L141" s="10" t="str"/>
      <x:c r="M141" s="10" t="str">
        <x:v>未测</x:v>
      </x:c>
      <x:c r="N141" s="10" t="str"/>
      <x:c r="O141" s="9" t="str">
        <x:v>1. 来源（当前证据）：liveshow-proto/MainBasis/统一需求文档.md；位置：第 2615 行；REQ-0cbc02cfb192、第 2616 行；REQ-fc715d67b481、第 2611 行
2. 规则：BR-E93559F2A2D1B8
3. 未动态验证
4. 示例账号、编号、金额与日期是本条测试数据；执行前按前置条件准备，未填写的产品决策不得自行假定。</x:v>
      </x:c>
    </x:row>
    <x:row r="142" ht="145" customHeight="1">
      <x:c r="A142" s="10" t="n">
        <x:v>141</x:v>
      </x:c>
      <x:c r="B142" s="10" t="str">
        <x:v>ADMIN-0141</x:v>
      </x:c>
      <x:c r="C142" s="10" t="str">
        <x:v>主播管理</x:v>
      </x:c>
      <x:c r="D142" s="10" t="str">
        <x:v>新建排班（平台管理员）</x:v>
      </x:c>
      <x:c r="E142" s="10" t="str">
        <x:v>功能需求</x:v>
      </x:c>
      <x:c r="F142" s="10" t="str">
        <x:v>P2</x:v>
      </x:c>
      <x:c r="G142" s="9" t="str">
        <x:v>验证巡房人员列表不能重复选择同一账号</x:v>
      </x:c>
      <x:c r="H142" s="9" t="str">
        <x:v>巡房人员去重</x:v>
      </x:c>
      <x:c r="I142" s="9" t="str">
        <x:v>1. 平台管理员为本条执行者
2. 当前日期为测试日 D，测试用户甲为可用账号；巡房时段初值为 D+1 日 10:00 至 11:00</x:v>
      </x:c>
      <x:c r="J142" s="9" t="str">
        <x:v>1. 打开新建排班
2. 选择测试用户甲
3. 再次选择测试用户甲</x:v>
      </x:c>
      <x:c r="K142" s="9" t="str">
        <x:v>已选人员中测试用户甲只出现一次</x:v>
      </x:c>
      <x:c r="L142" s="10" t="str"/>
      <x:c r="M142" s="10" t="str">
        <x:v>未测</x:v>
      </x:c>
      <x:c r="N142" s="10" t="str"/>
      <x:c r="O142" s="9" t="str">
        <x:v>1. 来源（当前证据）：liveshow-proto/MainBasis/统一需求文档.md；位置：第 2615 行；REQ-0cbc02cfb192、第 2616 行；REQ-fc715d67b481、第 2611 行
2. 规则：BR-691AC3698104B0
3. 未动态验证
4. 示例账号、编号、金额与日期是本条测试数据；执行前按前置条件准备，未填写的产品决策不得自行假定。</x:v>
      </x:c>
    </x:row>
    <x:row r="143" ht="175" customHeight="1">
      <x:c r="A143" s="10" t="n">
        <x:v>142</x:v>
      </x:c>
      <x:c r="B143" s="10" t="str">
        <x:v>ADMIN-0142</x:v>
      </x:c>
      <x:c r="C143" s="10" t="str">
        <x:v>订单管理</x:v>
      </x:c>
      <x:c r="D143" s="10" t="str">
        <x:v>充值订单（财务管理员）</x:v>
      </x:c>
      <x:c r="E143" s="10" t="str">
        <x:v>功能需求</x:v>
      </x:c>
      <x:c r="F143" s="10" t="str">
        <x:v>P1</x:v>
      </x:c>
      <x:c r="G143" s="9" t="str">
        <x:v>验证成功充值订单可在后台查询</x:v>
      </x:c>
      <x:c r="H143" s="9" t="str">
        <x:v>充值订单状态</x:v>
      </x:c>
      <x:c r="I143" s="9" t="str">
        <x:v>1. 财务管理员为本条执行者
2. 充值订单 C001 属于用户甲，实际支付 1.50 USD，到账 120 金币，状态支付成功</x:v>
      </x:c>
      <x:c r="J143" s="9" t="str">
        <x:v>1. 打开充值订单
2. 查询订单号 C001</x:v>
      </x:c>
      <x:c r="K143" s="9" t="str">
        <x:v>订单 C001 显示支付成功</x:v>
      </x:c>
      <x:c r="L143" s="10" t="str">
        <x:v>FLOW-2BA2481A</x:v>
      </x:c>
      <x:c r="M143" s="10" t="str">
        <x:v>未测</x:v>
      </x:c>
      <x:c r="N143" s="10" t="str"/>
      <x:c r="O143" s="9" t="str">
        <x:v>1. 来源（当前证据）：liveshow-proto/MainBasis/统一需求文档.md；位置：第 3033 行；REQ-7c224188f2bc、第 3034 行；REQ-3d354bb90a70、第 3037 行；REQ-fa8bd96b4052、第 3038 行；REQ-63c70e1efb57、第 3039 行；REQ-84cfed3bdffd、第 3031 行
2. 规则：BR-115DA6A445A0A1
3. 未动态验证
4. 示例账号、编号、金额与日期是本条测试数据；执行前按前置条件准备，未填写的产品决策不得自行假定。</x:v>
      </x:c>
    </x:row>
    <x:row r="144" ht="160" customHeight="1">
      <x:c r="A144" s="10" t="n">
        <x:v>143</x:v>
      </x:c>
      <x:c r="B144" s="10" t="str">
        <x:v>ADMIN-0143</x:v>
      </x:c>
      <x:c r="C144" s="10" t="str">
        <x:v>订单管理</x:v>
      </x:c>
      <x:c r="D144" s="10" t="str">
        <x:v>充值订单详情（财务管理员）</x:v>
      </x:c>
      <x:c r="E144" s="10" t="str">
        <x:v>功能需求</x:v>
      </x:c>
      <x:c r="F144" s="10" t="str">
        <x:v>P1</x:v>
      </x:c>
      <x:c r="G144" s="9" t="str">
        <x:v>验证充值订单仅能整单全额退款</x:v>
      </x:c>
      <x:c r="H144" s="9" t="str">
        <x:v>整单退款金额</x:v>
      </x:c>
      <x:c r="I144" s="9" t="str">
        <x:v>1. 财务管理员为本条执行者
2. 订单 C001 已成功支付 1.50 USD，基础金币 100、赠送金币 20，尚未退款</x:v>
      </x:c>
      <x:c r="J144" s="9" t="str">
        <x:v>1. 打开充值订单 C001 详情
2. 点击退款
3. 输入原因“测试全额退款”
4. 确认退款</x:v>
      </x:c>
      <x:c r="K144" s="9" t="str">
        <x:v>退款金额为 1.50 USD</x:v>
      </x:c>
      <x:c r="L144" s="10" t="str">
        <x:v>FLOW-2815AFE9</x:v>
      </x:c>
      <x:c r="M144" s="10" t="str">
        <x:v>未测</x:v>
      </x:c>
      <x:c r="N144" s="10" t="str"/>
      <x:c r="O144" s="9" t="str">
        <x:v>1. 来源（当前证据）：liveshow-proto/MainBasis/统一需求文档.md；位置：第 3048 行；REQ-8e7aa87b5d95、第 3049 行；REQ-1f829f8940ff、第 3054 行；REQ-0e5199b07a9f、第 3043 行
2. 规则：BR-3FD2881797AF35
3. 未动态验证
4. 示例账号、编号、金额与日期是本条测试数据；执行前按前置条件准备，未填写的产品决策不得自行假定。</x:v>
      </x:c>
    </x:row>
    <x:row r="145" ht="160" customHeight="1">
      <x:c r="A145" s="10" t="n">
        <x:v>144</x:v>
      </x:c>
      <x:c r="B145" s="10" t="str">
        <x:v>ADMIN-0144</x:v>
      </x:c>
      <x:c r="C145" s="10" t="str">
        <x:v>订单管理</x:v>
      </x:c>
      <x:c r="D145" s="10" t="str">
        <x:v>充值订单详情（财务管理员）</x:v>
      </x:c>
      <x:c r="E145" s="10" t="str">
        <x:v>功能需求</x:v>
      </x:c>
      <x:c r="F145" s="10" t="str">
        <x:v>P1</x:v>
      </x:c>
      <x:c r="G145" s="9" t="str">
        <x:v>验证充值订单仅能整单全额退款</x:v>
      </x:c>
      <x:c r="H145" s="9" t="str">
        <x:v>扣回金币</x:v>
      </x:c>
      <x:c r="I145" s="9" t="str">
        <x:v>1. 财务管理员为本条执行者
2. 订单 C001 已成功支付 1.50 USD，基础金币 100、赠送金币 20，尚未退款</x:v>
      </x:c>
      <x:c r="J145" s="9" t="str">
        <x:v>1. 打开充值订单 C001 详情
2. 点击退款
3. 输入原因“测试全额退款”
4. 确认退款</x:v>
      </x:c>
      <x:c r="K145" s="9" t="str">
        <x:v>扣回金币 = 120 金币</x:v>
      </x:c>
      <x:c r="L145" s="10" t="str">
        <x:v>FLOW-2815AFE9</x:v>
      </x:c>
      <x:c r="M145" s="10" t="str">
        <x:v>未测</x:v>
      </x:c>
      <x:c r="N145" s="10" t="str"/>
      <x:c r="O145" s="9" t="str">
        <x:v>1. 来源（当前证据）：liveshow-proto/MainBasis/统一需求文档.md；位置：第 3048 行；REQ-8e7aa87b5d95、第 3049 行；REQ-1f829f8940ff、第 3054 行；REQ-0e5199b07a9f、第 3043 行
2. 规则：BR-5E5AA4AD88502A
3. 未动态验证
4. 示例账号、编号、金额与日期是本条测试数据；执行前按前置条件准备，未填写的产品决策不得自行假定。</x:v>
      </x:c>
    </x:row>
    <x:row r="146" ht="130" customHeight="1">
      <x:c r="A146" s="10" t="n">
        <x:v>145</x:v>
      </x:c>
      <x:c r="B146" s="10" t="str">
        <x:v>ADMIN-0145</x:v>
      </x:c>
      <x:c r="C146" s="10" t="str">
        <x:v>订单管理</x:v>
      </x:c>
      <x:c r="D146" s="10" t="str">
        <x:v>消费订单详情（财务管理员）</x:v>
      </x:c>
      <x:c r="E146" s="10" t="str">
        <x:v>功能需求</x:v>
      </x:c>
      <x:c r="F146" s="10" t="str">
        <x:v>P2</x:v>
      </x:c>
      <x:c r="G146" s="9" t="str">
        <x:v>验证普通礼物订单的主播收益</x:v>
      </x:c>
      <x:c r="H146" s="9" t="str">
        <x:v>主播收益</x:v>
      </x:c>
      <x:c r="I146" s="9" t="str">
        <x:v>1. 财务管理员为本条执行者
2. 订单 E001 属于本场主播甲，用户甲成功购买单价 100 金币的商品 3 件，幸运礼物返奖合计 50 金币，幸运收益配置为 1%
3. E001 商品类型为普通礼物</x:v>
      </x:c>
      <x:c r="J146" s="9" t="str">
        <x:v>1. 打开消费订单 E001 详情
2. 查看主播收益</x:v>
      </x:c>
      <x:c r="K146" s="9" t="str">
        <x:v>主播收益 = 300 金币</x:v>
      </x:c>
      <x:c r="L146" s="10" t="str"/>
      <x:c r="M146" s="10" t="str">
        <x:v>未测</x:v>
      </x:c>
      <x:c r="N146" s="10" t="str"/>
      <x:c r="O146" s="9" t="str">
        <x:v>1. 来源（当前证据）：liveshow-proto/MainBasis/统一需求文档.md；位置：第 3076 行；REQ-8c5a8dc8cf15、第 3070 行
2. 规则：BR-DEDC19EA191988
3. 未动态验证
4. 示例账号、编号、金额与日期是本条测试数据；执行前按前置条件准备，未填写的产品决策不得自行假定。</x:v>
      </x:c>
    </x:row>
    <x:row r="147" ht="130" customHeight="1">
      <x:c r="A147" s="10" t="n">
        <x:v>146</x:v>
      </x:c>
      <x:c r="B147" s="10" t="str">
        <x:v>ADMIN-0146</x:v>
      </x:c>
      <x:c r="C147" s="10" t="str">
        <x:v>订单管理</x:v>
      </x:c>
      <x:c r="D147" s="10" t="str">
        <x:v>消费订单详情（财务管理员）</x:v>
      </x:c>
      <x:c r="E147" s="10" t="str">
        <x:v>功能需求</x:v>
      </x:c>
      <x:c r="F147" s="10" t="str">
        <x:v>P2</x:v>
      </x:c>
      <x:c r="G147" s="9" t="str">
        <x:v>验证定制礼物订单的主播收益</x:v>
      </x:c>
      <x:c r="H147" s="9" t="str">
        <x:v>主播收益</x:v>
      </x:c>
      <x:c r="I147" s="9" t="str">
        <x:v>1. 财务管理员为本条执行者
2. 订单 E001 属于本场主播甲，用户甲成功购买单价 100 金币的商品 3 件，幸运礼物返奖合计 50 金币，幸运收益配置为 1%
3. E001 商品类型为定制礼物</x:v>
      </x:c>
      <x:c r="J147" s="9" t="str">
        <x:v>1. 打开消费订单 E001 详情
2. 查看主播收益</x:v>
      </x:c>
      <x:c r="K147" s="9" t="str">
        <x:v>主播收益 = 300 金币</x:v>
      </x:c>
      <x:c r="L147" s="10" t="str"/>
      <x:c r="M147" s="10" t="str">
        <x:v>未测</x:v>
      </x:c>
      <x:c r="N147" s="10" t="str"/>
      <x:c r="O147" s="9" t="str">
        <x:v>1. 来源（当前证据）：liveshow-proto/MainBasis/统一需求文档.md；位置：第 3076 行；REQ-8c5a8dc8cf15、第 3070 行
2. 规则：BR-3468356FA7E15D
3. 未动态验证
4. 示例账号、编号、金额与日期是本条测试数据；执行前按前置条件准备，未填写的产品决策不得自行假定。</x:v>
      </x:c>
    </x:row>
    <x:row r="148" ht="130" customHeight="1">
      <x:c r="A148" s="10" t="n">
        <x:v>147</x:v>
      </x:c>
      <x:c r="B148" s="10" t="str">
        <x:v>ADMIN-0147</x:v>
      </x:c>
      <x:c r="C148" s="10" t="str">
        <x:v>订单管理</x:v>
      </x:c>
      <x:c r="D148" s="10" t="str">
        <x:v>消费订单详情（财务管理员）</x:v>
      </x:c>
      <x:c r="E148" s="10" t="str">
        <x:v>功能需求</x:v>
      </x:c>
      <x:c r="F148" s="10" t="str">
        <x:v>P2</x:v>
      </x:c>
      <x:c r="G148" s="9" t="str">
        <x:v>验证幸运礼物订单的主播收益</x:v>
      </x:c>
      <x:c r="H148" s="9" t="str">
        <x:v>主播收益</x:v>
      </x:c>
      <x:c r="I148" s="9" t="str">
        <x:v>1. 财务管理员为本条执行者
2. 订单 E001 属于本场主播甲，用户甲成功购买单价 100 金币的商品 3 件，幸运礼物返奖合计 50 金币，幸运收益配置为 1%
3. E001 商品类型为幸运礼物</x:v>
      </x:c>
      <x:c r="J148" s="9" t="str">
        <x:v>1. 打开消费订单 E001 详情
2. 查看主播收益</x:v>
      </x:c>
      <x:c r="K148" s="9" t="str">
        <x:v>主播收益 = 3 金币</x:v>
      </x:c>
      <x:c r="L148" s="10" t="str"/>
      <x:c r="M148" s="10" t="str">
        <x:v>未测</x:v>
      </x:c>
      <x:c r="N148" s="10" t="str"/>
      <x:c r="O148" s="9" t="str">
        <x:v>1. 来源（当前证据）：liveshow-proto/MainBasis/统一需求文档.md；位置：第 3076 行；REQ-8c5a8dc8cf15、第 3070 行
2. 规则：BR-6D20EBEBCF9D70
3. 未动态验证
4. 示例账号、编号、金额与日期是本条测试数据；执行前按前置条件准备，未填写的产品决策不得自行假定。</x:v>
      </x:c>
    </x:row>
    <x:row r="149" ht="130" customHeight="1">
      <x:c r="A149" s="10" t="n">
        <x:v>148</x:v>
      </x:c>
      <x:c r="B149" s="10" t="str">
        <x:v>ADMIN-0148</x:v>
      </x:c>
      <x:c r="C149" s="10" t="str">
        <x:v>订单管理</x:v>
      </x:c>
      <x:c r="D149" s="10" t="str">
        <x:v>消费订单详情（财务管理员）</x:v>
      </x:c>
      <x:c r="E149" s="10" t="str">
        <x:v>功能需求</x:v>
      </x:c>
      <x:c r="F149" s="10" t="str">
        <x:v>P2</x:v>
      </x:c>
      <x:c r="G149" s="9" t="str">
        <x:v>验证门票订单的主播收益</x:v>
      </x:c>
      <x:c r="H149" s="9" t="str">
        <x:v>主播收益</x:v>
      </x:c>
      <x:c r="I149" s="9" t="str">
        <x:v>1. 财务管理员为本条执行者
2. 订单 E001 属于本场主播甲，用户甲成功购买单价 100 金币的门票 1 张，无礼物返奖
3. E001 商品类型为门票</x:v>
      </x:c>
      <x:c r="J149" s="9" t="str">
        <x:v>1. 打开消费订单 E001 详情
2. 查看主播收益</x:v>
      </x:c>
      <x:c r="K149" s="9" t="str">
        <x:v>主播收益 = 100 金币</x:v>
      </x:c>
      <x:c r="L149" s="10" t="str"/>
      <x:c r="M149" s="10" t="str">
        <x:v>未测</x:v>
      </x:c>
      <x:c r="N149" s="10" t="str"/>
      <x:c r="O149" s="9" t="str">
        <x:v>1. 来源（当前证据）：liveshow-proto/MainBasis/统一需求文档.md；位置：第 3076 行；REQ-8c5a8dc8cf15、第 3070 行
2. 规则：BR-95EC931EE9C342
3. 未动态验证
4. 示例账号、编号、金额与日期是本条测试数据；执行前按前置条件准备，未填写的产品决策不得自行假定。</x:v>
      </x:c>
    </x:row>
    <x:row r="150" ht="175" customHeight="1">
      <x:c r="A150" s="10" t="n">
        <x:v>149</x:v>
      </x:c>
      <x:c r="B150" s="10" t="str">
        <x:v>ADMIN-0149</x:v>
      </x:c>
      <x:c r="C150" s="10" t="str">
        <x:v>订单管理</x:v>
      </x:c>
      <x:c r="D150" s="10" t="str">
        <x:v>消费订单详情（财务管理员）</x:v>
      </x:c>
      <x:c r="E150" s="10" t="str">
        <x:v>功能需求</x:v>
      </x:c>
      <x:c r="F150" s="10" t="str">
        <x:v>P2</x:v>
      </x:c>
      <x:c r="G150" s="9" t="str">
        <x:v>验证幸运礼物净消耗扣除返奖</x:v>
      </x:c>
      <x:c r="H150" s="9" t="str">
        <x:v>用户净消耗</x:v>
      </x:c>
      <x:c r="I150" s="9" t="str">
        <x:v>1. 财务管理员为本条执行者
2. 订单 E001 属于本场主播甲，用户甲成功购买单价 100 金币的商品 3 件，幸运礼物返奖合计 50 金币，幸运收益配置为 1%
3. E001 为幸运礼物订单</x:v>
      </x:c>
      <x:c r="J150" s="9" t="str">
        <x:v>1. 打开消费订单 E001 详情
2. 查看用户净消耗</x:v>
      </x:c>
      <x:c r="K150" s="9" t="str">
        <x:v>用户净消耗 = 250 金币</x:v>
      </x:c>
      <x:c r="L150" s="10" t="str"/>
      <x:c r="M150" s="10" t="str">
        <x:v>未测</x:v>
      </x:c>
      <x:c r="N150" s="10" t="str"/>
      <x:c r="O150" s="9" t="str">
        <x:v>1. 来源（当前证据）：liveshow-proto/MainBasis/统一需求文档.md；位置：第 3072 行；REQ-9f3617171eac、第 3073 行；REQ-32cfa21e1600、第 3075 行；REQ-e665eb3315b7、第 3076 行；REQ-8c5a8dc8cf15、第 3070 行
2. 规则：BR-1AA560119EB904
3. 未动态验证
4. 示例账号、编号、金额与日期是本条测试数据；执行前按前置条件准备，未填写的产品决策不得自行假定。</x:v>
      </x:c>
    </x:row>
    <x:row r="151" ht="175" customHeight="1">
      <x:c r="A151" s="10" t="n">
        <x:v>150</x:v>
      </x:c>
      <x:c r="B151" s="10" t="str">
        <x:v>ADMIN-0150</x:v>
      </x:c>
      <x:c r="C151" s="10" t="str">
        <x:v>财务结算</x:v>
      </x:c>
      <x:c r="D151" s="10" t="str">
        <x:v>主播分成记录（财务管理员）</x:v>
      </x:c>
      <x:c r="E151" s="10" t="str">
        <x:v>功能需求</x:v>
      </x:c>
      <x:c r="F151" s="10" t="str">
        <x:v>P2</x:v>
      </x:c>
      <x:c r="G151" s="9" t="str">
        <x:v>验证主播分成上传 XLSX 模板</x:v>
      </x:c>
      <x:c r="H151" s="9" t="str">
        <x:v>导入预览人数</x:v>
      </x:c>
      <x:c r="I151" s="9" t="str">
        <x:v>1. 财务管理员为本条执行者
2. 财务已在线下核算；依当前模板准备主播甲 10.25 USD、主播乙 20.75 USD 两行，标识均存在且无重复，分成备注“测试九月批次”</x:v>
      </x:c>
      <x:c r="J151" s="9" t="str">
        <x:v>1. 打开主播分成记录
2. 上传对应 XLSX 测试文件</x:v>
      </x:c>
      <x:c r="K151" s="9" t="str">
        <x:v>预览主播数量为 2</x:v>
      </x:c>
      <x:c r="L151" s="10" t="str">
        <x:v>FLOW-7B38EAA6</x:v>
      </x:c>
      <x:c r="M151" s="10" t="str">
        <x:v>未测</x:v>
      </x:c>
      <x:c r="N151" s="10" t="str"/>
      <x:c r="O151" s="9" t="str">
        <x:v>1. 来源（当前证据）：liveshow-proto/MainBasis/统一需求文档.md；位置：第 3097 行；REQ-92a253300dd8、第 3098 行；REQ-57c739cc7c3d、第 3099 行；REQ-1d5441b4366c、第 3103 行；REQ-10841cd8ff25、第 3094 行
2. 规则：BR-E879CC76B0EA3D
3. 未动态验证
4. 示例账号、编号、金额与日期是本条测试数据；执行前按前置条件准备，未填写的产品决策不得自行假定。</x:v>
      </x:c>
    </x:row>
    <x:row r="152" ht="175" customHeight="1">
      <x:c r="A152" s="10" t="n">
        <x:v>151</x:v>
      </x:c>
      <x:c r="B152" s="10" t="str">
        <x:v>ADMIN-0151</x:v>
      </x:c>
      <x:c r="C152" s="10" t="str">
        <x:v>财务结算</x:v>
      </x:c>
      <x:c r="D152" s="10" t="str">
        <x:v>主播分成记录（财务管理员）</x:v>
      </x:c>
      <x:c r="E152" s="10" t="str">
        <x:v>功能需求</x:v>
      </x:c>
      <x:c r="F152" s="10" t="str">
        <x:v>P2</x:v>
      </x:c>
      <x:c r="G152" s="9" t="str">
        <x:v>验证主播分成上传 XLSX 模板</x:v>
      </x:c>
      <x:c r="H152" s="9" t="str">
        <x:v>预览分成总金额</x:v>
      </x:c>
      <x:c r="I152" s="9" t="str">
        <x:v>1. 财务管理员为本条执行者
2. 财务已在线下核算；依当前模板准备主播甲 10.25 USD、主播乙 20.75 USD 两行，标识均存在且无重复，分成备注“测试九月批次”</x:v>
      </x:c>
      <x:c r="J152" s="9" t="str">
        <x:v>1. 打开主播分成记录
2. 上传对应 XLSX 测试文件</x:v>
      </x:c>
      <x:c r="K152" s="9" t="str">
        <x:v>预览分成总金额 = 31 USD</x:v>
      </x:c>
      <x:c r="L152" s="10" t="str">
        <x:v>FLOW-7B38EAA6</x:v>
      </x:c>
      <x:c r="M152" s="10" t="str">
        <x:v>未测</x:v>
      </x:c>
      <x:c r="N152" s="10" t="str"/>
      <x:c r="O152" s="9" t="str">
        <x:v>1. 来源（当前证据）：liveshow-proto/MainBasis/统一需求文档.md；位置：第 3097 行；REQ-92a253300dd8、第 3098 行；REQ-57c739cc7c3d、第 3099 行；REQ-1d5441b4366c、第 3103 行；REQ-10841cd8ff25、第 3094 行
2. 规则：BR-3B5E125E523268
3. 未动态验证
4. 示例账号、编号、金额与日期是本条测试数据；执行前按前置条件准备，未填写的产品决策不得自行假定。</x:v>
      </x:c>
    </x:row>
    <x:row r="153" ht="175" customHeight="1">
      <x:c r="A153" s="10" t="n">
        <x:v>152</x:v>
      </x:c>
      <x:c r="B153" s="10" t="str">
        <x:v>ADMIN-0152</x:v>
      </x:c>
      <x:c r="C153" s="10" t="str">
        <x:v>财务结算</x:v>
      </x:c>
      <x:c r="D153" s="10" t="str">
        <x:v>主播分成记录（财务管理员）</x:v>
      </x:c>
      <x:c r="E153" s="10" t="str">
        <x:v>功能需求</x:v>
      </x:c>
      <x:c r="F153" s="10" t="str">
        <x:v>P2</x:v>
      </x:c>
      <x:c r="G153" s="9" t="str">
        <x:v>验证主播分成上传 XLS 模板</x:v>
      </x:c>
      <x:c r="H153" s="9" t="str">
        <x:v>导入预览人数</x:v>
      </x:c>
      <x:c r="I153" s="9" t="str">
        <x:v>1. 财务管理员为本条执行者
2. 财务已在线下核算；依当前模板准备主播甲 10.25 USD、主播乙 20.75 USD 两行，标识均存在且无重复，分成备注“测试九月批次”</x:v>
      </x:c>
      <x:c r="J153" s="9" t="str">
        <x:v>1. 打开主播分成记录
2. 上传对应 XLS 测试文件</x:v>
      </x:c>
      <x:c r="K153" s="9" t="str">
        <x:v>预览主播数量为 2</x:v>
      </x:c>
      <x:c r="L153" s="10" t="str">
        <x:v>FLOW-7B38EAA6</x:v>
      </x:c>
      <x:c r="M153" s="10" t="str">
        <x:v>未测</x:v>
      </x:c>
      <x:c r="N153" s="10" t="str"/>
      <x:c r="O153" s="9" t="str">
        <x:v>1. 来源（当前证据）：liveshow-proto/MainBasis/统一需求文档.md；位置：第 3097 行；REQ-92a253300dd8、第 3098 行；REQ-57c739cc7c3d、第 3099 行；REQ-1d5441b4366c、第 3103 行；REQ-10841cd8ff25、第 3094 行
2. 规则：BR-4211D9353A5340
3. 未动态验证
4. 示例账号、编号、金额与日期是本条测试数据；执行前按前置条件准备，未填写的产品决策不得自行假定。</x:v>
      </x:c>
    </x:row>
    <x:row r="154" ht="175" customHeight="1">
      <x:c r="A154" s="10" t="n">
        <x:v>153</x:v>
      </x:c>
      <x:c r="B154" s="10" t="str">
        <x:v>ADMIN-0153</x:v>
      </x:c>
      <x:c r="C154" s="10" t="str">
        <x:v>财务结算</x:v>
      </x:c>
      <x:c r="D154" s="10" t="str">
        <x:v>主播分成记录（财务管理员）</x:v>
      </x:c>
      <x:c r="E154" s="10" t="str">
        <x:v>功能需求</x:v>
      </x:c>
      <x:c r="F154" s="10" t="str">
        <x:v>P2</x:v>
      </x:c>
      <x:c r="G154" s="9" t="str">
        <x:v>验证主播分成上传 XLS 模板</x:v>
      </x:c>
      <x:c r="H154" s="9" t="str">
        <x:v>预览分成总金额</x:v>
      </x:c>
      <x:c r="I154" s="9" t="str">
        <x:v>1. 财务管理员为本条执行者
2. 财务已在线下核算；依当前模板准备主播甲 10.25 USD、主播乙 20.75 USD 两行，标识均存在且无重复，分成备注“测试九月批次”</x:v>
      </x:c>
      <x:c r="J154" s="9" t="str">
        <x:v>1. 打开主播分成记录
2. 上传对应 XLS 测试文件</x:v>
      </x:c>
      <x:c r="K154" s="9" t="str">
        <x:v>预览分成总金额 = 31 USD</x:v>
      </x:c>
      <x:c r="L154" s="10" t="str">
        <x:v>FLOW-7B38EAA6</x:v>
      </x:c>
      <x:c r="M154" s="10" t="str">
        <x:v>未测</x:v>
      </x:c>
      <x:c r="N154" s="10" t="str"/>
      <x:c r="O154" s="9" t="str">
        <x:v>1. 来源（当前证据）：liveshow-proto/MainBasis/统一需求文档.md；位置：第 3097 行；REQ-92a253300dd8、第 3098 行；REQ-57c739cc7c3d、第 3099 行；REQ-1d5441b4366c、第 3103 行；REQ-10841cd8ff25、第 3094 行
2. 规则：BR-C4F0A9B332FAF3
3. 未动态验证
4. 示例账号、编号、金额与日期是本条测试数据；执行前按前置条件准备，未填写的产品决策不得自行假定。</x:v>
      </x:c>
    </x:row>
    <x:row r="155" ht="175" customHeight="1">
      <x:c r="A155" s="10" t="n">
        <x:v>154</x:v>
      </x:c>
      <x:c r="B155" s="10" t="str">
        <x:v>ADMIN-0154</x:v>
      </x:c>
      <x:c r="C155" s="10" t="str">
        <x:v>财务结算</x:v>
      </x:c>
      <x:c r="D155" s="10" t="str">
        <x:v>主播分成记录（财务管理员）</x:v>
      </x:c>
      <x:c r="E155" s="10" t="str">
        <x:v>功能需求</x:v>
      </x:c>
      <x:c r="F155" s="10" t="str">
        <x:v>P2</x:v>
      </x:c>
      <x:c r="G155" s="9" t="str">
        <x:v>验证主播分成上传 CSV 模板</x:v>
      </x:c>
      <x:c r="H155" s="9" t="str">
        <x:v>导入预览人数</x:v>
      </x:c>
      <x:c r="I155" s="9" t="str">
        <x:v>1. 财务管理员为本条执行者
2. 财务已在线下核算；依当前模板准备主播甲 10.25 USD、主播乙 20.75 USD 两行，标识均存在且无重复，分成备注“测试九月批次”</x:v>
      </x:c>
      <x:c r="J155" s="9" t="str">
        <x:v>1. 打开主播分成记录
2. 上传对应 CSV 测试文件</x:v>
      </x:c>
      <x:c r="K155" s="9" t="str">
        <x:v>预览主播数量为 2</x:v>
      </x:c>
      <x:c r="L155" s="10" t="str">
        <x:v>FLOW-7B38EAA6</x:v>
      </x:c>
      <x:c r="M155" s="10" t="str">
        <x:v>未测</x:v>
      </x:c>
      <x:c r="N155" s="10" t="str"/>
      <x:c r="O155" s="9" t="str">
        <x:v>1. 来源（当前证据）：liveshow-proto/MainBasis/统一需求文档.md；位置：第 3097 行；REQ-92a253300dd8、第 3098 行；REQ-57c739cc7c3d、第 3099 行；REQ-1d5441b4366c、第 3103 行；REQ-10841cd8ff25、第 3094 行
2. 规则：BR-0026089F921DD5
3. 未动态验证
4. 示例账号、编号、金额与日期是本条测试数据；执行前按前置条件准备，未填写的产品决策不得自行假定。</x:v>
      </x:c>
    </x:row>
    <x:row r="156" ht="175" customHeight="1">
      <x:c r="A156" s="10" t="n">
        <x:v>155</x:v>
      </x:c>
      <x:c r="B156" s="10" t="str">
        <x:v>ADMIN-0155</x:v>
      </x:c>
      <x:c r="C156" s="10" t="str">
        <x:v>财务结算</x:v>
      </x:c>
      <x:c r="D156" s="10" t="str">
        <x:v>主播分成记录（财务管理员）</x:v>
      </x:c>
      <x:c r="E156" s="10" t="str">
        <x:v>功能需求</x:v>
      </x:c>
      <x:c r="F156" s="10" t="str">
        <x:v>P2</x:v>
      </x:c>
      <x:c r="G156" s="9" t="str">
        <x:v>验证主播分成上传 CSV 模板</x:v>
      </x:c>
      <x:c r="H156" s="9" t="str">
        <x:v>预览分成总金额</x:v>
      </x:c>
      <x:c r="I156" s="9" t="str">
        <x:v>1. 财务管理员为本条执行者
2. 财务已在线下核算；依当前模板准备主播甲 10.25 USD、主播乙 20.75 USD 两行，标识均存在且无重复，分成备注“测试九月批次”</x:v>
      </x:c>
      <x:c r="J156" s="9" t="str">
        <x:v>1. 打开主播分成记录
2. 上传对应 CSV 测试文件</x:v>
      </x:c>
      <x:c r="K156" s="9" t="str">
        <x:v>预览分成总金额 = 31 USD</x:v>
      </x:c>
      <x:c r="L156" s="10" t="str">
        <x:v>FLOW-7B38EAA6</x:v>
      </x:c>
      <x:c r="M156" s="10" t="str">
        <x:v>未测</x:v>
      </x:c>
      <x:c r="N156" s="10" t="str"/>
      <x:c r="O156" s="9" t="str">
        <x:v>1. 来源（当前证据）：liveshow-proto/MainBasis/统一需求文档.md；位置：第 3097 行；REQ-92a253300dd8、第 3098 行；REQ-57c739cc7c3d、第 3099 行；REQ-1d5441b4366c、第 3103 行；REQ-10841cd8ff25、第 3094 行
2. 规则：BR-337AC06688EF27
3. 未动态验证
4. 示例账号、编号、金额与日期是本条测试数据；执行前按前置条件准备，未填写的产品决策不得自行假定。</x:v>
      </x:c>
    </x:row>
    <x:row r="157" ht="160" customHeight="1">
      <x:c r="A157" s="10" t="n">
        <x:v>156</x:v>
      </x:c>
      <x:c r="B157" s="10" t="str">
        <x:v>ADMIN-0156</x:v>
      </x:c>
      <x:c r="C157" s="10" t="str">
        <x:v>财务结算</x:v>
      </x:c>
      <x:c r="D157" s="10" t="str">
        <x:v>主播分成记录（财务管理员）</x:v>
      </x:c>
      <x:c r="E157" s="10" t="str">
        <x:v>功能需求</x:v>
      </x:c>
      <x:c r="F157" s="10" t="str">
        <x:v>P2</x:v>
      </x:c>
      <x:c r="G157" s="9" t="str">
        <x:v>验证主播分成确认导入后锁定</x:v>
      </x:c>
      <x:c r="H157" s="9" t="str">
        <x:v>导入记录锁定</x:v>
      </x:c>
      <x:c r="I157" s="9" t="str">
        <x:v>1. 财务管理员为本条执行者
2. 财务已在线下核算；依当前模板准备主播甲 10.25 USD、主播乙 20.75 USD 两行，标识均存在且无重复，分成备注“测试九月批次”</x:v>
      </x:c>
      <x:c r="J157" s="9" t="str">
        <x:v>1. 打开主播分成记录
2. 上传测试 XLSX 文件
3. 输入分成备注“测试九月批次”
4. 确认导入</x:v>
      </x:c>
      <x:c r="K157" s="9" t="str">
        <x:v>新导入的分成记录不可编辑或删除</x:v>
      </x:c>
      <x:c r="L157" s="10" t="str">
        <x:v>FLOW-7B38EAA6</x:v>
      </x:c>
      <x:c r="M157" s="10" t="str">
        <x:v>未测</x:v>
      </x:c>
      <x:c r="N157" s="10" t="str"/>
      <x:c r="O157" s="9" t="str">
        <x:v>1. 来源（当前证据）：liveshow-proto/MainBasis/统一需求文档.md；位置：第 3100 行；REQ-ba876ca67d7c、第 3102 行；REQ-5722d7cb5927、第 3103 行；REQ-10841cd8ff25、第 3094 行
2. 规则：BR-9921EB67FC97AC
3. 未动态验证
4. 示例账号、编号、金额与日期是本条测试数据；执行前按前置条件准备，未填写的产品决策不得自行假定。</x:v>
      </x:c>
    </x:row>
    <x:row r="158" ht="130" customHeight="1">
      <x:c r="A158" s="10" t="n">
        <x:v>157</x:v>
      </x:c>
      <x:c r="B158" s="10" t="str">
        <x:v>ADMIN-0157</x:v>
      </x:c>
      <x:c r="C158" s="10" t="str">
        <x:v>财务结算</x:v>
      </x:c>
      <x:c r="D158" s="10" t="str">
        <x:v>主播分成记录（财务管理员）</x:v>
      </x:c>
      <x:c r="E158" s="10" t="str">
        <x:v>异常用例</x:v>
      </x:c>
      <x:c r="F158" s="10" t="str">
        <x:v>P2</x:v>
      </x:c>
      <x:c r="G158" s="9" t="str">
        <x:v>验证主播分成备注为空</x:v>
      </x:c>
      <x:c r="H158" s="9" t="str">
        <x:v>分成备注必填</x:v>
      </x:c>
      <x:c r="I158" s="9" t="str">
        <x:v>1. 财务管理员为本条执行者
2. 财务已在线下核算；依当前模板准备主播甲 10.25 USD、主播乙 20.75 USD 两行，标识均存在且无重复，分成备注“测试九月批次”</x:v>
      </x:c>
      <x:c r="J158" s="9" t="str">
        <x:v>1. 打开主播分成记录
2. 上传测试 XLSX 文件
3. 清空分成备注
4. 确认导入</x:v>
      </x:c>
      <x:c r="K158" s="9" t="str">
        <x:v>未生成分成记录</x:v>
      </x:c>
      <x:c r="L158" s="10" t="str"/>
      <x:c r="M158" s="10" t="str">
        <x:v>未测</x:v>
      </x:c>
      <x:c r="N158" s="10" t="str"/>
      <x:c r="O158" s="9" t="str">
        <x:v>1. 来源（当前证据）：liveshow-proto/MainBasis/统一需求文档.md；位置：第 3096 行；REQ-773486ad0b20、第 3094 行
2. 规则：BR-98A4A10DF11DE3
3. 未动态验证
4. 示例账号、编号、金额与日期是本条测试数据；执行前按前置条件准备，未填写的产品决策不得自行假定。</x:v>
      </x:c>
    </x:row>
    <x:row r="159" ht="130" customHeight="1">
      <x:c r="A159" s="10" t="n">
        <x:v>158</x:v>
      </x:c>
      <x:c r="B159" s="10" t="str">
        <x:v>ADMIN-0158</x:v>
      </x:c>
      <x:c r="C159" s="10" t="str">
        <x:v>财务结算</x:v>
      </x:c>
      <x:c r="D159" s="10" t="str">
        <x:v>主播分成记录（财务管理员）</x:v>
      </x:c>
      <x:c r="E159" s="10" t="str">
        <x:v>功能需求</x:v>
      </x:c>
      <x:c r="F159" s="10" t="str">
        <x:v>P2</x:v>
      </x:c>
      <x:c r="G159" s="9" t="str">
        <x:v>验证主播分成备注 99 字</x:v>
      </x:c>
      <x:c r="H159" s="9" t="str">
        <x:v>分成备注长度</x:v>
      </x:c>
      <x:c r="I159" s="9" t="str">
        <x:v>1. 财务管理员为本条执行者
2. 财务已在线下核算；依当前模板准备主播甲 10.25 USD、主播乙 20.75 USD 两行，标识均存在且无重复，分成备注“测试九月批次”</x:v>
      </x:c>
      <x:c r="J159" s="9" t="str">
        <x:v>1. 打开主播分成记录
2. 上传测试 XLSX 文件
3. 输入由 99 个“测”组成的分成备注
4. 确认导入</x:v>
      </x:c>
      <x:c r="K159" s="9" t="str">
        <x:v>分成记录备注为 99 个“测”</x:v>
      </x:c>
      <x:c r="L159" s="10" t="str"/>
      <x:c r="M159" s="10" t="str">
        <x:v>未测</x:v>
      </x:c>
      <x:c r="N159" s="10" t="str"/>
      <x:c r="O159" s="9" t="str">
        <x:v>1. 来源（当前证据）：liveshow-proto/MainBasis/统一需求文档.md；位置：第 3096 行；REQ-773486ad0b20、第 3094 行
2. 规则：BR-86612B3FD51871
3. 未动态验证
4. 示例账号、编号、金额与日期是本条测试数据；执行前按前置条件准备，未填写的产品决策不得自行假定。</x:v>
      </x:c>
    </x:row>
    <x:row r="160" ht="130" customHeight="1">
      <x:c r="A160" s="10" t="n">
        <x:v>159</x:v>
      </x:c>
      <x:c r="B160" s="10" t="str">
        <x:v>ADMIN-0159</x:v>
      </x:c>
      <x:c r="C160" s="10" t="str">
        <x:v>财务结算</x:v>
      </x:c>
      <x:c r="D160" s="10" t="str">
        <x:v>主播分成记录（财务管理员）</x:v>
      </x:c>
      <x:c r="E160" s="10" t="str">
        <x:v>功能需求</x:v>
      </x:c>
      <x:c r="F160" s="10" t="str">
        <x:v>P2</x:v>
      </x:c>
      <x:c r="G160" s="9" t="str">
        <x:v>验证主播分成备注 100 字</x:v>
      </x:c>
      <x:c r="H160" s="9" t="str">
        <x:v>分成备注长度</x:v>
      </x:c>
      <x:c r="I160" s="9" t="str">
        <x:v>1. 财务管理员为本条执行者
2. 财务已在线下核算；依当前模板准备主播甲 10.25 USD、主播乙 20.75 USD 两行，标识均存在且无重复，分成备注“测试九月批次”</x:v>
      </x:c>
      <x:c r="J160" s="9" t="str">
        <x:v>1. 打开主播分成记录
2. 上传测试 XLSX 文件
3. 输入由 100 个“测”组成的分成备注
4. 确认导入</x:v>
      </x:c>
      <x:c r="K160" s="9" t="str">
        <x:v>分成记录备注为 100 个“测”</x:v>
      </x:c>
      <x:c r="L160" s="10" t="str"/>
      <x:c r="M160" s="10" t="str">
        <x:v>未测</x:v>
      </x:c>
      <x:c r="N160" s="10" t="str"/>
      <x:c r="O160" s="9" t="str">
        <x:v>1. 来源（当前证据）：liveshow-proto/MainBasis/统一需求文档.md；位置：第 3096 行；REQ-773486ad0b20、第 3094 行
2. 规则：BR-F05E005D34A96B
3. 未动态验证
4. 示例账号、编号、金额与日期是本条测试数据；执行前按前置条件准备，未填写的产品决策不得自行假定。</x:v>
      </x:c>
    </x:row>
    <x:row r="161" ht="130" customHeight="1">
      <x:c r="A161" s="10" t="n">
        <x:v>160</x:v>
      </x:c>
      <x:c r="B161" s="10" t="str">
        <x:v>ADMIN-0160</x:v>
      </x:c>
      <x:c r="C161" s="10" t="str">
        <x:v>财务结算</x:v>
      </x:c>
      <x:c r="D161" s="10" t="str">
        <x:v>主播分成记录（财务管理员）</x:v>
      </x:c>
      <x:c r="E161" s="10" t="str">
        <x:v>功能需求</x:v>
      </x:c>
      <x:c r="F161" s="10" t="str">
        <x:v>P2</x:v>
      </x:c>
      <x:c r="G161" s="9" t="str">
        <x:v>验证主播分成备注 101 字</x:v>
      </x:c>
      <x:c r="H161" s="9" t="str">
        <x:v>分成备注长度</x:v>
      </x:c>
      <x:c r="I161" s="9" t="str">
        <x:v>1. 财务管理员为本条执行者
2. 财务已在线下核算；依当前模板准备主播甲 10.25 USD、主播乙 20.75 USD 两行，标识均存在且无重复，分成备注“测试九月批次”</x:v>
      </x:c>
      <x:c r="J161" s="9" t="str">
        <x:v>1. 打开主播分成记录
2. 上传测试 XLSX 文件
3. 输入由 101 个“测”组成的分成备注
4. 确认导入</x:v>
      </x:c>
      <x:c r="K161" s="9" t="str">
        <x:v>未以 101 字备注生成分成记录</x:v>
      </x:c>
      <x:c r="L161" s="10" t="str"/>
      <x:c r="M161" s="10" t="str">
        <x:v>未测</x:v>
      </x:c>
      <x:c r="N161" s="10" t="str"/>
      <x:c r="O161" s="9" t="str">
        <x:v>1. 来源（当前证据）：liveshow-proto/MainBasis/统一需求文档.md；位置：第 3096 行；REQ-773486ad0b20、第 3094 行
2. 规则：BR-7AD272144CA561
3. 未动态验证
4. 示例账号、编号、金额与日期是本条测试数据；执行前按前置条件准备，未填写的产品决策不得自行假定。</x:v>
      </x:c>
    </x:row>
    <x:row r="162" ht="145" customHeight="1">
      <x:c r="A162" s="10" t="n">
        <x:v>161</x:v>
      </x:c>
      <x:c r="B162" s="10" t="str">
        <x:v>ADMIN-0161</x:v>
      </x:c>
      <x:c r="C162" s="10" t="str">
        <x:v>财务结算</x:v>
      </x:c>
      <x:c r="D162" s="10" t="str">
        <x:v>主播分成记录详情（财务管理员）</x:v>
      </x:c>
      <x:c r="E162" s="10" t="str">
        <x:v>功能需求</x:v>
      </x:c>
      <x:c r="F162" s="10" t="str">
        <x:v>P2</x:v>
      </x:c>
      <x:c r="G162" s="9" t="str">
        <x:v>验证主播分成批次总额与明细一致</x:v>
      </x:c>
      <x:c r="H162" s="9" t="str">
        <x:v>分成总金额</x:v>
      </x:c>
      <x:c r="I162" s="9" t="str">
        <x:v>1. 财务管理员为本条执行者
2. 已导入批次含主播甲 10.25 USD、主播乙 20.75 USD，两条明细</x:v>
      </x:c>
      <x:c r="J162" s="9" t="str">
        <x:v>1. 打开该主播分成记录详情</x:v>
      </x:c>
      <x:c r="K162" s="9" t="str">
        <x:v>分成总金额 = 31 USD</x:v>
      </x:c>
      <x:c r="L162" s="10" t="str">
        <x:v>FLOW-7B38EAA6</x:v>
      </x:c>
      <x:c r="M162" s="10" t="str">
        <x:v>未测</x:v>
      </x:c>
      <x:c r="N162" s="10" t="str"/>
      <x:c r="O162" s="9" t="str">
        <x:v>1. 来源（当前证据）：liveshow-proto/MainBasis/统一需求文档.md；位置：第 3111 行；REQ-f97c65e1f01d、第 3112 行；REQ-7c63525f97ff、第 3106 行
2. 规则：BR-96894BD7DC94D2
3. 未动态验证
4. 示例账号、编号、金额与日期是本条测试数据；执行前按前置条件准备，未填写的产品决策不得自行假定。</x:v>
      </x:c>
    </x:row>
    <x:row r="163" ht="145" customHeight="1">
      <x:c r="A163" s="10" t="n">
        <x:v>162</x:v>
      </x:c>
      <x:c r="B163" s="10" t="str">
        <x:v>ADMIN-0162</x:v>
      </x:c>
      <x:c r="C163" s="10" t="str">
        <x:v>财务结算</x:v>
      </x:c>
      <x:c r="D163" s="10" t="str">
        <x:v>主播分成记录详情（财务管理员）</x:v>
      </x:c>
      <x:c r="E163" s="10" t="str">
        <x:v>功能需求</x:v>
      </x:c>
      <x:c r="F163" s="10" t="str">
        <x:v>P2</x:v>
      </x:c>
      <x:c r="G163" s="9" t="str">
        <x:v>验证主播分成批次总额与明细一致</x:v>
      </x:c>
      <x:c r="H163" s="9" t="str">
        <x:v>分成详情只读</x:v>
      </x:c>
      <x:c r="I163" s="9" t="str">
        <x:v>1. 财务管理员为本条执行者
2. 已导入批次含主播甲 10.25 USD、主播乙 20.75 USD，两条明细</x:v>
      </x:c>
      <x:c r="J163" s="9" t="str">
        <x:v>1. 打开该主播分成记录详情</x:v>
      </x:c>
      <x:c r="K163" s="9" t="str">
        <x:v>分成明细不可编辑</x:v>
      </x:c>
      <x:c r="L163" s="10" t="str">
        <x:v>FLOW-7B38EAA6</x:v>
      </x:c>
      <x:c r="M163" s="10" t="str">
        <x:v>未测</x:v>
      </x:c>
      <x:c r="N163" s="10" t="str"/>
      <x:c r="O163" s="9" t="str">
        <x:v>1. 来源（当前证据）：liveshow-proto/MainBasis/统一需求文档.md；位置：第 3111 行；REQ-f97c65e1f01d、第 3112 行；REQ-7c63525f97ff、第 3106 行
2. 规则：BR-A8D5B3835DE47E
3. 未动态验证
4. 示例账号、编号、金额与日期是本条测试数据；执行前按前置条件准备，未填写的产品决策不得自行假定。</x:v>
      </x:c>
    </x:row>
    <x:row r="164" ht="175" customHeight="1">
      <x:c r="A164" s="10" t="n">
        <x:v>163</x:v>
      </x:c>
      <x:c r="B164" s="10" t="str">
        <x:v>ADMIN-0163</x:v>
      </x:c>
      <x:c r="C164" s="10" t="str">
        <x:v>财务结算</x:v>
      </x:c>
      <x:c r="D164" s="10" t="str">
        <x:v>余额变更记录（财务管理员）</x:v>
      </x:c>
      <x:c r="E164" s="10" t="str">
        <x:v>功能需求</x:v>
      </x:c>
      <x:c r="F164" s="10" t="str">
        <x:v>P2</x:v>
      </x:c>
      <x:c r="G164" s="9" t="str">
        <x:v>验证主播分成余额修正 -100.01 USD</x:v>
      </x:c>
      <x:c r="H164" s="9" t="str">
        <x:v>修正金额校验</x:v>
      </x:c>
      <x:c r="I164" s="9" t="str">
        <x:v>1. 财务管理员为本条执行者
2. 主播甲分成账户余额为 100.00 USD，本次备注“测试分成修正”</x:v>
      </x:c>
      <x:c r="J164" s="9" t="str">
        <x:v>1. 打开主播甲余额变更记录
2. 点击余额变更
3. 输入变更金额 -100.01
4. 输入备注“测试分成修正”
5. 确认变更</x:v>
      </x:c>
      <x:c r="K164" s="9" t="str">
        <x:v>未生成分成修正流水</x:v>
      </x:c>
      <x:c r="L164" s="10" t="str"/>
      <x:c r="M164" s="10" t="str">
        <x:v>未测</x:v>
      </x:c>
      <x:c r="N164" s="10" t="str"/>
      <x:c r="O164" s="9" t="str">
        <x:v>1. 来源（当前证据）：liveshow-proto/MainBasis/统一需求文档.md；位置：第 3125 行；REQ-21e312b01e02、第 3126 行；REQ-278acde0cb4f、第 3129 行；REQ-37c640e08b59、第 3130 行；REQ-f50619d79c2f、第 3122 行
2. 规则：BR-1423F4C67CFC5C
3. 未动态验证
4. 示例账号、编号、金额与日期是本条测试数据；执行前按前置条件准备，未填写的产品决策不得自行假定。</x:v>
      </x:c>
    </x:row>
    <x:row r="165" ht="175" customHeight="1">
      <x:c r="A165" s="10" t="n">
        <x:v>164</x:v>
      </x:c>
      <x:c r="B165" s="10" t="str">
        <x:v>ADMIN-0164</x:v>
      </x:c>
      <x:c r="C165" s="10" t="str">
        <x:v>财务结算</x:v>
      </x:c>
      <x:c r="D165" s="10" t="str">
        <x:v>余额变更记录（财务管理员）</x:v>
      </x:c>
      <x:c r="E165" s="10" t="str">
        <x:v>功能需求</x:v>
      </x:c>
      <x:c r="F165" s="10" t="str">
        <x:v>P2</x:v>
      </x:c>
      <x:c r="G165" s="9" t="str">
        <x:v>验证主播分成余额修正 -100 USD</x:v>
      </x:c>
      <x:c r="H165" s="9" t="str">
        <x:v>变更后余额</x:v>
      </x:c>
      <x:c r="I165" s="9" t="str">
        <x:v>1. 财务管理员为本条执行者
2. 主播甲分成账户余额为 100.00 USD，本次备注“测试分成修正”</x:v>
      </x:c>
      <x:c r="J165" s="9" t="str">
        <x:v>1. 打开主播甲余额变更记录
2. 点击余额变更
3. 输入变更金额 -100
4. 输入备注“测试分成修正”
5. 确认变更</x:v>
      </x:c>
      <x:c r="K165" s="9" t="str">
        <x:v>变更后余额 = 0 USD</x:v>
      </x:c>
      <x:c r="L165" s="10" t="str"/>
      <x:c r="M165" s="10" t="str">
        <x:v>未测</x:v>
      </x:c>
      <x:c r="N165" s="10" t="str"/>
      <x:c r="O165" s="9" t="str">
        <x:v>1. 来源（当前证据）：liveshow-proto/MainBasis/统一需求文档.md；位置：第 3125 行；REQ-21e312b01e02、第 3126 行；REQ-278acde0cb4f、第 3129 行；REQ-37c640e08b59、第 3130 行；REQ-f50619d79c2f、第 3122 行
2. 规则：BR-0E77A3AF472517
3. 未动态验证
4. 示例账号、编号、金额与日期是本条测试数据；执行前按前置条件准备，未填写的产品决策不得自行假定。</x:v>
      </x:c>
    </x:row>
    <x:row r="166" ht="175" customHeight="1">
      <x:c r="A166" s="10" t="n">
        <x:v>165</x:v>
      </x:c>
      <x:c r="B166" s="10" t="str">
        <x:v>ADMIN-0165</x:v>
      </x:c>
      <x:c r="C166" s="10" t="str">
        <x:v>财务结算</x:v>
      </x:c>
      <x:c r="D166" s="10" t="str">
        <x:v>余额变更记录（财务管理员）</x:v>
      </x:c>
      <x:c r="E166" s="10" t="str">
        <x:v>功能需求</x:v>
      </x:c>
      <x:c r="F166" s="10" t="str">
        <x:v>P2</x:v>
      </x:c>
      <x:c r="G166" s="9" t="str">
        <x:v>验证主播分成余额修正 -99.99 USD</x:v>
      </x:c>
      <x:c r="H166" s="9" t="str">
        <x:v>变更后余额</x:v>
      </x:c>
      <x:c r="I166" s="9" t="str">
        <x:v>1. 财务管理员为本条执行者
2. 主播甲分成账户余额为 100.00 USD，本次备注“测试分成修正”</x:v>
      </x:c>
      <x:c r="J166" s="9" t="str">
        <x:v>1. 打开主播甲余额变更记录
2. 点击余额变更
3. 输入变更金额 -99.99
4. 输入备注“测试分成修正”
5. 确认变更</x:v>
      </x:c>
      <x:c r="K166" s="9" t="str">
        <x:v>变更后余额 = 0.01 USD</x:v>
      </x:c>
      <x:c r="L166" s="10" t="str"/>
      <x:c r="M166" s="10" t="str">
        <x:v>未测</x:v>
      </x:c>
      <x:c r="N166" s="10" t="str"/>
      <x:c r="O166" s="9" t="str">
        <x:v>1. 来源（当前证据）：liveshow-proto/MainBasis/统一需求文档.md；位置：第 3125 行；REQ-21e312b01e02、第 3126 行；REQ-278acde0cb4f、第 3129 行；REQ-37c640e08b59、第 3130 行；REQ-f50619d79c2f、第 3122 行
2. 规则：BR-FFD60BD3217ACF
3. 未动态验证
4. 示例账号、编号、金额与日期是本条测试数据；执行前按前置条件准备，未填写的产品决策不得自行假定。</x:v>
      </x:c>
    </x:row>
    <x:row r="167" ht="175" customHeight="1">
      <x:c r="A167" s="10" t="n">
        <x:v>166</x:v>
      </x:c>
      <x:c r="B167" s="10" t="str">
        <x:v>ADMIN-0166</x:v>
      </x:c>
      <x:c r="C167" s="10" t="str">
        <x:v>财务结算</x:v>
      </x:c>
      <x:c r="D167" s="10" t="str">
        <x:v>余额变更记录（财务管理员）</x:v>
      </x:c>
      <x:c r="E167" s="10" t="str">
        <x:v>功能需求</x:v>
      </x:c>
      <x:c r="F167" s="10" t="str">
        <x:v>P2</x:v>
      </x:c>
      <x:c r="G167" s="9" t="str">
        <x:v>验证主播分成余额修正 0 USD</x:v>
      </x:c>
      <x:c r="H167" s="9" t="str">
        <x:v>修正金额校验</x:v>
      </x:c>
      <x:c r="I167" s="9" t="str">
        <x:v>1. 财务管理员为本条执行者
2. 主播甲分成账户余额为 100.00 USD，本次备注“测试分成修正”</x:v>
      </x:c>
      <x:c r="J167" s="9" t="str">
        <x:v>1. 打开主播甲余额变更记录
2. 点击余额变更
3. 输入变更金额 0
4. 输入备注“测试分成修正”
5. 确认变更</x:v>
      </x:c>
      <x:c r="K167" s="9" t="str">
        <x:v>未生成分成修正流水</x:v>
      </x:c>
      <x:c r="L167" s="10" t="str"/>
      <x:c r="M167" s="10" t="str">
        <x:v>未测</x:v>
      </x:c>
      <x:c r="N167" s="10" t="str"/>
      <x:c r="O167" s="9" t="str">
        <x:v>1. 来源（当前证据）：liveshow-proto/MainBasis/统一需求文档.md；位置：第 3125 行；REQ-21e312b01e02、第 3126 行；REQ-278acde0cb4f、第 3129 行；REQ-37c640e08b59、第 3130 行；REQ-f50619d79c2f、第 3122 行
2. 规则：BR-D3D22EB7A93E09
3. 未动态验证
4. 示例账号、编号、金额与日期是本条测试数据；执行前按前置条件准备，未填写的产品决策不得自行假定。</x:v>
      </x:c>
    </x:row>
    <x:row r="168" ht="175" customHeight="1">
      <x:c r="A168" s="10" t="n">
        <x:v>167</x:v>
      </x:c>
      <x:c r="B168" s="10" t="str">
        <x:v>ADMIN-0167</x:v>
      </x:c>
      <x:c r="C168" s="10" t="str">
        <x:v>财务结算</x:v>
      </x:c>
      <x:c r="D168" s="10" t="str">
        <x:v>余额变更记录（财务管理员）</x:v>
      </x:c>
      <x:c r="E168" s="10" t="str">
        <x:v>功能需求</x:v>
      </x:c>
      <x:c r="F168" s="10" t="str">
        <x:v>P2</x:v>
      </x:c>
      <x:c r="G168" s="9" t="str">
        <x:v>验证主播分成余额修正 0.001 USD</x:v>
      </x:c>
      <x:c r="H168" s="9" t="str">
        <x:v>修正金额校验</x:v>
      </x:c>
      <x:c r="I168" s="9" t="str">
        <x:v>1. 财务管理员为本条执行者
2. 主播甲分成账户余额为 100.00 USD，本次备注“测试分成修正”</x:v>
      </x:c>
      <x:c r="J168" s="9" t="str">
        <x:v>1. 打开主播甲余额变更记录
2. 点击余额变更
3. 输入变更金额 0.001
4. 输入备注“测试分成修正”
5. 确认变更</x:v>
      </x:c>
      <x:c r="K168" s="9" t="str">
        <x:v>未生成分成修正流水</x:v>
      </x:c>
      <x:c r="L168" s="10" t="str"/>
      <x:c r="M168" s="10" t="str">
        <x:v>未测</x:v>
      </x:c>
      <x:c r="N168" s="10" t="str"/>
      <x:c r="O168" s="9" t="str">
        <x:v>1. 来源（当前证据）：liveshow-proto/MainBasis/统一需求文档.md；位置：第 3125 行；REQ-21e312b01e02、第 3126 行；REQ-278acde0cb4f、第 3129 行；REQ-37c640e08b59、第 3130 行；REQ-f50619d79c2f、第 3122 行
2. 规则：BR-75A222CB01427C
3. 未动态验证
4. 示例账号、编号、金额与日期是本条测试数据；执行前按前置条件准备，未填写的产品决策不得自行假定。</x:v>
      </x:c>
    </x:row>
    <x:row r="169" ht="175" customHeight="1">
      <x:c r="A169" s="10" t="n">
        <x:v>168</x:v>
      </x:c>
      <x:c r="B169" s="10" t="str">
        <x:v>ADMIN-0168</x:v>
      </x:c>
      <x:c r="C169" s="10" t="str">
        <x:v>财务结算</x:v>
      </x:c>
      <x:c r="D169" s="10" t="str">
        <x:v>余额变更记录（财务管理员）</x:v>
      </x:c>
      <x:c r="E169" s="10" t="str">
        <x:v>功能需求</x:v>
      </x:c>
      <x:c r="F169" s="10" t="str">
        <x:v>P2</x:v>
      </x:c>
      <x:c r="G169" s="9" t="str">
        <x:v>验证主播分成余额修正 0.01 USD</x:v>
      </x:c>
      <x:c r="H169" s="9" t="str">
        <x:v>变更后余额</x:v>
      </x:c>
      <x:c r="I169" s="9" t="str">
        <x:v>1. 财务管理员为本条执行者
2. 主播甲分成账户余额为 100.00 USD，本次备注“测试分成修正”</x:v>
      </x:c>
      <x:c r="J169" s="9" t="str">
        <x:v>1. 打开主播甲余额变更记录
2. 点击余额变更
3. 输入变更金额 0.01
4. 输入备注“测试分成修正”
5. 确认变更</x:v>
      </x:c>
      <x:c r="K169" s="9" t="str">
        <x:v>变更后余额 = 100.01 USD</x:v>
      </x:c>
      <x:c r="L169" s="10" t="str"/>
      <x:c r="M169" s="10" t="str">
        <x:v>未测</x:v>
      </x:c>
      <x:c r="N169" s="10" t="str"/>
      <x:c r="O169" s="9" t="str">
        <x:v>1. 来源（当前证据）：liveshow-proto/MainBasis/统一需求文档.md；位置：第 3125 行；REQ-21e312b01e02、第 3126 行；REQ-278acde0cb4f、第 3129 行；REQ-37c640e08b59、第 3130 行；REQ-f50619d79c2f、第 3122 行
2. 规则：BR-F08E6C922088D1
3. 未动态验证
4. 示例账号、编号、金额与日期是本条测试数据；执行前按前置条件准备，未填写的产品决策不得自行假定。</x:v>
      </x:c>
    </x:row>
    <x:row r="170" ht="175" customHeight="1">
      <x:c r="A170" s="10" t="n">
        <x:v>169</x:v>
      </x:c>
      <x:c r="B170" s="10" t="str">
        <x:v>ADMIN-0169</x:v>
      </x:c>
      <x:c r="C170" s="10" t="str">
        <x:v>财务结算</x:v>
      </x:c>
      <x:c r="D170" s="10" t="str">
        <x:v>余额变更记录（财务管理员）</x:v>
      </x:c>
      <x:c r="E170" s="10" t="str">
        <x:v>功能需求</x:v>
      </x:c>
      <x:c r="F170" s="10" t="str">
        <x:v>P2</x:v>
      </x:c>
      <x:c r="G170" s="9" t="str">
        <x:v>验证主播分成余额修正 10.25 USD</x:v>
      </x:c>
      <x:c r="H170" s="9" t="str">
        <x:v>变更后余额</x:v>
      </x:c>
      <x:c r="I170" s="9" t="str">
        <x:v>1. 财务管理员为本条执行者
2. 主播甲分成账户余额为 100.00 USD，本次备注“测试分成修正”</x:v>
      </x:c>
      <x:c r="J170" s="9" t="str">
        <x:v>1. 打开主播甲余额变更记录
2. 点击余额变更
3. 输入变更金额 10.25
4. 输入备注“测试分成修正”
5. 确认变更</x:v>
      </x:c>
      <x:c r="K170" s="9" t="str">
        <x:v>变更后余额 = 110.25 USD</x:v>
      </x:c>
      <x:c r="L170" s="10" t="str"/>
      <x:c r="M170" s="10" t="str">
        <x:v>未测</x:v>
      </x:c>
      <x:c r="N170" s="10" t="str"/>
      <x:c r="O170" s="9" t="str">
        <x:v>1. 来源（当前证据）：liveshow-proto/MainBasis/统一需求文档.md；位置：第 3125 行；REQ-21e312b01e02、第 3126 行；REQ-278acde0cb4f、第 3129 行；REQ-37c640e08b59、第 3130 行；REQ-f50619d79c2f、第 3122 行
2. 规则：BR-77B3928ACC4146
3. 未动态验证
4. 示例账号、编号、金额与日期是本条测试数据；执行前按前置条件准备，未填写的产品决策不得自行假定。</x:v>
      </x:c>
    </x:row>
    <x:row r="171" ht="130" customHeight="1">
      <x:c r="A171" s="10" t="n">
        <x:v>170</x:v>
      </x:c>
      <x:c r="B171" s="10" t="str">
        <x:v>ADMIN-0170</x:v>
      </x:c>
      <x:c r="C171" s="10" t="str">
        <x:v>财务结算</x:v>
      </x:c>
      <x:c r="D171" s="10" t="str">
        <x:v>余额变更记录（财务管理员）</x:v>
      </x:c>
      <x:c r="E171" s="10" t="str">
        <x:v>功能需求</x:v>
      </x:c>
      <x:c r="F171" s="10" t="str">
        <x:v>P2</x:v>
      </x:c>
      <x:c r="G171" s="9" t="str">
        <x:v>验证主播分成修正必须填写备注</x:v>
      </x:c>
      <x:c r="H171" s="9" t="str">
        <x:v>修正备注必填</x:v>
      </x:c>
      <x:c r="I171" s="9" t="str">
        <x:v>1. 财务管理员为本条执行者
2. 主播甲分成账户余额为 100.00 USD，本次备注“测试分成修正”</x:v>
      </x:c>
      <x:c r="J171" s="9" t="str">
        <x:v>1. 打开主播甲余额变更记录
2. 点击余额变更
3. 输入变更金额 1.00
4. 清空备注
5. 确认变更</x:v>
      </x:c>
      <x:c r="K171" s="9" t="str">
        <x:v>未生成分成修正流水</x:v>
      </x:c>
      <x:c r="L171" s="10" t="str"/>
      <x:c r="M171" s="10" t="str">
        <x:v>未测</x:v>
      </x:c>
      <x:c r="N171" s="10" t="str"/>
      <x:c r="O171" s="9" t="str">
        <x:v>1. 来源（当前证据）：liveshow-proto/MainBasis/统一需求文档.md；位置：第 3127 行；REQ-5a40f1f32dc0、第 3122 行
2. 规则：BR-E58C1EECEF3AED
3. 未动态验证
4. 示例账号、编号、金额与日期是本条测试数据；执行前按前置条件准备，未填写的产品决策不得自行假定。</x:v>
      </x:c>
    </x:row>
    <x:row r="172" ht="175" customHeight="1">
      <x:c r="A172" s="10" t="n">
        <x:v>171</x:v>
      </x:c>
      <x:c r="B172" s="10" t="str">
        <x:v>ADMIN-0171</x:v>
      </x:c>
      <x:c r="C172" s="10" t="str">
        <x:v>财务结算</x:v>
      </x:c>
      <x:c r="D172" s="10" t="str">
        <x:v>公会分成记录（财务管理员）</x:v>
      </x:c>
      <x:c r="E172" s="10" t="str">
        <x:v>功能需求</x:v>
      </x:c>
      <x:c r="F172" s="10" t="str">
        <x:v>P2</x:v>
      </x:c>
      <x:c r="G172" s="9" t="str">
        <x:v>验证公会分成上传 XLSX 模板</x:v>
      </x:c>
      <x:c r="H172" s="9" t="str">
        <x:v>导入预览人数</x:v>
      </x:c>
      <x:c r="I172" s="9" t="str">
        <x:v>1. 财务管理员为本条执行者
2. 财务已在线下核算；依当前模板准备公会甲 10.25 USD、公会乙 20.75 USD 两行，标识均存在且无重复，分成备注“测试九月批次”</x:v>
      </x:c>
      <x:c r="J172" s="9" t="str">
        <x:v>1. 打开公会分成记录
2. 上传对应 XLSX 测试文件</x:v>
      </x:c>
      <x:c r="K172" s="9" t="str">
        <x:v>预览公会数量为 2</x:v>
      </x:c>
      <x:c r="L172" s="10" t="str">
        <x:v>FLOW-8FE0E611</x:v>
      </x:c>
      <x:c r="M172" s="10" t="str">
        <x:v>未测</x:v>
      </x:c>
      <x:c r="N172" s="10" t="str"/>
      <x:c r="O172" s="9" t="str">
        <x:v>1. 来源（当前证据）：liveshow-proto/MainBasis/统一需求文档.md；位置：第 3136 行；REQ-9d28829b6401、第 3137 行；REQ-97a8339d6736、第 3138 行；REQ-bb1812cab04a、第 3142 行；REQ-81a1b1243e27、第 3133 行
2. 规则：BR-CC3C10E528F162
3. 未动态验证
4. 示例账号、编号、金额与日期是本条测试数据；执行前按前置条件准备，未填写的产品决策不得自行假定。</x:v>
      </x:c>
    </x:row>
    <x:row r="173" ht="175" customHeight="1">
      <x:c r="A173" s="10" t="n">
        <x:v>172</x:v>
      </x:c>
      <x:c r="B173" s="10" t="str">
        <x:v>ADMIN-0172</x:v>
      </x:c>
      <x:c r="C173" s="10" t="str">
        <x:v>财务结算</x:v>
      </x:c>
      <x:c r="D173" s="10" t="str">
        <x:v>公会分成记录（财务管理员）</x:v>
      </x:c>
      <x:c r="E173" s="10" t="str">
        <x:v>功能需求</x:v>
      </x:c>
      <x:c r="F173" s="10" t="str">
        <x:v>P2</x:v>
      </x:c>
      <x:c r="G173" s="9" t="str">
        <x:v>验证公会分成上传 XLSX 模板</x:v>
      </x:c>
      <x:c r="H173" s="9" t="str">
        <x:v>预览分成总金额</x:v>
      </x:c>
      <x:c r="I173" s="9" t="str">
        <x:v>1. 财务管理员为本条执行者
2. 财务已在线下核算；依当前模板准备公会甲 10.25 USD、公会乙 20.75 USD 两行，标识均存在且无重复，分成备注“测试九月批次”</x:v>
      </x:c>
      <x:c r="J173" s="9" t="str">
        <x:v>1. 打开公会分成记录
2. 上传对应 XLSX 测试文件</x:v>
      </x:c>
      <x:c r="K173" s="9" t="str">
        <x:v>预览分成总金额 = 31 USD</x:v>
      </x:c>
      <x:c r="L173" s="10" t="str">
        <x:v>FLOW-8FE0E611</x:v>
      </x:c>
      <x:c r="M173" s="10" t="str">
        <x:v>未测</x:v>
      </x:c>
      <x:c r="N173" s="10" t="str"/>
      <x:c r="O173" s="9" t="str">
        <x:v>1. 来源（当前证据）：liveshow-proto/MainBasis/统一需求文档.md；位置：第 3136 行；REQ-9d28829b6401、第 3137 行；REQ-97a8339d6736、第 3138 行；REQ-bb1812cab04a、第 3142 行；REQ-81a1b1243e27、第 3133 行
2. 规则：BR-8FD93B63AF3287
3. 未动态验证
4. 示例账号、编号、金额与日期是本条测试数据；执行前按前置条件准备，未填写的产品决策不得自行假定。</x:v>
      </x:c>
    </x:row>
    <x:row r="174" ht="175" customHeight="1">
      <x:c r="A174" s="10" t="n">
        <x:v>173</x:v>
      </x:c>
      <x:c r="B174" s="10" t="str">
        <x:v>ADMIN-0173</x:v>
      </x:c>
      <x:c r="C174" s="10" t="str">
        <x:v>财务结算</x:v>
      </x:c>
      <x:c r="D174" s="10" t="str">
        <x:v>公会分成记录（财务管理员）</x:v>
      </x:c>
      <x:c r="E174" s="10" t="str">
        <x:v>功能需求</x:v>
      </x:c>
      <x:c r="F174" s="10" t="str">
        <x:v>P2</x:v>
      </x:c>
      <x:c r="G174" s="9" t="str">
        <x:v>验证公会分成上传 XLS 模板</x:v>
      </x:c>
      <x:c r="H174" s="9" t="str">
        <x:v>导入预览人数</x:v>
      </x:c>
      <x:c r="I174" s="9" t="str">
        <x:v>1. 财务管理员为本条执行者
2. 财务已在线下核算；依当前模板准备公会甲 10.25 USD、公会乙 20.75 USD 两行，标识均存在且无重复，分成备注“测试九月批次”</x:v>
      </x:c>
      <x:c r="J174" s="9" t="str">
        <x:v>1. 打开公会分成记录
2. 上传对应 XLS 测试文件</x:v>
      </x:c>
      <x:c r="K174" s="9" t="str">
        <x:v>预览公会数量为 2</x:v>
      </x:c>
      <x:c r="L174" s="10" t="str">
        <x:v>FLOW-8FE0E611</x:v>
      </x:c>
      <x:c r="M174" s="10" t="str">
        <x:v>未测</x:v>
      </x:c>
      <x:c r="N174" s="10" t="str"/>
      <x:c r="O174" s="9" t="str">
        <x:v>1. 来源（当前证据）：liveshow-proto/MainBasis/统一需求文档.md；位置：第 3136 行；REQ-9d28829b6401、第 3137 行；REQ-97a8339d6736、第 3138 行；REQ-bb1812cab04a、第 3142 行；REQ-81a1b1243e27、第 3133 行
2. 规则：BR-4D8CE9D7FD3CE5
3. 未动态验证
4. 示例账号、编号、金额与日期是本条测试数据；执行前按前置条件准备，未填写的产品决策不得自行假定。</x:v>
      </x:c>
    </x:row>
    <x:row r="175" ht="175" customHeight="1">
      <x:c r="A175" s="10" t="n">
        <x:v>174</x:v>
      </x:c>
      <x:c r="B175" s="10" t="str">
        <x:v>ADMIN-0174</x:v>
      </x:c>
      <x:c r="C175" s="10" t="str">
        <x:v>财务结算</x:v>
      </x:c>
      <x:c r="D175" s="10" t="str">
        <x:v>公会分成记录（财务管理员）</x:v>
      </x:c>
      <x:c r="E175" s="10" t="str">
        <x:v>功能需求</x:v>
      </x:c>
      <x:c r="F175" s="10" t="str">
        <x:v>P2</x:v>
      </x:c>
      <x:c r="G175" s="9" t="str">
        <x:v>验证公会分成上传 XLS 模板</x:v>
      </x:c>
      <x:c r="H175" s="9" t="str">
        <x:v>预览分成总金额</x:v>
      </x:c>
      <x:c r="I175" s="9" t="str">
        <x:v>1. 财务管理员为本条执行者
2. 财务已在线下核算；依当前模板准备公会甲 10.25 USD、公会乙 20.75 USD 两行，标识均存在且无重复，分成备注“测试九月批次”</x:v>
      </x:c>
      <x:c r="J175" s="9" t="str">
        <x:v>1. 打开公会分成记录
2. 上传对应 XLS 测试文件</x:v>
      </x:c>
      <x:c r="K175" s="9" t="str">
        <x:v>预览分成总金额 = 31 USD</x:v>
      </x:c>
      <x:c r="L175" s="10" t="str">
        <x:v>FLOW-8FE0E611</x:v>
      </x:c>
      <x:c r="M175" s="10" t="str">
        <x:v>未测</x:v>
      </x:c>
      <x:c r="N175" s="10" t="str"/>
      <x:c r="O175" s="9" t="str">
        <x:v>1. 来源（当前证据）：liveshow-proto/MainBasis/统一需求文档.md；位置：第 3136 行；REQ-9d28829b6401、第 3137 行；REQ-97a8339d6736、第 3138 行；REQ-bb1812cab04a、第 3142 行；REQ-81a1b1243e27、第 3133 行
2. 规则：BR-1AB32C74BD5AE4
3. 未动态验证
4. 示例账号、编号、金额与日期是本条测试数据；执行前按前置条件准备，未填写的产品决策不得自行假定。</x:v>
      </x:c>
    </x:row>
    <x:row r="176" ht="175" customHeight="1">
      <x:c r="A176" s="10" t="n">
        <x:v>175</x:v>
      </x:c>
      <x:c r="B176" s="10" t="str">
        <x:v>ADMIN-0175</x:v>
      </x:c>
      <x:c r="C176" s="10" t="str">
        <x:v>财务结算</x:v>
      </x:c>
      <x:c r="D176" s="10" t="str">
        <x:v>公会分成记录（财务管理员）</x:v>
      </x:c>
      <x:c r="E176" s="10" t="str">
        <x:v>功能需求</x:v>
      </x:c>
      <x:c r="F176" s="10" t="str">
        <x:v>P2</x:v>
      </x:c>
      <x:c r="G176" s="9" t="str">
        <x:v>验证公会分成上传 CSV 模板</x:v>
      </x:c>
      <x:c r="H176" s="9" t="str">
        <x:v>导入预览人数</x:v>
      </x:c>
      <x:c r="I176" s="9" t="str">
        <x:v>1. 财务管理员为本条执行者
2. 财务已在线下核算；依当前模板准备公会甲 10.25 USD、公会乙 20.75 USD 两行，标识均存在且无重复，分成备注“测试九月批次”</x:v>
      </x:c>
      <x:c r="J176" s="9" t="str">
        <x:v>1. 打开公会分成记录
2. 上传对应 CSV 测试文件</x:v>
      </x:c>
      <x:c r="K176" s="9" t="str">
        <x:v>预览公会数量为 2</x:v>
      </x:c>
      <x:c r="L176" s="10" t="str">
        <x:v>FLOW-8FE0E611</x:v>
      </x:c>
      <x:c r="M176" s="10" t="str">
        <x:v>未测</x:v>
      </x:c>
      <x:c r="N176" s="10" t="str"/>
      <x:c r="O176" s="9" t="str">
        <x:v>1. 来源（当前证据）：liveshow-proto/MainBasis/统一需求文档.md；位置：第 3136 行；REQ-9d28829b6401、第 3137 行；REQ-97a8339d6736、第 3138 行；REQ-bb1812cab04a、第 3142 行；REQ-81a1b1243e27、第 3133 行
2. 规则：BR-FCA115603A97A0
3. 未动态验证
4. 示例账号、编号、金额与日期是本条测试数据；执行前按前置条件准备，未填写的产品决策不得自行假定。</x:v>
      </x:c>
    </x:row>
    <x:row r="177" ht="175" customHeight="1">
      <x:c r="A177" s="10" t="n">
        <x:v>176</x:v>
      </x:c>
      <x:c r="B177" s="10" t="str">
        <x:v>ADMIN-0176</x:v>
      </x:c>
      <x:c r="C177" s="10" t="str">
        <x:v>财务结算</x:v>
      </x:c>
      <x:c r="D177" s="10" t="str">
        <x:v>公会分成记录（财务管理员）</x:v>
      </x:c>
      <x:c r="E177" s="10" t="str">
        <x:v>功能需求</x:v>
      </x:c>
      <x:c r="F177" s="10" t="str">
        <x:v>P2</x:v>
      </x:c>
      <x:c r="G177" s="9" t="str">
        <x:v>验证公会分成上传 CSV 模板</x:v>
      </x:c>
      <x:c r="H177" s="9" t="str">
        <x:v>预览分成总金额</x:v>
      </x:c>
      <x:c r="I177" s="9" t="str">
        <x:v>1. 财务管理员为本条执行者
2. 财务已在线下核算；依当前模板准备公会甲 10.25 USD、公会乙 20.75 USD 两行，标识均存在且无重复，分成备注“测试九月批次”</x:v>
      </x:c>
      <x:c r="J177" s="9" t="str">
        <x:v>1. 打开公会分成记录
2. 上传对应 CSV 测试文件</x:v>
      </x:c>
      <x:c r="K177" s="9" t="str">
        <x:v>预览分成总金额 = 31 USD</x:v>
      </x:c>
      <x:c r="L177" s="10" t="str">
        <x:v>FLOW-8FE0E611</x:v>
      </x:c>
      <x:c r="M177" s="10" t="str">
        <x:v>未测</x:v>
      </x:c>
      <x:c r="N177" s="10" t="str"/>
      <x:c r="O177" s="9" t="str">
        <x:v>1. 来源（当前证据）：liveshow-proto/MainBasis/统一需求文档.md；位置：第 3136 行；REQ-9d28829b6401、第 3137 行；REQ-97a8339d6736、第 3138 行；REQ-bb1812cab04a、第 3142 行；REQ-81a1b1243e27、第 3133 行
2. 规则：BR-5AD7E9BEAB9A5A
3. 未动态验证
4. 示例账号、编号、金额与日期是本条测试数据；执行前按前置条件准备，未填写的产品决策不得自行假定。</x:v>
      </x:c>
    </x:row>
    <x:row r="178" ht="160" customHeight="1">
      <x:c r="A178" s="10" t="n">
        <x:v>177</x:v>
      </x:c>
      <x:c r="B178" s="10" t="str">
        <x:v>ADMIN-0177</x:v>
      </x:c>
      <x:c r="C178" s="10" t="str">
        <x:v>财务结算</x:v>
      </x:c>
      <x:c r="D178" s="10" t="str">
        <x:v>公会分成记录（财务管理员）</x:v>
      </x:c>
      <x:c r="E178" s="10" t="str">
        <x:v>功能需求</x:v>
      </x:c>
      <x:c r="F178" s="10" t="str">
        <x:v>P2</x:v>
      </x:c>
      <x:c r="G178" s="9" t="str">
        <x:v>验证公会分成确认导入后锁定</x:v>
      </x:c>
      <x:c r="H178" s="9" t="str">
        <x:v>导入记录锁定</x:v>
      </x:c>
      <x:c r="I178" s="9" t="str">
        <x:v>1. 财务管理员为本条执行者
2. 财务已在线下核算；依当前模板准备公会甲 10.25 USD、公会乙 20.75 USD 两行，标识均存在且无重复，分成备注“测试九月批次”</x:v>
      </x:c>
      <x:c r="J178" s="9" t="str">
        <x:v>1. 打开公会分成记录
2. 上传测试 XLSX 文件
3. 输入分成备注“测试九月批次”
4. 确认导入</x:v>
      </x:c>
      <x:c r="K178" s="9" t="str">
        <x:v>新导入的分成记录不可编辑或删除</x:v>
      </x:c>
      <x:c r="L178" s="10" t="str">
        <x:v>FLOW-8FE0E611</x:v>
      </x:c>
      <x:c r="M178" s="10" t="str">
        <x:v>未测</x:v>
      </x:c>
      <x:c r="N178" s="10" t="str"/>
      <x:c r="O178" s="9" t="str">
        <x:v>1. 来源（当前证据）：liveshow-proto/MainBasis/统一需求文档.md；位置：第 3139 行；REQ-6676d19ab3a5、第 3140 行；REQ-e1f56b5ef1ca、第 3142 行；REQ-81a1b1243e27、第 3133 行
2. 规则：BR-6F43ACC967270F
3. 未动态验证
4. 示例账号、编号、金额与日期是本条测试数据；执行前按前置条件准备，未填写的产品决策不得自行假定。</x:v>
      </x:c>
    </x:row>
    <x:row r="179" ht="130" customHeight="1">
      <x:c r="A179" s="10" t="n">
        <x:v>178</x:v>
      </x:c>
      <x:c r="B179" s="10" t="str">
        <x:v>ADMIN-0178</x:v>
      </x:c>
      <x:c r="C179" s="10" t="str">
        <x:v>财务结算</x:v>
      </x:c>
      <x:c r="D179" s="10" t="str">
        <x:v>公会分成记录（财务管理员）</x:v>
      </x:c>
      <x:c r="E179" s="10" t="str">
        <x:v>异常用例</x:v>
      </x:c>
      <x:c r="F179" s="10" t="str">
        <x:v>P2</x:v>
      </x:c>
      <x:c r="G179" s="9" t="str">
        <x:v>验证公会分成备注为空</x:v>
      </x:c>
      <x:c r="H179" s="9" t="str">
        <x:v>分成备注必填</x:v>
      </x:c>
      <x:c r="I179" s="9" t="str">
        <x:v>1. 财务管理员为本条执行者
2. 财务已在线下核算；依当前模板准备公会甲 10.25 USD、公会乙 20.75 USD 两行，标识均存在且无重复，分成备注“测试九月批次”</x:v>
      </x:c>
      <x:c r="J179" s="9" t="str">
        <x:v>1. 打开公会分成记录
2. 上传测试 XLSX 文件
3. 清空分成备注
4. 确认导入</x:v>
      </x:c>
      <x:c r="K179" s="9" t="str">
        <x:v>未生成分成记录</x:v>
      </x:c>
      <x:c r="L179" s="10" t="str"/>
      <x:c r="M179" s="10" t="str">
        <x:v>未测</x:v>
      </x:c>
      <x:c r="N179" s="10" t="str"/>
      <x:c r="O179" s="9" t="str">
        <x:v>1. 来源（当前证据）：liveshow-proto/MainBasis/统一需求文档.md；位置：第 3135 行；REQ-0ed4f60e4a04、第 3133 行
2. 规则：BR-2464D7DF1500D4
3. 未动态验证
4. 示例账号、编号、金额与日期是本条测试数据；执行前按前置条件准备，未填写的产品决策不得自行假定。</x:v>
      </x:c>
    </x:row>
    <x:row r="180" ht="130" customHeight="1">
      <x:c r="A180" s="10" t="n">
        <x:v>179</x:v>
      </x:c>
      <x:c r="B180" s="10" t="str">
        <x:v>ADMIN-0179</x:v>
      </x:c>
      <x:c r="C180" s="10" t="str">
        <x:v>财务结算</x:v>
      </x:c>
      <x:c r="D180" s="10" t="str">
        <x:v>公会分成记录（财务管理员）</x:v>
      </x:c>
      <x:c r="E180" s="10" t="str">
        <x:v>功能需求</x:v>
      </x:c>
      <x:c r="F180" s="10" t="str">
        <x:v>P2</x:v>
      </x:c>
      <x:c r="G180" s="9" t="str">
        <x:v>验证公会分成备注 99 字</x:v>
      </x:c>
      <x:c r="H180" s="9" t="str">
        <x:v>分成备注长度</x:v>
      </x:c>
      <x:c r="I180" s="9" t="str">
        <x:v>1. 财务管理员为本条执行者
2. 财务已在线下核算；依当前模板准备公会甲 10.25 USD、公会乙 20.75 USD 两行，标识均存在且无重复，分成备注“测试九月批次”</x:v>
      </x:c>
      <x:c r="J180" s="9" t="str">
        <x:v>1. 打开公会分成记录
2. 上传测试 XLSX 文件
3. 输入由 99 个“测”组成的分成备注
4. 确认导入</x:v>
      </x:c>
      <x:c r="K180" s="9" t="str">
        <x:v>分成记录备注为 99 个“测”</x:v>
      </x:c>
      <x:c r="L180" s="10" t="str"/>
      <x:c r="M180" s="10" t="str">
        <x:v>未测</x:v>
      </x:c>
      <x:c r="N180" s="10" t="str"/>
      <x:c r="O180" s="9" t="str">
        <x:v>1. 来源（当前证据）：liveshow-proto/MainBasis/统一需求文档.md；位置：第 3135 行；REQ-0ed4f60e4a04、第 3133 行
2. 规则：BR-0E31BC81939DFA
3. 未动态验证
4. 示例账号、编号、金额与日期是本条测试数据；执行前按前置条件准备，未填写的产品决策不得自行假定。</x:v>
      </x:c>
    </x:row>
    <x:row r="181" ht="130" customHeight="1">
      <x:c r="A181" s="10" t="n">
        <x:v>180</x:v>
      </x:c>
      <x:c r="B181" s="10" t="str">
        <x:v>ADMIN-0180</x:v>
      </x:c>
      <x:c r="C181" s="10" t="str">
        <x:v>财务结算</x:v>
      </x:c>
      <x:c r="D181" s="10" t="str">
        <x:v>公会分成记录（财务管理员）</x:v>
      </x:c>
      <x:c r="E181" s="10" t="str">
        <x:v>功能需求</x:v>
      </x:c>
      <x:c r="F181" s="10" t="str">
        <x:v>P2</x:v>
      </x:c>
      <x:c r="G181" s="9" t="str">
        <x:v>验证公会分成备注 100 字</x:v>
      </x:c>
      <x:c r="H181" s="9" t="str">
        <x:v>分成备注长度</x:v>
      </x:c>
      <x:c r="I181" s="9" t="str">
        <x:v>1. 财务管理员为本条执行者
2. 财务已在线下核算；依当前模板准备公会甲 10.25 USD、公会乙 20.75 USD 两行，标识均存在且无重复，分成备注“测试九月批次”</x:v>
      </x:c>
      <x:c r="J181" s="9" t="str">
        <x:v>1. 打开公会分成记录
2. 上传测试 XLSX 文件
3. 输入由 100 个“测”组成的分成备注
4. 确认导入</x:v>
      </x:c>
      <x:c r="K181" s="9" t="str">
        <x:v>分成记录备注为 100 个“测”</x:v>
      </x:c>
      <x:c r="L181" s="10" t="str"/>
      <x:c r="M181" s="10" t="str">
        <x:v>未测</x:v>
      </x:c>
      <x:c r="N181" s="10" t="str"/>
      <x:c r="O181" s="9" t="str">
        <x:v>1. 来源（当前证据）：liveshow-proto/MainBasis/统一需求文档.md；位置：第 3135 行；REQ-0ed4f60e4a04、第 3133 行
2. 规则：BR-B8F6B9D541E608
3. 未动态验证
4. 示例账号、编号、金额与日期是本条测试数据；执行前按前置条件准备，未填写的产品决策不得自行假定。</x:v>
      </x:c>
    </x:row>
    <x:row r="182" ht="130" customHeight="1">
      <x:c r="A182" s="10" t="n">
        <x:v>181</x:v>
      </x:c>
      <x:c r="B182" s="10" t="str">
        <x:v>ADMIN-0181</x:v>
      </x:c>
      <x:c r="C182" s="10" t="str">
        <x:v>财务结算</x:v>
      </x:c>
      <x:c r="D182" s="10" t="str">
        <x:v>公会分成记录（财务管理员）</x:v>
      </x:c>
      <x:c r="E182" s="10" t="str">
        <x:v>功能需求</x:v>
      </x:c>
      <x:c r="F182" s="10" t="str">
        <x:v>P2</x:v>
      </x:c>
      <x:c r="G182" s="9" t="str">
        <x:v>验证公会分成备注 101 字</x:v>
      </x:c>
      <x:c r="H182" s="9" t="str">
        <x:v>分成备注长度</x:v>
      </x:c>
      <x:c r="I182" s="9" t="str">
        <x:v>1. 财务管理员为本条执行者
2. 财务已在线下核算；依当前模板准备公会甲 10.25 USD、公会乙 20.75 USD 两行，标识均存在且无重复，分成备注“测试九月批次”</x:v>
      </x:c>
      <x:c r="J182" s="9" t="str">
        <x:v>1. 打开公会分成记录
2. 上传测试 XLSX 文件
3. 输入由 101 个“测”组成的分成备注
4. 确认导入</x:v>
      </x:c>
      <x:c r="K182" s="9" t="str">
        <x:v>未以 101 字备注生成分成记录</x:v>
      </x:c>
      <x:c r="L182" s="10" t="str"/>
      <x:c r="M182" s="10" t="str">
        <x:v>未测</x:v>
      </x:c>
      <x:c r="N182" s="10" t="str"/>
      <x:c r="O182" s="9" t="str">
        <x:v>1. 来源（当前证据）：liveshow-proto/MainBasis/统一需求文档.md；位置：第 3135 行；REQ-0ed4f60e4a04、第 3133 行
2. 规则：BR-0BA34FCF635402
3. 未动态验证
4. 示例账号、编号、金额与日期是本条测试数据；执行前按前置条件准备，未填写的产品决策不得自行假定。</x:v>
      </x:c>
    </x:row>
    <x:row r="183" ht="145" customHeight="1">
      <x:c r="A183" s="10" t="n">
        <x:v>182</x:v>
      </x:c>
      <x:c r="B183" s="10" t="str">
        <x:v>ADMIN-0182</x:v>
      </x:c>
      <x:c r="C183" s="10" t="str">
        <x:v>财务结算</x:v>
      </x:c>
      <x:c r="D183" s="10" t="str">
        <x:v>公会分成记录详情（财务管理员）</x:v>
      </x:c>
      <x:c r="E183" s="10" t="str">
        <x:v>功能需求</x:v>
      </x:c>
      <x:c r="F183" s="10" t="str">
        <x:v>P2</x:v>
      </x:c>
      <x:c r="G183" s="9" t="str">
        <x:v>验证公会分成批次总额与明细一致</x:v>
      </x:c>
      <x:c r="H183" s="9" t="str">
        <x:v>分成总金额</x:v>
      </x:c>
      <x:c r="I183" s="9" t="str">
        <x:v>1. 财务管理员为本条执行者
2. 已导入批次含公会甲 10.25 USD、公会乙 20.75 USD，两条明细</x:v>
      </x:c>
      <x:c r="J183" s="9" t="str">
        <x:v>1. 打开该公会分成记录详情</x:v>
      </x:c>
      <x:c r="K183" s="9" t="str">
        <x:v>分成总金额 = 31 USD</x:v>
      </x:c>
      <x:c r="L183" s="10" t="str">
        <x:v>FLOW-8FE0E611</x:v>
      </x:c>
      <x:c r="M183" s="10" t="str">
        <x:v>未测</x:v>
      </x:c>
      <x:c r="N183" s="10" t="str"/>
      <x:c r="O183" s="9" t="str">
        <x:v>1. 来源（当前证据）：liveshow-proto/MainBasis/统一需求文档.md；位置：第 3150 行；REQ-6a167aa9190d、第 3151 行；REQ-95c2ebec4848、第 3145 行
2. 规则：BR-A338A7C7486E67
3. 未动态验证
4. 示例账号、编号、金额与日期是本条测试数据；执行前按前置条件准备，未填写的产品决策不得自行假定。</x:v>
      </x:c>
    </x:row>
    <x:row r="184" ht="145" customHeight="1">
      <x:c r="A184" s="10" t="n">
        <x:v>183</x:v>
      </x:c>
      <x:c r="B184" s="10" t="str">
        <x:v>ADMIN-0183</x:v>
      </x:c>
      <x:c r="C184" s="10" t="str">
        <x:v>财务结算</x:v>
      </x:c>
      <x:c r="D184" s="10" t="str">
        <x:v>公会分成记录详情（财务管理员）</x:v>
      </x:c>
      <x:c r="E184" s="10" t="str">
        <x:v>功能需求</x:v>
      </x:c>
      <x:c r="F184" s="10" t="str">
        <x:v>P2</x:v>
      </x:c>
      <x:c r="G184" s="9" t="str">
        <x:v>验证公会分成批次总额与明细一致</x:v>
      </x:c>
      <x:c r="H184" s="9" t="str">
        <x:v>分成详情只读</x:v>
      </x:c>
      <x:c r="I184" s="9" t="str">
        <x:v>1. 财务管理员为本条执行者
2. 已导入批次含公会甲 10.25 USD、公会乙 20.75 USD，两条明细</x:v>
      </x:c>
      <x:c r="J184" s="9" t="str">
        <x:v>1. 打开该公会分成记录详情</x:v>
      </x:c>
      <x:c r="K184" s="9" t="str">
        <x:v>分成明细不可编辑</x:v>
      </x:c>
      <x:c r="L184" s="10" t="str">
        <x:v>FLOW-8FE0E611</x:v>
      </x:c>
      <x:c r="M184" s="10" t="str">
        <x:v>未测</x:v>
      </x:c>
      <x:c r="N184" s="10" t="str"/>
      <x:c r="O184" s="9" t="str">
        <x:v>1. 来源（当前证据）：liveshow-proto/MainBasis/统一需求文档.md；位置：第 3150 行；REQ-6a167aa9190d、第 3151 行；REQ-95c2ebec4848、第 3145 行
2. 规则：BR-246F1825ABFF13
3. 未动态验证
4. 示例账号、编号、金额与日期是本条测试数据；执行前按前置条件准备，未填写的产品决策不得自行假定。</x:v>
      </x:c>
    </x:row>
    <x:row r="185" ht="175" customHeight="1">
      <x:c r="A185" s="10" t="n">
        <x:v>184</x:v>
      </x:c>
      <x:c r="B185" s="10" t="str">
        <x:v>ADMIN-0184</x:v>
      </x:c>
      <x:c r="C185" s="10" t="str">
        <x:v>财务结算</x:v>
      </x:c>
      <x:c r="D185" s="10" t="str">
        <x:v>余额变更记录（财务管理员）</x:v>
      </x:c>
      <x:c r="E185" s="10" t="str">
        <x:v>功能需求</x:v>
      </x:c>
      <x:c r="F185" s="10" t="str">
        <x:v>P2</x:v>
      </x:c>
      <x:c r="G185" s="9" t="str">
        <x:v>验证公会分成余额修正 -100.01 USD</x:v>
      </x:c>
      <x:c r="H185" s="9" t="str">
        <x:v>修正金额校验</x:v>
      </x:c>
      <x:c r="I185" s="9" t="str">
        <x:v>1. 财务管理员为本条执行者
2. 公会甲分成账户余额为 100.00 USD，本次备注“测试分成修正”</x:v>
      </x:c>
      <x:c r="J185" s="9" t="str">
        <x:v>1. 打开公会甲余额变更记录
2. 点击余额变更
3. 输入变更金额 -100.01
4. 输入备注“测试分成修正”
5. 确认变更</x:v>
      </x:c>
      <x:c r="K185" s="9" t="str">
        <x:v>未生成分成修正流水</x:v>
      </x:c>
      <x:c r="L185" s="10" t="str"/>
      <x:c r="M185" s="10" t="str">
        <x:v>未测</x:v>
      </x:c>
      <x:c r="N185" s="10" t="str"/>
      <x:c r="O185" s="9" t="str">
        <x:v>1. 来源（当前证据）：liveshow-proto/MainBasis/统一需求文档.md；位置：第 3164 行；REQ-8a628d4e413b、第 3165 行；REQ-920e4b0cd27e、第 3168 行；REQ-50c4cda7f579、第 3169 行；REQ-10cdd0a73bbb、第 3161 行
2. 规则：BR-8FE48B25A0374E
3. 未动态验证
4. 示例账号、编号、金额与日期是本条测试数据；执行前按前置条件准备，未填写的产品决策不得自行假定。</x:v>
      </x:c>
    </x:row>
    <x:row r="186" ht="175" customHeight="1">
      <x:c r="A186" s="10" t="n">
        <x:v>185</x:v>
      </x:c>
      <x:c r="B186" s="10" t="str">
        <x:v>ADMIN-0185</x:v>
      </x:c>
      <x:c r="C186" s="10" t="str">
        <x:v>财务结算</x:v>
      </x:c>
      <x:c r="D186" s="10" t="str">
        <x:v>余额变更记录（财务管理员）</x:v>
      </x:c>
      <x:c r="E186" s="10" t="str">
        <x:v>功能需求</x:v>
      </x:c>
      <x:c r="F186" s="10" t="str">
        <x:v>P2</x:v>
      </x:c>
      <x:c r="G186" s="9" t="str">
        <x:v>验证公会分成余额修正 -100 USD</x:v>
      </x:c>
      <x:c r="H186" s="9" t="str">
        <x:v>变更后余额</x:v>
      </x:c>
      <x:c r="I186" s="9" t="str">
        <x:v>1. 财务管理员为本条执行者
2. 公会甲分成账户余额为 100.00 USD，本次备注“测试分成修正”</x:v>
      </x:c>
      <x:c r="J186" s="9" t="str">
        <x:v>1. 打开公会甲余额变更记录
2. 点击余额变更
3. 输入变更金额 -100
4. 输入备注“测试分成修正”
5. 确认变更</x:v>
      </x:c>
      <x:c r="K186" s="9" t="str">
        <x:v>变更后余额 = 0 USD</x:v>
      </x:c>
      <x:c r="L186" s="10" t="str"/>
      <x:c r="M186" s="10" t="str">
        <x:v>未测</x:v>
      </x:c>
      <x:c r="N186" s="10" t="str"/>
      <x:c r="O186" s="9" t="str">
        <x:v>1. 来源（当前证据）：liveshow-proto/MainBasis/统一需求文档.md；位置：第 3164 行；REQ-8a628d4e413b、第 3165 行；REQ-920e4b0cd27e、第 3168 行；REQ-50c4cda7f579、第 3169 行；REQ-10cdd0a73bbb、第 3161 行
2. 规则：BR-2C6BB5CE46673C
3. 未动态验证
4. 示例账号、编号、金额与日期是本条测试数据；执行前按前置条件准备，未填写的产品决策不得自行假定。</x:v>
      </x:c>
    </x:row>
    <x:row r="187" ht="175" customHeight="1">
      <x:c r="A187" s="10" t="n">
        <x:v>186</x:v>
      </x:c>
      <x:c r="B187" s="10" t="str">
        <x:v>ADMIN-0186</x:v>
      </x:c>
      <x:c r="C187" s="10" t="str">
        <x:v>财务结算</x:v>
      </x:c>
      <x:c r="D187" s="10" t="str">
        <x:v>余额变更记录（财务管理员）</x:v>
      </x:c>
      <x:c r="E187" s="10" t="str">
        <x:v>功能需求</x:v>
      </x:c>
      <x:c r="F187" s="10" t="str">
        <x:v>P2</x:v>
      </x:c>
      <x:c r="G187" s="9" t="str">
        <x:v>验证公会分成余额修正 -99.99 USD</x:v>
      </x:c>
      <x:c r="H187" s="9" t="str">
        <x:v>变更后余额</x:v>
      </x:c>
      <x:c r="I187" s="9" t="str">
        <x:v>1. 财务管理员为本条执行者
2. 公会甲分成账户余额为 100.00 USD，本次备注“测试分成修正”</x:v>
      </x:c>
      <x:c r="J187" s="9" t="str">
        <x:v>1. 打开公会甲余额变更记录
2. 点击余额变更
3. 输入变更金额 -99.99
4. 输入备注“测试分成修正”
5. 确认变更</x:v>
      </x:c>
      <x:c r="K187" s="9" t="str">
        <x:v>变更后余额 = 0.01 USD</x:v>
      </x:c>
      <x:c r="L187" s="10" t="str"/>
      <x:c r="M187" s="10" t="str">
        <x:v>未测</x:v>
      </x:c>
      <x:c r="N187" s="10" t="str"/>
      <x:c r="O187" s="9" t="str">
        <x:v>1. 来源（当前证据）：liveshow-proto/MainBasis/统一需求文档.md；位置：第 3164 行；REQ-8a628d4e413b、第 3165 行；REQ-920e4b0cd27e、第 3168 行；REQ-50c4cda7f579、第 3169 行；REQ-10cdd0a73bbb、第 3161 行
2. 规则：BR-6AE70F16F167D1
3. 未动态验证
4. 示例账号、编号、金额与日期是本条测试数据；执行前按前置条件准备，未填写的产品决策不得自行假定。</x:v>
      </x:c>
    </x:row>
    <x:row r="188" ht="175" customHeight="1">
      <x:c r="A188" s="10" t="n">
        <x:v>187</x:v>
      </x:c>
      <x:c r="B188" s="10" t="str">
        <x:v>ADMIN-0187</x:v>
      </x:c>
      <x:c r="C188" s="10" t="str">
        <x:v>财务结算</x:v>
      </x:c>
      <x:c r="D188" s="10" t="str">
        <x:v>余额变更记录（财务管理员）</x:v>
      </x:c>
      <x:c r="E188" s="10" t="str">
        <x:v>功能需求</x:v>
      </x:c>
      <x:c r="F188" s="10" t="str">
        <x:v>P2</x:v>
      </x:c>
      <x:c r="G188" s="9" t="str">
        <x:v>验证公会分成余额修正 0 USD</x:v>
      </x:c>
      <x:c r="H188" s="9" t="str">
        <x:v>修正金额校验</x:v>
      </x:c>
      <x:c r="I188" s="9" t="str">
        <x:v>1. 财务管理员为本条执行者
2. 公会甲分成账户余额为 100.00 USD，本次备注“测试分成修正”</x:v>
      </x:c>
      <x:c r="J188" s="9" t="str">
        <x:v>1. 打开公会甲余额变更记录
2. 点击余额变更
3. 输入变更金额 0
4. 输入备注“测试分成修正”
5. 确认变更</x:v>
      </x:c>
      <x:c r="K188" s="9" t="str">
        <x:v>未生成分成修正流水</x:v>
      </x:c>
      <x:c r="L188" s="10" t="str"/>
      <x:c r="M188" s="10" t="str">
        <x:v>未测</x:v>
      </x:c>
      <x:c r="N188" s="10" t="str"/>
      <x:c r="O188" s="9" t="str">
        <x:v>1. 来源（当前证据）：liveshow-proto/MainBasis/统一需求文档.md；位置：第 3164 行；REQ-8a628d4e413b、第 3165 行；REQ-920e4b0cd27e、第 3168 行；REQ-50c4cda7f579、第 3169 行；REQ-10cdd0a73bbb、第 3161 行
2. 规则：BR-68F3C9BF3FB87B
3. 未动态验证
4. 示例账号、编号、金额与日期是本条测试数据；执行前按前置条件准备，未填写的产品决策不得自行假定。</x:v>
      </x:c>
    </x:row>
    <x:row r="189" ht="175" customHeight="1">
      <x:c r="A189" s="10" t="n">
        <x:v>188</x:v>
      </x:c>
      <x:c r="B189" s="10" t="str">
        <x:v>ADMIN-0188</x:v>
      </x:c>
      <x:c r="C189" s="10" t="str">
        <x:v>财务结算</x:v>
      </x:c>
      <x:c r="D189" s="10" t="str">
        <x:v>余额变更记录（财务管理员）</x:v>
      </x:c>
      <x:c r="E189" s="10" t="str">
        <x:v>功能需求</x:v>
      </x:c>
      <x:c r="F189" s="10" t="str">
        <x:v>P2</x:v>
      </x:c>
      <x:c r="G189" s="9" t="str">
        <x:v>验证公会分成余额修正 0.001 USD</x:v>
      </x:c>
      <x:c r="H189" s="9" t="str">
        <x:v>修正金额校验</x:v>
      </x:c>
      <x:c r="I189" s="9" t="str">
        <x:v>1. 财务管理员为本条执行者
2. 公会甲分成账户余额为 100.00 USD，本次备注“测试分成修正”</x:v>
      </x:c>
      <x:c r="J189" s="9" t="str">
        <x:v>1. 打开公会甲余额变更记录
2. 点击余额变更
3. 输入变更金额 0.001
4. 输入备注“测试分成修正”
5. 确认变更</x:v>
      </x:c>
      <x:c r="K189" s="9" t="str">
        <x:v>未生成分成修正流水</x:v>
      </x:c>
      <x:c r="L189" s="10" t="str"/>
      <x:c r="M189" s="10" t="str">
        <x:v>未测</x:v>
      </x:c>
      <x:c r="N189" s="10" t="str"/>
      <x:c r="O189" s="9" t="str">
        <x:v>1. 来源（当前证据）：liveshow-proto/MainBasis/统一需求文档.md；位置：第 3164 行；REQ-8a628d4e413b、第 3165 行；REQ-920e4b0cd27e、第 3168 行；REQ-50c4cda7f579、第 3169 行；REQ-10cdd0a73bbb、第 3161 行
2. 规则：BR-FF0751F6445B81
3. 未动态验证
4. 示例账号、编号、金额与日期是本条测试数据；执行前按前置条件准备，未填写的产品决策不得自行假定。</x:v>
      </x:c>
    </x:row>
    <x:row r="190" ht="175" customHeight="1">
      <x:c r="A190" s="10" t="n">
        <x:v>189</x:v>
      </x:c>
      <x:c r="B190" s="10" t="str">
        <x:v>ADMIN-0189</x:v>
      </x:c>
      <x:c r="C190" s="10" t="str">
        <x:v>财务结算</x:v>
      </x:c>
      <x:c r="D190" s="10" t="str">
        <x:v>余额变更记录（财务管理员）</x:v>
      </x:c>
      <x:c r="E190" s="10" t="str">
        <x:v>功能需求</x:v>
      </x:c>
      <x:c r="F190" s="10" t="str">
        <x:v>P2</x:v>
      </x:c>
      <x:c r="G190" s="9" t="str">
        <x:v>验证公会分成余额修正 0.01 USD</x:v>
      </x:c>
      <x:c r="H190" s="9" t="str">
        <x:v>变更后余额</x:v>
      </x:c>
      <x:c r="I190" s="9" t="str">
        <x:v>1. 财务管理员为本条执行者
2. 公会甲分成账户余额为 100.00 USD，本次备注“测试分成修正”</x:v>
      </x:c>
      <x:c r="J190" s="9" t="str">
        <x:v>1. 打开公会甲余额变更记录
2. 点击余额变更
3. 输入变更金额 0.01
4. 输入备注“测试分成修正”
5. 确认变更</x:v>
      </x:c>
      <x:c r="K190" s="9" t="str">
        <x:v>变更后余额 = 100.01 USD</x:v>
      </x:c>
      <x:c r="L190" s="10" t="str"/>
      <x:c r="M190" s="10" t="str">
        <x:v>未测</x:v>
      </x:c>
      <x:c r="N190" s="10" t="str"/>
      <x:c r="O190" s="9" t="str">
        <x:v>1. 来源（当前证据）：liveshow-proto/MainBasis/统一需求文档.md；位置：第 3164 行；REQ-8a628d4e413b、第 3165 行；REQ-920e4b0cd27e、第 3168 行；REQ-50c4cda7f579、第 3169 行；REQ-10cdd0a73bbb、第 3161 行
2. 规则：BR-AB06AB5D52046A
3. 未动态验证
4. 示例账号、编号、金额与日期是本条测试数据；执行前按前置条件准备，未填写的产品决策不得自行假定。</x:v>
      </x:c>
    </x:row>
    <x:row r="191" ht="175" customHeight="1">
      <x:c r="A191" s="10" t="n">
        <x:v>190</x:v>
      </x:c>
      <x:c r="B191" s="10" t="str">
        <x:v>ADMIN-0190</x:v>
      </x:c>
      <x:c r="C191" s="10" t="str">
        <x:v>财务结算</x:v>
      </x:c>
      <x:c r="D191" s="10" t="str">
        <x:v>余额变更记录（财务管理员）</x:v>
      </x:c>
      <x:c r="E191" s="10" t="str">
        <x:v>功能需求</x:v>
      </x:c>
      <x:c r="F191" s="10" t="str">
        <x:v>P2</x:v>
      </x:c>
      <x:c r="G191" s="9" t="str">
        <x:v>验证公会分成余额修正 10.25 USD</x:v>
      </x:c>
      <x:c r="H191" s="9" t="str">
        <x:v>变更后余额</x:v>
      </x:c>
      <x:c r="I191" s="9" t="str">
        <x:v>1. 财务管理员为本条执行者
2. 公会甲分成账户余额为 100.00 USD，本次备注“测试分成修正”</x:v>
      </x:c>
      <x:c r="J191" s="9" t="str">
        <x:v>1. 打开公会甲余额变更记录
2. 点击余额变更
3. 输入变更金额 10.25
4. 输入备注“测试分成修正”
5. 确认变更</x:v>
      </x:c>
      <x:c r="K191" s="9" t="str">
        <x:v>变更后余额 = 110.25 USD</x:v>
      </x:c>
      <x:c r="L191" s="10" t="str"/>
      <x:c r="M191" s="10" t="str">
        <x:v>未测</x:v>
      </x:c>
      <x:c r="N191" s="10" t="str"/>
      <x:c r="O191" s="9" t="str">
        <x:v>1. 来源（当前证据）：liveshow-proto/MainBasis/统一需求文档.md；位置：第 3164 行；REQ-8a628d4e413b、第 3165 行；REQ-920e4b0cd27e、第 3168 行；REQ-50c4cda7f579、第 3169 行；REQ-10cdd0a73bbb、第 3161 行
2. 规则：BR-A74E4C290F8939
3. 未动态验证
4. 示例账号、编号、金额与日期是本条测试数据；执行前按前置条件准备，未填写的产品决策不得自行假定。</x:v>
      </x:c>
    </x:row>
    <x:row r="192" ht="130" customHeight="1">
      <x:c r="A192" s="10" t="n">
        <x:v>191</x:v>
      </x:c>
      <x:c r="B192" s="10" t="str">
        <x:v>ADMIN-0191</x:v>
      </x:c>
      <x:c r="C192" s="10" t="str">
        <x:v>财务结算</x:v>
      </x:c>
      <x:c r="D192" s="10" t="str">
        <x:v>余额变更记录（财务管理员）</x:v>
      </x:c>
      <x:c r="E192" s="10" t="str">
        <x:v>功能需求</x:v>
      </x:c>
      <x:c r="F192" s="10" t="str">
        <x:v>P2</x:v>
      </x:c>
      <x:c r="G192" s="9" t="str">
        <x:v>验证公会分成修正必须填写备注</x:v>
      </x:c>
      <x:c r="H192" s="9" t="str">
        <x:v>修正备注必填</x:v>
      </x:c>
      <x:c r="I192" s="9" t="str">
        <x:v>1. 财务管理员为本条执行者
2. 公会甲分成账户余额为 100.00 USD，本次备注“测试分成修正”</x:v>
      </x:c>
      <x:c r="J192" s="9" t="str">
        <x:v>1. 打开公会甲余额变更记录
2. 点击余额变更
3. 输入变更金额 1.00
4. 清空备注
5. 确认变更</x:v>
      </x:c>
      <x:c r="K192" s="9" t="str">
        <x:v>未生成分成修正流水</x:v>
      </x:c>
      <x:c r="L192" s="10" t="str"/>
      <x:c r="M192" s="10" t="str">
        <x:v>未测</x:v>
      </x:c>
      <x:c r="N192" s="10" t="str"/>
      <x:c r="O192" s="9" t="str">
        <x:v>1. 来源（当前证据）：liveshow-proto/MainBasis/统一需求文档.md；位置：第 3166 行；REQ-18bd9d82a7d0、第 3161 行
2. 规则：BR-6244EC5B5BE2A9
3. 未动态验证
4. 示例账号、编号、金额与日期是本条测试数据；执行前按前置条件准备，未填写的产品决策不得自行假定。</x:v>
      </x:c>
    </x:row>
    <x:row r="193" ht="205" customHeight="1">
      <x:c r="A193" s="10" t="n">
        <x:v>192</x:v>
      </x:c>
      <x:c r="B193" s="10" t="str">
        <x:v>ADMIN-0192</x:v>
      </x:c>
      <x:c r="C193" s="10" t="str">
        <x:v>订单管理</x:v>
      </x:c>
      <x:c r="D193" s="10" t="str">
        <x:v>消费订单（财务管理员）</x:v>
      </x:c>
      <x:c r="E193" s="10" t="str">
        <x:v>功能需求</x:v>
      </x:c>
      <x:c r="F193" s="10" t="str">
        <x:v>P2</x:v>
      </x:c>
      <x:c r="G193" s="9" t="str">
        <x:v>验证后台查询新生成的礼物消费订单</x:v>
      </x:c>
      <x:c r="H193" s="9" t="str">
        <x:v>消费订单形成</x:v>
      </x:c>
      <x:c r="I193" s="9" t="str">
        <x:v>1. 财务管理员为本条执行者
2. 用户甲在主播乙 S001 成功赠送礼物甲，生成订单 E001</x:v>
      </x:c>
      <x:c r="J193" s="9" t="str">
        <x:v>1. 打开消费订单
2. 查询订单号 E001</x:v>
      </x:c>
      <x:c r="K193" s="9" t="str">
        <x:v>列表包含消费成功的订单 E001</x:v>
      </x:c>
      <x:c r="L193" s="10" t="str">
        <x:v>FLOW-3674B837</x:v>
      </x:c>
      <x:c r="M193" s="10" t="str">
        <x:v>未测</x:v>
      </x:c>
      <x:c r="N193" s="10" t="str"/>
      <x:c r="O193" s="9" t="str">
        <x:v>1. 来源（当前证据）：liveshow-proto/MainBasis/统一需求文档.md；位置：第 3060 行；REQ-fa2f2cd06047、第 3061 行；REQ-ce5a3ea958dd、第 3062 行；REQ-1c89bea50533、第 3063 行；REQ-d4f480f23cac、第 3065 行；REQ-ad02ff530d39、第 3066 行；REQ-290d7b832404、第 3067 行；REQ-e73bc1482a71、第 3057 行
2. 规则：BR-A82C7AA410242A
3. 未动态验证
4. 示例账号、编号、金额与日期是本条测试数据；执行前按前置条件准备，未填写的产品决策不得自行假定。</x:v>
      </x:c>
    </x:row>
    <x:row r="194" ht="160" customHeight="1">
      <x:c r="A194" s="10" t="n">
        <x:v>193</x:v>
      </x:c>
      <x:c r="B194" s="10" t="str">
        <x:v>ADMIN-0193</x:v>
      </x:c>
      <x:c r="C194" s="10" t="str">
        <x:v>运营账号</x:v>
      </x:c>
      <x:c r="D194" s="10" t="str">
        <x:v>发放记录（平台管理员）</x:v>
      </x:c>
      <x:c r="E194" s="10" t="str">
        <x:v>功能需求</x:v>
      </x:c>
      <x:c r="F194" s="10" t="str">
        <x:v>P1</x:v>
      </x:c>
      <x:c r="G194" s="9" t="str">
        <x:v>验证后台追溯公会虚拟金币发放</x:v>
      </x:c>
      <x:c r="H194" s="9" t="str">
        <x:v>发放执行者归属</x:v>
      </x:c>
      <x:c r="I194" s="9" t="str">
        <x:v>1. 平台管理员为本条执行者
2. 公会甲刚向 O001 成功发放 150 金币，发放前余额 100，操作人为公会长甲</x:v>
      </x:c>
      <x:c r="J194" s="9" t="str">
        <x:v>1. 打开发放记录
2. 查询运营账号 O001</x:v>
      </x:c>
      <x:c r="K194" s="9" t="str">
        <x:v>本次发放操作人显示公会长甲</x:v>
      </x:c>
      <x:c r="L194" s="10" t="str">
        <x:v>FLOW-E6B5F087</x:v>
      </x:c>
      <x:c r="M194" s="10" t="str">
        <x:v>未测</x:v>
      </x:c>
      <x:c r="N194" s="10" t="str"/>
      <x:c r="O194" s="9" t="str">
        <x:v>1. 来源（当前证据）：liveshow-proto/MainBasis/统一需求文档.md；位置：第 3374 行；REQ-dafa95393229、第 3375 行；REQ-2d8cefe6c177、第 3376 行；REQ-fd0506fa2db0、第 3372 行
2. 规则：BR-EACA384A4825E5
3. 未动态验证
4. 示例账号、编号、金额与日期是本条测试数据；执行前按前置条件准备，未填写的产品决策不得自行假定。</x:v>
      </x:c>
    </x:row>
    <x:row r="195" ht="160" customHeight="1">
      <x:c r="A195" s="10" t="n">
        <x:v>194</x:v>
      </x:c>
      <x:c r="B195" s="10" t="str">
        <x:v>ADMIN-0194</x:v>
      </x:c>
      <x:c r="C195" s="10" t="str">
        <x:v>运营账号</x:v>
      </x:c>
      <x:c r="D195" s="10" t="str">
        <x:v>发放记录（平台管理员）</x:v>
      </x:c>
      <x:c r="E195" s="10" t="str">
        <x:v>功能需求</x:v>
      </x:c>
      <x:c r="F195" s="10" t="str">
        <x:v>P1</x:v>
      </x:c>
      <x:c r="G195" s="9" t="str">
        <x:v>验证后台追溯公会虚拟金币发放</x:v>
      </x:c>
      <x:c r="H195" s="9" t="str">
        <x:v>发放后余额</x:v>
      </x:c>
      <x:c r="I195" s="9" t="str">
        <x:v>1. 平台管理员为本条执行者
2. 公会甲刚向 O001 成功发放 150 金币，发放前余额 100，操作人为公会长甲</x:v>
      </x:c>
      <x:c r="J195" s="9" t="str">
        <x:v>1. 打开发放记录
2. 查询运营账号 O001</x:v>
      </x:c>
      <x:c r="K195" s="9" t="str">
        <x:v>发放后余额 = 250 金币</x:v>
      </x:c>
      <x:c r="L195" s="10" t="str">
        <x:v>FLOW-E6B5F087</x:v>
      </x:c>
      <x:c r="M195" s="10" t="str">
        <x:v>未测</x:v>
      </x:c>
      <x:c r="N195" s="10" t="str"/>
      <x:c r="O195" s="9" t="str">
        <x:v>1. 来源（当前证据）：liveshow-proto/MainBasis/统一需求文档.md；位置：第 3374 行；REQ-dafa95393229、第 3375 行；REQ-2d8cefe6c177、第 3376 行；REQ-fd0506fa2db0、第 3372 行
2. 规则：BR-3E350623491B02
3. 未动态验证
4. 示例账号、编号、金额与日期是本条测试数据；执行前按前置条件准备，未填写的产品决策不得自行假定。</x:v>
      </x:c>
    </x:row>
    <x:row r="196" ht="130" customHeight="1">
      <x:c r="A196" s="10" t="n">
        <x:v>195</x:v>
      </x:c>
      <x:c r="B196" s="10" t="str">
        <x:v>ADMIN-0195</x:v>
      </x:c>
      <x:c r="C196" s="10" t="str">
        <x:v>用户管理</x:v>
      </x:c>
      <x:c r="D196" s="10" t="str">
        <x:v>用户详情（平台管理员）</x:v>
      </x:c>
      <x:c r="E196" s="10" t="str">
        <x:v>异常用例</x:v>
      </x:c>
      <x:c r="F196" s="10" t="str">
        <x:v>P1</x:v>
      </x:c>
      <x:c r="G196" s="9" t="str">
        <x:v>验证后台封禁正在直播的账号</x:v>
      </x:c>
      <x:c r="H196" s="9" t="str">
        <x:v>后台账号封禁状态</x:v>
      </x:c>
      <x:c r="I196" s="9" t="str">
        <x:v>1. 平台管理员为本条执行者
2. 账号甲当前正常，有正在直播的场次 S001，账号已经登录用户 App</x:v>
      </x:c>
      <x:c r="J196" s="9" t="str">
        <x:v>1. 打开账号甲详情
2. 点击封禁
3. 输入原因“测试账号违规”
4. 确认封禁</x:v>
      </x:c>
      <x:c r="K196" s="9" t="str">
        <x:v>账号甲状态显示封禁</x:v>
      </x:c>
      <x:c r="L196" s="10" t="str">
        <x:v>FLOW-449636A1</x:v>
      </x:c>
      <x:c r="M196" s="10" t="str">
        <x:v>未测</x:v>
      </x:c>
      <x:c r="N196" s="10" t="str"/>
      <x:c r="O196" s="9" t="str">
        <x:v>1. 来源（当前证据）：liveshow-proto/MainBasis/统一需求文档.md；位置：第 2516 行；REQ-12e618050f4f、第 2514 行
2. 规则：BR-A47092EE4E2ADF
3. 未动态验证
4. 示例账号、编号、金额与日期是本条测试数据；执行前按前置条件准备，未填写的产品决策不得自行假定。</x:v>
      </x:c>
    </x:row>
    <x:row r="197" ht="145" customHeight="1">
      <x:c r="A197" s="10" t="n">
        <x:v>196</x:v>
      </x:c>
      <x:c r="B197" s="10" t="str">
        <x:v>ADMIN-0196</x:v>
      </x:c>
      <x:c r="C197" s="10" t="str">
        <x:v>用户管理</x:v>
      </x:c>
      <x:c r="D197" s="10" t="str">
        <x:v>用户详情（平台管理员）</x:v>
      </x:c>
      <x:c r="E197" s="10" t="str">
        <x:v>功能需求</x:v>
      </x:c>
      <x:c r="F197" s="10" t="str">
        <x:v>P1</x:v>
      </x:c>
      <x:c r="G197" s="9" t="str">
        <x:v>验证解封账号不恢复单独关闭的直播权限</x:v>
      </x:c>
      <x:c r="H197" s="9" t="str">
        <x:v>账号状态解封</x:v>
      </x:c>
      <x:c r="I197" s="9" t="str">
        <x:v>1. 平台管理员为本条执行者
2. 账号甲当前正常，有正在直播的场次 S001，账号已经登录用户 App
3. 本条账号甲已被封禁且直播权限已单独关闭</x:v>
      </x:c>
      <x:c r="J197" s="9" t="str">
        <x:v>1. 打开账号甲详情
2. 点击解封
3. 确认解封</x:v>
      </x:c>
      <x:c r="K197" s="9" t="str">
        <x:v>账号甲状态显示正常</x:v>
      </x:c>
      <x:c r="L197" s="10" t="str"/>
      <x:c r="M197" s="10" t="str">
        <x:v>未测</x:v>
      </x:c>
      <x:c r="N197" s="10" t="str"/>
      <x:c r="O197" s="9" t="str">
        <x:v>1. 来源（当前证据）：liveshow-proto/MainBasis/统一需求文档.md；位置：第 2516 行；REQ-12e618050f4f、第 2523 行；REQ-9cc42d630910、第 2514 行
2. 规则：BR-5E7C6EF2F63F4F
3. 未动态验证
4. 示例账号、编号、金额与日期是本条测试数据；执行前按前置条件准备，未填写的产品决策不得自行假定。</x:v>
      </x:c>
    </x:row>
    <x:row r="198" ht="160" customHeight="1">
      <x:c r="A198" s="10" t="n">
        <x:v>197</x:v>
      </x:c>
      <x:c r="B198" s="10" t="str">
        <x:v>ADMIN-0197</x:v>
      </x:c>
      <x:c r="C198" s="10" t="str">
        <x:v>公会管理</x:v>
      </x:c>
      <x:c r="D198" s="10" t="str">
        <x:v>公会详情（平台管理员）</x:v>
      </x:c>
      <x:c r="E198" s="10" t="str">
        <x:v>功能需求</x:v>
      </x:c>
      <x:c r="F198" s="10" t="str">
        <x:v>P2</x:v>
      </x:c>
      <x:c r="G198" s="9" t="str">
        <x:v>验证平台停用公会</x:v>
      </x:c>
      <x:c r="H198" s="9" t="str">
        <x:v>公会停用状态</x:v>
      </x:c>
      <x:c r="I198" s="9" t="str">
        <x:v>1. 平台管理员为本条执行者
2. 公会甲当前启用，公会长甲可登录，主播乙在公会甲的 S001 直播</x:v>
      </x:c>
      <x:c r="J198" s="9" t="str">
        <x:v>1. 打开公会甲详情
2. 点击公会停用
3. 确认停用</x:v>
      </x:c>
      <x:c r="K198" s="9" t="str">
        <x:v>公会甲状态显示停用</x:v>
      </x:c>
      <x:c r="L198" s="10" t="str">
        <x:v>FLOW-BBDF5E6E</x:v>
      </x:c>
      <x:c r="M198" s="10" t="str">
        <x:v>未测</x:v>
      </x:c>
      <x:c r="N198" s="10" t="str"/>
      <x:c r="O198" s="9" t="str">
        <x:v>1. 来源（当前证据）：liveshow-proto/MainBasis/统一需求文档.md；位置：第 2721 行；REQ-98bbfd149ca6、第 2726 行；REQ-06e5fe687f7e、第 2727 行；REQ-99fe0d1b0f0e、第 2716 行
2. 规则：BR-3FBD0C99C79245
3. 未动态验证
4. 示例账号、编号、金额与日期是本条测试数据；执行前按前置条件准备，未填写的产品决策不得自行假定。</x:v>
      </x:c>
    </x:row>
    <x:row r="199" ht="175" customHeight="1">
      <x:c r="A199" s="10" t="n">
        <x:v>198</x:v>
      </x:c>
      <x:c r="B199" s="10" t="str">
        <x:v>ADMIN-0198</x:v>
      </x:c>
      <x:c r="C199" s="10" t="str">
        <x:v>公会管理</x:v>
      </x:c>
      <x:c r="D199" s="10" t="str">
        <x:v>公会详情（平台管理员）</x:v>
      </x:c>
      <x:c r="E199" s="10" t="str">
        <x:v>功能需求</x:v>
      </x:c>
      <x:c r="F199" s="10" t="str">
        <x:v>P2</x:v>
      </x:c>
      <x:c r="G199" s="9" t="str">
        <x:v>验证单独停用公会长账号不停止主播</x:v>
      </x:c>
      <x:c r="H199" s="9" t="str">
        <x:v>公会与会长账号状态分离</x:v>
      </x:c>
      <x:c r="I199" s="9" t="str">
        <x:v>1. 平台管理员为本条执行者
2. 公会甲当前启用，公会长甲可登录，主播乙在公会甲的 S001 直播
3. 仅变更公会长账号状态，公会甲保持启用</x:v>
      </x:c>
      <x:c r="J199" s="9" t="str">
        <x:v>1. 打开公会甲详情
2. 点击公会长账号停用
3. 确认停用</x:v>
      </x:c>
      <x:c r="K199" s="9" t="str">
        <x:v>公会甲仍为启用状态</x:v>
      </x:c>
      <x:c r="L199" s="10" t="str"/>
      <x:c r="M199" s="10" t="str">
        <x:v>未测</x:v>
      </x:c>
      <x:c r="N199" s="10" t="str"/>
      <x:c r="O199" s="9" t="str">
        <x:v>1. 来源（当前证据）：liveshow-proto/MainBasis/统一需求文档.md；位置：第 2721 行；REQ-98bbfd149ca6、第 2726 行；REQ-06e5fe687f7e、第 2727 行；REQ-99fe0d1b0f0e、第 2728 行；REQ-0463379c3d50、第 2716 行
2. 规则：BR-B2452F51D2F836
3. 未动态验证
4. 示例账号、编号、金额与日期是本条测试数据；执行前按前置条件准备，未填写的产品决策不得自行假定。</x:v>
      </x:c>
    </x:row>
    <x:row r="200" ht="130" customHeight="1">
      <x:c r="A200" s="10" t="n">
        <x:v>199</x:v>
      </x:c>
      <x:c r="B200" s="10" t="str">
        <x:v>ADMIN-0199</x:v>
      </x:c>
      <x:c r="C200" s="10" t="str">
        <x:v>公会管理</x:v>
      </x:c>
      <x:c r="D200" s="10" t="str">
        <x:v>公会详情（平台管理员）</x:v>
      </x:c>
      <x:c r="E200" s="10" t="str">
        <x:v>功能需求</x:v>
      </x:c>
      <x:c r="F200" s="10" t="str">
        <x:v>P2</x:v>
      </x:c>
      <x:c r="G200" s="9" t="str">
        <x:v>验证解散公会时没有未结算主播收益</x:v>
      </x:c>
      <x:c r="H200" s="9" t="str">
        <x:v>解散结算前提</x:v>
      </x:c>
      <x:c r="I200" s="9" t="str">
        <x:v>1. 平台管理员为本条执行者
2. 公会甲当前启用，公会长甲可登录，主播乙在公会甲的 S001 直播
3. 公会甲不存在未结算主播收益</x:v>
      </x:c>
      <x:c r="J200" s="9" t="str">
        <x:v>1. 打开公会甲详情
2. 点击解散公会
3. 确认解散</x:v>
      </x:c>
      <x:c r="K200" s="9" t="str">
        <x:v>公会甲显示已解散</x:v>
      </x:c>
      <x:c r="L200" s="10" t="str"/>
      <x:c r="M200" s="10" t="str">
        <x:v>未测</x:v>
      </x:c>
      <x:c r="N200" s="10" t="str"/>
      <x:c r="O200" s="9" t="str">
        <x:v>1. 来源（当前证据）：liveshow-proto/MainBasis/统一需求文档.md；位置：第 2728 行；REQ-0463379c3d50、第 2716 行
2. 规则：BR-F129258234FD6D
3. 未动态验证
4. 示例账号、编号、金额与日期是本条测试数据；执行前按前置条件准备，未填写的产品决策不得自行假定。</x:v>
      </x:c>
    </x:row>
    <x:row r="201" ht="130" customHeight="1">
      <x:c r="A201" s="10" t="n">
        <x:v>200</x:v>
      </x:c>
      <x:c r="B201" s="10" t="str">
        <x:v>ADMIN-0200</x:v>
      </x:c>
      <x:c r="C201" s="10" t="str">
        <x:v>公会管理</x:v>
      </x:c>
      <x:c r="D201" s="10" t="str">
        <x:v>公会详情（平台管理员）</x:v>
      </x:c>
      <x:c r="E201" s="10" t="str">
        <x:v>功能需求</x:v>
      </x:c>
      <x:c r="F201" s="10" t="str">
        <x:v>P2</x:v>
      </x:c>
      <x:c r="G201" s="9" t="str">
        <x:v>验证解散公会时存在未结算主播收益</x:v>
      </x:c>
      <x:c r="H201" s="9" t="str">
        <x:v>解散结算前提</x:v>
      </x:c>
      <x:c r="I201" s="9" t="str">
        <x:v>1. 平台管理员为本条执行者
2. 公会甲当前启用，公会长甲可登录，主播乙在公会甲的 S001 直播
3. 公会甲存在未结算主播收益</x:v>
      </x:c>
      <x:c r="J201" s="9" t="str">
        <x:v>1. 打开公会甲详情
2. 点击解散公会
3. 确认解散</x:v>
      </x:c>
      <x:c r="K201" s="9" t="str">
        <x:v>公会甲未解散</x:v>
      </x:c>
      <x:c r="L201" s="10" t="str"/>
      <x:c r="M201" s="10" t="str">
        <x:v>未测</x:v>
      </x:c>
      <x:c r="N201" s="10" t="str"/>
      <x:c r="O201" s="9" t="str">
        <x:v>1. 来源（当前证据）：liveshow-proto/MainBasis/统一需求文档.md；位置：第 2728 行；REQ-0463379c3d50、第 2716 行
2. 规则：BR-BF6F41E2F0EE49
3. 未动态验证
4. 示例账号、编号、金额与日期是本条测试数据；执行前按前置条件准备，未填写的产品决策不得自行假定。</x:v>
      </x:c>
    </x:row>
    <x:row r="202" ht="160" customHeight="1">
      <x:c r="A202" s="10" t="n">
        <x:v>201</x:v>
      </x:c>
      <x:c r="B202" s="10" t="str">
        <x:v>ADMIN-0201</x:v>
      </x:c>
      <x:c r="C202" s="10" t="str">
        <x:v>内容审核</x:v>
      </x:c>
      <x:c r="D202" s="10" t="str">
        <x:v>内容审核详情（审核管理员）</x:v>
      </x:c>
      <x:c r="E202" s="10" t="str">
        <x:v>功能需求</x:v>
      </x:c>
      <x:c r="F202" s="10" t="str">
        <x:v>P1</x:v>
      </x:c>
      <x:c r="G202" s="9" t="str">
        <x:v>验证机审告警转人工复审</x:v>
      </x:c>
      <x:c r="H202" s="9" t="str">
        <x:v>审核单处理状态</x:v>
      </x:c>
      <x:c r="I202" s="9" t="str">
        <x:v>1. 审核管理员为本条执行者
2. 审核单 AU001 关联主播乙当前直播场次 S001，状态待处理，已保存机审证据</x:v>
      </x:c>
      <x:c r="J202" s="9" t="str">
        <x:v>1. 打开 AU001 审核详情
2. 选择转人工复审
3. 输入原因“测试复核结果”
4. 提交处理</x:v>
      </x:c>
      <x:c r="K202" s="9" t="str">
        <x:v>审核单 AU001 显示人工复审</x:v>
      </x:c>
      <x:c r="L202" s="10" t="str"/>
      <x:c r="M202" s="10" t="str">
        <x:v>未测</x:v>
      </x:c>
      <x:c r="N202" s="10" t="str"/>
      <x:c r="O202" s="9" t="str">
        <x:v>1. 来源（当前证据）：liveshow-proto/MainBasis/统一需求文档.md；位置：第 2642 行；REQ-d061042c7110、第 2643 行；REQ-2c663e157c36、第 2645 行；REQ-973c254c9cab、第 2639 行
2. 规则：BR-E931B9AD3C1E5D
3. 未动态验证
4. 示例账号、编号、金额与日期是本条测试数据；执行前按前置条件准备，未填写的产品决策不得自行假定。</x:v>
      </x:c>
    </x:row>
    <x:row r="203" ht="160" customHeight="1">
      <x:c r="A203" s="10" t="n">
        <x:v>202</x:v>
      </x:c>
      <x:c r="B203" s="10" t="str">
        <x:v>ADMIN-0202</x:v>
      </x:c>
      <x:c r="C203" s="10" t="str">
        <x:v>内容审核</x:v>
      </x:c>
      <x:c r="D203" s="10" t="str">
        <x:v>内容审核详情（审核管理员）</x:v>
      </x:c>
      <x:c r="E203" s="10" t="str">
        <x:v>功能需求</x:v>
      </x:c>
      <x:c r="F203" s="10" t="str">
        <x:v>P1</x:v>
      </x:c>
      <x:c r="G203" s="9" t="str">
        <x:v>验证机审告警忽略</x:v>
      </x:c>
      <x:c r="H203" s="9" t="str">
        <x:v>审核单处理状态</x:v>
      </x:c>
      <x:c r="I203" s="9" t="str">
        <x:v>1. 审核管理员为本条执行者
2. 审核单 AU001 关联主播乙当前直播场次 S001，状态待处理，已保存机审证据</x:v>
      </x:c>
      <x:c r="J203" s="9" t="str">
        <x:v>1. 打开 AU001 审核详情
2. 选择忽略
3. 输入原因“测试复核结果”
4. 提交处理</x:v>
      </x:c>
      <x:c r="K203" s="9" t="str">
        <x:v>审核单 AU001 显示已忽略</x:v>
      </x:c>
      <x:c r="L203" s="10" t="str"/>
      <x:c r="M203" s="10" t="str">
        <x:v>未测</x:v>
      </x:c>
      <x:c r="N203" s="10" t="str"/>
      <x:c r="O203" s="9" t="str">
        <x:v>1. 来源（当前证据）：liveshow-proto/MainBasis/统一需求文档.md；位置：第 2642 行；REQ-d061042c7110、第 2643 行；REQ-2c663e157c36、第 2645 行；REQ-973c254c9cab、第 2639 行
2. 规则：BR-95E13A3BFE24AD
3. 未动态验证
4. 示例账号、编号、金额与日期是本条测试数据；执行前按前置条件准备，未填写的产品决策不得自行假定。</x:v>
      </x:c>
    </x:row>
    <x:row r="204" ht="175" customHeight="1">
      <x:c r="A204" s="10" t="n">
        <x:v>203</x:v>
      </x:c>
      <x:c r="B204" s="10" t="str">
        <x:v>ADMIN-0203</x:v>
      </x:c>
      <x:c r="C204" s="10" t="str">
        <x:v>内容审核</x:v>
      </x:c>
      <x:c r="D204" s="10" t="str">
        <x:v>内容审核详情（审核管理员）</x:v>
      </x:c>
      <x:c r="E204" s="10" t="str">
        <x:v>功能需求</x:v>
      </x:c>
      <x:c r="F204" s="10" t="str">
        <x:v>P1</x:v>
      </x:c>
      <x:c r="G204" s="9" t="str">
        <x:v>验证机审告警不能直接代表人工处罚</x:v>
      </x:c>
      <x:c r="H204" s="9" t="str">
        <x:v>机审与人工处置分离</x:v>
      </x:c>
      <x:c r="I204" s="9" t="str">
        <x:v>1. 审核管理员为本条执行者
2. 审核单 AU001 关联主播乙当前直播场次 S001，状态待处理，已保存机审证据</x:v>
      </x:c>
      <x:c r="J204" s="9" t="str">
        <x:v>1. 打开 AU001 审核详情</x:v>
      </x:c>
      <x:c r="K204" s="9" t="str">
        <x:v>审核单仍显示待处理</x:v>
      </x:c>
      <x:c r="L204" s="10" t="str"/>
      <x:c r="M204" s="10" t="str">
        <x:v>未测</x:v>
      </x:c>
      <x:c r="N204" s="10" t="str"/>
      <x:c r="O204" s="9" t="str">
        <x:v>1. 来源（当前证据）：liveshow-proto/MainBasis/统一需求文档.md；位置：第 2642 行；REQ-d061042c7110、第 2643 行；REQ-2c663e157c36、第 2644 行；REQ-3a23551c0f84、第 2645 行；REQ-973c254c9cab、第 2639 行
2. 规则：BR-9D921012785EA5
3. 未动态验证
4. 示例账号、编号、金额与日期是本条测试数据；执行前按前置条件准备，未填写的产品决策不得自行假定。</x:v>
      </x:c>
    </x:row>
    <x:row r="205" ht="145" customHeight="1">
      <x:c r="A205" s="10" t="n">
        <x:v>204</x:v>
      </x:c>
      <x:c r="B205" s="10" t="str">
        <x:v>ADMIN-0204</x:v>
      </x:c>
      <x:c r="C205" s="10" t="str">
        <x:v>内容审核</x:v>
      </x:c>
      <x:c r="D205" s="10" t="str">
        <x:v>内容审核详情（审核管理员）</x:v>
      </x:c>
      <x:c r="E205" s="10" t="str">
        <x:v>功能需求</x:v>
      </x:c>
      <x:c r="F205" s="10" t="str">
        <x:v>P1</x:v>
      </x:c>
      <x:c r="G205" s="9" t="str">
        <x:v>验证处理审核单必须填写原因</x:v>
      </x:c>
      <x:c r="H205" s="9" t="str">
        <x:v>审核原因必填</x:v>
      </x:c>
      <x:c r="I205" s="9" t="str">
        <x:v>1. 审核管理员为本条执行者
2. 审核单 AU001 关联主播乙当前直播场次 S001，状态待处理，已保存机审证据</x:v>
      </x:c>
      <x:c r="J205" s="9" t="str">
        <x:v>1. 打开 AU001 审核详情
2. 选择忽略
3. 清空处置原因
4. 提交处理</x:v>
      </x:c>
      <x:c r="K205" s="9" t="str">
        <x:v>审核单 AU001 仍为待处理</x:v>
      </x:c>
      <x:c r="L205" s="10" t="str"/>
      <x:c r="M205" s="10" t="str">
        <x:v>未测</x:v>
      </x:c>
      <x:c r="N205" s="10" t="str"/>
      <x:c r="O205" s="9" t="str">
        <x:v>1. 来源（当前证据）：liveshow-proto/MainBasis/统一需求文档.md；位置：第 2644 行；REQ-3a23551c0f84、第 2646 行；REQ-2fb22ff7daa9、第 2639 行
2. 规则：BR-6635AF3C85982E
3. 未动态验证
4. 示例账号、编号、金额与日期是本条测试数据；执行前按前置条件准备，未填写的产品决策不得自行假定。</x:v>
      </x:c>
    </x:row>
    <x:row r="206" ht="190" customHeight="1">
      <x:c r="A206" s="10" t="n">
        <x:v>205</x:v>
      </x:c>
      <x:c r="B206" s="10" t="str">
        <x:v>ADMIN-0205</x:v>
      </x:c>
      <x:c r="C206" s="10" t="str">
        <x:v>内容审核</x:v>
      </x:c>
      <x:c r="D206" s="10" t="str">
        <x:v>举报详情（审核管理员）</x:v>
      </x:c>
      <x:c r="E206" s="10" t="str">
        <x:v>功能需求</x:v>
      </x:c>
      <x:c r="F206" s="10" t="str">
        <x:v>P1</x:v>
      </x:c>
      <x:c r="G206" s="9" t="str">
        <x:v>验证直播举报采用不处置</x:v>
      </x:c>
      <x:c r="H206" s="9" t="str">
        <x:v>举报处置结果</x:v>
      </x:c>
      <x:c r="I206" s="9" t="str">
        <x:v>1. 审核管理员为本条执行者
2. 举报单 RP001 关联主播乙当前场次 S001；举报人甲账号正常，工单待处理</x:v>
      </x:c>
      <x:c r="J206" s="9" t="str">
        <x:v>1. 打开 RP001 举报详情
2. 选择不处置
3. 确认处理</x:v>
      </x:c>
      <x:c r="K206" s="9" t="str">
        <x:v>RP001 记录处置类型为不处置</x:v>
      </x:c>
      <x:c r="L206" s="10" t="str">
        <x:v>FLOW-1AF39D89</x:v>
      </x:c>
      <x:c r="M206" s="10" t="str">
        <x:v>未测</x:v>
      </x:c>
      <x:c r="N206" s="10" t="str"/>
      <x:c r="O206" s="9" t="str">
        <x:v>1. 来源（当前证据）：liveshow-proto/MainBasis/统一需求文档.md；位置：第 2673 行；REQ-9c0667b4cf62、第 2675 行；REQ-dd130a0f8dd4、第 2677 行；REQ-dde89ade1a55、第 2678 行；REQ-9bc480896cd5、第 2679 行；REQ-839dd56e82e3、第 2680 行；REQ-741630d0f3d0、第 2671 行
2. 规则：BR-6AAD71A2FE4A30
3. 未动态验证
4. 示例账号、编号、金额与日期是本条测试数据；执行前按前置条件准备，未填写的产品决策不得自行假定。</x:v>
      </x:c>
    </x:row>
    <x:row r="207" ht="190" customHeight="1">
      <x:c r="A207" s="10" t="n">
        <x:v>206</x:v>
      </x:c>
      <x:c r="B207" s="10" t="str">
        <x:v>ADMIN-0206</x:v>
      </x:c>
      <x:c r="C207" s="10" t="str">
        <x:v>内容审核</x:v>
      </x:c>
      <x:c r="D207" s="10" t="str">
        <x:v>举报详情（审核管理员）</x:v>
      </x:c>
      <x:c r="E207" s="10" t="str">
        <x:v>功能需求</x:v>
      </x:c>
      <x:c r="F207" s="10" t="str">
        <x:v>P1</x:v>
      </x:c>
      <x:c r="G207" s="9" t="str">
        <x:v>验证直播举报采用警告</x:v>
      </x:c>
      <x:c r="H207" s="9" t="str">
        <x:v>举报处置结果</x:v>
      </x:c>
      <x:c r="I207" s="9" t="str">
        <x:v>1. 审核管理员为本条执行者
2. 举报单 RP001 关联主播乙当前场次 S001；举报人甲账号正常，工单待处理</x:v>
      </x:c>
      <x:c r="J207" s="9" t="str">
        <x:v>1. 打开 RP001 举报详情
2. 选择警告
3. 输入原因“测试直播违规处置”
4. 确认处理</x:v>
      </x:c>
      <x:c r="K207" s="9" t="str">
        <x:v>RP001 记录处置类型为警告</x:v>
      </x:c>
      <x:c r="L207" s="10" t="str">
        <x:v>FLOW-1AF39D89</x:v>
      </x:c>
      <x:c r="M207" s="10" t="str">
        <x:v>未测</x:v>
      </x:c>
      <x:c r="N207" s="10" t="str"/>
      <x:c r="O207" s="9" t="str">
        <x:v>1. 来源（当前证据）：liveshow-proto/MainBasis/统一需求文档.md；位置：第 2673 行；REQ-9c0667b4cf62、第 2675 行；REQ-dd130a0f8dd4、第 2677 行；REQ-dde89ade1a55、第 2678 行；REQ-9bc480896cd5、第 2679 行；REQ-839dd56e82e3、第 2680 行；REQ-741630d0f3d0、第 2671 行
2. 规则：BR-227FABE634D7D7
3. 未动态验证
4. 示例账号、编号、金额与日期是本条测试数据；执行前按前置条件准备，未填写的产品决策不得自行假定。</x:v>
      </x:c>
    </x:row>
    <x:row r="208" ht="190" customHeight="1">
      <x:c r="A208" s="10" t="n">
        <x:v>207</x:v>
      </x:c>
      <x:c r="B208" s="10" t="str">
        <x:v>ADMIN-0207</x:v>
      </x:c>
      <x:c r="C208" s="10" t="str">
        <x:v>内容审核</x:v>
      </x:c>
      <x:c r="D208" s="10" t="str">
        <x:v>举报详情（审核管理员）</x:v>
      </x:c>
      <x:c r="E208" s="10" t="str">
        <x:v>功能需求</x:v>
      </x:c>
      <x:c r="F208" s="10" t="str">
        <x:v>P1</x:v>
      </x:c>
      <x:c r="G208" s="9" t="str">
        <x:v>验证直播举报采用关播</x:v>
      </x:c>
      <x:c r="H208" s="9" t="str">
        <x:v>举报处置结果</x:v>
      </x:c>
      <x:c r="I208" s="9" t="str">
        <x:v>1. 审核管理员为本条执行者
2. 举报单 RP001 关联主播乙当前场次 S001；举报人甲账号正常，工单待处理</x:v>
      </x:c>
      <x:c r="J208" s="9" t="str">
        <x:v>1. 打开 RP001 举报详情
2. 选择关播
3. 输入原因“测试直播违规处置”
4. 确认处理</x:v>
      </x:c>
      <x:c r="K208" s="9" t="str">
        <x:v>RP001 记录处置类型为关播</x:v>
      </x:c>
      <x:c r="L208" s="10" t="str">
        <x:v>FLOW-1AF39D89</x:v>
      </x:c>
      <x:c r="M208" s="10" t="str">
        <x:v>未测</x:v>
      </x:c>
      <x:c r="N208" s="10" t="str"/>
      <x:c r="O208" s="9" t="str">
        <x:v>1. 来源（当前证据）：liveshow-proto/MainBasis/统一需求文档.md；位置：第 2673 行；REQ-9c0667b4cf62、第 2675 行；REQ-dd130a0f8dd4、第 2677 行；REQ-dde89ade1a55、第 2678 行；REQ-9bc480896cd5、第 2679 行；REQ-839dd56e82e3、第 2680 行；REQ-741630d0f3d0、第 2671 行
2. 规则：BR-990456A9CCE8BD
3. 未动态验证
4. 示例账号、编号、金额与日期是本条测试数据；执行前按前置条件准备，未填写的产品决策不得自行假定。</x:v>
      </x:c>
    </x:row>
    <x:row r="209" ht="190" customHeight="1">
      <x:c r="A209" s="10" t="n">
        <x:v>208</x:v>
      </x:c>
      <x:c r="B209" s="10" t="str">
        <x:v>ADMIN-0208</x:v>
      </x:c>
      <x:c r="C209" s="10" t="str">
        <x:v>内容审核</x:v>
      </x:c>
      <x:c r="D209" s="10" t="str">
        <x:v>举报详情（审核管理员）</x:v>
      </x:c>
      <x:c r="E209" s="10" t="str">
        <x:v>功能需求</x:v>
      </x:c>
      <x:c r="F209" s="10" t="str">
        <x:v>P1</x:v>
      </x:c>
      <x:c r="G209" s="9" t="str">
        <x:v>验证直播举报采用关闭直播权限</x:v>
      </x:c>
      <x:c r="H209" s="9" t="str">
        <x:v>举报处置结果</x:v>
      </x:c>
      <x:c r="I209" s="9" t="str">
        <x:v>1. 审核管理员为本条执行者
2. 举报单 RP001 关联主播乙当前场次 S001；举报人甲账号正常，工单待处理</x:v>
      </x:c>
      <x:c r="J209" s="9" t="str">
        <x:v>1. 打开 RP001 举报详情
2. 选择关闭直播权限
3. 输入原因“测试直播违规处置”
4. 确认处理</x:v>
      </x:c>
      <x:c r="K209" s="9" t="str">
        <x:v>RP001 记录处置类型为关闭直播权限</x:v>
      </x:c>
      <x:c r="L209" s="10" t="str">
        <x:v>FLOW-1AF39D89</x:v>
      </x:c>
      <x:c r="M209" s="10" t="str">
        <x:v>未测</x:v>
      </x:c>
      <x:c r="N209" s="10" t="str"/>
      <x:c r="O209" s="9" t="str">
        <x:v>1. 来源（当前证据）：liveshow-proto/MainBasis/统一需求文档.md；位置：第 2673 行；REQ-9c0667b4cf62、第 2675 行；REQ-dd130a0f8dd4、第 2677 行；REQ-dde89ade1a55、第 2678 行；REQ-9bc480896cd5、第 2679 行；REQ-839dd56e82e3、第 2680 行；REQ-741630d0f3d0、第 2671 行
2. 规则：BR-89CD744A2E84F5
3. 未动态验证
4. 示例账号、编号、金额与日期是本条测试数据；执行前按前置条件准备，未填写的产品决策不得自行假定。</x:v>
      </x:c>
    </x:row>
    <x:row r="210" ht="145" customHeight="1">
      <x:c r="A210" s="10" t="n">
        <x:v>209</x:v>
      </x:c>
      <x:c r="B210" s="10" t="str">
        <x:v>ADMIN-0209</x:v>
      </x:c>
      <x:c r="C210" s="10" t="str">
        <x:v>内容审核</x:v>
      </x:c>
      <x:c r="D210" s="10" t="str">
        <x:v>举报详情（审核管理员）</x:v>
      </x:c>
      <x:c r="E210" s="10" t="str">
        <x:v>功能需求</x:v>
      </x:c>
      <x:c r="F210" s="10" t="str">
        <x:v>P1</x:v>
      </x:c>
      <x:c r="G210" s="9" t="str">
        <x:v>验证直播结束使待处理举报工单作废</x:v>
      </x:c>
      <x:c r="H210" s="9" t="str">
        <x:v>举报工单场次终止</x:v>
      </x:c>
      <x:c r="I210" s="9" t="str">
        <x:v>1. 审核管理员为本条执行者
2. 举报单 RP001 关联主播乙当前场次 S001；举报人甲账号正常，工单待处理
3. RP001 尚未处理时 S001 已结束；主播乙已开播 S002</x:v>
      </x:c>
      <x:c r="J210" s="9" t="str">
        <x:v>1. 打开 RP001 举报详情</x:v>
      </x:c>
      <x:c r="K210" s="9" t="str">
        <x:v>RP001 显示已作废</x:v>
      </x:c>
      <x:c r="L210" s="10" t="str"/>
      <x:c r="M210" s="10" t="str">
        <x:v>未测</x:v>
      </x:c>
      <x:c r="N210" s="10" t="str"/>
      <x:c r="O210" s="9" t="str">
        <x:v>1. 来源（当前证据）：liveshow-proto/MainBasis/统一需求文档.md；位置：第 2678 行；REQ-9bc480896cd5、第 2679 行；REQ-839dd56e82e3、第 2671 行
2. 规则：BR-95D717A714A88F
3. 未动态验证
4. 示例账号、编号、金额与日期是本条测试数据；执行前按前置条件准备，未填写的产品决策不得自行假定。</x:v>
      </x:c>
    </x:row>
    <x:row r="211" ht="145" customHeight="1">
      <x:c r="A211" s="10" t="n">
        <x:v>210</x:v>
      </x:c>
      <x:c r="B211" s="10" t="str">
        <x:v>ADMIN-0210</x:v>
      </x:c>
      <x:c r="C211" s="10" t="str">
        <x:v>内容审核</x:v>
      </x:c>
      <x:c r="D211" s="10" t="str">
        <x:v>举报详情（审核管理员）</x:v>
      </x:c>
      <x:c r="E211" s="10" t="str">
        <x:v>功能需求</x:v>
      </x:c>
      <x:c r="F211" s="10" t="str">
        <x:v>P1</x:v>
      </x:c>
      <x:c r="G211" s="9" t="str">
        <x:v>验证直播结束使待处理举报工单作废</x:v>
      </x:c>
      <x:c r="H211" s="9" t="str">
        <x:v>已作废举报不可处罚</x:v>
      </x:c>
      <x:c r="I211" s="9" t="str">
        <x:v>1. 审核管理员为本条执行者
2. 举报单 RP001 关联主播乙当前场次 S001；举报人甲账号正常，工单待处理
3. RP001 尚未处理时 S001 已结束；主播乙已开播 S002</x:v>
      </x:c>
      <x:c r="J211" s="9" t="str">
        <x:v>1. 打开 RP001 举报详情</x:v>
      </x:c>
      <x:c r="K211" s="9" t="str">
        <x:v>RP001 不能提交处罚</x:v>
      </x:c>
      <x:c r="L211" s="10" t="str"/>
      <x:c r="M211" s="10" t="str">
        <x:v>未测</x:v>
      </x:c>
      <x:c r="N211" s="10" t="str"/>
      <x:c r="O211" s="9" t="str">
        <x:v>1. 来源（当前证据）：liveshow-proto/MainBasis/统一需求文档.md；位置：第 2678 行；REQ-9bc480896cd5、第 2679 行；REQ-839dd56e82e3、第 2671 行
2. 规则：BR-92CC58A2127D1C
3. 未动态验证
4. 示例账号、编号、金额与日期是本条测试数据；执行前按前置条件准备，未填写的产品决策不得自行假定。</x:v>
      </x:c>
    </x:row>
    <x:row r="212" ht="145" customHeight="1">
      <x:c r="A212" s="10" t="n">
        <x:v>211</x:v>
      </x:c>
      <x:c r="B212" s="10" t="str">
        <x:v>ADMIN-0211</x:v>
      </x:c>
      <x:c r="C212" s="10" t="str">
        <x:v>内容审核</x:v>
      </x:c>
      <x:c r="D212" s="10" t="str">
        <x:v>举报详情（审核管理员）</x:v>
      </x:c>
      <x:c r="E212" s="10" t="str">
        <x:v>异常用例</x:v>
      </x:c>
      <x:c r="F212" s="10" t="str">
        <x:v>P1</x:v>
      </x:c>
      <x:c r="G212" s="9" t="str">
        <x:v>验证警告处置原因为空</x:v>
      </x:c>
      <x:c r="H212" s="9" t="str">
        <x:v>处罚原因必填</x:v>
      </x:c>
      <x:c r="I212" s="9" t="str">
        <x:v>1. 审核管理员为本条执行者
2. 举报单 RP001 关联主播乙当前场次 S001；举报人甲账号正常，工单待处理</x:v>
      </x:c>
      <x:c r="J212" s="9" t="str">
        <x:v>1. 打开 RP001 举报详情
2. 选择警告
3. 清空处置原因
4. 确认处理</x:v>
      </x:c>
      <x:c r="K212" s="9" t="str">
        <x:v>RP001 未提交本次处罚</x:v>
      </x:c>
      <x:c r="L212" s="10" t="str"/>
      <x:c r="M212" s="10" t="str">
        <x:v>未测</x:v>
      </x:c>
      <x:c r="N212" s="10" t="str"/>
      <x:c r="O212" s="9" t="str">
        <x:v>1. 来源（当前证据）：liveshow-proto/MainBasis/统一需求文档.md；位置：第 2676 行；REQ-2f6fe86ea691、第 2680 行；REQ-741630d0f3d0、第 2671 行
2. 规则：BR-D39D0F25966C68
3. 未动态验证
4. 示例账号、编号、金额与日期是本条测试数据；执行前按前置条件准备，未填写的产品决策不得自行假定。</x:v>
      </x:c>
    </x:row>
    <x:row r="213" ht="145" customHeight="1">
      <x:c r="A213" s="10" t="n">
        <x:v>212</x:v>
      </x:c>
      <x:c r="B213" s="10" t="str">
        <x:v>ADMIN-0212</x:v>
      </x:c>
      <x:c r="C213" s="10" t="str">
        <x:v>内容审核</x:v>
      </x:c>
      <x:c r="D213" s="10" t="str">
        <x:v>举报详情（审核管理员）</x:v>
      </x:c>
      <x:c r="E213" s="10" t="str">
        <x:v>异常用例</x:v>
      </x:c>
      <x:c r="F213" s="10" t="str">
        <x:v>P1</x:v>
      </x:c>
      <x:c r="G213" s="9" t="str">
        <x:v>验证关播处置原因为空</x:v>
      </x:c>
      <x:c r="H213" s="9" t="str">
        <x:v>处罚原因必填</x:v>
      </x:c>
      <x:c r="I213" s="9" t="str">
        <x:v>1. 审核管理员为本条执行者
2. 举报单 RP001 关联主播乙当前场次 S001；举报人甲账号正常，工单待处理</x:v>
      </x:c>
      <x:c r="J213" s="9" t="str">
        <x:v>1. 打开 RP001 举报详情
2. 选择关播
3. 清空处置原因
4. 确认处理</x:v>
      </x:c>
      <x:c r="K213" s="9" t="str">
        <x:v>RP001 未提交本次处罚</x:v>
      </x:c>
      <x:c r="L213" s="10" t="str"/>
      <x:c r="M213" s="10" t="str">
        <x:v>未测</x:v>
      </x:c>
      <x:c r="N213" s="10" t="str"/>
      <x:c r="O213" s="9" t="str">
        <x:v>1. 来源（当前证据）：liveshow-proto/MainBasis/统一需求文档.md；位置：第 2676 行；REQ-2f6fe86ea691、第 2680 行；REQ-741630d0f3d0、第 2671 行
2. 规则：BR-10A67E99B8F8AE
3. 未动态验证
4. 示例账号、编号、金额与日期是本条测试数据；执行前按前置条件准备，未填写的产品决策不得自行假定。</x:v>
      </x:c>
    </x:row>
    <x:row r="214" ht="145" customHeight="1">
      <x:c r="A214" s="10" t="n">
        <x:v>213</x:v>
      </x:c>
      <x:c r="B214" s="10" t="str">
        <x:v>ADMIN-0213</x:v>
      </x:c>
      <x:c r="C214" s="10" t="str">
        <x:v>内容审核</x:v>
      </x:c>
      <x:c r="D214" s="10" t="str">
        <x:v>举报详情（审核管理员）</x:v>
      </x:c>
      <x:c r="E214" s="10" t="str">
        <x:v>异常用例</x:v>
      </x:c>
      <x:c r="F214" s="10" t="str">
        <x:v>P1</x:v>
      </x:c>
      <x:c r="G214" s="9" t="str">
        <x:v>验证关闭直播权限处置原因为空</x:v>
      </x:c>
      <x:c r="H214" s="9" t="str">
        <x:v>处罚原因必填</x:v>
      </x:c>
      <x:c r="I214" s="9" t="str">
        <x:v>1. 审核管理员为本条执行者
2. 举报单 RP001 关联主播乙当前场次 S001；举报人甲账号正常，工单待处理</x:v>
      </x:c>
      <x:c r="J214" s="9" t="str">
        <x:v>1. 打开 RP001 举报详情
2. 选择关闭直播权限
3. 清空处置原因
4. 确认处理</x:v>
      </x:c>
      <x:c r="K214" s="9" t="str">
        <x:v>RP001 未提交本次处罚</x:v>
      </x:c>
      <x:c r="L214" s="10" t="str"/>
      <x:c r="M214" s="10" t="str">
        <x:v>未测</x:v>
      </x:c>
      <x:c r="N214" s="10" t="str"/>
      <x:c r="O214" s="9" t="str">
        <x:v>1. 来源（当前证据）：liveshow-proto/MainBasis/统一需求文档.md；位置：第 2676 行；REQ-2f6fe86ea691、第 2680 行；REQ-741630d0f3d0、第 2671 行
2. 规则：BR-FAABE8663B100F
3. 未动态验证
4. 示例账号、编号、金额与日期是本条测试数据；执行前按前置条件准备，未填写的产品决策不得自行假定。</x:v>
      </x:c>
    </x:row>
    <x:row r="215" ht="145" customHeight="1">
      <x:c r="A215" s="10" t="n">
        <x:v>214</x:v>
      </x:c>
      <x:c r="B215" s="10" t="str">
        <x:v>ADMIN-0214</x:v>
      </x:c>
      <x:c r="C215" s="10" t="str">
        <x:v>运营账号</x:v>
      </x:c>
      <x:c r="D215" s="10" t="str">
        <x:v>运营账号主页（平台管理员）</x:v>
      </x:c>
      <x:c r="E215" s="10" t="str">
        <x:v>功能需求</x:v>
      </x:c>
      <x:c r="F215" s="10" t="str">
        <x:v>P2</x:v>
      </x:c>
      <x:c r="G215" s="9" t="str">
        <x:v>验证平台不执行运营账号创建账号</x:v>
      </x:c>
      <x:c r="H215" s="9" t="str">
        <x:v>运营账号创建账号权限</x:v>
      </x:c>
      <x:c r="I215" s="9" t="str">
        <x:v>1. 平台管理员为本条执行者
2. 运营账号 O001 属于公会甲</x:v>
      </x:c>
      <x:c r="J215" s="9" t="str">
        <x:v>1. 打开 O001 运营账号主页</x:v>
      </x:c>
      <x:c r="K215" s="9" t="str">
        <x:v>不提供平台创建账号操作</x:v>
      </x:c>
      <x:c r="L215" s="10" t="str"/>
      <x:c r="M215" s="10" t="str">
        <x:v>未测</x:v>
      </x:c>
      <x:c r="N215" s="10" t="str"/>
      <x:c r="O215" s="9" t="str">
        <x:v>1. 来源（当前证据）：liveshow-proto/MainBasis/统一需求文档.md；位置：第 3368 行；REQ-3c38a2058ee6、第 3369 行；REQ-0d54971d26fc、第 3360 行
2. 规则：BR-9E028E4F451944
3. 未动态验证
4. 示例账号、编号、金额与日期是本条测试数据；执行前按前置条件准备，未填写的产品决策不得自行假定。</x:v>
      </x:c>
    </x:row>
    <x:row r="216" ht="145" customHeight="1">
      <x:c r="A216" s="10" t="n">
        <x:v>215</x:v>
      </x:c>
      <x:c r="B216" s="10" t="str">
        <x:v>ADMIN-0215</x:v>
      </x:c>
      <x:c r="C216" s="10" t="str">
        <x:v>运营账号</x:v>
      </x:c>
      <x:c r="D216" s="10" t="str">
        <x:v>运营账号主页（平台管理员）</x:v>
      </x:c>
      <x:c r="E216" s="10" t="str">
        <x:v>功能需求</x:v>
      </x:c>
      <x:c r="F216" s="10" t="str">
        <x:v>P1</x:v>
      </x:c>
      <x:c r="G216" s="9" t="str">
        <x:v>验证平台不执行运营账号发放虚拟金币</x:v>
      </x:c>
      <x:c r="H216" s="9" t="str">
        <x:v>运营账号发放虚拟金币权限</x:v>
      </x:c>
      <x:c r="I216" s="9" t="str">
        <x:v>1. 平台管理员为本条执行者
2. 运营账号 O001 属于公会甲</x:v>
      </x:c>
      <x:c r="J216" s="9" t="str">
        <x:v>1. 打开 O001 运营账号主页</x:v>
      </x:c>
      <x:c r="K216" s="9" t="str">
        <x:v>不提供平台发放虚拟金币操作</x:v>
      </x:c>
      <x:c r="L216" s="10" t="str"/>
      <x:c r="M216" s="10" t="str">
        <x:v>未测</x:v>
      </x:c>
      <x:c r="N216" s="10" t="str"/>
      <x:c r="O216" s="9" t="str">
        <x:v>1. 来源（当前证据）：liveshow-proto/MainBasis/统一需求文档.md；位置：第 3368 行；REQ-3c38a2058ee6、第 3369 行；REQ-0d54971d26fc、第 3360 行
2. 规则：BR-435C223E2BE43C
3. 未动态验证
4. 示例账号、编号、金额与日期是本条测试数据；执行前按前置条件准备，未填写的产品决策不得自行假定。</x:v>
      </x:c>
    </x:row>
    <x:row r="217" ht="145" customHeight="1">
      <x:c r="A217" s="10" t="n">
        <x:v>216</x:v>
      </x:c>
      <x:c r="B217" s="10" t="str">
        <x:v>ADMIN-0216</x:v>
      </x:c>
      <x:c r="C217" s="10" t="str">
        <x:v>运营账号</x:v>
      </x:c>
      <x:c r="D217" s="10" t="str">
        <x:v>运营账号主页（平台管理员）</x:v>
      </x:c>
      <x:c r="E217" s="10" t="str">
        <x:v>功能需求</x:v>
      </x:c>
      <x:c r="F217" s="10" t="str">
        <x:v>P2</x:v>
      </x:c>
      <x:c r="G217" s="9" t="str">
        <x:v>验证平台不执行运营账号编辑资料</x:v>
      </x:c>
      <x:c r="H217" s="9" t="str">
        <x:v>运营账号编辑资料权限</x:v>
      </x:c>
      <x:c r="I217" s="9" t="str">
        <x:v>1. 平台管理员为本条执行者
2. 运营账号 O001 属于公会甲</x:v>
      </x:c>
      <x:c r="J217" s="9" t="str">
        <x:v>1. 打开 O001 运营账号主页</x:v>
      </x:c>
      <x:c r="K217" s="9" t="str">
        <x:v>不提供平台编辑资料操作</x:v>
      </x:c>
      <x:c r="L217" s="10" t="str"/>
      <x:c r="M217" s="10" t="str">
        <x:v>未测</x:v>
      </x:c>
      <x:c r="N217" s="10" t="str"/>
      <x:c r="O217" s="9" t="str">
        <x:v>1. 来源（当前证据）：liveshow-proto/MainBasis/统一需求文档.md；位置：第 3368 行；REQ-3c38a2058ee6、第 3369 行；REQ-0d54971d26fc、第 3360 行
2. 规则：BR-A2613BB4E3AE8B
3. 未动态验证
4. 示例账号、编号、金额与日期是本条测试数据；执行前按前置条件准备，未填写的产品决策不得自行假定。</x:v>
      </x:c>
    </x:row>
    <x:row r="218" ht="145" customHeight="1">
      <x:c r="A218" s="10" t="n">
        <x:v>217</x:v>
      </x:c>
      <x:c r="B218" s="10" t="str">
        <x:v>ADMIN-0217</x:v>
      </x:c>
      <x:c r="C218" s="10" t="str">
        <x:v>运营账号</x:v>
      </x:c>
      <x:c r="D218" s="10" t="str">
        <x:v>运营账号主页（平台管理员）</x:v>
      </x:c>
      <x:c r="E218" s="10" t="str">
        <x:v>功能需求</x:v>
      </x:c>
      <x:c r="F218" s="10" t="str">
        <x:v>P2</x:v>
      </x:c>
      <x:c r="G218" s="9" t="str">
        <x:v>验证平台不执行运营账号重置密码</x:v>
      </x:c>
      <x:c r="H218" s="9" t="str">
        <x:v>运营账号重置密码权限</x:v>
      </x:c>
      <x:c r="I218" s="9" t="str">
        <x:v>1. 平台管理员为本条执行者
2. 运营账号 O001 属于公会甲</x:v>
      </x:c>
      <x:c r="J218" s="9" t="str">
        <x:v>1. 打开 O001 运营账号主页</x:v>
      </x:c>
      <x:c r="K218" s="9" t="str">
        <x:v>不提供平台重置密码操作</x:v>
      </x:c>
      <x:c r="L218" s="10" t="str"/>
      <x:c r="M218" s="10" t="str">
        <x:v>未测</x:v>
      </x:c>
      <x:c r="N218" s="10" t="str"/>
      <x:c r="O218" s="9" t="str">
        <x:v>1. 来源（当前证据）：liveshow-proto/MainBasis/统一需求文档.md；位置：第 3368 行；REQ-3c38a2058ee6、第 3369 行；REQ-0d54971d26fc、第 3360 行
2. 规则：BR-890F8670B98C56
3. 未动态验证
4. 示例账号、编号、金额与日期是本条测试数据；执行前按前置条件准备，未填写的产品决策不得自行假定。</x:v>
      </x:c>
    </x:row>
    <x:row r="219" ht="160" customHeight="1">
      <x:c r="A219" s="10" t="n">
        <x:v>218</x:v>
      </x:c>
      <x:c r="B219" s="10" t="str">
        <x:v>ADMIN-0218</x:v>
      </x:c>
      <x:c r="C219" s="10" t="str">
        <x:v>运营账号</x:v>
      </x:c>
      <x:c r="D219" s="10" t="str">
        <x:v>额度限制（平台管理员）</x:v>
      </x:c>
      <x:c r="E219" s="10" t="str">
        <x:v>功能需求</x:v>
      </x:c>
      <x:c r="F219" s="10" t="str">
        <x:v>P2</x:v>
      </x:c>
      <x:c r="G219" s="9" t="str">
        <x:v>验证公会月上限设置 99</x:v>
      </x:c>
      <x:c r="H219" s="9" t="str">
        <x:v>公会月额度下界</x:v>
      </x:c>
      <x:c r="I219" s="9" t="str">
        <x:v>1. 平台管理员为本条执行者
2. 公会甲本月已发放总数 100，单账号最高本月已发放 40；当前公会月上限 200、单账号月上限 100</x:v>
      </x:c>
      <x:c r="J219" s="9" t="str">
        <x:v>1. 打开公会甲额度限制
2. 输入公会月度额度 99
3. 点击保存</x:v>
      </x:c>
      <x:c r="K219" s="9" t="str">
        <x:v>额度配置未保存</x:v>
      </x:c>
      <x:c r="L219" s="10" t="str"/>
      <x:c r="M219" s="10" t="str">
        <x:v>未测</x:v>
      </x:c>
      <x:c r="N219" s="10" t="str"/>
      <x:c r="O219" s="9" t="str">
        <x:v>1. 来源（当前证据）：liveshow-proto/MainBasis/统一需求文档.md；位置：第 3397 行；REQ-36053d84572c、第 3400 行；REQ-a5aeac0c3e04、第 3402 行；REQ-c0c7aca5f686、第 3393 行
2. 规则：BR-293EDAE9A6EF89
3. 未动态验证
4. 示例账号、编号、金额与日期是本条测试数据；执行前按前置条件准备，未填写的产品决策不得自行假定。</x:v>
      </x:c>
    </x:row>
    <x:row r="220" ht="160" customHeight="1">
      <x:c r="A220" s="10" t="n">
        <x:v>219</x:v>
      </x:c>
      <x:c r="B220" s="10" t="str">
        <x:v>ADMIN-0219</x:v>
      </x:c>
      <x:c r="C220" s="10" t="str">
        <x:v>运营账号</x:v>
      </x:c>
      <x:c r="D220" s="10" t="str">
        <x:v>额度限制（平台管理员）</x:v>
      </x:c>
      <x:c r="E220" s="10" t="str">
        <x:v>功能需求</x:v>
      </x:c>
      <x:c r="F220" s="10" t="str">
        <x:v>P2</x:v>
      </x:c>
      <x:c r="G220" s="9" t="str">
        <x:v>验证公会月上限设置 100</x:v>
      </x:c>
      <x:c r="H220" s="9" t="str">
        <x:v>公会月额度下界</x:v>
      </x:c>
      <x:c r="I220" s="9" t="str">
        <x:v>1. 平台管理员为本条执行者
2. 公会甲本月已发放总数 100，单账号最高本月已发放 40；当前公会月上限 200、单账号月上限 100</x:v>
      </x:c>
      <x:c r="J220" s="9" t="str">
        <x:v>1. 打开公会甲额度限制
2. 输入公会月度额度 100
3. 点击保存</x:v>
      </x:c>
      <x:c r="K220" s="9" t="str">
        <x:v>公会月度额度保存为 100</x:v>
      </x:c>
      <x:c r="L220" s="10" t="str"/>
      <x:c r="M220" s="10" t="str">
        <x:v>未测</x:v>
      </x:c>
      <x:c r="N220" s="10" t="str"/>
      <x:c r="O220" s="9" t="str">
        <x:v>1. 来源（当前证据）：liveshow-proto/MainBasis/统一需求文档.md；位置：第 3397 行；REQ-36053d84572c、第 3400 行；REQ-a5aeac0c3e04、第 3402 行；REQ-c0c7aca5f686、第 3393 行
2. 规则：BR-A1E5C94F7FD8D4
3. 未动态验证
4. 示例账号、编号、金额与日期是本条测试数据；执行前按前置条件准备，未填写的产品决策不得自行假定。</x:v>
      </x:c>
    </x:row>
    <x:row r="221" ht="160" customHeight="1">
      <x:c r="A221" s="10" t="n">
        <x:v>220</x:v>
      </x:c>
      <x:c r="B221" s="10" t="str">
        <x:v>ADMIN-0220</x:v>
      </x:c>
      <x:c r="C221" s="10" t="str">
        <x:v>运营账号</x:v>
      </x:c>
      <x:c r="D221" s="10" t="str">
        <x:v>额度限制（平台管理员）</x:v>
      </x:c>
      <x:c r="E221" s="10" t="str">
        <x:v>功能需求</x:v>
      </x:c>
      <x:c r="F221" s="10" t="str">
        <x:v>P2</x:v>
      </x:c>
      <x:c r="G221" s="9" t="str">
        <x:v>验证公会月上限设置 101</x:v>
      </x:c>
      <x:c r="H221" s="9" t="str">
        <x:v>公会月额度下界</x:v>
      </x:c>
      <x:c r="I221" s="9" t="str">
        <x:v>1. 平台管理员为本条执行者
2. 公会甲本月已发放总数 100，单账号最高本月已发放 40；当前公会月上限 200、单账号月上限 100</x:v>
      </x:c>
      <x:c r="J221" s="9" t="str">
        <x:v>1. 打开公会甲额度限制
2. 输入公会月度额度 101
3. 点击保存</x:v>
      </x:c>
      <x:c r="K221" s="9" t="str">
        <x:v>公会月度额度保存为 101</x:v>
      </x:c>
      <x:c r="L221" s="10" t="str"/>
      <x:c r="M221" s="10" t="str">
        <x:v>未测</x:v>
      </x:c>
      <x:c r="N221" s="10" t="str"/>
      <x:c r="O221" s="9" t="str">
        <x:v>1. 来源（当前证据）：liveshow-proto/MainBasis/统一需求文档.md；位置：第 3397 行；REQ-36053d84572c、第 3400 行；REQ-a5aeac0c3e04、第 3402 行；REQ-c0c7aca5f686、第 3393 行
2. 规则：BR-6373EC64E6F0A2
3. 未动态验证
4. 示例账号、编号、金额与日期是本条测试数据；执行前按前置条件准备，未填写的产品决策不得自行假定。</x:v>
      </x:c>
    </x:row>
    <x:row r="222" ht="130" customHeight="1">
      <x:c r="A222" s="10" t="n">
        <x:v>221</x:v>
      </x:c>
      <x:c r="B222" s="10" t="str">
        <x:v>ADMIN-0221</x:v>
      </x:c>
      <x:c r="C222" s="10" t="str">
        <x:v>运营账号</x:v>
      </x:c>
      <x:c r="D222" s="10" t="str">
        <x:v>额度限制（平台管理员）</x:v>
      </x:c>
      <x:c r="E222" s="10" t="str">
        <x:v>功能需求</x:v>
      </x:c>
      <x:c r="F222" s="10" t="str">
        <x:v>P2</x:v>
      </x:c>
      <x:c r="G222" s="9" t="str">
        <x:v>验证单账号月上限设置 39</x:v>
      </x:c>
      <x:c r="H222" s="9" t="str">
        <x:v>单账号额度上下界</x:v>
      </x:c>
      <x:c r="I222" s="9" t="str">
        <x:v>1. 平台管理员为本条执行者
2. 公会甲本月已发放总数 100，单账号最高本月已发放 40；当前公会月上限 200、单账号月上限 100</x:v>
      </x:c>
      <x:c r="J222" s="9" t="str">
        <x:v>1. 打开公会甲额度限制
2. 输入单账号月度额度 39
3. 点击保存</x:v>
      </x:c>
      <x:c r="K222" s="9" t="str">
        <x:v>额度配置未保存</x:v>
      </x:c>
      <x:c r="L222" s="10" t="str"/>
      <x:c r="M222" s="10" t="str">
        <x:v>未测</x:v>
      </x:c>
      <x:c r="N222" s="10" t="str"/>
      <x:c r="O222" s="9" t="str">
        <x:v>1. 来源（当前证据）：liveshow-proto/MainBasis/统一需求文档.md；位置：第 3402 行；REQ-c0c7aca5f686、第 3393 行
2. 规则：BR-619EE9F72FB264
3. 未动态验证
4. 示例账号、编号、金额与日期是本条测试数据；执行前按前置条件准备，未填写的产品决策不得自行假定。</x:v>
      </x:c>
    </x:row>
    <x:row r="223" ht="130" customHeight="1">
      <x:c r="A223" s="10" t="n">
        <x:v>222</x:v>
      </x:c>
      <x:c r="B223" s="10" t="str">
        <x:v>ADMIN-0222</x:v>
      </x:c>
      <x:c r="C223" s="10" t="str">
        <x:v>运营账号</x:v>
      </x:c>
      <x:c r="D223" s="10" t="str">
        <x:v>额度限制（平台管理员）</x:v>
      </x:c>
      <x:c r="E223" s="10" t="str">
        <x:v>功能需求</x:v>
      </x:c>
      <x:c r="F223" s="10" t="str">
        <x:v>P2</x:v>
      </x:c>
      <x:c r="G223" s="9" t="str">
        <x:v>验证单账号月上限设置 40</x:v>
      </x:c>
      <x:c r="H223" s="9" t="str">
        <x:v>单账号额度上下界</x:v>
      </x:c>
      <x:c r="I223" s="9" t="str">
        <x:v>1. 平台管理员为本条执行者
2. 公会甲本月已发放总数 100，单账号最高本月已发放 40；当前公会月上限 200、单账号月上限 100</x:v>
      </x:c>
      <x:c r="J223" s="9" t="str">
        <x:v>1. 打开公会甲额度限制
2. 输入单账号月度额度 40
3. 点击保存</x:v>
      </x:c>
      <x:c r="K223" s="9" t="str">
        <x:v>单账号月度额度保存为 40</x:v>
      </x:c>
      <x:c r="L223" s="10" t="str"/>
      <x:c r="M223" s="10" t="str">
        <x:v>未测</x:v>
      </x:c>
      <x:c r="N223" s="10" t="str"/>
      <x:c r="O223" s="9" t="str">
        <x:v>1. 来源（当前证据）：liveshow-proto/MainBasis/统一需求文档.md；位置：第 3402 行；REQ-c0c7aca5f686、第 3393 行
2. 规则：BR-9932CED49550B3
3. 未动态验证
4. 示例账号、编号、金额与日期是本条测试数据；执行前按前置条件准备，未填写的产品决策不得自行假定。</x:v>
      </x:c>
    </x:row>
    <x:row r="224" ht="130" customHeight="1">
      <x:c r="A224" s="10" t="n">
        <x:v>223</x:v>
      </x:c>
      <x:c r="B224" s="10" t="str">
        <x:v>ADMIN-0223</x:v>
      </x:c>
      <x:c r="C224" s="10" t="str">
        <x:v>运营账号</x:v>
      </x:c>
      <x:c r="D224" s="10" t="str">
        <x:v>额度限制（平台管理员）</x:v>
      </x:c>
      <x:c r="E224" s="10" t="str">
        <x:v>功能需求</x:v>
      </x:c>
      <x:c r="F224" s="10" t="str">
        <x:v>P2</x:v>
      </x:c>
      <x:c r="G224" s="9" t="str">
        <x:v>验证单账号月上限设置 200</x:v>
      </x:c>
      <x:c r="H224" s="9" t="str">
        <x:v>单账号额度上下界</x:v>
      </x:c>
      <x:c r="I224" s="9" t="str">
        <x:v>1. 平台管理员为本条执行者
2. 公会甲本月已发放总数 100，单账号最高本月已发放 40；当前公会月上限 200、单账号月上限 100</x:v>
      </x:c>
      <x:c r="J224" s="9" t="str">
        <x:v>1. 打开公会甲额度限制
2. 输入单账号月度额度 200
3. 点击保存</x:v>
      </x:c>
      <x:c r="K224" s="9" t="str">
        <x:v>单账号月度额度保存为 200</x:v>
      </x:c>
      <x:c r="L224" s="10" t="str"/>
      <x:c r="M224" s="10" t="str">
        <x:v>未测</x:v>
      </x:c>
      <x:c r="N224" s="10" t="str"/>
      <x:c r="O224" s="9" t="str">
        <x:v>1. 来源（当前证据）：liveshow-proto/MainBasis/统一需求文档.md；位置：第 3402 行；REQ-c0c7aca5f686、第 3393 行
2. 规则：BR-60A5753B6585D6
3. 未动态验证
4. 示例账号、编号、金额与日期是本条测试数据；执行前按前置条件准备，未填写的产品决策不得自行假定。</x:v>
      </x:c>
    </x:row>
    <x:row r="225" ht="130" customHeight="1">
      <x:c r="A225" s="10" t="n">
        <x:v>224</x:v>
      </x:c>
      <x:c r="B225" s="10" t="str">
        <x:v>ADMIN-0224</x:v>
      </x:c>
      <x:c r="C225" s="10" t="str">
        <x:v>运营账号</x:v>
      </x:c>
      <x:c r="D225" s="10" t="str">
        <x:v>额度限制（平台管理员）</x:v>
      </x:c>
      <x:c r="E225" s="10" t="str">
        <x:v>功能需求</x:v>
      </x:c>
      <x:c r="F225" s="10" t="str">
        <x:v>P2</x:v>
      </x:c>
      <x:c r="G225" s="9" t="str">
        <x:v>验证单账号月上限设置 201</x:v>
      </x:c>
      <x:c r="H225" s="9" t="str">
        <x:v>单账号额度上下界</x:v>
      </x:c>
      <x:c r="I225" s="9" t="str">
        <x:v>1. 平台管理员为本条执行者
2. 公会甲本月已发放总数 100，单账号最高本月已发放 40；当前公会月上限 200、单账号月上限 100</x:v>
      </x:c>
      <x:c r="J225" s="9" t="str">
        <x:v>1. 打开公会甲额度限制
2. 输入单账号月度额度 201
3. 点击保存</x:v>
      </x:c>
      <x:c r="K225" s="9" t="str">
        <x:v>额度配置未保存</x:v>
      </x:c>
      <x:c r="L225" s="10" t="str"/>
      <x:c r="M225" s="10" t="str">
        <x:v>未测</x:v>
      </x:c>
      <x:c r="N225" s="10" t="str"/>
      <x:c r="O225" s="9" t="str">
        <x:v>1. 来源（当前证据）：liveshow-proto/MainBasis/统一需求文档.md；位置：第 3402 行；REQ-c0c7aca5f686、第 3393 行
2. 规则：BR-F35D0279485F74
3. 未动态验证
4. 示例账号、编号、金额与日期是本条测试数据；执行前按前置条件准备，未填写的产品决策不得自行假定。</x:v>
      </x:c>
    </x:row>
    <x:row r="226" ht="130" customHeight="1">
      <x:c r="A226" s="10" t="n">
        <x:v>225</x:v>
      </x:c>
      <x:c r="B226" s="10" t="str">
        <x:v>ADMIN-0225</x:v>
      </x:c>
      <x:c r="C226" s="10" t="str">
        <x:v>运营账号</x:v>
      </x:c>
      <x:c r="D226" s="10" t="str">
        <x:v>额度限制（平台管理员）</x:v>
      </x:c>
      <x:c r="E226" s="10" t="str">
        <x:v>功能需求</x:v>
      </x:c>
      <x:c r="F226" s="10" t="str">
        <x:v>P2</x:v>
      </x:c>
      <x:c r="G226" s="9" t="str">
        <x:v>验证公会剩余额度使用已发放累计</x:v>
      </x:c>
      <x:c r="H226" s="9" t="str">
        <x:v>本月剩余额度</x:v>
      </x:c>
      <x:c r="I226" s="9" t="str">
        <x:v>1. 平台管理员为本条执行者
2. 公会甲本月已发放总数 100，单账号最高本月已发放 40；当前公会月上限 200、单账号月上限 100</x:v>
      </x:c>
      <x:c r="J226" s="9" t="str">
        <x:v>1. 打开公会甲额度限制
2. 查看本月剩余额度</x:v>
      </x:c>
      <x:c r="K226" s="9" t="str">
        <x:v>本月剩余额度 = 100 金币</x:v>
      </x:c>
      <x:c r="L226" s="10" t="str"/>
      <x:c r="M226" s="10" t="str">
        <x:v>未测</x:v>
      </x:c>
      <x:c r="N226" s="10" t="str"/>
      <x:c r="O226" s="9" t="str">
        <x:v>1. 来源（当前证据）：liveshow-proto/MainBasis/统一需求文档.md；位置：第 3400 行；REQ-a5aeac0c3e04、第 3393 行
2. 规则：BR-D7C38A1F0037B4
3. 未动态验证
4. 示例账号、编号、金额与日期是本条测试数据；执行前按前置条件准备，未填写的产品决策不得自行假定。</x:v>
      </x:c>
    </x:row>
    <x:row r="227" ht="130" customHeight="1">
      <x:c r="A227" s="10" t="n">
        <x:v>226</x:v>
      </x:c>
      <x:c r="B227" s="10" t="str">
        <x:v>ADMIN-0226</x:v>
      </x:c>
      <x:c r="C227" s="10" t="str">
        <x:v>运营管理</x:v>
      </x:c>
      <x:c r="D227" s="10" t="str">
        <x:v>展示素材编辑（平台管理员）</x:v>
      </x:c>
      <x:c r="E227" s="10" t="str">
        <x:v>功能需求</x:v>
      </x:c>
      <x:c r="F227" s="10" t="str">
        <x:v>P2</x:v>
      </x:c>
      <x:c r="G227" s="9" t="str">
        <x:v>验证轮播内容配置 1 项</x:v>
      </x:c>
      <x:c r="H227" s="9" t="str">
        <x:v>轮播内容数量</x:v>
      </x:c>
      <x:c r="I227" s="9" t="str">
        <x:v>1. 平台管理员为本条执行者
2. 展示位置为直播广场运营位，当前不存在重叠的启用配置；每项图片与跳转目标均已准备
3. 当前已准备1项轮播素材及目标内容</x:v>
      </x:c>
      <x:c r="J227" s="9" t="str">
        <x:v>1. 打开展示素材编辑
2. 编辑并保留 1 项完整内容
3. 选择今天至明天
4. 点击保存</x:v>
      </x:c>
      <x:c r="K227" s="9" t="str">
        <x:v>保存的轮播内容数量为 1</x:v>
      </x:c>
      <x:c r="L227" s="10" t="str"/>
      <x:c r="M227" s="10" t="str">
        <x:v>未测</x:v>
      </x:c>
      <x:c r="N227" s="10" t="str"/>
      <x:c r="O227" s="9" t="str">
        <x:v>1. 来源（当前证据）：liveshow-proto/MainBasis/统一需求文档.md；位置：第 2857 行；REQ-cb43c43948f0、第 2854 行
2. 规则：BR-54F25AD4BE7A79
3. 未动态验证
4. 示例账号、编号、金额与日期是本条测试数据；执行前按前置条件准备，未填写的产品决策不得自行假定。</x:v>
      </x:c>
    </x:row>
    <x:row r="228" ht="130" customHeight="1">
      <x:c r="A228" s="10" t="n">
        <x:v>227</x:v>
      </x:c>
      <x:c r="B228" s="10" t="str">
        <x:v>ADMIN-0227</x:v>
      </x:c>
      <x:c r="C228" s="10" t="str">
        <x:v>运营管理</x:v>
      </x:c>
      <x:c r="D228" s="10" t="str">
        <x:v>展示素材编辑（平台管理员）</x:v>
      </x:c>
      <x:c r="E228" s="10" t="str">
        <x:v>功能需求</x:v>
      </x:c>
      <x:c r="F228" s="10" t="str">
        <x:v>P2</x:v>
      </x:c>
      <x:c r="G228" s="9" t="str">
        <x:v>验证轮播内容配置 5 项</x:v>
      </x:c>
      <x:c r="H228" s="9" t="str">
        <x:v>轮播内容数量</x:v>
      </x:c>
      <x:c r="I228" s="9" t="str">
        <x:v>1. 平台管理员为本条执行者
2. 展示位置为直播广场运营位，当前不存在重叠的启用配置；每项图片与跳转目标均已准备
3. 当前已准备5项轮播素材及目标内容</x:v>
      </x:c>
      <x:c r="J228" s="9" t="str">
        <x:v>1. 打开展示素材编辑
2. 编辑并保留 5 项完整内容
3. 选择今天至明天
4. 点击保存</x:v>
      </x:c>
      <x:c r="K228" s="9" t="str">
        <x:v>保存的轮播内容数量为 5</x:v>
      </x:c>
      <x:c r="L228" s="10" t="str"/>
      <x:c r="M228" s="10" t="str">
        <x:v>未测</x:v>
      </x:c>
      <x:c r="N228" s="10" t="str"/>
      <x:c r="O228" s="9" t="str">
        <x:v>1. 来源（当前证据）：liveshow-proto/MainBasis/统一需求文档.md；位置：第 2857 行；REQ-cb43c43948f0、第 2854 行
2. 规则：BR-75E0CD60FF34E9
3. 未动态验证
4. 示例账号、编号、金额与日期是本条测试数据；执行前按前置条件准备，未填写的产品决策不得自行假定。</x:v>
      </x:c>
    </x:row>
    <x:row r="229" ht="130" customHeight="1">
      <x:c r="A229" s="10" t="n">
        <x:v>228</x:v>
      </x:c>
      <x:c r="B229" s="10" t="str">
        <x:v>ADMIN-0228</x:v>
      </x:c>
      <x:c r="C229" s="10" t="str">
        <x:v>运营管理</x:v>
      </x:c>
      <x:c r="D229" s="10" t="str">
        <x:v>展示素材编辑（平台管理员）</x:v>
      </x:c>
      <x:c r="E229" s="10" t="str">
        <x:v>功能需求</x:v>
      </x:c>
      <x:c r="F229" s="10" t="str">
        <x:v>P2</x:v>
      </x:c>
      <x:c r="G229" s="9" t="str">
        <x:v>验证不能删除最后一项轮播内容</x:v>
      </x:c>
      <x:c r="H229" s="9" t="str">
        <x:v>轮播内容最少一项</x:v>
      </x:c>
      <x:c r="I229" s="9" t="str">
        <x:v>1. 平台管理员为本条执行者
2. 展示位置为直播广场运营位，当前不存在重叠的启用配置；每项图片与跳转目标均已准备
3. 当前只剩1项内容</x:v>
      </x:c>
      <x:c r="J229" s="9" t="str">
        <x:v>1. 打开展示素材编辑
2. 点击删除最后一项</x:v>
      </x:c>
      <x:c r="K229" s="9" t="str">
        <x:v>最后一项仍保留</x:v>
      </x:c>
      <x:c r="L229" s="10" t="str"/>
      <x:c r="M229" s="10" t="str">
        <x:v>未测</x:v>
      </x:c>
      <x:c r="N229" s="10" t="str"/>
      <x:c r="O229" s="9" t="str">
        <x:v>1. 来源（当前证据）：liveshow-proto/MainBasis/统一需求文档.md；位置：第 2863 行；REQ-eea7aadc1ba4、第 2854 行
2. 规则：BR-2706D523B2E7F5
3. 未动态验证
4. 示例账号、编号、金额与日期是本条测试数据；执行前按前置条件准备，未填写的产品决策不得自行假定。</x:v>
      </x:c>
    </x:row>
    <x:row r="230" ht="130" customHeight="1">
      <x:c r="A230" s="10" t="n">
        <x:v>229</x:v>
      </x:c>
      <x:c r="B230" s="10" t="str">
        <x:v>ADMIN-0229</x:v>
      </x:c>
      <x:c r="C230" s="10" t="str">
        <x:v>运营管理</x:v>
      </x:c>
      <x:c r="D230" s="10" t="str">
        <x:v>展示素材编辑（平台管理员）</x:v>
      </x:c>
      <x:c r="E230" s="10" t="str">
        <x:v>功能需求</x:v>
      </x:c>
      <x:c r="F230" s="10" t="str">
        <x:v>P2</x:v>
      </x:c>
      <x:c r="G230" s="9" t="str">
        <x:v>验证最多五项轮播内容</x:v>
      </x:c>
      <x:c r="H230" s="9" t="str">
        <x:v>轮播内容最多五项</x:v>
      </x:c>
      <x:c r="I230" s="9" t="str">
        <x:v>1. 平台管理员为本条执行者
2. 展示位置为直播广场运营位，当前不存在重叠的启用配置；每项图片与跳转目标均已准备
3. 当前已有5项完整内容</x:v>
      </x:c>
      <x:c r="J230" s="9" t="str">
        <x:v>1. 打开展示素材编辑
2. 点击添加轮播内容</x:v>
      </x:c>
      <x:c r="K230" s="9" t="str">
        <x:v>没有新增第6项内容</x:v>
      </x:c>
      <x:c r="L230" s="10" t="str"/>
      <x:c r="M230" s="10" t="str">
        <x:v>未测</x:v>
      </x:c>
      <x:c r="N230" s="10" t="str"/>
      <x:c r="O230" s="9" t="str">
        <x:v>1. 来源（当前证据）：liveshow-proto/MainBasis/统一需求文档.md；位置：第 2857 行；REQ-cb43c43948f0、第 2854 行
2. 规则：BR-19046FC9814EC7
3. 未动态验证
4. 示例账号、编号、金额与日期是本条测试数据；执行前按前置条件准备，未填写的产品决策不得自行假定。</x:v>
      </x:c>
    </x:row>
    <x:row r="231" ht="160" customHeight="1">
      <x:c r="A231" s="10" t="n">
        <x:v>230</x:v>
      </x:c>
      <x:c r="B231" s="10" t="str">
        <x:v>ADMIN-0230</x:v>
      </x:c>
      <x:c r="C231" s="10" t="str">
        <x:v>运营管理</x:v>
      </x:c>
      <x:c r="D231" s="10" t="str">
        <x:v>展示素材编辑（平台管理员）</x:v>
      </x:c>
      <x:c r="E231" s="10" t="str">
        <x:v>功能需求</x:v>
      </x:c>
      <x:c r="F231" s="10" t="str">
        <x:v>P2</x:v>
      </x:c>
      <x:c r="G231" s="9" t="str">
        <x:v>验证APP 已有页面跳转缺少目标内容</x:v>
      </x:c>
      <x:c r="H231" s="9" t="str">
        <x:v>轮播跳转目标必填</x:v>
      </x:c>
      <x:c r="I231" s="9" t="str">
        <x:v>1. 平台管理员为本条执行者
2. 展示位置为直播广场运营位，当前不存在重叠的启用配置；每项图片与跳转目标均已准备</x:v>
      </x:c>
      <x:c r="J231" s="9" t="str">
        <x:v>1. 打开展示素材编辑
2. 上传展示素材
3. 选择跳转类型 APP 已有页面
4. 清空目标页面
5. 点击保存</x:v>
      </x:c>
      <x:c r="K231" s="9" t="str">
        <x:v>展示素材配置未保存</x:v>
      </x:c>
      <x:c r="L231" s="10" t="str"/>
      <x:c r="M231" s="10" t="str">
        <x:v>未测</x:v>
      </x:c>
      <x:c r="N231" s="10" t="str"/>
      <x:c r="O231" s="9" t="str">
        <x:v>1. 来源（当前证据）：liveshow-proto/MainBasis/统一需求文档.md；位置：第 2857 行；REQ-cb43c43948f0、第 2860 行；REQ-db3c2595cae9、第 2866 行；REQ-0bf3c193dc86、第 2854 行
2. 规则：BR-FE012966FEB8BC
3. 未动态验证
4. 示例账号、编号、金额与日期是本条测试数据；执行前按前置条件准备，未填写的产品决策不得自行假定。</x:v>
      </x:c>
    </x:row>
    <x:row r="232" ht="160" customHeight="1">
      <x:c r="A232" s="10" t="n">
        <x:v>231</x:v>
      </x:c>
      <x:c r="B232" s="10" t="str">
        <x:v>ADMIN-0231</x:v>
      </x:c>
      <x:c r="C232" s="10" t="str">
        <x:v>运营管理</x:v>
      </x:c>
      <x:c r="D232" s="10" t="str">
        <x:v>展示素材编辑（平台管理员）</x:v>
      </x:c>
      <x:c r="E232" s="10" t="str">
        <x:v>功能需求</x:v>
      </x:c>
      <x:c r="F232" s="10" t="str">
        <x:v>P2</x:v>
      </x:c>
      <x:c r="G232" s="9" t="str">
        <x:v>验证活动长图页面跳转缺少目标内容</x:v>
      </x:c>
      <x:c r="H232" s="9" t="str">
        <x:v>轮播跳转目标必填</x:v>
      </x:c>
      <x:c r="I232" s="9" t="str">
        <x:v>1. 平台管理员为本条执行者
2. 展示位置为直播广场运营位，当前不存在重叠的启用配置；每项图片与跳转目标均已准备</x:v>
      </x:c>
      <x:c r="J232" s="9" t="str">
        <x:v>1. 打开展示素材编辑
2. 上传展示素材
3. 选择跳转类型 活动长图页面
4. 删除详情长图
5. 点击保存</x:v>
      </x:c>
      <x:c r="K232" s="9" t="str">
        <x:v>展示素材配置未保存</x:v>
      </x:c>
      <x:c r="L232" s="10" t="str"/>
      <x:c r="M232" s="10" t="str">
        <x:v>未测</x:v>
      </x:c>
      <x:c r="N232" s="10" t="str"/>
      <x:c r="O232" s="9" t="str">
        <x:v>1. 来源（当前证据）：liveshow-proto/MainBasis/统一需求文档.md；位置：第 2857 行；REQ-cb43c43948f0、第 2860 行；REQ-db3c2595cae9、第 2866 行；REQ-0bf3c193dc86、第 2854 行
2. 规则：BR-24F6BF58713643
3. 未动态验证
4. 示例账号、编号、金额与日期是本条测试数据；执行前按前置条件准备，未填写的产品决策不得自行假定。</x:v>
      </x:c>
    </x:row>
    <x:row r="233" ht="130" customHeight="1">
      <x:c r="A233" s="10" t="n">
        <x:v>232</x:v>
      </x:c>
      <x:c r="B233" s="10" t="str">
        <x:v>ADMIN-0232</x:v>
      </x:c>
      <x:c r="C233" s="10" t="str">
        <x:v>运营管理</x:v>
      </x:c>
      <x:c r="D233" s="10" t="str">
        <x:v>展示素材编辑（平台管理员）</x:v>
      </x:c>
      <x:c r="E233" s="10" t="str">
        <x:v>异常用例</x:v>
      </x:c>
      <x:c r="F233" s="10" t="str">
        <x:v>P2</x:v>
      </x:c>
      <x:c r="G233" s="9" t="str">
        <x:v>验证同位置启用配置不允许日期重叠</x:v>
      </x:c>
      <x:c r="H233" s="9" t="str">
        <x:v>展示位日期冲突</x:v>
      </x:c>
      <x:c r="I233" s="9" t="str">
        <x:v>1. 平台管理员为本条执行者
2. 展示位置为直播广场运营位，当前不存在重叠的启用配置；每项图片与跳转目标均已准备
3. 已有启用配置覆盖 09/01 至 09/10</x:v>
      </x:c>
      <x:c r="J233" s="9" t="str">
        <x:v>1. 打开展示素材编辑
2. 选择同一展示位置
3. 选择日期 09/10 至 09/12
4. 启用配置
5. 点击保存</x:v>
      </x:c>
      <x:c r="K233" s="9" t="str">
        <x:v>新配置未保存</x:v>
      </x:c>
      <x:c r="L233" s="10" t="str"/>
      <x:c r="M233" s="10" t="str">
        <x:v>未测</x:v>
      </x:c>
      <x:c r="N233" s="10" t="str"/>
      <x:c r="O233" s="9" t="str">
        <x:v>1. 来源（当前证据）：liveshow-proto/MainBasis/统一需求文档.md；位置：第 2861 行；REQ-4b551a00b631、第 2854 行
2. 规则：BR-50F96BF101DD5E
3. 未动态验证
4. 示例账号、编号、金额与日期是本条测试数据；执行前按前置条件准备，未填写的产品决策不得自行假定。</x:v>
      </x:c>
    </x:row>
    <x:row r="234" ht="160" customHeight="1">
      <x:c r="A234" s="10" t="n">
        <x:v>233</x:v>
      </x:c>
      <x:c r="B234" s="10" t="str">
        <x:v>ADMIN-0233</x:v>
      </x:c>
      <x:c r="C234" s="10" t="str">
        <x:v>运营管理</x:v>
      </x:c>
      <x:c r="D234" s="10" t="str">
        <x:v>展示素材编辑（平台管理员）</x:v>
      </x:c>
      <x:c r="E234" s="10" t="str">
        <x:v>功能需求</x:v>
      </x:c>
      <x:c r="F234" s="10" t="str">
        <x:v>P2</x:v>
      </x:c>
      <x:c r="G234" s="9" t="str">
        <x:v>验证轮播项目拖动改变顺序</x:v>
      </x:c>
      <x:c r="H234" s="9" t="str">
        <x:v>轮播顺序保存</x:v>
      </x:c>
      <x:c r="I234" s="9" t="str">
        <x:v>1. 平台管理员为本条执行者
2. 展示位置为直播广场运营位，当前不存在重叠的启用配置；每项图片与跳转目标均已准备
3. 当前两项素材顺序为图片甲、图片乙</x:v>
      </x:c>
      <x:c r="J234" s="9" t="str">
        <x:v>1. 打开展示素材编辑
2. 拖动图片乙到第一项
3. 点击保存</x:v>
      </x:c>
      <x:c r="K234" s="9" t="str">
        <x:v>第一项为图片乙</x:v>
      </x:c>
      <x:c r="L234" s="10" t="str"/>
      <x:c r="M234" s="10" t="str">
        <x:v>未测</x:v>
      </x:c>
      <x:c r="N234" s="10" t="str"/>
      <x:c r="O234" s="9" t="str">
        <x:v>1. 来源（当前证据）：liveshow-proto/MainBasis/统一需求文档.md；位置：第 2857 行；REQ-cb43c43948f0、第 2864 行；REQ-b2966d1aae38、第 2866 行；REQ-0bf3c193dc86、第 2854 行
2. 规则：BR-5C585158165435
3. 未动态验证
4. 示例账号、编号、金额与日期是本条测试数据；执行前按前置条件准备，未填写的产品决策不得自行假定。</x:v>
      </x:c>
    </x:row>
    <x:row r="235" ht="160" customHeight="1">
      <x:c r="A235" s="10" t="n">
        <x:v>234</x:v>
      </x:c>
      <x:c r="B235" s="10" t="str">
        <x:v>ADMIN-0234</x:v>
      </x:c>
      <x:c r="C235" s="10" t="str">
        <x:v>礼物与道具</x:v>
      </x:c>
      <x:c r="D235" s="10" t="str">
        <x:v>普通礼物（平台管理员）</x:v>
      </x:c>
      <x:c r="E235" s="10" t="str">
        <x:v>功能需求</x:v>
      </x:c>
      <x:c r="F235" s="10" t="str">
        <x:v>P2</x:v>
      </x:c>
      <x:c r="G235" s="9" t="str">
        <x:v>验证普通礼物下架停止新赠送</x:v>
      </x:c>
      <x:c r="H235" s="9" t="str">
        <x:v>礼物上下架状态</x:v>
      </x:c>
      <x:c r="I235" s="9" t="str">
        <x:v>1. 平台管理员为本条执行者
2. 普通礼物甲当前上架，已有成功消费记录</x:v>
      </x:c>
      <x:c r="J235" s="9" t="str">
        <x:v>1. 打开普通礼物
2. 下架礼物甲
3. 确认下架</x:v>
      </x:c>
      <x:c r="K235" s="9" t="str">
        <x:v>礼物甲显示下架</x:v>
      </x:c>
      <x:c r="L235" s="10" t="str"/>
      <x:c r="M235" s="10" t="str">
        <x:v>未测</x:v>
      </x:c>
      <x:c r="N235" s="10" t="str"/>
      <x:c r="O235" s="9" t="str">
        <x:v>1. 来源（当前证据）：liveshow-proto/MainBasis/统一需求文档.md；位置：第 2738 行；REQ-189ac7da1d4d、第 2739 行；REQ-99419df45f58、第 2740 行；REQ-0cee62d27d9a、第 2731 行
2. 规则：BR-131E564963222E
3. 未动态验证
4. 示例账号、编号、金额与日期是本条测试数据；执行前按前置条件准备，未填写的产品决策不得自行假定。</x:v>
      </x:c>
    </x:row>
    <x:row r="236" ht="130" customHeight="1">
      <x:c r="A236" s="10" t="n">
        <x:v>235</x:v>
      </x:c>
      <x:c r="B236" s="10" t="str">
        <x:v>ADMIN-0235</x:v>
      </x:c>
      <x:c r="C236" s="10" t="str">
        <x:v>礼物与道具</x:v>
      </x:c>
      <x:c r="D236" s="10" t="str">
        <x:v>道具详情（平台管理员）</x:v>
      </x:c>
      <x:c r="E236" s="10" t="str">
        <x:v>功能需求</x:v>
      </x:c>
      <x:c r="F236" s="10" t="str">
        <x:v>P2</x:v>
      </x:c>
      <x:c r="G236" s="9" t="str">
        <x:v>验证道具期限从昨天到明天</x:v>
      </x:c>
      <x:c r="H236" s="9" t="str">
        <x:v>道具佩戴期限边界</x:v>
      </x:c>
      <x:c r="I236" s="9" t="str">
        <x:v>1. 平台管理员为本条执行者
2. 道具甲为头像框，原有效期 09/01 至 09/30；用户乙已按该期限获得道具</x:v>
      </x:c>
      <x:c r="J236" s="9" t="str">
        <x:v>1. 打开道具甲详情
2. 选择开始日期昨天
3. 选择结束日期明天
4. 点击保存</x:v>
      </x:c>
      <x:c r="K236" s="9" t="str">
        <x:v>本次道具期限未保存</x:v>
      </x:c>
      <x:c r="L236" s="10" t="str"/>
      <x:c r="M236" s="10" t="str">
        <x:v>未测</x:v>
      </x:c>
      <x:c r="N236" s="10" t="str"/>
      <x:c r="O236" s="9" t="str">
        <x:v>1. 来源（当前证据）：liveshow-proto/MainBasis/统一需求文档.md；位置：第 2818 行；REQ-558d7e0eabe1、第 2809 行
2. 规则：BR-59893650CFC34E
3. 未动态验证
4. 示例账号、编号、金额与日期是本条测试数据；执行前按前置条件准备，未填写的产品决策不得自行假定。</x:v>
      </x:c>
    </x:row>
    <x:row r="237" ht="130" customHeight="1">
      <x:c r="A237" s="10" t="n">
        <x:v>236</x:v>
      </x:c>
      <x:c r="B237" s="10" t="str">
        <x:v>ADMIN-0236</x:v>
      </x:c>
      <x:c r="C237" s="10" t="str">
        <x:v>礼物与道具</x:v>
      </x:c>
      <x:c r="D237" s="10" t="str">
        <x:v>道具详情（平台管理员）</x:v>
      </x:c>
      <x:c r="E237" s="10" t="str">
        <x:v>功能需求</x:v>
      </x:c>
      <x:c r="F237" s="10" t="str">
        <x:v>P2</x:v>
      </x:c>
      <x:c r="G237" s="9" t="str">
        <x:v>验证道具期限从今天到今天</x:v>
      </x:c>
      <x:c r="H237" s="9" t="str">
        <x:v>道具佩戴期限边界</x:v>
      </x:c>
      <x:c r="I237" s="9" t="str">
        <x:v>1. 平台管理员为本条执行者
2. 道具甲为头像框，原有效期 09/01 至 09/30；用户乙已按该期限获得道具</x:v>
      </x:c>
      <x:c r="J237" s="9" t="str">
        <x:v>1. 打开道具甲详情
2. 选择开始日期今天
3. 选择结束日期今天
4. 点击保存</x:v>
      </x:c>
      <x:c r="K237" s="9" t="str">
        <x:v>本次道具期限未保存</x:v>
      </x:c>
      <x:c r="L237" s="10" t="str"/>
      <x:c r="M237" s="10" t="str">
        <x:v>未测</x:v>
      </x:c>
      <x:c r="N237" s="10" t="str"/>
      <x:c r="O237" s="9" t="str">
        <x:v>1. 来源（当前证据）：liveshow-proto/MainBasis/统一需求文档.md；位置：第 2818 行；REQ-558d7e0eabe1、第 2809 行
2. 规则：BR-B4B97E43B03347
3. 未动态验证
4. 示例账号、编号、金额与日期是本条测试数据；执行前按前置条件准备，未填写的产品决策不得自行假定。</x:v>
      </x:c>
    </x:row>
    <x:row r="238" ht="130" customHeight="1">
      <x:c r="A238" s="10" t="n">
        <x:v>237</x:v>
      </x:c>
      <x:c r="B238" s="10" t="str">
        <x:v>ADMIN-0237</x:v>
      </x:c>
      <x:c r="C238" s="10" t="str">
        <x:v>礼物与道具</x:v>
      </x:c>
      <x:c r="D238" s="10" t="str">
        <x:v>道具详情（平台管理员）</x:v>
      </x:c>
      <x:c r="E238" s="10" t="str">
        <x:v>功能需求</x:v>
      </x:c>
      <x:c r="F238" s="10" t="str">
        <x:v>P2</x:v>
      </x:c>
      <x:c r="G238" s="9" t="str">
        <x:v>验证道具期限从今天到明天</x:v>
      </x:c>
      <x:c r="H238" s="9" t="str">
        <x:v>道具佩戴期限边界</x:v>
      </x:c>
      <x:c r="I238" s="9" t="str">
        <x:v>1. 平台管理员为本条执行者
2. 道具甲为头像框，原有效期 09/01 至 09/30；用户乙已按该期限获得道具</x:v>
      </x:c>
      <x:c r="J238" s="9" t="str">
        <x:v>1. 打开道具甲详情
2. 选择开始日期今天
3. 选择结束日期明天
4. 点击保存</x:v>
      </x:c>
      <x:c r="K238" s="9" t="str">
        <x:v>新期限保存为今天至明天</x:v>
      </x:c>
      <x:c r="L238" s="10" t="str"/>
      <x:c r="M238" s="10" t="str">
        <x:v>未测</x:v>
      </x:c>
      <x:c r="N238" s="10" t="str"/>
      <x:c r="O238" s="9" t="str">
        <x:v>1. 来源（当前证据）：liveshow-proto/MainBasis/统一需求文档.md；位置：第 2818 行；REQ-558d7e0eabe1、第 2809 行
2. 规则：BR-1294A11DD402EA
3. 未动态验证
4. 示例账号、编号、金额与日期是本条测试数据；执行前按前置条件准备，未填写的产品决策不得自行假定。</x:v>
      </x:c>
    </x:row>
    <x:row r="239" ht="130" customHeight="1">
      <x:c r="A239" s="10" t="n">
        <x:v>238</x:v>
      </x:c>
      <x:c r="B239" s="10" t="str">
        <x:v>ADMIN-0238</x:v>
      </x:c>
      <x:c r="C239" s="10" t="str">
        <x:v>礼物与道具</x:v>
      </x:c>
      <x:c r="D239" s="10" t="str">
        <x:v>道具详情（平台管理员）</x:v>
      </x:c>
      <x:c r="E239" s="10" t="str">
        <x:v>功能需求</x:v>
      </x:c>
      <x:c r="F239" s="10" t="str">
        <x:v>P2</x:v>
      </x:c>
      <x:c r="G239" s="9" t="str">
        <x:v>验证永久道具选择不限</x:v>
      </x:c>
      <x:c r="H239" s="9" t="str">
        <x:v>道具永久期限</x:v>
      </x:c>
      <x:c r="I239" s="9" t="str">
        <x:v>1. 平台管理员为本条执行者
2. 道具甲为头像框，原有效期 09/01 至 09/30；用户乙已按该期限获得道具</x:v>
      </x:c>
      <x:c r="J239" s="9" t="str">
        <x:v>1. 打开道具甲详情
2. 选择可佩戴期限不限
3. 点击保存</x:v>
      </x:c>
      <x:c r="K239" s="9" t="str">
        <x:v>新发放道具配置为永久有效</x:v>
      </x:c>
      <x:c r="L239" s="10" t="str"/>
      <x:c r="M239" s="10" t="str">
        <x:v>未测</x:v>
      </x:c>
      <x:c r="N239" s="10" t="str"/>
      <x:c r="O239" s="9" t="str">
        <x:v>1. 来源（当前证据）：liveshow-proto/MainBasis/统一需求文档.md；位置：第 2818 行；REQ-558d7e0eabe1、第 2809 行
2. 规则：BR-316F54EA59F99B
3. 未动态验证
4. 示例账号、编号、金额与日期是本条测试数据；执行前按前置条件准备，未填写的产品决策不得自行假定。</x:v>
      </x:c>
    </x:row>
    <x:row r="240" ht="145" customHeight="1">
      <x:c r="A240" s="10" t="n">
        <x:v>239</x:v>
      </x:c>
      <x:c r="B240" s="10" t="str">
        <x:v>ADMIN-0239</x:v>
      </x:c>
      <x:c r="C240" s="10" t="str">
        <x:v>运营管理</x:v>
      </x:c>
      <x:c r="D240" s="10" t="str">
        <x:v>敏感词编辑（平台管理员）</x:v>
      </x:c>
      <x:c r="E240" s="10" t="str">
        <x:v>功能需求</x:v>
      </x:c>
      <x:c r="F240" s="10" t="str">
        <x:v>P2</x:v>
      </x:c>
      <x:c r="G240" s="9" t="str">
        <x:v>验证敏感词设置包含匹配</x:v>
      </x:c>
      <x:c r="H240" s="9" t="str">
        <x:v>敏感词匹配模式</x:v>
      </x:c>
      <x:c r="I240" s="9" t="str">
        <x:v>1. 平台管理员为本条执行者
2. 词条“测试词甲”已启用，替换内容“***”，场景仅公屏</x:v>
      </x:c>
      <x:c r="J240" s="9" t="str">
        <x:v>1. 打开敏感词编辑
2. 选择包含匹配
3. 点击保存</x:v>
      </x:c>
      <x:c r="K240" s="9" t="str">
        <x:v>匹配规则保存为包含匹配</x:v>
      </x:c>
      <x:c r="L240" s="10" t="str"/>
      <x:c r="M240" s="10" t="str">
        <x:v>未测</x:v>
      </x:c>
      <x:c r="N240" s="10" t="str"/>
      <x:c r="O240" s="9" t="str">
        <x:v>1. 来源（当前证据）：liveshow-proto/MainBasis/统一需求文档.md；位置：第 3023 行；REQ-411ddb641bcf、第 3024 行；REQ-244ac8c25583、第 3020 行
2. 规则：BR-F354D3AB0F67AD
3. 未动态验证
4. 示例账号、编号、金额与日期是本条测试数据；执行前按前置条件准备，未填写的产品决策不得自行假定。</x:v>
      </x:c>
    </x:row>
    <x:row r="241" ht="145" customHeight="1">
      <x:c r="A241" s="10" t="n">
        <x:v>240</x:v>
      </x:c>
      <x:c r="B241" s="10" t="str">
        <x:v>ADMIN-0240</x:v>
      </x:c>
      <x:c r="C241" s="10" t="str">
        <x:v>运营管理</x:v>
      </x:c>
      <x:c r="D241" s="10" t="str">
        <x:v>敏感词编辑（平台管理员）</x:v>
      </x:c>
      <x:c r="E241" s="10" t="str">
        <x:v>功能需求</x:v>
      </x:c>
      <x:c r="F241" s="10" t="str">
        <x:v>P2</x:v>
      </x:c>
      <x:c r="G241" s="9" t="str">
        <x:v>验证敏感词设置精确匹配</x:v>
      </x:c>
      <x:c r="H241" s="9" t="str">
        <x:v>敏感词匹配模式</x:v>
      </x:c>
      <x:c r="I241" s="9" t="str">
        <x:v>1. 平台管理员为本条执行者
2. 词条“测试词甲”已启用，替换内容“***”，场景仅公屏</x:v>
      </x:c>
      <x:c r="J241" s="9" t="str">
        <x:v>1. 打开敏感词编辑
2. 选择精确匹配
3. 点击保存</x:v>
      </x:c>
      <x:c r="K241" s="9" t="str">
        <x:v>匹配规则保存为精确匹配</x:v>
      </x:c>
      <x:c r="L241" s="10" t="str"/>
      <x:c r="M241" s="10" t="str">
        <x:v>未测</x:v>
      </x:c>
      <x:c r="N241" s="10" t="str"/>
      <x:c r="O241" s="9" t="str">
        <x:v>1. 来源（当前证据）：liveshow-proto/MainBasis/统一需求文档.md；位置：第 3023 行；REQ-411ddb641bcf、第 3024 行；REQ-244ac8c25583、第 3020 行
2. 规则：BR-F24B4AF13277BB
3. 未动态验证
4. 示例账号、编号、金额与日期是本条测试数据；执行前按前置条件准备，未填写的产品决策不得自行假定。</x:v>
      </x:c>
    </x:row>
    <x:row r="242" ht="130" customHeight="1">
      <x:c r="A242" s="10" t="n">
        <x:v>241</x:v>
      </x:c>
      <x:c r="B242" s="10" t="str">
        <x:v>ADMIN-0241</x:v>
      </x:c>
      <x:c r="C242" s="10" t="str">
        <x:v>运营管理</x:v>
      </x:c>
      <x:c r="D242" s="10" t="str">
        <x:v>敏感词编辑（平台管理员）</x:v>
      </x:c>
      <x:c r="E242" s="10" t="str">
        <x:v>功能需求</x:v>
      </x:c>
      <x:c r="F242" s="10" t="str">
        <x:v>P2</x:v>
      </x:c>
      <x:c r="G242" s="9" t="str">
        <x:v>验证敏感词至少选择一个使用场景</x:v>
      </x:c>
      <x:c r="H242" s="9" t="str">
        <x:v>敏感词场景必选</x:v>
      </x:c>
      <x:c r="I242" s="9" t="str">
        <x:v>1. 平台管理员为本条执行者
2. 词条“测试词甲”已启用，替换内容“***”，场景仅公屏</x:v>
      </x:c>
      <x:c r="J242" s="9" t="str">
        <x:v>1. 打开敏感词编辑
2. 取消所有使用场景
3. 点击保存</x:v>
      </x:c>
      <x:c r="K242" s="9" t="str">
        <x:v>词条配置未保存</x:v>
      </x:c>
      <x:c r="L242" s="10" t="str"/>
      <x:c r="M242" s="10" t="str">
        <x:v>未测</x:v>
      </x:c>
      <x:c r="N242" s="10" t="str"/>
      <x:c r="O242" s="9" t="str">
        <x:v>1. 来源（当前证据）：liveshow-proto/MainBasis/统一需求文档.md；位置：第 3025 行；REQ-27c7a05b6109、第 3020 行
2. 规则：BR-2E3DB8F89AA061
3. 未动态验证
4. 示例账号、编号、金额与日期是本条测试数据；执行前按前置条件准备，未填写的产品决策不得自行假定。</x:v>
      </x:c>
    </x:row>
    <x:row r="243" ht="130" customHeight="1">
      <x:c r="A243" s="10" t="n">
        <x:v>242</x:v>
      </x:c>
      <x:c r="B243" s="10" t="str">
        <x:v>ADMIN-0242</x:v>
      </x:c>
      <x:c r="C243" s="10" t="str">
        <x:v>系统管理</x:v>
      </x:c>
      <x:c r="D243" s="10" t="str">
        <x:v>角色编辑（平台管理员）</x:v>
      </x:c>
      <x:c r="E243" s="10" t="str">
        <x:v>功能需求</x:v>
      </x:c>
      <x:c r="F243" s="10" t="str">
        <x:v>P1</x:v>
      </x:c>
      <x:c r="G243" s="9" t="str">
        <x:v>验证角色权限计数只计算叶子节点</x:v>
      </x:c>
      <x:c r="H243" s="9" t="str">
        <x:v>菜单权限叶子计数</x:v>
      </x:c>
      <x:c r="I243" s="9" t="str">
        <x:v>1. 平台管理员为本条执行者
2. 测试角色 R001 启用，菜单树父节点 P 下有叶子权限 L1、L2</x:v>
      </x:c>
      <x:c r="J243" s="9" t="str">
        <x:v>1. 打开角色 R001 编辑
2. 勾选父节点 P</x:v>
      </x:c>
      <x:c r="K243" s="9" t="str">
        <x:v>已选择数为 2</x:v>
      </x:c>
      <x:c r="L243" s="10" t="str"/>
      <x:c r="M243" s="10" t="str">
        <x:v>未测</x:v>
      </x:c>
      <x:c r="N243" s="10" t="str"/>
      <x:c r="O243" s="9" t="str">
        <x:v>1. 来源（当前证据）：liveshow-proto/MainBasis/统一需求文档.md；位置：第 3444 行；REQ-4d4697798909、第 3439 行
2. 规则：BR-6652A6C9E831C8
3. 未动态验证
4. 示例账号、编号、金额与日期是本条测试数据；执行前按前置条件准备，未填写的产品决策不得自行假定。</x:v>
      </x:c>
    </x:row>
    <x:row r="244" ht="130" customHeight="1">
      <x:c r="A244" s="10" t="n">
        <x:v>243</x:v>
      </x:c>
      <x:c r="B244" s="10" t="str">
        <x:v>ADMIN-0243</x:v>
      </x:c>
      <x:c r="C244" s="10" t="str">
        <x:v>系统管理</x:v>
      </x:c>
      <x:c r="D244" s="10" t="str">
        <x:v>角色编辑（平台管理员）</x:v>
      </x:c>
      <x:c r="E244" s="10" t="str">
        <x:v>功能需求</x:v>
      </x:c>
      <x:c r="F244" s="10" t="str">
        <x:v>P1</x:v>
      </x:c>
      <x:c r="G244" s="9" t="str">
        <x:v>验证角色菜单取消一个叶子权限</x:v>
      </x:c>
      <x:c r="H244" s="9" t="str">
        <x:v>权限选择计数更新</x:v>
      </x:c>
      <x:c r="I244" s="9" t="str">
        <x:v>1. 平台管理员为本条执行者
2. 测试角色 R001 启用，菜单树父节点 P 下有叶子权限 L1、L2</x:v>
      </x:c>
      <x:c r="J244" s="9" t="str">
        <x:v>1. 打开角色 R001 编辑
2. 勾选父节点 P
3. 取消勾选叶子 L2</x:v>
      </x:c>
      <x:c r="K244" s="9" t="str">
        <x:v>已选择数为 1</x:v>
      </x:c>
      <x:c r="L244" s="10" t="str"/>
      <x:c r="M244" s="10" t="str">
        <x:v>未测</x:v>
      </x:c>
      <x:c r="N244" s="10" t="str"/>
      <x:c r="O244" s="9" t="str">
        <x:v>1. 来源（当前证据）：liveshow-proto/MainBasis/统一需求文档.md；位置：第 3444 行；REQ-4d4697798909、第 3439 行
2. 规则：BR-70F1500EBD8855
3. 未动态验证
4. 示例账号、编号、金额与日期是本条测试数据；执行前按前置条件准备，未填写的产品决策不得自行假定。</x:v>
      </x:c>
    </x:row>
    <x:row r="245" ht="130" customHeight="1">
      <x:c r="A245" s="10" t="n">
        <x:v>244</x:v>
      </x:c>
      <x:c r="B245" s="10" t="str">
        <x:v>ADMIN-0244</x:v>
      </x:c>
      <x:c r="C245" s="10" t="str">
        <x:v>系统管理</x:v>
      </x:c>
      <x:c r="D245" s="10" t="str">
        <x:v>账号编辑（平台管理员）</x:v>
      </x:c>
      <x:c r="E245" s="10" t="str">
        <x:v>功能需求</x:v>
      </x:c>
      <x:c r="F245" s="10" t="str">
        <x:v>P2</x:v>
      </x:c>
      <x:c r="G245" s="9" t="str">
        <x:v>验证后台账号只可分配启用角色</x:v>
      </x:c>
      <x:c r="H245" s="9" t="str">
        <x:v>账号角色可选范围</x:v>
      </x:c>
      <x:c r="I245" s="9" t="str">
        <x:v>1. 平台管理员为本条执行者
2. 后台账号 B001 当前分配启用角色 R001，另有停用角色 R002</x:v>
      </x:c>
      <x:c r="J245" s="9" t="str">
        <x:v>1. 打开账号 B001 编辑
2. 展开所属角色</x:v>
      </x:c>
      <x:c r="K245" s="9" t="str">
        <x:v>可选角色不包含 R002</x:v>
      </x:c>
      <x:c r="L245" s="10" t="str"/>
      <x:c r="M245" s="10" t="str">
        <x:v>未测</x:v>
      </x:c>
      <x:c r="N245" s="10" t="str"/>
      <x:c r="O245" s="9" t="str">
        <x:v>1. 来源（当前证据）：liveshow-proto/MainBasis/统一需求文档.md；位置：第 3421 行；REQ-21f77a663ab3、第 3417 行
2. 规则：BR-A39F55DF36B6AD
3. 未动态验证
4. 示例账号、编号、金额与日期是本条测试数据；执行前按前置条件准备，未填写的产品决策不得自行假定。</x:v>
      </x:c>
    </x:row>
    <x:row r="246" ht="130" customHeight="1">
      <x:c r="A246" s="10" t="n">
        <x:v>245</x:v>
      </x:c>
      <x:c r="B246" s="10" t="str">
        <x:v>ADMIN-0245</x:v>
      </x:c>
      <x:c r="C246" s="10" t="str">
        <x:v>系统管理</x:v>
      </x:c>
      <x:c r="D246" s="10" t="str">
        <x:v>账号编辑（平台管理员）</x:v>
      </x:c>
      <x:c r="E246" s="10" t="str">
        <x:v>功能需求</x:v>
      </x:c>
      <x:c r="F246" s="10" t="str">
        <x:v>P2</x:v>
      </x:c>
      <x:c r="G246" s="9" t="str">
        <x:v>验证后台账号密码确认必须一致</x:v>
      </x:c>
      <x:c r="H246" s="9" t="str">
        <x:v>后台密码确认一致性</x:v>
      </x:c>
      <x:c r="I246" s="9" t="str">
        <x:v>1. 平台管理员为本条执行者
2. 后台账号 B001 当前分配启用角色 R001，另有停用角色 R002</x:v>
      </x:c>
      <x:c r="J246" s="9" t="str">
        <x:v>1. 打开账号 B001 编辑
2. 输入新密码 QaNew#2026
3. 输入确认密码 QaOther#2026
4. 点击保存</x:v>
      </x:c>
      <x:c r="K246" s="9" t="str">
        <x:v>新密码未保存</x:v>
      </x:c>
      <x:c r="L246" s="10" t="str"/>
      <x:c r="M246" s="10" t="str">
        <x:v>未测</x:v>
      </x:c>
      <x:c r="N246" s="10" t="str"/>
      <x:c r="O246" s="9" t="str">
        <x:v>1. 来源（当前证据）：liveshow-proto/MainBasis/统一需求文档.md；位置：第 3423 行；REQ-406737b6f152、第 3417 行
2. 规则：BR-306AC8B0E84258
3. 未动态验证
4. 示例账号、编号、金额与日期是本条测试数据；执行前按前置条件准备，未填写的产品决策不得自行假定。</x:v>
      </x:c>
    </x:row>
    <x:row r="247" ht="130" customHeight="1">
      <x:c r="A247" s="10" t="n">
        <x:v>246</x:v>
      </x:c>
      <x:c r="B247" s="10" t="str">
        <x:v>ADMIN-0246</x:v>
      </x:c>
      <x:c r="C247" s="10" t="str">
        <x:v>数据报表</x:v>
      </x:c>
      <x:c r="D247" s="10" t="str">
        <x:v>数据概览（财务管理员）</x:v>
      </x:c>
      <x:c r="E247" s="10" t="str">
        <x:v>功能需求</x:v>
      </x:c>
      <x:c r="F247" s="10" t="str">
        <x:v>P2</x:v>
      </x:c>
      <x:c r="G247" s="9" t="str">
        <x:v>验证数据概览按角色限制入口</x:v>
      </x:c>
      <x:c r="H247" s="9" t="str">
        <x:v>报表访问权限</x:v>
      </x:c>
      <x:c r="I247" s="9" t="str">
        <x:v>1. 财务管理员为本条执行者
2. 测试账号原已分配本报表查看及导出权限；本次使用冻结的测试统计数据，查询至导出期间无新增或修改
3. 当前账号的本报表查看权限已撤销</x:v>
      </x:c>
      <x:c r="J247" s="9" t="str">
        <x:v>1. 打开报表中心</x:v>
      </x:c>
      <x:c r="K247" s="9" t="str">
        <x:v>报表中心不显示数据概览入口</x:v>
      </x:c>
      <x:c r="L247" s="10" t="str"/>
      <x:c r="M247" s="10" t="str">
        <x:v>未测</x:v>
      </x:c>
      <x:c r="N247" s="10" t="str"/>
      <x:c r="O247" s="9" t="str">
        <x:v>1. 来源（当前证据）：liveshow-proto/MainBasis/统一需求文档.md；位置：第 3176 行；REQ-96d0bfcceee8、第 3181 行
2. 规则：BR-16E4959B36D894
3. 未动态验证
4. 示例账号、编号、金额与日期是本条测试数据；执行前按前置条件准备，未填写的产品决策不得自行假定。</x:v>
      </x:c>
    </x:row>
    <x:row r="248" ht="130" customHeight="1">
      <x:c r="A248" s="10" t="n">
        <x:v>247</x:v>
      </x:c>
      <x:c r="B248" s="10" t="str">
        <x:v>ADMIN-0247</x:v>
      </x:c>
      <x:c r="C248" s="10" t="str">
        <x:v>数据报表</x:v>
      </x:c>
      <x:c r="D248" s="10" t="str">
        <x:v>每日统计（财务管理员）</x:v>
      </x:c>
      <x:c r="E248" s="10" t="str">
        <x:v>功能需求</x:v>
      </x:c>
      <x:c r="F248" s="10" t="str">
        <x:v>P2</x:v>
      </x:c>
      <x:c r="G248" s="9" t="str">
        <x:v>验证每日统计导出当前结果</x:v>
      </x:c>
      <x:c r="H248" s="9" t="str">
        <x:v>报表导出范围</x:v>
      </x:c>
      <x:c r="I248" s="9" t="str">
        <x:v>1. 财务管理员为本条执行者
2. 测试账号原已分配本报表查看及导出权限；本次使用冻结的测试统计数据，查询至导出期间无新增或修改
3. 09/01、09/02、09/03均有可区分的业务记录</x:v>
      </x:c>
      <x:c r="J248" s="9" t="str">
        <x:v>1. 打开每日统计
2. 选择日期范围09/01至09/02
3. 点击查询
4. 点击导出
5. 打开导出的报表文件
6. 对比导出记录集合与查询后页面记录集合</x:v>
      </x:c>
      <x:c r="K248" s="9" t="str">
        <x:v>导出记录集合等于本次页面展示的记录集合</x:v>
      </x:c>
      <x:c r="L248" s="10" t="str"/>
      <x:c r="M248" s="10" t="str">
        <x:v>未测</x:v>
      </x:c>
      <x:c r="N248" s="10" t="str"/>
      <x:c r="O248" s="9" t="str">
        <x:v>1. 来源（当前证据）：liveshow-proto/MainBasis/统一需求文档.md；位置：第 3203 行；REQ-1cbd7234444c、第 3192 行
2. 规则：BR-F701340ED3D0BB
3. 未动态验证
4. 示例账号、编号、金额与日期是本条测试数据；执行前按前置条件准备，未填写的产品决策不得自行假定。</x:v>
      </x:c>
    </x:row>
    <x:row r="249" ht="130" customHeight="1">
      <x:c r="A249" s="10" t="n">
        <x:v>248</x:v>
      </x:c>
      <x:c r="B249" s="10" t="str">
        <x:v>ADMIN-0248</x:v>
      </x:c>
      <x:c r="C249" s="10" t="str">
        <x:v>数据报表</x:v>
      </x:c>
      <x:c r="D249" s="10" t="str">
        <x:v>每日统计（财务管理员）</x:v>
      </x:c>
      <x:c r="E249" s="10" t="str">
        <x:v>功能需求</x:v>
      </x:c>
      <x:c r="F249" s="10" t="str">
        <x:v>P2</x:v>
      </x:c>
      <x:c r="G249" s="9" t="str">
        <x:v>验证每日统计按角色限制入口</x:v>
      </x:c>
      <x:c r="H249" s="9" t="str">
        <x:v>报表访问权限</x:v>
      </x:c>
      <x:c r="I249" s="9" t="str">
        <x:v>1. 财务管理员为本条执行者
2. 测试账号原已分配本报表查看及导出权限；本次使用冻结的测试统计数据，查询至导出期间无新增或修改
3. 当前账号的本报表查看权限已撤销</x:v>
      </x:c>
      <x:c r="J249" s="9" t="str">
        <x:v>1. 打开报表中心</x:v>
      </x:c>
      <x:c r="K249" s="9" t="str">
        <x:v>报表中心不显示每日统计入口</x:v>
      </x:c>
      <x:c r="L249" s="10" t="str"/>
      <x:c r="M249" s="10" t="str">
        <x:v>未测</x:v>
      </x:c>
      <x:c r="N249" s="10" t="str"/>
      <x:c r="O249" s="9" t="str">
        <x:v>1. 来源（当前证据）：liveshow-proto/MainBasis/统一需求文档.md；位置：第 3176 行；REQ-96d0bfcceee8、第 3192 行
2. 规则：BR-64C59450E6FBF4
3. 未动态验证
4. 示例账号、编号、金额与日期是本条测试数据；执行前按前置条件准备，未填写的产品决策不得自行假定。</x:v>
      </x:c>
    </x:row>
    <x:row r="250" ht="130" customHeight="1">
      <x:c r="A250" s="10" t="n">
        <x:v>249</x:v>
      </x:c>
      <x:c r="B250" s="10" t="str">
        <x:v>ADMIN-0249</x:v>
      </x:c>
      <x:c r="C250" s="10" t="str">
        <x:v>数据报表</x:v>
      </x:c>
      <x:c r="D250" s="10" t="str">
        <x:v>用户活跃汇总（每日）（财务管理员）</x:v>
      </x:c>
      <x:c r="E250" s="10" t="str">
        <x:v>功能需求</x:v>
      </x:c>
      <x:c r="F250" s="10" t="str">
        <x:v>P2</x:v>
      </x:c>
      <x:c r="G250" s="9" t="str">
        <x:v>验证用户活跃汇总（每日）导出当前结果</x:v>
      </x:c>
      <x:c r="H250" s="9" t="str">
        <x:v>报表导出范围</x:v>
      </x:c>
      <x:c r="I250" s="9" t="str">
        <x:v>1. 财务管理员为本条执行者
2. 测试账号原已分配本报表查看及导出权限；本次使用冻结的测试统计数据，查询至导出期间无新增或修改
3. 09/01、09/02、09/03均有可区分的业务记录</x:v>
      </x:c>
      <x:c r="J250" s="9" t="str">
        <x:v>1. 打开用户活跃汇总（每日）
2. 选择日期范围09/01至09/02
3. 点击查询
4. 点击导出
5. 打开导出的报表文件
6. 对比导出记录集合与查询后页面记录集合</x:v>
      </x:c>
      <x:c r="K250" s="9" t="str">
        <x:v>导出记录集合等于本次页面展示的记录集合</x:v>
      </x:c>
      <x:c r="L250" s="10" t="str"/>
      <x:c r="M250" s="10" t="str">
        <x:v>未测</x:v>
      </x:c>
      <x:c r="N250" s="10" t="str"/>
      <x:c r="O250" s="9" t="str">
        <x:v>1. 来源（当前证据）：liveshow-proto/MainBasis/统一需求文档.md；位置：第 3213 行；REQ-19ef02cb77b2、第 3206 行
2. 规则：BR-F2FD26DB568AF4
3. 未动态验证
4. 示例账号、编号、金额与日期是本条测试数据；执行前按前置条件准备，未填写的产品决策不得自行假定。</x:v>
      </x:c>
    </x:row>
    <x:row r="251" ht="130" customHeight="1">
      <x:c r="A251" s="10" t="n">
        <x:v>250</x:v>
      </x:c>
      <x:c r="B251" s="10" t="str">
        <x:v>ADMIN-0250</x:v>
      </x:c>
      <x:c r="C251" s="10" t="str">
        <x:v>数据报表</x:v>
      </x:c>
      <x:c r="D251" s="10" t="str">
        <x:v>用户活跃汇总（每日）（财务管理员）</x:v>
      </x:c>
      <x:c r="E251" s="10" t="str">
        <x:v>功能需求</x:v>
      </x:c>
      <x:c r="F251" s="10" t="str">
        <x:v>P2</x:v>
      </x:c>
      <x:c r="G251" s="9" t="str">
        <x:v>验证用户活跃汇总（每日）按角色限制入口</x:v>
      </x:c>
      <x:c r="H251" s="9" t="str">
        <x:v>报表访问权限</x:v>
      </x:c>
      <x:c r="I251" s="9" t="str">
        <x:v>1. 财务管理员为本条执行者
2. 测试账号原已分配本报表查看及导出权限；本次使用冻结的测试统计数据，查询至导出期间无新增或修改
3. 当前账号的本报表查看权限已撤销</x:v>
      </x:c>
      <x:c r="J251" s="9" t="str">
        <x:v>1. 打开报表中心</x:v>
      </x:c>
      <x:c r="K251" s="9" t="str">
        <x:v>报表中心不显示用户活跃汇总（每日）入口</x:v>
      </x:c>
      <x:c r="L251" s="10" t="str"/>
      <x:c r="M251" s="10" t="str">
        <x:v>未测</x:v>
      </x:c>
      <x:c r="N251" s="10" t="str"/>
      <x:c r="O251" s="9" t="str">
        <x:v>1. 来源（当前证据）：liveshow-proto/MainBasis/统一需求文档.md；位置：第 3176 行；REQ-96d0bfcceee8、第 3206 行
2. 规则：BR-85F274B724E68A
3. 未动态验证
4. 示例账号、编号、金额与日期是本条测试数据；执行前按前置条件准备，未填写的产品决策不得自行假定。</x:v>
      </x:c>
    </x:row>
    <x:row r="252" ht="130" customHeight="1">
      <x:c r="A252" s="10" t="n">
        <x:v>251</x:v>
      </x:c>
      <x:c r="B252" s="10" t="str">
        <x:v>ADMIN-0251</x:v>
      </x:c>
      <x:c r="C252" s="10" t="str">
        <x:v>数据报表</x:v>
      </x:c>
      <x:c r="D252" s="10" t="str">
        <x:v>主播活跃汇总（每日）（财务管理员）</x:v>
      </x:c>
      <x:c r="E252" s="10" t="str">
        <x:v>功能需求</x:v>
      </x:c>
      <x:c r="F252" s="10" t="str">
        <x:v>P2</x:v>
      </x:c>
      <x:c r="G252" s="9" t="str">
        <x:v>验证主播活跃汇总（每日）导出当前结果</x:v>
      </x:c>
      <x:c r="H252" s="9" t="str">
        <x:v>报表导出范围</x:v>
      </x:c>
      <x:c r="I252" s="9" t="str">
        <x:v>1. 财务管理员为本条执行者
2. 测试账号原已分配本报表查看及导出权限；本次使用冻结的测试统计数据，查询至导出期间无新增或修改
3. 09/01、09/02、09/03均有可区分的业务记录</x:v>
      </x:c>
      <x:c r="J252" s="9" t="str">
        <x:v>1. 打开主播活跃汇总（每日）
2. 选择日期范围09/01至09/02
3. 点击查询
4. 点击导出
5. 打开导出的报表文件
6. 对比导出记录集合与查询后页面记录集合</x:v>
      </x:c>
      <x:c r="K252" s="9" t="str">
        <x:v>导出记录集合等于本次页面展示的记录集合</x:v>
      </x:c>
      <x:c r="L252" s="10" t="str"/>
      <x:c r="M252" s="10" t="str">
        <x:v>未测</x:v>
      </x:c>
      <x:c r="N252" s="10" t="str"/>
      <x:c r="O252" s="9" t="str">
        <x:v>1. 来源（当前证据）：liveshow-proto/MainBasis/统一需求文档.md；位置：第 3225 行；REQ-a68fc6d9d8fa、第 3216 行
2. 规则：BR-343B3EBDABE2F2
3. 未动态验证
4. 示例账号、编号、金额与日期是本条测试数据；执行前按前置条件准备，未填写的产品决策不得自行假定。</x:v>
      </x:c>
    </x:row>
    <x:row r="253" ht="130" customHeight="1">
      <x:c r="A253" s="10" t="n">
        <x:v>252</x:v>
      </x:c>
      <x:c r="B253" s="10" t="str">
        <x:v>ADMIN-0252</x:v>
      </x:c>
      <x:c r="C253" s="10" t="str">
        <x:v>数据报表</x:v>
      </x:c>
      <x:c r="D253" s="10" t="str">
        <x:v>主播活跃汇总（每日）（财务管理员）</x:v>
      </x:c>
      <x:c r="E253" s="10" t="str">
        <x:v>功能需求</x:v>
      </x:c>
      <x:c r="F253" s="10" t="str">
        <x:v>P2</x:v>
      </x:c>
      <x:c r="G253" s="9" t="str">
        <x:v>验证主播活跃汇总（每日）按角色限制入口</x:v>
      </x:c>
      <x:c r="H253" s="9" t="str">
        <x:v>报表访问权限</x:v>
      </x:c>
      <x:c r="I253" s="9" t="str">
        <x:v>1. 财务管理员为本条执行者
2. 测试账号原已分配本报表查看及导出权限；本次使用冻结的测试统计数据，查询至导出期间无新增或修改
3. 当前账号的本报表查看权限已撤销</x:v>
      </x:c>
      <x:c r="J253" s="9" t="str">
        <x:v>1. 打开报表中心</x:v>
      </x:c>
      <x:c r="K253" s="9" t="str">
        <x:v>报表中心不显示主播活跃汇总（每日）入口</x:v>
      </x:c>
      <x:c r="L253" s="10" t="str"/>
      <x:c r="M253" s="10" t="str">
        <x:v>未测</x:v>
      </x:c>
      <x:c r="N253" s="10" t="str"/>
      <x:c r="O253" s="9" t="str">
        <x:v>1. 来源（当前证据）：liveshow-proto/MainBasis/统一需求文档.md；位置：第 3176 行；REQ-96d0bfcceee8、第 3216 行
2. 规则：BR-9B03420876928C
3. 未动态验证
4. 示例账号、编号、金额与日期是本条测试数据；执行前按前置条件准备，未填写的产品决策不得自行假定。</x:v>
      </x:c>
    </x:row>
    <x:row r="254" ht="130" customHeight="1">
      <x:c r="A254" s="10" t="n">
        <x:v>253</x:v>
      </x:c>
      <x:c r="B254" s="10" t="str">
        <x:v>ADMIN-0253</x:v>
      </x:c>
      <x:c r="C254" s="10" t="str">
        <x:v>数据报表</x:v>
      </x:c>
      <x:c r="D254" s="10" t="str">
        <x:v>直播间互动汇总（每日）（财务管理员）</x:v>
      </x:c>
      <x:c r="E254" s="10" t="str">
        <x:v>功能需求</x:v>
      </x:c>
      <x:c r="F254" s="10" t="str">
        <x:v>P2</x:v>
      </x:c>
      <x:c r="G254" s="9" t="str">
        <x:v>验证直播间互动汇总（每日）导出当前结果</x:v>
      </x:c>
      <x:c r="H254" s="9" t="str">
        <x:v>报表导出范围</x:v>
      </x:c>
      <x:c r="I254" s="9" t="str">
        <x:v>1. 财务管理员为本条执行者
2. 测试账号原已分配本报表查看及导出权限；本次使用冻结的测试统计数据，查询至导出期间无新增或修改
3. 09/01、09/02、09/03均有可区分的业务记录</x:v>
      </x:c>
      <x:c r="J254" s="9" t="str">
        <x:v>1. 打开直播间互动汇总（每日）
2. 选择日期范围09/01至09/02
3. 点击查询
4. 点击导出
5. 打开导出的报表文件
6. 对比导出记录集合与查询后页面记录集合</x:v>
      </x:c>
      <x:c r="K254" s="9" t="str">
        <x:v>导出记录集合等于本次页面展示的记录集合</x:v>
      </x:c>
      <x:c r="L254" s="10" t="str"/>
      <x:c r="M254" s="10" t="str">
        <x:v>未测</x:v>
      </x:c>
      <x:c r="N254" s="10" t="str"/>
      <x:c r="O254" s="9" t="str">
        <x:v>1. 来源（当前证据）：liveshow-proto/MainBasis/统一需求文档.md；位置：第 3234 行；REQ-5fee0db13b2f、第 3228 行
2. 规则：BR-B59EC5AED66B33
3. 未动态验证
4. 示例账号、编号、金额与日期是本条测试数据；执行前按前置条件准备，未填写的产品决策不得自行假定。</x:v>
      </x:c>
    </x:row>
    <x:row r="255" ht="130" customHeight="1">
      <x:c r="A255" s="10" t="n">
        <x:v>254</x:v>
      </x:c>
      <x:c r="B255" s="10" t="str">
        <x:v>ADMIN-0254</x:v>
      </x:c>
      <x:c r="C255" s="10" t="str">
        <x:v>数据报表</x:v>
      </x:c>
      <x:c r="D255" s="10" t="str">
        <x:v>直播间互动汇总（每日）（财务管理员）</x:v>
      </x:c>
      <x:c r="E255" s="10" t="str">
        <x:v>功能需求</x:v>
      </x:c>
      <x:c r="F255" s="10" t="str">
        <x:v>P2</x:v>
      </x:c>
      <x:c r="G255" s="9" t="str">
        <x:v>验证直播间互动汇总（每日）按角色限制入口</x:v>
      </x:c>
      <x:c r="H255" s="9" t="str">
        <x:v>报表访问权限</x:v>
      </x:c>
      <x:c r="I255" s="9" t="str">
        <x:v>1. 财务管理员为本条执行者
2. 测试账号原已分配本报表查看及导出权限；本次使用冻结的测试统计数据，查询至导出期间无新增或修改
3. 当前账号的本报表查看权限已撤销</x:v>
      </x:c>
      <x:c r="J255" s="9" t="str">
        <x:v>1. 打开报表中心</x:v>
      </x:c>
      <x:c r="K255" s="9" t="str">
        <x:v>报表中心不显示直播间互动汇总（每日）入口</x:v>
      </x:c>
      <x:c r="L255" s="10" t="str"/>
      <x:c r="M255" s="10" t="str">
        <x:v>未测</x:v>
      </x:c>
      <x:c r="N255" s="10" t="str"/>
      <x:c r="O255" s="9" t="str">
        <x:v>1. 来源（当前证据）：liveshow-proto/MainBasis/统一需求文档.md；位置：第 3176 行；REQ-96d0bfcceee8、第 3228 行
2. 规则：BR-88B7197AB28A31
3. 未动态验证
4. 示例账号、编号、金额与日期是本条测试数据；执行前按前置条件准备，未填写的产品决策不得自行假定。</x:v>
      </x:c>
    </x:row>
    <x:row r="256" ht="130" customHeight="1">
      <x:c r="A256" s="10" t="n">
        <x:v>255</x:v>
      </x:c>
      <x:c r="B256" s="10" t="str">
        <x:v>ADMIN-0255</x:v>
      </x:c>
      <x:c r="C256" s="10" t="str">
        <x:v>数据报表</x:v>
      </x:c>
      <x:c r="D256" s="10" t="str">
        <x:v>直播记录明细报表（财务管理员）</x:v>
      </x:c>
      <x:c r="E256" s="10" t="str">
        <x:v>功能需求</x:v>
      </x:c>
      <x:c r="F256" s="10" t="str">
        <x:v>P2</x:v>
      </x:c>
      <x:c r="G256" s="9" t="str">
        <x:v>验证直播记录明细报表导出当前结果</x:v>
      </x:c>
      <x:c r="H256" s="9" t="str">
        <x:v>报表导出范围</x:v>
      </x:c>
      <x:c r="I256" s="9" t="str">
        <x:v>1. 财务管理员为本条执行者
2. 测试账号原已分配本报表查看及导出权限；本次使用冻结的测试统计数据，查询至导出期间无新增或修改
3. 09/01、09/02、09/03均有可区分的业务记录</x:v>
      </x:c>
      <x:c r="J256" s="9" t="str">
        <x:v>1. 打开直播记录明细报表
2. 选择日期范围09/01至09/02
3. 点击查询
4. 点击导出
5. 打开导出的报表文件
6. 对比导出记录集合与查询后页面记录集合</x:v>
      </x:c>
      <x:c r="K256" s="9" t="str">
        <x:v>导出记录集合等于本次页面展示的记录集合</x:v>
      </x:c>
      <x:c r="L256" s="10" t="str"/>
      <x:c r="M256" s="10" t="str">
        <x:v>未测</x:v>
      </x:c>
      <x:c r="N256" s="10" t="str"/>
      <x:c r="O256" s="9" t="str">
        <x:v>1. 来源（当前证据）：liveshow-proto/MainBasis/统一需求文档.md；位置：第 3246 行；REQ-5f7de1e55706、第 3237 行
2. 规则：BR-9C978592FB7A5D
3. 未动态验证
4. 示例账号、编号、金额与日期是本条测试数据；执行前按前置条件准备，未填写的产品决策不得自行假定。</x:v>
      </x:c>
    </x:row>
    <x:row r="257" ht="130" customHeight="1">
      <x:c r="A257" s="10" t="n">
        <x:v>256</x:v>
      </x:c>
      <x:c r="B257" s="10" t="str">
        <x:v>ADMIN-0256</x:v>
      </x:c>
      <x:c r="C257" s="10" t="str">
        <x:v>数据报表</x:v>
      </x:c>
      <x:c r="D257" s="10" t="str">
        <x:v>直播记录明细报表（财务管理员）</x:v>
      </x:c>
      <x:c r="E257" s="10" t="str">
        <x:v>功能需求</x:v>
      </x:c>
      <x:c r="F257" s="10" t="str">
        <x:v>P2</x:v>
      </x:c>
      <x:c r="G257" s="9" t="str">
        <x:v>验证直播记录明细报表按角色限制入口</x:v>
      </x:c>
      <x:c r="H257" s="9" t="str">
        <x:v>报表访问权限</x:v>
      </x:c>
      <x:c r="I257" s="9" t="str">
        <x:v>1. 财务管理员为本条执行者
2. 测试账号原已分配本报表查看及导出权限；本次使用冻结的测试统计数据，查询至导出期间无新增或修改
3. 当前账号的本报表查看权限已撤销</x:v>
      </x:c>
      <x:c r="J257" s="9" t="str">
        <x:v>1. 打开报表中心</x:v>
      </x:c>
      <x:c r="K257" s="9" t="str">
        <x:v>报表中心不显示直播记录明细报表入口</x:v>
      </x:c>
      <x:c r="L257" s="10" t="str"/>
      <x:c r="M257" s="10" t="str">
        <x:v>未测</x:v>
      </x:c>
      <x:c r="N257" s="10" t="str"/>
      <x:c r="O257" s="9" t="str">
        <x:v>1. 来源（当前证据）：liveshow-proto/MainBasis/统一需求文档.md；位置：第 3176 行；REQ-96d0bfcceee8、第 3237 行
2. 规则：BR-78D810942B854C
3. 未动态验证
4. 示例账号、编号、金额与日期是本条测试数据；执行前按前置条件准备，未填写的产品决策不得自行假定。</x:v>
      </x:c>
    </x:row>
    <x:row r="258" ht="130" customHeight="1">
      <x:c r="A258" s="10" t="n">
        <x:v>257</x:v>
      </x:c>
      <x:c r="B258" s="10" t="str">
        <x:v>ADMIN-0257</x:v>
      </x:c>
      <x:c r="C258" s="10" t="str">
        <x:v>数据报表</x:v>
      </x:c>
      <x:c r="D258" s="10" t="str">
        <x:v>充值消费汇总（每日）（财务管理员）</x:v>
      </x:c>
      <x:c r="E258" s="10" t="str">
        <x:v>功能需求</x:v>
      </x:c>
      <x:c r="F258" s="10" t="str">
        <x:v>P1</x:v>
      </x:c>
      <x:c r="G258" s="9" t="str">
        <x:v>验证充值消费汇总（每日）导出当前结果</x:v>
      </x:c>
      <x:c r="H258" s="9" t="str">
        <x:v>报表导出范围</x:v>
      </x:c>
      <x:c r="I258" s="9" t="str">
        <x:v>1. 财务管理员为本条执行者
2. 测试账号原已分配本报表查看及导出权限；本次使用冻结的测试统计数据，查询至导出期间无新增或修改
3. 09/01、09/02、09/03均有可区分的业务记录</x:v>
      </x:c>
      <x:c r="J258" s="9" t="str">
        <x:v>1. 打开充值消费汇总（每日）
2. 选择日期范围09/01至09/02
3. 点击查询
4. 点击导出
5. 打开导出的报表文件
6. 对比导出记录集合与查询后页面记录集合</x:v>
      </x:c>
      <x:c r="K258" s="9" t="str">
        <x:v>导出记录集合等于本次页面展示的记录集合</x:v>
      </x:c>
      <x:c r="L258" s="10" t="str"/>
      <x:c r="M258" s="10" t="str">
        <x:v>未测</x:v>
      </x:c>
      <x:c r="N258" s="10" t="str"/>
      <x:c r="O258" s="9" t="str">
        <x:v>1. 来源（当前证据）：liveshow-proto/MainBasis/统一需求文档.md；位置：第 3258 行；REQ-4d3be4596be3、第 3249 行
2. 规则：BR-FC653887FB07CB
3. 未动态验证
4. 示例账号、编号、金额与日期是本条测试数据；执行前按前置条件准备，未填写的产品决策不得自行假定。</x:v>
      </x:c>
    </x:row>
    <x:row r="259" ht="130" customHeight="1">
      <x:c r="A259" s="10" t="n">
        <x:v>258</x:v>
      </x:c>
      <x:c r="B259" s="10" t="str">
        <x:v>ADMIN-0258</x:v>
      </x:c>
      <x:c r="C259" s="10" t="str">
        <x:v>数据报表</x:v>
      </x:c>
      <x:c r="D259" s="10" t="str">
        <x:v>充值消费汇总（每日）（财务管理员）</x:v>
      </x:c>
      <x:c r="E259" s="10" t="str">
        <x:v>功能需求</x:v>
      </x:c>
      <x:c r="F259" s="10" t="str">
        <x:v>P1</x:v>
      </x:c>
      <x:c r="G259" s="9" t="str">
        <x:v>验证充值消费汇总（每日）按角色限制入口</x:v>
      </x:c>
      <x:c r="H259" s="9" t="str">
        <x:v>报表访问权限</x:v>
      </x:c>
      <x:c r="I259" s="9" t="str">
        <x:v>1. 财务管理员为本条执行者
2. 测试账号原已分配本报表查看及导出权限；本次使用冻结的测试统计数据，查询至导出期间无新增或修改
3. 当前账号的本报表查看权限已撤销</x:v>
      </x:c>
      <x:c r="J259" s="9" t="str">
        <x:v>1. 打开报表中心</x:v>
      </x:c>
      <x:c r="K259" s="9" t="str">
        <x:v>报表中心不显示充值消费汇总（每日）入口</x:v>
      </x:c>
      <x:c r="L259" s="10" t="str"/>
      <x:c r="M259" s="10" t="str">
        <x:v>未测</x:v>
      </x:c>
      <x:c r="N259" s="10" t="str"/>
      <x:c r="O259" s="9" t="str">
        <x:v>1. 来源（当前证据）：liveshow-proto/MainBasis/统一需求文档.md；位置：第 3176 行；REQ-96d0bfcceee8、第 3249 行
2. 规则：BR-73FC34C517AD38
3. 未动态验证
4. 示例账号、编号、金额与日期是本条测试数据；执行前按前置条件准备，未填写的产品决策不得自行假定。</x:v>
      </x:c>
    </x:row>
    <x:row r="260" ht="130" customHeight="1">
      <x:c r="A260" s="10" t="n">
        <x:v>259</x:v>
      </x:c>
      <x:c r="B260" s="10" t="str">
        <x:v>ADMIN-0259</x:v>
      </x:c>
      <x:c r="C260" s="10" t="str">
        <x:v>数据报表</x:v>
      </x:c>
      <x:c r="D260" s="10" t="str">
        <x:v>充值用户分层汇总（每日）（财务管理员）</x:v>
      </x:c>
      <x:c r="E260" s="10" t="str">
        <x:v>功能需求</x:v>
      </x:c>
      <x:c r="F260" s="10" t="str">
        <x:v>P1</x:v>
      </x:c>
      <x:c r="G260" s="9" t="str">
        <x:v>验证充值用户分层汇总（每日）导出当前结果</x:v>
      </x:c>
      <x:c r="H260" s="9" t="str">
        <x:v>报表导出范围</x:v>
      </x:c>
      <x:c r="I260" s="9" t="str">
        <x:v>1. 财务管理员为本条执行者
2. 测试账号原已分配本报表查看及导出权限；本次使用冻结的测试统计数据，查询至导出期间无新增或修改
3. 09/01、09/02、09/03均有可区分的业务记录</x:v>
      </x:c>
      <x:c r="J260" s="9" t="str">
        <x:v>1. 打开充值用户分层汇总（每日）
2. 选择日期范围09/01至09/02
3. 点击查询
4. 点击导出
5. 打开导出的报表文件
6. 对比导出记录集合与查询后页面记录集合</x:v>
      </x:c>
      <x:c r="K260" s="9" t="str">
        <x:v>导出记录集合等于本次页面展示的记录集合</x:v>
      </x:c>
      <x:c r="L260" s="10" t="str"/>
      <x:c r="M260" s="10" t="str">
        <x:v>未测</x:v>
      </x:c>
      <x:c r="N260" s="10" t="str"/>
      <x:c r="O260" s="9" t="str">
        <x:v>1. 来源（当前证据）：liveshow-proto/MainBasis/统一需求文档.md；位置：第 3268 行；REQ-230a928751c0、第 3261 行
2. 规则：BR-4E4B8FB318DB4B
3. 未动态验证
4. 示例账号、编号、金额与日期是本条测试数据；执行前按前置条件准备，未填写的产品决策不得自行假定。</x:v>
      </x:c>
    </x:row>
    <x:row r="261" ht="130" customHeight="1">
      <x:c r="A261" s="10" t="n">
        <x:v>260</x:v>
      </x:c>
      <x:c r="B261" s="10" t="str">
        <x:v>ADMIN-0260</x:v>
      </x:c>
      <x:c r="C261" s="10" t="str">
        <x:v>数据报表</x:v>
      </x:c>
      <x:c r="D261" s="10" t="str">
        <x:v>充值用户分层汇总（每日）（财务管理员）</x:v>
      </x:c>
      <x:c r="E261" s="10" t="str">
        <x:v>功能需求</x:v>
      </x:c>
      <x:c r="F261" s="10" t="str">
        <x:v>P1</x:v>
      </x:c>
      <x:c r="G261" s="9" t="str">
        <x:v>验证充值用户分层汇总（每日）按角色限制入口</x:v>
      </x:c>
      <x:c r="H261" s="9" t="str">
        <x:v>报表访问权限</x:v>
      </x:c>
      <x:c r="I261" s="9" t="str">
        <x:v>1. 财务管理员为本条执行者
2. 测试账号原已分配本报表查看及导出权限；本次使用冻结的测试统计数据，查询至导出期间无新增或修改
3. 当前账号的本报表查看权限已撤销</x:v>
      </x:c>
      <x:c r="J261" s="9" t="str">
        <x:v>1. 打开报表中心</x:v>
      </x:c>
      <x:c r="K261" s="9" t="str">
        <x:v>报表中心不显示充值用户分层汇总（每日）入口</x:v>
      </x:c>
      <x:c r="L261" s="10" t="str"/>
      <x:c r="M261" s="10" t="str">
        <x:v>未测</x:v>
      </x:c>
      <x:c r="N261" s="10" t="str"/>
      <x:c r="O261" s="9" t="str">
        <x:v>1. 来源（当前证据）：liveshow-proto/MainBasis/统一需求文档.md；位置：第 3176 行；REQ-96d0bfcceee8、第 3261 行
2. 规则：BR-B6187198683E30
3. 未动态验证
4. 示例账号、编号、金额与日期是本条测试数据；执行前按前置条件准备，未填写的产品决策不得自行假定。</x:v>
      </x:c>
    </x:row>
    <x:row r="262" ht="130" customHeight="1">
      <x:c r="A262" s="10" t="n">
        <x:v>261</x:v>
      </x:c>
      <x:c r="B262" s="10" t="str">
        <x:v>ADMIN-0261</x:v>
      </x:c>
      <x:c r="C262" s="10" t="str">
        <x:v>数据报表</x:v>
      </x:c>
      <x:c r="D262" s="10" t="str">
        <x:v>月度收益支出汇总（财务管理员）</x:v>
      </x:c>
      <x:c r="E262" s="10" t="str">
        <x:v>功能需求</x:v>
      </x:c>
      <x:c r="F262" s="10" t="str">
        <x:v>P2</x:v>
      </x:c>
      <x:c r="G262" s="9" t="str">
        <x:v>验证月度收益支出汇总导出当前结果</x:v>
      </x:c>
      <x:c r="H262" s="9" t="str">
        <x:v>报表导出范围</x:v>
      </x:c>
      <x:c r="I262" s="9" t="str">
        <x:v>1. 财务管理员为本条执行者
2. 测试账号原已分配本报表查看及导出权限；本次使用冻结的测试统计数据，查询至导出期间无新增或修改
3. 当前报表至少有两个不同月份的记录</x:v>
      </x:c>
      <x:c r="J262" s="9" t="str">
        <x:v>1. 打开月度收益支出汇总
2. 点击导出
3. 打开导出的报表文件
4. 对比导出记录集合与查询后页面记录集合</x:v>
      </x:c>
      <x:c r="K262" s="9" t="str">
        <x:v>导出记录集合等于本次页面展示的记录集合</x:v>
      </x:c>
      <x:c r="L262" s="10" t="str"/>
      <x:c r="M262" s="10" t="str">
        <x:v>未测</x:v>
      </x:c>
      <x:c r="N262" s="10" t="str"/>
      <x:c r="O262" s="9" t="str">
        <x:v>1. 来源（当前证据）：liveshow-proto/MainBasis/统一需求文档.md；位置：第 3277 行；REQ-e96a0f4c2a19、第 3271 行
2. 规则：BR-E36990E2C2E4D5
3. 未动态验证
4. 示例账号、编号、金额与日期是本条测试数据；执行前按前置条件准备，未填写的产品决策不得自行假定。</x:v>
      </x:c>
    </x:row>
    <x:row r="263" ht="130" customHeight="1">
      <x:c r="A263" s="10" t="n">
        <x:v>262</x:v>
      </x:c>
      <x:c r="B263" s="10" t="str">
        <x:v>ADMIN-0262</x:v>
      </x:c>
      <x:c r="C263" s="10" t="str">
        <x:v>数据报表</x:v>
      </x:c>
      <x:c r="D263" s="10" t="str">
        <x:v>月度收益支出汇总（财务管理员）</x:v>
      </x:c>
      <x:c r="E263" s="10" t="str">
        <x:v>功能需求</x:v>
      </x:c>
      <x:c r="F263" s="10" t="str">
        <x:v>P2</x:v>
      </x:c>
      <x:c r="G263" s="9" t="str">
        <x:v>验证月度收益支出汇总按角色限制入口</x:v>
      </x:c>
      <x:c r="H263" s="9" t="str">
        <x:v>报表访问权限</x:v>
      </x:c>
      <x:c r="I263" s="9" t="str">
        <x:v>1. 财务管理员为本条执行者
2. 测试账号原已分配本报表查看及导出权限；本次使用冻结的测试统计数据，查询至导出期间无新增或修改
3. 当前账号的本报表查看权限已撤销</x:v>
      </x:c>
      <x:c r="J263" s="9" t="str">
        <x:v>1. 打开报表中心</x:v>
      </x:c>
      <x:c r="K263" s="9" t="str">
        <x:v>报表中心不显示月度收益支出汇总入口</x:v>
      </x:c>
      <x:c r="L263" s="10" t="str"/>
      <x:c r="M263" s="10" t="str">
        <x:v>未测</x:v>
      </x:c>
      <x:c r="N263" s="10" t="str"/>
      <x:c r="O263" s="9" t="str">
        <x:v>1. 来源（当前证据）：liveshow-proto/MainBasis/统一需求文档.md；位置：第 3176 行；REQ-96d0bfcceee8、第 3271 行
2. 规则：BR-05F64ADD96183D
3. 未动态验证
4. 示例账号、编号、金额与日期是本条测试数据；执行前按前置条件准备，未填写的产品决策不得自行假定。</x:v>
      </x:c>
    </x:row>
    <x:row r="264" ht="130" customHeight="1">
      <x:c r="A264" s="10" t="n">
        <x:v>263</x:v>
      </x:c>
      <x:c r="B264" s="10" t="str">
        <x:v>ADMIN-0263</x:v>
      </x:c>
      <x:c r="C264" s="10" t="str">
        <x:v>数据报表</x:v>
      </x:c>
      <x:c r="D264" s="10" t="str">
        <x:v>主播业绩分成报表（财务管理员）</x:v>
      </x:c>
      <x:c r="E264" s="10" t="str">
        <x:v>功能需求</x:v>
      </x:c>
      <x:c r="F264" s="10" t="str">
        <x:v>P2</x:v>
      </x:c>
      <x:c r="G264" s="9" t="str">
        <x:v>验证主播业绩分成报表导出当前结果</x:v>
      </x:c>
      <x:c r="H264" s="9" t="str">
        <x:v>报表导出范围</x:v>
      </x:c>
      <x:c r="I264" s="9" t="str">
        <x:v>1. 财务管理员为本条执行者
2. 测试账号原已分配本报表查看及导出权限；本次使用冻结的测试统计数据，查询至导出期间无新增或修改
3. 09/01、09/02、09/03均有可区分的业务记录</x:v>
      </x:c>
      <x:c r="J264" s="9" t="str">
        <x:v>1. 打开主播业绩分成报表
2. 选择日期范围09/01至09/02
3. 点击查询
4. 点击导出
5. 打开导出的报表文件
6. 对比导出记录集合与查询后页面记录集合</x:v>
      </x:c>
      <x:c r="K264" s="9" t="str">
        <x:v>导出记录集合等于本次页面展示的记录集合</x:v>
      </x:c>
      <x:c r="L264" s="10" t="str"/>
      <x:c r="M264" s="10" t="str">
        <x:v>未测</x:v>
      </x:c>
      <x:c r="N264" s="10" t="str"/>
      <x:c r="O264" s="9" t="str">
        <x:v>1. 来源（当前证据）：liveshow-proto/MainBasis/统一需求文档.md；位置：第 3289 行；REQ-12688b2ebff8、第 3280 行
2. 规则：BR-9DA83A3E2BC16A
3. 未动态验证
4. 示例账号、编号、金额与日期是本条测试数据；执行前按前置条件准备，未填写的产品决策不得自行假定。</x:v>
      </x:c>
    </x:row>
    <x:row r="265" ht="130" customHeight="1">
      <x:c r="A265" s="10" t="n">
        <x:v>264</x:v>
      </x:c>
      <x:c r="B265" s="10" t="str">
        <x:v>ADMIN-0264</x:v>
      </x:c>
      <x:c r="C265" s="10" t="str">
        <x:v>数据报表</x:v>
      </x:c>
      <x:c r="D265" s="10" t="str">
        <x:v>主播业绩分成报表（财务管理员）</x:v>
      </x:c>
      <x:c r="E265" s="10" t="str">
        <x:v>功能需求</x:v>
      </x:c>
      <x:c r="F265" s="10" t="str">
        <x:v>P2</x:v>
      </x:c>
      <x:c r="G265" s="9" t="str">
        <x:v>验证主播业绩分成报表按角色限制入口</x:v>
      </x:c>
      <x:c r="H265" s="9" t="str">
        <x:v>报表访问权限</x:v>
      </x:c>
      <x:c r="I265" s="9" t="str">
        <x:v>1. 财务管理员为本条执行者
2. 测试账号原已分配本报表查看及导出权限；本次使用冻结的测试统计数据，查询至导出期间无新增或修改
3. 当前账号的本报表查看权限已撤销</x:v>
      </x:c>
      <x:c r="J265" s="9" t="str">
        <x:v>1. 打开报表中心</x:v>
      </x:c>
      <x:c r="K265" s="9" t="str">
        <x:v>报表中心不显示主播业绩分成报表入口</x:v>
      </x:c>
      <x:c r="L265" s="10" t="str"/>
      <x:c r="M265" s="10" t="str">
        <x:v>未测</x:v>
      </x:c>
      <x:c r="N265" s="10" t="str"/>
      <x:c r="O265" s="9" t="str">
        <x:v>1. 来源（当前证据）：liveshow-proto/MainBasis/统一需求文档.md；位置：第 3176 行；REQ-96d0bfcceee8、第 3280 行
2. 规则：BR-067C61223D096B
3. 未动态验证
4. 示例账号、编号、金额与日期是本条测试数据；执行前按前置条件准备，未填写的产品决策不得自行假定。</x:v>
      </x:c>
    </x:row>
    <x:row r="266" ht="130" customHeight="1">
      <x:c r="A266" s="10" t="n">
        <x:v>265</x:v>
      </x:c>
      <x:c r="B266" s="10" t="str">
        <x:v>ADMIN-0265</x:v>
      </x:c>
      <x:c r="C266" s="10" t="str">
        <x:v>数据报表</x:v>
      </x:c>
      <x:c r="D266" s="10" t="str">
        <x:v>主播礼物打赏明细报表（财务管理员）</x:v>
      </x:c>
      <x:c r="E266" s="10" t="str">
        <x:v>功能需求</x:v>
      </x:c>
      <x:c r="F266" s="10" t="str">
        <x:v>P2</x:v>
      </x:c>
      <x:c r="G266" s="9" t="str">
        <x:v>验证主播礼物打赏明细报表导出当前结果</x:v>
      </x:c>
      <x:c r="H266" s="9" t="str">
        <x:v>报表导出范围</x:v>
      </x:c>
      <x:c r="I266" s="9" t="str">
        <x:v>1. 财务管理员为本条执行者
2. 测试账号原已分配本报表查看及导出权限；本次使用冻结的测试统计数据，查询至导出期间无新增或修改
3. 09/01、09/02、09/03均有可区分的业务记录</x:v>
      </x:c>
      <x:c r="J266" s="9" t="str">
        <x:v>1. 打开主播礼物打赏明细报表
2. 选择日期范围09/01至09/02
3. 点击查询
4. 点击导出
5. 打开导出的报表文件
6. 对比导出记录集合与查询后页面记录集合</x:v>
      </x:c>
      <x:c r="K266" s="9" t="str">
        <x:v>导出记录集合等于本次页面展示的记录集合</x:v>
      </x:c>
      <x:c r="L266" s="10" t="str"/>
      <x:c r="M266" s="10" t="str">
        <x:v>未测</x:v>
      </x:c>
      <x:c r="N266" s="10" t="str"/>
      <x:c r="O266" s="9" t="str">
        <x:v>1. 来源（当前证据）：liveshow-proto/MainBasis/统一需求文档.md；位置：第 3298 行；REQ-03268afd04f5、第 3292 行
2. 规则：BR-10F8A9A4FB4D8F
3. 未动态验证
4. 示例账号、编号、金额与日期是本条测试数据；执行前按前置条件准备，未填写的产品决策不得自行假定。</x:v>
      </x:c>
    </x:row>
    <x:row r="267" ht="130" customHeight="1">
      <x:c r="A267" s="10" t="n">
        <x:v>266</x:v>
      </x:c>
      <x:c r="B267" s="10" t="str">
        <x:v>ADMIN-0266</x:v>
      </x:c>
      <x:c r="C267" s="10" t="str">
        <x:v>数据报表</x:v>
      </x:c>
      <x:c r="D267" s="10" t="str">
        <x:v>主播礼物打赏明细报表（财务管理员）</x:v>
      </x:c>
      <x:c r="E267" s="10" t="str">
        <x:v>功能需求</x:v>
      </x:c>
      <x:c r="F267" s="10" t="str">
        <x:v>P2</x:v>
      </x:c>
      <x:c r="G267" s="9" t="str">
        <x:v>验证主播礼物打赏明细报表按角色限制入口</x:v>
      </x:c>
      <x:c r="H267" s="9" t="str">
        <x:v>报表访问权限</x:v>
      </x:c>
      <x:c r="I267" s="9" t="str">
        <x:v>1. 财务管理员为本条执行者
2. 测试账号原已分配本报表查看及导出权限；本次使用冻结的测试统计数据，查询至导出期间无新增或修改
3. 当前账号的本报表查看权限已撤销</x:v>
      </x:c>
      <x:c r="J267" s="9" t="str">
        <x:v>1. 打开报表中心</x:v>
      </x:c>
      <x:c r="K267" s="9" t="str">
        <x:v>报表中心不显示主播礼物打赏明细报表入口</x:v>
      </x:c>
      <x:c r="L267" s="10" t="str"/>
      <x:c r="M267" s="10" t="str">
        <x:v>未测</x:v>
      </x:c>
      <x:c r="N267" s="10" t="str"/>
      <x:c r="O267" s="9" t="str">
        <x:v>1. 来源（当前证据）：liveshow-proto/MainBasis/统一需求文档.md；位置：第 3176 行；REQ-96d0bfcceee8、第 3292 行
2. 规则：BR-6D1CFCF43CF16C
3. 未动态验证
4. 示例账号、编号、金额与日期是本条测试数据；执行前按前置条件准备，未填写的产品决策不得自行假定。</x:v>
      </x:c>
    </x:row>
    <x:row r="268" ht="130" customHeight="1">
      <x:c r="A268" s="10" t="n">
        <x:v>267</x:v>
      </x:c>
      <x:c r="B268" s="10" t="str">
        <x:v>ADMIN-0267</x:v>
      </x:c>
      <x:c r="C268" s="10" t="str">
        <x:v>数据报表</x:v>
      </x:c>
      <x:c r="D268" s="10" t="str">
        <x:v>用户消费汇总报表（财务管理员）</x:v>
      </x:c>
      <x:c r="E268" s="10" t="str">
        <x:v>功能需求</x:v>
      </x:c>
      <x:c r="F268" s="10" t="str">
        <x:v>P2</x:v>
      </x:c>
      <x:c r="G268" s="9" t="str">
        <x:v>验证用户消费汇总报表导出当前结果</x:v>
      </x:c>
      <x:c r="H268" s="9" t="str">
        <x:v>报表导出范围</x:v>
      </x:c>
      <x:c r="I268" s="9" t="str">
        <x:v>1. 财务管理员为本条执行者
2. 测试账号原已分配本报表查看及导出权限；本次使用冻结的测试统计数据，查询至导出期间无新增或修改
3. 09/01、09/02、09/03均有可区分的业务记录</x:v>
      </x:c>
      <x:c r="J268" s="9" t="str">
        <x:v>1. 打开用户消费汇总报表
2. 选择日期范围09/01至09/02
3. 点击查询
4. 点击导出
5. 打开导出的报表文件
6. 对比导出记录集合与查询后页面记录集合</x:v>
      </x:c>
      <x:c r="K268" s="9" t="str">
        <x:v>导出记录集合等于本次页面展示的记录集合</x:v>
      </x:c>
      <x:c r="L268" s="10" t="str"/>
      <x:c r="M268" s="10" t="str">
        <x:v>未测</x:v>
      </x:c>
      <x:c r="N268" s="10" t="str"/>
      <x:c r="O268" s="9" t="str">
        <x:v>1. 来源（当前证据）：liveshow-proto/MainBasis/统一需求文档.md；位置：第 3307 行；REQ-ba1a1a3c1e74、第 3301 行
2. 规则：BR-48D6AFB58E3E0B
3. 未动态验证
4. 示例账号、编号、金额与日期是本条测试数据；执行前按前置条件准备，未填写的产品决策不得自行假定。</x:v>
      </x:c>
    </x:row>
    <x:row r="269" ht="130" customHeight="1">
      <x:c r="A269" s="10" t="n">
        <x:v>268</x:v>
      </x:c>
      <x:c r="B269" s="10" t="str">
        <x:v>ADMIN-0268</x:v>
      </x:c>
      <x:c r="C269" s="10" t="str">
        <x:v>数据报表</x:v>
      </x:c>
      <x:c r="D269" s="10" t="str">
        <x:v>用户消费汇总报表（财务管理员）</x:v>
      </x:c>
      <x:c r="E269" s="10" t="str">
        <x:v>功能需求</x:v>
      </x:c>
      <x:c r="F269" s="10" t="str">
        <x:v>P2</x:v>
      </x:c>
      <x:c r="G269" s="9" t="str">
        <x:v>验证用户消费汇总报表按角色限制入口</x:v>
      </x:c>
      <x:c r="H269" s="9" t="str">
        <x:v>报表访问权限</x:v>
      </x:c>
      <x:c r="I269" s="9" t="str">
        <x:v>1. 财务管理员为本条执行者
2. 测试账号原已分配本报表查看及导出权限；本次使用冻结的测试统计数据，查询至导出期间无新增或修改
3. 当前账号的本报表查看权限已撤销</x:v>
      </x:c>
      <x:c r="J269" s="9" t="str">
        <x:v>1. 打开报表中心</x:v>
      </x:c>
      <x:c r="K269" s="9" t="str">
        <x:v>报表中心不显示用户消费汇总报表入口</x:v>
      </x:c>
      <x:c r="L269" s="10" t="str"/>
      <x:c r="M269" s="10" t="str">
        <x:v>未测</x:v>
      </x:c>
      <x:c r="N269" s="10" t="str"/>
      <x:c r="O269" s="9" t="str">
        <x:v>1. 来源（当前证据）：liveshow-proto/MainBasis/统一需求文档.md；位置：第 3176 行；REQ-96d0bfcceee8、第 3301 行
2. 规则：BR-BEB8F41AFEC6CC
3. 未动态验证
4. 示例账号、编号、金额与日期是本条测试数据；执行前按前置条件准备，未填写的产品决策不得自行假定。</x:v>
      </x:c>
    </x:row>
    <x:row r="270" ht="130" customHeight="1">
      <x:c r="A270" s="10" t="n">
        <x:v>269</x:v>
      </x:c>
      <x:c r="B270" s="10" t="str">
        <x:v>ADMIN-0269</x:v>
      </x:c>
      <x:c r="C270" s="10" t="str">
        <x:v>数据报表</x:v>
      </x:c>
      <x:c r="D270" s="10" t="str">
        <x:v>礼物消费汇总报表（财务管理员）</x:v>
      </x:c>
      <x:c r="E270" s="10" t="str">
        <x:v>功能需求</x:v>
      </x:c>
      <x:c r="F270" s="10" t="str">
        <x:v>P2</x:v>
      </x:c>
      <x:c r="G270" s="9" t="str">
        <x:v>验证礼物消费汇总报表导出当前结果</x:v>
      </x:c>
      <x:c r="H270" s="9" t="str">
        <x:v>报表导出范围</x:v>
      </x:c>
      <x:c r="I270" s="9" t="str">
        <x:v>1. 财务管理员为本条执行者
2. 测试账号原已分配本报表查看及导出权限；本次使用冻结的测试统计数据，查询至导出期间无新增或修改
3. 09/01、09/02、09/03均有可区分的业务记录</x:v>
      </x:c>
      <x:c r="J270" s="9" t="str">
        <x:v>1. 打开礼物消费汇总报表
2. 选择日期范围09/01至09/02
3. 点击查询
4. 点击导出
5. 打开导出的报表文件
6. 对比导出记录集合与查询后页面记录集合</x:v>
      </x:c>
      <x:c r="K270" s="9" t="str">
        <x:v>导出记录集合等于本次页面展示的记录集合</x:v>
      </x:c>
      <x:c r="L270" s="10" t="str"/>
      <x:c r="M270" s="10" t="str">
        <x:v>未测</x:v>
      </x:c>
      <x:c r="N270" s="10" t="str"/>
      <x:c r="O270" s="9" t="str">
        <x:v>1. 来源（当前证据）：liveshow-proto/MainBasis/统一需求文档.md；位置：第 3316 行；REQ-2ad4961f0c54、第 3310 行
2. 规则：BR-62D236C59CFB8F
3. 未动态验证
4. 示例账号、编号、金额与日期是本条测试数据；执行前按前置条件准备，未填写的产品决策不得自行假定。</x:v>
      </x:c>
    </x:row>
    <x:row r="271" ht="130" customHeight="1">
      <x:c r="A271" s="10" t="n">
        <x:v>270</x:v>
      </x:c>
      <x:c r="B271" s="10" t="str">
        <x:v>ADMIN-0270</x:v>
      </x:c>
      <x:c r="C271" s="10" t="str">
        <x:v>数据报表</x:v>
      </x:c>
      <x:c r="D271" s="10" t="str">
        <x:v>礼物消费汇总报表（财务管理员）</x:v>
      </x:c>
      <x:c r="E271" s="10" t="str">
        <x:v>功能需求</x:v>
      </x:c>
      <x:c r="F271" s="10" t="str">
        <x:v>P2</x:v>
      </x:c>
      <x:c r="G271" s="9" t="str">
        <x:v>验证礼物消费汇总报表按角色限制入口</x:v>
      </x:c>
      <x:c r="H271" s="9" t="str">
        <x:v>报表访问权限</x:v>
      </x:c>
      <x:c r="I271" s="9" t="str">
        <x:v>1. 财务管理员为本条执行者
2. 测试账号原已分配本报表查看及导出权限；本次使用冻结的测试统计数据，查询至导出期间无新增或修改
3. 当前账号的本报表查看权限已撤销</x:v>
      </x:c>
      <x:c r="J271" s="9" t="str">
        <x:v>1. 打开报表中心</x:v>
      </x:c>
      <x:c r="K271" s="9" t="str">
        <x:v>报表中心不显示礼物消费汇总报表入口</x:v>
      </x:c>
      <x:c r="L271" s="10" t="str"/>
      <x:c r="M271" s="10" t="str">
        <x:v>未测</x:v>
      </x:c>
      <x:c r="N271" s="10" t="str"/>
      <x:c r="O271" s="9" t="str">
        <x:v>1. 来源（当前证据）：liveshow-proto/MainBasis/统一需求文档.md；位置：第 3176 行；REQ-96d0bfcceee8、第 3310 行
2. 规则：BR-C04CEF911986D7
3. 未动态验证
4. 示例账号、编号、金额与日期是本条测试数据；执行前按前置条件准备，未填写的产品决策不得自行假定。</x:v>
      </x:c>
    </x:row>
    <x:row r="272" ht="130" customHeight="1">
      <x:c r="A272" s="10" t="n">
        <x:v>271</x:v>
      </x:c>
      <x:c r="B272" s="10" t="str">
        <x:v>ADMIN-0271</x:v>
      </x:c>
      <x:c r="C272" s="10" t="str">
        <x:v>数据报表</x:v>
      </x:c>
      <x:c r="D272" s="10" t="str">
        <x:v>消费订单明细（财务管理员）</x:v>
      </x:c>
      <x:c r="E272" s="10" t="str">
        <x:v>功能需求</x:v>
      </x:c>
      <x:c r="F272" s="10" t="str">
        <x:v>P2</x:v>
      </x:c>
      <x:c r="G272" s="9" t="str">
        <x:v>验证消费订单明细导出当前结果</x:v>
      </x:c>
      <x:c r="H272" s="9" t="str">
        <x:v>报表导出范围</x:v>
      </x:c>
      <x:c r="I272" s="9" t="str">
        <x:v>1. 财务管理员为本条执行者
2. 测试账号原已分配本报表查看及导出权限；本次使用冻结的测试统计数据，查询至导出期间无新增或修改
3. 09/01、09/02、09/03均有可区分的业务记录</x:v>
      </x:c>
      <x:c r="J272" s="9" t="str">
        <x:v>1. 打开消费订单明细
2. 选择日期范围09/01至09/02
3. 点击查询
4. 点击导出
5. 打开导出的报表文件
6. 对比导出记录集合与查询后页面记录集合</x:v>
      </x:c>
      <x:c r="K272" s="9" t="str">
        <x:v>导出记录集合等于本次页面展示的记录集合</x:v>
      </x:c>
      <x:c r="L272" s="10" t="str"/>
      <x:c r="M272" s="10" t="str">
        <x:v>未测</x:v>
      </x:c>
      <x:c r="N272" s="10" t="str"/>
      <x:c r="O272" s="9" t="str">
        <x:v>1. 来源（当前证据）：liveshow-proto/MainBasis/统一需求文档.md；位置：第 3326 行；REQ-b92fb474b07f、第 3319 行
2. 规则：BR-8D6CD9DED676D1
3. 未动态验证
4. 示例账号、编号、金额与日期是本条测试数据；执行前按前置条件准备，未填写的产品决策不得自行假定。</x:v>
      </x:c>
    </x:row>
    <x:row r="273" ht="130" customHeight="1">
      <x:c r="A273" s="10" t="n">
        <x:v>272</x:v>
      </x:c>
      <x:c r="B273" s="10" t="str">
        <x:v>ADMIN-0272</x:v>
      </x:c>
      <x:c r="C273" s="10" t="str">
        <x:v>数据报表</x:v>
      </x:c>
      <x:c r="D273" s="10" t="str">
        <x:v>消费订单明细（财务管理员）</x:v>
      </x:c>
      <x:c r="E273" s="10" t="str">
        <x:v>功能需求</x:v>
      </x:c>
      <x:c r="F273" s="10" t="str">
        <x:v>P2</x:v>
      </x:c>
      <x:c r="G273" s="9" t="str">
        <x:v>验证消费订单明细按角色限制入口</x:v>
      </x:c>
      <x:c r="H273" s="9" t="str">
        <x:v>报表访问权限</x:v>
      </x:c>
      <x:c r="I273" s="9" t="str">
        <x:v>1. 财务管理员为本条执行者
2. 测试账号原已分配本报表查看及导出权限；本次使用冻结的测试统计数据，查询至导出期间无新增或修改
3. 当前账号的本报表查看权限已撤销</x:v>
      </x:c>
      <x:c r="J273" s="9" t="str">
        <x:v>1. 打开报表中心</x:v>
      </x:c>
      <x:c r="K273" s="9" t="str">
        <x:v>报表中心不显示消费订单明细入口</x:v>
      </x:c>
      <x:c r="L273" s="10" t="str"/>
      <x:c r="M273" s="10" t="str">
        <x:v>未测</x:v>
      </x:c>
      <x:c r="N273" s="10" t="str"/>
      <x:c r="O273" s="9" t="str">
        <x:v>1. 来源（当前证据）：liveshow-proto/MainBasis/统一需求文档.md；位置：第 3176 行；REQ-96d0bfcceee8、第 3319 行
2. 规则：BR-23E17BA95C2E3F
3. 未动态验证
4. 示例账号、编号、金额与日期是本条测试数据；执行前按前置条件准备，未填写的产品决策不得自行假定。</x:v>
      </x:c>
    </x:row>
    <x:row r="274" ht="130" customHeight="1">
      <x:c r="A274" s="10" t="n">
        <x:v>273</x:v>
      </x:c>
      <x:c r="B274" s="10" t="str">
        <x:v>ADMIN-0273</x:v>
      </x:c>
      <x:c r="C274" s="10" t="str">
        <x:v>数据报表</x:v>
      </x:c>
      <x:c r="D274" s="10" t="str">
        <x:v>退款订单明细（财务管理员）</x:v>
      </x:c>
      <x:c r="E274" s="10" t="str">
        <x:v>功能需求</x:v>
      </x:c>
      <x:c r="F274" s="10" t="str">
        <x:v>P1</x:v>
      </x:c>
      <x:c r="G274" s="9" t="str">
        <x:v>验证退款订单明细导出当前结果</x:v>
      </x:c>
      <x:c r="H274" s="9" t="str">
        <x:v>报表导出范围</x:v>
      </x:c>
      <x:c r="I274" s="9" t="str">
        <x:v>1. 财务管理员为本条执行者
2. 测试账号原已分配本报表查看及导出权限；本次使用冻结的测试统计数据，查询至导出期间无新增或修改
3. 09/01、09/02、09/03均有可区分的业务记录</x:v>
      </x:c>
      <x:c r="J274" s="9" t="str">
        <x:v>1. 打开退款订单明细
2. 选择日期范围09/01至09/02
3. 点击查询
4. 点击导出
5. 打开导出的报表文件
6. 对比导出记录集合与查询后页面记录集合</x:v>
      </x:c>
      <x:c r="K274" s="9" t="str">
        <x:v>导出记录集合等于本次页面展示的记录集合</x:v>
      </x:c>
      <x:c r="L274" s="10" t="str"/>
      <x:c r="M274" s="10" t="str">
        <x:v>未测</x:v>
      </x:c>
      <x:c r="N274" s="10" t="str"/>
      <x:c r="O274" s="9" t="str">
        <x:v>1. 来源（当前证据）：liveshow-proto/MainBasis/统一需求文档.md；位置：第 3335 行；REQ-d7522df0db9e、第 3329 行
2. 规则：BR-D95327D874182E
3. 未动态验证
4. 示例账号、编号、金额与日期是本条测试数据；执行前按前置条件准备，未填写的产品决策不得自行假定。</x:v>
      </x:c>
    </x:row>
    <x:row r="275" ht="130" customHeight="1">
      <x:c r="A275" s="10" t="n">
        <x:v>274</x:v>
      </x:c>
      <x:c r="B275" s="10" t="str">
        <x:v>ADMIN-0274</x:v>
      </x:c>
      <x:c r="C275" s="10" t="str">
        <x:v>数据报表</x:v>
      </x:c>
      <x:c r="D275" s="10" t="str">
        <x:v>退款订单明细（财务管理员）</x:v>
      </x:c>
      <x:c r="E275" s="10" t="str">
        <x:v>功能需求</x:v>
      </x:c>
      <x:c r="F275" s="10" t="str">
        <x:v>P1</x:v>
      </x:c>
      <x:c r="G275" s="9" t="str">
        <x:v>验证退款订单明细按角色限制入口</x:v>
      </x:c>
      <x:c r="H275" s="9" t="str">
        <x:v>报表访问权限</x:v>
      </x:c>
      <x:c r="I275" s="9" t="str">
        <x:v>1. 财务管理员为本条执行者
2. 测试账号原已分配本报表查看及导出权限；本次使用冻结的测试统计数据，查询至导出期间无新增或修改
3. 当前账号的本报表查看权限已撤销</x:v>
      </x:c>
      <x:c r="J275" s="9" t="str">
        <x:v>1. 打开报表中心</x:v>
      </x:c>
      <x:c r="K275" s="9" t="str">
        <x:v>报表中心不显示退款订单明细入口</x:v>
      </x:c>
      <x:c r="L275" s="10" t="str"/>
      <x:c r="M275" s="10" t="str">
        <x:v>未测</x:v>
      </x:c>
      <x:c r="N275" s="10" t="str"/>
      <x:c r="O275" s="9" t="str">
        <x:v>1. 来源（当前证据）：liveshow-proto/MainBasis/统一需求文档.md；位置：第 3176 行；REQ-96d0bfcceee8、第 3329 行
2. 规则：BR-8A0A84C7BC5213
3. 未动态验证
4. 示例账号、编号、金额与日期是本条测试数据；执行前按前置条件准备，未填写的产品决策不得自行假定。</x:v>
      </x:c>
    </x:row>
    <x:row r="276" ht="130" customHeight="1">
      <x:c r="A276" s="10" t="n">
        <x:v>275</x:v>
      </x:c>
      <x:c r="B276" s="10" t="str">
        <x:v>ADMIN-0275</x:v>
      </x:c>
      <x:c r="C276" s="10" t="str">
        <x:v>数据报表</x:v>
      </x:c>
      <x:c r="D276" s="10" t="str">
        <x:v>充值订单明细（财务管理员）</x:v>
      </x:c>
      <x:c r="E276" s="10" t="str">
        <x:v>功能需求</x:v>
      </x:c>
      <x:c r="F276" s="10" t="str">
        <x:v>P1</x:v>
      </x:c>
      <x:c r="G276" s="9" t="str">
        <x:v>验证充值订单明细导出当前结果</x:v>
      </x:c>
      <x:c r="H276" s="9" t="str">
        <x:v>报表导出范围</x:v>
      </x:c>
      <x:c r="I276" s="9" t="str">
        <x:v>1. 财务管理员为本条执行者
2. 测试账号原已分配本报表查看及导出权限；本次使用冻结的测试统计数据，查询至导出期间无新增或修改
3. 09/01、09/02、09/03均有可区分的业务记录</x:v>
      </x:c>
      <x:c r="J276" s="9" t="str">
        <x:v>1. 打开充值订单明细
2. 选择日期范围09/01至09/02
3. 点击查询
4. 点击导出
5. 打开导出的报表文件
6. 对比导出记录集合与查询后页面记录集合</x:v>
      </x:c>
      <x:c r="K276" s="9" t="str">
        <x:v>导出记录集合等于本次页面展示的记录集合</x:v>
      </x:c>
      <x:c r="L276" s="10" t="str"/>
      <x:c r="M276" s="10" t="str">
        <x:v>未测</x:v>
      </x:c>
      <x:c r="N276" s="10" t="str"/>
      <x:c r="O276" s="9" t="str">
        <x:v>1. 来源（当前证据）：liveshow-proto/MainBasis/统一需求文档.md；位置：第 3345 行；REQ-c2caa13dc866、第 3338 行
2. 规则：BR-B37EE275B66045
3. 未动态验证
4. 示例账号、编号、金额与日期是本条测试数据；执行前按前置条件准备，未填写的产品决策不得自行假定。</x:v>
      </x:c>
    </x:row>
    <x:row r="277" ht="130" customHeight="1">
      <x:c r="A277" s="10" t="n">
        <x:v>276</x:v>
      </x:c>
      <x:c r="B277" s="10" t="str">
        <x:v>ADMIN-0276</x:v>
      </x:c>
      <x:c r="C277" s="10" t="str">
        <x:v>数据报表</x:v>
      </x:c>
      <x:c r="D277" s="10" t="str">
        <x:v>充值订单明细（财务管理员）</x:v>
      </x:c>
      <x:c r="E277" s="10" t="str">
        <x:v>功能需求</x:v>
      </x:c>
      <x:c r="F277" s="10" t="str">
        <x:v>P1</x:v>
      </x:c>
      <x:c r="G277" s="9" t="str">
        <x:v>验证充值订单明细按角色限制入口</x:v>
      </x:c>
      <x:c r="H277" s="9" t="str">
        <x:v>报表访问权限</x:v>
      </x:c>
      <x:c r="I277" s="9" t="str">
        <x:v>1. 财务管理员为本条执行者
2. 测试账号原已分配本报表查看及导出权限；本次使用冻结的测试统计数据，查询至导出期间无新增或修改
3. 当前账号的本报表查看权限已撤销</x:v>
      </x:c>
      <x:c r="J277" s="9" t="str">
        <x:v>1. 打开报表中心</x:v>
      </x:c>
      <x:c r="K277" s="9" t="str">
        <x:v>报表中心不显示充值订单明细入口</x:v>
      </x:c>
      <x:c r="L277" s="10" t="str"/>
      <x:c r="M277" s="10" t="str">
        <x:v>未测</x:v>
      </x:c>
      <x:c r="N277" s="10" t="str"/>
      <x:c r="O277" s="9" t="str">
        <x:v>1. 来源（当前证据）：liveshow-proto/MainBasis/统一需求文档.md；位置：第 3176 行；REQ-96d0bfcceee8、第 3338 行
2. 规则：BR-013AEE0914637F
3. 未动态验证
4. 示例账号、编号、金额与日期是本条测试数据；执行前按前置条件准备，未填写的产品决策不得自行假定。</x:v>
      </x:c>
    </x:row>
    <x:row r="278" ht="130" customHeight="1">
      <x:c r="A278" s="10" t="n">
        <x:v>277</x:v>
      </x:c>
      <x:c r="B278" s="10" t="str">
        <x:v>ADMIN-0277</x:v>
      </x:c>
      <x:c r="C278" s="10" t="str">
        <x:v>数据看板</x:v>
      </x:c>
      <x:c r="D278" s="10" t="str">
        <x:v>工作台（平台管理员）</x:v>
      </x:c>
      <x:c r="E278" s="10" t="str">
        <x:v>功能需求</x:v>
      </x:c>
      <x:c r="F278" s="10" t="str">
        <x:v>P1</x:v>
      </x:c>
      <x:c r="G278" s="9" t="str">
        <x:v>验证工作台活跃用户按登录用户去重</x:v>
      </x:c>
      <x:c r="H278" s="9" t="str">
        <x:v>活跃用户去重</x:v>
      </x:c>
      <x:c r="I278" s="9" t="str">
        <x:v>1. 平台管理员为本条执行者
2. 最新自然日为 D，用户甲当天启动 App 2 次且注册于 D，用户乙从后台切前台 1 次且注册于 D-1；未登录游客丙访问 1 次</x:v>
      </x:c>
      <x:c r="J278" s="9" t="str">
        <x:v>1. 打开工作台
2. 查看活跃用户</x:v>
      </x:c>
      <x:c r="K278" s="9" t="str">
        <x:v>活跃用户为 2</x:v>
      </x:c>
      <x:c r="L278" s="10" t="str"/>
      <x:c r="M278" s="10" t="str">
        <x:v>未测</x:v>
      </x:c>
      <x:c r="N278" s="10" t="str"/>
      <x:c r="O278" s="9" t="str">
        <x:v>1. 来源（当前证据）：liveshow-proto/MainBasis/统一需求文档.md；位置：第 2489 行；REQ-f3b7305ac172、第 2487 行
2. 规则：BR-60A3C3B900AB52
3. 未动态验证
4. 示例账号、编号、金额与日期是本条测试数据；执行前按前置条件准备，未填写的产品决策不得自行假定。</x:v>
      </x:c>
    </x:row>
    <x:row r="279" ht="130" customHeight="1">
      <x:c r="A279" s="10" t="n">
        <x:v>278</x:v>
      </x:c>
      <x:c r="B279" s="10" t="str">
        <x:v>ADMIN-0278</x:v>
      </x:c>
      <x:c r="C279" s="10" t="str">
        <x:v>数据看板</x:v>
      </x:c>
      <x:c r="D279" s="10" t="str">
        <x:v>工作台（平台管理员）</x:v>
      </x:c>
      <x:c r="E279" s="10" t="str">
        <x:v>功能需求</x:v>
      </x:c>
      <x:c r="F279" s="10" t="str">
        <x:v>P1</x:v>
      </x:c>
      <x:c r="G279" s="9" t="str">
        <x:v>验证工作台活跃用户按登录用户去重</x:v>
      </x:c>
      <x:c r="H279" s="9" t="str">
        <x:v>新增用户注册日</x:v>
      </x:c>
      <x:c r="I279" s="9" t="str">
        <x:v>1. 平台管理员为本条执行者
2. 最新自然日为 D，用户甲当天启动 App 2 次且注册于 D，用户乙从后台切前台 1 次且注册于 D-1；未登录游客丙访问 1 次</x:v>
      </x:c>
      <x:c r="J279" s="9" t="str">
        <x:v>1. 打开工作台
2. 查看活跃用户</x:v>
      </x:c>
      <x:c r="K279" s="9" t="str">
        <x:v>新增用户为 1</x:v>
      </x:c>
      <x:c r="L279" s="10" t="str"/>
      <x:c r="M279" s="10" t="str">
        <x:v>未测</x:v>
      </x:c>
      <x:c r="N279" s="10" t="str"/>
      <x:c r="O279" s="9" t="str">
        <x:v>1. 来源（当前证据）：liveshow-proto/MainBasis/统一需求文档.md；位置：第 2489 行；REQ-f3b7305ac172、第 2487 行
2. 规则：BR-3718A9C122DC63
3. 未动态验证
4. 示例账号、编号、金额与日期是本条测试数据；执行前按前置条件准备，未填写的产品决策不得自行假定。</x:v>
      </x:c>
    </x:row>
    <x:row r="280" ht="130" customHeight="1">
      <x:c r="A280" s="10" t="n">
        <x:v>279</x:v>
      </x:c>
      <x:c r="B280" s="10" t="str">
        <x:v>ADMIN-0279</x:v>
      </x:c>
      <x:c r="C280" s="10" t="str">
        <x:v>数据看板</x:v>
      </x:c>
      <x:c r="D280" s="10" t="str">
        <x:v>工作台（平台管理员）</x:v>
      </x:c>
      <x:c r="E280" s="10" t="str">
        <x:v>功能需求</x:v>
      </x:c>
      <x:c r="F280" s="10" t="str">
        <x:v>P2</x:v>
      </x:c>
      <x:c r="G280" s="9" t="str">
        <x:v>验证工作台趋势使用截至最新日的七天</x:v>
      </x:c>
      <x:c r="H280" s="9" t="str">
        <x:v>工作台趋势时间范围</x:v>
      </x:c>
      <x:c r="I280" s="9" t="str">
        <x:v>1. 平台管理员为本条执行者
2. 最新自然日为 D，用户甲当天启动 App 2 次且注册于 D，用户乙从后台切前台 1 次且注册于 D-1；未登录游客丙访问 1 次</x:v>
      </x:c>
      <x:c r="J280" s="9" t="str">
        <x:v>1. 打开工作台
2. 点击活跃用户指标卡</x:v>
      </x:c>
      <x:c r="K280" s="9" t="str">
        <x:v>趋势范围为 D-6 至 D，共 7 个自然日</x:v>
      </x:c>
      <x:c r="L280" s="10" t="str"/>
      <x:c r="M280" s="10" t="str">
        <x:v>未测</x:v>
      </x:c>
      <x:c r="N280" s="10" t="str"/>
      <x:c r="O280" s="9" t="str">
        <x:v>1. 来源（当前证据）：liveshow-proto/MainBasis/统一需求文档.md；位置：第 2495 行；REQ-2296a76e69d6、第 2487 行
2. 规则：BR-DEBD05076CFA30
3. 未动态验证
4. 示例账号、编号、金额与日期是本条测试数据；执行前按前置条件准备，未填写的产品决策不得自行假定。</x:v>
      </x:c>
    </x:row>
    <x:row r="281" ht="130" customHeight="1">
      <x:c r="A281" s="10" t="n">
        <x:v>280</x:v>
      </x:c>
      <x:c r="B281" s="10" t="str">
        <x:v>ADMIN-0280</x:v>
      </x:c>
      <x:c r="C281" s="10" t="str">
        <x:v>数据看板</x:v>
      </x:c>
      <x:c r="D281" s="10" t="str">
        <x:v>工作台（平台管理员）</x:v>
      </x:c>
      <x:c r="E281" s="10" t="str">
        <x:v>功能需求</x:v>
      </x:c>
      <x:c r="F281" s="10" t="str">
        <x:v>P2</x:v>
      </x:c>
      <x:c r="G281" s="9" t="str">
        <x:v>验证工作台的新用户 ARPU计算</x:v>
      </x:c>
      <x:c r="H281" s="9" t="str">
        <x:v>新用户 ARPU</x:v>
      </x:c>
      <x:c r="I281" s="9" t="str">
        <x:v>1. 平台管理员为本条执行者
2. 所选统计范围内，新用户实付金额合计 30 USD，去重充值人数 2</x:v>
      </x:c>
      <x:c r="J281" s="9" t="str">
        <x:v>1. 打开工作台
2. 查看新用户 ARPU</x:v>
      </x:c>
      <x:c r="K281" s="9" t="str">
        <x:v>新用户 ARPU = 15 USD</x:v>
      </x:c>
      <x:c r="L281" s="10" t="str"/>
      <x:c r="M281" s="10" t="str">
        <x:v>未测</x:v>
      </x:c>
      <x:c r="N281" s="10" t="str"/>
      <x:c r="O281" s="9" t="str">
        <x:v>1. 来源（当前证据）：liveshow-proto/MainBasis/统一需求文档.md；位置：第 2492 行；REQ-cb8d0881029d、第 2487 行
2. 规则：BR-1A16F32E7E5286
3. 未动态验证
4. 示例账号、编号、金额与日期是本条测试数据；执行前按前置条件准备，未填写的产品决策不得自行假定。</x:v>
      </x:c>
    </x:row>
    <x:row r="282" ht="130" customHeight="1">
      <x:c r="A282" s="10" t="n">
        <x:v>281</x:v>
      </x:c>
      <x:c r="B282" s="10" t="str">
        <x:v>ADMIN-0281</x:v>
      </x:c>
      <x:c r="C282" s="10" t="str">
        <x:v>数据看板</x:v>
      </x:c>
      <x:c r="D282" s="10" t="str">
        <x:v>工作台（平台管理员）</x:v>
      </x:c>
      <x:c r="E282" s="10" t="str">
        <x:v>功能需求</x:v>
      </x:c>
      <x:c r="F282" s="10" t="str">
        <x:v>P2</x:v>
      </x:c>
      <x:c r="G282" s="9" t="str">
        <x:v>验证工作台的新用户 ARPU分母为零</x:v>
      </x:c>
      <x:c r="H282" s="9" t="str">
        <x:v>新用户 ARPU零分母</x:v>
      </x:c>
      <x:c r="I282" s="9" t="str">
        <x:v>1. 平台管理员为本条执行者
2. 所选统计范围内，新用户实付金额合计 30 USD，去重充值人数 2
3. 本条改用没有任何成功充值的独立统计日期，金额与充值人数均为 0</x:v>
      </x:c>
      <x:c r="J282" s="9" t="str">
        <x:v>1. 打开工作台
2. 查询该无充值日期
3. 查看新用户 ARPU</x:v>
      </x:c>
      <x:c r="K282" s="9" t="str">
        <x:v>新用户 ARPU为 0</x:v>
      </x:c>
      <x:c r="L282" s="10" t="str"/>
      <x:c r="M282" s="10" t="str">
        <x:v>未测</x:v>
      </x:c>
      <x:c r="N282" s="10" t="str"/>
      <x:c r="O282" s="9" t="str">
        <x:v>1. 来源（当前证据）：liveshow-proto/MainBasis/统一需求文档.md；位置：第 2492 行；REQ-cb8d0881029d、第 2487 行
2. 规则：BR-AA61F8C1262985
3. 未动态验证
4. 示例账号、编号、金额与日期是本条测试数据；执行前按前置条件准备，未填写的产品决策不得自行假定。</x:v>
      </x:c>
    </x:row>
    <x:row r="283" ht="130" customHeight="1">
      <x:c r="A283" s="10" t="n">
        <x:v>282</x:v>
      </x:c>
      <x:c r="B283" s="10" t="str">
        <x:v>ADMIN-0282</x:v>
      </x:c>
      <x:c r="C283" s="10" t="str">
        <x:v>数据报表</x:v>
      </x:c>
      <x:c r="D283" s="10" t="str">
        <x:v>数据概览（财务管理员）</x:v>
      </x:c>
      <x:c r="E283" s="10" t="str">
        <x:v>功能需求</x:v>
      </x:c>
      <x:c r="F283" s="10" t="str">
        <x:v>P2</x:v>
      </x:c>
      <x:c r="G283" s="9" t="str">
        <x:v>验证数据概览的新用户 ARPU计算</x:v>
      </x:c>
      <x:c r="H283" s="9" t="str">
        <x:v>新用户 ARPU</x:v>
      </x:c>
      <x:c r="I283" s="9" t="str">
        <x:v>1. 财务管理员为本条执行者
2. 所选统计范围内，新用户实付金额合计 30 USD，去重充值人数 2</x:v>
      </x:c>
      <x:c r="J283" s="9" t="str">
        <x:v>1. 打开数据概览
2. 查看新用户 ARPU</x:v>
      </x:c>
      <x:c r="K283" s="9" t="str">
        <x:v>新用户 ARPU = 15 USD</x:v>
      </x:c>
      <x:c r="L283" s="10" t="str"/>
      <x:c r="M283" s="10" t="str">
        <x:v>未测</x:v>
      </x:c>
      <x:c r="N283" s="10" t="str"/>
      <x:c r="O283" s="9" t="str">
        <x:v>1. 来源（当前证据）：liveshow-proto/MainBasis/统一需求文档.md；位置：第 3186 行；REQ-48d665272914、第 3181 行
2. 规则：BR-6117D4C2B85C0D
3. 未动态验证
4. 示例账号、编号、金额与日期是本条测试数据；执行前按前置条件准备，未填写的产品决策不得自行假定。</x:v>
      </x:c>
    </x:row>
    <x:row r="284" ht="130" customHeight="1">
      <x:c r="A284" s="10" t="n">
        <x:v>283</x:v>
      </x:c>
      <x:c r="B284" s="10" t="str">
        <x:v>ADMIN-0283</x:v>
      </x:c>
      <x:c r="C284" s="10" t="str">
        <x:v>数据报表</x:v>
      </x:c>
      <x:c r="D284" s="10" t="str">
        <x:v>数据概览（财务管理员）</x:v>
      </x:c>
      <x:c r="E284" s="10" t="str">
        <x:v>功能需求</x:v>
      </x:c>
      <x:c r="F284" s="10" t="str">
        <x:v>P2</x:v>
      </x:c>
      <x:c r="G284" s="9" t="str">
        <x:v>验证数据概览的新用户 ARPU分母为零</x:v>
      </x:c>
      <x:c r="H284" s="9" t="str">
        <x:v>新用户 ARPU零分母</x:v>
      </x:c>
      <x:c r="I284" s="9" t="str">
        <x:v>1. 财务管理员为本条执行者
2. 所选统计范围内，新用户实付金额合计 30 USD，去重充值人数 2
3. 本条改用没有任何成功充值的独立统计日期，金额与充值人数均为 0</x:v>
      </x:c>
      <x:c r="J284" s="9" t="str">
        <x:v>1. 打开数据概览
2. 查询该无充值日期
3. 查看新用户 ARPU</x:v>
      </x:c>
      <x:c r="K284" s="9" t="str">
        <x:v>新用户 ARPU为 0</x:v>
      </x:c>
      <x:c r="L284" s="10" t="str"/>
      <x:c r="M284" s="10" t="str">
        <x:v>未测</x:v>
      </x:c>
      <x:c r="N284" s="10" t="str"/>
      <x:c r="O284" s="9" t="str">
        <x:v>1. 来源（当前证据）：liveshow-proto/MainBasis/统一需求文档.md；位置：第 3186 行；REQ-48d665272914、第 3181 行
2. 规则：BR-C6FB3AD5C29816
3. 未动态验证
4. 示例账号、编号、金额与日期是本条测试数据；执行前按前置条件准备，未填写的产品决策不得自行假定。</x:v>
      </x:c>
    </x:row>
    <x:row r="285" ht="130" customHeight="1">
      <x:c r="A285" s="10" t="n">
        <x:v>284</x:v>
      </x:c>
      <x:c r="B285" s="10" t="str">
        <x:v>ADMIN-0284</x:v>
      </x:c>
      <x:c r="C285" s="10" t="str">
        <x:v>数据报表</x:v>
      </x:c>
      <x:c r="D285" s="10" t="str">
        <x:v>每日统计（财务管理员）</x:v>
      </x:c>
      <x:c r="E285" s="10" t="str">
        <x:v>功能需求</x:v>
      </x:c>
      <x:c r="F285" s="10" t="str">
        <x:v>P2</x:v>
      </x:c>
      <x:c r="G285" s="9" t="str">
        <x:v>验证每日统计的新用户 ARPU计算</x:v>
      </x:c>
      <x:c r="H285" s="9" t="str">
        <x:v>新用户 ARPU</x:v>
      </x:c>
      <x:c r="I285" s="9" t="str">
        <x:v>1. 财务管理员为本条执行者
2. 所选统计范围内，新用户实付金额合计 30 USD，去重充值人数 2</x:v>
      </x:c>
      <x:c r="J285" s="9" t="str">
        <x:v>1. 打开每日统计
2. 查看新用户 ARPU</x:v>
      </x:c>
      <x:c r="K285" s="9" t="str">
        <x:v>新用户 ARPU = 15 USD</x:v>
      </x:c>
      <x:c r="L285" s="10" t="str"/>
      <x:c r="M285" s="10" t="str">
        <x:v>未测</x:v>
      </x:c>
      <x:c r="N285" s="10" t="str"/>
      <x:c r="O285" s="9" t="str">
        <x:v>1. 来源（当前证据）：liveshow-proto/MainBasis/统一需求文档.md；位置：第 3197 行；REQ-8246fdfc3d89、第 3192 行
2. 规则：BR-755C6FB8259CA3
3. 未动态验证
4. 示例账号、编号、金额与日期是本条测试数据；执行前按前置条件准备，未填写的产品决策不得自行假定。</x:v>
      </x:c>
    </x:row>
    <x:row r="286" ht="130" customHeight="1">
      <x:c r="A286" s="10" t="n">
        <x:v>285</x:v>
      </x:c>
      <x:c r="B286" s="10" t="str">
        <x:v>ADMIN-0285</x:v>
      </x:c>
      <x:c r="C286" s="10" t="str">
        <x:v>数据报表</x:v>
      </x:c>
      <x:c r="D286" s="10" t="str">
        <x:v>每日统计（财务管理员）</x:v>
      </x:c>
      <x:c r="E286" s="10" t="str">
        <x:v>功能需求</x:v>
      </x:c>
      <x:c r="F286" s="10" t="str">
        <x:v>P2</x:v>
      </x:c>
      <x:c r="G286" s="9" t="str">
        <x:v>验证每日统计的新用户 ARPU分母为零</x:v>
      </x:c>
      <x:c r="H286" s="9" t="str">
        <x:v>新用户 ARPU零分母</x:v>
      </x:c>
      <x:c r="I286" s="9" t="str">
        <x:v>1. 财务管理员为本条执行者
2. 所选统计范围内，新用户实付金额合计 30 USD，去重充值人数 2
3. 本条改用没有任何成功充值的独立统计日期，金额与充值人数均为 0</x:v>
      </x:c>
      <x:c r="J286" s="9" t="str">
        <x:v>1. 打开每日统计
2. 查询该无充值日期
3. 查看新用户 ARPU</x:v>
      </x:c>
      <x:c r="K286" s="9" t="str">
        <x:v>新用户 ARPU为 0</x:v>
      </x:c>
      <x:c r="L286" s="10" t="str"/>
      <x:c r="M286" s="10" t="str">
        <x:v>未测</x:v>
      </x:c>
      <x:c r="N286" s="10" t="str"/>
      <x:c r="O286" s="9" t="str">
        <x:v>1. 来源（当前证据）：liveshow-proto/MainBasis/统一需求文档.md；位置：第 3197 行；REQ-8246fdfc3d89、第 3192 行
2. 规则：BR-3BF96A7E19B2CC
3. 未动态验证
4. 示例账号、编号、金额与日期是本条测试数据；执行前按前置条件准备，未填写的产品决策不得自行假定。</x:v>
      </x:c>
    </x:row>
    <x:row r="287" ht="130" customHeight="1">
      <x:c r="A287" s="10" t="n">
        <x:v>286</x:v>
      </x:c>
      <x:c r="B287" s="10" t="str">
        <x:v>ADMIN-0286</x:v>
      </x:c>
      <x:c r="C287" s="10" t="str">
        <x:v>数据报表</x:v>
      </x:c>
      <x:c r="D287" s="10" t="str">
        <x:v>充值用户分层汇总（每日）（财务管理员）</x:v>
      </x:c>
      <x:c r="E287" s="10" t="str">
        <x:v>功能需求</x:v>
      </x:c>
      <x:c r="F287" s="10" t="str">
        <x:v>P1</x:v>
      </x:c>
      <x:c r="G287" s="9" t="str">
        <x:v>验证充值用户分层汇总（每日）的新用户 ARPU计算</x:v>
      </x:c>
      <x:c r="H287" s="9" t="str">
        <x:v>新用户 ARPU</x:v>
      </x:c>
      <x:c r="I287" s="9" t="str">
        <x:v>1. 财务管理员为本条执行者
2. 所选统计范围内，新用户实付金额合计 30 USD，去重充值人数 2</x:v>
      </x:c>
      <x:c r="J287" s="9" t="str">
        <x:v>1. 打开充值用户分层汇总（每日）
2. 查看新用户 ARPU</x:v>
      </x:c>
      <x:c r="K287" s="9" t="str">
        <x:v>新用户 ARPU = 15 USD</x:v>
      </x:c>
      <x:c r="L287" s="10" t="str"/>
      <x:c r="M287" s="10" t="str">
        <x:v>未测</x:v>
      </x:c>
      <x:c r="N287" s="10" t="str"/>
      <x:c r="O287" s="9" t="str">
        <x:v>1. 来源（当前证据）：liveshow-proto/MainBasis/统一需求文档.md；位置：第 3266 行；REQ-09403e05a182、第 3261 行
2. 规则：BR-F82800A5B4225F
3. 未动态验证
4. 示例账号、编号、金额与日期是本条测试数据；执行前按前置条件准备，未填写的产品决策不得自行假定。</x:v>
      </x:c>
    </x:row>
    <x:row r="288" ht="130" customHeight="1">
      <x:c r="A288" s="10" t="n">
        <x:v>287</x:v>
      </x:c>
      <x:c r="B288" s="10" t="str">
        <x:v>ADMIN-0287</x:v>
      </x:c>
      <x:c r="C288" s="10" t="str">
        <x:v>数据报表</x:v>
      </x:c>
      <x:c r="D288" s="10" t="str">
        <x:v>充值用户分层汇总（每日）（财务管理员）</x:v>
      </x:c>
      <x:c r="E288" s="10" t="str">
        <x:v>功能需求</x:v>
      </x:c>
      <x:c r="F288" s="10" t="str">
        <x:v>P1</x:v>
      </x:c>
      <x:c r="G288" s="9" t="str">
        <x:v>验证充值用户分层汇总（每日）的新用户 ARPU分母为零</x:v>
      </x:c>
      <x:c r="H288" s="9" t="str">
        <x:v>新用户 ARPU零分母</x:v>
      </x:c>
      <x:c r="I288" s="9" t="str">
        <x:v>1. 财务管理员为本条执行者
2. 所选统计范围内，新用户实付金额合计 30 USD，去重充值人数 2
3. 本条改用没有任何成功充值的独立统计日期，金额与充值人数均为 0</x:v>
      </x:c>
      <x:c r="J288" s="9" t="str">
        <x:v>1. 打开充值用户分层汇总（每日）
2. 查询该无充值日期
3. 查看新用户 ARPU</x:v>
      </x:c>
      <x:c r="K288" s="9" t="str">
        <x:v>新用户 ARPU为 0</x:v>
      </x:c>
      <x:c r="L288" s="10" t="str"/>
      <x:c r="M288" s="10" t="str">
        <x:v>未测</x:v>
      </x:c>
      <x:c r="N288" s="10" t="str"/>
      <x:c r="O288" s="9" t="str">
        <x:v>1. 来源（当前证据）：liveshow-proto/MainBasis/统一需求文档.md；位置：第 3266 行；REQ-09403e05a182、第 3261 行
2. 规则：BR-F1BB1BA36AF9EC
3. 未动态验证
4. 示例账号、编号、金额与日期是本条测试数据；执行前按前置条件准备，未填写的产品决策不得自行假定。</x:v>
      </x:c>
    </x:row>
    <x:row r="289" ht="130" customHeight="1">
      <x:c r="A289" s="10" t="n">
        <x:v>288</x:v>
      </x:c>
      <x:c r="B289" s="10" t="str">
        <x:v>ADMIN-0288</x:v>
      </x:c>
      <x:c r="C289" s="10" t="str">
        <x:v>数据报表</x:v>
      </x:c>
      <x:c r="D289" s="10" t="str">
        <x:v>充值用户分层汇总（每日）（财务管理员）</x:v>
      </x:c>
      <x:c r="E289" s="10" t="str">
        <x:v>功能需求</x:v>
      </x:c>
      <x:c r="F289" s="10" t="str">
        <x:v>P1</x:v>
      </x:c>
      <x:c r="G289" s="9" t="str">
        <x:v>验证充值用户分层汇总（每日）的老用户 ARPU计算</x:v>
      </x:c>
      <x:c r="H289" s="9" t="str">
        <x:v>老用户 ARPU</x:v>
      </x:c>
      <x:c r="I289" s="9" t="str">
        <x:v>1. 财务管理员为本条执行者
2. 所选统计范围内，老用户实付金额合计 30 USD，去重充值人数 2</x:v>
      </x:c>
      <x:c r="J289" s="9" t="str">
        <x:v>1. 打开充值用户分层汇总（每日）
2. 查看老用户 ARPU</x:v>
      </x:c>
      <x:c r="K289" s="9" t="str">
        <x:v>老用户 ARPU = 15 USD</x:v>
      </x:c>
      <x:c r="L289" s="10" t="str"/>
      <x:c r="M289" s="10" t="str">
        <x:v>未测</x:v>
      </x:c>
      <x:c r="N289" s="10" t="str"/>
      <x:c r="O289" s="9" t="str">
        <x:v>1. 来源（当前证据）：liveshow-proto/MainBasis/统一需求文档.md；位置：第 3267 行；REQ-dd86c8adf58f、第 3261 行
2. 规则：BR-29756D3BB1D430
3. 未动态验证
4. 示例账号、编号、金额与日期是本条测试数据；执行前按前置条件准备，未填写的产品决策不得自行假定。</x:v>
      </x:c>
    </x:row>
    <x:row r="290" ht="130" customHeight="1">
      <x:c r="A290" s="10" t="n">
        <x:v>289</x:v>
      </x:c>
      <x:c r="B290" s="10" t="str">
        <x:v>ADMIN-0289</x:v>
      </x:c>
      <x:c r="C290" s="10" t="str">
        <x:v>数据报表</x:v>
      </x:c>
      <x:c r="D290" s="10" t="str">
        <x:v>充值用户分层汇总（每日）（财务管理员）</x:v>
      </x:c>
      <x:c r="E290" s="10" t="str">
        <x:v>功能需求</x:v>
      </x:c>
      <x:c r="F290" s="10" t="str">
        <x:v>P1</x:v>
      </x:c>
      <x:c r="G290" s="9" t="str">
        <x:v>验证充值用户分层汇总（每日）的老用户 ARPU分母为零</x:v>
      </x:c>
      <x:c r="H290" s="9" t="str">
        <x:v>老用户 ARPU零分母</x:v>
      </x:c>
      <x:c r="I290" s="9" t="str">
        <x:v>1. 财务管理员为本条执行者
2. 所选统计范围内，老用户实付金额合计 30 USD，去重充值人数 2
3. 本条改用没有任何成功充值的独立统计日期，金额与充值人数均为 0</x:v>
      </x:c>
      <x:c r="J290" s="9" t="str">
        <x:v>1. 打开充值用户分层汇总（每日）
2. 查询该无充值日期
3. 查看老用户 ARPU</x:v>
      </x:c>
      <x:c r="K290" s="9" t="str">
        <x:v>老用户 ARPU为 0</x:v>
      </x:c>
      <x:c r="L290" s="10" t="str"/>
      <x:c r="M290" s="10" t="str">
        <x:v>未测</x:v>
      </x:c>
      <x:c r="N290" s="10" t="str"/>
      <x:c r="O290" s="9" t="str">
        <x:v>1. 来源（当前证据）：liveshow-proto/MainBasis/统一需求文档.md；位置：第 3267 行；REQ-dd86c8adf58f、第 3261 行
2. 规则：BR-D573D94DACB6BB
3. 未动态验证
4. 示例账号、编号、金额与日期是本条测试数据；执行前按前置条件准备，未填写的产品决策不得自行假定。</x:v>
      </x:c>
    </x:row>
    <x:row r="291" ht="130" customHeight="1">
      <x:c r="A291" s="10" t="n">
        <x:v>290</x:v>
      </x:c>
      <x:c r="B291" s="10" t="str">
        <x:v>ADMIN-0290</x:v>
      </x:c>
      <x:c r="C291" s="10" t="str">
        <x:v>数据报表</x:v>
      </x:c>
      <x:c r="D291" s="10" t="str">
        <x:v>充值消费汇总（每日）（财务管理员）</x:v>
      </x:c>
      <x:c r="E291" s="10" t="str">
        <x:v>功能需求</x:v>
      </x:c>
      <x:c r="F291" s="10" t="str">
        <x:v>P1</x:v>
      </x:c>
      <x:c r="G291" s="9" t="str">
        <x:v>验证充值消费汇总（每日）的客单价计算</x:v>
      </x:c>
      <x:c r="H291" s="9" t="str">
        <x:v>客单价</x:v>
      </x:c>
      <x:c r="I291" s="9" t="str">
        <x:v>1. 财务管理员为本条执行者
2. 所选统计范围内，充值用户实付金额合计 30 USD，去重充值人数 2</x:v>
      </x:c>
      <x:c r="J291" s="9" t="str">
        <x:v>1. 打开充值消费汇总（每日）
2. 查看客单价</x:v>
      </x:c>
      <x:c r="K291" s="9" t="str">
        <x:v>客单价 = 15 USD</x:v>
      </x:c>
      <x:c r="L291" s="10" t="str"/>
      <x:c r="M291" s="10" t="str">
        <x:v>未测</x:v>
      </x:c>
      <x:c r="N291" s="10" t="str"/>
      <x:c r="O291" s="9" t="str">
        <x:v>1. 来源（当前证据）：liveshow-proto/MainBasis/统一需求文档.md；位置：第 3252 行；REQ-341c058a6425、第 3249 行
2. 规则：BR-F8AF1EF4521CC5
3. 未动态验证
4. 示例账号、编号、金额与日期是本条测试数据；执行前按前置条件准备，未填写的产品决策不得自行假定。</x:v>
      </x:c>
    </x:row>
    <x:row r="292" ht="130" customHeight="1">
      <x:c r="A292" s="10" t="n">
        <x:v>291</x:v>
      </x:c>
      <x:c r="B292" s="10" t="str">
        <x:v>ADMIN-0291</x:v>
      </x:c>
      <x:c r="C292" s="10" t="str">
        <x:v>数据报表</x:v>
      </x:c>
      <x:c r="D292" s="10" t="str">
        <x:v>充值消费汇总（每日）（财务管理员）</x:v>
      </x:c>
      <x:c r="E292" s="10" t="str">
        <x:v>功能需求</x:v>
      </x:c>
      <x:c r="F292" s="10" t="str">
        <x:v>P1</x:v>
      </x:c>
      <x:c r="G292" s="9" t="str">
        <x:v>验证充值消费汇总（每日）的客单价分母为零</x:v>
      </x:c>
      <x:c r="H292" s="9" t="str">
        <x:v>客单价零分母</x:v>
      </x:c>
      <x:c r="I292" s="9" t="str">
        <x:v>1. 财务管理员为本条执行者
2. 所选统计范围内，充值用户实付金额合计 30 USD，去重充值人数 2
3. 本条改用没有任何成功充值的独立统计日期，金额与充值人数均为 0</x:v>
      </x:c>
      <x:c r="J292" s="9" t="str">
        <x:v>1. 打开充值消费汇总（每日）
2. 查询该无充值日期
3. 查看客单价</x:v>
      </x:c>
      <x:c r="K292" s="9" t="str">
        <x:v>客单价为 0</x:v>
      </x:c>
      <x:c r="L292" s="10" t="str"/>
      <x:c r="M292" s="10" t="str">
        <x:v>未测</x:v>
      </x:c>
      <x:c r="N292" s="10" t="str"/>
      <x:c r="O292" s="9" t="str">
        <x:v>1. 来源（当前证据）：liveshow-proto/MainBasis/统一需求文档.md；位置：第 3252 行；REQ-341c058a6425、第 3249 行
2. 规则：BR-F53EEDC594CE5F
3. 未动态验证
4. 示例账号、编号、金额与日期是本条测试数据；执行前按前置条件准备，未填写的产品决策不得自行假定。</x:v>
      </x:c>
    </x:row>
    <x:row r="293" ht="145" customHeight="1">
      <x:c r="A293" s="10" t="n">
        <x:v>292</x:v>
      </x:c>
      <x:c r="B293" s="10" t="str">
        <x:v>ADMIN-0292</x:v>
      </x:c>
      <x:c r="C293" s="10" t="str">
        <x:v>数据报表</x:v>
      </x:c>
      <x:c r="D293" s="10" t="str">
        <x:v>每日统计（财务管理员）</x:v>
      </x:c>
      <x:c r="E293" s="10" t="str">
        <x:v>功能需求</x:v>
      </x:c>
      <x:c r="F293" s="10" t="str">
        <x:v>P2</x:v>
      </x:c>
      <x:c r="G293" s="9" t="str">
        <x:v>验证每日开播人数与有效天人数分开统计</x:v>
      </x:c>
      <x:c r="H293" s="9" t="str">
        <x:v>每日开播人数去重</x:v>
      </x:c>
      <x:c r="I293" s="9" t="str">
        <x:v>1. 财务管理员为本条执行者
2. 统计日期 D 内有主播甲 2 场、主播乙 1 场成功直播；甲累计有效 3 小时、乙 2 小时</x:v>
      </x:c>
      <x:c r="J293" s="9" t="str">
        <x:v>1. 打开每日统计
2. 查询日期 D</x:v>
      </x:c>
      <x:c r="K293" s="9" t="str">
        <x:v>开播人数为 2</x:v>
      </x:c>
      <x:c r="L293" s="10" t="str"/>
      <x:c r="M293" s="10" t="str">
        <x:v>未测</x:v>
      </x:c>
      <x:c r="N293" s="10" t="str"/>
      <x:c r="O293" s="9" t="str">
        <x:v>1. 来源（当前证据）：liveshow-proto/MainBasis/统一需求文档.md；位置：第 3198 行；REQ-55f7ff02cf61、第 3199 行；REQ-d2d60905bd17、第 3192 行
2. 规则：BR-AA287BD6ADE8E3
3. 未动态验证
4. 示例账号、编号、金额与日期是本条测试数据；执行前按前置条件准备，未填写的产品决策不得自行假定。</x:v>
      </x:c>
    </x:row>
    <x:row r="294" ht="145" customHeight="1">
      <x:c r="A294" s="10" t="n">
        <x:v>293</x:v>
      </x:c>
      <x:c r="B294" s="10" t="str">
        <x:v>ADMIN-0293</x:v>
      </x:c>
      <x:c r="C294" s="10" t="str">
        <x:v>数据报表</x:v>
      </x:c>
      <x:c r="D294" s="10" t="str">
        <x:v>每日统计（财务管理员）</x:v>
      </x:c>
      <x:c r="E294" s="10" t="str">
        <x:v>功能需求</x:v>
      </x:c>
      <x:c r="F294" s="10" t="str">
        <x:v>P2</x:v>
      </x:c>
      <x:c r="G294" s="9" t="str">
        <x:v>验证每日开播人数与有效天人数分开统计</x:v>
      </x:c>
      <x:c r="H294" s="9" t="str">
        <x:v>每日有效天人数</x:v>
      </x:c>
      <x:c r="I294" s="9" t="str">
        <x:v>1. 财务管理员为本条执行者
2. 统计日期 D 内有主播甲 2 场、主播乙 1 场成功直播；甲累计有效 3 小时、乙 2 小时</x:v>
      </x:c>
      <x:c r="J294" s="9" t="str">
        <x:v>1. 打开每日统计
2. 查询日期 D</x:v>
      </x:c>
      <x:c r="K294" s="9" t="str">
        <x:v>达成有效天主播为 1</x:v>
      </x:c>
      <x:c r="L294" s="10" t="str"/>
      <x:c r="M294" s="10" t="str">
        <x:v>未测</x:v>
      </x:c>
      <x:c r="N294" s="10" t="str"/>
      <x:c r="O294" s="9" t="str">
        <x:v>1. 来源（当前证据）：liveshow-proto/MainBasis/统一需求文档.md；位置：第 3198 行；REQ-55f7ff02cf61、第 3199 行；REQ-d2d60905bd17、第 3192 行
2. 规则：BR-DFE45A7F3E64ED
3. 未动态验证
4. 示例账号、编号、金额与日期是本条测试数据；执行前按前置条件准备，未填写的产品决策不得自行假定。</x:v>
      </x:c>
    </x:row>
    <x:row r="295" ht="130" customHeight="1">
      <x:c r="A295" s="10" t="n">
        <x:v>294</x:v>
      </x:c>
      <x:c r="B295" s="10" t="str">
        <x:v>ADMIN-0294</x:v>
      </x:c>
      <x:c r="C295" s="10" t="str">
        <x:v>数据报表</x:v>
      </x:c>
      <x:c r="D295" s="10" t="str">
        <x:v>每日统计（财务管理员）</x:v>
      </x:c>
      <x:c r="E295" s="10" t="str">
        <x:v>功能需求</x:v>
      </x:c>
      <x:c r="F295" s="10" t="str">
        <x:v>P2</x:v>
      </x:c>
      <x:c r="G295" s="9" t="str">
        <x:v>验证有效时长样本10、20、30的中位数</x:v>
      </x:c>
      <x:c r="H295" s="9" t="str">
        <x:v>场次时长中位数</x:v>
      </x:c>
      <x:c r="I295" s="9" t="str">
        <x:v>1. 财务管理员为本条执行者
2. 统计日期 D 内有主播甲 2 场、主播乙 1 场成功直播；甲累计有效 3 小时、乙 2 小时
3. 独立统计日期 E 的有效场次时长仅有10、20、30分钟</x:v>
      </x:c>
      <x:c r="J295" s="9" t="str">
        <x:v>1. 打开每日统计
2. 查询日期 E
3. 查看开播时长中位数</x:v>
      </x:c>
      <x:c r="K295" s="9" t="str">
        <x:v>开播时长中位数为 20 分钟</x:v>
      </x:c>
      <x:c r="L295" s="10" t="str"/>
      <x:c r="M295" s="10" t="str">
        <x:v>未测</x:v>
      </x:c>
      <x:c r="N295" s="10" t="str"/>
      <x:c r="O295" s="9" t="str">
        <x:v>1. 来源（当前证据）：liveshow-proto/MainBasis/统一需求文档.md；位置：第 3200 行；REQ-adce72086458、第 3192 行
2. 规则：BR-E618092FD299BC
3. 未动态验证
4. 示例账号、编号、金额与日期是本条测试数据；执行前按前置条件准备，未填写的产品决策不得自行假定。</x:v>
      </x:c>
    </x:row>
    <x:row r="296" ht="130" customHeight="1">
      <x:c r="A296" s="10" t="n">
        <x:v>295</x:v>
      </x:c>
      <x:c r="B296" s="10" t="str">
        <x:v>ADMIN-0295</x:v>
      </x:c>
      <x:c r="C296" s="10" t="str">
        <x:v>数据报表</x:v>
      </x:c>
      <x:c r="D296" s="10" t="str">
        <x:v>每日统计（财务管理员）</x:v>
      </x:c>
      <x:c r="E296" s="10" t="str">
        <x:v>功能需求</x:v>
      </x:c>
      <x:c r="F296" s="10" t="str">
        <x:v>P2</x:v>
      </x:c>
      <x:c r="G296" s="9" t="str">
        <x:v>验证有效时长样本10、20、30、40的中位数</x:v>
      </x:c>
      <x:c r="H296" s="9" t="str">
        <x:v>场次时长中位数</x:v>
      </x:c>
      <x:c r="I296" s="9" t="str">
        <x:v>1. 财务管理员为本条执行者
2. 统计日期 D 内有主播甲 2 场、主播乙 1 场成功直播；甲累计有效 3 小时、乙 2 小时
3. 独立统计日期 E 的有效场次时长仅有10、20、30、40分钟</x:v>
      </x:c>
      <x:c r="J296" s="9" t="str">
        <x:v>1. 打开每日统计
2. 查询日期 E
3. 查看开播时长中位数</x:v>
      </x:c>
      <x:c r="K296" s="9" t="str">
        <x:v>开播时长中位数为 25 分钟</x:v>
      </x:c>
      <x:c r="L296" s="10" t="str"/>
      <x:c r="M296" s="10" t="str">
        <x:v>未测</x:v>
      </x:c>
      <x:c r="N296" s="10" t="str"/>
      <x:c r="O296" s="9" t="str">
        <x:v>1. 来源（当前证据）：liveshow-proto/MainBasis/统一需求文档.md；位置：第 3200 行；REQ-adce72086458、第 3192 行
2. 规则：BR-BDD69D3B9A00E5
3. 未动态验证
4. 示例账号、编号、金额与日期是本条测试数据；执行前按前置条件准备，未填写的产品决策不得自行假定。</x:v>
      </x:c>
    </x:row>
    <x:row r="297" ht="130" customHeight="1">
      <x:c r="A297" s="10" t="n">
        <x:v>296</x:v>
      </x:c>
      <x:c r="B297" s="10" t="str">
        <x:v>ADMIN-0296</x:v>
      </x:c>
      <x:c r="C297" s="10" t="str">
        <x:v>数据报表</x:v>
      </x:c>
      <x:c r="D297" s="10" t="str">
        <x:v>每日统计（财务管理员）</x:v>
      </x:c>
      <x:c r="E297" s="10" t="str">
        <x:v>异常用例</x:v>
      </x:c>
      <x:c r="F297" s="10" t="str">
        <x:v>P2</x:v>
      </x:c>
      <x:c r="G297" s="9" t="str">
        <x:v>验证有效时长样本为空的中位数</x:v>
      </x:c>
      <x:c r="H297" s="9" t="str">
        <x:v>场次时长中位数</x:v>
      </x:c>
      <x:c r="I297" s="9" t="str">
        <x:v>1. 财务管理员为本条执行者
2. 统计日期 D 内有主播甲 2 场、主播乙 1 场成功直播；甲累计有效 3 小时、乙 2 小时
3. 独立统计日期 E 的有效场次时长仅有空样本</x:v>
      </x:c>
      <x:c r="J297" s="9" t="str">
        <x:v>1. 打开每日统计
2. 查询日期 E
3. 查看开播时长中位数</x:v>
      </x:c>
      <x:c r="K297" s="9" t="str">
        <x:v>开播时长中位数为 0 分钟</x:v>
      </x:c>
      <x:c r="L297" s="10" t="str"/>
      <x:c r="M297" s="10" t="str">
        <x:v>未测</x:v>
      </x:c>
      <x:c r="N297" s="10" t="str"/>
      <x:c r="O297" s="9" t="str">
        <x:v>1. 来源（当前证据）：liveshow-proto/MainBasis/统一需求文档.md；位置：第 3200 行；REQ-adce72086458、第 3192 行
2. 规则：BR-862FE3ECDFF7CC
3. 未动态验证
4. 示例账号、编号、金额与日期是本条测试数据；执行前按前置条件准备，未填写的产品决策不得自行假定。</x:v>
      </x:c>
    </x:row>
    <x:row r="298" ht="130" customHeight="1">
      <x:c r="A298" s="10" t="n">
        <x:v>297</x:v>
      </x:c>
      <x:c r="B298" s="10" t="str">
        <x:v>ADMIN-0297</x:v>
      </x:c>
      <x:c r="C298" s="10" t="str">
        <x:v>数据报表</x:v>
      </x:c>
      <x:c r="D298" s="10" t="str">
        <x:v>用户活跃汇总（每日）（财务管理员）</x:v>
      </x:c>
      <x:c r="E298" s="10" t="str">
        <x:v>功能需求</x:v>
      </x:c>
      <x:c r="F298" s="10" t="str">
        <x:v>P2</x:v>
      </x:c>
      <x:c r="G298" s="9" t="str">
        <x:v>验证用户活跃汇总累加每日去重数</x:v>
      </x:c>
      <x:c r="H298" s="9" t="str">
        <x:v>登录用户汇总</x:v>
      </x:c>
      <x:c r="I298" s="9" t="str">
        <x:v>1. 财务管理员为本条执行者
2. D 日登录用户甲、乙，D+1 日登录用户甲、丙，各日账号均只按一人统计</x:v>
      </x:c>
      <x:c r="J298" s="9" t="str">
        <x:v>1. 打开用户活跃汇总
2. 查询 D 至 D+1</x:v>
      </x:c>
      <x:c r="K298" s="9" t="str">
        <x:v>登录用户汇总 = 4 人次</x:v>
      </x:c>
      <x:c r="L298" s="10" t="str"/>
      <x:c r="M298" s="10" t="str">
        <x:v>未测</x:v>
      </x:c>
      <x:c r="N298" s="10" t="str"/>
      <x:c r="O298" s="9" t="str">
        <x:v>1. 来源（当前证据）：liveshow-proto/MainBasis/统一需求文档.md；位置：第 3212 行；REQ-b3a45ea748b5、第 3206 行
2. 规则：BR-0F2E3CD9CBD65B
3. 未动态验证
4. 示例账号、编号、金额与日期是本条测试数据；执行前按前置条件准备，未填写的产品决策不得自行假定。</x:v>
      </x:c>
    </x:row>
    <x:row r="299" ht="145" customHeight="1">
      <x:c r="A299" s="10" t="n">
        <x:v>298</x:v>
      </x:c>
      <x:c r="B299" s="10" t="str">
        <x:v>ADMIN-0298</x:v>
      </x:c>
      <x:c r="C299" s="10" t="str">
        <x:v>数据报表</x:v>
      </x:c>
      <x:c r="D299" s="10" t="str">
        <x:v>用户活跃汇总（每日）（财务管理员）</x:v>
      </x:c>
      <x:c r="E299" s="10" t="str">
        <x:v>功能需求</x:v>
      </x:c>
      <x:c r="F299" s="10" t="str">
        <x:v>P1</x:v>
      </x:c>
      <x:c r="G299" s="9" t="str">
        <x:v>验证登录用户分为新用户和老用户</x:v>
      </x:c>
      <x:c r="H299" s="9" t="str">
        <x:v>新登录用户</x:v>
      </x:c>
      <x:c r="I299" s="9" t="str">
        <x:v>1. 财务管理员为本条执行者
2. D 日登录用户甲、乙，D+1 日登录用户甲、丙，各日账号均只按一人统计
3. D 日甲当天注册，乙在 D-1 注册</x:v>
      </x:c>
      <x:c r="J299" s="9" t="str">
        <x:v>1. 打开用户活跃汇总
2. 查询 D</x:v>
      </x:c>
      <x:c r="K299" s="9" t="str">
        <x:v>新用户为 1</x:v>
      </x:c>
      <x:c r="L299" s="10" t="str"/>
      <x:c r="M299" s="10" t="str">
        <x:v>未测</x:v>
      </x:c>
      <x:c r="N299" s="10" t="str"/>
      <x:c r="O299" s="9" t="str">
        <x:v>1. 来源（当前证据）：liveshow-proto/MainBasis/统一需求文档.md；位置：第 3209 行；REQ-5c345dc600bc、第 3210 行；REQ-ef094ab51c2e、第 3206 行
2. 规则：BR-57B45F28E80F9F
3. 未动态验证
4. 示例账号、编号、金额与日期是本条测试数据；执行前按前置条件准备，未填写的产品决策不得自行假定。</x:v>
      </x:c>
    </x:row>
    <x:row r="300" ht="145" customHeight="1">
      <x:c r="A300" s="10" t="n">
        <x:v>299</x:v>
      </x:c>
      <x:c r="B300" s="10" t="str">
        <x:v>ADMIN-0299</x:v>
      </x:c>
      <x:c r="C300" s="10" t="str">
        <x:v>数据报表</x:v>
      </x:c>
      <x:c r="D300" s="10" t="str">
        <x:v>用户活跃汇总（每日）（财务管理员）</x:v>
      </x:c>
      <x:c r="E300" s="10" t="str">
        <x:v>功能需求</x:v>
      </x:c>
      <x:c r="F300" s="10" t="str">
        <x:v>P1</x:v>
      </x:c>
      <x:c r="G300" s="9" t="str">
        <x:v>验证登录用户分为新用户和老用户</x:v>
      </x:c>
      <x:c r="H300" s="9" t="str">
        <x:v>老登录用户</x:v>
      </x:c>
      <x:c r="I300" s="9" t="str">
        <x:v>1. 财务管理员为本条执行者
2. D 日登录用户甲、乙，D+1 日登录用户甲、丙，各日账号均只按一人统计
3. D 日甲当天注册，乙在 D-1 注册</x:v>
      </x:c>
      <x:c r="J300" s="9" t="str">
        <x:v>1. 打开用户活跃汇总
2. 查询 D</x:v>
      </x:c>
      <x:c r="K300" s="9" t="str">
        <x:v>老用户为 1</x:v>
      </x:c>
      <x:c r="L300" s="10" t="str"/>
      <x:c r="M300" s="10" t="str">
        <x:v>未测</x:v>
      </x:c>
      <x:c r="N300" s="10" t="str"/>
      <x:c r="O300" s="9" t="str">
        <x:v>1. 来源（当前证据）：liveshow-proto/MainBasis/统一需求文档.md；位置：第 3209 行；REQ-5c345dc600bc、第 3210 行；REQ-ef094ab51c2e、第 3206 行
2. 规则：BR-636DC2CDEAB14E
3. 未动态验证
4. 示例账号、编号、金额与日期是本条测试数据；执行前按前置条件准备，未填写的产品决策不得自行假定。</x:v>
      </x:c>
    </x:row>
    <x:row r="301" ht="175" customHeight="1">
      <x:c r="A301" s="10" t="n">
        <x:v>300</x:v>
      </x:c>
      <x:c r="B301" s="10" t="str">
        <x:v>ADMIN-0300</x:v>
      </x:c>
      <x:c r="C301" s="10" t="str">
        <x:v>数据报表</x:v>
      </x:c>
      <x:c r="D301" s="10" t="str">
        <x:v>主播活跃汇总（每日）（财务管理员）</x:v>
      </x:c>
      <x:c r="E301" s="10" t="str">
        <x:v>功能需求</x:v>
      </x:c>
      <x:c r="F301" s="10" t="str">
        <x:v>P2</x:v>
      </x:c>
      <x:c r="G301" s="9" t="str">
        <x:v>验证主播开播率使用有效主播总数</x:v>
      </x:c>
      <x:c r="H301" s="9" t="str">
        <x:v>开播率</x:v>
      </x:c>
      <x:c r="I301" s="9" t="str">
        <x:v>1. 财务管理员为本条执行者
2. 日期 D 有 4 名有效主播，甲和乙成功开播，甲开了两场，乙开了一场</x:v>
      </x:c>
      <x:c r="J301" s="9" t="str">
        <x:v>1. 打开主播活跃汇总
2. 查询日期 D</x:v>
      </x:c>
      <x:c r="K301" s="9" t="str">
        <x:v>开播率 = 50 %</x:v>
      </x:c>
      <x:c r="L301" s="10" t="str"/>
      <x:c r="M301" s="10" t="str">
        <x:v>未测</x:v>
      </x:c>
      <x:c r="N301" s="10" t="str"/>
      <x:c r="O301" s="9" t="str">
        <x:v>1. 来源（当前证据）：liveshow-proto/MainBasis/统一需求文档.md；位置：第 3219 行；REQ-01823152ed4a、第 3220 行；REQ-667d9863e54f、第 3222 行；REQ-6415332bcd64、第 3223 行；REQ-86913d3581d4、第 3224 行；REQ-6eb7309c21ff、第 3216 行
2. 规则：BR-8376AB0B66F922
3. 未动态验证
4. 示例账号、编号、金额与日期是本条测试数据；执行前按前置条件准备，未填写的产品决策不得自行假定。</x:v>
      </x:c>
    </x:row>
    <x:row r="302" ht="175" customHeight="1">
      <x:c r="A302" s="10" t="n">
        <x:v>301</x:v>
      </x:c>
      <x:c r="B302" s="10" t="str">
        <x:v>ADMIN-0301</x:v>
      </x:c>
      <x:c r="C302" s="10" t="str">
        <x:v>数据报表</x:v>
      </x:c>
      <x:c r="D302" s="10" t="str">
        <x:v>主播活跃汇总（每日）（财务管理员）</x:v>
      </x:c>
      <x:c r="E302" s="10" t="str">
        <x:v>功能需求</x:v>
      </x:c>
      <x:c r="F302" s="10" t="str">
        <x:v>P2</x:v>
      </x:c>
      <x:c r="G302" s="9" t="str">
        <x:v>验证主播开播率使用有效主播总数</x:v>
      </x:c>
      <x:c r="H302" s="9" t="str">
        <x:v>开播场次数</x:v>
      </x:c>
      <x:c r="I302" s="9" t="str">
        <x:v>1. 财务管理员为本条执行者
2. 日期 D 有 4 名有效主播，甲和乙成功开播，甲开了两场，乙开了一场</x:v>
      </x:c>
      <x:c r="J302" s="9" t="str">
        <x:v>1. 打开主播活跃汇总
2. 查询日期 D</x:v>
      </x:c>
      <x:c r="K302" s="9" t="str">
        <x:v>开播场次为 3</x:v>
      </x:c>
      <x:c r="L302" s="10" t="str"/>
      <x:c r="M302" s="10" t="str">
        <x:v>未测</x:v>
      </x:c>
      <x:c r="N302" s="10" t="str"/>
      <x:c r="O302" s="9" t="str">
        <x:v>1. 来源（当前证据）：liveshow-proto/MainBasis/统一需求文档.md；位置：第 3219 行；REQ-01823152ed4a、第 3220 行；REQ-667d9863e54f、第 3222 行；REQ-6415332bcd64、第 3223 行；REQ-86913d3581d4、第 3224 行；REQ-6eb7309c21ff、第 3216 行
2. 规则：BR-2451348C001A5C
3. 未动态验证
4. 示例账号、编号、金额与日期是本条测试数据；执行前按前置条件准备，未填写的产品决策不得自行假定。</x:v>
      </x:c>
    </x:row>
    <x:row r="303" ht="130" customHeight="1">
      <x:c r="A303" s="10" t="n">
        <x:v>302</x:v>
      </x:c>
      <x:c r="B303" s="10" t="str">
        <x:v>ADMIN-0302</x:v>
      </x:c>
      <x:c r="C303" s="10" t="str">
        <x:v>数据报表</x:v>
      </x:c>
      <x:c r="D303" s="10" t="str">
        <x:v>主播活跃汇总（每日）（财务管理员）</x:v>
      </x:c>
      <x:c r="E303" s="10" t="str">
        <x:v>功能需求</x:v>
      </x:c>
      <x:c r="F303" s="10" t="str">
        <x:v>P2</x:v>
      </x:c>
      <x:c r="G303" s="9" t="str">
        <x:v>验证同场多次连麦只统计一次连麦场次</x:v>
      </x:c>
      <x:c r="H303" s="9" t="str">
        <x:v>连麦场次去重</x:v>
      </x:c>
      <x:c r="I303" s="9" t="str">
        <x:v>1. 财务管理员为本条执行者
2. 日期 D 有 4 名有效主播，甲和乙成功开播，甲开了两场，乙开了一场
3. 甲的 S001 发生两次有效连麦，S002 未连麦，乙 S003 连麦一次</x:v>
      </x:c>
      <x:c r="J303" s="9" t="str">
        <x:v>1. 打开主播活跃汇总
2. 查询日期 D</x:v>
      </x:c>
      <x:c r="K303" s="9" t="str">
        <x:v>连麦场次为 2</x:v>
      </x:c>
      <x:c r="L303" s="10" t="str"/>
      <x:c r="M303" s="10" t="str">
        <x:v>未测</x:v>
      </x:c>
      <x:c r="N303" s="10" t="str"/>
      <x:c r="O303" s="9" t="str">
        <x:v>1. 来源（当前证据）：liveshow-proto/MainBasis/统一需求文档.md；位置：第 3223 行；REQ-86913d3581d4、第 3216 行
2. 规则：BR-0487308014FF08
3. 未动态验证
4. 示例账号、编号、金额与日期是本条测试数据；执行前按前置条件准备，未填写的产品决策不得自行假定。</x:v>
      </x:c>
    </x:row>
    <x:row r="304" ht="160" customHeight="1">
      <x:c r="A304" s="10" t="n">
        <x:v>303</x:v>
      </x:c>
      <x:c r="B304" s="10" t="str">
        <x:v>ADMIN-0303</x:v>
      </x:c>
      <x:c r="C304" s="10" t="str">
        <x:v>数据报表</x:v>
      </x:c>
      <x:c r="D304" s="10" t="str">
        <x:v>直播间互动汇总（每日）（财务管理员）</x:v>
      </x:c>
      <x:c r="E304" s="10" t="str">
        <x:v>功能需求</x:v>
      </x:c>
      <x:c r="F304" s="10" t="str">
        <x:v>P2</x:v>
      </x:c>
      <x:c r="G304" s="9" t="str">
        <x:v>验证直播互动观众人数按账号去重</x:v>
      </x:c>
      <x:c r="H304" s="9" t="str">
        <x:v>互动观众去重</x:v>
      </x:c>
      <x:c r="I304" s="9" t="str">
        <x:v>1. 财务管理员为本条执行者
2. 日期 D 仅有真实观众甲和乙；甲成功进入两次、乙一次，累计有效观看 190 秒</x:v>
      </x:c>
      <x:c r="J304" s="9" t="str">
        <x:v>1. 打开直播间互动汇总
2. 查询日期 D</x:v>
      </x:c>
      <x:c r="K304" s="9" t="str">
        <x:v>观众人数为 2</x:v>
      </x:c>
      <x:c r="L304" s="10" t="str"/>
      <x:c r="M304" s="10" t="str">
        <x:v>未测</x:v>
      </x:c>
      <x:c r="N304" s="10" t="str"/>
      <x:c r="O304" s="9" t="str">
        <x:v>1. 来源（当前证据）：liveshow-proto/MainBasis/统一需求文档.md；位置：第 3230 行；REQ-a58ace341446、第 3232 行；REQ-231162c6d51d、第 3233 行；REQ-0a2cea75b254、第 3228 行
2. 规则：BR-A7CB6D1A14C052
3. 未动态验证
4. 示例账号、编号、金额与日期是本条测试数据；执行前按前置条件准备，未填写的产品决策不得自行假定。</x:v>
      </x:c>
    </x:row>
    <x:row r="305" ht="160" customHeight="1">
      <x:c r="A305" s="10" t="n">
        <x:v>304</x:v>
      </x:c>
      <x:c r="B305" s="10" t="str">
        <x:v>ADMIN-0304</x:v>
      </x:c>
      <x:c r="C305" s="10" t="str">
        <x:v>数据报表</x:v>
      </x:c>
      <x:c r="D305" s="10" t="str">
        <x:v>直播间互动汇总（每日）（财务管理员）</x:v>
      </x:c>
      <x:c r="E305" s="10" t="str">
        <x:v>功能需求</x:v>
      </x:c>
      <x:c r="F305" s="10" t="str">
        <x:v>P2</x:v>
      </x:c>
      <x:c r="G305" s="9" t="str">
        <x:v>验证有效观看时长转换分钟并四舍五入</x:v>
      </x:c>
      <x:c r="H305" s="9" t="str">
        <x:v>观看时长</x:v>
      </x:c>
      <x:c r="I305" s="9" t="str">
        <x:v>1. 财务管理员为本条执行者
2. 日期 D 仅有真实观众甲和乙；甲成功进入两次、乙一次，累计有效观看 190 秒</x:v>
      </x:c>
      <x:c r="J305" s="9" t="str">
        <x:v>1. 打开直播间互动汇总
2. 查询日期 D</x:v>
      </x:c>
      <x:c r="K305" s="9" t="str">
        <x:v>观看时长 = 3 分钟</x:v>
      </x:c>
      <x:c r="L305" s="10" t="str"/>
      <x:c r="M305" s="10" t="str">
        <x:v>未测</x:v>
      </x:c>
      <x:c r="N305" s="10" t="str"/>
      <x:c r="O305" s="9" t="str">
        <x:v>1. 来源（当前证据）：liveshow-proto/MainBasis/统一需求文档.md；位置：第 3231 行；REQ-4ff72f9d6077、第 3232 行；REQ-231162c6d51d、第 3233 行；REQ-0a2cea75b254、第 3228 行
2. 规则：BR-C20641E8CA55E7
3. 未动态验证
4. 示例账号、编号、金额与日期是本条测试数据；执行前按前置条件准备，未填写的产品决策不得自行假定。</x:v>
      </x:c>
    </x:row>
    <x:row r="306" ht="160" customHeight="1">
      <x:c r="A306" s="10" t="n">
        <x:v>305</x:v>
      </x:c>
      <x:c r="B306" s="10" t="str">
        <x:v>ADMIN-0305</x:v>
      </x:c>
      <x:c r="C306" s="10" t="str">
        <x:v>数据报表</x:v>
      </x:c>
      <x:c r="D306" s="10" t="str">
        <x:v>直播间互动汇总（每日）（财务管理员）</x:v>
      </x:c>
      <x:c r="E306" s="10" t="str">
        <x:v>功能需求</x:v>
      </x:c>
      <x:c r="F306" s="10" t="str">
        <x:v>P2</x:v>
      </x:c>
      <x:c r="G306" s="9" t="str">
        <x:v>验证有效观看时长转换分钟并四舍五入</x:v>
      </x:c>
      <x:c r="H306" s="9" t="str">
        <x:v>人均观看时长</x:v>
      </x:c>
      <x:c r="I306" s="9" t="str">
        <x:v>1. 财务管理员为本条执行者
2. 日期 D 仅有真实观众甲和乙；甲成功进入两次、乙一次，累计有效观看 190 秒</x:v>
      </x:c>
      <x:c r="J306" s="9" t="str">
        <x:v>1. 打开直播间互动汇总
2. 查询日期 D</x:v>
      </x:c>
      <x:c r="K306" s="9" t="str">
        <x:v>人均观看时长 = 2 分钟</x:v>
      </x:c>
      <x:c r="L306" s="10" t="str"/>
      <x:c r="M306" s="10" t="str">
        <x:v>未测</x:v>
      </x:c>
      <x:c r="N306" s="10" t="str"/>
      <x:c r="O306" s="9" t="str">
        <x:v>1. 来源（当前证据）：liveshow-proto/MainBasis/统一需求文档.md；位置：第 3231 行；REQ-4ff72f9d6077、第 3232 行；REQ-231162c6d51d、第 3233 行；REQ-0a2cea75b254、第 3228 行
2. 规则：BR-A6538B5D222314
3. 未动态验证
4. 示例账号、编号、金额与日期是本条测试数据；执行前按前置条件准备，未填写的产品决策不得自行假定。</x:v>
      </x:c>
    </x:row>
    <x:row r="307" ht="160" customHeight="1">
      <x:c r="A307" s="10" t="n">
        <x:v>306</x:v>
      </x:c>
      <x:c r="B307" s="10" t="str">
        <x:v>ADMIN-0306</x:v>
      </x:c>
      <x:c r="C307" s="10" t="str">
        <x:v>数据报表</x:v>
      </x:c>
      <x:c r="D307" s="10" t="str">
        <x:v>直播间互动汇总（每日）（财务管理员）</x:v>
      </x:c>
      <x:c r="E307" s="10" t="str">
        <x:v>功能需求</x:v>
      </x:c>
      <x:c r="F307" s="10" t="str">
        <x:v>P2</x:v>
      </x:c>
      <x:c r="G307" s="9" t="str">
        <x:v>验证有效观看时长转换分钟并四舍五入</x:v>
      </x:c>
      <x:c r="H307" s="9" t="str">
        <x:v>直播间访问率</x:v>
      </x:c>
      <x:c r="I307" s="9" t="str">
        <x:v>1. 财务管理员为本条执行者
2. 日期 D 仅有真实观众甲和乙；甲成功进入两次、乙一次，累计有效观看 190 秒</x:v>
      </x:c>
      <x:c r="J307" s="9" t="str">
        <x:v>1. 打开直播间互动汇总
2. 查询日期 D</x:v>
      </x:c>
      <x:c r="K307" s="9" t="str">
        <x:v>直播间访问率 = 66.7 %</x:v>
      </x:c>
      <x:c r="L307" s="10" t="str"/>
      <x:c r="M307" s="10" t="str">
        <x:v>未测</x:v>
      </x:c>
      <x:c r="N307" s="10" t="str"/>
      <x:c r="O307" s="9" t="str">
        <x:v>1. 来源（当前证据）：liveshow-proto/MainBasis/统一需求文档.md；位置：第 3231 行；REQ-4ff72f9d6077、第 3232 行；REQ-231162c6d51d、第 3233 行；REQ-0a2cea75b254、第 3228 行
2. 规则：BR-671A8E0BDF0E19
3. 未动态验证
4. 示例账号、编号、金额与日期是本条测试数据；执行前按前置条件准备，未填写的产品决策不得自行假定。</x:v>
      </x:c>
    </x:row>
    <x:row r="308" ht="145" customHeight="1">
      <x:c r="A308" s="10" t="n">
        <x:v>307</x:v>
      </x:c>
      <x:c r="B308" s="10" t="str">
        <x:v>ADMIN-0307</x:v>
      </x:c>
      <x:c r="C308" s="10" t="str">
        <x:v>数据报表</x:v>
      </x:c>
      <x:c r="D308" s="10" t="str">
        <x:v>直播间互动汇总（每日）（财务管理员）</x:v>
      </x:c>
      <x:c r="E308" s="10" t="str">
        <x:v>功能需求</x:v>
      </x:c>
      <x:c r="F308" s="10" t="str">
        <x:v>P2</x:v>
      </x:c>
      <x:c r="G308" s="9" t="str">
        <x:v>验证没有观众时比率归零</x:v>
      </x:c>
      <x:c r="H308" s="9" t="str">
        <x:v>人均时长零分母</x:v>
      </x:c>
      <x:c r="I308" s="9" t="str">
        <x:v>1. 财务管理员为本条执行者
2. 日期 D 仅有真实观众甲和乙；甲成功进入两次、乙一次，累计有效观看 190 秒
3. 独立日期 E 没有观众、没有访问事件和观看时长</x:v>
      </x:c>
      <x:c r="J308" s="9" t="str">
        <x:v>1. 打开直播间互动汇总
2. 查询日期 E</x:v>
      </x:c>
      <x:c r="K308" s="9" t="str">
        <x:v>人均观看时长为 0</x:v>
      </x:c>
      <x:c r="L308" s="10" t="str"/>
      <x:c r="M308" s="10" t="str">
        <x:v>未测</x:v>
      </x:c>
      <x:c r="N308" s="10" t="str"/>
      <x:c r="O308" s="9" t="str">
        <x:v>1. 来源（当前证据）：liveshow-proto/MainBasis/统一需求文档.md；位置：第 3232 行；REQ-231162c6d51d、第 3233 行；REQ-0a2cea75b254、第 3228 行
2. 规则：BR-0B263897C2280F
3. 未动态验证
4. 示例账号、编号、金额与日期是本条测试数据；执行前按前置条件准备，未填写的产品决策不得自行假定。</x:v>
      </x:c>
    </x:row>
    <x:row r="309" ht="145" customHeight="1">
      <x:c r="A309" s="10" t="n">
        <x:v>308</x:v>
      </x:c>
      <x:c r="B309" s="10" t="str">
        <x:v>ADMIN-0308</x:v>
      </x:c>
      <x:c r="C309" s="10" t="str">
        <x:v>数据报表</x:v>
      </x:c>
      <x:c r="D309" s="10" t="str">
        <x:v>直播间互动汇总（每日）（财务管理员）</x:v>
      </x:c>
      <x:c r="E309" s="10" t="str">
        <x:v>功能需求</x:v>
      </x:c>
      <x:c r="F309" s="10" t="str">
        <x:v>P2</x:v>
      </x:c>
      <x:c r="G309" s="9" t="str">
        <x:v>验证没有观众时比率归零</x:v>
      </x:c>
      <x:c r="H309" s="9" t="str">
        <x:v>访问率零分母</x:v>
      </x:c>
      <x:c r="I309" s="9" t="str">
        <x:v>1. 财务管理员为本条执行者
2. 日期 D 仅有真实观众甲和乙；甲成功进入两次、乙一次，累计有效观看 190 秒
3. 独立日期 E 没有观众、没有访问事件和观看时长</x:v>
      </x:c>
      <x:c r="J309" s="9" t="str">
        <x:v>1. 打开直播间互动汇总
2. 查询日期 E</x:v>
      </x:c>
      <x:c r="K309" s="9" t="str">
        <x:v>直播间访问率为 0</x:v>
      </x:c>
      <x:c r="L309" s="10" t="str"/>
      <x:c r="M309" s="10" t="str">
        <x:v>未测</x:v>
      </x:c>
      <x:c r="N309" s="10" t="str"/>
      <x:c r="O309" s="9" t="str">
        <x:v>1. 来源（当前证据）：liveshow-proto/MainBasis/统一需求文档.md；位置：第 3232 行；REQ-231162c6d51d、第 3233 行；REQ-0a2cea75b254、第 3228 行
2. 规则：BR-B670DCF8D6E021
3. 未动态验证
4. 示例账号、编号、金额与日期是本条测试数据；执行前按前置条件准备，未填写的产品决策不得自行假定。</x:v>
      </x:c>
    </x:row>
    <x:row r="310" ht="160" customHeight="1">
      <x:c r="A310" s="10" t="n">
        <x:v>309</x:v>
      </x:c>
      <x:c r="B310" s="10" t="str">
        <x:v>ADMIN-0309</x:v>
      </x:c>
      <x:c r="C310" s="10" t="str">
        <x:v>数据报表</x:v>
      </x:c>
      <x:c r="D310" s="10" t="str">
        <x:v>充值消费汇总（每日）（财务管理员）</x:v>
      </x:c>
      <x:c r="E310" s="10" t="str">
        <x:v>功能需求</x:v>
      </x:c>
      <x:c r="F310" s="10" t="str">
        <x:v>P1</x:v>
      </x:c>
      <x:c r="G310" s="9" t="str">
        <x:v>验证充值消费日报净消费口径</x:v>
      </x:c>
      <x:c r="H310" s="9" t="str">
        <x:v>消费金币</x:v>
      </x:c>
      <x:c r="I310" s="9" t="str">
        <x:v>1. 财务管理员为本条执行者
2. 日期 D 有成功充值基础金币 1000、套餐赠送 100、系统任务奖励 50，普通/定制/门票扣减合计 200、幸运礼物扣减 100、返奖 80；退款扣回 30 单列</x:v>
      </x:c>
      <x:c r="J310" s="9" t="str">
        <x:v>1. 打开充值消费汇总
2. 查询日期 D</x:v>
      </x:c>
      <x:c r="K310" s="9" t="str">
        <x:v>消费金币 = 220 金币</x:v>
      </x:c>
      <x:c r="L310" s="10" t="str"/>
      <x:c r="M310" s="10" t="str">
        <x:v>未测</x:v>
      </x:c>
      <x:c r="N310" s="10" t="str"/>
      <x:c r="O310" s="9" t="str">
        <x:v>1. 来源（当前证据）：liveshow-proto/MainBasis/统一需求文档.md；位置：第 3255 行；REQ-d34b8527989d、第 3256 行；REQ-07896c71f018、第 3257 行；REQ-6743a0d2126a、第 3249 行
2. 规则：BR-BB752FC1A41F5E
3. 未动态验证
4. 示例账号、编号、金额与日期是本条测试数据；执行前按前置条件准备，未填写的产品决策不得自行假定。</x:v>
      </x:c>
    </x:row>
    <x:row r="311" ht="160" customHeight="1">
      <x:c r="A311" s="10" t="n">
        <x:v>310</x:v>
      </x:c>
      <x:c r="B311" s="10" t="str">
        <x:v>ADMIN-0310</x:v>
      </x:c>
      <x:c r="C311" s="10" t="str">
        <x:v>数据报表</x:v>
      </x:c>
      <x:c r="D311" s="10" t="str">
        <x:v>充值消费汇总（每日）（财务管理员）</x:v>
      </x:c>
      <x:c r="E311" s="10" t="str">
        <x:v>功能需求</x:v>
      </x:c>
      <x:c r="F311" s="10" t="str">
        <x:v>P1</x:v>
      </x:c>
      <x:c r="G311" s="9" t="str">
        <x:v>验证充值消费日报净消费口径</x:v>
      </x:c>
      <x:c r="H311" s="9" t="str">
        <x:v>金币净增量</x:v>
      </x:c>
      <x:c r="I311" s="9" t="str">
        <x:v>1. 财务管理员为本条执行者
2. 日期 D 有成功充值基础金币 1000、套餐赠送 100、系统任务奖励 50，普通/定制/门票扣减合计 200、幸运礼物扣减 100、返奖 80；退款扣回 30 单列</x:v>
      </x:c>
      <x:c r="J311" s="9" t="str">
        <x:v>1. 打开充值消费汇总
2. 查询日期 D</x:v>
      </x:c>
      <x:c r="K311" s="9" t="str">
        <x:v>金币净增量 = 930 金币</x:v>
      </x:c>
      <x:c r="L311" s="10" t="str"/>
      <x:c r="M311" s="10" t="str">
        <x:v>未测</x:v>
      </x:c>
      <x:c r="N311" s="10" t="str"/>
      <x:c r="O311" s="9" t="str">
        <x:v>1. 来源（当前证据）：liveshow-proto/MainBasis/统一需求文档.md；位置：第 3255 行；REQ-d34b8527989d、第 3256 行；REQ-07896c71f018、第 3257 行；REQ-6743a0d2126a、第 3249 行
2. 规则：BR-5602304EDB8E70
3. 未动态验证
4. 示例账号、编号、金额与日期是本条测试数据；执行前按前置条件准备，未填写的产品决策不得自行假定。</x:v>
      </x:c>
    </x:row>
    <x:row r="312" ht="175" customHeight="1">
      <x:c r="A312" s="10" t="n">
        <x:v>311</x:v>
      </x:c>
      <x:c r="B312" s="10" t="str">
        <x:v>ADMIN-0311</x:v>
      </x:c>
      <x:c r="C312" s="10" t="str">
        <x:v>数据报表</x:v>
      </x:c>
      <x:c r="D312" s="10" t="str">
        <x:v>主播业绩分成报表（财务管理员）</x:v>
      </x:c>
      <x:c r="E312" s="10" t="str">
        <x:v>功能需求</x:v>
      </x:c>
      <x:c r="F312" s="10" t="str">
        <x:v>P2</x:v>
      </x:c>
      <x:c r="G312" s="9" t="str">
        <x:v>验证主播业绩报表统计天数包含起止日</x:v>
      </x:c>
      <x:c r="H312" s="9" t="str">
        <x:v>统计自然日数量</x:v>
      </x:c>
      <x:c r="I312" s="9" t="str">
        <x:v>1. 财务管理员为本条执行者
2. 主播甲日期 D 至 D+2：普通收益100、定制收益200、门票收益300、幸运礼物价值1000且当时比例1%；仅 D 和 D+2 有效直播达到3小时</x:v>
      </x:c>
      <x:c r="J312" s="9" t="str">
        <x:v>1. 打开主播业绩分成报表
2. 查询 D 至 D+2 的主播甲</x:v>
      </x:c>
      <x:c r="K312" s="9" t="str">
        <x:v>统计天数为 3</x:v>
      </x:c>
      <x:c r="L312" s="10" t="str"/>
      <x:c r="M312" s="10" t="str">
        <x:v>未测</x:v>
      </x:c>
      <x:c r="N312" s="10" t="str"/>
      <x:c r="O312" s="9" t="str">
        <x:v>1. 来源（当前证据）：liveshow-proto/MainBasis/统一需求文档.md；位置：第 3282 行；REQ-3b3683ac9f93、第 3283 行；REQ-8c1da7d90b54、第 3286 行；REQ-9ece8049f49d、第 3287 行；REQ-46bc78a812fc、第 3280 行
2. 规则：BR-1DD268B84AAF33
3. 未动态验证
4. 示例账号、编号、金额与日期是本条测试数据；执行前按前置条件准备，未填写的产品决策不得自行假定。</x:v>
      </x:c>
    </x:row>
    <x:row r="313" ht="175" customHeight="1">
      <x:c r="A313" s="10" t="n">
        <x:v>312</x:v>
      </x:c>
      <x:c r="B313" s="10" t="str">
        <x:v>ADMIN-0312</x:v>
      </x:c>
      <x:c r="C313" s="10" t="str">
        <x:v>数据报表</x:v>
      </x:c>
      <x:c r="D313" s="10" t="str">
        <x:v>主播业绩分成报表（财务管理员）</x:v>
      </x:c>
      <x:c r="E313" s="10" t="str">
        <x:v>功能需求</x:v>
      </x:c>
      <x:c r="F313" s="10" t="str">
        <x:v>P2</x:v>
      </x:c>
      <x:c r="G313" s="9" t="str">
        <x:v>验证主播业绩报表统计天数包含起止日</x:v>
      </x:c>
      <x:c r="H313" s="9" t="str">
        <x:v>有效自然日数量</x:v>
      </x:c>
      <x:c r="I313" s="9" t="str">
        <x:v>1. 财务管理员为本条执行者
2. 主播甲日期 D 至 D+2：普通收益100、定制收益200、门票收益300、幸运礼物价值1000且当时比例1%；仅 D 和 D+2 有效直播达到3小时</x:v>
      </x:c>
      <x:c r="J313" s="9" t="str">
        <x:v>1. 打开主播业绩分成报表
2. 查询 D 至 D+2 的主播甲</x:v>
      </x:c>
      <x:c r="K313" s="9" t="str">
        <x:v>达标天数为 2</x:v>
      </x:c>
      <x:c r="L313" s="10" t="str"/>
      <x:c r="M313" s="10" t="str">
        <x:v>未测</x:v>
      </x:c>
      <x:c r="N313" s="10" t="str"/>
      <x:c r="O313" s="9" t="str">
        <x:v>1. 来源（当前证据）：liveshow-proto/MainBasis/统一需求文档.md；位置：第 3282 行；REQ-3b3683ac9f93、第 3283 行；REQ-8c1da7d90b54、第 3286 行；REQ-9ece8049f49d、第 3287 行；REQ-46bc78a812fc、第 3280 行
2. 规则：BR-9E4A3E7041EE71
3. 未动态验证
4. 示例账号、编号、金额与日期是本条测试数据；执行前按前置条件准备，未填写的产品决策不得自行假定。</x:v>
      </x:c>
    </x:row>
    <x:row r="314" ht="175" customHeight="1">
      <x:c r="A314" s="10" t="n">
        <x:v>313</x:v>
      </x:c>
      <x:c r="B314" s="10" t="str">
        <x:v>ADMIN-0313</x:v>
      </x:c>
      <x:c r="C314" s="10" t="str">
        <x:v>数据报表</x:v>
      </x:c>
      <x:c r="D314" s="10" t="str">
        <x:v>主播业绩分成报表（财务管理员）</x:v>
      </x:c>
      <x:c r="E314" s="10" t="str">
        <x:v>功能需求</x:v>
      </x:c>
      <x:c r="F314" s="10" t="str">
        <x:v>P2</x:v>
      </x:c>
      <x:c r="G314" s="9" t="str">
        <x:v>验证主播业绩报表统计天数包含起止日</x:v>
      </x:c>
      <x:c r="H314" s="9" t="str">
        <x:v>主播收益</x:v>
      </x:c>
      <x:c r="I314" s="9" t="str">
        <x:v>1. 财务管理员为本条执行者
2. 主播甲日期 D 至 D+2：普通收益100、定制收益200、门票收益300、幸运礼物价值1000且当时比例1%；仅 D 和 D+2 有效直播达到3小时</x:v>
      </x:c>
      <x:c r="J314" s="9" t="str">
        <x:v>1. 打开主播业绩分成报表
2. 查询 D 至 D+2 的主播甲</x:v>
      </x:c>
      <x:c r="K314" s="9" t="str">
        <x:v>主播收益 = 610 金币</x:v>
      </x:c>
      <x:c r="L314" s="10" t="str"/>
      <x:c r="M314" s="10" t="str">
        <x:v>未测</x:v>
      </x:c>
      <x:c r="N314" s="10" t="str"/>
      <x:c r="O314" s="9" t="str">
        <x:v>1. 来源（当前证据）：liveshow-proto/MainBasis/统一需求文档.md；位置：第 3282 行；REQ-3b3683ac9f93、第 3283 行；REQ-8c1da7d90b54、第 3286 行；REQ-9ece8049f49d、第 3287 行；REQ-46bc78a812fc、第 3280 行
2. 规则：BR-0E97F477DECF4C
3. 未动态验证
4. 示例账号、编号、金额与日期是本条测试数据；执行前按前置条件准备，未填写的产品决策不得自行假定。</x:v>
      </x:c>
    </x:row>
    <x:row r="315" ht="130" customHeight="1">
      <x:c r="A315" s="10" t="n">
        <x:v>314</x:v>
      </x:c>
      <x:c r="B315" s="10" t="str">
        <x:v>ADMIN-0314</x:v>
      </x:c>
      <x:c r="C315" s="10" t="str">
        <x:v>数据报表</x:v>
      </x:c>
      <x:c r="D315" s="10" t="str">
        <x:v>主播业绩分成报表（财务管理员）</x:v>
      </x:c>
      <x:c r="E315" s="10" t="str">
        <x:v>功能需求</x:v>
      </x:c>
      <x:c r="F315" s="10" t="str">
        <x:v>P2</x:v>
      </x:c>
      <x:c r="G315" s="9" t="str">
        <x:v>验证主播业绩不计算具体分成金额</x:v>
      </x:c>
      <x:c r="H315" s="9" t="str">
        <x:v>财务线下核算边界</x:v>
      </x:c>
      <x:c r="I315" s="9" t="str">
        <x:v>1. 财务管理员为本条执行者
2. 主播甲日期 D 至 D+2：普通收益100、定制收益200、门票收益300、幸运礼物价值1000且当时比例1%；仅 D 和 D+2 有效直播达到3小时</x:v>
      </x:c>
      <x:c r="J315" s="9" t="str">
        <x:v>1. 打开主播业绩分成报表</x:v>
      </x:c>
      <x:c r="K315" s="9" t="str">
        <x:v>报表不生成具体应分成金额</x:v>
      </x:c>
      <x:c r="L315" s="10" t="str"/>
      <x:c r="M315" s="10" t="str">
        <x:v>未测</x:v>
      </x:c>
      <x:c r="N315" s="10" t="str"/>
      <x:c r="O315" s="9" t="str">
        <x:v>1. 来源（当前证据）：liveshow-proto/MainBasis/统一需求文档.md；位置：第 3288 行；REQ-23c71c983b11、第 3280 行
2. 规则：BR-89E35DD4A695C6
3. 未动态验证
4. 示例账号、编号、金额与日期是本条测试数据；执行前按前置条件准备，未填写的产品决策不得自行假定。</x:v>
      </x:c>
    </x:row>
    <x:row r="316" ht="145" customHeight="1">
      <x:c r="A316" s="10" t="n">
        <x:v>315</x:v>
      </x:c>
      <x:c r="B316" s="10" t="str">
        <x:v>ADMIN-0315</x:v>
      </x:c>
      <x:c r="C316" s="10" t="str">
        <x:v>数据报表</x:v>
      </x:c>
      <x:c r="D316" s="10" t="str">
        <x:v>主播礼物打赏明细报表（财务管理员）</x:v>
      </x:c>
      <x:c r="E316" s="10" t="str">
        <x:v>功能需求</x:v>
      </x:c>
      <x:c r="F316" s="10" t="str">
        <x:v>P2</x:v>
      </x:c>
      <x:c r="G316" s="9" t="str">
        <x:v>验证幸运收益使用赠送时配置快照</x:v>
      </x:c>
      <x:c r="H316" s="9" t="str">
        <x:v>幸运礼物收益</x:v>
      </x:c>
      <x:c r="I316" s="9" t="str">
        <x:v>1. 财务管理员为本条执行者
2. 日期 D 主播甲收到幸运礼物10件，赠送时单价100金币、比例1%，赠送后单价改为200、比例改为2%，返奖500金币</x:v>
      </x:c>
      <x:c r="J316" s="9" t="str">
        <x:v>1. 打开主播礼物打赏明细报表
2. 查询日期 D 的主播甲</x:v>
      </x:c>
      <x:c r="K316" s="9" t="str">
        <x:v>幸运礼物收益 = 10 金币</x:v>
      </x:c>
      <x:c r="L316" s="10" t="str"/>
      <x:c r="M316" s="10" t="str">
        <x:v>未测</x:v>
      </x:c>
      <x:c r="N316" s="10" t="str"/>
      <x:c r="O316" s="9" t="str">
        <x:v>1. 来源（当前证据）：liveshow-proto/MainBasis/统一需求文档.md；位置：第 3294 行；REQ-6b1e8290c6b3、第 3296 行；REQ-a91c778f4cc5、第 3292 行
2. 规则：BR-62F778E00478B8
3. 未动态验证
4. 示例账号、编号、金额与日期是本条测试数据；执行前按前置条件准备，未填写的产品决策不得自行假定。</x:v>
      </x:c>
    </x:row>
    <x:row r="317" ht="160" customHeight="1">
      <x:c r="A317" s="10" t="n">
        <x:v>316</x:v>
      </x:c>
      <x:c r="B317" s="10" t="str">
        <x:v>ADMIN-0316</x:v>
      </x:c>
      <x:c r="C317" s="10" t="str">
        <x:v>数据报表</x:v>
      </x:c>
      <x:c r="D317" s="10" t="str">
        <x:v>礼物消费汇总报表（财务管理员）</x:v>
      </x:c>
      <x:c r="E317" s="10" t="str">
        <x:v>功能需求</x:v>
      </x:c>
      <x:c r="F317" s="10" t="str">
        <x:v>P2</x:v>
      </x:c>
      <x:c r="G317" s="9" t="str">
        <x:v>验证礼物销售额按各次价格快照汇总</x:v>
      </x:c>
      <x:c r="H317" s="9" t="str">
        <x:v>销售额</x:v>
      </x:c>
      <x:c r="I317" s="9" t="str">
        <x:v>1. 财务管理员为本条执行者
2. 礼物甲有两笔真实成功赠送：单价100、数量2；单价200、数量3；返奖金币100</x:v>
      </x:c>
      <x:c r="J317" s="9" t="str">
        <x:v>1. 打开礼物消费汇总报表
2. 查询礼物甲</x:v>
      </x:c>
      <x:c r="K317" s="9" t="str">
        <x:v>销售额 = 800 金币</x:v>
      </x:c>
      <x:c r="L317" s="10" t="str"/>
      <x:c r="M317" s="10" t="str">
        <x:v>未测</x:v>
      </x:c>
      <x:c r="N317" s="10" t="str"/>
      <x:c r="O317" s="9" t="str">
        <x:v>1. 来源（当前证据）：liveshow-proto/MainBasis/统一需求文档.md；位置：第 3312 行；REQ-6299c7e767e5、第 3313 行；REQ-96b3556b2fe6、第 3314 行；REQ-b9a83a6c0ae8、第 3310 行
2. 规则：BR-F522B0CB8BA805
3. 未动态验证
4. 示例账号、编号、金额与日期是本条测试数据；执行前按前置条件准备，未填写的产品决策不得自行假定。</x:v>
      </x:c>
    </x:row>
    <x:row r="318" ht="160" customHeight="1">
      <x:c r="A318" s="10" t="n">
        <x:v>317</x:v>
      </x:c>
      <x:c r="B318" s="10" t="str">
        <x:v>ADMIN-0317</x:v>
      </x:c>
      <x:c r="C318" s="10" t="str">
        <x:v>数据报表</x:v>
      </x:c>
      <x:c r="D318" s="10" t="str">
        <x:v>礼物消费汇总报表（财务管理员）</x:v>
      </x:c>
      <x:c r="E318" s="10" t="str">
        <x:v>功能需求</x:v>
      </x:c>
      <x:c r="F318" s="10" t="str">
        <x:v>P2</x:v>
      </x:c>
      <x:c r="G318" s="9" t="str">
        <x:v>验证礼物销售额按各次价格快照汇总</x:v>
      </x:c>
      <x:c r="H318" s="9" t="str">
        <x:v>销量</x:v>
      </x:c>
      <x:c r="I318" s="9" t="str">
        <x:v>1. 财务管理员为本条执行者
2. 礼物甲有两笔真实成功赠送：单价100、数量2；单价200、数量3；返奖金币100</x:v>
      </x:c>
      <x:c r="J318" s="9" t="str">
        <x:v>1. 打开礼物消费汇总报表
2. 查询礼物甲</x:v>
      </x:c>
      <x:c r="K318" s="9" t="str">
        <x:v>销量 = 5 件</x:v>
      </x:c>
      <x:c r="L318" s="10" t="str"/>
      <x:c r="M318" s="10" t="str">
        <x:v>未测</x:v>
      </x:c>
      <x:c r="N318" s="10" t="str"/>
      <x:c r="O318" s="9" t="str">
        <x:v>1. 来源（当前证据）：liveshow-proto/MainBasis/统一需求文档.md；位置：第 3312 行；REQ-6299c7e767e5、第 3313 行；REQ-96b3556b2fe6、第 3314 行；REQ-b9a83a6c0ae8、第 3310 行
2. 规则：BR-83A48E299D6AFC
3. 未动态验证
4. 示例账号、编号、金额与日期是本条测试数据；执行前按前置条件准备，未填写的产品决策不得自行假定。</x:v>
      </x:c>
    </x:row>
    <x:row r="319" ht="160" customHeight="1">
      <x:c r="A319" s="10" t="n">
        <x:v>318</x:v>
      </x:c>
      <x:c r="B319" s="10" t="str">
        <x:v>ADMIN-0318</x:v>
      </x:c>
      <x:c r="C319" s="10" t="str">
        <x:v>数据报表</x:v>
      </x:c>
      <x:c r="D319" s="10" t="str">
        <x:v>用户消费汇总报表（财务管理员）</x:v>
      </x:c>
      <x:c r="E319" s="10" t="str">
        <x:v>功能需求</x:v>
      </x:c>
      <x:c r="F319" s="10" t="str">
        <x:v>P1</x:v>
      </x:c>
      <x:c r="G319" s="9" t="str">
        <x:v>验证用户消费汇总不因充值退款回滚</x:v>
      </x:c>
      <x:c r="H319" s="9" t="str">
        <x:v>累计消费</x:v>
      </x:c>
      <x:c r="I319" s="9" t="str">
        <x:v>1. 财务管理员为本条执行者
2. 用户甲本月普通礼物100、定制礼物200、门票300、幸运礼物扣减1000、返奖800；充值退款另有500</x:v>
      </x:c>
      <x:c r="J319" s="9" t="str">
        <x:v>1. 打开用户消费汇总报表
2. 查询用户甲</x:v>
      </x:c>
      <x:c r="K319" s="9" t="str">
        <x:v>累计消费 = 800 金币</x:v>
      </x:c>
      <x:c r="L319" s="10" t="str"/>
      <x:c r="M319" s="10" t="str">
        <x:v>未测</x:v>
      </x:c>
      <x:c r="N319" s="10" t="str"/>
      <x:c r="O319" s="9" t="str">
        <x:v>1. 来源（当前证据）：liveshow-proto/MainBasis/统一需求文档.md；位置：第 3304 行；REQ-66deadf015b8、第 3305 行；REQ-1f464119f351、第 3306 行；REQ-05211b79e1de、第 3301 行
2. 规则：BR-61FE251F483063
3. 未动态验证
4. 示例账号、编号、金额与日期是本条测试数据；执行前按前置条件准备，未填写的产品决策不得自行假定。</x:v>
      </x:c>
    </x:row>
    <x:row r="320" ht="130" customHeight="1">
      <x:c r="A320" s="10" t="n">
        <x:v>319</x:v>
      </x:c>
      <x:c r="B320" s="10" t="str">
        <x:v>ADMIN-0319</x:v>
      </x:c>
      <x:c r="C320" s="10" t="str">
        <x:v>数据报表</x:v>
      </x:c>
      <x:c r="D320" s="10" t="str">
        <x:v>直播记录明细报表（财务管理员）</x:v>
      </x:c>
      <x:c r="E320" s="10" t="str">
        <x:v>功能需求</x:v>
      </x:c>
      <x:c r="F320" s="10" t="str">
        <x:v>P2</x:v>
      </x:c>
      <x:c r="G320" s="9" t="str">
        <x:v>验证直播场次达标按主播当日累计判定</x:v>
      </x:c>
      <x:c r="H320" s="9" t="str">
        <x:v>单日累计时长达标</x:v>
      </x:c>
      <x:c r="I320" s="9" t="str">
        <x:v>1. 财务管理员为本条执行者
2. 主播甲同日有 S001 2 小时、S002 1 小时有效直播；房间 ID 均为 1001</x:v>
      </x:c>
      <x:c r="J320" s="9" t="str">
        <x:v>1. 打开直播记录明细报表
2. 查询主播甲当日场次</x:v>
      </x:c>
      <x:c r="K320" s="9" t="str">
        <x:v>S001 对应自然日显示达标</x:v>
      </x:c>
      <x:c r="L320" s="10" t="str"/>
      <x:c r="M320" s="10" t="str">
        <x:v>未测</x:v>
      </x:c>
      <x:c r="N320" s="10" t="str"/>
      <x:c r="O320" s="9" t="str">
        <x:v>1. 来源（当前证据）：liveshow-proto/MainBasis/统一需求文档.md；位置：第 3242 行；REQ-7d90dc36d4a2、第 3237 行
2. 规则：BR-621C361C7379FB
3. 未动态验证
4. 示例账号、编号、金额与日期是本条测试数据；执行前按前置条件准备，未填写的产品决策不得自行假定。</x:v>
      </x:c>
    </x:row>
    <x:row r="321" ht="175" customHeight="1">
      <x:c r="A321" s="10" t="n">
        <x:v>320</x:v>
      </x:c>
      <x:c r="B321" s="10" t="str">
        <x:v>ADMIN-0320</x:v>
      </x:c>
      <x:c r="C321" s="10" t="str">
        <x:v>数据报表</x:v>
      </x:c>
      <x:c r="D321" s="10" t="str">
        <x:v>充值订单明细（财务管理员）</x:v>
      </x:c>
      <x:c r="E321" s="10" t="str">
        <x:v>功能需求</x:v>
      </x:c>
      <x:c r="F321" s="10" t="str">
        <x:v>P1</x:v>
      </x:c>
      <x:c r="G321" s="9" t="str">
        <x:v>验证充值订单明细按支付成功日期统计</x:v>
      </x:c>
      <x:c r="H321" s="9" t="str">
        <x:v>订单统计日期口径</x:v>
      </x:c>
      <x:c r="I321" s="9" t="str">
        <x:v>1. 财务管理员为本条执行者
2. 订单原创建日为 D，支付成功时间为 D+1</x:v>
      </x:c>
      <x:c r="J321" s="9" t="str">
        <x:v>1. 打开充值订单明细
2. 查询日期 D+1</x:v>
      </x:c>
      <x:c r="K321" s="9" t="str">
        <x:v>结果包含该订单</x:v>
      </x:c>
      <x:c r="L321" s="10" t="str"/>
      <x:c r="M321" s="10" t="str">
        <x:v>未测</x:v>
      </x:c>
      <x:c r="N321" s="10" t="str"/>
      <x:c r="O321" s="9" t="str">
        <x:v>1. 来源（当前证据）：liveshow-proto/MainBasis/统一需求文档.md；位置：第 3340 行；REQ-7d14dbfdaed3、第 3342 行；REQ-1736a49fe0ea、第 3344 行；REQ-9db3cebbc20c、第 3345 行；REQ-c2caa13dc866、第 3338 行
2. 规则：BR-3589C10856951E
3. 未动态验证
4. 示例账号、编号、金额与日期是本条测试数据；执行前按前置条件准备，未填写的产品决策不得自行假定。</x:v>
      </x:c>
    </x:row>
    <x:row r="322" ht="145" customHeight="1">
      <x:c r="A322" s="10" t="n">
        <x:v>321</x:v>
      </x:c>
      <x:c r="B322" s="10" t="str">
        <x:v>ADMIN-0321</x:v>
      </x:c>
      <x:c r="C322" s="10" t="str">
        <x:v>数据报表</x:v>
      </x:c>
      <x:c r="D322" s="10" t="str">
        <x:v>退款订单明细（财务管理员）</x:v>
      </x:c>
      <x:c r="E322" s="10" t="str">
        <x:v>功能需求</x:v>
      </x:c>
      <x:c r="F322" s="10" t="str">
        <x:v>P1</x:v>
      </x:c>
      <x:c r="G322" s="9" t="str">
        <x:v>验证退款订单明细按退款完成日期统计</x:v>
      </x:c>
      <x:c r="H322" s="9" t="str">
        <x:v>订单统计日期口径</x:v>
      </x:c>
      <x:c r="I322" s="9" t="str">
        <x:v>1. 财务管理员为本条执行者
2. 订单原创建日为 D，退款完成时间为 D+1</x:v>
      </x:c>
      <x:c r="J322" s="9" t="str">
        <x:v>1. 打开退款订单明细
2. 查询日期 D+1</x:v>
      </x:c>
      <x:c r="K322" s="9" t="str">
        <x:v>结果包含该订单</x:v>
      </x:c>
      <x:c r="L322" s="10" t="str"/>
      <x:c r="M322" s="10" t="str">
        <x:v>未测</x:v>
      </x:c>
      <x:c r="N322" s="10" t="str"/>
      <x:c r="O322" s="9" t="str">
        <x:v>1. 来源（当前证据）：liveshow-proto/MainBasis/统一需求文档.md；位置：第 3331 行；REQ-4073f5d10f84、第 3335 行；REQ-d7522df0db9e、第 3329 行
2. 规则：BR-1F60D60579A333
3. 未动态验证
4. 示例账号、编号、金额与日期是本条测试数据；执行前按前置条件准备，未填写的产品决策不得自行假定。</x:v>
      </x:c>
    </x:row>
    <x:row r="323" ht="145" customHeight="1">
      <x:c r="A323" s="10" t="n">
        <x:v>322</x:v>
      </x:c>
      <x:c r="B323" s="10" t="str">
        <x:v>ADMIN-0322</x:v>
      </x:c>
      <x:c r="C323" s="10" t="str">
        <x:v>运营管理</x:v>
      </x:c>
      <x:c r="D323" s="10" t="str">
        <x:v>等级配置（平台管理员）</x:v>
      </x:c>
      <x:c r="E323" s="10" t="str">
        <x:v>功能需求</x:v>
      </x:c>
      <x:c r="F323" s="10" t="str">
        <x:v>P2</x:v>
      </x:c>
      <x:c r="G323" s="9" t="str">
        <x:v>验证主播等级一级门槛不可编辑</x:v>
      </x:c>
      <x:c r="H323" s="9" t="str">
        <x:v>一级门槛固定值</x:v>
      </x:c>
      <x:c r="I323" s="9" t="str">
        <x:v>1. 平台管理员为本条执行者
2. 后台账号具有等级配置权限，已有每类 1 级门槛 0、2 级门槛 100、3 级门槛 200；各行勋章图有效</x:v>
      </x:c>
      <x:c r="J323" s="9" t="str">
        <x:v>1. 打开等级配置
2. 切换主播等级
3. 查看 1 级门槛</x:v>
      </x:c>
      <x:c r="K323" s="9" t="str">
        <x:v>1 级门槛为 0 且不可编辑</x:v>
      </x:c>
      <x:c r="L323" s="10" t="str"/>
      <x:c r="M323" s="10" t="str">
        <x:v>未测</x:v>
      </x:c>
      <x:c r="N323" s="10" t="str"/>
      <x:c r="O323" s="9" t="str">
        <x:v>1. 来源（当前证据）：liveshow-proto/MainBasis/统一需求文档.md；位置：第 2957 行；REQ-82b18aa0a1a9、第 2964 行；REQ-ba2db1ee018d、第 2950 行
2. 规则：BR-26CE5B2A29E985
3. 未动态验证
4. 示例账号、编号、金额与日期是本条测试数据；执行前按前置条件准备，未填写的产品决策不得自行假定。</x:v>
      </x:c>
    </x:row>
    <x:row r="324" ht="130" customHeight="1">
      <x:c r="A324" s="10" t="n">
        <x:v>323</x:v>
      </x:c>
      <x:c r="B324" s="10" t="str">
        <x:v>ADMIN-0323</x:v>
      </x:c>
      <x:c r="C324" s="10" t="str">
        <x:v>运营管理</x:v>
      </x:c>
      <x:c r="D324" s="10" t="str">
        <x:v>等级配置（平台管理员）</x:v>
      </x:c>
      <x:c r="E324" s="10" t="str">
        <x:v>功能需求</x:v>
      </x:c>
      <x:c r="F324" s="10" t="str">
        <x:v>P2</x:v>
      </x:c>
      <x:c r="G324" s="9" t="str">
        <x:v>验证主播等级三级门槛设置 99</x:v>
      </x:c>
      <x:c r="H324" s="9" t="str">
        <x:v>等级门槛严格递增</x:v>
      </x:c>
      <x:c r="I324" s="9" t="str">
        <x:v>1. 平台管理员为本条执行者
2. 后台账号具有等级配置权限，已有每类 1 级门槛 0、2 级门槛 100、3 级门槛 200；各行勋章图有效</x:v>
      </x:c>
      <x:c r="J324" s="9" t="str">
        <x:v>1. 打开等级配置
2. 切换主播等级
3. 输入 3 级门槛 99
4. 点击保存</x:v>
      </x:c>
      <x:c r="K324" s="9" t="str">
        <x:v>未保存本次等级门槛</x:v>
      </x:c>
      <x:c r="L324" s="10" t="str"/>
      <x:c r="M324" s="10" t="str">
        <x:v>未测</x:v>
      </x:c>
      <x:c r="N324" s="10" t="str"/>
      <x:c r="O324" s="9" t="str">
        <x:v>1. 来源（当前证据）：liveshow-proto/MainBasis/统一需求文档.md；位置：第 2964 行；REQ-ba2db1ee018d、第 2950 行
2. 规则：BR-5D22A4E312E04C
3. 未动态验证
4. 示例账号、编号、金额与日期是本条测试数据；执行前按前置条件准备，未填写的产品决策不得自行假定。</x:v>
      </x:c>
    </x:row>
    <x:row r="325" ht="130" customHeight="1">
      <x:c r="A325" s="10" t="n">
        <x:v>324</x:v>
      </x:c>
      <x:c r="B325" s="10" t="str">
        <x:v>ADMIN-0324</x:v>
      </x:c>
      <x:c r="C325" s="10" t="str">
        <x:v>运营管理</x:v>
      </x:c>
      <x:c r="D325" s="10" t="str">
        <x:v>等级配置（平台管理员）</x:v>
      </x:c>
      <x:c r="E325" s="10" t="str">
        <x:v>功能需求</x:v>
      </x:c>
      <x:c r="F325" s="10" t="str">
        <x:v>P2</x:v>
      </x:c>
      <x:c r="G325" s="9" t="str">
        <x:v>验证主播等级三级门槛设置 100</x:v>
      </x:c>
      <x:c r="H325" s="9" t="str">
        <x:v>等级门槛严格递增</x:v>
      </x:c>
      <x:c r="I325" s="9" t="str">
        <x:v>1. 平台管理员为本条执行者
2. 后台账号具有等级配置权限，已有每类 1 级门槛 0、2 级门槛 100、3 级门槛 200；各行勋章图有效</x:v>
      </x:c>
      <x:c r="J325" s="9" t="str">
        <x:v>1. 打开等级配置
2. 切换主播等级
3. 输入 3 级门槛 100
4. 点击保存</x:v>
      </x:c>
      <x:c r="K325" s="9" t="str">
        <x:v>未保存本次等级门槛</x:v>
      </x:c>
      <x:c r="L325" s="10" t="str"/>
      <x:c r="M325" s="10" t="str">
        <x:v>未测</x:v>
      </x:c>
      <x:c r="N325" s="10" t="str"/>
      <x:c r="O325" s="9" t="str">
        <x:v>1. 来源（当前证据）：liveshow-proto/MainBasis/统一需求文档.md；位置：第 2964 行；REQ-ba2db1ee018d、第 2950 行
2. 规则：BR-CFCA7AB21F75FC
3. 未动态验证
4. 示例账号、编号、金额与日期是本条测试数据；执行前按前置条件准备，未填写的产品决策不得自行假定。</x:v>
      </x:c>
    </x:row>
    <x:row r="326" ht="130" customHeight="1">
      <x:c r="A326" s="10" t="n">
        <x:v>325</x:v>
      </x:c>
      <x:c r="B326" s="10" t="str">
        <x:v>ADMIN-0325</x:v>
      </x:c>
      <x:c r="C326" s="10" t="str">
        <x:v>运营管理</x:v>
      </x:c>
      <x:c r="D326" s="10" t="str">
        <x:v>等级配置（平台管理员）</x:v>
      </x:c>
      <x:c r="E326" s="10" t="str">
        <x:v>功能需求</x:v>
      </x:c>
      <x:c r="F326" s="10" t="str">
        <x:v>P2</x:v>
      </x:c>
      <x:c r="G326" s="9" t="str">
        <x:v>验证主播等级三级门槛设置 101</x:v>
      </x:c>
      <x:c r="H326" s="9" t="str">
        <x:v>等级门槛严格递增</x:v>
      </x:c>
      <x:c r="I326" s="9" t="str">
        <x:v>1. 平台管理员为本条执行者
2. 后台账号具有等级配置权限，已有每类 1 级门槛 0、2 级门槛 100、3 级门槛 200；各行勋章图有效</x:v>
      </x:c>
      <x:c r="J326" s="9" t="str">
        <x:v>1. 打开等级配置
2. 切换主播等级
3. 输入 3 级门槛 101
4. 点击保存</x:v>
      </x:c>
      <x:c r="K326" s="9" t="str">
        <x:v>3 级门槛保存为 101</x:v>
      </x:c>
      <x:c r="L326" s="10" t="str"/>
      <x:c r="M326" s="10" t="str">
        <x:v>未测</x:v>
      </x:c>
      <x:c r="N326" s="10" t="str"/>
      <x:c r="O326" s="9" t="str">
        <x:v>1. 来源（当前证据）：liveshow-proto/MainBasis/统一需求文档.md；位置：第 2964 行；REQ-ba2db1ee018d、第 2950 行
2. 规则：BR-70DA83FD221054
3. 未动态验证
4. 示例账号、编号、金额与日期是本条测试数据；执行前按前置条件准备，未填写的产品决策不得自行假定。</x:v>
      </x:c>
    </x:row>
    <x:row r="327" ht="130" customHeight="1">
      <x:c r="A327" s="10" t="n">
        <x:v>326</x:v>
      </x:c>
      <x:c r="B327" s="10" t="str">
        <x:v>ADMIN-0326</x:v>
      </x:c>
      <x:c r="C327" s="10" t="str">
        <x:v>运营管理</x:v>
      </x:c>
      <x:c r="D327" s="10" t="str">
        <x:v>等级配置（平台管理员）</x:v>
      </x:c>
      <x:c r="E327" s="10" t="str">
        <x:v>功能需求</x:v>
      </x:c>
      <x:c r="F327" s="10" t="str">
        <x:v>P2</x:v>
      </x:c>
      <x:c r="G327" s="9" t="str">
        <x:v>验证主播等级新增等级连续编号</x:v>
      </x:c>
      <x:c r="H327" s="9" t="str">
        <x:v>新增等级编号</x:v>
      </x:c>
      <x:c r="I327" s="9" t="str">
        <x:v>1. 平台管理员为本条执行者
2. 后台账号具有等级配置权限，已有每类 1 级门槛 0、2 级门槛 100、3 级门槛 200；各行勋章图有效</x:v>
      </x:c>
      <x:c r="J327" s="9" t="str">
        <x:v>1. 打开等级配置
2. 切换主播等级
3. 点击新增等级</x:v>
      </x:c>
      <x:c r="K327" s="9" t="str">
        <x:v>新增行等级编号为 4</x:v>
      </x:c>
      <x:c r="L327" s="10" t="str"/>
      <x:c r="M327" s="10" t="str">
        <x:v>未测</x:v>
      </x:c>
      <x:c r="N327" s="10" t="str"/>
      <x:c r="O327" s="9" t="str">
        <x:v>1. 来源（当前证据）：liveshow-proto/MainBasis/统一需求文档.md；位置：第 2965 行；REQ-27039c0eae16、第 2950 行
2. 规则：BR-D5DAC5A8A73FFA
3. 未动态验证
4. 示例账号、编号、金额与日期是本条测试数据；执行前按前置条件准备，未填写的产品决策不得自行假定。</x:v>
      </x:c>
    </x:row>
    <x:row r="328" ht="130" customHeight="1">
      <x:c r="A328" s="10" t="n">
        <x:v>327</x:v>
      </x:c>
      <x:c r="B328" s="10" t="str">
        <x:v>ADMIN-0327</x:v>
      </x:c>
      <x:c r="C328" s="10" t="str">
        <x:v>运营管理</x:v>
      </x:c>
      <x:c r="D328" s="10" t="str">
        <x:v>等级配置（平台管理员）</x:v>
      </x:c>
      <x:c r="E328" s="10" t="str">
        <x:v>功能需求</x:v>
      </x:c>
      <x:c r="F328" s="10" t="str">
        <x:v>P2</x:v>
      </x:c>
      <x:c r="G328" s="9" t="str">
        <x:v>验证主播等级新增等级连续编号</x:v>
      </x:c>
      <x:c r="H328" s="9" t="str">
        <x:v>新增等级门槛初态</x:v>
      </x:c>
      <x:c r="I328" s="9" t="str">
        <x:v>1. 平台管理员为本条执行者
2. 后台账号具有等级配置权限，已有每类 1 级门槛 0、2 级门槛 100、3 级门槛 200；各行勋章图有效</x:v>
      </x:c>
      <x:c r="J328" s="9" t="str">
        <x:v>1. 打开等级配置
2. 切换主播等级
3. 点击新增等级</x:v>
      </x:c>
      <x:c r="K328" s="9" t="str">
        <x:v>新增行金币数值为空</x:v>
      </x:c>
      <x:c r="L328" s="10" t="str"/>
      <x:c r="M328" s="10" t="str">
        <x:v>未测</x:v>
      </x:c>
      <x:c r="N328" s="10" t="str"/>
      <x:c r="O328" s="9" t="str">
        <x:v>1. 来源（当前证据）：liveshow-proto/MainBasis/统一需求文档.md；位置：第 2965 行；REQ-27039c0eae16、第 2950 行
2. 规则：BR-99DB3918D9DA03
3. 未动态验证
4. 示例账号、编号、金额与日期是本条测试数据；执行前按前置条件准备，未填写的产品决策不得自行假定。</x:v>
      </x:c>
    </x:row>
    <x:row r="329" ht="145" customHeight="1">
      <x:c r="A329" s="10" t="n">
        <x:v>328</x:v>
      </x:c>
      <x:c r="B329" s="10" t="str">
        <x:v>ADMIN-0328</x:v>
      </x:c>
      <x:c r="C329" s="10" t="str">
        <x:v>运营管理</x:v>
      </x:c>
      <x:c r="D329" s="10" t="str">
        <x:v>等级配置（平台管理员）</x:v>
      </x:c>
      <x:c r="E329" s="10" t="str">
        <x:v>功能需求</x:v>
      </x:c>
      <x:c r="F329" s="10" t="str">
        <x:v>P2</x:v>
      </x:c>
      <x:c r="G329" s="9" t="str">
        <x:v>验证主播等级缺少勋章图不能保存</x:v>
      </x:c>
      <x:c r="H329" s="9" t="str">
        <x:v>等级勋章图必填</x:v>
      </x:c>
      <x:c r="I329" s="9" t="str">
        <x:v>1. 平台管理员为本条执行者
2. 后台账号具有等级配置权限，已有每类 1 级门槛 0、2 级门槛 100、3 级门槛 200；各行勋章图有效</x:v>
      </x:c>
      <x:c r="J329" s="9" t="str">
        <x:v>1. 打开等级配置
2. 切换主播等级
3. 删除 2 级勋章图
4. 点击保存</x:v>
      </x:c>
      <x:c r="K329" s="9" t="str">
        <x:v>本次等级配置未保存</x:v>
      </x:c>
      <x:c r="L329" s="10" t="str"/>
      <x:c r="M329" s="10" t="str">
        <x:v>未测</x:v>
      </x:c>
      <x:c r="N329" s="10" t="str"/>
      <x:c r="O329" s="9" t="str">
        <x:v>1. 来源（当前证据）：liveshow-proto/MainBasis/统一需求文档.md；位置：第 2966 行；REQ-024246690735、第 2967 行；REQ-07868b95d9d4、第 2950 行
2. 规则：BR-627F924A5F43E6
3. 未动态验证
4. 示例账号、编号、金额与日期是本条测试数据；执行前按前置条件准备，未填写的产品决策不得自行假定。</x:v>
      </x:c>
    </x:row>
    <x:row r="330" ht="130" customHeight="1">
      <x:c r="A330" s="10" t="n">
        <x:v>329</x:v>
      </x:c>
      <x:c r="B330" s="10" t="str">
        <x:v>ADMIN-0329</x:v>
      </x:c>
      <x:c r="C330" s="10" t="str">
        <x:v>运营管理</x:v>
      </x:c>
      <x:c r="D330" s="10" t="str">
        <x:v>等级配置（平台管理员）</x:v>
      </x:c>
      <x:c r="E330" s="10" t="str">
        <x:v>功能需求</x:v>
      </x:c>
      <x:c r="F330" s="10" t="str">
        <x:v>P2</x:v>
      </x:c>
      <x:c r="G330" s="9" t="str">
        <x:v>验证主播等级取消选择新图片保留原图</x:v>
      </x:c>
      <x:c r="H330" s="9" t="str">
        <x:v>勋章图片选择取消</x:v>
      </x:c>
      <x:c r="I330" s="9" t="str">
        <x:v>1. 平台管理员为本条执行者
2. 后台账号具有等级配置权限，已有每类 1 级门槛 0、2 级门槛 100、3 级门槛 200；各行勋章图有效</x:v>
      </x:c>
      <x:c r="J330" s="9" t="str">
        <x:v>1. 打开等级配置
2. 切换主播等级
3. 点击更换 2 级图片
4. 取消图片选择</x:v>
      </x:c>
      <x:c r="K330" s="9" t="str">
        <x:v>2 级保留原图片</x:v>
      </x:c>
      <x:c r="L330" s="10" t="str"/>
      <x:c r="M330" s="10" t="str">
        <x:v>未测</x:v>
      </x:c>
      <x:c r="N330" s="10" t="str"/>
      <x:c r="O330" s="9" t="str">
        <x:v>1. 来源（当前证据）：liveshow-proto/MainBasis/统一需求文档.md；位置：第 2968 行；REQ-9aa54378b21d、第 2950 行
2. 规则：BR-19F5D051BEF614
3. 未动态验证
4. 示例账号、编号、金额与日期是本条测试数据；执行前按前置条件准备，未填写的产品决策不得自行假定。</x:v>
      </x:c>
    </x:row>
    <x:row r="331" ht="130" customHeight="1">
      <x:c r="A331" s="10" t="n">
        <x:v>330</x:v>
      </x:c>
      <x:c r="B331" s="10" t="str">
        <x:v>ADMIN-0330</x:v>
      </x:c>
      <x:c r="C331" s="10" t="str">
        <x:v>运营管理</x:v>
      </x:c>
      <x:c r="D331" s="10" t="str">
        <x:v>等级配置（平台管理员）</x:v>
      </x:c>
      <x:c r="E331" s="10" t="str">
        <x:v>功能需求</x:v>
      </x:c>
      <x:c r="F331" s="10" t="str">
        <x:v>P2</x:v>
      </x:c>
      <x:c r="G331" s="9" t="str">
        <x:v>验证主播等级选择非图片文本文件</x:v>
      </x:c>
      <x:c r="H331" s="9" t="str">
        <x:v>无效勋章图片</x:v>
      </x:c>
      <x:c r="I331" s="9" t="str">
        <x:v>1. 平台管理员为本条执行者
2. 后台账号具有等级配置权限，已有每类 1 级门槛 0、2 级门槛 100、3 级门槛 200；各行勋章图有效</x:v>
      </x:c>
      <x:c r="J331" s="9" t="str">
        <x:v>1. 打开等级配置
2. 切换主播等级
3. 点击更换 2 级图片
4. 选择非图片文本文件</x:v>
      </x:c>
      <x:c r="K331" s="9" t="str">
        <x:v>2 级保留原有效图片</x:v>
      </x:c>
      <x:c r="L331" s="10" t="str"/>
      <x:c r="M331" s="10" t="str">
        <x:v>未测</x:v>
      </x:c>
      <x:c r="N331" s="10" t="str"/>
      <x:c r="O331" s="9" t="str">
        <x:v>1. 来源（当前证据）：liveshow-proto/MainBasis/统一需求文档.md；位置：第 2968 行；REQ-9aa54378b21d、第 2950 行
2. 规则：BR-CA0F2B4B26A379
3. 未动态验证
4. 示例账号、编号、金额与日期是本条测试数据；执行前按前置条件准备，未填写的产品决策不得自行假定。</x:v>
      </x:c>
    </x:row>
    <x:row r="332" ht="130" customHeight="1">
      <x:c r="A332" s="10" t="n">
        <x:v>331</x:v>
      </x:c>
      <x:c r="B332" s="10" t="str">
        <x:v>ADMIN-0331</x:v>
      </x:c>
      <x:c r="C332" s="10" t="str">
        <x:v>运营管理</x:v>
      </x:c>
      <x:c r="D332" s="10" t="str">
        <x:v>等级配置（平台管理员）</x:v>
      </x:c>
      <x:c r="E332" s="10" t="str">
        <x:v>功能需求</x:v>
      </x:c>
      <x:c r="F332" s="10" t="str">
        <x:v>P2</x:v>
      </x:c>
      <x:c r="G332" s="9" t="str">
        <x:v>验证主播等级选择损坏图片</x:v>
      </x:c>
      <x:c r="H332" s="9" t="str">
        <x:v>无效勋章图片</x:v>
      </x:c>
      <x:c r="I332" s="9" t="str">
        <x:v>1. 平台管理员为本条执行者
2. 后台账号具有等级配置权限，已有每类 1 级门槛 0、2 级门槛 100、3 级门槛 200；各行勋章图有效</x:v>
      </x:c>
      <x:c r="J332" s="9" t="str">
        <x:v>1. 打开等级配置
2. 切换主播等级
3. 点击更换 2 级图片
4. 选择损坏图片</x:v>
      </x:c>
      <x:c r="K332" s="9" t="str">
        <x:v>2 级保留原有效图片</x:v>
      </x:c>
      <x:c r="L332" s="10" t="str"/>
      <x:c r="M332" s="10" t="str">
        <x:v>未测</x:v>
      </x:c>
      <x:c r="N332" s="10" t="str"/>
      <x:c r="O332" s="9" t="str">
        <x:v>1. 来源（当前证据）：liveshow-proto/MainBasis/统一需求文档.md；位置：第 2968 行；REQ-9aa54378b21d、第 2950 行
2. 规则：BR-291AA1A3DE1F37
3. 未动态验证
4. 示例账号、编号、金额与日期是本条测试数据；执行前按前置条件准备，未填写的产品决策不得自行假定。</x:v>
      </x:c>
    </x:row>
    <x:row r="333" ht="145" customHeight="1">
      <x:c r="A333" s="10" t="n">
        <x:v>332</x:v>
      </x:c>
      <x:c r="B333" s="10" t="str">
        <x:v>ADMIN-0332</x:v>
      </x:c>
      <x:c r="C333" s="10" t="str">
        <x:v>运营管理</x:v>
      </x:c>
      <x:c r="D333" s="10" t="str">
        <x:v>等级配置（平台管理员）</x:v>
      </x:c>
      <x:c r="E333" s="10" t="str">
        <x:v>功能需求</x:v>
      </x:c>
      <x:c r="F333" s="10" t="str">
        <x:v>P2</x:v>
      </x:c>
      <x:c r="G333" s="9" t="str">
        <x:v>验证财富等级一级门槛不可编辑</x:v>
      </x:c>
      <x:c r="H333" s="9" t="str">
        <x:v>一级门槛固定值</x:v>
      </x:c>
      <x:c r="I333" s="9" t="str">
        <x:v>1. 平台管理员为本条执行者
2. 后台账号具有等级配置权限，已有每类 1 级门槛 0、2 级门槛 100、3 级门槛 200；各行勋章图有效</x:v>
      </x:c>
      <x:c r="J333" s="9" t="str">
        <x:v>1. 打开等级配置
2. 切换财富等级
3. 查看 1 级门槛</x:v>
      </x:c>
      <x:c r="K333" s="9" t="str">
        <x:v>1 级门槛为 0 且不可编辑</x:v>
      </x:c>
      <x:c r="L333" s="10" t="str"/>
      <x:c r="M333" s="10" t="str">
        <x:v>未测</x:v>
      </x:c>
      <x:c r="N333" s="10" t="str"/>
      <x:c r="O333" s="9" t="str">
        <x:v>1. 来源（当前证据）：liveshow-proto/MainBasis/统一需求文档.md；位置：第 2957 行；REQ-82b18aa0a1a9、第 2964 行；REQ-ba2db1ee018d、第 2950 行
2. 规则：BR-52E2088A83C328
3. 未动态验证
4. 示例账号、编号、金额与日期是本条测试数据；执行前按前置条件准备，未填写的产品决策不得自行假定。</x:v>
      </x:c>
    </x:row>
    <x:row r="334" ht="130" customHeight="1">
      <x:c r="A334" s="10" t="n">
        <x:v>333</x:v>
      </x:c>
      <x:c r="B334" s="10" t="str">
        <x:v>ADMIN-0333</x:v>
      </x:c>
      <x:c r="C334" s="10" t="str">
        <x:v>运营管理</x:v>
      </x:c>
      <x:c r="D334" s="10" t="str">
        <x:v>等级配置（平台管理员）</x:v>
      </x:c>
      <x:c r="E334" s="10" t="str">
        <x:v>功能需求</x:v>
      </x:c>
      <x:c r="F334" s="10" t="str">
        <x:v>P2</x:v>
      </x:c>
      <x:c r="G334" s="9" t="str">
        <x:v>验证财富等级三级门槛设置 99</x:v>
      </x:c>
      <x:c r="H334" s="9" t="str">
        <x:v>等级门槛严格递增</x:v>
      </x:c>
      <x:c r="I334" s="9" t="str">
        <x:v>1. 平台管理员为本条执行者
2. 后台账号具有等级配置权限，已有每类 1 级门槛 0、2 级门槛 100、3 级门槛 200；各行勋章图有效</x:v>
      </x:c>
      <x:c r="J334" s="9" t="str">
        <x:v>1. 打开等级配置
2. 切换财富等级
3. 输入 3 级门槛 99
4. 点击保存</x:v>
      </x:c>
      <x:c r="K334" s="9" t="str">
        <x:v>未保存本次等级门槛</x:v>
      </x:c>
      <x:c r="L334" s="10" t="str"/>
      <x:c r="M334" s="10" t="str">
        <x:v>未测</x:v>
      </x:c>
      <x:c r="N334" s="10" t="str"/>
      <x:c r="O334" s="9" t="str">
        <x:v>1. 来源（当前证据）：liveshow-proto/MainBasis/统一需求文档.md；位置：第 2964 行；REQ-ba2db1ee018d、第 2950 行
2. 规则：BR-D035BCF1ACE4EE
3. 未动态验证
4. 示例账号、编号、金额与日期是本条测试数据；执行前按前置条件准备，未填写的产品决策不得自行假定。</x:v>
      </x:c>
    </x:row>
    <x:row r="335" ht="130" customHeight="1">
      <x:c r="A335" s="10" t="n">
        <x:v>334</x:v>
      </x:c>
      <x:c r="B335" s="10" t="str">
        <x:v>ADMIN-0334</x:v>
      </x:c>
      <x:c r="C335" s="10" t="str">
        <x:v>运营管理</x:v>
      </x:c>
      <x:c r="D335" s="10" t="str">
        <x:v>等级配置（平台管理员）</x:v>
      </x:c>
      <x:c r="E335" s="10" t="str">
        <x:v>功能需求</x:v>
      </x:c>
      <x:c r="F335" s="10" t="str">
        <x:v>P2</x:v>
      </x:c>
      <x:c r="G335" s="9" t="str">
        <x:v>验证财富等级三级门槛设置 100</x:v>
      </x:c>
      <x:c r="H335" s="9" t="str">
        <x:v>等级门槛严格递增</x:v>
      </x:c>
      <x:c r="I335" s="9" t="str">
        <x:v>1. 平台管理员为本条执行者
2. 后台账号具有等级配置权限，已有每类 1 级门槛 0、2 级门槛 100、3 级门槛 200；各行勋章图有效</x:v>
      </x:c>
      <x:c r="J335" s="9" t="str">
        <x:v>1. 打开等级配置
2. 切换财富等级
3. 输入 3 级门槛 100
4. 点击保存</x:v>
      </x:c>
      <x:c r="K335" s="9" t="str">
        <x:v>未保存本次等级门槛</x:v>
      </x:c>
      <x:c r="L335" s="10" t="str"/>
      <x:c r="M335" s="10" t="str">
        <x:v>未测</x:v>
      </x:c>
      <x:c r="N335" s="10" t="str"/>
      <x:c r="O335" s="9" t="str">
        <x:v>1. 来源（当前证据）：liveshow-proto/MainBasis/统一需求文档.md；位置：第 2964 行；REQ-ba2db1ee018d、第 2950 行
2. 规则：BR-AADEFB85247C61
3. 未动态验证
4. 示例账号、编号、金额与日期是本条测试数据；执行前按前置条件准备，未填写的产品决策不得自行假定。</x:v>
      </x:c>
    </x:row>
    <x:row r="336" ht="130" customHeight="1">
      <x:c r="A336" s="10" t="n">
        <x:v>335</x:v>
      </x:c>
      <x:c r="B336" s="10" t="str">
        <x:v>ADMIN-0335</x:v>
      </x:c>
      <x:c r="C336" s="10" t="str">
        <x:v>运营管理</x:v>
      </x:c>
      <x:c r="D336" s="10" t="str">
        <x:v>等级配置（平台管理员）</x:v>
      </x:c>
      <x:c r="E336" s="10" t="str">
        <x:v>功能需求</x:v>
      </x:c>
      <x:c r="F336" s="10" t="str">
        <x:v>P2</x:v>
      </x:c>
      <x:c r="G336" s="9" t="str">
        <x:v>验证财富等级三级门槛设置 101</x:v>
      </x:c>
      <x:c r="H336" s="9" t="str">
        <x:v>等级门槛严格递增</x:v>
      </x:c>
      <x:c r="I336" s="9" t="str">
        <x:v>1. 平台管理员为本条执行者
2. 后台账号具有等级配置权限，已有每类 1 级门槛 0、2 级门槛 100、3 级门槛 200；各行勋章图有效</x:v>
      </x:c>
      <x:c r="J336" s="9" t="str">
        <x:v>1. 打开等级配置
2. 切换财富等级
3. 输入 3 级门槛 101
4. 点击保存</x:v>
      </x:c>
      <x:c r="K336" s="9" t="str">
        <x:v>3 级门槛保存为 101</x:v>
      </x:c>
      <x:c r="L336" s="10" t="str"/>
      <x:c r="M336" s="10" t="str">
        <x:v>未测</x:v>
      </x:c>
      <x:c r="N336" s="10" t="str"/>
      <x:c r="O336" s="9" t="str">
        <x:v>1. 来源（当前证据）：liveshow-proto/MainBasis/统一需求文档.md；位置：第 2964 行；REQ-ba2db1ee018d、第 2950 行
2. 规则：BR-411C8F117DACE5
3. 未动态验证
4. 示例账号、编号、金额与日期是本条测试数据；执行前按前置条件准备，未填写的产品决策不得自行假定。</x:v>
      </x:c>
    </x:row>
    <x:row r="337" ht="130" customHeight="1">
      <x:c r="A337" s="10" t="n">
        <x:v>336</x:v>
      </x:c>
      <x:c r="B337" s="10" t="str">
        <x:v>ADMIN-0336</x:v>
      </x:c>
      <x:c r="C337" s="10" t="str">
        <x:v>运营管理</x:v>
      </x:c>
      <x:c r="D337" s="10" t="str">
        <x:v>等级配置（平台管理员）</x:v>
      </x:c>
      <x:c r="E337" s="10" t="str">
        <x:v>功能需求</x:v>
      </x:c>
      <x:c r="F337" s="10" t="str">
        <x:v>P2</x:v>
      </x:c>
      <x:c r="G337" s="9" t="str">
        <x:v>验证财富等级新增等级连续编号</x:v>
      </x:c>
      <x:c r="H337" s="9" t="str">
        <x:v>新增等级编号</x:v>
      </x:c>
      <x:c r="I337" s="9" t="str">
        <x:v>1. 平台管理员为本条执行者
2. 后台账号具有等级配置权限，已有每类 1 级门槛 0、2 级门槛 100、3 级门槛 200；各行勋章图有效</x:v>
      </x:c>
      <x:c r="J337" s="9" t="str">
        <x:v>1. 打开等级配置
2. 切换财富等级
3. 点击新增等级</x:v>
      </x:c>
      <x:c r="K337" s="9" t="str">
        <x:v>新增行等级编号为 4</x:v>
      </x:c>
      <x:c r="L337" s="10" t="str"/>
      <x:c r="M337" s="10" t="str">
        <x:v>未测</x:v>
      </x:c>
      <x:c r="N337" s="10" t="str"/>
      <x:c r="O337" s="9" t="str">
        <x:v>1. 来源（当前证据）：liveshow-proto/MainBasis/统一需求文档.md；位置：第 2965 行；REQ-27039c0eae16、第 2950 行
2. 规则：BR-E6C16F9C141B9A
3. 未动态验证
4. 示例账号、编号、金额与日期是本条测试数据；执行前按前置条件准备，未填写的产品决策不得自行假定。</x:v>
      </x:c>
    </x:row>
    <x:row r="338" ht="130" customHeight="1">
      <x:c r="A338" s="10" t="n">
        <x:v>337</x:v>
      </x:c>
      <x:c r="B338" s="10" t="str">
        <x:v>ADMIN-0337</x:v>
      </x:c>
      <x:c r="C338" s="10" t="str">
        <x:v>运营管理</x:v>
      </x:c>
      <x:c r="D338" s="10" t="str">
        <x:v>等级配置（平台管理员）</x:v>
      </x:c>
      <x:c r="E338" s="10" t="str">
        <x:v>功能需求</x:v>
      </x:c>
      <x:c r="F338" s="10" t="str">
        <x:v>P2</x:v>
      </x:c>
      <x:c r="G338" s="9" t="str">
        <x:v>验证财富等级新增等级连续编号</x:v>
      </x:c>
      <x:c r="H338" s="9" t="str">
        <x:v>新增等级门槛初态</x:v>
      </x:c>
      <x:c r="I338" s="9" t="str">
        <x:v>1. 平台管理员为本条执行者
2. 后台账号具有等级配置权限，已有每类 1 级门槛 0、2 级门槛 100、3 级门槛 200；各行勋章图有效</x:v>
      </x:c>
      <x:c r="J338" s="9" t="str">
        <x:v>1. 打开等级配置
2. 切换财富等级
3. 点击新增等级</x:v>
      </x:c>
      <x:c r="K338" s="9" t="str">
        <x:v>新增行金币数值为空</x:v>
      </x:c>
      <x:c r="L338" s="10" t="str"/>
      <x:c r="M338" s="10" t="str">
        <x:v>未测</x:v>
      </x:c>
      <x:c r="N338" s="10" t="str"/>
      <x:c r="O338" s="9" t="str">
        <x:v>1. 来源（当前证据）：liveshow-proto/MainBasis/统一需求文档.md；位置：第 2965 行；REQ-27039c0eae16、第 2950 行
2. 规则：BR-F65E77ECDF847F
3. 未动态验证
4. 示例账号、编号、金额与日期是本条测试数据；执行前按前置条件准备，未填写的产品决策不得自行假定。</x:v>
      </x:c>
    </x:row>
    <x:row r="339" ht="145" customHeight="1">
      <x:c r="A339" s="10" t="n">
        <x:v>338</x:v>
      </x:c>
      <x:c r="B339" s="10" t="str">
        <x:v>ADMIN-0338</x:v>
      </x:c>
      <x:c r="C339" s="10" t="str">
        <x:v>运营管理</x:v>
      </x:c>
      <x:c r="D339" s="10" t="str">
        <x:v>等级配置（平台管理员）</x:v>
      </x:c>
      <x:c r="E339" s="10" t="str">
        <x:v>功能需求</x:v>
      </x:c>
      <x:c r="F339" s="10" t="str">
        <x:v>P2</x:v>
      </x:c>
      <x:c r="G339" s="9" t="str">
        <x:v>验证财富等级缺少勋章图不能保存</x:v>
      </x:c>
      <x:c r="H339" s="9" t="str">
        <x:v>等级勋章图必填</x:v>
      </x:c>
      <x:c r="I339" s="9" t="str">
        <x:v>1. 平台管理员为本条执行者
2. 后台账号具有等级配置权限，已有每类 1 级门槛 0、2 级门槛 100、3 级门槛 200；各行勋章图有效</x:v>
      </x:c>
      <x:c r="J339" s="9" t="str">
        <x:v>1. 打开等级配置
2. 切换财富等级
3. 删除 2 级勋章图
4. 点击保存</x:v>
      </x:c>
      <x:c r="K339" s="9" t="str">
        <x:v>本次等级配置未保存</x:v>
      </x:c>
      <x:c r="L339" s="10" t="str"/>
      <x:c r="M339" s="10" t="str">
        <x:v>未测</x:v>
      </x:c>
      <x:c r="N339" s="10" t="str"/>
      <x:c r="O339" s="9" t="str">
        <x:v>1. 来源（当前证据）：liveshow-proto/MainBasis/统一需求文档.md；位置：第 2966 行；REQ-024246690735、第 2967 行；REQ-07868b95d9d4、第 2950 行
2. 规则：BR-59EC3BB625BD10
3. 未动态验证
4. 示例账号、编号、金额与日期是本条测试数据；执行前按前置条件准备，未填写的产品决策不得自行假定。</x:v>
      </x:c>
    </x:row>
    <x:row r="340" ht="130" customHeight="1">
      <x:c r="A340" s="10" t="n">
        <x:v>339</x:v>
      </x:c>
      <x:c r="B340" s="10" t="str">
        <x:v>ADMIN-0339</x:v>
      </x:c>
      <x:c r="C340" s="10" t="str">
        <x:v>运营管理</x:v>
      </x:c>
      <x:c r="D340" s="10" t="str">
        <x:v>等级配置（平台管理员）</x:v>
      </x:c>
      <x:c r="E340" s="10" t="str">
        <x:v>功能需求</x:v>
      </x:c>
      <x:c r="F340" s="10" t="str">
        <x:v>P2</x:v>
      </x:c>
      <x:c r="G340" s="9" t="str">
        <x:v>验证财富等级取消选择新图片保留原图</x:v>
      </x:c>
      <x:c r="H340" s="9" t="str">
        <x:v>勋章图片选择取消</x:v>
      </x:c>
      <x:c r="I340" s="9" t="str">
        <x:v>1. 平台管理员为本条执行者
2. 后台账号具有等级配置权限，已有每类 1 级门槛 0、2 级门槛 100、3 级门槛 200；各行勋章图有效</x:v>
      </x:c>
      <x:c r="J340" s="9" t="str">
        <x:v>1. 打开等级配置
2. 切换财富等级
3. 点击更换 2 级图片
4. 取消图片选择</x:v>
      </x:c>
      <x:c r="K340" s="9" t="str">
        <x:v>2 级保留原图片</x:v>
      </x:c>
      <x:c r="L340" s="10" t="str"/>
      <x:c r="M340" s="10" t="str">
        <x:v>未测</x:v>
      </x:c>
      <x:c r="N340" s="10" t="str"/>
      <x:c r="O340" s="9" t="str">
        <x:v>1. 来源（当前证据）：liveshow-proto/MainBasis/统一需求文档.md；位置：第 2968 行；REQ-9aa54378b21d、第 2950 行
2. 规则：BR-3643959258138A
3. 未动态验证
4. 示例账号、编号、金额与日期是本条测试数据；执行前按前置条件准备，未填写的产品决策不得自行假定。</x:v>
      </x:c>
    </x:row>
    <x:row r="341" ht="130" customHeight="1">
      <x:c r="A341" s="10" t="n">
        <x:v>340</x:v>
      </x:c>
      <x:c r="B341" s="10" t="str">
        <x:v>ADMIN-0340</x:v>
      </x:c>
      <x:c r="C341" s="10" t="str">
        <x:v>运营管理</x:v>
      </x:c>
      <x:c r="D341" s="10" t="str">
        <x:v>等级配置（平台管理员）</x:v>
      </x:c>
      <x:c r="E341" s="10" t="str">
        <x:v>功能需求</x:v>
      </x:c>
      <x:c r="F341" s="10" t="str">
        <x:v>P2</x:v>
      </x:c>
      <x:c r="G341" s="9" t="str">
        <x:v>验证财富等级选择非图片文本文件</x:v>
      </x:c>
      <x:c r="H341" s="9" t="str">
        <x:v>无效勋章图片</x:v>
      </x:c>
      <x:c r="I341" s="9" t="str">
        <x:v>1. 平台管理员为本条执行者
2. 后台账号具有等级配置权限，已有每类 1 级门槛 0、2 级门槛 100、3 级门槛 200；各行勋章图有效</x:v>
      </x:c>
      <x:c r="J341" s="9" t="str">
        <x:v>1. 打开等级配置
2. 切换财富等级
3. 点击更换 2 级图片
4. 选择非图片文本文件</x:v>
      </x:c>
      <x:c r="K341" s="9" t="str">
        <x:v>2 级保留原有效图片</x:v>
      </x:c>
      <x:c r="L341" s="10" t="str"/>
      <x:c r="M341" s="10" t="str">
        <x:v>未测</x:v>
      </x:c>
      <x:c r="N341" s="10" t="str"/>
      <x:c r="O341" s="9" t="str">
        <x:v>1. 来源（当前证据）：liveshow-proto/MainBasis/统一需求文档.md；位置：第 2968 行；REQ-9aa54378b21d、第 2950 行
2. 规则：BR-D12F71302FCCDF
3. 未动态验证
4. 示例账号、编号、金额与日期是本条测试数据；执行前按前置条件准备，未填写的产品决策不得自行假定。</x:v>
      </x:c>
    </x:row>
    <x:row r="342" ht="130" customHeight="1">
      <x:c r="A342" s="10" t="n">
        <x:v>341</x:v>
      </x:c>
      <x:c r="B342" s="10" t="str">
        <x:v>ADMIN-0341</x:v>
      </x:c>
      <x:c r="C342" s="10" t="str">
        <x:v>运营管理</x:v>
      </x:c>
      <x:c r="D342" s="10" t="str">
        <x:v>等级配置（平台管理员）</x:v>
      </x:c>
      <x:c r="E342" s="10" t="str">
        <x:v>功能需求</x:v>
      </x:c>
      <x:c r="F342" s="10" t="str">
        <x:v>P2</x:v>
      </x:c>
      <x:c r="G342" s="9" t="str">
        <x:v>验证财富等级选择损坏图片</x:v>
      </x:c>
      <x:c r="H342" s="9" t="str">
        <x:v>无效勋章图片</x:v>
      </x:c>
      <x:c r="I342" s="9" t="str">
        <x:v>1. 平台管理员为本条执行者
2. 后台账号具有等级配置权限，已有每类 1 级门槛 0、2 级门槛 100、3 级门槛 200；各行勋章图有效</x:v>
      </x:c>
      <x:c r="J342" s="9" t="str">
        <x:v>1. 打开等级配置
2. 切换财富等级
3. 点击更换 2 级图片
4. 选择损坏图片</x:v>
      </x:c>
      <x:c r="K342" s="9" t="str">
        <x:v>2 级保留原有效图片</x:v>
      </x:c>
      <x:c r="L342" s="10" t="str"/>
      <x:c r="M342" s="10" t="str">
        <x:v>未测</x:v>
      </x:c>
      <x:c r="N342" s="10" t="str"/>
      <x:c r="O342" s="9" t="str">
        <x:v>1. 来源（当前证据）：liveshow-proto/MainBasis/统一需求文档.md；位置：第 2968 行；REQ-9aa54378b21d、第 2950 行
2. 规则：BR-75DEF2DD6F9774
3. 未动态验证
4. 示例账号、编号、金额与日期是本条测试数据；执行前按前置条件准备，未填写的产品决策不得自行假定。</x:v>
      </x:c>
    </x:row>
    <x:row r="343" ht="145" customHeight="1">
      <x:c r="A343" s="10" t="n">
        <x:v>342</x:v>
      </x:c>
      <x:c r="B343" s="10" t="str">
        <x:v>ADMIN-0342</x:v>
      </x:c>
      <x:c r="C343" s="10" t="str">
        <x:v>运营管理</x:v>
      </x:c>
      <x:c r="D343" s="10" t="str">
        <x:v>等级配置（平台管理员）</x:v>
      </x:c>
      <x:c r="E343" s="10" t="str">
        <x:v>功能需求</x:v>
      </x:c>
      <x:c r="F343" s="10" t="str">
        <x:v>P2</x:v>
      </x:c>
      <x:c r="G343" s="9" t="str">
        <x:v>验证粉丝等级一级门槛不可编辑</x:v>
      </x:c>
      <x:c r="H343" s="9" t="str">
        <x:v>一级门槛固定值</x:v>
      </x:c>
      <x:c r="I343" s="9" t="str">
        <x:v>1. 平台管理员为本条执行者
2. 后台账号具有等级配置权限，已有每类 1 级门槛 0、2 级门槛 100、3 级门槛 200；各行勋章图有效</x:v>
      </x:c>
      <x:c r="J343" s="9" t="str">
        <x:v>1. 打开等级配置
2. 切换粉丝等级
3. 查看 1 级门槛</x:v>
      </x:c>
      <x:c r="K343" s="9" t="str">
        <x:v>1 级门槛为 0 且不可编辑</x:v>
      </x:c>
      <x:c r="L343" s="10" t="str"/>
      <x:c r="M343" s="10" t="str">
        <x:v>未测</x:v>
      </x:c>
      <x:c r="N343" s="10" t="str"/>
      <x:c r="O343" s="9" t="str">
        <x:v>1. 来源（当前证据）：liveshow-proto/MainBasis/统一需求文档.md；位置：第 2957 行；REQ-82b18aa0a1a9、第 2964 行；REQ-ba2db1ee018d、第 2950 行
2. 规则：BR-2CCA107F3F67C8
3. 未动态验证
4. 示例账号、编号、金额与日期是本条测试数据；执行前按前置条件准备，未填写的产品决策不得自行假定。</x:v>
      </x:c>
    </x:row>
    <x:row r="344" ht="130" customHeight="1">
      <x:c r="A344" s="10" t="n">
        <x:v>343</x:v>
      </x:c>
      <x:c r="B344" s="10" t="str">
        <x:v>ADMIN-0343</x:v>
      </x:c>
      <x:c r="C344" s="10" t="str">
        <x:v>运营管理</x:v>
      </x:c>
      <x:c r="D344" s="10" t="str">
        <x:v>等级配置（平台管理员）</x:v>
      </x:c>
      <x:c r="E344" s="10" t="str">
        <x:v>功能需求</x:v>
      </x:c>
      <x:c r="F344" s="10" t="str">
        <x:v>P2</x:v>
      </x:c>
      <x:c r="G344" s="9" t="str">
        <x:v>验证粉丝等级三级门槛设置 99</x:v>
      </x:c>
      <x:c r="H344" s="9" t="str">
        <x:v>等级门槛严格递增</x:v>
      </x:c>
      <x:c r="I344" s="9" t="str">
        <x:v>1. 平台管理员为本条执行者
2. 后台账号具有等级配置权限，已有每类 1 级门槛 0、2 级门槛 100、3 级门槛 200；各行勋章图有效</x:v>
      </x:c>
      <x:c r="J344" s="9" t="str">
        <x:v>1. 打开等级配置
2. 切换粉丝等级
3. 输入 3 级门槛 99
4. 点击保存</x:v>
      </x:c>
      <x:c r="K344" s="9" t="str">
        <x:v>未保存本次等级门槛</x:v>
      </x:c>
      <x:c r="L344" s="10" t="str"/>
      <x:c r="M344" s="10" t="str">
        <x:v>未测</x:v>
      </x:c>
      <x:c r="N344" s="10" t="str"/>
      <x:c r="O344" s="9" t="str">
        <x:v>1. 来源（当前证据）：liveshow-proto/MainBasis/统一需求文档.md；位置：第 2964 行；REQ-ba2db1ee018d、第 2950 行
2. 规则：BR-4F563D96AAC454
3. 未动态验证
4. 示例账号、编号、金额与日期是本条测试数据；执行前按前置条件准备，未填写的产品决策不得自行假定。</x:v>
      </x:c>
    </x:row>
    <x:row r="345" ht="130" customHeight="1">
      <x:c r="A345" s="10" t="n">
        <x:v>344</x:v>
      </x:c>
      <x:c r="B345" s="10" t="str">
        <x:v>ADMIN-0344</x:v>
      </x:c>
      <x:c r="C345" s="10" t="str">
        <x:v>运营管理</x:v>
      </x:c>
      <x:c r="D345" s="10" t="str">
        <x:v>等级配置（平台管理员）</x:v>
      </x:c>
      <x:c r="E345" s="10" t="str">
        <x:v>功能需求</x:v>
      </x:c>
      <x:c r="F345" s="10" t="str">
        <x:v>P2</x:v>
      </x:c>
      <x:c r="G345" s="9" t="str">
        <x:v>验证粉丝等级三级门槛设置 100</x:v>
      </x:c>
      <x:c r="H345" s="9" t="str">
        <x:v>等级门槛严格递增</x:v>
      </x:c>
      <x:c r="I345" s="9" t="str">
        <x:v>1. 平台管理员为本条执行者
2. 后台账号具有等级配置权限，已有每类 1 级门槛 0、2 级门槛 100、3 级门槛 200；各行勋章图有效</x:v>
      </x:c>
      <x:c r="J345" s="9" t="str">
        <x:v>1. 打开等级配置
2. 切换粉丝等级
3. 输入 3 级门槛 100
4. 点击保存</x:v>
      </x:c>
      <x:c r="K345" s="9" t="str">
        <x:v>未保存本次等级门槛</x:v>
      </x:c>
      <x:c r="L345" s="10" t="str"/>
      <x:c r="M345" s="10" t="str">
        <x:v>未测</x:v>
      </x:c>
      <x:c r="N345" s="10" t="str"/>
      <x:c r="O345" s="9" t="str">
        <x:v>1. 来源（当前证据）：liveshow-proto/MainBasis/统一需求文档.md；位置：第 2964 行；REQ-ba2db1ee018d、第 2950 行
2. 规则：BR-F4A39B3A86E9FD
3. 未动态验证
4. 示例账号、编号、金额与日期是本条测试数据；执行前按前置条件准备，未填写的产品决策不得自行假定。</x:v>
      </x:c>
    </x:row>
    <x:row r="346" ht="130" customHeight="1">
      <x:c r="A346" s="10" t="n">
        <x:v>345</x:v>
      </x:c>
      <x:c r="B346" s="10" t="str">
        <x:v>ADMIN-0345</x:v>
      </x:c>
      <x:c r="C346" s="10" t="str">
        <x:v>运营管理</x:v>
      </x:c>
      <x:c r="D346" s="10" t="str">
        <x:v>等级配置（平台管理员）</x:v>
      </x:c>
      <x:c r="E346" s="10" t="str">
        <x:v>功能需求</x:v>
      </x:c>
      <x:c r="F346" s="10" t="str">
        <x:v>P2</x:v>
      </x:c>
      <x:c r="G346" s="9" t="str">
        <x:v>验证粉丝等级三级门槛设置 101</x:v>
      </x:c>
      <x:c r="H346" s="9" t="str">
        <x:v>等级门槛严格递增</x:v>
      </x:c>
      <x:c r="I346" s="9" t="str">
        <x:v>1. 平台管理员为本条执行者
2. 后台账号具有等级配置权限，已有每类 1 级门槛 0、2 级门槛 100、3 级门槛 200；各行勋章图有效</x:v>
      </x:c>
      <x:c r="J346" s="9" t="str">
        <x:v>1. 打开等级配置
2. 切换粉丝等级
3. 输入 3 级门槛 101
4. 点击保存</x:v>
      </x:c>
      <x:c r="K346" s="9" t="str">
        <x:v>3 级门槛保存为 101</x:v>
      </x:c>
      <x:c r="L346" s="10" t="str"/>
      <x:c r="M346" s="10" t="str">
        <x:v>未测</x:v>
      </x:c>
      <x:c r="N346" s="10" t="str"/>
      <x:c r="O346" s="9" t="str">
        <x:v>1. 来源（当前证据）：liveshow-proto/MainBasis/统一需求文档.md；位置：第 2964 行；REQ-ba2db1ee018d、第 2950 行
2. 规则：BR-0EE9CF75614FEB
3. 未动态验证
4. 示例账号、编号、金额与日期是本条测试数据；执行前按前置条件准备，未填写的产品决策不得自行假定。</x:v>
      </x:c>
    </x:row>
    <x:row r="347" ht="130" customHeight="1">
      <x:c r="A347" s="10" t="n">
        <x:v>346</x:v>
      </x:c>
      <x:c r="B347" s="10" t="str">
        <x:v>ADMIN-0346</x:v>
      </x:c>
      <x:c r="C347" s="10" t="str">
        <x:v>运营管理</x:v>
      </x:c>
      <x:c r="D347" s="10" t="str">
        <x:v>等级配置（平台管理员）</x:v>
      </x:c>
      <x:c r="E347" s="10" t="str">
        <x:v>功能需求</x:v>
      </x:c>
      <x:c r="F347" s="10" t="str">
        <x:v>P2</x:v>
      </x:c>
      <x:c r="G347" s="9" t="str">
        <x:v>验证粉丝等级新增等级连续编号</x:v>
      </x:c>
      <x:c r="H347" s="9" t="str">
        <x:v>新增等级编号</x:v>
      </x:c>
      <x:c r="I347" s="9" t="str">
        <x:v>1. 平台管理员为本条执行者
2. 后台账号具有等级配置权限，已有每类 1 级门槛 0、2 级门槛 100、3 级门槛 200；各行勋章图有效</x:v>
      </x:c>
      <x:c r="J347" s="9" t="str">
        <x:v>1. 打开等级配置
2. 切换粉丝等级
3. 点击新增等级</x:v>
      </x:c>
      <x:c r="K347" s="9" t="str">
        <x:v>新增行等级编号为 4</x:v>
      </x:c>
      <x:c r="L347" s="10" t="str"/>
      <x:c r="M347" s="10" t="str">
        <x:v>未测</x:v>
      </x:c>
      <x:c r="N347" s="10" t="str"/>
      <x:c r="O347" s="9" t="str">
        <x:v>1. 来源（当前证据）：liveshow-proto/MainBasis/统一需求文档.md；位置：第 2965 行；REQ-27039c0eae16、第 2950 行
2. 规则：BR-0F98B237EA371F
3. 未动态验证
4. 示例账号、编号、金额与日期是本条测试数据；执行前按前置条件准备，未填写的产品决策不得自行假定。</x:v>
      </x:c>
    </x:row>
    <x:row r="348" ht="130" customHeight="1">
      <x:c r="A348" s="10" t="n">
        <x:v>347</x:v>
      </x:c>
      <x:c r="B348" s="10" t="str">
        <x:v>ADMIN-0347</x:v>
      </x:c>
      <x:c r="C348" s="10" t="str">
        <x:v>运营管理</x:v>
      </x:c>
      <x:c r="D348" s="10" t="str">
        <x:v>等级配置（平台管理员）</x:v>
      </x:c>
      <x:c r="E348" s="10" t="str">
        <x:v>功能需求</x:v>
      </x:c>
      <x:c r="F348" s="10" t="str">
        <x:v>P2</x:v>
      </x:c>
      <x:c r="G348" s="9" t="str">
        <x:v>验证粉丝等级新增等级连续编号</x:v>
      </x:c>
      <x:c r="H348" s="9" t="str">
        <x:v>新增等级门槛初态</x:v>
      </x:c>
      <x:c r="I348" s="9" t="str">
        <x:v>1. 平台管理员为本条执行者
2. 后台账号具有等级配置权限，已有每类 1 级门槛 0、2 级门槛 100、3 级门槛 200；各行勋章图有效</x:v>
      </x:c>
      <x:c r="J348" s="9" t="str">
        <x:v>1. 打开等级配置
2. 切换粉丝等级
3. 点击新增等级</x:v>
      </x:c>
      <x:c r="K348" s="9" t="str">
        <x:v>新增行金币数值为空</x:v>
      </x:c>
      <x:c r="L348" s="10" t="str"/>
      <x:c r="M348" s="10" t="str">
        <x:v>未测</x:v>
      </x:c>
      <x:c r="N348" s="10" t="str"/>
      <x:c r="O348" s="9" t="str">
        <x:v>1. 来源（当前证据）：liveshow-proto/MainBasis/统一需求文档.md；位置：第 2965 行；REQ-27039c0eae16、第 2950 行
2. 规则：BR-08D65AE7470784
3. 未动态验证
4. 示例账号、编号、金额与日期是本条测试数据；执行前按前置条件准备，未填写的产品决策不得自行假定。</x:v>
      </x:c>
    </x:row>
    <x:row r="349" ht="145" customHeight="1">
      <x:c r="A349" s="10" t="n">
        <x:v>348</x:v>
      </x:c>
      <x:c r="B349" s="10" t="str">
        <x:v>ADMIN-0348</x:v>
      </x:c>
      <x:c r="C349" s="10" t="str">
        <x:v>运营管理</x:v>
      </x:c>
      <x:c r="D349" s="10" t="str">
        <x:v>等级配置（平台管理员）</x:v>
      </x:c>
      <x:c r="E349" s="10" t="str">
        <x:v>功能需求</x:v>
      </x:c>
      <x:c r="F349" s="10" t="str">
        <x:v>P2</x:v>
      </x:c>
      <x:c r="G349" s="9" t="str">
        <x:v>验证粉丝等级缺少勋章图不能保存</x:v>
      </x:c>
      <x:c r="H349" s="9" t="str">
        <x:v>等级勋章图必填</x:v>
      </x:c>
      <x:c r="I349" s="9" t="str">
        <x:v>1. 平台管理员为本条执行者
2. 后台账号具有等级配置权限，已有每类 1 级门槛 0、2 级门槛 100、3 级门槛 200；各行勋章图有效</x:v>
      </x:c>
      <x:c r="J349" s="9" t="str">
        <x:v>1. 打开等级配置
2. 切换粉丝等级
3. 删除 2 级勋章图
4. 点击保存</x:v>
      </x:c>
      <x:c r="K349" s="9" t="str">
        <x:v>本次等级配置未保存</x:v>
      </x:c>
      <x:c r="L349" s="10" t="str"/>
      <x:c r="M349" s="10" t="str">
        <x:v>未测</x:v>
      </x:c>
      <x:c r="N349" s="10" t="str"/>
      <x:c r="O349" s="9" t="str">
        <x:v>1. 来源（当前证据）：liveshow-proto/MainBasis/统一需求文档.md；位置：第 2966 行；REQ-024246690735、第 2967 行；REQ-07868b95d9d4、第 2950 行
2. 规则：BR-FBC70ABE2DCC94
3. 未动态验证
4. 示例账号、编号、金额与日期是本条测试数据；执行前按前置条件准备，未填写的产品决策不得自行假定。</x:v>
      </x:c>
    </x:row>
    <x:row r="350" ht="130" customHeight="1">
      <x:c r="A350" s="10" t="n">
        <x:v>349</x:v>
      </x:c>
      <x:c r="B350" s="10" t="str">
        <x:v>ADMIN-0349</x:v>
      </x:c>
      <x:c r="C350" s="10" t="str">
        <x:v>运营管理</x:v>
      </x:c>
      <x:c r="D350" s="10" t="str">
        <x:v>等级配置（平台管理员）</x:v>
      </x:c>
      <x:c r="E350" s="10" t="str">
        <x:v>功能需求</x:v>
      </x:c>
      <x:c r="F350" s="10" t="str">
        <x:v>P2</x:v>
      </x:c>
      <x:c r="G350" s="9" t="str">
        <x:v>验证粉丝等级取消选择新图片保留原图</x:v>
      </x:c>
      <x:c r="H350" s="9" t="str">
        <x:v>勋章图片选择取消</x:v>
      </x:c>
      <x:c r="I350" s="9" t="str">
        <x:v>1. 平台管理员为本条执行者
2. 后台账号具有等级配置权限，已有每类 1 级门槛 0、2 级门槛 100、3 级门槛 200；各行勋章图有效</x:v>
      </x:c>
      <x:c r="J350" s="9" t="str">
        <x:v>1. 打开等级配置
2. 切换粉丝等级
3. 点击更换 2 级图片
4. 取消图片选择</x:v>
      </x:c>
      <x:c r="K350" s="9" t="str">
        <x:v>2 级保留原图片</x:v>
      </x:c>
      <x:c r="L350" s="10" t="str"/>
      <x:c r="M350" s="10" t="str">
        <x:v>未测</x:v>
      </x:c>
      <x:c r="N350" s="10" t="str"/>
      <x:c r="O350" s="9" t="str">
        <x:v>1. 来源（当前证据）：liveshow-proto/MainBasis/统一需求文档.md；位置：第 2968 行；REQ-9aa54378b21d、第 2950 行
2. 规则：BR-8706AF5566F666
3. 未动态验证
4. 示例账号、编号、金额与日期是本条测试数据；执行前按前置条件准备，未填写的产品决策不得自行假定。</x:v>
      </x:c>
    </x:row>
    <x:row r="351" ht="130" customHeight="1">
      <x:c r="A351" s="10" t="n">
        <x:v>350</x:v>
      </x:c>
      <x:c r="B351" s="10" t="str">
        <x:v>ADMIN-0350</x:v>
      </x:c>
      <x:c r="C351" s="10" t="str">
        <x:v>运营管理</x:v>
      </x:c>
      <x:c r="D351" s="10" t="str">
        <x:v>等级配置（平台管理员）</x:v>
      </x:c>
      <x:c r="E351" s="10" t="str">
        <x:v>功能需求</x:v>
      </x:c>
      <x:c r="F351" s="10" t="str">
        <x:v>P2</x:v>
      </x:c>
      <x:c r="G351" s="9" t="str">
        <x:v>验证粉丝等级选择非图片文本文件</x:v>
      </x:c>
      <x:c r="H351" s="9" t="str">
        <x:v>无效勋章图片</x:v>
      </x:c>
      <x:c r="I351" s="9" t="str">
        <x:v>1. 平台管理员为本条执行者
2. 后台账号具有等级配置权限，已有每类 1 级门槛 0、2 级门槛 100、3 级门槛 200；各行勋章图有效</x:v>
      </x:c>
      <x:c r="J351" s="9" t="str">
        <x:v>1. 打开等级配置
2. 切换粉丝等级
3. 点击更换 2 级图片
4. 选择非图片文本文件</x:v>
      </x:c>
      <x:c r="K351" s="9" t="str">
        <x:v>2 级保留原有效图片</x:v>
      </x:c>
      <x:c r="L351" s="10" t="str"/>
      <x:c r="M351" s="10" t="str">
        <x:v>未测</x:v>
      </x:c>
      <x:c r="N351" s="10" t="str"/>
      <x:c r="O351" s="9" t="str">
        <x:v>1. 来源（当前证据）：liveshow-proto/MainBasis/统一需求文档.md；位置：第 2968 行；REQ-9aa54378b21d、第 2950 行
2. 规则：BR-8527362662570A
3. 未动态验证
4. 示例账号、编号、金额与日期是本条测试数据；执行前按前置条件准备，未填写的产品决策不得自行假定。</x:v>
      </x:c>
    </x:row>
    <x:row r="352" ht="130" customHeight="1">
      <x:c r="A352" s="10" t="n">
        <x:v>351</x:v>
      </x:c>
      <x:c r="B352" s="10" t="str">
        <x:v>ADMIN-0351</x:v>
      </x:c>
      <x:c r="C352" s="10" t="str">
        <x:v>运营管理</x:v>
      </x:c>
      <x:c r="D352" s="10" t="str">
        <x:v>等级配置（平台管理员）</x:v>
      </x:c>
      <x:c r="E352" s="10" t="str">
        <x:v>功能需求</x:v>
      </x:c>
      <x:c r="F352" s="10" t="str">
        <x:v>P2</x:v>
      </x:c>
      <x:c r="G352" s="9" t="str">
        <x:v>验证粉丝等级选择损坏图片</x:v>
      </x:c>
      <x:c r="H352" s="9" t="str">
        <x:v>无效勋章图片</x:v>
      </x:c>
      <x:c r="I352" s="9" t="str">
        <x:v>1. 平台管理员为本条执行者
2. 后台账号具有等级配置权限，已有每类 1 级门槛 0、2 级门槛 100、3 级门槛 200；各行勋章图有效</x:v>
      </x:c>
      <x:c r="J352" s="9" t="str">
        <x:v>1. 打开等级配置
2. 切换粉丝等级
3. 点击更换 2 级图片
4. 选择损坏图片</x:v>
      </x:c>
      <x:c r="K352" s="9" t="str">
        <x:v>2 级保留原有效图片</x:v>
      </x:c>
      <x:c r="L352" s="10" t="str"/>
      <x:c r="M352" s="10" t="str">
        <x:v>未测</x:v>
      </x:c>
      <x:c r="N352" s="10" t="str"/>
      <x:c r="O352" s="9" t="str">
        <x:v>1. 来源（当前证据）：liveshow-proto/MainBasis/统一需求文档.md；位置：第 2968 行；REQ-9aa54378b21d、第 2950 行
2. 规则：BR-370908363A0D78
3. 未动态验证
4. 示例账号、编号、金额与日期是本条测试数据；执行前按前置条件准备，未填写的产品决策不得自行假定。</x:v>
      </x:c>
    </x:row>
    <x:row r="353" ht="145" customHeight="1">
      <x:c r="A353" s="10" t="n">
        <x:v>352</x:v>
      </x:c>
      <x:c r="B353" s="10" t="str">
        <x:v>ADMIN-0352</x:v>
      </x:c>
      <x:c r="C353" s="10" t="str">
        <x:v>运营管理</x:v>
      </x:c>
      <x:c r="D353" s="10" t="str">
        <x:v>等级配置（平台管理员）</x:v>
      </x:c>
      <x:c r="E353" s="10" t="str">
        <x:v>功能需求</x:v>
      </x:c>
      <x:c r="F353" s="10" t="str">
        <x:v>P2</x:v>
      </x:c>
      <x:c r="G353" s="9" t="str">
        <x:v>验证粉丝团等级一级门槛不可编辑</x:v>
      </x:c>
      <x:c r="H353" s="9" t="str">
        <x:v>一级门槛固定值</x:v>
      </x:c>
      <x:c r="I353" s="9" t="str">
        <x:v>1. 平台管理员为本条执行者
2. 后台账号具有等级配置权限，已有每类 1 级门槛 0、2 级门槛 100、3 级门槛 200；各行勋章图有效</x:v>
      </x:c>
      <x:c r="J353" s="9" t="str">
        <x:v>1. 打开等级配置
2. 切换粉丝团等级
3. 查看 1 级门槛</x:v>
      </x:c>
      <x:c r="K353" s="9" t="str">
        <x:v>1 级门槛为 0 且不可编辑</x:v>
      </x:c>
      <x:c r="L353" s="10" t="str"/>
      <x:c r="M353" s="10" t="str">
        <x:v>未测</x:v>
      </x:c>
      <x:c r="N353" s="10" t="str"/>
      <x:c r="O353" s="9" t="str">
        <x:v>1. 来源（当前证据）：liveshow-proto/MainBasis/统一需求文档.md；位置：第 2957 行；REQ-82b18aa0a1a9、第 2964 行；REQ-ba2db1ee018d、第 2950 行
2. 规则：BR-9D4CD5612FC683
3. 未动态验证
4. 示例账号、编号、金额与日期是本条测试数据；执行前按前置条件准备，未填写的产品决策不得自行假定。</x:v>
      </x:c>
    </x:row>
    <x:row r="354" ht="130" customHeight="1">
      <x:c r="A354" s="10" t="n">
        <x:v>353</x:v>
      </x:c>
      <x:c r="B354" s="10" t="str">
        <x:v>ADMIN-0353</x:v>
      </x:c>
      <x:c r="C354" s="10" t="str">
        <x:v>运营管理</x:v>
      </x:c>
      <x:c r="D354" s="10" t="str">
        <x:v>等级配置（平台管理员）</x:v>
      </x:c>
      <x:c r="E354" s="10" t="str">
        <x:v>功能需求</x:v>
      </x:c>
      <x:c r="F354" s="10" t="str">
        <x:v>P2</x:v>
      </x:c>
      <x:c r="G354" s="9" t="str">
        <x:v>验证粉丝团等级三级门槛设置 99</x:v>
      </x:c>
      <x:c r="H354" s="9" t="str">
        <x:v>等级门槛严格递增</x:v>
      </x:c>
      <x:c r="I354" s="9" t="str">
        <x:v>1. 平台管理员为本条执行者
2. 后台账号具有等级配置权限，已有每类 1 级门槛 0、2 级门槛 100、3 级门槛 200；各行勋章图有效</x:v>
      </x:c>
      <x:c r="J354" s="9" t="str">
        <x:v>1. 打开等级配置
2. 切换粉丝团等级
3. 输入 3 级门槛 99
4. 点击保存</x:v>
      </x:c>
      <x:c r="K354" s="9" t="str">
        <x:v>未保存本次等级门槛</x:v>
      </x:c>
      <x:c r="L354" s="10" t="str"/>
      <x:c r="M354" s="10" t="str">
        <x:v>未测</x:v>
      </x:c>
      <x:c r="N354" s="10" t="str"/>
      <x:c r="O354" s="9" t="str">
        <x:v>1. 来源（当前证据）：liveshow-proto/MainBasis/统一需求文档.md；位置：第 2964 行；REQ-ba2db1ee018d、第 2950 行
2. 规则：BR-312ED9C890B7A7
3. 未动态验证
4. 示例账号、编号、金额与日期是本条测试数据；执行前按前置条件准备，未填写的产品决策不得自行假定。</x:v>
      </x:c>
    </x:row>
    <x:row r="355" ht="130" customHeight="1">
      <x:c r="A355" s="10" t="n">
        <x:v>354</x:v>
      </x:c>
      <x:c r="B355" s="10" t="str">
        <x:v>ADMIN-0354</x:v>
      </x:c>
      <x:c r="C355" s="10" t="str">
        <x:v>运营管理</x:v>
      </x:c>
      <x:c r="D355" s="10" t="str">
        <x:v>等级配置（平台管理员）</x:v>
      </x:c>
      <x:c r="E355" s="10" t="str">
        <x:v>功能需求</x:v>
      </x:c>
      <x:c r="F355" s="10" t="str">
        <x:v>P2</x:v>
      </x:c>
      <x:c r="G355" s="9" t="str">
        <x:v>验证粉丝团等级三级门槛设置 100</x:v>
      </x:c>
      <x:c r="H355" s="9" t="str">
        <x:v>等级门槛严格递增</x:v>
      </x:c>
      <x:c r="I355" s="9" t="str">
        <x:v>1. 平台管理员为本条执行者
2. 后台账号具有等级配置权限，已有每类 1 级门槛 0、2 级门槛 100、3 级门槛 200；各行勋章图有效</x:v>
      </x:c>
      <x:c r="J355" s="9" t="str">
        <x:v>1. 打开等级配置
2. 切换粉丝团等级
3. 输入 3 级门槛 100
4. 点击保存</x:v>
      </x:c>
      <x:c r="K355" s="9" t="str">
        <x:v>未保存本次等级门槛</x:v>
      </x:c>
      <x:c r="L355" s="10" t="str"/>
      <x:c r="M355" s="10" t="str">
        <x:v>未测</x:v>
      </x:c>
      <x:c r="N355" s="10" t="str"/>
      <x:c r="O355" s="9" t="str">
        <x:v>1. 来源（当前证据）：liveshow-proto/MainBasis/统一需求文档.md；位置：第 2964 行；REQ-ba2db1ee018d、第 2950 行
2. 规则：BR-8C3876770CD0ED
3. 未动态验证
4. 示例账号、编号、金额与日期是本条测试数据；执行前按前置条件准备，未填写的产品决策不得自行假定。</x:v>
      </x:c>
    </x:row>
    <x:row r="356" ht="130" customHeight="1">
      <x:c r="A356" s="10" t="n">
        <x:v>355</x:v>
      </x:c>
      <x:c r="B356" s="10" t="str">
        <x:v>ADMIN-0355</x:v>
      </x:c>
      <x:c r="C356" s="10" t="str">
        <x:v>运营管理</x:v>
      </x:c>
      <x:c r="D356" s="10" t="str">
        <x:v>等级配置（平台管理员）</x:v>
      </x:c>
      <x:c r="E356" s="10" t="str">
        <x:v>功能需求</x:v>
      </x:c>
      <x:c r="F356" s="10" t="str">
        <x:v>P2</x:v>
      </x:c>
      <x:c r="G356" s="9" t="str">
        <x:v>验证粉丝团等级三级门槛设置 101</x:v>
      </x:c>
      <x:c r="H356" s="9" t="str">
        <x:v>等级门槛严格递增</x:v>
      </x:c>
      <x:c r="I356" s="9" t="str">
        <x:v>1. 平台管理员为本条执行者
2. 后台账号具有等级配置权限，已有每类 1 级门槛 0、2 级门槛 100、3 级门槛 200；各行勋章图有效</x:v>
      </x:c>
      <x:c r="J356" s="9" t="str">
        <x:v>1. 打开等级配置
2. 切换粉丝团等级
3. 输入 3 级门槛 101
4. 点击保存</x:v>
      </x:c>
      <x:c r="K356" s="9" t="str">
        <x:v>3 级门槛保存为 101</x:v>
      </x:c>
      <x:c r="L356" s="10" t="str"/>
      <x:c r="M356" s="10" t="str">
        <x:v>未测</x:v>
      </x:c>
      <x:c r="N356" s="10" t="str"/>
      <x:c r="O356" s="9" t="str">
        <x:v>1. 来源（当前证据）：liveshow-proto/MainBasis/统一需求文档.md；位置：第 2964 行；REQ-ba2db1ee018d、第 2950 行
2. 规则：BR-A3BF0C262A0E34
3. 未动态验证
4. 示例账号、编号、金额与日期是本条测试数据；执行前按前置条件准备，未填写的产品决策不得自行假定。</x:v>
      </x:c>
    </x:row>
    <x:row r="357" ht="130" customHeight="1">
      <x:c r="A357" s="10" t="n">
        <x:v>356</x:v>
      </x:c>
      <x:c r="B357" s="10" t="str">
        <x:v>ADMIN-0356</x:v>
      </x:c>
      <x:c r="C357" s="10" t="str">
        <x:v>运营管理</x:v>
      </x:c>
      <x:c r="D357" s="10" t="str">
        <x:v>等级配置（平台管理员）</x:v>
      </x:c>
      <x:c r="E357" s="10" t="str">
        <x:v>功能需求</x:v>
      </x:c>
      <x:c r="F357" s="10" t="str">
        <x:v>P2</x:v>
      </x:c>
      <x:c r="G357" s="9" t="str">
        <x:v>验证粉丝团等级新增等级连续编号</x:v>
      </x:c>
      <x:c r="H357" s="9" t="str">
        <x:v>新增等级编号</x:v>
      </x:c>
      <x:c r="I357" s="9" t="str">
        <x:v>1. 平台管理员为本条执行者
2. 后台账号具有等级配置权限，已有每类 1 级门槛 0、2 级门槛 100、3 级门槛 200；各行勋章图有效</x:v>
      </x:c>
      <x:c r="J357" s="9" t="str">
        <x:v>1. 打开等级配置
2. 切换粉丝团等级
3. 点击新增等级</x:v>
      </x:c>
      <x:c r="K357" s="9" t="str">
        <x:v>新增行等级编号为 4</x:v>
      </x:c>
      <x:c r="L357" s="10" t="str"/>
      <x:c r="M357" s="10" t="str">
        <x:v>未测</x:v>
      </x:c>
      <x:c r="N357" s="10" t="str"/>
      <x:c r="O357" s="9" t="str">
        <x:v>1. 来源（当前证据）：liveshow-proto/MainBasis/统一需求文档.md；位置：第 2965 行；REQ-27039c0eae16、第 2950 行
2. 规则：BR-0F9D4148FA1D65
3. 未动态验证
4. 示例账号、编号、金额与日期是本条测试数据；执行前按前置条件准备，未填写的产品决策不得自行假定。</x:v>
      </x:c>
    </x:row>
    <x:row r="358" ht="130" customHeight="1">
      <x:c r="A358" s="10" t="n">
        <x:v>357</x:v>
      </x:c>
      <x:c r="B358" s="10" t="str">
        <x:v>ADMIN-0357</x:v>
      </x:c>
      <x:c r="C358" s="10" t="str">
        <x:v>运营管理</x:v>
      </x:c>
      <x:c r="D358" s="10" t="str">
        <x:v>等级配置（平台管理员）</x:v>
      </x:c>
      <x:c r="E358" s="10" t="str">
        <x:v>功能需求</x:v>
      </x:c>
      <x:c r="F358" s="10" t="str">
        <x:v>P2</x:v>
      </x:c>
      <x:c r="G358" s="9" t="str">
        <x:v>验证粉丝团等级新增等级连续编号</x:v>
      </x:c>
      <x:c r="H358" s="9" t="str">
        <x:v>新增等级门槛初态</x:v>
      </x:c>
      <x:c r="I358" s="9" t="str">
        <x:v>1. 平台管理员为本条执行者
2. 后台账号具有等级配置权限，已有每类 1 级门槛 0、2 级门槛 100、3 级门槛 200；各行勋章图有效</x:v>
      </x:c>
      <x:c r="J358" s="9" t="str">
        <x:v>1. 打开等级配置
2. 切换粉丝团等级
3. 点击新增等级</x:v>
      </x:c>
      <x:c r="K358" s="9" t="str">
        <x:v>新增行金币数值为空</x:v>
      </x:c>
      <x:c r="L358" s="10" t="str"/>
      <x:c r="M358" s="10" t="str">
        <x:v>未测</x:v>
      </x:c>
      <x:c r="N358" s="10" t="str"/>
      <x:c r="O358" s="9" t="str">
        <x:v>1. 来源（当前证据）：liveshow-proto/MainBasis/统一需求文档.md；位置：第 2965 行；REQ-27039c0eae16、第 2950 行
2. 规则：BR-1558CDD2445448
3. 未动态验证
4. 示例账号、编号、金额与日期是本条测试数据；执行前按前置条件准备，未填写的产品决策不得自行假定。</x:v>
      </x:c>
    </x:row>
    <x:row r="359" ht="145" customHeight="1">
      <x:c r="A359" s="10" t="n">
        <x:v>358</x:v>
      </x:c>
      <x:c r="B359" s="10" t="str">
        <x:v>ADMIN-0358</x:v>
      </x:c>
      <x:c r="C359" s="10" t="str">
        <x:v>运营管理</x:v>
      </x:c>
      <x:c r="D359" s="10" t="str">
        <x:v>等级配置（平台管理员）</x:v>
      </x:c>
      <x:c r="E359" s="10" t="str">
        <x:v>功能需求</x:v>
      </x:c>
      <x:c r="F359" s="10" t="str">
        <x:v>P2</x:v>
      </x:c>
      <x:c r="G359" s="9" t="str">
        <x:v>验证粉丝团等级缺少勋章图不能保存</x:v>
      </x:c>
      <x:c r="H359" s="9" t="str">
        <x:v>等级勋章图必填</x:v>
      </x:c>
      <x:c r="I359" s="9" t="str">
        <x:v>1. 平台管理员为本条执行者
2. 后台账号具有等级配置权限，已有每类 1 级门槛 0、2 级门槛 100、3 级门槛 200；各行勋章图有效</x:v>
      </x:c>
      <x:c r="J359" s="9" t="str">
        <x:v>1. 打开等级配置
2. 切换粉丝团等级
3. 删除 2 级勋章图
4. 点击保存</x:v>
      </x:c>
      <x:c r="K359" s="9" t="str">
        <x:v>本次等级配置未保存</x:v>
      </x:c>
      <x:c r="L359" s="10" t="str"/>
      <x:c r="M359" s="10" t="str">
        <x:v>未测</x:v>
      </x:c>
      <x:c r="N359" s="10" t="str"/>
      <x:c r="O359" s="9" t="str">
        <x:v>1. 来源（当前证据）：liveshow-proto/MainBasis/统一需求文档.md；位置：第 2966 行；REQ-024246690735、第 2967 行；REQ-07868b95d9d4、第 2950 行
2. 规则：BR-02E47D9D2A90D5
3. 未动态验证
4. 示例账号、编号、金额与日期是本条测试数据；执行前按前置条件准备，未填写的产品决策不得自行假定。</x:v>
      </x:c>
    </x:row>
    <x:row r="360" ht="130" customHeight="1">
      <x:c r="A360" s="10" t="n">
        <x:v>359</x:v>
      </x:c>
      <x:c r="B360" s="10" t="str">
        <x:v>ADMIN-0359</x:v>
      </x:c>
      <x:c r="C360" s="10" t="str">
        <x:v>运营管理</x:v>
      </x:c>
      <x:c r="D360" s="10" t="str">
        <x:v>等级配置（平台管理员）</x:v>
      </x:c>
      <x:c r="E360" s="10" t="str">
        <x:v>功能需求</x:v>
      </x:c>
      <x:c r="F360" s="10" t="str">
        <x:v>P2</x:v>
      </x:c>
      <x:c r="G360" s="9" t="str">
        <x:v>验证粉丝团等级取消选择新图片保留原图</x:v>
      </x:c>
      <x:c r="H360" s="9" t="str">
        <x:v>勋章图片选择取消</x:v>
      </x:c>
      <x:c r="I360" s="9" t="str">
        <x:v>1. 平台管理员为本条执行者
2. 后台账号具有等级配置权限，已有每类 1 级门槛 0、2 级门槛 100、3 级门槛 200；各行勋章图有效</x:v>
      </x:c>
      <x:c r="J360" s="9" t="str">
        <x:v>1. 打开等级配置
2. 切换粉丝团等级
3. 点击更换 2 级图片
4. 取消图片选择</x:v>
      </x:c>
      <x:c r="K360" s="9" t="str">
        <x:v>2 级保留原图片</x:v>
      </x:c>
      <x:c r="L360" s="10" t="str"/>
      <x:c r="M360" s="10" t="str">
        <x:v>未测</x:v>
      </x:c>
      <x:c r="N360" s="10" t="str"/>
      <x:c r="O360" s="9" t="str">
        <x:v>1. 来源（当前证据）：liveshow-proto/MainBasis/统一需求文档.md；位置：第 2968 行；REQ-9aa54378b21d、第 2950 行
2. 规则：BR-A7DDC43815A75B
3. 未动态验证
4. 示例账号、编号、金额与日期是本条测试数据；执行前按前置条件准备，未填写的产品决策不得自行假定。</x:v>
      </x:c>
    </x:row>
    <x:row r="361" ht="130" customHeight="1">
      <x:c r="A361" s="10" t="n">
        <x:v>360</x:v>
      </x:c>
      <x:c r="B361" s="10" t="str">
        <x:v>ADMIN-0360</x:v>
      </x:c>
      <x:c r="C361" s="10" t="str">
        <x:v>运营管理</x:v>
      </x:c>
      <x:c r="D361" s="10" t="str">
        <x:v>等级配置（平台管理员）</x:v>
      </x:c>
      <x:c r="E361" s="10" t="str">
        <x:v>功能需求</x:v>
      </x:c>
      <x:c r="F361" s="10" t="str">
        <x:v>P2</x:v>
      </x:c>
      <x:c r="G361" s="9" t="str">
        <x:v>验证粉丝团等级选择非图片文本文件</x:v>
      </x:c>
      <x:c r="H361" s="9" t="str">
        <x:v>无效勋章图片</x:v>
      </x:c>
      <x:c r="I361" s="9" t="str">
        <x:v>1. 平台管理员为本条执行者
2. 后台账号具有等级配置权限，已有每类 1 级门槛 0、2 级门槛 100、3 级门槛 200；各行勋章图有效</x:v>
      </x:c>
      <x:c r="J361" s="9" t="str">
        <x:v>1. 打开等级配置
2. 切换粉丝团等级
3. 点击更换 2 级图片
4. 选择非图片文本文件</x:v>
      </x:c>
      <x:c r="K361" s="9" t="str">
        <x:v>2 级保留原有效图片</x:v>
      </x:c>
      <x:c r="L361" s="10" t="str"/>
      <x:c r="M361" s="10" t="str">
        <x:v>未测</x:v>
      </x:c>
      <x:c r="N361" s="10" t="str"/>
      <x:c r="O361" s="9" t="str">
        <x:v>1. 来源（当前证据）：liveshow-proto/MainBasis/统一需求文档.md；位置：第 2968 行；REQ-9aa54378b21d、第 2950 行
2. 规则：BR-9AC0E7493747DA
3. 未动态验证
4. 示例账号、编号、金额与日期是本条测试数据；执行前按前置条件准备，未填写的产品决策不得自行假定。</x:v>
      </x:c>
    </x:row>
    <x:row r="362" ht="130" customHeight="1">
      <x:c r="A362" s="10" t="n">
        <x:v>361</x:v>
      </x:c>
      <x:c r="B362" s="10" t="str">
        <x:v>ADMIN-0361</x:v>
      </x:c>
      <x:c r="C362" s="10" t="str">
        <x:v>运营管理</x:v>
      </x:c>
      <x:c r="D362" s="10" t="str">
        <x:v>等级配置（平台管理员）</x:v>
      </x:c>
      <x:c r="E362" s="10" t="str">
        <x:v>功能需求</x:v>
      </x:c>
      <x:c r="F362" s="10" t="str">
        <x:v>P2</x:v>
      </x:c>
      <x:c r="G362" s="9" t="str">
        <x:v>验证粉丝团等级选择损坏图片</x:v>
      </x:c>
      <x:c r="H362" s="9" t="str">
        <x:v>无效勋章图片</x:v>
      </x:c>
      <x:c r="I362" s="9" t="str">
        <x:v>1. 平台管理员为本条执行者
2. 后台账号具有等级配置权限，已有每类 1 级门槛 0、2 级门槛 100、3 级门槛 200；各行勋章图有效</x:v>
      </x:c>
      <x:c r="J362" s="9" t="str">
        <x:v>1. 打开等级配置
2. 切换粉丝团等级
3. 点击更换 2 级图片
4. 选择损坏图片</x:v>
      </x:c>
      <x:c r="K362" s="9" t="str">
        <x:v>2 级保留原有效图片</x:v>
      </x:c>
      <x:c r="L362" s="10" t="str"/>
      <x:c r="M362" s="10" t="str">
        <x:v>未测</x:v>
      </x:c>
      <x:c r="N362" s="10" t="str"/>
      <x:c r="O362" s="9" t="str">
        <x:v>1. 来源（当前证据）：liveshow-proto/MainBasis/统一需求文档.md；位置：第 2968 行；REQ-9aa54378b21d、第 2950 行
2. 规则：BR-251A1700B35922
3. 未动态验证
4. 示例账号、编号、金额与日期是本条测试数据；执行前按前置条件准备，未填写的产品决策不得自行假定。</x:v>
      </x:c>
    </x:row>
    <x:row r="363" ht="130" customHeight="1">
      <x:c r="A363" s="10" t="n">
        <x:v>362</x:v>
      </x:c>
      <x:c r="B363" s="10" t="str">
        <x:v>ADMIN-0362</x:v>
      </x:c>
      <x:c r="C363" s="10" t="str">
        <x:v>运营管理</x:v>
      </x:c>
      <x:c r="D363" s="10" t="str">
        <x:v>等级配置（平台管理员）</x:v>
      </x:c>
      <x:c r="E363" s="10" t="str">
        <x:v>功能需求</x:v>
      </x:c>
      <x:c r="F363" s="10" t="str">
        <x:v>P2</x:v>
      </x:c>
      <x:c r="G363" s="9" t="str">
        <x:v>验证切换等级类型保留未保存输入</x:v>
      </x:c>
      <x:c r="H363" s="9" t="str">
        <x:v>等级切换保留草稿</x:v>
      </x:c>
      <x:c r="I363" s="9" t="str">
        <x:v>1. 平台管理员为本条执行者
2. 后台账号具有等级配置权限，已有每类 1 级门槛 0、2 级门槛 100、3 级门槛 200；各行勋章图有效</x:v>
      </x:c>
      <x:c r="J363" s="9" t="str">
        <x:v>1. 打开等级配置
2. 切换主播等级
3. 修改 2 级门槛为 150
4. 切换财富等级
5. 返回主播等级</x:v>
      </x:c>
      <x:c r="K363" s="9" t="str">
        <x:v>主播等级 2 级输入仍为 150</x:v>
      </x:c>
      <x:c r="L363" s="10" t="str"/>
      <x:c r="M363" s="10" t="str">
        <x:v>未测</x:v>
      </x:c>
      <x:c r="N363" s="10" t="str"/>
      <x:c r="O363" s="9" t="str">
        <x:v>1. 来源（当前证据）：liveshow-proto/MainBasis/统一需求文档.md；位置：第 2966 行；REQ-024246690735、第 2950 行
2. 规则：BR-89ACD0DD44CD0D
3. 未动态验证
4. 示例账号、编号、金额与日期是本条测试数据；执行前按前置条件准备，未填写的产品决策不得自行假定。</x:v>
      </x:c>
    </x:row>
    <x:row r="364" ht="130" customHeight="1">
      <x:c r="A364" s="10" t="n">
        <x:v>363</x:v>
      </x:c>
      <x:c r="B364" s="10" t="str">
        <x:v>ADMIN-0363</x:v>
      </x:c>
      <x:c r="C364" s="10" t="str">
        <x:v>运营管理</x:v>
      </x:c>
      <x:c r="D364" s="10" t="str">
        <x:v>等级配置（平台管理员）</x:v>
      </x:c>
      <x:c r="E364" s="10" t="str">
        <x:v>功能需求</x:v>
      </x:c>
      <x:c r="F364" s="10" t="str">
        <x:v>P2</x:v>
      </x:c>
      <x:c r="G364" s="9" t="str">
        <x:v>验证保存只影响当前等级类型</x:v>
      </x:c>
      <x:c r="H364" s="9" t="str">
        <x:v>等级配置保存范围</x:v>
      </x:c>
      <x:c r="I364" s="9" t="str">
        <x:v>1. 平台管理员为本条执行者
2. 后台账号具有等级配置权限，已有每类 1 级门槛 0、2 级门槛 100、3 级门槛 200；各行勋章图有效</x:v>
      </x:c>
      <x:c r="J364" s="9" t="str">
        <x:v>1. 打开等级配置
2. 切换主播等级
3. 修改 2 级门槛为 150
4. 切换财富等级
5. 修改 2 级门槛为 160
6. 点击保存
7. 刷新等级配置
8. 切换主播等级</x:v>
      </x:c>
      <x:c r="K364" s="9" t="str">
        <x:v>主播等级 2 级仍为已保存的 100</x:v>
      </x:c>
      <x:c r="L364" s="10" t="str"/>
      <x:c r="M364" s="10" t="str">
        <x:v>未测</x:v>
      </x:c>
      <x:c r="N364" s="10" t="str"/>
      <x:c r="O364" s="9" t="str">
        <x:v>1. 来源（当前证据）：liveshow-proto/MainBasis/统一需求文档.md；位置：第 2966 行；REQ-024246690735、第 2950 行
2. 规则：BR-CB7728F8DF300A
3. 未动态验证
4. 示例账号、编号、金额与日期是本条测试数据；执行前按前置条件准备，未填写的产品决策不得自行假定。</x:v>
      </x:c>
    </x:row>
    <x:row r="365" ht="160" customHeight="1">
      <x:c r="A365" s="10" t="n">
        <x:v>364</x:v>
      </x:c>
      <x:c r="B365" s="10" t="str">
        <x:v>ADMIN-0364</x:v>
      </x:c>
      <x:c r="C365" s="10" t="str">
        <x:v>礼物与道具</x:v>
      </x:c>
      <x:c r="D365" s="10" t="str">
        <x:v>幸运礼物（平台管理员）</x:v>
      </x:c>
      <x:c r="E365" s="10" t="str">
        <x:v>功能需求</x:v>
      </x:c>
      <x:c r="F365" s="10" t="str">
        <x:v>P2</x:v>
      </x:c>
      <x:c r="G365" s="9" t="str">
        <x:v>验证幸运礼物 1 次开奖配置的理论返还率</x:v>
      </x:c>
      <x:c r="H365" s="9" t="str">
        <x:v>幸运礼物理论返还率</x:v>
      </x:c>
      <x:c r="I365" s="9" t="str">
        <x:v>1. 平台管理员为本条执行者
2. 幸运礼物配置采用当前需求默认概率与10金币单次消耗</x:v>
      </x:c>
      <x:c r="J365" s="9" t="str">
        <x:v>1. 打开幸运礼物
2. 查看开奖次数为 1 的配置</x:v>
      </x:c>
      <x:c r="K365" s="9" t="str">
        <x:v>长期平均返还比例为 96%</x:v>
      </x:c>
      <x:c r="L365" s="10" t="str"/>
      <x:c r="M365" s="10" t="str">
        <x:v>未测</x:v>
      </x:c>
      <x:c r="N365" s="10" t="str"/>
      <x:c r="O365" s="9" t="str">
        <x:v>1. 来源（当前证据）：liveshow-proto/MainBasis/统一需求文档.md；位置：第 2771 行；REQ-2e71a002220d、第 2773 行；REQ-6c4bfec0c6b8、第 2774 行；REQ-5944c3ac1eb9、第 2765 行
2. 规则：BR-C8B8B858834669
3. 未动态验证
4. 示例账号、编号、金额与日期是本条测试数据；执行前按前置条件准备，未填写的产品决策不得自行假定。</x:v>
      </x:c>
    </x:row>
    <x:row r="366" ht="160" customHeight="1">
      <x:c r="A366" s="10" t="n">
        <x:v>365</x:v>
      </x:c>
      <x:c r="B366" s="10" t="str">
        <x:v>ADMIN-0365</x:v>
      </x:c>
      <x:c r="C366" s="10" t="str">
        <x:v>礼物与道具</x:v>
      </x:c>
      <x:c r="D366" s="10" t="str">
        <x:v>幸运礼物（平台管理员）</x:v>
      </x:c>
      <x:c r="E366" s="10" t="str">
        <x:v>功能需求</x:v>
      </x:c>
      <x:c r="F366" s="10" t="str">
        <x:v>P2</x:v>
      </x:c>
      <x:c r="G366" s="9" t="str">
        <x:v>验证幸运礼物 10 次开奖配置的理论返还率</x:v>
      </x:c>
      <x:c r="H366" s="9" t="str">
        <x:v>幸运礼物理论返还率</x:v>
      </x:c>
      <x:c r="I366" s="9" t="str">
        <x:v>1. 平台管理员为本条执行者
2. 幸运礼物配置采用当前需求默认概率与10金币单次消耗</x:v>
      </x:c>
      <x:c r="J366" s="9" t="str">
        <x:v>1. 打开幸运礼物
2. 查看开奖次数为 10 的配置</x:v>
      </x:c>
      <x:c r="K366" s="9" t="str">
        <x:v>长期平均返还比例为 97%</x:v>
      </x:c>
      <x:c r="L366" s="10" t="str"/>
      <x:c r="M366" s="10" t="str">
        <x:v>未测</x:v>
      </x:c>
      <x:c r="N366" s="10" t="str"/>
      <x:c r="O366" s="9" t="str">
        <x:v>1. 来源（当前证据）：liveshow-proto/MainBasis/统一需求文档.md；位置：第 2771 行；REQ-2e71a002220d、第 2773 行；REQ-6c4bfec0c6b8、第 2774 行；REQ-5944c3ac1eb9、第 2765 行
2. 规则：BR-E26B4347D24D29
3. 未动态验证
4. 示例账号、编号、金额与日期是本条测试数据；执行前按前置条件准备，未填写的产品决策不得自行假定。</x:v>
      </x:c>
    </x:row>
    <x:row r="367" ht="160" customHeight="1">
      <x:c r="A367" s="10" t="n">
        <x:v>366</x:v>
      </x:c>
      <x:c r="B367" s="10" t="str">
        <x:v>ADMIN-0366</x:v>
      </x:c>
      <x:c r="C367" s="10" t="str">
        <x:v>礼物与道具</x:v>
      </x:c>
      <x:c r="D367" s="10" t="str">
        <x:v>幸运礼物（平台管理员）</x:v>
      </x:c>
      <x:c r="E367" s="10" t="str">
        <x:v>功能需求</x:v>
      </x:c>
      <x:c r="F367" s="10" t="str">
        <x:v>P2</x:v>
      </x:c>
      <x:c r="G367" s="9" t="str">
        <x:v>验证幸运礼物 100 次开奖配置的理论返还率</x:v>
      </x:c>
      <x:c r="H367" s="9" t="str">
        <x:v>幸运礼物理论返还率</x:v>
      </x:c>
      <x:c r="I367" s="9" t="str">
        <x:v>1. 平台管理员为本条执行者
2. 幸运礼物配置采用当前需求默认概率与10金币单次消耗</x:v>
      </x:c>
      <x:c r="J367" s="9" t="str">
        <x:v>1. 打开幸运礼物
2. 查看开奖次数为 100 的配置</x:v>
      </x:c>
      <x:c r="K367" s="9" t="str">
        <x:v>长期平均返还比例为 98%</x:v>
      </x:c>
      <x:c r="L367" s="10" t="str"/>
      <x:c r="M367" s="10" t="str">
        <x:v>未测</x:v>
      </x:c>
      <x:c r="N367" s="10" t="str"/>
      <x:c r="O367" s="9" t="str">
        <x:v>1. 来源（当前证据）：liveshow-proto/MainBasis/统一需求文档.md；位置：第 2771 行；REQ-2e71a002220d、第 2773 行；REQ-6c4bfec0c6b8、第 2774 行；REQ-5944c3ac1eb9、第 2765 行
2. 规则：BR-EC54AD05B754A2
3. 未动态验证
4. 示例账号、编号、金额与日期是本条测试数据；执行前按前置条件准备，未填写的产品决策不得自行假定。</x:v>
      </x:c>
    </x:row>
    <x:row r="368" ht="130" customHeight="1">
      <x:c r="A368" s="10" t="n">
        <x:v>367</x:v>
      </x:c>
      <x:c r="B368" s="10" t="str">
        <x:v>ADMIN-0367</x:v>
      </x:c>
      <x:c r="C368" s="10" t="str">
        <x:v>礼物与道具</x:v>
      </x:c>
      <x:c r="D368" s="10" t="str">
        <x:v>幸运礼物编辑（平台管理员）</x:v>
      </x:c>
      <x:c r="E368" s="10" t="str">
        <x:v>功能需求</x:v>
      </x:c>
      <x:c r="F368" s="10" t="str">
        <x:v>P2</x:v>
      </x:c>
      <x:c r="G368" s="9" t="str">
        <x:v>验证幸运礼物单价等于单次消耗乘开奖次数</x:v>
      </x:c>
      <x:c r="H368" s="9" t="str">
        <x:v>礼物单价</x:v>
      </x:c>
      <x:c r="I368" s="9" t="str">
        <x:v>1. 平台管理员为本条执行者
2. 单次消耗 10 金币，开奖次数 10，奖励0概率4%，奖励10概率96%</x:v>
      </x:c>
      <x:c r="J368" s="9" t="str">
        <x:v>1. 打开幸运礼物编辑
2. 查看礼物单价</x:v>
      </x:c>
      <x:c r="K368" s="9" t="str">
        <x:v>礼物单价 = 100 金币</x:v>
      </x:c>
      <x:c r="L368" s="10" t="str"/>
      <x:c r="M368" s="10" t="str">
        <x:v>未测</x:v>
      </x:c>
      <x:c r="N368" s="10" t="str"/>
      <x:c r="O368" s="9" t="str">
        <x:v>1. 来源（当前证据）：liveshow-proto/MainBasis/统一需求文档.md；位置：第 2785 行；REQ-5c817820e007、第 2781 行
2. 规则：BR-ABB1B4B9027EB6
3. 未动态验证
4. 示例账号、编号、金额与日期是本条测试数据；执行前按前置条件准备，未填写的产品决策不得自行假定。</x:v>
      </x:c>
    </x:row>
    <x:row r="369" ht="160" customHeight="1">
      <x:c r="A369" s="10" t="n">
        <x:v>368</x:v>
      </x:c>
      <x:c r="B369" s="10" t="str">
        <x:v>ADMIN-0368</x:v>
      </x:c>
      <x:c r="C369" s="10" t="str">
        <x:v>礼物与道具</x:v>
      </x:c>
      <x:c r="D369" s="10" t="str">
        <x:v>幸运礼物编辑（平台管理员）</x:v>
      </x:c>
      <x:c r="E369" s="10" t="str">
        <x:v>功能需求</x:v>
      </x:c>
      <x:c r="F369" s="10" t="str">
        <x:v>P2</x:v>
      </x:c>
      <x:c r="G369" s="9" t="str">
        <x:v>验证幸运礼物RTP按概率加权计算</x:v>
      </x:c>
      <x:c r="H369" s="9" t="str">
        <x:v>RTP</x:v>
      </x:c>
      <x:c r="I369" s="9" t="str">
        <x:v>1. 平台管理员为本条执行者
2. 单次消耗 10 金币，开奖次数 10，奖励0概率4%，奖励10概率96%</x:v>
      </x:c>
      <x:c r="J369" s="9" t="str">
        <x:v>1. 打开幸运礼物编辑
2. 查看 RTP</x:v>
      </x:c>
      <x:c r="K369" s="9" t="str">
        <x:v>RTP = 96 %</x:v>
      </x:c>
      <x:c r="L369" s="10" t="str"/>
      <x:c r="M369" s="10" t="str">
        <x:v>未测</x:v>
      </x:c>
      <x:c r="N369" s="10" t="str"/>
      <x:c r="O369" s="9" t="str">
        <x:v>1. 来源（当前证据）：liveshow-proto/MainBasis/统一需求文档.md；位置：第 2788 行；REQ-20e987021be3、第 2791 行；REQ-ec77660b0bd0、第 2792 行；REQ-12dcff94a116、第 2781 行
2. 规则：BR-C70F97D1871084
3. 未动态验证
4. 示例账号、编号、金额与日期是本条测试数据；执行前按前置条件准备，未填写的产品决策不得自行假定。</x:v>
      </x:c>
    </x:row>
    <x:row r="370" ht="160" customHeight="1">
      <x:c r="A370" s="10" t="n">
        <x:v>369</x:v>
      </x:c>
      <x:c r="B370" s="10" t="str">
        <x:v>ADMIN-0369</x:v>
      </x:c>
      <x:c r="C370" s="10" t="str">
        <x:v>礼物与道具</x:v>
      </x:c>
      <x:c r="D370" s="10" t="str">
        <x:v>定制礼物（平台管理员）</x:v>
      </x:c>
      <x:c r="E370" s="10" t="str">
        <x:v>功能需求</x:v>
      </x:c>
      <x:c r="F370" s="10" t="str">
        <x:v>P2</x:v>
      </x:c>
      <x:c r="G370" s="9" t="str">
        <x:v>验证定制礼物在 09/01 09:59 的可用性</x:v>
      </x:c>
      <x:c r="H370" s="9" t="str">
        <x:v>定制礼物有效时段</x:v>
      </x:c>
      <x:c r="I370" s="9" t="str">
        <x:v>1. 平台管理员为本条执行者
2. 定制礼物甲配置生效09/01 10:00、失效09/02 10:00，尚未手动下架
3. 测试业务时间为 09/01 09:59</x:v>
      </x:c>
      <x:c r="J370" s="9" t="str">
        <x:v>1. 打开定制礼物
2. 查看礼物甲</x:v>
      </x:c>
      <x:c r="K370" s="9" t="str">
        <x:v>礼物甲状态为未生效</x:v>
      </x:c>
      <x:c r="L370" s="10" t="str"/>
      <x:c r="M370" s="10" t="str">
        <x:v>未测</x:v>
      </x:c>
      <x:c r="N370" s="10" t="str"/>
      <x:c r="O370" s="9" t="str">
        <x:v>1. 来源（当前证据）：liveshow-proto/MainBasis/统一需求文档.md；位置：第 2759 行；REQ-8195acc4e3f3、第 2760 行；REQ-b51fad04bcba、第 2761 行；REQ-562867635933、第 2756 行
2. 规则：BR-5502E1E3E9D10B
3. 未动态验证
4. 示例账号、编号、金额与日期是本条测试数据；执行前按前置条件准备，未填写的产品决策不得自行假定。</x:v>
      </x:c>
    </x:row>
    <x:row r="371" ht="160" customHeight="1">
      <x:c r="A371" s="10" t="n">
        <x:v>370</x:v>
      </x:c>
      <x:c r="B371" s="10" t="str">
        <x:v>ADMIN-0370</x:v>
      </x:c>
      <x:c r="C371" s="10" t="str">
        <x:v>礼物与道具</x:v>
      </x:c>
      <x:c r="D371" s="10" t="str">
        <x:v>定制礼物（平台管理员）</x:v>
      </x:c>
      <x:c r="E371" s="10" t="str">
        <x:v>功能需求</x:v>
      </x:c>
      <x:c r="F371" s="10" t="str">
        <x:v>P2</x:v>
      </x:c>
      <x:c r="G371" s="9" t="str">
        <x:v>验证定制礼物在 09/01 10:01 的可用性</x:v>
      </x:c>
      <x:c r="H371" s="9" t="str">
        <x:v>定制礼物有效时段</x:v>
      </x:c>
      <x:c r="I371" s="9" t="str">
        <x:v>1. 平台管理员为本条执行者
2. 定制礼物甲配置生效09/01 10:00、失效09/02 10:00，尚未手动下架
3. 测试业务时间为 09/01 10:01</x:v>
      </x:c>
      <x:c r="J371" s="9" t="str">
        <x:v>1. 打开定制礼物
2. 查看礼物甲</x:v>
      </x:c>
      <x:c r="K371" s="9" t="str">
        <x:v>礼物甲状态为上架中</x:v>
      </x:c>
      <x:c r="L371" s="10" t="str"/>
      <x:c r="M371" s="10" t="str">
        <x:v>未测</x:v>
      </x:c>
      <x:c r="N371" s="10" t="str"/>
      <x:c r="O371" s="9" t="str">
        <x:v>1. 来源（当前证据）：liveshow-proto/MainBasis/统一需求文档.md；位置：第 2759 行；REQ-8195acc4e3f3、第 2760 行；REQ-b51fad04bcba、第 2761 行；REQ-562867635933、第 2756 行
2. 规则：BR-7C711B5B5C04DE
3. 未动态验证
4. 示例账号、编号、金额与日期是本条测试数据；执行前按前置条件准备，未填写的产品决策不得自行假定。</x:v>
      </x:c>
    </x:row>
    <x:row r="372" ht="160" customHeight="1">
      <x:c r="A372" s="10" t="n">
        <x:v>371</x:v>
      </x:c>
      <x:c r="B372" s="10" t="str">
        <x:v>ADMIN-0371</x:v>
      </x:c>
      <x:c r="C372" s="10" t="str">
        <x:v>礼物与道具</x:v>
      </x:c>
      <x:c r="D372" s="10" t="str">
        <x:v>定制礼物（平台管理员）</x:v>
      </x:c>
      <x:c r="E372" s="10" t="str">
        <x:v>功能需求</x:v>
      </x:c>
      <x:c r="F372" s="10" t="str">
        <x:v>P2</x:v>
      </x:c>
      <x:c r="G372" s="9" t="str">
        <x:v>验证定制礼物在 09/02 10:01 的可用性</x:v>
      </x:c>
      <x:c r="H372" s="9" t="str">
        <x:v>定制礼物有效时段</x:v>
      </x:c>
      <x:c r="I372" s="9" t="str">
        <x:v>1. 平台管理员为本条执行者
2. 定制礼物甲配置生效09/01 10:00、失效09/02 10:00，尚未手动下架
3. 测试业务时间为 09/02 10:01</x:v>
      </x:c>
      <x:c r="J372" s="9" t="str">
        <x:v>1. 打开定制礼物
2. 查看礼物甲</x:v>
      </x:c>
      <x:c r="K372" s="9" t="str">
        <x:v>礼物甲状态为已下架</x:v>
      </x:c>
      <x:c r="L372" s="10" t="str"/>
      <x:c r="M372" s="10" t="str">
        <x:v>未测</x:v>
      </x:c>
      <x:c r="N372" s="10" t="str"/>
      <x:c r="O372" s="9" t="str">
        <x:v>1. 来源（当前证据）：liveshow-proto/MainBasis/统一需求文档.md；位置：第 2759 行；REQ-8195acc4e3f3、第 2760 行；REQ-b51fad04bcba、第 2761 行；REQ-562867635933、第 2756 行
2. 规则：BR-9298EF8A374538
3. 未动态验证
4. 示例账号、编号、金额与日期是本条测试数据；执行前按前置条件准备，未填写的产品决策不得自行假定。</x:v>
      </x:c>
    </x:row>
    <x:row r="373" ht="160" customHeight="1">
      <x:c r="A373" s="10" t="n">
        <x:v>372</x:v>
      </x:c>
      <x:c r="B373" s="10" t="str">
        <x:v>ADMIN-0372</x:v>
      </x:c>
      <x:c r="C373" s="10" t="str">
        <x:v>运营管理</x:v>
      </x:c>
      <x:c r="D373" s="10" t="str">
        <x:v>直播房型（平台管理员）</x:v>
      </x:c>
      <x:c r="E373" s="10" t="str">
        <x:v>功能需求</x:v>
      </x:c>
      <x:c r="F373" s="10" t="str">
        <x:v>P2</x:v>
      </x:c>
      <x:c r="G373" s="9" t="str">
        <x:v>验证关闭房型只限制新开播</x:v>
      </x:c>
      <x:c r="H373" s="9" t="str">
        <x:v>房型关闭后的历史隔离</x:v>
      </x:c>
      <x:c r="I373" s="9" t="str">
        <x:v>1. 平台管理员为本条执行者
2. 密码房开关当前开启，主播甲已有正在直播的密码房 S001</x:v>
      </x:c>
      <x:c r="J373" s="9" t="str">
        <x:v>1. 打开直播房型
2. 关闭密码房
3. 确认保存</x:v>
      </x:c>
      <x:c r="K373" s="9" t="str">
        <x:v>S001 仍为密码房</x:v>
      </x:c>
      <x:c r="L373" s="10" t="str"/>
      <x:c r="M373" s="10" t="str">
        <x:v>未测</x:v>
      </x:c>
      <x:c r="N373" s="10" t="str"/>
      <x:c r="O373" s="9" t="str">
        <x:v>1. 来源（当前证据）：liveshow-proto/MainBasis/统一需求文档.md；位置：第 2983 行；REQ-093ef08f208c、第 2986 行；REQ-cfe379ad1ee1、第 2987 行；REQ-9fddd63a4147、第 2981 行
2. 规则：BR-993E38344D88F5
3. 未动态验证
4. 示例账号、编号、金额与日期是本条测试数据；执行前按前置条件准备，未填写的产品决策不得自行假定。</x:v>
      </x:c>
    </x:row>
    <x:row r="374" ht="160" customHeight="1">
      <x:c r="A374" s="10" t="n">
        <x:v>373</x:v>
      </x:c>
      <x:c r="B374" s="10" t="str">
        <x:v>ADMIN-0373</x:v>
      </x:c>
      <x:c r="C374" s="10" t="str">
        <x:v>运营管理</x:v>
      </x:c>
      <x:c r="D374" s="10" t="str">
        <x:v>门票价格档位（平台管理员）</x:v>
      </x:c>
      <x:c r="E374" s="10" t="str">
        <x:v>功能需求</x:v>
      </x:c>
      <x:c r="F374" s="10" t="str">
        <x:v>P2</x:v>
      </x:c>
      <x:c r="G374" s="9" t="str">
        <x:v>验证不能停用最后一个启用门票价格</x:v>
      </x:c>
      <x:c r="H374" s="9" t="str">
        <x:v>门票价格保底档位</x:v>
      </x:c>
      <x:c r="I374" s="9" t="str">
        <x:v>1. 平台管理员为本条执行者
2. 门票价格100为当前唯一启用档位</x:v>
      </x:c>
      <x:c r="J374" s="9" t="str">
        <x:v>1. 打开门票价格档位
2. 点击停用价格100
3. 确认停用</x:v>
      </x:c>
      <x:c r="K374" s="9" t="str">
        <x:v>100金币档位仍启用</x:v>
      </x:c>
      <x:c r="L374" s="10" t="str"/>
      <x:c r="M374" s="10" t="str">
        <x:v>未测</x:v>
      </x:c>
      <x:c r="N374" s="10" t="str"/>
      <x:c r="O374" s="9" t="str">
        <x:v>1. 来源（当前证据）：liveshow-proto/MainBasis/统一需求文档.md；位置：第 2994 行；REQ-2993b51cd24d、第 2996 行；REQ-0db851532ffe、第 2997 行；REQ-f9a33c640318、第 2990 行
2. 规则：BR-E39DC52C2EAD7E
3. 未动态验证
4. 示例账号、编号、金额与日期是本条测试数据；执行前按前置条件准备，未填写的产品决策不得自行假定。</x:v>
      </x:c>
    </x:row>
    <x:row r="375" ht="145" customHeight="1">
      <x:c r="A375" s="10" t="n">
        <x:v>374</x:v>
      </x:c>
      <x:c r="B375" s="10" t="str">
        <x:v>ADMIN-0374</x:v>
      </x:c>
      <x:c r="C375" s="10" t="str">
        <x:v>运营管理</x:v>
      </x:c>
      <x:c r="D375" s="10" t="str">
        <x:v>推送配置（平台管理员）</x:v>
      </x:c>
      <x:c r="E375" s="10" t="str">
        <x:v>异常用例</x:v>
      </x:c>
      <x:c r="F375" s="10" t="str">
        <x:v>P2</x:v>
      </x:c>
      <x:c r="G375" s="9" t="str">
        <x:v>验证推送中文标题为空</x:v>
      </x:c>
      <x:c r="H375" s="9" t="str">
        <x:v>推送四语必填</x:v>
      </x:c>
      <x:c r="I375" s="9" t="str">
        <x:v>1. 平台管理员为本条执行者
2. 中文、英语、印尼语、马来语标题和正文均已填测试内容；目标为全体用户</x:v>
      </x:c>
      <x:c r="J375" s="9" t="str">
        <x:v>1. 打开推送配置
2. 清空中文标题
3. 点击发送</x:v>
      </x:c>
      <x:c r="K375" s="9" t="str">
        <x:v>未发送本次推送</x:v>
      </x:c>
      <x:c r="L375" s="10" t="str"/>
      <x:c r="M375" s="10" t="str">
        <x:v>未测</x:v>
      </x:c>
      <x:c r="N375" s="10" t="str"/>
      <x:c r="O375" s="9" t="str">
        <x:v>1. 来源（当前证据）：liveshow-proto/MainBasis/统一需求文档.md；位置：第 2882 行；REQ-f03d71c2f957、第 2885 行；REQ-404a398cccfb、第 2879 行
2. 规则：BR-2DD8B6BDEC96D8
3. 未动态验证
4. 示例账号、编号、金额与日期是本条测试数据；执行前按前置条件准备，未填写的产品决策不得自行假定。</x:v>
      </x:c>
    </x:row>
    <x:row r="376" ht="145" customHeight="1">
      <x:c r="A376" s="10" t="n">
        <x:v>375</x:v>
      </x:c>
      <x:c r="B376" s="10" t="str">
        <x:v>ADMIN-0375</x:v>
      </x:c>
      <x:c r="C376" s="10" t="str">
        <x:v>运营管理</x:v>
      </x:c>
      <x:c r="D376" s="10" t="str">
        <x:v>推送配置（平台管理员）</x:v>
      </x:c>
      <x:c r="E376" s="10" t="str">
        <x:v>异常用例</x:v>
      </x:c>
      <x:c r="F376" s="10" t="str">
        <x:v>P2</x:v>
      </x:c>
      <x:c r="G376" s="9" t="str">
        <x:v>验证推送中文正文为空</x:v>
      </x:c>
      <x:c r="H376" s="9" t="str">
        <x:v>推送四语必填</x:v>
      </x:c>
      <x:c r="I376" s="9" t="str">
        <x:v>1. 平台管理员为本条执行者
2. 中文、英语、印尼语、马来语标题和正文均已填测试内容；目标为全体用户</x:v>
      </x:c>
      <x:c r="J376" s="9" t="str">
        <x:v>1. 打开推送配置
2. 清空中文正文
3. 点击发送</x:v>
      </x:c>
      <x:c r="K376" s="9" t="str">
        <x:v>未发送本次推送</x:v>
      </x:c>
      <x:c r="L376" s="10" t="str"/>
      <x:c r="M376" s="10" t="str">
        <x:v>未测</x:v>
      </x:c>
      <x:c r="N376" s="10" t="str"/>
      <x:c r="O376" s="9" t="str">
        <x:v>1. 来源（当前证据）：liveshow-proto/MainBasis/统一需求文档.md；位置：第 2882 行；REQ-f03d71c2f957、第 2885 行；REQ-404a398cccfb、第 2879 行
2. 规则：BR-8A3A9AECFBC1BF
3. 未动态验证
4. 示例账号、编号、金额与日期是本条测试数据；执行前按前置条件准备，未填写的产品决策不得自行假定。</x:v>
      </x:c>
    </x:row>
    <x:row r="377" ht="145" customHeight="1">
      <x:c r="A377" s="10" t="n">
        <x:v>376</x:v>
      </x:c>
      <x:c r="B377" s="10" t="str">
        <x:v>ADMIN-0376</x:v>
      </x:c>
      <x:c r="C377" s="10" t="str">
        <x:v>运营管理</x:v>
      </x:c>
      <x:c r="D377" s="10" t="str">
        <x:v>推送配置（平台管理员）</x:v>
      </x:c>
      <x:c r="E377" s="10" t="str">
        <x:v>异常用例</x:v>
      </x:c>
      <x:c r="F377" s="10" t="str">
        <x:v>P2</x:v>
      </x:c>
      <x:c r="G377" s="9" t="str">
        <x:v>验证推送英语标题为空</x:v>
      </x:c>
      <x:c r="H377" s="9" t="str">
        <x:v>推送四语必填</x:v>
      </x:c>
      <x:c r="I377" s="9" t="str">
        <x:v>1. 平台管理员为本条执行者
2. 中文、英语、印尼语、马来语标题和正文均已填测试内容；目标为全体用户</x:v>
      </x:c>
      <x:c r="J377" s="9" t="str">
        <x:v>1. 打开推送配置
2. 清空英语标题
3. 点击发送</x:v>
      </x:c>
      <x:c r="K377" s="9" t="str">
        <x:v>未发送本次推送</x:v>
      </x:c>
      <x:c r="L377" s="10" t="str"/>
      <x:c r="M377" s="10" t="str">
        <x:v>未测</x:v>
      </x:c>
      <x:c r="N377" s="10" t="str"/>
      <x:c r="O377" s="9" t="str">
        <x:v>1. 来源（当前证据）：liveshow-proto/MainBasis/统一需求文档.md；位置：第 2882 行；REQ-f03d71c2f957、第 2885 行；REQ-404a398cccfb、第 2879 行
2. 规则：BR-B6C39A88CC1023
3. 未动态验证
4. 示例账号、编号、金额与日期是本条测试数据；执行前按前置条件准备，未填写的产品决策不得自行假定。</x:v>
      </x:c>
    </x:row>
    <x:row r="378" ht="145" customHeight="1">
      <x:c r="A378" s="10" t="n">
        <x:v>377</x:v>
      </x:c>
      <x:c r="B378" s="10" t="str">
        <x:v>ADMIN-0377</x:v>
      </x:c>
      <x:c r="C378" s="10" t="str">
        <x:v>运营管理</x:v>
      </x:c>
      <x:c r="D378" s="10" t="str">
        <x:v>推送配置（平台管理员）</x:v>
      </x:c>
      <x:c r="E378" s="10" t="str">
        <x:v>异常用例</x:v>
      </x:c>
      <x:c r="F378" s="10" t="str">
        <x:v>P2</x:v>
      </x:c>
      <x:c r="G378" s="9" t="str">
        <x:v>验证推送英语正文为空</x:v>
      </x:c>
      <x:c r="H378" s="9" t="str">
        <x:v>推送四语必填</x:v>
      </x:c>
      <x:c r="I378" s="9" t="str">
        <x:v>1. 平台管理员为本条执行者
2. 中文、英语、印尼语、马来语标题和正文均已填测试内容；目标为全体用户</x:v>
      </x:c>
      <x:c r="J378" s="9" t="str">
        <x:v>1. 打开推送配置
2. 清空英语正文
3. 点击发送</x:v>
      </x:c>
      <x:c r="K378" s="9" t="str">
        <x:v>未发送本次推送</x:v>
      </x:c>
      <x:c r="L378" s="10" t="str"/>
      <x:c r="M378" s="10" t="str">
        <x:v>未测</x:v>
      </x:c>
      <x:c r="N378" s="10" t="str"/>
      <x:c r="O378" s="9" t="str">
        <x:v>1. 来源（当前证据）：liveshow-proto/MainBasis/统一需求文档.md；位置：第 2882 行；REQ-f03d71c2f957、第 2885 行；REQ-404a398cccfb、第 2879 行
2. 规则：BR-BA727CED291B9F
3. 未动态验证
4. 示例账号、编号、金额与日期是本条测试数据；执行前按前置条件准备，未填写的产品决策不得自行假定。</x:v>
      </x:c>
    </x:row>
    <x:row r="379" ht="145" customHeight="1">
      <x:c r="A379" s="10" t="n">
        <x:v>378</x:v>
      </x:c>
      <x:c r="B379" s="10" t="str">
        <x:v>ADMIN-0378</x:v>
      </x:c>
      <x:c r="C379" s="10" t="str">
        <x:v>运营管理</x:v>
      </x:c>
      <x:c r="D379" s="10" t="str">
        <x:v>推送配置（平台管理员）</x:v>
      </x:c>
      <x:c r="E379" s="10" t="str">
        <x:v>异常用例</x:v>
      </x:c>
      <x:c r="F379" s="10" t="str">
        <x:v>P2</x:v>
      </x:c>
      <x:c r="G379" s="9" t="str">
        <x:v>验证推送印尼语标题为空</x:v>
      </x:c>
      <x:c r="H379" s="9" t="str">
        <x:v>推送四语必填</x:v>
      </x:c>
      <x:c r="I379" s="9" t="str">
        <x:v>1. 平台管理员为本条执行者
2. 中文、英语、印尼语、马来语标题和正文均已填测试内容；目标为全体用户</x:v>
      </x:c>
      <x:c r="J379" s="9" t="str">
        <x:v>1. 打开推送配置
2. 清空印尼语标题
3. 点击发送</x:v>
      </x:c>
      <x:c r="K379" s="9" t="str">
        <x:v>未发送本次推送</x:v>
      </x:c>
      <x:c r="L379" s="10" t="str"/>
      <x:c r="M379" s="10" t="str">
        <x:v>未测</x:v>
      </x:c>
      <x:c r="N379" s="10" t="str"/>
      <x:c r="O379" s="9" t="str">
        <x:v>1. 来源（当前证据）：liveshow-proto/MainBasis/统一需求文档.md；位置：第 2882 行；REQ-f03d71c2f957、第 2885 行；REQ-404a398cccfb、第 2879 行
2. 规则：BR-EB9CC17BC9A703
3. 未动态验证
4. 示例账号、编号、金额与日期是本条测试数据；执行前按前置条件准备，未填写的产品决策不得自行假定。</x:v>
      </x:c>
    </x:row>
    <x:row r="380" ht="145" customHeight="1">
      <x:c r="A380" s="10" t="n">
        <x:v>379</x:v>
      </x:c>
      <x:c r="B380" s="10" t="str">
        <x:v>ADMIN-0379</x:v>
      </x:c>
      <x:c r="C380" s="10" t="str">
        <x:v>运营管理</x:v>
      </x:c>
      <x:c r="D380" s="10" t="str">
        <x:v>推送配置（平台管理员）</x:v>
      </x:c>
      <x:c r="E380" s="10" t="str">
        <x:v>异常用例</x:v>
      </x:c>
      <x:c r="F380" s="10" t="str">
        <x:v>P2</x:v>
      </x:c>
      <x:c r="G380" s="9" t="str">
        <x:v>验证推送印尼语正文为空</x:v>
      </x:c>
      <x:c r="H380" s="9" t="str">
        <x:v>推送四语必填</x:v>
      </x:c>
      <x:c r="I380" s="9" t="str">
        <x:v>1. 平台管理员为本条执行者
2. 中文、英语、印尼语、马来语标题和正文均已填测试内容；目标为全体用户</x:v>
      </x:c>
      <x:c r="J380" s="9" t="str">
        <x:v>1. 打开推送配置
2. 清空印尼语正文
3. 点击发送</x:v>
      </x:c>
      <x:c r="K380" s="9" t="str">
        <x:v>未发送本次推送</x:v>
      </x:c>
      <x:c r="L380" s="10" t="str"/>
      <x:c r="M380" s="10" t="str">
        <x:v>未测</x:v>
      </x:c>
      <x:c r="N380" s="10" t="str"/>
      <x:c r="O380" s="9" t="str">
        <x:v>1. 来源（当前证据）：liveshow-proto/MainBasis/统一需求文档.md；位置：第 2882 行；REQ-f03d71c2f957、第 2885 行；REQ-404a398cccfb、第 2879 行
2. 规则：BR-14E943407B4A2D
3. 未动态验证
4. 示例账号、编号、金额与日期是本条测试数据；执行前按前置条件准备，未填写的产品决策不得自行假定。</x:v>
      </x:c>
    </x:row>
    <x:row r="381" ht="145" customHeight="1">
      <x:c r="A381" s="10" t="n">
        <x:v>380</x:v>
      </x:c>
      <x:c r="B381" s="10" t="str">
        <x:v>ADMIN-0380</x:v>
      </x:c>
      <x:c r="C381" s="10" t="str">
        <x:v>运营管理</x:v>
      </x:c>
      <x:c r="D381" s="10" t="str">
        <x:v>推送配置（平台管理员）</x:v>
      </x:c>
      <x:c r="E381" s="10" t="str">
        <x:v>异常用例</x:v>
      </x:c>
      <x:c r="F381" s="10" t="str">
        <x:v>P2</x:v>
      </x:c>
      <x:c r="G381" s="9" t="str">
        <x:v>验证推送马来语标题为空</x:v>
      </x:c>
      <x:c r="H381" s="9" t="str">
        <x:v>推送四语必填</x:v>
      </x:c>
      <x:c r="I381" s="9" t="str">
        <x:v>1. 平台管理员为本条执行者
2. 中文、英语、印尼语、马来语标题和正文均已填测试内容；目标为全体用户</x:v>
      </x:c>
      <x:c r="J381" s="9" t="str">
        <x:v>1. 打开推送配置
2. 清空马来语标题
3. 点击发送</x:v>
      </x:c>
      <x:c r="K381" s="9" t="str">
        <x:v>未发送本次推送</x:v>
      </x:c>
      <x:c r="L381" s="10" t="str"/>
      <x:c r="M381" s="10" t="str">
        <x:v>未测</x:v>
      </x:c>
      <x:c r="N381" s="10" t="str"/>
      <x:c r="O381" s="9" t="str">
        <x:v>1. 来源（当前证据）：liveshow-proto/MainBasis/统一需求文档.md；位置：第 2882 行；REQ-f03d71c2f957、第 2885 行；REQ-404a398cccfb、第 2879 行
2. 规则：BR-50550EE0583EAB
3. 未动态验证
4. 示例账号、编号、金额与日期是本条测试数据；执行前按前置条件准备，未填写的产品决策不得自行假定。</x:v>
      </x:c>
    </x:row>
    <x:row r="382" ht="145" customHeight="1">
      <x:c r="A382" s="10" t="n">
        <x:v>381</x:v>
      </x:c>
      <x:c r="B382" s="10" t="str">
        <x:v>ADMIN-0381</x:v>
      </x:c>
      <x:c r="C382" s="10" t="str">
        <x:v>运营管理</x:v>
      </x:c>
      <x:c r="D382" s="10" t="str">
        <x:v>推送配置（平台管理员）</x:v>
      </x:c>
      <x:c r="E382" s="10" t="str">
        <x:v>异常用例</x:v>
      </x:c>
      <x:c r="F382" s="10" t="str">
        <x:v>P2</x:v>
      </x:c>
      <x:c r="G382" s="9" t="str">
        <x:v>验证推送马来语正文为空</x:v>
      </x:c>
      <x:c r="H382" s="9" t="str">
        <x:v>推送四语必填</x:v>
      </x:c>
      <x:c r="I382" s="9" t="str">
        <x:v>1. 平台管理员为本条执行者
2. 中文、英语、印尼语、马来语标题和正文均已填测试内容；目标为全体用户</x:v>
      </x:c>
      <x:c r="J382" s="9" t="str">
        <x:v>1. 打开推送配置
2. 清空马来语正文
3. 点击发送</x:v>
      </x:c>
      <x:c r="K382" s="9" t="str">
        <x:v>未发送本次推送</x:v>
      </x:c>
      <x:c r="L382" s="10" t="str"/>
      <x:c r="M382" s="10" t="str">
        <x:v>未测</x:v>
      </x:c>
      <x:c r="N382" s="10" t="str"/>
      <x:c r="O382" s="9" t="str">
        <x:v>1. 来源（当前证据）：liveshow-proto/MainBasis/统一需求文档.md；位置：第 2882 行；REQ-f03d71c2f957、第 2885 行；REQ-404a398cccfb、第 2879 行
2. 规则：BR-18E32E8FBC42D8
3. 未动态验证
4. 示例账号、编号、金额与日期是本条测试数据；执行前按前置条件准备，未填写的产品决策不得自行假定。</x:v>
      </x:c>
    </x:row>
    <x:row r="383" ht="145" customHeight="1">
      <x:c r="A383" s="10" t="n">
        <x:v>382</x:v>
      </x:c>
      <x:c r="B383" s="10" t="str">
        <x:v>ADMIN-0382</x:v>
      </x:c>
      <x:c r="C383" s="10" t="str">
        <x:v>运营管理</x:v>
      </x:c>
      <x:c r="D383" s="10" t="str">
        <x:v>推送配置（平台管理员）</x:v>
      </x:c>
      <x:c r="E383" s="10" t="str">
        <x:v>功能需求</x:v>
      </x:c>
      <x:c r="F383" s="10" t="str">
        <x:v>P2</x:v>
      </x:c>
      <x:c r="G383" s="9" t="str">
        <x:v>验证推送可发送指定公会</x:v>
      </x:c>
      <x:c r="H383" s="9" t="str">
        <x:v>推送目标范围</x:v>
      </x:c>
      <x:c r="I383" s="9" t="str">
        <x:v>1. 平台管理员为本条执行者
2. 中文、英语、印尼语、马来语标题和正文均已填测试内容；目标为全体用户
3. 公会甲有效，公会乙无关</x:v>
      </x:c>
      <x:c r="J383" s="9" t="str">
        <x:v>1. 打开推送配置
2. 选择指定公会甲
3. 点击发送
4. 确认发送</x:v>
      </x:c>
      <x:c r="K383" s="9" t="str">
        <x:v>本次推送记录目标为公会甲</x:v>
      </x:c>
      <x:c r="L383" s="10" t="str"/>
      <x:c r="M383" s="10" t="str">
        <x:v>未测</x:v>
      </x:c>
      <x:c r="N383" s="10" t="str"/>
      <x:c r="O383" s="9" t="str">
        <x:v>1. 来源（当前证据）：liveshow-proto/MainBasis/统一需求文档.md；位置：第 2883 行；REQ-32bff220e773、第 2885 行；REQ-404a398cccfb、第 2879 行
2. 规则：BR-9BFBC67262F0AB
3. 未动态验证
4. 示例账号、编号、金额与日期是本条测试数据；执行前按前置条件准备，未填写的产品决策不得自行假定。</x:v>
      </x:c>
    </x:row>
    <x:row r="384" ht="130" customHeight="1">
      <x:c r="A384" s="10" t="n">
        <x:v>383</x:v>
      </x:c>
      <x:c r="B384" s="10" t="str">
        <x:v>ADMIN-0383</x:v>
      </x:c>
      <x:c r="C384" s="10" t="str">
        <x:v>运营管理</x:v>
      </x:c>
      <x:c r="D384" s="10" t="str">
        <x:v>通用任务编辑（平台管理员）</x:v>
      </x:c>
      <x:c r="E384" s="10" t="str">
        <x:v>功能需求</x:v>
      </x:c>
      <x:c r="F384" s="10" t="str">
        <x:v>P2</x:v>
      </x:c>
      <x:c r="G384" s="9" t="str">
        <x:v>验证任务达成条件配置 空列表</x:v>
      </x:c>
      <x:c r="H384" s="9" t="str">
        <x:v>任务条件集合约束</x:v>
      </x:c>
      <x:c r="I384" s="9" t="str">
        <x:v>1. 平台管理员为本条执行者
2. 任务甲四语名称和有效时间已填，动作和指标为系统预置支持组合</x:v>
      </x:c>
      <x:c r="J384" s="9" t="str">
        <x:v>1. 打开通用任务编辑
2. 编辑达成条件为空列表
3. 输入各条件奖励10金币
4. 点击保存</x:v>
      </x:c>
      <x:c r="K384" s="9" t="str">
        <x:v>任务配置未保存</x:v>
      </x:c>
      <x:c r="L384" s="10" t="str"/>
      <x:c r="M384" s="10" t="str">
        <x:v>未测</x:v>
      </x:c>
      <x:c r="N384" s="10" t="str"/>
      <x:c r="O384" s="9" t="str">
        <x:v>1. 来源（当前证据）：liveshow-proto/MainBasis/统一需求文档.md；位置：第 2928 行；REQ-3d177fe0cc53、第 2922 行
2. 规则：BR-C0A1E5F8954AF2
3. 未动态验证
4. 示例账号、编号、金额与日期是本条测试数据；执行前按前置条件准备，未填写的产品决策不得自行假定。</x:v>
      </x:c>
    </x:row>
    <x:row r="385" ht="130" customHeight="1">
      <x:c r="A385" s="10" t="n">
        <x:v>384</x:v>
      </x:c>
      <x:c r="B385" s="10" t="str">
        <x:v>ADMIN-0384</x:v>
      </x:c>
      <x:c r="C385" s="10" t="str">
        <x:v>运营管理</x:v>
      </x:c>
      <x:c r="D385" s="10" t="str">
        <x:v>通用任务编辑（平台管理员）</x:v>
      </x:c>
      <x:c r="E385" s="10" t="str">
        <x:v>功能需求</x:v>
      </x:c>
      <x:c r="F385" s="10" t="str">
        <x:v>P2</x:v>
      </x:c>
      <x:c r="G385" s="9" t="str">
        <x:v>验证任务达成条件配置 1</x:v>
      </x:c>
      <x:c r="H385" s="9" t="str">
        <x:v>任务条件集合约束</x:v>
      </x:c>
      <x:c r="I385" s="9" t="str">
        <x:v>1. 平台管理员为本条执行者
2. 任务甲四语名称和有效时间已填，动作和指标为系统预置支持组合</x:v>
      </x:c>
      <x:c r="J385" s="9" t="str">
        <x:v>1. 打开通用任务编辑
2. 编辑达成条件为1
3. 输入各条件奖励10金币
4. 点击保存</x:v>
      </x:c>
      <x:c r="K385" s="9" t="str">
        <x:v>任务配置保存成功</x:v>
      </x:c>
      <x:c r="L385" s="10" t="str"/>
      <x:c r="M385" s="10" t="str">
        <x:v>未测</x:v>
      </x:c>
      <x:c r="N385" s="10" t="str"/>
      <x:c r="O385" s="9" t="str">
        <x:v>1. 来源（当前证据）：liveshow-proto/MainBasis/统一需求文档.md；位置：第 2928 行；REQ-3d177fe0cc53、第 2922 行
2. 规则：BR-86A9A822B1929D
3. 未动态验证
4. 示例账号、编号、金额与日期是本条测试数据；执行前按前置条件准备，未填写的产品决策不得自行假定。</x:v>
      </x:c>
    </x:row>
    <x:row r="386" ht="130" customHeight="1">
      <x:c r="A386" s="10" t="n">
        <x:v>385</x:v>
      </x:c>
      <x:c r="B386" s="10" t="str">
        <x:v>ADMIN-0385</x:v>
      </x:c>
      <x:c r="C386" s="10" t="str">
        <x:v>运营管理</x:v>
      </x:c>
      <x:c r="D386" s="10" t="str">
        <x:v>通用任务编辑（平台管理员）</x:v>
      </x:c>
      <x:c r="E386" s="10" t="str">
        <x:v>功能需求</x:v>
      </x:c>
      <x:c r="F386" s="10" t="str">
        <x:v>P2</x:v>
      </x:c>
      <x:c r="G386" s="9" t="str">
        <x:v>验证任务达成条件配置 1、3</x:v>
      </x:c>
      <x:c r="H386" s="9" t="str">
        <x:v>任务条件集合约束</x:v>
      </x:c>
      <x:c r="I386" s="9" t="str">
        <x:v>1. 平台管理员为本条执行者
2. 任务甲四语名称和有效时间已填，动作和指标为系统预置支持组合</x:v>
      </x:c>
      <x:c r="J386" s="9" t="str">
        <x:v>1. 打开通用任务编辑
2. 编辑达成条件为1、3
3. 输入各条件奖励10金币
4. 点击保存</x:v>
      </x:c>
      <x:c r="K386" s="9" t="str">
        <x:v>任务配置保存成功</x:v>
      </x:c>
      <x:c r="L386" s="10" t="str"/>
      <x:c r="M386" s="10" t="str">
        <x:v>未测</x:v>
      </x:c>
      <x:c r="N386" s="10" t="str"/>
      <x:c r="O386" s="9" t="str">
        <x:v>1. 来源（当前证据）：liveshow-proto/MainBasis/统一需求文档.md；位置：第 2928 行；REQ-3d177fe0cc53、第 2922 行
2. 规则：BR-7C075BC6F2A88D
3. 未动态验证
4. 示例账号、编号、金额与日期是本条测试数据；执行前按前置条件准备，未填写的产品决策不得自行假定。</x:v>
      </x:c>
    </x:row>
    <x:row r="387" ht="130" customHeight="1">
      <x:c r="A387" s="10" t="n">
        <x:v>386</x:v>
      </x:c>
      <x:c r="B387" s="10" t="str">
        <x:v>ADMIN-0386</x:v>
      </x:c>
      <x:c r="C387" s="10" t="str">
        <x:v>运营管理</x:v>
      </x:c>
      <x:c r="D387" s="10" t="str">
        <x:v>通用任务编辑（平台管理员）</x:v>
      </x:c>
      <x:c r="E387" s="10" t="str">
        <x:v>功能需求</x:v>
      </x:c>
      <x:c r="F387" s="10" t="str">
        <x:v>P2</x:v>
      </x:c>
      <x:c r="G387" s="9" t="str">
        <x:v>验证任务达成条件配置 1、1</x:v>
      </x:c>
      <x:c r="H387" s="9" t="str">
        <x:v>任务条件集合约束</x:v>
      </x:c>
      <x:c r="I387" s="9" t="str">
        <x:v>1. 平台管理员为本条执行者
2. 任务甲四语名称和有效时间已填，动作和指标为系统预置支持组合</x:v>
      </x:c>
      <x:c r="J387" s="9" t="str">
        <x:v>1. 打开通用任务编辑
2. 编辑达成条件为1、1
3. 输入各条件奖励10金币
4. 点击保存</x:v>
      </x:c>
      <x:c r="K387" s="9" t="str">
        <x:v>任务配置未保存</x:v>
      </x:c>
      <x:c r="L387" s="10" t="str"/>
      <x:c r="M387" s="10" t="str">
        <x:v>未测</x:v>
      </x:c>
      <x:c r="N387" s="10" t="str"/>
      <x:c r="O387" s="9" t="str">
        <x:v>1. 来源（当前证据）：liveshow-proto/MainBasis/统一需求文档.md；位置：第 2928 行；REQ-3d177fe0cc53、第 2922 行
2. 规则：BR-3530BF08344FAD
3. 未动态验证
4. 示例账号、编号、金额与日期是本条测试数据；执行前按前置条件准备，未填写的产品决策不得自行假定。</x:v>
      </x:c>
    </x:row>
    <x:row r="388" ht="130" customHeight="1">
      <x:c r="A388" s="10" t="n">
        <x:v>387</x:v>
      </x:c>
      <x:c r="B388" s="10" t="str">
        <x:v>ADMIN-0387</x:v>
      </x:c>
      <x:c r="C388" s="10" t="str">
        <x:v>运营管理</x:v>
      </x:c>
      <x:c r="D388" s="10" t="str">
        <x:v>通用任务编辑（平台管理员）</x:v>
      </x:c>
      <x:c r="E388" s="10" t="str">
        <x:v>功能需求</x:v>
      </x:c>
      <x:c r="F388" s="10" t="str">
        <x:v>P2</x:v>
      </x:c>
      <x:c r="G388" s="9" t="str">
        <x:v>验证任务达成条件配置 0</x:v>
      </x:c>
      <x:c r="H388" s="9" t="str">
        <x:v>任务条件集合约束</x:v>
      </x:c>
      <x:c r="I388" s="9" t="str">
        <x:v>1. 平台管理员为本条执行者
2. 任务甲四语名称和有效时间已填，动作和指标为系统预置支持组合</x:v>
      </x:c>
      <x:c r="J388" s="9" t="str">
        <x:v>1. 打开通用任务编辑
2. 编辑达成条件为0
3. 输入各条件奖励10金币
4. 点击保存</x:v>
      </x:c>
      <x:c r="K388" s="9" t="str">
        <x:v>任务配置未保存</x:v>
      </x:c>
      <x:c r="L388" s="10" t="str"/>
      <x:c r="M388" s="10" t="str">
        <x:v>未测</x:v>
      </x:c>
      <x:c r="N388" s="10" t="str"/>
      <x:c r="O388" s="9" t="str">
        <x:v>1. 来源（当前证据）：liveshow-proto/MainBasis/统一需求文档.md；位置：第 2928 行；REQ-3d177fe0cc53、第 2922 行
2. 规则：BR-17562C03F1CA16
3. 未动态验证
4. 示例账号、编号、金额与日期是本条测试数据；执行前按前置条件准备，未填写的产品决策不得自行假定。</x:v>
      </x:c>
    </x:row>
    <x:row r="389" ht="130" customHeight="1">
      <x:c r="A389" s="10" t="n">
        <x:v>388</x:v>
      </x:c>
      <x:c r="B389" s="10" t="str">
        <x:v>ADMIN-0388</x:v>
      </x:c>
      <x:c r="C389" s="10" t="str">
        <x:v>运营管理</x:v>
      </x:c>
      <x:c r="D389" s="10" t="str">
        <x:v>通用任务编辑（平台管理员）</x:v>
      </x:c>
      <x:c r="E389" s="10" t="str">
        <x:v>功能需求</x:v>
      </x:c>
      <x:c r="F389" s="10" t="str">
        <x:v>P2</x:v>
      </x:c>
      <x:c r="G389" s="9" t="str">
        <x:v>验证任务达成条件配置 -1</x:v>
      </x:c>
      <x:c r="H389" s="9" t="str">
        <x:v>任务条件集合约束</x:v>
      </x:c>
      <x:c r="I389" s="9" t="str">
        <x:v>1. 平台管理员为本条执行者
2. 任务甲四语名称和有效时间已填，动作和指标为系统预置支持组合</x:v>
      </x:c>
      <x:c r="J389" s="9" t="str">
        <x:v>1. 打开通用任务编辑
2. 编辑达成条件为-1
3. 输入各条件奖励10金币
4. 点击保存</x:v>
      </x:c>
      <x:c r="K389" s="9" t="str">
        <x:v>任务配置未保存</x:v>
      </x:c>
      <x:c r="L389" s="10" t="str"/>
      <x:c r="M389" s="10" t="str">
        <x:v>未测</x:v>
      </x:c>
      <x:c r="N389" s="10" t="str"/>
      <x:c r="O389" s="9" t="str">
        <x:v>1. 来源（当前证据）：liveshow-proto/MainBasis/统一需求文档.md；位置：第 2928 行；REQ-3d177fe0cc53、第 2922 行
2. 规则：BR-A7D3479A02ABA0
3. 未动态验证
4. 示例账号、编号、金额与日期是本条测试数据；执行前按前置条件准备，未填写的产品决策不得自行假定。</x:v>
      </x:c>
    </x:row>
    <x:row r="390" ht="130" customHeight="1">
      <x:c r="A390" s="10" t="n">
        <x:v>389</x:v>
      </x:c>
      <x:c r="B390" s="10" t="str">
        <x:v>ADMIN-0389</x:v>
      </x:c>
      <x:c r="C390" s="10" t="str">
        <x:v>运营管理</x:v>
      </x:c>
      <x:c r="D390" s="10" t="str">
        <x:v>通用任务编辑（平台管理员）</x:v>
      </x:c>
      <x:c r="E390" s="10" t="str">
        <x:v>功能需求</x:v>
      </x:c>
      <x:c r="F390" s="10" t="str">
        <x:v>P2</x:v>
      </x:c>
      <x:c r="G390" s="9" t="str">
        <x:v>验证任务动作和统计指标联动</x:v>
      </x:c>
      <x:c r="H390" s="9" t="str">
        <x:v>任务动作指标组合</x:v>
      </x:c>
      <x:c r="I390" s="9" t="str">
        <x:v>1. 平台管理员为本条执行者
2. 任务甲四语名称和有效时间已填，动作和指标为系统预置支持组合</x:v>
      </x:c>
      <x:c r="J390" s="9" t="str">
        <x:v>1. 打开通用任务编辑
2. 选择观看直播动作
3. 展开统计指标</x:v>
      </x:c>
      <x:c r="K390" s="9" t="str">
        <x:v>只能选择系统预置的观看直播指标</x:v>
      </x:c>
      <x:c r="L390" s="10" t="str"/>
      <x:c r="M390" s="10" t="str">
        <x:v>未测</x:v>
      </x:c>
      <x:c r="N390" s="10" t="str"/>
      <x:c r="O390" s="9" t="str">
        <x:v>1. 来源（当前证据）：liveshow-proto/MainBasis/统一需求文档.md；位置：第 2926 行；REQ-9c89bda37cfc、第 2922 行
2. 规则：BR-1A4930C189A0D4
3. 未动态验证
4. 示例账号、编号、金额与日期是本条测试数据；执行前按前置条件准备，未填写的产品决策不得自行假定。</x:v>
      </x:c>
    </x:row>
    <x:row r="391" ht="145" customHeight="1">
      <x:c r="A391" s="10" t="n">
        <x:v>390</x:v>
      </x:c>
      <x:c r="B391" s="10" t="str">
        <x:v>ADMIN-0390</x:v>
      </x:c>
      <x:c r="C391" s="10" t="str">
        <x:v>运营管理</x:v>
      </x:c>
      <x:c r="D391" s="10" t="str">
        <x:v>公会推荐（平台管理员）</x:v>
      </x:c>
      <x:c r="E391" s="10" t="str">
        <x:v>功能需求</x:v>
      </x:c>
      <x:c r="F391" s="10" t="str">
        <x:v>P2</x:v>
      </x:c>
      <x:c r="G391" s="9" t="str">
        <x:v>验证公会推荐同权重按更新时间倒序</x:v>
      </x:c>
      <x:c r="H391" s="9" t="str">
        <x:v>推荐同权重排序</x:v>
      </x:c>
      <x:c r="I391" s="9" t="str">
        <x:v>1. 平台管理员为本条执行者
2. 推荐公会甲、乙权重相同；甲更新时间比乙晚</x:v>
      </x:c>
      <x:c r="J391" s="9" t="str">
        <x:v>1. 打开公会推荐</x:v>
      </x:c>
      <x:c r="K391" s="9" t="str">
        <x:v>公会甲排在公会乙前面</x:v>
      </x:c>
      <x:c r="L391" s="10" t="str"/>
      <x:c r="M391" s="10" t="str">
        <x:v>未测</x:v>
      </x:c>
      <x:c r="N391" s="10" t="str"/>
      <x:c r="O391" s="9" t="str">
        <x:v>1. 来源（当前证据）：liveshow-proto/MainBasis/统一需求文档.md；位置：第 2937 行；REQ-e944ca487c15、第 2946 行；REQ-4ad383f1de8a、第 2934 行
2. 规则：BR-C02037626C1AB2
3. 未动态验证
4. 示例账号、编号、金额与日期是本条测试数据；执行前按前置条件准备，未填写的产品决策不得自行假定。</x:v>
      </x:c>
    </x:row>
    <x:row r="392" ht="145" customHeight="1">
      <x:c r="A392" s="10" t="n">
        <x:v>391</x:v>
      </x:c>
      <x:c r="B392" s="10" t="str">
        <x:v>ADMIN-0391</x:v>
      </x:c>
      <x:c r="C392" s="10" t="str">
        <x:v>运营管理</x:v>
      </x:c>
      <x:c r="D392" s="10" t="str">
        <x:v>公会推荐（平台管理员）</x:v>
      </x:c>
      <x:c r="E392" s="10" t="str">
        <x:v>功能需求</x:v>
      </x:c>
      <x:c r="F392" s="10" t="str">
        <x:v>P2</x:v>
      </x:c>
      <x:c r="G392" s="9" t="str">
        <x:v>验证取消推荐不解除公会关系</x:v>
      </x:c>
      <x:c r="H392" s="9" t="str">
        <x:v>推荐删除作用范围</x:v>
      </x:c>
      <x:c r="I392" s="9" t="str">
        <x:v>1. 平台管理员为本条执行者
2. 推荐公会甲、乙权重相同；甲更新时间比乙晚
3. 公会甲已被推荐且旗下有主播乙</x:v>
      </x:c>
      <x:c r="J392" s="9" t="str">
        <x:v>1. 打开公会推荐
2. 删除公会甲推荐
3. 确认删除</x:v>
      </x:c>
      <x:c r="K392" s="9" t="str">
        <x:v>主播乙仍属于公会甲</x:v>
      </x:c>
      <x:c r="L392" s="10" t="str"/>
      <x:c r="M392" s="10" t="str">
        <x:v>未测</x:v>
      </x:c>
      <x:c r="N392" s="10" t="str"/>
      <x:c r="O392" s="9" t="str">
        <x:v>1. 来源（当前证据）：liveshow-proto/MainBasis/统一需求文档.md；位置：第 2939 行；REQ-a0ce9338e420、第 2940 行；REQ-1c5f3251e17f、第 2934 行
2. 规则：BR-FFE4A272FE2727
3. 未动态验证
4. 示例账号、编号、金额与日期是本条测试数据；执行前按前置条件准备，未填写的产品决策不得自行假定。</x:v>
      </x:c>
    </x:row>
    <x:row r="393" ht="130" customHeight="1">
      <x:c r="A393" s="10" t="n">
        <x:v>392</x:v>
      </x:c>
      <x:c r="B393" s="10" t="str">
        <x:v>ADMIN-0392</x:v>
      </x:c>
      <x:c r="C393" s="10" t="str">
        <x:v>用户管理</x:v>
      </x:c>
      <x:c r="D393" s="10" t="str">
        <x:v>用户列表（平台管理员）</x:v>
      </x:c>
      <x:c r="E393" s="10" t="str">
        <x:v>功能需求</x:v>
      </x:c>
      <x:c r="F393" s="10" t="str">
        <x:v>P2</x:v>
      </x:c>
      <x:c r="G393" s="9" t="str">
        <x:v>验证用户列表显示目标记录的用户 ID</x:v>
      </x:c>
      <x:c r="H393" s="9" t="str">
        <x:v>用户 ID与当前对象绑定</x:v>
      </x:c>
      <x:c r="I393" s="9" t="str">
        <x:v>1. 平台管理员为本条执行者
2. 平台管理员账号已登录
3. 用户列表中目标记录唯一可定位为记录甲；目标记录满足本页展示范围
4. 该记录的用户 ID来源值为“1001”；另有记录乙的同字段值不同，二者不混用</x:v>
      </x:c>
      <x:c r="J393" s="9" t="str">
        <x:v>1. 打开用户列表
2. 查看记录甲的用户 ID</x:v>
      </x:c>
      <x:c r="K393" s="9" t="str">
        <x:v>记录甲的用户 ID显示“1001”</x:v>
      </x:c>
      <x:c r="L393" s="10" t="str"/>
      <x:c r="M393" s="10" t="str">
        <x:v>未测</x:v>
      </x:c>
      <x:c r="N393" s="10" t="str"/>
      <x:c r="O393" s="9" t="str">
        <x:v>1. 来源（当前证据）：liveshow-proto/MainBasis/统一需求文档.md；位置：第 2501 行；REQ-169616c64c54、第 2499 行
2. 规则：BR-1183F17ABB2F6E
3. 未动态验证
4. 示例账号、编号、金额与日期是本条测试数据；执行前按前置条件准备，未填写的产品决策不得自行假定。</x:v>
      </x:c>
    </x:row>
    <x:row r="394" ht="130" customHeight="1">
      <x:c r="A394" s="10" t="n">
        <x:v>393</x:v>
      </x:c>
      <x:c r="B394" s="10" t="str">
        <x:v>ADMIN-0393</x:v>
      </x:c>
      <x:c r="C394" s="10" t="str">
        <x:v>用户管理</x:v>
      </x:c>
      <x:c r="D394" s="10" t="str">
        <x:v>用户列表（平台管理员）</x:v>
      </x:c>
      <x:c r="E394" s="10" t="str">
        <x:v>功能需求</x:v>
      </x:c>
      <x:c r="F394" s="10" t="str">
        <x:v>P2</x:v>
      </x:c>
      <x:c r="G394" s="9" t="str">
        <x:v>验证用户列表显示目标记录的昵称</x:v>
      </x:c>
      <x:c r="H394" s="9" t="str">
        <x:v>昵称与当前对象绑定</x:v>
      </x:c>
      <x:c r="I394" s="9" t="str">
        <x:v>1. 平台管理员为本条执行者
2. 平台管理员账号已登录
3. 用户列表中目标记录唯一可定位为记录甲；目标记录满足本页展示范围
4. 该记录的昵称来源值为“测试昵称甲”；另有记录乙的同字段值不同，二者不混用</x:v>
      </x:c>
      <x:c r="J394" s="9" t="str">
        <x:v>1. 打开用户列表
2. 查看记录甲的昵称</x:v>
      </x:c>
      <x:c r="K394" s="9" t="str">
        <x:v>记录甲的昵称显示“测试昵称甲”</x:v>
      </x:c>
      <x:c r="L394" s="10" t="str"/>
      <x:c r="M394" s="10" t="str">
        <x:v>未测</x:v>
      </x:c>
      <x:c r="N394" s="10" t="str"/>
      <x:c r="O394" s="9" t="str">
        <x:v>1. 来源（当前证据）：liveshow-proto/MainBasis/统一需求文档.md；位置：第 2501 行；REQ-169616c64c54、第 2499 行
2. 规则：BR-E1E14F73487510
3. 未动态验证
4. 示例账号、编号、金额与日期是本条测试数据；执行前按前置条件准备，未填写的产品决策不得自行假定。</x:v>
      </x:c>
    </x:row>
    <x:row r="395" ht="130" customHeight="1">
      <x:c r="A395" s="10" t="n">
        <x:v>394</x:v>
      </x:c>
      <x:c r="B395" s="10" t="str">
        <x:v>ADMIN-0394</x:v>
      </x:c>
      <x:c r="C395" s="10" t="str">
        <x:v>用户管理</x:v>
      </x:c>
      <x:c r="D395" s="10" t="str">
        <x:v>用户列表（平台管理员）</x:v>
      </x:c>
      <x:c r="E395" s="10" t="str">
        <x:v>功能需求</x:v>
      </x:c>
      <x:c r="F395" s="10" t="str">
        <x:v>P2</x:v>
      </x:c>
      <x:c r="G395" s="9" t="str">
        <x:v>验证用户列表显示目标记录的ID</x:v>
      </x:c>
      <x:c r="H395" s="9" t="str">
        <x:v>ID与当前对象绑定</x:v>
      </x:c>
      <x:c r="I395" s="9" t="str">
        <x:v>1. 平台管理员为本条执行者
2. 平台管理员账号已登录
3. 用户列表中目标记录唯一可定位为记录甲；目标记录满足本页展示范围
4. 该记录的ID来源值为“1001”；另有记录乙的同字段值不同，二者不混用</x:v>
      </x:c>
      <x:c r="J395" s="9" t="str">
        <x:v>1. 打开用户列表
2. 查看记录甲的ID</x:v>
      </x:c>
      <x:c r="K395" s="9" t="str">
        <x:v>记录甲的ID显示“1001”</x:v>
      </x:c>
      <x:c r="L395" s="10" t="str"/>
      <x:c r="M395" s="10" t="str">
        <x:v>未测</x:v>
      </x:c>
      <x:c r="N395" s="10" t="str"/>
      <x:c r="O395" s="9" t="str">
        <x:v>1. 来源（当前证据）：liveshow-proto/MainBasis/统一需求文档.md；位置：第 2501 行；REQ-169616c64c54、第 2499 行
2. 规则：BR-BF5847FE80F3B5
3. 未动态验证
4. 示例账号、编号、金额与日期是本条测试数据；执行前按前置条件准备，未填写的产品决策不得自行假定。</x:v>
      </x:c>
    </x:row>
    <x:row r="396" ht="190" customHeight="1">
      <x:c r="A396" s="10" t="n">
        <x:v>395</x:v>
      </x:c>
      <x:c r="B396" s="10" t="str">
        <x:v>ADMIN-0395</x:v>
      </x:c>
      <x:c r="C396" s="10" t="str">
        <x:v>用户管理</x:v>
      </x:c>
      <x:c r="D396" s="10" t="str">
        <x:v>用户列表（平台管理员）</x:v>
      </x:c>
      <x:c r="E396" s="10" t="str">
        <x:v>功能需求</x:v>
      </x:c>
      <x:c r="F396" s="10" t="str">
        <x:v>P2</x:v>
      </x:c>
      <x:c r="G396" s="9" t="str">
        <x:v>验证用户列表显示目标记录的注册时间</x:v>
      </x:c>
      <x:c r="H396" s="9" t="str">
        <x:v>注册时间与当前对象绑定</x:v>
      </x:c>
      <x:c r="I396" s="9" t="str">
        <x:v>1. 平台管理员为本条执行者
2. 平台管理员账号已登录
3. 用户列表中目标记录唯一可定位为记录甲；目标记录满足本页展示范围
4. 该记录的注册时间来源值为“2026/09/01 10:03”；另有记录乙的同字段值不同，二者不混用
5. 日期时间均以当前页面使用的时区准备，不测试尚未确认的跨时区换算</x:v>
      </x:c>
      <x:c r="J396" s="9" t="str">
        <x:v>1. 打开用户列表
2. 查看记录甲的注册时间</x:v>
      </x:c>
      <x:c r="K396" s="9" t="str">
        <x:v>记录甲的注册时间表示测试时刻“2026/09/01 10:03”</x:v>
      </x:c>
      <x:c r="L396" s="10" t="str"/>
      <x:c r="M396" s="10" t="str">
        <x:v>未测</x:v>
      </x:c>
      <x:c r="N396" s="10" t="str"/>
      <x:c r="O396" s="9" t="str">
        <x:v>1. 来源（当前证据）：liveshow-proto/MainBasis/统一需求文档.md；位置：第 2508 行；REQ-d5b2035e80eb、第 2499 行
2. 规则：BR-3DF087F79FB936
3. 未动态验证
4. 示例账号、编号、金额与日期是本条测试数据；执行前按前置条件准备，未填写的产品决策不得自行假定。</x:v>
      </x:c>
    </x:row>
    <x:row r="397" ht="130" customHeight="1">
      <x:c r="A397" s="10" t="n">
        <x:v>396</x:v>
      </x:c>
      <x:c r="B397" s="10" t="str">
        <x:v>ADMIN-0396</x:v>
      </x:c>
      <x:c r="C397" s="10" t="str">
        <x:v>用户管理</x:v>
      </x:c>
      <x:c r="D397" s="10" t="str">
        <x:v>用户详情（平台管理员）</x:v>
      </x:c>
      <x:c r="E397" s="10" t="str">
        <x:v>功能需求</x:v>
      </x:c>
      <x:c r="F397" s="10" t="str">
        <x:v>P2</x:v>
      </x:c>
      <x:c r="G397" s="9" t="str">
        <x:v>验证用户详情显示目标记录的用户 ID</x:v>
      </x:c>
      <x:c r="H397" s="9" t="str">
        <x:v>用户 ID与当前对象绑定</x:v>
      </x:c>
      <x:c r="I397" s="9" t="str">
        <x:v>1. 平台管理员为本条执行者
2. 平台管理员账号已登录
3. 用户详情中目标记录唯一可定位为记录甲；目标记录满足本页展示范围
4. 该记录的用户 ID来源值为“1001”；另有记录乙的同字段值不同，二者不混用</x:v>
      </x:c>
      <x:c r="J397" s="9" t="str">
        <x:v>1. 打开用户详情
2. 查看记录甲的用户 ID</x:v>
      </x:c>
      <x:c r="K397" s="9" t="str">
        <x:v>记录甲的用户 ID显示“1001”</x:v>
      </x:c>
      <x:c r="L397" s="10" t="str"/>
      <x:c r="M397" s="10" t="str">
        <x:v>未测</x:v>
      </x:c>
      <x:c r="N397" s="10" t="str"/>
      <x:c r="O397" s="9" t="str">
        <x:v>1. 来源（当前证据）：liveshow-proto/MainBasis/统一需求文档.md；位置：第 2516 行；REQ-12e618050f4f、第 2514 行
2. 规则：BR-C811CAC1F14D65
3. 未动态验证
4. 示例账号、编号、金额与日期是本条测试数据；执行前按前置条件准备，未填写的产品决策不得自行假定。</x:v>
      </x:c>
    </x:row>
    <x:row r="398" ht="130" customHeight="1">
      <x:c r="A398" s="10" t="n">
        <x:v>397</x:v>
      </x:c>
      <x:c r="B398" s="10" t="str">
        <x:v>ADMIN-0397</x:v>
      </x:c>
      <x:c r="C398" s="10" t="str">
        <x:v>用户管理</x:v>
      </x:c>
      <x:c r="D398" s="10" t="str">
        <x:v>用户详情（平台管理员）</x:v>
      </x:c>
      <x:c r="E398" s="10" t="str">
        <x:v>功能需求</x:v>
      </x:c>
      <x:c r="F398" s="10" t="str">
        <x:v>P2</x:v>
      </x:c>
      <x:c r="G398" s="9" t="str">
        <x:v>验证用户详情显示目标记录的昵称</x:v>
      </x:c>
      <x:c r="H398" s="9" t="str">
        <x:v>昵称与当前对象绑定</x:v>
      </x:c>
      <x:c r="I398" s="9" t="str">
        <x:v>1. 平台管理员为本条执行者
2. 平台管理员账号已登录
3. 用户详情中目标记录唯一可定位为记录甲；目标记录满足本页展示范围
4. 该记录的昵称来源值为“测试昵称甲”；另有记录乙的同字段值不同，二者不混用</x:v>
      </x:c>
      <x:c r="J398" s="9" t="str">
        <x:v>1. 打开用户详情
2. 查看记录甲的昵称</x:v>
      </x:c>
      <x:c r="K398" s="9" t="str">
        <x:v>记录甲的昵称显示“测试昵称甲”</x:v>
      </x:c>
      <x:c r="L398" s="10" t="str"/>
      <x:c r="M398" s="10" t="str">
        <x:v>未测</x:v>
      </x:c>
      <x:c r="N398" s="10" t="str"/>
      <x:c r="O398" s="9" t="str">
        <x:v>1. 来源（当前证据）：liveshow-proto/MainBasis/统一需求文档.md；位置：第 2516 行；REQ-12e618050f4f、第 2514 行
2. 规则：BR-F6CF860540077D
3. 未动态验证
4. 示例账号、编号、金额与日期是本条测试数据；执行前按前置条件准备，未填写的产品决策不得自行假定。</x:v>
      </x:c>
    </x:row>
    <x:row r="399" ht="130" customHeight="1">
      <x:c r="A399" s="10" t="n">
        <x:v>398</x:v>
      </x:c>
      <x:c r="B399" s="10" t="str">
        <x:v>ADMIN-0398</x:v>
      </x:c>
      <x:c r="C399" s="10" t="str">
        <x:v>用户管理</x:v>
      </x:c>
      <x:c r="D399" s="10" t="str">
        <x:v>用户详情（平台管理员）</x:v>
      </x:c>
      <x:c r="E399" s="10" t="str">
        <x:v>功能需求</x:v>
      </x:c>
      <x:c r="F399" s="10" t="str">
        <x:v>P2</x:v>
      </x:c>
      <x:c r="G399" s="9" t="str">
        <x:v>验证用户详情显示目标记录的ID</x:v>
      </x:c>
      <x:c r="H399" s="9" t="str">
        <x:v>ID与当前对象绑定</x:v>
      </x:c>
      <x:c r="I399" s="9" t="str">
        <x:v>1. 平台管理员为本条执行者
2. 平台管理员账号已登录
3. 用户详情中目标记录唯一可定位为记录甲；目标记录满足本页展示范围
4. 该记录的ID来源值为“1001”；另有记录乙的同字段值不同，二者不混用</x:v>
      </x:c>
      <x:c r="J399" s="9" t="str">
        <x:v>1. 打开用户详情
2. 查看记录甲的ID</x:v>
      </x:c>
      <x:c r="K399" s="9" t="str">
        <x:v>记录甲的ID显示“1001”</x:v>
      </x:c>
      <x:c r="L399" s="10" t="str"/>
      <x:c r="M399" s="10" t="str">
        <x:v>未测</x:v>
      </x:c>
      <x:c r="N399" s="10" t="str"/>
      <x:c r="O399" s="9" t="str">
        <x:v>1. 来源（当前证据）：liveshow-proto/MainBasis/统一需求文档.md；位置：第 2516 行；REQ-12e618050f4f、第 2514 行
2. 规则：BR-B31B9DFABE7884
3. 未动态验证
4. 示例账号、编号、金额与日期是本条测试数据；执行前按前置条件准备，未填写的产品决策不得自行假定。</x:v>
      </x:c>
    </x:row>
    <x:row r="400" ht="190" customHeight="1">
      <x:c r="A400" s="10" t="n">
        <x:v>399</x:v>
      </x:c>
      <x:c r="B400" s="10" t="str">
        <x:v>ADMIN-0399</x:v>
      </x:c>
      <x:c r="C400" s="10" t="str">
        <x:v>用户管理</x:v>
      </x:c>
      <x:c r="D400" s="10" t="str">
        <x:v>用户详情（平台管理员）</x:v>
      </x:c>
      <x:c r="E400" s="10" t="str">
        <x:v>功能需求</x:v>
      </x:c>
      <x:c r="F400" s="10" t="str">
        <x:v>P2</x:v>
      </x:c>
      <x:c r="G400" s="9" t="str">
        <x:v>验证用户详情显示目标记录的注册时间</x:v>
      </x:c>
      <x:c r="H400" s="9" t="str">
        <x:v>注册时间与当前对象绑定</x:v>
      </x:c>
      <x:c r="I400" s="9" t="str">
        <x:v>1. 平台管理员为本条执行者
2. 平台管理员账号已登录
3. 用户详情中目标记录唯一可定位为记录甲；目标记录满足本页展示范围
4. 该记录的注册时间来源值为“2026/09/01 10:03”；另有记录乙的同字段值不同，二者不混用
5. 日期时间均以当前页面使用的时区准备，不测试尚未确认的跨时区换算</x:v>
      </x:c>
      <x:c r="J400" s="9" t="str">
        <x:v>1. 打开用户详情
2. 查看记录甲的注册时间</x:v>
      </x:c>
      <x:c r="K400" s="9" t="str">
        <x:v>记录甲的注册时间表示测试时刻“2026/09/01 10:03”</x:v>
      </x:c>
      <x:c r="L400" s="10" t="str"/>
      <x:c r="M400" s="10" t="str">
        <x:v>未测</x:v>
      </x:c>
      <x:c r="N400" s="10" t="str"/>
      <x:c r="O400" s="9" t="str">
        <x:v>1. 来源（当前证据）：liveshow-proto/MainBasis/统一需求文档.md；位置：第 2516 行；REQ-12e618050f4f、第 2514 行
2. 规则：BR-DD4FE40A1B4F19
3. 未动态验证
4. 示例账号、编号、金额与日期是本条测试数据；执行前按前置条件准备，未填写的产品决策不得自行假定。</x:v>
      </x:c>
    </x:row>
    <x:row r="401" ht="130" customHeight="1">
      <x:c r="A401" s="10" t="n">
        <x:v>400</x:v>
      </x:c>
      <x:c r="B401" s="10" t="str">
        <x:v>ADMIN-0400</x:v>
      </x:c>
      <x:c r="C401" s="10" t="str">
        <x:v>用户管理</x:v>
      </x:c>
      <x:c r="D401" s="10" t="str">
        <x:v>用户详情（平台管理员）</x:v>
      </x:c>
      <x:c r="E401" s="10" t="str">
        <x:v>功能需求</x:v>
      </x:c>
      <x:c r="F401" s="10" t="str">
        <x:v>P2</x:v>
      </x:c>
      <x:c r="G401" s="9" t="str">
        <x:v>验证用户详情显示目标记录的设备</x:v>
      </x:c>
      <x:c r="H401" s="9" t="str">
        <x:v>设备与当前对象绑定</x:v>
      </x:c>
      <x:c r="I401" s="9" t="str">
        <x:v>1. 平台管理员为本条执行者
2. 平台管理员账号已登录
3. 用户详情中目标记录唯一可定位为记录甲；目标记录满足本页展示范围
4. 该记录的设备来源值为“测试设备甲”；另有记录乙的同字段值不同，二者不混用</x:v>
      </x:c>
      <x:c r="J401" s="9" t="str">
        <x:v>1. 打开用户详情
2. 查看记录甲的设备</x:v>
      </x:c>
      <x:c r="K401" s="9" t="str">
        <x:v>记录甲的设备显示“测试设备甲”</x:v>
      </x:c>
      <x:c r="L401" s="10" t="str"/>
      <x:c r="M401" s="10" t="str">
        <x:v>未测</x:v>
      </x:c>
      <x:c r="N401" s="10" t="str"/>
      <x:c r="O401" s="9" t="str">
        <x:v>1. 来源（当前证据）：liveshow-proto/MainBasis/统一需求文档.md；位置：第 2520 行；REQ-3dbf46afe8f8、第 2514 行
2. 规则：BR-BE2F4F4027682D
3. 未动态验证
4. 示例账号、编号、金额与日期是本条测试数据；执行前按前置条件准备，未填写的产品决策不得自行假定。</x:v>
      </x:c>
    </x:row>
    <x:row r="402" ht="130" customHeight="1">
      <x:c r="A402" s="10" t="n">
        <x:v>401</x:v>
      </x:c>
      <x:c r="B402" s="10" t="str">
        <x:v>ADMIN-0401</x:v>
      </x:c>
      <x:c r="C402" s="10" t="str">
        <x:v>用户管理</x:v>
      </x:c>
      <x:c r="D402" s="10" t="str">
        <x:v>用户详情（平台管理员）</x:v>
      </x:c>
      <x:c r="E402" s="10" t="str">
        <x:v>功能需求</x:v>
      </x:c>
      <x:c r="F402" s="10" t="str">
        <x:v>P2</x:v>
      </x:c>
      <x:c r="G402" s="9" t="str">
        <x:v>验证用户详情显示目标记录的系统</x:v>
      </x:c>
      <x:c r="H402" s="9" t="str">
        <x:v>系统与当前对象绑定</x:v>
      </x:c>
      <x:c r="I402" s="9" t="str">
        <x:v>1. 平台管理员为本条执行者
2. 平台管理员账号已登录
3. 用户详情中目标记录唯一可定位为记录甲；目标记录满足本页展示范围
4. 该记录的系统来源值为“Android 15”；另有记录乙的同字段值不同，二者不混用</x:v>
      </x:c>
      <x:c r="J402" s="9" t="str">
        <x:v>1. 打开用户详情
2. 查看记录甲的系统</x:v>
      </x:c>
      <x:c r="K402" s="9" t="str">
        <x:v>记录甲的系统显示“Android 15”</x:v>
      </x:c>
      <x:c r="L402" s="10" t="str"/>
      <x:c r="M402" s="10" t="str">
        <x:v>未测</x:v>
      </x:c>
      <x:c r="N402" s="10" t="str"/>
      <x:c r="O402" s="9" t="str">
        <x:v>1. 来源（当前证据）：liveshow-proto/MainBasis/统一需求文档.md；位置：第 2520 行；REQ-3dbf46afe8f8、第 2514 行
2. 规则：BR-A860C9F5F967C9
3. 未动态验证
4. 示例账号、编号、金额与日期是本条测试数据；执行前按前置条件准备，未填写的产品决策不得自行假定。</x:v>
      </x:c>
    </x:row>
    <x:row r="403" ht="130" customHeight="1">
      <x:c r="A403" s="10" t="n">
        <x:v>402</x:v>
      </x:c>
      <x:c r="B403" s="10" t="str">
        <x:v>ADMIN-0402</x:v>
      </x:c>
      <x:c r="C403" s="10" t="str">
        <x:v>用户管理</x:v>
      </x:c>
      <x:c r="D403" s="10" t="str">
        <x:v>用户详情（平台管理员）</x:v>
      </x:c>
      <x:c r="E403" s="10" t="str">
        <x:v>功能需求</x:v>
      </x:c>
      <x:c r="F403" s="10" t="str">
        <x:v>P2</x:v>
      </x:c>
      <x:c r="G403" s="9" t="str">
        <x:v>验证用户详情显示目标记录的应用版本</x:v>
      </x:c>
      <x:c r="H403" s="9" t="str">
        <x:v>应用版本与当前对象绑定</x:v>
      </x:c>
      <x:c r="I403" s="9" t="str">
        <x:v>1. 平台管理员为本条执行者
2. 平台管理员账号已登录
3. 用户详情中目标记录唯一可定位为记录甲；目标记录满足本页展示范围
4. 该记录的应用版本来源值为“1.0.0”；另有记录乙的同字段值不同，二者不混用</x:v>
      </x:c>
      <x:c r="J403" s="9" t="str">
        <x:v>1. 打开用户详情
2. 查看记录甲的应用版本</x:v>
      </x:c>
      <x:c r="K403" s="9" t="str">
        <x:v>记录甲的应用版本显示“1.0.0”</x:v>
      </x:c>
      <x:c r="L403" s="10" t="str"/>
      <x:c r="M403" s="10" t="str">
        <x:v>未测</x:v>
      </x:c>
      <x:c r="N403" s="10" t="str"/>
      <x:c r="O403" s="9" t="str">
        <x:v>1. 来源（当前证据）：liveshow-proto/MainBasis/统一需求文档.md；位置：第 2520 行；REQ-3dbf46afe8f8、第 2514 行
2. 规则：BR-4AC04E95E9031E
3. 未动态验证
4. 示例账号、编号、金额与日期是本条测试数据；执行前按前置条件准备，未填写的产品决策不得自行假定。</x:v>
      </x:c>
    </x:row>
    <x:row r="404" ht="190" customHeight="1">
      <x:c r="A404" s="10" t="n">
        <x:v>403</x:v>
      </x:c>
      <x:c r="B404" s="10" t="str">
        <x:v>ADMIN-0403</x:v>
      </x:c>
      <x:c r="C404" s="10" t="str">
        <x:v>用户管理</x:v>
      </x:c>
      <x:c r="D404" s="10" t="str">
        <x:v>用户详情（平台管理员）</x:v>
      </x:c>
      <x:c r="E404" s="10" t="str">
        <x:v>功能需求</x:v>
      </x:c>
      <x:c r="F404" s="10" t="str">
        <x:v>P1</x:v>
      </x:c>
      <x:c r="G404" s="9" t="str">
        <x:v>验证用户详情显示目标记录的最近登录时间</x:v>
      </x:c>
      <x:c r="H404" s="9" t="str">
        <x:v>最近登录时间与当前对象绑定</x:v>
      </x:c>
      <x:c r="I404" s="9" t="str">
        <x:v>1. 平台管理员为本条执行者
2. 平台管理员账号已登录
3. 用户详情中目标记录唯一可定位为记录甲；目标记录满足本页展示范围
4. 该记录的最近登录时间来源值为“2026/09/14 10:11”；另有记录乙的同字段值不同，二者不混用
5. 日期时间均以当前页面使用的时区准备，不测试尚未确认的跨时区换算</x:v>
      </x:c>
      <x:c r="J404" s="9" t="str">
        <x:v>1. 打开用户详情
2. 查看记录甲的最近登录时间</x:v>
      </x:c>
      <x:c r="K404" s="9" t="str">
        <x:v>记录甲的最近登录时间表示测试时刻“2026/09/14 10:11”</x:v>
      </x:c>
      <x:c r="L404" s="10" t="str"/>
      <x:c r="M404" s="10" t="str">
        <x:v>未测</x:v>
      </x:c>
      <x:c r="N404" s="10" t="str"/>
      <x:c r="O404" s="9" t="str">
        <x:v>1. 来源（当前证据）：liveshow-proto/MainBasis/统一需求文档.md；位置：第 2520 行；REQ-3dbf46afe8f8、第 2514 行
2. 规则：BR-94CB426DC79227
3. 未动态验证
4. 示例账号、编号、金额与日期是本条测试数据；执行前按前置条件准备，未填写的产品决策不得自行假定。</x:v>
      </x:c>
    </x:row>
    <x:row r="405" ht="130" customHeight="1">
      <x:c r="A405" s="10" t="n">
        <x:v>404</x:v>
      </x:c>
      <x:c r="B405" s="10" t="str">
        <x:v>ADMIN-0404</x:v>
      </x:c>
      <x:c r="C405" s="10" t="str">
        <x:v>主播管理</x:v>
      </x:c>
      <x:c r="D405" s="10" t="str">
        <x:v>主播审核（平台管理员）</x:v>
      </x:c>
      <x:c r="E405" s="10" t="str">
        <x:v>功能需求</x:v>
      </x:c>
      <x:c r="F405" s="10" t="str">
        <x:v>P1</x:v>
      </x:c>
      <x:c r="G405" s="9" t="str">
        <x:v>验证主播审核显示目标记录的申请单号</x:v>
      </x:c>
      <x:c r="H405" s="9" t="str">
        <x:v>申请单号与当前对象绑定</x:v>
      </x:c>
      <x:c r="I405" s="9" t="str">
        <x:v>1. 平台管理员为本条执行者
2. 平台管理员账号已登录
3. 主播审核中目标记录唯一可定位为记录甲；目标记录满足本页展示范围
4. 该记录的申请单号来源值为“J001”；另有记录乙的同字段值不同，二者不混用</x:v>
      </x:c>
      <x:c r="J405" s="9" t="str">
        <x:v>1. 打开主播审核
2. 查看记录甲的申请单号</x:v>
      </x:c>
      <x:c r="K405" s="9" t="str">
        <x:v>记录甲的申请单号显示“J001”</x:v>
      </x:c>
      <x:c r="L405" s="10" t="str"/>
      <x:c r="M405" s="10" t="str">
        <x:v>未测</x:v>
      </x:c>
      <x:c r="N405" s="10" t="str"/>
      <x:c r="O405" s="9" t="str">
        <x:v>1. 来源（当前证据）：liveshow-proto/MainBasis/统一需求文档.md；位置：第 2553 行；REQ-a8a706323b12、第 2551 行
2. 规则：BR-AEDA2E2A117981
3. 未动态验证
4. 示例账号、编号、金额与日期是本条测试数据；执行前按前置条件准备，未填写的产品决策不得自行假定。</x:v>
      </x:c>
    </x:row>
    <x:row r="406" ht="130" customHeight="1">
      <x:c r="A406" s="10" t="n">
        <x:v>405</x:v>
      </x:c>
      <x:c r="B406" s="10" t="str">
        <x:v>ADMIN-0405</x:v>
      </x:c>
      <x:c r="C406" s="10" t="str">
        <x:v>主播管理</x:v>
      </x:c>
      <x:c r="D406" s="10" t="str">
        <x:v>主播审核（平台管理员）</x:v>
      </x:c>
      <x:c r="E406" s="10" t="str">
        <x:v>功能需求</x:v>
      </x:c>
      <x:c r="F406" s="10" t="str">
        <x:v>P1</x:v>
      </x:c>
      <x:c r="G406" s="9" t="str">
        <x:v>验证主播审核显示目标记录的ID</x:v>
      </x:c>
      <x:c r="H406" s="9" t="str">
        <x:v>ID与当前对象绑定</x:v>
      </x:c>
      <x:c r="I406" s="9" t="str">
        <x:v>1. 平台管理员为本条执行者
2. 平台管理员账号已登录
3. 主播审核中目标记录唯一可定位为记录甲；目标记录满足本页展示范围
4. 该记录的ID来源值为“1001”；另有记录乙的同字段值不同，二者不混用</x:v>
      </x:c>
      <x:c r="J406" s="9" t="str">
        <x:v>1. 打开主播审核
2. 查看记录甲的ID</x:v>
      </x:c>
      <x:c r="K406" s="9" t="str">
        <x:v>记录甲的ID显示“1001”</x:v>
      </x:c>
      <x:c r="L406" s="10" t="str"/>
      <x:c r="M406" s="10" t="str">
        <x:v>未测</x:v>
      </x:c>
      <x:c r="N406" s="10" t="str"/>
      <x:c r="O406" s="9" t="str">
        <x:v>1. 来源（当前证据）：liveshow-proto/MainBasis/统一需求文档.md；位置：第 2555 行；REQ-a1486babc676、第 2551 行
2. 规则：BR-99E4A2097B66A4
3. 未动态验证
4. 示例账号、编号、金额与日期是本条测试数据；执行前按前置条件准备，未填写的产品决策不得自行假定。</x:v>
      </x:c>
    </x:row>
    <x:row r="407" ht="190" customHeight="1">
      <x:c r="A407" s="10" t="n">
        <x:v>406</x:v>
      </x:c>
      <x:c r="B407" s="10" t="str">
        <x:v>ADMIN-0406</x:v>
      </x:c>
      <x:c r="C407" s="10" t="str">
        <x:v>主播管理</x:v>
      </x:c>
      <x:c r="D407" s="10" t="str">
        <x:v>主播审核（平台管理员）</x:v>
      </x:c>
      <x:c r="E407" s="10" t="str">
        <x:v>功能需求</x:v>
      </x:c>
      <x:c r="F407" s="10" t="str">
        <x:v>P1</x:v>
      </x:c>
      <x:c r="G407" s="9" t="str">
        <x:v>验证主播审核显示目标记录的提交时间</x:v>
      </x:c>
      <x:c r="H407" s="9" t="str">
        <x:v>提交时间与当前对象绑定</x:v>
      </x:c>
      <x:c r="I407" s="9" t="str">
        <x:v>1. 平台管理员为本条执行者
2. 平台管理员账号已登录
3. 主播审核中目标记录唯一可定位为记录甲；目标记录满足本页展示范围
4. 该记录的提交时间来源值为“2026/09/14 10:02”；另有记录乙的同字段值不同，二者不混用
5. 日期时间均以当前页面使用的时区准备，不测试尚未确认的跨时区换算</x:v>
      </x:c>
      <x:c r="J407" s="9" t="str">
        <x:v>1. 打开主播审核
2. 查看记录甲的提交时间</x:v>
      </x:c>
      <x:c r="K407" s="9" t="str">
        <x:v>记录甲的提交时间表示测试时刻“2026/09/14 10:02”</x:v>
      </x:c>
      <x:c r="L407" s="10" t="str"/>
      <x:c r="M407" s="10" t="str">
        <x:v>未测</x:v>
      </x:c>
      <x:c r="N407" s="10" t="str"/>
      <x:c r="O407" s="9" t="str">
        <x:v>1. 来源（当前证据）：liveshow-proto/MainBasis/统一需求文档.md；位置：第 2557 行；REQ-d30769807547、第 2551 行
2. 规则：BR-F85CAE3ED57CED
3. 未动态验证
4. 示例账号、编号、金额与日期是本条测试数据；执行前按前置条件准备，未填写的产品决策不得自行假定。</x:v>
      </x:c>
    </x:row>
    <x:row r="408" ht="130" customHeight="1">
      <x:c r="A408" s="10" t="n">
        <x:v>407</x:v>
      </x:c>
      <x:c r="B408" s="10" t="str">
        <x:v>ADMIN-0407</x:v>
      </x:c>
      <x:c r="C408" s="10" t="str">
        <x:v>主播管理</x:v>
      </x:c>
      <x:c r="D408" s="10" t="str">
        <x:v>直播场次（平台管理员）</x:v>
      </x:c>
      <x:c r="E408" s="10" t="str">
        <x:v>功能需求</x:v>
      </x:c>
      <x:c r="F408" s="10" t="str">
        <x:v>P2</x:v>
      </x:c>
      <x:c r="G408" s="9" t="str">
        <x:v>验证直播场次显示目标记录的直播场次 ID</x:v>
      </x:c>
      <x:c r="H408" s="9" t="str">
        <x:v>直播场次 ID与当前对象绑定</x:v>
      </x:c>
      <x:c r="I408" s="9" t="str">
        <x:v>1. 平台管理员为本条执行者
2. 平台管理员账号已登录
3. 直播场次中目标记录唯一可定位为记录甲；目标记录满足本页展示范围
4. 该记录的直播场次 ID来源值为“S001”；另有记录乙的同字段值不同，二者不混用</x:v>
      </x:c>
      <x:c r="J408" s="9" t="str">
        <x:v>1. 打开直播场次
2. 查看记录甲的直播场次 ID</x:v>
      </x:c>
      <x:c r="K408" s="9" t="str">
        <x:v>记录甲的直播场次 ID显示“S001”</x:v>
      </x:c>
      <x:c r="L408" s="10" t="str"/>
      <x:c r="M408" s="10" t="str">
        <x:v>未测</x:v>
      </x:c>
      <x:c r="N408" s="10" t="str"/>
      <x:c r="O408" s="9" t="str">
        <x:v>1. 来源（当前证据）：liveshow-proto/MainBasis/统一需求文档.md；位置：第 2576 行；REQ-2d6daad85499、第 2574 行
2. 规则：BR-CDDA5E314BE2F1
3. 未动态验证
4. 示例账号、编号、金额与日期是本条测试数据；执行前按前置条件准备，未填写的产品决策不得自行假定。</x:v>
      </x:c>
    </x:row>
    <x:row r="409" ht="130" customHeight="1">
      <x:c r="A409" s="10" t="n">
        <x:v>408</x:v>
      </x:c>
      <x:c r="B409" s="10" t="str">
        <x:v>ADMIN-0408</x:v>
      </x:c>
      <x:c r="C409" s="10" t="str">
        <x:v>主播管理</x:v>
      </x:c>
      <x:c r="D409" s="10" t="str">
        <x:v>直播详情（平台管理员）</x:v>
      </x:c>
      <x:c r="E409" s="10" t="str">
        <x:v>功能需求</x:v>
      </x:c>
      <x:c r="F409" s="10" t="str">
        <x:v>P2</x:v>
      </x:c>
      <x:c r="G409" s="9" t="str">
        <x:v>验证直播详情显示目标记录的ID</x:v>
      </x:c>
      <x:c r="H409" s="9" t="str">
        <x:v>ID与当前对象绑定</x:v>
      </x:c>
      <x:c r="I409" s="9" t="str">
        <x:v>1. 平台管理员为本条执行者
2. 平台管理员账号已登录
3. 直播详情中目标记录唯一可定位为记录甲；目标记录满足本页展示范围
4. 该记录的ID来源值为“1001”；另有记录乙的同字段值不同，二者不混用</x:v>
      </x:c>
      <x:c r="J409" s="9" t="str">
        <x:v>1. 打开直播详情
2. 查看记录甲的ID</x:v>
      </x:c>
      <x:c r="K409" s="9" t="str">
        <x:v>记录甲的ID显示“1001”</x:v>
      </x:c>
      <x:c r="L409" s="10" t="str"/>
      <x:c r="M409" s="10" t="str">
        <x:v>未测</x:v>
      </x:c>
      <x:c r="N409" s="10" t="str"/>
      <x:c r="O409" s="9" t="str">
        <x:v>1. 来源（当前证据）：liveshow-proto/MainBasis/统一需求文档.md；位置：第 2589 行；REQ-2238baec36a3、第 2587 行
2. 规则：BR-B0A2574D0D8524
3. 未动态验证
4. 示例账号、编号、金额与日期是本条测试数据；执行前按前置条件准备，未填写的产品决策不得自行假定。</x:v>
      </x:c>
    </x:row>
    <x:row r="410" ht="130" customHeight="1">
      <x:c r="A410" s="10" t="n">
        <x:v>409</x:v>
      </x:c>
      <x:c r="B410" s="10" t="str">
        <x:v>ADMIN-0409</x:v>
      </x:c>
      <x:c r="C410" s="10" t="str">
        <x:v>主播管理</x:v>
      </x:c>
      <x:c r="D410" s="10" t="str">
        <x:v>直播详情（平台管理员）</x:v>
      </x:c>
      <x:c r="E410" s="10" t="str">
        <x:v>功能需求</x:v>
      </x:c>
      <x:c r="F410" s="10" t="str">
        <x:v>P2</x:v>
      </x:c>
      <x:c r="G410" s="9" t="str">
        <x:v>验证直播详情显示目标记录的场次 ID</x:v>
      </x:c>
      <x:c r="H410" s="9" t="str">
        <x:v>场次 ID与当前对象绑定</x:v>
      </x:c>
      <x:c r="I410" s="9" t="str">
        <x:v>1. 平台管理员为本条执行者
2. 平台管理员账号已登录
3. 直播详情中目标记录唯一可定位为记录甲；目标记录满足本页展示范围
4. 该记录的场次 ID来源值为“S001”；另有记录乙的同字段值不同，二者不混用</x:v>
      </x:c>
      <x:c r="J410" s="9" t="str">
        <x:v>1. 打开直播详情
2. 查看记录甲的场次 ID</x:v>
      </x:c>
      <x:c r="K410" s="9" t="str">
        <x:v>记录甲的场次 ID显示“S001”</x:v>
      </x:c>
      <x:c r="L410" s="10" t="str"/>
      <x:c r="M410" s="10" t="str">
        <x:v>未测</x:v>
      </x:c>
      <x:c r="N410" s="10" t="str"/>
      <x:c r="O410" s="9" t="str">
        <x:v>1. 来源（当前证据）：liveshow-proto/MainBasis/统一需求文档.md；位置：第 2589 行；REQ-2238baec36a3、第 2587 行
2. 规则：BR-2DDAFEAEEA74CB
3. 未动态验证
4. 示例账号、编号、金额与日期是本条测试数据；执行前按前置条件准备，未填写的产品决策不得自行假定。</x:v>
      </x:c>
    </x:row>
    <x:row r="411" ht="130" customHeight="1">
      <x:c r="A411" s="10" t="n">
        <x:v>410</x:v>
      </x:c>
      <x:c r="B411" s="10" t="str">
        <x:v>ADMIN-0410</x:v>
      </x:c>
      <x:c r="C411" s="10" t="str">
        <x:v>主播管理</x:v>
      </x:c>
      <x:c r="D411" s="10" t="str">
        <x:v>直播详情（平台管理员）</x:v>
      </x:c>
      <x:c r="E411" s="10" t="str">
        <x:v>功能需求</x:v>
      </x:c>
      <x:c r="F411" s="10" t="str">
        <x:v>P2</x:v>
      </x:c>
      <x:c r="G411" s="9" t="str">
        <x:v>验证直播详情显示目标记录的标题</x:v>
      </x:c>
      <x:c r="H411" s="9" t="str">
        <x:v>标题与当前对象绑定</x:v>
      </x:c>
      <x:c r="I411" s="9" t="str">
        <x:v>1. 平台管理员为本条执行者
2. 平台管理员账号已登录
3. 直播详情中目标记录唯一可定位为记录甲；目标记录满足本页展示范围
4. 该记录的标题来源值为“测试通知甲”；另有记录乙的同字段值不同，二者不混用</x:v>
      </x:c>
      <x:c r="J411" s="9" t="str">
        <x:v>1. 打开直播详情
2. 查看记录甲的标题</x:v>
      </x:c>
      <x:c r="K411" s="9" t="str">
        <x:v>记录甲的标题显示“测试通知甲”</x:v>
      </x:c>
      <x:c r="L411" s="10" t="str"/>
      <x:c r="M411" s="10" t="str">
        <x:v>未测</x:v>
      </x:c>
      <x:c r="N411" s="10" t="str"/>
      <x:c r="O411" s="9" t="str">
        <x:v>1. 来源（当前证据）：liveshow-proto/MainBasis/统一需求文档.md；位置：第 2589 行；REQ-2238baec36a3、第 2587 行
2. 规则：BR-4D99EBCF063846
3. 未动态验证
4. 示例账号、编号、金额与日期是本条测试数据；执行前按前置条件准备，未填写的产品决策不得自行假定。</x:v>
      </x:c>
    </x:row>
    <x:row r="412" ht="130" customHeight="1">
      <x:c r="A412" s="10" t="n">
        <x:v>411</x:v>
      </x:c>
      <x:c r="B412" s="10" t="str">
        <x:v>ADMIN-0411</x:v>
      </x:c>
      <x:c r="C412" s="10" t="str">
        <x:v>主播管理</x:v>
      </x:c>
      <x:c r="D412" s="10" t="str">
        <x:v>直播详情（平台管理员）</x:v>
      </x:c>
      <x:c r="E412" s="10" t="str">
        <x:v>功能需求</x:v>
      </x:c>
      <x:c r="F412" s="10" t="str">
        <x:v>P2</x:v>
      </x:c>
      <x:c r="G412" s="9" t="str">
        <x:v>验证直播详情显示目标记录的备注</x:v>
      </x:c>
      <x:c r="H412" s="9" t="str">
        <x:v>备注与当前对象绑定</x:v>
      </x:c>
      <x:c r="I412" s="9" t="str">
        <x:v>1. 平台管理员为本条执行者
2. 平台管理员账号已登录
3. 直播详情中目标记录唯一可定位为记录甲；目标记录满足本页展示范围
4. 该记录的备注来源值为“测试备注甲”；另有记录乙的同字段值不同，二者不混用</x:v>
      </x:c>
      <x:c r="J412" s="9" t="str">
        <x:v>1. 打开直播详情
2. 查看记录甲的备注</x:v>
      </x:c>
      <x:c r="K412" s="9" t="str">
        <x:v>记录甲的备注显示“测试备注甲”</x:v>
      </x:c>
      <x:c r="L412" s="10" t="str"/>
      <x:c r="M412" s="10" t="str">
        <x:v>未测</x:v>
      </x:c>
      <x:c r="N412" s="10" t="str"/>
      <x:c r="O412" s="9" t="str">
        <x:v>1. 来源（当前证据）：liveshow-proto/MainBasis/统一需求文档.md；位置：第 2593 行；REQ-033b8bfdca30、第 2587 行
2. 规则：BR-2C7ADA0F197DF7
3. 未动态验证
4. 示例账号、编号、金额与日期是本条测试数据；执行前按前置条件准备，未填写的产品决策不得自行假定。</x:v>
      </x:c>
    </x:row>
    <x:row r="413" ht="130" customHeight="1">
      <x:c r="A413" s="10" t="n">
        <x:v>412</x:v>
      </x:c>
      <x:c r="B413" s="10" t="str">
        <x:v>ADMIN-0412</x:v>
      </x:c>
      <x:c r="C413" s="10" t="str">
        <x:v>主播管理</x:v>
      </x:c>
      <x:c r="D413" s="10" t="str">
        <x:v>巡房排班（平台管理员）</x:v>
      </x:c>
      <x:c r="E413" s="10" t="str">
        <x:v>功能需求</x:v>
      </x:c>
      <x:c r="F413" s="10" t="str">
        <x:v>P2</x:v>
      </x:c>
      <x:c r="G413" s="9" t="str">
        <x:v>验证巡房排班显示目标记录的排班编号</x:v>
      </x:c>
      <x:c r="H413" s="9" t="str">
        <x:v>排班编号与当前对象绑定</x:v>
      </x:c>
      <x:c r="I413" s="9" t="str">
        <x:v>1. 平台管理员为本条执行者
2. 平台管理员账号已登录
3. 巡房排班中目标记录唯一可定位为记录甲；目标记录满足本页展示范围
4. 该记录的排班编号来源值为“IN001”；另有记录乙的同字段值不同，二者不混用</x:v>
      </x:c>
      <x:c r="J413" s="9" t="str">
        <x:v>1. 打开巡房排班
2. 查看记录甲的排班编号</x:v>
      </x:c>
      <x:c r="K413" s="9" t="str">
        <x:v>记录甲的排班编号显示“IN001”</x:v>
      </x:c>
      <x:c r="L413" s="10" t="str"/>
      <x:c r="M413" s="10" t="str">
        <x:v>未测</x:v>
      </x:c>
      <x:c r="N413" s="10" t="str"/>
      <x:c r="O413" s="9" t="str">
        <x:v>1. 来源（当前证据）：liveshow-proto/MainBasis/统一需求文档.md；位置：第 2601 行；REQ-5f386a705f5e、第 2599 行
2. 规则：BR-38F24082A692F9
3. 未动态验证
4. 示例账号、编号、金额与日期是本条测试数据；执行前按前置条件准备，未填写的产品决策不得自行假定。</x:v>
      </x:c>
    </x:row>
    <x:row r="414" ht="130" customHeight="1">
      <x:c r="A414" s="10" t="n">
        <x:v>413</x:v>
      </x:c>
      <x:c r="B414" s="10" t="str">
        <x:v>ADMIN-0413</x:v>
      </x:c>
      <x:c r="C414" s="10" t="str">
        <x:v>内容审核</x:v>
      </x:c>
      <x:c r="D414" s="10" t="str">
        <x:v>内容审核（审核管理员）</x:v>
      </x:c>
      <x:c r="E414" s="10" t="str">
        <x:v>功能需求</x:v>
      </x:c>
      <x:c r="F414" s="10" t="str">
        <x:v>P1</x:v>
      </x:c>
      <x:c r="G414" s="9" t="str">
        <x:v>验证内容审核显示目标记录的审核单号</x:v>
      </x:c>
      <x:c r="H414" s="9" t="str">
        <x:v>审核单号与当前对象绑定</x:v>
      </x:c>
      <x:c r="I414" s="9" t="str">
        <x:v>1. 审核管理员为本条执行者
2. 审核管理员账号已登录
3. 内容审核中目标记录唯一可定位为记录甲；目标记录满足本页展示范围
4. 该记录的审核单号来源值为“AU001”；另有记录乙的同字段值不同，二者不混用</x:v>
      </x:c>
      <x:c r="J414" s="9" t="str">
        <x:v>1. 打开内容审核
2. 查看记录甲的审核单号</x:v>
      </x:c>
      <x:c r="K414" s="9" t="str">
        <x:v>记录甲的审核单号显示“AU001”</x:v>
      </x:c>
      <x:c r="L414" s="10" t="str"/>
      <x:c r="M414" s="10" t="str">
        <x:v>未测</x:v>
      </x:c>
      <x:c r="N414" s="10" t="str"/>
      <x:c r="O414" s="9" t="str">
        <x:v>1. 来源（当前证据）：liveshow-proto/MainBasis/统一需求文档.md；位置：第 2630 行；REQ-e590d8c206ba、第 2628 行
2. 规则：BR-FD24B6B76FC9CD
3. 未动态验证
4. 示例账号、编号、金额与日期是本条测试数据；执行前按前置条件准备，未填写的产品决策不得自行假定。</x:v>
      </x:c>
    </x:row>
    <x:row r="415" ht="190" customHeight="1">
      <x:c r="A415" s="10" t="n">
        <x:v>414</x:v>
      </x:c>
      <x:c r="B415" s="10" t="str">
        <x:v>ADMIN-0414</x:v>
      </x:c>
      <x:c r="C415" s="10" t="str">
        <x:v>内容审核</x:v>
      </x:c>
      <x:c r="D415" s="10" t="str">
        <x:v>账号违规（审核管理员）</x:v>
      </x:c>
      <x:c r="E415" s="10" t="str">
        <x:v>功能需求</x:v>
      </x:c>
      <x:c r="F415" s="10" t="str">
        <x:v>P1</x:v>
      </x:c>
      <x:c r="G415" s="9" t="str">
        <x:v>验证账号违规显示目标记录的提交时间</x:v>
      </x:c>
      <x:c r="H415" s="9" t="str">
        <x:v>提交时间与当前对象绑定</x:v>
      </x:c>
      <x:c r="I415" s="9" t="str">
        <x:v>1. 审核管理员为本条执行者
2. 审核管理员账号已登录
3. 账号违规中目标记录唯一可定位为记录甲；目标记录满足本页展示范围
4. 该记录的提交时间来源值为“2026/09/14 10:02”；另有记录乙的同字段值不同，二者不混用
5. 日期时间均以当前页面使用的时区准备，不测试尚未确认的跨时区换算</x:v>
      </x:c>
      <x:c r="J415" s="9" t="str">
        <x:v>1. 打开账号违规
2. 查看记录甲的提交时间</x:v>
      </x:c>
      <x:c r="K415" s="9" t="str">
        <x:v>记录甲的提交时间表示测试时刻“2026/09/14 10:02”</x:v>
      </x:c>
      <x:c r="L415" s="10" t="str"/>
      <x:c r="M415" s="10" t="str">
        <x:v>未测</x:v>
      </x:c>
      <x:c r="N415" s="10" t="str"/>
      <x:c r="O415" s="9" t="str">
        <x:v>1. 来源（当前证据）：liveshow-proto/MainBasis/统一需求文档.md；位置：第 2655 行；REQ-c68999cd5a4d、第 2649 行
2. 规则：BR-8A950CD8AA5EAA
3. 未动态验证
4. 示例账号、编号、金额与日期是本条测试数据；执行前按前置条件准备，未填写的产品决策不得自行假定。</x:v>
      </x:c>
    </x:row>
    <x:row r="416" ht="130" customHeight="1">
      <x:c r="A416" s="10" t="n">
        <x:v>415</x:v>
      </x:c>
      <x:c r="B416" s="10" t="str">
        <x:v>ADMIN-0415</x:v>
      </x:c>
      <x:c r="C416" s="10" t="str">
        <x:v>内容审核</x:v>
      </x:c>
      <x:c r="D416" s="10" t="str">
        <x:v>直播间违规（审核管理员）</x:v>
      </x:c>
      <x:c r="E416" s="10" t="str">
        <x:v>功能需求</x:v>
      </x:c>
      <x:c r="F416" s="10" t="str">
        <x:v>P1</x:v>
      </x:c>
      <x:c r="G416" s="9" t="str">
        <x:v>验证直播间违规显示目标记录的直播场次 ID</x:v>
      </x:c>
      <x:c r="H416" s="9" t="str">
        <x:v>直播场次 ID与当前对象绑定</x:v>
      </x:c>
      <x:c r="I416" s="9" t="str">
        <x:v>1. 审核管理员为本条执行者
2. 审核管理员账号已登录
3. 直播间违规中目标记录唯一可定位为记录甲；目标记录满足本页展示范围
4. 该记录的直播场次 ID来源值为“S001”；另有记录乙的同字段值不同，二者不混用</x:v>
      </x:c>
      <x:c r="J416" s="9" t="str">
        <x:v>1. 打开直播间违规
2. 查看记录甲的直播场次 ID</x:v>
      </x:c>
      <x:c r="K416" s="9" t="str">
        <x:v>记录甲的直播场次 ID显示“S001”</x:v>
      </x:c>
      <x:c r="L416" s="10" t="str"/>
      <x:c r="M416" s="10" t="str">
        <x:v>未测</x:v>
      </x:c>
      <x:c r="N416" s="10" t="str"/>
      <x:c r="O416" s="9" t="str">
        <x:v>1. 来源（当前证据）：liveshow-proto/MainBasis/统一需求文档.md；位置：第 2662 行；REQ-6e2a33b6f15d、第 2660 行
2. 规则：BR-46A40D45F0156D
3. 未动态验证
4. 示例账号、编号、金额与日期是本条测试数据；执行前按前置条件准备，未填写的产品决策不得自行假定。</x:v>
      </x:c>
    </x:row>
    <x:row r="417" ht="190" customHeight="1">
      <x:c r="A417" s="10" t="n">
        <x:v>416</x:v>
      </x:c>
      <x:c r="B417" s="10" t="str">
        <x:v>ADMIN-0416</x:v>
      </x:c>
      <x:c r="C417" s="10" t="str">
        <x:v>内容审核</x:v>
      </x:c>
      <x:c r="D417" s="10" t="str">
        <x:v>直播间违规（审核管理员）</x:v>
      </x:c>
      <x:c r="E417" s="10" t="str">
        <x:v>功能需求</x:v>
      </x:c>
      <x:c r="F417" s="10" t="str">
        <x:v>P1</x:v>
      </x:c>
      <x:c r="G417" s="9" t="str">
        <x:v>验证直播间违规显示目标记录的提交时间</x:v>
      </x:c>
      <x:c r="H417" s="9" t="str">
        <x:v>提交时间与当前对象绑定</x:v>
      </x:c>
      <x:c r="I417" s="9" t="str">
        <x:v>1. 审核管理员为本条执行者
2. 审核管理员账号已登录
3. 直播间违规中目标记录唯一可定位为记录甲；目标记录满足本页展示范围
4. 该记录的提交时间来源值为“2026/09/14 10:02”；另有记录乙的同字段值不同，二者不混用
5. 日期时间均以当前页面使用的时区准备，不测试尚未确认的跨时区换算</x:v>
      </x:c>
      <x:c r="J417" s="9" t="str">
        <x:v>1. 打开直播间违规
2. 查看记录甲的提交时间</x:v>
      </x:c>
      <x:c r="K417" s="9" t="str">
        <x:v>记录甲的提交时间表示测试时刻“2026/09/14 10:02”</x:v>
      </x:c>
      <x:c r="L417" s="10" t="str"/>
      <x:c r="M417" s="10" t="str">
        <x:v>未测</x:v>
      </x:c>
      <x:c r="N417" s="10" t="str"/>
      <x:c r="O417" s="9" t="str">
        <x:v>1. 来源（当前证据）：liveshow-proto/MainBasis/统一需求文档.md；位置：第 2666 行；REQ-a893b2deecb9、第 2660 行
2. 规则：BR-307BFC946D3B6D
3. 未动态验证
4. 示例账号、编号、金额与日期是本条测试数据；执行前按前置条件准备，未填写的产品决策不得自行假定。</x:v>
      </x:c>
    </x:row>
    <x:row r="418" ht="130" customHeight="1">
      <x:c r="A418" s="10" t="n">
        <x:v>417</x:v>
      </x:c>
      <x:c r="B418" s="10" t="str">
        <x:v>ADMIN-0417</x:v>
      </x:c>
      <x:c r="C418" s="10" t="str">
        <x:v>内容审核</x:v>
      </x:c>
      <x:c r="D418" s="10" t="str">
        <x:v>违规类型（审核管理员）</x:v>
      </x:c>
      <x:c r="E418" s="10" t="str">
        <x:v>功能需求</x:v>
      </x:c>
      <x:c r="F418" s="10" t="str">
        <x:v>P1</x:v>
      </x:c>
      <x:c r="G418" s="9" t="str">
        <x:v>验证违规类型显示目标记录的类型 ID</x:v>
      </x:c>
      <x:c r="H418" s="9" t="str">
        <x:v>类型 ID与当前对象绑定</x:v>
      </x:c>
      <x:c r="I418" s="9" t="str">
        <x:v>1. 审核管理员为本条执行者
2. 审核管理员账号已登录
3. 违规类型中目标记录唯一可定位为记录甲；目标记录满足本页展示范围
4. 该记录的类型 ID来源值为“7001”；另有记录乙的同字段值不同，二者不混用</x:v>
      </x:c>
      <x:c r="J418" s="9" t="str">
        <x:v>1. 打开违规类型
2. 查看记录甲的类型 ID</x:v>
      </x:c>
      <x:c r="K418" s="9" t="str">
        <x:v>记录甲的类型 ID显示“7001”</x:v>
      </x:c>
      <x:c r="L418" s="10" t="str"/>
      <x:c r="M418" s="10" t="str">
        <x:v>未测</x:v>
      </x:c>
      <x:c r="N418" s="10" t="str"/>
      <x:c r="O418" s="9" t="str">
        <x:v>1. 来源（当前证据）：liveshow-proto/MainBasis/统一需求文档.md；位置：第 2685 行；REQ-adc7433c0f2b、第 2683 行
2. 规则：BR-FA8AF7649D7653
3. 未动态验证
4. 示例账号、编号、金额与日期是本条测试数据；执行前按前置条件准备，未填写的产品决策不得自行假定。</x:v>
      </x:c>
    </x:row>
    <x:row r="419" ht="130" customHeight="1">
      <x:c r="A419" s="10" t="n">
        <x:v>418</x:v>
      </x:c>
      <x:c r="B419" s="10" t="str">
        <x:v>ADMIN-0418</x:v>
      </x:c>
      <x:c r="C419" s="10" t="str">
        <x:v>公会管理</x:v>
      </x:c>
      <x:c r="D419" s="10" t="str">
        <x:v>公会列表（平台管理员）</x:v>
      </x:c>
      <x:c r="E419" s="10" t="str">
        <x:v>功能需求</x:v>
      </x:c>
      <x:c r="F419" s="10" t="str">
        <x:v>P2</x:v>
      </x:c>
      <x:c r="G419" s="9" t="str">
        <x:v>验证公会列表显示目标记录的名称</x:v>
      </x:c>
      <x:c r="H419" s="9" t="str">
        <x:v>名称与当前对象绑定</x:v>
      </x:c>
      <x:c r="I419" s="9" t="str">
        <x:v>1. 平台管理员为本条执行者
2. 平台管理员账号已登录
3. 公会列表中目标记录唯一可定位为记录甲；目标记录满足本页展示范围
4. 该记录的名称来源值为“测试名称甲”；另有记录乙的同字段值不同，二者不混用</x:v>
      </x:c>
      <x:c r="J419" s="9" t="str">
        <x:v>1. 打开公会列表
2. 查看记录甲的名称</x:v>
      </x:c>
      <x:c r="K419" s="9" t="str">
        <x:v>记录甲的名称显示“测试名称甲”</x:v>
      </x:c>
      <x:c r="L419" s="10" t="str"/>
      <x:c r="M419" s="10" t="str">
        <x:v>未测</x:v>
      </x:c>
      <x:c r="N419" s="10" t="str"/>
      <x:c r="O419" s="9" t="str">
        <x:v>1. 来源（当前证据）：liveshow-proto/MainBasis/统一需求文档.md；位置：第 2706 行；REQ-233ac94a1aae、第 2704 行
2. 规则：BR-22271B7EFB26CB
3. 未动态验证
4. 示例账号、编号、金额与日期是本条测试数据；执行前按前置条件准备，未填写的产品决策不得自行假定。</x:v>
      </x:c>
    </x:row>
    <x:row r="420" ht="130" customHeight="1">
      <x:c r="A420" s="10" t="n">
        <x:v>419</x:v>
      </x:c>
      <x:c r="B420" s="10" t="str">
        <x:v>ADMIN-0419</x:v>
      </x:c>
      <x:c r="C420" s="10" t="str">
        <x:v>公会管理</x:v>
      </x:c>
      <x:c r="D420" s="10" t="str">
        <x:v>公会列表（平台管理员）</x:v>
      </x:c>
      <x:c r="E420" s="10" t="str">
        <x:v>功能需求</x:v>
      </x:c>
      <x:c r="F420" s="10" t="str">
        <x:v>P2</x:v>
      </x:c>
      <x:c r="G420" s="9" t="str">
        <x:v>验证公会列表显示目标记录的ID</x:v>
      </x:c>
      <x:c r="H420" s="9" t="str">
        <x:v>ID与当前对象绑定</x:v>
      </x:c>
      <x:c r="I420" s="9" t="str">
        <x:v>1. 平台管理员为本条执行者
2. 平台管理员账号已登录
3. 公会列表中目标记录唯一可定位为记录甲；目标记录满足本页展示范围
4. 该记录的ID来源值为“1001”；另有记录乙的同字段值不同，二者不混用</x:v>
      </x:c>
      <x:c r="J420" s="9" t="str">
        <x:v>1. 打开公会列表
2. 查看记录甲的ID</x:v>
      </x:c>
      <x:c r="K420" s="9" t="str">
        <x:v>记录甲的ID显示“1001”</x:v>
      </x:c>
      <x:c r="L420" s="10" t="str"/>
      <x:c r="M420" s="10" t="str">
        <x:v>未测</x:v>
      </x:c>
      <x:c r="N420" s="10" t="str"/>
      <x:c r="O420" s="9" t="str">
        <x:v>1. 来源（当前证据）：liveshow-proto/MainBasis/统一需求文档.md；位置：第 2706 行；REQ-233ac94a1aae、第 2704 行
2. 规则：BR-BD33667740F46D
3. 未动态验证
4. 示例账号、编号、金额与日期是本条测试数据；执行前按前置条件准备，未填写的产品决策不得自行假定。</x:v>
      </x:c>
    </x:row>
    <x:row r="421" ht="130" customHeight="1">
      <x:c r="A421" s="10" t="n">
        <x:v>420</x:v>
      </x:c>
      <x:c r="B421" s="10" t="str">
        <x:v>ADMIN-0420</x:v>
      </x:c>
      <x:c r="C421" s="10" t="str">
        <x:v>公会管理</x:v>
      </x:c>
      <x:c r="D421" s="10" t="str">
        <x:v>公会详情（平台管理员）</x:v>
      </x:c>
      <x:c r="E421" s="10" t="str">
        <x:v>功能需求</x:v>
      </x:c>
      <x:c r="F421" s="10" t="str">
        <x:v>P2</x:v>
      </x:c>
      <x:c r="G421" s="9" t="str">
        <x:v>验证公会详情显示目标记录的公会 ID</x:v>
      </x:c>
      <x:c r="H421" s="9" t="str">
        <x:v>公会 ID与当前对象绑定</x:v>
      </x:c>
      <x:c r="I421" s="9" t="str">
        <x:v>1. 平台管理员为本条执行者
2. 平台管理员账号已登录
3. 公会详情中目标记录唯一可定位为记录甲；目标记录满足本页展示范围
4. 该记录的公会 ID来源值为“3001”；另有记录乙的同字段值不同，二者不混用</x:v>
      </x:c>
      <x:c r="J421" s="9" t="str">
        <x:v>1. 打开公会详情
2. 查看记录甲的公会 ID</x:v>
      </x:c>
      <x:c r="K421" s="9" t="str">
        <x:v>记录甲的公会 ID显示“3001”</x:v>
      </x:c>
      <x:c r="L421" s="10" t="str"/>
      <x:c r="M421" s="10" t="str">
        <x:v>未测</x:v>
      </x:c>
      <x:c r="N421" s="10" t="str"/>
      <x:c r="O421" s="9" t="str">
        <x:v>1. 来源（当前证据）：liveshow-proto/MainBasis/统一需求文档.md；位置：第 2718 行；REQ-5dfeb822ca1f、第 2716 行
2. 规则：BR-528C4EB87CAFE1
3. 未动态验证
4. 示例账号、编号、金额与日期是本条测试数据；执行前按前置条件准备，未填写的产品决策不得自行假定。</x:v>
      </x:c>
    </x:row>
    <x:row r="422" ht="130" customHeight="1">
      <x:c r="A422" s="10" t="n">
        <x:v>421</x:v>
      </x:c>
      <x:c r="B422" s="10" t="str">
        <x:v>ADMIN-0421</x:v>
      </x:c>
      <x:c r="C422" s="10" t="str">
        <x:v>礼物与道具</x:v>
      </x:c>
      <x:c r="D422" s="10" t="str">
        <x:v>普通礼物（平台管理员）</x:v>
      </x:c>
      <x:c r="E422" s="10" t="str">
        <x:v>功能需求</x:v>
      </x:c>
      <x:c r="F422" s="10" t="str">
        <x:v>P2</x:v>
      </x:c>
      <x:c r="G422" s="9" t="str">
        <x:v>验证普通礼物显示目标记录的礼物 ID</x:v>
      </x:c>
      <x:c r="H422" s="9" t="str">
        <x:v>礼物 ID与当前对象绑定</x:v>
      </x:c>
      <x:c r="I422" s="9" t="str">
        <x:v>1. 平台管理员为本条执行者
2. 平台管理员账号已登录
3. 普通礼物中目标记录唯一可定位为记录甲；目标记录满足本页展示范围
4. 该记录的礼物 ID来源值为“4001”；另有记录乙的同字段值不同，二者不混用</x:v>
      </x:c>
      <x:c r="J422" s="9" t="str">
        <x:v>1. 打开普通礼物
2. 查看记录甲的礼物 ID</x:v>
      </x:c>
      <x:c r="K422" s="9" t="str">
        <x:v>记录甲的礼物 ID显示“4001”</x:v>
      </x:c>
      <x:c r="L422" s="10" t="str"/>
      <x:c r="M422" s="10" t="str">
        <x:v>未测</x:v>
      </x:c>
      <x:c r="N422" s="10" t="str"/>
      <x:c r="O422" s="9" t="str">
        <x:v>1. 来源（当前证据）：liveshow-proto/MainBasis/统一需求文档.md；位置：第 2733 行；REQ-e4e160958931、第 2731 行
2. 规则：BR-43F48C4100DA8A
3. 未动态验证
4. 示例账号、编号、金额与日期是本条测试数据；执行前按前置条件准备，未填写的产品决策不得自行假定。</x:v>
      </x:c>
    </x:row>
    <x:row r="423" ht="130" customHeight="1">
      <x:c r="A423" s="10" t="n">
        <x:v>422</x:v>
      </x:c>
      <x:c r="B423" s="10" t="str">
        <x:v>ADMIN-0422</x:v>
      </x:c>
      <x:c r="C423" s="10" t="str">
        <x:v>礼物与道具</x:v>
      </x:c>
      <x:c r="D423" s="10" t="str">
        <x:v>礼物详情（平台管理员）</x:v>
      </x:c>
      <x:c r="E423" s="10" t="str">
        <x:v>功能需求</x:v>
      </x:c>
      <x:c r="F423" s="10" t="str">
        <x:v>P2</x:v>
      </x:c>
      <x:c r="G423" s="9" t="str">
        <x:v>验证礼物详情显示目标记录的礼物 ID</x:v>
      </x:c>
      <x:c r="H423" s="9" t="str">
        <x:v>礼物 ID与当前对象绑定</x:v>
      </x:c>
      <x:c r="I423" s="9" t="str">
        <x:v>1. 平台管理员为本条执行者
2. 平台管理员账号已登录
3. 礼物详情中目标记录唯一可定位为记录甲；目标记录满足本页展示范围
4. 该记录的礼物 ID来源值为“4001”；另有记录乙的同字段值不同，二者不混用</x:v>
      </x:c>
      <x:c r="J423" s="9" t="str">
        <x:v>1. 打开礼物详情
2. 查看记录甲的礼物 ID</x:v>
      </x:c>
      <x:c r="K423" s="9" t="str">
        <x:v>记录甲的礼物 ID显示“4001”</x:v>
      </x:c>
      <x:c r="L423" s="10" t="str"/>
      <x:c r="M423" s="10" t="str">
        <x:v>未测</x:v>
      </x:c>
      <x:c r="N423" s="10" t="str"/>
      <x:c r="O423" s="9" t="str">
        <x:v>1. 来源（当前证据）：liveshow-proto/MainBasis/统一需求文档.md；位置：第 2745 行；REQ-e52d9858f0ee、第 2743 行
2. 规则：BR-92AE66F8126814
3. 未动态验证
4. 示例账号、编号、金额与日期是本条测试数据；执行前按前置条件准备，未填写的产品决策不得自行假定。</x:v>
      </x:c>
    </x:row>
    <x:row r="424" ht="130" customHeight="1">
      <x:c r="A424" s="10" t="n">
        <x:v>423</x:v>
      </x:c>
      <x:c r="B424" s="10" t="str">
        <x:v>ADMIN-0423</x:v>
      </x:c>
      <x:c r="C424" s="10" t="str">
        <x:v>礼物与道具</x:v>
      </x:c>
      <x:c r="D424" s="10" t="str">
        <x:v>礼物详情（平台管理员）</x:v>
      </x:c>
      <x:c r="E424" s="10" t="str">
        <x:v>功能需求</x:v>
      </x:c>
      <x:c r="F424" s="10" t="str">
        <x:v>P2</x:v>
      </x:c>
      <x:c r="G424" s="9" t="str">
        <x:v>验证礼物详情显示目标记录的操作人</x:v>
      </x:c>
      <x:c r="H424" s="9" t="str">
        <x:v>操作人与当前对象绑定</x:v>
      </x:c>
      <x:c r="I424" s="9" t="str">
        <x:v>1. 平台管理员为本条执行者
2. 平台管理员账号已登录
3. 礼物详情中目标记录唯一可定位为记录甲；目标记录满足本页展示范围
4. 该记录的操作人来源值为“测试操作员甲”；另有记录乙的同字段值不同，二者不混用</x:v>
      </x:c>
      <x:c r="J424" s="9" t="str">
        <x:v>1. 打开礼物详情
2. 查看记录甲的操作人</x:v>
      </x:c>
      <x:c r="K424" s="9" t="str">
        <x:v>记录甲的操作人显示“测试操作员甲”</x:v>
      </x:c>
      <x:c r="L424" s="10" t="str"/>
      <x:c r="M424" s="10" t="str">
        <x:v>未测</x:v>
      </x:c>
      <x:c r="N424" s="10" t="str"/>
      <x:c r="O424" s="9" t="str">
        <x:v>1. 来源（当前证据）：liveshow-proto/MainBasis/统一需求文档.md；位置：第 2751 行；REQ-18f968fd1a24、第 2743 行
2. 规则：BR-DC755DFFFCADA6
3. 未动态验证
4. 示例账号、编号、金额与日期是本条测试数据；执行前按前置条件准备，未填写的产品决策不得自行假定。</x:v>
      </x:c>
    </x:row>
    <x:row r="425" ht="130" customHeight="1">
      <x:c r="A425" s="10" t="n">
        <x:v>424</x:v>
      </x:c>
      <x:c r="B425" s="10" t="str">
        <x:v>ADMIN-0424</x:v>
      </x:c>
      <x:c r="C425" s="10" t="str">
        <x:v>礼物与道具</x:v>
      </x:c>
      <x:c r="D425" s="10" t="str">
        <x:v>定制礼物（平台管理员）</x:v>
      </x:c>
      <x:c r="E425" s="10" t="str">
        <x:v>功能需求</x:v>
      </x:c>
      <x:c r="F425" s="10" t="str">
        <x:v>P2</x:v>
      </x:c>
      <x:c r="G425" s="9" t="str">
        <x:v>验证定制礼物显示目标记录的名称</x:v>
      </x:c>
      <x:c r="H425" s="9" t="str">
        <x:v>名称与当前对象绑定</x:v>
      </x:c>
      <x:c r="I425" s="9" t="str">
        <x:v>1. 平台管理员为本条执行者
2. 平台管理员账号已登录
3. 定制礼物中目标记录唯一可定位为记录甲；目标记录满足本页展示范围
4. 该记录的名称来源值为“测试名称甲”；另有记录乙的同字段值不同，二者不混用</x:v>
      </x:c>
      <x:c r="J425" s="9" t="str">
        <x:v>1. 打开定制礼物
2. 查看记录甲的名称</x:v>
      </x:c>
      <x:c r="K425" s="9" t="str">
        <x:v>记录甲的名称显示“测试名称甲”</x:v>
      </x:c>
      <x:c r="L425" s="10" t="str"/>
      <x:c r="M425" s="10" t="str">
        <x:v>未测</x:v>
      </x:c>
      <x:c r="N425" s="10" t="str"/>
      <x:c r="O425" s="9" t="str">
        <x:v>1. 来源（当前证据）：liveshow-proto/MainBasis/统一需求文档.md；位置：第 2758 行；REQ-b7d14b41a048、第 2756 行
2. 规则：BR-056B91B3E65D12
3. 未动态验证
4. 示例账号、编号、金额与日期是本条测试数据；执行前按前置条件准备，未填写的产品决策不得自行假定。</x:v>
      </x:c>
    </x:row>
    <x:row r="426" ht="130" customHeight="1">
      <x:c r="A426" s="10" t="n">
        <x:v>425</x:v>
      </x:c>
      <x:c r="B426" s="10" t="str">
        <x:v>ADMIN-0425</x:v>
      </x:c>
      <x:c r="C426" s="10" t="str">
        <x:v>礼物与道具</x:v>
      </x:c>
      <x:c r="D426" s="10" t="str">
        <x:v>道具配置（平台管理员）</x:v>
      </x:c>
      <x:c r="E426" s="10" t="str">
        <x:v>功能需求</x:v>
      </x:c>
      <x:c r="F426" s="10" t="str">
        <x:v>P2</x:v>
      </x:c>
      <x:c r="G426" s="9" t="str">
        <x:v>验证道具配置显示目标记录的道具 ID</x:v>
      </x:c>
      <x:c r="H426" s="9" t="str">
        <x:v>道具 ID与当前对象绑定</x:v>
      </x:c>
      <x:c r="I426" s="9" t="str">
        <x:v>1. 平台管理员为本条执行者
2. 平台管理员账号已登录
3. 道具配置中目标记录唯一可定位为记录甲；目标记录满足本页展示范围
4. 该记录的道具 ID来源值为“5001”；另有记录乙的同字段值不同，二者不混用</x:v>
      </x:c>
      <x:c r="J426" s="9" t="str">
        <x:v>1. 打开道具配置
2. 查看记录甲的道具 ID</x:v>
      </x:c>
      <x:c r="K426" s="9" t="str">
        <x:v>记录甲的道具 ID显示“5001”</x:v>
      </x:c>
      <x:c r="L426" s="10" t="str"/>
      <x:c r="M426" s="10" t="str">
        <x:v>未测</x:v>
      </x:c>
      <x:c r="N426" s="10" t="str"/>
      <x:c r="O426" s="9" t="str">
        <x:v>1. 来源（当前证据）：liveshow-proto/MainBasis/统一需求文档.md；位置：第 2798 行；REQ-c9fd2890d1af、第 2795 行
2. 规则：BR-E021D7E618F292
3. 未动态验证
4. 示例账号、编号、金额与日期是本条测试数据；执行前按前置条件准备，未填写的产品决策不得自行假定。</x:v>
      </x:c>
    </x:row>
    <x:row r="427" ht="130" customHeight="1">
      <x:c r="A427" s="10" t="n">
        <x:v>426</x:v>
      </x:c>
      <x:c r="B427" s="10" t="str">
        <x:v>ADMIN-0426</x:v>
      </x:c>
      <x:c r="C427" s="10" t="str">
        <x:v>礼物与道具</x:v>
      </x:c>
      <x:c r="D427" s="10" t="str">
        <x:v>道具配置（平台管理员）</x:v>
      </x:c>
      <x:c r="E427" s="10" t="str">
        <x:v>功能需求</x:v>
      </x:c>
      <x:c r="F427" s="10" t="str">
        <x:v>P2</x:v>
      </x:c>
      <x:c r="G427" s="9" t="str">
        <x:v>验证道具配置显示目标记录的道具名称</x:v>
      </x:c>
      <x:c r="H427" s="9" t="str">
        <x:v>道具名称与当前对象绑定</x:v>
      </x:c>
      <x:c r="I427" s="9" t="str">
        <x:v>1. 平台管理员为本条执行者
2. 平台管理员账号已登录
3. 道具配置中目标记录唯一可定位为记录甲；目标记录满足本页展示范围
4. 该记录的道具名称来源值为“测试道具甲”；另有记录乙的同字段值不同，二者不混用</x:v>
      </x:c>
      <x:c r="J427" s="9" t="str">
        <x:v>1. 打开道具配置
2. 查看记录甲的道具名称</x:v>
      </x:c>
      <x:c r="K427" s="9" t="str">
        <x:v>记录甲的道具名称显示“测试道具甲”</x:v>
      </x:c>
      <x:c r="L427" s="10" t="str"/>
      <x:c r="M427" s="10" t="str">
        <x:v>未测</x:v>
      </x:c>
      <x:c r="N427" s="10" t="str"/>
      <x:c r="O427" s="9" t="str">
        <x:v>1. 来源（当前证据）：liveshow-proto/MainBasis/统一需求文档.md；位置：第 2799 行；REQ-5a0ca3d903fa、第 2795 行
2. 规则：BR-EA02C8FF13F1B3
3. 未动态验证
4. 示例账号、编号、金额与日期是本条测试数据；执行前按前置条件准备，未填写的产品决策不得自行假定。</x:v>
      </x:c>
    </x:row>
    <x:row r="428" ht="130" customHeight="1">
      <x:c r="A428" s="10" t="n">
        <x:v>427</x:v>
      </x:c>
      <x:c r="B428" s="10" t="str">
        <x:v>ADMIN-0427</x:v>
      </x:c>
      <x:c r="C428" s="10" t="str">
        <x:v>礼物与道具</x:v>
      </x:c>
      <x:c r="D428" s="10" t="str">
        <x:v>道具详情（平台管理员）</x:v>
      </x:c>
      <x:c r="E428" s="10" t="str">
        <x:v>功能需求</x:v>
      </x:c>
      <x:c r="F428" s="10" t="str">
        <x:v>P2</x:v>
      </x:c>
      <x:c r="G428" s="9" t="str">
        <x:v>验证道具详情显示目标记录的道具 ID</x:v>
      </x:c>
      <x:c r="H428" s="9" t="str">
        <x:v>道具 ID与当前对象绑定</x:v>
      </x:c>
      <x:c r="I428" s="9" t="str">
        <x:v>1. 平台管理员为本条执行者
2. 平台管理员账号已登录
3. 道具详情中目标记录唯一可定位为记录甲；目标记录满足本页展示范围
4. 该记录的道具 ID来源值为“5001”；另有记录乙的同字段值不同，二者不混用</x:v>
      </x:c>
      <x:c r="J428" s="9" t="str">
        <x:v>1. 打开道具详情
2. 查看记录甲的道具 ID</x:v>
      </x:c>
      <x:c r="K428" s="9" t="str">
        <x:v>记录甲的道具 ID显示“5001”</x:v>
      </x:c>
      <x:c r="L428" s="10" t="str"/>
      <x:c r="M428" s="10" t="str">
        <x:v>未测</x:v>
      </x:c>
      <x:c r="N428" s="10" t="str"/>
      <x:c r="O428" s="9" t="str">
        <x:v>1. 来源（当前证据）：liveshow-proto/MainBasis/统一需求文档.md；位置：第 2811 行；REQ-4ab4ca5a8918、第 2809 行
2. 规则：BR-DE49E62F853F5E
3. 未动态验证
4. 示例账号、编号、金额与日期是本条测试数据；执行前按前置条件准备，未填写的产品决策不得自行假定。</x:v>
      </x:c>
    </x:row>
    <x:row r="429" ht="130" customHeight="1">
      <x:c r="A429" s="10" t="n">
        <x:v>428</x:v>
      </x:c>
      <x:c r="B429" s="10" t="str">
        <x:v>ADMIN-0428</x:v>
      </x:c>
      <x:c r="C429" s="10" t="str">
        <x:v>礼物与道具</x:v>
      </x:c>
      <x:c r="D429" s="10" t="str">
        <x:v>道具详情（平台管理员）</x:v>
      </x:c>
      <x:c r="E429" s="10" t="str">
        <x:v>功能需求</x:v>
      </x:c>
      <x:c r="F429" s="10" t="str">
        <x:v>P2</x:v>
      </x:c>
      <x:c r="G429" s="9" t="str">
        <x:v>验证道具详情显示目标记录的操作人</x:v>
      </x:c>
      <x:c r="H429" s="9" t="str">
        <x:v>操作人与当前对象绑定</x:v>
      </x:c>
      <x:c r="I429" s="9" t="str">
        <x:v>1. 平台管理员为本条执行者
2. 平台管理员账号已登录
3. 道具详情中目标记录唯一可定位为记录甲；目标记录满足本页展示范围
4. 该记录的操作人来源值为“测试操作员甲”；另有记录乙的同字段值不同，二者不混用</x:v>
      </x:c>
      <x:c r="J429" s="9" t="str">
        <x:v>1. 打开道具详情
2. 查看记录甲的操作人</x:v>
      </x:c>
      <x:c r="K429" s="9" t="str">
        <x:v>记录甲的操作人显示“测试操作员甲”</x:v>
      </x:c>
      <x:c r="L429" s="10" t="str"/>
      <x:c r="M429" s="10" t="str">
        <x:v>未测</x:v>
      </x:c>
      <x:c r="N429" s="10" t="str"/>
      <x:c r="O429" s="9" t="str">
        <x:v>1. 来源（当前证据）：liveshow-proto/MainBasis/统一需求文档.md；位置：第 2819 行；REQ-615894301688、第 2809 行
2. 规则：BR-89BD935642BA73
3. 未动态验证
4. 示例账号、编号、金额与日期是本条测试数据；执行前按前置条件准备，未填写的产品决策不得自行假定。</x:v>
      </x:c>
    </x:row>
    <x:row r="430" ht="130" customHeight="1">
      <x:c r="A430" s="10" t="n">
        <x:v>429</x:v>
      </x:c>
      <x:c r="B430" s="10" t="str">
        <x:v>ADMIN-0429</x:v>
      </x:c>
      <x:c r="C430" s="10" t="str">
        <x:v>礼物与道具</x:v>
      </x:c>
      <x:c r="D430" s="10" t="str">
        <x:v>购买份数配置（平台管理员）</x:v>
      </x:c>
      <x:c r="E430" s="10" t="str">
        <x:v>功能需求</x:v>
      </x:c>
      <x:c r="F430" s="10" t="str">
        <x:v>P2</x:v>
      </x:c>
      <x:c r="G430" s="9" t="str">
        <x:v>验证购买份数配置显示目标记录的规则 ID</x:v>
      </x:c>
      <x:c r="H430" s="9" t="str">
        <x:v>规则 ID与当前对象绑定</x:v>
      </x:c>
      <x:c r="I430" s="9" t="str">
        <x:v>1. 平台管理员为本条执行者
2. 平台管理员账号已登录
3. 购买份数配置中目标记录唯一可定位为记录甲；目标记录满足本页展示范围
4. 该记录的规则 ID来源值为“6001”；另有记录乙的同字段值不同，二者不混用</x:v>
      </x:c>
      <x:c r="J430" s="9" t="str">
        <x:v>1. 打开购买份数配置
2. 查看记录甲的规则 ID</x:v>
      </x:c>
      <x:c r="K430" s="9" t="str">
        <x:v>记录甲的规则 ID显示“6001”</x:v>
      </x:c>
      <x:c r="L430" s="10" t="str"/>
      <x:c r="M430" s="10" t="str">
        <x:v>未测</x:v>
      </x:c>
      <x:c r="N430" s="10" t="str"/>
      <x:c r="O430" s="9" t="str">
        <x:v>1. 来源（当前证据）：liveshow-proto/MainBasis/统一需求文档.md；位置：第 2826 行；REQ-6acc2c6b9807、第 2824 行
2. 规则：BR-7C4617428D35BF
3. 未动态验证
4. 示例账号、编号、金额与日期是本条测试数据；执行前按前置条件准备，未填写的产品决策不得自行假定。</x:v>
      </x:c>
    </x:row>
    <x:row r="431" ht="130" customHeight="1">
      <x:c r="A431" s="10" t="n">
        <x:v>430</x:v>
      </x:c>
      <x:c r="B431" s="10" t="str">
        <x:v>ADMIN-0430</x:v>
      </x:c>
      <x:c r="C431" s="10" t="str">
        <x:v>运营管理</x:v>
      </x:c>
      <x:c r="D431" s="10" t="str">
        <x:v>推送管理（平台管理员）</x:v>
      </x:c>
      <x:c r="E431" s="10" t="str">
        <x:v>功能需求</x:v>
      </x:c>
      <x:c r="F431" s="10" t="str">
        <x:v>P2</x:v>
      </x:c>
      <x:c r="G431" s="9" t="str">
        <x:v>验证推送管理显示目标记录的推送 ID</x:v>
      </x:c>
      <x:c r="H431" s="9" t="str">
        <x:v>推送 ID与当前对象绑定</x:v>
      </x:c>
      <x:c r="I431" s="9" t="str">
        <x:v>1. 平台管理员为本条执行者
2. 平台管理员账号已登录
3. 推送管理中目标记录唯一可定位为记录甲；目标记录满足本页展示范围
4. 该记录的推送 ID来源值为“PUSH001”；另有记录乙的同字段值不同，二者不混用</x:v>
      </x:c>
      <x:c r="J431" s="9" t="str">
        <x:v>1. 打开推送管理
2. 查看记录甲的推送 ID</x:v>
      </x:c>
      <x:c r="K431" s="9" t="str">
        <x:v>记录甲的推送 ID显示“PUSH001”</x:v>
      </x:c>
      <x:c r="L431" s="10" t="str"/>
      <x:c r="M431" s="10" t="str">
        <x:v>未测</x:v>
      </x:c>
      <x:c r="N431" s="10" t="str"/>
      <x:c r="O431" s="9" t="str">
        <x:v>1. 来源（当前证据）：liveshow-proto/MainBasis/统一需求文档.md；位置：第 2871 行；REQ-bef1af8737bc、第 2869 行
2. 规则：BR-B4B0166F8FE70A
3. 未动态验证
4. 示例账号、编号、金额与日期是本条测试数据；执行前按前置条件准备，未填写的产品决策不得自行假定。</x:v>
      </x:c>
    </x:row>
    <x:row r="432" ht="130" customHeight="1">
      <x:c r="A432" s="10" t="n">
        <x:v>431</x:v>
      </x:c>
      <x:c r="B432" s="10" t="str">
        <x:v>ADMIN-0431</x:v>
      </x:c>
      <x:c r="C432" s="10" t="str">
        <x:v>运营管理</x:v>
      </x:c>
      <x:c r="D432" s="10" t="str">
        <x:v>推送管理（平台管理员）</x:v>
      </x:c>
      <x:c r="E432" s="10" t="str">
        <x:v>功能需求</x:v>
      </x:c>
      <x:c r="F432" s="10" t="str">
        <x:v>P2</x:v>
      </x:c>
      <x:c r="G432" s="9" t="str">
        <x:v>验证推送管理显示目标记录的标题</x:v>
      </x:c>
      <x:c r="H432" s="9" t="str">
        <x:v>标题与当前对象绑定</x:v>
      </x:c>
      <x:c r="I432" s="9" t="str">
        <x:v>1. 平台管理员为本条执行者
2. 平台管理员账号已登录
3. 推送管理中目标记录唯一可定位为记录甲；目标记录满足本页展示范围
4. 该记录的标题来源值为“测试通知甲”；另有记录乙的同字段值不同，二者不混用</x:v>
      </x:c>
      <x:c r="J432" s="9" t="str">
        <x:v>1. 打开推送管理
2. 查看记录甲的标题</x:v>
      </x:c>
      <x:c r="K432" s="9" t="str">
        <x:v>记录甲的标题显示“测试通知甲”</x:v>
      </x:c>
      <x:c r="L432" s="10" t="str"/>
      <x:c r="M432" s="10" t="str">
        <x:v>未测</x:v>
      </x:c>
      <x:c r="N432" s="10" t="str"/>
      <x:c r="O432" s="9" t="str">
        <x:v>1. 来源（当前证据）：liveshow-proto/MainBasis/统一需求文档.md；位置：第 2871 行；REQ-bef1af8737bc、第 2869 行
2. 规则：BR-7EB18C7C2595C8
3. 未动态验证
4. 示例账号、编号、金额与日期是本条测试数据；执行前按前置条件准备，未填写的产品决策不得自行假定。</x:v>
      </x:c>
    </x:row>
    <x:row r="433" ht="190" customHeight="1">
      <x:c r="A433" s="10" t="n">
        <x:v>432</x:v>
      </x:c>
      <x:c r="B433" s="10" t="str">
        <x:v>ADMIN-0432</x:v>
      </x:c>
      <x:c r="C433" s="10" t="str">
        <x:v>运营管理</x:v>
      </x:c>
      <x:c r="D433" s="10" t="str">
        <x:v>推送管理（平台管理员）</x:v>
      </x:c>
      <x:c r="E433" s="10" t="str">
        <x:v>功能需求</x:v>
      </x:c>
      <x:c r="F433" s="10" t="str">
        <x:v>P2</x:v>
      </x:c>
      <x:c r="G433" s="9" t="str">
        <x:v>验证推送管理显示目标记录的发送时间</x:v>
      </x:c>
      <x:c r="H433" s="9" t="str">
        <x:v>发送时间与当前对象绑定</x:v>
      </x:c>
      <x:c r="I433" s="9" t="str">
        <x:v>1. 平台管理员为本条执行者
2. 平台管理员账号已登录
3. 推送管理中目标记录唯一可定位为记录甲；目标记录满足本页展示范围
4. 该记录的发送时间来源值为“2026/09/14 10:06”；另有记录乙的同字段值不同，二者不混用
5. 日期时间均以当前页面使用的时区准备，不测试尚未确认的跨时区换算</x:v>
      </x:c>
      <x:c r="J433" s="9" t="str">
        <x:v>1. 打开推送管理
2. 查看记录甲的发送时间</x:v>
      </x:c>
      <x:c r="K433" s="9" t="str">
        <x:v>记录甲的发送时间表示测试时刻“2026/09/14 10:06”</x:v>
      </x:c>
      <x:c r="L433" s="10" t="str"/>
      <x:c r="M433" s="10" t="str">
        <x:v>未测</x:v>
      </x:c>
      <x:c r="N433" s="10" t="str"/>
      <x:c r="O433" s="9" t="str">
        <x:v>1. 来源（当前证据）：liveshow-proto/MainBasis/统一需求文档.md；位置：第 2874 行；REQ-2dd362e08d82、第 2869 行
2. 规则：BR-A15A7191EDAB22
3. 未动态验证
4. 示例账号、编号、金额与日期是本条测试数据；执行前按前置条件准备，未填写的产品决策不得自行假定。</x:v>
      </x:c>
    </x:row>
    <x:row r="434" ht="130" customHeight="1">
      <x:c r="A434" s="10" t="n">
        <x:v>433</x:v>
      </x:c>
      <x:c r="B434" s="10" t="str">
        <x:v>ADMIN-0433</x:v>
      </x:c>
      <x:c r="C434" s="10" t="str">
        <x:v>运营管理</x:v>
      </x:c>
      <x:c r="D434" s="10" t="str">
        <x:v>推送配置（平台管理员）</x:v>
      </x:c>
      <x:c r="E434" s="10" t="str">
        <x:v>功能需求</x:v>
      </x:c>
      <x:c r="F434" s="10" t="str">
        <x:v>P2</x:v>
      </x:c>
      <x:c r="G434" s="9" t="str">
        <x:v>验证推送配置显示目标记录的推送 ID</x:v>
      </x:c>
      <x:c r="H434" s="9" t="str">
        <x:v>推送 ID与当前对象绑定</x:v>
      </x:c>
      <x:c r="I434" s="9" t="str">
        <x:v>1. 平台管理员为本条执行者
2. 平台管理员账号已登录
3. 推送配置中目标记录唯一可定位为记录甲；目标记录满足本页展示范围
4. 该记录的推送 ID来源值为“PUSH001”；另有记录乙的同字段值不同，二者不混用</x:v>
      </x:c>
      <x:c r="J434" s="9" t="str">
        <x:v>1. 打开推送配置
2. 查看记录甲的推送 ID</x:v>
      </x:c>
      <x:c r="K434" s="9" t="str">
        <x:v>记录甲的推送 ID显示“PUSH001”</x:v>
      </x:c>
      <x:c r="L434" s="10" t="str"/>
      <x:c r="M434" s="10" t="str">
        <x:v>未测</x:v>
      </x:c>
      <x:c r="N434" s="10" t="str"/>
      <x:c r="O434" s="9" t="str">
        <x:v>1. 来源（当前证据）：liveshow-proto/MainBasis/统一需求文档.md；位置：第 2881 行；REQ-685198724a03、第 2879 行
2. 规则：BR-459520944FC1CC
3. 未动态验证
4. 示例账号、编号、金额与日期是本条测试数据；执行前按前置条件准备，未填写的产品决策不得自行假定。</x:v>
      </x:c>
    </x:row>
    <x:row r="435" ht="130" customHeight="1">
      <x:c r="A435" s="10" t="n">
        <x:v>434</x:v>
      </x:c>
      <x:c r="B435" s="10" t="str">
        <x:v>ADMIN-0434</x:v>
      </x:c>
      <x:c r="C435" s="10" t="str">
        <x:v>运营管理</x:v>
      </x:c>
      <x:c r="D435" s="10" t="str">
        <x:v>推送配置（平台管理员）</x:v>
      </x:c>
      <x:c r="E435" s="10" t="str">
        <x:v>功能需求</x:v>
      </x:c>
      <x:c r="F435" s="10" t="str">
        <x:v>P2</x:v>
      </x:c>
      <x:c r="G435" s="9" t="str">
        <x:v>验证推送配置显示目标记录的操作人</x:v>
      </x:c>
      <x:c r="H435" s="9" t="str">
        <x:v>操作人与当前对象绑定</x:v>
      </x:c>
      <x:c r="I435" s="9" t="str">
        <x:v>1. 平台管理员为本条执行者
2. 平台管理员账号已登录
3. 推送配置中目标记录唯一可定位为记录甲；目标记录满足本页展示范围
4. 该记录的操作人来源值为“测试操作员甲”；另有记录乙的同字段值不同，二者不混用</x:v>
      </x:c>
      <x:c r="J435" s="9" t="str">
        <x:v>1. 打开推送配置
2. 查看记录甲的操作人</x:v>
      </x:c>
      <x:c r="K435" s="9" t="str">
        <x:v>记录甲的操作人显示“测试操作员甲”</x:v>
      </x:c>
      <x:c r="L435" s="10" t="str"/>
      <x:c r="M435" s="10" t="str">
        <x:v>未测</x:v>
      </x:c>
      <x:c r="N435" s="10" t="str"/>
      <x:c r="O435" s="9" t="str">
        <x:v>1. 来源（当前证据）：liveshow-proto/MainBasis/统一需求文档.md；位置：第 2884 行；REQ-e06fac70e31d、第 2879 行
2. 规则：BR-D01B535D6B39B7
3. 未动态验证
4. 示例账号、编号、金额与日期是本条测试数据；执行前按前置条件准备，未填写的产品决策不得自行假定。</x:v>
      </x:c>
    </x:row>
    <x:row r="436" ht="130" customHeight="1">
      <x:c r="A436" s="10" t="n">
        <x:v>435</x:v>
      </x:c>
      <x:c r="B436" s="10" t="str">
        <x:v>ADMIN-0435</x:v>
      </x:c>
      <x:c r="C436" s="10" t="str">
        <x:v>运营管理</x:v>
      </x:c>
      <x:c r="D436" s="10" t="str">
        <x:v>任务配置（平台管理员）</x:v>
      </x:c>
      <x:c r="E436" s="10" t="str">
        <x:v>功能需求</x:v>
      </x:c>
      <x:c r="F436" s="10" t="str">
        <x:v>P2</x:v>
      </x:c>
      <x:c r="G436" s="9" t="str">
        <x:v>验证任务配置显示目标记录的任务 ID</x:v>
      </x:c>
      <x:c r="H436" s="9" t="str">
        <x:v>任务 ID与当前对象绑定</x:v>
      </x:c>
      <x:c r="I436" s="9" t="str">
        <x:v>1. 平台管理员为本条执行者
2. 平台管理员账号已登录
3. 任务配置中目标记录唯一可定位为记录甲；目标记录满足本页展示范围
4. 该记录的任务 ID来源值为“TASK001”；另有记录乙的同字段值不同，二者不混用</x:v>
      </x:c>
      <x:c r="J436" s="9" t="str">
        <x:v>1. 打开任务配置
2. 查看记录甲的任务 ID</x:v>
      </x:c>
      <x:c r="K436" s="9" t="str">
        <x:v>记录甲的任务 ID显示“TASK001”</x:v>
      </x:c>
      <x:c r="L436" s="10" t="str"/>
      <x:c r="M436" s="10" t="str">
        <x:v>未测</x:v>
      </x:c>
      <x:c r="N436" s="10" t="str"/>
      <x:c r="O436" s="9" t="str">
        <x:v>1. 来源（当前证据）：liveshow-proto/MainBasis/统一需求文档.md；位置：第 2914 行；REQ-315ec2f293f7、第 2912 行
2. 规则：BR-5CE9607EC34452
3. 未动态验证
4. 示例账号、编号、金额与日期是本条测试数据；执行前按前置条件准备，未填写的产品决策不得自行假定。</x:v>
      </x:c>
    </x:row>
    <x:row r="437" ht="130" customHeight="1">
      <x:c r="A437" s="10" t="n">
        <x:v>436</x:v>
      </x:c>
      <x:c r="B437" s="10" t="str">
        <x:v>ADMIN-0436</x:v>
      </x:c>
      <x:c r="C437" s="10" t="str">
        <x:v>运营管理</x:v>
      </x:c>
      <x:c r="D437" s="10" t="str">
        <x:v>任务配置（平台管理员）</x:v>
      </x:c>
      <x:c r="E437" s="10" t="str">
        <x:v>功能需求</x:v>
      </x:c>
      <x:c r="F437" s="10" t="str">
        <x:v>P2</x:v>
      </x:c>
      <x:c r="G437" s="9" t="str">
        <x:v>验证任务配置显示目标记录的名称</x:v>
      </x:c>
      <x:c r="H437" s="9" t="str">
        <x:v>名称与当前对象绑定</x:v>
      </x:c>
      <x:c r="I437" s="9" t="str">
        <x:v>1. 平台管理员为本条执行者
2. 平台管理员账号已登录
3. 任务配置中目标记录唯一可定位为记录甲；目标记录满足本页展示范围
4. 该记录的名称来源值为“测试名称甲”；另有记录乙的同字段值不同，二者不混用</x:v>
      </x:c>
      <x:c r="J437" s="9" t="str">
        <x:v>1. 打开任务配置
2. 查看记录甲的名称</x:v>
      </x:c>
      <x:c r="K437" s="9" t="str">
        <x:v>记录甲的名称显示“测试名称甲”</x:v>
      </x:c>
      <x:c r="L437" s="10" t="str"/>
      <x:c r="M437" s="10" t="str">
        <x:v>未测</x:v>
      </x:c>
      <x:c r="N437" s="10" t="str"/>
      <x:c r="O437" s="9" t="str">
        <x:v>1. 来源（当前证据）：liveshow-proto/MainBasis/统一需求文档.md；位置：第 2914 行；REQ-315ec2f293f7、第 2912 行
2. 规则：BR-A7726B83097091
3. 未动态验证
4. 示例账号、编号、金额与日期是本条测试数据；执行前按前置条件准备，未填写的产品决策不得自行假定。</x:v>
      </x:c>
    </x:row>
    <x:row r="438" ht="190" customHeight="1">
      <x:c r="A438" s="10" t="n">
        <x:v>437</x:v>
      </x:c>
      <x:c r="B438" s="10" t="str">
        <x:v>ADMIN-0437</x:v>
      </x:c>
      <x:c r="C438" s="10" t="str">
        <x:v>运营管理</x:v>
      </x:c>
      <x:c r="D438" s="10" t="str">
        <x:v>公会推荐（平台管理员）</x:v>
      </x:c>
      <x:c r="E438" s="10" t="str">
        <x:v>功能需求</x:v>
      </x:c>
      <x:c r="F438" s="10" t="str">
        <x:v>P2</x:v>
      </x:c>
      <x:c r="G438" s="9" t="str">
        <x:v>验证公会推荐显示目标记录的更新时间</x:v>
      </x:c>
      <x:c r="H438" s="9" t="str">
        <x:v>更新时间与当前对象绑定</x:v>
      </x:c>
      <x:c r="I438" s="9" t="str">
        <x:v>1. 平台管理员为本条执行者
2. 平台管理员账号已登录
3. 公会推荐中目标记录唯一可定位为记录甲；目标记录满足本页展示范围
4. 该记录的更新时间来源值为“2026/09/14 10:10”；另有记录乙的同字段值不同，二者不混用
5. 日期时间均以当前页面使用的时区准备，不测试尚未确认的跨时区换算</x:v>
      </x:c>
      <x:c r="J438" s="9" t="str">
        <x:v>1. 打开公会推荐
2. 查看记录甲的更新时间</x:v>
      </x:c>
      <x:c r="K438" s="9" t="str">
        <x:v>记录甲的更新时间表示测试时刻“2026/09/14 10:10”</x:v>
      </x:c>
      <x:c r="L438" s="10" t="str"/>
      <x:c r="M438" s="10" t="str">
        <x:v>未测</x:v>
      </x:c>
      <x:c r="N438" s="10" t="str"/>
      <x:c r="O438" s="9" t="str">
        <x:v>1. 来源（当前证据）：liveshow-proto/MainBasis/统一需求文档.md；位置：第 2938 行；REQ-4a4ab5c8a860、第 2934 行
2. 规则：BR-C93F64F0F98766
3. 未动态验证
4. 示例账号、编号、金额与日期是本条测试数据；执行前按前置条件准备，未填写的产品决策不得自行假定。</x:v>
      </x:c>
    </x:row>
    <x:row r="439" ht="130" customHeight="1">
      <x:c r="A439" s="10" t="n">
        <x:v>438</x:v>
      </x:c>
      <x:c r="B439" s="10" t="str">
        <x:v>ADMIN-0438</x:v>
      </x:c>
      <x:c r="C439" s="10" t="str">
        <x:v>运营管理</x:v>
      </x:c>
      <x:c r="D439" s="10" t="str">
        <x:v>直播类型（平台管理员）</x:v>
      </x:c>
      <x:c r="E439" s="10" t="str">
        <x:v>功能需求</x:v>
      </x:c>
      <x:c r="F439" s="10" t="str">
        <x:v>P2</x:v>
      </x:c>
      <x:c r="G439" s="9" t="str">
        <x:v>验证直播类型显示目标记录的类型 ID</x:v>
      </x:c>
      <x:c r="H439" s="9" t="str">
        <x:v>类型 ID与当前对象绑定</x:v>
      </x:c>
      <x:c r="I439" s="9" t="str">
        <x:v>1. 平台管理员为本条执行者
2. 平台管理员账号已登录
3. 直播类型中目标记录唯一可定位为记录甲；目标记录满足本页展示范围
4. 该记录的类型 ID来源值为“7001”；另有记录乙的同字段值不同，二者不混用</x:v>
      </x:c>
      <x:c r="J439" s="9" t="str">
        <x:v>1. 打开直播类型
2. 查看记录甲的类型 ID</x:v>
      </x:c>
      <x:c r="K439" s="9" t="str">
        <x:v>记录甲的类型 ID显示“7001”</x:v>
      </x:c>
      <x:c r="L439" s="10" t="str"/>
      <x:c r="M439" s="10" t="str">
        <x:v>未测</x:v>
      </x:c>
      <x:c r="N439" s="10" t="str"/>
      <x:c r="O439" s="9" t="str">
        <x:v>1. 来源（当前证据）：liveshow-proto/MainBasis/统一需求文档.md；位置：第 2974 行；REQ-e875cd2ebc54、第 2972 行
2. 规则：BR-43BC2BC2043E85
3. 未动态验证
4. 示例账号、编号、金额与日期是本条测试数据；执行前按前置条件准备，未填写的产品决策不得自行假定。</x:v>
      </x:c>
    </x:row>
    <x:row r="440" ht="130" customHeight="1">
      <x:c r="A440" s="10" t="n">
        <x:v>439</x:v>
      </x:c>
      <x:c r="B440" s="10" t="str">
        <x:v>ADMIN-0439</x:v>
      </x:c>
      <x:c r="C440" s="10" t="str">
        <x:v>运营管理</x:v>
      </x:c>
      <x:c r="D440" s="10" t="str">
        <x:v>直播房型（平台管理员）</x:v>
      </x:c>
      <x:c r="E440" s="10" t="str">
        <x:v>功能需求</x:v>
      </x:c>
      <x:c r="F440" s="10" t="str">
        <x:v>P2</x:v>
      </x:c>
      <x:c r="G440" s="9" t="str">
        <x:v>验证直播房型显示目标记录的操作人</x:v>
      </x:c>
      <x:c r="H440" s="9" t="str">
        <x:v>操作人与当前对象绑定</x:v>
      </x:c>
      <x:c r="I440" s="9" t="str">
        <x:v>1. 平台管理员为本条执行者
2. 平台管理员账号已登录
3. 直播房型中目标记录唯一可定位为记录甲；目标记录满足本页展示范围
4. 该记录的操作人来源值为“测试操作员甲”；另有记录乙的同字段值不同，二者不混用</x:v>
      </x:c>
      <x:c r="J440" s="9" t="str">
        <x:v>1. 打开直播房型
2. 查看记录甲的操作人</x:v>
      </x:c>
      <x:c r="K440" s="9" t="str">
        <x:v>记录甲的操作人显示“测试操作员甲”</x:v>
      </x:c>
      <x:c r="L440" s="10" t="str"/>
      <x:c r="M440" s="10" t="str">
        <x:v>未测</x:v>
      </x:c>
      <x:c r="N440" s="10" t="str"/>
      <x:c r="O440" s="9" t="str">
        <x:v>1. 来源（当前证据）：liveshow-proto/MainBasis/统一需求文档.md；位置：第 2985 行；REQ-05b0b9fc4ecb、第 2981 行
2. 规则：BR-913EE9BDF9CEBA
3. 未动态验证
4. 示例账号、编号、金额与日期是本条测试数据；执行前按前置条件准备，未填写的产品决策不得自行假定。</x:v>
      </x:c>
    </x:row>
    <x:row r="441" ht="130" customHeight="1">
      <x:c r="A441" s="10" t="n">
        <x:v>440</x:v>
      </x:c>
      <x:c r="B441" s="10" t="str">
        <x:v>ADMIN-0440</x:v>
      </x:c>
      <x:c r="C441" s="10" t="str">
        <x:v>运营管理</x:v>
      </x:c>
      <x:c r="D441" s="10" t="str">
        <x:v>门票价格档位（平台管理员）</x:v>
      </x:c>
      <x:c r="E441" s="10" t="str">
        <x:v>功能需求</x:v>
      </x:c>
      <x:c r="F441" s="10" t="str">
        <x:v>P2</x:v>
      </x:c>
      <x:c r="G441" s="9" t="str">
        <x:v>验证门票价格档位显示目标记录的档位 ID</x:v>
      </x:c>
      <x:c r="H441" s="9" t="str">
        <x:v>档位 ID与当前对象绑定</x:v>
      </x:c>
      <x:c r="I441" s="9" t="str">
        <x:v>1. 平台管理员为本条执行者
2. 平台管理员账号已登录
3. 门票价格档位中目标记录唯一可定位为记录甲；目标记录满足本页展示范围
4. 该记录的档位 ID来源值为“8001”；另有记录乙的同字段值不同，二者不混用</x:v>
      </x:c>
      <x:c r="J441" s="9" t="str">
        <x:v>1. 打开门票价格档位
2. 查看记录甲的档位 ID</x:v>
      </x:c>
      <x:c r="K441" s="9" t="str">
        <x:v>记录甲的档位 ID显示“8001”</x:v>
      </x:c>
      <x:c r="L441" s="10" t="str"/>
      <x:c r="M441" s="10" t="str">
        <x:v>未测</x:v>
      </x:c>
      <x:c r="N441" s="10" t="str"/>
      <x:c r="O441" s="9" t="str">
        <x:v>1. 来源（当前证据）：liveshow-proto/MainBasis/统一需求文档.md；位置：第 2992 行；REQ-b5fe3b90da8c、第 2990 行
2. 规则：BR-6E4CFF68C7AA80
3. 未动态验证
4. 示例账号、编号、金额与日期是本条测试数据；执行前按前置条件准备，未填写的产品决策不得自行假定。</x:v>
      </x:c>
    </x:row>
    <x:row r="442" ht="130" customHeight="1">
      <x:c r="A442" s="10" t="n">
        <x:v>441</x:v>
      </x:c>
      <x:c r="B442" s="10" t="str">
        <x:v>ADMIN-0441</x:v>
      </x:c>
      <x:c r="C442" s="10" t="str">
        <x:v>订单管理</x:v>
      </x:c>
      <x:c r="D442" s="10" t="str">
        <x:v>充值订单（财务管理员）</x:v>
      </x:c>
      <x:c r="E442" s="10" t="str">
        <x:v>功能需求</x:v>
      </x:c>
      <x:c r="F442" s="10" t="str">
        <x:v>P1</x:v>
      </x:c>
      <x:c r="G442" s="9" t="str">
        <x:v>验证充值订单显示目标记录的订单号</x:v>
      </x:c>
      <x:c r="H442" s="9" t="str">
        <x:v>订单号与当前对象绑定</x:v>
      </x:c>
      <x:c r="I442" s="9" t="str">
        <x:v>1. 财务管理员为本条执行者
2. 财务管理员账号已登录
3. 充值订单中目标记录唯一可定位为记录甲；目标记录满足本页展示范围
4. 该记录的订单号来源值为“O001”；另有记录乙的同字段值不同，二者不混用</x:v>
      </x:c>
      <x:c r="J442" s="9" t="str">
        <x:v>1. 打开充值订单
2. 查看记录甲的订单号</x:v>
      </x:c>
      <x:c r="K442" s="9" t="str">
        <x:v>记录甲的订单号显示“O001”</x:v>
      </x:c>
      <x:c r="L442" s="10" t="str"/>
      <x:c r="M442" s="10" t="str">
        <x:v>未测</x:v>
      </x:c>
      <x:c r="N442" s="10" t="str"/>
      <x:c r="O442" s="9" t="str">
        <x:v>1. 来源（当前证据）：liveshow-proto/MainBasis/统一需求文档.md；位置：第 3033 行；REQ-7c224188f2bc、第 3031 行
2. 规则：BR-63DAE1DC5A41AA
3. 未动态验证
4. 示例账号、编号、金额与日期是本条测试数据；执行前按前置条件准备，未填写的产品决策不得自行假定。</x:v>
      </x:c>
    </x:row>
    <x:row r="443" ht="130" customHeight="1">
      <x:c r="A443" s="10" t="n">
        <x:v>442</x:v>
      </x:c>
      <x:c r="B443" s="10" t="str">
        <x:v>ADMIN-0442</x:v>
      </x:c>
      <x:c r="C443" s="10" t="str">
        <x:v>订单管理</x:v>
      </x:c>
      <x:c r="D443" s="10" t="str">
        <x:v>充值订单（财务管理员）</x:v>
      </x:c>
      <x:c r="E443" s="10" t="str">
        <x:v>功能需求</x:v>
      </x:c>
      <x:c r="F443" s="10" t="str">
        <x:v>P1</x:v>
      </x:c>
      <x:c r="G443" s="9" t="str">
        <x:v>验证充值订单显示目标记录的渠道交易号</x:v>
      </x:c>
      <x:c r="H443" s="9" t="str">
        <x:v>渠道交易号与当前对象绑定</x:v>
      </x:c>
      <x:c r="I443" s="9" t="str">
        <x:v>1. 财务管理员为本条执行者
2. 财务管理员账号已登录
3. 充值订单中目标记录唯一可定位为记录甲；目标记录满足本页展示范围
4. 该记录的渠道交易号来源值为“CH001”；另有记录乙的同字段值不同，二者不混用</x:v>
      </x:c>
      <x:c r="J443" s="9" t="str">
        <x:v>1. 打开充值订单
2. 查看记录甲的渠道交易号</x:v>
      </x:c>
      <x:c r="K443" s="9" t="str">
        <x:v>记录甲的渠道交易号显示“CH001”</x:v>
      </x:c>
      <x:c r="L443" s="10" t="str"/>
      <x:c r="M443" s="10" t="str">
        <x:v>未测</x:v>
      </x:c>
      <x:c r="N443" s="10" t="str"/>
      <x:c r="O443" s="9" t="str">
        <x:v>1. 来源（当前证据）：liveshow-proto/MainBasis/统一需求文档.md；位置：第 3033 行；REQ-7c224188f2bc、第 3031 行
2. 规则：BR-D420BA3AB2F760
3. 未动态验证
4. 示例账号、编号、金额与日期是本条测试数据；执行前按前置条件准备，未填写的产品决策不得自行假定。</x:v>
      </x:c>
    </x:row>
    <x:row r="444" ht="190" customHeight="1">
      <x:c r="A444" s="10" t="n">
        <x:v>443</x:v>
      </x:c>
      <x:c r="B444" s="10" t="str">
        <x:v>ADMIN-0443</x:v>
      </x:c>
      <x:c r="C444" s="10" t="str">
        <x:v>订单管理</x:v>
      </x:c>
      <x:c r="D444" s="10" t="str">
        <x:v>充值订单（财务管理员）</x:v>
      </x:c>
      <x:c r="E444" s="10" t="str">
        <x:v>功能需求</x:v>
      </x:c>
      <x:c r="F444" s="10" t="str">
        <x:v>P1</x:v>
      </x:c>
      <x:c r="G444" s="9" t="str">
        <x:v>验证充值订单显示目标记录的成功时间</x:v>
      </x:c>
      <x:c r="H444" s="9" t="str">
        <x:v>成功时间与当前对象绑定</x:v>
      </x:c>
      <x:c r="I444" s="9" t="str">
        <x:v>1. 财务管理员为本条执行者
2. 财务管理员账号已登录
3. 充值订单中目标记录唯一可定位为记录甲；目标记录已成功完成
4. 该记录的成功时间来源值为“2026/09/14 10:08”；另有记录乙的同字段值不同，二者不混用
5. 日期时间均以当前页面使用的时区准备，不测试尚未确认的跨时区换算</x:v>
      </x:c>
      <x:c r="J444" s="9" t="str">
        <x:v>1. 打开充值订单
2. 查看记录甲的成功时间</x:v>
      </x:c>
      <x:c r="K444" s="9" t="str">
        <x:v>记录甲的成功时间表示测试时刻“2026/09/14 10:08”</x:v>
      </x:c>
      <x:c r="L444" s="10" t="str"/>
      <x:c r="M444" s="10" t="str">
        <x:v>未测</x:v>
      </x:c>
      <x:c r="N444" s="10" t="str"/>
      <x:c r="O444" s="9" t="str">
        <x:v>1. 来源（当前证据）：liveshow-proto/MainBasis/统一需求文档.md；位置：第 3038 行；REQ-63c70e1efb57、第 3031 行
2. 规则：BR-8F9CB49387A41D
3. 未动态验证
4. 示例账号、编号、金额与日期是本条测试数据；执行前按前置条件准备，未填写的产品决策不得自行假定。</x:v>
      </x:c>
    </x:row>
    <x:row r="445" ht="130" customHeight="1">
      <x:c r="A445" s="10" t="n">
        <x:v>444</x:v>
      </x:c>
      <x:c r="B445" s="10" t="str">
        <x:v>ADMIN-0444</x:v>
      </x:c>
      <x:c r="C445" s="10" t="str">
        <x:v>订单管理</x:v>
      </x:c>
      <x:c r="D445" s="10" t="str">
        <x:v>充值订单详情（财务管理员）</x:v>
      </x:c>
      <x:c r="E445" s="10" t="str">
        <x:v>功能需求</x:v>
      </x:c>
      <x:c r="F445" s="10" t="str">
        <x:v>P1</x:v>
      </x:c>
      <x:c r="G445" s="9" t="str">
        <x:v>验证充值订单详情显示目标记录的订单号</x:v>
      </x:c>
      <x:c r="H445" s="9" t="str">
        <x:v>订单号与当前对象绑定</x:v>
      </x:c>
      <x:c r="I445" s="9" t="str">
        <x:v>1. 财务管理员为本条执行者
2. 财务管理员账号已登录
3. 充值订单详情中目标记录唯一可定位为记录甲；目标记录满足本页展示范围
4. 该记录的订单号来源值为“O001”；另有记录乙的同字段值不同，二者不混用</x:v>
      </x:c>
      <x:c r="J445" s="9" t="str">
        <x:v>1. 打开充值订单详情
2. 查看记录甲的订单号</x:v>
      </x:c>
      <x:c r="K445" s="9" t="str">
        <x:v>记录甲的订单号显示“O001”</x:v>
      </x:c>
      <x:c r="L445" s="10" t="str"/>
      <x:c r="M445" s="10" t="str">
        <x:v>未测</x:v>
      </x:c>
      <x:c r="N445" s="10" t="str"/>
      <x:c r="O445" s="9" t="str">
        <x:v>1. 来源（当前证据）：liveshow-proto/MainBasis/统一需求文档.md；位置：第 3045 行；REQ-0c87fdb74717、第 3043 行
2. 规则：BR-F353EF7B0F6557
3. 未动态验证
4. 示例账号、编号、金额与日期是本条测试数据；执行前按前置条件准备，未填写的产品决策不得自行假定。</x:v>
      </x:c>
    </x:row>
    <x:row r="446" ht="130" customHeight="1">
      <x:c r="A446" s="10" t="n">
        <x:v>445</x:v>
      </x:c>
      <x:c r="B446" s="10" t="str">
        <x:v>ADMIN-0445</x:v>
      </x:c>
      <x:c r="C446" s="10" t="str">
        <x:v>订单管理</x:v>
      </x:c>
      <x:c r="D446" s="10" t="str">
        <x:v>充值订单详情（财务管理员）</x:v>
      </x:c>
      <x:c r="E446" s="10" t="str">
        <x:v>功能需求</x:v>
      </x:c>
      <x:c r="F446" s="10" t="str">
        <x:v>P1</x:v>
      </x:c>
      <x:c r="G446" s="9" t="str">
        <x:v>验证充值订单详情显示目标记录的渠道交易号</x:v>
      </x:c>
      <x:c r="H446" s="9" t="str">
        <x:v>渠道交易号与当前对象绑定</x:v>
      </x:c>
      <x:c r="I446" s="9" t="str">
        <x:v>1. 财务管理员为本条执行者
2. 财务管理员账号已登录
3. 充值订单详情中目标记录唯一可定位为记录甲；目标记录满足本页展示范围
4. 该记录的渠道交易号来源值为“CH001”；另有记录乙的同字段值不同，二者不混用</x:v>
      </x:c>
      <x:c r="J446" s="9" t="str">
        <x:v>1. 打开充值订单详情
2. 查看记录甲的渠道交易号</x:v>
      </x:c>
      <x:c r="K446" s="9" t="str">
        <x:v>记录甲的渠道交易号显示“CH001”</x:v>
      </x:c>
      <x:c r="L446" s="10" t="str"/>
      <x:c r="M446" s="10" t="str">
        <x:v>未测</x:v>
      </x:c>
      <x:c r="N446" s="10" t="str"/>
      <x:c r="O446" s="9" t="str">
        <x:v>1. 来源（当前证据）：liveshow-proto/MainBasis/统一需求文档.md；位置：第 3045 行；REQ-0c87fdb74717、第 3043 行
2. 规则：BR-732B1C5B31C1B6
3. 未动态验证
4. 示例账号、编号、金额与日期是本条测试数据；执行前按前置条件准备，未填写的产品决策不得自行假定。</x:v>
      </x:c>
    </x:row>
    <x:row r="447" ht="130" customHeight="1">
      <x:c r="A447" s="10" t="n">
        <x:v>446</x:v>
      </x:c>
      <x:c r="B447" s="10" t="str">
        <x:v>ADMIN-0446</x:v>
      </x:c>
      <x:c r="C447" s="10" t="str">
        <x:v>订单管理</x:v>
      </x:c>
      <x:c r="D447" s="10" t="str">
        <x:v>充值订单详情（财务管理员）</x:v>
      </x:c>
      <x:c r="E447" s="10" t="str">
        <x:v>功能需求</x:v>
      </x:c>
      <x:c r="F447" s="10" t="str">
        <x:v>P1</x:v>
      </x:c>
      <x:c r="G447" s="9" t="str">
        <x:v>验证充值订单详情显示目标记录的退款单号</x:v>
      </x:c>
      <x:c r="H447" s="9" t="str">
        <x:v>退款单号与当前对象绑定</x:v>
      </x:c>
      <x:c r="I447" s="9" t="str">
        <x:v>1. 财务管理员为本条执行者
2. 财务管理员账号已登录
3. 充值订单详情中目标记录唯一可定位为记录甲；目标记录满足本页展示范围
4. 该记录的退款单号来源值为“RF001”；另有记录乙的同字段值不同，二者不混用</x:v>
      </x:c>
      <x:c r="J447" s="9" t="str">
        <x:v>1. 打开充值订单详情
2. 查看记录甲的退款单号</x:v>
      </x:c>
      <x:c r="K447" s="9" t="str">
        <x:v>记录甲的退款单号显示“RF001”</x:v>
      </x:c>
      <x:c r="L447" s="10" t="str"/>
      <x:c r="M447" s="10" t="str">
        <x:v>未测</x:v>
      </x:c>
      <x:c r="N447" s="10" t="str"/>
      <x:c r="O447" s="9" t="str">
        <x:v>1. 来源（当前证据）：liveshow-proto/MainBasis/统一需求文档.md；位置：第 3050 行；REQ-6966dbae4720、第 3043 行
2. 规则：BR-6E6FF8E4FD9D3E
3. 未动态验证
4. 示例账号、编号、金额与日期是本条测试数据；执行前按前置条件准备，未填写的产品决策不得自行假定。</x:v>
      </x:c>
    </x:row>
    <x:row r="448" ht="130" customHeight="1">
      <x:c r="A448" s="10" t="n">
        <x:v>447</x:v>
      </x:c>
      <x:c r="B448" s="10" t="str">
        <x:v>ADMIN-0447</x:v>
      </x:c>
      <x:c r="C448" s="10" t="str">
        <x:v>订单管理</x:v>
      </x:c>
      <x:c r="D448" s="10" t="str">
        <x:v>充值订单详情（财务管理员）</x:v>
      </x:c>
      <x:c r="E448" s="10" t="str">
        <x:v>功能需求</x:v>
      </x:c>
      <x:c r="F448" s="10" t="str">
        <x:v>P1</x:v>
      </x:c>
      <x:c r="G448" s="9" t="str">
        <x:v>验证充值订单详情显示目标记录的操作人</x:v>
      </x:c>
      <x:c r="H448" s="9" t="str">
        <x:v>操作人与当前对象绑定</x:v>
      </x:c>
      <x:c r="I448" s="9" t="str">
        <x:v>1. 财务管理员为本条执行者
2. 财务管理员账号已登录
3. 充值订单详情中目标记录唯一可定位为记录甲；目标记录满足本页展示范围
4. 该记录的操作人来源值为“测试操作员甲”；另有记录乙的同字段值不同，二者不混用</x:v>
      </x:c>
      <x:c r="J448" s="9" t="str">
        <x:v>1. 打开充值订单详情
2. 查看记录甲的操作人</x:v>
      </x:c>
      <x:c r="K448" s="9" t="str">
        <x:v>记录甲的操作人显示“测试操作员甲”</x:v>
      </x:c>
      <x:c r="L448" s="10" t="str"/>
      <x:c r="M448" s="10" t="str">
        <x:v>未测</x:v>
      </x:c>
      <x:c r="N448" s="10" t="str"/>
      <x:c r="O448" s="9" t="str">
        <x:v>1. 来源（当前证据）：liveshow-proto/MainBasis/统一需求文档.md；位置：第 3050 行；REQ-6966dbae4720、第 3043 行
2. 规则：BR-081CD2EF47078B
3. 未动态验证
4. 示例账号、编号、金额与日期是本条测试数据；执行前按前置条件准备，未填写的产品决策不得自行假定。</x:v>
      </x:c>
    </x:row>
    <x:row r="449" ht="130" customHeight="1">
      <x:c r="A449" s="10" t="n">
        <x:v>448</x:v>
      </x:c>
      <x:c r="B449" s="10" t="str">
        <x:v>ADMIN-0448</x:v>
      </x:c>
      <x:c r="C449" s="10" t="str">
        <x:v>订单管理</x:v>
      </x:c>
      <x:c r="D449" s="10" t="str">
        <x:v>退款订单（财务管理员）</x:v>
      </x:c>
      <x:c r="E449" s="10" t="str">
        <x:v>功能需求</x:v>
      </x:c>
      <x:c r="F449" s="10" t="str">
        <x:v>P1</x:v>
      </x:c>
      <x:c r="G449" s="9" t="str">
        <x:v>验证退款订单显示目标记录的退款单号</x:v>
      </x:c>
      <x:c r="H449" s="9" t="str">
        <x:v>退款单号与当前对象绑定</x:v>
      </x:c>
      <x:c r="I449" s="9" t="str">
        <x:v>1. 财务管理员为本条执行者
2. 财务管理员账号已登录
3. 退款订单中目标记录唯一可定位为记录甲；目标记录满足本页展示范围
4. 该记录的退款单号来源值为“RF001”；另有记录乙的同字段值不同，二者不混用</x:v>
      </x:c>
      <x:c r="J449" s="9" t="str">
        <x:v>1. 打开退款订单
2. 查看记录甲的退款单号</x:v>
      </x:c>
      <x:c r="K449" s="9" t="str">
        <x:v>记录甲的退款单号显示“RF001”</x:v>
      </x:c>
      <x:c r="L449" s="10" t="str"/>
      <x:c r="M449" s="10" t="str">
        <x:v>未测</x:v>
      </x:c>
      <x:c r="N449" s="10" t="str"/>
      <x:c r="O449" s="9" t="str">
        <x:v>1. 来源（当前证据）：liveshow-proto/MainBasis/统一需求文档.md；位置：第 3084 行；REQ-6d0767e73c51、第 3082 行
2. 规则：BR-967369876B5B63
3. 未动态验证
4. 示例账号、编号、金额与日期是本条测试数据；执行前按前置条件准备，未填写的产品决策不得自行假定。</x:v>
      </x:c>
    </x:row>
    <x:row r="450" ht="130" customHeight="1">
      <x:c r="A450" s="10" t="n">
        <x:v>449</x:v>
      </x:c>
      <x:c r="B450" s="10" t="str">
        <x:v>ADMIN-0449</x:v>
      </x:c>
      <x:c r="C450" s="10" t="str">
        <x:v>财务结算</x:v>
      </x:c>
      <x:c r="D450" s="10" t="str">
        <x:v>主播分成记录（财务管理员）</x:v>
      </x:c>
      <x:c r="E450" s="10" t="str">
        <x:v>功能需求</x:v>
      </x:c>
      <x:c r="F450" s="10" t="str">
        <x:v>P2</x:v>
      </x:c>
      <x:c r="G450" s="9" t="str">
        <x:v>验证主播分成记录显示目标记录的上传人</x:v>
      </x:c>
      <x:c r="H450" s="9" t="str">
        <x:v>上传人与当前对象绑定</x:v>
      </x:c>
      <x:c r="I450" s="9" t="str">
        <x:v>1. 财务管理员为本条执行者
2. 财务管理员账号已登录
3. 主播分成记录中目标记录唯一可定位为记录甲；目标记录满足本页展示范围
4. 该记录的上传人来源值为“测试财务甲”；另有记录乙的同字段值不同，二者不混用</x:v>
      </x:c>
      <x:c r="J450" s="9" t="str">
        <x:v>1. 打开主播分成记录
2. 查看记录甲的上传人</x:v>
      </x:c>
      <x:c r="K450" s="9" t="str">
        <x:v>记录甲的上传人显示“测试财务甲”</x:v>
      </x:c>
      <x:c r="L450" s="10" t="str"/>
      <x:c r="M450" s="10" t="str">
        <x:v>未测</x:v>
      </x:c>
      <x:c r="N450" s="10" t="str"/>
      <x:c r="O450" s="9" t="str">
        <x:v>1. 来源（当前证据）：liveshow-proto/MainBasis/统一需求文档.md；位置：第 3100 行；REQ-ba876ca67d7c、第 3094 行
2. 规则：BR-9D0F9375D58CF4
3. 未动态验证
4. 示例账号、编号、金额与日期是本条测试数据；执行前按前置条件准备，未填写的产品决策不得自行假定。</x:v>
      </x:c>
    </x:row>
    <x:row r="451" ht="130" customHeight="1">
      <x:c r="A451" s="10" t="n">
        <x:v>450</x:v>
      </x:c>
      <x:c r="B451" s="10" t="str">
        <x:v>ADMIN-0450</x:v>
      </x:c>
      <x:c r="C451" s="10" t="str">
        <x:v>财务结算</x:v>
      </x:c>
      <x:c r="D451" s="10" t="str">
        <x:v>主播分成记录详情（财务管理员）</x:v>
      </x:c>
      <x:c r="E451" s="10" t="str">
        <x:v>功能需求</x:v>
      </x:c>
      <x:c r="F451" s="10" t="str">
        <x:v>P2</x:v>
      </x:c>
      <x:c r="G451" s="9" t="str">
        <x:v>验证主播分成记录详情显示目标记录的ID</x:v>
      </x:c>
      <x:c r="H451" s="9" t="str">
        <x:v>ID与当前对象绑定</x:v>
      </x:c>
      <x:c r="I451" s="9" t="str">
        <x:v>1. 财务管理员为本条执行者
2. 财务管理员账号已登录
3. 主播分成记录详情中目标记录唯一可定位为记录甲；目标记录满足本页展示范围
4. 该记录的ID来源值为“1001”；另有记录乙的同字段值不同，二者不混用</x:v>
      </x:c>
      <x:c r="J451" s="9" t="str">
        <x:v>1. 打开主播分成记录详情
2. 查看记录甲的ID</x:v>
      </x:c>
      <x:c r="K451" s="9" t="str">
        <x:v>记录甲的ID显示“1001”</x:v>
      </x:c>
      <x:c r="L451" s="10" t="str"/>
      <x:c r="M451" s="10" t="str">
        <x:v>未测</x:v>
      </x:c>
      <x:c r="N451" s="10" t="str"/>
      <x:c r="O451" s="9" t="str">
        <x:v>1. 来源（当前证据）：liveshow-proto/MainBasis/统一需求文档.md；位置：第 3108 行；REQ-b19bf13d1469、第 3106 行
2. 规则：BR-DEBF7E386B4D33
3. 未动态验证
4. 示例账号、编号、金额与日期是本条测试数据；执行前按前置条件准备，未填写的产品决策不得自行假定。</x:v>
      </x:c>
    </x:row>
    <x:row r="452" ht="130" customHeight="1">
      <x:c r="A452" s="10" t="n">
        <x:v>451</x:v>
      </x:c>
      <x:c r="B452" s="10" t="str">
        <x:v>ADMIN-0451</x:v>
      </x:c>
      <x:c r="C452" s="10" t="str">
        <x:v>财务结算</x:v>
      </x:c>
      <x:c r="D452" s="10" t="str">
        <x:v>主播分成记录详情（财务管理员）</x:v>
      </x:c>
      <x:c r="E452" s="10" t="str">
        <x:v>功能需求</x:v>
      </x:c>
      <x:c r="F452" s="10" t="str">
        <x:v>P2</x:v>
      </x:c>
      <x:c r="G452" s="9" t="str">
        <x:v>验证主播分成记录详情显示目标记录的备注</x:v>
      </x:c>
      <x:c r="H452" s="9" t="str">
        <x:v>备注与当前对象绑定</x:v>
      </x:c>
      <x:c r="I452" s="9" t="str">
        <x:v>1. 财务管理员为本条执行者
2. 财务管理员账号已登录
3. 主播分成记录详情中目标记录唯一可定位为记录甲；目标记录满足本页展示范围
4. 该记录的备注来源值为“测试备注甲”；另有记录乙的同字段值不同，二者不混用</x:v>
      </x:c>
      <x:c r="J452" s="9" t="str">
        <x:v>1. 打开主播分成记录详情
2. 查看记录甲的备注</x:v>
      </x:c>
      <x:c r="K452" s="9" t="str">
        <x:v>记录甲的备注显示“测试备注甲”</x:v>
      </x:c>
      <x:c r="L452" s="10" t="str"/>
      <x:c r="M452" s="10" t="str">
        <x:v>未测</x:v>
      </x:c>
      <x:c r="N452" s="10" t="str"/>
      <x:c r="O452" s="9" t="str">
        <x:v>1. 来源（当前证据）：liveshow-proto/MainBasis/统一需求文档.md；位置：第 3108 行；REQ-b19bf13d1469、第 3106 行
2. 规则：BR-7F0123DD67D19B
3. 未动态验证
4. 示例账号、编号、金额与日期是本条测试数据；执行前按前置条件准备，未填写的产品决策不得自行假定。</x:v>
      </x:c>
    </x:row>
    <x:row r="453" ht="130" customHeight="1">
      <x:c r="A453" s="10" t="n">
        <x:v>452</x:v>
      </x:c>
      <x:c r="B453" s="10" t="str">
        <x:v>ADMIN-0452</x:v>
      </x:c>
      <x:c r="C453" s="10" t="str">
        <x:v>财务结算</x:v>
      </x:c>
      <x:c r="D453" s="10" t="str">
        <x:v>主播分成记录详情（财务管理员）</x:v>
      </x:c>
      <x:c r="E453" s="10" t="str">
        <x:v>功能需求</x:v>
      </x:c>
      <x:c r="F453" s="10" t="str">
        <x:v>P2</x:v>
      </x:c>
      <x:c r="G453" s="9" t="str">
        <x:v>验证主播分成记录详情显示目标记录的上传人</x:v>
      </x:c>
      <x:c r="H453" s="9" t="str">
        <x:v>上传人与当前对象绑定</x:v>
      </x:c>
      <x:c r="I453" s="9" t="str">
        <x:v>1. 财务管理员为本条执行者
2. 财务管理员账号已登录
3. 主播分成记录详情中目标记录唯一可定位为记录甲；目标记录满足本页展示范围
4. 该记录的上传人来源值为“测试财务甲”；另有记录乙的同字段值不同，二者不混用</x:v>
      </x:c>
      <x:c r="J453" s="9" t="str">
        <x:v>1. 打开主播分成记录详情
2. 查看记录甲的上传人</x:v>
      </x:c>
      <x:c r="K453" s="9" t="str">
        <x:v>记录甲的上传人显示“测试财务甲”</x:v>
      </x:c>
      <x:c r="L453" s="10" t="str"/>
      <x:c r="M453" s="10" t="str">
        <x:v>未测</x:v>
      </x:c>
      <x:c r="N453" s="10" t="str"/>
      <x:c r="O453" s="9" t="str">
        <x:v>1. 来源（当前证据）：liveshow-proto/MainBasis/统一需求文档.md；位置：第 3108 行；REQ-b19bf13d1469、第 3106 行
2. 规则：BR-D8B577A6FFCF3B
3. 未动态验证
4. 示例账号、编号、金额与日期是本条测试数据；执行前按前置条件准备，未填写的产品决策不得自行假定。</x:v>
      </x:c>
    </x:row>
    <x:row r="454" ht="145" customHeight="1">
      <x:c r="A454" s="10" t="n">
        <x:v>453</x:v>
      </x:c>
      <x:c r="B454" s="10" t="str">
        <x:v>ADMIN-0453</x:v>
      </x:c>
      <x:c r="C454" s="10" t="str">
        <x:v>财务结算</x:v>
      </x:c>
      <x:c r="D454" s="10" t="str">
        <x:v>余额变更记录（财务管理员）</x:v>
      </x:c>
      <x:c r="E454" s="10" t="str">
        <x:v>功能需求</x:v>
      </x:c>
      <x:c r="F454" s="10" t="str">
        <x:v>P2</x:v>
      </x:c>
      <x:c r="G454" s="9" t="str">
        <x:v>验证余额变更记录显示目标记录的操作人</x:v>
      </x:c>
      <x:c r="H454" s="9" t="str">
        <x:v>操作人与当前对象绑定</x:v>
      </x:c>
      <x:c r="I454" s="9" t="str">
        <x:v>1. 财务管理员为本条执行者
2. 财务管理员账号已登录
3. 余额变更记录中目标记录唯一可定位为记录甲；目标记录满足本页展示范围
4. 该记录的操作人来源值为“测试操作员甲”；另有记录乙的同字段值不同，二者不混用</x:v>
      </x:c>
      <x:c r="J454" s="9" t="str">
        <x:v>1. 打开余额变更记录
2. 查看记录甲的操作人</x:v>
      </x:c>
      <x:c r="K454" s="9" t="str">
        <x:v>记录甲的操作人显示“测试操作员甲”</x:v>
      </x:c>
      <x:c r="L454" s="10" t="str"/>
      <x:c r="M454" s="10" t="str">
        <x:v>未测</x:v>
      </x:c>
      <x:c r="N454" s="10" t="str"/>
      <x:c r="O454" s="9" t="str">
        <x:v>1. 来源（当前证据）：liveshow-proto/MainBasis/统一需求文档.md；位置：第 3128 行；REQ-a385d8a6f8a8、第 3167 行；REQ-4787da090311、第 3122 行
2. 规则：BR-AFE7F9E0884EB8
3. 未动态验证
4. 示例账号、编号、金额与日期是本条测试数据；执行前按前置条件准备，未填写的产品决策不得自行假定。</x:v>
      </x:c>
    </x:row>
    <x:row r="455" ht="145" customHeight="1">
      <x:c r="A455" s="10" t="n">
        <x:v>454</x:v>
      </x:c>
      <x:c r="B455" s="10" t="str">
        <x:v>ADMIN-0454</x:v>
      </x:c>
      <x:c r="C455" s="10" t="str">
        <x:v>财务结算</x:v>
      </x:c>
      <x:c r="D455" s="10" t="str">
        <x:v>余额变更记录（财务管理员）</x:v>
      </x:c>
      <x:c r="E455" s="10" t="str">
        <x:v>功能需求</x:v>
      </x:c>
      <x:c r="F455" s="10" t="str">
        <x:v>P2</x:v>
      </x:c>
      <x:c r="G455" s="9" t="str">
        <x:v>验证余额变更记录显示目标记录的系统</x:v>
      </x:c>
      <x:c r="H455" s="9" t="str">
        <x:v>系统与当前对象绑定</x:v>
      </x:c>
      <x:c r="I455" s="9" t="str">
        <x:v>1. 财务管理员为本条执行者
2. 财务管理员账号已登录
3. 余额变更记录中目标记录唯一可定位为记录甲；目标记录满足本页展示范围
4. 该记录的系统来源值为“Android 15”；另有记录乙的同字段值不同，二者不混用</x:v>
      </x:c>
      <x:c r="J455" s="9" t="str">
        <x:v>1. 打开余额变更记录
2. 查看记录甲的系统</x:v>
      </x:c>
      <x:c r="K455" s="9" t="str">
        <x:v>记录甲的系统显示“Android 15”</x:v>
      </x:c>
      <x:c r="L455" s="10" t="str"/>
      <x:c r="M455" s="10" t="str">
        <x:v>未测</x:v>
      </x:c>
      <x:c r="N455" s="10" t="str"/>
      <x:c r="O455" s="9" t="str">
        <x:v>1. 来源（当前证据）：liveshow-proto/MainBasis/统一需求文档.md；位置：第 3128 行；REQ-a385d8a6f8a8、第 3167 行；REQ-4787da090311、第 3122 行
2. 规则：BR-E377DF376FFE82
3. 未动态验证
4. 示例账号、编号、金额与日期是本条测试数据；执行前按前置条件准备，未填写的产品决策不得自行假定。</x:v>
      </x:c>
    </x:row>
    <x:row r="456" ht="130" customHeight="1">
      <x:c r="A456" s="10" t="n">
        <x:v>455</x:v>
      </x:c>
      <x:c r="B456" s="10" t="str">
        <x:v>ADMIN-0455</x:v>
      </x:c>
      <x:c r="C456" s="10" t="str">
        <x:v>财务结算</x:v>
      </x:c>
      <x:c r="D456" s="10" t="str">
        <x:v>公会分成记录（财务管理员）</x:v>
      </x:c>
      <x:c r="E456" s="10" t="str">
        <x:v>功能需求</x:v>
      </x:c>
      <x:c r="F456" s="10" t="str">
        <x:v>P2</x:v>
      </x:c>
      <x:c r="G456" s="9" t="str">
        <x:v>验证公会分成记录显示目标记录的上传人</x:v>
      </x:c>
      <x:c r="H456" s="9" t="str">
        <x:v>上传人与当前对象绑定</x:v>
      </x:c>
      <x:c r="I456" s="9" t="str">
        <x:v>1. 财务管理员为本条执行者
2. 财务管理员账号已登录
3. 公会分成记录中目标记录唯一可定位为记录甲；目标记录满足本页展示范围
4. 该记录的上传人来源值为“测试财务甲”；另有记录乙的同字段值不同，二者不混用</x:v>
      </x:c>
      <x:c r="J456" s="9" t="str">
        <x:v>1. 打开公会分成记录
2. 查看记录甲的上传人</x:v>
      </x:c>
      <x:c r="K456" s="9" t="str">
        <x:v>记录甲的上传人显示“测试财务甲”</x:v>
      </x:c>
      <x:c r="L456" s="10" t="str"/>
      <x:c r="M456" s="10" t="str">
        <x:v>未测</x:v>
      </x:c>
      <x:c r="N456" s="10" t="str"/>
      <x:c r="O456" s="9" t="str">
        <x:v>1. 来源（当前证据）：liveshow-proto/MainBasis/统一需求文档.md；位置：第 3139 行；REQ-6676d19ab3a5、第 3133 行
2. 规则：BR-92AC1282F3E8C2
3. 未动态验证
4. 示例账号、编号、金额与日期是本条测试数据；执行前按前置条件准备，未填写的产品决策不得自行假定。</x:v>
      </x:c>
    </x:row>
    <x:row r="457" ht="145" customHeight="1">
      <x:c r="A457" s="10" t="n">
        <x:v>456</x:v>
      </x:c>
      <x:c r="B457" s="10" t="str">
        <x:v>ADMIN-0456</x:v>
      </x:c>
      <x:c r="C457" s="10" t="str">
        <x:v>财务结算</x:v>
      </x:c>
      <x:c r="D457" s="10" t="str">
        <x:v>公会分成记录详情（财务管理员）</x:v>
      </x:c>
      <x:c r="E457" s="10" t="str">
        <x:v>功能需求</x:v>
      </x:c>
      <x:c r="F457" s="10" t="str">
        <x:v>P2</x:v>
      </x:c>
      <x:c r="G457" s="9" t="str">
        <x:v>验证公会分成记录详情显示目标记录的ID</x:v>
      </x:c>
      <x:c r="H457" s="9" t="str">
        <x:v>ID与当前对象绑定</x:v>
      </x:c>
      <x:c r="I457" s="9" t="str">
        <x:v>1. 财务管理员为本条执行者
2. 财务管理员账号已登录
3. 公会分成记录详情中目标记录唯一可定位为记录甲；目标记录满足本页展示范围
4. 该记录的ID来源值为“1001”；另有记录乙的同字段值不同，二者不混用</x:v>
      </x:c>
      <x:c r="J457" s="9" t="str">
        <x:v>1. 打开公会分成记录详情
2. 查看记录甲的ID</x:v>
      </x:c>
      <x:c r="K457" s="9" t="str">
        <x:v>记录甲的ID显示“1001”</x:v>
      </x:c>
      <x:c r="L457" s="10" t="str"/>
      <x:c r="M457" s="10" t="str">
        <x:v>未测</x:v>
      </x:c>
      <x:c r="N457" s="10" t="str"/>
      <x:c r="O457" s="9" t="str">
        <x:v>1. 来源（当前证据）：liveshow-proto/MainBasis/统一需求文档.md；位置：第 3147 行；REQ-332257417126、第 3149 行；REQ-786e8638b5c7、第 3145 行
2. 规则：BR-6D02D98C2003AF
3. 未动态验证
4. 示例账号、编号、金额与日期是本条测试数据；执行前按前置条件准备，未填写的产品决策不得自行假定。</x:v>
      </x:c>
    </x:row>
    <x:row r="458" ht="130" customHeight="1">
      <x:c r="A458" s="10" t="n">
        <x:v>457</x:v>
      </x:c>
      <x:c r="B458" s="10" t="str">
        <x:v>ADMIN-0457</x:v>
      </x:c>
      <x:c r="C458" s="10" t="str">
        <x:v>财务结算</x:v>
      </x:c>
      <x:c r="D458" s="10" t="str">
        <x:v>公会分成记录详情（财务管理员）</x:v>
      </x:c>
      <x:c r="E458" s="10" t="str">
        <x:v>功能需求</x:v>
      </x:c>
      <x:c r="F458" s="10" t="str">
        <x:v>P2</x:v>
      </x:c>
      <x:c r="G458" s="9" t="str">
        <x:v>验证公会分成记录详情显示目标记录的备注</x:v>
      </x:c>
      <x:c r="H458" s="9" t="str">
        <x:v>备注与当前对象绑定</x:v>
      </x:c>
      <x:c r="I458" s="9" t="str">
        <x:v>1. 财务管理员为本条执行者
2. 财务管理员账号已登录
3. 公会分成记录详情中目标记录唯一可定位为记录甲；目标记录满足本页展示范围
4. 该记录的备注来源值为“测试备注甲”；另有记录乙的同字段值不同，二者不混用</x:v>
      </x:c>
      <x:c r="J458" s="9" t="str">
        <x:v>1. 打开公会分成记录详情
2. 查看记录甲的备注</x:v>
      </x:c>
      <x:c r="K458" s="9" t="str">
        <x:v>记录甲的备注显示“测试备注甲”</x:v>
      </x:c>
      <x:c r="L458" s="10" t="str"/>
      <x:c r="M458" s="10" t="str">
        <x:v>未测</x:v>
      </x:c>
      <x:c r="N458" s="10" t="str"/>
      <x:c r="O458" s="9" t="str">
        <x:v>1. 来源（当前证据）：liveshow-proto/MainBasis/统一需求文档.md；位置：第 3147 行；REQ-332257417126、第 3145 行
2. 规则：BR-9DC8472AEACFFC
3. 未动态验证
4. 示例账号、编号、金额与日期是本条测试数据；执行前按前置条件准备，未填写的产品决策不得自行假定。</x:v>
      </x:c>
    </x:row>
    <x:row r="459" ht="130" customHeight="1">
      <x:c r="A459" s="10" t="n">
        <x:v>458</x:v>
      </x:c>
      <x:c r="B459" s="10" t="str">
        <x:v>ADMIN-0458</x:v>
      </x:c>
      <x:c r="C459" s="10" t="str">
        <x:v>财务结算</x:v>
      </x:c>
      <x:c r="D459" s="10" t="str">
        <x:v>公会分成记录详情（财务管理员）</x:v>
      </x:c>
      <x:c r="E459" s="10" t="str">
        <x:v>功能需求</x:v>
      </x:c>
      <x:c r="F459" s="10" t="str">
        <x:v>P2</x:v>
      </x:c>
      <x:c r="G459" s="9" t="str">
        <x:v>验证公会分成记录详情显示目标记录的上传人</x:v>
      </x:c>
      <x:c r="H459" s="9" t="str">
        <x:v>上传人与当前对象绑定</x:v>
      </x:c>
      <x:c r="I459" s="9" t="str">
        <x:v>1. 财务管理员为本条执行者
2. 财务管理员账号已登录
3. 公会分成记录详情中目标记录唯一可定位为记录甲；目标记录满足本页展示范围
4. 该记录的上传人来源值为“测试财务甲”；另有记录乙的同字段值不同，二者不混用</x:v>
      </x:c>
      <x:c r="J459" s="9" t="str">
        <x:v>1. 打开公会分成记录详情
2. 查看记录甲的上传人</x:v>
      </x:c>
      <x:c r="K459" s="9" t="str">
        <x:v>记录甲的上传人显示“测试财务甲”</x:v>
      </x:c>
      <x:c r="L459" s="10" t="str"/>
      <x:c r="M459" s="10" t="str">
        <x:v>未测</x:v>
      </x:c>
      <x:c r="N459" s="10" t="str"/>
      <x:c r="O459" s="9" t="str">
        <x:v>1. 来源（当前证据）：liveshow-proto/MainBasis/统一需求文档.md；位置：第 3147 行；REQ-332257417126、第 3145 行
2. 规则：BR-2B7F18B2E3A402
3. 未动态验证
4. 示例账号、编号、金额与日期是本条测试数据；执行前按前置条件准备，未填写的产品决策不得自行假定。</x:v>
      </x:c>
    </x:row>
    <x:row r="460" ht="130" customHeight="1">
      <x:c r="A460" s="10" t="n">
        <x:v>459</x:v>
      </x:c>
      <x:c r="B460" s="10" t="str">
        <x:v>ADMIN-0459</x:v>
      </x:c>
      <x:c r="C460" s="10" t="str">
        <x:v>财务结算</x:v>
      </x:c>
      <x:c r="D460" s="10" t="str">
        <x:v>公会分成记录详情（财务管理员）</x:v>
      </x:c>
      <x:c r="E460" s="10" t="str">
        <x:v>功能需求</x:v>
      </x:c>
      <x:c r="F460" s="10" t="str">
        <x:v>P2</x:v>
      </x:c>
      <x:c r="G460" s="9" t="str">
        <x:v>验证公会分成记录详情显示目标记录的名称</x:v>
      </x:c>
      <x:c r="H460" s="9" t="str">
        <x:v>名称与当前对象绑定</x:v>
      </x:c>
      <x:c r="I460" s="9" t="str">
        <x:v>1. 财务管理员为本条执行者
2. 财务管理员账号已登录
3. 公会分成记录详情中目标记录唯一可定位为记录甲；目标记录满足本页展示范围
4. 该记录的名称来源值为“测试名称甲”；另有记录乙的同字段值不同，二者不混用</x:v>
      </x:c>
      <x:c r="J460" s="9" t="str">
        <x:v>1. 打开公会分成记录详情
2. 查看记录甲的名称</x:v>
      </x:c>
      <x:c r="K460" s="9" t="str">
        <x:v>记录甲的名称显示“测试名称甲”</x:v>
      </x:c>
      <x:c r="L460" s="10" t="str"/>
      <x:c r="M460" s="10" t="str">
        <x:v>未测</x:v>
      </x:c>
      <x:c r="N460" s="10" t="str"/>
      <x:c r="O460" s="9" t="str">
        <x:v>1. 来源（当前证据）：liveshow-proto/MainBasis/统一需求文档.md；位置：第 3149 行；REQ-786e8638b5c7、第 3145 行
2. 规则：BR-9D8C9A0679F877
3. 未动态验证
4. 示例账号、编号、金额与日期是本条测试数据；执行前按前置条件准备，未填写的产品决策不得自行假定。</x:v>
      </x:c>
    </x:row>
    <x:row r="461" ht="130" customHeight="1">
      <x:c r="A461" s="10" t="n">
        <x:v>460</x:v>
      </x:c>
      <x:c r="B461" s="10" t="str">
        <x:v>ADMIN-0460</x:v>
      </x:c>
      <x:c r="C461" s="10" t="str">
        <x:v>财务结算</x:v>
      </x:c>
      <x:c r="D461" s="10" t="str">
        <x:v>公会分成记录详情（财务管理员）</x:v>
      </x:c>
      <x:c r="E461" s="10" t="str">
        <x:v>功能需求</x:v>
      </x:c>
      <x:c r="F461" s="10" t="str">
        <x:v>P2</x:v>
      </x:c>
      <x:c r="G461" s="9" t="str">
        <x:v>验证公会分成记录详情显示目标记录的公会名称</x:v>
      </x:c>
      <x:c r="H461" s="9" t="str">
        <x:v>公会名称与当前对象绑定</x:v>
      </x:c>
      <x:c r="I461" s="9" t="str">
        <x:v>1. 财务管理员为本条执行者
2. 财务管理员账号已登录
3. 公会分成记录详情中目标记录唯一可定位为记录甲；目标记录满足本页展示范围
4. 该记录的公会名称来源值为“测试公会甲”；另有记录乙的同字段值不同，二者不混用</x:v>
      </x:c>
      <x:c r="J461" s="9" t="str">
        <x:v>1. 打开公会分成记录详情
2. 查看记录甲的公会名称</x:v>
      </x:c>
      <x:c r="K461" s="9" t="str">
        <x:v>记录甲的公会名称显示“测试公会甲”</x:v>
      </x:c>
      <x:c r="L461" s="10" t="str"/>
      <x:c r="M461" s="10" t="str">
        <x:v>未测</x:v>
      </x:c>
      <x:c r="N461" s="10" t="str"/>
      <x:c r="O461" s="9" t="str">
        <x:v>1. 来源（当前证据）：liveshow-proto/MainBasis/统一需求文档.md；位置：第 3149 行；REQ-786e8638b5c7、第 3145 行
2. 规则：BR-D3AE9BAD2A9E34
3. 未动态验证
4. 示例账号、编号、金额与日期是本条测试数据；执行前按前置条件准备，未填写的产品决策不得自行假定。</x:v>
      </x:c>
    </x:row>
    <x:row r="462" ht="130" customHeight="1">
      <x:c r="A462" s="10" t="n">
        <x:v>461</x:v>
      </x:c>
      <x:c r="B462" s="10" t="str">
        <x:v>ADMIN-0461</x:v>
      </x:c>
      <x:c r="C462" s="10" t="str">
        <x:v>数据报表</x:v>
      </x:c>
      <x:c r="D462" s="10" t="str">
        <x:v>直播记录明细报表（财务管理员）</x:v>
      </x:c>
      <x:c r="E462" s="10" t="str">
        <x:v>功能需求</x:v>
      </x:c>
      <x:c r="F462" s="10" t="str">
        <x:v>P2</x:v>
      </x:c>
      <x:c r="G462" s="9" t="str">
        <x:v>验证直播记录明细报表显示目标记录的直播间 ID</x:v>
      </x:c>
      <x:c r="H462" s="9" t="str">
        <x:v>直播间 ID与当前对象绑定</x:v>
      </x:c>
      <x:c r="I462" s="9" t="str">
        <x:v>1. 财务管理员为本条执行者
2. 财务管理员账号已登录
3. 直播记录明细报表中目标记录唯一可定位为记录甲；目标记录满足本页展示范围
4. 该记录的直播间 ID来源值为“60001”；另有记录乙的同字段值不同，二者不混用</x:v>
      </x:c>
      <x:c r="J462" s="9" t="str">
        <x:v>1. 打开直播记录明细报表
2. 查看记录甲的直播间 ID</x:v>
      </x:c>
      <x:c r="K462" s="9" t="str">
        <x:v>记录甲的直播间 ID显示“60001”</x:v>
      </x:c>
      <x:c r="L462" s="10" t="str"/>
      <x:c r="M462" s="10" t="str">
        <x:v>未测</x:v>
      </x:c>
      <x:c r="N462" s="10" t="str"/>
      <x:c r="O462" s="9" t="str">
        <x:v>1. 来源（当前证据）：liveshow-proto/MainBasis/统一需求文档.md；位置：第 3239 行；REQ-0b2daeef07ef、第 3237 行
2. 规则：BR-B2170DF05C23A7
3. 未动态验证
4. 示例账号、编号、金额与日期是本条测试数据；执行前按前置条件准备，未填写的产品决策不得自行假定。</x:v>
      </x:c>
    </x:row>
    <x:row r="463" ht="130" customHeight="1">
      <x:c r="A463" s="10" t="n">
        <x:v>462</x:v>
      </x:c>
      <x:c r="B463" s="10" t="str">
        <x:v>ADMIN-0462</x:v>
      </x:c>
      <x:c r="C463" s="10" t="str">
        <x:v>数据报表</x:v>
      </x:c>
      <x:c r="D463" s="10" t="str">
        <x:v>消费订单明细（财务管理员）</x:v>
      </x:c>
      <x:c r="E463" s="10" t="str">
        <x:v>功能需求</x:v>
      </x:c>
      <x:c r="F463" s="10" t="str">
        <x:v>P2</x:v>
      </x:c>
      <x:c r="G463" s="9" t="str">
        <x:v>验证消费订单明细显示目标记录的场次 ID</x:v>
      </x:c>
      <x:c r="H463" s="9" t="str">
        <x:v>场次 ID与当前对象绑定</x:v>
      </x:c>
      <x:c r="I463" s="9" t="str">
        <x:v>1. 财务管理员为本条执行者
2. 财务管理员账号已登录
3. 消费订单明细中目标记录唯一可定位为记录甲；目标记录满足本页展示范围
4. 该记录的场次 ID来源值为“S001”；另有记录乙的同字段值不同，二者不混用</x:v>
      </x:c>
      <x:c r="J463" s="9" t="str">
        <x:v>1. 打开消费订单明细
2. 查看记录甲的场次 ID</x:v>
      </x:c>
      <x:c r="K463" s="9" t="str">
        <x:v>记录甲的场次 ID显示“S001”</x:v>
      </x:c>
      <x:c r="L463" s="10" t="str"/>
      <x:c r="M463" s="10" t="str">
        <x:v>未测</x:v>
      </x:c>
      <x:c r="N463" s="10" t="str"/>
      <x:c r="O463" s="9" t="str">
        <x:v>1. 来源（当前证据）：liveshow-proto/MainBasis/统一需求文档.md；位置：第 3324 行；REQ-ab4321fab6cd、第 3319 行
2. 规则：BR-BF9C551AFB4887
3. 未动态验证
4. 示例账号、编号、金额与日期是本条测试数据；执行前按前置条件准备，未填写的产品决策不得自行假定。</x:v>
      </x:c>
    </x:row>
    <x:row r="464" ht="190" customHeight="1">
      <x:c r="A464" s="10" t="n">
        <x:v>463</x:v>
      </x:c>
      <x:c r="B464" s="10" t="str">
        <x:v>ADMIN-0463</x:v>
      </x:c>
      <x:c r="C464" s="10" t="str">
        <x:v>数据报表</x:v>
      </x:c>
      <x:c r="D464" s="10" t="str">
        <x:v>退款订单明细（财务管理员）</x:v>
      </x:c>
      <x:c r="E464" s="10" t="str">
        <x:v>功能需求</x:v>
      </x:c>
      <x:c r="F464" s="10" t="str">
        <x:v>P1</x:v>
      </x:c>
      <x:c r="G464" s="9" t="str">
        <x:v>验证退款订单明细显示目标记录的退款时间</x:v>
      </x:c>
      <x:c r="H464" s="9" t="str">
        <x:v>退款时间与当前对象绑定</x:v>
      </x:c>
      <x:c r="I464" s="9" t="str">
        <x:v>1. 财务管理员为本条执行者
2. 财务管理员账号已登录
3. 退款订单明细中目标记录唯一可定位为记录甲；目标记录满足本页展示范围
4. 该记录的退款时间来源值为“2026/09/14 10:09”；另有记录乙的同字段值不同，二者不混用
5. 日期时间均以当前页面使用的时区准备，不测试尚未确认的跨时区换算</x:v>
      </x:c>
      <x:c r="J464" s="9" t="str">
        <x:v>1. 打开退款订单明细
2. 查看记录甲的退款时间</x:v>
      </x:c>
      <x:c r="K464" s="9" t="str">
        <x:v>记录甲的退款时间表示测试时刻“2026/09/14 10:09”</x:v>
      </x:c>
      <x:c r="L464" s="10" t="str"/>
      <x:c r="M464" s="10" t="str">
        <x:v>未测</x:v>
      </x:c>
      <x:c r="N464" s="10" t="str"/>
      <x:c r="O464" s="9" t="str">
        <x:v>1. 来源（当前证据）：liveshow-proto/MainBasis/统一需求文档.md；位置：第 3331 行；REQ-4073f5d10f84、第 3329 行
2. 规则：BR-B4799B904C6DFE
3. 未动态验证
4. 示例账号、编号、金额与日期是本条测试数据；执行前按前置条件准备，未填写的产品决策不得自行假定。</x:v>
      </x:c>
    </x:row>
    <x:row r="465" ht="130" customHeight="1">
      <x:c r="A465" s="10" t="n">
        <x:v>464</x:v>
      </x:c>
      <x:c r="B465" s="10" t="str">
        <x:v>ADMIN-0464</x:v>
      </x:c>
      <x:c r="C465" s="10" t="str">
        <x:v>运营账号</x:v>
      </x:c>
      <x:c r="D465" s="10" t="str">
        <x:v>运营账号主页（平台管理员）</x:v>
      </x:c>
      <x:c r="E465" s="10" t="str">
        <x:v>功能需求</x:v>
      </x:c>
      <x:c r="F465" s="10" t="str">
        <x:v>P2</x:v>
      </x:c>
      <x:c r="G465" s="9" t="str">
        <x:v>验证运营账号主页显示目标记录的名称</x:v>
      </x:c>
      <x:c r="H465" s="9" t="str">
        <x:v>名称与当前对象绑定</x:v>
      </x:c>
      <x:c r="I465" s="9" t="str">
        <x:v>1. 平台管理员为本条执行者
2. 平台管理员账号已登录
3. 运营账号主页中目标记录唯一可定位为记录甲；目标记录满足本页展示范围
4. 该记录的名称来源值为“测试名称甲”；另有记录乙的同字段值不同，二者不混用</x:v>
      </x:c>
      <x:c r="J465" s="9" t="str">
        <x:v>1. 打开运营账号主页
2. 查看记录甲的名称</x:v>
      </x:c>
      <x:c r="K465" s="9" t="str">
        <x:v>记录甲的名称显示“测试名称甲”</x:v>
      </x:c>
      <x:c r="L465" s="10" t="str"/>
      <x:c r="M465" s="10" t="str">
        <x:v>未测</x:v>
      </x:c>
      <x:c r="N465" s="10" t="str"/>
      <x:c r="O465" s="9" t="str">
        <x:v>1. 来源（当前证据）：liveshow-proto/MainBasis/统一需求文档.md；位置：第 3362 行；REQ-8a8242292a6c、第 3360 行
2. 规则：BR-DF9CDBE3E6A36D
3. 未动态验证
4. 示例账号、编号、金额与日期是本条测试数据；执行前按前置条件准备，未填写的产品决策不得自行假定。</x:v>
      </x:c>
    </x:row>
    <x:row r="466" ht="145" customHeight="1">
      <x:c r="A466" s="10" t="n">
        <x:v>465</x:v>
      </x:c>
      <x:c r="B466" s="10" t="str">
        <x:v>ADMIN-0465</x:v>
      </x:c>
      <x:c r="C466" s="10" t="str">
        <x:v>运营账号</x:v>
      </x:c>
      <x:c r="D466" s="10" t="str">
        <x:v>运营账号主页（平台管理员）</x:v>
      </x:c>
      <x:c r="E466" s="10" t="str">
        <x:v>功能需求</x:v>
      </x:c>
      <x:c r="F466" s="10" t="str">
        <x:v>P1</x:v>
      </x:c>
      <x:c r="G466" s="9" t="str">
        <x:v>验证运营账号主页显示目标记录的登录账号</x:v>
      </x:c>
      <x:c r="H466" s="9" t="str">
        <x:v>登录账号与当前对象绑定</x:v>
      </x:c>
      <x:c r="I466" s="9" t="str">
        <x:v>1. 平台管理员为本条执行者
2. 平台管理员账号已登录
3. 运营账号主页中目标记录唯一可定位为记录甲；目标记录满足本页展示范围
4. 该记录的登录账号来源值为“qa.ops@example.com”；另有记录乙的同字段值不同，二者不混用</x:v>
      </x:c>
      <x:c r="J466" s="9" t="str">
        <x:v>1. 打开运营账号主页
2. 查看记录甲的登录账号</x:v>
      </x:c>
      <x:c r="K466" s="9" t="str">
        <x:v>记录甲的登录账号显示“qa.ops@example.com”</x:v>
      </x:c>
      <x:c r="L466" s="10" t="str"/>
      <x:c r="M466" s="10" t="str">
        <x:v>未测</x:v>
      </x:c>
      <x:c r="N466" s="10" t="str"/>
      <x:c r="O466" s="9" t="str">
        <x:v>1. 来源（当前证据）：liveshow-proto/MainBasis/统一需求文档.md；位置：第 3362 行；REQ-8a8242292a6c、第 3360 行
2. 规则：BR-85B627D140AB63
3. 未动态验证
4. 示例账号、编号、金额与日期是本条测试数据；执行前按前置条件准备，未填写的产品决策不得自行假定。</x:v>
      </x:c>
    </x:row>
    <x:row r="467" ht="130" customHeight="1">
      <x:c r="A467" s="10" t="n">
        <x:v>466</x:v>
      </x:c>
      <x:c r="B467" s="10" t="str">
        <x:v>ADMIN-0466</x:v>
      </x:c>
      <x:c r="C467" s="10" t="str">
        <x:v>运营账号</x:v>
      </x:c>
      <x:c r="D467" s="10" t="str">
        <x:v>发放记录（平台管理员）</x:v>
      </x:c>
      <x:c r="E467" s="10" t="str">
        <x:v>功能需求</x:v>
      </x:c>
      <x:c r="F467" s="10" t="str">
        <x:v>P2</x:v>
      </x:c>
      <x:c r="G467" s="9" t="str">
        <x:v>验证发放记录显示目标记录的操作人</x:v>
      </x:c>
      <x:c r="H467" s="9" t="str">
        <x:v>操作人与当前对象绑定</x:v>
      </x:c>
      <x:c r="I467" s="9" t="str">
        <x:v>1. 平台管理员为本条执行者
2. 平台管理员账号已登录
3. 发放记录中目标记录唯一可定位为记录甲；目标记录满足本页展示范围
4. 该记录的操作人来源值为“测试操作员甲”；另有记录乙的同字段值不同，二者不混用</x:v>
      </x:c>
      <x:c r="J467" s="9" t="str">
        <x:v>1. 打开发放记录
2. 查看记录甲的操作人</x:v>
      </x:c>
      <x:c r="K467" s="9" t="str">
        <x:v>记录甲的操作人显示“测试操作员甲”</x:v>
      </x:c>
      <x:c r="L467" s="10" t="str"/>
      <x:c r="M467" s="10" t="str">
        <x:v>未测</x:v>
      </x:c>
      <x:c r="N467" s="10" t="str"/>
      <x:c r="O467" s="9" t="str">
        <x:v>1. 来源（当前证据）：liveshow-proto/MainBasis/统一需求文档.md；位置：第 3376 行；REQ-fd0506fa2db0、第 3372 行
2. 规则：BR-693A6D8D7BA4D4
3. 未动态验证
4. 示例账号、编号、金额与日期是本条测试数据；执行前按前置条件准备，未填写的产品决策不得自行假定。</x:v>
      </x:c>
    </x:row>
    <x:row r="468" ht="190" customHeight="1">
      <x:c r="A468" s="10" t="n">
        <x:v>467</x:v>
      </x:c>
      <x:c r="B468" s="10" t="str">
        <x:v>ADMIN-0467</x:v>
      </x:c>
      <x:c r="C468" s="10" t="str">
        <x:v>运营账号</x:v>
      </x:c>
      <x:c r="D468" s="10" t="str">
        <x:v>发放记录（平台管理员）</x:v>
      </x:c>
      <x:c r="E468" s="10" t="str">
        <x:v>功能需求</x:v>
      </x:c>
      <x:c r="F468" s="10" t="str">
        <x:v>P2</x:v>
      </x:c>
      <x:c r="G468" s="9" t="str">
        <x:v>验证发放记录显示目标记录的发放时间</x:v>
      </x:c>
      <x:c r="H468" s="9" t="str">
        <x:v>发放时间与当前对象绑定</x:v>
      </x:c>
      <x:c r="I468" s="9" t="str">
        <x:v>1. 平台管理员为本条执行者
2. 平台管理员账号已登录
3. 发放记录中目标记录唯一可定位为记录甲；目标记录已成功完成
4. 该记录的发放时间来源值为“2026/09/14 10:07”；另有记录乙的同字段值不同，二者不混用
5. 日期时间均以当前页面使用的时区准备，不测试尚未确认的跨时区换算</x:v>
      </x:c>
      <x:c r="J468" s="9" t="str">
        <x:v>1. 打开发放记录
2. 查看记录甲的发放时间</x:v>
      </x:c>
      <x:c r="K468" s="9" t="str">
        <x:v>记录甲的发放时间表示测试时刻“2026/09/14 10:07”</x:v>
      </x:c>
      <x:c r="L468" s="10" t="str"/>
      <x:c r="M468" s="10" t="str">
        <x:v>未测</x:v>
      </x:c>
      <x:c r="N468" s="10" t="str"/>
      <x:c r="O468" s="9" t="str">
        <x:v>1. 来源（当前证据）：liveshow-proto/MainBasis/统一需求文档.md；位置：第 3377 行；REQ-4d41dc24e348、第 3372 行
2. 规则：BR-9A079BD553E7BA
3. 未动态验证
4. 示例账号、编号、金额与日期是本条测试数据；执行前按前置条件准备，未填写的产品决策不得自行假定。</x:v>
      </x:c>
    </x:row>
    <x:row r="469" ht="190" customHeight="1">
      <x:c r="A469" s="10" t="n">
        <x:v>468</x:v>
      </x:c>
      <x:c r="B469" s="10" t="str">
        <x:v>ADMIN-0468</x:v>
      </x:c>
      <x:c r="C469" s="10" t="str">
        <x:v>运营账号</x:v>
      </x:c>
      <x:c r="D469" s="10" t="str">
        <x:v>送礼记录（平台管理员）</x:v>
      </x:c>
      <x:c r="E469" s="10" t="str">
        <x:v>功能需求</x:v>
      </x:c>
      <x:c r="F469" s="10" t="str">
        <x:v>P2</x:v>
      </x:c>
      <x:c r="G469" s="9" t="str">
        <x:v>验证送礼记录显示目标记录的赠送时间</x:v>
      </x:c>
      <x:c r="H469" s="9" t="str">
        <x:v>赠送时间与当前对象绑定</x:v>
      </x:c>
      <x:c r="I469" s="9" t="str">
        <x:v>1. 平台管理员为本条执行者
2. 平台管理员账号已登录
3. 送礼记录中目标记录唯一可定位为记录甲；目标记录已成功完成
4. 该记录的赠送时间来源值为“2026/09/14 10:05”；另有记录乙的同字段值不同，二者不混用
5. 日期时间均以当前页面使用的时区准备，不测试尚未确认的跨时区换算</x:v>
      </x:c>
      <x:c r="J469" s="9" t="str">
        <x:v>1. 打开送礼记录
2. 查看记录甲的赠送时间</x:v>
      </x:c>
      <x:c r="K469" s="9" t="str">
        <x:v>记录甲的赠送时间表示测试时刻“2026/09/14 10:05”</x:v>
      </x:c>
      <x:c r="L469" s="10" t="str"/>
      <x:c r="M469" s="10" t="str">
        <x:v>未测</x:v>
      </x:c>
      <x:c r="N469" s="10" t="str"/>
      <x:c r="O469" s="9" t="str">
        <x:v>1. 来源（当前证据）：liveshow-proto/MainBasis/统一需求文档.md；位置：第 3387 行；REQ-5110e5c8c3c2、第 3383 行
2. 规则：BR-ECD7ED410A1A23
3. 未动态验证
4. 示例账号、编号、金额与日期是本条测试数据；执行前按前置条件准备，未填写的产品决策不得自行假定。</x:v>
      </x:c>
    </x:row>
    <x:row r="470" ht="130" customHeight="1">
      <x:c r="A470" s="10" t="n">
        <x:v>469</x:v>
      </x:c>
      <x:c r="B470" s="10" t="str">
        <x:v>ADMIN-0469</x:v>
      </x:c>
      <x:c r="C470" s="10" t="str">
        <x:v>系统管理</x:v>
      </x:c>
      <x:c r="D470" s="10" t="str">
        <x:v>后台账号（平台管理员）</x:v>
      </x:c>
      <x:c r="E470" s="10" t="str">
        <x:v>功能需求</x:v>
      </x:c>
      <x:c r="F470" s="10" t="str">
        <x:v>P2</x:v>
      </x:c>
      <x:c r="G470" s="9" t="str">
        <x:v>验证后台账号显示目标记录的账号 ID</x:v>
      </x:c>
      <x:c r="H470" s="9" t="str">
        <x:v>账号 ID与当前对象绑定</x:v>
      </x:c>
      <x:c r="I470" s="9" t="str">
        <x:v>1. 平台管理员为本条执行者
2. 平台管理员账号已登录
3. 后台账号中目标记录唯一可定位为记录甲；目标记录满足本页展示范围
4. 该记录的账号 ID来源值为“9001”；另有记录乙的同字段值不同，二者不混用</x:v>
      </x:c>
      <x:c r="J470" s="9" t="str">
        <x:v>1. 打开后台账号
2. 查看记录甲的账号 ID</x:v>
      </x:c>
      <x:c r="K470" s="9" t="str">
        <x:v>记录甲的账号 ID显示“9001”</x:v>
      </x:c>
      <x:c r="L470" s="10" t="str"/>
      <x:c r="M470" s="10" t="str">
        <x:v>未测</x:v>
      </x:c>
      <x:c r="N470" s="10" t="str"/>
      <x:c r="O470" s="9" t="str">
        <x:v>1. 来源（当前证据）：liveshow-proto/MainBasis/统一需求文档.md；位置：第 3408 行；REQ-89676cf95254、第 3406 行
2. 规则：BR-5BD2C4D008E4B7
3. 未动态验证
4. 示例账号、编号、金额与日期是本条测试数据；执行前按前置条件准备，未填写的产品决策不得自行假定。</x:v>
      </x:c>
    </x:row>
    <x:row r="471" ht="130" customHeight="1">
      <x:c r="A471" s="10" t="n">
        <x:v>470</x:v>
      </x:c>
      <x:c r="B471" s="10" t="str">
        <x:v>ADMIN-0470</x:v>
      </x:c>
      <x:c r="C471" s="10" t="str">
        <x:v>系统管理</x:v>
      </x:c>
      <x:c r="D471" s="10" t="str">
        <x:v>后台账号（平台管理员）</x:v>
      </x:c>
      <x:c r="E471" s="10" t="str">
        <x:v>功能需求</x:v>
      </x:c>
      <x:c r="F471" s="10" t="str">
        <x:v>P2</x:v>
      </x:c>
      <x:c r="G471" s="9" t="str">
        <x:v>验证后台账号显示目标记录的后台账号</x:v>
      </x:c>
      <x:c r="H471" s="9" t="str">
        <x:v>后台账号与当前对象绑定</x:v>
      </x:c>
      <x:c r="I471" s="9" t="str">
        <x:v>1. 平台管理员为本条执行者
2. 平台管理员账号已登录
3. 后台账号中目标记录唯一可定位为记录甲；目标记录满足本页展示范围
4. 该记录的后台账号来源值为“qa_admin_01”；另有记录乙的同字段值不同，二者不混用</x:v>
      </x:c>
      <x:c r="J471" s="9" t="str">
        <x:v>1. 打开后台账号
2. 查看记录甲的后台账号</x:v>
      </x:c>
      <x:c r="K471" s="9" t="str">
        <x:v>记录甲的后台账号显示“qa_admin_01”</x:v>
      </x:c>
      <x:c r="L471" s="10" t="str"/>
      <x:c r="M471" s="10" t="str">
        <x:v>未测</x:v>
      </x:c>
      <x:c r="N471" s="10" t="str"/>
      <x:c r="O471" s="9" t="str">
        <x:v>1. 来源（当前证据）：liveshow-proto/MainBasis/统一需求文档.md；位置：第 3409 行；REQ-d936eada9733、第 3406 行
2. 规则：BR-B56F60ABC92418
3. 未动态验证
4. 示例账号、编号、金额与日期是本条测试数据；执行前按前置条件准备，未填写的产品决策不得自行假定。</x:v>
      </x:c>
    </x:row>
    <x:row r="472" ht="190" customHeight="1">
      <x:c r="A472" s="10" t="n">
        <x:v>471</x:v>
      </x:c>
      <x:c r="B472" s="10" t="str">
        <x:v>ADMIN-0471</x:v>
      </x:c>
      <x:c r="C472" s="10" t="str">
        <x:v>系统管理</x:v>
      </x:c>
      <x:c r="D472" s="10" t="str">
        <x:v>后台账号（平台管理员）</x:v>
      </x:c>
      <x:c r="E472" s="10" t="str">
        <x:v>功能需求</x:v>
      </x:c>
      <x:c r="F472" s="10" t="str">
        <x:v>P2</x:v>
      </x:c>
      <x:c r="G472" s="9" t="str">
        <x:v>验证后台账号显示目标记录的更新时间</x:v>
      </x:c>
      <x:c r="H472" s="9" t="str">
        <x:v>更新时间与当前对象绑定</x:v>
      </x:c>
      <x:c r="I472" s="9" t="str">
        <x:v>1. 平台管理员为本条执行者
2. 平台管理员账号已登录
3. 后台账号中目标记录唯一可定位为记录甲；目标记录已成功完成
4. 该记录的更新时间来源值为“2026/09/14 10:10”；另有记录乙的同字段值不同，二者不混用
5. 日期时间均以当前页面使用的时区准备，不测试尚未确认的跨时区换算</x:v>
      </x:c>
      <x:c r="J472" s="9" t="str">
        <x:v>1. 打开后台账号
2. 查看记录甲的更新时间</x:v>
      </x:c>
      <x:c r="K472" s="9" t="str">
        <x:v>记录甲的更新时间表示测试时刻“2026/09/14 10:10”</x:v>
      </x:c>
      <x:c r="L472" s="10" t="str"/>
      <x:c r="M472" s="10" t="str">
        <x:v>未测</x:v>
      </x:c>
      <x:c r="N472" s="10" t="str"/>
      <x:c r="O472" s="9" t="str">
        <x:v>1. 来源（当前证据）：liveshow-proto/MainBasis/统一需求文档.md；位置：第 3412 行；REQ-2bb34a782f2b、第 3406 行
2. 规则：BR-F770E3C7B4BB59
3. 未动态验证
4. 示例账号、编号、金额与日期是本条测试数据；执行前按前置条件准备，未填写的产品决策不得自行假定。</x:v>
      </x:c>
    </x:row>
    <x:row r="473" ht="130" customHeight="1">
      <x:c r="A473" s="10" t="n">
        <x:v>472</x:v>
      </x:c>
      <x:c r="B473" s="10" t="str">
        <x:v>ADMIN-0472</x:v>
      </x:c>
      <x:c r="C473" s="10" t="str">
        <x:v>系统管理</x:v>
      </x:c>
      <x:c r="D473" s="10" t="str">
        <x:v>角色管理（平台管理员）</x:v>
      </x:c>
      <x:c r="E473" s="10" t="str">
        <x:v>功能需求</x:v>
      </x:c>
      <x:c r="F473" s="10" t="str">
        <x:v>P2</x:v>
      </x:c>
      <x:c r="G473" s="9" t="str">
        <x:v>验证角色管理显示目标记录的角色 ID</x:v>
      </x:c>
      <x:c r="H473" s="9" t="str">
        <x:v>角色 ID与当前对象绑定</x:v>
      </x:c>
      <x:c r="I473" s="9" t="str">
        <x:v>1. 平台管理员为本条执行者
2. 平台管理员账号已登录
3. 角色管理中目标记录唯一可定位为记录甲；目标记录满足本页展示范围
4. 该记录的角色 ID来源值为“9002”；另有记录乙的同字段值不同，二者不混用</x:v>
      </x:c>
      <x:c r="J473" s="9" t="str">
        <x:v>1. 打开角色管理
2. 查看记录甲的角色 ID</x:v>
      </x:c>
      <x:c r="K473" s="9" t="str">
        <x:v>记录甲的角色 ID显示“9002”</x:v>
      </x:c>
      <x:c r="L473" s="10" t="str"/>
      <x:c r="M473" s="10" t="str">
        <x:v>未测</x:v>
      </x:c>
      <x:c r="N473" s="10" t="str"/>
      <x:c r="O473" s="9" t="str">
        <x:v>1. 来源（当前证据）：liveshow-proto/MainBasis/统一需求文档.md；位置：第 3431 行；REQ-b6e2cc2a69a9、第 3429 行
2. 规则：BR-98531823D552DB
3. 未动态验证
4. 示例账号、编号、金额与日期是本条测试数据；执行前按前置条件准备，未填写的产品决策不得自行假定。</x:v>
      </x:c>
    </x:row>
    <x:row r="474" ht="160" customHeight="1">
      <x:c r="A474" s="10" t="n">
        <x:v>473</x:v>
      </x:c>
      <x:c r="B474" s="10" t="str">
        <x:v>ADMIN-0473</x:v>
      </x:c>
      <x:c r="C474" s="10" t="str">
        <x:v>主播管理</x:v>
      </x:c>
      <x:c r="D474" s="10" t="str">
        <x:v>直播场次（平台管理员）</x:v>
      </x:c>
      <x:c r="E474" s="10" t="str">
        <x:v>功能需求</x:v>
      </x:c>
      <x:c r="F474" s="10" t="str">
        <x:v>P2</x:v>
      </x:c>
      <x:c r="G474" s="9" t="str">
        <x:v>验证结束场次没有即时处置入口</x:v>
      </x:c>
      <x:c r="H474" s="9" t="str">
        <x:v>结束态操作限制</x:v>
      </x:c>
      <x:c r="I474" s="9" t="str">
        <x:v>1. 平台管理员为本条执行者
2. 测试管理员已登录，具有本功能操作权限
3. S001 已结束</x:v>
      </x:c>
      <x:c r="J474" s="9" t="str">
        <x:v>1. 打开直播列表
2. 查看 S001</x:v>
      </x:c>
      <x:c r="K474" s="9" t="str">
        <x:v>S001 不提供即时警告或关播操作</x:v>
      </x:c>
      <x:c r="L474" s="10" t="str"/>
      <x:c r="M474" s="10" t="str">
        <x:v>未测</x:v>
      </x:c>
      <x:c r="N474" s="10" t="str"/>
      <x:c r="O474" s="9" t="str">
        <x:v>1. 来源（当前证据）：liveshow-proto/MainBasis/统一需求文档.md；位置：第 2580 行；REQ-c9620f5ed80f、第 2583 行；REQ-01bfb061e40d、第 2584 行；REQ-5486bbbe8ae4、第 2574 行
2. 规则：BR-3240E864108483
3. 未动态验证
4. 示例账号、编号、金额与日期是本条测试数据；执行前按前置条件准备，未填写的产品决策不得自行假定。</x:v>
      </x:c>
    </x:row>
    <x:row r="475" ht="160" customHeight="1">
      <x:c r="A475" s="10" t="n">
        <x:v>474</x:v>
      </x:c>
      <x:c r="B475" s="10" t="str">
        <x:v>ADMIN-0474</x:v>
      </x:c>
      <x:c r="C475" s="10" t="str">
        <x:v>主播管理</x:v>
      </x:c>
      <x:c r="D475" s="10" t="str">
        <x:v>直播场次（平台管理员）</x:v>
      </x:c>
      <x:c r="E475" s="10" t="str">
        <x:v>功能需求</x:v>
      </x:c>
      <x:c r="F475" s="10" t="str">
        <x:v>P2</x:v>
      </x:c>
      <x:c r="G475" s="9" t="str">
        <x:v>验证历史场次不可重开</x:v>
      </x:c>
      <x:c r="H475" s="9" t="str">
        <x:v>场次结束不可逆</x:v>
      </x:c>
      <x:c r="I475" s="9" t="str">
        <x:v>1. 平台管理员为本条执行者
2. 测试管理员已登录，具有本功能操作权限
3. S001 已结束</x:v>
      </x:c>
      <x:c r="J475" s="9" t="str">
        <x:v>1. 打开直播列表
2. 查看 S001</x:v>
      </x:c>
      <x:c r="K475" s="9" t="str">
        <x:v>不提供重新开启 S001 的操作</x:v>
      </x:c>
      <x:c r="L475" s="10" t="str"/>
      <x:c r="M475" s="10" t="str">
        <x:v>未测</x:v>
      </x:c>
      <x:c r="N475" s="10" t="str"/>
      <x:c r="O475" s="9" t="str">
        <x:v>1. 来源（当前证据）：liveshow-proto/MainBasis/统一需求文档.md；位置：第 2580 行；REQ-c9620f5ed80f、第 2583 行；REQ-01bfb061e40d、第 2584 行；REQ-5486bbbe8ae4、第 2574 行
2. 规则：BR-4222B2C3EC3161
3. 未动态验证
4. 示例账号、编号、金额与日期是本条测试数据；执行前按前置条件准备，未填写的产品决策不得自行假定。</x:v>
      </x:c>
    </x:row>
    <x:row r="476" ht="160" customHeight="1">
      <x:c r="A476" s="10" t="n">
        <x:v>475</x:v>
      </x:c>
      <x:c r="B476" s="10" t="str">
        <x:v>ADMIN-0475</x:v>
      </x:c>
      <x:c r="C476" s="10" t="str">
        <x:v>主播管理</x:v>
      </x:c>
      <x:c r="D476" s="10" t="str">
        <x:v>直播详情（平台管理员）</x:v>
      </x:c>
      <x:c r="E476" s="10" t="str">
        <x:v>功能需求</x:v>
      </x:c>
      <x:c r="F476" s="10" t="str">
        <x:v>P2</x:v>
      </x:c>
      <x:c r="G476" s="9" t="str">
        <x:v>验证结束场次没有即时处置入口</x:v>
      </x:c>
      <x:c r="H476" s="9" t="str">
        <x:v>结束态操作限制</x:v>
      </x:c>
      <x:c r="I476" s="9" t="str">
        <x:v>1. 平台管理员为本条执行者
2. 测试管理员已登录，具有本功能操作权限
3. S001 已结束</x:v>
      </x:c>
      <x:c r="J476" s="9" t="str">
        <x:v>1. 打开直播详情
2. 查看 S001</x:v>
      </x:c>
      <x:c r="K476" s="9" t="str">
        <x:v>S001 不提供即时警告或关播操作</x:v>
      </x:c>
      <x:c r="L476" s="10" t="str"/>
      <x:c r="M476" s="10" t="str">
        <x:v>未测</x:v>
      </x:c>
      <x:c r="N476" s="10" t="str"/>
      <x:c r="O476" s="9" t="str">
        <x:v>1. 来源（当前证据）：liveshow-proto/MainBasis/统一需求文档.md；位置：第 2594 行；REQ-9c78b55e8df6、第 2595 行；REQ-0f804538eb02、第 2596 行；REQ-d2dab6a4ea9a、第 2587 行
2. 规则：BR-DF4CC27F0A3DE7
3. 未动态验证
4. 示例账号、编号、金额与日期是本条测试数据；执行前按前置条件准备，未填写的产品决策不得自行假定。</x:v>
      </x:c>
    </x:row>
    <x:row r="477" ht="160" customHeight="1">
      <x:c r="A477" s="10" t="n">
        <x:v>476</x:v>
      </x:c>
      <x:c r="B477" s="10" t="str">
        <x:v>ADMIN-0476</x:v>
      </x:c>
      <x:c r="C477" s="10" t="str">
        <x:v>主播管理</x:v>
      </x:c>
      <x:c r="D477" s="10" t="str">
        <x:v>直播详情（平台管理员）</x:v>
      </x:c>
      <x:c r="E477" s="10" t="str">
        <x:v>功能需求</x:v>
      </x:c>
      <x:c r="F477" s="10" t="str">
        <x:v>P2</x:v>
      </x:c>
      <x:c r="G477" s="9" t="str">
        <x:v>验证历史场次不可重开</x:v>
      </x:c>
      <x:c r="H477" s="9" t="str">
        <x:v>场次结束不可逆</x:v>
      </x:c>
      <x:c r="I477" s="9" t="str">
        <x:v>1. 平台管理员为本条执行者
2. 测试管理员已登录，具有本功能操作权限
3. S001 已结束</x:v>
      </x:c>
      <x:c r="J477" s="9" t="str">
        <x:v>1. 打开直播详情
2. 查看 S001</x:v>
      </x:c>
      <x:c r="K477" s="9" t="str">
        <x:v>不提供重新开启 S001 的操作</x:v>
      </x:c>
      <x:c r="L477" s="10" t="str"/>
      <x:c r="M477" s="10" t="str">
        <x:v>未测</x:v>
      </x:c>
      <x:c r="N477" s="10" t="str"/>
      <x:c r="O477" s="9" t="str">
        <x:v>1. 来源（当前证据）：liveshow-proto/MainBasis/统一需求文档.md；位置：第 2594 行；REQ-9c78b55e8df6、第 2595 行；REQ-0f804538eb02、第 2596 行；REQ-d2dab6a4ea9a、第 2587 行
2. 规则：BR-FD68239FE8FBC8
3. 未动态验证
4. 示例账号、编号、金额与日期是本条测试数据；执行前按前置条件准备，未填写的产品决策不得自行假定。</x:v>
      </x:c>
    </x:row>
    <x:row r="478" ht="145" customHeight="1">
      <x:c r="A478" s="10" t="n">
        <x:v>477</x:v>
      </x:c>
      <x:c r="B478" s="10" t="str">
        <x:v>ADMIN-0477</x:v>
      </x:c>
      <x:c r="C478" s="10" t="str">
        <x:v>主播管理</x:v>
      </x:c>
      <x:c r="D478" s="10" t="str">
        <x:v>主播详情（平台管理员）</x:v>
      </x:c>
      <x:c r="E478" s="10" t="str">
        <x:v>功能需求</x:v>
      </x:c>
      <x:c r="F478" s="10" t="str">
        <x:v>P1</x:v>
      </x:c>
      <x:c r="G478" s="9" t="str">
        <x:v>验证解封账号不恢复已关闭的直播权限</x:v>
      </x:c>
      <x:c r="H478" s="9" t="str">
        <x:v>账号状态与直播权限独立</x:v>
      </x:c>
      <x:c r="I478" s="9" t="str">
        <x:v>1. 平台管理员为本条执行者
2. 测试管理员已登录，具有本功能操作权限
3. 主播甲账号封禁，平台直播权限在封禁前已关闭</x:v>
      </x:c>
      <x:c r="J478" s="9" t="str">
        <x:v>1. 打开主播甲详情
2. 点击解封
3. 填写原因“测试解封”
4. 点击确认
5. 查看直播权限</x:v>
      </x:c>
      <x:c r="K478" s="9" t="str">
        <x:v>直播权限仍为关闭</x:v>
      </x:c>
      <x:c r="L478" s="10" t="str"/>
      <x:c r="M478" s="10" t="str">
        <x:v>未测</x:v>
      </x:c>
      <x:c r="N478" s="10" t="str"/>
      <x:c r="O478" s="9" t="str">
        <x:v>1. 来源（当前证据）：liveshow-proto/MainBasis/统一需求文档.md；位置：第 2544 行；REQ-0d2ec2b17807、第 2547 行；REQ-010f9be072e9、第 2540 行
2. 规则：BR-F7B6A83184664D
3. 未动态验证
4. 示例账号、编号、金额与日期是本条测试数据；执行前按前置条件准备，未填写的产品决策不得自行假定。</x:v>
      </x:c>
    </x:row>
    <x:row r="479" ht="130" customHeight="1">
      <x:c r="A479" s="10" t="n">
        <x:v>478</x:v>
      </x:c>
      <x:c r="B479" s="10" t="str">
        <x:v>ADMIN-0478</x:v>
      </x:c>
      <x:c r="C479" s="10" t="str">
        <x:v>用户管理</x:v>
      </x:c>
      <x:c r="D479" s="10" t="str">
        <x:v>用户详情（平台管理员）</x:v>
      </x:c>
      <x:c r="E479" s="10" t="str">
        <x:v>功能需求</x:v>
      </x:c>
      <x:c r="F479" s="10" t="str">
        <x:v>P1</x:v>
      </x:c>
      <x:c r="G479" s="9" t="str">
        <x:v>验证解封账号不恢复已关闭的直播权限</x:v>
      </x:c>
      <x:c r="H479" s="9" t="str">
        <x:v>账号状态与直播权限独立</x:v>
      </x:c>
      <x:c r="I479" s="9" t="str">
        <x:v>1. 平台管理员为本条执行者
2. 测试管理员已登录，具有本功能操作权限
3. 主播甲账号封禁，平台直播权限在封禁前已关闭</x:v>
      </x:c>
      <x:c r="J479" s="9" t="str">
        <x:v>1. 打开主播甲详情
2. 点击解封
3. 填写原因“测试解封”
4. 点击确认
5. 查看直播权限</x:v>
      </x:c>
      <x:c r="K479" s="9" t="str">
        <x:v>直播权限仍为关闭</x:v>
      </x:c>
      <x:c r="L479" s="10" t="str"/>
      <x:c r="M479" s="10" t="str">
        <x:v>未测</x:v>
      </x:c>
      <x:c r="N479" s="10" t="str"/>
      <x:c r="O479" s="9" t="str">
        <x:v>1. 来源（当前证据）：liveshow-proto/MainBasis/统一需求文档.md；位置：第 2523 行；REQ-9cc42d630910、第 2514 行
2. 规则：BR-AE040D73D9F44C
3. 未动态验证
4. 示例账号、编号、金额与日期是本条测试数据；执行前按前置条件准备，未填写的产品决策不得自行假定。</x:v>
      </x:c>
    </x:row>
    <x:row r="480" ht="160" customHeight="1">
      <x:c r="A480" s="10" t="n">
        <x:v>479</x:v>
      </x:c>
      <x:c r="B480" s="10" t="str">
        <x:v>ADMIN-0479</x:v>
      </x:c>
      <x:c r="C480" s="10" t="str">
        <x:v>主播管理</x:v>
      </x:c>
      <x:c r="D480" s="10" t="str">
        <x:v>巡房排班（平台管理员）</x:v>
      </x:c>
      <x:c r="E480" s="10" t="str">
        <x:v>功能需求</x:v>
      </x:c>
      <x:c r="F480" s="10" t="str">
        <x:v>P2</x:v>
      </x:c>
      <x:c r="G480" s="9" t="str">
        <x:v>验证排班在09:59的状态</x:v>
      </x:c>
      <x:c r="H480" s="9" t="str">
        <x:v>排班时间状态</x:v>
      </x:c>
      <x:c r="I480" s="9" t="str">
        <x:v>1. 平台管理员为本条执行者
2. 测试管理员有巡房排班权限；排班 IN001 时段为测试日 D 的10:00至11:00
3. IN001 已启用；当前时间为 D 日09:59</x:v>
      </x:c>
      <x:c r="J480" s="9" t="str">
        <x:v>1. 打开巡房排班
2. 查看 IN001</x:v>
      </x:c>
      <x:c r="K480" s="9" t="str">
        <x:v>IN001 显示待生效</x:v>
      </x:c>
      <x:c r="L480" s="10" t="str"/>
      <x:c r="M480" s="10" t="str">
        <x:v>未测</x:v>
      </x:c>
      <x:c r="N480" s="10" t="str"/>
      <x:c r="O480" s="9" t="str">
        <x:v>1. 来源（当前证据）：liveshow-proto/MainBasis/统一需求文档.md；位置：第 2602 行；REQ-c78884f0810d、第 2604 行；REQ-6de4b78ca972、第 2608 行；REQ-b45ed8c90d87、第 2599 行
2. 规则：BR-459FC0BCCAA32B
3. 未动态验证
4. 示例账号、编号、金额与日期是本条测试数据；执行前按前置条件准备，未填写的产品决策不得自行假定。</x:v>
      </x:c>
    </x:row>
    <x:row r="481" ht="160" customHeight="1">
      <x:c r="A481" s="10" t="n">
        <x:v>480</x:v>
      </x:c>
      <x:c r="B481" s="10" t="str">
        <x:v>ADMIN-0480</x:v>
      </x:c>
      <x:c r="C481" s="10" t="str">
        <x:v>主播管理</x:v>
      </x:c>
      <x:c r="D481" s="10" t="str">
        <x:v>巡房排班（平台管理员）</x:v>
      </x:c>
      <x:c r="E481" s="10" t="str">
        <x:v>功能需求</x:v>
      </x:c>
      <x:c r="F481" s="10" t="str">
        <x:v>P2</x:v>
      </x:c>
      <x:c r="G481" s="9" t="str">
        <x:v>验证排班在10:01的状态</x:v>
      </x:c>
      <x:c r="H481" s="9" t="str">
        <x:v>排班时间状态</x:v>
      </x:c>
      <x:c r="I481" s="9" t="str">
        <x:v>1. 平台管理员为本条执行者
2. 测试管理员有巡房排班权限；排班 IN001 时段为测试日 D 的10:00至11:00
3. IN001 已启用；当前时间为 D 日10:01</x:v>
      </x:c>
      <x:c r="J481" s="9" t="str">
        <x:v>1. 打开巡房排班
2. 查看 IN001</x:v>
      </x:c>
      <x:c r="K481" s="9" t="str">
        <x:v>IN001 显示生效中</x:v>
      </x:c>
      <x:c r="L481" s="10" t="str"/>
      <x:c r="M481" s="10" t="str">
        <x:v>未测</x:v>
      </x:c>
      <x:c r="N481" s="10" t="str"/>
      <x:c r="O481" s="9" t="str">
        <x:v>1. 来源（当前证据）：liveshow-proto/MainBasis/统一需求文档.md；位置：第 2602 行；REQ-c78884f0810d、第 2604 行；REQ-6de4b78ca972、第 2608 行；REQ-b45ed8c90d87、第 2599 行
2. 规则：BR-3AB16111F94F55
3. 未动态验证
4. 示例账号、编号、金额与日期是本条测试数据；执行前按前置条件准备，未填写的产品决策不得自行假定。</x:v>
      </x:c>
    </x:row>
    <x:row r="482" ht="160" customHeight="1">
      <x:c r="A482" s="10" t="n">
        <x:v>481</x:v>
      </x:c>
      <x:c r="B482" s="10" t="str">
        <x:v>ADMIN-0481</x:v>
      </x:c>
      <x:c r="C482" s="10" t="str">
        <x:v>主播管理</x:v>
      </x:c>
      <x:c r="D482" s="10" t="str">
        <x:v>巡房排班（平台管理员）</x:v>
      </x:c>
      <x:c r="E482" s="10" t="str">
        <x:v>功能需求</x:v>
      </x:c>
      <x:c r="F482" s="10" t="str">
        <x:v>P2</x:v>
      </x:c>
      <x:c r="G482" s="9" t="str">
        <x:v>验证排班在11:01的状态</x:v>
      </x:c>
      <x:c r="H482" s="9" t="str">
        <x:v>排班时间状态</x:v>
      </x:c>
      <x:c r="I482" s="9" t="str">
        <x:v>1. 平台管理员为本条执行者
2. 测试管理员有巡房排班权限；排班 IN001 时段为测试日 D 的10:00至11:00
3. IN001 已启用；当前时间为 D 日11:01</x:v>
      </x:c>
      <x:c r="J482" s="9" t="str">
        <x:v>1. 打开巡房排班
2. 查看 IN001</x:v>
      </x:c>
      <x:c r="K482" s="9" t="str">
        <x:v>IN001 显示已结束</x:v>
      </x:c>
      <x:c r="L482" s="10" t="str"/>
      <x:c r="M482" s="10" t="str">
        <x:v>未测</x:v>
      </x:c>
      <x:c r="N482" s="10" t="str"/>
      <x:c r="O482" s="9" t="str">
        <x:v>1. 来源（当前证据）：liveshow-proto/MainBasis/统一需求文档.md；位置：第 2602 行；REQ-c78884f0810d、第 2604 行；REQ-6de4b78ca972、第 2608 行；REQ-b45ed8c90d87、第 2599 行
2. 规则：BR-6A7817CBAD5EC1
3. 未动态验证
4. 示例账号、编号、金额与日期是本条测试数据；执行前按前置条件准备，未填写的产品决策不得自行假定。</x:v>
      </x:c>
    </x:row>
    <x:row r="483" ht="145" customHeight="1">
      <x:c r="A483" s="10" t="n">
        <x:v>482</x:v>
      </x:c>
      <x:c r="B483" s="10" t="str">
        <x:v>ADMIN-0482</x:v>
      </x:c>
      <x:c r="C483" s="10" t="str">
        <x:v>主播管理</x:v>
      </x:c>
      <x:c r="D483" s="10" t="str">
        <x:v>巡房排班（平台管理员）</x:v>
      </x:c>
      <x:c r="E483" s="10" t="str">
        <x:v>功能需求</x:v>
      </x:c>
      <x:c r="F483" s="10" t="str">
        <x:v>P2</x:v>
      </x:c>
      <x:c r="G483" s="9" t="str">
        <x:v>验证停用排班不再赋予巡房身份</x:v>
      </x:c>
      <x:c r="H483" s="9" t="str">
        <x:v>停用排班</x:v>
      </x:c>
      <x:c r="I483" s="9" t="str">
        <x:v>1. 平台管理员为本条执行者
2. 测试管理员有巡房排班权限；排班 IN001 时段为测试日 D 的10:00至11:00
3. IN001 当前有效</x:v>
      </x:c>
      <x:c r="J483" s="9" t="str">
        <x:v>1. 打开巡房排班
2. 点击停用 IN001
3. 点击确认
4. 查看 IN001</x:v>
      </x:c>
      <x:c r="K483" s="9" t="str">
        <x:v>IN001 显示已停用</x:v>
      </x:c>
      <x:c r="L483" s="10" t="str"/>
      <x:c r="M483" s="10" t="str">
        <x:v>未测</x:v>
      </x:c>
      <x:c r="N483" s="10" t="str"/>
      <x:c r="O483" s="9" t="str">
        <x:v>1. 来源（当前证据）：liveshow-proto/MainBasis/统一需求文档.md；位置：第 2604 行；REQ-6de4b78ca972、第 2608 行；REQ-b45ed8c90d87、第 2599 行
2. 规则：BR-28A50D0A404858
3. 未动态验证
4. 示例账号、编号、金额与日期是本条测试数据；执行前按前置条件准备，未填写的产品决策不得自行假定。</x:v>
      </x:c>
    </x:row>
    <x:row r="484" ht="130" customHeight="1">
      <x:c r="A484" s="10" t="n">
        <x:v>483</x:v>
      </x:c>
      <x:c r="B484" s="10" t="str">
        <x:v>ADMIN-0483</x:v>
      </x:c>
      <x:c r="C484" s="10" t="str">
        <x:v>主播管理</x:v>
      </x:c>
      <x:c r="D484" s="10" t="str">
        <x:v>排班详情（平台管理员）</x:v>
      </x:c>
      <x:c r="E484" s="10" t="str">
        <x:v>异常用例</x:v>
      </x:c>
      <x:c r="F484" s="10" t="str">
        <x:v>P1</x:v>
      </x:c>
      <x:c r="G484" s="9" t="str">
        <x:v>验证巡房账号封禁后保留历史名单</x:v>
      </x:c>
      <x:c r="H484" s="9" t="str">
        <x:v>排班历史名单保留</x:v>
      </x:c>
      <x:c r="I484" s="9" t="str">
        <x:v>1. 平台管理员为本条执行者
2. 测试管理员已登录，具有本功能操作权限
3. IN001 名单原有用户甲，用户甲随后被封禁</x:v>
      </x:c>
      <x:c r="J484" s="9" t="str">
        <x:v>1. 打开 IN001 排班详情
2. 查看巡房人员</x:v>
      </x:c>
      <x:c r="K484" s="9" t="str">
        <x:v>名单仍包含用户甲</x:v>
      </x:c>
      <x:c r="L484" s="10" t="str"/>
      <x:c r="M484" s="10" t="str">
        <x:v>未测</x:v>
      </x:c>
      <x:c r="N484" s="10" t="str"/>
      <x:c r="O484" s="9" t="str">
        <x:v>1. 来源（当前证据）：liveshow-proto/MainBasis/统一需求文档.md；位置：第 2624 行；REQ-ad9d0491ab56、第 2620 行
2. 规则：BR-95DEE36752EDEC
3. 未动态验证
4. 示例账号、编号、金额与日期是本条测试数据；执行前按前置条件准备，未填写的产品决策不得自行假定。</x:v>
      </x:c>
    </x:row>
    <x:row r="485" ht="130" customHeight="1">
      <x:c r="A485" s="10" t="n">
        <x:v>484</x:v>
      </x:c>
      <x:c r="B485" s="10" t="str">
        <x:v>ADMIN-0484</x:v>
      </x:c>
      <x:c r="C485" s="10" t="str">
        <x:v>主播管理</x:v>
      </x:c>
      <x:c r="D485" s="10" t="str">
        <x:v>新建排班（平台管理员）</x:v>
      </x:c>
      <x:c r="E485" s="10" t="str">
        <x:v>功能需求</x:v>
      </x:c>
      <x:c r="F485" s="10" t="str">
        <x:v>P2</x:v>
      </x:c>
      <x:c r="G485" s="9" t="str">
        <x:v>验证巡房人员全选只作用当前查询结果</x:v>
      </x:c>
      <x:c r="H485" s="9" t="str">
        <x:v>巡房人员全选范围</x:v>
      </x:c>
      <x:c r="I485" s="9" t="str">
        <x:v>1. 平台管理员为本条执行者
2. 测试管理员已登录，具有本功能操作权限
3. 可选用户甲、乙、丙；按昵称关键字筛选结果仅包含甲、乙</x:v>
      </x:c>
      <x:c r="J485" s="9" t="str">
        <x:v>1. 打开新建巡房排班
2. 点击添加巡房人员
3. 输入筛选关键字
4. 点击查询
5. 点击全选</x:v>
      </x:c>
      <x:c r="K485" s="9" t="str">
        <x:v>仅甲、乙处于选中状态</x:v>
      </x:c>
      <x:c r="L485" s="10" t="str"/>
      <x:c r="M485" s="10" t="str">
        <x:v>未测</x:v>
      </x:c>
      <x:c r="N485" s="10" t="str"/>
      <x:c r="O485" s="9" t="str">
        <x:v>1. 来源（当前证据）：liveshow-proto/MainBasis/统一需求文档.md；位置：第 2617 行；REQ-c016431241a6、第 2611 行
2. 规则：BR-FBA02F0F6C8CFB
3. 未动态验证
4. 示例账号、编号、金额与日期是本条测试数据；执行前按前置条件准备，未填写的产品决策不得自行假定。</x:v>
      </x:c>
    </x:row>
    <x:row r="486" ht="130" customHeight="1">
      <x:c r="A486" s="10" t="n">
        <x:v>485</x:v>
      </x:c>
      <x:c r="B486" s="10" t="str">
        <x:v>ADMIN-0485</x:v>
      </x:c>
      <x:c r="C486" s="10" t="str">
        <x:v>内容审核</x:v>
      </x:c>
      <x:c r="D486" s="10" t="str">
        <x:v>内容审核详情（审核管理员）</x:v>
      </x:c>
      <x:c r="E486" s="10" t="str">
        <x:v>功能需求</x:v>
      </x:c>
      <x:c r="F486" s="10" t="str">
        <x:v>P1</x:v>
      </x:c>
      <x:c r="G486" s="9" t="str">
        <x:v>验证已忽略告警不可重复处理</x:v>
      </x:c>
      <x:c r="H486" s="9" t="str">
        <x:v>告警终态只读</x:v>
      </x:c>
      <x:c r="I486" s="9" t="str">
        <x:v>1. 审核管理员为本条执行者
2. 测试管理员已登录，具有本功能操作权限
3. AU001 当前已忽略</x:v>
      </x:c>
      <x:c r="J486" s="9" t="str">
        <x:v>1. 打开 AU001 详情</x:v>
      </x:c>
      <x:c r="K486" s="9" t="str">
        <x:v>不提供再次提交处置的操作</x:v>
      </x:c>
      <x:c r="L486" s="10" t="str"/>
      <x:c r="M486" s="10" t="str">
        <x:v>未测</x:v>
      </x:c>
      <x:c r="N486" s="10" t="str"/>
      <x:c r="O486" s="9" t="str">
        <x:v>1. 来源（当前证据）：liveshow-proto/MainBasis/统一需求文档.md；位置：第 2645 行；REQ-973c254c9cab、第 2639 行
2. 规则：BR-4DE171E6E76BD4
3. 未动态验证
4. 示例账号、编号、金额与日期是本条测试数据；执行前按前置条件准备，未填写的产品决策不得自行假定。</x:v>
      </x:c>
    </x:row>
    <x:row r="487" ht="130" customHeight="1">
      <x:c r="A487" s="10" t="n">
        <x:v>486</x:v>
      </x:c>
      <x:c r="B487" s="10" t="str">
        <x:v>ADMIN-0486</x:v>
      </x:c>
      <x:c r="C487" s="10" t="str">
        <x:v>内容审核</x:v>
      </x:c>
      <x:c r="D487" s="10" t="str">
        <x:v>内容审核详情（审核管理员）</x:v>
      </x:c>
      <x:c r="E487" s="10" t="str">
        <x:v>功能需求</x:v>
      </x:c>
      <x:c r="F487" s="10" t="str">
        <x:v>P1</x:v>
      </x:c>
      <x:c r="G487" s="9" t="str">
        <x:v>验证已处置告警不可重复处理</x:v>
      </x:c>
      <x:c r="H487" s="9" t="str">
        <x:v>告警终态只读</x:v>
      </x:c>
      <x:c r="I487" s="9" t="str">
        <x:v>1. 审核管理员为本条执行者
2. 测试管理员已登录，具有本功能操作权限
3. AU001 当前已处置</x:v>
      </x:c>
      <x:c r="J487" s="9" t="str">
        <x:v>1. 打开 AU001 详情</x:v>
      </x:c>
      <x:c r="K487" s="9" t="str">
        <x:v>不提供再次提交处置的操作</x:v>
      </x:c>
      <x:c r="L487" s="10" t="str"/>
      <x:c r="M487" s="10" t="str">
        <x:v>未测</x:v>
      </x:c>
      <x:c r="N487" s="10" t="str"/>
      <x:c r="O487" s="9" t="str">
        <x:v>1. 来源（当前证据）：liveshow-proto/MainBasis/统一需求文档.md；位置：第 2645 行；REQ-973c254c9cab、第 2639 行
2. 规则：BR-A050117934E954
3. 未动态验证
4. 示例账号、编号、金额与日期是本条测试数据；执行前按前置条件准备，未填写的产品决策不得自行假定。</x:v>
      </x:c>
    </x:row>
    <x:row r="488" ht="145" customHeight="1">
      <x:c r="A488" s="10" t="n">
        <x:v>487</x:v>
      </x:c>
      <x:c r="B488" s="10" t="str">
        <x:v>ADMIN-0487</x:v>
      </x:c>
      <x:c r="C488" s="10" t="str">
        <x:v>内容审核</x:v>
      </x:c>
      <x:c r="D488" s="10" t="str">
        <x:v>内容审核详情（审核管理员）</x:v>
      </x:c>
      <x:c r="E488" s="10" t="str">
        <x:v>功能需求</x:v>
      </x:c>
      <x:c r="F488" s="10" t="str">
        <x:v>P1</x:v>
      </x:c>
      <x:c r="G488" s="9" t="str">
        <x:v>验证人工复审中可以继续处理</x:v>
      </x:c>
      <x:c r="H488" s="9" t="str">
        <x:v>复审中继续处理</x:v>
      </x:c>
      <x:c r="I488" s="9" t="str">
        <x:v>1. 审核管理员为本条执行者
2. 测试管理员已登录，具有本功能操作权限
3. AU001 当前复审中；确认其为误报</x:v>
      </x:c>
      <x:c r="J488" s="9" t="str">
        <x:v>1. 打开 AU001 详情
2. 选择忽略
3. 填写处置原因“误报测试”
4. 点击提交</x:v>
      </x:c>
      <x:c r="K488" s="9" t="str">
        <x:v>AU001 显示已忽略</x:v>
      </x:c>
      <x:c r="L488" s="10" t="str"/>
      <x:c r="M488" s="10" t="str">
        <x:v>未测</x:v>
      </x:c>
      <x:c r="N488" s="10" t="str"/>
      <x:c r="O488" s="9" t="str">
        <x:v>1. 来源（当前证据）：liveshow-proto/MainBasis/统一需求文档.md；位置：第 2643 行；REQ-2c663e157c36、第 2645 行；REQ-973c254c9cab、第 2639 行
2. 规则：BR-E3706E94F11192
3. 未动态验证
4. 示例账号、编号、金额与日期是本条测试数据；执行前按前置条件准备，未填写的产品决策不得自行假定。</x:v>
      </x:c>
    </x:row>
    <x:row r="489" ht="145" customHeight="1">
      <x:c r="A489" s="10" t="n">
        <x:v>488</x:v>
      </x:c>
      <x:c r="B489" s="10" t="str">
        <x:v>ADMIN-0488</x:v>
      </x:c>
      <x:c r="C489" s="10" t="str">
        <x:v>内容审核</x:v>
      </x:c>
      <x:c r="D489" s="10" t="str">
        <x:v>举报详情（审核管理员）</x:v>
      </x:c>
      <x:c r="E489" s="10" t="str">
        <x:v>功能需求</x:v>
      </x:c>
      <x:c r="F489" s="10" t="str">
        <x:v>P1</x:v>
      </x:c>
      <x:c r="G489" s="9" t="str">
        <x:v>验证已处理举报单只读</x:v>
      </x:c>
      <x:c r="H489" s="9" t="str">
        <x:v>举报终态不能重复处置</x:v>
      </x:c>
      <x:c r="I489" s="9" t="str">
        <x:v>1. 审核管理员为本条执行者
2. 测试管理员已登录，具有本功能操作权限
3. RP001 当前已处理</x:v>
      </x:c>
      <x:c r="J489" s="9" t="str">
        <x:v>1. 打开 RP001 详情</x:v>
      </x:c>
      <x:c r="K489" s="9" t="str">
        <x:v>不提供再次提交处置的操作</x:v>
      </x:c>
      <x:c r="L489" s="10" t="str"/>
      <x:c r="M489" s="10" t="str">
        <x:v>未测</x:v>
      </x:c>
      <x:c r="N489" s="10" t="str"/>
      <x:c r="O489" s="9" t="str">
        <x:v>1. 来源（当前证据）：liveshow-proto/MainBasis/统一需求文档.md；位置：第 2679 行；REQ-839dd56e82e3、第 2680 行；REQ-741630d0f3d0、第 2671 行
2. 规则：BR-A0F2F1C5D62710
3. 未动态验证
4. 示例账号、编号、金额与日期是本条测试数据；执行前按前置条件准备，未填写的产品决策不得自行假定。</x:v>
      </x:c>
    </x:row>
    <x:row r="490" ht="145" customHeight="1">
      <x:c r="A490" s="10" t="n">
        <x:v>489</x:v>
      </x:c>
      <x:c r="B490" s="10" t="str">
        <x:v>ADMIN-0489</x:v>
      </x:c>
      <x:c r="C490" s="10" t="str">
        <x:v>内容审核</x:v>
      </x:c>
      <x:c r="D490" s="10" t="str">
        <x:v>举报详情（审核管理员）</x:v>
      </x:c>
      <x:c r="E490" s="10" t="str">
        <x:v>功能需求</x:v>
      </x:c>
      <x:c r="F490" s="10" t="str">
        <x:v>P1</x:v>
      </x:c>
      <x:c r="G490" s="9" t="str">
        <x:v>验证已作废举报单只读</x:v>
      </x:c>
      <x:c r="H490" s="9" t="str">
        <x:v>举报终态不能重复处置</x:v>
      </x:c>
      <x:c r="I490" s="9" t="str">
        <x:v>1. 审核管理员为本条执行者
2. 测试管理员已登录，具有本功能操作权限
3. RP001 当前已作废</x:v>
      </x:c>
      <x:c r="J490" s="9" t="str">
        <x:v>1. 打开 RP001 详情</x:v>
      </x:c>
      <x:c r="K490" s="9" t="str">
        <x:v>不提供再次提交处置的操作</x:v>
      </x:c>
      <x:c r="L490" s="10" t="str"/>
      <x:c r="M490" s="10" t="str">
        <x:v>未测</x:v>
      </x:c>
      <x:c r="N490" s="10" t="str"/>
      <x:c r="O490" s="9" t="str">
        <x:v>1. 来源（当前证据）：liveshow-proto/MainBasis/统一需求文档.md；位置：第 2679 行；REQ-839dd56e82e3、第 2680 行；REQ-741630d0f3d0、第 2671 行
2. 规则：BR-A68B090A8C22E5
3. 未动态验证
4. 示例账号、编号、金额与日期是本条测试数据；执行前按前置条件准备，未填写的产品决策不得自行假定。</x:v>
      </x:c>
    </x:row>
    <x:row r="491" ht="130" customHeight="1">
      <x:c r="A491" s="10" t="n">
        <x:v>490</x:v>
      </x:c>
      <x:c r="B491" s="10" t="str">
        <x:v>ADMIN-0490</x:v>
      </x:c>
      <x:c r="C491" s="10" t="str">
        <x:v>公会管理</x:v>
      </x:c>
      <x:c r="D491" s="10" t="str">
        <x:v>公会详情（平台管理员）</x:v>
      </x:c>
      <x:c r="E491" s="10" t="str">
        <x:v>功能需求</x:v>
      </x:c>
      <x:c r="F491" s="10" t="str">
        <x:v>P2</x:v>
      </x:c>
      <x:c r="G491" s="9" t="str">
        <x:v>验证公会收益未结清时解散</x:v>
      </x:c>
      <x:c r="H491" s="9" t="str">
        <x:v>解散结清门槛</x:v>
      </x:c>
      <x:c r="I491" s="9" t="str">
        <x:v>1. 平台管理员为本条执行者
2. 测试管理员已登录，具有本功能操作权限
3. 公会甲名下主播未结清收益合计10金币，其他解散条件满足</x:v>
      </x:c>
      <x:c r="J491" s="9" t="str">
        <x:v>1. 打开公会甲详情
2. 点击解散</x:v>
      </x:c>
      <x:c r="K491" s="9" t="str">
        <x:v>公会甲未被解散</x:v>
      </x:c>
      <x:c r="L491" s="10" t="str"/>
      <x:c r="M491" s="10" t="str">
        <x:v>未测</x:v>
      </x:c>
      <x:c r="N491" s="10" t="str"/>
      <x:c r="O491" s="9" t="str">
        <x:v>1. 来源（当前证据）：liveshow-proto/MainBasis/统一需求文档.md；位置：第 2728 行；REQ-0463379c3d50、第 2716 行
2. 规则：BR-4B50102DAE58A5
3. 未动态验证
4. 示例账号、编号、金额与日期是本条测试数据；执行前按前置条件准备，未填写的产品决策不得自行假定。</x:v>
      </x:c>
    </x:row>
    <x:row r="492" ht="130" customHeight="1">
      <x:c r="A492" s="10" t="n">
        <x:v>491</x:v>
      </x:c>
      <x:c r="B492" s="10" t="str">
        <x:v>ADMIN-0491</x:v>
      </x:c>
      <x:c r="C492" s="10" t="str">
        <x:v>公会管理</x:v>
      </x:c>
      <x:c r="D492" s="10" t="str">
        <x:v>公会详情（平台管理员）</x:v>
      </x:c>
      <x:c r="E492" s="10" t="str">
        <x:v>功能需求</x:v>
      </x:c>
      <x:c r="F492" s="10" t="str">
        <x:v>P2</x:v>
      </x:c>
      <x:c r="G492" s="9" t="str">
        <x:v>验证公会收益已结清时解散</x:v>
      </x:c>
      <x:c r="H492" s="9" t="str">
        <x:v>解散结清门槛</x:v>
      </x:c>
      <x:c r="I492" s="9" t="str">
        <x:v>1. 平台管理员为本条执行者
2. 测试管理员已登录，具有本功能操作权限
3. 公会甲名下主播未结清收益合计0金币，其他解散条件满足</x:v>
      </x:c>
      <x:c r="J492" s="9" t="str">
        <x:v>1. 打开公会甲详情
2. 点击解散
3. 点击确认</x:v>
      </x:c>
      <x:c r="K492" s="9" t="str">
        <x:v>公会甲已解散</x:v>
      </x:c>
      <x:c r="L492" s="10" t="str"/>
      <x:c r="M492" s="10" t="str">
        <x:v>未测</x:v>
      </x:c>
      <x:c r="N492" s="10" t="str"/>
      <x:c r="O492" s="9" t="str">
        <x:v>1. 来源（当前证据）：liveshow-proto/MainBasis/统一需求文档.md；位置：第 2728 行；REQ-0463379c3d50、第 2716 行
2. 规则：BR-6F50B98EB5699E
3. 未动态验证
4. 示例账号、编号、金额与日期是本条测试数据；执行前按前置条件准备，未填写的产品决策不得自行假定。</x:v>
      </x:c>
    </x:row>
    <x:row r="493" ht="130" customHeight="1">
      <x:c r="A493" s="10" t="n">
        <x:v>492</x:v>
      </x:c>
      <x:c r="B493" s="10" t="str">
        <x:v>ADMIN-0492</x:v>
      </x:c>
      <x:c r="C493" s="10" t="str">
        <x:v>公会管理</x:v>
      </x:c>
      <x:c r="D493" s="10" t="str">
        <x:v>公会详情（平台管理员）</x:v>
      </x:c>
      <x:c r="E493" s="10" t="str">
        <x:v>功能需求</x:v>
      </x:c>
      <x:c r="F493" s="10" t="str">
        <x:v>P2</x:v>
      </x:c>
      <x:c r="G493" s="9" t="str">
        <x:v>验证取消解散公会</x:v>
      </x:c>
      <x:c r="H493" s="9" t="str">
        <x:v>解散二次确认取消</x:v>
      </x:c>
      <x:c r="I493" s="9" t="str">
        <x:v>1. 平台管理员为本条执行者
2. 测试管理员已登录，具有本功能操作权限
3. 公会甲满足解散条件，未结清收益为0</x:v>
      </x:c>
      <x:c r="J493" s="9" t="str">
        <x:v>1. 打开公会甲详情
2. 点击解散
3. 点击取消</x:v>
      </x:c>
      <x:c r="K493" s="9" t="str">
        <x:v>公会甲仍未解散</x:v>
      </x:c>
      <x:c r="L493" s="10" t="str"/>
      <x:c r="M493" s="10" t="str">
        <x:v>未测</x:v>
      </x:c>
      <x:c r="N493" s="10" t="str"/>
      <x:c r="O493" s="9" t="str">
        <x:v>1. 来源（当前证据）：liveshow-proto/MainBasis/统一需求文档.md；位置：第 2728 行；REQ-0463379c3d50、第 2716 行
2. 规则：BR-0448C8F8D5C57B
3. 未动态验证
4. 示例账号、编号、金额与日期是本条测试数据；执行前按前置条件准备，未填写的产品决策不得自行假定。</x:v>
      </x:c>
    </x:row>
    <x:row r="494" ht="130" customHeight="1">
      <x:c r="A494" s="10" t="n">
        <x:v>493</x:v>
      </x:c>
      <x:c r="B494" s="10" t="str">
        <x:v>ADMIN-0493</x:v>
      </x:c>
      <x:c r="C494" s="10" t="str">
        <x:v>公会管理</x:v>
      </x:c>
      <x:c r="D494" s="10" t="str">
        <x:v>公会详情（平台管理员）</x:v>
      </x:c>
      <x:c r="E494" s="10" t="str">
        <x:v>功能需求</x:v>
      </x:c>
      <x:c r="F494" s="10" t="str">
        <x:v>P2</x:v>
      </x:c>
      <x:c r="G494" s="9" t="str">
        <x:v>验证重置密码保留公会管理账号</x:v>
      </x:c>
      <x:c r="H494" s="9" t="str">
        <x:v>重置密码不更换账号</x:v>
      </x:c>
      <x:c r="I494" s="9" t="str">
        <x:v>1. 平台管理员为本条执行者
2. 测试管理员已登录，具有本功能操作权限
3. 公会长原登录账号为guild_qa01</x:v>
      </x:c>
      <x:c r="J494" s="9" t="str">
        <x:v>1. 打开公会甲详情
2. 点击重置密码
3. 输入新的测试密码NewPass#2026
4. 确认重置
5. 查看管理账号</x:v>
      </x:c>
      <x:c r="K494" s="9" t="str">
        <x:v>登录账号仍为guild_qa01</x:v>
      </x:c>
      <x:c r="L494" s="10" t="str"/>
      <x:c r="M494" s="10" t="str">
        <x:v>未测</x:v>
      </x:c>
      <x:c r="N494" s="10" t="str"/>
      <x:c r="O494" s="9" t="str">
        <x:v>1. 来源（当前证据）：liveshow-proto/MainBasis/统一需求文档.md；位置：第 2728 行；REQ-0463379c3d50、第 2716 行
2. 规则：BR-90D138EEFFEF5A
3. 未动态验证
4. 示例账号、编号、金额与日期是本条测试数据；执行前按前置条件准备，未填写的产品决策不得自行假定。</x:v>
      </x:c>
    </x:row>
    <x:row r="495" ht="130" customHeight="1">
      <x:c r="A495" s="10" t="n">
        <x:v>494</x:v>
      </x:c>
      <x:c r="B495" s="10" t="str">
        <x:v>ADMIN-0494</x:v>
      </x:c>
      <x:c r="C495" s="10" t="str">
        <x:v>公会管理</x:v>
      </x:c>
      <x:c r="D495" s="10" t="str">
        <x:v>公会列表（平台管理员）</x:v>
      </x:c>
      <x:c r="E495" s="10" t="str">
        <x:v>功能需求</x:v>
      </x:c>
      <x:c r="F495" s="10" t="str">
        <x:v>P2</x:v>
      </x:c>
      <x:c r="G495" s="9" t="str">
        <x:v>验证只停用公会长账号不改变公会状态</x:v>
      </x:c>
      <x:c r="H495" s="9" t="str">
        <x:v>公会长停用的公会状态</x:v>
      </x:c>
      <x:c r="I495" s="9" t="str">
        <x:v>1. 平台管理员为本条执行者
2. 测试管理员已登录，具有本功能操作权限
3. 公会甲启用，公会长甲账号启用</x:v>
      </x:c>
      <x:c r="J495" s="9" t="str">
        <x:v>1. 打开公会甲详情
2. 关闭公会长账号状态
3. 点击确认
4. 返回公会列表</x:v>
      </x:c>
      <x:c r="K495" s="9" t="str">
        <x:v>公会甲仍显示启用</x:v>
      </x:c>
      <x:c r="L495" s="10" t="str"/>
      <x:c r="M495" s="10" t="str">
        <x:v>未测</x:v>
      </x:c>
      <x:c r="N495" s="10" t="str"/>
      <x:c r="O495" s="9" t="str">
        <x:v>1. 来源（当前证据）：liveshow-proto/MainBasis/统一需求文档.md；位置：第 2711 行；REQ-7f64ff578699、第 2704 行
2. 规则：BR-9F023ADFBB6D50
3. 未动态验证
4. 示例账号、编号、金额与日期是本条测试数据；执行前按前置条件准备，未填写的产品决策不得自行假定。</x:v>
      </x:c>
    </x:row>
    <x:row r="496" ht="130" customHeight="1">
      <x:c r="A496" s="10" t="n">
        <x:v>495</x:v>
      </x:c>
      <x:c r="B496" s="10" t="str">
        <x:v>ADMIN-0495</x:v>
      </x:c>
      <x:c r="C496" s="10" t="str">
        <x:v>礼物与道具</x:v>
      </x:c>
      <x:c r="D496" s="10" t="str">
        <x:v>普通礼物（平台管理员）</x:v>
      </x:c>
      <x:c r="E496" s="10" t="str">
        <x:v>功能需求</x:v>
      </x:c>
      <x:c r="F496" s="10" t="str">
        <x:v>P2</x:v>
      </x:c>
      <x:c r="G496" s="9" t="str">
        <x:v>验证下架保留历史消费快照</x:v>
      </x:c>
      <x:c r="H496" s="9" t="str">
        <x:v>下架不改历史价格</x:v>
      </x:c>
      <x:c r="I496" s="9" t="str">
        <x:v>1. 平台管理员为本条执行者
2. 测试管理员已登录，具有本功能操作权限
3. 礼物甲已有成功赠送订单 E001，单价100，历史收益已生成</x:v>
      </x:c>
      <x:c r="J496" s="9" t="str">
        <x:v>1. 打开礼物甲配置
2. 点击下架礼物甲
3. 点击确认
4. 打开 E001 消费订单详情</x:v>
      </x:c>
      <x:c r="K496" s="9" t="str">
        <x:v>E001 单价仍为100金币</x:v>
      </x:c>
      <x:c r="L496" s="10" t="str"/>
      <x:c r="M496" s="10" t="str">
        <x:v>未测</x:v>
      </x:c>
      <x:c r="N496" s="10" t="str"/>
      <x:c r="O496" s="9" t="str">
        <x:v>1. 来源（当前证据）：liveshow-proto/MainBasis/统一需求文档.md；位置：第 2739 行；REQ-99419df45f58、第 2731 行
2. 规则：BR-07E4614EFBB7E1
3. 未动态验证
4. 示例账号、编号、金额与日期是本条测试数据；执行前按前置条件准备，未填写的产品决策不得自行假定。</x:v>
      </x:c>
    </x:row>
    <x:row r="497" ht="130" customHeight="1">
      <x:c r="A497" s="10" t="n">
        <x:v>496</x:v>
      </x:c>
      <x:c r="B497" s="10" t="str">
        <x:v>ADMIN-0496</x:v>
      </x:c>
      <x:c r="C497" s="10" t="str">
        <x:v>礼物与道具</x:v>
      </x:c>
      <x:c r="D497" s="10" t="str">
        <x:v>定制礼物（平台管理员）</x:v>
      </x:c>
      <x:c r="E497" s="10" t="str">
        <x:v>功能需求</x:v>
      </x:c>
      <x:c r="F497" s="10" t="str">
        <x:v>P2</x:v>
      </x:c>
      <x:c r="G497" s="9" t="str">
        <x:v>验证下架保留历史消费快照</x:v>
      </x:c>
      <x:c r="H497" s="9" t="str">
        <x:v>下架不改历史价格</x:v>
      </x:c>
      <x:c r="I497" s="9" t="str">
        <x:v>1. 平台管理员为本条执行者
2. 测试管理员已登录，具有本功能操作权限
3. 定制礼物甲已有成功赠送订单 E001，单价100，历史收益已生成</x:v>
      </x:c>
      <x:c r="J497" s="9" t="str">
        <x:v>1. 打开定制礼物甲配置
2. 点击下架定制礼物甲
3. 点击确认
4. 打开 E001 消费订单详情</x:v>
      </x:c>
      <x:c r="K497" s="9" t="str">
        <x:v>E001 单价仍为100金币</x:v>
      </x:c>
      <x:c r="L497" s="10" t="str"/>
      <x:c r="M497" s="10" t="str">
        <x:v>未测</x:v>
      </x:c>
      <x:c r="N497" s="10" t="str"/>
      <x:c r="O497" s="9" t="str">
        <x:v>1. 来源（当前证据）：liveshow-proto/MainBasis/统一需求文档.md；位置：第 2761 行；REQ-562867635933、第 2756 行
2. 规则：BR-FCB553EC0D88E3
3. 未动态验证
4. 示例账号、编号、金额与日期是本条测试数据；执行前按前置条件准备，未填写的产品决策不得自行假定。</x:v>
      </x:c>
    </x:row>
    <x:row r="498" ht="145" customHeight="1">
      <x:c r="A498" s="10" t="n">
        <x:v>497</x:v>
      </x:c>
      <x:c r="B498" s="10" t="str">
        <x:v>ADMIN-0497</x:v>
      </x:c>
      <x:c r="C498" s="10" t="str">
        <x:v>礼物与道具</x:v>
      </x:c>
      <x:c r="D498" s="10" t="str">
        <x:v>幸运礼物（平台管理员）</x:v>
      </x:c>
      <x:c r="E498" s="10" t="str">
        <x:v>功能需求</x:v>
      </x:c>
      <x:c r="F498" s="10" t="str">
        <x:v>P2</x:v>
      </x:c>
      <x:c r="G498" s="9" t="str">
        <x:v>验证下架保留历史消费快照</x:v>
      </x:c>
      <x:c r="H498" s="9" t="str">
        <x:v>下架不改历史价格</x:v>
      </x:c>
      <x:c r="I498" s="9" t="str">
        <x:v>1. 平台管理员为本条执行者
2. 测试管理员已登录，具有本功能操作权限
3. 幸运礼物甲已有成功赠送订单 E001，单价100，历史收益已生成</x:v>
      </x:c>
      <x:c r="J498" s="9" t="str">
        <x:v>1. 打开幸运礼物甲配置
2. 点击下架幸运礼物甲
3. 点击确认
4. 打开 E001 消费订单详情</x:v>
      </x:c>
      <x:c r="K498" s="9" t="str">
        <x:v>E001 单价仍为100金币</x:v>
      </x:c>
      <x:c r="L498" s="10" t="str"/>
      <x:c r="M498" s="10" t="str">
        <x:v>未测</x:v>
      </x:c>
      <x:c r="N498" s="10" t="str"/>
      <x:c r="O498" s="9" t="str">
        <x:v>1. 来源（当前证据）：liveshow-proto/MainBasis/统一需求文档.md；位置：第 2775 行；REQ-274973e3fdbe、第 2776 行；REQ-dddfd85c2847、第 2765 行
2. 规则：BR-8DAFF41193B6CE
3. 未动态验证
4. 示例账号、编号、金额与日期是本条测试数据；执行前按前置条件准备，未填写的产品决策不得自行假定。</x:v>
      </x:c>
    </x:row>
    <x:row r="499" ht="145" customHeight="1">
      <x:c r="A499" s="10" t="n">
        <x:v>498</x:v>
      </x:c>
      <x:c r="B499" s="10" t="str">
        <x:v>ADMIN-0498</x:v>
      </x:c>
      <x:c r="C499" s="10" t="str">
        <x:v>礼物与道具</x:v>
      </x:c>
      <x:c r="D499" s="10" t="str">
        <x:v>道具配置（平台管理员）</x:v>
      </x:c>
      <x:c r="E499" s="10" t="str">
        <x:v>功能需求</x:v>
      </x:c>
      <x:c r="F499" s="10" t="str">
        <x:v>P2</x:v>
      </x:c>
      <x:c r="G499" s="9" t="str">
        <x:v>验证下架道具保留已获得记录</x:v>
      </x:c>
      <x:c r="H499" s="9" t="str">
        <x:v>道具下架完成</x:v>
      </x:c>
      <x:c r="I499" s="9" t="str">
        <x:v>1. 平台管理员为本条执行者
2. 测试管理员已登录，具有本功能操作权限
3. 道具甲上架；用户乙已获得道具甲且仍在可佩戴期限内</x:v>
      </x:c>
      <x:c r="J499" s="9" t="str">
        <x:v>1. 打开道具列表
2. 下架道具甲
3. 点击确认</x:v>
      </x:c>
      <x:c r="K499" s="9" t="str">
        <x:v>道具甲显示下架</x:v>
      </x:c>
      <x:c r="L499" s="10" t="str"/>
      <x:c r="M499" s="10" t="str">
        <x:v>未测</x:v>
      </x:c>
      <x:c r="N499" s="10" t="str"/>
      <x:c r="O499" s="9" t="str">
        <x:v>1. 来源（当前证据）：liveshow-proto/MainBasis/统一需求文档.md；位置：第 2802 行；REQ-f0b508a3c5ba、第 2804 行；REQ-d6bd53bfa7de、第 2795 行
2. 规则：BR-C99189C6FB8238
3. 未动态验证
4. 示例账号、编号、金额与日期是本条测试数据；执行前按前置条件准备，未填写的产品决策不得自行假定。</x:v>
      </x:c>
    </x:row>
    <x:row r="500" ht="145" customHeight="1">
      <x:c r="A500" s="10" t="n">
        <x:v>499</x:v>
      </x:c>
      <x:c r="B500" s="10" t="str">
        <x:v>ADMIN-0499</x:v>
      </x:c>
      <x:c r="C500" s="10" t="str">
        <x:v>礼物与道具</x:v>
      </x:c>
      <x:c r="D500" s="10" t="str">
        <x:v>购买份数配置（平台管理员）</x:v>
      </x:c>
      <x:c r="E500" s="10" t="str">
        <x:v>功能需求</x:v>
      </x:c>
      <x:c r="F500" s="10" t="str">
        <x:v>P2</x:v>
      </x:c>
      <x:c r="G500" s="9" t="str">
        <x:v>验证停用数量规则保留历史赠送数量</x:v>
      </x:c>
      <x:c r="H500" s="9" t="str">
        <x:v>赠送数量规则停用</x:v>
      </x:c>
      <x:c r="I500" s="9" t="str">
        <x:v>1. 平台管理员为本条执行者
2. 测试管理员已登录，具有本功能操作权限
3. 规则 R001 原支持1和10，礼物甲历史订单 E001 数量10</x:v>
      </x:c>
      <x:c r="J500" s="9" t="str">
        <x:v>1. 打开赠送数量规则
2. 点击停用 R001
3. 点击确认</x:v>
      </x:c>
      <x:c r="K500" s="9" t="str">
        <x:v>R001 显示停用</x:v>
      </x:c>
      <x:c r="L500" s="10" t="str"/>
      <x:c r="M500" s="10" t="str">
        <x:v>未测</x:v>
      </x:c>
      <x:c r="N500" s="10" t="str"/>
      <x:c r="O500" s="9" t="str">
        <x:v>1. 来源（当前证据）：liveshow-proto/MainBasis/统一需求文档.md；位置：第 2830 行；REQ-bf3b58708182、第 2831 行；REQ-4b7248133e7e、第 2824 行
2. 规则：BR-EA92392BFDCB1B
3. 未动态验证
4. 示例账号、编号、金额与日期是本条测试数据；执行前按前置条件准备，未填写的产品决策不得自行假定。</x:v>
      </x:c>
    </x:row>
    <x:row r="501" ht="130" customHeight="1">
      <x:c r="A501" s="10" t="n">
        <x:v>500</x:v>
      </x:c>
      <x:c r="B501" s="10" t="str">
        <x:v>ADMIN-0500</x:v>
      </x:c>
      <x:c r="C501" s="10" t="str">
        <x:v>财务结算</x:v>
      </x:c>
      <x:c r="D501" s="10" t="str">
        <x:v>主播分成记录详情（财务管理员）</x:v>
      </x:c>
      <x:c r="E501" s="10" t="str">
        <x:v>功能需求</x:v>
      </x:c>
      <x:c r="F501" s="10" t="str">
        <x:v>P2</x:v>
      </x:c>
      <x:c r="G501" s="9" t="str">
        <x:v>验证导入分成结果不提供编辑</x:v>
      </x:c>
      <x:c r="H501" s="9" t="str">
        <x:v>分成结果编辑限制</x:v>
      </x:c>
      <x:c r="I501" s="9" t="str">
        <x:v>1. 财务管理员为本条执行者
2. 测试管理员已登录，具有本功能操作权限
3. 当前批次已成功导入，财务明细已锁定</x:v>
      </x:c>
      <x:c r="J501" s="9" t="str">
        <x:v>1. 打开已导入分成详情
2. 查看编辑入口</x:v>
      </x:c>
      <x:c r="K501" s="9" t="str">
        <x:v>不提供编辑操作</x:v>
      </x:c>
      <x:c r="L501" s="10" t="str"/>
      <x:c r="M501" s="10" t="str">
        <x:v>未测</x:v>
      </x:c>
      <x:c r="N501" s="10" t="str"/>
      <x:c r="O501" s="9" t="str">
        <x:v>1. 来源（当前证据）：liveshow-proto/MainBasis/统一需求文档.md；位置：第 3112 行；REQ-7c63525f97ff、第 3106 行
2. 规则：BR-AC2B11FF5A0CD8
3. 未动态验证
4. 示例账号、编号、金额与日期是本条测试数据；执行前按前置条件准备，未填写的产品决策不得自行假定。</x:v>
      </x:c>
    </x:row>
    <x:row r="502" ht="130" customHeight="1">
      <x:c r="A502" s="10" t="n">
        <x:v>501</x:v>
      </x:c>
      <x:c r="B502" s="10" t="str">
        <x:v>ADMIN-0501</x:v>
      </x:c>
      <x:c r="C502" s="10" t="str">
        <x:v>财务结算</x:v>
      </x:c>
      <x:c r="D502" s="10" t="str">
        <x:v>主播分成记录详情（财务管理员）</x:v>
      </x:c>
      <x:c r="E502" s="10" t="str">
        <x:v>功能需求</x:v>
      </x:c>
      <x:c r="F502" s="10" t="str">
        <x:v>P2</x:v>
      </x:c>
      <x:c r="G502" s="9" t="str">
        <x:v>验证导入分成结果不提供删除</x:v>
      </x:c>
      <x:c r="H502" s="9" t="str">
        <x:v>分成结果删除限制</x:v>
      </x:c>
      <x:c r="I502" s="9" t="str">
        <x:v>1. 财务管理员为本条执行者
2. 测试管理员已登录，具有本功能操作权限
3. 当前批次已成功导入，财务明细已锁定</x:v>
      </x:c>
      <x:c r="J502" s="9" t="str">
        <x:v>1. 打开已导入分成详情
2. 查看删除入口</x:v>
      </x:c>
      <x:c r="K502" s="9" t="str">
        <x:v>不提供删除操作</x:v>
      </x:c>
      <x:c r="L502" s="10" t="str"/>
      <x:c r="M502" s="10" t="str">
        <x:v>未测</x:v>
      </x:c>
      <x:c r="N502" s="10" t="str"/>
      <x:c r="O502" s="9" t="str">
        <x:v>1. 来源（当前证据）：liveshow-proto/MainBasis/统一需求文档.md；位置：第 3112 行；REQ-7c63525f97ff、第 3106 行
2. 规则：BR-643374248824A0
3. 未动态验证
4. 示例账号、编号、金额与日期是本条测试数据；执行前按前置条件准备，未填写的产品决策不得自行假定。</x:v>
      </x:c>
    </x:row>
    <x:row r="503" ht="130" customHeight="1">
      <x:c r="A503" s="10" t="n">
        <x:v>502</x:v>
      </x:c>
      <x:c r="B503" s="10" t="str">
        <x:v>ADMIN-0502</x:v>
      </x:c>
      <x:c r="C503" s="10" t="str">
        <x:v>财务结算</x:v>
      </x:c>
      <x:c r="D503" s="10" t="str">
        <x:v>主播分成记录详情（财务管理员）</x:v>
      </x:c>
      <x:c r="E503" s="10" t="str">
        <x:v>功能需求</x:v>
      </x:c>
      <x:c r="F503" s="10" t="str">
        <x:v>P2</x:v>
      </x:c>
      <x:c r="G503" s="9" t="str">
        <x:v>验证导入分成结果不提供审批</x:v>
      </x:c>
      <x:c r="H503" s="9" t="str">
        <x:v>分成结果审批限制</x:v>
      </x:c>
      <x:c r="I503" s="9" t="str">
        <x:v>1. 财务管理员为本条执行者
2. 测试管理员已登录，具有本功能操作权限
3. 当前批次已成功导入，财务明细已锁定</x:v>
      </x:c>
      <x:c r="J503" s="9" t="str">
        <x:v>1. 打开已导入分成详情
2. 查看审批入口</x:v>
      </x:c>
      <x:c r="K503" s="9" t="str">
        <x:v>不提供审批操作</x:v>
      </x:c>
      <x:c r="L503" s="10" t="str"/>
      <x:c r="M503" s="10" t="str">
        <x:v>未测</x:v>
      </x:c>
      <x:c r="N503" s="10" t="str"/>
      <x:c r="O503" s="9" t="str">
        <x:v>1. 来源（当前证据）：liveshow-proto/MainBasis/统一需求文档.md；位置：第 3112 行；REQ-7c63525f97ff、第 3106 行
2. 规则：BR-E4E33C59BE4DEC
3. 未动态验证
4. 示例账号、编号、金额与日期是本条测试数据；执行前按前置条件准备，未填写的产品决策不得自行假定。</x:v>
      </x:c>
    </x:row>
    <x:row r="504" ht="130" customHeight="1">
      <x:c r="A504" s="10" t="n">
        <x:v>503</x:v>
      </x:c>
      <x:c r="B504" s="10" t="str">
        <x:v>ADMIN-0503</x:v>
      </x:c>
      <x:c r="C504" s="10" t="str">
        <x:v>财务结算</x:v>
      </x:c>
      <x:c r="D504" s="10" t="str">
        <x:v>公会分成记录详情（财务管理员）</x:v>
      </x:c>
      <x:c r="E504" s="10" t="str">
        <x:v>功能需求</x:v>
      </x:c>
      <x:c r="F504" s="10" t="str">
        <x:v>P2</x:v>
      </x:c>
      <x:c r="G504" s="9" t="str">
        <x:v>验证导入分成结果不提供编辑</x:v>
      </x:c>
      <x:c r="H504" s="9" t="str">
        <x:v>分成结果编辑限制</x:v>
      </x:c>
      <x:c r="I504" s="9" t="str">
        <x:v>1. 财务管理员为本条执行者
2. 测试管理员已登录，具有本功能操作权限
3. 当前批次已成功导入，财务明细已锁定</x:v>
      </x:c>
      <x:c r="J504" s="9" t="str">
        <x:v>1. 打开已导入分成详情
2. 查看编辑入口</x:v>
      </x:c>
      <x:c r="K504" s="9" t="str">
        <x:v>不提供编辑操作</x:v>
      </x:c>
      <x:c r="L504" s="10" t="str"/>
      <x:c r="M504" s="10" t="str">
        <x:v>未测</x:v>
      </x:c>
      <x:c r="N504" s="10" t="str"/>
      <x:c r="O504" s="9" t="str">
        <x:v>1. 来源（当前证据）：liveshow-proto/MainBasis/统一需求文档.md；位置：第 3151 行；REQ-95c2ebec4848、第 3145 行
2. 规则：BR-81052B568EA574
3. 未动态验证
4. 示例账号、编号、金额与日期是本条测试数据；执行前按前置条件准备，未填写的产品决策不得自行假定。</x:v>
      </x:c>
    </x:row>
    <x:row r="505" ht="130" customHeight="1">
      <x:c r="A505" s="10" t="n">
        <x:v>504</x:v>
      </x:c>
      <x:c r="B505" s="10" t="str">
        <x:v>ADMIN-0504</x:v>
      </x:c>
      <x:c r="C505" s="10" t="str">
        <x:v>财务结算</x:v>
      </x:c>
      <x:c r="D505" s="10" t="str">
        <x:v>公会分成记录详情（财务管理员）</x:v>
      </x:c>
      <x:c r="E505" s="10" t="str">
        <x:v>功能需求</x:v>
      </x:c>
      <x:c r="F505" s="10" t="str">
        <x:v>P2</x:v>
      </x:c>
      <x:c r="G505" s="9" t="str">
        <x:v>验证导入分成结果不提供删除</x:v>
      </x:c>
      <x:c r="H505" s="9" t="str">
        <x:v>分成结果删除限制</x:v>
      </x:c>
      <x:c r="I505" s="9" t="str">
        <x:v>1. 财务管理员为本条执行者
2. 测试管理员已登录，具有本功能操作权限
3. 当前批次已成功导入，财务明细已锁定</x:v>
      </x:c>
      <x:c r="J505" s="9" t="str">
        <x:v>1. 打开已导入分成详情
2. 查看删除入口</x:v>
      </x:c>
      <x:c r="K505" s="9" t="str">
        <x:v>不提供删除操作</x:v>
      </x:c>
      <x:c r="L505" s="10" t="str"/>
      <x:c r="M505" s="10" t="str">
        <x:v>未测</x:v>
      </x:c>
      <x:c r="N505" s="10" t="str"/>
      <x:c r="O505" s="9" t="str">
        <x:v>1. 来源（当前证据）：liveshow-proto/MainBasis/统一需求文档.md；位置：第 3151 行；REQ-95c2ebec4848、第 3145 行
2. 规则：BR-55EBE229308ECB
3. 未动态验证
4. 示例账号、编号、金额与日期是本条测试数据；执行前按前置条件准备，未填写的产品决策不得自行假定。</x:v>
      </x:c>
    </x:row>
    <x:row r="506" ht="130" customHeight="1">
      <x:c r="A506" s="10" t="n">
        <x:v>505</x:v>
      </x:c>
      <x:c r="B506" s="10" t="str">
        <x:v>ADMIN-0505</x:v>
      </x:c>
      <x:c r="C506" s="10" t="str">
        <x:v>财务结算</x:v>
      </x:c>
      <x:c r="D506" s="10" t="str">
        <x:v>公会分成记录详情（财务管理员）</x:v>
      </x:c>
      <x:c r="E506" s="10" t="str">
        <x:v>功能需求</x:v>
      </x:c>
      <x:c r="F506" s="10" t="str">
        <x:v>P2</x:v>
      </x:c>
      <x:c r="G506" s="9" t="str">
        <x:v>验证导入分成结果不提供审批</x:v>
      </x:c>
      <x:c r="H506" s="9" t="str">
        <x:v>分成结果审批限制</x:v>
      </x:c>
      <x:c r="I506" s="9" t="str">
        <x:v>1. 财务管理员为本条执行者
2. 测试管理员已登录，具有本功能操作权限
3. 当前批次已成功导入，财务明细已锁定</x:v>
      </x:c>
      <x:c r="J506" s="9" t="str">
        <x:v>1. 打开已导入分成详情
2. 查看审批入口</x:v>
      </x:c>
      <x:c r="K506" s="9" t="str">
        <x:v>不提供审批操作</x:v>
      </x:c>
      <x:c r="L506" s="10" t="str"/>
      <x:c r="M506" s="10" t="str">
        <x:v>未测</x:v>
      </x:c>
      <x:c r="N506" s="10" t="str"/>
      <x:c r="O506" s="9" t="str">
        <x:v>1. 来源（当前证据）：liveshow-proto/MainBasis/统一需求文档.md；位置：第 3151 行；REQ-95c2ebec4848、第 3145 行
2. 规则：BR-59B0DF83B51EE4
3. 未动态验证
4. 示例账号、编号、金额与日期是本条测试数据；执行前按前置条件准备，未填写的产品决策不得自行假定。</x:v>
      </x:c>
    </x:row>
    <x:row r="507" ht="130" customHeight="1">
      <x:c r="A507" s="10" t="n">
        <x:v>506</x:v>
      </x:c>
      <x:c r="B507" s="10" t="str">
        <x:v>ADMIN-0506</x:v>
      </x:c>
      <x:c r="C507" s="10" t="str">
        <x:v>系统管理</x:v>
      </x:c>
      <x:c r="D507" s="10" t="str">
        <x:v>后台账号（平台管理员）</x:v>
      </x:c>
      <x:c r="E507" s="10" t="str">
        <x:v>功能需求</x:v>
      </x:c>
      <x:c r="F507" s="10" t="str">
        <x:v>P2</x:v>
      </x:c>
      <x:c r="G507" s="9" t="str">
        <x:v>验证内置超级管理员账号不可停用</x:v>
      </x:c>
      <x:c r="H507" s="9" t="str">
        <x:v>内置超级管理员保护</x:v>
      </x:c>
      <x:c r="I507" s="9" t="str">
        <x:v>1. 平台管理员为本条执行者
2. 测试管理员已登录，具有系统管理操作权限
3. 内置超级管理员账号已启用</x:v>
      </x:c>
      <x:c r="J507" s="9" t="str">
        <x:v>1. 打开内置超级管理员账号所在列表
2. 查看内置超级管理员账号的状态操作</x:v>
      </x:c>
      <x:c r="K507" s="9" t="str">
        <x:v>不提供停用操作</x:v>
      </x:c>
      <x:c r="L507" s="10" t="str"/>
      <x:c r="M507" s="10" t="str">
        <x:v>未测</x:v>
      </x:c>
      <x:c r="N507" s="10" t="str"/>
      <x:c r="O507" s="9" t="str">
        <x:v>1. 来源（当前证据）：liveshow-proto/MainBasis/统一需求文档.md；位置：第 3413 行；REQ-0489ca1388d8、第 3406 行
2. 规则：BR-A2018EA81EF506
3. 未动态验证
4. 示例账号、编号、金额与日期是本条测试数据；执行前按前置条件准备，未填写的产品决策不得自行假定。</x:v>
      </x:c>
    </x:row>
    <x:row r="508" ht="130" customHeight="1">
      <x:c r="A508" s="10" t="n">
        <x:v>507</x:v>
      </x:c>
      <x:c r="B508" s="10" t="str">
        <x:v>ADMIN-0507</x:v>
      </x:c>
      <x:c r="C508" s="10" t="str">
        <x:v>系统管理</x:v>
      </x:c>
      <x:c r="D508" s="10" t="str">
        <x:v>角色管理（平台管理员）</x:v>
      </x:c>
      <x:c r="E508" s="10" t="str">
        <x:v>功能需求</x:v>
      </x:c>
      <x:c r="F508" s="10" t="str">
        <x:v>P2</x:v>
      </x:c>
      <x:c r="G508" s="9" t="str">
        <x:v>验证内置超级管理员角色不可停用</x:v>
      </x:c>
      <x:c r="H508" s="9" t="str">
        <x:v>内置超级管理员保护</x:v>
      </x:c>
      <x:c r="I508" s="9" t="str">
        <x:v>1. 平台管理员为本条执行者
2. 测试管理员已登录，具有系统管理操作权限
3. 内置超级管理员角色已启用</x:v>
      </x:c>
      <x:c r="J508" s="9" t="str">
        <x:v>1. 打开内置超级管理员角色所在列表
2. 查看内置超级管理员角色的状态操作</x:v>
      </x:c>
      <x:c r="K508" s="9" t="str">
        <x:v>不提供停用操作</x:v>
      </x:c>
      <x:c r="L508" s="10" t="str"/>
      <x:c r="M508" s="10" t="str">
        <x:v>未测</x:v>
      </x:c>
      <x:c r="N508" s="10" t="str"/>
      <x:c r="O508" s="9" t="str">
        <x:v>1. 来源（当前证据）：liveshow-proto/MainBasis/统一需求文档.md；位置：第 3435 行；REQ-82185d1ad588、第 3429 行
2. 规则：BR-60FDA1917B0140
3. 未动态验证
4. 示例账号、编号、金额与日期是本条测试数据；执行前按前置条件准备，未填写的产品决策不得自行假定。</x:v>
      </x:c>
    </x:row>
    <x:row r="509" ht="130" customHeight="1">
      <x:c r="A509" s="10" t="n">
        <x:v>508</x:v>
      </x:c>
      <x:c r="B509" s="10" t="str">
        <x:v>ADMIN-0508</x:v>
      </x:c>
      <x:c r="C509" s="10" t="str">
        <x:v>系统管理</x:v>
      </x:c>
      <x:c r="D509" s="10" t="str">
        <x:v>角色编辑（平台管理员）</x:v>
      </x:c>
      <x:c r="E509" s="10" t="str">
        <x:v>功能需求</x:v>
      </x:c>
      <x:c r="F509" s="10" t="str">
        <x:v>P1</x:v>
      </x:c>
      <x:c r="G509" s="9" t="str">
        <x:v>验证内置超级管理员权限只读</x:v>
      </x:c>
      <x:c r="H509" s="9" t="str">
        <x:v>超级管理员权限不可修改</x:v>
      </x:c>
      <x:c r="I509" s="9" t="str">
        <x:v>1. 平台管理员为本条执行者
2. 测试管理员已登录，具有系统管理操作权限
3. 当前查看内置超级管理员角色</x:v>
      </x:c>
      <x:c r="J509" s="9" t="str">
        <x:v>1. 打开角色详情
2. 查看菜单权限</x:v>
      </x:c>
      <x:c r="K509" s="9" t="str">
        <x:v>全部菜单权限已勾选且不可修改</x:v>
      </x:c>
      <x:c r="L509" s="10" t="str"/>
      <x:c r="M509" s="10" t="str">
        <x:v>未测</x:v>
      </x:c>
      <x:c r="N509" s="10" t="str"/>
      <x:c r="O509" s="9" t="str">
        <x:v>1. 来源（当前证据）：liveshow-proto/MainBasis/统一需求文档.md；位置：第 3446 行；REQ-a8204ec55818、第 3439 行
2. 规则：BR-E00D091EDBF99B
3. 未动态验证
4. 示例账号、编号、金额与日期是本条测试数据；执行前按前置条件准备，未填写的产品决策不得自行假定。</x:v>
      </x:c>
    </x:row>
    <x:row r="510" ht="130" customHeight="1">
      <x:c r="A510" s="10" t="n">
        <x:v>509</x:v>
      </x:c>
      <x:c r="B510" s="10" t="str">
        <x:v>ADMIN-0509</x:v>
      </x:c>
      <x:c r="C510" s="10" t="str">
        <x:v>系统管理</x:v>
      </x:c>
      <x:c r="D510" s="10" t="str">
        <x:v>账号编辑（平台管理员）</x:v>
      </x:c>
      <x:c r="E510" s="10" t="str">
        <x:v>功能需求</x:v>
      </x:c>
      <x:c r="F510" s="10" t="str">
        <x:v>P2</x:v>
      </x:c>
      <x:c r="G510" s="9" t="str">
        <x:v>验证超级管理员角色不可修改</x:v>
      </x:c>
      <x:c r="H510" s="9" t="str">
        <x:v>超级管理员账号角色保护</x:v>
      </x:c>
      <x:c r="I510" s="9" t="str">
        <x:v>1. 平台管理员为本条执行者
2. 测试管理员已登录，具有系统管理操作权限
3. 当前查看内置超级管理员账号</x:v>
      </x:c>
      <x:c r="J510" s="9" t="str">
        <x:v>1. 打开账号详情
2. 查看所属角色</x:v>
      </x:c>
      <x:c r="K510" s="9" t="str">
        <x:v>所属角色不可修改</x:v>
      </x:c>
      <x:c r="L510" s="10" t="str"/>
      <x:c r="M510" s="10" t="str">
        <x:v>未测</x:v>
      </x:c>
      <x:c r="N510" s="10" t="str"/>
      <x:c r="O510" s="9" t="str">
        <x:v>1. 来源（当前证据）：liveshow-proto/MainBasis/统一需求文档.md；位置：第 3425 行；REQ-d5642c05d5a0、第 3417 行
2. 规则：BR-732066E7AABAB2
3. 未动态验证
4. 示例账号、编号、金额与日期是本条测试数据；执行前按前置条件准备，未填写的产品决策不得自行假定。</x:v>
      </x:c>
    </x:row>
    <x:row r="511" ht="130" customHeight="1">
      <x:c r="A511" s="10" t="n">
        <x:v>510</x:v>
      </x:c>
      <x:c r="B511" s="10" t="str">
        <x:v>ADMIN-0510</x:v>
      </x:c>
      <x:c r="C511" s="10" t="str">
        <x:v>运营账号</x:v>
      </x:c>
      <x:c r="D511" s="10" t="str">
        <x:v>账号列表（平台管理员）</x:v>
      </x:c>
      <x:c r="E511" s="10" t="str">
        <x:v>功能需求</x:v>
      </x:c>
      <x:c r="F511" s="10" t="str">
        <x:v>P2</x:v>
      </x:c>
      <x:c r="G511" s="9" t="str">
        <x:v>验证平台不提供创建运营账号</x:v>
      </x:c>
      <x:c r="H511" s="9" t="str">
        <x:v>运营账号创建运营账号权限边界</x:v>
      </x:c>
      <x:c r="I511" s="9" t="str">
        <x:v>1. 平台管理员为本条执行者
2. 测试管理员已登录，具有本功能操作权限
3. 管理员具有运营账号管理查看权限</x:v>
      </x:c>
      <x:c r="J511" s="9" t="str">
        <x:v>1. 打开运营账号列表
2. 查看创建运营账号入口</x:v>
      </x:c>
      <x:c r="K511" s="9" t="str">
        <x:v>不提供创建运营账号操作</x:v>
      </x:c>
      <x:c r="L511" s="10" t="str"/>
      <x:c r="M511" s="10" t="str">
        <x:v>未测</x:v>
      </x:c>
      <x:c r="N511" s="10" t="str"/>
      <x:c r="O511" s="9" t="str">
        <x:v>1. 来源（当前证据）：liveshow-proto/MainBasis/统一需求文档.md；位置：第 3355 行；REQ-d0b3e7f8f26e、第 3348 行
2. 规则：BR-EE76C6AAB999ED
3. 未动态验证
4. 示例账号、编号、金额与日期是本条测试数据；执行前按前置条件准备，未填写的产品决策不得自行假定。</x:v>
      </x:c>
    </x:row>
    <x:row r="512" ht="130" customHeight="1">
      <x:c r="A512" s="10" t="n">
        <x:v>511</x:v>
      </x:c>
      <x:c r="B512" s="10" t="str">
        <x:v>ADMIN-0511</x:v>
      </x:c>
      <x:c r="C512" s="10" t="str">
        <x:v>运营账号</x:v>
      </x:c>
      <x:c r="D512" s="10" t="str">
        <x:v>账号列表（平台管理员）</x:v>
      </x:c>
      <x:c r="E512" s="10" t="str">
        <x:v>功能需求</x:v>
      </x:c>
      <x:c r="F512" s="10" t="str">
        <x:v>P2</x:v>
      </x:c>
      <x:c r="G512" s="9" t="str">
        <x:v>验证平台不提供分配运营账号</x:v>
      </x:c>
      <x:c r="H512" s="9" t="str">
        <x:v>运营账号分配运营账号权限边界</x:v>
      </x:c>
      <x:c r="I512" s="9" t="str">
        <x:v>1. 平台管理员为本条执行者
2. 测试管理员已登录，具有本功能操作权限
3. 管理员具有运营账号管理查看权限</x:v>
      </x:c>
      <x:c r="J512" s="9" t="str">
        <x:v>1. 打开运营账号列表
2. 查看分配运营账号入口</x:v>
      </x:c>
      <x:c r="K512" s="9" t="str">
        <x:v>不提供分配运营账号操作</x:v>
      </x:c>
      <x:c r="L512" s="10" t="str"/>
      <x:c r="M512" s="10" t="str">
        <x:v>未测</x:v>
      </x:c>
      <x:c r="N512" s="10" t="str"/>
      <x:c r="O512" s="9" t="str">
        <x:v>1. 来源（当前证据）：liveshow-proto/MainBasis/统一需求文档.md；位置：第 3355 行；REQ-d0b3e7f8f26e、第 3348 行
2. 规则：BR-EBD8AB88DCAFEA
3. 未动态验证
4. 示例账号、编号、金额与日期是本条测试数据；执行前按前置条件准备，未填写的产品决策不得自行假定。</x:v>
      </x:c>
    </x:row>
    <x:row r="513" ht="130" customHeight="1">
      <x:c r="A513" s="10" t="n">
        <x:v>512</x:v>
      </x:c>
      <x:c r="B513" s="10" t="str">
        <x:v>ADMIN-0512</x:v>
      </x:c>
      <x:c r="C513" s="10" t="str">
        <x:v>运营账号</x:v>
      </x:c>
      <x:c r="D513" s="10" t="str">
        <x:v>账号列表（平台管理员）</x:v>
      </x:c>
      <x:c r="E513" s="10" t="str">
        <x:v>功能需求</x:v>
      </x:c>
      <x:c r="F513" s="10" t="str">
        <x:v>P1</x:v>
      </x:c>
      <x:c r="G513" s="9" t="str">
        <x:v>验证平台不提供发放虚拟金币</x:v>
      </x:c>
      <x:c r="H513" s="9" t="str">
        <x:v>运营账号发放虚拟金币权限边界</x:v>
      </x:c>
      <x:c r="I513" s="9" t="str">
        <x:v>1. 平台管理员为本条执行者
2. 测试管理员已登录，具有本功能操作权限
3. 管理员具有运营账号管理查看权限</x:v>
      </x:c>
      <x:c r="J513" s="9" t="str">
        <x:v>1. 打开运营账号列表
2. 查看发放虚拟金币入口</x:v>
      </x:c>
      <x:c r="K513" s="9" t="str">
        <x:v>不提供发放虚拟金币操作</x:v>
      </x:c>
      <x:c r="L513" s="10" t="str"/>
      <x:c r="M513" s="10" t="str">
        <x:v>未测</x:v>
      </x:c>
      <x:c r="N513" s="10" t="str"/>
      <x:c r="O513" s="9" t="str">
        <x:v>1. 来源（当前证据）：liveshow-proto/MainBasis/统一需求文档.md；位置：第 3355 行；REQ-d0b3e7f8f26e、第 3348 行
2. 规则：BR-C736702217A153
3. 未动态验证
4. 示例账号、编号、金额与日期是本条测试数据；执行前按前置条件准备，未填写的产品决策不得自行假定。</x:v>
      </x:c>
    </x:row>
    <x:row r="514" ht="130" customHeight="1">
      <x:c r="A514" s="10" t="n">
        <x:v>513</x:v>
      </x:c>
      <x:c r="B514" s="10" t="str">
        <x:v>ADMIN-0513</x:v>
      </x:c>
      <x:c r="C514" s="10" t="str">
        <x:v>运营账号</x:v>
      </x:c>
      <x:c r="D514" s="10" t="str">
        <x:v>运营账号主页（平台管理员）</x:v>
      </x:c>
      <x:c r="E514" s="10" t="str">
        <x:v>功能需求</x:v>
      </x:c>
      <x:c r="F514" s="10" t="str">
        <x:v>P2</x:v>
      </x:c>
      <x:c r="G514" s="9" t="str">
        <x:v>验证平台不可编辑资料</x:v>
      </x:c>
      <x:c r="H514" s="9" t="str">
        <x:v>运营资料编辑资料归属</x:v>
      </x:c>
      <x:c r="I514" s="9" t="str">
        <x:v>1. 平台管理员为本条执行者
2. 测试管理员已登录，具有本功能操作权限
3. 运营账号 O001 属于公会甲</x:v>
      </x:c>
      <x:c r="J514" s="9" t="str">
        <x:v>1. 打开 O001 详情
2. 查看编辑资料入口</x:v>
      </x:c>
      <x:c r="K514" s="9" t="str">
        <x:v>平台不可执行编辑资料</x:v>
      </x:c>
      <x:c r="L514" s="10" t="str"/>
      <x:c r="M514" s="10" t="str">
        <x:v>未测</x:v>
      </x:c>
      <x:c r="N514" s="10" t="str"/>
      <x:c r="O514" s="9" t="str">
        <x:v>1. 来源（当前证据）：liveshow-proto/MainBasis/统一需求文档.md；位置：第 3368 行；REQ-3c38a2058ee6、第 3360 行
2. 规则：BR-DA4E9A1D6F429F
3. 未动态验证
4. 示例账号、编号、金额与日期是本条测试数据；执行前按前置条件准备，未填写的产品决策不得自行假定。</x:v>
      </x:c>
    </x:row>
    <x:row r="515" ht="130" customHeight="1">
      <x:c r="A515" s="10" t="n">
        <x:v>514</x:v>
      </x:c>
      <x:c r="B515" s="10" t="str">
        <x:v>ADMIN-0514</x:v>
      </x:c>
      <x:c r="C515" s="10" t="str">
        <x:v>运营账号</x:v>
      </x:c>
      <x:c r="D515" s="10" t="str">
        <x:v>运营账号主页（平台管理员）</x:v>
      </x:c>
      <x:c r="E515" s="10" t="str">
        <x:v>功能需求</x:v>
      </x:c>
      <x:c r="F515" s="10" t="str">
        <x:v>P2</x:v>
      </x:c>
      <x:c r="G515" s="9" t="str">
        <x:v>验证平台不可重置密码</x:v>
      </x:c>
      <x:c r="H515" s="9" t="str">
        <x:v>运营资料重置密码归属</x:v>
      </x:c>
      <x:c r="I515" s="9" t="str">
        <x:v>1. 平台管理员为本条执行者
2. 测试管理员已登录，具有本功能操作权限
3. 运营账号 O001 属于公会甲</x:v>
      </x:c>
      <x:c r="J515" s="9" t="str">
        <x:v>1. 打开 O001 详情
2. 查看重置密码入口</x:v>
      </x:c>
      <x:c r="K515" s="9" t="str">
        <x:v>平台不可执行重置密码</x:v>
      </x:c>
      <x:c r="L515" s="10" t="str"/>
      <x:c r="M515" s="10" t="str">
        <x:v>未测</x:v>
      </x:c>
      <x:c r="N515" s="10" t="str"/>
      <x:c r="O515" s="9" t="str">
        <x:v>1. 来源（当前证据）：liveshow-proto/MainBasis/统一需求文档.md；位置：第 3368 行；REQ-3c38a2058ee6、第 3360 行
2. 规则：BR-D62E19EF28CAFF
3. 未动态验证
4. 示例账号、编号、金额与日期是本条测试数据；执行前按前置条件准备，未填写的产品决策不得自行假定。</x:v>
      </x:c>
    </x:row>
    <x:row r="516" ht="160" customHeight="1">
      <x:c r="A516" s="10" t="n">
        <x:v>515</x:v>
      </x:c>
      <x:c r="B516" s="10" t="str">
        <x:v>ADMIN-0515</x:v>
      </x:c>
      <x:c r="C516" s="10" t="str">
        <x:v>财务结算</x:v>
      </x:c>
      <x:c r="D516" s="10" t="str">
        <x:v>主播账户余额（财务管理员）</x:v>
      </x:c>
      <x:c r="E516" s="10" t="str">
        <x:v>功能需求</x:v>
      </x:c>
      <x:c r="F516" s="10" t="str">
        <x:v>P2</x:v>
      </x:c>
      <x:c r="G516" s="9" t="str">
        <x:v>验证主播余额汇总使用当前结果</x:v>
      </x:c>
      <x:c r="H516" s="9" t="str">
        <x:v>账户余额汇总</x:v>
      </x:c>
      <x:c r="I516" s="9" t="str">
        <x:v>1. 财务管理员为本条执行者
2. 筛选范围内主播甲余额10USD、主播乙20USD；范围外主播丙100USD</x:v>
      </x:c>
      <x:c r="J516" s="9" t="str">
        <x:v>1. 打开账户余额
2. 查询指定范围</x:v>
      </x:c>
      <x:c r="K516" s="9" t="str">
        <x:v>账户余额汇总 = 30 USD</x:v>
      </x:c>
      <x:c r="L516" s="10" t="str"/>
      <x:c r="M516" s="10" t="str">
        <x:v>未测</x:v>
      </x:c>
      <x:c r="N516" s="10" t="str"/>
      <x:c r="O516" s="9" t="str">
        <x:v>1. 来源（当前证据）：liveshow-proto/MainBasis/统一需求文档.md；位置：第 3117 行；REQ-b47afd31b70e、第 3118 行；REQ-3494e1a0c32d、第 3119 行；REQ-6d05478dbf53、第 3115 行
2. 规则：BR-871DD1B6B17E93
3. 未动态验证
4. 示例账号、编号、金额与日期是本条测试数据；执行前按前置条件准备，未填写的产品决策不得自行假定。</x:v>
      </x:c>
    </x:row>
    <x:row r="517" ht="160" customHeight="1">
      <x:c r="A517" s="10" t="n">
        <x:v>516</x:v>
      </x:c>
      <x:c r="B517" s="10" t="str">
        <x:v>ADMIN-0516</x:v>
      </x:c>
      <x:c r="C517" s="10" t="str">
        <x:v>财务结算</x:v>
      </x:c>
      <x:c r="D517" s="10" t="str">
        <x:v>公会账户余额（财务管理员）</x:v>
      </x:c>
      <x:c r="E517" s="10" t="str">
        <x:v>功能需求</x:v>
      </x:c>
      <x:c r="F517" s="10" t="str">
        <x:v>P2</x:v>
      </x:c>
      <x:c r="G517" s="9" t="str">
        <x:v>验证公会余额汇总使用当前结果</x:v>
      </x:c>
      <x:c r="H517" s="9" t="str">
        <x:v>账户余额汇总</x:v>
      </x:c>
      <x:c r="I517" s="9" t="str">
        <x:v>1. 财务管理员为本条执行者
2. 筛选范围内公会甲余额10USD、公会乙20USD；范围外公会丙100USD</x:v>
      </x:c>
      <x:c r="J517" s="9" t="str">
        <x:v>1. 打开账户余额
2. 查询指定范围</x:v>
      </x:c>
      <x:c r="K517" s="9" t="str">
        <x:v>账户余额汇总 = 30 USD</x:v>
      </x:c>
      <x:c r="L517" s="10" t="str"/>
      <x:c r="M517" s="10" t="str">
        <x:v>未测</x:v>
      </x:c>
      <x:c r="N517" s="10" t="str"/>
      <x:c r="O517" s="9" t="str">
        <x:v>1. 来源（当前证据）：liveshow-proto/MainBasis/统一需求文档.md；位置：第 3156 行；REQ-d2e248a00baa、第 3157 行；REQ-e90da016773a、第 3158 行；REQ-73d39f66e389、第 3154 行
2. 规则：BR-C76855DE129FDA
3. 未动态验证
4. 示例账号、编号、金额与日期是本条测试数据；执行前按前置条件准备，未填写的产品决策不得自行假定。</x:v>
      </x:c>
    </x:row>
    <x:row r="518" ht="130" customHeight="1">
      <x:c r="A518" s="10" t="n">
        <x:v>517</x:v>
      </x:c>
      <x:c r="B518" s="10" t="str">
        <x:v>ADMIN-0517</x:v>
      </x:c>
      <x:c r="C518" s="10" t="str">
        <x:v>数据报表</x:v>
      </x:c>
      <x:c r="D518" s="10" t="str">
        <x:v>报表中心（财务管理员）</x:v>
      </x:c>
      <x:c r="E518" s="10" t="str">
        <x:v>功能需求</x:v>
      </x:c>
      <x:c r="F518" s="10" t="str">
        <x:v>P1</x:v>
      </x:c>
      <x:c r="G518" s="9" t="str">
        <x:v>验证无报表权限不展示入口</x:v>
      </x:c>
      <x:c r="H518" s="9" t="str">
        <x:v>报表入口权限隔离</x:v>
      </x:c>
      <x:c r="I518" s="9" t="str">
        <x:v>1. 财务管理员为本条执行者
2. 当前测试管理员仅具有日报表查看权限，无充值统计权限</x:v>
      </x:c>
      <x:c r="J518" s="9" t="str">
        <x:v>1. 打开报表中心</x:v>
      </x:c>
      <x:c r="K518" s="9" t="str">
        <x:v>不显示充值统计入口</x:v>
      </x:c>
      <x:c r="L518" s="10" t="str"/>
      <x:c r="M518" s="10" t="str">
        <x:v>未测</x:v>
      </x:c>
      <x:c r="N518" s="10" t="str"/>
      <x:c r="O518" s="9" t="str">
        <x:v>1. 来源（当前证据）：liveshow-proto/MainBasis/统一需求文档.md；位置：第 3176 行；REQ-96d0bfcceee8、第 3172 行
2. 规则：BR-D7A79A5FF532E8
3. 未动态验证
4. 示例账号、编号、金额与日期是本条测试数据；执行前按前置条件准备，未填写的产品决策不得自行假定。</x:v>
      </x:c>
    </x:row>
    <x:row r="519" ht="160" customHeight="1">
      <x:c r="A519" s="10" t="n">
        <x:v>518</x:v>
      </x:c>
      <x:c r="B519" s="10" t="str">
        <x:v>ADMIN-0518</x:v>
      </x:c>
      <x:c r="C519" s="10" t="str">
        <x:v>用户管理</x:v>
      </x:c>
      <x:c r="D519" s="10" t="str">
        <x:v>用户列表（平台管理员）</x:v>
      </x:c>
      <x:c r="E519" s="10" t="str">
        <x:v>功能需求</x:v>
      </x:c>
      <x:c r="F519" s="10" t="str">
        <x:v>P2</x:v>
      </x:c>
      <x:c r="G519" s="9" t="str">
        <x:v>验证用户列表筛选条件取交集</x:v>
      </x:c>
      <x:c r="H519" s="9" t="str">
        <x:v>查询交集包含</x:v>
      </x:c>
      <x:c r="I519" s="9" t="str">
        <x:v>1. 平台管理员为本条执行者
2. 测试管理员已登录，具备用户列表查询权限
3. 记录R001同时满足“财富等级2至3”和“注册日期09/01至09/02”；R002仅满足前者、R003仅满足后者，三者均可在无条件列表查看</x:v>
      </x:c>
      <x:c r="J519" s="9" t="str">
        <x:v>1. 打开用户列表
2. 输入财富等级范围2至3
3. 选择注册日期09/01至09/02
4. 点击查询</x:v>
      </x:c>
      <x:c r="K519" s="9" t="str">
        <x:v>当前结果包含R001</x:v>
      </x:c>
      <x:c r="L519" s="10" t="str"/>
      <x:c r="M519" s="10" t="str">
        <x:v>未测</x:v>
      </x:c>
      <x:c r="N519" s="10" t="str"/>
      <x:c r="O519" s="9" t="str">
        <x:v>1. 来源（当前证据）：liveshow-proto/MainBasis/统一需求文档.md；位置：第 2503 行；REQ-67ec55f85454、第 2508 行；REQ-d5b2035e80eb、第 2510 行；REQ-43e62348dcfc、第 2499 行
2. 规则：BR-4C2650B6867328
3. 未动态验证
4. 示例账号、编号、金额与日期是本条测试数据；执行前按前置条件准备，未填写的产品决策不得自行假定。</x:v>
      </x:c>
    </x:row>
    <x:row r="520" ht="160" customHeight="1">
      <x:c r="A520" s="10" t="n">
        <x:v>519</x:v>
      </x:c>
      <x:c r="B520" s="10" t="str">
        <x:v>ADMIN-0519</x:v>
      </x:c>
      <x:c r="C520" s="10" t="str">
        <x:v>用户管理</x:v>
      </x:c>
      <x:c r="D520" s="10" t="str">
        <x:v>用户列表（平台管理员）</x:v>
      </x:c>
      <x:c r="E520" s="10" t="str">
        <x:v>功能需求</x:v>
      </x:c>
      <x:c r="F520" s="10" t="str">
        <x:v>P2</x:v>
      </x:c>
      <x:c r="G520" s="9" t="str">
        <x:v>验证用户列表筛选条件取交集</x:v>
      </x:c>
      <x:c r="H520" s="9" t="str">
        <x:v>查询交集排除第一条件独立命中</x:v>
      </x:c>
      <x:c r="I520" s="9" t="str">
        <x:v>1. 平台管理员为本条执行者
2. 测试管理员已登录，具备用户列表查询权限
3. 记录R001同时满足“财富等级2至3”和“注册日期09/01至09/02”；R002仅满足前者、R003仅满足后者，三者均可在无条件列表查看</x:v>
      </x:c>
      <x:c r="J520" s="9" t="str">
        <x:v>1. 打开用户列表
2. 输入财富等级范围2至3
3. 选择注册日期09/01至09/02
4. 点击查询</x:v>
      </x:c>
      <x:c r="K520" s="9" t="str">
        <x:v>当前结果不包含R002</x:v>
      </x:c>
      <x:c r="L520" s="10" t="str"/>
      <x:c r="M520" s="10" t="str">
        <x:v>未测</x:v>
      </x:c>
      <x:c r="N520" s="10" t="str"/>
      <x:c r="O520" s="9" t="str">
        <x:v>1. 来源（当前证据）：liveshow-proto/MainBasis/统一需求文档.md；位置：第 2503 行；REQ-67ec55f85454、第 2508 行；REQ-d5b2035e80eb、第 2510 行；REQ-43e62348dcfc、第 2499 行
2. 规则：BR-1FFC08F479B10C
3. 未动态验证
4. 示例账号、编号、金额与日期是本条测试数据；执行前按前置条件准备，未填写的产品决策不得自行假定。</x:v>
      </x:c>
    </x:row>
    <x:row r="521" ht="160" customHeight="1">
      <x:c r="A521" s="10" t="n">
        <x:v>520</x:v>
      </x:c>
      <x:c r="B521" s="10" t="str">
        <x:v>ADMIN-0520</x:v>
      </x:c>
      <x:c r="C521" s="10" t="str">
        <x:v>用户管理</x:v>
      </x:c>
      <x:c r="D521" s="10" t="str">
        <x:v>用户列表（平台管理员）</x:v>
      </x:c>
      <x:c r="E521" s="10" t="str">
        <x:v>功能需求</x:v>
      </x:c>
      <x:c r="F521" s="10" t="str">
        <x:v>P2</x:v>
      </x:c>
      <x:c r="G521" s="9" t="str">
        <x:v>验证用户列表筛选条件取交集</x:v>
      </x:c>
      <x:c r="H521" s="9" t="str">
        <x:v>查询交集排除第二条件独立命中</x:v>
      </x:c>
      <x:c r="I521" s="9" t="str">
        <x:v>1. 平台管理员为本条执行者
2. 测试管理员已登录，具备用户列表查询权限
3. 记录R001同时满足“财富等级2至3”和“注册日期09/01至09/02”；R002仅满足前者、R003仅满足后者，三者均可在无条件列表查看</x:v>
      </x:c>
      <x:c r="J521" s="9" t="str">
        <x:v>1. 打开用户列表
2. 输入财富等级范围2至3
3. 选择注册日期09/01至09/02
4. 点击查询</x:v>
      </x:c>
      <x:c r="K521" s="9" t="str">
        <x:v>当前结果不包含R003</x:v>
      </x:c>
      <x:c r="L521" s="10" t="str"/>
      <x:c r="M521" s="10" t="str">
        <x:v>未测</x:v>
      </x:c>
      <x:c r="N521" s="10" t="str"/>
      <x:c r="O521" s="9" t="str">
        <x:v>1. 来源（当前证据）：liveshow-proto/MainBasis/统一需求文档.md；位置：第 2503 行；REQ-67ec55f85454、第 2508 行；REQ-d5b2035e80eb、第 2510 行；REQ-43e62348dcfc、第 2499 行
2. 规则：BR-364595C3F0ED99
3. 未动态验证
4. 示例账号、编号、金额与日期是本条测试数据；执行前按前置条件准备，未填写的产品决策不得自行假定。</x:v>
      </x:c>
    </x:row>
    <x:row r="522" ht="130" customHeight="1">
      <x:c r="A522" s="10" t="n">
        <x:v>521</x:v>
      </x:c>
      <x:c r="B522" s="10" t="str">
        <x:v>ADMIN-0521</x:v>
      </x:c>
      <x:c r="C522" s="10" t="str">
        <x:v>主播管理</x:v>
      </x:c>
      <x:c r="D522" s="10" t="str">
        <x:v>主播列表（平台管理员）</x:v>
      </x:c>
      <x:c r="E522" s="10" t="str">
        <x:v>功能需求</x:v>
      </x:c>
      <x:c r="F522" s="10" t="str">
        <x:v>P2</x:v>
      </x:c>
      <x:c r="G522" s="9" t="str">
        <x:v>验证主播列表筛选条件取交集</x:v>
      </x:c>
      <x:c r="H522" s="9" t="str">
        <x:v>查询交集包含</x:v>
      </x:c>
      <x:c r="I522" s="9" t="str">
        <x:v>1. 平台管理员为本条执行者
2. 测试管理员已登录，具备主播列表查询权限
3. 记录R001同时满足“所属公会甲”和“账号状态正常”；R002仅满足前者、R003仅满足后者，三者均可在无条件列表查看</x:v>
      </x:c>
      <x:c r="J522" s="9" t="str">
        <x:v>1. 打开主播列表
2. 选择所属公会甲
3. 选择账号状态正常
4. 点击查询</x:v>
      </x:c>
      <x:c r="K522" s="9" t="str">
        <x:v>当前结果包含R001</x:v>
      </x:c>
      <x:c r="L522" s="10" t="str"/>
      <x:c r="M522" s="10" t="str">
        <x:v>未测</x:v>
      </x:c>
      <x:c r="N522" s="10" t="str"/>
      <x:c r="O522" s="9" t="str">
        <x:v>1. 来源（当前证据）：liveshow-proto/MainBasis/统一需求文档.md；位置：第 2537 行；REQ-c3c43cdfeffa、第 2528 行
2. 规则：BR-6595EE5403352D
3. 未动态验证
4. 示例账号、编号、金额与日期是本条测试数据；执行前按前置条件准备，未填写的产品决策不得自行假定。</x:v>
      </x:c>
    </x:row>
    <x:row r="523" ht="130" customHeight="1">
      <x:c r="A523" s="10" t="n">
        <x:v>522</x:v>
      </x:c>
      <x:c r="B523" s="10" t="str">
        <x:v>ADMIN-0522</x:v>
      </x:c>
      <x:c r="C523" s="10" t="str">
        <x:v>主播管理</x:v>
      </x:c>
      <x:c r="D523" s="10" t="str">
        <x:v>主播列表（平台管理员）</x:v>
      </x:c>
      <x:c r="E523" s="10" t="str">
        <x:v>功能需求</x:v>
      </x:c>
      <x:c r="F523" s="10" t="str">
        <x:v>P2</x:v>
      </x:c>
      <x:c r="G523" s="9" t="str">
        <x:v>验证主播列表筛选条件取交集</x:v>
      </x:c>
      <x:c r="H523" s="9" t="str">
        <x:v>查询交集排除第一条件独立命中</x:v>
      </x:c>
      <x:c r="I523" s="9" t="str">
        <x:v>1. 平台管理员为本条执行者
2. 测试管理员已登录，具备主播列表查询权限
3. 记录R001同时满足“所属公会甲”和“账号状态正常”；R002仅满足前者、R003仅满足后者，三者均可在无条件列表查看</x:v>
      </x:c>
      <x:c r="J523" s="9" t="str">
        <x:v>1. 打开主播列表
2. 选择所属公会甲
3. 选择账号状态正常
4. 点击查询</x:v>
      </x:c>
      <x:c r="K523" s="9" t="str">
        <x:v>当前结果不包含R002</x:v>
      </x:c>
      <x:c r="L523" s="10" t="str"/>
      <x:c r="M523" s="10" t="str">
        <x:v>未测</x:v>
      </x:c>
      <x:c r="N523" s="10" t="str"/>
      <x:c r="O523" s="9" t="str">
        <x:v>1. 来源（当前证据）：liveshow-proto/MainBasis/统一需求文档.md；位置：第 2537 行；REQ-c3c43cdfeffa、第 2528 行
2. 规则：BR-232222B3408275
3. 未动态验证
4. 示例账号、编号、金额与日期是本条测试数据；执行前按前置条件准备，未填写的产品决策不得自行假定。</x:v>
      </x:c>
    </x:row>
    <x:row r="524" ht="130" customHeight="1">
      <x:c r="A524" s="10" t="n">
        <x:v>523</x:v>
      </x:c>
      <x:c r="B524" s="10" t="str">
        <x:v>ADMIN-0523</x:v>
      </x:c>
      <x:c r="C524" s="10" t="str">
        <x:v>主播管理</x:v>
      </x:c>
      <x:c r="D524" s="10" t="str">
        <x:v>主播列表（平台管理员）</x:v>
      </x:c>
      <x:c r="E524" s="10" t="str">
        <x:v>功能需求</x:v>
      </x:c>
      <x:c r="F524" s="10" t="str">
        <x:v>P2</x:v>
      </x:c>
      <x:c r="G524" s="9" t="str">
        <x:v>验证主播列表筛选条件取交集</x:v>
      </x:c>
      <x:c r="H524" s="9" t="str">
        <x:v>查询交集排除第二条件独立命中</x:v>
      </x:c>
      <x:c r="I524" s="9" t="str">
        <x:v>1. 平台管理员为本条执行者
2. 测试管理员已登录，具备主播列表查询权限
3. 记录R001同时满足“所属公会甲”和“账号状态正常”；R002仅满足前者、R003仅满足后者，三者均可在无条件列表查看</x:v>
      </x:c>
      <x:c r="J524" s="9" t="str">
        <x:v>1. 打开主播列表
2. 选择所属公会甲
3. 选择账号状态正常
4. 点击查询</x:v>
      </x:c>
      <x:c r="K524" s="9" t="str">
        <x:v>当前结果不包含R003</x:v>
      </x:c>
      <x:c r="L524" s="10" t="str"/>
      <x:c r="M524" s="10" t="str">
        <x:v>未测</x:v>
      </x:c>
      <x:c r="N524" s="10" t="str"/>
      <x:c r="O524" s="9" t="str">
        <x:v>1. 来源（当前证据）：liveshow-proto/MainBasis/统一需求文档.md；位置：第 2537 行；REQ-c3c43cdfeffa、第 2528 行
2. 规则：BR-A1DC44BB7A63FE
3. 未动态验证
4. 示例账号、编号、金额与日期是本条测试数据；执行前按前置条件准备，未填写的产品决策不得自行假定。</x:v>
      </x:c>
    </x:row>
    <x:row r="525" ht="130" customHeight="1">
      <x:c r="A525" s="10" t="n">
        <x:v>524</x:v>
      </x:c>
      <x:c r="B525" s="10" t="str">
        <x:v>ADMIN-0524</x:v>
      </x:c>
      <x:c r="C525" s="10" t="str">
        <x:v>主播管理</x:v>
      </x:c>
      <x:c r="D525" s="10" t="str">
        <x:v>主播审核（平台管理员）</x:v>
      </x:c>
      <x:c r="E525" s="10" t="str">
        <x:v>功能需求</x:v>
      </x:c>
      <x:c r="F525" s="10" t="str">
        <x:v>P1</x:v>
      </x:c>
      <x:c r="G525" s="9" t="str">
        <x:v>验证主播审核筛选条件取交集</x:v>
      </x:c>
      <x:c r="H525" s="9" t="str">
        <x:v>查询交集包含</x:v>
      </x:c>
      <x:c r="I525" s="9" t="str">
        <x:v>1. 平台管理员为本条执行者
2. 测试管理员已登录，具备主播审核查询权限
3. 记录R001同时满足“公会甲”和“状态待审核”；R002仅满足前者、R003仅满足后者，三者均可在无条件列表查看</x:v>
      </x:c>
      <x:c r="J525" s="9" t="str">
        <x:v>1. 打开主播审核
2. 选择公会甲
3. 选择状态待审核
4. 点击查询</x:v>
      </x:c>
      <x:c r="K525" s="9" t="str">
        <x:v>当前结果包含R001</x:v>
      </x:c>
      <x:c r="L525" s="10" t="str"/>
      <x:c r="M525" s="10" t="str">
        <x:v>未测</x:v>
      </x:c>
      <x:c r="N525" s="10" t="str"/>
      <x:c r="O525" s="9" t="str">
        <x:v>1. 来源（当前证据）：liveshow-proto/MainBasis/统一需求文档.md；位置：第 2559 行；REQ-f2ecf2583393、第 2551 行
2. 规则：BR-90E17BCBD8298E
3. 未动态验证
4. 示例账号、编号、金额与日期是本条测试数据；执行前按前置条件准备，未填写的产品决策不得自行假定。</x:v>
      </x:c>
    </x:row>
    <x:row r="526" ht="130" customHeight="1">
      <x:c r="A526" s="10" t="n">
        <x:v>525</x:v>
      </x:c>
      <x:c r="B526" s="10" t="str">
        <x:v>ADMIN-0525</x:v>
      </x:c>
      <x:c r="C526" s="10" t="str">
        <x:v>主播管理</x:v>
      </x:c>
      <x:c r="D526" s="10" t="str">
        <x:v>主播审核（平台管理员）</x:v>
      </x:c>
      <x:c r="E526" s="10" t="str">
        <x:v>功能需求</x:v>
      </x:c>
      <x:c r="F526" s="10" t="str">
        <x:v>P1</x:v>
      </x:c>
      <x:c r="G526" s="9" t="str">
        <x:v>验证主播审核筛选条件取交集</x:v>
      </x:c>
      <x:c r="H526" s="9" t="str">
        <x:v>查询交集排除第一条件独立命中</x:v>
      </x:c>
      <x:c r="I526" s="9" t="str">
        <x:v>1. 平台管理员为本条执行者
2. 测试管理员已登录，具备主播审核查询权限
3. 记录R001同时满足“公会甲”和“状态待审核”；R002仅满足前者、R003仅满足后者，三者均可在无条件列表查看</x:v>
      </x:c>
      <x:c r="J526" s="9" t="str">
        <x:v>1. 打开主播审核
2. 选择公会甲
3. 选择状态待审核
4. 点击查询</x:v>
      </x:c>
      <x:c r="K526" s="9" t="str">
        <x:v>当前结果不包含R002</x:v>
      </x:c>
      <x:c r="L526" s="10" t="str"/>
      <x:c r="M526" s="10" t="str">
        <x:v>未测</x:v>
      </x:c>
      <x:c r="N526" s="10" t="str"/>
      <x:c r="O526" s="9" t="str">
        <x:v>1. 来源（当前证据）：liveshow-proto/MainBasis/统一需求文档.md；位置：第 2559 行；REQ-f2ecf2583393、第 2551 行
2. 规则：BR-3403A144AB8A64
3. 未动态验证
4. 示例账号、编号、金额与日期是本条测试数据；执行前按前置条件准备，未填写的产品决策不得自行假定。</x:v>
      </x:c>
    </x:row>
    <x:row r="527" ht="130" customHeight="1">
      <x:c r="A527" s="10" t="n">
        <x:v>526</x:v>
      </x:c>
      <x:c r="B527" s="10" t="str">
        <x:v>ADMIN-0526</x:v>
      </x:c>
      <x:c r="C527" s="10" t="str">
        <x:v>主播管理</x:v>
      </x:c>
      <x:c r="D527" s="10" t="str">
        <x:v>主播审核（平台管理员）</x:v>
      </x:c>
      <x:c r="E527" s="10" t="str">
        <x:v>功能需求</x:v>
      </x:c>
      <x:c r="F527" s="10" t="str">
        <x:v>P1</x:v>
      </x:c>
      <x:c r="G527" s="9" t="str">
        <x:v>验证主播审核筛选条件取交集</x:v>
      </x:c>
      <x:c r="H527" s="9" t="str">
        <x:v>查询交集排除第二条件独立命中</x:v>
      </x:c>
      <x:c r="I527" s="9" t="str">
        <x:v>1. 平台管理员为本条执行者
2. 测试管理员已登录，具备主播审核查询权限
3. 记录R001同时满足“公会甲”和“状态待审核”；R002仅满足前者、R003仅满足后者，三者均可在无条件列表查看</x:v>
      </x:c>
      <x:c r="J527" s="9" t="str">
        <x:v>1. 打开主播审核
2. 选择公会甲
3. 选择状态待审核
4. 点击查询</x:v>
      </x:c>
      <x:c r="K527" s="9" t="str">
        <x:v>当前结果不包含R003</x:v>
      </x:c>
      <x:c r="L527" s="10" t="str"/>
      <x:c r="M527" s="10" t="str">
        <x:v>未测</x:v>
      </x:c>
      <x:c r="N527" s="10" t="str"/>
      <x:c r="O527" s="9" t="str">
        <x:v>1. 来源（当前证据）：liveshow-proto/MainBasis/统一需求文档.md；位置：第 2559 行；REQ-f2ecf2583393、第 2551 行
2. 规则：BR-499F16E98282BF
3. 未动态验证
4. 示例账号、编号、金额与日期是本条测试数据；执行前按前置条件准备，未填写的产品决策不得自行假定。</x:v>
      </x:c>
    </x:row>
    <x:row r="528" ht="130" customHeight="1">
      <x:c r="A528" s="10" t="n">
        <x:v>527</x:v>
      </x:c>
      <x:c r="B528" s="10" t="str">
        <x:v>ADMIN-0527</x:v>
      </x:c>
      <x:c r="C528" s="10" t="str">
        <x:v>主播管理</x:v>
      </x:c>
      <x:c r="D528" s="10" t="str">
        <x:v>直播场次（平台管理员）</x:v>
      </x:c>
      <x:c r="E528" s="10" t="str">
        <x:v>功能需求</x:v>
      </x:c>
      <x:c r="F528" s="10" t="str">
        <x:v>P2</x:v>
      </x:c>
      <x:c r="G528" s="9" t="str">
        <x:v>验证直播管理筛选条件取交集</x:v>
      </x:c>
      <x:c r="H528" s="9" t="str">
        <x:v>查询交集包含</x:v>
      </x:c>
      <x:c r="I528" s="9" t="str">
        <x:v>1. 平台管理员为本条执行者
2. 测试管理员已登录，具备直播管理查询权限
3. 记录R001同时满足“主播甲”和“直播状态直播中”；R002仅满足前者、R003仅满足后者，三者均可在无条件列表查看</x:v>
      </x:c>
      <x:c r="J528" s="9" t="str">
        <x:v>1. 打开直播管理
2. 选择主播甲
3. 选择直播状态直播中
4. 点击查询</x:v>
      </x:c>
      <x:c r="K528" s="9" t="str">
        <x:v>当前结果包含R001</x:v>
      </x:c>
      <x:c r="L528" s="10" t="str"/>
      <x:c r="M528" s="10" t="str">
        <x:v>未测</x:v>
      </x:c>
      <x:c r="N528" s="10" t="str"/>
      <x:c r="O528" s="9" t="str">
        <x:v>1. 来源（当前证据）：liveshow-proto/MainBasis/统一需求文档.md；位置：第 2584 行；REQ-5486bbbe8ae4、第 2574 行
2. 规则：BR-86D15DE6D452FB
3. 未动态验证
4. 示例账号、编号、金额与日期是本条测试数据；执行前按前置条件准备，未填写的产品决策不得自行假定。</x:v>
      </x:c>
    </x:row>
    <x:row r="529" ht="130" customHeight="1">
      <x:c r="A529" s="10" t="n">
        <x:v>528</x:v>
      </x:c>
      <x:c r="B529" s="10" t="str">
        <x:v>ADMIN-0528</x:v>
      </x:c>
      <x:c r="C529" s="10" t="str">
        <x:v>主播管理</x:v>
      </x:c>
      <x:c r="D529" s="10" t="str">
        <x:v>直播场次（平台管理员）</x:v>
      </x:c>
      <x:c r="E529" s="10" t="str">
        <x:v>功能需求</x:v>
      </x:c>
      <x:c r="F529" s="10" t="str">
        <x:v>P2</x:v>
      </x:c>
      <x:c r="G529" s="9" t="str">
        <x:v>验证直播管理筛选条件取交集</x:v>
      </x:c>
      <x:c r="H529" s="9" t="str">
        <x:v>查询交集排除第一条件独立命中</x:v>
      </x:c>
      <x:c r="I529" s="9" t="str">
        <x:v>1. 平台管理员为本条执行者
2. 测试管理员已登录，具备直播管理查询权限
3. 记录R001同时满足“主播甲”和“直播状态直播中”；R002仅满足前者、R003仅满足后者，三者均可在无条件列表查看</x:v>
      </x:c>
      <x:c r="J529" s="9" t="str">
        <x:v>1. 打开直播管理
2. 选择主播甲
3. 选择直播状态直播中
4. 点击查询</x:v>
      </x:c>
      <x:c r="K529" s="9" t="str">
        <x:v>当前结果不包含R002</x:v>
      </x:c>
      <x:c r="L529" s="10" t="str"/>
      <x:c r="M529" s="10" t="str">
        <x:v>未测</x:v>
      </x:c>
      <x:c r="N529" s="10" t="str"/>
      <x:c r="O529" s="9" t="str">
        <x:v>1. 来源（当前证据）：liveshow-proto/MainBasis/统一需求文档.md；位置：第 2584 行；REQ-5486bbbe8ae4、第 2574 行
2. 规则：BR-792ACBB4C05B7E
3. 未动态验证
4. 示例账号、编号、金额与日期是本条测试数据；执行前按前置条件准备，未填写的产品决策不得自行假定。</x:v>
      </x:c>
    </x:row>
    <x:row r="530" ht="130" customHeight="1">
      <x:c r="A530" s="10" t="n">
        <x:v>529</x:v>
      </x:c>
      <x:c r="B530" s="10" t="str">
        <x:v>ADMIN-0529</x:v>
      </x:c>
      <x:c r="C530" s="10" t="str">
        <x:v>主播管理</x:v>
      </x:c>
      <x:c r="D530" s="10" t="str">
        <x:v>直播场次（平台管理员）</x:v>
      </x:c>
      <x:c r="E530" s="10" t="str">
        <x:v>功能需求</x:v>
      </x:c>
      <x:c r="F530" s="10" t="str">
        <x:v>P2</x:v>
      </x:c>
      <x:c r="G530" s="9" t="str">
        <x:v>验证直播管理筛选条件取交集</x:v>
      </x:c>
      <x:c r="H530" s="9" t="str">
        <x:v>查询交集排除第二条件独立命中</x:v>
      </x:c>
      <x:c r="I530" s="9" t="str">
        <x:v>1. 平台管理员为本条执行者
2. 测试管理员已登录，具备直播管理查询权限
3. 记录R001同时满足“主播甲”和“直播状态直播中”；R002仅满足前者、R003仅满足后者，三者均可在无条件列表查看</x:v>
      </x:c>
      <x:c r="J530" s="9" t="str">
        <x:v>1. 打开直播管理
2. 选择主播甲
3. 选择直播状态直播中
4. 点击查询</x:v>
      </x:c>
      <x:c r="K530" s="9" t="str">
        <x:v>当前结果不包含R003</x:v>
      </x:c>
      <x:c r="L530" s="10" t="str"/>
      <x:c r="M530" s="10" t="str">
        <x:v>未测</x:v>
      </x:c>
      <x:c r="N530" s="10" t="str"/>
      <x:c r="O530" s="9" t="str">
        <x:v>1. 来源（当前证据）：liveshow-proto/MainBasis/统一需求文档.md；位置：第 2584 行；REQ-5486bbbe8ae4、第 2574 行
2. 规则：BR-7202F59E4FB845
3. 未动态验证
4. 示例账号、编号、金额与日期是本条测试数据；执行前按前置条件准备，未填写的产品决策不得自行假定。</x:v>
      </x:c>
    </x:row>
    <x:row r="531" ht="130" customHeight="1">
      <x:c r="A531" s="10" t="n">
        <x:v>530</x:v>
      </x:c>
      <x:c r="B531" s="10" t="str">
        <x:v>ADMIN-0530</x:v>
      </x:c>
      <x:c r="C531" s="10" t="str">
        <x:v>内容审核</x:v>
      </x:c>
      <x:c r="D531" s="10" t="str">
        <x:v>账号违规（审核管理员）</x:v>
      </x:c>
      <x:c r="E531" s="10" t="str">
        <x:v>功能需求</x:v>
      </x:c>
      <x:c r="F531" s="10" t="str">
        <x:v>P1</x:v>
      </x:c>
      <x:c r="G531" s="9" t="str">
        <x:v>验证账号违规记录筛选条件取交集</x:v>
      </x:c>
      <x:c r="H531" s="9" t="str">
        <x:v>查询交集包含</x:v>
      </x:c>
      <x:c r="I531" s="9" t="str">
        <x:v>1. 审核管理员为本条执行者
2. 测试管理员已登录，具备账号违规记录查询权限
3. 记录R001同时满足“被举报账号甲”和“处理状态待处理”；R002仅满足前者、R003仅满足后者，三者均可在无条件列表查看</x:v>
      </x:c>
      <x:c r="J531" s="9" t="str">
        <x:v>1. 打开账号违规记录
2. 选择被举报账号甲
3. 选择处理状态待处理
4. 点击查询</x:v>
      </x:c>
      <x:c r="K531" s="9" t="str">
        <x:v>当前结果包含R001</x:v>
      </x:c>
      <x:c r="L531" s="10" t="str"/>
      <x:c r="M531" s="10" t="str">
        <x:v>未测</x:v>
      </x:c>
      <x:c r="N531" s="10" t="str"/>
      <x:c r="O531" s="9" t="str">
        <x:v>1. 来源（当前证据）：liveshow-proto/MainBasis/统一需求文档.md；位置：第 2657 行；REQ-bc718c5754c4、第 2649 行
2. 规则：BR-3603B86B1D901A
3. 未动态验证
4. 示例账号、编号、金额与日期是本条测试数据；执行前按前置条件准备，未填写的产品决策不得自行假定。</x:v>
      </x:c>
    </x:row>
    <x:row r="532" ht="130" customHeight="1">
      <x:c r="A532" s="10" t="n">
        <x:v>531</x:v>
      </x:c>
      <x:c r="B532" s="10" t="str">
        <x:v>ADMIN-0531</x:v>
      </x:c>
      <x:c r="C532" s="10" t="str">
        <x:v>内容审核</x:v>
      </x:c>
      <x:c r="D532" s="10" t="str">
        <x:v>账号违规（审核管理员）</x:v>
      </x:c>
      <x:c r="E532" s="10" t="str">
        <x:v>功能需求</x:v>
      </x:c>
      <x:c r="F532" s="10" t="str">
        <x:v>P1</x:v>
      </x:c>
      <x:c r="G532" s="9" t="str">
        <x:v>验证账号违规记录筛选条件取交集</x:v>
      </x:c>
      <x:c r="H532" s="9" t="str">
        <x:v>查询交集排除第一条件独立命中</x:v>
      </x:c>
      <x:c r="I532" s="9" t="str">
        <x:v>1. 审核管理员为本条执行者
2. 测试管理员已登录，具备账号违规记录查询权限
3. 记录R001同时满足“被举报账号甲”和“处理状态待处理”；R002仅满足前者、R003仅满足后者，三者均可在无条件列表查看</x:v>
      </x:c>
      <x:c r="J532" s="9" t="str">
        <x:v>1. 打开账号违规记录
2. 选择被举报账号甲
3. 选择处理状态待处理
4. 点击查询</x:v>
      </x:c>
      <x:c r="K532" s="9" t="str">
        <x:v>当前结果不包含R002</x:v>
      </x:c>
      <x:c r="L532" s="10" t="str"/>
      <x:c r="M532" s="10" t="str">
        <x:v>未测</x:v>
      </x:c>
      <x:c r="N532" s="10" t="str"/>
      <x:c r="O532" s="9" t="str">
        <x:v>1. 来源（当前证据）：liveshow-proto/MainBasis/统一需求文档.md；位置：第 2657 行；REQ-bc718c5754c4、第 2649 行
2. 规则：BR-73DBBEC064483D
3. 未动态验证
4. 示例账号、编号、金额与日期是本条测试数据；执行前按前置条件准备，未填写的产品决策不得自行假定。</x:v>
      </x:c>
    </x:row>
    <x:row r="533" ht="130" customHeight="1">
      <x:c r="A533" s="10" t="n">
        <x:v>532</x:v>
      </x:c>
      <x:c r="B533" s="10" t="str">
        <x:v>ADMIN-0532</x:v>
      </x:c>
      <x:c r="C533" s="10" t="str">
        <x:v>内容审核</x:v>
      </x:c>
      <x:c r="D533" s="10" t="str">
        <x:v>账号违规（审核管理员）</x:v>
      </x:c>
      <x:c r="E533" s="10" t="str">
        <x:v>功能需求</x:v>
      </x:c>
      <x:c r="F533" s="10" t="str">
        <x:v>P1</x:v>
      </x:c>
      <x:c r="G533" s="9" t="str">
        <x:v>验证账号违规记录筛选条件取交集</x:v>
      </x:c>
      <x:c r="H533" s="9" t="str">
        <x:v>查询交集排除第二条件独立命中</x:v>
      </x:c>
      <x:c r="I533" s="9" t="str">
        <x:v>1. 审核管理员为本条执行者
2. 测试管理员已登录，具备账号违规记录查询权限
3. 记录R001同时满足“被举报账号甲”和“处理状态待处理”；R002仅满足前者、R003仅满足后者，三者均可在无条件列表查看</x:v>
      </x:c>
      <x:c r="J533" s="9" t="str">
        <x:v>1. 打开账号违规记录
2. 选择被举报账号甲
3. 选择处理状态待处理
4. 点击查询</x:v>
      </x:c>
      <x:c r="K533" s="9" t="str">
        <x:v>当前结果不包含R003</x:v>
      </x:c>
      <x:c r="L533" s="10" t="str"/>
      <x:c r="M533" s="10" t="str">
        <x:v>未测</x:v>
      </x:c>
      <x:c r="N533" s="10" t="str"/>
      <x:c r="O533" s="9" t="str">
        <x:v>1. 来源（当前证据）：liveshow-proto/MainBasis/统一需求文档.md；位置：第 2657 行；REQ-bc718c5754c4、第 2649 行
2. 规则：BR-6C1B1E99110DC9
3. 未动态验证
4. 示例账号、编号、金额与日期是本条测试数据；执行前按前置条件准备，未填写的产品决策不得自行假定。</x:v>
      </x:c>
    </x:row>
    <x:row r="534" ht="130" customHeight="1">
      <x:c r="A534" s="10" t="n">
        <x:v>533</x:v>
      </x:c>
      <x:c r="B534" s="10" t="str">
        <x:v>ADMIN-0533</x:v>
      </x:c>
      <x:c r="C534" s="10" t="str">
        <x:v>运营管理</x:v>
      </x:c>
      <x:c r="D534" s="10" t="str">
        <x:v>展位配置（平台管理员）</x:v>
      </x:c>
      <x:c r="E534" s="10" t="str">
        <x:v>功能需求</x:v>
      </x:c>
      <x:c r="F534" s="10" t="str">
        <x:v>P2</x:v>
      </x:c>
      <x:c r="G534" s="9" t="str">
        <x:v>验证展位配置筛选条件取交集</x:v>
      </x:c>
      <x:c r="H534" s="9" t="str">
        <x:v>查询交集包含</x:v>
      </x:c>
      <x:c r="I534" s="9" t="str">
        <x:v>1. 平台管理员为本条执行者
2. 测试管理员已登录，具备展位配置查询权限
3. 记录R001同时满足“展示位置直播广场运营位”和“状态展示”；R002仅满足前者、R003仅满足后者，三者均可在无条件列表查看</x:v>
      </x:c>
      <x:c r="J534" s="9" t="str">
        <x:v>1. 打开展位配置
2. 选择展示位置直播广场运营位
3. 选择状态展示
4. 点击查询</x:v>
      </x:c>
      <x:c r="K534" s="9" t="str">
        <x:v>当前结果包含R001</x:v>
      </x:c>
      <x:c r="L534" s="10" t="str"/>
      <x:c r="M534" s="10" t="str">
        <x:v>未测</x:v>
      </x:c>
      <x:c r="N534" s="10" t="str"/>
      <x:c r="O534" s="9" t="str">
        <x:v>1. 来源（当前证据）：liveshow-proto/MainBasis/统一需求文档.md；位置：第 2851 行；REQ-5360ed395f1b、第 2844 行
2. 规则：BR-60538B584BDF22
3. 未动态验证
4. 示例账号、编号、金额与日期是本条测试数据；执行前按前置条件准备，未填写的产品决策不得自行假定。</x:v>
      </x:c>
    </x:row>
    <x:row r="535" ht="130" customHeight="1">
      <x:c r="A535" s="10" t="n">
        <x:v>534</x:v>
      </x:c>
      <x:c r="B535" s="10" t="str">
        <x:v>ADMIN-0534</x:v>
      </x:c>
      <x:c r="C535" s="10" t="str">
        <x:v>运营管理</x:v>
      </x:c>
      <x:c r="D535" s="10" t="str">
        <x:v>展位配置（平台管理员）</x:v>
      </x:c>
      <x:c r="E535" s="10" t="str">
        <x:v>功能需求</x:v>
      </x:c>
      <x:c r="F535" s="10" t="str">
        <x:v>P2</x:v>
      </x:c>
      <x:c r="G535" s="9" t="str">
        <x:v>验证展位配置筛选条件取交集</x:v>
      </x:c>
      <x:c r="H535" s="9" t="str">
        <x:v>查询交集排除第一条件独立命中</x:v>
      </x:c>
      <x:c r="I535" s="9" t="str">
        <x:v>1. 平台管理员为本条执行者
2. 测试管理员已登录，具备展位配置查询权限
3. 记录R001同时满足“展示位置直播广场运营位”和“状态展示”；R002仅满足前者、R003仅满足后者，三者均可在无条件列表查看</x:v>
      </x:c>
      <x:c r="J535" s="9" t="str">
        <x:v>1. 打开展位配置
2. 选择展示位置直播广场运营位
3. 选择状态展示
4. 点击查询</x:v>
      </x:c>
      <x:c r="K535" s="9" t="str">
        <x:v>当前结果不包含R002</x:v>
      </x:c>
      <x:c r="L535" s="10" t="str"/>
      <x:c r="M535" s="10" t="str">
        <x:v>未测</x:v>
      </x:c>
      <x:c r="N535" s="10" t="str"/>
      <x:c r="O535" s="9" t="str">
        <x:v>1. 来源（当前证据）：liveshow-proto/MainBasis/统一需求文档.md；位置：第 2851 行；REQ-5360ed395f1b、第 2844 行
2. 规则：BR-478916969CD0A7
3. 未动态验证
4. 示例账号、编号、金额与日期是本条测试数据；执行前按前置条件准备，未填写的产品决策不得自行假定。</x:v>
      </x:c>
    </x:row>
    <x:row r="536" ht="130" customHeight="1">
      <x:c r="A536" s="10" t="n">
        <x:v>535</x:v>
      </x:c>
      <x:c r="B536" s="10" t="str">
        <x:v>ADMIN-0535</x:v>
      </x:c>
      <x:c r="C536" s="10" t="str">
        <x:v>运营管理</x:v>
      </x:c>
      <x:c r="D536" s="10" t="str">
        <x:v>展位配置（平台管理员）</x:v>
      </x:c>
      <x:c r="E536" s="10" t="str">
        <x:v>功能需求</x:v>
      </x:c>
      <x:c r="F536" s="10" t="str">
        <x:v>P2</x:v>
      </x:c>
      <x:c r="G536" s="9" t="str">
        <x:v>验证展位配置筛选条件取交集</x:v>
      </x:c>
      <x:c r="H536" s="9" t="str">
        <x:v>查询交集排除第二条件独立命中</x:v>
      </x:c>
      <x:c r="I536" s="9" t="str">
        <x:v>1. 平台管理员为本条执行者
2. 测试管理员已登录，具备展位配置查询权限
3. 记录R001同时满足“展示位置直播广场运营位”和“状态展示”；R002仅满足前者、R003仅满足后者，三者均可在无条件列表查看</x:v>
      </x:c>
      <x:c r="J536" s="9" t="str">
        <x:v>1. 打开展位配置
2. 选择展示位置直播广场运营位
3. 选择状态展示
4. 点击查询</x:v>
      </x:c>
      <x:c r="K536" s="9" t="str">
        <x:v>当前结果不包含R003</x:v>
      </x:c>
      <x:c r="L536" s="10" t="str"/>
      <x:c r="M536" s="10" t="str">
        <x:v>未测</x:v>
      </x:c>
      <x:c r="N536" s="10" t="str"/>
      <x:c r="O536" s="9" t="str">
        <x:v>1. 来源（当前证据）：liveshow-proto/MainBasis/统一需求文档.md；位置：第 2851 行；REQ-5360ed395f1b、第 2844 行
2. 规则：BR-6ABB8A77D89FB5
3. 未动态验证
4. 示例账号、编号、金额与日期是本条测试数据；执行前按前置条件准备，未填写的产品决策不得自行假定。</x:v>
      </x:c>
    </x:row>
    <x:row r="537" ht="130" customHeight="1">
      <x:c r="A537" s="10" t="n">
        <x:v>536</x:v>
      </x:c>
      <x:c r="B537" s="10" t="str">
        <x:v>ADMIN-0536</x:v>
      </x:c>
      <x:c r="C537" s="10" t="str">
        <x:v>运营管理</x:v>
      </x:c>
      <x:c r="D537" s="10" t="str">
        <x:v>推送管理（平台管理员）</x:v>
      </x:c>
      <x:c r="E537" s="10" t="str">
        <x:v>功能需求</x:v>
      </x:c>
      <x:c r="F537" s="10" t="str">
        <x:v>P2</x:v>
      </x:c>
      <x:c r="G537" s="9" t="str">
        <x:v>验证推送管理筛选条件取交集</x:v>
      </x:c>
      <x:c r="H537" s="9" t="str">
        <x:v>查询交集包含</x:v>
      </x:c>
      <x:c r="I537" s="9" t="str">
        <x:v>1. 平台管理员为本条执行者
2. 测试管理员已登录，具备推送管理查询权限
3. 记录R001同时满足“目标用户为指定公会用户”和“状态待发送”；R002仅满足前者、R003仅满足后者，三者均可在无条件列表查看</x:v>
      </x:c>
      <x:c r="J537" s="9" t="str">
        <x:v>1. 打开推送管理
2. 选择目标用户为指定公会用户
3. 选择状态待发送
4. 点击查询</x:v>
      </x:c>
      <x:c r="K537" s="9" t="str">
        <x:v>当前结果包含R001</x:v>
      </x:c>
      <x:c r="L537" s="10" t="str"/>
      <x:c r="M537" s="10" t="str">
        <x:v>未测</x:v>
      </x:c>
      <x:c r="N537" s="10" t="str"/>
      <x:c r="O537" s="9" t="str">
        <x:v>1. 来源（当前证据）：liveshow-proto/MainBasis/统一需求文档.md；位置：第 2876 行；REQ-7621feb18712、第 2869 行
2. 规则：BR-1CFFA6615859BF
3. 未动态验证
4. 示例账号、编号、金额与日期是本条测试数据；执行前按前置条件准备，未填写的产品决策不得自行假定。</x:v>
      </x:c>
    </x:row>
    <x:row r="538" ht="130" customHeight="1">
      <x:c r="A538" s="10" t="n">
        <x:v>537</x:v>
      </x:c>
      <x:c r="B538" s="10" t="str">
        <x:v>ADMIN-0537</x:v>
      </x:c>
      <x:c r="C538" s="10" t="str">
        <x:v>运营管理</x:v>
      </x:c>
      <x:c r="D538" s="10" t="str">
        <x:v>推送管理（平台管理员）</x:v>
      </x:c>
      <x:c r="E538" s="10" t="str">
        <x:v>功能需求</x:v>
      </x:c>
      <x:c r="F538" s="10" t="str">
        <x:v>P2</x:v>
      </x:c>
      <x:c r="G538" s="9" t="str">
        <x:v>验证推送管理筛选条件取交集</x:v>
      </x:c>
      <x:c r="H538" s="9" t="str">
        <x:v>查询交集排除第一条件独立命中</x:v>
      </x:c>
      <x:c r="I538" s="9" t="str">
        <x:v>1. 平台管理员为本条执行者
2. 测试管理员已登录，具备推送管理查询权限
3. 记录R001同时满足“目标用户为指定公会用户”和“状态待发送”；R002仅满足前者、R003仅满足后者，三者均可在无条件列表查看</x:v>
      </x:c>
      <x:c r="J538" s="9" t="str">
        <x:v>1. 打开推送管理
2. 选择目标用户为指定公会用户
3. 选择状态待发送
4. 点击查询</x:v>
      </x:c>
      <x:c r="K538" s="9" t="str">
        <x:v>当前结果不包含R002</x:v>
      </x:c>
      <x:c r="L538" s="10" t="str"/>
      <x:c r="M538" s="10" t="str">
        <x:v>未测</x:v>
      </x:c>
      <x:c r="N538" s="10" t="str"/>
      <x:c r="O538" s="9" t="str">
        <x:v>1. 来源（当前证据）：liveshow-proto/MainBasis/统一需求文档.md；位置：第 2876 行；REQ-7621feb18712、第 2869 行
2. 规则：BR-08F07A851962F1
3. 未动态验证
4. 示例账号、编号、金额与日期是本条测试数据；执行前按前置条件准备，未填写的产品决策不得自行假定。</x:v>
      </x:c>
    </x:row>
    <x:row r="539" ht="130" customHeight="1">
      <x:c r="A539" s="10" t="n">
        <x:v>538</x:v>
      </x:c>
      <x:c r="B539" s="10" t="str">
        <x:v>ADMIN-0538</x:v>
      </x:c>
      <x:c r="C539" s="10" t="str">
        <x:v>运营管理</x:v>
      </x:c>
      <x:c r="D539" s="10" t="str">
        <x:v>推送管理（平台管理员）</x:v>
      </x:c>
      <x:c r="E539" s="10" t="str">
        <x:v>功能需求</x:v>
      </x:c>
      <x:c r="F539" s="10" t="str">
        <x:v>P2</x:v>
      </x:c>
      <x:c r="G539" s="9" t="str">
        <x:v>验证推送管理筛选条件取交集</x:v>
      </x:c>
      <x:c r="H539" s="9" t="str">
        <x:v>查询交集排除第二条件独立命中</x:v>
      </x:c>
      <x:c r="I539" s="9" t="str">
        <x:v>1. 平台管理员为本条执行者
2. 测试管理员已登录，具备推送管理查询权限
3. 记录R001同时满足“目标用户为指定公会用户”和“状态待发送”；R002仅满足前者、R003仅满足后者，三者均可在无条件列表查看</x:v>
      </x:c>
      <x:c r="J539" s="9" t="str">
        <x:v>1. 打开推送管理
2. 选择目标用户为指定公会用户
3. 选择状态待发送
4. 点击查询</x:v>
      </x:c>
      <x:c r="K539" s="9" t="str">
        <x:v>当前结果不包含R003</x:v>
      </x:c>
      <x:c r="L539" s="10" t="str"/>
      <x:c r="M539" s="10" t="str">
        <x:v>未测</x:v>
      </x:c>
      <x:c r="N539" s="10" t="str"/>
      <x:c r="O539" s="9" t="str">
        <x:v>1. 来源（当前证据）：liveshow-proto/MainBasis/统一需求文档.md；位置：第 2876 行；REQ-7621feb18712、第 2869 行
2. 规则：BR-C409D49E070000
3. 未动态验证
4. 示例账号、编号、金额与日期是本条测试数据；执行前按前置条件准备，未填写的产品决策不得自行假定。</x:v>
      </x:c>
    </x:row>
    <x:row r="540" ht="130" customHeight="1">
      <x:c r="A540" s="10" t="n">
        <x:v>539</x:v>
      </x:c>
      <x:c r="B540" s="10" t="str">
        <x:v>ADMIN-0539</x:v>
      </x:c>
      <x:c r="C540" s="10" t="str">
        <x:v>订单管理</x:v>
      </x:c>
      <x:c r="D540" s="10" t="str">
        <x:v>充值订单（财务管理员）</x:v>
      </x:c>
      <x:c r="E540" s="10" t="str">
        <x:v>功能需求</x:v>
      </x:c>
      <x:c r="F540" s="10" t="str">
        <x:v>P1</x:v>
      </x:c>
      <x:c r="G540" s="9" t="str">
        <x:v>验证充值订单筛选条件取交集</x:v>
      </x:c>
      <x:c r="H540" s="9" t="str">
        <x:v>查询交集包含</x:v>
      </x:c>
      <x:c r="I540" s="9" t="str">
        <x:v>1. 财务管理员为本条执行者
2. 测试管理员已登录，具备充值订单查询权限
3. 记录R001同时满足“用户甲”和“状态支付成功”；R002仅满足前者、R003仅满足后者，三者均可在无条件列表查看</x:v>
      </x:c>
      <x:c r="J540" s="9" t="str">
        <x:v>1. 打开充值订单
2. 选择用户甲
3. 选择状态支付成功
4. 点击查询</x:v>
      </x:c>
      <x:c r="K540" s="9" t="str">
        <x:v>当前结果包含R001</x:v>
      </x:c>
      <x:c r="L540" s="10" t="str"/>
      <x:c r="M540" s="10" t="str">
        <x:v>未测</x:v>
      </x:c>
      <x:c r="N540" s="10" t="str"/>
      <x:c r="O540" s="9" t="str">
        <x:v>1. 来源（当前证据）：liveshow-proto/MainBasis/统一需求文档.md；位置：第 3040 行；REQ-e0a0df62d471、第 3031 行
2. 规则：BR-C7354823895552
3. 未动态验证
4. 示例账号、编号、金额与日期是本条测试数据；执行前按前置条件准备，未填写的产品决策不得自行假定。</x:v>
      </x:c>
    </x:row>
    <x:row r="541" ht="130" customHeight="1">
      <x:c r="A541" s="10" t="n">
        <x:v>540</x:v>
      </x:c>
      <x:c r="B541" s="10" t="str">
        <x:v>ADMIN-0540</x:v>
      </x:c>
      <x:c r="C541" s="10" t="str">
        <x:v>订单管理</x:v>
      </x:c>
      <x:c r="D541" s="10" t="str">
        <x:v>充值订单（财务管理员）</x:v>
      </x:c>
      <x:c r="E541" s="10" t="str">
        <x:v>功能需求</x:v>
      </x:c>
      <x:c r="F541" s="10" t="str">
        <x:v>P1</x:v>
      </x:c>
      <x:c r="G541" s="9" t="str">
        <x:v>验证充值订单筛选条件取交集</x:v>
      </x:c>
      <x:c r="H541" s="9" t="str">
        <x:v>查询交集排除第一条件独立命中</x:v>
      </x:c>
      <x:c r="I541" s="9" t="str">
        <x:v>1. 财务管理员为本条执行者
2. 测试管理员已登录，具备充值订单查询权限
3. 记录R001同时满足“用户甲”和“状态支付成功”；R002仅满足前者、R003仅满足后者，三者均可在无条件列表查看</x:v>
      </x:c>
      <x:c r="J541" s="9" t="str">
        <x:v>1. 打开充值订单
2. 选择用户甲
3. 选择状态支付成功
4. 点击查询</x:v>
      </x:c>
      <x:c r="K541" s="9" t="str">
        <x:v>当前结果不包含R002</x:v>
      </x:c>
      <x:c r="L541" s="10" t="str"/>
      <x:c r="M541" s="10" t="str">
        <x:v>未测</x:v>
      </x:c>
      <x:c r="N541" s="10" t="str"/>
      <x:c r="O541" s="9" t="str">
        <x:v>1. 来源（当前证据）：liveshow-proto/MainBasis/统一需求文档.md；位置：第 3040 行；REQ-e0a0df62d471、第 3031 行
2. 规则：BR-935C0539C13F2D
3. 未动态验证
4. 示例账号、编号、金额与日期是本条测试数据；执行前按前置条件准备，未填写的产品决策不得自行假定。</x:v>
      </x:c>
    </x:row>
    <x:row r="542" ht="130" customHeight="1">
      <x:c r="A542" s="10" t="n">
        <x:v>541</x:v>
      </x:c>
      <x:c r="B542" s="10" t="str">
        <x:v>ADMIN-0541</x:v>
      </x:c>
      <x:c r="C542" s="10" t="str">
        <x:v>订单管理</x:v>
      </x:c>
      <x:c r="D542" s="10" t="str">
        <x:v>充值订单（财务管理员）</x:v>
      </x:c>
      <x:c r="E542" s="10" t="str">
        <x:v>功能需求</x:v>
      </x:c>
      <x:c r="F542" s="10" t="str">
        <x:v>P1</x:v>
      </x:c>
      <x:c r="G542" s="9" t="str">
        <x:v>验证充值订单筛选条件取交集</x:v>
      </x:c>
      <x:c r="H542" s="9" t="str">
        <x:v>查询交集排除第二条件独立命中</x:v>
      </x:c>
      <x:c r="I542" s="9" t="str">
        <x:v>1. 财务管理员为本条执行者
2. 测试管理员已登录，具备充值订单查询权限
3. 记录R001同时满足“用户甲”和“状态支付成功”；R002仅满足前者、R003仅满足后者，三者均可在无条件列表查看</x:v>
      </x:c>
      <x:c r="J542" s="9" t="str">
        <x:v>1. 打开充值订单
2. 选择用户甲
3. 选择状态支付成功
4. 点击查询</x:v>
      </x:c>
      <x:c r="K542" s="9" t="str">
        <x:v>当前结果不包含R003</x:v>
      </x:c>
      <x:c r="L542" s="10" t="str"/>
      <x:c r="M542" s="10" t="str">
        <x:v>未测</x:v>
      </x:c>
      <x:c r="N542" s="10" t="str"/>
      <x:c r="O542" s="9" t="str">
        <x:v>1. 来源（当前证据）：liveshow-proto/MainBasis/统一需求文档.md；位置：第 3040 行；REQ-e0a0df62d471、第 3031 行
2. 规则：BR-F57DB3C373923D
3. 未动态验证
4. 示例账号、编号、金额与日期是本条测试数据；执行前按前置条件准备，未填写的产品决策不得自行假定。</x:v>
      </x:c>
    </x:row>
    <x:row r="543" ht="130" customHeight="1">
      <x:c r="A543" s="10" t="n">
        <x:v>542</x:v>
      </x:c>
      <x:c r="B543" s="10" t="str">
        <x:v>ADMIN-0542</x:v>
      </x:c>
      <x:c r="C543" s="10" t="str">
        <x:v>订单管理</x:v>
      </x:c>
      <x:c r="D543" s="10" t="str">
        <x:v>消费订单（财务管理员）</x:v>
      </x:c>
      <x:c r="E543" s="10" t="str">
        <x:v>功能需求</x:v>
      </x:c>
      <x:c r="F543" s="10" t="str">
        <x:v>P2</x:v>
      </x:c>
      <x:c r="G543" s="9" t="str">
        <x:v>验证消费订单筛选条件取交集</x:v>
      </x:c>
      <x:c r="H543" s="9" t="str">
        <x:v>查询交集包含</x:v>
      </x:c>
      <x:c r="I543" s="9" t="str">
        <x:v>1. 财务管理员为本条执行者
2. 测试管理员已登录，具备消费订单查询权限
3. 记录R001同时满足“用户甲”和“消费类型普通礼物”；R002仅满足前者、R003仅满足后者，三者均可在无条件列表查看</x:v>
      </x:c>
      <x:c r="J543" s="9" t="str">
        <x:v>1. 打开消费订单
2. 选择用户甲
3. 选择消费类型普通礼物
4. 点击查询</x:v>
      </x:c>
      <x:c r="K543" s="9" t="str">
        <x:v>当前结果包含R001</x:v>
      </x:c>
      <x:c r="L543" s="10" t="str"/>
      <x:c r="M543" s="10" t="str">
        <x:v>未测</x:v>
      </x:c>
      <x:c r="N543" s="10" t="str"/>
      <x:c r="O543" s="9" t="str">
        <x:v>1. 来源（当前证据）：liveshow-proto/MainBasis/统一需求文档.md；位置：第 3067 行；REQ-e73bc1482a71、第 3057 行
2. 规则：BR-C8BB8E498AACB0
3. 未动态验证
4. 示例账号、编号、金额与日期是本条测试数据；执行前按前置条件准备，未填写的产品决策不得自行假定。</x:v>
      </x:c>
    </x:row>
    <x:row r="544" ht="130" customHeight="1">
      <x:c r="A544" s="10" t="n">
        <x:v>543</x:v>
      </x:c>
      <x:c r="B544" s="10" t="str">
        <x:v>ADMIN-0543</x:v>
      </x:c>
      <x:c r="C544" s="10" t="str">
        <x:v>订单管理</x:v>
      </x:c>
      <x:c r="D544" s="10" t="str">
        <x:v>消费订单（财务管理员）</x:v>
      </x:c>
      <x:c r="E544" s="10" t="str">
        <x:v>功能需求</x:v>
      </x:c>
      <x:c r="F544" s="10" t="str">
        <x:v>P2</x:v>
      </x:c>
      <x:c r="G544" s="9" t="str">
        <x:v>验证消费订单筛选条件取交集</x:v>
      </x:c>
      <x:c r="H544" s="9" t="str">
        <x:v>查询交集排除第一条件独立命中</x:v>
      </x:c>
      <x:c r="I544" s="9" t="str">
        <x:v>1. 财务管理员为本条执行者
2. 测试管理员已登录，具备消费订单查询权限
3. 记录R001同时满足“用户甲”和“消费类型普通礼物”；R002仅满足前者、R003仅满足后者，三者均可在无条件列表查看</x:v>
      </x:c>
      <x:c r="J544" s="9" t="str">
        <x:v>1. 打开消费订单
2. 选择用户甲
3. 选择消费类型普通礼物
4. 点击查询</x:v>
      </x:c>
      <x:c r="K544" s="9" t="str">
        <x:v>当前结果不包含R002</x:v>
      </x:c>
      <x:c r="L544" s="10" t="str"/>
      <x:c r="M544" s="10" t="str">
        <x:v>未测</x:v>
      </x:c>
      <x:c r="N544" s="10" t="str"/>
      <x:c r="O544" s="9" t="str">
        <x:v>1. 来源（当前证据）：liveshow-proto/MainBasis/统一需求文档.md；位置：第 3067 行；REQ-e73bc1482a71、第 3057 行
2. 规则：BR-5B19CB9AAD8077
3. 未动态验证
4. 示例账号、编号、金额与日期是本条测试数据；执行前按前置条件准备，未填写的产品决策不得自行假定。</x:v>
      </x:c>
    </x:row>
    <x:row r="545" ht="130" customHeight="1">
      <x:c r="A545" s="10" t="n">
        <x:v>544</x:v>
      </x:c>
      <x:c r="B545" s="10" t="str">
        <x:v>ADMIN-0544</x:v>
      </x:c>
      <x:c r="C545" s="10" t="str">
        <x:v>订单管理</x:v>
      </x:c>
      <x:c r="D545" s="10" t="str">
        <x:v>消费订单（财务管理员）</x:v>
      </x:c>
      <x:c r="E545" s="10" t="str">
        <x:v>功能需求</x:v>
      </x:c>
      <x:c r="F545" s="10" t="str">
        <x:v>P2</x:v>
      </x:c>
      <x:c r="G545" s="9" t="str">
        <x:v>验证消费订单筛选条件取交集</x:v>
      </x:c>
      <x:c r="H545" s="9" t="str">
        <x:v>查询交集排除第二条件独立命中</x:v>
      </x:c>
      <x:c r="I545" s="9" t="str">
        <x:v>1. 财务管理员为本条执行者
2. 测试管理员已登录，具备消费订单查询权限
3. 记录R001同时满足“用户甲”和“消费类型普通礼物”；R002仅满足前者、R003仅满足后者，三者均可在无条件列表查看</x:v>
      </x:c>
      <x:c r="J545" s="9" t="str">
        <x:v>1. 打开消费订单
2. 选择用户甲
3. 选择消费类型普通礼物
4. 点击查询</x:v>
      </x:c>
      <x:c r="K545" s="9" t="str">
        <x:v>当前结果不包含R003</x:v>
      </x:c>
      <x:c r="L545" s="10" t="str"/>
      <x:c r="M545" s="10" t="str">
        <x:v>未测</x:v>
      </x:c>
      <x:c r="N545" s="10" t="str"/>
      <x:c r="O545" s="9" t="str">
        <x:v>1. 来源（当前证据）：liveshow-proto/MainBasis/统一需求文档.md；位置：第 3067 行；REQ-e73bc1482a71、第 3057 行
2. 规则：BR-9BB0F79606A184
3. 未动态验证
4. 示例账号、编号、金额与日期是本条测试数据；执行前按前置条件准备，未填写的产品决策不得自行假定。</x:v>
      </x:c>
    </x:row>
    <x:row r="546" ht="130" customHeight="1">
      <x:c r="A546" s="10" t="n">
        <x:v>545</x:v>
      </x:c>
      <x:c r="B546" s="10" t="str">
        <x:v>ADMIN-0545</x:v>
      </x:c>
      <x:c r="C546" s="10" t="str">
        <x:v>订单管理</x:v>
      </x:c>
      <x:c r="D546" s="10" t="str">
        <x:v>退款订单（财务管理员）</x:v>
      </x:c>
      <x:c r="E546" s="10" t="str">
        <x:v>功能需求</x:v>
      </x:c>
      <x:c r="F546" s="10" t="str">
        <x:v>P1</x:v>
      </x:c>
      <x:c r="G546" s="9" t="str">
        <x:v>验证退款订单筛选条件取交集</x:v>
      </x:c>
      <x:c r="H546" s="9" t="str">
        <x:v>查询交集包含</x:v>
      </x:c>
      <x:c r="I546" s="9" t="str">
        <x:v>1. 财务管理员为本条执行者
2. 测试管理员已登录，具备退款订单查询权限
3. 记录R001同时满足“用户甲”和“退款日期09/01至09/02”；R002仅满足前者、R003仅满足后者，三者均可在无条件列表查看</x:v>
      </x:c>
      <x:c r="J546" s="9" t="str">
        <x:v>1. 打开退款订单
2. 选择用户甲
3. 选择退款日期09/01至09/02
4. 点击查询</x:v>
      </x:c>
      <x:c r="K546" s="9" t="str">
        <x:v>当前结果包含R001</x:v>
      </x:c>
      <x:c r="L546" s="10" t="str"/>
      <x:c r="M546" s="10" t="str">
        <x:v>未测</x:v>
      </x:c>
      <x:c r="N546" s="10" t="str"/>
      <x:c r="O546" s="9" t="str">
        <x:v>1. 来源（当前证据）：liveshow-proto/MainBasis/统一需求文档.md；位置：第 3091 行；REQ-58fa55dda2a3、第 3082 行
2. 规则：BR-15BF199D60FA79
3. 未动态验证
4. 示例账号、编号、金额与日期是本条测试数据；执行前按前置条件准备，未填写的产品决策不得自行假定。</x:v>
      </x:c>
    </x:row>
    <x:row r="547" ht="130" customHeight="1">
      <x:c r="A547" s="10" t="n">
        <x:v>546</x:v>
      </x:c>
      <x:c r="B547" s="10" t="str">
        <x:v>ADMIN-0546</x:v>
      </x:c>
      <x:c r="C547" s="10" t="str">
        <x:v>订单管理</x:v>
      </x:c>
      <x:c r="D547" s="10" t="str">
        <x:v>退款订单（财务管理员）</x:v>
      </x:c>
      <x:c r="E547" s="10" t="str">
        <x:v>功能需求</x:v>
      </x:c>
      <x:c r="F547" s="10" t="str">
        <x:v>P1</x:v>
      </x:c>
      <x:c r="G547" s="9" t="str">
        <x:v>验证退款订单筛选条件取交集</x:v>
      </x:c>
      <x:c r="H547" s="9" t="str">
        <x:v>查询交集排除第一条件独立命中</x:v>
      </x:c>
      <x:c r="I547" s="9" t="str">
        <x:v>1. 财务管理员为本条执行者
2. 测试管理员已登录，具备退款订单查询权限
3. 记录R001同时满足“用户甲”和“退款日期09/01至09/02”；R002仅满足前者、R003仅满足后者，三者均可在无条件列表查看</x:v>
      </x:c>
      <x:c r="J547" s="9" t="str">
        <x:v>1. 打开退款订单
2. 选择用户甲
3. 选择退款日期09/01至09/02
4. 点击查询</x:v>
      </x:c>
      <x:c r="K547" s="9" t="str">
        <x:v>当前结果不包含R002</x:v>
      </x:c>
      <x:c r="L547" s="10" t="str"/>
      <x:c r="M547" s="10" t="str">
        <x:v>未测</x:v>
      </x:c>
      <x:c r="N547" s="10" t="str"/>
      <x:c r="O547" s="9" t="str">
        <x:v>1. 来源（当前证据）：liveshow-proto/MainBasis/统一需求文档.md；位置：第 3091 行；REQ-58fa55dda2a3、第 3082 行
2. 规则：BR-27A34D303F3817
3. 未动态验证
4. 示例账号、编号、金额与日期是本条测试数据；执行前按前置条件准备，未填写的产品决策不得自行假定。</x:v>
      </x:c>
    </x:row>
    <x:row r="548" ht="130" customHeight="1">
      <x:c r="A548" s="10" t="n">
        <x:v>547</x:v>
      </x:c>
      <x:c r="B548" s="10" t="str">
        <x:v>ADMIN-0547</x:v>
      </x:c>
      <x:c r="C548" s="10" t="str">
        <x:v>订单管理</x:v>
      </x:c>
      <x:c r="D548" s="10" t="str">
        <x:v>退款订单（财务管理员）</x:v>
      </x:c>
      <x:c r="E548" s="10" t="str">
        <x:v>功能需求</x:v>
      </x:c>
      <x:c r="F548" s="10" t="str">
        <x:v>P1</x:v>
      </x:c>
      <x:c r="G548" s="9" t="str">
        <x:v>验证退款订单筛选条件取交集</x:v>
      </x:c>
      <x:c r="H548" s="9" t="str">
        <x:v>查询交集排除第二条件独立命中</x:v>
      </x:c>
      <x:c r="I548" s="9" t="str">
        <x:v>1. 财务管理员为本条执行者
2. 测试管理员已登录，具备退款订单查询权限
3. 记录R001同时满足“用户甲”和“退款日期09/01至09/02”；R002仅满足前者、R003仅满足后者，三者均可在无条件列表查看</x:v>
      </x:c>
      <x:c r="J548" s="9" t="str">
        <x:v>1. 打开退款订单
2. 选择用户甲
3. 选择退款日期09/01至09/02
4. 点击查询</x:v>
      </x:c>
      <x:c r="K548" s="9" t="str">
        <x:v>当前结果不包含R003</x:v>
      </x:c>
      <x:c r="L548" s="10" t="str"/>
      <x:c r="M548" s="10" t="str">
        <x:v>未测</x:v>
      </x:c>
      <x:c r="N548" s="10" t="str"/>
      <x:c r="O548" s="9" t="str">
        <x:v>1. 来源（当前证据）：liveshow-proto/MainBasis/统一需求文档.md；位置：第 3091 行；REQ-58fa55dda2a3、第 3082 行
2. 规则：BR-AA1ED4CE872E5C
3. 未动态验证
4. 示例账号、编号、金额与日期是本条测试数据；执行前按前置条件准备，未填写的产品决策不得自行假定。</x:v>
      </x:c>
    </x:row>
    <x:row r="549" ht="130" customHeight="1">
      <x:c r="A549" s="10" t="n">
        <x:v>548</x:v>
      </x:c>
      <x:c r="B549" s="10" t="str">
        <x:v>ADMIN-0548</x:v>
      </x:c>
      <x:c r="C549" s="10" t="str">
        <x:v>运营账号</x:v>
      </x:c>
      <x:c r="D549" s="10" t="str">
        <x:v>账号列表（平台管理员）</x:v>
      </x:c>
      <x:c r="E549" s="10" t="str">
        <x:v>功能需求</x:v>
      </x:c>
      <x:c r="F549" s="10" t="str">
        <x:v>P2</x:v>
      </x:c>
      <x:c r="G549" s="9" t="str">
        <x:v>验证运营账号筛选条件取交集</x:v>
      </x:c>
      <x:c r="H549" s="9" t="str">
        <x:v>查询交集包含</x:v>
      </x:c>
      <x:c r="I549" s="9" t="str">
        <x:v>1. 平台管理员为本条执行者
2. 测试管理员已登录，具备运营账号查询权限
3. 记录R001同时满足“所属公会甲”和“账号状态启用”；R002仅满足前者、R003仅满足后者，三者均可在无条件列表查看</x:v>
      </x:c>
      <x:c r="J549" s="9" t="str">
        <x:v>1. 打开运营账号
2. 选择所属公会甲
3. 选择账号状态启用
4. 点击查询</x:v>
      </x:c>
      <x:c r="K549" s="9" t="str">
        <x:v>当前结果包含R001</x:v>
      </x:c>
      <x:c r="L549" s="10" t="str"/>
      <x:c r="M549" s="10" t="str">
        <x:v>未测</x:v>
      </x:c>
      <x:c r="N549" s="10" t="str"/>
      <x:c r="O549" s="9" t="str">
        <x:v>1. 来源（当前证据）：liveshow-proto/MainBasis/统一需求文档.md；位置：第 3357 行；REQ-733df3fd18c3、第 3348 行
2. 规则：BR-A93C212EBB1944
3. 未动态验证
4. 示例账号、编号、金额与日期是本条测试数据；执行前按前置条件准备，未填写的产品决策不得自行假定。</x:v>
      </x:c>
    </x:row>
    <x:row r="550" ht="130" customHeight="1">
      <x:c r="A550" s="10" t="n">
        <x:v>549</x:v>
      </x:c>
      <x:c r="B550" s="10" t="str">
        <x:v>ADMIN-0549</x:v>
      </x:c>
      <x:c r="C550" s="10" t="str">
        <x:v>运营账号</x:v>
      </x:c>
      <x:c r="D550" s="10" t="str">
        <x:v>账号列表（平台管理员）</x:v>
      </x:c>
      <x:c r="E550" s="10" t="str">
        <x:v>功能需求</x:v>
      </x:c>
      <x:c r="F550" s="10" t="str">
        <x:v>P2</x:v>
      </x:c>
      <x:c r="G550" s="9" t="str">
        <x:v>验证运营账号筛选条件取交集</x:v>
      </x:c>
      <x:c r="H550" s="9" t="str">
        <x:v>查询交集排除第一条件独立命中</x:v>
      </x:c>
      <x:c r="I550" s="9" t="str">
        <x:v>1. 平台管理员为本条执行者
2. 测试管理员已登录，具备运营账号查询权限
3. 记录R001同时满足“所属公会甲”和“账号状态启用”；R002仅满足前者、R003仅满足后者，三者均可在无条件列表查看</x:v>
      </x:c>
      <x:c r="J550" s="9" t="str">
        <x:v>1. 打开运营账号
2. 选择所属公会甲
3. 选择账号状态启用
4. 点击查询</x:v>
      </x:c>
      <x:c r="K550" s="9" t="str">
        <x:v>当前结果不包含R002</x:v>
      </x:c>
      <x:c r="L550" s="10" t="str"/>
      <x:c r="M550" s="10" t="str">
        <x:v>未测</x:v>
      </x:c>
      <x:c r="N550" s="10" t="str"/>
      <x:c r="O550" s="9" t="str">
        <x:v>1. 来源（当前证据）：liveshow-proto/MainBasis/统一需求文档.md；位置：第 3357 行；REQ-733df3fd18c3、第 3348 行
2. 规则：BR-FFF72533211AEF
3. 未动态验证
4. 示例账号、编号、金额与日期是本条测试数据；执行前按前置条件准备，未填写的产品决策不得自行假定。</x:v>
      </x:c>
    </x:row>
    <x:row r="551" ht="130" customHeight="1">
      <x:c r="A551" s="10" t="n">
        <x:v>550</x:v>
      </x:c>
      <x:c r="B551" s="10" t="str">
        <x:v>ADMIN-0550</x:v>
      </x:c>
      <x:c r="C551" s="10" t="str">
        <x:v>运营账号</x:v>
      </x:c>
      <x:c r="D551" s="10" t="str">
        <x:v>账号列表（平台管理员）</x:v>
      </x:c>
      <x:c r="E551" s="10" t="str">
        <x:v>功能需求</x:v>
      </x:c>
      <x:c r="F551" s="10" t="str">
        <x:v>P2</x:v>
      </x:c>
      <x:c r="G551" s="9" t="str">
        <x:v>验证运营账号筛选条件取交集</x:v>
      </x:c>
      <x:c r="H551" s="9" t="str">
        <x:v>查询交集排除第二条件独立命中</x:v>
      </x:c>
      <x:c r="I551" s="9" t="str">
        <x:v>1. 平台管理员为本条执行者
2. 测试管理员已登录，具备运营账号查询权限
3. 记录R001同时满足“所属公会甲”和“账号状态启用”；R002仅满足前者、R003仅满足后者，三者均可在无条件列表查看</x:v>
      </x:c>
      <x:c r="J551" s="9" t="str">
        <x:v>1. 打开运营账号
2. 选择所属公会甲
3. 选择账号状态启用
4. 点击查询</x:v>
      </x:c>
      <x:c r="K551" s="9" t="str">
        <x:v>当前结果不包含R003</x:v>
      </x:c>
      <x:c r="L551" s="10" t="str"/>
      <x:c r="M551" s="10" t="str">
        <x:v>未测</x:v>
      </x:c>
      <x:c r="N551" s="10" t="str"/>
      <x:c r="O551" s="9" t="str">
        <x:v>1. 来源（当前证据）：liveshow-proto/MainBasis/统一需求文档.md；位置：第 3357 行；REQ-733df3fd18c3、第 3348 行
2. 规则：BR-04D57F28384570
3. 未动态验证
4. 示例账号、编号、金额与日期是本条测试数据；执行前按前置条件准备，未填写的产品决策不得自行假定。</x:v>
      </x:c>
    </x:row>
    <x:row r="552" ht="130" customHeight="1">
      <x:c r="A552" s="10" t="n">
        <x:v>551</x:v>
      </x:c>
      <x:c r="B552" s="10" t="str">
        <x:v>ADMIN-0551</x:v>
      </x:c>
      <x:c r="C552" s="10" t="str">
        <x:v>运营账号</x:v>
      </x:c>
      <x:c r="D552" s="10" t="str">
        <x:v>发放记录（平台管理员）</x:v>
      </x:c>
      <x:c r="E552" s="10" t="str">
        <x:v>功能需求</x:v>
      </x:c>
      <x:c r="F552" s="10" t="str">
        <x:v>P1</x:v>
      </x:c>
      <x:c r="G552" s="9" t="str">
        <x:v>验证虚拟金币发放记录筛选条件取交集</x:v>
      </x:c>
      <x:c r="H552" s="9" t="str">
        <x:v>查询交集包含</x:v>
      </x:c>
      <x:c r="I552" s="9" t="str">
        <x:v>1. 平台管理员为本条执行者
2. 测试管理员已登录，具备虚拟金币发放记录查询权限
3. 记录R001同时满足“公会甲”和“运营账号乙”；R002仅满足前者、R003仅满足后者，三者均可在无条件列表查看</x:v>
      </x:c>
      <x:c r="J552" s="9" t="str">
        <x:v>1. 打开虚拟金币发放记录
2. 选择公会甲
3. 选择运营账号乙
4. 点击查询</x:v>
      </x:c>
      <x:c r="K552" s="9" t="str">
        <x:v>当前结果包含R001</x:v>
      </x:c>
      <x:c r="L552" s="10" t="str"/>
      <x:c r="M552" s="10" t="str">
        <x:v>未测</x:v>
      </x:c>
      <x:c r="N552" s="10" t="str"/>
      <x:c r="O552" s="9" t="str">
        <x:v>1. 来源（当前证据）：liveshow-proto/MainBasis/统一需求文档.md；位置：第 3380 行；REQ-532bdb3ad7fe、第 3372 行
2. 规则：BR-F7D0DDF6F3825C
3. 未动态验证
4. 示例账号、编号、金额与日期是本条测试数据；执行前按前置条件准备，未填写的产品决策不得自行假定。</x:v>
      </x:c>
    </x:row>
    <x:row r="553" ht="130" customHeight="1">
      <x:c r="A553" s="10" t="n">
        <x:v>552</x:v>
      </x:c>
      <x:c r="B553" s="10" t="str">
        <x:v>ADMIN-0552</x:v>
      </x:c>
      <x:c r="C553" s="10" t="str">
        <x:v>运营账号</x:v>
      </x:c>
      <x:c r="D553" s="10" t="str">
        <x:v>发放记录（平台管理员）</x:v>
      </x:c>
      <x:c r="E553" s="10" t="str">
        <x:v>功能需求</x:v>
      </x:c>
      <x:c r="F553" s="10" t="str">
        <x:v>P1</x:v>
      </x:c>
      <x:c r="G553" s="9" t="str">
        <x:v>验证虚拟金币发放记录筛选条件取交集</x:v>
      </x:c>
      <x:c r="H553" s="9" t="str">
        <x:v>查询交集排除第一条件独立命中</x:v>
      </x:c>
      <x:c r="I553" s="9" t="str">
        <x:v>1. 平台管理员为本条执行者
2. 测试管理员已登录，具备虚拟金币发放记录查询权限
3. 记录R001同时满足“公会甲”和“运营账号乙”；R002仅满足前者、R003仅满足后者，三者均可在无条件列表查看</x:v>
      </x:c>
      <x:c r="J553" s="9" t="str">
        <x:v>1. 打开虚拟金币发放记录
2. 选择公会甲
3. 选择运营账号乙
4. 点击查询</x:v>
      </x:c>
      <x:c r="K553" s="9" t="str">
        <x:v>当前结果不包含R002</x:v>
      </x:c>
      <x:c r="L553" s="10" t="str"/>
      <x:c r="M553" s="10" t="str">
        <x:v>未测</x:v>
      </x:c>
      <x:c r="N553" s="10" t="str"/>
      <x:c r="O553" s="9" t="str">
        <x:v>1. 来源（当前证据）：liveshow-proto/MainBasis/统一需求文档.md；位置：第 3380 行；REQ-532bdb3ad7fe、第 3372 行
2. 规则：BR-CCDB5807654BC6
3. 未动态验证
4. 示例账号、编号、金额与日期是本条测试数据；执行前按前置条件准备，未填写的产品决策不得自行假定。</x:v>
      </x:c>
    </x:row>
    <x:row r="554" ht="130" customHeight="1">
      <x:c r="A554" s="10" t="n">
        <x:v>553</x:v>
      </x:c>
      <x:c r="B554" s="10" t="str">
        <x:v>ADMIN-0553</x:v>
      </x:c>
      <x:c r="C554" s="10" t="str">
        <x:v>运营账号</x:v>
      </x:c>
      <x:c r="D554" s="10" t="str">
        <x:v>发放记录（平台管理员）</x:v>
      </x:c>
      <x:c r="E554" s="10" t="str">
        <x:v>功能需求</x:v>
      </x:c>
      <x:c r="F554" s="10" t="str">
        <x:v>P1</x:v>
      </x:c>
      <x:c r="G554" s="9" t="str">
        <x:v>验证虚拟金币发放记录筛选条件取交集</x:v>
      </x:c>
      <x:c r="H554" s="9" t="str">
        <x:v>查询交集排除第二条件独立命中</x:v>
      </x:c>
      <x:c r="I554" s="9" t="str">
        <x:v>1. 平台管理员为本条执行者
2. 测试管理员已登录，具备虚拟金币发放记录查询权限
3. 记录R001同时满足“公会甲”和“运营账号乙”；R002仅满足前者、R003仅满足后者，三者均可在无条件列表查看</x:v>
      </x:c>
      <x:c r="J554" s="9" t="str">
        <x:v>1. 打开虚拟金币发放记录
2. 选择公会甲
3. 选择运营账号乙
4. 点击查询</x:v>
      </x:c>
      <x:c r="K554" s="9" t="str">
        <x:v>当前结果不包含R003</x:v>
      </x:c>
      <x:c r="L554" s="10" t="str"/>
      <x:c r="M554" s="10" t="str">
        <x:v>未测</x:v>
      </x:c>
      <x:c r="N554" s="10" t="str"/>
      <x:c r="O554" s="9" t="str">
        <x:v>1. 来源（当前证据）：liveshow-proto/MainBasis/统一需求文档.md；位置：第 3380 行；REQ-532bdb3ad7fe、第 3372 行
2. 规则：BR-D2BD083221F8BD
3. 未动态验证
4. 示例账号、编号、金额与日期是本条测试数据；执行前按前置条件准备，未填写的产品决策不得自行假定。</x:v>
      </x:c>
    </x:row>
    <x:row r="555" ht="130" customHeight="1">
      <x:c r="A555" s="10" t="n">
        <x:v>554</x:v>
      </x:c>
      <x:c r="B555" s="10" t="str">
        <x:v>ADMIN-0554</x:v>
      </x:c>
      <x:c r="C555" s="10" t="str">
        <x:v>运营账号</x:v>
      </x:c>
      <x:c r="D555" s="10" t="str">
        <x:v>送礼记录（平台管理员）</x:v>
      </x:c>
      <x:c r="E555" s="10" t="str">
        <x:v>功能需求</x:v>
      </x:c>
      <x:c r="F555" s="10" t="str">
        <x:v>P1</x:v>
      </x:c>
      <x:c r="G555" s="9" t="str">
        <x:v>验证虚拟金币送礼记录筛选条件取交集</x:v>
      </x:c>
      <x:c r="H555" s="9" t="str">
        <x:v>查询交集包含</x:v>
      </x:c>
      <x:c r="I555" s="9" t="str">
        <x:v>1. 平台管理员为本条执行者
2. 测试管理员已登录，具备虚拟金币送礼记录查询权限
3. 记录R001同时满足“公会甲”和“运营账号乙”；R002仅满足前者、R003仅满足后者，三者均可在无条件列表查看</x:v>
      </x:c>
      <x:c r="J555" s="9" t="str">
        <x:v>1. 打开虚拟金币送礼记录
2. 选择公会甲
3. 选择运营账号乙
4. 点击查询</x:v>
      </x:c>
      <x:c r="K555" s="9" t="str">
        <x:v>当前结果包含R001</x:v>
      </x:c>
      <x:c r="L555" s="10" t="str"/>
      <x:c r="M555" s="10" t="str">
        <x:v>未测</x:v>
      </x:c>
      <x:c r="N555" s="10" t="str"/>
      <x:c r="O555" s="9" t="str">
        <x:v>1. 来源（当前证据）：liveshow-proto/MainBasis/统一需求文档.md；位置：第 3390 行；REQ-94a2c5066a44、第 3383 行
2. 规则：BR-A5055C2D9CC2F4
3. 未动态验证
4. 示例账号、编号、金额与日期是本条测试数据；执行前按前置条件准备，未填写的产品决策不得自行假定。</x:v>
      </x:c>
    </x:row>
    <x:row r="556" ht="130" customHeight="1">
      <x:c r="A556" s="10" t="n">
        <x:v>555</x:v>
      </x:c>
      <x:c r="B556" s="10" t="str">
        <x:v>ADMIN-0555</x:v>
      </x:c>
      <x:c r="C556" s="10" t="str">
        <x:v>运营账号</x:v>
      </x:c>
      <x:c r="D556" s="10" t="str">
        <x:v>送礼记录（平台管理员）</x:v>
      </x:c>
      <x:c r="E556" s="10" t="str">
        <x:v>功能需求</x:v>
      </x:c>
      <x:c r="F556" s="10" t="str">
        <x:v>P1</x:v>
      </x:c>
      <x:c r="G556" s="9" t="str">
        <x:v>验证虚拟金币送礼记录筛选条件取交集</x:v>
      </x:c>
      <x:c r="H556" s="9" t="str">
        <x:v>查询交集排除第一条件独立命中</x:v>
      </x:c>
      <x:c r="I556" s="9" t="str">
        <x:v>1. 平台管理员为本条执行者
2. 测试管理员已登录，具备虚拟金币送礼记录查询权限
3. 记录R001同时满足“公会甲”和“运营账号乙”；R002仅满足前者、R003仅满足后者，三者均可在无条件列表查看</x:v>
      </x:c>
      <x:c r="J556" s="9" t="str">
        <x:v>1. 打开虚拟金币送礼记录
2. 选择公会甲
3. 选择运营账号乙
4. 点击查询</x:v>
      </x:c>
      <x:c r="K556" s="9" t="str">
        <x:v>当前结果不包含R002</x:v>
      </x:c>
      <x:c r="L556" s="10" t="str"/>
      <x:c r="M556" s="10" t="str">
        <x:v>未测</x:v>
      </x:c>
      <x:c r="N556" s="10" t="str"/>
      <x:c r="O556" s="9" t="str">
        <x:v>1. 来源（当前证据）：liveshow-proto/MainBasis/统一需求文档.md；位置：第 3390 行；REQ-94a2c5066a44、第 3383 行
2. 规则：BR-874E787863E68C
3. 未动态验证
4. 示例账号、编号、金额与日期是本条测试数据；执行前按前置条件准备，未填写的产品决策不得自行假定。</x:v>
      </x:c>
    </x:row>
    <x:row r="557" ht="130" customHeight="1">
      <x:c r="A557" s="10" t="n">
        <x:v>556</x:v>
      </x:c>
      <x:c r="B557" s="10" t="str">
        <x:v>ADMIN-0556</x:v>
      </x:c>
      <x:c r="C557" s="10" t="str">
        <x:v>运营账号</x:v>
      </x:c>
      <x:c r="D557" s="10" t="str">
        <x:v>送礼记录（平台管理员）</x:v>
      </x:c>
      <x:c r="E557" s="10" t="str">
        <x:v>功能需求</x:v>
      </x:c>
      <x:c r="F557" s="10" t="str">
        <x:v>P1</x:v>
      </x:c>
      <x:c r="G557" s="9" t="str">
        <x:v>验证虚拟金币送礼记录筛选条件取交集</x:v>
      </x:c>
      <x:c r="H557" s="9" t="str">
        <x:v>查询交集排除第二条件独立命中</x:v>
      </x:c>
      <x:c r="I557" s="9" t="str">
        <x:v>1. 平台管理员为本条执行者
2. 测试管理员已登录，具备虚拟金币送礼记录查询权限
3. 记录R001同时满足“公会甲”和“运营账号乙”；R002仅满足前者、R003仅满足后者，三者均可在无条件列表查看</x:v>
      </x:c>
      <x:c r="J557" s="9" t="str">
        <x:v>1. 打开虚拟金币送礼记录
2. 选择公会甲
3. 选择运营账号乙
4. 点击查询</x:v>
      </x:c>
      <x:c r="K557" s="9" t="str">
        <x:v>当前结果不包含R003</x:v>
      </x:c>
      <x:c r="L557" s="10" t="str"/>
      <x:c r="M557" s="10" t="str">
        <x:v>未测</x:v>
      </x:c>
      <x:c r="N557" s="10" t="str"/>
      <x:c r="O557" s="9" t="str">
        <x:v>1. 来源（当前证据）：liveshow-proto/MainBasis/统一需求文档.md；位置：第 3390 行；REQ-94a2c5066a44、第 3383 行
2. 规则：BR-7395A1402B01BF
3. 未动态验证
4. 示例账号、编号、金额与日期是本条测试数据；执行前按前置条件准备，未填写的产品决策不得自行假定。</x:v>
      </x:c>
    </x:row>
    <x:row r="558" ht="130" customHeight="1">
      <x:c r="A558" s="10" t="n">
        <x:v>557</x:v>
      </x:c>
      <x:c r="B558" s="10" t="str">
        <x:v>ADMIN-0557</x:v>
      </x:c>
      <x:c r="C558" s="10" t="str">
        <x:v>数据报表</x:v>
      </x:c>
      <x:c r="D558" s="10" t="str">
        <x:v>消费订单明细（财务管理员）</x:v>
      </x:c>
      <x:c r="E558" s="10" t="str">
        <x:v>功能需求</x:v>
      </x:c>
      <x:c r="F558" s="10" t="str">
        <x:v>P2</x:v>
      </x:c>
      <x:c r="G558" s="9" t="str">
        <x:v>验证消费订单明细筛选条件取交集</x:v>
      </x:c>
      <x:c r="H558" s="9" t="str">
        <x:v>查询交集包含</x:v>
      </x:c>
      <x:c r="I558" s="9" t="str">
        <x:v>1. 财务管理员为本条执行者
2. 测试管理员已登录，具备消费订单明细查询权限
3. 记录R001同时满足“关键词用户甲”和“时间09/01至09/02”；R002仅满足前者、R003仅满足后者，三者均可在无条件列表查看</x:v>
      </x:c>
      <x:c r="J558" s="9" t="str">
        <x:v>1. 打开消费订单明细
2. 选择关键词用户甲
3. 选择时间09/01至09/02
4. 点击查询</x:v>
      </x:c>
      <x:c r="K558" s="9" t="str">
        <x:v>当前结果包含R001</x:v>
      </x:c>
      <x:c r="L558" s="10" t="str"/>
      <x:c r="M558" s="10" t="str">
        <x:v>未测</x:v>
      </x:c>
      <x:c r="N558" s="10" t="str"/>
      <x:c r="O558" s="9" t="str">
        <x:v>1. 来源（当前证据）：liveshow-proto/MainBasis/统一需求文档.md；位置：第 3326 行；REQ-b92fb474b07f、第 3319 行
2. 规则：BR-72D4229DDE5EAD
3. 未动态验证
4. 示例账号、编号、金额与日期是本条测试数据；执行前按前置条件准备，未填写的产品决策不得自行假定。</x:v>
      </x:c>
    </x:row>
    <x:row r="559" ht="130" customHeight="1">
      <x:c r="A559" s="10" t="n">
        <x:v>558</x:v>
      </x:c>
      <x:c r="B559" s="10" t="str">
        <x:v>ADMIN-0558</x:v>
      </x:c>
      <x:c r="C559" s="10" t="str">
        <x:v>数据报表</x:v>
      </x:c>
      <x:c r="D559" s="10" t="str">
        <x:v>消费订单明细（财务管理员）</x:v>
      </x:c>
      <x:c r="E559" s="10" t="str">
        <x:v>功能需求</x:v>
      </x:c>
      <x:c r="F559" s="10" t="str">
        <x:v>P2</x:v>
      </x:c>
      <x:c r="G559" s="9" t="str">
        <x:v>验证消费订单明细筛选条件取交集</x:v>
      </x:c>
      <x:c r="H559" s="9" t="str">
        <x:v>查询交集排除第一条件独立命中</x:v>
      </x:c>
      <x:c r="I559" s="9" t="str">
        <x:v>1. 财务管理员为本条执行者
2. 测试管理员已登录，具备消费订单明细查询权限
3. 记录R001同时满足“关键词用户甲”和“时间09/01至09/02”；R002仅满足前者、R003仅满足后者，三者均可在无条件列表查看</x:v>
      </x:c>
      <x:c r="J559" s="9" t="str">
        <x:v>1. 打开消费订单明细
2. 选择关键词用户甲
3. 选择时间09/01至09/02
4. 点击查询</x:v>
      </x:c>
      <x:c r="K559" s="9" t="str">
        <x:v>当前结果不包含R002</x:v>
      </x:c>
      <x:c r="L559" s="10" t="str"/>
      <x:c r="M559" s="10" t="str">
        <x:v>未测</x:v>
      </x:c>
      <x:c r="N559" s="10" t="str"/>
      <x:c r="O559" s="9" t="str">
        <x:v>1. 来源（当前证据）：liveshow-proto/MainBasis/统一需求文档.md；位置：第 3326 行；REQ-b92fb474b07f、第 3319 行
2. 规则：BR-F2699AC372E2E3
3. 未动态验证
4. 示例账号、编号、金额与日期是本条测试数据；执行前按前置条件准备，未填写的产品决策不得自行假定。</x:v>
      </x:c>
    </x:row>
    <x:row r="560" ht="130" customHeight="1">
      <x:c r="A560" s="10" t="n">
        <x:v>559</x:v>
      </x:c>
      <x:c r="B560" s="10" t="str">
        <x:v>ADMIN-0559</x:v>
      </x:c>
      <x:c r="C560" s="10" t="str">
        <x:v>数据报表</x:v>
      </x:c>
      <x:c r="D560" s="10" t="str">
        <x:v>消费订单明细（财务管理员）</x:v>
      </x:c>
      <x:c r="E560" s="10" t="str">
        <x:v>功能需求</x:v>
      </x:c>
      <x:c r="F560" s="10" t="str">
        <x:v>P2</x:v>
      </x:c>
      <x:c r="G560" s="9" t="str">
        <x:v>验证消费订单明细筛选条件取交集</x:v>
      </x:c>
      <x:c r="H560" s="9" t="str">
        <x:v>查询交集排除第二条件独立命中</x:v>
      </x:c>
      <x:c r="I560" s="9" t="str">
        <x:v>1. 财务管理员为本条执行者
2. 测试管理员已登录，具备消费订单明细查询权限
3. 记录R001同时满足“关键词用户甲”和“时间09/01至09/02”；R002仅满足前者、R003仅满足后者，三者均可在无条件列表查看</x:v>
      </x:c>
      <x:c r="J560" s="9" t="str">
        <x:v>1. 打开消费订单明细
2. 选择关键词用户甲
3. 选择时间09/01至09/02
4. 点击查询</x:v>
      </x:c>
      <x:c r="K560" s="9" t="str">
        <x:v>当前结果不包含R003</x:v>
      </x:c>
      <x:c r="L560" s="10" t="str"/>
      <x:c r="M560" s="10" t="str">
        <x:v>未测</x:v>
      </x:c>
      <x:c r="N560" s="10" t="str"/>
      <x:c r="O560" s="9" t="str">
        <x:v>1. 来源（当前证据）：liveshow-proto/MainBasis/统一需求文档.md；位置：第 3326 行；REQ-b92fb474b07f、第 3319 行
2. 规则：BR-8349632B0AE8C6
3. 未动态验证
4. 示例账号、编号、金额与日期是本条测试数据；执行前按前置条件准备，未填写的产品决策不得自行假定。</x:v>
      </x:c>
    </x:row>
    <x:row r="561" ht="130" customHeight="1">
      <x:c r="A561" s="10" t="n">
        <x:v>560</x:v>
      </x:c>
      <x:c r="B561" s="10" t="str">
        <x:v>ADMIN-0560</x:v>
      </x:c>
      <x:c r="C561" s="10" t="str">
        <x:v>数据报表</x:v>
      </x:c>
      <x:c r="D561" s="10" t="str">
        <x:v>退款订单明细（财务管理员）</x:v>
      </x:c>
      <x:c r="E561" s="10" t="str">
        <x:v>功能需求</x:v>
      </x:c>
      <x:c r="F561" s="10" t="str">
        <x:v>P1</x:v>
      </x:c>
      <x:c r="G561" s="9" t="str">
        <x:v>验证退款订单明细筛选条件取交集</x:v>
      </x:c>
      <x:c r="H561" s="9" t="str">
        <x:v>查询交集包含</x:v>
      </x:c>
      <x:c r="I561" s="9" t="str">
        <x:v>1. 财务管理员为本条执行者
2. 测试管理员已登录，具备退款订单明细查询权限
3. 记录R001同时满足“用户甲”和“时间09/01至09/02”；R002仅满足前者、R003仅满足后者，三者均可在无条件列表查看</x:v>
      </x:c>
      <x:c r="J561" s="9" t="str">
        <x:v>1. 打开退款订单明细
2. 选择用户甲
3. 选择时间09/01至09/02
4. 点击查询</x:v>
      </x:c>
      <x:c r="K561" s="9" t="str">
        <x:v>当前结果包含R001</x:v>
      </x:c>
      <x:c r="L561" s="10" t="str"/>
      <x:c r="M561" s="10" t="str">
        <x:v>未测</x:v>
      </x:c>
      <x:c r="N561" s="10" t="str"/>
      <x:c r="O561" s="9" t="str">
        <x:v>1. 来源（当前证据）：liveshow-proto/MainBasis/统一需求文档.md；位置：第 3335 行；REQ-d7522df0db9e、第 3329 行
2. 规则：BR-E6BB5C5226411E
3. 未动态验证
4. 示例账号、编号、金额与日期是本条测试数据；执行前按前置条件准备，未填写的产品决策不得自行假定。</x:v>
      </x:c>
    </x:row>
    <x:row r="562" ht="130" customHeight="1">
      <x:c r="A562" s="10" t="n">
        <x:v>561</x:v>
      </x:c>
      <x:c r="B562" s="10" t="str">
        <x:v>ADMIN-0561</x:v>
      </x:c>
      <x:c r="C562" s="10" t="str">
        <x:v>数据报表</x:v>
      </x:c>
      <x:c r="D562" s="10" t="str">
        <x:v>退款订单明细（财务管理员）</x:v>
      </x:c>
      <x:c r="E562" s="10" t="str">
        <x:v>功能需求</x:v>
      </x:c>
      <x:c r="F562" s="10" t="str">
        <x:v>P1</x:v>
      </x:c>
      <x:c r="G562" s="9" t="str">
        <x:v>验证退款订单明细筛选条件取交集</x:v>
      </x:c>
      <x:c r="H562" s="9" t="str">
        <x:v>查询交集排除第一条件独立命中</x:v>
      </x:c>
      <x:c r="I562" s="9" t="str">
        <x:v>1. 财务管理员为本条执行者
2. 测试管理员已登录，具备退款订单明细查询权限
3. 记录R001同时满足“用户甲”和“时间09/01至09/02”；R002仅满足前者、R003仅满足后者，三者均可在无条件列表查看</x:v>
      </x:c>
      <x:c r="J562" s="9" t="str">
        <x:v>1. 打开退款订单明细
2. 选择用户甲
3. 选择时间09/01至09/02
4. 点击查询</x:v>
      </x:c>
      <x:c r="K562" s="9" t="str">
        <x:v>当前结果不包含R002</x:v>
      </x:c>
      <x:c r="L562" s="10" t="str"/>
      <x:c r="M562" s="10" t="str">
        <x:v>未测</x:v>
      </x:c>
      <x:c r="N562" s="10" t="str"/>
      <x:c r="O562" s="9" t="str">
        <x:v>1. 来源（当前证据）：liveshow-proto/MainBasis/统一需求文档.md；位置：第 3335 行；REQ-d7522df0db9e、第 3329 行
2. 规则：BR-470258048FC535
3. 未动态验证
4. 示例账号、编号、金额与日期是本条测试数据；执行前按前置条件准备，未填写的产品决策不得自行假定。</x:v>
      </x:c>
    </x:row>
    <x:row r="563" ht="130" customHeight="1">
      <x:c r="A563" s="10" t="n">
        <x:v>562</x:v>
      </x:c>
      <x:c r="B563" s="10" t="str">
        <x:v>ADMIN-0562</x:v>
      </x:c>
      <x:c r="C563" s="10" t="str">
        <x:v>数据报表</x:v>
      </x:c>
      <x:c r="D563" s="10" t="str">
        <x:v>退款订单明细（财务管理员）</x:v>
      </x:c>
      <x:c r="E563" s="10" t="str">
        <x:v>功能需求</x:v>
      </x:c>
      <x:c r="F563" s="10" t="str">
        <x:v>P1</x:v>
      </x:c>
      <x:c r="G563" s="9" t="str">
        <x:v>验证退款订单明细筛选条件取交集</x:v>
      </x:c>
      <x:c r="H563" s="9" t="str">
        <x:v>查询交集排除第二条件独立命中</x:v>
      </x:c>
      <x:c r="I563" s="9" t="str">
        <x:v>1. 财务管理员为本条执行者
2. 测试管理员已登录，具备退款订单明细查询权限
3. 记录R001同时满足“用户甲”和“时间09/01至09/02”；R002仅满足前者、R003仅满足后者，三者均可在无条件列表查看</x:v>
      </x:c>
      <x:c r="J563" s="9" t="str">
        <x:v>1. 打开退款订单明细
2. 选择用户甲
3. 选择时间09/01至09/02
4. 点击查询</x:v>
      </x:c>
      <x:c r="K563" s="9" t="str">
        <x:v>当前结果不包含R003</x:v>
      </x:c>
      <x:c r="L563" s="10" t="str"/>
      <x:c r="M563" s="10" t="str">
        <x:v>未测</x:v>
      </x:c>
      <x:c r="N563" s="10" t="str"/>
      <x:c r="O563" s="9" t="str">
        <x:v>1. 来源（当前证据）：liveshow-proto/MainBasis/统一需求文档.md；位置：第 3335 行；REQ-d7522df0db9e、第 3329 行
2. 规则：BR-911EAC3E451D84
3. 未动态验证
4. 示例账号、编号、金额与日期是本条测试数据；执行前按前置条件准备，未填写的产品决策不得自行假定。</x:v>
      </x:c>
    </x:row>
    <x:row r="564" ht="130" customHeight="1">
      <x:c r="A564" s="10" t="n">
        <x:v>563</x:v>
      </x:c>
      <x:c r="B564" s="10" t="str">
        <x:v>ADMIN-0563</x:v>
      </x:c>
      <x:c r="C564" s="10" t="str">
        <x:v>数据报表</x:v>
      </x:c>
      <x:c r="D564" s="10" t="str">
        <x:v>充值订单明细（财务管理员）</x:v>
      </x:c>
      <x:c r="E564" s="10" t="str">
        <x:v>功能需求</x:v>
      </x:c>
      <x:c r="F564" s="10" t="str">
        <x:v>P1</x:v>
      </x:c>
      <x:c r="G564" s="9" t="str">
        <x:v>验证充值订单明细筛选条件取交集</x:v>
      </x:c>
      <x:c r="H564" s="9" t="str">
        <x:v>查询交集包含</x:v>
      </x:c>
      <x:c r="I564" s="9" t="str">
        <x:v>1. 财务管理员为本条执行者
2. 测试管理员已登录，具备充值订单明细查询权限
3. 记录R001同时满足“用户甲”和“时间09/01至09/02”；R002仅满足前者、R003仅满足后者，三者均可在无条件列表查看</x:v>
      </x:c>
      <x:c r="J564" s="9" t="str">
        <x:v>1. 打开充值订单明细
2. 选择用户甲
3. 选择时间09/01至09/02
4. 点击查询</x:v>
      </x:c>
      <x:c r="K564" s="9" t="str">
        <x:v>当前结果包含R001</x:v>
      </x:c>
      <x:c r="L564" s="10" t="str"/>
      <x:c r="M564" s="10" t="str">
        <x:v>未测</x:v>
      </x:c>
      <x:c r="N564" s="10" t="str"/>
      <x:c r="O564" s="9" t="str">
        <x:v>1. 来源（当前证据）：liveshow-proto/MainBasis/统一需求文档.md；位置：第 3345 行；REQ-c2caa13dc866、第 3338 行
2. 规则：BR-0CEDC7655F9BC8
3. 未动态验证
4. 示例账号、编号、金额与日期是本条测试数据；执行前按前置条件准备，未填写的产品决策不得自行假定。</x:v>
      </x:c>
    </x:row>
    <x:row r="565" ht="130" customHeight="1">
      <x:c r="A565" s="10" t="n">
        <x:v>564</x:v>
      </x:c>
      <x:c r="B565" s="10" t="str">
        <x:v>ADMIN-0564</x:v>
      </x:c>
      <x:c r="C565" s="10" t="str">
        <x:v>数据报表</x:v>
      </x:c>
      <x:c r="D565" s="10" t="str">
        <x:v>充值订单明细（财务管理员）</x:v>
      </x:c>
      <x:c r="E565" s="10" t="str">
        <x:v>功能需求</x:v>
      </x:c>
      <x:c r="F565" s="10" t="str">
        <x:v>P1</x:v>
      </x:c>
      <x:c r="G565" s="9" t="str">
        <x:v>验证充值订单明细筛选条件取交集</x:v>
      </x:c>
      <x:c r="H565" s="9" t="str">
        <x:v>查询交集排除第一条件独立命中</x:v>
      </x:c>
      <x:c r="I565" s="9" t="str">
        <x:v>1. 财务管理员为本条执行者
2. 测试管理员已登录，具备充值订单明细查询权限
3. 记录R001同时满足“用户甲”和“时间09/01至09/02”；R002仅满足前者、R003仅满足后者，三者均可在无条件列表查看</x:v>
      </x:c>
      <x:c r="J565" s="9" t="str">
        <x:v>1. 打开充值订单明细
2. 选择用户甲
3. 选择时间09/01至09/02
4. 点击查询</x:v>
      </x:c>
      <x:c r="K565" s="9" t="str">
        <x:v>当前结果不包含R002</x:v>
      </x:c>
      <x:c r="L565" s="10" t="str"/>
      <x:c r="M565" s="10" t="str">
        <x:v>未测</x:v>
      </x:c>
      <x:c r="N565" s="10" t="str"/>
      <x:c r="O565" s="9" t="str">
        <x:v>1. 来源（当前证据）：liveshow-proto/MainBasis/统一需求文档.md；位置：第 3345 行；REQ-c2caa13dc866、第 3338 行
2. 规则：BR-4C95B55CE8141F
3. 未动态验证
4. 示例账号、编号、金额与日期是本条测试数据；执行前按前置条件准备，未填写的产品决策不得自行假定。</x:v>
      </x:c>
    </x:row>
    <x:row r="566" ht="130" customHeight="1">
      <x:c r="A566" s="10" t="n">
        <x:v>565</x:v>
      </x:c>
      <x:c r="B566" s="10" t="str">
        <x:v>ADMIN-0565</x:v>
      </x:c>
      <x:c r="C566" s="10" t="str">
        <x:v>数据报表</x:v>
      </x:c>
      <x:c r="D566" s="10" t="str">
        <x:v>充值订单明细（财务管理员）</x:v>
      </x:c>
      <x:c r="E566" s="10" t="str">
        <x:v>功能需求</x:v>
      </x:c>
      <x:c r="F566" s="10" t="str">
        <x:v>P1</x:v>
      </x:c>
      <x:c r="G566" s="9" t="str">
        <x:v>验证充值订单明细筛选条件取交集</x:v>
      </x:c>
      <x:c r="H566" s="9" t="str">
        <x:v>查询交集排除第二条件独立命中</x:v>
      </x:c>
      <x:c r="I566" s="9" t="str">
        <x:v>1. 财务管理员为本条执行者
2. 测试管理员已登录，具备充值订单明细查询权限
3. 记录R001同时满足“用户甲”和“时间09/01至09/02”；R002仅满足前者、R003仅满足后者，三者均可在无条件列表查看</x:v>
      </x:c>
      <x:c r="J566" s="9" t="str">
        <x:v>1. 打开充值订单明细
2. 选择用户甲
3. 选择时间09/01至09/02
4. 点击查询</x:v>
      </x:c>
      <x:c r="K566" s="9" t="str">
        <x:v>当前结果不包含R003</x:v>
      </x:c>
      <x:c r="L566" s="10" t="str"/>
      <x:c r="M566" s="10" t="str">
        <x:v>未测</x:v>
      </x:c>
      <x:c r="N566" s="10" t="str"/>
      <x:c r="O566" s="9" t="str">
        <x:v>1. 来源（当前证据）：liveshow-proto/MainBasis/统一需求文档.md；位置：第 3345 行；REQ-c2caa13dc866、第 3338 行
2. 规则：BR-27EB8EA770C7E9
3. 未动态验证
4. 示例账号、编号、金额与日期是本条测试数据；执行前按前置条件准备，未填写的产品决策不得自行假定。</x:v>
      </x:c>
    </x:row>
    <x:row r="567" ht="130" customHeight="1">
      <x:c r="A567" s="10" t="n">
        <x:v>566</x:v>
      </x:c>
      <x:c r="B567" s="10" t="str">
        <x:v>ADMIN-0566</x:v>
      </x:c>
      <x:c r="C567" s="10" t="str">
        <x:v>运营管理</x:v>
      </x:c>
      <x:c r="D567" s="10" t="str">
        <x:v>充值套餐（平台管理员）</x:v>
      </x:c>
      <x:c r="E567" s="10" t="str">
        <x:v>功能需求</x:v>
      </x:c>
      <x:c r="F567" s="10" t="str">
        <x:v>P2</x:v>
      </x:c>
      <x:c r="G567" s="9" t="str">
        <x:v>验证修改套餐不重算历史已完成订单</x:v>
      </x:c>
      <x:c r="H567" s="9" t="str">
        <x:v>套餐修改后的到账快照</x:v>
      </x:c>
      <x:c r="I567" s="9" t="str">
        <x:v>1. 平台管理员为本条执行者
2. P001原基础100、赠送20，C001按旧配置支付成功；管理员已将P001基础改为200</x:v>
      </x:c>
      <x:c r="J567" s="9" t="str">
        <x:v>1. 打开充值订单
2. 查看 C001</x:v>
      </x:c>
      <x:c r="K567" s="9" t="str">
        <x:v>C001 总到账金币仍为120</x:v>
      </x:c>
      <x:c r="L567" s="10" t="str"/>
      <x:c r="M567" s="10" t="str">
        <x:v>未测</x:v>
      </x:c>
      <x:c r="N567" s="10" t="str"/>
      <x:c r="O567" s="9" t="str">
        <x:v>1. 来源（当前证据）：liveshow-proto/MainBasis/统一需求文档.md；位置：第 2895 行；REQ-754fce9c7aa4、第 2888 行
2. 规则：BR-9B9485A9031F7A
3. 未动态验证
4. 示例账号、编号、金额与日期是本条测试数据；执行前按前置条件准备，未填写的产品决策不得自行假定。</x:v>
      </x:c>
    </x:row>
    <x:row r="568" ht="130" customHeight="1">
      <x:c r="A568" s="10" t="n">
        <x:v>567</x:v>
      </x:c>
      <x:c r="B568" s="10" t="str">
        <x:v>ADMIN-0567</x:v>
      </x:c>
      <x:c r="C568" s="10" t="str">
        <x:v>运营管理</x:v>
      </x:c>
      <x:c r="D568" s="10" t="str">
        <x:v>敏感词库（平台管理员）</x:v>
      </x:c>
      <x:c r="E568" s="10" t="str">
        <x:v>功能需求</x:v>
      </x:c>
      <x:c r="F568" s="10" t="str">
        <x:v>P2</x:v>
      </x:c>
      <x:c r="G568" s="9" t="str">
        <x:v>验证导入缺少词条的记录</x:v>
      </x:c>
      <x:c r="H568" s="9" t="str">
        <x:v>敏感词导入必填</x:v>
      </x:c>
      <x:c r="I568" s="9" t="str">
        <x:v>1. 平台管理员为本条执行者
2. 管理员有敏感词导入权限
3. 已按当前导入格式准备记录，其中一行敏感词为空</x:v>
      </x:c>
      <x:c r="J568" s="9" t="str">
        <x:v>1. 打开敏感词库
2. 点击导入
3. 选择测试文件
4. 确认导入</x:v>
      </x:c>
      <x:c r="K568" s="9" t="str">
        <x:v>缺少敏感词的记录未导入</x:v>
      </x:c>
      <x:c r="L568" s="10" t="str"/>
      <x:c r="M568" s="10" t="str">
        <x:v>未测</x:v>
      </x:c>
      <x:c r="N568" s="10" t="str"/>
      <x:c r="O568" s="9" t="str">
        <x:v>1. 来源（当前证据）：liveshow-proto/MainBasis/统一需求文档.md；位置：第 3017 行；REQ-d8c776a131f5、第 3009 行
2. 规则：BR-241BE29D57F008
3. 未动态验证
4. 示例账号、编号、金额与日期是本条测试数据；执行前按前置条件准备，未填写的产品决策不得自行假定。</x:v>
      </x:c>
    </x:row>
    <x:row r="569" ht="130" customHeight="1">
      <x:c r="A569" s="10" t="n">
        <x:v>568</x:v>
      </x:c>
      <x:c r="B569" s="10" t="str">
        <x:v>ADMIN-0568</x:v>
      </x:c>
      <x:c r="C569" s="10" t="str">
        <x:v>运营管理</x:v>
      </x:c>
      <x:c r="D569" s="10" t="str">
        <x:v>敏感词库（平台管理员）</x:v>
      </x:c>
      <x:c r="E569" s="10" t="str">
        <x:v>功能需求</x:v>
      </x:c>
      <x:c r="F569" s="10" t="str">
        <x:v>P2</x:v>
      </x:c>
      <x:c r="G569" s="9" t="str">
        <x:v>验证导入重复敏感词</x:v>
      </x:c>
      <x:c r="H569" s="9" t="str">
        <x:v>敏感词导入去重</x:v>
      </x:c>
      <x:c r="I569" s="9" t="str">
        <x:v>1. 平台管理员为本条执行者
2. 管理员有敏感词导入权限
3. 系统已有词“测试敏感词甲”，导入文件再次包含相同词</x:v>
      </x:c>
      <x:c r="J569" s="9" t="str">
        <x:v>1. 打开敏感词库
2. 点击导入
3. 选择重复词测试文件
4. 确认导入</x:v>
      </x:c>
      <x:c r="K569" s="9" t="str">
        <x:v>未新增重复的“测试敏感词甲”词条</x:v>
      </x:c>
      <x:c r="L569" s="10" t="str"/>
      <x:c r="M569" s="10" t="str">
        <x:v>未测</x:v>
      </x:c>
      <x:c r="N569" s="10" t="str"/>
      <x:c r="O569" s="9" t="str">
        <x:v>1. 来源（当前证据）：liveshow-proto/MainBasis/统一需求文档.md；位置：第 3017 行；REQ-d8c776a131f5、第 3009 行
2. 规则：BR-A3421C0E4DA45A
3. 未动态验证
4. 示例账号、编号、金额与日期是本条测试数据；执行前按前置条件准备，未填写的产品决策不得自行假定。</x:v>
      </x:c>
    </x:row>
    <x:row r="570" ht="145" customHeight="1">
      <x:c r="A570" s="10" t="n">
        <x:v>569</x:v>
      </x:c>
      <x:c r="B570" s="10" t="str">
        <x:v>ADMIN-0569</x:v>
      </x:c>
      <x:c r="C570" s="10" t="str">
        <x:v>数据看板</x:v>
      </x:c>
      <x:c r="D570" s="10" t="str">
        <x:v>工作台（平台管理员）</x:v>
      </x:c>
      <x:c r="E570" s="10" t="str">
        <x:v>逻辑校验</x:v>
      </x:c>
      <x:c r="F570" s="10" t="str">
        <x:v>P1</x:v>
      </x:c>
      <x:c r="G570" s="9" t="str">
        <x:v>验证工作台核算新用户充值金额</x:v>
      </x:c>
      <x:c r="H570" s="9" t="str">
        <x:v>新用户充值金额</x:v>
      </x:c>
      <x:c r="I570" s="9" t="str">
        <x:v>1. 平台管理员为本条执行者
2. 平台管理员账号已登录
3. 以下数据仅属于工作台当前查看对象及已选日期范围；无其他会影响该指标的有效记录
4. 本统计日新注册用户甲支付成功订单1.50USD和2.50USD；另3.00USD订单支付失败；无其他成功订单</x:v>
      </x:c>
      <x:c r="J570" s="9" t="str">
        <x:v>1. 打开工作台
2. 查看新用户充值金额</x:v>
      </x:c>
      <x:c r="K570" s="9" t="str">
        <x:v>新用户充值金额 = 4 USD</x:v>
      </x:c>
      <x:c r="L570" s="10" t="str"/>
      <x:c r="M570" s="10" t="str">
        <x:v>未测</x:v>
      </x:c>
      <x:c r="N570" s="10" t="str"/>
      <x:c r="O570" s="9" t="str">
        <x:v>1. 来源（当前证据）：liveshow-proto/MainBasis/统一需求文档.md；位置：第 2491 行；REQ-90a0a7b45506、第 2487 行
2. 规则：BR-FB372EABA2BBF3
3. 未动态验证
4. 示例账号、编号、金额与日期是本条测试数据；执行前按前置条件准备，未填写的产品决策不得自行假定。</x:v>
      </x:c>
    </x:row>
    <x:row r="571" ht="145" customHeight="1">
      <x:c r="A571" s="10" t="n">
        <x:v>570</x:v>
      </x:c>
      <x:c r="B571" s="10" t="str">
        <x:v>ADMIN-0570</x:v>
      </x:c>
      <x:c r="C571" s="10" t="str">
        <x:v>数据看板</x:v>
      </x:c>
      <x:c r="D571" s="10" t="str">
        <x:v>工作台（平台管理员）</x:v>
      </x:c>
      <x:c r="E571" s="10" t="str">
        <x:v>逻辑校验</x:v>
      </x:c>
      <x:c r="F571" s="10" t="str">
        <x:v>P2</x:v>
      </x:c>
      <x:c r="G571" s="9" t="str">
        <x:v>验证工作台核算达成有效天主播</x:v>
      </x:c>
      <x:c r="H571" s="9" t="str">
        <x:v>达成有效天主播</x:v>
      </x:c>
      <x:c r="I571" s="9" t="str">
        <x:v>1. 平台管理员为本条执行者
2. 平台管理员账号已登录
3. 以下数据仅属于工作台当前查看对象及已选日期范围；无其他会影响该指标的有效记录
4. 同一自然日主播甲累计有效3小时，乙2小时59分钟，丙4小时；甲虽开播两场仍只是一名主播</x:v>
      </x:c>
      <x:c r="J571" s="9" t="str">
        <x:v>1. 打开工作台
2. 查看达成有效天主播</x:v>
      </x:c>
      <x:c r="K571" s="9" t="str">
        <x:v>达成有效天主播 = 2 人</x:v>
      </x:c>
      <x:c r="L571" s="10" t="str"/>
      <x:c r="M571" s="10" t="str">
        <x:v>未测</x:v>
      </x:c>
      <x:c r="N571" s="10" t="str"/>
      <x:c r="O571" s="9" t="str">
        <x:v>1. 来源（当前证据）：liveshow-proto/MainBasis/统一需求文档.md；位置：第 2493 行；REQ-fdfa9dfde671、第 2487 行
2. 规则：BR-FBEA74E37D8F27
3. 未动态验证
4. 示例账号、编号、金额与日期是本条测试数据；执行前按前置条件准备，未填写的产品决策不得自行假定。</x:v>
      </x:c>
    </x:row>
    <x:row r="572" ht="145" customHeight="1">
      <x:c r="A572" s="10" t="n">
        <x:v>571</x:v>
      </x:c>
      <x:c r="B572" s="10" t="str">
        <x:v>ADMIN-0571</x:v>
      </x:c>
      <x:c r="C572" s="10" t="str">
        <x:v>用户管理</x:v>
      </x:c>
      <x:c r="D572" s="10" t="str">
        <x:v>用户列表（平台管理员）</x:v>
      </x:c>
      <x:c r="E572" s="10" t="str">
        <x:v>逻辑校验</x:v>
      </x:c>
      <x:c r="F572" s="10" t="str">
        <x:v>P1</x:v>
      </x:c>
      <x:c r="G572" s="9" t="str">
        <x:v>验证用户列表核算累计充值</x:v>
      </x:c>
      <x:c r="H572" s="9" t="str">
        <x:v>累计充值</x:v>
      </x:c>
      <x:c r="I572" s="9" t="str">
        <x:v>1. 平台管理员为本条执行者
2. 平台管理员账号已登录
3. 以下数据仅属于用户列表当前查看对象及已选日期范围；无其他会影响该指标的有效记录
4. 当前统计对象甲支付成功订单1.50USD和2.50USD；另3.00USD订单支付失败；无其他成功订单</x:v>
      </x:c>
      <x:c r="J572" s="9" t="str">
        <x:v>1. 打开用户列表
2. 查看累计充值</x:v>
      </x:c>
      <x:c r="K572" s="9" t="str">
        <x:v>累计充值 = 4 USD</x:v>
      </x:c>
      <x:c r="L572" s="10" t="str"/>
      <x:c r="M572" s="10" t="str">
        <x:v>未测</x:v>
      </x:c>
      <x:c r="N572" s="10" t="str"/>
      <x:c r="O572" s="9" t="str">
        <x:v>1. 来源（当前证据）：liveshow-proto/MainBasis/统一需求文档.md；位置：第 2504 行；REQ-33a581e8cc89、第 2499 行
2. 规则：BR-9F48FCBBE7BB2A
3. 未动态验证
4. 示例账号、编号、金额与日期是本条测试数据；执行前按前置条件准备，未填写的产品决策不得自行假定。</x:v>
      </x:c>
    </x:row>
    <x:row r="573" ht="160" customHeight="1">
      <x:c r="A573" s="10" t="n">
        <x:v>572</x:v>
      </x:c>
      <x:c r="B573" s="10" t="str">
        <x:v>ADMIN-0572</x:v>
      </x:c>
      <x:c r="C573" s="10" t="str">
        <x:v>主播管理</x:v>
      </x:c>
      <x:c r="D573" s="10" t="str">
        <x:v>主播列表（平台管理员）</x:v>
      </x:c>
      <x:c r="E573" s="10" t="str">
        <x:v>逻辑校验</x:v>
      </x:c>
      <x:c r="F573" s="10" t="str">
        <x:v>P1</x:v>
      </x:c>
      <x:c r="G573" s="9" t="str">
        <x:v>验证主播列表核算金币收益</x:v>
      </x:c>
      <x:c r="H573" s="9" t="str">
        <x:v>金币收益</x:v>
      </x:c>
      <x:c r="I573" s="9" t="str">
        <x:v>1. 平台管理员为本条执行者
2. 平台管理员账号已登录
3. 以下数据仅属于主播列表当前查看对象及已选日期范围；无其他会影响该指标的有效记录
4. 普通礼物实际消费100、定制礼物200、幸运礼物送出价值1000金币；该次幸运收益比例1%；无门票消费；虚拟送礼500、失败送礼200均不计</x:v>
      </x:c>
      <x:c r="J573" s="9" t="str">
        <x:v>1. 打开主播列表
2. 查看金币收益</x:v>
      </x:c>
      <x:c r="K573" s="9" t="str">
        <x:v>金币收益 = 310 金币</x:v>
      </x:c>
      <x:c r="L573" s="10" t="str"/>
      <x:c r="M573" s="10" t="str">
        <x:v>未测</x:v>
      </x:c>
      <x:c r="N573" s="10" t="str"/>
      <x:c r="O573" s="9" t="str">
        <x:v>1. 来源（当前证据）：liveshow-proto/MainBasis/统一需求文档.md；位置：第 2533 行；REQ-cb2ee54a238a、第 2528 行
2. 规则：BR-A32469CA2BC695
3. 未动态验证
4. 示例账号、编号、金额与日期是本条测试数据；执行前按前置条件准备，未填写的产品决策不得自行假定。</x:v>
      </x:c>
    </x:row>
    <x:row r="574" ht="160" customHeight="1">
      <x:c r="A574" s="10" t="n">
        <x:v>573</x:v>
      </x:c>
      <x:c r="B574" s="10" t="str">
        <x:v>ADMIN-0573</x:v>
      </x:c>
      <x:c r="C574" s="10" t="str">
        <x:v>主播管理</x:v>
      </x:c>
      <x:c r="D574" s="10" t="str">
        <x:v>主播详情（平台管理员）</x:v>
      </x:c>
      <x:c r="E574" s="10" t="str">
        <x:v>逻辑校验</x:v>
      </x:c>
      <x:c r="F574" s="10" t="str">
        <x:v>P2</x:v>
      </x:c>
      <x:c r="G574" s="9" t="str">
        <x:v>验证主播详情核算收益</x:v>
      </x:c>
      <x:c r="H574" s="9" t="str">
        <x:v>收益</x:v>
      </x:c>
      <x:c r="I574" s="9" t="str">
        <x:v>1. 平台管理员为本条执行者
2. 平台管理员账号已登录
3. 以下数据仅属于主播详情当前查看对象及已选日期范围；无其他会影响该指标的有效记录
4. 普通礼物实际消费100、定制礼物200、幸运礼物送出价值1000金币；该次幸运收益比例1%；无门票消费；虚拟送礼500、失败送礼200均不计</x:v>
      </x:c>
      <x:c r="J574" s="9" t="str">
        <x:v>1. 打开主播详情
2. 查看收益</x:v>
      </x:c>
      <x:c r="K574" s="9" t="str">
        <x:v>收益 = 310 金币</x:v>
      </x:c>
      <x:c r="L574" s="10" t="str"/>
      <x:c r="M574" s="10" t="str">
        <x:v>未测</x:v>
      </x:c>
      <x:c r="N574" s="10" t="str"/>
      <x:c r="O574" s="9" t="str">
        <x:v>1. 来源（当前证据）：liveshow-proto/MainBasis/统一需求文档.md；位置：第 2545 行；REQ-16afc0c47b28、第 2540 行
2. 规则：BR-0D24091566BBEC
3. 未动态验证
4. 示例账号、编号、金额与日期是本条测试数据；执行前按前置条件准备，未填写的产品决策不得自行假定。</x:v>
      </x:c>
    </x:row>
    <x:row r="575" ht="130" customHeight="1">
      <x:c r="A575" s="10" t="n">
        <x:v>574</x:v>
      </x:c>
      <x:c r="B575" s="10" t="str">
        <x:v>ADMIN-0574</x:v>
      </x:c>
      <x:c r="C575" s="10" t="str">
        <x:v>主播管理</x:v>
      </x:c>
      <x:c r="D575" s="10" t="str">
        <x:v>直播场次（平台管理员）</x:v>
      </x:c>
      <x:c r="E575" s="10" t="str">
        <x:v>逻辑校验</x:v>
      </x:c>
      <x:c r="F575" s="10" t="str">
        <x:v>P2</x:v>
      </x:c>
      <x:c r="G575" s="9" t="str">
        <x:v>验证直播场次核算观众人数</x:v>
      </x:c>
      <x:c r="H575" s="9" t="str">
        <x:v>观众人数</x:v>
      </x:c>
      <x:c r="I575" s="9" t="str">
        <x:v>1. 平台管理员为本条执行者
2. 平台管理员账号已登录
3. 以下数据仅属于直播场次当前查看对象及已选日期范围；无其他会影响该指标的有效记录
4. 当前场次中真实用户甲成功进入2次、乙1次；丙准入失败，三人以外没有观众</x:v>
      </x:c>
      <x:c r="J575" s="9" t="str">
        <x:v>1. 打开直播场次
2. 查看观众人数</x:v>
      </x:c>
      <x:c r="K575" s="9" t="str">
        <x:v>观众人数 = 2 人</x:v>
      </x:c>
      <x:c r="L575" s="10" t="str"/>
      <x:c r="M575" s="10" t="str">
        <x:v>未测</x:v>
      </x:c>
      <x:c r="N575" s="10" t="str"/>
      <x:c r="O575" s="9" t="str">
        <x:v>1. 来源（当前证据）：liveshow-proto/MainBasis/统一需求文档.md；位置：第 2578 行；REQ-bee71d656e69、第 2574 行
2. 规则：BR-9D8DAD8AC2787D
3. 未动态验证
4. 示例账号、编号、金额与日期是本条测试数据；执行前按前置条件准备，未填写的产品决策不得自行假定。</x:v>
      </x:c>
    </x:row>
    <x:row r="576" ht="160" customHeight="1">
      <x:c r="A576" s="10" t="n">
        <x:v>575</x:v>
      </x:c>
      <x:c r="B576" s="10" t="str">
        <x:v>ADMIN-0575</x:v>
      </x:c>
      <x:c r="C576" s="10" t="str">
        <x:v>主播管理</x:v>
      </x:c>
      <x:c r="D576" s="10" t="str">
        <x:v>直播场次（平台管理员）</x:v>
      </x:c>
      <x:c r="E576" s="10" t="str">
        <x:v>逻辑校验</x:v>
      </x:c>
      <x:c r="F576" s="10" t="str">
        <x:v>P1</x:v>
      </x:c>
      <x:c r="G576" s="9" t="str">
        <x:v>验证直播场次核算消费金币</x:v>
      </x:c>
      <x:c r="H576" s="9" t="str">
        <x:v>消费金币</x:v>
      </x:c>
      <x:c r="I576" s="9" t="str">
        <x:v>1. 平台管理员为本条执行者
2. 平台管理员账号已登录
3. 以下数据仅属于直播场次当前查看对象及已选日期范围；无其他会影响该指标的有效记录
4. 普通礼物扣减100、定制礼物200、门票300、幸运礼物扣减1000且返奖800金币；另有虚拟送礼500及失败送礼200，不计入真实消费</x:v>
      </x:c>
      <x:c r="J576" s="9" t="str">
        <x:v>1. 打开直播场次
2. 查看消费金币</x:v>
      </x:c>
      <x:c r="K576" s="9" t="str">
        <x:v>消费金币 = 800 金币</x:v>
      </x:c>
      <x:c r="L576" s="10" t="str"/>
      <x:c r="M576" s="10" t="str">
        <x:v>未测</x:v>
      </x:c>
      <x:c r="N576" s="10" t="str"/>
      <x:c r="O576" s="9" t="str">
        <x:v>1. 来源（当前证据）：liveshow-proto/MainBasis/统一需求文档.md；位置：第 2579 行；REQ-a2374b2652c3、第 2574 行
2. 规则：BR-F9D458DB0154C3
3. 未动态验证
4. 示例账号、编号、金额与日期是本条测试数据；执行前按前置条件准备，未填写的产品决策不得自行假定。</x:v>
      </x:c>
    </x:row>
    <x:row r="577" ht="130" customHeight="1">
      <x:c r="A577" s="10" t="n">
        <x:v>576</x:v>
      </x:c>
      <x:c r="B577" s="10" t="str">
        <x:v>ADMIN-0576</x:v>
      </x:c>
      <x:c r="C577" s="10" t="str">
        <x:v>主播管理</x:v>
      </x:c>
      <x:c r="D577" s="10" t="str">
        <x:v>直播场次（平台管理员）</x:v>
      </x:c>
      <x:c r="E577" s="10" t="str">
        <x:v>逻辑校验</x:v>
      </x:c>
      <x:c r="F577" s="10" t="str">
        <x:v>P2</x:v>
      </x:c>
      <x:c r="G577" s="9" t="str">
        <x:v>验证直播场次核算收礼数量</x:v>
      </x:c>
      <x:c r="H577" s="9" t="str">
        <x:v>收礼数量</x:v>
      </x:c>
      <x:c r="I577" s="9" t="str">
        <x:v>1. 平台管理员为本条执行者
2. 平台管理员账号已登录
3. 以下数据仅属于直播场次当前查看对象及已选日期范围；无其他会影响该指标的有效记录
4. 普通礼物两笔成功赠送分别2件和3件；另1件失败及1张成功门票不计为礼物件数</x:v>
      </x:c>
      <x:c r="J577" s="9" t="str">
        <x:v>1. 打开直播场次
2. 查看收礼数量</x:v>
      </x:c>
      <x:c r="K577" s="9" t="str">
        <x:v>收礼数量 = 5 件</x:v>
      </x:c>
      <x:c r="L577" s="10" t="str"/>
      <x:c r="M577" s="10" t="str">
        <x:v>未测</x:v>
      </x:c>
      <x:c r="N577" s="10" t="str"/>
      <x:c r="O577" s="9" t="str">
        <x:v>1. 来源（当前证据）：liveshow-proto/MainBasis/统一需求文档.md；位置：第 2581 行；REQ-aaaa6591179f、第 2574 行
2. 规则：BR-64F90E9ED20D65
3. 未动态验证
4. 示例账号、编号、金额与日期是本条测试数据；执行前按前置条件准备，未填写的产品决策不得自行假定。</x:v>
      </x:c>
    </x:row>
    <x:row r="578" ht="160" customHeight="1">
      <x:c r="A578" s="10" t="n">
        <x:v>577</x:v>
      </x:c>
      <x:c r="B578" s="10" t="str">
        <x:v>ADMIN-0577</x:v>
      </x:c>
      <x:c r="C578" s="10" t="str">
        <x:v>主播管理</x:v>
      </x:c>
      <x:c r="D578" s="10" t="str">
        <x:v>直播场次（平台管理员）</x:v>
      </x:c>
      <x:c r="E578" s="10" t="str">
        <x:v>逻辑校验</x:v>
      </x:c>
      <x:c r="F578" s="10" t="str">
        <x:v>P2</x:v>
      </x:c>
      <x:c r="G578" s="9" t="str">
        <x:v>验证直播场次核算主播收益</x:v>
      </x:c>
      <x:c r="H578" s="9" t="str">
        <x:v>主播收益</x:v>
      </x:c>
      <x:c r="I578" s="9" t="str">
        <x:v>1. 平台管理员为本条执行者
2. 平台管理员账号已登录
3. 以下数据仅属于直播场次当前查看对象及已选日期范围；无其他会影响该指标的有效记录
4. 普通礼物实际消费100、定制礼物200、幸运礼物送出价值1000金币；该次幸运收益比例1%；无门票消费；虚拟送礼500、失败送礼200均不计</x:v>
      </x:c>
      <x:c r="J578" s="9" t="str">
        <x:v>1. 打开直播场次
2. 查看主播收益</x:v>
      </x:c>
      <x:c r="K578" s="9" t="str">
        <x:v>主播收益 = 310 金币</x:v>
      </x:c>
      <x:c r="L578" s="10" t="str"/>
      <x:c r="M578" s="10" t="str">
        <x:v>未测</x:v>
      </x:c>
      <x:c r="N578" s="10" t="str"/>
      <x:c r="O578" s="9" t="str">
        <x:v>1. 来源（当前证据）：liveshow-proto/MainBasis/统一需求文档.md；位置：第 2582 行；REQ-34b65e1d70aa、第 2574 行
2. 规则：BR-2279C8DE8ACD36
3. 未动态验证
4. 示例账号、编号、金额与日期是本条测试数据；执行前按前置条件准备，未填写的产品决策不得自行假定。</x:v>
      </x:c>
    </x:row>
    <x:row r="579" ht="130" customHeight="1">
      <x:c r="A579" s="10" t="n">
        <x:v>578</x:v>
      </x:c>
      <x:c r="B579" s="10" t="str">
        <x:v>ADMIN-0578</x:v>
      </x:c>
      <x:c r="C579" s="10" t="str">
        <x:v>主播管理</x:v>
      </x:c>
      <x:c r="D579" s="10" t="str">
        <x:v>直播详情（平台管理员）</x:v>
      </x:c>
      <x:c r="E579" s="10" t="str">
        <x:v>逻辑校验</x:v>
      </x:c>
      <x:c r="F579" s="10" t="str">
        <x:v>P2</x:v>
      </x:c>
      <x:c r="G579" s="9" t="str">
        <x:v>验证直播详情核算观众人数</x:v>
      </x:c>
      <x:c r="H579" s="9" t="str">
        <x:v>观众人数</x:v>
      </x:c>
      <x:c r="I579" s="9" t="str">
        <x:v>1. 平台管理员为本条执行者
2. 平台管理员账号已登录
3. 以下数据仅属于直播详情当前查看对象及已选日期范围；无其他会影响该指标的有效记录
4. 当前场次中真实用户甲成功进入2次、乙1次；丙准入失败，三人以外没有观众</x:v>
      </x:c>
      <x:c r="J579" s="9" t="str">
        <x:v>1. 打开直播详情
2. 查看观众人数</x:v>
      </x:c>
      <x:c r="K579" s="9" t="str">
        <x:v>观众人数 = 2 人</x:v>
      </x:c>
      <x:c r="L579" s="10" t="str"/>
      <x:c r="M579" s="10" t="str">
        <x:v>未测</x:v>
      </x:c>
      <x:c r="N579" s="10" t="str"/>
      <x:c r="O579" s="9" t="str">
        <x:v>1. 来源（当前证据）：liveshow-proto/MainBasis/统一需求文档.md；位置：第 2590 行；REQ-ce619832ef38、第 2587 行
2. 规则：BR-720C80187A92CE
3. 未动态验证
4. 示例账号、编号、金额与日期是本条测试数据；执行前按前置条件准备，未填写的产品决策不得自行假定。</x:v>
      </x:c>
    </x:row>
    <x:row r="580" ht="160" customHeight="1">
      <x:c r="A580" s="10" t="n">
        <x:v>579</x:v>
      </x:c>
      <x:c r="B580" s="10" t="str">
        <x:v>ADMIN-0579</x:v>
      </x:c>
      <x:c r="C580" s="10" t="str">
        <x:v>主播管理</x:v>
      </x:c>
      <x:c r="D580" s="10" t="str">
        <x:v>直播详情（平台管理员）</x:v>
      </x:c>
      <x:c r="E580" s="10" t="str">
        <x:v>逻辑校验</x:v>
      </x:c>
      <x:c r="F580" s="10" t="str">
        <x:v>P1</x:v>
      </x:c>
      <x:c r="G580" s="9" t="str">
        <x:v>验证直播详情核算金币收益</x:v>
      </x:c>
      <x:c r="H580" s="9" t="str">
        <x:v>金币收益</x:v>
      </x:c>
      <x:c r="I580" s="9" t="str">
        <x:v>1. 平台管理员为本条执行者
2. 平台管理员账号已登录
3. 以下数据仅属于直播详情当前查看对象及已选日期范围；无其他会影响该指标的有效记录
4. 普通礼物扣减100、定制礼物200、门票300、幸运礼物扣减1000且返奖800金币；另有虚拟送礼500及失败送礼200，不计入真实消费</x:v>
      </x:c>
      <x:c r="J580" s="9" t="str">
        <x:v>1. 打开直播详情
2. 查看金币收益</x:v>
      </x:c>
      <x:c r="K580" s="9" t="str">
        <x:v>金币收益 = 800 金币</x:v>
      </x:c>
      <x:c r="L580" s="10" t="str"/>
      <x:c r="M580" s="10" t="str">
        <x:v>未测</x:v>
      </x:c>
      <x:c r="N580" s="10" t="str"/>
      <x:c r="O580" s="9" t="str">
        <x:v>1. 来源（当前证据）：liveshow-proto/MainBasis/统一需求文档.md；位置：第 2591 行；REQ-977ef65dd5aa、第 2587 行
2. 规则：BR-1997E2386F24BF
3. 未动态验证
4. 示例账号、编号、金额与日期是本条测试数据；执行前按前置条件准备，未填写的产品决策不得自行假定。</x:v>
      </x:c>
    </x:row>
    <x:row r="581" ht="130" customHeight="1">
      <x:c r="A581" s="10" t="n">
        <x:v>580</x:v>
      </x:c>
      <x:c r="B581" s="10" t="str">
        <x:v>ADMIN-0580</x:v>
      </x:c>
      <x:c r="C581" s="10" t="str">
        <x:v>主播管理</x:v>
      </x:c>
      <x:c r="D581" s="10" t="str">
        <x:v>直播详情（平台管理员）</x:v>
      </x:c>
      <x:c r="E581" s="10" t="str">
        <x:v>逻辑校验</x:v>
      </x:c>
      <x:c r="F581" s="10" t="str">
        <x:v>P2</x:v>
      </x:c>
      <x:c r="G581" s="9" t="str">
        <x:v>验证直播详情核算收礼数量</x:v>
      </x:c>
      <x:c r="H581" s="9" t="str">
        <x:v>收礼数量</x:v>
      </x:c>
      <x:c r="I581" s="9" t="str">
        <x:v>1. 平台管理员为本条执行者
2. 平台管理员账号已登录
3. 以下数据仅属于直播详情当前查看对象及已选日期范围；无其他会影响该指标的有效记录
4. 普通礼物两笔成功赠送分别2件和3件；另1件失败及1张成功门票不计为礼物件数</x:v>
      </x:c>
      <x:c r="J581" s="9" t="str">
        <x:v>1. 打开直播详情
2. 查看收礼数量</x:v>
      </x:c>
      <x:c r="K581" s="9" t="str">
        <x:v>收礼数量 = 5 件</x:v>
      </x:c>
      <x:c r="L581" s="10" t="str"/>
      <x:c r="M581" s="10" t="str">
        <x:v>未测</x:v>
      </x:c>
      <x:c r="N581" s="10" t="str"/>
      <x:c r="O581" s="9" t="str">
        <x:v>1. 来源（当前证据）：liveshow-proto/MainBasis/统一需求文档.md；位置：第 2592 行；REQ-ad22be919d87、第 2587 行
2. 规则：BR-FC8AF72CB2AB21
3. 未动态验证
4. 示例账号、编号、金额与日期是本条测试数据；执行前按前置条件准备，未填写的产品决策不得自行假定。</x:v>
      </x:c>
    </x:row>
    <x:row r="582" ht="130" customHeight="1">
      <x:c r="A582" s="10" t="n">
        <x:v>581</x:v>
      </x:c>
      <x:c r="B582" s="10" t="str">
        <x:v>ADMIN-0581</x:v>
      </x:c>
      <x:c r="C582" s="10" t="str">
        <x:v>公会管理</x:v>
      </x:c>
      <x:c r="D582" s="10" t="str">
        <x:v>公会列表（平台管理员）</x:v>
      </x:c>
      <x:c r="E582" s="10" t="str">
        <x:v>逻辑校验</x:v>
      </x:c>
      <x:c r="F582" s="10" t="str">
        <x:v>P2</x:v>
      </x:c>
      <x:c r="G582" s="9" t="str">
        <x:v>验证公会列表核算主播人数</x:v>
      </x:c>
      <x:c r="H582" s="9" t="str">
        <x:v>主播人数</x:v>
      </x:c>
      <x:c r="I582" s="9" t="str">
        <x:v>1. 平台管理员为本条执行者
2. 平台管理员账号已登录
3. 以下数据仅属于公会列表当前查看对象及已选日期范围；无其他会影响该指标的有效记录
4. 当前公会有有效主播甲乙，甲同时存在两笔历史申请记录；丙已退会</x:v>
      </x:c>
      <x:c r="J582" s="9" t="str">
        <x:v>1. 打开公会列表
2. 查看主播人数</x:v>
      </x:c>
      <x:c r="K582" s="9" t="str">
        <x:v>主播人数 = 2 人</x:v>
      </x:c>
      <x:c r="L582" s="10" t="str"/>
      <x:c r="M582" s="10" t="str">
        <x:v>未测</x:v>
      </x:c>
      <x:c r="N582" s="10" t="str"/>
      <x:c r="O582" s="9" t="str">
        <x:v>1. 来源（当前证据）：liveshow-proto/MainBasis/统一需求文档.md；位置：第 2708 行；REQ-086e056e5925、第 2704 行
2. 规则：BR-FDE42E0058A9B4
3. 未动态验证
4. 示例账号、编号、金额与日期是本条测试数据；执行前按前置条件准备，未填写的产品决策不得自行假定。</x:v>
      </x:c>
    </x:row>
    <x:row r="583" ht="145" customHeight="1">
      <x:c r="A583" s="10" t="n">
        <x:v>582</x:v>
      </x:c>
      <x:c r="B583" s="10" t="str">
        <x:v>ADMIN-0582</x:v>
      </x:c>
      <x:c r="C583" s="10" t="str">
        <x:v>公会管理</x:v>
      </x:c>
      <x:c r="D583" s="10" t="str">
        <x:v>公会详情（平台管理员）</x:v>
      </x:c>
      <x:c r="E583" s="10" t="str">
        <x:v>逻辑校验</x:v>
      </x:c>
      <x:c r="F583" s="10" t="str">
        <x:v>P2</x:v>
      </x:c>
      <x:c r="G583" s="9" t="str">
        <x:v>验证公会详情核算累计收益</x:v>
      </x:c>
      <x:c r="H583" s="9" t="str">
        <x:v>累计收益</x:v>
      </x:c>
      <x:c r="I583" s="9" t="str">
        <x:v>1. 平台管理员为本条执行者
2. 平台管理员账号已登录
3. 以下数据仅属于公会详情当前查看对象及已选日期范围；无其他会影响该指标的有效记录
4. 范围内两笔已确认可计入主播收益的真实普通礼物记录，收益分别100和200金币；范围外另有500金币收益</x:v>
      </x:c>
      <x:c r="J583" s="9" t="str">
        <x:v>1. 打开公会详情
2. 查看累计收益</x:v>
      </x:c>
      <x:c r="K583" s="9" t="str">
        <x:v>累计收益 = 300 金币</x:v>
      </x:c>
      <x:c r="L583" s="10" t="str"/>
      <x:c r="M583" s="10" t="str">
        <x:v>未测</x:v>
      </x:c>
      <x:c r="N583" s="10" t="str"/>
      <x:c r="O583" s="9" t="str">
        <x:v>1. 来源（当前证据）：liveshow-proto/MainBasis/统一需求文档.md；位置：第 2724 行；REQ-a7d89bf6f91b、第 2716 行
2. 规则：BR-712196C72E5F27
3. 未动态验证
4. 示例账号、编号、金额与日期是本条测试数据；执行前按前置条件准备，未填写的产品决策不得自行假定。</x:v>
      </x:c>
    </x:row>
    <x:row r="584" ht="130" customHeight="1">
      <x:c r="A584" s="10" t="n">
        <x:v>583</x:v>
      </x:c>
      <x:c r="B584" s="10" t="str">
        <x:v>ADMIN-0583</x:v>
      </x:c>
      <x:c r="C584" s="10" t="str">
        <x:v>礼物与道具</x:v>
      </x:c>
      <x:c r="D584" s="10" t="str">
        <x:v>幸运礼物（平台管理员）</x:v>
      </x:c>
      <x:c r="E584" s="10" t="str">
        <x:v>逻辑校验</x:v>
      </x:c>
      <x:c r="F584" s="10" t="str">
        <x:v>P2</x:v>
      </x:c>
      <x:c r="G584" s="9" t="str">
        <x:v>验证幸运礼物核算单价</x:v>
      </x:c>
      <x:c r="H584" s="9" t="str">
        <x:v>单价</x:v>
      </x:c>
      <x:c r="I584" s="9" t="str">
        <x:v>1. 平台管理员为本条执行者
2. 平台管理员账号已登录
3. 以下数据仅属于幸运礼物当前查看对象及已选日期范围；无其他会影响该指标的有效记录
4. 本条幸运礼物单次消耗10金币、独立开奖次数10</x:v>
      </x:c>
      <x:c r="J584" s="9" t="str">
        <x:v>1. 打开幸运礼物
2. 查看单价</x:v>
      </x:c>
      <x:c r="K584" s="9" t="str">
        <x:v>单价 = 100 金币</x:v>
      </x:c>
      <x:c r="L584" s="10" t="str"/>
      <x:c r="M584" s="10" t="str">
        <x:v>未测</x:v>
      </x:c>
      <x:c r="N584" s="10" t="str"/>
      <x:c r="O584" s="9" t="str">
        <x:v>1. 来源（当前证据）：liveshow-proto/MainBasis/统一需求文档.md；位置：第 2770 行；REQ-19eb5bab39f9、第 2765 行
2. 规则：BR-8EF7934BD5B57F
3. 未动态验证
4. 示例账号、编号、金额与日期是本条测试数据；执行前按前置条件准备，未填写的产品决策不得自行假定。</x:v>
      </x:c>
    </x:row>
    <x:row r="585" ht="130" customHeight="1">
      <x:c r="A585" s="10" t="n">
        <x:v>584</x:v>
      </x:c>
      <x:c r="B585" s="10" t="str">
        <x:v>ADMIN-0584</x:v>
      </x:c>
      <x:c r="C585" s="10" t="str">
        <x:v>订单管理</x:v>
      </x:c>
      <x:c r="D585" s="10" t="str">
        <x:v>充值订单（财务管理员）</x:v>
      </x:c>
      <x:c r="E585" s="10" t="str">
        <x:v>逻辑校验</x:v>
      </x:c>
      <x:c r="F585" s="10" t="str">
        <x:v>P1</x:v>
      </x:c>
      <x:c r="G585" s="9" t="str">
        <x:v>验证充值订单核算到账金币</x:v>
      </x:c>
      <x:c r="H585" s="9" t="str">
        <x:v>到账金币</x:v>
      </x:c>
      <x:c r="I585" s="9" t="str">
        <x:v>1. 财务管理员为本条执行者
2. 财务管理员账号已登录
3. 以下数据仅属于充值订单当前查看对象及已选日期范围；无其他会影响该指标的有效记录
4. 原充值订单基础金币100、赠送20，订单支付成功；退款页面已完成该订单全额退款</x:v>
      </x:c>
      <x:c r="J585" s="9" t="str">
        <x:v>1. 打开充值订单
2. 查看到账金币</x:v>
      </x:c>
      <x:c r="K585" s="9" t="str">
        <x:v>到账金币 = 120 金币</x:v>
      </x:c>
      <x:c r="L585" s="10" t="str"/>
      <x:c r="M585" s="10" t="str">
        <x:v>未测</x:v>
      </x:c>
      <x:c r="N585" s="10" t="str"/>
      <x:c r="O585" s="9" t="str">
        <x:v>1. 来源（当前证据）：liveshow-proto/MainBasis/统一需求文档.md；位置：第 3036 行；REQ-968f7abf9780、第 3031 行
2. 规则：BR-2AD2A641BAFC3B
3. 未动态验证
4. 示例账号、编号、金额与日期是本条测试数据；执行前按前置条件准备，未填写的产品决策不得自行假定。</x:v>
      </x:c>
    </x:row>
    <x:row r="586" ht="145" customHeight="1">
      <x:c r="A586" s="10" t="n">
        <x:v>585</x:v>
      </x:c>
      <x:c r="B586" s="10" t="str">
        <x:v>ADMIN-0585</x:v>
      </x:c>
      <x:c r="C586" s="10" t="str">
        <x:v>订单管理</x:v>
      </x:c>
      <x:c r="D586" s="10" t="str">
        <x:v>充值订单详情（财务管理员）</x:v>
      </x:c>
      <x:c r="E586" s="10" t="str">
        <x:v>逻辑校验</x:v>
      </x:c>
      <x:c r="F586" s="10" t="str">
        <x:v>P1</x:v>
      </x:c>
      <x:c r="G586" s="9" t="str">
        <x:v>验证充值订单详情核算总到账金币</x:v>
      </x:c>
      <x:c r="H586" s="9" t="str">
        <x:v>总到账金币</x:v>
      </x:c>
      <x:c r="I586" s="9" t="str">
        <x:v>1. 财务管理员为本条执行者
2. 财务管理员账号已登录
3. 以下数据仅属于充值订单详情当前查看对象及已选日期范围；无其他会影响该指标的有效记录
4. 原充值订单基础金币100、赠送20，订单支付成功；退款页面已完成该订单全额退款</x:v>
      </x:c>
      <x:c r="J586" s="9" t="str">
        <x:v>1. 打开充值订单详情
2. 查看总到账金币</x:v>
      </x:c>
      <x:c r="K586" s="9" t="str">
        <x:v>总到账金币 = 120 金币</x:v>
      </x:c>
      <x:c r="L586" s="10" t="str"/>
      <x:c r="M586" s="10" t="str">
        <x:v>未测</x:v>
      </x:c>
      <x:c r="N586" s="10" t="str"/>
      <x:c r="O586" s="9" t="str">
        <x:v>1. 来源（当前证据）：liveshow-proto/MainBasis/统一需求文档.md；位置：第 3047 行；REQ-eeb7b92fa90a、第 3043 行
2. 规则：BR-078A13AE0A2309
3. 未动态验证
4. 示例账号、编号、金额与日期是本条测试数据；执行前按前置条件准备，未填写的产品决策不得自行假定。</x:v>
      </x:c>
    </x:row>
    <x:row r="587" ht="145" customHeight="1">
      <x:c r="A587" s="10" t="n">
        <x:v>586</x:v>
      </x:c>
      <x:c r="B587" s="10" t="str">
        <x:v>ADMIN-0586</x:v>
      </x:c>
      <x:c r="C587" s="10" t="str">
        <x:v>订单管理</x:v>
      </x:c>
      <x:c r="D587" s="10" t="str">
        <x:v>充值订单详情（财务管理员）</x:v>
      </x:c>
      <x:c r="E587" s="10" t="str">
        <x:v>逻辑校验</x:v>
      </x:c>
      <x:c r="F587" s="10" t="str">
        <x:v>P1</x:v>
      </x:c>
      <x:c r="G587" s="9" t="str">
        <x:v>验证充值订单详情核算扣回金币</x:v>
      </x:c>
      <x:c r="H587" s="9" t="str">
        <x:v>扣回金币</x:v>
      </x:c>
      <x:c r="I587" s="9" t="str">
        <x:v>1. 财务管理员为本条执行者
2. 财务管理员账号已登录
3. 以下数据仅属于充值订单详情当前查看对象及已选日期范围；无其他会影响该指标的有效记录
4. 原充值订单基础金币100、赠送20，订单支付成功；退款页面已完成该订单全额退款</x:v>
      </x:c>
      <x:c r="J587" s="9" t="str">
        <x:v>1. 打开充值订单详情
2. 查看扣回金币</x:v>
      </x:c>
      <x:c r="K587" s="9" t="str">
        <x:v>扣回金币 = 120 金币</x:v>
      </x:c>
      <x:c r="L587" s="10" t="str"/>
      <x:c r="M587" s="10" t="str">
        <x:v>未测</x:v>
      </x:c>
      <x:c r="N587" s="10" t="str"/>
      <x:c r="O587" s="9" t="str">
        <x:v>1. 来源（当前证据）：liveshow-proto/MainBasis/统一需求文档.md；位置：第 3049 行；REQ-1f829f8940ff、第 3043 行
2. 规则：BR-E0032561E2CB44
3. 未动态验证
4. 示例账号、编号、金额与日期是本条测试数据；执行前按前置条件准备，未填写的产品决策不得自行假定。</x:v>
      </x:c>
    </x:row>
    <x:row r="588" ht="130" customHeight="1">
      <x:c r="A588" s="10" t="n">
        <x:v>587</x:v>
      </x:c>
      <x:c r="B588" s="10" t="str">
        <x:v>ADMIN-0587</x:v>
      </x:c>
      <x:c r="C588" s="10" t="str">
        <x:v>订单管理</x:v>
      </x:c>
      <x:c r="D588" s="10" t="str">
        <x:v>消费订单（财务管理员）</x:v>
      </x:c>
      <x:c r="E588" s="10" t="str">
        <x:v>逻辑校验</x:v>
      </x:c>
      <x:c r="F588" s="10" t="str">
        <x:v>P1</x:v>
      </x:c>
      <x:c r="G588" s="9" t="str">
        <x:v>验证消费订单核算消费金币</x:v>
      </x:c>
      <x:c r="H588" s="9" t="str">
        <x:v>消费金币</x:v>
      </x:c>
      <x:c r="I588" s="9" t="str">
        <x:v>1. 财务管理员为本条执行者
2. 财务管理员账号已登录
3. 以下数据仅属于消费订单当前查看对象及已选日期范围；无其他会影响该指标的有效记录
4. 本次普通用户成功赠送普通礼物单价100金币、数量3，配置允许该数量</x:v>
      </x:c>
      <x:c r="J588" s="9" t="str">
        <x:v>1. 打开消费订单
2. 查看消费金币</x:v>
      </x:c>
      <x:c r="K588" s="9" t="str">
        <x:v>消费金币 = 300 金币</x:v>
      </x:c>
      <x:c r="L588" s="10" t="str"/>
      <x:c r="M588" s="10" t="str">
        <x:v>未测</x:v>
      </x:c>
      <x:c r="N588" s="10" t="str"/>
      <x:c r="O588" s="9" t="str">
        <x:v>1. 来源（当前证据）：liveshow-proto/MainBasis/统一需求文档.md；位置：第 3061 行；REQ-ce5a3ea958dd、第 3057 行
2. 规则：BR-286AB1427BAAE2
3. 未动态验证
4. 示例账号、编号、金额与日期是本条测试数据；执行前按前置条件准备，未填写的产品决策不得自行假定。</x:v>
      </x:c>
    </x:row>
    <x:row r="589" ht="175" customHeight="1">
      <x:c r="A589" s="10" t="n">
        <x:v>588</x:v>
      </x:c>
      <x:c r="B589" s="10" t="str">
        <x:v>ADMIN-0588</x:v>
      </x:c>
      <x:c r="C589" s="10" t="str">
        <x:v>订单管理</x:v>
      </x:c>
      <x:c r="D589" s="10" t="str">
        <x:v>消费订单详情（财务管理员）</x:v>
      </x:c>
      <x:c r="E589" s="10" t="str">
        <x:v>逻辑校验</x:v>
      </x:c>
      <x:c r="F589" s="10" t="str">
        <x:v>P2</x:v>
      </x:c>
      <x:c r="G589" s="9" t="str">
        <x:v>验证消费订单详情核算主播收益</x:v>
      </x:c>
      <x:c r="H589" s="9" t="str">
        <x:v>主播收益</x:v>
      </x:c>
      <x:c r="I589" s="9" t="str">
        <x:v>1. 财务管理员为本条执行者
2. 财务管理员账号已登录
3. 以下数据仅属于消费订单详情当前查看对象及已选日期范围；无其他会影响该指标的有效记录
4. 普通礼物实际消费100、定制礼物200、幸运礼物送出价值1000金币；该次幸运收益比例1%；无门票消费；虚拟送礼500、失败送礼200均不计</x:v>
      </x:c>
      <x:c r="J589" s="9" t="str">
        <x:v>1. 打开消费订单详情
2. 查看主播收益</x:v>
      </x:c>
      <x:c r="K589" s="9" t="str">
        <x:v>主播收益 = 310 金币</x:v>
      </x:c>
      <x:c r="L589" s="10" t="str"/>
      <x:c r="M589" s="10" t="str">
        <x:v>未测</x:v>
      </x:c>
      <x:c r="N589" s="10" t="str"/>
      <x:c r="O589" s="9" t="str">
        <x:v>1. 来源（当前证据）：liveshow-proto/MainBasis/统一需求文档.md；位置：第 3076 行；REQ-8c5a8dc8cf15、第 3070 行
2. 规则：BR-A2DE6184D95C28
3. 未动态验证
4. 示例账号、编号、金额与日期是本条测试数据；执行前按前置条件准备，未填写的产品决策不得自行假定。</x:v>
      </x:c>
    </x:row>
    <x:row r="590" ht="130" customHeight="1">
      <x:c r="A590" s="10" t="n">
        <x:v>589</x:v>
      </x:c>
      <x:c r="B590" s="10" t="str">
        <x:v>ADMIN-0589</x:v>
      </x:c>
      <x:c r="C590" s="10" t="str">
        <x:v>财务结算</x:v>
      </x:c>
      <x:c r="D590" s="10" t="str">
        <x:v>主播分成记录（财务管理员）</x:v>
      </x:c>
      <x:c r="E590" s="10" t="str">
        <x:v>逻辑校验</x:v>
      </x:c>
      <x:c r="F590" s="10" t="str">
        <x:v>P2</x:v>
      </x:c>
      <x:c r="G590" s="9" t="str">
        <x:v>验证主播分成记录核算主播人数</x:v>
      </x:c>
      <x:c r="H590" s="9" t="str">
        <x:v>主播人数</x:v>
      </x:c>
      <x:c r="I590" s="9" t="str">
        <x:v>1. 财务管理员为本条执行者
2. 财务管理员账号已登录
3. 以下数据仅属于主播分成记录当前查看对象及已选日期范围；无其他会影响该指标的有效记录
4. 所选范围主播甲完成两场直播，乙完成一场；丙未开播</x:v>
      </x:c>
      <x:c r="J590" s="9" t="str">
        <x:v>1. 打开主播分成记录
2. 查看主播人数</x:v>
      </x:c>
      <x:c r="K590" s="9" t="str">
        <x:v>主播人数 = 2 人</x:v>
      </x:c>
      <x:c r="L590" s="10" t="str"/>
      <x:c r="M590" s="10" t="str">
        <x:v>未测</x:v>
      </x:c>
      <x:c r="N590" s="10" t="str"/>
      <x:c r="O590" s="9" t="str">
        <x:v>1. 来源（当前证据）：liveshow-proto/MainBasis/统一需求文档.md；位置：第 3097 行；REQ-92a253300dd8、第 3094 行
2. 规则：BR-A45AD4C6BAB0B7
3. 未动态验证
4. 示例账号、编号、金额与日期是本条测试数据；执行前按前置条件准备，未填写的产品决策不得自行假定。</x:v>
      </x:c>
    </x:row>
    <x:row r="591" ht="130" customHeight="1">
      <x:c r="A591" s="10" t="n">
        <x:v>590</x:v>
      </x:c>
      <x:c r="B591" s="10" t="str">
        <x:v>ADMIN-0590</x:v>
      </x:c>
      <x:c r="C591" s="10" t="str">
        <x:v>财务结算</x:v>
      </x:c>
      <x:c r="D591" s="10" t="str">
        <x:v>主播分成记录详情（财务管理员）</x:v>
      </x:c>
      <x:c r="E591" s="10" t="str">
        <x:v>逻辑校验</x:v>
      </x:c>
      <x:c r="F591" s="10" t="str">
        <x:v>P2</x:v>
      </x:c>
      <x:c r="G591" s="9" t="str">
        <x:v>验证主播分成记录详情核算主播人数</x:v>
      </x:c>
      <x:c r="H591" s="9" t="str">
        <x:v>主播人数</x:v>
      </x:c>
      <x:c r="I591" s="9" t="str">
        <x:v>1. 财务管理员为本条执行者
2. 财务管理员账号已登录
3. 以下数据仅属于主播分成记录详情当前查看对象及已选日期范围；无其他会影响该指标的有效记录
4. 所选范围主播甲完成两场直播，乙完成一场；丙未开播</x:v>
      </x:c>
      <x:c r="J591" s="9" t="str">
        <x:v>1. 打开主播分成记录详情
2. 查看主播人数</x:v>
      </x:c>
      <x:c r="K591" s="9" t="str">
        <x:v>主播人数 = 2 人</x:v>
      </x:c>
      <x:c r="L591" s="10" t="str"/>
      <x:c r="M591" s="10" t="str">
        <x:v>未测</x:v>
      </x:c>
      <x:c r="N591" s="10" t="str"/>
      <x:c r="O591" s="9" t="str">
        <x:v>1. 来源（当前证据）：liveshow-proto/MainBasis/统一需求文档.md；位置：第 3109 行；REQ-1cadc5168b2e、第 3106 行
2. 规则：BR-93BD4BCD4F4BC5
3. 未动态验证
4. 示例账号、编号、金额与日期是本条测试数据；执行前按前置条件准备，未填写的产品决策不得自行假定。</x:v>
      </x:c>
    </x:row>
    <x:row r="592" ht="145" customHeight="1">
      <x:c r="A592" s="10" t="n">
        <x:v>591</x:v>
      </x:c>
      <x:c r="B592" s="10" t="str">
        <x:v>ADMIN-0591</x:v>
      </x:c>
      <x:c r="C592" s="10" t="str">
        <x:v>数据报表</x:v>
      </x:c>
      <x:c r="D592" s="10" t="str">
        <x:v>数据概览（财务管理员）</x:v>
      </x:c>
      <x:c r="E592" s="10" t="str">
        <x:v>逻辑校验</x:v>
      </x:c>
      <x:c r="F592" s="10" t="str">
        <x:v>P1</x:v>
      </x:c>
      <x:c r="G592" s="9" t="str">
        <x:v>验证数据概览核算新用户充值金额</x:v>
      </x:c>
      <x:c r="H592" s="9" t="str">
        <x:v>新用户充值金额</x:v>
      </x:c>
      <x:c r="I592" s="9" t="str">
        <x:v>1. 财务管理员为本条执行者
2. 财务管理员账号已登录
3. 以下数据仅属于数据概览当前查看对象及已选日期范围；无其他会影响该指标的有效记录
4. 本统计日新注册用户甲支付成功订单1.50USD和2.50USD；另3.00USD订单支付失败；无其他成功订单</x:v>
      </x:c>
      <x:c r="J592" s="9" t="str">
        <x:v>1. 打开数据概览
2. 查看新用户充值金额</x:v>
      </x:c>
      <x:c r="K592" s="9" t="str">
        <x:v>新用户充值金额 = 4 USD</x:v>
      </x:c>
      <x:c r="L592" s="10" t="str"/>
      <x:c r="M592" s="10" t="str">
        <x:v>未测</x:v>
      </x:c>
      <x:c r="N592" s="10" t="str"/>
      <x:c r="O592" s="9" t="str">
        <x:v>1. 来源（当前证据）：liveshow-proto/MainBasis/统一需求文档.md；位置：第 3185 行；REQ-8b7a0351fdf4、第 3181 行
2. 规则：BR-AB48E192D8170E
3. 未动态验证
4. 示例账号、编号、金额与日期是本条测试数据；执行前按前置条件准备，未填写的产品决策不得自行假定。</x:v>
      </x:c>
    </x:row>
    <x:row r="593" ht="130" customHeight="1">
      <x:c r="A593" s="10" t="n">
        <x:v>592</x:v>
      </x:c>
      <x:c r="B593" s="10" t="str">
        <x:v>ADMIN-0592</x:v>
      </x:c>
      <x:c r="C593" s="10" t="str">
        <x:v>数据报表</x:v>
      </x:c>
      <x:c r="D593" s="10" t="str">
        <x:v>每日统计（财务管理员）</x:v>
      </x:c>
      <x:c r="E593" s="10" t="str">
        <x:v>逻辑校验</x:v>
      </x:c>
      <x:c r="F593" s="10" t="str">
        <x:v>P2</x:v>
      </x:c>
      <x:c r="G593" s="9" t="str">
        <x:v>验证每日统计核算开播人数</x:v>
      </x:c>
      <x:c r="H593" s="9" t="str">
        <x:v>开播人数</x:v>
      </x:c>
      <x:c r="I593" s="9" t="str">
        <x:v>1. 财务管理员为本条执行者
2. 财务管理员账号已登录
3. 以下数据仅属于每日统计当前查看对象及已选日期范围；无其他会影响该指标的有效记录
4. 所选范围主播甲完成两场直播，乙完成一场；丙未开播</x:v>
      </x:c>
      <x:c r="J593" s="9" t="str">
        <x:v>1. 打开每日统计
2. 查看开播人数</x:v>
      </x:c>
      <x:c r="K593" s="9" t="str">
        <x:v>开播人数 = 2 人</x:v>
      </x:c>
      <x:c r="L593" s="10" t="str"/>
      <x:c r="M593" s="10" t="str">
        <x:v>未测</x:v>
      </x:c>
      <x:c r="N593" s="10" t="str"/>
      <x:c r="O593" s="9" t="str">
        <x:v>1. 来源（当前证据）：liveshow-proto/MainBasis/统一需求文档.md；位置：第 3198 行；REQ-55f7ff02cf61、第 3192 行
2. 规则：BR-2DED77BAD8B95F
3. 未动态验证
4. 示例账号、编号、金额与日期是本条测试数据；执行前按前置条件准备，未填写的产品决策不得自行假定。</x:v>
      </x:c>
    </x:row>
    <x:row r="594" ht="145" customHeight="1">
      <x:c r="A594" s="10" t="n">
        <x:v>593</x:v>
      </x:c>
      <x:c r="B594" s="10" t="str">
        <x:v>ADMIN-0593</x:v>
      </x:c>
      <x:c r="C594" s="10" t="str">
        <x:v>数据报表</x:v>
      </x:c>
      <x:c r="D594" s="10" t="str">
        <x:v>每日统计（财务管理员）</x:v>
      </x:c>
      <x:c r="E594" s="10" t="str">
        <x:v>逻辑校验</x:v>
      </x:c>
      <x:c r="F594" s="10" t="str">
        <x:v>P2</x:v>
      </x:c>
      <x:c r="G594" s="9" t="str">
        <x:v>验证每日统计核算达成有效天主播</x:v>
      </x:c>
      <x:c r="H594" s="9" t="str">
        <x:v>达成有效天主播</x:v>
      </x:c>
      <x:c r="I594" s="9" t="str">
        <x:v>1. 财务管理员为本条执行者
2. 财务管理员账号已登录
3. 以下数据仅属于每日统计当前查看对象及已选日期范围；无其他会影响该指标的有效记录
4. 同一自然日主播甲累计有效3小时，乙2小时59分钟，丙4小时；甲虽开播两场仍只是一名主播</x:v>
      </x:c>
      <x:c r="J594" s="9" t="str">
        <x:v>1. 打开每日统计
2. 查看达成有效天主播</x:v>
      </x:c>
      <x:c r="K594" s="9" t="str">
        <x:v>达成有效天主播 = 2 人</x:v>
      </x:c>
      <x:c r="L594" s="10" t="str"/>
      <x:c r="M594" s="10" t="str">
        <x:v>未测</x:v>
      </x:c>
      <x:c r="N594" s="10" t="str"/>
      <x:c r="O594" s="9" t="str">
        <x:v>1. 来源（当前证据）：liveshow-proto/MainBasis/统一需求文档.md；位置：第 3199 行；REQ-d2d60905bd17、第 3192 行
2. 规则：BR-4BFDB47C670F26
3. 未动态验证
4. 示例账号、编号、金额与日期是本条测试数据；执行前按前置条件准备，未填写的产品决策不得自行假定。</x:v>
      </x:c>
    </x:row>
    <x:row r="595" ht="160" customHeight="1">
      <x:c r="A595" s="10" t="n">
        <x:v>594</x:v>
      </x:c>
      <x:c r="B595" s="10" t="str">
        <x:v>ADMIN-0594</x:v>
      </x:c>
      <x:c r="C595" s="10" t="str">
        <x:v>数据报表</x:v>
      </x:c>
      <x:c r="D595" s="10" t="str">
        <x:v>主播活跃汇总（每日）（财务管理员）</x:v>
      </x:c>
      <x:c r="E595" s="10" t="str">
        <x:v>逻辑校验</x:v>
      </x:c>
      <x:c r="F595" s="10" t="str">
        <x:v>P2</x:v>
      </x:c>
      <x:c r="G595" s="9" t="str">
        <x:v>验证主播活跃汇总（每日）核算有效天达标人数</x:v>
      </x:c>
      <x:c r="H595" s="9" t="str">
        <x:v>有效天达标人数</x:v>
      </x:c>
      <x:c r="I595" s="9" t="str">
        <x:v>1. 财务管理员为本条执行者
2. 财务管理员账号已登录
3. 以下数据仅属于主播活跃汇总（每日）当前查看对象及已选日期范围；无其他会影响该指标的有效记录
4. 同一自然日主播甲累计有效3小时，乙2小时59分钟，丙4小时；甲虽开播两场仍只是一名主播</x:v>
      </x:c>
      <x:c r="J595" s="9" t="str">
        <x:v>1. 打开主播活跃汇总（每日）
2. 查看有效天达标人数</x:v>
      </x:c>
      <x:c r="K595" s="9" t="str">
        <x:v>有效天达标人数 = 2 人</x:v>
      </x:c>
      <x:c r="L595" s="10" t="str"/>
      <x:c r="M595" s="10" t="str">
        <x:v>未测</x:v>
      </x:c>
      <x:c r="N595" s="10" t="str"/>
      <x:c r="O595" s="9" t="str">
        <x:v>1. 来源（当前证据）：liveshow-proto/MainBasis/统一需求文档.md；位置：第 3221 行；REQ-d549c0e4c62c、第 3216 行
2. 规则：BR-C022C9DBC8B125
3. 未动态验证
4. 示例账号、编号、金额与日期是本条测试数据；执行前按前置条件准备，未填写的产品决策不得自行假定。</x:v>
      </x:c>
    </x:row>
    <x:row r="596" ht="145" customHeight="1">
      <x:c r="A596" s="10" t="n">
        <x:v>595</x:v>
      </x:c>
      <x:c r="B596" s="10" t="str">
        <x:v>ADMIN-0595</x:v>
      </x:c>
      <x:c r="C596" s="10" t="str">
        <x:v>数据报表</x:v>
      </x:c>
      <x:c r="D596" s="10" t="str">
        <x:v>直播间互动汇总（每日）（财务管理员）</x:v>
      </x:c>
      <x:c r="E596" s="10" t="str">
        <x:v>逻辑校验</x:v>
      </x:c>
      <x:c r="F596" s="10" t="str">
        <x:v>P2</x:v>
      </x:c>
      <x:c r="G596" s="9" t="str">
        <x:v>验证直播间互动汇总（每日）核算观众人数</x:v>
      </x:c>
      <x:c r="H596" s="9" t="str">
        <x:v>观众人数</x:v>
      </x:c>
      <x:c r="I596" s="9" t="str">
        <x:v>1. 财务管理员为本条执行者
2. 财务管理员账号已登录
3. 以下数据仅属于直播间互动汇总（每日）当前查看对象及已选日期范围；无其他会影响该指标的有效记录
4. 当前场次中真实用户甲成功进入2次、乙1次；丙准入失败，三人以外没有观众</x:v>
      </x:c>
      <x:c r="J596" s="9" t="str">
        <x:v>1. 打开直播间互动汇总（每日）
2. 查看观众人数</x:v>
      </x:c>
      <x:c r="K596" s="9" t="str">
        <x:v>观众人数 = 2 人</x:v>
      </x:c>
      <x:c r="L596" s="10" t="str"/>
      <x:c r="M596" s="10" t="str">
        <x:v>未测</x:v>
      </x:c>
      <x:c r="N596" s="10" t="str"/>
      <x:c r="O596" s="9" t="str">
        <x:v>1. 来源（当前证据）：liveshow-proto/MainBasis/统一需求文档.md；位置：第 3230 行；REQ-a58ace341446、第 3228 行
2. 规则：BR-B893E2ED378BE9
3. 未动态验证
4. 示例账号、编号、金额与日期是本条测试数据；执行前按前置条件准备，未填写的产品决策不得自行假定。</x:v>
      </x:c>
    </x:row>
    <x:row r="597" ht="145" customHeight="1">
      <x:c r="A597" s="10" t="n">
        <x:v>596</x:v>
      </x:c>
      <x:c r="B597" s="10" t="str">
        <x:v>ADMIN-0596</x:v>
      </x:c>
      <x:c r="C597" s="10" t="str">
        <x:v>数据报表</x:v>
      </x:c>
      <x:c r="D597" s="10" t="str">
        <x:v>直播记录明细报表（财务管理员）</x:v>
      </x:c>
      <x:c r="E597" s="10" t="str">
        <x:v>逻辑校验</x:v>
      </x:c>
      <x:c r="F597" s="10" t="str">
        <x:v>P2</x:v>
      </x:c>
      <x:c r="G597" s="9" t="str">
        <x:v>验证直播记录明细报表核算观众人数</x:v>
      </x:c>
      <x:c r="H597" s="9" t="str">
        <x:v>观众人数</x:v>
      </x:c>
      <x:c r="I597" s="9" t="str">
        <x:v>1. 财务管理员为本条执行者
2. 财务管理员账号已登录
3. 以下数据仅属于直播记录明细报表当前查看对象及已选日期范围；无其他会影响该指标的有效记录
4. 当前场次中真实用户甲成功进入2次、乙1次；丙准入失败，三人以外没有观众</x:v>
      </x:c>
      <x:c r="J597" s="9" t="str">
        <x:v>1. 打开直播记录明细报表
2. 查看观众人数</x:v>
      </x:c>
      <x:c r="K597" s="9" t="str">
        <x:v>观众人数 = 2 人</x:v>
      </x:c>
      <x:c r="L597" s="10" t="str"/>
      <x:c r="M597" s="10" t="str">
        <x:v>未测</x:v>
      </x:c>
      <x:c r="N597" s="10" t="str"/>
      <x:c r="O597" s="9" t="str">
        <x:v>1. 来源（当前证据）：liveshow-proto/MainBasis/统一需求文档.md；位置：第 3243 行；REQ-0d89bdb920c1、第 3237 行
2. 规则：BR-78F3C2BAC3E20D
3. 未动态验证
4. 示例账号、编号、金额与日期是本条测试数据；执行前按前置条件准备，未填写的产品决策不得自行假定。</x:v>
      </x:c>
    </x:row>
    <x:row r="598" ht="175" customHeight="1">
      <x:c r="A598" s="10" t="n">
        <x:v>597</x:v>
      </x:c>
      <x:c r="B598" s="10" t="str">
        <x:v>ADMIN-0597</x:v>
      </x:c>
      <x:c r="C598" s="10" t="str">
        <x:v>数据报表</x:v>
      </x:c>
      <x:c r="D598" s="10" t="str">
        <x:v>直播记录明细报表（财务管理员）</x:v>
      </x:c>
      <x:c r="E598" s="10" t="str">
        <x:v>逻辑校验</x:v>
      </x:c>
      <x:c r="F598" s="10" t="str">
        <x:v>P1</x:v>
      </x:c>
      <x:c r="G598" s="9" t="str">
        <x:v>验证直播记录明细报表核算消费金币</x:v>
      </x:c>
      <x:c r="H598" s="9" t="str">
        <x:v>消费金币</x:v>
      </x:c>
      <x:c r="I598" s="9" t="str">
        <x:v>1. 财务管理员为本条执行者
2. 财务管理员账号已登录
3. 以下数据仅属于直播记录明细报表当前查看对象及已选日期范围；无其他会影响该指标的有效记录
4. 普通礼物扣减100、定制礼物200、门票300、幸运礼物扣减1000且返奖800金币；另有虚拟送礼500及失败送礼200，不计入真实消费</x:v>
      </x:c>
      <x:c r="J598" s="9" t="str">
        <x:v>1. 打开直播记录明细报表
2. 查看消费金币</x:v>
      </x:c>
      <x:c r="K598" s="9" t="str">
        <x:v>消费金币 = 800 金币</x:v>
      </x:c>
      <x:c r="L598" s="10" t="str"/>
      <x:c r="M598" s="10" t="str">
        <x:v>未测</x:v>
      </x:c>
      <x:c r="N598" s="10" t="str"/>
      <x:c r="O598" s="9" t="str">
        <x:v>1. 来源（当前证据）：liveshow-proto/MainBasis/统一需求文档.md；位置：第 3244 行；REQ-be31da7b2eeb、第 3237 行
2. 规则：BR-D462B982374EA0
3. 未动态验证
4. 示例账号、编号、金额与日期是本条测试数据；执行前按前置条件准备，未填写的产品决策不得自行假定。</x:v>
      </x:c>
    </x:row>
    <x:row r="599" ht="175" customHeight="1">
      <x:c r="A599" s="10" t="n">
        <x:v>598</x:v>
      </x:c>
      <x:c r="B599" s="10" t="str">
        <x:v>ADMIN-0598</x:v>
      </x:c>
      <x:c r="C599" s="10" t="str">
        <x:v>数据报表</x:v>
      </x:c>
      <x:c r="D599" s="10" t="str">
        <x:v>充值消费汇总（每日）（财务管理员）</x:v>
      </x:c>
      <x:c r="E599" s="10" t="str">
        <x:v>逻辑校验</x:v>
      </x:c>
      <x:c r="F599" s="10" t="str">
        <x:v>P1</x:v>
      </x:c>
      <x:c r="G599" s="9" t="str">
        <x:v>验证充值消费汇总（每日）核算消费金币</x:v>
      </x:c>
      <x:c r="H599" s="9" t="str">
        <x:v>消费金币</x:v>
      </x:c>
      <x:c r="I599" s="9" t="str">
        <x:v>1. 财务管理员为本条执行者
2. 财务管理员账号已登录
3. 以下数据仅属于充值消费汇总（每日）当前查看对象及已选日期范围；无其他会影响该指标的有效记录
4. 普通礼物扣减100、定制礼物200、门票300、幸运礼物扣减1000且返奖800金币；另有虚拟送礼500及失败送礼200，不计入真实消费</x:v>
      </x:c>
      <x:c r="J599" s="9" t="str">
        <x:v>1. 打开充值消费汇总（每日）
2. 查看消费金币</x:v>
      </x:c>
      <x:c r="K599" s="9" t="str">
        <x:v>消费金币 = 800 金币</x:v>
      </x:c>
      <x:c r="L599" s="10" t="str"/>
      <x:c r="M599" s="10" t="str">
        <x:v>未测</x:v>
      </x:c>
      <x:c r="N599" s="10" t="str"/>
      <x:c r="O599" s="9" t="str">
        <x:v>1. 来源（当前证据）：liveshow-proto/MainBasis/统一需求文档.md；位置：第 3255 行；REQ-d34b8527989d、第 3249 行
2. 规则：BR-AD94C468A3DDDA
3. 未动态验证
4. 示例账号、编号、金额与日期是本条测试数据；执行前按前置条件准备，未填写的产品决策不得自行假定。</x:v>
      </x:c>
    </x:row>
    <x:row r="600" ht="160" customHeight="1">
      <x:c r="A600" s="10" t="n">
        <x:v>599</x:v>
      </x:c>
      <x:c r="B600" s="10" t="str">
        <x:v>ADMIN-0599</x:v>
      </x:c>
      <x:c r="C600" s="10" t="str">
        <x:v>数据报表</x:v>
      </x:c>
      <x:c r="D600" s="10" t="str">
        <x:v>月度收益支出汇总（财务管理员）</x:v>
      </x:c>
      <x:c r="E600" s="10" t="str">
        <x:v>逻辑校验</x:v>
      </x:c>
      <x:c r="F600" s="10" t="str">
        <x:v>P2</x:v>
      </x:c>
      <x:c r="G600" s="9" t="str">
        <x:v>验证月度收益支出汇总核算收益</x:v>
      </x:c>
      <x:c r="H600" s="9" t="str">
        <x:v>收益</x:v>
      </x:c>
      <x:c r="I600" s="9" t="str">
        <x:v>1. 财务管理员为本条执行者
2. 财务管理员账号已登录
3. 以下数据仅属于月度收益支出汇总当前查看对象及已选日期范围；无其他会影响该指标的有效记录
4. 范围内两笔已确认可计入主播收益的真实普通礼物记录，收益分别100和200金币；范围外另有500金币收益</x:v>
      </x:c>
      <x:c r="J600" s="9" t="str">
        <x:v>1. 打开月度收益支出汇总
2. 查看收益</x:v>
      </x:c>
      <x:c r="K600" s="9" t="str">
        <x:v>收益 = 300 金币</x:v>
      </x:c>
      <x:c r="L600" s="10" t="str"/>
      <x:c r="M600" s="10" t="str">
        <x:v>未测</x:v>
      </x:c>
      <x:c r="N600" s="10" t="str"/>
      <x:c r="O600" s="9" t="str">
        <x:v>1. 来源（当前证据）：liveshow-proto/MainBasis/统一需求文档.md；位置：第 3273 行；REQ-45090472f985、第 3271 行
2. 规则：BR-B59B63D950219D
3. 未动态验证
4. 示例账号、编号、金额与日期是本条测试数据；执行前按前置条件准备，未填写的产品决策不得自行假定。</x:v>
      </x:c>
    </x:row>
    <x:row r="601" ht="160" customHeight="1">
      <x:c r="A601" s="10" t="n">
        <x:v>600</x:v>
      </x:c>
      <x:c r="B601" s="10" t="str">
        <x:v>ADMIN-0600</x:v>
      </x:c>
      <x:c r="C601" s="10" t="str">
        <x:v>数据报表</x:v>
      </x:c>
      <x:c r="D601" s="10" t="str">
        <x:v>月度收益支出汇总（财务管理员）</x:v>
      </x:c>
      <x:c r="E601" s="10" t="str">
        <x:v>逻辑校验</x:v>
      </x:c>
      <x:c r="F601" s="10" t="str">
        <x:v>P1</x:v>
      </x:c>
      <x:c r="G601" s="9" t="str">
        <x:v>验证月度收益支出汇总核算累计充值</x:v>
      </x:c>
      <x:c r="H601" s="9" t="str">
        <x:v>累计充值</x:v>
      </x:c>
      <x:c r="I601" s="9" t="str">
        <x:v>1. 财务管理员为本条执行者
2. 财务管理员账号已登录
3. 以下数据仅属于月度收益支出汇总当前查看对象及已选日期范围；无其他会影响该指标的有效记录
4. 当前统计对象甲支付成功订单1.50USD和2.50USD；另3.00USD订单支付失败；无其他成功订单</x:v>
      </x:c>
      <x:c r="J601" s="9" t="str">
        <x:v>1. 打开月度收益支出汇总
2. 查看累计充值</x:v>
      </x:c>
      <x:c r="K601" s="9" t="str">
        <x:v>累计充值 = 4 USD</x:v>
      </x:c>
      <x:c r="L601" s="10" t="str"/>
      <x:c r="M601" s="10" t="str">
        <x:v>未测</x:v>
      </x:c>
      <x:c r="N601" s="10" t="str"/>
      <x:c r="O601" s="9" t="str">
        <x:v>1. 来源（当前证据）：liveshow-proto/MainBasis/统一需求文档.md；位置：第 3274 行；REQ-b45a2cc7e99c、第 3271 行
2. 规则：BR-3863D6CF65798E
3. 未动态验证
4. 示例账号、编号、金额与日期是本条测试数据；执行前按前置条件准备，未填写的产品决策不得自行假定。</x:v>
      </x:c>
    </x:row>
    <x:row r="602" ht="160" customHeight="1">
      <x:c r="A602" s="10" t="n">
        <x:v>601</x:v>
      </x:c>
      <x:c r="B602" s="10" t="str">
        <x:v>ADMIN-0601</x:v>
      </x:c>
      <x:c r="C602" s="10" t="str">
        <x:v>数据报表</x:v>
      </x:c>
      <x:c r="D602" s="10" t="str">
        <x:v>主播业绩分成报表（财务管理员）</x:v>
      </x:c>
      <x:c r="E602" s="10" t="str">
        <x:v>逻辑校验</x:v>
      </x:c>
      <x:c r="F602" s="10" t="str">
        <x:v>P2</x:v>
      </x:c>
      <x:c r="G602" s="9" t="str">
        <x:v>验证主播业绩分成报表核算普通 / 定制 / 门票收益</x:v>
      </x:c>
      <x:c r="H602" s="9" t="str">
        <x:v>普通 / 定制 / 门票收益</x:v>
      </x:c>
      <x:c r="I602" s="9" t="str">
        <x:v>1. 财务管理员为本条执行者
2. 财务管理员账号已登录
3. 以下数据仅属于主播业绩分成报表当前查看对象及已选日期范围；无其他会影响该指标的有效记录
4. 范围内两笔已确认可计入主播收益的真实普通礼物记录，收益分别100和200金币；范围外另有500金币收益</x:v>
      </x:c>
      <x:c r="J602" s="9" t="str">
        <x:v>1. 打开主播业绩分成报表
2. 查看普通 / 定制 / 门票收益</x:v>
      </x:c>
      <x:c r="K602" s="9" t="str">
        <x:v>普通 / 定制 / 门票收益 = 300 金币</x:v>
      </x:c>
      <x:c r="L602" s="10" t="str"/>
      <x:c r="M602" s="10" t="str">
        <x:v>未测</x:v>
      </x:c>
      <x:c r="N602" s="10" t="str"/>
      <x:c r="O602" s="9" t="str">
        <x:v>1. 来源（当前证据）：liveshow-proto/MainBasis/统一需求文档.md；位置：第 3285 行；REQ-940b4d75815c、第 3280 行
2. 规则：BR-1EDB426756A063
3. 未动态验证
4. 示例账号、编号、金额与日期是本条测试数据；执行前按前置条件准备，未填写的产品决策不得自行假定。</x:v>
      </x:c>
    </x:row>
    <x:row r="603" ht="145" customHeight="1">
      <x:c r="A603" s="10" t="n">
        <x:v>602</x:v>
      </x:c>
      <x:c r="B603" s="10" t="str">
        <x:v>ADMIN-0602</x:v>
      </x:c>
      <x:c r="C603" s="10" t="str">
        <x:v>数据报表</x:v>
      </x:c>
      <x:c r="D603" s="10" t="str">
        <x:v>主播礼物打赏明细报表（财务管理员）</x:v>
      </x:c>
      <x:c r="E603" s="10" t="str">
        <x:v>逻辑校验</x:v>
      </x:c>
      <x:c r="F603" s="10" t="str">
        <x:v>P2</x:v>
      </x:c>
      <x:c r="G603" s="9" t="str">
        <x:v>验证主播礼物打赏明细报表核算普通 / 定制收益</x:v>
      </x:c>
      <x:c r="H603" s="9" t="str">
        <x:v>普通 / 定制收益</x:v>
      </x:c>
      <x:c r="I603" s="9" t="str">
        <x:v>1. 财务管理员为本条执行者
2. 财务管理员账号已登录
3. 以下数据仅属于主播礼物打赏明细报表当前查看对象及已选日期范围；无其他会影响该指标的有效记录
4. 本次普通用户成功赠送普通礼物单价100金币、数量3，配置允许该数量</x:v>
      </x:c>
      <x:c r="J603" s="9" t="str">
        <x:v>1. 打开主播礼物打赏明细报表
2. 查看普通 / 定制收益</x:v>
      </x:c>
      <x:c r="K603" s="9" t="str">
        <x:v>普通 / 定制收益 = 300 金币</x:v>
      </x:c>
      <x:c r="L603" s="10" t="str"/>
      <x:c r="M603" s="10" t="str">
        <x:v>未测</x:v>
      </x:c>
      <x:c r="N603" s="10" t="str"/>
      <x:c r="O603" s="9" t="str">
        <x:v>1. 来源（当前证据）：liveshow-proto/MainBasis/统一需求文档.md；位置：第 3295 行；REQ-1828b7702c16、第 3292 行
2. 规则：BR-68DF4C80630C56
3. 未动态验证
4. 示例账号、编号、金额与日期是本条测试数据；执行前按前置条件准备，未填写的产品决策不得自行假定。</x:v>
      </x:c>
    </x:row>
    <x:row r="604" ht="145" customHeight="1">
      <x:c r="A604" s="10" t="n">
        <x:v>603</x:v>
      </x:c>
      <x:c r="B604" s="10" t="str">
        <x:v>ADMIN-0603</x:v>
      </x:c>
      <x:c r="C604" s="10" t="str">
        <x:v>数据报表</x:v>
      </x:c>
      <x:c r="D604" s="10" t="str">
        <x:v>礼物消费汇总报表（财务管理员）</x:v>
      </x:c>
      <x:c r="E604" s="10" t="str">
        <x:v>逻辑校验</x:v>
      </x:c>
      <x:c r="F604" s="10" t="str">
        <x:v>P2</x:v>
      </x:c>
      <x:c r="G604" s="9" t="str">
        <x:v>验证礼物消费汇总报表核算销售额</x:v>
      </x:c>
      <x:c r="H604" s="9" t="str">
        <x:v>销售额</x:v>
      </x:c>
      <x:c r="I604" s="9" t="str">
        <x:v>1. 财务管理员为本条执行者
2. 财务管理员账号已登录
3. 以下数据仅属于礼物消费汇总报表当前查看对象及已选日期范围；无其他会影响该指标的有效记录
4. 本次普通用户成功赠送普通礼物单价100金币、数量3，配置允许该数量</x:v>
      </x:c>
      <x:c r="J604" s="9" t="str">
        <x:v>1. 打开礼物消费汇总报表
2. 查看销售额</x:v>
      </x:c>
      <x:c r="K604" s="9" t="str">
        <x:v>销售额 = 300 金币</x:v>
      </x:c>
      <x:c r="L604" s="10" t="str"/>
      <x:c r="M604" s="10" t="str">
        <x:v>未测</x:v>
      </x:c>
      <x:c r="N604" s="10" t="str"/>
      <x:c r="O604" s="9" t="str">
        <x:v>1. 来源（当前证据）：liveshow-proto/MainBasis/统一需求文档.md；位置：第 3314 行；REQ-b9a83a6c0ae8、第 3310 行
2. 规则：BR-A46DFACD2D06F3
3. 未动态验证
4. 示例账号、编号、金额与日期是本条测试数据；执行前按前置条件准备，未填写的产品决策不得自行假定。</x:v>
      </x:c>
    </x:row>
    <x:row r="605" ht="145" customHeight="1">
      <x:c r="A605" s="10" t="n">
        <x:v>604</x:v>
      </x:c>
      <x:c r="B605" s="10" t="str">
        <x:v>ADMIN-0604</x:v>
      </x:c>
      <x:c r="C605" s="10" t="str">
        <x:v>数据报表</x:v>
      </x:c>
      <x:c r="D605" s="10" t="str">
        <x:v>消费订单明细（财务管理员）</x:v>
      </x:c>
      <x:c r="E605" s="10" t="str">
        <x:v>逻辑校验</x:v>
      </x:c>
      <x:c r="F605" s="10" t="str">
        <x:v>P1</x:v>
      </x:c>
      <x:c r="G605" s="9" t="str">
        <x:v>验证消费订单明细核算消费金币</x:v>
      </x:c>
      <x:c r="H605" s="9" t="str">
        <x:v>消费金币</x:v>
      </x:c>
      <x:c r="I605" s="9" t="str">
        <x:v>1. 财务管理员为本条执行者
2. 财务管理员账号已登录
3. 以下数据仅属于消费订单明细当前查看对象及已选日期范围；无其他会影响该指标的有效记录
4. 本次普通用户成功赠送普通礼物单价100金币、数量3，配置允许该数量</x:v>
      </x:c>
      <x:c r="J605" s="9" t="str">
        <x:v>1. 打开消费订单明细
2. 查看消费金币</x:v>
      </x:c>
      <x:c r="K605" s="9" t="str">
        <x:v>消费金币 = 300 金币</x:v>
      </x:c>
      <x:c r="L605" s="10" t="str"/>
      <x:c r="M605" s="10" t="str">
        <x:v>未测</x:v>
      </x:c>
      <x:c r="N605" s="10" t="str"/>
      <x:c r="O605" s="9" t="str">
        <x:v>1. 来源（当前证据）：liveshow-proto/MainBasis/统一需求文档.md；位置：第 3322 行；REQ-e744c2638e3b、第 3319 行
2. 规则：BR-ACA466D0293240
3. 未动态验证
4. 示例账号、编号、金额与日期是本条测试数据；执行前按前置条件准备，未填写的产品决策不得自行假定。</x:v>
      </x:c>
    </x:row>
    <x:row r="606" ht="175" customHeight="1">
      <x:c r="A606" s="10" t="n">
        <x:v>605</x:v>
      </x:c>
      <x:c r="B606" s="10" t="str">
        <x:v>ADMIN-0605</x:v>
      </x:c>
      <x:c r="C606" s="10" t="str">
        <x:v>数据报表</x:v>
      </x:c>
      <x:c r="D606" s="10" t="str">
        <x:v>消费订单明细（财务管理员）</x:v>
      </x:c>
      <x:c r="E606" s="10" t="str">
        <x:v>逻辑校验</x:v>
      </x:c>
      <x:c r="F606" s="10" t="str">
        <x:v>P2</x:v>
      </x:c>
      <x:c r="G606" s="9" t="str">
        <x:v>验证消费订单明细核算主播收益</x:v>
      </x:c>
      <x:c r="H606" s="9" t="str">
        <x:v>主播收益</x:v>
      </x:c>
      <x:c r="I606" s="9" t="str">
        <x:v>1. 财务管理员为本条执行者
2. 财务管理员账号已登录
3. 以下数据仅属于消费订单明细当前查看对象及已选日期范围；无其他会影响该指标的有效记录
4. 普通礼物实际消费100、定制礼物200、幸运礼物送出价值1000金币；该次幸运收益比例1%；无门票消费；虚拟送礼500、失败送礼200均不计</x:v>
      </x:c>
      <x:c r="J606" s="9" t="str">
        <x:v>1. 打开消费订单明细
2. 查看主播收益</x:v>
      </x:c>
      <x:c r="K606" s="9" t="str">
        <x:v>主播收益 = 310 金币</x:v>
      </x:c>
      <x:c r="L606" s="10" t="str"/>
      <x:c r="M606" s="10" t="str">
        <x:v>未测</x:v>
      </x:c>
      <x:c r="N606" s="10" t="str"/>
      <x:c r="O606" s="9" t="str">
        <x:v>1. 来源（当前证据）：liveshow-proto/MainBasis/统一需求文档.md；位置：第 3323 行；REQ-656f13f679bf、第 3319 行
2. 规则：BR-01381ACF945D5E
3. 未动态验证
4. 示例账号、编号、金额与日期是本条测试数据；执行前按前置条件准备，未填写的产品决策不得自行假定。</x:v>
      </x:c>
    </x:row>
    <x:row r="607" ht="130" customHeight="1">
      <x:c r="A607" s="10" t="n">
        <x:v>606</x:v>
      </x:c>
      <x:c r="B607" s="10" t="str">
        <x:v>ADMIN-0606</x:v>
      </x:c>
      <x:c r="C607" s="10" t="str">
        <x:v>运营账号</x:v>
      </x:c>
      <x:c r="D607" s="10" t="str">
        <x:v>账号列表（平台管理员）</x:v>
      </x:c>
      <x:c r="E607" s="10" t="str">
        <x:v>逻辑校验</x:v>
      </x:c>
      <x:c r="F607" s="10" t="str">
        <x:v>P2</x:v>
      </x:c>
      <x:c r="G607" s="9" t="str">
        <x:v>验证账号列表核算账户余额</x:v>
      </x:c>
      <x:c r="H607" s="9" t="str">
        <x:v>账户余额</x:v>
      </x:c>
      <x:c r="I607" s="9" t="str">
        <x:v>1. 平台管理员为本条执行者
2. 平台管理员账号已登录
3. 以下数据仅属于账号列表当前查看对象及已选日期范围；无其他会影响该指标的有效记录
4. 运营账号已成功获所属公会发放500虚拟金币，成功送礼消耗200；失败赠送50不扣减</x:v>
      </x:c>
      <x:c r="J607" s="9" t="str">
        <x:v>1. 打开账号列表
2. 查看账户余额</x:v>
      </x:c>
      <x:c r="K607" s="9" t="str">
        <x:v>账户余额 = 300 虚拟金币</x:v>
      </x:c>
      <x:c r="L607" s="10" t="str"/>
      <x:c r="M607" s="10" t="str">
        <x:v>未测</x:v>
      </x:c>
      <x:c r="N607" s="10" t="str"/>
      <x:c r="O607" s="9" t="str">
        <x:v>1. 来源（当前证据）：liveshow-proto/MainBasis/统一需求文档.md；位置：第 3352 行；REQ-86cc5bde0a36、第 3348 行
2. 规则：BR-459F3159842745
3. 未动态验证
4. 示例账号、编号、金额与日期是本条测试数据；执行前按前置条件准备，未填写的产品决策不得自行假定。</x:v>
      </x:c>
    </x:row>
    <x:row r="608" ht="145" customHeight="1">
      <x:c r="A608" s="10" t="n">
        <x:v>607</x:v>
      </x:c>
      <x:c r="B608" s="10" t="str">
        <x:v>ADMIN-0607</x:v>
      </x:c>
      <x:c r="C608" s="10" t="str">
        <x:v>运营账号</x:v>
      </x:c>
      <x:c r="D608" s="10" t="str">
        <x:v>运营账号主页（平台管理员）</x:v>
      </x:c>
      <x:c r="E608" s="10" t="str">
        <x:v>逻辑校验</x:v>
      </x:c>
      <x:c r="F608" s="10" t="str">
        <x:v>P1</x:v>
      </x:c>
      <x:c r="G608" s="9" t="str">
        <x:v>验证运营账号主页核算虚拟金币余额</x:v>
      </x:c>
      <x:c r="H608" s="9" t="str">
        <x:v>虚拟金币余额</x:v>
      </x:c>
      <x:c r="I608" s="9" t="str">
        <x:v>1. 平台管理员为本条执行者
2. 平台管理员账号已登录
3. 以下数据仅属于运营账号主页当前查看对象及已选日期范围；无其他会影响该指标的有效记录
4. 运营账号已成功获所属公会发放500虚拟金币，成功送礼消耗200；失败赠送50不扣减</x:v>
      </x:c>
      <x:c r="J608" s="9" t="str">
        <x:v>1. 打开运营账号主页
2. 查看虚拟金币余额</x:v>
      </x:c>
      <x:c r="K608" s="9" t="str">
        <x:v>虚拟金币余额 = 300 虚拟金币</x:v>
      </x:c>
      <x:c r="L608" s="10" t="str"/>
      <x:c r="M608" s="10" t="str">
        <x:v>未测</x:v>
      </x:c>
      <x:c r="N608" s="10" t="str"/>
      <x:c r="O608" s="9" t="str">
        <x:v>1. 来源（当前证据）：liveshow-proto/MainBasis/统一需求文档.md；位置：第 3363 行；REQ-5efca74d9782、第 3360 行
2. 规则：BR-9108694ED13409
3. 未动态验证
4. 示例账号、编号、金额与日期是本条测试数据；执行前按前置条件准备，未填写的产品决策不得自行假定。</x:v>
      </x:c>
    </x:row>
    <x:row r="609" ht="130" customHeight="1">
      <x:c r="A609" s="10" t="n">
        <x:v>608</x:v>
      </x:c>
      <x:c r="B609" s="10" t="str">
        <x:v>ADMIN-0608</x:v>
      </x:c>
      <x:c r="C609" s="10" t="str">
        <x:v>运营账号</x:v>
      </x:c>
      <x:c r="D609" s="10" t="str">
        <x:v>送礼记录（平台管理员）</x:v>
      </x:c>
      <x:c r="E609" s="10" t="str">
        <x:v>逻辑校验</x:v>
      </x:c>
      <x:c r="F609" s="10" t="str">
        <x:v>P1</x:v>
      </x:c>
      <x:c r="G609" s="9" t="str">
        <x:v>验证送礼记录核算消费金币</x:v>
      </x:c>
      <x:c r="H609" s="9" t="str">
        <x:v>消费金币</x:v>
      </x:c>
      <x:c r="I609" s="9" t="str">
        <x:v>1. 平台管理员为本条执行者
2. 平台管理员账号已登录
3. 以下数据仅属于送礼记录当前查看对象及已选日期范围；无其他会影响该指标的有效记录
4. 本次公会甲运营账号成功赠送普通礼物单价100虚拟金币、数量3，配置允许该数量</x:v>
      </x:c>
      <x:c r="J609" s="9" t="str">
        <x:v>1. 打开送礼记录
2. 查看消费金币</x:v>
      </x:c>
      <x:c r="K609" s="9" t="str">
        <x:v>消费金币 = 300 虚拟金币</x:v>
      </x:c>
      <x:c r="L609" s="10" t="str"/>
      <x:c r="M609" s="10" t="str">
        <x:v>未测</x:v>
      </x:c>
      <x:c r="N609" s="10" t="str"/>
      <x:c r="O609" s="9" t="str">
        <x:v>1. 来源（当前证据）：liveshow-proto/MainBasis/统一需求文档.md；位置：第 3386 行；REQ-4377db69a883、第 3383 行
2. 规则：BR-8FE3A537507390
3. 未动态验证
4. 示例账号、编号、金额与日期是本条测试数据；执行前按前置条件准备，未填写的产品决策不得自行假定。</x:v>
      </x:c>
    </x:row>
    <x:row r="610" ht="130" customHeight="1">
      <x:c r="A610" s="10" t="n">
        <x:v>609</x:v>
      </x:c>
      <x:c r="B610" s="10" t="str">
        <x:v>ADMIN-0609</x:v>
      </x:c>
      <x:c r="C610" s="10" t="str">
        <x:v>订单管理</x:v>
      </x:c>
      <x:c r="D610" s="10" t="str">
        <x:v>消费订单详情（财务管理员）</x:v>
      </x:c>
      <x:c r="E610" s="10" t="str">
        <x:v>功能需求</x:v>
      </x:c>
      <x:c r="F610" s="10" t="str">
        <x:v>P2</x:v>
      </x:c>
      <x:c r="G610" s="9" t="str">
        <x:v>验证后台记录当前场次门票消费</x:v>
      </x:c>
      <x:c r="H610" s="9" t="str">
        <x:v>门票订单场次绑定</x:v>
      </x:c>
      <x:c r="I610" s="9" t="str">
        <x:v>1. 财务管理员为本条执行者
2. 用户甲在S001成功购买100金币门票，生成门票订单T001</x:v>
      </x:c>
      <x:c r="J610" s="9" t="str">
        <x:v>1. 打开消费订单
2. 查询T001
3. 打开T001详情</x:v>
      </x:c>
      <x:c r="K610" s="9" t="str">
        <x:v>T001消费类型为门票，所属直播场次为S001</x:v>
      </x:c>
      <x:c r="L610" s="10" t="str">
        <x:v>FLOW-4E34EF63</x:v>
      </x:c>
      <x:c r="M610" s="10" t="str">
        <x:v>未测</x:v>
      </x:c>
      <x:c r="N610" s="10" t="str"/>
      <x:c r="O610" s="9" t="str">
        <x:v>1. 来源（当前证据）：liveshow-proto/MainBasis/统一需求文档.md；位置：第 3077 行；REQ-88567f103f20、第 3070 行
2. 规则：BR-CB85A8C2DB06E9
3. 未动态验证
4. 示例账号、编号、金额与日期是本条测试数据；执行前按前置条件准备，未填写的产品决策不得自行假定。</x:v>
      </x:c>
    </x:row>
    <x:row r="611" ht="145" customHeight="1">
      <x:c r="A611" s="10" t="n">
        <x:v>610</x:v>
      </x:c>
      <x:c r="B611" s="10" t="str">
        <x:v>ADMIN-0610</x:v>
      </x:c>
      <x:c r="C611" s="10" t="str">
        <x:v>数据报表</x:v>
      </x:c>
      <x:c r="D611" s="10" t="str">
        <x:v>直播记录明细报表（财务管理员）</x:v>
      </x:c>
      <x:c r="E611" s="10" t="str">
        <x:v>功能需求</x:v>
      </x:c>
      <x:c r="F611" s="10" t="str">
        <x:v>P2</x:v>
      </x:c>
      <x:c r="G611" s="9" t="str">
        <x:v>验证主播主动结束后保留原场次记录</x:v>
      </x:c>
      <x:c r="H611" s="9" t="str">
        <x:v>主动结束后的场次记录</x:v>
      </x:c>
      <x:c r="I611" s="9" t="str">
        <x:v>1. 财务管理员为本条执行者
2. 主播甲原在S001直播，已通过结束直播确认关闭S001；本次执行账号可以查看该主播的场次记录</x:v>
      </x:c>
      <x:c r="J611" s="9" t="str">
        <x:v>1. 打开直播记录
2. 查询主播甲
3. 查看S001</x:v>
      </x:c>
      <x:c r="K611" s="9" t="str">
        <x:v>S001记录保留结束时间</x:v>
      </x:c>
      <x:c r="L611" s="10" t="str">
        <x:v>FLOW-3316A78D</x:v>
      </x:c>
      <x:c r="M611" s="10" t="str">
        <x:v>未测</x:v>
      </x:c>
      <x:c r="N611" s="10" t="str"/>
      <x:c r="O611" s="9" t="str">
        <x:v>1. 来源（当前证据）：liveshow-proto/MainBasis/统一需求文档.md；位置：第 3241 行；REQ-ed3244207fd4、第 3245 行；REQ-e105026f258f、第 3237 行
2. 规则：BR-581504DC5779B5
3. 未动态验证
4. 示例账号、编号、金额与日期是本条测试数据；执行前按前置条件准备，未填写的产品决策不得自行假定。</x:v>
      </x:c>
    </x:row>
    <x:row r="612" ht="130" customHeight="1">
      <x:c r="A612" s="10" t="n">
        <x:v>611</x:v>
      </x:c>
      <x:c r="B612" s="10" t="str">
        <x:v>ADMIN-0611</x:v>
      </x:c>
      <x:c r="C612" s="10" t="str">
        <x:v>数据报表</x:v>
      </x:c>
      <x:c r="D612" s="10" t="str">
        <x:v>数据概览（财务管理员）</x:v>
      </x:c>
      <x:c r="E612" s="10" t="str">
        <x:v>功能需求</x:v>
      </x:c>
      <x:c r="F612" s="10" t="str">
        <x:v>P2</x:v>
      </x:c>
      <x:c r="G612" s="9" t="str">
        <x:v>验证数据总览活跃人数按日去重再求和</x:v>
      </x:c>
      <x:c r="H612" s="9" t="str">
        <x:v>活跃用户</x:v>
      </x:c>
      <x:c r="I612" s="9" t="str">
        <x:v>1. 财务管理员为本条执行者
2. 日期D甲乙活跃、D+1甲丙活跃，均为已登录用户；甲乙丙的注册日期都在D之前，期间无其他用户</x:v>
      </x:c>
      <x:c r="J612" s="9" t="str">
        <x:v>1. 打开数据总览
2. 查询D至D+1</x:v>
      </x:c>
      <x:c r="K612" s="9" t="str">
        <x:v>活跃用户 = 4 人次</x:v>
      </x:c>
      <x:c r="L612" s="10" t="str"/>
      <x:c r="M612" s="10" t="str">
        <x:v>未测</x:v>
      </x:c>
      <x:c r="N612" s="10" t="str"/>
      <x:c r="O612" s="9" t="str">
        <x:v>1. 来源（当前证据）：liveshow-proto/MainBasis/统一需求文档.md；位置：第 3183 行；REQ-0f01cdb0c92c、第 3181 行
2. 规则：BR-81104FAFE43BD6
3. 未动态验证
4. 示例账号、编号、金额与日期是本条测试数据；执行前按前置条件准备，未填写的产品决策不得自行假定。</x:v>
      </x:c>
    </x:row>
    <x:row r="613" ht="160" customHeight="1">
      <x:c r="A613" s="10" t="n">
        <x:v>612</x:v>
      </x:c>
      <x:c r="B613" s="10" t="str">
        <x:v>ADMIN-0612</x:v>
      </x:c>
      <x:c r="C613" s="10" t="str">
        <x:v>数据报表</x:v>
      </x:c>
      <x:c r="D613" s="10" t="str">
        <x:v>每日统计（财务管理员）</x:v>
      </x:c>
      <x:c r="E613" s="10" t="str">
        <x:v>功能需求</x:v>
      </x:c>
      <x:c r="F613" s="10" t="str">
        <x:v>P1</x:v>
      </x:c>
      <x:c r="G613" s="9" t="str">
        <x:v>验证每日充值金额只统计支付成功</x:v>
      </x:c>
      <x:c r="H613" s="9" t="str">
        <x:v>总充值金额</x:v>
      </x:c>
      <x:c r="I613" s="9" t="str">
        <x:v>1. 财务管理员为本条执行者
2. 日期D甲为当天新注册、乙为前一天注册；甲有两笔成功充值1和2USD、乙有一笔成功充值3USD、丙有失败充值9USD</x:v>
      </x:c>
      <x:c r="J613" s="9" t="str">
        <x:v>1. 打开每日统计
2. 查询D</x:v>
      </x:c>
      <x:c r="K613" s="9" t="str">
        <x:v>总充值金额 = 6 USD</x:v>
      </x:c>
      <x:c r="L613" s="10" t="str"/>
      <x:c r="M613" s="10" t="str">
        <x:v>未测</x:v>
      </x:c>
      <x:c r="N613" s="10" t="str"/>
      <x:c r="O613" s="9" t="str">
        <x:v>1. 来源（当前证据）：liveshow-proto/MainBasis/统一需求文档.md；位置：第 3195 行；REQ-8781b01f2d8b、第 3196 行；REQ-31d2771015bf、第 3197 行；REQ-8246fdfc3d89、第 3192 行
2. 规则：BR-13D475B6FA797B
3. 未动态验证
4. 示例账号、编号、金额与日期是本条测试数据；执行前按前置条件准备，未填写的产品决策不得自行假定。</x:v>
      </x:c>
    </x:row>
    <x:row r="614" ht="160" customHeight="1">
      <x:c r="A614" s="10" t="n">
        <x:v>613</x:v>
      </x:c>
      <x:c r="B614" s="10" t="str">
        <x:v>ADMIN-0613</x:v>
      </x:c>
      <x:c r="C614" s="10" t="str">
        <x:v>数据报表</x:v>
      </x:c>
      <x:c r="D614" s="10" t="str">
        <x:v>每日统计（财务管理员）</x:v>
      </x:c>
      <x:c r="E614" s="10" t="str">
        <x:v>功能需求</x:v>
      </x:c>
      <x:c r="F614" s="10" t="str">
        <x:v>P1</x:v>
      </x:c>
      <x:c r="G614" s="9" t="str">
        <x:v>验证每日充值金额只统计支付成功</x:v>
      </x:c>
      <x:c r="H614" s="9" t="str">
        <x:v>每日充值人数去重</x:v>
      </x:c>
      <x:c r="I614" s="9" t="str">
        <x:v>1. 财务管理员为本条执行者
2. 日期D甲为当天新注册、乙为前一天注册；甲有两笔成功充值1和2USD、乙有一笔成功充值3USD、丙有失败充值9USD</x:v>
      </x:c>
      <x:c r="J614" s="9" t="str">
        <x:v>1. 打开每日统计
2. 查询D</x:v>
      </x:c>
      <x:c r="K614" s="9" t="str">
        <x:v>总充值人数为2</x:v>
      </x:c>
      <x:c r="L614" s="10" t="str"/>
      <x:c r="M614" s="10" t="str">
        <x:v>未测</x:v>
      </x:c>
      <x:c r="N614" s="10" t="str"/>
      <x:c r="O614" s="9" t="str">
        <x:v>1. 来源（当前证据）：liveshow-proto/MainBasis/统一需求文档.md；位置：第 3195 行；REQ-8781b01f2d8b、第 3196 行；REQ-31d2771015bf、第 3197 行；REQ-8246fdfc3d89、第 3192 行
2. 规则：BR-9A15F530CB51CB
3. 未动态验证
4. 示例账号、编号、金额与日期是本条测试数据；执行前按前置条件准备，未填写的产品决策不得自行假定。</x:v>
      </x:c>
    </x:row>
    <x:row r="615" ht="160" customHeight="1">
      <x:c r="A615" s="10" t="n">
        <x:v>614</x:v>
      </x:c>
      <x:c r="B615" s="10" t="str">
        <x:v>ADMIN-0614</x:v>
      </x:c>
      <x:c r="C615" s="10" t="str">
        <x:v>数据报表</x:v>
      </x:c>
      <x:c r="D615" s="10" t="str">
        <x:v>每日统计（财务管理员）</x:v>
      </x:c>
      <x:c r="E615" s="10" t="str">
        <x:v>功能需求</x:v>
      </x:c>
      <x:c r="F615" s="10" t="str">
        <x:v>P1</x:v>
      </x:c>
      <x:c r="G615" s="9" t="str">
        <x:v>验证每日充值金额只统计支付成功</x:v>
      </x:c>
      <x:c r="H615" s="9" t="str">
        <x:v>新用户充值人数</x:v>
      </x:c>
      <x:c r="I615" s="9" t="str">
        <x:v>1. 财务管理员为本条执行者
2. 日期D甲为当天新注册、乙为前一天注册；甲有两笔成功充值1和2USD、乙有一笔成功充值3USD、丙有失败充值9USD</x:v>
      </x:c>
      <x:c r="J615" s="9" t="str">
        <x:v>1. 打开每日统计
2. 查询D</x:v>
      </x:c>
      <x:c r="K615" s="9" t="str">
        <x:v>新用户充值人数为1</x:v>
      </x:c>
      <x:c r="L615" s="10" t="str"/>
      <x:c r="M615" s="10" t="str">
        <x:v>未测</x:v>
      </x:c>
      <x:c r="N615" s="10" t="str"/>
      <x:c r="O615" s="9" t="str">
        <x:v>1. 来源（当前证据）：liveshow-proto/MainBasis/统一需求文档.md；位置：第 3195 行；REQ-8781b01f2d8b、第 3196 行；REQ-31d2771015bf、第 3197 行；REQ-8246fdfc3d89、第 3192 行
2. 规则：BR-2177B80CC22221
3. 未动态验证
4. 示例账号、编号、金额与日期是本条测试数据；执行前按前置条件准备，未填写的产品决策不得自行假定。</x:v>
      </x:c>
    </x:row>
    <x:row r="616" ht="160" customHeight="1">
      <x:c r="A616" s="10" t="n">
        <x:v>615</x:v>
      </x:c>
      <x:c r="B616" s="10" t="str">
        <x:v>ADMIN-0615</x:v>
      </x:c>
      <x:c r="C616" s="10" t="str">
        <x:v>数据报表</x:v>
      </x:c>
      <x:c r="D616" s="10" t="str">
        <x:v>每日统计（财务管理员）</x:v>
      </x:c>
      <x:c r="E616" s="10" t="str">
        <x:v>功能需求</x:v>
      </x:c>
      <x:c r="F616" s="10" t="str">
        <x:v>P1</x:v>
      </x:c>
      <x:c r="G616" s="9" t="str">
        <x:v>验证每日充值金额只统计支付成功</x:v>
      </x:c>
      <x:c r="H616" s="9" t="str">
        <x:v>新用户充值金额</x:v>
      </x:c>
      <x:c r="I616" s="9" t="str">
        <x:v>1. 财务管理员为本条执行者
2. 日期D甲为当天新注册、乙为前一天注册；甲有两笔成功充值1和2USD、乙有一笔成功充值3USD、丙有失败充值9USD</x:v>
      </x:c>
      <x:c r="J616" s="9" t="str">
        <x:v>1. 打开每日统计
2. 查询D</x:v>
      </x:c>
      <x:c r="K616" s="9" t="str">
        <x:v>新用户充值金额 = 3 USD</x:v>
      </x:c>
      <x:c r="L616" s="10" t="str"/>
      <x:c r="M616" s="10" t="str">
        <x:v>未测</x:v>
      </x:c>
      <x:c r="N616" s="10" t="str"/>
      <x:c r="O616" s="9" t="str">
        <x:v>1. 来源（当前证据）：liveshow-proto/MainBasis/统一需求文档.md；位置：第 3195 行；REQ-8781b01f2d8b、第 3196 行；REQ-31d2771015bf、第 3197 行；REQ-8246fdfc3d89、第 3192 行
2. 规则：BR-F9A437AEB2B0C2
3. 未动态验证
4. 示例账号、编号、金额与日期是本条测试数据；执行前按前置条件准备，未填写的产品决策不得自行假定。</x:v>
      </x:c>
    </x:row>
    <x:row r="617" ht="145" customHeight="1">
      <x:c r="A617" s="10" t="n">
        <x:v>616</x:v>
      </x:c>
      <x:c r="B617" s="10" t="str">
        <x:v>ADMIN-0616</x:v>
      </x:c>
      <x:c r="C617" s="10" t="str">
        <x:v>数据报表</x:v>
      </x:c>
      <x:c r="D617" s="10" t="str">
        <x:v>每日统计（财务管理员）</x:v>
      </x:c>
      <x:c r="E617" s="10" t="str">
        <x:v>功能需求</x:v>
      </x:c>
      <x:c r="F617" s="10" t="str">
        <x:v>P1</x:v>
      </x:c>
      <x:c r="G617" s="9" t="str">
        <x:v>验证退款按完成日统计且包含渠道退款</x:v>
      </x:c>
      <x:c r="H617" s="9" t="str">
        <x:v>每日退款完成单数</x:v>
      </x:c>
      <x:c r="I617" s="9" t="str">
        <x:v>1. 财务管理员为本条执行者
2. 日期D甲为当天新注册、乙为前一天注册；甲有两笔成功充值1和2USD、乙有一笔成功充值3USD、丙有失败充值9USD
3. 充值均在D前完成；D日完成手动退款1USD和渠道退款2USD；D日申请的另一笔退款4USD于D+1才完成</x:v>
      </x:c>
      <x:c r="J617" s="9" t="str">
        <x:v>1. 打开每日统计
2. 查询D</x:v>
      </x:c>
      <x:c r="K617" s="9" t="str">
        <x:v>退款订单数为2</x:v>
      </x:c>
      <x:c r="L617" s="10" t="str"/>
      <x:c r="M617" s="10" t="str">
        <x:v>未测</x:v>
      </x:c>
      <x:c r="N617" s="10" t="str"/>
      <x:c r="O617" s="9" t="str">
        <x:v>1. 来源（当前证据）：liveshow-proto/MainBasis/统一需求文档.md；位置：第 3201 行；REQ-96a5d9ecb620、第 3202 行；REQ-f63dfe18b6a2、第 3192 行
2. 规则：BR-C5F5CCCC556AF8
3. 未动态验证
4. 示例账号、编号、金额与日期是本条测试数据；执行前按前置条件准备，未填写的产品决策不得自行假定。</x:v>
      </x:c>
    </x:row>
    <x:row r="618" ht="145" customHeight="1">
      <x:c r="A618" s="10" t="n">
        <x:v>617</x:v>
      </x:c>
      <x:c r="B618" s="10" t="str">
        <x:v>ADMIN-0617</x:v>
      </x:c>
      <x:c r="C618" s="10" t="str">
        <x:v>数据报表</x:v>
      </x:c>
      <x:c r="D618" s="10" t="str">
        <x:v>每日统计（财务管理员）</x:v>
      </x:c>
      <x:c r="E618" s="10" t="str">
        <x:v>功能需求</x:v>
      </x:c>
      <x:c r="F618" s="10" t="str">
        <x:v>P1</x:v>
      </x:c>
      <x:c r="G618" s="9" t="str">
        <x:v>验证退款按完成日统计且包含渠道退款</x:v>
      </x:c>
      <x:c r="H618" s="9" t="str">
        <x:v>退款金额</x:v>
      </x:c>
      <x:c r="I618" s="9" t="str">
        <x:v>1. 财务管理员为本条执行者
2. 日期D甲为当天新注册、乙为前一天注册；甲有两笔成功充值1和2USD、乙有一笔成功充值3USD、丙有失败充值9USD
3. 充值均在D前完成；D日完成手动退款1USD和渠道退款2USD；D日申请的另一笔退款4USD于D+1才完成</x:v>
      </x:c>
      <x:c r="J618" s="9" t="str">
        <x:v>1. 打开每日统计
2. 查询D</x:v>
      </x:c>
      <x:c r="K618" s="9" t="str">
        <x:v>退款金额 = 3 USD</x:v>
      </x:c>
      <x:c r="L618" s="10" t="str"/>
      <x:c r="M618" s="10" t="str">
        <x:v>未测</x:v>
      </x:c>
      <x:c r="N618" s="10" t="str"/>
      <x:c r="O618" s="9" t="str">
        <x:v>1. 来源（当前证据）：liveshow-proto/MainBasis/统一需求文档.md；位置：第 3201 行；REQ-96a5d9ecb620、第 3202 行；REQ-f63dfe18b6a2、第 3192 行
2. 规则：BR-E46DE3C74B25D7
3. 未动态验证
4. 示例账号、编号、金额与日期是本条测试数据；执行前按前置条件准备，未填写的产品决策不得自行假定。</x:v>
      </x:c>
    </x:row>
    <x:row r="619" ht="130" customHeight="1">
      <x:c r="A619" s="10" t="n">
        <x:v>618</x:v>
      </x:c>
      <x:c r="B619" s="10" t="str">
        <x:v>ADMIN-0618</x:v>
      </x:c>
      <x:c r="C619" s="10" t="str">
        <x:v>数据报表</x:v>
      </x:c>
      <x:c r="D619" s="10" t="str">
        <x:v>主播活跃汇总（每日）（财务管理员）</x:v>
      </x:c>
      <x:c r="E619" s="10" t="str">
        <x:v>功能需求</x:v>
      </x:c>
      <x:c r="F619" s="10" t="str">
        <x:v>P2</x:v>
      </x:c>
      <x:c r="G619" s="9" t="str">
        <x:v>验证新增主播只统计平台认证通过</x:v>
      </x:c>
      <x:c r="H619" s="9" t="str">
        <x:v>新增主播终审时点</x:v>
      </x:c>
      <x:c r="I619" s="9" t="str">
        <x:v>1. 财务管理员为本条执行者
2. D日只有甲完成平台认证，乙仅公会初审通过，丙平台驳回</x:v>
      </x:c>
      <x:c r="J619" s="9" t="str">
        <x:v>1. 打开主播活跃汇总
2. 查询D</x:v>
      </x:c>
      <x:c r="K619" s="9" t="str">
        <x:v>新增主播为1</x:v>
      </x:c>
      <x:c r="L619" s="10" t="str"/>
      <x:c r="M619" s="10" t="str">
        <x:v>未测</x:v>
      </x:c>
      <x:c r="N619" s="10" t="str"/>
      <x:c r="O619" s="9" t="str">
        <x:v>1. 来源（当前证据）：liveshow-proto/MainBasis/统一需求文档.md；位置：第 3218 行；REQ-4b334fe1e8f3、第 3216 行
2. 规则：BR-F25629558E11A4
3. 未动态验证
4. 示例账号、编号、金额与日期是本条测试数据；执行前按前置条件准备，未填写的产品决策不得自行假定。</x:v>
      </x:c>
    </x:row>
    <x:row r="620" ht="130" customHeight="1">
      <x:c r="A620" s="10" t="n">
        <x:v>619</x:v>
      </x:c>
      <x:c r="B620" s="10" t="str">
        <x:v>ADMIN-0619</x:v>
      </x:c>
      <x:c r="C620" s="10" t="str">
        <x:v>运营管理</x:v>
      </x:c>
      <x:c r="D620" s="10" t="str">
        <x:v>推送管理（平台管理员）</x:v>
      </x:c>
      <x:c r="E620" s="10" t="str">
        <x:v>功能需求</x:v>
      </x:c>
      <x:c r="F620" s="10" t="str">
        <x:v>P2</x:v>
      </x:c>
      <x:c r="G620" s="9" t="str">
        <x:v>验证推送成功人数按账号去重</x:v>
      </x:c>
      <x:c r="H620" s="9" t="str">
        <x:v>成功发送人数</x:v>
      </x:c>
      <x:c r="I620" s="9" t="str">
        <x:v>1. 平台管理员为本条执行者
2. 推送P001给甲发送成功两次、乙一次、丙失败一次</x:v>
      </x:c>
      <x:c r="J620" s="9" t="str">
        <x:v>1. 打开推送管理
2. 查看P001</x:v>
      </x:c>
      <x:c r="K620" s="9" t="str">
        <x:v>发送人数为2</x:v>
      </x:c>
      <x:c r="L620" s="10" t="str"/>
      <x:c r="M620" s="10" t="str">
        <x:v>未测</x:v>
      </x:c>
      <x:c r="N620" s="10" t="str"/>
      <x:c r="O620" s="9" t="str">
        <x:v>1. 来源（当前证据）：liveshow-proto/MainBasis/统一需求文档.md；位置：第 2873 行；REQ-ac67336f4d47、第 2869 行
2. 规则：BR-7570ACFA734573
3. 未动态验证
4. 示例账号、编号、金额与日期是本条测试数据；执行前按前置条件准备，未填写的产品决策不得自行假定。</x:v>
      </x:c>
    </x:row>
    <x:row r="621" ht="130" customHeight="1">
      <x:c r="A621" s="10" t="n">
        <x:v>620</x:v>
      </x:c>
      <x:c r="B621" s="10" t="str">
        <x:v>ADMIN-0620</x:v>
      </x:c>
      <x:c r="C621" s="10" t="str">
        <x:v>系统管理</x:v>
      </x:c>
      <x:c r="D621" s="10" t="str">
        <x:v>角色管理（平台管理员）</x:v>
      </x:c>
      <x:c r="E621" s="10" t="str">
        <x:v>功能需求</x:v>
      </x:c>
      <x:c r="F621" s="10" t="str">
        <x:v>P2</x:v>
      </x:c>
      <x:c r="G621" s="9" t="str">
        <x:v>验证角色关联账号数按当前绑定统计</x:v>
      </x:c>
      <x:c r="H621" s="9" t="str">
        <x:v>角色关联账号数量</x:v>
      </x:c>
      <x:c r="I621" s="9" t="str">
        <x:v>1. 平台管理员为本条执行者
2. 测试角色R001只关联后台账号甲乙；另一角色关联丙</x:v>
      </x:c>
      <x:c r="J621" s="9" t="str">
        <x:v>1. 打开角色列表
2. 查看R001</x:v>
      </x:c>
      <x:c r="K621" s="9" t="str">
        <x:v>关联账号数为2</x:v>
      </x:c>
      <x:c r="L621" s="10" t="str"/>
      <x:c r="M621" s="10" t="str">
        <x:v>未测</x:v>
      </x:c>
      <x:c r="N621" s="10" t="str"/>
      <x:c r="O621" s="9" t="str">
        <x:v>1. 来源（当前证据）：liveshow-proto/MainBasis/统一需求文档.md；位置：第 3433 行；REQ-1b94af94d19b、第 3429 行
2. 规则：BR-F433C60E41AFB0
3. 未动态验证
4. 示例账号、编号、金额与日期是本条测试数据；执行前按前置条件准备，未填写的产品决策不得自行假定。</x:v>
      </x:c>
    </x:row>
  </x:sheetData>
  <x:dataValidations count="3">
    <x:dataValidation type="list" sqref="E2:E621">
      <x:formula1>"功能需求,业务流程,逻辑校验,异常用例"</x:formula1>
    </x:dataValidation>
    <x:dataValidation type="list" sqref="F2:F621">
      <x:formula1>"P0,P1,P2,P3"</x:formula1>
    </x:dataValidation>
    <x:dataValidation type="list" sqref="M2:M621">
      <x:formula1>"未测,通过,不通过,阻塞,不适用"</x:formula1>
    </x:dataValidation>
  </x:dataValidations>
  <x:pageMargins left="0.7" right="0.7" top="0.75" bottom="0.75" header="0.3" footer="0.3"/>
  <x:tableParts count="1">
    <x:tablePart xmlns:r="http://schemas.openxmlformats.org/officeDocument/2006/relationships" r:id="R41bafbe4fadc4a3d"/>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0" hidden="0" customWidth="1"/>
    <x:col min="5" max="5" width="11" hidden="0" customWidth="1"/>
    <x:col min="6" max="6" width="12" hidden="0" customWidth="1"/>
    <x:col min="7" max="7" width="28" hidden="0" customWidth="1"/>
    <x:col min="8" max="8" width="18" hidden="0" customWidth="1"/>
    <x:col min="9" max="9" width="34" hidden="0" customWidth="1"/>
    <x:col min="10" max="10" width="45" hidden="0" customWidth="1"/>
    <x:col min="11" max="11" width="36" hidden="0" customWidth="1"/>
    <x:col min="12" max="12" width="12" hidden="0" customWidth="1"/>
    <x:col min="13" max="13" width="24" hidden="0" customWidth="1"/>
    <x:col min="14" max="14" width="34" hidden="0" customWidth="1"/>
    <x:col min="15" max="15" width="30" hidden="0" customWidth="1"/>
    <x:col min="16" max="16" width="20" hidden="0" customWidth="1"/>
    <x:col min="17" max="17" width="30" hidden="0" customWidth="1"/>
    <x:col min="18" max="18" width="12" hidden="0" customWidth="1"/>
    <x:col min="19" max="19" width="21" hidden="0" customWidth="1"/>
    <x:col min="20" max="20" width="12" hidden="0" customWidth="1"/>
  </x:cols>
  <x:sheetData>
    <x:row r="1" ht="34" customHeight="1">
      <x:c r="A1" s="11" t="str">
        <x:v>问题编号</x:v>
      </x:c>
      <x:c r="B1" s="11" t="str">
        <x:v>需求组编号</x:v>
      </x:c>
      <x:c r="C1" s="11" t="str">
        <x:v>父问题编号</x:v>
      </x:c>
      <x:c r="D1" s="11" t="str">
        <x:v>追问触发条件</x:v>
      </x:c>
      <x:c r="E1" s="11" t="str">
        <x:v>阻塞等级</x:v>
      </x:c>
      <x:c r="F1" s="11" t="str">
        <x:v>功能模块</x:v>
      </x:c>
      <x:c r="G1" s="11" t="str">
        <x:v>具体场景</x:v>
      </x:c>
      <x:c r="H1" s="11" t="str">
        <x:v>问题分类</x:v>
      </x:c>
      <x:c r="I1" s="11" t="str">
        <x:v>待决策问题</x:v>
      </x:c>
      <x:c r="J1" s="11" t="str">
        <x:v>可选方案</x:v>
      </x:c>
      <x:c r="K1" s="11" t="str">
        <x:v>测试建议</x:v>
      </x:c>
      <x:c r="L1" s="11" t="str">
        <x:v>产品结论</x:v>
      </x:c>
      <x:c r="M1" s="11" t="str">
        <x:v>结论补充</x:v>
      </x:c>
      <x:c r="N1" s="11" t="str">
        <x:v>已知依据</x:v>
      </x:c>
      <x:c r="O1" s="11" t="str">
        <x:v>影响范围</x:v>
      </x:c>
      <x:c r="P1" s="11" t="str">
        <x:v>已有用例编号</x:v>
      </x:c>
      <x:c r="Q1" s="11" t="str">
        <x:v>确认后待补用例</x:v>
      </x:c>
      <x:c r="R1" s="11" t="str">
        <x:v>负责人</x:v>
      </x:c>
      <x:c r="S1" s="11" t="str">
        <x:v>期望确认时间</x:v>
      </x:c>
      <x:c r="T1" s="11" t="str">
        <x:v>确认状态</x:v>
      </x:c>
    </x:row>
    <x:row r="2" ht="85" customHeight="1">
      <x:c r="A2" s="10" t="str">
        <x:v>PENDING-badge-location</x:v>
      </x:c>
      <x:c r="B2" s="10" t="str">
        <x:v>GROUP-badge-location</x:v>
      </x:c>
      <x:c r="C2" s="10" t="str"/>
      <x:c r="D2" s="10" t="str"/>
      <x:c r="E2" s="10" t="str">
        <x:v>部分阻塞</x:v>
      </x:c>
      <x:c r="F2" s="10" t="str">
        <x:v>等级与身份</x:v>
      </x:c>
      <x:c r="G2" s="9" t="str">
        <x:v>等级勋章展示位置</x:v>
      </x:c>
      <x:c r="H2" s="9" t="str">
        <x:v>角色与权限</x:v>
      </x:c>
      <x:c r="I2" s="9" t="str">
        <x:v>等级勋章在用户App的哪些位置展示？</x:v>
      </x:c>
      <x:c r="J2" s="9" t="str">
        <x:v>A. 仅个人主页等级区域
B. 个人主页及直播资料卡等级区域
C. 复用现有已佩戴勋章区域</x:v>
      </x:c>
      <x:c r="K2" s="9" t="str">
        <x:v>先确认此决定及适用范围，再按选定方案补齐相应正向、边界和失败分支；现有可执行分支继续测试。</x:v>
      </x:c>
      <x:c r="L2" s="12" t="str"/>
      <x:c r="M2" s="12" t="str"/>
      <x:c r="N2" s="10" t="str">
        <x:v>1. liveshow-proto/MainBasis/需求待确认清单.md 第11行；AN-f205606825f1
2. 候选方案只供决策，不是已确认预期。</x:v>
      </x:c>
      <x:c r="O2" s="9" t="str">
        <x:v>1. 用户App
2. 管理后台</x:v>
      </x:c>
      <x:c r="P2" s="9" t="str"/>
      <x:c r="Q2" s="9" t="str">
        <x:v>1. 等级勋章展示位置的确定性预期及对应分支</x:v>
      </x:c>
      <x:c r="R2" s="9" t="str">
        <x:v>产品</x:v>
      </x:c>
      <x:c r="S2" s="9" t="str">
        <x:v>相关功能测试开始前</x:v>
      </x:c>
      <x:c r="T2" s="9" t="str">
        <x:v>待确认</x:v>
      </x:c>
    </x:row>
    <x:row r="3" ht="85" customHeight="1">
      <x:c r="A3" s="10" t="str">
        <x:v>PENDING-badge-auto</x:v>
      </x:c>
      <x:c r="B3" s="10" t="str">
        <x:v>GROUP-badge-auto</x:v>
      </x:c>
      <x:c r="C3" s="10" t="str"/>
      <x:c r="D3" s="10" t="str"/>
      <x:c r="E3" s="10" t="str">
        <x:v>部分阻塞</x:v>
      </x:c>
      <x:c r="F3" s="10" t="str">
        <x:v>等级与身份</x:v>
      </x:c>
      <x:c r="G3" s="9" t="str">
        <x:v>升级勋章自动替换</x:v>
      </x:c>
      <x:c r="H3" s="9" t="str">
        <x:v>业务规则</x:v>
      </x:c>
      <x:c r="I3" s="9" t="str">
        <x:v>等级变化后是否自动替换该类型勋章？</x:v>
      </x:c>
      <x:c r="J3" s="9" t="str">
        <x:v>A. 立即自动替换
B. 获得新勋章后保留原佩戴状态</x:v>
      </x:c>
      <x:c r="K3" s="9" t="str">
        <x:v>先确认此决定及适用范围，再按选定方案补齐相应正向、边界和失败分支；现有可执行分支继续测试。</x:v>
      </x:c>
      <x:c r="L3" s="12" t="str"/>
      <x:c r="M3" s="12" t="str"/>
      <x:c r="N3" s="10" t="str">
        <x:v>1. liveshow-proto/MainBasis/需求待确认清单.md 第15行；AN-f205606825f1
2. 候选方案只供决策，不是已确认预期。</x:v>
      </x:c>
      <x:c r="O3" s="9" t="str">
        <x:v>1. 用户App
2. 管理后台</x:v>
      </x:c>
      <x:c r="P3" s="9" t="str"/>
      <x:c r="Q3" s="9" t="str">
        <x:v>1. 升级勋章自动替换的确定性预期及对应分支</x:v>
      </x:c>
      <x:c r="R3" s="9" t="str">
        <x:v>产品</x:v>
      </x:c>
      <x:c r="S3" s="9" t="str">
        <x:v>相关功能测试开始前</x:v>
      </x:c>
      <x:c r="T3" s="9" t="str">
        <x:v>待确认</x:v>
      </x:c>
    </x:row>
    <x:row r="4" ht="85" customHeight="1">
      <x:c r="A4" s="10" t="str">
        <x:v>PENDING-badge-wear</x:v>
      </x:c>
      <x:c r="B4" s="10" t="str">
        <x:v>GROUP-badge-wear</x:v>
      </x:c>
      <x:c r="C4" s="10" t="str"/>
      <x:c r="D4" s="10" t="str"/>
      <x:c r="E4" s="10" t="str">
        <x:v>部分阻塞</x:v>
      </x:c>
      <x:c r="F4" s="10" t="str">
        <x:v>等级与身份</x:v>
      </x:c>
      <x:c r="G4" s="9" t="str">
        <x:v>等级勋章手动佩戴</x:v>
      </x:c>
      <x:c r="H4" s="9" t="str">
        <x:v>业务规则</x:v>
      </x:c>
      <x:c r="I4" s="9" t="str">
        <x:v>等级勋章是否允许用户手动佩戴和卸下？</x:v>
      </x:c>
      <x:c r="J4" s="9" t="str">
        <x:v>A. 自动展示且不能手动操作
B. 可手动佩戴和卸下</x:v>
      </x:c>
      <x:c r="K4" s="9" t="str">
        <x:v>先确认此决定及适用范围，再按选定方案补齐相应正向、边界和失败分支；现有可执行分支继续测试。</x:v>
      </x:c>
      <x:c r="L4" s="12" t="str"/>
      <x:c r="M4" s="12" t="str"/>
      <x:c r="N4" s="10" t="str">
        <x:v>1. liveshow-proto/MainBasis/需求待确认清单.md 第19行；AN-f205606825f1
2. 候选方案只供决策，不是已确认预期。</x:v>
      </x:c>
      <x:c r="O4" s="9" t="str">
        <x:v>1. 用户App
2. 管理后台</x:v>
      </x:c>
      <x:c r="P4" s="9" t="str"/>
      <x:c r="Q4" s="9" t="str">
        <x:v>1. 等级勋章手动佩戴的确定性预期及对应分支</x:v>
      </x:c>
      <x:c r="R4" s="9" t="str">
        <x:v>产品</x:v>
      </x:c>
      <x:c r="S4" s="9" t="str">
        <x:v>相关功能测试开始前</x:v>
      </x:c>
      <x:c r="T4" s="9" t="str">
        <x:v>待确认</x:v>
      </x:c>
    </x:row>
    <x:row r="5" ht="85" customHeight="1">
      <x:c r="A5" s="10" t="str">
        <x:v>PENDING-reward-prop-conflict</x:v>
      </x:c>
      <x:c r="B5" s="10" t="str">
        <x:v>GROUP-reward-prop-conflict</x:v>
      </x:c>
      <x:c r="C5" s="10" t="str"/>
      <x:c r="D5" s="10" t="str"/>
      <x:c r="E5" s="10" t="str">
        <x:v>部分阻塞</x:v>
      </x:c>
      <x:c r="F5" s="10" t="str">
        <x:v>任务与福利</x:v>
      </x:c>
      <x:c r="G5" s="9" t="str">
        <x:v>任务道具奖励冲突</x:v>
      </x:c>
      <x:c r="H5" s="9" t="str">
        <x:v>业务规则</x:v>
      </x:c>
      <x:c r="I5" s="9" t="str">
        <x:v>任务配置及福利页说明仅奖励金币，但已领取视图仍写道具入背包；本期是否允许任务奖励道具？</x:v>
      </x:c>
      <x:c r="J5" s="9" t="str">
        <x:v>A. 本期只支持金币并修正领取视图
B. 增加道具奖励并补充后台配置规则</x:v>
      </x:c>
      <x:c r="K5" s="9" t="str">
        <x:v>本期按统一需求的金币奖励执行；道具奖励属于后续范围变更，不阻塞当前金币奖励用例。</x:v>
      </x:c>
      <x:c r="L5" s="12" t="str"/>
      <x:c r="M5" s="12" t="str"/>
      <x:c r="N5" s="10" t="str">
        <x:v>1. liveshow-proto/MainBasis/需求待确认清单.md 第23行；AN-a7de732767b6
2. 统一需求明确本期仅金币奖励；现有差异按正式规则处理。</x:v>
      </x:c>
      <x:c r="O5" s="9" t="str">
        <x:v>1. 用户App
2. 管理后台</x:v>
      </x:c>
      <x:c r="P5" s="9" t="str"/>
      <x:c r="Q5" s="9" t="str">
        <x:v>1. 任务道具奖励冲突的确定性预期及对应分支</x:v>
      </x:c>
      <x:c r="R5" s="9" t="str">
        <x:v>产品</x:v>
      </x:c>
      <x:c r="S5" s="9" t="str">
        <x:v>相关功能测试开始前</x:v>
      </x:c>
      <x:c r="T5" s="9" t="str">
        <x:v>无需处理</x:v>
      </x:c>
    </x:row>
    <x:row r="6" ht="115" customHeight="1">
      <x:c r="A6" s="10" t="str">
        <x:v>PENDING-virtual-board</x:v>
      </x:c>
      <x:c r="B6" s="10" t="str">
        <x:v>GROUP-virtual-board</x:v>
      </x:c>
      <x:c r="C6" s="10" t="str"/>
      <x:c r="D6" s="10" t="str"/>
      <x:c r="E6" s="10" t="str">
        <x:v>部分阻塞</x:v>
      </x:c>
      <x:c r="F6" s="10" t="str">
        <x:v>资产与结算</x:v>
      </x:c>
      <x:c r="G6" s="9" t="str">
        <x:v>虚拟金币榜单范围</x:v>
      </x:c>
      <x:c r="H6" s="9" t="str">
        <x:v>业务规则</x:v>
      </x:c>
      <x:c r="I6" s="9" t="str">
        <x:v>系统概要允许虚拟赠礼计入榜单展示，具体适用于哪些榜单？</x:v>
      </x:c>
      <x:c r="J6" s="9" t="str">
        <x:v>A. 仅本场氛围榜
B. 本场榜及平台双榜
C. 由后台逐榜配置</x:v>
      </x:c>
      <x:c r="K6" s="9" t="str">
        <x:v>先确认此决定及适用范围，再按选定方案补齐相应正向、边界和失败分支；现有可执行分支继续测试。</x:v>
      </x:c>
      <x:c r="L6" s="12" t="str"/>
      <x:c r="M6" s="12" t="str"/>
      <x:c r="N6" s="10" t="str">
        <x:v>1. liveshow-proto/MainBasis/需求待确认清单.md 第27行；AN-58bdfd055651、AN-9076ce003939、AN-ba0acac09cff、AN-bbb10e3b591b、AN-7861fb19ad1a
2. 候选方案只供决策，不是已确认预期。</x:v>
      </x:c>
      <x:c r="O6" s="9" t="str">
        <x:v>1. 用户App
2. 公会App
3. 管理后台</x:v>
      </x:c>
      <x:c r="P6" s="9" t="str"/>
      <x:c r="Q6" s="9" t="str">
        <x:v>1. 虚拟金币榜单范围的确定性预期及对应分支</x:v>
      </x:c>
      <x:c r="R6" s="9" t="str">
        <x:v>产品</x:v>
      </x:c>
      <x:c r="S6" s="9" t="str">
        <x:v>相关功能测试开始前</x:v>
      </x:c>
      <x:c r="T6" s="9" t="str">
        <x:v>待确认</x:v>
      </x:c>
    </x:row>
    <x:row r="7" ht="85" customHeight="1">
      <x:c r="A7" s="10" t="str">
        <x:v>PENDING-operation-login-format</x:v>
      </x:c>
      <x:c r="B7" s="10" t="str">
        <x:v>GROUP-operation-login-format</x:v>
      </x:c>
      <x:c r="C7" s="10" t="str"/>
      <x:c r="D7" s="10" t="str"/>
      <x:c r="E7" s="10" t="str">
        <x:v>部分阻塞</x:v>
      </x:c>
      <x:c r="F7" s="10" t="str">
        <x:v>相关业务模块</x:v>
      </x:c>
      <x:c r="G7" s="9" t="str">
        <x:v>运营账号登录格式</x:v>
      </x:c>
      <x:c r="H7" s="9" t="str">
        <x:v>角色与权限</x:v>
      </x:c>
      <x:c r="I7" s="9" t="str">
        <x:v>运营账号必须是可接收验证码的邮箱，还是允许普通登录名？</x:v>
      </x:c>
      <x:c r="J7" s="9" t="str">
        <x:v>A. 必须为有效邮箱地址
B. 允许普通登录名并使用密码登录</x:v>
      </x:c>
      <x:c r="K7" s="9" t="str">
        <x:v>先确认此决定及适用范围，再按选定方案补齐相应正向、边界和失败分支；现有可执行分支继续测试。</x:v>
      </x:c>
      <x:c r="L7" s="12" t="str"/>
      <x:c r="M7" s="12" t="str"/>
      <x:c r="N7" s="10" t="str">
        <x:v>1. liveshow-proto/MainBasis/需求待确认清单.md 第67行；AN-ff08deec1174、AN-053fd74e2f42
2. 候选方案只供决策，不是已确认预期。</x:v>
      </x:c>
      <x:c r="O7" s="9" t="str">
        <x:v>1. 用户App
2. 公会App
3. 管理后台</x:v>
      </x:c>
      <x:c r="P7" s="9" t="str"/>
      <x:c r="Q7" s="9" t="str">
        <x:v>1. 运营账号登录格式的确定性预期及对应分支</x:v>
      </x:c>
      <x:c r="R7" s="9" t="str">
        <x:v>产品</x:v>
      </x:c>
      <x:c r="S7" s="9" t="str">
        <x:v>相关功能测试开始前</x:v>
      </x:c>
      <x:c r="T7" s="9" t="str">
        <x:v>待确认</x:v>
      </x:c>
    </x:row>
    <x:row r="8" ht="85" customHeight="1">
      <x:c r="A8" s="10" t="str">
        <x:v>PENDING-intimacy</x:v>
      </x:c>
      <x:c r="B8" s="10" t="str">
        <x:v>GROUP-intimacy</x:v>
      </x:c>
      <x:c r="C8" s="10" t="str"/>
      <x:c r="D8" s="10" t="str"/>
      <x:c r="E8" s="10" t="str">
        <x:v>部分阻塞</x:v>
      </x:c>
      <x:c r="F8" s="10" t="str">
        <x:v>相关业务模块</x:v>
      </x:c>
      <x:c r="G8" s="9" t="str">
        <x:v>亲密度计算</x:v>
      </x:c>
      <x:c r="H8" s="9" t="str">
        <x:v>计算与统计口径</x:v>
      </x:c>
      <x:c r="I8" s="9" t="str">
        <x:v>亲密度由哪些行为累计，采用什么单位？</x:v>
      </x:c>
      <x:c r="J8" s="9" t="str">
        <x:v>A. 有效送礼金币累计
B. 按行为配置独立积分</x:v>
      </x:c>
      <x:c r="K8" s="9" t="str">
        <x:v>先确认此决定及适用范围，再按选定方案补齐相应正向、边界和失败分支；现有可执行分支继续测试。</x:v>
      </x:c>
      <x:c r="L8" s="12" t="str"/>
      <x:c r="M8" s="12" t="str"/>
      <x:c r="N8" s="10" t="str">
        <x:v>1. liveshow-proto/MainBasis/需求待确认清单.md 第71行；AN-88f3346c11fe、AN-73b3892baa6f
2. 候选方案只供决策，不是已确认预期。</x:v>
      </x:c>
      <x:c r="O8" s="9" t="str">
        <x:v>1. 用户App
2. 管理后台</x:v>
      </x:c>
      <x:c r="P8" s="9" t="str"/>
      <x:c r="Q8" s="9" t="str">
        <x:v>1. 亲密度计算的确定性预期及对应分支</x:v>
      </x:c>
      <x:c r="R8" s="9" t="str">
        <x:v>产品</x:v>
      </x:c>
      <x:c r="S8" s="9" t="str">
        <x:v>相关功能测试开始前</x:v>
      </x:c>
      <x:c r="T8" s="9" t="str">
        <x:v>待确认</x:v>
      </x:c>
    </x:row>
    <x:row r="9" ht="85" customHeight="1">
      <x:c r="A9" s="10" t="str">
        <x:v>PENDING-intimacy-decay</x:v>
      </x:c>
      <x:c r="B9" s="10" t="str">
        <x:v>GROUP-intimacy-decay</x:v>
      </x:c>
      <x:c r="C9" s="10" t="str"/>
      <x:c r="D9" s="10" t="str"/>
      <x:c r="E9" s="10" t="str">
        <x:v>部分阻塞</x:v>
      </x:c>
      <x:c r="F9" s="10" t="str">
        <x:v>相关业务模块</x:v>
      </x:c>
      <x:c r="G9" s="9" t="str">
        <x:v>亲密度衰减</x:v>
      </x:c>
      <x:c r="H9" s="9" t="str">
        <x:v>业务规则</x:v>
      </x:c>
      <x:c r="I9" s="9" t="str">
        <x:v>除退团清零外，是否按不活跃时间衰减亲密度？</x:v>
      </x:c>
      <x:c r="J9" s="9" t="str">
        <x:v>A. 不衰减
B. 按配置的不活跃周期衰减</x:v>
      </x:c>
      <x:c r="K9" s="9" t="str">
        <x:v>先确认此决定及适用范围，再按选定方案补齐相应正向、边界和失败分支；现有可执行分支继续测试。</x:v>
      </x:c>
      <x:c r="L9" s="12" t="str"/>
      <x:c r="M9" s="12" t="str"/>
      <x:c r="N9" s="10" t="str">
        <x:v>1. liveshow-proto/MainBasis/需求待确认清单.md 第75行；AN-88f3346c11fe
2. 候选方案只供决策，不是已确认预期。</x:v>
      </x:c>
      <x:c r="O9" s="9" t="str">
        <x:v>1. 用户App
2. 管理后台</x:v>
      </x:c>
      <x:c r="P9" s="9" t="str"/>
      <x:c r="Q9" s="9" t="str">
        <x:v>1. 亲密度衰减的确定性预期及对应分支</x:v>
      </x:c>
      <x:c r="R9" s="9" t="str">
        <x:v>产品</x:v>
      </x:c>
      <x:c r="S9" s="9" t="str">
        <x:v>相关功能测试开始前</x:v>
      </x:c>
      <x:c r="T9" s="9" t="str">
        <x:v>待确认</x:v>
      </x:c>
    </x:row>
    <x:row r="10" ht="85" customHeight="1">
      <x:c r="A10" s="10" t="str">
        <x:v>PENDING-checkin-repair</x:v>
      </x:c>
      <x:c r="B10" s="10" t="str">
        <x:v>GROUP-checkin-repair</x:v>
      </x:c>
      <x:c r="C10" s="10" t="str"/>
      <x:c r="D10" s="10" t="str"/>
      <x:c r="E10" s="10" t="str">
        <x:v>部分阻塞</x:v>
      </x:c>
      <x:c r="F10" s="10" t="str">
        <x:v>相关业务模块</x:v>
      </x:c>
      <x:c r="G10" s="9" t="str">
        <x:v>补签</x:v>
      </x:c>
      <x:c r="H10" s="9" t="str">
        <x:v>业务规则</x:v>
      </x:c>
      <x:c r="I10" s="9" t="str">
        <x:v>是否支持对漏签日期进行补签？</x:v>
      </x:c>
      <x:c r="J10" s="9" t="str">
        <x:v>A. 不支持补签
B. 支持按配置补签</x:v>
      </x:c>
      <x:c r="K10" s="9" t="str">
        <x:v>先确认此决定及适用范围，再按选定方案补齐相应正向、边界和失败分支；现有可执行分支继续测试。</x:v>
      </x:c>
      <x:c r="L10" s="12" t="str"/>
      <x:c r="M10" s="12" t="str"/>
      <x:c r="N10" s="10" t="str">
        <x:v>1. liveshow-proto/MainBasis/需求待确认清单.md 第87行；AN-5ea05985e150
2. 候选方案只供决策，不是已确认预期。</x:v>
      </x:c>
      <x:c r="O10" s="9" t="str">
        <x:v>1. 用户App
2. 管理后台</x:v>
      </x:c>
      <x:c r="P10" s="9" t="str"/>
      <x:c r="Q10" s="9" t="str">
        <x:v>1. 补签的确定性预期及对应分支</x:v>
      </x:c>
      <x:c r="R10" s="9" t="str">
        <x:v>产品</x:v>
      </x:c>
      <x:c r="S10" s="9" t="str">
        <x:v>相关功能测试开始前</x:v>
      </x:c>
      <x:c r="T10" s="9" t="str">
        <x:v>待确认</x:v>
      </x:c>
    </x:row>
    <x:row r="11" ht="85" customHeight="1">
      <x:c r="A11" s="10" t="str">
        <x:v>PENDING-business-zone</x:v>
      </x:c>
      <x:c r="B11" s="10" t="str">
        <x:v>GROUP-business-zone</x:v>
      </x:c>
      <x:c r="C11" s="10" t="str"/>
      <x:c r="D11" s="10" t="str"/>
      <x:c r="E11" s="10" t="str">
        <x:v>部分阻塞</x:v>
      </x:c>
      <x:c r="F11" s="10" t="str">
        <x:v>相关业务模块</x:v>
      </x:c>
      <x:c r="G11" s="9" t="str">
        <x:v>业务日和周界限</x:v>
      </x:c>
      <x:c r="H11" s="9" t="str">
        <x:v>业务规则</x:v>
      </x:c>
      <x:c r="I11" s="9" t="str">
        <x:v>签到、任务、榜单、直播有效天和报表分别采用什么业务时区；任务周是否统一从周一开始？</x:v>
      </x:c>
      <x:c r="J11" s="9" t="str">
        <x:v>A. 全端统一指定业务时区且周一开始
B. 按业务分别指定时区和周起始日</x:v>
      </x:c>
      <x:c r="K11" s="9" t="str">
        <x:v>先确认此决定及适用范围，再按选定方案补齐相应正向、边界和失败分支；现有可执行分支继续测试。</x:v>
      </x:c>
      <x:c r="L11" s="12" t="str"/>
      <x:c r="M11" s="12" t="str"/>
      <x:c r="N11" s="10" t="str">
        <x:v>1. liveshow-proto/MainBasis/需求待确认清单.md 第91行；AN-6162c5b34166、AN-2d643ddb84e1
2. 候选方案只供决策，不是已确认预期。</x:v>
      </x:c>
      <x:c r="O11" s="9" t="str">
        <x:v>1. 用户App
2. 公会App
3. 管理后台</x:v>
      </x:c>
      <x:c r="P11" s="9" t="str"/>
      <x:c r="Q11" s="9" t="str">
        <x:v>1. 业务日和周界限的确定性预期及对应分支</x:v>
      </x:c>
      <x:c r="R11" s="9" t="str">
        <x:v>产品</x:v>
      </x:c>
      <x:c r="S11" s="9" t="str">
        <x:v>相关功能测试开始前</x:v>
      </x:c>
      <x:c r="T11" s="9" t="str">
        <x:v>待确认</x:v>
      </x:c>
    </x:row>
    <x:row r="12" ht="85" customHeight="1">
      <x:c r="A12" s="10" t="str">
        <x:v>PENDING-reward-disabled</x:v>
      </x:c>
      <x:c r="B12" s="10" t="str">
        <x:v>GROUP-reward-disabled</x:v>
      </x:c>
      <x:c r="C12" s="10" t="str"/>
      <x:c r="D12" s="10" t="str"/>
      <x:c r="E12" s="10" t="str">
        <x:v>部分阻塞</x:v>
      </x:c>
      <x:c r="F12" s="10" t="str">
        <x:v>任务与福利</x:v>
      </x:c>
      <x:c r="G12" s="9" t="str">
        <x:v>任务关闭后的待领奖励</x:v>
      </x:c>
      <x:c r="H12" s="9" t="str">
        <x:v>业务规则</x:v>
      </x:c>
      <x:c r="I12" s="9" t="str">
        <x:v>任务到期或停用时，当天已达成且未超过领取截止时间的奖励是否还能领取？</x:v>
      </x:c>
      <x:c r="J12" s="9" t="str">
        <x:v>A. 仍可在原截止时间前领取
B. 任务到期或停用立即失效</x:v>
      </x:c>
      <x:c r="K12" s="9" t="str">
        <x:v>先确认此决定及适用范围，再按选定方案补齐相应正向、边界和失败分支；现有可执行分支继续测试。</x:v>
      </x:c>
      <x:c r="L12" s="12" t="str"/>
      <x:c r="M12" s="12" t="str"/>
      <x:c r="N12" s="10" t="str">
        <x:v>1. liveshow-proto/MainBasis/需求待确认清单.md 第95行；AN-6162c5b34166
2. 候选方案只供决策，不是已确认预期。</x:v>
      </x:c>
      <x:c r="O12" s="9" t="str">
        <x:v>1. 用户App
2. 管理后台</x:v>
      </x:c>
      <x:c r="P12" s="9" t="str"/>
      <x:c r="Q12" s="9" t="str">
        <x:v>1. 任务关闭后的待领奖励的确定性预期及对应分支</x:v>
      </x:c>
      <x:c r="R12" s="9" t="str">
        <x:v>产品</x:v>
      </x:c>
      <x:c r="S12" s="9" t="str">
        <x:v>相关功能测试开始前</x:v>
      </x:c>
      <x:c r="T12" s="9" t="str">
        <x:v>待确认</x:v>
      </x:c>
    </x:row>
    <x:row r="13" ht="85" customHeight="1">
      <x:c r="A13" s="10" t="str">
        <x:v>PENDING-effective-duration</x:v>
      </x:c>
      <x:c r="B13" s="10" t="str">
        <x:v>GROUP-effective-duration</x:v>
      </x:c>
      <x:c r="C13" s="10" t="str"/>
      <x:c r="D13" s="10" t="str"/>
      <x:c r="E13" s="10" t="str">
        <x:v>部分阻塞</x:v>
      </x:c>
      <x:c r="F13" s="10" t="str">
        <x:v>跨端统计</x:v>
      </x:c>
      <x:c r="G13" s="9" t="str">
        <x:v>有效时长排除条件</x:v>
      </x:c>
      <x:c r="H13" s="9" t="str">
        <x:v>业务规则</x:v>
      </x:c>
      <x:c r="I13" s="9" t="str">
        <x:v>断流、后台挂起和暂停期间哪些时长计入每日 3 小时门槛？</x:v>
      </x:c>
      <x:c r="J13" s="9" t="str">
        <x:v>A. 仅连续成功推流时长
B. 会话持续时长扣除配置的无效区间</x:v>
      </x:c>
      <x:c r="K13" s="9" t="str">
        <x:v>先确认此决定及适用范围，再按选定方案补齐相应正向、边界和失败分支；现有可执行分支继续测试。</x:v>
      </x:c>
      <x:c r="L13" s="12" t="str"/>
      <x:c r="M13" s="12" t="str"/>
      <x:c r="N13" s="10" t="str">
        <x:v>1. liveshow-proto/MainBasis/需求待确认清单.md 第99行；AN-2d643ddb84e1
2. 候选方案只供决策，不是已确认预期。</x:v>
      </x:c>
      <x:c r="O13" s="9" t="str">
        <x:v>1. 用户App
2. 公会App
3. 管理后台</x:v>
      </x:c>
      <x:c r="P13" s="9" t="str"/>
      <x:c r="Q13" s="9" t="str">
        <x:v>1. 有效时长排除条件的确定性预期及对应分支</x:v>
      </x:c>
      <x:c r="R13" s="9" t="str">
        <x:v>产品</x:v>
      </x:c>
      <x:c r="S13" s="9" t="str">
        <x:v>相关功能测试开始前</x:v>
      </x:c>
      <x:c r="T13" s="9" t="str">
        <x:v>待确认</x:v>
      </x:c>
    </x:row>
    <x:row r="14" ht="85" customHeight="1">
      <x:c r="A14" s="10" t="str">
        <x:v>PENDING-cross-day-live</x:v>
      </x:c>
      <x:c r="B14" s="10" t="str">
        <x:v>GROUP-cross-day-live</x:v>
      </x:c>
      <x:c r="C14" s="10" t="str"/>
      <x:c r="D14" s="10" t="str"/>
      <x:c r="E14" s="10" t="str">
        <x:v>部分阻塞</x:v>
      </x:c>
      <x:c r="F14" s="10" t="str">
        <x:v>跨端统计</x:v>
      </x:c>
      <x:c r="G14" s="9" t="str">
        <x:v>跨日直播时长分配</x:v>
      </x:c>
      <x:c r="H14" s="9" t="str">
        <x:v>业务规则</x:v>
      </x:c>
      <x:c r="I14" s="9" t="str">
        <x:v>跨自然日的一场直播如何分配每天的有效时长及收益？</x:v>
      </x:c>
      <x:c r="J14" s="9" t="str">
        <x:v>A. 按事件发生时间切分到各日
B. 全部归入开播日</x:v>
      </x:c>
      <x:c r="K14" s="9" t="str">
        <x:v>先确认此决定及适用范围，再按选定方案补齐相应正向、边界和失败分支；现有可执行分支继续测试。</x:v>
      </x:c>
      <x:c r="L14" s="12" t="str"/>
      <x:c r="M14" s="12" t="str"/>
      <x:c r="N14" s="10" t="str">
        <x:v>1. liveshow-proto/MainBasis/需求待确认清单.md 第103行；AN-2d643ddb84e1
2. 候选方案只供决策，不是已确认预期。</x:v>
      </x:c>
      <x:c r="O14" s="9" t="str">
        <x:v>1. 用户App
2. 公会App
3. 管理后台</x:v>
      </x:c>
      <x:c r="P14" s="9" t="str"/>
      <x:c r="Q14" s="9" t="str">
        <x:v>1. 跨日直播时长分配的确定性预期及对应分支</x:v>
      </x:c>
      <x:c r="R14" s="9" t="str">
        <x:v>产品</x:v>
      </x:c>
      <x:c r="S14" s="9" t="str">
        <x:v>相关功能测试开始前</x:v>
      </x:c>
      <x:c r="T14" s="9" t="str">
        <x:v>待确认</x:v>
      </x:c>
    </x:row>
    <x:row r="15" ht="85" customHeight="1">
      <x:c r="A15" s="10" t="str">
        <x:v>PENDING-metric-latency</x:v>
      </x:c>
      <x:c r="B15" s="10" t="str">
        <x:v>GROUP-metric-latency</x:v>
      </x:c>
      <x:c r="C15" s="10" t="str"/>
      <x:c r="D15" s="10" t="str"/>
      <x:c r="E15" s="10" t="str">
        <x:v>部分阻塞</x:v>
      </x:c>
      <x:c r="F15" s="10" t="str">
        <x:v>相关业务模块</x:v>
      </x:c>
      <x:c r="G15" s="9" t="str">
        <x:v>指标刷新时效</x:v>
      </x:c>
      <x:c r="H15" s="9" t="str">
        <x:v>业务规则</x:v>
      </x:c>
      <x:c r="I15" s="9" t="str">
        <x:v>直播、收益和等级变动后，各端指标最迟何时应更新？</x:v>
      </x:c>
      <x:c r="J15" s="9" t="str">
        <x:v>A. 实时更新并指定秒级上限
B. 按固定汇总周期更新</x:v>
      </x:c>
      <x:c r="K15" s="9" t="str">
        <x:v>先确认此决定及适用范围，再按选定方案补齐相应正向、边界和失败分支；现有可执行分支继续测试。</x:v>
      </x:c>
      <x:c r="L15" s="12" t="str"/>
      <x:c r="M15" s="12" t="str"/>
      <x:c r="N15" s="10" t="str">
        <x:v>1. liveshow-proto/MainBasis/需求待确认清单.md 第107行；AN-2d643ddb84e1、AN-4c265a228f16
2. 候选方案只供决策，不是已确认预期。</x:v>
      </x:c>
      <x:c r="O15" s="9" t="str">
        <x:v>1. 用户App
2. 公会App
3. 管理后台</x:v>
      </x:c>
      <x:c r="P15" s="9" t="str"/>
      <x:c r="Q15" s="9" t="str">
        <x:v>1. 指标刷新时效的确定性预期及对应分支</x:v>
      </x:c>
      <x:c r="R15" s="9" t="str">
        <x:v>多方确认</x:v>
      </x:c>
      <x:c r="S15" s="9" t="str">
        <x:v>相关功能测试开始前</x:v>
      </x:c>
      <x:c r="T15" s="9" t="str">
        <x:v>待确认</x:v>
      </x:c>
    </x:row>
    <x:row r="16" ht="85" customHeight="1">
      <x:c r="A16" s="10" t="str">
        <x:v>PENDING-first-recharge</x:v>
      </x:c>
      <x:c r="B16" s="10" t="str">
        <x:v>GROUP-first-recharge</x:v>
      </x:c>
      <x:c r="C16" s="10" t="str"/>
      <x:c r="D16" s="10" t="str"/>
      <x:c r="E16" s="10" t="str">
        <x:v>部分阻塞</x:v>
      </x:c>
      <x:c r="F16" s="10" t="str">
        <x:v>相关业务模块</x:v>
      </x:c>
      <x:c r="G16" s="9" t="str">
        <x:v>首充资格</x:v>
      </x:c>
      <x:c r="H16" s="9" t="str">
        <x:v>业务规则</x:v>
      </x:c>
      <x:c r="I16" s="9" t="str">
        <x:v>首充资格按哪种充值成功记录判定？</x:v>
      </x:c>
      <x:c r="J16" s="9" t="str">
        <x:v>A. 账号首次任意渠道成功充值
B. 各活动分别以首次购买判定</x:v>
      </x:c>
      <x:c r="K16" s="9" t="str">
        <x:v>先确认此决定及适用范围，再按选定方案补齐相应正向、边界和失败分支；现有可执行分支继续测试。</x:v>
      </x:c>
      <x:c r="L16" s="12" t="str"/>
      <x:c r="M16" s="12" t="str"/>
      <x:c r="N16" s="10" t="str">
        <x:v>1. liveshow-proto/MainBasis/需求待确认清单.md 第111行；AN-b13d526e82bf
2. 候选方案只供决策，不是已确认预期。</x:v>
      </x:c>
      <x:c r="O16" s="9" t="str">
        <x:v>1. 用户App
2. 管理后台</x:v>
      </x:c>
      <x:c r="P16" s="9" t="str"/>
      <x:c r="Q16" s="9" t="str">
        <x:v>1. 首充资格的确定性预期及对应分支</x:v>
      </x:c>
      <x:c r="R16" s="9" t="str">
        <x:v>产品</x:v>
      </x:c>
      <x:c r="S16" s="9" t="str">
        <x:v>相关功能测试开始前</x:v>
      </x:c>
      <x:c r="T16" s="9" t="str">
        <x:v>待确认</x:v>
      </x:c>
    </x:row>
    <x:row r="17" ht="85" customHeight="1">
      <x:c r="A17" s="10" t="str">
        <x:v>PENDING-recharge-expiry</x:v>
      </x:c>
      <x:c r="B17" s="10" t="str">
        <x:v>GROUP-recharge-expiry</x:v>
      </x:c>
      <x:c r="C17" s="10" t="str"/>
      <x:c r="D17" s="10" t="str"/>
      <x:c r="E17" s="10" t="str">
        <x:v>部分阻塞</x:v>
      </x:c>
      <x:c r="F17" s="10" t="str">
        <x:v>相关业务模块</x:v>
      </x:c>
      <x:c r="G17" s="9" t="str">
        <x:v>支付中套餐过期</x:v>
      </x:c>
      <x:c r="H17" s="9" t="str">
        <x:v>业务规则</x:v>
      </x:c>
      <x:c r="I17" s="9" t="str">
        <x:v>支付已经发起但尚未完成时套餐过期，订单能否按快照继续完成？</x:v>
      </x:c>
      <x:c r="J17" s="9" t="str">
        <x:v>A. 在原订单有效期内继续支付
B. 过期即取消未支付订单</x:v>
      </x:c>
      <x:c r="K17" s="9" t="str">
        <x:v>先确认此决定及适用范围，再按选定方案补齐相应正向、边界和失败分支；现有可执行分支继续测试。</x:v>
      </x:c>
      <x:c r="L17" s="12" t="str"/>
      <x:c r="M17" s="12" t="str"/>
      <x:c r="N17" s="10" t="str">
        <x:v>1. liveshow-proto/MainBasis/需求待确认清单.md 第119行；AN-b13d526e82bf
2. 候选方案只供决策，不是已确认预期。</x:v>
      </x:c>
      <x:c r="O17" s="9" t="str">
        <x:v>1. 用户App
2. 管理后台</x:v>
      </x:c>
      <x:c r="P17" s="9" t="str"/>
      <x:c r="Q17" s="9" t="str">
        <x:v>1. 支付中套餐过期的确定性预期及对应分支</x:v>
      </x:c>
      <x:c r="R17" s="9" t="str">
        <x:v>产品</x:v>
      </x:c>
      <x:c r="S17" s="9" t="str">
        <x:v>相关功能测试开始前</x:v>
      </x:c>
      <x:c r="T17" s="9" t="str">
        <x:v>待确认</x:v>
      </x:c>
    </x:row>
    <x:row r="18" ht="85" customHeight="1">
      <x:c r="A18" s="10" t="str">
        <x:v>PENDING-level-gift-scope</x:v>
      </x:c>
      <x:c r="B18" s="10" t="str">
        <x:v>GROUP-level-gift-scope</x:v>
      </x:c>
      <x:c r="C18" s="10" t="str"/>
      <x:c r="D18" s="10" t="str"/>
      <x:c r="E18" s="10" t="str">
        <x:v>部分阻塞</x:v>
      </x:c>
      <x:c r="F18" s="10" t="str">
        <x:v>等级与身份</x:v>
      </x:c>
      <x:c r="G18" s="9" t="str">
        <x:v>等级贡献计入类型</x:v>
      </x:c>
      <x:c r="H18" s="9" t="str">
        <x:v>业务规则</x:v>
      </x:c>
      <x:c r="I18" s="9" t="str">
        <x:v>财富等级和粉丝等级分别计入哪些礼物类型，幸运礼物按何种价值计入？</x:v>
      </x:c>
      <x:c r="J18" s="9" t="str">
        <x:v>A. 全部真实礼物按送出价值
B. 全部真实礼物按扣除返奖后的净消耗
C. 由等级类型分别配置</x:v>
      </x:c>
      <x:c r="K18" s="9" t="str">
        <x:v>先确认此决定及适用范围，再按选定方案补齐相应正向、边界和失败分支；现有可执行分支继续测试。</x:v>
      </x:c>
      <x:c r="L18" s="12" t="str"/>
      <x:c r="M18" s="12" t="str"/>
      <x:c r="N18" s="10" t="str">
        <x:v>1. liveshow-proto/MainBasis/需求待确认清单.md 第127行；AN-3839cfde3299
2. 候选方案只供决策，不是已确认预期。</x:v>
      </x:c>
      <x:c r="O18" s="9" t="str">
        <x:v>1. 用户App
2. 管理后台</x:v>
      </x:c>
      <x:c r="P18" s="9" t="str"/>
      <x:c r="Q18" s="9" t="str">
        <x:v>1. 等级贡献计入类型的确定性预期及对应分支</x:v>
      </x:c>
      <x:c r="R18" s="9" t="str">
        <x:v>产品</x:v>
      </x:c>
      <x:c r="S18" s="9" t="str">
        <x:v>相关功能测试开始前</x:v>
      </x:c>
      <x:c r="T18" s="9" t="str">
        <x:v>待确认</x:v>
      </x:c>
    </x:row>
    <x:row r="19" ht="85" customHeight="1">
      <x:c r="A19" s="10" t="str">
        <x:v>PENDING-club-level-attribution</x:v>
      </x:c>
      <x:c r="B19" s="10" t="str">
        <x:v>GROUP-club-level-attribution</x:v>
      </x:c>
      <x:c r="C19" s="10" t="str"/>
      <x:c r="D19" s="10" t="str"/>
      <x:c r="E19" s="10" t="str">
        <x:v>部分阻塞</x:v>
      </x:c>
      <x:c r="F19" s="10" t="str">
        <x:v>相关业务模块</x:v>
      </x:c>
      <x:c r="G19" s="9" t="str">
        <x:v>粉丝团累计收礼归属</x:v>
      </x:c>
      <x:c r="H19" s="9" t="str">
        <x:v>计算与统计口径</x:v>
      </x:c>
      <x:c r="I19" s="9" t="str">
        <x:v>粉丝团等级累计收礼是否只计有效团员在入团期间的赠礼？</x:v>
      </x:c>
      <x:c r="J19" s="9" t="str">
        <x:v>A. 只计有效团员在团期间赠礼
B. 计入该主播的全部有效收礼</x:v>
      </x:c>
      <x:c r="K19" s="9" t="str">
        <x:v>先确认此决定及适用范围，再按选定方案补齐相应正向、边界和失败分支；现有可执行分支继续测试。</x:v>
      </x:c>
      <x:c r="L19" s="12" t="str"/>
      <x:c r="M19" s="12" t="str"/>
      <x:c r="N19" s="10" t="str">
        <x:v>1. liveshow-proto/MainBasis/需求待确认清单.md 第131行；AN-3839cfde3299
2. 候选方案只供决策，不是已确认预期。</x:v>
      </x:c>
      <x:c r="O19" s="9" t="str">
        <x:v>1. 用户App
2. 管理后台</x:v>
      </x:c>
      <x:c r="P19" s="9" t="str"/>
      <x:c r="Q19" s="9" t="str">
        <x:v>1. 粉丝团累计收礼归属的确定性预期及对应分支</x:v>
      </x:c>
      <x:c r="R19" s="9" t="str">
        <x:v>产品</x:v>
      </x:c>
      <x:c r="S19" s="9" t="str">
        <x:v>相关功能测试开始前</x:v>
      </x:c>
      <x:c r="T19" s="9" t="str">
        <x:v>待确认</x:v>
      </x:c>
    </x:row>
    <x:row r="20" ht="85" customHeight="1">
      <x:c r="A20" s="10" t="str">
        <x:v>PENDING-coin-precision</x:v>
      </x:c>
      <x:c r="B20" s="10" t="str">
        <x:v>GROUP-coin-precision</x:v>
      </x:c>
      <x:c r="C20" s="10" t="str"/>
      <x:c r="D20" s="10" t="str"/>
      <x:c r="E20" s="10" t="str">
        <x:v>部分阻塞</x:v>
      </x:c>
      <x:c r="F20" s="10" t="str">
        <x:v>资产与结算</x:v>
      </x:c>
      <x:c r="G20" s="9" t="str">
        <x:v>金币和收益精度</x:v>
      </x:c>
      <x:c r="H20" s="9" t="str">
        <x:v>计算与统计口径</x:v>
      </x:c>
      <x:c r="I20" s="9" t="str">
        <x:v>幸运礼物收益出现不足 1 金币的小数时如何存储、累计和展示？</x:v>
      </x:c>
      <x:c r="J20" s="9" t="str">
        <x:v>A. 每笔截断为整数
B. 保留小数累计后统一展示
C. 按明确精度四舍五入</x:v>
      </x:c>
      <x:c r="K20" s="9" t="str">
        <x:v>先确认此决定及适用范围，再按选定方案补齐相应正向、边界和失败分支；现有可执行分支继续测试。</x:v>
      </x:c>
      <x:c r="L20" s="12" t="str"/>
      <x:c r="M20" s="12" t="str"/>
      <x:c r="N20" s="10" t="str">
        <x:v>1. liveshow-proto/MainBasis/需求待确认清单.md 第135行；AN-3839cfde3299
2. 候选方案只供决策，不是已确认预期。</x:v>
      </x:c>
      <x:c r="O20" s="9" t="str">
        <x:v>1. 用户App
2. 公会App
3. 管理后台</x:v>
      </x:c>
      <x:c r="P20" s="9" t="str"/>
      <x:c r="Q20" s="9" t="str">
        <x:v>1. 金币和收益精度的确定性预期及对应分支</x:v>
      </x:c>
      <x:c r="R20" s="9" t="str">
        <x:v>多方确认</x:v>
      </x:c>
      <x:c r="S20" s="9" t="str">
        <x:v>相关功能测试开始前</x:v>
      </x:c>
      <x:c r="T20" s="9" t="str">
        <x:v>待确认</x:v>
      </x:c>
    </x:row>
    <x:row r="21" ht="85" customHeight="1">
      <x:c r="A21" s="10" t="str">
        <x:v>PENDING-level-reversal</x:v>
      </x:c>
      <x:c r="B21" s="10" t="str">
        <x:v>GROUP-level-reversal</x:v>
      </x:c>
      <x:c r="C21" s="10" t="str"/>
      <x:c r="D21" s="10" t="str"/>
      <x:c r="E21" s="10" t="str">
        <x:v>部分阻塞</x:v>
      </x:c>
      <x:c r="F21" s="10" t="str">
        <x:v>等级与身份</x:v>
      </x:c>
      <x:c r="G21" s="9" t="str">
        <x:v>等级冲正与降级</x:v>
      </x:c>
      <x:c r="H21" s="9" t="str">
        <x:v>业务规则</x:v>
      </x:c>
      <x:c r="I21" s="9" t="str">
        <x:v>充值退款、消费冲正或撤销分别是否回扣成长值，以及是否降级？</x:v>
      </x:c>
      <x:c r="J21" s="9" t="str">
        <x:v>A. 按被撤销的有效赠礼回扣并重算等级
B. 回扣成长值但保留已达等级</x:v>
      </x:c>
      <x:c r="K21" s="9" t="str">
        <x:v>先确认此决定及适用范围，再按选定方案补齐相应正向、边界和失败分支；现有可执行分支继续测试。</x:v>
      </x:c>
      <x:c r="L21" s="12" t="str"/>
      <x:c r="M21" s="12" t="str"/>
      <x:c r="N21" s="10" t="str">
        <x:v>1. liveshow-proto/MainBasis/需求待确认清单.md 第139行；AN-4c265a228f16
2. 候选方案只供决策，不是已确认预期。</x:v>
      </x:c>
      <x:c r="O21" s="9" t="str">
        <x:v>1. 用户App
2. 管理后台</x:v>
      </x:c>
      <x:c r="P21" s="9" t="str"/>
      <x:c r="Q21" s="9" t="str">
        <x:v>1. 等级冲正与降级的确定性预期及对应分支</x:v>
      </x:c>
      <x:c r="R21" s="9" t="str">
        <x:v>产品</x:v>
      </x:c>
      <x:c r="S21" s="9" t="str">
        <x:v>相关功能测试开始前</x:v>
      </x:c>
      <x:c r="T21" s="9" t="str">
        <x:v>待确认</x:v>
      </x:c>
    </x:row>
    <x:row r="22" ht="85" customHeight="1">
      <x:c r="A22" s="10" t="str">
        <x:v>PENDING-level-history</x:v>
      </x:c>
      <x:c r="B22" s="10" t="str">
        <x:v>GROUP-level-history</x:v>
      </x:c>
      <x:c r="C22" s="10" t="str"/>
      <x:c r="D22" s="10" t="str"/>
      <x:c r="E22" s="10" t="str">
        <x:v>部分阻塞</x:v>
      </x:c>
      <x:c r="F22" s="10" t="str">
        <x:v>等级与身份</x:v>
      </x:c>
      <x:c r="G22" s="9" t="str">
        <x:v>历史等级快照</x:v>
      </x:c>
      <x:c r="H22" s="9" t="str">
        <x:v>业务规则</x:v>
      </x:c>
      <x:c r="I22" s="9" t="str">
        <x:v>调整等级阈值后历史记录展示原等级还是重算等级？</x:v>
      </x:c>
      <x:c r="J22" s="9" t="str">
        <x:v>A. 保留事件发生时等级
B. 显示当前重算等级</x:v>
      </x:c>
      <x:c r="K22" s="9" t="str">
        <x:v>先确认此决定及适用范围，再按选定方案补齐相应正向、边界和失败分支；现有可执行分支继续测试。</x:v>
      </x:c>
      <x:c r="L22" s="12" t="str"/>
      <x:c r="M22" s="12" t="str"/>
      <x:c r="N22" s="10" t="str">
        <x:v>1. liveshow-proto/MainBasis/需求待确认清单.md 第143行；AN-10e4cbde5c33
2. 候选方案只供决策，不是已确认预期。</x:v>
      </x:c>
      <x:c r="O22" s="9" t="str">
        <x:v>1. 用户App
2. 公会App
3. 管理后台</x:v>
      </x:c>
      <x:c r="P22" s="9" t="str"/>
      <x:c r="Q22" s="9" t="str">
        <x:v>1. 历史等级快照的确定性预期及对应分支</x:v>
      </x:c>
      <x:c r="R22" s="9" t="str">
        <x:v>产品</x:v>
      </x:c>
      <x:c r="S22" s="9" t="str">
        <x:v>相关功能测试开始前</x:v>
      </x:c>
      <x:c r="T22" s="9" t="str">
        <x:v>待确认</x:v>
      </x:c>
    </x:row>
    <x:row r="23" ht="85" customHeight="1">
      <x:c r="A23" s="10" t="str">
        <x:v>PENDING-badge-refresh</x:v>
      </x:c>
      <x:c r="B23" s="10" t="str">
        <x:v>GROUP-badge-refresh</x:v>
      </x:c>
      <x:c r="C23" s="10" t="str"/>
      <x:c r="D23" s="10" t="str"/>
      <x:c r="E23" s="10" t="str">
        <x:v>部分阻塞</x:v>
      </x:c>
      <x:c r="F23" s="10" t="str">
        <x:v>等级与身份</x:v>
      </x:c>
      <x:c r="G23" s="9" t="str">
        <x:v>等级勋章图刷新</x:v>
      </x:c>
      <x:c r="H23" s="9" t="str">
        <x:v>业务规则</x:v>
      </x:c>
      <x:c r="I23" s="9" t="str">
        <x:v>后台修改等级勋章图后，客户端何时刷新？</x:v>
      </x:c>
      <x:c r="J23" s="9" t="str">
        <x:v>A. 下一次加载资料时更新
B. 重新登录后更新
C. 按明确缓存有效期更新</x:v>
      </x:c>
      <x:c r="K23" s="9" t="str">
        <x:v>先确认此决定及适用范围，再按选定方案补齐相应正向、边界和失败分支；现有可执行分支继续测试。</x:v>
      </x:c>
      <x:c r="L23" s="12" t="str"/>
      <x:c r="M23" s="12" t="str"/>
      <x:c r="N23" s="10" t="str">
        <x:v>1. liveshow-proto/MainBasis/需求待确认清单.md 第147行；AN-10e4cbde5c33
2. 候选方案只供决策，不是已确认预期。</x:v>
      </x:c>
      <x:c r="O23" s="9" t="str">
        <x:v>1. 用户App
2. 管理后台</x:v>
      </x:c>
      <x:c r="P23" s="9" t="str"/>
      <x:c r="Q23" s="9" t="str">
        <x:v>1. 等级勋章图刷新的确定性预期及对应分支</x:v>
      </x:c>
      <x:c r="R23" s="9" t="str">
        <x:v>产品</x:v>
      </x:c>
      <x:c r="S23" s="9" t="str">
        <x:v>相关功能测试开始前</x:v>
      </x:c>
      <x:c r="T23" s="9" t="str">
        <x:v>待确认</x:v>
      </x:c>
    </x:row>
    <x:row r="24" ht="85" customHeight="1">
      <x:c r="A24" s="10" t="str">
        <x:v>PENDING-badge-fallback</x:v>
      </x:c>
      <x:c r="B24" s="10" t="str">
        <x:v>GROUP-badge-fallback</x:v>
      </x:c>
      <x:c r="C24" s="10" t="str"/>
      <x:c r="D24" s="10" t="str"/>
      <x:c r="E24" s="10" t="str">
        <x:v>部分阻塞</x:v>
      </x:c>
      <x:c r="F24" s="10" t="str">
        <x:v>等级与身份</x:v>
      </x:c>
      <x:c r="G24" s="9" t="str">
        <x:v>等级勋章图片缺失</x:v>
      </x:c>
      <x:c r="H24" s="9" t="str">
        <x:v>业务规则</x:v>
      </x:c>
      <x:c r="I24" s="9" t="str">
        <x:v>等级勋章图无法加载时客户端显示什么？</x:v>
      </x:c>
      <x:c r="J24" s="9" t="str">
        <x:v>A. 显示默认等级图
B. 只显示等级文字</x:v>
      </x:c>
      <x:c r="K24" s="9" t="str">
        <x:v>先确认此决定及适用范围，再按选定方案补齐相应正向、边界和失败分支；现有可执行分支继续测试。</x:v>
      </x:c>
      <x:c r="L24" s="12" t="str"/>
      <x:c r="M24" s="12" t="str"/>
      <x:c r="N24" s="10" t="str">
        <x:v>1. liveshow-proto/MainBasis/需求待确认清单.md 第151行；AN-d8d7a1c44fc2
2. 候选方案只供决策，不是已确认预期。</x:v>
      </x:c>
      <x:c r="O24" s="9" t="str">
        <x:v>1. 用户App
2. 管理后台</x:v>
      </x:c>
      <x:c r="P24" s="9" t="str"/>
      <x:c r="Q24" s="9" t="str">
        <x:v>1. 等级勋章图片缺失的确定性预期及对应分支</x:v>
      </x:c>
      <x:c r="R24" s="9" t="str">
        <x:v>产品</x:v>
      </x:c>
      <x:c r="S24" s="9" t="str">
        <x:v>相关功能测试开始前</x:v>
      </x:c>
      <x:c r="T24" s="9" t="str">
        <x:v>待确认</x:v>
      </x:c>
    </x:row>
    <x:row r="25" ht="85" customHeight="1">
      <x:c r="A25" s="10" t="str">
        <x:v>PENDING-group-report</x:v>
      </x:c>
      <x:c r="B25" s="10" t="str">
        <x:v>GROUP-group-report</x:v>
      </x:c>
      <x:c r="C25" s="10" t="str"/>
      <x:c r="D25" s="10" t="str"/>
      <x:c r="E25" s="10" t="str">
        <x:v>部分阻塞</x:v>
      </x:c>
      <x:c r="F25" s="10" t="str">
        <x:v>相关业务模块</x:v>
      </x:c>
      <x:c r="G25" s="9" t="str">
        <x:v>粉丝群举报对象</x:v>
      </x:c>
      <x:c r="H25" s="9" t="str">
        <x:v>业务规则</x:v>
      </x:c>
      <x:c r="I25" s="9" t="str">
        <x:v>群管理的举报针对群、群主还是具体消息？</x:v>
      </x:c>
      <x:c r="J25" s="9" t="str">
        <x:v>A. 举报群主账号
B. 举报指定消息及其发送者
C. 单独举报粉丝群</x:v>
      </x:c>
      <x:c r="K25" s="9" t="str">
        <x:v>先确认此决定及适用范围，再按选定方案补齐相应正向、边界和失败分支；现有可执行分支继续测试。</x:v>
      </x:c>
      <x:c r="L25" s="12" t="str"/>
      <x:c r="M25" s="12" t="str"/>
      <x:c r="N25" s="10" t="str">
        <x:v>1. liveshow-proto/MainBasis/需求待确认清单.md 第159行；AN-3bc6aef15073
2. 候选方案只供决策，不是已确认预期。</x:v>
      </x:c>
      <x:c r="O25" s="9" t="str">
        <x:v>1. 用户App
2. 管理后台</x:v>
      </x:c>
      <x:c r="P25" s="9" t="str"/>
      <x:c r="Q25" s="9" t="str">
        <x:v>1. 粉丝群举报对象的确定性预期及对应分支</x:v>
      </x:c>
      <x:c r="R25" s="9" t="str">
        <x:v>产品</x:v>
      </x:c>
      <x:c r="S25" s="9" t="str">
        <x:v>相关功能测试开始前</x:v>
      </x:c>
      <x:c r="T25" s="9" t="str">
        <x:v>待确认</x:v>
      </x:c>
    </x:row>
    <x:row r="26" ht="85" customHeight="1">
      <x:c r="A26" s="10" t="str">
        <x:v>PENDING-level-save-atomic</x:v>
      </x:c>
      <x:c r="B26" s="10" t="str">
        <x:v>GROUP-level-save-atomic</x:v>
      </x:c>
      <x:c r="C26" s="10" t="str"/>
      <x:c r="D26" s="10" t="str"/>
      <x:c r="E26" s="10" t="str">
        <x:v>部分阻塞</x:v>
      </x:c>
      <x:c r="F26" s="10" t="str">
        <x:v>等级与身份</x:v>
      </x:c>
      <x:c r="G26" s="9" t="str">
        <x:v>等级整组保存失败</x:v>
      </x:c>
      <x:c r="H26" s="9" t="str">
        <x:v>业务规则</x:v>
      </x:c>
      <x:c r="I26" s="9" t="str">
        <x:v>等级配置一组中部分行保存失败时，是否整体回滚？</x:v>
      </x:c>
      <x:c r="J26" s="9" t="str">
        <x:v>A. 全部成功或全部失败
B. 允许逐行保存并逐行反馈</x:v>
      </x:c>
      <x:c r="K26" s="9" t="str">
        <x:v>先确认此决定及适用范围，再按选定方案补齐相应正向、边界和失败分支；现有可执行分支继续测试。</x:v>
      </x:c>
      <x:c r="L26" s="12" t="str"/>
      <x:c r="M26" s="12" t="str"/>
      <x:c r="N26" s="10" t="str">
        <x:v>1. liveshow-proto/MainBasis/需求待确认清单.md 第163行；AN-e4e4872e0998
2. 候选方案只供决策，不是已确认预期。</x:v>
      </x:c>
      <x:c r="O26" s="9" t="str">
        <x:v>1. 管理后台</x:v>
      </x:c>
      <x:c r="P26" s="9" t="str"/>
      <x:c r="Q26" s="9" t="str">
        <x:v>1. 等级整组保存失败的确定性预期及对应分支</x:v>
      </x:c>
      <x:c r="R26" s="9" t="str">
        <x:v>产品</x:v>
      </x:c>
      <x:c r="S26" s="9" t="str">
        <x:v>相关功能测试开始前</x:v>
      </x:c>
      <x:c r="T26" s="9" t="str">
        <x:v>待确认</x:v>
      </x:c>
    </x:row>
    <x:row r="27" ht="85" customHeight="1">
      <x:c r="A27" s="10" t="str">
        <x:v>PENDING-level-concurrency</x:v>
      </x:c>
      <x:c r="B27" s="10" t="str">
        <x:v>GROUP-level-concurrency</x:v>
      </x:c>
      <x:c r="C27" s="10" t="str"/>
      <x:c r="D27" s="10" t="str"/>
      <x:c r="E27" s="10" t="str">
        <x:v>部分阻塞</x:v>
      </x:c>
      <x:c r="F27" s="10" t="str">
        <x:v>等级与身份</x:v>
      </x:c>
      <x:c r="G27" s="9" t="str">
        <x:v>等级配置并发编辑</x:v>
      </x:c>
      <x:c r="H27" s="9" t="str">
        <x:v>业务规则</x:v>
      </x:c>
      <x:c r="I27" s="9" t="str">
        <x:v>多位管理员同时修改同一类等级时如何防止覆盖？</x:v>
      </x:c>
      <x:c r="J27" s="9" t="str">
        <x:v>A. 版本冲突拒绝后提交者
B. 显示差异并要求重新确认</x:v>
      </x:c>
      <x:c r="K27" s="9" t="str">
        <x:v>先确认此决定及适用范围，再按选定方案补齐相应正向、边界和失败分支；现有可执行分支继续测试。</x:v>
      </x:c>
      <x:c r="L27" s="12" t="str"/>
      <x:c r="M27" s="12" t="str"/>
      <x:c r="N27" s="10" t="str">
        <x:v>1. liveshow-proto/MainBasis/需求待确认清单.md 第167行；AN-e4e4872e0998
2. 候选方案只供决策，不是已确认预期。</x:v>
      </x:c>
      <x:c r="O27" s="9" t="str">
        <x:v>1. 管理后台</x:v>
      </x:c>
      <x:c r="P27" s="9" t="str"/>
      <x:c r="Q27" s="9" t="str">
        <x:v>1. 等级配置并发编辑的确定性预期及对应分支</x:v>
      </x:c>
      <x:c r="R27" s="9" t="str">
        <x:v>多方确认</x:v>
      </x:c>
      <x:c r="S27" s="9" t="str">
        <x:v>相关功能测试开始前</x:v>
      </x:c>
      <x:c r="T27" s="9" t="str">
        <x:v>待确认</x:v>
      </x:c>
    </x:row>
    <x:row r="28" ht="85" customHeight="1">
      <x:c r="A28" s="10" t="str">
        <x:v>PENDING-level-limit</x:v>
      </x:c>
      <x:c r="B28" s="10" t="str">
        <x:v>GROUP-level-limit</x:v>
      </x:c>
      <x:c r="C28" s="10" t="str"/>
      <x:c r="D28" s="10" t="str"/>
      <x:c r="E28" s="10" t="str">
        <x:v>部分阻塞</x:v>
      </x:c>
      <x:c r="F28" s="10" t="str">
        <x:v>等级与身份</x:v>
      </x:c>
      <x:c r="G28" s="9" t="str">
        <x:v>等级阈值上限</x:v>
      </x:c>
      <x:c r="H28" s="9" t="str">
        <x:v>计算与统计口径</x:v>
      </x:c>
      <x:c r="I28" s="9" t="str">
        <x:v>等级阈值与累计成长值的最大允许数值是多少？</x:v>
      </x:c>
      <x:c r="J28" s="9" t="str">
        <x:v>A. 采用统一整数上限
B. 各等级类型分别设定上限</x:v>
      </x:c>
      <x:c r="K28" s="9" t="str">
        <x:v>先确认此决定及适用范围，再按选定方案补齐相应正向、边界和失败分支；现有可执行分支继续测试。</x:v>
      </x:c>
      <x:c r="L28" s="12" t="str"/>
      <x:c r="M28" s="12" t="str"/>
      <x:c r="N28" s="10" t="str">
        <x:v>1. liveshow-proto/MainBasis/需求待确认清单.md 第171行；AN-3839cfde3299
2. 候选方案只供决策，不是已确认预期。</x:v>
      </x:c>
      <x:c r="O28" s="9" t="str">
        <x:v>1. 管理后台</x:v>
      </x:c>
      <x:c r="P28" s="9" t="str"/>
      <x:c r="Q28" s="9" t="str">
        <x:v>1. 等级阈值上限的确定性预期及对应分支</x:v>
      </x:c>
      <x:c r="R28" s="9" t="str">
        <x:v>产品</x:v>
      </x:c>
      <x:c r="S28" s="9" t="str">
        <x:v>相关功能测试开始前</x:v>
      </x:c>
      <x:c r="T28" s="9" t="str">
        <x:v>待确认</x:v>
      </x:c>
    </x:row>
    <x:row r="29" ht="85" customHeight="1">
      <x:c r="A29" s="10" t="str">
        <x:v>PENDING-badge-upload</x:v>
      </x:c>
      <x:c r="B29" s="10" t="str">
        <x:v>GROUP-badge-upload</x:v>
      </x:c>
      <x:c r="C29" s="10" t="str"/>
      <x:c r="D29" s="10" t="str"/>
      <x:c r="E29" s="10" t="str">
        <x:v>部分阻塞</x:v>
      </x:c>
      <x:c r="F29" s="10" t="str">
        <x:v>等级与身份</x:v>
      </x:c>
      <x:c r="G29" s="9" t="str">
        <x:v>等级勋章资源限制</x:v>
      </x:c>
      <x:c r="H29" s="9" t="str">
        <x:v>业务规则</x:v>
      </x:c>
      <x:c r="I29" s="9" t="str">
        <x:v>等级勋章图允许哪些格式、文件大小和尺寸？</x:v>
      </x:c>
      <x:c r="J29" s="9" t="str">
        <x:v>A. 统一静态图片规范
B. 按各等级类型分别规定</x:v>
      </x:c>
      <x:c r="K29" s="9" t="str">
        <x:v>先确认此决定及适用范围，再按选定方案补齐相应正向、边界和失败分支；现有可执行分支继续测试。</x:v>
      </x:c>
      <x:c r="L29" s="12" t="str"/>
      <x:c r="M29" s="12" t="str"/>
      <x:c r="N29" s="10" t="str">
        <x:v>1. liveshow-proto/MainBasis/需求待确认清单.md 第175行；AN-d8d7a1c44fc2
2. 候选方案只供决策，不是已确认预期。</x:v>
      </x:c>
      <x:c r="O29" s="9" t="str">
        <x:v>1. 管理后台</x:v>
      </x:c>
      <x:c r="P29" s="9" t="str"/>
      <x:c r="Q29" s="9" t="str">
        <x:v>1. 等级勋章资源限制的确定性预期及对应分支</x:v>
      </x:c>
      <x:c r="R29" s="9" t="str">
        <x:v>产品</x:v>
      </x:c>
      <x:c r="S29" s="9" t="str">
        <x:v>相关功能测试开始前</x:v>
      </x:c>
      <x:c r="T29" s="9" t="str">
        <x:v>待确认</x:v>
      </x:c>
    </x:row>
  </x:sheetData>
  <x:dataValidations count="5">
    <x:dataValidation type="list" sqref="E2:E29">
      <x:formula1>"阻塞测试,部分阻塞,不阻塞"</x:formula1>
    </x:dataValidation>
    <x:dataValidation type="list" sqref="H2:H29">
      <x:formula1>"需求范围,业务规则,角色与权限,流程与状态,字段与数据校验,计算与统计口径,异常处理,跨端与跨模块一致性,配置和历史数据影响,交互与文案规则"</x:formula1>
    </x:dataValidation>
    <x:dataValidation type="list" sqref="L2:L29">
      <x:formula1>"A,B,C,D,其他"</x:formula1>
    </x:dataValidation>
    <x:dataValidation type="list" sqref="R2:R29">
      <x:formula1>"产品,交互,技术,多方确认"</x:formula1>
    </x:dataValidation>
    <x:dataValidation type="list" sqref="T2:T29">
      <x:formula1>"待前置结论,待确认,确认中,已确认,无需处理"</x:formula1>
    </x:dataValidation>
  </x:dataValidations>
  <x:pageMargins left="0.7" right="0.7" top="0.75" bottom="0.75" header="0.3" footer="0.3"/>
  <x:tableParts count="1">
    <x:tablePart xmlns:r="http://schemas.openxmlformats.org/officeDocument/2006/relationships" r:id="R0e63c343a9ac400b"/>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17" hidden="0" customWidth="1"/>
    <x:col min="3" max="3" width="10" hidden="0" customWidth="1"/>
    <x:col min="4" max="4" width="70" hidden="0" customWidth="1"/>
    <x:col min="5" max="5" width="24" hidden="0" customWidth="1"/>
    <x:col min="6" max="6" width="40" hidden="0" customWidth="1"/>
    <x:col min="7" max="7" width="68" hidden="0" customWidth="1"/>
  </x:cols>
  <x:sheetData>
    <x:row r="1" ht="34" customHeight="1">
      <x:c r="A1" s="29" t="str">
        <x:v>需求编号</x:v>
      </x:c>
      <x:c r="B1" s="29" t="str">
        <x:v>功能模块</x:v>
      </x:c>
      <x:c r="C1" s="29" t="str">
        <x:v>来源行</x:v>
      </x:c>
      <x:c r="D1" s="29" t="str">
        <x:v>需求内容</x:v>
      </x:c>
      <x:c r="E1" s="29" t="str">
        <x:v>处理状态</x:v>
      </x:c>
      <x:c r="F1" s="29" t="str">
        <x:v>关联正式用例</x:v>
      </x:c>
      <x:c r="G1" s="29" t="str">
        <x:v>待完成事项</x:v>
      </x:c>
    </x:row>
    <x:row r="2" ht="44" customHeight="1">
      <x:c r="A2" s="4" t="str">
        <x:v>概要-14</x:v>
      </x:c>
      <x:c r="B2" s="4" t="str">
        <x:v>系统概要与公共规则</x:v>
      </x:c>
      <x:c r="C2" s="4" t="n">
        <x:v>14</x:v>
      </x:c>
      <x:c r="D2" s="4" t="str">
        <x:v>|参与方|说明|</x:v>
      </x:c>
      <x:c r="E2" s="4" t="str">
        <x:v>尚未建立场景映射</x:v>
      </x:c>
      <x:c r="F2" s="4" t="str"/>
      <x:c r="G2" s="4" t="str">
        <x:v>系统概要或共同业务条款：已保留全文，不用端侧用例数量反推本条完整覆盖；跨段等价映射尚未逐项闭合。</x:v>
      </x:c>
    </x:row>
    <x:row r="3" ht="44" customHeight="1">
      <x:c r="A3" s="4" t="str">
        <x:v>概要-16</x:v>
      </x:c>
      <x:c r="B3" s="4" t="str">
        <x:v>系统概要与公共规则</x:v>
      </x:c>
      <x:c r="C3" s="4" t="n">
        <x:v>16</x:v>
      </x:c>
      <x:c r="D3" s="4" t="str">
        <x:v>|用户|使用账号、观看直播、互动消费并维护社交关系。|</x:v>
      </x:c>
      <x:c r="E3" s="4" t="str">
        <x:v>尚未建立场景映射</x:v>
      </x:c>
      <x:c r="F3" s="4" t="str"/>
      <x:c r="G3" s="4" t="str">
        <x:v>系统概要或共同业务条款：已保留全文，不用端侧用例数量反推本条完整覆盖；跨段等价映射尚未逐项闭合。</x:v>
      </x:c>
    </x:row>
    <x:row r="4" ht="44" customHeight="1">
      <x:c r="A4" s="4" t="str">
        <x:v>概要-17</x:v>
      </x:c>
      <x:c r="B4" s="4" t="str">
        <x:v>系统概要与公共规则</x:v>
      </x:c>
      <x:c r="C4" s="4" t="n">
        <x:v>17</x:v>
      </x:c>
      <x:c r="D4" s="4" t="str">
        <x:v>|主播|由用户完成入会和认证后获得的身份，负责创建和经营直播间。|</x:v>
      </x:c>
      <x:c r="E4" s="4" t="str">
        <x:v>尚未建立场景映射</x:v>
      </x:c>
      <x:c r="F4" s="4" t="str"/>
      <x:c r="G4" s="4" t="str">
        <x:v>系统概要或共同业务条款：已保留全文，不用端侧用例数量反推本条完整覆盖；跨段等价映射尚未逐项闭合。</x:v>
      </x:c>
    </x:row>
    <x:row r="5" ht="44" customHeight="1">
      <x:c r="A5" s="4" t="str">
        <x:v>概要-18</x:v>
      </x:c>
      <x:c r="B5" s="4" t="str">
        <x:v>系统概要与公共规则</x:v>
      </x:c>
      <x:c r="C5" s="4" t="n">
        <x:v>18</x:v>
      </x:c>
      <x:c r="D5" s="4" t="str">
        <x:v>|公会|由公会长操作公会端，管理公会、主播、直播权限和运营账号。|</x:v>
      </x:c>
      <x:c r="E5" s="4" t="str">
        <x:v>尚未建立场景映射</x:v>
      </x:c>
      <x:c r="F5" s="4" t="str"/>
      <x:c r="G5" s="4" t="str">
        <x:v>系统概要或共同业务条款：已保留全文，不用端侧用例数量反推本条完整覆盖；跨段等价映射尚未逐项闭合。</x:v>
      </x:c>
    </x:row>
    <x:row r="6" ht="44" customHeight="1">
      <x:c r="A6" s="4" t="str">
        <x:v>概要-19</x:v>
      </x:c>
      <x:c r="B6" s="4" t="str">
        <x:v>系统概要与公共规则</x:v>
      </x:c>
      <x:c r="C6" s="4" t="n">
        <x:v>19</x:v>
      </x:c>
      <x:c r="D6" s="4" t="str">
        <x:v>|平台|通过管理后台负责审核、运营、风控和财务核算，并在线下与主播完成分成结算。|</x:v>
      </x:c>
      <x:c r="E6" s="4" t="str">
        <x:v>尚未建立场景映射</x:v>
      </x:c>
      <x:c r="F6" s="4" t="str"/>
      <x:c r="G6" s="4" t="str">
        <x:v>系统概要或共同业务条款：已保留全文，不用端侧用例数量反推本条完整覆盖；跨段等价映射尚未逐项闭合。</x:v>
      </x:c>
    </x:row>
    <x:row r="7" ht="44" customHeight="1">
      <x:c r="A7" s="4" t="str">
        <x:v>概要-23</x:v>
      </x:c>
      <x:c r="B7" s="4" t="str">
        <x:v>系统概要与公共规则</x:v>
      </x:c>
      <x:c r="C7" s="4" t="n">
        <x:v>23</x:v>
      </x:c>
      <x:c r="D7" s="4" t="str">
        <x:v>- 用户端/主播端：中文/英文/印尼/马来</x:v>
      </x:c>
      <x:c r="E7" s="4" t="str">
        <x:v>尚未建立场景映射</x:v>
      </x:c>
      <x:c r="F7" s="4" t="str"/>
      <x:c r="G7" s="4" t="str">
        <x:v>系统概要或共同业务条款：已保留全文，不用端侧用例数量反推本条完整覆盖；跨段等价映射尚未逐项闭合。</x:v>
      </x:c>
    </x:row>
    <x:row r="8" ht="44" customHeight="1">
      <x:c r="A8" s="4" t="str">
        <x:v>概要-25</x:v>
      </x:c>
      <x:c r="B8" s="4" t="str">
        <x:v>系统概要与公共规则</x:v>
      </x:c>
      <x:c r="C8" s="4" t="n">
        <x:v>25</x:v>
      </x:c>
      <x:c r="D8" s="4" t="str">
        <x:v>- 公会端：中文/英文/印尼/马来</x:v>
      </x:c>
      <x:c r="E8" s="4" t="str">
        <x:v>尚未建立场景映射</x:v>
      </x:c>
      <x:c r="F8" s="4" t="str"/>
      <x:c r="G8" s="4" t="str">
        <x:v>系统概要或共同业务条款：已保留全文，不用端侧用例数量反推本条完整覆盖；跨段等价映射尚未逐项闭合。</x:v>
      </x:c>
    </x:row>
    <x:row r="9" ht="44" customHeight="1">
      <x:c r="A9" s="4" t="str">
        <x:v>概要-27</x:v>
      </x:c>
      <x:c r="B9" s="4" t="str">
        <x:v>系统概要与公共规则</x:v>
      </x:c>
      <x:c r="C9" s="4" t="n">
        <x:v>27</x:v>
      </x:c>
      <x:c r="D9" s="4" t="str">
        <x:v>- 管理后台：中文</x:v>
      </x:c>
      <x:c r="E9" s="4" t="str">
        <x:v>尚未建立场景映射</x:v>
      </x:c>
      <x:c r="F9" s="4" t="str"/>
      <x:c r="G9" s="4" t="str">
        <x:v>系统概要或共同业务条款：已保留全文，不用端侧用例数量反推本条完整覆盖；跨段等价映射尚未逐项闭合。</x:v>
      </x:c>
    </x:row>
    <x:row r="10" ht="44" customHeight="1">
      <x:c r="A10" s="4" t="str">
        <x:v>概要-35</x:v>
      </x:c>
      <x:c r="B10" s="4" t="str">
        <x:v>系统概要与公共规则</x:v>
      </x:c>
      <x:c r="C10" s="4" t="n">
        <x:v>35</x:v>
      </x:c>
      <x:c r="D10" s="4" t="str">
        <x:v>|用例名称|概要说明|</x:v>
      </x:c>
      <x:c r="E10" s="4" t="str">
        <x:v>尚未建立场景映射</x:v>
      </x:c>
      <x:c r="F10" s="4" t="str"/>
      <x:c r="G10" s="4" t="str">
        <x:v>系统概要或共同业务条款：已保留全文，不用端侧用例数量反推本条完整覆盖；跨段等价映射尚未逐项闭合。</x:v>
      </x:c>
    </x:row>
    <x:row r="11" ht="44" customHeight="1">
      <x:c r="A11" s="4" t="str">
        <x:v>概要-37</x:v>
      </x:c>
      <x:c r="B11" s="4" t="str">
        <x:v>系统概要与公共规则</x:v>
      </x:c>
      <x:c r="C11" s="4" t="n">
        <x:v>37</x:v>
      </x:c>
      <x:c r="D11" s="4" t="str">
        <x:v>|管理账号|注册、登录、退出、重置密码和注销账号。|</x:v>
      </x:c>
      <x:c r="E11" s="4" t="str">
        <x:v>尚未建立场景映射</x:v>
      </x:c>
      <x:c r="F11" s="4" t="str"/>
      <x:c r="G11" s="4" t="str">
        <x:v>系统概要或共同业务条款：已保留全文，不用端侧用例数量反推本条完整覆盖；跨段等价映射尚未逐项闭合。</x:v>
      </x:c>
    </x:row>
    <x:row r="12" ht="44" customHeight="1">
      <x:c r="A12" s="4" t="str">
        <x:v>概要-38</x:v>
      </x:c>
      <x:c r="B12" s="4" t="str">
        <x:v>系统概要与公共规则</x:v>
      </x:c>
      <x:c r="C12" s="4" t="n">
        <x:v>38</x:v>
      </x:c>
      <x:c r="D12" s="4" t="str">
        <x:v>|维护个人信息|维护个人资料、隐私、通知、语言及装扮设置。|</x:v>
      </x:c>
      <x:c r="E12" s="4" t="str">
        <x:v>尚未建立场景映射</x:v>
      </x:c>
      <x:c r="F12" s="4" t="str"/>
      <x:c r="G12" s="4" t="str">
        <x:v>系统概要或共同业务条款：已保留全文，不用端侧用例数量反推本条完整覆盖；跨段等价映射尚未逐项闭合。</x:v>
      </x:c>
    </x:row>
    <x:row r="13" ht="44" customHeight="1">
      <x:c r="A13" s="4" t="str">
        <x:v>概要-39</x:v>
      </x:c>
      <x:c r="B13" s="4" t="str">
        <x:v>系统概要与公共规则</x:v>
      </x:c>
      <x:c r="C13" s="4" t="n">
        <x:v>39</x:v>
      </x:c>
      <x:c r="D13" s="4" t="str">
        <x:v>|观看直播|进入普通房、门票房或密码房并观看直播。|</x:v>
      </x:c>
      <x:c r="E13" s="4" t="str">
        <x:v>尚未建立场景映射</x:v>
      </x:c>
      <x:c r="F13" s="4" t="str"/>
      <x:c r="G13" s="4" t="str">
        <x:v>系统概要或共同业务条款：已保留全文，不用端侧用例数量反推本条完整覆盖；跨段等价映射尚未逐项闭合。</x:v>
      </x:c>
    </x:row>
    <x:row r="14" ht="44" customHeight="1">
      <x:c r="A14" s="4" t="str">
        <x:v>概要-40</x:v>
      </x:c>
      <x:c r="B14" s="4" t="str">
        <x:v>系统概要与公共规则</x:v>
      </x:c>
      <x:c r="C14" s="4" t="n">
        <x:v>40</x:v>
      </x:c>
      <x:c r="D14" s="4" t="str">
        <x:v>|直播互动|发送公屏消息、点赞、关注和分享直播。|</x:v>
      </x:c>
      <x:c r="E14" s="4" t="str">
        <x:v>尚未建立场景映射</x:v>
      </x:c>
      <x:c r="F14" s="4" t="str"/>
      <x:c r="G14" s="4" t="str">
        <x:v>系统概要或共同业务条款：已保留全文，不用端侧用例数量反推本条完整覆盖；跨段等价映射尚未逐项闭合。</x:v>
      </x:c>
    </x:row>
    <x:row r="15" ht="44" customHeight="1">
      <x:c r="A15" s="4" t="str">
        <x:v>概要-41</x:v>
      </x:c>
      <x:c r="B15" s="4" t="str">
        <x:v>系统概要与公共规则</x:v>
      </x:c>
      <x:c r="C15" s="4" t="n">
        <x:v>41</x:v>
      </x:c>
      <x:c r="D15" s="4" t="str">
        <x:v>|赠送礼物|赠送常规、连续或幸运礼物，并接收赠送及中奖结果。|</x:v>
      </x:c>
      <x:c r="E15" s="4" t="str">
        <x:v>尚未建立场景映射</x:v>
      </x:c>
      <x:c r="F15" s="4" t="str"/>
      <x:c r="G15" s="4" t="str">
        <x:v>系统概要或共同业务条款：已保留全文，不用端侧用例数量反推本条完整覆盖；跨段等价映射尚未逐项闭合。</x:v>
      </x:c>
    </x:row>
    <x:row r="16" ht="44" customHeight="1">
      <x:c r="A16" s="4" t="str">
        <x:v>概要-42</x:v>
      </x:c>
      <x:c r="B16" s="4" t="str">
        <x:v>系统概要与公共规则</x:v>
      </x:c>
      <x:c r="C16" s="4" t="n">
        <x:v>42</x:v>
      </x:c>
      <x:c r="D16" s="4" t="str">
        <x:v>|参与平台活动|参与签到、任务和邀请活动。|</x:v>
      </x:c>
      <x:c r="E16" s="4" t="str">
        <x:v>尚未建立场景映射</x:v>
      </x:c>
      <x:c r="F16" s="4" t="str"/>
      <x:c r="G16" s="4" t="str">
        <x:v>系统概要或共同业务条款：已保留全文，不用端侧用例数量反推本条完整覆盖；跨段等价映射尚未逐项闭合。</x:v>
      </x:c>
    </x:row>
    <x:row r="17" ht="44" customHeight="1">
      <x:c r="A17" s="4" t="str">
        <x:v>概要-43</x:v>
      </x:c>
      <x:c r="B17" s="4" t="str">
        <x:v>系统概要与公共规则</x:v>
      </x:c>
      <x:c r="C17" s="4" t="n">
        <x:v>43</x:v>
      </x:c>
      <x:c r="D17" s="4" t="str">
        <x:v>|管理社交关系|管理关注、好友、私信和账号拉黑关系。|</x:v>
      </x:c>
      <x:c r="E17" s="4" t="str">
        <x:v>尚未建立场景映射</x:v>
      </x:c>
      <x:c r="F17" s="4" t="str"/>
      <x:c r="G17" s="4" t="str">
        <x:v>系统概要或共同业务条款：已保留全文，不用端侧用例数量反推本条完整覆盖；跨段等价映射尚未逐项闭合。</x:v>
      </x:c>
    </x:row>
    <x:row r="18" ht="44" customHeight="1">
      <x:c r="A18" s="4" t="str">
        <x:v>概要-44</x:v>
      </x:c>
      <x:c r="B18" s="4" t="str">
        <x:v>系统概要与公共规则</x:v>
      </x:c>
      <x:c r="C18" s="4" t="n">
        <x:v>44</x:v>
      </x:c>
      <x:c r="D18" s="4" t="str">
        <x:v>|管理粉丝团关系|加入或退出粉丝团并参与粉丝团群聊。|</x:v>
      </x:c>
      <x:c r="E18" s="4" t="str">
        <x:v>尚未建立场景映射</x:v>
      </x:c>
      <x:c r="F18" s="4" t="str"/>
      <x:c r="G18" s="4" t="str">
        <x:v>系统概要或共同业务条款：已保留全文，不用端侧用例数量反推本条完整覆盖；跨段等价映射尚未逐项闭合。</x:v>
      </x:c>
    </x:row>
    <x:row r="19" ht="44" customHeight="1">
      <x:c r="A19" s="4" t="str">
        <x:v>概要-45</x:v>
      </x:c>
      <x:c r="B19" s="4" t="str">
        <x:v>系统概要与公共规则</x:v>
      </x:c>
      <x:c r="C19" s="4" t="n">
        <x:v>45</x:v>
      </x:c>
      <x:c r="D19" s="4" t="str">
        <x:v>|充值和消费金币|充值金币，并使用金币购买门票或赠送礼物。|</x:v>
      </x:c>
      <x:c r="E19" s="4" t="str">
        <x:v>尚未建立场景映射</x:v>
      </x:c>
      <x:c r="F19" s="4" t="str"/>
      <x:c r="G19" s="4" t="str">
        <x:v>系统概要或共同业务条款：已保留全文，不用端侧用例数量反推本条完整覆盖；跨段等价映射尚未逐项闭合。</x:v>
      </x:c>
    </x:row>
    <x:row r="20" ht="44" customHeight="1">
      <x:c r="A20" s="4" t="str">
        <x:v>概要-46</x:v>
      </x:c>
      <x:c r="B20" s="4" t="str">
        <x:v>系统概要与公共规则</x:v>
      </x:c>
      <x:c r="C20" s="4" t="n">
        <x:v>46</x:v>
      </x:c>
      <x:c r="D20" s="4" t="str">
        <x:v>|管理公会关系|申请加入或退出公会。|</x:v>
      </x:c>
      <x:c r="E20" s="4" t="str">
        <x:v>尚未建立场景映射</x:v>
      </x:c>
      <x:c r="F20" s="4" t="str"/>
      <x:c r="G20" s="4" t="str">
        <x:v>系统概要或共同业务条款：已保留全文，不用端侧用例数量反推本条完整覆盖；跨段等价映射尚未逐项闭合。</x:v>
      </x:c>
    </x:row>
    <x:row r="21" ht="44" customHeight="1">
      <x:c r="A21" s="4" t="str">
        <x:v>概要-47</x:v>
      </x:c>
      <x:c r="B21" s="4" t="str">
        <x:v>系统概要与公共规则</x:v>
      </x:c>
      <x:c r="C21" s="4" t="n">
        <x:v>47</x:v>
      </x:c>
      <x:c r="D21" s="4" t="str">
        <x:v>|举报|举报用户、主播|</x:v>
      </x:c>
      <x:c r="E21" s="4" t="str">
        <x:v>尚未建立场景映射</x:v>
      </x:c>
      <x:c r="F21" s="4" t="str"/>
      <x:c r="G21" s="4" t="str">
        <x:v>系统概要或共同业务条款：已保留全文，不用端侧用例数量反推本条完整覆盖；跨段等价映射尚未逐项闭合。</x:v>
      </x:c>
    </x:row>
    <x:row r="22" ht="44" customHeight="1">
      <x:c r="A22" s="4" t="str">
        <x:v>概要-53</x:v>
      </x:c>
      <x:c r="B22" s="4" t="str">
        <x:v>系统概要与公共规则</x:v>
      </x:c>
      <x:c r="C22" s="4" t="n">
        <x:v>53</x:v>
      </x:c>
      <x:c r="D22" s="4" t="str">
        <x:v>|用例名称|概要说明|</x:v>
      </x:c>
      <x:c r="E22" s="4" t="str">
        <x:v>尚未建立场景映射</x:v>
      </x:c>
      <x:c r="F22" s="4" t="str"/>
      <x:c r="G22" s="4" t="str">
        <x:v>系统概要或共同业务条款：已保留全文，不用端侧用例数量反推本条完整覆盖；跨段等价映射尚未逐项闭合。</x:v>
      </x:c>
    </x:row>
    <x:row r="23" ht="44" customHeight="1">
      <x:c r="A23" s="4" t="str">
        <x:v>概要-55</x:v>
      </x:c>
      <x:c r="B23" s="4" t="str">
        <x:v>系统概要与公共规则</x:v>
      </x:c>
      <x:c r="C23" s="4" t="n">
        <x:v>55</x:v>
      </x:c>
      <x:c r="D23" s="4" t="str">
        <x:v>|管理主播认证和直播权限|提交或补充认证资料，处理主播身份和直播权限状态。|</x:v>
      </x:c>
      <x:c r="E23" s="4" t="str">
        <x:v>尚未建立场景映射</x:v>
      </x:c>
      <x:c r="F23" s="4" t="str"/>
      <x:c r="G23" s="4" t="str">
        <x:v>系统概要或共同业务条款：已保留全文，不用端侧用例数量反推本条完整覆盖；跨段等价映射尚未逐项闭合。</x:v>
      </x:c>
    </x:row>
    <x:row r="24" ht="44" customHeight="1">
      <x:c r="A24" s="4" t="str">
        <x:v>概要-56</x:v>
      </x:c>
      <x:c r="B24" s="4" t="str">
        <x:v>系统概要与公共规则</x:v>
      </x:c>
      <x:c r="C24" s="4" t="n">
        <x:v>56</x:v>
      </x:c>
      <x:c r="D24" s="4" t="str">
        <x:v>|配置并开始直播|设置直播信息、房间类型和画面参数后开始直播。|</x:v>
      </x:c>
      <x:c r="E24" s="4" t="str">
        <x:v>尚未建立场景映射</x:v>
      </x:c>
      <x:c r="F24" s="4" t="str"/>
      <x:c r="G24" s="4" t="str">
        <x:v>系统概要或共同业务条款：已保留全文，不用端侧用例数量反推本条完整覆盖；跨段等价映射尚未逐项闭合。</x:v>
      </x:c>
    </x:row>
    <x:row r="25" ht="44" customHeight="1">
      <x:c r="A25" s="4" t="str">
        <x:v>概要-57</x:v>
      </x:c>
      <x:c r="B25" s="4" t="str">
        <x:v>系统概要与公共规则</x:v>
      </x:c>
      <x:c r="C25" s="4" t="n">
        <x:v>57</x:v>
      </x:c>
      <x:c r="D25" s="4" t="str">
        <x:v>|经营并结束直播|管理直播过程中的观众互动并结束直播。|</x:v>
      </x:c>
      <x:c r="E25" s="4" t="str">
        <x:v>尚未建立场景映射</x:v>
      </x:c>
      <x:c r="F25" s="4" t="str"/>
      <x:c r="G25" s="4" t="str">
        <x:v>系统概要或共同业务条款：已保留全文，不用端侧用例数量反推本条完整覆盖；跨段等价映射尚未逐项闭合。</x:v>
      </x:c>
    </x:row>
    <x:row r="26" ht="44" customHeight="1">
      <x:c r="A26" s="4" t="str">
        <x:v>概要-58</x:v>
      </x:c>
      <x:c r="B26" s="4" t="str">
        <x:v>系统概要与公共规则</x:v>
      </x:c>
      <x:c r="C26" s="4" t="n">
        <x:v>58</x:v>
      </x:c>
      <x:c r="D26" s="4" t="str">
        <x:v>|管理直播间秩序|清屏、禁言、踢出、管理黑名单。|</x:v>
      </x:c>
      <x:c r="E26" s="4" t="str">
        <x:v>尚未建立场景映射</x:v>
      </x:c>
      <x:c r="F26" s="4" t="str"/>
      <x:c r="G26" s="4" t="str">
        <x:v>系统概要或共同业务条款：已保留全文，不用端侧用例数量反推本条完整覆盖；跨段等价映射尚未逐项闭合。</x:v>
      </x:c>
    </x:row>
    <x:row r="27" ht="44" customHeight="1">
      <x:c r="A27" s="4" t="str">
        <x:v>概要-59</x:v>
      </x:c>
      <x:c r="B27" s="4" t="str">
        <x:v>系统概要与公共规则</x:v>
      </x:c>
      <x:c r="C27" s="4" t="n">
        <x:v>59</x:v>
      </x:c>
      <x:c r="D27" s="4" t="str">
        <x:v>|管理连麦|发起、接受和结束主播连麦。|</x:v>
      </x:c>
      <x:c r="E27" s="4" t="str">
        <x:v>尚未建立场景映射</x:v>
      </x:c>
      <x:c r="F27" s="4" t="str"/>
      <x:c r="G27" s="4" t="str">
        <x:v>系统概要或共同业务条款：已保留全文，不用端侧用例数量反推本条完整覆盖；跨段等价映射尚未逐项闭合。</x:v>
      </x:c>
    </x:row>
    <x:row r="28" ht="44" customHeight="1">
      <x:c r="A28" s="4" t="str">
        <x:v>概要-60</x:v>
      </x:c>
      <x:c r="B28" s="4" t="str">
        <x:v>系统概要与公共规则</x:v>
      </x:c>
      <x:c r="C28" s="4" t="n">
        <x:v>60</x:v>
      </x:c>
      <x:c r="D28" s="4" t="str">
        <x:v>|管理粉丝团|创建并设置粉丝团，管理成员、群聊和禁言。|</x:v>
      </x:c>
      <x:c r="E28" s="4" t="str">
        <x:v>尚未建立场景映射</x:v>
      </x:c>
      <x:c r="F28" s="4" t="str"/>
      <x:c r="G28" s="4" t="str">
        <x:v>系统概要或共同业务条款：已保留全文，不用端侧用例数量反推本条完整覆盖；跨段等价映射尚未逐项闭合。</x:v>
      </x:c>
    </x:row>
    <x:row r="29" ht="44" customHeight="1">
      <x:c r="A29" s="4" t="str">
        <x:v>概要-61</x:v>
      </x:c>
      <x:c r="B29" s="4" t="str">
        <x:v>系统概要与公共规则</x:v>
      </x:c>
      <x:c r="C29" s="4" t="n">
        <x:v>61</x:v>
      </x:c>
      <x:c r="D29" s="4" t="str">
        <x:v>|管理房管|添加、移除房管，在直播间内执行禁言、踢出和评论管理。|</x:v>
      </x:c>
      <x:c r="E29" s="4" t="str">
        <x:v>尚未建立场景映射</x:v>
      </x:c>
      <x:c r="F29" s="4" t="str"/>
      <x:c r="G29" s="4" t="str">
        <x:v>系统概要或共同业务条款：已保留全文，不用端侧用例数量反推本条完整覆盖；跨段等价映射尚未逐项闭合。</x:v>
      </x:c>
    </x:row>
    <x:row r="30" ht="44" customHeight="1">
      <x:c r="A30" s="4" t="str">
        <x:v>概要-65</x:v>
      </x:c>
      <x:c r="B30" s="4" t="str">
        <x:v>系统概要与公共规则</x:v>
      </x:c>
      <x:c r="C30" s="4" t="n">
        <x:v>65</x:v>
      </x:c>
      <x:c r="D30" s="4" t="str">
        <x:v>|用例名称|概要说明|</x:v>
      </x:c>
      <x:c r="E30" s="4" t="str">
        <x:v>尚未建立场景映射</x:v>
      </x:c>
      <x:c r="F30" s="4" t="str"/>
      <x:c r="G30" s="4" t="str">
        <x:v>系统概要或共同业务条款：已保留全文，不用端侧用例数量反推本条完整覆盖；跨段等价映射尚未逐项闭合。</x:v>
      </x:c>
    </x:row>
    <x:row r="31" ht="44" customHeight="1">
      <x:c r="A31" s="4" t="str">
        <x:v>概要-67</x:v>
      </x:c>
      <x:c r="B31" s="4" t="str">
        <x:v>系统概要与公共规则</x:v>
      </x:c>
      <x:c r="C31" s="4" t="n">
        <x:v>67</x:v>
      </x:c>
      <x:c r="D31" s="4" t="str">
        <x:v>|管理公会信息|维护公会资料、公告和公会账号。|</x:v>
      </x:c>
      <x:c r="E31" s="4" t="str">
        <x:v>尚未建立场景映射</x:v>
      </x:c>
      <x:c r="F31" s="4" t="str"/>
      <x:c r="G31" s="4" t="str">
        <x:v>系统概要或共同业务条款：已保留全文，不用端侧用例数量反推本条完整覆盖；跨段等价映射尚未逐项闭合。</x:v>
      </x:c>
    </x:row>
    <x:row r="32" ht="44" customHeight="1">
      <x:c r="A32" s="4" t="str">
        <x:v>概要-68</x:v>
      </x:c>
      <x:c r="B32" s="4" t="str">
        <x:v>系统概要与公共规则</x:v>
      </x:c>
      <x:c r="C32" s="4" t="n">
        <x:v>68</x:v>
      </x:c>
      <x:c r="D32" s="4" t="str">
        <x:v>|管理公会主播|审批入会和退会申请，并管理名下主播及其状态。|</x:v>
      </x:c>
      <x:c r="E32" s="4" t="str">
        <x:v>尚未建立场景映射</x:v>
      </x:c>
      <x:c r="F32" s="4" t="str"/>
      <x:c r="G32" s="4" t="str">
        <x:v>系统概要或共同业务条款：已保留全文，不用端侧用例数量反推本条完整覆盖；跨段等价映射尚未逐项闭合。</x:v>
      </x:c>
    </x:row>
    <x:row r="33" ht="44" customHeight="1">
      <x:c r="A33" s="4" t="str">
        <x:v>概要-69</x:v>
      </x:c>
      <x:c r="B33" s="4" t="str">
        <x:v>系统概要与公共规则</x:v>
      </x:c>
      <x:c r="C33" s="4" t="n">
        <x:v>69</x:v>
      </x:c>
      <x:c r="D33" s="4" t="str">
        <x:v>|管理直播权限|在平台授权范围内开启或关闭主播直播权限。|</x:v>
      </x:c>
      <x:c r="E33" s="4" t="str">
        <x:v>尚未建立场景映射</x:v>
      </x:c>
      <x:c r="F33" s="4" t="str"/>
      <x:c r="G33" s="4" t="str">
        <x:v>系统概要或共同业务条款：已保留全文，不用端侧用例数量反推本条完整覆盖；跨段等价映射尚未逐项闭合。</x:v>
      </x:c>
    </x:row>
    <x:row r="34" ht="44" customHeight="1">
      <x:c r="A34" s="4" t="str">
        <x:v>概要-70</x:v>
      </x:c>
      <x:c r="B34" s="4" t="str">
        <x:v>系统概要与公共规则</x:v>
      </x:c>
      <x:c r="C34" s="4" t="n">
        <x:v>70</x:v>
      </x:c>
      <x:c r="D34" s="4" t="str">
        <x:v>|开展公会运营|向名下主播发送运营消息。|</x:v>
      </x:c>
      <x:c r="E34" s="4" t="str">
        <x:v>尚未建立场景映射</x:v>
      </x:c>
      <x:c r="F34" s="4" t="str"/>
      <x:c r="G34" s="4" t="str">
        <x:v>系统概要或共同业务条款：已保留全文，不用端侧用例数量反推本条完整覆盖；跨段等价映射尚未逐项闭合。</x:v>
      </x:c>
    </x:row>
    <x:row r="35" ht="44" customHeight="1">
      <x:c r="A35" s="4" t="str">
        <x:v>概要-71</x:v>
      </x:c>
      <x:c r="B35" s="4" t="str">
        <x:v>系统概要与公共规则</x:v>
      </x:c>
      <x:c r="C35" s="4" t="n">
        <x:v>71</x:v>
      </x:c>
      <x:c r="D35" s="4" t="str">
        <x:v>|管理运营账号和虚拟金币|创建、启停本公会运营账号，并在平台额度内发放虚拟金币。|</x:v>
      </x:c>
      <x:c r="E35" s="4" t="str">
        <x:v>尚未建立场景映射</x:v>
      </x:c>
      <x:c r="F35" s="4" t="str"/>
      <x:c r="G35" s="4" t="str">
        <x:v>系统概要或共同业务条款：已保留全文，不用端侧用例数量反推本条完整覆盖；跨段等价映射尚未逐项闭合。</x:v>
      </x:c>
    </x:row>
    <x:row r="36" ht="44" customHeight="1">
      <x:c r="A36" s="4" t="str">
        <x:v>概要-75</x:v>
      </x:c>
      <x:c r="B36" s="4" t="str">
        <x:v>系统概要与公共规则</x:v>
      </x:c>
      <x:c r="C36" s="4" t="n">
        <x:v>75</x:v>
      </x:c>
      <x:c r="D36" s="4" t="str">
        <x:v>|用例名称|概要说明|</x:v>
      </x:c>
      <x:c r="E36" s="4" t="str">
        <x:v>尚未建立场景映射</x:v>
      </x:c>
      <x:c r="F36" s="4" t="str"/>
      <x:c r="G36" s="4" t="str">
        <x:v>系统概要或共同业务条款：已保留全文，不用端侧用例数量反推本条完整覆盖；跨段等价映射尚未逐项闭合。</x:v>
      </x:c>
    </x:row>
    <x:row r="37" ht="44" customHeight="1">
      <x:c r="A37" s="4" t="str">
        <x:v>概要-77</x:v>
      </x:c>
      <x:c r="B37" s="4" t="str">
        <x:v>系统概要与公共规则</x:v>
      </x:c>
      <x:c r="C37" s="4" t="n">
        <x:v>77</x:v>
      </x:c>
      <x:c r="D37" s="4" t="str">
        <x:v>|管理用户|管理用户资料、账号状态、封禁。|</x:v>
      </x:c>
      <x:c r="E37" s="4" t="str">
        <x:v>尚未建立场景映射</x:v>
      </x:c>
      <x:c r="F37" s="4" t="str"/>
      <x:c r="G37" s="4" t="str">
        <x:v>系统概要或共同业务条款：已保留全文，不用端侧用例数量反推本条完整覆盖；跨段等价映射尚未逐项闭合。</x:v>
      </x:c>
    </x:row>
    <x:row r="38" ht="44" customHeight="1">
      <x:c r="A38" s="4" t="str">
        <x:v>概要-78</x:v>
      </x:c>
      <x:c r="B38" s="4" t="str">
        <x:v>系统概要与公共规则</x:v>
      </x:c>
      <x:c r="C38" s="4" t="n">
        <x:v>78</x:v>
      </x:c>
      <x:c r="D38" s="4" t="str">
        <x:v>|管理主播|审核主播认证，管理直播权限及主播封禁。|</x:v>
      </x:c>
      <x:c r="E38" s="4" t="str">
        <x:v>尚未建立场景映射</x:v>
      </x:c>
      <x:c r="F38" s="4" t="str"/>
      <x:c r="G38" s="4" t="str">
        <x:v>系统概要或共同业务条款：已保留全文，不用端侧用例数量反推本条完整覆盖；跨段等价映射尚未逐项闭合。</x:v>
      </x:c>
    </x:row>
    <x:row r="39" ht="44" customHeight="1">
      <x:c r="A39" s="4" t="str">
        <x:v>概要-79</x:v>
      </x:c>
      <x:c r="B39" s="4" t="str">
        <x:v>系统概要与公共规则</x:v>
      </x:c>
      <x:c r="C39" s="4" t="n">
        <x:v>79</x:v>
      </x:c>
      <x:c r="D39" s="4" t="str">
        <x:v>|管理公会|创建、启停或解散公会，并管理公会长和登录账号。|</x:v>
      </x:c>
      <x:c r="E39" s="4" t="str">
        <x:v>尚未建立场景映射</x:v>
      </x:c>
      <x:c r="F39" s="4" t="str"/>
      <x:c r="G39" s="4" t="str">
        <x:v>系统概要或共同业务条款：已保留全文，不用端侧用例数量反推本条完整覆盖；跨段等价映射尚未逐项闭合。</x:v>
      </x:c>
    </x:row>
    <x:row r="40" ht="44" customHeight="1">
      <x:c r="A40" s="4" t="str">
        <x:v>概要-80</x:v>
      </x:c>
      <x:c r="B40" s="4" t="str">
        <x:v>系统概要与公共规则</x:v>
      </x:c>
      <x:c r="C40" s="4" t="n">
        <x:v>80</x:v>
      </x:c>
      <x:c r="D40" s="4" t="str">
        <x:v>|监控和处置直播|监控、巡查和抽检直播，并执行警告、关播或断流。|</x:v>
      </x:c>
      <x:c r="E40" s="4" t="str">
        <x:v>尚未建立场景映射</x:v>
      </x:c>
      <x:c r="F40" s="4" t="str"/>
      <x:c r="G40" s="4" t="str">
        <x:v>系统概要或共同业务条款：已保留全文，不用端侧用例数量反推本条完整覆盖；跨段等价映射尚未逐项闭合。</x:v>
      </x:c>
    </x:row>
    <x:row r="41" ht="44" customHeight="1">
      <x:c r="A41" s="4" t="str">
        <x:v>概要-81</x:v>
      </x:c>
      <x:c r="B41" s="4" t="str">
        <x:v>系统概要与公共规则</x:v>
      </x:c>
      <x:c r="C41" s="4" t="n">
        <x:v>81</x:v>
      </x:c>
      <x:c r="D41" s="4" t="str">
        <x:v>|内容审核与违规处置|处理机审告警、人工复审、举报，进行关播、关播直播权限、封禁操作。|</x:v>
      </x:c>
      <x:c r="E41" s="4" t="str">
        <x:v>尚未建立场景映射</x:v>
      </x:c>
      <x:c r="F41" s="4" t="str"/>
      <x:c r="G41" s="4" t="str">
        <x:v>系统概要或共同业务条款：已保留全文，不用端侧用例数量反推本条完整覆盖；跨段等价映射尚未逐项闭合。</x:v>
      </x:c>
    </x:row>
    <x:row r="42" ht="44" customHeight="1">
      <x:c r="A42" s="4" t="str">
        <x:v>概要-82</x:v>
      </x:c>
      <x:c r="B42" s="4" t="str">
        <x:v>系统概要与公共规则</x:v>
      </x:c>
      <x:c r="C42" s="4" t="n">
        <x:v>82</x:v>
      </x:c>
      <x:c r="D42" s="4" t="str">
        <x:v>|配置礼物、商品及分成规则|管理礼物、商品 SKU、道具及其分成规则。|</x:v>
      </x:c>
      <x:c r="E42" s="4" t="str">
        <x:v>尚未建立场景映射</x:v>
      </x:c>
      <x:c r="F42" s="4" t="str"/>
      <x:c r="G42" s="4" t="str">
        <x:v>系统概要或共同业务条款：已保留全文，不用端侧用例数量反推本条完整覆盖；跨段等价映射尚未逐项闭合。</x:v>
      </x:c>
    </x:row>
    <x:row r="43" ht="44" customHeight="1">
      <x:c r="A43" s="4" t="str">
        <x:v>概要-83</x:v>
      </x:c>
      <x:c r="B43" s="4" t="str">
        <x:v>系统概要与公共规则</x:v>
      </x:c>
      <x:c r="C43" s="4" t="n">
        <x:v>83</x:v>
      </x:c>
      <x:c r="D43" s="4" t="str">
        <x:v>|配置运营内容|管理展示位、推送、榜单、充值、签到、任务和公会推荐。|</x:v>
      </x:c>
      <x:c r="E43" s="4" t="str">
        <x:v>尚未建立场景映射</x:v>
      </x:c>
      <x:c r="F43" s="4" t="str"/>
      <x:c r="G43" s="4" t="str">
        <x:v>系统概要或共同业务条款：已保留全文，不用端侧用例数量反推本条完整覆盖；跨段等价映射尚未逐项闭合。</x:v>
      </x:c>
    </x:row>
    <x:row r="44" ht="44" customHeight="1">
      <x:c r="A44" s="4" t="str">
        <x:v>概要-84</x:v>
      </x:c>
      <x:c r="B44" s="4" t="str">
        <x:v>系统概要与公共规则</x:v>
      </x:c>
      <x:c r="C44" s="4" t="n">
        <x:v>84</x:v>
      </x:c>
      <x:c r="D44" s="4" t="str">
        <x:v>|管理充值订单退款与渠道账务|处理充值订单退款、拒付、渠道对账和资金对账。|</x:v>
      </x:c>
      <x:c r="E44" s="4" t="str">
        <x:v>尚未建立场景映射</x:v>
      </x:c>
      <x:c r="F44" s="4" t="str"/>
      <x:c r="G44" s="4" t="str">
        <x:v>系统概要或共同业务条款：已保留全文，不用端侧用例数量反推本条完整覆盖；跨段等价映射尚未逐项闭合。</x:v>
      </x:c>
    </x:row>
    <x:row r="45" ht="44" customHeight="1">
      <x:c r="A45" s="4" t="str">
        <x:v>概要-85</x:v>
      </x:c>
      <x:c r="B45" s="4" t="str">
        <x:v>系统概要与公共规则</x:v>
      </x:c>
      <x:c r="C45" s="4" t="n">
        <x:v>85</x:v>
      </x:c>
      <x:c r="D45" s="4" t="str">
        <x:v>|核算并记录分成结算|由平台财务核算主播收益，并记录线下结算结果。|</x:v>
      </x:c>
      <x:c r="E45" s="4" t="str">
        <x:v>尚未建立场景映射</x:v>
      </x:c>
      <x:c r="F45" s="4" t="str"/>
      <x:c r="G45" s="4" t="str">
        <x:v>系统概要或共同业务条款：已保留全文，不用端侧用例数量反推本条完整覆盖；跨段等价映射尚未逐项闭合。</x:v>
      </x:c>
    </x:row>
    <x:row r="46" ht="44" customHeight="1">
      <x:c r="A46" s="4" t="str">
        <x:v>概要-86</x:v>
      </x:c>
      <x:c r="B46" s="4" t="str">
        <x:v>系统概要与公共规则</x:v>
      </x:c>
      <x:c r="C46" s="4" t="n">
        <x:v>86</x:v>
      </x:c>
      <x:c r="D46" s="4" t="str">
        <x:v>|管理运营账号与虚拟金币|启停运营账号，管理公会管理账号权限，限制虚拟金币额度发放。|</x:v>
      </x:c>
      <x:c r="E46" s="4" t="str">
        <x:v>尚未建立场景映射</x:v>
      </x:c>
      <x:c r="F46" s="4" t="str"/>
      <x:c r="G46" s="4" t="str">
        <x:v>系统概要或共同业务条款：已保留全文，不用端侧用例数量反推本条完整覆盖；跨段等价映射尚未逐项闭合。</x:v>
      </x:c>
    </x:row>
    <x:row r="47" ht="44" customHeight="1">
      <x:c r="A47" s="4" t="str">
        <x:v>概要-96</x:v>
      </x:c>
      <x:c r="B47" s="4" t="str">
        <x:v>系统概要与公共规则</x:v>
      </x:c>
      <x:c r="C47" s="4" t="n">
        <x:v>96</x:v>
      </x:c>
      <x:c r="D47" s="4" t="str">
        <x:v>- 用户成为主播，需上传认证资料（ktp身份证或驾照）并提交入会申请。公会初审和平台终审均通过后，加入公会并获得主播身份。</x:v>
      </x:c>
      <x:c r="E47" s="4" t="str">
        <x:v>尚未建立场景映射</x:v>
      </x:c>
      <x:c r="F47" s="4" t="str"/>
      <x:c r="G47" s="4" t="str">
        <x:v>系统概要或共同业务条款：已保留全文，不用端侧用例数量反推本条完整覆盖；跨段等价映射尚未逐项闭合。</x:v>
      </x:c>
    </x:row>
    <x:row r="48" ht="44" customHeight="1">
      <x:c r="A48" s="4" t="str">
        <x:v>概要-98</x:v>
      </x:c>
      <x:c r="B48" s="4" t="str">
        <x:v>系统概要与公共规则</x:v>
      </x:c>
      <x:c r="C48" s="4" t="n">
        <x:v>98</x:v>
      </x:c>
      <x:c r="D48" s="4" t="str">
        <x:v>- 用户身份和主播身份共用账号、个人资料、社交关系及金币资产。</x:v>
      </x:c>
      <x:c r="E48" s="4" t="str">
        <x:v>尚未建立场景映射</x:v>
      </x:c>
      <x:c r="F48" s="4" t="str"/>
      <x:c r="G48" s="4" t="str">
        <x:v>系统概要或共同业务条款：已保留全文，不用端侧用例数量反推本条完整覆盖；跨段等价映射尚未逐项闭合。</x:v>
      </x:c>
    </x:row>
    <x:row r="49" ht="44" customHeight="1">
      <x:c r="A49" s="4" t="str">
        <x:v>概要-100</x:v>
      </x:c>
      <x:c r="B49" s="4" t="str">
        <x:v>系统概要与公共规则</x:v>
      </x:c>
      <x:c r="C49" s="4" t="n">
        <x:v>100</x:v>
      </x:c>
      <x:c r="D49" s="4" t="str">
        <x:v>- 主播身份与直播权限分别管理。成为主播且直播权限开启后才能开播。</x:v>
      </x:c>
      <x:c r="E49" s="4" t="str">
        <x:v>尚未建立场景映射</x:v>
      </x:c>
      <x:c r="F49" s="4" t="str"/>
      <x:c r="G49" s="4" t="str">
        <x:v>系统概要或共同业务条款：已保留全文，不用端侧用例数量反推本条完整覆盖；跨段等价映射尚未逐项闭合。</x:v>
      </x:c>
    </x:row>
    <x:row r="50" ht="44" customHeight="1">
      <x:c r="A50" s="4" t="str">
        <x:v>概要-102</x:v>
      </x:c>
      <x:c r="B50" s="4" t="str">
        <x:v>系统概要与公共规则</x:v>
      </x:c>
      <x:c r="C50" s="4" t="n">
        <x:v>102</x:v>
      </x:c>
      <x:c r="D50" s="4" t="str">
        <x:v>- 头像和昵称修改后进入平台风控检测，通过后生效；检测不通过时保留原资料。其他资料直接保存。</x:v>
      </x:c>
      <x:c r="E50" s="4" t="str">
        <x:v>尚未建立场景映射</x:v>
      </x:c>
      <x:c r="F50" s="4" t="str"/>
      <x:c r="G50" s="4" t="str">
        <x:v>系统概要或共同业务条款：已保留全文，不用端侧用例数量反推本条完整覆盖；跨段等价映射尚未逐项闭合。</x:v>
      </x:c>
    </x:row>
    <x:row r="51" ht="44" customHeight="1">
      <x:c r="A51" s="4" t="str">
        <x:v>概要-104</x:v>
      </x:c>
      <x:c r="B51" s="4" t="str">
        <x:v>系统概要与公共规则</x:v>
      </x:c>
      <x:c r="C51" s="4" t="n">
        <x:v>104</x:v>
      </x:c>
      <x:c r="D51" s="4" t="str">
        <x:v>| 账号状态 | 说明 |</x:v>
      </x:c>
      <x:c r="E51" s="4" t="str">
        <x:v>尚未建立场景映射</x:v>
      </x:c>
      <x:c r="F51" s="4" t="str"/>
      <x:c r="G51" s="4" t="str">
        <x:v>系统概要或共同业务条款：已保留全文，不用端侧用例数量反推本条完整覆盖；跨段等价映射尚未逐项闭合。</x:v>
      </x:c>
    </x:row>
    <x:row r="52" ht="44" customHeight="1">
      <x:c r="A52" s="4" t="str">
        <x:v>概要-106</x:v>
      </x:c>
      <x:c r="B52" s="4" t="str">
        <x:v>系统概要与公共规则</x:v>
      </x:c>
      <x:c r="C52" s="4" t="n">
        <x:v>106</x:v>
      </x:c>
      <x:c r="D52" s="4" t="str">
        <x:v>| 正常 | 可登录用户APP|</x:v>
      </x:c>
      <x:c r="E52" s="4" t="str">
        <x:v>尚未建立场景映射</x:v>
      </x:c>
      <x:c r="F52" s="4" t="str"/>
      <x:c r="G52" s="4" t="str">
        <x:v>系统概要或共同业务条款：已保留全文，不用端侧用例数量反推本条完整覆盖；跨段等价映射尚未逐项闭合。</x:v>
      </x:c>
    </x:row>
    <x:row r="53" ht="44" customHeight="1">
      <x:c r="A53" s="4" t="str">
        <x:v>概要-107</x:v>
      </x:c>
      <x:c r="B53" s="4" t="str">
        <x:v>系统概要与公共规则</x:v>
      </x:c>
      <x:c r="C53" s="4" t="n">
        <x:v>107</x:v>
      </x:c>
      <x:c r="D53" s="4" t="str">
        <x:v>| 封禁 | 不管是否有主播身份，均无法登录用户APP|</x:v>
      </x:c>
      <x:c r="E53" s="4" t="str">
        <x:v>尚未建立场景映射</x:v>
      </x:c>
      <x:c r="F53" s="4" t="str"/>
      <x:c r="G53" s="4" t="str">
        <x:v>系统概要或共同业务条款：已保留全文，不用端侧用例数量反推本条完整覆盖；跨段等价映射尚未逐项闭合。</x:v>
      </x:c>
    </x:row>
    <x:row r="54" ht="44" customHeight="1">
      <x:c r="A54" s="4" t="str">
        <x:v>概要-113</x:v>
      </x:c>
      <x:c r="B54" s="4" t="str">
        <x:v>系统概要与公共规则</x:v>
      </x:c>
      <x:c r="C54" s="4" t="n">
        <x:v>113</x:v>
      </x:c>
      <x:c r="D54" s="4" t="str">
        <x:v>1. 同一用户只能存在一笔处理中入会申请，且只能加入一个公会。</x:v>
      </x:c>
      <x:c r="E54" s="4" t="str">
        <x:v>尚未建立场景映射</x:v>
      </x:c>
      <x:c r="F54" s="4" t="str"/>
      <x:c r="G54" s="4" t="str">
        <x:v>系统概要或共同业务条款：已保留全文，不用端侧用例数量反推本条完整覆盖；跨段等价映射尚未逐项闭合。</x:v>
      </x:c>
    </x:row>
    <x:row r="55" ht="44" customHeight="1">
      <x:c r="A55" s="4" t="str">
        <x:v>概要-115</x:v>
      </x:c>
      <x:c r="B55" s="4" t="str">
        <x:v>系统概要与公共规则</x:v>
      </x:c>
      <x:c r="C55" s="4" t="n">
        <x:v>115</x:v>
      </x:c>
      <x:c r="D55" s="4" t="str">
        <x:v>2. 公会驳回后，申请单作废，用户可以重新提交申请。</x:v>
      </x:c>
      <x:c r="E55" s="4" t="str">
        <x:v>尚未建立场景映射</x:v>
      </x:c>
      <x:c r="F55" s="4" t="str"/>
      <x:c r="G55" s="4" t="str">
        <x:v>系统概要或共同业务条款：已保留全文，不用端侧用例数量反推本条完整覆盖；跨段等价映射尚未逐项闭合。</x:v>
      </x:c>
    </x:row>
    <x:row r="56" ht="44" customHeight="1">
      <x:c r="A56" s="4" t="str">
        <x:v>概要-117</x:v>
      </x:c>
      <x:c r="B56" s="4" t="str">
        <x:v>系统概要与公共规则</x:v>
      </x:c>
      <x:c r="C56" s="4" t="n">
        <x:v>117</x:v>
      </x:c>
      <x:c r="D56" s="4" t="str">
        <x:v>3. 公会通过后，申请进入平台终审，此时用户尚未加入公会，也未获得主播身份。</x:v>
      </x:c>
      <x:c r="E56" s="4" t="str">
        <x:v>尚未建立场景映射</x:v>
      </x:c>
      <x:c r="F56" s="4" t="str"/>
      <x:c r="G56" s="4" t="str">
        <x:v>系统概要或共同业务条款：已保留全文，不用端侧用例数量反推本条完整覆盖；跨段等价映射尚未逐项闭合。</x:v>
      </x:c>
    </x:row>
    <x:row r="57" ht="44" customHeight="1">
      <x:c r="A57" s="4" t="str">
        <x:v>概要-119</x:v>
      </x:c>
      <x:c r="B57" s="4" t="str">
        <x:v>系统概要与公共规则</x:v>
      </x:c>
      <x:c r="C57" s="4" t="n">
        <x:v>119</x:v>
      </x:c>
      <x:c r="D57" s="4" t="str">
        <x:v>4. 平台驳回后，申请单作废，用户可以重新提交申请。</x:v>
      </x:c>
      <x:c r="E57" s="4" t="str">
        <x:v>尚未建立场景映射</x:v>
      </x:c>
      <x:c r="F57" s="4" t="str"/>
      <x:c r="G57" s="4" t="str">
        <x:v>系统概要或共同业务条款：已保留全文，不用端侧用例数量反推本条完整覆盖；跨段等价映射尚未逐项闭合。</x:v>
      </x:c>
    </x:row>
    <x:row r="58" ht="44" customHeight="1">
      <x:c r="A58" s="4" t="str">
        <x:v>概要-121</x:v>
      </x:c>
      <x:c r="B58" s="4" t="str">
        <x:v>系统概要与公共规则</x:v>
      </x:c>
      <x:c r="C58" s="4" t="n">
        <x:v>121</x:v>
      </x:c>
      <x:c r="D58" s="4" t="str">
        <x:v>5. 平台通过后，用户加入公会并获得主播身份。</x:v>
      </x:c>
      <x:c r="E58" s="4" t="str">
        <x:v>尚未建立场景映射</x:v>
      </x:c>
      <x:c r="F58" s="4" t="str"/>
      <x:c r="G58" s="4" t="str">
        <x:v>系统概要或共同业务条款：已保留全文，不用端侧用例数量反推本条完整覆盖；跨段等价映射尚未逐项闭合。</x:v>
      </x:c>
    </x:row>
    <x:row r="59" ht="44" customHeight="1">
      <x:c r="A59" s="4" t="str">
        <x:v>概要-123</x:v>
      </x:c>
      <x:c r="B59" s="4" t="str">
        <x:v>系统概要与公共规则</x:v>
      </x:c>
      <x:c r="C59" s="4" t="n">
        <x:v>123</x:v>
      </x:c>
      <x:c r="D59" s="4" t="str">
        <x:v>6. 主播可申请退会，公会也可直接移除主播；退出公会将失去主播身份。</x:v>
      </x:c>
      <x:c r="E59" s="4" t="str">
        <x:v>尚未建立场景映射</x:v>
      </x:c>
      <x:c r="F59" s="4" t="str"/>
      <x:c r="G59" s="4" t="str">
        <x:v>系统概要或共同业务条款：已保留全文，不用端侧用例数量反推本条完整覆盖；跨段等价映射尚未逐项闭合。</x:v>
      </x:c>
    </x:row>
    <x:row r="60" ht="44" customHeight="1">
      <x:c r="A60" s="4" t="str">
        <x:v>概要-129</x:v>
      </x:c>
      <x:c r="B60" s="4" t="str">
        <x:v>系统概要与公共规则</x:v>
      </x:c>
      <x:c r="C60" s="4" t="n">
        <x:v>129</x:v>
      </x:c>
      <x:c r="D60" s="4" t="str">
        <x:v>|状态|身份/关系|用户/主播|公会|平台|</x:v>
      </x:c>
      <x:c r="E60" s="4" t="str">
        <x:v>尚未建立场景映射</x:v>
      </x:c>
      <x:c r="F60" s="4" t="str"/>
      <x:c r="G60" s="4" t="str">
        <x:v>系统概要或共同业务条款：已保留全文，不用端侧用例数量反推本条完整覆盖；跨段等价映射尚未逐项闭合。</x:v>
      </x:c>
    </x:row>
    <x:row r="61" ht="44" customHeight="1">
      <x:c r="A61" s="4" t="str">
        <x:v>概要-131</x:v>
      </x:c>
      <x:c r="B61" s="4" t="str">
        <x:v>系统概要与公共规则</x:v>
      </x:c>
      <x:c r="C61" s="4" t="n">
        <x:v>131</x:v>
      </x:c>
      <x:c r="D61" s="4" t="str">
        <x:v>|待审核|用户|\-\-|通过/驳回|\-\-|</x:v>
      </x:c>
      <x:c r="E61" s="4" t="str">
        <x:v>尚未建立场景映射</x:v>
      </x:c>
      <x:c r="F61" s="4" t="str"/>
      <x:c r="G61" s="4" t="str">
        <x:v>系统概要或共同业务条款：已保留全文，不用端侧用例数量反推本条完整覆盖；跨段等价映射尚未逐项闭合。</x:v>
      </x:c>
    </x:row>
    <x:row r="62" ht="44" customHeight="1">
      <x:c r="A62" s="4" t="str">
        <x:v>概要-132</x:v>
      </x:c>
      <x:c r="B62" s="4" t="str">
        <x:v>系统概要与公共规则</x:v>
      </x:c>
      <x:c r="C62" s="4" t="n">
        <x:v>132</x:v>
      </x:c>
      <x:c r="D62" s="4" t="str">
        <x:v>|公会驳回|用户|重新提交申请|\-\-|\-\-|</x:v>
      </x:c>
      <x:c r="E62" s="4" t="str">
        <x:v>尚未建立场景映射</x:v>
      </x:c>
      <x:c r="F62" s="4" t="str"/>
      <x:c r="G62" s="4" t="str">
        <x:v>系统概要或共同业务条款：已保留全文，不用端侧用例数量反推本条完整覆盖；跨段等价映射尚未逐项闭合。</x:v>
      </x:c>
    </x:row>
    <x:row r="63" ht="44" customHeight="1">
      <x:c r="A63" s="4" t="str">
        <x:v>概要-133</x:v>
      </x:c>
      <x:c r="B63" s="4" t="str">
        <x:v>系统概要与公共规则</x:v>
      </x:c>
      <x:c r="C63" s="4" t="n">
        <x:v>133</x:v>
      </x:c>
      <x:c r="D63" s="4" t="str">
        <x:v>|公会通过|用户|\-\-|\-\-|通过/驳回|</x:v>
      </x:c>
      <x:c r="E63" s="4" t="str">
        <x:v>尚未建立场景映射</x:v>
      </x:c>
      <x:c r="F63" s="4" t="str"/>
      <x:c r="G63" s="4" t="str">
        <x:v>系统概要或共同业务条款：已保留全文，不用端侧用例数量反推本条完整覆盖；跨段等价映射尚未逐项闭合。</x:v>
      </x:c>
    </x:row>
    <x:row r="64" ht="44" customHeight="1">
      <x:c r="A64" s="4" t="str">
        <x:v>概要-134</x:v>
      </x:c>
      <x:c r="B64" s="4" t="str">
        <x:v>系统概要与公共规则</x:v>
      </x:c>
      <x:c r="C64" s="4" t="n">
        <x:v>134</x:v>
      </x:c>
      <x:c r="D64" s="4" t="str">
        <x:v>|平台驳回|用户|重新提交申请|\-\-|\-\-|</x:v>
      </x:c>
      <x:c r="E64" s="4" t="str">
        <x:v>尚未建立场景映射</x:v>
      </x:c>
      <x:c r="F64" s="4" t="str"/>
      <x:c r="G64" s="4" t="str">
        <x:v>系统概要或共同业务条款：已保留全文，不用端侧用例数量反推本条完整覆盖；跨段等价映射尚未逐项闭合。</x:v>
      </x:c>
    </x:row>
    <x:row r="65" ht="44" customHeight="1">
      <x:c r="A65" s="4" t="str">
        <x:v>概要-135</x:v>
      </x:c>
      <x:c r="B65" s="4" t="str">
        <x:v>系统概要与公共规则</x:v>
      </x:c>
      <x:c r="C65" s="4" t="n">
        <x:v>135</x:v>
      </x:c>
      <x:c r="D65" s="4" t="str">
        <x:v>|平台通过|主播|直播权限开启时可开播|移除主播；开/关直播权限|开/关直播权限；开/关公会管理权限|</x:v>
      </x:c>
      <x:c r="E65" s="4" t="str">
        <x:v>尚未建立场景映射</x:v>
      </x:c>
      <x:c r="F65" s="4" t="str"/>
      <x:c r="G65" s="4" t="str">
        <x:v>系统概要或共同业务条款：已保留全文，不用端侧用例数量反推本条完整覆盖；跨段等价映射尚未逐项闭合。</x:v>
      </x:c>
    </x:row>
    <x:row r="66" ht="44" customHeight="1">
      <x:c r="A66" s="4" t="str">
        <x:v>概要-141</x:v>
      </x:c>
      <x:c r="B66" s="4" t="str">
        <x:v>系统概要与公共规则</x:v>
      </x:c>
      <x:c r="C66" s="4" t="n">
        <x:v>141</x:v>
      </x:c>
      <x:c r="D66" s="4" t="str">
        <x:v>|状态|身份/关系|用户/主播|公会|</x:v>
      </x:c>
      <x:c r="E66" s="4" t="str">
        <x:v>尚未建立场景映射</x:v>
      </x:c>
      <x:c r="F66" s="4" t="str"/>
      <x:c r="G66" s="4" t="str">
        <x:v>系统概要或共同业务条款：已保留全文，不用端侧用例数量反推本条完整覆盖；跨段等价映射尚未逐项闭合。</x:v>
      </x:c>
    </x:row>
    <x:row r="67" ht="44" customHeight="1">
      <x:c r="A67" s="4" t="str">
        <x:v>概要-143</x:v>
      </x:c>
      <x:c r="B67" s="4" t="str">
        <x:v>系统概要与公共规则</x:v>
      </x:c>
      <x:c r="C67" s="4" t="n">
        <x:v>143</x:v>
      </x:c>
      <x:c r="D67" s="4" t="str">
        <x:v>|待审核|主播|\-\-|同意/驳回|</x:v>
      </x:c>
      <x:c r="E67" s="4" t="str">
        <x:v>尚未建立场景映射</x:v>
      </x:c>
      <x:c r="F67" s="4" t="str"/>
      <x:c r="G67" s="4" t="str">
        <x:v>系统概要或共同业务条款：已保留全文，不用端侧用例数量反推本条完整覆盖；跨段等价映射尚未逐项闭合。</x:v>
      </x:c>
    </x:row>
    <x:row r="68" ht="44" customHeight="1">
      <x:c r="A68" s="4" t="str">
        <x:v>概要-144</x:v>
      </x:c>
      <x:c r="B68" s="4" t="str">
        <x:v>系统概要与公共规则</x:v>
      </x:c>
      <x:c r="C68" s="4" t="n">
        <x:v>144</x:v>
      </x:c>
      <x:c r="D68" s="4" t="str">
        <x:v>|驳回|主播|重新提交退会申请|\-\-|</x:v>
      </x:c>
      <x:c r="E68" s="4" t="str">
        <x:v>尚未建立场景映射</x:v>
      </x:c>
      <x:c r="F68" s="4" t="str"/>
      <x:c r="G68" s="4" t="str">
        <x:v>系统概要或共同业务条款：已保留全文，不用端侧用例数量反推本条完整覆盖；跨段等价映射尚未逐项闭合。</x:v>
      </x:c>
    </x:row>
    <x:row r="69" ht="44" customHeight="1">
      <x:c r="A69" s="4" t="str">
        <x:v>概要-145</x:v>
      </x:c>
      <x:c r="B69" s="4" t="str">
        <x:v>系统概要与公共规则</x:v>
      </x:c>
      <x:c r="C69" s="4" t="n">
        <x:v>145</x:v>
      </x:c>
      <x:c r="D69" s="4" t="str">
        <x:v>|通过|用户，退出公会并失去主播身份|申请加入公会|\-\-|</x:v>
      </x:c>
      <x:c r="E69" s="4" t="str">
        <x:v>尚未建立场景映射</x:v>
      </x:c>
      <x:c r="F69" s="4" t="str"/>
      <x:c r="G69" s="4" t="str">
        <x:v>系统概要或共同业务条款：已保留全文，不用端侧用例数量反推本条完整覆盖；跨段等价映射尚未逐项闭合。</x:v>
      </x:c>
    </x:row>
    <x:row r="70" ht="44" customHeight="1">
      <x:c r="A70" s="4" t="str">
        <x:v>概要-151</x:v>
      </x:c>
      <x:c r="B70" s="4" t="str">
        <x:v>系统概要与公共规则</x:v>
      </x:c>
      <x:c r="C70" s="4" t="n">
        <x:v>151</x:v>
      </x:c>
      <x:c r="D70" s="4" t="str">
        <x:v>- 公会创建：</x:v>
      </x:c>
      <x:c r="E70" s="4" t="str">
        <x:v>尚未建立场景映射</x:v>
      </x:c>
      <x:c r="F70" s="4" t="str"/>
      <x:c r="G70" s="4" t="str">
        <x:v>系统概要或共同业务条款：已保留全文，不用端侧用例数量反推本条完整覆盖；跨段等价映射尚未逐项闭合。</x:v>
      </x:c>
    </x:row>
    <x:row r="71" ht="44" customHeight="1">
      <x:c r="A71" s="4" t="str">
        <x:v>概要-154</x:v>
      </x:c>
      <x:c r="B71" s="4" t="str">
        <x:v>系统概要与公共规则</x:v>
      </x:c>
      <x:c r="C71" s="4" t="n">
        <x:v>154</x:v>
      </x:c>
      <x:c r="D71" s="4" t="str">
        <x:v>- 公会状态：</x:v>
      </x:c>
      <x:c r="E71" s="4" t="str">
        <x:v>尚未建立场景映射</x:v>
      </x:c>
      <x:c r="F71" s="4" t="str"/>
      <x:c r="G71" s="4" t="str">
        <x:v>系统概要或共同业务条款：已保留全文，不用端侧用例数量反推本条完整覆盖；跨段等价映射尚未逐项闭合。</x:v>
      </x:c>
    </x:row>
    <x:row r="72" ht="44" customHeight="1">
      <x:c r="A72" s="4" t="str">
        <x:v>概要-156</x:v>
      </x:c>
      <x:c r="B72" s="4" t="str">
        <x:v>系统概要与公共规则</x:v>
      </x:c>
      <x:c r="C72" s="4" t="n">
        <x:v>156</x:v>
      </x:c>
      <x:c r="D72" s="4" t="str">
        <x:v>| 状态 | 说明 |</x:v>
      </x:c>
      <x:c r="E72" s="4" t="str">
        <x:v>尚未建立场景映射</x:v>
      </x:c>
      <x:c r="F72" s="4" t="str"/>
      <x:c r="G72" s="4" t="str">
        <x:v>系统概要或共同业务条款：已保留全文，不用端侧用例数量反推本条完整覆盖；跨段等价映射尚未逐项闭合。</x:v>
      </x:c>
    </x:row>
    <x:row r="73" ht="44" customHeight="1">
      <x:c r="A73" s="4" t="str">
        <x:v>概要-158</x:v>
      </x:c>
      <x:c r="B73" s="4" t="str">
        <x:v>系统概要与公共规则</x:v>
      </x:c>
      <x:c r="C73" s="4" t="n">
        <x:v>158</x:v>
      </x:c>
      <x:c r="D73" s="4" t="str">
        <x:v>| 正常 | 正常使用|</x:v>
      </x:c>
      <x:c r="E73" s="4" t="str">
        <x:v>尚未建立场景映射</x:v>
      </x:c>
      <x:c r="F73" s="4" t="str"/>
      <x:c r="G73" s="4" t="str">
        <x:v>系统概要或共同业务条款：已保留全文，不用端侧用例数量反推本条完整覆盖；跨段等价映射尚未逐项闭合。</x:v>
      </x:c>
    </x:row>
    <x:row r="74" ht="57" customHeight="1">
      <x:c r="A74" s="4" t="str">
        <x:v>概要-159</x:v>
      </x:c>
      <x:c r="B74" s="4" t="str">
        <x:v>系统概要与公共规则</x:v>
      </x:c>
      <x:c r="C74" s="4" t="n">
        <x:v>159</x:v>
      </x:c>
      <x:c r="D74" s="4" t="str">
        <x:v>| 停用 | 由平台操作，公会冻结后，平台搜索不到、公会长无法登录、主播关系解除，名下主播失去主播身份并停止开播。所有业务数据保留，平台后台可查看 |</x:v>
      </x:c>
      <x:c r="E74" s="4" t="str">
        <x:v>尚未建立场景映射</x:v>
      </x:c>
      <x:c r="F74" s="4" t="str"/>
      <x:c r="G74" s="4" t="str">
        <x:v>系统概要或共同业务条款：已保留全文，不用端侧用例数量反推本条完整覆盖；跨段等价映射尚未逐项闭合。</x:v>
      </x:c>
    </x:row>
    <x:row r="75" ht="44" customHeight="1">
      <x:c r="A75" s="4" t="str">
        <x:v>概要-161</x:v>
      </x:c>
      <x:c r="B75" s="4" t="str">
        <x:v>系统概要与公共规则</x:v>
      </x:c>
      <x:c r="C75" s="4" t="n">
        <x:v>161</x:v>
      </x:c>
      <x:c r="D75" s="4" t="str">
        <x:v>- 公会长账号：</x:v>
      </x:c>
      <x:c r="E75" s="4" t="str">
        <x:v>尚未建立场景映射</x:v>
      </x:c>
      <x:c r="F75" s="4" t="str"/>
      <x:c r="G75" s="4" t="str">
        <x:v>系统概要或共同业务条款：已保留全文，不用端侧用例数量反推本条完整覆盖；跨段等价映射尚未逐项闭合。</x:v>
      </x:c>
    </x:row>
    <x:row r="76" ht="44" customHeight="1">
      <x:c r="A76" s="4" t="str">
        <x:v>概要-163</x:v>
      </x:c>
      <x:c r="B76" s="4" t="str">
        <x:v>系统概要与公共规则</x:v>
      </x:c>
      <x:c r="C76" s="4" t="n">
        <x:v>163</x:v>
      </x:c>
      <x:c r="D76" s="4" t="str">
        <x:v>- 公会长账号状态：</x:v>
      </x:c>
      <x:c r="E76" s="4" t="str">
        <x:v>尚未建立场景映射</x:v>
      </x:c>
      <x:c r="F76" s="4" t="str"/>
      <x:c r="G76" s="4" t="str">
        <x:v>系统概要或共同业务条款：已保留全文，不用端侧用例数量反推本条完整覆盖；跨段等价映射尚未逐项闭合。</x:v>
      </x:c>
    </x:row>
    <x:row r="77" ht="44" customHeight="1">
      <x:c r="A77" s="4" t="str">
        <x:v>概要-165</x:v>
      </x:c>
      <x:c r="B77" s="4" t="str">
        <x:v>系统概要与公共规则</x:v>
      </x:c>
      <x:c r="C77" s="4" t="n">
        <x:v>165</x:v>
      </x:c>
      <x:c r="D77" s="4" t="str">
        <x:v>| 状态 | 说明 |</x:v>
      </x:c>
      <x:c r="E77" s="4" t="str">
        <x:v>尚未建立场景映射</x:v>
      </x:c>
      <x:c r="F77" s="4" t="str"/>
      <x:c r="G77" s="4" t="str">
        <x:v>系统概要或共同业务条款：已保留全文，不用端侧用例数量反推本条完整覆盖；跨段等价映射尚未逐项闭合。</x:v>
      </x:c>
    </x:row>
    <x:row r="78" ht="44" customHeight="1">
      <x:c r="A78" s="4" t="str">
        <x:v>概要-167</x:v>
      </x:c>
      <x:c r="B78" s="4" t="str">
        <x:v>系统概要与公共规则</x:v>
      </x:c>
      <x:c r="C78" s="4" t="n">
        <x:v>167</x:v>
      </x:c>
      <x:c r="D78" s="4" t="str">
        <x:v>| 正常 | 可登录公会APP|</x:v>
      </x:c>
      <x:c r="E78" s="4" t="str">
        <x:v>尚未建立场景映射</x:v>
      </x:c>
      <x:c r="F78" s="4" t="str"/>
      <x:c r="G78" s="4" t="str">
        <x:v>系统概要或共同业务条款：已保留全文，不用端侧用例数量反推本条完整覆盖；跨段等价映射尚未逐项闭合。</x:v>
      </x:c>
    </x:row>
    <x:row r="79" ht="44" customHeight="1">
      <x:c r="A79" s="4" t="str">
        <x:v>概要-168</x:v>
      </x:c>
      <x:c r="B79" s="4" t="str">
        <x:v>系统概要与公共规则</x:v>
      </x:c>
      <x:c r="C79" s="4" t="n">
        <x:v>168</x:v>
      </x:c>
      <x:c r="D79" s="4" t="str">
        <x:v>| 停用 | 无法登录公会APP，对公会中主播无影响|</x:v>
      </x:c>
      <x:c r="E79" s="4" t="str">
        <x:v>尚未建立场景映射</x:v>
      </x:c>
      <x:c r="F79" s="4" t="str"/>
      <x:c r="G79" s="4" t="str">
        <x:v>系统概要或共同业务条款：已保留全文，不用端侧用例数量反推本条完整覆盖；跨段等价映射尚未逐项闭合。</x:v>
      </x:c>
    </x:row>
    <x:row r="80" ht="44" customHeight="1">
      <x:c r="A80" s="4" t="str">
        <x:v>概要-178</x:v>
      </x:c>
      <x:c r="B80" s="4" t="str">
        <x:v>系统概要与公共规则</x:v>
      </x:c>
      <x:c r="C80" s="4" t="n">
        <x:v>178</x:v>
      </x:c>
      <x:c r="D80" s="4" t="str">
        <x:v>- 每个主播对应一个长期存在的直播间ID；每次开播创建一个新的直播场次。</x:v>
      </x:c>
      <x:c r="E80" s="4" t="str">
        <x:v>尚未建立场景映射</x:v>
      </x:c>
      <x:c r="F80" s="4" t="str"/>
      <x:c r="G80" s="4" t="str">
        <x:v>系统概要或共同业务条款：已保留全文，不用端侧用例数量反推本条完整覆盖；跨段等价映射尚未逐项闭合。</x:v>
      </x:c>
    </x:row>
    <x:row r="81" ht="44" customHeight="1">
      <x:c r="A81" s="4" t="str">
        <x:v>概要-180</x:v>
      </x:c>
      <x:c r="B81" s="4" t="str">
        <x:v>系统概要与公共规则</x:v>
      </x:c>
      <x:c r="C81" s="4" t="n">
        <x:v>180</x:v>
      </x:c>
      <x:c r="D81" s="4" t="str">
        <x:v>- 直播标题、封面、分类、房间类型、门票价格和密码等内容归属于当前直播场次。</x:v>
      </x:c>
      <x:c r="E81" s="4" t="str">
        <x:v>尚未建立场景映射</x:v>
      </x:c>
      <x:c r="F81" s="4" t="str"/>
      <x:c r="G81" s="4" t="str">
        <x:v>系统概要或共同业务条款：已保留全文，不用端侧用例数量反推本条完整覆盖；跨段等价映射尚未逐项闭合。</x:v>
      </x:c>
    </x:row>
    <x:row r="82" ht="44" customHeight="1">
      <x:c r="A82" s="4" t="str">
        <x:v>概要-182</x:v>
      </x:c>
      <x:c r="B82" s="4" t="str">
        <x:v>系统概要与公共规则</x:v>
      </x:c>
      <x:c r="C82" s="4" t="n">
        <x:v>182</x:v>
      </x:c>
      <x:c r="D82" s="4" t="str">
        <x:v>- 直播结束后关闭当前场次，历史消息、消费、处置和收益记录继续保留。</x:v>
      </x:c>
      <x:c r="E82" s="4" t="str">
        <x:v>尚未建立场景映射</x:v>
      </x:c>
      <x:c r="F82" s="4" t="str"/>
      <x:c r="G82" s="4" t="str">
        <x:v>系统概要或共同业务条款：已保留全文，不用端侧用例数量反推本条完整覆盖；跨段等价映射尚未逐项闭合。</x:v>
      </x:c>
    </x:row>
    <x:row r="83" ht="44" customHeight="1">
      <x:c r="A83" s="4" t="str">
        <x:v>概要-188</x:v>
      </x:c>
      <x:c r="B83" s="4" t="str">
        <x:v>系统概要与公共规则</x:v>
      </x:c>
      <x:c r="C83" s="4" t="n">
        <x:v>188</x:v>
      </x:c>
      <x:c r="D83" s="4" t="str">
        <x:v>|房间类型|进入规则|</x:v>
      </x:c>
      <x:c r="E83" s="4" t="str">
        <x:v>尚未建立场景映射</x:v>
      </x:c>
      <x:c r="F83" s="4" t="str"/>
      <x:c r="G83" s="4" t="str">
        <x:v>系统概要或共同业务条款：已保留全文，不用端侧用例数量反推本条完整覆盖；跨段等价映射尚未逐项闭合。</x:v>
      </x:c>
    </x:row>
    <x:row r="84" ht="44" customHeight="1">
      <x:c r="A84" s="4" t="str">
        <x:v>概要-190</x:v>
      </x:c>
      <x:c r="B84" s="4" t="str">
        <x:v>系统概要与公共规则</x:v>
      </x:c>
      <x:c r="C84" s="4" t="n">
        <x:v>190</x:v>
      </x:c>
      <x:c r="D84" s="4" t="str">
        <x:v>|普通房|用户账号状态未禁用，用户和直播间对应主播无拉黑关系。|</x:v>
      </x:c>
      <x:c r="E84" s="4" t="str">
        <x:v>尚未建立场景映射</x:v>
      </x:c>
      <x:c r="F84" s="4" t="str"/>
      <x:c r="G84" s="4" t="str">
        <x:v>系统概要或共同业务条款：已保留全文，不用端侧用例数量反推本条完整覆盖；跨段等价映射尚未逐项闭合。</x:v>
      </x:c>
    </x:row>
    <x:row r="85" ht="44" customHeight="1">
      <x:c r="A85" s="4" t="str">
        <x:v>概要-191</x:v>
      </x:c>
      <x:c r="B85" s="4" t="str">
        <x:v>系统概要与公共规则</x:v>
      </x:c>
      <x:c r="C85" s="4" t="n">
        <x:v>191</x:v>
      </x:c>
      <x:c r="D85" s="4" t="str">
        <x:v>|门票房|用户支付当前场次门票后进入；同一场次重复进入不重复收费。场次结束或用户被踢出后门票失效，不退还已支付金币。|</x:v>
      </x:c>
      <x:c r="E85" s="4" t="str">
        <x:v>尚未建立场景映射</x:v>
      </x:c>
      <x:c r="F85" s="4" t="str"/>
      <x:c r="G85" s="4" t="str">
        <x:v>系统概要或共同业务条款：已保留全文，不用端侧用例数量反推本条完整覆盖；跨段等价映射尚未逐项闭合。</x:v>
      </x:c>
    </x:row>
    <x:row r="86" ht="44" customHeight="1">
      <x:c r="A86" s="4" t="str">
        <x:v>概要-192</x:v>
      </x:c>
      <x:c r="B86" s="4" t="str">
        <x:v>系统概要与公共规则</x:v>
      </x:c>
      <x:c r="C86" s="4" t="n">
        <x:v>192</x:v>
      </x:c>
      <x:c r="D86" s="4" t="str">
        <x:v>|密码房|用户通过房间密码校验后进入；|</x:v>
      </x:c>
      <x:c r="E86" s="4" t="str">
        <x:v>尚未建立场景映射</x:v>
      </x:c>
      <x:c r="F86" s="4" t="str"/>
      <x:c r="G86" s="4" t="str">
        <x:v>系统概要或共同业务条款：已保留全文，不用端侧用例数量反推本条完整覆盖；跨段等价映射尚未逐项闭合。</x:v>
      </x:c>
    </x:row>
    <x:row r="87" ht="44" customHeight="1">
      <x:c r="A87" s="4" t="str">
        <x:v>概要-194</x:v>
      </x:c>
      <x:c r="B87" s="4" t="str">
        <x:v>系统概要与公共规则</x:v>
      </x:c>
      <x:c r="C87" s="4" t="n">
        <x:v>194</x:v>
      </x:c>
      <x:c r="D87" s="4" t="str">
        <x:v>- 门票房和密码房由平台功能开关控制，关闭时主播不能选择对应房型。</x:v>
      </x:c>
      <x:c r="E87" s="4" t="str">
        <x:v>尚未建立场景映射</x:v>
      </x:c>
      <x:c r="F87" s="4" t="str"/>
      <x:c r="G87" s="4" t="str">
        <x:v>系统概要或共同业务条款：已保留全文，不用端侧用例数量反推本条完整覆盖；跨段等价映射尚未逐项闭合。</x:v>
      </x:c>
    </x:row>
    <x:row r="88" ht="44" customHeight="1">
      <x:c r="A88" s="4" t="str">
        <x:v>概要-196</x:v>
      </x:c>
      <x:c r="B88" s="4" t="str">
        <x:v>系统概要与公共规则</x:v>
      </x:c>
      <x:c r="C88" s="4" t="n">
        <x:v>196</x:v>
      </x:c>
      <x:c r="D88" s="4" t="str">
        <x:v>- 账号封禁、账号拉黑和本场踢出等限制优先于房间准入规则。</x:v>
      </x:c>
      <x:c r="E88" s="4" t="str">
        <x:v>尚未建立场景映射</x:v>
      </x:c>
      <x:c r="F88" s="4" t="str"/>
      <x:c r="G88" s="4" t="str">
        <x:v>系统概要或共同业务条款：已保留全文，不用端侧用例数量反推本条完整覆盖；跨段等价映射尚未逐项闭合。</x:v>
      </x:c>
    </x:row>
    <x:row r="89" ht="44" customHeight="1">
      <x:c r="A89" s="4" t="str">
        <x:v>概要-202</x:v>
      </x:c>
      <x:c r="B89" s="4" t="str">
        <x:v>系统概要与公共规则</x:v>
      </x:c>
      <x:c r="C89" s="4" t="n">
        <x:v>202</x:v>
      </x:c>
      <x:c r="D89" s="4" t="str">
        <x:v>- 开播条件为：账号可用、公会有效、主播认证通过且直播权限已开启。</x:v>
      </x:c>
      <x:c r="E89" s="4" t="str">
        <x:v>尚未建立场景映射</x:v>
      </x:c>
      <x:c r="F89" s="4" t="str"/>
      <x:c r="G89" s="4" t="str">
        <x:v>系统概要或共同业务条款：已保留全文，不用端侧用例数量反推本条完整覆盖；跨段等价映射尚未逐项闭合。</x:v>
      </x:c>
    </x:row>
    <x:row r="90" ht="44" customHeight="1">
      <x:c r="A90" s="4" t="str">
        <x:v>概要-204</x:v>
      </x:c>
      <x:c r="B90" s="4" t="str">
        <x:v>系统概要与公共规则</x:v>
      </x:c>
      <x:c r="C90" s="4" t="n">
        <x:v>204</x:v>
      </x:c>
      <x:c r="D90" s="4" t="str">
        <x:v>- 直播权限被关闭后，主播不能再次开播；正在直播时立即结束当前场次。</x:v>
      </x:c>
      <x:c r="E90" s="4" t="str">
        <x:v>尚未建立场景映射</x:v>
      </x:c>
      <x:c r="F90" s="4" t="str"/>
      <x:c r="G90" s="4" t="str">
        <x:v>系统概要或共同业务条款：已保留全文，不用端侧用例数量反推本条完整覆盖；跨段等价映射尚未逐项闭合。</x:v>
      </x:c>
    </x:row>
    <x:row r="91" ht="44" customHeight="1">
      <x:c r="A91" s="4" t="str">
        <x:v>概要-206</x:v>
      </x:c>
      <x:c r="B91" s="4" t="str">
        <x:v>系统概要与公共规则</x:v>
      </x:c>
      <x:c r="C91" s="4" t="n">
        <x:v>206</x:v>
      </x:c>
      <x:c r="D91" s="4" t="str">
        <x:v>- 平台、公会对主播开播权限的管理规则：</x:v>
      </x:c>
      <x:c r="E91" s="4" t="str">
        <x:v>尚未建立场景映射</x:v>
      </x:c>
      <x:c r="F91" s="4" t="str"/>
      <x:c r="G91" s="4" t="str">
        <x:v>系统概要或共同业务条款：已保留全文，不用端侧用例数量反推本条完整覆盖；跨段等价映射尚未逐项闭合。</x:v>
      </x:c>
    </x:row>
    <x:row r="92" ht="44" customHeight="1">
      <x:c r="A92" s="4" t="str">
        <x:v>概要-208</x:v>
      </x:c>
      <x:c r="B92" s="4" t="str">
        <x:v>系统概要与公共规则</x:v>
      </x:c>
      <x:c r="C92" s="4" t="n">
        <x:v>208</x:v>
      </x:c>
      <x:c r="D92" s="4" t="str">
        <x:v>|平台|公会|主播最终开播权限|</x:v>
      </x:c>
      <x:c r="E92" s="4" t="str">
        <x:v>尚未建立场景映射</x:v>
      </x:c>
      <x:c r="F92" s="4" t="str"/>
      <x:c r="G92" s="4" t="str">
        <x:v>系统概要或共同业务条款：已保留全文，不用端侧用例数量反推本条完整覆盖；跨段等价映射尚未逐项闭合。</x:v>
      </x:c>
    </x:row>
    <x:row r="93" ht="44" customHeight="1">
      <x:c r="A93" s="4" t="str">
        <x:v>概要-210</x:v>
      </x:c>
      <x:c r="B93" s="4" t="str">
        <x:v>系统概要与公共规则</x:v>
      </x:c>
      <x:c r="C93" s="4" t="n">
        <x:v>210</x:v>
      </x:c>
      <x:c r="D93" s="4" t="str">
        <x:v>|开启|开启|开启|</x:v>
      </x:c>
      <x:c r="E93" s="4" t="str">
        <x:v>尚未建立场景映射</x:v>
      </x:c>
      <x:c r="F93" s="4" t="str"/>
      <x:c r="G93" s="4" t="str">
        <x:v>系统概要或共同业务条款：已保留全文，不用端侧用例数量反推本条完整覆盖；跨段等价映射尚未逐项闭合。</x:v>
      </x:c>
    </x:row>
    <x:row r="94" ht="44" customHeight="1">
      <x:c r="A94" s="4" t="str">
        <x:v>概要-211</x:v>
      </x:c>
      <x:c r="B94" s="4" t="str">
        <x:v>系统概要与公共规则</x:v>
      </x:c>
      <x:c r="C94" s="4" t="n">
        <x:v>211</x:v>
      </x:c>
      <x:c r="D94" s="4" t="str">
        <x:v>|开启|关闭|关闭|</x:v>
      </x:c>
      <x:c r="E94" s="4" t="str">
        <x:v>尚未建立场景映射</x:v>
      </x:c>
      <x:c r="F94" s="4" t="str"/>
      <x:c r="G94" s="4" t="str">
        <x:v>系统概要或共同业务条款：已保留全文，不用端侧用例数量反推本条完整覆盖；跨段等价映射尚未逐项闭合。</x:v>
      </x:c>
    </x:row>
    <x:row r="95" ht="44" customHeight="1">
      <x:c r="A95" s="4" t="str">
        <x:v>概要-212</x:v>
      </x:c>
      <x:c r="B95" s="4" t="str">
        <x:v>系统概要与公共规则</x:v>
      </x:c>
      <x:c r="C95" s="4" t="n">
        <x:v>212</x:v>
      </x:c>
      <x:c r="D95" s="4" t="str">
        <x:v>|关闭（权限锁定/未锁定）|跟随平台显示，页面提示“权限已锁定”|关闭|</x:v>
      </x:c>
      <x:c r="E95" s="4" t="str">
        <x:v>尚未建立场景映射</x:v>
      </x:c>
      <x:c r="F95" s="4" t="str"/>
      <x:c r="G95" s="4" t="str">
        <x:v>系统概要或共同业务条款：已保留全文，不用端侧用例数量反推本条完整覆盖；跨段等价映射尚未逐项闭合。</x:v>
      </x:c>
    </x:row>
    <x:row r="96" ht="44" customHeight="1">
      <x:c r="A96" s="4" t="str">
        <x:v>概要-213</x:v>
      </x:c>
      <x:c r="B96" s="4" t="str">
        <x:v>系统概要与公共规则</x:v>
      </x:c>
      <x:c r="C96" s="4" t="n">
        <x:v>213</x:v>
      </x:c>
      <x:c r="D96" s="4" t="str">
        <x:v>|开启（权限锁定）|跟随平台显示，页面提示“权限已锁定”|开启|</x:v>
      </x:c>
      <x:c r="E96" s="4" t="str">
        <x:v>尚未建立场景映射</x:v>
      </x:c>
      <x:c r="F96" s="4" t="str"/>
      <x:c r="G96" s="4" t="str">
        <x:v>系统概要或共同业务条款：已保留全文，不用端侧用例数量反推本条完整覆盖；跨段等价映射尚未逐项闭合。</x:v>
      </x:c>
    </x:row>
    <x:row r="97" ht="72" customHeight="1">
      <x:c r="A97" s="4" t="str">
        <x:v>概要-214</x:v>
      </x:c>
      <x:c r="B97" s="4" t="str">
        <x:v>系统概要与公共规则</x:v>
      </x:c>
      <x:c r="C97" s="4" t="n">
        <x:v>214</x:v>
      </x:c>
      <x:c r="D97" s="4" t="str">
        <x:v>|开启（权限锁定后又取消锁定）|显示锁定前的公会权限状态。如：锁定前平台开启，公会关闭；然后平台锁定，则公会跟随平台显示开启，并提示“权限已锁定”；然后平台取消锁定，此时公会将显示关闭|显示锁定前公会设定|</x:v>
      </x:c>
      <x:c r="E97" s="4" t="str">
        <x:v>尚未建立场景映射</x:v>
      </x:c>
      <x:c r="F97" s="4" t="str"/>
      <x:c r="G97" s="4" t="str">
        <x:v>系统概要或共同业务条款：已保留全文，不用端侧用例数量反推本条完整覆盖；跨段等价映射尚未逐项闭合。</x:v>
      </x:c>
    </x:row>
    <x:row r="98" ht="44" customHeight="1">
      <x:c r="A98" s="4" t="str">
        <x:v>概要-215</x:v>
      </x:c>
      <x:c r="B98" s="4" t="str">
        <x:v>系统概要与公共规则</x:v>
      </x:c>
      <x:c r="C98" s="4" t="n">
        <x:v>215</x:v>
      </x:c>
      <x:c r="D98" s="4" t="str">
        <x:v>|关闭（关闭后又开启）|同上||</x:v>
      </x:c>
      <x:c r="E98" s="4" t="str">
        <x:v>尚未建立场景映射</x:v>
      </x:c>
      <x:c r="F98" s="4" t="str"/>
      <x:c r="G98" s="4" t="str">
        <x:v>系统概要或共同业务条款：已保留全文，不用端侧用例数量反推本条完整覆盖；跨段等价映射尚未逐项闭合。</x:v>
      </x:c>
    </x:row>
    <x:row r="99" ht="44" customHeight="1">
      <x:c r="A99" s="4" t="str">
        <x:v>概要-217</x:v>
      </x:c>
      <x:c r="B99" s="4" t="str">
        <x:v>系统概要与公共规则</x:v>
      </x:c>
      <x:c r="C99" s="4" t="n">
        <x:v>217</x:v>
      </x:c>
      <x:c r="D99" s="4" t="str">
        <x:v>- 锁定期间保留公会原设置，公会设定跟随平台；取消锁定后，按当前平台设置和公会原设置，重新计算主播的开播权限。</x:v>
      </x:c>
      <x:c r="E99" s="4" t="str">
        <x:v>尚未建立场景映射</x:v>
      </x:c>
      <x:c r="F99" s="4" t="str"/>
      <x:c r="G99" s="4" t="str">
        <x:v>系统概要或共同业务条款：已保留全文，不用端侧用例数量反推本条完整覆盖；跨段等价映射尚未逐项闭合。</x:v>
      </x:c>
    </x:row>
    <x:row r="100" ht="44" customHeight="1">
      <x:c r="A100" s="4" t="str">
        <x:v>概要-223</x:v>
      </x:c>
      <x:c r="B100" s="4" t="str">
        <x:v>系统概要与公共规则</x:v>
      </x:c>
      <x:c r="C100" s="4" t="n">
        <x:v>223</x:v>
      </x:c>
      <x:c r="D100" s="4" t="str">
        <x:v>- 一期仅普通房支持连麦，门票房、密码房不提供入口。</x:v>
      </x:c>
      <x:c r="E100" s="4" t="str">
        <x:v>尚未建立场景映射</x:v>
      </x:c>
      <x:c r="F100" s="4" t="str"/>
      <x:c r="G100" s="4" t="str">
        <x:v>系统概要或共同业务条款：已保留全文，不用端侧用例数量反推本条完整覆盖；跨段等价映射尚未逐项闭合。</x:v>
      </x:c>
    </x:row>
    <x:row r="101" ht="44" customHeight="1">
      <x:c r="A101" s="4" t="str">
        <x:v>概要-225</x:v>
      </x:c>
      <x:c r="B101" s="4" t="str">
        <x:v>系统概要与公共规则</x:v>
      </x:c>
      <x:c r="C101" s="4" t="n">
        <x:v>225</x:v>
      </x:c>
      <x:c r="D101" s="4" t="str">
        <x:v>- 一期只支持两位主播连线，不支持观众上麦或超过两位主播的连线。</x:v>
      </x:c>
      <x:c r="E101" s="4" t="str">
        <x:v>尚未建立场景映射</x:v>
      </x:c>
      <x:c r="F101" s="4" t="str"/>
      <x:c r="G101" s="4" t="str">
        <x:v>系统概要或共同业务条款：已保留全文，不用端侧用例数量反推本条完整覆盖；跨段等价映射尚未逐项闭合。</x:v>
      </x:c>
    </x:row>
    <x:row r="102" ht="44" customHeight="1">
      <x:c r="A102" s="4" t="str">
        <x:v>概要-227</x:v>
      </x:c>
      <x:c r="B102" s="4" t="str">
        <x:v>系统概要与公共规则</x:v>
      </x:c>
      <x:c r="C102" s="4" t="n">
        <x:v>227</x:v>
      </x:c>
      <x:c r="D102" s="4" t="str">
        <x:v>- 连麦结束不影响双方原直播场次，主播仍可继续直播。</x:v>
      </x:c>
      <x:c r="E102" s="4" t="str">
        <x:v>尚未建立场景映射</x:v>
      </x:c>
      <x:c r="F102" s="4" t="str"/>
      <x:c r="G102" s="4" t="str">
        <x:v>系统概要或共同业务条款：已保留全文，不用端侧用例数量反推本条完整覆盖；跨段等价映射尚未逐项闭合。</x:v>
      </x:c>
    </x:row>
    <x:row r="103" ht="44" customHeight="1">
      <x:c r="A103" s="4" t="str">
        <x:v>概要-235</x:v>
      </x:c>
      <x:c r="B103" s="4" t="str">
        <x:v>系统概要与公共规则</x:v>
      </x:c>
      <x:c r="C103" s="4" t="n">
        <x:v>235</x:v>
      </x:c>
      <x:c r="D103" s="4" t="str">
        <x:v>|动作|规则或后果|是否可取消|</x:v>
      </x:c>
      <x:c r="E103" s="4" t="str">
        <x:v>尚未建立场景映射</x:v>
      </x:c>
      <x:c r="F103" s="4" t="str"/>
      <x:c r="G103" s="4" t="str">
        <x:v>系统概要或共同业务条款：已保留全文，不用端侧用例数量反推本条完整覆盖；跨段等价映射尚未逐项闭合。</x:v>
      </x:c>
    </x:row>
    <x:row r="104" ht="57" customHeight="1">
      <x:c r="A104" s="4" t="str">
        <x:v>概要-237</x:v>
      </x:c>
      <x:c r="B104" s="4" t="str">
        <x:v>系统概要与公共规则</x:v>
      </x:c>
      <x:c r="C104" s="4" t="n">
        <x:v>237</x:v>
      </x:c>
      <x:c r="D104" s="4" t="str">
        <x:v>|拉黑|双方禁止相互搜索、关注、申请好友、私信、观看直播和加入粉丝群；&lt;br&gt;解除粉丝、关注、好友和粉丝团关系，取消拉黑后不恢复；&lt;br&gt;已有好友申请失效|是|</x:v>
      </x:c>
      <x:c r="E104" s="4" t="str">
        <x:v>尚未建立场景映射</x:v>
      </x:c>
      <x:c r="F104" s="4" t="str"/>
      <x:c r="G104" s="4" t="str">
        <x:v>系统概要或共同业务条款：已保留全文，不用端侧用例数量反推本条完整覆盖；跨段等价映射尚未逐项闭合。</x:v>
      </x:c>
    </x:row>
    <x:row r="105" ht="44" customHeight="1">
      <x:c r="A105" s="4" t="str">
        <x:v>概要-238</x:v>
      </x:c>
      <x:c r="B105" s="4" t="str">
        <x:v>系统概要与公共规则</x:v>
      </x:c>
      <x:c r="C105" s="4" t="n">
        <x:v>238</x:v>
      </x:c>
      <x:c r="D105" s="4" t="str">
        <x:v>|关注|本人关注量及被关注人粉丝量加 1；&lt;br&gt;关注账号为主播时，可以收到其开播提醒|是|</x:v>
      </x:c>
      <x:c r="E105" s="4" t="str">
        <x:v>尚未建立场景映射</x:v>
      </x:c>
      <x:c r="F105" s="4" t="str"/>
      <x:c r="G105" s="4" t="str">
        <x:v>系统概要或共同业务条款：已保留全文，不用端侧用例数量反推本条完整覆盖；跨段等价映射尚未逐项闭合。</x:v>
      </x:c>
    </x:row>
    <x:row r="106" ht="44" customHeight="1">
      <x:c r="A106" s="4" t="str">
        <x:v>概要-239</x:v>
      </x:c>
      <x:c r="B106" s="4" t="str">
        <x:v>系统概要与公共规则</x:v>
      </x:c>
      <x:c r="C106" s="4" t="n">
        <x:v>239</x:v>
      </x:c>
      <x:c r="D106" s="4" t="str">
        <x:v>|申请好友|向被申请人发送申请通知，已有申请时不能重复申请；被申请人同意后，双方成为好友|\-|</x:v>
      </x:c>
      <x:c r="E106" s="4" t="str">
        <x:v>尚未建立场景映射</x:v>
      </x:c>
      <x:c r="F106" s="4" t="str"/>
      <x:c r="G106" s="4" t="str">
        <x:v>系统概要或共同业务条款：已保留全文，不用端侧用例数量反推本条完整覆盖；跨段等价映射尚未逐项闭合。</x:v>
      </x:c>
    </x:row>
    <x:row r="107" ht="44" customHeight="1">
      <x:c r="A107" s="4" t="str">
        <x:v>概要-240</x:v>
      </x:c>
      <x:c r="B107" s="4" t="str">
        <x:v>系统概要与公共规则</x:v>
      </x:c>
      <x:c r="C107" s="4" t="n">
        <x:v>240</x:v>
      </x:c>
      <x:c r="D107" s="4" t="str">
        <x:v>|删除好友|解除双方的好友关系，删除聊天列表中对话框及聊天记录|\-|</x:v>
      </x:c>
      <x:c r="E107" s="4" t="str">
        <x:v>尚未建立场景映射</x:v>
      </x:c>
      <x:c r="F107" s="4" t="str"/>
      <x:c r="G107" s="4" t="str">
        <x:v>系统概要或共同业务条款：已保留全文，不用端侧用例数量反推本条完整覆盖；跨段等价映射尚未逐项闭合。</x:v>
      </x:c>
    </x:row>
    <x:row r="108" ht="44" customHeight="1">
      <x:c r="A108" s="4" t="str">
        <x:v>概要-241</x:v>
      </x:c>
      <x:c r="B108" s="4" t="str">
        <x:v>系统概要与公共规则</x:v>
      </x:c>
      <x:c r="C108" s="4" t="n">
        <x:v>241</x:v>
      </x:c>
      <x:c r="D108" s="4" t="str">
        <x:v>|举报|生成举报工单|\-|</x:v>
      </x:c>
      <x:c r="E108" s="4" t="str">
        <x:v>尚未建立场景映射</x:v>
      </x:c>
      <x:c r="F108" s="4" t="str"/>
      <x:c r="G108" s="4" t="str">
        <x:v>系统概要或共同业务条款：已保留全文，不用端侧用例数量反推本条完整覆盖；跨段等价映射尚未逐项闭合。</x:v>
      </x:c>
    </x:row>
    <x:row r="109" ht="44" customHeight="1">
      <x:c r="A109" s="4" t="str">
        <x:v>概要-242</x:v>
      </x:c>
      <x:c r="B109" s="4" t="str">
        <x:v>系统概要与公共规则</x:v>
      </x:c>
      <x:c r="C109" s="4" t="n">
        <x:v>242</x:v>
      </x:c>
      <x:c r="D109" s="4" t="str">
        <x:v>|私信|好友之间可以私信；非好友最多发送三条私信|\-|</x:v>
      </x:c>
      <x:c r="E109" s="4" t="str">
        <x:v>尚未建立场景映射</x:v>
      </x:c>
      <x:c r="F109" s="4" t="str"/>
      <x:c r="G109" s="4" t="str">
        <x:v>系统概要或共同业务条款：已保留全文，不用端侧用例数量反推本条完整覆盖；跨段等价映射尚未逐项闭合。</x:v>
      </x:c>
    </x:row>
    <x:row r="110" ht="44" customHeight="1">
      <x:c r="A110" s="4" t="str">
        <x:v>概要-248</x:v>
      </x:c>
      <x:c r="B110" s="4" t="str">
        <x:v>系统概要与公共规则</x:v>
      </x:c>
      <x:c r="C110" s="4" t="n">
        <x:v>248</x:v>
      </x:c>
      <x:c r="D110" s="4" t="str">
        <x:v>|动作|后果|是否可取消|</x:v>
      </x:c>
      <x:c r="E110" s="4" t="str">
        <x:v>尚未建立场景映射</x:v>
      </x:c>
      <x:c r="F110" s="4" t="str"/>
      <x:c r="G110" s="4" t="str">
        <x:v>系统概要或共同业务条款：已保留全文，不用端侧用例数量反推本条完整覆盖；跨段等价映射尚未逐项闭合。</x:v>
      </x:c>
    </x:row>
    <x:row r="111" ht="44" customHeight="1">
      <x:c r="A111" s="4" t="str">
        <x:v>概要-250</x:v>
      </x:c>
      <x:c r="B111" s="4" t="str">
        <x:v>系统概要与公共规则</x:v>
      </x:c>
      <x:c r="C111" s="4" t="n">
        <x:v>250</x:v>
      </x:c>
      <x:c r="D111" s="4" t="str">
        <x:v>|禁言|观众本场次不能继续发送公屏消息，下一场次恢复|是|</x:v>
      </x:c>
      <x:c r="E111" s="4" t="str">
        <x:v>尚未建立场景映射</x:v>
      </x:c>
      <x:c r="F111" s="4" t="str"/>
      <x:c r="G111" s="4" t="str">
        <x:v>系统概要或共同业务条款：已保留全文，不用端侧用例数量反推本条完整覆盖；跨段等价映射尚未逐项闭合。</x:v>
      </x:c>
    </x:row>
    <x:row r="112" ht="44" customHeight="1">
      <x:c r="A112" s="4" t="str">
        <x:v>概要-251</x:v>
      </x:c>
      <x:c r="B112" s="4" t="str">
        <x:v>系统概要与公共规则</x:v>
      </x:c>
      <x:c r="C112" s="4" t="n">
        <x:v>251</x:v>
      </x:c>
      <x:c r="D112" s="4" t="str">
        <x:v>|踢出直播间|观众退出直播间，本场次不可重进，下一场次恢复；门票房门票不退款|\-|</x:v>
      </x:c>
      <x:c r="E112" s="4" t="str">
        <x:v>尚未建立场景映射</x:v>
      </x:c>
      <x:c r="F112" s="4" t="str"/>
      <x:c r="G112" s="4" t="str">
        <x:v>系统概要或共同业务条款：已保留全文，不用端侧用例数量反推本条完整覆盖；跨段等价映射尚未逐项闭合。</x:v>
      </x:c>
    </x:row>
    <x:row r="113" ht="44" customHeight="1">
      <x:c r="A113" s="4" t="str">
        <x:v>概要-252</x:v>
      </x:c>
      <x:c r="B113" s="4" t="str">
        <x:v>系统概要与公共规则</x:v>
      </x:c>
      <x:c r="C113" s="4" t="n">
        <x:v>252</x:v>
      </x:c>
      <x:c r="D113" s="4" t="str">
        <x:v>|设置房管|房管可以对直播间观众执行禁言、踢出和屏蔽单条评论；&lt;br&gt;每位主播最多设置 3 名房管，授权长期有效|是|</x:v>
      </x:c>
      <x:c r="E113" s="4" t="str">
        <x:v>尚未建立场景映射</x:v>
      </x:c>
      <x:c r="F113" s="4" t="str"/>
      <x:c r="G113" s="4" t="str">
        <x:v>系统概要或共同业务条款：已保留全文，不用端侧用例数量反推本条完整覆盖；跨段等价映射尚未逐项闭合。</x:v>
      </x:c>
    </x:row>
    <x:row r="114" ht="44" customHeight="1">
      <x:c r="A114" s="4" t="str">
        <x:v>概要-253</x:v>
      </x:c>
      <x:c r="B114" s="4" t="str">
        <x:v>系统概要与公共规则</x:v>
      </x:c>
      <x:c r="C114" s="4" t="n">
        <x:v>253</x:v>
      </x:c>
      <x:c r="D114" s="4" t="str">
        <x:v>|屏蔽单条评论、清屏|主播和观众均不能看到被屏蔽的评论；清空当前公屏消息|\-|</x:v>
      </x:c>
      <x:c r="E114" s="4" t="str">
        <x:v>尚未建立场景映射</x:v>
      </x:c>
      <x:c r="F114" s="4" t="str"/>
      <x:c r="G114" s="4" t="str">
        <x:v>系统概要或共同业务条款：已保留全文，不用端侧用例数量反推本条完整覆盖；跨段等价映射尚未逐项闭合。</x:v>
      </x:c>
    </x:row>
    <x:row r="115" ht="44" customHeight="1">
      <x:c r="A115" s="4" t="str">
        <x:v>概要-259</x:v>
      </x:c>
      <x:c r="B115" s="4" t="str">
        <x:v>系统概要与公共规则</x:v>
      </x:c>
      <x:c r="C115" s="4" t="n">
        <x:v>259</x:v>
      </x:c>
      <x:c r="D115" s="4" t="str">
        <x:v>|动作|后果|是否可取消|</x:v>
      </x:c>
      <x:c r="E115" s="4" t="str">
        <x:v>尚未建立场景映射</x:v>
      </x:c>
      <x:c r="F115" s="4" t="str"/>
      <x:c r="G115" s="4" t="str">
        <x:v>系统概要或共同业务条款：已保留全文，不用端侧用例数量反推本条完整覆盖；跨段等价映射尚未逐项闭合。</x:v>
      </x:c>
    </x:row>
    <x:row r="116" ht="44" customHeight="1">
      <x:c r="A116" s="4" t="str">
        <x:v>概要-261</x:v>
      </x:c>
      <x:c r="B116" s="4" t="str">
        <x:v>系统概要与公共规则</x:v>
      </x:c>
      <x:c r="C116" s="4" t="n">
        <x:v>261</x:v>
      </x:c>
      <x:c r="D116" s="4" t="str">
        <x:v>|移除粉丝群成员&lt;br&gt;/ 主动退出粉丝群|退出粉丝群并卸下粉丝身份标识；&lt;br&gt;用户粉丝等级和亲密度清零，重新入团后从 0 开始累计|\-|</x:v>
      </x:c>
      <x:c r="E116" s="4" t="str">
        <x:v>尚未建立场景映射</x:v>
      </x:c>
      <x:c r="F116" s="4" t="str"/>
      <x:c r="G116" s="4" t="str">
        <x:v>系统概要或共同业务条款：已保留全文，不用端侧用例数量反推本条完整覆盖；跨段等价映射尚未逐项闭合。</x:v>
      </x:c>
    </x:row>
    <x:row r="117" ht="44" customHeight="1">
      <x:c r="A117" s="4" t="str">
        <x:v>概要-262</x:v>
      </x:c>
      <x:c r="B117" s="4" t="str">
        <x:v>系统概要与公共规则</x:v>
      </x:c>
      <x:c r="C117" s="4" t="n">
        <x:v>262</x:v>
      </x:c>
      <x:c r="D117" s="4" t="str">
        <x:v>|单人 / 全员禁言|只限制对应成员的群内发言|是|</x:v>
      </x:c>
      <x:c r="E117" s="4" t="str">
        <x:v>尚未建立场景映射</x:v>
      </x:c>
      <x:c r="F117" s="4" t="str"/>
      <x:c r="G117" s="4" t="str">
        <x:v>系统概要或共同业务条款：已保留全文，不用端侧用例数量反推本条完整覆盖；跨段等价映射尚未逐项闭合。</x:v>
      </x:c>
    </x:row>
    <x:row r="118" ht="44" customHeight="1">
      <x:c r="A118" s="4" t="str">
        <x:v>概要-268</x:v>
      </x:c>
      <x:c r="B118" s="4" t="str">
        <x:v>系统概要与公共规则</x:v>
      </x:c>
      <x:c r="C118" s="4" t="n">
        <x:v>268</x:v>
      </x:c>
      <x:c r="D118" s="4" t="str">
        <x:v>- 连麦的前提条件：双方主播均在普通房型中直播、均处于未连麦状态，且不存在账号拉黑关系。</x:v>
      </x:c>
      <x:c r="E118" s="4" t="str">
        <x:v>尚未建立场景映射</x:v>
      </x:c>
      <x:c r="F118" s="4" t="str"/>
      <x:c r="G118" s="4" t="str">
        <x:v>系统概要或共同业务条款：已保留全文，不用端侧用例数量反推本条完整覆盖；跨段等价映射尚未逐项闭合。</x:v>
      </x:c>
    </x:row>
    <x:row r="119" ht="44" customHeight="1">
      <x:c r="A119" s="4" t="str">
        <x:v>概要-270</x:v>
      </x:c>
      <x:c r="B119" s="4" t="str">
        <x:v>系统概要与公共规则</x:v>
      </x:c>
      <x:c r="C119" s="4" t="n">
        <x:v>270</x:v>
      </x:c>
      <x:c r="D119" s="4" t="str">
        <x:v>- 任一方中途结束直播，其发出的邀请和进行中的连麦均立即失效。</x:v>
      </x:c>
      <x:c r="E119" s="4" t="str">
        <x:v>尚未建立场景映射</x:v>
      </x:c>
      <x:c r="F119" s="4" t="str"/>
      <x:c r="G119" s="4" t="str">
        <x:v>系统概要或共同业务条款：已保留全文，不用端侧用例数量反推本条完整覆盖；跨段等价映射尚未逐项闭合。</x:v>
      </x:c>
    </x:row>
    <x:row r="120" ht="44" customHeight="1">
      <x:c r="A120" s="4" t="str">
        <x:v>概要-272</x:v>
      </x:c>
      <x:c r="B120" s="4" t="str">
        <x:v>系统概要与公共规则</x:v>
      </x:c>
      <x:c r="C120" s="4" t="n">
        <x:v>272</x:v>
      </x:c>
      <x:c r="D120" s="4" t="str">
        <x:v>|动作（A → B）|规则或后果|</x:v>
      </x:c>
      <x:c r="E120" s="4" t="str">
        <x:v>尚未建立场景映射</x:v>
      </x:c>
      <x:c r="F120" s="4" t="str"/>
      <x:c r="G120" s="4" t="str">
        <x:v>系统概要或共同业务条款：已保留全文，不用端侧用例数量反推本条完整覆盖；跨段等价映射尚未逐项闭合。</x:v>
      </x:c>
    </x:row>
    <x:row r="121" ht="44" customHeight="1">
      <x:c r="A121" s="4" t="str">
        <x:v>概要-274</x:v>
      </x:c>
      <x:c r="B121" s="4" t="str">
        <x:v>系统概要与公共规则</x:v>
      </x:c>
      <x:c r="C121" s="4" t="n">
        <x:v>274</x:v>
      </x:c>
      <x:c r="D121" s="4" t="str">
        <x:v>|邀请连麦|A 只能发起一个邀请；B 可以收到多个邀请|</x:v>
      </x:c>
      <x:c r="E121" s="4" t="str">
        <x:v>尚未建立场景映射</x:v>
      </x:c>
      <x:c r="F121" s="4" t="str"/>
      <x:c r="G121" s="4" t="str">
        <x:v>系统概要或共同业务条款：已保留全文，不用端侧用例数量反推本条完整覆盖；跨段等价映射尚未逐项闭合。</x:v>
      </x:c>
    </x:row>
    <x:row r="122" ht="44" customHeight="1">
      <x:c r="A122" s="4" t="str">
        <x:v>概要-275</x:v>
      </x:c>
      <x:c r="B122" s="4" t="str">
        <x:v>系统概要与公共规则</x:v>
      </x:c>
      <x:c r="C122" s="4" t="n">
        <x:v>275</x:v>
      </x:c>
      <x:c r="D122" s="4" t="str">
        <x:v>|取消邀请|已发起的邀请失效|</x:v>
      </x:c>
      <x:c r="E122" s="4" t="str">
        <x:v>尚未建立场景映射</x:v>
      </x:c>
      <x:c r="F122" s="4" t="str"/>
      <x:c r="G122" s="4" t="str">
        <x:v>系统概要或共同业务条款：已保留全文，不用端侧用例数量反推本条完整覆盖；跨段等价映射尚未逐项闭合。</x:v>
      </x:c>
    </x:row>
    <x:row r="123" ht="44" customHeight="1">
      <x:c r="A123" s="4" t="str">
        <x:v>概要-276</x:v>
      </x:c>
      <x:c r="B123" s="4" t="str">
        <x:v>系统概要与公共规则</x:v>
      </x:c>
      <x:c r="C123" s="4" t="n">
        <x:v>276</x:v>
      </x:c>
      <x:c r="D123" s="4" t="str">
        <x:v>|拒绝邀请|已发起的邀请失效|</x:v>
      </x:c>
      <x:c r="E123" s="4" t="str">
        <x:v>尚未建立场景映射</x:v>
      </x:c>
      <x:c r="F123" s="4" t="str"/>
      <x:c r="G123" s="4" t="str">
        <x:v>系统概要或共同业务条款：已保留全文，不用端侧用例数量反推本条完整覆盖；跨段等价映射尚未逐项闭合。</x:v>
      </x:c>
    </x:row>
    <x:row r="124" ht="44" customHeight="1">
      <x:c r="A124" s="4" t="str">
        <x:v>概要-277</x:v>
      </x:c>
      <x:c r="B124" s="4" t="str">
        <x:v>系统概要与公共规则</x:v>
      </x:c>
      <x:c r="C124" s="4" t="n">
        <x:v>277</x:v>
      </x:c>
      <x:c r="D124" s="4" t="str">
        <x:v>|接受邀请|已发起的邀请失效；已收到的其他邀请保留|</x:v>
      </x:c>
      <x:c r="E124" s="4" t="str">
        <x:v>尚未建立场景映射</x:v>
      </x:c>
      <x:c r="F124" s="4" t="str"/>
      <x:c r="G124" s="4" t="str">
        <x:v>系统概要或共同业务条款：已保留全文，不用端侧用例数量反推本条完整覆盖；跨段等价映射尚未逐项闭合。</x:v>
      </x:c>
    </x:row>
    <x:row r="125" ht="44" customHeight="1">
      <x:c r="A125" s="4" t="str">
        <x:v>概要-278</x:v>
      </x:c>
      <x:c r="B125" s="4" t="str">
        <x:v>系统概要与公共规则</x:v>
      </x:c>
      <x:c r="C125" s="4" t="n">
        <x:v>278</x:v>
      </x:c>
      <x:c r="D125" s="4" t="str">
        <x:v>|被接受邀请|不能发起邀请，也不能接受邀请|</x:v>
      </x:c>
      <x:c r="E125" s="4" t="str">
        <x:v>尚未建立场景映射</x:v>
      </x:c>
      <x:c r="F125" s="4" t="str"/>
      <x:c r="G125" s="4" t="str">
        <x:v>系统概要或共同业务条款：已保留全文，不用端侧用例数量反推本条完整覆盖；跨段等价映射尚未逐项闭合。</x:v>
      </x:c>
    </x:row>
    <x:row r="126" ht="44" customHeight="1">
      <x:c r="A126" s="4" t="str">
        <x:v>概要-279</x:v>
      </x:c>
      <x:c r="B126" s="4" t="str">
        <x:v>系统概要与公共规则</x:v>
      </x:c>
      <x:c r="C126" s="4" t="n">
        <x:v>279</x:v>
      </x:c>
      <x:c r="D126" s="4" t="str">
        <x:v>|结束连麦|双方立即退出连麦画面，各自原直播仍继续|</x:v>
      </x:c>
      <x:c r="E126" s="4" t="str">
        <x:v>尚未建立场景映射</x:v>
      </x:c>
      <x:c r="F126" s="4" t="str"/>
      <x:c r="G126" s="4" t="str">
        <x:v>系统概要或共同业务条款：已保留全文，不用端侧用例数量反推本条完整覆盖；跨段等价映射尚未逐项闭合。</x:v>
      </x:c>
    </x:row>
    <x:row r="127" ht="44" customHeight="1">
      <x:c r="A127" s="4" t="str">
        <x:v>概要-285</x:v>
      </x:c>
      <x:c r="B127" s="4" t="str">
        <x:v>系统概要与公共规则</x:v>
      </x:c>
      <x:c r="C127" s="4" t="n">
        <x:v>285</x:v>
      </x:c>
      <x:c r="D127" s="4" t="str">
        <x:v>- 举报对象：账号、直播场次。直播场次的举报入口仅在直播中开放。</x:v>
      </x:c>
      <x:c r="E127" s="4" t="str">
        <x:v>尚未建立场景映射</x:v>
      </x:c>
      <x:c r="F127" s="4" t="str"/>
      <x:c r="G127" s="4" t="str">
        <x:v>系统概要或共同业务条款：已保留全文，不用端侧用例数量反推本条完整覆盖；跨段等价映射尚未逐项闭合。</x:v>
      </x:c>
    </x:row>
    <x:row r="128" ht="44" customHeight="1">
      <x:c r="A128" s="4" t="str">
        <x:v>概要-287</x:v>
      </x:c>
      <x:c r="B128" s="4" t="str">
        <x:v>系统概要与公共规则</x:v>
      </x:c>
      <x:c r="C128" s="4" t="n">
        <x:v>287</x:v>
      </x:c>
      <x:c r="D128" s="4" t="str">
        <x:v>- 举报类型：色情低俗、涉及宗教政治、暴恐血腥、未成年人有害、其他。</x:v>
      </x:c>
      <x:c r="E128" s="4" t="str">
        <x:v>尚未建立场景映射</x:v>
      </x:c>
      <x:c r="F128" s="4" t="str"/>
      <x:c r="G128" s="4" t="str">
        <x:v>系统概要或共同业务条款：已保留全文，不用端侧用例数量反推本条完整覆盖；跨段等价映射尚未逐项闭合。</x:v>
      </x:c>
    </x:row>
    <x:row r="129" ht="44" customHeight="1">
      <x:c r="A129" s="4" t="str">
        <x:v>概要-291</x:v>
      </x:c>
      <x:c r="B129" s="4" t="str">
        <x:v>系统概要与公共规则</x:v>
      </x:c>
      <x:c r="C129" s="4" t="n">
        <x:v>291</x:v>
      </x:c>
      <x:c r="D129" s="4" t="str">
        <x:v>|处置类型|即时后果|处置前/后直播间状态|通知|</x:v>
      </x:c>
      <x:c r="E129" s="4" t="str">
        <x:v>尚未建立场景映射</x:v>
      </x:c>
      <x:c r="F129" s="4" t="str"/>
      <x:c r="G129" s="4" t="str">
        <x:v>系统概要或共同业务条款：已保留全文，不用端侧用例数量反推本条完整覆盖；跨段等价映射尚未逐项闭合。</x:v>
      </x:c>
    </x:row>
    <x:row r="130" ht="44" customHeight="1">
      <x:c r="A130" s="4" t="str">
        <x:v>概要-293</x:v>
      </x:c>
      <x:c r="B130" s="4" t="str">
        <x:v>系统概要与公共规则</x:v>
      </x:c>
      <x:c r="C130" s="4" t="n">
        <x:v>293</x:v>
      </x:c>
      <x:c r="D130" s="4" t="str">
        <x:v>|不处置|\-\-&lt;br&gt;|直播中 → 直播中|通知举报人：“举报内容暂无可处置违规，感谢您的反馈”|</x:v>
      </x:c>
      <x:c r="E130" s="4" t="str">
        <x:v>尚未建立场景映射</x:v>
      </x:c>
      <x:c r="F130" s="4" t="str"/>
      <x:c r="G130" s="4" t="str">
        <x:v>系统概要或共同业务条款：已保留全文，不用端侧用例数量反推本条完整覆盖；跨段等价映射尚未逐项闭合。</x:v>
      </x:c>
    </x:row>
    <x:row r="131" ht="57" customHeight="1">
      <x:c r="A131" s="4" t="str">
        <x:v>概要-294</x:v>
      </x:c>
      <x:c r="B131" s="4" t="str">
        <x:v>系统概要与公共规则</x:v>
      </x:c>
      <x:c r="C131" s="4" t="n">
        <x:v>294</x:v>
      </x:c>
      <x:c r="D131" s="4" t="str">
        <x:v>|警告|主播直播间弹窗强提示&lt;br&gt;|直播中 → 直播中|通知举报人：“举报成立，平台已依规处理”；消息通知并弹窗提示主播：“直播间存在违规，请及时调整”|</x:v>
      </x:c>
      <x:c r="E131" s="4" t="str">
        <x:v>尚未建立场景映射</x:v>
      </x:c>
      <x:c r="F131" s="4" t="str"/>
      <x:c r="G131" s="4" t="str">
        <x:v>系统概要或共同业务条款：已保留全文，不用端侧用例数量反推本条完整覆盖；跨段等价映射尚未逐项闭合。</x:v>
      </x:c>
    </x:row>
    <x:row r="132" ht="57" customHeight="1">
      <x:c r="A132" s="4" t="str">
        <x:v>概要-295</x:v>
      </x:c>
      <x:c r="B132" s="4" t="str">
        <x:v>系统概要与公共规则</x:v>
      </x:c>
      <x:c r="C132" s="4" t="n">
        <x:v>295</x:v>
      </x:c>
      <x:c r="D132" s="4" t="str">
        <x:v>|关播&lt;br&gt;|关闭当前直播间，不影响下次开播|直播中 → 已结束&lt;br&gt;|通知举报人同“警告”；通知主播：“直播间存在违规，平台已关闭直播间”|</x:v>
      </x:c>
      <x:c r="E132" s="4" t="str">
        <x:v>尚未建立场景映射</x:v>
      </x:c>
      <x:c r="F132" s="4" t="str"/>
      <x:c r="G132" s="4" t="str">
        <x:v>系统概要或共同业务条款：已保留全文，不用端侧用例数量反推本条完整覆盖；跨段等价映射尚未逐项闭合。</x:v>
      </x:c>
    </x:row>
    <x:row r="133" ht="57" customHeight="1">
      <x:c r="A133" s="4" t="str">
        <x:v>概要-296</x:v>
      </x:c>
      <x:c r="B133" s="4" t="str">
        <x:v>系统概要与公共规则</x:v>
      </x:c>
      <x:c r="C133" s="4" t="n">
        <x:v>296</x:v>
      </x:c>
      <x:c r="D133" s="4" t="str">
        <x:v>|关闭直播权限|关闭当前直播间，并关闭主播直播权限|直播中 → 已结束|通知举报人同“警告”；通知主播：“直播间严重违规，平台已关闭直播间，并关闭直播权限”|</x:v>
      </x:c>
      <x:c r="E133" s="4" t="str">
        <x:v>尚未建立场景映射</x:v>
      </x:c>
      <x:c r="F133" s="4" t="str"/>
      <x:c r="G133" s="4" t="str">
        <x:v>系统概要或共同业务条款：已保留全文，不用端侧用例数量反推本条完整覆盖；跨段等价映射尚未逐项闭合。</x:v>
      </x:c>
    </x:row>
    <x:row r="134" ht="44" customHeight="1">
      <x:c r="A134" s="4" t="str">
        <x:v>概要-306</x:v>
      </x:c>
      <x:c r="B134" s="4" t="str">
        <x:v>系统概要与公共规则</x:v>
      </x:c>
      <x:c r="C134" s="4" t="n">
        <x:v>306</x:v>
      </x:c>
      <x:c r="D134" s="4" t="str">
        <x:v>|处置类型|即时后果|处置前/后账号状态|通知|</x:v>
      </x:c>
      <x:c r="E134" s="4" t="str">
        <x:v>尚未建立场景映射</x:v>
      </x:c>
      <x:c r="F134" s="4" t="str"/>
      <x:c r="G134" s="4" t="str">
        <x:v>系统概要或共同业务条款：已保留全文，不用端侧用例数量反推本条完整覆盖；跨段等价映射尚未逐项闭合。</x:v>
      </x:c>
    </x:row>
    <x:row r="135" ht="44" customHeight="1">
      <x:c r="A135" s="4" t="str">
        <x:v>概要-308</x:v>
      </x:c>
      <x:c r="B135" s="4" t="str">
        <x:v>系统概要与公共规则</x:v>
      </x:c>
      <x:c r="C135" s="4" t="n">
        <x:v>308</x:v>
      </x:c>
      <x:c r="D135" s="4" t="str">
        <x:v>|不处置|\-\-|正常 → 正常|通知举报人：“举报账号暂无可处置的违规，感谢您的反馈”|</x:v>
      </x:c>
      <x:c r="E135" s="4" t="str">
        <x:v>尚未建立场景映射</x:v>
      </x:c>
      <x:c r="F135" s="4" t="str"/>
      <x:c r="G135" s="4" t="str">
        <x:v>系统概要或共同业务条款：已保留全文，不用端侧用例数量反推本条完整覆盖；跨段等价映射尚未逐项闭合。</x:v>
      </x:c>
    </x:row>
    <x:row r="136" ht="57" customHeight="1">
      <x:c r="A136" s="4" t="str">
        <x:v>概要-309</x:v>
      </x:c>
      <x:c r="B136" s="4" t="str">
        <x:v>系统概要与公共规则</x:v>
      </x:c>
      <x:c r="C136" s="4" t="n">
        <x:v>309</x:v>
      </x:c>
      <x:c r="D136" s="4" t="str">
        <x:v>|封禁账号|已登录账号强制下线，包含正在直播的账号；未登录账号禁止登录|正常 → 封禁|通知举报人：“举报成立，平台已依规处理”；被举报人登录时提示：“账号已封禁”|</x:v>
      </x:c>
      <x:c r="E136" s="4" t="str">
        <x:v>尚未建立场景映射</x:v>
      </x:c>
      <x:c r="F136" s="4" t="str"/>
      <x:c r="G136" s="4" t="str">
        <x:v>系统概要或共同业务条款：已保留全文，不用端侧用例数量反推本条完整覆盖；跨段等价映射尚未逐项闭合。</x:v>
      </x:c>
    </x:row>
    <x:row r="137" ht="44" customHeight="1">
      <x:c r="A137" s="4" t="str">
        <x:v>概要-317</x:v>
      </x:c>
      <x:c r="B137" s="4" t="str">
        <x:v>系统概要与公共规则</x:v>
      </x:c>
      <x:c r="C137" s="4" t="n">
        <x:v>317</x:v>
      </x:c>
      <x:c r="D137" s="4" t="str">
        <x:v>- 用户金币来自充值、充值赠送、签到、任务、邀请奖励、活动奖励和幸运礼物返奖。</x:v>
      </x:c>
      <x:c r="E137" s="4" t="str">
        <x:v>尚未建立场景映射</x:v>
      </x:c>
      <x:c r="F137" s="4" t="str"/>
      <x:c r="G137" s="4" t="str">
        <x:v>系统概要或共同业务条款：已保留全文，不用端侧用例数量反推本条完整覆盖；跨段等价映射尚未逐项闭合。</x:v>
      </x:c>
    </x:row>
    <x:row r="138" ht="44" customHeight="1">
      <x:c r="A138" s="4" t="str">
        <x:v>概要-319</x:v>
      </x:c>
      <x:c r="B138" s="4" t="str">
        <x:v>系统概要与公共规则</x:v>
      </x:c>
      <x:c r="C138" s="4" t="n">
        <x:v>319</x:v>
      </x:c>
      <x:c r="D138" s="4" t="str">
        <x:v>- 不同来源的真实金币进入同一金币账户，可用于赠送礼物或购买门票，不能兑换现金。</x:v>
      </x:c>
      <x:c r="E138" s="4" t="str">
        <x:v>尚未建立场景映射</x:v>
      </x:c>
      <x:c r="F138" s="4" t="str"/>
      <x:c r="G138" s="4" t="str">
        <x:v>系统概要或共同业务条款：已保留全文，不用端侧用例数量反推本条完整覆盖；跨段等价映射尚未逐项闭合。</x:v>
      </x:c>
    </x:row>
    <x:row r="139" ht="44" customHeight="1">
      <x:c r="A139" s="4" t="str">
        <x:v>概要-321</x:v>
      </x:c>
      <x:c r="B139" s="4" t="str">
        <x:v>系统概要与公共规则</x:v>
      </x:c>
      <x:c r="C139" s="4" t="n">
        <x:v>321</x:v>
      </x:c>
      <x:c r="D139" s="4" t="str">
        <x:v>- 充值成功后增加金币并生成充值记录；</x:v>
      </x:c>
      <x:c r="E139" s="4" t="str">
        <x:v>尚未建立场景映射</x:v>
      </x:c>
      <x:c r="F139" s="4" t="str"/>
      <x:c r="G139" s="4" t="str">
        <x:v>系统概要或共同业务条款：已保留全文，不用端侧用例数量反推本条完整覆盖；跨段等价映射尚未逐项闭合。</x:v>
      </x:c>
    </x:row>
    <x:row r="140" ht="44" customHeight="1">
      <x:c r="A140" s="4" t="str">
        <x:v>概要-323</x:v>
      </x:c>
      <x:c r="B140" s="4" t="str">
        <x:v>系统概要与公共规则</x:v>
      </x:c>
      <x:c r="C140" s="4" t="n">
        <x:v>323</x:v>
      </x:c>
      <x:c r="D140" s="4" t="str">
        <x:v>- 消费成功只扣减一次金币并生成消费记录，余额不足或条件检查失败时不扣减。</x:v>
      </x:c>
      <x:c r="E140" s="4" t="str">
        <x:v>尚未建立场景映射</x:v>
      </x:c>
      <x:c r="F140" s="4" t="str"/>
      <x:c r="G140" s="4" t="str">
        <x:v>系统概要或共同业务条款：已保留全文，不用端侧用例数量反推本条完整覆盖；跨段等价映射尚未逐项闭合。</x:v>
      </x:c>
    </x:row>
    <x:row r="141" ht="44" customHeight="1">
      <x:c r="A141" s="4" t="str">
        <x:v>概要-325</x:v>
      </x:c>
      <x:c r="B141" s="4" t="str">
        <x:v>系统概要与公共规则</x:v>
      </x:c>
      <x:c r="C141" s="4" t="n">
        <x:v>325</x:v>
      </x:c>
      <x:c r="D141" s="4" t="str">
        <x:v>- 金币余额为负数时不能继续消费；后续充值到账的金币先抵扣负余额，剩余部分计入可用余额。</x:v>
      </x:c>
      <x:c r="E141" s="4" t="str">
        <x:v>尚未建立场景映射</x:v>
      </x:c>
      <x:c r="F141" s="4" t="str"/>
      <x:c r="G141" s="4" t="str">
        <x:v>系统概要或共同业务条款：已保留全文，不用端侧用例数量反推本条完整覆盖；跨段等价映射尚未逐项闭合。</x:v>
      </x:c>
    </x:row>
    <x:row r="142" ht="44" customHeight="1">
      <x:c r="A142" s="4" t="str">
        <x:v>概要-331</x:v>
      </x:c>
      <x:c r="B142" s="4" t="str">
        <x:v>系统概要与公共规则</x:v>
      </x:c>
      <x:c r="C142" s="4" t="n">
        <x:v>331</x:v>
      </x:c>
      <x:c r="D142" s="4" t="str">
        <x:v>|类型|规则|</x:v>
      </x:c>
      <x:c r="E142" s="4" t="str">
        <x:v>尚未建立场景映射</x:v>
      </x:c>
      <x:c r="F142" s="4" t="str"/>
      <x:c r="G142" s="4" t="str">
        <x:v>系统概要或共同业务条款：已保留全文，不用端侧用例数量反推本条完整覆盖；跨段等价映射尚未逐项闭合。</x:v>
      </x:c>
    </x:row>
    <x:row r="143" ht="44" customHeight="1">
      <x:c r="A143" s="4" t="str">
        <x:v>概要-333</x:v>
      </x:c>
      <x:c r="B143" s="4" t="str">
        <x:v>系统概要与公共规则</x:v>
      </x:c>
      <x:c r="C143" s="4" t="n">
        <x:v>333</x:v>
      </x:c>
      <x:c r="D143" s="4" t="str">
        <x:v>|普通礼物|按平台配置的金币价格长期上架，由平台手动上下架。|</x:v>
      </x:c>
      <x:c r="E143" s="4" t="str">
        <x:v>尚未建立场景映射</x:v>
      </x:c>
      <x:c r="F143" s="4" t="str"/>
      <x:c r="G143" s="4" t="str">
        <x:v>系统概要或共同业务条款：已保留全文，不用端侧用例数量反推本条完整覆盖；跨段等价映射尚未逐项闭合。</x:v>
      </x:c>
    </x:row>
    <x:row r="144" ht="44" customHeight="1">
      <x:c r="A144" s="4" t="str">
        <x:v>概要-334</x:v>
      </x:c>
      <x:c r="B144" s="4" t="str">
        <x:v>系统概要与公共规则</x:v>
      </x:c>
      <x:c r="C144" s="4" t="n">
        <x:v>334</x:v>
      </x:c>
      <x:c r="D144" s="4" t="str">
        <x:v>|定制礼物|按配置时间生效和失效，平台可提前下架。|</x:v>
      </x:c>
      <x:c r="E144" s="4" t="str">
        <x:v>尚未建立场景映射</x:v>
      </x:c>
      <x:c r="F144" s="4" t="str"/>
      <x:c r="G144" s="4" t="str">
        <x:v>系统概要或共同业务条款：已保留全文，不用端侧用例数量反推本条完整覆盖；跨段等价映射尚未逐项闭合。</x:v>
      </x:c>
    </x:row>
    <x:row r="145" ht="44" customHeight="1">
      <x:c r="A145" s="4" t="str">
        <x:v>概要-335</x:v>
      </x:c>
      <x:c r="B145" s="4" t="str">
        <x:v>系统概要与公共规则</x:v>
      </x:c>
      <x:c r="C145" s="4" t="n">
        <x:v>335</x:v>
      </x:c>
      <x:c r="D145" s="4" t="str">
        <x:v>|幸运礼物|每个礼物独立开奖，中奖金币返还用户；价格、奖励档位和概率由平台配置。|</x:v>
      </x:c>
      <x:c r="E145" s="4" t="str">
        <x:v>尚未建立场景映射</x:v>
      </x:c>
      <x:c r="F145" s="4" t="str"/>
      <x:c r="G145" s="4" t="str">
        <x:v>系统概要或共同业务条款：已保留全文，不用端侧用例数量反推本条完整覆盖；跨段等价映射尚未逐项闭合。</x:v>
      </x:c>
    </x:row>
    <x:row r="146" ht="44" customHeight="1">
      <x:c r="A146" s="4" t="str">
        <x:v>概要-336</x:v>
      </x:c>
      <x:c r="B146" s="4" t="str">
        <x:v>系统概要与公共规则</x:v>
      </x:c>
      <x:c r="C146" s="4" t="n">
        <x:v>336</x:v>
      </x:c>
      <x:c r="D146" s="4" t="str">
        <x:v>|门票|购买后获得当前直播场次的进入资格，按礼物类商品参与收益和分成。|</x:v>
      </x:c>
      <x:c r="E146" s="4" t="str">
        <x:v>尚未建立场景映射</x:v>
      </x:c>
      <x:c r="F146" s="4" t="str"/>
      <x:c r="G146" s="4" t="str">
        <x:v>系统概要或共同业务条款：已保留全文，不用端侧用例数量反推本条完整覆盖；跨段等价映射尚未逐项闭合。</x:v>
      </x:c>
    </x:row>
    <x:row r="147" ht="44" customHeight="1">
      <x:c r="A147" s="4" t="str">
        <x:v>概要-338</x:v>
      </x:c>
      <x:c r="B147" s="4" t="str">
        <x:v>系统概要与公共规则</x:v>
      </x:c>
      <x:c r="C147" s="4" t="n">
        <x:v>338</x:v>
      </x:c>
      <x:c r="D147" s="4" t="str">
        <x:v>- 礼物下架后不能继续赠送，已完成的赠送、开奖、消费和结算记录继续保留。</x:v>
      </x:c>
      <x:c r="E147" s="4" t="str">
        <x:v>尚未建立场景映射</x:v>
      </x:c>
      <x:c r="F147" s="4" t="str"/>
      <x:c r="G147" s="4" t="str">
        <x:v>系统概要或共同业务条款：已保留全文，不用端侧用例数量反推本条完整覆盖；跨段等价映射尚未逐项闭合。</x:v>
      </x:c>
    </x:row>
    <x:row r="148" ht="44" customHeight="1">
      <x:c r="A148" s="4" t="str">
        <x:v>概要-340</x:v>
      </x:c>
      <x:c r="B148" s="4" t="str">
        <x:v>系统概要与公共规则</x:v>
      </x:c>
      <x:c r="C148" s="4" t="n">
        <x:v>340</x:v>
      </x:c>
      <x:c r="D148" s="4" t="str">
        <x:v>- 连续赠送按每个礼物分别扣减金币并记录结果。</x:v>
      </x:c>
      <x:c r="E148" s="4" t="str">
        <x:v>尚未建立场景映射</x:v>
      </x:c>
      <x:c r="F148" s="4" t="str"/>
      <x:c r="G148" s="4" t="str">
        <x:v>系统概要或共同业务条款：已保留全文，不用端侧用例数量反推本条完整覆盖；跨段等价映射尚未逐项闭合。</x:v>
      </x:c>
    </x:row>
    <x:row r="149" ht="44" customHeight="1">
      <x:c r="A149" s="4" t="str">
        <x:v>概要-342</x:v>
      </x:c>
      <x:c r="B149" s="4" t="str">
        <x:v>系统概要与公共规则</x:v>
      </x:c>
      <x:c r="C149" s="4" t="n">
        <x:v>342</x:v>
      </x:c>
      <x:c r="D149" s="4" t="str">
        <x:v>- 已成功赠送的礼物和已购买的门票不支持退款或退回，充值订单退款不撤销已完成的礼物和门票消费。</x:v>
      </x:c>
      <x:c r="E149" s="4" t="str">
        <x:v>尚未建立场景映射</x:v>
      </x:c>
      <x:c r="F149" s="4" t="str"/>
      <x:c r="G149" s="4" t="str">
        <x:v>系统概要或共同业务条款：已保留全文，不用端侧用例数量反推本条完整覆盖；跨段等价映射尚未逐项闭合。</x:v>
      </x:c>
    </x:row>
    <x:row r="150" ht="44" customHeight="1">
      <x:c r="A150" s="4" t="str">
        <x:v>概要-356</x:v>
      </x:c>
      <x:c r="B150" s="4" t="str">
        <x:v>系统概要与公共规则</x:v>
      </x:c>
      <x:c r="C150" s="4" t="n">
        <x:v>356</x:v>
      </x:c>
      <x:c r="D150" s="4" t="str">
        <x:v>|一次送出数量|每个礼物消耗|长期平均返还比例|</x:v>
      </x:c>
      <x:c r="E150" s="4" t="str">
        <x:v>尚未建立场景映射</x:v>
      </x:c>
      <x:c r="F150" s="4" t="str"/>
      <x:c r="G150" s="4" t="str">
        <x:v>系统概要或共同业务条款：已保留全文，不用端侧用例数量反推本条完整覆盖；跨段等价映射尚未逐项闭合。</x:v>
      </x:c>
    </x:row>
    <x:row r="151" ht="44" customHeight="1">
      <x:c r="A151" s="4" t="str">
        <x:v>概要-358</x:v>
      </x:c>
      <x:c r="B151" s="4" t="str">
        <x:v>系统概要与公共规则</x:v>
      </x:c>
      <x:c r="C151" s="4" t="n">
        <x:v>358</x:v>
      </x:c>
      <x:c r="D151" s="4" t="str">
        <x:v>|1 个|10 金币|96%|</x:v>
      </x:c>
      <x:c r="E151" s="4" t="str">
        <x:v>尚未建立场景映射</x:v>
      </x:c>
      <x:c r="F151" s="4" t="str"/>
      <x:c r="G151" s="4" t="str">
        <x:v>系统概要或共同业务条款：已保留全文，不用端侧用例数量反推本条完整覆盖；跨段等价映射尚未逐项闭合。</x:v>
      </x:c>
    </x:row>
    <x:row r="152" ht="44" customHeight="1">
      <x:c r="A152" s="4" t="str">
        <x:v>概要-359</x:v>
      </x:c>
      <x:c r="B152" s="4" t="str">
        <x:v>系统概要与公共规则</x:v>
      </x:c>
      <x:c r="C152" s="4" t="n">
        <x:v>359</x:v>
      </x:c>
      <x:c r="D152" s="4" t="str">
        <x:v>|10 个|10 金币|97%|</x:v>
      </x:c>
      <x:c r="E152" s="4" t="str">
        <x:v>尚未建立场景映射</x:v>
      </x:c>
      <x:c r="F152" s="4" t="str"/>
      <x:c r="G152" s="4" t="str">
        <x:v>系统概要或共同业务条款：已保留全文，不用端侧用例数量反推本条完整覆盖；跨段等价映射尚未逐项闭合。</x:v>
      </x:c>
    </x:row>
    <x:row r="153" ht="44" customHeight="1">
      <x:c r="A153" s="4" t="str">
        <x:v>概要-360</x:v>
      </x:c>
      <x:c r="B153" s="4" t="str">
        <x:v>系统概要与公共规则</x:v>
      </x:c>
      <x:c r="C153" s="4" t="n">
        <x:v>360</x:v>
      </x:c>
      <x:c r="D153" s="4" t="str">
        <x:v>|100 个及以上|10 金币|98%|</x:v>
      </x:c>
      <x:c r="E153" s="4" t="str">
        <x:v>尚未建立场景映射</x:v>
      </x:c>
      <x:c r="F153" s="4" t="str"/>
      <x:c r="G153" s="4" t="str">
        <x:v>系统概要或共同业务条款：已保留全文，不用端侧用例数量反推本条完整覆盖；跨段等价映射尚未逐项闭合。</x:v>
      </x:c>
    </x:row>
    <x:row r="154" ht="44" customHeight="1">
      <x:c r="A154" s="4" t="str">
        <x:v>概要-370</x:v>
      </x:c>
      <x:c r="B154" s="4" t="str">
        <x:v>系统概要与公共规则</x:v>
      </x:c>
      <x:c r="C154" s="4" t="n">
        <x:v>370</x:v>
      </x:c>
      <x:c r="D154" s="4" t="str">
        <x:v>|单次开奖返还金币|【1 连抽】概率|【10 连抽】概率|【100 连抽】概率|</x:v>
      </x:c>
      <x:c r="E154" s="4" t="str">
        <x:v>尚未建立场景映射</x:v>
      </x:c>
      <x:c r="F154" s="4" t="str"/>
      <x:c r="G154" s="4" t="str">
        <x:v>系统概要或共同业务条款：已保留全文，不用端侧用例数量反推本条完整覆盖；跨段等价映射尚未逐项闭合。</x:v>
      </x:c>
    </x:row>
    <x:row r="155" ht="44" customHeight="1">
      <x:c r="A155" s="4" t="str">
        <x:v>概要-372</x:v>
      </x:c>
      <x:c r="B155" s="4" t="str">
        <x:v>系统概要与公共规则</x:v>
      </x:c>
      <x:c r="C155" s="4" t="n">
        <x:v>372</x:v>
      </x:c>
      <x:c r="D155" s="4" t="str">
        <x:v>|0|10\.4%|8\.4%|6\.4%|</x:v>
      </x:c>
      <x:c r="E155" s="4" t="str">
        <x:v>尚未建立场景映射</x:v>
      </x:c>
      <x:c r="F155" s="4" t="str"/>
      <x:c r="G155" s="4" t="str">
        <x:v>系统概要或共同业务条款：已保留全文，不用端侧用例数量反推本条完整覆盖；跨段等价映射尚未逐项闭合。</x:v>
      </x:c>
    </x:row>
    <x:row r="156" ht="44" customHeight="1">
      <x:c r="A156" s="4" t="str">
        <x:v>概要-373</x:v>
      </x:c>
      <x:c r="B156" s="4" t="str">
        <x:v>系统概要与公共规则</x:v>
      </x:c>
      <x:c r="C156" s="4" t="n">
        <x:v>373</x:v>
      </x:c>
      <x:c r="D156" s="4" t="str">
        <x:v>|5|32%|34%|36%|</x:v>
      </x:c>
      <x:c r="E156" s="4" t="str">
        <x:v>尚未建立场景映射</x:v>
      </x:c>
      <x:c r="F156" s="4" t="str"/>
      <x:c r="G156" s="4" t="str">
        <x:v>系统概要或共同业务条款：已保留全文，不用端侧用例数量反推本条完整覆盖；跨段等价映射尚未逐项闭合。</x:v>
      </x:c>
    </x:row>
    <x:row r="157" ht="44" customHeight="1">
      <x:c r="A157" s="4" t="str">
        <x:v>概要-374</x:v>
      </x:c>
      <x:c r="B157" s="4" t="str">
        <x:v>系统概要与公共规则</x:v>
      </x:c>
      <x:c r="C157" s="4" t="n">
        <x:v>374</x:v>
      </x:c>
      <x:c r="D157" s="4" t="str">
        <x:v>|10|55%|55%|55%|</x:v>
      </x:c>
      <x:c r="E157" s="4" t="str">
        <x:v>尚未建立场景映射</x:v>
      </x:c>
      <x:c r="F157" s="4" t="str"/>
      <x:c r="G157" s="4" t="str">
        <x:v>系统概要或共同业务条款：已保留全文，不用端侧用例数量反推本条完整覆盖；跨段等价映射尚未逐项闭合。</x:v>
      </x:c>
    </x:row>
    <x:row r="158" ht="44" customHeight="1">
      <x:c r="A158" s="4" t="str">
        <x:v>概要-375</x:v>
      </x:c>
      <x:c r="B158" s="4" t="str">
        <x:v>系统概要与公共规则</x:v>
      </x:c>
      <x:c r="C158" s="4" t="n">
        <x:v>375</x:v>
      </x:c>
      <x:c r="D158" s="4" t="str">
        <x:v>|50|2%|2%|2%|</x:v>
      </x:c>
      <x:c r="E158" s="4" t="str">
        <x:v>尚未建立场景映射</x:v>
      </x:c>
      <x:c r="F158" s="4" t="str"/>
      <x:c r="G158" s="4" t="str">
        <x:v>系统概要或共同业务条款：已保留全文，不用端侧用例数量反推本条完整覆盖；跨段等价映射尚未逐项闭合。</x:v>
      </x:c>
    </x:row>
    <x:row r="159" ht="44" customHeight="1">
      <x:c r="A159" s="4" t="str">
        <x:v>概要-376</x:v>
      </x:c>
      <x:c r="B159" s="4" t="str">
        <x:v>系统概要与公共规则</x:v>
      </x:c>
      <x:c r="C159" s="4" t="n">
        <x:v>376</x:v>
      </x:c>
      <x:c r="D159" s="4" t="str">
        <x:v>|100|0\.5%|0\.5%|0\.5%|</x:v>
      </x:c>
      <x:c r="E159" s="4" t="str">
        <x:v>尚未建立场景映射</x:v>
      </x:c>
      <x:c r="F159" s="4" t="str"/>
      <x:c r="G159" s="4" t="str">
        <x:v>系统概要或共同业务条款：已保留全文，不用端侧用例数量反推本条完整覆盖；跨段等价映射尚未逐项闭合。</x:v>
      </x:c>
    </x:row>
    <x:row r="160" ht="44" customHeight="1">
      <x:c r="A160" s="4" t="str">
        <x:v>概要-377</x:v>
      </x:c>
      <x:c r="B160" s="4" t="str">
        <x:v>系统概要与公共规则</x:v>
      </x:c>
      <x:c r="C160" s="4" t="n">
        <x:v>377</x:v>
      </x:c>
      <x:c r="D160" s="4" t="str">
        <x:v>|1000|0\.1%|0\.1%|0\.1%|</x:v>
      </x:c>
      <x:c r="E160" s="4" t="str">
        <x:v>尚未建立场景映射</x:v>
      </x:c>
      <x:c r="F160" s="4" t="str"/>
      <x:c r="G160" s="4" t="str">
        <x:v>系统概要或共同业务条款：已保留全文，不用端侧用例数量反推本条完整覆盖；跨段等价映射尚未逐项闭合。</x:v>
      </x:c>
    </x:row>
    <x:row r="161" ht="44" customHeight="1">
      <x:c r="A161" s="4" t="str">
        <x:v>概要-378</x:v>
      </x:c>
      <x:c r="B161" s="4" t="str">
        <x:v>系统概要与公共规则</x:v>
      </x:c>
      <x:c r="C161" s="4" t="n">
        <x:v>378</x:v>
      </x:c>
      <x:c r="D161" s="4" t="str">
        <x:v>|合计|100%|100%|100%|</x:v>
      </x:c>
      <x:c r="E161" s="4" t="str">
        <x:v>尚未建立场景映射</x:v>
      </x:c>
      <x:c r="F161" s="4" t="str"/>
      <x:c r="G161" s="4" t="str">
        <x:v>系统概要或共同业务条款：已保留全文，不用端侧用例数量反推本条完整覆盖；跨段等价映射尚未逐项闭合。</x:v>
      </x:c>
    </x:row>
    <x:row r="162" ht="44" customHeight="1">
      <x:c r="A162" s="4" t="str">
        <x:v>概要-382</x:v>
      </x:c>
      <x:c r="B162" s="4" t="str">
        <x:v>系统概要与公共规则</x:v>
      </x:c>
      <x:c r="C162" s="4" t="n">
        <x:v>382</x:v>
      </x:c>
      <x:c r="D162" s="4" t="str">
        <x:v>- 用户送出 1 个礼物，先扣除 10 金币。若获得 50 金币，余额净增加 40 金币；若获得 0 金币，则实际消耗 10 金币。</x:v>
      </x:c>
      <x:c r="E162" s="4" t="str">
        <x:v>尚未建立场景映射</x:v>
      </x:c>
      <x:c r="F162" s="4" t="str"/>
      <x:c r="G162" s="4" t="str">
        <x:v>系统概要或共同业务条款：已保留全文，不用端侧用例数量反推本条完整覆盖；跨段等价映射尚未逐项闭合。</x:v>
      </x:c>
    </x:row>
    <x:row r="163" ht="44" customHeight="1">
      <x:c r="A163" s="4" t="str">
        <x:v>概要-384</x:v>
      </x:c>
      <x:c r="B163" s="4" t="str">
        <x:v>系统概要与公共规则</x:v>
      </x:c>
      <x:c r="C163" s="4" t="n">
        <x:v>384</x:v>
      </x:c>
      <x:c r="D163" s="4" t="str">
        <x:v>- 用户一次送出 10 个礼物时，先扣除 100 金币，10 个礼物分别开奖。长期平均返还约 97 金币，单次实际结果可能高于或低于该数值。</x:v>
      </x:c>
      <x:c r="E163" s="4" t="str">
        <x:v>尚未建立场景映射</x:v>
      </x:c>
      <x:c r="F163" s="4" t="str"/>
      <x:c r="G163" s="4" t="str">
        <x:v>系统概要或共同业务条款：已保留全文，不用端侧用例数量反推本条完整覆盖；跨段等价映射尚未逐项闭合。</x:v>
      </x:c>
    </x:row>
    <x:row r="164" ht="44" customHeight="1">
      <x:c r="A164" s="4" t="str">
        <x:v>概要-390</x:v>
      </x:c>
      <x:c r="B164" s="4" t="str">
        <x:v>系统概要与公共规则</x:v>
      </x:c>
      <x:c r="C164" s="4" t="n">
        <x:v>390</x:v>
      </x:c>
      <x:c r="D164" s="4" t="str">
        <x:v>- 道具（头像框、气泡、勋章\.\.\.）由平台配置获取条件、有效期和上下架状态。</x:v>
      </x:c>
      <x:c r="E164" s="4" t="str">
        <x:v>尚未建立场景映射</x:v>
      </x:c>
      <x:c r="F164" s="4" t="str"/>
      <x:c r="G164" s="4" t="str">
        <x:v>系统概要或共同业务条款：已保留全文，不用端侧用例数量反推本条完整覆盖；跨段等价映射尚未逐项闭合。</x:v>
      </x:c>
    </x:row>
    <x:row r="165" ht="44" customHeight="1">
      <x:c r="A165" s="4" t="str">
        <x:v>概要-392</x:v>
      </x:c>
      <x:c r="B165" s="4" t="str">
        <x:v>系统概要与公共规则</x:v>
      </x:c>
      <x:c r="C165" s="4" t="n">
        <x:v>392</x:v>
      </x:c>
      <x:c r="D165" s="4" t="str">
        <x:v>- 用户只能使用已获得且处于有效期内的道具；道具到期后自动停止展示。</x:v>
      </x:c>
      <x:c r="E165" s="4" t="str">
        <x:v>尚未建立场景映射</x:v>
      </x:c>
      <x:c r="F165" s="4" t="str"/>
      <x:c r="G165" s="4" t="str">
        <x:v>系统概要或共同业务条款：已保留全文，不用端侧用例数量反推本条完整覆盖；跨段等价映射尚未逐项闭合。</x:v>
      </x:c>
    </x:row>
    <x:row r="166" ht="44" customHeight="1">
      <x:c r="A166" s="4" t="str">
        <x:v>概要-394</x:v>
      </x:c>
      <x:c r="B166" s="4" t="str">
        <x:v>系统概要与公共规则</x:v>
      </x:c>
      <x:c r="C166" s="4" t="n">
        <x:v>394</x:v>
      </x:c>
      <x:c r="D166" s="4" t="str">
        <x:v>- 道具下架后停止新发放，已发放道具按原有效期继续使用。</x:v>
      </x:c>
      <x:c r="E166" s="4" t="str">
        <x:v>尚未建立场景映射</x:v>
      </x:c>
      <x:c r="F166" s="4" t="str"/>
      <x:c r="G166" s="4" t="str">
        <x:v>系统概要或共同业务条款：已保留全文，不用端侧用例数量反推本条完整覆盖；跨段等价映射尚未逐项闭合。</x:v>
      </x:c>
    </x:row>
    <x:row r="167" ht="44" customHeight="1">
      <x:c r="A167" s="4" t="str">
        <x:v>概要-400</x:v>
      </x:c>
      <x:c r="B167" s="4" t="str">
        <x:v>系统概要与公共规则</x:v>
      </x:c>
      <x:c r="C167" s="4" t="n">
        <x:v>400</x:v>
      </x:c>
      <x:c r="D167" s="4" t="str">
        <x:v>- 只有充值订单支持退款或支付渠道拒付处理。</x:v>
      </x:c>
      <x:c r="E167" s="4" t="str">
        <x:v>尚未建立场景映射</x:v>
      </x:c>
      <x:c r="F167" s="4" t="str"/>
      <x:c r="G167" s="4" t="str">
        <x:v>系统概要或共同业务条款：已保留全文，不用端侧用例数量反推本条完整覆盖；跨段等价映射尚未逐项闭合。</x:v>
      </x:c>
    </x:row>
    <x:row r="168" ht="44" customHeight="1">
      <x:c r="A168" s="4" t="str">
        <x:v>概要-402</x:v>
      </x:c>
      <x:c r="B168" s="4" t="str">
        <x:v>系统概要与公共规则</x:v>
      </x:c>
      <x:c r="C168" s="4" t="n">
        <x:v>402</x:v>
      </x:c>
      <x:c r="D168" s="4" t="str">
        <x:v>- 充值订单用户侧不提供退款操作</x:v>
      </x:c>
      <x:c r="E168" s="4" t="str">
        <x:v>尚未建立场景映射</x:v>
      </x:c>
      <x:c r="F168" s="4" t="str"/>
      <x:c r="G168" s="4" t="str">
        <x:v>系统概要或共同业务条款：已保留全文，不用端侧用例数量反推本条完整覆盖；跨段等价映射尚未逐项闭合。</x:v>
      </x:c>
    </x:row>
    <x:row r="169" ht="44" customHeight="1">
      <x:c r="A169" s="4" t="str">
        <x:v>概要-404</x:v>
      </x:c>
      <x:c r="B169" s="4" t="str">
        <x:v>系统概要与公共规则</x:v>
      </x:c>
      <x:c r="C169" s="4" t="n">
        <x:v>404</x:v>
      </x:c>
      <x:c r="D169" s="4" t="str">
        <x:v>- 充值订单退款后，从用户当前金币余额中扣除该订单到账的金币。余额不足时允许形成负数余额，不撤销用户已经完成的礼物或门票消费。</x:v>
      </x:c>
      <x:c r="E169" s="4" t="str">
        <x:v>尚未建立场景映射</x:v>
      </x:c>
      <x:c r="F169" s="4" t="str"/>
      <x:c r="G169" s="4" t="str">
        <x:v>系统概要或共同业务条款：已保留全文，不用端侧用例数量反推本条完整覆盖；跨段等价映射尚未逐项闭合。</x:v>
      </x:c>
    </x:row>
    <x:row r="170" ht="44" customHeight="1">
      <x:c r="A170" s="4" t="str">
        <x:v>概要-406</x:v>
      </x:c>
      <x:c r="B170" s="4" t="str">
        <x:v>系统概要与公共规则</x:v>
      </x:c>
      <x:c r="C170" s="4" t="n">
        <x:v>406</x:v>
      </x:c>
      <x:c r="D170" s="4" t="str">
        <x:v>- 用户后续充值时，到账金币先抵扣负余额，剩余金币进入可用余额。</x:v>
      </x:c>
      <x:c r="E170" s="4" t="str">
        <x:v>尚未建立场景映射</x:v>
      </x:c>
      <x:c r="F170" s="4" t="str"/>
      <x:c r="G170" s="4" t="str">
        <x:v>系统概要或共同业务条款：已保留全文，不用端侧用例数量反推本条完整覆盖；跨段等价映射尚未逐项闭合。</x:v>
      </x:c>
    </x:row>
    <x:row r="171" ht="44" customHeight="1">
      <x:c r="A171" s="4" t="str">
        <x:v>概要-408</x:v>
      </x:c>
      <x:c r="B171" s="4" t="str">
        <x:v>系统概要与公共规则</x:v>
      </x:c>
      <x:c r="C171" s="4" t="n">
        <x:v>408</x:v>
      </x:c>
      <x:c r="D171" s="4" t="str">
        <x:v>- 示例：用户充值获得 1000 金币并全部消费后，余额为 0；该充值订单退款后，余额变为 \-1000；再次充值 2000 金币后，余额变为 1000。</x:v>
      </x:c>
      <x:c r="E171" s="4" t="str">
        <x:v>尚未建立场景映射</x:v>
      </x:c>
      <x:c r="F171" s="4" t="str"/>
      <x:c r="G171" s="4" t="str">
        <x:v>系统概要或共同业务条款：已保留全文，不用端侧用例数量反推本条完整覆盖；跨段等价映射尚未逐项闭合。</x:v>
      </x:c>
    </x:row>
    <x:row r="172" ht="44" customHeight="1">
      <x:c r="A172" s="4" t="str">
        <x:v>概要-416</x:v>
      </x:c>
      <x:c r="B172" s="4" t="str">
        <x:v>系统概要与公共规则</x:v>
      </x:c>
      <x:c r="C172" s="4" t="n">
        <x:v>416</x:v>
      </x:c>
      <x:c r="D172" s="4" t="str">
        <x:v>|类型|收益规则|</x:v>
      </x:c>
      <x:c r="E172" s="4" t="str">
        <x:v>尚未建立场景映射</x:v>
      </x:c>
      <x:c r="F172" s="4" t="str"/>
      <x:c r="G172" s="4" t="str">
        <x:v>系统概要或共同业务条款：已保留全文，不用端侧用例数量反推本条完整覆盖；跨段等价映射尚未逐项闭合。</x:v>
      </x:c>
    </x:row>
    <x:row r="173" ht="44" customHeight="1">
      <x:c r="A173" s="4" t="str">
        <x:v>概要-418</x:v>
      </x:c>
      <x:c r="B173" s="4" t="str">
        <x:v>系统概要与公共规则</x:v>
      </x:c>
      <x:c r="C173" s="4" t="n">
        <x:v>418</x:v>
      </x:c>
      <x:c r="D173" s="4" t="str">
        <x:v>|普通礼物|主播收益等于用户实际消费的金币|</x:v>
      </x:c>
      <x:c r="E173" s="4" t="str">
        <x:v>尚未建立场景映射</x:v>
      </x:c>
      <x:c r="F173" s="4" t="str"/>
      <x:c r="G173" s="4" t="str">
        <x:v>系统概要或共同业务条款：已保留全文，不用端侧用例数量反推本条完整覆盖；跨段等价映射尚未逐项闭合。</x:v>
      </x:c>
    </x:row>
    <x:row r="174" ht="44" customHeight="1">
      <x:c r="A174" s="4" t="str">
        <x:v>概要-419</x:v>
      </x:c>
      <x:c r="B174" s="4" t="str">
        <x:v>系统概要与公共规则</x:v>
      </x:c>
      <x:c r="C174" s="4" t="n">
        <x:v>419</x:v>
      </x:c>
      <x:c r="D174" s="4" t="str">
        <x:v>|定制礼物|主播收益等于用户实际消费的金币|</x:v>
      </x:c>
      <x:c r="E174" s="4" t="str">
        <x:v>尚未建立场景映射</x:v>
      </x:c>
      <x:c r="F174" s="4" t="str"/>
      <x:c r="G174" s="4" t="str">
        <x:v>系统概要或共同业务条款：已保留全文，不用端侧用例数量反推本条完整覆盖；跨段等价映射尚未逐项闭合。</x:v>
      </x:c>
    </x:row>
    <x:row r="175" ht="44" customHeight="1">
      <x:c r="A175" s="4" t="str">
        <x:v>概要-420</x:v>
      </x:c>
      <x:c r="B175" s="4" t="str">
        <x:v>系统概要与公共规则</x:v>
      </x:c>
      <x:c r="C175" s="4" t="n">
        <x:v>420</x:v>
      </x:c>
      <x:c r="D175" s="4" t="str">
        <x:v>|幸运礼物|主播收益等于用户送出礼物价值*1%（1%后台可配），返奖结果不影响主播收益|</x:v>
      </x:c>
      <x:c r="E175" s="4" t="str">
        <x:v>尚未建立场景映射</x:v>
      </x:c>
      <x:c r="F175" s="4" t="str"/>
      <x:c r="G175" s="4" t="str">
        <x:v>系统概要或共同业务条款：已保留全文，不用端侧用例数量反推本条完整覆盖；跨段等价映射尚未逐项闭合。</x:v>
      </x:c>
    </x:row>
    <x:row r="176" ht="44" customHeight="1">
      <x:c r="A176" s="4" t="str">
        <x:v>概要-421</x:v>
      </x:c>
      <x:c r="B176" s="4" t="str">
        <x:v>系统概要与公共规则</x:v>
      </x:c>
      <x:c r="C176" s="4" t="n">
        <x:v>421</x:v>
      </x:c>
      <x:c r="D176" s="4" t="str">
        <x:v>|门票|主播收益等于用户购买门票实际消费的金币|</x:v>
      </x:c>
      <x:c r="E176" s="4" t="str">
        <x:v>尚未建立场景映射</x:v>
      </x:c>
      <x:c r="F176" s="4" t="str"/>
      <x:c r="G176" s="4" t="str">
        <x:v>系统概要或共同业务条款：已保留全文，不用端侧用例数量反推本条完整覆盖；跨段等价映射尚未逐项闭合。</x:v>
      </x:c>
    </x:row>
    <x:row r="177" ht="44" customHeight="1">
      <x:c r="A177" s="4" t="str">
        <x:v>概要-423</x:v>
      </x:c>
      <x:c r="B177" s="4" t="str">
        <x:v>系统概要与公共规则</x:v>
      </x:c>
      <x:c r="C177" s="4" t="n">
        <x:v>423</x:v>
      </x:c>
      <x:c r="D177" s="4" t="str">
        <x:v>- 虚拟金币消费、失败或撤销的消费不计入主播收益。</x:v>
      </x:c>
      <x:c r="E177" s="4" t="str">
        <x:v>尚未建立场景映射</x:v>
      </x:c>
      <x:c r="F177" s="4" t="str"/>
      <x:c r="G177" s="4" t="str">
        <x:v>系统概要或共同业务条款：已保留全文，不用端侧用例数量反推本条完整覆盖；跨段等价映射尚未逐项闭合。</x:v>
      </x:c>
    </x:row>
    <x:row r="178" ht="44" customHeight="1">
      <x:c r="A178" s="4" t="str">
        <x:v>概要-425</x:v>
      </x:c>
      <x:c r="B178" s="4" t="str">
        <x:v>系统概要与公共规则</x:v>
      </x:c>
      <x:c r="C178" s="4" t="n">
        <x:v>425</x:v>
      </x:c>
      <x:c r="D178" s="4" t="str">
        <x:v>- 已消费完成的礼物和门票不因充值订单退款或拒付而撤销，对应主播收益和分成不受影响。</x:v>
      </x:c>
      <x:c r="E178" s="4" t="str">
        <x:v>尚未建立场景映射</x:v>
      </x:c>
      <x:c r="F178" s="4" t="str"/>
      <x:c r="G178" s="4" t="str">
        <x:v>系统概要或共同业务条款：已保留全文，不用端侧用例数量反推本条完整覆盖；跨段等价映射尚未逐项闭合。</x:v>
      </x:c>
    </x:row>
    <x:row r="179" ht="44" customHeight="1">
      <x:c r="A179" s="4" t="str">
        <x:v>概要-431</x:v>
      </x:c>
      <x:c r="B179" s="4" t="str">
        <x:v>系统概要与公共规则</x:v>
      </x:c>
      <x:c r="C179" s="4" t="n">
        <x:v>431</x:v>
      </x:c>
      <x:c r="D179" s="4" t="str">
        <x:v>- 系统不提供线上结算申请或审批流程。</x:v>
      </x:c>
      <x:c r="E179" s="4" t="str">
        <x:v>尚未建立场景映射</x:v>
      </x:c>
      <x:c r="F179" s="4" t="str"/>
      <x:c r="G179" s="4" t="str">
        <x:v>系统概要或共同业务条款：已保留全文，不用端侧用例数量反推本条完整覆盖；跨段等价映射尚未逐项闭合。</x:v>
      </x:c>
    </x:row>
    <x:row r="180" ht="44" customHeight="1">
      <x:c r="A180" s="4" t="str">
        <x:v>概要-433</x:v>
      </x:c>
      <x:c r="B180" s="4" t="str">
        <x:v>系统概要与公共规则</x:v>
      </x:c>
      <x:c r="C180" s="4" t="n">
        <x:v>433</x:v>
      </x:c>
      <x:c r="D180" s="4" t="str">
        <x:v>- 后台输出数据的汇总/明细报表等，不计算具体的分成金额。</x:v>
      </x:c>
      <x:c r="E180" s="4" t="str">
        <x:v>尚未建立场景映射</x:v>
      </x:c>
      <x:c r="F180" s="4" t="str"/>
      <x:c r="G180" s="4" t="str">
        <x:v>系统概要或共同业务条款：已保留全文，不用端侧用例数量反推本条完整覆盖；跨段等价映射尚未逐项闭合。</x:v>
      </x:c>
    </x:row>
    <x:row r="181" ht="44" customHeight="1">
      <x:c r="A181" s="4" t="str">
        <x:v>概要-435</x:v>
      </x:c>
      <x:c r="B181" s="4" t="str">
        <x:v>系统概要与公共规则</x:v>
      </x:c>
      <x:c r="C181" s="4" t="n">
        <x:v>435</x:v>
      </x:c>
      <x:c r="D181" s="4" t="str">
        <x:v>- 分成比例和应结金额由财务根据报表中心数据确定。财务在线下与主播完成结算，并在系统中上传结果。</x:v>
      </x:c>
      <x:c r="E181" s="4" t="str">
        <x:v>尚未建立场景映射</x:v>
      </x:c>
      <x:c r="F181" s="4" t="str"/>
      <x:c r="G181" s="4" t="str">
        <x:v>系统概要或共同业务条款：已保留全文，不用端侧用例数量反推本条完整覆盖；跨段等价映射尚未逐项闭合。</x:v>
      </x:c>
    </x:row>
    <x:row r="182" ht="57" customHeight="1">
      <x:c r="A182" s="4" t="str">
        <x:v>概要-441</x:v>
      </x:c>
      <x:c r="B182" s="4" t="str">
        <x:v>系统概要与公共规则</x:v>
      </x:c>
      <x:c r="C182" s="4" t="n">
        <x:v>441</x:v>
      </x:c>
      <x:c r="D182" s="4" t="str">
        <x:v>|类型|用户充值（印尼盾）|平台奖励（金币）|赠送礼物价值（金币）|主播收益（金币）|平台分成（50%，印尼盾）|公会分成（10%，印尼盾）|主播分成（40%，印尼盾）|</x:v>
      </x:c>
      <x:c r="E182" s="4" t="str">
        <x:v>尚未建立场景映射</x:v>
      </x:c>
      <x:c r="F182" s="4" t="str"/>
      <x:c r="G182" s="4" t="str">
        <x:v>系统概要或共同业务条款：已保留全文，不用端侧用例数量反推本条完整覆盖；跨段等价映射尚未逐项闭合。</x:v>
      </x:c>
    </x:row>
    <x:row r="183" ht="44" customHeight="1">
      <x:c r="A183" s="4" t="str">
        <x:v>概要-443</x:v>
      </x:c>
      <x:c r="B183" s="4" t="str">
        <x:v>系统概要与公共规则</x:v>
      </x:c>
      <x:c r="C183" s="4" t="n">
        <x:v>443</x:v>
      </x:c>
      <x:c r="D183" s="4" t="str">
        <x:v>|普通礼物 / 定制礼物 / 门票|75,000|5,000|80,000|80,000|40,000|8,000|32,000|</x:v>
      </x:c>
      <x:c r="E183" s="4" t="str">
        <x:v>尚未建立场景映射</x:v>
      </x:c>
      <x:c r="F183" s="4" t="str"/>
      <x:c r="G183" s="4" t="str">
        <x:v>系统概要或共同业务条款：已保留全文，不用端侧用例数量反推本条完整覆盖；跨段等价映射尚未逐项闭合。</x:v>
      </x:c>
    </x:row>
    <x:row r="184" ht="44" customHeight="1">
      <x:c r="A184" s="4" t="str">
        <x:v>概要-444</x:v>
      </x:c>
      <x:c r="B184" s="4" t="str">
        <x:v>系统概要与公共规则</x:v>
      </x:c>
      <x:c r="C184" s="4" t="n">
        <x:v>444</x:v>
      </x:c>
      <x:c r="D184" s="4" t="str">
        <x:v>|幸运礼物|15,000|0|15,000|150（按1%计算）|75|15|60|</x:v>
      </x:c>
      <x:c r="E184" s="4" t="str">
        <x:v>尚未建立场景映射</x:v>
      </x:c>
      <x:c r="F184" s="4" t="str"/>
      <x:c r="G184" s="4" t="str">
        <x:v>系统概要或共同业务条款：已保留全文，不用端侧用例数量反推本条完整覆盖；跨段等价映射尚未逐项闭合。</x:v>
      </x:c>
    </x:row>
    <x:row r="185" ht="44" customHeight="1">
      <x:c r="A185" s="4" t="str">
        <x:v>概要-452</x:v>
      </x:c>
      <x:c r="B185" s="4" t="str">
        <x:v>系统概要与公共规则</x:v>
      </x:c>
      <x:c r="C185" s="4" t="n">
        <x:v>452</x:v>
      </x:c>
      <x:c r="D185" s="4" t="str">
        <x:v>- 由公会创建，由公会运营人员登录使用。</x:v>
      </x:c>
      <x:c r="E185" s="4" t="str">
        <x:v>尚未建立场景映射</x:v>
      </x:c>
      <x:c r="F185" s="4" t="str"/>
      <x:c r="G185" s="4" t="str">
        <x:v>系统概要或共同业务条款：已保留全文，不用端侧用例数量反推本条完整覆盖；跨段等价映射尚未逐项闭合。</x:v>
      </x:c>
    </x:row>
    <x:row r="186" ht="44" customHeight="1">
      <x:c r="A186" s="4" t="str">
        <x:v>概要-454</x:v>
      </x:c>
      <x:c r="B186" s="4" t="str">
        <x:v>系统概要与公共规则</x:v>
      </x:c>
      <x:c r="C186" s="4" t="n">
        <x:v>454</x:v>
      </x:c>
      <x:c r="D186" s="4" t="str">
        <x:v>- 可在直播间手动发送公屏消息或赠送礼物，不能赠送幸运礼物。</x:v>
      </x:c>
      <x:c r="E186" s="4" t="str">
        <x:v>尚未建立场景映射</x:v>
      </x:c>
      <x:c r="F186" s="4" t="str"/>
      <x:c r="G186" s="4" t="str">
        <x:v>系统概要或共同业务条款：已保留全文，不用端侧用例数量反推本条完整覆盖；跨段等价映射尚未逐项闭合。</x:v>
      </x:c>
    </x:row>
    <x:row r="187" ht="44" customHeight="1">
      <x:c r="A187" s="4" t="str">
        <x:v>概要-456</x:v>
      </x:c>
      <x:c r="B187" s="4" t="str">
        <x:v>系统概要与公共规则</x:v>
      </x:c>
      <x:c r="C187" s="4" t="n">
        <x:v>456</x:v>
      </x:c>
      <x:c r="D187" s="4" t="str">
        <x:v>- 进入门票房不需要购买门票，进入密码房无需输入密码。</x:v>
      </x:c>
      <x:c r="E187" s="4" t="str">
        <x:v>尚未建立场景映射</x:v>
      </x:c>
      <x:c r="F187" s="4" t="str"/>
      <x:c r="G187" s="4" t="str">
        <x:v>系统概要或共同业务条款：已保留全文，不用端侧用例数量反推本条完整覆盖；跨段等价映射尚未逐项闭合。</x:v>
      </x:c>
    </x:row>
    <x:row r="188" ht="44" customHeight="1">
      <x:c r="A188" s="4" t="str">
        <x:v>概要-458</x:v>
      </x:c>
      <x:c r="B188" s="4" t="str">
        <x:v>系统概要与公共规则</x:v>
      </x:c>
      <x:c r="C188" s="4" t="n">
        <x:v>458</x:v>
      </x:c>
      <x:c r="D188" s="4" t="str">
        <x:v>- 运营账号下单独设置虚拟金币账户。</x:v>
      </x:c>
      <x:c r="E188" s="4" t="str">
        <x:v>尚未建立场景映射</x:v>
      </x:c>
      <x:c r="F188" s="4" t="str"/>
      <x:c r="G188" s="4" t="str">
        <x:v>系统概要或共同业务条款：已保留全文，不用端侧用例数量反推本条完整覆盖；跨段等价映射尚未逐项闭合。</x:v>
      </x:c>
    </x:row>
    <x:row r="189" ht="44" customHeight="1">
      <x:c r="A189" s="4" t="str">
        <x:v>概要-464</x:v>
      </x:c>
      <x:c r="B189" s="4" t="str">
        <x:v>系统概要与公共规则</x:v>
      </x:c>
      <x:c r="C189" s="4" t="n">
        <x:v>464</x:v>
      </x:c>
      <x:c r="D189" s="4" t="str">
        <x:v>- 公会可以创建本公会运营账号、发放虚拟金币、启用或禁用账号，并查看运营账号数据。</x:v>
      </x:c>
      <x:c r="E189" s="4" t="str">
        <x:v>尚未建立场景映射</x:v>
      </x:c>
      <x:c r="F189" s="4" t="str"/>
      <x:c r="G189" s="4" t="str">
        <x:v>系统概要或共同业务条款：已保留全文，不用端侧用例数量反推本条完整覆盖；跨段等价映射尚未逐项闭合。</x:v>
      </x:c>
    </x:row>
    <x:row r="190" ht="44" customHeight="1">
      <x:c r="A190" s="4" t="str">
        <x:v>概要-466</x:v>
      </x:c>
      <x:c r="B190" s="4" t="str">
        <x:v>系统概要与公共规则</x:v>
      </x:c>
      <x:c r="C190" s="4" t="n">
        <x:v>466</x:v>
      </x:c>
      <x:c r="D190" s="4" t="str">
        <x:v>- 平台不创建运营账号、不发放虚拟金币，可以启用或禁用运营账号。</x:v>
      </x:c>
      <x:c r="E190" s="4" t="str">
        <x:v>尚未建立场景映射</x:v>
      </x:c>
      <x:c r="F190" s="4" t="str"/>
      <x:c r="G190" s="4" t="str">
        <x:v>系统概要或共同业务条款：已保留全文，不用端侧用例数量反推本条完整覆盖；跨段等价映射尚未逐项闭合。</x:v>
      </x:c>
    </x:row>
    <x:row r="191" ht="44" customHeight="1">
      <x:c r="A191" s="4" t="str">
        <x:v>概要-468</x:v>
      </x:c>
      <x:c r="B191" s="4" t="str">
        <x:v>系统概要与公共规则</x:v>
      </x:c>
      <x:c r="C191" s="4" t="n">
        <x:v>468</x:v>
      </x:c>
      <x:c r="D191" s="4" t="str">
        <x:v>- 平台可以锁定或解除公会的运营账号管理权限。</x:v>
      </x:c>
      <x:c r="E191" s="4" t="str">
        <x:v>尚未建立场景映射</x:v>
      </x:c>
      <x:c r="F191" s="4" t="str"/>
      <x:c r="G191" s="4" t="str">
        <x:v>系统概要或共同业务条款：已保留全文，不用端侧用例数量反推本条完整覆盖；跨段等价映射尚未逐项闭合。</x:v>
      </x:c>
    </x:row>
    <x:row r="192" ht="44" customHeight="1">
      <x:c r="A192" s="4" t="str">
        <x:v>概要-470</x:v>
      </x:c>
      <x:c r="B192" s="4" t="str">
        <x:v>系统概要与公共规则</x:v>
      </x:c>
      <x:c r="C192" s="4" t="n">
        <x:v>470</x:v>
      </x:c>
      <x:c r="D192" s="4" t="str">
        <x:v>- 平台可限制单个公会每月累计发放虚拟金币的上限，及各公会内单运营账号每月累计获得虚拟金币的上限。</x:v>
      </x:c>
      <x:c r="E192" s="4" t="str">
        <x:v>尚未建立场景映射</x:v>
      </x:c>
      <x:c r="F192" s="4" t="str"/>
      <x:c r="G192" s="4" t="str">
        <x:v>系统概要或共同业务条款：已保留全文，不用端侧用例数量反推本条完整覆盖；跨段等价映射尚未逐项闭合。</x:v>
      </x:c>
    </x:row>
    <x:row r="193" ht="44" customHeight="1">
      <x:c r="A193" s="4" t="str">
        <x:v>概要-472</x:v>
      </x:c>
      <x:c r="B193" s="4" t="str">
        <x:v>系统概要与公共规则</x:v>
      </x:c>
      <x:c r="C193" s="4" t="n">
        <x:v>472</x:v>
      </x:c>
      <x:c r="D193" s="4" t="str">
        <x:v>- 平台可以查看运营账号列表、虚拟金币发放明细和消费明细。</x:v>
      </x:c>
      <x:c r="E193" s="4" t="str">
        <x:v>尚未建立场景映射</x:v>
      </x:c>
      <x:c r="F193" s="4" t="str"/>
      <x:c r="G193" s="4" t="str">
        <x:v>系统概要或共同业务条款：已保留全文，不用端侧用例数量反推本条完整覆盖；跨段等价映射尚未逐项闭合。</x:v>
      </x:c>
    </x:row>
    <x:row r="194" ht="44" customHeight="1">
      <x:c r="A194" s="4" t="str">
        <x:v>概要-478</x:v>
      </x:c>
      <x:c r="B194" s="4" t="str">
        <x:v>系统概要与公共规则</x:v>
      </x:c>
      <x:c r="C194" s="4" t="n">
        <x:v>478</x:v>
      </x:c>
      <x:c r="D194" s="4" t="str">
        <x:v>- 虚拟金币与用户真实金币分账户记录，不可互相转换。</x:v>
      </x:c>
      <x:c r="E194" s="4" t="str">
        <x:v>尚未建立场景映射</x:v>
      </x:c>
      <x:c r="F194" s="4" t="str"/>
      <x:c r="G194" s="4" t="str">
        <x:v>系统概要或共同业务条款：已保留全文，不用端侧用例数量反推本条完整覆盖；跨段等价映射尚未逐项闭合。</x:v>
      </x:c>
    </x:row>
    <x:row r="195" ht="44" customHeight="1">
      <x:c r="A195" s="4" t="str">
        <x:v>概要-480</x:v>
      </x:c>
      <x:c r="B195" s="4" t="str">
        <x:v>系统概要与公共规则</x:v>
      </x:c>
      <x:c r="C195" s="4" t="n">
        <x:v>480</x:v>
      </x:c>
      <x:c r="D195" s="4" t="str">
        <x:v>- 运营账号使用虚拟金币送礼，可计入直播间氛围和榜单展示，但不形成主播收益或分成。</x:v>
      </x:c>
      <x:c r="E195" s="4" t="str">
        <x:v>尚未建立场景映射</x:v>
      </x:c>
      <x:c r="F195" s="4" t="str"/>
      <x:c r="G195" s="4" t="str">
        <x:v>系统概要或共同业务条款：已保留全文，不用端侧用例数量反推本条完整覆盖；跨段等价映射尚未逐项闭合。</x:v>
      </x:c>
    </x:row>
    <x:row r="196" ht="44" customHeight="1">
      <x:c r="A196" s="4" t="str">
        <x:v>概要-487</x:v>
      </x:c>
      <x:c r="B196" s="4" t="str">
        <x:v>系统概要与公共规则</x:v>
      </x:c>
      <x:c r="C196" s="4" t="n">
        <x:v>487</x:v>
      </x:c>
      <x:c r="D196" s="4" t="str">
        <x:v>|首页|福利|消息|我的|</x:v>
      </x:c>
      <x:c r="E196" s="4" t="str">
        <x:v>尚未建立场景映射</x:v>
      </x:c>
      <x:c r="F196" s="4" t="str"/>
      <x:c r="G196" s="4" t="str">
        <x:v>系统概要或共同业务条款：已保留全文，不用端侧用例数量反推本条完整覆盖；跨段等价映射尚未逐项闭合。</x:v>
      </x:c>
    </x:row>
    <x:row r="197" ht="57" customHeight="1">
      <x:c r="A197" s="4" t="str">
        <x:v>概要-489</x:v>
      </x:c>
      <x:c r="B197" s="4" t="str">
        <x:v>系统概要与公共规则</x:v>
      </x:c>
      <x:c r="C197" s="4" t="n">
        <x:v>489</x:v>
      </x:c>
      <x:c r="D197" s="4" t="str">
        <x:v>|✅&lt;br&gt;全部功能|✅&lt;br&gt;只能进入一级页|✅&lt;br&gt;消息、好友|✅&lt;br&gt;编辑资料、设置（除绑定手机号、绑定邮箱、注销登录外）；&lt;br&gt;关注、粉丝、好友；黑名单、联系客服；|</x:v>
      </x:c>
      <x:c r="E197" s="4" t="str">
        <x:v>尚未建立场景映射</x:v>
      </x:c>
      <x:c r="F197" s="4" t="str"/>
      <x:c r="G197" s="4" t="str">
        <x:v>系统概要或共同业务条款：已保留全文，不用端侧用例数量反推本条完整覆盖；跨段等价映射尚未逐项闭合。</x:v>
      </x:c>
    </x:row>
    <x:row r="198" ht="87" customHeight="1">
      <x:c r="A198" s="4" t="str">
        <x:v>概要-490</x:v>
      </x:c>
      <x:c r="B198" s="4" t="str">
        <x:v>系统概要与公共规则</x:v>
      </x:c>
      <x:c r="C198" s="4" t="n">
        <x:v>490</x:v>
      </x:c>
      <x:c r="D198" s="4" t="str">
        <x:v>|\-\-|❌&lt;br&gt;进入一级页，点击其中任意功能入口，提示“运营账号无法操作”|❌&lt;br&gt;粉丝团&lt;br&gt;点击提示“运营账号无法操作”|❌&lt;br&gt;设置（绑定手机号、绑定邮箱、注销登录）；&lt;br&gt;充值、我的装扮、粉丝团、邀请奖励、开始直播、主播中心、公会中心；&lt;br&gt;点击提示“运营账号无法操作”|</x:v>
      </x:c>
      <x:c r="E198" s="4" t="str">
        <x:v>尚未建立场景映射</x:v>
      </x:c>
      <x:c r="F198" s="4" t="str"/>
      <x:c r="G198" s="4" t="str">
        <x:v>系统概要或共同业务条款：已保留全文，不用端侧用例数量反推本条完整覆盖；跨段等价映射尚未逐项闭合。</x:v>
      </x:c>
    </x:row>
    <x:row r="199" ht="57" customHeight="1">
      <x:c r="A199" s="4" t="str">
        <x:v>概要-498</x:v>
      </x:c>
      <x:c r="B199" s="4" t="str">
        <x:v>系统概要与公共规则</x:v>
      </x:c>
      <x:c r="C199" s="4" t="n">
        <x:v>498</x:v>
      </x:c>
      <x:c r="D199" s="4" t="str">
        <x:v>用户App、公会App 支持中文、English、Bahasa Indonesia、Bahasa Melayu；管理后台一期交付中文。〔依据：context/系统概要 .md / 1.2 端口语言〕</x:v>
      </x:c>
      <x:c r="E199" s="4" t="str">
        <x:v>尚未建立场景映射</x:v>
      </x:c>
      <x:c r="F199" s="4" t="str"/>
      <x:c r="G199" s="4" t="str">
        <x:v>系统概要或共同业务条款：已保留全文，不用端侧用例数量反推本条完整覆盖；跨段等价映射尚未逐项闭合。</x:v>
      </x:c>
    </x:row>
    <x:row r="200" ht="87" customHeight="1">
      <x:c r="A200" s="4" t="str">
        <x:v>概要-499</x:v>
      </x:c>
      <x:c r="B200" s="4" t="str">
        <x:v>系统概要与公共规则</x:v>
      </x:c>
      <x:c r="C200" s="4" t="n">
        <x:v>499</x:v>
      </x:c>
      <x:c r="D200" s="4" t="str">
        <x:v>同一用户同一时刻只能有一笔处理中入会申请且只能属于一个公会。公会通过后自动进入平台终审，但尚未加入公会或成为主播。任一级驳回使申请作废，重新申请必须走新的公会初审和平台终审。平台通过后才建立公会关系和主播身份。〔依据：context/系统概要 .md / 3.1.2 主播的入会/退会〕</x:v>
      </x:c>
      <x:c r="E200" s="4" t="str">
        <x:v>尚未建立场景映射</x:v>
      </x:c>
      <x:c r="F200" s="4" t="str"/>
      <x:c r="G200" s="4" t="str">
        <x:v>系统概要或共同业务条款：已保留全文，不用端侧用例数量反推本条完整覆盖；跨段等价映射尚未逐项闭合。</x:v>
      </x:c>
    </x:row>
    <x:row r="201" ht="72" customHeight="1">
      <x:c r="A201" s="4" t="str">
        <x:v>概要-500</x:v>
      </x:c>
      <x:c r="B201" s="4" t="str">
        <x:v>系统概要与公共规则</x:v>
      </x:c>
      <x:c r="C201" s="4" t="n">
        <x:v>500</x:v>
      </x:c>
      <x:c r="D201" s="4" t="str">
        <x:v>平台停用公会后，公会不可被搜索，公会长不能登录，主播关系解除，名下主播失去身份并停止开播，业务历史保留且后台可查看。单独停用公会长账号只影响该账号登录，不影响主播。〔依据：context/系统概要 .md / 3.2 公会账号与权限〕</x:v>
      </x:c>
      <x:c r="E201" s="4" t="str">
        <x:v>尚未建立场景映射</x:v>
      </x:c>
      <x:c r="F201" s="4" t="str"/>
      <x:c r="G201" s="4" t="str">
        <x:v>系统概要或共同业务条款：已保留全文，不用端侧用例数量反推本条完整覆盖；跨段等价映射尚未逐项闭合。</x:v>
      </x:c>
    </x:row>
    <x:row r="202" ht="87" customHeight="1">
      <x:c r="A202" s="4" t="str">
        <x:v>概要-501</x:v>
      </x:c>
      <x:c r="B202" s="4" t="str">
        <x:v>系统概要与公共规则</x:v>
      </x:c>
      <x:c r="C202" s="4" t="n">
        <x:v>501</x:v>
      </x:c>
      <x:c r="D202" s="4" t="str">
        <x:v>直播权限与主播身份分开。平台关闭时最终禁止开播；平台开启且未锁定时按公会开关；平台开启且锁定时最终允许开播，公会设置只读并跟随平台，原值被保留；解锁恢复原公会设定并重算。最终权限被关闭立即结束正在进行的直播，不能再开播。〔依据：context/系统概要 .md / 3.2.3 开播权限〕</x:v>
      </x:c>
      <x:c r="E202" s="4" t="str">
        <x:v>尚未建立场景映射</x:v>
      </x:c>
      <x:c r="F202" s="4" t="str"/>
      <x:c r="G202" s="4" t="str">
        <x:v>系统概要或共同业务条款：已保留全文，不用端侧用例数量反推本条完整覆盖；跨段等价映射尚未逐项闭合。</x:v>
      </x:c>
    </x:row>
    <x:row r="203" ht="57" customHeight="1">
      <x:c r="A203" s="4" t="str">
        <x:v>概要-502</x:v>
      </x:c>
      <x:c r="B203" s="4" t="str">
        <x:v>系统概要与公共规则</x:v>
      </x:c>
      <x:c r="C203" s="4" t="n">
        <x:v>502</x:v>
      </x:c>
      <x:c r="D203" s="4" t="str">
        <x:v>主播拥有固定直播间 ID，每次开播生成新的场次 ID。场次结束保留封面、标题和统计快照，当前配置修改不改写历史场次。〔依据：context/系统概要 .md / 3.2.1 直播场次〕</x:v>
      </x:c>
      <x:c r="E203" s="4" t="str">
        <x:v>尚未建立场景映射</x:v>
      </x:c>
      <x:c r="F203" s="4" t="str"/>
      <x:c r="G203" s="4" t="str">
        <x:v>系统概要或共同业务条款：已保留全文，不用端侧用例数量反推本条完整覆盖；跨段等价映射尚未逐项闭合。</x:v>
      </x:c>
    </x:row>
    <x:row r="204" ht="87" customHeight="1">
      <x:c r="A204" s="4" t="str">
        <x:v>概要-503</x:v>
      </x:c>
      <x:c r="B204" s="4" t="str">
        <x:v>系统概要与公共规则</x:v>
      </x:c>
      <x:c r="C204" s="4" t="n">
        <x:v>503</x:v>
      </x:c>
      <x:c r="D204" s="4" t="str">
        <x:v>仅普通房的两位未连麦主播且无账号拉黑关系可连麦。只能发出一个邀请，可收到多个邀请。接受邀请使自己发出的邀请失效，其他收到的邀请保留；连麦中不能再发起或接受邀请。结束连麦后双方各自直播继续；任一方结束直播使其邀请和连麦失效。〔依据：context/系统概要 .md / 3.2.4、3.3.4 连麦〕</x:v>
      </x:c>
      <x:c r="E204" s="4" t="str">
        <x:v>尚未建立场景映射</x:v>
      </x:c>
      <x:c r="F204" s="4" t="str"/>
      <x:c r="G204" s="4" t="str">
        <x:v>系统概要或共同业务条款：已保留全文，不用端侧用例数量反推本条完整覆盖；跨段等价映射尚未逐项闭合。</x:v>
      </x:c>
    </x:row>
    <x:row r="205" ht="57" customHeight="1">
      <x:c r="A205" s="4" t="str">
        <x:v>概要-504</x:v>
      </x:c>
      <x:c r="B205" s="4" t="str">
        <x:v>系统概要与公共规则</x:v>
      </x:c>
      <x:c r="C205" s="4" t="n">
        <x:v>504</x:v>
      </x:c>
      <x:c r="D205" s="4" t="str">
        <x:v>门票只对当前场次有效，同场重复进入不再扣款；被踢出或场次结束后失效且不退款。账号封禁、账号拉黑、本场踢出优先于准入资格；运营账号免票。〔依据：context/系统概要 .md / 3.2.2、3.3.2、3.7.1〕</x:v>
      </x:c>
      <x:c r="E205" s="4" t="str">
        <x:v>尚未建立场景映射</x:v>
      </x:c>
      <x:c r="F205" s="4" t="str"/>
      <x:c r="G205" s="4" t="str">
        <x:v>系统概要或共同业务条款：已保留全文，不用端侧用例数量反推本条完整覆盖；跨段等价映射尚未逐项闭合。</x:v>
      </x:c>
    </x:row>
    <x:row r="206" ht="57" customHeight="1">
      <x:c r="A206" s="4" t="str">
        <x:v>概要-505</x:v>
      </x:c>
      <x:c r="B206" s="4" t="str">
        <x:v>系统概要与公共规则</x:v>
      </x:c>
      <x:c r="C206" s="4" t="n">
        <x:v>505</x:v>
      </x:c>
      <x:c r="D206" s="4" t="str">
        <x:v>真实金币共用同一账户，不可提现。消费成功只扣款一次并生成消费记录，余额不足或条件检查失败不扣款；负数余额不能继续消费。〔依据：context/系统概要 .md / 3.5.1 金币充值与消费〕</x:v>
      </x:c>
      <x:c r="E206" s="4" t="str">
        <x:v>尚未建立场景映射</x:v>
      </x:c>
      <x:c r="F206" s="4" t="str"/>
      <x:c r="G206" s="4" t="str">
        <x:v>系统概要或共同业务条款：已保留全文，不用端侧用例数量反推本条完整覆盖；跨段等价映射尚未逐项闭合。</x:v>
      </x:c>
    </x:row>
    <x:row r="207" ht="72" customHeight="1">
      <x:c r="A207" s="4" t="str">
        <x:v>概要-506</x:v>
      </x:c>
      <x:c r="B207" s="4" t="str">
        <x:v>系统概要与公共规则</x:v>
      </x:c>
      <x:c r="C207" s="4" t="n">
        <x:v>506</x:v>
      </x:c>
      <x:c r="D207" s="4" t="str">
        <x:v>只有充值订单支持退款或渠道拒付，用户端没有退款操作。退款扣除原订单全部到账金币，余额不足允许为负数；后续充值先抵扣负余额。退款不撤销已完成的送礼或门票消费，不回滚主播收益和分成。〔依据：context/系统概要 .md / 3.5.5、3.6.1〕</x:v>
      </x:c>
      <x:c r="E207" s="4" t="str">
        <x:v>尚未建立场景映射</x:v>
      </x:c>
      <x:c r="F207" s="4" t="str"/>
      <x:c r="G207" s="4" t="str">
        <x:v>系统概要或共同业务条款：已保留全文，不用端侧用例数量反推本条完整覆盖；跨段等价映射尚未逐项闭合。</x:v>
      </x:c>
    </x:row>
    <x:row r="208" ht="72" customHeight="1">
      <x:c r="A208" s="4" t="str">
        <x:v>概要-507</x:v>
      </x:c>
      <x:c r="B208" s="4" t="str">
        <x:v>系统概要与公共规则</x:v>
      </x:c>
      <x:c r="C208" s="4" t="n">
        <x:v>507</x:v>
      </x:c>
      <x:c r="D208" s="4" t="str">
        <x:v>普通礼物、定制礼物和门票按实际成功消费金币 1:1 形成主播收益；幸运礼物按送出礼物价值乘后台比例，默认 1%，返奖不影响该收益；虚拟、失败或撤销消费不形成收益。〔依据：context/系统概要 .md / 3.6.1 主播收益〕</x:v>
      </x:c>
      <x:c r="E208" s="4" t="str">
        <x:v>尚未建立场景映射</x:v>
      </x:c>
      <x:c r="F208" s="4" t="str"/>
      <x:c r="G208" s="4" t="str">
        <x:v>系统概要或共同业务条款：已保留全文，不用端侧用例数量反推本条完整覆盖；跨段等价映射尚未逐项闭合。</x:v>
      </x:c>
    </x:row>
    <x:row r="209" ht="72" customHeight="1">
      <x:c r="A209" s="4" t="str">
        <x:v>概要-508</x:v>
      </x:c>
      <x:c r="B209" s="4" t="str">
        <x:v>系统概要与公共规则</x:v>
      </x:c>
      <x:c r="C209" s="4" t="n">
        <x:v>508</x:v>
      </x:c>
      <x:c r="D209" s="4" t="str">
        <x:v>系统不提供线上结算申请或审批，也不计算具体分成金额。财务在线下依据报表核算和结算，系统上传结果并供相关端只读查看；资金示例中的三方比例不构成固定计算规则。〔依据：context/系统概要 .md / 3.6.2、3.6.3〕</x:v>
      </x:c>
      <x:c r="E209" s="4" t="str">
        <x:v>尚未建立场景映射</x:v>
      </x:c>
      <x:c r="F209" s="4" t="str"/>
      <x:c r="G209" s="4" t="str">
        <x:v>系统概要或共同业务条款：已保留全文，不用端侧用例数量反推本条完整覆盖；跨段等价映射尚未逐项闭合。</x:v>
      </x:c>
    </x:row>
    <x:row r="210" ht="72" customHeight="1">
      <x:c r="A210" s="4" t="str">
        <x:v>概要-509</x:v>
      </x:c>
      <x:c r="B210" s="4" t="str">
        <x:v>系统概要与公共规则</x:v>
      </x:c>
      <x:c r="C210" s="4" t="n">
        <x:v>509</x:v>
      </x:c>
      <x:c r="D210" s="4" t="str">
        <x:v>运营账号由所属公会创建并发放虚拟金币；平台只可启停、锁定公会管理和设置月额度，不创建或发币。真实和虚拟金币完全隔离，虚拟金币仅可赠送普通及定制礼物，不形成主播收益或分成。〔依据：context/系统概要 .md / 3.7 运营账号〕</x:v>
      </x:c>
      <x:c r="E210" s="4" t="str">
        <x:v>尚未建立场景映射</x:v>
      </x:c>
      <x:c r="F210" s="4" t="str"/>
      <x:c r="G210" s="4" t="str">
        <x:v>系统概要或共同业务条款：已保留全文，不用端侧用例数量反推本条完整覆盖；跨段等价映射尚未逐项闭合。</x:v>
      </x:c>
    </x:row>
    <x:row r="211" ht="102" customHeight="1">
      <x:c r="A211" s="4" t="str">
        <x:v>概要-510</x:v>
      </x:c>
      <x:c r="B211" s="4" t="str">
        <x:v>系统概要与公共规则</x:v>
      </x:c>
      <x:c r="C211" s="4" t="n">
        <x:v>510</x:v>
      </x:c>
      <x:c r="D211" s="4" t="str">
        <x:v>运营账号首页功能可用；福利页可浏览，但点击任意功能提示“运营账号无法操作”。消息可私信和使用好友功能，但不可加入粉丝团。我的允许编辑资料、未受限设置、关注、粉丝、好友、黑名单和客服；充值、我的装扮、粉丝团、邀请奖励、开播、主播中心、公会中心及绑定手机/邮箱、注销登录均提示“运营账号无法操作”。〔依据：context/系统概要 .md / 3.7.4 运营账号功能白名单〕</x:v>
      </x:c>
      <x:c r="E211" s="4" t="str">
        <x:v>尚未建立场景映射</x:v>
      </x:c>
      <x:c r="F211" s="4" t="str"/>
      <x:c r="G211" s="4" t="str">
        <x:v>系统概要或共同业务条款：已保留全文，不用端侧用例数量反推本条完整覆盖；跨段等价映射尚未逐项闭合。</x:v>
      </x:c>
    </x:row>
    <x:row r="212" ht="57" customHeight="1">
      <x:c r="A212" s="4" t="str">
        <x:v>概要-511</x:v>
      </x:c>
      <x:c r="B212" s="4" t="str">
        <x:v>系统概要与公共规则</x:v>
      </x:c>
      <x:c r="C212" s="4" t="n">
        <x:v>511</x:v>
      </x:c>
      <x:c r="D212" s="4" t="str">
        <x:v>仅正在直播的场次提供举报入口。直播场次结束后，待处理举报工单自动作废，不能处罚下一场直播；账号举报与场次举报分别处理。〔依据：context/系统概要 .md / 3.4 举报与处置机制〕</x:v>
      </x:c>
      <x:c r="E212" s="4" t="str">
        <x:v>尚未建立场景映射</x:v>
      </x:c>
      <x:c r="F212" s="4" t="str"/>
      <x:c r="G212" s="4" t="str">
        <x:v>系统概要或共同业务条款：已保留全文，不用端侧用例数量反推本条完整覆盖；跨段等价映射尚未逐项闭合。</x:v>
      </x:c>
    </x:row>
    <x:row r="213" ht="57" customHeight="1">
      <x:c r="A213" s="4" t="str">
        <x:v>概要-512</x:v>
      </x:c>
      <x:c r="B213" s="4" t="str">
        <x:v>系统概要与公共规则</x:v>
      </x:c>
      <x:c r="C213" s="4" t="n">
        <x:v>512</x:v>
      </x:c>
      <x:c r="D213" s="4" t="str">
        <x:v>直播禁言仅限制当前场次公屏，下场恢复；群禁言仅限制对应粉丝群发言。每名主播最多 3 名房管，授权跨场次持续，房管可禁言、踢出和屏蔽单条评论。〔依据：context/系统概要 .md / 3.3.2、3.3.3〕</x:v>
      </x:c>
      <x:c r="E213" s="4" t="str">
        <x:v>尚未建立场景映射</x:v>
      </x:c>
      <x:c r="F213" s="4" t="str"/>
      <x:c r="G213" s="4" t="str">
        <x:v>系统概要或共同业务条款：已保留全文，不用端侧用例数量反推本条完整覆盖；跨段等价映射尚未逐项闭合。</x:v>
      </x:c>
    </x:row>
    <x:row r="214" ht="57" customHeight="1">
      <x:c r="A214" s="4" t="str">
        <x:v>概要-513</x:v>
      </x:c>
      <x:c r="B214" s="4" t="str">
        <x:v>系统概要与公共规则</x:v>
      </x:c>
      <x:c r="C214" s="4" t="n">
        <x:v>513</x:v>
      </x:c>
      <x:c r="D214" s="4" t="str">
        <x:v>用户被移出或主动退出粉丝群后，失去团籍和群权限并卸下身份标识，粉丝等级和亲密度清零，重新加入从零累计；关注关系不因退团自动解除。〔依据：context/系统概要 .md / 3.3.3 粉丝群〕</x:v>
      </x:c>
      <x:c r="E214" s="4" t="str">
        <x:v>尚未建立场景映射</x:v>
      </x:c>
      <x:c r="F214" s="4" t="str"/>
      <x:c r="G214" s="4" t="str">
        <x:v>系统概要或共同业务条款：已保留全文，不用端侧用例数量反推本条完整覆盖；跨段等价映射尚未逐项闭合。</x:v>
      </x:c>
    </x:row>
    <x:row r="215" ht="57" customHeight="1">
      <x:c r="A215" s="4" t="str">
        <x:v>概要-514</x:v>
      </x:c>
      <x:c r="B215" s="4" t="str">
        <x:v>系统概要与公共规则</x:v>
      </x:c>
      <x:c r="C215" s="4" t="n">
        <x:v>514</x:v>
      </x:c>
      <x:c r="D215" s="4" t="str">
        <x:v>虚拟金币可以计入氛围和榜单展示，但具体榜单范围存在下级批注冲突，必须按 PENDING-virtual-board 确认；真实金币榜单的排序和计算规则独立有效。〔依据：context/系统概要 .md / 3.7.3 虚拟金币隔离〕</x:v>
      </x:c>
      <x:c r="E215" s="4" t="str">
        <x:v>尚未建立场景映射</x:v>
      </x:c>
      <x:c r="F215" s="4" t="str"/>
      <x:c r="G215" s="4" t="str">
        <x:v>系统概要或共同业务条款：已保留全文，不用端侧用例数量反推本条完整覆盖；跨段等价映射尚未逐项闭合。</x:v>
      </x:c>
    </x:row>
    <x:row r="216" ht="44" customHeight="1">
      <x:c r="A216" s="4" t="str">
        <x:v>REQ-f3b7305ac172</x:v>
      </x:c>
      <x:c r="B216" s="4" t="str">
        <x:v>数据看板</x:v>
      </x:c>
      <x:c r="C216" s="4" t="n">
        <x:v>2489</x:v>
      </x:c>
      <x:c r="D216" s="4" t="str">
        <x:v>活跃用户 / 新增用户：最新自然日打开 App（启动或从后台切回前台）的去重登录用户数 / 完成注册的去重用户数。</x:v>
      </x:c>
      <x:c r="E216" s="4" t="str">
        <x:v>整段分支核验未闭合</x:v>
      </x:c>
      <x:c r="F216" s="4" t="str">
        <x:v>ADMIN-0277、ADMIN-0278</x:v>
      </x:c>
      <x:c r="G216" s="4" t="str">
        <x:v>本段剩余子句、条件组合及状态后续影响仍需与独立规则逐项闭合；这是生成覆盖缺口，不是产品决策缺失。</x:v>
      </x:c>
    </x:row>
    <x:row r="217" ht="44" customHeight="1">
      <x:c r="A217" s="4" t="str">
        <x:v>REQ-413049d77e2d</x:v>
      </x:c>
      <x:c r="B217" s="4" t="str">
        <x:v>数据看板</x:v>
      </x:c>
      <x:c r="C217" s="4" t="n">
        <x:v>2490</x:v>
      </x:c>
      <x:c r="D217" s="4" t="str">
        <x:v>总充值金额 / 人数：支付成功充值订单的实付金额合计 / 去重用户数。</x:v>
      </x:c>
      <x:c r="E217" s="4" t="str">
        <x:v>尚未建立场景映射</x:v>
      </x:c>
      <x:c r="F217" s="4" t="str"/>
      <x:c r="G217" s="4" t="str">
        <x:v>本轮独立来源库保留该已知条款，但尚未建立可核验的正式场景映射；不是无业务依据，也不转为产品待确认。</x:v>
      </x:c>
    </x:row>
    <x:row r="218" ht="44" customHeight="1">
      <x:c r="A218" s="4" t="str">
        <x:v>REQ-90a0a7b45506</x:v>
      </x:c>
      <x:c r="B218" s="4" t="str">
        <x:v>数据看板</x:v>
      </x:c>
      <x:c r="C218" s="4" t="n">
        <x:v>2491</x:v>
      </x:c>
      <x:c r="D218" s="4" t="str">
        <x:v>新用户充值金额：最新自然日注册用户当日支付成功的充值金额合计。</x:v>
      </x:c>
      <x:c r="E218" s="4" t="str">
        <x:v>整段分支核验未闭合</x:v>
      </x:c>
      <x:c r="F218" s="4" t="str">
        <x:v>ADMIN-0569</x:v>
      </x:c>
      <x:c r="G218" s="4" t="str">
        <x:v>本段剩余子句、条件组合及状态后续影响仍需与独立规则逐项闭合；这是生成覆盖缺口，不是产品决策缺失。</x:v>
      </x:c>
    </x:row>
    <x:row r="219" ht="44" customHeight="1">
      <x:c r="A219" s="4" t="str">
        <x:v>REQ-cb8d0881029d</x:v>
      </x:c>
      <x:c r="B219" s="4" t="str">
        <x:v>数据看板</x:v>
      </x:c>
      <x:c r="C219" s="4" t="n">
        <x:v>2492</x:v>
      </x:c>
      <x:c r="D219" s="4" t="str">
        <x:v>新用户 ARPU：新用户充值金额 / 新用户充值人数；分母为 0 时记 0。</x:v>
      </x:c>
      <x:c r="E219" s="4" t="str">
        <x:v>整段分支核验未闭合</x:v>
      </x:c>
      <x:c r="F219" s="4" t="str">
        <x:v>ADMIN-0280、ADMIN-0281</x:v>
      </x:c>
      <x:c r="G219" s="4" t="str">
        <x:v>本段剩余子句、条件组合及状态后续影响仍需与独立规则逐项闭合；这是生成覆盖缺口，不是产品决策缺失。</x:v>
      </x:c>
    </x:row>
    <x:row r="220" ht="44" customHeight="1">
      <x:c r="A220" s="4" t="str">
        <x:v>REQ-fdfa9dfde671</x:v>
      </x:c>
      <x:c r="B220" s="4" t="str">
        <x:v>数据看板</x:v>
      </x:c>
      <x:c r="C220" s="4" t="n">
        <x:v>2493</x:v>
      </x:c>
      <x:c r="D220" s="4" t="str">
        <x:v>达成有效天主播：最新自然日累计有效直播不少于 3 小时的去重主播数。</x:v>
      </x:c>
      <x:c r="E220" s="4" t="str">
        <x:v>整段分支核验未闭合</x:v>
      </x:c>
      <x:c r="F220" s="4" t="str">
        <x:v>ADMIN-0570</x:v>
      </x:c>
      <x:c r="G220" s="4" t="str">
        <x:v>本段剩余子句、条件组合及状态后续影响仍需与独立规则逐项闭合；这是生成覆盖缺口，不是产品决策缺失。</x:v>
      </x:c>
    </x:row>
    <x:row r="221" ht="44" customHeight="1">
      <x:c r="A221" s="4" t="str">
        <x:v>REQ-62a781f27e21</x:v>
      </x:c>
      <x:c r="B221" s="4" t="str">
        <x:v>数据看板</x:v>
      </x:c>
      <x:c r="C221" s="4" t="n">
        <x:v>2494</x:v>
      </x:c>
      <x:c r="D221" s="4" t="str">
        <x:v>被动退款：支付渠道发起的退款记录，按退款时间倒序。</x:v>
      </x:c>
      <x:c r="E221" s="4" t="str">
        <x:v>尚未建立场景映射</x:v>
      </x:c>
      <x:c r="F221" s="4" t="str"/>
      <x:c r="G221" s="4" t="str">
        <x:v>本轮独立来源库保留该已知条款，但尚未建立可核验的正式场景映射；不是无业务依据，也不转为产品待确认。</x:v>
      </x:c>
    </x:row>
    <x:row r="222" ht="44" customHeight="1">
      <x:c r="A222" s="4" t="str">
        <x:v>REQ-2296a76e69d6</x:v>
      </x:c>
      <x:c r="B222" s="4" t="str">
        <x:v>数据看板</x:v>
      </x:c>
      <x:c r="C222" s="4" t="n">
        <x:v>2495</x:v>
      </x:c>
      <x:c r="D222" s="4" t="str">
        <x:v>指标卡取最新自然日，趋势取截至该日最近 7 个自然日。</x:v>
      </x:c>
      <x:c r="E222" s="4" t="str">
        <x:v>整段分支核验未闭合</x:v>
      </x:c>
      <x:c r="F222" s="4" t="str">
        <x:v>ADMIN-0279</x:v>
      </x:c>
      <x:c r="G222" s="4" t="str">
        <x:v>本段剩余子句、条件组合及状态后续影响仍需与独立规则逐项闭合；这是生成覆盖缺口，不是产品决策缺失。</x:v>
      </x:c>
    </x:row>
    <x:row r="223" ht="44" customHeight="1">
      <x:c r="A223" s="4" t="str">
        <x:v>REQ-552798316bec</x:v>
      </x:c>
      <x:c r="B223" s="4" t="str">
        <x:v>数据看板</x:v>
      </x:c>
      <x:c r="C223" s="4" t="n">
        <x:v>2496</x:v>
      </x:c>
      <x:c r="D223" s="4" t="str">
        <x:v>点击指标卡 -&gt; 切换趋势；刷新 -&gt; 重新取数；点击退款记录或快捷入口 -&gt; 进入对应页面。</x:v>
      </x:c>
      <x:c r="E223" s="4" t="str">
        <x:v>尚未建立场景映射</x:v>
      </x:c>
      <x:c r="F223" s="4" t="str"/>
      <x:c r="G223" s="4" t="str">
        <x:v>本轮独立来源库保留该已知条款，但尚未建立可核验的正式场景映射；不是无业务依据，也不转为产品待确认。</x:v>
      </x:c>
    </x:row>
    <x:row r="224" ht="44" customHeight="1">
      <x:c r="A224" s="4" t="str">
        <x:v>REQ-169616c64c54</x:v>
      </x:c>
      <x:c r="B224" s="4" t="str">
        <x:v>用户管理</x:v>
      </x:c>
      <x:c r="C224" s="4" t="n">
        <x:v>2501</x:v>
      </x:c>
      <x:c r="D224" s="4" t="str">
        <x:v>用户信息：头像、昵称和全局唯一用户 ID。</x:v>
      </x:c>
      <x:c r="E224" s="4" t="str">
        <x:v>整段分支核验未闭合</x:v>
      </x:c>
      <x:c r="F224" s="4" t="str">
        <x:v>ADMIN-0392、ADMIN-0393、ADMIN-0394</x:v>
      </x:c>
      <x:c r="G224" s="4" t="str">
        <x:v>本段剩余子句、条件组合及状态后续影响仍需与独立规则逐项闭合；这是生成覆盖缺口，不是产品决策缺失。</x:v>
      </x:c>
    </x:row>
    <x:row r="225" ht="44" customHeight="1">
      <x:c r="A225" s="4" t="str">
        <x:v>REQ-9135a10cac7c</x:v>
      </x:c>
      <x:c r="B225" s="4" t="str">
        <x:v>用户管理</x:v>
      </x:c>
      <x:c r="C225" s="4" t="n">
        <x:v>2502</x:v>
      </x:c>
      <x:c r="D225" s="4" t="str">
        <x:v>账号状态：仅正常、封禁。</x:v>
      </x:c>
      <x:c r="E225" s="4" t="str">
        <x:v>尚未建立场景映射</x:v>
      </x:c>
      <x:c r="F225" s="4" t="str"/>
      <x:c r="G225" s="4" t="str">
        <x:v>本轮独立来源库保留该已知条款，但尚未建立可核验的正式场景映射；不是无业务依据，也不转为产品待确认。</x:v>
      </x:c>
    </x:row>
    <x:row r="226" ht="44" customHeight="1">
      <x:c r="A226" s="4" t="str">
        <x:v>REQ-67ec55f85454</x:v>
      </x:c>
      <x:c r="B226" s="4" t="str">
        <x:v>用户管理</x:v>
      </x:c>
      <x:c r="C226" s="4" t="n">
        <x:v>2503</x:v>
      </x:c>
      <x:c r="D226" s="4" t="str">
        <x:v>财富等级：当前等级；筛选上下限为非负整数且上限不得小于下限。</x:v>
      </x:c>
      <x:c r="E226" s="4" t="str">
        <x:v>整段分支核验未闭合</x:v>
      </x:c>
      <x:c r="F226" s="4" t="str">
        <x:v>ADMIN-0518、ADMIN-0519、ADMIN-0520</x:v>
      </x:c>
      <x:c r="G226" s="4" t="str">
        <x:v>本段剩余子句、条件组合及状态后续影响仍需与独立规则逐项闭合；这是生成覆盖缺口，不是产品决策缺失。</x:v>
      </x:c>
    </x:row>
    <x:row r="227" ht="44" customHeight="1">
      <x:c r="A227" s="4" t="str">
        <x:v>REQ-33a581e8cc89</x:v>
      </x:c>
      <x:c r="B227" s="4" t="str">
        <x:v>用户管理</x:v>
      </x:c>
      <x:c r="C227" s="4" t="n">
        <x:v>2504</x:v>
      </x:c>
      <x:c r="D227" s="4" t="str">
        <x:v>累计充值：支付成功充值订单实付金额合计。</x:v>
      </x:c>
      <x:c r="E227" s="4" t="str">
        <x:v>整段分支核验未闭合</x:v>
      </x:c>
      <x:c r="F227" s="4" t="str">
        <x:v>ADMIN-0571</x:v>
      </x:c>
      <x:c r="G227" s="4" t="str">
        <x:v>本段剩余子句、条件组合及状态后续影响仍需与独立规则逐项闭合；这是生成覆盖缺口，不是产品决策缺失。</x:v>
      </x:c>
    </x:row>
    <x:row r="228" ht="44" customHeight="1">
      <x:c r="A228" s="4" t="str">
        <x:v>REQ-63a48e394be8</x:v>
      </x:c>
      <x:c r="B228" s="4" t="str">
        <x:v>用户管理</x:v>
      </x:c>
      <x:c r="C228" s="4" t="n">
        <x:v>2505</x:v>
      </x:c>
      <x:c r="D228" s="4" t="str">
        <x:v>累计消费：普通、定制、门票扣减金币 + 幸运礼物扣减金币 - 幸运礼物返奖；失败、撤销和虚拟金币不计。</x:v>
      </x:c>
      <x:c r="E228" s="4" t="str">
        <x:v>尚未建立场景映射</x:v>
      </x:c>
      <x:c r="F228" s="4" t="str"/>
      <x:c r="G228" s="4" t="str">
        <x:v>本轮独立来源库保留该已知条款，但尚未建立可核验的正式场景映射；不是无业务依据，也不转为产品待确认。</x:v>
      </x:c>
    </x:row>
    <x:row r="229" ht="44" customHeight="1">
      <x:c r="A229" s="4" t="str">
        <x:v>REQ-23a3faa539fa</x:v>
      </x:c>
      <x:c r="B229" s="4" t="str">
        <x:v>用户管理</x:v>
      </x:c>
      <x:c r="C229" s="4" t="n">
        <x:v>2506</x:v>
      </x:c>
      <x:c r="D229" s="4" t="str">
        <x:v>金币余额：当前真实金币余额；充值退款可使其为负。</x:v>
      </x:c>
      <x:c r="E229" s="4" t="str">
        <x:v>尚未建立场景映射</x:v>
      </x:c>
      <x:c r="F229" s="4" t="str"/>
      <x:c r="G229" s="4" t="str">
        <x:v>本轮独立来源库保留该已知条款，但尚未建立可核验的正式场景映射；不是无业务依据，也不转为产品待确认。</x:v>
      </x:c>
    </x:row>
    <x:row r="230" ht="44" customHeight="1">
      <x:c r="A230" s="4" t="str">
        <x:v>REQ-ff9ebd2a8a18</x:v>
      </x:c>
      <x:c r="B230" s="4" t="str">
        <x:v>用户管理</x:v>
      </x:c>
      <x:c r="C230" s="4" t="n">
        <x:v>2507</x:v>
      </x:c>
      <x:c r="D230" s="4" t="str">
        <x:v>所属公会：当前有效关系，无公会显示“-”。</x:v>
      </x:c>
      <x:c r="E230" s="4" t="str">
        <x:v>尚未建立场景映射</x:v>
      </x:c>
      <x:c r="F230" s="4" t="str"/>
      <x:c r="G230" s="4" t="str">
        <x:v>本轮独立来源库保留该已知条款，但尚未建立可核验的正式场景映射；不是无业务依据，也不转为产品待确认。</x:v>
      </x:c>
    </x:row>
    <x:row r="231" ht="44" customHeight="1">
      <x:c r="A231" s="4" t="str">
        <x:v>REQ-d5b2035e80eb</x:v>
      </x:c>
      <x:c r="B231" s="4" t="str">
        <x:v>用户管理</x:v>
      </x:c>
      <x:c r="C231" s="4" t="n">
        <x:v>2508</x:v>
      </x:c>
      <x:c r="D231" s="4" t="str">
        <x:v>注册时间：首次注册时间；时间筛选首尾均包含。</x:v>
      </x:c>
      <x:c r="E231" s="4" t="str">
        <x:v>整段分支核验未闭合</x:v>
      </x:c>
      <x:c r="F231" s="4" t="str">
        <x:v>ADMIN-0395、ADMIN-0518、ADMIN-0519、ADMIN-0520</x:v>
      </x:c>
      <x:c r="G231" s="4" t="str">
        <x:v>本段剩余子句、条件组合及状态后续影响仍需与独立规则逐项闭合；这是生成覆盖缺口，不是产品决策缺失。</x:v>
      </x:c>
    </x:row>
    <x:row r="232" ht="44" customHeight="1">
      <x:c r="A232" s="4" t="str">
        <x:v>REQ-d7c78e90d406</x:v>
      </x:c>
      <x:c r="B232" s="4" t="str">
        <x:v>用户管理</x:v>
      </x:c>
      <x:c r="C232" s="4" t="n">
        <x:v>2509</x:v>
      </x:c>
      <x:c r="D232" s="4" t="str">
        <x:v>封禁后立即下线，正在直播时同时关播，未登录账号禁止登录。</x:v>
      </x:c>
      <x:c r="E232" s="4" t="str">
        <x:v>尚未建立场景映射</x:v>
      </x:c>
      <x:c r="F232" s="4" t="str"/>
      <x:c r="G232" s="4" t="str">
        <x:v>本轮独立来源库保留该已知条款，但尚未建立可核验的正式场景映射；不是无业务依据，也不转为产品待确认。</x:v>
      </x:c>
    </x:row>
    <x:row r="233" ht="44" customHeight="1">
      <x:c r="A233" s="4" t="str">
        <x:v>REQ-43e62348dcfc</x:v>
      </x:c>
      <x:c r="B233" s="4" t="str">
        <x:v>用户管理</x:v>
      </x:c>
      <x:c r="C233" s="4" t="n">
        <x:v>2510</x:v>
      </x:c>
      <x:c r="D233" s="4" t="str">
        <x:v>查询 -&gt; 条件取交集；导出 -&gt; 当前筛选结果。</x:v>
      </x:c>
      <x:c r="E233" s="4" t="str">
        <x:v>整段分支核验未闭合</x:v>
      </x:c>
      <x:c r="F233" s="4" t="str">
        <x:v>ADMIN-0518、ADMIN-0519、ADMIN-0520</x:v>
      </x:c>
      <x:c r="G233" s="4" t="str">
        <x:v>本段剩余子句、条件组合及状态后续影响仍需与独立规则逐项闭合；这是生成覆盖缺口，不是产品决策缺失。</x:v>
      </x:c>
    </x:row>
    <x:row r="234" ht="44" customHeight="1">
      <x:c r="A234" s="4" t="str">
        <x:v>REQ-3533fefe2798</x:v>
      </x:c>
      <x:c r="B234" s="4" t="str">
        <x:v>用户管理</x:v>
      </x:c>
      <x:c r="C234" s="4" t="n">
        <x:v>2511</x:v>
      </x:c>
      <x:c r="D234" s="4" t="str">
        <x:v>封禁或解封 -&gt; 填写原因并确认 -&gt; 更新并留痕。</x:v>
      </x:c>
      <x:c r="E234" s="4" t="str">
        <x:v>尚未建立场景映射</x:v>
      </x:c>
      <x:c r="F234" s="4" t="str"/>
      <x:c r="G234" s="4" t="str">
        <x:v>本轮独立来源库保留该已知条款，但尚未建立可核验的正式场景映射；不是无业务依据，也不转为产品待确认。</x:v>
      </x:c>
    </x:row>
    <x:row r="235" ht="44" customHeight="1">
      <x:c r="A235" s="4" t="str">
        <x:v>REQ-12e618050f4f</x:v>
      </x:c>
      <x:c r="B235" s="4" t="str">
        <x:v>用户管理</x:v>
      </x:c>
      <x:c r="C235" s="4" t="n">
        <x:v>2516</x:v>
      </x:c>
      <x:c r="D235" s="4" t="str">
        <x:v>基础资料：用户 ID、昵称、手机号、地区、注册时间和账号状态取当前值。</x:v>
      </x:c>
      <x:c r="E235" s="4" t="str">
        <x:v>整段分支核验未闭合</x:v>
      </x:c>
      <x:c r="F235" s="4" t="str">
        <x:v>ADMIN-0195、ADMIN-0196、ADMIN-0396、ADMIN-0397、ADMIN-0398、ADMIN-0399</x:v>
      </x:c>
      <x:c r="G235" s="4" t="str">
        <x:v>本段剩余子句、条件组合及状态后续影响仍需与独立规则逐项闭合；这是生成覆盖缺口，不是产品决策缺失。</x:v>
      </x:c>
    </x:row>
    <x:row r="236" ht="44" customHeight="1">
      <x:c r="A236" s="4" t="str">
        <x:v>REQ-34da8515065e</x:v>
      </x:c>
      <x:c r="B236" s="4" t="str">
        <x:v>用户管理</x:v>
      </x:c>
      <x:c r="C236" s="4" t="n">
        <x:v>2517</x:v>
      </x:c>
      <x:c r="D236" s="4" t="str">
        <x:v>金币余额：当前真实金币余额；负数时禁止消费。</x:v>
      </x:c>
      <x:c r="E236" s="4" t="str">
        <x:v>尚未建立场景映射</x:v>
      </x:c>
      <x:c r="F236" s="4" t="str"/>
      <x:c r="G236" s="4" t="str">
        <x:v>本轮独立来源库保留该已知条款，但尚未建立可核验的正式场景映射；不是无业务依据，也不转为产品待确认。</x:v>
      </x:c>
    </x:row>
    <x:row r="237" ht="44" customHeight="1">
      <x:c r="A237" s="4" t="str">
        <x:v>REQ-3af999bfb7bf</x:v>
      </x:c>
      <x:c r="B237" s="4" t="str">
        <x:v>用户管理</x:v>
      </x:c>
      <x:c r="C237" s="4" t="n">
        <x:v>2518</x:v>
      </x:c>
      <x:c r="D237" s="4" t="str">
        <x:v>充值流水：充值订单、基础金币、赠送金币、渠道和状态。</x:v>
      </x:c>
      <x:c r="E237" s="4" t="str">
        <x:v>尚未建立场景映射</x:v>
      </x:c>
      <x:c r="F237" s="4" t="str"/>
      <x:c r="G237" s="4" t="str">
        <x:v>本轮独立来源库保留该已知条款，但尚未建立可核验的正式场景映射；不是无业务依据，也不转为产品待确认。</x:v>
      </x:c>
    </x:row>
    <x:row r="238" ht="44" customHeight="1">
      <x:c r="A238" s="4" t="str">
        <x:v>REQ-65ddebbc43ee</x:v>
      </x:c>
      <x:c r="B238" s="4" t="str">
        <x:v>用户管理</x:v>
      </x:c>
      <x:c r="C238" s="4" t="n">
        <x:v>2519</x:v>
      </x:c>
      <x:c r="D238" s="4" t="str">
        <x:v>消费流水：商品、数量、扣减金币、主播和直播场次，只读。</x:v>
      </x:c>
      <x:c r="E238" s="4" t="str">
        <x:v>尚未建立场景映射</x:v>
      </x:c>
      <x:c r="F238" s="4" t="str"/>
      <x:c r="G238" s="4" t="str">
        <x:v>本轮独立来源库保留该已知条款，但尚未建立可核验的正式场景映射；不是无业务依据，也不转为产品待确认。</x:v>
      </x:c>
    </x:row>
    <x:row r="239" ht="44" customHeight="1">
      <x:c r="A239" s="4" t="str">
        <x:v>REQ-3dbf46afe8f8</x:v>
      </x:c>
      <x:c r="B239" s="4" t="str">
        <x:v>用户管理</x:v>
      </x:c>
      <x:c r="C239" s="4" t="n">
        <x:v>2520</x:v>
      </x:c>
      <x:c r="D239" s="4" t="str">
        <x:v>登录设备：设备、系统、应用版本、最近登录时间和状态。</x:v>
      </x:c>
      <x:c r="E239" s="4" t="str">
        <x:v>整段分支核验未闭合</x:v>
      </x:c>
      <x:c r="F239" s="4" t="str">
        <x:v>ADMIN-0400、ADMIN-0401、ADMIN-0402、ADMIN-0403</x:v>
      </x:c>
      <x:c r="G239" s="4" t="str">
        <x:v>本段剩余子句、条件组合及状态后续影响仍需与独立规则逐项闭合；这是生成覆盖缺口，不是产品决策缺失。</x:v>
      </x:c>
    </x:row>
    <x:row r="240" ht="44" customHeight="1">
      <x:c r="A240" s="4" t="str">
        <x:v>REQ-10179ab8e45b</x:v>
      </x:c>
      <x:c r="B240" s="4" t="str">
        <x:v>用户管理</x:v>
      </x:c>
      <x:c r="C240" s="4" t="n">
        <x:v>2521</x:v>
      </x:c>
      <x:c r="D240" s="4" t="str">
        <x:v>关注 / 粉丝：当前有效关系。</x:v>
      </x:c>
      <x:c r="E240" s="4" t="str">
        <x:v>尚未建立场景映射</x:v>
      </x:c>
      <x:c r="F240" s="4" t="str"/>
      <x:c r="G240" s="4" t="str">
        <x:v>本轮独立来源库保留该已知条款，但尚未建立可核验的正式场景映射；不是无业务依据，也不转为产品待确认。</x:v>
      </x:c>
    </x:row>
    <x:row r="241" ht="44" customHeight="1">
      <x:c r="A241" s="4" t="str">
        <x:v>REQ-6940ba9f6543</x:v>
      </x:c>
      <x:c r="B241" s="4" t="str">
        <x:v>用户管理</x:v>
      </x:c>
      <x:c r="C241" s="4" t="n">
        <x:v>2522</x:v>
      </x:c>
      <x:c r="D241" s="4" t="str">
        <x:v>违规记录：举报或审核来源、结论、处置和时间。</x:v>
      </x:c>
      <x:c r="E241" s="4" t="str">
        <x:v>尚未建立场景映射</x:v>
      </x:c>
      <x:c r="F241" s="4" t="str"/>
      <x:c r="G241" s="4" t="str">
        <x:v>本轮独立来源库保留该已知条款，但尚未建立可核验的正式场景映射；不是无业务依据，也不转为产品待确认。</x:v>
      </x:c>
    </x:row>
    <x:row r="242" ht="44" customHeight="1">
      <x:c r="A242" s="4" t="str">
        <x:v>REQ-9cc42d630910</x:v>
      </x:c>
      <x:c r="B242" s="4" t="str">
        <x:v>用户管理</x:v>
      </x:c>
      <x:c r="C242" s="4" t="n">
        <x:v>2523</x:v>
      </x:c>
      <x:c r="D242" s="4" t="str">
        <x:v>解封只恢复登录，不自动恢复直播权限。</x:v>
      </x:c>
      <x:c r="E242" s="4" t="str">
        <x:v>整段分支核验未闭合</x:v>
      </x:c>
      <x:c r="F242" s="4" t="str">
        <x:v>ADMIN-0196、ADMIN-0478</x:v>
      </x:c>
      <x:c r="G242" s="4" t="str">
        <x:v>本段剩余子句、条件组合及状态后续影响仍需与独立规则逐项闭合；这是生成覆盖缺口，不是产品决策缺失。</x:v>
      </x:c>
    </x:row>
    <x:row r="243" ht="44" customHeight="1">
      <x:c r="A243" s="4" t="str">
        <x:v>REQ-62408ea5498f</x:v>
      </x:c>
      <x:c r="B243" s="4" t="str">
        <x:v>用户管理</x:v>
      </x:c>
      <x:c r="C243" s="4" t="n">
        <x:v>2524</x:v>
      </x:c>
      <x:c r="D243" s="4" t="str">
        <x:v>充值退款扣回原订单全部到账金币，但不撤销已完成消费。</x:v>
      </x:c>
      <x:c r="E243" s="4" t="str">
        <x:v>尚未建立场景映射</x:v>
      </x:c>
      <x:c r="F243" s="4" t="str"/>
      <x:c r="G243" s="4" t="str">
        <x:v>本轮独立来源库保留该已知条款，但尚未建立可核验的正式场景映射；不是无业务依据，也不转为产品待确认。</x:v>
      </x:c>
    </x:row>
    <x:row r="244" ht="44" customHeight="1">
      <x:c r="A244" s="4" t="str">
        <x:v>REQ-26dd9c9cba99</x:v>
      </x:c>
      <x:c r="B244" s="4" t="str">
        <x:v>用户管理</x:v>
      </x:c>
      <x:c r="C244" s="4" t="n">
        <x:v>2525</x:v>
      </x:c>
      <x:c r="D244" s="4" t="str">
        <x:v>切换 Tab -&gt; 加载明细；账号处置 -&gt; 填写原因并确认 -&gt; 更新并留痕。</x:v>
      </x:c>
      <x:c r="E244" s="4" t="str">
        <x:v>尚未建立场景映射</x:v>
      </x:c>
      <x:c r="F244" s="4" t="str"/>
      <x:c r="G244" s="4" t="str">
        <x:v>本轮独立来源库保留该已知条款，但尚未建立可核验的正式场景映射；不是无业务依据，也不转为产品待确认。</x:v>
      </x:c>
    </x:row>
    <x:row r="245" ht="44" customHeight="1">
      <x:c r="A245" s="4" t="str">
        <x:v>REQ-592c886af0ed</x:v>
      </x:c>
      <x:c r="B245" s="4" t="str">
        <x:v>主播管理</x:v>
      </x:c>
      <x:c r="C245" s="4" t="n">
        <x:v>2530</x:v>
      </x:c>
      <x:c r="D245" s="4" t="str">
        <x:v>主播 / 公会：主播身份来自认证通过；公会为当前有效关系。</x:v>
      </x:c>
      <x:c r="E245" s="4" t="str">
        <x:v>尚未建立场景映射</x:v>
      </x:c>
      <x:c r="F245" s="4" t="str"/>
      <x:c r="G245" s="4" t="str">
        <x:v>本轮独立来源库保留该已知条款，但尚未建立可核验的正式场景映射；不是无业务依据，也不转为产品待确认。</x:v>
      </x:c>
    </x:row>
    <x:row r="246" ht="44" customHeight="1">
      <x:c r="A246" s="4" t="str">
        <x:v>REQ-1d332a93d537</x:v>
      </x:c>
      <x:c r="B246" s="4" t="str">
        <x:v>主播管理</x:v>
      </x:c>
      <x:c r="C246" s="4" t="n">
        <x:v>2531</x:v>
      </x:c>
      <x:c r="D246" s="4" t="str">
        <x:v>账号状态：仅正常、封禁，独立于直播权限。</x:v>
      </x:c>
      <x:c r="E246" s="4" t="str">
        <x:v>尚未建立场景映射</x:v>
      </x:c>
      <x:c r="F246" s="4" t="str"/>
      <x:c r="G246" s="4" t="str">
        <x:v>本轮独立来源库保留该已知条款，但尚未建立可核验的正式场景映射；不是无业务依据，也不转为产品待确认。</x:v>
      </x:c>
    </x:row>
    <x:row r="247" ht="57" customHeight="1">
      <x:c r="A247" s="4" t="str">
        <x:v>REQ-bb2f7783951c</x:v>
      </x:c>
      <x:c r="B247" s="4" t="str">
        <x:v>主播管理</x:v>
      </x:c>
      <x:c r="C247" s="4" t="n">
        <x:v>2532</x:v>
      </x:c>
      <x:c r="D247" s="4" t="str">
        <x:v>最终开播权限以系统概要的权限矩阵为准：账号可用、公会有效、认证通过；平台关闭则最终关闭；平台开启且未锁定时取公会开关；平台开启且锁定时最终开启，解锁后恢复原公会设置。</x:v>
      </x:c>
      <x:c r="E247" s="4" t="str">
        <x:v>尚未建立场景映射</x:v>
      </x:c>
      <x:c r="F247" s="4" t="str"/>
      <x:c r="G247" s="4" t="str">
        <x:v>本轮独立来源库保留该已知条款，但尚未建立可核验的正式场景映射；不是无业务依据，也不转为产品待确认。</x:v>
      </x:c>
    </x:row>
    <x:row r="248" ht="44" customHeight="1">
      <x:c r="A248" s="4" t="str">
        <x:v>REQ-cb2ee54a238a</x:v>
      </x:c>
      <x:c r="B248" s="4" t="str">
        <x:v>主播管理</x:v>
      </x:c>
      <x:c r="C248" s="4" t="n">
        <x:v>2533</x:v>
      </x:c>
      <x:c r="D248" s="4" t="str">
        <x:v>金币收益：普通、定制和门票按实际消费；幸运礼物按礼物价值 × 配置比例；虚拟金币不计。</x:v>
      </x:c>
      <x:c r="E248" s="4" t="str">
        <x:v>整段分支核验未闭合</x:v>
      </x:c>
      <x:c r="F248" s="4" t="str">
        <x:v>ADMIN-0572</x:v>
      </x:c>
      <x:c r="G248" s="4" t="str">
        <x:v>本段剩余子句、条件组合及状态后续影响仍需与独立规则逐项闭合；这是生成覆盖缺口，不是产品决策缺失。</x:v>
      </x:c>
    </x:row>
    <x:row r="249" ht="44" customHeight="1">
      <x:c r="A249" s="4" t="str">
        <x:v>REQ-84a6a44ee1be</x:v>
      </x:c>
      <x:c r="B249" s="4" t="str">
        <x:v>主播管理</x:v>
      </x:c>
      <x:c r="C249" s="4" t="n">
        <x:v>2534</x:v>
      </x:c>
      <x:c r="D249" s="4" t="str">
        <x:v>违规次数：已确认违规记录数，不含不成立或已作废。</x:v>
      </x:c>
      <x:c r="E249" s="4" t="str">
        <x:v>尚未建立场景映射</x:v>
      </x:c>
      <x:c r="F249" s="4" t="str"/>
      <x:c r="G249" s="4" t="str">
        <x:v>本轮独立来源库保留该已知条款，但尚未建立可核验的正式场景映射；不是无业务依据，也不转为产品待确认。</x:v>
      </x:c>
    </x:row>
    <x:row r="250" ht="44" customHeight="1">
      <x:c r="A250" s="4" t="str">
        <x:v>REQ-e66434cf8b97</x:v>
      </x:c>
      <x:c r="B250" s="4" t="str">
        <x:v>主播管理</x:v>
      </x:c>
      <x:c r="C250" s="4" t="n">
        <x:v>2535</x:v>
      </x:c>
      <x:c r="D250" s="4" t="str">
        <x:v>平台关闭直播权限时立即关播并禁止再次开播。</x:v>
      </x:c>
      <x:c r="E250" s="4" t="str">
        <x:v>尚未建立场景映射</x:v>
      </x:c>
      <x:c r="F250" s="4" t="str"/>
      <x:c r="G250" s="4" t="str">
        <x:v>本轮独立来源库保留该已知条款，但尚未建立可核验的正式场景映射；不是无业务依据，也不转为产品待确认。</x:v>
      </x:c>
    </x:row>
    <x:row r="251" ht="44" customHeight="1">
      <x:c r="A251" s="4" t="str">
        <x:v>REQ-d6f13676fc7b</x:v>
      </x:c>
      <x:c r="B251" s="4" t="str">
        <x:v>主播管理</x:v>
      </x:c>
      <x:c r="C251" s="4" t="n">
        <x:v>2536</x:v>
      </x:c>
      <x:c r="D251" s="4" t="str">
        <x:v>锁定期间公会设置跟随平台且不可改；解锁后恢复锁定前设置并重算权限。</x:v>
      </x:c>
      <x:c r="E251" s="4" t="str">
        <x:v>尚未建立场景映射</x:v>
      </x:c>
      <x:c r="F251" s="4" t="str"/>
      <x:c r="G251" s="4" t="str">
        <x:v>本轮独立来源库保留该已知条款，但尚未建立可核验的正式场景映射；不是无业务依据，也不转为产品待确认。</x:v>
      </x:c>
    </x:row>
    <x:row r="252" ht="44" customHeight="1">
      <x:c r="A252" s="4" t="str">
        <x:v>REQ-c3c43cdfeffa</x:v>
      </x:c>
      <x:c r="B252" s="4" t="str">
        <x:v>主播管理</x:v>
      </x:c>
      <x:c r="C252" s="4" t="n">
        <x:v>2537</x:v>
      </x:c>
      <x:c r="D252" s="4" t="str">
        <x:v>变更权限、警告、封禁或解封 -&gt; 填写原因并确认 -&gt; 记录前后值、操作人和时间；导出当前筛选结果。</x:v>
      </x:c>
      <x:c r="E252" s="4" t="str">
        <x:v>整段分支核验未闭合</x:v>
      </x:c>
      <x:c r="F252" s="4" t="str">
        <x:v>ADMIN-0521、ADMIN-0522、ADMIN-0523</x:v>
      </x:c>
      <x:c r="G252" s="4" t="str">
        <x:v>本段剩余子句、条件组合及状态后续影响仍需与独立规则逐项闭合；这是生成覆盖缺口，不是产品决策缺失。</x:v>
      </x:c>
    </x:row>
    <x:row r="253" ht="44" customHeight="1">
      <x:c r="A253" s="4" t="str">
        <x:v>REQ-d130240c4251</x:v>
      </x:c>
      <x:c r="B253" s="4" t="str">
        <x:v>主播管理</x:v>
      </x:c>
      <x:c r="C253" s="4" t="n">
        <x:v>2542</x:v>
      </x:c>
      <x:c r="D253" s="4" t="str">
        <x:v>平台直播权限：平台控制项；关闭即结束当前直播。</x:v>
      </x:c>
      <x:c r="E253" s="4" t="str">
        <x:v>整段分支核验未闭合</x:v>
      </x:c>
      <x:c r="F253" s="4" t="str">
        <x:v>ADMIN-0004、ADMIN-0005</x:v>
      </x:c>
      <x:c r="G253" s="4" t="str">
        <x:v>本段剩余子句、条件组合及状态后续影响仍需与独立规则逐项闭合；这是生成覆盖缺口，不是产品决策缺失。</x:v>
      </x:c>
    </x:row>
    <x:row r="254" ht="44" customHeight="1">
      <x:c r="A254" s="4" t="str">
        <x:v>REQ-373e19aa441c</x:v>
      </x:c>
      <x:c r="B254" s="4" t="str">
        <x:v>主播管理</x:v>
      </x:c>
      <x:c r="C254" s="4" t="n">
        <x:v>2543</x:v>
      </x:c>
      <x:c r="D254" s="4" t="str">
        <x:v>公会管理权限：关闭后公会不可修改；锁定期间保留公会原设置。</x:v>
      </x:c>
      <x:c r="E254" s="4" t="str">
        <x:v>整段分支核验未闭合</x:v>
      </x:c>
      <x:c r="F254" s="4" t="str">
        <x:v>ADMIN-0004、ADMIN-0005</x:v>
      </x:c>
      <x:c r="G254" s="4" t="str">
        <x:v>本段剩余子句、条件组合及状态后续影响仍需与独立规则逐项闭合；这是生成覆盖缺口，不是产品决策缺失。</x:v>
      </x:c>
    </x:row>
    <x:row r="255" ht="44" customHeight="1">
      <x:c r="A255" s="4" t="str">
        <x:v>REQ-0d2ec2b17807</x:v>
      </x:c>
      <x:c r="B255" s="4" t="str">
        <x:v>主播管理</x:v>
      </x:c>
      <x:c r="C255" s="4" t="n">
        <x:v>2544</x:v>
      </x:c>
      <x:c r="D255" s="4" t="str">
        <x:v>直播记录：每次开播生成独立场次并保留房型、时长、消费、处置和收益。</x:v>
      </x:c>
      <x:c r="E255" s="4" t="str">
        <x:v>整段分支核验未闭合</x:v>
      </x:c>
      <x:c r="F255" s="4" t="str">
        <x:v>ADMIN-0477</x:v>
      </x:c>
      <x:c r="G255" s="4" t="str">
        <x:v>本段剩余子句、条件组合及状态后续影响仍需与独立规则逐项闭合；这是生成覆盖缺口，不是产品决策缺失。</x:v>
      </x:c>
    </x:row>
    <x:row r="256" ht="44" customHeight="1">
      <x:c r="A256" s="4" t="str">
        <x:v>REQ-16afc0c47b28</x:v>
      </x:c>
      <x:c r="B256" s="4" t="str">
        <x:v>主播管理</x:v>
      </x:c>
      <x:c r="C256" s="4" t="n">
        <x:v>2545</x:v>
      </x:c>
      <x:c r="D256" s="4" t="str">
        <x:v>收益：普通、定制、门票按实际消费；幸运礼物 = 礼物价值 × 配置比例，默认 1%。</x:v>
      </x:c>
      <x:c r="E256" s="4" t="str">
        <x:v>整段分支核验未闭合</x:v>
      </x:c>
      <x:c r="F256" s="4" t="str">
        <x:v>ADMIN-0573</x:v>
      </x:c>
      <x:c r="G256" s="4" t="str">
        <x:v>本段剩余子句、条件组合及状态后续影响仍需与独立规则逐项闭合；这是生成覆盖缺口，不是产品决策缺失。</x:v>
      </x:c>
    </x:row>
    <x:row r="257" ht="44" customHeight="1">
      <x:c r="A257" s="4" t="str">
        <x:v>REQ-7fafa048e2f6</x:v>
      </x:c>
      <x:c r="B257" s="4" t="str">
        <x:v>主播管理</x:v>
      </x:c>
      <x:c r="C257" s="4" t="n">
        <x:v>2546</x:v>
      </x:c>
      <x:c r="D257" s="4" t="str">
        <x:v>违规记录：已确认处置及时间。</x:v>
      </x:c>
      <x:c r="E257" s="4" t="str">
        <x:v>尚未建立场景映射</x:v>
      </x:c>
      <x:c r="F257" s="4" t="str"/>
      <x:c r="G257" s="4" t="str">
        <x:v>本轮独立来源库保留该已知条款，但尚未建立可核验的正式场景映射；不是无业务依据，也不转为产品待确认。</x:v>
      </x:c>
    </x:row>
    <x:row r="258" ht="44" customHeight="1">
      <x:c r="A258" s="4" t="str">
        <x:v>REQ-010f9be072e9</x:v>
      </x:c>
      <x:c r="B258" s="4" t="str">
        <x:v>主播管理</x:v>
      </x:c>
      <x:c r="C258" s="4" t="n">
        <x:v>2547</x:v>
      </x:c>
      <x:c r="D258" s="4" t="str">
        <x:v>封禁账号与关闭直播权限独立；解封不恢复直播权限。</x:v>
      </x:c>
      <x:c r="E258" s="4" t="str">
        <x:v>整段分支核验未闭合</x:v>
      </x:c>
      <x:c r="F258" s="4" t="str">
        <x:v>ADMIN-0004、ADMIN-0005、ADMIN-0477</x:v>
      </x:c>
      <x:c r="G258" s="4" t="str">
        <x:v>本段剩余子句、条件组合及状态后续影响仍需与独立规则逐项闭合；这是生成覆盖缺口，不是产品决策缺失。</x:v>
      </x:c>
    </x:row>
    <x:row r="259" ht="44" customHeight="1">
      <x:c r="A259" s="4" t="str">
        <x:v>REQ-9ca7f9940a95</x:v>
      </x:c>
      <x:c r="B259" s="4" t="str">
        <x:v>主播管理</x:v>
      </x:c>
      <x:c r="C259" s="4" t="n">
        <x:v>2548</x:v>
      </x:c>
      <x:c r="D259" s="4" t="str">
        <x:v>切换 Tab -&gt; 加载记录；权限或账号处置 -&gt; 填写原因并确认 -&gt; 更新并留痕。</x:v>
      </x:c>
      <x:c r="E259" s="4" t="str">
        <x:v>整段分支核验未闭合</x:v>
      </x:c>
      <x:c r="F259" s="4" t="str">
        <x:v>ADMIN-0004、ADMIN-0005</x:v>
      </x:c>
      <x:c r="G259" s="4" t="str">
        <x:v>本段剩余子句、条件组合及状态后续影响仍需与独立规则逐项闭合；这是生成覆盖缺口，不是产品决策缺失。</x:v>
      </x:c>
    </x:row>
    <x:row r="260" ht="44" customHeight="1">
      <x:c r="A260" s="4" t="str">
        <x:v>REQ-a8a706323b12</x:v>
      </x:c>
      <x:c r="B260" s="4" t="str">
        <x:v>主播管理</x:v>
      </x:c>
      <x:c r="C260" s="4" t="n">
        <x:v>2553</x:v>
      </x:c>
      <x:c r="D260" s="4" t="str">
        <x:v>申请单号：每次提交生成唯一单号；重新申请生成新单。</x:v>
      </x:c>
      <x:c r="E260" s="4" t="str">
        <x:v>整段分支核验未闭合</x:v>
      </x:c>
      <x:c r="F260" s="4" t="str">
        <x:v>ADMIN-0404</x:v>
      </x:c>
      <x:c r="G260" s="4" t="str">
        <x:v>本段剩余子句、条件组合及状态后续影响仍需与独立规则逐项闭合；这是生成覆盖缺口，不是产品决策缺失。</x:v>
      </x:c>
    </x:row>
    <x:row r="261" ht="44" customHeight="1">
      <x:c r="A261" s="4" t="str">
        <x:v>REQ-ea92e1c327e9</x:v>
      </x:c>
      <x:c r="B261" s="4" t="str">
        <x:v>主播管理</x:v>
      </x:c>
      <x:c r="C261" s="4" t="n">
        <x:v>2554</x:v>
      </x:c>
      <x:c r="D261" s="4" t="str">
        <x:v>主播信息：通过前仍为用户。</x:v>
      </x:c>
      <x:c r="E261" s="4" t="str">
        <x:v>尚未建立场景映射</x:v>
      </x:c>
      <x:c r="F261" s="4" t="str"/>
      <x:c r="G261" s="4" t="str">
        <x:v>本轮独立来源库保留该已知条款，但尚未建立可核验的正式场景映射；不是无业务依据，也不转为产品待确认。</x:v>
      </x:c>
    </x:row>
    <x:row r="262" ht="44" customHeight="1">
      <x:c r="A262" s="4" t="str">
        <x:v>REQ-a1486babc676</x:v>
      </x:c>
      <x:c r="B262" s="4" t="str">
        <x:v>主播管理</x:v>
      </x:c>
      <x:c r="C262" s="4" t="n">
        <x:v>2555</x:v>
      </x:c>
      <x:c r="D262" s="4" t="str">
        <x:v>公会信息：本次申请目标公会及 ID。</x:v>
      </x:c>
      <x:c r="E262" s="4" t="str">
        <x:v>整段分支核验未闭合</x:v>
      </x:c>
      <x:c r="F262" s="4" t="str">
        <x:v>ADMIN-0001、ADMIN-0405</x:v>
      </x:c>
      <x:c r="G262" s="4" t="str">
        <x:v>本段剩余子句、条件组合及状态后续影响仍需与独立规则逐项闭合；这是生成覆盖缺口，不是产品决策缺失。</x:v>
      </x:c>
    </x:row>
    <x:row r="263" ht="44" customHeight="1">
      <x:c r="A263" s="4" t="str">
        <x:v>REQ-5135045639b7</x:v>
      </x:c>
      <x:c r="B263" s="4" t="str">
        <x:v>主播管理</x:v>
      </x:c>
      <x:c r="C263" s="4" t="n">
        <x:v>2556</x:v>
      </x:c>
      <x:c r="D263" s="4" t="str">
        <x:v>认证状态：待审核、已通过、已驳回；处理后为终态。</x:v>
      </x:c>
      <x:c r="E263" s="4" t="str">
        <x:v>整段分支核验未闭合</x:v>
      </x:c>
      <x:c r="F263" s="4" t="str">
        <x:v>ADMIN-0001</x:v>
      </x:c>
      <x:c r="G263" s="4" t="str">
        <x:v>本段剩余子句、条件组合及状态后续影响仍需与独立规则逐项闭合；这是生成覆盖缺口，不是产品决策缺失。</x:v>
      </x:c>
    </x:row>
    <x:row r="264" ht="44" customHeight="1">
      <x:c r="A264" s="4" t="str">
        <x:v>REQ-d30769807547</x:v>
      </x:c>
      <x:c r="B264" s="4" t="str">
        <x:v>主播管理</x:v>
      </x:c>
      <x:c r="C264" s="4" t="n">
        <x:v>2557</x:v>
      </x:c>
      <x:c r="D264" s="4" t="str">
        <x:v>提交时间：公会初审通过并提交平台的时间。</x:v>
      </x:c>
      <x:c r="E264" s="4" t="str">
        <x:v>整段分支核验未闭合</x:v>
      </x:c>
      <x:c r="F264" s="4" t="str">
        <x:v>ADMIN-0001、ADMIN-0406</x:v>
      </x:c>
      <x:c r="G264" s="4" t="str">
        <x:v>本段剩余子句、条件组合及状态后续影响仍需与独立规则逐项闭合；这是生成覆盖缺口，不是产品决策缺失。</x:v>
      </x:c>
    </x:row>
    <x:row r="265" ht="44" customHeight="1">
      <x:c r="A265" s="4" t="str">
        <x:v>REQ-b58f0da32140</x:v>
      </x:c>
      <x:c r="B265" s="4" t="str">
        <x:v>主播管理</x:v>
      </x:c>
      <x:c r="C265" s="4" t="n">
        <x:v>2558</x:v>
      </x:c>
      <x:c r="D265" s="4" t="str">
        <x:v>平台通过前无主播身份；驳回后可修改材料重新提交。</x:v>
      </x:c>
      <x:c r="E265" s="4" t="str">
        <x:v>尚未建立场景映射</x:v>
      </x:c>
      <x:c r="F265" s="4" t="str"/>
      <x:c r="G265" s="4" t="str">
        <x:v>本轮独立来源库保留该已知条款，但尚未建立可核验的正式场景映射；不是无业务依据，也不转为产品待确认。</x:v>
      </x:c>
    </x:row>
    <x:row r="266" ht="44" customHeight="1">
      <x:c r="A266" s="4" t="str">
        <x:v>REQ-f2ecf2583393</x:v>
      </x:c>
      <x:c r="B266" s="4" t="str">
        <x:v>主播管理</x:v>
      </x:c>
      <x:c r="C266" s="4" t="n">
        <x:v>2559</x:v>
      </x:c>
      <x:c r="D266" s="4" t="str">
        <x:v>状态、主播和公会筛选取交集；详情 -&gt; 核验材料并处理。</x:v>
      </x:c>
      <x:c r="E266" s="4" t="str">
        <x:v>整段分支核验未闭合</x:v>
      </x:c>
      <x:c r="F266" s="4" t="str">
        <x:v>ADMIN-0001、ADMIN-0524、ADMIN-0525、ADMIN-0526</x:v>
      </x:c>
      <x:c r="G266" s="4" t="str">
        <x:v>本段剩余子句、条件组合及状态后续影响仍需与独立规则逐项闭合；这是生成覆盖缺口，不是产品决策缺失。</x:v>
      </x:c>
    </x:row>
    <x:row r="267" ht="44" customHeight="1">
      <x:c r="A267" s="4" t="str">
        <x:v>REQ-589b4efd18cb</x:v>
      </x:c>
      <x:c r="B267" s="4" t="str">
        <x:v>主播管理</x:v>
      </x:c>
      <x:c r="C267" s="4" t="n">
        <x:v>2564</x:v>
      </x:c>
      <x:c r="D267" s="4" t="str">
        <x:v>申请单 / 申请人：只读，与列表所选申请一致。</x:v>
      </x:c>
      <x:c r="E267" s="4" t="str">
        <x:v>尚未建立场景映射</x:v>
      </x:c>
      <x:c r="F267" s="4" t="str"/>
      <x:c r="G267" s="4" t="str">
        <x:v>本轮独立来源库保留该已知条款，但尚未建立可核验的正式场景映射；不是无业务依据，也不转为产品待确认。</x:v>
      </x:c>
    </x:row>
    <x:row r="268" ht="44" customHeight="1">
      <x:c r="A268" s="4" t="str">
        <x:v>REQ-239b36943cc7</x:v>
      </x:c>
      <x:c r="B268" s="4" t="str">
        <x:v>主播管理</x:v>
      </x:c>
      <x:c r="C268" s="4" t="n">
        <x:v>2565</x:v>
      </x:c>
      <x:c r="D268" s="4" t="str">
        <x:v>认证材料：证件、实名、年龄和公会初审信息，按申请保留快照。</x:v>
      </x:c>
      <x:c r="E268" s="4" t="str">
        <x:v>整段分支核验未闭合</x:v>
      </x:c>
      <x:c r="F268" s="4" t="str">
        <x:v>ADMIN-0002</x:v>
      </x:c>
      <x:c r="G268" s="4" t="str">
        <x:v>本段剩余子句、条件组合及状态后续影响仍需与独立规则逐项闭合；这是生成覆盖缺口，不是产品决策缺失。</x:v>
      </x:c>
    </x:row>
    <x:row r="269" ht="44" customHeight="1">
      <x:c r="A269" s="4" t="str">
        <x:v>REQ-46ad9a1720b8</x:v>
      </x:c>
      <x:c r="B269" s="4" t="str">
        <x:v>主播管理</x:v>
      </x:c>
      <x:c r="C269" s="4" t="n">
        <x:v>2566</x:v>
      </x:c>
      <x:c r="D269" s="4" t="str">
        <x:v>审核结果：仅通过、驳回。</x:v>
      </x:c>
      <x:c r="E269" s="4" t="str">
        <x:v>整段分支核验未闭合</x:v>
      </x:c>
      <x:c r="F269" s="4" t="str">
        <x:v>ADMIN-0002、ADMIN-0003</x:v>
      </x:c>
      <x:c r="G269" s="4" t="str">
        <x:v>本段剩余子句、条件组合及状态后续影响仍需与独立规则逐项闭合；这是生成覆盖缺口，不是产品决策缺失。</x:v>
      </x:c>
    </x:row>
    <x:row r="270" ht="44" customHeight="1">
      <x:c r="A270" s="4" t="str">
        <x:v>REQ-2fa646efb769</x:v>
      </x:c>
      <x:c r="B270" s="4" t="str">
        <x:v>主播管理</x:v>
      </x:c>
      <x:c r="C270" s="4" t="n">
        <x:v>2567</x:v>
      </x:c>
      <x:c r="D270" s="4" t="str">
        <x:v>直播权限：通过时设置平台权限初始值。</x:v>
      </x:c>
      <x:c r="E270" s="4" t="str">
        <x:v>整段分支核验未闭合</x:v>
      </x:c>
      <x:c r="F270" s="4" t="str">
        <x:v>ADMIN-0002、ADMIN-0003</x:v>
      </x:c>
      <x:c r="G270" s="4" t="str">
        <x:v>本段剩余子句、条件组合及状态后续影响仍需与独立规则逐项闭合；这是生成覆盖缺口，不是产品决策缺失。</x:v>
      </x:c>
    </x:row>
    <x:row r="271" ht="44" customHeight="1">
      <x:c r="A271" s="4" t="str">
        <x:v>REQ-8f0c6407dafc</x:v>
      </x:c>
      <x:c r="B271" s="4" t="str">
        <x:v>主播管理</x:v>
      </x:c>
      <x:c r="C271" s="4" t="n">
        <x:v>2568</x:v>
      </x:c>
      <x:c r="D271" s="4" t="str">
        <x:v>公会管理权限：通过时设置公会是否可管理。</x:v>
      </x:c>
      <x:c r="E271" s="4" t="str">
        <x:v>整段分支核验未闭合</x:v>
      </x:c>
      <x:c r="F271" s="4" t="str">
        <x:v>ADMIN-0002、ADMIN-0003</x:v>
      </x:c>
      <x:c r="G271" s="4" t="str">
        <x:v>本段剩余子句、条件组合及状态后续影响仍需与独立规则逐项闭合；这是生成覆盖缺口，不是产品决策缺失。</x:v>
      </x:c>
    </x:row>
    <x:row r="272" ht="44" customHeight="1">
      <x:c r="A272" s="4" t="str">
        <x:v>REQ-0b99db22ad31</x:v>
      </x:c>
      <x:c r="B272" s="4" t="str">
        <x:v>主播管理</x:v>
      </x:c>
      <x:c r="C272" s="4" t="n">
        <x:v>2569</x:v>
      </x:c>
      <x:c r="D272" s="4" t="str">
        <x:v>驳回原因：驳回时必填并通知申请人。</x:v>
      </x:c>
      <x:c r="E272" s="4" t="str">
        <x:v>整段分支核验未闭合</x:v>
      </x:c>
      <x:c r="F272" s="4" t="str">
        <x:v>ADMIN-0003</x:v>
      </x:c>
      <x:c r="G272" s="4" t="str">
        <x:v>本段剩余子句、条件组合及状态后续影响仍需与独立规则逐项闭合；这是生成覆盖缺口，不是产品决策缺失。</x:v>
      </x:c>
    </x:row>
    <x:row r="273" ht="44" customHeight="1">
      <x:c r="A273" s="4" t="str">
        <x:v>REQ-ff7cedd8262e</x:v>
      </x:c>
      <x:c r="B273" s="4" t="str">
        <x:v>主播管理</x:v>
      </x:c>
      <x:c r="C273" s="4" t="n">
        <x:v>2570</x:v>
      </x:c>
      <x:c r="D273" s="4" t="str">
        <x:v>通过后加入申请公会并获得主播身份；开播仍需满足账号、公会和双重权限。</x:v>
      </x:c>
      <x:c r="E273" s="4" t="str">
        <x:v>整段分支核验未闭合</x:v>
      </x:c>
      <x:c r="F273" s="4" t="str">
        <x:v>ADMIN-0002、ADMIN-0003</x:v>
      </x:c>
      <x:c r="G273" s="4" t="str">
        <x:v>本段剩余子句、条件组合及状态后续影响仍需与独立规则逐项闭合；这是生成覆盖缺口，不是产品决策缺失。</x:v>
      </x:c>
    </x:row>
    <x:row r="274" ht="44" customHeight="1">
      <x:c r="A274" s="4" t="str">
        <x:v>REQ-e7f39befc5cf</x:v>
      </x:c>
      <x:c r="B274" s="4" t="str">
        <x:v>主播管理</x:v>
      </x:c>
      <x:c r="C274" s="4" t="n">
        <x:v>2571</x:v>
      </x:c>
      <x:c r="D274" s="4" t="str">
        <x:v>仅待审核可处理；确认 -&gt; 固化结果并禁止重复提交。</x:v>
      </x:c>
      <x:c r="E274" s="4" t="str">
        <x:v>尚未建立场景映射</x:v>
      </x:c>
      <x:c r="F274" s="4" t="str"/>
      <x:c r="G274" s="4" t="str">
        <x:v>本轮独立来源库保留该已知条款，但尚未建立可核验的正式场景映射；不是无业务依据，也不转为产品待确认。</x:v>
      </x:c>
    </x:row>
    <x:row r="275" ht="44" customHeight="1">
      <x:c r="A275" s="4" t="str">
        <x:v>REQ-2d6daad85499</x:v>
      </x:c>
      <x:c r="B275" s="4" t="str">
        <x:v>主播管理</x:v>
      </x:c>
      <x:c r="C275" s="4" t="n">
        <x:v>2576</x:v>
      </x:c>
      <x:c r="D275" s="4" t="str">
        <x:v>直播场次 ID：每次开播唯一；主播直播间 ID 长期不变。</x:v>
      </x:c>
      <x:c r="E275" s="4" t="str">
        <x:v>整段分支核验未闭合</x:v>
      </x:c>
      <x:c r="F275" s="4" t="str">
        <x:v>ADMIN-0407</x:v>
      </x:c>
      <x:c r="G275" s="4" t="str">
        <x:v>本段剩余子句、条件组合及状态后续影响仍需与独立规则逐项闭合；这是生成覆盖缺口，不是产品决策缺失。</x:v>
      </x:c>
    </x:row>
    <x:row r="276" ht="44" customHeight="1">
      <x:c r="A276" s="4" t="str">
        <x:v>REQ-76fc57485e31</x:v>
      </x:c>
      <x:c r="B276" s="4" t="str">
        <x:v>主播管理</x:v>
      </x:c>
      <x:c r="C276" s="4" t="n">
        <x:v>2577</x:v>
      </x:c>
      <x:c r="D276" s="4" t="str">
        <x:v>房型：普通、密码、门票，取开播时快照。</x:v>
      </x:c>
      <x:c r="E276" s="4" t="str">
        <x:v>尚未建立场景映射</x:v>
      </x:c>
      <x:c r="F276" s="4" t="str"/>
      <x:c r="G276" s="4" t="str">
        <x:v>本轮独立来源库保留该已知条款，但尚未建立可核验的正式场景映射；不是无业务依据，也不转为产品待确认。</x:v>
      </x:c>
    </x:row>
    <x:row r="277" ht="44" customHeight="1">
      <x:c r="A277" s="4" t="str">
        <x:v>REQ-bee71d656e69</x:v>
      </x:c>
      <x:c r="B277" s="4" t="str">
        <x:v>主播管理</x:v>
      </x:c>
      <x:c r="C277" s="4" t="n">
        <x:v>2578</x:v>
      </x:c>
      <x:c r="D277" s="4" t="str">
        <x:v>观众人数：本场成功进入的去重真实用户数。</x:v>
      </x:c>
      <x:c r="E277" s="4" t="str">
        <x:v>整段分支核验未闭合</x:v>
      </x:c>
      <x:c r="F277" s="4" t="str">
        <x:v>ADMIN-0574</x:v>
      </x:c>
      <x:c r="G277" s="4" t="str">
        <x:v>本段剩余子句、条件组合及状态后续影响仍需与独立规则逐项闭合；这是生成覆盖缺口，不是产品决策缺失。</x:v>
      </x:c>
    </x:row>
    <x:row r="278" ht="44" customHeight="1">
      <x:c r="A278" s="4" t="str">
        <x:v>REQ-a2374b2652c3</x:v>
      </x:c>
      <x:c r="B278" s="4" t="str">
        <x:v>主播管理</x:v>
      </x:c>
      <x:c r="C278" s="4" t="n">
        <x:v>2579</x:v>
      </x:c>
      <x:c r="D278" s="4" t="str">
        <x:v>消费金币：本场普通、定制、门票扣减金币 + 幸运礼物扣减金币 - 返奖；虚拟金币不计。</x:v>
      </x:c>
      <x:c r="E278" s="4" t="str">
        <x:v>整段分支核验未闭合</x:v>
      </x:c>
      <x:c r="F278" s="4" t="str">
        <x:v>ADMIN-0575</x:v>
      </x:c>
      <x:c r="G278" s="4" t="str">
        <x:v>本段剩余子句、条件组合及状态后续影响仍需与独立规则逐项闭合；这是生成覆盖缺口，不是产品决策缺失。</x:v>
      </x:c>
    </x:row>
    <x:row r="279" ht="44" customHeight="1">
      <x:c r="A279" s="4" t="str">
        <x:v>REQ-c9620f5ed80f</x:v>
      </x:c>
      <x:c r="B279" s="4" t="str">
        <x:v>主播管理</x:v>
      </x:c>
      <x:c r="C279" s="4" t="n">
        <x:v>2580</x:v>
      </x:c>
      <x:c r="D279" s="4" t="str">
        <x:v>直播时长：已结束 = 结束时间 - 开播时间；直播中 = 当前时间 - 开播时间。</x:v>
      </x:c>
      <x:c r="E279" s="4" t="str">
        <x:v>整段分支核验未闭合</x:v>
      </x:c>
      <x:c r="F279" s="4" t="str">
        <x:v>ADMIN-0473、ADMIN-0474</x:v>
      </x:c>
      <x:c r="G279" s="4" t="str">
        <x:v>本段剩余子句、条件组合及状态后续影响仍需与独立规则逐项闭合；这是生成覆盖缺口，不是产品决策缺失。</x:v>
      </x:c>
    </x:row>
    <x:row r="280" ht="44" customHeight="1">
      <x:c r="A280" s="4" t="str">
        <x:v>REQ-aaaa6591179f</x:v>
      </x:c>
      <x:c r="B280" s="4" t="str">
        <x:v>主播管理</x:v>
      </x:c>
      <x:c r="C280" s="4" t="n">
        <x:v>2581</x:v>
      </x:c>
      <x:c r="D280" s="4" t="str">
        <x:v>收礼数量：成功赠送数量合计；连送逐个计数。</x:v>
      </x:c>
      <x:c r="E280" s="4" t="str">
        <x:v>整段分支核验未闭合</x:v>
      </x:c>
      <x:c r="F280" s="4" t="str">
        <x:v>ADMIN-0576</x:v>
      </x:c>
      <x:c r="G280" s="4" t="str">
        <x:v>本段剩余子句、条件组合及状态后续影响仍需与独立规则逐项闭合；这是生成覆盖缺口，不是产品决策缺失。</x:v>
      </x:c>
    </x:row>
    <x:row r="281" ht="44" customHeight="1">
      <x:c r="A281" s="4" t="str">
        <x:v>REQ-34b65e1d70aa</x:v>
      </x:c>
      <x:c r="B281" s="4" t="str">
        <x:v>主播管理</x:v>
      </x:c>
      <x:c r="C281" s="4" t="n">
        <x:v>2582</x:v>
      </x:c>
      <x:c r="D281" s="4" t="str">
        <x:v>主播收益：普通、定制、门票按实际消费；幸运礼物按礼物价值 × 配置比例；虚拟金币不计。</x:v>
      </x:c>
      <x:c r="E281" s="4" t="str">
        <x:v>整段分支核验未闭合</x:v>
      </x:c>
      <x:c r="F281" s="4" t="str">
        <x:v>ADMIN-0577</x:v>
      </x:c>
      <x:c r="G281" s="4" t="str">
        <x:v>本段剩余子句、条件组合及状态后续影响仍需与独立规则逐项闭合；这是生成覆盖缺口，不是产品决策缺失。</x:v>
      </x:c>
    </x:row>
    <x:row r="282" ht="44" customHeight="1">
      <x:c r="A282" s="4" t="str">
        <x:v>REQ-01bfb061e40d</x:v>
      </x:c>
      <x:c r="B282" s="4" t="str">
        <x:v>主播管理</x:v>
      </x:c>
      <x:c r="C282" s="4" t="n">
        <x:v>2583</x:v>
      </x:c>
      <x:c r="D282" s="4" t="str">
        <x:v>结束后保留消息、消费、处置和收益，历史场次不可重开。</x:v>
      </x:c>
      <x:c r="E282" s="4" t="str">
        <x:v>整段分支核验未闭合</x:v>
      </x:c>
      <x:c r="F282" s="4" t="str">
        <x:v>ADMIN-0473、ADMIN-0474</x:v>
      </x:c>
      <x:c r="G282" s="4" t="str">
        <x:v>本段剩余子句、条件组合及状态后续影响仍需与独立规则逐项闭合；这是生成覆盖缺口，不是产品决策缺失。</x:v>
      </x:c>
    </x:row>
    <x:row r="283" ht="44" customHeight="1">
      <x:c r="A283" s="4" t="str">
        <x:v>REQ-5486bbbe8ae4</x:v>
      </x:c>
      <x:c r="B283" s="4" t="str">
        <x:v>主播管理</x:v>
      </x:c>
      <x:c r="C283" s="4" t="n">
        <x:v>2584</x:v>
      </x:c>
      <x:c r="D283" s="4" t="str">
        <x:v>查询 -&gt; 条件取交集；警告 -&gt; 直播继续；关播 -&gt; 立即结束当前场次。</x:v>
      </x:c>
      <x:c r="E283" s="4" t="str">
        <x:v>整段分支核验未闭合</x:v>
      </x:c>
      <x:c r="F283" s="4" t="str">
        <x:v>ADMIN-0473、ADMIN-0474、ADMIN-0527、ADMIN-0528、ADMIN-0529</x:v>
      </x:c>
      <x:c r="G283" s="4" t="str">
        <x:v>本段剩余子句、条件组合及状态后续影响仍需与独立规则逐项闭合；这是生成覆盖缺口，不是产品决策缺失。</x:v>
      </x:c>
    </x:row>
    <x:row r="284" ht="44" customHeight="1">
      <x:c r="A284" s="4" t="str">
        <x:v>REQ-2238baec36a3</x:v>
      </x:c>
      <x:c r="B284" s="4" t="str">
        <x:v>主播管理</x:v>
      </x:c>
      <x:c r="C284" s="4" t="n">
        <x:v>2589</x:v>
      </x:c>
      <x:c r="D284" s="4" t="str">
        <x:v>场次信息：场次 ID、主播、房型、标题和时间取本场快照。</x:v>
      </x:c>
      <x:c r="E284" s="4" t="str">
        <x:v>整段分支核验未闭合</x:v>
      </x:c>
      <x:c r="F284" s="4" t="str">
        <x:v>ADMIN-0408、ADMIN-0409、ADMIN-0410</x:v>
      </x:c>
      <x:c r="G284" s="4" t="str">
        <x:v>本段剩余子句、条件组合及状态后续影响仍需与独立规则逐项闭合；这是生成覆盖缺口，不是产品决策缺失。</x:v>
      </x:c>
    </x:row>
    <x:row r="285" ht="44" customHeight="1">
      <x:c r="A285" s="4" t="str">
        <x:v>REQ-ce619832ef38</x:v>
      </x:c>
      <x:c r="B285" s="4" t="str">
        <x:v>主播管理</x:v>
      </x:c>
      <x:c r="C285" s="4" t="n">
        <x:v>2590</x:v>
      </x:c>
      <x:c r="D285" s="4" t="str">
        <x:v>观众人数：本场进入直播间的去重用户数。</x:v>
      </x:c>
      <x:c r="E285" s="4" t="str">
        <x:v>整段分支核验未闭合</x:v>
      </x:c>
      <x:c r="F285" s="4" t="str">
        <x:v>ADMIN-0578</x:v>
      </x:c>
      <x:c r="G285" s="4" t="str">
        <x:v>本段剩余子句、条件组合及状态后续影响仍需与独立规则逐项闭合；这是生成覆盖缺口，不是产品决策缺失。</x:v>
      </x:c>
    </x:row>
    <x:row r="286" ht="57" customHeight="1">
      <x:c r="A286" s="4" t="str">
        <x:v>REQ-977ef65dd5aa</x:v>
      </x:c>
      <x:c r="B286" s="4" t="str">
        <x:v>主播管理</x:v>
      </x:c>
      <x:c r="C286" s="4" t="n">
        <x:v>2591</x:v>
      </x:c>
      <x:c r="D286" s="4" t="str">
        <x:v>金币收益：本场普通礼物、定制礼物和门票扣减金币 + 幸运礼物扣减金币 - 幸运礼物返还金币；虚拟金币不计。该字段是用户实际消费，不是主播结算收益。</x:v>
      </x:c>
      <x:c r="E286" s="4" t="str">
        <x:v>整段分支核验未闭合</x:v>
      </x:c>
      <x:c r="F286" s="4" t="str">
        <x:v>ADMIN-0579</x:v>
      </x:c>
      <x:c r="G286" s="4" t="str">
        <x:v>本段剩余子句、条件组合及状态后续影响仍需与独立规则逐项闭合；这是生成覆盖缺口，不是产品决策缺失。</x:v>
      </x:c>
    </x:row>
    <x:row r="287" ht="44" customHeight="1">
      <x:c r="A287" s="4" t="str">
        <x:v>REQ-ad22be919d87</x:v>
      </x:c>
      <x:c r="B287" s="4" t="str">
        <x:v>主播管理</x:v>
      </x:c>
      <x:c r="C287" s="4" t="n">
        <x:v>2592</x:v>
      </x:c>
      <x:c r="D287" s="4" t="str">
        <x:v>收礼数量：本场成功送出的礼物数量合计；门票不计。</x:v>
      </x:c>
      <x:c r="E287" s="4" t="str">
        <x:v>整段分支核验未闭合</x:v>
      </x:c>
      <x:c r="F287" s="4" t="str">
        <x:v>ADMIN-0580</x:v>
      </x:c>
      <x:c r="G287" s="4" t="str">
        <x:v>本段剩余子句、条件组合及状态后续影响仍需与独立规则逐项闭合；这是生成覆盖缺口，不是产品决策缺失。</x:v>
      </x:c>
    </x:row>
    <x:row r="288" ht="44" customHeight="1">
      <x:c r="A288" s="4" t="str">
        <x:v>REQ-033b8bfdca30</x:v>
      </x:c>
      <x:c r="B288" s="4" t="str">
        <x:v>主播管理</x:v>
      </x:c>
      <x:c r="C288" s="4" t="n">
        <x:v>2593</x:v>
      </x:c>
      <x:c r="D288" s="4" t="str">
        <x:v>巡房记录：巡房人员、进入时间、问题、处置和备注。</x:v>
      </x:c>
      <x:c r="E288" s="4" t="str">
        <x:v>整段分支核验未闭合</x:v>
      </x:c>
      <x:c r="F288" s="4" t="str">
        <x:v>ADMIN-0411</x:v>
      </x:c>
      <x:c r="G288" s="4" t="str">
        <x:v>本段剩余子句、条件组合及状态后续影响仍需与独立规则逐项闭合；这是生成覆盖缺口，不是产品决策缺失。</x:v>
      </x:c>
    </x:row>
    <x:row r="289" ht="44" customHeight="1">
      <x:c r="A289" s="4" t="str">
        <x:v>REQ-9c78b55e8df6</x:v>
      </x:c>
      <x:c r="B289" s="4" t="str">
        <x:v>主播管理</x:v>
      </x:c>
      <x:c r="C289" s="4" t="n">
        <x:v>2594</x:v>
      </x:c>
      <x:c r="D289" s="4" t="str">
        <x:v>直播状态：直播中、已结束；已结束只读。</x:v>
      </x:c>
      <x:c r="E289" s="4" t="str">
        <x:v>整段分支核验未闭合</x:v>
      </x:c>
      <x:c r="F289" s="4" t="str">
        <x:v>ADMIN-0475、ADMIN-0476</x:v>
      </x:c>
      <x:c r="G289" s="4" t="str">
        <x:v>本段剩余子句、条件组合及状态后续影响仍需与独立规则逐项闭合；这是生成覆盖缺口，不是产品决策缺失。</x:v>
      </x:c>
    </x:row>
    <x:row r="290" ht="44" customHeight="1">
      <x:c r="A290" s="4" t="str">
        <x:v>REQ-0f804538eb02</x:v>
      </x:c>
      <x:c r="B290" s="4" t="str">
        <x:v>主播管理</x:v>
      </x:c>
      <x:c r="C290" s="4" t="n">
        <x:v>2595</x:v>
      </x:c>
      <x:c r="D290" s="4" t="str">
        <x:v>警告不改状态；关播只结束本场；关闭直播权限在举报处置或主播权限中执行。</x:v>
      </x:c>
      <x:c r="E290" s="4" t="str">
        <x:v>整段分支核验未闭合</x:v>
      </x:c>
      <x:c r="F290" s="4" t="str">
        <x:v>ADMIN-0475、ADMIN-0476</x:v>
      </x:c>
      <x:c r="G290" s="4" t="str">
        <x:v>本段剩余子句、条件组合及状态后续影响仍需与独立规则逐项闭合；这是生成覆盖缺口，不是产品决策缺失。</x:v>
      </x:c>
    </x:row>
    <x:row r="291" ht="44" customHeight="1">
      <x:c r="A291" s="4" t="str">
        <x:v>REQ-d2dab6a4ea9a</x:v>
      </x:c>
      <x:c r="B291" s="4" t="str">
        <x:v>主播管理</x:v>
      </x:c>
      <x:c r="C291" s="4" t="n">
        <x:v>2596</x:v>
      </x:c>
      <x:c r="D291" s="4" t="str">
        <x:v>警告或关播 -&gt; 填写原因并确认 -&gt; 通知主播并留痕；已结束时无即时处置。</x:v>
      </x:c>
      <x:c r="E291" s="4" t="str">
        <x:v>整段分支核验未闭合</x:v>
      </x:c>
      <x:c r="F291" s="4" t="str">
        <x:v>ADMIN-0475、ADMIN-0476</x:v>
      </x:c>
      <x:c r="G291" s="4" t="str">
        <x:v>本段剩余子句、条件组合及状态后续影响仍需与独立规则逐项闭合；这是生成覆盖缺口，不是产品决策缺失。</x:v>
      </x:c>
    </x:row>
    <x:row r="292" ht="44" customHeight="1">
      <x:c r="A292" s="4" t="str">
        <x:v>REQ-5f386a705f5e</x:v>
      </x:c>
      <x:c r="B292" s="4" t="str">
        <x:v>主播管理</x:v>
      </x:c>
      <x:c r="C292" s="4" t="n">
        <x:v>2601</x:v>
      </x:c>
      <x:c r="D292" s="4" t="str">
        <x:v>排班编号：创建时生成，全局唯一。</x:v>
      </x:c>
      <x:c r="E292" s="4" t="str">
        <x:v>整段分支核验未闭合</x:v>
      </x:c>
      <x:c r="F292" s="4" t="str">
        <x:v>ADMIN-0412</x:v>
      </x:c>
      <x:c r="G292" s="4" t="str">
        <x:v>本段剩余子句、条件组合及状态后续影响仍需与独立规则逐项闭合；这是生成覆盖缺口，不是产品决策缺失。</x:v>
      </x:c>
    </x:row>
    <x:row r="293" ht="44" customHeight="1">
      <x:c r="A293" s="4" t="str">
        <x:v>REQ-c78884f0810d</x:v>
      </x:c>
      <x:c r="B293" s="4" t="str">
        <x:v>主播管理</x:v>
      </x:c>
      <x:c r="C293" s="4" t="n">
        <x:v>2602</x:v>
      </x:c>
      <x:c r="D293" s="4" t="str">
        <x:v>日期 / 时间段：平台统一时区；结束时间晚于开始时间。</x:v>
      </x:c>
      <x:c r="E293" s="4" t="str">
        <x:v>整段分支核验未闭合</x:v>
      </x:c>
      <x:c r="F293" s="4" t="str">
        <x:v>ADMIN-0479、ADMIN-0480、ADMIN-0481</x:v>
      </x:c>
      <x:c r="G293" s="4" t="str">
        <x:v>本段剩余子句、条件组合及状态后续影响仍需与独立规则逐项闭合；这是生成覆盖缺口，不是产品决策缺失。</x:v>
      </x:c>
    </x:row>
    <x:row r="294" ht="44" customHeight="1">
      <x:c r="A294" s="4" t="str">
        <x:v>REQ-2db231775368</x:v>
      </x:c>
      <x:c r="B294" s="4" t="str">
        <x:v>主播管理</x:v>
      </x:c>
      <x:c r="C294" s="4" t="n">
        <x:v>2603</x:v>
      </x:c>
      <x:c r="D294" s="4" t="str">
        <x:v>排班人数：有效巡房人员数量。</x:v>
      </x:c>
      <x:c r="E294" s="4" t="str">
        <x:v>尚未建立场景映射</x:v>
      </x:c>
      <x:c r="F294" s="4" t="str"/>
      <x:c r="G294" s="4" t="str">
        <x:v>本轮独立来源库保留该已知条款，但尚未建立可核验的正式场景映射；不是无业务依据，也不转为产品待确认。</x:v>
      </x:c>
    </x:row>
    <x:row r="295" ht="44" customHeight="1">
      <x:c r="A295" s="4" t="str">
        <x:v>REQ-6de4b78ca972</x:v>
      </x:c>
      <x:c r="B295" s="4" t="str">
        <x:v>主播管理</x:v>
      </x:c>
      <x:c r="C295" s="4" t="n">
        <x:v>2604</x:v>
      </x:c>
      <x:c r="D295" s="4" t="str">
        <x:v>状态：待生效、生效中、已停用、已结束；按时间和启停状态计算。</x:v>
      </x:c>
      <x:c r="E295" s="4" t="str">
        <x:v>整段分支核验未闭合</x:v>
      </x:c>
      <x:c r="F295" s="4" t="str">
        <x:v>ADMIN-0479、ADMIN-0480、ADMIN-0481、ADMIN-0482</x:v>
      </x:c>
      <x:c r="G295" s="4" t="str">
        <x:v>本段剩余子句、条件组合及状态后续影响仍需与独立规则逐项闭合；这是生成覆盖缺口，不是产品决策缺失。</x:v>
      </x:c>
    </x:row>
    <x:row r="296" ht="44" customHeight="1">
      <x:c r="A296" s="4" t="str">
        <x:v>REQ-1e999d53c7aa</x:v>
      </x:c>
      <x:c r="B296" s="4" t="str">
        <x:v>主播管理</x:v>
      </x:c>
      <x:c r="C296" s="4" t="n">
        <x:v>2605</x:v>
      </x:c>
      <x:c r="D296" s="4" t="str">
        <x:v>仅有效排班或任务期间赋予巡房会话身份；可进入任意直播间，无需密码或门票。</x:v>
      </x:c>
      <x:c r="E296" s="4" t="str">
        <x:v>尚未建立场景映射</x:v>
      </x:c>
      <x:c r="F296" s="4" t="str"/>
      <x:c r="G296" s="4" t="str">
        <x:v>本轮独立来源库保留该已知条款，但尚未建立可核验的正式场景映射；不是无业务依据，也不转为产品待确认。</x:v>
      </x:c>
    </x:row>
    <x:row r="297" ht="44" customHeight="1">
      <x:c r="A297" s="4" t="str">
        <x:v>REQ-587a50f6004f</x:v>
      </x:c>
      <x:c r="B297" s="4" t="str">
        <x:v>主播管理</x:v>
      </x:c>
      <x:c r="C297" s="4" t="n">
        <x:v>2606</x:v>
      </x:c>
      <x:c r="D297" s="4" t="str">
        <x:v>巡房会话不受主播黑名单和本场踢出限制，主播与房管不可对其拉黑或踢出。</x:v>
      </x:c>
      <x:c r="E297" s="4" t="str">
        <x:v>尚未建立场景映射</x:v>
      </x:c>
      <x:c r="F297" s="4" t="str"/>
      <x:c r="G297" s="4" t="str">
        <x:v>本轮独立来源库保留该已知条款，但尚未建立可核验的正式场景映射；不是无业务依据，也不转为产品待确认。</x:v>
      </x:c>
    </x:row>
    <x:row r="298" ht="44" customHeight="1">
      <x:c r="A298" s="4" t="str">
        <x:v>REQ-52fd989afb84</x:v>
      </x:c>
      <x:c r="B298" s="4" t="str">
        <x:v>主播管理</x:v>
      </x:c>
      <x:c r="C298" s="4" t="n">
        <x:v>2607</x:v>
      </x:c>
      <x:c r="D298" s="4" t="str">
        <x:v>保护仅限巡房会话，原有拉黑关系不变；平台封禁或巡房权限失效仍不可进入。</x:v>
      </x:c>
      <x:c r="E298" s="4" t="str">
        <x:v>尚未建立场景映射</x:v>
      </x:c>
      <x:c r="F298" s="4" t="str"/>
      <x:c r="G298" s="4" t="str">
        <x:v>本轮独立来源库保留该已知条款，但尚未建立可核验的正式场景映射；不是无业务依据，也不转为产品待确认。</x:v>
      </x:c>
    </x:row>
    <x:row r="299" ht="44" customHeight="1">
      <x:c r="A299" s="4" t="str">
        <x:v>REQ-b45ed8c90d87</x:v>
      </x:c>
      <x:c r="B299" s="4" t="str">
        <x:v>主播管理</x:v>
      </x:c>
      <x:c r="C299" s="4" t="n">
        <x:v>2608</x:v>
      </x:c>
      <x:c r="D299" s="4" t="str">
        <x:v>停用 -&gt; 不再生效；重新启用 -&gt; 按当前时间重算状态。</x:v>
      </x:c>
      <x:c r="E299" s="4" t="str">
        <x:v>整段分支核验未闭合</x:v>
      </x:c>
      <x:c r="F299" s="4" t="str">
        <x:v>ADMIN-0479、ADMIN-0480、ADMIN-0481、ADMIN-0482</x:v>
      </x:c>
      <x:c r="G299" s="4" t="str">
        <x:v>本段剩余子句、条件组合及状态后续影响仍需与独立规则逐项闭合；这是生成覆盖缺口，不是产品决策缺失。</x:v>
      </x:c>
    </x:row>
    <x:row r="300" ht="44" customHeight="1">
      <x:c r="A300" s="4" t="str">
        <x:v>REQ-ed1bff64f18c</x:v>
      </x:c>
      <x:c r="B300" s="4" t="str">
        <x:v>主播管理</x:v>
      </x:c>
      <x:c r="C300" s="4" t="n">
        <x:v>2613</x:v>
      </x:c>
      <x:c r="D300" s="4" t="str">
        <x:v>日期：必填，不早于当前日期。</x:v>
      </x:c>
      <x:c r="E300" s="4" t="str">
        <x:v>整段分支核验未闭合</x:v>
      </x:c>
      <x:c r="F300" s="4" t="str">
        <x:v>ADMIN-0137、ADMIN-0138、ADMIN-0139</x:v>
      </x:c>
      <x:c r="G300" s="4" t="str">
        <x:v>本段剩余子句、条件组合及状态后续影响仍需与独立规则逐项闭合；这是生成覆盖缺口，不是产品决策缺失。</x:v>
      </x:c>
    </x:row>
    <x:row r="301" ht="44" customHeight="1">
      <x:c r="A301" s="4" t="str">
        <x:v>REQ-49c5a1e78883</x:v>
      </x:c>
      <x:c r="B301" s="4" t="str">
        <x:v>主播管理</x:v>
      </x:c>
      <x:c r="C301" s="4" t="n">
        <x:v>2614</x:v>
      </x:c>
      <x:c r="D301" s="4" t="str">
        <x:v>时间段：起止必填，结束晚于开始。</x:v>
      </x:c>
      <x:c r="E301" s="4" t="str">
        <x:v>整段分支核验未闭合</x:v>
      </x:c>
      <x:c r="F301" s="4" t="str">
        <x:v>ADMIN-0134、ADMIN-0135、ADMIN-0136</x:v>
      </x:c>
      <x:c r="G301" s="4" t="str">
        <x:v>本段剩余子句、条件组合及状态后续影响仍需与独立规则逐项闭合；这是生成覆盖缺口，不是产品决策缺失。</x:v>
      </x:c>
    </x:row>
    <x:row r="302" ht="44" customHeight="1">
      <x:c r="A302" s="4" t="str">
        <x:v>REQ-0cbc02cfb192</x:v>
      </x:c>
      <x:c r="B302" s="4" t="str">
        <x:v>主播管理</x:v>
      </x:c>
      <x:c r="C302" s="4" t="n">
        <x:v>2615</x:v>
      </x:c>
      <x:c r="D302" s="4" t="str">
        <x:v>巡房人员：至少 1 个可用账号，不可重复。</x:v>
      </x:c>
      <x:c r="E302" s="4" t="str">
        <x:v>整段分支核验未闭合</x:v>
      </x:c>
      <x:c r="F302" s="4" t="str">
        <x:v>ADMIN-0140、ADMIN-0141</x:v>
      </x:c>
      <x:c r="G302" s="4" t="str">
        <x:v>本段剩余子句、条件组合及状态后续影响仍需与独立规则逐项闭合；这是生成覆盖缺口，不是产品决策缺失。</x:v>
      </x:c>
    </x:row>
    <x:row r="303" ht="44" customHeight="1">
      <x:c r="A303" s="4" t="str">
        <x:v>REQ-fc715d67b481</x:v>
      </x:c>
      <x:c r="B303" s="4" t="str">
        <x:v>主播管理</x:v>
      </x:c>
      <x:c r="C303" s="4" t="n">
        <x:v>2616</x:v>
      </x:c>
      <x:c r="D303" s="4" t="str">
        <x:v>巡房人员从用户端可用账号中选择；平台封禁账号不可加入。</x:v>
      </x:c>
      <x:c r="E303" s="4" t="str">
        <x:v>整段分支核验未闭合</x:v>
      </x:c>
      <x:c r="F303" s="4" t="str">
        <x:v>ADMIN-0140、ADMIN-0141</x:v>
      </x:c>
      <x:c r="G303" s="4" t="str">
        <x:v>本段剩余子句、条件组合及状态后续影响仍需与独立规则逐项闭合；这是生成覆盖缺口，不是产品决策缺失。</x:v>
      </x:c>
    </x:row>
    <x:row r="304" ht="44" customHeight="1">
      <x:c r="A304" s="4" t="str">
        <x:v>REQ-c016431241a6</x:v>
      </x:c>
      <x:c r="B304" s="4" t="str">
        <x:v>主播管理</x:v>
      </x:c>
      <x:c r="C304" s="4" t="n">
        <x:v>2617</x:v>
      </x:c>
      <x:c r="D304" s="4" t="str">
        <x:v>添加 -&gt; 搜索并勾选；全选仅作用当前结果；保存 -&gt; 创建排班并返回列表。</x:v>
      </x:c>
      <x:c r="E304" s="4" t="str">
        <x:v>整段分支核验未闭合</x:v>
      </x:c>
      <x:c r="F304" s="4" t="str">
        <x:v>ADMIN-0484</x:v>
      </x:c>
      <x:c r="G304" s="4" t="str">
        <x:v>本段剩余子句、条件组合及状态后续影响仍需与独立规则逐项闭合；这是生成覆盖缺口，不是产品决策缺失。</x:v>
      </x:c>
    </x:row>
    <x:row r="305" ht="44" customHeight="1">
      <x:c r="A305" s="4" t="str">
        <x:v>REQ-640bbcd5f0a0</x:v>
      </x:c>
      <x:c r="B305" s="4" t="str">
        <x:v>主播管理</x:v>
      </x:c>
      <x:c r="C305" s="4" t="n">
        <x:v>2622</x:v>
      </x:c>
      <x:c r="D305" s="4" t="str">
        <x:v>排班信息：编号、日期、起止时间、人数、状态和创建时间取创建记录。</x:v>
      </x:c>
      <x:c r="E305" s="4" t="str">
        <x:v>尚未建立场景映射</x:v>
      </x:c>
      <x:c r="F305" s="4" t="str"/>
      <x:c r="G305" s="4" t="str">
        <x:v>本轮独立来源库保留该已知条款，但尚未建立可核验的正式场景映射；不是无业务依据，也不转为产品待确认。</x:v>
      </x:c>
    </x:row>
    <x:row r="306" ht="44" customHeight="1">
      <x:c r="A306" s="4" t="str">
        <x:v>REQ-c4861b72cb0c</x:v>
      </x:c>
      <x:c r="B306" s="4" t="str">
        <x:v>主播管理</x:v>
      </x:c>
      <x:c r="C306" s="4" t="n">
        <x:v>2623</x:v>
      </x:c>
      <x:c r="D306" s="4" t="str">
        <x:v>巡房人员：头像、昵称、用户 ID 和当前等级；人数 = 有效人员行数。</x:v>
      </x:c>
      <x:c r="E306" s="4" t="str">
        <x:v>尚未建立场景映射</x:v>
      </x:c>
      <x:c r="F306" s="4" t="str"/>
      <x:c r="G306" s="4" t="str">
        <x:v>本轮独立来源库保留该已知条款，但尚未建立可核验的正式场景映射；不是无业务依据，也不转为产品待确认。</x:v>
      </x:c>
    </x:row>
    <x:row r="307" ht="44" customHeight="1">
      <x:c r="A307" s="4" t="str">
        <x:v>REQ-ad9d0491ab56</x:v>
      </x:c>
      <x:c r="B307" s="4" t="str">
        <x:v>主播管理</x:v>
      </x:c>
      <x:c r="C307" s="4" t="n">
        <x:v>2624</x:v>
      </x:c>
      <x:c r="D307" s="4" t="str">
        <x:v>人员账号后续封禁时不可巡房，但历史排班名单保留。</x:v>
      </x:c>
      <x:c r="E307" s="4" t="str">
        <x:v>整段分支核验未闭合</x:v>
      </x:c>
      <x:c r="F307" s="4" t="str">
        <x:v>ADMIN-0483</x:v>
      </x:c>
      <x:c r="G307" s="4" t="str">
        <x:v>本段剩余子句、条件组合及状态后续影响仍需与独立规则逐项闭合；这是生成覆盖缺口，不是产品决策缺失。</x:v>
      </x:c>
    </x:row>
    <x:row r="308" ht="44" customHeight="1">
      <x:c r="A308" s="4" t="str">
        <x:v>REQ-df01ac7bfb55</x:v>
      </x:c>
      <x:c r="B308" s="4" t="str">
        <x:v>主播管理</x:v>
      </x:c>
      <x:c r="C308" s="4" t="n">
        <x:v>2625</x:v>
      </x:c>
      <x:c r="D308" s="4" t="str">
        <x:v>排班有效期间进入直播间后生成巡房会话；会话结束后不再享有拉黑、踢出、密码和门票豁免。</x:v>
      </x:c>
      <x:c r="E308" s="4" t="str">
        <x:v>尚未建立场景映射</x:v>
      </x:c>
      <x:c r="F308" s="4" t="str"/>
      <x:c r="G308" s="4" t="str">
        <x:v>本轮独立来源库保留该已知条款，但尚未建立可核验的正式场景映射；不是无业务依据，也不转为产品待确认。</x:v>
      </x:c>
    </x:row>
    <x:row r="309" ht="44" customHeight="1">
      <x:c r="A309" s="4" t="str">
        <x:v>REQ-e590d8c206ba</x:v>
      </x:c>
      <x:c r="B309" s="4" t="str">
        <x:v>内容审核</x:v>
      </x:c>
      <x:c r="C309" s="4" t="n">
        <x:v>2630</x:v>
      </x:c>
      <x:c r="D309" s="4" t="str">
        <x:v>审核单号：每条机审告警唯一。</x:v>
      </x:c>
      <x:c r="E309" s="4" t="str">
        <x:v>整段分支核验未闭合</x:v>
      </x:c>
      <x:c r="F309" s="4" t="str">
        <x:v>ADMIN-0413</x:v>
      </x:c>
      <x:c r="G309" s="4" t="str">
        <x:v>本段剩余子句、条件组合及状态后续影响仍需与独立规则逐项闭合；这是生成覆盖缺口，不是产品决策缺失。</x:v>
      </x:c>
    </x:row>
    <x:row r="310" ht="44" customHeight="1">
      <x:c r="A310" s="4" t="str">
        <x:v>REQ-28e0e676f305</x:v>
      </x:c>
      <x:c r="B310" s="4" t="str">
        <x:v>内容审核</x:v>
      </x:c>
      <x:c r="C310" s="4" t="n">
        <x:v>2631</x:v>
      </x:c>
      <x:c r="D310" s="4" t="str">
        <x:v>命中类型 / 风险等级：机审结果，仅供人工判断，不直接处罚。</x:v>
      </x:c>
      <x:c r="E310" s="4" t="str">
        <x:v>尚未建立场景映射</x:v>
      </x:c>
      <x:c r="F310" s="4" t="str"/>
      <x:c r="G310" s="4" t="str">
        <x:v>本轮独立来源库保留该已知条款，但尚未建立可核验的正式场景映射；不是无业务依据，也不转为产品待确认。</x:v>
      </x:c>
    </x:row>
    <x:row r="311" ht="44" customHeight="1">
      <x:c r="A311" s="4" t="str">
        <x:v>REQ-85d55cf81d3e</x:v>
      </x:c>
      <x:c r="B311" s="4" t="str">
        <x:v>内容审核</x:v>
      </x:c>
      <x:c r="C311" s="4" t="n">
        <x:v>2632</x:v>
      </x:c>
      <x:c r="D311" s="4" t="str">
        <x:v>告警截图：命中时证据快照。</x:v>
      </x:c>
      <x:c r="E311" s="4" t="str">
        <x:v>尚未建立场景映射</x:v>
      </x:c>
      <x:c r="F311" s="4" t="str"/>
      <x:c r="G311" s="4" t="str">
        <x:v>本轮独立来源库保留该已知条款，但尚未建立可核验的正式场景映射；不是无业务依据，也不转为产品待确认。</x:v>
      </x:c>
    </x:row>
    <x:row r="312" ht="44" customHeight="1">
      <x:c r="A312" s="4" t="str">
        <x:v>REQ-3e2cc119a772</x:v>
      </x:c>
      <x:c r="B312" s="4" t="str">
        <x:v>内容审核</x:v>
      </x:c>
      <x:c r="C312" s="4" t="n">
        <x:v>2633</x:v>
      </x:c>
      <x:c r="D312" s="4" t="str">
        <x:v>审核状态：待处理、人工复审中、已忽略、已处置。</x:v>
      </x:c>
      <x:c r="E312" s="4" t="str">
        <x:v>尚未建立场景映射</x:v>
      </x:c>
      <x:c r="F312" s="4" t="str"/>
      <x:c r="G312" s="4" t="str">
        <x:v>本轮独立来源库保留该已知条款，但尚未建立可核验的正式场景映射；不是无业务依据，也不转为产品待确认。</x:v>
      </x:c>
    </x:row>
    <x:row r="313" ht="44" customHeight="1">
      <x:c r="A313" s="4" t="str">
        <x:v>REQ-abd19b64ef69</x:v>
      </x:c>
      <x:c r="B313" s="4" t="str">
        <x:v>内容审核</x:v>
      </x:c>
      <x:c r="C313" s="4" t="n">
        <x:v>2634</x:v>
      </x:c>
      <x:c r="D313" s="4" t="str">
        <x:v>处置结果：未处理为“-”；处理后为最终动作。</x:v>
      </x:c>
      <x:c r="E313" s="4" t="str">
        <x:v>尚未建立场景映射</x:v>
      </x:c>
      <x:c r="F313" s="4" t="str"/>
      <x:c r="G313" s="4" t="str">
        <x:v>本轮独立来源库保留该已知条款，但尚未建立可核验的正式场景映射；不是无业务依据，也不转为产品待确认。</x:v>
      </x:c>
    </x:row>
    <x:row r="314" ht="44" customHeight="1">
      <x:c r="A314" s="4" t="str">
        <x:v>REQ-faf4a38d23fd</x:v>
      </x:c>
      <x:c r="B314" s="4" t="str">
        <x:v>内容审核</x:v>
      </x:c>
      <x:c r="C314" s="4" t="n">
        <x:v>2635</x:v>
      </x:c>
      <x:c r="D314" s="4" t="str">
        <x:v>忽略表示误报；转人工复审保持处理中；其他动作按选择结果执行。</x:v>
      </x:c>
      <x:c r="E314" s="4" t="str">
        <x:v>尚未建立场景映射</x:v>
      </x:c>
      <x:c r="F314" s="4" t="str"/>
      <x:c r="G314" s="4" t="str">
        <x:v>本轮独立来源库保留该已知条款，但尚未建立可核验的正式场景映射；不是无业务依据，也不转为产品待确认。</x:v>
      </x:c>
    </x:row>
    <x:row r="315" ht="44" customHeight="1">
      <x:c r="A315" s="4" t="str">
        <x:v>REQ-eb24d1ec1bde</x:v>
      </x:c>
      <x:c r="B315" s="4" t="str">
        <x:v>内容审核</x:v>
      </x:c>
      <x:c r="C315" s="4" t="n">
        <x:v>2636</x:v>
      </x:c>
      <x:c r="D315" s="4" t="str">
        <x:v>快捷忽略 -&gt; 完成告警；处理 -&gt; 选择动作并填写原因 -&gt; 更新状态和记录。</x:v>
      </x:c>
      <x:c r="E315" s="4" t="str">
        <x:v>尚未建立场景映射</x:v>
      </x:c>
      <x:c r="F315" s="4" t="str"/>
      <x:c r="G315" s="4" t="str">
        <x:v>本轮独立来源库保留该已知条款，但尚未建立可核验的正式场景映射；不是无业务依据，也不转为产品待确认。</x:v>
      </x:c>
    </x:row>
    <x:row r="316" ht="44" customHeight="1">
      <x:c r="A316" s="4" t="str">
        <x:v>REQ-83fb7ce28bb4</x:v>
      </x:c>
      <x:c r="B316" s="4" t="str">
        <x:v>内容审核</x:v>
      </x:c>
      <x:c r="C316" s="4" t="n">
        <x:v>2641</x:v>
      </x:c>
      <x:c r="D316" s="4" t="str">
        <x:v>基础信息：审核单、场次、主播、命中类型、风险和时间只读。</x:v>
      </x:c>
      <x:c r="E316" s="4" t="str">
        <x:v>尚未建立场景映射</x:v>
      </x:c>
      <x:c r="F316" s="4" t="str"/>
      <x:c r="G316" s="4" t="str">
        <x:v>本轮独立来源库保留该已知条款，但尚未建立可核验的正式场景映射；不是无业务依据，也不转为产品待确认。</x:v>
      </x:c>
    </x:row>
    <x:row r="317" ht="44" customHeight="1">
      <x:c r="A317" s="4" t="str">
        <x:v>REQ-d061042c7110</x:v>
      </x:c>
      <x:c r="B317" s="4" t="str">
        <x:v>内容审核</x:v>
      </x:c>
      <x:c r="C317" s="4" t="n">
        <x:v>2642</x:v>
      </x:c>
      <x:c r="D317" s="4" t="str">
        <x:v>告警材料：机审截图或视频，处理后保留。</x:v>
      </x:c>
      <x:c r="E317" s="4" t="str">
        <x:v>整段分支核验未闭合</x:v>
      </x:c>
      <x:c r="F317" s="4" t="str">
        <x:v>ADMIN-0201、ADMIN-0202、ADMIN-0203</x:v>
      </x:c>
      <x:c r="G317" s="4" t="str">
        <x:v>本段剩余子句、条件组合及状态后续影响仍需与独立规则逐项闭合；这是生成覆盖缺口，不是产品决策缺失。</x:v>
      </x:c>
    </x:row>
    <x:row r="318" ht="44" customHeight="1">
      <x:c r="A318" s="4" t="str">
        <x:v>REQ-2c663e157c36</x:v>
      </x:c>
      <x:c r="B318" s="4" t="str">
        <x:v>内容审核</x:v>
      </x:c>
      <x:c r="C318" s="4" t="n">
        <x:v>2643</x:v>
      </x:c>
      <x:c r="D318" s="4" t="str">
        <x:v>处置类型：转人工复审、忽略及页面提供的处置项。</x:v>
      </x:c>
      <x:c r="E318" s="4" t="str">
        <x:v>整段分支核验未闭合</x:v>
      </x:c>
      <x:c r="F318" s="4" t="str">
        <x:v>ADMIN-0201、ADMIN-0202、ADMIN-0203、ADMIN-0487</x:v>
      </x:c>
      <x:c r="G318" s="4" t="str">
        <x:v>本段剩余子句、条件组合及状态后续影响仍需与独立规则逐项闭合；这是生成覆盖缺口，不是产品决策缺失。</x:v>
      </x:c>
    </x:row>
    <x:row r="319" ht="44" customHeight="1">
      <x:c r="A319" s="4" t="str">
        <x:v>REQ-3a23551c0f84</x:v>
      </x:c>
      <x:c r="B319" s="4" t="str">
        <x:v>内容审核</x:v>
      </x:c>
      <x:c r="C319" s="4" t="n">
        <x:v>2644</x:v>
      </x:c>
      <x:c r="D319" s="4" t="str">
        <x:v>处置原因：提交时必填，同时保存审核人和时间。</x:v>
      </x:c>
      <x:c r="E319" s="4" t="str">
        <x:v>整段分支核验未闭合</x:v>
      </x:c>
      <x:c r="F319" s="4" t="str">
        <x:v>ADMIN-0203、ADMIN-0204</x:v>
      </x:c>
      <x:c r="G319" s="4" t="str">
        <x:v>本段剩余子句、条件组合及状态后续影响仍需与独立规则逐项闭合；这是生成覆盖缺口，不是产品决策缺失。</x:v>
      </x:c>
    </x:row>
    <x:row r="320" ht="44" customHeight="1">
      <x:c r="A320" s="4" t="str">
        <x:v>REQ-973c254c9cab</x:v>
      </x:c>
      <x:c r="B320" s="4" t="str">
        <x:v>内容审核</x:v>
      </x:c>
      <x:c r="C320" s="4" t="n">
        <x:v>2645</x:v>
      </x:c>
      <x:c r="D320" s="4" t="str">
        <x:v>忽略不改变直播或账号；已忽略、已处置为终态，复审中可继续处理。</x:v>
      </x:c>
      <x:c r="E320" s="4" t="str">
        <x:v>整段分支核验未闭合</x:v>
      </x:c>
      <x:c r="F320" s="4" t="str">
        <x:v>ADMIN-0201、ADMIN-0202、ADMIN-0203、ADMIN-0485、ADMIN-0486、ADMIN-0487</x:v>
      </x:c>
      <x:c r="G320" s="4" t="str">
        <x:v>本段剩余子句、条件组合及状态后续影响仍需与独立规则逐项闭合；这是生成覆盖缺口，不是产品决策缺失。</x:v>
      </x:c>
    </x:row>
    <x:row r="321" ht="44" customHeight="1">
      <x:c r="A321" s="4" t="str">
        <x:v>REQ-2fb22ff7daa9</x:v>
      </x:c>
      <x:c r="B321" s="4" t="str">
        <x:v>内容审核</x:v>
      </x:c>
      <x:c r="C321" s="4" t="n">
        <x:v>2646</x:v>
      </x:c>
      <x:c r="D321" s="4" t="str">
        <x:v>提交 -&gt; 校验动作和原因 -&gt; 执行并固化复审记录。</x:v>
      </x:c>
      <x:c r="E321" s="4" t="str">
        <x:v>整段分支核验未闭合</x:v>
      </x:c>
      <x:c r="F321" s="4" t="str">
        <x:v>ADMIN-0204</x:v>
      </x:c>
      <x:c r="G321" s="4" t="str">
        <x:v>本段剩余子句、条件组合及状态后续影响仍需与独立规则逐项闭合；这是生成覆盖缺口，不是产品决策缺失。</x:v>
      </x:c>
    </x:row>
    <x:row r="322" ht="44" customHeight="1">
      <x:c r="A322" s="4" t="str">
        <x:v>REQ-e0185a0c0619</x:v>
      </x:c>
      <x:c r="B322" s="4" t="str">
        <x:v>内容审核</x:v>
      </x:c>
      <x:c r="C322" s="4" t="n">
        <x:v>2651</x:v>
      </x:c>
      <x:c r="D322" s="4" t="str">
        <x:v>被举报账号：昵称、账号 ID 和类型。</x:v>
      </x:c>
      <x:c r="E322" s="4" t="str">
        <x:v>尚未建立场景映射</x:v>
      </x:c>
      <x:c r="F322" s="4" t="str"/>
      <x:c r="G322" s="4" t="str">
        <x:v>本轮独立来源库保留该已知条款，但尚未建立可核验的正式场景映射；不是无业务依据，也不转为产品待确认。</x:v>
      </x:c>
    </x:row>
    <x:row r="323" ht="44" customHeight="1">
      <x:c r="A323" s="4" t="str">
        <x:v>REQ-e7cdc0ea287b</x:v>
      </x:c>
      <x:c r="B323" s="4" t="str">
        <x:v>内容审核</x:v>
      </x:c>
      <x:c r="C323" s="4" t="n">
        <x:v>2652</x:v>
      </x:c>
      <x:c r="D323" s="4" t="str">
        <x:v>举报类型：提交时快照；配置变更不改历史。</x:v>
      </x:c>
      <x:c r="E323" s="4" t="str">
        <x:v>尚未建立场景映射</x:v>
      </x:c>
      <x:c r="F323" s="4" t="str"/>
      <x:c r="G323" s="4" t="str">
        <x:v>本轮独立来源库保留该已知条款，但尚未建立可核验的正式场景映射；不是无业务依据，也不转为产品待确认。</x:v>
      </x:c>
    </x:row>
    <x:row r="324" ht="44" customHeight="1">
      <x:c r="A324" s="4" t="str">
        <x:v>REQ-b296a3eca354</x:v>
      </x:c>
      <x:c r="B324" s="4" t="str">
        <x:v>内容审核</x:v>
      </x:c>
      <x:c r="C324" s="4" t="n">
        <x:v>2653</x:v>
      </x:c>
      <x:c r="D324" s="4" t="str">
        <x:v>账号状态：当前正常或封禁。</x:v>
      </x:c>
      <x:c r="E324" s="4" t="str">
        <x:v>尚未建立场景映射</x:v>
      </x:c>
      <x:c r="F324" s="4" t="str"/>
      <x:c r="G324" s="4" t="str">
        <x:v>本轮独立来源库保留该已知条款，但尚未建立可核验的正式场景映射；不是无业务依据，也不转为产品待确认。</x:v>
      </x:c>
    </x:row>
    <x:row r="325" ht="44" customHeight="1">
      <x:c r="A325" s="4" t="str">
        <x:v>REQ-0e054b28a40e</x:v>
      </x:c>
      <x:c r="B325" s="4" t="str">
        <x:v>内容审核</x:v>
      </x:c>
      <x:c r="C325" s="4" t="n">
        <x:v>2654</x:v>
      </x:c>
      <x:c r="D325" s="4" t="str">
        <x:v>处理状态：待处理、已处理；每单只处理一次。</x:v>
      </x:c>
      <x:c r="E325" s="4" t="str">
        <x:v>尚未建立场景映射</x:v>
      </x:c>
      <x:c r="F325" s="4" t="str"/>
      <x:c r="G325" s="4" t="str">
        <x:v>本轮独立来源库保留该已知条款，但尚未建立可核验的正式场景映射；不是无业务依据，也不转为产品待确认。</x:v>
      </x:c>
    </x:row>
    <x:row r="326" ht="44" customHeight="1">
      <x:c r="A326" s="4" t="str">
        <x:v>REQ-c68999cd5a4d</x:v>
      </x:c>
      <x:c r="B326" s="4" t="str">
        <x:v>内容审核</x:v>
      </x:c>
      <x:c r="C326" s="4" t="n">
        <x:v>2655</x:v>
      </x:c>
      <x:c r="D326" s="4" t="str">
        <x:v>提交时间：工单生成时间。</x:v>
      </x:c>
      <x:c r="E326" s="4" t="str">
        <x:v>整段分支核验未闭合</x:v>
      </x:c>
      <x:c r="F326" s="4" t="str">
        <x:v>ADMIN-0414</x:v>
      </x:c>
      <x:c r="G326" s="4" t="str">
        <x:v>本段剩余子句、条件组合及状态后续影响仍需与独立规则逐项闭合；这是生成覆盖缺口，不是产品决策缺失。</x:v>
      </x:c>
    </x:row>
    <x:row r="327" ht="44" customHeight="1">
      <x:c r="A327" s="4" t="str">
        <x:v>REQ-386f25a3a85a</x:v>
      </x:c>
      <x:c r="B327" s="4" t="str">
        <x:v>内容审核</x:v>
      </x:c>
      <x:c r="C327" s="4" t="n">
        <x:v>2656</x:v>
      </x:c>
      <x:c r="D327" s="4" t="str">
        <x:v>举报不直接改变账号；处置仅不处置或封禁。</x:v>
      </x:c>
      <x:c r="E327" s="4" t="str">
        <x:v>尚未建立场景映射</x:v>
      </x:c>
      <x:c r="F327" s="4" t="str"/>
      <x:c r="G327" s="4" t="str">
        <x:v>本轮独立来源库保留该已知条款，但尚未建立可核验的正式场景映射；不是无业务依据，也不转为产品待确认。</x:v>
      </x:c>
    </x:row>
    <x:row r="328" ht="44" customHeight="1">
      <x:c r="A328" s="4" t="str">
        <x:v>REQ-bc718c5754c4</x:v>
      </x:c>
      <x:c r="B328" s="4" t="str">
        <x:v>内容审核</x:v>
      </x:c>
      <x:c r="C328" s="4" t="n">
        <x:v>2657</x:v>
      </x:c>
      <x:c r="D328" s="4" t="str">
        <x:v>查询 -&gt; 条件取交集；查看 -&gt; 进入详情处理或查看结果。</x:v>
      </x:c>
      <x:c r="E328" s="4" t="str">
        <x:v>整段分支核验未闭合</x:v>
      </x:c>
      <x:c r="F328" s="4" t="str">
        <x:v>ADMIN-0530、ADMIN-0531、ADMIN-0532</x:v>
      </x:c>
      <x:c r="G328" s="4" t="str">
        <x:v>本段剩余子句、条件组合及状态后续影响仍需与独立规则逐项闭合；这是生成覆盖缺口，不是产品决策缺失。</x:v>
      </x:c>
    </x:row>
    <x:row r="329" ht="44" customHeight="1">
      <x:c r="A329" s="4" t="str">
        <x:v>REQ-6e2a33b6f15d</x:v>
      </x:c>
      <x:c r="B329" s="4" t="str">
        <x:v>内容审核</x:v>
      </x:c>
      <x:c r="C329" s="4" t="n">
        <x:v>2662</x:v>
      </x:c>
      <x:c r="D329" s="4" t="str">
        <x:v>直播场次 ID：关联被举报的单次场次。</x:v>
      </x:c>
      <x:c r="E329" s="4" t="str">
        <x:v>整段分支核验未闭合</x:v>
      </x:c>
      <x:c r="F329" s="4" t="str">
        <x:v>ADMIN-0415</x:v>
      </x:c>
      <x:c r="G329" s="4" t="str">
        <x:v>本段剩余子句、条件组合及状态后续影响仍需与独立规则逐项闭合；这是生成覆盖缺口，不是产品决策缺失。</x:v>
      </x:c>
    </x:row>
    <x:row r="330" ht="44" customHeight="1">
      <x:c r="A330" s="4" t="str">
        <x:v>REQ-4d96b77b512a</x:v>
      </x:c>
      <x:c r="B330" s="4" t="str">
        <x:v>内容审核</x:v>
      </x:c>
      <x:c r="C330" s="4" t="n">
        <x:v>2663</x:v>
      </x:c>
      <x:c r="D330" s="4" t="str">
        <x:v>举报类型：提交时快照。</x:v>
      </x:c>
      <x:c r="E330" s="4" t="str">
        <x:v>尚未建立场景映射</x:v>
      </x:c>
      <x:c r="F330" s="4" t="str"/>
      <x:c r="G330" s="4" t="str">
        <x:v>本轮独立来源库保留该已知条款，但尚未建立可核验的正式场景映射；不是无业务依据，也不转为产品待确认。</x:v>
      </x:c>
    </x:row>
    <x:row r="331" ht="44" customHeight="1">
      <x:c r="A331" s="4" t="str">
        <x:v>REQ-023ad4e2285f</x:v>
      </x:c>
      <x:c r="B331" s="4" t="str">
        <x:v>内容审核</x:v>
      </x:c>
      <x:c r="C331" s="4" t="n">
        <x:v>2664</x:v>
      </x:c>
      <x:c r="D331" s="4" t="str">
        <x:v>直播状态：直播中、已结束。</x:v>
      </x:c>
      <x:c r="E331" s="4" t="str">
        <x:v>尚未建立场景映射</x:v>
      </x:c>
      <x:c r="F331" s="4" t="str"/>
      <x:c r="G331" s="4" t="str">
        <x:v>本轮独立来源库保留该已知条款，但尚未建立可核验的正式场景映射；不是无业务依据，也不转为产品待确认。</x:v>
      </x:c>
    </x:row>
    <x:row r="332" ht="44" customHeight="1">
      <x:c r="A332" s="4" t="str">
        <x:v>REQ-120aae3c03ed</x:v>
      </x:c>
      <x:c r="B332" s="4" t="str">
        <x:v>内容审核</x:v>
      </x:c>
      <x:c r="C332" s="4" t="n">
        <x:v>2665</x:v>
      </x:c>
      <x:c r="D332" s="4" t="str">
        <x:v>处理状态：待处理、已处理、已作废。</x:v>
      </x:c>
      <x:c r="E332" s="4" t="str">
        <x:v>尚未建立场景映射</x:v>
      </x:c>
      <x:c r="F332" s="4" t="str"/>
      <x:c r="G332" s="4" t="str">
        <x:v>本轮独立来源库保留该已知条款，但尚未建立可核验的正式场景映射；不是无业务依据，也不转为产品待确认。</x:v>
      </x:c>
    </x:row>
    <x:row r="333" ht="44" customHeight="1">
      <x:c r="A333" s="4" t="str">
        <x:v>REQ-a893b2deecb9</x:v>
      </x:c>
      <x:c r="B333" s="4" t="str">
        <x:v>内容审核</x:v>
      </x:c>
      <x:c r="C333" s="4" t="n">
        <x:v>2666</x:v>
      </x:c>
      <x:c r="D333" s="4" t="str">
        <x:v>提交时间：用户在直播中提交举报的时间。</x:v>
      </x:c>
      <x:c r="E333" s="4" t="str">
        <x:v>整段分支核验未闭合</x:v>
      </x:c>
      <x:c r="F333" s="4" t="str">
        <x:v>ADMIN-0416</x:v>
      </x:c>
      <x:c r="G333" s="4" t="str">
        <x:v>本段剩余子句、条件组合及状态后续影响仍需与独立规则逐项闭合；这是生成覆盖缺口，不是产品决策缺失。</x:v>
      </x:c>
    </x:row>
    <x:row r="334" ht="44" customHeight="1">
      <x:c r="A334" s="4" t="str">
        <x:v>REQ-1fb3044e702c</x:v>
      </x:c>
      <x:c r="B334" s="4" t="str">
        <x:v>内容审核</x:v>
      </x:c>
      <x:c r="C334" s="4" t="n">
        <x:v>2667</x:v>
      </x:c>
      <x:c r="D334" s="4" t="str">
        <x:v>直播举报入口仅在直播中开放；待处理期间直播结束，工单自动作废。</x:v>
      </x:c>
      <x:c r="E334" s="4" t="str">
        <x:v>尚未建立场景映射</x:v>
      </x:c>
      <x:c r="F334" s="4" t="str"/>
      <x:c r="G334" s="4" t="str">
        <x:v>本轮独立来源库保留该已知条款，但尚未建立可核验的正式场景映射；不是无业务依据，也不转为产品待确认。</x:v>
      </x:c>
    </x:row>
    <x:row r="335" ht="44" customHeight="1">
      <x:c r="A335" s="4" t="str">
        <x:v>REQ-abe02c005d26</x:v>
      </x:c>
      <x:c r="B335" s="4" t="str">
        <x:v>内容审核</x:v>
      </x:c>
      <x:c r="C335" s="4" t="n">
        <x:v>2668</x:v>
      </x:c>
      <x:c r="D335" s="4" t="str">
        <x:v>查看 -&gt; 进入详情；已处理或已作废只读。</x:v>
      </x:c>
      <x:c r="E335" s="4" t="str">
        <x:v>尚未建立场景映射</x:v>
      </x:c>
      <x:c r="F335" s="4" t="str"/>
      <x:c r="G335" s="4" t="str">
        <x:v>本轮独立来源库保留该已知条款，但尚未建立可核验的正式场景映射；不是无业务依据，也不转为产品待确认。</x:v>
      </x:c>
    </x:row>
    <x:row r="336" ht="44" customHeight="1">
      <x:c r="A336" s="4" t="str">
        <x:v>REQ-9c0667b4cf62</x:v>
      </x:c>
      <x:c r="B336" s="4" t="str">
        <x:v>内容审核</x:v>
      </x:c>
      <x:c r="C336" s="4" t="n">
        <x:v>2673</x:v>
      </x:c>
      <x:c r="D336" s="4" t="str">
        <x:v>举报对象：账号举报关联账号；直播举报关联场次和主播。</x:v>
      </x:c>
      <x:c r="E336" s="4" t="str">
        <x:v>整段分支核验未闭合</x:v>
      </x:c>
      <x:c r="F336" s="4" t="str">
        <x:v>ADMIN-0205、ADMIN-0206、ADMIN-0207、ADMIN-0208</x:v>
      </x:c>
      <x:c r="G336" s="4" t="str">
        <x:v>本段剩余子句、条件组合及状态后续影响仍需与独立规则逐项闭合；这是生成覆盖缺口，不是产品决策缺失。</x:v>
      </x:c>
    </x:row>
    <x:row r="337" ht="44" customHeight="1">
      <x:c r="A337" s="4" t="str">
        <x:v>REQ-798608c0ef64</x:v>
      </x:c>
      <x:c r="B337" s="4" t="str">
        <x:v>内容审核</x:v>
      </x:c>
      <x:c r="C337" s="4" t="n">
        <x:v>2674</x:v>
      </x:c>
      <x:c r="D337" s="4" t="str">
        <x:v>内容 / 证据：用户提交快照，处理后保留。</x:v>
      </x:c>
      <x:c r="E337" s="4" t="str">
        <x:v>尚未建立场景映射</x:v>
      </x:c>
      <x:c r="F337" s="4" t="str"/>
      <x:c r="G337" s="4" t="str">
        <x:v>本轮独立来源库保留该已知条款，但尚未建立可核验的正式场景映射；不是无业务依据，也不转为产品待确认。</x:v>
      </x:c>
    </x:row>
    <x:row r="338" ht="44" customHeight="1">
      <x:c r="A338" s="4" t="str">
        <x:v>REQ-dd130a0f8dd4</x:v>
      </x:c>
      <x:c r="B338" s="4" t="str">
        <x:v>内容审核</x:v>
      </x:c>
      <x:c r="C338" s="4" t="n">
        <x:v>2675</x:v>
      </x:c>
      <x:c r="D338" s="4" t="str">
        <x:v>处置类型：账号：不处置、封禁；直播：不处置、警告、关播、关闭直播权限。</x:v>
      </x:c>
      <x:c r="E338" s="4" t="str">
        <x:v>整段分支核验未闭合</x:v>
      </x:c>
      <x:c r="F338" s="4" t="str">
        <x:v>ADMIN-0205、ADMIN-0206、ADMIN-0207、ADMIN-0208</x:v>
      </x:c>
      <x:c r="G338" s="4" t="str">
        <x:v>本段剩余子句、条件组合及状态后续影响仍需与独立规则逐项闭合；这是生成覆盖缺口，不是产品决策缺失。</x:v>
      </x:c>
    </x:row>
    <x:row r="339" ht="44" customHeight="1">
      <x:c r="A339" s="4" t="str">
        <x:v>REQ-2f6fe86ea691</x:v>
      </x:c>
      <x:c r="B339" s="4" t="str">
        <x:v>内容审核</x:v>
      </x:c>
      <x:c r="C339" s="4" t="n">
        <x:v>2676</x:v>
      </x:c>
      <x:c r="D339" s="4" t="str">
        <x:v>处置原因：执行处罚时必填并写入日志。</x:v>
      </x:c>
      <x:c r="E339" s="4" t="str">
        <x:v>整段分支核验未闭合</x:v>
      </x:c>
      <x:c r="F339" s="4" t="str">
        <x:v>ADMIN-0211、ADMIN-0212、ADMIN-0213</x:v>
      </x:c>
      <x:c r="G339" s="4" t="str">
        <x:v>本段剩余子句、条件组合及状态后续影响仍需与独立规则逐项闭合；这是生成覆盖缺口，不是产品决策缺失。</x:v>
      </x:c>
    </x:row>
    <x:row r="340" ht="44" customHeight="1">
      <x:c r="A340" s="4" t="str">
        <x:v>REQ-dde89ade1a55</x:v>
      </x:c>
      <x:c r="B340" s="4" t="str">
        <x:v>内容审核</x:v>
      </x:c>
      <x:c r="C340" s="4" t="n">
        <x:v>2677</x:v>
      </x:c>
      <x:c r="D340" s="4" t="str">
        <x:v>通知：按结果通知举报人；直播处罚同时通知主播。</x:v>
      </x:c>
      <x:c r="E340" s="4" t="str">
        <x:v>整段分支核验未闭合</x:v>
      </x:c>
      <x:c r="F340" s="4" t="str">
        <x:v>ADMIN-0205、ADMIN-0206、ADMIN-0207、ADMIN-0208</x:v>
      </x:c>
      <x:c r="G340" s="4" t="str">
        <x:v>本段剩余子句、条件组合及状态后续影响仍需与独立规则逐项闭合；这是生成覆盖缺口，不是产品决策缺失。</x:v>
      </x:c>
    </x:row>
    <x:row r="341" ht="44" customHeight="1">
      <x:c r="A341" s="4" t="str">
        <x:v>REQ-9bc480896cd5</x:v>
      </x:c>
      <x:c r="B341" s="4" t="str">
        <x:v>内容审核</x:v>
      </x:c>
      <x:c r="C341" s="4" t="n">
        <x:v>2678</x:v>
      </x:c>
      <x:c r="D341" s="4" t="str">
        <x:v>警告继续直播；关播只结束本场；关闭直播权限同时关播并阻止再开播。</x:v>
      </x:c>
      <x:c r="E341" s="4" t="str">
        <x:v>整段分支核验未闭合</x:v>
      </x:c>
      <x:c r="F341" s="4" t="str">
        <x:v>ADMIN-0205、ADMIN-0206、ADMIN-0207、ADMIN-0208、ADMIN-0209、ADMIN-0210</x:v>
      </x:c>
      <x:c r="G341" s="4" t="str">
        <x:v>本段剩余子句、条件组合及状态后续影响仍需与独立规则逐项闭合；这是生成覆盖缺口，不是产品决策缺失。</x:v>
      </x:c>
    </x:row>
    <x:row r="342" ht="57" customHeight="1">
      <x:c r="A342" s="4" t="str">
        <x:v>REQ-839dd56e82e3</x:v>
      </x:c>
      <x:c r="B342" s="4" t="str">
        <x:v>内容审核</x:v>
      </x:c>
      <x:c r="C342" s="4" t="n">
        <x:v>2679</x:v>
      </x:c>
      <x:c r="D342" s="4" t="str">
        <x:v>封禁账号立即下线并结束直播；待处理直播工单在直播结束时自动失效，页面状态显示“已作废”。</x:v>
      </x:c>
      <x:c r="E342" s="4" t="str">
        <x:v>整段分支核验未闭合</x:v>
      </x:c>
      <x:c r="F342" s="4" t="str">
        <x:v>ADMIN-0205、ADMIN-0206、ADMIN-0207、ADMIN-0208、ADMIN-0209、ADMIN-0210、ADMIN-0488、ADMIN-0489</x:v>
      </x:c>
      <x:c r="G342" s="4" t="str">
        <x:v>本段剩余子句、条件组合及状态后续影响仍需与独立规则逐项闭合；这是生成覆盖缺口，不是产品决策缺失。</x:v>
      </x:c>
    </x:row>
    <x:row r="343" ht="57" customHeight="1">
      <x:c r="A343" s="4" t="str">
        <x:v>REQ-741630d0f3d0</x:v>
      </x:c>
      <x:c r="B343" s="4" t="str">
        <x:v>内容审核</x:v>
      </x:c>
      <x:c r="C343" s="4" t="n">
        <x:v>2680</x:v>
      </x:c>
      <x:c r="D343" s="4" t="str">
        <x:v>处理 -&gt; 选择合法处置并填写原因 -&gt; 执行、通知并置为已处理；终态不可重复提交。</x:v>
      </x:c>
      <x:c r="E343" s="4" t="str">
        <x:v>整段分支核验未闭合</x:v>
      </x:c>
      <x:c r="F343" s="4" t="str">
        <x:v>ADMIN-0205、ADMIN-0206、ADMIN-0207、ADMIN-0208、ADMIN-0211、ADMIN-0212、ADMIN-0213、ADMIN-0488、ADMIN-0489</x:v>
      </x:c>
      <x:c r="G343" s="4" t="str">
        <x:v>本段剩余子句、条件组合及状态后续影响仍需与独立规则逐项闭合；这是生成覆盖缺口，不是产品决策缺失。</x:v>
      </x:c>
    </x:row>
    <x:row r="344" ht="44" customHeight="1">
      <x:c r="A344" s="4" t="str">
        <x:v>REQ-adc7433c0f2b</x:v>
      </x:c>
      <x:c r="B344" s="4" t="str">
        <x:v>内容审核</x:v>
      </x:c>
      <x:c r="C344" s="4" t="n">
        <x:v>2685</x:v>
      </x:c>
      <x:c r="D344" s="4" t="str">
        <x:v>类型 ID：系统生成，全局唯一。</x:v>
      </x:c>
      <x:c r="E344" s="4" t="str">
        <x:v>整段分支核验未闭合</x:v>
      </x:c>
      <x:c r="F344" s="4" t="str">
        <x:v>ADMIN-0417</x:v>
      </x:c>
      <x:c r="G344" s="4" t="str">
        <x:v>本段剩余子句、条件组合及状态后续影响仍需与独立规则逐项闭合；这是生成覆盖缺口，不是产品决策缺失。</x:v>
      </x:c>
    </x:row>
    <x:row r="345" ht="44" customHeight="1">
      <x:c r="A345" s="4" t="str">
        <x:v>REQ-fd165dafb555</x:v>
      </x:c>
      <x:c r="B345" s="4" t="str">
        <x:v>内容审核</x:v>
      </x:c>
      <x:c r="C345" s="4" t="n">
        <x:v>2686</x:v>
      </x:c>
      <x:c r="D345" s="4" t="str">
        <x:v>排序：正整数，数值越小越靠前。</x:v>
      </x:c>
      <x:c r="E345" s="4" t="str">
        <x:v>尚未建立场景映射</x:v>
      </x:c>
      <x:c r="F345" s="4" t="str"/>
      <x:c r="G345" s="4" t="str">
        <x:v>本轮独立来源库保留该已知条款，但尚未建立可核验的正式场景映射；不是无业务依据，也不转为产品待确认。</x:v>
      </x:c>
    </x:row>
    <x:row r="346" ht="44" customHeight="1">
      <x:c r="A346" s="4" t="str">
        <x:v>REQ-de91d123b531</x:v>
      </x:c>
      <x:c r="B346" s="4" t="str">
        <x:v>内容审核</x:v>
      </x:c>
      <x:c r="C346" s="4" t="n">
        <x:v>2687</x:v>
      </x:c>
      <x:c r="D346" s="4" t="str">
        <x:v>多语言名称：列表中文，用户端按语言展示。</x:v>
      </x:c>
      <x:c r="E346" s="4" t="str">
        <x:v>尚未建立场景映射</x:v>
      </x:c>
      <x:c r="F346" s="4" t="str"/>
      <x:c r="G346" s="4" t="str">
        <x:v>本轮独立来源库保留该已知条款，但尚未建立可核验的正式场景映射；不是无业务依据，也不转为产品待确认。</x:v>
      </x:c>
    </x:row>
    <x:row r="347" ht="44" customHeight="1">
      <x:c r="A347" s="4" t="str">
        <x:v>REQ-1c0ba42e6743</x:v>
      </x:c>
      <x:c r="B347" s="4" t="str">
        <x:v>内容审核</x:v>
      </x:c>
      <x:c r="C347" s="4" t="n">
        <x:v>2688</x:v>
      </x:c>
      <x:c r="D347" s="4" t="str">
        <x:v>类型属性：系统预置、自定义；预置不可删除。</x:v>
      </x:c>
      <x:c r="E347" s="4" t="str">
        <x:v>尚未建立场景映射</x:v>
      </x:c>
      <x:c r="F347" s="4" t="str"/>
      <x:c r="G347" s="4" t="str">
        <x:v>本轮独立来源库保留该已知条款，但尚未建立可核验的正式场景映射；不是无业务依据，也不转为产品待确认。</x:v>
      </x:c>
    </x:row>
    <x:row r="348" ht="44" customHeight="1">
      <x:c r="A348" s="4" t="str">
        <x:v>REQ-54df69c63444</x:v>
      </x:c>
      <x:c r="B348" s="4" t="str">
        <x:v>内容审核</x:v>
      </x:c>
      <x:c r="C348" s="4" t="n">
        <x:v>2689</x:v>
      </x:c>
      <x:c r="D348" s="4" t="str">
        <x:v>状态：预置固定启用；自定义可启停。</x:v>
      </x:c>
      <x:c r="E348" s="4" t="str">
        <x:v>尚未建立场景映射</x:v>
      </x:c>
      <x:c r="F348" s="4" t="str"/>
      <x:c r="G348" s="4" t="str">
        <x:v>本轮独立来源库保留该已知条款，但尚未建立可核验的正式场景映射；不是无业务依据，也不转为产品待确认。</x:v>
      </x:c>
    </x:row>
    <x:row r="349" ht="44" customHeight="1">
      <x:c r="A349" s="4" t="str">
        <x:v>REQ-f7c1b9a85a65</x:v>
      </x:c>
      <x:c r="B349" s="4" t="str">
        <x:v>内容审核</x:v>
      </x:c>
      <x:c r="C349" s="4" t="n">
        <x:v>2690</x:v>
      </x:c>
      <x:c r="D349" s="4" t="str">
        <x:v>停用或删除后不用于新举报，历史保留提交时名称。</x:v>
      </x:c>
      <x:c r="E349" s="4" t="str">
        <x:v>尚未建立场景映射</x:v>
      </x:c>
      <x:c r="F349" s="4" t="str"/>
      <x:c r="G349" s="4" t="str">
        <x:v>本轮独立来源库保留该已知条款，但尚未建立可核验的正式场景映射；不是无业务依据，也不转为产品待确认。</x:v>
      </x:c>
    </x:row>
    <x:row r="350" ht="44" customHeight="1">
      <x:c r="A350" s="4" t="str">
        <x:v>REQ-6594ab9539fc</x:v>
      </x:c>
      <x:c r="B350" s="4" t="str">
        <x:v>内容审核</x:v>
      </x:c>
      <x:c r="C350" s="4" t="n">
        <x:v>2691</x:v>
      </x:c>
      <x:c r="D350" s="4" t="str">
        <x:v>上下移 -&gt; 更新排序；删除自定义类型 -&gt; 确认后移除；编辑 -&gt; 进入详情。</x:v>
      </x:c>
      <x:c r="E350" s="4" t="str">
        <x:v>尚未建立场景映射</x:v>
      </x:c>
      <x:c r="F350" s="4" t="str"/>
      <x:c r="G350" s="4" t="str">
        <x:v>本轮独立来源库保留该已知条款，但尚未建立可核验的正式场景映射；不是无业务依据，也不转为产品待确认。</x:v>
      </x:c>
    </x:row>
    <x:row r="351" ht="44" customHeight="1">
      <x:c r="A351" s="4" t="str">
        <x:v>REQ-b2dc2aa1eed6</x:v>
      </x:c>
      <x:c r="B351" s="4" t="str">
        <x:v>内容审核</x:v>
      </x:c>
      <x:c r="C351" s="4" t="n">
        <x:v>2696</x:v>
      </x:c>
      <x:c r="D351" s="4" t="str">
        <x:v>类型 ID：新建系统生成，编辑只读。</x:v>
      </x:c>
      <x:c r="E351" s="4" t="str">
        <x:v>整段分支核验未闭合</x:v>
      </x:c>
      <x:c r="F351" s="4" t="str">
        <x:v>ADMIN-0014</x:v>
      </x:c>
      <x:c r="G351" s="4" t="str">
        <x:v>本段剩余子句、条件组合及状态后续影响仍需与独立规则逐项闭合；这是生成覆盖缺口，不是产品决策缺失。</x:v>
      </x:c>
    </x:row>
    <x:row r="352" ht="44" customHeight="1">
      <x:c r="A352" s="4" t="str">
        <x:v>REQ-fbad1e81adb3</x:v>
      </x:c>
      <x:c r="B352" s="4" t="str">
        <x:v>内容审核</x:v>
      </x:c>
      <x:c r="C352" s="4" t="n">
        <x:v>2697</x:v>
      </x:c>
      <x:c r="D352" s="4" t="str">
        <x:v>四语名称：中文、英语、印尼语、马来语均必填，同语言不可重复。</x:v>
      </x:c>
      <x:c r="E352" s="4" t="str">
        <x:v>整段分支核验未闭合</x:v>
      </x:c>
      <x:c r="F352" s="4" t="str">
        <x:v>ADMIN-0006、ADMIN-0007、ADMIN-0008、ADMIN-0009</x:v>
      </x:c>
      <x:c r="G352" s="4" t="str">
        <x:v>本段剩余子句、条件组合及状态后续影响仍需与独立规则逐项闭合；这是生成覆盖缺口，不是产品决策缺失。</x:v>
      </x:c>
    </x:row>
    <x:row r="353" ht="44" customHeight="1">
      <x:c r="A353" s="4" t="str">
        <x:v>REQ-34ef5cc23216</x:v>
      </x:c>
      <x:c r="B353" s="4" t="str">
        <x:v>内容审核</x:v>
      </x:c>
      <x:c r="C353" s="4" t="n">
        <x:v>2698</x:v>
      </x:c>
      <x:c r="D353" s="4" t="str">
        <x:v>排序：必填正整数。</x:v>
      </x:c>
      <x:c r="E353" s="4" t="str">
        <x:v>整段分支核验未闭合</x:v>
      </x:c>
      <x:c r="F353" s="4" t="str">
        <x:v>ADMIN-0010、ADMIN-0011、ADMIN-0012、ADMIN-0013</x:v>
      </x:c>
      <x:c r="G353" s="4" t="str">
        <x:v>本段剩余子句、条件组合及状态后续影响仍需与独立规则逐项闭合；这是生成覆盖缺口，不是产品决策缺失。</x:v>
      </x:c>
    </x:row>
    <x:row r="354" ht="44" customHeight="1">
      <x:c r="A354" s="4" t="str">
        <x:v>REQ-ccb4a256181d</x:v>
      </x:c>
      <x:c r="B354" s="4" t="str">
        <x:v>内容审核</x:v>
      </x:c>
      <x:c r="C354" s="4" t="n">
        <x:v>2699</x:v>
      </x:c>
      <x:c r="D354" s="4" t="str">
        <x:v>类型属性：创建后不可切换预置 / 自定义。</x:v>
      </x:c>
      <x:c r="E354" s="4" t="str">
        <x:v>尚未建立场景映射</x:v>
      </x:c>
      <x:c r="F354" s="4" t="str"/>
      <x:c r="G354" s="4" t="str">
        <x:v>本轮独立来源库保留该已知条款，但尚未建立可核验的正式场景映射；不是无业务依据，也不转为产品待确认。</x:v>
      </x:c>
    </x:row>
    <x:row r="355" ht="44" customHeight="1">
      <x:c r="A355" s="4" t="str">
        <x:v>REQ-eb9847816993</x:v>
      </x:c>
      <x:c r="B355" s="4" t="str">
        <x:v>内容审核</x:v>
      </x:c>
      <x:c r="C355" s="4" t="n">
        <x:v>2700</x:v>
      </x:c>
      <x:c r="D355" s="4" t="str">
        <x:v>状态：预置固定启用，自定义可调。</x:v>
      </x:c>
      <x:c r="E355" s="4" t="str">
        <x:v>尚未建立场景映射</x:v>
      </x:c>
      <x:c r="F355" s="4" t="str"/>
      <x:c r="G355" s="4" t="str">
        <x:v>本轮独立来源库保留该已知条款，但尚未建立可核验的正式场景映射；不是无业务依据，也不转为产品待确认。</x:v>
      </x:c>
    </x:row>
    <x:row r="356" ht="44" customHeight="1">
      <x:c r="A356" s="4" t="str">
        <x:v>REQ-27a9d32696ea</x:v>
      </x:c>
      <x:c r="B356" s="4" t="str">
        <x:v>内容审核</x:v>
      </x:c>
      <x:c r="C356" s="4" t="n">
        <x:v>2701</x:v>
      </x:c>
      <x:c r="D356" s="4" t="str">
        <x:v>保存 -&gt; 校验四语、唯一性和排序 -&gt; 用于新举报及筛选。</x:v>
      </x:c>
      <x:c r="E356" s="4" t="str">
        <x:v>尚未建立场景映射</x:v>
      </x:c>
      <x:c r="F356" s="4" t="str"/>
      <x:c r="G356" s="4" t="str">
        <x:v>本轮独立来源库保留该已知条款，但尚未建立可核验的正式场景映射；不是无业务依据，也不转为产品待确认。</x:v>
      </x:c>
    </x:row>
    <x:row r="357" ht="44" customHeight="1">
      <x:c r="A357" s="4" t="str">
        <x:v>REQ-233ac94a1aae</x:v>
      </x:c>
      <x:c r="B357" s="4" t="str">
        <x:v>公会管理</x:v>
      </x:c>
      <x:c r="C357" s="4" t="n">
        <x:v>2706</x:v>
      </x:c>
      <x:c r="D357" s="4" t="str">
        <x:v>公会信息：全局唯一 ID、当前名称和 Logo。</x:v>
      </x:c>
      <x:c r="E357" s="4" t="str">
        <x:v>整段分支核验未闭合</x:v>
      </x:c>
      <x:c r="F357" s="4" t="str">
        <x:v>ADMIN-0418、ADMIN-0419</x:v>
      </x:c>
      <x:c r="G357" s="4" t="str">
        <x:v>本段剩余子句、条件组合及状态后续影响仍需与独立规则逐项闭合；这是生成覆盖缺口，不是产品决策缺失。</x:v>
      </x:c>
    </x:row>
    <x:row r="358" ht="44" customHeight="1">
      <x:c r="A358" s="4" t="str">
        <x:v>REQ-869d538c363d</x:v>
      </x:c>
      <x:c r="B358" s="4" t="str">
        <x:v>公会管理</x:v>
      </x:c>
      <x:c r="C358" s="4" t="n">
        <x:v>2707</x:v>
      </x:c>
      <x:c r="D358" s="4" t="str">
        <x:v>公会长：昵称和管理账号。</x:v>
      </x:c>
      <x:c r="E358" s="4" t="str">
        <x:v>尚未建立场景映射</x:v>
      </x:c>
      <x:c r="F358" s="4" t="str"/>
      <x:c r="G358" s="4" t="str">
        <x:v>本轮独立来源库保留该已知条款，但尚未建立可核验的正式场景映射；不是无业务依据，也不转为产品待确认。</x:v>
      </x:c>
    </x:row>
    <x:row r="359" ht="44" customHeight="1">
      <x:c r="A359" s="4" t="str">
        <x:v>REQ-086e056e5925</x:v>
      </x:c>
      <x:c r="B359" s="4" t="str">
        <x:v>公会管理</x:v>
      </x:c>
      <x:c r="C359" s="4" t="n">
        <x:v>2708</x:v>
      </x:c>
      <x:c r="D359" s="4" t="str">
        <x:v>主播人数：当前公会有效主播关系去重计数。</x:v>
      </x:c>
      <x:c r="E359" s="4" t="str">
        <x:v>整段分支核验未闭合</x:v>
      </x:c>
      <x:c r="F359" s="4" t="str">
        <x:v>ADMIN-0581</x:v>
      </x:c>
      <x:c r="G359" s="4" t="str">
        <x:v>本段剩余子句、条件组合及状态后续影响仍需与独立规则逐项闭合；这是生成覆盖缺口，不是产品决策缺失。</x:v>
      </x:c>
    </x:row>
    <x:row r="360" ht="44" customHeight="1">
      <x:c r="A360" s="4" t="str">
        <x:v>REQ-f3dbf09d02e0</x:v>
      </x:c>
      <x:c r="B360" s="4" t="str">
        <x:v>公会管理</x:v>
      </x:c>
      <x:c r="C360" s="4" t="n">
        <x:v>2709</x:v>
      </x:c>
      <x:c r="D360" s="4" t="str">
        <x:v>公会状态：启用、停用、已解散；已解散为终态。</x:v>
      </x:c>
      <x:c r="E360" s="4" t="str">
        <x:v>尚未建立场景映射</x:v>
      </x:c>
      <x:c r="F360" s="4" t="str"/>
      <x:c r="G360" s="4" t="str">
        <x:v>本轮独立来源库保留该已知条款，但尚未建立可核验的正式场景映射；不是无业务依据，也不转为产品待确认。</x:v>
      </x:c>
    </x:row>
    <x:row r="361" ht="44" customHeight="1">
      <x:c r="A361" s="4" t="str">
        <x:v>REQ-fc3b2805ae4c</x:v>
      </x:c>
      <x:c r="B361" s="4" t="str">
        <x:v>公会管理</x:v>
      </x:c>
      <x:c r="C361" s="4" t="n">
        <x:v>2710</x:v>
      </x:c>
      <x:c r="D361" s="4" t="str">
        <x:v>公会停用时，该公会所有管理账号均不能登录，但各账号自身状态不变。</x:v>
      </x:c>
      <x:c r="E361" s="4" t="str">
        <x:v>尚未建立场景映射</x:v>
      </x:c>
      <x:c r="F361" s="4" t="str"/>
      <x:c r="G361" s="4" t="str">
        <x:v>本轮独立来源库保留该已知条款，但尚未建立可核验的正式场景映射；不是无业务依据，也不转为产品待确认。</x:v>
      </x:c>
    </x:row>
    <x:row r="362" ht="44" customHeight="1">
      <x:c r="A362" s="4" t="str">
        <x:v>REQ-7f64ff578699</x:v>
      </x:c>
      <x:c r="B362" s="4" t="str">
        <x:v>公会管理</x:v>
      </x:c>
      <x:c r="C362" s="4" t="n">
        <x:v>2711</x:v>
      </x:c>
      <x:c r="D362" s="4" t="str">
        <x:v>公会长账号停用时，仅该账号不能登录，不改变公会状态，也不影响主播。</x:v>
      </x:c>
      <x:c r="E362" s="4" t="str">
        <x:v>整段分支核验未闭合</x:v>
      </x:c>
      <x:c r="F362" s="4" t="str">
        <x:v>ADMIN-0494</x:v>
      </x:c>
      <x:c r="G362" s="4" t="str">
        <x:v>本段剩余子句、条件组合及状态后续影响仍需与独立规则逐项闭合；这是生成覆盖缺口，不是产品决策缺失。</x:v>
      </x:c>
    </x:row>
    <x:row r="363" ht="44" customHeight="1">
      <x:c r="A363" s="4" t="str">
        <x:v>REQ-74523caaeaac</x:v>
      </x:c>
      <x:c r="B363" s="4" t="str">
        <x:v>公会管理</x:v>
      </x:c>
      <x:c r="C363" s="4" t="n">
        <x:v>2712</x:v>
      </x:c>
      <x:c r="D363" s="4" t="str">
        <x:v>解散前须结清全部主播收益；解散后账号失效、关系解除、主播失去身份并停止开播。</x:v>
      </x:c>
      <x:c r="E363" s="4" t="str">
        <x:v>尚未建立场景映射</x:v>
      </x:c>
      <x:c r="F363" s="4" t="str"/>
      <x:c r="G363" s="4" t="str">
        <x:v>本轮独立来源库保留该已知条款，但尚未建立可核验的正式场景映射；不是无业务依据，也不转为产品待确认。</x:v>
      </x:c>
    </x:row>
    <x:row r="364" ht="44" customHeight="1">
      <x:c r="A364" s="4" t="str">
        <x:v>REQ-3d86ee8bf72f</x:v>
      </x:c>
      <x:c r="B364" s="4" t="str">
        <x:v>公会管理</x:v>
      </x:c>
      <x:c r="C364" s="4" t="n">
        <x:v>2713</x:v>
      </x:c>
      <x:c r="D364" s="4" t="str">
        <x:v>新建 -&gt; 详情编辑态；启停或解散 -&gt; 校验并确认 -&gt; 更新状态和关联对象。</x:v>
      </x:c>
      <x:c r="E364" s="4" t="str">
        <x:v>尚未建立场景映射</x:v>
      </x:c>
      <x:c r="F364" s="4" t="str"/>
      <x:c r="G364" s="4" t="str">
        <x:v>本轮独立来源库保留该已知条款，但尚未建立可核验的正式场景映射；不是无业务依据，也不转为产品待确认。</x:v>
      </x:c>
    </x:row>
    <x:row r="365" ht="44" customHeight="1">
      <x:c r="A365" s="4" t="str">
        <x:v>REQ-5dfeb822ca1f</x:v>
      </x:c>
      <x:c r="B365" s="4" t="str">
        <x:v>公会管理</x:v>
      </x:c>
      <x:c r="C365" s="4" t="n">
        <x:v>2718</x:v>
      </x:c>
      <x:c r="D365" s="4" t="str">
        <x:v>公会 ID：系统生成，创建后不可改。</x:v>
      </x:c>
      <x:c r="E365" s="4" t="str">
        <x:v>整段分支核验未闭合</x:v>
      </x:c>
      <x:c r="F365" s="4" t="str">
        <x:v>ADMIN-0104、ADMIN-0420</x:v>
      </x:c>
      <x:c r="G365" s="4" t="str">
        <x:v>本段剩余子句、条件组合及状态后续影响仍需与独立规则逐项闭合；这是生成覆盖缺口，不是产品决策缺失。</x:v>
      </x:c>
    </x:row>
    <x:row r="366" ht="44" customHeight="1">
      <x:c r="A366" s="4" t="str">
        <x:v>REQ-7ab0bb2f38c1</x:v>
      </x:c>
      <x:c r="B366" s="4" t="str">
        <x:v>公会管理</x:v>
      </x:c>
      <x:c r="C366" s="4" t="n">
        <x:v>2719</x:v>
      </x:c>
      <x:c r="D366" s="4" t="str">
        <x:v>名称 / Logo / 简介：名称和 Logo 必填。</x:v>
      </x:c>
      <x:c r="E366" s="4" t="str">
        <x:v>整段分支核验未闭合</x:v>
      </x:c>
      <x:c r="F366" s="4" t="str">
        <x:v>ADMIN-0098、ADMIN-0099</x:v>
      </x:c>
      <x:c r="G366" s="4" t="str">
        <x:v>本段剩余子句、条件组合及状态后续影响仍需与独立规则逐项闭合；这是生成覆盖缺口，不是产品决策缺失。</x:v>
      </x:c>
    </x:row>
    <x:row r="367" ht="44" customHeight="1">
      <x:c r="A367" s="4" t="str">
        <x:v>REQ-7bf5833d4c05</x:v>
      </x:c>
      <x:c r="B367" s="4" t="str">
        <x:v>公会管理</x:v>
      </x:c>
      <x:c r="C367" s="4" t="n">
        <x:v>2720</x:v>
      </x:c>
      <x:c r="D367" s="4" t="str">
        <x:v>公会长 / 管理账号：新建必填；管理账号全局唯一。</x:v>
      </x:c>
      <x:c r="E367" s="4" t="str">
        <x:v>整段分支核验未闭合</x:v>
      </x:c>
      <x:c r="F367" s="4" t="str">
        <x:v>ADMIN-0100、ADMIN-0101、ADMIN-0102、ADMIN-0103</x:v>
      </x:c>
      <x:c r="G367" s="4" t="str">
        <x:v>本段剩余子句、条件组合及状态后续影响仍需与独立规则逐项闭合；这是生成覆盖缺口，不是产品决策缺失。</x:v>
      </x:c>
    </x:row>
    <x:row r="368" ht="44" customHeight="1">
      <x:c r="A368" s="4" t="str">
        <x:v>REQ-98bbfd149ca6</x:v>
      </x:c>
      <x:c r="B368" s="4" t="str">
        <x:v>公会管理</x:v>
      </x:c>
      <x:c r="C368" s="4" t="n">
        <x:v>2721</x:v>
      </x:c>
      <x:c r="D368" s="4" t="str">
        <x:v>公会长账号状态：启用、停用；与公会状态分别保存。</x:v>
      </x:c>
      <x:c r="E368" s="4" t="str">
        <x:v>整段分支核验未闭合</x:v>
      </x:c>
      <x:c r="F368" s="4" t="str">
        <x:v>ADMIN-0100、ADMIN-0197、ADMIN-0198</x:v>
      </x:c>
      <x:c r="G368" s="4" t="str">
        <x:v>本段剩余子句、条件组合及状态后续影响仍需与独立规则逐项闭合；这是生成覆盖缺口，不是产品决策缺失。</x:v>
      </x:c>
    </x:row>
    <x:row r="369" ht="44" customHeight="1">
      <x:c r="A369" s="4" t="str">
        <x:v>REQ-aef87c3821a8</x:v>
      </x:c>
      <x:c r="B369" s="4" t="str">
        <x:v>公会管理</x:v>
      </x:c>
      <x:c r="C369" s="4" t="n">
        <x:v>2722</x:v>
      </x:c>
      <x:c r="D369" s="4" t="str">
        <x:v>初始密码：仅新建必填；重置后立即生效。</x:v>
      </x:c>
      <x:c r="E369" s="4" t="str">
        <x:v>整段分支核验未闭合</x:v>
      </x:c>
      <x:c r="F369" s="4" t="str">
        <x:v>ADMIN-0102</x:v>
      </x:c>
      <x:c r="G369" s="4" t="str">
        <x:v>本段剩余子句、条件组合及状态后续影响仍需与独立规则逐项闭合；这是生成覆盖缺口，不是产品决策缺失。</x:v>
      </x:c>
    </x:row>
    <x:row r="370" ht="44" customHeight="1">
      <x:c r="A370" s="4" t="str">
        <x:v>REQ-7b75094672b2</x:v>
      </x:c>
      <x:c r="B370" s="4" t="str">
        <x:v>公会管理</x:v>
      </x:c>
      <x:c r="C370" s="4" t="n">
        <x:v>2723</x:v>
      </x:c>
      <x:c r="D370" s="4" t="str">
        <x:v>主播列表：仅展示当前公会的主播。</x:v>
      </x:c>
      <x:c r="E370" s="4" t="str">
        <x:v>尚未建立场景映射</x:v>
      </x:c>
      <x:c r="F370" s="4" t="str"/>
      <x:c r="G370" s="4" t="str">
        <x:v>本轮独立来源库保留该已知条款，但尚未建立可核验的正式场景映射；不是无业务依据，也不转为产品待确认。</x:v>
      </x:c>
    </x:row>
    <x:row r="371" ht="44" customHeight="1">
      <x:c r="A371" s="4" t="str">
        <x:v>REQ-a7d89bf6f91b</x:v>
      </x:c>
      <x:c r="B371" s="4" t="str">
        <x:v>公会管理</x:v>
      </x:c>
      <x:c r="C371" s="4" t="n">
        <x:v>2724</x:v>
      </x:c>
      <x:c r="D371" s="4" t="str">
        <x:v>累计收益：旗下所有主播的收益汇总。</x:v>
      </x:c>
      <x:c r="E371" s="4" t="str">
        <x:v>整段分支核验未闭合</x:v>
      </x:c>
      <x:c r="F371" s="4" t="str">
        <x:v>ADMIN-0582</x:v>
      </x:c>
      <x:c r="G371" s="4" t="str">
        <x:v>本段剩余子句、条件组合及状态后续影响仍需与独立规则逐项闭合；这是生成覆盖缺口，不是产品决策缺失。</x:v>
      </x:c>
    </x:row>
    <x:row r="372" ht="44" customHeight="1">
      <x:c r="A372" s="4" t="str">
        <x:v>REQ-15f7eedc9741</x:v>
      </x:c>
      <x:c r="B372" s="4" t="str">
        <x:v>公会管理</x:v>
      </x:c>
      <x:c r="C372" s="4" t="n">
        <x:v>2725</x:v>
      </x:c>
      <x:c r="D372" s="4" t="str">
        <x:v>公会仅管理本公会主播，平台权限优先。</x:v>
      </x:c>
      <x:c r="E372" s="4" t="str">
        <x:v>尚未建立场景映射</x:v>
      </x:c>
      <x:c r="F372" s="4" t="str"/>
      <x:c r="G372" s="4" t="str">
        <x:v>本轮独立来源库保留该已知条款，但尚未建立可核验的正式场景映射；不是无业务依据，也不转为产品待确认。</x:v>
      </x:c>
    </x:row>
    <x:row r="373" ht="44" customHeight="1">
      <x:c r="A373" s="4" t="str">
        <x:v>REQ-06e5fe687f7e</x:v>
      </x:c>
      <x:c r="B373" s="4" t="str">
        <x:v>公会管理</x:v>
      </x:c>
      <x:c r="C373" s="4" t="n">
        <x:v>2726</x:v>
      </x:c>
      <x:c r="D373" s="4" t="str">
        <x:v>登录须同时满足公会启用和管理账号自身启用。公会停用会拦截全部管理账号；公会长账号停用只拦截该账号。</x:v>
      </x:c>
      <x:c r="E373" s="4" t="str">
        <x:v>整段分支核验未闭合</x:v>
      </x:c>
      <x:c r="F373" s="4" t="str">
        <x:v>ADMIN-0197、ADMIN-0198</x:v>
      </x:c>
      <x:c r="G373" s="4" t="str">
        <x:v>本段剩余子句、条件组合及状态后续影响仍需与独立规则逐项闭合；这是生成覆盖缺口，不是产品决策缺失。</x:v>
      </x:c>
    </x:row>
    <x:row r="374" ht="44" customHeight="1">
      <x:c r="A374" s="4" t="str">
        <x:v>REQ-99fe0d1b0f0e</x:v>
      </x:c>
      <x:c r="B374" s="4" t="str">
        <x:v>公会管理</x:v>
      </x:c>
      <x:c r="C374" s="4" t="n">
        <x:v>2727</x:v>
      </x:c>
      <x:c r="D374" s="4" t="str">
        <x:v>公会状态与公会长账号状态分别操作；账号状态通过开关切换。</x:v>
      </x:c>
      <x:c r="E374" s="4" t="str">
        <x:v>整段分支核验未闭合</x:v>
      </x:c>
      <x:c r="F374" s="4" t="str">
        <x:v>ADMIN-0197、ADMIN-0198</x:v>
      </x:c>
      <x:c r="G374" s="4" t="str">
        <x:v>本段剩余子句、条件组合及状态后续影响仍需与独立规则逐项闭合；这是生成覆盖缺口，不是产品决策缺失。</x:v>
      </x:c>
    </x:row>
    <x:row r="375" ht="57" customHeight="1">
      <x:c r="A375" s="4" t="str">
        <x:v>REQ-0463379c3d50</x:v>
      </x:c>
      <x:c r="B375" s="4" t="str">
        <x:v>公会管理</x:v>
      </x:c>
      <x:c r="C375" s="4" t="n">
        <x:v>2728</x:v>
      </x:c>
      <x:c r="D375" s="4" t="str">
        <x:v>资料和管理账号分别保存；重置密码不改账号；解散 -&gt; 未结收益为 0 后确认。</x:v>
      </x:c>
      <x:c r="E375" s="4" t="str">
        <x:v>整段分支核验未闭合</x:v>
      </x:c>
      <x:c r="F375" s="4" t="str">
        <x:v>ADMIN-0198、ADMIN-0199、ADMIN-0200、ADMIN-0490、ADMIN-0491、ADMIN-0492、ADMIN-0493</x:v>
      </x:c>
      <x:c r="G375" s="4" t="str">
        <x:v>本段剩余子句、条件组合及状态后续影响仍需与独立规则逐项闭合；这是生成覆盖缺口，不是产品决策缺失。</x:v>
      </x:c>
    </x:row>
    <x:row r="376" ht="44" customHeight="1">
      <x:c r="A376" s="4" t="str">
        <x:v>REQ-e4e160958931</x:v>
      </x:c>
      <x:c r="B376" s="4" t="str">
        <x:v>礼物与道具</x:v>
      </x:c>
      <x:c r="C376" s="4" t="n">
        <x:v>2733</x:v>
      </x:c>
      <x:c r="D376" s="4" t="str">
        <x:v>礼物 ID：全局唯一，创建后不可改。</x:v>
      </x:c>
      <x:c r="E376" s="4" t="str">
        <x:v>整段分支核验未闭合</x:v>
      </x:c>
      <x:c r="F376" s="4" t="str">
        <x:v>ADMIN-0421</x:v>
      </x:c>
      <x:c r="G376" s="4" t="str">
        <x:v>本段剩余子句、条件组合及状态后续影响仍需与独立规则逐项闭合；这是生成覆盖缺口，不是产品决策缺失。</x:v>
      </x:c>
    </x:row>
    <x:row r="377" ht="44" customHeight="1">
      <x:c r="A377" s="4" t="str">
        <x:v>REQ-9faae3e23bb8</x:v>
      </x:c>
      <x:c r="B377" s="4" t="str">
        <x:v>礼物与道具</x:v>
      </x:c>
      <x:c r="C377" s="4" t="n">
        <x:v>2734</x:v>
      </x:c>
      <x:c r="D377" s="4" t="str">
        <x:v>四语名称：中文、英语、印尼语、马来语均必填。</x:v>
      </x:c>
      <x:c r="E377" s="4" t="str">
        <x:v>尚未建立场景映射</x:v>
      </x:c>
      <x:c r="F377" s="4" t="str"/>
      <x:c r="G377" s="4" t="str">
        <x:v>本轮独立来源库保留该已知条款，但尚未建立可核验的正式场景映射；不是无业务依据，也不转为产品待确认。</x:v>
      </x:c>
    </x:row>
    <x:row r="378" ht="44" customHeight="1">
      <x:c r="A378" s="4" t="str">
        <x:v>REQ-f12209115e42</x:v>
      </x:c>
      <x:c r="B378" s="4" t="str">
        <x:v>礼物与道具</x:v>
      </x:c>
      <x:c r="C378" s="4" t="n">
        <x:v>2735</x:v>
      </x:c>
      <x:c r="D378" s="4" t="str">
        <x:v>单价：正整数金币，赠送扣减 = 单价 × 数量。</x:v>
      </x:c>
      <x:c r="E378" s="4" t="str">
        <x:v>尚未建立场景映射</x:v>
      </x:c>
      <x:c r="F378" s="4" t="str"/>
      <x:c r="G378" s="4" t="str">
        <x:v>本轮独立来源库保留该已知条款，但尚未建立可核验的正式场景映射；不是无业务依据，也不转为产品待确认。</x:v>
      </x:c>
    </x:row>
    <x:row r="379" ht="44" customHeight="1">
      <x:c r="A379" s="4" t="str">
        <x:v>REQ-b904f30f3c1f</x:v>
      </x:c>
      <x:c r="B379" s="4" t="str">
        <x:v>礼物与道具</x:v>
      </x:c>
      <x:c r="C379" s="4" t="n">
        <x:v>2736</x:v>
      </x:c>
      <x:c r="D379" s="4" t="str">
        <x:v>图标 / 特效：图标必填；特效按资源要求上传。</x:v>
      </x:c>
      <x:c r="E379" s="4" t="str">
        <x:v>尚未建立场景映射</x:v>
      </x:c>
      <x:c r="F379" s="4" t="str"/>
      <x:c r="G379" s="4" t="str">
        <x:v>本轮独立来源库保留该已知条款，但尚未建立可核验的正式场景映射；不是无业务依据，也不转为产品待确认。</x:v>
      </x:c>
    </x:row>
    <x:row r="380" ht="44" customHeight="1">
      <x:c r="A380" s="4" t="str">
        <x:v>REQ-6120e5f30ebf</x:v>
      </x:c>
      <x:c r="B380" s="4" t="str">
        <x:v>礼物与道具</x:v>
      </x:c>
      <x:c r="C380" s="4" t="n">
        <x:v>2737</x:v>
      </x:c>
      <x:c r="D380" s="4" t="str">
        <x:v>排序权重：整数，数值越大面板越靠前。</x:v>
      </x:c>
      <x:c r="E380" s="4" t="str">
        <x:v>尚未建立场景映射</x:v>
      </x:c>
      <x:c r="F380" s="4" t="str"/>
      <x:c r="G380" s="4" t="str">
        <x:v>本轮独立来源库保留该已知条款，但尚未建立可核验的正式场景映射；不是无业务依据，也不转为产品待确认。</x:v>
      </x:c>
    </x:row>
    <x:row r="381" ht="44" customHeight="1">
      <x:c r="A381" s="4" t="str">
        <x:v>REQ-189ac7da1d4d</x:v>
      </x:c>
      <x:c r="B381" s="4" t="str">
        <x:v>礼物与道具</x:v>
      </x:c>
      <x:c r="C381" s="4" t="n">
        <x:v>2738</x:v>
      </x:c>
      <x:c r="D381" s="4" t="str">
        <x:v>状态：上架、下架；普通礼物由平台手动切换。</x:v>
      </x:c>
      <x:c r="E381" s="4" t="str">
        <x:v>整段分支核验未闭合</x:v>
      </x:c>
      <x:c r="F381" s="4" t="str">
        <x:v>ADMIN-0234</x:v>
      </x:c>
      <x:c r="G381" s="4" t="str">
        <x:v>本段剩余子句、条件组合及状态后续影响仍需与独立规则逐项闭合；这是生成覆盖缺口，不是产品决策缺失。</x:v>
      </x:c>
    </x:row>
    <x:row r="382" ht="44" customHeight="1">
      <x:c r="A382" s="4" t="str">
        <x:v>REQ-99419df45f58</x:v>
      </x:c>
      <x:c r="B382" s="4" t="str">
        <x:v>礼物与道具</x:v>
      </x:c>
      <x:c r="C382" s="4" t="n">
        <x:v>2739</x:v>
      </x:c>
      <x:c r="D382" s="4" t="str">
        <x:v>主播收益 = 成功赠送实际消费金币；下架只阻止新赠送，历史消费和收益保留。</x:v>
      </x:c>
      <x:c r="E382" s="4" t="str">
        <x:v>整段分支核验未闭合</x:v>
      </x:c>
      <x:c r="F382" s="4" t="str">
        <x:v>ADMIN-0234、ADMIN-0495</x:v>
      </x:c>
      <x:c r="G382" s="4" t="str">
        <x:v>本段剩余子句、条件组合及状态后续影响仍需与独立规则逐项闭合；这是生成覆盖缺口，不是产品决策缺失。</x:v>
      </x:c>
    </x:row>
    <x:row r="383" ht="44" customHeight="1">
      <x:c r="A383" s="4" t="str">
        <x:v>REQ-0cee62d27d9a</x:v>
      </x:c>
      <x:c r="B383" s="4" t="str">
        <x:v>礼物与道具</x:v>
      </x:c>
      <x:c r="C383" s="4" t="n">
        <x:v>2740</x:v>
      </x:c>
      <x:c r="D383" s="4" t="str">
        <x:v>保存 -&gt; 校验必填、ID 和价格 -&gt; 更新列表；上下架或删除 -&gt; 确认后执行。</x:v>
      </x:c>
      <x:c r="E383" s="4" t="str">
        <x:v>整段分支核验未闭合</x:v>
      </x:c>
      <x:c r="F383" s="4" t="str">
        <x:v>ADMIN-0234</x:v>
      </x:c>
      <x:c r="G383" s="4" t="str">
        <x:v>本段剩余子句、条件组合及状态后续影响仍需与独立规则逐项闭合；这是生成覆盖缺口，不是产品决策缺失。</x:v>
      </x:c>
    </x:row>
    <x:row r="384" ht="44" customHeight="1">
      <x:c r="A384" s="4" t="str">
        <x:v>REQ-e52d9858f0ee</x:v>
      </x:c>
      <x:c r="B384" s="4" t="str">
        <x:v>礼物与道具</x:v>
      </x:c>
      <x:c r="C384" s="4" t="n">
        <x:v>2745</x:v>
      </x:c>
      <x:c r="D384" s="4" t="str">
        <x:v>礼物 ID：新建时唯一，编辑时只读。</x:v>
      </x:c>
      <x:c r="E384" s="4" t="str">
        <x:v>整段分支核验未闭合</x:v>
      </x:c>
      <x:c r="F384" s="4" t="str">
        <x:v>ADMIN-0024、ADMIN-0025、ADMIN-0422</x:v>
      </x:c>
      <x:c r="G384" s="4" t="str">
        <x:v>本段剩余子句、条件组合及状态后续影响仍需与独立规则逐项闭合；这是生成覆盖缺口，不是产品决策缺失。</x:v>
      </x:c>
    </x:row>
    <x:row r="385" ht="44" customHeight="1">
      <x:c r="A385" s="4" t="str">
        <x:v>REQ-8da0d37a183a</x:v>
      </x:c>
      <x:c r="B385" s="4" t="str">
        <x:v>礼物与道具</x:v>
      </x:c>
      <x:c r="C385" s="4" t="n">
        <x:v>2746</x:v>
      </x:c>
      <x:c r="D385" s="4" t="str">
        <x:v>四语名称：四项均必填，按客户端语言展示。</x:v>
      </x:c>
      <x:c r="E385" s="4" t="str">
        <x:v>整段分支核验未闭合</x:v>
      </x:c>
      <x:c r="F385" s="4" t="str">
        <x:v>ADMIN-0015、ADMIN-0016、ADMIN-0017、ADMIN-0018</x:v>
      </x:c>
      <x:c r="G385" s="4" t="str">
        <x:v>本段剩余子句、条件组合及状态后续影响仍需与独立规则逐项闭合；这是生成覆盖缺口，不是产品决策缺失。</x:v>
      </x:c>
    </x:row>
    <x:row r="386" ht="44" customHeight="1">
      <x:c r="A386" s="4" t="str">
        <x:v>REQ-8af979e2ac65</x:v>
      </x:c>
      <x:c r="B386" s="4" t="str">
        <x:v>礼物与道具</x:v>
      </x:c>
      <x:c r="C386" s="4" t="n">
        <x:v>2747</x:v>
      </x:c>
      <x:c r="D386" s="4" t="str">
        <x:v>图标 / 特效：图标必填；删除素材后保存前须重新上传必填资源。</x:v>
      </x:c>
      <x:c r="E386" s="4" t="str">
        <x:v>整段分支核验未闭合</x:v>
      </x:c>
      <x:c r="F386" s="4" t="str">
        <x:v>ADMIN-0019</x:v>
      </x:c>
      <x:c r="G386" s="4" t="str">
        <x:v>本段剩余子句、条件组合及状态后续影响仍需与独立规则逐项闭合；这是生成覆盖缺口，不是产品决策缺失。</x:v>
      </x:c>
    </x:row>
    <x:row r="387" ht="44" customHeight="1">
      <x:c r="A387" s="4" t="str">
        <x:v>REQ-f8be2dc459e3</x:v>
      </x:c>
      <x:c r="B387" s="4" t="str">
        <x:v>礼物与道具</x:v>
      </x:c>
      <x:c r="C387" s="4" t="n">
        <x:v>2748</x:v>
      </x:c>
      <x:c r="D387" s="4" t="str">
        <x:v>单价：正整数金币。</x:v>
      </x:c>
      <x:c r="E387" s="4" t="str">
        <x:v>整段分支核验未闭合</x:v>
      </x:c>
      <x:c r="F387" s="4" t="str">
        <x:v>ADMIN-0020、ADMIN-0021、ADMIN-0022、ADMIN-0023</x:v>
      </x:c>
      <x:c r="G387" s="4" t="str">
        <x:v>本段剩余子句、条件组合及状态后续影响仍需与独立规则逐项闭合；这是生成覆盖缺口，不是产品决策缺失。</x:v>
      </x:c>
    </x:row>
    <x:row r="388" ht="44" customHeight="1">
      <x:c r="A388" s="4" t="str">
        <x:v>REQ-78f436fbafe6</x:v>
      </x:c>
      <x:c r="B388" s="4" t="str">
        <x:v>礼物与道具</x:v>
      </x:c>
      <x:c r="C388" s="4" t="n">
        <x:v>2749</x:v>
      </x:c>
      <x:c r="D388" s="4" t="str">
        <x:v>排序权重：整数，数值越大越靠前。</x:v>
      </x:c>
      <x:c r="E388" s="4" t="str">
        <x:v>尚未建立场景映射</x:v>
      </x:c>
      <x:c r="F388" s="4" t="str"/>
      <x:c r="G388" s="4" t="str">
        <x:v>本轮独立来源库保留该已知条款，但尚未建立可核验的正式场景映射；不是无业务依据，也不转为产品待确认。</x:v>
      </x:c>
    </x:row>
    <x:row r="389" ht="44" customHeight="1">
      <x:c r="A389" s="4" t="str">
        <x:v>REQ-a8defc4da5d5</x:v>
      </x:c>
      <x:c r="B389" s="4" t="str">
        <x:v>礼物与道具</x:v>
      </x:c>
      <x:c r="C389" s="4" t="n">
        <x:v>2750</x:v>
      </x:c>
      <x:c r="D389" s="4" t="str">
        <x:v>生效时间：仅定制礼物必填，失效时间晚于生效时间。</x:v>
      </x:c>
      <x:c r="E389" s="4" t="str">
        <x:v>尚未建立场景映射</x:v>
      </x:c>
      <x:c r="F389" s="4" t="str"/>
      <x:c r="G389" s="4" t="str">
        <x:v>本轮独立来源库保留该已知条款，但尚未建立可核验的正式场景映射；不是无业务依据，也不转为产品待确认。</x:v>
      </x:c>
    </x:row>
    <x:row r="390" ht="44" customHeight="1">
      <x:c r="A390" s="4" t="str">
        <x:v>REQ-18f968fd1a24</x:v>
      </x:c>
      <x:c r="B390" s="4" t="str">
        <x:v>礼物与道具</x:v>
      </x:c>
      <x:c r="C390" s="4" t="n">
        <x:v>2751</x:v>
      </x:c>
      <x:c r="D390" s="4" t="str">
        <x:v>操作记录：保存操作类型、说明、操作人和时间。</x:v>
      </x:c>
      <x:c r="E390" s="4" t="str">
        <x:v>整段分支核验未闭合</x:v>
      </x:c>
      <x:c r="F390" s="4" t="str">
        <x:v>ADMIN-0423</x:v>
      </x:c>
      <x:c r="G390" s="4" t="str">
        <x:v>本段剩余子句、条件组合及状态后续影响仍需与独立规则逐项闭合；这是生成覆盖缺口，不是产品决策缺失。</x:v>
      </x:c>
    </x:row>
    <x:row r="391" ht="44" customHeight="1">
      <x:c r="A391" s="4" t="str">
        <x:v>REQ-41fca93a8bab</x:v>
      </x:c>
      <x:c r="B391" s="4" t="str">
        <x:v>礼物与道具</x:v>
      </x:c>
      <x:c r="C391" s="4" t="n">
        <x:v>2752</x:v>
      </x:c>
      <x:c r="D391" s="4" t="str">
        <x:v>定制礼物到时自动生效和失效，可提前下架；普通、定制收益均按实际消费金币 1:1 计入。</x:v>
      </x:c>
      <x:c r="E391" s="4" t="str">
        <x:v>尚未建立场景映射</x:v>
      </x:c>
      <x:c r="F391" s="4" t="str"/>
      <x:c r="G391" s="4" t="str">
        <x:v>本轮独立来源库保留该已知条款，但尚未建立可核验的正式场景映射；不是无业务依据，也不转为产品待确认。</x:v>
      </x:c>
    </x:row>
    <x:row r="392" ht="44" customHeight="1">
      <x:c r="A392" s="4" t="str">
        <x:v>REQ-4b0c27781a7e</x:v>
      </x:c>
      <x:c r="B392" s="4" t="str">
        <x:v>礼物与道具</x:v>
      </x:c>
      <x:c r="C392" s="4" t="n">
        <x:v>2753</x:v>
      </x:c>
      <x:c r="D392" s="4" t="str">
        <x:v>保存 -&gt; 校验字段和时间 -&gt; 留在当前详情；删除 -&gt; 确认后返回列表。</x:v>
      </x:c>
      <x:c r="E392" s="4" t="str">
        <x:v>尚未建立场景映射</x:v>
      </x:c>
      <x:c r="F392" s="4" t="str"/>
      <x:c r="G392" s="4" t="str">
        <x:v>本轮独立来源库保留该已知条款，但尚未建立可核验的正式场景映射；不是无业务依据，也不转为产品待确认。</x:v>
      </x:c>
    </x:row>
    <x:row r="393" ht="44" customHeight="1">
      <x:c r="A393" s="4" t="str">
        <x:v>REQ-b7d14b41a048</x:v>
      </x:c>
      <x:c r="B393" s="4" t="str">
        <x:v>礼物与道具</x:v>
      </x:c>
      <x:c r="C393" s="4" t="n">
        <x:v>2758</x:v>
      </x:c>
      <x:c r="D393" s="4" t="str">
        <x:v>名称 / 单价 / 资源 / 排序：与礼物详情同口径。</x:v>
      </x:c>
      <x:c r="E393" s="4" t="str">
        <x:v>整段分支核验未闭合</x:v>
      </x:c>
      <x:c r="F393" s="4" t="str">
        <x:v>ADMIN-0424</x:v>
      </x:c>
      <x:c r="G393" s="4" t="str">
        <x:v>本段剩余子句、条件组合及状态后续影响仍需与独立规则逐项闭合；这是生成覆盖缺口，不是产品决策缺失。</x:v>
      </x:c>
    </x:row>
    <x:row r="394" ht="44" customHeight="1">
      <x:c r="A394" s="4" t="str">
        <x:v>REQ-8195acc4e3f3</x:v>
      </x:c>
      <x:c r="B394" s="4" t="str">
        <x:v>礼物与道具</x:v>
      </x:c>
      <x:c r="C394" s="4" t="n">
        <x:v>2759</x:v>
      </x:c>
      <x:c r="D394" s="4" t="str">
        <x:v>生效 / 失效时间：均必填，失效晚于生效；状态按当前时间计算。</x:v>
      </x:c>
      <x:c r="E394" s="4" t="str">
        <x:v>整段分支核验未闭合</x:v>
      </x:c>
      <x:c r="F394" s="4" t="str">
        <x:v>ADMIN-0369、ADMIN-0370、ADMIN-0371</x:v>
      </x:c>
      <x:c r="G394" s="4" t="str">
        <x:v>本段剩余子句、条件组合及状态后续影响仍需与独立规则逐项闭合；这是生成覆盖缺口，不是产品决策缺失。</x:v>
      </x:c>
    </x:row>
    <x:row r="395" ht="44" customHeight="1">
      <x:c r="A395" s="4" t="str">
        <x:v>REQ-b51fad04bcba</x:v>
      </x:c>
      <x:c r="B395" s="4" t="str">
        <x:v>礼物与道具</x:v>
      </x:c>
      <x:c r="C395" s="4" t="n">
        <x:v>2760</x:v>
      </x:c>
      <x:c r="D395" s="4" t="str">
        <x:v>上下架状态：未生效、上架中、已下架；提前下架覆盖自动排期。</x:v>
      </x:c>
      <x:c r="E395" s="4" t="str">
        <x:v>整段分支核验未闭合</x:v>
      </x:c>
      <x:c r="F395" s="4" t="str">
        <x:v>ADMIN-0369、ADMIN-0370、ADMIN-0371</x:v>
      </x:c>
      <x:c r="G395" s="4" t="str">
        <x:v>本段剩余子句、条件组合及状态后续影响仍需与独立规则逐项闭合；这是生成覆盖缺口，不是产品决策缺失。</x:v>
      </x:c>
    </x:row>
    <x:row r="396" ht="44" customHeight="1">
      <x:c r="A396" s="4" t="str">
        <x:v>REQ-562867635933</x:v>
      </x:c>
      <x:c r="B396" s="4" t="str">
        <x:v>礼物与道具</x:v>
      </x:c>
      <x:c r="C396" s="4" t="n">
        <x:v>2761</x:v>
      </x:c>
      <x:c r="D396" s="4" t="str">
        <x:v>到生效时间自动上架，到失效时间自动下架；下架不改历史赠送快照。</x:v>
      </x:c>
      <x:c r="E396" s="4" t="str">
        <x:v>整段分支核验未闭合</x:v>
      </x:c>
      <x:c r="F396" s="4" t="str">
        <x:v>ADMIN-0369、ADMIN-0370、ADMIN-0371、ADMIN-0496</x:v>
      </x:c>
      <x:c r="G396" s="4" t="str">
        <x:v>本段剩余子句、条件组合及状态后续影响仍需与独立规则逐项闭合；这是生成覆盖缺口，不是产品决策缺失。</x:v>
      </x:c>
    </x:row>
    <x:row r="397" ht="44" customHeight="1">
      <x:c r="A397" s="4" t="str">
        <x:v>REQ-f76e2fa7c445</x:v>
      </x:c>
      <x:c r="B397" s="4" t="str">
        <x:v>礼物与道具</x:v>
      </x:c>
      <x:c r="C397" s="4" t="n">
        <x:v>2762</x:v>
      </x:c>
      <x:c r="D397" s="4" t="str">
        <x:v>新增或编辑 -&gt; 礼物详情；提前下架 -&gt; 确认后停止新赠送。</x:v>
      </x:c>
      <x:c r="E397" s="4" t="str">
        <x:v>尚未建立场景映射</x:v>
      </x:c>
      <x:c r="F397" s="4" t="str"/>
      <x:c r="G397" s="4" t="str">
        <x:v>本轮独立来源库保留该已知条款，但尚未建立可核验的正式场景映射；不是无业务依据，也不转为产品待确认。</x:v>
      </x:c>
    </x:row>
    <x:row r="398" ht="44" customHeight="1">
      <x:c r="A398" s="4" t="str">
        <x:v>REQ-a1f4600567d4</x:v>
      </x:c>
      <x:c r="B398" s="4" t="str">
        <x:v>礼物与道具</x:v>
      </x:c>
      <x:c r="C398" s="4" t="n">
        <x:v>2767</x:v>
      </x:c>
      <x:c r="D398" s="4" t="str">
        <x:v>幸运礼物收益比例：全部幸运礼物共用；默认 1%，可配置 0% 至 100%。</x:v>
      </x:c>
      <x:c r="E398" s="4" t="str">
        <x:v>尚未建立场景映射</x:v>
      </x:c>
      <x:c r="F398" s="4" t="str"/>
      <x:c r="G398" s="4" t="str">
        <x:v>本轮独立来源库保留该已知条款，但尚未建立可核验的正式场景映射；不是无业务依据，也不转为产品待确认。</x:v>
      </x:c>
    </x:row>
    <x:row r="399" ht="44" customHeight="1">
      <x:c r="A399" s="4" t="str">
        <x:v>REQ-0e3147065f87</x:v>
      </x:c>
      <x:c r="B399" s="4" t="str">
        <x:v>礼物与道具</x:v>
      </x:c>
      <x:c r="C399" s="4" t="n">
        <x:v>2768</x:v>
      </x:c>
      <x:c r="D399" s="4" t="str">
        <x:v>单次消耗：每次独立开奖先扣减的正整数金币。</x:v>
      </x:c>
      <x:c r="E399" s="4" t="str">
        <x:v>尚未建立场景映射</x:v>
      </x:c>
      <x:c r="F399" s="4" t="str"/>
      <x:c r="G399" s="4" t="str">
        <x:v>本轮独立来源库保留该已知条款，但尚未建立可核验的正式场景映射；不是无业务依据，也不转为产品待确认。</x:v>
      </x:c>
    </x:row>
    <x:row r="400" ht="44" customHeight="1">
      <x:c r="A400" s="4" t="str">
        <x:v>REQ-ac29cd501d5d</x:v>
      </x:c>
      <x:c r="B400" s="4" t="str">
        <x:v>礼物与道具</x:v>
      </x:c>
      <x:c r="C400" s="4" t="n">
        <x:v>2769</x:v>
      </x:c>
      <x:c r="D400" s="4" t="str">
        <x:v>开奖次数：单笔礼物包含的独立开奖次数，正整数。</x:v>
      </x:c>
      <x:c r="E400" s="4" t="str">
        <x:v>尚未建立场景映射</x:v>
      </x:c>
      <x:c r="F400" s="4" t="str"/>
      <x:c r="G400" s="4" t="str">
        <x:v>本轮独立来源库保留该已知条款，但尚未建立可核验的正式场景映射；不是无业务依据，也不转为产品待确认。</x:v>
      </x:c>
    </x:row>
    <x:row r="401" ht="44" customHeight="1">
      <x:c r="A401" s="4" t="str">
        <x:v>REQ-19eb5bab39f9</x:v>
      </x:c>
      <x:c r="B401" s="4" t="str">
        <x:v>礼物与道具</x:v>
      </x:c>
      <x:c r="C401" s="4" t="n">
        <x:v>2770</x:v>
      </x:c>
      <x:c r="D401" s="4" t="str">
        <x:v>单价：单次消耗 × 开奖次数。</x:v>
      </x:c>
      <x:c r="E401" s="4" t="str">
        <x:v>整段分支核验未闭合</x:v>
      </x:c>
      <x:c r="F401" s="4" t="str">
        <x:v>ADMIN-0583</x:v>
      </x:c>
      <x:c r="G401" s="4" t="str">
        <x:v>本段剩余子句、条件组合及状态后续影响仍需与独立规则逐项闭合；这是生成覆盖缺口，不是产品决策缺失。</x:v>
      </x:c>
    </x:row>
    <x:row r="402" ht="44" customHeight="1">
      <x:c r="A402" s="4" t="str">
        <x:v>REQ-2e71a002220d</x:v>
      </x:c>
      <x:c r="B402" s="4" t="str">
        <x:v>礼物与道具</x:v>
      </x:c>
      <x:c r="C402" s="4" t="n">
        <x:v>2771</x:v>
      </x:c>
      <x:c r="D402" s="4" t="str">
        <x:v>RTP：Σ（奖励金币 × 中奖概率）/ 单次消耗 × 100%；按概率配置实时计算，结果超过一位小数时向上取整至一位小数。</x:v>
      </x:c>
      <x:c r="E402" s="4" t="str">
        <x:v>整段分支核验未闭合</x:v>
      </x:c>
      <x:c r="F402" s="4" t="str">
        <x:v>ADMIN-0364、ADMIN-0365、ADMIN-0366</x:v>
      </x:c>
      <x:c r="G402" s="4" t="str">
        <x:v>本段剩余子句、条件组合及状态后续影响仍需与独立规则逐项闭合；这是生成覆盖缺口，不是产品决策缺失。</x:v>
      </x:c>
    </x:row>
    <x:row r="403" ht="44" customHeight="1">
      <x:c r="A403" s="4" t="str">
        <x:v>REQ-c7c564532fc4</x:v>
      </x:c>
      <x:c r="B403" s="4" t="str">
        <x:v>礼物与道具</x:v>
      </x:c>
      <x:c r="C403" s="4" t="n">
        <x:v>2772</x:v>
      </x:c>
      <x:c r="D403" s="4" t="str">
        <x:v>状态：单礼物上下架；功能总开关关闭时全部幸运礼物不可见。</x:v>
      </x:c>
      <x:c r="E403" s="4" t="str">
        <x:v>尚未建立场景映射</x:v>
      </x:c>
      <x:c r="F403" s="4" t="str"/>
      <x:c r="G403" s="4" t="str">
        <x:v>本轮独立来源库保留该已知条款，但尚未建立可核验的正式场景映射；不是无业务依据，也不转为产品待确认。</x:v>
      </x:c>
    </x:row>
    <x:row r="404" ht="44" customHeight="1">
      <x:c r="A404" s="4" t="str">
        <x:v>REQ-6c4bfec0c6b8</x:v>
      </x:c>
      <x:c r="B404" s="4" t="str">
        <x:v>礼物与道具</x:v>
      </x:c>
      <x:c r="C404" s="4" t="n">
        <x:v>2773</x:v>
      </x:c>
      <x:c r="D404" s="4" t="str">
        <x:v>每次开奖独立；单次期望返还 = Σ（奖励金币 × 中奖概率），用户实际消费 = 礼物价值 - 实际返还。</x:v>
      </x:c>
      <x:c r="E404" s="4" t="str">
        <x:v>整段分支核验未闭合</x:v>
      </x:c>
      <x:c r="F404" s="4" t="str">
        <x:v>ADMIN-0364、ADMIN-0365、ADMIN-0366</x:v>
      </x:c>
      <x:c r="G404" s="4" t="str">
        <x:v>本段剩余子句、条件组合及状态后续影响仍需与独立规则逐项闭合；这是生成覆盖缺口，不是产品决策缺失。</x:v>
      </x:c>
    </x:row>
    <x:row r="405" ht="44" customHeight="1">
      <x:c r="A405" s="4" t="str">
        <x:v>REQ-5944c3ac1eb9</x:v>
      </x:c>
      <x:c r="B405" s="4" t="str">
        <x:v>礼物与道具</x:v>
      </x:c>
      <x:c r="C405" s="4" t="n">
        <x:v>2774</x:v>
      </x:c>
      <x:c r="D405" s="4" t="str">
        <x:v>返还金币进入用户余额；主播收益 = 幸运礼物价值 × 赠送时收益比例，默认 1%，返还结果不影响主播收益。</x:v>
      </x:c>
      <x:c r="E405" s="4" t="str">
        <x:v>整段分支核验未闭合</x:v>
      </x:c>
      <x:c r="F405" s="4" t="str">
        <x:v>ADMIN-0364、ADMIN-0365、ADMIN-0366</x:v>
      </x:c>
      <x:c r="G405" s="4" t="str">
        <x:v>本段剩余子句、条件组合及状态后续影响仍需与独立规则逐项闭合；这是生成覆盖缺口，不是产品决策缺失。</x:v>
      </x:c>
    </x:row>
    <x:row r="406" ht="44" customHeight="1">
      <x:c r="A406" s="4" t="str">
        <x:v>REQ-274973e3fdbe</x:v>
      </x:c>
      <x:c r="B406" s="4" t="str">
        <x:v>礼物与道具</x:v>
      </x:c>
      <x:c r="C406" s="4" t="n">
        <x:v>2775</x:v>
      </x:c>
      <x:c r="D406" s="4" t="str">
        <x:v>收益记录保存赠送时的比例快照，修改比例不重算历史收益。</x:v>
      </x:c>
      <x:c r="E406" s="4" t="str">
        <x:v>整段分支核验未闭合</x:v>
      </x:c>
      <x:c r="F406" s="4" t="str">
        <x:v>ADMIN-0497</x:v>
      </x:c>
      <x:c r="G406" s="4" t="str">
        <x:v>本段剩余子句、条件组合及状态后续影响仍需与独立规则逐项闭合；这是生成覆盖缺口，不是产品决策缺失。</x:v>
      </x:c>
    </x:row>
    <x:row r="407" ht="44" customHeight="1">
      <x:c r="A407" s="4" t="str">
        <x:v>REQ-dddfd85c2847</x:v>
      </x:c>
      <x:c r="B407" s="4" t="str">
        <x:v>礼物与道具</x:v>
      </x:c>
      <x:c r="C407" s="4" t="n">
        <x:v>2776</x:v>
      </x:c>
      <x:c r="D407" s="4" t="str">
        <x:v>下架不影响已完成开奖、消费和结算记录。</x:v>
      </x:c>
      <x:c r="E407" s="4" t="str">
        <x:v>整段分支核验未闭合</x:v>
      </x:c>
      <x:c r="F407" s="4" t="str">
        <x:v>ADMIN-0497</x:v>
      </x:c>
      <x:c r="G407" s="4" t="str">
        <x:v>本段剩余子句、条件组合及状态后续影响仍需与独立规则逐项闭合；这是生成覆盖缺口，不是产品决策缺失。</x:v>
      </x:c>
    </x:row>
    <x:row r="408" ht="44" customHeight="1">
      <x:c r="A408" s="4" t="str">
        <x:v>REQ-a1b754aa5dd9</x:v>
      </x:c>
      <x:c r="B408" s="4" t="str">
        <x:v>礼物与道具</x:v>
      </x:c>
      <x:c r="C408" s="4" t="n">
        <x:v>2777</x:v>
      </x:c>
      <x:c r="D408" s="4" t="str">
        <x:v>点击编辑 -&gt; 比例可输入、按钮变为保存；保存 -&gt; 校验 0% 至 100% -&gt; 对保存后的新赠送生效。</x:v>
      </x:c>
      <x:c r="E408" s="4" t="str">
        <x:v>尚未建立场景映射</x:v>
      </x:c>
      <x:c r="F408" s="4" t="str"/>
      <x:c r="G408" s="4" t="str">
        <x:v>本轮独立来源库保留该已知条款，但尚未建立可核验的正式场景映射；不是无业务依据，也不转为产品待确认。</x:v>
      </x:c>
    </x:row>
    <x:row r="409" ht="44" customHeight="1">
      <x:c r="A409" s="4" t="str">
        <x:v>REQ-6acdc4af1dee</x:v>
      </x:c>
      <x:c r="B409" s="4" t="str">
        <x:v>礼物与道具</x:v>
      </x:c>
      <x:c r="C409" s="4" t="n">
        <x:v>2778</x:v>
      </x:c>
      <x:c r="D409" s="4" t="str">
        <x:v>礼物编辑 -&gt; 进入配置详情；上下架或删除 -&gt; 确认后执行。</x:v>
      </x:c>
      <x:c r="E409" s="4" t="str">
        <x:v>尚未建立场景映射</x:v>
      </x:c>
      <x:c r="F409" s="4" t="str"/>
      <x:c r="G409" s="4" t="str">
        <x:v>本轮独立来源库保留该已知条款，但尚未建立可核验的正式场景映射；不是无业务依据，也不转为产品待确认。</x:v>
      </x:c>
    </x:row>
    <x:row r="410" ht="57" customHeight="1">
      <x:c r="A410" s="4" t="str">
        <x:v>REQ-b86c882650ec</x:v>
      </x:c>
      <x:c r="B410" s="4" t="str">
        <x:v>礼物与道具</x:v>
      </x:c>
      <x:c r="C410" s="4" t="n">
        <x:v>2783</x:v>
      </x:c>
      <x:c r="D410" s="4" t="str">
        <x:v>礼物 ID / 四语名称 / 资源：ID 唯一；四语和图标必填。</x:v>
      </x:c>
      <x:c r="E410" s="4" t="str">
        <x:v>整段分支核验未闭合</x:v>
      </x:c>
      <x:c r="F410" s="4" t="str">
        <x:v>ADMIN-0026、ADMIN-0027、ADMIN-0028、ADMIN-0029、ADMIN-0030、ADMIN-0039、ADMIN-0040</x:v>
      </x:c>
      <x:c r="G410" s="4" t="str">
        <x:v>本段剩余子句、条件组合及状态后续影响仍需与独立规则逐项闭合；这是生成覆盖缺口，不是产品决策缺失。</x:v>
      </x:c>
    </x:row>
    <x:row r="411" ht="44" customHeight="1">
      <x:c r="A411" s="4" t="str">
        <x:v>REQ-c7aee56192e1</x:v>
      </x:c>
      <x:c r="B411" s="4" t="str">
        <x:v>礼物与道具</x:v>
      </x:c>
      <x:c r="C411" s="4" t="n">
        <x:v>2784</x:v>
      </x:c>
      <x:c r="D411" s="4" t="str">
        <x:v>单次消耗：每次开奖消耗的正整数金币。</x:v>
      </x:c>
      <x:c r="E411" s="4" t="str">
        <x:v>整段分支核验未闭合</x:v>
      </x:c>
      <x:c r="F411" s="4" t="str">
        <x:v>ADMIN-0031、ADMIN-0032、ADMIN-0033、ADMIN-0034</x:v>
      </x:c>
      <x:c r="G411" s="4" t="str">
        <x:v>本段剩余子句、条件组合及状态后续影响仍需与独立规则逐项闭合；这是生成覆盖缺口，不是产品决策缺失。</x:v>
      </x:c>
    </x:row>
    <x:row r="412" ht="44" customHeight="1">
      <x:c r="A412" s="4" t="str">
        <x:v>REQ-5c817820e007</x:v>
      </x:c>
      <x:c r="B412" s="4" t="str">
        <x:v>礼物与道具</x:v>
      </x:c>
      <x:c r="C412" s="4" t="n">
        <x:v>2785</x:v>
      </x:c>
      <x:c r="D412" s="4" t="str">
        <x:v>开奖次数：正整数；礼物单价 = 单次消耗 × 开奖次数。</x:v>
      </x:c>
      <x:c r="E412" s="4" t="str">
        <x:v>整段分支核验未闭合</x:v>
      </x:c>
      <x:c r="F412" s="4" t="str">
        <x:v>ADMIN-0035、ADMIN-0036、ADMIN-0037、ADMIN-0038、ADMIN-0367</x:v>
      </x:c>
      <x:c r="G412" s="4" t="str">
        <x:v>本段剩余子句、条件组合及状态后续影响仍需与独立规则逐项闭合；这是生成覆盖缺口，不是产品决策缺失。</x:v>
      </x:c>
    </x:row>
    <x:row r="413" ht="44" customHeight="1">
      <x:c r="A413" s="4" t="str">
        <x:v>REQ-5e443ac8ff7a</x:v>
      </x:c>
      <x:c r="B413" s="4" t="str">
        <x:v>礼物与道具</x:v>
      </x:c>
      <x:c r="C413" s="4" t="n">
        <x:v>2786</x:v>
      </x:c>
      <x:c r="D413" s="4" t="str">
        <x:v>奖励金币：每档非负整数，可为 0；档位不可重复。</x:v>
      </x:c>
      <x:c r="E413" s="4" t="str">
        <x:v>整段分支核验未闭合</x:v>
      </x:c>
      <x:c r="F413" s="4" t="str">
        <x:v>ADMIN-0121、ADMIN-0122、ADMIN-0123、ADMIN-0124</x:v>
      </x:c>
      <x:c r="G413" s="4" t="str">
        <x:v>本段剩余子句、条件组合及状态后续影响仍需与独立规则逐项闭合；这是生成覆盖缺口，不是产品决策缺失。</x:v>
      </x:c>
    </x:row>
    <x:row r="414" ht="57" customHeight="1">
      <x:c r="A414" s="4" t="str">
        <x:v>REQ-995a67b76ab0</x:v>
      </x:c>
      <x:c r="B414" s="4" t="str">
        <x:v>礼物与道具</x:v>
      </x:c>
      <x:c r="C414" s="4" t="n">
        <x:v>2787</x:v>
      </x:c>
      <x:c r="D414" s="4" t="str">
        <x:v>中奖概率：每档 0% 至 100%，全部档位合计必须等于 100%。</x:v>
      </x:c>
      <x:c r="E414" s="4" t="str">
        <x:v>整段分支核验未闭合</x:v>
      </x:c>
      <x:c r="F414" s="4" t="str">
        <x:v>ADMIN-0118、ADMIN-0119、ADMIN-0120、ADMIN-0121、ADMIN-0122、ADMIN-0123、ADMIN-0124</x:v>
      </x:c>
      <x:c r="G414" s="4" t="str">
        <x:v>本段剩余子句、条件组合及状态后续影响仍需与独立规则逐项闭合；这是生成覆盖缺口，不是产品决策缺失。</x:v>
      </x:c>
    </x:row>
    <x:row r="415" ht="57" customHeight="1">
      <x:c r="A415" s="4" t="str">
        <x:v>REQ-20e987021be3</x:v>
      </x:c>
      <x:c r="B415" s="4" t="str">
        <x:v>礼物与道具</x:v>
      </x:c>
      <x:c r="C415" s="4" t="n">
        <x:v>2788</x:v>
      </x:c>
      <x:c r="D415" s="4" t="str">
        <x:v>RTP：Σ（奖励金币 × 概率）/ 单次消耗 × 100%；结果超过一位小数时向上取整至一位小数，保存前自动校验。</x:v>
      </x:c>
      <x:c r="E415" s="4" t="str">
        <x:v>整段分支核验未闭合</x:v>
      </x:c>
      <x:c r="F415" s="4" t="str">
        <x:v>ADMIN-0118、ADMIN-0119、ADMIN-0120、ADMIN-0121、ADMIN-0122、ADMIN-0123、ADMIN-0124、ADMIN-0368</x:v>
      </x:c>
      <x:c r="G415" s="4" t="str">
        <x:v>本段剩余子句、条件组合及状态后续影响仍需与独立规则逐项闭合；这是生成覆盖缺口，不是产品决策缺失。</x:v>
      </x:c>
    </x:row>
    <x:row r="416" ht="44" customHeight="1">
      <x:c r="A416" s="4" t="str">
        <x:v>REQ-5ed2d2277aab</x:v>
      </x:c>
      <x:c r="B416" s="4" t="str">
        <x:v>礼物与道具</x:v>
      </x:c>
      <x:c r="C416" s="4" t="n">
        <x:v>2789</x:v>
      </x:c>
      <x:c r="D416" s="4" t="str">
        <x:v>用户实际消费 = 礼物价值 - 实际返还；该值用于用户资产核对，不作为当前主播收益公式。</x:v>
      </x:c>
      <x:c r="E416" s="4" t="str">
        <x:v>尚未建立场景映射</x:v>
      </x:c>
      <x:c r="F416" s="4" t="str"/>
      <x:c r="G416" s="4" t="str">
        <x:v>本轮独立来源库保留该已知条款，但尚未建立可核验的正式场景映射；不是无业务依据，也不转为产品待确认。</x:v>
      </x:c>
    </x:row>
    <x:row r="417" ht="44" customHeight="1">
      <x:c r="A417" s="4" t="str">
        <x:v>REQ-eeec75df0cb2</x:v>
      </x:c>
      <x:c r="B417" s="4" t="str">
        <x:v>礼物与道具</x:v>
      </x:c>
      <x:c r="C417" s="4" t="n">
        <x:v>2790</x:v>
      </x:c>
      <x:c r="D417" s="4" t="str">
        <x:v>主播收益使用幸运礼物列表页的全局比例，返奖不影响收益。</x:v>
      </x:c>
      <x:c r="E417" s="4" t="str">
        <x:v>尚未建立场景映射</x:v>
      </x:c>
      <x:c r="F417" s="4" t="str"/>
      <x:c r="G417" s="4" t="str">
        <x:v>本轮独立来源库保留该已知条款，但尚未建立可核验的正式场景映射；不是无业务依据，也不转为产品待确认。</x:v>
      </x:c>
    </x:row>
    <x:row r="418" ht="44" customHeight="1">
      <x:c r="A418" s="4" t="str">
        <x:v>REQ-ec77660b0bd0</x:v>
      </x:c>
      <x:c r="B418" s="4" t="str">
        <x:v>礼物与道具</x:v>
      </x:c>
      <x:c r="C418" s="4" t="n">
        <x:v>2791</x:v>
      </x:c>
      <x:c r="D418" s="4" t="str">
        <x:v>概率合计非 100% 或 RTP 未验证时不得生效。</x:v>
      </x:c>
      <x:c r="E418" s="4" t="str">
        <x:v>整段分支核验未闭合</x:v>
      </x:c>
      <x:c r="F418" s="4" t="str">
        <x:v>ADMIN-0118、ADMIN-0119、ADMIN-0120、ADMIN-0368</x:v>
      </x:c>
      <x:c r="G418" s="4" t="str">
        <x:v>本段剩余子句、条件组合及状态后续影响仍需与独立规则逐项闭合；这是生成覆盖缺口，不是产品决策缺失。</x:v>
      </x:c>
    </x:row>
    <x:row r="419" ht="57" customHeight="1">
      <x:c r="A419" s="4" t="str">
        <x:v>REQ-12dcff94a116</x:v>
      </x:c>
      <x:c r="B419" s="4" t="str">
        <x:v>礼物与道具</x:v>
      </x:c>
      <x:c r="C419" s="4" t="n">
        <x:v>2792</x:v>
      </x:c>
      <x:c r="D419" s="4" t="str">
        <x:v>增删档位或修改概率 -&gt; 实时重算 RTP；保存 -&gt; 校验全部公式和必填项 -&gt; 更新配置。</x:v>
      </x:c>
      <x:c r="E419" s="4" t="str">
        <x:v>整段分支核验未闭合</x:v>
      </x:c>
      <x:c r="F419" s="4" t="str">
        <x:v>ADMIN-0118、ADMIN-0119、ADMIN-0120、ADMIN-0121、ADMIN-0122、ADMIN-0123、ADMIN-0124、ADMIN-0368</x:v>
      </x:c>
      <x:c r="G419" s="4" t="str">
        <x:v>本段剩余子句、条件组合及状态后续影响仍需与独立规则逐项闭合；这是生成覆盖缺口，不是产品决策缺失。</x:v>
      </x:c>
    </x:row>
    <x:row r="420" ht="44" customHeight="1">
      <x:c r="A420" s="4" t="str">
        <x:v>REQ-beec626ff0b1</x:v>
      </x:c>
      <x:c r="B420" s="4" t="str">
        <x:v>礼物与道具</x:v>
      </x:c>
      <x:c r="C420" s="4" t="n">
        <x:v>2797</x:v>
      </x:c>
      <x:c r="D420" s="4" t="str">
        <x:v>道具类型：仅使用 APP 已支持的勋章、气泡、头像框，不支持新增；类型名称支持四语配置。</x:v>
      </x:c>
      <x:c r="E420" s="4" t="str">
        <x:v>尚未建立场景映射</x:v>
      </x:c>
      <x:c r="F420" s="4" t="str"/>
      <x:c r="G420" s="4" t="str">
        <x:v>本轮独立来源库保留该已知条款，但尚未建立可核验的正式场景映射；不是无业务依据，也不转为产品待确认。</x:v>
      </x:c>
    </x:row>
    <x:row r="421" ht="44" customHeight="1">
      <x:c r="A421" s="4" t="str">
        <x:v>REQ-c9fd2890d1af</x:v>
      </x:c>
      <x:c r="B421" s="4" t="str">
        <x:v>礼物与道具</x:v>
      </x:c>
      <x:c r="C421" s="4" t="n">
        <x:v>2798</x:v>
      </x:c>
      <x:c r="D421" s="4" t="str">
        <x:v>道具 ID：全局唯一。</x:v>
      </x:c>
      <x:c r="E421" s="4" t="str">
        <x:v>整段分支核验未闭合</x:v>
      </x:c>
      <x:c r="F421" s="4" t="str">
        <x:v>ADMIN-0425</x:v>
      </x:c>
      <x:c r="G421" s="4" t="str">
        <x:v>本段剩余子句、条件组合及状态后续影响仍需与独立规则逐项闭合；这是生成覆盖缺口，不是产品决策缺失。</x:v>
      </x:c>
    </x:row>
    <x:row r="422" ht="44" customHeight="1">
      <x:c r="A422" s="4" t="str">
        <x:v>REQ-5a0ca3d903fa</x:v>
      </x:c>
      <x:c r="B422" s="4" t="str">
        <x:v>礼物与道具</x:v>
      </x:c>
      <x:c r="C422" s="4" t="n">
        <x:v>2799</x:v>
      </x:c>
      <x:c r="D422" s="4" t="str">
        <x:v>道具名称：四语配置，按客户端语言展示。</x:v>
      </x:c>
      <x:c r="E422" s="4" t="str">
        <x:v>整段分支核验未闭合</x:v>
      </x:c>
      <x:c r="F422" s="4" t="str">
        <x:v>ADMIN-0426</x:v>
      </x:c>
      <x:c r="G422" s="4" t="str">
        <x:v>本段剩余子句、条件组合及状态后续影响仍需与独立规则逐项闭合；这是生成覆盖缺口，不是产品决策缺失。</x:v>
      </x:c>
    </x:row>
    <x:row r="423" ht="44" customHeight="1">
      <x:c r="A423" s="4" t="str">
        <x:v>REQ-99c0dc2d92ae</x:v>
      </x:c>
      <x:c r="B423" s="4" t="str">
        <x:v>礼物与道具</x:v>
      </x:c>
      <x:c r="C423" s="4" t="n">
        <x:v>2800</x:v>
      </x:c>
      <x:c r="D423" s="4" t="str">
        <x:v>单价：用户通过金币购买道具时，每件道具扣减的金币数量，必须为正整数。</x:v>
      </x:c>
      <x:c r="E423" s="4" t="str">
        <x:v>尚未建立场景映射</x:v>
      </x:c>
      <x:c r="F423" s="4" t="str"/>
      <x:c r="G423" s="4" t="str">
        <x:v>本轮独立来源库保留该已知条款，但尚未建立可核验的正式场景映射；不是无业务依据，也不转为产品待确认。</x:v>
      </x:c>
    </x:row>
    <x:row r="424" ht="44" customHeight="1">
      <x:c r="A424" s="4" t="str">
        <x:v>REQ-3a6d9ac3aac2</x:v>
      </x:c>
      <x:c r="B424" s="4" t="str">
        <x:v>礼物与道具</x:v>
      </x:c>
      <x:c r="C424" s="4" t="n">
        <x:v>2801</x:v>
      </x:c>
      <x:c r="D424" s="4" t="str">
        <x:v>图标 / 排序：图标必填；排序权重越大越靠前。</x:v>
      </x:c>
      <x:c r="E424" s="4" t="str">
        <x:v>尚未建立场景映射</x:v>
      </x:c>
      <x:c r="F424" s="4" t="str"/>
      <x:c r="G424" s="4" t="str">
        <x:v>本轮独立来源库保留该已知条款，但尚未建立可核验的正式场景映射；不是无业务依据，也不转为产品待确认。</x:v>
      </x:c>
    </x:row>
    <x:row r="425" ht="44" customHeight="1">
      <x:c r="A425" s="4" t="str">
        <x:v>REQ-f0b508a3c5ba</x:v>
      </x:c>
      <x:c r="B425" s="4" t="str">
        <x:v>礼物与道具</x:v>
      </x:c>
      <x:c r="C425" s="4" t="n">
        <x:v>2802</x:v>
      </x:c>
      <x:c r="D425" s="4" t="str">
        <x:v>上下架状态：上架后，用户可通过活动或金币购买获得道具。</x:v>
      </x:c>
      <x:c r="E425" s="4" t="str">
        <x:v>整段分支核验未闭合</x:v>
      </x:c>
      <x:c r="F425" s="4" t="str">
        <x:v>ADMIN-0498</x:v>
      </x:c>
      <x:c r="G425" s="4" t="str">
        <x:v>本段剩余子句、条件组合及状态后续影响仍需与独立规则逐项闭合；这是生成覆盖缺口，不是产品决策缺失。</x:v>
      </x:c>
    </x:row>
    <x:row r="426" ht="57" customHeight="1">
      <x:c r="A426" s="4" t="str">
        <x:v>REQ-91af942de282</x:v>
      </x:c>
      <x:c r="B426" s="4" t="str">
        <x:v>礼物与道具</x:v>
      </x:c>
      <x:c r="C426" s="4" t="n">
        <x:v>2803</x:v>
      </x:c>
      <x:c r="D426" s="4" t="str">
        <x:v>可佩戴期限：获得道具用户期限内可佩戴，过期后不可佩戴，用户端显示已过期，修改配置只对未来用户生效。默认当天至当天后第 30 天；不限表示永久。</x:v>
      </x:c>
      <x:c r="E426" s="4" t="str">
        <x:v>尚未建立场景映射</x:v>
      </x:c>
      <x:c r="F426" s="4" t="str"/>
      <x:c r="G426" s="4" t="str">
        <x:v>本轮独立来源库保留该已知条款，但尚未建立可核验的正式场景映射；不是无业务依据，也不转为产品待确认。</x:v>
      </x:c>
    </x:row>
    <x:row r="427" ht="44" customHeight="1">
      <x:c r="A427" s="4" t="str">
        <x:v>REQ-d6bd53bfa7de</x:v>
      </x:c>
      <x:c r="B427" s="4" t="str">
        <x:v>礼物与道具</x:v>
      </x:c>
      <x:c r="C427" s="4" t="n">
        <x:v>2804</x:v>
      </x:c>
      <x:c r="D427" s="4" t="str">
        <x:v>上下架仅控制能否获得；下架不影响已获得道具。</x:v>
      </x:c>
      <x:c r="E427" s="4" t="str">
        <x:v>整段分支核验未闭合</x:v>
      </x:c>
      <x:c r="F427" s="4" t="str">
        <x:v>ADMIN-0498</x:v>
      </x:c>
      <x:c r="G427" s="4" t="str">
        <x:v>本段剩余子句、条件组合及状态后续影响仍需与独立规则逐项闭合；这是生成覆盖缺口，不是产品决策缺失。</x:v>
      </x:c>
    </x:row>
    <x:row r="428" ht="44" customHeight="1">
      <x:c r="A428" s="4" t="str">
        <x:v>REQ-3331c38f211b</x:v>
      </x:c>
      <x:c r="B428" s="4" t="str">
        <x:v>礼物与道具</x:v>
      </x:c>
      <x:c r="C428" s="4" t="n">
        <x:v>2805</x:v>
      </x:c>
      <x:c r="D428" s="4" t="str">
        <x:v>当前日期处于可佩戴期限内才可佩戴；过期后不可佩戴，用户端显示已过期。</x:v>
      </x:c>
      <x:c r="E428" s="4" t="str">
        <x:v>尚未建立场景映射</x:v>
      </x:c>
      <x:c r="F428" s="4" t="str"/>
      <x:c r="G428" s="4" t="str">
        <x:v>本轮独立来源库保留该已知条款，但尚未建立可核验的正式场景映射；不是无业务依据，也不转为产品待确认。</x:v>
      </x:c>
    </x:row>
    <x:row r="429" ht="44" customHeight="1">
      <x:c r="A429" s="4" t="str">
        <x:v>REQ-8bd8b19dd398</x:v>
      </x:c>
      <x:c r="B429" s="4" t="str">
        <x:v>礼物与道具</x:v>
      </x:c>
      <x:c r="C429" s="4" t="n">
        <x:v>2806</x:v>
      </x:c>
      <x:c r="D429" s="4" t="str">
        <x:v>类型 Tab -&gt; 切换列表；新增或编辑 -&gt; 详情；删除道具 -&gt; 校验引用后确认。</x:v>
      </x:c>
      <x:c r="E429" s="4" t="str">
        <x:v>尚未建立场景映射</x:v>
      </x:c>
      <x:c r="F429" s="4" t="str"/>
      <x:c r="G429" s="4" t="str">
        <x:v>本轮独立来源库保留该已知条款，但尚未建立可核验的正式场景映射；不是无业务依据，也不转为产品待确认。</x:v>
      </x:c>
    </x:row>
    <x:row r="430" ht="44" customHeight="1">
      <x:c r="A430" s="4" t="str">
        <x:v>REQ-4ab4ca5a8918</x:v>
      </x:c>
      <x:c r="B430" s="4" t="str">
        <x:v>礼物与道具</x:v>
      </x:c>
      <x:c r="C430" s="4" t="n">
        <x:v>2811</x:v>
      </x:c>
      <x:c r="D430" s="4" t="str">
        <x:v>道具 ID：新建唯一，编辑只读。</x:v>
      </x:c>
      <x:c r="E430" s="4" t="str">
        <x:v>整段分支核验未闭合</x:v>
      </x:c>
      <x:c r="F430" s="4" t="str">
        <x:v>ADMIN-0051、ADMIN-0052、ADMIN-0427</x:v>
      </x:c>
      <x:c r="G430" s="4" t="str">
        <x:v>本段剩余子句、条件组合及状态后续影响仍需与独立规则逐项闭合；这是生成覆盖缺口，不是产品决策缺失。</x:v>
      </x:c>
    </x:row>
    <x:row r="431" ht="44" customHeight="1">
      <x:c r="A431" s="4" t="str">
        <x:v>REQ-33906d76fdac</x:v>
      </x:c>
      <x:c r="B431" s="4" t="str">
        <x:v>礼物与道具</x:v>
      </x:c>
      <x:c r="C431" s="4" t="n">
        <x:v>2812</x:v>
      </x:c>
      <x:c r="D431" s="4" t="str">
        <x:v>四语名称：全部必填。</x:v>
      </x:c>
      <x:c r="E431" s="4" t="str">
        <x:v>整段分支核验未闭合</x:v>
      </x:c>
      <x:c r="F431" s="4" t="str">
        <x:v>ADMIN-0041、ADMIN-0042、ADMIN-0043、ADMIN-0044</x:v>
      </x:c>
      <x:c r="G431" s="4" t="str">
        <x:v>本段剩余子句、条件组合及状态后续影响仍需与独立规则逐项闭合；这是生成覆盖缺口，不是产品决策缺失。</x:v>
      </x:c>
    </x:row>
    <x:row r="432" ht="44" customHeight="1">
      <x:c r="A432" s="4" t="str">
        <x:v>REQ-dd209e012169</x:v>
      </x:c>
      <x:c r="B432" s="4" t="str">
        <x:v>礼物与道具</x:v>
      </x:c>
      <x:c r="C432" s="4" t="n">
        <x:v>2813</x:v>
      </x:c>
      <x:c r="D432" s="4" t="str">
        <x:v>道具类型：只能选择 APP 已支持的固定类型。</x:v>
      </x:c>
      <x:c r="E432" s="4" t="str">
        <x:v>尚未建立场景映射</x:v>
      </x:c>
      <x:c r="F432" s="4" t="str"/>
      <x:c r="G432" s="4" t="str">
        <x:v>本轮独立来源库保留该已知条款，但尚未建立可核验的正式场景映射；不是无业务依据，也不转为产品待确认。</x:v>
      </x:c>
    </x:row>
    <x:row r="433" ht="44" customHeight="1">
      <x:c r="A433" s="4" t="str">
        <x:v>REQ-bc9f5b9f1671</x:v>
      </x:c>
      <x:c r="B433" s="4" t="str">
        <x:v>礼物与道具</x:v>
      </x:c>
      <x:c r="C433" s="4" t="n">
        <x:v>2814</x:v>
      </x:c>
      <x:c r="D433" s="4" t="str">
        <x:v>单价：用户通过金币购买道具时，每件道具扣减的金币数量，必须为正整数。</x:v>
      </x:c>
      <x:c r="E433" s="4" t="str">
        <x:v>整段分支核验未闭合</x:v>
      </x:c>
      <x:c r="F433" s="4" t="str">
        <x:v>ADMIN-0047、ADMIN-0048、ADMIN-0049、ADMIN-0050</x:v>
      </x:c>
      <x:c r="G433" s="4" t="str">
        <x:v>本段剩余子句、条件组合及状态后续影响仍需与独立规则逐项闭合；这是生成覆盖缺口，不是产品决策缺失。</x:v>
      </x:c>
    </x:row>
    <x:row r="434" ht="44" customHeight="1">
      <x:c r="A434" s="4" t="str">
        <x:v>REQ-0cedea6f3738</x:v>
      </x:c>
      <x:c r="B434" s="4" t="str">
        <x:v>礼物与道具</x:v>
      </x:c>
      <x:c r="C434" s="4" t="n">
        <x:v>2815</x:v>
      </x:c>
      <x:c r="D434" s="4" t="str">
        <x:v>图标 / 素材：均必填，符合对应资源格式。</x:v>
      </x:c>
      <x:c r="E434" s="4" t="str">
        <x:v>整段分支核验未闭合</x:v>
      </x:c>
      <x:c r="F434" s="4" t="str">
        <x:v>ADMIN-0045、ADMIN-0046</x:v>
      </x:c>
      <x:c r="G434" s="4" t="str">
        <x:v>本段剩余子句、条件组合及状态后续影响仍需与独立规则逐项闭合；这是生成覆盖缺口，不是产品决策缺失。</x:v>
      </x:c>
    </x:row>
    <x:row r="435" ht="44" customHeight="1">
      <x:c r="A435" s="4" t="str">
        <x:v>REQ-94868bc2521f</x:v>
      </x:c>
      <x:c r="B435" s="4" t="str">
        <x:v>礼物与道具</x:v>
      </x:c>
      <x:c r="C435" s="4" t="n">
        <x:v>2816</x:v>
      </x:c>
      <x:c r="D435" s="4" t="str">
        <x:v>排序权重：整数，数值越大越靠前。</x:v>
      </x:c>
      <x:c r="E435" s="4" t="str">
        <x:v>尚未建立场景映射</x:v>
      </x:c>
      <x:c r="F435" s="4" t="str"/>
      <x:c r="G435" s="4" t="str">
        <x:v>本轮独立来源库保留该已知条款，但尚未建立可核验的正式场景映射；不是无业务依据，也不转为产品待确认。</x:v>
      </x:c>
    </x:row>
    <x:row r="436" ht="44" customHeight="1">
      <x:c r="A436" s="4" t="str">
        <x:v>REQ-60ef6804ec6c</x:v>
      </x:c>
      <x:c r="B436" s="4" t="str">
        <x:v>礼物与道具</x:v>
      </x:c>
      <x:c r="C436" s="4" t="n">
        <x:v>2817</x:v>
      </x:c>
      <x:c r="D436" s="4" t="str">
        <x:v>上下架状态：上架后，用户可通过活动或金币购买获得道具。</x:v>
      </x:c>
      <x:c r="E436" s="4" t="str">
        <x:v>尚未建立场景映射</x:v>
      </x:c>
      <x:c r="F436" s="4" t="str"/>
      <x:c r="G436" s="4" t="str">
        <x:v>本轮独立来源库保留该已知条款，但尚未建立可核验的正式场景映射；不是无业务依据，也不转为产品待确认。</x:v>
      </x:c>
    </x:row>
    <x:row r="437" ht="57" customHeight="1">
      <x:c r="A437" s="4" t="str">
        <x:v>REQ-558d7e0eabe1</x:v>
      </x:c>
      <x:c r="B437" s="4" t="str">
        <x:v>礼物与道具</x:v>
      </x:c>
      <x:c r="C437" s="4" t="n">
        <x:v>2818</x:v>
      </x:c>
      <x:c r="D437" s="4" t="str">
        <x:v>可佩戴期限：获得道具用户期限内可佩戴，过期后不可佩戴，用户端显示已过期，修改配置只对未来用户生效。默认当天至当天后第 30 天；开始日期不能早于当天，结束日期必须晚于开始日期；不限表示永久。</x:v>
      </x:c>
      <x:c r="E437" s="4" t="str">
        <x:v>整段分支核验未闭合</x:v>
      </x:c>
      <x:c r="F437" s="4" t="str">
        <x:v>ADMIN-0235、ADMIN-0236、ADMIN-0237、ADMIN-0238</x:v>
      </x:c>
      <x:c r="G437" s="4" t="str">
        <x:v>本段剩余子句、条件组合及状态后续影响仍需与独立规则逐项闭合；这是生成覆盖缺口，不是产品决策缺失。</x:v>
      </x:c>
    </x:row>
    <x:row r="438" ht="44" customHeight="1">
      <x:c r="A438" s="4" t="str">
        <x:v>REQ-615894301688</x:v>
      </x:c>
      <x:c r="B438" s="4" t="str">
        <x:v>礼物与道具</x:v>
      </x:c>
      <x:c r="C438" s="4" t="n">
        <x:v>2819</x:v>
      </x:c>
      <x:c r="D438" s="4" t="str">
        <x:v>操作记录：保存变更说明、操作人和时间。</x:v>
      </x:c>
      <x:c r="E438" s="4" t="str">
        <x:v>整段分支核验未闭合</x:v>
      </x:c>
      <x:c r="F438" s="4" t="str">
        <x:v>ADMIN-0428</x:v>
      </x:c>
      <x:c r="G438" s="4" t="str">
        <x:v>本段剩余子句、条件组合及状态后续影响仍需与独立规则逐项闭合；这是生成覆盖缺口，不是产品决策缺失。</x:v>
      </x:c>
    </x:row>
    <x:row r="439" ht="44" customHeight="1">
      <x:c r="A439" s="4" t="str">
        <x:v>REQ-e84022fb3bd4</x:v>
      </x:c>
      <x:c r="B439" s="4" t="str">
        <x:v>礼物与道具</x:v>
      </x:c>
      <x:c r="C439" s="4" t="n">
        <x:v>2820</x:v>
      </x:c>
      <x:c r="D439" s="4" t="str">
        <x:v>已获得道具仅在可佩戴期限内可佩戴；过期后不可佩戴，用户端显示已过期。</x:v>
      </x:c>
      <x:c r="E439" s="4" t="str">
        <x:v>尚未建立场景映射</x:v>
      </x:c>
      <x:c r="F439" s="4" t="str"/>
      <x:c r="G439" s="4" t="str">
        <x:v>本轮独立来源库保留该已知条款，但尚未建立可核验的正式场景映射；不是无业务依据，也不转为产品待确认。</x:v>
      </x:c>
    </x:row>
    <x:row r="440" ht="44" customHeight="1">
      <x:c r="A440" s="4" t="str">
        <x:v>REQ-536bd55c4469</x:v>
      </x:c>
      <x:c r="B440" s="4" t="str">
        <x:v>礼物与道具</x:v>
      </x:c>
      <x:c r="C440" s="4" t="n">
        <x:v>2821</x:v>
      </x:c>
      <x:c r="D440" s="4" t="str">
        <x:v>保存 -&gt; 校验字段、资源和可佩戴期限 -&gt; 留在详情并追加操作记录。</x:v>
      </x:c>
      <x:c r="E440" s="4" t="str">
        <x:v>尚未建立场景映射</x:v>
      </x:c>
      <x:c r="F440" s="4" t="str"/>
      <x:c r="G440" s="4" t="str">
        <x:v>本轮独立来源库保留该已知条款，但尚未建立可核验的正式场景映射；不是无业务依据，也不转为产品待确认。</x:v>
      </x:c>
    </x:row>
    <x:row r="441" ht="44" customHeight="1">
      <x:c r="A441" s="4" t="str">
        <x:v>REQ-6acc2c6b9807</x:v>
      </x:c>
      <x:c r="B441" s="4" t="str">
        <x:v>礼物与道具</x:v>
      </x:c>
      <x:c r="C441" s="4" t="n">
        <x:v>2826</x:v>
      </x:c>
      <x:c r="D441" s="4" t="str">
        <x:v>规则 ID：系统生成，全局唯一。</x:v>
      </x:c>
      <x:c r="E441" s="4" t="str">
        <x:v>整段分支核验未闭合</x:v>
      </x:c>
      <x:c r="F441" s="4" t="str">
        <x:v>ADMIN-0429</x:v>
      </x:c>
      <x:c r="G441" s="4" t="str">
        <x:v>本段剩余子句、条件组合及状态后续影响仍需与独立规则逐项闭合；这是生成覆盖缺口，不是产品决策缺失。</x:v>
      </x:c>
    </x:row>
    <x:row r="442" ht="44" customHeight="1">
      <x:c r="A442" s="4" t="str">
        <x:v>REQ-21da7bcaf800</x:v>
      </x:c>
      <x:c r="B442" s="4" t="str">
        <x:v>礼物与道具</x:v>
      </x:c>
      <x:c r="C442" s="4" t="n">
        <x:v>2827</x:v>
      </x:c>
      <x:c r="D442" s="4" t="str">
        <x:v>赠送数量：一条规则包含多个互不重复的正整数，按配置顺序展示。</x:v>
      </x:c>
      <x:c r="E442" s="4" t="str">
        <x:v>尚未建立场景映射</x:v>
      </x:c>
      <x:c r="F442" s="4" t="str"/>
      <x:c r="G442" s="4" t="str">
        <x:v>本轮独立来源库保留该已知条款，但尚未建立可核验的正式场景映射；不是无业务依据，也不转为产品待确认。</x:v>
      </x:c>
    </x:row>
    <x:row r="443" ht="44" customHeight="1">
      <x:c r="A443" s="4" t="str">
        <x:v>REQ-e542f4fb2241</x:v>
      </x:c>
      <x:c r="B443" s="4" t="str">
        <x:v>礼物与道具</x:v>
      </x:c>
      <x:c r="C443" s="4" t="n">
        <x:v>2828</x:v>
      </x:c>
      <x:c r="D443" s="4" t="str">
        <x:v>默认数量：必须属于当前赠送数量列表。</x:v>
      </x:c>
      <x:c r="E443" s="4" t="str">
        <x:v>尚未建立场景映射</x:v>
      </x:c>
      <x:c r="F443" s="4" t="str"/>
      <x:c r="G443" s="4" t="str">
        <x:v>本轮独立来源库保留该已知条款，但尚未建立可核验的正式场景映射；不是无业务依据，也不转为产品待确认。</x:v>
      </x:c>
    </x:row>
    <x:row r="444" ht="44" customHeight="1">
      <x:c r="A444" s="4" t="str">
        <x:v>REQ-c70e89f1d423</x:v>
      </x:c>
      <x:c r="B444" s="4" t="str">
        <x:v>礼物与道具</x:v>
      </x:c>
      <x:c r="C444" s="4" t="n">
        <x:v>2829</x:v>
      </x:c>
      <x:c r="D444" s="4" t="str">
        <x:v>适用礼物：每个礼物只能关联一条启用规则。</x:v>
      </x:c>
      <x:c r="E444" s="4" t="str">
        <x:v>尚未建立场景映射</x:v>
      </x:c>
      <x:c r="F444" s="4" t="str"/>
      <x:c r="G444" s="4" t="str">
        <x:v>本轮独立来源库保留该已知条款，但尚未建立可核验的正式场景映射；不是无业务依据，也不转为产品待确认。</x:v>
      </x:c>
    </x:row>
    <x:row r="445" ht="44" customHeight="1">
      <x:c r="A445" s="4" t="str">
        <x:v>REQ-bf3b58708182</x:v>
      </x:c>
      <x:c r="B445" s="4" t="str">
        <x:v>礼物与道具</x:v>
      </x:c>
      <x:c r="C445" s="4" t="n">
        <x:v>2830</x:v>
      </x:c>
      <x:c r="D445" s="4" t="str">
        <x:v>状态：启用、停用。</x:v>
      </x:c>
      <x:c r="E445" s="4" t="str">
        <x:v>整段分支核验未闭合</x:v>
      </x:c>
      <x:c r="F445" s="4" t="str">
        <x:v>ADMIN-0499</x:v>
      </x:c>
      <x:c r="G445" s="4" t="str">
        <x:v>本段剩余子句、条件组合及状态后续影响仍需与独立规则逐项闭合；这是生成覆盖缺口，不是产品决策缺失。</x:v>
      </x:c>
    </x:row>
    <x:row r="446" ht="44" customHeight="1">
      <x:c r="A446" s="4" t="str">
        <x:v>REQ-4b7248133e7e</x:v>
      </x:c>
      <x:c r="B446" s="4" t="str">
        <x:v>礼物与道具</x:v>
      </x:c>
      <x:c r="C446" s="4" t="n">
        <x:v>2831</x:v>
      </x:c>
      <x:c r="D446" s="4" t="str">
        <x:v>停用后关联礼物默认仅支持 ×1，不影响已完成赠送。</x:v>
      </x:c>
      <x:c r="E446" s="4" t="str">
        <x:v>整段分支核验未闭合</x:v>
      </x:c>
      <x:c r="F446" s="4" t="str">
        <x:v>ADMIN-0499</x:v>
      </x:c>
      <x:c r="G446" s="4" t="str">
        <x:v>本段剩余子句、条件组合及状态后续影响仍需与独立规则逐项闭合；这是生成覆盖缺口，不是产品决策缺失。</x:v>
      </x:c>
    </x:row>
    <x:row r="447" ht="44" customHeight="1">
      <x:c r="A447" s="4" t="str">
        <x:v>REQ-7f94512ca273</x:v>
      </x:c>
      <x:c r="B447" s="4" t="str">
        <x:v>礼物与道具</x:v>
      </x:c>
      <x:c r="C447" s="4" t="n">
        <x:v>2832</x:v>
      </x:c>
      <x:c r="D447" s="4" t="str">
        <x:v>启用 -&gt; 校验礼物冲突；编辑 -&gt; 进入详情。</x:v>
      </x:c>
      <x:c r="E447" s="4" t="str">
        <x:v>尚未建立场景映射</x:v>
      </x:c>
      <x:c r="F447" s="4" t="str"/>
      <x:c r="G447" s="4" t="str">
        <x:v>本轮独立来源库保留该已知条款，但尚未建立可核验的正式场景映射；不是无业务依据，也不转为产品待确认。</x:v>
      </x:c>
    </x:row>
    <x:row r="448" ht="57" customHeight="1">
      <x:c r="A448" s="4" t="str">
        <x:v>REQ-343cd17ed04f</x:v>
      </x:c>
      <x:c r="B448" s="4" t="str">
        <x:v>礼物与道具</x:v>
      </x:c>
      <x:c r="C448" s="4" t="n">
        <x:v>2837</x:v>
      </x:c>
      <x:c r="D448" s="4" t="str">
        <x:v>赠送数量：至少 1 个，均为互不重复的正整数，支持拖动排序。</x:v>
      </x:c>
      <x:c r="E448" s="4" t="str">
        <x:v>整段分支核验未闭合</x:v>
      </x:c>
      <x:c r="F448" s="4" t="str">
        <x:v>ADMIN-0125、ADMIN-0126、ADMIN-0127、ADMIN-0128、ADMIN-0129、ADMIN-0130、ADMIN-0131</x:v>
      </x:c>
      <x:c r="G448" s="4" t="str">
        <x:v>本段剩余子句、条件组合及状态后续影响仍需与独立规则逐项闭合；这是生成覆盖缺口，不是产品决策缺失。</x:v>
      </x:c>
    </x:row>
    <x:row r="449" ht="57" customHeight="1">
      <x:c r="A449" s="4" t="str">
        <x:v>REQ-3ee94a2d1e4d</x:v>
      </x:c>
      <x:c r="B449" s="4" t="str">
        <x:v>礼物与道具</x:v>
      </x:c>
      <x:c r="C449" s="4" t="n">
        <x:v>2838</x:v>
      </x:c>
      <x:c r="D449" s="4" t="str">
        <x:v>默认数量：从当前赠送数量列表中选择。</x:v>
      </x:c>
      <x:c r="E449" s="4" t="str">
        <x:v>整段分支核验未闭合</x:v>
      </x:c>
      <x:c r="F449" s="4" t="str">
        <x:v>ADMIN-0125、ADMIN-0126、ADMIN-0127、ADMIN-0128、ADMIN-0129、ADMIN-0130、ADMIN-0131、ADMIN-0132</x:v>
      </x:c>
      <x:c r="G449" s="4" t="str">
        <x:v>本段剩余子句、条件组合及状态后续影响仍需与独立规则逐项闭合；这是生成覆盖缺口，不是产品决策缺失。</x:v>
      </x:c>
    </x:row>
    <x:row r="450" ht="44" customHeight="1">
      <x:c r="A450" s="4" t="str">
        <x:v>REQ-3057fbe733bd</x:v>
      </x:c>
      <x:c r="B450" s="4" t="str">
        <x:v>礼物与道具</x:v>
      </x:c>
      <x:c r="C450" s="4" t="n">
        <x:v>2839</x:v>
      </x:c>
      <x:c r="D450" s="4" t="str">
        <x:v>适用礼物：按礼物类型筛选和全选；至少 1 个；每个礼物只能关联一条启用规则。</x:v>
      </x:c>
      <x:c r="E450" s="4" t="str">
        <x:v>整段分支核验未闭合</x:v>
      </x:c>
      <x:c r="F450" s="4" t="str">
        <x:v>ADMIN-0133</x:v>
      </x:c>
      <x:c r="G450" s="4" t="str">
        <x:v>本段剩余子句、条件组合及状态后续影响仍需与独立规则逐项闭合；这是生成覆盖缺口，不是产品决策缺失。</x:v>
      </x:c>
    </x:row>
    <x:row r="451" ht="44" customHeight="1">
      <x:c r="A451" s="4" t="str">
        <x:v>REQ-6cef4d52e3d1</x:v>
      </x:c>
      <x:c r="B451" s="4" t="str">
        <x:v>礼物与道具</x:v>
      </x:c>
      <x:c r="C451" s="4" t="n">
        <x:v>2840</x:v>
      </x:c>
      <x:c r="D451" s="4" t="str">
        <x:v>状态：启用前执行冲突校验。</x:v>
      </x:c>
      <x:c r="E451" s="4" t="str">
        <x:v>整段分支核验未闭合</x:v>
      </x:c>
      <x:c r="F451" s="4" t="str">
        <x:v>ADMIN-0133</x:v>
      </x:c>
      <x:c r="G451" s="4" t="str">
        <x:v>本段剩余子句、条件组合及状态后续影响仍需与独立规则逐项闭合；这是生成覆盖缺口，不是产品决策缺失。</x:v>
      </x:c>
    </x:row>
    <x:row r="452" ht="57" customHeight="1">
      <x:c r="A452" s="4" t="str">
        <x:v>REQ-03b9725085e3</x:v>
      </x:c>
      <x:c r="B452" s="4" t="str">
        <x:v>礼物与道具</x:v>
      </x:c>
      <x:c r="C452" s="4" t="n">
        <x:v>2841</x:v>
      </x:c>
      <x:c r="D452" s="4" t="str">
        <x:v>添加、删除或拖动数量 -&gt; 实时更新默认数量选项；保存 -&gt; 校验数量、默认数量、礼物和启用冲突。</x:v>
      </x:c>
      <x:c r="E452" s="4" t="str">
        <x:v>整段分支核验未闭合</x:v>
      </x:c>
      <x:c r="F452" s="4" t="str">
        <x:v>ADMIN-0125、ADMIN-0126、ADMIN-0127、ADMIN-0128、ADMIN-0129、ADMIN-0130、ADMIN-0131、ADMIN-0132、ADMIN-0133</x:v>
      </x:c>
      <x:c r="G452" s="4" t="str">
        <x:v>本段剩余子句、条件组合及状态后续影响仍需与独立规则逐项闭合；这是生成覆盖缺口，不是产品决策缺失。</x:v>
      </x:c>
    </x:row>
    <x:row r="453" ht="44" customHeight="1">
      <x:c r="A453" s="4" t="str">
        <x:v>REQ-ffb51cbd2a29</x:v>
      </x:c>
      <x:c r="B453" s="4" t="str">
        <x:v>运营管理</x:v>
      </x:c>
      <x:c r="C453" s="4" t="n">
        <x:v>2846</x:v>
      </x:c>
      <x:c r="D453" s="4" t="str">
        <x:v>展示位置：仅直播广场运营位、福利中心轮播位。</x:v>
      </x:c>
      <x:c r="E453" s="4" t="str">
        <x:v>尚未建立场景映射</x:v>
      </x:c>
      <x:c r="F453" s="4" t="str"/>
      <x:c r="G453" s="4" t="str">
        <x:v>本轮独立来源库保留该已知条款，但尚未建立可核验的正式场景映射；不是无业务依据，也不转为产品待确认。</x:v>
      </x:c>
    </x:row>
    <x:row r="454" ht="44" customHeight="1">
      <x:c r="A454" s="4" t="str">
        <x:v>REQ-89ac12a5971f</x:v>
      </x:c>
      <x:c r="B454" s="4" t="str">
        <x:v>运营管理</x:v>
      </x:c>
      <x:c r="C454" s="4" t="n">
        <x:v>2847</x:v>
      </x:c>
      <x:c r="D454" s="4" t="str">
        <x:v>展示素材：显示当前配置内的轮播素材数量。</x:v>
      </x:c>
      <x:c r="E454" s="4" t="str">
        <x:v>尚未建立场景映射</x:v>
      </x:c>
      <x:c r="F454" s="4" t="str"/>
      <x:c r="G454" s="4" t="str">
        <x:v>本轮独立来源库保留该已知条款，但尚未建立可核验的正式场景映射；不是无业务依据，也不转为产品待确认。</x:v>
      </x:c>
    </x:row>
    <x:row r="455" ht="44" customHeight="1">
      <x:c r="A455" s="4" t="str">
        <x:v>REQ-1545c71e3e17</x:v>
      </x:c>
      <x:c r="B455" s="4" t="str">
        <x:v>运营管理</x:v>
      </x:c>
      <x:c r="C455" s="4" t="n">
        <x:v>2848</x:v>
      </x:c>
      <x:c r="D455" s="4" t="str">
        <x:v>展示周期：按日期配置，开始日和结束日均包含。</x:v>
      </x:c>
      <x:c r="E455" s="4" t="str">
        <x:v>尚未建立场景映射</x:v>
      </x:c>
      <x:c r="F455" s="4" t="str"/>
      <x:c r="G455" s="4" t="str">
        <x:v>本轮独立来源库保留该已知条款，但尚未建立可核验的正式场景映射；不是无业务依据，也不转为产品待确认。</x:v>
      </x:c>
    </x:row>
    <x:row r="456" ht="44" customHeight="1">
      <x:c r="A456" s="4" t="str">
        <x:v>REQ-20a3dc63c0ad</x:v>
      </x:c>
      <x:c r="B456" s="4" t="str">
        <x:v>运营管理</x:v>
      </x:c>
      <x:c r="C456" s="4" t="n">
        <x:v>2849</x:v>
      </x:c>
      <x:c r="D456" s="4" t="str">
        <x:v>状态：当前日期在展示周期内且配置启用时为展示，否则隐藏。</x:v>
      </x:c>
      <x:c r="E456" s="4" t="str">
        <x:v>尚未建立场景映射</x:v>
      </x:c>
      <x:c r="F456" s="4" t="str"/>
      <x:c r="G456" s="4" t="str">
        <x:v>本轮独立来源库保留该已知条款，但尚未建立可核验的正式场景映射；不是无业务依据，也不转为产品待确认。</x:v>
      </x:c>
    </x:row>
    <x:row r="457" ht="44" customHeight="1">
      <x:c r="A457" s="4" t="str">
        <x:v>REQ-9c07482a9462</x:v>
      </x:c>
      <x:c r="B457" s="4" t="str">
        <x:v>运营管理</x:v>
      </x:c>
      <x:c r="C457" s="4" t="n">
        <x:v>2850</x:v>
      </x:c>
      <x:c r="D457" s="4" t="str">
        <x:v>同一展示位置的配置有效时间不得重叠；同一配置内的多项轮播内容共用排期、同时生效，不互相判定冲突。</x:v>
      </x:c>
      <x:c r="E457" s="4" t="str">
        <x:v>尚未建立场景映射</x:v>
      </x:c>
      <x:c r="F457" s="4" t="str"/>
      <x:c r="G457" s="4" t="str">
        <x:v>本轮独立来源库保留该已知条款，但尚未建立可核验的正式场景映射；不是无业务依据，也不转为产品待确认。</x:v>
      </x:c>
    </x:row>
    <x:row r="458" ht="44" customHeight="1">
      <x:c r="A458" s="4" t="str">
        <x:v>REQ-5360ed395f1b</x:v>
      </x:c>
      <x:c r="B458" s="4" t="str">
        <x:v>运营管理</x:v>
      </x:c>
      <x:c r="C458" s="4" t="n">
        <x:v>2851</x:v>
      </x:c>
      <x:c r="D458" s="4" t="str">
        <x:v>查询 -&gt; 位置、周期和状态取交集；编辑 -&gt; 详情；删除 -&gt; 确认后停止投放。</x:v>
      </x:c>
      <x:c r="E458" s="4" t="str">
        <x:v>整段分支核验未闭合</x:v>
      </x:c>
      <x:c r="F458" s="4" t="str">
        <x:v>ADMIN-0533、ADMIN-0534、ADMIN-0535</x:v>
      </x:c>
      <x:c r="G458" s="4" t="str">
        <x:v>本段剩余子句、条件组合及状态后续影响仍需与独立规则逐项闭合；这是生成覆盖缺口，不是产品决策缺失。</x:v>
      </x:c>
    </x:row>
    <x:row r="459" ht="44" customHeight="1">
      <x:c r="A459" s="4" t="str">
        <x:v>REQ-0386d46ebf05</x:v>
      </x:c>
      <x:c r="B459" s="4" t="str">
        <x:v>运营管理</x:v>
      </x:c>
      <x:c r="C459" s="4" t="n">
        <x:v>2856</x:v>
      </x:c>
      <x:c r="D459" s="4" t="str">
        <x:v>展示位置 / 状态：展示位置仅直播广场运营位、福利中心轮播位；状态关闭时不投放。</x:v>
      </x:c>
      <x:c r="E459" s="4" t="str">
        <x:v>尚未建立场景映射</x:v>
      </x:c>
      <x:c r="F459" s="4" t="str"/>
      <x:c r="G459" s="4" t="str">
        <x:v>本轮独立来源库保留该已知条款，但尚未建立可核验的正式场景映射；不是无业务依据，也不转为产品待确认。</x:v>
      </x:c>
    </x:row>
    <x:row r="460" ht="44" customHeight="1">
      <x:c r="A460" s="4" t="str">
        <x:v>REQ-cb43c43948f0</x:v>
      </x:c>
      <x:c r="B460" s="4" t="str">
        <x:v>运营管理</x:v>
      </x:c>
      <x:c r="C460" s="4" t="n">
        <x:v>2857</x:v>
      </x:c>
      <x:c r="D460" s="4" t="str">
        <x:v>轮播内容：最少 1 项、最多 5 项；每项包含展示素材、跳转类型及对应目标内容，左侧序号即轮播顺序。</x:v>
      </x:c>
      <x:c r="E460" s="4" t="str">
        <x:v>整段分支核验未闭合</x:v>
      </x:c>
      <x:c r="F460" s="4" t="str">
        <x:v>ADMIN-0226、ADMIN-0227、ADMIN-0229、ADMIN-0230、ADMIN-0231、ADMIN-0233</x:v>
      </x:c>
      <x:c r="G460" s="4" t="str">
        <x:v>本段剩余子句、条件组合及状态后续影响仍需与独立规则逐项闭合；这是生成覆盖缺口，不是产品决策缺失。</x:v>
      </x:c>
    </x:row>
    <x:row r="461" ht="44" customHeight="1">
      <x:c r="A461" s="4" t="str">
        <x:v>REQ-b07ced17ce83</x:v>
      </x:c>
      <x:c r="B461" s="4" t="str">
        <x:v>运营管理</x:v>
      </x:c>
      <x:c r="C461" s="4" t="n">
        <x:v>2858</x:v>
      </x:c>
      <x:c r="D461" s="4" t="str">
        <x:v>展示素材：每项必传图片；点击已上传素材预览，删除后可重新上传。</x:v>
      </x:c>
      <x:c r="E461" s="4" t="str">
        <x:v>尚未建立场景映射</x:v>
      </x:c>
      <x:c r="F461" s="4" t="str"/>
      <x:c r="G461" s="4" t="str">
        <x:v>本轮独立来源库保留该已知条款，但尚未建立可核验的正式场景映射；不是无业务依据，也不转为产品待确认。</x:v>
      </x:c>
    </x:row>
    <x:row r="462" ht="44" customHeight="1">
      <x:c r="A462" s="4" t="str">
        <x:v>REQ-5f89afc9f6ae</x:v>
      </x:c>
      <x:c r="B462" s="4" t="str">
        <x:v>运营管理</x:v>
      </x:c>
      <x:c r="C462" s="4" t="n">
        <x:v>2859</x:v>
      </x:c>
      <x:c r="D462" s="4" t="str">
        <x:v>跳转类型：APP 已有页面或活动长图页面。</x:v>
      </x:c>
      <x:c r="E462" s="4" t="str">
        <x:v>尚未建立场景映射</x:v>
      </x:c>
      <x:c r="F462" s="4" t="str"/>
      <x:c r="G462" s="4" t="str">
        <x:v>本轮独立来源库保留该已知条款，但尚未建立可核验的正式场景映射；不是无业务依据，也不转为产品待确认。</x:v>
      </x:c>
    </x:row>
    <x:row r="463" ht="44" customHeight="1">
      <x:c r="A463" s="4" t="str">
        <x:v>REQ-db3c2595cae9</x:v>
      </x:c>
      <x:c r="B463" s="4" t="str">
        <x:v>运营管理</x:v>
      </x:c>
      <x:c r="C463" s="4" t="n">
        <x:v>2860</x:v>
      </x:c>
      <x:c r="D463" s="4" t="str">
        <x:v>目标内容：APP 页面须选择目标页面；活动长图页面须上传详情长图。</x:v>
      </x:c>
      <x:c r="E463" s="4" t="str">
        <x:v>整段分支核验未闭合</x:v>
      </x:c>
      <x:c r="F463" s="4" t="str">
        <x:v>ADMIN-0230、ADMIN-0231</x:v>
      </x:c>
      <x:c r="G463" s="4" t="str">
        <x:v>本段剩余子句、条件组合及状态后续影响仍需与独立规则逐项闭合；这是生成覆盖缺口，不是产品决策缺失。</x:v>
      </x:c>
    </x:row>
    <x:row r="464" ht="44" customHeight="1">
      <x:c r="A464" s="4" t="str">
        <x:v>REQ-4b551a00b631</x:v>
      </x:c>
      <x:c r="B464" s="4" t="str">
        <x:v>运营管理</x:v>
      </x:c>
      <x:c r="C464" s="4" t="n">
        <x:v>2861</x:v>
      </x:c>
      <x:c r="D464" s="4" t="str">
        <x:v>展示周期：按日期配置，开始日和结束日均包含；同一配置内各项共用。</x:v>
      </x:c>
      <x:c r="E464" s="4" t="str">
        <x:v>整段分支核验未闭合</x:v>
      </x:c>
      <x:c r="F464" s="4" t="str">
        <x:v>ADMIN-0232</x:v>
      </x:c>
      <x:c r="G464" s="4" t="str">
        <x:v>本段剩余子句、条件组合及状态后续影响仍需与独立规则逐项闭合；这是生成覆盖缺口，不是产品决策缺失。</x:v>
      </x:c>
    </x:row>
    <x:row r="465" ht="44" customHeight="1">
      <x:c r="A465" s="4" t="str">
        <x:v>REQ-f1c2853d7b4c</x:v>
      </x:c>
      <x:c r="B465" s="4" t="str">
        <x:v>运营管理</x:v>
      </x:c>
      <x:c r="C465" s="4" t="n">
        <x:v>2862</x:v>
      </x:c>
      <x:c r="D465" s="4" t="str">
        <x:v>同一配置内允许多项内容同时生效，不判定排期冲突；不同配置按展示位置和展示周期校验冲突。</x:v>
      </x:c>
      <x:c r="E465" s="4" t="str">
        <x:v>尚未建立场景映射</x:v>
      </x:c>
      <x:c r="F465" s="4" t="str"/>
      <x:c r="G465" s="4" t="str">
        <x:v>本轮独立来源库保留该已知条款，但尚未建立可核验的正式场景映射；不是无业务依据，也不转为产品待确认。</x:v>
      </x:c>
    </x:row>
    <x:row r="466" ht="44" customHeight="1">
      <x:c r="A466" s="4" t="str">
        <x:v>REQ-eea7aadc1ba4</x:v>
      </x:c>
      <x:c r="B466" s="4" t="str">
        <x:v>运营管理</x:v>
      </x:c>
      <x:c r="C466" s="4" t="n">
        <x:v>2863</x:v>
      </x:c>
      <x:c r="D466" s="4" t="str">
        <x:v>保存后按当前序号轮播。删除已保存项须确认，新添加未保存项直接删除；只剩 1 项时禁止删除。</x:v>
      </x:c>
      <x:c r="E466" s="4" t="str">
        <x:v>整段分支核验未闭合</x:v>
      </x:c>
      <x:c r="F466" s="4" t="str">
        <x:v>ADMIN-0228</x:v>
      </x:c>
      <x:c r="G466" s="4" t="str">
        <x:v>本段剩余子句、条件组合及状态后续影响仍需与独立规则逐项闭合；这是生成覆盖缺口，不是产品决策缺失。</x:v>
      </x:c>
    </x:row>
    <x:row r="467" ht="44" customHeight="1">
      <x:c r="A467" s="4" t="str">
        <x:v>REQ-b2966d1aae38</x:v>
      </x:c>
      <x:c r="B467" s="4" t="str">
        <x:v>运营管理</x:v>
      </x:c>
      <x:c r="C467" s="4" t="n">
        <x:v>2864</x:v>
      </x:c>
      <x:c r="D467" s="4" t="str">
        <x:v>添加 -&gt; 新增轮播行；拖动手柄 -&gt; 调整顺序并更新序号。</x:v>
      </x:c>
      <x:c r="E467" s="4" t="str">
        <x:v>整段分支核验未闭合</x:v>
      </x:c>
      <x:c r="F467" s="4" t="str">
        <x:v>ADMIN-0233</x:v>
      </x:c>
      <x:c r="G467" s="4" t="str">
        <x:v>本段剩余子句、条件组合及状态后续影响仍需与独立规则逐项闭合；这是生成覆盖缺口，不是产品决策缺失。</x:v>
      </x:c>
    </x:row>
    <x:row r="468" ht="44" customHeight="1">
      <x:c r="A468" s="4" t="str">
        <x:v>REQ-5bee8d3e57b6</x:v>
      </x:c>
      <x:c r="B468" s="4" t="str">
        <x:v>运营管理</x:v>
      </x:c>
      <x:c r="C468" s="4" t="n">
        <x:v>2865</x:v>
      </x:c>
      <x:c r="D468" s="4" t="str">
        <x:v>切换跳转类型 -&gt; 在目标页面选择器和活动长图上传间切换。</x:v>
      </x:c>
      <x:c r="E468" s="4" t="str">
        <x:v>尚未建立场景映射</x:v>
      </x:c>
      <x:c r="F468" s="4" t="str"/>
      <x:c r="G468" s="4" t="str">
        <x:v>本轮独立来源库保留该已知条款，但尚未建立可核验的正式场景映射；不是无业务依据，也不转为产品待确认。</x:v>
      </x:c>
    </x:row>
    <x:row r="469" ht="44" customHeight="1">
      <x:c r="A469" s="4" t="str">
        <x:v>REQ-0bf3c193dc86</x:v>
      </x:c>
      <x:c r="B469" s="4" t="str">
        <x:v>运营管理</x:v>
      </x:c>
      <x:c r="C469" s="4" t="n">
        <x:v>2866</x:v>
      </x:c>
      <x:c r="D469" s="4" t="str">
        <x:v>保存 -&gt; 逐行校验展示素材、跳转类型和目标内容，错误定位到对应行；通过后保留当前顺序。</x:v>
      </x:c>
      <x:c r="E469" s="4" t="str">
        <x:v>整段分支核验未闭合</x:v>
      </x:c>
      <x:c r="F469" s="4" t="str">
        <x:v>ADMIN-0230、ADMIN-0231、ADMIN-0233</x:v>
      </x:c>
      <x:c r="G469" s="4" t="str">
        <x:v>本段剩余子句、条件组合及状态后续影响仍需与独立规则逐项闭合；这是生成覆盖缺口，不是产品决策缺失。</x:v>
      </x:c>
    </x:row>
    <x:row r="470" ht="44" customHeight="1">
      <x:c r="A470" s="4" t="str">
        <x:v>REQ-bef1af8737bc</x:v>
      </x:c>
      <x:c r="B470" s="4" t="str">
        <x:v>运营管理</x:v>
      </x:c>
      <x:c r="C470" s="4" t="n">
        <x:v>2871</x:v>
      </x:c>
      <x:c r="D470" s="4" t="str">
        <x:v>推送 ID / 标题：ID 唯一；列表标题按后台中文展示。</x:v>
      </x:c>
      <x:c r="E470" s="4" t="str">
        <x:v>整段分支核验未闭合</x:v>
      </x:c>
      <x:c r="F470" s="4" t="str">
        <x:v>ADMIN-0430、ADMIN-0431</x:v>
      </x:c>
      <x:c r="G470" s="4" t="str">
        <x:v>本段剩余子句、条件组合及状态后续影响仍需与独立规则逐项闭合；这是生成覆盖缺口，不是产品决策缺失。</x:v>
      </x:c>
    </x:row>
    <x:row r="471" ht="44" customHeight="1">
      <x:c r="A471" s="4" t="str">
        <x:v>REQ-f7780237be26</x:v>
      </x:c>
      <x:c r="B471" s="4" t="str">
        <x:v>运营管理</x:v>
      </x:c>
      <x:c r="C471" s="4" t="n">
        <x:v>2872</x:v>
      </x:c>
      <x:c r="D471" s="4" t="str">
        <x:v>目标用户：全部用户或指定公会用户。</x:v>
      </x:c>
      <x:c r="E471" s="4" t="str">
        <x:v>尚未建立场景映射</x:v>
      </x:c>
      <x:c r="F471" s="4" t="str"/>
      <x:c r="G471" s="4" t="str">
        <x:v>本轮独立来源库保留该已知条款，但尚未建立可核验的正式场景映射；不是无业务依据，也不转为产品待确认。</x:v>
      </x:c>
    </x:row>
    <x:row r="472" ht="44" customHeight="1">
      <x:c r="A472" s="4" t="str">
        <x:v>REQ-ac67336f4d47</x:v>
      </x:c>
      <x:c r="B472" s="4" t="str">
        <x:v>运营管理</x:v>
      </x:c>
      <x:c r="C472" s="4" t="n">
        <x:v>2873</x:v>
      </x:c>
      <x:c r="D472" s="4" t="str">
        <x:v>发送人数：实际成功发送的去重账号数。</x:v>
      </x:c>
      <x:c r="E472" s="4" t="str">
        <x:v>整段分支核验未闭合</x:v>
      </x:c>
      <x:c r="F472" s="4" t="str">
        <x:v>ADMIN-0619</x:v>
      </x:c>
      <x:c r="G472" s="4" t="str">
        <x:v>本段剩余子句、条件组合及状态后续影响仍需与独立规则逐项闭合；这是生成覆盖缺口，不是产品决策缺失。</x:v>
      </x:c>
    </x:row>
    <x:row r="473" ht="44" customHeight="1">
      <x:c r="A473" s="4" t="str">
        <x:v>REQ-2dd362e08d82</x:v>
      </x:c>
      <x:c r="B473" s="4" t="str">
        <x:v>运营管理</x:v>
      </x:c>
      <x:c r="C473" s="4" t="n">
        <x:v>2874</x:v>
      </x:c>
      <x:c r="D473" s="4" t="str">
        <x:v>发送时间：计划时间；已发送后保留实际执行结果。</x:v>
      </x:c>
      <x:c r="E473" s="4" t="str">
        <x:v>整段分支核验未闭合</x:v>
      </x:c>
      <x:c r="F473" s="4" t="str">
        <x:v>ADMIN-0432</x:v>
      </x:c>
      <x:c r="G473" s="4" t="str">
        <x:v>本段剩余子句、条件组合及状态后续影响仍需与独立规则逐项闭合；这是生成覆盖缺口，不是产品决策缺失。</x:v>
      </x:c>
    </x:row>
    <x:row r="474" ht="44" customHeight="1">
      <x:c r="A474" s="4" t="str">
        <x:v>REQ-99290002a192</x:v>
      </x:c>
      <x:c r="B474" s="4" t="str">
        <x:v>运营管理</x:v>
      </x:c>
      <x:c r="C474" s="4" t="n">
        <x:v>2875</x:v>
      </x:c>
      <x:c r="D474" s="4" t="str">
        <x:v>已发送任务及发送结果只读。</x:v>
      </x:c>
      <x:c r="E474" s="4" t="str">
        <x:v>尚未建立场景映射</x:v>
      </x:c>
      <x:c r="F474" s="4" t="str"/>
      <x:c r="G474" s="4" t="str">
        <x:v>本轮独立来源库保留该已知条款，但尚未建立可核验的正式场景映射；不是无业务依据，也不转为产品待确认。</x:v>
      </x:c>
    </x:row>
    <x:row r="475" ht="44" customHeight="1">
      <x:c r="A475" s="4" t="str">
        <x:v>REQ-7621feb18712</x:v>
      </x:c>
      <x:c r="B475" s="4" t="str">
        <x:v>运营管理</x:v>
      </x:c>
      <x:c r="C475" s="4" t="n">
        <x:v>2876</x:v>
      </x:c>
      <x:c r="D475" s="4" t="str">
        <x:v>查询 -&gt; 内容、目标、状态和时间取交集；新建或待发送编辑 -&gt; 详情。</x:v>
      </x:c>
      <x:c r="E475" s="4" t="str">
        <x:v>整段分支核验未闭合</x:v>
      </x:c>
      <x:c r="F475" s="4" t="str">
        <x:v>ADMIN-0536、ADMIN-0537、ADMIN-0538</x:v>
      </x:c>
      <x:c r="G475" s="4" t="str">
        <x:v>本段剩余子句、条件组合及状态后续影响仍需与独立规则逐项闭合；这是生成覆盖缺口，不是产品决策缺失。</x:v>
      </x:c>
    </x:row>
    <x:row r="476" ht="44" customHeight="1">
      <x:c r="A476" s="4" t="str">
        <x:v>REQ-685198724a03</x:v>
      </x:c>
      <x:c r="B476" s="4" t="str">
        <x:v>运营管理</x:v>
      </x:c>
      <x:c r="C476" s="4" t="n">
        <x:v>2881</x:v>
      </x:c>
      <x:c r="D476" s="4" t="str">
        <x:v>推送 ID：新建系统生成，已存在只读。</x:v>
      </x:c>
      <x:c r="E476" s="4" t="str">
        <x:v>整段分支核验未闭合</x:v>
      </x:c>
      <x:c r="F476" s="4" t="str">
        <x:v>ADMIN-0433</x:v>
      </x:c>
      <x:c r="G476" s="4" t="str">
        <x:v>本段剩余子句、条件组合及状态后续影响仍需与独立规则逐项闭合；这是生成覆盖缺口，不是产品决策缺失。</x:v>
      </x:c>
    </x:row>
    <x:row r="477" ht="57" customHeight="1">
      <x:c r="A477" s="4" t="str">
        <x:v>REQ-f03d71c2f957</x:v>
      </x:c>
      <x:c r="B477" s="4" t="str">
        <x:v>运营管理</x:v>
      </x:c>
      <x:c r="C477" s="4" t="n">
        <x:v>2882</x:v>
      </x:c>
      <x:c r="D477" s="4" t="str">
        <x:v>四语标题 / 内容：中文、英语、印尼语、马来语均必填。</x:v>
      </x:c>
      <x:c r="E477" s="4" t="str">
        <x:v>整段分支核验未闭合</x:v>
      </x:c>
      <x:c r="F477" s="4" t="str">
        <x:v>ADMIN-0374、ADMIN-0375、ADMIN-0376、ADMIN-0377、ADMIN-0378、ADMIN-0379、ADMIN-0380、ADMIN-0381</x:v>
      </x:c>
      <x:c r="G477" s="4" t="str">
        <x:v>本段剩余子句、条件组合及状态后续影响仍需与独立规则逐项闭合；这是生成覆盖缺口，不是产品决策缺失。</x:v>
      </x:c>
    </x:row>
    <x:row r="478" ht="44" customHeight="1">
      <x:c r="A478" s="4" t="str">
        <x:v>REQ-32bff220e773</x:v>
      </x:c>
      <x:c r="B478" s="4" t="str">
        <x:v>运营管理</x:v>
      </x:c>
      <x:c r="C478" s="4" t="n">
        <x:v>2883</x:v>
      </x:c>
      <x:c r="D478" s="4" t="str">
        <x:v>目标用户：全部用户或一个有效公会用户范围。</x:v>
      </x:c>
      <x:c r="E478" s="4" t="str">
        <x:v>整段分支核验未闭合</x:v>
      </x:c>
      <x:c r="F478" s="4" t="str">
        <x:v>ADMIN-0382</x:v>
      </x:c>
      <x:c r="G478" s="4" t="str">
        <x:v>本段剩余子句、条件组合及状态后续影响仍需与独立规则逐项闭合；这是生成覆盖缺口，不是产品决策缺失。</x:v>
      </x:c>
    </x:row>
    <x:row r="479" ht="44" customHeight="1">
      <x:c r="A479" s="4" t="str">
        <x:v>REQ-e06fac70e31d</x:v>
      </x:c>
      <x:c r="B479" s="4" t="str">
        <x:v>运营管理</x:v>
      </x:c>
      <x:c r="C479" s="4" t="n">
        <x:v>2884</x:v>
      </x:c>
      <x:c r="D479" s="4" t="str">
        <x:v>操作信息：记录最后操作人。</x:v>
      </x:c>
      <x:c r="E479" s="4" t="str">
        <x:v>整段分支核验未闭合</x:v>
      </x:c>
      <x:c r="F479" s="4" t="str">
        <x:v>ADMIN-0434</x:v>
      </x:c>
      <x:c r="G479" s="4" t="str">
        <x:v>本段剩余子句、条件组合及状态后续影响仍需与独立规则逐项闭合；这是生成覆盖缺口，不是产品决策缺失。</x:v>
      </x:c>
    </x:row>
    <x:row r="480" ht="57" customHeight="1">
      <x:c r="A480" s="4" t="str">
        <x:v>REQ-404a398cccfb</x:v>
      </x:c>
      <x:c r="B480" s="4" t="str">
        <x:v>运营管理</x:v>
      </x:c>
      <x:c r="C480" s="4" t="n">
        <x:v>2885</x:v>
      </x:c>
      <x:c r="D480" s="4" t="str">
        <x:v>立即发送 -&gt; 校验四语和目标用户 -&gt; 模拟发送成功，状态变为已发送，当前页只读。</x:v>
      </x:c>
      <x:c r="E480" s="4" t="str">
        <x:v>整段分支核验未闭合</x:v>
      </x:c>
      <x:c r="F480" s="4" t="str">
        <x:v>ADMIN-0374、ADMIN-0375、ADMIN-0376、ADMIN-0377、ADMIN-0378、ADMIN-0379、ADMIN-0380、ADMIN-0381、ADMIN-0382</x:v>
      </x:c>
      <x:c r="G480" s="4" t="str">
        <x:v>本段剩余子句、条件组合及状态后续影响仍需与独立规则逐项闭合；这是生成覆盖缺口，不是产品决策缺失。</x:v>
      </x:c>
    </x:row>
    <x:row r="481" ht="44" customHeight="1">
      <x:c r="A481" s="4" t="str">
        <x:v>REQ-010960cb74a4</x:v>
      </x:c>
      <x:c r="B481" s="4" t="str">
        <x:v>运营管理</x:v>
      </x:c>
      <x:c r="C481" s="4" t="n">
        <x:v>2890</x:v>
      </x:c>
      <x:c r="D481" s="4" t="str">
        <x:v>套餐类型：常规长期展示；活动按有效期展示。</x:v>
      </x:c>
      <x:c r="E481" s="4" t="str">
        <x:v>尚未建立场景映射</x:v>
      </x:c>
      <x:c r="F481" s="4" t="str"/>
      <x:c r="G481" s="4" t="str">
        <x:v>本轮独立来源库保留该已知条款，但尚未建立可核验的正式场景映射；不是无业务依据，也不转为产品待确认。</x:v>
      </x:c>
    </x:row>
    <x:row r="482" ht="44" customHeight="1">
      <x:c r="A482" s="4" t="str">
        <x:v>REQ-49629a5a076b</x:v>
      </x:c>
      <x:c r="B482" s="4" t="str">
        <x:v>运营管理</x:v>
      </x:c>
      <x:c r="C482" s="4" t="n">
        <x:v>2891</x:v>
      </x:c>
      <x:c r="D482" s="4" t="str">
        <x:v>销售价格：大于 0 的 USD 金额。</x:v>
      </x:c>
      <x:c r="E482" s="4" t="str">
        <x:v>尚未建立场景映射</x:v>
      </x:c>
      <x:c r="F482" s="4" t="str"/>
      <x:c r="G482" s="4" t="str">
        <x:v>本轮独立来源库保留该已知条款，但尚未建立可核验的正式场景映射；不是无业务依据，也不转为产品待确认。</x:v>
      </x:c>
    </x:row>
    <x:row r="483" ht="44" customHeight="1">
      <x:c r="A483" s="4" t="str">
        <x:v>REQ-4f668e22c823</x:v>
      </x:c>
      <x:c r="B483" s="4" t="str">
        <x:v>运营管理</x:v>
      </x:c>
      <x:c r="C483" s="4" t="n">
        <x:v>2892</x:v>
      </x:c>
      <x:c r="D483" s="4" t="str">
        <x:v>充值 / 赠送金币：基础金币大于 0，赠送金币不小于 0；到账 = 两者之和。</x:v>
      </x:c>
      <x:c r="E483" s="4" t="str">
        <x:v>尚未建立场景映射</x:v>
      </x:c>
      <x:c r="F483" s="4" t="str"/>
      <x:c r="G483" s="4" t="str">
        <x:v>本轮独立来源库保留该已知条款，但尚未建立可核验的正式场景映射；不是无业务依据，也不转为产品待确认。</x:v>
      </x:c>
    </x:row>
    <x:row r="484" ht="44" customHeight="1">
      <x:c r="A484" s="4" t="str">
        <x:v>REQ-f06afc4d16ca</x:v>
      </x:c>
      <x:c r="B484" s="4" t="str">
        <x:v>运营管理</x:v>
      </x:c>
      <x:c r="C484" s="4" t="n">
        <x:v>2893</x:v>
      </x:c>
      <x:c r="D484" s="4" t="str">
        <x:v>单用户限购：非负整数；0 表示不限。</x:v>
      </x:c>
      <x:c r="E484" s="4" t="str">
        <x:v>尚未建立场景映射</x:v>
      </x:c>
      <x:c r="F484" s="4" t="str"/>
      <x:c r="G484" s="4" t="str">
        <x:v>本轮独立来源库保留该已知条款，但尚未建立可核验的正式场景映射；不是无业务依据，也不转为产品待确认。</x:v>
      </x:c>
    </x:row>
    <x:row r="485" ht="44" customHeight="1">
      <x:c r="A485" s="4" t="str">
        <x:v>REQ-32780c56961b</x:v>
      </x:c>
      <x:c r="B485" s="4" t="str">
        <x:v>运营管理</x:v>
      </x:c>
      <x:c r="C485" s="4" t="n">
        <x:v>2894</x:v>
      </x:c>
      <x:c r="D485" s="4" t="str">
        <x:v>排序 / 状态：权重越大越靠前；下架后不可新购。</x:v>
      </x:c>
      <x:c r="E485" s="4" t="str">
        <x:v>尚未建立场景映射</x:v>
      </x:c>
      <x:c r="F485" s="4" t="str"/>
      <x:c r="G485" s="4" t="str">
        <x:v>本轮独立来源库保留该已知条款，但尚未建立可核验的正式场景映射；不是无业务依据，也不转为产品待确认。</x:v>
      </x:c>
    </x:row>
    <x:row r="486" ht="44" customHeight="1">
      <x:c r="A486" s="4" t="str">
        <x:v>REQ-754fce9c7aa4</x:v>
      </x:c>
      <x:c r="B486" s="4" t="str">
        <x:v>运营管理</x:v>
      </x:c>
      <x:c r="C486" s="4" t="n">
        <x:v>2895</x:v>
      </x:c>
      <x:c r="D486" s="4" t="str">
        <x:v>配置变更不追溯已完成充值订单。</x:v>
      </x:c>
      <x:c r="E486" s="4" t="str">
        <x:v>整段分支核验未闭合</x:v>
      </x:c>
      <x:c r="F486" s="4" t="str">
        <x:v>ADMIN-0566</x:v>
      </x:c>
      <x:c r="G486" s="4" t="str">
        <x:v>本段剩余子句、条件组合及状态后续影响仍需与独立规则逐项闭合；这是生成覆盖缺口，不是产品决策缺失。</x:v>
      </x:c>
    </x:row>
    <x:row r="487" ht="44" customHeight="1">
      <x:c r="A487" s="4" t="str">
        <x:v>REQ-c58f68590221</x:v>
      </x:c>
      <x:c r="B487" s="4" t="str">
        <x:v>运营管理</x:v>
      </x:c>
      <x:c r="C487" s="4" t="n">
        <x:v>2896</x:v>
      </x:c>
      <x:c r="D487" s="4" t="str">
        <x:v>编辑 -&gt; 详情；上下架或删除 -&gt; 确认后仅影响后续购买。</x:v>
      </x:c>
      <x:c r="E487" s="4" t="str">
        <x:v>尚未建立场景映射</x:v>
      </x:c>
      <x:c r="F487" s="4" t="str"/>
      <x:c r="G487" s="4" t="str">
        <x:v>本轮独立来源库保留该已知条款，但尚未建立可核验的正式场景映射；不是无业务依据，也不转为产品待确认。</x:v>
      </x:c>
    </x:row>
    <x:row r="488" ht="44" customHeight="1">
      <x:c r="A488" s="4" t="str">
        <x:v>REQ-305d78ae3746</x:v>
      </x:c>
      <x:c r="B488" s="4" t="str">
        <x:v>运营管理</x:v>
      </x:c>
      <x:c r="C488" s="4" t="n">
        <x:v>2901</x:v>
      </x:c>
      <x:c r="D488" s="4" t="str">
        <x:v>套餐 ID：新建唯一，编辑只读。</x:v>
      </x:c>
      <x:c r="E488" s="4" t="str">
        <x:v>整段分支核验未闭合</x:v>
      </x:c>
      <x:c r="F488" s="4" t="str">
        <x:v>ADMIN-0059、ADMIN-0060</x:v>
      </x:c>
      <x:c r="G488" s="4" t="str">
        <x:v>本段剩余子句、条件组合及状态后续影响仍需与独立规则逐项闭合；这是生成覆盖缺口，不是产品决策缺失。</x:v>
      </x:c>
    </x:row>
    <x:row r="489" ht="44" customHeight="1">
      <x:c r="A489" s="4" t="str">
        <x:v>REQ-c8adc3584262</x:v>
      </x:c>
      <x:c r="B489" s="4" t="str">
        <x:v>运营管理</x:v>
      </x:c>
      <x:c r="C489" s="4" t="n">
        <x:v>2902</x:v>
      </x:c>
      <x:c r="D489" s="4" t="str">
        <x:v>类型 / 封面：类型必选，封面必传。</x:v>
      </x:c>
      <x:c r="E489" s="4" t="str">
        <x:v>整段分支核验未闭合</x:v>
      </x:c>
      <x:c r="F489" s="4" t="str">
        <x:v>ADMIN-0053、ADMIN-0054</x:v>
      </x:c>
      <x:c r="G489" s="4" t="str">
        <x:v>本段剩余子句、条件组合及状态后续影响仍需与独立规则逐项闭合；这是生成覆盖缺口，不是产品决策缺失。</x:v>
      </x:c>
    </x:row>
    <x:row r="490" ht="44" customHeight="1">
      <x:c r="A490" s="4" t="str">
        <x:v>REQ-042dc71d2e4d</x:v>
      </x:c>
      <x:c r="B490" s="4" t="str">
        <x:v>运营管理</x:v>
      </x:c>
      <x:c r="C490" s="4" t="n">
        <x:v>2903</x:v>
      </x:c>
      <x:c r="D490" s="4" t="str">
        <x:v>销售价格：大于 0，最多两位小数，USD。</x:v>
      </x:c>
      <x:c r="E490" s="4" t="str">
        <x:v>整段分支核验未闭合</x:v>
      </x:c>
      <x:c r="F490" s="4" t="str">
        <x:v>ADMIN-0105、ADMIN-0106、ADMIN-0107、ADMIN-0108、ADMIN-0109</x:v>
      </x:c>
      <x:c r="G490" s="4" t="str">
        <x:v>本段剩余子句、条件组合及状态后续影响仍需与独立规则逐项闭合；这是生成覆盖缺口，不是产品决策缺失。</x:v>
      </x:c>
    </x:row>
    <x:row r="491" ht="57" customHeight="1">
      <x:c r="A491" s="4" t="str">
        <x:v>REQ-54fe7fbda407</x:v>
      </x:c>
      <x:c r="B491" s="4" t="str">
        <x:v>运营管理</x:v>
      </x:c>
      <x:c r="C491" s="4" t="n">
        <x:v>2904</x:v>
      </x:c>
      <x:c r="D491" s="4" t="str">
        <x:v>充值 / 赠送金币：正整数 / 非负整数；到账金币 = 充值金币 + 赠送金币。</x:v>
      </x:c>
      <x:c r="E491" s="4" t="str">
        <x:v>整段分支核验未闭合</x:v>
      </x:c>
      <x:c r="F491" s="4" t="str">
        <x:v>ADMIN-0055、ADMIN-0056、ADMIN-0057、ADMIN-0058、ADMIN-0110、ADMIN-0111、ADMIN-0112、ADMIN-0113</x:v>
      </x:c>
      <x:c r="G491" s="4" t="str">
        <x:v>本段剩余子句、条件组合及状态后续影响仍需与独立规则逐项闭合；这是生成覆盖缺口，不是产品决策缺失。</x:v>
      </x:c>
    </x:row>
    <x:row r="492" ht="44" customHeight="1">
      <x:c r="A492" s="4" t="str">
        <x:v>REQ-e66ef76860a4</x:v>
      </x:c>
      <x:c r="B492" s="4" t="str">
        <x:v>运营管理</x:v>
      </x:c>
      <x:c r="C492" s="4" t="n">
        <x:v>2905</x:v>
      </x:c>
      <x:c r="D492" s="4" t="str">
        <x:v>限购次数：活动套餐必填非负整数，0 为不限；用户每笔支付成功订单占用 1 次。</x:v>
      </x:c>
      <x:c r="E492" s="4" t="str">
        <x:v>整段分支核验未闭合</x:v>
      </x:c>
      <x:c r="F492" s="4" t="str">
        <x:v>ADMIN-0114、ADMIN-0115、ADMIN-0116、ADMIN-0117</x:v>
      </x:c>
      <x:c r="G492" s="4" t="str">
        <x:v>本段剩余子句、条件组合及状态后续影响仍需与独立规则逐项闭合；这是生成覆盖缺口，不是产品决策缺失。</x:v>
      </x:c>
    </x:row>
    <x:row r="493" ht="44" customHeight="1">
      <x:c r="A493" s="4" t="str">
        <x:v>REQ-ee5d96d38906</x:v>
      </x:c>
      <x:c r="B493" s="4" t="str">
        <x:v>运营管理</x:v>
      </x:c>
      <x:c r="C493" s="4" t="n">
        <x:v>2906</x:v>
      </x:c>
      <x:c r="D493" s="4" t="str">
        <x:v>有效时间：活动套餐必填，结束晚于开始。</x:v>
      </x:c>
      <x:c r="E493" s="4" t="str">
        <x:v>尚未建立场景映射</x:v>
      </x:c>
      <x:c r="F493" s="4" t="str"/>
      <x:c r="G493" s="4" t="str">
        <x:v>本轮独立来源库保留该已知条款，但尚未建立可核验的正式场景映射；不是无业务依据，也不转为产品待确认。</x:v>
      </x:c>
    </x:row>
    <x:row r="494" ht="44" customHeight="1">
      <x:c r="A494" s="4" t="str">
        <x:v>REQ-ed49dba31267</x:v>
      </x:c>
      <x:c r="B494" s="4" t="str">
        <x:v>运营管理</x:v>
      </x:c>
      <x:c r="C494" s="4" t="n">
        <x:v>2907</x:v>
      </x:c>
      <x:c r="D494" s="4" t="str">
        <x:v>排序 / 状态：排序为整数；上架后按类型和有效期展示。</x:v>
      </x:c>
      <x:c r="E494" s="4" t="str">
        <x:v>尚未建立场景映射</x:v>
      </x:c>
      <x:c r="F494" s="4" t="str"/>
      <x:c r="G494" s="4" t="str">
        <x:v>本轮独立来源库保留该已知条款，但尚未建立可核验的正式场景映射；不是无业务依据，也不转为产品待确认。</x:v>
      </x:c>
    </x:row>
    <x:row r="495" ht="44" customHeight="1">
      <x:c r="A495" s="4" t="str">
        <x:v>REQ-dcaa0ae42932</x:v>
      </x:c>
      <x:c r="B495" s="4" t="str">
        <x:v>运营管理</x:v>
      </x:c>
      <x:c r="C495" s="4" t="n">
        <x:v>2908</x:v>
      </x:c>
      <x:c r="D495" s="4" t="str">
        <x:v>活动套餐订单支付成功后占用限购次数；后续发生全额退款时不恢复，防止用户反复购买、退款并重复获得活动资格。</x:v>
      </x:c>
      <x:c r="E495" s="4" t="str">
        <x:v>整段分支核验未闭合</x:v>
      </x:c>
      <x:c r="F495" s="4" t="str">
        <x:v>ADMIN-0114、ADMIN-0115、ADMIN-0116、ADMIN-0117</x:v>
      </x:c>
      <x:c r="G495" s="4" t="str">
        <x:v>本段剩余子句、条件组合及状态后续影响仍需与独立规则逐项闭合；这是生成覆盖缺口，不是产品决策缺失。</x:v>
      </x:c>
    </x:row>
    <x:row r="496" ht="44" customHeight="1">
      <x:c r="A496" s="4" t="str">
        <x:v>REQ-f799cc33e317</x:v>
      </x:c>
      <x:c r="B496" s="4" t="str">
        <x:v>运营管理</x:v>
      </x:c>
      <x:c r="C496" s="4" t="n">
        <x:v>2909</x:v>
      </x:c>
      <x:c r="D496" s="4" t="str">
        <x:v>切换活动套餐 -&gt; 显示并要求限购、有效时间；保存 -&gt; 校验后更新。</x:v>
      </x:c>
      <x:c r="E496" s="4" t="str">
        <x:v>尚未建立场景映射</x:v>
      </x:c>
      <x:c r="F496" s="4" t="str"/>
      <x:c r="G496" s="4" t="str">
        <x:v>本轮独立来源库保留该已知条款，但尚未建立可核验的正式场景映射；不是无业务依据，也不转为产品待确认。</x:v>
      </x:c>
    </x:row>
    <x:row r="497" ht="44" customHeight="1">
      <x:c r="A497" s="4" t="str">
        <x:v>REQ-315ec2f293f7</x:v>
      </x:c>
      <x:c r="B497" s="4" t="str">
        <x:v>运营管理</x:v>
      </x:c>
      <x:c r="C497" s="4" t="n">
        <x:v>2914</x:v>
      </x:c>
      <x:c r="D497" s="4" t="str">
        <x:v>任务 ID / 名称：ID 唯一；名称按四语配置。</x:v>
      </x:c>
      <x:c r="E497" s="4" t="str">
        <x:v>整段分支核验未闭合</x:v>
      </x:c>
      <x:c r="F497" s="4" t="str">
        <x:v>ADMIN-0435、ADMIN-0436</x:v>
      </x:c>
      <x:c r="G497" s="4" t="str">
        <x:v>本段剩余子句、条件组合及状态后续影响仍需与独立规则逐项闭合；这是生成覆盖缺口，不是产品决策缺失。</x:v>
      </x:c>
    </x:row>
    <x:row r="498" ht="44" customHeight="1">
      <x:c r="A498" s="4" t="str">
        <x:v>REQ-d5bb7032b797</x:v>
      </x:c>
      <x:c r="B498" s="4" t="str">
        <x:v>运营管理</x:v>
      </x:c>
      <x:c r="C498" s="4" t="n">
        <x:v>2915</x:v>
      </x:c>
      <x:c r="D498" s="4" t="str">
        <x:v>用户动作：登录、观看、赠礼、分享、邀请等系统预置动作。</x:v>
      </x:c>
      <x:c r="E498" s="4" t="str">
        <x:v>尚未建立场景映射</x:v>
      </x:c>
      <x:c r="F498" s="4" t="str"/>
      <x:c r="G498" s="4" t="str">
        <x:v>本轮独立来源库保留该已知条款，但尚未建立可核验的正式场景映射；不是无业务依据，也不转为产品待确认。</x:v>
      </x:c>
    </x:row>
    <x:row r="499" ht="44" customHeight="1">
      <x:c r="A499" s="4" t="str">
        <x:v>REQ-690eb6cbfacc</x:v>
      </x:c>
      <x:c r="B499" s="4" t="str">
        <x:v>运营管理</x:v>
      </x:c>
      <x:c r="C499" s="4" t="n">
        <x:v>2916</x:v>
      </x:c>
      <x:c r="D499" s="4" t="str">
        <x:v>生效时间：当前时间处于起止范围且状态启用时生效。</x:v>
      </x:c>
      <x:c r="E499" s="4" t="str">
        <x:v>尚未建立场景映射</x:v>
      </x:c>
      <x:c r="F499" s="4" t="str"/>
      <x:c r="G499" s="4" t="str">
        <x:v>本轮独立来源库保留该已知条款，但尚未建立可核验的正式场景映射；不是无业务依据，也不转为产品待确认。</x:v>
      </x:c>
    </x:row>
    <x:row r="500" ht="44" customHeight="1">
      <x:c r="A500" s="4" t="str">
        <x:v>REQ-04b2225dbcd5</x:v>
      </x:c>
      <x:c r="B500" s="4" t="str">
        <x:v>运营管理</x:v>
      </x:c>
      <x:c r="C500" s="4" t="n">
        <x:v>2917</x:v>
      </x:c>
      <x:c r="D500" s="4" t="str">
        <x:v>状态：启用、停用；停用后不产生新进度。</x:v>
      </x:c>
      <x:c r="E500" s="4" t="str">
        <x:v>尚未建立场景映射</x:v>
      </x:c>
      <x:c r="F500" s="4" t="str"/>
      <x:c r="G500" s="4" t="str">
        <x:v>本轮独立来源库保留该已知条款，但尚未建立可核验的正式场景映射；不是无业务依据，也不转为产品待确认。</x:v>
      </x:c>
    </x:row>
    <x:row r="501" ht="44" customHeight="1">
      <x:c r="A501" s="4" t="str">
        <x:v>REQ-9f619fd02712</x:v>
      </x:c>
      <x:c r="B501" s="4" t="str">
        <x:v>运营管理</x:v>
      </x:c>
      <x:c r="C501" s="4" t="n">
        <x:v>2918</x:v>
      </x:c>
      <x:c r="D501" s="4" t="str">
        <x:v>动作和指标由系统预置；本期奖励仅金币且由用户手动领取。</x:v>
      </x:c>
      <x:c r="E501" s="4" t="str">
        <x:v>尚未建立场景映射</x:v>
      </x:c>
      <x:c r="F501" s="4" t="str"/>
      <x:c r="G501" s="4" t="str">
        <x:v>本轮独立来源库保留该已知条款，但尚未建立可核验的正式场景映射；不是无业务依据，也不转为产品待确认。</x:v>
      </x:c>
    </x:row>
    <x:row r="502" ht="44" customHeight="1">
      <x:c r="A502" s="4" t="str">
        <x:v>REQ-b4e9502d62fc</x:v>
      </x:c>
      <x:c r="B502" s="4" t="str">
        <x:v>运营管理</x:v>
      </x:c>
      <x:c r="C502" s="4" t="n">
        <x:v>2919</x:v>
      </x:c>
      <x:c r="D502" s="4" t="str">
        <x:v>新增或编辑 -&gt; 详情；启停 -&gt; 确认后影响后续进度，不回收已领奖励。</x:v>
      </x:c>
      <x:c r="E502" s="4" t="str">
        <x:v>尚未建立场景映射</x:v>
      </x:c>
      <x:c r="F502" s="4" t="str"/>
      <x:c r="G502" s="4" t="str">
        <x:v>本轮独立来源库保留该已知条款，但尚未建立可核验的正式场景映射；不是无业务依据，也不转为产品待确认。</x:v>
      </x:c>
    </x:row>
    <x:row r="503" ht="44" customHeight="1">
      <x:c r="A503" s="4" t="str">
        <x:v>REQ-1132b8ac8e9c</x:v>
      </x:c>
      <x:c r="B503" s="4" t="str">
        <x:v>运营管理</x:v>
      </x:c>
      <x:c r="C503" s="4" t="n">
        <x:v>2924</x:v>
      </x:c>
      <x:c r="D503" s="4" t="str">
        <x:v>四语名称：全部必填。</x:v>
      </x:c>
      <x:c r="E503" s="4" t="str">
        <x:v>整段分支核验未闭合</x:v>
      </x:c>
      <x:c r="F503" s="4" t="str">
        <x:v>ADMIN-0061、ADMIN-0062、ADMIN-0063、ADMIN-0064</x:v>
      </x:c>
      <x:c r="G503" s="4" t="str">
        <x:v>本段剩余子句、条件组合及状态后续影响仍需与独立规则逐项闭合；这是生成覆盖缺口，不是产品决策缺失。</x:v>
      </x:c>
    </x:row>
    <x:row r="504" ht="44" customHeight="1">
      <x:c r="A504" s="4" t="str">
        <x:v>REQ-a8352082f2d7</x:v>
      </x:c>
      <x:c r="B504" s="4" t="str">
        <x:v>运营管理</x:v>
      </x:c>
      <x:c r="C504" s="4" t="n">
        <x:v>2925</x:v>
      </x:c>
      <x:c r="D504" s="4" t="str">
        <x:v>生效时间：起止必填，结束晚于开始。</x:v>
      </x:c>
      <x:c r="E504" s="4" t="str">
        <x:v>尚未建立场景映射</x:v>
      </x:c>
      <x:c r="F504" s="4" t="str"/>
      <x:c r="G504" s="4" t="str">
        <x:v>本轮独立来源库保留该已知条款，但尚未建立可核验的正式场景映射；不是无业务依据，也不转为产品待确认。</x:v>
      </x:c>
    </x:row>
    <x:row r="505" ht="44" customHeight="1">
      <x:c r="A505" s="4" t="str">
        <x:v>REQ-9c89bda37cfc</x:v>
      </x:c>
      <x:c r="B505" s="4" t="str">
        <x:v>运营管理</x:v>
      </x:c>
      <x:c r="C505" s="4" t="n">
        <x:v>2926</x:v>
      </x:c>
      <x:c r="D505" s="4" t="str">
        <x:v>用户动作 / 指标：指标随动作联动，只能选择系统预置组合。</x:v>
      </x:c>
      <x:c r="E505" s="4" t="str">
        <x:v>整段分支核验未闭合</x:v>
      </x:c>
      <x:c r="F505" s="4" t="str">
        <x:v>ADMIN-0389</x:v>
      </x:c>
      <x:c r="G505" s="4" t="str">
        <x:v>本段剩余子句、条件组合及状态后续影响仍需与独立规则逐项闭合；这是生成覆盖缺口，不是产品决策缺失。</x:v>
      </x:c>
    </x:row>
    <x:row r="506" ht="44" customHeight="1">
      <x:c r="A506" s="4" t="str">
        <x:v>REQ-2ee01d1e3087</x:v>
      </x:c>
      <x:c r="B506" s="4" t="str">
        <x:v>运营管理</x:v>
      </x:c>
      <x:c r="C506" s="4" t="n">
        <x:v>2927</x:v>
      </x:c>
      <x:c r="D506" s="4" t="str">
        <x:v>统计周期：仅展示该指标支持的每日、每周、每月或任务期累计。</x:v>
      </x:c>
      <x:c r="E506" s="4" t="str">
        <x:v>尚未建立场景映射</x:v>
      </x:c>
      <x:c r="F506" s="4" t="str"/>
      <x:c r="G506" s="4" t="str">
        <x:v>本轮独立来源库保留该已知条款，但尚未建立可核验的正式场景映射；不是无业务依据，也不转为产品待确认。</x:v>
      </x:c>
    </x:row>
    <x:row r="507" ht="44" customHeight="1">
      <x:c r="A507" s="4" t="str">
        <x:v>REQ-3d177fe0cc53</x:v>
      </x:c>
      <x:c r="B507" s="4" t="str">
        <x:v>运营管理</x:v>
      </x:c>
      <x:c r="C507" s="4" t="n">
        <x:v>2928</x:v>
      </x:c>
      <x:c r="D507" s="4" t="str">
        <x:v>达成条件：至少 1 条；同任务阈值互不重复且为正数。</x:v>
      </x:c>
      <x:c r="E507" s="4" t="str">
        <x:v>整段分支核验未闭合</x:v>
      </x:c>
      <x:c r="F507" s="4" t="str">
        <x:v>ADMIN-0383、ADMIN-0384、ADMIN-0385、ADMIN-0386、ADMIN-0387、ADMIN-0388</x:v>
      </x:c>
      <x:c r="G507" s="4" t="str">
        <x:v>本段剩余子句、条件组合及状态后续影响仍需与独立规则逐项闭合；这是生成覆盖缺口，不是产品决策缺失。</x:v>
      </x:c>
    </x:row>
    <x:row r="508" ht="44" customHeight="1">
      <x:c r="A508" s="4" t="str">
        <x:v>REQ-b2777c1adc0e</x:v>
      </x:c>
      <x:c r="B508" s="4" t="str">
        <x:v>运营管理</x:v>
      </x:c>
      <x:c r="C508" s="4" t="n">
        <x:v>2929</x:v>
      </x:c>
      <x:c r="D508" s="4" t="str">
        <x:v>达成奖励：正整数金币；每个阈值独立可领取一次。</x:v>
      </x:c>
      <x:c r="E508" s="4" t="str">
        <x:v>整段分支核验未闭合</x:v>
      </x:c>
      <x:c r="F508" s="4" t="str">
        <x:v>ADMIN-0065、ADMIN-0066、ADMIN-0067、ADMIN-0068</x:v>
      </x:c>
      <x:c r="G508" s="4" t="str">
        <x:v>本段剩余子句、条件组合及状态后续影响仍需与独立规则逐项闭合；这是生成覆盖缺口，不是产品决策缺失。</x:v>
      </x:c>
    </x:row>
    <x:row r="509" ht="44" customHeight="1">
      <x:c r="A509" s="4" t="str">
        <x:v>REQ-b44dfbbfd8af</x:v>
      </x:c>
      <x:c r="B509" s="4" t="str">
        <x:v>运营管理</x:v>
      </x:c>
      <x:c r="C509" s="4" t="n">
        <x:v>2930</x:v>
      </x:c>
      <x:c r="D509" s="4" t="str">
        <x:v>周期开始时周期型进度归零；任务期累计不归零；仅金币奖励且手动领取。</x:v>
      </x:c>
      <x:c r="E509" s="4" t="str">
        <x:v>尚未建立场景映射</x:v>
      </x:c>
      <x:c r="F509" s="4" t="str"/>
      <x:c r="G509" s="4" t="str">
        <x:v>本轮独立来源库保留该已知条款，但尚未建立可核验的正式场景映射；不是无业务依据，也不转为产品待确认。</x:v>
      </x:c>
    </x:row>
    <x:row r="510" ht="44" customHeight="1">
      <x:c r="A510" s="4" t="str">
        <x:v>REQ-6bc38b535564</x:v>
      </x:c>
      <x:c r="B510" s="4" t="str">
        <x:v>运营管理</x:v>
      </x:c>
      <x:c r="C510" s="4" t="n">
        <x:v>2931</x:v>
      </x:c>
      <x:c r="D510" s="4" t="str">
        <x:v>切换动作 -&gt; 重置可选指标和周期；保存 -&gt; 校验条件、阈值、奖励和时间。</x:v>
      </x:c>
      <x:c r="E510" s="4" t="str">
        <x:v>尚未建立场景映射</x:v>
      </x:c>
      <x:c r="F510" s="4" t="str"/>
      <x:c r="G510" s="4" t="str">
        <x:v>本轮独立来源库保留该已知条款，但尚未建立可核验的正式场景映射；不是无业务依据，也不转为产品待确认。</x:v>
      </x:c>
    </x:row>
    <x:row r="511" ht="44" customHeight="1">
      <x:c r="A511" s="4" t="str">
        <x:v>REQ-bc454b5fd930</x:v>
      </x:c>
      <x:c r="B511" s="4" t="str">
        <x:v>运营管理</x:v>
      </x:c>
      <x:c r="C511" s="4" t="n">
        <x:v>2936</x:v>
      </x:c>
      <x:c r="D511" s="4" t="str">
        <x:v>公会信息：仅有效公会；同一公会只能配置一次。</x:v>
      </x:c>
      <x:c r="E511" s="4" t="str">
        <x:v>尚未建立场景映射</x:v>
      </x:c>
      <x:c r="F511" s="4" t="str"/>
      <x:c r="G511" s="4" t="str">
        <x:v>本轮独立来源库保留该已知条款，但尚未建立可核验的正式场景映射；不是无业务依据，也不转为产品待确认。</x:v>
      </x:c>
    </x:row>
    <x:row r="512" ht="44" customHeight="1">
      <x:c r="A512" s="4" t="str">
        <x:v>REQ-e944ca487c15</x:v>
      </x:c>
      <x:c r="B512" s="4" t="str">
        <x:v>运营管理</x:v>
      </x:c>
      <x:c r="C512" s="4" t="n">
        <x:v>2937</x:v>
      </x:c>
      <x:c r="D512" s="4" t="str">
        <x:v>排序权重：正整数，数值越大越靠前。</x:v>
      </x:c>
      <x:c r="E512" s="4" t="str">
        <x:v>整段分支核验未闭合</x:v>
      </x:c>
      <x:c r="F512" s="4" t="str">
        <x:v>ADMIN-0390</x:v>
      </x:c>
      <x:c r="G512" s="4" t="str">
        <x:v>本段剩余子句、条件组合及状态后续影响仍需与独立规则逐项闭合；这是生成覆盖缺口，不是产品决策缺失。</x:v>
      </x:c>
    </x:row>
    <x:row r="513" ht="44" customHeight="1">
      <x:c r="A513" s="4" t="str">
        <x:v>REQ-4a4ab5c8a860</x:v>
      </x:c>
      <x:c r="B513" s="4" t="str">
        <x:v>运营管理</x:v>
      </x:c>
      <x:c r="C513" s="4" t="n">
        <x:v>2938</x:v>
      </x:c>
      <x:c r="D513" s="4" t="str">
        <x:v>更新时间：最近保存时间。</x:v>
      </x:c>
      <x:c r="E513" s="4" t="str">
        <x:v>整段分支核验未闭合</x:v>
      </x:c>
      <x:c r="F513" s="4" t="str">
        <x:v>ADMIN-0437</x:v>
      </x:c>
      <x:c r="G513" s="4" t="str">
        <x:v>本段剩余子句、条件组合及状态后续影响仍需与独立规则逐项闭合；这是生成覆盖缺口，不是产品决策缺失。</x:v>
      </x:c>
    </x:row>
    <x:row r="514" ht="44" customHeight="1">
      <x:c r="A514" s="4" t="str">
        <x:v>REQ-a0ce9338e420</x:v>
      </x:c>
      <x:c r="B514" s="4" t="str">
        <x:v>运营管理</x:v>
      </x:c>
      <x:c r="C514" s="4" t="n">
        <x:v>2939</x:v>
      </x:c>
      <x:c r="D514" s="4" t="str">
        <x:v>移除推荐不改变公会状态。</x:v>
      </x:c>
      <x:c r="E514" s="4" t="str">
        <x:v>整段分支核验未闭合</x:v>
      </x:c>
      <x:c r="F514" s="4" t="str">
        <x:v>ADMIN-0391</x:v>
      </x:c>
      <x:c r="G514" s="4" t="str">
        <x:v>本段剩余子句、条件组合及状态后续影响仍需与独立规则逐项闭合；这是生成覆盖缺口，不是产品决策缺失。</x:v>
      </x:c>
    </x:row>
    <x:row r="515" ht="44" customHeight="1">
      <x:c r="A515" s="4" t="str">
        <x:v>REQ-1c5f3251e17f</x:v>
      </x:c>
      <x:c r="B515" s="4" t="str">
        <x:v>运营管理</x:v>
      </x:c>
      <x:c r="C515" s="4" t="n">
        <x:v>2940</x:v>
      </x:c>
      <x:c r="D515" s="4" t="str">
        <x:v>新增或编辑 -&gt; 详情；移除 -&gt; 确认后退出推荐。</x:v>
      </x:c>
      <x:c r="E515" s="4" t="str">
        <x:v>整段分支核验未闭合</x:v>
      </x:c>
      <x:c r="F515" s="4" t="str">
        <x:v>ADMIN-0391</x:v>
      </x:c>
      <x:c r="G515" s="4" t="str">
        <x:v>本段剩余子句、条件组合及状态后续影响仍需与独立规则逐项闭合；这是生成覆盖缺口，不是产品决策缺失。</x:v>
      </x:c>
    </x:row>
    <x:row r="516" ht="44" customHeight="1">
      <x:c r="A516" s="4" t="str">
        <x:v>REQ-6147649b32d7</x:v>
      </x:c>
      <x:c r="B516" s="4" t="str">
        <x:v>运营管理</x:v>
      </x:c>
      <x:c r="C516" s="4" t="n">
        <x:v>2945</x:v>
      </x:c>
      <x:c r="D516" s="4" t="str">
        <x:v>推荐公会：必选有效且未配置的公会；编辑时不可重复。</x:v>
      </x:c>
      <x:c r="E516" s="4" t="str">
        <x:v>整段分支核验未闭合</x:v>
      </x:c>
      <x:c r="F516" s="4" t="str">
        <x:v>ADMIN-0069</x:v>
      </x:c>
      <x:c r="G516" s="4" t="str">
        <x:v>本段剩余子句、条件组合及状态后续影响仍需与独立规则逐项闭合；这是生成覆盖缺口，不是产品决策缺失。</x:v>
      </x:c>
    </x:row>
    <x:row r="517" ht="44" customHeight="1">
      <x:c r="A517" s="4" t="str">
        <x:v>REQ-4ad383f1de8a</x:v>
      </x:c>
      <x:c r="B517" s="4" t="str">
        <x:v>运营管理</x:v>
      </x:c>
      <x:c r="C517" s="4" t="n">
        <x:v>2946</x:v>
      </x:c>
      <x:c r="D517" s="4" t="str">
        <x:v>排序权重：必填正整数；相同权重按最近更新时间倒序。</x:v>
      </x:c>
      <x:c r="E517" s="4" t="str">
        <x:v>整段分支核验未闭合</x:v>
      </x:c>
      <x:c r="F517" s="4" t="str">
        <x:v>ADMIN-0070、ADMIN-0071、ADMIN-0072、ADMIN-0073、ADMIN-0390</x:v>
      </x:c>
      <x:c r="G517" s="4" t="str">
        <x:v>本段剩余子句、条件组合及状态后续影响仍需与独立规则逐项闭合；这是生成覆盖缺口，不是产品决策缺失。</x:v>
      </x:c>
    </x:row>
    <x:row r="518" ht="44" customHeight="1">
      <x:c r="A518" s="4" t="str">
        <x:v>REQ-7b7c882d1216</x:v>
      </x:c>
      <x:c r="B518" s="4" t="str">
        <x:v>运营管理</x:v>
      </x:c>
      <x:c r="C518" s="4" t="n">
        <x:v>2947</x:v>
      </x:c>
      <x:c r="D518" s="4" t="str">
        <x:v>保存 -&gt; 校验公会有效性和重复配置 -&gt; 更新推荐列表。</x:v>
      </x:c>
      <x:c r="E518" s="4" t="str">
        <x:v>尚未建立场景映射</x:v>
      </x:c>
      <x:c r="F518" s="4" t="str"/>
      <x:c r="G518" s="4" t="str">
        <x:v>本轮独立来源库保留该已知条款，但尚未建立可核验的正式场景映射；不是无业务依据，也不转为产品待确认。</x:v>
      </x:c>
    </x:row>
    <x:row r="519" ht="44" customHeight="1">
      <x:c r="A519" s="4" t="str">
        <x:v>REQ-248d506c0843</x:v>
      </x:c>
      <x:c r="B519" s="4" t="str">
        <x:v>运营管理</x:v>
      </x:c>
      <x:c r="C519" s="4" t="n">
        <x:v>2951</x:v>
      </x:c>
      <x:c r="D519" s="4" t="str">
        <x:v>Tab：统计对象；配置字段</x:v>
      </x:c>
      <x:c r="E519" s="4" t="str">
        <x:v>尚未建立场景映射</x:v>
      </x:c>
      <x:c r="F519" s="4" t="str"/>
      <x:c r="G519" s="4" t="str">
        <x:v>本轮独立来源库保留该已知条款，但尚未建立可核验的正式场景映射；不是无业务依据，也不转为产品待确认。</x:v>
      </x:c>
    </x:row>
    <x:row r="520" ht="44" customHeight="1">
      <x:c r="A520" s="4" t="str">
        <x:v>REQ-e0ca23f64a01</x:v>
      </x:c>
      <x:c r="B520" s="4" t="str">
        <x:v>运营管理</x:v>
      </x:c>
      <x:c r="C520" s="4" t="n">
        <x:v>2952</x:v>
      </x:c>
      <x:c r="D520" s="4" t="str">
        <x:v>主播等级：单个主播累计获得的收益。；等级、收益数值（金币）、勋章图。</x:v>
      </x:c>
      <x:c r="E520" s="4" t="str">
        <x:v>尚未建立场景映射</x:v>
      </x:c>
      <x:c r="F520" s="4" t="str"/>
      <x:c r="G520" s="4" t="str">
        <x:v>本轮独立来源库保留该已知条款，但尚未建立可核验的正式场景映射；不是无业务依据，也不转为产品待确认。</x:v>
      </x:c>
    </x:row>
    <x:row r="521" ht="44" customHeight="1">
      <x:c r="A521" s="4" t="str">
        <x:v>REQ-295ff7b3ed75</x:v>
      </x:c>
      <x:c r="B521" s="4" t="str">
        <x:v>运营管理</x:v>
      </x:c>
      <x:c r="C521" s="4" t="n">
        <x:v>2953</x:v>
      </x:c>
      <x:c r="D521" s="4" t="str">
        <x:v>财富等级：单个用户向所有主播累计送礼的贡献。；等级、送礼贡献（金币）、勋章图。</x:v>
      </x:c>
      <x:c r="E521" s="4" t="str">
        <x:v>尚未建立场景映射</x:v>
      </x:c>
      <x:c r="F521" s="4" t="str"/>
      <x:c r="G521" s="4" t="str">
        <x:v>本轮独立来源库保留该已知条款，但尚未建立可核验的正式场景映射；不是无业务依据，也不转为产品待确认。</x:v>
      </x:c>
    </x:row>
    <x:row r="522" ht="44" customHeight="1">
      <x:c r="A522" s="4" t="str">
        <x:v>REQ-47e024b25fbc</x:v>
      </x:c>
      <x:c r="B522" s="4" t="str">
        <x:v>运营管理</x:v>
      </x:c>
      <x:c r="C522" s="4" t="n">
        <x:v>2954</x:v>
      </x:c>
      <x:c r="D522" s="4" t="str">
        <x:v>粉丝等级：单个用户对单个主播的送礼贡献，不同主播分别计算。；等级、对主播送礼贡献（金币）、勋章图。</x:v>
      </x:c>
      <x:c r="E522" s="4" t="str">
        <x:v>尚未建立场景映射</x:v>
      </x:c>
      <x:c r="F522" s="4" t="str"/>
      <x:c r="G522" s="4" t="str">
        <x:v>本轮独立来源库保留该已知条款，但尚未建立可核验的正式场景映射；不是无业务依据，也不转为产品待确认。</x:v>
      </x:c>
    </x:row>
    <x:row r="523" ht="44" customHeight="1">
      <x:c r="A523" s="4" t="str">
        <x:v>REQ-2fe37a75330f</x:v>
      </x:c>
      <x:c r="B523" s="4" t="str">
        <x:v>运营管理</x:v>
      </x:c>
      <x:c r="C523" s="4" t="n">
        <x:v>2955</x:v>
      </x:c>
      <x:c r="D523" s="4" t="str">
        <x:v>粉丝团等级：单个粉丝团累计收礼。；等级、粉丝团累计收礼（金币）、勋章图。</x:v>
      </x:c>
      <x:c r="E523" s="4" t="str">
        <x:v>尚未建立场景映射</x:v>
      </x:c>
      <x:c r="F523" s="4" t="str"/>
      <x:c r="G523" s="4" t="str">
        <x:v>本轮独立来源库保留该已知条款，但尚未建立可核验的正式场景映射；不是无业务依据，也不转为产品待确认。</x:v>
      </x:c>
    </x:row>
    <x:row r="524" ht="57" customHeight="1">
      <x:c r="A524" s="4" t="str">
        <x:v>REQ-3daddab8619a</x:v>
      </x:c>
      <x:c r="B524" s="4" t="str">
        <x:v>运营管理</x:v>
      </x:c>
      <x:c r="C524" s="4" t="n">
        <x:v>2956</x:v>
      </x:c>
      <x:c r="D524" s="4" t="str">
        <x:v>四类等级独立配置、独立计算；同一账号可同时具有主播等级、财富等级及面向不同主播的粉丝等级。粉丝团等级属于粉丝团，不等同于成员的粉丝等级。</x:v>
      </x:c>
      <x:c r="E524" s="4" t="str">
        <x:v>尚未建立场景映射</x:v>
      </x:c>
      <x:c r="F524" s="4" t="str"/>
      <x:c r="G524" s="4" t="str">
        <x:v>本轮独立来源库保留该已知条款，但尚未建立可核验的正式场景映射；不是无业务依据，也不转为产品待确认。</x:v>
      </x:c>
    </x:row>
    <x:row r="525" ht="44" customHeight="1">
      <x:c r="A525" s="4" t="str">
        <x:v>REQ-82b18aa0a1a9</x:v>
      </x:c>
      <x:c r="B525" s="4" t="str">
        <x:v>运营管理</x:v>
      </x:c>
      <x:c r="C525" s="4" t="n">
        <x:v>2957</x:v>
      </x:c>
      <x:c r="D525" s="4" t="str">
        <x:v>四类等级默认均为 1 级，1 级门槛固定为 0；每行配置一个等级对应的金币门槛及勋章图，此处配置不直接增加收益、送礼贡献或钱包金币。</x:v>
      </x:c>
      <x:c r="E525" s="4" t="str">
        <x:v>整段分支核验未闭合</x:v>
      </x:c>
      <x:c r="F525" s="4" t="str">
        <x:v>ADMIN-0322、ADMIN-0332、ADMIN-0342、ADMIN-0352</x:v>
      </x:c>
      <x:c r="G525" s="4" t="str">
        <x:v>本段剩余子句、条件组合及状态后续影响仍需与独立规则逐项闭合；这是生成覆盖缺口，不是产品决策缺失。</x:v>
      </x:c>
    </x:row>
    <x:row r="526" ht="57" customHeight="1">
      <x:c r="A526" s="4" t="str">
        <x:v>REQ-fa663fee7858</x:v>
      </x:c>
      <x:c r="B526" s="4" t="str">
        <x:v>运营管理</x:v>
      </x:c>
      <x:c r="C526" s="4" t="n">
        <x:v>2958</x:v>
      </x:c>
      <x:c r="D526" s="4" t="str">
        <x:v>已有粉丝团规则：用户退出或被移出后，粉丝等级与亲密度清零；主播的粉丝团解散后，成员团籍和群聊权限解除。粉丝等级统计需遵循该重置规则，不能直接用永久历史送礼总额恢复。</x:v>
      </x:c>
      <x:c r="E526" s="4" t="str">
        <x:v>尚未建立场景映射</x:v>
      </x:c>
      <x:c r="F526" s="4" t="str"/>
      <x:c r="G526" s="4" t="str">
        <x:v>本轮独立来源库保留该已知条款，但尚未建立可核验的正式场景映射；不是无业务依据，也不转为产品待确认。</x:v>
      </x:c>
    </x:row>
    <x:row r="527" ht="44" customHeight="1">
      <x:c r="A527" s="4" t="str">
        <x:v>REQ-bfb14900fe35</x:v>
      </x:c>
      <x:c r="B527" s="4" t="str">
        <x:v>运营管理</x:v>
      </x:c>
      <x:c r="C527" s="4" t="n">
        <x:v>2959</x:v>
      </x:c>
      <x:c r="D527" s="4" t="str">
        <x:v>主播等级的收益按分成前金币收益计入。</x:v>
      </x:c>
      <x:c r="E527" s="4" t="str">
        <x:v>尚未建立场景映射</x:v>
      </x:c>
      <x:c r="F527" s="4" t="str"/>
      <x:c r="G527" s="4" t="str">
        <x:v>本轮独立来源库保留该已知条款，但尚未建立可核验的正式场景映射；不是无业务依据，也不转为产品待确认。</x:v>
      </x:c>
    </x:row>
    <x:row r="528" ht="44" customHeight="1">
      <x:c r="A528" s="4" t="str">
        <x:v>REQ-5b47eff27a0f</x:v>
      </x:c>
      <x:c r="B528" s="4" t="str">
        <x:v>运营管理</x:v>
      </x:c>
      <x:c r="C528" s="4" t="n">
        <x:v>2960</x:v>
      </x:c>
      <x:c r="D528" s="4" t="str">
        <x:v>退款只影响财富等级，不影响主播等级、粉丝等级和粉丝团等级。</x:v>
      </x:c>
      <x:c r="E528" s="4" t="str">
        <x:v>尚未建立场景映射</x:v>
      </x:c>
      <x:c r="F528" s="4" t="str"/>
      <x:c r="G528" s="4" t="str">
        <x:v>本轮独立来源库保留该已知条款，但尚未建立可核验的正式场景映射；不是无业务依据，也不转为产品待确认。</x:v>
      </x:c>
    </x:row>
    <x:row r="529" ht="44" customHeight="1">
      <x:c r="A529" s="4" t="str">
        <x:v>REQ-d542a21163d6</x:v>
      </x:c>
      <x:c r="B529" s="4" t="str">
        <x:v>运营管理</x:v>
      </x:c>
      <x:c r="C529" s="4" t="n">
        <x:v>2961</x:v>
      </x:c>
      <x:c r="D529" s="4" t="str">
        <x:v>已有门槛修改并保存后，立即按新配置重算对应类型的已有等级；等级编号由系统生成，不提供手动修改。</x:v>
      </x:c>
      <x:c r="E529" s="4" t="str">
        <x:v>尚未建立场景映射</x:v>
      </x:c>
      <x:c r="F529" s="4" t="str"/>
      <x:c r="G529" s="4" t="str">
        <x:v>本轮独立来源库保留该已知条款，但尚未建立可核验的正式场景映射；不是无业务依据，也不转为产品待确认。</x:v>
      </x:c>
    </x:row>
    <x:row r="530" ht="44" customHeight="1">
      <x:c r="A530" s="4" t="str">
        <x:v>REQ-93e16c320224</x:v>
      </x:c>
      <x:c r="B530" s="4" t="str">
        <x:v>运营管理</x:v>
      </x:c>
      <x:c r="C530" s="4" t="n">
        <x:v>2962</x:v>
      </x:c>
      <x:c r="D530" s="4" t="str">
        <x:v>填写的金币数值为达到该等级所需的累计门槛；累计值大于或等于门槛即达标，同时满足多档时取最高等级，允许一次跨越多级。</x:v>
      </x:c>
      <x:c r="E530" s="4" t="str">
        <x:v>尚未建立场景映射</x:v>
      </x:c>
      <x:c r="F530" s="4" t="str"/>
      <x:c r="G530" s="4" t="str">
        <x:v>本轮独立来源库保留该已知条款，但尚未建立可核验的正式场景映射；不是无业务依据，也不转为产品待确认。</x:v>
      </x:c>
    </x:row>
    <x:row r="531" ht="44" customHeight="1">
      <x:c r="A531" s="4" t="str">
        <x:v>REQ-6a7f07702eb1</x:v>
      </x:c>
      <x:c r="B531" s="4" t="str">
        <x:v>运营管理</x:v>
      </x:c>
      <x:c r="C531" s="4" t="n">
        <x:v>2963</x:v>
      </x:c>
      <x:c r="D531" s="4" t="str">
        <x:v>运营账号的虚拟金币不计入主播等级收益、财富等级送礼贡献、粉丝等级对主播送礼贡献或粉丝团等级累计收礼。</x:v>
      </x:c>
      <x:c r="E531" s="4" t="str">
        <x:v>尚未建立场景映射</x:v>
      </x:c>
      <x:c r="F531" s="4" t="str"/>
      <x:c r="G531" s="4" t="str">
        <x:v>本轮独立来源库保留该已知条款，但尚未建立可核验的正式场景映射；不是无业务依据，也不转为产品待确认。</x:v>
      </x:c>
    </x:row>
    <x:row r="532" ht="102" customHeight="1">
      <x:c r="A532" s="4" t="str">
        <x:v>REQ-ba2db1ee018d</x:v>
      </x:c>
      <x:c r="B532" s="4" t="str">
        <x:v>运营管理</x:v>
      </x:c>
      <x:c r="C532" s="4" t="n">
        <x:v>2964</x:v>
      </x:c>
      <x:c r="D532" s="4" t="str">
        <x:v>等级为从 1 开始连续递增的固定数字，不可编辑；四个 Tab 各自独立编号。1 级金币数值固定为 0 且不可修改；2 级及以上必填，并且必须大于上一级，否则禁止保存并定位到错误等级。</x:v>
      </x:c>
      <x:c r="E532" s="4" t="str">
        <x:v>整段分支核验未闭合</x:v>
      </x:c>
      <x:c r="F532" s="4" t="str">
        <x:v>ADMIN-0322、ADMIN-0323、ADMIN-0324、ADMIN-0325、ADMIN-0332、ADMIN-0333、ADMIN-0334、ADMIN-0335、ADMIN-0342、ADMIN-0343、ADMIN-0344、ADMIN-0345、ADMIN-0352、ADMIN-0353、ADMIN-0354、ADMIN-0355</x:v>
      </x:c>
      <x:c r="G532" s="4" t="str">
        <x:v>本段剩余子句、条件组合及状态后续影响仍需与独立规则逐项闭合；这是生成覆盖缺口，不是产品决策缺失。</x:v>
      </x:c>
    </x:row>
    <x:row r="533" ht="57" customHeight="1">
      <x:c r="A533" s="4" t="str">
        <x:v>REQ-27039c0eae16</x:v>
      </x:c>
      <x:c r="B533" s="4" t="str">
        <x:v>运营管理</x:v>
      </x:c>
      <x:c r="C533" s="4" t="n">
        <x:v>2965</x:v>
      </x:c>
      <x:c r="D533" s="4" t="str">
        <x:v>每次新增等级，当前 Tab 的等级编号自动加 1，金币数值留空待填写；当前页不提供删除入口。</x:v>
      </x:c>
      <x:c r="E533" s="4" t="str">
        <x:v>整段分支核验未闭合</x:v>
      </x:c>
      <x:c r="F533" s="4" t="str">
        <x:v>ADMIN-0326、ADMIN-0327、ADMIN-0336、ADMIN-0337、ADMIN-0346、ADMIN-0347、ADMIN-0356、ADMIN-0357</x:v>
      </x:c>
      <x:c r="G533" s="4" t="str">
        <x:v>本段剩余子句、条件组合及状态后续影响仍需与独立规则逐项闭合；这是生成覆盖缺口，不是产品决策缺失。</x:v>
      </x:c>
    </x:row>
    <x:row r="534" ht="44" customHeight="1">
      <x:c r="A534" s="4" t="str">
        <x:v>REQ-024246690735</x:v>
      </x:c>
      <x:c r="B534" s="4" t="str">
        <x:v>运营管理</x:v>
      </x:c>
      <x:c r="C534" s="4" t="n">
        <x:v>2966</x:v>
      </x:c>
      <x:c r="D534" s="4" t="str">
        <x:v>切换 Tab 保留各自未保存的输入和图片。保存只校验并提交当前 Tab；无效数值或缺少勋章图均阻止保存，成功后留在当前 Tab。</x:v>
      </x:c>
      <x:c r="E534" s="4" t="str">
        <x:v>整段分支核验未闭合</x:v>
      </x:c>
      <x:c r="F534" s="4" t="str">
        <x:v>ADMIN-0328、ADMIN-0338、ADMIN-0348、ADMIN-0358、ADMIN-0362、ADMIN-0363</x:v>
      </x:c>
      <x:c r="G534" s="4" t="str">
        <x:v>本段剩余子句、条件组合及状态后续影响仍需与独立规则逐项闭合；这是生成覆盖缺口，不是产品决策缺失。</x:v>
      </x:c>
    </x:row>
    <x:row r="535" ht="44" customHeight="1">
      <x:c r="A535" s="4" t="str">
        <x:v>REQ-07868b95d9d4</x:v>
      </x:c>
      <x:c r="B535" s="4" t="str">
        <x:v>运营管理</x:v>
      </x:c>
      <x:c r="C535" s="4" t="n">
        <x:v>2967</x:v>
      </x:c>
      <x:c r="D535" s="4" t="str">
        <x:v>每个等级单独上传或更换图片，选择可读取的图片后显示预览；预览不改变图片比例。勋章图必填，缺少图片时提示对应等级并阻止保存。</x:v>
      </x:c>
      <x:c r="E535" s="4" t="str">
        <x:v>整段分支核验未闭合</x:v>
      </x:c>
      <x:c r="F535" s="4" t="str">
        <x:v>ADMIN-0328、ADMIN-0338、ADMIN-0348、ADMIN-0358</x:v>
      </x:c>
      <x:c r="G535" s="4" t="str">
        <x:v>本段剩余子句、条件组合及状态后续影响仍需与独立规则逐项闭合；这是生成覆盖缺口，不是产品决策缺失。</x:v>
      </x:c>
    </x:row>
    <x:row r="536" ht="72" customHeight="1">
      <x:c r="A536" s="4" t="str">
        <x:v>REQ-9aa54378b21d</x:v>
      </x:c>
      <x:c r="B536" s="4" t="str">
        <x:v>运营管理</x:v>
      </x:c>
      <x:c r="C536" s="4" t="n">
        <x:v>2968</x:v>
      </x:c>
      <x:c r="D536" s="4" t="str">
        <x:v>取消选择保留原图片；非图片或损坏图片提示重新选择，保留原有有效图片。上传及更换仅影响对应 Tab 的对应等级。</x:v>
      </x:c>
      <x:c r="E536" s="4" t="str">
        <x:v>整段分支核验未闭合</x:v>
      </x:c>
      <x:c r="F536" s="4" t="str">
        <x:v>ADMIN-0329、ADMIN-0330、ADMIN-0331、ADMIN-0339、ADMIN-0340、ADMIN-0341、ADMIN-0349、ADMIN-0350、ADMIN-0351、ADMIN-0359、ADMIN-0360、ADMIN-0361</x:v>
      </x:c>
      <x:c r="G536" s="4" t="str">
        <x:v>本段剩余子句、条件组合及状态后续影响仍需与独立规则逐项闭合；这是生成覆盖缺口，不是产品决策缺失。</x:v>
      </x:c>
    </x:row>
    <x:row r="537" ht="44" customHeight="1">
      <x:c r="A537" s="4" t="str">
        <x:v>REQ-e875cd2ebc54</x:v>
      </x:c>
      <x:c r="B537" s="4" t="str">
        <x:v>运营管理</x:v>
      </x:c>
      <x:c r="C537" s="4" t="n">
        <x:v>2974</x:v>
      </x:c>
      <x:c r="D537" s="4" t="str">
        <x:v>类型 ID：系统生成，全局唯一。</x:v>
      </x:c>
      <x:c r="E537" s="4" t="str">
        <x:v>整段分支核验未闭合</x:v>
      </x:c>
      <x:c r="F537" s="4" t="str">
        <x:v>ADMIN-0438</x:v>
      </x:c>
      <x:c r="G537" s="4" t="str">
        <x:v>本段剩余子句、条件组合及状态后续影响仍需与独立规则逐项闭合；这是生成覆盖缺口，不是产品决策缺失。</x:v>
      </x:c>
    </x:row>
    <x:row r="538" ht="44" customHeight="1">
      <x:c r="A538" s="4" t="str">
        <x:v>REQ-515194e9e61f</x:v>
      </x:c>
      <x:c r="B538" s="4" t="str">
        <x:v>运营管理</x:v>
      </x:c>
      <x:c r="C538" s="4" t="n">
        <x:v>2975</x:v>
      </x:c>
      <x:c r="D538" s="4" t="str">
        <x:v>四语名称：全部必填，同语言不可重复。</x:v>
      </x:c>
      <x:c r="E538" s="4" t="str">
        <x:v>尚未建立场景映射</x:v>
      </x:c>
      <x:c r="F538" s="4" t="str"/>
      <x:c r="G538" s="4" t="str">
        <x:v>本轮独立来源库保留该已知条款，但尚未建立可核验的正式场景映射；不是无业务依据，也不转为产品待确认。</x:v>
      </x:c>
    </x:row>
    <x:row r="539" ht="44" customHeight="1">
      <x:c r="A539" s="4" t="str">
        <x:v>REQ-bab220e1fbde</x:v>
      </x:c>
      <x:c r="B539" s="4" t="str">
        <x:v>运营管理</x:v>
      </x:c>
      <x:c r="C539" s="4" t="n">
        <x:v>2976</x:v>
      </x:c>
      <x:c r="D539" s="4" t="str">
        <x:v>状态：启用、停用；停用后不可用于新开播。</x:v>
      </x:c>
      <x:c r="E539" s="4" t="str">
        <x:v>尚未建立场景映射</x:v>
      </x:c>
      <x:c r="F539" s="4" t="str"/>
      <x:c r="G539" s="4" t="str">
        <x:v>本轮独立来源库保留该已知条款，但尚未建立可核验的正式场景映射；不是无业务依据，也不转为产品待确认。</x:v>
      </x:c>
    </x:row>
    <x:row r="540" ht="44" customHeight="1">
      <x:c r="A540" s="4" t="str">
        <x:v>REQ-84f6a9cbd6a1</x:v>
      </x:c>
      <x:c r="B540" s="4" t="str">
        <x:v>运营管理</x:v>
      </x:c>
      <x:c r="C540" s="4" t="n">
        <x:v>2977</x:v>
      </x:c>
      <x:c r="D540" s="4" t="str">
        <x:v>停用或删除不改变进行中和历史场次的类型快照。</x:v>
      </x:c>
      <x:c r="E540" s="4" t="str">
        <x:v>尚未建立场景映射</x:v>
      </x:c>
      <x:c r="F540" s="4" t="str"/>
      <x:c r="G540" s="4" t="str">
        <x:v>本轮独立来源库保留该已知条款，但尚未建立可核验的正式场景映射；不是无业务依据，也不转为产品待确认。</x:v>
      </x:c>
    </x:row>
    <x:row r="541" ht="44" customHeight="1">
      <x:c r="A541" s="4" t="str">
        <x:v>REQ-7f2bc8565bae</x:v>
      </x:c>
      <x:c r="B541" s="4" t="str">
        <x:v>运营管理</x:v>
      </x:c>
      <x:c r="C541" s="4" t="n">
        <x:v>2978</x:v>
      </x:c>
      <x:c r="D541" s="4" t="str">
        <x:v>新建或编辑 -&gt; 保存四语和状态；删除 -&gt; 无新场次引用后确认。</x:v>
      </x:c>
      <x:c r="E541" s="4" t="str">
        <x:v>尚未建立场景映射</x:v>
      </x:c>
      <x:c r="F541" s="4" t="str"/>
      <x:c r="G541" s="4" t="str">
        <x:v>本轮独立来源库保留该已知条款，但尚未建立可核验的正式场景映射；不是无业务依据，也不转为产品待确认。</x:v>
      </x:c>
    </x:row>
    <x:row r="542" ht="44" customHeight="1">
      <x:c r="A542" s="4" t="str">
        <x:v>REQ-093ef08f208c</x:v>
      </x:c>
      <x:c r="B542" s="4" t="str">
        <x:v>运营管理</x:v>
      </x:c>
      <x:c r="C542" s="4" t="n">
        <x:v>2983</x:v>
      </x:c>
      <x:c r="D542" s="4" t="str">
        <x:v>房型名称：系统预置，不可新增或编辑。</x:v>
      </x:c>
      <x:c r="E542" s="4" t="str">
        <x:v>整段分支核验未闭合</x:v>
      </x:c>
      <x:c r="F542" s="4" t="str">
        <x:v>ADMIN-0372</x:v>
      </x:c>
      <x:c r="G542" s="4" t="str">
        <x:v>本段剩余子句、条件组合及状态后续影响仍需与独立规则逐项闭合；这是生成覆盖缺口，不是产品决策缺失。</x:v>
      </x:c>
    </x:row>
    <x:row r="543" ht="44" customHeight="1">
      <x:c r="A543" s="4" t="str">
        <x:v>REQ-316080ff6aed</x:v>
      </x:c>
      <x:c r="B543" s="4" t="str">
        <x:v>运营管理</x:v>
      </x:c>
      <x:c r="C543" s="4" t="n">
        <x:v>2984</x:v>
      </x:c>
      <x:c r="D543" s="4" t="str">
        <x:v>当前状态：通过列表开关控制。</x:v>
      </x:c>
      <x:c r="E543" s="4" t="str">
        <x:v>尚未建立场景映射</x:v>
      </x:c>
      <x:c r="F543" s="4" t="str"/>
      <x:c r="G543" s="4" t="str">
        <x:v>本轮独立来源库保留该已知条款，但尚未建立可核验的正式场景映射；不是无业务依据，也不转为产品待确认。</x:v>
      </x:c>
    </x:row>
    <x:row r="544" ht="44" customHeight="1">
      <x:c r="A544" s="4" t="str">
        <x:v>REQ-05b0b9fc4ecb</x:v>
      </x:c>
      <x:c r="B544" s="4" t="str">
        <x:v>运营管理</x:v>
      </x:c>
      <x:c r="C544" s="4" t="n">
        <x:v>2985</x:v>
      </x:c>
      <x:c r="D544" s="4" t="str">
        <x:v>操作信息：最后操作人和修改时间。</x:v>
      </x:c>
      <x:c r="E544" s="4" t="str">
        <x:v>整段分支核验未闭合</x:v>
      </x:c>
      <x:c r="F544" s="4" t="str">
        <x:v>ADMIN-0439</x:v>
      </x:c>
      <x:c r="G544" s="4" t="str">
        <x:v>本段剩余子句、条件组合及状态后续影响仍需与独立规则逐项闭合；这是生成覆盖缺口，不是产品决策缺失。</x:v>
      </x:c>
    </x:row>
    <x:row r="545" ht="44" customHeight="1">
      <x:c r="A545" s="4" t="str">
        <x:v>REQ-cfe379ad1ee1</x:v>
      </x:c>
      <x:c r="B545" s="4" t="str">
        <x:v>运营管理</x:v>
      </x:c>
      <x:c r="C545" s="4" t="n">
        <x:v>2986</x:v>
      </x:c>
      <x:c r="D545" s="4" t="str">
        <x:v>关闭房型后主播不可新建对应场次，不改变已开始或历史场次。</x:v>
      </x:c>
      <x:c r="E545" s="4" t="str">
        <x:v>整段分支核验未闭合</x:v>
      </x:c>
      <x:c r="F545" s="4" t="str">
        <x:v>ADMIN-0372</x:v>
      </x:c>
      <x:c r="G545" s="4" t="str">
        <x:v>本段剩余子句、条件组合及状态后续影响仍需与独立规则逐项闭合；这是生成覆盖缺口，不是产品决策缺失。</x:v>
      </x:c>
    </x:row>
    <x:row r="546" ht="44" customHeight="1">
      <x:c r="A546" s="4" t="str">
        <x:v>REQ-9fddd63a4147</x:v>
      </x:c>
      <x:c r="B546" s="4" t="str">
        <x:v>运营管理</x:v>
      </x:c>
      <x:c r="C546" s="4" t="n">
        <x:v>2987</x:v>
      </x:c>
      <x:c r="D546" s="4" t="str">
        <x:v>切换开关 -&gt; 立即更新房型状态；门票房价格配置 -&gt; 进入价格档位列表。</x:v>
      </x:c>
      <x:c r="E546" s="4" t="str">
        <x:v>整段分支核验未闭合</x:v>
      </x:c>
      <x:c r="F546" s="4" t="str">
        <x:v>ADMIN-0372</x:v>
      </x:c>
      <x:c r="G546" s="4" t="str">
        <x:v>本段剩余子句、条件组合及状态后续影响仍需与独立规则逐项闭合；这是生成覆盖缺口，不是产品决策缺失。</x:v>
      </x:c>
    </x:row>
    <x:row r="547" ht="44" customHeight="1">
      <x:c r="A547" s="4" t="str">
        <x:v>REQ-b5fe3b90da8c</x:v>
      </x:c>
      <x:c r="B547" s="4" t="str">
        <x:v>运营管理</x:v>
      </x:c>
      <x:c r="C547" s="4" t="n">
        <x:v>2992</x:v>
      </x:c>
      <x:c r="D547" s="4" t="str">
        <x:v>档位 ID：系统生成，全局唯一。</x:v>
      </x:c>
      <x:c r="E547" s="4" t="str">
        <x:v>整段分支核验未闭合</x:v>
      </x:c>
      <x:c r="F547" s="4" t="str">
        <x:v>ADMIN-0440</x:v>
      </x:c>
      <x:c r="G547" s="4" t="str">
        <x:v>本段剩余子句、条件组合及状态后续影响仍需与独立规则逐项闭合；这是生成覆盖缺口，不是产品决策缺失。</x:v>
      </x:c>
    </x:row>
    <x:row r="548" ht="44" customHeight="1">
      <x:c r="A548" s="4" t="str">
        <x:v>REQ-7e370ae16477</x:v>
      </x:c>
      <x:c r="B548" s="4" t="str">
        <x:v>运营管理</x:v>
      </x:c>
      <x:c r="C548" s="4" t="n">
        <x:v>2993</x:v>
      </x:c>
      <x:c r="D548" s="4" t="str">
        <x:v>门票价格：正整数金币且不得重复。</x:v>
      </x:c>
      <x:c r="E548" s="4" t="str">
        <x:v>尚未建立场景映射</x:v>
      </x:c>
      <x:c r="F548" s="4" t="str"/>
      <x:c r="G548" s="4" t="str">
        <x:v>本轮独立来源库保留该已知条款，但尚未建立可核验的正式场景映射；不是无业务依据，也不转为产品待确认。</x:v>
      </x:c>
    </x:row>
    <x:row r="549" ht="44" customHeight="1">
      <x:c r="A549" s="4" t="str">
        <x:v>REQ-2993b51cd24d</x:v>
      </x:c>
      <x:c r="B549" s="4" t="str">
        <x:v>运营管理</x:v>
      </x:c>
      <x:c r="C549" s="4" t="n">
        <x:v>2994</x:v>
      </x:c>
      <x:c r="D549" s="4" t="str">
        <x:v>状态：至少保留一个启用档位。</x:v>
      </x:c>
      <x:c r="E549" s="4" t="str">
        <x:v>整段分支核验未闭合</x:v>
      </x:c>
      <x:c r="F549" s="4" t="str">
        <x:v>ADMIN-0373</x:v>
      </x:c>
      <x:c r="G549" s="4" t="str">
        <x:v>本段剩余子句、条件组合及状态后续影响仍需与独立规则逐项闭合；这是生成覆盖缺口，不是产品决策缺失。</x:v>
      </x:c>
    </x:row>
    <x:row r="550" ht="44" customHeight="1">
      <x:c r="A550" s="4" t="str">
        <x:v>REQ-71028bd5e006</x:v>
      </x:c>
      <x:c r="B550" s="4" t="str">
        <x:v>运营管理</x:v>
      </x:c>
      <x:c r="C550" s="4" t="n">
        <x:v>2995</x:v>
      </x:c>
      <x:c r="D550" s="4" t="str">
        <x:v>排序：正整数，数值越小越靠前。</x:v>
      </x:c>
      <x:c r="E550" s="4" t="str">
        <x:v>尚未建立场景映射</x:v>
      </x:c>
      <x:c r="F550" s="4" t="str"/>
      <x:c r="G550" s="4" t="str">
        <x:v>本轮独立来源库保留该已知条款，但尚未建立可核验的正式场景映射；不是无业务依据，也不转为产品待确认。</x:v>
      </x:c>
    </x:row>
    <x:row r="551" ht="44" customHeight="1">
      <x:c r="A551" s="4" t="str">
        <x:v>REQ-0db851532ffe</x:v>
      </x:c>
      <x:c r="B551" s="4" t="str">
        <x:v>运营管理</x:v>
      </x:c>
      <x:c r="C551" s="4" t="n">
        <x:v>2996</x:v>
      </x:c>
      <x:c r="D551" s="4" t="str">
        <x:v>停用后不可用于新场次，已开播场次沿用创建时价格；门票收益按实际支付金币 1:1 计入。</x:v>
      </x:c>
      <x:c r="E551" s="4" t="str">
        <x:v>整段分支核验未闭合</x:v>
      </x:c>
      <x:c r="F551" s="4" t="str">
        <x:v>ADMIN-0373</x:v>
      </x:c>
      <x:c r="G551" s="4" t="str">
        <x:v>本段剩余子句、条件组合及状态后续影响仍需与独立规则逐项闭合；这是生成覆盖缺口，不是产品决策缺失。</x:v>
      </x:c>
    </x:row>
    <x:row r="552" ht="44" customHeight="1">
      <x:c r="A552" s="4" t="str">
        <x:v>REQ-f9a33c640318</x:v>
      </x:c>
      <x:c r="B552" s="4" t="str">
        <x:v>运营管理</x:v>
      </x:c>
      <x:c r="C552" s="4" t="n">
        <x:v>2997</x:v>
      </x:c>
      <x:c r="D552" s="4" t="str">
        <x:v>停用最后一个有效档位 -&gt; 阻止并提示；编辑 -&gt; 详情。</x:v>
      </x:c>
      <x:c r="E552" s="4" t="str">
        <x:v>整段分支核验未闭合</x:v>
      </x:c>
      <x:c r="F552" s="4" t="str">
        <x:v>ADMIN-0373</x:v>
      </x:c>
      <x:c r="G552" s="4" t="str">
        <x:v>本段剩余子句、条件组合及状态后续影响仍需与独立规则逐项闭合；这是生成覆盖缺口，不是产品决策缺失。</x:v>
      </x:c>
    </x:row>
    <x:row r="553" ht="44" customHeight="1">
      <x:c r="A553" s="4" t="str">
        <x:v>REQ-ca00aa6fe9cf</x:v>
      </x:c>
      <x:c r="B553" s="4" t="str">
        <x:v>运营管理</x:v>
      </x:c>
      <x:c r="C553" s="4" t="n">
        <x:v>3002</x:v>
      </x:c>
      <x:c r="D553" s="4" t="str">
        <x:v>档位 ID：新建系统生成，编辑只读。</x:v>
      </x:c>
      <x:c r="E553" s="4" t="str">
        <x:v>整段分支核验未闭合</x:v>
      </x:c>
      <x:c r="F553" s="4" t="str">
        <x:v>ADMIN-0084</x:v>
      </x:c>
      <x:c r="G553" s="4" t="str">
        <x:v>本段剩余子句、条件组合及状态后续影响仍需与独立规则逐项闭合；这是生成覆盖缺口，不是产品决策缺失。</x:v>
      </x:c>
    </x:row>
    <x:row r="554" ht="44" customHeight="1">
      <x:c r="A554" s="4" t="str">
        <x:v>REQ-de186d221f4a</x:v>
      </x:c>
      <x:c r="B554" s="4" t="str">
        <x:v>运营管理</x:v>
      </x:c>
      <x:c r="C554" s="4" t="n">
        <x:v>3003</x:v>
      </x:c>
      <x:c r="D554" s="4" t="str">
        <x:v>门票价格：必填正整数金币，全局不重复。</x:v>
      </x:c>
      <x:c r="E554" s="4" t="str">
        <x:v>整段分支核验未闭合</x:v>
      </x:c>
      <x:c r="F554" s="4" t="str">
        <x:v>ADMIN-0074、ADMIN-0075、ADMIN-0076、ADMIN-0077、ADMIN-0078、ADMIN-0083</x:v>
      </x:c>
      <x:c r="G554" s="4" t="str">
        <x:v>本段剩余子句、条件组合及状态后续影响仍需与独立规则逐项闭合；这是生成覆盖缺口，不是产品决策缺失。</x:v>
      </x:c>
    </x:row>
    <x:row r="555" ht="44" customHeight="1">
      <x:c r="A555" s="4" t="str">
        <x:v>REQ-498b2f58533c</x:v>
      </x:c>
      <x:c r="B555" s="4" t="str">
        <x:v>运营管理</x:v>
      </x:c>
      <x:c r="C555" s="4" t="n">
        <x:v>3004</x:v>
      </x:c>
      <x:c r="D555" s="4" t="str">
        <x:v>排序：必填正整数。</x:v>
      </x:c>
      <x:c r="E555" s="4" t="str">
        <x:v>整段分支核验未闭合</x:v>
      </x:c>
      <x:c r="F555" s="4" t="str">
        <x:v>ADMIN-0079、ADMIN-0080、ADMIN-0081、ADMIN-0082</x:v>
      </x:c>
      <x:c r="G555" s="4" t="str">
        <x:v>本段剩余子句、条件组合及状态后续影响仍需与独立规则逐项闭合；这是生成覆盖缺口，不是产品决策缺失。</x:v>
      </x:c>
    </x:row>
    <x:row r="556" ht="44" customHeight="1">
      <x:c r="A556" s="4" t="str">
        <x:v>REQ-c7752bf5571a</x:v>
      </x:c>
      <x:c r="B556" s="4" t="str">
        <x:v>运营管理</x:v>
      </x:c>
      <x:c r="C556" s="4" t="n">
        <x:v>3005</x:v>
      </x:c>
      <x:c r="D556" s="4" t="str">
        <x:v>启用状态：停用时须保证仍有其他启用档位。</x:v>
      </x:c>
      <x:c r="E556" s="4" t="str">
        <x:v>尚未建立场景映射</x:v>
      </x:c>
      <x:c r="F556" s="4" t="str"/>
      <x:c r="G556" s="4" t="str">
        <x:v>本轮独立来源库保留该已知条款，但尚未建立可核验的正式场景映射；不是无业务依据，也不转为产品待确认。</x:v>
      </x:c>
    </x:row>
    <x:row r="557" ht="44" customHeight="1">
      <x:c r="A557" s="4" t="str">
        <x:v>REQ-ea95fe209223</x:v>
      </x:c>
      <x:c r="B557" s="4" t="str">
        <x:v>运营管理</x:v>
      </x:c>
      <x:c r="C557" s="4" t="n">
        <x:v>3006</x:v>
      </x:c>
      <x:c r="D557" s="4" t="str">
        <x:v>保存 -&gt; 校验价格唯一、排序和至少一个启用档位 -&gt; 更新。</x:v>
      </x:c>
      <x:c r="E557" s="4" t="str">
        <x:v>尚未建立场景映射</x:v>
      </x:c>
      <x:c r="F557" s="4" t="str"/>
      <x:c r="G557" s="4" t="str">
        <x:v>本轮独立来源库保留该已知条款，但尚未建立可核验的正式场景映射；不是无业务依据，也不转为产品待确认。</x:v>
      </x:c>
    </x:row>
    <x:row r="558" ht="44" customHeight="1">
      <x:c r="A558" s="4" t="str">
        <x:v>REQ-28e6cec9a590</x:v>
      </x:c>
      <x:c r="B558" s="4" t="str">
        <x:v>运营管理</x:v>
      </x:c>
      <x:c r="C558" s="4" t="n">
        <x:v>3011</x:v>
      </x:c>
      <x:c r="D558" s="4" t="str">
        <x:v>敏感词 / 分类：词条内容和违法违规、辱骂攻击、广告引流等分类。</x:v>
      </x:c>
      <x:c r="E558" s="4" t="str">
        <x:v>尚未建立场景映射</x:v>
      </x:c>
      <x:c r="F558" s="4" t="str"/>
      <x:c r="G558" s="4" t="str">
        <x:v>本轮独立来源库保留该已知条款，但尚未建立可核验的正式场景映射；不是无业务依据，也不转为产品待确认。</x:v>
      </x:c>
    </x:row>
    <x:row r="559" ht="44" customHeight="1">
      <x:c r="A559" s="4" t="str">
        <x:v>REQ-ed6aef056578</x:v>
      </x:c>
      <x:c r="B559" s="4" t="str">
        <x:v>运营管理</x:v>
      </x:c>
      <x:c r="C559" s="4" t="n">
        <x:v>3012</x:v>
      </x:c>
      <x:c r="D559" s="4" t="str">
        <x:v>使用场景：公屏、私信、昵称、动态，可多选。</x:v>
      </x:c>
      <x:c r="E559" s="4" t="str">
        <x:v>尚未建立场景映射</x:v>
      </x:c>
      <x:c r="F559" s="4" t="str"/>
      <x:c r="G559" s="4" t="str">
        <x:v>本轮独立来源库保留该已知条款，但尚未建立可核验的正式场景映射；不是无业务依据，也不转为产品待确认。</x:v>
      </x:c>
    </x:row>
    <x:row r="560" ht="44" customHeight="1">
      <x:c r="A560" s="4" t="str">
        <x:v>REQ-1599d6e31754</x:v>
      </x:c>
      <x:c r="B560" s="4" t="str">
        <x:v>运营管理</x:v>
      </x:c>
      <x:c r="C560" s="4" t="n">
        <x:v>3013</x:v>
      </x:c>
      <x:c r="D560" s="4" t="str">
        <x:v>匹配规则：包含匹配或精确匹配。</x:v>
      </x:c>
      <x:c r="E560" s="4" t="str">
        <x:v>尚未建立场景映射</x:v>
      </x:c>
      <x:c r="F560" s="4" t="str"/>
      <x:c r="G560" s="4" t="str">
        <x:v>本轮独立来源库保留该已知条款，但尚未建立可核验的正式场景映射；不是无业务依据，也不转为产品待确认。</x:v>
      </x:c>
    </x:row>
    <x:row r="561" ht="44" customHeight="1">
      <x:c r="A561" s="4" t="str">
        <x:v>REQ-8b3680ae62c2</x:v>
      </x:c>
      <x:c r="B561" s="4" t="str">
        <x:v>运营管理</x:v>
      </x:c>
      <x:c r="C561" s="4" t="n">
        <x:v>3014</x:v>
      </x:c>
      <x:c r="D561" s="4" t="str">
        <x:v>替换内容：命中后用于替换展示。</x:v>
      </x:c>
      <x:c r="E561" s="4" t="str">
        <x:v>尚未建立场景映射</x:v>
      </x:c>
      <x:c r="F561" s="4" t="str"/>
      <x:c r="G561" s="4" t="str">
        <x:v>本轮独立来源库保留该已知条款，但尚未建立可核验的正式场景映射；不是无业务依据，也不转为产品待确认。</x:v>
      </x:c>
    </x:row>
    <x:row r="562" ht="44" customHeight="1">
      <x:c r="A562" s="4" t="str">
        <x:v>REQ-af5da887fdc0</x:v>
      </x:c>
      <x:c r="B562" s="4" t="str">
        <x:v>运营管理</x:v>
      </x:c>
      <x:c r="C562" s="4" t="n">
        <x:v>3015</x:v>
      </x:c>
      <x:c r="D562" s="4" t="str">
        <x:v>状态：启用、停用；停用后不拦截新内容。</x:v>
      </x:c>
      <x:c r="E562" s="4" t="str">
        <x:v>尚未建立场景映射</x:v>
      </x:c>
      <x:c r="F562" s="4" t="str"/>
      <x:c r="G562" s="4" t="str">
        <x:v>本轮独立来源库保留该已知条款，但尚未建立可核验的正式场景映射；不是无业务依据，也不转为产品待确认。</x:v>
      </x:c>
    </x:row>
    <x:row r="563" ht="44" customHeight="1">
      <x:c r="A563" s="4" t="str">
        <x:v>REQ-e7f7825c49ea</x:v>
      </x:c>
      <x:c r="B563" s="4" t="str">
        <x:v>运营管理</x:v>
      </x:c>
      <x:c r="C563" s="4" t="n">
        <x:v>3016</x:v>
      </x:c>
      <x:c r="D563" s="4" t="str">
        <x:v>删除不影响历史命中和处置记录。</x:v>
      </x:c>
      <x:c r="E563" s="4" t="str">
        <x:v>尚未建立场景映射</x:v>
      </x:c>
      <x:c r="F563" s="4" t="str"/>
      <x:c r="G563" s="4" t="str">
        <x:v>本轮独立来源库保留该已知条款，但尚未建立可核验的正式场景映射；不是无业务依据，也不转为产品待确认。</x:v>
      </x:c>
    </x:row>
    <x:row r="564" ht="44" customHeight="1">
      <x:c r="A564" s="4" t="str">
        <x:v>REQ-d8c776a131f5</x:v>
      </x:c>
      <x:c r="B564" s="4" t="str">
        <x:v>运营管理</x:v>
      </x:c>
      <x:c r="C564" s="4" t="n">
        <x:v>3017</x:v>
      </x:c>
      <x:c r="D564" s="4" t="str">
        <x:v>导入 -&gt; 校验必填和重复词；启停或删除 -&gt; 更新后续审核规则。</x:v>
      </x:c>
      <x:c r="E564" s="4" t="str">
        <x:v>整段分支核验未闭合</x:v>
      </x:c>
      <x:c r="F564" s="4" t="str">
        <x:v>ADMIN-0567、ADMIN-0568</x:v>
      </x:c>
      <x:c r="G564" s="4" t="str">
        <x:v>本段剩余子句、条件组合及状态后续影响仍需与独立规则逐项闭合；这是生成覆盖缺口，不是产品决策缺失。</x:v>
      </x:c>
    </x:row>
    <x:row r="565" ht="44" customHeight="1">
      <x:c r="A565" s="4" t="str">
        <x:v>REQ-9252bf1ee614</x:v>
      </x:c>
      <x:c r="B565" s="4" t="str">
        <x:v>运营管理</x:v>
      </x:c>
      <x:c r="C565" s="4" t="n">
        <x:v>3022</x:v>
      </x:c>
      <x:c r="D565" s="4" t="str">
        <x:v>词条 ID：新建系统生成，编辑只读。</x:v>
      </x:c>
      <x:c r="E565" s="4" t="str">
        <x:v>整段分支核验未闭合</x:v>
      </x:c>
      <x:c r="F565" s="4" t="str">
        <x:v>ADMIN-0088</x:v>
      </x:c>
      <x:c r="G565" s="4" t="str">
        <x:v>本段剩余子句、条件组合及状态后续影响仍需与独立规则逐项闭合；这是生成覆盖缺口，不是产品决策缺失。</x:v>
      </x:c>
    </x:row>
    <x:row r="566" ht="44" customHeight="1">
      <x:c r="A566" s="4" t="str">
        <x:v>REQ-411ddb641bcf</x:v>
      </x:c>
      <x:c r="B566" s="4" t="str">
        <x:v>运营管理</x:v>
      </x:c>
      <x:c r="C566" s="4" t="n">
        <x:v>3023</x:v>
      </x:c>
      <x:c r="D566" s="4" t="str">
        <x:v>敏感词 / 分类：必填；同匹配规则下词条不可重复。</x:v>
      </x:c>
      <x:c r="E566" s="4" t="str">
        <x:v>整段分支核验未闭合</x:v>
      </x:c>
      <x:c r="F566" s="4" t="str">
        <x:v>ADMIN-0085、ADMIN-0086、ADMIN-0239、ADMIN-0240</x:v>
      </x:c>
      <x:c r="G566" s="4" t="str">
        <x:v>本段剩余子句、条件组合及状态后续影响仍需与独立规则逐项闭合；这是生成覆盖缺口，不是产品决策缺失。</x:v>
      </x:c>
    </x:row>
    <x:row r="567" ht="44" customHeight="1">
      <x:c r="A567" s="4" t="str">
        <x:v>REQ-244ac8c25583</x:v>
      </x:c>
      <x:c r="B567" s="4" t="str">
        <x:v>运营管理</x:v>
      </x:c>
      <x:c r="C567" s="4" t="n">
        <x:v>3024</x:v>
      </x:c>
      <x:c r="D567" s="4" t="str">
        <x:v>匹配规则：包含匹配或精确匹配。</x:v>
      </x:c>
      <x:c r="E567" s="4" t="str">
        <x:v>整段分支核验未闭合</x:v>
      </x:c>
      <x:c r="F567" s="4" t="str">
        <x:v>ADMIN-0239、ADMIN-0240</x:v>
      </x:c>
      <x:c r="G567" s="4" t="str">
        <x:v>本段剩余子句、条件组合及状态后续影响仍需与独立规则逐项闭合；这是生成覆盖缺口，不是产品决策缺失。</x:v>
      </x:c>
    </x:row>
    <x:row r="568" ht="44" customHeight="1">
      <x:c r="A568" s="4" t="str">
        <x:v>REQ-27c7a05b6109</x:v>
      </x:c>
      <x:c r="B568" s="4" t="str">
        <x:v>运营管理</x:v>
      </x:c>
      <x:c r="C568" s="4" t="n">
        <x:v>3025</x:v>
      </x:c>
      <x:c r="D568" s="4" t="str">
        <x:v>使用场景：至少选择 1 个。</x:v>
      </x:c>
      <x:c r="E568" s="4" t="str">
        <x:v>整段分支核验未闭合</x:v>
      </x:c>
      <x:c r="F568" s="4" t="str">
        <x:v>ADMIN-0241</x:v>
      </x:c>
      <x:c r="G568" s="4" t="str">
        <x:v>本段剩余子句、条件组合及状态后续影响仍需与独立规则逐项闭合；这是生成覆盖缺口，不是产品决策缺失。</x:v>
      </x:c>
    </x:row>
    <x:row r="569" ht="44" customHeight="1">
      <x:c r="A569" s="4" t="str">
        <x:v>REQ-4c6535f0e332</x:v>
      </x:c>
      <x:c r="B569" s="4" t="str">
        <x:v>运营管理</x:v>
      </x:c>
      <x:c r="C569" s="4" t="n">
        <x:v>3026</x:v>
      </x:c>
      <x:c r="D569" s="4" t="str">
        <x:v>替换内容：必填。</x:v>
      </x:c>
      <x:c r="E569" s="4" t="str">
        <x:v>整段分支核验未闭合</x:v>
      </x:c>
      <x:c r="F569" s="4" t="str">
        <x:v>ADMIN-0087</x:v>
      </x:c>
      <x:c r="G569" s="4" t="str">
        <x:v>本段剩余子句、条件组合及状态后续影响仍需与独立规则逐项闭合；这是生成覆盖缺口，不是产品决策缺失。</x:v>
      </x:c>
    </x:row>
    <x:row r="570" ht="44" customHeight="1">
      <x:c r="A570" s="4" t="str">
        <x:v>REQ-da5b47752ca1</x:v>
      </x:c>
      <x:c r="B570" s="4" t="str">
        <x:v>运营管理</x:v>
      </x:c>
      <x:c r="C570" s="4" t="n">
        <x:v>3027</x:v>
      </x:c>
      <x:c r="D570" s="4" t="str">
        <x:v>启用状态：启用后用于新内容检测。</x:v>
      </x:c>
      <x:c r="E570" s="4" t="str">
        <x:v>尚未建立场景映射</x:v>
      </x:c>
      <x:c r="F570" s="4" t="str"/>
      <x:c r="G570" s="4" t="str">
        <x:v>本轮独立来源库保留该已知条款，但尚未建立可核验的正式场景映射；不是无业务依据，也不转为产品待确认。</x:v>
      </x:c>
    </x:row>
    <x:row r="571" ht="44" customHeight="1">
      <x:c r="A571" s="4" t="str">
        <x:v>REQ-5f45ff3a056f</x:v>
      </x:c>
      <x:c r="B571" s="4" t="str">
        <x:v>运营管理</x:v>
      </x:c>
      <x:c r="C571" s="4" t="n">
        <x:v>3028</x:v>
      </x:c>
      <x:c r="D571" s="4" t="str">
        <x:v>保存 -&gt; 校验重复词、场景和替换内容 -&gt; 更新规则。</x:v>
      </x:c>
      <x:c r="E571" s="4" t="str">
        <x:v>尚未建立场景映射</x:v>
      </x:c>
      <x:c r="F571" s="4" t="str"/>
      <x:c r="G571" s="4" t="str">
        <x:v>本轮独立来源库保留该已知条款，但尚未建立可核验的正式场景映射；不是无业务依据，也不转为产品待确认。</x:v>
      </x:c>
    </x:row>
    <x:row r="572" ht="44" customHeight="1">
      <x:c r="A572" s="4" t="str">
        <x:v>REQ-7c224188f2bc</x:v>
      </x:c>
      <x:c r="B572" s="4" t="str">
        <x:v>订单管理</x:v>
      </x:c>
      <x:c r="C572" s="4" t="n">
        <x:v>3033</x:v>
      </x:c>
      <x:c r="D572" s="4" t="str">
        <x:v>订单号 / 渠道交易号：平台订单号全局唯一；渠道号用于渠道对账。</x:v>
      </x:c>
      <x:c r="E572" s="4" t="str">
        <x:v>整段分支核验未闭合</x:v>
      </x:c>
      <x:c r="F572" s="4" t="str">
        <x:v>ADMIN-0142、ADMIN-0441、ADMIN-0442</x:v>
      </x:c>
      <x:c r="G572" s="4" t="str">
        <x:v>本段剩余子句、条件组合及状态后续影响仍需与独立规则逐项闭合；这是生成覆盖缺口，不是产品决策缺失。</x:v>
      </x:c>
    </x:row>
    <x:row r="573" ht="44" customHeight="1">
      <x:c r="A573" s="4" t="str">
        <x:v>REQ-3d354bb90a70</x:v>
      </x:c>
      <x:c r="B573" s="4" t="str">
        <x:v>订单管理</x:v>
      </x:c>
      <x:c r="C573" s="4" t="n">
        <x:v>3034</x:v>
      </x:c>
      <x:c r="D573" s="4" t="str">
        <x:v>充值金额：支付成功订单实付 USD 金额。</x:v>
      </x:c>
      <x:c r="E573" s="4" t="str">
        <x:v>整段分支核验未闭合</x:v>
      </x:c>
      <x:c r="F573" s="4" t="str">
        <x:v>ADMIN-0142</x:v>
      </x:c>
      <x:c r="G573" s="4" t="str">
        <x:v>本段剩余子句、条件组合及状态后续影响仍需与独立规则逐项闭合；这是生成覆盖缺口，不是产品决策缺失。</x:v>
      </x:c>
    </x:row>
    <x:row r="574" ht="44" customHeight="1">
      <x:c r="A574" s="4" t="str">
        <x:v>REQ-772e68079212</x:v>
      </x:c>
      <x:c r="B574" s="4" t="str">
        <x:v>订单管理</x:v>
      </x:c>
      <x:c r="C574" s="4" t="n">
        <x:v>3035</x:v>
      </x:c>
      <x:c r="D574" s="4" t="str">
        <x:v>基础 / 赠送金币：套餐购买金币 / 活动赠送金币。</x:v>
      </x:c>
      <x:c r="E574" s="4" t="str">
        <x:v>尚未建立场景映射</x:v>
      </x:c>
      <x:c r="F574" s="4" t="str"/>
      <x:c r="G574" s="4" t="str">
        <x:v>本轮独立来源库保留该已知条款，但尚未建立可核验的正式场景映射；不是无业务依据，也不转为产品待确认。</x:v>
      </x:c>
    </x:row>
    <x:row r="575" ht="44" customHeight="1">
      <x:c r="A575" s="4" t="str">
        <x:v>REQ-968f7abf9780</x:v>
      </x:c>
      <x:c r="B575" s="4" t="str">
        <x:v>订单管理</x:v>
      </x:c>
      <x:c r="C575" s="4" t="n">
        <x:v>3036</x:v>
      </x:c>
      <x:c r="D575" s="4" t="str">
        <x:v>到账金币：基础金币 + 赠送金币。</x:v>
      </x:c>
      <x:c r="E575" s="4" t="str">
        <x:v>整段分支核验未闭合</x:v>
      </x:c>
      <x:c r="F575" s="4" t="str">
        <x:v>ADMIN-0584</x:v>
      </x:c>
      <x:c r="G575" s="4" t="str">
        <x:v>本段剩余子句、条件组合及状态后续影响仍需与独立规则逐项闭合；这是生成覆盖缺口，不是产品决策缺失。</x:v>
      </x:c>
    </x:row>
    <x:row r="576" ht="44" customHeight="1">
      <x:c r="A576" s="4" t="str">
        <x:v>REQ-fa8bd96b4052</x:v>
      </x:c>
      <x:c r="B576" s="4" t="str">
        <x:v>订单管理</x:v>
      </x:c>
      <x:c r="C576" s="4" t="n">
        <x:v>3037</x:v>
      </x:c>
      <x:c r="D576" s="4" t="str">
        <x:v>状态：充值成功、已退款；失败订单不发金币。</x:v>
      </x:c>
      <x:c r="E576" s="4" t="str">
        <x:v>整段分支核验未闭合</x:v>
      </x:c>
      <x:c r="F576" s="4" t="str">
        <x:v>ADMIN-0142</x:v>
      </x:c>
      <x:c r="G576" s="4" t="str">
        <x:v>本段剩余子句、条件组合及状态后续影响仍需与独立规则逐项闭合；这是生成覆盖缺口，不是产品决策缺失。</x:v>
      </x:c>
    </x:row>
    <x:row r="577" ht="44" customHeight="1">
      <x:c r="A577" s="4" t="str">
        <x:v>REQ-63c70e1efb57</x:v>
      </x:c>
      <x:c r="B577" s="4" t="str">
        <x:v>订单管理</x:v>
      </x:c>
      <x:c r="C577" s="4" t="n">
        <x:v>3038</x:v>
      </x:c>
      <x:c r="D577" s="4" t="str">
        <x:v>成功时间：支付成功并完成金币入账的时间。</x:v>
      </x:c>
      <x:c r="E577" s="4" t="str">
        <x:v>整段分支核验未闭合</x:v>
      </x:c>
      <x:c r="F577" s="4" t="str">
        <x:v>ADMIN-0142、ADMIN-0443</x:v>
      </x:c>
      <x:c r="G577" s="4" t="str">
        <x:v>本段剩余子句、条件组合及状态后续影响仍需与独立规则逐项闭合；这是生成覆盖缺口，不是产品决策缺失。</x:v>
      </x:c>
    </x:row>
    <x:row r="578" ht="44" customHeight="1">
      <x:c r="A578" s="4" t="str">
        <x:v>REQ-84cfed3bdffd</x:v>
      </x:c>
      <x:c r="B578" s="4" t="str">
        <x:v>订单管理</x:v>
      </x:c>
      <x:c r="C578" s="4" t="n">
        <x:v>3039</x:v>
      </x:c>
      <x:c r="D578" s="4" t="str">
        <x:v>只有充值订单支持管理员主动退款或支付渠道退款；礼物和门票消费不退款。</x:v>
      </x:c>
      <x:c r="E578" s="4" t="str">
        <x:v>整段分支核验未闭合</x:v>
      </x:c>
      <x:c r="F578" s="4" t="str">
        <x:v>ADMIN-0142</x:v>
      </x:c>
      <x:c r="G578" s="4" t="str">
        <x:v>本段剩余子句、条件组合及状态后续影响仍需与独立规则逐项闭合；这是生成覆盖缺口，不是产品决策缺失。</x:v>
      </x:c>
    </x:row>
    <x:row r="579" ht="44" customHeight="1">
      <x:c r="A579" s="4" t="str">
        <x:v>REQ-e0a0df62d471</x:v>
      </x:c>
      <x:c r="B579" s="4" t="str">
        <x:v>订单管理</x:v>
      </x:c>
      <x:c r="C579" s="4" t="n">
        <x:v>3040</x:v>
      </x:c>
      <x:c r="D579" s="4" t="str">
        <x:v>查询 -&gt; 条件取交集；导出 -&gt; 当前结果；详情 -&gt; 核对支付、到账和退款。</x:v>
      </x:c>
      <x:c r="E579" s="4" t="str">
        <x:v>整段分支核验未闭合</x:v>
      </x:c>
      <x:c r="F579" s="4" t="str">
        <x:v>ADMIN-0539、ADMIN-0540、ADMIN-0541</x:v>
      </x:c>
      <x:c r="G579" s="4" t="str">
        <x:v>本段剩余子句、条件组合及状态后续影响仍需与独立规则逐项闭合；这是生成覆盖缺口，不是产品决策缺失。</x:v>
      </x:c>
    </x:row>
    <x:row r="580" ht="44" customHeight="1">
      <x:c r="A580" s="4" t="str">
        <x:v>REQ-0c87fdb74717</x:v>
      </x:c>
      <x:c r="B580" s="4" t="str">
        <x:v>订单管理</x:v>
      </x:c>
      <x:c r="C580" s="4" t="n">
        <x:v>3045</x:v>
      </x:c>
      <x:c r="D580" s="4" t="str">
        <x:v>订单 / 渠道信息：订单号、渠道交易号、支付渠道和时间只读。</x:v>
      </x:c>
      <x:c r="E580" s="4" t="str">
        <x:v>整段分支核验未闭合</x:v>
      </x:c>
      <x:c r="F580" s="4" t="str">
        <x:v>ADMIN-0444、ADMIN-0445</x:v>
      </x:c>
      <x:c r="G580" s="4" t="str">
        <x:v>本段剩余子句、条件组合及状态后续影响仍需与独立规则逐项闭合；这是生成覆盖缺口，不是产品决策缺失。</x:v>
      </x:c>
    </x:row>
    <x:row r="581" ht="44" customHeight="1">
      <x:c r="A581" s="4" t="str">
        <x:v>REQ-2f0d96574cf7</x:v>
      </x:c>
      <x:c r="B581" s="4" t="str">
        <x:v>订单管理</x:v>
      </x:c>
      <x:c r="C581" s="4" t="n">
        <x:v>3046</x:v>
      </x:c>
      <x:c r="D581" s="4" t="str">
        <x:v>订单金额 / 实付金额：套餐标价 / 渠道实际支付金额，USD。</x:v>
      </x:c>
      <x:c r="E581" s="4" t="str">
        <x:v>尚未建立场景映射</x:v>
      </x:c>
      <x:c r="F581" s="4" t="str"/>
      <x:c r="G581" s="4" t="str">
        <x:v>本轮独立来源库保留该已知条款，但尚未建立可核验的正式场景映射；不是无业务依据，也不转为产品待确认。</x:v>
      </x:c>
    </x:row>
    <x:row r="582" ht="44" customHeight="1">
      <x:c r="A582" s="4" t="str">
        <x:v>REQ-eeb7b92fa90a</x:v>
      </x:c>
      <x:c r="B582" s="4" t="str">
        <x:v>订单管理</x:v>
      </x:c>
      <x:c r="C582" s="4" t="n">
        <x:v>3047</x:v>
      </x:c>
      <x:c r="D582" s="4" t="str">
        <x:v>总到账金币：充值金币 + 赠送金币。</x:v>
      </x:c>
      <x:c r="E582" s="4" t="str">
        <x:v>整段分支核验未闭合</x:v>
      </x:c>
      <x:c r="F582" s="4" t="str">
        <x:v>ADMIN-0585</x:v>
      </x:c>
      <x:c r="G582" s="4" t="str">
        <x:v>本段剩余子句、条件组合及状态后续影响仍需与独立规则逐项闭合；这是生成覆盖缺口，不是产品决策缺失。</x:v>
      </x:c>
    </x:row>
    <x:row r="583" ht="44" customHeight="1">
      <x:c r="A583" s="4" t="str">
        <x:v>REQ-8e7aa87b5d95</x:v>
      </x:c>
      <x:c r="B583" s="4" t="str">
        <x:v>订单管理</x:v>
      </x:c>
      <x:c r="C583" s="4" t="n">
        <x:v>3048</x:v>
      </x:c>
      <x:c r="D583" s="4" t="str">
        <x:v>退款金额：仅整单全额退款，等于原实付金额。</x:v>
      </x:c>
      <x:c r="E583" s="4" t="str">
        <x:v>整段分支核验未闭合</x:v>
      </x:c>
      <x:c r="F583" s="4" t="str">
        <x:v>ADMIN-0143、ADMIN-0144</x:v>
      </x:c>
      <x:c r="G583" s="4" t="str">
        <x:v>本段剩余子句、条件组合及状态后续影响仍需与独立规则逐项闭合；这是生成覆盖缺口，不是产品决策缺失。</x:v>
      </x:c>
    </x:row>
    <x:row r="584" ht="44" customHeight="1">
      <x:c r="A584" s="4" t="str">
        <x:v>REQ-1f829f8940ff</x:v>
      </x:c>
      <x:c r="B584" s="4" t="str">
        <x:v>订单管理</x:v>
      </x:c>
      <x:c r="C584" s="4" t="n">
        <x:v>3049</x:v>
      </x:c>
      <x:c r="D584" s="4" t="str">
        <x:v>扣回金币：原订单充值金币 + 赠送金币。</x:v>
      </x:c>
      <x:c r="E584" s="4" t="str">
        <x:v>整段分支核验未闭合</x:v>
      </x:c>
      <x:c r="F584" s="4" t="str">
        <x:v>ADMIN-0143、ADMIN-0144、ADMIN-0586</x:v>
      </x:c>
      <x:c r="G584" s="4" t="str">
        <x:v>本段剩余子句、条件组合及状态后续影响仍需与独立规则逐项闭合；这是生成覆盖缺口，不是产品决策缺失。</x:v>
      </x:c>
    </x:row>
    <x:row r="585" ht="44" customHeight="1">
      <x:c r="A585" s="4" t="str">
        <x:v>REQ-6966dbae4720</x:v>
      </x:c>
      <x:c r="B585" s="4" t="str">
        <x:v>订单管理</x:v>
      </x:c>
      <x:c r="C585" s="4" t="n">
        <x:v>3050</x:v>
      </x:c>
      <x:c r="D585" s="4" t="str">
        <x:v>退款记录：退款单号、主动或被动类型、渠道、原因、操作人和时间。</x:v>
      </x:c>
      <x:c r="E585" s="4" t="str">
        <x:v>整段分支核验未闭合</x:v>
      </x:c>
      <x:c r="F585" s="4" t="str">
        <x:v>ADMIN-0446、ADMIN-0447</x:v>
      </x:c>
      <x:c r="G585" s="4" t="str">
        <x:v>本段剩余子句、条件组合及状态后续影响仍需与独立规则逐项闭合；这是生成覆盖缺口，不是产品决策缺失。</x:v>
      </x:c>
    </x:row>
    <x:row r="586" ht="44" customHeight="1">
      <x:c r="A586" s="4" t="str">
        <x:v>REQ-83b8bf8977cf</x:v>
      </x:c>
      <x:c r="B586" s="4" t="str">
        <x:v>订单管理</x:v>
      </x:c>
      <x:c r="C586" s="4" t="n">
        <x:v>3051</x:v>
      </x:c>
      <x:c r="D586" s="4" t="str">
        <x:v>仅支付成功且未退款的订单可退，不支持部分或重复退款。</x:v>
      </x:c>
      <x:c r="E586" s="4" t="str">
        <x:v>尚未建立场景映射</x:v>
      </x:c>
      <x:c r="F586" s="4" t="str"/>
      <x:c r="G586" s="4" t="str">
        <x:v>本轮独立来源库保留该已知条款，但尚未建立可核验的正式场景映射；不是无业务依据，也不转为产品待确认。</x:v>
      </x:c>
    </x:row>
    <x:row r="587" ht="44" customHeight="1">
      <x:c r="A587" s="4" t="str">
        <x:v>REQ-90b04c7baeb1</x:v>
      </x:c>
      <x:c r="B587" s="4" t="str">
        <x:v>订单管理</x:v>
      </x:c>
      <x:c r="C587" s="4" t="n">
        <x:v>3052</x:v>
      </x:c>
      <x:c r="D587" s="4" t="str">
        <x:v>退款后余额 = 退款前余额 - 原订单总到账金币，可为负；后续充值余额 = 原余额 + 新到账金币。</x:v>
      </x:c>
      <x:c r="E587" s="4" t="str">
        <x:v>尚未建立场景映射</x:v>
      </x:c>
      <x:c r="F587" s="4" t="str"/>
      <x:c r="G587" s="4" t="str">
        <x:v>本轮独立来源库保留该已知条款，但尚未建立可核验的正式场景映射；不是无业务依据，也不转为产品待确认。</x:v>
      </x:c>
    </x:row>
    <x:row r="588" ht="44" customHeight="1">
      <x:c r="A588" s="4" t="str">
        <x:v>REQ-bccb36cd9b05</x:v>
      </x:c>
      <x:c r="B588" s="4" t="str">
        <x:v>订单管理</x:v>
      </x:c>
      <x:c r="C588" s="4" t="n">
        <x:v>3053</x:v>
      </x:c>
      <x:c r="D588" s="4" t="str">
        <x:v>退款不撤销已完成礼物或门票消费，不回滚主播收益和分成。</x:v>
      </x:c>
      <x:c r="E588" s="4" t="str">
        <x:v>尚未建立场景映射</x:v>
      </x:c>
      <x:c r="F588" s="4" t="str"/>
      <x:c r="G588" s="4" t="str">
        <x:v>本轮独立来源库保留该已知条款，但尚未建立可核验的正式场景映射；不是无业务依据，也不转为产品待确认。</x:v>
      </x:c>
    </x:row>
    <x:row r="589" ht="44" customHeight="1">
      <x:c r="A589" s="4" t="str">
        <x:v>REQ-0e5199b07a9f</x:v>
      </x:c>
      <x:c r="B589" s="4" t="str">
        <x:v>订单管理</x:v>
      </x:c>
      <x:c r="C589" s="4" t="n">
        <x:v>3054</x:v>
      </x:c>
      <x:c r="D589" s="4" t="str">
        <x:v>手动退款 -&gt; 填写原因并确认 -&gt; 原渠道全额退款、扣回金币并生成退款单。</x:v>
      </x:c>
      <x:c r="E589" s="4" t="str">
        <x:v>整段分支核验未闭合</x:v>
      </x:c>
      <x:c r="F589" s="4" t="str">
        <x:v>ADMIN-0143、ADMIN-0144</x:v>
      </x:c>
      <x:c r="G589" s="4" t="str">
        <x:v>本段剩余子句、条件组合及状态后续影响仍需与独立规则逐项闭合；这是生成覆盖缺口，不是产品决策缺失。</x:v>
      </x:c>
    </x:row>
    <x:row r="590" ht="44" customHeight="1">
      <x:c r="A590" s="4" t="str">
        <x:v>REQ-dc9baeddde27</x:v>
      </x:c>
      <x:c r="B590" s="4" t="str">
        <x:v>订单管理</x:v>
      </x:c>
      <x:c r="C590" s="4" t="n">
        <x:v>3059</x:v>
      </x:c>
      <x:c r="D590" s="4" t="str">
        <x:v>消费类型：普通礼物、定制礼物、幸运礼物、门票。</x:v>
      </x:c>
      <x:c r="E590" s="4" t="str">
        <x:v>尚未建立场景映射</x:v>
      </x:c>
      <x:c r="F590" s="4" t="str"/>
      <x:c r="G590" s="4" t="str">
        <x:v>本轮独立来源库保留该已知条款，但尚未建立可核验的正式场景映射；不是无业务依据，也不转为产品待确认。</x:v>
      </x:c>
    </x:row>
    <x:row r="591" ht="44" customHeight="1">
      <x:c r="A591" s="4" t="str">
        <x:v>REQ-fa2f2cd06047</x:v>
      </x:c>
      <x:c r="B591" s="4" t="str">
        <x:v>订单管理</x:v>
      </x:c>
      <x:c r="C591" s="4" t="n">
        <x:v>3060</x:v>
      </x:c>
      <x:c r="D591" s="4" t="str">
        <x:v>数量：成功购买或赠送份数；连送逐个计数。</x:v>
      </x:c>
      <x:c r="E591" s="4" t="str">
        <x:v>整段分支核验未闭合</x:v>
      </x:c>
      <x:c r="F591" s="4" t="str">
        <x:v>ADMIN-0192</x:v>
      </x:c>
      <x:c r="G591" s="4" t="str">
        <x:v>本段剩余子句、条件组合及状态后续影响仍需与独立规则逐项闭合；这是生成覆盖缺口，不是产品决策缺失。</x:v>
      </x:c>
    </x:row>
    <x:row r="592" ht="44" customHeight="1">
      <x:c r="A592" s="4" t="str">
        <x:v>REQ-ce5a3ea958dd</x:v>
      </x:c>
      <x:c r="B592" s="4" t="str">
        <x:v>订单管理</x:v>
      </x:c>
      <x:c r="C592" s="4" t="n">
        <x:v>3061</x:v>
      </x:c>
      <x:c r="D592" s="4" t="str">
        <x:v>消费金币：订单扣减金币 = 商品单价 × 数量；幸运礼物返奖另记收入流水。</x:v>
      </x:c>
      <x:c r="E592" s="4" t="str">
        <x:v>整段分支核验未闭合</x:v>
      </x:c>
      <x:c r="F592" s="4" t="str">
        <x:v>ADMIN-0192、ADMIN-0587</x:v>
      </x:c>
      <x:c r="G592" s="4" t="str">
        <x:v>本段剩余子句、条件组合及状态后续影响仍需与独立规则逐项闭合；这是生成覆盖缺口，不是产品决策缺失。</x:v>
      </x:c>
    </x:row>
    <x:row r="593" ht="44" customHeight="1">
      <x:c r="A593" s="4" t="str">
        <x:v>REQ-1c89bea50533</x:v>
      </x:c>
      <x:c r="B593" s="4" t="str">
        <x:v>订单管理</x:v>
      </x:c>
      <x:c r="C593" s="4" t="n">
        <x:v>3062</x:v>
      </x:c>
      <x:c r="D593" s="4" t="str">
        <x:v>用户净消耗：幸运礼物 = 订单扣减金币 - 实际返奖；其他类型 = 订单扣减金币。</x:v>
      </x:c>
      <x:c r="E593" s="4" t="str">
        <x:v>整段分支核验未闭合</x:v>
      </x:c>
      <x:c r="F593" s="4" t="str">
        <x:v>ADMIN-0192</x:v>
      </x:c>
      <x:c r="G593" s="4" t="str">
        <x:v>本段剩余子句、条件组合及状态后续影响仍需与独立规则逐项闭合；这是生成覆盖缺口，不是产品决策缺失。</x:v>
      </x:c>
    </x:row>
    <x:row r="594" ht="44" customHeight="1">
      <x:c r="A594" s="4" t="str">
        <x:v>REQ-d4f480f23cac</x:v>
      </x:c>
      <x:c r="B594" s="4" t="str">
        <x:v>订单管理</x:v>
      </x:c>
      <x:c r="C594" s="4" t="n">
        <x:v>3063</x:v>
      </x:c>
      <x:c r="D594" s="4" t="str">
        <x:v>状态：已支付；消费订单不产生退款状态。</x:v>
      </x:c>
      <x:c r="E594" s="4" t="str">
        <x:v>整段分支核验未闭合</x:v>
      </x:c>
      <x:c r="F594" s="4" t="str">
        <x:v>ADMIN-0192</x:v>
      </x:c>
      <x:c r="G594" s="4" t="str">
        <x:v>本段剩余子句、条件组合及状态后续影响仍需与独立规则逐项闭合；这是生成覆盖缺口，不是产品决策缺失。</x:v>
      </x:c>
    </x:row>
    <x:row r="595" ht="44" customHeight="1">
      <x:c r="A595" s="4" t="str">
        <x:v>REQ-c53594bd8972</x:v>
      </x:c>
      <x:c r="B595" s="4" t="str">
        <x:v>订单管理</x:v>
      </x:c>
      <x:c r="C595" s="4" t="n">
        <x:v>3064</x:v>
      </x:c>
      <x:c r="D595" s="4" t="str">
        <x:v>主播信息：礼物接收或门票所属主播。</x:v>
      </x:c>
      <x:c r="E595" s="4" t="str">
        <x:v>尚未建立场景映射</x:v>
      </x:c>
      <x:c r="F595" s="4" t="str"/>
      <x:c r="G595" s="4" t="str">
        <x:v>本轮独立来源库保留该已知条款，但尚未建立可核验的正式场景映射；不是无业务依据，也不转为产品待确认。</x:v>
      </x:c>
    </x:row>
    <x:row r="596" ht="44" customHeight="1">
      <x:c r="A596" s="4" t="str">
        <x:v>REQ-ad02ff530d39</x:v>
      </x:c>
      <x:c r="B596" s="4" t="str">
        <x:v>订单管理</x:v>
      </x:c>
      <x:c r="C596" s="4" t="n">
        <x:v>3065</x:v>
      </x:c>
      <x:c r="D596" s="4" t="str">
        <x:v>消费成功只扣减一次；余额不足或条件失败不生成成功订单。</x:v>
      </x:c>
      <x:c r="E596" s="4" t="str">
        <x:v>整段分支核验未闭合</x:v>
      </x:c>
      <x:c r="F596" s="4" t="str">
        <x:v>ADMIN-0192</x:v>
      </x:c>
      <x:c r="G596" s="4" t="str">
        <x:v>本段剩余子句、条件组合及状态后续影响仍需与独立规则逐项闭合；这是生成覆盖缺口，不是产品决策缺失。</x:v>
      </x:c>
    </x:row>
    <x:row r="597" ht="44" customHeight="1">
      <x:c r="A597" s="4" t="str">
        <x:v>REQ-290d7b832404</x:v>
      </x:c>
      <x:c r="B597" s="4" t="str">
        <x:v>订单管理</x:v>
      </x:c>
      <x:c r="C597" s="4" t="n">
        <x:v>3066</x:v>
      </x:c>
      <x:c r="D597" s="4" t="str">
        <x:v>消费订单不支持退款，充值退款也不撤销已完成消费。</x:v>
      </x:c>
      <x:c r="E597" s="4" t="str">
        <x:v>整段分支核验未闭合</x:v>
      </x:c>
      <x:c r="F597" s="4" t="str">
        <x:v>ADMIN-0192</x:v>
      </x:c>
      <x:c r="G597" s="4" t="str">
        <x:v>本段剩余子句、条件组合及状态后续影响仍需与独立规则逐项闭合；这是生成覆盖缺口，不是产品决策缺失。</x:v>
      </x:c>
    </x:row>
    <x:row r="598" ht="44" customHeight="1">
      <x:c r="A598" s="4" t="str">
        <x:v>REQ-e73bc1482a71</x:v>
      </x:c>
      <x:c r="B598" s="4" t="str">
        <x:v>订单管理</x:v>
      </x:c>
      <x:c r="C598" s="4" t="n">
        <x:v>3067</x:v>
      </x:c>
      <x:c r="D598" s="4" t="str">
        <x:v>查询 -&gt; 条件取交集；导出 -&gt; 当前结果；详情 -&gt; 进入只读订单。</x:v>
      </x:c>
      <x:c r="E598" s="4" t="str">
        <x:v>整段分支核验未闭合</x:v>
      </x:c>
      <x:c r="F598" s="4" t="str">
        <x:v>ADMIN-0192、ADMIN-0542、ADMIN-0543、ADMIN-0544</x:v>
      </x:c>
      <x:c r="G598" s="4" t="str">
        <x:v>本段剩余子句、条件组合及状态后续影响仍需与独立规则逐项闭合；这是生成覆盖缺口，不是产品决策缺失。</x:v>
      </x:c>
    </x:row>
    <x:row r="599" ht="44" customHeight="1">
      <x:c r="A599" s="4" t="str">
        <x:v>REQ-9f3617171eac</x:v>
      </x:c>
      <x:c r="B599" s="4" t="str">
        <x:v>订单管理</x:v>
      </x:c>
      <x:c r="C599" s="4" t="n">
        <x:v>3072</x:v>
      </x:c>
      <x:c r="D599" s="4" t="str">
        <x:v>商品 / 数量 / 单价：取消费发生时商品快照。</x:v>
      </x:c>
      <x:c r="E599" s="4" t="str">
        <x:v>整段分支核验未闭合</x:v>
      </x:c>
      <x:c r="F599" s="4" t="str">
        <x:v>ADMIN-0149</x:v>
      </x:c>
      <x:c r="G599" s="4" t="str">
        <x:v>本段剩余子句、条件组合及状态后续影响仍需与独立规则逐项闭合；这是生成覆盖缺口，不是产品决策缺失。</x:v>
      </x:c>
    </x:row>
    <x:row r="600" ht="44" customHeight="1">
      <x:c r="A600" s="4" t="str">
        <x:v>REQ-32cfa21e1600</x:v>
      </x:c>
      <x:c r="B600" s="4" t="str">
        <x:v>订单管理</x:v>
      </x:c>
      <x:c r="C600" s="4" t="n">
        <x:v>3073</x:v>
      </x:c>
      <x:c r="D600" s="4" t="str">
        <x:v>扣减金币：单价 × 数量。</x:v>
      </x:c>
      <x:c r="E600" s="4" t="str">
        <x:v>整段分支核验未闭合</x:v>
      </x:c>
      <x:c r="F600" s="4" t="str">
        <x:v>ADMIN-0149</x:v>
      </x:c>
      <x:c r="G600" s="4" t="str">
        <x:v>本段剩余子句、条件组合及状态后续影响仍需与独立规则逐项闭合；这是生成覆盖缺口，不是产品决策缺失。</x:v>
      </x:c>
    </x:row>
    <x:row r="601" ht="44" customHeight="1">
      <x:c r="A601" s="4" t="str">
        <x:v>REQ-2d5ab0589ad9</x:v>
      </x:c>
      <x:c r="B601" s="4" t="str">
        <x:v>订单管理</x:v>
      </x:c>
      <x:c r="C601" s="4" t="n">
        <x:v>3074</x:v>
      </x:c>
      <x:c r="D601" s="4" t="str">
        <x:v>幸运礼物返奖：每次独立开奖的实际返还金币合计，另记用户收入。</x:v>
      </x:c>
      <x:c r="E601" s="4" t="str">
        <x:v>尚未建立场景映射</x:v>
      </x:c>
      <x:c r="F601" s="4" t="str"/>
      <x:c r="G601" s="4" t="str">
        <x:v>本轮独立来源库保留该已知条款，但尚未建立可核验的正式场景映射；不是无业务依据，也不转为产品待确认。</x:v>
      </x:c>
    </x:row>
    <x:row r="602" ht="44" customHeight="1">
      <x:c r="A602" s="4" t="str">
        <x:v>REQ-e665eb3315b7</x:v>
      </x:c>
      <x:c r="B602" s="4" t="str">
        <x:v>订单管理</x:v>
      </x:c>
      <x:c r="C602" s="4" t="n">
        <x:v>3075</x:v>
      </x:c>
      <x:c r="D602" s="4" t="str">
        <x:v>用户净消耗：扣减金币 - 返奖金币。</x:v>
      </x:c>
      <x:c r="E602" s="4" t="str">
        <x:v>整段分支核验未闭合</x:v>
      </x:c>
      <x:c r="F602" s="4" t="str">
        <x:v>ADMIN-0149</x:v>
      </x:c>
      <x:c r="G602" s="4" t="str">
        <x:v>本段剩余子句、条件组合及状态后续影响仍需与独立规则逐项闭合；这是生成覆盖缺口，不是产品决策缺失。</x:v>
      </x:c>
    </x:row>
    <x:row r="603" ht="44" customHeight="1">
      <x:c r="A603" s="4" t="str">
        <x:v>REQ-8c5a8dc8cf15</x:v>
      </x:c>
      <x:c r="B603" s="4" t="str">
        <x:v>订单管理</x:v>
      </x:c>
      <x:c r="C603" s="4" t="n">
        <x:v>3076</x:v>
      </x:c>
      <x:c r="D603" s="4" t="str">
        <x:v>主播收益：普通、定制、门票 = 扣减金币；幸运礼物 = 礼物价值 × 配置比例，默认 1%，返奖不影响。</x:v>
      </x:c>
      <x:c r="E603" s="4" t="str">
        <x:v>整段分支核验未闭合</x:v>
      </x:c>
      <x:c r="F603" s="4" t="str">
        <x:v>ADMIN-0145、ADMIN-0146、ADMIN-0147、ADMIN-0148、ADMIN-0149、ADMIN-0588</x:v>
      </x:c>
      <x:c r="G603" s="4" t="str">
        <x:v>本段剩余子句、条件组合及状态后续影响仍需与独立规则逐项闭合；这是生成覆盖缺口，不是产品决策缺失。</x:v>
      </x:c>
    </x:row>
    <x:row r="604" ht="44" customHeight="1">
      <x:c r="A604" s="4" t="str">
        <x:v>REQ-88567f103f20</x:v>
      </x:c>
      <x:c r="B604" s="4" t="str">
        <x:v>订单管理</x:v>
      </x:c>
      <x:c r="C604" s="4" t="n">
        <x:v>3077</x:v>
      </x:c>
      <x:c r="D604" s="4" t="str">
        <x:v>消费去向：主播、公会和直播场次 ID。</x:v>
      </x:c>
      <x:c r="E604" s="4" t="str">
        <x:v>整段分支核验未闭合</x:v>
      </x:c>
      <x:c r="F604" s="4" t="str">
        <x:v>ADMIN-0609</x:v>
      </x:c>
      <x:c r="G604" s="4" t="str">
        <x:v>本段剩余子句、条件组合及状态后续影响仍需与独立规则逐项闭合；这是生成覆盖缺口，不是产品决策缺失。</x:v>
      </x:c>
    </x:row>
    <x:row r="605" ht="44" customHeight="1">
      <x:c r="A605" s="4" t="str">
        <x:v>REQ-8d2e4d06ac40</x:v>
      </x:c>
      <x:c r="B605" s="4" t="str">
        <x:v>订单管理</x:v>
      </x:c>
      <x:c r="C605" s="4" t="n">
        <x:v>3078</x:v>
      </x:c>
      <x:c r="D605" s="4" t="str">
        <x:v>消费订单只读且不可退款；仅充值订单可退款。</x:v>
      </x:c>
      <x:c r="E605" s="4" t="str">
        <x:v>尚未建立场景映射</x:v>
      </x:c>
      <x:c r="F605" s="4" t="str"/>
      <x:c r="G605" s="4" t="str">
        <x:v>本轮独立来源库保留该已知条款，但尚未建立可核验的正式场景映射；不是无业务依据，也不转为产品待确认。</x:v>
      </x:c>
    </x:row>
    <x:row r="606" ht="44" customHeight="1">
      <x:c r="A606" s="4" t="str">
        <x:v>REQ-6a1fb3fe1f22</x:v>
      </x:c>
      <x:c r="B606" s="4" t="str">
        <x:v>订单管理</x:v>
      </x:c>
      <x:c r="C606" s="4" t="n">
        <x:v>3079</x:v>
      </x:c>
      <x:c r="D606" s="4" t="str">
        <x:v>页面只读返回或查看关联对象；不得执行消费退款。</x:v>
      </x:c>
      <x:c r="E606" s="4" t="str">
        <x:v>尚未建立场景映射</x:v>
      </x:c>
      <x:c r="F606" s="4" t="str"/>
      <x:c r="G606" s="4" t="str">
        <x:v>本轮独立来源库保留该已知条款，但尚未建立可核验的正式场景映射；不是无业务依据，也不转为产品待确认。</x:v>
      </x:c>
    </x:row>
    <x:row r="607" ht="44" customHeight="1">
      <x:c r="A607" s="4" t="str">
        <x:v>REQ-6d0767e73c51</x:v>
      </x:c>
      <x:c r="B607" s="4" t="str">
        <x:v>订单管理</x:v>
      </x:c>
      <x:c r="C607" s="4" t="n">
        <x:v>3084</x:v>
      </x:c>
      <x:c r="D607" s="4" t="str">
        <x:v>退款单号：退款完成时生成，全局唯一。</x:v>
      </x:c>
      <x:c r="E607" s="4" t="str">
        <x:v>整段分支核验未闭合</x:v>
      </x:c>
      <x:c r="F607" s="4" t="str">
        <x:v>ADMIN-0448</x:v>
      </x:c>
      <x:c r="G607" s="4" t="str">
        <x:v>本段剩余子句、条件组合及状态后续影响仍需与独立规则逐项闭合；这是生成覆盖缺口，不是产品决策缺失。</x:v>
      </x:c>
    </x:row>
    <x:row r="608" ht="44" customHeight="1">
      <x:c r="A608" s="4" t="str">
        <x:v>REQ-b29d6ccea250</x:v>
      </x:c>
      <x:c r="B608" s="4" t="str">
        <x:v>订单管理</x:v>
      </x:c>
      <x:c r="C608" s="4" t="n">
        <x:v>3085</x:v>
      </x:c>
      <x:c r="D608" s="4" t="str">
        <x:v>原充值订单：必须关联支付成功且未退款的充值订单。</x:v>
      </x:c>
      <x:c r="E608" s="4" t="str">
        <x:v>尚未建立场景映射</x:v>
      </x:c>
      <x:c r="F608" s="4" t="str"/>
      <x:c r="G608" s="4" t="str">
        <x:v>本轮独立来源库保留该已知条款，但尚未建立可核验的正式场景映射；不是无业务依据，也不转为产品待确认。</x:v>
      </x:c>
    </x:row>
    <x:row r="609" ht="44" customHeight="1">
      <x:c r="A609" s="4" t="str">
        <x:v>REQ-cbfb9790d9ae</x:v>
      </x:c>
      <x:c r="B609" s="4" t="str">
        <x:v>订单管理</x:v>
      </x:c>
      <x:c r="C609" s="4" t="n">
        <x:v>3086</x:v>
      </x:c>
      <x:c r="D609" s="4" t="str">
        <x:v>类型：手动退款或被动退款；被动退款指支付渠道发起的退款。</x:v>
      </x:c>
      <x:c r="E609" s="4" t="str">
        <x:v>尚未建立场景映射</x:v>
      </x:c>
      <x:c r="F609" s="4" t="str"/>
      <x:c r="G609" s="4" t="str">
        <x:v>本轮独立来源库保留该已知条款，但尚未建立可核验的正式场景映射；不是无业务依据，也不转为产品待确认。</x:v>
      </x:c>
    </x:row>
    <x:row r="610" ht="44" customHeight="1">
      <x:c r="A610" s="4" t="str">
        <x:v>REQ-0a451ea6c539</x:v>
      </x:c>
      <x:c r="B610" s="4" t="str">
        <x:v>订单管理</x:v>
      </x:c>
      <x:c r="C610" s="4" t="n">
        <x:v>3087</x:v>
      </x:c>
      <x:c r="D610" s="4" t="str">
        <x:v>退款金额：原充值订单实付金额，全额退款。</x:v>
      </x:c>
      <x:c r="E610" s="4" t="str">
        <x:v>尚未建立场景映射</x:v>
      </x:c>
      <x:c r="F610" s="4" t="str"/>
      <x:c r="G610" s="4" t="str">
        <x:v>本轮独立来源库保留该已知条款，但尚未建立可核验的正式场景映射；不是无业务依据，也不转为产品待确认。</x:v>
      </x:c>
    </x:row>
    <x:row r="611" ht="44" customHeight="1">
      <x:c r="A611" s="4" t="str">
        <x:v>REQ-613ae0ed31a0</x:v>
      </x:c>
      <x:c r="B611" s="4" t="str">
        <x:v>订单管理</x:v>
      </x:c>
      <x:c r="C611" s="4" t="n">
        <x:v>3088</x:v>
      </x:c>
      <x:c r="D611" s="4" t="str">
        <x:v>状态 / 时间：仅记录已完成结果及完成时间。</x:v>
      </x:c>
      <x:c r="E611" s="4" t="str">
        <x:v>尚未建立场景映射</x:v>
      </x:c>
      <x:c r="F611" s="4" t="str"/>
      <x:c r="G611" s="4" t="str">
        <x:v>本轮独立来源库保留该已知条款，但尚未建立可核验的正式场景映射；不是无业务依据，也不转为产品待确认。</x:v>
      </x:c>
    </x:row>
    <x:row r="612" ht="44" customHeight="1">
      <x:c r="A612" s="4" t="str">
        <x:v>REQ-27321fae974e</x:v>
      </x:c>
      <x:c r="B612" s="4" t="str">
        <x:v>订单管理</x:v>
      </x:c>
      <x:c r="C612" s="4" t="n">
        <x:v>3089</x:v>
      </x:c>
      <x:c r="D612" s="4" t="str">
        <x:v>扣回金币 = 原订单基础金币 + 赠送金币；余额不足可为负，后续充值先抵扣。</x:v>
      </x:c>
      <x:c r="E612" s="4" t="str">
        <x:v>尚未建立场景映射</x:v>
      </x:c>
      <x:c r="F612" s="4" t="str"/>
      <x:c r="G612" s="4" t="str">
        <x:v>本轮独立来源库保留该已知条款，但尚未建立可核验的正式场景映射；不是无业务依据，也不转为产品待确认。</x:v>
      </x:c>
    </x:row>
    <x:row r="613" ht="44" customHeight="1">
      <x:c r="A613" s="4" t="str">
        <x:v>REQ-a4e3c66b6c1a</x:v>
      </x:c>
      <x:c r="B613" s="4" t="str">
        <x:v>订单管理</x:v>
      </x:c>
      <x:c r="C613" s="4" t="n">
        <x:v>3090</x:v>
      </x:c>
      <x:c r="D613" s="4" t="str">
        <x:v>已完成消费、主播收益和分成不回滚。</x:v>
      </x:c>
      <x:c r="E613" s="4" t="str">
        <x:v>尚未建立场景映射</x:v>
      </x:c>
      <x:c r="F613" s="4" t="str"/>
      <x:c r="G613" s="4" t="str">
        <x:v>本轮独立来源库保留该已知条款，但尚未建立可核验的正式场景映射；不是无业务依据，也不转为产品待确认。</x:v>
      </x:c>
    </x:row>
    <x:row r="614" ht="44" customHeight="1">
      <x:c r="A614" s="4" t="str">
        <x:v>REQ-58fa55dda2a3</x:v>
      </x:c>
      <x:c r="B614" s="4" t="str">
        <x:v>订单管理</x:v>
      </x:c>
      <x:c r="C614" s="4" t="n">
        <x:v>3091</x:v>
      </x:c>
      <x:c r="D614" s="4" t="str">
        <x:v>查询 -&gt; 条件取交集；导出 -&gt; 当前结果；查看 -&gt; 进入原充值订单详情。</x:v>
      </x:c>
      <x:c r="E614" s="4" t="str">
        <x:v>整段分支核验未闭合</x:v>
      </x:c>
      <x:c r="F614" s="4" t="str">
        <x:v>ADMIN-0545、ADMIN-0546、ADMIN-0547</x:v>
      </x:c>
      <x:c r="G614" s="4" t="str">
        <x:v>本段剩余子句、条件组合及状态后续影响仍需与独立规则逐项闭合；这是生成覆盖缺口，不是产品决策缺失。</x:v>
      </x:c>
    </x:row>
    <x:row r="615" ht="44" customHeight="1">
      <x:c r="A615" s="4" t="str">
        <x:v>REQ-773486ad0b20</x:v>
      </x:c>
      <x:c r="B615" s="4" t="str">
        <x:v>财务结算</x:v>
      </x:c>
      <x:c r="C615" s="4" t="n">
        <x:v>3096</x:v>
      </x:c>
      <x:c r="D615" s="4" t="str">
        <x:v>分成备注：必填，最长 100 字。</x:v>
      </x:c>
      <x:c r="E615" s="4" t="str">
        <x:v>整段分支核验未闭合</x:v>
      </x:c>
      <x:c r="F615" s="4" t="str">
        <x:v>ADMIN-0157、ADMIN-0158、ADMIN-0159、ADMIN-0160</x:v>
      </x:c>
      <x:c r="G615" s="4" t="str">
        <x:v>本段剩余子句、条件组合及状态后续影响仍需与独立规则逐项闭合；这是生成覆盖缺口，不是产品决策缺失。</x:v>
      </x:c>
    </x:row>
    <x:row r="616" ht="57" customHeight="1">
      <x:c r="A616" s="4" t="str">
        <x:v>REQ-92a253300dd8</x:v>
      </x:c>
      <x:c r="B616" s="4" t="str">
        <x:v>财务结算</x:v>
      </x:c>
      <x:c r="C616" s="4" t="n">
        <x:v>3097</x:v>
      </x:c>
      <x:c r="D616" s="4" t="str">
        <x:v>主播人数：导入文件中有效且去重的主播明细行数。</x:v>
      </x:c>
      <x:c r="E616" s="4" t="str">
        <x:v>整段分支核验未闭合</x:v>
      </x:c>
      <x:c r="F616" s="4" t="str">
        <x:v>ADMIN-0150、ADMIN-0151、ADMIN-0152、ADMIN-0153、ADMIN-0154、ADMIN-0155、ADMIN-0589</x:v>
      </x:c>
      <x:c r="G616" s="4" t="str">
        <x:v>本段剩余子句、条件组合及状态后续影响仍需与独立规则逐项闭合；这是生成覆盖缺口，不是产品决策缺失。</x:v>
      </x:c>
    </x:row>
    <x:row r="617" ht="44" customHeight="1">
      <x:c r="A617" s="4" t="str">
        <x:v>REQ-57c739cc7c3d</x:v>
      </x:c>
      <x:c r="B617" s="4" t="str">
        <x:v>财务结算</x:v>
      </x:c>
      <x:c r="C617" s="4" t="n">
        <x:v>3098</x:v>
      </x:c>
      <x:c r="D617" s="4" t="str">
        <x:v>分成总金额：Σ 主播分成明细金额，USD。</x:v>
      </x:c>
      <x:c r="E617" s="4" t="str">
        <x:v>整段分支核验未闭合</x:v>
      </x:c>
      <x:c r="F617" s="4" t="str">
        <x:v>ADMIN-0150、ADMIN-0151、ADMIN-0152、ADMIN-0153、ADMIN-0154、ADMIN-0155</x:v>
      </x:c>
      <x:c r="G617" s="4" t="str">
        <x:v>本段剩余子句、条件组合及状态后续影响仍需与独立规则逐项闭合；这是生成覆盖缺口，不是产品决策缺失。</x:v>
      </x:c>
    </x:row>
    <x:row r="618" ht="44" customHeight="1">
      <x:c r="A618" s="4" t="str">
        <x:v>REQ-1d5441b4366c</x:v>
      </x:c>
      <x:c r="B618" s="4" t="str">
        <x:v>财务结算</x:v>
      </x:c>
      <x:c r="C618" s="4" t="n">
        <x:v>3099</x:v>
      </x:c>
      <x:c r="D618" s="4" t="str">
        <x:v>上传文件：XLSX、XLS 或 CSV，字段按模板校验。</x:v>
      </x:c>
      <x:c r="E618" s="4" t="str">
        <x:v>整段分支核验未闭合</x:v>
      </x:c>
      <x:c r="F618" s="4" t="str">
        <x:v>ADMIN-0150、ADMIN-0151、ADMIN-0152、ADMIN-0153、ADMIN-0154、ADMIN-0155</x:v>
      </x:c>
      <x:c r="G618" s="4" t="str">
        <x:v>本段剩余子句、条件组合及状态后续影响仍需与独立规则逐项闭合；这是生成覆盖缺口，不是产品决策缺失。</x:v>
      </x:c>
    </x:row>
    <x:row r="619" ht="44" customHeight="1">
      <x:c r="A619" s="4" t="str">
        <x:v>REQ-ba876ca67d7c</x:v>
      </x:c>
      <x:c r="B619" s="4" t="str">
        <x:v>财务结算</x:v>
      </x:c>
      <x:c r="C619" s="4" t="n">
        <x:v>3100</x:v>
      </x:c>
      <x:c r="D619" s="4" t="str">
        <x:v>上传人 / 时间：当前后台账号和确认导入时间，系统记录。</x:v>
      </x:c>
      <x:c r="E619" s="4" t="str">
        <x:v>整段分支核验未闭合</x:v>
      </x:c>
      <x:c r="F619" s="4" t="str">
        <x:v>ADMIN-0156、ADMIN-0449</x:v>
      </x:c>
      <x:c r="G619" s="4" t="str">
        <x:v>本段剩余子句、条件组合及状态后续影响仍需与独立规则逐项闭合；这是生成覆盖缺口，不是产品决策缺失。</x:v>
      </x:c>
    </x:row>
    <x:row r="620" ht="44" customHeight="1">
      <x:c r="A620" s="4" t="str">
        <x:v>REQ-45aeb4799cb3</x:v>
      </x:c>
      <x:c r="B620" s="4" t="str">
        <x:v>财务结算</x:v>
      </x:c>
      <x:c r="C620" s="4" t="n">
        <x:v>3101</x:v>
      </x:c>
      <x:c r="D620" s="4" t="str">
        <x:v>系统不计算具体分成，不提供线上申请或审批；财务线下核算后上传。</x:v>
      </x:c>
      <x:c r="E620" s="4" t="str">
        <x:v>尚未建立场景映射</x:v>
      </x:c>
      <x:c r="F620" s="4" t="str"/>
      <x:c r="G620" s="4" t="str">
        <x:v>本轮独立来源库保留该已知条款，但尚未建立可核验的正式场景映射；不是无业务依据，也不转为产品待确认。</x:v>
      </x:c>
    </x:row>
    <x:row r="621" ht="44" customHeight="1">
      <x:c r="A621" s="4" t="str">
        <x:v>REQ-5722d7cb5927</x:v>
      </x:c>
      <x:c r="B621" s="4" t="str">
        <x:v>财务结算</x:v>
      </x:c>
      <x:c r="C621" s="4" t="n">
        <x:v>3102</x:v>
      </x:c>
      <x:c r="D621" s="4" t="str">
        <x:v>导入成功后记录锁定，不可编辑或删除。</x:v>
      </x:c>
      <x:c r="E621" s="4" t="str">
        <x:v>整段分支核验未闭合</x:v>
      </x:c>
      <x:c r="F621" s="4" t="str">
        <x:v>ADMIN-0156</x:v>
      </x:c>
      <x:c r="G621" s="4" t="str">
        <x:v>本段剩余子句、条件组合及状态后续影响仍需与独立规则逐项闭合；这是生成覆盖缺口，不是产品决策缺失。</x:v>
      </x:c>
    </x:row>
    <x:row r="622" ht="57" customHeight="1">
      <x:c r="A622" s="4" t="str">
        <x:v>REQ-10841cd8ff25</x:v>
      </x:c>
      <x:c r="B622" s="4" t="str">
        <x:v>财务结算</x:v>
      </x:c>
      <x:c r="C622" s="4" t="n">
        <x:v>3103</x:v>
      </x:c>
      <x:c r="D622" s="4" t="str">
        <x:v>上传 -&gt; 解析并预览人数、总额和明细 -&gt; 确认导入 -&gt; 生成锁定记录。</x:v>
      </x:c>
      <x:c r="E622" s="4" t="str">
        <x:v>整段分支核验未闭合</x:v>
      </x:c>
      <x:c r="F622" s="4" t="str">
        <x:v>ADMIN-0150、ADMIN-0151、ADMIN-0152、ADMIN-0153、ADMIN-0154、ADMIN-0155、ADMIN-0156</x:v>
      </x:c>
      <x:c r="G622" s="4" t="str">
        <x:v>本段剩余子句、条件组合及状态后续影响仍需与独立规则逐项闭合；这是生成覆盖缺口，不是产品决策缺失。</x:v>
      </x:c>
    </x:row>
    <x:row r="623" ht="44" customHeight="1">
      <x:c r="A623" s="4" t="str">
        <x:v>REQ-b19bf13d1469</x:v>
      </x:c>
      <x:c r="B623" s="4" t="str">
        <x:v>财务结算</x:v>
      </x:c>
      <x:c r="C623" s="4" t="n">
        <x:v>3108</x:v>
      </x:c>
      <x:c r="D623" s="4" t="str">
        <x:v>批次信息：备注、记录 ID、上传人和上传时间取导入快照。</x:v>
      </x:c>
      <x:c r="E623" s="4" t="str">
        <x:v>整段分支核验未闭合</x:v>
      </x:c>
      <x:c r="F623" s="4" t="str">
        <x:v>ADMIN-0450、ADMIN-0451、ADMIN-0452</x:v>
      </x:c>
      <x:c r="G623" s="4" t="str">
        <x:v>本段剩余子句、条件组合及状态后续影响仍需与独立规则逐项闭合；这是生成覆盖缺口，不是产品决策缺失。</x:v>
      </x:c>
    </x:row>
    <x:row r="624" ht="44" customHeight="1">
      <x:c r="A624" s="4" t="str">
        <x:v>REQ-1cadc5168b2e</x:v>
      </x:c>
      <x:c r="B624" s="4" t="str">
        <x:v>财务结算</x:v>
      </x:c>
      <x:c r="C624" s="4" t="n">
        <x:v>3109</x:v>
      </x:c>
      <x:c r="D624" s="4" t="str">
        <x:v>主播人数：去重主播明细数。</x:v>
      </x:c>
      <x:c r="E624" s="4" t="str">
        <x:v>整段分支核验未闭合</x:v>
      </x:c>
      <x:c r="F624" s="4" t="str">
        <x:v>ADMIN-0590</x:v>
      </x:c>
      <x:c r="G624" s="4" t="str">
        <x:v>本段剩余子句、条件组合及状态后续影响仍需与独立规则逐项闭合；这是生成覆盖缺口，不是产品决策缺失。</x:v>
      </x:c>
    </x:row>
    <x:row r="625" ht="44" customHeight="1">
      <x:c r="A625" s="4" t="str">
        <x:v>REQ-88b9ad901bdf</x:v>
      </x:c>
      <x:c r="B625" s="4" t="str">
        <x:v>财务结算</x:v>
      </x:c>
      <x:c r="C625" s="4" t="n">
        <x:v>3110</x:v>
      </x:c>
      <x:c r="D625" s="4" t="str">
        <x:v>主播明细：主播、所属公会和分成金额。</x:v>
      </x:c>
      <x:c r="E625" s="4" t="str">
        <x:v>尚未建立场景映射</x:v>
      </x:c>
      <x:c r="F625" s="4" t="str"/>
      <x:c r="G625" s="4" t="str">
        <x:v>本轮独立来源库保留该已知条款，但尚未建立可核验的正式场景映射；不是无业务依据，也不转为产品待确认。</x:v>
      </x:c>
    </x:row>
    <x:row r="626" ht="44" customHeight="1">
      <x:c r="A626" s="4" t="str">
        <x:v>REQ-f97c65e1f01d</x:v>
      </x:c>
      <x:c r="B626" s="4" t="str">
        <x:v>财务结算</x:v>
      </x:c>
      <x:c r="C626" s="4" t="n">
        <x:v>3111</x:v>
      </x:c>
      <x:c r="D626" s="4" t="str">
        <x:v>分成总金额：Σ 全部主播明细金额，必须与批次总额一致。</x:v>
      </x:c>
      <x:c r="E626" s="4" t="str">
        <x:v>整段分支核验未闭合</x:v>
      </x:c>
      <x:c r="F626" s="4" t="str">
        <x:v>ADMIN-0161、ADMIN-0162</x:v>
      </x:c>
      <x:c r="G626" s="4" t="str">
        <x:v>本段剩余子句、条件组合及状态后续影响仍需与独立规则逐项闭合；这是生成覆盖缺口，不是产品决策缺失。</x:v>
      </x:c>
    </x:row>
    <x:row r="627" ht="44" customHeight="1">
      <x:c r="A627" s="4" t="str">
        <x:v>REQ-7c63525f97ff</x:v>
      </x:c>
      <x:c r="B627" s="4" t="str">
        <x:v>财务结算</x:v>
      </x:c>
      <x:c r="C627" s="4" t="n">
        <x:v>3112</x:v>
      </x:c>
      <x:c r="D627" s="4" t="str">
        <x:v>详情是线下核算结果快照，只读且不承担审批。</x:v>
      </x:c>
      <x:c r="E627" s="4" t="str">
        <x:v>整段分支核验未闭合</x:v>
      </x:c>
      <x:c r="F627" s="4" t="str">
        <x:v>ADMIN-0161、ADMIN-0162、ADMIN-0500、ADMIN-0501、ADMIN-0502</x:v>
      </x:c>
      <x:c r="G627" s="4" t="str">
        <x:v>本段剩余子句、条件组合及状态后续影响仍需与独立规则逐项闭合；这是生成覆盖缺口，不是产品决策缺失。</x:v>
      </x:c>
    </x:row>
    <x:row r="628" ht="44" customHeight="1">
      <x:c r="A628" s="4" t="str">
        <x:v>REQ-b47afd31b70e</x:v>
      </x:c>
      <x:c r="B628" s="4" t="str">
        <x:v>财务结算</x:v>
      </x:c>
      <x:c r="C628" s="4" t="n">
        <x:v>3117</x:v>
      </x:c>
      <x:c r="D628" s="4" t="str">
        <x:v>账户余额：已上传分成入账 + 正向修正 - 负向修正，USD。</x:v>
      </x:c>
      <x:c r="E628" s="4" t="str">
        <x:v>整段分支核验未闭合</x:v>
      </x:c>
      <x:c r="F628" s="4" t="str">
        <x:v>ADMIN-0515</x:v>
      </x:c>
      <x:c r="G628" s="4" t="str">
        <x:v>本段剩余子句、条件组合及状态后续影响仍需与独立规则逐项闭合；这是生成覆盖缺口，不是产品决策缺失。</x:v>
      </x:c>
    </x:row>
    <x:row r="629" ht="44" customHeight="1">
      <x:c r="A629" s="4" t="str">
        <x:v>REQ-3494e1a0c32d</x:v>
      </x:c>
      <x:c r="B629" s="4" t="str">
        <x:v>财务结算</x:v>
      </x:c>
      <x:c r="C629" s="4" t="n">
        <x:v>3118</x:v>
      </x:c>
      <x:c r="D629" s="4" t="str">
        <x:v>汇总卡：Σ 当前筛选结果的账户余额。</x:v>
      </x:c>
      <x:c r="E629" s="4" t="str">
        <x:v>整段分支核验未闭合</x:v>
      </x:c>
      <x:c r="F629" s="4" t="str">
        <x:v>ADMIN-0515</x:v>
      </x:c>
      <x:c r="G629" s="4" t="str">
        <x:v>本段剩余子句、条件组合及状态后续影响仍需与独立规则逐项闭合；这是生成覆盖缺口，不是产品决策缺失。</x:v>
      </x:c>
    </x:row>
    <x:row r="630" ht="44" customHeight="1">
      <x:c r="A630" s="4" t="str">
        <x:v>REQ-6d05478dbf53</x:v>
      </x:c>
      <x:c r="B630" s="4" t="str">
        <x:v>财务结算</x:v>
      </x:c>
      <x:c r="C630" s="4" t="n">
        <x:v>3119</x:v>
      </x:c>
      <x:c r="D630" s="4" t="str">
        <x:v>查询 -&gt; 更新列表和余额汇总；点击余额或变更记录 -&gt; 进入该主播流水。</x:v>
      </x:c>
      <x:c r="E630" s="4" t="str">
        <x:v>整段分支核验未闭合</x:v>
      </x:c>
      <x:c r="F630" s="4" t="str">
        <x:v>ADMIN-0515</x:v>
      </x:c>
      <x:c r="G630" s="4" t="str">
        <x:v>本段剩余子句、条件组合及状态后续影响仍需与独立规则逐项闭合；这是生成覆盖缺口，不是产品决策缺失。</x:v>
      </x:c>
    </x:row>
    <x:row r="631" ht="44" customHeight="1">
      <x:c r="A631" s="4" t="str">
        <x:v>REQ-0ae0ed86a608</x:v>
      </x:c>
      <x:c r="B631" s="4" t="str">
        <x:v>财务结算</x:v>
      </x:c>
      <x:c r="C631" s="4" t="n">
        <x:v>3124</x:v>
      </x:c>
      <x:c r="D631" s="4" t="str">
        <x:v>变更类型：收益分成、分成修正。</x:v>
      </x:c>
      <x:c r="E631" s="4" t="str">
        <x:v>尚未建立场景映射</x:v>
      </x:c>
      <x:c r="F631" s="4" t="str"/>
      <x:c r="G631" s="4" t="str">
        <x:v>本轮独立来源库保留该已知条款，但尚未建立可核验的正式场景映射；不是无业务依据，也不转为产品待确认。</x:v>
      </x:c>
    </x:row>
    <x:row r="632" ht="57" customHeight="1">
      <x:c r="A632" s="4" t="str">
        <x:v>REQ-21e312b01e02</x:v>
      </x:c>
      <x:c r="B632" s="4" t="str">
        <x:v>财务结算</x:v>
      </x:c>
      <x:c r="C632" s="4" t="n">
        <x:v>3125</x:v>
      </x:c>
      <x:c r="D632" s="4" t="str">
        <x:v>变更金额：正数增加、负数扣减；不得为 0，最多两位小数。</x:v>
      </x:c>
      <x:c r="E632" s="4" t="str">
        <x:v>整段分支核验未闭合</x:v>
      </x:c>
      <x:c r="F632" s="4" t="str">
        <x:v>ADMIN-0163、ADMIN-0164、ADMIN-0165、ADMIN-0166、ADMIN-0167、ADMIN-0168、ADMIN-0169</x:v>
      </x:c>
      <x:c r="G632" s="4" t="str">
        <x:v>本段剩余子句、条件组合及状态后续影响仍需与独立规则逐项闭合；这是生成覆盖缺口，不是产品决策缺失。</x:v>
      </x:c>
    </x:row>
    <x:row r="633" ht="57" customHeight="1">
      <x:c r="A633" s="4" t="str">
        <x:v>REQ-278acde0cb4f</x:v>
      </x:c>
      <x:c r="B633" s="4" t="str">
        <x:v>财务结算</x:v>
      </x:c>
      <x:c r="C633" s="4" t="n">
        <x:v>3126</x:v>
      </x:c>
      <x:c r="D633" s="4" t="str">
        <x:v>变更后余额：变更前余额 + 有符号变更金额。</x:v>
      </x:c>
      <x:c r="E633" s="4" t="str">
        <x:v>整段分支核验未闭合</x:v>
      </x:c>
      <x:c r="F633" s="4" t="str">
        <x:v>ADMIN-0163、ADMIN-0164、ADMIN-0165、ADMIN-0166、ADMIN-0167、ADMIN-0168、ADMIN-0169</x:v>
      </x:c>
      <x:c r="G633" s="4" t="str">
        <x:v>本段剩余子句、条件组合及状态后续影响仍需与独立规则逐项闭合；这是生成覆盖缺口，不是产品决策缺失。</x:v>
      </x:c>
    </x:row>
    <x:row r="634" ht="44" customHeight="1">
      <x:c r="A634" s="4" t="str">
        <x:v>REQ-5a40f1f32dc0</x:v>
      </x:c>
      <x:c r="B634" s="4" t="str">
        <x:v>财务结算</x:v>
      </x:c>
      <x:c r="C634" s="4" t="n">
        <x:v>3127</x:v>
      </x:c>
      <x:c r="D634" s="4" t="str">
        <x:v>备注：分成修正必填，最长 100 字。</x:v>
      </x:c>
      <x:c r="E634" s="4" t="str">
        <x:v>整段分支核验未闭合</x:v>
      </x:c>
      <x:c r="F634" s="4" t="str">
        <x:v>ADMIN-0170</x:v>
      </x:c>
      <x:c r="G634" s="4" t="str">
        <x:v>本段剩余子句、条件组合及状态后续影响仍需与独立规则逐项闭合；这是生成覆盖缺口，不是产品决策缺失。</x:v>
      </x:c>
    </x:row>
    <x:row r="635" ht="44" customHeight="1">
      <x:c r="A635" s="4" t="str">
        <x:v>REQ-a385d8a6f8a8</x:v>
      </x:c>
      <x:c r="B635" s="4" t="str">
        <x:v>财务结算</x:v>
      </x:c>
      <x:c r="C635" s="4" t="n">
        <x:v>3128</x:v>
      </x:c>
      <x:c r="D635" s="4" t="str">
        <x:v>操作信息：记录编号、操作人和时间系统生成。</x:v>
      </x:c>
      <x:c r="E635" s="4" t="str">
        <x:v>整段分支核验未闭合</x:v>
      </x:c>
      <x:c r="F635" s="4" t="str">
        <x:v>ADMIN-0453、ADMIN-0454</x:v>
      </x:c>
      <x:c r="G635" s="4" t="str">
        <x:v>本段剩余子句、条件组合及状态后续影响仍需与独立规则逐项闭合；这是生成覆盖缺口，不是产品决策缺失。</x:v>
      </x:c>
    </x:row>
    <x:row r="636" ht="57" customHeight="1">
      <x:c r="A636" s="4" t="str">
        <x:v>REQ-37c640e08b59</x:v>
      </x:c>
      <x:c r="B636" s="4" t="str">
        <x:v>财务结算</x:v>
      </x:c>
      <x:c r="C636" s="4" t="n">
        <x:v>3129</x:v>
      </x:c>
      <x:c r="D636" s="4" t="str">
        <x:v>负向修正绝对值不得超过当前余额，账户余额不得因手工修正为负。</x:v>
      </x:c>
      <x:c r="E636" s="4" t="str">
        <x:v>整段分支核验未闭合</x:v>
      </x:c>
      <x:c r="F636" s="4" t="str">
        <x:v>ADMIN-0163、ADMIN-0164、ADMIN-0165、ADMIN-0166、ADMIN-0167、ADMIN-0168、ADMIN-0169</x:v>
      </x:c>
      <x:c r="G636" s="4" t="str">
        <x:v>本段剩余子句、条件组合及状态后续影响仍需与独立规则逐项闭合；这是生成覆盖缺口，不是产品决策缺失。</x:v>
      </x:c>
    </x:row>
    <x:row r="637" ht="57" customHeight="1">
      <x:c r="A637" s="4" t="str">
        <x:v>REQ-f50619d79c2f</x:v>
      </x:c>
      <x:c r="B637" s="4" t="str">
        <x:v>财务结算</x:v>
      </x:c>
      <x:c r="C637" s="4" t="n">
        <x:v>3130</x:v>
      </x:c>
      <x:c r="D637" s="4" t="str">
        <x:v>余额变更 -&gt; 输入金额和原因 -&gt; 校验 -&gt; 生成不可修改的修正流水并更新余额。</x:v>
      </x:c>
      <x:c r="E637" s="4" t="str">
        <x:v>整段分支核验未闭合</x:v>
      </x:c>
      <x:c r="F637" s="4" t="str">
        <x:v>ADMIN-0163、ADMIN-0164、ADMIN-0165、ADMIN-0166、ADMIN-0167、ADMIN-0168、ADMIN-0169</x:v>
      </x:c>
      <x:c r="G637" s="4" t="str">
        <x:v>本段剩余子句、条件组合及状态后续影响仍需与独立规则逐项闭合；这是生成覆盖缺口，不是产品决策缺失。</x:v>
      </x:c>
    </x:row>
    <x:row r="638" ht="44" customHeight="1">
      <x:c r="A638" s="4" t="str">
        <x:v>REQ-0ed4f60e4a04</x:v>
      </x:c>
      <x:c r="B638" s="4" t="str">
        <x:v>财务结算</x:v>
      </x:c>
      <x:c r="C638" s="4" t="n">
        <x:v>3135</x:v>
      </x:c>
      <x:c r="D638" s="4" t="str">
        <x:v>分成备注：必填，最长 100 字。</x:v>
      </x:c>
      <x:c r="E638" s="4" t="str">
        <x:v>整段分支核验未闭合</x:v>
      </x:c>
      <x:c r="F638" s="4" t="str">
        <x:v>ADMIN-0178、ADMIN-0179、ADMIN-0180、ADMIN-0181</x:v>
      </x:c>
      <x:c r="G638" s="4" t="str">
        <x:v>本段剩余子句、条件组合及状态后续影响仍需与独立规则逐项闭合；这是生成覆盖缺口，不是产品决策缺失。</x:v>
      </x:c>
    </x:row>
    <x:row r="639" ht="44" customHeight="1">
      <x:c r="A639" s="4" t="str">
        <x:v>REQ-9d28829b6401</x:v>
      </x:c>
      <x:c r="B639" s="4" t="str">
        <x:v>财务结算</x:v>
      </x:c>
      <x:c r="C639" s="4" t="n">
        <x:v>3136</x:v>
      </x:c>
      <x:c r="D639" s="4" t="str">
        <x:v>公会数量：导入文件中有效且去重的公会明细数。</x:v>
      </x:c>
      <x:c r="E639" s="4" t="str">
        <x:v>整段分支核验未闭合</x:v>
      </x:c>
      <x:c r="F639" s="4" t="str">
        <x:v>ADMIN-0171、ADMIN-0172、ADMIN-0173、ADMIN-0174、ADMIN-0175、ADMIN-0176</x:v>
      </x:c>
      <x:c r="G639" s="4" t="str">
        <x:v>本段剩余子句、条件组合及状态后续影响仍需与独立规则逐项闭合；这是生成覆盖缺口，不是产品决策缺失。</x:v>
      </x:c>
    </x:row>
    <x:row r="640" ht="44" customHeight="1">
      <x:c r="A640" s="4" t="str">
        <x:v>REQ-97a8339d6736</x:v>
      </x:c>
      <x:c r="B640" s="4" t="str">
        <x:v>财务结算</x:v>
      </x:c>
      <x:c r="C640" s="4" t="n">
        <x:v>3137</x:v>
      </x:c>
      <x:c r="D640" s="4" t="str">
        <x:v>分成总金额：Σ 公会分成明细金额，USD。</x:v>
      </x:c>
      <x:c r="E640" s="4" t="str">
        <x:v>整段分支核验未闭合</x:v>
      </x:c>
      <x:c r="F640" s="4" t="str">
        <x:v>ADMIN-0171、ADMIN-0172、ADMIN-0173、ADMIN-0174、ADMIN-0175、ADMIN-0176</x:v>
      </x:c>
      <x:c r="G640" s="4" t="str">
        <x:v>本段剩余子句、条件组合及状态后续影响仍需与独立规则逐项闭合；这是生成覆盖缺口，不是产品决策缺失。</x:v>
      </x:c>
    </x:row>
    <x:row r="641" ht="44" customHeight="1">
      <x:c r="A641" s="4" t="str">
        <x:v>REQ-bb1812cab04a</x:v>
      </x:c>
      <x:c r="B641" s="4" t="str">
        <x:v>财务结算</x:v>
      </x:c>
      <x:c r="C641" s="4" t="n">
        <x:v>3138</x:v>
      </x:c>
      <x:c r="D641" s="4" t="str">
        <x:v>上传文件：XLSX、XLS 或 CSV，按模板校验。</x:v>
      </x:c>
      <x:c r="E641" s="4" t="str">
        <x:v>整段分支核验未闭合</x:v>
      </x:c>
      <x:c r="F641" s="4" t="str">
        <x:v>ADMIN-0171、ADMIN-0172、ADMIN-0173、ADMIN-0174、ADMIN-0175、ADMIN-0176</x:v>
      </x:c>
      <x:c r="G641" s="4" t="str">
        <x:v>本段剩余子句、条件组合及状态后续影响仍需与独立规则逐项闭合；这是生成覆盖缺口，不是产品决策缺失。</x:v>
      </x:c>
    </x:row>
    <x:row r="642" ht="44" customHeight="1">
      <x:c r="A642" s="4" t="str">
        <x:v>REQ-6676d19ab3a5</x:v>
      </x:c>
      <x:c r="B642" s="4" t="str">
        <x:v>财务结算</x:v>
      </x:c>
      <x:c r="C642" s="4" t="n">
        <x:v>3139</x:v>
      </x:c>
      <x:c r="D642" s="4" t="str">
        <x:v>上传人 / 时间：当前后台账号和确认导入时间。</x:v>
      </x:c>
      <x:c r="E642" s="4" t="str">
        <x:v>整段分支核验未闭合</x:v>
      </x:c>
      <x:c r="F642" s="4" t="str">
        <x:v>ADMIN-0177、ADMIN-0455</x:v>
      </x:c>
      <x:c r="G642" s="4" t="str">
        <x:v>本段剩余子句、条件组合及状态后续影响仍需与独立规则逐项闭合；这是生成覆盖缺口，不是产品决策缺失。</x:v>
      </x:c>
    </x:row>
    <x:row r="643" ht="44" customHeight="1">
      <x:c r="A643" s="4" t="str">
        <x:v>REQ-e1f56b5ef1ca</x:v>
      </x:c>
      <x:c r="B643" s="4" t="str">
        <x:v>财务结算</x:v>
      </x:c>
      <x:c r="C643" s="4" t="n">
        <x:v>3140</x:v>
      </x:c>
      <x:c r="D643" s="4" t="str">
        <x:v>结果由财务线下核算；导入成功后锁定且不可编辑或删除。</x:v>
      </x:c>
      <x:c r="E643" s="4" t="str">
        <x:v>整段分支核验未闭合</x:v>
      </x:c>
      <x:c r="F643" s="4" t="str">
        <x:v>ADMIN-0177</x:v>
      </x:c>
      <x:c r="G643" s="4" t="str">
        <x:v>本段剩余子句、条件组合及状态后续影响仍需与独立规则逐项闭合；这是生成覆盖缺口，不是产品决策缺失。</x:v>
      </x:c>
    </x:row>
    <x:row r="644" ht="44" customHeight="1">
      <x:c r="A644" s="4" t="str">
        <x:v>REQ-97cdf2c729dc</x:v>
      </x:c>
      <x:c r="B644" s="4" t="str">
        <x:v>财务结算</x:v>
      </x:c>
      <x:c r="C644" s="4" t="n">
        <x:v>3141</x:v>
      </x:c>
      <x:c r="D644" s="4" t="str">
        <x:v>公会解散前须完成名下主播收益结算。</x:v>
      </x:c>
      <x:c r="E644" s="4" t="str">
        <x:v>尚未建立场景映射</x:v>
      </x:c>
      <x:c r="F644" s="4" t="str"/>
      <x:c r="G644" s="4" t="str">
        <x:v>本轮独立来源库保留该已知条款，但尚未建立可核验的正式场景映射；不是无业务依据，也不转为产品待确认。</x:v>
      </x:c>
    </x:row>
    <x:row r="645" ht="57" customHeight="1">
      <x:c r="A645" s="4" t="str">
        <x:v>REQ-81a1b1243e27</x:v>
      </x:c>
      <x:c r="B645" s="4" t="str">
        <x:v>财务结算</x:v>
      </x:c>
      <x:c r="C645" s="4" t="n">
        <x:v>3142</x:v>
      </x:c>
      <x:c r="D645" s="4" t="str">
        <x:v>上传 -&gt; 预览公会数、总额和明细 -&gt; 确认 -&gt; 生成锁定记录。</x:v>
      </x:c>
      <x:c r="E645" s="4" t="str">
        <x:v>整段分支核验未闭合</x:v>
      </x:c>
      <x:c r="F645" s="4" t="str">
        <x:v>ADMIN-0171、ADMIN-0172、ADMIN-0173、ADMIN-0174、ADMIN-0175、ADMIN-0176、ADMIN-0177</x:v>
      </x:c>
      <x:c r="G645" s="4" t="str">
        <x:v>本段剩余子句、条件组合及状态后续影响仍需与独立规则逐项闭合；这是生成覆盖缺口，不是产品决策缺失。</x:v>
      </x:c>
    </x:row>
    <x:row r="646" ht="44" customHeight="1">
      <x:c r="A646" s="4" t="str">
        <x:v>REQ-332257417126</x:v>
      </x:c>
      <x:c r="B646" s="4" t="str">
        <x:v>财务结算</x:v>
      </x:c>
      <x:c r="C646" s="4" t="n">
        <x:v>3147</x:v>
      </x:c>
      <x:c r="D646" s="4" t="str">
        <x:v>批次信息：备注、记录 ID、上传人和上传时间取导入快照。</x:v>
      </x:c>
      <x:c r="E646" s="4" t="str">
        <x:v>整段分支核验未闭合</x:v>
      </x:c>
      <x:c r="F646" s="4" t="str">
        <x:v>ADMIN-0456、ADMIN-0457、ADMIN-0458</x:v>
      </x:c>
      <x:c r="G646" s="4" t="str">
        <x:v>本段剩余子句、条件组合及状态后续影响仍需与独立规则逐项闭合；这是生成覆盖缺口，不是产品决策缺失。</x:v>
      </x:c>
    </x:row>
    <x:row r="647" ht="44" customHeight="1">
      <x:c r="A647" s="4" t="str">
        <x:v>REQ-76d00b11cf3c</x:v>
      </x:c>
      <x:c r="B647" s="4" t="str">
        <x:v>财务结算</x:v>
      </x:c>
      <x:c r="C647" s="4" t="n">
        <x:v>3148</x:v>
      </x:c>
      <x:c r="D647" s="4" t="str">
        <x:v>公会数量：去重公会明细数。</x:v>
      </x:c>
      <x:c r="E647" s="4" t="str">
        <x:v>尚未建立场景映射</x:v>
      </x:c>
      <x:c r="F647" s="4" t="str"/>
      <x:c r="G647" s="4" t="str">
        <x:v>本轮独立来源库保留该已知条款，但尚未建立可核验的正式场景映射；不是无业务依据，也不转为产品待确认。</x:v>
      </x:c>
    </x:row>
    <x:row r="648" ht="44" customHeight="1">
      <x:c r="A648" s="4" t="str">
        <x:v>REQ-786e8638b5c7</x:v>
      </x:c>
      <x:c r="B648" s="4" t="str">
        <x:v>财务结算</x:v>
      </x:c>
      <x:c r="C648" s="4" t="n">
        <x:v>3149</x:v>
      </x:c>
      <x:c r="D648" s="4" t="str">
        <x:v>公会明细：公会名称、ID 和分成金额。</x:v>
      </x:c>
      <x:c r="E648" s="4" t="str">
        <x:v>整段分支核验未闭合</x:v>
      </x:c>
      <x:c r="F648" s="4" t="str">
        <x:v>ADMIN-0456、ADMIN-0459、ADMIN-0460</x:v>
      </x:c>
      <x:c r="G648" s="4" t="str">
        <x:v>本段剩余子句、条件组合及状态后续影响仍需与独立规则逐项闭合；这是生成覆盖缺口，不是产品决策缺失。</x:v>
      </x:c>
    </x:row>
    <x:row r="649" ht="44" customHeight="1">
      <x:c r="A649" s="4" t="str">
        <x:v>REQ-6a167aa9190d</x:v>
      </x:c>
      <x:c r="B649" s="4" t="str">
        <x:v>财务结算</x:v>
      </x:c>
      <x:c r="C649" s="4" t="n">
        <x:v>3150</x:v>
      </x:c>
      <x:c r="D649" s="4" t="str">
        <x:v>分成总金额：Σ 全部公会明细金额，必须等于批次总额。</x:v>
      </x:c>
      <x:c r="E649" s="4" t="str">
        <x:v>整段分支核验未闭合</x:v>
      </x:c>
      <x:c r="F649" s="4" t="str">
        <x:v>ADMIN-0182、ADMIN-0183</x:v>
      </x:c>
      <x:c r="G649" s="4" t="str">
        <x:v>本段剩余子句、条件组合及状态后续影响仍需与独立规则逐项闭合；这是生成覆盖缺口，不是产品决策缺失。</x:v>
      </x:c>
    </x:row>
    <x:row r="650" ht="44" customHeight="1">
      <x:c r="A650" s="4" t="str">
        <x:v>REQ-95c2ebec4848</x:v>
      </x:c>
      <x:c r="B650" s="4" t="str">
        <x:v>财务结算</x:v>
      </x:c>
      <x:c r="C650" s="4" t="n">
        <x:v>3151</x:v>
      </x:c>
      <x:c r="D650" s="4" t="str">
        <x:v>详情只读，不承担线上审批。</x:v>
      </x:c>
      <x:c r="E650" s="4" t="str">
        <x:v>整段分支核验未闭合</x:v>
      </x:c>
      <x:c r="F650" s="4" t="str">
        <x:v>ADMIN-0182、ADMIN-0183、ADMIN-0503、ADMIN-0504、ADMIN-0505</x:v>
      </x:c>
      <x:c r="G650" s="4" t="str">
        <x:v>本段剩余子句、条件组合及状态后续影响仍需与独立规则逐项闭合；这是生成覆盖缺口，不是产品决策缺失。</x:v>
      </x:c>
    </x:row>
    <x:row r="651" ht="44" customHeight="1">
      <x:c r="A651" s="4" t="str">
        <x:v>REQ-d2e248a00baa</x:v>
      </x:c>
      <x:c r="B651" s="4" t="str">
        <x:v>财务结算</x:v>
      </x:c>
      <x:c r="C651" s="4" t="n">
        <x:v>3156</x:v>
      </x:c>
      <x:c r="D651" s="4" t="str">
        <x:v>账户余额：已上传分成入账 + 正向修正 - 负向修正，USD。</x:v>
      </x:c>
      <x:c r="E651" s="4" t="str">
        <x:v>整段分支核验未闭合</x:v>
      </x:c>
      <x:c r="F651" s="4" t="str">
        <x:v>ADMIN-0516</x:v>
      </x:c>
      <x:c r="G651" s="4" t="str">
        <x:v>本段剩余子句、条件组合及状态后续影响仍需与独立规则逐项闭合；这是生成覆盖缺口，不是产品决策缺失。</x:v>
      </x:c>
    </x:row>
    <x:row r="652" ht="44" customHeight="1">
      <x:c r="A652" s="4" t="str">
        <x:v>REQ-e90da016773a</x:v>
      </x:c>
      <x:c r="B652" s="4" t="str">
        <x:v>财务结算</x:v>
      </x:c>
      <x:c r="C652" s="4" t="n">
        <x:v>3157</x:v>
      </x:c>
      <x:c r="D652" s="4" t="str">
        <x:v>汇总卡：Σ 当前筛选结果的账户余额。</x:v>
      </x:c>
      <x:c r="E652" s="4" t="str">
        <x:v>整段分支核验未闭合</x:v>
      </x:c>
      <x:c r="F652" s="4" t="str">
        <x:v>ADMIN-0516</x:v>
      </x:c>
      <x:c r="G652" s="4" t="str">
        <x:v>本段剩余子句、条件组合及状态后续影响仍需与独立规则逐项闭合；这是生成覆盖缺口，不是产品决策缺失。</x:v>
      </x:c>
    </x:row>
    <x:row r="653" ht="44" customHeight="1">
      <x:c r="A653" s="4" t="str">
        <x:v>REQ-73d39f66e389</x:v>
      </x:c>
      <x:c r="B653" s="4" t="str">
        <x:v>财务结算</x:v>
      </x:c>
      <x:c r="C653" s="4" t="n">
        <x:v>3158</x:v>
      </x:c>
      <x:c r="D653" s="4" t="str">
        <x:v>查询 -&gt; 更新列表和汇总；点击行或余额 -&gt; 进入公会变更流水。</x:v>
      </x:c>
      <x:c r="E653" s="4" t="str">
        <x:v>整段分支核验未闭合</x:v>
      </x:c>
      <x:c r="F653" s="4" t="str">
        <x:v>ADMIN-0516</x:v>
      </x:c>
      <x:c r="G653" s="4" t="str">
        <x:v>本段剩余子句、条件组合及状态后续影响仍需与独立规则逐项闭合；这是生成覆盖缺口，不是产品决策缺失。</x:v>
      </x:c>
    </x:row>
    <x:row r="654" ht="44" customHeight="1">
      <x:c r="A654" s="4" t="str">
        <x:v>REQ-7e283dddfc96</x:v>
      </x:c>
      <x:c r="B654" s="4" t="str">
        <x:v>财务结算</x:v>
      </x:c>
      <x:c r="C654" s="4" t="n">
        <x:v>3163</x:v>
      </x:c>
      <x:c r="D654" s="4" t="str">
        <x:v>变更类型：收益分成、分成修正。</x:v>
      </x:c>
      <x:c r="E654" s="4" t="str">
        <x:v>尚未建立场景映射</x:v>
      </x:c>
      <x:c r="F654" s="4" t="str"/>
      <x:c r="G654" s="4" t="str">
        <x:v>本轮独立来源库保留该已知条款，但尚未建立可核验的正式场景映射；不是无业务依据，也不转为产品待确认。</x:v>
      </x:c>
    </x:row>
    <x:row r="655" ht="57" customHeight="1">
      <x:c r="A655" s="4" t="str">
        <x:v>REQ-8a628d4e413b</x:v>
      </x:c>
      <x:c r="B655" s="4" t="str">
        <x:v>财务结算</x:v>
      </x:c>
      <x:c r="C655" s="4" t="n">
        <x:v>3164</x:v>
      </x:c>
      <x:c r="D655" s="4" t="str">
        <x:v>变更金额：正数增加、负数扣减；不得为 0，最多两位小数。</x:v>
      </x:c>
      <x:c r="E655" s="4" t="str">
        <x:v>整段分支核验未闭合</x:v>
      </x:c>
      <x:c r="F655" s="4" t="str">
        <x:v>ADMIN-0184、ADMIN-0185、ADMIN-0186、ADMIN-0187、ADMIN-0188、ADMIN-0189、ADMIN-0190</x:v>
      </x:c>
      <x:c r="G655" s="4" t="str">
        <x:v>本段剩余子句、条件组合及状态后续影响仍需与独立规则逐项闭合；这是生成覆盖缺口，不是产品决策缺失。</x:v>
      </x:c>
    </x:row>
    <x:row r="656" ht="57" customHeight="1">
      <x:c r="A656" s="4" t="str">
        <x:v>REQ-920e4b0cd27e</x:v>
      </x:c>
      <x:c r="B656" s="4" t="str">
        <x:v>财务结算</x:v>
      </x:c>
      <x:c r="C656" s="4" t="n">
        <x:v>3165</x:v>
      </x:c>
      <x:c r="D656" s="4" t="str">
        <x:v>变更后余额：变更前余额 + 有符号变更金额。</x:v>
      </x:c>
      <x:c r="E656" s="4" t="str">
        <x:v>整段分支核验未闭合</x:v>
      </x:c>
      <x:c r="F656" s="4" t="str">
        <x:v>ADMIN-0184、ADMIN-0185、ADMIN-0186、ADMIN-0187、ADMIN-0188、ADMIN-0189、ADMIN-0190</x:v>
      </x:c>
      <x:c r="G656" s="4" t="str">
        <x:v>本段剩余子句、条件组合及状态后续影响仍需与独立规则逐项闭合；这是生成覆盖缺口，不是产品决策缺失。</x:v>
      </x:c>
    </x:row>
    <x:row r="657" ht="44" customHeight="1">
      <x:c r="A657" s="4" t="str">
        <x:v>REQ-18bd9d82a7d0</x:v>
      </x:c>
      <x:c r="B657" s="4" t="str">
        <x:v>财务结算</x:v>
      </x:c>
      <x:c r="C657" s="4" t="n">
        <x:v>3166</x:v>
      </x:c>
      <x:c r="D657" s="4" t="str">
        <x:v>备注：分成修正必填。</x:v>
      </x:c>
      <x:c r="E657" s="4" t="str">
        <x:v>整段分支核验未闭合</x:v>
      </x:c>
      <x:c r="F657" s="4" t="str">
        <x:v>ADMIN-0191</x:v>
      </x:c>
      <x:c r="G657" s="4" t="str">
        <x:v>本段剩余子句、条件组合及状态后续影响仍需与独立规则逐项闭合；这是生成覆盖缺口，不是产品决策缺失。</x:v>
      </x:c>
    </x:row>
    <x:row r="658" ht="44" customHeight="1">
      <x:c r="A658" s="4" t="str">
        <x:v>REQ-4787da090311</x:v>
      </x:c>
      <x:c r="B658" s="4" t="str">
        <x:v>财务结算</x:v>
      </x:c>
      <x:c r="C658" s="4" t="n">
        <x:v>3167</x:v>
      </x:c>
      <x:c r="D658" s="4" t="str">
        <x:v>操作信息：记录编号、操作人和时间系统生成。</x:v>
      </x:c>
      <x:c r="E658" s="4" t="str">
        <x:v>整段分支核验未闭合</x:v>
      </x:c>
      <x:c r="F658" s="4" t="str">
        <x:v>ADMIN-0453、ADMIN-0454</x:v>
      </x:c>
      <x:c r="G658" s="4" t="str">
        <x:v>本段剩余子句、条件组合及状态后续影响仍需与独立规则逐项闭合；这是生成覆盖缺口，不是产品决策缺失。</x:v>
      </x:c>
    </x:row>
    <x:row r="659" ht="57" customHeight="1">
      <x:c r="A659" s="4" t="str">
        <x:v>REQ-50c4cda7f579</x:v>
      </x:c>
      <x:c r="B659" s="4" t="str">
        <x:v>财务结算</x:v>
      </x:c>
      <x:c r="C659" s="4" t="n">
        <x:v>3168</x:v>
      </x:c>
      <x:c r="D659" s="4" t="str">
        <x:v>负向修正不得超过当前余额。</x:v>
      </x:c>
      <x:c r="E659" s="4" t="str">
        <x:v>整段分支核验未闭合</x:v>
      </x:c>
      <x:c r="F659" s="4" t="str">
        <x:v>ADMIN-0184、ADMIN-0185、ADMIN-0186、ADMIN-0187、ADMIN-0188、ADMIN-0189、ADMIN-0190</x:v>
      </x:c>
      <x:c r="G659" s="4" t="str">
        <x:v>本段剩余子句、条件组合及状态后续影响仍需与独立规则逐项闭合；这是生成覆盖缺口，不是产品决策缺失。</x:v>
      </x:c>
    </x:row>
    <x:row r="660" ht="57" customHeight="1">
      <x:c r="A660" s="4" t="str">
        <x:v>REQ-10cdd0a73bbb</x:v>
      </x:c>
      <x:c r="B660" s="4" t="str">
        <x:v>财务结算</x:v>
      </x:c>
      <x:c r="C660" s="4" t="n">
        <x:v>3169</x:v>
      </x:c>
      <x:c r="D660" s="4" t="str">
        <x:v>余额变更 -&gt; 输入金额和原因 -&gt; 校验 -&gt; 生成不可修改流水并更新余额。</x:v>
      </x:c>
      <x:c r="E660" s="4" t="str">
        <x:v>整段分支核验未闭合</x:v>
      </x:c>
      <x:c r="F660" s="4" t="str">
        <x:v>ADMIN-0184、ADMIN-0185、ADMIN-0186、ADMIN-0187、ADMIN-0188、ADMIN-0189、ADMIN-0190</x:v>
      </x:c>
      <x:c r="G660" s="4" t="str">
        <x:v>本段剩余子句、条件组合及状态后续影响仍需与独立规则逐项闭合；这是生成覆盖缺口，不是产品决策缺失。</x:v>
      </x:c>
    </x:row>
    <x:row r="661" ht="44" customHeight="1">
      <x:c r="A661" s="4" t="str">
        <x:v>REQ-029e84b8174b</x:v>
      </x:c>
      <x:c r="B661" s="4" t="str">
        <x:v>数据报表</x:v>
      </x:c>
      <x:c r="C661" s="4" t="n">
        <x:v>3174</x:v>
      </x:c>
      <x:c r="D661" s="4" t="str">
        <x:v>基础数据：每日统计、用户活跃、主播活跃、直播互动、充值消费和充值用户分层。</x:v>
      </x:c>
      <x:c r="E661" s="4" t="str">
        <x:v>尚未建立场景映射</x:v>
      </x:c>
      <x:c r="F661" s="4" t="str"/>
      <x:c r="G661" s="4" t="str">
        <x:v>本轮独立来源库保留该已知条款，但尚未建立可核验的正式场景映射；不是无业务依据，也不转为产品待确认。</x:v>
      </x:c>
    </x:row>
    <x:row r="662" ht="44" customHeight="1">
      <x:c r="A662" s="4" t="str">
        <x:v>REQ-d02439c510bf</x:v>
      </x:c>
      <x:c r="B662" s="4" t="str">
        <x:v>数据报表</x:v>
      </x:c>
      <x:c r="C662" s="4" t="n">
        <x:v>3175</x:v>
      </x:c>
      <x:c r="D662" s="4" t="str">
        <x:v>财务对账：月度汇总、直播记录、主播业绩、礼物及订单明细。</x:v>
      </x:c>
      <x:c r="E662" s="4" t="str">
        <x:v>尚未建立场景映射</x:v>
      </x:c>
      <x:c r="F662" s="4" t="str"/>
      <x:c r="G662" s="4" t="str">
        <x:v>本轮独立来源库保留该已知条款，但尚未建立可核验的正式场景映射；不是无业务依据，也不转为产品待确认。</x:v>
      </x:c>
    </x:row>
    <x:row r="663" ht="102" customHeight="1">
      <x:c r="A663" s="4" t="str">
        <x:v>REQ-96d0bfcceee8</x:v>
      </x:c>
      <x:c r="B663" s="4" t="str">
        <x:v>数据报表</x:v>
      </x:c>
      <x:c r="C663" s="4" t="n">
        <x:v>3176</x:v>
      </x:c>
      <x:c r="D663" s="4" t="str">
        <x:v>仅展示当前角色有权查看的入口；报表权限同时控制查询和导出。</x:v>
      </x:c>
      <x:c r="E663" s="4" t="str">
        <x:v>整段分支核验未闭合</x:v>
      </x:c>
      <x:c r="F663" s="4" t="str">
        <x:v>ADMIN-0246、ADMIN-0248、ADMIN-0250、ADMIN-0252、ADMIN-0254、ADMIN-0256、ADMIN-0258、ADMIN-0260、ADMIN-0262、ADMIN-0264、ADMIN-0266、ADMIN-0268、ADMIN-0270、ADMIN-0272、ADMIN-0274、ADMIN-0276、ADMIN-0517</x:v>
      </x:c>
      <x:c r="G663" s="4" t="str">
        <x:v>本段剩余子句、条件组合及状态后续影响仍需与独立规则逐项闭合；这是生成覆盖缺口，不是产品决策缺失。</x:v>
      </x:c>
    </x:row>
    <x:row r="664" ht="44" customHeight="1">
      <x:c r="A664" s="4" t="str">
        <x:v>REQ-d3a11462c97c</x:v>
      </x:c>
      <x:c r="B664" s="4" t="str">
        <x:v>数据报表</x:v>
      </x:c>
      <x:c r="C664" s="4" t="n">
        <x:v>3177</x:v>
      </x:c>
      <x:c r="D664" s="4" t="str">
        <x:v>报表提供数据口径，不在系统内计算具体分成或执行结算审批。</x:v>
      </x:c>
      <x:c r="E664" s="4" t="str">
        <x:v>尚未建立场景映射</x:v>
      </x:c>
      <x:c r="F664" s="4" t="str"/>
      <x:c r="G664" s="4" t="str">
        <x:v>本轮独立来源库保留该已知条款，但尚未建立可核验的正式场景映射；不是无业务依据，也不转为产品待确认。</x:v>
      </x:c>
    </x:row>
    <x:row r="665" ht="44" customHeight="1">
      <x:c r="A665" s="4" t="str">
        <x:v>REQ-ac59ce621cc4</x:v>
      </x:c>
      <x:c r="B665" s="4" t="str">
        <x:v>数据报表</x:v>
      </x:c>
      <x:c r="C665" s="4" t="n">
        <x:v>3178</x:v>
      </x:c>
      <x:c r="D665" s="4" t="str">
        <x:v>点击入口 -&gt; 进入对应报表。</x:v>
      </x:c>
      <x:c r="E665" s="4" t="str">
        <x:v>尚未建立场景映射</x:v>
      </x:c>
      <x:c r="F665" s="4" t="str"/>
      <x:c r="G665" s="4" t="str">
        <x:v>本轮独立来源库保留该已知条款，但尚未建立可核验的正式场景映射；不是无业务依据，也不转为产品待确认。</x:v>
      </x:c>
    </x:row>
    <x:row r="666" ht="44" customHeight="1">
      <x:c r="A666" s="4" t="str">
        <x:v>REQ-0f01cdb0c92c</x:v>
      </x:c>
      <x:c r="B666" s="4" t="str">
        <x:v>数据报表</x:v>
      </x:c>
      <x:c r="C666" s="4" t="n">
        <x:v>3183</x:v>
      </x:c>
      <x:c r="D666" s="4" t="str">
        <x:v>活跃 / 新增用户：范围内各日打开 App（启动或从后台切回前台）的去重登录用户数之和 / 注册去重人数之和。</x:v>
      </x:c>
      <x:c r="E666" s="4" t="str">
        <x:v>整段分支核验未闭合</x:v>
      </x:c>
      <x:c r="F666" s="4" t="str">
        <x:v>ADMIN-0611</x:v>
      </x:c>
      <x:c r="G666" s="4" t="str">
        <x:v>本段剩余子句、条件组合及状态后续影响仍需与独立规则逐项闭合；这是生成覆盖缺口，不是产品决策缺失。</x:v>
      </x:c>
    </x:row>
    <x:row r="667" ht="44" customHeight="1">
      <x:c r="A667" s="4" t="str">
        <x:v>REQ-91fd6701b329</x:v>
      </x:c>
      <x:c r="B667" s="4" t="str">
        <x:v>数据报表</x:v>
      </x:c>
      <x:c r="C667" s="4" t="n">
        <x:v>3184</x:v>
      </x:c>
      <x:c r="D667" s="4" t="str">
        <x:v>总充值金额 / 人数：支付成功实付金额合计 / 各日充值去重人数之和。</x:v>
      </x:c>
      <x:c r="E667" s="4" t="str">
        <x:v>尚未建立场景映射</x:v>
      </x:c>
      <x:c r="F667" s="4" t="str"/>
      <x:c r="G667" s="4" t="str">
        <x:v>本轮独立来源库保留该已知条款，但尚未建立可核验的正式场景映射；不是无业务依据，也不转为产品待确认。</x:v>
      </x:c>
    </x:row>
    <x:row r="668" ht="44" customHeight="1">
      <x:c r="A668" s="4" t="str">
        <x:v>REQ-8b7a0351fdf4</x:v>
      </x:c>
      <x:c r="B668" s="4" t="str">
        <x:v>数据报表</x:v>
      </x:c>
      <x:c r="C668" s="4" t="n">
        <x:v>3185</x:v>
      </x:c>
      <x:c r="D668" s="4" t="str">
        <x:v>新用户充值金额：注册当日支付成功的新用户充值金额合计。</x:v>
      </x:c>
      <x:c r="E668" s="4" t="str">
        <x:v>整段分支核验未闭合</x:v>
      </x:c>
      <x:c r="F668" s="4" t="str">
        <x:v>ADMIN-0591</x:v>
      </x:c>
      <x:c r="G668" s="4" t="str">
        <x:v>本段剩余子句、条件组合及状态后续影响仍需与独立规则逐项闭合；这是生成覆盖缺口，不是产品决策缺失。</x:v>
      </x:c>
    </x:row>
    <x:row r="669" ht="44" customHeight="1">
      <x:c r="A669" s="4" t="str">
        <x:v>REQ-48d665272914</x:v>
      </x:c>
      <x:c r="B669" s="4" t="str">
        <x:v>数据报表</x:v>
      </x:c>
      <x:c r="C669" s="4" t="n">
        <x:v>3186</x:v>
      </x:c>
      <x:c r="D669" s="4" t="str">
        <x:v>新用户 ARPU：新用户充值金额合计 / 新用户充值人数合计；分母为 0 时记 0。</x:v>
      </x:c>
      <x:c r="E669" s="4" t="str">
        <x:v>整段分支核验未闭合</x:v>
      </x:c>
      <x:c r="F669" s="4" t="str">
        <x:v>ADMIN-0282、ADMIN-0283</x:v>
      </x:c>
      <x:c r="G669" s="4" t="str">
        <x:v>本段剩余子句、条件组合及状态后续影响仍需与独立规则逐项闭合；这是生成覆盖缺口，不是产品决策缺失。</x:v>
      </x:c>
    </x:row>
    <x:row r="670" ht="44" customHeight="1">
      <x:c r="A670" s="4" t="str">
        <x:v>REQ-18bcd1c76b11</x:v>
      </x:c>
      <x:c r="B670" s="4" t="str">
        <x:v>数据报表</x:v>
      </x:c>
      <x:c r="C670" s="4" t="n">
        <x:v>3187</x:v>
      </x:c>
      <x:c r="D670" s="4" t="str">
        <x:v>达成有效天主播：各日累计有效直播不少于 3 小时的主播人次，每主播每天最多 1 次。</x:v>
      </x:c>
      <x:c r="E670" s="4" t="str">
        <x:v>尚未建立场景映射</x:v>
      </x:c>
      <x:c r="F670" s="4" t="str"/>
      <x:c r="G670" s="4" t="str">
        <x:v>本轮独立来源库保留该已知条款，但尚未建立可核验的正式场景映射；不是无业务依据，也不转为产品待确认。</x:v>
      </x:c>
    </x:row>
    <x:row r="671" ht="44" customHeight="1">
      <x:c r="A671" s="4" t="str">
        <x:v>REQ-50568e6b68cc</x:v>
      </x:c>
      <x:c r="B671" s="4" t="str">
        <x:v>数据报表</x:v>
      </x:c>
      <x:c r="C671" s="4" t="n">
        <x:v>3188</x:v>
      </x:c>
      <x:c r="D671" s="4" t="str">
        <x:v>指标卡按日期范围汇总，趋势逐自然日展示；起止同日为单日。</x:v>
      </x:c>
      <x:c r="E671" s="4" t="str">
        <x:v>尚未建立场景映射</x:v>
      </x:c>
      <x:c r="F671" s="4" t="str"/>
      <x:c r="G671" s="4" t="str">
        <x:v>本轮独立来源库保留该已知条款，但尚未建立可核验的正式场景映射；不是无业务依据，也不转为产品待确认。</x:v>
      </x:c>
    </x:row>
    <x:row r="672" ht="44" customHeight="1">
      <x:c r="A672" s="4" t="str">
        <x:v>REQ-30f6f5704285</x:v>
      </x:c>
      <x:c r="B672" s="4" t="str">
        <x:v>数据报表</x:v>
      </x:c>
      <x:c r="C672" s="4" t="n">
        <x:v>3189</x:v>
      </x:c>
      <x:c r="D672" s="4" t="str">
        <x:v>点击指标卡 -&gt; 切换趋势；查询 -&gt; 校验结束日期不早于开始日期后取数。</x:v>
      </x:c>
      <x:c r="E672" s="4" t="str">
        <x:v>尚未建立场景映射</x:v>
      </x:c>
      <x:c r="F672" s="4" t="str"/>
      <x:c r="G672" s="4" t="str">
        <x:v>本轮独立来源库保留该已知条款，但尚未建立可核验的正式场景映射；不是无业务依据，也不转为产品待确认。</x:v>
      </x:c>
    </x:row>
    <x:row r="673" ht="44" customHeight="1">
      <x:c r="A673" s="4" t="str">
        <x:v>REQ-48996c6b8991</x:v>
      </x:c>
      <x:c r="B673" s="4" t="str">
        <x:v>数据报表</x:v>
      </x:c>
      <x:c r="C673" s="4" t="n">
        <x:v>3194</x:v>
      </x:c>
      <x:c r="D673" s="4" t="str">
        <x:v>活跃 / 新增用户：当日打开 App（启动或从后台切回前台）的去重登录用户数 / 注册的去重用户数。</x:v>
      </x:c>
      <x:c r="E673" s="4" t="str">
        <x:v>尚未建立场景映射</x:v>
      </x:c>
      <x:c r="F673" s="4" t="str"/>
      <x:c r="G673" s="4" t="str">
        <x:v>本轮独立来源库保留该已知条款，但尚未建立可核验的正式场景映射；不是无业务依据，也不转为产品待确认。</x:v>
      </x:c>
    </x:row>
    <x:row r="674" ht="44" customHeight="1">
      <x:c r="A674" s="4" t="str">
        <x:v>REQ-8781b01f2d8b</x:v>
      </x:c>
      <x:c r="B674" s="4" t="str">
        <x:v>数据报表</x:v>
      </x:c>
      <x:c r="C674" s="4" t="n">
        <x:v>3195</x:v>
      </x:c>
      <x:c r="D674" s="4" t="str">
        <x:v>总充值金额 / 人数：当日支付成功实付金额合计 / 去重充值用户数。</x:v>
      </x:c>
      <x:c r="E674" s="4" t="str">
        <x:v>整段分支核验未闭合</x:v>
      </x:c>
      <x:c r="F674" s="4" t="str">
        <x:v>ADMIN-0612、ADMIN-0613、ADMIN-0614、ADMIN-0615</x:v>
      </x:c>
      <x:c r="G674" s="4" t="str">
        <x:v>本段剩余子句、条件组合及状态后续影响仍需与独立规则逐项闭合；这是生成覆盖缺口，不是产品决策缺失。</x:v>
      </x:c>
    </x:row>
    <x:row r="675" ht="44" customHeight="1">
      <x:c r="A675" s="4" t="str">
        <x:v>REQ-31d2771015bf</x:v>
      </x:c>
      <x:c r="B675" s="4" t="str">
        <x:v>数据报表</x:v>
      </x:c>
      <x:c r="C675" s="4" t="n">
        <x:v>3196</x:v>
      </x:c>
      <x:c r="D675" s="4" t="str">
        <x:v>新用户充值人数 / 金额：当日注册且充值成功的去重人数 / 实付金额合计。</x:v>
      </x:c>
      <x:c r="E675" s="4" t="str">
        <x:v>整段分支核验未闭合</x:v>
      </x:c>
      <x:c r="F675" s="4" t="str">
        <x:v>ADMIN-0612、ADMIN-0613、ADMIN-0614、ADMIN-0615</x:v>
      </x:c>
      <x:c r="G675" s="4" t="str">
        <x:v>本段剩余子句、条件组合及状态后续影响仍需与独立规则逐项闭合；这是生成覆盖缺口，不是产品决策缺失。</x:v>
      </x:c>
    </x:row>
    <x:row r="676" ht="44" customHeight="1">
      <x:c r="A676" s="4" t="str">
        <x:v>REQ-8246fdfc3d89</x:v>
      </x:c>
      <x:c r="B676" s="4" t="str">
        <x:v>数据报表</x:v>
      </x:c>
      <x:c r="C676" s="4" t="n">
        <x:v>3197</x:v>
      </x:c>
      <x:c r="D676" s="4" t="str">
        <x:v>新用户 ARPU：新用户充值金额 / 新用户充值人数；分母为 0 时记 0。</x:v>
      </x:c>
      <x:c r="E676" s="4" t="str">
        <x:v>整段分支核验未闭合</x:v>
      </x:c>
      <x:c r="F676" s="4" t="str">
        <x:v>ADMIN-0284、ADMIN-0285、ADMIN-0612、ADMIN-0613、ADMIN-0614、ADMIN-0615</x:v>
      </x:c>
      <x:c r="G676" s="4" t="str">
        <x:v>本段剩余子句、条件组合及状态后续影响仍需与独立规则逐项闭合；这是生成覆盖缺口，不是产品决策缺失。</x:v>
      </x:c>
    </x:row>
    <x:row r="677" ht="44" customHeight="1">
      <x:c r="A677" s="4" t="str">
        <x:v>REQ-55f7ff02cf61</x:v>
      </x:c>
      <x:c r="B677" s="4" t="str">
        <x:v>数据报表</x:v>
      </x:c>
      <x:c r="C677" s="4" t="n">
        <x:v>3198</x:v>
      </x:c>
      <x:c r="D677" s="4" t="str">
        <x:v>开播人数：当日成功开播的去重主播数。</x:v>
      </x:c>
      <x:c r="E677" s="4" t="str">
        <x:v>整段分支核验未闭合</x:v>
      </x:c>
      <x:c r="F677" s="4" t="str">
        <x:v>ADMIN-0292、ADMIN-0293、ADMIN-0592</x:v>
      </x:c>
      <x:c r="G677" s="4" t="str">
        <x:v>本段剩余子句、条件组合及状态后续影响仍需与独立规则逐项闭合；这是生成覆盖缺口，不是产品决策缺失。</x:v>
      </x:c>
    </x:row>
    <x:row r="678" ht="44" customHeight="1">
      <x:c r="A678" s="4" t="str">
        <x:v>REQ-d2d60905bd17</x:v>
      </x:c>
      <x:c r="B678" s="4" t="str">
        <x:v>数据报表</x:v>
      </x:c>
      <x:c r="C678" s="4" t="n">
        <x:v>3199</x:v>
      </x:c>
      <x:c r="D678" s="4" t="str">
        <x:v>达成有效天主播：当日累计有效直播不少于 3 小时的去重主播数。</x:v>
      </x:c>
      <x:c r="E678" s="4" t="str">
        <x:v>整段分支核验未闭合</x:v>
      </x:c>
      <x:c r="F678" s="4" t="str">
        <x:v>ADMIN-0292、ADMIN-0293、ADMIN-0593</x:v>
      </x:c>
      <x:c r="G678" s="4" t="str">
        <x:v>本段剩余子句、条件组合及状态后续影响仍需与独立规则逐项闭合；这是生成覆盖缺口，不是产品决策缺失。</x:v>
      </x:c>
    </x:row>
    <x:row r="679" ht="44" customHeight="1">
      <x:c r="A679" s="4" t="str">
        <x:v>REQ-adce72086458</x:v>
      </x:c>
      <x:c r="B679" s="4" t="str">
        <x:v>数据报表</x:v>
      </x:c>
      <x:c r="C679" s="4" t="n">
        <x:v>3200</x:v>
      </x:c>
      <x:c r="D679" s="4" t="str">
        <x:v>开播时长中位数：有效场次时长升序中位值；偶数取中间两项平均，无数据记 0。</x:v>
      </x:c>
      <x:c r="E679" s="4" t="str">
        <x:v>整段分支核验未闭合</x:v>
      </x:c>
      <x:c r="F679" s="4" t="str">
        <x:v>ADMIN-0294、ADMIN-0295、ADMIN-0296</x:v>
      </x:c>
      <x:c r="G679" s="4" t="str">
        <x:v>本段剩余子句、条件组合及状态后续影响仍需与独立规则逐项闭合；这是生成覆盖缺口，不是产品决策缺失。</x:v>
      </x:c>
    </x:row>
    <x:row r="680" ht="44" customHeight="1">
      <x:c r="A680" s="4" t="str">
        <x:v>REQ-96a5d9ecb620</x:v>
      </x:c>
      <x:c r="B680" s="4" t="str">
        <x:v>数据报表</x:v>
      </x:c>
      <x:c r="C680" s="4" t="n">
        <x:v>3201</x:v>
      </x:c>
      <x:c r="D680" s="4" t="str">
        <x:v>退款订单数 / 金额：当日完成的充值退款单数 / 退款金额合计。</x:v>
      </x:c>
      <x:c r="E680" s="4" t="str">
        <x:v>整段分支核验未闭合</x:v>
      </x:c>
      <x:c r="F680" s="4" t="str">
        <x:v>ADMIN-0616、ADMIN-0617</x:v>
      </x:c>
      <x:c r="G680" s="4" t="str">
        <x:v>本段剩余子句、条件组合及状态后续影响仍需与独立规则逐项闭合；这是生成覆盖缺口，不是产品决策缺失。</x:v>
      </x:c>
    </x:row>
    <x:row r="681" ht="44" customHeight="1">
      <x:c r="A681" s="4" t="str">
        <x:v>REQ-f63dfe18b6a2</x:v>
      </x:c>
      <x:c r="B681" s="4" t="str">
        <x:v>数据报表</x:v>
      </x:c>
      <x:c r="C681" s="4" t="n">
        <x:v>3202</x:v>
      </x:c>
      <x:c r="D681" s="4" t="str">
        <x:v>日期按平台统一自然日；主动退款和支付渠道退款均按完成日统计。</x:v>
      </x:c>
      <x:c r="E681" s="4" t="str">
        <x:v>整段分支核验未闭合</x:v>
      </x:c>
      <x:c r="F681" s="4" t="str">
        <x:v>ADMIN-0616、ADMIN-0617</x:v>
      </x:c>
      <x:c r="G681" s="4" t="str">
        <x:v>本段剩余子句、条件组合及状态后续影响仍需与独立规则逐项闭合；这是生成覆盖缺口，不是产品决策缺失。</x:v>
      </x:c>
    </x:row>
    <x:row r="682" ht="44" customHeight="1">
      <x:c r="A682" s="4" t="str">
        <x:v>REQ-1cbd7234444c</x:v>
      </x:c>
      <x:c r="B682" s="4" t="str">
        <x:v>数据报表</x:v>
      </x:c>
      <x:c r="C682" s="4" t="n">
        <x:v>3203</x:v>
      </x:c>
      <x:c r="D682" s="4" t="str">
        <x:v>查询 -&gt; 日期首尾均包含；导出 -&gt; 当前筛选结果。</x:v>
      </x:c>
      <x:c r="E682" s="4" t="str">
        <x:v>整段分支核验未闭合</x:v>
      </x:c>
      <x:c r="F682" s="4" t="str">
        <x:v>ADMIN-0247</x:v>
      </x:c>
      <x:c r="G682" s="4" t="str">
        <x:v>本段剩余子句、条件组合及状态后续影响仍需与独立规则逐项闭合；这是生成覆盖缺口，不是产品决策缺失。</x:v>
      </x:c>
    </x:row>
    <x:row r="683" ht="44" customHeight="1">
      <x:c r="A683" s="4" t="str">
        <x:v>REQ-d01d2788d078</x:v>
      </x:c>
      <x:c r="B683" s="4" t="str">
        <x:v>数据报表</x:v>
      </x:c>
      <x:c r="C683" s="4" t="n">
        <x:v>3208</x:v>
      </x:c>
      <x:c r="D683" s="4" t="str">
        <x:v>登录用户：当日至少成功登录 1 次的去重用户。</x:v>
      </x:c>
      <x:c r="E683" s="4" t="str">
        <x:v>尚未建立场景映射</x:v>
      </x:c>
      <x:c r="F683" s="4" t="str"/>
      <x:c r="G683" s="4" t="str">
        <x:v>本轮独立来源库保留该已知条款，但尚未建立可核验的正式场景映射；不是无业务依据，也不转为产品待确认。</x:v>
      </x:c>
    </x:row>
    <x:row r="684" ht="44" customHeight="1">
      <x:c r="A684" s="4" t="str">
        <x:v>REQ-5c345dc600bc</x:v>
      </x:c>
      <x:c r="B684" s="4" t="str">
        <x:v>数据报表</x:v>
      </x:c>
      <x:c r="C684" s="4" t="n">
        <x:v>3209</x:v>
      </x:c>
      <x:c r="D684" s="4" t="str">
        <x:v>新用户：登录用户中当日注册的去重用户。</x:v>
      </x:c>
      <x:c r="E684" s="4" t="str">
        <x:v>整段分支核验未闭合</x:v>
      </x:c>
      <x:c r="F684" s="4" t="str">
        <x:v>ADMIN-0298、ADMIN-0299</x:v>
      </x:c>
      <x:c r="G684" s="4" t="str">
        <x:v>本段剩余子句、条件组合及状态后续影响仍需与独立规则逐项闭合；这是生成覆盖缺口，不是产品决策缺失。</x:v>
      </x:c>
    </x:row>
    <x:row r="685" ht="44" customHeight="1">
      <x:c r="A685" s="4" t="str">
        <x:v>REQ-ef094ab51c2e</x:v>
      </x:c>
      <x:c r="B685" s="4" t="str">
        <x:v>数据报表</x:v>
      </x:c>
      <x:c r="C685" s="4" t="n">
        <x:v>3210</x:v>
      </x:c>
      <x:c r="D685" s="4" t="str">
        <x:v>老用户：登录用户中统计日前已注册的去重用户；登录用户 = 新用户 + 老用户。</x:v>
      </x:c>
      <x:c r="E685" s="4" t="str">
        <x:v>整段分支核验未闭合</x:v>
      </x:c>
      <x:c r="F685" s="4" t="str">
        <x:v>ADMIN-0298、ADMIN-0299</x:v>
      </x:c>
      <x:c r="G685" s="4" t="str">
        <x:v>本段剩余子句、条件组合及状态后续影响仍需与独立规则逐项闭合；这是生成覆盖缺口，不是产品决策缺失。</x:v>
      </x:c>
    </x:row>
    <x:row r="686" ht="44" customHeight="1">
      <x:c r="A686" s="4" t="str">
        <x:v>REQ-6c5623b4402b</x:v>
      </x:c>
      <x:c r="B686" s="4" t="str">
        <x:v>数据报表</x:v>
      </x:c>
      <x:c r="C686" s="4" t="n">
        <x:v>3211</x:v>
      </x:c>
      <x:c r="D686" s="4" t="str">
        <x:v>付费用户：当日至少 1 笔支付成功充值订单的去重用户。</x:v>
      </x:c>
      <x:c r="E686" s="4" t="str">
        <x:v>尚未建立场景映射</x:v>
      </x:c>
      <x:c r="F686" s="4" t="str"/>
      <x:c r="G686" s="4" t="str">
        <x:v>本轮独立来源库保留该已知条款，但尚未建立可核验的正式场景映射；不是无业务依据，也不转为产品待确认。</x:v>
      </x:c>
    </x:row>
    <x:row r="687" ht="44" customHeight="1">
      <x:c r="A687" s="4" t="str">
        <x:v>REQ-b3a45ea748b5</x:v>
      </x:c>
      <x:c r="B687" s="4" t="str">
        <x:v>数据报表</x:v>
      </x:c>
      <x:c r="C687" s="4" t="n">
        <x:v>3212</x:v>
      </x:c>
      <x:c r="D687" s="4" t="str">
        <x:v>汇总卡：各日指标求和，不做跨日再次去重。</x:v>
      </x:c>
      <x:c r="E687" s="4" t="str">
        <x:v>整段分支核验未闭合</x:v>
      </x:c>
      <x:c r="F687" s="4" t="str">
        <x:v>ADMIN-0297</x:v>
      </x:c>
      <x:c r="G687" s="4" t="str">
        <x:v>本段剩余子句、条件组合及状态后续影响仍需与独立规则逐项闭合；这是生成覆盖缺口，不是产品决策缺失。</x:v>
      </x:c>
    </x:row>
    <x:row r="688" ht="44" customHeight="1">
      <x:c r="A688" s="4" t="str">
        <x:v>REQ-19ef02cb77b2</x:v>
      </x:c>
      <x:c r="B688" s="4" t="str">
        <x:v>数据报表</x:v>
      </x:c>
      <x:c r="C688" s="4" t="n">
        <x:v>3213</x:v>
      </x:c>
      <x:c r="D688" s="4" t="str">
        <x:v>查询 -&gt; 按自然日范围过滤；导出 -&gt; 当前结果。</x:v>
      </x:c>
      <x:c r="E688" s="4" t="str">
        <x:v>整段分支核验未闭合</x:v>
      </x:c>
      <x:c r="F688" s="4" t="str">
        <x:v>ADMIN-0249</x:v>
      </x:c>
      <x:c r="G688" s="4" t="str">
        <x:v>本段剩余子句、条件组合及状态后续影响仍需与独立规则逐项闭合；这是生成覆盖缺口，不是产品决策缺失。</x:v>
      </x:c>
    </x:row>
    <x:row r="689" ht="44" customHeight="1">
      <x:c r="A689" s="4" t="str">
        <x:v>REQ-4b334fe1e8f3</x:v>
      </x:c>
      <x:c r="B689" s="4" t="str">
        <x:v>数据报表</x:v>
      </x:c>
      <x:c r="C689" s="4" t="n">
        <x:v>3218</x:v>
      </x:c>
      <x:c r="D689" s="4" t="str">
        <x:v>新增主播：当日平台认证通过的去重主播数。</x:v>
      </x:c>
      <x:c r="E689" s="4" t="str">
        <x:v>整段分支核验未闭合</x:v>
      </x:c>
      <x:c r="F689" s="4" t="str">
        <x:v>ADMIN-0618</x:v>
      </x:c>
      <x:c r="G689" s="4" t="str">
        <x:v>本段剩余子句、条件组合及状态后续影响仍需与独立规则逐项闭合；这是生成覆盖缺口，不是产品决策缺失。</x:v>
      </x:c>
    </x:row>
    <x:row r="690" ht="44" customHeight="1">
      <x:c r="A690" s="4" t="str">
        <x:v>REQ-01823152ed4a</x:v>
      </x:c>
      <x:c r="B690" s="4" t="str">
        <x:v>数据报表</x:v>
      </x:c>
      <x:c r="C690" s="4" t="n">
        <x:v>3219</x:v>
      </x:c>
      <x:c r="D690" s="4" t="str">
        <x:v>开播人数 / 场次：成功开播的去重主播数 / 新建场次数。</x:v>
      </x:c>
      <x:c r="E690" s="4" t="str">
        <x:v>整段分支核验未闭合</x:v>
      </x:c>
      <x:c r="F690" s="4" t="str">
        <x:v>ADMIN-0300、ADMIN-0301</x:v>
      </x:c>
      <x:c r="G690" s="4" t="str">
        <x:v>本段剩余子句、条件组合及状态后续影响仍需与独立规则逐项闭合；这是生成覆盖缺口，不是产品决策缺失。</x:v>
      </x:c>
    </x:row>
    <x:row r="691" ht="44" customHeight="1">
      <x:c r="A691" s="4" t="str">
        <x:v>REQ-667d9863e54f</x:v>
      </x:c>
      <x:c r="B691" s="4" t="str">
        <x:v>数据报表</x:v>
      </x:c>
      <x:c r="C691" s="4" t="n">
        <x:v>3220</x:v>
      </x:c>
      <x:c r="D691" s="4" t="str">
        <x:v>开播率：开播人数 / 当日有效主播总数 × 100%；分母为 0 时记 0。</x:v>
      </x:c>
      <x:c r="E691" s="4" t="str">
        <x:v>整段分支核验未闭合</x:v>
      </x:c>
      <x:c r="F691" s="4" t="str">
        <x:v>ADMIN-0300、ADMIN-0301</x:v>
      </x:c>
      <x:c r="G691" s="4" t="str">
        <x:v>本段剩余子句、条件组合及状态后续影响仍需与独立规则逐项闭合；这是生成覆盖缺口，不是产品决策缺失。</x:v>
      </x:c>
    </x:row>
    <x:row r="692" ht="44" customHeight="1">
      <x:c r="A692" s="4" t="str">
        <x:v>REQ-d549c0e4c62c</x:v>
      </x:c>
      <x:c r="B692" s="4" t="str">
        <x:v>数据报表</x:v>
      </x:c>
      <x:c r="C692" s="4" t="n">
        <x:v>3221</x:v>
      </x:c>
      <x:c r="D692" s="4" t="str">
        <x:v>有效天达标人数：当日累计有效直播不少于 3 小时的去重主播数。</x:v>
      </x:c>
      <x:c r="E692" s="4" t="str">
        <x:v>整段分支核验未闭合</x:v>
      </x:c>
      <x:c r="F692" s="4" t="str">
        <x:v>ADMIN-0594</x:v>
      </x:c>
      <x:c r="G692" s="4" t="str">
        <x:v>本段剩余子句、条件组合及状态后续影响仍需与独立规则逐项闭合；这是生成覆盖缺口，不是产品决策缺失。</x:v>
      </x:c>
    </x:row>
    <x:row r="693" ht="44" customHeight="1">
      <x:c r="A693" s="4" t="str">
        <x:v>REQ-6415332bcd64</x:v>
      </x:c>
      <x:c r="B693" s="4" t="str">
        <x:v>数据报表</x:v>
      </x:c>
      <x:c r="C693" s="4" t="n">
        <x:v>3222</x:v>
      </x:c>
      <x:c r="D693" s="4" t="str">
        <x:v>开播时长中位数：有效场次时长中位值；偶数取中间两项平均。</x:v>
      </x:c>
      <x:c r="E693" s="4" t="str">
        <x:v>整段分支核验未闭合</x:v>
      </x:c>
      <x:c r="F693" s="4" t="str">
        <x:v>ADMIN-0300、ADMIN-0301</x:v>
      </x:c>
      <x:c r="G693" s="4" t="str">
        <x:v>本段剩余子句、条件组合及状态后续影响仍需与独立规则逐项闭合；这是生成覆盖缺口，不是产品决策缺失。</x:v>
      </x:c>
    </x:row>
    <x:row r="694" ht="44" customHeight="1">
      <x:c r="A694" s="4" t="str">
        <x:v>REQ-86913d3581d4</x:v>
      </x:c>
      <x:c r="B694" s="4" t="str">
        <x:v>数据报表</x:v>
      </x:c>
      <x:c r="C694" s="4" t="n">
        <x:v>3223</x:v>
      </x:c>
      <x:c r="D694" s="4" t="str">
        <x:v>连麦场次：至少发生 1 次有效连麦的去重场次数。</x:v>
      </x:c>
      <x:c r="E694" s="4" t="str">
        <x:v>整段分支核验未闭合</x:v>
      </x:c>
      <x:c r="F694" s="4" t="str">
        <x:v>ADMIN-0300、ADMIN-0301、ADMIN-0302</x:v>
      </x:c>
      <x:c r="G694" s="4" t="str">
        <x:v>本段剩余子句、条件组合及状态后续影响仍需与独立规则逐项闭合；这是生成覆盖缺口，不是产品决策缺失。</x:v>
      </x:c>
    </x:row>
    <x:row r="695" ht="44" customHeight="1">
      <x:c r="A695" s="4" t="str">
        <x:v>REQ-6eb7309c21ff</x:v>
      </x:c>
      <x:c r="B695" s="4" t="str">
        <x:v>数据报表</x:v>
      </x:c>
      <x:c r="C695" s="4" t="n">
        <x:v>3224</x:v>
      </x:c>
      <x:c r="D695" s="4" t="str">
        <x:v>违规主播 / 场次：确认违规的去重主播数 / 去重场次数。</x:v>
      </x:c>
      <x:c r="E695" s="4" t="str">
        <x:v>整段分支核验未闭合</x:v>
      </x:c>
      <x:c r="F695" s="4" t="str">
        <x:v>ADMIN-0300、ADMIN-0301</x:v>
      </x:c>
      <x:c r="G695" s="4" t="str">
        <x:v>本段剩余子句、条件组合及状态后续影响仍需与独立规则逐项闭合；这是生成覆盖缺口，不是产品决策缺失。</x:v>
      </x:c>
    </x:row>
    <x:row r="696" ht="44" customHeight="1">
      <x:c r="A696" s="4" t="str">
        <x:v>REQ-a68fc6d9d8fa</x:v>
      </x:c>
      <x:c r="B696" s="4" t="str">
        <x:v>数据报表</x:v>
      </x:c>
      <x:c r="C696" s="4" t="n">
        <x:v>3225</x:v>
      </x:c>
      <x:c r="D696" s="4" t="str">
        <x:v>查询 -&gt; 更新每日明细和汇总；导出 -&gt; 当前结果。</x:v>
      </x:c>
      <x:c r="E696" s="4" t="str">
        <x:v>整段分支核验未闭合</x:v>
      </x:c>
      <x:c r="F696" s="4" t="str">
        <x:v>ADMIN-0251</x:v>
      </x:c>
      <x:c r="G696" s="4" t="str">
        <x:v>本段剩余子句、条件组合及状态后续影响仍需与独立规则逐项闭合；这是生成覆盖缺口，不是产品决策缺失。</x:v>
      </x:c>
    </x:row>
    <x:row r="697" ht="44" customHeight="1">
      <x:c r="A697" s="4" t="str">
        <x:v>REQ-a58ace341446</x:v>
      </x:c>
      <x:c r="B697" s="4" t="str">
        <x:v>数据报表</x:v>
      </x:c>
      <x:c r="C697" s="4" t="n">
        <x:v>3230</x:v>
      </x:c>
      <x:c r="D697" s="4" t="str">
        <x:v>观众人数：当日成功进入直播间的去重真实用户数。</x:v>
      </x:c>
      <x:c r="E697" s="4" t="str">
        <x:v>整段分支核验未闭合</x:v>
      </x:c>
      <x:c r="F697" s="4" t="str">
        <x:v>ADMIN-0303、ADMIN-0595</x:v>
      </x:c>
      <x:c r="G697" s="4" t="str">
        <x:v>本段剩余子句、条件组合及状态后续影响仍需与独立规则逐项闭合；这是生成覆盖缺口，不是产品决策缺失。</x:v>
      </x:c>
    </x:row>
    <x:row r="698" ht="44" customHeight="1">
      <x:c r="A698" s="4" t="str">
        <x:v>REQ-4ff72f9d6077</x:v>
      </x:c>
      <x:c r="B698" s="4" t="str">
        <x:v>数据报表</x:v>
      </x:c>
      <x:c r="C698" s="4" t="n">
        <x:v>3231</x:v>
      </x:c>
      <x:c r="D698" s="4" t="str">
        <x:v>观看时长：有效观看秒数合计 / 60，四舍五入到分钟。</x:v>
      </x:c>
      <x:c r="E698" s="4" t="str">
        <x:v>整段分支核验未闭合</x:v>
      </x:c>
      <x:c r="F698" s="4" t="str">
        <x:v>ADMIN-0304、ADMIN-0305、ADMIN-0306</x:v>
      </x:c>
      <x:c r="G698" s="4" t="str">
        <x:v>本段剩余子句、条件组合及状态后续影响仍需与独立规则逐项闭合；这是生成覆盖缺口，不是产品决策缺失。</x:v>
      </x:c>
    </x:row>
    <x:row r="699" ht="44" customHeight="1">
      <x:c r="A699" s="4" t="str">
        <x:v>REQ-231162c6d51d</x:v>
      </x:c>
      <x:c r="B699" s="4" t="str">
        <x:v>数据报表</x:v>
      </x:c>
      <x:c r="C699" s="4" t="n">
        <x:v>3232</x:v>
      </x:c>
      <x:c r="D699" s="4" t="str">
        <x:v>人均观看时长：有效观看秒数 / 观众人数 / 60，四舍五入到分钟；分母为 0 时记 0。</x:v>
      </x:c>
      <x:c r="E699" s="4" t="str">
        <x:v>整段分支核验未闭合</x:v>
      </x:c>
      <x:c r="F699" s="4" t="str">
        <x:v>ADMIN-0303、ADMIN-0304、ADMIN-0305、ADMIN-0306、ADMIN-0307、ADMIN-0308</x:v>
      </x:c>
      <x:c r="G699" s="4" t="str">
        <x:v>本段剩余子句、条件组合及状态后续影响仍需与独立规则逐项闭合；这是生成覆盖缺口，不是产品决策缺失。</x:v>
      </x:c>
    </x:row>
    <x:row r="700" ht="44" customHeight="1">
      <x:c r="A700" s="4" t="str">
        <x:v>REQ-0a2cea75b254</x:v>
      </x:c>
      <x:c r="B700" s="4" t="str">
        <x:v>数据报表</x:v>
      </x:c>
      <x:c r="C700" s="4" t="n">
        <x:v>3233</x:v>
      </x:c>
      <x:c r="D700" s="4" t="str">
        <x:v>直播间访问率：观众人数 / 直播间访问次数 × 100%，保留 1 位小数；分母为 0 时记 0。</x:v>
      </x:c>
      <x:c r="E700" s="4" t="str">
        <x:v>整段分支核验未闭合</x:v>
      </x:c>
      <x:c r="F700" s="4" t="str">
        <x:v>ADMIN-0303、ADMIN-0304、ADMIN-0305、ADMIN-0306、ADMIN-0307、ADMIN-0308</x:v>
      </x:c>
      <x:c r="G700" s="4" t="str">
        <x:v>本段剩余子句、条件组合及状态后续影响仍需与独立规则逐项闭合；这是生成覆盖缺口，不是产品决策缺失。</x:v>
      </x:c>
    </x:row>
    <x:row r="701" ht="44" customHeight="1">
      <x:c r="A701" s="4" t="str">
        <x:v>REQ-5fee0db13b2f</x:v>
      </x:c>
      <x:c r="B701" s="4" t="str">
        <x:v>数据报表</x:v>
      </x:c>
      <x:c r="C701" s="4" t="n">
        <x:v>3234</x:v>
      </x:c>
      <x:c r="D701" s="4" t="str">
        <x:v>查询 -&gt; 按自然日过滤；导出 -&gt; 当前结果。</x:v>
      </x:c>
      <x:c r="E701" s="4" t="str">
        <x:v>整段分支核验未闭合</x:v>
      </x:c>
      <x:c r="F701" s="4" t="str">
        <x:v>ADMIN-0253</x:v>
      </x:c>
      <x:c r="G701" s="4" t="str">
        <x:v>本段剩余子句、条件组合及状态后续影响仍需与独立规则逐项闭合；这是生成覆盖缺口，不是产品决策缺失。</x:v>
      </x:c>
    </x:row>
    <x:row r="702" ht="44" customHeight="1">
      <x:c r="A702" s="4" t="str">
        <x:v>REQ-0b2daeef07ef</x:v>
      </x:c>
      <x:c r="B702" s="4" t="str">
        <x:v>数据报表</x:v>
      </x:c>
      <x:c r="C702" s="4" t="n">
        <x:v>3239</x:v>
      </x:c>
      <x:c r="D702" s="4" t="str">
        <x:v>主播 / 直播间 ID：主播 ID 唯一；直播间 ID 长期归属主播。</x:v>
      </x:c>
      <x:c r="E702" s="4" t="str">
        <x:v>整段分支核验未闭合</x:v>
      </x:c>
      <x:c r="F702" s="4" t="str">
        <x:v>ADMIN-0461</x:v>
      </x:c>
      <x:c r="G702" s="4" t="str">
        <x:v>本段剩余子句、条件组合及状态后续影响仍需与独立规则逐项闭合；这是生成覆盖缺口，不是产品决策缺失。</x:v>
      </x:c>
    </x:row>
    <x:row r="703" ht="44" customHeight="1">
      <x:c r="A703" s="4" t="str">
        <x:v>REQ-18e4ad700223</x:v>
      </x:c>
      <x:c r="B703" s="4" t="str">
        <x:v>数据报表</x:v>
      </x:c>
      <x:c r="C703" s="4" t="n">
        <x:v>3240</x:v>
      </x:c>
      <x:c r="D703" s="4" t="str">
        <x:v>房型：本场创建时快照。</x:v>
      </x:c>
      <x:c r="E703" s="4" t="str">
        <x:v>尚未建立场景映射</x:v>
      </x:c>
      <x:c r="F703" s="4" t="str"/>
      <x:c r="G703" s="4" t="str">
        <x:v>本轮独立来源库保留该已知条款，但尚未建立可核验的正式场景映射；不是无业务依据，也不转为产品待确认。</x:v>
      </x:c>
    </x:row>
    <x:row r="704" ht="44" customHeight="1">
      <x:c r="A704" s="4" t="str">
        <x:v>REQ-ed3244207fd4</x:v>
      </x:c>
      <x:c r="B704" s="4" t="str">
        <x:v>数据报表</x:v>
      </x:c>
      <x:c r="C704" s="4" t="n">
        <x:v>3241</x:v>
      </x:c>
      <x:c r="D704" s="4" t="str">
        <x:v>时长：结束时间 - 开播时间。</x:v>
      </x:c>
      <x:c r="E704" s="4" t="str">
        <x:v>整段分支核验未闭合</x:v>
      </x:c>
      <x:c r="F704" s="4" t="str">
        <x:v>ADMIN-0610</x:v>
      </x:c>
      <x:c r="G704" s="4" t="str">
        <x:v>本段剩余子句、条件组合及状态后续影响仍需与独立规则逐项闭合；这是生成覆盖缺口，不是产品决策缺失。</x:v>
      </x:c>
    </x:row>
    <x:row r="705" ht="44" customHeight="1">
      <x:c r="A705" s="4" t="str">
        <x:v>REQ-7d90dc36d4a2</x:v>
      </x:c>
      <x:c r="B705" s="4" t="str">
        <x:v>数据报表</x:v>
      </x:c>
      <x:c r="C705" s="4" t="n">
        <x:v>3242</x:v>
      </x:c>
      <x:c r="D705" s="4" t="str">
        <x:v>是否达标：主播该自然日累计有效直播不少于 3 小时，不按单场判断。</x:v>
      </x:c>
      <x:c r="E705" s="4" t="str">
        <x:v>整段分支核验未闭合</x:v>
      </x:c>
      <x:c r="F705" s="4" t="str">
        <x:v>ADMIN-0319</x:v>
      </x:c>
      <x:c r="G705" s="4" t="str">
        <x:v>本段剩余子句、条件组合及状态后续影响仍需与独立规则逐项闭合；这是生成覆盖缺口，不是产品决策缺失。</x:v>
      </x:c>
    </x:row>
    <x:row r="706" ht="44" customHeight="1">
      <x:c r="A706" s="4" t="str">
        <x:v>REQ-0d89bdb920c1</x:v>
      </x:c>
      <x:c r="B706" s="4" t="str">
        <x:v>数据报表</x:v>
      </x:c>
      <x:c r="C706" s="4" t="n">
        <x:v>3243</x:v>
      </x:c>
      <x:c r="D706" s="4" t="str">
        <x:v>观众人数：本场成功进入的去重真实用户数。</x:v>
      </x:c>
      <x:c r="E706" s="4" t="str">
        <x:v>整段分支核验未闭合</x:v>
      </x:c>
      <x:c r="F706" s="4" t="str">
        <x:v>ADMIN-0596</x:v>
      </x:c>
      <x:c r="G706" s="4" t="str">
        <x:v>本段剩余子句、条件组合及状态后续影响仍需与独立规则逐项闭合；这是生成覆盖缺口，不是产品决策缺失。</x:v>
      </x:c>
    </x:row>
    <x:row r="707" ht="44" customHeight="1">
      <x:c r="A707" s="4" t="str">
        <x:v>REQ-be31da7b2eeb</x:v>
      </x:c>
      <x:c r="B707" s="4" t="str">
        <x:v>数据报表</x:v>
      </x:c>
      <x:c r="C707" s="4" t="n">
        <x:v>3244</x:v>
      </x:c>
      <x:c r="D707" s="4" t="str">
        <x:v>消费金币：本场普通、定制、门票扣减金币 + 幸运礼物扣减金币 - 返奖；虚拟金币不计。</x:v>
      </x:c>
      <x:c r="E707" s="4" t="str">
        <x:v>整段分支核验未闭合</x:v>
      </x:c>
      <x:c r="F707" s="4" t="str">
        <x:v>ADMIN-0597</x:v>
      </x:c>
      <x:c r="G707" s="4" t="str">
        <x:v>本段剩余子句、条件组合及状态后续影响仍需与独立规则逐项闭合；这是生成覆盖缺口，不是产品决策缺失。</x:v>
      </x:c>
    </x:row>
    <x:row r="708" ht="44" customHeight="1">
      <x:c r="A708" s="4" t="str">
        <x:v>REQ-e105026f258f</x:v>
      </x:c>
      <x:c r="B708" s="4" t="str">
        <x:v>数据报表</x:v>
      </x:c>
      <x:c r="C708" s="4" t="n">
        <x:v>3245</x:v>
      </x:c>
      <x:c r="D708" s="4" t="str">
        <x:v>每次开播一条场次；结束后保留消费、处置和收益。</x:v>
      </x:c>
      <x:c r="E708" s="4" t="str">
        <x:v>整段分支核验未闭合</x:v>
      </x:c>
      <x:c r="F708" s="4" t="str">
        <x:v>ADMIN-0610</x:v>
      </x:c>
      <x:c r="G708" s="4" t="str">
        <x:v>本段剩余子句、条件组合及状态后续影响仍需与独立规则逐项闭合；这是生成覆盖缺口，不是产品决策缺失。</x:v>
      </x:c>
    </x:row>
    <x:row r="709" ht="44" customHeight="1">
      <x:c r="A709" s="4" t="str">
        <x:v>REQ-5f7de1e55706</x:v>
      </x:c>
      <x:c r="B709" s="4" t="str">
        <x:v>数据报表</x:v>
      </x:c>
      <x:c r="C709" s="4" t="n">
        <x:v>3246</x:v>
      </x:c>
      <x:c r="D709" s="4" t="str">
        <x:v>查询 -&gt; 以开播日期和主播 ID 过滤；导出 -&gt; 当前结果。</x:v>
      </x:c>
      <x:c r="E709" s="4" t="str">
        <x:v>整段分支核验未闭合</x:v>
      </x:c>
      <x:c r="F709" s="4" t="str">
        <x:v>ADMIN-0255</x:v>
      </x:c>
      <x:c r="G709" s="4" t="str">
        <x:v>本段剩余子句、条件组合及状态后续影响仍需与独立规则逐项闭合；这是生成覆盖缺口，不是产品决策缺失。</x:v>
      </x:c>
    </x:row>
    <x:row r="710" ht="44" customHeight="1">
      <x:c r="A710" s="4" t="str">
        <x:v>REQ-65f55f1ab8b0</x:v>
      </x:c>
      <x:c r="B710" s="4" t="str">
        <x:v>数据报表</x:v>
      </x:c>
      <x:c r="C710" s="4" t="n">
        <x:v>3251</x:v>
      </x:c>
      <x:c r="D710" s="4" t="str">
        <x:v>总充值金额 / 人数 / 订单：支付成功实付金额合计 / 去重用户数 / 订单数。</x:v>
      </x:c>
      <x:c r="E710" s="4" t="str">
        <x:v>尚未建立场景映射</x:v>
      </x:c>
      <x:c r="F710" s="4" t="str"/>
      <x:c r="G710" s="4" t="str">
        <x:v>本轮独立来源库保留该已知条款，但尚未建立可核验的正式场景映射；不是无业务依据，也不转为产品待确认。</x:v>
      </x:c>
    </x:row>
    <x:row r="711" ht="44" customHeight="1">
      <x:c r="A711" s="4" t="str">
        <x:v>REQ-341c058a6425</x:v>
      </x:c>
      <x:c r="B711" s="4" t="str">
        <x:v>数据报表</x:v>
      </x:c>
      <x:c r="C711" s="4" t="n">
        <x:v>3252</x:v>
      </x:c>
      <x:c r="D711" s="4" t="str">
        <x:v>客单价：总充值金额 / 充值人数；分母为 0 时记 0。</x:v>
      </x:c>
      <x:c r="E711" s="4" t="str">
        <x:v>整段分支核验未闭合</x:v>
      </x:c>
      <x:c r="F711" s="4" t="str">
        <x:v>ADMIN-0290、ADMIN-0291</x:v>
      </x:c>
      <x:c r="G711" s="4" t="str">
        <x:v>本段剩余子句、条件组合及状态后续影响仍需与独立规则逐项闭合；这是生成覆盖缺口，不是产品决策缺失。</x:v>
      </x:c>
    </x:row>
    <x:row r="712" ht="44" customHeight="1">
      <x:c r="A712" s="4" t="str">
        <x:v>REQ-744564064a24</x:v>
      </x:c>
      <x:c r="B712" s="4" t="str">
        <x:v>数据报表</x:v>
      </x:c>
      <x:c r="C712" s="4" t="n">
        <x:v>3253</x:v>
      </x:c>
      <x:c r="D712" s="4" t="str">
        <x:v>充值金币：支付成功订单基础金币合计。</x:v>
      </x:c>
      <x:c r="E712" s="4" t="str">
        <x:v>尚未建立场景映射</x:v>
      </x:c>
      <x:c r="F712" s="4" t="str"/>
      <x:c r="G712" s="4" t="str">
        <x:v>本轮独立来源库保留该已知条款，但尚未建立可核验的正式场景映射；不是无业务依据，也不转为产品待确认。</x:v>
      </x:c>
    </x:row>
    <x:row r="713" ht="44" customHeight="1">
      <x:c r="A713" s="4" t="str">
        <x:v>REQ-d4b1fac84335</x:v>
      </x:c>
      <x:c r="B713" s="4" t="str">
        <x:v>数据报表</x:v>
      </x:c>
      <x:c r="C713" s="4" t="n">
        <x:v>3254</x:v>
      </x:c>
      <x:c r="D713" s="4" t="str">
        <x:v>充值赠送 / 系统赠送金币：套餐赠送 / 签到、任务、活动等发放合计。</x:v>
      </x:c>
      <x:c r="E713" s="4" t="str">
        <x:v>尚未建立场景映射</x:v>
      </x:c>
      <x:c r="F713" s="4" t="str"/>
      <x:c r="G713" s="4" t="str">
        <x:v>本轮独立来源库保留该已知条款，但尚未建立可核验的正式场景映射；不是无业务依据，也不转为产品待确认。</x:v>
      </x:c>
    </x:row>
    <x:row r="714" ht="44" customHeight="1">
      <x:c r="A714" s="4" t="str">
        <x:v>REQ-d34b8527989d</x:v>
      </x:c>
      <x:c r="B714" s="4" t="str">
        <x:v>数据报表</x:v>
      </x:c>
      <x:c r="C714" s="4" t="n">
        <x:v>3255</x:v>
      </x:c>
      <x:c r="D714" s="4" t="str">
        <x:v>消费金币：普通、定制、门票扣减金币 + 幸运礼物扣减金币 - 返奖。</x:v>
      </x:c>
      <x:c r="E714" s="4" t="str">
        <x:v>整段分支核验未闭合</x:v>
      </x:c>
      <x:c r="F714" s="4" t="str">
        <x:v>ADMIN-0309、ADMIN-0310、ADMIN-0598</x:v>
      </x:c>
      <x:c r="G714" s="4" t="str">
        <x:v>本段剩余子句、条件组合及状态后续影响仍需与独立规则逐项闭合；这是生成覆盖缺口，不是产品决策缺失。</x:v>
      </x:c>
    </x:row>
    <x:row r="715" ht="44" customHeight="1">
      <x:c r="A715" s="4" t="str">
        <x:v>REQ-07896c71f018</x:v>
      </x:c>
      <x:c r="B715" s="4" t="str">
        <x:v>数据报表</x:v>
      </x:c>
      <x:c r="C715" s="4" t="n">
        <x:v>3256</x:v>
      </x:c>
      <x:c r="D715" s="4" t="str">
        <x:v>金币净增量：充值金币 + 充值赠送金币 + 系统赠送金币 - 消费金币。</x:v>
      </x:c>
      <x:c r="E715" s="4" t="str">
        <x:v>整段分支核验未闭合</x:v>
      </x:c>
      <x:c r="F715" s="4" t="str">
        <x:v>ADMIN-0309、ADMIN-0310</x:v>
      </x:c>
      <x:c r="G715" s="4" t="str">
        <x:v>本段剩余子句、条件组合及状态后续影响仍需与独立规则逐项闭合；这是生成覆盖缺口，不是产品决策缺失。</x:v>
      </x:c>
    </x:row>
    <x:row r="716" ht="44" customHeight="1">
      <x:c r="A716" s="4" t="str">
        <x:v>REQ-6743a0d2126a</x:v>
      </x:c>
      <x:c r="B716" s="4" t="str">
        <x:v>数据报表</x:v>
      </x:c>
      <x:c r="C716" s="4" t="n">
        <x:v>3257</x:v>
      </x:c>
      <x:c r="D716" s="4" t="str">
        <x:v>退款扣回金币按退款资产流水单列，不并入消费金币。</x:v>
      </x:c>
      <x:c r="E716" s="4" t="str">
        <x:v>整段分支核验未闭合</x:v>
      </x:c>
      <x:c r="F716" s="4" t="str">
        <x:v>ADMIN-0309、ADMIN-0310</x:v>
      </x:c>
      <x:c r="G716" s="4" t="str">
        <x:v>本段剩余子句、条件组合及状态后续影响仍需与独立规则逐项闭合；这是生成覆盖缺口，不是产品决策缺失。</x:v>
      </x:c>
    </x:row>
    <x:row r="717" ht="44" customHeight="1">
      <x:c r="A717" s="4" t="str">
        <x:v>REQ-4d3be4596be3</x:v>
      </x:c>
      <x:c r="B717" s="4" t="str">
        <x:v>数据报表</x:v>
      </x:c>
      <x:c r="C717" s="4" t="n">
        <x:v>3258</x:v>
      </x:c>
      <x:c r="D717" s="4" t="str">
        <x:v>查询 -&gt; 更新明细和汇总；导出 -&gt; 当前结果。</x:v>
      </x:c>
      <x:c r="E717" s="4" t="str">
        <x:v>整段分支核验未闭合</x:v>
      </x:c>
      <x:c r="F717" s="4" t="str">
        <x:v>ADMIN-0257</x:v>
      </x:c>
      <x:c r="G717" s="4" t="str">
        <x:v>本段剩余子句、条件组合及状态后续影响仍需与独立规则逐项闭合；这是生成覆盖缺口，不是产品决策缺失。</x:v>
      </x:c>
    </x:row>
    <x:row r="718" ht="44" customHeight="1">
      <x:c r="A718" s="4" t="str">
        <x:v>REQ-23e37fab7ffe</x:v>
      </x:c>
      <x:c r="B718" s="4" t="str">
        <x:v>数据报表</x:v>
      </x:c>
      <x:c r="C718" s="4" t="n">
        <x:v>3263</x:v>
      </x:c>
      <x:c r="D718" s="4" t="str">
        <x:v>总充值金额：新用户充值金额 + 老用户充值金额。</x:v>
      </x:c>
      <x:c r="E718" s="4" t="str">
        <x:v>尚未建立场景映射</x:v>
      </x:c>
      <x:c r="F718" s="4" t="str"/>
      <x:c r="G718" s="4" t="str">
        <x:v>本轮独立来源库保留该已知条款，但尚未建立可核验的正式场景映射；不是无业务依据，也不转为产品待确认。</x:v>
      </x:c>
    </x:row>
    <x:row r="719" ht="44" customHeight="1">
      <x:c r="A719" s="4" t="str">
        <x:v>REQ-cc7c6eee1660</x:v>
      </x:c>
      <x:c r="B719" s="4" t="str">
        <x:v>数据报表</x:v>
      </x:c>
      <x:c r="C719" s="4" t="n">
        <x:v>3264</x:v>
      </x:c>
      <x:c r="D719" s="4" t="str">
        <x:v>总充值人数：新用户充值人数 + 老用户充值人数。</x:v>
      </x:c>
      <x:c r="E719" s="4" t="str">
        <x:v>尚未建立场景映射</x:v>
      </x:c>
      <x:c r="F719" s="4" t="str"/>
      <x:c r="G719" s="4" t="str">
        <x:v>本轮独立来源库保留该已知条款，但尚未建立可核验的正式场景映射；不是无业务依据，也不转为产品待确认。</x:v>
      </x:c>
    </x:row>
    <x:row r="720" ht="44" customHeight="1">
      <x:c r="A720" s="4" t="str">
        <x:v>REQ-b60963ee1f46</x:v>
      </x:c>
      <x:c r="B720" s="4" t="str">
        <x:v>数据报表</x:v>
      </x:c>
      <x:c r="C720" s="4" t="n">
        <x:v>3265</x:v>
      </x:c>
      <x:c r="D720" s="4" t="str">
        <x:v>新 / 老用户：当日注册 / 统计日前注册且当日充值成功的去重用户。</x:v>
      </x:c>
      <x:c r="E720" s="4" t="str">
        <x:v>尚未建立场景映射</x:v>
      </x:c>
      <x:c r="F720" s="4" t="str"/>
      <x:c r="G720" s="4" t="str">
        <x:v>本轮独立来源库保留该已知条款，但尚未建立可核验的正式场景映射；不是无业务依据，也不转为产品待确认。</x:v>
      </x:c>
    </x:row>
    <x:row r="721" ht="44" customHeight="1">
      <x:c r="A721" s="4" t="str">
        <x:v>REQ-09403e05a182</x:v>
      </x:c>
      <x:c r="B721" s="4" t="str">
        <x:v>数据报表</x:v>
      </x:c>
      <x:c r="C721" s="4" t="n">
        <x:v>3266</x:v>
      </x:c>
      <x:c r="D721" s="4" t="str">
        <x:v>新用户 ARPU：新用户充值金额 / 新用户充值人数；分母为 0 时记 0。</x:v>
      </x:c>
      <x:c r="E721" s="4" t="str">
        <x:v>整段分支核验未闭合</x:v>
      </x:c>
      <x:c r="F721" s="4" t="str">
        <x:v>ADMIN-0286、ADMIN-0287</x:v>
      </x:c>
      <x:c r="G721" s="4" t="str">
        <x:v>本段剩余子句、条件组合及状态后续影响仍需与独立规则逐项闭合；这是生成覆盖缺口，不是产品决策缺失。</x:v>
      </x:c>
    </x:row>
    <x:row r="722" ht="44" customHeight="1">
      <x:c r="A722" s="4" t="str">
        <x:v>REQ-dd86c8adf58f</x:v>
      </x:c>
      <x:c r="B722" s="4" t="str">
        <x:v>数据报表</x:v>
      </x:c>
      <x:c r="C722" s="4" t="n">
        <x:v>3267</x:v>
      </x:c>
      <x:c r="D722" s="4" t="str">
        <x:v>老用户 ARPU：老用户充值金额 / 老用户充值人数；分母为 0 时记 0。</x:v>
      </x:c>
      <x:c r="E722" s="4" t="str">
        <x:v>整段分支核验未闭合</x:v>
      </x:c>
      <x:c r="F722" s="4" t="str">
        <x:v>ADMIN-0288、ADMIN-0289</x:v>
      </x:c>
      <x:c r="G722" s="4" t="str">
        <x:v>本段剩余子句、条件组合及状态后续影响仍需与独立规则逐项闭合；这是生成覆盖缺口，不是产品决策缺失。</x:v>
      </x:c>
    </x:row>
    <x:row r="723" ht="44" customHeight="1">
      <x:c r="A723" s="4" t="str">
        <x:v>REQ-230a928751c0</x:v>
      </x:c>
      <x:c r="B723" s="4" t="str">
        <x:v>数据报表</x:v>
      </x:c>
      <x:c r="C723" s="4" t="n">
        <x:v>3268</x:v>
      </x:c>
      <x:c r="D723" s="4" t="str">
        <x:v>查询 -&gt; 按自然日过滤；导出 -&gt; 当前结果。</x:v>
      </x:c>
      <x:c r="E723" s="4" t="str">
        <x:v>整段分支核验未闭合</x:v>
      </x:c>
      <x:c r="F723" s="4" t="str">
        <x:v>ADMIN-0259</x:v>
      </x:c>
      <x:c r="G723" s="4" t="str">
        <x:v>本段剩余子句、条件组合及状态后续影响仍需与独立规则逐项闭合；这是生成覆盖缺口，不是产品决策缺失。</x:v>
      </x:c>
    </x:row>
    <x:row r="724" ht="44" customHeight="1">
      <x:c r="A724" s="4" t="str">
        <x:v>REQ-45090472f985</x:v>
      </x:c>
      <x:c r="B724" s="4" t="str">
        <x:v>数据报表</x:v>
      </x:c>
      <x:c r="C724" s="4" t="n">
        <x:v>3273</x:v>
      </x:c>
      <x:c r="D724" s="4" t="str">
        <x:v>收益：当月普通、定制、幸运礼物和门票形成的主播收益金币合计。</x:v>
      </x:c>
      <x:c r="E724" s="4" t="str">
        <x:v>整段分支核验未闭合</x:v>
      </x:c>
      <x:c r="F724" s="4" t="str">
        <x:v>ADMIN-0599</x:v>
      </x:c>
      <x:c r="G724" s="4" t="str">
        <x:v>本段剩余子句、条件组合及状态后续影响仍需与独立规则逐项闭合；这是生成覆盖缺口，不是产品决策缺失。</x:v>
      </x:c>
    </x:row>
    <x:row r="725" ht="44" customHeight="1">
      <x:c r="A725" s="4" t="str">
        <x:v>REQ-b45a2cc7e99c</x:v>
      </x:c>
      <x:c r="B725" s="4" t="str">
        <x:v>数据报表</x:v>
      </x:c>
      <x:c r="C725" s="4" t="n">
        <x:v>3274</x:v>
      </x:c>
      <x:c r="D725" s="4" t="str">
        <x:v>累计充值：当月支付成功充值实付金额合计。</x:v>
      </x:c>
      <x:c r="E725" s="4" t="str">
        <x:v>整段分支核验未闭合</x:v>
      </x:c>
      <x:c r="F725" s="4" t="str">
        <x:v>ADMIN-0600</x:v>
      </x:c>
      <x:c r="G725" s="4" t="str">
        <x:v>本段剩余子句、条件组合及状态后续影响仍需与独立规则逐项闭合；这是生成覆盖缺口，不是产品决策缺失。</x:v>
      </x:c>
    </x:row>
    <x:row r="726" ht="44" customHeight="1">
      <x:c r="A726" s="4" t="str">
        <x:v>REQ-0ec32e1d8c1b</x:v>
      </x:c>
      <x:c r="B726" s="4" t="str">
        <x:v>数据报表</x:v>
      </x:c>
      <x:c r="C726" s="4" t="n">
        <x:v>3275</x:v>
      </x:c>
      <x:c r="D726" s="4" t="str">
        <x:v>累计退款：当月完成充值退款金额合计。</x:v>
      </x:c>
      <x:c r="E726" s="4" t="str">
        <x:v>尚未建立场景映射</x:v>
      </x:c>
      <x:c r="F726" s="4" t="str"/>
      <x:c r="G726" s="4" t="str">
        <x:v>本轮独立来源库保留该已知条款，但尚未建立可核验的正式场景映射；不是无业务依据，也不转为产品待确认。</x:v>
      </x:c>
    </x:row>
    <x:row r="727" ht="44" customHeight="1">
      <x:c r="A727" s="4" t="str">
        <x:v>REQ-3913a1b861d3</x:v>
      </x:c>
      <x:c r="B727" s="4" t="str">
        <x:v>数据报表</x:v>
      </x:c>
      <x:c r="C727" s="4" t="n">
        <x:v>3276</x:v>
      </x:c>
      <x:c r="D727" s="4" t="str">
        <x:v>充值退款不撤销已完成消费和收益。</x:v>
      </x:c>
      <x:c r="E727" s="4" t="str">
        <x:v>尚未建立场景映射</x:v>
      </x:c>
      <x:c r="F727" s="4" t="str"/>
      <x:c r="G727" s="4" t="str">
        <x:v>本轮独立来源库保留该已知条款，但尚未建立可核验的正式场景映射；不是无业务依据，也不转为产品待确认。</x:v>
      </x:c>
    </x:row>
    <x:row r="728" ht="44" customHeight="1">
      <x:c r="A728" s="4" t="str">
        <x:v>REQ-e96a0f4c2a19</x:v>
      </x:c>
      <x:c r="B728" s="4" t="str">
        <x:v>数据报表</x:v>
      </x:c>
      <x:c r="C728" s="4" t="n">
        <x:v>3277</x:v>
      </x:c>
      <x:c r="D728" s="4" t="str">
        <x:v>列表展示全部月份；导出 -&gt; 当前结果。</x:v>
      </x:c>
      <x:c r="E728" s="4" t="str">
        <x:v>整段分支核验未闭合</x:v>
      </x:c>
      <x:c r="F728" s="4" t="str">
        <x:v>ADMIN-0261</x:v>
      </x:c>
      <x:c r="G728" s="4" t="str">
        <x:v>本段剩余子句、条件组合及状态后续影响仍需与独立规则逐项闭合；这是生成覆盖缺口，不是产品决策缺失。</x:v>
      </x:c>
    </x:row>
    <x:row r="729" ht="44" customHeight="1">
      <x:c r="A729" s="4" t="str">
        <x:v>REQ-3b3683ac9f93</x:v>
      </x:c>
      <x:c r="B729" s="4" t="str">
        <x:v>数据报表</x:v>
      </x:c>
      <x:c r="C729" s="4" t="n">
        <x:v>3282</x:v>
      </x:c>
      <x:c r="D729" s="4" t="str">
        <x:v>统计天数：结束日期 - 开始日期 + 1。</x:v>
      </x:c>
      <x:c r="E729" s="4" t="str">
        <x:v>整段分支核验未闭合</x:v>
      </x:c>
      <x:c r="F729" s="4" t="str">
        <x:v>ADMIN-0311、ADMIN-0312、ADMIN-0313</x:v>
      </x:c>
      <x:c r="G729" s="4" t="str">
        <x:v>本段剩余子句、条件组合及状态后续影响仍需与独立规则逐项闭合；这是生成覆盖缺口，不是产品决策缺失。</x:v>
      </x:c>
    </x:row>
    <x:row r="730" ht="44" customHeight="1">
      <x:c r="A730" s="4" t="str">
        <x:v>REQ-8c1da7d90b54</x:v>
      </x:c>
      <x:c r="B730" s="4" t="str">
        <x:v>数据报表</x:v>
      </x:c>
      <x:c r="C730" s="4" t="n">
        <x:v>3283</x:v>
      </x:c>
      <x:c r="D730" s="4" t="str">
        <x:v>达标天数：单日累计有效直播不少于 3 小时的自然日数，每日最多 1 天。</x:v>
      </x:c>
      <x:c r="E730" s="4" t="str">
        <x:v>整段分支核验未闭合</x:v>
      </x:c>
      <x:c r="F730" s="4" t="str">
        <x:v>ADMIN-0311、ADMIN-0312、ADMIN-0313</x:v>
      </x:c>
      <x:c r="G730" s="4" t="str">
        <x:v>本段剩余子句、条件组合及状态后续影响仍需与独立规则逐项闭合；这是生成覆盖缺口，不是产品决策缺失。</x:v>
      </x:c>
    </x:row>
    <x:row r="731" ht="44" customHeight="1">
      <x:c r="A731" s="4" t="str">
        <x:v>REQ-18c35f8e5fcf</x:v>
      </x:c>
      <x:c r="B731" s="4" t="str">
        <x:v>数据报表</x:v>
      </x:c>
      <x:c r="C731" s="4" t="n">
        <x:v>3284</x:v>
      </x:c>
      <x:c r="D731" s="4" t="str">
        <x:v>直播场次：范围内成功开播场次数。</x:v>
      </x:c>
      <x:c r="E731" s="4" t="str">
        <x:v>尚未建立场景映射</x:v>
      </x:c>
      <x:c r="F731" s="4" t="str"/>
      <x:c r="G731" s="4" t="str">
        <x:v>本轮独立来源库保留该已知条款，但尚未建立可核验的正式场景映射；不是无业务依据，也不转为产品待确认。</x:v>
      </x:c>
    </x:row>
    <x:row r="732" ht="44" customHeight="1">
      <x:c r="A732" s="4" t="str">
        <x:v>REQ-940b4d75815c</x:v>
      </x:c>
      <x:c r="B732" s="4" t="str">
        <x:v>数据报表</x:v>
      </x:c>
      <x:c r="C732" s="4" t="n">
        <x:v>3285</x:v>
      </x:c>
      <x:c r="D732" s="4" t="str">
        <x:v>普通 / 定制 / 门票收益：对应成功真实金币消费合计。</x:v>
      </x:c>
      <x:c r="E732" s="4" t="str">
        <x:v>整段分支核验未闭合</x:v>
      </x:c>
      <x:c r="F732" s="4" t="str">
        <x:v>ADMIN-0601</x:v>
      </x:c>
      <x:c r="G732" s="4" t="str">
        <x:v>本段剩余子句、条件组合及状态后续影响仍需与独立规则逐项闭合；这是生成覆盖缺口，不是产品决策缺失。</x:v>
      </x:c>
    </x:row>
    <x:row r="733" ht="44" customHeight="1">
      <x:c r="A733" s="4" t="str">
        <x:v>REQ-9ece8049f49d</x:v>
      </x:c>
      <x:c r="B733" s="4" t="str">
        <x:v>数据报表</x:v>
      </x:c>
      <x:c r="C733" s="4" t="n">
        <x:v>3286</x:v>
      </x:c>
      <x:c r="D733" s="4" t="str">
        <x:v>幸运礼物收益：Σ（礼物价值 × 当时配置比例），默认 1%。</x:v>
      </x:c>
      <x:c r="E733" s="4" t="str">
        <x:v>整段分支核验未闭合</x:v>
      </x:c>
      <x:c r="F733" s="4" t="str">
        <x:v>ADMIN-0311、ADMIN-0312、ADMIN-0313</x:v>
      </x:c>
      <x:c r="G733" s="4" t="str">
        <x:v>本段剩余子句、条件组合及状态后续影响仍需与独立规则逐项闭合；这是生成覆盖缺口，不是产品决策缺失。</x:v>
      </x:c>
    </x:row>
    <x:row r="734" ht="44" customHeight="1">
      <x:c r="A734" s="4" t="str">
        <x:v>REQ-46bc78a812fc</x:v>
      </x:c>
      <x:c r="B734" s="4" t="str">
        <x:v>数据报表</x:v>
      </x:c>
      <x:c r="C734" s="4" t="n">
        <x:v>3287</x:v>
      </x:c>
      <x:c r="D734" s="4" t="str">
        <x:v>主播收益：普通 + 定制 + 幸运 + 门票收益。</x:v>
      </x:c>
      <x:c r="E734" s="4" t="str">
        <x:v>整段分支核验未闭合</x:v>
      </x:c>
      <x:c r="F734" s="4" t="str">
        <x:v>ADMIN-0311、ADMIN-0312、ADMIN-0313</x:v>
      </x:c>
      <x:c r="G734" s="4" t="str">
        <x:v>本段剩余子句、条件组合及状态后续影响仍需与独立规则逐项闭合；这是生成覆盖缺口，不是产品决策缺失。</x:v>
      </x:c>
    </x:row>
    <x:row r="735" ht="44" customHeight="1">
      <x:c r="A735" s="4" t="str">
        <x:v>REQ-23c71c983b11</x:v>
      </x:c>
      <x:c r="B735" s="4" t="str">
        <x:v>数据报表</x:v>
      </x:c>
      <x:c r="C735" s="4" t="n">
        <x:v>3288</x:v>
      </x:c>
      <x:c r="D735" s="4" t="str">
        <x:v>虚拟金币、失败或撤销消费不计；报表不计算具体分成。</x:v>
      </x:c>
      <x:c r="E735" s="4" t="str">
        <x:v>整段分支核验未闭合</x:v>
      </x:c>
      <x:c r="F735" s="4" t="str">
        <x:v>ADMIN-0314</x:v>
      </x:c>
      <x:c r="G735" s="4" t="str">
        <x:v>本段剩余子句、条件组合及状态后续影响仍需与独立规则逐项闭合；这是生成覆盖缺口，不是产品决策缺失。</x:v>
      </x:c>
    </x:row>
    <x:row r="736" ht="44" customHeight="1">
      <x:c r="A736" s="4" t="str">
        <x:v>REQ-12688b2ebff8</x:v>
      </x:c>
      <x:c r="B736" s="4" t="str">
        <x:v>数据报表</x:v>
      </x:c>
      <x:c r="C736" s="4" t="n">
        <x:v>3289</x:v>
      </x:c>
      <x:c r="D736" s="4" t="str">
        <x:v>查询 -&gt; 按日期、主播或公会聚合；导出 -&gt; 当前结果。</x:v>
      </x:c>
      <x:c r="E736" s="4" t="str">
        <x:v>整段分支核验未闭合</x:v>
      </x:c>
      <x:c r="F736" s="4" t="str">
        <x:v>ADMIN-0263</x:v>
      </x:c>
      <x:c r="G736" s="4" t="str">
        <x:v>本段剩余子句、条件组合及状态后续影响仍需与独立规则逐项闭合；这是生成覆盖缺口，不是产品决策缺失。</x:v>
      </x:c>
    </x:row>
    <x:row r="737" ht="44" customHeight="1">
      <x:c r="A737" s="4" t="str">
        <x:v>REQ-6b1e8290c6b3</x:v>
      </x:c>
      <x:c r="B737" s="4" t="str">
        <x:v>数据报表</x:v>
      </x:c>
      <x:c r="C737" s="4" t="n">
        <x:v>3294</x:v>
      </x:c>
      <x:c r="D737" s="4" t="str">
        <x:v>单价 / 份数：赠送时礼物单价快照 / 成功赠送数量合计。</x:v>
      </x:c>
      <x:c r="E737" s="4" t="str">
        <x:v>整段分支核验未闭合</x:v>
      </x:c>
      <x:c r="F737" s="4" t="str">
        <x:v>ADMIN-0315</x:v>
      </x:c>
      <x:c r="G737" s="4" t="str">
        <x:v>本段剩余子句、条件组合及状态后续影响仍需与独立规则逐项闭合；这是生成覆盖缺口，不是产品决策缺失。</x:v>
      </x:c>
    </x:row>
    <x:row r="738" ht="44" customHeight="1">
      <x:c r="A738" s="4" t="str">
        <x:v>REQ-1828b7702c16</x:v>
      </x:c>
      <x:c r="B738" s="4" t="str">
        <x:v>数据报表</x:v>
      </x:c>
      <x:c r="C738" s="4" t="n">
        <x:v>3295</x:v>
      </x:c>
      <x:c r="D738" s="4" t="str">
        <x:v>普通 / 定制收益：单价 × 份数。</x:v>
      </x:c>
      <x:c r="E738" s="4" t="str">
        <x:v>整段分支核验未闭合</x:v>
      </x:c>
      <x:c r="F738" s="4" t="str">
        <x:v>ADMIN-0602</x:v>
      </x:c>
      <x:c r="G738" s="4" t="str">
        <x:v>本段剩余子句、条件组合及状态后续影响仍需与独立规则逐项闭合；这是生成覆盖缺口，不是产品决策缺失。</x:v>
      </x:c>
    </x:row>
    <x:row r="739" ht="44" customHeight="1">
      <x:c r="A739" s="4" t="str">
        <x:v>REQ-a91c778f4cc5</x:v>
      </x:c>
      <x:c r="B739" s="4" t="str">
        <x:v>数据报表</x:v>
      </x:c>
      <x:c r="C739" s="4" t="n">
        <x:v>3296</x:v>
      </x:c>
      <x:c r="D739" s="4" t="str">
        <x:v>幸运礼物收益：单价 × 份数 × 赠送时配置比例，默认 1%；返奖不影响。</x:v>
      </x:c>
      <x:c r="E739" s="4" t="str">
        <x:v>整段分支核验未闭合</x:v>
      </x:c>
      <x:c r="F739" s="4" t="str">
        <x:v>ADMIN-0315</x:v>
      </x:c>
      <x:c r="G739" s="4" t="str">
        <x:v>本段剩余子句、条件组合及状态后续影响仍需与独立规则逐项闭合；这是生成覆盖缺口，不是产品决策缺失。</x:v>
      </x:c>
    </x:row>
    <x:row r="740" ht="44" customHeight="1">
      <x:c r="A740" s="4" t="str">
        <x:v>REQ-903be88d06c7</x:v>
      </x:c>
      <x:c r="B740" s="4" t="str">
        <x:v>数据报表</x:v>
      </x:c>
      <x:c r="C740" s="4" t="n">
        <x:v>3297</x:v>
      </x:c>
      <x:c r="D740" s="4" t="str">
        <x:v>虚拟金币记录：不进入本报表。</x:v>
      </x:c>
      <x:c r="E740" s="4" t="str">
        <x:v>尚未建立场景映射</x:v>
      </x:c>
      <x:c r="F740" s="4" t="str"/>
      <x:c r="G740" s="4" t="str">
        <x:v>本轮独立来源库保留该已知条款，但尚未建立可核验的正式场景映射；不是无业务依据，也不转为产品待确认。</x:v>
      </x:c>
    </x:row>
    <x:row r="741" ht="44" customHeight="1">
      <x:c r="A741" s="4" t="str">
        <x:v>REQ-03268afd04f5</x:v>
      </x:c>
      <x:c r="B741" s="4" t="str">
        <x:v>数据报表</x:v>
      </x:c>
      <x:c r="C741" s="4" t="n">
        <x:v>3298</x:v>
      </x:c>
      <x:c r="D741" s="4" t="str">
        <x:v>查询 -&gt; 按日期、主播、礼物和类型聚合；导出 -&gt; 当前结果。</x:v>
      </x:c>
      <x:c r="E741" s="4" t="str">
        <x:v>整段分支核验未闭合</x:v>
      </x:c>
      <x:c r="F741" s="4" t="str">
        <x:v>ADMIN-0265</x:v>
      </x:c>
      <x:c r="G741" s="4" t="str">
        <x:v>本段剩余子句、条件组合及状态后续影响仍需与独立规则逐项闭合；这是生成覆盖缺口，不是产品决策缺失。</x:v>
      </x:c>
    </x:row>
    <x:row r="742" ht="44" customHeight="1">
      <x:c r="A742" s="4" t="str">
        <x:v>REQ-5871d4610f86</x:v>
      </x:c>
      <x:c r="B742" s="4" t="str">
        <x:v>数据报表</x:v>
      </x:c>
      <x:c r="C742" s="4" t="n">
        <x:v>3303</x:v>
      </x:c>
      <x:c r="D742" s="4" t="str">
        <x:v>普通 / 定制 / 门票：成功订单扣减金币合计。</x:v>
      </x:c>
      <x:c r="E742" s="4" t="str">
        <x:v>尚未建立场景映射</x:v>
      </x:c>
      <x:c r="F742" s="4" t="str"/>
      <x:c r="G742" s="4" t="str">
        <x:v>本轮独立来源库保留该已知条款，但尚未建立可核验的正式场景映射；不是无业务依据，也不转为产品待确认。</x:v>
      </x:c>
    </x:row>
    <x:row r="743" ht="44" customHeight="1">
      <x:c r="A743" s="4" t="str">
        <x:v>REQ-66deadf015b8</x:v>
      </x:c>
      <x:c r="B743" s="4" t="str">
        <x:v>数据报表</x:v>
      </x:c>
      <x:c r="C743" s="4" t="n">
        <x:v>3304</x:v>
      </x:c>
      <x:c r="D743" s="4" t="str">
        <x:v>幸运礼物：订单扣减金币 - 实际返奖金币。</x:v>
      </x:c>
      <x:c r="E743" s="4" t="str">
        <x:v>整段分支核验未闭合</x:v>
      </x:c>
      <x:c r="F743" s="4" t="str">
        <x:v>ADMIN-0318</x:v>
      </x:c>
      <x:c r="G743" s="4" t="str">
        <x:v>本段剩余子句、条件组合及状态后续影响仍需与独立规则逐项闭合；这是生成覆盖缺口，不是产品决策缺失。</x:v>
      </x:c>
    </x:row>
    <x:row r="744" ht="44" customHeight="1">
      <x:c r="A744" s="4" t="str">
        <x:v>REQ-1f464119f351</x:v>
      </x:c>
      <x:c r="B744" s="4" t="str">
        <x:v>数据报表</x:v>
      </x:c>
      <x:c r="C744" s="4" t="n">
        <x:v>3305</x:v>
      </x:c>
      <x:c r="D744" s="4" t="str">
        <x:v>累计消费：普通 + 定制 + 幸运礼物净消耗 + 门票。</x:v>
      </x:c>
      <x:c r="E744" s="4" t="str">
        <x:v>整段分支核验未闭合</x:v>
      </x:c>
      <x:c r="F744" s="4" t="str">
        <x:v>ADMIN-0318</x:v>
      </x:c>
      <x:c r="G744" s="4" t="str">
        <x:v>本段剩余子句、条件组合及状态后续影响仍需与独立规则逐项闭合；这是生成覆盖缺口，不是产品决策缺失。</x:v>
      </x:c>
    </x:row>
    <x:row r="745" ht="44" customHeight="1">
      <x:c r="A745" s="4" t="str">
        <x:v>REQ-05211b79e1de</x:v>
      </x:c>
      <x:c r="B745" s="4" t="str">
        <x:v>数据报表</x:v>
      </x:c>
      <x:c r="C745" s="4" t="n">
        <x:v>3306</x:v>
      </x:c>
      <x:c r="D745" s="4" t="str">
        <x:v>失败、撤销和虚拟金币不计；充值退款不回滚已完成消费。</x:v>
      </x:c>
      <x:c r="E745" s="4" t="str">
        <x:v>整段分支核验未闭合</x:v>
      </x:c>
      <x:c r="F745" s="4" t="str">
        <x:v>ADMIN-0318</x:v>
      </x:c>
      <x:c r="G745" s="4" t="str">
        <x:v>本段剩余子句、条件组合及状态后续影响仍需与独立规则逐项闭合；这是生成覆盖缺口，不是产品决策缺失。</x:v>
      </x:c>
    </x:row>
    <x:row r="746" ht="44" customHeight="1">
      <x:c r="A746" s="4" t="str">
        <x:v>REQ-ba1a1a3c1e74</x:v>
      </x:c>
      <x:c r="B746" s="4" t="str">
        <x:v>数据报表</x:v>
      </x:c>
      <x:c r="C746" s="4" t="n">
        <x:v>3307</x:v>
      </x:c>
      <x:c r="D746" s="4" t="str">
        <x:v>查询 -&gt; 按日期和用户聚合；导出 -&gt; 当前结果。</x:v>
      </x:c>
      <x:c r="E746" s="4" t="str">
        <x:v>整段分支核验未闭合</x:v>
      </x:c>
      <x:c r="F746" s="4" t="str">
        <x:v>ADMIN-0267</x:v>
      </x:c>
      <x:c r="G746" s="4" t="str">
        <x:v>本段剩余子句、条件组合及状态后续影响仍需与独立规则逐项闭合；这是生成覆盖缺口，不是产品决策缺失。</x:v>
      </x:c>
    </x:row>
    <x:row r="747" ht="44" customHeight="1">
      <x:c r="A747" s="4" t="str">
        <x:v>REQ-6299c7e767e5</x:v>
      </x:c>
      <x:c r="B747" s="4" t="str">
        <x:v>数据报表</x:v>
      </x:c>
      <x:c r="C747" s="4" t="n">
        <x:v>3312</x:v>
      </x:c>
      <x:c r="D747" s="4" t="str">
        <x:v>单价：赠送时商品金币单价快照。</x:v>
      </x:c>
      <x:c r="E747" s="4" t="str">
        <x:v>整段分支核验未闭合</x:v>
      </x:c>
      <x:c r="F747" s="4" t="str">
        <x:v>ADMIN-0316、ADMIN-0317</x:v>
      </x:c>
      <x:c r="G747" s="4" t="str">
        <x:v>本段剩余子句、条件组合及状态后续影响仍需与独立规则逐项闭合；这是生成覆盖缺口，不是产品决策缺失。</x:v>
      </x:c>
    </x:row>
    <x:row r="748" ht="44" customHeight="1">
      <x:c r="A748" s="4" t="str">
        <x:v>REQ-96b3556b2fe6</x:v>
      </x:c>
      <x:c r="B748" s="4" t="str">
        <x:v>数据报表</x:v>
      </x:c>
      <x:c r="C748" s="4" t="n">
        <x:v>3313</x:v>
      </x:c>
      <x:c r="D748" s="4" t="str">
        <x:v>销量：成功赠送份数合计。</x:v>
      </x:c>
      <x:c r="E748" s="4" t="str">
        <x:v>整段分支核验未闭合</x:v>
      </x:c>
      <x:c r="F748" s="4" t="str">
        <x:v>ADMIN-0316、ADMIN-0317</x:v>
      </x:c>
      <x:c r="G748" s="4" t="str">
        <x:v>本段剩余子句、条件组合及状态后续影响仍需与独立规则逐项闭合；这是生成覆盖缺口，不是产品决策缺失。</x:v>
      </x:c>
    </x:row>
    <x:row r="749" ht="44" customHeight="1">
      <x:c r="A749" s="4" t="str">
        <x:v>REQ-b9a83a6c0ae8</x:v>
      </x:c>
      <x:c r="B749" s="4" t="str">
        <x:v>数据报表</x:v>
      </x:c>
      <x:c r="C749" s="4" t="n">
        <x:v>3314</x:v>
      </x:c>
      <x:c r="D749" s="4" t="str">
        <x:v>销售额：Σ（单价 × 份数），表示礼物价值；幸运礼物不减返奖。</x:v>
      </x:c>
      <x:c r="E749" s="4" t="str">
        <x:v>整段分支核验未闭合</x:v>
      </x:c>
      <x:c r="F749" s="4" t="str">
        <x:v>ADMIN-0316、ADMIN-0317、ADMIN-0603</x:v>
      </x:c>
      <x:c r="G749" s="4" t="str">
        <x:v>本段剩余子句、条件组合及状态后续影响仍需与独立规则逐项闭合；这是生成覆盖缺口，不是产品决策缺失。</x:v>
      </x:c>
    </x:row>
    <x:row r="750" ht="44" customHeight="1">
      <x:c r="A750" s="4" t="str">
        <x:v>REQ-c7ee99eb0761</x:v>
      </x:c>
      <x:c r="B750" s="4" t="str">
        <x:v>数据报表</x:v>
      </x:c>
      <x:c r="C750" s="4" t="n">
        <x:v>3315</x:v>
      </x:c>
      <x:c r="D750" s="4" t="str">
        <x:v>仅真实金币成功消费，虚拟金币送礼不计。</x:v>
      </x:c>
      <x:c r="E750" s="4" t="str">
        <x:v>尚未建立场景映射</x:v>
      </x:c>
      <x:c r="F750" s="4" t="str"/>
      <x:c r="G750" s="4" t="str">
        <x:v>本轮独立来源库保留该已知条款，但尚未建立可核验的正式场景映射；不是无业务依据，也不转为产品待确认。</x:v>
      </x:c>
    </x:row>
    <x:row r="751" ht="44" customHeight="1">
      <x:c r="A751" s="4" t="str">
        <x:v>REQ-2ad4961f0c54</x:v>
      </x:c>
      <x:c r="B751" s="4" t="str">
        <x:v>数据报表</x:v>
      </x:c>
      <x:c r="C751" s="4" t="n">
        <x:v>3316</x:v>
      </x:c>
      <x:c r="D751" s="4" t="str">
        <x:v>查询 -&gt; 按日期、礼物和类型聚合；导出 -&gt; 当前结果。</x:v>
      </x:c>
      <x:c r="E751" s="4" t="str">
        <x:v>整段分支核验未闭合</x:v>
      </x:c>
      <x:c r="F751" s="4" t="str">
        <x:v>ADMIN-0269</x:v>
      </x:c>
      <x:c r="G751" s="4" t="str">
        <x:v>本段剩余子句、条件组合及状态后续影响仍需与独立规则逐项闭合；这是生成覆盖缺口，不是产品决策缺失。</x:v>
      </x:c>
    </x:row>
    <x:row r="752" ht="44" customHeight="1">
      <x:c r="A752" s="4" t="str">
        <x:v>REQ-4b8afc2fd892</x:v>
      </x:c>
      <x:c r="B752" s="4" t="str">
        <x:v>数据报表</x:v>
      </x:c>
      <x:c r="C752" s="4" t="n">
        <x:v>3321</x:v>
      </x:c>
      <x:c r="D752" s="4" t="str">
        <x:v>礼物单价 / 份数：消费时单价快照 / 成功数量。</x:v>
      </x:c>
      <x:c r="E752" s="4" t="str">
        <x:v>尚未建立场景映射</x:v>
      </x:c>
      <x:c r="F752" s="4" t="str"/>
      <x:c r="G752" s="4" t="str">
        <x:v>本轮独立来源库保留该已知条款，但尚未建立可核验的正式场景映射；不是无业务依据，也不转为产品待确认。</x:v>
      </x:c>
    </x:row>
    <x:row r="753" ht="44" customHeight="1">
      <x:c r="A753" s="4" t="str">
        <x:v>REQ-e744c2638e3b</x:v>
      </x:c>
      <x:c r="B753" s="4" t="str">
        <x:v>数据报表</x:v>
      </x:c>
      <x:c r="C753" s="4" t="n">
        <x:v>3322</x:v>
      </x:c>
      <x:c r="D753" s="4" t="str">
        <x:v>消费金币：单价 × 份数；幸运礼物返奖另记。</x:v>
      </x:c>
      <x:c r="E753" s="4" t="str">
        <x:v>整段分支核验未闭合</x:v>
      </x:c>
      <x:c r="F753" s="4" t="str">
        <x:v>ADMIN-0604</x:v>
      </x:c>
      <x:c r="G753" s="4" t="str">
        <x:v>本段剩余子句、条件组合及状态后续影响仍需与独立规则逐项闭合；这是生成覆盖缺口，不是产品决策缺失。</x:v>
      </x:c>
    </x:row>
    <x:row r="754" ht="44" customHeight="1">
      <x:c r="A754" s="4" t="str">
        <x:v>REQ-656f13f679bf</x:v>
      </x:c>
      <x:c r="B754" s="4" t="str">
        <x:v>数据报表</x:v>
      </x:c>
      <x:c r="C754" s="4" t="n">
        <x:v>3323</x:v>
      </x:c>
      <x:c r="D754" s="4" t="str">
        <x:v>主播收益：普通、定制、门票 = 消费金币；幸运礼物 = 礼物价值 × 配置比例。</x:v>
      </x:c>
      <x:c r="E754" s="4" t="str">
        <x:v>整段分支核验未闭合</x:v>
      </x:c>
      <x:c r="F754" s="4" t="str">
        <x:v>ADMIN-0605</x:v>
      </x:c>
      <x:c r="G754" s="4" t="str">
        <x:v>本段剩余子句、条件组合及状态后续影响仍需与独立规则逐项闭合；这是生成覆盖缺口，不是产品决策缺失。</x:v>
      </x:c>
    </x:row>
    <x:row r="755" ht="44" customHeight="1">
      <x:c r="A755" s="4" t="str">
        <x:v>REQ-ab4321fab6cd</x:v>
      </x:c>
      <x:c r="B755" s="4" t="str">
        <x:v>数据报表</x:v>
      </x:c>
      <x:c r="C755" s="4" t="n">
        <x:v>3324</x:v>
      </x:c>
      <x:c r="D755" s="4" t="str">
        <x:v>场次 ID：消费发生的直播场次。</x:v>
      </x:c>
      <x:c r="E755" s="4" t="str">
        <x:v>整段分支核验未闭合</x:v>
      </x:c>
      <x:c r="F755" s="4" t="str">
        <x:v>ADMIN-0462</x:v>
      </x:c>
      <x:c r="G755" s="4" t="str">
        <x:v>本段剩余子句、条件组合及状态后续影响仍需与独立规则逐项闭合；这是生成覆盖缺口，不是产品决策缺失。</x:v>
      </x:c>
    </x:row>
    <x:row r="756" ht="44" customHeight="1">
      <x:c r="A756" s="4" t="str">
        <x:v>REQ-177d4598c99c</x:v>
      </x:c>
      <x:c r="B756" s="4" t="str">
        <x:v>数据报表</x:v>
      </x:c>
      <x:c r="C756" s="4" t="n">
        <x:v>3325</x:v>
      </x:c>
      <x:c r="D756" s="4" t="str">
        <x:v>只统计成功真实金币消费；消费订单只读且不可退款。</x:v>
      </x:c>
      <x:c r="E756" s="4" t="str">
        <x:v>尚未建立场景映射</x:v>
      </x:c>
      <x:c r="F756" s="4" t="str"/>
      <x:c r="G756" s="4" t="str">
        <x:v>本轮独立来源库保留该已知条款，但尚未建立可核验的正式场景映射；不是无业务依据，也不转为产品待确认。</x:v>
      </x:c>
    </x:row>
    <x:row r="757" ht="44" customHeight="1">
      <x:c r="A757" s="4" t="str">
        <x:v>REQ-b92fb474b07f</x:v>
      </x:c>
      <x:c r="B757" s="4" t="str">
        <x:v>数据报表</x:v>
      </x:c>
      <x:c r="C757" s="4" t="n">
        <x:v>3326</x:v>
      </x:c>
      <x:c r="D757" s="4" t="str">
        <x:v>查询 -&gt; 时间和关键字取交集；导出 -&gt; 当前结果。</x:v>
      </x:c>
      <x:c r="E757" s="4" t="str">
        <x:v>整段分支核验未闭合</x:v>
      </x:c>
      <x:c r="F757" s="4" t="str">
        <x:v>ADMIN-0271、ADMIN-0557、ADMIN-0558、ADMIN-0559</x:v>
      </x:c>
      <x:c r="G757" s="4" t="str">
        <x:v>本段剩余子句、条件组合及状态后续影响仍需与独立规则逐项闭合；这是生成覆盖缺口，不是产品决策缺失。</x:v>
      </x:c>
    </x:row>
    <x:row r="758" ht="44" customHeight="1">
      <x:c r="A758" s="4" t="str">
        <x:v>REQ-4073f5d10f84</x:v>
      </x:c>
      <x:c r="B758" s="4" t="str">
        <x:v>数据报表</x:v>
      </x:c>
      <x:c r="C758" s="4" t="n">
        <x:v>3331</x:v>
      </x:c>
      <x:c r="D758" s="4" t="str">
        <x:v>退款时间：主动退款或支付渠道退款的完成时间。</x:v>
      </x:c>
      <x:c r="E758" s="4" t="str">
        <x:v>整段分支核验未闭合</x:v>
      </x:c>
      <x:c r="F758" s="4" t="str">
        <x:v>ADMIN-0321、ADMIN-0463</x:v>
      </x:c>
      <x:c r="G758" s="4" t="str">
        <x:v>本段剩余子句、条件组合及状态后续影响仍需与独立规则逐项闭合；这是生成覆盖缺口，不是产品决策缺失。</x:v>
      </x:c>
    </x:row>
    <x:row r="759" ht="44" customHeight="1">
      <x:c r="A759" s="4" t="str">
        <x:v>REQ-7826de3051d7</x:v>
      </x:c>
      <x:c r="B759" s="4" t="str">
        <x:v>数据报表</x:v>
      </x:c>
      <x:c r="C759" s="4" t="n">
        <x:v>3332</x:v>
      </x:c>
      <x:c r="D759" s="4" t="str">
        <x:v>退款用户 / 商品：原充值订单用户和套餐。</x:v>
      </x:c>
      <x:c r="E759" s="4" t="str">
        <x:v>尚未建立场景映射</x:v>
      </x:c>
      <x:c r="F759" s="4" t="str"/>
      <x:c r="G759" s="4" t="str">
        <x:v>本轮独立来源库保留该已知条款，但尚未建立可核验的正式场景映射；不是无业务依据，也不转为产品待确认。</x:v>
      </x:c>
    </x:row>
    <x:row r="760" ht="44" customHeight="1">
      <x:c r="A760" s="4" t="str">
        <x:v>REQ-0b9cd1485c6d</x:v>
      </x:c>
      <x:c r="B760" s="4" t="str">
        <x:v>数据报表</x:v>
      </x:c>
      <x:c r="C760" s="4" t="n">
        <x:v>3333</x:v>
      </x:c>
      <x:c r="D760" s="4" t="str">
        <x:v>退款金额：原订单实付金额，全额退款，USD。</x:v>
      </x:c>
      <x:c r="E760" s="4" t="str">
        <x:v>尚未建立场景映射</x:v>
      </x:c>
      <x:c r="F760" s="4" t="str"/>
      <x:c r="G760" s="4" t="str">
        <x:v>本轮独立来源库保留该已知条款，但尚未建立可核验的正式场景映射；不是无业务依据，也不转为产品待确认。</x:v>
      </x:c>
    </x:row>
    <x:row r="761" ht="44" customHeight="1">
      <x:c r="A761" s="4" t="str">
        <x:v>REQ-1270986ff2f3</x:v>
      </x:c>
      <x:c r="B761" s="4" t="str">
        <x:v>数据报表</x:v>
      </x:c>
      <x:c r="C761" s="4" t="n">
        <x:v>3334</x:v>
      </x:c>
      <x:c r="D761" s="4" t="str">
        <x:v>仅充值退款，不包含礼物或门票消费退款。</x:v>
      </x:c>
      <x:c r="E761" s="4" t="str">
        <x:v>尚未建立场景映射</x:v>
      </x:c>
      <x:c r="F761" s="4" t="str"/>
      <x:c r="G761" s="4" t="str">
        <x:v>本轮独立来源库保留该已知条款，但尚未建立可核验的正式场景映射；不是无业务依据，也不转为产品待确认。</x:v>
      </x:c>
    </x:row>
    <x:row r="762" ht="44" customHeight="1">
      <x:c r="A762" s="4" t="str">
        <x:v>REQ-d7522df0db9e</x:v>
      </x:c>
      <x:c r="B762" s="4" t="str">
        <x:v>数据报表</x:v>
      </x:c>
      <x:c r="C762" s="4" t="n">
        <x:v>3335</x:v>
      </x:c>
      <x:c r="D762" s="4" t="str">
        <x:v>查询 -&gt; 时间和用户取交集；导出 -&gt; 当前结果。</x:v>
      </x:c>
      <x:c r="E762" s="4" t="str">
        <x:v>整段分支核验未闭合</x:v>
      </x:c>
      <x:c r="F762" s="4" t="str">
        <x:v>ADMIN-0273、ADMIN-0321、ADMIN-0560、ADMIN-0561、ADMIN-0562</x:v>
      </x:c>
      <x:c r="G762" s="4" t="str">
        <x:v>本段剩余子句、条件组合及状态后续影响仍需与独立规则逐项闭合；这是生成覆盖缺口，不是产品决策缺失。</x:v>
      </x:c>
    </x:row>
    <x:row r="763" ht="44" customHeight="1">
      <x:c r="A763" s="4" t="str">
        <x:v>REQ-7d14dbfdaed3</x:v>
      </x:c>
      <x:c r="B763" s="4" t="str">
        <x:v>数据报表</x:v>
      </x:c>
      <x:c r="C763" s="4" t="n">
        <x:v>3340</x:v>
      </x:c>
      <x:c r="D763" s="4" t="str">
        <x:v>充值时间：支付成功时间。</x:v>
      </x:c>
      <x:c r="E763" s="4" t="str">
        <x:v>整段分支核验未闭合</x:v>
      </x:c>
      <x:c r="F763" s="4" t="str">
        <x:v>ADMIN-0320</x:v>
      </x:c>
      <x:c r="G763" s="4" t="str">
        <x:v>本段剩余子句、条件组合及状态后续影响仍需与独立规则逐项闭合；这是生成覆盖缺口，不是产品决策缺失。</x:v>
      </x:c>
    </x:row>
    <x:row r="764" ht="44" customHeight="1">
      <x:c r="A764" s="4" t="str">
        <x:v>REQ-52986fb71160</x:v>
      </x:c>
      <x:c r="B764" s="4" t="str">
        <x:v>数据报表</x:v>
      </x:c>
      <x:c r="C764" s="4" t="n">
        <x:v>3341</x:v>
      </x:c>
      <x:c r="D764" s="4" t="str">
        <x:v>充值用户 / 套餐：原订单用户和套餐快照。</x:v>
      </x:c>
      <x:c r="E764" s="4" t="str">
        <x:v>尚未建立场景映射</x:v>
      </x:c>
      <x:c r="F764" s="4" t="str"/>
      <x:c r="G764" s="4" t="str">
        <x:v>本轮独立来源库保留该已知条款，但尚未建立可核验的正式场景映射；不是无业务依据，也不转为产品待确认。</x:v>
      </x:c>
    </x:row>
    <x:row r="765" ht="44" customHeight="1">
      <x:c r="A765" s="4" t="str">
        <x:v>REQ-1736a49fe0ea</x:v>
      </x:c>
      <x:c r="B765" s="4" t="str">
        <x:v>数据报表</x:v>
      </x:c>
      <x:c r="C765" s="4" t="n">
        <x:v>3342</x:v>
      </x:c>
      <x:c r="D765" s="4" t="str">
        <x:v>支付渠道：实际完成支付的渠道。</x:v>
      </x:c>
      <x:c r="E765" s="4" t="str">
        <x:v>整段分支核验未闭合</x:v>
      </x:c>
      <x:c r="F765" s="4" t="str">
        <x:v>ADMIN-0320</x:v>
      </x:c>
      <x:c r="G765" s="4" t="str">
        <x:v>本段剩余子句、条件组合及状态后续影响仍需与独立规则逐项闭合；这是生成覆盖缺口，不是产品决策缺失。</x:v>
      </x:c>
    </x:row>
    <x:row r="766" ht="44" customHeight="1">
      <x:c r="A766" s="4" t="str">
        <x:v>REQ-b900e4488c5e</x:v>
      </x:c>
      <x:c r="B766" s="4" t="str">
        <x:v>数据报表</x:v>
      </x:c>
      <x:c r="C766" s="4" t="n">
        <x:v>3343</x:v>
      </x:c>
      <x:c r="D766" s="4" t="str">
        <x:v>充值金额：实付金额，USD。</x:v>
      </x:c>
      <x:c r="E766" s="4" t="str">
        <x:v>尚未建立场景映射</x:v>
      </x:c>
      <x:c r="F766" s="4" t="str"/>
      <x:c r="G766" s="4" t="str">
        <x:v>本轮独立来源库保留该已知条款，但尚未建立可核验的正式场景映射；不是无业务依据，也不转为产品待确认。</x:v>
      </x:c>
    </x:row>
    <x:row r="767" ht="44" customHeight="1">
      <x:c r="A767" s="4" t="str">
        <x:v>REQ-9db3cebbc20c</x:v>
      </x:c>
      <x:c r="B767" s="4" t="str">
        <x:v>数据报表</x:v>
      </x:c>
      <x:c r="C767" s="4" t="n">
        <x:v>3344</x:v>
      </x:c>
      <x:c r="D767" s="4" t="str">
        <x:v>仅支付成功订单；退款在退款报表单列。</x:v>
      </x:c>
      <x:c r="E767" s="4" t="str">
        <x:v>整段分支核验未闭合</x:v>
      </x:c>
      <x:c r="F767" s="4" t="str">
        <x:v>ADMIN-0320</x:v>
      </x:c>
      <x:c r="G767" s="4" t="str">
        <x:v>本段剩余子句、条件组合及状态后续影响仍需与独立规则逐项闭合；这是生成覆盖缺口，不是产品决策缺失。</x:v>
      </x:c>
    </x:row>
    <x:row r="768" ht="44" customHeight="1">
      <x:c r="A768" s="4" t="str">
        <x:v>REQ-c2caa13dc866</x:v>
      </x:c>
      <x:c r="B768" s="4" t="str">
        <x:v>数据报表</x:v>
      </x:c>
      <x:c r="C768" s="4" t="n">
        <x:v>3345</x:v>
      </x:c>
      <x:c r="D768" s="4" t="str">
        <x:v>查询 -&gt; 时间和用户取交集；导出 -&gt; 当前结果。</x:v>
      </x:c>
      <x:c r="E768" s="4" t="str">
        <x:v>整段分支核验未闭合</x:v>
      </x:c>
      <x:c r="F768" s="4" t="str">
        <x:v>ADMIN-0275、ADMIN-0320、ADMIN-0563、ADMIN-0564、ADMIN-0565</x:v>
      </x:c>
      <x:c r="G768" s="4" t="str">
        <x:v>本段剩余子句、条件组合及状态后续影响仍需与独立规则逐项闭合；这是生成覆盖缺口，不是产品决策缺失。</x:v>
      </x:c>
    </x:row>
    <x:row r="769" ht="44" customHeight="1">
      <x:c r="A769" s="4" t="str">
        <x:v>REQ-6c44a6da64d1</x:v>
      </x:c>
      <x:c r="B769" s="4" t="str">
        <x:v>运营账号</x:v>
      </x:c>
      <x:c r="C769" s="4" t="n">
        <x:v>3350</x:v>
      </x:c>
      <x:c r="D769" s="4" t="str">
        <x:v>运营账号 / 公会：账号由所属公会创建，登录账号全局唯一。</x:v>
      </x:c>
      <x:c r="E769" s="4" t="str">
        <x:v>尚未建立场景映射</x:v>
      </x:c>
      <x:c r="F769" s="4" t="str"/>
      <x:c r="G769" s="4" t="str">
        <x:v>本轮独立来源库保留该已知条款，但尚未建立可核验的正式场景映射；不是无业务依据，也不转为产品待确认。</x:v>
      </x:c>
    </x:row>
    <x:row r="770" ht="44" customHeight="1">
      <x:c r="A770" s="4" t="str">
        <x:v>REQ-d0e6f8d8c385</x:v>
      </x:c>
      <x:c r="B770" s="4" t="str">
        <x:v>运营账号</x:v>
      </x:c>
      <x:c r="C770" s="4" t="n">
        <x:v>3351</x:v>
      </x:c>
      <x:c r="D770" s="4" t="str">
        <x:v>累计 / 本月消费：虚拟金币成功送礼消耗合计 / 当月合计。</x:v>
      </x:c>
      <x:c r="E770" s="4" t="str">
        <x:v>尚未建立场景映射</x:v>
      </x:c>
      <x:c r="F770" s="4" t="str"/>
      <x:c r="G770" s="4" t="str">
        <x:v>本轮独立来源库保留该已知条款，但尚未建立可核验的正式场景映射；不是无业务依据，也不转为产品待确认。</x:v>
      </x:c>
    </x:row>
    <x:row r="771" ht="44" customHeight="1">
      <x:c r="A771" s="4" t="str">
        <x:v>REQ-86cc5bde0a36</x:v>
      </x:c>
      <x:c r="B771" s="4" t="str">
        <x:v>运营账号</x:v>
      </x:c>
      <x:c r="C771" s="4" t="n">
        <x:v>3352</x:v>
      </x:c>
      <x:c r="D771" s="4" t="str">
        <x:v>账户余额：虚拟金币发放合计 - 虚拟金币消费合计。</x:v>
      </x:c>
      <x:c r="E771" s="4" t="str">
        <x:v>整段分支核验未闭合</x:v>
      </x:c>
      <x:c r="F771" s="4" t="str">
        <x:v>ADMIN-0606</x:v>
      </x:c>
      <x:c r="G771" s="4" t="str">
        <x:v>本段剩余子句、条件组合及状态后续影响仍需与独立规则逐项闭合；这是生成覆盖缺口，不是产品决策缺失。</x:v>
      </x:c>
    </x:row>
    <x:row r="772" ht="44" customHeight="1">
      <x:c r="A772" s="4" t="str">
        <x:v>REQ-26286348d506</x:v>
      </x:c>
      <x:c r="B772" s="4" t="str">
        <x:v>运营账号</x:v>
      </x:c>
      <x:c r="C772" s="4" t="n">
        <x:v>3353</x:v>
      </x:c>
      <x:c r="D772" s="4" t="str">
        <x:v>本月发放：当月公会发放虚拟金币合计。</x:v>
      </x:c>
      <x:c r="E772" s="4" t="str">
        <x:v>尚未建立场景映射</x:v>
      </x:c>
      <x:c r="F772" s="4" t="str"/>
      <x:c r="G772" s="4" t="str">
        <x:v>本轮独立来源库保留该已知条款，但尚未建立可核验的正式场景映射；不是无业务依据，也不转为产品待确认。</x:v>
      </x:c>
    </x:row>
    <x:row r="773" ht="44" customHeight="1">
      <x:c r="A773" s="4" t="str">
        <x:v>REQ-cf7ea44b32ed</x:v>
      </x:c>
      <x:c r="B773" s="4" t="str">
        <x:v>运营账号</x:v>
      </x:c>
      <x:c r="C773" s="4" t="n">
        <x:v>3354</x:v>
      </x:c>
      <x:c r="D773" s="4" t="str">
        <x:v>状态：启用、停用；平台可启停并锁定公会管理权限。</x:v>
      </x:c>
      <x:c r="E773" s="4" t="str">
        <x:v>尚未建立场景映射</x:v>
      </x:c>
      <x:c r="F773" s="4" t="str"/>
      <x:c r="G773" s="4" t="str">
        <x:v>本轮独立来源库保留该已知条款，但尚未建立可核验的正式场景映射；不是无业务依据，也不转为产品待确认。</x:v>
      </x:c>
    </x:row>
    <x:row r="774" ht="57" customHeight="1">
      <x:c r="A774" s="4" t="str">
        <x:v>REQ-d0b3e7f8f26e</x:v>
      </x:c>
      <x:c r="B774" s="4" t="str">
        <x:v>运营账号</x:v>
      </x:c>
      <x:c r="C774" s="4" t="n">
        <x:v>3355</x:v>
      </x:c>
      <x:c r="D774" s="4" t="str">
        <x:v>运营账号没有真实金币，只有虚拟金币；虚拟金币只能由所属公会发放，不能通过充值或任务获得。平台不创建、不分配运营账号，也不发放虚拟金币。</x:v>
      </x:c>
      <x:c r="E774" s="4" t="str">
        <x:v>整段分支核验未闭合</x:v>
      </x:c>
      <x:c r="F774" s="4" t="str">
        <x:v>ADMIN-0510、ADMIN-0511、ADMIN-0512</x:v>
      </x:c>
      <x:c r="G774" s="4" t="str">
        <x:v>本段剩余子句、条件组合及状态后续影响仍需与独立规则逐项闭合；这是生成覆盖缺口，不是产品决策缺失。</x:v>
      </x:c>
    </x:row>
    <x:row r="775" ht="57" customHeight="1">
      <x:c r="A775" s="4" t="str">
        <x:v>REQ-bbc2d01152de</x:v>
      </x:c>
      <x:c r="B775" s="4" t="str">
        <x:v>运营账号</x:v>
      </x:c>
      <x:c r="C775" s="4" t="n">
        <x:v>3356</x:v>
      </x:c>
      <x:c r="D775" s="4" t="str">
        <x:v>虚拟金币仅可赠送普通礼物和定制礼物，不能赠送幸运礼物，不能购买装扮、门票或用于其他消费；运营账号可以发送消息但不能加入粉丝团；虚拟送礼可计入氛围和榜单展示，不形成主播收益或公会分成。</x:v>
      </x:c>
      <x:c r="E775" s="4" t="str">
        <x:v>尚未建立场景映射</x:v>
      </x:c>
      <x:c r="F775" s="4" t="str"/>
      <x:c r="G775" s="4" t="str">
        <x:v>本轮独立来源库保留该已知条款，但尚未建立可核验的正式场景映射；不是无业务依据，也不转为产品待确认。</x:v>
      </x:c>
    </x:row>
    <x:row r="776" ht="44" customHeight="1">
      <x:c r="A776" s="4" t="str">
        <x:v>REQ-733df3fd18c3</x:v>
      </x:c>
      <x:c r="B776" s="4" t="str">
        <x:v>运营账号</x:v>
      </x:c>
      <x:c r="C776" s="4" t="n">
        <x:v>3357</x:v>
      </x:c>
      <x:c r="D776" s="4" t="str">
        <x:v>查询 -&gt; 条件取交集；详情 -&gt; 查看账号、发放和送礼记录。</x:v>
      </x:c>
      <x:c r="E776" s="4" t="str">
        <x:v>整段分支核验未闭合</x:v>
      </x:c>
      <x:c r="F776" s="4" t="str">
        <x:v>ADMIN-0548、ADMIN-0549、ADMIN-0550</x:v>
      </x:c>
      <x:c r="G776" s="4" t="str">
        <x:v>本段剩余子句、条件组合及状态后续影响仍需与独立规则逐项闭合；这是生成覆盖缺口，不是产品决策缺失。</x:v>
      </x:c>
    </x:row>
    <x:row r="777" ht="44" customHeight="1">
      <x:c r="A777" s="4" t="str">
        <x:v>REQ-8a8242292a6c</x:v>
      </x:c>
      <x:c r="B777" s="4" t="str">
        <x:v>运营账号</x:v>
      </x:c>
      <x:c r="C777" s="4" t="n">
        <x:v>3362</x:v>
      </x:c>
      <x:c r="D777" s="4" t="str">
        <x:v>账号资料：头像、名称、登录账号和所属公会，由公会维护。</x:v>
      </x:c>
      <x:c r="E777" s="4" t="str">
        <x:v>整段分支核验未闭合</x:v>
      </x:c>
      <x:c r="F777" s="4" t="str">
        <x:v>ADMIN-0464、ADMIN-0465</x:v>
      </x:c>
      <x:c r="G777" s="4" t="str">
        <x:v>本段剩余子句、条件组合及状态后续影响仍需与独立规则逐项闭合；这是生成覆盖缺口，不是产品决策缺失。</x:v>
      </x:c>
    </x:row>
    <x:row r="778" ht="44" customHeight="1">
      <x:c r="A778" s="4" t="str">
        <x:v>REQ-5efca74d9782</x:v>
      </x:c>
      <x:c r="B778" s="4" t="str">
        <x:v>运营账号</x:v>
      </x:c>
      <x:c r="C778" s="4" t="n">
        <x:v>3363</x:v>
      </x:c>
      <x:c r="D778" s="4" t="str">
        <x:v>虚拟金币余额：Σ 发放金币 - Σ 成功消费金币。</x:v>
      </x:c>
      <x:c r="E778" s="4" t="str">
        <x:v>整段分支核验未闭合</x:v>
      </x:c>
      <x:c r="F778" s="4" t="str">
        <x:v>ADMIN-0607</x:v>
      </x:c>
      <x:c r="G778" s="4" t="str">
        <x:v>本段剩余子句、条件组合及状态后续影响仍需与独立规则逐项闭合；这是生成覆盖缺口，不是产品决策缺失。</x:v>
      </x:c>
    </x:row>
    <x:row r="779" ht="44" customHeight="1">
      <x:c r="A779" s="4" t="str">
        <x:v>REQ-fcdd1d15e729</x:v>
      </x:c>
      <x:c r="B779" s="4" t="str">
        <x:v>运营账号</x:v>
      </x:c>
      <x:c r="C779" s="4" t="n">
        <x:v>3364</x:v>
      </x:c>
      <x:c r="D779" s="4" t="str">
        <x:v>发放记录：发放后余额 = 发放前余额 + 发放金币。</x:v>
      </x:c>
      <x:c r="E779" s="4" t="str">
        <x:v>尚未建立场景映射</x:v>
      </x:c>
      <x:c r="F779" s="4" t="str"/>
      <x:c r="G779" s="4" t="str">
        <x:v>本轮独立来源库保留该已知条款，但尚未建立可核验的正式场景映射；不是无业务依据，也不转为产品待确认。</x:v>
      </x:c>
    </x:row>
    <x:row r="780" ht="44" customHeight="1">
      <x:c r="A780" s="4" t="str">
        <x:v>REQ-4a613da41048</x:v>
      </x:c>
      <x:c r="B780" s="4" t="str">
        <x:v>运营账号</x:v>
      </x:c>
      <x:c r="C780" s="4" t="n">
        <x:v>3365</x:v>
      </x:c>
      <x:c r="D780" s="4" t="str">
        <x:v>送礼记录：消费金币 = 礼物单价 × 数量。</x:v>
      </x:c>
      <x:c r="E780" s="4" t="str">
        <x:v>尚未建立场景映射</x:v>
      </x:c>
      <x:c r="F780" s="4" t="str"/>
      <x:c r="G780" s="4" t="str">
        <x:v>本轮独立来源库保留该已知条款，但尚未建立可核验的正式场景映射；不是无业务依据，也不转为产品待确认。</x:v>
      </x:c>
    </x:row>
    <x:row r="781" ht="44" customHeight="1">
      <x:c r="A781" s="4" t="str">
        <x:v>REQ-fc7ac8864d63</x:v>
      </x:c>
      <x:c r="B781" s="4" t="str">
        <x:v>运营账号</x:v>
      </x:c>
      <x:c r="C781" s="4" t="n">
        <x:v>3366</x:v>
      </x:c>
      <x:c r="D781" s="4" t="str">
        <x:v>运营账号没有真实金币；虚拟金币只能由所属公会发放，不能充值或通过任务获得。</x:v>
      </x:c>
      <x:c r="E781" s="4" t="str">
        <x:v>尚未建立场景映射</x:v>
      </x:c>
      <x:c r="F781" s="4" t="str"/>
      <x:c r="G781" s="4" t="str">
        <x:v>本轮独立来源库保留该已知条款，但尚未建立可核验的正式场景映射；不是无业务依据，也不转为产品待确认。</x:v>
      </x:c>
    </x:row>
    <x:row r="782" ht="57" customHeight="1">
      <x:c r="A782" s="4" t="str">
        <x:v>REQ-5f505a1053be</x:v>
      </x:c>
      <x:c r="B782" s="4" t="str">
        <x:v>运营账号</x:v>
      </x:c>
      <x:c r="C782" s="4" t="n">
        <x:v>3367</x:v>
      </x:c>
      <x:c r="D782" s="4" t="str">
        <x:v>账号可免票、免密码进入直播间；虚拟金币仅可用于赠送普通礼物和定制礼物，不能赠送幸运礼物，不能购买装扮、门票或用于其他消费；运营账号不能加入粉丝团。</x:v>
      </x:c>
      <x:c r="E782" s="4" t="str">
        <x:v>尚未建立场景映射</x:v>
      </x:c>
      <x:c r="F782" s="4" t="str"/>
      <x:c r="G782" s="4" t="str">
        <x:v>本轮独立来源库保留该已知条款，但尚未建立可核验的正式场景映射；不是无业务依据，也不转为产品待确认。</x:v>
      </x:c>
    </x:row>
    <x:row r="783" ht="44" customHeight="1">
      <x:c r="A783" s="4" t="str">
        <x:v>REQ-3c38a2058ee6</x:v>
      </x:c>
      <x:c r="B783" s="4" t="str">
        <x:v>运营账号</x:v>
      </x:c>
      <x:c r="C783" s="4" t="n">
        <x:v>3368</x:v>
      </x:c>
      <x:c r="D783" s="4" t="str">
        <x:v>平台当前只查看、启停或锁定；页面“编辑资料、重置密码”属于公会权限，平台不得执行。</x:v>
      </x:c>
      <x:c r="E783" s="4" t="str">
        <x:v>整段分支核验未闭合</x:v>
      </x:c>
      <x:c r="F783" s="4" t="str">
        <x:v>ADMIN-0214、ADMIN-0215、ADMIN-0216、ADMIN-0217、ADMIN-0513、ADMIN-0514</x:v>
      </x:c>
      <x:c r="G783" s="4" t="str">
        <x:v>本段剩余子句、条件组合及状态后续影响仍需与独立规则逐项闭合；这是生成覆盖缺口，不是产品决策缺失。</x:v>
      </x:c>
    </x:row>
    <x:row r="784" ht="44" customHeight="1">
      <x:c r="A784" s="4" t="str">
        <x:v>REQ-0d54971d26fc</x:v>
      </x:c>
      <x:c r="B784" s="4" t="str">
        <x:v>运营账号</x:v>
      </x:c>
      <x:c r="C784" s="4" t="n">
        <x:v>3369</x:v>
      </x:c>
      <x:c r="D784" s="4" t="str">
        <x:v>切换 Tab -&gt; 加载记录；平台启停或锁定 -&gt; 确认后留痕。</x:v>
      </x:c>
      <x:c r="E784" s="4" t="str">
        <x:v>整段分支核验未闭合</x:v>
      </x:c>
      <x:c r="F784" s="4" t="str">
        <x:v>ADMIN-0214、ADMIN-0215、ADMIN-0216、ADMIN-0217</x:v>
      </x:c>
      <x:c r="G784" s="4" t="str">
        <x:v>本段剩余子句、条件组合及状态后续影响仍需与独立规则逐项闭合；这是生成覆盖缺口，不是产品决策缺失。</x:v>
      </x:c>
    </x:row>
    <x:row r="785" ht="44" customHeight="1">
      <x:c r="A785" s="4" t="str">
        <x:v>REQ-dafa95393229</x:v>
      </x:c>
      <x:c r="B785" s="4" t="str">
        <x:v>运营账号</x:v>
      </x:c>
      <x:c r="C785" s="4" t="n">
        <x:v>3374</x:v>
      </x:c>
      <x:c r="D785" s="4" t="str">
        <x:v>发放金币：本次公会发放的正整数虚拟金币。</x:v>
      </x:c>
      <x:c r="E785" s="4" t="str">
        <x:v>整段分支核验未闭合</x:v>
      </x:c>
      <x:c r="F785" s="4" t="str">
        <x:v>ADMIN-0193、ADMIN-0194</x:v>
      </x:c>
      <x:c r="G785" s="4" t="str">
        <x:v>本段剩余子句、条件组合及状态后续影响仍需与独立规则逐项闭合；这是生成覆盖缺口，不是产品决策缺失。</x:v>
      </x:c>
    </x:row>
    <x:row r="786" ht="44" customHeight="1">
      <x:c r="A786" s="4" t="str">
        <x:v>REQ-2d8cefe6c177</x:v>
      </x:c>
      <x:c r="B786" s="4" t="str">
        <x:v>运营账号</x:v>
      </x:c>
      <x:c r="C786" s="4" t="n">
        <x:v>3375</x:v>
      </x:c>
      <x:c r="D786" s="4" t="str">
        <x:v>发放后余额：发放前余额 + 发放金币。</x:v>
      </x:c>
      <x:c r="E786" s="4" t="str">
        <x:v>整段分支核验未闭合</x:v>
      </x:c>
      <x:c r="F786" s="4" t="str">
        <x:v>ADMIN-0193、ADMIN-0194</x:v>
      </x:c>
      <x:c r="G786" s="4" t="str">
        <x:v>本段剩余子句、条件组合及状态后续影响仍需与独立规则逐项闭合；这是生成覆盖缺口，不是产品决策缺失。</x:v>
      </x:c>
    </x:row>
    <x:row r="787" ht="44" customHeight="1">
      <x:c r="A787" s="4" t="str">
        <x:v>REQ-fd0506fa2db0</x:v>
      </x:c>
      <x:c r="B787" s="4" t="str">
        <x:v>运营账号</x:v>
      </x:c>
      <x:c r="C787" s="4" t="n">
        <x:v>3376</x:v>
      </x:c>
      <x:c r="D787" s="4" t="str">
        <x:v>操作人：实际执行发放的公会账号。</x:v>
      </x:c>
      <x:c r="E787" s="4" t="str">
        <x:v>整段分支核验未闭合</x:v>
      </x:c>
      <x:c r="F787" s="4" t="str">
        <x:v>ADMIN-0193、ADMIN-0194、ADMIN-0466</x:v>
      </x:c>
      <x:c r="G787" s="4" t="str">
        <x:v>本段剩余子句、条件组合及状态后续影响仍需与独立规则逐项闭合；这是生成覆盖缺口，不是产品决策缺失。</x:v>
      </x:c>
    </x:row>
    <x:row r="788" ht="44" customHeight="1">
      <x:c r="A788" s="4" t="str">
        <x:v>REQ-4d41dc24e348</x:v>
      </x:c>
      <x:c r="B788" s="4" t="str">
        <x:v>运营账号</x:v>
      </x:c>
      <x:c r="C788" s="4" t="n">
        <x:v>3377</x:v>
      </x:c>
      <x:c r="D788" s="4" t="str">
        <x:v>发放时间：发放成功时间，计入对应自然月额度。</x:v>
      </x:c>
      <x:c r="E788" s="4" t="str">
        <x:v>整段分支核验未闭合</x:v>
      </x:c>
      <x:c r="F788" s="4" t="str">
        <x:v>ADMIN-0467</x:v>
      </x:c>
      <x:c r="G788" s="4" t="str">
        <x:v>本段剩余子句、条件组合及状态后续影响仍需与独立规则逐项闭合；这是生成覆盖缺口，不是产品决策缺失。</x:v>
      </x:c>
    </x:row>
    <x:row r="789" ht="44" customHeight="1">
      <x:c r="A789" s="4" t="str">
        <x:v>REQ-49028fc1a3dc</x:v>
      </x:c>
      <x:c r="B789" s="4" t="str">
        <x:v>运营账号</x:v>
      </x:c>
      <x:c r="C789" s="4" t="n">
        <x:v>3378</x:v>
      </x:c>
      <x:c r="D789" s="4" t="str">
        <x:v>虚拟金币只能由所属公会发放，不能通过充值或任务获得；平台不执行发放。</x:v>
      </x:c>
      <x:c r="E789" s="4" t="str">
        <x:v>尚未建立场景映射</x:v>
      </x:c>
      <x:c r="F789" s="4" t="str"/>
      <x:c r="G789" s="4" t="str">
        <x:v>本轮独立来源库保留该已知条款，但尚未建立可核验的正式场景映射；不是无业务依据，也不转为产品待确认。</x:v>
      </x:c>
    </x:row>
    <x:row r="790" ht="44" customHeight="1">
      <x:c r="A790" s="4" t="str">
        <x:v>REQ-e80f2118f2ad</x:v>
      </x:c>
      <x:c r="B790" s="4" t="str">
        <x:v>运营账号</x:v>
      </x:c>
      <x:c r="C790" s="4" t="n">
        <x:v>3379</x:v>
      </x:c>
      <x:c r="D790" s="4" t="str">
        <x:v>运营账号没有真实金币，虚拟金币与真实金币隔离且不可转换。</x:v>
      </x:c>
      <x:c r="E790" s="4" t="str">
        <x:v>尚未建立场景映射</x:v>
      </x:c>
      <x:c r="F790" s="4" t="str"/>
      <x:c r="G790" s="4" t="str">
        <x:v>本轮独立来源库保留该已知条款，但尚未建立可核验的正式场景映射；不是无业务依据，也不转为产品待确认。</x:v>
      </x:c>
    </x:row>
    <x:row r="791" ht="44" customHeight="1">
      <x:c r="A791" s="4" t="str">
        <x:v>REQ-532bdb3ad7fe</x:v>
      </x:c>
      <x:c r="B791" s="4" t="str">
        <x:v>运营账号</x:v>
      </x:c>
      <x:c r="C791" s="4" t="n">
        <x:v>3380</x:v>
      </x:c>
      <x:c r="D791" s="4" t="str">
        <x:v>查询 -&gt; 公会、账号和时间取交集。</x:v>
      </x:c>
      <x:c r="E791" s="4" t="str">
        <x:v>整段分支核验未闭合</x:v>
      </x:c>
      <x:c r="F791" s="4" t="str">
        <x:v>ADMIN-0551、ADMIN-0552、ADMIN-0553</x:v>
      </x:c>
      <x:c r="G791" s="4" t="str">
        <x:v>本段剩余子句、条件组合及状态后续影响仍需与独立规则逐项闭合；这是生成覆盖缺口，不是产品决策缺失。</x:v>
      </x:c>
    </x:row>
    <x:row r="792" ht="44" customHeight="1">
      <x:c r="A792" s="4" t="str">
        <x:v>REQ-f9a5f9da2625</x:v>
      </x:c>
      <x:c r="B792" s="4" t="str">
        <x:v>运营账号</x:v>
      </x:c>
      <x:c r="C792" s="4" t="n">
        <x:v>3385</x:v>
      </x:c>
      <x:c r="D792" s="4" t="str">
        <x:v>礼物 / 主播：赠送时普通或定制礼物及接收主播快照。</x:v>
      </x:c>
      <x:c r="E792" s="4" t="str">
        <x:v>尚未建立场景映射</x:v>
      </x:c>
      <x:c r="F792" s="4" t="str"/>
      <x:c r="G792" s="4" t="str">
        <x:v>本轮独立来源库保留该已知条款，但尚未建立可核验的正式场景映射；不是无业务依据，也不转为产品待确认。</x:v>
      </x:c>
    </x:row>
    <x:row r="793" ht="44" customHeight="1">
      <x:c r="A793" s="4" t="str">
        <x:v>REQ-4377db69a883</x:v>
      </x:c>
      <x:c r="B793" s="4" t="str">
        <x:v>运营账号</x:v>
      </x:c>
      <x:c r="C793" s="4" t="n">
        <x:v>3386</x:v>
      </x:c>
      <x:c r="D793" s="4" t="str">
        <x:v>消费金币：礼物单价 × 赠送数量，从虚拟金币账户扣减。</x:v>
      </x:c>
      <x:c r="E793" s="4" t="str">
        <x:v>整段分支核验未闭合</x:v>
      </x:c>
      <x:c r="F793" s="4" t="str">
        <x:v>ADMIN-0608</x:v>
      </x:c>
      <x:c r="G793" s="4" t="str">
        <x:v>本段剩余子句、条件组合及状态后续影响仍需与独立规则逐项闭合；这是生成覆盖缺口，不是产品决策缺失。</x:v>
      </x:c>
    </x:row>
    <x:row r="794" ht="44" customHeight="1">
      <x:c r="A794" s="4" t="str">
        <x:v>REQ-5110e5c8c3c2</x:v>
      </x:c>
      <x:c r="B794" s="4" t="str">
        <x:v>运营账号</x:v>
      </x:c>
      <x:c r="C794" s="4" t="n">
        <x:v>3387</x:v>
      </x:c>
      <x:c r="D794" s="4" t="str">
        <x:v>赠送时间：成功扣减和送礼完成时间。</x:v>
      </x:c>
      <x:c r="E794" s="4" t="str">
        <x:v>整段分支核验未闭合</x:v>
      </x:c>
      <x:c r="F794" s="4" t="str">
        <x:v>ADMIN-0468</x:v>
      </x:c>
      <x:c r="G794" s="4" t="str">
        <x:v>本段剩余子句、条件组合及状态后续影响仍需与独立规则逐项闭合；这是生成覆盖缺口，不是产品决策缺失。</x:v>
      </x:c>
    </x:row>
    <x:row r="795" ht="44" customHeight="1">
      <x:c r="A795" s="4" t="str">
        <x:v>REQ-4db94c851285</x:v>
      </x:c>
      <x:c r="B795" s="4" t="str">
        <x:v>运营账号</x:v>
      </x:c>
      <x:c r="C795" s="4" t="n">
        <x:v>3388</x:v>
      </x:c>
      <x:c r="D795" s="4" t="str">
        <x:v>虚拟金币仅可用于赠送普通礼物和定制礼物，不能赠送幸运礼物，不能购买装扮、门票或用于其他消费。</x:v>
      </x:c>
      <x:c r="E795" s="4" t="str">
        <x:v>尚未建立场景映射</x:v>
      </x:c>
      <x:c r="F795" s="4" t="str"/>
      <x:c r="G795" s="4" t="str">
        <x:v>本轮独立来源库保留该已知条款，但尚未建立可核验的正式场景映射；不是无业务依据，也不转为产品待确认。</x:v>
      </x:c>
    </x:row>
    <x:row r="796" ht="44" customHeight="1">
      <x:c r="A796" s="4" t="str">
        <x:v>REQ-75dc29970c80</x:v>
      </x:c>
      <x:c r="B796" s="4" t="str">
        <x:v>运营账号</x:v>
      </x:c>
      <x:c r="C796" s="4" t="n">
        <x:v>3389</x:v>
      </x:c>
      <x:c r="D796" s="4" t="str">
        <x:v>虚拟送礼可计入公屏氛围和榜单展示，不计入真实消费、主播收益或分成；幸运礼物不能使用虚拟金币赠送。</x:v>
      </x:c>
      <x:c r="E796" s="4" t="str">
        <x:v>尚未建立场景映射</x:v>
      </x:c>
      <x:c r="F796" s="4" t="str"/>
      <x:c r="G796" s="4" t="str">
        <x:v>本轮独立来源库保留该已知条款，但尚未建立可核验的正式场景映射；不是无业务依据，也不转为产品待确认。</x:v>
      </x:c>
    </x:row>
    <x:row r="797" ht="44" customHeight="1">
      <x:c r="A797" s="4" t="str">
        <x:v>REQ-94a2c5066a44</x:v>
      </x:c>
      <x:c r="B797" s="4" t="str">
        <x:v>运营账号</x:v>
      </x:c>
      <x:c r="C797" s="4" t="n">
        <x:v>3390</x:v>
      </x:c>
      <x:c r="D797" s="4" t="str">
        <x:v>查询 -&gt; 公会、账号和时间取交集；详情 -&gt; 查看完整快照。</x:v>
      </x:c>
      <x:c r="E797" s="4" t="str">
        <x:v>整段分支核验未闭合</x:v>
      </x:c>
      <x:c r="F797" s="4" t="str">
        <x:v>ADMIN-0554、ADMIN-0555、ADMIN-0556</x:v>
      </x:c>
      <x:c r="G797" s="4" t="str">
        <x:v>本段剩余子句、条件组合及状态后续影响仍需与独立规则逐项闭合；这是生成覆盖缺口，不是产品决策缺失。</x:v>
      </x:c>
    </x:row>
    <x:row r="798" ht="44" customHeight="1">
      <x:c r="A798" s="4" t="str">
        <x:v>REQ-798b76fd95eb</x:v>
      </x:c>
      <x:c r="B798" s="4" t="str">
        <x:v>运营账号</x:v>
      </x:c>
      <x:c r="C798" s="4" t="n">
        <x:v>3395</x:v>
      </x:c>
      <x:c r="D798" s="4" t="str">
        <x:v>单账号月度额度：单个运营账号自然月累计可获虚拟金币上限。</x:v>
      </x:c>
      <x:c r="E798" s="4" t="str">
        <x:v>尚未建立场景映射</x:v>
      </x:c>
      <x:c r="F798" s="4" t="str"/>
      <x:c r="G798" s="4" t="str">
        <x:v>本轮独立来源库保留该已知条款，但尚未建立可核验的正式场景映射；不是无业务依据，也不转为产品待确认。</x:v>
      </x:c>
    </x:row>
    <x:row r="799" ht="44" customHeight="1">
      <x:c r="A799" s="4" t="str">
        <x:v>REQ-447dfc0a3f6d</x:v>
      </x:c>
      <x:c r="B799" s="4" t="str">
        <x:v>运营账号</x:v>
      </x:c>
      <x:c r="C799" s="4" t="n">
        <x:v>3396</x:v>
      </x:c>
      <x:c r="D799" s="4" t="str">
        <x:v>公会月度额度：公会全部运营账号自然月累计发放上限。</x:v>
      </x:c>
      <x:c r="E799" s="4" t="str">
        <x:v>尚未建立场景映射</x:v>
      </x:c>
      <x:c r="F799" s="4" t="str"/>
      <x:c r="G799" s="4" t="str">
        <x:v>本轮独立来源库保留该已知条款，但尚未建立可核验的正式场景映射；不是无业务依据，也不转为产品待确认。</x:v>
      </x:c>
    </x:row>
    <x:row r="800" ht="44" customHeight="1">
      <x:c r="A800" s="4" t="str">
        <x:v>REQ-36053d84572c</x:v>
      </x:c>
      <x:c r="B800" s="4" t="str">
        <x:v>运营账号</x:v>
      </x:c>
      <x:c r="C800" s="4" t="n">
        <x:v>3397</x:v>
      </x:c>
      <x:c r="D800" s="4" t="str">
        <x:v>本月累计已发放：Σ 本月该公会成功发放金币。</x:v>
      </x:c>
      <x:c r="E800" s="4" t="str">
        <x:v>整段分支核验未闭合</x:v>
      </x:c>
      <x:c r="F800" s="4" t="str">
        <x:v>ADMIN-0218、ADMIN-0219、ADMIN-0220</x:v>
      </x:c>
      <x:c r="G800" s="4" t="str">
        <x:v>本段剩余子句、条件组合及状态后续影响仍需与独立规则逐项闭合；这是生成覆盖缺口，不是产品决策缺失。</x:v>
      </x:c>
    </x:row>
    <x:row r="801" ht="44" customHeight="1">
      <x:c r="A801" s="4" t="str">
        <x:v>REQ-427b8bb7cc2a</x:v>
      </x:c>
      <x:c r="B801" s="4" t="str">
        <x:v>运营账号</x:v>
      </x:c>
      <x:c r="C801" s="4" t="n">
        <x:v>3398</x:v>
      </x:c>
      <x:c r="D801" s="4" t="str">
        <x:v>账户余额累计：Σ 该公会全部运营账号当前虚拟金币余额。</x:v>
      </x:c>
      <x:c r="E801" s="4" t="str">
        <x:v>尚未建立场景映射</x:v>
      </x:c>
      <x:c r="F801" s="4" t="str"/>
      <x:c r="G801" s="4" t="str">
        <x:v>本轮独立来源库保留该已知条款，但尚未建立可核验的正式场景映射；不是无业务依据，也不转为产品待确认。</x:v>
      </x:c>
    </x:row>
    <x:row r="802" ht="44" customHeight="1">
      <x:c r="A802" s="4" t="str">
        <x:v>REQ-20c0aeada4ca</x:v>
      </x:c>
      <x:c r="B802" s="4" t="str">
        <x:v>运营账号</x:v>
      </x:c>
      <x:c r="C802" s="4" t="n">
        <x:v>3399</x:v>
      </x:c>
      <x:c r="D802" s="4" t="str">
        <x:v>本月累计消费：Σ 本月虚拟金币成功送礼消费。</x:v>
      </x:c>
      <x:c r="E802" s="4" t="str">
        <x:v>尚未建立场景映射</x:v>
      </x:c>
      <x:c r="F802" s="4" t="str"/>
      <x:c r="G802" s="4" t="str">
        <x:v>本轮独立来源库保留该已知条款，但尚未建立可核验的正式场景映射；不是无业务依据，也不转为产品待确认。</x:v>
      </x:c>
    </x:row>
    <x:row r="803" ht="44" customHeight="1">
      <x:c r="A803" s="4" t="str">
        <x:v>REQ-a5aeac0c3e04</x:v>
      </x:c>
      <x:c r="B803" s="4" t="str">
        <x:v>运营账号</x:v>
      </x:c>
      <x:c r="C803" s="4" t="n">
        <x:v>3400</x:v>
      </x:c>
      <x:c r="D803" s="4" t="str">
        <x:v>本月剩余额度：max（公会月度额度 - 本月累计已发放，0）。</x:v>
      </x:c>
      <x:c r="E803" s="4" t="str">
        <x:v>整段分支核验未闭合</x:v>
      </x:c>
      <x:c r="F803" s="4" t="str">
        <x:v>ADMIN-0218、ADMIN-0219、ADMIN-0220、ADMIN-0225</x:v>
      </x:c>
      <x:c r="G803" s="4" t="str">
        <x:v>本段剩余子句、条件组合及状态后续影响仍需与独立规则逐项闭合；这是生成覆盖缺口，不是产品决策缺失。</x:v>
      </x:c>
    </x:row>
    <x:row r="804" ht="44" customHeight="1">
      <x:c r="A804" s="4" t="str">
        <x:v>REQ-f80418cbbf94</x:v>
      </x:c>
      <x:c r="B804" s="4" t="str">
        <x:v>运营账号</x:v>
      </x:c>
      <x:c r="C804" s="4" t="n">
        <x:v>3401</x:v>
      </x:c>
      <x:c r="D804" s="4" t="str">
        <x:v>额度只控制所属公会向运营账号发放的虚拟金币；运营账号不能通过充值或任务获得金币。</x:v>
      </x:c>
      <x:c r="E804" s="4" t="str">
        <x:v>尚未建立场景映射</x:v>
      </x:c>
      <x:c r="F804" s="4" t="str"/>
      <x:c r="G804" s="4" t="str">
        <x:v>本轮独立来源库保留该已知条款，但尚未建立可核验的正式场景映射；不是无业务依据，也不转为产品待确认。</x:v>
      </x:c>
    </x:row>
    <x:row r="805" ht="57" customHeight="1">
      <x:c r="A805" s="4" t="str">
        <x:v>REQ-c0c7aca5f686</x:v>
      </x:c>
      <x:c r="B805" s="4" t="str">
        <x:v>运营账号</x:v>
      </x:c>
      <x:c r="C805" s="4" t="n">
        <x:v>3402</x:v>
      </x:c>
      <x:c r="D805" s="4" t="str">
        <x:v>公会总上限不得低于本月已发放；单账号上限不得低于本月单账号最高已发放，且不得高于公会总上限。</x:v>
      </x:c>
      <x:c r="E805" s="4" t="str">
        <x:v>整段分支核验未闭合</x:v>
      </x:c>
      <x:c r="F805" s="4" t="str">
        <x:v>ADMIN-0218、ADMIN-0219、ADMIN-0220、ADMIN-0221、ADMIN-0222、ADMIN-0223、ADMIN-0224</x:v>
      </x:c>
      <x:c r="G805" s="4" t="str">
        <x:v>本段剩余子句、条件组合及状态后续影响仍需与独立规则逐项闭合；这是生成覆盖缺口，不是产品决策缺失。</x:v>
      </x:c>
    </x:row>
    <x:row r="806" ht="44" customHeight="1">
      <x:c r="A806" s="4" t="str">
        <x:v>REQ-a3aa02a63b14</x:v>
      </x:c>
      <x:c r="B806" s="4" t="str">
        <x:v>运营账号</x:v>
      </x:c>
      <x:c r="C806" s="4" t="n">
        <x:v>3403</x:v>
      </x:c>
      <x:c r="D806" s="4" t="str">
        <x:v>配置额度 -&gt; 校验边界 -&gt; 保存后限制公会后续发放。</x:v>
      </x:c>
      <x:c r="E806" s="4" t="str">
        <x:v>尚未建立场景映射</x:v>
      </x:c>
      <x:c r="F806" s="4" t="str"/>
      <x:c r="G806" s="4" t="str">
        <x:v>本轮独立来源库保留该已知条款，但尚未建立可核验的正式场景映射；不是无业务依据，也不转为产品待确认。</x:v>
      </x:c>
    </x:row>
    <x:row r="807" ht="44" customHeight="1">
      <x:c r="A807" s="4" t="str">
        <x:v>REQ-89676cf95254</x:v>
      </x:c>
      <x:c r="B807" s="4" t="str">
        <x:v>系统管理</x:v>
      </x:c>
      <x:c r="C807" s="4" t="n">
        <x:v>3408</x:v>
      </x:c>
      <x:c r="D807" s="4" t="str">
        <x:v>账号 ID：系统生成，全局唯一。</x:v>
      </x:c>
      <x:c r="E807" s="4" t="str">
        <x:v>整段分支核验未闭合</x:v>
      </x:c>
      <x:c r="F807" s="4" t="str">
        <x:v>ADMIN-0469</x:v>
      </x:c>
      <x:c r="G807" s="4" t="str">
        <x:v>本段剩余子句、条件组合及状态后续影响仍需与独立规则逐项闭合；这是生成覆盖缺口，不是产品决策缺失。</x:v>
      </x:c>
    </x:row>
    <x:row r="808" ht="44" customHeight="1">
      <x:c r="A808" s="4" t="str">
        <x:v>REQ-d936eada9733</x:v>
      </x:c>
      <x:c r="B808" s="4" t="str">
        <x:v>系统管理</x:v>
      </x:c>
      <x:c r="C808" s="4" t="n">
        <x:v>3409</x:v>
      </x:c>
      <x:c r="D808" s="4" t="str">
        <x:v>后台账号：登录名全局唯一。</x:v>
      </x:c>
      <x:c r="E808" s="4" t="str">
        <x:v>整段分支核验未闭合</x:v>
      </x:c>
      <x:c r="F808" s="4" t="str">
        <x:v>ADMIN-0470</x:v>
      </x:c>
      <x:c r="G808" s="4" t="str">
        <x:v>本段剩余子句、条件组合及状态后续影响仍需与独立规则逐项闭合；这是生成覆盖缺口，不是产品决策缺失。</x:v>
      </x:c>
    </x:row>
    <x:row r="809" ht="44" customHeight="1">
      <x:c r="A809" s="4" t="str">
        <x:v>REQ-5a7a4e85264d</x:v>
      </x:c>
      <x:c r="B809" s="4" t="str">
        <x:v>系统管理</x:v>
      </x:c>
      <x:c r="C809" s="4" t="n">
        <x:v>3410</x:v>
      </x:c>
      <x:c r="D809" s="4" t="str">
        <x:v>姓名 / 角色：姓名必填；角色决定菜单权限。</x:v>
      </x:c>
      <x:c r="E809" s="4" t="str">
        <x:v>尚未建立场景映射</x:v>
      </x:c>
      <x:c r="F809" s="4" t="str"/>
      <x:c r="G809" s="4" t="str">
        <x:v>本轮独立来源库保留该已知条款，但尚未建立可核验的正式场景映射；不是无业务依据，也不转为产品待确认。</x:v>
      </x:c>
    </x:row>
    <x:row r="810" ht="44" customHeight="1">
      <x:c r="A810" s="4" t="str">
        <x:v>REQ-5029922bf8b4</x:v>
      </x:c>
      <x:c r="B810" s="4" t="str">
        <x:v>系统管理</x:v>
      </x:c>
      <x:c r="C810" s="4" t="n">
        <x:v>3411</x:v>
      </x:c>
      <x:c r="D810" s="4" t="str">
        <x:v>状态：启用、停用；停用立即禁止登录。</x:v>
      </x:c>
      <x:c r="E810" s="4" t="str">
        <x:v>尚未建立场景映射</x:v>
      </x:c>
      <x:c r="F810" s="4" t="str"/>
      <x:c r="G810" s="4" t="str">
        <x:v>本轮独立来源库保留该已知条款，但尚未建立可核验的正式场景映射；不是无业务依据，也不转为产品待确认。</x:v>
      </x:c>
    </x:row>
    <x:row r="811" ht="44" customHeight="1">
      <x:c r="A811" s="4" t="str">
        <x:v>REQ-2bb34a782f2b</x:v>
      </x:c>
      <x:c r="B811" s="4" t="str">
        <x:v>系统管理</x:v>
      </x:c>
      <x:c r="C811" s="4" t="n">
        <x:v>3412</x:v>
      </x:c>
      <x:c r="D811" s="4" t="str">
        <x:v>登录 / 更新时间：最近成功登录时间 / 最近资料或状态变更时间。</x:v>
      </x:c>
      <x:c r="E811" s="4" t="str">
        <x:v>整段分支核验未闭合</x:v>
      </x:c>
      <x:c r="F811" s="4" t="str">
        <x:v>ADMIN-0471</x:v>
      </x:c>
      <x:c r="G811" s="4" t="str">
        <x:v>本段剩余子句、条件组合及状态后续影响仍需与独立规则逐项闭合；这是生成覆盖缺口，不是产品决策缺失。</x:v>
      </x:c>
    </x:row>
    <x:row r="812" ht="44" customHeight="1">
      <x:c r="A812" s="4" t="str">
        <x:v>REQ-0489ca1388d8</x:v>
      </x:c>
      <x:c r="B812" s="4" t="str">
        <x:v>系统管理</x:v>
      </x:c>
      <x:c r="C812" s="4" t="n">
        <x:v>3413</x:v>
      </x:c>
      <x:c r="D812" s="4" t="str">
        <x:v>系统内置超级管理员账号不可停用。</x:v>
      </x:c>
      <x:c r="E812" s="4" t="str">
        <x:v>整段分支核验未闭合</x:v>
      </x:c>
      <x:c r="F812" s="4" t="str">
        <x:v>ADMIN-0506</x:v>
      </x:c>
      <x:c r="G812" s="4" t="str">
        <x:v>本段剩余子句、条件组合及状态后续影响仍需与独立规则逐项闭合；这是生成覆盖缺口，不是产品决策缺失。</x:v>
      </x:c>
    </x:row>
    <x:row r="813" ht="44" customHeight="1">
      <x:c r="A813" s="4" t="str">
        <x:v>REQ-c0bc774f5482</x:v>
      </x:c>
      <x:c r="B813" s="4" t="str">
        <x:v>系统管理</x:v>
      </x:c>
      <x:c r="C813" s="4" t="n">
        <x:v>3414</x:v>
      </x:c>
      <x:c r="D813" s="4" t="str">
        <x:v>启停 -&gt; 填写原因并确认 -&gt; 立即生效并留痕；编辑 -&gt; 账号详情。</x:v>
      </x:c>
      <x:c r="E813" s="4" t="str">
        <x:v>尚未建立场景映射</x:v>
      </x:c>
      <x:c r="F813" s="4" t="str"/>
      <x:c r="G813" s="4" t="str">
        <x:v>本轮独立来源库保留该已知条款，但尚未建立可核验的正式场景映射；不是无业务依据，也不转为产品待确认。</x:v>
      </x:c>
    </x:row>
    <x:row r="814" ht="44" customHeight="1">
      <x:c r="A814" s="4" t="str">
        <x:v>REQ-c7d5462fc6fd</x:v>
      </x:c>
      <x:c r="B814" s="4" t="str">
        <x:v>系统管理</x:v>
      </x:c>
      <x:c r="C814" s="4" t="n">
        <x:v>3419</x:v>
      </x:c>
      <x:c r="D814" s="4" t="str">
        <x:v>账号 ID：新建系统生成，编辑只读。</x:v>
      </x:c>
      <x:c r="E814" s="4" t="str">
        <x:v>整段分支核验未闭合</x:v>
      </x:c>
      <x:c r="F814" s="4" t="str">
        <x:v>ADMIN-0094</x:v>
      </x:c>
      <x:c r="G814" s="4" t="str">
        <x:v>本段剩余子句、条件组合及状态后续影响仍需与独立规则逐项闭合；这是生成覆盖缺口，不是产品决策缺失。</x:v>
      </x:c>
    </x:row>
    <x:row r="815" ht="44" customHeight="1">
      <x:c r="A815" s="4" t="str">
        <x:v>REQ-c8e16ffe4a6c</x:v>
      </x:c>
      <x:c r="B815" s="4" t="str">
        <x:v>系统管理</x:v>
      </x:c>
      <x:c r="C815" s="4" t="n">
        <x:v>3420</x:v>
      </x:c>
      <x:c r="D815" s="4" t="str">
        <x:v>后台账号 / 姓名：均必填；登录账号全局唯一。</x:v>
      </x:c>
      <x:c r="E815" s="4" t="str">
        <x:v>整段分支核验未闭合</x:v>
      </x:c>
      <x:c r="F815" s="4" t="str">
        <x:v>ADMIN-0089、ADMIN-0090、ADMIN-0093</x:v>
      </x:c>
      <x:c r="G815" s="4" t="str">
        <x:v>本段剩余子句、条件组合及状态后续影响仍需与独立规则逐项闭合；这是生成覆盖缺口，不是产品决策缺失。</x:v>
      </x:c>
    </x:row>
    <x:row r="816" ht="44" customHeight="1">
      <x:c r="A816" s="4" t="str">
        <x:v>REQ-21f77a663ab3</x:v>
      </x:c>
      <x:c r="B816" s="4" t="str">
        <x:v>系统管理</x:v>
      </x:c>
      <x:c r="C816" s="4" t="n">
        <x:v>3421</x:v>
      </x:c>
      <x:c r="D816" s="4" t="str">
        <x:v>所属角色：必选启用角色，权限继承角色配置。</x:v>
      </x:c>
      <x:c r="E816" s="4" t="str">
        <x:v>整段分支核验未闭合</x:v>
      </x:c>
      <x:c r="F816" s="4" t="str">
        <x:v>ADMIN-0091、ADMIN-0244</x:v>
      </x:c>
      <x:c r="G816" s="4" t="str">
        <x:v>本段剩余子句、条件组合及状态后续影响仍需与独立规则逐项闭合；这是生成覆盖缺口，不是产品决策缺失。</x:v>
      </x:c>
    </x:row>
    <x:row r="817" ht="44" customHeight="1">
      <x:c r="A817" s="4" t="str">
        <x:v>REQ-658daf0672d1</x:v>
      </x:c>
      <x:c r="B817" s="4" t="str">
        <x:v>系统管理</x:v>
      </x:c>
      <x:c r="C817" s="4" t="n">
        <x:v>3422</x:v>
      </x:c>
      <x:c r="D817" s="4" t="str">
        <x:v>初始密码：新建必填，符合密码策略。</x:v>
      </x:c>
      <x:c r="E817" s="4" t="str">
        <x:v>整段分支核验未闭合</x:v>
      </x:c>
      <x:c r="F817" s="4" t="str">
        <x:v>ADMIN-0092</x:v>
      </x:c>
      <x:c r="G817" s="4" t="str">
        <x:v>本段剩余子句、条件组合及状态后续影响仍需与独立规则逐项闭合；这是生成覆盖缺口，不是产品决策缺失。</x:v>
      </x:c>
    </x:row>
    <x:row r="818" ht="44" customHeight="1">
      <x:c r="A818" s="4" t="str">
        <x:v>REQ-406737b6f152</x:v>
      </x:c>
      <x:c r="B818" s="4" t="str">
        <x:v>系统管理</x:v>
      </x:c>
      <x:c r="C818" s="4" t="n">
        <x:v>3423</x:v>
      </x:c>
      <x:c r="D818" s="4" t="str">
        <x:v>新密码 / 确认：两次一致并符合策略，保存后立即生效。</x:v>
      </x:c>
      <x:c r="E818" s="4" t="str">
        <x:v>整段分支核验未闭合</x:v>
      </x:c>
      <x:c r="F818" s="4" t="str">
        <x:v>ADMIN-0245</x:v>
      </x:c>
      <x:c r="G818" s="4" t="str">
        <x:v>本段剩余子句、条件组合及状态后续影响仍需与独立规则逐项闭合；这是生成覆盖缺口，不是产品决策缺失。</x:v>
      </x:c>
    </x:row>
    <x:row r="819" ht="44" customHeight="1">
      <x:c r="A819" s="4" t="str">
        <x:v>REQ-3212848e2d11</x:v>
      </x:c>
      <x:c r="B819" s="4" t="str">
        <x:v>系统管理</x:v>
      </x:c>
      <x:c r="C819" s="4" t="n">
        <x:v>3424</x:v>
      </x:c>
      <x:c r="D819" s="4" t="str">
        <x:v>状态：启用、停用。</x:v>
      </x:c>
      <x:c r="E819" s="4" t="str">
        <x:v>尚未建立场景映射</x:v>
      </x:c>
      <x:c r="F819" s="4" t="str"/>
      <x:c r="G819" s="4" t="str">
        <x:v>本轮独立来源库保留该已知条款，但尚未建立可核验的正式场景映射；不是无业务依据，也不转为产品待确认。</x:v>
      </x:c>
    </x:row>
    <x:row r="820" ht="44" customHeight="1">
      <x:c r="A820" s="4" t="str">
        <x:v>REQ-d5642c05d5a0</x:v>
      </x:c>
      <x:c r="B820" s="4" t="str">
        <x:v>系统管理</x:v>
      </x:c>
      <x:c r="C820" s="4" t="n">
        <x:v>3425</x:v>
      </x:c>
      <x:c r="D820" s="4" t="str">
        <x:v>超级管理员内置账号的账号、角色和状态不可修改。</x:v>
      </x:c>
      <x:c r="E820" s="4" t="str">
        <x:v>整段分支核验未闭合</x:v>
      </x:c>
      <x:c r="F820" s="4" t="str">
        <x:v>ADMIN-0509</x:v>
      </x:c>
      <x:c r="G820" s="4" t="str">
        <x:v>本段剩余子句、条件组合及状态后续影响仍需与独立规则逐项闭合；这是生成覆盖缺口，不是产品决策缺失。</x:v>
      </x:c>
    </x:row>
    <x:row r="821" ht="44" customHeight="1">
      <x:c r="A821" s="4" t="str">
        <x:v>REQ-3b8181cbebd8</x:v>
      </x:c>
      <x:c r="B821" s="4" t="str">
        <x:v>系统管理</x:v>
      </x:c>
      <x:c r="C821" s="4" t="n">
        <x:v>3426</x:v>
      </x:c>
      <x:c r="D821" s="4" t="str">
        <x:v>保存 -&gt; 校验唯一性和角色 -&gt; 更新；重置密码 -&gt; 校验两次输入 -&gt; 替换旧密码。</x:v>
      </x:c>
      <x:c r="E821" s="4" t="str">
        <x:v>尚未建立场景映射</x:v>
      </x:c>
      <x:c r="F821" s="4" t="str"/>
      <x:c r="G821" s="4" t="str">
        <x:v>本轮独立来源库保留该已知条款，但尚未建立可核验的正式场景映射；不是无业务依据，也不转为产品待确认。</x:v>
      </x:c>
    </x:row>
    <x:row r="822" ht="44" customHeight="1">
      <x:c r="A822" s="4" t="str">
        <x:v>REQ-b6e2cc2a69a9</x:v>
      </x:c>
      <x:c r="B822" s="4" t="str">
        <x:v>系统管理</x:v>
      </x:c>
      <x:c r="C822" s="4" t="n">
        <x:v>3431</x:v>
      </x:c>
      <x:c r="D822" s="4" t="str">
        <x:v>角色 ID：系统生成，全局唯一。</x:v>
      </x:c>
      <x:c r="E822" s="4" t="str">
        <x:v>整段分支核验未闭合</x:v>
      </x:c>
      <x:c r="F822" s="4" t="str">
        <x:v>ADMIN-0472</x:v>
      </x:c>
      <x:c r="G822" s="4" t="str">
        <x:v>本段剩余子句、条件组合及状态后续影响仍需与独立规则逐项闭合；这是生成覆盖缺口，不是产品决策缺失。</x:v>
      </x:c>
    </x:row>
    <x:row r="823" ht="44" customHeight="1">
      <x:c r="A823" s="4" t="str">
        <x:v>REQ-355e3a4b857b</x:v>
      </x:c>
      <x:c r="B823" s="4" t="str">
        <x:v>系统管理</x:v>
      </x:c>
      <x:c r="C823" s="4" t="n">
        <x:v>3432</x:v>
      </x:c>
      <x:c r="D823" s="4" t="str">
        <x:v>角色名称：全局不可重复。</x:v>
      </x:c>
      <x:c r="E823" s="4" t="str">
        <x:v>尚未建立场景映射</x:v>
      </x:c>
      <x:c r="F823" s="4" t="str"/>
      <x:c r="G823" s="4" t="str">
        <x:v>本轮独立来源库保留该已知条款，但尚未建立可核验的正式场景映射；不是无业务依据，也不转为产品待确认。</x:v>
      </x:c>
    </x:row>
    <x:row r="824" ht="44" customHeight="1">
      <x:c r="A824" s="4" t="str">
        <x:v>REQ-1b94af94d19b</x:v>
      </x:c>
      <x:c r="B824" s="4" t="str">
        <x:v>系统管理</x:v>
      </x:c>
      <x:c r="C824" s="4" t="n">
        <x:v>3433</x:v>
      </x:c>
      <x:c r="D824" s="4" t="str">
        <x:v>关联账号：当前绑定该角色的后台账号数。</x:v>
      </x:c>
      <x:c r="E824" s="4" t="str">
        <x:v>整段分支核验未闭合</x:v>
      </x:c>
      <x:c r="F824" s="4" t="str">
        <x:v>ADMIN-0620</x:v>
      </x:c>
      <x:c r="G824" s="4" t="str">
        <x:v>本段剩余子句、条件组合及状态后续影响仍需与独立规则逐项闭合；这是生成覆盖缺口，不是产品决策缺失。</x:v>
      </x:c>
    </x:row>
    <x:row r="825" ht="44" customHeight="1">
      <x:c r="A825" s="4" t="str">
        <x:v>REQ-a82aab423a93</x:v>
      </x:c>
      <x:c r="B825" s="4" t="str">
        <x:v>系统管理</x:v>
      </x:c>
      <x:c r="C825" s="4" t="n">
        <x:v>3434</x:v>
      </x:c>
      <x:c r="D825" s="4" t="str">
        <x:v>状态：启用、停用；停用后关联账号立即失去该角色权限。</x:v>
      </x:c>
      <x:c r="E825" s="4" t="str">
        <x:v>尚未建立场景映射</x:v>
      </x:c>
      <x:c r="F825" s="4" t="str"/>
      <x:c r="G825" s="4" t="str">
        <x:v>本轮独立来源库保留该已知条款，但尚未建立可核验的正式场景映射；不是无业务依据，也不转为产品待确认。</x:v>
      </x:c>
    </x:row>
    <x:row r="826" ht="44" customHeight="1">
      <x:c r="A826" s="4" t="str">
        <x:v>REQ-82185d1ad588</x:v>
      </x:c>
      <x:c r="B826" s="4" t="str">
        <x:v>系统管理</x:v>
      </x:c>
      <x:c r="C826" s="4" t="n">
        <x:v>3435</x:v>
      </x:c>
      <x:c r="D826" s="4" t="str">
        <x:v>内置超级管理员角色拥有全部权限，不可修改或停用。</x:v>
      </x:c>
      <x:c r="E826" s="4" t="str">
        <x:v>整段分支核验未闭合</x:v>
      </x:c>
      <x:c r="F826" s="4" t="str">
        <x:v>ADMIN-0507</x:v>
      </x:c>
      <x:c r="G826" s="4" t="str">
        <x:v>本段剩余子句、条件组合及状态后续影响仍需与独立规则逐项闭合；这是生成覆盖缺口，不是产品决策缺失。</x:v>
      </x:c>
    </x:row>
    <x:row r="827" ht="44" customHeight="1">
      <x:c r="A827" s="4" t="str">
        <x:v>REQ-5cada932b586</x:v>
      </x:c>
      <x:c r="B827" s="4" t="str">
        <x:v>系统管理</x:v>
      </x:c>
      <x:c r="C827" s="4" t="n">
        <x:v>3436</x:v>
      </x:c>
      <x:c r="D827" s="4" t="str">
        <x:v>启停 -&gt; 确认影响账号后执行；编辑 -&gt; 角色详情。</x:v>
      </x:c>
      <x:c r="E827" s="4" t="str">
        <x:v>尚未建立场景映射</x:v>
      </x:c>
      <x:c r="F827" s="4" t="str"/>
      <x:c r="G827" s="4" t="str">
        <x:v>本轮独立来源库保留该已知条款，但尚未建立可核验的正式场景映射；不是无业务依据，也不转为产品待确认。</x:v>
      </x:c>
    </x:row>
    <x:row r="828" ht="44" customHeight="1">
      <x:c r="A828" s="4" t="str">
        <x:v>REQ-ba899cdfbcd6</x:v>
      </x:c>
      <x:c r="B828" s="4" t="str">
        <x:v>系统管理</x:v>
      </x:c>
      <x:c r="C828" s="4" t="n">
        <x:v>3441</x:v>
      </x:c>
      <x:c r="D828" s="4" t="str">
        <x:v>角色 ID：新建系统生成，编辑只读。</x:v>
      </x:c>
      <x:c r="E828" s="4" t="str">
        <x:v>整段分支核验未闭合</x:v>
      </x:c>
      <x:c r="F828" s="4" t="str">
        <x:v>ADMIN-0097</x:v>
      </x:c>
      <x:c r="G828" s="4" t="str">
        <x:v>本段剩余子句、条件组合及状态后续影响仍需与独立规则逐项闭合；这是生成覆盖缺口，不是产品决策缺失。</x:v>
      </x:c>
    </x:row>
    <x:row r="829" ht="44" customHeight="1">
      <x:c r="A829" s="4" t="str">
        <x:v>REQ-c0561cec08d7</x:v>
      </x:c>
      <x:c r="B829" s="4" t="str">
        <x:v>系统管理</x:v>
      </x:c>
      <x:c r="C829" s="4" t="n">
        <x:v>3442</x:v>
      </x:c>
      <x:c r="D829" s="4" t="str">
        <x:v>角色名称：必填且全局唯一。</x:v>
      </x:c>
      <x:c r="E829" s="4" t="str">
        <x:v>整段分支核验未闭合</x:v>
      </x:c>
      <x:c r="F829" s="4" t="str">
        <x:v>ADMIN-0095、ADMIN-0096</x:v>
      </x:c>
      <x:c r="G829" s="4" t="str">
        <x:v>本段剩余子句、条件组合及状态后续影响仍需与独立规则逐项闭合；这是生成覆盖缺口，不是产品决策缺失。</x:v>
      </x:c>
    </x:row>
    <x:row r="830" ht="44" customHeight="1">
      <x:c r="A830" s="4" t="str">
        <x:v>REQ-e526fd25c280</x:v>
      </x:c>
      <x:c r="B830" s="4" t="str">
        <x:v>系统管理</x:v>
      </x:c>
      <x:c r="C830" s="4" t="n">
        <x:v>3443</x:v>
      </x:c>
      <x:c r="D830" s="4" t="str">
        <x:v>角色状态：启用、停用。</x:v>
      </x:c>
      <x:c r="E830" s="4" t="str">
        <x:v>尚未建立场景映射</x:v>
      </x:c>
      <x:c r="F830" s="4" t="str"/>
      <x:c r="G830" s="4" t="str">
        <x:v>本轮独立来源库保留该已知条款，但尚未建立可核验的正式场景映射；不是无业务依据，也不转为产品待确认。</x:v>
      </x:c>
    </x:row>
    <x:row r="831" ht="44" customHeight="1">
      <x:c r="A831" s="4" t="str">
        <x:v>REQ-4d4697798909</x:v>
      </x:c>
      <x:c r="B831" s="4" t="str">
        <x:v>系统管理</x:v>
      </x:c>
      <x:c r="C831" s="4" t="n">
        <x:v>3444</x:v>
      </x:c>
      <x:c r="D831" s="4" t="str">
        <x:v>菜单权限：与后台一级、二级菜单一致；已选择数 = 勾选叶子权限数。</x:v>
      </x:c>
      <x:c r="E831" s="4" t="str">
        <x:v>整段分支核验未闭合</x:v>
      </x:c>
      <x:c r="F831" s="4" t="str">
        <x:v>ADMIN-0242、ADMIN-0243</x:v>
      </x:c>
      <x:c r="G831" s="4" t="str">
        <x:v>本段剩余子句、条件组合及状态后续影响仍需与独立规则逐项闭合；这是生成覆盖缺口，不是产品决策缺失。</x:v>
      </x:c>
    </x:row>
    <x:row r="832" ht="44" customHeight="1">
      <x:c r="A832" s="4" t="str">
        <x:v>REQ-0720465c8aea</x:v>
      </x:c>
      <x:c r="B832" s="4" t="str">
        <x:v>系统管理</x:v>
      </x:c>
      <x:c r="C832" s="4" t="n">
        <x:v>3445</x:v>
      </x:c>
      <x:c r="D832" s="4" t="str">
        <x:v>勾选父级联动全部子级；取消全部子级同步取消父级。</x:v>
      </x:c>
      <x:c r="E832" s="4" t="str">
        <x:v>尚未建立场景映射</x:v>
      </x:c>
      <x:c r="F832" s="4" t="str"/>
      <x:c r="G832" s="4" t="str">
        <x:v>本轮独立来源库保留该已知条款，但尚未建立可核验的正式场景映射；不是无业务依据，也不转为产品待确认。</x:v>
      </x:c>
    </x:row>
    <x:row r="833" ht="44" customHeight="1">
      <x:c r="A833" s="4" t="str">
        <x:v>REQ-a8204ec55818</x:v>
      </x:c>
      <x:c r="B833" s="4" t="str">
        <x:v>系统管理</x:v>
      </x:c>
      <x:c r="C833" s="4" t="n">
        <x:v>3446</x:v>
      </x:c>
      <x:c r="D833" s="4" t="str">
        <x:v>内置超级管理员默认全部权限且不可修改。</x:v>
      </x:c>
      <x:c r="E833" s="4" t="str">
        <x:v>整段分支核验未闭合</x:v>
      </x:c>
      <x:c r="F833" s="4" t="str">
        <x:v>ADMIN-0508</x:v>
      </x:c>
      <x:c r="G833" s="4" t="str">
        <x:v>本段剩余子句、条件组合及状态后续影响仍需与独立规则逐项闭合；这是生成覆盖缺口，不是产品决策缺失。</x:v>
      </x:c>
    </x:row>
    <x:row r="834" ht="44" customHeight="1">
      <x:c r="A834" s="4" t="str">
        <x:v>REQ-b3a1777346a0</x:v>
      </x:c>
      <x:c r="B834" s="4" t="str">
        <x:v>系统管理</x:v>
      </x:c>
      <x:c r="C834" s="4" t="n">
        <x:v>3447</x:v>
      </x:c>
      <x:c r="D834" s="4" t="str">
        <x:v>全选或全不选 -&gt; 更新权限树；保存 -&gt; 校验名称和权限 -&gt; 对关联账号立即生效。</x:v>
      </x:c>
      <x:c r="E834" s="4" t="str">
        <x:v>尚未建立场景映射</x:v>
      </x:c>
      <x:c r="F834" s="4" t="str"/>
      <x:c r="G834" s="4" t="str">
        <x:v>本轮独立来源库保留该已知条款，但尚未建立可核验的正式场景映射；不是无业务依据，也不转为产品待确认。</x:v>
      </x:c>
    </x:row>
    <x:row r="835" ht="44" customHeight="1">
      <x:c r="A835" s="4" t="str">
        <x:v>REQ-82b18aa0a1a9</x:v>
      </x:c>
      <x:c r="B835" s="4" t="str">
        <x:v>运营管理</x:v>
      </x:c>
      <x:c r="C835" s="4" t="str"/>
      <x:c r="D835" s="4" t="str">
        <x:v>验证配置等级不直接增加钱包金币</x:v>
      </x:c>
      <x:c r="E835" s="4" t="str">
        <x:v>局部隔离</x:v>
      </x:c>
      <x:c r="F835" s="4" t="str"/>
      <x:c r="G835" s="4" t="str">
        <x:v>当前步骤只操作等级配置，没有本执行角色的金币流水观察位置；保留独立覆盖缺口</x:v>
      </x:c>
    </x:row>
  </x:sheetData>
  <x:pageMargins left="0.7" right="0.7" top="0.75" bottom="0.75" header="0.3" footer="0.3"/>
  <x:tableParts count="1">
    <x:tablePart xmlns:r="http://schemas.openxmlformats.org/officeDocument/2006/relationships" r:id="R207e981419be4259"/>
  </x:tableParts>
</x:worksheet>
</file>