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4b7e8199ece4ece" /></Relationships>
</file>

<file path=xl/workbook.xml><?xml version="1.0" encoding="utf-8"?>
<x:workbook xmlns:x="http://schemas.openxmlformats.org/spreadsheetml/2006/main">
  <x:sheets>
    <x:sheet xmlns:r="http://schemas.openxmlformats.org/officeDocument/2006/relationships" name="产品决策概览" sheetId="1" r:id="R2736601fea7d4ab8"/>
    <x:sheet xmlns:r="http://schemas.openxmlformats.org/officeDocument/2006/relationships" name="功能测试用例" sheetId="2" r:id="R75bb8c1109c347ba"/>
    <x:sheet xmlns:r="http://schemas.openxmlformats.org/officeDocument/2006/relationships" name="需求待确认" sheetId="3" r:id="R6b006b4fa0d74726"/>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sz val="10"/>
      <x:color rgb="FF111827"/>
      <x:name val="Arial"/>
    </x:font>
    <x:font>
      <x:b/>
      <x:sz val="10"/>
      <x:color rgb="FFFFFFFF"/>
      <x:name val="Arial"/>
    </x:font>
    <x:font>
      <x:sz val="11"/>
      <x:name val="Arial"/>
    </x:font>
    <x:font>
      <x:b/>
      <x:sz val="15"/>
      <x:color rgb="FF111827"/>
      <x:name val="Arial"/>
    </x:font>
    <x:font>
      <x:i/>
      <x:sz val="10"/>
      <x:color rgb="FF64748B"/>
      <x:name val="Arial"/>
    </x:font>
  </x:fonts>
  <x:fills count="4">
    <x:fill>
      <x:patternFill patternType="none"/>
    </x:fill>
    <x:fill>
      <x:patternFill patternType="gray125"/>
    </x:fill>
    <x:fill>
      <x:patternFill patternType="solid">
        <x:fgColor rgb="FF243447"/>
      </x:patternFill>
    </x:fill>
    <x:fill>
      <x:patternFill patternType="solid">
        <x:fgColor rgb="FFFFF4CC"/>
      </x:patternFill>
    </x:fill>
  </x:fills>
  <x:borders count="2">
    <x:border/>
    <x:border>
      <x:left style="thin">
        <x:color rgb="FFCBD5E1"/>
      </x:left>
      <x:right style="thin">
        <x:color rgb="FFCBD5E1"/>
      </x:right>
      <x:top style="thin">
        <x:color rgb="FFCBD5E1"/>
      </x:top>
      <x:bottom style="thin">
        <x:color rgb="FFCBD5E1"/>
      </x:bottom>
    </x:border>
  </x:borders>
  <x:cellStyleXfs count="1">
    <x:xf numFmtId="0" fontId="0" fillId="0" borderId="0"/>
  </x:cellStyleXfs>
  <x:cellXfs count="23">
    <x:xf numFmtId="0" fontId="0" fillId="0" borderId="0" xfId="0"/>
    <x:xf numFmtId="0" fontId="1" fillId="0" borderId="0"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center" wrapText="1"/>
    </x:xf>
    <x:xf numFmtId="0" fontId="1" fillId="2" borderId="1" xfId="0" applyNumberFormat="1" applyFont="1" applyFill="1" applyBorder="1" applyAlignment="1">
      <x:alignment vertical="center" wrapText="1"/>
    </x:xf>
    <x:xf numFmtId="0" fontId="2" fillId="2" borderId="1" xfId="0" applyNumberFormat="1" applyFont="1" applyFill="1" applyBorder="1" applyAlignment="1">
      <x:alignment vertical="center" wrapText="1"/>
    </x:xf>
    <x:xf numFmtId="0" fontId="2" fillId="2" borderId="1" xfId="0" applyNumberFormat="1" applyFont="1" applyFill="1" applyBorder="1" applyAlignment="1">
      <x:alignment horizontal="center" vertical="center" wrapText="1"/>
    </x:xf>
    <x:xf numFmtId="0" fontId="1" fillId="3" borderId="1" xfId="0" applyNumberFormat="1" applyFont="1" applyFill="1" applyBorder="1" applyAlignment="1">
      <x:alignment vertical="center" wrapText="1"/>
    </x:xf>
    <x:xf numFmtId="0" fontId="0" fillId="2" borderId="0"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1"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3" fillId="0" borderId="0" xfId="0" applyNumberFormat="1" applyFont="1" applyFill="1" applyBorder="1"/>
    <x:xf numFmtId="0" fontId="3" fillId="0" borderId="1" xfId="0" applyNumberFormat="1" applyFont="1" applyFill="1" applyBorder="1"/>
    <x:xf numFmtId="0" fontId="3" fillId="0" borderId="1" xfId="0" applyNumberFormat="1" applyFont="1" applyFill="1" applyBorder="1" applyAlignment="1">
      <x:alignment horizontal="center"/>
    </x:xf>
    <x:xf numFmtId="0" fontId="1" fillId="0" borderId="0" xfId="0" applyNumberFormat="1" applyFont="1" applyFill="1" applyBorder="1" applyAlignment="1">
      <x:alignment vertical="center"/>
    </x:xf>
    <x:xf numFmtId="0" fontId="4" fillId="0" borderId="0" xfId="0" applyNumberFormat="1" applyFont="1" applyFill="1" applyBorder="1" applyAlignment="1">
      <x:alignment vertical="center"/>
    </x:xf>
    <x:xf numFmtId="0" fontId="5"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2" borderId="1" xfId="0" applyNumberFormat="1" applyFont="1" applyFill="1" applyBorder="1" applyAlignment="1">
      <x:alignment vertical="center"/>
    </x:xf>
    <x:xf numFmtId="0" fontId="2" fillId="2" borderId="1"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542629954574761" /><Relationship Type="http://schemas.openxmlformats.org/officeDocument/2006/relationships/theme" Target="/xl/theme/theme1.xml" Id="Rb6a99b7b4e994b11" /><Relationship Type="http://schemas.openxmlformats.org/officeDocument/2006/relationships/sharedStrings" Target="/xl/sharedStrings.xml" Id="R84c77278547745b8" /><Relationship Type="http://schemas.openxmlformats.org/officeDocument/2006/relationships/worksheet" Target="/xl/worksheets/sheet1.xml" Id="R2736601fea7d4ab8" /><Relationship Type="http://schemas.openxmlformats.org/officeDocument/2006/relationships/worksheet" Target="/xl/worksheets/sheet2.xml" Id="R75bb8c1109c347ba" /><Relationship Type="http://schemas.openxmlformats.org/officeDocument/2006/relationships/worksheet" Target="/xl/worksheets/sheet3.xml" Id="R6b006b4fa0d74726" /></Relationships>
</file>

<file path=xl/tables/table1.xml><?xml version="1.0" encoding="utf-8"?>
<x:table xmlns:x="http://schemas.openxmlformats.org/spreadsheetml/2006/main" id="1" name="GuildAllCases" displayName="GuildAllCases" ref="A1:O323" headerRowCount="1" totalsRowCount="0" totalsRowShown="0">
  <x:autoFilter ref="A1:O323"/>
  <x:tableColumns count="15">
    <x:tableColumn id="1" name="序号"/>
    <x:tableColumn id="2" name="用例编号"/>
    <x:tableColumn id="3" name="功能模块"/>
    <x:tableColumn id="4" name="功能结构"/>
    <x:tableColumn id="5" name="用例类型"/>
    <x:tableColumn id="6" name="优先级"/>
    <x:tableColumn id="7" name="用例描述"/>
    <x:tableColumn id="8" name="验证用例子项"/>
    <x:tableColumn id="9" name="前置条件"/>
    <x:tableColumn id="10" name="操作步骤"/>
    <x:tableColumn id="11" name="预期结果"/>
    <x:tableColumn id="12" name="流程编号"/>
    <x:tableColumn id="13" name="测试结果"/>
    <x:tableColumn id="14" name="测试人员"/>
    <x:tableColumn id="15" name="备注"/>
  </x:tableColumns>
  <x:tableStyleInfo name="TableStyleMedium2" showFirstColumn="0" showLastColumn="0" showRowStripes="1" showColumnStripes="0"/>
</x:table>
</file>

<file path=xl/tables/table2.xml><?xml version="1.0" encoding="utf-8"?>
<x:table xmlns:x="http://schemas.openxmlformats.org/spreadsheetml/2006/main" id="2" name="GuildAllPending" displayName="GuildAllPending" ref="A1:T53" headerRowCount="1" totalsRowCount="0" totalsRowShown="0">
  <x:autoFilter ref="A1:T53"/>
  <x:tableColumns count="20">
    <x:tableColumn id="1" name="问题编号"/>
    <x:tableColumn id="2" name="需求组编号"/>
    <x:tableColumn id="3" name="父问题编号"/>
    <x:tableColumn id="4" name="追问触发条件"/>
    <x:tableColumn id="5" name="阻塞等级"/>
    <x:tableColumn id="6" name="功能模块"/>
    <x:tableColumn id="7" name="具体场景"/>
    <x:tableColumn id="8" name="问题分类"/>
    <x:tableColumn id="9" name="待决策问题"/>
    <x:tableColumn id="10" name="可选方案"/>
    <x:tableColumn id="11" name="测试建议"/>
    <x:tableColumn id="12" name="产品结论"/>
    <x:tableColumn id="13" name="结论补充"/>
    <x:tableColumn id="14" name="已知依据"/>
    <x:tableColumn id="15" name="影响范围"/>
    <x:tableColumn id="16" name="已有用例编号"/>
    <x:tableColumn id="17" name="确认后待补用例"/>
    <x:tableColumn id="18" name="负责人"/>
    <x:tableColumn id="19" name="期望确认时间"/>
    <x:tableColumn id="20" name="确认状态"/>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aa60640933a4e28" /></Relationships>
</file>

<file path=xl/worksheets/_rels/sheet3.xml.rels>&#65279;<?xml version="1.0" encoding="utf-8"?><Relationships xmlns="http://schemas.openxmlformats.org/package/2006/relationships"><Relationship Type="http://schemas.openxmlformats.org/officeDocument/2006/relationships/table" Target="/xl/tables/table2.xml" Id="R721ac231cf504bec" /></Relationships>
</file>

<file path=xl/worksheets/sheet1.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22" hidden="0" customWidth="1"/>
    <x:col min="2" max="2" width="12" hidden="0" customWidth="1"/>
    <x:col min="3" max="3" width="4" hidden="0" customWidth="1"/>
    <x:col min="4" max="4" width="18" hidden="0" customWidth="1"/>
    <x:col min="5" max="5" width="14" hidden="0" customWidth="1"/>
    <x:col min="6" max="6" width="4" hidden="0" customWidth="1"/>
    <x:col min="7" max="7" width="18" hidden="0" customWidth="1"/>
    <x:col min="8" max="8" width="14" hidden="0" customWidth="1"/>
  </x:cols>
  <x:sheetData>
    <x:row r="1" ht="30" customHeight="1">
      <x:c r="A1" s="18" t="str">
        <x:v>公会App-全部模块 产品决策概览</x:v>
      </x:c>
      <x:c r="B1" s="17"/>
      <x:c r="C1" s="17"/>
      <x:c r="D1" s="17"/>
      <x:c r="E1" s="17"/>
      <x:c r="F1" s="17"/>
      <x:c r="G1" s="17"/>
      <x:c r="H1" s="17"/>
    </x:row>
    <x:row r="2">
      <x:c r="A2" s="19" t="str">
        <x:v>MainBasis 现有数据直接导出；未追加内容复核；用例均未测</x:v>
      </x:c>
      <x:c r="B2" s="17"/>
      <x:c r="C2" s="17"/>
      <x:c r="D2" s="17"/>
      <x:c r="E2" s="17"/>
      <x:c r="F2" s="17"/>
      <x:c r="G2" s="17"/>
      <x:c r="H2" s="17"/>
    </x:row>
    <x:row r="3">
      <x:c r="A3" s="17"/>
      <x:c r="B3" s="17"/>
      <x:c r="C3" s="17"/>
      <x:c r="D3" s="17"/>
      <x:c r="E3" s="17"/>
      <x:c r="F3" s="17"/>
      <x:c r="G3" s="17"/>
      <x:c r="H3" s="17"/>
    </x:row>
    <x:row r="4">
      <x:c r="A4" s="7" t="str">
        <x:v>状态</x:v>
      </x:c>
      <x:c r="B4" s="7" t="str">
        <x:v>数量</x:v>
      </x:c>
      <x:c r="C4" s="17"/>
      <x:c r="D4" s="7" t="str">
        <x:v>阻塞等级</x:v>
      </x:c>
      <x:c r="E4" s="7" t="str">
        <x:v>当前待确认</x:v>
      </x:c>
      <x:c r="F4" s="17"/>
      <x:c r="G4" s="7" t="str">
        <x:v>负责人</x:v>
      </x:c>
      <x:c r="H4" s="7" t="str">
        <x:v>当前待确认</x:v>
      </x:c>
    </x:row>
    <x:row r="5">
      <x:c r="A5" s="20" t="str">
        <x:v>问题总数</x:v>
      </x:c>
      <x:c r="B5" s="20" t="n">
        <x:f>COUNTA('需求待确认'!$A$2:$A$53)</x:f>
        <x:v>52</x:v>
      </x:c>
      <x:c r="C5" s="17"/>
      <x:c r="D5" s="20" t="str">
        <x:v>阻塞测试</x:v>
      </x:c>
      <x:c r="E5" s="20" t="n">
        <x:f>COUNTIFS('需求待确认'!$E$2:$E$53,"阻塞测试",'需求待确认'!$T$2:$T$53,"待确认")</x:f>
        <x:v>12</x:v>
      </x:c>
      <x:c r="F5" s="17"/>
      <x:c r="G5" s="20" t="str">
        <x:v>产品</x:v>
      </x:c>
      <x:c r="H5" s="20" t="n">
        <x:f>COUNTIFS('需求待确认'!$R$2:$R$53,"产品",'需求待确认'!$T$2:$T$53,"待确认")</x:f>
        <x:v>47</x:v>
      </x:c>
    </x:row>
    <x:row r="6">
      <x:c r="A6" s="20" t="str">
        <x:v>当前可回答</x:v>
      </x:c>
      <x:c r="B6" s="20" t="n">
        <x:f>COUNTIF('需求待确认'!$T$2:$T$53,"待确认")</x:f>
        <x:v>52</x:v>
      </x:c>
      <x:c r="C6" s="17"/>
      <x:c r="D6" s="20" t="str">
        <x:v>部分阻塞</x:v>
      </x:c>
      <x:c r="E6" s="20" t="n">
        <x:f>COUNTIFS('需求待确认'!$E$2:$E$53,"部分阻塞",'需求待确认'!$T$2:$T$53,"待确认")</x:f>
        <x:v>40</x:v>
      </x:c>
      <x:c r="F6" s="17"/>
      <x:c r="G6" s="20" t="str">
        <x:v>交互</x:v>
      </x:c>
      <x:c r="H6" s="20" t="n">
        <x:f>COUNTIFS('需求待确认'!$R$2:$R$53,"交互",'需求待确认'!$T$2:$T$53,"待确认")</x:f>
        <x:v>1</x:v>
      </x:c>
    </x:row>
    <x:row r="7">
      <x:c r="A7" s="20" t="str">
        <x:v>待前置结论</x:v>
      </x:c>
      <x:c r="B7" s="20" t="n">
        <x:f>COUNTIF('需求待确认'!$T$2:$T$53,"待前置结论")</x:f>
        <x:v>0</x:v>
      </x:c>
      <x:c r="C7" s="17"/>
      <x:c r="D7" s="20" t="str">
        <x:v>不阻塞</x:v>
      </x:c>
      <x:c r="E7" s="20" t="n">
        <x:f>COUNTIFS('需求待确认'!$E$2:$E$53,"不阻塞",'需求待确认'!$T$2:$T$53,"待确认")</x:f>
        <x:v>0</x:v>
      </x:c>
      <x:c r="F7" s="17"/>
      <x:c r="G7" s="20" t="str">
        <x:v>技术</x:v>
      </x:c>
      <x:c r="H7" s="20" t="n">
        <x:f>COUNTIFS('需求待确认'!$R$2:$R$53,"技术",'需求待确认'!$T$2:$T$53,"待确认")</x:f>
        <x:v>1</x:v>
      </x:c>
    </x:row>
    <x:row r="8">
      <x:c r="A8" s="20" t="str">
        <x:v>确认中</x:v>
      </x:c>
      <x:c r="B8" s="20" t="n">
        <x:f>COUNTIF('需求待确认'!$T$2:$T$53,"确认中")</x:f>
        <x:v>0</x:v>
      </x:c>
      <x:c r="C8" s="17"/>
      <x:c r="D8" s="17"/>
      <x:c r="E8" s="17"/>
      <x:c r="F8" s="17"/>
      <x:c r="G8" s="20" t="str">
        <x:v>多方确认</x:v>
      </x:c>
      <x:c r="H8" s="20" t="n">
        <x:f>COUNTIFS('需求待确认'!$R$2:$R$53,"多方确认",'需求待确认'!$T$2:$T$53,"待确认")</x:f>
        <x:v>3</x:v>
      </x:c>
    </x:row>
    <x:row r="9">
      <x:c r="A9" s="20" t="str">
        <x:v>已确认</x:v>
      </x:c>
      <x:c r="B9" s="20" t="n">
        <x:f>COUNTIF('需求待确认'!$T$2:$T$53,"已确认")</x:f>
        <x:v>0</x:v>
      </x:c>
      <x:c r="C9" s="17"/>
      <x:c r="D9" s="17"/>
      <x:c r="E9" s="17"/>
      <x:c r="F9" s="17"/>
      <x:c r="G9" s="17"/>
      <x:c r="H9" s="17"/>
    </x:row>
    <x:row r="10">
      <x:c r="A10" s="20" t="str">
        <x:v>无需处理</x:v>
      </x:c>
      <x:c r="B10" s="20" t="n">
        <x:f>COUNTIF('需求待确认'!$T$2:$T$53,"无需处理")</x:f>
        <x:v>0</x:v>
      </x:c>
      <x:c r="C10" s="17"/>
      <x:c r="D10" s="17"/>
      <x:c r="E10" s="17"/>
      <x:c r="F10" s="17"/>
      <x:c r="G10" s="17"/>
      <x:c r="H10" s="17"/>
    </x:row>
    <x:row r="12">
      <x:c r="A12" s="7" t="str">
        <x:v>用例总数</x:v>
      </x:c>
      <x:c r="B12" s="7" t="str">
        <x:v>通过</x:v>
      </x:c>
      <x:c r="C12" s="7" t="str">
        <x:v>不通过</x:v>
      </x:c>
      <x:c r="D12" s="7" t="str">
        <x:v>未测</x:v>
      </x:c>
    </x:row>
    <x:row r="13">
      <x:c r="A13" s="16" t="n">
        <x:f>COUNTA('功能测试用例'!$B$2:$B323)</x:f>
        <x:v>322</x:v>
      </x:c>
      <x:c r="B13" s="16" t="n">
        <x:f>COUNTIF('功能测试用例'!$M$2:$M323,"通过")</x:f>
        <x:v>0</x:v>
      </x:c>
      <x:c r="C13" s="16" t="n">
        <x:f>COUNTIF('功能测试用例'!$M$2:$M323,"不通过")</x:f>
        <x:v>0</x:v>
      </x:c>
      <x:c r="D13" s="16" t="n">
        <x:f>COUNTIF('功能测试用例'!$M$2:$M323,"未测")</x:f>
        <x:v>322</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7" hidden="0" customWidth="1"/>
    <x:col min="2" max="2" width="14" hidden="0" customWidth="1"/>
    <x:col min="3" max="3" width="13" hidden="0" customWidth="1"/>
    <x:col min="4" max="4" width="25" hidden="0" customWidth="1"/>
    <x:col min="5" max="5" width="12" hidden="0" customWidth="1"/>
    <x:col min="6" max="6" width="8" hidden="0" customWidth="1"/>
    <x:col min="7" max="7" width="29" hidden="0" customWidth="1"/>
    <x:col min="8" max="8" width="22" hidden="0" customWidth="1"/>
    <x:col min="9" max="9" width="31" hidden="0" customWidth="1"/>
    <x:col min="10" max="10" width="34" hidden="0" customWidth="1"/>
    <x:col min="11" max="11" width="39" hidden="0" customWidth="1"/>
    <x:col min="12" max="12" width="18" hidden="0" customWidth="1"/>
    <x:col min="13" max="13" width="10" hidden="0" customWidth="1"/>
    <x:col min="14" max="14" width="12" hidden="0" customWidth="1"/>
    <x:col min="15" max="15" width="43" hidden="0" customWidth="1"/>
  </x:cols>
  <x:sheetData>
    <x:row r="1" ht="34" customHeight="1">
      <x:c r="A1" s="7" t="str">
        <x:v>序号</x:v>
      </x:c>
      <x:c r="B1" s="7" t="str">
        <x:v>用例编号</x:v>
      </x:c>
      <x:c r="C1" s="7" t="str">
        <x:v>功能模块</x:v>
      </x:c>
      <x:c r="D1" s="7" t="str">
        <x:v>功能结构</x:v>
      </x:c>
      <x:c r="E1" s="7" t="str">
        <x:v>用例类型</x:v>
      </x:c>
      <x:c r="F1" s="7" t="str">
        <x:v>优先级</x:v>
      </x:c>
      <x:c r="G1" s="7" t="str">
        <x:v>用例描述</x:v>
      </x:c>
      <x:c r="H1" s="7" t="str">
        <x:v>验证用例子项</x:v>
      </x:c>
      <x:c r="I1" s="7" t="str">
        <x:v>前置条件</x:v>
      </x:c>
      <x:c r="J1" s="7" t="str">
        <x:v>操作步骤</x:v>
      </x:c>
      <x:c r="K1" s="7" t="str">
        <x:v>预期结果</x:v>
      </x:c>
      <x:c r="L1" s="7" t="str">
        <x:v>流程编号</x:v>
      </x:c>
      <x:c r="M1" s="7" t="str">
        <x:v>测试结果</x:v>
      </x:c>
      <x:c r="N1" s="7" t="str">
        <x:v>测试人员</x:v>
      </x:c>
      <x:c r="O1" s="7" t="str">
        <x:v>备注</x:v>
      </x:c>
    </x:row>
    <x:row r="2" ht="54" customHeight="1">
      <x:c r="A2" s="4" t="n">
        <x:v>1</x:v>
      </x:c>
      <x:c r="B2" s="4" t="str">
        <x:v>GUILD-0001</x:v>
      </x:c>
      <x:c r="C2" s="4" t="str">
        <x:v>M01 账号、登录、资料与设置</x:v>
      </x:c>
      <x:c r="D2" s="4" t="str">
        <x:v>公会登录（待登录公会长视角）</x:v>
      </x:c>
      <x:c r="E2" s="4" t="str">
        <x:v>异常用例</x:v>
      </x:c>
      <x:c r="F2" s="4" t="str">
        <x:v>P1</x:v>
      </x:c>
      <x:c r="G2" s="4" t="str">
        <x:v>验证公会账号缺失限制</x:v>
      </x:c>
      <x:c r="H2" s="4" t="str">
        <x:v>公会账号缺失限制</x:v>
      </x:c>
      <x:c r="I2" s="4" t="str">
        <x:v>1. 执行者为待登录公会长，尚未建立登录会话
2. 其他必填字段为合法值</x:v>
      </x:c>
      <x:c r="J2" s="4" t="str">
        <x:v>1. 进入「公会登录」页
2. 清空「公会账号」
3. 点击「登录」</x:v>
      </x:c>
      <x:c r="K2" s="4" t="str">
        <x:v>公会账号未填写，无法登录</x:v>
      </x:c>
      <x:c r="L2" s="4" t="str"/>
      <x:c r="M2" s="4" t="str">
        <x:v>未测</x:v>
      </x:c>
      <x:c r="N2" s="4" t="str"/>
      <x:c r="O2" s="4" t="str">
        <x:v>1. 来源：MainBasis/统一需求文档.md；G-guild-login-001
2. 场景：SC-931a2663a49c9d</x:v>
      </x:c>
    </x:row>
    <x:row r="3" ht="54" customHeight="1">
      <x:c r="A3" s="4" t="n">
        <x:v>2</x:v>
      </x:c>
      <x:c r="B3" s="4" t="str">
        <x:v>GUILD-0002</x:v>
      </x:c>
      <x:c r="C3" s="4" t="str">
        <x:v>M01 账号、登录、资料与设置</x:v>
      </x:c>
      <x:c r="D3" s="4" t="str">
        <x:v>公会登录（待登录公会长视角）</x:v>
      </x:c>
      <x:c r="E3" s="4" t="str">
        <x:v>异常用例</x:v>
      </x:c>
      <x:c r="F3" s="4" t="str">
        <x:v>P1</x:v>
      </x:c>
      <x:c r="G3" s="4" t="str">
        <x:v>验证密码缺失限制</x:v>
      </x:c>
      <x:c r="H3" s="4" t="str">
        <x:v>密码缺失限制</x:v>
      </x:c>
      <x:c r="I3" s="4" t="str">
        <x:v>1. 执行者为待登录公会长，尚未建立登录会话
2. 其他必填字段为合法值</x:v>
      </x:c>
      <x:c r="J3" s="4" t="str">
        <x:v>1. 进入「公会登录」页
2. 清空「密码」
3. 点击「登录」</x:v>
      </x:c>
      <x:c r="K3" s="4" t="str">
        <x:v>密码未填写，无法登录</x:v>
      </x:c>
      <x:c r="L3" s="4" t="str"/>
      <x:c r="M3" s="4" t="str">
        <x:v>未测</x:v>
      </x:c>
      <x:c r="N3" s="4" t="str"/>
      <x:c r="O3" s="4" t="str">
        <x:v>1. 来源：MainBasis/统一需求文档.md；G-guild-login-002
2. 场景：SC-5e26d9384aaa58</x:v>
      </x:c>
    </x:row>
    <x:row r="4" ht="54" customHeight="1">
      <x:c r="A4" s="4" t="n">
        <x:v>3</x:v>
      </x:c>
      <x:c r="B4" s="4" t="str">
        <x:v>GUILD-0003</x:v>
      </x:c>
      <x:c r="C4" s="4" t="str">
        <x:v>M01 账号、登录、资料与设置</x:v>
      </x:c>
      <x:c r="D4" s="4" t="str">
        <x:v>公会登录（待登录公会长视角）</x:v>
      </x:c>
      <x:c r="E4" s="4" t="str">
        <x:v>异常用例</x:v>
      </x:c>
      <x:c r="F4" s="4" t="str">
        <x:v>P1</x:v>
      </x:c>
      <x:c r="G4" s="4" t="str">
        <x:v>验证公会登录账号不存在</x:v>
      </x:c>
      <x:c r="H4" s="4" t="str">
        <x:v>公会登录账号不存在</x:v>
      </x:c>
      <x:c r="I4" s="4" t="str">
        <x:v>1. 执行者为待登录公会长，尚未建立登录会话
2. 账号不存在</x:v>
      </x:c>
      <x:c r="J4" s="4" t="str">
        <x:v>1. 进入「公会登录」页
2. 输入公会长账号和密码
3. 点击登录</x:v>
      </x:c>
      <x:c r="K4" s="4" t="str">
        <x:v>提示“账号或密码错误”</x:v>
      </x:c>
      <x:c r="L4" s="4" t="str"/>
      <x:c r="M4" s="4" t="str">
        <x:v>未测</x:v>
      </x:c>
      <x:c r="N4" s="4" t="str"/>
      <x:c r="O4" s="4" t="str">
        <x:v>1. 来源：MainBasis/统一需求文档.md；G-guild-login-005、D-SYS-065、D-SYS-070
2. 场景：SC-6754327c5d5006</x:v>
      </x:c>
    </x:row>
    <x:row r="5" ht="54" customHeight="1">
      <x:c r="A5" s="4" t="n">
        <x:v>4</x:v>
      </x:c>
      <x:c r="B5" s="4" t="str">
        <x:v>GUILD-0004</x:v>
      </x:c>
      <x:c r="C5" s="4" t="str">
        <x:v>M01 账号、登录、资料与设置</x:v>
      </x:c>
      <x:c r="D5" s="4" t="str">
        <x:v>公会登录（待登录公会长视角）</x:v>
      </x:c>
      <x:c r="E5" s="4" t="str">
        <x:v>异常用例</x:v>
      </x:c>
      <x:c r="F5" s="4" t="str">
        <x:v>P1</x:v>
      </x:c>
      <x:c r="G5" s="4" t="str">
        <x:v>验证公会登录密码错误</x:v>
      </x:c>
      <x:c r="H5" s="4" t="str">
        <x:v>公会登录密码错误</x:v>
      </x:c>
      <x:c r="I5" s="4" t="str">
        <x:v>1. 执行者为待登录公会长，尚未建立登录会话
2. 密码错误</x:v>
      </x:c>
      <x:c r="J5" s="4" t="str">
        <x:v>1. 进入「公会登录」页
2. 输入公会长账号和密码
3. 点击登录</x:v>
      </x:c>
      <x:c r="K5" s="4" t="str">
        <x:v>提示“账号或密码错误”</x:v>
      </x:c>
      <x:c r="L5" s="4" t="str"/>
      <x:c r="M5" s="4" t="str">
        <x:v>未测</x:v>
      </x:c>
      <x:c r="N5" s="4" t="str"/>
      <x:c r="O5" s="4" t="str">
        <x:v>1. 来源：MainBasis/统一需求文档.md；G-guild-login-005、D-SYS-065、D-SYS-070
2. 场景：SC-62e8049a4a0c82</x:v>
      </x:c>
    </x:row>
    <x:row r="6" ht="68" customHeight="1">
      <x:c r="A6" s="4" t="n">
        <x:v>5</x:v>
      </x:c>
      <x:c r="B6" s="4" t="str">
        <x:v>GUILD-0005</x:v>
      </x:c>
      <x:c r="C6" s="4" t="str">
        <x:v>M01 账号、登录、资料与设置</x:v>
      </x:c>
      <x:c r="D6" s="4" t="str">
        <x:v>公会登录（待登录公会长视角）</x:v>
      </x:c>
      <x:c r="E6" s="4" t="str">
        <x:v>功能需求</x:v>
      </x:c>
      <x:c r="F6" s="4" t="str">
        <x:v>P0</x:v>
      </x:c>
      <x:c r="G6" s="4" t="str">
        <x:v>验证公会长登录成功</x:v>
      </x:c>
      <x:c r="H6" s="4" t="str">
        <x:v>公会长登录成功</x:v>
      </x:c>
      <x:c r="I6" s="4" t="str">
        <x:v>1. 执行者为待登录公会长，尚未建立登录会话
2. 公会和公会长账号均启用
3. 已知正确账号和密码</x:v>
      </x:c>
      <x:c r="J6" s="4" t="str">
        <x:v>1. 进入「公会登录」页
2. 输入账号和密码
3. 点击登录</x:v>
      </x:c>
      <x:c r="K6" s="4" t="str">
        <x:v>进入「选择公会」页</x:v>
      </x:c>
      <x:c r="L6" s="4" t="str"/>
      <x:c r="M6" s="4" t="str">
        <x:v>未测</x:v>
      </x:c>
      <x:c r="N6" s="4" t="str"/>
      <x:c r="O6" s="4" t="str">
        <x:v>1. 来源：MainBasis/统一需求文档.md；G-guild-login-005、D-SYS-065、D-SYS-070
2. 场景：SC-d14e418678918b</x:v>
      </x:c>
    </x:row>
    <x:row r="7" ht="68" customHeight="1">
      <x:c r="A7" s="4" t="n">
        <x:v>6</x:v>
      </x:c>
      <x:c r="B7" s="4" t="str">
        <x:v>GUILD-0006</x:v>
      </x:c>
      <x:c r="C7" s="4" t="str">
        <x:v>M01 账号、登录、资料与设置</x:v>
      </x:c>
      <x:c r="D7" s="4" t="str">
        <x:v>公会登录（待登录公会长视角）</x:v>
      </x:c>
      <x:c r="E7" s="4" t="str">
        <x:v>异常用例</x:v>
      </x:c>
      <x:c r="F7" s="4" t="str">
        <x:v>P1</x:v>
      </x:c>
      <x:c r="G7" s="4" t="str">
        <x:v>验证公会登录拒绝公会长账号停用</x:v>
      </x:c>
      <x:c r="H7" s="4" t="str">
        <x:v>公会登录拒绝公会长账号停用</x:v>
      </x:c>
      <x:c r="I7" s="4" t="str">
        <x:v>1. 执行者为待登录公会长，尚未建立登录会话
2. 公会长账号停用</x:v>
      </x:c>
      <x:c r="J7" s="4" t="str">
        <x:v>1. 进入「公会登录」页
2. 输入对应账号及密码
3. 点击登录</x:v>
      </x:c>
      <x:c r="K7" s="4" t="str">
        <x:v>无法建立公会端登录会话</x:v>
      </x:c>
      <x:c r="L7" s="4" t="str"/>
      <x:c r="M7" s="4" t="str">
        <x:v>未测</x:v>
      </x:c>
      <x:c r="N7" s="4" t="str"/>
      <x:c r="O7" s="4" t="str">
        <x:v>1. 来源：MainBasis/统一需求文档.md；G-guild-login-003、G-guild-login-004、D-SYS-068
2. 场景：SC-dbf25ca6311ff1</x:v>
      </x:c>
    </x:row>
    <x:row r="8" ht="68" customHeight="1">
      <x:c r="A8" s="4" t="n">
        <x:v>7</x:v>
      </x:c>
      <x:c r="B8" s="4" t="str">
        <x:v>GUILD-0007</x:v>
      </x:c>
      <x:c r="C8" s="4" t="str">
        <x:v>M01 账号、登录、资料与设置</x:v>
      </x:c>
      <x:c r="D8" s="4" t="str">
        <x:v>公会登录（待登录公会长视角）</x:v>
      </x:c>
      <x:c r="E8" s="4" t="str">
        <x:v>异常用例</x:v>
      </x:c>
      <x:c r="F8" s="4" t="str">
        <x:v>P1</x:v>
      </x:c>
      <x:c r="G8" s="4" t="str">
        <x:v>验证公会登录拒绝使用运营账号</x:v>
      </x:c>
      <x:c r="H8" s="4" t="str">
        <x:v>公会登录拒绝使用运营账号</x:v>
      </x:c>
      <x:c r="I8" s="4" t="str">
        <x:v>1. 执行者为待登录公会长，尚未建立登录会话
2. 使用运营账号</x:v>
      </x:c>
      <x:c r="J8" s="4" t="str">
        <x:v>1. 进入「公会登录」页
2. 输入对应账号及密码
3. 点击登录</x:v>
      </x:c>
      <x:c r="K8" s="4" t="str">
        <x:v>无法建立公会端登录会话</x:v>
      </x:c>
      <x:c r="L8" s="4" t="str"/>
      <x:c r="M8" s="4" t="str">
        <x:v>未测</x:v>
      </x:c>
      <x:c r="N8" s="4" t="str"/>
      <x:c r="O8" s="4" t="str">
        <x:v>1. 来源：MainBasis/统一需求文档.md；G-guild-login-003、G-guild-login-004、D-SYS-068
2. 场景：SC-a884386e4ad465</x:v>
      </x:c>
    </x:row>
    <x:row r="9" ht="54" customHeight="1">
      <x:c r="A9" s="4" t="n">
        <x:v>8</x:v>
      </x:c>
      <x:c r="B9" s="4" t="str">
        <x:v>GUILD-0008</x:v>
      </x:c>
      <x:c r="C9" s="4" t="str">
        <x:v>M01 账号、登录、资料与设置</x:v>
      </x:c>
      <x:c r="D9" s="4" t="str">
        <x:v>选择公会（公会长视角）</x:v>
      </x:c>
      <x:c r="E9" s="4" t="str">
        <x:v>功能需求</x:v>
      </x:c>
      <x:c r="F9" s="4" t="str">
        <x:v>P2</x:v>
      </x:c>
      <x:c r="G9" s="4" t="str">
        <x:v>验证公会长回显</x:v>
      </x:c>
      <x:c r="H9" s="4" t="str">
        <x:v>公会长回显</x:v>
      </x:c>
      <x:c r="I9" s="4" t="str">
        <x:v>1. 已登录公会长账号
2. 所选对象存在，已记录该对象的公会长值</x:v>
      </x:c>
      <x:c r="J9" s="4" t="str">
        <x:v>1. 进入「选择公会」页
2. 查看公会长回显</x:v>
      </x:c>
      <x:c r="K9" s="4" t="str">
        <x:v>「公会长」内容与所选对象的该项资料一致</x:v>
      </x:c>
      <x:c r="L9" s="4" t="str"/>
      <x:c r="M9" s="4" t="str">
        <x:v>未测</x:v>
      </x:c>
      <x:c r="N9" s="4" t="str"/>
      <x:c r="O9" s="4" t="str">
        <x:v>1. 来源：MainBasis/统一需求文档.md；G-guild-switch-001
2. 场景：SC-8e155a3a0de6b0</x:v>
      </x:c>
    </x:row>
    <x:row r="10" ht="68" customHeight="1">
      <x:c r="A10" s="4" t="n">
        <x:v>9</x:v>
      </x:c>
      <x:c r="B10" s="4" t="str">
        <x:v>GUILD-0009</x:v>
      </x:c>
      <x:c r="C10" s="4" t="str">
        <x:v>M01 账号、登录、资料与设置</x:v>
      </x:c>
      <x:c r="D10" s="4" t="str">
        <x:v>选择公会（公会长视角）</x:v>
      </x:c>
      <x:c r="E10" s="4" t="str">
        <x:v>功能需求</x:v>
      </x:c>
      <x:c r="F10" s="4" t="str">
        <x:v>P1</x:v>
      </x:c>
      <x:c r="G10" s="4" t="str">
        <x:v>验证可管理公会范围</x:v>
      </x:c>
      <x:c r="H10" s="4" t="str">
        <x:v>可管理公会范围</x:v>
      </x:c>
      <x:c r="I10" s="4" t="str">
        <x:v>1. 已登录公会长账号
2. 账号仅可管理一个未解散公会
3. 同时存在无管理权限公会和已解散公会</x:v>
      </x:c>
      <x:c r="J10" s="4" t="str">
        <x:v>1. 进入「选择公会」页
2. 查看可管理公会范围</x:v>
      </x:c>
      <x:c r="K10" s="4" t="str">
        <x:v>列表仅显示可管理且未解散的公会</x:v>
      </x:c>
      <x:c r="L10" s="4" t="str"/>
      <x:c r="M10" s="4" t="str">
        <x:v>未测</x:v>
      </x:c>
      <x:c r="N10" s="4" t="str"/>
      <x:c r="O10" s="4" t="str">
        <x:v>1. 来源：MainBasis/统一需求文档.md；G-guild-switch-003
2. 场景：SC-6abe97ae2729a8</x:v>
      </x:c>
    </x:row>
    <x:row r="11" ht="54" customHeight="1">
      <x:c r="A11" s="4" t="n">
        <x:v>10</x:v>
      </x:c>
      <x:c r="B11" s="4" t="str">
        <x:v>GUILD-0010</x:v>
      </x:c>
      <x:c r="C11" s="4" t="str">
        <x:v>M01 账号、登录、资料与设置</x:v>
      </x:c>
      <x:c r="D11" s="4" t="str">
        <x:v>选择公会（公会长视角）</x:v>
      </x:c>
      <x:c r="E11" s="4" t="str">
        <x:v>功能需求</x:v>
      </x:c>
      <x:c r="F11" s="4" t="str">
        <x:v>P1</x:v>
      </x:c>
      <x:c r="G11" s="4" t="str">
        <x:v>验证切换当前公会</x:v>
      </x:c>
      <x:c r="H11" s="4" t="str">
        <x:v>切换当前公会</x:v>
      </x:c>
      <x:c r="I11" s="4" t="str">
        <x:v>1. 已登录公会长账号
2. 账号可管理两个公会</x:v>
      </x:c>
      <x:c r="J11" s="4" t="str">
        <x:v>1. 进入「选择公会」页
2. 选择与当前不同的公会</x:v>
      </x:c>
      <x:c r="K11" s="4" t="str">
        <x:v>首页显示新选公会的数据</x:v>
      </x:c>
      <x:c r="L11" s="4" t="str"/>
      <x:c r="M11" s="4" t="str">
        <x:v>未测</x:v>
      </x:c>
      <x:c r="N11" s="4" t="str"/>
      <x:c r="O11" s="4" t="str">
        <x:v>1. 来源：MainBasis/统一需求文档.md；G-guild-switch-004
2. 场景：SC-a6dd9ba26f86a5</x:v>
      </x:c>
    </x:row>
    <x:row r="12" ht="54" customHeight="1">
      <x:c r="A12" s="4" t="n">
        <x:v>11</x:v>
      </x:c>
      <x:c r="B12" s="4" t="str">
        <x:v>GUILD-0011</x:v>
      </x:c>
      <x:c r="C12" s="4" t="str">
        <x:v>M01 账号、登录、资料与设置</x:v>
      </x:c>
      <x:c r="D12" s="4" t="str">
        <x:v>选择公会（公会长视角）</x:v>
      </x:c>
      <x:c r="E12" s="4" t="str">
        <x:v>功能需求</x:v>
      </x:c>
      <x:c r="F12" s="4" t="str">
        <x:v>P1</x:v>
      </x:c>
      <x:c r="G12" s="4" t="str">
        <x:v>验证选择公会不展示城市</x:v>
      </x:c>
      <x:c r="H12" s="4" t="str">
        <x:v>选择公会不展示城市</x:v>
      </x:c>
      <x:c r="I12" s="4" t="str">
        <x:v>1. 已登录公会长账号
2. 账号有可管理公会</x:v>
      </x:c>
      <x:c r="J12" s="4" t="str">
        <x:v>1. 进入「选择公会」页
2. 查看选择公会不展示城市</x:v>
      </x:c>
      <x:c r="K12" s="4" t="str">
        <x:v>公会卡片含名称、ID和状态，不显示城市</x:v>
      </x:c>
      <x:c r="L12" s="4" t="str"/>
      <x:c r="M12" s="4" t="str">
        <x:v>未测</x:v>
      </x:c>
      <x:c r="N12" s="4" t="str"/>
      <x:c r="O12" s="4" t="str">
        <x:v>1. 来源：MainBasis/统一需求文档.md；G-guild-switch-002
2. 场景：SC-b3b194dc72f4c9</x:v>
      </x:c>
    </x:row>
    <x:row r="13" ht="54" customHeight="1">
      <x:c r="A13" s="4" t="n">
        <x:v>12</x:v>
      </x:c>
      <x:c r="B13" s="4" t="str">
        <x:v>GUILD-0012</x:v>
      </x:c>
      <x:c r="C13" s="4" t="str">
        <x:v>M03 社交、私信、群聊与通知</x:v>
      </x:c>
      <x:c r="D13" s="4" t="str">
        <x:v>通知消息（公会长视角）</x:v>
      </x:c>
      <x:c r="E13" s="4" t="str">
        <x:v>功能需求</x:v>
      </x:c>
      <x:c r="F13" s="4" t="str">
        <x:v>P2</x:v>
      </x:c>
      <x:c r="G13" s="4" t="str">
        <x:v>验证标题回显</x:v>
      </x:c>
      <x:c r="H13" s="4" t="str">
        <x:v>标题回显</x:v>
      </x:c>
      <x:c r="I13" s="4" t="str">
        <x:v>1. 已登录公会长账号
2. 所选对象存在，已记录该对象的标题值</x:v>
      </x:c>
      <x:c r="J13" s="4" t="str">
        <x:v>1. 进入「通知消息」页
2. 查看标题回显</x:v>
      </x:c>
      <x:c r="K13" s="4" t="str">
        <x:v>「标题」内容与所选对象的该项资料一致</x:v>
      </x:c>
      <x:c r="L13" s="4" t="str"/>
      <x:c r="M13" s="4" t="str">
        <x:v>未测</x:v>
      </x:c>
      <x:c r="N13" s="4" t="str"/>
      <x:c r="O13" s="4" t="str">
        <x:v>1. 来源：MainBasis/统一需求文档.md；G-guild-notifications-001
2. 场景：SC-5bccc3b5f39963</x:v>
      </x:c>
    </x:row>
    <x:row r="14" ht="54" customHeight="1">
      <x:c r="A14" s="4" t="n">
        <x:v>13</x:v>
      </x:c>
      <x:c r="B14" s="4" t="str">
        <x:v>GUILD-0013</x:v>
      </x:c>
      <x:c r="C14" s="4" t="str">
        <x:v>M03 社交、私信、群聊与通知</x:v>
      </x:c>
      <x:c r="D14" s="4" t="str">
        <x:v>通知消息（公会长视角）</x:v>
      </x:c>
      <x:c r="E14" s="4" t="str">
        <x:v>功能需求</x:v>
      </x:c>
      <x:c r="F14" s="4" t="str">
        <x:v>P2</x:v>
      </x:c>
      <x:c r="G14" s="4" t="str">
        <x:v>验证时间回显</x:v>
      </x:c>
      <x:c r="H14" s="4" t="str">
        <x:v>时间回显</x:v>
      </x:c>
      <x:c r="I14" s="4" t="str">
        <x:v>1. 已登录公会长账号
2. 所选对象存在，已记录该对象的时间值</x:v>
      </x:c>
      <x:c r="J14" s="4" t="str">
        <x:v>1. 进入「通知消息」页
2. 查看时间回显</x:v>
      </x:c>
      <x:c r="K14" s="4" t="str">
        <x:v>「时间」内容与所选对象的该项资料一致</x:v>
      </x:c>
      <x:c r="L14" s="4" t="str"/>
      <x:c r="M14" s="4" t="str">
        <x:v>未测</x:v>
      </x:c>
      <x:c r="N14" s="4" t="str"/>
      <x:c r="O14" s="4" t="str">
        <x:v>1. 来源：MainBasis/统一需求文档.md；G-guild-notifications-003
2. 场景：SC-5f228d0e67dccf</x:v>
      </x:c>
    </x:row>
    <x:row r="15" ht="54" customHeight="1">
      <x:c r="A15" s="4" t="n">
        <x:v>14</x:v>
      </x:c>
      <x:c r="B15" s="4" t="str">
        <x:v>GUILD-0014</x:v>
      </x:c>
      <x:c r="C15" s="4" t="str">
        <x:v>M03 社交、私信、群聊与通知</x:v>
      </x:c>
      <x:c r="D15" s="4" t="str">
        <x:v>通知消息（公会长视角）</x:v>
      </x:c>
      <x:c r="E15" s="4" t="str">
        <x:v>功能需求</x:v>
      </x:c>
      <x:c r="F15" s="4" t="str">
        <x:v>P1</x:v>
      </x:c>
      <x:c r="G15" s="4" t="str">
        <x:v>验证公会通知时间倒序</x:v>
      </x:c>
      <x:c r="H15" s="4" t="str">
        <x:v>公会通知时间倒序</x:v>
      </x:c>
      <x:c r="I15" s="4" t="str">
        <x:v>1. 已登录公会长账号
2. 当前公会有3条生成时间不同的通知</x:v>
      </x:c>
      <x:c r="J15" s="4" t="str">
        <x:v>1. 进入「通知消息」页
2. 查看公会通知时间倒序</x:v>
      </x:c>
      <x:c r="K15" s="4" t="str">
        <x:v>通知按生成时间倒序排列</x:v>
      </x:c>
      <x:c r="L15" s="4" t="str"/>
      <x:c r="M15" s="4" t="str">
        <x:v>未测</x:v>
      </x:c>
      <x:c r="N15" s="4" t="str"/>
      <x:c r="O15" s="4" t="str">
        <x:v>1. 来源：MainBasis/统一需求文档.md；G-guild-notifications-003
2. 场景：SC-c8393335a87812</x:v>
      </x:c>
    </x:row>
    <x:row r="16" ht="54" customHeight="1">
      <x:c r="A16" s="4" t="n">
        <x:v>15</x:v>
      </x:c>
      <x:c r="B16" s="4" t="str">
        <x:v>GUILD-0015</x:v>
      </x:c>
      <x:c r="C16" s="4" t="str">
        <x:v>M03 社交、私信、群聊与通知</x:v>
      </x:c>
      <x:c r="D16" s="4" t="str">
        <x:v>通知消息（公会长视角）</x:v>
      </x:c>
      <x:c r="E16" s="4" t="str">
        <x:v>功能需求</x:v>
      </x:c>
      <x:c r="F16" s="4" t="str">
        <x:v>P2</x:v>
      </x:c>
      <x:c r="G16" s="4" t="str">
        <x:v>验证一条通知入口</x:v>
      </x:c>
      <x:c r="H16" s="4" t="str">
        <x:v>一条通知入口</x:v>
      </x:c>
      <x:c r="I16" s="4" t="str">
        <x:v>1. 已登录公会长账号
2. 当前公会存在一条通知</x:v>
      </x:c>
      <x:c r="J16" s="4" t="str">
        <x:v>1. 进入「通知消息」页
2. 点击「一条通知」</x:v>
      </x:c>
      <x:c r="K16" s="4" t="str">
        <x:v>页面进入「通知详情」</x:v>
      </x:c>
      <x:c r="L16" s="4" t="str"/>
      <x:c r="M16" s="4" t="str">
        <x:v>未测</x:v>
      </x:c>
      <x:c r="N16" s="4" t="str"/>
      <x:c r="O16" s="4" t="str">
        <x:v>1. 来源：MainBasis/统一需求文档.md；G-guild-notifications-009
2. 场景：SC-e10af2c8b8effe</x:v>
      </x:c>
    </x:row>
    <x:row r="17" ht="68" customHeight="1">
      <x:c r="A17" s="4" t="n">
        <x:v>16</x:v>
      </x:c>
      <x:c r="B17" s="4" t="str">
        <x:v>GUILD-0016</x:v>
      </x:c>
      <x:c r="C17" s="4" t="str">
        <x:v>M03 社交、私信、群聊与通知</x:v>
      </x:c>
      <x:c r="D17" s="4" t="str">
        <x:v>通知消息（公会长视角）</x:v>
      </x:c>
      <x:c r="E17" s="4" t="str">
        <x:v>功能需求</x:v>
      </x:c>
      <x:c r="F17" s="4" t="str">
        <x:v>P1</x:v>
      </x:c>
      <x:c r="G17" s="4" t="str">
        <x:v>验证公会通知详情标记已读</x:v>
      </x:c>
      <x:c r="H17" s="4" t="str">
        <x:v>公会通知详情标记已读</x:v>
      </x:c>
      <x:c r="I17" s="4" t="str">
        <x:v>1. 已登录公会长账号
2. 有一条未读通知</x:v>
      </x:c>
      <x:c r="J17" s="4" t="str">
        <x:v>1. 进入「通知消息」页
2. 打开该通知详情
3. 返回通知列表</x:v>
      </x:c>
      <x:c r="K17" s="4" t="str">
        <x:v>该通知不再显示未读标记</x:v>
      </x:c>
      <x:c r="L17" s="4" t="str"/>
      <x:c r="M17" s="4" t="str">
        <x:v>未测</x:v>
      </x:c>
      <x:c r="N17" s="4" t="str"/>
      <x:c r="O17" s="4" t="str">
        <x:v>1. 来源：MainBasis/统一需求文档.md；G-guild-notifications-004、G-guild-notification-detail-005
2. 场景：SC-ff0ff2232b0bd0</x:v>
      </x:c>
    </x:row>
    <x:row r="18" ht="68" customHeight="1">
      <x:c r="A18" s="4" t="n">
        <x:v>17</x:v>
      </x:c>
      <x:c r="B18" s="4" t="str">
        <x:v>GUILD-0017</x:v>
      </x:c>
      <x:c r="C18" s="4" t="str">
        <x:v>M03 社交、私信、群聊与通知</x:v>
      </x:c>
      <x:c r="D18" s="4" t="str">
        <x:v>通知消息（公会长视角）</x:v>
      </x:c>
      <x:c r="E18" s="4" t="str">
        <x:v>功能需求</x:v>
      </x:c>
      <x:c r="F18" s="4" t="str">
        <x:v>P1</x:v>
      </x:c>
      <x:c r="G18" s="4" t="str">
        <x:v>验证入会申请待初审通知归属</x:v>
      </x:c>
      <x:c r="H18" s="4" t="str">
        <x:v>入会申请待初审通知归属</x:v>
      </x:c>
      <x:c r="I18" s="4" t="str">
        <x:v>1. 已登录公会长账号
2. 本公会收到新的入会申请
3. 公会长当前账号允许登录，通知已写入该公会通知列表</x:v>
      </x:c>
      <x:c r="J18" s="4" t="str">
        <x:v>1. 进入「通知消息」页
2. 刷新通知列表
3. 查看该事件的通知摘要</x:v>
      </x:c>
      <x:c r="K18" s="4" t="str">
        <x:v>摘要展示该公会内的事件对象及入会申请待初审结果</x:v>
      </x:c>
      <x:c r="L18" s="4" t="str"/>
      <x:c r="M18" s="4" t="str">
        <x:v>未测</x:v>
      </x:c>
      <x:c r="N18" s="4" t="str"/>
      <x:c r="O18" s="4" t="str">
        <x:v>1. 来源：MainBasis/统一需求文档.md；G-guild-notifications-005、G-guild-notifications-002
2. 场景：SC-f1db384f5872ca</x:v>
      </x:c>
    </x:row>
    <x:row r="19" ht="82" customHeight="1">
      <x:c r="A19" s="4" t="n">
        <x:v>18</x:v>
      </x:c>
      <x:c r="B19" s="4" t="str">
        <x:v>GUILD-0018</x:v>
      </x:c>
      <x:c r="C19" s="4" t="str">
        <x:v>M03 社交、私信、群聊与通知</x:v>
      </x:c>
      <x:c r="D19" s="4" t="str">
        <x:v>通知消息（公会长视角）</x:v>
      </x:c>
      <x:c r="E19" s="4" t="str">
        <x:v>功能需求</x:v>
      </x:c>
      <x:c r="F19" s="4" t="str">
        <x:v>P1</x:v>
      </x:c>
      <x:c r="G19" s="4" t="str">
        <x:v>验证平台终审结果通知归属</x:v>
      </x:c>
      <x:c r="H19" s="4" t="str">
        <x:v>平台终审结果通知归属</x:v>
      </x:c>
      <x:c r="I19" s="4" t="str">
        <x:v>1. 已登录公会长账号
2. 平台已通过本公会一名申请人的终审
3. 公会长当前账号允许登录，通知已写入该公会通知列表</x:v>
      </x:c>
      <x:c r="J19" s="4" t="str">
        <x:v>1. 进入「通知消息」页
2. 刷新通知列表
3. 查看该事件的通知摘要</x:v>
      </x:c>
      <x:c r="K19" s="4" t="str">
        <x:v>摘要展示该公会内的事件对象及平台终审结果结果</x:v>
      </x:c>
      <x:c r="L19" s="4" t="str"/>
      <x:c r="M19" s="4" t="str">
        <x:v>未测</x:v>
      </x:c>
      <x:c r="N19" s="4" t="str"/>
      <x:c r="O19" s="4" t="str">
        <x:v>1. 来源：MainBasis/统一需求文档.md；G-guild-notifications-005、G-guild-notifications-002
2. 场景：SC-fd0dc8453cf899</x:v>
      </x:c>
    </x:row>
    <x:row r="20" ht="82" customHeight="1">
      <x:c r="A20" s="4" t="n">
        <x:v>19</x:v>
      </x:c>
      <x:c r="B20" s="4" t="str">
        <x:v>GUILD-0019</x:v>
      </x:c>
      <x:c r="C20" s="4" t="str">
        <x:v>M03 社交、私信、群聊与通知</x:v>
      </x:c>
      <x:c r="D20" s="4" t="str">
        <x:v>通知消息（公会长视角）</x:v>
      </x:c>
      <x:c r="E20" s="4" t="str">
        <x:v>功能需求</x:v>
      </x:c>
      <x:c r="F20" s="4" t="str">
        <x:v>P1</x:v>
      </x:c>
      <x:c r="G20" s="4" t="str">
        <x:v>验证平台终审结果通知归属</x:v>
      </x:c>
      <x:c r="H20" s="4" t="str">
        <x:v>平台终审结果通知归属</x:v>
      </x:c>
      <x:c r="I20" s="4" t="str">
        <x:v>1. 已登录公会长账号
2. 平台已驳回本公会一名申请人的终审
3. 公会长当前账号允许登录，通知已写入该公会通知列表</x:v>
      </x:c>
      <x:c r="J20" s="4" t="str">
        <x:v>1. 进入「通知消息」页
2. 刷新通知列表
3. 查看该事件的通知摘要</x:v>
      </x:c>
      <x:c r="K20" s="4" t="str">
        <x:v>摘要展示该公会内的事件对象及平台终审结果结果</x:v>
      </x:c>
      <x:c r="L20" s="4" t="str"/>
      <x:c r="M20" s="4" t="str">
        <x:v>未测</x:v>
      </x:c>
      <x:c r="N20" s="4" t="str"/>
      <x:c r="O20" s="4" t="str">
        <x:v>1. 来源：MainBasis/统一需求文档.md；G-guild-notifications-005、G-guild-notifications-002
2. 场景：SC-beea3d9e470b2b</x:v>
      </x:c>
    </x:row>
    <x:row r="21" ht="68" customHeight="1">
      <x:c r="A21" s="4" t="n">
        <x:v>20</x:v>
      </x:c>
      <x:c r="B21" s="4" t="str">
        <x:v>GUILD-0020</x:v>
      </x:c>
      <x:c r="C21" s="4" t="str">
        <x:v>M03 社交、私信、群聊与通知</x:v>
      </x:c>
      <x:c r="D21" s="4" t="str">
        <x:v>通知消息（公会长视角）</x:v>
      </x:c>
      <x:c r="E21" s="4" t="str">
        <x:v>功能需求</x:v>
      </x:c>
      <x:c r="F21" s="4" t="str">
        <x:v>P1</x:v>
      </x:c>
      <x:c r="G21" s="4" t="str">
        <x:v>验证退会申请待审核通知归属</x:v>
      </x:c>
      <x:c r="H21" s="4" t="str">
        <x:v>退会申请待审核通知归属</x:v>
      </x:c>
      <x:c r="I21" s="4" t="str">
        <x:v>1. 已登录公会长账号
2. 本公会主播提交退会申请
3. 公会长当前账号允许登录，通知已写入该公会通知列表</x:v>
      </x:c>
      <x:c r="J21" s="4" t="str">
        <x:v>1. 进入「通知消息」页
2. 刷新通知列表
3. 查看该事件的通知摘要</x:v>
      </x:c>
      <x:c r="K21" s="4" t="str">
        <x:v>摘要展示该公会内的事件对象及退会申请待审核结果</x:v>
      </x:c>
      <x:c r="L21" s="4" t="str"/>
      <x:c r="M21" s="4" t="str">
        <x:v>未测</x:v>
      </x:c>
      <x:c r="N21" s="4" t="str"/>
      <x:c r="O21" s="4" t="str">
        <x:v>1. 来源：MainBasis/统一需求文档.md；G-guild-notifications-005、G-guild-notifications-002
2. 场景：SC-830e07a2a8fc50</x:v>
      </x:c>
    </x:row>
    <x:row r="22" ht="82" customHeight="1">
      <x:c r="A22" s="4" t="n">
        <x:v>21</x:v>
      </x:c>
      <x:c r="B22" s="4" t="str">
        <x:v>GUILD-0021</x:v>
      </x:c>
      <x:c r="C22" s="4" t="str">
        <x:v>M03 社交、私信、群聊与通知</x:v>
      </x:c>
      <x:c r="D22" s="4" t="str">
        <x:v>通知消息（公会长视角）</x:v>
      </x:c>
      <x:c r="E22" s="4" t="str">
        <x:v>功能需求</x:v>
      </x:c>
      <x:c r="F22" s="4" t="str">
        <x:v>P1</x:v>
      </x:c>
      <x:c r="G22" s="4" t="str">
        <x:v>验证关闭直播场次通知归属</x:v>
      </x:c>
      <x:c r="H22" s="4" t="str">
        <x:v>关闭直播场次通知归属</x:v>
      </x:c>
      <x:c r="I22" s="4" t="str">
        <x:v>1. 已登录公会长账号
2. 平台已关闭本公会主播的直播场次
3. 公会长当前账号允许登录，通知已写入该公会通知列表</x:v>
      </x:c>
      <x:c r="J22" s="4" t="str">
        <x:v>1. 进入「通知消息」页
2. 刷新通知列表
3. 查看该事件的通知摘要</x:v>
      </x:c>
      <x:c r="K22" s="4" t="str">
        <x:v>摘要展示该公会内的事件对象及关闭直播场次结果</x:v>
      </x:c>
      <x:c r="L22" s="4" t="str"/>
      <x:c r="M22" s="4" t="str">
        <x:v>未测</x:v>
      </x:c>
      <x:c r="N22" s="4" t="str"/>
      <x:c r="O22" s="4" t="str">
        <x:v>1. 来源：MainBasis/统一需求文档.md；G-guild-notifications-006、G-guild-notifications-002
2. 场景：SC-49a788d14c8a08</x:v>
      </x:c>
    </x:row>
    <x:row r="23" ht="82" customHeight="1">
      <x:c r="A23" s="4" t="n">
        <x:v>22</x:v>
      </x:c>
      <x:c r="B23" s="4" t="str">
        <x:v>GUILD-0022</x:v>
      </x:c>
      <x:c r="C23" s="4" t="str">
        <x:v>M03 社交、私信、群聊与通知</x:v>
      </x:c>
      <x:c r="D23" s="4" t="str">
        <x:v>通知消息（公会长视角）</x:v>
      </x:c>
      <x:c r="E23" s="4" t="str">
        <x:v>功能需求</x:v>
      </x:c>
      <x:c r="F23" s="4" t="str">
        <x:v>P1</x:v>
      </x:c>
      <x:c r="G23" s="4" t="str">
        <x:v>验证关闭直播权限通知归属</x:v>
      </x:c>
      <x:c r="H23" s="4" t="str">
        <x:v>关闭直播权限通知归属</x:v>
      </x:c>
      <x:c r="I23" s="4" t="str">
        <x:v>1. 已登录公会长账号
2. 平台已关闭本公会主播的直播权限
3. 公会长当前账号允许登录，通知已写入该公会通知列表</x:v>
      </x:c>
      <x:c r="J23" s="4" t="str">
        <x:v>1. 进入「通知消息」页
2. 刷新通知列表
3. 查看该事件的通知摘要</x:v>
      </x:c>
      <x:c r="K23" s="4" t="str">
        <x:v>摘要展示该公会内的事件对象及关闭直播权限结果</x:v>
      </x:c>
      <x:c r="L23" s="4" t="str"/>
      <x:c r="M23" s="4" t="str">
        <x:v>未测</x:v>
      </x:c>
      <x:c r="N23" s="4" t="str"/>
      <x:c r="O23" s="4" t="str">
        <x:v>1. 来源：MainBasis/统一需求文档.md；G-guild-notifications-006、G-guild-notifications-002
2. 场景：SC-5b253c11badda8</x:v>
      </x:c>
    </x:row>
    <x:row r="24" ht="82" customHeight="1">
      <x:c r="A24" s="4" t="n">
        <x:v>23</x:v>
      </x:c>
      <x:c r="B24" s="4" t="str">
        <x:v>GUILD-0023</x:v>
      </x:c>
      <x:c r="C24" s="4" t="str">
        <x:v>M03 社交、私信、群聊与通知</x:v>
      </x:c>
      <x:c r="D24" s="4" t="str">
        <x:v>通知消息（公会长视角）</x:v>
      </x:c>
      <x:c r="E24" s="4" t="str">
        <x:v>功能需求</x:v>
      </x:c>
      <x:c r="F24" s="4" t="str">
        <x:v>P1</x:v>
      </x:c>
      <x:c r="G24" s="4" t="str">
        <x:v>验证恢复直播权限通知归属</x:v>
      </x:c>
      <x:c r="H24" s="4" t="str">
        <x:v>恢复直播权限通知归属</x:v>
      </x:c>
      <x:c r="I24" s="4" t="str">
        <x:v>1. 已登录公会长账号
2. 平台已恢复本公会主播的直播权限
3. 公会长当前账号允许登录，通知已写入该公会通知列表</x:v>
      </x:c>
      <x:c r="J24" s="4" t="str">
        <x:v>1. 进入「通知消息」页
2. 刷新通知列表
3. 查看该事件的通知摘要</x:v>
      </x:c>
      <x:c r="K24" s="4" t="str">
        <x:v>摘要展示该公会内的事件对象及恢复直播权限结果</x:v>
      </x:c>
      <x:c r="L24" s="4" t="str"/>
      <x:c r="M24" s="4" t="str">
        <x:v>未测</x:v>
      </x:c>
      <x:c r="N24" s="4" t="str"/>
      <x:c r="O24" s="4" t="str">
        <x:v>1. 来源：MainBasis/统一需求文档.md；G-guild-notifications-006、G-guild-notifications-002
2. 场景：SC-34c6ba68102312</x:v>
      </x:c>
    </x:row>
    <x:row r="25" ht="68" customHeight="1">
      <x:c r="A25" s="4" t="n">
        <x:v>24</x:v>
      </x:c>
      <x:c r="B25" s="4" t="str">
        <x:v>GUILD-0024</x:v>
      </x:c>
      <x:c r="C25" s="4" t="str">
        <x:v>M03 社交、私信、群聊与通知</x:v>
      </x:c>
      <x:c r="D25" s="4" t="str">
        <x:v>通知消息（公会长视角）</x:v>
      </x:c>
      <x:c r="E25" s="4" t="str">
        <x:v>功能需求</x:v>
      </x:c>
      <x:c r="F25" s="4" t="str">
        <x:v>P1</x:v>
      </x:c>
      <x:c r="G25" s="4" t="str">
        <x:v>验证公会状态变更通知归属</x:v>
      </x:c>
      <x:c r="H25" s="4" t="str">
        <x:v>公会状态变更通知归属</x:v>
      </x:c>
      <x:c r="I25" s="4" t="str">
        <x:v>1. 已登录公会长账号
2. 平台已改变本公会状态
3. 公会长当前账号允许登录，通知已写入该公会通知列表</x:v>
      </x:c>
      <x:c r="J25" s="4" t="str">
        <x:v>1. 进入「通知消息」页
2. 刷新通知列表
3. 查看该事件的通知摘要</x:v>
      </x:c>
      <x:c r="K25" s="4" t="str">
        <x:v>摘要展示该公会内的事件对象及公会状态变更结果</x:v>
      </x:c>
      <x:c r="L25" s="4" t="str"/>
      <x:c r="M25" s="4" t="str">
        <x:v>未测</x:v>
      </x:c>
      <x:c r="N25" s="4" t="str"/>
      <x:c r="O25" s="4" t="str">
        <x:v>1. 来源：MainBasis/统一需求文档.md；G-guild-notifications-007、G-guild-notifications-002
2. 场景：SC-8f5850a2f2a434</x:v>
      </x:c>
    </x:row>
    <x:row r="26" ht="68" customHeight="1">
      <x:c r="A26" s="4" t="n">
        <x:v>25</x:v>
      </x:c>
      <x:c r="B26" s="4" t="str">
        <x:v>GUILD-0025</x:v>
      </x:c>
      <x:c r="C26" s="4" t="str">
        <x:v>M03 社交、私信、群聊与通知</x:v>
      </x:c>
      <x:c r="D26" s="4" t="str">
        <x:v>通知消息（公会长视角）</x:v>
      </x:c>
      <x:c r="E26" s="4" t="str">
        <x:v>功能需求</x:v>
      </x:c>
      <x:c r="F26" s="4" t="str">
        <x:v>P1</x:v>
      </x:c>
      <x:c r="G26" s="4" t="str">
        <x:v>验证公会长账号状态变更通知归属</x:v>
      </x:c>
      <x:c r="H26" s="4" t="str">
        <x:v>公会长账号状态变更通知归属</x:v>
      </x:c>
      <x:c r="I26" s="4" t="str">
        <x:v>1. 已登录公会长账号
2. 平台已改变本公会长账号状态
3. 公会长当前账号允许登录，通知已写入该公会通知列表</x:v>
      </x:c>
      <x:c r="J26" s="4" t="str">
        <x:v>1. 进入「通知消息」页
2. 刷新通知列表
3. 查看该事件的通知摘要</x:v>
      </x:c>
      <x:c r="K26" s="4" t="str">
        <x:v>摘要展示该公会内的事件对象及公会长账号状态变更结果</x:v>
      </x:c>
      <x:c r="L26" s="4" t="str"/>
      <x:c r="M26" s="4" t="str">
        <x:v>未测</x:v>
      </x:c>
      <x:c r="N26" s="4" t="str"/>
      <x:c r="O26" s="4" t="str">
        <x:v>1. 来源：MainBasis/统一需求文档.md；G-guild-notifications-007、G-guild-notifications-002
2. 场景：SC-5ca407a282e845</x:v>
      </x:c>
    </x:row>
    <x:row r="27" ht="82" customHeight="1">
      <x:c r="A27" s="4" t="n">
        <x:v>26</x:v>
      </x:c>
      <x:c r="B27" s="4" t="str">
        <x:v>GUILD-0026</x:v>
      </x:c>
      <x:c r="C27" s="4" t="str">
        <x:v>M03 社交、私信、群聊与通知</x:v>
      </x:c>
      <x:c r="D27" s="4" t="str">
        <x:v>通知消息（公会长视角）</x:v>
      </x:c>
      <x:c r="E27" s="4" t="str">
        <x:v>功能需求</x:v>
      </x:c>
      <x:c r="F27" s="4" t="str">
        <x:v>P1</x:v>
      </x:c>
      <x:c r="G27" s="4" t="str">
        <x:v>验证运营账号管理权限变更通知归属</x:v>
      </x:c>
      <x:c r="H27" s="4" t="str">
        <x:v>运营账号管理权限变更通知归属</x:v>
      </x:c>
      <x:c r="I27" s="4" t="str">
        <x:v>1. 已登录公会长账号
2. 平台已改变本公会运营账号管理权限
3. 公会长当前账号允许登录，通知已写入该公会通知列表</x:v>
      </x:c>
      <x:c r="J27" s="4" t="str">
        <x:v>1. 进入「通知消息」页
2. 刷新通知列表
3. 查看该事件的通知摘要</x:v>
      </x:c>
      <x:c r="K27" s="4" t="str">
        <x:v>摘要展示该公会内的事件对象及运营账号管理权限变更结果</x:v>
      </x:c>
      <x:c r="L27" s="4" t="str"/>
      <x:c r="M27" s="4" t="str">
        <x:v>未测</x:v>
      </x:c>
      <x:c r="N27" s="4" t="str"/>
      <x:c r="O27" s="4" t="str">
        <x:v>1. 来源：MainBasis/统一需求文档.md；G-guild-notifications-007、G-guild-notifications-002
2. 场景：SC-803adcea259f4a</x:v>
      </x:c>
    </x:row>
    <x:row r="28" ht="68" customHeight="1">
      <x:c r="A28" s="4" t="n">
        <x:v>27</x:v>
      </x:c>
      <x:c r="B28" s="4" t="str">
        <x:v>GUILD-0027</x:v>
      </x:c>
      <x:c r="C28" s="4" t="str">
        <x:v>M03 社交、私信、群聊与通知</x:v>
      </x:c>
      <x:c r="D28" s="4" t="str">
        <x:v>通知消息（公会长视角）</x:v>
      </x:c>
      <x:c r="E28" s="4" t="str">
        <x:v>功能需求</x:v>
      </x:c>
      <x:c r="F28" s="4" t="str">
        <x:v>P1</x:v>
      </x:c>
      <x:c r="G28" s="4" t="str">
        <x:v>验证主播分成新增通知归属</x:v>
      </x:c>
      <x:c r="H28" s="4" t="str">
        <x:v>主播分成新增通知归属</x:v>
      </x:c>
      <x:c r="I28" s="4" t="str">
        <x:v>1. 已登录公会长账号
2. 本公会主播新增分成结果
3. 公会长当前账号允许登录，通知已写入该公会通知列表</x:v>
      </x:c>
      <x:c r="J28" s="4" t="str">
        <x:v>1. 进入「通知消息」页
2. 刷新通知列表
3. 查看该事件的通知摘要</x:v>
      </x:c>
      <x:c r="K28" s="4" t="str">
        <x:v>摘要展示该公会内的事件对象及主播分成新增结果</x:v>
      </x:c>
      <x:c r="L28" s="4" t="str"/>
      <x:c r="M28" s="4" t="str">
        <x:v>未测</x:v>
      </x:c>
      <x:c r="N28" s="4" t="str"/>
      <x:c r="O28" s="4" t="str">
        <x:v>1. 来源：MainBasis/统一需求文档.md；G-guild-notifications-008、G-guild-notifications-002
2. 场景：SC-18384d29eccbff</x:v>
      </x:c>
    </x:row>
    <x:row r="29" ht="68" customHeight="1">
      <x:c r="A29" s="4" t="n">
        <x:v>28</x:v>
      </x:c>
      <x:c r="B29" s="4" t="str">
        <x:v>GUILD-0028</x:v>
      </x:c>
      <x:c r="C29" s="4" t="str">
        <x:v>M03 社交、私信、群聊与通知</x:v>
      </x:c>
      <x:c r="D29" s="4" t="str">
        <x:v>通知消息（公会长视角）</x:v>
      </x:c>
      <x:c r="E29" s="4" t="str">
        <x:v>功能需求</x:v>
      </x:c>
      <x:c r="F29" s="4" t="str">
        <x:v>P1</x:v>
      </x:c>
      <x:c r="G29" s="4" t="str">
        <x:v>验证公会分成新增通知归属</x:v>
      </x:c>
      <x:c r="H29" s="4" t="str">
        <x:v>公会分成新增通知归属</x:v>
      </x:c>
      <x:c r="I29" s="4" t="str">
        <x:v>1. 已登录公会长账号
2. 本公会新增公会分成结果
3. 公会长当前账号允许登录，通知已写入该公会通知列表</x:v>
      </x:c>
      <x:c r="J29" s="4" t="str">
        <x:v>1. 进入「通知消息」页
2. 刷新通知列表
3. 查看该事件的通知摘要</x:v>
      </x:c>
      <x:c r="K29" s="4" t="str">
        <x:v>摘要展示该公会内的事件对象及公会分成新增结果</x:v>
      </x:c>
      <x:c r="L29" s="4" t="str"/>
      <x:c r="M29" s="4" t="str">
        <x:v>未测</x:v>
      </x:c>
      <x:c r="N29" s="4" t="str"/>
      <x:c r="O29" s="4" t="str">
        <x:v>1. 来源：MainBasis/统一需求文档.md；G-guild-notifications-008、G-guild-notifications-002
2. 场景：SC-fd2c7f309e9ef7</x:v>
      </x:c>
    </x:row>
    <x:row r="30" ht="68" customHeight="1">
      <x:c r="A30" s="4" t="n">
        <x:v>29</x:v>
      </x:c>
      <x:c r="B30" s="4" t="str">
        <x:v>GUILD-0029</x:v>
      </x:c>
      <x:c r="C30" s="4" t="str">
        <x:v>M03 社交、私信、群聊与通知</x:v>
      </x:c>
      <x:c r="D30" s="4" t="str">
        <x:v>通知消息（公会长视角）</x:v>
      </x:c>
      <x:c r="E30" s="4" t="str">
        <x:v>功能需求</x:v>
      </x:c>
      <x:c r="F30" s="4" t="str">
        <x:v>P1</x:v>
      </x:c>
      <x:c r="G30" s="4" t="str">
        <x:v>验证主播分成冲正通知归属</x:v>
      </x:c>
      <x:c r="H30" s="4" t="str">
        <x:v>主播分成冲正通知归属</x:v>
      </x:c>
      <x:c r="I30" s="4" t="str">
        <x:v>1. 已登录公会长账号
2. 本公会主播分成结果已冲正
3. 公会长当前账号允许登录，通知已写入该公会通知列表</x:v>
      </x:c>
      <x:c r="J30" s="4" t="str">
        <x:v>1. 进入「通知消息」页
2. 刷新通知列表
3. 查看该事件的通知摘要</x:v>
      </x:c>
      <x:c r="K30" s="4" t="str">
        <x:v>摘要展示该公会内的事件对象及主播分成冲正结果</x:v>
      </x:c>
      <x:c r="L30" s="4" t="str"/>
      <x:c r="M30" s="4" t="str">
        <x:v>未测</x:v>
      </x:c>
      <x:c r="N30" s="4" t="str"/>
      <x:c r="O30" s="4" t="str">
        <x:v>1. 来源：MainBasis/统一需求文档.md；G-guild-notifications-008、G-guild-notifications-002
2. 场景：SC-13d348efbd843b</x:v>
      </x:c>
    </x:row>
    <x:row r="31" ht="68" customHeight="1">
      <x:c r="A31" s="4" t="n">
        <x:v>30</x:v>
      </x:c>
      <x:c r="B31" s="4" t="str">
        <x:v>GUILD-0030</x:v>
      </x:c>
      <x:c r="C31" s="4" t="str">
        <x:v>M03 社交、私信、群聊与通知</x:v>
      </x:c>
      <x:c r="D31" s="4" t="str">
        <x:v>通知消息（公会长视角）</x:v>
      </x:c>
      <x:c r="E31" s="4" t="str">
        <x:v>功能需求</x:v>
      </x:c>
      <x:c r="F31" s="4" t="str">
        <x:v>P1</x:v>
      </x:c>
      <x:c r="G31" s="4" t="str">
        <x:v>验证公会分成冲正通知归属</x:v>
      </x:c>
      <x:c r="H31" s="4" t="str">
        <x:v>公会分成冲正通知归属</x:v>
      </x:c>
      <x:c r="I31" s="4" t="str">
        <x:v>1. 已登录公会长账号
2. 本公会分成结果已冲正
3. 公会长当前账号允许登录，通知已写入该公会通知列表</x:v>
      </x:c>
      <x:c r="J31" s="4" t="str">
        <x:v>1. 进入「通知消息」页
2. 刷新通知列表
3. 查看该事件的通知摘要</x:v>
      </x:c>
      <x:c r="K31" s="4" t="str">
        <x:v>摘要展示该公会内的事件对象及公会分成冲正结果</x:v>
      </x:c>
      <x:c r="L31" s="4" t="str"/>
      <x:c r="M31" s="4" t="str">
        <x:v>未测</x:v>
      </x:c>
      <x:c r="N31" s="4" t="str"/>
      <x:c r="O31" s="4" t="str">
        <x:v>1. 来源：MainBasis/统一需求文档.md；G-guild-notifications-008、G-guild-notifications-002
2. 场景：SC-74f1867c2783a0</x:v>
      </x:c>
    </x:row>
    <x:row r="32" ht="54" customHeight="1">
      <x:c r="A32" s="4" t="n">
        <x:v>31</x:v>
      </x:c>
      <x:c r="B32" s="4" t="str">
        <x:v>GUILD-0031</x:v>
      </x:c>
      <x:c r="C32" s="4" t="str">
        <x:v>M03 社交、私信、群聊与通知</x:v>
      </x:c>
      <x:c r="D32" s="4" t="str">
        <x:v>通知详情（公会长视角）</x:v>
      </x:c>
      <x:c r="E32" s="4" t="str">
        <x:v>功能需求</x:v>
      </x:c>
      <x:c r="F32" s="4" t="str">
        <x:v>P2</x:v>
      </x:c>
      <x:c r="G32" s="4" t="str">
        <x:v>验证标题回显</x:v>
      </x:c>
      <x:c r="H32" s="4" t="str">
        <x:v>标题回显</x:v>
      </x:c>
      <x:c r="I32" s="4" t="str">
        <x:v>1. 已登录公会长账号
2. 所选对象存在，已记录该对象的标题值</x:v>
      </x:c>
      <x:c r="J32" s="4" t="str">
        <x:v>1. 进入「通知详情」页
2. 查看标题回显</x:v>
      </x:c>
      <x:c r="K32" s="4" t="str">
        <x:v>「标题」内容与所选对象的该项资料一致</x:v>
      </x:c>
      <x:c r="L32" s="4" t="str"/>
      <x:c r="M32" s="4" t="str">
        <x:v>未测</x:v>
      </x:c>
      <x:c r="N32" s="4" t="str"/>
      <x:c r="O32" s="4" t="str">
        <x:v>1. 来源：MainBasis/统一需求文档.md；G-guild-notification-detail-001
2. 场景：SC-1dba2ee8637087</x:v>
      </x:c>
    </x:row>
    <x:row r="33" ht="54" customHeight="1">
      <x:c r="A33" s="4" t="n">
        <x:v>32</x:v>
      </x:c>
      <x:c r="B33" s="4" t="str">
        <x:v>GUILD-0032</x:v>
      </x:c>
      <x:c r="C33" s="4" t="str">
        <x:v>M03 社交、私信、群聊与通知</x:v>
      </x:c>
      <x:c r="D33" s="4" t="str">
        <x:v>通知详情（公会长视角）</x:v>
      </x:c>
      <x:c r="E33" s="4" t="str">
        <x:v>功能需求</x:v>
      </x:c>
      <x:c r="F33" s="4" t="str">
        <x:v>P2</x:v>
      </x:c>
      <x:c r="G33" s="4" t="str">
        <x:v>验证发送时间回显</x:v>
      </x:c>
      <x:c r="H33" s="4" t="str">
        <x:v>发送时间回显</x:v>
      </x:c>
      <x:c r="I33" s="4" t="str">
        <x:v>1. 已登录公会长账号
2. 所选对象存在，已记录该对象的发送时间值</x:v>
      </x:c>
      <x:c r="J33" s="4" t="str">
        <x:v>1. 进入「通知详情」页
2. 查看发送时间回显</x:v>
      </x:c>
      <x:c r="K33" s="4" t="str">
        <x:v>「发送时间」内容与所选对象的该项资料一致</x:v>
      </x:c>
      <x:c r="L33" s="4" t="str"/>
      <x:c r="M33" s="4" t="str">
        <x:v>未测</x:v>
      </x:c>
      <x:c r="N33" s="4" t="str"/>
      <x:c r="O33" s="4" t="str">
        <x:v>1. 来源：MainBasis/统一需求文档.md；G-guild-notification-detail-002
2. 场景：SC-e1df2320064ce8</x:v>
      </x:c>
    </x:row>
    <x:row r="34" ht="54" customHeight="1">
      <x:c r="A34" s="4" t="n">
        <x:v>33</x:v>
      </x:c>
      <x:c r="B34" s="4" t="str">
        <x:v>GUILD-0033</x:v>
      </x:c>
      <x:c r="C34" s="4" t="str">
        <x:v>M03 社交、私信、群聊与通知</x:v>
      </x:c>
      <x:c r="D34" s="4" t="str">
        <x:v>通知详情（公会长视角）</x:v>
      </x:c>
      <x:c r="E34" s="4" t="str">
        <x:v>功能需求</x:v>
      </x:c>
      <x:c r="F34" s="4" t="str">
        <x:v>P2</x:v>
      </x:c>
      <x:c r="G34" s="4" t="str">
        <x:v>验证正文回显</x:v>
      </x:c>
      <x:c r="H34" s="4" t="str">
        <x:v>正文回显</x:v>
      </x:c>
      <x:c r="I34" s="4" t="str">
        <x:v>1. 已登录公会长账号
2. 所选对象存在，已记录该对象的正文值</x:v>
      </x:c>
      <x:c r="J34" s="4" t="str">
        <x:v>1. 进入「通知详情」页
2. 查看正文回显</x:v>
      </x:c>
      <x:c r="K34" s="4" t="str">
        <x:v>「正文」内容与所选对象的该项资料一致</x:v>
      </x:c>
      <x:c r="L34" s="4" t="str"/>
      <x:c r="M34" s="4" t="str">
        <x:v>未测</x:v>
      </x:c>
      <x:c r="N34" s="4" t="str"/>
      <x:c r="O34" s="4" t="str">
        <x:v>1. 来源：MainBasis/统一需求文档.md；G-guild-notification-detail-003
2. 场景：SC-2dc0978df15a0e</x:v>
      </x:c>
    </x:row>
    <x:row r="35" ht="54" customHeight="1">
      <x:c r="A35" s="4" t="n">
        <x:v>34</x:v>
      </x:c>
      <x:c r="B35" s="4" t="str">
        <x:v>GUILD-0034</x:v>
      </x:c>
      <x:c r="C35" s="4" t="str">
        <x:v>M03 社交、私信、群聊与通知</x:v>
      </x:c>
      <x:c r="D35" s="4" t="str">
        <x:v>通知详情（公会长视角）</x:v>
      </x:c>
      <x:c r="E35" s="4" t="str">
        <x:v>功能需求</x:v>
      </x:c>
      <x:c r="F35" s="4" t="str">
        <x:v>P1</x:v>
      </x:c>
      <x:c r="G35" s="4" t="str">
        <x:v>验证通知业务入口有关联有权限</x:v>
      </x:c>
      <x:c r="H35" s="4" t="str">
        <x:v>通知业务入口有关联有权限</x:v>
      </x:c>
      <x:c r="I35" s="4" t="str">
        <x:v>1. 已登录公会长账号
2. 该通知有关联业务记录，当前账号有该记录权限</x:v>
      </x:c>
      <x:c r="J35" s="4" t="str">
        <x:v>1. 进入「通知详情」页
2. 查看通知业务入口有关联有权限</x:v>
      </x:c>
      <x:c r="K35" s="4" t="str">
        <x:v>显示业务入口</x:v>
      </x:c>
      <x:c r="L35" s="4" t="str"/>
      <x:c r="M35" s="4" t="str">
        <x:v>未测</x:v>
      </x:c>
      <x:c r="N35" s="4" t="str"/>
      <x:c r="O35" s="4" t="str">
        <x:v>1. 来源：MainBasis/统一需求文档.md；G-guild-notification-detail-004
2. 场景：SC-69e3afa24337f0</x:v>
      </x:c>
    </x:row>
    <x:row r="36" ht="54" customHeight="1">
      <x:c r="A36" s="4" t="n">
        <x:v>35</x:v>
      </x:c>
      <x:c r="B36" s="4" t="str">
        <x:v>GUILD-0035</x:v>
      </x:c>
      <x:c r="C36" s="4" t="str">
        <x:v>M03 社交、私信、群聊与通知</x:v>
      </x:c>
      <x:c r="D36" s="4" t="str">
        <x:v>通知详情（公会长视角）</x:v>
      </x:c>
      <x:c r="E36" s="4" t="str">
        <x:v>功能需求</x:v>
      </x:c>
      <x:c r="F36" s="4" t="str">
        <x:v>P1</x:v>
      </x:c>
      <x:c r="G36" s="4" t="str">
        <x:v>验证通知业务入口有关联无权限</x:v>
      </x:c>
      <x:c r="H36" s="4" t="str">
        <x:v>通知业务入口有关联无权限</x:v>
      </x:c>
      <x:c r="I36" s="4" t="str">
        <x:v>1. 已登录公会长账号
2. 该通知有关联业务记录，当前账号无该记录权限</x:v>
      </x:c>
      <x:c r="J36" s="4" t="str">
        <x:v>1. 进入「通知详情」页
2. 查看通知业务入口有关联无权限</x:v>
      </x:c>
      <x:c r="K36" s="4" t="str">
        <x:v>不显示业务入口</x:v>
      </x:c>
      <x:c r="L36" s="4" t="str"/>
      <x:c r="M36" s="4" t="str">
        <x:v>未测</x:v>
      </x:c>
      <x:c r="N36" s="4" t="str"/>
      <x:c r="O36" s="4" t="str">
        <x:v>1. 来源：MainBasis/统一需求文档.md；G-guild-notification-detail-004
2. 场景：SC-611a96cfd0b7f1</x:v>
      </x:c>
    </x:row>
    <x:row r="37" ht="54" customHeight="1">
      <x:c r="A37" s="4" t="n">
        <x:v>36</x:v>
      </x:c>
      <x:c r="B37" s="4" t="str">
        <x:v>GUILD-0036</x:v>
      </x:c>
      <x:c r="C37" s="4" t="str">
        <x:v>M03 社交、私信、群聊与通知</x:v>
      </x:c>
      <x:c r="D37" s="4" t="str">
        <x:v>通知详情（公会长视角）</x:v>
      </x:c>
      <x:c r="E37" s="4" t="str">
        <x:v>功能需求</x:v>
      </x:c>
      <x:c r="F37" s="4" t="str">
        <x:v>P1</x:v>
      </x:c>
      <x:c r="G37" s="4" t="str">
        <x:v>验证通知业务入口无关联有权限</x:v>
      </x:c>
      <x:c r="H37" s="4" t="str">
        <x:v>通知业务入口无关联有权限</x:v>
      </x:c>
      <x:c r="I37" s="4" t="str">
        <x:v>1. 已登录公会长账号
2. 该通知无关联业务记录，当前账号有该记录权限</x:v>
      </x:c>
      <x:c r="J37" s="4" t="str">
        <x:v>1. 进入「通知详情」页
2. 查看通知业务入口无关联有权限</x:v>
      </x:c>
      <x:c r="K37" s="4" t="str">
        <x:v>不显示业务入口</x:v>
      </x:c>
      <x:c r="L37" s="4" t="str"/>
      <x:c r="M37" s="4" t="str">
        <x:v>未测</x:v>
      </x:c>
      <x:c r="N37" s="4" t="str"/>
      <x:c r="O37" s="4" t="str">
        <x:v>1. 来源：MainBasis/统一需求文档.md；G-guild-notification-detail-004
2. 场景：SC-51aef44077a87f</x:v>
      </x:c>
    </x:row>
    <x:row r="38" ht="54" customHeight="1">
      <x:c r="A38" s="4" t="n">
        <x:v>37</x:v>
      </x:c>
      <x:c r="B38" s="4" t="str">
        <x:v>GUILD-0037</x:v>
      </x:c>
      <x:c r="C38" s="4" t="str">
        <x:v>M03 社交、私信、群聊与通知</x:v>
      </x:c>
      <x:c r="D38" s="4" t="str">
        <x:v>通知详情（公会长视角）</x:v>
      </x:c>
      <x:c r="E38" s="4" t="str">
        <x:v>功能需求</x:v>
      </x:c>
      <x:c r="F38" s="4" t="str">
        <x:v>P1</x:v>
      </x:c>
      <x:c r="G38" s="4" t="str">
        <x:v>验证通知跳转关联记录</x:v>
      </x:c>
      <x:c r="H38" s="4" t="str">
        <x:v>通知跳转关联记录</x:v>
      </x:c>
      <x:c r="I38" s="4" t="str">
        <x:v>1. 已登录公会长账号
2. 通知有关联入会申请且当前账号有查看权限</x:v>
      </x:c>
      <x:c r="J38" s="4" t="str">
        <x:v>1. 进入「通知详情」页
2. 点击业务入口</x:v>
      </x:c>
      <x:c r="K38" s="4" t="str">
        <x:v>进入该通知对应的申请记录</x:v>
      </x:c>
      <x:c r="L38" s="4" t="str"/>
      <x:c r="M38" s="4" t="str">
        <x:v>未测</x:v>
      </x:c>
      <x:c r="N38" s="4" t="str"/>
      <x:c r="O38" s="4" t="str">
        <x:v>1. 来源：MainBasis/统一需求文档.md；G-guild-notification-detail-005
2. 场景：SC-b7205a13411e5c</x:v>
      </x:c>
    </x:row>
    <x:row r="39" ht="54" customHeight="1">
      <x:c r="A39" s="4" t="n">
        <x:v>38</x:v>
      </x:c>
      <x:c r="B39" s="4" t="str">
        <x:v>GUILD-0038</x:v>
      </x:c>
      <x:c r="C39" s="4" t="str">
        <x:v>M05 公会申请、认证、组织与权限</x:v>
      </x:c>
      <x:c r="D39" s="4" t="str">
        <x:v>首页（公会长视角）</x:v>
      </x:c>
      <x:c r="E39" s="4" t="str">
        <x:v>功能需求</x:v>
      </x:c>
      <x:c r="F39" s="4" t="str">
        <x:v>P2</x:v>
      </x:c>
      <x:c r="G39" s="4" t="str">
        <x:v>验证当前公会回显</x:v>
      </x:c>
      <x:c r="H39" s="4" t="str">
        <x:v>当前公会回显</x:v>
      </x:c>
      <x:c r="I39" s="4" t="str">
        <x:v>1. 已登录公会长账号
2. 所选对象存在，已记录该对象的当前公会值</x:v>
      </x:c>
      <x:c r="J39" s="4" t="str">
        <x:v>1. 进入「首页」页
2. 查看当前公会回显</x:v>
      </x:c>
      <x:c r="K39" s="4" t="str">
        <x:v>「当前公会」内容与所选对象的该项资料一致</x:v>
      </x:c>
      <x:c r="L39" s="4" t="str"/>
      <x:c r="M39" s="4" t="str">
        <x:v>未测</x:v>
      </x:c>
      <x:c r="N39" s="4" t="str"/>
      <x:c r="O39" s="4" t="str">
        <x:v>1. 来源：MainBasis/统一需求文档.md；G-guild-home-001
2. 场景：SC-aa29d0ad5e5b30</x:v>
      </x:c>
    </x:row>
    <x:row r="40" ht="54" customHeight="1">
      <x:c r="A40" s="4" t="n">
        <x:v>39</x:v>
      </x:c>
      <x:c r="B40" s="4" t="str">
        <x:v>GUILD-0039</x:v>
      </x:c>
      <x:c r="C40" s="4" t="str">
        <x:v>M05 公会申请、认证、组织与权限</x:v>
      </x:c>
      <x:c r="D40" s="4" t="str">
        <x:v>首页（公会长视角）</x:v>
      </x:c>
      <x:c r="E40" s="4" t="str">
        <x:v>功能需求</x:v>
      </x:c>
      <x:c r="F40" s="4" t="str">
        <x:v>P2</x:v>
      </x:c>
      <x:c r="G40" s="4" t="str">
        <x:v>验证今日概况回显</x:v>
      </x:c>
      <x:c r="H40" s="4" t="str">
        <x:v>今日概况回显</x:v>
      </x:c>
      <x:c r="I40" s="4" t="str">
        <x:v>1. 已登录公会长账号
2. 所选对象存在，已记录该对象的今日概况值</x:v>
      </x:c>
      <x:c r="J40" s="4" t="str">
        <x:v>1. 进入「首页」页
2. 查看今日概况回显</x:v>
      </x:c>
      <x:c r="K40" s="4" t="str">
        <x:v>「今日概况」内容与所选对象的该项资料一致</x:v>
      </x:c>
      <x:c r="L40" s="4" t="str"/>
      <x:c r="M40" s="4" t="str">
        <x:v>未测</x:v>
      </x:c>
      <x:c r="N40" s="4" t="str"/>
      <x:c r="O40" s="4" t="str">
        <x:v>1. 来源：MainBasis/统一需求文档.md；G-guild-home-002
2. 场景：SC-865cdc9c5f1fad</x:v>
      </x:c>
    </x:row>
    <x:row r="41" ht="68" customHeight="1">
      <x:c r="A41" s="4" t="n">
        <x:v>40</x:v>
      </x:c>
      <x:c r="B41" s="4" t="str">
        <x:v>GUILD-0040</x:v>
      </x:c>
      <x:c r="C41" s="4" t="str">
        <x:v>M05 公会申请、认证、组织与权限</x:v>
      </x:c>
      <x:c r="D41" s="4" t="str">
        <x:v>首页（公会长视角）</x:v>
      </x:c>
      <x:c r="E41" s="4" t="str">
        <x:v>逻辑校验</x:v>
      </x:c>
      <x:c r="F41" s="4" t="str">
        <x:v>P1</x:v>
      </x:c>
      <x:c r="G41" s="4" t="str">
        <x:v>验证公会今日礼物收益区分幸运赠礼</x:v>
      </x:c>
      <x:c r="H41" s="4" t="str">
        <x:v>公会今日礼物收益区分幸运赠礼</x:v>
      </x:c>
      <x:c r="I41" s="4" t="str">
        <x:v>1. 已登录公会长账号
2. 范围内普通礼物100、定制礼物200、幸运礼物1000且赠送时比例1%，返奖900</x:v>
      </x:c>
      <x:c r="J41" s="4" t="str">
        <x:v>1. 进入「首页」页
2. 查看公会今日礼物收益区分幸运赠礼</x:v>
      </x:c>
      <x:c r="K41" s="4" t="str">
        <x:v>公会今日礼物收益 = 100 + 200 + 1000 × 1% = 310金币</x:v>
      </x:c>
      <x:c r="L41" s="4" t="str"/>
      <x:c r="M41" s="4" t="str">
        <x:v>未测</x:v>
      </x:c>
      <x:c r="N41" s="4" t="str"/>
      <x:c r="O41" s="4" t="str">
        <x:v>1. 来源：MainBasis/统一需求文档.md；G-guild-home-004、G-guild-home-005
2. 场景：SC-81c5b85bb8d6f2</x:v>
      </x:c>
    </x:row>
    <x:row r="42" ht="54" customHeight="1">
      <x:c r="A42" s="4" t="n">
        <x:v>41</x:v>
      </x:c>
      <x:c r="B42" s="4" t="str">
        <x:v>GUILD-0041</x:v>
      </x:c>
      <x:c r="C42" s="4" t="str">
        <x:v>M05 公会申请、认证、组织与权限</x:v>
      </x:c>
      <x:c r="D42" s="4" t="str">
        <x:v>首页（公会长视角）</x:v>
      </x:c>
      <x:c r="E42" s="4" t="str">
        <x:v>逻辑校验</x:v>
      </x:c>
      <x:c r="F42" s="4" t="str">
        <x:v>P1</x:v>
      </x:c>
      <x:c r="G42" s="4" t="str">
        <x:v>验证公会今日礼物收益排除虚拟和失败</x:v>
      </x:c>
      <x:c r="H42" s="4" t="str">
        <x:v>公会今日礼物收益排除虚拟和失败</x:v>
      </x:c>
      <x:c r="I42" s="4" t="str">
        <x:v>1. 已登录公会长账号
2. 范围内真实成功普通礼物100，另有虚拟礼物100、失败礼物50</x:v>
      </x:c>
      <x:c r="J42" s="4" t="str">
        <x:v>1. 进入「首页」页
2. 查看公会今日礼物收益排除虚拟和失败</x:v>
      </x:c>
      <x:c r="K42" s="4" t="str">
        <x:v>公会今日礼物收益 = 100金币</x:v>
      </x:c>
      <x:c r="L42" s="4" t="str"/>
      <x:c r="M42" s="4" t="str">
        <x:v>未测</x:v>
      </x:c>
      <x:c r="N42" s="4" t="str"/>
      <x:c r="O42" s="4" t="str">
        <x:v>1. 来源：MainBasis/统一需求文档.md；G-guild-home-004、G-guild-home-005
2. 场景：SC-54589bb3e1fa85</x:v>
      </x:c>
    </x:row>
    <x:row r="43" ht="54" customHeight="1">
      <x:c r="A43" s="4" t="n">
        <x:v>42</x:v>
      </x:c>
      <x:c r="B43" s="4" t="str">
        <x:v>GUILD-0042</x:v>
      </x:c>
      <x:c r="C43" s="4" t="str">
        <x:v>M05 公会申请、认证、组织与权限</x:v>
      </x:c>
      <x:c r="D43" s="4" t="str">
        <x:v>首页（公会长视角）</x:v>
      </x:c>
      <x:c r="E43" s="4" t="str">
        <x:v>功能需求</x:v>
      </x:c>
      <x:c r="F43" s="4" t="str">
        <x:v>P1</x:v>
      </x:c>
      <x:c r="G43" s="4" t="str">
        <x:v>验证公会首页当前直播中人数</x:v>
      </x:c>
      <x:c r="H43" s="4" t="str">
        <x:v>公会首页当前直播中人数</x:v>
      </x:c>
      <x:c r="I43" s="4" t="str">
        <x:v>1. 已登录公会长账号
2. 当前公会甲正在直播、乙已结束，另一公会丙正在直播</x:v>
      </x:c>
      <x:c r="J43" s="4" t="str">
        <x:v>1. 进入「首页」页
2. 查看公会首页当前直播中人数</x:v>
      </x:c>
      <x:c r="K43" s="4" t="str">
        <x:v>直播中人数1</x:v>
      </x:c>
      <x:c r="L43" s="4" t="str"/>
      <x:c r="M43" s="4" t="str">
        <x:v>未测</x:v>
      </x:c>
      <x:c r="N43" s="4" t="str"/>
      <x:c r="O43" s="4" t="str">
        <x:v>1. 来源：MainBasis/统一需求文档.md；G-guild-home-003
2. 场景：SC-9b404f49d3d892</x:v>
      </x:c>
    </x:row>
    <x:row r="44" ht="54" customHeight="1">
      <x:c r="A44" s="4" t="n">
        <x:v>43</x:v>
      </x:c>
      <x:c r="B44" s="4" t="str">
        <x:v>GUILD-0043</x:v>
      </x:c>
      <x:c r="C44" s="4" t="str">
        <x:v>M05 公会申请、认证、组织与权限</x:v>
      </x:c>
      <x:c r="D44" s="4" t="str">
        <x:v>首页（公会长视角）</x:v>
      </x:c>
      <x:c r="E44" s="4" t="str">
        <x:v>功能需求</x:v>
      </x:c>
      <x:c r="F44" s="4" t="str">
        <x:v>P1</x:v>
      </x:c>
      <x:c r="G44" s="4" t="str">
        <x:v>验证今日概况下钻</x:v>
      </x:c>
      <x:c r="H44" s="4" t="str">
        <x:v>今日概况下钻</x:v>
      </x:c>
      <x:c r="I44" s="4" t="str">
        <x:v>1. 已登录公会长账号
2. 当前公会已选择</x:v>
      </x:c>
      <x:c r="J44" s="4" t="str">
        <x:v>1. 进入「首页」页
2. 点击今日概况</x:v>
      </x:c>
      <x:c r="K44" s="4" t="str">
        <x:v>进入当前公会当日经营详情</x:v>
      </x:c>
      <x:c r="L44" s="4" t="str"/>
      <x:c r="M44" s="4" t="str">
        <x:v>未测</x:v>
      </x:c>
      <x:c r="N44" s="4" t="str"/>
      <x:c r="O44" s="4" t="str">
        <x:v>1. 来源：MainBasis/统一需求文档.md；G-guild-home-006
2. 场景：SC-5477b6af01170e</x:v>
      </x:c>
    </x:row>
    <x:row r="45" ht="54" customHeight="1">
      <x:c r="A45" s="4" t="n">
        <x:v>44</x:v>
      </x:c>
      <x:c r="B45" s="4" t="str">
        <x:v>GUILD-0044</x:v>
      </x:c>
      <x:c r="C45" s="4" t="str">
        <x:v>M05 公会申请、认证、组织与权限</x:v>
      </x:c>
      <x:c r="D45" s="4" t="str">
        <x:v>入会申请（公会长视角）</x:v>
      </x:c>
      <x:c r="E45" s="4" t="str">
        <x:v>功能需求</x:v>
      </x:c>
      <x:c r="F45" s="4" t="str">
        <x:v>P2</x:v>
      </x:c>
      <x:c r="G45" s="4" t="str">
        <x:v>验证申请人回显</x:v>
      </x:c>
      <x:c r="H45" s="4" t="str">
        <x:v>申请人回显</x:v>
      </x:c>
      <x:c r="I45" s="4" t="str">
        <x:v>1. 已登录公会长账号
2. 所选对象存在，已记录该对象的申请人值</x:v>
      </x:c>
      <x:c r="J45" s="4" t="str">
        <x:v>1. 进入「入会申请」页
2. 查看申请人回显</x:v>
      </x:c>
      <x:c r="K45" s="4" t="str">
        <x:v>「申请人」内容与所选对象的该项资料一致</x:v>
      </x:c>
      <x:c r="L45" s="4" t="str"/>
      <x:c r="M45" s="4" t="str">
        <x:v>未测</x:v>
      </x:c>
      <x:c r="N45" s="4" t="str"/>
      <x:c r="O45" s="4" t="str">
        <x:v>1. 来源：MainBasis/统一需求文档.md；G-guild-join-review-001
2. 场景：SC-82e775fa8b25cd</x:v>
      </x:c>
    </x:row>
    <x:row r="46" ht="54" customHeight="1">
      <x:c r="A46" s="4" t="n">
        <x:v>45</x:v>
      </x:c>
      <x:c r="B46" s="4" t="str">
        <x:v>GUILD-0045</x:v>
      </x:c>
      <x:c r="C46" s="4" t="str">
        <x:v>M05 公会申请、认证、组织与权限</x:v>
      </x:c>
      <x:c r="D46" s="4" t="str">
        <x:v>入会申请（公会长视角）</x:v>
      </x:c>
      <x:c r="E46" s="4" t="str">
        <x:v>功能需求</x:v>
      </x:c>
      <x:c r="F46" s="4" t="str">
        <x:v>P2</x:v>
      </x:c>
      <x:c r="G46" s="4" t="str">
        <x:v>验证申请时间回显</x:v>
      </x:c>
      <x:c r="H46" s="4" t="str">
        <x:v>申请时间回显</x:v>
      </x:c>
      <x:c r="I46" s="4" t="str">
        <x:v>1. 已登录公会长账号
2. 所选对象存在，已记录该对象的申请时间值</x:v>
      </x:c>
      <x:c r="J46" s="4" t="str">
        <x:v>1. 进入「入会申请」页
2. 查看申请时间回显</x:v>
      </x:c>
      <x:c r="K46" s="4" t="str">
        <x:v>「申请时间」内容与所选对象的该项资料一致</x:v>
      </x:c>
      <x:c r="L46" s="4" t="str"/>
      <x:c r="M46" s="4" t="str">
        <x:v>未测</x:v>
      </x:c>
      <x:c r="N46" s="4" t="str"/>
      <x:c r="O46" s="4" t="str">
        <x:v>1. 来源：MainBasis/统一需求文档.md；G-guild-join-review-002
2. 场景：SC-0045ae38c13243</x:v>
      </x:c>
    </x:row>
    <x:row r="47" ht="54" customHeight="1">
      <x:c r="A47" s="4" t="n">
        <x:v>46</x:v>
      </x:c>
      <x:c r="B47" s="4" t="str">
        <x:v>GUILD-0046</x:v>
      </x:c>
      <x:c r="C47" s="4" t="str">
        <x:v>M05 公会申请、认证、组织与权限</x:v>
      </x:c>
      <x:c r="D47" s="4" t="str">
        <x:v>入会申请（公会长视角）</x:v>
      </x:c>
      <x:c r="E47" s="4" t="str">
        <x:v>功能需求</x:v>
      </x:c>
      <x:c r="F47" s="4" t="str">
        <x:v>P1</x:v>
      </x:c>
      <x:c r="G47" s="4" t="str">
        <x:v>验证入会筛选审核中</x:v>
      </x:c>
      <x:c r="H47" s="4" t="str">
        <x:v>入会筛选审核中</x:v>
      </x:c>
      <x:c r="I47" s="4" t="str">
        <x:v>1. 已登录公会长账号
2. 存在多个状态申请</x:v>
      </x:c>
      <x:c r="J47" s="4" t="str">
        <x:v>1. 进入「入会申请」页
2. 切换审核中Tab</x:v>
      </x:c>
      <x:c r="K47" s="4" t="str">
        <x:v>仅显示属于审核中Tab的申请</x:v>
      </x:c>
      <x:c r="L47" s="4" t="str"/>
      <x:c r="M47" s="4" t="str">
        <x:v>未测</x:v>
      </x:c>
      <x:c r="N47" s="4" t="str"/>
      <x:c r="O47" s="4" t="str">
        <x:v>1. 来源：MainBasis/统一需求文档.md；G-guild-join-review-007
2. 场景：SC-f19dc7569bcc4f</x:v>
      </x:c>
    </x:row>
    <x:row r="48" ht="54" customHeight="1">
      <x:c r="A48" s="4" t="n">
        <x:v>47</x:v>
      </x:c>
      <x:c r="B48" s="4" t="str">
        <x:v>GUILD-0047</x:v>
      </x:c>
      <x:c r="C48" s="4" t="str">
        <x:v>M05 公会申请、认证、组织与权限</x:v>
      </x:c>
      <x:c r="D48" s="4" t="str">
        <x:v>入会申请（公会长视角）</x:v>
      </x:c>
      <x:c r="E48" s="4" t="str">
        <x:v>功能需求</x:v>
      </x:c>
      <x:c r="F48" s="4" t="str">
        <x:v>P1</x:v>
      </x:c>
      <x:c r="G48" s="4" t="str">
        <x:v>验证入会筛选已通过</x:v>
      </x:c>
      <x:c r="H48" s="4" t="str">
        <x:v>入会筛选已通过</x:v>
      </x:c>
      <x:c r="I48" s="4" t="str">
        <x:v>1. 已登录公会长账号
2. 存在多个状态申请</x:v>
      </x:c>
      <x:c r="J48" s="4" t="str">
        <x:v>1. 进入「入会申请」页
2. 切换已通过Tab</x:v>
      </x:c>
      <x:c r="K48" s="4" t="str">
        <x:v>仅显示属于已通过Tab的申请</x:v>
      </x:c>
      <x:c r="L48" s="4" t="str"/>
      <x:c r="M48" s="4" t="str">
        <x:v>未测</x:v>
      </x:c>
      <x:c r="N48" s="4" t="str"/>
      <x:c r="O48" s="4" t="str">
        <x:v>1. 来源：MainBasis/统一需求文档.md；G-guild-join-review-007
2. 场景：SC-fe23d683fa72af</x:v>
      </x:c>
    </x:row>
    <x:row r="49" ht="54" customHeight="1">
      <x:c r="A49" s="4" t="n">
        <x:v>48</x:v>
      </x:c>
      <x:c r="B49" s="4" t="str">
        <x:v>GUILD-0048</x:v>
      </x:c>
      <x:c r="C49" s="4" t="str">
        <x:v>M05 公会申请、认证、组织与权限</x:v>
      </x:c>
      <x:c r="D49" s="4" t="str">
        <x:v>入会申请（公会长视角）</x:v>
      </x:c>
      <x:c r="E49" s="4" t="str">
        <x:v>功能需求</x:v>
      </x:c>
      <x:c r="F49" s="4" t="str">
        <x:v>P1</x:v>
      </x:c>
      <x:c r="G49" s="4" t="str">
        <x:v>验证入会筛选已驳回</x:v>
      </x:c>
      <x:c r="H49" s="4" t="str">
        <x:v>入会筛选已驳回</x:v>
      </x:c>
      <x:c r="I49" s="4" t="str">
        <x:v>1. 已登录公会长账号
2. 存在多个状态申请</x:v>
      </x:c>
      <x:c r="J49" s="4" t="str">
        <x:v>1. 进入「入会申请」页
2. 切换已驳回Tab</x:v>
      </x:c>
      <x:c r="K49" s="4" t="str">
        <x:v>仅显示属于已驳回Tab的申请</x:v>
      </x:c>
      <x:c r="L49" s="4" t="str"/>
      <x:c r="M49" s="4" t="str">
        <x:v>未测</x:v>
      </x:c>
      <x:c r="N49" s="4" t="str"/>
      <x:c r="O49" s="4" t="str">
        <x:v>1. 来源：MainBasis/统一需求文档.md；G-guild-join-review-007
2. 场景：SC-40e6a3baf74af4</x:v>
      </x:c>
    </x:row>
    <x:row r="50" ht="54" customHeight="1">
      <x:c r="A50" s="4" t="n">
        <x:v>49</x:v>
      </x:c>
      <x:c r="B50" s="4" t="str">
        <x:v>GUILD-0049</x:v>
      </x:c>
      <x:c r="C50" s="4" t="str">
        <x:v>M05 公会申请、认证、组织与权限</x:v>
      </x:c>
      <x:c r="D50" s="4" t="str">
        <x:v>入会申请（公会长视角）</x:v>
      </x:c>
      <x:c r="E50" s="4" t="str">
        <x:v>功能需求</x:v>
      </x:c>
      <x:c r="F50" s="4" t="str">
        <x:v>P2</x:v>
      </x:c>
      <x:c r="G50" s="4" t="str">
        <x:v>验证申请卡片入口</x:v>
      </x:c>
      <x:c r="H50" s="4" t="str">
        <x:v>申请卡片入口</x:v>
      </x:c>
      <x:c r="I50" s="4" t="str">
        <x:v>1. 已登录公会长账号</x:v>
      </x:c>
      <x:c r="J50" s="4" t="str">
        <x:v>1. 进入「入会申请」页
2. 点击「申请卡片」</x:v>
      </x:c>
      <x:c r="K50" s="4" t="str">
        <x:v>页面进入「入会申请详情」</x:v>
      </x:c>
      <x:c r="L50" s="4" t="str"/>
      <x:c r="M50" s="4" t="str">
        <x:v>未测</x:v>
      </x:c>
      <x:c r="N50" s="4" t="str"/>
      <x:c r="O50" s="4" t="str">
        <x:v>1. 来源：MainBasis/统一需求文档.md；G-guild-join-review-007
2. 场景：SC-53b612e7b6a2c5</x:v>
      </x:c>
    </x:row>
    <x:row r="51" ht="54" customHeight="1">
      <x:c r="A51" s="4" t="n">
        <x:v>50</x:v>
      </x:c>
      <x:c r="B51" s="4" t="str">
        <x:v>GUILD-0050</x:v>
      </x:c>
      <x:c r="C51" s="4" t="str">
        <x:v>M05 公会申请、认证、组织与权限</x:v>
      </x:c>
      <x:c r="D51" s="4" t="str">
        <x:v>退会申请（公会长视角）</x:v>
      </x:c>
      <x:c r="E51" s="4" t="str">
        <x:v>功能需求</x:v>
      </x:c>
      <x:c r="F51" s="4" t="str">
        <x:v>P2</x:v>
      </x:c>
      <x:c r="G51" s="4" t="str">
        <x:v>验证申请人回显</x:v>
      </x:c>
      <x:c r="H51" s="4" t="str">
        <x:v>申请人回显</x:v>
      </x:c>
      <x:c r="I51" s="4" t="str">
        <x:v>1. 已登录公会长账号
2. 所选对象存在，已记录该对象的申请人值</x:v>
      </x:c>
      <x:c r="J51" s="4" t="str">
        <x:v>1. 进入「退会申请」页
2. 查看申请人回显</x:v>
      </x:c>
      <x:c r="K51" s="4" t="str">
        <x:v>「申请人」内容与所选对象的该项资料一致</x:v>
      </x:c>
      <x:c r="L51" s="4" t="str"/>
      <x:c r="M51" s="4" t="str">
        <x:v>未测</x:v>
      </x:c>
      <x:c r="N51" s="4" t="str"/>
      <x:c r="O51" s="4" t="str">
        <x:v>1. 来源：MainBasis/统一需求文档.md；G-guild-leave-review-001
2. 场景：SC-5c5516a13db10d</x:v>
      </x:c>
    </x:row>
    <x:row r="52" ht="54" customHeight="1">
      <x:c r="A52" s="4" t="n">
        <x:v>51</x:v>
      </x:c>
      <x:c r="B52" s="4" t="str">
        <x:v>GUILD-0051</x:v>
      </x:c>
      <x:c r="C52" s="4" t="str">
        <x:v>M05 公会申请、认证、组织与权限</x:v>
      </x:c>
      <x:c r="D52" s="4" t="str">
        <x:v>退会申请（公会长视角）</x:v>
      </x:c>
      <x:c r="E52" s="4" t="str">
        <x:v>功能需求</x:v>
      </x:c>
      <x:c r="F52" s="4" t="str">
        <x:v>P2</x:v>
      </x:c>
      <x:c r="G52" s="4" t="str">
        <x:v>验证申请时间回显</x:v>
      </x:c>
      <x:c r="H52" s="4" t="str">
        <x:v>申请时间回显</x:v>
      </x:c>
      <x:c r="I52" s="4" t="str">
        <x:v>1. 已登录公会长账号
2. 所选对象存在，已记录该对象的申请时间值</x:v>
      </x:c>
      <x:c r="J52" s="4" t="str">
        <x:v>1. 进入「退会申请」页
2. 查看申请时间回显</x:v>
      </x:c>
      <x:c r="K52" s="4" t="str">
        <x:v>「申请时间」内容与所选对象的该项资料一致</x:v>
      </x:c>
      <x:c r="L52" s="4" t="str"/>
      <x:c r="M52" s="4" t="str">
        <x:v>未测</x:v>
      </x:c>
      <x:c r="N52" s="4" t="str"/>
      <x:c r="O52" s="4" t="str">
        <x:v>1. 来源：MainBasis/统一需求文档.md；G-guild-leave-review-002
2. 场景：SC-5c11ddbc00d4c1</x:v>
      </x:c>
    </x:row>
    <x:row r="53" ht="54" customHeight="1">
      <x:c r="A53" s="4" t="n">
        <x:v>52</x:v>
      </x:c>
      <x:c r="B53" s="4" t="str">
        <x:v>GUILD-0052</x:v>
      </x:c>
      <x:c r="C53" s="4" t="str">
        <x:v>M05 公会申请、认证、组织与权限</x:v>
      </x:c>
      <x:c r="D53" s="4" t="str">
        <x:v>退会申请（公会长视角）</x:v>
      </x:c>
      <x:c r="E53" s="4" t="str">
        <x:v>功能需求</x:v>
      </x:c>
      <x:c r="F53" s="4" t="str">
        <x:v>P2</x:v>
      </x:c>
      <x:c r="G53" s="4" t="str">
        <x:v>验证状态回显</x:v>
      </x:c>
      <x:c r="H53" s="4" t="str">
        <x:v>状态回显</x:v>
      </x:c>
      <x:c r="I53" s="4" t="str">
        <x:v>1. 已登录公会长账号
2. 所选对象存在，已记录该对象的状态值</x:v>
      </x:c>
      <x:c r="J53" s="4" t="str">
        <x:v>1. 进入「退会申请」页
2. 查看状态回显</x:v>
      </x:c>
      <x:c r="K53" s="4" t="str">
        <x:v>「状态」内容与所选对象的该项资料一致</x:v>
      </x:c>
      <x:c r="L53" s="4" t="str"/>
      <x:c r="M53" s="4" t="str">
        <x:v>未测</x:v>
      </x:c>
      <x:c r="N53" s="4" t="str"/>
      <x:c r="O53" s="4" t="str">
        <x:v>1. 来源：MainBasis/统一需求文档.md；G-guild-leave-review-003
2. 场景：SC-09175931d501a7</x:v>
      </x:c>
    </x:row>
    <x:row r="54" ht="54" customHeight="1">
      <x:c r="A54" s="4" t="n">
        <x:v>53</x:v>
      </x:c>
      <x:c r="B54" s="4" t="str">
        <x:v>GUILD-0053</x:v>
      </x:c>
      <x:c r="C54" s="4" t="str">
        <x:v>M05 公会申请、认证、组织与权限</x:v>
      </x:c>
      <x:c r="D54" s="4" t="str">
        <x:v>退会申请（公会长视角）</x:v>
      </x:c>
      <x:c r="E54" s="4" t="str">
        <x:v>功能需求</x:v>
      </x:c>
      <x:c r="F54" s="4" t="str">
        <x:v>P1</x:v>
      </x:c>
      <x:c r="G54" s="4" t="str">
        <x:v>验证退会筛选待审核</x:v>
      </x:c>
      <x:c r="H54" s="4" t="str">
        <x:v>退会筛选待审核</x:v>
      </x:c>
      <x:c r="I54" s="4" t="str">
        <x:v>1. 已登录公会长账号
2. 存在多个状态申请</x:v>
      </x:c>
      <x:c r="J54" s="4" t="str">
        <x:v>1. 进入「退会申请」页
2. 切换待审核Tab</x:v>
      </x:c>
      <x:c r="K54" s="4" t="str">
        <x:v>仅显示属于待审核Tab的申请</x:v>
      </x:c>
      <x:c r="L54" s="4" t="str"/>
      <x:c r="M54" s="4" t="str">
        <x:v>未测</x:v>
      </x:c>
      <x:c r="N54" s="4" t="str"/>
      <x:c r="O54" s="4" t="str">
        <x:v>1. 来源：MainBasis/统一需求文档.md；G-guild-leave-review-006
2. 场景：SC-89e9e59cfa24f9</x:v>
      </x:c>
    </x:row>
    <x:row r="55" ht="54" customHeight="1">
      <x:c r="A55" s="4" t="n">
        <x:v>54</x:v>
      </x:c>
      <x:c r="B55" s="4" t="str">
        <x:v>GUILD-0054</x:v>
      </x:c>
      <x:c r="C55" s="4" t="str">
        <x:v>M05 公会申请、认证、组织与权限</x:v>
      </x:c>
      <x:c r="D55" s="4" t="str">
        <x:v>退会申请（公会长视角）</x:v>
      </x:c>
      <x:c r="E55" s="4" t="str">
        <x:v>功能需求</x:v>
      </x:c>
      <x:c r="F55" s="4" t="str">
        <x:v>P1</x:v>
      </x:c>
      <x:c r="G55" s="4" t="str">
        <x:v>验证退会筛选已通过</x:v>
      </x:c>
      <x:c r="H55" s="4" t="str">
        <x:v>退会筛选已通过</x:v>
      </x:c>
      <x:c r="I55" s="4" t="str">
        <x:v>1. 已登录公会长账号
2. 存在多个状态申请</x:v>
      </x:c>
      <x:c r="J55" s="4" t="str">
        <x:v>1. 进入「退会申请」页
2. 切换已通过Tab</x:v>
      </x:c>
      <x:c r="K55" s="4" t="str">
        <x:v>仅显示属于已通过Tab的申请</x:v>
      </x:c>
      <x:c r="L55" s="4" t="str"/>
      <x:c r="M55" s="4" t="str">
        <x:v>未测</x:v>
      </x:c>
      <x:c r="N55" s="4" t="str"/>
      <x:c r="O55" s="4" t="str">
        <x:v>1. 来源：MainBasis/统一需求文档.md；G-guild-leave-review-006
2. 场景：SC-f75694f746dacd</x:v>
      </x:c>
    </x:row>
    <x:row r="56" ht="54" customHeight="1">
      <x:c r="A56" s="4" t="n">
        <x:v>55</x:v>
      </x:c>
      <x:c r="B56" s="4" t="str">
        <x:v>GUILD-0055</x:v>
      </x:c>
      <x:c r="C56" s="4" t="str">
        <x:v>M05 公会申请、认证、组织与权限</x:v>
      </x:c>
      <x:c r="D56" s="4" t="str">
        <x:v>退会申请（公会长视角）</x:v>
      </x:c>
      <x:c r="E56" s="4" t="str">
        <x:v>功能需求</x:v>
      </x:c>
      <x:c r="F56" s="4" t="str">
        <x:v>P1</x:v>
      </x:c>
      <x:c r="G56" s="4" t="str">
        <x:v>验证退会筛选已驳回</x:v>
      </x:c>
      <x:c r="H56" s="4" t="str">
        <x:v>退会筛选已驳回</x:v>
      </x:c>
      <x:c r="I56" s="4" t="str">
        <x:v>1. 已登录公会长账号
2. 存在多个状态申请</x:v>
      </x:c>
      <x:c r="J56" s="4" t="str">
        <x:v>1. 进入「退会申请」页
2. 切换已驳回Tab</x:v>
      </x:c>
      <x:c r="K56" s="4" t="str">
        <x:v>仅显示属于已驳回Tab的申请</x:v>
      </x:c>
      <x:c r="L56" s="4" t="str"/>
      <x:c r="M56" s="4" t="str">
        <x:v>未测</x:v>
      </x:c>
      <x:c r="N56" s="4" t="str"/>
      <x:c r="O56" s="4" t="str">
        <x:v>1. 来源：MainBasis/统一需求文档.md；G-guild-leave-review-006
2. 场景：SC-6f6cd0806056eb</x:v>
      </x:c>
    </x:row>
    <x:row r="57" ht="54" customHeight="1">
      <x:c r="A57" s="4" t="n">
        <x:v>56</x:v>
      </x:c>
      <x:c r="B57" s="4" t="str">
        <x:v>GUILD-0056</x:v>
      </x:c>
      <x:c r="C57" s="4" t="str">
        <x:v>M05 公会申请、认证、组织与权限</x:v>
      </x:c>
      <x:c r="D57" s="4" t="str">
        <x:v>退会申请（公会长视角）</x:v>
      </x:c>
      <x:c r="E57" s="4" t="str">
        <x:v>功能需求</x:v>
      </x:c>
      <x:c r="F57" s="4" t="str">
        <x:v>P2</x:v>
      </x:c>
      <x:c r="G57" s="4" t="str">
        <x:v>验证申请卡片入口</x:v>
      </x:c>
      <x:c r="H57" s="4" t="str">
        <x:v>申请卡片入口</x:v>
      </x:c>
      <x:c r="I57" s="4" t="str">
        <x:v>1. 已登录公会长账号</x:v>
      </x:c>
      <x:c r="J57" s="4" t="str">
        <x:v>1. 进入「退会申请」页
2. 点击「申请卡片」</x:v>
      </x:c>
      <x:c r="K57" s="4" t="str">
        <x:v>页面进入「退会申请详情」</x:v>
      </x:c>
      <x:c r="L57" s="4" t="str"/>
      <x:c r="M57" s="4" t="str">
        <x:v>未测</x:v>
      </x:c>
      <x:c r="N57" s="4" t="str"/>
      <x:c r="O57" s="4" t="str">
        <x:v>1. 来源：MainBasis/统一需求文档.md；G-guild-leave-review-006
2. 场景：SC-07cd18862fef60</x:v>
      </x:c>
    </x:row>
    <x:row r="58" ht="54" customHeight="1">
      <x:c r="A58" s="4" t="n">
        <x:v>57</x:v>
      </x:c>
      <x:c r="B58" s="4" t="str">
        <x:v>GUILD-0057</x:v>
      </x:c>
      <x:c r="C58" s="4" t="str">
        <x:v>M05 公会申请、认证、组织与权限</x:v>
      </x:c>
      <x:c r="D58" s="4" t="str">
        <x:v>退会申请（公会长视角）</x:v>
      </x:c>
      <x:c r="E58" s="4" t="str">
        <x:v>功能需求</x:v>
      </x:c>
      <x:c r="F58" s="4" t="str">
        <x:v>P1</x:v>
      </x:c>
      <x:c r="G58" s="4" t="str">
        <x:v>验证退会无需平台终审</x:v>
      </x:c>
      <x:c r="H58" s="4" t="str">
        <x:v>退会无需平台终审</x:v>
      </x:c>
      <x:c r="I58" s="4" t="str">
        <x:v>1. 已登录公会长账号
2. 公会已通过一笔收益结清的退会申请</x:v>
      </x:c>
      <x:c r="J58" s="4" t="str">
        <x:v>1. 进入「退会申请」页
2. 查看退会无需平台终审</x:v>
      </x:c>
      <x:c r="K58" s="4" t="str">
        <x:v>申请直接已通过，不进入平台审核中</x:v>
      </x:c>
      <x:c r="L58" s="4" t="str"/>
      <x:c r="M58" s="4" t="str">
        <x:v>未测</x:v>
      </x:c>
      <x:c r="N58" s="4" t="str"/>
      <x:c r="O58" s="4" t="str">
        <x:v>1. 来源：MainBasis/统一需求文档.md；G-guild-leave-review-004
2. 场景：SC-9bfd29ffc65098</x:v>
      </x:c>
    </x:row>
    <x:row r="59" ht="54" customHeight="1">
      <x:c r="A59" s="4" t="n">
        <x:v>58</x:v>
      </x:c>
      <x:c r="B59" s="4" t="str">
        <x:v>GUILD-0058</x:v>
      </x:c>
      <x:c r="C59" s="4" t="str">
        <x:v>M05 公会申请、认证、组织与权限</x:v>
      </x:c>
      <x:c r="D59" s="4" t="str">
        <x:v>主播列表（公会长视角）</x:v>
      </x:c>
      <x:c r="E59" s="4" t="str">
        <x:v>功能需求</x:v>
      </x:c>
      <x:c r="F59" s="4" t="str">
        <x:v>P2</x:v>
      </x:c>
      <x:c r="G59" s="4" t="str">
        <x:v>验证主播回显</x:v>
      </x:c>
      <x:c r="H59" s="4" t="str">
        <x:v>主播回显</x:v>
      </x:c>
      <x:c r="I59" s="4" t="str">
        <x:v>1. 已登录公会长账号
2. 所选对象存在，已记录该对象的主播值</x:v>
      </x:c>
      <x:c r="J59" s="4" t="str">
        <x:v>1. 进入「主播列表」页
2. 查看主播回显</x:v>
      </x:c>
      <x:c r="K59" s="4" t="str">
        <x:v>「主播」内容与所选对象的该项资料一致</x:v>
      </x:c>
      <x:c r="L59" s="4" t="str"/>
      <x:c r="M59" s="4" t="str">
        <x:v>未测</x:v>
      </x:c>
      <x:c r="N59" s="4" t="str"/>
      <x:c r="O59" s="4" t="str">
        <x:v>1. 来源：MainBasis/统一需求文档.md；G-guild-member-list-001
2. 场景：SC-09ba31564a31c0</x:v>
      </x:c>
    </x:row>
    <x:row r="60" ht="54" customHeight="1">
      <x:c r="A60" s="4" t="n">
        <x:v>59</x:v>
      </x:c>
      <x:c r="B60" s="4" t="str">
        <x:v>GUILD-0059</x:v>
      </x:c>
      <x:c r="C60" s="4" t="str">
        <x:v>M05 公会申请、认证、组织与权限</x:v>
      </x:c>
      <x:c r="D60" s="4" t="str">
        <x:v>主播列表（公会长视角）</x:v>
      </x:c>
      <x:c r="E60" s="4" t="str">
        <x:v>功能需求</x:v>
      </x:c>
      <x:c r="F60" s="4" t="str">
        <x:v>P2</x:v>
      </x:c>
      <x:c r="G60" s="4" t="str">
        <x:v>验证加入时间回显</x:v>
      </x:c>
      <x:c r="H60" s="4" t="str">
        <x:v>加入时间回显</x:v>
      </x:c>
      <x:c r="I60" s="4" t="str">
        <x:v>1. 已登录公会长账号
2. 所选对象存在，已记录该对象的加入时间值</x:v>
      </x:c>
      <x:c r="J60" s="4" t="str">
        <x:v>1. 进入「主播列表」页
2. 查看加入时间回显</x:v>
      </x:c>
      <x:c r="K60" s="4" t="str">
        <x:v>「加入时间」内容与所选对象的该项资料一致</x:v>
      </x:c>
      <x:c r="L60" s="4" t="str"/>
      <x:c r="M60" s="4" t="str">
        <x:v>未测</x:v>
      </x:c>
      <x:c r="N60" s="4" t="str"/>
      <x:c r="O60" s="4" t="str">
        <x:v>1. 来源：MainBasis/统一需求文档.md；G-guild-member-list-002
2. 场景：SC-ba89a48495221b</x:v>
      </x:c>
    </x:row>
    <x:row r="61" ht="54" customHeight="1">
      <x:c r="A61" s="4" t="n">
        <x:v>60</x:v>
      </x:c>
      <x:c r="B61" s="4" t="str">
        <x:v>GUILD-0060</x:v>
      </x:c>
      <x:c r="C61" s="4" t="str">
        <x:v>M05 公会申请、认证、组织与权限</x:v>
      </x:c>
      <x:c r="D61" s="4" t="str">
        <x:v>主播列表（公会长视角）</x:v>
      </x:c>
      <x:c r="E61" s="4" t="str">
        <x:v>功能需求</x:v>
      </x:c>
      <x:c r="F61" s="4" t="str">
        <x:v>P1</x:v>
      </x:c>
      <x:c r="G61" s="4" t="str">
        <x:v>验证公会主播在会与搜索交集</x:v>
      </x:c>
      <x:c r="H61" s="4" t="str">
        <x:v>公会主播在会与搜索交集</x:v>
      </x:c>
      <x:c r="I61" s="4" t="str">
        <x:v>1. 已登录公会长账号
2. 当前公会存在在会且昵称匹配及不匹配的主播</x:v>
      </x:c>
      <x:c r="J61" s="4" t="str">
        <x:v>1. 进入「主播列表」页
2. 选择在会Tab
3. 输入匹配昵称</x:v>
      </x:c>
      <x:c r="K61" s="4" t="str">
        <x:v>仅显示当前公会状态和昵称均匹配的主播</x:v>
      </x:c>
      <x:c r="L61" s="4" t="str"/>
      <x:c r="M61" s="4" t="str">
        <x:v>未测</x:v>
      </x:c>
      <x:c r="N61" s="4" t="str"/>
      <x:c r="O61" s="4" t="str">
        <x:v>1. 来源：MainBasis/统一需求文档.md；G-guild-member-list-005
2. 场景：SC-fe1ed92ef93def</x:v>
      </x:c>
    </x:row>
    <x:row r="62" ht="54" customHeight="1">
      <x:c r="A62" s="4" t="n">
        <x:v>61</x:v>
      </x:c>
      <x:c r="B62" s="4" t="str">
        <x:v>GUILD-0061</x:v>
      </x:c>
      <x:c r="C62" s="4" t="str">
        <x:v>M05 公会申请、认证、组织与权限</x:v>
      </x:c>
      <x:c r="D62" s="4" t="str">
        <x:v>主播列表（公会长视角）</x:v>
      </x:c>
      <x:c r="E62" s="4" t="str">
        <x:v>功能需求</x:v>
      </x:c>
      <x:c r="F62" s="4" t="str">
        <x:v>P1</x:v>
      </x:c>
      <x:c r="G62" s="4" t="str">
        <x:v>验证公会主播已退会与搜索交集</x:v>
      </x:c>
      <x:c r="H62" s="4" t="str">
        <x:v>公会主播已退会与搜索交集</x:v>
      </x:c>
      <x:c r="I62" s="4" t="str">
        <x:v>1. 已登录公会长账号
2. 当前公会存在已退会且昵称匹配及不匹配的主播</x:v>
      </x:c>
      <x:c r="J62" s="4" t="str">
        <x:v>1. 进入「主播列表」页
2. 选择已退会Tab
3. 输入匹配昵称</x:v>
      </x:c>
      <x:c r="K62" s="4" t="str">
        <x:v>仅显示当前公会状态和昵称均匹配的主播</x:v>
      </x:c>
      <x:c r="L62" s="4" t="str"/>
      <x:c r="M62" s="4" t="str">
        <x:v>未测</x:v>
      </x:c>
      <x:c r="N62" s="4" t="str"/>
      <x:c r="O62" s="4" t="str">
        <x:v>1. 来源：MainBasis/统一需求文档.md；G-guild-member-list-005
2. 场景：SC-f75ec3d6eb9605</x:v>
      </x:c>
    </x:row>
    <x:row r="63" ht="54" customHeight="1">
      <x:c r="A63" s="4" t="n">
        <x:v>62</x:v>
      </x:c>
      <x:c r="B63" s="4" t="str">
        <x:v>GUILD-0062</x:v>
      </x:c>
      <x:c r="C63" s="4" t="str">
        <x:v>M05 公会申请、认证、组织与权限</x:v>
      </x:c>
      <x:c r="D63" s="4" t="str">
        <x:v>主播列表（公会长视角）</x:v>
      </x:c>
      <x:c r="E63" s="4" t="str">
        <x:v>功能需求</x:v>
      </x:c>
      <x:c r="F63" s="4" t="str">
        <x:v>P1</x:v>
      </x:c>
      <x:c r="G63" s="4" t="str">
        <x:v>验证公会主播列表范围</x:v>
      </x:c>
      <x:c r="H63" s="4" t="str">
        <x:v>公会主播列表范围</x:v>
      </x:c>
      <x:c r="I63" s="4" t="str">
        <x:v>1. 已登录公会长账号
2. 有本公会在会主播、历史退会主播、另一公会主播和普通用户</x:v>
      </x:c>
      <x:c r="J63" s="4" t="str">
        <x:v>1. 进入「主播列表」页
2. 查看公会主播列表范围</x:v>
      </x:c>
      <x:c r="K63" s="4" t="str">
        <x:v>仅展示本公会在会及历史退会主播</x:v>
      </x:c>
      <x:c r="L63" s="4" t="str"/>
      <x:c r="M63" s="4" t="str">
        <x:v>未测</x:v>
      </x:c>
      <x:c r="N63" s="4" t="str"/>
      <x:c r="O63" s="4" t="str">
        <x:v>1. 来源：MainBasis/统一需求文档.md；G-guild-member-list-004
2. 场景：SC-c62e8df0d035ab</x:v>
      </x:c>
    </x:row>
    <x:row r="64" ht="54" customHeight="1">
      <x:c r="A64" s="4" t="n">
        <x:v>63</x:v>
      </x:c>
      <x:c r="B64" s="4" t="str">
        <x:v>GUILD-0063</x:v>
      </x:c>
      <x:c r="C64" s="4" t="str">
        <x:v>M05 公会申请、认证、组织与权限</x:v>
      </x:c>
      <x:c r="D64" s="4" t="str">
        <x:v>主播列表（公会长视角）</x:v>
      </x:c>
      <x:c r="E64" s="4" t="str">
        <x:v>功能需求</x:v>
      </x:c>
      <x:c r="F64" s="4" t="str">
        <x:v>P1</x:v>
      </x:c>
      <x:c r="G64" s="4" t="str">
        <x:v>验证历史退会主播标记</x:v>
      </x:c>
      <x:c r="H64" s="4" t="str">
        <x:v>历史退会主播标记</x:v>
      </x:c>
      <x:c r="I64" s="4" t="str">
        <x:v>1. 已登录公会长账号
2. 目标主播已退会</x:v>
      </x:c>
      <x:c r="J64" s="4" t="str">
        <x:v>1. 进入「主播列表」页
2. 查看历史退会主播标记</x:v>
      </x:c>
      <x:c r="K64" s="4" t="str">
        <x:v>该主播显示【退会】</x:v>
      </x:c>
      <x:c r="L64" s="4" t="str"/>
      <x:c r="M64" s="4" t="str">
        <x:v>未测</x:v>
      </x:c>
      <x:c r="N64" s="4" t="str"/>
      <x:c r="O64" s="4" t="str">
        <x:v>1. 来源：MainBasis/统一需求文档.md；G-guild-member-list-003
2. 场景：SC-e03e36a61e9e98</x:v>
      </x:c>
    </x:row>
    <x:row r="65" ht="54" customHeight="1">
      <x:c r="A65" s="4" t="n">
        <x:v>64</x:v>
      </x:c>
      <x:c r="B65" s="4" t="str">
        <x:v>GUILD-0064</x:v>
      </x:c>
      <x:c r="C65" s="4" t="str">
        <x:v>M05 公会申请、认证、组织与权限</x:v>
      </x:c>
      <x:c r="D65" s="4" t="str">
        <x:v>主播列表（公会长视角）</x:v>
      </x:c>
      <x:c r="E65" s="4" t="str">
        <x:v>功能需求</x:v>
      </x:c>
      <x:c r="F65" s="4" t="str">
        <x:v>P2</x:v>
      </x:c>
      <x:c r="G65" s="4" t="str">
        <x:v>验证主播卡片入口</x:v>
      </x:c>
      <x:c r="H65" s="4" t="str">
        <x:v>主播卡片入口</x:v>
      </x:c>
      <x:c r="I65" s="4" t="str">
        <x:v>1. 已登录公会长账号</x:v>
      </x:c>
      <x:c r="J65" s="4" t="str">
        <x:v>1. 进入「主播列表」页
2. 点击「主播卡片」</x:v>
      </x:c>
      <x:c r="K65" s="4" t="str">
        <x:v>页面进入「主播详情」</x:v>
      </x:c>
      <x:c r="L65" s="4" t="str"/>
      <x:c r="M65" s="4" t="str">
        <x:v>未测</x:v>
      </x:c>
      <x:c r="N65" s="4" t="str"/>
      <x:c r="O65" s="4" t="str">
        <x:v>1. 来源：MainBasis/统一需求文档.md；G-guild-member-list-005
2. 场景：SC-95c1de16c6ae30</x:v>
      </x:c>
    </x:row>
    <x:row r="66" ht="54" customHeight="1">
      <x:c r="A66" s="4" t="n">
        <x:v>65</x:v>
      </x:c>
      <x:c r="B66" s="4" t="str">
        <x:v>GUILD-0065</x:v>
      </x:c>
      <x:c r="C66" s="4" t="str">
        <x:v>M05 公会申请、认证、组织与权限</x:v>
      </x:c>
      <x:c r="D66" s="4" t="str">
        <x:v>公会资料（公会长视角）</x:v>
      </x:c>
      <x:c r="E66" s="4" t="str">
        <x:v>功能需求</x:v>
      </x:c>
      <x:c r="F66" s="4" t="str">
        <x:v>P1</x:v>
      </x:c>
      <x:c r="G66" s="4" t="str">
        <x:v>验证公会ID永久只读</x:v>
      </x:c>
      <x:c r="H66" s="4" t="str">
        <x:v>公会ID永久只读</x:v>
      </x:c>
      <x:c r="I66" s="4" t="str">
        <x:v>1. 已登录公会长账号</x:v>
      </x:c>
      <x:c r="J66" s="4" t="str">
        <x:v>1. 进入「公会资料」页
2. 查看公会ID永久只读</x:v>
      </x:c>
      <x:c r="K66" s="4" t="str">
        <x:v>公会ID不可编辑</x:v>
      </x:c>
      <x:c r="L66" s="4" t="str"/>
      <x:c r="M66" s="4" t="str">
        <x:v>未测</x:v>
      </x:c>
      <x:c r="N66" s="4" t="str"/>
      <x:c r="O66" s="4" t="str">
        <x:v>1. 来源：MainBasis/统一需求文档.md；G-guild-profile-001
2. 场景：SC-083845feacf792</x:v>
      </x:c>
    </x:row>
    <x:row r="67" ht="54" customHeight="1">
      <x:c r="A67" s="4" t="n">
        <x:v>66</x:v>
      </x:c>
      <x:c r="B67" s="4" t="str">
        <x:v>GUILD-0066</x:v>
      </x:c>
      <x:c r="C67" s="4" t="str">
        <x:v>M05 公会申请、认证、组织与权限</x:v>
      </x:c>
      <x:c r="D67" s="4" t="str">
        <x:v>公会资料（公会长视角）</x:v>
      </x:c>
      <x:c r="E67" s="4" t="str">
        <x:v>异常用例</x:v>
      </x:c>
      <x:c r="F67" s="4" t="str">
        <x:v>P1</x:v>
      </x:c>
      <x:c r="G67" s="4" t="str">
        <x:v>验证公会名称0字符限制</x:v>
      </x:c>
      <x:c r="H67" s="4" t="str">
        <x:v>公会名称0字符限制</x:v>
      </x:c>
      <x:c r="I67" s="4" t="str">
        <x:v>1. 已登录公会长账号
2. 其他必填字段为合法值</x:v>
      </x:c>
      <x:c r="J67" s="4" t="str">
        <x:v>1. 进入「公会资料」页
2. 清空「公会名称」
3. 点击「保存」</x:v>
      </x:c>
      <x:c r="K67" s="4" t="str">
        <x:v>公会名称未通过校验，无法保存</x:v>
      </x:c>
      <x:c r="L67" s="4" t="str"/>
      <x:c r="M67" s="4" t="str">
        <x:v>未测</x:v>
      </x:c>
      <x:c r="N67" s="4" t="str"/>
      <x:c r="O67" s="4" t="str">
        <x:v>1. 来源：MainBasis/统一需求文档.md；G-guild-profile-003
2. 场景：SC-4784898ecab5c2</x:v>
      </x:c>
    </x:row>
    <x:row r="68" ht="68" customHeight="1">
      <x:c r="A68" s="4" t="n">
        <x:v>67</x:v>
      </x:c>
      <x:c r="B68" s="4" t="str">
        <x:v>GUILD-0067</x:v>
      </x:c>
      <x:c r="C68" s="4" t="str">
        <x:v>M05 公会申请、认证、组织与权限</x:v>
      </x:c>
      <x:c r="D68" s="4" t="str">
        <x:v>公会资料（公会长视角）</x:v>
      </x:c>
      <x:c r="E68" s="4" t="str">
        <x:v>逻辑校验</x:v>
      </x:c>
      <x:c r="F68" s="4" t="str">
        <x:v>P1</x:v>
      </x:c>
      <x:c r="G68" s="4" t="str">
        <x:v>验证公会名称1字符可填写</x:v>
      </x:c>
      <x:c r="H68" s="4" t="str">
        <x:v>公会名称1字符可填写</x:v>
      </x:c>
      <x:c r="I68" s="4" t="str">
        <x:v>1. 已登录公会长账号
2. 其他必填字段为合法值</x:v>
      </x:c>
      <x:c r="J68" s="4" t="str">
        <x:v>1. 进入「公会资料」页
2. 在「公会名称」输入1个「测」字符
3. 点击「保存」</x:v>
      </x:c>
      <x:c r="K68" s="4" t="str">
        <x:v>「公会名称」保留1个字符</x:v>
      </x:c>
      <x:c r="L68" s="4" t="str"/>
      <x:c r="M68" s="4" t="str">
        <x:v>未测</x:v>
      </x:c>
      <x:c r="N68" s="4" t="str"/>
      <x:c r="O68" s="4" t="str">
        <x:v>1. 来源：MainBasis/统一需求文档.md；G-guild-profile-003
2. 场景：SC-cfa54135f97a57</x:v>
      </x:c>
    </x:row>
    <x:row r="69" ht="68" customHeight="1">
      <x:c r="A69" s="4" t="n">
        <x:v>68</x:v>
      </x:c>
      <x:c r="B69" s="4" t="str">
        <x:v>GUILD-0068</x:v>
      </x:c>
      <x:c r="C69" s="4" t="str">
        <x:v>M05 公会申请、认证、组织与权限</x:v>
      </x:c>
      <x:c r="D69" s="4" t="str">
        <x:v>公会资料（公会长视角）</x:v>
      </x:c>
      <x:c r="E69" s="4" t="str">
        <x:v>逻辑校验</x:v>
      </x:c>
      <x:c r="F69" s="4" t="str">
        <x:v>P1</x:v>
      </x:c>
      <x:c r="G69" s="4" t="str">
        <x:v>验证公会名称39字符可填写</x:v>
      </x:c>
      <x:c r="H69" s="4" t="str">
        <x:v>公会名称39字符可填写</x:v>
      </x:c>
      <x:c r="I69" s="4" t="str">
        <x:v>1. 已登录公会长账号
2. 其他必填字段为合法值</x:v>
      </x:c>
      <x:c r="J69" s="4" t="str">
        <x:v>1. 进入「公会资料」页
2. 在「公会名称」输入39个「测」字符
3. 点击「保存」</x:v>
      </x:c>
      <x:c r="K69" s="4" t="str">
        <x:v>「公会名称」保留39个字符</x:v>
      </x:c>
      <x:c r="L69" s="4" t="str"/>
      <x:c r="M69" s="4" t="str">
        <x:v>未测</x:v>
      </x:c>
      <x:c r="N69" s="4" t="str"/>
      <x:c r="O69" s="4" t="str">
        <x:v>1. 来源：MainBasis/统一需求文档.md；G-guild-profile-003
2. 场景：SC-05243a84901ee5</x:v>
      </x:c>
    </x:row>
    <x:row r="70" ht="68" customHeight="1">
      <x:c r="A70" s="4" t="n">
        <x:v>69</x:v>
      </x:c>
      <x:c r="B70" s="4" t="str">
        <x:v>GUILD-0069</x:v>
      </x:c>
      <x:c r="C70" s="4" t="str">
        <x:v>M05 公会申请、认证、组织与权限</x:v>
      </x:c>
      <x:c r="D70" s="4" t="str">
        <x:v>公会资料（公会长视角）</x:v>
      </x:c>
      <x:c r="E70" s="4" t="str">
        <x:v>逻辑校验</x:v>
      </x:c>
      <x:c r="F70" s="4" t="str">
        <x:v>P1</x:v>
      </x:c>
      <x:c r="G70" s="4" t="str">
        <x:v>验证公会名称40字符可填写</x:v>
      </x:c>
      <x:c r="H70" s="4" t="str">
        <x:v>公会名称40字符可填写</x:v>
      </x:c>
      <x:c r="I70" s="4" t="str">
        <x:v>1. 已登录公会长账号
2. 其他必填字段为合法值</x:v>
      </x:c>
      <x:c r="J70" s="4" t="str">
        <x:v>1. 进入「公会资料」页
2. 在「公会名称」输入40个「测」字符
3. 点击「保存」</x:v>
      </x:c>
      <x:c r="K70" s="4" t="str">
        <x:v>「公会名称」保留40个字符</x:v>
      </x:c>
      <x:c r="L70" s="4" t="str"/>
      <x:c r="M70" s="4" t="str">
        <x:v>未测</x:v>
      </x:c>
      <x:c r="N70" s="4" t="str"/>
      <x:c r="O70" s="4" t="str">
        <x:v>1. 来源：MainBasis/统一需求文档.md；G-guild-profile-003
2. 场景：SC-97a271b5e04c66</x:v>
      </x:c>
    </x:row>
    <x:row r="71" ht="68" customHeight="1">
      <x:c r="A71" s="4" t="n">
        <x:v>70</x:v>
      </x:c>
      <x:c r="B71" s="4" t="str">
        <x:v>GUILD-0070</x:v>
      </x:c>
      <x:c r="C71" s="4" t="str">
        <x:v>M05 公会申请、认证、组织与权限</x:v>
      </x:c>
      <x:c r="D71" s="4" t="str">
        <x:v>公会资料（公会长视角）</x:v>
      </x:c>
      <x:c r="E71" s="4" t="str">
        <x:v>异常用例</x:v>
      </x:c>
      <x:c r="F71" s="4" t="str">
        <x:v>P1</x:v>
      </x:c>
      <x:c r="G71" s="4" t="str">
        <x:v>验证公会名称41字符限制</x:v>
      </x:c>
      <x:c r="H71" s="4" t="str">
        <x:v>公会名称41字符限制</x:v>
      </x:c>
      <x:c r="I71" s="4" t="str">
        <x:v>1. 已登录公会长账号
2. 其他必填字段为合法值</x:v>
      </x:c>
      <x:c r="J71" s="4" t="str">
        <x:v>1. 进入「公会资料」页
2. 在「公会名称」输入41个「测」字符
3. 点击「保存」</x:v>
      </x:c>
      <x:c r="K71" s="4" t="str">
        <x:v>公会名称未通过校验，无法保存</x:v>
      </x:c>
      <x:c r="L71" s="4" t="str"/>
      <x:c r="M71" s="4" t="str">
        <x:v>未测</x:v>
      </x:c>
      <x:c r="N71" s="4" t="str"/>
      <x:c r="O71" s="4" t="str">
        <x:v>1. 来源：MainBasis/统一需求文档.md；G-guild-profile-003
2. 场景：SC-dba5e528aff0e4</x:v>
      </x:c>
    </x:row>
    <x:row r="72" ht="54" customHeight="1">
      <x:c r="A72" s="4" t="n">
        <x:v>71</x:v>
      </x:c>
      <x:c r="B72" s="4" t="str">
        <x:v>GUILD-0071</x:v>
      </x:c>
      <x:c r="C72" s="4" t="str">
        <x:v>M05 公会申请、认证、组织与权限</x:v>
      </x:c>
      <x:c r="D72" s="4" t="str">
        <x:v>公会资料（公会长视角）</x:v>
      </x:c>
      <x:c r="E72" s="4" t="str">
        <x:v>异常用例</x:v>
      </x:c>
      <x:c r="F72" s="4" t="str">
        <x:v>P1</x:v>
      </x:c>
      <x:c r="G72" s="4" t="str">
        <x:v>验证公会名称仅空格限制</x:v>
      </x:c>
      <x:c r="H72" s="4" t="str">
        <x:v>公会名称仅空格限制</x:v>
      </x:c>
      <x:c r="I72" s="4" t="str">
        <x:v>1. 已登录公会长账号
2. 其他必填字段为合法值</x:v>
      </x:c>
      <x:c r="J72" s="4" t="str">
        <x:v>1. 进入「公会资料」页
2. 在「公会名称」输入3个空格
3. 点击「保存」</x:v>
      </x:c>
      <x:c r="K72" s="4" t="str">
        <x:v>公会名称去除首尾空格后为空，无法保存</x:v>
      </x:c>
      <x:c r="L72" s="4" t="str"/>
      <x:c r="M72" s="4" t="str">
        <x:v>未测</x:v>
      </x:c>
      <x:c r="N72" s="4" t="str"/>
      <x:c r="O72" s="4" t="str">
        <x:v>1. 来源：MainBasis/统一需求文档.md；G-guild-profile-003
2. 场景：SC-ea2f0d001a6d7e</x:v>
      </x:c>
    </x:row>
    <x:row r="73" ht="54" customHeight="1">
      <x:c r="A73" s="4" t="n">
        <x:v>72</x:v>
      </x:c>
      <x:c r="B73" s="4" t="str">
        <x:v>GUILD-0072</x:v>
      </x:c>
      <x:c r="C73" s="4" t="str">
        <x:v>M05 公会申请、认证、组织与权限</x:v>
      </x:c>
      <x:c r="D73" s="4" t="str">
        <x:v>公会资料（公会长视角）</x:v>
      </x:c>
      <x:c r="E73" s="4" t="str">
        <x:v>逻辑校验</x:v>
      </x:c>
      <x:c r="F73" s="4" t="str">
        <x:v>P1</x:v>
      </x:c>
      <x:c r="G73" s="4" t="str">
        <x:v>验证公会简介0字符可填写</x:v>
      </x:c>
      <x:c r="H73" s="4" t="str">
        <x:v>公会简介0字符可填写</x:v>
      </x:c>
      <x:c r="I73" s="4" t="str">
        <x:v>1. 已登录公会长账号
2. 其他必填字段为合法值</x:v>
      </x:c>
      <x:c r="J73" s="4" t="str">
        <x:v>1. 进入「公会资料」页
2. 清空「公会简介」
3. 点击「保存」</x:v>
      </x:c>
      <x:c r="K73" s="4" t="str">
        <x:v>「公会简介」保留0个字符</x:v>
      </x:c>
      <x:c r="L73" s="4" t="str"/>
      <x:c r="M73" s="4" t="str">
        <x:v>未测</x:v>
      </x:c>
      <x:c r="N73" s="4" t="str"/>
      <x:c r="O73" s="4" t="str">
        <x:v>1. 来源：MainBasis/统一需求文档.md；G-guild-profile-004
2. 场景：SC-769e8c1efbfae4</x:v>
      </x:c>
    </x:row>
    <x:row r="74" ht="68" customHeight="1">
      <x:c r="A74" s="4" t="n">
        <x:v>73</x:v>
      </x:c>
      <x:c r="B74" s="4" t="str">
        <x:v>GUILD-0073</x:v>
      </x:c>
      <x:c r="C74" s="4" t="str">
        <x:v>M05 公会申请、认证、组织与权限</x:v>
      </x:c>
      <x:c r="D74" s="4" t="str">
        <x:v>公会资料（公会长视角）</x:v>
      </x:c>
      <x:c r="E74" s="4" t="str">
        <x:v>逻辑校验</x:v>
      </x:c>
      <x:c r="F74" s="4" t="str">
        <x:v>P1</x:v>
      </x:c>
      <x:c r="G74" s="4" t="str">
        <x:v>验证公会简介1字符可填写</x:v>
      </x:c>
      <x:c r="H74" s="4" t="str">
        <x:v>公会简介1字符可填写</x:v>
      </x:c>
      <x:c r="I74" s="4" t="str">
        <x:v>1. 已登录公会长账号
2. 其他必填字段为合法值</x:v>
      </x:c>
      <x:c r="J74" s="4" t="str">
        <x:v>1. 进入「公会资料」页
2. 在「公会简介」输入1个「测」字符
3. 点击「保存」</x:v>
      </x:c>
      <x:c r="K74" s="4" t="str">
        <x:v>「公会简介」保留1个字符</x:v>
      </x:c>
      <x:c r="L74" s="4" t="str"/>
      <x:c r="M74" s="4" t="str">
        <x:v>未测</x:v>
      </x:c>
      <x:c r="N74" s="4" t="str"/>
      <x:c r="O74" s="4" t="str">
        <x:v>1. 来源：MainBasis/统一需求文档.md；G-guild-profile-004
2. 场景：SC-2dc9ffa6a1d9be</x:v>
      </x:c>
    </x:row>
    <x:row r="75" ht="68" customHeight="1">
      <x:c r="A75" s="4" t="n">
        <x:v>74</x:v>
      </x:c>
      <x:c r="B75" s="4" t="str">
        <x:v>GUILD-0074</x:v>
      </x:c>
      <x:c r="C75" s="4" t="str">
        <x:v>M05 公会申请、认证、组织与权限</x:v>
      </x:c>
      <x:c r="D75" s="4" t="str">
        <x:v>公会资料（公会长视角）</x:v>
      </x:c>
      <x:c r="E75" s="4" t="str">
        <x:v>逻辑校验</x:v>
      </x:c>
      <x:c r="F75" s="4" t="str">
        <x:v>P1</x:v>
      </x:c>
      <x:c r="G75" s="4" t="str">
        <x:v>验证公会简介199字符可填写</x:v>
      </x:c>
      <x:c r="H75" s="4" t="str">
        <x:v>公会简介199字符可填写</x:v>
      </x:c>
      <x:c r="I75" s="4" t="str">
        <x:v>1. 已登录公会长账号
2. 其他必填字段为合法值</x:v>
      </x:c>
      <x:c r="J75" s="4" t="str">
        <x:v>1. 进入「公会资料」页
2. 在「公会简介」输入199个「测」字符
3. 点击「保存」</x:v>
      </x:c>
      <x:c r="K75" s="4" t="str">
        <x:v>「公会简介」保留199个字符</x:v>
      </x:c>
      <x:c r="L75" s="4" t="str"/>
      <x:c r="M75" s="4" t="str">
        <x:v>未测</x:v>
      </x:c>
      <x:c r="N75" s="4" t="str"/>
      <x:c r="O75" s="4" t="str">
        <x:v>1. 来源：MainBasis/统一需求文档.md；G-guild-profile-004
2. 场景：SC-d8e9f967f52335</x:v>
      </x:c>
    </x:row>
    <x:row r="76" ht="68" customHeight="1">
      <x:c r="A76" s="4" t="n">
        <x:v>75</x:v>
      </x:c>
      <x:c r="B76" s="4" t="str">
        <x:v>GUILD-0075</x:v>
      </x:c>
      <x:c r="C76" s="4" t="str">
        <x:v>M05 公会申请、认证、组织与权限</x:v>
      </x:c>
      <x:c r="D76" s="4" t="str">
        <x:v>公会资料（公会长视角）</x:v>
      </x:c>
      <x:c r="E76" s="4" t="str">
        <x:v>逻辑校验</x:v>
      </x:c>
      <x:c r="F76" s="4" t="str">
        <x:v>P1</x:v>
      </x:c>
      <x:c r="G76" s="4" t="str">
        <x:v>验证公会简介200字符可填写</x:v>
      </x:c>
      <x:c r="H76" s="4" t="str">
        <x:v>公会简介200字符可填写</x:v>
      </x:c>
      <x:c r="I76" s="4" t="str">
        <x:v>1. 已登录公会长账号
2. 其他必填字段为合法值</x:v>
      </x:c>
      <x:c r="J76" s="4" t="str">
        <x:v>1. 进入「公会资料」页
2. 在「公会简介」输入200个「测」字符
3. 点击「保存」</x:v>
      </x:c>
      <x:c r="K76" s="4" t="str">
        <x:v>「公会简介」保留200个字符</x:v>
      </x:c>
      <x:c r="L76" s="4" t="str"/>
      <x:c r="M76" s="4" t="str">
        <x:v>未测</x:v>
      </x:c>
      <x:c r="N76" s="4" t="str"/>
      <x:c r="O76" s="4" t="str">
        <x:v>1. 来源：MainBasis/统一需求文档.md；G-guild-profile-004
2. 场景：SC-327625be0202c1</x:v>
      </x:c>
    </x:row>
    <x:row r="77" ht="68" customHeight="1">
      <x:c r="A77" s="4" t="n">
        <x:v>76</x:v>
      </x:c>
      <x:c r="B77" s="4" t="str">
        <x:v>GUILD-0076</x:v>
      </x:c>
      <x:c r="C77" s="4" t="str">
        <x:v>M05 公会申请、认证、组织与权限</x:v>
      </x:c>
      <x:c r="D77" s="4" t="str">
        <x:v>公会资料（公会长视角）</x:v>
      </x:c>
      <x:c r="E77" s="4" t="str">
        <x:v>异常用例</x:v>
      </x:c>
      <x:c r="F77" s="4" t="str">
        <x:v>P1</x:v>
      </x:c>
      <x:c r="G77" s="4" t="str">
        <x:v>验证公会简介201字符限制</x:v>
      </x:c>
      <x:c r="H77" s="4" t="str">
        <x:v>公会简介201字符限制</x:v>
      </x:c>
      <x:c r="I77" s="4" t="str">
        <x:v>1. 已登录公会长账号
2. 其他必填字段为合法值</x:v>
      </x:c>
      <x:c r="J77" s="4" t="str">
        <x:v>1. 进入「公会资料」页
2. 在「公会简介」输入201个「测」字符
3. 点击「保存」</x:v>
      </x:c>
      <x:c r="K77" s="4" t="str">
        <x:v>公会简介未通过校验，无法保存</x:v>
      </x:c>
      <x:c r="L77" s="4" t="str"/>
      <x:c r="M77" s="4" t="str">
        <x:v>未测</x:v>
      </x:c>
      <x:c r="N77" s="4" t="str"/>
      <x:c r="O77" s="4" t="str">
        <x:v>1. 来源：MainBasis/统一需求文档.md；G-guild-profile-004
2. 场景：SC-6f40085da74a7b</x:v>
      </x:c>
    </x:row>
    <x:row r="78" ht="54" customHeight="1">
      <x:c r="A78" s="4" t="n">
        <x:v>77</x:v>
      </x:c>
      <x:c r="B78" s="4" t="str">
        <x:v>GUILD-0077</x:v>
      </x:c>
      <x:c r="C78" s="4" t="str">
        <x:v>M05 公会申请、认证、组织与权限</x:v>
      </x:c>
      <x:c r="D78" s="4" t="str">
        <x:v>公会资料（公会长视角）</x:v>
      </x:c>
      <x:c r="E78" s="4" t="str">
        <x:v>功能需求</x:v>
      </x:c>
      <x:c r="F78" s="4" t="str">
        <x:v>P1</x:v>
      </x:c>
      <x:c r="G78" s="4" t="str">
        <x:v>验证公会Logo支持JPG</x:v>
      </x:c>
      <x:c r="H78" s="4" t="str">
        <x:v>公会Logo支持JPG</x:v>
      </x:c>
      <x:c r="I78" s="4" t="str">
        <x:v>1. 已登录公会长账号
2. 准备可读取的JPG图片</x:v>
      </x:c>
      <x:c r="J78" s="4" t="str">
        <x:v>1. 进入「公会资料」页
2. 选择JPG图片作为Logo
3. 点击保存</x:v>
      </x:c>
      <x:c r="K78" s="4" t="str">
        <x:v>当前公会Logo更新为所选图片</x:v>
      </x:c>
      <x:c r="L78" s="4" t="str"/>
      <x:c r="M78" s="4" t="str">
        <x:v>未测</x:v>
      </x:c>
      <x:c r="N78" s="4" t="str"/>
      <x:c r="O78" s="4" t="str">
        <x:v>1. 来源：MainBasis/统一需求文档.md；G-guild-profile-002
2. 场景：SC-77ad74e86d376c</x:v>
      </x:c>
    </x:row>
    <x:row r="79" ht="54" customHeight="1">
      <x:c r="A79" s="4" t="n">
        <x:v>78</x:v>
      </x:c>
      <x:c r="B79" s="4" t="str">
        <x:v>GUILD-0078</x:v>
      </x:c>
      <x:c r="C79" s="4" t="str">
        <x:v>M05 公会申请、认证、组织与权限</x:v>
      </x:c>
      <x:c r="D79" s="4" t="str">
        <x:v>公会资料（公会长视角）</x:v>
      </x:c>
      <x:c r="E79" s="4" t="str">
        <x:v>功能需求</x:v>
      </x:c>
      <x:c r="F79" s="4" t="str">
        <x:v>P1</x:v>
      </x:c>
      <x:c r="G79" s="4" t="str">
        <x:v>验证公会Logo支持PNG</x:v>
      </x:c>
      <x:c r="H79" s="4" t="str">
        <x:v>公会Logo支持PNG</x:v>
      </x:c>
      <x:c r="I79" s="4" t="str">
        <x:v>1. 已登录公会长账号
2. 准备可读取的PNG图片</x:v>
      </x:c>
      <x:c r="J79" s="4" t="str">
        <x:v>1. 进入「公会资料」页
2. 选择PNG图片作为Logo
3. 点击保存</x:v>
      </x:c>
      <x:c r="K79" s="4" t="str">
        <x:v>当前公会Logo更新为所选图片</x:v>
      </x:c>
      <x:c r="L79" s="4" t="str"/>
      <x:c r="M79" s="4" t="str">
        <x:v>未测</x:v>
      </x:c>
      <x:c r="N79" s="4" t="str"/>
      <x:c r="O79" s="4" t="str">
        <x:v>1. 来源：MainBasis/统一需求文档.md；G-guild-profile-002
2. 场景：SC-53f6a8e31accf9</x:v>
      </x:c>
    </x:row>
    <x:row r="80" ht="54" customHeight="1">
      <x:c r="A80" s="4" t="n">
        <x:v>79</x:v>
      </x:c>
      <x:c r="B80" s="4" t="str">
        <x:v>GUILD-0079</x:v>
      </x:c>
      <x:c r="C80" s="4" t="str">
        <x:v>M05 公会申请、认证、组织与权限</x:v>
      </x:c>
      <x:c r="D80" s="4" t="str">
        <x:v>公会资料（公会长视角）</x:v>
      </x:c>
      <x:c r="E80" s="4" t="str">
        <x:v>功能需求</x:v>
      </x:c>
      <x:c r="F80" s="4" t="str">
        <x:v>P1</x:v>
      </x:c>
      <x:c r="G80" s="4" t="str">
        <x:v>验证公会Logo支持WebP</x:v>
      </x:c>
      <x:c r="H80" s="4" t="str">
        <x:v>公会Logo支持WebP</x:v>
      </x:c>
      <x:c r="I80" s="4" t="str">
        <x:v>1. 已登录公会长账号
2. 准备可读取的WebP图片</x:v>
      </x:c>
      <x:c r="J80" s="4" t="str">
        <x:v>1. 进入「公会资料」页
2. 选择WebP图片作为Logo
3. 点击保存</x:v>
      </x:c>
      <x:c r="K80" s="4" t="str">
        <x:v>当前公会Logo更新为所选图片</x:v>
      </x:c>
      <x:c r="L80" s="4" t="str"/>
      <x:c r="M80" s="4" t="str">
        <x:v>未测</x:v>
      </x:c>
      <x:c r="N80" s="4" t="str"/>
      <x:c r="O80" s="4" t="str">
        <x:v>1. 来源：MainBasis/统一需求文档.md；G-guild-profile-002
2. 场景：SC-647d9e2fd2a60e</x:v>
      </x:c>
    </x:row>
    <x:row r="81" ht="54" customHeight="1">
      <x:c r="A81" s="4" t="n">
        <x:v>80</x:v>
      </x:c>
      <x:c r="B81" s="4" t="str">
        <x:v>GUILD-0080</x:v>
      </x:c>
      <x:c r="C81" s="4" t="str">
        <x:v>M05 公会申请、认证、组织与权限</x:v>
      </x:c>
      <x:c r="D81" s="4" t="str">
        <x:v>公会资料（公会长视角）</x:v>
      </x:c>
      <x:c r="E81" s="4" t="str">
        <x:v>功能需求</x:v>
      </x:c>
      <x:c r="F81" s="4" t="str">
        <x:v>P1</x:v>
      </x:c>
      <x:c r="G81" s="4" t="str">
        <x:v>验证保存资料不改公会关系</x:v>
      </x:c>
      <x:c r="H81" s="4" t="str">
        <x:v>保存资料不改公会关系</x:v>
      </x:c>
      <x:c r="I81" s="4" t="str">
        <x:v>1. 已登录公会长账号
2. 已记录当前公会ID与主播关系</x:v>
      </x:c>
      <x:c r="J81" s="4" t="str">
        <x:v>1. 进入「公会资料」页
2. 修改合法公会简介
3. 点击保存</x:v>
      </x:c>
      <x:c r="K81" s="4" t="str">
        <x:v>公会ID与主播关系保持不变</x:v>
      </x:c>
      <x:c r="L81" s="4" t="str"/>
      <x:c r="M81" s="4" t="str">
        <x:v>未测</x:v>
      </x:c>
      <x:c r="N81" s="4" t="str"/>
      <x:c r="O81" s="4" t="str">
        <x:v>1. 来源：MainBasis/统一需求文档.md；G-guild-profile-005
2. 场景：SC-2db7b81710eb50</x:v>
      </x:c>
    </x:row>
    <x:row r="82" ht="54" customHeight="1">
      <x:c r="A82" s="4" t="n">
        <x:v>81</x:v>
      </x:c>
      <x:c r="B82" s="4" t="str">
        <x:v>GUILD-0081</x:v>
      </x:c>
      <x:c r="C82" s="4" t="str">
        <x:v>M05 公会申请、认证、组织与权限</x:v>
      </x:c>
      <x:c r="D82" s="4" t="str">
        <x:v>账号设置（公会长视角）</x:v>
      </x:c>
      <x:c r="E82" s="4" t="str">
        <x:v>功能需求</x:v>
      </x:c>
      <x:c r="F82" s="4" t="str">
        <x:v>P2</x:v>
      </x:c>
      <x:c r="G82" s="4" t="str">
        <x:v>验证账号信息回显</x:v>
      </x:c>
      <x:c r="H82" s="4" t="str">
        <x:v>账号信息回显</x:v>
      </x:c>
      <x:c r="I82" s="4" t="str">
        <x:v>1. 已登录公会长账号
2. 所选对象存在，已记录该对象的账号信息值</x:v>
      </x:c>
      <x:c r="J82" s="4" t="str">
        <x:v>1. 进入「账号设置」页
2. 查看账号信息回显</x:v>
      </x:c>
      <x:c r="K82" s="4" t="str">
        <x:v>「账号信息」内容与所选对象的该项资料一致</x:v>
      </x:c>
      <x:c r="L82" s="4" t="str"/>
      <x:c r="M82" s="4" t="str">
        <x:v>未测</x:v>
      </x:c>
      <x:c r="N82" s="4" t="str"/>
      <x:c r="O82" s="4" t="str">
        <x:v>1. 来源：MainBasis/统一需求文档.md；G-guild-settings-001
2. 场景：SC-508540cbf8b71c</x:v>
      </x:c>
    </x:row>
    <x:row r="83" ht="54" customHeight="1">
      <x:c r="A83" s="4" t="n">
        <x:v>82</x:v>
      </x:c>
      <x:c r="B83" s="4" t="str">
        <x:v>GUILD-0082</x:v>
      </x:c>
      <x:c r="C83" s="4" t="str">
        <x:v>M05 公会申请、认证、组织与权限</x:v>
      </x:c>
      <x:c r="D83" s="4" t="str">
        <x:v>账号设置（公会长视角）</x:v>
      </x:c>
      <x:c r="E83" s="4" t="str">
        <x:v>功能需求</x:v>
      </x:c>
      <x:c r="F83" s="4" t="str">
        <x:v>P2</x:v>
      </x:c>
      <x:c r="G83" s="4" t="str">
        <x:v>验证语言回显</x:v>
      </x:c>
      <x:c r="H83" s="4" t="str">
        <x:v>语言回显</x:v>
      </x:c>
      <x:c r="I83" s="4" t="str">
        <x:v>1. 已登录公会长账号
2. 所选对象存在，已记录该对象的语言值</x:v>
      </x:c>
      <x:c r="J83" s="4" t="str">
        <x:v>1. 进入「账号设置」页
2. 查看语言回显</x:v>
      </x:c>
      <x:c r="K83" s="4" t="str">
        <x:v>「语言」内容与所选对象的该项资料一致</x:v>
      </x:c>
      <x:c r="L83" s="4" t="str"/>
      <x:c r="M83" s="4" t="str">
        <x:v>未测</x:v>
      </x:c>
      <x:c r="N83" s="4" t="str"/>
      <x:c r="O83" s="4" t="str">
        <x:v>1. 来源：MainBasis/统一需求文档.md；G-guild-settings-002、D-SYS-006
2. 场景：SC-0d5b98cb3109ad</x:v>
      </x:c>
    </x:row>
    <x:row r="84" ht="68" customHeight="1">
      <x:c r="A84" s="4" t="n">
        <x:v>83</x:v>
      </x:c>
      <x:c r="B84" s="4" t="str">
        <x:v>GUILD-0083</x:v>
      </x:c>
      <x:c r="C84" s="4" t="str">
        <x:v>M05 公会申请、认证、组织与权限</x:v>
      </x:c>
      <x:c r="D84" s="4" t="str">
        <x:v>账号设置（公会长视角）</x:v>
      </x:c>
      <x:c r="E84" s="4" t="str">
        <x:v>功能需求</x:v>
      </x:c>
      <x:c r="F84" s="4" t="str">
        <x:v>P1</x:v>
      </x:c>
      <x:c r="G84" s="4" t="str">
        <x:v>验证公会端语言简体中文</x:v>
      </x:c>
      <x:c r="H84" s="4" t="str">
        <x:v>公会端语言简体中文</x:v>
      </x:c>
      <x:c r="I84" s="4" t="str">
        <x:v>1. 已登录公会长账号</x:v>
      </x:c>
      <x:c r="J84" s="4" t="str">
        <x:v>1. 进入「账号设置」页
2. 选择简体中文</x:v>
      </x:c>
      <x:c r="K84" s="4" t="str">
        <x:v>当前账号公会端界面使用简体中文</x:v>
      </x:c>
      <x:c r="L84" s="4" t="str"/>
      <x:c r="M84" s="4" t="str">
        <x:v>未测</x:v>
      </x:c>
      <x:c r="N84" s="4" t="str"/>
      <x:c r="O84" s="4" t="str">
        <x:v>1. 来源：MainBasis/统一需求文档.md；G-guild-settings-002、G-guild-settings-003、D-SYS-006
2. 场景：SC-23134ffacfe812</x:v>
      </x:c>
    </x:row>
    <x:row r="85" ht="68" customHeight="1">
      <x:c r="A85" s="4" t="n">
        <x:v>84</x:v>
      </x:c>
      <x:c r="B85" s="4" t="str">
        <x:v>GUILD-0084</x:v>
      </x:c>
      <x:c r="C85" s="4" t="str">
        <x:v>M05 公会申请、认证、组织与权限</x:v>
      </x:c>
      <x:c r="D85" s="4" t="str">
        <x:v>账号设置（公会长视角）</x:v>
      </x:c>
      <x:c r="E85" s="4" t="str">
        <x:v>功能需求</x:v>
      </x:c>
      <x:c r="F85" s="4" t="str">
        <x:v>P1</x:v>
      </x:c>
      <x:c r="G85" s="4" t="str">
        <x:v>验证公会端语言英文</x:v>
      </x:c>
      <x:c r="H85" s="4" t="str">
        <x:v>公会端语言英文</x:v>
      </x:c>
      <x:c r="I85" s="4" t="str">
        <x:v>1. 已登录公会长账号</x:v>
      </x:c>
      <x:c r="J85" s="4" t="str">
        <x:v>1. 进入「账号设置」页
2. 选择英文</x:v>
      </x:c>
      <x:c r="K85" s="4" t="str">
        <x:v>当前账号公会端界面使用英文</x:v>
      </x:c>
      <x:c r="L85" s="4" t="str"/>
      <x:c r="M85" s="4" t="str">
        <x:v>未测</x:v>
      </x:c>
      <x:c r="N85" s="4" t="str"/>
      <x:c r="O85" s="4" t="str">
        <x:v>1. 来源：MainBasis/统一需求文档.md；G-guild-settings-002、G-guild-settings-003、D-SYS-006
2. 场景：SC-3d8c808af421e5</x:v>
      </x:c>
    </x:row>
    <x:row r="86" ht="68" customHeight="1">
      <x:c r="A86" s="4" t="n">
        <x:v>85</x:v>
      </x:c>
      <x:c r="B86" s="4" t="str">
        <x:v>GUILD-0085</x:v>
      </x:c>
      <x:c r="C86" s="4" t="str">
        <x:v>M05 公会申请、认证、组织与权限</x:v>
      </x:c>
      <x:c r="D86" s="4" t="str">
        <x:v>账号设置（公会长视角）</x:v>
      </x:c>
      <x:c r="E86" s="4" t="str">
        <x:v>功能需求</x:v>
      </x:c>
      <x:c r="F86" s="4" t="str">
        <x:v>P1</x:v>
      </x:c>
      <x:c r="G86" s="4" t="str">
        <x:v>验证公会端语言印尼语</x:v>
      </x:c>
      <x:c r="H86" s="4" t="str">
        <x:v>公会端语言印尼语</x:v>
      </x:c>
      <x:c r="I86" s="4" t="str">
        <x:v>1. 已登录公会长账号</x:v>
      </x:c>
      <x:c r="J86" s="4" t="str">
        <x:v>1. 进入「账号设置」页
2. 选择印尼语</x:v>
      </x:c>
      <x:c r="K86" s="4" t="str">
        <x:v>当前账号公会端界面使用印尼语</x:v>
      </x:c>
      <x:c r="L86" s="4" t="str"/>
      <x:c r="M86" s="4" t="str">
        <x:v>未测</x:v>
      </x:c>
      <x:c r="N86" s="4" t="str"/>
      <x:c r="O86" s="4" t="str">
        <x:v>1. 来源：MainBasis/统一需求文档.md；G-guild-settings-002、G-guild-settings-003、D-SYS-006
2. 场景：SC-89f0a1c2cf4e60</x:v>
      </x:c>
    </x:row>
    <x:row r="87" ht="68" customHeight="1">
      <x:c r="A87" s="4" t="n">
        <x:v>86</x:v>
      </x:c>
      <x:c r="B87" s="4" t="str">
        <x:v>GUILD-0086</x:v>
      </x:c>
      <x:c r="C87" s="4" t="str">
        <x:v>M05 公会申请、认证、组织与权限</x:v>
      </x:c>
      <x:c r="D87" s="4" t="str">
        <x:v>账号设置（公会长视角）</x:v>
      </x:c>
      <x:c r="E87" s="4" t="str">
        <x:v>功能需求</x:v>
      </x:c>
      <x:c r="F87" s="4" t="str">
        <x:v>P1</x:v>
      </x:c>
      <x:c r="G87" s="4" t="str">
        <x:v>验证公会端语言马来语</x:v>
      </x:c>
      <x:c r="H87" s="4" t="str">
        <x:v>公会端语言马来语</x:v>
      </x:c>
      <x:c r="I87" s="4" t="str">
        <x:v>1. 已登录公会长账号</x:v>
      </x:c>
      <x:c r="J87" s="4" t="str">
        <x:v>1. 进入「账号设置」页
2. 选择马来语</x:v>
      </x:c>
      <x:c r="K87" s="4" t="str">
        <x:v>当前账号公会端界面使用马来语</x:v>
      </x:c>
      <x:c r="L87" s="4" t="str"/>
      <x:c r="M87" s="4" t="str">
        <x:v>未测</x:v>
      </x:c>
      <x:c r="N87" s="4" t="str"/>
      <x:c r="O87" s="4" t="str">
        <x:v>1. 来源：MainBasis/统一需求文档.md；G-guild-settings-002、G-guild-settings-003、D-SYS-006
2. 场景：SC-ddb38120e9cefd</x:v>
      </x:c>
    </x:row>
    <x:row r="88" ht="54" customHeight="1">
      <x:c r="A88" s="4" t="n">
        <x:v>87</x:v>
      </x:c>
      <x:c r="B88" s="4" t="str">
        <x:v>GUILD-0087</x:v>
      </x:c>
      <x:c r="C88" s="4" t="str">
        <x:v>M05 公会申请、认证、组织与权限</x:v>
      </x:c>
      <x:c r="D88" s="4" t="str">
        <x:v>账号设置（公会长视角）</x:v>
      </x:c>
      <x:c r="E88" s="4" t="str">
        <x:v>功能需求</x:v>
      </x:c>
      <x:c r="F88" s="4" t="str">
        <x:v>P2</x:v>
      </x:c>
      <x:c r="G88" s="4" t="str">
        <x:v>验证修改密码入口</x:v>
      </x:c>
      <x:c r="H88" s="4" t="str">
        <x:v>修改密码入口</x:v>
      </x:c>
      <x:c r="I88" s="4" t="str">
        <x:v>1. 已登录公会长账号</x:v>
      </x:c>
      <x:c r="J88" s="4" t="str">
        <x:v>1. 进入「账号设置」页
2. 点击「修改密码」</x:v>
      </x:c>
      <x:c r="K88" s="4" t="str">
        <x:v>页面进入「修改密码」</x:v>
      </x:c>
      <x:c r="L88" s="4" t="str"/>
      <x:c r="M88" s="4" t="str">
        <x:v>未测</x:v>
      </x:c>
      <x:c r="N88" s="4" t="str"/>
      <x:c r="O88" s="4" t="str">
        <x:v>1. 来源：MainBasis/统一需求文档.md；G-guild-settings-004
2. 场景：SC-10eeefee874f7d</x:v>
      </x:c>
    </x:row>
    <x:row r="89" ht="54" customHeight="1">
      <x:c r="A89" s="4" t="n">
        <x:v>88</x:v>
      </x:c>
      <x:c r="B89" s="4" t="str">
        <x:v>GUILD-0088</x:v>
      </x:c>
      <x:c r="C89" s="4" t="str">
        <x:v>M05 公会申请、认证、组织与权限</x:v>
      </x:c>
      <x:c r="D89" s="4" t="str">
        <x:v>账号设置（公会长视角）</x:v>
      </x:c>
      <x:c r="E89" s="4" t="str">
        <x:v>功能需求</x:v>
      </x:c>
      <x:c r="F89" s="4" t="str">
        <x:v>P1</x:v>
      </x:c>
      <x:c r="G89" s="4" t="str">
        <x:v>验证公会退出登录确认</x:v>
      </x:c>
      <x:c r="H89" s="4" t="str">
        <x:v>公会退出登录确认</x:v>
      </x:c>
      <x:c r="I89" s="4" t="str">
        <x:v>1. 已登录公会长账号</x:v>
      </x:c>
      <x:c r="J89" s="4" t="str">
        <x:v>1. 进入「账号设置」页
2. 点击退出登录
3. 点击确认</x:v>
      </x:c>
      <x:c r="K89" s="4" t="str">
        <x:v>会话清除并返回公会登录页</x:v>
      </x:c>
      <x:c r="L89" s="4" t="str"/>
      <x:c r="M89" s="4" t="str">
        <x:v>未测</x:v>
      </x:c>
      <x:c r="N89" s="4" t="str"/>
      <x:c r="O89" s="4" t="str">
        <x:v>1. 来源：MainBasis/统一需求文档.md；G-guild-settings-004
2. 场景：SC-4e2d333922516f</x:v>
      </x:c>
    </x:row>
    <x:row r="90" ht="54" customHeight="1">
      <x:c r="A90" s="4" t="n">
        <x:v>89</x:v>
      </x:c>
      <x:c r="B90" s="4" t="str">
        <x:v>GUILD-0089</x:v>
      </x:c>
      <x:c r="C90" s="4" t="str">
        <x:v>M05 公会申请、认证、组织与权限</x:v>
      </x:c>
      <x:c r="D90" s="4" t="str">
        <x:v>账号设置（公会长视角）</x:v>
      </x:c>
      <x:c r="E90" s="4" t="str">
        <x:v>功能需求</x:v>
      </x:c>
      <x:c r="F90" s="4" t="str">
        <x:v>P1</x:v>
      </x:c>
      <x:c r="G90" s="4" t="str">
        <x:v>验证公会退出登录取消</x:v>
      </x:c>
      <x:c r="H90" s="4" t="str">
        <x:v>公会退出登录取消</x:v>
      </x:c>
      <x:c r="I90" s="4" t="str">
        <x:v>1. 已登录公会长账号</x:v>
      </x:c>
      <x:c r="J90" s="4" t="str">
        <x:v>1. 进入「账号设置」页
2. 点击退出登录
3. 点击取消</x:v>
      </x:c>
      <x:c r="K90" s="4" t="str">
        <x:v>仍保持当前登录会话</x:v>
      </x:c>
      <x:c r="L90" s="4" t="str"/>
      <x:c r="M90" s="4" t="str">
        <x:v>未测</x:v>
      </x:c>
      <x:c r="N90" s="4" t="str"/>
      <x:c r="O90" s="4" t="str">
        <x:v>1. 来源：MainBasis/统一需求文档.md；G-guild-settings-004
2. 场景：SC-3efe79403563b9</x:v>
      </x:c>
    </x:row>
    <x:row r="91" ht="54" customHeight="1">
      <x:c r="A91" s="4" t="n">
        <x:v>90</x:v>
      </x:c>
      <x:c r="B91" s="4" t="str">
        <x:v>GUILD-0090</x:v>
      </x:c>
      <x:c r="C91" s="4" t="str">
        <x:v>M05 公会申请、认证、组织与权限</x:v>
      </x:c>
      <x:c r="D91" s="4" t="str">
        <x:v>修改密码（公会长视角）</x:v>
      </x:c>
      <x:c r="E91" s="4" t="str">
        <x:v>异常用例</x:v>
      </x:c>
      <x:c r="F91" s="4" t="str">
        <x:v>P1</x:v>
      </x:c>
      <x:c r="G91" s="4" t="str">
        <x:v>验证当前密码缺失限制</x:v>
      </x:c>
      <x:c r="H91" s="4" t="str">
        <x:v>当前密码缺失限制</x:v>
      </x:c>
      <x:c r="I91" s="4" t="str">
        <x:v>1. 已登录公会长账号
2. 其他必填字段为合法值</x:v>
      </x:c>
      <x:c r="J91" s="4" t="str">
        <x:v>1. 进入「修改密码」页
2. 清空「当前密码」
3. 点击「保存」</x:v>
      </x:c>
      <x:c r="K91" s="4" t="str">
        <x:v>当前密码未填写，无法保存</x:v>
      </x:c>
      <x:c r="L91" s="4" t="str"/>
      <x:c r="M91" s="4" t="str">
        <x:v>未测</x:v>
      </x:c>
      <x:c r="N91" s="4" t="str"/>
      <x:c r="O91" s="4" t="str">
        <x:v>1. 来源：MainBasis/统一需求文档.md；G-guild-password-001
2. 场景：SC-f4490e852f4357</x:v>
      </x:c>
    </x:row>
    <x:row r="92" ht="54" customHeight="1">
      <x:c r="A92" s="4" t="n">
        <x:v>91</x:v>
      </x:c>
      <x:c r="B92" s="4" t="str">
        <x:v>GUILD-0091</x:v>
      </x:c>
      <x:c r="C92" s="4" t="str">
        <x:v>M05 公会申请、认证、组织与权限</x:v>
      </x:c>
      <x:c r="D92" s="4" t="str">
        <x:v>修改密码（公会长视角）</x:v>
      </x:c>
      <x:c r="E92" s="4" t="str">
        <x:v>异常用例</x:v>
      </x:c>
      <x:c r="F92" s="4" t="str">
        <x:v>P1</x:v>
      </x:c>
      <x:c r="G92" s="4" t="str">
        <x:v>验证新密码缺失限制</x:v>
      </x:c>
      <x:c r="H92" s="4" t="str">
        <x:v>新密码缺失限制</x:v>
      </x:c>
      <x:c r="I92" s="4" t="str">
        <x:v>1. 已登录公会长账号
2. 其他必填字段为合法值</x:v>
      </x:c>
      <x:c r="J92" s="4" t="str">
        <x:v>1. 进入「修改密码」页
2. 清空「新密码」
3. 点击「保存」</x:v>
      </x:c>
      <x:c r="K92" s="4" t="str">
        <x:v>新密码未填写，无法保存</x:v>
      </x:c>
      <x:c r="L92" s="4" t="str"/>
      <x:c r="M92" s="4" t="str">
        <x:v>未测</x:v>
      </x:c>
      <x:c r="N92" s="4" t="str"/>
      <x:c r="O92" s="4" t="str">
        <x:v>1. 来源：MainBasis/统一需求文档.md；G-guild-password-002
2. 场景：SC-10b575f49d3c32</x:v>
      </x:c>
    </x:row>
    <x:row r="93" ht="54" customHeight="1">
      <x:c r="A93" s="4" t="n">
        <x:v>92</x:v>
      </x:c>
      <x:c r="B93" s="4" t="str">
        <x:v>GUILD-0092</x:v>
      </x:c>
      <x:c r="C93" s="4" t="str">
        <x:v>M05 公会申请、认证、组织与权限</x:v>
      </x:c>
      <x:c r="D93" s="4" t="str">
        <x:v>修改密码（公会长视角）</x:v>
      </x:c>
      <x:c r="E93" s="4" t="str">
        <x:v>异常用例</x:v>
      </x:c>
      <x:c r="F93" s="4" t="str">
        <x:v>P1</x:v>
      </x:c>
      <x:c r="G93" s="4" t="str">
        <x:v>验证确认新密码缺失限制</x:v>
      </x:c>
      <x:c r="H93" s="4" t="str">
        <x:v>确认新密码缺失限制</x:v>
      </x:c>
      <x:c r="I93" s="4" t="str">
        <x:v>1. 已登录公会长账号
2. 其他必填字段为合法值</x:v>
      </x:c>
      <x:c r="J93" s="4" t="str">
        <x:v>1. 进入「修改密码」页
2. 清空「确认新密码」
3. 点击「保存」</x:v>
      </x:c>
      <x:c r="K93" s="4" t="str">
        <x:v>确认新密码未填写，无法保存</x:v>
      </x:c>
      <x:c r="L93" s="4" t="str"/>
      <x:c r="M93" s="4" t="str">
        <x:v>未测</x:v>
      </x:c>
      <x:c r="N93" s="4" t="str"/>
      <x:c r="O93" s="4" t="str">
        <x:v>1. 来源：MainBasis/统一需求文档.md；G-guild-password-003
2. 场景：SC-1c605669f55770</x:v>
      </x:c>
    </x:row>
    <x:row r="94" ht="68" customHeight="1">
      <x:c r="A94" s="4" t="n">
        <x:v>93</x:v>
      </x:c>
      <x:c r="B94" s="4" t="str">
        <x:v>GUILD-0093</x:v>
      </x:c>
      <x:c r="C94" s="4" t="str">
        <x:v>M05 公会申请、认证、组织与权限</x:v>
      </x:c>
      <x:c r="D94" s="4" t="str">
        <x:v>修改密码（公会长视角）</x:v>
      </x:c>
      <x:c r="E94" s="4" t="str">
        <x:v>功能需求</x:v>
      </x:c>
      <x:c r="F94" s="4" t="str">
        <x:v>P1</x:v>
      </x:c>
      <x:c r="G94" s="4" t="str">
        <x:v>验证公会新密码7位</x:v>
      </x:c>
      <x:c r="H94" s="4" t="str">
        <x:v>公会新密码7位</x:v>
      </x:c>
      <x:c r="I94" s="4" t="str">
        <x:v>1. 已登录公会长账号
2. 当前密码填写正确，确认密码与新密码一致，新密码不同于旧密码</x:v>
      </x:c>
      <x:c r="J94" s="4" t="str">
        <x:v>1. 进入「修改密码」页
2. 输入7位新密码
3. 点击保存</x:v>
      </x:c>
      <x:c r="K94" s="4" t="str">
        <x:v>不能保存新密码</x:v>
      </x:c>
      <x:c r="L94" s="4" t="str"/>
      <x:c r="M94" s="4" t="str">
        <x:v>未测</x:v>
      </x:c>
      <x:c r="N94" s="4" t="str"/>
      <x:c r="O94" s="4" t="str">
        <x:v>1. 来源：MainBasis/统一需求文档.md；G-guild-password-002
2. 场景：SC-95171eb3085393</x:v>
      </x:c>
    </x:row>
    <x:row r="95" ht="68" customHeight="1">
      <x:c r="A95" s="4" t="n">
        <x:v>94</x:v>
      </x:c>
      <x:c r="B95" s="4" t="str">
        <x:v>GUILD-0094</x:v>
      </x:c>
      <x:c r="C95" s="4" t="str">
        <x:v>M05 公会申请、认证、组织与权限</x:v>
      </x:c>
      <x:c r="D95" s="4" t="str">
        <x:v>修改密码（公会长视角）</x:v>
      </x:c>
      <x:c r="E95" s="4" t="str">
        <x:v>功能需求</x:v>
      </x:c>
      <x:c r="F95" s="4" t="str">
        <x:v>P1</x:v>
      </x:c>
      <x:c r="G95" s="4" t="str">
        <x:v>验证公会新密码8位</x:v>
      </x:c>
      <x:c r="H95" s="4" t="str">
        <x:v>公会新密码8位</x:v>
      </x:c>
      <x:c r="I95" s="4" t="str">
        <x:v>1. 已登录公会长账号
2. 当前密码填写正确，确认密码与新密码一致，新密码不同于旧密码</x:v>
      </x:c>
      <x:c r="J95" s="4" t="str">
        <x:v>1. 进入「修改密码」页
2. 输入8位新密码
3. 点击保存</x:v>
      </x:c>
      <x:c r="K95" s="4" t="str">
        <x:v>密码更新并返回账号设置</x:v>
      </x:c>
      <x:c r="L95" s="4" t="str"/>
      <x:c r="M95" s="4" t="str">
        <x:v>未测</x:v>
      </x:c>
      <x:c r="N95" s="4" t="str"/>
      <x:c r="O95" s="4" t="str">
        <x:v>1. 来源：MainBasis/统一需求文档.md；G-guild-password-002
2. 场景：SC-750857f1df78df</x:v>
      </x:c>
    </x:row>
    <x:row r="96" ht="68" customHeight="1">
      <x:c r="A96" s="4" t="n">
        <x:v>95</x:v>
      </x:c>
      <x:c r="B96" s="4" t="str">
        <x:v>GUILD-0095</x:v>
      </x:c>
      <x:c r="C96" s="4" t="str">
        <x:v>M05 公会申请、认证、组织与权限</x:v>
      </x:c>
      <x:c r="D96" s="4" t="str">
        <x:v>修改密码（公会长视角）</x:v>
      </x:c>
      <x:c r="E96" s="4" t="str">
        <x:v>功能需求</x:v>
      </x:c>
      <x:c r="F96" s="4" t="str">
        <x:v>P1</x:v>
      </x:c>
      <x:c r="G96" s="4" t="str">
        <x:v>验证公会新密码9位</x:v>
      </x:c>
      <x:c r="H96" s="4" t="str">
        <x:v>公会新密码9位</x:v>
      </x:c>
      <x:c r="I96" s="4" t="str">
        <x:v>1. 已登录公会长账号
2. 当前密码填写正确，确认密码与新密码一致，新密码不同于旧密码</x:v>
      </x:c>
      <x:c r="J96" s="4" t="str">
        <x:v>1. 进入「修改密码」页
2. 输入9位新密码
3. 点击保存</x:v>
      </x:c>
      <x:c r="K96" s="4" t="str">
        <x:v>密码更新并返回账号设置</x:v>
      </x:c>
      <x:c r="L96" s="4" t="str"/>
      <x:c r="M96" s="4" t="str">
        <x:v>未测</x:v>
      </x:c>
      <x:c r="N96" s="4" t="str"/>
      <x:c r="O96" s="4" t="str">
        <x:v>1. 来源：MainBasis/统一需求文档.md；G-guild-password-002
2. 场景：SC-856aa0897bf0c7</x:v>
      </x:c>
    </x:row>
    <x:row r="97" ht="54" customHeight="1">
      <x:c r="A97" s="4" t="n">
        <x:v>96</x:v>
      </x:c>
      <x:c r="B97" s="4" t="str">
        <x:v>GUILD-0096</x:v>
      </x:c>
      <x:c r="C97" s="4" t="str">
        <x:v>M05 公会申请、认证、组织与权限</x:v>
      </x:c>
      <x:c r="D97" s="4" t="str">
        <x:v>修改密码（公会长视角）</x:v>
      </x:c>
      <x:c r="E97" s="4" t="str">
        <x:v>异常用例</x:v>
      </x:c>
      <x:c r="F97" s="4" t="str">
        <x:v>P1</x:v>
      </x:c>
      <x:c r="G97" s="4" t="str">
        <x:v>验证公会改密当前密码错误</x:v>
      </x:c>
      <x:c r="H97" s="4" t="str">
        <x:v>公会改密当前密码错误</x:v>
      </x:c>
      <x:c r="I97" s="4" t="str">
        <x:v>1. 已登录公会长账号
2. 当前密码错误</x:v>
      </x:c>
      <x:c r="J97" s="4" t="str">
        <x:v>1. 进入「修改密码」页
2. 点击保存</x:v>
      </x:c>
      <x:c r="K97" s="4" t="str">
        <x:v>保留输入并提示“当前密码错误”</x:v>
      </x:c>
      <x:c r="L97" s="4" t="str"/>
      <x:c r="M97" s="4" t="str">
        <x:v>未测</x:v>
      </x:c>
      <x:c r="N97" s="4" t="str"/>
      <x:c r="O97" s="4" t="str">
        <x:v>1. 来源：MainBasis/统一需求文档.md；G-guild-password-004
2. 场景：SC-086a0c5456d41f</x:v>
      </x:c>
    </x:row>
    <x:row r="98" ht="54" customHeight="1">
      <x:c r="A98" s="4" t="n">
        <x:v>97</x:v>
      </x:c>
      <x:c r="B98" s="4" t="str">
        <x:v>GUILD-0097</x:v>
      </x:c>
      <x:c r="C98" s="4" t="str">
        <x:v>M05 公会申请、认证、组织与权限</x:v>
      </x:c>
      <x:c r="D98" s="4" t="str">
        <x:v>修改密码（公会长视角）</x:v>
      </x:c>
      <x:c r="E98" s="4" t="str">
        <x:v>异常用例</x:v>
      </x:c>
      <x:c r="F98" s="4" t="str">
        <x:v>P1</x:v>
      </x:c>
      <x:c r="G98" s="4" t="str">
        <x:v>验证公会改密新旧密码相同</x:v>
      </x:c>
      <x:c r="H98" s="4" t="str">
        <x:v>公会改密新旧密码相同</x:v>
      </x:c>
      <x:c r="I98" s="4" t="str">
        <x:v>1. 已登录公会长账号
2. 新旧密码相同</x:v>
      </x:c>
      <x:c r="J98" s="4" t="str">
        <x:v>1. 进入「修改密码」页
2. 点击保存</x:v>
      </x:c>
      <x:c r="K98" s="4" t="str">
        <x:v>保留输入并提示“新密码不能和旧密码一样”</x:v>
      </x:c>
      <x:c r="L98" s="4" t="str"/>
      <x:c r="M98" s="4" t="str">
        <x:v>未测</x:v>
      </x:c>
      <x:c r="N98" s="4" t="str"/>
      <x:c r="O98" s="4" t="str">
        <x:v>1. 来源：MainBasis/统一需求文档.md；G-guild-password-004
2. 场景：SC-88c06e09025dd9</x:v>
      </x:c>
    </x:row>
    <x:row r="99" ht="54" customHeight="1">
      <x:c r="A99" s="4" t="n">
        <x:v>98</x:v>
      </x:c>
      <x:c r="B99" s="4" t="str">
        <x:v>GUILD-0098</x:v>
      </x:c>
      <x:c r="C99" s="4" t="str">
        <x:v>M05 公会申请、认证、组织与权限</x:v>
      </x:c>
      <x:c r="D99" s="4" t="str">
        <x:v>修改密码（公会长视角）</x:v>
      </x:c>
      <x:c r="E99" s="4" t="str">
        <x:v>异常用例</x:v>
      </x:c>
      <x:c r="F99" s="4" t="str">
        <x:v>P1</x:v>
      </x:c>
      <x:c r="G99" s="4" t="str">
        <x:v>验证公会改密保存请求失败</x:v>
      </x:c>
      <x:c r="H99" s="4" t="str">
        <x:v>公会改密保存请求失败</x:v>
      </x:c>
      <x:c r="I99" s="4" t="str">
        <x:v>1. 已登录公会长账号
2. 保存请求失败</x:v>
      </x:c>
      <x:c r="J99" s="4" t="str">
        <x:v>1. 进入「修改密码」页
2. 点击保存</x:v>
      </x:c>
      <x:c r="K99" s="4" t="str">
        <x:v>保留输入并提示“保存失败”</x:v>
      </x:c>
      <x:c r="L99" s="4" t="str"/>
      <x:c r="M99" s="4" t="str">
        <x:v>未测</x:v>
      </x:c>
      <x:c r="N99" s="4" t="str"/>
      <x:c r="O99" s="4" t="str">
        <x:v>1. 来源：MainBasis/统一需求文档.md；G-guild-password-004
2. 场景：SC-c573e82a450124</x:v>
      </x:c>
    </x:row>
    <x:row r="100" ht="54" customHeight="1">
      <x:c r="A100" s="4" t="n">
        <x:v>99</x:v>
      </x:c>
      <x:c r="B100" s="4" t="str">
        <x:v>GUILD-0099</x:v>
      </x:c>
      <x:c r="C100" s="4" t="str">
        <x:v>M05 公会申请、认证、组织与权限</x:v>
      </x:c>
      <x:c r="D100" s="4" t="str">
        <x:v>修改密码（公会长视角）</x:v>
      </x:c>
      <x:c r="E100" s="4" t="str">
        <x:v>异常用例</x:v>
      </x:c>
      <x:c r="F100" s="4" t="str">
        <x:v>P1</x:v>
      </x:c>
      <x:c r="G100" s="4" t="str">
        <x:v>验证确认密码不一致</x:v>
      </x:c>
      <x:c r="H100" s="4" t="str">
        <x:v>确认密码不一致</x:v>
      </x:c>
      <x:c r="I100" s="4" t="str">
        <x:v>1. 已登录公会长账号
2. 当前密码正确，新密码符合长度</x:v>
      </x:c>
      <x:c r="J100" s="4" t="str">
        <x:v>1. 进入「修改密码」页
2. 确认密码填写另一值
3. 点击保存</x:v>
      </x:c>
      <x:c r="K100" s="4" t="str">
        <x:v>密码不能更新</x:v>
      </x:c>
      <x:c r="L100" s="4" t="str"/>
      <x:c r="M100" s="4" t="str">
        <x:v>未测</x:v>
      </x:c>
      <x:c r="N100" s="4" t="str"/>
      <x:c r="O100" s="4" t="str">
        <x:v>1. 来源：MainBasis/统一需求文档.md；G-guild-password-003
2. 场景：SC-a0e9c1d039e823</x:v>
      </x:c>
    </x:row>
    <x:row r="101" ht="54" customHeight="1">
      <x:c r="A101" s="4" t="n">
        <x:v>100</x:v>
      </x:c>
      <x:c r="B101" s="4" t="str">
        <x:v>GUILD-0100</x:v>
      </x:c>
      <x:c r="C101" s="4" t="str">
        <x:v>M05 公会申请、认证、组织与权限</x:v>
      </x:c>
      <x:c r="D101" s="4" t="str">
        <x:v>主播主页（公会长视角）</x:v>
      </x:c>
      <x:c r="E101" s="4" t="str">
        <x:v>功能需求</x:v>
      </x:c>
      <x:c r="F101" s="4" t="str">
        <x:v>P2</x:v>
      </x:c>
      <x:c r="G101" s="4" t="str">
        <x:v>验证主播信息回显</x:v>
      </x:c>
      <x:c r="H101" s="4" t="str">
        <x:v>主播信息回显</x:v>
      </x:c>
      <x:c r="I101" s="4" t="str">
        <x:v>1. 已登录公会长账号
2. 所选对象存在，已记录该对象的主播信息值</x:v>
      </x:c>
      <x:c r="J101" s="4" t="str">
        <x:v>1. 进入「主播主页」页
2. 查看主播信息回显</x:v>
      </x:c>
      <x:c r="K101" s="4" t="str">
        <x:v>「主播信息」内容与所选对象的该项资料一致</x:v>
      </x:c>
      <x:c r="L101" s="4" t="str"/>
      <x:c r="M101" s="4" t="str">
        <x:v>未测</x:v>
      </x:c>
      <x:c r="N101" s="4" t="str"/>
      <x:c r="O101" s="4" t="str">
        <x:v>1. 来源：MainBasis/统一需求文档.md；G-guild-host-detail-001
2. 场景：SC-8d8c8b9ff9c4de</x:v>
      </x:c>
    </x:row>
    <x:row r="102" ht="54" customHeight="1">
      <x:c r="A102" s="4" t="n">
        <x:v>101</x:v>
      </x:c>
      <x:c r="B102" s="4" t="str">
        <x:v>GUILD-0101</x:v>
      </x:c>
      <x:c r="C102" s="4" t="str">
        <x:v>M05 公会申请、认证、组织与权限</x:v>
      </x:c>
      <x:c r="D102" s="4" t="str">
        <x:v>主播主页（公会长视角）</x:v>
      </x:c>
      <x:c r="E102" s="4" t="str">
        <x:v>功能需求</x:v>
      </x:c>
      <x:c r="F102" s="4" t="str">
        <x:v>P2</x:v>
      </x:c>
      <x:c r="G102" s="4" t="str">
        <x:v>验证退会状态回显</x:v>
      </x:c>
      <x:c r="H102" s="4" t="str">
        <x:v>退会状态回显</x:v>
      </x:c>
      <x:c r="I102" s="4" t="str">
        <x:v>1. 已登录公会长账号
2. 所选对象存在，已记录该对象的退会状态值</x:v>
      </x:c>
      <x:c r="J102" s="4" t="str">
        <x:v>1. 进入「主播主页」页
2. 查看退会状态回显</x:v>
      </x:c>
      <x:c r="K102" s="4" t="str">
        <x:v>「退会状态」内容与所选对象的该项资料一致</x:v>
      </x:c>
      <x:c r="L102" s="4" t="str"/>
      <x:c r="M102" s="4" t="str">
        <x:v>未测</x:v>
      </x:c>
      <x:c r="N102" s="4" t="str"/>
      <x:c r="O102" s="4" t="str">
        <x:v>1. 来源：MainBasis/统一需求文档.md；G-guild-host-detail-002
2. 场景：SC-aa33e5bfa2669d</x:v>
      </x:c>
    </x:row>
    <x:row r="103" ht="54" customHeight="1">
      <x:c r="A103" s="4" t="n">
        <x:v>102</x:v>
      </x:c>
      <x:c r="B103" s="4" t="str">
        <x:v>GUILD-0102</x:v>
      </x:c>
      <x:c r="C103" s="4" t="str">
        <x:v>M05 公会申请、认证、组织与权限</x:v>
      </x:c>
      <x:c r="D103" s="4" t="str">
        <x:v>主播主页（公会长视角）</x:v>
      </x:c>
      <x:c r="E103" s="4" t="str">
        <x:v>功能需求</x:v>
      </x:c>
      <x:c r="F103" s="4" t="str">
        <x:v>P2</x:v>
      </x:c>
      <x:c r="G103" s="4" t="str">
        <x:v>验证申请记录回显</x:v>
      </x:c>
      <x:c r="H103" s="4" t="str">
        <x:v>申请记录回显</x:v>
      </x:c>
      <x:c r="I103" s="4" t="str">
        <x:v>1. 已登录公会长账号
2. 所选对象存在，已记录该对象的申请记录值</x:v>
      </x:c>
      <x:c r="J103" s="4" t="str">
        <x:v>1. 进入「主播主页」页
2. 查看申请记录回显</x:v>
      </x:c>
      <x:c r="K103" s="4" t="str">
        <x:v>「申请记录」内容与所选对象的该项资料一致</x:v>
      </x:c>
      <x:c r="L103" s="4" t="str"/>
      <x:c r="M103" s="4" t="str">
        <x:v>未测</x:v>
      </x:c>
      <x:c r="N103" s="4" t="str"/>
      <x:c r="O103" s="4" t="str">
        <x:v>1. 来源：MainBasis/统一需求文档.md；G-guild-host-detail-004
2. 场景：SC-a7f37ed6b3026a</x:v>
      </x:c>
    </x:row>
    <x:row r="104" ht="54" customHeight="1">
      <x:c r="A104" s="4" t="n">
        <x:v>103</x:v>
      </x:c>
      <x:c r="B104" s="4" t="str">
        <x:v>GUILD-0103</x:v>
      </x:c>
      <x:c r="C104" s="4" t="str">
        <x:v>M05 公会申请、认证、组织与权限</x:v>
      </x:c>
      <x:c r="D104" s="4" t="str">
        <x:v>主播主页（公会长视角）</x:v>
      </x:c>
      <x:c r="E104" s="4" t="str">
        <x:v>功能需求</x:v>
      </x:c>
      <x:c r="F104" s="4" t="str">
        <x:v>P1</x:v>
      </x:c>
      <x:c r="G104" s="4" t="str">
        <x:v>验证移出主播未结收益0</x:v>
      </x:c>
      <x:c r="H104" s="4" t="str">
        <x:v>移出主播未结收益0</x:v>
      </x:c>
      <x:c r="I104" s="4" t="str">
        <x:v>1. 已登录公会长账号
2. 该主播当前在会
3. 未结收益为0</x:v>
      </x:c>
      <x:c r="J104" s="4" t="str">
        <x:v>1. 进入「主播主页」页
2. 查看移出主播未结收益0</x:v>
      </x:c>
      <x:c r="K104" s="4" t="str">
        <x:v>移出按钮可用</x:v>
      </x:c>
      <x:c r="L104" s="4" t="str"/>
      <x:c r="M104" s="4" t="str">
        <x:v>未测</x:v>
      </x:c>
      <x:c r="N104" s="4" t="str"/>
      <x:c r="O104" s="4" t="str">
        <x:v>1. 来源：MainBasis/统一需求文档.md；G-guild-host-detail-009
2. 场景：SC-14e87a9b364da0</x:v>
      </x:c>
    </x:row>
    <x:row r="105" ht="54" customHeight="1">
      <x:c r="A105" s="4" t="n">
        <x:v>104</x:v>
      </x:c>
      <x:c r="B105" s="4" t="str">
        <x:v>GUILD-0104</x:v>
      </x:c>
      <x:c r="C105" s="4" t="str">
        <x:v>M05 公会申请、认证、组织与权限</x:v>
      </x:c>
      <x:c r="D105" s="4" t="str">
        <x:v>主播主页（公会长视角）</x:v>
      </x:c>
      <x:c r="E105" s="4" t="str">
        <x:v>功能需求</x:v>
      </x:c>
      <x:c r="F105" s="4" t="str">
        <x:v>P1</x:v>
      </x:c>
      <x:c r="G105" s="4" t="str">
        <x:v>验证移出主播未结收益1</x:v>
      </x:c>
      <x:c r="H105" s="4" t="str">
        <x:v>移出主播未结收益1</x:v>
      </x:c>
      <x:c r="I105" s="4" t="str">
        <x:v>1. 已登录公会长账号
2. 该主播当前在会
3. 未结收益为1</x:v>
      </x:c>
      <x:c r="J105" s="4" t="str">
        <x:v>1. 进入「主播主页」页
2. 查看移出主播未结收益1</x:v>
      </x:c>
      <x:c r="K105" s="4" t="str">
        <x:v>移出按钮置灰</x:v>
      </x:c>
      <x:c r="L105" s="4" t="str"/>
      <x:c r="M105" s="4" t="str">
        <x:v>未测</x:v>
      </x:c>
      <x:c r="N105" s="4" t="str"/>
      <x:c r="O105" s="4" t="str">
        <x:v>1. 来源：MainBasis/统一需求文档.md；G-guild-host-detail-009
2. 场景：SC-e37e342a58258e</x:v>
      </x:c>
    </x:row>
    <x:row r="106" ht="68" customHeight="1">
      <x:c r="A106" s="4" t="n">
        <x:v>105</x:v>
      </x:c>
      <x:c r="B106" s="4" t="str">
        <x:v>GUILD-0105</x:v>
      </x:c>
      <x:c r="C106" s="4" t="str">
        <x:v>M05 公会申请、认证、组织与权限</x:v>
      </x:c>
      <x:c r="D106" s="4" t="str">
        <x:v>主播主页（公会长视角）</x:v>
      </x:c>
      <x:c r="E106" s="4" t="str">
        <x:v>功能需求</x:v>
      </x:c>
      <x:c r="F106" s="4" t="str">
        <x:v>P1</x:v>
      </x:c>
      <x:c r="G106" s="4" t="str">
        <x:v>验证移出主播确认</x:v>
      </x:c>
      <x:c r="H106" s="4" t="str">
        <x:v>移出主播确认</x:v>
      </x:c>
      <x:c r="I106" s="4" t="str">
        <x:v>1. 已登录公会长账号
2. 主播在会且未结收益0，正在直播</x:v>
      </x:c>
      <x:c r="J106" s="4" t="str">
        <x:v>1. 进入「主播主页」页
2. 点击移出公会
3. 确认移出</x:v>
      </x:c>
      <x:c r="K106" s="4" t="str">
        <x:v>当前直播结束且公会关系解除</x:v>
      </x:c>
      <x:c r="L106" s="4" t="str">
        <x:v>FLOW-EA7D49B9</x:v>
      </x:c>
      <x:c r="M106" s="4" t="str">
        <x:v>未测</x:v>
      </x:c>
      <x:c r="N106" s="4" t="str"/>
      <x:c r="O106" s="4" t="str">
        <x:v>1. 来源：MainBasis/统一需求文档.md；G-guild-host-detail-009
2. 场景：SC-1a44f46d0b184a
3. 状态转换：ST-6CB4EB33D1A6</x:v>
      </x:c>
    </x:row>
    <x:row r="107" ht="68" customHeight="1">
      <x:c r="A107" s="4" t="n">
        <x:v>106</x:v>
      </x:c>
      <x:c r="B107" s="4" t="str">
        <x:v>GUILD-0106</x:v>
      </x:c>
      <x:c r="C107" s="4" t="str">
        <x:v>M05 公会申请、认证、组织与权限</x:v>
      </x:c>
      <x:c r="D107" s="4" t="str">
        <x:v>主播主页（公会长视角）</x:v>
      </x:c>
      <x:c r="E107" s="4" t="str">
        <x:v>功能需求</x:v>
      </x:c>
      <x:c r="F107" s="4" t="str">
        <x:v>P1</x:v>
      </x:c>
      <x:c r="G107" s="4" t="str">
        <x:v>验证公会关闭主播权限</x:v>
      </x:c>
      <x:c r="H107" s="4" t="str">
        <x:v>公会关闭主播权限</x:v>
      </x:c>
      <x:c r="I107" s="4" t="str">
        <x:v>1. 已登录公会长账号
2. 平台未锁定公会管理，主播权限开启且正在直播</x:v>
      </x:c>
      <x:c r="J107" s="4" t="str">
        <x:v>1. 进入「主播主页」页
2. 关闭直播权限
3. 确认</x:v>
      </x:c>
      <x:c r="K107" s="4" t="str">
        <x:v>主播当前直播立即结束且不能再次开播</x:v>
      </x:c>
      <x:c r="L107" s="4" t="str">
        <x:v>FLOW-29684C4A</x:v>
      </x:c>
      <x:c r="M107" s="4" t="str">
        <x:v>未测</x:v>
      </x:c>
      <x:c r="N107" s="4" t="str"/>
      <x:c r="O107" s="4" t="str">
        <x:v>1. 来源：MainBasis/统一需求文档.md；G-guild-host-detail-008
2. 场景：SC-a7452bbbadaad1
3. 状态转换：ST-FFC3DF4CEA14</x:v>
      </x:c>
    </x:row>
    <x:row r="108" ht="54" customHeight="1">
      <x:c r="A108" s="4" t="n">
        <x:v>107</x:v>
      </x:c>
      <x:c r="B108" s="4" t="str">
        <x:v>GUILD-0107</x:v>
      </x:c>
      <x:c r="C108" s="4" t="str">
        <x:v>M05 公会申请、认证、组织与权限</x:v>
      </x:c>
      <x:c r="D108" s="4" t="str">
        <x:v>主播主页（公会长视角）</x:v>
      </x:c>
      <x:c r="E108" s="4" t="str">
        <x:v>功能需求</x:v>
      </x:c>
      <x:c r="F108" s="4" t="str">
        <x:v>P1</x:v>
      </x:c>
      <x:c r="G108" s="4" t="str">
        <x:v>验证取消关闭主播权限</x:v>
      </x:c>
      <x:c r="H108" s="4" t="str">
        <x:v>取消关闭主播权限</x:v>
      </x:c>
      <x:c r="I108" s="4" t="str">
        <x:v>1. 已登录公会长账号
2. 主播权限开启且正在直播</x:v>
      </x:c>
      <x:c r="J108" s="4" t="str">
        <x:v>1. 进入「主播主页」页
2. 关闭直播权限
3. 取消确认</x:v>
      </x:c>
      <x:c r="K108" s="4" t="str">
        <x:v>权限与当前直播保持不变</x:v>
      </x:c>
      <x:c r="L108" s="4" t="str"/>
      <x:c r="M108" s="4" t="str">
        <x:v>未测</x:v>
      </x:c>
      <x:c r="N108" s="4" t="str"/>
      <x:c r="O108" s="4" t="str">
        <x:v>1. 来源：MainBasis/统一需求文档.md；G-guild-host-detail-008
2. 场景：SC-6e2d1a671fce98</x:v>
      </x:c>
    </x:row>
    <x:row r="109" ht="82" customHeight="1">
      <x:c r="A109" s="4" t="n">
        <x:v>108</x:v>
      </x:c>
      <x:c r="B109" s="4" t="str">
        <x:v>GUILD-0108</x:v>
      </x:c>
      <x:c r="C109" s="4" t="str">
        <x:v>M05 公会申请、认证、组织与权限</x:v>
      </x:c>
      <x:c r="D109" s="4" t="str">
        <x:v>主播主页（公会长视角）</x:v>
      </x:c>
      <x:c r="E109" s="4" t="str">
        <x:v>功能需求</x:v>
      </x:c>
      <x:c r="F109" s="4" t="str">
        <x:v>P1</x:v>
      </x:c>
      <x:c r="G109" s="4" t="str">
        <x:v>验证平台锁定公会开关只读</x:v>
      </x:c>
      <x:c r="H109" s="4" t="str">
        <x:v>平台锁定公会开关只读</x:v>
      </x:c>
      <x:c r="I109" s="4" t="str">
        <x:v>1. 已登录公会长账号
2. 平台已锁定该主播公会管理权限</x:v>
      </x:c>
      <x:c r="J109" s="4" t="str">
        <x:v>1. 进入「主播主页」页
2. 查看平台锁定公会开关只读</x:v>
      </x:c>
      <x:c r="K109" s="4" t="str">
        <x:v>公会直播权限开关不可编辑</x:v>
      </x:c>
      <x:c r="L109" s="4" t="str">
        <x:v>FLOW-29684C4A</x:v>
      </x:c>
      <x:c r="M109" s="4" t="str">
        <x:v>未测</x:v>
      </x:c>
      <x:c r="N109" s="4" t="str"/>
      <x:c r="O109" s="4" t="str">
        <x:v>1. 来源：MainBasis/统一需求文档.md；G-guild-host-detail-007、A-admin-host-detail-003、D-SYS-086、D-SYS-087、D-SYS-089
2. 场景：SC-ffd258618cb493
3. 状态转换：ST-8CF9566F5670</x:v>
      </x:c>
    </x:row>
    <x:row r="110" ht="82" customHeight="1">
      <x:c r="A110" s="4" t="n">
        <x:v>109</x:v>
      </x:c>
      <x:c r="B110" s="4" t="str">
        <x:v>GUILD-0109</x:v>
      </x:c>
      <x:c r="C110" s="4" t="str">
        <x:v>M05 公会申请、认证、组织与权限</x:v>
      </x:c>
      <x:c r="D110" s="4" t="str">
        <x:v>主播主页（公会长视角）</x:v>
      </x:c>
      <x:c r="E110" s="4" t="str">
        <x:v>功能需求</x:v>
      </x:c>
      <x:c r="F110" s="4" t="str">
        <x:v>P1</x:v>
      </x:c>
      <x:c r="G110" s="4" t="str">
        <x:v>验证解锁恢复原开启</x:v>
      </x:c>
      <x:c r="H110" s="4" t="str">
        <x:v>解锁恢复原开启</x:v>
      </x:c>
      <x:c r="I110" s="4" t="str">
        <x:v>1. 已登录公会长账号
2. 平台已解除此前锁定
3. 锁定前公会设置为开启</x:v>
      </x:c>
      <x:c r="J110" s="4" t="str">
        <x:v>1. 进入「主播主页」页
2. 查看解锁恢复原开启</x:v>
      </x:c>
      <x:c r="K110" s="4" t="str">
        <x:v>公会直播权限恢复为开启</x:v>
      </x:c>
      <x:c r="L110" s="4" t="str">
        <x:v>FLOW-29684C4A</x:v>
      </x:c>
      <x:c r="M110" s="4" t="str">
        <x:v>未测</x:v>
      </x:c>
      <x:c r="N110" s="4" t="str"/>
      <x:c r="O110" s="4" t="str">
        <x:v>1. 来源：MainBasis/统一需求文档.md；G-guild-host-detail-007、A-admin-host-detail-003、D-SYS-086、D-SYS-087、D-SYS-089
2. 场景：SC-fb90baeab16afb
3. 状态转换：ST-AF4B8DF8896D</x:v>
      </x:c>
    </x:row>
    <x:row r="111" ht="82" customHeight="1">
      <x:c r="A111" s="4" t="n">
        <x:v>110</x:v>
      </x:c>
      <x:c r="B111" s="4" t="str">
        <x:v>GUILD-0110</x:v>
      </x:c>
      <x:c r="C111" s="4" t="str">
        <x:v>M05 公会申请、认证、组织与权限</x:v>
      </x:c>
      <x:c r="D111" s="4" t="str">
        <x:v>主播主页（公会长视角）</x:v>
      </x:c>
      <x:c r="E111" s="4" t="str">
        <x:v>功能需求</x:v>
      </x:c>
      <x:c r="F111" s="4" t="str">
        <x:v>P1</x:v>
      </x:c>
      <x:c r="G111" s="4" t="str">
        <x:v>验证解锁恢复原关闭</x:v>
      </x:c>
      <x:c r="H111" s="4" t="str">
        <x:v>解锁恢复原关闭</x:v>
      </x:c>
      <x:c r="I111" s="4" t="str">
        <x:v>1. 已登录公会长账号
2. 平台已解除此前锁定
3. 锁定前公会设置为关闭</x:v>
      </x:c>
      <x:c r="J111" s="4" t="str">
        <x:v>1. 进入「主播主页」页
2. 查看解锁恢复原关闭</x:v>
      </x:c>
      <x:c r="K111" s="4" t="str">
        <x:v>公会直播权限恢复为关闭</x:v>
      </x:c>
      <x:c r="L111" s="4" t="str">
        <x:v>FLOW-29684C4A</x:v>
      </x:c>
      <x:c r="M111" s="4" t="str">
        <x:v>未测</x:v>
      </x:c>
      <x:c r="N111" s="4" t="str"/>
      <x:c r="O111" s="4" t="str">
        <x:v>1. 来源：MainBasis/统一需求文档.md；G-guild-host-detail-007、A-admin-host-detail-003、D-SYS-086、D-SYS-087、D-SYS-089
2. 场景：SC-03216a5ad96ab2
3. 状态转换：ST-AF4B8DF8896D</x:v>
      </x:c>
    </x:row>
    <x:row r="112" ht="54" customHeight="1">
      <x:c r="A112" s="4" t="n">
        <x:v>111</x:v>
      </x:c>
      <x:c r="B112" s="4" t="str">
        <x:v>GUILD-0111</x:v>
      </x:c>
      <x:c r="C112" s="4" t="str">
        <x:v>M05 公会申请、认证、组织与权限</x:v>
      </x:c>
      <x:c r="D112" s="4" t="str">
        <x:v>主播主页（公会长视角）</x:v>
      </x:c>
      <x:c r="E112" s="4" t="str">
        <x:v>功能需求</x:v>
      </x:c>
      <x:c r="F112" s="4" t="str">
        <x:v>P2</x:v>
      </x:c>
      <x:c r="G112" s="4" t="str">
        <x:v>验证直播记录入口</x:v>
      </x:c>
      <x:c r="H112" s="4" t="str">
        <x:v>直播记录入口</x:v>
      </x:c>
      <x:c r="I112" s="4" t="str">
        <x:v>1. 已登录公会长账号</x:v>
      </x:c>
      <x:c r="J112" s="4" t="str">
        <x:v>1. 进入「主播主页」页
2. 点击「直播记录」</x:v>
      </x:c>
      <x:c r="K112" s="4" t="str">
        <x:v>页面进入「直播记录」</x:v>
      </x:c>
      <x:c r="L112" s="4" t="str"/>
      <x:c r="M112" s="4" t="str">
        <x:v>未测</x:v>
      </x:c>
      <x:c r="N112" s="4" t="str"/>
      <x:c r="O112" s="4" t="str">
        <x:v>1. 来源：MainBasis/统一需求文档.md；G-guild-host-detail-003
2. 场景：SC-56f0c67e8ee579</x:v>
      </x:c>
    </x:row>
    <x:row r="113" ht="54" customHeight="1">
      <x:c r="A113" s="4" t="n">
        <x:v>112</x:v>
      </x:c>
      <x:c r="B113" s="4" t="str">
        <x:v>GUILD-0112</x:v>
      </x:c>
      <x:c r="C113" s="4" t="str">
        <x:v>M05 公会申请、认证、组织与权限</x:v>
      </x:c>
      <x:c r="D113" s="4" t="str">
        <x:v>主播主页（公会长视角）</x:v>
      </x:c>
      <x:c r="E113" s="4" t="str">
        <x:v>功能需求</x:v>
      </x:c>
      <x:c r="F113" s="4" t="str">
        <x:v>P2</x:v>
      </x:c>
      <x:c r="G113" s="4" t="str">
        <x:v>验证违规记录入口</x:v>
      </x:c>
      <x:c r="H113" s="4" t="str">
        <x:v>违规记录入口</x:v>
      </x:c>
      <x:c r="I113" s="4" t="str">
        <x:v>1. 已登录公会长账号</x:v>
      </x:c>
      <x:c r="J113" s="4" t="str">
        <x:v>1. 进入「主播主页」页
2. 点击「违规记录」</x:v>
      </x:c>
      <x:c r="K113" s="4" t="str">
        <x:v>页面进入「违规记录」</x:v>
      </x:c>
      <x:c r="L113" s="4" t="str"/>
      <x:c r="M113" s="4" t="str">
        <x:v>未测</x:v>
      </x:c>
      <x:c r="N113" s="4" t="str"/>
      <x:c r="O113" s="4" t="str">
        <x:v>1. 来源：MainBasis/统一需求文档.md；G-guild-host-detail-003
2. 场景：SC-1c7c43060fd8a1</x:v>
      </x:c>
    </x:row>
    <x:row r="114" ht="54" customHeight="1">
      <x:c r="A114" s="4" t="n">
        <x:v>113</x:v>
      </x:c>
      <x:c r="B114" s="4" t="str">
        <x:v>GUILD-0113</x:v>
      </x:c>
      <x:c r="C114" s="4" t="str">
        <x:v>M05 公会申请、认证、组织与权限</x:v>
      </x:c>
      <x:c r="D114" s="4" t="str">
        <x:v>主播主页（公会长视角）</x:v>
      </x:c>
      <x:c r="E114" s="4" t="str">
        <x:v>功能需求</x:v>
      </x:c>
      <x:c r="F114" s="4" t="str">
        <x:v>P2</x:v>
      </x:c>
      <x:c r="G114" s="4" t="str">
        <x:v>验证主播分成入口</x:v>
      </x:c>
      <x:c r="H114" s="4" t="str">
        <x:v>主播分成入口</x:v>
      </x:c>
      <x:c r="I114" s="4" t="str">
        <x:v>1. 已登录公会长账号</x:v>
      </x:c>
      <x:c r="J114" s="4" t="str">
        <x:v>1. 进入「主播主页」页
2. 点击「主播分成」</x:v>
      </x:c>
      <x:c r="K114" s="4" t="str">
        <x:v>页面进入「主播分成」</x:v>
      </x:c>
      <x:c r="L114" s="4" t="str"/>
      <x:c r="M114" s="4" t="str">
        <x:v>未测</x:v>
      </x:c>
      <x:c r="N114" s="4" t="str"/>
      <x:c r="O114" s="4" t="str">
        <x:v>1. 来源：MainBasis/统一需求文档.md；G-guild-host-detail-003
2. 场景：SC-cbf2ed778fc98d</x:v>
      </x:c>
    </x:row>
    <x:row r="115" ht="54" customHeight="1">
      <x:c r="A115" s="4" t="n">
        <x:v>114</x:v>
      </x:c>
      <x:c r="B115" s="4" t="str">
        <x:v>GUILD-0114</x:v>
      </x:c>
      <x:c r="C115" s="4" t="str">
        <x:v>M05 公会申请、认证、组织与权限</x:v>
      </x:c>
      <x:c r="D115" s="4" t="str">
        <x:v>主播主页（公会长视角）</x:v>
      </x:c>
      <x:c r="E115" s="4" t="str">
        <x:v>功能需求</x:v>
      </x:c>
      <x:c r="F115" s="4" t="str">
        <x:v>P2</x:v>
      </x:c>
      <x:c r="G115" s="4" t="str">
        <x:v>验证业绩入口</x:v>
      </x:c>
      <x:c r="H115" s="4" t="str">
        <x:v>业绩入口</x:v>
      </x:c>
      <x:c r="I115" s="4" t="str">
        <x:v>1. 已登录公会长账号</x:v>
      </x:c>
      <x:c r="J115" s="4" t="str">
        <x:v>1. 进入「主播主页」页
2. 点击「业绩」</x:v>
      </x:c>
      <x:c r="K115" s="4" t="str">
        <x:v>页面进入「主播数据」</x:v>
      </x:c>
      <x:c r="L115" s="4" t="str"/>
      <x:c r="M115" s="4" t="str">
        <x:v>未测</x:v>
      </x:c>
      <x:c r="N115" s="4" t="str"/>
      <x:c r="O115" s="4" t="str">
        <x:v>1. 来源：MainBasis/统一需求文档.md；G-guild-host-detail-010
2. 场景：SC-389dcadbec726e</x:v>
      </x:c>
    </x:row>
    <x:row r="116" ht="54" customHeight="1">
      <x:c r="A116" s="4" t="n">
        <x:v>115</x:v>
      </x:c>
      <x:c r="B116" s="4" t="str">
        <x:v>GUILD-0115</x:v>
      </x:c>
      <x:c r="C116" s="4" t="str">
        <x:v>M05 公会申请、认证、组织与权限</x:v>
      </x:c>
      <x:c r="D116" s="4" t="str">
        <x:v>主播主页（公会长视角）</x:v>
      </x:c>
      <x:c r="E116" s="4" t="str">
        <x:v>功能需求</x:v>
      </x:c>
      <x:c r="F116" s="4" t="str">
        <x:v>P2</x:v>
      </x:c>
      <x:c r="G116" s="4" t="str">
        <x:v>验证认证材料入口</x:v>
      </x:c>
      <x:c r="H116" s="4" t="str">
        <x:v>认证材料入口</x:v>
      </x:c>
      <x:c r="I116" s="4" t="str">
        <x:v>1. 已登录公会长账号</x:v>
      </x:c>
      <x:c r="J116" s="4" t="str">
        <x:v>1. 进入「主播主页」页
2. 点击「认证材料」</x:v>
      </x:c>
      <x:c r="K116" s="4" t="str">
        <x:v>页面进入「认证材料大图」</x:v>
      </x:c>
      <x:c r="L116" s="4" t="str"/>
      <x:c r="M116" s="4" t="str">
        <x:v>未测</x:v>
      </x:c>
      <x:c r="N116" s="4" t="str"/>
      <x:c r="O116" s="4" t="str">
        <x:v>1. 来源：MainBasis/统一需求文档.md；G-guild-host-detail-010
2. 场景：SC-2afa219d338452</x:v>
      </x:c>
    </x:row>
    <x:row r="117" ht="68" customHeight="1">
      <x:c r="A117" s="4" t="n">
        <x:v>116</x:v>
      </x:c>
      <x:c r="B117" s="4" t="str">
        <x:v>GUILD-0116</x:v>
      </x:c>
      <x:c r="C117" s="4" t="str">
        <x:v>M05 公会申请、认证、组织与权限</x:v>
      </x:c>
      <x:c r="D117" s="4" t="str">
        <x:v>主播主页（公会长视角）</x:v>
      </x:c>
      <x:c r="E117" s="4" t="str">
        <x:v>功能需求</x:v>
      </x:c>
      <x:c r="F117" s="4" t="str">
        <x:v>P1</x:v>
      </x:c>
      <x:c r="G117" s="4" t="str">
        <x:v>验证主播历史场次与违规汇总</x:v>
      </x:c>
      <x:c r="H117" s="4" t="str">
        <x:v>主播历史场次与违规汇总</x:v>
      </x:c>
      <x:c r="I117" s="4" t="str">
        <x:v>1. 已登录公会长账号
2. 主播完成2场各30分钟、另有1场直播中；确认直播违规2、账号违规1</x:v>
      </x:c>
      <x:c r="J117" s="4" t="str">
        <x:v>1. 进入「主播主页」页
2. 查看主播历史场次与违规汇总</x:v>
      </x:c>
      <x:c r="K117" s="4" t="str">
        <x:v>直播次数2、完成时长60分钟、累计违规3</x:v>
      </x:c>
      <x:c r="L117" s="4" t="str"/>
      <x:c r="M117" s="4" t="str">
        <x:v>未测</x:v>
      </x:c>
      <x:c r="N117" s="4" t="str"/>
      <x:c r="O117" s="4" t="str">
        <x:v>1. 来源：MainBasis/统一需求文档.md；G-guild-host-detail-005
2. 场景：SC-7b414030b1990d</x:v>
      </x:c>
    </x:row>
    <x:row r="118" ht="54" customHeight="1">
      <x:c r="A118" s="4" t="n">
        <x:v>117</x:v>
      </x:c>
      <x:c r="B118" s="4" t="str">
        <x:v>GUILD-0117</x:v>
      </x:c>
      <x:c r="C118" s="4" t="str">
        <x:v>M05 公会申请、认证、组织与权限</x:v>
      </x:c>
      <x:c r="D118" s="4" t="str">
        <x:v>入会申请详情（公会长视角）</x:v>
      </x:c>
      <x:c r="E118" s="4" t="str">
        <x:v>功能需求</x:v>
      </x:c>
      <x:c r="F118" s="4" t="str">
        <x:v>P2</x:v>
      </x:c>
      <x:c r="G118" s="4" t="str">
        <x:v>验证申请信息回显</x:v>
      </x:c>
      <x:c r="H118" s="4" t="str">
        <x:v>申请信息回显</x:v>
      </x:c>
      <x:c r="I118" s="4" t="str">
        <x:v>1. 已登录公会长账号
2. 所选对象存在，已记录该对象的申请信息值</x:v>
      </x:c>
      <x:c r="J118" s="4" t="str">
        <x:v>1. 进入「入会申请详情」页
2. 查看申请信息回显</x:v>
      </x:c>
      <x:c r="K118" s="4" t="str">
        <x:v>「申请信息」内容与所选对象的该项资料一致</x:v>
      </x:c>
      <x:c r="L118" s="4" t="str"/>
      <x:c r="M118" s="4" t="str">
        <x:v>未测</x:v>
      </x:c>
      <x:c r="N118" s="4" t="str"/>
      <x:c r="O118" s="4" t="str">
        <x:v>1. 来源：MainBasis/统一需求文档.md；G-guild-join-review-detail-001
2. 场景：SC-765c33d127fa7d</x:v>
      </x:c>
    </x:row>
    <x:row r="119" ht="54" customHeight="1">
      <x:c r="A119" s="4" t="n">
        <x:v>118</x:v>
      </x:c>
      <x:c r="B119" s="4" t="str">
        <x:v>GUILD-0118</x:v>
      </x:c>
      <x:c r="C119" s="4" t="str">
        <x:v>M05 公会申请、认证、组织与权限</x:v>
      </x:c>
      <x:c r="D119" s="4" t="str">
        <x:v>入会申请详情（公会长视角）</x:v>
      </x:c>
      <x:c r="E119" s="4" t="str">
        <x:v>功能需求</x:v>
      </x:c>
      <x:c r="F119" s="4" t="str">
        <x:v>P2</x:v>
      </x:c>
      <x:c r="G119" s="4" t="str">
        <x:v>验证认证材料回显</x:v>
      </x:c>
      <x:c r="H119" s="4" t="str">
        <x:v>认证材料回显</x:v>
      </x:c>
      <x:c r="I119" s="4" t="str">
        <x:v>1. 已登录公会长账号
2. 所选对象存在，已记录该对象的认证材料值</x:v>
      </x:c>
      <x:c r="J119" s="4" t="str">
        <x:v>1. 进入「入会申请详情」页
2. 查看认证材料回显</x:v>
      </x:c>
      <x:c r="K119" s="4" t="str">
        <x:v>「认证材料」内容与所选对象的该项资料一致</x:v>
      </x:c>
      <x:c r="L119" s="4" t="str"/>
      <x:c r="M119" s="4" t="str">
        <x:v>未测</x:v>
      </x:c>
      <x:c r="N119" s="4" t="str"/>
      <x:c r="O119" s="4" t="str">
        <x:v>1. 来源：MainBasis/统一需求文档.md；G-guild-join-review-detail-002
2. 场景：SC-5bb51fa7f026ba</x:v>
      </x:c>
    </x:row>
    <x:row r="120" ht="54" customHeight="1">
      <x:c r="A120" s="4" t="n">
        <x:v>119</x:v>
      </x:c>
      <x:c r="B120" s="4" t="str">
        <x:v>GUILD-0119</x:v>
      </x:c>
      <x:c r="C120" s="4" t="str">
        <x:v>M05 公会申请、认证、组织与权限</x:v>
      </x:c>
      <x:c r="D120" s="4" t="str">
        <x:v>入会申请详情（公会长视角）</x:v>
      </x:c>
      <x:c r="E120" s="4" t="str">
        <x:v>功能需求</x:v>
      </x:c>
      <x:c r="F120" s="4" t="str">
        <x:v>P1</x:v>
      </x:c>
      <x:c r="G120" s="4" t="str">
        <x:v>验证已通过入会申请只读</x:v>
      </x:c>
      <x:c r="H120" s="4" t="str">
        <x:v>已通过入会申请只读</x:v>
      </x:c>
      <x:c r="I120" s="4" t="str">
        <x:v>1. 已登录公会长账号
2. 申请已处理为已通过</x:v>
      </x:c>
      <x:c r="J120" s="4" t="str">
        <x:v>1. 进入「入会申请详情」页
2. 查看已通过入会申请只读</x:v>
      </x:c>
      <x:c r="K120" s="4" t="str">
        <x:v>不再提供重复审核操作</x:v>
      </x:c>
      <x:c r="L120" s="4" t="str"/>
      <x:c r="M120" s="4" t="str">
        <x:v>未测</x:v>
      </x:c>
      <x:c r="N120" s="4" t="str"/>
      <x:c r="O120" s="4" t="str">
        <x:v>1. 来源：MainBasis/统一需求文档.md；G-guild-join-review-detail-007
2. 场景：SC-90fd314112a8f3</x:v>
      </x:c>
    </x:row>
    <x:row r="121" ht="54" customHeight="1">
      <x:c r="A121" s="4" t="n">
        <x:v>120</x:v>
      </x:c>
      <x:c r="B121" s="4" t="str">
        <x:v>GUILD-0120</x:v>
      </x:c>
      <x:c r="C121" s="4" t="str">
        <x:v>M05 公会申请、认证、组织与权限</x:v>
      </x:c>
      <x:c r="D121" s="4" t="str">
        <x:v>入会申请详情（公会长视角）</x:v>
      </x:c>
      <x:c r="E121" s="4" t="str">
        <x:v>功能需求</x:v>
      </x:c>
      <x:c r="F121" s="4" t="str">
        <x:v>P1</x:v>
      </x:c>
      <x:c r="G121" s="4" t="str">
        <x:v>验证已驳回入会申请只读</x:v>
      </x:c>
      <x:c r="H121" s="4" t="str">
        <x:v>已驳回入会申请只读</x:v>
      </x:c>
      <x:c r="I121" s="4" t="str">
        <x:v>1. 已登录公会长账号
2. 申请已处理为已驳回</x:v>
      </x:c>
      <x:c r="J121" s="4" t="str">
        <x:v>1. 进入「入会申请详情」页
2. 查看已驳回入会申请只读</x:v>
      </x:c>
      <x:c r="K121" s="4" t="str">
        <x:v>不再提供重复审核操作</x:v>
      </x:c>
      <x:c r="L121" s="4" t="str"/>
      <x:c r="M121" s="4" t="str">
        <x:v>未测</x:v>
      </x:c>
      <x:c r="N121" s="4" t="str"/>
      <x:c r="O121" s="4" t="str">
        <x:v>1. 来源：MainBasis/统一需求文档.md；G-guild-join-review-detail-007
2. 场景：SC-69c654c63a70ac</x:v>
      </x:c>
    </x:row>
    <x:row r="122" ht="54" customHeight="1">
      <x:c r="A122" s="4" t="n">
        <x:v>121</x:v>
      </x:c>
      <x:c r="B122" s="4" t="str">
        <x:v>GUILD-0121</x:v>
      </x:c>
      <x:c r="C122" s="4" t="str">
        <x:v>M05 公会申请、认证、组织与权限</x:v>
      </x:c>
      <x:c r="D122" s="4" t="str">
        <x:v>入会申请详情（公会长视角）</x:v>
      </x:c>
      <x:c r="E122" s="4" t="str">
        <x:v>逻辑校验</x:v>
      </x:c>
      <x:c r="F122" s="4" t="str">
        <x:v>P1</x:v>
      </x:c>
      <x:c r="G122" s="4" t="str">
        <x:v>验证驳回理由0字符可填写</x:v>
      </x:c>
      <x:c r="H122" s="4" t="str">
        <x:v>驳回理由0字符可填写</x:v>
      </x:c>
      <x:c r="I122" s="4" t="str">
        <x:v>1. 已登录公会长账号
2. 其他必填字段为合法值</x:v>
      </x:c>
      <x:c r="J122" s="4" t="str">
        <x:v>1. 进入「入会申请详情」页
2. 清空「驳回理由」
3. 点击「保存」</x:v>
      </x:c>
      <x:c r="K122" s="4" t="str">
        <x:v>「驳回理由」保留0个字符</x:v>
      </x:c>
      <x:c r="L122" s="4" t="str"/>
      <x:c r="M122" s="4" t="str">
        <x:v>未测</x:v>
      </x:c>
      <x:c r="N122" s="4" t="str"/>
      <x:c r="O122" s="4" t="str">
        <x:v>1. 来源：MainBasis/统一需求文档.md；G-guild-join-review-detail-004
2. 场景：SC-d660ae738ca34d</x:v>
      </x:c>
    </x:row>
    <x:row r="123" ht="68" customHeight="1">
      <x:c r="A123" s="4" t="n">
        <x:v>122</x:v>
      </x:c>
      <x:c r="B123" s="4" t="str">
        <x:v>GUILD-0122</x:v>
      </x:c>
      <x:c r="C123" s="4" t="str">
        <x:v>M05 公会申请、认证、组织与权限</x:v>
      </x:c>
      <x:c r="D123" s="4" t="str">
        <x:v>入会申请详情（公会长视角）</x:v>
      </x:c>
      <x:c r="E123" s="4" t="str">
        <x:v>逻辑校验</x:v>
      </x:c>
      <x:c r="F123" s="4" t="str">
        <x:v>P1</x:v>
      </x:c>
      <x:c r="G123" s="4" t="str">
        <x:v>验证驳回理由1字符可填写</x:v>
      </x:c>
      <x:c r="H123" s="4" t="str">
        <x:v>驳回理由1字符可填写</x:v>
      </x:c>
      <x:c r="I123" s="4" t="str">
        <x:v>1. 已登录公会长账号
2. 其他必填字段为合法值</x:v>
      </x:c>
      <x:c r="J123" s="4" t="str">
        <x:v>1. 进入「入会申请详情」页
2. 在「驳回理由」输入1个「测」字符
3. 点击「保存」</x:v>
      </x:c>
      <x:c r="K123" s="4" t="str">
        <x:v>「驳回理由」保留1个字符</x:v>
      </x:c>
      <x:c r="L123" s="4" t="str"/>
      <x:c r="M123" s="4" t="str">
        <x:v>未测</x:v>
      </x:c>
      <x:c r="N123" s="4" t="str"/>
      <x:c r="O123" s="4" t="str">
        <x:v>1. 来源：MainBasis/统一需求文档.md；G-guild-join-review-detail-004
2. 场景：SC-cc319876177143</x:v>
      </x:c>
    </x:row>
    <x:row r="124" ht="68" customHeight="1">
      <x:c r="A124" s="4" t="n">
        <x:v>123</x:v>
      </x:c>
      <x:c r="B124" s="4" t="str">
        <x:v>GUILD-0123</x:v>
      </x:c>
      <x:c r="C124" s="4" t="str">
        <x:v>M05 公会申请、认证、组织与权限</x:v>
      </x:c>
      <x:c r="D124" s="4" t="str">
        <x:v>入会申请详情（公会长视角）</x:v>
      </x:c>
      <x:c r="E124" s="4" t="str">
        <x:v>逻辑校验</x:v>
      </x:c>
      <x:c r="F124" s="4" t="str">
        <x:v>P1</x:v>
      </x:c>
      <x:c r="G124" s="4" t="str">
        <x:v>验证驳回理由199字符可填写</x:v>
      </x:c>
      <x:c r="H124" s="4" t="str">
        <x:v>驳回理由199字符可填写</x:v>
      </x:c>
      <x:c r="I124" s="4" t="str">
        <x:v>1. 已登录公会长账号
2. 其他必填字段为合法值</x:v>
      </x:c>
      <x:c r="J124" s="4" t="str">
        <x:v>1. 进入「入会申请详情」页
2. 在「驳回理由」输入199个「测」字符
3. 点击「保存」</x:v>
      </x:c>
      <x:c r="K124" s="4" t="str">
        <x:v>「驳回理由」保留199个字符</x:v>
      </x:c>
      <x:c r="L124" s="4" t="str"/>
      <x:c r="M124" s="4" t="str">
        <x:v>未测</x:v>
      </x:c>
      <x:c r="N124" s="4" t="str"/>
      <x:c r="O124" s="4" t="str">
        <x:v>1. 来源：MainBasis/统一需求文档.md；G-guild-join-review-detail-004
2. 场景：SC-521ee20eef3878</x:v>
      </x:c>
    </x:row>
    <x:row r="125" ht="68" customHeight="1">
      <x:c r="A125" s="4" t="n">
        <x:v>124</x:v>
      </x:c>
      <x:c r="B125" s="4" t="str">
        <x:v>GUILD-0124</x:v>
      </x:c>
      <x:c r="C125" s="4" t="str">
        <x:v>M05 公会申请、认证、组织与权限</x:v>
      </x:c>
      <x:c r="D125" s="4" t="str">
        <x:v>入会申请详情（公会长视角）</x:v>
      </x:c>
      <x:c r="E125" s="4" t="str">
        <x:v>逻辑校验</x:v>
      </x:c>
      <x:c r="F125" s="4" t="str">
        <x:v>P1</x:v>
      </x:c>
      <x:c r="G125" s="4" t="str">
        <x:v>验证驳回理由200字符可填写</x:v>
      </x:c>
      <x:c r="H125" s="4" t="str">
        <x:v>驳回理由200字符可填写</x:v>
      </x:c>
      <x:c r="I125" s="4" t="str">
        <x:v>1. 已登录公会长账号
2. 其他必填字段为合法值</x:v>
      </x:c>
      <x:c r="J125" s="4" t="str">
        <x:v>1. 进入「入会申请详情」页
2. 在「驳回理由」输入200个「测」字符
3. 点击「保存」</x:v>
      </x:c>
      <x:c r="K125" s="4" t="str">
        <x:v>「驳回理由」保留200个字符</x:v>
      </x:c>
      <x:c r="L125" s="4" t="str"/>
      <x:c r="M125" s="4" t="str">
        <x:v>未测</x:v>
      </x:c>
      <x:c r="N125" s="4" t="str"/>
      <x:c r="O125" s="4" t="str">
        <x:v>1. 来源：MainBasis/统一需求文档.md；G-guild-join-review-detail-004
2. 场景：SC-be2358a6573bb2</x:v>
      </x:c>
    </x:row>
    <x:row r="126" ht="68" customHeight="1">
      <x:c r="A126" s="4" t="n">
        <x:v>125</x:v>
      </x:c>
      <x:c r="B126" s="4" t="str">
        <x:v>GUILD-0125</x:v>
      </x:c>
      <x:c r="C126" s="4" t="str">
        <x:v>M05 公会申请、认证、组织与权限</x:v>
      </x:c>
      <x:c r="D126" s="4" t="str">
        <x:v>入会申请详情（公会长视角）</x:v>
      </x:c>
      <x:c r="E126" s="4" t="str">
        <x:v>异常用例</x:v>
      </x:c>
      <x:c r="F126" s="4" t="str">
        <x:v>P1</x:v>
      </x:c>
      <x:c r="G126" s="4" t="str">
        <x:v>验证驳回理由201字符限制</x:v>
      </x:c>
      <x:c r="H126" s="4" t="str">
        <x:v>驳回理由201字符限制</x:v>
      </x:c>
      <x:c r="I126" s="4" t="str">
        <x:v>1. 已登录公会长账号
2. 其他必填字段为合法值</x:v>
      </x:c>
      <x:c r="J126" s="4" t="str">
        <x:v>1. 进入「入会申请详情」页
2. 在「驳回理由」输入201个「测」字符
3. 点击「保存」</x:v>
      </x:c>
      <x:c r="K126" s="4" t="str">
        <x:v>驳回理由未通过校验，无法保存</x:v>
      </x:c>
      <x:c r="L126" s="4" t="str"/>
      <x:c r="M126" s="4" t="str">
        <x:v>未测</x:v>
      </x:c>
      <x:c r="N126" s="4" t="str"/>
      <x:c r="O126" s="4" t="str">
        <x:v>1. 来源：MainBasis/统一需求文档.md；G-guild-join-review-detail-004
2. 场景：SC-f74495f6c57e58</x:v>
      </x:c>
    </x:row>
    <x:row r="127" ht="54" customHeight="1">
      <x:c r="A127" s="4" t="n">
        <x:v>126</x:v>
      </x:c>
      <x:c r="B127" s="4" t="str">
        <x:v>GUILD-0126</x:v>
      </x:c>
      <x:c r="C127" s="4" t="str">
        <x:v>M05 公会申请、认证、组织与权限</x:v>
      </x:c>
      <x:c r="D127" s="4" t="str">
        <x:v>入会申请详情（公会长视角）</x:v>
      </x:c>
      <x:c r="E127" s="4" t="str">
        <x:v>功能需求</x:v>
      </x:c>
      <x:c r="F127" s="4" t="str">
        <x:v>P2</x:v>
      </x:c>
      <x:c r="G127" s="4" t="str">
        <x:v>验证本人照片入口</x:v>
      </x:c>
      <x:c r="H127" s="4" t="str">
        <x:v>本人照片入口</x:v>
      </x:c>
      <x:c r="I127" s="4" t="str">
        <x:v>1. 已登录公会长账号</x:v>
      </x:c>
      <x:c r="J127" s="4" t="str">
        <x:v>1. 进入「入会申请详情」页
2. 点击「本人照片」</x:v>
      </x:c>
      <x:c r="K127" s="4" t="str">
        <x:v>页面进入「对应认证材料大图」</x:v>
      </x:c>
      <x:c r="L127" s="4" t="str"/>
      <x:c r="M127" s="4" t="str">
        <x:v>未测</x:v>
      </x:c>
      <x:c r="N127" s="4" t="str"/>
      <x:c r="O127" s="4" t="str">
        <x:v>1. 来源：MainBasis/统一需求文档.md；G-guild-join-review-detail-009
2. 场景：SC-e8f3fb4d9a8a32</x:v>
      </x:c>
    </x:row>
    <x:row r="128" ht="54" customHeight="1">
      <x:c r="A128" s="4" t="n">
        <x:v>127</x:v>
      </x:c>
      <x:c r="B128" s="4" t="str">
        <x:v>GUILD-0127</x:v>
      </x:c>
      <x:c r="C128" s="4" t="str">
        <x:v>M05 公会申请、认证、组织与权限</x:v>
      </x:c>
      <x:c r="D128" s="4" t="str">
        <x:v>入会申请详情（公会长视角）</x:v>
      </x:c>
      <x:c r="E128" s="4" t="str">
        <x:v>功能需求</x:v>
      </x:c>
      <x:c r="F128" s="4" t="str">
        <x:v>P2</x:v>
      </x:c>
      <x:c r="G128" s="4" t="str">
        <x:v>验证证件正面入口</x:v>
      </x:c>
      <x:c r="H128" s="4" t="str">
        <x:v>证件正面入口</x:v>
      </x:c>
      <x:c r="I128" s="4" t="str">
        <x:v>1. 已登录公会长账号</x:v>
      </x:c>
      <x:c r="J128" s="4" t="str">
        <x:v>1. 进入「入会申请详情」页
2. 点击「证件正面」</x:v>
      </x:c>
      <x:c r="K128" s="4" t="str">
        <x:v>页面进入「对应认证材料大图」</x:v>
      </x:c>
      <x:c r="L128" s="4" t="str"/>
      <x:c r="M128" s="4" t="str">
        <x:v>未测</x:v>
      </x:c>
      <x:c r="N128" s="4" t="str"/>
      <x:c r="O128" s="4" t="str">
        <x:v>1. 来源：MainBasis/统一需求文档.md；G-guild-join-review-detail-009
2. 场景：SC-e24673fa49283c</x:v>
      </x:c>
    </x:row>
    <x:row r="129" ht="54" customHeight="1">
      <x:c r="A129" s="4" t="n">
        <x:v>128</x:v>
      </x:c>
      <x:c r="B129" s="4" t="str">
        <x:v>GUILD-0128</x:v>
      </x:c>
      <x:c r="C129" s="4" t="str">
        <x:v>M05 公会申请、认证、组织与权限</x:v>
      </x:c>
      <x:c r="D129" s="4" t="str">
        <x:v>入会申请详情（公会长视角）</x:v>
      </x:c>
      <x:c r="E129" s="4" t="str">
        <x:v>功能需求</x:v>
      </x:c>
      <x:c r="F129" s="4" t="str">
        <x:v>P2</x:v>
      </x:c>
      <x:c r="G129" s="4" t="str">
        <x:v>验证证件反面入口</x:v>
      </x:c>
      <x:c r="H129" s="4" t="str">
        <x:v>证件反面入口</x:v>
      </x:c>
      <x:c r="I129" s="4" t="str">
        <x:v>1. 已登录公会长账号</x:v>
      </x:c>
      <x:c r="J129" s="4" t="str">
        <x:v>1. 进入「入会申请详情」页
2. 点击「证件反面」</x:v>
      </x:c>
      <x:c r="K129" s="4" t="str">
        <x:v>页面进入「对应认证材料大图」</x:v>
      </x:c>
      <x:c r="L129" s="4" t="str"/>
      <x:c r="M129" s="4" t="str">
        <x:v>未测</x:v>
      </x:c>
      <x:c r="N129" s="4" t="str"/>
      <x:c r="O129" s="4" t="str">
        <x:v>1. 来源：MainBasis/统一需求文档.md；G-guild-join-review-detail-009
2. 场景：SC-ea46c04d016b16</x:v>
      </x:c>
    </x:row>
    <x:row r="130" ht="68" customHeight="1">
      <x:c r="A130" s="4" t="n">
        <x:v>129</x:v>
      </x:c>
      <x:c r="B130" s="4" t="str">
        <x:v>GUILD-0129</x:v>
      </x:c>
      <x:c r="C130" s="4" t="str">
        <x:v>M05 公会申请、认证、组织与权限</x:v>
      </x:c>
      <x:c r="D130" s="4" t="str">
        <x:v>入会申请详情（公会长视角）</x:v>
      </x:c>
      <x:c r="E130" s="4" t="str">
        <x:v>功能需求</x:v>
      </x:c>
      <x:c r="F130" s="4" t="str">
        <x:v>P1</x:v>
      </x:c>
      <x:c r="G130" s="4" t="str">
        <x:v>验证公会驳回入会申请</x:v>
      </x:c>
      <x:c r="H130" s="4" t="str">
        <x:v>公会驳回入会申请</x:v>
      </x:c>
      <x:c r="I130" s="4" t="str">
        <x:v>1. 已登录公会长账号
2. 申请待公会审核</x:v>
      </x:c>
      <x:c r="J130" s="4" t="str">
        <x:v>1. 进入「入会申请详情」页
2. 选择驳回
3. 填写可选理由并确认</x:v>
      </x:c>
      <x:c r="K130" s="4" t="str">
        <x:v>本次申请已驳回，公会不可再次审核</x:v>
      </x:c>
      <x:c r="L130" s="4" t="str"/>
      <x:c r="M130" s="4" t="str">
        <x:v>未测</x:v>
      </x:c>
      <x:c r="N130" s="4" t="str"/>
      <x:c r="O130" s="4" t="str">
        <x:v>1. 来源：MainBasis/统一需求文档.md；D-SYS-048、D-SYS-053、D-SYS-054、G-guild-join-review-detail-004
2. 场景：SC-e7750810d6a4a6</x:v>
      </x:c>
    </x:row>
    <x:row r="131" ht="54" customHeight="1">
      <x:c r="A131" s="4" t="n">
        <x:v>130</x:v>
      </x:c>
      <x:c r="B131" s="4" t="str">
        <x:v>GUILD-0130</x:v>
      </x:c>
      <x:c r="C131" s="4" t="str">
        <x:v>M05 公会申请、认证、组织与权限</x:v>
      </x:c>
      <x:c r="D131" s="4" t="str">
        <x:v>退会申请详情（公会长视角）</x:v>
      </x:c>
      <x:c r="E131" s="4" t="str">
        <x:v>功能需求</x:v>
      </x:c>
      <x:c r="F131" s="4" t="str">
        <x:v>P2</x:v>
      </x:c>
      <x:c r="G131" s="4" t="str">
        <x:v>验证主播回显</x:v>
      </x:c>
      <x:c r="H131" s="4" t="str">
        <x:v>主播回显</x:v>
      </x:c>
      <x:c r="I131" s="4" t="str">
        <x:v>1. 已登录公会长账号
2. 所选对象存在，已记录该对象的主播值</x:v>
      </x:c>
      <x:c r="J131" s="4" t="str">
        <x:v>1. 进入「退会申请详情」页
2. 查看主播回显</x:v>
      </x:c>
      <x:c r="K131" s="4" t="str">
        <x:v>「主播」内容与所选对象的该项资料一致</x:v>
      </x:c>
      <x:c r="L131" s="4" t="str"/>
      <x:c r="M131" s="4" t="str">
        <x:v>未测</x:v>
      </x:c>
      <x:c r="N131" s="4" t="str"/>
      <x:c r="O131" s="4" t="str">
        <x:v>1. 来源：MainBasis/统一需求文档.md；G-guild-leave-review-detail-001
2. 场景：SC-6ad8b26625aa1f</x:v>
      </x:c>
    </x:row>
    <x:row r="132" ht="54" customHeight="1">
      <x:c r="A132" s="4" t="n">
        <x:v>131</x:v>
      </x:c>
      <x:c r="B132" s="4" t="str">
        <x:v>GUILD-0131</x:v>
      </x:c>
      <x:c r="C132" s="4" t="str">
        <x:v>M05 公会申请、认证、组织与权限</x:v>
      </x:c>
      <x:c r="D132" s="4" t="str">
        <x:v>退会申请详情（公会长视角）</x:v>
      </x:c>
      <x:c r="E132" s="4" t="str">
        <x:v>功能需求</x:v>
      </x:c>
      <x:c r="F132" s="4" t="str">
        <x:v>P2</x:v>
      </x:c>
      <x:c r="G132" s="4" t="str">
        <x:v>验证加入时间回显</x:v>
      </x:c>
      <x:c r="H132" s="4" t="str">
        <x:v>加入时间回显</x:v>
      </x:c>
      <x:c r="I132" s="4" t="str">
        <x:v>1. 已登录公会长账号
2. 所选对象存在，已记录该对象的加入时间值</x:v>
      </x:c>
      <x:c r="J132" s="4" t="str">
        <x:v>1. 进入「退会申请详情」页
2. 查看加入时间回显</x:v>
      </x:c>
      <x:c r="K132" s="4" t="str">
        <x:v>「加入时间」内容与所选对象的该项资料一致</x:v>
      </x:c>
      <x:c r="L132" s="4" t="str"/>
      <x:c r="M132" s="4" t="str">
        <x:v>未测</x:v>
      </x:c>
      <x:c r="N132" s="4" t="str"/>
      <x:c r="O132" s="4" t="str">
        <x:v>1. 来源：MainBasis/统一需求文档.md；G-guild-leave-review-detail-002
2. 场景：SC-62c54fba6d40e7</x:v>
      </x:c>
    </x:row>
    <x:row r="133" ht="54" customHeight="1">
      <x:c r="A133" s="4" t="n">
        <x:v>132</x:v>
      </x:c>
      <x:c r="B133" s="4" t="str">
        <x:v>GUILD-0132</x:v>
      </x:c>
      <x:c r="C133" s="4" t="str">
        <x:v>M05 公会申请、认证、组织与权限</x:v>
      </x:c>
      <x:c r="D133" s="4" t="str">
        <x:v>退会申请详情（公会长视角）</x:v>
      </x:c>
      <x:c r="E133" s="4" t="str">
        <x:v>功能需求</x:v>
      </x:c>
      <x:c r="F133" s="4" t="str">
        <x:v>P2</x:v>
      </x:c>
      <x:c r="G133" s="4" t="str">
        <x:v>验证申请时间回显</x:v>
      </x:c>
      <x:c r="H133" s="4" t="str">
        <x:v>申请时间回显</x:v>
      </x:c>
      <x:c r="I133" s="4" t="str">
        <x:v>1. 已登录公会长账号
2. 所选对象存在，已记录该对象的申请时间值</x:v>
      </x:c>
      <x:c r="J133" s="4" t="str">
        <x:v>1. 进入「退会申请详情」页
2. 查看申请时间回显</x:v>
      </x:c>
      <x:c r="K133" s="4" t="str">
        <x:v>「申请时间」内容与所选对象的该项资料一致</x:v>
      </x:c>
      <x:c r="L133" s="4" t="str"/>
      <x:c r="M133" s="4" t="str">
        <x:v>未测</x:v>
      </x:c>
      <x:c r="N133" s="4" t="str"/>
      <x:c r="O133" s="4" t="str">
        <x:v>1. 来源：MainBasis/统一需求文档.md；G-guild-leave-review-detail-003
2. 场景：SC-07d95be1b41757</x:v>
      </x:c>
    </x:row>
    <x:row r="134" ht="54" customHeight="1">
      <x:c r="A134" s="4" t="n">
        <x:v>133</x:v>
      </x:c>
      <x:c r="B134" s="4" t="str">
        <x:v>GUILD-0133</x:v>
      </x:c>
      <x:c r="C134" s="4" t="str">
        <x:v>M05 公会申请、认证、组织与权限</x:v>
      </x:c>
      <x:c r="D134" s="4" t="str">
        <x:v>退会申请详情（公会长视角）</x:v>
      </x:c>
      <x:c r="E134" s="4" t="str">
        <x:v>功能需求</x:v>
      </x:c>
      <x:c r="F134" s="4" t="str">
        <x:v>P2</x:v>
      </x:c>
      <x:c r="G134" s="4" t="str">
        <x:v>验证退会原因回显</x:v>
      </x:c>
      <x:c r="H134" s="4" t="str">
        <x:v>退会原因回显</x:v>
      </x:c>
      <x:c r="I134" s="4" t="str">
        <x:v>1. 已登录公会长账号
2. 所选对象存在，已记录该对象的退会原因值</x:v>
      </x:c>
      <x:c r="J134" s="4" t="str">
        <x:v>1. 进入「退会申请详情」页
2. 查看退会原因回显</x:v>
      </x:c>
      <x:c r="K134" s="4" t="str">
        <x:v>「退会原因」内容与所选对象的该项资料一致</x:v>
      </x:c>
      <x:c r="L134" s="4" t="str"/>
      <x:c r="M134" s="4" t="str">
        <x:v>未测</x:v>
      </x:c>
      <x:c r="N134" s="4" t="str"/>
      <x:c r="O134" s="4" t="str">
        <x:v>1. 来源：MainBasis/统一需求文档.md；G-guild-leave-review-detail-004
2. 场景：SC-3aa1c0ce9d9197</x:v>
      </x:c>
    </x:row>
    <x:row r="135" ht="110" customHeight="1">
      <x:c r="A135" s="4" t="n">
        <x:v>134</x:v>
      </x:c>
      <x:c r="B135" s="4" t="str">
        <x:v>GUILD-0134</x:v>
      </x:c>
      <x:c r="C135" s="4" t="str">
        <x:v>M05 公会申请、认证、组织与权限</x:v>
      </x:c>
      <x:c r="D135" s="4" t="str">
        <x:v>退会申请详情（公会长视角）</x:v>
      </x:c>
      <x:c r="E135" s="4" t="str">
        <x:v>功能需求</x:v>
      </x:c>
      <x:c r="F135" s="4" t="str">
        <x:v>P1</x:v>
      </x:c>
      <x:c r="G135" s="4" t="str">
        <x:v>验证退会审核通过</x:v>
      </x:c>
      <x:c r="H135" s="4" t="str">
        <x:v>退会审核通过</x:v>
      </x:c>
      <x:c r="I135" s="4" t="str">
        <x:v>1. 已登录公会长账号
2. 申请待审核，主播未结收益为0且正在直播</x:v>
      </x:c>
      <x:c r="J135" s="4" t="str">
        <x:v>1. 进入「退会申请详情」页
2. 点击通过
3. 确认通过</x:v>
      </x:c>
      <x:c r="K135" s="4" t="str">
        <x:v>当前申请处理为已通过，公会关系解除</x:v>
      </x:c>
      <x:c r="L135" s="4" t="str">
        <x:v>FLOW-289CDBD1</x:v>
      </x:c>
      <x:c r="M135" s="4" t="str">
        <x:v>未测</x:v>
      </x:c>
      <x:c r="N135" s="4" t="str"/>
      <x:c r="O135" s="4" t="str">
        <x:v>1. 来源：MainBasis/统一需求文档.md；G-guild-leave-review-detail-006、G-guild-leave-review-detail-007、G-guild-leave-review-detail-008、G-guild-leave-review-005、D-SYS-052、D-SYS-058、D-SYS-059、D-SYS-060
2. 场景：SC-8af835a932d03f
3. 状态转换：ST-D5B9B34DDEFD</x:v>
      </x:c>
    </x:row>
    <x:row r="136" ht="110" customHeight="1">
      <x:c r="A136" s="4" t="n">
        <x:v>135</x:v>
      </x:c>
      <x:c r="B136" s="4" t="str">
        <x:v>GUILD-0135</x:v>
      </x:c>
      <x:c r="C136" s="4" t="str">
        <x:v>M05 公会申请、认证、组织与权限</x:v>
      </x:c>
      <x:c r="D136" s="4" t="str">
        <x:v>退会申请详情（公会长视角）</x:v>
      </x:c>
      <x:c r="E136" s="4" t="str">
        <x:v>功能需求</x:v>
      </x:c>
      <x:c r="F136" s="4" t="str">
        <x:v>P1</x:v>
      </x:c>
      <x:c r="G136" s="4" t="str">
        <x:v>验证退会审核驳回</x:v>
      </x:c>
      <x:c r="H136" s="4" t="str">
        <x:v>退会审核驳回</x:v>
      </x:c>
      <x:c r="I136" s="4" t="str">
        <x:v>1. 已登录公会长账号
2. 申请待审核，主播未结收益为0且正在直播</x:v>
      </x:c>
      <x:c r="J136" s="4" t="str">
        <x:v>1. 进入「退会申请详情」页
2. 点击驳回
3. 填写可选驳回理由后确认</x:v>
      </x:c>
      <x:c r="K136" s="4" t="str">
        <x:v>当前申请已驳回，保留公会和主播身份</x:v>
      </x:c>
      <x:c r="L136" s="4" t="str">
        <x:v>FLOW-289CDBD1</x:v>
      </x:c>
      <x:c r="M136" s="4" t="str">
        <x:v>未测</x:v>
      </x:c>
      <x:c r="N136" s="4" t="str"/>
      <x:c r="O136" s="4" t="str">
        <x:v>1. 来源：MainBasis/统一需求文档.md；G-guild-leave-review-detail-006、G-guild-leave-review-detail-007、G-guild-leave-review-detail-008、G-guild-leave-review-005、D-SYS-052、D-SYS-058、D-SYS-059、D-SYS-060
2. 场景：SC-7646bbe1cc541b
3. 状态转换：ST-57A6970538D0</x:v>
      </x:c>
    </x:row>
    <x:row r="137" ht="54" customHeight="1">
      <x:c r="A137" s="4" t="n">
        <x:v>136</x:v>
      </x:c>
      <x:c r="B137" s="4" t="str">
        <x:v>GUILD-0136</x:v>
      </x:c>
      <x:c r="C137" s="4" t="str">
        <x:v>M05 公会申请、认证、组织与权限</x:v>
      </x:c>
      <x:c r="D137" s="4" t="str">
        <x:v>退会申请详情（公会长视角）</x:v>
      </x:c>
      <x:c r="E137" s="4" t="str">
        <x:v>功能需求</x:v>
      </x:c>
      <x:c r="F137" s="4" t="str">
        <x:v>P1</x:v>
      </x:c>
      <x:c r="G137" s="4" t="str">
        <x:v>验证退会通过取消确认</x:v>
      </x:c>
      <x:c r="H137" s="4" t="str">
        <x:v>退会通过取消确认</x:v>
      </x:c>
      <x:c r="I137" s="4" t="str">
        <x:v>1. 已登录公会长账号
2. 申请待审核</x:v>
      </x:c>
      <x:c r="J137" s="4" t="str">
        <x:v>1. 进入「退会申请详情」页
2. 点击通过
3. 取消确认</x:v>
      </x:c>
      <x:c r="K137" s="4" t="str">
        <x:v>申请仍为待审核</x:v>
      </x:c>
      <x:c r="L137" s="4" t="str"/>
      <x:c r="M137" s="4" t="str">
        <x:v>未测</x:v>
      </x:c>
      <x:c r="N137" s="4" t="str"/>
      <x:c r="O137" s="4" t="str">
        <x:v>1. 来源：MainBasis/统一需求文档.md；G-guild-leave-review-detail-008
2. 场景：SC-e1c026cf7b2b18</x:v>
      </x:c>
    </x:row>
    <x:row r="138" ht="54" customHeight="1">
      <x:c r="A138" s="4" t="n">
        <x:v>137</x:v>
      </x:c>
      <x:c r="B138" s="4" t="str">
        <x:v>GUILD-0137</x:v>
      </x:c>
      <x:c r="C138" s="4" t="str">
        <x:v>M05 公会申请、认证、组织与权限</x:v>
      </x:c>
      <x:c r="D138" s="4" t="str">
        <x:v>退会申请详情（公会长视角）</x:v>
      </x:c>
      <x:c r="E138" s="4" t="str">
        <x:v>逻辑校验</x:v>
      </x:c>
      <x:c r="F138" s="4" t="str">
        <x:v>P1</x:v>
      </x:c>
      <x:c r="G138" s="4" t="str">
        <x:v>验证驳回理由0字符可填写</x:v>
      </x:c>
      <x:c r="H138" s="4" t="str">
        <x:v>驳回理由0字符可填写</x:v>
      </x:c>
      <x:c r="I138" s="4" t="str">
        <x:v>1. 已登录公会长账号
2. 其他必填字段为合法值</x:v>
      </x:c>
      <x:c r="J138" s="4" t="str">
        <x:v>1. 进入「退会申请详情」页
2. 清空「驳回理由」
3. 点击「保存」</x:v>
      </x:c>
      <x:c r="K138" s="4" t="str">
        <x:v>「驳回理由」保留0个字符</x:v>
      </x:c>
      <x:c r="L138" s="4" t="str"/>
      <x:c r="M138" s="4" t="str">
        <x:v>未测</x:v>
      </x:c>
      <x:c r="N138" s="4" t="str"/>
      <x:c r="O138" s="4" t="str">
        <x:v>1. 来源：MainBasis/统一需求文档.md；G-guild-leave-review-detail-008
2. 场景：SC-db7d28b801f90b</x:v>
      </x:c>
    </x:row>
    <x:row r="139" ht="68" customHeight="1">
      <x:c r="A139" s="4" t="n">
        <x:v>138</x:v>
      </x:c>
      <x:c r="B139" s="4" t="str">
        <x:v>GUILD-0138</x:v>
      </x:c>
      <x:c r="C139" s="4" t="str">
        <x:v>M05 公会申请、认证、组织与权限</x:v>
      </x:c>
      <x:c r="D139" s="4" t="str">
        <x:v>退会申请详情（公会长视角）</x:v>
      </x:c>
      <x:c r="E139" s="4" t="str">
        <x:v>逻辑校验</x:v>
      </x:c>
      <x:c r="F139" s="4" t="str">
        <x:v>P1</x:v>
      </x:c>
      <x:c r="G139" s="4" t="str">
        <x:v>验证驳回理由1字符可填写</x:v>
      </x:c>
      <x:c r="H139" s="4" t="str">
        <x:v>驳回理由1字符可填写</x:v>
      </x:c>
      <x:c r="I139" s="4" t="str">
        <x:v>1. 已登录公会长账号
2. 其他必填字段为合法值</x:v>
      </x:c>
      <x:c r="J139" s="4" t="str">
        <x:v>1. 进入「退会申请详情」页
2. 在「驳回理由」输入1个「测」字符
3. 点击「保存」</x:v>
      </x:c>
      <x:c r="K139" s="4" t="str">
        <x:v>「驳回理由」保留1个字符</x:v>
      </x:c>
      <x:c r="L139" s="4" t="str"/>
      <x:c r="M139" s="4" t="str">
        <x:v>未测</x:v>
      </x:c>
      <x:c r="N139" s="4" t="str"/>
      <x:c r="O139" s="4" t="str">
        <x:v>1. 来源：MainBasis/统一需求文档.md；G-guild-leave-review-detail-008
2. 场景：SC-b5a041a6017440</x:v>
      </x:c>
    </x:row>
    <x:row r="140" ht="68" customHeight="1">
      <x:c r="A140" s="4" t="n">
        <x:v>139</x:v>
      </x:c>
      <x:c r="B140" s="4" t="str">
        <x:v>GUILD-0139</x:v>
      </x:c>
      <x:c r="C140" s="4" t="str">
        <x:v>M05 公会申请、认证、组织与权限</x:v>
      </x:c>
      <x:c r="D140" s="4" t="str">
        <x:v>退会申请详情（公会长视角）</x:v>
      </x:c>
      <x:c r="E140" s="4" t="str">
        <x:v>逻辑校验</x:v>
      </x:c>
      <x:c r="F140" s="4" t="str">
        <x:v>P1</x:v>
      </x:c>
      <x:c r="G140" s="4" t="str">
        <x:v>验证驳回理由199字符可填写</x:v>
      </x:c>
      <x:c r="H140" s="4" t="str">
        <x:v>驳回理由199字符可填写</x:v>
      </x:c>
      <x:c r="I140" s="4" t="str">
        <x:v>1. 已登录公会长账号
2. 其他必填字段为合法值</x:v>
      </x:c>
      <x:c r="J140" s="4" t="str">
        <x:v>1. 进入「退会申请详情」页
2. 在「驳回理由」输入199个「测」字符
3. 点击「保存」</x:v>
      </x:c>
      <x:c r="K140" s="4" t="str">
        <x:v>「驳回理由」保留199个字符</x:v>
      </x:c>
      <x:c r="L140" s="4" t="str"/>
      <x:c r="M140" s="4" t="str">
        <x:v>未测</x:v>
      </x:c>
      <x:c r="N140" s="4" t="str"/>
      <x:c r="O140" s="4" t="str">
        <x:v>1. 来源：MainBasis/统一需求文档.md；G-guild-leave-review-detail-008
2. 场景：SC-1c48baf4965cbb</x:v>
      </x:c>
    </x:row>
    <x:row r="141" ht="68" customHeight="1">
      <x:c r="A141" s="4" t="n">
        <x:v>140</x:v>
      </x:c>
      <x:c r="B141" s="4" t="str">
        <x:v>GUILD-0140</x:v>
      </x:c>
      <x:c r="C141" s="4" t="str">
        <x:v>M05 公会申请、认证、组织与权限</x:v>
      </x:c>
      <x:c r="D141" s="4" t="str">
        <x:v>退会申请详情（公会长视角）</x:v>
      </x:c>
      <x:c r="E141" s="4" t="str">
        <x:v>逻辑校验</x:v>
      </x:c>
      <x:c r="F141" s="4" t="str">
        <x:v>P1</x:v>
      </x:c>
      <x:c r="G141" s="4" t="str">
        <x:v>验证驳回理由200字符可填写</x:v>
      </x:c>
      <x:c r="H141" s="4" t="str">
        <x:v>驳回理由200字符可填写</x:v>
      </x:c>
      <x:c r="I141" s="4" t="str">
        <x:v>1. 已登录公会长账号
2. 其他必填字段为合法值</x:v>
      </x:c>
      <x:c r="J141" s="4" t="str">
        <x:v>1. 进入「退会申请详情」页
2. 在「驳回理由」输入200个「测」字符
3. 点击「保存」</x:v>
      </x:c>
      <x:c r="K141" s="4" t="str">
        <x:v>「驳回理由」保留200个字符</x:v>
      </x:c>
      <x:c r="L141" s="4" t="str"/>
      <x:c r="M141" s="4" t="str">
        <x:v>未测</x:v>
      </x:c>
      <x:c r="N141" s="4" t="str"/>
      <x:c r="O141" s="4" t="str">
        <x:v>1. 来源：MainBasis/统一需求文档.md；G-guild-leave-review-detail-008
2. 场景：SC-79f7179b0f3ba6</x:v>
      </x:c>
    </x:row>
    <x:row r="142" ht="68" customHeight="1">
      <x:c r="A142" s="4" t="n">
        <x:v>141</x:v>
      </x:c>
      <x:c r="B142" s="4" t="str">
        <x:v>GUILD-0141</x:v>
      </x:c>
      <x:c r="C142" s="4" t="str">
        <x:v>M05 公会申请、认证、组织与权限</x:v>
      </x:c>
      <x:c r="D142" s="4" t="str">
        <x:v>退会申请详情（公会长视角）</x:v>
      </x:c>
      <x:c r="E142" s="4" t="str">
        <x:v>异常用例</x:v>
      </x:c>
      <x:c r="F142" s="4" t="str">
        <x:v>P1</x:v>
      </x:c>
      <x:c r="G142" s="4" t="str">
        <x:v>验证驳回理由201字符限制</x:v>
      </x:c>
      <x:c r="H142" s="4" t="str">
        <x:v>驳回理由201字符限制</x:v>
      </x:c>
      <x:c r="I142" s="4" t="str">
        <x:v>1. 已登录公会长账号
2. 其他必填字段为合法值</x:v>
      </x:c>
      <x:c r="J142" s="4" t="str">
        <x:v>1. 进入「退会申请详情」页
2. 在「驳回理由」输入201个「测」字符
3. 点击「保存」</x:v>
      </x:c>
      <x:c r="K142" s="4" t="str">
        <x:v>驳回理由未通过校验，无法保存</x:v>
      </x:c>
      <x:c r="L142" s="4" t="str"/>
      <x:c r="M142" s="4" t="str">
        <x:v>未测</x:v>
      </x:c>
      <x:c r="N142" s="4" t="str"/>
      <x:c r="O142" s="4" t="str">
        <x:v>1. 来源：MainBasis/统一需求文档.md；G-guild-leave-review-detail-008
2. 场景：SC-857fd23305f210</x:v>
      </x:c>
    </x:row>
    <x:row r="143" ht="54" customHeight="1">
      <x:c r="A143" s="4" t="n">
        <x:v>142</x:v>
      </x:c>
      <x:c r="B143" s="4" t="str">
        <x:v>GUILD-0142</x:v>
      </x:c>
      <x:c r="C143" s="4" t="str">
        <x:v>M05 公会申请、认证、组织与权限</x:v>
      </x:c>
      <x:c r="D143" s="4" t="str">
        <x:v>退会申请详情（公会长视角）</x:v>
      </x:c>
      <x:c r="E143" s="4" t="str">
        <x:v>功能需求</x:v>
      </x:c>
      <x:c r="F143" s="4" t="str">
        <x:v>P1</x:v>
      </x:c>
      <x:c r="G143" s="4" t="str">
        <x:v>验证已处理退会只读</x:v>
      </x:c>
      <x:c r="H143" s="4" t="str">
        <x:v>已处理退会只读</x:v>
      </x:c>
      <x:c r="I143" s="4" t="str">
        <x:v>1. 已登录公会长账号
2. 当前退会申请已处理</x:v>
      </x:c>
      <x:c r="J143" s="4" t="str">
        <x:v>1. 进入「退会申请详情」页
2. 查看已处理退会只读</x:v>
      </x:c>
      <x:c r="K143" s="4" t="str">
        <x:v>不能再次通过或驳回</x:v>
      </x:c>
      <x:c r="L143" s="4" t="str"/>
      <x:c r="M143" s="4" t="str">
        <x:v>未测</x:v>
      </x:c>
      <x:c r="N143" s="4" t="str"/>
      <x:c r="O143" s="4" t="str">
        <x:v>1. 来源：MainBasis/统一需求文档.md；G-guild-leave-review-detail-008
2. 场景：SC-e42f8d61202698</x:v>
      </x:c>
    </x:row>
    <x:row r="144" ht="54" customHeight="1">
      <x:c r="A144" s="4" t="n">
        <x:v>143</x:v>
      </x:c>
      <x:c r="B144" s="4" t="str">
        <x:v>GUILD-0143</x:v>
      </x:c>
      <x:c r="C144" s="4" t="str">
        <x:v>M05 公会申请、认证、组织与权限</x:v>
      </x:c>
      <x:c r="D144" s="4" t="str">
        <x:v>退会申请详情（公会长视角）</x:v>
      </x:c>
      <x:c r="E144" s="4" t="str">
        <x:v>功能需求</x:v>
      </x:c>
      <x:c r="F144" s="4" t="str">
        <x:v>P1</x:v>
      </x:c>
      <x:c r="G144" s="4" t="str">
        <x:v>验证退会处理记录回显</x:v>
      </x:c>
      <x:c r="H144" s="4" t="str">
        <x:v>退会处理记录回显</x:v>
      </x:c>
      <x:c r="I144" s="4" t="str">
        <x:v>1. 已登录公会长账号
2. 退会已驳回，处理时间和理由已记录</x:v>
      </x:c>
      <x:c r="J144" s="4" t="str">
        <x:v>1. 进入「退会申请详情」页
2. 查看退会处理记录回显</x:v>
      </x:c>
      <x:c r="K144" s="4" t="str">
        <x:v>显示处理时间、已驳回结果，理由在驳回节点下</x:v>
      </x:c>
      <x:c r="L144" s="4" t="str"/>
      <x:c r="M144" s="4" t="str">
        <x:v>未测</x:v>
      </x:c>
      <x:c r="N144" s="4" t="str"/>
      <x:c r="O144" s="4" t="str">
        <x:v>1. 来源：MainBasis/统一需求文档.md；G-guild-leave-review-detail-005
2. 场景：SC-8381d72978b2bb</x:v>
      </x:c>
    </x:row>
    <x:row r="145" ht="54" customHeight="1">
      <x:c r="A145" s="4" t="n">
        <x:v>144</x:v>
      </x:c>
      <x:c r="B145" s="4" t="str">
        <x:v>GUILD-0144</x:v>
      </x:c>
      <x:c r="C145" s="4" t="str">
        <x:v>M09 运营账号、虚拟金币与公会消息</x:v>
      </x:c>
      <x:c r="D145" s="4" t="str">
        <x:v>运营消息（公会长视角）</x:v>
      </x:c>
      <x:c r="E145" s="4" t="str">
        <x:v>功能需求</x:v>
      </x:c>
      <x:c r="F145" s="4" t="str">
        <x:v>P2</x:v>
      </x:c>
      <x:c r="G145" s="4" t="str">
        <x:v>验证发送对象回显</x:v>
      </x:c>
      <x:c r="H145" s="4" t="str">
        <x:v>发送对象回显</x:v>
      </x:c>
      <x:c r="I145" s="4" t="str">
        <x:v>1. 已登录公会长账号
2. 所选对象存在，已记录该对象的发送对象值</x:v>
      </x:c>
      <x:c r="J145" s="4" t="str">
        <x:v>1. 进入「运营消息」页
2. 查看发送对象回显</x:v>
      </x:c>
      <x:c r="K145" s="4" t="str">
        <x:v>「发送对象」内容与所选对象的该项资料一致</x:v>
      </x:c>
      <x:c r="L145" s="4" t="str"/>
      <x:c r="M145" s="4" t="str">
        <x:v>未测</x:v>
      </x:c>
      <x:c r="N145" s="4" t="str"/>
      <x:c r="O145" s="4" t="str">
        <x:v>1. 来源：MainBasis/统一需求文档.md；G-guild-messages-001
2. 场景：SC-d517454d041d75</x:v>
      </x:c>
    </x:row>
    <x:row r="146" ht="54" customHeight="1">
      <x:c r="A146" s="4" t="n">
        <x:v>145</x:v>
      </x:c>
      <x:c r="B146" s="4" t="str">
        <x:v>GUILD-0145</x:v>
      </x:c>
      <x:c r="C146" s="4" t="str">
        <x:v>M09 运营账号、虚拟金币与公会消息</x:v>
      </x:c>
      <x:c r="D146" s="4" t="str">
        <x:v>运营消息（公会长视角）</x:v>
      </x:c>
      <x:c r="E146" s="4" t="str">
        <x:v>功能需求</x:v>
      </x:c>
      <x:c r="F146" s="4" t="str">
        <x:v>P2</x:v>
      </x:c>
      <x:c r="G146" s="4" t="str">
        <x:v>验证发送时间回显</x:v>
      </x:c>
      <x:c r="H146" s="4" t="str">
        <x:v>发送时间回显</x:v>
      </x:c>
      <x:c r="I146" s="4" t="str">
        <x:v>1. 已登录公会长账号
2. 所选对象存在，已记录该对象的发送时间值</x:v>
      </x:c>
      <x:c r="J146" s="4" t="str">
        <x:v>1. 进入「运营消息」页
2. 查看发送时间回显</x:v>
      </x:c>
      <x:c r="K146" s="4" t="str">
        <x:v>「发送时间」内容与所选对象的该项资料一致</x:v>
      </x:c>
      <x:c r="L146" s="4" t="str"/>
      <x:c r="M146" s="4" t="str">
        <x:v>未测</x:v>
      </x:c>
      <x:c r="N146" s="4" t="str"/>
      <x:c r="O146" s="4" t="str">
        <x:v>1. 来源：MainBasis/统一需求文档.md；G-guild-messages-002
2. 场景：SC-a6af106599c1ba</x:v>
      </x:c>
    </x:row>
    <x:row r="147" ht="54" customHeight="1">
      <x:c r="A147" s="4" t="n">
        <x:v>146</x:v>
      </x:c>
      <x:c r="B147" s="4" t="str">
        <x:v>GUILD-0146</x:v>
      </x:c>
      <x:c r="C147" s="4" t="str">
        <x:v>M09 运营账号、虚拟金币与公会消息</x:v>
      </x:c>
      <x:c r="D147" s="4" t="str">
        <x:v>运营消息（公会长视角）</x:v>
      </x:c>
      <x:c r="E147" s="4" t="str">
        <x:v>功能需求</x:v>
      </x:c>
      <x:c r="F147" s="4" t="str">
        <x:v>P2</x:v>
      </x:c>
      <x:c r="G147" s="4" t="str">
        <x:v>验证消息摘要回显</x:v>
      </x:c>
      <x:c r="H147" s="4" t="str">
        <x:v>消息摘要回显</x:v>
      </x:c>
      <x:c r="I147" s="4" t="str">
        <x:v>1. 已登录公会长账号
2. 所选对象存在，已记录该对象的消息摘要值</x:v>
      </x:c>
      <x:c r="J147" s="4" t="str">
        <x:v>1. 进入「运营消息」页
2. 查看消息摘要回显</x:v>
      </x:c>
      <x:c r="K147" s="4" t="str">
        <x:v>「消息摘要」内容与所选对象的该项资料一致</x:v>
      </x:c>
      <x:c r="L147" s="4" t="str"/>
      <x:c r="M147" s="4" t="str">
        <x:v>未测</x:v>
      </x:c>
      <x:c r="N147" s="4" t="str"/>
      <x:c r="O147" s="4" t="str">
        <x:v>1. 来源：MainBasis/统一需求文档.md；G-guild-messages-003
2. 场景：SC-207ccbfdb9e17f</x:v>
      </x:c>
    </x:row>
    <x:row r="148" ht="54" customHeight="1">
      <x:c r="A148" s="4" t="n">
        <x:v>147</x:v>
      </x:c>
      <x:c r="B148" s="4" t="str">
        <x:v>GUILD-0147</x:v>
      </x:c>
      <x:c r="C148" s="4" t="str">
        <x:v>M09 运营账号、虚拟金币与公会消息</x:v>
      </x:c>
      <x:c r="D148" s="4" t="str">
        <x:v>运营消息（公会长视角）</x:v>
      </x:c>
      <x:c r="E148" s="4" t="str">
        <x:v>功能需求</x:v>
      </x:c>
      <x:c r="F148" s="4" t="str">
        <x:v>P2</x:v>
      </x:c>
      <x:c r="G148" s="4" t="str">
        <x:v>验证首次进入默认本月</x:v>
      </x:c>
      <x:c r="H148" s="4" t="str">
        <x:v>首次进入默认本月</x:v>
      </x:c>
      <x:c r="I148" s="4" t="str">
        <x:v>1. 已登录公会长账号
2. 本次首次进入该页且无上游带入筛选</x:v>
      </x:c>
      <x:c r="J148" s="4" t="str">
        <x:v>1. 进入「运营消息」页
2. 查看首次进入默认本月</x:v>
      </x:c>
      <x:c r="K148" s="4" t="str">
        <x:v>日期范围默认本月</x:v>
      </x:c>
      <x:c r="L148" s="4" t="str"/>
      <x:c r="M148" s="4" t="str">
        <x:v>未测</x:v>
      </x:c>
      <x:c r="N148" s="4" t="str"/>
      <x:c r="O148" s="4" t="str">
        <x:v>1. 来源：MainBasis/统一需求文档.md；G-guild-messages-004
2. 场景：SC-e107a1564ce565</x:v>
      </x:c>
    </x:row>
    <x:row r="149" ht="54" customHeight="1">
      <x:c r="A149" s="4" t="n">
        <x:v>148</x:v>
      </x:c>
      <x:c r="B149" s="4" t="str">
        <x:v>GUILD-0148</x:v>
      </x:c>
      <x:c r="C149" s="4" t="str">
        <x:v>M09 运营账号、虚拟金币与公会消息</x:v>
      </x:c>
      <x:c r="D149" s="4" t="str">
        <x:v>运营消息（公会长视角）</x:v>
      </x:c>
      <x:c r="E149" s="4" t="str">
        <x:v>功能需求</x:v>
      </x:c>
      <x:c r="F149" s="4" t="str">
        <x:v>P2</x:v>
      </x:c>
      <x:c r="G149" s="4" t="str">
        <x:v>验证新建入口</x:v>
      </x:c>
      <x:c r="H149" s="4" t="str">
        <x:v>新建入口</x:v>
      </x:c>
      <x:c r="I149" s="4" t="str">
        <x:v>1. 已登录公会长账号</x:v>
      </x:c>
      <x:c r="J149" s="4" t="str">
        <x:v>1. 进入「运营消息」页
2. 点击「新建」</x:v>
      </x:c>
      <x:c r="K149" s="4" t="str">
        <x:v>页面进入「发送页」</x:v>
      </x:c>
      <x:c r="L149" s="4" t="str"/>
      <x:c r="M149" s="4" t="str">
        <x:v>未测</x:v>
      </x:c>
      <x:c r="N149" s="4" t="str"/>
      <x:c r="O149" s="4" t="str">
        <x:v>1. 来源：MainBasis/统一需求文档.md；G-guild-messages-005
2. 场景：SC-4233a41a9e5ba7</x:v>
      </x:c>
    </x:row>
    <x:row r="150" ht="54" customHeight="1">
      <x:c r="A150" s="4" t="n">
        <x:v>149</x:v>
      </x:c>
      <x:c r="B150" s="4" t="str">
        <x:v>GUILD-0149</x:v>
      </x:c>
      <x:c r="C150" s="4" t="str">
        <x:v>M09 运营账号、虚拟金币与公会消息</x:v>
      </x:c>
      <x:c r="D150" s="4" t="str">
        <x:v>新建运营消息（公会长视角）</x:v>
      </x:c>
      <x:c r="E150" s="4" t="str">
        <x:v>异常用例</x:v>
      </x:c>
      <x:c r="F150" s="4" t="str">
        <x:v>P1</x:v>
      </x:c>
      <x:c r="G150" s="4" t="str">
        <x:v>验证消息内容0字符限制</x:v>
      </x:c>
      <x:c r="H150" s="4" t="str">
        <x:v>消息内容0字符限制</x:v>
      </x:c>
      <x:c r="I150" s="4" t="str">
        <x:v>1. 已登录公会长账号
2. 其他必填字段为合法值</x:v>
      </x:c>
      <x:c r="J150" s="4" t="str">
        <x:v>1. 进入「新建运营消息」页
2. 清空「消息内容」
3. 点击「发送」</x:v>
      </x:c>
      <x:c r="K150" s="4" t="str">
        <x:v>消息内容未通过校验，无法发送</x:v>
      </x:c>
      <x:c r="L150" s="4" t="str"/>
      <x:c r="M150" s="4" t="str">
        <x:v>未测</x:v>
      </x:c>
      <x:c r="N150" s="4" t="str"/>
      <x:c r="O150" s="4" t="str">
        <x:v>1. 来源：MainBasis/统一需求文档.md；G-guild-message-compose-002
2. 场景：SC-ea5654d431c9f6</x:v>
      </x:c>
    </x:row>
    <x:row r="151" ht="68" customHeight="1">
      <x:c r="A151" s="4" t="n">
        <x:v>150</x:v>
      </x:c>
      <x:c r="B151" s="4" t="str">
        <x:v>GUILD-0150</x:v>
      </x:c>
      <x:c r="C151" s="4" t="str">
        <x:v>M09 运营账号、虚拟金币与公会消息</x:v>
      </x:c>
      <x:c r="D151" s="4" t="str">
        <x:v>新建运营消息（公会长视角）</x:v>
      </x:c>
      <x:c r="E151" s="4" t="str">
        <x:v>逻辑校验</x:v>
      </x:c>
      <x:c r="F151" s="4" t="str">
        <x:v>P1</x:v>
      </x:c>
      <x:c r="G151" s="4" t="str">
        <x:v>验证消息内容1字符可填写</x:v>
      </x:c>
      <x:c r="H151" s="4" t="str">
        <x:v>消息内容1字符可填写</x:v>
      </x:c>
      <x:c r="I151" s="4" t="str">
        <x:v>1. 已登录公会长账号
2. 其他必填字段为合法值</x:v>
      </x:c>
      <x:c r="J151" s="4" t="str">
        <x:v>1. 进入「新建运营消息」页
2. 在「消息内容」输入1个「测」字符
3. 点击「发送」</x:v>
      </x:c>
      <x:c r="K151" s="4" t="str">
        <x:v>「消息内容」保留1个字符</x:v>
      </x:c>
      <x:c r="L151" s="4" t="str"/>
      <x:c r="M151" s="4" t="str">
        <x:v>未测</x:v>
      </x:c>
      <x:c r="N151" s="4" t="str"/>
      <x:c r="O151" s="4" t="str">
        <x:v>1. 来源：MainBasis/统一需求文档.md；G-guild-message-compose-002
2. 场景：SC-e1ef8442337e14</x:v>
      </x:c>
    </x:row>
    <x:row r="152" ht="68" customHeight="1">
      <x:c r="A152" s="4" t="n">
        <x:v>151</x:v>
      </x:c>
      <x:c r="B152" s="4" t="str">
        <x:v>GUILD-0151</x:v>
      </x:c>
      <x:c r="C152" s="4" t="str">
        <x:v>M09 运营账号、虚拟金币与公会消息</x:v>
      </x:c>
      <x:c r="D152" s="4" t="str">
        <x:v>新建运营消息（公会长视角）</x:v>
      </x:c>
      <x:c r="E152" s="4" t="str">
        <x:v>逻辑校验</x:v>
      </x:c>
      <x:c r="F152" s="4" t="str">
        <x:v>P1</x:v>
      </x:c>
      <x:c r="G152" s="4" t="str">
        <x:v>验证消息内容499字符可填写</x:v>
      </x:c>
      <x:c r="H152" s="4" t="str">
        <x:v>消息内容499字符可填写</x:v>
      </x:c>
      <x:c r="I152" s="4" t="str">
        <x:v>1. 已登录公会长账号
2. 其他必填字段为合法值</x:v>
      </x:c>
      <x:c r="J152" s="4" t="str">
        <x:v>1. 进入「新建运营消息」页
2. 在「消息内容」输入499个「测」字符
3. 点击「发送」</x:v>
      </x:c>
      <x:c r="K152" s="4" t="str">
        <x:v>「消息内容」保留499个字符</x:v>
      </x:c>
      <x:c r="L152" s="4" t="str"/>
      <x:c r="M152" s="4" t="str">
        <x:v>未测</x:v>
      </x:c>
      <x:c r="N152" s="4" t="str"/>
      <x:c r="O152" s="4" t="str">
        <x:v>1. 来源：MainBasis/统一需求文档.md；G-guild-message-compose-002
2. 场景：SC-804afb73abc572</x:v>
      </x:c>
    </x:row>
    <x:row r="153" ht="68" customHeight="1">
      <x:c r="A153" s="4" t="n">
        <x:v>152</x:v>
      </x:c>
      <x:c r="B153" s="4" t="str">
        <x:v>GUILD-0152</x:v>
      </x:c>
      <x:c r="C153" s="4" t="str">
        <x:v>M09 运营账号、虚拟金币与公会消息</x:v>
      </x:c>
      <x:c r="D153" s="4" t="str">
        <x:v>新建运营消息（公会长视角）</x:v>
      </x:c>
      <x:c r="E153" s="4" t="str">
        <x:v>逻辑校验</x:v>
      </x:c>
      <x:c r="F153" s="4" t="str">
        <x:v>P1</x:v>
      </x:c>
      <x:c r="G153" s="4" t="str">
        <x:v>验证消息内容500字符可填写</x:v>
      </x:c>
      <x:c r="H153" s="4" t="str">
        <x:v>消息内容500字符可填写</x:v>
      </x:c>
      <x:c r="I153" s="4" t="str">
        <x:v>1. 已登录公会长账号
2. 其他必填字段为合法值</x:v>
      </x:c>
      <x:c r="J153" s="4" t="str">
        <x:v>1. 进入「新建运营消息」页
2. 在「消息内容」输入500个「测」字符
3. 点击「发送」</x:v>
      </x:c>
      <x:c r="K153" s="4" t="str">
        <x:v>「消息内容」保留500个字符</x:v>
      </x:c>
      <x:c r="L153" s="4" t="str"/>
      <x:c r="M153" s="4" t="str">
        <x:v>未测</x:v>
      </x:c>
      <x:c r="N153" s="4" t="str"/>
      <x:c r="O153" s="4" t="str">
        <x:v>1. 来源：MainBasis/统一需求文档.md；G-guild-message-compose-002
2. 场景：SC-255567df3aa64e</x:v>
      </x:c>
    </x:row>
    <x:row r="154" ht="68" customHeight="1">
      <x:c r="A154" s="4" t="n">
        <x:v>153</x:v>
      </x:c>
      <x:c r="B154" s="4" t="str">
        <x:v>GUILD-0153</x:v>
      </x:c>
      <x:c r="C154" s="4" t="str">
        <x:v>M09 运营账号、虚拟金币与公会消息</x:v>
      </x:c>
      <x:c r="D154" s="4" t="str">
        <x:v>新建运营消息（公会长视角）</x:v>
      </x:c>
      <x:c r="E154" s="4" t="str">
        <x:v>异常用例</x:v>
      </x:c>
      <x:c r="F154" s="4" t="str">
        <x:v>P1</x:v>
      </x:c>
      <x:c r="G154" s="4" t="str">
        <x:v>验证消息内容501字符限制</x:v>
      </x:c>
      <x:c r="H154" s="4" t="str">
        <x:v>消息内容501字符限制</x:v>
      </x:c>
      <x:c r="I154" s="4" t="str">
        <x:v>1. 已登录公会长账号
2. 其他必填字段为合法值</x:v>
      </x:c>
      <x:c r="J154" s="4" t="str">
        <x:v>1. 进入「新建运营消息」页
2. 在「消息内容」输入501个「测」字符
3. 点击「发送」</x:v>
      </x:c>
      <x:c r="K154" s="4" t="str">
        <x:v>消息内容未通过校验，无法发送</x:v>
      </x:c>
      <x:c r="L154" s="4" t="str"/>
      <x:c r="M154" s="4" t="str">
        <x:v>未测</x:v>
      </x:c>
      <x:c r="N154" s="4" t="str"/>
      <x:c r="O154" s="4" t="str">
        <x:v>1. 来源：MainBasis/统一需求文档.md；G-guild-message-compose-002
2. 场景：SC-3bcd0b06a211b9</x:v>
      </x:c>
    </x:row>
    <x:row r="155" ht="54" customHeight="1">
      <x:c r="A155" s="4" t="n">
        <x:v>154</x:v>
      </x:c>
      <x:c r="B155" s="4" t="str">
        <x:v>GUILD-0154</x:v>
      </x:c>
      <x:c r="C155" s="4" t="str">
        <x:v>M09 运营账号、虚拟金币与公会消息</x:v>
      </x:c>
      <x:c r="D155" s="4" t="str">
        <x:v>新建运营消息（公会长视角）</x:v>
      </x:c>
      <x:c r="E155" s="4" t="str">
        <x:v>异常用例</x:v>
      </x:c>
      <x:c r="F155" s="4" t="str">
        <x:v>P1</x:v>
      </x:c>
      <x:c r="G155" s="4" t="str">
        <x:v>验证消息内容仅空格限制</x:v>
      </x:c>
      <x:c r="H155" s="4" t="str">
        <x:v>消息内容仅空格限制</x:v>
      </x:c>
      <x:c r="I155" s="4" t="str">
        <x:v>1. 已登录公会长账号
2. 其他必填字段为合法值</x:v>
      </x:c>
      <x:c r="J155" s="4" t="str">
        <x:v>1. 进入「新建运营消息」页
2. 在「消息内容」输入3个空格
3. 点击「发送」</x:v>
      </x:c>
      <x:c r="K155" s="4" t="str">
        <x:v>消息内容去除首尾空格后为空，无法发送</x:v>
      </x:c>
      <x:c r="L155" s="4" t="str"/>
      <x:c r="M155" s="4" t="str">
        <x:v>未测</x:v>
      </x:c>
      <x:c r="N155" s="4" t="str"/>
      <x:c r="O155" s="4" t="str">
        <x:v>1. 来源：MainBasis/统一需求文档.md；G-guild-message-compose-002
2. 场景：SC-6f0b46f1ee318b</x:v>
      </x:c>
    </x:row>
    <x:row r="156" ht="54" customHeight="1">
      <x:c r="A156" s="4" t="n">
        <x:v>155</x:v>
      </x:c>
      <x:c r="B156" s="4" t="str">
        <x:v>GUILD-0155</x:v>
      </x:c>
      <x:c r="C156" s="4" t="str">
        <x:v>M09 运营账号、虚拟金币与公会消息</x:v>
      </x:c>
      <x:c r="D156" s="4" t="str">
        <x:v>新建运营消息（公会长视角）</x:v>
      </x:c>
      <x:c r="E156" s="4" t="str">
        <x:v>功能需求</x:v>
      </x:c>
      <x:c r="F156" s="4" t="str">
        <x:v>P1</x:v>
      </x:c>
      <x:c r="G156" s="4" t="str">
        <x:v>验证运营消息图片0张</x:v>
      </x:c>
      <x:c r="H156" s="4" t="str">
        <x:v>运营消息图片0张</x:v>
      </x:c>
      <x:c r="I156" s="4" t="str">
        <x:v>1. 已登录公会长账号
2. 接收人与文本合法</x:v>
      </x:c>
      <x:c r="J156" s="4" t="str">
        <x:v>1. 进入「新建运营消息」页
2. 尝试添加0张图片</x:v>
      </x:c>
      <x:c r="K156" s="4" t="str">
        <x:v>可保留0张图片</x:v>
      </x:c>
      <x:c r="L156" s="4" t="str"/>
      <x:c r="M156" s="4" t="str">
        <x:v>未测</x:v>
      </x:c>
      <x:c r="N156" s="4" t="str"/>
      <x:c r="O156" s="4" t="str">
        <x:v>1. 来源：MainBasis/统一需求文档.md；G-guild-message-compose-003
2. 场景：SC-1bf300c1e159a0</x:v>
      </x:c>
    </x:row>
    <x:row r="157" ht="54" customHeight="1">
      <x:c r="A157" s="4" t="n">
        <x:v>156</x:v>
      </x:c>
      <x:c r="B157" s="4" t="str">
        <x:v>GUILD-0156</x:v>
      </x:c>
      <x:c r="C157" s="4" t="str">
        <x:v>M09 运营账号、虚拟金币与公会消息</x:v>
      </x:c>
      <x:c r="D157" s="4" t="str">
        <x:v>新建运营消息（公会长视角）</x:v>
      </x:c>
      <x:c r="E157" s="4" t="str">
        <x:v>功能需求</x:v>
      </x:c>
      <x:c r="F157" s="4" t="str">
        <x:v>P1</x:v>
      </x:c>
      <x:c r="G157" s="4" t="str">
        <x:v>验证运营消息图片1张</x:v>
      </x:c>
      <x:c r="H157" s="4" t="str">
        <x:v>运营消息图片1张</x:v>
      </x:c>
      <x:c r="I157" s="4" t="str">
        <x:v>1. 已登录公会长账号
2. 接收人与文本合法</x:v>
      </x:c>
      <x:c r="J157" s="4" t="str">
        <x:v>1. 进入「新建运营消息」页
2. 尝试添加1张图片</x:v>
      </x:c>
      <x:c r="K157" s="4" t="str">
        <x:v>可保留1张图片</x:v>
      </x:c>
      <x:c r="L157" s="4" t="str"/>
      <x:c r="M157" s="4" t="str">
        <x:v>未测</x:v>
      </x:c>
      <x:c r="N157" s="4" t="str"/>
      <x:c r="O157" s="4" t="str">
        <x:v>1. 来源：MainBasis/统一需求文档.md；G-guild-message-compose-003
2. 场景：SC-1b75c5e7ebe4af</x:v>
      </x:c>
    </x:row>
    <x:row r="158" ht="54" customHeight="1">
      <x:c r="A158" s="4" t="n">
        <x:v>157</x:v>
      </x:c>
      <x:c r="B158" s="4" t="str">
        <x:v>GUILD-0157</x:v>
      </x:c>
      <x:c r="C158" s="4" t="str">
        <x:v>M09 运营账号、虚拟金币与公会消息</x:v>
      </x:c>
      <x:c r="D158" s="4" t="str">
        <x:v>新建运营消息（公会长视角）</x:v>
      </x:c>
      <x:c r="E158" s="4" t="str">
        <x:v>功能需求</x:v>
      </x:c>
      <x:c r="F158" s="4" t="str">
        <x:v>P1</x:v>
      </x:c>
      <x:c r="G158" s="4" t="str">
        <x:v>验证运营消息图片2张</x:v>
      </x:c>
      <x:c r="H158" s="4" t="str">
        <x:v>运营消息图片2张</x:v>
      </x:c>
      <x:c r="I158" s="4" t="str">
        <x:v>1. 已登录公会长账号
2. 接收人与文本合法</x:v>
      </x:c>
      <x:c r="J158" s="4" t="str">
        <x:v>1. 进入「新建运营消息」页
2. 尝试添加2张图片</x:v>
      </x:c>
      <x:c r="K158" s="4" t="str">
        <x:v>最多仅允许1张图片</x:v>
      </x:c>
      <x:c r="L158" s="4" t="str"/>
      <x:c r="M158" s="4" t="str">
        <x:v>未测</x:v>
      </x:c>
      <x:c r="N158" s="4" t="str"/>
      <x:c r="O158" s="4" t="str">
        <x:v>1. 来源：MainBasis/统一需求文档.md；G-guild-message-compose-003
2. 场景：SC-f66a513231448c</x:v>
      </x:c>
    </x:row>
    <x:row r="159" ht="54" customHeight="1">
      <x:c r="A159" s="4" t="n">
        <x:v>158</x:v>
      </x:c>
      <x:c r="B159" s="4" t="str">
        <x:v>GUILD-0158</x:v>
      </x:c>
      <x:c r="C159" s="4" t="str">
        <x:v>M09 运营账号、虚拟金币与公会消息</x:v>
      </x:c>
      <x:c r="D159" s="4" t="str">
        <x:v>新建运营消息（公会长视角）</x:v>
      </x:c>
      <x:c r="E159" s="4" t="str">
        <x:v>功能需求</x:v>
      </x:c>
      <x:c r="F159" s="4" t="str">
        <x:v>P1</x:v>
      </x:c>
      <x:c r="G159" s="4" t="str">
        <x:v>验证运营消息JPG图片</x:v>
      </x:c>
      <x:c r="H159" s="4" t="str">
        <x:v>运营消息JPG图片</x:v>
      </x:c>
      <x:c r="I159" s="4" t="str">
        <x:v>1. 已登录公会长账号</x:v>
      </x:c>
      <x:c r="J159" s="4" t="str">
        <x:v>1. 进入「新建运营消息」页
2. 添加可读取的JPG图片</x:v>
      </x:c>
      <x:c r="K159" s="4" t="str">
        <x:v>图片添加成功</x:v>
      </x:c>
      <x:c r="L159" s="4" t="str"/>
      <x:c r="M159" s="4" t="str">
        <x:v>未测</x:v>
      </x:c>
      <x:c r="N159" s="4" t="str"/>
      <x:c r="O159" s="4" t="str">
        <x:v>1. 来源：MainBasis/统一需求文档.md；G-guild-message-compose-003
2. 场景：SC-fb7831c747737d</x:v>
      </x:c>
    </x:row>
    <x:row r="160" ht="54" customHeight="1">
      <x:c r="A160" s="4" t="n">
        <x:v>159</x:v>
      </x:c>
      <x:c r="B160" s="4" t="str">
        <x:v>GUILD-0159</x:v>
      </x:c>
      <x:c r="C160" s="4" t="str">
        <x:v>M09 运营账号、虚拟金币与公会消息</x:v>
      </x:c>
      <x:c r="D160" s="4" t="str">
        <x:v>新建运营消息（公会长视角）</x:v>
      </x:c>
      <x:c r="E160" s="4" t="str">
        <x:v>功能需求</x:v>
      </x:c>
      <x:c r="F160" s="4" t="str">
        <x:v>P1</x:v>
      </x:c>
      <x:c r="G160" s="4" t="str">
        <x:v>验证运营消息PNG图片</x:v>
      </x:c>
      <x:c r="H160" s="4" t="str">
        <x:v>运营消息PNG图片</x:v>
      </x:c>
      <x:c r="I160" s="4" t="str">
        <x:v>1. 已登录公会长账号</x:v>
      </x:c>
      <x:c r="J160" s="4" t="str">
        <x:v>1. 进入「新建运营消息」页
2. 添加可读取的PNG图片</x:v>
      </x:c>
      <x:c r="K160" s="4" t="str">
        <x:v>图片添加成功</x:v>
      </x:c>
      <x:c r="L160" s="4" t="str"/>
      <x:c r="M160" s="4" t="str">
        <x:v>未测</x:v>
      </x:c>
      <x:c r="N160" s="4" t="str"/>
      <x:c r="O160" s="4" t="str">
        <x:v>1. 来源：MainBasis/统一需求文档.md；G-guild-message-compose-003
2. 场景：SC-68c3f2b30f97cd</x:v>
      </x:c>
    </x:row>
    <x:row r="161" ht="54" customHeight="1">
      <x:c r="A161" s="4" t="n">
        <x:v>160</x:v>
      </x:c>
      <x:c r="B161" s="4" t="str">
        <x:v>GUILD-0160</x:v>
      </x:c>
      <x:c r="C161" s="4" t="str">
        <x:v>M09 运营账号、虚拟金币与公会消息</x:v>
      </x:c>
      <x:c r="D161" s="4" t="str">
        <x:v>新建运营消息（公会长视角）</x:v>
      </x:c>
      <x:c r="E161" s="4" t="str">
        <x:v>功能需求</x:v>
      </x:c>
      <x:c r="F161" s="4" t="str">
        <x:v>P1</x:v>
      </x:c>
      <x:c r="G161" s="4" t="str">
        <x:v>验证运营消息WebP图片</x:v>
      </x:c>
      <x:c r="H161" s="4" t="str">
        <x:v>运营消息WebP图片</x:v>
      </x:c>
      <x:c r="I161" s="4" t="str">
        <x:v>1. 已登录公会长账号</x:v>
      </x:c>
      <x:c r="J161" s="4" t="str">
        <x:v>1. 进入「新建运营消息」页
2. 添加可读取的WebP图片</x:v>
      </x:c>
      <x:c r="K161" s="4" t="str">
        <x:v>图片添加成功</x:v>
      </x:c>
      <x:c r="L161" s="4" t="str"/>
      <x:c r="M161" s="4" t="str">
        <x:v>未测</x:v>
      </x:c>
      <x:c r="N161" s="4" t="str"/>
      <x:c r="O161" s="4" t="str">
        <x:v>1. 来源：MainBasis/统一需求文档.md；G-guild-message-compose-003
2. 场景：SC-377e16b6705d55</x:v>
      </x:c>
    </x:row>
    <x:row r="162" ht="68" customHeight="1">
      <x:c r="A162" s="4" t="n">
        <x:v>161</x:v>
      </x:c>
      <x:c r="B162" s="4" t="str">
        <x:v>GUILD-0161</x:v>
      </x:c>
      <x:c r="C162" s="4" t="str">
        <x:v>M09 运营账号、虚拟金币与公会消息</x:v>
      </x:c>
      <x:c r="D162" s="4" t="str">
        <x:v>新建运营消息（公会长视角）</x:v>
      </x:c>
      <x:c r="E162" s="4" t="str">
        <x:v>功能需求</x:v>
      </x:c>
      <x:c r="F162" s="4" t="str">
        <x:v>P1</x:v>
      </x:c>
      <x:c r="G162" s="4" t="str">
        <x:v>验证发送至全体主播</x:v>
      </x:c>
      <x:c r="H162" s="4" t="str">
        <x:v>发送至全体主播</x:v>
      </x:c>
      <x:c r="I162" s="4" t="str">
        <x:v>1. 已登录公会长账号
2. 消息文本已填，当前公会主播均有效</x:v>
      </x:c>
      <x:c r="J162" s="4" t="str">
        <x:v>1. 进入「新建运营消息」页
2. 选择全体主播
3. 点击发送
4. 确认接收范围</x:v>
      </x:c>
      <x:c r="K162" s="4" t="str">
        <x:v>生成发送记录并返回列表</x:v>
      </x:c>
      <x:c r="L162" s="4" t="str"/>
      <x:c r="M162" s="4" t="str">
        <x:v>未测</x:v>
      </x:c>
      <x:c r="N162" s="4" t="str"/>
      <x:c r="O162" s="4" t="str">
        <x:v>1. 来源：MainBasis/统一需求文档.md；G-guild-message-compose-005、G-guild-message-compose-001
2. 场景：SC-ccb8206ee3a599</x:v>
      </x:c>
    </x:row>
    <x:row r="163" ht="68" customHeight="1">
      <x:c r="A163" s="4" t="n">
        <x:v>162</x:v>
      </x:c>
      <x:c r="B163" s="4" t="str">
        <x:v>GUILD-0162</x:v>
      </x:c>
      <x:c r="C163" s="4" t="str">
        <x:v>M09 运营账号、虚拟金币与公会消息</x:v>
      </x:c>
      <x:c r="D163" s="4" t="str">
        <x:v>新建运营消息（公会长视角）</x:v>
      </x:c>
      <x:c r="E163" s="4" t="str">
        <x:v>功能需求</x:v>
      </x:c>
      <x:c r="F163" s="4" t="str">
        <x:v>P1</x:v>
      </x:c>
      <x:c r="G163" s="4" t="str">
        <x:v>验证发送至指定主播</x:v>
      </x:c>
      <x:c r="H163" s="4" t="str">
        <x:v>发送至指定主播</x:v>
      </x:c>
      <x:c r="I163" s="4" t="str">
        <x:v>1. 已登录公会长账号
2. 消息文本已填，当前公会主播均有效
3. 已选一名当前公会主播</x:v>
      </x:c>
      <x:c r="J163" s="4" t="str">
        <x:v>1. 进入「新建运营消息」页
2. 选择指定主播
3. 点击发送
4. 确认接收范围</x:v>
      </x:c>
      <x:c r="K163" s="4" t="str">
        <x:v>生成发送记录并返回列表</x:v>
      </x:c>
      <x:c r="L163" s="4" t="str"/>
      <x:c r="M163" s="4" t="str">
        <x:v>未测</x:v>
      </x:c>
      <x:c r="N163" s="4" t="str"/>
      <x:c r="O163" s="4" t="str">
        <x:v>1. 来源：MainBasis/统一需求文档.md；G-guild-message-compose-005、G-guild-message-compose-001
2. 场景：SC-1fa52b46ce7cd3</x:v>
      </x:c>
    </x:row>
    <x:row r="164" ht="68" customHeight="1">
      <x:c r="A164" s="4" t="n">
        <x:v>163</x:v>
      </x:c>
      <x:c r="B164" s="4" t="str">
        <x:v>GUILD-0163</x:v>
      </x:c>
      <x:c r="C164" s="4" t="str">
        <x:v>M09 运营账号、虚拟金币与公会消息</x:v>
      </x:c>
      <x:c r="D164" s="4" t="str">
        <x:v>新建运营消息（公会长视角）</x:v>
      </x:c>
      <x:c r="E164" s="4" t="str">
        <x:v>功能需求</x:v>
      </x:c>
      <x:c r="F164" s="4" t="str">
        <x:v>P1</x:v>
      </x:c>
      <x:c r="G164" s="4" t="str">
        <x:v>验证运营消息取消发送确认</x:v>
      </x:c>
      <x:c r="H164" s="4" t="str">
        <x:v>运营消息取消发送确认</x:v>
      </x:c>
      <x:c r="I164" s="4" t="str">
        <x:v>1. 已登录公会长账号
2. 文本和接收范围已填</x:v>
      </x:c>
      <x:c r="J164" s="4" t="str">
        <x:v>1. 进入「新建运营消息」页
2. 点击发送
3. 取消确认</x:v>
      </x:c>
      <x:c r="K164" s="4" t="str">
        <x:v>不生成发送记录</x:v>
      </x:c>
      <x:c r="L164" s="4" t="str"/>
      <x:c r="M164" s="4" t="str">
        <x:v>未测</x:v>
      </x:c>
      <x:c r="N164" s="4" t="str"/>
      <x:c r="O164" s="4" t="str">
        <x:v>1. 来源：MainBasis/统一需求文档.md；G-guild-message-compose-005、G-guild-message-compose-001
2. 场景：SC-d20215aa2c7f01</x:v>
      </x:c>
    </x:row>
    <x:row r="165" ht="54" customHeight="1">
      <x:c r="A165" s="4" t="n">
        <x:v>164</x:v>
      </x:c>
      <x:c r="B165" s="4" t="str">
        <x:v>GUILD-0164</x:v>
      </x:c>
      <x:c r="C165" s="4" t="str">
        <x:v>M09 运营账号、虚拟金币与公会消息</x:v>
      </x:c>
      <x:c r="D165" s="4" t="str">
        <x:v>选择主播（公会长视角）</x:v>
      </x:c>
      <x:c r="E165" s="4" t="str">
        <x:v>功能需求</x:v>
      </x:c>
      <x:c r="F165" s="4" t="str">
        <x:v>P2</x:v>
      </x:c>
      <x:c r="G165" s="4" t="str">
        <x:v>验证搜索回显</x:v>
      </x:c>
      <x:c r="H165" s="4" t="str">
        <x:v>搜索回显</x:v>
      </x:c>
      <x:c r="I165" s="4" t="str">
        <x:v>1. 已登录公会长账号
2. 所选对象存在，已记录该对象的搜索值</x:v>
      </x:c>
      <x:c r="J165" s="4" t="str">
        <x:v>1. 进入「选择主播」页
2. 查看搜索回显</x:v>
      </x:c>
      <x:c r="K165" s="4" t="str">
        <x:v>「搜索」内容与所选对象的该项资料一致</x:v>
      </x:c>
      <x:c r="L165" s="4" t="str"/>
      <x:c r="M165" s="4" t="str">
        <x:v>未测</x:v>
      </x:c>
      <x:c r="N165" s="4" t="str"/>
      <x:c r="O165" s="4" t="str">
        <x:v>1. 来源：MainBasis/统一需求文档.md；G-guild-host-select-001
2. 场景：SC-32687b1106d321</x:v>
      </x:c>
    </x:row>
    <x:row r="166" ht="54" customHeight="1">
      <x:c r="A166" s="4" t="n">
        <x:v>165</x:v>
      </x:c>
      <x:c r="B166" s="4" t="str">
        <x:v>GUILD-0165</x:v>
      </x:c>
      <x:c r="C166" s="4" t="str">
        <x:v>M09 运营账号、虚拟金币与公会消息</x:v>
      </x:c>
      <x:c r="D166" s="4" t="str">
        <x:v>选择主播（公会长视角）</x:v>
      </x:c>
      <x:c r="E166" s="4" t="str">
        <x:v>功能需求</x:v>
      </x:c>
      <x:c r="F166" s="4" t="str">
        <x:v>P2</x:v>
      </x:c>
      <x:c r="G166" s="4" t="str">
        <x:v>验证选择结果回显</x:v>
      </x:c>
      <x:c r="H166" s="4" t="str">
        <x:v>选择结果回显</x:v>
      </x:c>
      <x:c r="I166" s="4" t="str">
        <x:v>1. 已登录公会长账号
2. 所选对象存在，已记录该对象的选择结果值</x:v>
      </x:c>
      <x:c r="J166" s="4" t="str">
        <x:v>1. 进入「选择主播」页
2. 查看选择结果回显</x:v>
      </x:c>
      <x:c r="K166" s="4" t="str">
        <x:v>「选择结果」内容与所选对象的该项资料一致</x:v>
      </x:c>
      <x:c r="L166" s="4" t="str"/>
      <x:c r="M166" s="4" t="str">
        <x:v>未测</x:v>
      </x:c>
      <x:c r="N166" s="4" t="str"/>
      <x:c r="O166" s="4" t="str">
        <x:v>1. 来源：MainBasis/统一需求文档.md；G-guild-host-select-002
2. 场景：SC-376f5063225f5d</x:v>
      </x:c>
    </x:row>
    <x:row r="167" ht="54" customHeight="1">
      <x:c r="A167" s="4" t="n">
        <x:v>166</x:v>
      </x:c>
      <x:c r="B167" s="4" t="str">
        <x:v>GUILD-0166</x:v>
      </x:c>
      <x:c r="C167" s="4" t="str">
        <x:v>M09 运营账号、虚拟金币与公会消息</x:v>
      </x:c>
      <x:c r="D167" s="4" t="str">
        <x:v>选择主播（公会长视角）</x:v>
      </x:c>
      <x:c r="E167" s="4" t="str">
        <x:v>功能需求</x:v>
      </x:c>
      <x:c r="F167" s="4" t="str">
        <x:v>P1</x:v>
      </x:c>
      <x:c r="G167" s="4" t="str">
        <x:v>验证指定主播未选不能完成</x:v>
      </x:c>
      <x:c r="H167" s="4" t="str">
        <x:v>指定主播未选不能完成</x:v>
      </x:c>
      <x:c r="I167" s="4" t="str">
        <x:v>1. 已登录公会长账号
2. 未选择主播</x:v>
      </x:c>
      <x:c r="J167" s="4" t="str">
        <x:v>1. 进入「选择主播」页
2. 点击完成</x:v>
      </x:c>
      <x:c r="K167" s="4" t="str">
        <x:v>提示选择主播</x:v>
      </x:c>
      <x:c r="L167" s="4" t="str"/>
      <x:c r="M167" s="4" t="str">
        <x:v>未测</x:v>
      </x:c>
      <x:c r="N167" s="4" t="str"/>
      <x:c r="O167" s="4" t="str">
        <x:v>1. 来源：MainBasis/统一需求文档.md；G-guild-host-select-003
2. 场景：SC-f56240c9fb69fc</x:v>
      </x:c>
    </x:row>
    <x:row r="168" ht="54" customHeight="1">
      <x:c r="A168" s="4" t="n">
        <x:v>167</x:v>
      </x:c>
      <x:c r="B168" s="4" t="str">
        <x:v>GUILD-0167</x:v>
      </x:c>
      <x:c r="C168" s="4" t="str">
        <x:v>M09 运营账号、虚拟金币与公会消息</x:v>
      </x:c>
      <x:c r="D168" s="4" t="str">
        <x:v>选择主播（公会长视角）</x:v>
      </x:c>
      <x:c r="E168" s="4" t="str">
        <x:v>功能需求</x:v>
      </x:c>
      <x:c r="F168" s="4" t="str">
        <x:v>P1</x:v>
      </x:c>
      <x:c r="G168" s="4" t="str">
        <x:v>验证指定主播仅单选本公会</x:v>
      </x:c>
      <x:c r="H168" s="4" t="str">
        <x:v>指定主播仅单选本公会</x:v>
      </x:c>
      <x:c r="I168" s="4" t="str">
        <x:v>1. 已登录公会长账号
2. 其他公会有主播，当前公会有两名主播</x:v>
      </x:c>
      <x:c r="J168" s="4" t="str">
        <x:v>1. 进入「选择主播」页
2. 查看指定主播仅单选本公会</x:v>
      </x:c>
      <x:c r="K168" s="4" t="str">
        <x:v>只可选择一名当前公会主播</x:v>
      </x:c>
      <x:c r="L168" s="4" t="str"/>
      <x:c r="M168" s="4" t="str">
        <x:v>未测</x:v>
      </x:c>
      <x:c r="N168" s="4" t="str"/>
      <x:c r="O168" s="4" t="str">
        <x:v>1. 来源：MainBasis/统一需求文档.md；G-guild-host-select-002
2. 场景：SC-741228094d4b43</x:v>
      </x:c>
    </x:row>
    <x:row r="169" ht="54" customHeight="1">
      <x:c r="A169" s="4" t="n">
        <x:v>168</x:v>
      </x:c>
      <x:c r="B169" s="4" t="str">
        <x:v>GUILD-0168</x:v>
      </x:c>
      <x:c r="C169" s="4" t="str">
        <x:v>M09 运营账号、虚拟金币与公会消息</x:v>
      </x:c>
      <x:c r="D169" s="4" t="str">
        <x:v>消息详情（公会长视角）</x:v>
      </x:c>
      <x:c r="E169" s="4" t="str">
        <x:v>功能需求</x:v>
      </x:c>
      <x:c r="F169" s="4" t="str">
        <x:v>P2</x:v>
      </x:c>
      <x:c r="G169" s="4" t="str">
        <x:v>验证发送时间回显</x:v>
      </x:c>
      <x:c r="H169" s="4" t="str">
        <x:v>发送时间回显</x:v>
      </x:c>
      <x:c r="I169" s="4" t="str">
        <x:v>1. 已登录公会长账号
2. 所选对象存在，已记录该对象的发送时间值</x:v>
      </x:c>
      <x:c r="J169" s="4" t="str">
        <x:v>1. 进入「消息详情」页
2. 查看发送时间回显</x:v>
      </x:c>
      <x:c r="K169" s="4" t="str">
        <x:v>「发送时间」内容与所选对象的该项资料一致</x:v>
      </x:c>
      <x:c r="L169" s="4" t="str"/>
      <x:c r="M169" s="4" t="str">
        <x:v>未测</x:v>
      </x:c>
      <x:c r="N169" s="4" t="str"/>
      <x:c r="O169" s="4" t="str">
        <x:v>1. 来源：MainBasis/统一需求文档.md；G-guild-message-detail-002
2. 场景：SC-ddcd7f2972a318</x:v>
      </x:c>
    </x:row>
    <x:row r="170" ht="54" customHeight="1">
      <x:c r="A170" s="4" t="n">
        <x:v>169</x:v>
      </x:c>
      <x:c r="B170" s="4" t="str">
        <x:v>GUILD-0169</x:v>
      </x:c>
      <x:c r="C170" s="4" t="str">
        <x:v>M09 运营账号、虚拟金币与公会消息</x:v>
      </x:c>
      <x:c r="D170" s="4" t="str">
        <x:v>消息详情（公会长视角）</x:v>
      </x:c>
      <x:c r="E170" s="4" t="str">
        <x:v>功能需求</x:v>
      </x:c>
      <x:c r="F170" s="4" t="str">
        <x:v>P2</x:v>
      </x:c>
      <x:c r="G170" s="4" t="str">
        <x:v>验证发送人回显</x:v>
      </x:c>
      <x:c r="H170" s="4" t="str">
        <x:v>发送人回显</x:v>
      </x:c>
      <x:c r="I170" s="4" t="str">
        <x:v>1. 已登录公会长账号
2. 所选对象存在，已记录该对象的发送人值</x:v>
      </x:c>
      <x:c r="J170" s="4" t="str">
        <x:v>1. 进入「消息详情」页
2. 查看发送人回显</x:v>
      </x:c>
      <x:c r="K170" s="4" t="str">
        <x:v>「发送人」内容与所选对象的该项资料一致</x:v>
      </x:c>
      <x:c r="L170" s="4" t="str"/>
      <x:c r="M170" s="4" t="str">
        <x:v>未测</x:v>
      </x:c>
      <x:c r="N170" s="4" t="str"/>
      <x:c r="O170" s="4" t="str">
        <x:v>1. 来源：MainBasis/统一需求文档.md；G-guild-message-detail-003
2. 场景：SC-5d6d967db2e9cf</x:v>
      </x:c>
    </x:row>
    <x:row r="171" ht="54" customHeight="1">
      <x:c r="A171" s="4" t="n">
        <x:v>170</x:v>
      </x:c>
      <x:c r="B171" s="4" t="str">
        <x:v>GUILD-0170</x:v>
      </x:c>
      <x:c r="C171" s="4" t="str">
        <x:v>M09 运营账号、虚拟金币与公会消息</x:v>
      </x:c>
      <x:c r="D171" s="4" t="str">
        <x:v>消息详情（公会长视角）</x:v>
      </x:c>
      <x:c r="E171" s="4" t="str">
        <x:v>功能需求</x:v>
      </x:c>
      <x:c r="F171" s="4" t="str">
        <x:v>P2</x:v>
      </x:c>
      <x:c r="G171" s="4" t="str">
        <x:v>验证消息内容回显</x:v>
      </x:c>
      <x:c r="H171" s="4" t="str">
        <x:v>消息内容回显</x:v>
      </x:c>
      <x:c r="I171" s="4" t="str">
        <x:v>1. 已登录公会长账号
2. 所选对象存在，已记录该对象的消息内容值</x:v>
      </x:c>
      <x:c r="J171" s="4" t="str">
        <x:v>1. 进入「消息详情」页
2. 查看消息内容回显</x:v>
      </x:c>
      <x:c r="K171" s="4" t="str">
        <x:v>「消息内容」内容与所选对象的该项资料一致</x:v>
      </x:c>
      <x:c r="L171" s="4" t="str"/>
      <x:c r="M171" s="4" t="str">
        <x:v>未测</x:v>
      </x:c>
      <x:c r="N171" s="4" t="str"/>
      <x:c r="O171" s="4" t="str">
        <x:v>1. 来源：MainBasis/统一需求文档.md；G-guild-message-detail-004
2. 场景：SC-819a0608a3d956</x:v>
      </x:c>
    </x:row>
    <x:row r="172" ht="68" customHeight="1">
      <x:c r="A172" s="4" t="n">
        <x:v>171</x:v>
      </x:c>
      <x:c r="B172" s="4" t="str">
        <x:v>GUILD-0171</x:v>
      </x:c>
      <x:c r="C172" s="4" t="str">
        <x:v>M09 运营账号、虚拟金币与公会消息</x:v>
      </x:c>
      <x:c r="D172" s="4" t="str">
        <x:v>消息详情（公会长视角）</x:v>
      </x:c>
      <x:c r="E172" s="4" t="str">
        <x:v>功能需求</x:v>
      </x:c>
      <x:c r="F172" s="4" t="str">
        <x:v>P1</x:v>
      </x:c>
      <x:c r="G172" s="4" t="str">
        <x:v>验证消息接收人退会保留快照</x:v>
      </x:c>
      <x:c r="H172" s="4" t="str">
        <x:v>消息接收人退会保留快照</x:v>
      </x:c>
      <x:c r="I172" s="4" t="str">
        <x:v>1. 已登录公会长账号
2. 消息发送时接收人仍在会，后来已退会</x:v>
      </x:c>
      <x:c r="J172" s="4" t="str">
        <x:v>1. 进入「消息详情」页
2. 查看消息接收人退会保留快照</x:v>
      </x:c>
      <x:c r="K172" s="4" t="str">
        <x:v>历史发送对象、人数和内容不变，详情只读</x:v>
      </x:c>
      <x:c r="L172" s="4" t="str"/>
      <x:c r="M172" s="4" t="str">
        <x:v>未测</x:v>
      </x:c>
      <x:c r="N172" s="4" t="str"/>
      <x:c r="O172" s="4" t="str">
        <x:v>1. 来源：MainBasis/统一需求文档.md；G-guild-message-detail-005、G-guild-message-compose-004
2. 场景：SC-bf60bab8dc7169</x:v>
      </x:c>
    </x:row>
    <x:row r="173" ht="54" customHeight="1">
      <x:c r="A173" s="4" t="n">
        <x:v>172</x:v>
      </x:c>
      <x:c r="B173" s="4" t="str">
        <x:v>GUILD-0172</x:v>
      </x:c>
      <x:c r="C173" s="4" t="str">
        <x:v>M09 运营账号、虚拟金币与公会消息</x:v>
      </x:c>
      <x:c r="D173" s="4" t="str">
        <x:v>消息详情（公会长视角）</x:v>
      </x:c>
      <x:c r="E173" s="4" t="str">
        <x:v>功能需求</x:v>
      </x:c>
      <x:c r="F173" s="4" t="str">
        <x:v>P1</x:v>
      </x:c>
      <x:c r="G173" s="4" t="str">
        <x:v>验证指定通知接收范围</x:v>
      </x:c>
      <x:c r="H173" s="4" t="str">
        <x:v>指定通知接收范围</x:v>
      </x:c>
      <x:c r="I173" s="4" t="str">
        <x:v>1. 已登录公会长账号
2. 该消息发送时仅指定主播甲</x:v>
      </x:c>
      <x:c r="J173" s="4" t="str">
        <x:v>1. 进入「消息详情」页
2. 查看指定通知接收范围</x:v>
      </x:c>
      <x:c r="K173" s="4" t="str">
        <x:v>对象为主播甲且实际接收人数1</x:v>
      </x:c>
      <x:c r="L173" s="4" t="str"/>
      <x:c r="M173" s="4" t="str">
        <x:v>未测</x:v>
      </x:c>
      <x:c r="N173" s="4" t="str"/>
      <x:c r="O173" s="4" t="str">
        <x:v>1. 来源：MainBasis/统一需求文档.md；G-guild-message-detail-001
2. 场景：SC-0131d2dad1acc2</x:v>
      </x:c>
    </x:row>
    <x:row r="174" ht="54" customHeight="1">
      <x:c r="A174" s="4" t="n">
        <x:v>173</x:v>
      </x:c>
      <x:c r="B174" s="4" t="str">
        <x:v>GUILD-0173</x:v>
      </x:c>
      <x:c r="C174" s="4" t="str">
        <x:v>M09 运营账号、虚拟金币与公会消息</x:v>
      </x:c>
      <x:c r="D174" s="4" t="str">
        <x:v>运营账号（公会长视角）</x:v>
      </x:c>
      <x:c r="E174" s="4" t="str">
        <x:v>功能需求</x:v>
      </x:c>
      <x:c r="F174" s="4" t="str">
        <x:v>P2</x:v>
      </x:c>
      <x:c r="G174" s="4" t="str">
        <x:v>验证运营账号回显</x:v>
      </x:c>
      <x:c r="H174" s="4" t="str">
        <x:v>运营账号回显</x:v>
      </x:c>
      <x:c r="I174" s="4" t="str">
        <x:v>1. 已登录公会长账号
2. 所选对象存在，已记录该对象的运营账号值</x:v>
      </x:c>
      <x:c r="J174" s="4" t="str">
        <x:v>1. 进入「运营账号」页
2. 查看运营账号回显</x:v>
      </x:c>
      <x:c r="K174" s="4" t="str">
        <x:v>「运营账号」内容与所选对象的该项资料一致</x:v>
      </x:c>
      <x:c r="L174" s="4" t="str"/>
      <x:c r="M174" s="4" t="str">
        <x:v>未测</x:v>
      </x:c>
      <x:c r="N174" s="4" t="str"/>
      <x:c r="O174" s="4" t="str">
        <x:v>1. 来源：MainBasis/统一需求文档.md；G-guild-operation-accounts-002
2. 场景：SC-811c2f6f639506</x:v>
      </x:c>
    </x:row>
    <x:row r="175" ht="54" customHeight="1">
      <x:c r="A175" s="4" t="n">
        <x:v>174</x:v>
      </x:c>
      <x:c r="B175" s="4" t="str">
        <x:v>GUILD-0174</x:v>
      </x:c>
      <x:c r="C175" s="4" t="str">
        <x:v>M09 运营账号、虚拟金币与公会消息</x:v>
      </x:c>
      <x:c r="D175" s="4" t="str">
        <x:v>运营账号（公会长视角）</x:v>
      </x:c>
      <x:c r="E175" s="4" t="str">
        <x:v>功能需求</x:v>
      </x:c>
      <x:c r="F175" s="4" t="str">
        <x:v>P2</x:v>
      </x:c>
      <x:c r="G175" s="4" t="str">
        <x:v>验证账户余额回显</x:v>
      </x:c>
      <x:c r="H175" s="4" t="str">
        <x:v>账户余额回显</x:v>
      </x:c>
      <x:c r="I175" s="4" t="str">
        <x:v>1. 已登录公会长账号
2. 所选对象存在，已记录该对象的账户余额值</x:v>
      </x:c>
      <x:c r="J175" s="4" t="str">
        <x:v>1. 进入「运营账号」页
2. 查看账户余额回显</x:v>
      </x:c>
      <x:c r="K175" s="4" t="str">
        <x:v>「账户余额」内容与所选对象的该项资料一致</x:v>
      </x:c>
      <x:c r="L175" s="4" t="str"/>
      <x:c r="M175" s="4" t="str">
        <x:v>未测</x:v>
      </x:c>
      <x:c r="N175" s="4" t="str"/>
      <x:c r="O175" s="4" t="str">
        <x:v>1. 来源：MainBasis/统一需求文档.md；G-guild-operation-accounts-003
2. 场景：SC-0c1480ed5db78d</x:v>
      </x:c>
    </x:row>
    <x:row r="176" ht="82" customHeight="1">
      <x:c r="A176" s="4" t="n">
        <x:v>175</x:v>
      </x:c>
      <x:c r="B176" s="4" t="str">
        <x:v>GUILD-0175</x:v>
      </x:c>
      <x:c r="C176" s="4" t="str">
        <x:v>M09 运营账号、虚拟金币与公会消息</x:v>
      </x:c>
      <x:c r="D176" s="4" t="str">
        <x:v>运营账号（公会长视角）</x:v>
      </x:c>
      <x:c r="E176" s="4" t="str">
        <x:v>逻辑校验</x:v>
      </x:c>
      <x:c r="F176" s="4" t="str">
        <x:v>P1</x:v>
      </x:c>
      <x:c r="G176" s="4" t="str">
        <x:v>验证公会虚拟资产汇总</x:v>
      </x:c>
      <x:c r="H176" s="4" t="str">
        <x:v>公会虚拟资产汇总</x:v>
      </x:c>
      <x:c r="I176" s="4" t="str">
        <x:v>1. 已登录公会长账号
2. 本月两账号成功发放100与200，余额70与50，公会月限额500</x:v>
      </x:c>
      <x:c r="J176" s="4" t="str">
        <x:v>1. 进入「运营账号」页
2. 查看公会虚拟资产汇总</x:v>
      </x:c>
      <x:c r="K176" s="4" t="str">
        <x:v>本月已发300、剩余200、余额累计120</x:v>
      </x:c>
      <x:c r="L176" s="4" t="str"/>
      <x:c r="M176" s="4" t="str">
        <x:v>未测</x:v>
      </x:c>
      <x:c r="N176" s="4" t="str"/>
      <x:c r="O176" s="4" t="str">
        <x:v>1. 来源：MainBasis/统一需求文档.md；G-guild-operation-accounts-001、A-admin-operation-guild-controls-005、A-admin-operation-guild-controls-006
2. 场景：SC-ac196c828232a9</x:v>
      </x:c>
    </x:row>
    <x:row r="177" ht="54" customHeight="1">
      <x:c r="A177" s="4" t="n">
        <x:v>176</x:v>
      </x:c>
      <x:c r="B177" s="4" t="str">
        <x:v>GUILD-0176</x:v>
      </x:c>
      <x:c r="C177" s="4" t="str">
        <x:v>M09 运营账号、虚拟金币与公会消息</x:v>
      </x:c>
      <x:c r="D177" s="4" t="str">
        <x:v>运营账号（公会长视角）</x:v>
      </x:c>
      <x:c r="E177" s="4" t="str">
        <x:v>功能需求</x:v>
      </x:c>
      <x:c r="F177" s="4" t="str">
        <x:v>P2</x:v>
      </x:c>
      <x:c r="G177" s="4" t="str">
        <x:v>验证账号入口</x:v>
      </x:c>
      <x:c r="H177" s="4" t="str">
        <x:v>账号入口</x:v>
      </x:c>
      <x:c r="I177" s="4" t="str">
        <x:v>1. 已登录公会长账号</x:v>
      </x:c>
      <x:c r="J177" s="4" t="str">
        <x:v>1. 进入「运营账号」页
2. 点击「账号」</x:v>
      </x:c>
      <x:c r="K177" s="4" t="str">
        <x:v>页面进入「账号主页」</x:v>
      </x:c>
      <x:c r="L177" s="4" t="str"/>
      <x:c r="M177" s="4" t="str">
        <x:v>未测</x:v>
      </x:c>
      <x:c r="N177" s="4" t="str"/>
      <x:c r="O177" s="4" t="str">
        <x:v>1. 来源：MainBasis/统一需求文档.md；G-guild-operation-accounts-008
2. 场景：SC-2bac1b096e9ba0</x:v>
      </x:c>
    </x:row>
    <x:row r="178" ht="54" customHeight="1">
      <x:c r="A178" s="4" t="n">
        <x:v>177</x:v>
      </x:c>
      <x:c r="B178" s="4" t="str">
        <x:v>GUILD-0177</x:v>
      </x:c>
      <x:c r="C178" s="4" t="str">
        <x:v>M09 运营账号、虚拟金币与公会消息</x:v>
      </x:c>
      <x:c r="D178" s="4" t="str">
        <x:v>运营账号（公会长视角）</x:v>
      </x:c>
      <x:c r="E178" s="4" t="str">
        <x:v>功能需求</x:v>
      </x:c>
      <x:c r="F178" s="4" t="str">
        <x:v>P1</x:v>
      </x:c>
      <x:c r="G178" s="4" t="str">
        <x:v>验证运营月消费合计</x:v>
      </x:c>
      <x:c r="H178" s="4" t="str">
        <x:v>运营月消费合计</x:v>
      </x:c>
      <x:c r="I178" s="4" t="str">
        <x:v>1. 已登录公会长账号
2. 本月成功虚拟赠礼10、20，失败50，上月成功100</x:v>
      </x:c>
      <x:c r="J178" s="4" t="str">
        <x:v>1. 进入「运营账号」页
2. 查看运营月消费合计</x:v>
      </x:c>
      <x:c r="K178" s="4" t="str">
        <x:v>本月消费30虚拟金币</x:v>
      </x:c>
      <x:c r="L178" s="4" t="str"/>
      <x:c r="M178" s="4" t="str">
        <x:v>未测</x:v>
      </x:c>
      <x:c r="N178" s="4" t="str"/>
      <x:c r="O178" s="4" t="str">
        <x:v>1. 来源：MainBasis/统一需求文档.md；G-guild-operation-accounts-004
2. 场景：SC-a674522df35341</x:v>
      </x:c>
    </x:row>
    <x:row r="179" ht="54" customHeight="1">
      <x:c r="A179" s="4" t="n">
        <x:v>178</x:v>
      </x:c>
      <x:c r="B179" s="4" t="str">
        <x:v>GUILD-0178</x:v>
      </x:c>
      <x:c r="C179" s="4" t="str">
        <x:v>M09 运营账号、虚拟金币与公会消息</x:v>
      </x:c>
      <x:c r="D179" s="4" t="str">
        <x:v>创建运营账号（公会长视角）</x:v>
      </x:c>
      <x:c r="E179" s="4" t="str">
        <x:v>异常用例</x:v>
      </x:c>
      <x:c r="F179" s="4" t="str">
        <x:v>P1</x:v>
      </x:c>
      <x:c r="G179" s="4" t="str">
        <x:v>验证名称0字符限制</x:v>
      </x:c>
      <x:c r="H179" s="4" t="str">
        <x:v>名称0字符限制</x:v>
      </x:c>
      <x:c r="I179" s="4" t="str">
        <x:v>1. 已登录公会长账号
2. 其他必填字段为合法值</x:v>
      </x:c>
      <x:c r="J179" s="4" t="str">
        <x:v>1. 进入「创建运营账号」页
2. 清空「名称」
3. 点击「确认创建」</x:v>
      </x:c>
      <x:c r="K179" s="4" t="str">
        <x:v>名称未通过校验，无法确认创建</x:v>
      </x:c>
      <x:c r="L179" s="4" t="str"/>
      <x:c r="M179" s="4" t="str">
        <x:v>未测</x:v>
      </x:c>
      <x:c r="N179" s="4" t="str"/>
      <x:c r="O179" s="4" t="str">
        <x:v>1. 来源：MainBasis/统一需求文档.md；G-guild-operation-account-compose-002
2. 场景：SC-754320e2ce5512</x:v>
      </x:c>
    </x:row>
    <x:row r="180" ht="54" customHeight="1">
      <x:c r="A180" s="4" t="n">
        <x:v>179</x:v>
      </x:c>
      <x:c r="B180" s="4" t="str">
        <x:v>GUILD-0179</x:v>
      </x:c>
      <x:c r="C180" s="4" t="str">
        <x:v>M09 运营账号、虚拟金币与公会消息</x:v>
      </x:c>
      <x:c r="D180" s="4" t="str">
        <x:v>创建运营账号（公会长视角）</x:v>
      </x:c>
      <x:c r="E180" s="4" t="str">
        <x:v>逻辑校验</x:v>
      </x:c>
      <x:c r="F180" s="4" t="str">
        <x:v>P1</x:v>
      </x:c>
      <x:c r="G180" s="4" t="str">
        <x:v>验证名称1字符可填写</x:v>
      </x:c>
      <x:c r="H180" s="4" t="str">
        <x:v>名称1字符可填写</x:v>
      </x:c>
      <x:c r="I180" s="4" t="str">
        <x:v>1. 已登录公会长账号
2. 其他必填字段为合法值</x:v>
      </x:c>
      <x:c r="J180" s="4" t="str">
        <x:v>1. 进入「创建运营账号」页
2. 在「名称」输入1个「测」字符
3. 点击「确认创建」</x:v>
      </x:c>
      <x:c r="K180" s="4" t="str">
        <x:v>「名称」保留1个字符</x:v>
      </x:c>
      <x:c r="L180" s="4" t="str"/>
      <x:c r="M180" s="4" t="str">
        <x:v>未测</x:v>
      </x:c>
      <x:c r="N180" s="4" t="str"/>
      <x:c r="O180" s="4" t="str">
        <x:v>1. 来源：MainBasis/统一需求文档.md；G-guild-operation-account-compose-002
2. 场景：SC-f20368c8e3000f</x:v>
      </x:c>
    </x:row>
    <x:row r="181" ht="54" customHeight="1">
      <x:c r="A181" s="4" t="n">
        <x:v>180</x:v>
      </x:c>
      <x:c r="B181" s="4" t="str">
        <x:v>GUILD-0180</x:v>
      </x:c>
      <x:c r="C181" s="4" t="str">
        <x:v>M09 运营账号、虚拟金币与公会消息</x:v>
      </x:c>
      <x:c r="D181" s="4" t="str">
        <x:v>创建运营账号（公会长视角）</x:v>
      </x:c>
      <x:c r="E181" s="4" t="str">
        <x:v>逻辑校验</x:v>
      </x:c>
      <x:c r="F181" s="4" t="str">
        <x:v>P1</x:v>
      </x:c>
      <x:c r="G181" s="4" t="str">
        <x:v>验证名称29字符可填写</x:v>
      </x:c>
      <x:c r="H181" s="4" t="str">
        <x:v>名称29字符可填写</x:v>
      </x:c>
      <x:c r="I181" s="4" t="str">
        <x:v>1. 已登录公会长账号
2. 其他必填字段为合法值</x:v>
      </x:c>
      <x:c r="J181" s="4" t="str">
        <x:v>1. 进入「创建运营账号」页
2. 在「名称」输入29个「测」字符
3. 点击「确认创建」</x:v>
      </x:c>
      <x:c r="K181" s="4" t="str">
        <x:v>「名称」保留29个字符</x:v>
      </x:c>
      <x:c r="L181" s="4" t="str"/>
      <x:c r="M181" s="4" t="str">
        <x:v>未测</x:v>
      </x:c>
      <x:c r="N181" s="4" t="str"/>
      <x:c r="O181" s="4" t="str">
        <x:v>1. 来源：MainBasis/统一需求文档.md；G-guild-operation-account-compose-002
2. 场景：SC-8ac775aa6a718d</x:v>
      </x:c>
    </x:row>
    <x:row r="182" ht="54" customHeight="1">
      <x:c r="A182" s="4" t="n">
        <x:v>181</x:v>
      </x:c>
      <x:c r="B182" s="4" t="str">
        <x:v>GUILD-0181</x:v>
      </x:c>
      <x:c r="C182" s="4" t="str">
        <x:v>M09 运营账号、虚拟金币与公会消息</x:v>
      </x:c>
      <x:c r="D182" s="4" t="str">
        <x:v>创建运营账号（公会长视角）</x:v>
      </x:c>
      <x:c r="E182" s="4" t="str">
        <x:v>逻辑校验</x:v>
      </x:c>
      <x:c r="F182" s="4" t="str">
        <x:v>P1</x:v>
      </x:c>
      <x:c r="G182" s="4" t="str">
        <x:v>验证名称30字符可填写</x:v>
      </x:c>
      <x:c r="H182" s="4" t="str">
        <x:v>名称30字符可填写</x:v>
      </x:c>
      <x:c r="I182" s="4" t="str">
        <x:v>1. 已登录公会长账号
2. 其他必填字段为合法值</x:v>
      </x:c>
      <x:c r="J182" s="4" t="str">
        <x:v>1. 进入「创建运营账号」页
2. 在「名称」输入30个「测」字符
3. 点击「确认创建」</x:v>
      </x:c>
      <x:c r="K182" s="4" t="str">
        <x:v>「名称」保留30个字符</x:v>
      </x:c>
      <x:c r="L182" s="4" t="str"/>
      <x:c r="M182" s="4" t="str">
        <x:v>未测</x:v>
      </x:c>
      <x:c r="N182" s="4" t="str"/>
      <x:c r="O182" s="4" t="str">
        <x:v>1. 来源：MainBasis/统一需求文档.md；G-guild-operation-account-compose-002
2. 场景：SC-cb9cfdce025901</x:v>
      </x:c>
    </x:row>
    <x:row r="183" ht="54" customHeight="1">
      <x:c r="A183" s="4" t="n">
        <x:v>182</x:v>
      </x:c>
      <x:c r="B183" s="4" t="str">
        <x:v>GUILD-0182</x:v>
      </x:c>
      <x:c r="C183" s="4" t="str">
        <x:v>M09 运营账号、虚拟金币与公会消息</x:v>
      </x:c>
      <x:c r="D183" s="4" t="str">
        <x:v>创建运营账号（公会长视角）</x:v>
      </x:c>
      <x:c r="E183" s="4" t="str">
        <x:v>异常用例</x:v>
      </x:c>
      <x:c r="F183" s="4" t="str">
        <x:v>P1</x:v>
      </x:c>
      <x:c r="G183" s="4" t="str">
        <x:v>验证名称31字符限制</x:v>
      </x:c>
      <x:c r="H183" s="4" t="str">
        <x:v>名称31字符限制</x:v>
      </x:c>
      <x:c r="I183" s="4" t="str">
        <x:v>1. 已登录公会长账号
2. 其他必填字段为合法值</x:v>
      </x:c>
      <x:c r="J183" s="4" t="str">
        <x:v>1. 进入「创建运营账号」页
2. 在「名称」输入31个「测」字符
3. 点击「确认创建」</x:v>
      </x:c>
      <x:c r="K183" s="4" t="str">
        <x:v>名称未通过校验，无法确认创建</x:v>
      </x:c>
      <x:c r="L183" s="4" t="str"/>
      <x:c r="M183" s="4" t="str">
        <x:v>未测</x:v>
      </x:c>
      <x:c r="N183" s="4" t="str"/>
      <x:c r="O183" s="4" t="str">
        <x:v>1. 来源：MainBasis/统一需求文档.md；G-guild-operation-account-compose-002
2. 场景：SC-4fcefc97b2a791</x:v>
      </x:c>
    </x:row>
    <x:row r="184" ht="54" customHeight="1">
      <x:c r="A184" s="4" t="n">
        <x:v>183</x:v>
      </x:c>
      <x:c r="B184" s="4" t="str">
        <x:v>GUILD-0183</x:v>
      </x:c>
      <x:c r="C184" s="4" t="str">
        <x:v>M09 运营账号、虚拟金币与公会消息</x:v>
      </x:c>
      <x:c r="D184" s="4" t="str">
        <x:v>创建运营账号（公会长视角）</x:v>
      </x:c>
      <x:c r="E184" s="4" t="str">
        <x:v>异常用例</x:v>
      </x:c>
      <x:c r="F184" s="4" t="str">
        <x:v>P1</x:v>
      </x:c>
      <x:c r="G184" s="4" t="str">
        <x:v>验证账号0字符限制</x:v>
      </x:c>
      <x:c r="H184" s="4" t="str">
        <x:v>账号0字符限制</x:v>
      </x:c>
      <x:c r="I184" s="4" t="str">
        <x:v>1. 已登录公会长账号
2. 其他必填字段为合法值</x:v>
      </x:c>
      <x:c r="J184" s="4" t="str">
        <x:v>1. 进入「创建运营账号」页
2. 清空「账号」
3. 点击「确认创建」</x:v>
      </x:c>
      <x:c r="K184" s="4" t="str">
        <x:v>账号未通过校验，无法确认创建</x:v>
      </x:c>
      <x:c r="L184" s="4" t="str"/>
      <x:c r="M184" s="4" t="str">
        <x:v>未测</x:v>
      </x:c>
      <x:c r="N184" s="4" t="str"/>
      <x:c r="O184" s="4" t="str">
        <x:v>1. 来源：MainBasis/统一需求文档.md；G-guild-operation-account-compose-003
2. 场景：SC-2636690391b297</x:v>
      </x:c>
    </x:row>
    <x:row r="185" ht="54" customHeight="1">
      <x:c r="A185" s="4" t="n">
        <x:v>184</x:v>
      </x:c>
      <x:c r="B185" s="4" t="str">
        <x:v>GUILD-0184</x:v>
      </x:c>
      <x:c r="C185" s="4" t="str">
        <x:v>M09 运营账号、虚拟金币与公会消息</x:v>
      </x:c>
      <x:c r="D185" s="4" t="str">
        <x:v>创建运营账号（公会长视角）</x:v>
      </x:c>
      <x:c r="E185" s="4" t="str">
        <x:v>逻辑校验</x:v>
      </x:c>
      <x:c r="F185" s="4" t="str">
        <x:v>P1</x:v>
      </x:c>
      <x:c r="G185" s="4" t="str">
        <x:v>验证账号1字符可填写</x:v>
      </x:c>
      <x:c r="H185" s="4" t="str">
        <x:v>账号1字符可填写</x:v>
      </x:c>
      <x:c r="I185" s="4" t="str">
        <x:v>1. 已登录公会长账号
2. 其他必填字段为合法值</x:v>
      </x:c>
      <x:c r="J185" s="4" t="str">
        <x:v>1. 进入「创建运营账号」页
2. 在「账号」输入1个「测」字符
3. 点击「确认创建」</x:v>
      </x:c>
      <x:c r="K185" s="4" t="str">
        <x:v>「账号」保留1个字符</x:v>
      </x:c>
      <x:c r="L185" s="4" t="str"/>
      <x:c r="M185" s="4" t="str">
        <x:v>未测</x:v>
      </x:c>
      <x:c r="N185" s="4" t="str"/>
      <x:c r="O185" s="4" t="str">
        <x:v>1. 来源：MainBasis/统一需求文档.md；G-guild-operation-account-compose-003
2. 场景：SC-84ffb13f4d150f</x:v>
      </x:c>
    </x:row>
    <x:row r="186" ht="54" customHeight="1">
      <x:c r="A186" s="4" t="n">
        <x:v>185</x:v>
      </x:c>
      <x:c r="B186" s="4" t="str">
        <x:v>GUILD-0185</x:v>
      </x:c>
      <x:c r="C186" s="4" t="str">
        <x:v>M09 运营账号、虚拟金币与公会消息</x:v>
      </x:c>
      <x:c r="D186" s="4" t="str">
        <x:v>创建运营账号（公会长视角）</x:v>
      </x:c>
      <x:c r="E186" s="4" t="str">
        <x:v>逻辑校验</x:v>
      </x:c>
      <x:c r="F186" s="4" t="str">
        <x:v>P1</x:v>
      </x:c>
      <x:c r="G186" s="4" t="str">
        <x:v>验证账号29字符可填写</x:v>
      </x:c>
      <x:c r="H186" s="4" t="str">
        <x:v>账号29字符可填写</x:v>
      </x:c>
      <x:c r="I186" s="4" t="str">
        <x:v>1. 已登录公会长账号
2. 其他必填字段为合法值</x:v>
      </x:c>
      <x:c r="J186" s="4" t="str">
        <x:v>1. 进入「创建运营账号」页
2. 在「账号」输入29个「测」字符
3. 点击「确认创建」</x:v>
      </x:c>
      <x:c r="K186" s="4" t="str">
        <x:v>「账号」保留29个字符</x:v>
      </x:c>
      <x:c r="L186" s="4" t="str"/>
      <x:c r="M186" s="4" t="str">
        <x:v>未测</x:v>
      </x:c>
      <x:c r="N186" s="4" t="str"/>
      <x:c r="O186" s="4" t="str">
        <x:v>1. 来源：MainBasis/统一需求文档.md；G-guild-operation-account-compose-003
2. 场景：SC-b6bff0c07346e4</x:v>
      </x:c>
    </x:row>
    <x:row r="187" ht="54" customHeight="1">
      <x:c r="A187" s="4" t="n">
        <x:v>186</x:v>
      </x:c>
      <x:c r="B187" s="4" t="str">
        <x:v>GUILD-0186</x:v>
      </x:c>
      <x:c r="C187" s="4" t="str">
        <x:v>M09 运营账号、虚拟金币与公会消息</x:v>
      </x:c>
      <x:c r="D187" s="4" t="str">
        <x:v>创建运营账号（公会长视角）</x:v>
      </x:c>
      <x:c r="E187" s="4" t="str">
        <x:v>逻辑校验</x:v>
      </x:c>
      <x:c r="F187" s="4" t="str">
        <x:v>P1</x:v>
      </x:c>
      <x:c r="G187" s="4" t="str">
        <x:v>验证账号30字符可填写</x:v>
      </x:c>
      <x:c r="H187" s="4" t="str">
        <x:v>账号30字符可填写</x:v>
      </x:c>
      <x:c r="I187" s="4" t="str">
        <x:v>1. 已登录公会长账号
2. 其他必填字段为合法值</x:v>
      </x:c>
      <x:c r="J187" s="4" t="str">
        <x:v>1. 进入「创建运营账号」页
2. 在「账号」输入30个「测」字符
3. 点击「确认创建」</x:v>
      </x:c>
      <x:c r="K187" s="4" t="str">
        <x:v>「账号」保留30个字符</x:v>
      </x:c>
      <x:c r="L187" s="4" t="str"/>
      <x:c r="M187" s="4" t="str">
        <x:v>未测</x:v>
      </x:c>
      <x:c r="N187" s="4" t="str"/>
      <x:c r="O187" s="4" t="str">
        <x:v>1. 来源：MainBasis/统一需求文档.md；G-guild-operation-account-compose-003
2. 场景：SC-b969dc1290da54</x:v>
      </x:c>
    </x:row>
    <x:row r="188" ht="54" customHeight="1">
      <x:c r="A188" s="4" t="n">
        <x:v>187</x:v>
      </x:c>
      <x:c r="B188" s="4" t="str">
        <x:v>GUILD-0187</x:v>
      </x:c>
      <x:c r="C188" s="4" t="str">
        <x:v>M09 运营账号、虚拟金币与公会消息</x:v>
      </x:c>
      <x:c r="D188" s="4" t="str">
        <x:v>创建运营账号（公会长视角）</x:v>
      </x:c>
      <x:c r="E188" s="4" t="str">
        <x:v>异常用例</x:v>
      </x:c>
      <x:c r="F188" s="4" t="str">
        <x:v>P1</x:v>
      </x:c>
      <x:c r="G188" s="4" t="str">
        <x:v>验证账号31字符限制</x:v>
      </x:c>
      <x:c r="H188" s="4" t="str">
        <x:v>账号31字符限制</x:v>
      </x:c>
      <x:c r="I188" s="4" t="str">
        <x:v>1. 已登录公会长账号
2. 其他必填字段为合法值</x:v>
      </x:c>
      <x:c r="J188" s="4" t="str">
        <x:v>1. 进入「创建运营账号」页
2. 在「账号」输入31个「测」字符
3. 点击「确认创建」</x:v>
      </x:c>
      <x:c r="K188" s="4" t="str">
        <x:v>账号未通过校验，无法确认创建</x:v>
      </x:c>
      <x:c r="L188" s="4" t="str"/>
      <x:c r="M188" s="4" t="str">
        <x:v>未测</x:v>
      </x:c>
      <x:c r="N188" s="4" t="str"/>
      <x:c r="O188" s="4" t="str">
        <x:v>1. 来源：MainBasis/统一需求文档.md；G-guild-operation-account-compose-003
2. 场景：SC-23e4ff78547060</x:v>
      </x:c>
    </x:row>
    <x:row r="189" ht="54" customHeight="1">
      <x:c r="A189" s="4" t="n">
        <x:v>188</x:v>
      </x:c>
      <x:c r="B189" s="4" t="str">
        <x:v>GUILD-0188</x:v>
      </x:c>
      <x:c r="C189" s="4" t="str">
        <x:v>M09 运营账号、虚拟金币与公会消息</x:v>
      </x:c>
      <x:c r="D189" s="4" t="str">
        <x:v>创建运营账号（公会长视角）</x:v>
      </x:c>
      <x:c r="E189" s="4" t="str">
        <x:v>功能需求</x:v>
      </x:c>
      <x:c r="F189" s="4" t="str">
        <x:v>P1</x:v>
      </x:c>
      <x:c r="G189" s="4" t="str">
        <x:v>验证运营账号初始密码5位</x:v>
      </x:c>
      <x:c r="H189" s="4" t="str">
        <x:v>运营账号初始密码5位</x:v>
      </x:c>
      <x:c r="I189" s="4" t="str">
        <x:v>1. 已登录公会长账号
2. 其他字段合法</x:v>
      </x:c>
      <x:c r="J189" s="4" t="str">
        <x:v>1. 进入「创建运营账号」页
2. 输入5位初始密码
3. 确认创建</x:v>
      </x:c>
      <x:c r="K189" s="4" t="str">
        <x:v>不能创建账号</x:v>
      </x:c>
      <x:c r="L189" s="4" t="str"/>
      <x:c r="M189" s="4" t="str">
        <x:v>未测</x:v>
      </x:c>
      <x:c r="N189" s="4" t="str"/>
      <x:c r="O189" s="4" t="str">
        <x:v>1. 来源：MainBasis/统一需求文档.md；G-guild-operation-account-compose-004
2. 场景：SC-513e4b622c202a</x:v>
      </x:c>
    </x:row>
    <x:row r="190" ht="54" customHeight="1">
      <x:c r="A190" s="4" t="n">
        <x:v>189</x:v>
      </x:c>
      <x:c r="B190" s="4" t="str">
        <x:v>GUILD-0189</x:v>
      </x:c>
      <x:c r="C190" s="4" t="str">
        <x:v>M09 运营账号、虚拟金币与公会消息</x:v>
      </x:c>
      <x:c r="D190" s="4" t="str">
        <x:v>创建运营账号（公会长视角）</x:v>
      </x:c>
      <x:c r="E190" s="4" t="str">
        <x:v>功能需求</x:v>
      </x:c>
      <x:c r="F190" s="4" t="str">
        <x:v>P1</x:v>
      </x:c>
      <x:c r="G190" s="4" t="str">
        <x:v>验证运营账号初始密码6位</x:v>
      </x:c>
      <x:c r="H190" s="4" t="str">
        <x:v>运营账号初始密码6位</x:v>
      </x:c>
      <x:c r="I190" s="4" t="str">
        <x:v>1. 已登录公会长账号
2. 其他字段合法</x:v>
      </x:c>
      <x:c r="J190" s="4" t="str">
        <x:v>1. 进入「创建运营账号」页
2. 输入6位初始密码
3. 确认创建</x:v>
      </x:c>
      <x:c r="K190" s="4" t="str">
        <x:v>账号创建成功</x:v>
      </x:c>
      <x:c r="L190" s="4" t="str"/>
      <x:c r="M190" s="4" t="str">
        <x:v>未测</x:v>
      </x:c>
      <x:c r="N190" s="4" t="str"/>
      <x:c r="O190" s="4" t="str">
        <x:v>1. 来源：MainBasis/统一需求文档.md；G-guild-operation-account-compose-004
2. 场景：SC-ec2317afdcf81a</x:v>
      </x:c>
    </x:row>
    <x:row r="191" ht="54" customHeight="1">
      <x:c r="A191" s="4" t="n">
        <x:v>190</x:v>
      </x:c>
      <x:c r="B191" s="4" t="str">
        <x:v>GUILD-0190</x:v>
      </x:c>
      <x:c r="C191" s="4" t="str">
        <x:v>M09 运营账号、虚拟金币与公会消息</x:v>
      </x:c>
      <x:c r="D191" s="4" t="str">
        <x:v>创建运营账号（公会长视角）</x:v>
      </x:c>
      <x:c r="E191" s="4" t="str">
        <x:v>功能需求</x:v>
      </x:c>
      <x:c r="F191" s="4" t="str">
        <x:v>P1</x:v>
      </x:c>
      <x:c r="G191" s="4" t="str">
        <x:v>验证运营账号初始密码7位</x:v>
      </x:c>
      <x:c r="H191" s="4" t="str">
        <x:v>运营账号初始密码7位</x:v>
      </x:c>
      <x:c r="I191" s="4" t="str">
        <x:v>1. 已登录公会长账号
2. 其他字段合法</x:v>
      </x:c>
      <x:c r="J191" s="4" t="str">
        <x:v>1. 进入「创建运营账号」页
2. 输入7位初始密码
3. 确认创建</x:v>
      </x:c>
      <x:c r="K191" s="4" t="str">
        <x:v>账号创建成功</x:v>
      </x:c>
      <x:c r="L191" s="4" t="str"/>
      <x:c r="M191" s="4" t="str">
        <x:v>未测</x:v>
      </x:c>
      <x:c r="N191" s="4" t="str"/>
      <x:c r="O191" s="4" t="str">
        <x:v>1. 来源：MainBasis/统一需求文档.md；G-guild-operation-account-compose-004
2. 场景：SC-f372f2e26da339</x:v>
      </x:c>
    </x:row>
    <x:row r="192" ht="54" customHeight="1">
      <x:c r="A192" s="4" t="n">
        <x:v>191</x:v>
      </x:c>
      <x:c r="B192" s="4" t="str">
        <x:v>GUILD-0191</x:v>
      </x:c>
      <x:c r="C192" s="4" t="str">
        <x:v>M09 运营账号、虚拟金币与公会消息</x:v>
      </x:c>
      <x:c r="D192" s="4" t="str">
        <x:v>创建运营账号（公会长视角）</x:v>
      </x:c>
      <x:c r="E192" s="4" t="str">
        <x:v>功能需求</x:v>
      </x:c>
      <x:c r="F192" s="4" t="str">
        <x:v>P1</x:v>
      </x:c>
      <x:c r="G192" s="4" t="str">
        <x:v>验证运营登录账号全局重复</x:v>
      </x:c>
      <x:c r="H192" s="4" t="str">
        <x:v>运营登录账号全局重复</x:v>
      </x:c>
      <x:c r="I192" s="4" t="str">
        <x:v>1. 已登录公会长账号
2. 另一公会已创建相同登录账号</x:v>
      </x:c>
      <x:c r="J192" s="4" t="str">
        <x:v>1. 进入「创建运营账号」页
2. 填写该重复账号及其他必填项
3. 确认创建</x:v>
      </x:c>
      <x:c r="K192" s="4" t="str">
        <x:v>不能创建重复账号</x:v>
      </x:c>
      <x:c r="L192" s="4" t="str"/>
      <x:c r="M192" s="4" t="str">
        <x:v>未测</x:v>
      </x:c>
      <x:c r="N192" s="4" t="str"/>
      <x:c r="O192" s="4" t="str">
        <x:v>1. 来源：MainBasis/统一需求文档.md；G-guild-operation-account-compose-003
2. 场景：SC-c967eef0fac026</x:v>
      </x:c>
    </x:row>
    <x:row r="193" ht="54" customHeight="1">
      <x:c r="A193" s="4" t="n">
        <x:v>192</x:v>
      </x:c>
      <x:c r="B193" s="4" t="str">
        <x:v>GUILD-0192</x:v>
      </x:c>
      <x:c r="C193" s="4" t="str">
        <x:v>M09 运营账号、虚拟金币与公会消息</x:v>
      </x:c>
      <x:c r="D193" s="4" t="str">
        <x:v>创建运营账号（公会长视角）</x:v>
      </x:c>
      <x:c r="E193" s="4" t="str">
        <x:v>功能需求</x:v>
      </x:c>
      <x:c r="F193" s="4" t="str">
        <x:v>P1</x:v>
      </x:c>
      <x:c r="G193" s="4" t="str">
        <x:v>验证发放上限账号100公会200</x:v>
      </x:c>
      <x:c r="H193" s="4" t="str">
        <x:v>发放上限账号100公会200</x:v>
      </x:c>
      <x:c r="I193" s="4" t="str">
        <x:v>1. 已登录公会长账号
2. 单账号月剩余100，公会月剩余200</x:v>
      </x:c>
      <x:c r="J193" s="4" t="str">
        <x:v>1. 进入「创建运营账号」页
2. 查看发放上限账号100公会200</x:v>
      </x:c>
      <x:c r="K193" s="4" t="str">
        <x:v>本次可发上限为100</x:v>
      </x:c>
      <x:c r="L193" s="4" t="str"/>
      <x:c r="M193" s="4" t="str">
        <x:v>未测</x:v>
      </x:c>
      <x:c r="N193" s="4" t="str"/>
      <x:c r="O193" s="4" t="str">
        <x:v>1. 来源：MainBasis/统一需求文档.md；G-guild-operation-account-compose-007
2. 场景：SC-e77b66499d2bfa</x:v>
      </x:c>
    </x:row>
    <x:row r="194" ht="54" customHeight="1">
      <x:c r="A194" s="4" t="n">
        <x:v>193</x:v>
      </x:c>
      <x:c r="B194" s="4" t="str">
        <x:v>GUILD-0193</x:v>
      </x:c>
      <x:c r="C194" s="4" t="str">
        <x:v>M09 运营账号、虚拟金币与公会消息</x:v>
      </x:c>
      <x:c r="D194" s="4" t="str">
        <x:v>创建运营账号（公会长视角）</x:v>
      </x:c>
      <x:c r="E194" s="4" t="str">
        <x:v>功能需求</x:v>
      </x:c>
      <x:c r="F194" s="4" t="str">
        <x:v>P1</x:v>
      </x:c>
      <x:c r="G194" s="4" t="str">
        <x:v>验证发放上限账号200公会100</x:v>
      </x:c>
      <x:c r="H194" s="4" t="str">
        <x:v>发放上限账号200公会100</x:v>
      </x:c>
      <x:c r="I194" s="4" t="str">
        <x:v>1. 已登录公会长账号
2. 单账号月剩余200，公会月剩余100</x:v>
      </x:c>
      <x:c r="J194" s="4" t="str">
        <x:v>1. 进入「创建运营账号」页
2. 查看发放上限账号200公会100</x:v>
      </x:c>
      <x:c r="K194" s="4" t="str">
        <x:v>本次可发上限为100</x:v>
      </x:c>
      <x:c r="L194" s="4" t="str"/>
      <x:c r="M194" s="4" t="str">
        <x:v>未测</x:v>
      </x:c>
      <x:c r="N194" s="4" t="str"/>
      <x:c r="O194" s="4" t="str">
        <x:v>1. 来源：MainBasis/统一需求文档.md；G-guild-operation-account-compose-007
2. 场景：SC-f8af927c278fc2</x:v>
      </x:c>
    </x:row>
    <x:row r="195" ht="54" customHeight="1">
      <x:c r="A195" s="4" t="n">
        <x:v>194</x:v>
      </x:c>
      <x:c r="B195" s="4" t="str">
        <x:v>GUILD-0194</x:v>
      </x:c>
      <x:c r="C195" s="4" t="str">
        <x:v>M09 运营账号、虚拟金币与公会消息</x:v>
      </x:c>
      <x:c r="D195" s="4" t="str">
        <x:v>创建运营账号（公会长视角）</x:v>
      </x:c>
      <x:c r="E195" s="4" t="str">
        <x:v>功能需求</x:v>
      </x:c>
      <x:c r="F195" s="4" t="str">
        <x:v>P1</x:v>
      </x:c>
      <x:c r="G195" s="4" t="str">
        <x:v>验证发放上限账号100公会100</x:v>
      </x:c>
      <x:c r="H195" s="4" t="str">
        <x:v>发放上限账号100公会100</x:v>
      </x:c>
      <x:c r="I195" s="4" t="str">
        <x:v>1. 已登录公会长账号
2. 单账号月剩余100，公会月剩余100</x:v>
      </x:c>
      <x:c r="J195" s="4" t="str">
        <x:v>1. 进入「创建运营账号」页
2. 查看发放上限账号100公会100</x:v>
      </x:c>
      <x:c r="K195" s="4" t="str">
        <x:v>本次可发上限为100</x:v>
      </x:c>
      <x:c r="L195" s="4" t="str"/>
      <x:c r="M195" s="4" t="str">
        <x:v>未测</x:v>
      </x:c>
      <x:c r="N195" s="4" t="str"/>
      <x:c r="O195" s="4" t="str">
        <x:v>1. 来源：MainBasis/统一需求文档.md；G-guild-operation-account-compose-007
2. 场景：SC-0906a6e42be056</x:v>
      </x:c>
    </x:row>
    <x:row r="196" ht="82" customHeight="1">
      <x:c r="A196" s="4" t="n">
        <x:v>195</x:v>
      </x:c>
      <x:c r="B196" s="4" t="str">
        <x:v>GUILD-0195</x:v>
      </x:c>
      <x:c r="C196" s="4" t="str">
        <x:v>M09 运营账号、虚拟金币与公会消息</x:v>
      </x:c>
      <x:c r="D196" s="4" t="str">
        <x:v>创建运营账号（公会长视角）</x:v>
      </x:c>
      <x:c r="E196" s="4" t="str">
        <x:v>功能需求</x:v>
      </x:c>
      <x:c r="F196" s="4" t="str">
        <x:v>P1</x:v>
      </x:c>
      <x:c r="G196" s="4" t="str">
        <x:v>验证初始发放-1</x:v>
      </x:c>
      <x:c r="H196" s="4" t="str">
        <x:v>初始发放-1</x:v>
      </x:c>
      <x:c r="I196" s="4" t="str">
        <x:v>1. 已登录公会长账号
2. 本次可发上限100，其他创建字段合法</x:v>
      </x:c>
      <x:c r="J196" s="4" t="str">
        <x:v>1. 进入「创建运营账号」页
2. 填写发放金币-1
3. 确认创建</x:v>
      </x:c>
      <x:c r="K196" s="4" t="str">
        <x:v>金额越界，不能创建</x:v>
      </x:c>
      <x:c r="L196" s="4" t="str"/>
      <x:c r="M196" s="4" t="str">
        <x:v>未测</x:v>
      </x:c>
      <x:c r="N196" s="4" t="str"/>
      <x:c r="O196" s="4" t="str">
        <x:v>1. 来源：MainBasis/统一需求文档.md；G-guild-operation-account-compose-005、G-guild-operation-account-compose-008、G-guild-operation-account-compose-009
2. 场景：SC-bf716aeeba654f</x:v>
      </x:c>
    </x:row>
    <x:row r="197" ht="82" customHeight="1">
      <x:c r="A197" s="4" t="n">
        <x:v>196</x:v>
      </x:c>
      <x:c r="B197" s="4" t="str">
        <x:v>GUILD-0196</x:v>
      </x:c>
      <x:c r="C197" s="4" t="str">
        <x:v>M09 运营账号、虚拟金币与公会消息</x:v>
      </x:c>
      <x:c r="D197" s="4" t="str">
        <x:v>创建运营账号（公会长视角）</x:v>
      </x:c>
      <x:c r="E197" s="4" t="str">
        <x:v>功能需求</x:v>
      </x:c>
      <x:c r="F197" s="4" t="str">
        <x:v>P1</x:v>
      </x:c>
      <x:c r="G197" s="4" t="str">
        <x:v>验证初始发放0</x:v>
      </x:c>
      <x:c r="H197" s="4" t="str">
        <x:v>初始发放0</x:v>
      </x:c>
      <x:c r="I197" s="4" t="str">
        <x:v>1. 已登录公会长账号
2. 本次可发上限100，其他创建字段合法</x:v>
      </x:c>
      <x:c r="J197" s="4" t="str">
        <x:v>1. 进入「创建运营账号」页
2. 填写发放金币0
3. 确认创建</x:v>
      </x:c>
      <x:c r="K197" s="4" t="str">
        <x:v>账号创建并发放0虚拟金币</x:v>
      </x:c>
      <x:c r="L197" s="4" t="str"/>
      <x:c r="M197" s="4" t="str">
        <x:v>未测</x:v>
      </x:c>
      <x:c r="N197" s="4" t="str"/>
      <x:c r="O197" s="4" t="str">
        <x:v>1. 来源：MainBasis/统一需求文档.md；G-guild-operation-account-compose-005、G-guild-operation-account-compose-008、G-guild-operation-account-compose-009
2. 场景：SC-52ae05e6dbcbaf</x:v>
      </x:c>
    </x:row>
    <x:row r="198" ht="82" customHeight="1">
      <x:c r="A198" s="4" t="n">
        <x:v>197</x:v>
      </x:c>
      <x:c r="B198" s="4" t="str">
        <x:v>GUILD-0197</x:v>
      </x:c>
      <x:c r="C198" s="4" t="str">
        <x:v>M09 运营账号、虚拟金币与公会消息</x:v>
      </x:c>
      <x:c r="D198" s="4" t="str">
        <x:v>创建运营账号（公会长视角）</x:v>
      </x:c>
      <x:c r="E198" s="4" t="str">
        <x:v>功能需求</x:v>
      </x:c>
      <x:c r="F198" s="4" t="str">
        <x:v>P1</x:v>
      </x:c>
      <x:c r="G198" s="4" t="str">
        <x:v>验证初始发放99</x:v>
      </x:c>
      <x:c r="H198" s="4" t="str">
        <x:v>初始发放99</x:v>
      </x:c>
      <x:c r="I198" s="4" t="str">
        <x:v>1. 已登录公会长账号
2. 本次可发上限100，其他创建字段合法</x:v>
      </x:c>
      <x:c r="J198" s="4" t="str">
        <x:v>1. 进入「创建运营账号」页
2. 填写发放金币99
3. 确认创建</x:v>
      </x:c>
      <x:c r="K198" s="4" t="str">
        <x:v>账号创建并发放99虚拟金币</x:v>
      </x:c>
      <x:c r="L198" s="4" t="str"/>
      <x:c r="M198" s="4" t="str">
        <x:v>未测</x:v>
      </x:c>
      <x:c r="N198" s="4" t="str"/>
      <x:c r="O198" s="4" t="str">
        <x:v>1. 来源：MainBasis/统一需求文档.md；G-guild-operation-account-compose-005、G-guild-operation-account-compose-008、G-guild-operation-account-compose-009
2. 场景：SC-426d757b372b68</x:v>
      </x:c>
    </x:row>
    <x:row r="199" ht="82" customHeight="1">
      <x:c r="A199" s="4" t="n">
        <x:v>198</x:v>
      </x:c>
      <x:c r="B199" s="4" t="str">
        <x:v>GUILD-0198</x:v>
      </x:c>
      <x:c r="C199" s="4" t="str">
        <x:v>M09 运营账号、虚拟金币与公会消息</x:v>
      </x:c>
      <x:c r="D199" s="4" t="str">
        <x:v>创建运营账号（公会长视角）</x:v>
      </x:c>
      <x:c r="E199" s="4" t="str">
        <x:v>功能需求</x:v>
      </x:c>
      <x:c r="F199" s="4" t="str">
        <x:v>P1</x:v>
      </x:c>
      <x:c r="G199" s="4" t="str">
        <x:v>验证初始发放100</x:v>
      </x:c>
      <x:c r="H199" s="4" t="str">
        <x:v>初始发放100</x:v>
      </x:c>
      <x:c r="I199" s="4" t="str">
        <x:v>1. 已登录公会长账号
2. 本次可发上限100，其他创建字段合法</x:v>
      </x:c>
      <x:c r="J199" s="4" t="str">
        <x:v>1. 进入「创建运营账号」页
2. 填写发放金币100
3. 确认创建</x:v>
      </x:c>
      <x:c r="K199" s="4" t="str">
        <x:v>账号创建并发放100虚拟金币</x:v>
      </x:c>
      <x:c r="L199" s="4" t="str"/>
      <x:c r="M199" s="4" t="str">
        <x:v>未测</x:v>
      </x:c>
      <x:c r="N199" s="4" t="str"/>
      <x:c r="O199" s="4" t="str">
        <x:v>1. 来源：MainBasis/统一需求文档.md；G-guild-operation-account-compose-005、G-guild-operation-account-compose-008、G-guild-operation-account-compose-009
2. 场景：SC-c7ce10da36be87</x:v>
      </x:c>
    </x:row>
    <x:row r="200" ht="82" customHeight="1">
      <x:c r="A200" s="4" t="n">
        <x:v>199</x:v>
      </x:c>
      <x:c r="B200" s="4" t="str">
        <x:v>GUILD-0199</x:v>
      </x:c>
      <x:c r="C200" s="4" t="str">
        <x:v>M09 运营账号、虚拟金币与公会消息</x:v>
      </x:c>
      <x:c r="D200" s="4" t="str">
        <x:v>创建运营账号（公会长视角）</x:v>
      </x:c>
      <x:c r="E200" s="4" t="str">
        <x:v>功能需求</x:v>
      </x:c>
      <x:c r="F200" s="4" t="str">
        <x:v>P1</x:v>
      </x:c>
      <x:c r="G200" s="4" t="str">
        <x:v>验证初始发放101</x:v>
      </x:c>
      <x:c r="H200" s="4" t="str">
        <x:v>初始发放101</x:v>
      </x:c>
      <x:c r="I200" s="4" t="str">
        <x:v>1. 已登录公会长账号
2. 本次可发上限100，其他创建字段合法</x:v>
      </x:c>
      <x:c r="J200" s="4" t="str">
        <x:v>1. 进入「创建运营账号」页
2. 填写发放金币101
3. 确认创建</x:v>
      </x:c>
      <x:c r="K200" s="4" t="str">
        <x:v>金额越界，不能创建</x:v>
      </x:c>
      <x:c r="L200" s="4" t="str"/>
      <x:c r="M200" s="4" t="str">
        <x:v>未测</x:v>
      </x:c>
      <x:c r="N200" s="4" t="str"/>
      <x:c r="O200" s="4" t="str">
        <x:v>1. 来源：MainBasis/统一需求文档.md；G-guild-operation-account-compose-005、G-guild-operation-account-compose-008、G-guild-operation-account-compose-009
2. 场景：SC-c15ad4b0ea905e</x:v>
      </x:c>
    </x:row>
    <x:row r="201" ht="82" customHeight="1">
      <x:c r="A201" s="4" t="n">
        <x:v>200</x:v>
      </x:c>
      <x:c r="B201" s="4" t="str">
        <x:v>GUILD-0200</x:v>
      </x:c>
      <x:c r="C201" s="4" t="str">
        <x:v>M09 运营账号、虚拟金币与公会消息</x:v>
      </x:c>
      <x:c r="D201" s="4" t="str">
        <x:v>创建运营账号（公会长视角）</x:v>
      </x:c>
      <x:c r="E201" s="4" t="str">
        <x:v>功能需求</x:v>
      </x:c>
      <x:c r="F201" s="4" t="str">
        <x:v>P1</x:v>
      </x:c>
      <x:c r="G201" s="4" t="str">
        <x:v>验证创建默认发放0</x:v>
      </x:c>
      <x:c r="H201" s="4" t="str">
        <x:v>创建默认发放0</x:v>
      </x:c>
      <x:c r="I201" s="4" t="str">
        <x:v>1. 已登录公会长账号</x:v>
      </x:c>
      <x:c r="J201" s="4" t="str">
        <x:v>1. 进入「创建运营账号」页
2. 查看创建默认发放0</x:v>
      </x:c>
      <x:c r="K201" s="4" t="str">
        <x:v>发放金币初始值为0</x:v>
      </x:c>
      <x:c r="L201" s="4" t="str"/>
      <x:c r="M201" s="4" t="str">
        <x:v>未测</x:v>
      </x:c>
      <x:c r="N201" s="4" t="str"/>
      <x:c r="O201" s="4" t="str">
        <x:v>1. 来源：MainBasis/统一需求文档.md；G-guild-operation-account-compose-005、G-guild-operation-account-compose-008、G-guild-operation-account-compose-009
2. 场景：SC-40a53097d2cef7</x:v>
      </x:c>
    </x:row>
    <x:row r="202" ht="54" customHeight="1">
      <x:c r="A202" s="4" t="n">
        <x:v>201</x:v>
      </x:c>
      <x:c r="B202" s="4" t="str">
        <x:v>GUILD-0201</x:v>
      </x:c>
      <x:c r="C202" s="4" t="str">
        <x:v>M09 运营账号、虚拟金币与公会消息</x:v>
      </x:c>
      <x:c r="D202" s="4" t="str">
        <x:v>创建运营账号（公会长视角）</x:v>
      </x:c>
      <x:c r="E202" s="4" t="str">
        <x:v>功能需求</x:v>
      </x:c>
      <x:c r="F202" s="4" t="str">
        <x:v>P1</x:v>
      </x:c>
      <x:c r="G202" s="4" t="str">
        <x:v>验证运营账号默认启用</x:v>
      </x:c>
      <x:c r="H202" s="4" t="str">
        <x:v>运营账号默认启用</x:v>
      </x:c>
      <x:c r="I202" s="4" t="str">
        <x:v>1. 已登录公会长账号</x:v>
      </x:c>
      <x:c r="J202" s="4" t="str">
        <x:v>1. 进入「创建运营账号」页
2. 查看运营账号默认启用</x:v>
      </x:c>
      <x:c r="K202" s="4" t="str">
        <x:v>账号状态默认启用</x:v>
      </x:c>
      <x:c r="L202" s="4" t="str"/>
      <x:c r="M202" s="4" t="str">
        <x:v>未测</x:v>
      </x:c>
      <x:c r="N202" s="4" t="str"/>
      <x:c r="O202" s="4" t="str">
        <x:v>1. 来源：MainBasis/统一需求文档.md；G-guild-operation-account-compose-006
2. 场景：SC-fefdbce5c9bd54</x:v>
      </x:c>
    </x:row>
    <x:row r="203" ht="54" customHeight="1">
      <x:c r="A203" s="4" t="n">
        <x:v>202</x:v>
      </x:c>
      <x:c r="B203" s="4" t="str">
        <x:v>GUILD-0202</x:v>
      </x:c>
      <x:c r="C203" s="4" t="str">
        <x:v>M09 运营账号、虚拟金币与公会消息</x:v>
      </x:c>
      <x:c r="D203" s="4" t="str">
        <x:v>创建运营账号（公会长视角）</x:v>
      </x:c>
      <x:c r="E203" s="4" t="str">
        <x:v>异常用例</x:v>
      </x:c>
      <x:c r="F203" s="4" t="str">
        <x:v>P1</x:v>
      </x:c>
      <x:c r="G203" s="4" t="str">
        <x:v>验证头像缺失限制</x:v>
      </x:c>
      <x:c r="H203" s="4" t="str">
        <x:v>头像缺失限制</x:v>
      </x:c>
      <x:c r="I203" s="4" t="str">
        <x:v>1. 已登录公会长账号
2. 其他必填字段为合法值</x:v>
      </x:c>
      <x:c r="J203" s="4" t="str">
        <x:v>1. 进入「创建运营账号」页
2. 清空「头像」
3. 点击「确认创建」</x:v>
      </x:c>
      <x:c r="K203" s="4" t="str">
        <x:v>头像未填写，无法确认创建</x:v>
      </x:c>
      <x:c r="L203" s="4" t="str"/>
      <x:c r="M203" s="4" t="str">
        <x:v>未测</x:v>
      </x:c>
      <x:c r="N203" s="4" t="str"/>
      <x:c r="O203" s="4" t="str">
        <x:v>1. 来源：MainBasis/统一需求文档.md；G-guild-operation-account-compose-001
2. 场景：SC-f180bb2fd5a9f3</x:v>
      </x:c>
    </x:row>
    <x:row r="204" ht="54" customHeight="1">
      <x:c r="A204" s="4" t="n">
        <x:v>203</x:v>
      </x:c>
      <x:c r="B204" s="4" t="str">
        <x:v>GUILD-0203</x:v>
      </x:c>
      <x:c r="C204" s="4" t="str">
        <x:v>M09 运营账号、虚拟金币与公会消息</x:v>
      </x:c>
      <x:c r="D204" s="4" t="str">
        <x:v>创建运营账号（公会长视角）</x:v>
      </x:c>
      <x:c r="E204" s="4" t="str">
        <x:v>功能需求</x:v>
      </x:c>
      <x:c r="F204" s="4" t="str">
        <x:v>P1</x:v>
      </x:c>
      <x:c r="G204" s="4" t="str">
        <x:v>验证运营头像JPG</x:v>
      </x:c>
      <x:c r="H204" s="4" t="str">
        <x:v>运营头像JPG</x:v>
      </x:c>
      <x:c r="I204" s="4" t="str">
        <x:v>1. 已登录公会长账号
2. 其他必填字段合法</x:v>
      </x:c>
      <x:c r="J204" s="4" t="str">
        <x:v>1. 进入「创建运营账号」页
2. 选择可读取JPG头像
3. 确认创建</x:v>
      </x:c>
      <x:c r="K204" s="4" t="str">
        <x:v>创建成功，使用所选头像</x:v>
      </x:c>
      <x:c r="L204" s="4" t="str"/>
      <x:c r="M204" s="4" t="str">
        <x:v>未测</x:v>
      </x:c>
      <x:c r="N204" s="4" t="str"/>
      <x:c r="O204" s="4" t="str">
        <x:v>1. 来源：MainBasis/统一需求文档.md；G-guild-operation-account-compose-001
2. 场景：SC-783a5f7df9f856</x:v>
      </x:c>
    </x:row>
    <x:row r="205" ht="54" customHeight="1">
      <x:c r="A205" s="4" t="n">
        <x:v>204</x:v>
      </x:c>
      <x:c r="B205" s="4" t="str">
        <x:v>GUILD-0204</x:v>
      </x:c>
      <x:c r="C205" s="4" t="str">
        <x:v>M09 运营账号、虚拟金币与公会消息</x:v>
      </x:c>
      <x:c r="D205" s="4" t="str">
        <x:v>创建运营账号（公会长视角）</x:v>
      </x:c>
      <x:c r="E205" s="4" t="str">
        <x:v>功能需求</x:v>
      </x:c>
      <x:c r="F205" s="4" t="str">
        <x:v>P1</x:v>
      </x:c>
      <x:c r="G205" s="4" t="str">
        <x:v>验证运营头像PNG</x:v>
      </x:c>
      <x:c r="H205" s="4" t="str">
        <x:v>运营头像PNG</x:v>
      </x:c>
      <x:c r="I205" s="4" t="str">
        <x:v>1. 已登录公会长账号
2. 其他必填字段合法</x:v>
      </x:c>
      <x:c r="J205" s="4" t="str">
        <x:v>1. 进入「创建运营账号」页
2. 选择可读取PNG头像
3. 确认创建</x:v>
      </x:c>
      <x:c r="K205" s="4" t="str">
        <x:v>创建成功，使用所选头像</x:v>
      </x:c>
      <x:c r="L205" s="4" t="str"/>
      <x:c r="M205" s="4" t="str">
        <x:v>未测</x:v>
      </x:c>
      <x:c r="N205" s="4" t="str"/>
      <x:c r="O205" s="4" t="str">
        <x:v>1. 来源：MainBasis/统一需求文档.md；G-guild-operation-account-compose-001
2. 场景：SC-2a939448839d1c</x:v>
      </x:c>
    </x:row>
    <x:row r="206" ht="54" customHeight="1">
      <x:c r="A206" s="4" t="n">
        <x:v>205</x:v>
      </x:c>
      <x:c r="B206" s="4" t="str">
        <x:v>GUILD-0205</x:v>
      </x:c>
      <x:c r="C206" s="4" t="str">
        <x:v>M09 运营账号、虚拟金币与公会消息</x:v>
      </x:c>
      <x:c r="D206" s="4" t="str">
        <x:v>创建运营账号（公会长视角）</x:v>
      </x:c>
      <x:c r="E206" s="4" t="str">
        <x:v>功能需求</x:v>
      </x:c>
      <x:c r="F206" s="4" t="str">
        <x:v>P1</x:v>
      </x:c>
      <x:c r="G206" s="4" t="str">
        <x:v>验证运营头像WebP</x:v>
      </x:c>
      <x:c r="H206" s="4" t="str">
        <x:v>运营头像WebP</x:v>
      </x:c>
      <x:c r="I206" s="4" t="str">
        <x:v>1. 已登录公会长账号
2. 其他必填字段合法</x:v>
      </x:c>
      <x:c r="J206" s="4" t="str">
        <x:v>1. 进入「创建运营账号」页
2. 选择可读取WebP头像
3. 确认创建</x:v>
      </x:c>
      <x:c r="K206" s="4" t="str">
        <x:v>创建成功，使用所选头像</x:v>
      </x:c>
      <x:c r="L206" s="4" t="str"/>
      <x:c r="M206" s="4" t="str">
        <x:v>未测</x:v>
      </x:c>
      <x:c r="N206" s="4" t="str"/>
      <x:c r="O206" s="4" t="str">
        <x:v>1. 来源：MainBasis/统一需求文档.md；G-guild-operation-account-compose-001
2. 场景：SC-84edb70231395d</x:v>
      </x:c>
    </x:row>
    <x:row r="207" ht="96" customHeight="1">
      <x:c r="A207" s="4" t="n">
        <x:v>206</x:v>
      </x:c>
      <x:c r="B207" s="4" t="str">
        <x:v>GUILD-0206</x:v>
      </x:c>
      <x:c r="C207" s="4" t="str">
        <x:v>M09 运营账号、虚拟金币与公会消息</x:v>
      </x:c>
      <x:c r="D207" s="4" t="str">
        <x:v>运营账号主页（公会长视角）</x:v>
      </x:c>
      <x:c r="E207" s="4" t="str">
        <x:v>功能需求</x:v>
      </x:c>
      <x:c r="F207" s="4" t="str">
        <x:v>P1</x:v>
      </x:c>
      <x:c r="G207" s="4" t="str">
        <x:v>验证后续发放99边界</x:v>
      </x:c>
      <x:c r="H207" s="4" t="str">
        <x:v>后续发放99边界</x:v>
      </x:c>
      <x:c r="I207" s="4" t="str">
        <x:v>1. 已登录公会长账号
2. 公会可管理，账号启用，账号剩余100、公会剩余200</x:v>
      </x:c>
      <x:c r="J207" s="4" t="str">
        <x:v>1. 进入「运营账号主页」页
2. 发放99虚拟金币
3. 确认</x:v>
      </x:c>
      <x:c r="K207" s="4" t="str">
        <x:v>本月发放累计增加99</x:v>
      </x:c>
      <x:c r="L207" s="4" t="str">
        <x:v>FLOW-8D092CF2</x:v>
      </x:c>
      <x:c r="M207" s="4" t="str">
        <x:v>未测</x:v>
      </x:c>
      <x:c r="N207" s="4" t="str"/>
      <x:c r="O207" s="4" t="str">
        <x:v>1. 来源：MainBasis/统一需求文档.md；G-guild-operation-account-detail-007、A-admin-operation-guild-controls-003、A-admin-operation-guild-controls-004
2. 场景：SC-85b6ad8473c3c3
3. 状态转换：ST-7F58A6BD44DA</x:v>
      </x:c>
    </x:row>
    <x:row r="208" ht="96" customHeight="1">
      <x:c r="A208" s="4" t="n">
        <x:v>207</x:v>
      </x:c>
      <x:c r="B208" s="4" t="str">
        <x:v>GUILD-0207</x:v>
      </x:c>
      <x:c r="C208" s="4" t="str">
        <x:v>M09 运营账号、虚拟金币与公会消息</x:v>
      </x:c>
      <x:c r="D208" s="4" t="str">
        <x:v>运营账号主页（公会长视角）</x:v>
      </x:c>
      <x:c r="E208" s="4" t="str">
        <x:v>功能需求</x:v>
      </x:c>
      <x:c r="F208" s="4" t="str">
        <x:v>P1</x:v>
      </x:c>
      <x:c r="G208" s="4" t="str">
        <x:v>验证后续发放100边界</x:v>
      </x:c>
      <x:c r="H208" s="4" t="str">
        <x:v>后续发放100边界</x:v>
      </x:c>
      <x:c r="I208" s="4" t="str">
        <x:v>1. 已登录公会长账号
2. 公会可管理，账号启用，账号剩余100、公会剩余200</x:v>
      </x:c>
      <x:c r="J208" s="4" t="str">
        <x:v>1. 进入「运营账号主页」页
2. 发放100虚拟金币
3. 确认</x:v>
      </x:c>
      <x:c r="K208" s="4" t="str">
        <x:v>本月发放累计增加100</x:v>
      </x:c>
      <x:c r="L208" s="4" t="str">
        <x:v>FLOW-8D092CF2</x:v>
      </x:c>
      <x:c r="M208" s="4" t="str">
        <x:v>未测</x:v>
      </x:c>
      <x:c r="N208" s="4" t="str"/>
      <x:c r="O208" s="4" t="str">
        <x:v>1. 来源：MainBasis/统一需求文档.md；G-guild-operation-account-detail-007、A-admin-operation-guild-controls-003、A-admin-operation-guild-controls-004
2. 场景：SC-e70fae82195a00
3. 状态转换：ST-7F58A6BD44DA</x:v>
      </x:c>
    </x:row>
    <x:row r="209" ht="96" customHeight="1">
      <x:c r="A209" s="4" t="n">
        <x:v>208</x:v>
      </x:c>
      <x:c r="B209" s="4" t="str">
        <x:v>GUILD-0208</x:v>
      </x:c>
      <x:c r="C209" s="4" t="str">
        <x:v>M09 运营账号、虚拟金币与公会消息</x:v>
      </x:c>
      <x:c r="D209" s="4" t="str">
        <x:v>运营账号主页（公会长视角）</x:v>
      </x:c>
      <x:c r="E209" s="4" t="str">
        <x:v>功能需求</x:v>
      </x:c>
      <x:c r="F209" s="4" t="str">
        <x:v>P1</x:v>
      </x:c>
      <x:c r="G209" s="4" t="str">
        <x:v>验证后续发放101边界</x:v>
      </x:c>
      <x:c r="H209" s="4" t="str">
        <x:v>后续发放101边界</x:v>
      </x:c>
      <x:c r="I209" s="4" t="str">
        <x:v>1. 已登录公会长账号
2. 公会可管理，账号启用，账号剩余100、公会剩余200</x:v>
      </x:c>
      <x:c r="J209" s="4" t="str">
        <x:v>1. 进入「运营账号主页」页
2. 发放101虚拟金币
3. 确认</x:v>
      </x:c>
      <x:c r="K209" s="4" t="str">
        <x:v>超过本次额度，不能发放</x:v>
      </x:c>
      <x:c r="L209" s="4" t="str">
        <x:v>FLOW-8D092CF2</x:v>
      </x:c>
      <x:c r="M209" s="4" t="str">
        <x:v>未测</x:v>
      </x:c>
      <x:c r="N209" s="4" t="str"/>
      <x:c r="O209" s="4" t="str">
        <x:v>1. 来源：MainBasis/统一需求文档.md；G-guild-operation-account-detail-007、A-admin-operation-guild-controls-003、A-admin-operation-guild-controls-004
2. 场景：SC-b8e45d072e1a14
3. 状态转换：ST-7F58A6BD44DA</x:v>
      </x:c>
    </x:row>
    <x:row r="210" ht="68" customHeight="1">
      <x:c r="A210" s="4" t="n">
        <x:v>209</x:v>
      </x:c>
      <x:c r="B210" s="4" t="str">
        <x:v>GUILD-0209</x:v>
      </x:c>
      <x:c r="C210" s="4" t="str">
        <x:v>M09 运营账号、虚拟金币与公会消息</x:v>
      </x:c>
      <x:c r="D210" s="4" t="str">
        <x:v>运营账号主页（公会长视角）</x:v>
      </x:c>
      <x:c r="E210" s="4" t="str">
        <x:v>功能需求</x:v>
      </x:c>
      <x:c r="F210" s="4" t="str">
        <x:v>P1</x:v>
      </x:c>
      <x:c r="G210" s="4" t="str">
        <x:v>验证平台锁定不能启停或发币</x:v>
      </x:c>
      <x:c r="H210" s="4" t="str">
        <x:v>平台锁定不能启停或发币</x:v>
      </x:c>
      <x:c r="I210" s="4" t="str">
        <x:v>1. 已登录公会长账号
2. 平台已锁定当前运营账号的公会管理权限</x:v>
      </x:c>
      <x:c r="J210" s="4" t="str">
        <x:v>1. 进入「运营账号主页」页
2. 查看平台锁定不能启停或发币</x:v>
      </x:c>
      <x:c r="K210" s="4" t="str">
        <x:v>详情仅可查看，启停与发放不可用</x:v>
      </x:c>
      <x:c r="L210" s="4" t="str"/>
      <x:c r="M210" s="4" t="str">
        <x:v>未测</x:v>
      </x:c>
      <x:c r="N210" s="4" t="str"/>
      <x:c r="O210" s="4" t="str">
        <x:v>1. 来源：MainBasis/统一需求文档.md；G-guild-operation-account-detail-006、D-SYS-180
2. 场景：SC-bb6a7414abf55e</x:v>
      </x:c>
    </x:row>
    <x:row r="211" ht="68" customHeight="1">
      <x:c r="A211" s="4" t="n">
        <x:v>210</x:v>
      </x:c>
      <x:c r="B211" s="4" t="str">
        <x:v>GUILD-0210</x:v>
      </x:c>
      <x:c r="C211" s="4" t="str">
        <x:v>M09 运营账号、虚拟金币与公会消息</x:v>
      </x:c>
      <x:c r="D211" s="4" t="str">
        <x:v>运营账号主页（公会长视角）</x:v>
      </x:c>
      <x:c r="E211" s="4" t="str">
        <x:v>功能需求</x:v>
      </x:c>
      <x:c r="F211" s="4" t="str">
        <x:v>P1</x:v>
      </x:c>
      <x:c r="G211" s="4" t="str">
        <x:v>验证运营账号禁用</x:v>
      </x:c>
      <x:c r="H211" s="4" t="str">
        <x:v>运营账号禁用</x:v>
      </x:c>
      <x:c r="I211" s="4" t="str">
        <x:v>1. 已登录公会长账号
2. 账号当前状态与待操作相反，虚拟余额100，历史记录存在</x:v>
      </x:c>
      <x:c r="J211" s="4" t="str">
        <x:v>1. 进入「运营账号主页」页
2. 选择禁用
3. 确认</x:v>
      </x:c>
      <x:c r="K211" s="4" t="str">
        <x:v>禁止登录和送礼，余额100与历史记录保留</x:v>
      </x:c>
      <x:c r="L211" s="4" t="str">
        <x:v>FLOW-9DD46CA2</x:v>
      </x:c>
      <x:c r="M211" s="4" t="str">
        <x:v>未测</x:v>
      </x:c>
      <x:c r="N211" s="4" t="str"/>
      <x:c r="O211" s="4" t="str">
        <x:v>1. 来源：MainBasis/统一需求文档.md；G-guild-operation-account-detail-005
2. 场景：SC-71c8c466c5b7a9
3. 状态转换：ST-D3D833CE3E86</x:v>
      </x:c>
    </x:row>
    <x:row r="212" ht="68" customHeight="1">
      <x:c r="A212" s="4" t="n">
        <x:v>211</x:v>
      </x:c>
      <x:c r="B212" s="4" t="str">
        <x:v>GUILD-0211</x:v>
      </x:c>
      <x:c r="C212" s="4" t="str">
        <x:v>M09 运营账号、虚拟金币与公会消息</x:v>
      </x:c>
      <x:c r="D212" s="4" t="str">
        <x:v>运营账号主页（公会长视角）</x:v>
      </x:c>
      <x:c r="E212" s="4" t="str">
        <x:v>功能需求</x:v>
      </x:c>
      <x:c r="F212" s="4" t="str">
        <x:v>P1</x:v>
      </x:c>
      <x:c r="G212" s="4" t="str">
        <x:v>验证运营账号启用</x:v>
      </x:c>
      <x:c r="H212" s="4" t="str">
        <x:v>运营账号启用</x:v>
      </x:c>
      <x:c r="I212" s="4" t="str">
        <x:v>1. 已登录公会长账号
2. 账号当前状态与待操作相反，虚拟余额100，历史记录存在</x:v>
      </x:c>
      <x:c r="J212" s="4" t="str">
        <x:v>1. 进入「运营账号主页」页
2. 选择启用
3. 确认</x:v>
      </x:c>
      <x:c r="K212" s="4" t="str">
        <x:v>恢复账号使用，余额100与历史记录保留</x:v>
      </x:c>
      <x:c r="L212" s="4" t="str">
        <x:v>FLOW-9DD46CA2</x:v>
      </x:c>
      <x:c r="M212" s="4" t="str">
        <x:v>未测</x:v>
      </x:c>
      <x:c r="N212" s="4" t="str"/>
      <x:c r="O212" s="4" t="str">
        <x:v>1. 来源：MainBasis/统一需求文档.md；G-guild-operation-account-detail-005
2. 场景：SC-e17051f70df5db
3. 状态转换：ST-B60C46B3F3CF</x:v>
      </x:c>
    </x:row>
    <x:row r="213" ht="96" customHeight="1">
      <x:c r="A213" s="4" t="n">
        <x:v>212</x:v>
      </x:c>
      <x:c r="B213" s="4" t="str">
        <x:v>GUILD-0212</x:v>
      </x:c>
      <x:c r="C213" s="4" t="str">
        <x:v>M09 运营账号、虚拟金币与公会消息</x:v>
      </x:c>
      <x:c r="D213" s="4" t="str">
        <x:v>运营账号主页（公会长视角）</x:v>
      </x:c>
      <x:c r="E213" s="4" t="str">
        <x:v>逻辑校验</x:v>
      </x:c>
      <x:c r="F213" s="4" t="str">
        <x:v>P1</x:v>
      </x:c>
      <x:c r="G213" s="4" t="str">
        <x:v>验证运营余额发放减消费</x:v>
      </x:c>
      <x:c r="H213" s="4" t="str">
        <x:v>运营余额发放减消费</x:v>
      </x:c>
      <x:c r="I213" s="4" t="str">
        <x:v>1. 已登录公会长账号
2. 累计成功发放100，成功消费30，失败赠礼20</x:v>
      </x:c>
      <x:c r="J213" s="4" t="str">
        <x:v>1. 进入「运营账号主页」页
2. 查看运营余额发放减消费</x:v>
      </x:c>
      <x:c r="K213" s="4" t="str">
        <x:v>账户余额 = 100 - 30 = 70虚拟金币</x:v>
      </x:c>
      <x:c r="L213" s="4" t="str"/>
      <x:c r="M213" s="4" t="str">
        <x:v>未测</x:v>
      </x:c>
      <x:c r="N213" s="4" t="str"/>
      <x:c r="O213" s="4" t="str">
        <x:v>1. 来源：MainBasis/统一需求文档.md；G-guild-operation-account-detail-003、A-admin-operation-accounts-003、A-admin-operation-accounts-004、A-admin-operation-account-detail-003、D-SYS-177
2. 场景：SC-eaef1df96d432f</x:v>
      </x:c>
    </x:row>
    <x:row r="214" ht="54" customHeight="1">
      <x:c r="A214" s="4" t="n">
        <x:v>213</x:v>
      </x:c>
      <x:c r="B214" s="4" t="str">
        <x:v>GUILD-0213</x:v>
      </x:c>
      <x:c r="C214" s="4" t="str">
        <x:v>M09 运营账号、虚拟金币与公会消息</x:v>
      </x:c>
      <x:c r="D214" s="4" t="str">
        <x:v>运营账号主页（公会长视角）</x:v>
      </x:c>
      <x:c r="E214" s="4" t="str">
        <x:v>功能需求</x:v>
      </x:c>
      <x:c r="F214" s="4" t="str">
        <x:v>P2</x:v>
      </x:c>
      <x:c r="G214" s="4" t="str">
        <x:v>验证首次进入默认本月</x:v>
      </x:c>
      <x:c r="H214" s="4" t="str">
        <x:v>首次进入默认本月</x:v>
      </x:c>
      <x:c r="I214" s="4" t="str">
        <x:v>1. 已登录公会长账号
2. 本次首次进入该页且无上游带入筛选</x:v>
      </x:c>
      <x:c r="J214" s="4" t="str">
        <x:v>1. 进入「运营账号主页」页
2. 查看首次进入默认本月</x:v>
      </x:c>
      <x:c r="K214" s="4" t="str">
        <x:v>日期范围默认本月</x:v>
      </x:c>
      <x:c r="L214" s="4" t="str"/>
      <x:c r="M214" s="4" t="str">
        <x:v>未测</x:v>
      </x:c>
      <x:c r="N214" s="4" t="str"/>
      <x:c r="O214" s="4" t="str">
        <x:v>1. 来源：MainBasis/统一需求文档.md；G-guild-operation-account-detail-002
2. 场景：SC-8bb7fc194db7d1</x:v>
      </x:c>
    </x:row>
    <x:row r="215" ht="54" customHeight="1">
      <x:c r="A215" s="4" t="n">
        <x:v>214</x:v>
      </x:c>
      <x:c r="B215" s="4" t="str">
        <x:v>GUILD-0214</x:v>
      </x:c>
      <x:c r="C215" s="4" t="str">
        <x:v>M09 运营账号、虚拟金币与公会消息</x:v>
      </x:c>
      <x:c r="D215" s="4" t="str">
        <x:v>运营账号主页（公会长视角）</x:v>
      </x:c>
      <x:c r="E215" s="4" t="str">
        <x:v>功能需求</x:v>
      </x:c>
      <x:c r="F215" s="4" t="str">
        <x:v>P2</x:v>
      </x:c>
      <x:c r="G215" s="4" t="str">
        <x:v>验证日期消费入口</x:v>
      </x:c>
      <x:c r="H215" s="4" t="str">
        <x:v>日期消费入口</x:v>
      </x:c>
      <x:c r="I215" s="4" t="str">
        <x:v>1. 已登录公会长账号</x:v>
      </x:c>
      <x:c r="J215" s="4" t="str">
        <x:v>1. 进入「运营账号主页」页
2. 点击「日期消费」</x:v>
      </x:c>
      <x:c r="K215" s="4" t="str">
        <x:v>页面进入「送礼记录并带入账号和日期」</x:v>
      </x:c>
      <x:c r="L215" s="4" t="str"/>
      <x:c r="M215" s="4" t="str">
        <x:v>未测</x:v>
      </x:c>
      <x:c r="N215" s="4" t="str"/>
      <x:c r="O215" s="4" t="str">
        <x:v>1. 来源：MainBasis/统一需求文档.md；G-guild-operation-account-detail-008
2. 场景：SC-61df0cd06b8d97</x:v>
      </x:c>
    </x:row>
    <x:row r="216" ht="54" customHeight="1">
      <x:c r="A216" s="4" t="n">
        <x:v>215</x:v>
      </x:c>
      <x:c r="B216" s="4" t="str">
        <x:v>GUILD-0215</x:v>
      </x:c>
      <x:c r="C216" s="4" t="str">
        <x:v>M09 运营账号、虚拟金币与公会消息</x:v>
      </x:c>
      <x:c r="D216" s="4" t="str">
        <x:v>运营账号主页（公会长视角）</x:v>
      </x:c>
      <x:c r="E216" s="4" t="str">
        <x:v>功能需求</x:v>
      </x:c>
      <x:c r="F216" s="4" t="str">
        <x:v>P1</x:v>
      </x:c>
      <x:c r="G216" s="4" t="str">
        <x:v>验证运营账户身份</x:v>
      </x:c>
      <x:c r="H216" s="4" t="str">
        <x:v>运营账户身份</x:v>
      </x:c>
      <x:c r="I216" s="4" t="str">
        <x:v>1. 已登录公会长账号
2. 本公会运营账号甲处于启用状态，已记录头像、名称与ID</x:v>
      </x:c>
      <x:c r="J216" s="4" t="str">
        <x:v>1. 进入「运营账号主页」页
2. 查看运营账户身份</x:v>
      </x:c>
      <x:c r="K216" s="4" t="str">
        <x:v>账号信息展示甲的头像、名称、ID及启用状态</x:v>
      </x:c>
      <x:c r="L216" s="4" t="str"/>
      <x:c r="M216" s="4" t="str">
        <x:v>未测</x:v>
      </x:c>
      <x:c r="N216" s="4" t="str"/>
      <x:c r="O216" s="4" t="str">
        <x:v>1. 来源：MainBasis/统一需求文档.md；G-guild-operation-account-detail-001
2. 场景：SC-038923b359b664</x:v>
      </x:c>
    </x:row>
    <x:row r="217" ht="68" customHeight="1">
      <x:c r="A217" s="4" t="n">
        <x:v>216</x:v>
      </x:c>
      <x:c r="B217" s="4" t="str">
        <x:v>GUILD-0216</x:v>
      </x:c>
      <x:c r="C217" s="4" t="str">
        <x:v>M09 运营账号、虚拟金币与公会消息</x:v>
      </x:c>
      <x:c r="D217" s="4" t="str">
        <x:v>送礼记录（公会长视角）</x:v>
      </x:c>
      <x:c r="E217" s="4" t="str">
        <x:v>逻辑校验</x:v>
      </x:c>
      <x:c r="F217" s="4" t="str">
        <x:v>P1</x:v>
      </x:c>
      <x:c r="G217" s="4" t="str">
        <x:v>验证运营赠礼数量和金额</x:v>
      </x:c>
      <x:c r="H217" s="4" t="str">
        <x:v>运营赠礼数量和金额</x:v>
      </x:c>
      <x:c r="I217" s="4" t="str">
        <x:v>1. 已登录公会长账号
2. 筛选范围两笔成功记录：单价10数量2、单价20数量3，另有失败记录</x:v>
      </x:c>
      <x:c r="J217" s="4" t="str">
        <x:v>1. 进入「送礼记录」页
2. 查看运营赠礼数量和金额</x:v>
      </x:c>
      <x:c r="K217" s="4" t="str">
        <x:v>总送礼次数2，总消费金币 = 10 × 2 + 20 × 3 = 80</x:v>
      </x:c>
      <x:c r="L217" s="4" t="str"/>
      <x:c r="M217" s="4" t="str">
        <x:v>未测</x:v>
      </x:c>
      <x:c r="N217" s="4" t="str"/>
      <x:c r="O217" s="4" t="str">
        <x:v>1. 来源：MainBasis/统一需求文档.md；G-guild-operation-gift-records-002
2. 场景：SC-8f036d92297eb0</x:v>
      </x:c>
    </x:row>
    <x:row r="218" ht="54" customHeight="1">
      <x:c r="A218" s="4" t="n">
        <x:v>217</x:v>
      </x:c>
      <x:c r="B218" s="4" t="str">
        <x:v>GUILD-0217</x:v>
      </x:c>
      <x:c r="C218" s="4" t="str">
        <x:v>M09 运营账号、虚拟金币与公会消息</x:v>
      </x:c>
      <x:c r="D218" s="4" t="str">
        <x:v>送礼记录（公会长视角）</x:v>
      </x:c>
      <x:c r="E218" s="4" t="str">
        <x:v>功能需求</x:v>
      </x:c>
      <x:c r="F218" s="4" t="str">
        <x:v>P2</x:v>
      </x:c>
      <x:c r="G218" s="4" t="str">
        <x:v>验证首次进入默认今日</x:v>
      </x:c>
      <x:c r="H218" s="4" t="str">
        <x:v>首次进入默认今日</x:v>
      </x:c>
      <x:c r="I218" s="4" t="str">
        <x:v>1. 已登录公会长账号
2. 本次首次进入该页且无上游带入筛选</x:v>
      </x:c>
      <x:c r="J218" s="4" t="str">
        <x:v>1. 进入「送礼记录」页
2. 查看首次进入默认今日</x:v>
      </x:c>
      <x:c r="K218" s="4" t="str">
        <x:v>日期范围默认今日</x:v>
      </x:c>
      <x:c r="L218" s="4" t="str"/>
      <x:c r="M218" s="4" t="str">
        <x:v>未测</x:v>
      </x:c>
      <x:c r="N218" s="4" t="str"/>
      <x:c r="O218" s="4" t="str">
        <x:v>1. 来源：MainBasis/统一需求文档.md；G-guild-operation-gift-records-001
2. 场景：SC-655e4a28e9f966</x:v>
      </x:c>
    </x:row>
    <x:row r="219" ht="54" customHeight="1">
      <x:c r="A219" s="4" t="n">
        <x:v>218</x:v>
      </x:c>
      <x:c r="B219" s="4" t="str">
        <x:v>GUILD-0218</x:v>
      </x:c>
      <x:c r="C219" s="4" t="str">
        <x:v>M09 运营账号、虚拟金币与公会消息</x:v>
      </x:c>
      <x:c r="D219" s="4" t="str">
        <x:v>送礼记录（公会长视角）</x:v>
      </x:c>
      <x:c r="E219" s="4" t="str">
        <x:v>功能需求</x:v>
      </x:c>
      <x:c r="F219" s="4" t="str">
        <x:v>P1</x:v>
      </x:c>
      <x:c r="G219" s="4" t="str">
        <x:v>验证运营送礼明细</x:v>
      </x:c>
      <x:c r="H219" s="4" t="str">
        <x:v>运营送礼明细</x:v>
      </x:c>
      <x:c r="I219" s="4" t="str">
        <x:v>1. 已登录公会长账号
2. 当前筛选有一笔成功赠礼</x:v>
      </x:c>
      <x:c r="J219" s="4" t="str">
        <x:v>1. 进入「送礼记录」页
2. 点击该记录</x:v>
      </x:c>
      <x:c r="K219" s="4" t="str">
        <x:v>打开该笔送礼详情</x:v>
      </x:c>
      <x:c r="L219" s="4" t="str"/>
      <x:c r="M219" s="4" t="str">
        <x:v>未测</x:v>
      </x:c>
      <x:c r="N219" s="4" t="str"/>
      <x:c r="O219" s="4" t="str">
        <x:v>1. 来源：MainBasis/统一需求文档.md；G-guild-operation-gift-records-006
2. 场景：SC-65eeeba5ed5084</x:v>
      </x:c>
    </x:row>
    <x:row r="220" ht="54" customHeight="1">
      <x:c r="A220" s="4" t="n">
        <x:v>219</x:v>
      </x:c>
      <x:c r="B220" s="4" t="str">
        <x:v>GUILD-0219</x:v>
      </x:c>
      <x:c r="C220" s="4" t="str">
        <x:v>M09 运营账号、虚拟金币与公会消息</x:v>
      </x:c>
      <x:c r="D220" s="4" t="str">
        <x:v>送礼记录（公会长视角）</x:v>
      </x:c>
      <x:c r="E220" s="4" t="str">
        <x:v>功能需求</x:v>
      </x:c>
      <x:c r="F220" s="4" t="str">
        <x:v>P1</x:v>
      </x:c>
      <x:c r="G220" s="4" t="str">
        <x:v>验证礼物名称与来源明细一致</x:v>
      </x:c>
      <x:c r="H220" s="4" t="str">
        <x:v>礼物名称与来源明细一致</x:v>
      </x:c>
      <x:c r="I220" s="4" t="str">
        <x:v>1. 已登录公会长账号
2. 已记录所选记录的礼物名称，无其他记录混入当前选择</x:v>
      </x:c>
      <x:c r="J220" s="4" t="str">
        <x:v>1. 进入「送礼记录」页
2. 查看礼物名称与来源明细一致</x:v>
      </x:c>
      <x:c r="K220" s="4" t="str">
        <x:v>礼物名称展示该记录对应值</x:v>
      </x:c>
      <x:c r="L220" s="4" t="str"/>
      <x:c r="M220" s="4" t="str">
        <x:v>未测</x:v>
      </x:c>
      <x:c r="N220" s="4" t="str"/>
      <x:c r="O220" s="4" t="str">
        <x:v>1. 来源：MainBasis/统一需求文档.md；G-guild-operation-gift-records-003
2. 场景：SC-8857a087043127</x:v>
      </x:c>
    </x:row>
    <x:row r="221" ht="54" customHeight="1">
      <x:c r="A221" s="4" t="n">
        <x:v>220</x:v>
      </x:c>
      <x:c r="B221" s="4" t="str">
        <x:v>GUILD-0220</x:v>
      </x:c>
      <x:c r="C221" s="4" t="str">
        <x:v>M09 运营账号、虚拟金币与公会消息</x:v>
      </x:c>
      <x:c r="D221" s="4" t="str">
        <x:v>送礼记录（公会长视角）</x:v>
      </x:c>
      <x:c r="E221" s="4" t="str">
        <x:v>功能需求</x:v>
      </x:c>
      <x:c r="F221" s="4" t="str">
        <x:v>P1</x:v>
      </x:c>
      <x:c r="G221" s="4" t="str">
        <x:v>验证赠送时间与来源明细一致</x:v>
      </x:c>
      <x:c r="H221" s="4" t="str">
        <x:v>赠送时间与来源明细一致</x:v>
      </x:c>
      <x:c r="I221" s="4" t="str">
        <x:v>1. 已登录公会长账号
2. 已记录所选记录的赠送时间，无其他记录混入当前选择</x:v>
      </x:c>
      <x:c r="J221" s="4" t="str">
        <x:v>1. 进入「送礼记录」页
2. 查看赠送时间与来源明细一致</x:v>
      </x:c>
      <x:c r="K221" s="4" t="str">
        <x:v>赠送时间展示该记录对应值</x:v>
      </x:c>
      <x:c r="L221" s="4" t="str"/>
      <x:c r="M221" s="4" t="str">
        <x:v>未测</x:v>
      </x:c>
      <x:c r="N221" s="4" t="str"/>
      <x:c r="O221" s="4" t="str">
        <x:v>1. 来源：MainBasis/统一需求文档.md；G-guild-operation-gift-records-003
2. 场景：SC-cff61c85b4f748</x:v>
      </x:c>
    </x:row>
    <x:row r="222" ht="54" customHeight="1">
      <x:c r="A222" s="4" t="n">
        <x:v>221</x:v>
      </x:c>
      <x:c r="B222" s="4" t="str">
        <x:v>GUILD-0221</x:v>
      </x:c>
      <x:c r="C222" s="4" t="str">
        <x:v>M09 运营账号、虚拟金币与公会消息</x:v>
      </x:c>
      <x:c r="D222" s="4" t="str">
        <x:v>送礼记录（公会长视角）</x:v>
      </x:c>
      <x:c r="E222" s="4" t="str">
        <x:v>功能需求</x:v>
      </x:c>
      <x:c r="F222" s="4" t="str">
        <x:v>P1</x:v>
      </x:c>
      <x:c r="G222" s="4" t="str">
        <x:v>验证消费金币与来源明细一致</x:v>
      </x:c>
      <x:c r="H222" s="4" t="str">
        <x:v>消费金币与来源明细一致</x:v>
      </x:c>
      <x:c r="I222" s="4" t="str">
        <x:v>1. 已登录公会长账号
2. 已记录所选记录的消费金币，无其他记录混入当前选择</x:v>
      </x:c>
      <x:c r="J222" s="4" t="str">
        <x:v>1. 进入「送礼记录」页
2. 查看消费金币与来源明细一致</x:v>
      </x:c>
      <x:c r="K222" s="4" t="str">
        <x:v>消费金币展示该记录对应值</x:v>
      </x:c>
      <x:c r="L222" s="4" t="str"/>
      <x:c r="M222" s="4" t="str">
        <x:v>未测</x:v>
      </x:c>
      <x:c r="N222" s="4" t="str"/>
      <x:c r="O222" s="4" t="str">
        <x:v>1. 来源：MainBasis/统一需求文档.md；G-guild-operation-gift-records-003
2. 场景：SC-278cd4f5fdd369</x:v>
      </x:c>
    </x:row>
    <x:row r="223" ht="54" customHeight="1">
      <x:c r="A223" s="4" t="n">
        <x:v>222</x:v>
      </x:c>
      <x:c r="B223" s="4" t="str">
        <x:v>GUILD-0222</x:v>
      </x:c>
      <x:c r="C223" s="4" t="str">
        <x:v>M09 运营账号、虚拟金币与公会消息</x:v>
      </x:c>
      <x:c r="D223" s="4" t="str">
        <x:v>送礼记录（公会长视角）</x:v>
      </x:c>
      <x:c r="E223" s="4" t="str">
        <x:v>功能需求</x:v>
      </x:c>
      <x:c r="F223" s="4" t="str">
        <x:v>P1</x:v>
      </x:c>
      <x:c r="G223" s="4" t="str">
        <x:v>验证赠送时间与来源明细一致</x:v>
      </x:c>
      <x:c r="H223" s="4" t="str">
        <x:v>赠送时间与来源明细一致</x:v>
      </x:c>
      <x:c r="I223" s="4" t="str">
        <x:v>1. 已登录公会长账号
2. 已记录所选记录的赠送时间，无其他记录混入当前选择</x:v>
      </x:c>
      <x:c r="J223" s="4" t="str">
        <x:v>1. 进入「送礼记录」页
2. 查看赠送时间与来源明细一致</x:v>
      </x:c>
      <x:c r="K223" s="4" t="str">
        <x:v>赠送时间展示该记录对应值</x:v>
      </x:c>
      <x:c r="L223" s="4" t="str"/>
      <x:c r="M223" s="4" t="str">
        <x:v>未测</x:v>
      </x:c>
      <x:c r="N223" s="4" t="str"/>
      <x:c r="O223" s="4" t="str">
        <x:v>1. 来源：MainBasis/统一需求文档.md；G-guild-operation-gift-records-004
2. 场景：SC-cff61c85b4f748</x:v>
      </x:c>
    </x:row>
    <x:row r="224" ht="54" customHeight="1">
      <x:c r="A224" s="4" t="n">
        <x:v>223</x:v>
      </x:c>
      <x:c r="B224" s="4" t="str">
        <x:v>GUILD-0223</x:v>
      </x:c>
      <x:c r="C224" s="4" t="str">
        <x:v>M09 运营账号、虚拟金币与公会消息</x:v>
      </x:c>
      <x:c r="D224" s="4" t="str">
        <x:v>送礼记录（公会长视角）</x:v>
      </x:c>
      <x:c r="E224" s="4" t="str">
        <x:v>功能需求</x:v>
      </x:c>
      <x:c r="F224" s="4" t="str">
        <x:v>P1</x:v>
      </x:c>
      <x:c r="G224" s="4" t="str">
        <x:v>验证礼物名称与来源明细一致</x:v>
      </x:c>
      <x:c r="H224" s="4" t="str">
        <x:v>礼物名称与来源明细一致</x:v>
      </x:c>
      <x:c r="I224" s="4" t="str">
        <x:v>1. 已登录公会长账号
2. 已记录所选记录的礼物名称，无其他记录混入当前选择</x:v>
      </x:c>
      <x:c r="J224" s="4" t="str">
        <x:v>1. 进入「送礼记录」页
2. 查看礼物名称与来源明细一致</x:v>
      </x:c>
      <x:c r="K224" s="4" t="str">
        <x:v>礼物名称展示该记录对应值</x:v>
      </x:c>
      <x:c r="L224" s="4" t="str"/>
      <x:c r="M224" s="4" t="str">
        <x:v>未测</x:v>
      </x:c>
      <x:c r="N224" s="4" t="str"/>
      <x:c r="O224" s="4" t="str">
        <x:v>1. 来源：MainBasis/统一需求文档.md；G-guild-operation-gift-records-004
2. 场景：SC-8857a087043127</x:v>
      </x:c>
    </x:row>
    <x:row r="225" ht="54" customHeight="1">
      <x:c r="A225" s="4" t="n">
        <x:v>224</x:v>
      </x:c>
      <x:c r="B225" s="4" t="str">
        <x:v>GUILD-0224</x:v>
      </x:c>
      <x:c r="C225" s="4" t="str">
        <x:v>M09 运营账号、虚拟金币与公会消息</x:v>
      </x:c>
      <x:c r="D225" s="4" t="str">
        <x:v>送礼记录（公会长视角）</x:v>
      </x:c>
      <x:c r="E225" s="4" t="str">
        <x:v>功能需求</x:v>
      </x:c>
      <x:c r="F225" s="4" t="str">
        <x:v>P1</x:v>
      </x:c>
      <x:c r="G225" s="4" t="str">
        <x:v>验证消费金币与来源明细一致</x:v>
      </x:c>
      <x:c r="H225" s="4" t="str">
        <x:v>消费金币与来源明细一致</x:v>
      </x:c>
      <x:c r="I225" s="4" t="str">
        <x:v>1. 已登录公会长账号
2. 已记录所选记录的消费金币，无其他记录混入当前选择</x:v>
      </x:c>
      <x:c r="J225" s="4" t="str">
        <x:v>1. 进入「送礼记录」页
2. 查看消费金币与来源明细一致</x:v>
      </x:c>
      <x:c r="K225" s="4" t="str">
        <x:v>消费金币展示该记录对应值</x:v>
      </x:c>
      <x:c r="L225" s="4" t="str"/>
      <x:c r="M225" s="4" t="str">
        <x:v>未测</x:v>
      </x:c>
      <x:c r="N225" s="4" t="str"/>
      <x:c r="O225" s="4" t="str">
        <x:v>1. 来源：MainBasis/统一需求文档.md；G-guild-operation-gift-records-004
2. 场景：SC-278cd4f5fdd369</x:v>
      </x:c>
    </x:row>
    <x:row r="226" ht="54" customHeight="1">
      <x:c r="A226" s="4" t="n">
        <x:v>225</x:v>
      </x:c>
      <x:c r="B226" s="4" t="str">
        <x:v>GUILD-0225</x:v>
      </x:c>
      <x:c r="C226" s="4" t="str">
        <x:v>M09 运营账号、虚拟金币与公会消息</x:v>
      </x:c>
      <x:c r="D226" s="4" t="str">
        <x:v>送礼记录（公会长视角）</x:v>
      </x:c>
      <x:c r="E226" s="4" t="str">
        <x:v>功能需求</x:v>
      </x:c>
      <x:c r="F226" s="4" t="str">
        <x:v>P1</x:v>
      </x:c>
      <x:c r="G226" s="4" t="str">
        <x:v>验证礼物单价与来源明细一致</x:v>
      </x:c>
      <x:c r="H226" s="4" t="str">
        <x:v>礼物单价与来源明细一致</x:v>
      </x:c>
      <x:c r="I226" s="4" t="str">
        <x:v>1. 已登录公会长账号
2. 已记录所选记录的礼物单价，无其他记录混入当前选择</x:v>
      </x:c>
      <x:c r="J226" s="4" t="str">
        <x:v>1. 进入「送礼记录」页
2. 查看礼物单价与来源明细一致</x:v>
      </x:c>
      <x:c r="K226" s="4" t="str">
        <x:v>礼物单价展示该记录对应值</x:v>
      </x:c>
      <x:c r="L226" s="4" t="str"/>
      <x:c r="M226" s="4" t="str">
        <x:v>未测</x:v>
      </x:c>
      <x:c r="N226" s="4" t="str"/>
      <x:c r="O226" s="4" t="str">
        <x:v>1. 来源：MainBasis/统一需求文档.md；G-guild-operation-gift-records-004
2. 场景：SC-48f30589572ab8</x:v>
      </x:c>
    </x:row>
    <x:row r="227" ht="54" customHeight="1">
      <x:c r="A227" s="4" t="n">
        <x:v>226</x:v>
      </x:c>
      <x:c r="B227" s="4" t="str">
        <x:v>GUILD-0226</x:v>
      </x:c>
      <x:c r="C227" s="4" t="str">
        <x:v>M09 运营账号、虚拟金币与公会消息</x:v>
      </x:c>
      <x:c r="D227" s="4" t="str">
        <x:v>送礼记录（公会长视角）</x:v>
      </x:c>
      <x:c r="E227" s="4" t="str">
        <x:v>功能需求</x:v>
      </x:c>
      <x:c r="F227" s="4" t="str">
        <x:v>P1</x:v>
      </x:c>
      <x:c r="G227" s="4" t="str">
        <x:v>验证礼物类型与来源明细一致</x:v>
      </x:c>
      <x:c r="H227" s="4" t="str">
        <x:v>礼物类型与来源明细一致</x:v>
      </x:c>
      <x:c r="I227" s="4" t="str">
        <x:v>1. 已登录公会长账号
2. 已记录所选记录的礼物类型，无其他记录混入当前选择</x:v>
      </x:c>
      <x:c r="J227" s="4" t="str">
        <x:v>1. 进入「送礼记录」页
2. 查看礼物类型与来源明细一致</x:v>
      </x:c>
      <x:c r="K227" s="4" t="str">
        <x:v>礼物类型展示该记录对应值</x:v>
      </x:c>
      <x:c r="L227" s="4" t="str"/>
      <x:c r="M227" s="4" t="str">
        <x:v>未测</x:v>
      </x:c>
      <x:c r="N227" s="4" t="str"/>
      <x:c r="O227" s="4" t="str">
        <x:v>1. 来源：MainBasis/统一需求文档.md；G-guild-operation-gift-records-004
2. 场景：SC-f0911a34239900</x:v>
      </x:c>
    </x:row>
    <x:row r="228" ht="54" customHeight="1">
      <x:c r="A228" s="4" t="n">
        <x:v>227</x:v>
      </x:c>
      <x:c r="B228" s="4" t="str">
        <x:v>GUILD-0227</x:v>
      </x:c>
      <x:c r="C228" s="4" t="str">
        <x:v>M09 运营账号、虚拟金币与公会消息</x:v>
      </x:c>
      <x:c r="D228" s="4" t="str">
        <x:v>送礼记录（公会长视角）</x:v>
      </x:c>
      <x:c r="E228" s="4" t="str">
        <x:v>功能需求</x:v>
      </x:c>
      <x:c r="F228" s="4" t="str">
        <x:v>P1</x:v>
      </x:c>
      <x:c r="G228" s="4" t="str">
        <x:v>验证赠送数量与来源明细一致</x:v>
      </x:c>
      <x:c r="H228" s="4" t="str">
        <x:v>赠送数量与来源明细一致</x:v>
      </x:c>
      <x:c r="I228" s="4" t="str">
        <x:v>1. 已登录公会长账号
2. 已记录所选记录的赠送数量，无其他记录混入当前选择</x:v>
      </x:c>
      <x:c r="J228" s="4" t="str">
        <x:v>1. 进入「送礼记录」页
2. 查看赠送数量与来源明细一致</x:v>
      </x:c>
      <x:c r="K228" s="4" t="str">
        <x:v>赠送数量展示该记录对应值</x:v>
      </x:c>
      <x:c r="L228" s="4" t="str"/>
      <x:c r="M228" s="4" t="str">
        <x:v>未测</x:v>
      </x:c>
      <x:c r="N228" s="4" t="str"/>
      <x:c r="O228" s="4" t="str">
        <x:v>1. 来源：MainBasis/统一需求文档.md；G-guild-operation-gift-records-004
2. 场景：SC-01caa9a9cf2ca7</x:v>
      </x:c>
    </x:row>
    <x:row r="229" ht="54" customHeight="1">
      <x:c r="A229" s="4" t="n">
        <x:v>228</x:v>
      </x:c>
      <x:c r="B229" s="4" t="str">
        <x:v>GUILD-0228</x:v>
      </x:c>
      <x:c r="C229" s="4" t="str">
        <x:v>M09 运营账号、虚拟金币与公会消息</x:v>
      </x:c>
      <x:c r="D229" s="4" t="str">
        <x:v>送礼记录（公会长视角）</x:v>
      </x:c>
      <x:c r="E229" s="4" t="str">
        <x:v>功能需求</x:v>
      </x:c>
      <x:c r="F229" s="4" t="str">
        <x:v>P1</x:v>
      </x:c>
      <x:c r="G229" s="4" t="str">
        <x:v>验证主播名称与来源明细一致</x:v>
      </x:c>
      <x:c r="H229" s="4" t="str">
        <x:v>主播名称与来源明细一致</x:v>
      </x:c>
      <x:c r="I229" s="4" t="str">
        <x:v>1. 已登录公会长账号
2. 已记录所选记录的主播名称，无其他记录混入当前选择</x:v>
      </x:c>
      <x:c r="J229" s="4" t="str">
        <x:v>1. 进入「送礼记录」页
2. 查看主播名称与来源明细一致</x:v>
      </x:c>
      <x:c r="K229" s="4" t="str">
        <x:v>主播名称展示该记录对应值</x:v>
      </x:c>
      <x:c r="L229" s="4" t="str"/>
      <x:c r="M229" s="4" t="str">
        <x:v>未测</x:v>
      </x:c>
      <x:c r="N229" s="4" t="str"/>
      <x:c r="O229" s="4" t="str">
        <x:v>1. 来源：MainBasis/统一需求文档.md；G-guild-operation-gift-records-004
2. 场景：SC-c9a00326329be3</x:v>
      </x:c>
    </x:row>
    <x:row r="230" ht="54" customHeight="1">
      <x:c r="A230" s="4" t="n">
        <x:v>229</x:v>
      </x:c>
      <x:c r="B230" s="4" t="str">
        <x:v>GUILD-0229</x:v>
      </x:c>
      <x:c r="C230" s="4" t="str">
        <x:v>M09 运营账号、虚拟金币与公会消息</x:v>
      </x:c>
      <x:c r="D230" s="4" t="str">
        <x:v>送礼记录（公会长视角）</x:v>
      </x:c>
      <x:c r="E230" s="4" t="str">
        <x:v>功能需求</x:v>
      </x:c>
      <x:c r="F230" s="4" t="str">
        <x:v>P1</x:v>
      </x:c>
      <x:c r="G230" s="4" t="str">
        <x:v>验证主播ID与来源明细一致</x:v>
      </x:c>
      <x:c r="H230" s="4" t="str">
        <x:v>主播ID与来源明细一致</x:v>
      </x:c>
      <x:c r="I230" s="4" t="str">
        <x:v>1. 已登录公会长账号
2. 已记录所选记录的主播ID，无其他记录混入当前选择</x:v>
      </x:c>
      <x:c r="J230" s="4" t="str">
        <x:v>1. 进入「送礼记录」页
2. 查看主播ID与来源明细一致</x:v>
      </x:c>
      <x:c r="K230" s="4" t="str">
        <x:v>主播ID展示该记录对应值</x:v>
      </x:c>
      <x:c r="L230" s="4" t="str"/>
      <x:c r="M230" s="4" t="str">
        <x:v>未测</x:v>
      </x:c>
      <x:c r="N230" s="4" t="str"/>
      <x:c r="O230" s="4" t="str">
        <x:v>1. 来源：MainBasis/统一需求文档.md；G-guild-operation-gift-records-004
2. 场景：SC-b0b6b961c67a8a</x:v>
      </x:c>
    </x:row>
    <x:row r="231" ht="54" customHeight="1">
      <x:c r="A231" s="4" t="n">
        <x:v>230</x:v>
      </x:c>
      <x:c r="B231" s="4" t="str">
        <x:v>GUILD-0230</x:v>
      </x:c>
      <x:c r="C231" s="4" t="str">
        <x:v>M09 运营账号、虚拟金币与公会消息</x:v>
      </x:c>
      <x:c r="D231" s="4" t="str">
        <x:v>选择运营账号（多选）（公会长视角）</x:v>
      </x:c>
      <x:c r="E231" s="4" t="str">
        <x:v>功能需求</x:v>
      </x:c>
      <x:c r="F231" s="4" t="str">
        <x:v>P2</x:v>
      </x:c>
      <x:c r="G231" s="4" t="str">
        <x:v>验证搜索回显</x:v>
      </x:c>
      <x:c r="H231" s="4" t="str">
        <x:v>搜索回显</x:v>
      </x:c>
      <x:c r="I231" s="4" t="str">
        <x:v>1. 已登录公会长账号
2. 所选对象存在，已记录该对象的搜索值</x:v>
      </x:c>
      <x:c r="J231" s="4" t="str">
        <x:v>1. 进入「选择运营账号（多选）」页
2. 查看搜索回显</x:v>
      </x:c>
      <x:c r="K231" s="4" t="str">
        <x:v>「搜索」内容与所选对象的该项资料一致</x:v>
      </x:c>
      <x:c r="L231" s="4" t="str"/>
      <x:c r="M231" s="4" t="str">
        <x:v>未测</x:v>
      </x:c>
      <x:c r="N231" s="4" t="str"/>
      <x:c r="O231" s="4" t="str">
        <x:v>1. 来源：MainBasis/统一需求文档.md；G-guild-operation-account-select-001
2. 场景：SC-aa7692145d370f</x:v>
      </x:c>
    </x:row>
    <x:row r="232" ht="54" customHeight="1">
      <x:c r="A232" s="4" t="n">
        <x:v>231</x:v>
      </x:c>
      <x:c r="B232" s="4" t="str">
        <x:v>GUILD-0231</x:v>
      </x:c>
      <x:c r="C232" s="4" t="str">
        <x:v>M09 运营账号、虚拟金币与公会消息</x:v>
      </x:c>
      <x:c r="D232" s="4" t="str">
        <x:v>选择运营账号（多选）（公会长视角）</x:v>
      </x:c>
      <x:c r="E232" s="4" t="str">
        <x:v>功能需求</x:v>
      </x:c>
      <x:c r="F232" s="4" t="str">
        <x:v>P1</x:v>
      </x:c>
      <x:c r="G232" s="4" t="str">
        <x:v>验证运营账号全选不受搜索限制</x:v>
      </x:c>
      <x:c r="H232" s="4" t="str">
        <x:v>运营账号全选不受搜索限制</x:v>
      </x:c>
      <x:c r="I232" s="4" t="str">
        <x:v>1. 已登录公会长账号
2. 公会共5个运营账号，搜索仅命中1个</x:v>
      </x:c>
      <x:c r="J232" s="4" t="str">
        <x:v>1. 进入「选择运营账号（多选）」页
2. 点击全选</x:v>
      </x:c>
      <x:c r="K232" s="4" t="str">
        <x:v>全部5个运营账号选中</x:v>
      </x:c>
      <x:c r="L232" s="4" t="str"/>
      <x:c r="M232" s="4" t="str">
        <x:v>未测</x:v>
      </x:c>
      <x:c r="N232" s="4" t="str"/>
      <x:c r="O232" s="4" t="str">
        <x:v>1. 来源：MainBasis/统一需求文档.md；G-guild-operation-account-select-002
2. 场景：SC-696bc7576af1bc</x:v>
      </x:c>
    </x:row>
    <x:row r="233" ht="68" customHeight="1">
      <x:c r="A233" s="4" t="n">
        <x:v>232</x:v>
      </x:c>
      <x:c r="B233" s="4" t="str">
        <x:v>GUILD-0232</x:v>
      </x:c>
      <x:c r="C233" s="4" t="str">
        <x:v>M09 运营账号、虚拟金币与公会消息</x:v>
      </x:c>
      <x:c r="D233" s="4" t="str">
        <x:v>选择运营账号（多选）（公会长视角）</x:v>
      </x:c>
      <x:c r="E233" s="4" t="str">
        <x:v>功能需求</x:v>
      </x:c>
      <x:c r="F233" s="4" t="str">
        <x:v>P1</x:v>
      </x:c>
      <x:c r="G233" s="4" t="str">
        <x:v>验证运营账号选择保留日期</x:v>
      </x:c>
      <x:c r="H233" s="4" t="str">
        <x:v>运营账号选择保留日期</x:v>
      </x:c>
      <x:c r="I233" s="4" t="str">
        <x:v>1. 已登录公会长账号
2. 送礼记录当前日期为昨日</x:v>
      </x:c>
      <x:c r="J233" s="4" t="str">
        <x:v>1. 进入「选择运营账号（多选）」页
2. 选择2个账号
3. 完成</x:v>
      </x:c>
      <x:c r="K233" s="4" t="str">
        <x:v>返回送礼记录并回填2个账号，日期仍为昨日</x:v>
      </x:c>
      <x:c r="L233" s="4" t="str"/>
      <x:c r="M233" s="4" t="str">
        <x:v>未测</x:v>
      </x:c>
      <x:c r="N233" s="4" t="str"/>
      <x:c r="O233" s="4" t="str">
        <x:v>1. 来源：MainBasis/统一需求文档.md；G-guild-operation-account-select-003
2. 场景：SC-8c6bfe01e43e71</x:v>
      </x:c>
    </x:row>
    <x:row r="234" ht="54" customHeight="1">
      <x:c r="A234" s="4" t="n">
        <x:v>233</x:v>
      </x:c>
      <x:c r="B234" s="4" t="str">
        <x:v>GUILD-0233</x:v>
      </x:c>
      <x:c r="C234" s="4" t="str">
        <x:v>M09 运营账号、虚拟金币与公会消息</x:v>
      </x:c>
      <x:c r="D234" s="4" t="str">
        <x:v>选择运营账号（多选）（公会长视角）</x:v>
      </x:c>
      <x:c r="E234" s="4" t="str">
        <x:v>功能需求</x:v>
      </x:c>
      <x:c r="F234" s="4" t="str">
        <x:v>P1</x:v>
      </x:c>
      <x:c r="G234" s="4" t="str">
        <x:v>验证运营账号取消全选</x:v>
      </x:c>
      <x:c r="H234" s="4" t="str">
        <x:v>运营账号取消全选</x:v>
      </x:c>
      <x:c r="I234" s="4" t="str">
        <x:v>1. 已登录公会长账号
2. 当前全部运营账号选中</x:v>
      </x:c>
      <x:c r="J234" s="4" t="str">
        <x:v>1. 进入「选择运营账号（多选）」页
2. 点击取消全选</x:v>
      </x:c>
      <x:c r="K234" s="4" t="str">
        <x:v>选择清空</x:v>
      </x:c>
      <x:c r="L234" s="4" t="str"/>
      <x:c r="M234" s="4" t="str">
        <x:v>未测</x:v>
      </x:c>
      <x:c r="N234" s="4" t="str"/>
      <x:c r="O234" s="4" t="str">
        <x:v>1. 来源：MainBasis/统一需求文档.md；G-guild-operation-account-select-003
2. 场景：SC-35993e15ae060b</x:v>
      </x:c>
    </x:row>
    <x:row r="235" ht="54" customHeight="1">
      <x:c r="A235" s="4" t="n">
        <x:v>234</x:v>
      </x:c>
      <x:c r="B235" s="4" t="str">
        <x:v>GUILD-0234</x:v>
      </x:c>
      <x:c r="C235" s="4" t="str">
        <x:v>M10 用户管理、审核、举报与巡房</x:v>
      </x:c>
      <x:c r="D235" s="4" t="str">
        <x:v>违规记录（公会长视角）</x:v>
      </x:c>
      <x:c r="E235" s="4" t="str">
        <x:v>功能需求</x:v>
      </x:c>
      <x:c r="F235" s="4" t="str">
        <x:v>P2</x:v>
      </x:c>
      <x:c r="G235" s="4" t="str">
        <x:v>验证违规主播回显</x:v>
      </x:c>
      <x:c r="H235" s="4" t="str">
        <x:v>违规主播回显</x:v>
      </x:c>
      <x:c r="I235" s="4" t="str">
        <x:v>1. 已登录公会长账号
2. 所选对象存在，已记录该对象的违规主播值</x:v>
      </x:c>
      <x:c r="J235" s="4" t="str">
        <x:v>1. 进入「违规记录」页
2. 查看违规主播回显</x:v>
      </x:c>
      <x:c r="K235" s="4" t="str">
        <x:v>「违规主播」内容与所选对象的该项资料一致</x:v>
      </x:c>
      <x:c r="L235" s="4" t="str"/>
      <x:c r="M235" s="4" t="str">
        <x:v>未测</x:v>
      </x:c>
      <x:c r="N235" s="4" t="str"/>
      <x:c r="O235" s="4" t="str">
        <x:v>1. 来源：MainBasis/统一需求文档.md；G-guild-all-violations-002
2. 场景：SC-bb83060ef32eb6</x:v>
      </x:c>
    </x:row>
    <x:row r="236" ht="54" customHeight="1">
      <x:c r="A236" s="4" t="n">
        <x:v>235</x:v>
      </x:c>
      <x:c r="B236" s="4" t="str">
        <x:v>GUILD-0235</x:v>
      </x:c>
      <x:c r="C236" s="4" t="str">
        <x:v>M10 用户管理、审核、举报与巡房</x:v>
      </x:c>
      <x:c r="D236" s="4" t="str">
        <x:v>违规记录（公会长视角）</x:v>
      </x:c>
      <x:c r="E236" s="4" t="str">
        <x:v>功能需求</x:v>
      </x:c>
      <x:c r="F236" s="4" t="str">
        <x:v>P2</x:v>
      </x:c>
      <x:c r="G236" s="4" t="str">
        <x:v>验证发生时间回显</x:v>
      </x:c>
      <x:c r="H236" s="4" t="str">
        <x:v>发生时间回显</x:v>
      </x:c>
      <x:c r="I236" s="4" t="str">
        <x:v>1. 已登录公会长账号
2. 所选对象存在，已记录该对象的发生时间值</x:v>
      </x:c>
      <x:c r="J236" s="4" t="str">
        <x:v>1. 进入「违规记录」页
2. 查看发生时间回显</x:v>
      </x:c>
      <x:c r="K236" s="4" t="str">
        <x:v>「发生时间」内容与所选对象的该项资料一致</x:v>
      </x:c>
      <x:c r="L236" s="4" t="str"/>
      <x:c r="M236" s="4" t="str">
        <x:v>未测</x:v>
      </x:c>
      <x:c r="N236" s="4" t="str"/>
      <x:c r="O236" s="4" t="str">
        <x:v>1. 来源：MainBasis/统一需求文档.md；G-guild-all-violations-004
2. 场景：SC-75d2f9b4682d8b</x:v>
      </x:c>
    </x:row>
    <x:row r="237" ht="54" customHeight="1">
      <x:c r="A237" s="4" t="n">
        <x:v>236</x:v>
      </x:c>
      <x:c r="B237" s="4" t="str">
        <x:v>GUILD-0236</x:v>
      </x:c>
      <x:c r="C237" s="4" t="str">
        <x:v>M10 用户管理、审核、举报与巡房</x:v>
      </x:c>
      <x:c r="D237" s="4" t="str">
        <x:v>违规记录（公会长视角）</x:v>
      </x:c>
      <x:c r="E237" s="4" t="str">
        <x:v>功能需求</x:v>
      </x:c>
      <x:c r="F237" s="4" t="str">
        <x:v>P2</x:v>
      </x:c>
      <x:c r="G237" s="4" t="str">
        <x:v>验证首次进入默认今日</x:v>
      </x:c>
      <x:c r="H237" s="4" t="str">
        <x:v>首次进入默认今日</x:v>
      </x:c>
      <x:c r="I237" s="4" t="str">
        <x:v>1. 已登录公会长账号
2. 本次首次进入该页且无上游带入筛选</x:v>
      </x:c>
      <x:c r="J237" s="4" t="str">
        <x:v>1. 进入「违规记录」页
2. 查看首次进入默认今日</x:v>
      </x:c>
      <x:c r="K237" s="4" t="str">
        <x:v>日期范围默认今日</x:v>
      </x:c>
      <x:c r="L237" s="4" t="str"/>
      <x:c r="M237" s="4" t="str">
        <x:v>未测</x:v>
      </x:c>
      <x:c r="N237" s="4" t="str"/>
      <x:c r="O237" s="4" t="str">
        <x:v>1. 来源：MainBasis/统一需求文档.md；G-guild-all-violations-001
2. 场景：SC-ff0cab3ef6215c</x:v>
      </x:c>
    </x:row>
    <x:row r="238" ht="54" customHeight="1">
      <x:c r="A238" s="4" t="n">
        <x:v>237</x:v>
      </x:c>
      <x:c r="B238" s="4" t="str">
        <x:v>GUILD-0237</x:v>
      </x:c>
      <x:c r="C238" s="4" t="str">
        <x:v>M10 用户管理、审核、举报与巡房</x:v>
      </x:c>
      <x:c r="D238" s="4" t="str">
        <x:v>违规记录（公会长视角）</x:v>
      </x:c>
      <x:c r="E238" s="4" t="str">
        <x:v>功能需求</x:v>
      </x:c>
      <x:c r="F238" s="4" t="str">
        <x:v>P1</x:v>
      </x:c>
      <x:c r="G238" s="4" t="str">
        <x:v>验证违规类型来自启用配置</x:v>
      </x:c>
      <x:c r="H238" s="4" t="str">
        <x:v>违规类型来自启用配置</x:v>
      </x:c>
      <x:c r="I238" s="4" t="str">
        <x:v>1. 已登录公会长账号
2. 后台启用类型甲、停用类型乙</x:v>
      </x:c>
      <x:c r="J238" s="4" t="str">
        <x:v>1. 进入「违规记录」页
2. 查看违规类型来自启用配置</x:v>
      </x:c>
      <x:c r="K238" s="4" t="str">
        <x:v>新筛选配置提供启用类型甲</x:v>
      </x:c>
      <x:c r="L238" s="4" t="str"/>
      <x:c r="M238" s="4" t="str">
        <x:v>未测</x:v>
      </x:c>
      <x:c r="N238" s="4" t="str"/>
      <x:c r="O238" s="4" t="str">
        <x:v>1. 来源：MainBasis/统一需求文档.md；G-guild-all-violations-003
2. 场景：SC-46827ba424794d</x:v>
      </x:c>
    </x:row>
    <x:row r="239" ht="54" customHeight="1">
      <x:c r="A239" s="4" t="n">
        <x:v>238</x:v>
      </x:c>
      <x:c r="B239" s="4" t="str">
        <x:v>GUILD-0238</x:v>
      </x:c>
      <x:c r="C239" s="4" t="str">
        <x:v>M10 用户管理、审核、举报与巡房</x:v>
      </x:c>
      <x:c r="D239" s="4" t="str">
        <x:v>违规记录（公会长视角）</x:v>
      </x:c>
      <x:c r="E239" s="4" t="str">
        <x:v>功能需求</x:v>
      </x:c>
      <x:c r="F239" s="4" t="str">
        <x:v>P1</x:v>
      </x:c>
      <x:c r="G239" s="4" t="str">
        <x:v>验证无处置结果占位</x:v>
      </x:c>
      <x:c r="H239" s="4" t="str">
        <x:v>无处置结果占位</x:v>
      </x:c>
      <x:c r="I239" s="4" t="str">
        <x:v>1. 已登录公会长账号
2. 当前违规记录尚无处理结果</x:v>
      </x:c>
      <x:c r="J239" s="4" t="str">
        <x:v>1. 进入「违规记录」页
2. 查看无处置结果占位</x:v>
      </x:c>
      <x:c r="K239" s="4" t="str">
        <x:v>处理结果显示“-”</x:v>
      </x:c>
      <x:c r="L239" s="4" t="str"/>
      <x:c r="M239" s="4" t="str">
        <x:v>未测</x:v>
      </x:c>
      <x:c r="N239" s="4" t="str"/>
      <x:c r="O239" s="4" t="str">
        <x:v>1. 来源：MainBasis/统一需求文档.md；G-guild-all-violations-005
2. 场景：SC-740242b2b91e84</x:v>
      </x:c>
    </x:row>
    <x:row r="240" ht="54" customHeight="1">
      <x:c r="A240" s="4" t="n">
        <x:v>239</x:v>
      </x:c>
      <x:c r="B240" s="4" t="str">
        <x:v>GUILD-0239</x:v>
      </x:c>
      <x:c r="C240" s="4" t="str">
        <x:v>M10 用户管理、审核、举报与巡房</x:v>
      </x:c>
      <x:c r="D240" s="4" t="str">
        <x:v>违规记录（公会长视角）</x:v>
      </x:c>
      <x:c r="E240" s="4" t="str">
        <x:v>功能需求</x:v>
      </x:c>
      <x:c r="F240" s="4" t="str">
        <x:v>P1</x:v>
      </x:c>
      <x:c r="G240" s="4" t="str">
        <x:v>验证违规主播下钻</x:v>
      </x:c>
      <x:c r="H240" s="4" t="str">
        <x:v>违规主播下钻</x:v>
      </x:c>
      <x:c r="I240" s="4" t="str">
        <x:v>1. 已登录公会长账号
2. 有当前公会主播甲的违规记录</x:v>
      </x:c>
      <x:c r="J240" s="4" t="str">
        <x:v>1. 进入「违规记录」页
2. 点击主播甲</x:v>
      </x:c>
      <x:c r="K240" s="4" t="str">
        <x:v>进入主播甲详情</x:v>
      </x:c>
      <x:c r="L240" s="4" t="str"/>
      <x:c r="M240" s="4" t="str">
        <x:v>未测</x:v>
      </x:c>
      <x:c r="N240" s="4" t="str"/>
      <x:c r="O240" s="4" t="str">
        <x:v>1. 来源：MainBasis/统一需求文档.md；G-guild-all-violations-008
2. 场景：SC-898207e8df0438</x:v>
      </x:c>
    </x:row>
    <x:row r="241" ht="54" customHeight="1">
      <x:c r="A241" s="4" t="n">
        <x:v>240</x:v>
      </x:c>
      <x:c r="B241" s="4" t="str">
        <x:v>GUILD-0240</x:v>
      </x:c>
      <x:c r="C241" s="4" t="str">
        <x:v>M10 用户管理、审核、举报与巡房</x:v>
      </x:c>
      <x:c r="D241" s="4" t="str">
        <x:v>选择主播（多选）（公会长视角）</x:v>
      </x:c>
      <x:c r="E241" s="4" t="str">
        <x:v>功能需求</x:v>
      </x:c>
      <x:c r="F241" s="4" t="str">
        <x:v>P2</x:v>
      </x:c>
      <x:c r="G241" s="4" t="str">
        <x:v>验证搜索回显</x:v>
      </x:c>
      <x:c r="H241" s="4" t="str">
        <x:v>搜索回显</x:v>
      </x:c>
      <x:c r="I241" s="4" t="str">
        <x:v>1. 已登录公会长账号
2. 所选对象存在，已记录该对象的搜索值</x:v>
      </x:c>
      <x:c r="J241" s="4" t="str">
        <x:v>1. 进入「选择主播（多选）」页
2. 查看搜索回显</x:v>
      </x:c>
      <x:c r="K241" s="4" t="str">
        <x:v>「搜索」内容与所选对象的该项资料一致</x:v>
      </x:c>
      <x:c r="L241" s="4" t="str"/>
      <x:c r="M241" s="4" t="str">
        <x:v>未测</x:v>
      </x:c>
      <x:c r="N241" s="4" t="str"/>
      <x:c r="O241" s="4" t="str">
        <x:v>1. 来源：MainBasis/统一需求文档.md；G-guild-violation-host-select-001
2. 场景：SC-3d365ea51d92da</x:v>
      </x:c>
    </x:row>
    <x:row r="242" ht="54" customHeight="1">
      <x:c r="A242" s="4" t="n">
        <x:v>241</x:v>
      </x:c>
      <x:c r="B242" s="4" t="str">
        <x:v>GUILD-0241</x:v>
      </x:c>
      <x:c r="C242" s="4" t="str">
        <x:v>M10 用户管理、审核、举报与巡房</x:v>
      </x:c>
      <x:c r="D242" s="4" t="str">
        <x:v>选择主播（多选）（公会长视角）</x:v>
      </x:c>
      <x:c r="E242" s="4" t="str">
        <x:v>功能需求</x:v>
      </x:c>
      <x:c r="F242" s="4" t="str">
        <x:v>P2</x:v>
      </x:c>
      <x:c r="G242" s="4" t="str">
        <x:v>验证已选人数资料对应</x:v>
      </x:c>
      <x:c r="H242" s="4" t="str">
        <x:v>已选人数资料对应</x:v>
      </x:c>
      <x:c r="I242" s="4" t="str">
        <x:v>1. 已登录公会长账号
2. 已选中一条已存在记录，已记录其已选人数原始值</x:v>
      </x:c>
      <x:c r="J242" s="4" t="str">
        <x:v>1. 进入「选择主播（多选）」页
2. 查看已选人数资料对应</x:v>
      </x:c>
      <x:c r="K242" s="4" t="str">
        <x:v>页面已选人数与所选记录一致：实时显示已选择主播数</x:v>
      </x:c>
      <x:c r="L242" s="4" t="str"/>
      <x:c r="M242" s="4" t="str">
        <x:v>未测</x:v>
      </x:c>
      <x:c r="N242" s="4" t="str"/>
      <x:c r="O242" s="4" t="str">
        <x:v>1. 来源：MainBasis/统一需求文档.md；G-guild-violation-host-select-002
2. 场景：SC-0e49e8c37bb8e3</x:v>
      </x:c>
    </x:row>
    <x:row r="243" ht="54" customHeight="1">
      <x:c r="A243" s="4" t="n">
        <x:v>242</x:v>
      </x:c>
      <x:c r="B243" s="4" t="str">
        <x:v>GUILD-0242</x:v>
      </x:c>
      <x:c r="C243" s="4" t="str">
        <x:v>M10 用户管理、审核、举报与巡房</x:v>
      </x:c>
      <x:c r="D243" s="4" t="str">
        <x:v>选择主播（多选）（公会长视角）</x:v>
      </x:c>
      <x:c r="E243" s="4" t="str">
        <x:v>功能需求</x:v>
      </x:c>
      <x:c r="F243" s="4" t="str">
        <x:v>P1</x:v>
      </x:c>
      <x:c r="G243" s="4" t="str">
        <x:v>验证主播全选全部</x:v>
      </x:c>
      <x:c r="H243" s="4" t="str">
        <x:v>主播全选全部</x:v>
      </x:c>
      <x:c r="I243" s="4" t="str">
        <x:v>1. 已登录公会长账号
2. 有5名可选主播，搜索仅命中2名</x:v>
      </x:c>
      <x:c r="J243" s="4" t="str">
        <x:v>1. 进入「选择主播（多选）」页
2. 点击全选</x:v>
      </x:c>
      <x:c r="K243" s="4" t="str">
        <x:v>全部5名主播被选中</x:v>
      </x:c>
      <x:c r="L243" s="4" t="str"/>
      <x:c r="M243" s="4" t="str">
        <x:v>未测</x:v>
      </x:c>
      <x:c r="N243" s="4" t="str"/>
      <x:c r="O243" s="4" t="str">
        <x:v>1. 来源：MainBasis/统一需求文档.md；G-guild-violation-host-select-003
2. 场景：SC-a84c81222f7be0</x:v>
      </x:c>
    </x:row>
    <x:row r="244" ht="54" customHeight="1">
      <x:c r="A244" s="4" t="n">
        <x:v>243</x:v>
      </x:c>
      <x:c r="B244" s="4" t="str">
        <x:v>GUILD-0243</x:v>
      </x:c>
      <x:c r="C244" s="4" t="str">
        <x:v>M10 用户管理、审核、举报与巡房</x:v>
      </x:c>
      <x:c r="D244" s="4" t="str">
        <x:v>选择主播（多选）（公会长视角）</x:v>
      </x:c>
      <x:c r="E244" s="4" t="str">
        <x:v>功能需求</x:v>
      </x:c>
      <x:c r="F244" s="4" t="str">
        <x:v>P1</x:v>
      </x:c>
      <x:c r="G244" s="4" t="str">
        <x:v>验证多选主播保留日期</x:v>
      </x:c>
      <x:c r="H244" s="4" t="str">
        <x:v>多选主播保留日期</x:v>
      </x:c>
      <x:c r="I244" s="4" t="str">
        <x:v>1. 已登录公会长账号
2. 来源违规记录日期昨日</x:v>
      </x:c>
      <x:c r="J244" s="4" t="str">
        <x:v>1. 进入「选择主播（多选）」页
2. 选择两名主播
3. 点击完成</x:v>
      </x:c>
      <x:c r="K244" s="4" t="str">
        <x:v>返回违规记录，回填两主播且保留昨日</x:v>
      </x:c>
      <x:c r="L244" s="4" t="str"/>
      <x:c r="M244" s="4" t="str">
        <x:v>未测</x:v>
      </x:c>
      <x:c r="N244" s="4" t="str"/>
      <x:c r="O244" s="4" t="str">
        <x:v>1. 来源：MainBasis/统一需求文档.md；G-guild-violation-host-select-004
2. 场景：SC-d5b5aae84a1bac</x:v>
      </x:c>
    </x:row>
    <x:row r="245" ht="68" customHeight="1">
      <x:c r="A245" s="4" t="n">
        <x:v>244</x:v>
      </x:c>
      <x:c r="B245" s="4" t="str">
        <x:v>GUILD-0244</x:v>
      </x:c>
      <x:c r="C245" s="4" t="str">
        <x:v>M11 财务、退款、结算上传与账户调整</x:v>
      </x:c>
      <x:c r="D245" s="4" t="str">
        <x:v>主播分成记录（公会长视角）</x:v>
      </x:c>
      <x:c r="E245" s="4" t="str">
        <x:v>功能需求</x:v>
      </x:c>
      <x:c r="F245" s="4" t="str">
        <x:v>P2</x:v>
      </x:c>
      <x:c r="G245" s="4" t="str">
        <x:v>验证主播回显</x:v>
      </x:c>
      <x:c r="H245" s="4" t="str">
        <x:v>主播回显</x:v>
      </x:c>
      <x:c r="I245" s="4" t="str">
        <x:v>1. 已登录公会长账号
2. 所选对象存在，已记录该对象的主播值</x:v>
      </x:c>
      <x:c r="J245" s="4" t="str">
        <x:v>1. 进入「主播分成记录」页
2. 查看主播回显</x:v>
      </x:c>
      <x:c r="K245" s="4" t="str">
        <x:v>「主播」内容与所选对象的该项资料一致</x:v>
      </x:c>
      <x:c r="L245" s="4" t="str"/>
      <x:c r="M245" s="4" t="str">
        <x:v>未测</x:v>
      </x:c>
      <x:c r="N245" s="4" t="str"/>
      <x:c r="O245" s="4" t="str">
        <x:v>1. 来源：MainBasis/统一需求文档.md；G-guild-share-ledger-002
2. 场景：SC-565f537f4e5d0a</x:v>
      </x:c>
    </x:row>
    <x:row r="246" ht="68" customHeight="1">
      <x:c r="A246" s="4" t="n">
        <x:v>245</x:v>
      </x:c>
      <x:c r="B246" s="4" t="str">
        <x:v>GUILD-0245</x:v>
      </x:c>
      <x:c r="C246" s="4" t="str">
        <x:v>M11 财务、退款、结算上传与账户调整</x:v>
      </x:c>
      <x:c r="D246" s="4" t="str">
        <x:v>主播分成记录（公会长视角）</x:v>
      </x:c>
      <x:c r="E246" s="4" t="str">
        <x:v>功能需求</x:v>
      </x:c>
      <x:c r="F246" s="4" t="str">
        <x:v>P2</x:v>
      </x:c>
      <x:c r="G246" s="4" t="str">
        <x:v>验证分成时间回显</x:v>
      </x:c>
      <x:c r="H246" s="4" t="str">
        <x:v>分成时间回显</x:v>
      </x:c>
      <x:c r="I246" s="4" t="str">
        <x:v>1. 已登录公会长账号
2. 所选对象存在，已记录该对象的分成时间值</x:v>
      </x:c>
      <x:c r="J246" s="4" t="str">
        <x:v>1. 进入「主播分成记录」页
2. 查看分成时间回显</x:v>
      </x:c>
      <x:c r="K246" s="4" t="str">
        <x:v>「分成时间」内容与所选对象的该项资料一致</x:v>
      </x:c>
      <x:c r="L246" s="4" t="str"/>
      <x:c r="M246" s="4" t="str">
        <x:v>未测</x:v>
      </x:c>
      <x:c r="N246" s="4" t="str"/>
      <x:c r="O246" s="4" t="str">
        <x:v>1. 来源：MainBasis/统一需求文档.md；G-guild-share-ledger-003
2. 场景：SC-d30da44f74362c</x:v>
      </x:c>
    </x:row>
    <x:row r="247" ht="68" customHeight="1">
      <x:c r="A247" s="4" t="n">
        <x:v>246</x:v>
      </x:c>
      <x:c r="B247" s="4" t="str">
        <x:v>GUILD-0246</x:v>
      </x:c>
      <x:c r="C247" s="4" t="str">
        <x:v>M11 财务、退款、结算上传与账户调整</x:v>
      </x:c>
      <x:c r="D247" s="4" t="str">
        <x:v>主播分成记录（公会长视角）</x:v>
      </x:c>
      <x:c r="E247" s="4" t="str">
        <x:v>功能需求</x:v>
      </x:c>
      <x:c r="F247" s="4" t="str">
        <x:v>P1</x:v>
      </x:c>
      <x:c r="G247" s="4" t="str">
        <x:v>验证跨月分成按入账时间</x:v>
      </x:c>
      <x:c r="H247" s="4" t="str">
        <x:v>跨月分成按入账时间</x:v>
      </x:c>
      <x:c r="I247" s="4" t="str">
        <x:v>1. 已登录公会长账号
2. 8月收益于9月2日入账，另一9月收益于10月2日入账</x:v>
      </x:c>
      <x:c r="J247" s="4" t="str">
        <x:v>1. 进入「主播分成记录」页
2. 查看跨月分成按入账时间</x:v>
      </x:c>
      <x:c r="K247" s="4" t="str">
        <x:v>按分成时间倒序，10月2日记录在前</x:v>
      </x:c>
      <x:c r="L247" s="4" t="str"/>
      <x:c r="M247" s="4" t="str">
        <x:v>未测</x:v>
      </x:c>
      <x:c r="N247" s="4" t="str"/>
      <x:c r="O247" s="4" t="str">
        <x:v>1. 来源：MainBasis/统一需求文档.md；G-guild-share-ledger-006、G-guild-share-income-004
2. 场景：SC-57d957a8defcf5</x:v>
      </x:c>
    </x:row>
    <x:row r="248" ht="68" customHeight="1">
      <x:c r="A248" s="4" t="n">
        <x:v>247</x:v>
      </x:c>
      <x:c r="B248" s="4" t="str">
        <x:v>GUILD-0247</x:v>
      </x:c>
      <x:c r="C248" s="4" t="str">
        <x:v>M11 财务、退款、结算上传与账户调整</x:v>
      </x:c>
      <x:c r="D248" s="4" t="str">
        <x:v>主播分成记录（公会长视角）</x:v>
      </x:c>
      <x:c r="E248" s="4" t="str">
        <x:v>功能需求</x:v>
      </x:c>
      <x:c r="F248" s="4" t="str">
        <x:v>P2</x:v>
      </x:c>
      <x:c r="G248" s="4" t="str">
        <x:v>验证首次进入默认本月</x:v>
      </x:c>
      <x:c r="H248" s="4" t="str">
        <x:v>首次进入默认本月</x:v>
      </x:c>
      <x:c r="I248" s="4" t="str">
        <x:v>1. 已登录公会长账号
2. 本次首次进入该页且无上游带入筛选</x:v>
      </x:c>
      <x:c r="J248" s="4" t="str">
        <x:v>1. 进入「主播分成记录」页
2. 查看首次进入默认本月</x:v>
      </x:c>
      <x:c r="K248" s="4" t="str">
        <x:v>日期范围默认本月</x:v>
      </x:c>
      <x:c r="L248" s="4" t="str"/>
      <x:c r="M248" s="4" t="str">
        <x:v>未测</x:v>
      </x:c>
      <x:c r="N248" s="4" t="str"/>
      <x:c r="O248" s="4" t="str">
        <x:v>1. 来源：MainBasis/统一需求文档.md；G-guild-share-ledger-001
2. 场景：SC-2d54b9a2fbdb0d</x:v>
      </x:c>
    </x:row>
    <x:row r="249" ht="68" customHeight="1">
      <x:c r="A249" s="4" t="n">
        <x:v>248</x:v>
      </x:c>
      <x:c r="B249" s="4" t="str">
        <x:v>GUILD-0248</x:v>
      </x:c>
      <x:c r="C249" s="4" t="str">
        <x:v>M11 财务、退款、结算上传与账户调整</x:v>
      </x:c>
      <x:c r="D249" s="4" t="str">
        <x:v>主播分成记录（公会长视角）</x:v>
      </x:c>
      <x:c r="E249" s="4" t="str">
        <x:v>功能需求</x:v>
      </x:c>
      <x:c r="F249" s="4" t="str">
        <x:v>P1</x:v>
      </x:c>
      <x:c r="G249" s="4" t="str">
        <x:v>验证分成有符号金额10</x:v>
      </x:c>
      <x:c r="H249" s="4" t="str">
        <x:v>分成有符号金额10</x:v>
      </x:c>
      <x:c r="I249" s="4" t="str">
        <x:v>1. 已登录公会长账号
2. 已上传一笔金额10的分成记录</x:v>
      </x:c>
      <x:c r="J249" s="4" t="str">
        <x:v>1. 进入「主播分成记录」页
2. 查看分成有符号金额10</x:v>
      </x:c>
      <x:c r="K249" s="4" t="str">
        <x:v>显示10，表示增加，保留正负号</x:v>
      </x:c>
      <x:c r="L249" s="4" t="str"/>
      <x:c r="M249" s="4" t="str">
        <x:v>未测</x:v>
      </x:c>
      <x:c r="N249" s="4" t="str"/>
      <x:c r="O249" s="4" t="str">
        <x:v>1. 来源：MainBasis/统一需求文档.md；G-guild-share-ledger-004
2. 场景：SC-3214853ebc693d</x:v>
      </x:c>
    </x:row>
    <x:row r="250" ht="68" customHeight="1">
      <x:c r="A250" s="4" t="n">
        <x:v>249</x:v>
      </x:c>
      <x:c r="B250" s="4" t="str">
        <x:v>GUILD-0249</x:v>
      </x:c>
      <x:c r="C250" s="4" t="str">
        <x:v>M11 财务、退款、结算上传与账户调整</x:v>
      </x:c>
      <x:c r="D250" s="4" t="str">
        <x:v>主播分成记录（公会长视角）</x:v>
      </x:c>
      <x:c r="E250" s="4" t="str">
        <x:v>功能需求</x:v>
      </x:c>
      <x:c r="F250" s="4" t="str">
        <x:v>P1</x:v>
      </x:c>
      <x:c r="G250" s="4" t="str">
        <x:v>验证分成有符号金额-10</x:v>
      </x:c>
      <x:c r="H250" s="4" t="str">
        <x:v>分成有符号金额-10</x:v>
      </x:c>
      <x:c r="I250" s="4" t="str">
        <x:v>1. 已登录公会长账号
2. 已上传一笔金额-10的分成记录</x:v>
      </x:c>
      <x:c r="J250" s="4" t="str">
        <x:v>1. 进入「主播分成记录」页
2. 查看分成有符号金额-10</x:v>
      </x:c>
      <x:c r="K250" s="4" t="str">
        <x:v>显示-10，表示冲正或扣减，保留正负号</x:v>
      </x:c>
      <x:c r="L250" s="4" t="str"/>
      <x:c r="M250" s="4" t="str">
        <x:v>未测</x:v>
      </x:c>
      <x:c r="N250" s="4" t="str"/>
      <x:c r="O250" s="4" t="str">
        <x:v>1. 来源：MainBasis/统一需求文档.md；G-guild-share-ledger-004
2. 场景：SC-0948638c8a862a</x:v>
      </x:c>
    </x:row>
    <x:row r="251" ht="68" customHeight="1">
      <x:c r="A251" s="4" t="n">
        <x:v>250</x:v>
      </x:c>
      <x:c r="B251" s="4" t="str">
        <x:v>GUILD-0250</x:v>
      </x:c>
      <x:c r="C251" s="4" t="str">
        <x:v>M11 财务、退款、结算上传与账户调整</x:v>
      </x:c>
      <x:c r="D251" s="4" t="str">
        <x:v>公会分成记录（公会长视角）</x:v>
      </x:c>
      <x:c r="E251" s="4" t="str">
        <x:v>功能需求</x:v>
      </x:c>
      <x:c r="F251" s="4" t="str">
        <x:v>P1</x:v>
      </x:c>
      <x:c r="G251" s="4" t="str">
        <x:v>验证公会分成只读当前公会</x:v>
      </x:c>
      <x:c r="H251" s="4" t="str">
        <x:v>公会分成只读当前公会</x:v>
      </x:c>
      <x:c r="I251" s="4" t="str">
        <x:v>1. 已登录公会长账号
2. 两公会分别存在上传分成结果</x:v>
      </x:c>
      <x:c r="J251" s="4" t="str">
        <x:v>1. 进入「公会分成记录」页
2. 查看公会分成只读当前公会</x:v>
      </x:c>
      <x:c r="K251" s="4" t="str">
        <x:v>仅显示当前公会结果，无日期筛选或在线分成计算</x:v>
      </x:c>
      <x:c r="L251" s="4" t="str"/>
      <x:c r="M251" s="4" t="str">
        <x:v>未测</x:v>
      </x:c>
      <x:c r="N251" s="4" t="str"/>
      <x:c r="O251" s="4" t="str">
        <x:v>1. 来源：MainBasis/统一需求文档.md；G-guild-share-income-003
2. 场景：SC-638694a574c460</x:v>
      </x:c>
    </x:row>
    <x:row r="252" ht="68" customHeight="1">
      <x:c r="A252" s="4" t="n">
        <x:v>251</x:v>
      </x:c>
      <x:c r="B252" s="4" t="str">
        <x:v>GUILD-0251</x:v>
      </x:c>
      <x:c r="C252" s="4" t="str">
        <x:v>M11 财务、退款、结算上传与账户调整</x:v>
      </x:c>
      <x:c r="D252" s="4" t="str">
        <x:v>公会分成记录（公会长视角）</x:v>
      </x:c>
      <x:c r="E252" s="4" t="str">
        <x:v>功能需求</x:v>
      </x:c>
      <x:c r="F252" s="4" t="str">
        <x:v>P2</x:v>
      </x:c>
      <x:c r="G252" s="4" t="str">
        <x:v>验证分成时间资料对应</x:v>
      </x:c>
      <x:c r="H252" s="4" t="str">
        <x:v>分成时间资料对应</x:v>
      </x:c>
      <x:c r="I252" s="4" t="str">
        <x:v>1. 已登录公会长账号
2. 已选中一条已存在记录，已记录其分成时间原始值</x:v>
      </x:c>
      <x:c r="J252" s="4" t="str">
        <x:v>1. 进入「公会分成记录」页
2. 查看分成时间资料对应</x:v>
      </x:c>
      <x:c r="K252" s="4" t="str">
        <x:v>页面分成时间与所选记录一致：当前公会分成结果入账时间，格式为日/月/年/时.分</x:v>
      </x:c>
      <x:c r="L252" s="4" t="str"/>
      <x:c r="M252" s="4" t="str">
        <x:v>未测</x:v>
      </x:c>
      <x:c r="N252" s="4" t="str"/>
      <x:c r="O252" s="4" t="str">
        <x:v>1. 来源：MainBasis/统一需求文档.md；G-guild-share-income-001
2. 场景：SC-18026f3a822c64</x:v>
      </x:c>
    </x:row>
    <x:row r="253" ht="68" customHeight="1">
      <x:c r="A253" s="4" t="n">
        <x:v>252</x:v>
      </x:c>
      <x:c r="B253" s="4" t="str">
        <x:v>GUILD-0252</x:v>
      </x:c>
      <x:c r="C253" s="4" t="str">
        <x:v>M11 财务、退款、结算上传与账户调整</x:v>
      </x:c>
      <x:c r="D253" s="4" t="str">
        <x:v>公会分成记录（公会长视角）</x:v>
      </x:c>
      <x:c r="E253" s="4" t="str">
        <x:v>功能需求</x:v>
      </x:c>
      <x:c r="F253" s="4" t="str">
        <x:v>P1</x:v>
      </x:c>
      <x:c r="G253" s="4" t="str">
        <x:v>验证分成有符号金额10</x:v>
      </x:c>
      <x:c r="H253" s="4" t="str">
        <x:v>分成有符号金额10</x:v>
      </x:c>
      <x:c r="I253" s="4" t="str">
        <x:v>1. 已登录公会长账号
2. 已上传一笔金额10的分成记录</x:v>
      </x:c>
      <x:c r="J253" s="4" t="str">
        <x:v>1. 进入「公会分成记录」页
2. 查看分成有符号金额10</x:v>
      </x:c>
      <x:c r="K253" s="4" t="str">
        <x:v>显示10，表示增加，保留正负号</x:v>
      </x:c>
      <x:c r="L253" s="4" t="str"/>
      <x:c r="M253" s="4" t="str">
        <x:v>未测</x:v>
      </x:c>
      <x:c r="N253" s="4" t="str"/>
      <x:c r="O253" s="4" t="str">
        <x:v>1. 来源：MainBasis/统一需求文档.md；G-guild-share-income-002
2. 场景：SC-d2d9d91926e7ce</x:v>
      </x:c>
    </x:row>
    <x:row r="254" ht="68" customHeight="1">
      <x:c r="A254" s="4" t="n">
        <x:v>253</x:v>
      </x:c>
      <x:c r="B254" s="4" t="str">
        <x:v>GUILD-0253</x:v>
      </x:c>
      <x:c r="C254" s="4" t="str">
        <x:v>M11 财务、退款、结算上传与账户调整</x:v>
      </x:c>
      <x:c r="D254" s="4" t="str">
        <x:v>公会分成记录（公会长视角）</x:v>
      </x:c>
      <x:c r="E254" s="4" t="str">
        <x:v>功能需求</x:v>
      </x:c>
      <x:c r="F254" s="4" t="str">
        <x:v>P1</x:v>
      </x:c>
      <x:c r="G254" s="4" t="str">
        <x:v>验证分成有符号金额-10</x:v>
      </x:c>
      <x:c r="H254" s="4" t="str">
        <x:v>分成有符号金额-10</x:v>
      </x:c>
      <x:c r="I254" s="4" t="str">
        <x:v>1. 已登录公会长账号
2. 已上传一笔金额-10的分成记录</x:v>
      </x:c>
      <x:c r="J254" s="4" t="str">
        <x:v>1. 进入「公会分成记录」页
2. 查看分成有符号金额-10</x:v>
      </x:c>
      <x:c r="K254" s="4" t="str">
        <x:v>显示-10，表示冲正或扣减，保留正负号</x:v>
      </x:c>
      <x:c r="L254" s="4" t="str"/>
      <x:c r="M254" s="4" t="str">
        <x:v>未测</x:v>
      </x:c>
      <x:c r="N254" s="4" t="str"/>
      <x:c r="O254" s="4" t="str">
        <x:v>1. 来源：MainBasis/统一需求文档.md；G-guild-share-income-002
2. 场景：SC-ab09bacb41f2ac</x:v>
      </x:c>
    </x:row>
    <x:row r="255" ht="82" customHeight="1">
      <x:c r="A255" s="4" t="n">
        <x:v>254</x:v>
      </x:c>
      <x:c r="B255" s="4" t="str">
        <x:v>GUILD-0254</x:v>
      </x:c>
      <x:c r="C255" s="4" t="str">
        <x:v>M12 直播业绩、增长与统计报表</x:v>
      </x:c>
      <x:c r="D255" s="4" t="str">
        <x:v>主播业绩（公会长视角）</x:v>
      </x:c>
      <x:c r="E255" s="4" t="str">
        <x:v>逻辑校验</x:v>
      </x:c>
      <x:c r="F255" s="4" t="str">
        <x:v>P1</x:v>
      </x:c>
      <x:c r="G255" s="4" t="str">
        <x:v>验证公会主播有效天10799秒</x:v>
      </x:c>
      <x:c r="H255" s="4" t="str">
        <x:v>公会主播有效天10799秒</x:v>
      </x:c>
      <x:c r="I255" s="4" t="str">
        <x:v>1. 已登录公会长账号
2. 当前范围仅一名主播、同一个已确定自然日
3. 该日累计有效直播时长10799秒</x:v>
      </x:c>
      <x:c r="J255" s="4" t="str">
        <x:v>1. 进入「主播业绩」页
2. 查看公会主播有效天10799秒</x:v>
      </x:c>
      <x:c r="K255" s="4" t="str">
        <x:v>公会主播有效天 = 0</x:v>
      </x:c>
      <x:c r="L255" s="4" t="str"/>
      <x:c r="M255" s="4" t="str">
        <x:v>未测</x:v>
      </x:c>
      <x:c r="N255" s="4" t="str"/>
      <x:c r="O255" s="4" t="str">
        <x:v>1. 来源：MainBasis/统一需求文档.md；G-guild-host-list-003
2. 场景：SC-74a9e94d6f9918</x:v>
      </x:c>
    </x:row>
    <x:row r="256" ht="82" customHeight="1">
      <x:c r="A256" s="4" t="n">
        <x:v>255</x:v>
      </x:c>
      <x:c r="B256" s="4" t="str">
        <x:v>GUILD-0255</x:v>
      </x:c>
      <x:c r="C256" s="4" t="str">
        <x:v>M12 直播业绩、增长与统计报表</x:v>
      </x:c>
      <x:c r="D256" s="4" t="str">
        <x:v>主播业绩（公会长视角）</x:v>
      </x:c>
      <x:c r="E256" s="4" t="str">
        <x:v>逻辑校验</x:v>
      </x:c>
      <x:c r="F256" s="4" t="str">
        <x:v>P1</x:v>
      </x:c>
      <x:c r="G256" s="4" t="str">
        <x:v>验证公会主播有效天10800秒</x:v>
      </x:c>
      <x:c r="H256" s="4" t="str">
        <x:v>公会主播有效天10800秒</x:v>
      </x:c>
      <x:c r="I256" s="4" t="str">
        <x:v>1. 已登录公会长账号
2. 当前范围仅一名主播、同一个已确定自然日
3. 该日累计有效直播时长10800秒</x:v>
      </x:c>
      <x:c r="J256" s="4" t="str">
        <x:v>1. 进入「主播业绩」页
2. 查看公会主播有效天10800秒</x:v>
      </x:c>
      <x:c r="K256" s="4" t="str">
        <x:v>公会主播有效天 = 1</x:v>
      </x:c>
      <x:c r="L256" s="4" t="str"/>
      <x:c r="M256" s="4" t="str">
        <x:v>未测</x:v>
      </x:c>
      <x:c r="N256" s="4" t="str"/>
      <x:c r="O256" s="4" t="str">
        <x:v>1. 来源：MainBasis/统一需求文档.md；G-guild-host-list-003
2. 场景：SC-2fcfb3c50c4113</x:v>
      </x:c>
    </x:row>
    <x:row r="257" ht="82" customHeight="1">
      <x:c r="A257" s="4" t="n">
        <x:v>256</x:v>
      </x:c>
      <x:c r="B257" s="4" t="str">
        <x:v>GUILD-0256</x:v>
      </x:c>
      <x:c r="C257" s="4" t="str">
        <x:v>M12 直播业绩、增长与统计报表</x:v>
      </x:c>
      <x:c r="D257" s="4" t="str">
        <x:v>主播业绩（公会长视角）</x:v>
      </x:c>
      <x:c r="E257" s="4" t="str">
        <x:v>逻辑校验</x:v>
      </x:c>
      <x:c r="F257" s="4" t="str">
        <x:v>P1</x:v>
      </x:c>
      <x:c r="G257" s="4" t="str">
        <x:v>验证公会主播有效天10801秒</x:v>
      </x:c>
      <x:c r="H257" s="4" t="str">
        <x:v>公会主播有效天10801秒</x:v>
      </x:c>
      <x:c r="I257" s="4" t="str">
        <x:v>1. 已登录公会长账号
2. 当前范围仅一名主播、同一个已确定自然日
3. 该日累计有效直播时长10801秒</x:v>
      </x:c>
      <x:c r="J257" s="4" t="str">
        <x:v>1. 进入「主播业绩」页
2. 查看公会主播有效天10801秒</x:v>
      </x:c>
      <x:c r="K257" s="4" t="str">
        <x:v>公会主播有效天 = 1</x:v>
      </x:c>
      <x:c r="L257" s="4" t="str"/>
      <x:c r="M257" s="4" t="str">
        <x:v>未测</x:v>
      </x:c>
      <x:c r="N257" s="4" t="str"/>
      <x:c r="O257" s="4" t="str">
        <x:v>1. 来源：MainBasis/统一需求文档.md；G-guild-host-list-003
2. 场景：SC-bb4a38f0b5681e</x:v>
      </x:c>
    </x:row>
    <x:row r="258" ht="82" customHeight="1">
      <x:c r="A258" s="4" t="n">
        <x:v>257</x:v>
      </x:c>
      <x:c r="B258" s="4" t="str">
        <x:v>GUILD-0257</x:v>
      </x:c>
      <x:c r="C258" s="4" t="str">
        <x:v>M12 直播业绩、增长与统计报表</x:v>
      </x:c>
      <x:c r="D258" s="4" t="str">
        <x:v>主播业绩（公会长视角）</x:v>
      </x:c>
      <x:c r="E258" s="4" t="str">
        <x:v>逻辑校验</x:v>
      </x:c>
      <x:c r="F258" s="4" t="str">
        <x:v>P1</x:v>
      </x:c>
      <x:c r="G258" s="4" t="str">
        <x:v>验证公会主播有效天21600秒</x:v>
      </x:c>
      <x:c r="H258" s="4" t="str">
        <x:v>公会主播有效天21600秒</x:v>
      </x:c>
      <x:c r="I258" s="4" t="str">
        <x:v>1. 已登录公会长账号
2. 当前范围仅一名主播、同一个已确定自然日
3. 该日累计有效直播时长21600秒</x:v>
      </x:c>
      <x:c r="J258" s="4" t="str">
        <x:v>1. 进入「主播业绩」页
2. 查看公会主播有效天21600秒</x:v>
      </x:c>
      <x:c r="K258" s="4" t="str">
        <x:v>公会主播有效天 = 1</x:v>
      </x:c>
      <x:c r="L258" s="4" t="str"/>
      <x:c r="M258" s="4" t="str">
        <x:v>未测</x:v>
      </x:c>
      <x:c r="N258" s="4" t="str"/>
      <x:c r="O258" s="4" t="str">
        <x:v>1. 来源：MainBasis/统一需求文档.md；G-guild-host-list-003
2. 场景：SC-12fcfc929827c9</x:v>
      </x:c>
    </x:row>
    <x:row r="259" ht="54" customHeight="1">
      <x:c r="A259" s="4" t="n">
        <x:v>258</x:v>
      </x:c>
      <x:c r="B259" s="4" t="str">
        <x:v>GUILD-0258</x:v>
      </x:c>
      <x:c r="C259" s="4" t="str">
        <x:v>M12 直播业绩、增长与统计报表</x:v>
      </x:c>
      <x:c r="D259" s="4" t="str">
        <x:v>主播业绩（公会长视角）</x:v>
      </x:c>
      <x:c r="E259" s="4" t="str">
        <x:v>功能需求</x:v>
      </x:c>
      <x:c r="F259" s="4" t="str">
        <x:v>P1</x:v>
      </x:c>
      <x:c r="G259" s="4" t="str">
        <x:v>验证退会保留发生时公会业绩</x:v>
      </x:c>
      <x:c r="H259" s="4" t="str">
        <x:v>退会保留发生时公会业绩</x:v>
      </x:c>
      <x:c r="I259" s="4" t="str">
        <x:v>1. 已登录公会长账号
2. 主播在甲公会直播后已退会加入乙</x:v>
      </x:c>
      <x:c r="J259" s="4" t="str">
        <x:v>1. 进入「主播业绩」页
2. 查看退会保留发生时公会业绩</x:v>
      </x:c>
      <x:c r="K259" s="4" t="str">
        <x:v>原甲公会直播业绩保留并标【退会】，不转入乙历史</x:v>
      </x:c>
      <x:c r="L259" s="4" t="str"/>
      <x:c r="M259" s="4" t="str">
        <x:v>未测</x:v>
      </x:c>
      <x:c r="N259" s="4" t="str"/>
      <x:c r="O259" s="4" t="str">
        <x:v>1. 来源：MainBasis/统一需求文档.md；G-guild-host-list-004
2. 场景：SC-8a1fc39b4952f5</x:v>
      </x:c>
    </x:row>
    <x:row r="260" ht="54" customHeight="1">
      <x:c r="A260" s="4" t="n">
        <x:v>259</x:v>
      </x:c>
      <x:c r="B260" s="4" t="str">
        <x:v>GUILD-0259</x:v>
      </x:c>
      <x:c r="C260" s="4" t="str">
        <x:v>M12 直播业绩、增长与统计报表</x:v>
      </x:c>
      <x:c r="D260" s="4" t="str">
        <x:v>主播业绩（公会长视角）</x:v>
      </x:c>
      <x:c r="E260" s="4" t="str">
        <x:v>功能需求</x:v>
      </x:c>
      <x:c r="F260" s="4" t="str">
        <x:v>P1</x:v>
      </x:c>
      <x:c r="G260" s="4" t="str">
        <x:v>验证主播达标人数按中位数</x:v>
      </x:c>
      <x:c r="H260" s="4" t="str">
        <x:v>主播达标人数按中位数</x:v>
      </x:c>
      <x:c r="I260" s="4" t="str">
        <x:v>1. 已登录公会长账号
2. 全部已完成开播主播有效天为1、2、3、4</x:v>
      </x:c>
      <x:c r="J260" s="4" t="str">
        <x:v>1. 进入「主播业绩」页
2. 查看主播达标人数按中位数</x:v>
      </x:c>
      <x:c r="K260" s="4" t="str">
        <x:v>有效天中位数2.5，达标人数2</x:v>
      </x:c>
      <x:c r="L260" s="4" t="str"/>
      <x:c r="M260" s="4" t="str">
        <x:v>未测</x:v>
      </x:c>
      <x:c r="N260" s="4" t="str"/>
      <x:c r="O260" s="4" t="str">
        <x:v>1. 来源：MainBasis/统一需求文档.md；G-guild-host-list-002
2. 场景：SC-1034d2f0214aae</x:v>
      </x:c>
    </x:row>
    <x:row r="261" ht="54" customHeight="1">
      <x:c r="A261" s="4" t="n">
        <x:v>260</x:v>
      </x:c>
      <x:c r="B261" s="4" t="str">
        <x:v>GUILD-0260</x:v>
      </x:c>
      <x:c r="C261" s="4" t="str">
        <x:v>M12 直播业绩、增长与统计报表</x:v>
      </x:c>
      <x:c r="D261" s="4" t="str">
        <x:v>主播业绩（公会长视角）</x:v>
      </x:c>
      <x:c r="E261" s="4" t="str">
        <x:v>功能需求</x:v>
      </x:c>
      <x:c r="F261" s="4" t="str">
        <x:v>P1</x:v>
      </x:c>
      <x:c r="G261" s="4" t="str">
        <x:v>验证开播人数以完成场次去重</x:v>
      </x:c>
      <x:c r="H261" s="4" t="str">
        <x:v>开播人数以完成场次去重</x:v>
      </x:c>
      <x:c r="I261" s="4" t="str">
        <x:v>1. 已登录公会长账号
2. 甲完成两场、乙完成一场、丙仅有进行中场次</x:v>
      </x:c>
      <x:c r="J261" s="4" t="str">
        <x:v>1. 进入「主播业绩」页
2. 查看开播人数以完成场次去重</x:v>
      </x:c>
      <x:c r="K261" s="4" t="str">
        <x:v>开播人数为2</x:v>
      </x:c>
      <x:c r="L261" s="4" t="str"/>
      <x:c r="M261" s="4" t="str">
        <x:v>未测</x:v>
      </x:c>
      <x:c r="N261" s="4" t="str"/>
      <x:c r="O261" s="4" t="str">
        <x:v>1. 来源：MainBasis/统一需求文档.md；G-guild-host-list-002
2. 场景：SC-26c9fa6f8e2bac</x:v>
      </x:c>
    </x:row>
    <x:row r="262" ht="54" customHeight="1">
      <x:c r="A262" s="4" t="n">
        <x:v>261</x:v>
      </x:c>
      <x:c r="B262" s="4" t="str">
        <x:v>GUILD-0261</x:v>
      </x:c>
      <x:c r="C262" s="4" t="str">
        <x:v>M12 直播业绩、增长与统计报表</x:v>
      </x:c>
      <x:c r="D262" s="4" t="str">
        <x:v>主播业绩（公会长视角）</x:v>
      </x:c>
      <x:c r="E262" s="4" t="str">
        <x:v>功能需求</x:v>
      </x:c>
      <x:c r="F262" s="4" t="str">
        <x:v>P2</x:v>
      </x:c>
      <x:c r="G262" s="4" t="str">
        <x:v>验证首次进入默认今日</x:v>
      </x:c>
      <x:c r="H262" s="4" t="str">
        <x:v>首次进入默认今日</x:v>
      </x:c>
      <x:c r="I262" s="4" t="str">
        <x:v>1. 已登录公会长账号
2. 本次首次进入该页且无上游带入筛选</x:v>
      </x:c>
      <x:c r="J262" s="4" t="str">
        <x:v>1. 进入「主播业绩」页
2. 查看首次进入默认今日</x:v>
      </x:c>
      <x:c r="K262" s="4" t="str">
        <x:v>日期范围默认今日</x:v>
      </x:c>
      <x:c r="L262" s="4" t="str"/>
      <x:c r="M262" s="4" t="str">
        <x:v>未测</x:v>
      </x:c>
      <x:c r="N262" s="4" t="str"/>
      <x:c r="O262" s="4" t="str">
        <x:v>1. 来源：MainBasis/统一需求文档.md；G-guild-host-list-001
2. 场景：SC-7f5985a36d770c</x:v>
      </x:c>
    </x:row>
    <x:row r="263" ht="54" customHeight="1">
      <x:c r="A263" s="4" t="n">
        <x:v>262</x:v>
      </x:c>
      <x:c r="B263" s="4" t="str">
        <x:v>GUILD-0262</x:v>
      </x:c>
      <x:c r="C263" s="4" t="str">
        <x:v>M12 直播业绩、增长与统计报表</x:v>
      </x:c>
      <x:c r="D263" s="4" t="str">
        <x:v>主播业绩（公会长视角）</x:v>
      </x:c>
      <x:c r="E263" s="4" t="str">
        <x:v>功能需求</x:v>
      </x:c>
      <x:c r="F263" s="4" t="str">
        <x:v>P2</x:v>
      </x:c>
      <x:c r="G263" s="4" t="str">
        <x:v>验证主播行入口</x:v>
      </x:c>
      <x:c r="H263" s="4" t="str">
        <x:v>主播行入口</x:v>
      </x:c>
      <x:c r="I263" s="4" t="str">
        <x:v>1. 已登录公会长账号</x:v>
      </x:c>
      <x:c r="J263" s="4" t="str">
        <x:v>1. 进入「主播业绩」页
2. 点击「主播行」</x:v>
      </x:c>
      <x:c r="K263" s="4" t="str">
        <x:v>页面进入「「主播数据」」</x:v>
      </x:c>
      <x:c r="L263" s="4" t="str"/>
      <x:c r="M263" s="4" t="str">
        <x:v>未测</x:v>
      </x:c>
      <x:c r="N263" s="4" t="str"/>
      <x:c r="O263" s="4" t="str">
        <x:v>1. 来源：MainBasis/统一需求文档.md；G-guild-host-list-005
2. 场景：SC-5af43b045d5090</x:v>
      </x:c>
    </x:row>
    <x:row r="264" ht="54" customHeight="1">
      <x:c r="A264" s="4" t="n">
        <x:v>263</x:v>
      </x:c>
      <x:c r="B264" s="4" t="str">
        <x:v>GUILD-0263</x:v>
      </x:c>
      <x:c r="C264" s="4" t="str">
        <x:v>M12 直播业绩、增长与统计报表</x:v>
      </x:c>
      <x:c r="D264" s="4" t="str">
        <x:v>主播数据（公会长视角）</x:v>
      </x:c>
      <x:c r="E264" s="4" t="str">
        <x:v>功能需求</x:v>
      </x:c>
      <x:c r="F264" s="4" t="str">
        <x:v>P1</x:v>
      </x:c>
      <x:c r="G264" s="4" t="str">
        <x:v>验证公会主播日数据下钻</x:v>
      </x:c>
      <x:c r="H264" s="4" t="str">
        <x:v>公会主播日数据下钻</x:v>
      </x:c>
      <x:c r="I264" s="4" t="str">
        <x:v>1. 已登录公会长账号
2. 当前选择主播甲的某日</x:v>
      </x:c>
      <x:c r="J264" s="4" t="str">
        <x:v>1. 进入「主播数据」页
2. 点击该日数据行</x:v>
      </x:c>
      <x:c r="K264" s="4" t="str">
        <x:v>进入直播记录并带入主播甲及对应日范围</x:v>
      </x:c>
      <x:c r="L264" s="4" t="str"/>
      <x:c r="M264" s="4" t="str">
        <x:v>未测</x:v>
      </x:c>
      <x:c r="N264" s="4" t="str"/>
      <x:c r="O264" s="4" t="str">
        <x:v>1. 来源：MainBasis/统一需求文档.md；G-guild-host-summary-006
2. 场景：SC-8ed5750154211b</x:v>
      </x:c>
    </x:row>
    <x:row r="265" ht="54" customHeight="1">
      <x:c r="A265" s="4" t="n">
        <x:v>264</x:v>
      </x:c>
      <x:c r="B265" s="4" t="str">
        <x:v>GUILD-0264</x:v>
      </x:c>
      <x:c r="C265" s="4" t="str">
        <x:v>M12 直播业绩、增长与统计报表</x:v>
      </x:c>
      <x:c r="D265" s="4" t="str">
        <x:v>主播数据（公会长视角）</x:v>
      </x:c>
      <x:c r="E265" s="4" t="str">
        <x:v>功能需求</x:v>
      </x:c>
      <x:c r="F265" s="4" t="str">
        <x:v>P1</x:v>
      </x:c>
      <x:c r="G265" s="4" t="str">
        <x:v>验证公会主播月数据下钻</x:v>
      </x:c>
      <x:c r="H265" s="4" t="str">
        <x:v>公会主播月数据下钻</x:v>
      </x:c>
      <x:c r="I265" s="4" t="str">
        <x:v>1. 已登录公会长账号
2. 当前选择主播甲的某月</x:v>
      </x:c>
      <x:c r="J265" s="4" t="str">
        <x:v>1. 进入「主播数据」页
2. 点击该月数据行</x:v>
      </x:c>
      <x:c r="K265" s="4" t="str">
        <x:v>进入直播记录并带入主播甲及对应月范围</x:v>
      </x:c>
      <x:c r="L265" s="4" t="str"/>
      <x:c r="M265" s="4" t="str">
        <x:v>未测</x:v>
      </x:c>
      <x:c r="N265" s="4" t="str"/>
      <x:c r="O265" s="4" t="str">
        <x:v>1. 来源：MainBasis/统一需求文档.md；G-guild-host-summary-006
2. 场景：SC-d08b6a218946b4</x:v>
      </x:c>
    </x:row>
    <x:row r="266" ht="54" customHeight="1">
      <x:c r="A266" s="4" t="n">
        <x:v>265</x:v>
      </x:c>
      <x:c r="B266" s="4" t="str">
        <x:v>GUILD-0265</x:v>
      </x:c>
      <x:c r="C266" s="4" t="str">
        <x:v>M12 直播业绩、增长与统计报表</x:v>
      </x:c>
      <x:c r="D266" s="4" t="str">
        <x:v>主播数据（公会长视角）</x:v>
      </x:c>
      <x:c r="E266" s="4" t="str">
        <x:v>功能需求</x:v>
      </x:c>
      <x:c r="F266" s="4" t="str">
        <x:v>P2</x:v>
      </x:c>
      <x:c r="G266" s="4" t="str">
        <x:v>验证首次进入默认本月</x:v>
      </x:c>
      <x:c r="H266" s="4" t="str">
        <x:v>首次进入默认本月</x:v>
      </x:c>
      <x:c r="I266" s="4" t="str">
        <x:v>1. 已登录公会长账号
2. 本次首次进入该页且无上游带入筛选</x:v>
      </x:c>
      <x:c r="J266" s="4" t="str">
        <x:v>1. 进入「主播数据」页
2. 查看首次进入默认本月</x:v>
      </x:c>
      <x:c r="K266" s="4" t="str">
        <x:v>日期范围默认本月</x:v>
      </x:c>
      <x:c r="L266" s="4" t="str"/>
      <x:c r="M266" s="4" t="str">
        <x:v>未测</x:v>
      </x:c>
      <x:c r="N266" s="4" t="str"/>
      <x:c r="O266" s="4" t="str">
        <x:v>1. 来源：MainBasis/统一需求文档.md；G-guild-host-summary-003
2. 场景：SC-770b03fbd8b639</x:v>
      </x:c>
    </x:row>
    <x:row r="267" ht="54" customHeight="1">
      <x:c r="A267" s="4" t="n">
        <x:v>266</x:v>
      </x:c>
      <x:c r="B267" s="4" t="str">
        <x:v>GUILD-0266</x:v>
      </x:c>
      <x:c r="C267" s="4" t="str">
        <x:v>M12 直播业绩、增长与统计报表</x:v>
      </x:c>
      <x:c r="D267" s="4" t="str">
        <x:v>主播数据（公会长视角）</x:v>
      </x:c>
      <x:c r="E267" s="4" t="str">
        <x:v>功能需求</x:v>
      </x:c>
      <x:c r="F267" s="4" t="str">
        <x:v>P1</x:v>
      </x:c>
      <x:c r="G267" s="4" t="str">
        <x:v>验证退会主播数据标记</x:v>
      </x:c>
      <x:c r="H267" s="4" t="str">
        <x:v>退会主播数据标记</x:v>
      </x:c>
      <x:c r="I267" s="4" t="str">
        <x:v>1. 已登录公会长账号
2. 该主播已有历史业绩但已退会</x:v>
      </x:c>
      <x:c r="J267" s="4" t="str">
        <x:v>1. 进入「主播数据」页
2. 查看退会主播数据标记</x:v>
      </x:c>
      <x:c r="K267" s="4" t="str">
        <x:v>主播数据仍展示其信息并标【退会】</x:v>
      </x:c>
      <x:c r="L267" s="4" t="str"/>
      <x:c r="M267" s="4" t="str">
        <x:v>未测</x:v>
      </x:c>
      <x:c r="N267" s="4" t="str"/>
      <x:c r="O267" s="4" t="str">
        <x:v>1. 来源：MainBasis/统一需求文档.md；G-guild-host-summary-001
2. 场景：SC-a17ce8344fcde0</x:v>
      </x:c>
    </x:row>
    <x:row r="268" ht="54" customHeight="1">
      <x:c r="A268" s="4" t="n">
        <x:v>267</x:v>
      </x:c>
      <x:c r="B268" s="4" t="str">
        <x:v>GUILD-0267</x:v>
      </x:c>
      <x:c r="C268" s="4" t="str">
        <x:v>M12 直播业绩、增长与统计报表</x:v>
      </x:c>
      <x:c r="D268" s="4" t="str">
        <x:v>主播数据（公会长视角）</x:v>
      </x:c>
      <x:c r="E268" s="4" t="str">
        <x:v>功能需求</x:v>
      </x:c>
      <x:c r="F268" s="4" t="str">
        <x:v>P1</x:v>
      </x:c>
      <x:c r="G268" s="4" t="str">
        <x:v>验证主播数据主页入口</x:v>
      </x:c>
      <x:c r="H268" s="4" t="str">
        <x:v>主播数据主页入口</x:v>
      </x:c>
      <x:c r="I268" s="4" t="str">
        <x:v>1. 已登录公会长账号
2. 当前查看主播甲数据</x:v>
      </x:c>
      <x:c r="J268" s="4" t="str">
        <x:v>1. 进入「主播数据」页
2. 点击主页入口</x:v>
      </x:c>
      <x:c r="K268" s="4" t="str">
        <x:v>进入主播甲详情</x:v>
      </x:c>
      <x:c r="L268" s="4" t="str"/>
      <x:c r="M268" s="4" t="str">
        <x:v>未测</x:v>
      </x:c>
      <x:c r="N268" s="4" t="str"/>
      <x:c r="O268" s="4" t="str">
        <x:v>1. 来源：MainBasis/统一需求文档.md；G-guild-host-summary-007
2. 场景：SC-eb8e5605c1322c</x:v>
      </x:c>
    </x:row>
    <x:row r="269" ht="54" customHeight="1">
      <x:c r="A269" s="4" t="n">
        <x:v>268</x:v>
      </x:c>
      <x:c r="B269" s="4" t="str">
        <x:v>GUILD-0268</x:v>
      </x:c>
      <x:c r="C269" s="4" t="str">
        <x:v>M12 直播业绩、增长与统计报表</x:v>
      </x:c>
      <x:c r="D269" s="4" t="str">
        <x:v>主播数据（公会长视角）</x:v>
      </x:c>
      <x:c r="E269" s="4" t="str">
        <x:v>功能需求</x:v>
      </x:c>
      <x:c r="F269" s="4" t="str">
        <x:v>P1</x:v>
      </x:c>
      <x:c r="G269" s="4" t="str">
        <x:v>验证主播业绩日数据视角</x:v>
      </x:c>
      <x:c r="H269" s="4" t="str">
        <x:v>主播业绩日数据视角</x:v>
      </x:c>
      <x:c r="I269" s="4" t="str">
        <x:v>1. 已登录公会长账号
2. 公会内主播在所选日和月均存在记录</x:v>
      </x:c>
      <x:c r="J269" s="4" t="str">
        <x:v>1. 进入「主播数据」页
2. 点击「日数据」</x:v>
      </x:c>
      <x:c r="K269" s="4" t="str">
        <x:v>当前视角切换为日数据</x:v>
      </x:c>
      <x:c r="L269" s="4" t="str"/>
      <x:c r="M269" s="4" t="str">
        <x:v>未测</x:v>
      </x:c>
      <x:c r="N269" s="4" t="str"/>
      <x:c r="O269" s="4" t="str">
        <x:v>1. 来源：MainBasis/统一需求文档.md；G-guild-host-summary-002
2. 场景：SC-e2687987e96ebb</x:v>
      </x:c>
    </x:row>
    <x:row r="270" ht="54" customHeight="1">
      <x:c r="A270" s="4" t="n">
        <x:v>269</x:v>
      </x:c>
      <x:c r="B270" s="4" t="str">
        <x:v>GUILD-0269</x:v>
      </x:c>
      <x:c r="C270" s="4" t="str">
        <x:v>M12 直播业绩、增长与统计报表</x:v>
      </x:c>
      <x:c r="D270" s="4" t="str">
        <x:v>主播数据（公会长视角）</x:v>
      </x:c>
      <x:c r="E270" s="4" t="str">
        <x:v>功能需求</x:v>
      </x:c>
      <x:c r="F270" s="4" t="str">
        <x:v>P1</x:v>
      </x:c>
      <x:c r="G270" s="4" t="str">
        <x:v>验证主播业绩月数据视角</x:v>
      </x:c>
      <x:c r="H270" s="4" t="str">
        <x:v>主播业绩月数据视角</x:v>
      </x:c>
      <x:c r="I270" s="4" t="str">
        <x:v>1. 已登录公会长账号
2. 公会内主播在所选日和月均存在记录</x:v>
      </x:c>
      <x:c r="J270" s="4" t="str">
        <x:v>1. 进入「主播数据」页
2. 点击「月数据」</x:v>
      </x:c>
      <x:c r="K270" s="4" t="str">
        <x:v>当前视角切换为月数据</x:v>
      </x:c>
      <x:c r="L270" s="4" t="str"/>
      <x:c r="M270" s="4" t="str">
        <x:v>未测</x:v>
      </x:c>
      <x:c r="N270" s="4" t="str"/>
      <x:c r="O270" s="4" t="str">
        <x:v>1. 来源：MainBasis/统一需求文档.md；G-guild-host-summary-002
2. 场景：SC-e8c694b55668f3</x:v>
      </x:c>
    </x:row>
    <x:row r="271" ht="54" customHeight="1">
      <x:c r="A271" s="4" t="n">
        <x:v>270</x:v>
      </x:c>
      <x:c r="B271" s="4" t="str">
        <x:v>GUILD-0270</x:v>
      </x:c>
      <x:c r="C271" s="4" t="str">
        <x:v>M12 直播业绩、增长与统计报表</x:v>
      </x:c>
      <x:c r="D271" s="4" t="str">
        <x:v>直播记录（公会长视角）</x:v>
      </x:c>
      <x:c r="E271" s="4" t="str">
        <x:v>功能需求</x:v>
      </x:c>
      <x:c r="F271" s="4" t="str">
        <x:v>P2</x:v>
      </x:c>
      <x:c r="G271" s="4" t="str">
        <x:v>验证直播场次回显</x:v>
      </x:c>
      <x:c r="H271" s="4" t="str">
        <x:v>直播场次回显</x:v>
      </x:c>
      <x:c r="I271" s="4" t="str">
        <x:v>1. 已登录公会长账号
2. 所选对象存在，已记录该对象的直播场次值</x:v>
      </x:c>
      <x:c r="J271" s="4" t="str">
        <x:v>1. 进入「直播记录」页
2. 查看直播场次回显</x:v>
      </x:c>
      <x:c r="K271" s="4" t="str">
        <x:v>「直播场次」内容与所选对象的该项资料一致</x:v>
      </x:c>
      <x:c r="L271" s="4" t="str"/>
      <x:c r="M271" s="4" t="str">
        <x:v>未测</x:v>
      </x:c>
      <x:c r="N271" s="4" t="str"/>
      <x:c r="O271" s="4" t="str">
        <x:v>1. 来源：MainBasis/统一需求文档.md；G-guild-host-data-003
2. 场景：SC-7aa717adffb979</x:v>
      </x:c>
    </x:row>
    <x:row r="272" ht="54" customHeight="1">
      <x:c r="A272" s="4" t="n">
        <x:v>271</x:v>
      </x:c>
      <x:c r="B272" s="4" t="str">
        <x:v>GUILD-0271</x:v>
      </x:c>
      <x:c r="C272" s="4" t="str">
        <x:v>M12 直播业绩、增长与统计报表</x:v>
      </x:c>
      <x:c r="D272" s="4" t="str">
        <x:v>直播记录（公会长视角）</x:v>
      </x:c>
      <x:c r="E272" s="4" t="str">
        <x:v>功能需求</x:v>
      </x:c>
      <x:c r="F272" s="4" t="str">
        <x:v>P2</x:v>
      </x:c>
      <x:c r="G272" s="4" t="str">
        <x:v>验证观众回显</x:v>
      </x:c>
      <x:c r="H272" s="4" t="str">
        <x:v>观众回显</x:v>
      </x:c>
      <x:c r="I272" s="4" t="str">
        <x:v>1. 已登录公会长账号
2. 所选对象存在，已记录该对象的观众值</x:v>
      </x:c>
      <x:c r="J272" s="4" t="str">
        <x:v>1. 进入「直播记录」页
2. 查看观众回显</x:v>
      </x:c>
      <x:c r="K272" s="4" t="str">
        <x:v>「观众」内容与所选对象的该项资料一致</x:v>
      </x:c>
      <x:c r="L272" s="4" t="str"/>
      <x:c r="M272" s="4" t="str">
        <x:v>未测</x:v>
      </x:c>
      <x:c r="N272" s="4" t="str"/>
      <x:c r="O272" s="4" t="str">
        <x:v>1. 来源：MainBasis/统一需求文档.md；G-guild-host-data-005
2. 场景：SC-b7af9a6bc8e890</x:v>
      </x:c>
    </x:row>
    <x:row r="273" ht="54" customHeight="1">
      <x:c r="A273" s="4" t="n">
        <x:v>272</x:v>
      </x:c>
      <x:c r="B273" s="4" t="str">
        <x:v>GUILD-0272</x:v>
      </x:c>
      <x:c r="C273" s="4" t="str">
        <x:v>M12 直播业绩、增长与统计报表</x:v>
      </x:c>
      <x:c r="D273" s="4" t="str">
        <x:v>直播记录（公会长视角）</x:v>
      </x:c>
      <x:c r="E273" s="4" t="str">
        <x:v>功能需求</x:v>
      </x:c>
      <x:c r="F273" s="4" t="str">
        <x:v>P1</x:v>
      </x:c>
      <x:c r="G273" s="4" t="str">
        <x:v>验证同用户重复进场观众去重</x:v>
      </x:c>
      <x:c r="H273" s="4" t="str">
        <x:v>同用户重复进场观众去重</x:v>
      </x:c>
      <x:c r="I273" s="4" t="str">
        <x:v>1. 已登录公会长账号
2. 同一场次用户甲进入2次，乙进入1次</x:v>
      </x:c>
      <x:c r="J273" s="4" t="str">
        <x:v>1. 进入「直播记录」页
2. 查看同用户重复进场观众去重</x:v>
      </x:c>
      <x:c r="K273" s="4" t="str">
        <x:v>该场观众人数为2</x:v>
      </x:c>
      <x:c r="L273" s="4" t="str"/>
      <x:c r="M273" s="4" t="str">
        <x:v>未测</x:v>
      </x:c>
      <x:c r="N273" s="4" t="str"/>
      <x:c r="O273" s="4" t="str">
        <x:v>1. 来源：MainBasis/统一需求文档.md；G-guild-host-data-005
2. 场景：SC-e2c49ace14d6d9</x:v>
      </x:c>
    </x:row>
    <x:row r="274" ht="54" customHeight="1">
      <x:c r="A274" s="4" t="n">
        <x:v>273</x:v>
      </x:c>
      <x:c r="B274" s="4" t="str">
        <x:v>GUILD-0273</x:v>
      </x:c>
      <x:c r="C274" s="4" t="str">
        <x:v>M12 直播业绩、增长与统计报表</x:v>
      </x:c>
      <x:c r="D274" s="4" t="str">
        <x:v>直播记录（公会长视角）</x:v>
      </x:c>
      <x:c r="E274" s="4" t="str">
        <x:v>功能需求</x:v>
      </x:c>
      <x:c r="F274" s="4" t="str">
        <x:v>P1</x:v>
      </x:c>
      <x:c r="G274" s="4" t="str">
        <x:v>验证礼物件数连送累计</x:v>
      </x:c>
      <x:c r="H274" s="4" t="str">
        <x:v>礼物件数连送累计</x:v>
      </x:c>
      <x:c r="I274" s="4" t="str">
        <x:v>1. 已登录公会长账号
2. 成功赠礼数量2和3，另有一张门票和失败赠礼4件</x:v>
      </x:c>
      <x:c r="J274" s="4" t="str">
        <x:v>1. 进入「直播记录」页
2. 查看礼物件数连送累计</x:v>
      </x:c>
      <x:c r="K274" s="4" t="str">
        <x:v>收礼数量 = 2 + 3 = 5</x:v>
      </x:c>
      <x:c r="L274" s="4" t="str"/>
      <x:c r="M274" s="4" t="str">
        <x:v>未测</x:v>
      </x:c>
      <x:c r="N274" s="4" t="str"/>
      <x:c r="O274" s="4" t="str">
        <x:v>1. 来源：MainBasis/统一需求文档.md；G-guild-host-data-006
2. 场景：SC-fe2e1d2a040bc4</x:v>
      </x:c>
    </x:row>
    <x:row r="275" ht="54" customHeight="1">
      <x:c r="A275" s="4" t="n">
        <x:v>274</x:v>
      </x:c>
      <x:c r="B275" s="4" t="str">
        <x:v>GUILD-0274</x:v>
      </x:c>
      <x:c r="C275" s="4" t="str">
        <x:v>M12 直播业绩、增长与统计报表</x:v>
      </x:c>
      <x:c r="D275" s="4" t="str">
        <x:v>直播记录（公会长视角）</x:v>
      </x:c>
      <x:c r="E275" s="4" t="str">
        <x:v>功能需求</x:v>
      </x:c>
      <x:c r="F275" s="4" t="str">
        <x:v>P1</x:v>
      </x:c>
      <x:c r="G275" s="4" t="str">
        <x:v>验证开播人数以完成场次去重</x:v>
      </x:c>
      <x:c r="H275" s="4" t="str">
        <x:v>开播人数以完成场次去重</x:v>
      </x:c>
      <x:c r="I275" s="4" t="str">
        <x:v>1. 已登录公会长账号
2. 甲完成两场、乙完成一场、丙仅有进行中场次</x:v>
      </x:c>
      <x:c r="J275" s="4" t="str">
        <x:v>1. 进入「直播记录」页
2. 查看开播人数以完成场次去重</x:v>
      </x:c>
      <x:c r="K275" s="4" t="str">
        <x:v>开播人数为2</x:v>
      </x:c>
      <x:c r="L275" s="4" t="str"/>
      <x:c r="M275" s="4" t="str">
        <x:v>未测</x:v>
      </x:c>
      <x:c r="N275" s="4" t="str"/>
      <x:c r="O275" s="4" t="str">
        <x:v>1. 来源：MainBasis/统一需求文档.md；G-guild-host-data-002
2. 场景：SC-6f51a7543eed5b</x:v>
      </x:c>
    </x:row>
    <x:row r="276" ht="54" customHeight="1">
      <x:c r="A276" s="4" t="n">
        <x:v>275</x:v>
      </x:c>
      <x:c r="B276" s="4" t="str">
        <x:v>GUILD-0275</x:v>
      </x:c>
      <x:c r="C276" s="4" t="str">
        <x:v>M12 直播业绩、增长与统计报表</x:v>
      </x:c>
      <x:c r="D276" s="4" t="str">
        <x:v>直播记录（公会长视角）</x:v>
      </x:c>
      <x:c r="E276" s="4" t="str">
        <x:v>功能需求</x:v>
      </x:c>
      <x:c r="F276" s="4" t="str">
        <x:v>P1</x:v>
      </x:c>
      <x:c r="G276" s="4" t="str">
        <x:v>验证公会场次下钻保留标识</x:v>
      </x:c>
      <x:c r="H276" s="4" t="str">
        <x:v>公会场次下钻保留标识</x:v>
      </x:c>
      <x:c r="I276" s="4" t="str">
        <x:v>1. 已登录公会长账号
2. 当前列表有主播甲场次1001</x:v>
      </x:c>
      <x:c r="J276" s="4" t="str">
        <x:v>1. 进入「直播记录」页
2. 点击场次1001</x:v>
      </x:c>
      <x:c r="K276" s="4" t="str">
        <x:v>详情带入主播甲、日期和场次1001</x:v>
      </x:c>
      <x:c r="L276" s="4" t="str"/>
      <x:c r="M276" s="4" t="str">
        <x:v>未测</x:v>
      </x:c>
      <x:c r="N276" s="4" t="str"/>
      <x:c r="O276" s="4" t="str">
        <x:v>1. 来源：MainBasis/统一需求文档.md；G-guild-host-data-008
2. 场景：SC-7585df54f952c2</x:v>
      </x:c>
    </x:row>
    <x:row r="277" ht="54" customHeight="1">
      <x:c r="A277" s="4" t="n">
        <x:v>276</x:v>
      </x:c>
      <x:c r="B277" s="4" t="str">
        <x:v>GUILD-0276</x:v>
      </x:c>
      <x:c r="C277" s="4" t="str">
        <x:v>M12 直播业绩、增长与统计报表</x:v>
      </x:c>
      <x:c r="D277" s="4" t="str">
        <x:v>直播记录（公会长视角）</x:v>
      </x:c>
      <x:c r="E277" s="4" t="str">
        <x:v>功能需求</x:v>
      </x:c>
      <x:c r="F277" s="4" t="str">
        <x:v>P2</x:v>
      </x:c>
      <x:c r="G277" s="4" t="str">
        <x:v>验证首次进入默认今日</x:v>
      </x:c>
      <x:c r="H277" s="4" t="str">
        <x:v>首次进入默认今日</x:v>
      </x:c>
      <x:c r="I277" s="4" t="str">
        <x:v>1. 已登录公会长账号
2. 本次首次进入该页且无上游带入筛选</x:v>
      </x:c>
      <x:c r="J277" s="4" t="str">
        <x:v>1. 进入「直播记录」页
2. 查看首次进入默认今日</x:v>
      </x:c>
      <x:c r="K277" s="4" t="str">
        <x:v>日期范围默认今日</x:v>
      </x:c>
      <x:c r="L277" s="4" t="str"/>
      <x:c r="M277" s="4" t="str">
        <x:v>未测</x:v>
      </x:c>
      <x:c r="N277" s="4" t="str"/>
      <x:c r="O277" s="4" t="str">
        <x:v>1. 来源：MainBasis/统一需求文档.md；G-guild-host-data-001
2. 场景：SC-9d5c17b4f4856b</x:v>
      </x:c>
    </x:row>
    <x:row r="278" ht="54" customHeight="1">
      <x:c r="A278" s="4" t="n">
        <x:v>277</x:v>
      </x:c>
      <x:c r="B278" s="4" t="str">
        <x:v>GUILD-0277</x:v>
      </x:c>
      <x:c r="C278" s="4" t="str">
        <x:v>M12 直播业绩、增长与统计报表</x:v>
      </x:c>
      <x:c r="D278" s="4" t="str">
        <x:v>直播场次详情（公会长视角）</x:v>
      </x:c>
      <x:c r="E278" s="4" t="str">
        <x:v>功能需求</x:v>
      </x:c>
      <x:c r="F278" s="4" t="str">
        <x:v>P2</x:v>
      </x:c>
      <x:c r="G278" s="4" t="str">
        <x:v>验证场次信息回显</x:v>
      </x:c>
      <x:c r="H278" s="4" t="str">
        <x:v>场次信息回显</x:v>
      </x:c>
      <x:c r="I278" s="4" t="str">
        <x:v>1. 已登录公会长账号
2. 所选对象存在，已记录该对象的场次信息值</x:v>
      </x:c>
      <x:c r="J278" s="4" t="str">
        <x:v>1. 进入「直播场次详情」页
2. 查看场次信息回显</x:v>
      </x:c>
      <x:c r="K278" s="4" t="str">
        <x:v>「场次信息」内容与所选对象的该项资料一致</x:v>
      </x:c>
      <x:c r="L278" s="4" t="str"/>
      <x:c r="M278" s="4" t="str">
        <x:v>未测</x:v>
      </x:c>
      <x:c r="N278" s="4" t="str"/>
      <x:c r="O278" s="4" t="str">
        <x:v>1. 来源：MainBasis/统一需求文档.md；G-guild-live-gift-detail-001
2. 场景：SC-4908474c5bc0f3</x:v>
      </x:c>
    </x:row>
    <x:row r="279" ht="68" customHeight="1">
      <x:c r="A279" s="4" t="n">
        <x:v>278</x:v>
      </x:c>
      <x:c r="B279" s="4" t="str">
        <x:v>GUILD-0278</x:v>
      </x:c>
      <x:c r="C279" s="4" t="str">
        <x:v>M12 直播业绩、增长与统计报表</x:v>
      </x:c>
      <x:c r="D279" s="4" t="str">
        <x:v>直播场次详情（公会长视角）</x:v>
      </x:c>
      <x:c r="E279" s="4" t="str">
        <x:v>逻辑校验</x:v>
      </x:c>
      <x:c r="F279" s="4" t="str">
        <x:v>P1</x:v>
      </x:c>
      <x:c r="G279" s="4" t="str">
        <x:v>验证公会场次礼物收益区分幸运赠礼</x:v>
      </x:c>
      <x:c r="H279" s="4" t="str">
        <x:v>公会场次礼物收益区分幸运赠礼</x:v>
      </x:c>
      <x:c r="I279" s="4" t="str">
        <x:v>1. 已登录公会长账号
2. 范围内普通礼物100、定制礼物200、幸运礼物1000且赠送时比例1%，返奖900</x:v>
      </x:c>
      <x:c r="J279" s="4" t="str">
        <x:v>1. 进入「直播场次详情」页
2. 查看公会场次礼物收益区分幸运赠礼</x:v>
      </x:c>
      <x:c r="K279" s="4" t="str">
        <x:v>公会场次礼物收益 = 100 + 200 + 1000 × 1% = 310金币</x:v>
      </x:c>
      <x:c r="L279" s="4" t="str"/>
      <x:c r="M279" s="4" t="str">
        <x:v>未测</x:v>
      </x:c>
      <x:c r="N279" s="4" t="str"/>
      <x:c r="O279" s="4" t="str">
        <x:v>1. 来源：MainBasis/统一需求文档.md；G-guild-live-gift-detail-005、G-guild-live-gift-detail-006、G-guild-host-data-004
2. 场景：SC-b36a3fd726f056</x:v>
      </x:c>
    </x:row>
    <x:row r="280" ht="68" customHeight="1">
      <x:c r="A280" s="4" t="n">
        <x:v>279</x:v>
      </x:c>
      <x:c r="B280" s="4" t="str">
        <x:v>GUILD-0279</x:v>
      </x:c>
      <x:c r="C280" s="4" t="str">
        <x:v>M12 直播业绩、增长与统计报表</x:v>
      </x:c>
      <x:c r="D280" s="4" t="str">
        <x:v>直播场次详情（公会长视角）</x:v>
      </x:c>
      <x:c r="E280" s="4" t="str">
        <x:v>逻辑校验</x:v>
      </x:c>
      <x:c r="F280" s="4" t="str">
        <x:v>P1</x:v>
      </x:c>
      <x:c r="G280" s="4" t="str">
        <x:v>验证公会场次礼物收益排除虚拟和失败</x:v>
      </x:c>
      <x:c r="H280" s="4" t="str">
        <x:v>公会场次礼物收益排除虚拟和失败</x:v>
      </x:c>
      <x:c r="I280" s="4" t="str">
        <x:v>1. 已登录公会长账号
2. 范围内真实成功普通礼物100，另有虚拟礼物100、失败礼物50</x:v>
      </x:c>
      <x:c r="J280" s="4" t="str">
        <x:v>1. 进入「直播场次详情」页
2. 查看公会场次礼物收益排除虚拟和失败</x:v>
      </x:c>
      <x:c r="K280" s="4" t="str">
        <x:v>公会场次礼物收益 = 100金币</x:v>
      </x:c>
      <x:c r="L280" s="4" t="str"/>
      <x:c r="M280" s="4" t="str">
        <x:v>未测</x:v>
      </x:c>
      <x:c r="N280" s="4" t="str"/>
      <x:c r="O280" s="4" t="str">
        <x:v>1. 来源：MainBasis/统一需求文档.md；G-guild-live-gift-detail-005、G-guild-live-gift-detail-006、G-guild-host-data-004
2. 场景：SC-5033496e7fd7a3</x:v>
      </x:c>
    </x:row>
    <x:row r="281" ht="54" customHeight="1">
      <x:c r="A281" s="4" t="n">
        <x:v>280</x:v>
      </x:c>
      <x:c r="B281" s="4" t="str">
        <x:v>GUILD-0280</x:v>
      </x:c>
      <x:c r="C281" s="4" t="str">
        <x:v>M12 直播业绩、增长与统计报表</x:v>
      </x:c>
      <x:c r="D281" s="4" t="str">
        <x:v>直播场次详情（公会长视角）</x:v>
      </x:c>
      <x:c r="E281" s="4" t="str">
        <x:v>功能需求</x:v>
      </x:c>
      <x:c r="F281" s="4" t="str">
        <x:v>P1</x:v>
      </x:c>
      <x:c r="G281" s="4" t="str">
        <x:v>验证同用户重复进场观众去重</x:v>
      </x:c>
      <x:c r="H281" s="4" t="str">
        <x:v>同用户重复进场观众去重</x:v>
      </x:c>
      <x:c r="I281" s="4" t="str">
        <x:v>1. 已登录公会长账号
2. 同一场次用户甲进入2次，乙进入1次</x:v>
      </x:c>
      <x:c r="J281" s="4" t="str">
        <x:v>1. 进入「直播场次详情」页
2. 查看同用户重复进场观众去重</x:v>
      </x:c>
      <x:c r="K281" s="4" t="str">
        <x:v>该场观众人数为2</x:v>
      </x:c>
      <x:c r="L281" s="4" t="str"/>
      <x:c r="M281" s="4" t="str">
        <x:v>未测</x:v>
      </x:c>
      <x:c r="N281" s="4" t="str"/>
      <x:c r="O281" s="4" t="str">
        <x:v>1. 来源：MainBasis/统一需求文档.md；G-guild-live-gift-detail-004
2. 场景：SC-a325dd682efd63</x:v>
      </x:c>
    </x:row>
    <x:row r="282" ht="54" customHeight="1">
      <x:c r="A282" s="4" t="n">
        <x:v>281</x:v>
      </x:c>
      <x:c r="B282" s="4" t="str">
        <x:v>GUILD-0281</x:v>
      </x:c>
      <x:c r="C282" s="4" t="str">
        <x:v>M12 直播业绩、增长与统计报表</x:v>
      </x:c>
      <x:c r="D282" s="4" t="str">
        <x:v>直播场次详情（公会长视角）</x:v>
      </x:c>
      <x:c r="E282" s="4" t="str">
        <x:v>功能需求</x:v>
      </x:c>
      <x:c r="F282" s="4" t="str">
        <x:v>P1</x:v>
      </x:c>
      <x:c r="G282" s="4" t="str">
        <x:v>验证送礼观众按用户去重</x:v>
      </x:c>
      <x:c r="H282" s="4" t="str">
        <x:v>送礼观众按用户去重</x:v>
      </x:c>
      <x:c r="I282" s="4" t="str">
        <x:v>1. 已登录公会长账号
2. 甲送礼2笔，乙送礼1笔，丙仅观看</x:v>
      </x:c>
      <x:c r="J282" s="4" t="str">
        <x:v>1. 进入「直播场次详情」页
2. 查看送礼观众按用户去重</x:v>
      </x:c>
      <x:c r="K282" s="4" t="str">
        <x:v>送礼观众2人</x:v>
      </x:c>
      <x:c r="L282" s="4" t="str"/>
      <x:c r="M282" s="4" t="str">
        <x:v>未测</x:v>
      </x:c>
      <x:c r="N282" s="4" t="str"/>
      <x:c r="O282" s="4" t="str">
        <x:v>1. 来源：MainBasis/统一需求文档.md；G-guild-live-gift-detail-004
2. 场景：SC-84b56055886e6d</x:v>
      </x:c>
    </x:row>
    <x:row r="283" ht="54" customHeight="1">
      <x:c r="A283" s="4" t="n">
        <x:v>282</x:v>
      </x:c>
      <x:c r="B283" s="4" t="str">
        <x:v>GUILD-0282</x:v>
      </x:c>
      <x:c r="C283" s="4" t="str">
        <x:v>M12 直播业绩、增长与统计报表</x:v>
      </x:c>
      <x:c r="D283" s="4" t="str">
        <x:v>直播场次详情（公会长视角）</x:v>
      </x:c>
      <x:c r="E283" s="4" t="str">
        <x:v>功能需求</x:v>
      </x:c>
      <x:c r="F283" s="4" t="str">
        <x:v>P1</x:v>
      </x:c>
      <x:c r="G283" s="4" t="str">
        <x:v>验证公会场次返回保留筛选</x:v>
      </x:c>
      <x:c r="H283" s="4" t="str">
        <x:v>公会场次返回保留筛选</x:v>
      </x:c>
      <x:c r="I283" s="4" t="str">
        <x:v>1. 已登录公会长账号
2. 从选定主播和日期的记录列表进入详情</x:v>
      </x:c>
      <x:c r="J283" s="4" t="str">
        <x:v>1. 进入「直播场次详情」页
2. 点击返回</x:v>
      </x:c>
      <x:c r="K283" s="4" t="str">
        <x:v>原主播与日期筛选保留</x:v>
      </x:c>
      <x:c r="L283" s="4" t="str"/>
      <x:c r="M283" s="4" t="str">
        <x:v>未测</x:v>
      </x:c>
      <x:c r="N283" s="4" t="str"/>
      <x:c r="O283" s="4" t="str">
        <x:v>1. 来源：MainBasis/统一需求文档.md；G-guild-live-gift-detail-007
2. 场景：SC-16c3050a69863e</x:v>
      </x:c>
    </x:row>
    <x:row r="284" ht="54" customHeight="1">
      <x:c r="A284" s="4" t="n">
        <x:v>283</x:v>
      </x:c>
      <x:c r="B284" s="4" t="str">
        <x:v>GUILD-0283</x:v>
      </x:c>
      <x:c r="C284" s="4" t="str">
        <x:v>M12 直播业绩、增长与统计报表</x:v>
      </x:c>
      <x:c r="D284" s="4" t="str">
        <x:v>直播场次详情（公会长视角）</x:v>
      </x:c>
      <x:c r="E284" s="4" t="str">
        <x:v>功能需求</x:v>
      </x:c>
      <x:c r="F284" s="4" t="str">
        <x:v>P1</x:v>
      </x:c>
      <x:c r="G284" s="4" t="str">
        <x:v>验证赠送时间与来源明细一致</x:v>
      </x:c>
      <x:c r="H284" s="4" t="str">
        <x:v>赠送时间与来源明细一致</x:v>
      </x:c>
      <x:c r="I284" s="4" t="str">
        <x:v>1. 已登录公会长账号
2. 已记录所选记录的赠送时间，无其他记录混入当前选择</x:v>
      </x:c>
      <x:c r="J284" s="4" t="str">
        <x:v>1. 进入「直播场次详情」页
2. 查看赠送时间与来源明细一致</x:v>
      </x:c>
      <x:c r="K284" s="4" t="str">
        <x:v>赠送时间展示该记录对应值</x:v>
      </x:c>
      <x:c r="L284" s="4" t="str"/>
      <x:c r="M284" s="4" t="str">
        <x:v>未测</x:v>
      </x:c>
      <x:c r="N284" s="4" t="str"/>
      <x:c r="O284" s="4" t="str">
        <x:v>1. 来源：MainBasis/统一需求文档.md；G-guild-live-gift-detail-002
2. 场景：SC-349d2192dea0ce</x:v>
      </x:c>
    </x:row>
    <x:row r="285" ht="54" customHeight="1">
      <x:c r="A285" s="4" t="n">
        <x:v>284</x:v>
      </x:c>
      <x:c r="B285" s="4" t="str">
        <x:v>GUILD-0284</x:v>
      </x:c>
      <x:c r="C285" s="4" t="str">
        <x:v>M12 直播业绩、增长与统计报表</x:v>
      </x:c>
      <x:c r="D285" s="4" t="str">
        <x:v>直播场次详情（公会长视角）</x:v>
      </x:c>
      <x:c r="E285" s="4" t="str">
        <x:v>功能需求</x:v>
      </x:c>
      <x:c r="F285" s="4" t="str">
        <x:v>P1</x:v>
      </x:c>
      <x:c r="G285" s="4" t="str">
        <x:v>验证礼物名称与来源明细一致</x:v>
      </x:c>
      <x:c r="H285" s="4" t="str">
        <x:v>礼物名称与来源明细一致</x:v>
      </x:c>
      <x:c r="I285" s="4" t="str">
        <x:v>1. 已登录公会长账号
2. 已记录所选记录的礼物名称，无其他记录混入当前选择</x:v>
      </x:c>
      <x:c r="J285" s="4" t="str">
        <x:v>1. 进入「直播场次详情」页
2. 查看礼物名称与来源明细一致</x:v>
      </x:c>
      <x:c r="K285" s="4" t="str">
        <x:v>礼物名称展示该记录对应值</x:v>
      </x:c>
      <x:c r="L285" s="4" t="str"/>
      <x:c r="M285" s="4" t="str">
        <x:v>未测</x:v>
      </x:c>
      <x:c r="N285" s="4" t="str"/>
      <x:c r="O285" s="4" t="str">
        <x:v>1. 来源：MainBasis/统一需求文档.md；G-guild-live-gift-detail-002
2. 场景：SC-589e78ec621248</x:v>
      </x:c>
    </x:row>
    <x:row r="286" ht="54" customHeight="1">
      <x:c r="A286" s="4" t="n">
        <x:v>285</x:v>
      </x:c>
      <x:c r="B286" s="4" t="str">
        <x:v>GUILD-0285</x:v>
      </x:c>
      <x:c r="C286" s="4" t="str">
        <x:v>M12 直播业绩、增长与统计报表</x:v>
      </x:c>
      <x:c r="D286" s="4" t="str">
        <x:v>直播场次详情（公会长视角）</x:v>
      </x:c>
      <x:c r="E286" s="4" t="str">
        <x:v>功能需求</x:v>
      </x:c>
      <x:c r="F286" s="4" t="str">
        <x:v>P1</x:v>
      </x:c>
      <x:c r="G286" s="4" t="str">
        <x:v>验证消费金币与来源明细一致</x:v>
      </x:c>
      <x:c r="H286" s="4" t="str">
        <x:v>消费金币与来源明细一致</x:v>
      </x:c>
      <x:c r="I286" s="4" t="str">
        <x:v>1. 已登录公会长账号
2. 已记录所选记录的消费金币，无其他记录混入当前选择</x:v>
      </x:c>
      <x:c r="J286" s="4" t="str">
        <x:v>1. 进入「直播场次详情」页
2. 查看消费金币与来源明细一致</x:v>
      </x:c>
      <x:c r="K286" s="4" t="str">
        <x:v>消费金币展示该记录对应值</x:v>
      </x:c>
      <x:c r="L286" s="4" t="str"/>
      <x:c r="M286" s="4" t="str">
        <x:v>未测</x:v>
      </x:c>
      <x:c r="N286" s="4" t="str"/>
      <x:c r="O286" s="4" t="str">
        <x:v>1. 来源：MainBasis/统一需求文档.md；G-guild-live-gift-detail-002
2. 场景：SC-885ff61b0b6595</x:v>
      </x:c>
    </x:row>
    <x:row r="287" ht="54" customHeight="1">
      <x:c r="A287" s="4" t="n">
        <x:v>286</x:v>
      </x:c>
      <x:c r="B287" s="4" t="str">
        <x:v>GUILD-0286</x:v>
      </x:c>
      <x:c r="C287" s="4" t="str">
        <x:v>M12 直播业绩、增长与统计报表</x:v>
      </x:c>
      <x:c r="D287" s="4" t="str">
        <x:v>直播场次详情（公会长视角）</x:v>
      </x:c>
      <x:c r="E287" s="4" t="str">
        <x:v>功能需求</x:v>
      </x:c>
      <x:c r="F287" s="4" t="str">
        <x:v>P1</x:v>
      </x:c>
      <x:c r="G287" s="4" t="str">
        <x:v>验证赠送时间与来源明细一致</x:v>
      </x:c>
      <x:c r="H287" s="4" t="str">
        <x:v>赠送时间与来源明细一致</x:v>
      </x:c>
      <x:c r="I287" s="4" t="str">
        <x:v>1. 已登录公会长账号
2. 已记录所选记录的赠送时间，无其他记录混入当前选择</x:v>
      </x:c>
      <x:c r="J287" s="4" t="str">
        <x:v>1. 进入「直播场次详情」页
2. 查看赠送时间与来源明细一致</x:v>
      </x:c>
      <x:c r="K287" s="4" t="str">
        <x:v>赠送时间展示该记录对应值</x:v>
      </x:c>
      <x:c r="L287" s="4" t="str"/>
      <x:c r="M287" s="4" t="str">
        <x:v>未测</x:v>
      </x:c>
      <x:c r="N287" s="4" t="str"/>
      <x:c r="O287" s="4" t="str">
        <x:v>1. 来源：MainBasis/统一需求文档.md；G-guild-live-gift-detail-003
2. 场景：SC-349d2192dea0ce</x:v>
      </x:c>
    </x:row>
    <x:row r="288" ht="54" customHeight="1">
      <x:c r="A288" s="4" t="n">
        <x:v>287</x:v>
      </x:c>
      <x:c r="B288" s="4" t="str">
        <x:v>GUILD-0287</x:v>
      </x:c>
      <x:c r="C288" s="4" t="str">
        <x:v>M12 直播业绩、增长与统计报表</x:v>
      </x:c>
      <x:c r="D288" s="4" t="str">
        <x:v>直播场次详情（公会长视角）</x:v>
      </x:c>
      <x:c r="E288" s="4" t="str">
        <x:v>功能需求</x:v>
      </x:c>
      <x:c r="F288" s="4" t="str">
        <x:v>P1</x:v>
      </x:c>
      <x:c r="G288" s="4" t="str">
        <x:v>验证礼物名称与来源明细一致</x:v>
      </x:c>
      <x:c r="H288" s="4" t="str">
        <x:v>礼物名称与来源明细一致</x:v>
      </x:c>
      <x:c r="I288" s="4" t="str">
        <x:v>1. 已登录公会长账号
2. 已记录所选记录的礼物名称，无其他记录混入当前选择</x:v>
      </x:c>
      <x:c r="J288" s="4" t="str">
        <x:v>1. 进入「直播场次详情」页
2. 查看礼物名称与来源明细一致</x:v>
      </x:c>
      <x:c r="K288" s="4" t="str">
        <x:v>礼物名称展示该记录对应值</x:v>
      </x:c>
      <x:c r="L288" s="4" t="str"/>
      <x:c r="M288" s="4" t="str">
        <x:v>未测</x:v>
      </x:c>
      <x:c r="N288" s="4" t="str"/>
      <x:c r="O288" s="4" t="str">
        <x:v>1. 来源：MainBasis/统一需求文档.md；G-guild-live-gift-detail-003
2. 场景：SC-589e78ec621248</x:v>
      </x:c>
    </x:row>
    <x:row r="289" ht="54" customHeight="1">
      <x:c r="A289" s="4" t="n">
        <x:v>288</x:v>
      </x:c>
      <x:c r="B289" s="4" t="str">
        <x:v>GUILD-0288</x:v>
      </x:c>
      <x:c r="C289" s="4" t="str">
        <x:v>M12 直播业绩、增长与统计报表</x:v>
      </x:c>
      <x:c r="D289" s="4" t="str">
        <x:v>直播场次详情（公会长视角）</x:v>
      </x:c>
      <x:c r="E289" s="4" t="str">
        <x:v>功能需求</x:v>
      </x:c>
      <x:c r="F289" s="4" t="str">
        <x:v>P1</x:v>
      </x:c>
      <x:c r="G289" s="4" t="str">
        <x:v>验证消费金币与来源明细一致</x:v>
      </x:c>
      <x:c r="H289" s="4" t="str">
        <x:v>消费金币与来源明细一致</x:v>
      </x:c>
      <x:c r="I289" s="4" t="str">
        <x:v>1. 已登录公会长账号
2. 已记录所选记录的消费金币，无其他记录混入当前选择</x:v>
      </x:c>
      <x:c r="J289" s="4" t="str">
        <x:v>1. 进入「直播场次详情」页
2. 查看消费金币与来源明细一致</x:v>
      </x:c>
      <x:c r="K289" s="4" t="str">
        <x:v>消费金币展示该记录对应值</x:v>
      </x:c>
      <x:c r="L289" s="4" t="str"/>
      <x:c r="M289" s="4" t="str">
        <x:v>未测</x:v>
      </x:c>
      <x:c r="N289" s="4" t="str"/>
      <x:c r="O289" s="4" t="str">
        <x:v>1. 来源：MainBasis/统一需求文档.md；G-guild-live-gift-detail-003
2. 场景：SC-885ff61b0b6595</x:v>
      </x:c>
    </x:row>
    <x:row r="290" ht="54" customHeight="1">
      <x:c r="A290" s="4" t="n">
        <x:v>289</x:v>
      </x:c>
      <x:c r="B290" s="4" t="str">
        <x:v>GUILD-0289</x:v>
      </x:c>
      <x:c r="C290" s="4" t="str">
        <x:v>M12 直播业绩、增长与统计报表</x:v>
      </x:c>
      <x:c r="D290" s="4" t="str">
        <x:v>直播场次详情（公会长视角）</x:v>
      </x:c>
      <x:c r="E290" s="4" t="str">
        <x:v>功能需求</x:v>
      </x:c>
      <x:c r="F290" s="4" t="str">
        <x:v>P1</x:v>
      </x:c>
      <x:c r="G290" s="4" t="str">
        <x:v>验证礼物单价与来源明细一致</x:v>
      </x:c>
      <x:c r="H290" s="4" t="str">
        <x:v>礼物单价与来源明细一致</x:v>
      </x:c>
      <x:c r="I290" s="4" t="str">
        <x:v>1. 已登录公会长账号
2. 已记录所选记录的礼物单价，无其他记录混入当前选择</x:v>
      </x:c>
      <x:c r="J290" s="4" t="str">
        <x:v>1. 进入「直播场次详情」页
2. 查看礼物单价与来源明细一致</x:v>
      </x:c>
      <x:c r="K290" s="4" t="str">
        <x:v>礼物单价展示该记录对应值</x:v>
      </x:c>
      <x:c r="L290" s="4" t="str"/>
      <x:c r="M290" s="4" t="str">
        <x:v>未测</x:v>
      </x:c>
      <x:c r="N290" s="4" t="str"/>
      <x:c r="O290" s="4" t="str">
        <x:v>1. 来源：MainBasis/统一需求文档.md；G-guild-live-gift-detail-003
2. 场景：SC-7ad1c33c28bc8e</x:v>
      </x:c>
    </x:row>
    <x:row r="291" ht="54" customHeight="1">
      <x:c r="A291" s="4" t="n">
        <x:v>290</x:v>
      </x:c>
      <x:c r="B291" s="4" t="str">
        <x:v>GUILD-0290</x:v>
      </x:c>
      <x:c r="C291" s="4" t="str">
        <x:v>M12 直播业绩、增长与统计报表</x:v>
      </x:c>
      <x:c r="D291" s="4" t="str">
        <x:v>直播场次详情（公会长视角）</x:v>
      </x:c>
      <x:c r="E291" s="4" t="str">
        <x:v>功能需求</x:v>
      </x:c>
      <x:c r="F291" s="4" t="str">
        <x:v>P1</x:v>
      </x:c>
      <x:c r="G291" s="4" t="str">
        <x:v>验证礼物类型与来源明细一致</x:v>
      </x:c>
      <x:c r="H291" s="4" t="str">
        <x:v>礼物类型与来源明细一致</x:v>
      </x:c>
      <x:c r="I291" s="4" t="str">
        <x:v>1. 已登录公会长账号
2. 已记录所选记录的礼物类型，无其他记录混入当前选择</x:v>
      </x:c>
      <x:c r="J291" s="4" t="str">
        <x:v>1. 进入「直播场次详情」页
2. 查看礼物类型与来源明细一致</x:v>
      </x:c>
      <x:c r="K291" s="4" t="str">
        <x:v>礼物类型展示该记录对应值</x:v>
      </x:c>
      <x:c r="L291" s="4" t="str"/>
      <x:c r="M291" s="4" t="str">
        <x:v>未测</x:v>
      </x:c>
      <x:c r="N291" s="4" t="str"/>
      <x:c r="O291" s="4" t="str">
        <x:v>1. 来源：MainBasis/统一需求文档.md；G-guild-live-gift-detail-003
2. 场景：SC-37c48f319377fd</x:v>
      </x:c>
    </x:row>
    <x:row r="292" ht="54" customHeight="1">
      <x:c r="A292" s="4" t="n">
        <x:v>291</x:v>
      </x:c>
      <x:c r="B292" s="4" t="str">
        <x:v>GUILD-0291</x:v>
      </x:c>
      <x:c r="C292" s="4" t="str">
        <x:v>M12 直播业绩、增长与统计报表</x:v>
      </x:c>
      <x:c r="D292" s="4" t="str">
        <x:v>直播场次详情（公会长视角）</x:v>
      </x:c>
      <x:c r="E292" s="4" t="str">
        <x:v>功能需求</x:v>
      </x:c>
      <x:c r="F292" s="4" t="str">
        <x:v>P1</x:v>
      </x:c>
      <x:c r="G292" s="4" t="str">
        <x:v>验证赠送数量与来源明细一致</x:v>
      </x:c>
      <x:c r="H292" s="4" t="str">
        <x:v>赠送数量与来源明细一致</x:v>
      </x:c>
      <x:c r="I292" s="4" t="str">
        <x:v>1. 已登录公会长账号
2. 已记录所选记录的赠送数量，无其他记录混入当前选择</x:v>
      </x:c>
      <x:c r="J292" s="4" t="str">
        <x:v>1. 进入「直播场次详情」页
2. 查看赠送数量与来源明细一致</x:v>
      </x:c>
      <x:c r="K292" s="4" t="str">
        <x:v>赠送数量展示该记录对应值</x:v>
      </x:c>
      <x:c r="L292" s="4" t="str"/>
      <x:c r="M292" s="4" t="str">
        <x:v>未测</x:v>
      </x:c>
      <x:c r="N292" s="4" t="str"/>
      <x:c r="O292" s="4" t="str">
        <x:v>1. 来源：MainBasis/统一需求文档.md；G-guild-live-gift-detail-003
2. 场景：SC-b34c91dc826d9b</x:v>
      </x:c>
    </x:row>
    <x:row r="293" ht="54" customHeight="1">
      <x:c r="A293" s="4" t="n">
        <x:v>292</x:v>
      </x:c>
      <x:c r="B293" s="4" t="str">
        <x:v>GUILD-0292</x:v>
      </x:c>
      <x:c r="C293" s="4" t="str">
        <x:v>M12 直播业绩、增长与统计报表</x:v>
      </x:c>
      <x:c r="D293" s="4" t="str">
        <x:v>直播场次详情（公会长视角）</x:v>
      </x:c>
      <x:c r="E293" s="4" t="str">
        <x:v>功能需求</x:v>
      </x:c>
      <x:c r="F293" s="4" t="str">
        <x:v>P1</x:v>
      </x:c>
      <x:c r="G293" s="4" t="str">
        <x:v>验证用户名称与来源明细一致</x:v>
      </x:c>
      <x:c r="H293" s="4" t="str">
        <x:v>用户名称与来源明细一致</x:v>
      </x:c>
      <x:c r="I293" s="4" t="str">
        <x:v>1. 已登录公会长账号
2. 已记录所选记录的用户名称，无其他记录混入当前选择</x:v>
      </x:c>
      <x:c r="J293" s="4" t="str">
        <x:v>1. 进入「直播场次详情」页
2. 查看用户名称与来源明细一致</x:v>
      </x:c>
      <x:c r="K293" s="4" t="str">
        <x:v>用户名称展示该记录对应值</x:v>
      </x:c>
      <x:c r="L293" s="4" t="str"/>
      <x:c r="M293" s="4" t="str">
        <x:v>未测</x:v>
      </x:c>
      <x:c r="N293" s="4" t="str"/>
      <x:c r="O293" s="4" t="str">
        <x:v>1. 来源：MainBasis/统一需求文档.md；G-guild-live-gift-detail-003
2. 场景：SC-e26bd72d8d5209</x:v>
      </x:c>
    </x:row>
    <x:row r="294" ht="54" customHeight="1">
      <x:c r="A294" s="4" t="n">
        <x:v>293</x:v>
      </x:c>
      <x:c r="B294" s="4" t="str">
        <x:v>GUILD-0293</x:v>
      </x:c>
      <x:c r="C294" s="4" t="str">
        <x:v>M12 直播业绩、增长与统计报表</x:v>
      </x:c>
      <x:c r="D294" s="4" t="str">
        <x:v>直播场次详情（公会长视角）</x:v>
      </x:c>
      <x:c r="E294" s="4" t="str">
        <x:v>功能需求</x:v>
      </x:c>
      <x:c r="F294" s="4" t="str">
        <x:v>P1</x:v>
      </x:c>
      <x:c r="G294" s="4" t="str">
        <x:v>验证用户ID与来源明细一致</x:v>
      </x:c>
      <x:c r="H294" s="4" t="str">
        <x:v>用户ID与来源明细一致</x:v>
      </x:c>
      <x:c r="I294" s="4" t="str">
        <x:v>1. 已登录公会长账号
2. 已记录所选记录的用户ID，无其他记录混入当前选择</x:v>
      </x:c>
      <x:c r="J294" s="4" t="str">
        <x:v>1. 进入「直播场次详情」页
2. 查看用户ID与来源明细一致</x:v>
      </x:c>
      <x:c r="K294" s="4" t="str">
        <x:v>用户ID展示该记录对应值</x:v>
      </x:c>
      <x:c r="L294" s="4" t="str"/>
      <x:c r="M294" s="4" t="str">
        <x:v>未测</x:v>
      </x:c>
      <x:c r="N294" s="4" t="str"/>
      <x:c r="O294" s="4" t="str">
        <x:v>1. 来源：MainBasis/统一需求文档.md；G-guild-live-gift-detail-003
2. 场景：SC-ba5079a37b7988</x:v>
      </x:c>
    </x:row>
    <x:row r="295" ht="54" customHeight="1">
      <x:c r="A295" s="4" t="n">
        <x:v>294</x:v>
      </x:c>
      <x:c r="B295" s="4" t="str">
        <x:v>GUILD-0294</x:v>
      </x:c>
      <x:c r="C295" s="4" t="str">
        <x:v>M12 直播业绩、增长与统计报表</x:v>
      </x:c>
      <x:c r="D295" s="4" t="str">
        <x:v>直播场次详情（公会长视角）</x:v>
      </x:c>
      <x:c r="E295" s="4" t="str">
        <x:v>功能需求</x:v>
      </x:c>
      <x:c r="F295" s="4" t="str">
        <x:v>P1</x:v>
      </x:c>
      <x:c r="G295" s="4" t="str">
        <x:v>验证用户等级与来源明细一致</x:v>
      </x:c>
      <x:c r="H295" s="4" t="str">
        <x:v>用户等级与来源明细一致</x:v>
      </x:c>
      <x:c r="I295" s="4" t="str">
        <x:v>1. 已登录公会长账号
2. 已记录所选记录的用户等级，无其他记录混入当前选择</x:v>
      </x:c>
      <x:c r="J295" s="4" t="str">
        <x:v>1. 进入「直播场次详情」页
2. 查看用户等级与来源明细一致</x:v>
      </x:c>
      <x:c r="K295" s="4" t="str">
        <x:v>用户等级展示该记录对应值</x:v>
      </x:c>
      <x:c r="L295" s="4" t="str"/>
      <x:c r="M295" s="4" t="str">
        <x:v>未测</x:v>
      </x:c>
      <x:c r="N295" s="4" t="str"/>
      <x:c r="O295" s="4" t="str">
        <x:v>1. 来源：MainBasis/统一需求文档.md；G-guild-live-gift-detail-003
2. 场景：SC-fb2d4b370a3225</x:v>
      </x:c>
    </x:row>
    <x:row r="296" ht="54" customHeight="1">
      <x:c r="A296" s="4" t="n">
        <x:v>295</x:v>
      </x:c>
      <x:c r="B296" s="4" t="str">
        <x:v>GUILD-0295</x:v>
      </x:c>
      <x:c r="C296" s="4" t="str">
        <x:v>M12 直播业绩、增长与统计报表</x:v>
      </x:c>
      <x:c r="D296" s="4" t="str">
        <x:v>公会业绩（公会长视角）</x:v>
      </x:c>
      <x:c r="E296" s="4" t="str">
        <x:v>功能需求</x:v>
      </x:c>
      <x:c r="F296" s="4" t="str">
        <x:v>P1</x:v>
      </x:c>
      <x:c r="G296" s="4" t="str">
        <x:v>验证开播人数以完成场次去重</x:v>
      </x:c>
      <x:c r="H296" s="4" t="str">
        <x:v>开播人数以完成场次去重</x:v>
      </x:c>
      <x:c r="I296" s="4" t="str">
        <x:v>1. 已登录公会长账号
2. 甲完成两场、乙完成一场、丙仅有进行中场次</x:v>
      </x:c>
      <x:c r="J296" s="4" t="str">
        <x:v>1. 进入「公会业绩」页
2. 查看开播人数以完成场次去重</x:v>
      </x:c>
      <x:c r="K296" s="4" t="str">
        <x:v>开播人数为2</x:v>
      </x:c>
      <x:c r="L296" s="4" t="str"/>
      <x:c r="M296" s="4" t="str">
        <x:v>未测</x:v>
      </x:c>
      <x:c r="N296" s="4" t="str"/>
      <x:c r="O296" s="4" t="str">
        <x:v>1. 来源：MainBasis/统一需求文档.md；G-guild-income-002
2. 场景：SC-15c5a07750a8f5</x:v>
      </x:c>
    </x:row>
    <x:row r="297" ht="54" customHeight="1">
      <x:c r="A297" s="4" t="n">
        <x:v>296</x:v>
      </x:c>
      <x:c r="B297" s="4" t="str">
        <x:v>GUILD-0296</x:v>
      </x:c>
      <x:c r="C297" s="4" t="str">
        <x:v>M12 直播业绩、增长与统计报表</x:v>
      </x:c>
      <x:c r="D297" s="4" t="str">
        <x:v>公会业绩（公会长视角）</x:v>
      </x:c>
      <x:c r="E297" s="4" t="str">
        <x:v>功能需求</x:v>
      </x:c>
      <x:c r="F297" s="4" t="str">
        <x:v>P1</x:v>
      </x:c>
      <x:c r="G297" s="4" t="str">
        <x:v>验证公会业绩日下钻</x:v>
      </x:c>
      <x:c r="H297" s="4" t="str">
        <x:v>公会业绩日下钻</x:v>
      </x:c>
      <x:c r="I297" s="4" t="str">
        <x:v>1. 已登录公会长账号</x:v>
      </x:c>
      <x:c r="J297" s="4" t="str">
        <x:v>1. 进入「公会业绩」页
2. 点击日数据行</x:v>
      </x:c>
      <x:c r="K297" s="4" t="str">
        <x:v>进入主播业绩并带入该日范围</x:v>
      </x:c>
      <x:c r="L297" s="4" t="str"/>
      <x:c r="M297" s="4" t="str">
        <x:v>未测</x:v>
      </x:c>
      <x:c r="N297" s="4" t="str"/>
      <x:c r="O297" s="4" t="str">
        <x:v>1. 来源：MainBasis/统一需求文档.md；G-guild-income-007
2. 场景：SC-7c17193d4df4f2</x:v>
      </x:c>
    </x:row>
    <x:row r="298" ht="54" customHeight="1">
      <x:c r="A298" s="4" t="n">
        <x:v>297</x:v>
      </x:c>
      <x:c r="B298" s="4" t="str">
        <x:v>GUILD-0297</x:v>
      </x:c>
      <x:c r="C298" s="4" t="str">
        <x:v>M12 直播业绩、增长与统计报表</x:v>
      </x:c>
      <x:c r="D298" s="4" t="str">
        <x:v>公会业绩（公会长视角）</x:v>
      </x:c>
      <x:c r="E298" s="4" t="str">
        <x:v>功能需求</x:v>
      </x:c>
      <x:c r="F298" s="4" t="str">
        <x:v>P1</x:v>
      </x:c>
      <x:c r="G298" s="4" t="str">
        <x:v>验证公会业绩月下钻</x:v>
      </x:c>
      <x:c r="H298" s="4" t="str">
        <x:v>公会业绩月下钻</x:v>
      </x:c>
      <x:c r="I298" s="4" t="str">
        <x:v>1. 已登录公会长账号</x:v>
      </x:c>
      <x:c r="J298" s="4" t="str">
        <x:v>1. 进入「公会业绩」页
2. 点击月数据行</x:v>
      </x:c>
      <x:c r="K298" s="4" t="str">
        <x:v>进入主播业绩并带入该月范围</x:v>
      </x:c>
      <x:c r="L298" s="4" t="str"/>
      <x:c r="M298" s="4" t="str">
        <x:v>未测</x:v>
      </x:c>
      <x:c r="N298" s="4" t="str"/>
      <x:c r="O298" s="4" t="str">
        <x:v>1. 来源：MainBasis/统一需求文档.md；G-guild-income-007
2. 场景：SC-ece631cd43ac80</x:v>
      </x:c>
    </x:row>
    <x:row r="299" ht="54" customHeight="1">
      <x:c r="A299" s="4" t="n">
        <x:v>298</x:v>
      </x:c>
      <x:c r="B299" s="4" t="str">
        <x:v>GUILD-0298</x:v>
      </x:c>
      <x:c r="C299" s="4" t="str">
        <x:v>M12 直播业绩、增长与统计报表</x:v>
      </x:c>
      <x:c r="D299" s="4" t="str">
        <x:v>公会业绩（公会长视角）</x:v>
      </x:c>
      <x:c r="E299" s="4" t="str">
        <x:v>功能需求</x:v>
      </x:c>
      <x:c r="F299" s="4" t="str">
        <x:v>P2</x:v>
      </x:c>
      <x:c r="G299" s="4" t="str">
        <x:v>验证首次进入默认本月</x:v>
      </x:c>
      <x:c r="H299" s="4" t="str">
        <x:v>首次进入默认本月</x:v>
      </x:c>
      <x:c r="I299" s="4" t="str">
        <x:v>1. 已登录公会长账号
2. 本次首次进入该页且无上游带入筛选</x:v>
      </x:c>
      <x:c r="J299" s="4" t="str">
        <x:v>1. 进入「公会业绩」页
2. 查看首次进入默认本月</x:v>
      </x:c>
      <x:c r="K299" s="4" t="str">
        <x:v>日期范围默认本月</x:v>
      </x:c>
      <x:c r="L299" s="4" t="str"/>
      <x:c r="M299" s="4" t="str">
        <x:v>未测</x:v>
      </x:c>
      <x:c r="N299" s="4" t="str"/>
      <x:c r="O299" s="4" t="str">
        <x:v>1. 来源：MainBasis/统一需求文档.md；G-guild-income-001
2. 场景：SC-84ea67ab4bd606</x:v>
      </x:c>
    </x:row>
    <x:row r="300" ht="68" customHeight="1">
      <x:c r="A300" s="4" t="n">
        <x:v>299</x:v>
      </x:c>
      <x:c r="B300" s="4" t="str">
        <x:v>GUILD-0299</x:v>
      </x:c>
      <x:c r="C300" s="4" t="str">
        <x:v>M12 直播业绩、增长与统计报表</x:v>
      </x:c>
      <x:c r="D300" s="4" t="str">
        <x:v>公会业绩（公会长视角）</x:v>
      </x:c>
      <x:c r="E300" s="4" t="str">
        <x:v>功能需求</x:v>
      </x:c>
      <x:c r="F300" s="4" t="str">
        <x:v>P1</x:v>
      </x:c>
      <x:c r="G300" s="4" t="str">
        <x:v>验证公会月汇总所有历史月</x:v>
      </x:c>
      <x:c r="H300" s="4" t="str">
        <x:v>公会月汇总所有历史月</x:v>
      </x:c>
      <x:c r="I300" s="4" t="str">
        <x:v>1. 已登录公会长账号
2. 仅8月收益100/1场/1主播/1有效天，9月200/2场/同1主播/2有效天</x:v>
      </x:c>
      <x:c r="J300" s="4" t="str">
        <x:v>1. 进入「公会业绩」页
2. 查看公会月汇总所有历史月</x:v>
      </x:c>
      <x:c r="K300" s="4" t="str">
        <x:v>历史月汇总收益300、场次3、开播人数1、有效天3</x:v>
      </x:c>
      <x:c r="L300" s="4" t="str"/>
      <x:c r="M300" s="4" t="str">
        <x:v>未测</x:v>
      </x:c>
      <x:c r="N300" s="4" t="str"/>
      <x:c r="O300" s="4" t="str">
        <x:v>1. 来源：MainBasis/统一需求文档.md；G-guild-income-003
2. 场景：SC-fbd255c0544570</x:v>
      </x:c>
    </x:row>
    <x:row r="301" ht="54" customHeight="1">
      <x:c r="A301" s="4" t="n">
        <x:v>300</x:v>
      </x:c>
      <x:c r="B301" s="4" t="str">
        <x:v>GUILD-0300</x:v>
      </x:c>
      <x:c r="C301" s="4" t="str">
        <x:v>M12 直播业绩、增长与统计报表</x:v>
      </x:c>
      <x:c r="D301" s="4" t="str">
        <x:v>公会业绩（公会长视角）</x:v>
      </x:c>
      <x:c r="E301" s="4" t="str">
        <x:v>功能需求</x:v>
      </x:c>
      <x:c r="F301" s="4" t="str">
        <x:v>P1</x:v>
      </x:c>
      <x:c r="G301" s="4" t="str">
        <x:v>验证业绩趋势切换</x:v>
      </x:c>
      <x:c r="H301" s="4" t="str">
        <x:v>业绩趋势切换</x:v>
      </x:c>
      <x:c r="I301" s="4" t="str">
        <x:v>1. 已登录公会长账号
2. 当前为日数据</x:v>
      </x:c>
      <x:c r="J301" s="4" t="str">
        <x:v>1. 进入「公会业绩」页
2. 点击收益指标</x:v>
      </x:c>
      <x:c r="K301" s="4" t="str">
        <x:v>展示按日期排列的收益趋势</x:v>
      </x:c>
      <x:c r="L301" s="4" t="str"/>
      <x:c r="M301" s="4" t="str">
        <x:v>未测</x:v>
      </x:c>
      <x:c r="N301" s="4" t="str"/>
      <x:c r="O301" s="4" t="str">
        <x:v>1. 来源：MainBasis/统一需求文档.md；G-guild-income-006
2. 场景：SC-4c9f5fa01ff063</x:v>
      </x:c>
    </x:row>
    <x:row r="302" ht="54" customHeight="1">
      <x:c r="A302" s="4" t="n">
        <x:v>301</x:v>
      </x:c>
      <x:c r="B302" s="4" t="str">
        <x:v>GUILD-0301</x:v>
      </x:c>
      <x:c r="C302" s="4" t="str">
        <x:v>M12 直播业绩、增长与统计报表</x:v>
      </x:c>
      <x:c r="D302" s="4" t="str">
        <x:v>公会业绩（公会长视角）</x:v>
      </x:c>
      <x:c r="E302" s="4" t="str">
        <x:v>功能需求</x:v>
      </x:c>
      <x:c r="F302" s="4" t="str">
        <x:v>P1</x:v>
      </x:c>
      <x:c r="G302" s="4" t="str">
        <x:v>验证日期与来源明细一致</x:v>
      </x:c>
      <x:c r="H302" s="4" t="str">
        <x:v>日期与来源明细一致</x:v>
      </x:c>
      <x:c r="I302" s="4" t="str">
        <x:v>1. 已登录公会长账号
2. 已记录所选记录的日期，无其他记录混入当前选择</x:v>
      </x:c>
      <x:c r="J302" s="4" t="str">
        <x:v>1. 进入「公会业绩」页
2. 查看日期与来源明细一致</x:v>
      </x:c>
      <x:c r="K302" s="4" t="str">
        <x:v>日期展示该记录对应值</x:v>
      </x:c>
      <x:c r="L302" s="4" t="str"/>
      <x:c r="M302" s="4" t="str">
        <x:v>未测</x:v>
      </x:c>
      <x:c r="N302" s="4" t="str"/>
      <x:c r="O302" s="4" t="str">
        <x:v>1. 来源：MainBasis/统一需求文档.md；G-guild-income-004
2. 场景：SC-448f50fd0e9774</x:v>
      </x:c>
    </x:row>
    <x:row r="303" ht="54" customHeight="1">
      <x:c r="A303" s="4" t="n">
        <x:v>302</x:v>
      </x:c>
      <x:c r="B303" s="4" t="str">
        <x:v>GUILD-0302</x:v>
      </x:c>
      <x:c r="C303" s="4" t="str">
        <x:v>M12 直播业绩、增长与统计报表</x:v>
      </x:c>
      <x:c r="D303" s="4" t="str">
        <x:v>公会业绩（公会长视角）</x:v>
      </x:c>
      <x:c r="E303" s="4" t="str">
        <x:v>功能需求</x:v>
      </x:c>
      <x:c r="F303" s="4" t="str">
        <x:v>P1</x:v>
      </x:c>
      <x:c r="G303" s="4" t="str">
        <x:v>验证直播场次与来源明细一致</x:v>
      </x:c>
      <x:c r="H303" s="4" t="str">
        <x:v>直播场次与来源明细一致</x:v>
      </x:c>
      <x:c r="I303" s="4" t="str">
        <x:v>1. 已登录公会长账号
2. 已记录所选记录的直播场次，无其他记录混入当前选择</x:v>
      </x:c>
      <x:c r="J303" s="4" t="str">
        <x:v>1. 进入「公会业绩」页
2. 查看直播场次与来源明细一致</x:v>
      </x:c>
      <x:c r="K303" s="4" t="str">
        <x:v>直播场次展示该记录对应值</x:v>
      </x:c>
      <x:c r="L303" s="4" t="str"/>
      <x:c r="M303" s="4" t="str">
        <x:v>未测</x:v>
      </x:c>
      <x:c r="N303" s="4" t="str"/>
      <x:c r="O303" s="4" t="str">
        <x:v>1. 来源：MainBasis/统一需求文档.md；G-guild-income-004
2. 场景：SC-4b164959affe64</x:v>
      </x:c>
    </x:row>
    <x:row r="304" ht="54" customHeight="1">
      <x:c r="A304" s="4" t="n">
        <x:v>303</x:v>
      </x:c>
      <x:c r="B304" s="4" t="str">
        <x:v>GUILD-0303</x:v>
      </x:c>
      <x:c r="C304" s="4" t="str">
        <x:v>M12 直播业绩、增长与统计报表</x:v>
      </x:c>
      <x:c r="D304" s="4" t="str">
        <x:v>公会业绩（公会长视角）</x:v>
      </x:c>
      <x:c r="E304" s="4" t="str">
        <x:v>功能需求</x:v>
      </x:c>
      <x:c r="F304" s="4" t="str">
        <x:v>P1</x:v>
      </x:c>
      <x:c r="G304" s="4" t="str">
        <x:v>验证达标主播与来源明细一致</x:v>
      </x:c>
      <x:c r="H304" s="4" t="str">
        <x:v>达标主播与来源明细一致</x:v>
      </x:c>
      <x:c r="I304" s="4" t="str">
        <x:v>1. 已登录公会长账号
2. 已记录所选记录的达标主播，无其他记录混入当前选择</x:v>
      </x:c>
      <x:c r="J304" s="4" t="str">
        <x:v>1. 进入「公会业绩」页
2. 查看达标主播与来源明细一致</x:v>
      </x:c>
      <x:c r="K304" s="4" t="str">
        <x:v>达标主播展示该记录对应值</x:v>
      </x:c>
      <x:c r="L304" s="4" t="str"/>
      <x:c r="M304" s="4" t="str">
        <x:v>未测</x:v>
      </x:c>
      <x:c r="N304" s="4" t="str"/>
      <x:c r="O304" s="4" t="str">
        <x:v>1. 来源：MainBasis/统一需求文档.md；G-guild-income-004
2. 场景：SC-372fbc5935b466</x:v>
      </x:c>
    </x:row>
    <x:row r="305" ht="54" customHeight="1">
      <x:c r="A305" s="4" t="n">
        <x:v>304</x:v>
      </x:c>
      <x:c r="B305" s="4" t="str">
        <x:v>GUILD-0304</x:v>
      </x:c>
      <x:c r="C305" s="4" t="str">
        <x:v>M12 直播业绩、增长与统计报表</x:v>
      </x:c>
      <x:c r="D305" s="4" t="str">
        <x:v>公会业绩（公会长视角）</x:v>
      </x:c>
      <x:c r="E305" s="4" t="str">
        <x:v>功能需求</x:v>
      </x:c>
      <x:c r="F305" s="4" t="str">
        <x:v>P1</x:v>
      </x:c>
      <x:c r="G305" s="4" t="str">
        <x:v>验证收益与来源明细一致</x:v>
      </x:c>
      <x:c r="H305" s="4" t="str">
        <x:v>收益与来源明细一致</x:v>
      </x:c>
      <x:c r="I305" s="4" t="str">
        <x:v>1. 已登录公会长账号
2. 已记录所选记录的收益，无其他记录混入当前选择</x:v>
      </x:c>
      <x:c r="J305" s="4" t="str">
        <x:v>1. 进入「公会业绩」页
2. 查看收益与来源明细一致</x:v>
      </x:c>
      <x:c r="K305" s="4" t="str">
        <x:v>收益展示该记录对应值</x:v>
      </x:c>
      <x:c r="L305" s="4" t="str"/>
      <x:c r="M305" s="4" t="str">
        <x:v>未测</x:v>
      </x:c>
      <x:c r="N305" s="4" t="str"/>
      <x:c r="O305" s="4" t="str">
        <x:v>1. 来源：MainBasis/统一需求文档.md；G-guild-income-004
2. 场景：SC-9cbd023c5db5c1</x:v>
      </x:c>
    </x:row>
    <x:row r="306" ht="54" customHeight="1">
      <x:c r="A306" s="4" t="n">
        <x:v>305</x:v>
      </x:c>
      <x:c r="B306" s="4" t="str">
        <x:v>GUILD-0305</x:v>
      </x:c>
      <x:c r="C306" s="4" t="str">
        <x:v>M12 直播业绩、增长与统计报表</x:v>
      </x:c>
      <x:c r="D306" s="4" t="str">
        <x:v>公会业绩（公会长视角）</x:v>
      </x:c>
      <x:c r="E306" s="4" t="str">
        <x:v>功能需求</x:v>
      </x:c>
      <x:c r="F306" s="4" t="str">
        <x:v>P1</x:v>
      </x:c>
      <x:c r="G306" s="4" t="str">
        <x:v>验证月份与来源明细一致</x:v>
      </x:c>
      <x:c r="H306" s="4" t="str">
        <x:v>月份与来源明细一致</x:v>
      </x:c>
      <x:c r="I306" s="4" t="str">
        <x:v>1. 已登录公会长账号
2. 已记录所选记录的月份，无其他记录混入当前选择</x:v>
      </x:c>
      <x:c r="J306" s="4" t="str">
        <x:v>1. 进入「公会业绩」页
2. 查看月份与来源明细一致</x:v>
      </x:c>
      <x:c r="K306" s="4" t="str">
        <x:v>月份展示该记录对应值</x:v>
      </x:c>
      <x:c r="L306" s="4" t="str"/>
      <x:c r="M306" s="4" t="str">
        <x:v>未测</x:v>
      </x:c>
      <x:c r="N306" s="4" t="str"/>
      <x:c r="O306" s="4" t="str">
        <x:v>1. 来源：MainBasis/统一需求文档.md；G-guild-income-005
2. 场景：SC-7a9f3547a7d613</x:v>
      </x:c>
    </x:row>
    <x:row r="307" ht="54" customHeight="1">
      <x:c r="A307" s="4" t="n">
        <x:v>306</x:v>
      </x:c>
      <x:c r="B307" s="4" t="str">
        <x:v>GUILD-0306</x:v>
      </x:c>
      <x:c r="C307" s="4" t="str">
        <x:v>M12 直播业绩、增长与统计报表</x:v>
      </x:c>
      <x:c r="D307" s="4" t="str">
        <x:v>公会业绩（公会长视角）</x:v>
      </x:c>
      <x:c r="E307" s="4" t="str">
        <x:v>功能需求</x:v>
      </x:c>
      <x:c r="F307" s="4" t="str">
        <x:v>P1</x:v>
      </x:c>
      <x:c r="G307" s="4" t="str">
        <x:v>验证收益与来源明细一致</x:v>
      </x:c>
      <x:c r="H307" s="4" t="str">
        <x:v>收益与来源明细一致</x:v>
      </x:c>
      <x:c r="I307" s="4" t="str">
        <x:v>1. 已登录公会长账号
2. 已记录所选记录的收益，无其他记录混入当前选择</x:v>
      </x:c>
      <x:c r="J307" s="4" t="str">
        <x:v>1. 进入「公会业绩」页
2. 查看收益与来源明细一致</x:v>
      </x:c>
      <x:c r="K307" s="4" t="str">
        <x:v>收益展示该记录对应值</x:v>
      </x:c>
      <x:c r="L307" s="4" t="str"/>
      <x:c r="M307" s="4" t="str">
        <x:v>未测</x:v>
      </x:c>
      <x:c r="N307" s="4" t="str"/>
      <x:c r="O307" s="4" t="str">
        <x:v>1. 来源：MainBasis/统一需求文档.md；G-guild-income-005
2. 场景：SC-9cbd023c5db5c1</x:v>
      </x:c>
    </x:row>
    <x:row r="308" ht="54" customHeight="1">
      <x:c r="A308" s="4" t="n">
        <x:v>307</x:v>
      </x:c>
      <x:c r="B308" s="4" t="str">
        <x:v>GUILD-0307</x:v>
      </x:c>
      <x:c r="C308" s="4" t="str">
        <x:v>M12 直播业绩、增长与统计报表</x:v>
      </x:c>
      <x:c r="D308" s="4" t="str">
        <x:v>公会业绩（公会长视角）</x:v>
      </x:c>
      <x:c r="E308" s="4" t="str">
        <x:v>功能需求</x:v>
      </x:c>
      <x:c r="F308" s="4" t="str">
        <x:v>P1</x:v>
      </x:c>
      <x:c r="G308" s="4" t="str">
        <x:v>验证开播人数与来源明细一致</x:v>
      </x:c>
      <x:c r="H308" s="4" t="str">
        <x:v>开播人数与来源明细一致</x:v>
      </x:c>
      <x:c r="I308" s="4" t="str">
        <x:v>1. 已登录公会长账号
2. 已记录所选记录的开播人数，无其他记录混入当前选择</x:v>
      </x:c>
      <x:c r="J308" s="4" t="str">
        <x:v>1. 进入「公会业绩」页
2. 查看开播人数与来源明细一致</x:v>
      </x:c>
      <x:c r="K308" s="4" t="str">
        <x:v>开播人数展示该记录对应值</x:v>
      </x:c>
      <x:c r="L308" s="4" t="str"/>
      <x:c r="M308" s="4" t="str">
        <x:v>未测</x:v>
      </x:c>
      <x:c r="N308" s="4" t="str"/>
      <x:c r="O308" s="4" t="str">
        <x:v>1. 来源：MainBasis/统一需求文档.md；G-guild-income-005
2. 场景：SC-8b2e9f1cf15132</x:v>
      </x:c>
    </x:row>
    <x:row r="309" ht="54" customHeight="1">
      <x:c r="A309" s="4" t="n">
        <x:v>308</x:v>
      </x:c>
      <x:c r="B309" s="4" t="str">
        <x:v>GUILD-0308</x:v>
      </x:c>
      <x:c r="C309" s="4" t="str">
        <x:v>M12 直播业绩、增长与统计报表</x:v>
      </x:c>
      <x:c r="D309" s="4" t="str">
        <x:v>每日（公会长视角）</x:v>
      </x:c>
      <x:c r="E309" s="4" t="str">
        <x:v>功能需求</x:v>
      </x:c>
      <x:c r="F309" s="4" t="str">
        <x:v>P2</x:v>
      </x:c>
      <x:c r="G309" s="4" t="str">
        <x:v>验证日期回显</x:v>
      </x:c>
      <x:c r="H309" s="4" t="str">
        <x:v>日期回显</x:v>
      </x:c>
      <x:c r="I309" s="4" t="str">
        <x:v>1. 已登录公会长账号
2. 所选对象存在，已记录该对象的日期值</x:v>
      </x:c>
      <x:c r="J309" s="4" t="str">
        <x:v>1. 进入「每日」页
2. 查看日期回显</x:v>
      </x:c>
      <x:c r="K309" s="4" t="str">
        <x:v>「日期」内容与所选对象的该项资料一致</x:v>
      </x:c>
      <x:c r="L309" s="4" t="str"/>
      <x:c r="M309" s="4" t="str">
        <x:v>未测</x:v>
      </x:c>
      <x:c r="N309" s="4" t="str"/>
      <x:c r="O309" s="4" t="str">
        <x:v>1. 来源：MainBasis/统一需求文档.md；G-guild-income-day-detail-001
2. 场景：SC-803061f0c4ad50</x:v>
      </x:c>
    </x:row>
    <x:row r="310" ht="82" customHeight="1">
      <x:c r="A310" s="4" t="n">
        <x:v>309</x:v>
      </x:c>
      <x:c r="B310" s="4" t="str">
        <x:v>GUILD-0309</x:v>
      </x:c>
      <x:c r="C310" s="4" t="str">
        <x:v>M12 直播业绩、增长与统计报表</x:v>
      </x:c>
      <x:c r="D310" s="4" t="str">
        <x:v>每日（公会长视角）</x:v>
      </x:c>
      <x:c r="E310" s="4" t="str">
        <x:v>逻辑校验</x:v>
      </x:c>
      <x:c r="F310" s="4" t="str">
        <x:v>P1</x:v>
      </x:c>
      <x:c r="G310" s="4" t="str">
        <x:v>验证公会当日有效天人数10799秒</x:v>
      </x:c>
      <x:c r="H310" s="4" t="str">
        <x:v>公会当日有效天人数10799秒</x:v>
      </x:c>
      <x:c r="I310" s="4" t="str">
        <x:v>1. 已登录公会长账号
2. 当前范围仅一名主播、同一个已确定自然日
3. 该日累计有效直播时长10799秒</x:v>
      </x:c>
      <x:c r="J310" s="4" t="str">
        <x:v>1. 进入「每日」页
2. 查看公会当日有效天人数10799秒</x:v>
      </x:c>
      <x:c r="K310" s="4" t="str">
        <x:v>公会当日有效天人数 = 0</x:v>
      </x:c>
      <x:c r="L310" s="4" t="str"/>
      <x:c r="M310" s="4" t="str">
        <x:v>未测</x:v>
      </x:c>
      <x:c r="N310" s="4" t="str"/>
      <x:c r="O310" s="4" t="str">
        <x:v>1. 来源：MainBasis/统一需求文档.md；G-guild-income-day-detail-004
2. 场景：SC-44635685876f7f</x:v>
      </x:c>
    </x:row>
    <x:row r="311" ht="82" customHeight="1">
      <x:c r="A311" s="4" t="n">
        <x:v>310</x:v>
      </x:c>
      <x:c r="B311" s="4" t="str">
        <x:v>GUILD-0310</x:v>
      </x:c>
      <x:c r="C311" s="4" t="str">
        <x:v>M12 直播业绩、增长与统计报表</x:v>
      </x:c>
      <x:c r="D311" s="4" t="str">
        <x:v>每日（公会长视角）</x:v>
      </x:c>
      <x:c r="E311" s="4" t="str">
        <x:v>逻辑校验</x:v>
      </x:c>
      <x:c r="F311" s="4" t="str">
        <x:v>P1</x:v>
      </x:c>
      <x:c r="G311" s="4" t="str">
        <x:v>验证公会当日有效天人数10800秒</x:v>
      </x:c>
      <x:c r="H311" s="4" t="str">
        <x:v>公会当日有效天人数10800秒</x:v>
      </x:c>
      <x:c r="I311" s="4" t="str">
        <x:v>1. 已登录公会长账号
2. 当前范围仅一名主播、同一个已确定自然日
3. 该日累计有效直播时长10800秒</x:v>
      </x:c>
      <x:c r="J311" s="4" t="str">
        <x:v>1. 进入「每日」页
2. 查看公会当日有效天人数10800秒</x:v>
      </x:c>
      <x:c r="K311" s="4" t="str">
        <x:v>公会当日有效天人数 = 1</x:v>
      </x:c>
      <x:c r="L311" s="4" t="str"/>
      <x:c r="M311" s="4" t="str">
        <x:v>未测</x:v>
      </x:c>
      <x:c r="N311" s="4" t="str"/>
      <x:c r="O311" s="4" t="str">
        <x:v>1. 来源：MainBasis/统一需求文档.md；G-guild-income-day-detail-004
2. 场景：SC-1992e0f84cc527</x:v>
      </x:c>
    </x:row>
    <x:row r="312" ht="82" customHeight="1">
      <x:c r="A312" s="4" t="n">
        <x:v>311</x:v>
      </x:c>
      <x:c r="B312" s="4" t="str">
        <x:v>GUILD-0311</x:v>
      </x:c>
      <x:c r="C312" s="4" t="str">
        <x:v>M12 直播业绩、增长与统计报表</x:v>
      </x:c>
      <x:c r="D312" s="4" t="str">
        <x:v>每日（公会长视角）</x:v>
      </x:c>
      <x:c r="E312" s="4" t="str">
        <x:v>逻辑校验</x:v>
      </x:c>
      <x:c r="F312" s="4" t="str">
        <x:v>P1</x:v>
      </x:c>
      <x:c r="G312" s="4" t="str">
        <x:v>验证公会当日有效天人数10801秒</x:v>
      </x:c>
      <x:c r="H312" s="4" t="str">
        <x:v>公会当日有效天人数10801秒</x:v>
      </x:c>
      <x:c r="I312" s="4" t="str">
        <x:v>1. 已登录公会长账号
2. 当前范围仅一名主播、同一个已确定自然日
3. 该日累计有效直播时长10801秒</x:v>
      </x:c>
      <x:c r="J312" s="4" t="str">
        <x:v>1. 进入「每日」页
2. 查看公会当日有效天人数10801秒</x:v>
      </x:c>
      <x:c r="K312" s="4" t="str">
        <x:v>公会当日有效天人数 = 1</x:v>
      </x:c>
      <x:c r="L312" s="4" t="str"/>
      <x:c r="M312" s="4" t="str">
        <x:v>未测</x:v>
      </x:c>
      <x:c r="N312" s="4" t="str"/>
      <x:c r="O312" s="4" t="str">
        <x:v>1. 来源：MainBasis/统一需求文档.md；G-guild-income-day-detail-004
2. 场景：SC-b083a2ecb9f8b9</x:v>
      </x:c>
    </x:row>
    <x:row r="313" ht="82" customHeight="1">
      <x:c r="A313" s="4" t="n">
        <x:v>312</x:v>
      </x:c>
      <x:c r="B313" s="4" t="str">
        <x:v>GUILD-0312</x:v>
      </x:c>
      <x:c r="C313" s="4" t="str">
        <x:v>M12 直播业绩、增长与统计报表</x:v>
      </x:c>
      <x:c r="D313" s="4" t="str">
        <x:v>每日（公会长视角）</x:v>
      </x:c>
      <x:c r="E313" s="4" t="str">
        <x:v>逻辑校验</x:v>
      </x:c>
      <x:c r="F313" s="4" t="str">
        <x:v>P1</x:v>
      </x:c>
      <x:c r="G313" s="4" t="str">
        <x:v>验证公会当日有效天人数21600秒</x:v>
      </x:c>
      <x:c r="H313" s="4" t="str">
        <x:v>公会当日有效天人数21600秒</x:v>
      </x:c>
      <x:c r="I313" s="4" t="str">
        <x:v>1. 已登录公会长账号
2. 当前范围仅一名主播、同一个已确定自然日
3. 该日累计有效直播时长21600秒</x:v>
      </x:c>
      <x:c r="J313" s="4" t="str">
        <x:v>1. 进入「每日」页
2. 查看公会当日有效天人数21600秒</x:v>
      </x:c>
      <x:c r="K313" s="4" t="str">
        <x:v>公会当日有效天人数 = 1</x:v>
      </x:c>
      <x:c r="L313" s="4" t="str"/>
      <x:c r="M313" s="4" t="str">
        <x:v>未测</x:v>
      </x:c>
      <x:c r="N313" s="4" t="str"/>
      <x:c r="O313" s="4" t="str">
        <x:v>1. 来源：MainBasis/统一需求文档.md；G-guild-income-day-detail-004
2. 场景：SC-94d626865f7a88</x:v>
      </x:c>
    </x:row>
    <x:row r="314" ht="54" customHeight="1">
      <x:c r="A314" s="4" t="n">
        <x:v>313</x:v>
      </x:c>
      <x:c r="B314" s="4" t="str">
        <x:v>GUILD-0313</x:v>
      </x:c>
      <x:c r="C314" s="4" t="str">
        <x:v>M12 直播业绩、增长与统计报表</x:v>
      </x:c>
      <x:c r="D314" s="4" t="str">
        <x:v>每日（公会长视角）</x:v>
      </x:c>
      <x:c r="E314" s="4" t="str">
        <x:v>功能需求</x:v>
      </x:c>
      <x:c r="F314" s="4" t="str">
        <x:v>P1</x:v>
      </x:c>
      <x:c r="G314" s="4" t="str">
        <x:v>验证公会当日已开播收益倒序</x:v>
      </x:c>
      <x:c r="H314" s="4" t="str">
        <x:v>公会当日已开播收益倒序</x:v>
      </x:c>
      <x:c r="I314" s="4" t="str">
        <x:v>1. 已登录公会长账号
2. 已开播主播收益10和20</x:v>
      </x:c>
      <x:c r="J314" s="4" t="str">
        <x:v>1. 进入「每日」页
2. 查看公会当日已开播收益倒序</x:v>
      </x:c>
      <x:c r="K314" s="4" t="str">
        <x:v>收益20主播在前</x:v>
      </x:c>
      <x:c r="L314" s="4" t="str"/>
      <x:c r="M314" s="4" t="str">
        <x:v>未测</x:v>
      </x:c>
      <x:c r="N314" s="4" t="str"/>
      <x:c r="O314" s="4" t="str">
        <x:v>1. 来源：MainBasis/统一需求文档.md；G-guild-income-day-detail-003
2. 场景：SC-6b6b36aadee3b2</x:v>
      </x:c>
    </x:row>
    <x:row r="315" ht="54" customHeight="1">
      <x:c r="A315" s="4" t="n">
        <x:v>314</x:v>
      </x:c>
      <x:c r="B315" s="4" t="str">
        <x:v>GUILD-0314</x:v>
      </x:c>
      <x:c r="C315" s="4" t="str">
        <x:v>M12 直播业绩、增长与统计报表</x:v>
      </x:c>
      <x:c r="D315" s="4" t="str">
        <x:v>每日（公会长视角）</x:v>
      </x:c>
      <x:c r="E315" s="4" t="str">
        <x:v>功能需求</x:v>
      </x:c>
      <x:c r="F315" s="4" t="str">
        <x:v>P1</x:v>
      </x:c>
      <x:c r="G315" s="4" t="str">
        <x:v>验证历史日直播中字段使用当日开播数</x:v>
      </x:c>
      <x:c r="H315" s="4" t="str">
        <x:v>历史日直播中字段使用当日开播数</x:v>
      </x:c>
      <x:c r="I315" s="4" t="str">
        <x:v>1. 已登录公会长账号
2. 当前查看历史日期，该日2名主播开播，当前均不在播</x:v>
      </x:c>
      <x:c r="J315" s="4" t="str">
        <x:v>1. 进入「每日」页
2. 查看历史日直播中字段使用当日开播数</x:v>
      </x:c>
      <x:c r="K315" s="4" t="str">
        <x:v>历史日该指标显示2</x:v>
      </x:c>
      <x:c r="L315" s="4" t="str"/>
      <x:c r="M315" s="4" t="str">
        <x:v>未测</x:v>
      </x:c>
      <x:c r="N315" s="4" t="str"/>
      <x:c r="O315" s="4" t="str">
        <x:v>1. 来源：MainBasis/统一需求文档.md；G-guild-income-day-detail-004
2. 场景：SC-21e94843e61ea0</x:v>
      </x:c>
    </x:row>
    <x:row r="316" ht="54" customHeight="1">
      <x:c r="A316" s="4" t="n">
        <x:v>315</x:v>
      </x:c>
      <x:c r="B316" s="4" t="str">
        <x:v>GUILD-0315</x:v>
      </x:c>
      <x:c r="C316" s="4" t="str">
        <x:v>M12 直播业绩、增长与统计报表</x:v>
      </x:c>
      <x:c r="D316" s="4" t="str">
        <x:v>每日（公会长视角）</x:v>
      </x:c>
      <x:c r="E316" s="4" t="str">
        <x:v>功能需求</x:v>
      </x:c>
      <x:c r="F316" s="4" t="str">
        <x:v>P2</x:v>
      </x:c>
      <x:c r="G316" s="4" t="str">
        <x:v>验证主播入口</x:v>
      </x:c>
      <x:c r="H316" s="4" t="str">
        <x:v>主播入口</x:v>
      </x:c>
      <x:c r="I316" s="4" t="str">
        <x:v>1. 已登录公会长账号</x:v>
      </x:c>
      <x:c r="J316" s="4" t="str">
        <x:v>1. 进入「每日」页
2. 点击「主播」</x:v>
      </x:c>
      <x:c r="K316" s="4" t="str">
        <x:v>页面进入「主播数据并带入当前日期」</x:v>
      </x:c>
      <x:c r="L316" s="4" t="str"/>
      <x:c r="M316" s="4" t="str">
        <x:v>未测</x:v>
      </x:c>
      <x:c r="N316" s="4" t="str"/>
      <x:c r="O316" s="4" t="str">
        <x:v>1. 来源：MainBasis/统一需求文档.md；G-guild-income-day-detail-005
2. 场景：SC-8e15d7c0ae59c3</x:v>
      </x:c>
    </x:row>
    <x:row r="317" ht="54" customHeight="1">
      <x:c r="A317" s="4" t="n">
        <x:v>316</x:v>
      </x:c>
      <x:c r="B317" s="4" t="str">
        <x:v>GUILD-0316</x:v>
      </x:c>
      <x:c r="C317" s="4" t="str">
        <x:v>M12 直播业绩、增长与统计报表</x:v>
      </x:c>
      <x:c r="D317" s="4" t="str">
        <x:v>每日（公会长视角）</x:v>
      </x:c>
      <x:c r="E317" s="4" t="str">
        <x:v>功能需求</x:v>
      </x:c>
      <x:c r="F317" s="4" t="str">
        <x:v>P1</x:v>
      </x:c>
      <x:c r="G317" s="4" t="str">
        <x:v>验证头像与来源明细一致</x:v>
      </x:c>
      <x:c r="H317" s="4" t="str">
        <x:v>头像与来源明细一致</x:v>
      </x:c>
      <x:c r="I317" s="4" t="str">
        <x:v>1. 已登录公会长账号
2. 已记录所选记录的头像，无其他记录混入当前选择</x:v>
      </x:c>
      <x:c r="J317" s="4" t="str">
        <x:v>1. 进入「每日」页
2. 查看头像与来源明细一致</x:v>
      </x:c>
      <x:c r="K317" s="4" t="str">
        <x:v>头像展示该记录对应值</x:v>
      </x:c>
      <x:c r="L317" s="4" t="str"/>
      <x:c r="M317" s="4" t="str">
        <x:v>未测</x:v>
      </x:c>
      <x:c r="N317" s="4" t="str"/>
      <x:c r="O317" s="4" t="str">
        <x:v>1. 来源：MainBasis/统一需求文档.md；G-guild-income-day-detail-002
2. 场景：SC-9b6175bee6f16c</x:v>
      </x:c>
    </x:row>
    <x:row r="318" ht="54" customHeight="1">
      <x:c r="A318" s="4" t="n">
        <x:v>317</x:v>
      </x:c>
      <x:c r="B318" s="4" t="str">
        <x:v>GUILD-0317</x:v>
      </x:c>
      <x:c r="C318" s="4" t="str">
        <x:v>M12 直播业绩、增长与统计报表</x:v>
      </x:c>
      <x:c r="D318" s="4" t="str">
        <x:v>每日（公会长视角）</x:v>
      </x:c>
      <x:c r="E318" s="4" t="str">
        <x:v>功能需求</x:v>
      </x:c>
      <x:c r="F318" s="4" t="str">
        <x:v>P1</x:v>
      </x:c>
      <x:c r="G318" s="4" t="str">
        <x:v>验证名称与来源明细一致</x:v>
      </x:c>
      <x:c r="H318" s="4" t="str">
        <x:v>名称与来源明细一致</x:v>
      </x:c>
      <x:c r="I318" s="4" t="str">
        <x:v>1. 已登录公会长账号
2. 已记录所选记录的名称，无其他记录混入当前选择</x:v>
      </x:c>
      <x:c r="J318" s="4" t="str">
        <x:v>1. 进入「每日」页
2. 查看名称与来源明细一致</x:v>
      </x:c>
      <x:c r="K318" s="4" t="str">
        <x:v>名称展示该记录对应值</x:v>
      </x:c>
      <x:c r="L318" s="4" t="str"/>
      <x:c r="M318" s="4" t="str">
        <x:v>未测</x:v>
      </x:c>
      <x:c r="N318" s="4" t="str"/>
      <x:c r="O318" s="4" t="str">
        <x:v>1. 来源：MainBasis/统一需求文档.md；G-guild-income-day-detail-002
2. 场景：SC-bf954aa901716c</x:v>
      </x:c>
    </x:row>
    <x:row r="319" ht="54" customHeight="1">
      <x:c r="A319" s="4" t="n">
        <x:v>318</x:v>
      </x:c>
      <x:c r="B319" s="4" t="str">
        <x:v>GUILD-0318</x:v>
      </x:c>
      <x:c r="C319" s="4" t="str">
        <x:v>M12 直播业绩、增长与统计报表</x:v>
      </x:c>
      <x:c r="D319" s="4" t="str">
        <x:v>每日（公会长视角）</x:v>
      </x:c>
      <x:c r="E319" s="4" t="str">
        <x:v>功能需求</x:v>
      </x:c>
      <x:c r="F319" s="4" t="str">
        <x:v>P1</x:v>
      </x:c>
      <x:c r="G319" s="4" t="str">
        <x:v>验证主播ID与来源明细一致</x:v>
      </x:c>
      <x:c r="H319" s="4" t="str">
        <x:v>主播ID与来源明细一致</x:v>
      </x:c>
      <x:c r="I319" s="4" t="str">
        <x:v>1. 已登录公会长账号
2. 已记录所选记录的主播ID，无其他记录混入当前选择</x:v>
      </x:c>
      <x:c r="J319" s="4" t="str">
        <x:v>1. 进入「每日」页
2. 查看主播ID与来源明细一致</x:v>
      </x:c>
      <x:c r="K319" s="4" t="str">
        <x:v>主播ID展示该记录对应值</x:v>
      </x:c>
      <x:c r="L319" s="4" t="str"/>
      <x:c r="M319" s="4" t="str">
        <x:v>未测</x:v>
      </x:c>
      <x:c r="N319" s="4" t="str"/>
      <x:c r="O319" s="4" t="str">
        <x:v>1. 来源：MainBasis/统一需求文档.md；G-guild-income-day-detail-002
2. 场景：SC-adb1097a069390</x:v>
      </x:c>
    </x:row>
    <x:row r="320" ht="54" customHeight="1">
      <x:c r="A320" s="4" t="n">
        <x:v>319</x:v>
      </x:c>
      <x:c r="B320" s="4" t="str">
        <x:v>GUILD-0319</x:v>
      </x:c>
      <x:c r="C320" s="4" t="str">
        <x:v>M12 直播业绩、增长与统计报表</x:v>
      </x:c>
      <x:c r="D320" s="4" t="str">
        <x:v>每日（公会长视角）</x:v>
      </x:c>
      <x:c r="E320" s="4" t="str">
        <x:v>功能需求</x:v>
      </x:c>
      <x:c r="F320" s="4" t="str">
        <x:v>P1</x:v>
      </x:c>
      <x:c r="G320" s="4" t="str">
        <x:v>验证等级与来源明细一致</x:v>
      </x:c>
      <x:c r="H320" s="4" t="str">
        <x:v>等级与来源明细一致</x:v>
      </x:c>
      <x:c r="I320" s="4" t="str">
        <x:v>1. 已登录公会长账号
2. 已记录所选记录的等级，无其他记录混入当前选择</x:v>
      </x:c>
      <x:c r="J320" s="4" t="str">
        <x:v>1. 进入「每日」页
2. 查看等级与来源明细一致</x:v>
      </x:c>
      <x:c r="K320" s="4" t="str">
        <x:v>等级展示该记录对应值</x:v>
      </x:c>
      <x:c r="L320" s="4" t="str"/>
      <x:c r="M320" s="4" t="str">
        <x:v>未测</x:v>
      </x:c>
      <x:c r="N320" s="4" t="str"/>
      <x:c r="O320" s="4" t="str">
        <x:v>1. 来源：MainBasis/统一需求文档.md；G-guild-income-day-detail-002
2. 场景：SC-28dfc8ff90600b</x:v>
      </x:c>
    </x:row>
    <x:row r="321" ht="54" customHeight="1">
      <x:c r="A321" s="4" t="n">
        <x:v>320</x:v>
      </x:c>
      <x:c r="B321" s="4" t="str">
        <x:v>GUILD-0320</x:v>
      </x:c>
      <x:c r="C321" s="4" t="str">
        <x:v>M12 直播业绩、增长与统计报表</x:v>
      </x:c>
      <x:c r="D321" s="4" t="str">
        <x:v>每日（公会长视角）</x:v>
      </x:c>
      <x:c r="E321" s="4" t="str">
        <x:v>功能需求</x:v>
      </x:c>
      <x:c r="F321" s="4" t="str">
        <x:v>P1</x:v>
      </x:c>
      <x:c r="G321" s="4" t="str">
        <x:v>验证当日收益与来源明细一致</x:v>
      </x:c>
      <x:c r="H321" s="4" t="str">
        <x:v>当日收益与来源明细一致</x:v>
      </x:c>
      <x:c r="I321" s="4" t="str">
        <x:v>1. 已登录公会长账号
2. 已记录所选记录的当日收益，无其他记录混入当前选择</x:v>
      </x:c>
      <x:c r="J321" s="4" t="str">
        <x:v>1. 进入「每日」页
2. 查看当日收益与来源明细一致</x:v>
      </x:c>
      <x:c r="K321" s="4" t="str">
        <x:v>当日收益展示该记录对应值</x:v>
      </x:c>
      <x:c r="L321" s="4" t="str"/>
      <x:c r="M321" s="4" t="str">
        <x:v>未测</x:v>
      </x:c>
      <x:c r="N321" s="4" t="str"/>
      <x:c r="O321" s="4" t="str">
        <x:v>1. 来源：MainBasis/统一需求文档.md；G-guild-income-day-detail-002
2. 场景：SC-4ca39d87bc12a8</x:v>
      </x:c>
    </x:row>
    <x:row r="322" ht="54" customHeight="1">
      <x:c r="A322" s="4" t="n">
        <x:v>321</x:v>
      </x:c>
      <x:c r="B322" s="4" t="str">
        <x:v>GUILD-0321</x:v>
      </x:c>
      <x:c r="C322" s="4" t="str">
        <x:v>M12 直播业绩、增长与统计报表</x:v>
      </x:c>
      <x:c r="D322" s="4" t="str">
        <x:v>每日（公会长视角）</x:v>
      </x:c>
      <x:c r="E322" s="4" t="str">
        <x:v>功能需求</x:v>
      </x:c>
      <x:c r="F322" s="4" t="str">
        <x:v>P1</x:v>
      </x:c>
      <x:c r="G322" s="4" t="str">
        <x:v>验证当日直播时长与来源明细一致</x:v>
      </x:c>
      <x:c r="H322" s="4" t="str">
        <x:v>当日直播时长与来源明细一致</x:v>
      </x:c>
      <x:c r="I322" s="4" t="str">
        <x:v>1. 已登录公会长账号
2. 已记录所选记录的当日直播时长，无其他记录混入当前选择</x:v>
      </x:c>
      <x:c r="J322" s="4" t="str">
        <x:v>1. 进入「每日」页
2. 查看当日直播时长与来源明细一致</x:v>
      </x:c>
      <x:c r="K322" s="4" t="str">
        <x:v>当日直播时长展示该记录对应值</x:v>
      </x:c>
      <x:c r="L322" s="4" t="str"/>
      <x:c r="M322" s="4" t="str">
        <x:v>未测</x:v>
      </x:c>
      <x:c r="N322" s="4" t="str"/>
      <x:c r="O322" s="4" t="str">
        <x:v>1. 来源：MainBasis/统一需求文档.md；G-guild-income-day-detail-002
2. 场景：SC-df36731d63a6b1</x:v>
      </x:c>
    </x:row>
    <x:row r="323" ht="54" customHeight="1">
      <x:c r="A323" s="4" t="n">
        <x:v>322</x:v>
      </x:c>
      <x:c r="B323" s="4" t="str">
        <x:v>GUILD-0322</x:v>
      </x:c>
      <x:c r="C323" s="4" t="str">
        <x:v>M12 直播业绩、增长与统计报表</x:v>
      </x:c>
      <x:c r="D323" s="4" t="str">
        <x:v>每日（公会长视角）</x:v>
      </x:c>
      <x:c r="E323" s="4" t="str">
        <x:v>功能需求</x:v>
      </x:c>
      <x:c r="F323" s="4" t="str">
        <x:v>P1</x:v>
      </x:c>
      <x:c r="G323" s="4" t="str">
        <x:v>验证有效天状态与来源明细一致</x:v>
      </x:c>
      <x:c r="H323" s="4" t="str">
        <x:v>有效天状态与来源明细一致</x:v>
      </x:c>
      <x:c r="I323" s="4" t="str">
        <x:v>1. 已登录公会长账号
2. 已记录所选记录的有效天状态，无其他记录混入当前选择</x:v>
      </x:c>
      <x:c r="J323" s="4" t="str">
        <x:v>1. 进入「每日」页
2. 查看有效天状态与来源明细一致</x:v>
      </x:c>
      <x:c r="K323" s="4" t="str">
        <x:v>有效天状态展示该记录对应值</x:v>
      </x:c>
      <x:c r="L323" s="4" t="str"/>
      <x:c r="M323" s="4" t="str">
        <x:v>未测</x:v>
      </x:c>
      <x:c r="N323" s="4" t="str"/>
      <x:c r="O323" s="4" t="str">
        <x:v>1. 来源：MainBasis/统一需求文档.md；G-guild-income-day-detail-002
2. 场景：SC-3af100dce11c12</x:v>
      </x:c>
    </x:row>
  </x:sheetData>
  <x:dataValidations count="3">
    <x:dataValidation type="list" sqref="E2:E323">
      <x:formula1>"功能需求,业务流程,逻辑校验,异常用例"</x:formula1>
    </x:dataValidation>
    <x:dataValidation type="list" sqref="F2:F323">
      <x:formula1>"P0,P1,P2,P3"</x:formula1>
    </x:dataValidation>
    <x:dataValidation type="list" sqref="M2:M323">
      <x:formula1>"未测,通过,不通过,阻塞,不适用"</x:formula1>
    </x:dataValidation>
  </x:dataValidations>
  <x:pageMargins left="0.7" right="0.7" top="0.75" bottom="0.75" header="0.3" footer="0.3"/>
  <x:tableParts count="1">
    <x:tablePart xmlns:r="http://schemas.openxmlformats.org/officeDocument/2006/relationships" r:id="Rfaa60640933a4e28"/>
  </x:tableParts>
</x:worksheet>
</file>

<file path=xl/worksheets/sheet3.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2" hidden="0" customWidth="1"/>
    <x:col min="2" max="2" width="13" hidden="0" customWidth="1"/>
    <x:col min="3" max="3" width="13" hidden="0" customWidth="1"/>
    <x:col min="4" max="4" width="22" hidden="0" customWidth="1"/>
    <x:col min="5" max="5" width="11" hidden="0" customWidth="1"/>
    <x:col min="6" max="6" width="13" hidden="0" customWidth="1"/>
    <x:col min="7" max="7" width="31" hidden="0" customWidth="1"/>
    <x:col min="8" max="8" width="19" hidden="0" customWidth="1"/>
    <x:col min="9" max="9" width="38" hidden="0" customWidth="1"/>
    <x:col min="10" max="10" width="44" hidden="0" customWidth="1"/>
    <x:col min="11" max="11" width="38" hidden="0" customWidth="1"/>
    <x:col min="12" max="12" width="12" hidden="0" customWidth="1"/>
    <x:col min="13" max="13" width="24" hidden="0" customWidth="1"/>
    <x:col min="14" max="14" width="38" hidden="0" customWidth="1"/>
    <x:col min="15" max="15" width="32" hidden="0" customWidth="1"/>
    <x:col min="16" max="16" width="20" hidden="0" customWidth="1"/>
    <x:col min="17" max="17" width="32" hidden="0" customWidth="1"/>
    <x:col min="18" max="18" width="12" hidden="0" customWidth="1"/>
    <x:col min="19" max="19" width="22" hidden="0" customWidth="1"/>
    <x:col min="20" max="20" width="12" hidden="0" customWidth="1"/>
  </x:cols>
  <x:sheetData>
    <x:row r="1" ht="34" customHeight="1">
      <x:c r="A1" s="7" t="str">
        <x:v>问题编号</x:v>
      </x:c>
      <x:c r="B1" s="7" t="str">
        <x:v>需求组编号</x:v>
      </x:c>
      <x:c r="C1" s="7" t="str">
        <x:v>父问题编号</x:v>
      </x:c>
      <x:c r="D1" s="7" t="str">
        <x:v>追问触发条件</x:v>
      </x:c>
      <x:c r="E1" s="7" t="str">
        <x:v>阻塞等级</x:v>
      </x:c>
      <x:c r="F1" s="7" t="str">
        <x:v>功能模块</x:v>
      </x:c>
      <x:c r="G1" s="7" t="str">
        <x:v>具体场景</x:v>
      </x:c>
      <x:c r="H1" s="7" t="str">
        <x:v>问题分类</x:v>
      </x:c>
      <x:c r="I1" s="7" t="str">
        <x:v>待决策问题</x:v>
      </x:c>
      <x:c r="J1" s="7" t="str">
        <x:v>可选方案</x:v>
      </x:c>
      <x:c r="K1" s="7" t="str">
        <x:v>测试建议</x:v>
      </x:c>
      <x:c r="L1" s="7" t="str">
        <x:v>产品结论</x:v>
      </x:c>
      <x:c r="M1" s="7" t="str">
        <x:v>结论补充</x:v>
      </x:c>
      <x:c r="N1" s="7" t="str">
        <x:v>已知依据</x:v>
      </x:c>
      <x:c r="O1" s="7" t="str">
        <x:v>影响范围</x:v>
      </x:c>
      <x:c r="P1" s="7" t="str">
        <x:v>已有用例编号</x:v>
      </x:c>
      <x:c r="Q1" s="7" t="str">
        <x:v>确认后待补用例</x:v>
      </x:c>
      <x:c r="R1" s="7" t="str">
        <x:v>负责人</x:v>
      </x:c>
      <x:c r="S1" s="7" t="str">
        <x:v>期望确认时间</x:v>
      </x:c>
      <x:c r="T1" s="7" t="str">
        <x:v>确认状态</x:v>
      </x:c>
    </x:row>
    <x:row r="2" ht="96" customHeight="1">
      <x:c r="A2" s="4" t="str">
        <x:v>Q-001</x:v>
      </x:c>
      <x:c r="B2" s="4" t="str">
        <x:v>RQ-001</x:v>
      </x:c>
      <x:c r="C2" s="4" t="str"/>
      <x:c r="D2" s="4" t="str"/>
      <x:c r="E2" s="4" t="str">
        <x:v>阻塞测试</x:v>
      </x:c>
      <x:c r="F2" s="4" t="str">
        <x:v>M05 公会申请·认证·组织与权限</x:v>
      </x:c>
      <x:c r="G2" s="4" t="str">
        <x:v>申请人提交入会材料后由公会审核</x:v>
      </x:c>
      <x:c r="H2" s="4" t="str">
        <x:v>业务规则</x:v>
      </x:c>
      <x:c r="I2" s="4" t="str">
        <x:v>公会初审通过时是否立即建立公会关系？</x:v>
      </x:c>
      <x:c r="J2" s="4" t="str">
        <x:v>A. 立即建立关系；主播身份在平台认证通过后生效
B. 公会初审及平台终审均通过后才建立关系和主播身份</x:v>
      </x:c>
      <x:c r="K2" s="4" t="str">
        <x:v>建议优先评估A：明确申请人提交入会材料后由公会审核的唯一处理口径后，可构造确定的输入和结果；此建议不代表产品结论</x:v>
      </x:c>
      <x:c r="L2" s="8" t="str"/>
      <x:c r="M2" s="8" t="str"/>
      <x:c r="N2" s="4" t="str">
        <x:v>1. MainBasis/需求待确认清单.md#Q001：入会、主播认证与身份生效顺序
2. 主文档关联：D-SYS-041、U-guild-application-form-010、G-guild-notifications-005、A-admin-host-review-001</x:v>
      </x:c>
      <x:c r="O2" s="4" t="str">
        <x:v>1. 用户App：申请人提交入会材料后由公会审核
2. 公会App：申请人提交入会材料后由公会审核
3. 管理后台：申请人提交入会材料后由公会审核</x:v>
      </x:c>
      <x:c r="P2" s="4" t="str"/>
      <x:c r="Q2" s="4" t="str">
        <x:v>1. 公会初审通过时是否立即建立公会关系的正向、边界及异常场景</x:v>
      </x:c>
      <x:c r="R2" s="4" t="str">
        <x:v>产品</x:v>
      </x:c>
      <x:c r="S2" s="4" t="str">
        <x:v>进入对应功能测试前</x:v>
      </x:c>
      <x:c r="T2" s="4" t="str">
        <x:v>待确认</x:v>
      </x:c>
    </x:row>
    <x:row r="3" ht="96" customHeight="1">
      <x:c r="A3" s="4" t="str">
        <x:v>Q-002</x:v>
      </x:c>
      <x:c r="B3" s="4" t="str">
        <x:v>RQ-001</x:v>
      </x:c>
      <x:c r="C3" s="4" t="str"/>
      <x:c r="D3" s="4" t="str"/>
      <x:c r="E3" s="4" t="str">
        <x:v>阻塞测试</x:v>
      </x:c>
      <x:c r="F3" s="4" t="str">
        <x:v>M05 公会申请·认证·组织与权限</x:v>
      </x:c>
      <x:c r="G3" s="4" t="str">
        <x:v>平台驳回认证后申请人再次申请</x:v>
      </x:c>
      <x:c r="H3" s="4" t="str">
        <x:v>业务规则</x:v>
      </x:c>
      <x:c r="I3" s="4" t="str">
        <x:v>再次提交是否创建新的申请单？</x:v>
      </x:c>
      <x:c r="J3" s="4" t="str">
        <x:v>A. 创建新单，旧单保持驳回快照
B. 重开原单，保留各次提交和审核版本</x:v>
      </x:c>
      <x:c r="K3" s="4" t="str">
        <x:v>建议优先评估A：明确平台驳回认证后申请人再次申请的唯一处理口径后，可构造确定的输入和结果；此建议不代表产品结论</x:v>
      </x:c>
      <x:c r="L3" s="8" t="str"/>
      <x:c r="M3" s="8" t="str"/>
      <x:c r="N3" s="4" t="str">
        <x:v>1. MainBasis/需求待确认清单.md#Q001：入会、主播认证与身份生效顺序
2. 主文档关联：D-SYS-041、U-guild-application-form-010、G-guild-notifications-005、A-admin-host-review-001</x:v>
      </x:c>
      <x:c r="O3" s="4" t="str">
        <x:v>1. 用户App：平台驳回认证后申请人再次申请
2. 公会App：平台驳回认证后申请人再次申请
3. 管理后台：平台驳回认证后申请人再次申请</x:v>
      </x:c>
      <x:c r="P3" s="4" t="str"/>
      <x:c r="Q3" s="4" t="str">
        <x:v>1. 再次提交是否创建新的申请单的正向、边界及异常场景</x:v>
      </x:c>
      <x:c r="R3" s="4" t="str">
        <x:v>产品</x:v>
      </x:c>
      <x:c r="S3" s="4" t="str">
        <x:v>进入对应功能测试前</x:v>
      </x:c>
      <x:c r="T3" s="4" t="str">
        <x:v>待确认</x:v>
      </x:c>
    </x:row>
    <x:row r="4" ht="96" customHeight="1">
      <x:c r="A4" s="4" t="str">
        <x:v>Q-011</x:v>
      </x:c>
      <x:c r="B4" s="4" t="str">
        <x:v>RQ-006</x:v>
      </x:c>
      <x:c r="C4" s="4" t="str"/>
      <x:c r="D4" s="4" t="str"/>
      <x:c r="E4" s="4" t="str">
        <x:v>阻塞测试</x:v>
      </x:c>
      <x:c r="F4" s="4" t="str">
        <x:v>M12 直播业绩·增长与统计报表</x:v>
      </x:c>
      <x:c r="G4" s="4" t="str">
        <x:v>用户充值，后台和财务查看实际支付金额</x:v>
      </x:c>
      <x:c r="H4" s="4" t="str">
        <x:v>业务规则</x:v>
      </x:c>
      <x:c r="I4" s="4" t="str">
        <x:v>本期充值支付以哪种货币记账？</x:v>
      </x:c>
      <x:c r="J4" s="4" t="str">
        <x:v>A. USD；保留渠道原币和实际汇率快照
B. IDR；保留渠道原币和实际汇率快照</x:v>
      </x:c>
      <x:c r="K4" s="4" t="str">
        <x:v>建议优先评估A：明确用户充值，后台和财务查看实际支付金额的唯一处理口径后，可构造确定的输入和结果；此建议不代表产品结论</x:v>
      </x:c>
      <x:c r="L4" s="8" t="str"/>
      <x:c r="M4" s="8" t="str"/>
      <x:c r="N4" s="4" t="str">
        <x:v>1. MainBasis/需求待确认清单.md#Q006：金币、支付货币、收益与结算币种换算
2. 主文档关联：D-SYS-172、U-income-sharing-003、A-admin-recharge-package-003、A-admin-recharge-package-detail-004</x:v>
      </x:c>
      <x:c r="O4" s="4" t="str">
        <x:v>1. 用户App：用户充值，后台和财务查看实际支付金额
2. 公会App：用户充值，后台和财务查看实际支付金额
3. 管理后台：用户充值，后台和财务查看实际支付金额</x:v>
      </x:c>
      <x:c r="P4" s="4" t="str"/>
      <x:c r="Q4" s="4" t="str">
        <x:v>1. 本期充值支付以哪种货币记账的正向、边界及异常场景</x:v>
      </x:c>
      <x:c r="R4" s="4" t="str">
        <x:v>产品</x:v>
      </x:c>
      <x:c r="S4" s="4" t="str">
        <x:v>进入对应功能测试前</x:v>
      </x:c>
      <x:c r="T4" s="4" t="str">
        <x:v>待确认</x:v>
      </x:c>
    </x:row>
    <x:row r="5" ht="96" customHeight="1">
      <x:c r="A5" s="4" t="str">
        <x:v>Q-012</x:v>
      </x:c>
      <x:c r="B5" s="4" t="str">
        <x:v>RQ-006</x:v>
      </x:c>
      <x:c r="C5" s="4" t="str"/>
      <x:c r="D5" s="4" t="str"/>
      <x:c r="E5" s="4" t="str">
        <x:v>阻塞测试</x:v>
      </x:c>
      <x:c r="F5" s="4" t="str">
        <x:v>M12 直播业绩·增长与统计报表</x:v>
      </x:c>
      <x:c r="G5" s="4" t="str">
        <x:v>财务录入主播或公会结算结果</x:v>
      </x:c>
      <x:c r="H5" s="4" t="str">
        <x:v>业务规则</x:v>
      </x:c>
      <x:c r="I5" s="4" t="str">
        <x:v>结算结果采用哪种金额币种？</x:v>
      </x:c>
      <x:c r="J5" s="4" t="str">
        <x:v>A. USD，上传文件每行必须带USD币种
B. IDR，上传文件每行必须带IDR币种</x:v>
      </x:c>
      <x:c r="K5" s="4" t="str">
        <x:v>建议优先评估A：明确财务录入主播或公会结算结果的唯一处理口径后，可构造确定的输入和结果；此建议不代表产品结论</x:v>
      </x:c>
      <x:c r="L5" s="8" t="str"/>
      <x:c r="M5" s="8" t="str"/>
      <x:c r="N5" s="4" t="str">
        <x:v>1. MainBasis/需求待确认清单.md#Q006：金币、支付货币、收益与结算币种换算
2. 主文档关联：D-SYS-172、U-income-sharing-003、A-admin-recharge-package-003、A-admin-recharge-package-detail-004</x:v>
      </x:c>
      <x:c r="O5" s="4" t="str">
        <x:v>1. 用户App：财务录入主播或公会结算结果
2. 公会App：财务录入主播或公会结算结果
3. 管理后台：财务录入主播或公会结算结果</x:v>
      </x:c>
      <x:c r="P5" s="4" t="str"/>
      <x:c r="Q5" s="4" t="str">
        <x:v>1. 结算结果采用哪种金额币种的正向、边界及异常场景</x:v>
      </x:c>
      <x:c r="R5" s="4" t="str">
        <x:v>产品</x:v>
      </x:c>
      <x:c r="S5" s="4" t="str">
        <x:v>进入对应功能测试前</x:v>
      </x:c>
      <x:c r="T5" s="4" t="str">
        <x:v>待确认</x:v>
      </x:c>
    </x:row>
    <x:row r="6" ht="96" customHeight="1">
      <x:c r="A6" s="4" t="str">
        <x:v>Q-013</x:v>
      </x:c>
      <x:c r="B6" s="4" t="str">
        <x:v>RQ-006</x:v>
      </x:c>
      <x:c r="C6" s="4" t="str"/>
      <x:c r="D6" s="4" t="str"/>
      <x:c r="E6" s="4" t="str">
        <x:v>阻塞测试</x:v>
      </x:c>
      <x:c r="F6" s="4" t="str">
        <x:v>M12 直播业绩·增长与统计报表</x:v>
      </x:c>
      <x:c r="G6" s="4" t="str">
        <x:v>订单支付日与结算日的汇率不同</x:v>
      </x:c>
      <x:c r="H6" s="4" t="str">
        <x:v>业务规则</x:v>
      </x:c>
      <x:c r="I6" s="4" t="str">
        <x:v>币种换算使用哪个时点的汇率？</x:v>
      </x:c>
      <x:c r="J6" s="4" t="str">
        <x:v>A. 使用订单支付成功时冻结的渠道汇率
B. 使用结算批次确认时冻结的财务汇率</x:v>
      </x:c>
      <x:c r="K6" s="4" t="str">
        <x:v>建议优先评估A：明确订单支付日与结算日的汇率不同的唯一处理口径后，可构造确定的输入和结果；此建议不代表产品结论</x:v>
      </x:c>
      <x:c r="L6" s="8" t="str"/>
      <x:c r="M6" s="8" t="str"/>
      <x:c r="N6" s="4" t="str">
        <x:v>1. MainBasis/需求待确认清单.md#Q006：金币、支付货币、收益与结算币种换算
2. 主文档关联：D-SYS-172、U-income-sharing-003、A-admin-recharge-package-003、A-admin-recharge-package-detail-004</x:v>
      </x:c>
      <x:c r="O6" s="4" t="str">
        <x:v>1. 用户App：订单支付日与结算日的汇率不同
2. 公会App：订单支付日与结算日的汇率不同
3. 管理后台：订单支付日与结算日的汇率不同</x:v>
      </x:c>
      <x:c r="P6" s="4" t="str"/>
      <x:c r="Q6" s="4" t="str">
        <x:v>1. 币种换算使用哪个时点的汇率的正向、边界及异常场景</x:v>
      </x:c>
      <x:c r="R6" s="4" t="str">
        <x:v>产品</x:v>
      </x:c>
      <x:c r="S6" s="4" t="str">
        <x:v>进入对应功能测试前</x:v>
      </x:c>
      <x:c r="T6" s="4" t="str">
        <x:v>待确认</x:v>
      </x:c>
    </x:row>
    <x:row r="7" ht="96" customHeight="1">
      <x:c r="A7" s="4" t="str">
        <x:v>Q-018</x:v>
      </x:c>
      <x:c r="B7" s="4" t="str">
        <x:v>RQ-010</x:v>
      </x:c>
      <x:c r="C7" s="4" t="str"/>
      <x:c r="D7" s="4" t="str"/>
      <x:c r="E7" s="4" t="str">
        <x:v>阻塞测试</x:v>
      </x:c>
      <x:c r="F7" s="4" t="str">
        <x:v>M06 开播·房型·观看·连麦与房内管理</x:v>
      </x:c>
      <x:c r="G7" s="4" t="str">
        <x:v>管理员配置幸运礼物价格</x:v>
      </x:c>
      <x:c r="H7" s="4" t="str">
        <x:v>业务规则</x:v>
      </x:c>
      <x:c r="I7" s="4" t="str">
        <x:v>每次独立开奖的消耗是否固定10金币？</x:v>
      </x:c>
      <x:c r="J7" s="4" t="str">
        <x:v>A. 固定10金币，其他值禁止保存
B. 读取每个SKU的正整数单次消耗配置</x:v>
      </x:c>
      <x:c r="K7" s="4" t="str">
        <x:v>建议优先评估A：明确管理员配置幸运礼物价格的唯一处理口径后，可构造确定的输入和结果；此建议不代表产品结论</x:v>
      </x:c>
      <x:c r="L7" s="8" t="str"/>
      <x:c r="M7" s="8" t="str"/>
      <x:c r="N7" s="4" t="str">
        <x:v>1. MainBasis/需求待确认清单.md#Q010：幸运礼物单次成本、数量档位、概率和上架验证
2. 主文档关联：D-SYS-137、U-live-room-011、A-admin-lucky-gift-config-003、U-views_live-room_gift-002</x:v>
      </x:c>
      <x:c r="O7" s="4" t="str">
        <x:v>1. 用户App：管理员配置幸运礼物价格
2. 公会App：管理员配置幸运礼物价格
3. 管理后台：管理员配置幸运礼物价格</x:v>
      </x:c>
      <x:c r="P7" s="4" t="str"/>
      <x:c r="Q7" s="4" t="str">
        <x:v>1. 每次独立开奖的消耗是否固定10金币的正向、边界及异常场景</x:v>
      </x:c>
      <x:c r="R7" s="4" t="str">
        <x:v>产品</x:v>
      </x:c>
      <x:c r="S7" s="4" t="str">
        <x:v>进入对应功能测试前</x:v>
      </x:c>
      <x:c r="T7" s="4" t="str">
        <x:v>待确认</x:v>
      </x:c>
    </x:row>
    <x:row r="8" ht="96" customHeight="1">
      <x:c r="A8" s="4" t="str">
        <x:v>Q-019</x:v>
      </x:c>
      <x:c r="B8" s="4" t="str">
        <x:v>RQ-010</x:v>
      </x:c>
      <x:c r="C8" s="4" t="str"/>
      <x:c r="D8" s="4" t="str"/>
      <x:c r="E8" s="4" t="str">
        <x:v>阻塞测试</x:v>
      </x:c>
      <x:c r="F8" s="4" t="str">
        <x:v>M06 开播·房型·观看·连麦与房内管理</x:v>
      </x:c>
      <x:c r="G8" s="4" t="str">
        <x:v>用户一次赠送数量为2至9的幸运礼物</x:v>
      </x:c>
      <x:c r="H8" s="4" t="str">
        <x:v>业务规则</x:v>
      </x:c>
      <x:c r="I8" s="4" t="str">
        <x:v>2至9个礼物采用哪套概率？</x:v>
      </x:c>
      <x:c r="J8" s="4" t="str">
        <x:v>A. 每个礼物均使用1个档的概率独立开奖
B. 每个礼物均使用10个档的概率独立开奖</x:v>
      </x:c>
      <x:c r="K8" s="4" t="str">
        <x:v>建议优先评估A：明确用户一次赠送数量为2至9的幸运礼物的唯一处理口径后，可构造确定的输入和结果；此建议不代表产品结论</x:v>
      </x:c>
      <x:c r="L8" s="8" t="str"/>
      <x:c r="M8" s="8" t="str"/>
      <x:c r="N8" s="4" t="str">
        <x:v>1. MainBasis/需求待确认清单.md#Q010：幸运礼物单次成本、数量档位、概率和上架验证
2. 主文档关联：D-SYS-137、U-live-room-011、A-admin-lucky-gift-config-003、U-views_live-room_gift-002</x:v>
      </x:c>
      <x:c r="O8" s="4" t="str">
        <x:v>1. 用户App：用户一次赠送数量为2至9的幸运礼物
2. 公会App：用户一次赠送数量为2至9的幸运礼物
3. 管理后台：用户一次赠送数量为2至9的幸运礼物</x:v>
      </x:c>
      <x:c r="P8" s="4" t="str"/>
      <x:c r="Q8" s="4" t="str">
        <x:v>1. 2至9个礼物采用哪套概率的正向、边界及异常场景</x:v>
      </x:c>
      <x:c r="R8" s="4" t="str">
        <x:v>产品</x:v>
      </x:c>
      <x:c r="S8" s="4" t="str">
        <x:v>进入对应功能测试前</x:v>
      </x:c>
      <x:c r="T8" s="4" t="str">
        <x:v>待确认</x:v>
      </x:c>
    </x:row>
    <x:row r="9" ht="96" customHeight="1">
      <x:c r="A9" s="4" t="str">
        <x:v>Q-020</x:v>
      </x:c>
      <x:c r="B9" s="4" t="str">
        <x:v>RQ-010</x:v>
      </x:c>
      <x:c r="C9" s="4" t="str"/>
      <x:c r="D9" s="4" t="str"/>
      <x:c r="E9" s="4" t="str">
        <x:v>阻塞测试</x:v>
      </x:c>
      <x:c r="F9" s="4" t="str">
        <x:v>M06 开播·房型·观看·连麦与房内管理</x:v>
      </x:c>
      <x:c r="G9" s="4" t="str">
        <x:v>用户一次赠送数量为11至99的幸运礼物</x:v>
      </x:c>
      <x:c r="H9" s="4" t="str">
        <x:v>业务规则</x:v>
      </x:c>
      <x:c r="I9" s="4" t="str">
        <x:v>11至99个礼物采用哪套概率？</x:v>
      </x:c>
      <x:c r="J9" s="4" t="str">
        <x:v>A. 每个礼物均使用10个档的概率独立开奖
B. 每个礼物均使用100个档的概率独立开奖</x:v>
      </x:c>
      <x:c r="K9" s="4" t="str">
        <x:v>建议优先评估A：明确用户一次赠送数量为11至99的幸运礼物的唯一处理口径后，可构造确定的输入和结果；此建议不代表产品结论</x:v>
      </x:c>
      <x:c r="L9" s="8" t="str"/>
      <x:c r="M9" s="8" t="str"/>
      <x:c r="N9" s="4" t="str">
        <x:v>1. MainBasis/需求待确认清单.md#Q010：幸运礼物单次成本、数量档位、概率和上架验证
2. 主文档关联：D-SYS-137、U-live-room-011、A-admin-lucky-gift-config-003、U-views_live-room_gift-002</x:v>
      </x:c>
      <x:c r="O9" s="4" t="str">
        <x:v>1. 用户App：用户一次赠送数量为11至99的幸运礼物
2. 公会App：用户一次赠送数量为11至99的幸运礼物
3. 管理后台：用户一次赠送数量为11至99的幸运礼物</x:v>
      </x:c>
      <x:c r="P9" s="4" t="str"/>
      <x:c r="Q9" s="4" t="str">
        <x:v>1. 11至99个礼物采用哪套概率的正向、边界及异常场景</x:v>
      </x:c>
      <x:c r="R9" s="4" t="str">
        <x:v>产品</x:v>
      </x:c>
      <x:c r="S9" s="4" t="str">
        <x:v>进入对应功能测试前</x:v>
      </x:c>
      <x:c r="T9" s="4" t="str">
        <x:v>待确认</x:v>
      </x:c>
    </x:row>
    <x:row r="10" ht="96" customHeight="1">
      <x:c r="A10" s="4" t="str">
        <x:v>Q-021</x:v>
      </x:c>
      <x:c r="B10" s="4" t="str">
        <x:v>RQ-010</x:v>
      </x:c>
      <x:c r="C10" s="4" t="str"/>
      <x:c r="D10" s="4" t="str"/>
      <x:c r="E10" s="4" t="str">
        <x:v>阻塞测试</x:v>
      </x:c>
      <x:c r="F10" s="4" t="str">
        <x:v>M06 开播·房型·观看·连麦与房内管理</x:v>
      </x:c>
      <x:c r="G10" s="4" t="str">
        <x:v>管理员验证幸运礼物配置后上架</x:v>
      </x:c>
      <x:c r="H10" s="4" t="str">
        <x:v>业务规则</x:v>
      </x:c>
      <x:c r="I10" s="4" t="str">
        <x:v>上架是否以统计抽样结果作为强制门槛？</x:v>
      </x:c>
      <x:c r="J10" s="4" t="str">
        <x:v>A. 不作为强制门槛，仅校验配置公式，抽样另作发布报告
B. 作为门槛，样本量和允许误差必须读取有版本的发布配置</x:v>
      </x:c>
      <x:c r="K10" s="4" t="str">
        <x:v>建议优先评估A：明确管理员验证幸运礼物配置后上架的唯一处理口径后，可构造确定的输入和结果；此建议不代表产品结论</x:v>
      </x:c>
      <x:c r="L10" s="8" t="str"/>
      <x:c r="M10" s="8" t="str"/>
      <x:c r="N10" s="4" t="str">
        <x:v>1. MainBasis/需求待确认清单.md#Q010：幸运礼物单次成本、数量档位、概率和上架验证
2. 主文档关联：D-SYS-137、U-live-room-011、A-admin-lucky-gift-config-003、U-views_live-room_gift-002</x:v>
      </x:c>
      <x:c r="O10" s="4" t="str">
        <x:v>1. 用户App：管理员验证幸运礼物配置后上架
2. 公会App：管理员验证幸运礼物配置后上架
3. 管理后台：管理员验证幸运礼物配置后上架</x:v>
      </x:c>
      <x:c r="P10" s="4" t="str"/>
      <x:c r="Q10" s="4" t="str">
        <x:v>1. 上架是否以统计抽样结果作为强制门槛的正向、边界及异常场景</x:v>
      </x:c>
      <x:c r="R10" s="4" t="str">
        <x:v>产品</x:v>
      </x:c>
      <x:c r="S10" s="4" t="str">
        <x:v>进入对应功能测试前</x:v>
      </x:c>
      <x:c r="T10" s="4" t="str">
        <x:v>待确认</x:v>
      </x:c>
    </x:row>
    <x:row r="11" ht="110" customHeight="1">
      <x:c r="A11" s="4" t="str">
        <x:v>Q-060</x:v>
      </x:c>
      <x:c r="B11" s="4" t="str">
        <x:v>RQ-028</x:v>
      </x:c>
      <x:c r="C11" s="4" t="str"/>
      <x:c r="D11" s="4" t="str"/>
      <x:c r="E11" s="4" t="str">
        <x:v>阻塞测试</x:v>
      </x:c>
      <x:c r="F11" s="4" t="str">
        <x:v>M11 财务·退款·结算上传与账户调整</x:v>
      </x:c>
      <x:c r="G11" s="4" t="str">
        <x:v>财务导入包含一行无效数据的结算文件</x:v>
      </x:c>
      <x:c r="H11" s="4" t="str">
        <x:v>异常处理</x:v>
      </x:c>
      <x:c r="I11" s="4" t="str">
        <x:v>是否允许部分行导入成功？</x:v>
      </x:c>
      <x:c r="J11" s="4" t="str">
        <x:v>A. 整批拒绝，修正后重新上传
B. 有效行成功，无效行返回失败明细</x:v>
      </x:c>
      <x:c r="K11" s="4" t="str">
        <x:v>建议优先评估A：明确财务导入包含一行无效数据的结算文件的唯一处理口径后，可构造确定的输入和结果；此建议不代表产品结论</x:v>
      </x:c>
      <x:c r="L11" s="8" t="str"/>
      <x:c r="M11" s="8" t="str"/>
      <x:c r="N11" s="4" t="str">
        <x:v>1. MainBasis/需求待确认清单.md#Q028：财务上传模板、错误处理与重复导入
2. 主文档关联：A-admin-settlement-record-003、A-admin-settlement-record-detail-001、A-admin-guild-settlement-record-003、A-admin-guild-settlement-record-detail-001</x:v>
      </x:c>
      <x:c r="O11" s="4" t="str">
        <x:v>1. 管理后台：财务导入包含一行无效数据的结算文件
2. 公会App：财务导入包含一行无效数据的结算文件</x:v>
      </x:c>
      <x:c r="P11" s="4" t="str"/>
      <x:c r="Q11" s="4" t="str">
        <x:v>1. 是否允许部分行导入成功的正向、边界及异常场景</x:v>
      </x:c>
      <x:c r="R11" s="4" t="str">
        <x:v>多方确认</x:v>
      </x:c>
      <x:c r="S11" s="4" t="str">
        <x:v>进入对应功能测试前</x:v>
      </x:c>
      <x:c r="T11" s="4" t="str">
        <x:v>待确认</x:v>
      </x:c>
    </x:row>
    <x:row r="12" ht="110" customHeight="1">
      <x:c r="A12" s="4" t="str">
        <x:v>Q-061</x:v>
      </x:c>
      <x:c r="B12" s="4" t="str">
        <x:v>RQ-028</x:v>
      </x:c>
      <x:c r="C12" s="4" t="str"/>
      <x:c r="D12" s="4" t="str"/>
      <x:c r="E12" s="4" t="str">
        <x:v>阻塞测试</x:v>
      </x:c>
      <x:c r="F12" s="4" t="str">
        <x:v>M11 财务·退款·结算上传与账户调整</x:v>
      </x:c>
      <x:c r="G12" s="4" t="str">
        <x:v>财务重复上传同一批结算结果</x:v>
      </x:c>
      <x:c r="H12" s="4" t="str">
        <x:v>异常处理</x:v>
      </x:c>
      <x:c r="I12" s="4" t="str">
        <x:v>重复批次应如何处理？</x:v>
      </x:c>
      <x:c r="J12" s="4" t="str">
        <x:v>A. 按唯一批次号拒绝重复导入
B. 按唯一明细键只导入此前未入账的行</x:v>
      </x:c>
      <x:c r="K12" s="4" t="str">
        <x:v>建议优先评估A：明确财务重复上传同一批结算结果的唯一处理口径后，可构造确定的输入和结果；此建议不代表产品结论</x:v>
      </x:c>
      <x:c r="L12" s="8" t="str"/>
      <x:c r="M12" s="8" t="str"/>
      <x:c r="N12" s="4" t="str">
        <x:v>1. MainBasis/需求待确认清单.md#Q028：财务上传模板、错误处理与重复导入
2. 主文档关联：A-admin-settlement-record-003、A-admin-settlement-record-detail-001、A-admin-guild-settlement-record-003、A-admin-guild-settlement-record-detail-001</x:v>
      </x:c>
      <x:c r="O12" s="4" t="str">
        <x:v>1. 管理后台：财务重复上传同一批结算结果
2. 公会App：财务重复上传同一批结算结果</x:v>
      </x:c>
      <x:c r="P12" s="4" t="str"/>
      <x:c r="Q12" s="4" t="str">
        <x:v>1. 重复批次应如何处理的正向、边界及异常场景</x:v>
      </x:c>
      <x:c r="R12" s="4" t="str">
        <x:v>多方确认</x:v>
      </x:c>
      <x:c r="S12" s="4" t="str">
        <x:v>进入对应功能测试前</x:v>
      </x:c>
      <x:c r="T12" s="4" t="str">
        <x:v>待确认</x:v>
      </x:c>
    </x:row>
    <x:row r="13" ht="110" customHeight="1">
      <x:c r="A13" s="4" t="str">
        <x:v>Q-062</x:v>
      </x:c>
      <x:c r="B13" s="4" t="str">
        <x:v>RQ-029</x:v>
      </x:c>
      <x:c r="C13" s="4" t="str"/>
      <x:c r="D13" s="4" t="str"/>
      <x:c r="E13" s="4" t="str">
        <x:v>阻塞测试</x:v>
      </x:c>
      <x:c r="F13" s="4" t="str">
        <x:v>M11 财务·退款·结算上传与账户调整</x:v>
      </x:c>
      <x:c r="G13" s="4" t="str">
        <x:v>财务上传结果后查看主播或公会薪资账户</x:v>
      </x:c>
      <x:c r="H13" s="4" t="str">
        <x:v>业务规则</x:v>
      </x:c>
      <x:c r="I13" s="4" t="str">
        <x:v>薪资账户余额表示哪种业务数值？</x:v>
      </x:c>
      <x:c r="J13" s="4" t="str">
        <x:v>A. 累计已结算金额，线下付款不再扣减
B. 应付未付金额，线下付款需扣减
C. 已实际到账且可支取余额，支取后扣减</x:v>
      </x:c>
      <x:c r="K13" s="4" t="str">
        <x:v>建议优先评估A：明确财务上传结果后查看主播或公会薪资账户的唯一处理口径后，可构造确定的输入和结果；此建议不代表产品结论</x:v>
      </x:c>
      <x:c r="L13" s="8" t="str"/>
      <x:c r="M13" s="8" t="str"/>
      <x:c r="N13" s="4" t="str">
        <x:v>1. MainBasis/需求待确认清单.md#Q029：薪资账户、调整记录与线下实付的含义
2. 主文档关联：A-admin-host-account-balance-002、A-admin-guild-account-balance-002、A-admin-host-account-balance-003、A-admin-guild-account-balance-003</x:v>
      </x:c>
      <x:c r="O13" s="4" t="str">
        <x:v>1. 用户App：财务上传结果后查看主播或公会薪资账户
2. 公会App：财务上传结果后查看主播或公会薪资账户
3. 管理后台：财务上传结果后查看主播或公会薪资账户</x:v>
      </x:c>
      <x:c r="P13" s="4" t="str"/>
      <x:c r="Q13" s="4" t="str">
        <x:v>1. 薪资账户余额表示哪种业务数值的正向、边界及异常场景</x:v>
      </x:c>
      <x:c r="R13" s="4" t="str">
        <x:v>产品</x:v>
      </x:c>
      <x:c r="S13" s="4" t="str">
        <x:v>进入对应功能测试前</x:v>
      </x:c>
      <x:c r="T13" s="4" t="str">
        <x:v>待确认</x:v>
      </x:c>
    </x:row>
    <x:row r="14" ht="96" customHeight="1">
      <x:c r="A14" s="4" t="str">
        <x:v>Q-003</x:v>
      </x:c>
      <x:c r="B14" s="4" t="str">
        <x:v>RQ-002</x:v>
      </x:c>
      <x:c r="C14" s="4" t="str"/>
      <x:c r="D14" s="4" t="str"/>
      <x:c r="E14" s="4" t="str">
        <x:v>部分阻塞</x:v>
      </x:c>
      <x:c r="F14" s="4" t="str">
        <x:v>M05 公会申请·认证·组织与权限</x:v>
      </x:c>
      <x:c r="G14" s="4" t="str">
        <x:v>管理员重新启用曾停用的公会</x:v>
      </x:c>
      <x:c r="H14" s="4" t="str">
        <x:v>业务规则</x:v>
      </x:c>
      <x:c r="I14" s="4" t="str">
        <x:v>恢复启用是否自动恢复停用时解除的主播关系？</x:v>
      </x:c>
      <x:c r="J14" s="4" t="str">
        <x:v>A. 不恢复，主播须重新申请
B. 仅恢复未加入其他公会且账号有效的原成员</x:v>
      </x:c>
      <x:c r="K14" s="4" t="str">
        <x:v>建议优先评估A：明确管理员重新启用曾停用的公会的唯一处理口径后，可构造确定的输入和结果；此建议不代表产品结论</x:v>
      </x:c>
      <x:c r="L14" s="8" t="str"/>
      <x:c r="M14" s="8" t="str"/>
      <x:c r="N14" s="4" t="str">
        <x:v>1. MainBasis/需求待确认清单.md#Q002：公会停用与解散的关系后果
2. 主文档关联：D-SYS-066、U-guild-management-007、G-guild-switch-003、A-admin-guild-list-005</x:v>
      </x:c>
      <x:c r="O14" s="4" t="str">
        <x:v>1. 用户App：管理员重新启用曾停用的公会
2. 公会App：管理员重新启用曾停用的公会
3. 管理后台：管理员重新启用曾停用的公会</x:v>
      </x:c>
      <x:c r="P14" s="4" t="str"/>
      <x:c r="Q14" s="4" t="str">
        <x:v>1. 恢复启用是否自动恢复停用时解除的主播关系的正向、边界及异常场景</x:v>
      </x:c>
      <x:c r="R14" s="4" t="str">
        <x:v>产品</x:v>
      </x:c>
      <x:c r="S14" s="4" t="str">
        <x:v>进入对应功能测试前</x:v>
      </x:c>
      <x:c r="T14" s="4" t="str">
        <x:v>待确认</x:v>
      </x:c>
    </x:row>
    <x:row r="15" ht="96" customHeight="1">
      <x:c r="A15" s="4" t="str">
        <x:v>Q-004</x:v>
      </x:c>
      <x:c r="B15" s="4" t="str">
        <x:v>RQ-002</x:v>
      </x:c>
      <x:c r="C15" s="4" t="str"/>
      <x:c r="D15" s="4" t="str"/>
      <x:c r="E15" s="4" t="str">
        <x:v>部分阻塞</x:v>
      </x:c>
      <x:c r="F15" s="4" t="str">
        <x:v>M05 公会申请·认证·组织与权限</x:v>
      </x:c>
      <x:c r="G15" s="4" t="str">
        <x:v>管理员停用公会时仍有未处理入会申请</x:v>
      </x:c>
      <x:c r="H15" s="4" t="str">
        <x:v>业务规则</x:v>
      </x:c>
      <x:c r="I15" s="4" t="str">
        <x:v>未处理申请是否自动终止？</x:v>
      </x:c>
      <x:c r="J15" s="4" t="str">
        <x:v>A. 终止并标记公会停用
B. 暂停处理，公会恢复后可继续审核</x:v>
      </x:c>
      <x:c r="K15" s="4" t="str">
        <x:v>建议优先评估A：明确管理员停用公会时仍有未处理入会申请的唯一处理口径后，可构造确定的输入和结果；此建议不代表产品结论</x:v>
      </x:c>
      <x:c r="L15" s="8" t="str"/>
      <x:c r="M15" s="8" t="str"/>
      <x:c r="N15" s="4" t="str">
        <x:v>1. MainBasis/需求待确认清单.md#Q002：公会停用与解散的关系后果
2. 主文档关联：D-SYS-066、U-guild-management-007、G-guild-switch-003、A-admin-guild-list-005</x:v>
      </x:c>
      <x:c r="O15" s="4" t="str">
        <x:v>1. 用户App：管理员停用公会时仍有未处理入会申请
2. 公会App：管理员停用公会时仍有未处理入会申请
3. 管理后台：管理员停用公会时仍有未处理入会申请</x:v>
      </x:c>
      <x:c r="P15" s="4" t="str"/>
      <x:c r="Q15" s="4" t="str">
        <x:v>1. 未处理申请是否自动终止的正向、边界及异常场景</x:v>
      </x:c>
      <x:c r="R15" s="4" t="str">
        <x:v>产品</x:v>
      </x:c>
      <x:c r="S15" s="4" t="str">
        <x:v>进入对应功能测试前</x:v>
      </x:c>
      <x:c r="T15" s="4" t="str">
        <x:v>待确认</x:v>
      </x:c>
    </x:row>
    <x:row r="16" ht="96" customHeight="1">
      <x:c r="A16" s="4" t="str">
        <x:v>Q-005</x:v>
      </x:c>
      <x:c r="B16" s="4" t="str">
        <x:v>RQ-002</x:v>
      </x:c>
      <x:c r="C16" s="4" t="str"/>
      <x:c r="D16" s="4" t="str"/>
      <x:c r="E16" s="4" t="str">
        <x:v>部分阻塞</x:v>
      </x:c>
      <x:c r="F16" s="4" t="str">
        <x:v>M05 公会申请·认证·组织与权限</x:v>
      </x:c>
      <x:c r="G16" s="4" t="str">
        <x:v>公会长有多个可管理公会，其中一个停用</x:v>
      </x:c>
      <x:c r="H16" s="4" t="str">
        <x:v>业务规则</x:v>
      </x:c>
      <x:c r="I16" s="4" t="str">
        <x:v>公会切换列表是否显示停用公会？</x:v>
      </x:c>
      <x:c r="J16" s="4" t="str">
        <x:v>A. 隐藏停用公会
B. 显示停用标记但禁止切入</x:v>
      </x:c>
      <x:c r="K16" s="4" t="str">
        <x:v>建议优先评估A：明确公会长有多个可管理公会，其中一个停用的唯一处理口径后，可构造确定的输入和结果；此建议不代表产品结论</x:v>
      </x:c>
      <x:c r="L16" s="8" t="str"/>
      <x:c r="M16" s="8" t="str"/>
      <x:c r="N16" s="4" t="str">
        <x:v>1. MainBasis/需求待确认清单.md#Q002：公会停用与解散的关系后果
2. 主文档关联：D-SYS-066、U-guild-management-007、G-guild-switch-003、A-admin-guild-list-005</x:v>
      </x:c>
      <x:c r="O16" s="4" t="str">
        <x:v>1. 用户App：公会长有多个可管理公会，其中一个停用
2. 公会App：公会长有多个可管理公会，其中一个停用
3. 管理后台：公会长有多个可管理公会，其中一个停用</x:v>
      </x:c>
      <x:c r="P16" s="4" t="str"/>
      <x:c r="Q16" s="4" t="str">
        <x:v>1. 公会切换列表是否显示停用公会的正向、边界及异常场景</x:v>
      </x:c>
      <x:c r="R16" s="4" t="str">
        <x:v>产品</x:v>
      </x:c>
      <x:c r="S16" s="4" t="str">
        <x:v>进入对应功能测试前</x:v>
      </x:c>
      <x:c r="T16" s="4" t="str">
        <x:v>待确认</x:v>
      </x:c>
    </x:row>
    <x:row r="17" ht="96" customHeight="1">
      <x:c r="A17" s="4" t="str">
        <x:v>Q-006</x:v>
      </x:c>
      <x:c r="B17" s="4" t="str">
        <x:v>RQ-003</x:v>
      </x:c>
      <x:c r="C17" s="4" t="str"/>
      <x:c r="D17" s="4" t="str"/>
      <x:c r="E17" s="4" t="str">
        <x:v>部分阻塞</x:v>
      </x:c>
      <x:c r="F17" s="4" t="str">
        <x:v>M05 公会申请·认证·组织与权限</x:v>
      </x:c>
      <x:c r="G17" s="4" t="str">
        <x:v>平台关闭开播权限但锁定标志未开启</x:v>
      </x:c>
      <x:c r="H17" s="4" t="str">
        <x:v>业务规则</x:v>
      </x:c>
      <x:c r="I17" s="4" t="str">
        <x:v>公会端是否仍显示权限已锁定？</x:v>
      </x:c>
      <x:c r="J17" s="4" t="str">
        <x:v>A. 显示平台已关闭，只禁用控制，不显示已锁定
B. 显示已锁定，平台关闭隐含锁定效果</x:v>
      </x:c>
      <x:c r="K17" s="4" t="str">
        <x:v>建议优先评估A：明确平台关闭开播权限但锁定标志未开启的唯一处理口径后，可构造确定的输入和结果；此建议不代表产品结论</x:v>
      </x:c>
      <x:c r="L17" s="8" t="str"/>
      <x:c r="M17" s="8" t="str"/>
      <x:c r="N17" s="4" t="str">
        <x:v>1. MainBasis/需求待确认清单.md#Q003：平台锁定与公会原权限的完整真值表
2. 主文档关联：D-SYS-083、G-guild-host-detail-006、A-admin-host-list-008、A-admin-host-detail-003</x:v>
      </x:c>
      <x:c r="O17" s="4" t="str">
        <x:v>1. 用户App：平台关闭开播权限但锁定标志未开启
2. 公会App：平台关闭开播权限但锁定标志未开启
3. 管理后台：平台关闭开播权限但锁定标志未开启</x:v>
      </x:c>
      <x:c r="P17" s="4" t="str"/>
      <x:c r="Q17" s="4" t="str">
        <x:v>1. 公会端是否仍显示权限已锁定的正向、边界及异常场景</x:v>
      </x:c>
      <x:c r="R17" s="4" t="str">
        <x:v>产品</x:v>
      </x:c>
      <x:c r="S17" s="4" t="str">
        <x:v>进入对应功能测试前</x:v>
      </x:c>
      <x:c r="T17" s="4" t="str">
        <x:v>待确认</x:v>
      </x:c>
    </x:row>
    <x:row r="18" ht="96" customHeight="1">
      <x:c r="A18" s="4" t="str">
        <x:v>Q-007</x:v>
      </x:c>
      <x:c r="B18" s="4" t="str">
        <x:v>RQ-003</x:v>
      </x:c>
      <x:c r="C18" s="4" t="str"/>
      <x:c r="D18" s="4" t="str"/>
      <x:c r="E18" s="4" t="str">
        <x:v>部分阻塞</x:v>
      </x:c>
      <x:c r="F18" s="4" t="str">
        <x:v>M05 公会申请·认证·组织与权限</x:v>
      </x:c>
      <x:c r="G18" s="4" t="str">
        <x:v>平台先关闭再开启主播开播权限</x:v>
      </x:c>
      <x:c r="H18" s="4" t="str">
        <x:v>业务规则</x:v>
      </x:c>
      <x:c r="I18" s="4" t="str">
        <x:v>重新开启时是否保留操作前的锁定标志？</x:v>
      </x:c>
      <x:c r="J18" s="4" t="str">
        <x:v>A. 保留锁定标志，并按该标志重算最终权限
B. 开启时清除锁定，按原公会权限重算</x:v>
      </x:c>
      <x:c r="K18" s="4" t="str">
        <x:v>建议优先评估A：明确平台先关闭再开启主播开播权限的唯一处理口径后，可构造确定的输入和结果；此建议不代表产品结论</x:v>
      </x:c>
      <x:c r="L18" s="8" t="str"/>
      <x:c r="M18" s="8" t="str"/>
      <x:c r="N18" s="4" t="str">
        <x:v>1. MainBasis/需求待确认清单.md#Q003：平台锁定与公会原权限的完整真值表
2. 主文档关联：D-SYS-083、G-guild-host-detail-006、A-admin-host-list-008、A-admin-host-detail-003</x:v>
      </x:c>
      <x:c r="O18" s="4" t="str">
        <x:v>1. 用户App：平台先关闭再开启主播开播权限
2. 公会App：平台先关闭再开启主播开播权限
3. 管理后台：平台先关闭再开启主播开播权限</x:v>
      </x:c>
      <x:c r="P18" s="4" t="str"/>
      <x:c r="Q18" s="4" t="str">
        <x:v>1. 重新开启时是否保留操作前的锁定标志的正向、边界及异常场景</x:v>
      </x:c>
      <x:c r="R18" s="4" t="str">
        <x:v>产品</x:v>
      </x:c>
      <x:c r="S18" s="4" t="str">
        <x:v>进入对应功能测试前</x:v>
      </x:c>
      <x:c r="T18" s="4" t="str">
        <x:v>待确认</x:v>
      </x:c>
    </x:row>
    <x:row r="19" ht="96" customHeight="1">
      <x:c r="A19" s="4" t="str">
        <x:v>Q-008</x:v>
      </x:c>
      <x:c r="B19" s="4" t="str">
        <x:v>RQ-004</x:v>
      </x:c>
      <x:c r="C19" s="4" t="str"/>
      <x:c r="D19" s="4" t="str"/>
      <x:c r="E19" s="4" t="str">
        <x:v>部分阻塞</x:v>
      </x:c>
      <x:c r="F19" s="4" t="str">
        <x:v>M05 公会申请·认证·组织与权限</x:v>
      </x:c>
      <x:c r="G19" s="4" t="str">
        <x:v>主播有未结收益时提交退会申请</x:v>
      </x:c>
      <x:c r="H19" s="4" t="str">
        <x:v>业务规则</x:v>
      </x:c>
      <x:c r="I19" s="4" t="str">
        <x:v>有未结收益时是否允许提交退会申请？</x:v>
      </x:c>
      <x:c r="J19" s="4" t="str">
        <x:v>A. 不允许，收益结清后再办理
B. 允许，旧公会收益归属保留至线下结清</x:v>
      </x:c>
      <x:c r="K19" s="4" t="str">
        <x:v>建议优先评估A：明确主播有未结收益时提交退会申请的唯一处理口径后，可构造确定的输入和结果；此建议不代表产品结论</x:v>
      </x:c>
      <x:c r="L19" s="8" t="str"/>
      <x:c r="M19" s="8" t="str"/>
      <x:c r="N19" s="4" t="str">
        <x:v>1. MainBasis/需求待确认清单.md#Q004：未结算收益是否阻止退会或移除
2. 主文档关联：G-guild-host-detail-009、A-admin-guild-detail-012</x:v>
      </x:c>
      <x:c r="O19" s="4" t="str">
        <x:v>1. 用户App：主播有未结收益时提交退会申请
2. 公会App：主播有未结收益时提交退会申请
3. 管理后台：主播有未结收益时提交退会申请</x:v>
      </x:c>
      <x:c r="P19" s="4" t="str"/>
      <x:c r="Q19" s="4" t="str">
        <x:v>1. 有未结收益时是否允许提交退会申请的正向、边界及异常场景</x:v>
      </x:c>
      <x:c r="R19" s="4" t="str">
        <x:v>产品</x:v>
      </x:c>
      <x:c r="S19" s="4" t="str">
        <x:v>进入对应功能测试前</x:v>
      </x:c>
      <x:c r="T19" s="4" t="str">
        <x:v>待确认</x:v>
      </x:c>
    </x:row>
    <x:row r="20" ht="96" customHeight="1">
      <x:c r="A20" s="4" t="str">
        <x:v>Q-009</x:v>
      </x:c>
      <x:c r="B20" s="4" t="str">
        <x:v>RQ-004</x:v>
      </x:c>
      <x:c r="C20" s="4" t="str"/>
      <x:c r="D20" s="4" t="str"/>
      <x:c r="E20" s="4" t="str">
        <x:v>部分阻塞</x:v>
      </x:c>
      <x:c r="F20" s="4" t="str">
        <x:v>M05 公会申请·认证·组织与权限</x:v>
      </x:c>
      <x:c r="G20" s="4" t="str">
        <x:v>主播有未结收益时通过退会申请</x:v>
      </x:c>
      <x:c r="H20" s="4" t="str">
        <x:v>业务规则</x:v>
      </x:c>
      <x:c r="I20" s="4" t="str">
        <x:v>有未结收益时是否允许通过退会申请？</x:v>
      </x:c>
      <x:c r="J20" s="4" t="str">
        <x:v>A. 不允许，收益结清后再办理
B. 允许，旧公会收益归属保留至线下结清</x:v>
      </x:c>
      <x:c r="K20" s="4" t="str">
        <x:v>建议优先评估A：明确主播有未结收益时通过退会申请的唯一处理口径后，可构造确定的输入和结果；此建议不代表产品结论</x:v>
      </x:c>
      <x:c r="L20" s="8" t="str"/>
      <x:c r="M20" s="8" t="str"/>
      <x:c r="N20" s="4" t="str">
        <x:v>1. MainBasis/需求待确认清单.md#Q004：未结算收益是否阻止退会或移除
2. 主文档关联：G-guild-host-detail-009、A-admin-guild-detail-012</x:v>
      </x:c>
      <x:c r="O20" s="4" t="str">
        <x:v>1. 用户App：主播有未结收益时通过退会申请
2. 公会App：主播有未结收益时通过退会申请
3. 管理后台：主播有未结收益时通过退会申请</x:v>
      </x:c>
      <x:c r="P20" s="4" t="str"/>
      <x:c r="Q20" s="4" t="str">
        <x:v>1. 有未结收益时是否允许通过退会申请的正向、边界及异常场景</x:v>
      </x:c>
      <x:c r="R20" s="4" t="str">
        <x:v>产品</x:v>
      </x:c>
      <x:c r="S20" s="4" t="str">
        <x:v>进入对应功能测试前</x:v>
      </x:c>
      <x:c r="T20" s="4" t="str">
        <x:v>待确认</x:v>
      </x:c>
    </x:row>
    <x:row r="21" ht="96" customHeight="1">
      <x:c r="A21" s="4" t="str">
        <x:v>Q-010</x:v>
      </x:c>
      <x:c r="B21" s="4" t="str">
        <x:v>RQ-005</x:v>
      </x:c>
      <x:c r="C21" s="4" t="str"/>
      <x:c r="D21" s="4" t="str"/>
      <x:c r="E21" s="4" t="str">
        <x:v>部分阻塞</x:v>
      </x:c>
      <x:c r="F21" s="4" t="str">
        <x:v>M11 财务·退款·结算上传与账户调整</x:v>
      </x:c>
      <x:c r="G21" s="4" t="str">
        <x:v>财务改为线下核算后维护商品分成规则</x:v>
      </x:c>
      <x:c r="H21" s="4" t="str">
        <x:v>业务规则</x:v>
      </x:c>
      <x:c r="I21" s="4" t="str">
        <x:v>是否继续维护和绑定SKU分成比例？</x:v>
      </x:c>
      <x:c r="J21" s="4" t="str">
        <x:v>A. 保留配置与历史比例快照，系统不计算分成金额
B. 停止新增和修改配置，历史配置只读归档</x:v>
      </x:c>
      <x:c r="K21" s="4" t="str">
        <x:v>建议优先评估A：明确财务改为线下核算后维护商品分成规则的唯一处理口径后，可构造确定的输入和结果；此建议不代表产品结论</x:v>
      </x:c>
      <x:c r="L21" s="8" t="str"/>
      <x:c r="M21" s="8" t="str"/>
      <x:c r="N21" s="4" t="str">
        <x:v>1. MainBasis/需求待确认清单.md#Q005：SKU 分成配置是否保留及系统计算边界
2. 主文档关联：D-SYS-036、G-guild-share-ledger-005、A-admin-settlement-record-001、A-admin-settlement-record-detail-006</x:v>
      </x:c>
      <x:c r="O21" s="4" t="str">
        <x:v>1. 用户App：财务改为线下核算后维护商品分成规则
2. 公会App：财务改为线下核算后维护商品分成规则
3. 管理后台：财务改为线下核算后维护商品分成规则</x:v>
      </x:c>
      <x:c r="P21" s="4" t="str"/>
      <x:c r="Q21" s="4" t="str">
        <x:v>1. 是否继续维护和绑定SKU分成比例的正向、边界及异常场景</x:v>
      </x:c>
      <x:c r="R21" s="4" t="str">
        <x:v>产品</x:v>
      </x:c>
      <x:c r="S21" s="4" t="str">
        <x:v>进入对应功能测试前</x:v>
      </x:c>
      <x:c r="T21" s="4" t="str">
        <x:v>待确认</x:v>
      </x:c>
    </x:row>
    <x:row r="22" ht="96" customHeight="1">
      <x:c r="A22" s="4" t="str">
        <x:v>Q-014</x:v>
      </x:c>
      <x:c r="B22" s="4" t="str">
        <x:v>RQ-007</x:v>
      </x:c>
      <x:c r="C22" s="4" t="str"/>
      <x:c r="D22" s="4" t="str"/>
      <x:c r="E22" s="4" t="str">
        <x:v>部分阻塞</x:v>
      </x:c>
      <x:c r="F22" s="4" t="str">
        <x:v>M04 粉丝团·房管与成长等级</x:v>
      </x:c>
      <x:c r="G22" s="4" t="str">
        <x:v>十笔幸运礼物各产生0.1金币收益</x:v>
      </x:c>
      <x:c r="H22" s="4" t="str">
        <x:v>业务规则</x:v>
      </x:c>
      <x:c r="I22" s="4" t="str">
        <x:v>幸运收益在哪个粒度舍去不足1金币的部分？</x:v>
      </x:c>
      <x:c r="J22" s="4" t="str">
        <x:v>A. 每笔赠送分别舍去，此例收益0金币
B. 按场次汇总后舍去，此例收益1金币</x:v>
      </x:c>
      <x:c r="K22" s="4" t="str">
        <x:v>建议优先评估A：明确十笔幸运礼物各产生0.1金币收益的唯一处理口径后，可构造确定的输入和结果；此建议不代表产品结论</x:v>
      </x:c>
      <x:c r="L22" s="8" t="str"/>
      <x:c r="M22" s="8" t="str"/>
      <x:c r="N22" s="4" t="str">
        <x:v>1. MainBasis/需求待确认清单.md#Q007：幸运收益与各类金额的精度和取整时点
2. 主文档关联：A-admin-level-config-022</x:v>
      </x:c>
      <x:c r="O22" s="4" t="str">
        <x:v>1. 用户App：十笔幸运礼物各产生0.1金币收益
2. 公会App：十笔幸运礼物各产生0.1金币收益
3. 管理后台：十笔幸运礼物各产生0.1金币收益</x:v>
      </x:c>
      <x:c r="P22" s="4" t="str"/>
      <x:c r="Q22" s="4" t="str">
        <x:v>1. 幸运收益在哪个粒度舍去不足1金币的部分的正向、边界及异常场景</x:v>
      </x:c>
      <x:c r="R22" s="4" t="str">
        <x:v>产品</x:v>
      </x:c>
      <x:c r="S22" s="4" t="str">
        <x:v>进入对应功能测试前</x:v>
      </x:c>
      <x:c r="T22" s="4" t="str">
        <x:v>待确认</x:v>
      </x:c>
    </x:row>
    <x:row r="23" ht="96" customHeight="1">
      <x:c r="A23" s="4" t="str">
        <x:v>Q-015</x:v>
      </x:c>
      <x:c r="B23" s="4" t="str">
        <x:v>RQ-007</x:v>
      </x:c>
      <x:c r="C23" s="4" t="str"/>
      <x:c r="D23" s="4" t="str"/>
      <x:c r="E23" s="4" t="str">
        <x:v>部分阻塞</x:v>
      </x:c>
      <x:c r="F23" s="4" t="str">
        <x:v>M04 粉丝团·房管与成长等级</x:v>
      </x:c>
      <x:c r="G23" s="4" t="str">
        <x:v>后台编辑幸运礼物收益比例</x:v>
      </x:c>
      <x:c r="H23" s="4" t="str">
        <x:v>业务规则</x:v>
      </x:c>
      <x:c r="I23" s="4" t="str">
        <x:v>比例允许的小数位数以何为准？</x:v>
      </x:c>
      <x:c r="J23" s="4" t="str">
        <x:v>A. 最多两位小数，多余精度拒绝保存
B. 仅允许整数百分比</x:v>
      </x:c>
      <x:c r="K23" s="4" t="str">
        <x:v>建议优先评估A：明确后台编辑幸运礼物收益比例的唯一处理口径后，可构造确定的输入和结果；此建议不代表产品结论</x:v>
      </x:c>
      <x:c r="L23" s="8" t="str"/>
      <x:c r="M23" s="8" t="str"/>
      <x:c r="N23" s="4" t="str">
        <x:v>1. MainBasis/需求待确认清单.md#Q007：幸运收益与各类金额的精度和取整时点
2. 主文档关联：A-admin-level-config-022</x:v>
      </x:c>
      <x:c r="O23" s="4" t="str">
        <x:v>1. 用户App：后台编辑幸运礼物收益比例
2. 公会App：后台编辑幸运礼物收益比例
3. 管理后台：后台编辑幸运礼物收益比例</x:v>
      </x:c>
      <x:c r="P23" s="4" t="str"/>
      <x:c r="Q23" s="4" t="str">
        <x:v>1. 比例允许的小数位数以何为准的正向、边界及异常场景</x:v>
      </x:c>
      <x:c r="R23" s="4" t="str">
        <x:v>产品</x:v>
      </x:c>
      <x:c r="S23" s="4" t="str">
        <x:v>进入对应功能测试前</x:v>
      </x:c>
      <x:c r="T23" s="4" t="str">
        <x:v>待确认</x:v>
      </x:c>
    </x:row>
    <x:row r="24" ht="96" customHeight="1">
      <x:c r="A24" s="4" t="str">
        <x:v>Q-016</x:v>
      </x:c>
      <x:c r="B24" s="4" t="str">
        <x:v>RQ-008</x:v>
      </x:c>
      <x:c r="C24" s="4" t="str"/>
      <x:c r="D24" s="4" t="str"/>
      <x:c r="E24" s="4" t="str">
        <x:v>部分阻塞</x:v>
      </x:c>
      <x:c r="F24" s="4" t="str">
        <x:v>M02 发现·搜索·主页与平台榜单</x:v>
      </x:c>
      <x:c r="G24" s="4" t="str">
        <x:v>已成功消费订单发生业务纠错</x:v>
      </x:c>
      <x:c r="H24" s="4" t="str">
        <x:v>业务规则</x:v>
      </x:c>
      <x:c r="I24" s="4" t="str">
        <x:v>本期是否支持消费冲正？</x:v>
      </x:c>
      <x:c r="J24" s="4" t="str">
        <x:v>A. 支持，仅管理后台授权财务可发起，并保留原单
B. 不支持，礼物和门票消费成功后无冲正入口</x:v>
      </x:c>
      <x:c r="K24" s="4" t="str">
        <x:v>建议优先评估A：明确已成功消费订单发生业务纠错的唯一处理口径后，可构造确定的输入和结果；此建议不代表产品结论</x:v>
      </x:c>
      <x:c r="L24" s="8" t="str"/>
      <x:c r="M24" s="8" t="str"/>
      <x:c r="N24" s="4" t="str">
        <x:v>1. MainBasis/需求待确认清单.md#Q008：充值退款与消费冲正的适用范围
2. 主文档关联：D-SYS-134、U-host-ranking-009、A-admin-recharge-order-008、U-contribution-ranking-009</x:v>
      </x:c>
      <x:c r="O24" s="4" t="str">
        <x:v>1. 用户App：已成功消费订单发生业务纠错
2. 公会App：已成功消费订单发生业务纠错
3. 管理后台：已成功消费订单发生业务纠错</x:v>
      </x:c>
      <x:c r="P24" s="4" t="str"/>
      <x:c r="Q24" s="4" t="str">
        <x:v>1. 本期是否支持消费冲正的正向、边界及异常场景</x:v>
      </x:c>
      <x:c r="R24" s="4" t="str">
        <x:v>产品</x:v>
      </x:c>
      <x:c r="S24" s="4" t="str">
        <x:v>进入对应功能测试前</x:v>
      </x:c>
      <x:c r="T24" s="4" t="str">
        <x:v>待确认</x:v>
      </x:c>
    </x:row>
    <x:row r="25" ht="96" customHeight="1">
      <x:c r="A25" s="4" t="str">
        <x:v>Q-017</x:v>
      </x:c>
      <x:c r="B25" s="4" t="str">
        <x:v>RQ-009</x:v>
      </x:c>
      <x:c r="C25" s="4" t="str"/>
      <x:c r="D25" s="4" t="str"/>
      <x:c r="E25" s="4" t="str">
        <x:v>部分阻塞</x:v>
      </x:c>
      <x:c r="F25" s="4" t="str">
        <x:v>M04 粉丝团·房管与成长等级</x:v>
      </x:c>
      <x:c r="G25" s="4" t="str">
        <x:v>充值退款发生但此前赠送的礼物保留</x:v>
      </x:c>
      <x:c r="H25" s="4" t="str">
        <x:v>业务规则</x:v>
      </x:c>
      <x:c r="I25" s="4" t="str">
        <x:v>是否扣减财富等级成长值？</x:v>
      </x:c>
      <x:c r="J25" s="4" t="str">
        <x:v>A. 不扣减，财富成长仍按成功赠礼贡献
B. 按退款回收金币等额扣减财富成长，最低回到1级</x:v>
      </x:c>
      <x:c r="K25" s="4" t="str">
        <x:v>建议优先评估A：明确充值退款发生但此前赠送的礼物保留的唯一处理口径后，可构造确定的输入和结果；此建议不代表产品结论</x:v>
      </x:c>
      <x:c r="L25" s="8" t="str"/>
      <x:c r="M25" s="8" t="str"/>
      <x:c r="N25" s="4" t="str">
        <x:v>1. MainBasis/需求待确认清单.md#Q009：充值退款如何影响以送礼贡献计算的财富等级
2. 主文档关联：U-my-fan-clubs-015、A-admin-level-config-010、A-admin-level-config-023</x:v>
      </x:c>
      <x:c r="O25" s="4" t="str">
        <x:v>1. 用户App：充值退款发生但此前赠送的礼物保留
2. 公会App：充值退款发生但此前赠送的礼物保留
3. 管理后台：充值退款发生但此前赠送的礼物保留</x:v>
      </x:c>
      <x:c r="P25" s="4" t="str"/>
      <x:c r="Q25" s="4" t="str">
        <x:v>1. 是否扣减财富等级成长值的正向、边界及异常场景</x:v>
      </x:c>
      <x:c r="R25" s="4" t="str">
        <x:v>产品</x:v>
      </x:c>
      <x:c r="S25" s="4" t="str">
        <x:v>进入对应功能测试前</x:v>
      </x:c>
      <x:c r="T25" s="4" t="str">
        <x:v>待确认</x:v>
      </x:c>
    </x:row>
    <x:row r="26" ht="110" customHeight="1">
      <x:c r="A26" s="4" t="str">
        <x:v>Q-022</x:v>
      </x:c>
      <x:c r="B26" s="4" t="str">
        <x:v>RQ-011</x:v>
      </x:c>
      <x:c r="C26" s="4" t="str"/>
      <x:c r="D26" s="4" t="str"/>
      <x:c r="E26" s="4" t="str">
        <x:v>部分阻塞</x:v>
      </x:c>
      <x:c r="F26" s="4" t="str">
        <x:v>M08 礼物·道具·任务·邀请与运营配置</x:v>
      </x:c>
      <x:c r="G26" s="4" t="str">
        <x:v>管理员创建任务并选择奖励</x:v>
      </x:c>
      <x:c r="H26" s="4" t="str">
        <x:v>业务规则</x:v>
      </x:c>
      <x:c r="I26" s="4" t="str">
        <x:v>任务奖励是否允许道具？</x:v>
      </x:c>
      <x:c r="J26" s="4" t="str">
        <x:v>A. 仅金币；现有道具视图从本期任务流程移除
B. 允许金币或道具单选；已发出的奖励保持原类型</x:v>
      </x:c>
      <x:c r="K26" s="4" t="str">
        <x:v>建议优先评估A：明确管理员创建任务并选择奖励的唯一处理口径后，可构造确定的输入和结果；此建议不代表产品结论</x:v>
      </x:c>
      <x:c r="L26" s="8" t="str"/>
      <x:c r="M26" s="8" t="str"/>
      <x:c r="N26" s="4" t="str">
        <x:v>1. MainBasis/需求待确认清单.md#Q011：签到、任务与道具奖励的类型和领取方式
2. 主文档关联：U-welfare-center-007、A-admin-task-config-006、U-my-decoration-004、U-views_welfare-center_claimed-005</x:v>
      </x:c>
      <x:c r="O26" s="4" t="str">
        <x:v>1. 用户App：管理员创建任务并选择奖励
2. 公会App：管理员创建任务并选择奖励
3. 管理后台：管理员创建任务并选择奖励</x:v>
      </x:c>
      <x:c r="P26" s="4" t="str"/>
      <x:c r="Q26" s="4" t="str">
        <x:v>1. 任务奖励是否允许道具的正向、边界及异常场景</x:v>
      </x:c>
      <x:c r="R26" s="4" t="str">
        <x:v>产品</x:v>
      </x:c>
      <x:c r="S26" s="4" t="str">
        <x:v>进入对应功能测试前</x:v>
      </x:c>
      <x:c r="T26" s="4" t="str">
        <x:v>待确认</x:v>
      </x:c>
    </x:row>
    <x:row r="27" ht="110" customHeight="1">
      <x:c r="A27" s="4" t="str">
        <x:v>Q-023</x:v>
      </x:c>
      <x:c r="B27" s="4" t="str">
        <x:v>RQ-011</x:v>
      </x:c>
      <x:c r="C27" s="4" t="str"/>
      <x:c r="D27" s="4" t="str"/>
      <x:c r="E27" s="4" t="str">
        <x:v>部分阻塞</x:v>
      </x:c>
      <x:c r="F27" s="4" t="str">
        <x:v>M08 礼物·道具·任务·邀请与运营配置</x:v>
      </x:c>
      <x:c r="G27" s="4" t="str">
        <x:v>用户断签后返回每日签到</x:v>
      </x:c>
      <x:c r="H27" s="4" t="str">
        <x:v>业务规则</x:v>
      </x:c>
      <x:c r="I27" s="4" t="str">
        <x:v>是否允许补签？</x:v>
      </x:c>
      <x:c r="J27" s="4" t="str">
        <x:v>A. 不允许，断签后从第1天重新累计
B. 允许使用补签功能，补签价格及次数以公开配置为准</x:v>
      </x:c>
      <x:c r="K27" s="4" t="str">
        <x:v>建议优先评估A：明确用户断签后返回每日签到的唯一处理口径后，可构造确定的输入和结果；此建议不代表产品结论</x:v>
      </x:c>
      <x:c r="L27" s="8" t="str"/>
      <x:c r="M27" s="8" t="str"/>
      <x:c r="N27" s="4" t="str">
        <x:v>1. MainBasis/需求待确认清单.md#Q011：签到、任务与道具奖励的类型和领取方式
2. 主文档关联：U-welfare-center-007、A-admin-task-config-006、U-my-decoration-004、U-views_welfare-center_claimed-005</x:v>
      </x:c>
      <x:c r="O27" s="4" t="str">
        <x:v>1. 用户App：用户断签后返回每日签到
2. 公会App：用户断签后返回每日签到
3. 管理后台：用户断签后返回每日签到</x:v>
      </x:c>
      <x:c r="P27" s="4" t="str"/>
      <x:c r="Q27" s="4" t="str">
        <x:v>1. 是否允许补签的正向、边界及异常场景</x:v>
      </x:c>
      <x:c r="R27" s="4" t="str">
        <x:v>产品</x:v>
      </x:c>
      <x:c r="S27" s="4" t="str">
        <x:v>进入对应功能测试前</x:v>
      </x:c>
      <x:c r="T27" s="4" t="str">
        <x:v>待确认</x:v>
      </x:c>
    </x:row>
    <x:row r="28" ht="110" customHeight="1">
      <x:c r="A28" s="4" t="str">
        <x:v>Q-024</x:v>
      </x:c>
      <x:c r="B28" s="4" t="str">
        <x:v>RQ-011</x:v>
      </x:c>
      <x:c r="C28" s="4" t="str"/>
      <x:c r="D28" s="4" t="str"/>
      <x:c r="E28" s="4" t="str">
        <x:v>部分阻塞</x:v>
      </x:c>
      <x:c r="F28" s="4" t="str">
        <x:v>M08 礼物·道具·任务·邀请与运营配置</x:v>
      </x:c>
      <x:c r="G28" s="4" t="str">
        <x:v>任务被停用时用户已达标但尚未领取</x:v>
      </x:c>
      <x:c r="H28" s="4" t="str">
        <x:v>业务规则</x:v>
      </x:c>
      <x:c r="I28" s="4" t="str">
        <x:v>停用前已达标且未过领取期限的奖励能否领取？</x:v>
      </x:c>
      <x:c r="J28" s="4" t="str">
        <x:v>A. 可以，按达标时奖励快照领取至原领取期限
B. 不可以，停用起关闭所有未领取奖励</x:v>
      </x:c>
      <x:c r="K28" s="4" t="str">
        <x:v>建议优先评估A：明确任务被停用时用户已达标但尚未领取的唯一处理口径后，可构造确定的输入和结果；此建议不代表产品结论</x:v>
      </x:c>
      <x:c r="L28" s="8" t="str"/>
      <x:c r="M28" s="8" t="str"/>
      <x:c r="N28" s="4" t="str">
        <x:v>1. MainBasis/需求待确认清单.md#Q011：签到、任务与道具奖励的类型和领取方式
2. 主文档关联：U-welfare-center-007、A-admin-task-config-006、U-my-decoration-004、U-views_welfare-center_claimed-005</x:v>
      </x:c>
      <x:c r="O28" s="4" t="str">
        <x:v>1. 用户App：任务被停用时用户已达标但尚未领取
2. 公会App：任务被停用时用户已达标但尚未领取
3. 管理后台：任务被停用时用户已达标但尚未领取</x:v>
      </x:c>
      <x:c r="P28" s="4" t="str"/>
      <x:c r="Q28" s="4" t="str">
        <x:v>1. 停用前已达标且未过领取期限的奖励能否领取的正向、边界及异常场景</x:v>
      </x:c>
      <x:c r="R28" s="4" t="str">
        <x:v>产品</x:v>
      </x:c>
      <x:c r="S28" s="4" t="str">
        <x:v>进入对应功能测试前</x:v>
      </x:c>
      <x:c r="T28" s="4" t="str">
        <x:v>待确认</x:v>
      </x:c>
    </x:row>
    <x:row r="29" ht="96" customHeight="1">
      <x:c r="A29" s="4" t="str">
        <x:v>Q-025</x:v>
      </x:c>
      <x:c r="B29" s="4" t="str">
        <x:v>RQ-012</x:v>
      </x:c>
      <x:c r="C29" s="4" t="str"/>
      <x:c r="D29" s="4" t="str"/>
      <x:c r="E29" s="4" t="str">
        <x:v>部分阻塞</x:v>
      </x:c>
      <x:c r="F29" s="4" t="str">
        <x:v>M08 礼物·道具·任务·邀请与运营配置</x:v>
      </x:c>
      <x:c r="G29" s="4" t="str">
        <x:v>受邀用户首次完成注册绑定</x:v>
      </x:c>
      <x:c r="H29" s="4" t="str">
        <x:v>业务规则</x:v>
      </x:c>
      <x:c r="I29" s="4" t="str">
        <x:v>注册邀请奖励数量采用哪个来源？</x:v>
      </x:c>
      <x:c r="J29" s="4" t="str">
        <x:v>A. 每次固定10金币
B. 按绑定时生效的后台邀请奖励配置</x:v>
      </x:c>
      <x:c r="K29" s="4" t="str">
        <x:v>建议优先评估A：明确受邀用户首次完成注册绑定的唯一处理口径后，可构造确定的输入和结果；此建议不代表产品结论</x:v>
      </x:c>
      <x:c r="L29" s="8" t="str"/>
      <x:c r="M29" s="8" t="str"/>
      <x:c r="N29" s="4" t="str">
        <x:v>1. MainBasis/需求待确认清单.md#Q012：邀请奖励固定值、后台配置与返利范围
2. 主文档关联：U-welfare-center-003、U-invite-friends-005、U-invite-friends-006、U-invite-friends-007</x:v>
      </x:c>
      <x:c r="O29" s="4" t="str">
        <x:v>1. 用户App：受邀用户首次完成注册绑定
2. 公会App：受邀用户首次完成注册绑定
3. 管理后台：受邀用户首次完成注册绑定</x:v>
      </x:c>
      <x:c r="P29" s="4" t="str"/>
      <x:c r="Q29" s="4" t="str">
        <x:v>1. 注册邀请奖励数量采用哪个来源的正向、边界及异常场景</x:v>
      </x:c>
      <x:c r="R29" s="4" t="str">
        <x:v>产品</x:v>
      </x:c>
      <x:c r="S29" s="4" t="str">
        <x:v>进入对应功能测试前</x:v>
      </x:c>
      <x:c r="T29" s="4" t="str">
        <x:v>待确认</x:v>
      </x:c>
    </x:row>
    <x:row r="30" ht="96" customHeight="1">
      <x:c r="A30" s="4" t="str">
        <x:v>Q-026</x:v>
      </x:c>
      <x:c r="B30" s="4" t="str">
        <x:v>RQ-012</x:v>
      </x:c>
      <x:c r="C30" s="4" t="str"/>
      <x:c r="D30" s="4" t="str"/>
      <x:c r="E30" s="4" t="str">
        <x:v>部分阻塞</x:v>
      </x:c>
      <x:c r="F30" s="4" t="str">
        <x:v>M08 礼物·道具·任务·邀请与运营配置</x:v>
      </x:c>
      <x:c r="G30" s="4" t="str">
        <x:v>受邀用户首次完成有效注册绑定</x:v>
      </x:c>
      <x:c r="H30" s="4" t="str">
        <x:v>业务规则</x:v>
      </x:c>
      <x:c r="I30" s="4" t="str">
        <x:v>注册奖励发给谁？</x:v>
      </x:c>
      <x:c r="J30" s="4" t="str">
        <x:v>A. 仅邀请人
B. 邀请人与受邀人各获得一份</x:v>
      </x:c>
      <x:c r="K30" s="4" t="str">
        <x:v>建议优先评估A：明确受邀用户首次完成有效注册绑定的唯一处理口径后，可构造确定的输入和结果；此建议不代表产品结论</x:v>
      </x:c>
      <x:c r="L30" s="8" t="str"/>
      <x:c r="M30" s="8" t="str"/>
      <x:c r="N30" s="4" t="str">
        <x:v>1. MainBasis/需求待确认清单.md#Q012：邀请奖励固定值、后台配置与返利范围
2. 主文档关联：U-welfare-center-003、U-invite-friends-005、U-invite-friends-006、U-invite-friends-007</x:v>
      </x:c>
      <x:c r="O30" s="4" t="str">
        <x:v>1. 用户App：受邀用户首次完成有效注册绑定
2. 公会App：受邀用户首次完成有效注册绑定
3. 管理后台：受邀用户首次完成有效注册绑定</x:v>
      </x:c>
      <x:c r="P30" s="4" t="str"/>
      <x:c r="Q30" s="4" t="str">
        <x:v>1. 注册奖励发给谁的正向、边界及异常场景</x:v>
      </x:c>
      <x:c r="R30" s="4" t="str">
        <x:v>产品</x:v>
      </x:c>
      <x:c r="S30" s="4" t="str">
        <x:v>进入对应功能测试前</x:v>
      </x:c>
      <x:c r="T30" s="4" t="str">
        <x:v>待确认</x:v>
      </x:c>
    </x:row>
    <x:row r="31" ht="96" customHeight="1">
      <x:c r="A31" s="4" t="str">
        <x:v>Q-027</x:v>
      </x:c>
      <x:c r="B31" s="4" t="str">
        <x:v>RQ-012</x:v>
      </x:c>
      <x:c r="C31" s="4" t="str"/>
      <x:c r="D31" s="4" t="str"/>
      <x:c r="E31" s="4" t="str">
        <x:v>部分阻塞</x:v>
      </x:c>
      <x:c r="F31" s="4" t="str">
        <x:v>M08 礼物·道具·任务·邀请与运营配置</x:v>
      </x:c>
      <x:c r="G31" s="4" t="str">
        <x:v>受邀用户后续充值成功</x:v>
      </x:c>
      <x:c r="H31" s="4" t="str">
        <x:v>业务规则</x:v>
      </x:c>
      <x:c r="I31" s="4" t="str">
        <x:v>本期是否提供充值邀请返利？</x:v>
      </x:c>
      <x:c r="J31" s="4" t="str">
        <x:v>A. 不提供，邀请收益仅来自注册绑定
B. 提供，按充值成功时生效的返利比例配置结算</x:v>
      </x:c>
      <x:c r="K31" s="4" t="str">
        <x:v>建议优先评估A：明确受邀用户后续充值成功的唯一处理口径后，可构造确定的输入和结果；此建议不代表产品结论</x:v>
      </x:c>
      <x:c r="L31" s="8" t="str"/>
      <x:c r="M31" s="8" t="str"/>
      <x:c r="N31" s="4" t="str">
        <x:v>1. MainBasis/需求待确认清单.md#Q012：邀请奖励固定值、后台配置与返利范围
2. 主文档关联：U-welfare-center-003、U-invite-friends-005、U-invite-friends-006、U-invite-friends-007</x:v>
      </x:c>
      <x:c r="O31" s="4" t="str">
        <x:v>1. 用户App：受邀用户后续充值成功
2. 公会App：受邀用户后续充值成功
3. 管理后台：受邀用户后续充值成功</x:v>
      </x:c>
      <x:c r="P31" s="4" t="str"/>
      <x:c r="Q31" s="4" t="str">
        <x:v>1. 本期是否提供充值邀请返利的正向、边界及异常场景</x:v>
      </x:c>
      <x:c r="R31" s="4" t="str">
        <x:v>产品</x:v>
      </x:c>
      <x:c r="S31" s="4" t="str">
        <x:v>进入对应功能测试前</x:v>
      </x:c>
      <x:c r="T31" s="4" t="str">
        <x:v>待确认</x:v>
      </x:c>
    </x:row>
    <x:row r="32" ht="96" customHeight="1">
      <x:c r="A32" s="4" t="str">
        <x:v>Q-028</x:v>
      </x:c>
      <x:c r="B32" s="4" t="str">
        <x:v>RQ-013</x:v>
      </x:c>
      <x:c r="C32" s="4" t="str"/>
      <x:c r="D32" s="4" t="str"/>
      <x:c r="E32" s="4" t="str">
        <x:v>部分阻塞</x:v>
      </x:c>
      <x:c r="F32" s="4" t="str">
        <x:v>M04 粉丝团·房管与成长等级</x:v>
      </x:c>
      <x:c r="G32" s="4" t="str">
        <x:v>用户加入主播粉丝团前已向该主播送礼</x:v>
      </x:c>
      <x:c r="H32" s="4" t="str">
        <x:v>业务规则</x:v>
      </x:c>
      <x:c r="I32" s="4" t="str">
        <x:v>入团前礼物是否计入首次粉丝等级？</x:v>
      </x:c>
      <x:c r="J32" s="4" t="str">
        <x:v>A. 不计入，从本次入团时点累计
B. 计入该用户对该主播的全部历史成功赠礼</x:v>
      </x:c>
      <x:c r="K32" s="4" t="str">
        <x:v>建议优先评估A：明确用户加入主播粉丝团前已向该主播送礼的唯一处理口径后，可构造确定的输入和结果；此建议不代表产品结论</x:v>
      </x:c>
      <x:c r="L32" s="8" t="str"/>
      <x:c r="M32" s="8" t="str"/>
      <x:c r="N32" s="4" t="str">
        <x:v>1. MainBasis/需求待确认清单.md#Q013：粉丝等级、团等级与亲密度的统计归属
2. 主文档关联：U-my-fan-clubs-009、A-admin-level-config-022、U-my-fan-clubs-020</x:v>
      </x:c>
      <x:c r="O32" s="4" t="str">
        <x:v>1. 用户App：用户加入主播粉丝团前已向该主播送礼
2. 公会App：用户加入主播粉丝团前已向该主播送礼
3. 管理后台：用户加入主播粉丝团前已向该主播送礼</x:v>
      </x:c>
      <x:c r="P32" s="4" t="str"/>
      <x:c r="Q32" s="4" t="str">
        <x:v>1. 入团前礼物是否计入首次粉丝等级的正向、边界及异常场景</x:v>
      </x:c>
      <x:c r="R32" s="4" t="str">
        <x:v>产品</x:v>
      </x:c>
      <x:c r="S32" s="4" t="str">
        <x:v>进入对应功能测试前</x:v>
      </x:c>
      <x:c r="T32" s="4" t="str">
        <x:v>待确认</x:v>
      </x:c>
    </x:row>
    <x:row r="33" ht="96" customHeight="1">
      <x:c r="A33" s="4" t="str">
        <x:v>Q-029</x:v>
      </x:c>
      <x:c r="B33" s="4" t="str">
        <x:v>RQ-013</x:v>
      </x:c>
      <x:c r="C33" s="4" t="str"/>
      <x:c r="D33" s="4" t="str"/>
      <x:c r="E33" s="4" t="str">
        <x:v>部分阻塞</x:v>
      </x:c>
      <x:c r="F33" s="4" t="str">
        <x:v>M04 粉丝团·房管与成长等级</x:v>
      </x:c>
      <x:c r="G33" s="4" t="str">
        <x:v>粉丝团成员长期未互动但仍保有团籍</x:v>
      </x:c>
      <x:c r="H33" s="4" t="str">
        <x:v>业务规则</x:v>
      </x:c>
      <x:c r="I33" s="4" t="str">
        <x:v>长期不活跃是否降低粉丝团等级？</x:v>
      </x:c>
      <x:c r="J33" s="4" t="str">
        <x:v>A. 不降低，仅按累计有效收礼计算
B. 按后台公开的不活跃周期和降级规则配置调整</x:v>
      </x:c>
      <x:c r="K33" s="4" t="str">
        <x:v>建议优先评估A：明确粉丝团成员长期未互动但仍保有团籍的唯一处理口径后，可构造确定的输入和结果；此建议不代表产品结论</x:v>
      </x:c>
      <x:c r="L33" s="8" t="str"/>
      <x:c r="M33" s="8" t="str"/>
      <x:c r="N33" s="4" t="str">
        <x:v>1. MainBasis/需求待确认清单.md#Q013：粉丝等级、团等级与亲密度的统计归属
2. 主文档关联：U-my-fan-clubs-009、A-admin-level-config-022、U-my-fan-clubs-020</x:v>
      </x:c>
      <x:c r="O33" s="4" t="str">
        <x:v>1. 用户App：粉丝团成员长期未互动但仍保有团籍
2. 公会App：粉丝团成员长期未互动但仍保有团籍
3. 管理后台：粉丝团成员长期未互动但仍保有团籍</x:v>
      </x:c>
      <x:c r="P33" s="4" t="str"/>
      <x:c r="Q33" s="4" t="str">
        <x:v>1. 长期不活跃是否降低粉丝团等级的正向、边界及异常场景</x:v>
      </x:c>
      <x:c r="R33" s="4" t="str">
        <x:v>产品</x:v>
      </x:c>
      <x:c r="S33" s="4" t="str">
        <x:v>进入对应功能测试前</x:v>
      </x:c>
      <x:c r="T33" s="4" t="str">
        <x:v>待确认</x:v>
      </x:c>
    </x:row>
    <x:row r="34" ht="96" customHeight="1">
      <x:c r="A34" s="4" t="str">
        <x:v>Q-030</x:v>
      </x:c>
      <x:c r="B34" s="4" t="str">
        <x:v>RQ-014</x:v>
      </x:c>
      <x:c r="C34" s="4" t="str"/>
      <x:c r="D34" s="4" t="str"/>
      <x:c r="E34" s="4" t="str">
        <x:v>部分阻塞</x:v>
      </x:c>
      <x:c r="F34" s="4" t="str">
        <x:v>M04 粉丝团·房管与成长等级</x:v>
      </x:c>
      <x:c r="G34" s="4" t="str">
        <x:v>已退团用户重新加入后查看贡献榜</x:v>
      </x:c>
      <x:c r="H34" s="4" t="str">
        <x:v>业务规则</x:v>
      </x:c>
      <x:c r="I34" s="4" t="str">
        <x:v>历史团籍贡献是否继续计入榜单？</x:v>
      </x:c>
      <x:c r="J34" s="4" t="str">
        <x:v>A. 只统计当前团籍有效期间的贡献
B. 统计该用户历史全部团籍期间的贡献</x:v>
      </x:c>
      <x:c r="K34" s="4" t="str">
        <x:v>建议优先评估A：明确已退团用户重新加入后查看贡献榜的唯一处理口径后，可构造确定的输入和结果；此建议不代表产品结论</x:v>
      </x:c>
      <x:c r="L34" s="8" t="str"/>
      <x:c r="M34" s="8" t="str"/>
      <x:c r="N34" s="4" t="str">
        <x:v>1. MainBasis/需求待确认清单.md#Q014：粉丝团贡献榜、成员榜与个人卡片的口径
2. 主文档关联：U-my-fan-clubs-010、U-fan-contribution-ranking-002、U-my-fan-clubs-011、U-my-fan-clubs-012</x:v>
      </x:c>
      <x:c r="O34" s="4" t="str">
        <x:v>1. 用户App：已退团用户重新加入后查看贡献榜
2. 公会App：已退团用户重新加入后查看贡献榜
3. 管理后台：已退团用户重新加入后查看贡献榜</x:v>
      </x:c>
      <x:c r="P34" s="4" t="str"/>
      <x:c r="Q34" s="4" t="str">
        <x:v>1. 历史团籍贡献是否继续计入榜单的正向、边界及异常场景</x:v>
      </x:c>
      <x:c r="R34" s="4" t="str">
        <x:v>产品</x:v>
      </x:c>
      <x:c r="S34" s="4" t="str">
        <x:v>进入对应功能测试前</x:v>
      </x:c>
      <x:c r="T34" s="4" t="str">
        <x:v>待确认</x:v>
      </x:c>
    </x:row>
    <x:row r="35" ht="96" customHeight="1">
      <x:c r="A35" s="4" t="str">
        <x:v>Q-031</x:v>
      </x:c>
      <x:c r="B35" s="4" t="str">
        <x:v>RQ-014</x:v>
      </x:c>
      <x:c r="C35" s="4" t="str"/>
      <x:c r="D35" s="4" t="str"/>
      <x:c r="E35" s="4" t="str">
        <x:v>部分阻塞</x:v>
      </x:c>
      <x:c r="F35" s="4" t="str">
        <x:v>M04 粉丝团·房管与成长等级</x:v>
      </x:c>
      <x:c r="G35" s="4" t="str">
        <x:v>当前用户未进入粉丝团贡献前三名</x:v>
      </x:c>
      <x:c r="H35" s="4" t="str">
        <x:v>业务规则</x:v>
      </x:c>
      <x:c r="I35" s="4" t="str">
        <x:v>我的粉丝团卡片的头像位置如何分配？</x:v>
      </x:c>
      <x:c r="J35" s="4" t="str">
        <x:v>A. 本人固定占1位，另2位按贡献排序
B. 仅显示贡献前三名，本人未入前三则不显示本人</x:v>
      </x:c>
      <x:c r="K35" s="4" t="str">
        <x:v>建议优先评估A：明确当前用户未进入粉丝团贡献前三名的唯一处理口径后，可构造确定的输入和结果；此建议不代表产品结论</x:v>
      </x:c>
      <x:c r="L35" s="8" t="str"/>
      <x:c r="M35" s="8" t="str"/>
      <x:c r="N35" s="4" t="str">
        <x:v>1. MainBasis/需求待确认清单.md#Q014：粉丝团贡献榜、成员榜与个人卡片的口径
2. 主文档关联：U-my-fan-clubs-010、U-fan-contribution-ranking-002、U-my-fan-clubs-011、U-my-fan-clubs-012</x:v>
      </x:c>
      <x:c r="O35" s="4" t="str">
        <x:v>1. 用户App：当前用户未进入粉丝团贡献前三名
2. 公会App：当前用户未进入粉丝团贡献前三名
3. 管理后台：当前用户未进入粉丝团贡献前三名</x:v>
      </x:c>
      <x:c r="P35" s="4" t="str"/>
      <x:c r="Q35" s="4" t="str">
        <x:v>1. 我的粉丝团卡片的头像位置如何分配的正向、边界及异常场景</x:v>
      </x:c>
      <x:c r="R35" s="4" t="str">
        <x:v>产品</x:v>
      </x:c>
      <x:c r="S35" s="4" t="str">
        <x:v>进入对应功能测试前</x:v>
      </x:c>
      <x:c r="T35" s="4" t="str">
        <x:v>待确认</x:v>
      </x:c>
    </x:row>
    <x:row r="36" ht="96" customHeight="1">
      <x:c r="A36" s="4" t="str">
        <x:v>Q-032</x:v>
      </x:c>
      <x:c r="B36" s="4" t="str">
        <x:v>RQ-015</x:v>
      </x:c>
      <x:c r="C36" s="4" t="str"/>
      <x:c r="D36" s="4" t="str"/>
      <x:c r="E36" s="4" t="str">
        <x:v>部分阻塞</x:v>
      </x:c>
      <x:c r="F36" s="4" t="str">
        <x:v>M04 粉丝团·房管与成长等级</x:v>
      </x:c>
      <x:c r="G36" s="4" t="str">
        <x:v>管理员编辑连续等级的成长门槛</x:v>
      </x:c>
      <x:c r="H36" s="4" t="str">
        <x:v>业务规则</x:v>
      </x:c>
      <x:c r="I36" s="4" t="str">
        <x:v>相邻等级门槛是否必须严格递增？</x:v>
      </x:c>
      <x:c r="J36" s="4" t="str">
        <x:v>A. 必须严格递增，相同或倒置拒绝保存
B. 允许相同门槛，达标时取其中最高等级</x:v>
      </x:c>
      <x:c r="K36" s="4" t="str">
        <x:v>建议优先评估A：明确管理员编辑连续等级的成长门槛的唯一处理口径后，可构造确定的输入和结果；此建议不代表产品结论</x:v>
      </x:c>
      <x:c r="L36" s="8" t="str"/>
      <x:c r="M36" s="8" t="str"/>
      <x:c r="N36" s="4" t="str">
        <x:v>1. MainBasis/需求待确认清单.md#Q015：等级门槛、保存并发和勋章展示边界
2. 主文档关联：A-admin-level-config-019、A-admin-level-config-020、A-admin-level-config-021、A-admin-level-config-022</x:v>
      </x:c>
      <x:c r="O36" s="4" t="str">
        <x:v>1. 用户App：管理员编辑连续等级的成长门槛
2. 公会App：管理员编辑连续等级的成长门槛
3. 管理后台：管理员编辑连续等级的成长门槛</x:v>
      </x:c>
      <x:c r="P36" s="4" t="str"/>
      <x:c r="Q36" s="4" t="str">
        <x:v>1. 相邻等级门槛是否必须严格递增的正向、边界及异常场景</x:v>
      </x:c>
      <x:c r="R36" s="4" t="str">
        <x:v>产品</x:v>
      </x:c>
      <x:c r="S36" s="4" t="str">
        <x:v>进入对应功能测试前</x:v>
      </x:c>
      <x:c r="T36" s="4" t="str">
        <x:v>待确认</x:v>
      </x:c>
    </x:row>
    <x:row r="37" ht="96" customHeight="1">
      <x:c r="A37" s="4" t="str">
        <x:v>Q-033</x:v>
      </x:c>
      <x:c r="B37" s="4" t="str">
        <x:v>RQ-015</x:v>
      </x:c>
      <x:c r="C37" s="4" t="str"/>
      <x:c r="D37" s="4" t="str"/>
      <x:c r="E37" s="4" t="str">
        <x:v>部分阻塞</x:v>
      </x:c>
      <x:c r="F37" s="4" t="str">
        <x:v>M04 粉丝团·房管与成长等级</x:v>
      </x:c>
      <x:c r="G37" s="4" t="str">
        <x:v>两位管理员同时编辑同一等级配置</x:v>
      </x:c>
      <x:c r="H37" s="4" t="str">
        <x:v>业务规则</x:v>
      </x:c>
      <x:c r="I37" s="4" t="str">
        <x:v>后提交者如何处理版本冲突？</x:v>
      </x:c>
      <x:c r="J37" s="4" t="str">
        <x:v>A. 拒绝旧版本提交并要求刷新
B. 以最后一次成功提交的整组配置为准</x:v>
      </x:c>
      <x:c r="K37" s="4" t="str">
        <x:v>建议优先评估A：明确两位管理员同时编辑同一等级配置的唯一处理口径后，可构造确定的输入和结果；此建议不代表产品结论</x:v>
      </x:c>
      <x:c r="L37" s="8" t="str"/>
      <x:c r="M37" s="8" t="str"/>
      <x:c r="N37" s="4" t="str">
        <x:v>1. MainBasis/需求待确认清单.md#Q015：等级门槛、保存并发和勋章展示边界
2. 主文档关联：A-admin-level-config-019、A-admin-level-config-020、A-admin-level-config-021、A-admin-level-config-022</x:v>
      </x:c>
      <x:c r="O37" s="4" t="str">
        <x:v>1. 用户App：两位管理员同时编辑同一等级配置
2. 公会App：两位管理员同时编辑同一等级配置
3. 管理后台：两位管理员同时编辑同一等级配置</x:v>
      </x:c>
      <x:c r="P37" s="4" t="str"/>
      <x:c r="Q37" s="4" t="str">
        <x:v>1. 后提交者如何处理版本冲突的正向、边界及异常场景</x:v>
      </x:c>
      <x:c r="R37" s="4" t="str">
        <x:v>产品</x:v>
      </x:c>
      <x:c r="S37" s="4" t="str">
        <x:v>进入对应功能测试前</x:v>
      </x:c>
      <x:c r="T37" s="4" t="str">
        <x:v>待确认</x:v>
      </x:c>
    </x:row>
    <x:row r="38" ht="96" customHeight="1">
      <x:c r="A38" s="4" t="str">
        <x:v>Q-034</x:v>
      </x:c>
      <x:c r="B38" s="4" t="str">
        <x:v>RQ-015</x:v>
      </x:c>
      <x:c r="C38" s="4" t="str"/>
      <x:c r="D38" s="4" t="str"/>
      <x:c r="E38" s="4" t="str">
        <x:v>部分阻塞</x:v>
      </x:c>
      <x:c r="F38" s="4" t="str">
        <x:v>M04 粉丝团·房管与成长等级</x:v>
      </x:c>
      <x:c r="G38" s="4" t="str">
        <x:v>用户成长后获得更高等级勋章</x:v>
      </x:c>
      <x:c r="H38" s="4" t="str">
        <x:v>业务规则</x:v>
      </x:c>
      <x:c r="I38" s="4" t="str">
        <x:v>新等级勋章是否自动替换已佩戴的旧等级勋章？</x:v>
      </x:c>
      <x:c r="J38" s="4" t="str">
        <x:v>A. 自动替换同系列旧勋章
B. 仅发入背包，由用户手动佩戴</x:v>
      </x:c>
      <x:c r="K38" s="4" t="str">
        <x:v>建议优先评估A：明确用户成长后获得更高等级勋章的唯一处理口径后，可构造确定的输入和结果；此建议不代表产品结论</x:v>
      </x:c>
      <x:c r="L38" s="8" t="str"/>
      <x:c r="M38" s="8" t="str"/>
      <x:c r="N38" s="4" t="str">
        <x:v>1. MainBasis/需求待确认清单.md#Q015：等级门槛、保存并发和勋章展示边界
2. 主文档关联：A-admin-level-config-019、A-admin-level-config-020、A-admin-level-config-021、A-admin-level-config-022</x:v>
      </x:c>
      <x:c r="O38" s="4" t="str">
        <x:v>1. 用户App：用户成长后获得更高等级勋章
2. 公会App：用户成长后获得更高等级勋章
3. 管理后台：用户成长后获得更高等级勋章</x:v>
      </x:c>
      <x:c r="P38" s="4" t="str"/>
      <x:c r="Q38" s="4" t="str">
        <x:v>1. 新等级勋章是否自动替换已佩戴的旧等级勋章的正向、边界及异常场景</x:v>
      </x:c>
      <x:c r="R38" s="4" t="str">
        <x:v>产品</x:v>
      </x:c>
      <x:c r="S38" s="4" t="str">
        <x:v>进入对应功能测试前</x:v>
      </x:c>
      <x:c r="T38" s="4" t="str">
        <x:v>待确认</x:v>
      </x:c>
    </x:row>
    <x:row r="39" ht="96" customHeight="1">
      <x:c r="A39" s="4" t="str">
        <x:v>Q-035</x:v>
      </x:c>
      <x:c r="B39" s="4" t="str">
        <x:v>RQ-016</x:v>
      </x:c>
      <x:c r="C39" s="4" t="str"/>
      <x:c r="D39" s="4" t="str"/>
      <x:c r="E39" s="4" t="str">
        <x:v>部分阻塞</x:v>
      </x:c>
      <x:c r="F39" s="4" t="str">
        <x:v>M06 开播·房型·观看·连麦与房内管理</x:v>
      </x:c>
      <x:c r="G39" s="4" t="str">
        <x:v>主播接受一条连麦邀请且还有其他已收到邀请</x:v>
      </x:c>
      <x:c r="H39" s="4" t="str">
        <x:v>业务规则</x:v>
      </x:c>
      <x:c r="I39" s="4" t="str">
        <x:v>接受后其他已收到邀请是否失效？</x:v>
      </x:c>
      <x:c r="J39" s="4" t="str">
        <x:v>A. 保留，恢复单播后在原有效期内可继续处理
B. 全部失效，不再允许接受</x:v>
      </x:c>
      <x:c r="K39" s="4" t="str">
        <x:v>建议优先评估A：明确主播接受一条连麦邀请且还有其他已收到邀请的唯一处理口径后，可构造确定的输入和结果；此建议不代表产品结论</x:v>
      </x:c>
      <x:c r="L39" s="8" t="str"/>
      <x:c r="M39" s="8" t="str"/>
      <x:c r="N39" s="4" t="str">
        <x:v>1. MainBasis/需求待确认清单.md#Q016：接受连麦后其他收到的邀请是否保留
2. 主文档关联：D-SYS-110、U-views_live-room-host_cohost-hosts-006、U-views_live-room-host_cohost-invite-notice-005</x:v>
      </x:c>
      <x:c r="O39" s="4" t="str">
        <x:v>1. 用户App：主播接受一条连麦邀请且还有其他已收到邀请
2. 公会App：主播接受一条连麦邀请且还有其他已收到邀请
3. 管理后台：主播接受一条连麦邀请且还有其他已收到邀请</x:v>
      </x:c>
      <x:c r="P39" s="4" t="str"/>
      <x:c r="Q39" s="4" t="str">
        <x:v>1. 接受后其他已收到邀请是否失效的正向、边界及异常场景</x:v>
      </x:c>
      <x:c r="R39" s="4" t="str">
        <x:v>产品</x:v>
      </x:c>
      <x:c r="S39" s="4" t="str">
        <x:v>进入对应功能测试前</x:v>
      </x:c>
      <x:c r="T39" s="4" t="str">
        <x:v>待确认</x:v>
      </x:c>
    </x:row>
    <x:row r="40" ht="96" customHeight="1">
      <x:c r="A40" s="4" t="str">
        <x:v>Q-038</x:v>
      </x:c>
      <x:c r="B40" s="4" t="str">
        <x:v>RQ-018</x:v>
      </x:c>
      <x:c r="C40" s="4" t="str"/>
      <x:c r="D40" s="4" t="str"/>
      <x:c r="E40" s="4" t="str">
        <x:v>部分阻塞</x:v>
      </x:c>
      <x:c r="F40" s="4" t="str">
        <x:v>M02 发现·搜索·主页与平台榜单</x:v>
      </x:c>
      <x:c r="G40" s="4" t="str">
        <x:v>用户金币余额为负数并发起注销</x:v>
      </x:c>
      <x:c r="H40" s="4" t="str">
        <x:v>业务规则</x:v>
      </x:c>
      <x:c r="I40" s="4" t="str">
        <x:v>负余额是否满足小于100金币的注销条件？</x:v>
      </x:c>
      <x:c r="J40" s="4" t="str">
        <x:v>A. 不满足，负余额结清至非负后才能申请
B. 满足，余额小于100即可申请</x:v>
      </x:c>
      <x:c r="K40" s="4" t="str">
        <x:v>建议优先评估A：明确用户金币余额为负数并发起注销的唯一处理口径后，可构造确定的输入和结果；此建议不代表产品结论</x:v>
      </x:c>
      <x:c r="L40" s="8" t="str"/>
      <x:c r="M40" s="8" t="str"/>
      <x:c r="N40" s="4" t="str">
        <x:v>1. MainBasis/需求待确认清单.md#Q018：注销资产门槛和冷静期后数据留存
2. 主文档关联：U-host-ranking-009、U-contribution-ranking-009、U-fan-contribution-ranking-009、U-auth-login-register-014</x:v>
      </x:c>
      <x:c r="O40" s="4" t="str">
        <x:v>1. 用户App：用户金币余额为负数并发起注销
2. 公会App：用户金币余额为负数并发起注销
3. 管理后台：用户金币余额为负数并发起注销</x:v>
      </x:c>
      <x:c r="P40" s="4" t="str"/>
      <x:c r="Q40" s="4" t="str">
        <x:v>1. 负余额是否满足小于100金币的注销条件的正向、边界及异常场景</x:v>
      </x:c>
      <x:c r="R40" s="4" t="str">
        <x:v>产品</x:v>
      </x:c>
      <x:c r="S40" s="4" t="str">
        <x:v>进入对应功能测试前</x:v>
      </x:c>
      <x:c r="T40" s="4" t="str">
        <x:v>待确认</x:v>
      </x:c>
    </x:row>
    <x:row r="41" ht="96" customHeight="1">
      <x:c r="A41" s="4" t="str">
        <x:v>Q-039</x:v>
      </x:c>
      <x:c r="B41" s="4" t="str">
        <x:v>RQ-018</x:v>
      </x:c>
      <x:c r="C41" s="4" t="str"/>
      <x:c r="D41" s="4" t="str"/>
      <x:c r="E41" s="4" t="str">
        <x:v>部分阻塞</x:v>
      </x:c>
      <x:c r="F41" s="4" t="str">
        <x:v>M02 发现·搜索·主页与平台榜单</x:v>
      </x:c>
      <x:c r="G41" s="4" t="str">
        <x:v>主播仍有未结收益并发起注销</x:v>
      </x:c>
      <x:c r="H41" s="4" t="str">
        <x:v>业务规则</x:v>
      </x:c>
      <x:c r="I41" s="4" t="str">
        <x:v>未结收益是否阻止注销申请？</x:v>
      </x:c>
      <x:c r="J41" s="4" t="str">
        <x:v>A. 阻止，结清后才能提交
B. 不阻止，保留财务身份与债权记录至结清</x:v>
      </x:c>
      <x:c r="K41" s="4" t="str">
        <x:v>建议优先评估A：明确主播仍有未结收益并发起注销的唯一处理口径后，可构造确定的输入和结果；此建议不代表产品结论</x:v>
      </x:c>
      <x:c r="L41" s="8" t="str"/>
      <x:c r="M41" s="8" t="str"/>
      <x:c r="N41" s="4" t="str">
        <x:v>1. MainBasis/需求待确认清单.md#Q018：注销资产门槛和冷静期后数据留存
2. 主文档关联：U-host-ranking-009、U-contribution-ranking-009、U-fan-contribution-ranking-009、U-auth-login-register-014</x:v>
      </x:c>
      <x:c r="O41" s="4" t="str">
        <x:v>1. 用户App：主播仍有未结收益并发起注销
2. 公会App：主播仍有未结收益并发起注销
3. 管理后台：主播仍有未结收益并发起注销</x:v>
      </x:c>
      <x:c r="P41" s="4" t="str"/>
      <x:c r="Q41" s="4" t="str">
        <x:v>1. 未结收益是否阻止注销申请的正向、边界及异常场景</x:v>
      </x:c>
      <x:c r="R41" s="4" t="str">
        <x:v>产品</x:v>
      </x:c>
      <x:c r="S41" s="4" t="str">
        <x:v>进入对应功能测试前</x:v>
      </x:c>
      <x:c r="T41" s="4" t="str">
        <x:v>待确认</x:v>
      </x:c>
    </x:row>
    <x:row r="42" ht="96" customHeight="1">
      <x:c r="A42" s="4" t="str">
        <x:v>Q-040</x:v>
      </x:c>
      <x:c r="B42" s="4" t="str">
        <x:v>RQ-018</x:v>
      </x:c>
      <x:c r="C42" s="4" t="str"/>
      <x:c r="D42" s="4" t="str"/>
      <x:c r="E42" s="4" t="str">
        <x:v>部分阻塞</x:v>
      </x:c>
      <x:c r="F42" s="4" t="str">
        <x:v>M02 发现·搜索·主页与平台榜单</x:v>
      </x:c>
      <x:c r="G42" s="4" t="str">
        <x:v>七日冷静期结束，账号最终注销</x:v>
      </x:c>
      <x:c r="H42" s="4" t="str">
        <x:v>业务规则</x:v>
      </x:c>
      <x:c r="I42" s="4" t="str">
        <x:v>财务及榜单历史是否保留？</x:v>
      </x:c>
      <x:c r="J42" s="4" t="str">
        <x:v>A. 保留去标识历史记录，名称统一为账号已注销
B. 删除个人展示历史，财务凭证按独立留存规则保留</x:v>
      </x:c>
      <x:c r="K42" s="4" t="str">
        <x:v>建议优先评估A：明确七日冷静期结束，账号最终注销的唯一处理口径后，可构造确定的输入和结果；此建议不代表产品结论</x:v>
      </x:c>
      <x:c r="L42" s="8" t="str"/>
      <x:c r="M42" s="8" t="str"/>
      <x:c r="N42" s="4" t="str">
        <x:v>1. MainBasis/需求待确认清单.md#Q018：注销资产门槛和冷静期后数据留存
2. 主文档关联：U-host-ranking-009、U-contribution-ranking-009、U-fan-contribution-ranking-009、U-auth-login-register-014</x:v>
      </x:c>
      <x:c r="O42" s="4" t="str">
        <x:v>1. 用户App：七日冷静期结束，账号最终注销
2. 公会App：七日冷静期结束，账号最终注销
3. 管理后台：七日冷静期结束，账号最终注销</x:v>
      </x:c>
      <x:c r="P42" s="4" t="str"/>
      <x:c r="Q42" s="4" t="str">
        <x:v>1. 财务及榜单历史是否保留的正向、边界及异常场景</x:v>
      </x:c>
      <x:c r="R42" s="4" t="str">
        <x:v>产品</x:v>
      </x:c>
      <x:c r="S42" s="4" t="str">
        <x:v>进入对应功能测试前</x:v>
      </x:c>
      <x:c r="T42" s="4" t="str">
        <x:v>待确认</x:v>
      </x:c>
    </x:row>
    <x:row r="43" ht="96" customHeight="1">
      <x:c r="A43" s="4" t="str">
        <x:v>Q-043</x:v>
      </x:c>
      <x:c r="B43" s="4" t="str">
        <x:v>RQ-019</x:v>
      </x:c>
      <x:c r="C43" s="4" t="str"/>
      <x:c r="D43" s="4" t="str"/>
      <x:c r="E43" s="4" t="str">
        <x:v>部分阻塞</x:v>
      </x:c>
      <x:c r="F43" s="4" t="str">
        <x:v>M01 账号·登录·资料与设置</x:v>
      </x:c>
      <x:c r="G43" s="4" t="str">
        <x:v>手机号已被另一账号绑定，当前用户申请绑定</x:v>
      </x:c>
      <x:c r="H43" s="4" t="str">
        <x:v>业务规则</x:v>
      </x:c>
      <x:c r="I43" s="4" t="str">
        <x:v>发生手机号绑定冲突时如何处理？</x:v>
      </x:c>
      <x:c r="J43" s="4" t="str">
        <x:v>A. 拒绝绑定，不合并账号
B. 验证原账号所有权后执行账号合并</x:v>
      </x:c>
      <x:c r="K43" s="4" t="str">
        <x:v>建议优先评估A：明确手机号已被另一账号绑定，当前用户申请绑定的唯一处理口径后，可构造确定的输入和结果；此建议不代表产品结论</x:v>
      </x:c>
      <x:c r="L43" s="8" t="str"/>
      <x:c r="M43" s="8" t="str"/>
      <x:c r="N43" s="4" t="str">
        <x:v>1. MainBasis/需求待确认清单.md#Q019：手机号/邮箱账号建立、找回和绑定
2. 主文档关联：U-auth-login-register-011</x:v>
      </x:c>
      <x:c r="O43" s="4" t="str">
        <x:v>1. 用户App：手机号已被另一账号绑定，当前用户申请绑定
2. 公会App：手机号已被另一账号绑定，当前用户申请绑定
3. 管理后台：手机号已被另一账号绑定，当前用户申请绑定</x:v>
      </x:c>
      <x:c r="P43" s="4" t="str"/>
      <x:c r="Q43" s="4" t="str">
        <x:v>1. 发生手机号绑定冲突时如何处理的正向、边界及异常场景</x:v>
      </x:c>
      <x:c r="R43" s="4" t="str">
        <x:v>产品</x:v>
      </x:c>
      <x:c r="S43" s="4" t="str">
        <x:v>进入对应功能测试前</x:v>
      </x:c>
      <x:c r="T43" s="4" t="str">
        <x:v>待确认</x:v>
      </x:c>
    </x:row>
    <x:row r="44" ht="68" customHeight="1">
      <x:c r="A44" s="4" t="str">
        <x:v>Q-082</x:v>
      </x:c>
      <x:c r="B44" s="4" t="str">
        <x:v>RQ-019</x:v>
      </x:c>
      <x:c r="C44" s="4" t="str"/>
      <x:c r="D44" s="4" t="str"/>
      <x:c r="E44" s="4" t="str">
        <x:v>部分阻塞</x:v>
      </x:c>
      <x:c r="F44" s="4" t="str">
        <x:v>M01 账号·登录·资料与设置</x:v>
      </x:c>
      <x:c r="G44" s="4" t="str">
        <x:v>运营账号已拥有登录账号和密码，在用户App尝试登录</x:v>
      </x:c>
      <x:c r="H44" s="4" t="str">
        <x:v>角色与权限</x:v>
      </x:c>
      <x:c r="I44" s="4" t="str">
        <x:v>运营账号应使用哪个用户App入口？</x:v>
      </x:c>
      <x:c r="J44" s="4" t="str">
        <x:v>A. 复用手机号密码登录，运营登录账号必须绑定手机号
B. 提供独立运营账号密码入口，不要求手机号</x:v>
      </x:c>
      <x:c r="K44" s="4" t="str">
        <x:v>建议优先评估A：明确运营账号已拥有登录账号和密码，在用户App尝试登录的唯一处理口径后，可构造确定的输入和结果；此建议不代表产品结论</x:v>
      </x:c>
      <x:c r="L44" s="8" t="str"/>
      <x:c r="M44" s="8" t="str"/>
      <x:c r="N44" s="4" t="str">
        <x:v>1. MainBasis/需求待确认清单.md#Q019：手机号/邮箱账号建立、找回和绑定
2. 主文档关联：U-auth-login-register-011</x:v>
      </x:c>
      <x:c r="O44" s="4" t="str">
        <x:v>1. 用户App：运营账号已拥有登录账号和密码，在用户App尝试登录
2. 公会App：运营账号已拥有登录账号和密码，在用户App尝试登录</x:v>
      </x:c>
      <x:c r="P44" s="4" t="str"/>
      <x:c r="Q44" s="4" t="str">
        <x:v>1. 运营账号应使用哪个用户App入口的正向、边界及异常场景</x:v>
      </x:c>
      <x:c r="R44" s="4" t="str">
        <x:v>多方确认</x:v>
      </x:c>
      <x:c r="S44" s="4" t="str">
        <x:v>进入对应功能测试前</x:v>
      </x:c>
      <x:c r="T44" s="4" t="str">
        <x:v>待确认</x:v>
      </x:c>
    </x:row>
    <x:row r="45" ht="96" customHeight="1">
      <x:c r="A45" s="4" t="str">
        <x:v>Q-052</x:v>
      </x:c>
      <x:c r="B45" s="4" t="str">
        <x:v>RQ-024</x:v>
      </x:c>
      <x:c r="C45" s="4" t="str"/>
      <x:c r="D45" s="4" t="str"/>
      <x:c r="E45" s="4" t="str">
        <x:v>部分阻塞</x:v>
      </x:c>
      <x:c r="F45" s="4" t="str">
        <x:v>跨模块需求</x:v>
      </x:c>
      <x:c r="G45" s="4" t="str">
        <x:v>平台关闭幸运礼物功能时赠送请求正在处理</x:v>
      </x:c>
      <x:c r="H45" s="4" t="str">
        <x:v>业务规则</x:v>
      </x:c>
      <x:c r="I45" s="4" t="str">
        <x:v>已受理的赠送按哪个开关版本处理？</x:v>
      </x:c>
      <x:c r="J45" s="4" t="str">
        <x:v>A. 按受理时快照完成，本次关闭只拦截后续请求
B. 关闭后未扣款请求取消，已扣款请求完成</x:v>
      </x:c>
      <x:c r="K45" s="4" t="str">
        <x:v>建议优先评估A：明确平台关闭幸运礼物功能时赠送请求正在处理的唯一处理口径后，可构造确定的输入和结果；此建议不代表产品结论</x:v>
      </x:c>
      <x:c r="L45" s="8" t="str"/>
      <x:c r="M45" s="8" t="str"/>
      <x:c r="N45" s="4" t="str">
        <x:v>1. MainBasis/需求待确认清单.md#Q024：本期范围、房型/幸运开关与 PK
2. 主文档关联：见风险来源中的来源异常范围</x:v>
      </x:c>
      <x:c r="O45" s="4" t="str">
        <x:v>1. 用户App：平台关闭幸运礼物功能时赠送请求正在处理
2. 公会App：平台关闭幸运礼物功能时赠送请求正在处理
3. 管理后台：平台关闭幸运礼物功能时赠送请求正在处理</x:v>
      </x:c>
      <x:c r="P45" s="4" t="str"/>
      <x:c r="Q45" s="4" t="str">
        <x:v>1. 已受理的赠送按哪个开关版本处理的正向、边界及异常场景</x:v>
      </x:c>
      <x:c r="R45" s="4" t="str">
        <x:v>产品</x:v>
      </x:c>
      <x:c r="S45" s="4" t="str">
        <x:v>进入对应功能测试前</x:v>
      </x:c>
      <x:c r="T45" s="4" t="str">
        <x:v>待确认</x:v>
      </x:c>
    </x:row>
    <x:row r="46" ht="96" customHeight="1">
      <x:c r="A46" s="4" t="str">
        <x:v>Q-053</x:v>
      </x:c>
      <x:c r="B46" s="4" t="str">
        <x:v>RQ-025</x:v>
      </x:c>
      <x:c r="C46" s="4" t="str"/>
      <x:c r="D46" s="4" t="str"/>
      <x:c r="E46" s="4" t="str">
        <x:v>部分阻塞</x:v>
      </x:c>
      <x:c r="F46" s="4" t="str">
        <x:v>M02 发现·搜索·主页与平台榜单</x:v>
      </x:c>
      <x:c r="G46" s="4" t="str">
        <x:v>主播场次跨越当地午夜</x:v>
      </x:c>
      <x:c r="H46" s="4" t="str">
        <x:v>计算与统计口径</x:v>
      </x:c>
      <x:c r="I46" s="4" t="str">
        <x:v>统计自然日使用哪个时区？</x:v>
      </x:c>
      <x:c r="J46" s="4" t="str">
        <x:v>A. 统一使用Asia/Jakarta
B. 统一使用UTC</x:v>
      </x:c>
      <x:c r="K46" s="4" t="str">
        <x:v>建议优先评估A：明确主播场次跨越当地午夜的唯一处理口径后，可构造确定的输入和结果；此建议不代表产品结论</x:v>
      </x:c>
      <x:c r="L46" s="8" t="str"/>
      <x:c r="M46" s="8" t="str"/>
      <x:c r="N46" s="4" t="str">
        <x:v>1. MainBasis/需求待确认清单.md#Q025：业务时区、跨日场次和有效直播时长
2. 主文档关联：U-host-ranking-002、G-guild-income-002、A-admin-data-overview-007、U-contribution-ranking-002</x:v>
      </x:c>
      <x:c r="O46" s="4" t="str">
        <x:v>1. 用户App：主播场次跨越当地午夜
2. 公会App：主播场次跨越当地午夜
3. 管理后台：主播场次跨越当地午夜</x:v>
      </x:c>
      <x:c r="P46" s="4" t="str"/>
      <x:c r="Q46" s="4" t="str">
        <x:v>1. 统计自然日使用哪个时区的正向、边界及异常场景</x:v>
      </x:c>
      <x:c r="R46" s="4" t="str">
        <x:v>产品</x:v>
      </x:c>
      <x:c r="S46" s="4" t="str">
        <x:v>进入对应功能测试前</x:v>
      </x:c>
      <x:c r="T46" s="4" t="str">
        <x:v>待确认</x:v>
      </x:c>
    </x:row>
    <x:row r="47" ht="96" customHeight="1">
      <x:c r="A47" s="4" t="str">
        <x:v>Q-054</x:v>
      </x:c>
      <x:c r="B47" s="4" t="str">
        <x:v>RQ-025</x:v>
      </x:c>
      <x:c r="C47" s="4" t="str"/>
      <x:c r="D47" s="4" t="str"/>
      <x:c r="E47" s="4" t="str">
        <x:v>部分阻塞</x:v>
      </x:c>
      <x:c r="F47" s="4" t="str">
        <x:v>M02 发现·搜索·主页与平台榜单</x:v>
      </x:c>
      <x:c r="G47" s="4" t="str">
        <x:v>主播一场直播跨越统计日边界</x:v>
      </x:c>
      <x:c r="H47" s="4" t="str">
        <x:v>业务规则</x:v>
      </x:c>
      <x:c r="I47" s="4" t="str">
        <x:v>跨日直播时长如何归属日期？</x:v>
      </x:c>
      <x:c r="J47" s="4" t="str">
        <x:v>A. 按实际时间切分到各自然日
B. 全部归入开播所在自然日</x:v>
      </x:c>
      <x:c r="K47" s="4" t="str">
        <x:v>建议优先评估A：明确主播一场直播跨越统计日边界的唯一处理口径后，可构造确定的输入和结果；此建议不代表产品结论</x:v>
      </x:c>
      <x:c r="L47" s="8" t="str"/>
      <x:c r="M47" s="8" t="str"/>
      <x:c r="N47" s="4" t="str">
        <x:v>1. MainBasis/需求待确认清单.md#Q025：业务时区、跨日场次和有效直播时长
2. 主文档关联：U-host-ranking-002、G-guild-income-002、A-admin-data-overview-007、U-contribution-ranking-002</x:v>
      </x:c>
      <x:c r="O47" s="4" t="str">
        <x:v>1. 用户App：主播一场直播跨越统计日边界
2. 公会App：主播一场直播跨越统计日边界
3. 管理后台：主播一场直播跨越统计日边界</x:v>
      </x:c>
      <x:c r="P47" s="4" t="str"/>
      <x:c r="Q47" s="4" t="str">
        <x:v>1. 跨日直播时长如何归属日期的正向、边界及异常场景</x:v>
      </x:c>
      <x:c r="R47" s="4" t="str">
        <x:v>产品</x:v>
      </x:c>
      <x:c r="S47" s="4" t="str">
        <x:v>进入对应功能测试前</x:v>
      </x:c>
      <x:c r="T47" s="4" t="str">
        <x:v>待确认</x:v>
      </x:c>
    </x:row>
    <x:row r="48" ht="96" customHeight="1">
      <x:c r="A48" s="4" t="str">
        <x:v>Q-055</x:v>
      </x:c>
      <x:c r="B48" s="4" t="str">
        <x:v>RQ-025</x:v>
      </x:c>
      <x:c r="C48" s="4" t="str"/>
      <x:c r="D48" s="4" t="str"/>
      <x:c r="E48" s="4" t="str">
        <x:v>部分阻塞</x:v>
      </x:c>
      <x:c r="F48" s="4" t="str">
        <x:v>M02 发现·搜索·主页与平台榜单</x:v>
      </x:c>
      <x:c r="G48" s="4" t="str">
        <x:v>直播因网络中断暂停推流但场次未结束</x:v>
      </x:c>
      <x:c r="H48" s="4" t="str">
        <x:v>业务规则</x:v>
      </x:c>
      <x:c r="I48" s="4" t="str">
        <x:v>断流时间是否计入有效直播时长？</x:v>
      </x:c>
      <x:c r="J48" s="4" t="str">
        <x:v>A. 不计入，以有效推流区间累计
B. 计入，以场次开始至结束累计</x:v>
      </x:c>
      <x:c r="K48" s="4" t="str">
        <x:v>建议优先评估A：明确直播因网络中断暂停推流但场次未结束的唯一处理口径后，可构造确定的输入和结果；此建议不代表产品结论</x:v>
      </x:c>
      <x:c r="L48" s="8" t="str"/>
      <x:c r="M48" s="8" t="str"/>
      <x:c r="N48" s="4" t="str">
        <x:v>1. MainBasis/需求待确认清单.md#Q025：业务时区、跨日场次和有效直播时长
2. 主文档关联：U-host-ranking-002、G-guild-income-002、A-admin-data-overview-007、U-contribution-ranking-002</x:v>
      </x:c>
      <x:c r="O48" s="4" t="str">
        <x:v>1. 用户App：直播因网络中断暂停推流但场次未结束
2. 公会App：直播因网络中断暂停推流但场次未结束
3. 管理后台：直播因网络中断暂停推流但场次未结束</x:v>
      </x:c>
      <x:c r="P48" s="4" t="str"/>
      <x:c r="Q48" s="4" t="str">
        <x:v>1. 断流时间是否计入有效直播时长的正向、边界及异常场景</x:v>
      </x:c>
      <x:c r="R48" s="4" t="str">
        <x:v>产品</x:v>
      </x:c>
      <x:c r="S48" s="4" t="str">
        <x:v>进入对应功能测试前</x:v>
      </x:c>
      <x:c r="T48" s="4" t="str">
        <x:v>待确认</x:v>
      </x:c>
    </x:row>
    <x:row r="49" ht="96" customHeight="1">
      <x:c r="A49" s="4" t="str">
        <x:v>Q-057</x:v>
      </x:c>
      <x:c r="B49" s="4" t="str">
        <x:v>RQ-026</x:v>
      </x:c>
      <x:c r="C49" s="4" t="str"/>
      <x:c r="D49" s="4" t="str"/>
      <x:c r="E49" s="4" t="str">
        <x:v>部分阻塞</x:v>
      </x:c>
      <x:c r="F49" s="4" t="str">
        <x:v>M06 开播·房型·观看·连麦与房内管理</x:v>
      </x:c>
      <x:c r="G49" s="4" t="str">
        <x:v>用户在同一场次关注、取关后再次关注</x:v>
      </x:c>
      <x:c r="H49" s="4" t="str">
        <x:v>业务规则</x:v>
      </x:c>
      <x:c r="I49" s="4" t="str">
        <x:v>新增粉丝指标如何计数？</x:v>
      </x:c>
      <x:c r="J49" s="4" t="str">
        <x:v>A. 只计本场首次新增关注账号且去重
B. 每次关注成功事件均累计</x:v>
      </x:c>
      <x:c r="K49" s="4" t="str">
        <x:v>建议优先评估A：明确用户在同一场次关注、取关后再次关注的唯一处理口径后，可构造确定的输入和结果；此建议不代表产品结论</x:v>
      </x:c>
      <x:c r="L49" s="8" t="str"/>
      <x:c r="M49" s="8" t="str"/>
      <x:c r="N49" s="4" t="str">
        <x:v>1. MainBasis/需求待确认清单.md#Q026：观众人数、人次、访问次数与新增粉丝
2. 主文档关联：U-live-end-host-002、G-guild-host-summary-004、A-admin-live-statistics-003、U-host-center-005</x:v>
      </x:c>
      <x:c r="O49" s="4" t="str">
        <x:v>1. 用户App：用户在同一场次关注、取关后再次关注
2. 公会App：用户在同一场次关注、取关后再次关注
3. 管理后台：用户在同一场次关注、取关后再次关注</x:v>
      </x:c>
      <x:c r="P49" s="4" t="str"/>
      <x:c r="Q49" s="4" t="str">
        <x:v>1. 新增粉丝指标如何计数的正向、边界及异常场景</x:v>
      </x:c>
      <x:c r="R49" s="4" t="str">
        <x:v>产品</x:v>
      </x:c>
      <x:c r="S49" s="4" t="str">
        <x:v>进入对应功能测试前</x:v>
      </x:c>
      <x:c r="T49" s="4" t="str">
        <x:v>待确认</x:v>
      </x:c>
    </x:row>
    <x:row r="50" ht="96" customHeight="1">
      <x:c r="A50" s="4" t="str">
        <x:v>Q-068</x:v>
      </x:c>
      <x:c r="B50" s="4" t="str">
        <x:v>RQ-034</x:v>
      </x:c>
      <x:c r="C50" s="4" t="str"/>
      <x:c r="D50" s="4" t="str"/>
      <x:c r="E50" s="4" t="str">
        <x:v>部分阻塞</x:v>
      </x:c>
      <x:c r="F50" s="4" t="str">
        <x:v>M10 用户管理·审核·举报与巡房</x:v>
      </x:c>
      <x:c r="G50" s="4" t="str">
        <x:v>三端上传图片资源</x:v>
      </x:c>
      <x:c r="H50" s="4" t="str">
        <x:v>字段与数据校验</x:v>
      </x:c>
      <x:c r="I50" s="4" t="str">
        <x:v>图片大小限制采用什么依据？</x:v>
      </x:c>
      <x:c r="J50" s="4" t="str">
        <x:v>A. 每个上传字段读取平台发布的资源限制配置
B. 全部图片统一最大5MB</x:v>
      </x:c>
      <x:c r="K50" s="4" t="str">
        <x:v>建议优先评估A：明确三端上传图片资源的唯一处理口径后，可构造确定的输入和结果；此建议不代表产品结论</x:v>
      </x:c>
      <x:c r="L50" s="8" t="str"/>
      <x:c r="M50" s="8" t="str"/>
      <x:c r="N50" s="4" t="str">
        <x:v>1. MainBasis/需求待确认清单.md#Q034：内容风控、敏感词和上传资源约束
2. 主文档关联：A-admin-sensitive-words-001、A-admin-sensitive-words-detail-001、A-admin-sensitive-words-002、A-admin-sensitive-words-005</x:v>
      </x:c>
      <x:c r="O50" s="4" t="str">
        <x:v>1. 用户App：三端上传图片资源
2. 公会App：三端上传图片资源
3. 管理后台：三端上传图片资源</x:v>
      </x:c>
      <x:c r="P50" s="4" t="str"/>
      <x:c r="Q50" s="4" t="str">
        <x:v>1. 图片大小限制采用什么依据的正向、边界及异常场景</x:v>
      </x:c>
      <x:c r="R50" s="4" t="str">
        <x:v>技术</x:v>
      </x:c>
      <x:c r="S50" s="4" t="str">
        <x:v>进入对应功能测试前</x:v>
      </x:c>
      <x:c r="T50" s="4" t="str">
        <x:v>待确认</x:v>
      </x:c>
    </x:row>
    <x:row r="51" ht="96" customHeight="1">
      <x:c r="A51" s="4" t="str">
        <x:v>Q-071</x:v>
      </x:c>
      <x:c r="B51" s="4" t="str">
        <x:v>RQ-038</x:v>
      </x:c>
      <x:c r="C51" s="4" t="str"/>
      <x:c r="D51" s="4" t="str"/>
      <x:c r="E51" s="4" t="str">
        <x:v>部分阻塞</x:v>
      </x:c>
      <x:c r="F51" s="4" t="str">
        <x:v>跨模块需求</x:v>
      </x:c>
      <x:c r="G51" s="4" t="str">
        <x:v>旧资料出现现行主文档未确认的功能</x:v>
      </x:c>
      <x:c r="H51" s="4" t="str">
        <x:v>需求范围</x:v>
      </x:c>
      <x:c r="I51" s="4" t="str">
        <x:v>旧功能是否进入本期验收范围？</x:v>
      </x:c>
      <x:c r="J51" s="4" t="str">
        <x:v>A. 不进入，以当前MainBasis已明确功能验收
B. 进入，须逐项补齐正式规则后再纳入</x:v>
      </x:c>
      <x:c r="K51" s="4" t="str">
        <x:v>建议优先评估A：明确旧资料出现现行主文档未确认的功能的唯一处理口径后，可构造确定的输入和结果；此建议不代表产品结论</x:v>
      </x:c>
      <x:c r="L51" s="8" t="str"/>
      <x:c r="M51" s="8" t="str"/>
      <x:c r="N51" s="4" t="str">
        <x:v>1. MainBasis/需求待确认清单.md#Q038：主基准之外的运营配置与其他功能是否纳入本期
2. 主文档关联：见风险来源中的来源异常范围</x:v>
      </x:c>
      <x:c r="O51" s="4" t="str">
        <x:v>1. 用户App：旧资料出现现行主文档未确认的功能
2. 公会App：旧资料出现现行主文档未确认的功能
3. 管理后台：旧资料出现现行主文档未确认的功能</x:v>
      </x:c>
      <x:c r="P51" s="4" t="str"/>
      <x:c r="Q51" s="4" t="str">
        <x:v>1. 旧功能是否进入本期验收范围的正向、边界及异常场景</x:v>
      </x:c>
      <x:c r="R51" s="4" t="str">
        <x:v>产品</x:v>
      </x:c>
      <x:c r="S51" s="4" t="str">
        <x:v>进入对应功能测试前</x:v>
      </x:c>
      <x:c r="T51" s="4" t="str">
        <x:v>待确认</x:v>
      </x:c>
    </x:row>
    <x:row r="52" ht="96" customHeight="1">
      <x:c r="A52" s="4" t="str">
        <x:v>Q-080</x:v>
      </x:c>
      <x:c r="B52" s="4" t="str">
        <x:v>RQ-041</x:v>
      </x:c>
      <x:c r="C52" s="4" t="str"/>
      <x:c r="D52" s="4" t="str"/>
      <x:c r="E52" s="4" t="str">
        <x:v>部分阻塞</x:v>
      </x:c>
      <x:c r="F52" s="4" t="str">
        <x:v>M09 运营账号·虚拟金币与公会消息</x:v>
      </x:c>
      <x:c r="G52" s="4" t="str">
        <x:v>公会或平台发起运营账号创建</x:v>
      </x:c>
      <x:c r="H52" s="4" t="str">
        <x:v>角色与权限</x:v>
      </x:c>
      <x:c r="I52" s="4" t="str">
        <x:v>本期由谁创建运营账号？</x:v>
      </x:c>
      <x:c r="J52" s="4" t="str">
        <x:v>A. 仅所属公会创建，平台只控制启停与额度
B. 仅平台创建并分配至公会，公会维护分配后资料</x:v>
      </x:c>
      <x:c r="K52" s="4" t="str">
        <x:v>建议优先评估A：明确公会或平台发起运营账号创建的唯一处理口径后，可构造确定的输入和结果；此建议不代表产品结论</x:v>
      </x:c>
      <x:c r="L52" s="8" t="str"/>
      <x:c r="M52" s="8" t="str"/>
      <x:c r="N52" s="4" t="str">
        <x:v>1. MainBasis/需求待确认清单.md#Q041：运营账号管理责任的概要内部矛盾
2. 主文档关联：D-SYS-040、G-guild-operation-accounts-005、A-admin-operation-accounts-002、A-admin-operation-issue-records-007</x:v>
      </x:c>
      <x:c r="O52" s="4" t="str">
        <x:v>1. 公会App：公会或平台发起运营账号创建
2. 管理后台：公会或平台发起运营账号创建</x:v>
      </x:c>
      <x:c r="P52" s="4" t="str"/>
      <x:c r="Q52" s="4" t="str">
        <x:v>1. 本期由谁创建运营账号的正向、边界及异常场景</x:v>
      </x:c>
      <x:c r="R52" s="4" t="str">
        <x:v>产品</x:v>
      </x:c>
      <x:c r="S52" s="4" t="str">
        <x:v>进入对应功能测试前</x:v>
      </x:c>
      <x:c r="T52" s="4" t="str">
        <x:v>待确认</x:v>
      </x:c>
    </x:row>
    <x:row r="53" ht="96" customHeight="1">
      <x:c r="A53" s="4" t="str">
        <x:v>Q-081</x:v>
      </x:c>
      <x:c r="B53" s="4" t="str">
        <x:v>RQ-042</x:v>
      </x:c>
      <x:c r="C53" s="4" t="str"/>
      <x:c r="D53" s="4" t="str"/>
      <x:c r="E53" s="4" t="str">
        <x:v>部分阻塞</x:v>
      </x:c>
      <x:c r="F53" s="4" t="str">
        <x:v>跨模块需求</x:v>
      </x:c>
      <x:c r="G53" s="4" t="str">
        <x:v>客户端展示超过1000的大数</x:v>
      </x:c>
      <x:c r="H53" s="4" t="str">
        <x:v>交互与文案规则</x:v>
      </x:c>
      <x:c r="I53" s="4" t="str">
        <x:v>数字展示是否使用缩写？</x:v>
      </x:c>
      <x:c r="J53" s="4" t="str">
        <x:v>A. 显示完整数值，按当前语言设置分组符
B. 使用K和M缩写，保留1位小数向下截断</x:v>
      </x:c>
      <x:c r="K53" s="4" t="str">
        <x:v>建议优先评估A：明确客户端展示超过1000的大数的唯一处理口径后，可构造确定的输入和结果；此建议不代表产品结论</x:v>
      </x:c>
      <x:c r="L53" s="8" t="str"/>
      <x:c r="M53" s="8" t="str"/>
      <x:c r="N53" s="4" t="str">
        <x:v>1. MainBasis/需求待确认清单.md#Q042：大数缩写与精确值显示
2. 主文档关联：见风险来源中的来源异常范围</x:v>
      </x:c>
      <x:c r="O53" s="4" t="str">
        <x:v>1. 用户App：客户端展示超过1000的大数
2. 公会App：客户端展示超过1000的大数
3. 管理后台：客户端展示超过1000的大数</x:v>
      </x:c>
      <x:c r="P53" s="4" t="str"/>
      <x:c r="Q53" s="4" t="str">
        <x:v>1. 数字展示是否使用缩写的正向、边界及异常场景</x:v>
      </x:c>
      <x:c r="R53" s="4" t="str">
        <x:v>交互</x:v>
      </x:c>
      <x:c r="S53" s="4" t="str">
        <x:v>进入对应功能测试前</x:v>
      </x:c>
      <x:c r="T53" s="4" t="str">
        <x:v>待确认</x:v>
      </x:c>
    </x:row>
  </x:sheetData>
  <x:dataValidations count="5">
    <x:dataValidation type="list" sqref="E2:E53">
      <x:formula1>"阻塞测试,部分阻塞,不阻塞"</x:formula1>
    </x:dataValidation>
    <x:dataValidation type="list" sqref="H2:H53">
      <x:formula1>"需求范围,业务规则,角色与权限,流程与状态,字段与数据校验,计算与统计口径,异常处理,跨端与跨模块一致性,配置和历史数据影响,交互与文案规则"</x:formula1>
    </x:dataValidation>
    <x:dataValidation type="list" sqref="L2:L53">
      <x:formula1>"A,B,C,D,其他"</x:formula1>
    </x:dataValidation>
    <x:dataValidation type="list" sqref="R2:R53">
      <x:formula1>"产品,交互,技术,多方确认"</x:formula1>
    </x:dataValidation>
    <x:dataValidation type="list" sqref="T2:T53">
      <x:formula1>"待前置结论,待确认,确认中,已确认,无需处理"</x:formula1>
    </x:dataValidation>
  </x:dataValidations>
  <x:pageMargins left="0.7" right="0.7" top="0.75" bottom="0.75" header="0.3" footer="0.3"/>
  <x:tableParts count="1">
    <x:tablePart xmlns:r="http://schemas.openxmlformats.org/officeDocument/2006/relationships" r:id="R721ac231cf504bec"/>
  </x:tableParts>
</x:worksheet>
</file>