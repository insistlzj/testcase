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2c1bfb1d94ec9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bb874d6930a24dc8"/>
    <x:sheet xmlns:r="http://schemas.openxmlformats.org/officeDocument/2006/relationships" name="需求待确认" sheetId="2" r:id="Rbe074ead421f4ff9"/>
    <x:sheet xmlns:r="http://schemas.openxmlformats.org/officeDocument/2006/relationships" name="产品决策概览" sheetId="3" r:id="R6c865d6d9b1c41ed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e964f8d504436" /><Relationship Type="http://schemas.openxmlformats.org/officeDocument/2006/relationships/theme" Target="/xl/theme/theme1.xml" Id="R26e398c80e6341c6" /><Relationship Type="http://schemas.openxmlformats.org/officeDocument/2006/relationships/sharedStrings" Target="/xl/sharedStrings.xml" Id="R3c131f1956434d75" /><Relationship Type="http://schemas.openxmlformats.org/officeDocument/2006/relationships/worksheet" Target="/xl/worksheets/sheet1.xml" Id="Rbb874d6930a24dc8" /><Relationship Type="http://schemas.openxmlformats.org/officeDocument/2006/relationships/worksheet" Target="/xl/worksheets/sheet2.xml" Id="Rbe074ead421f4ff9" /><Relationship Type="http://schemas.openxmlformats.org/officeDocument/2006/relationships/worksheet" Target="/xl/worksheets/sheet3.xml" Id="R6c865d6d9b1c41ed" /></Relationships>
</file>

<file path=xl/tables/table1.xml><?xml version="1.0" encoding="utf-8"?>
<x:table xmlns:x="http://schemas.openxmlformats.org/spreadsheetml/2006/main" id="1" name="FunctionalTestCases" displayName="FunctionalTestCases" ref="A1:O257" headerRowCount="1" totalsRowCount="0" totalsRowShown="0">
  <x:autoFilter ref="A1:O25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quirements" displayName="PendingRequirements" ref="A1:T56" headerRowCount="1" totalsRowCount="0" totalsRowShown="0">
  <x:autoFilter ref="A1:T56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23276530a240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934f73218e4e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2" hidden="0" customWidth="1"/>
    <x:col min="10" max="10" width="48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48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79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同步追溯：work/liveshow-user-live-testcases/prototype-context-sync-result.json；RSL-0002</x:v>
      </x:c>
    </x:row>
    <x:row r="3" ht="79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同步追溯：work/liveshow-user-live-testcases/prototype-context-sync-result.json；RSL-0002</x:v>
      </x:c>
    </x:row>
    <x:row r="4" ht="79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同步追溯：work/liveshow-user-live-testcases/prototype-context-sync-result.json；RSL-0002</x:v>
      </x:c>
    </x:row>
    <x:row r="5" ht="67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6" ht="67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7" ht="67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同步追溯：work/liveshow-user-live-testcases/prototype-context-sync-result.json；RSL-0002</x:v>
      </x:c>
    </x:row>
    <x:row r="8" ht="55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服务端新增或结束一场直播</x:v>
      </x:c>
      <x:c r="J8" s="5" t="str">
        <x:v>1. 在直播列表顶部向下拖动并释放
2. 等待刷新完成</x:v>
      </x:c>
      <x:c r="K8" s="5" t="str">
        <x:v>刷新后的列表反映服务端最新在播状态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同步追溯：work/liveshow-user-live-testcases/prototype-context-sync-result.json；RSL-0002</x:v>
      </x:c>
    </x:row>
    <x:row r="9" ht="55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同步追溯：work/liveshow-user-live-testcases/prototype-context-sync-result.json；RSL-0002</x:v>
      </x:c>
    </x:row>
    <x:row r="10" ht="55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同步追溯：work/liveshow-user-live-testcases/prototype-context-sync-result.json；RSL-0002</x:v>
      </x:c>
    </x:row>
    <x:row r="11" ht="79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2" ht="91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同步追溯：work/liveshow-user-live-testcases/prototype-context-sync-result.json；RSL-0002</x:v>
      </x:c>
    </x:row>
    <x:row r="13" ht="79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4" ht="79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5" ht="79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6" ht="79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7" ht="79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18" ht="55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同步追溯：work/liveshow-user-live-testcases/prototype-context-sync-result.json；RSL-0002</x:v>
      </x:c>
    </x:row>
    <x:row r="19" ht="79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普通房进房</x:v>
      </x:c>
      <x:c r="E20" s="5" t="str">
        <x:v>业务流程</x:v>
      </x:c>
      <x:c r="F20" s="5" t="str">
        <x:v>P0</x:v>
      </x:c>
      <x:c r="G20" s="5" t="str">
        <x:v>验证用户无门槛进入普通房</x:v>
      </x:c>
      <x:c r="H20" s="5" t="str">
        <x:v>普通房无门槛进入</x:v>
      </x:c>
      <x:c r="I20" s="5" t="str">
        <x:v>1. 用户已登录
2. 目标普通房正在直播且用户无进房限制</x:v>
      </x:c>
      <x:c r="J20" s="5" t="str">
        <x:v>1. 在直播广场点击目标普通房卡片
2. 等待直播间加载</x:v>
      </x:c>
      <x:c r="K20" s="5" t="str">
        <x:v>用户无需购票或输入密码即可进入目标普通房</x:v>
      </x:c>
      <x:c r="L20" s="5" t="str">
        <x:v>FLOW-LIVE-001</x:v>
      </x:c>
      <x:c r="M20" s="5" t="str">
        <x:v>未测</x:v>
      </x:c>
      <x:c r="N20" s="5" t="str"/>
      <x:c r="O20" s="5" t="str">
        <x:v>1. 来源：context/01-用户主播App-项目需求清单.md
2. 来源：prototype/Luma Live-原型说明.md
3. 追溯：业务底稿 LIVE-007。
4. 流程：阶段 03：观众进入直播间；共同业务对象：LIVE-SESSION-N01。
5. 同步追溯：work/liveshow-user-live-testcases/prototype-context-sync-result.json；RSL-0002
6. 共同业务对象：同一直播场次
7. 流程阶段：普通房无门槛进入</x:v>
      </x:c>
    </x:row>
    <x:row r="21" ht="55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异常用例</x:v>
      </x:c>
      <x:c r="F21" s="5" t="str">
        <x:v>P1</x:v>
      </x:c>
      <x:c r="G21" s="5" t="str">
        <x:v>验证直播断流时展示重连提示</x:v>
      </x:c>
      <x:c r="H21" s="5" t="str">
        <x:v>断流重连提示</x:v>
      </x:c>
      <x:c r="I21" s="5" t="str">
        <x:v>1. 用户正在观看普通房
2. 可模拟直播流中断后恢复</x:v>
      </x:c>
      <x:c r="J21" s="5" t="str">
        <x:v>1. 中断直播流连接
2. 观察直播间状态
3. 恢复直播流连接</x:v>
      </x:c>
      <x:c r="K21" s="5" t="str">
        <x:v>断流期间页面展示重连提示</x:v>
      </x:c>
      <x:c r="L21" s="5" t="str"/>
      <x:c r="M21" s="5" t="str">
        <x:v>未测</x:v>
      </x:c>
      <x:c r="N21" s="5" t="str"/>
      <x:c r="O21" s="5" t="str">
        <x:v>1. 来源：context/01-用户主播App-项目需求清单.md
2. 追溯：业务底稿 LIVE-008。
3. 同步追溯：work/liveshow-user-live-testcases/prototype-context-sync-result.json；RSL-0002</x:v>
      </x:c>
    </x:row>
    <x:row r="22" ht="55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验证直播流中断后的自动恢复</x:v>
      </x:c>
      <x:c r="H22" s="5" t="str">
        <x:v>断流恢复播放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流恢复后直播画面继续播放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同步追溯：work/liveshow-user-live-testcases/prototype-context-sync-result.json；RSL-0002</x:v>
      </x:c>
    </x:row>
    <x:row r="23" ht="55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功能需求</x:v>
      </x:c>
      <x:c r="F23" s="5" t="str">
        <x:v>P2</x:v>
      </x:c>
      <x:c r="G23" s="5" t="str">
        <x:v>验证观看中切换清晰度</x:v>
      </x:c>
      <x:c r="H23" s="5" t="str">
        <x:v>清晰度切换</x:v>
      </x:c>
      <x:c r="I23" s="5" t="str">
        <x:v>1. 用户正在观看普通房
2. 当前直播流提供多个可用清晰度档位</x:v>
      </x:c>
      <x:c r="J23" s="5" t="str">
        <x:v>1. 打开清晰度选项
2. 选择另一个可用档位</x:v>
      </x:c>
      <x:c r="K23" s="5" t="str">
        <x:v>直播流使用用户选择的清晰度档位继续播放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LIVE-009。
3. 同步追溯：work/liveshow-user-live-testcases/prototype-context-sync-result.json；RSL-0002</x:v>
      </x:c>
    </x:row>
    <x:row r="24" ht="55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验证直播画面切换为横屏</x:v>
      </x:c>
      <x:c r="H24" s="5" t="str">
        <x:v>横屏切换</x:v>
      </x:c>
      <x:c r="I24" s="5" t="str">
        <x:v>1. 用户正在观看普通房</x:v>
      </x:c>
      <x:c r="J24" s="5" t="str">
        <x:v>1. 将直播画面切换为横屏
2. 再切换回竖屏</x:v>
      </x:c>
      <x:c r="K24" s="5" t="str">
        <x:v>直播画面按横屏模式展示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LIVE-010。
3. 同步追溯：work/liveshow-user-live-testcases/prototype-context-sync-result.json；RSL-0002</x:v>
      </x:c>
    </x:row>
    <x:row r="25" ht="55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验证直播画面恢复为竖屏</x:v>
      </x:c>
      <x:c r="H25" s="5" t="str">
        <x:v>竖屏恢复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返回竖屏后直播画面恢复竖屏模式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同步追溯：work/liveshow-user-live-testcases/prototype-context-sync-result.json；RSL-0002</x:v>
      </x:c>
    </x:row>
    <x:row r="26" ht="55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业务流程</x:v>
      </x:c>
      <x:c r="F26" s="5" t="str">
        <x:v>P1</x:v>
      </x:c>
      <x:c r="G26" s="5" t="str">
        <x:v>验证进入普通房后自动播放</x:v>
      </x:c>
      <x:c r="H26" s="5" t="str">
        <x:v>普通房自动播放</x:v>
      </x:c>
      <x:c r="I26" s="5" t="str">
        <x:v>1. 目标普通房正在直播</x:v>
      </x:c>
      <x:c r="J26" s="5" t="str">
        <x:v>1. 从广场点击目标普通房卡片</x:v>
      </x:c>
      <x:c r="K26" s="5" t="str">
        <x:v>进入直播间后直播画面自动开始播放</x:v>
      </x:c>
      <x:c r="L26" s="5" t="str"/>
      <x:c r="M26" s="5" t="str">
        <x:v>未测</x:v>
      </x:c>
      <x:c r="N26" s="5" t="str"/>
      <x:c r="O26" s="5" t="str">
        <x:v>1. 来源：context/01-用户主播App-项目需求清单.md（2026-08-29 按原型同步，RSL-0002）
2. 同步追溯：work/liveshow-user-live-testcases/prototype-context-sync-result.json；RSL-0002</x:v>
      </x:c>
    </x:row>
    <x:row r="27" ht="79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门票房进房</x:v>
      </x:c>
      <x:c r="E27" s="5" t="str">
        <x:v>业务流程</x:v>
      </x:c>
      <x:c r="F27" s="5" t="str">
        <x:v>P1</x:v>
      </x:c>
      <x:c r="G27" s="5" t="str">
        <x:v>验证门票购买信息展示</x:v>
      </x:c>
      <x:c r="H27" s="5" t="str">
        <x:v>门票购买信息</x:v>
      </x:c>
      <x:c r="I27" s="5" t="str">
        <x:v>1. 门票房灰度开关已开启
2. 目标门票房正在直播
3. 门票价格为 10 金币
4. 用户余额为 20 金币且未购买本场门票</x:v>
      </x:c>
      <x:c r="J27" s="5" t="str">
        <x:v>1. 在直播广场点击目标门票房
2. 核对门票价格
3. 点击“购买”</x:v>
      </x:c>
      <x:c r="K27" s="5" t="str">
        <x:v>购票前展示本场门票价格 10 金币和当前余额</x:v>
      </x:c>
      <x:c r="L27" s="5" t="str"/>
      <x:c r="M27" s="5" t="str">
        <x:v>未测</x:v>
      </x:c>
      <x:c r="N27" s="5" t="str"/>
      <x:c r="O27" s="5" t="str">
        <x:v>1. 来源：context/01-用户主播App-项目需求清单.md
2. 来源：prototype/assets/annotations.js
3. 来源：对应 HTML 静态原型；未动态验证
4. 追溯：业务底稿 LIVE-011。
5. 同步追溯：work/liveshow-user-live-testcases/prototype-context-sync-result.json；RSL-0002</x:v>
      </x:c>
    </x:row>
    <x:row r="28" ht="127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P0</x:v>
      </x:c>
      <x:c r="G28" s="5" t="str">
        <x:v>验证购买门票后进入直播间</x:v>
      </x:c>
      <x:c r="H28" s="5" t="str">
        <x:v>购票成功进房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购买成功后进入目标直播间</x:v>
      </x:c>
      <x:c r="L28" s="5" t="str">
        <x:v>FLOW-LIVE-002</x:v>
      </x:c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同步追溯：work/liveshow-user-live-testcases/prototype-context-sync-result.json；RSL-0002
7. 共同业务对象：同一门票房场次和购票资格
8. 流程阶段：购票成功进房</x:v>
      </x:c>
    </x:row>
    <x:row r="29" ht="127.5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P1</x:v>
      </x:c>
      <x:c r="G29" s="5" t="str">
        <x:v>验证购买门票扣减用户余额</x:v>
      </x:c>
      <x:c r="H29" s="5" t="str">
        <x:v>购票余额扣减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记录购票前余额
2. 购买门票
3. 进入金币钱包查看余额</x:v>
      </x:c>
      <x:c r="K29" s="5" t="str">
        <x:v>用户余额由 20 减为 10 金币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同步追溯：work/liveshow-user-live-testcases/prototype-context-sync-result.json；RSL-0002
7. 共同业务对象：同一门票房场次和购票资格
8. 流程阶段：购票余额扣减</x:v>
      </x:c>
    </x:row>
    <x:row r="30" ht="127.5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验证购买门票生成消费流水</x:v>
      </x:c>
      <x:c r="H30" s="5" t="str">
        <x:v>购票流水记录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购买门票
2. 进入金币消费明细
3. 查看本场门票记录</x:v>
      </x:c>
      <x:c r="K30" s="5" t="str">
        <x:v>消费明细新增一条 10 金币的本场门票记录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同步追溯：work/liveshow-user-live-testcases/prototype-context-sync-result.json；RSL-0002
7. 共同业务对象：同一门票房场次和购票资格
8. 流程阶段：购票流水记录</x:v>
      </x:c>
    </x:row>
    <x:row r="31" ht="67.5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异常用例</x:v>
      </x:c>
      <x:c r="F31" s="5" t="str">
        <x:v>P1</x:v>
      </x:c>
      <x:c r="G31" s="5" t="str">
        <x:v>验证余额不足时不能购买门票</x:v>
      </x:c>
      <x:c r="H31" s="5" t="str">
        <x:v>余额不足购票拦截</x:v>
      </x:c>
      <x:c r="I31" s="5" t="str">
        <x:v>1. 目标门票价格为 10 金币
2. 用户余额为 9 金币
3. 用户未购买本场门票</x:v>
      </x:c>
      <x:c r="J31" s="5" t="str">
        <x:v>1. 点击目标门票房
2. 点击“购买”</x:v>
      </x:c>
      <x:c r="K31" s="5" t="str">
        <x:v>用户不进入目标直播间</x:v>
      </x:c>
      <x:c r="L31" s="5" t="str"/>
      <x:c r="M31" s="5" t="str">
        <x:v>未测</x:v>
      </x:c>
      <x:c r="N31" s="5" t="str"/>
      <x:c r="O31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2" ht="67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验证购票失败后用户余额不变</x:v>
      </x:c>
      <x:c r="H32" s="5" t="str">
        <x:v>购票失败余额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用户金币余额不变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3" ht="67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验证余额不足时提供充值入口</x:v>
      </x:c>
      <x:c r="H33" s="5" t="str">
        <x:v>购票充值入口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页面提供充值入口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同步追溯：work/liveshow-user-live-testcases/prototype-context-sync-result.json；RSL-0002</x:v>
      </x:c>
    </x:row>
    <x:row r="34" ht="103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逻辑校验</x:v>
      </x:c>
      <x:c r="F34" s="5" t="str">
        <x:v>P1</x:v>
      </x:c>
      <x:c r="G34" s="5" t="str">
        <x:v>验证已购票用户再次进入同一场次</x:v>
      </x:c>
      <x:c r="H34" s="5" t="str">
        <x:v>已购票再次进房</x:v>
      </x:c>
      <x:c r="I34" s="5" t="str">
        <x:v>1. 用户已购买目标门票房当前场次门票
2. 当前场次尚未结束且用户未被踢出</x:v>
      </x:c>
      <x:c r="J34" s="5" t="str">
        <x:v>1. 退出直播间
2. 再次点击同一场门票房</x:v>
      </x:c>
      <x:c r="K34" s="5" t="str">
        <x:v>用户可再次进入目标直播间</x:v>
      </x:c>
      <x:c r="L34" s="5" t="str">
        <x:v>FLOW-LIVE-002</x:v>
      </x:c>
      <x:c r="M34" s="5" t="str">
        <x:v>未测</x:v>
      </x:c>
      <x:c r="N34" s="5" t="str"/>
      <x:c r="O34" s="5" t="str">
        <x:v>1. 来源：context/01-用户主播App-项目需求清单.md
2. 追溯：业务底稿 LIVE-013。
3. 流程：阶段 05：观众重复进入同一场次；共同业务对象：LIVE-SESSION-T01、USER-T01。
4. 同步追溯：work/liveshow-user-live-testcases/prototype-context-sync-result.json；RSL-0002
5. 共同业务对象：同一门票房场次和购票资格
6. 流程阶段：已购票再次进房</x:v>
      </x:c>
    </x:row>
    <x:row r="35" ht="55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验证重复进房不重复扣费</x:v>
      </x:c>
      <x:c r="H35" s="5" t="str">
        <x:v>重复进房扣费</x:v>
      </x:c>
      <x:c r="I35" s="5" t="str">
        <x:v>1. 用户已购买目标门票房当前场次门票
2. 当前场次尚未结束且用户未被踢出</x:v>
      </x:c>
      <x:c r="J35" s="5" t="str">
        <x:v>1. 记录当前余额
2. 退出并重新进入同一门票场次
3. 再次查看余额</x:v>
      </x:c>
      <x:c r="K35" s="5" t="str">
        <x:v>再次进入不扣减金币</x:v>
      </x:c>
      <x:c r="L35" s="5" t="str"/>
      <x:c r="M35" s="5" t="str">
        <x:v>未测</x:v>
      </x:c>
      <x:c r="N35" s="5" t="str"/>
      <x:c r="O35" s="5" t="str">
        <x:v>1. 来源：context/01-用户主播App-项目需求清单.md
2. 追溯：业务底稿 LIVE-013。
3. 同步追溯：work/liveshow-user-live-testcases/prototype-context-sync-result.json；RSL-0002</x:v>
      </x:c>
    </x:row>
    <x:row r="36" ht="55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验证重复进房不生成重复流水</x:v>
      </x:c>
      <x:c r="H36" s="5" t="str">
        <x:v>重复进房流水</x:v>
      </x:c>
      <x:c r="I36" s="5" t="str">
        <x:v>1. 用户已购买目标门票房当前场次门票
2. 当前场次尚未结束且用户未被踢出</x:v>
      </x:c>
      <x:c r="J36" s="5" t="str">
        <x:v>1. 记录购票流水数量
2. 退出并重新进入同一门票场次
3. 再次查看消费明细</x:v>
      </x:c>
      <x:c r="K36" s="5" t="str">
        <x:v>消费明细不新增重复门票记录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同步追溯：work/liveshow-user-live-testcases/prototype-context-sync-result.json；RSL-0002</x:v>
      </x:c>
    </x:row>
    <x:row r="37" ht="55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验证直播结束后原门票失效</x:v>
      </x:c>
      <x:c r="H37" s="5" t="str">
        <x:v>场次结束后门票失效</x:v>
      </x:c>
      <x:c r="I37" s="5" t="str">
        <x:v>1. 用户已购买场次 A 的门票
2. 场次 A 已结束
3. 同一主播开启新的门票场次 B</x:v>
      </x:c>
      <x:c r="J37" s="5" t="str">
        <x:v>1. 点击场次 B 的直播卡片</x:v>
      </x:c>
      <x:c r="K37" s="5" t="str">
        <x:v>场次 A 结束后，进入场次 B 需重新购买场次 B 门票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LIVE-014。
3. 同步追溯：work/liveshow-user-live-testcases/prototype-context-sync-result.json；RSL-0002</x:v>
      </x:c>
    </x:row>
    <x:row r="38" ht="115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业务流程</x:v>
      </x:c>
      <x:c r="F38" s="5" t="str">
        <x:v>P1</x:v>
      </x:c>
      <x:c r="G38" s="5" t="str">
        <x:v>验证门票房被踢后的进房限制</x:v>
      </x:c>
      <x:c r="H38" s="5" t="str">
        <x:v>被踢后进房限制</x:v>
      </x:c>
      <x:c r="I38" s="5" t="str">
        <x:v>1. 用户已购买并进入当前门票房
2. 用户金币余额和购票流水已记录</x:v>
      </x:c>
      <x:c r="J38" s="5" t="str">
        <x:v>1. 由主播将该用户踢出直播间
2. 用户再次尝试进入当前场次
3. 查看金币余额和消费明细</x:v>
      </x:c>
      <x:c r="K38" s="5" t="str">
        <x:v>用户被踢出门票房后不得再次进入当前场次</x:v>
      </x:c>
      <x:c r="L38" s="5" t="str">
        <x:v>FLOW-LIVE-002</x:v>
      </x:c>
      <x:c r="M38" s="5" t="str">
        <x:v>未测</x:v>
      </x:c>
      <x:c r="N38" s="5" t="str"/>
      <x:c r="O38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
5. 同步追溯：work/liveshow-user-live-testcases/prototype-context-sync-result.json；RSL-0002
6. 共同业务对象：同一门票房场次和购票资格
7. 流程阶段：被踢后进房限制</x:v>
      </x:c>
    </x:row>
    <x:row r="39" ht="115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验证门票房被踢后不退款</x:v>
      </x:c>
      <x:c r="H39" s="5" t="str">
        <x:v>被踢后门票退款</x:v>
      </x:c>
      <x:c r="I39" s="5" t="str">
        <x:v>1. 用户已购买并进入当前门票房
2. 用户金币余额和购票流水已记录</x:v>
      </x:c>
      <x:c r="J39" s="5" t="str">
        <x:v>1. 记录被踢前余额
2. 由主播踢出用户
3. 查看用户金币余额</x:v>
      </x:c>
      <x:c r="K39" s="5" t="str">
        <x:v>已支付门票不退回金币</x:v>
      </x:c>
      <x:c r="L39" s="5" t="str">
        <x:v>FLOW-LIVE-002</x:v>
      </x:c>
      <x:c r="M39" s="5" t="str">
        <x:v>未测</x:v>
      </x:c>
      <x:c r="N39" s="5" t="str"/>
      <x:c r="O39" s="5" t="str">
        <x:v>1. 来源：context/01-用户主播App-角色与用例.md
2. 来源：context/01-互动场景权限规则.md
3. 追溯：业务底稿 LIVE-015。
4. 流程：阶段 07：核对被踢后余额；共同业务对象：LIVE-SESSION-T01、USER-T01。
5. 同步追溯：work/liveshow-user-live-testcases/prototype-context-sync-result.json；RSL-0002
6. 共同业务对象：同一门票房场次和购票资格
7. 流程阶段：被踢后门票退款</x:v>
      </x:c>
    </x:row>
    <x:row r="40" ht="115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验证门票房被踢后的消费流水</x:v>
      </x:c>
      <x:c r="H40" s="5" t="str">
        <x:v>被踢后门票流水</x:v>
      </x:c>
      <x:c r="I40" s="5" t="str">
        <x:v>1. 用户已购买并进入当前门票房
2. 用户金币余额和购票流水已记录</x:v>
      </x:c>
      <x:c r="J40" s="5" t="str">
        <x:v>1. 由主播踢出用户
2. 进入金币消费明细
3. 查看原门票流水和退款流水</x:v>
      </x:c>
      <x:c r="K40" s="5" t="str">
        <x:v>用户被踢出后，原购票消费明细保留</x:v>
      </x:c>
      <x:c r="L40" s="5" t="str">
        <x:v>FLOW-LIVE-002</x:v>
      </x:c>
      <x:c r="M40" s="5" t="str">
        <x:v>未测</x:v>
      </x:c>
      <x:c r="N40" s="5" t="str"/>
      <x:c r="O40" s="5" t="str">
        <x:v>1. 来源：context/01-用户主播App-角色与用例.md
2. 来源：context/01-互动场景权限规则.md
3. 追溯：业务底稿 LIVE-015。
4. 流程：阶段 08：核对被踢后流水；共同业务对象：LIVE-SESSION-T01、USER-T01。
5. 同步追溯：work/liveshow-user-live-testcases/prototype-context-sync-result.json；RSL-0002
6. 共同业务对象：同一门票房场次和购票资格
7. 流程阶段：被踢后门票流水</x:v>
      </x:c>
    </x:row>
    <x:row r="41" ht="103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功能需求</x:v>
      </x:c>
      <x:c r="F41" s="5" t="str">
        <x:v>P2</x:v>
      </x:c>
      <x:c r="G41" s="5" t="str">
        <x:v>验证购买门票成功反馈</x:v>
      </x:c>
      <x:c r="H41" s="5" t="str">
        <x:v>购票成功反馈</x:v>
      </x:c>
      <x:c r="I41" s="5" t="str">
        <x:v>1. 用户未购买当前场次门票
2. 门票价格为 10 金币
3. 用户金币余额不少于 10</x:v>
      </x:c>
      <x:c r="J41" s="5" t="str">
        <x:v>1. 进入目标门票房
2. 确认购买门票</x:v>
      </x:c>
      <x:c r="K41" s="5" t="str">
        <x:v>页面提示“购买门票成功”</x:v>
      </x:c>
      <x:c r="L41" s="5" t="str">
        <x:v>FLOW-LIVE-002</x:v>
      </x:c>
      <x:c r="M41" s="5" t="str">
        <x:v>未测</x:v>
      </x:c>
      <x:c r="N41" s="5" t="str"/>
      <x:c r="O41" s="5" t="str">
        <x:v>1. 来源：prototype/pages/user/live/live-room.html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共同业务对象：同一门票房场次和购票资格
6. 流程阶段：购票成功反馈</x:v>
      </x:c>
    </x:row>
    <x:row r="42" ht="55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P1</x:v>
      </x:c>
      <x:c r="G42" s="5" t="str">
        <x:v>验证点击门票房打开购票面板</x:v>
      </x:c>
      <x:c r="H42" s="5" t="str">
        <x:v>购买门票面板</x:v>
      </x:c>
      <x:c r="I42" s="5" t="str">
        <x:v>1. 广场存在 Maya 的门票房</x:v>
      </x:c>
      <x:c r="J42" s="5" t="str">
        <x:v>1. 点击 Maya 的门票房卡片</x:v>
      </x:c>
      <x:c r="K42" s="5" t="str">
        <x:v>页面底部打开“购买门票”面板</x:v>
      </x:c>
      <x:c r="L42" s="5" t="str"/>
      <x:c r="M42" s="5" t="str">
        <x:v>未测</x:v>
      </x:c>
      <x:c r="N42" s="5" t="str"/>
      <x:c r="O42" s="5" t="str">
        <x:v>1. 来源：prototype/pages/user/home/live-plaza.html 与当页交互脚本；未动态验证
2. 同步追溯：work/liveshow-user-live-testcases/prototype-context-sync-result.json；RSL-0002</x:v>
      </x:c>
    </x:row>
    <x:row r="43" ht="55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验证购票面板显示房间与价格</x:v>
      </x:c>
      <x:c r="H43" s="5" t="str">
        <x:v>购票房间与价格</x:v>
      </x:c>
      <x:c r="I43" s="5" t="str">
        <x:v>1. Maya 的购票面板已打开</x:v>
      </x:c>
      <x:c r="J43" s="5" t="str">
        <x:v>1. 查看门票商品信息</x:v>
      </x:c>
      <x:c r="K43" s="5" t="str">
        <x:v>面板展示“Maya 的专场”、“入场门票 × 1”和对应金币价格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同步追溯：work/liveshow-user-live-testcases/prototype-context-sync-result.json；RSL-0002</x:v>
      </x:c>
    </x:row>
    <x:row r="44" ht="55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P2</x:v>
      </x:c>
      <x:c r="G44" s="5" t="str">
        <x:v>验证购票面板的充值入口</x:v>
      </x:c>
      <x:c r="H44" s="5" t="str">
        <x:v>购票充值入口</x:v>
      </x:c>
      <x:c r="I44" s="5" t="str">
        <x:v>1. 购票面板已打开</x:v>
      </x:c>
      <x:c r="J44" s="5" t="str">
        <x:v>1. 点击金币余额旁的充值按钮</x:v>
      </x:c>
      <x:c r="K44" s="5" t="str">
        <x:v>页面提示“打开充值”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同步追溯：work/liveshow-user-live-testcases/prototype-context-sync-result.json；RSL-0002</x:v>
      </x:c>
    </x:row>
    <x:row r="45" ht="55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验证关闭购票面板不进入房间</x:v>
      </x:c>
      <x:c r="H45" s="5" t="str">
        <x:v>取消购票</x:v>
      </x:c>
      <x:c r="I45" s="5" t="str">
        <x:v>1. 购票面板已打开</x:v>
      </x:c>
      <x:c r="J45" s="5" t="str">
        <x:v>1. 点击关闭按钮</x:v>
      </x:c>
      <x:c r="K45" s="5" t="str">
        <x:v>购票面板关闭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同步追溯：work/liveshow-user-live-testcases/prototype-context-sync-result.json；RSL-0002</x:v>
      </x:c>
    </x:row>
    <x:row r="46" ht="55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验证取消购票后不进入直播间</x:v>
      </x:c>
      <x:c r="H46" s="5" t="str">
        <x:v>取消购票进房结果</x:v>
      </x:c>
      <x:c r="I46" s="5" t="str">
        <x:v>1. 购票面板已打开</x:v>
      </x:c>
      <x:c r="J46" s="5" t="str">
        <x:v>1. 点击关闭按钮</x:v>
      </x:c>
      <x:c r="K46" s="5" t="str">
        <x:v>用户不进入目标门票房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同步追溯：work/liveshow-user-live-testcases/prototype-context-sync-result.json；RSL-0002</x:v>
      </x:c>
    </x:row>
    <x:row r="47" ht="127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密码房进房</x:v>
      </x:c>
      <x:c r="E47" s="5" t="str">
        <x:v>业务流程</x:v>
      </x:c>
      <x:c r="F47" s="5" t="str">
        <x:v>P0</x:v>
      </x:c>
      <x:c r="G47" s="5" t="str">
        <x:v>验证用户输入有效密码进入密码房</x:v>
      </x:c>
      <x:c r="H47" s="5" t="str">
        <x:v>有效密码进房</x:v>
      </x:c>
      <x:c r="I47" s="5" t="str">
        <x:v>1. 密码房灰度开关已开启
2. 目标密码房正在直播
3. 用户已获得当前房间密码</x:v>
      </x:c>
      <x:c r="J47" s="5" t="str">
        <x:v>1. 点击目标密码房入口
2. 输入当前房间密码
3. 点击“进入直播间”</x:v>
      </x:c>
      <x:c r="K47" s="5" t="str">
        <x:v>当前密码验证通过后进入目标密码房</x:v>
      </x:c>
      <x:c r="L47" s="5" t="str">
        <x:v>FLOW-LIVE-003</x:v>
      </x:c>
      <x:c r="M47" s="5" t="str">
        <x:v>未测</x:v>
      </x:c>
      <x:c r="N47" s="5" t="str"/>
      <x:c r="O47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同步追溯：work/liveshow-user-live-testcases/prototype-context-sync-result.json；RSL-0002
7. 共同业务对象：同一密码房场次
8. 流程阶段：有效密码进房</x:v>
      </x:c>
    </x:row>
    <x:row r="48" ht="67.5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异常用例</x:v>
      </x:c>
      <x:c r="F48" s="5" t="str">
        <x:v>P1</x:v>
      </x:c>
      <x:c r="G48" s="5" t="str">
        <x:v>验证错误密码无法进入直播间</x:v>
      </x:c>
      <x:c r="H48" s="5" t="str">
        <x:v>错误密码进房拦截</x:v>
      </x:c>
      <x:c r="I48" s="5" t="str">
        <x:v>1. 目标密码房正在直播</x:v>
      </x:c>
      <x:c r="J48" s="5" t="str">
        <x:v>1. 点击目标密码房入口
2. 输入与当前密码不一致的内容
3. 点击“进入直播间”</x:v>
      </x:c>
      <x:c r="K48" s="5" t="str">
        <x:v>页面不进入直播间</x:v>
      </x:c>
      <x:c r="L48" s="5" t="str"/>
      <x:c r="M48" s="5" t="str">
        <x:v>未测</x:v>
      </x:c>
      <x:c r="N48" s="5" t="str"/>
      <x:c r="O48" s="5" t="str">
        <x:v>1. 来源：context/01-用户主播App-项目需求清单.md
2. 来源：对应 HTML 静态原型；未动态验证
3. 追溯：业务底稿 LIVE-017。
4. 同步追溯：work/liveshow-user-live-testcases/prototype-context-sync-result.json；RSL-0002</x:v>
      </x:c>
    </x:row>
    <x:row r="49" ht="67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验证错误密码校验提示</x:v>
      </x:c>
      <x:c r="H49" s="5" t="str">
        <x:v>错误密码提示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密码输入区域显示“密码错误，请重新输入”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同步追溯：work/liveshow-user-live-testcases/prototype-context-sync-result.json；RSL-0002</x:v>
      </x:c>
    </x:row>
    <x:row r="50" ht="67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功能需求</x:v>
      </x:c>
      <x:c r="F50" s="5" t="str">
        <x:v>P2</x:v>
      </x:c>
      <x:c r="G50" s="5" t="str">
        <x:v>验证关闭密码输入后取消进房</x:v>
      </x:c>
      <x:c r="H50" s="5" t="str">
        <x:v>取消密码输入</x:v>
      </x:c>
      <x:c r="I50" s="5" t="str">
        <x:v>1. 密码输入面板已打开</x:v>
      </x:c>
      <x:c r="J50" s="5" t="str">
        <x:v>1. 填写任意密码
2. 点击关闭按钮</x:v>
      </x:c>
      <x:c r="K50" s="5" t="str">
        <x:v>密码输入面板关闭</x:v>
      </x:c>
      <x:c r="L50" s="5" t="str"/>
      <x:c r="M50" s="5" t="str">
        <x:v>未测</x:v>
      </x:c>
      <x:c r="N50" s="5" t="str"/>
      <x:c r="O50" s="5" t="str">
        <x:v>1. 来源：prototype/Luma Live-原型说明.md
2. 来源：对应 HTML 静态原型；未动态验证
3. 追溯：业务底稿 LIVE-018。
4. 同步追溯：work/liveshow-user-live-testcases/prototype-context-sync-result.json；RSL-0002</x:v>
      </x:c>
    </x:row>
    <x:row r="51" ht="115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逻辑校验</x:v>
      </x:c>
      <x:c r="F51" s="5" t="str">
        <x:v>P1</x:v>
      </x:c>
      <x:c r="G51" s="5" t="str">
        <x:v>验证重置密码后旧密码失效</x:v>
      </x:c>
      <x:c r="H51" s="5" t="str">
        <x:v>旧密码失效</x:v>
      </x:c>
      <x:c r="I51" s="5" t="str">
        <x:v>1. 目标密码房正在直播
2. 主播已将房间密码从旧值重置为新值</x:v>
      </x:c>
      <x:c r="J51" s="5" t="str">
        <x:v>1. 使用旧密码尝试进入</x:v>
      </x:c>
      <x:c r="K51" s="5" t="str">
        <x:v>修改密码后，旧密码验证失败</x:v>
      </x:c>
      <x:c r="L51" s="5" t="str">
        <x:v>FLOW-LIVE-003</x:v>
      </x:c>
      <x:c r="M51" s="5" t="str">
        <x:v>未测</x:v>
      </x:c>
      <x:c r="N51" s="5" t="str"/>
      <x:c r="O51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
5. 同步追溯：work/liveshow-user-live-testcases/prototype-context-sync-result.json；RSL-0002
6. 共同业务对象：同一密码房场次
7. 流程阶段：旧密码失效</x:v>
      </x:c>
    </x:row>
    <x:row r="52" ht="115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验证重置密码后新密码生效</x:v>
      </x:c>
      <x:c r="H52" s="5" t="str">
        <x:v>新密码生效</x:v>
      </x:c>
      <x:c r="I52" s="5" t="str">
        <x:v>1. 目标密码房正在直播
2. 主播已将房间密码从旧值重置为新值</x:v>
      </x:c>
      <x:c r="J52" s="5" t="str">
        <x:v>1. 使用新密码尝试进入</x:v>
      </x:c>
      <x:c r="K52" s="5" t="str">
        <x:v>修改密码后，新密码验证通过</x:v>
      </x:c>
      <x:c r="L52" s="5" t="str">
        <x:v>FLOW-LIVE-003</x:v>
      </x:c>
      <x:c r="M52" s="5" t="str">
        <x:v>未测</x:v>
      </x:c>
      <x:c r="N52" s="5" t="str"/>
      <x:c r="O52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
5. 同步追溯：work/liveshow-user-live-testcases/prototype-context-sync-result.json；RSL-0002
6. 共同业务对象：同一密码房场次
7. 流程阶段：新密码生效</x:v>
      </x:c>
    </x:row>
    <x:row r="53" ht="67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验证隐藏展示入口不绕过密码校验</x:v>
      </x:c>
      <x:c r="H53" s="5" t="str">
        <x:v>隐藏房间仍校验密码</x:v>
      </x:c>
      <x:c r="I53" s="5" t="str">
        <x:v>1. 主播关闭密码房的广场展示
2. 用户通过已知房间号或授权入口找到该房间</x:v>
      </x:c>
      <x:c r="J53" s="5" t="str">
        <x:v>1. 点击目标密码房入口</x:v>
      </x:c>
      <x:c r="K53" s="5" t="str">
        <x:v>从已知可见入口打开隐藏密码房时仍需验证房间密码</x:v>
      </x:c>
      <x:c r="L53" s="5" t="str"/>
      <x:c r="M53" s="5" t="str">
        <x:v>未测</x:v>
      </x:c>
      <x:c r="N53" s="5" t="str"/>
      <x:c r="O53" s="5" t="str">
        <x:v>1. 来源：context/01-用户主播App-角色与用例.md
2. 来源：prototype/assets/annotations.js
3. 追溯：业务底稿 LIVE-020。
4. 同步追溯：work/liveshow-user-live-testcases/prototype-context-sync-result.json；RSL-0002</x:v>
      </x:c>
    </x:row>
    <x:row r="54" ht="5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功能需求</x:v>
      </x:c>
      <x:c r="F54" s="5" t="str">
        <x:v>P1</x:v>
      </x:c>
      <x:c r="G54" s="5" t="str">
        <x:v>验证点击密码房打开密码面板</x:v>
      </x:c>
      <x:c r="H54" s="5" t="str">
        <x:v>密码输入面板</x:v>
      </x:c>
      <x:c r="I54" s="5" t="str">
        <x:v>1. 广场存在可见密码房</x:v>
      </x:c>
      <x:c r="J54" s="5" t="str">
        <x:v>1. 点击目标密码房卡片</x:v>
      </x:c>
      <x:c r="K54" s="5" t="str">
        <x:v>页面打开“输入房间密码”面板</x:v>
      </x:c>
      <x:c r="L54" s="5" t="str"/>
      <x:c r="M54" s="5" t="str">
        <x:v>未测</x:v>
      </x:c>
      <x:c r="N54" s="5" t="str"/>
      <x:c r="O54" s="5" t="str">
        <x:v>1. 来源：prototype/pages/user/home/live-plaza.html 与当页交互脚本；未动态验证
2. 同步追溯：work/liveshow-user-live-testcases/prototype-context-sync-result.json；RSL-0002</x:v>
      </x:c>
    </x:row>
    <x:row r="55" ht="55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P2</x:v>
      </x:c>
      <x:c r="G55" s="5" t="str">
        <x:v>验证密码面板显示目标房间</x:v>
      </x:c>
      <x:c r="H55" s="5" t="str">
        <x:v>密码面板房间信息</x:v>
      </x:c>
      <x:c r="I55" s="5" t="str">
        <x:v>1. Dewi 的密码面板已打开</x:v>
      </x:c>
      <x:c r="J55" s="5" t="str">
        <x:v>1. 查看密码面板房间信息</x:v>
      </x:c>
      <x:c r="K55" s="5" t="str">
        <x:v>密码面板展示 Dewi 的昵称和直播标题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同步追溯：work/liveshow-user-live-testcases/prototype-context-sync-result.json；RSL-0002</x:v>
      </x:c>
    </x:row>
    <x:row r="56" ht="55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逻辑校验</x:v>
      </x:c>
      <x:c r="F56" s="5" t="str">
        <x:v>P1</x:v>
      </x:c>
      <x:c r="G56" s="5" t="str">
        <x:v>验证空密码时进房按钮不可用</x:v>
      </x:c>
      <x:c r="H56" s="5" t="str">
        <x:v>空密码按钮状态</x:v>
      </x:c>
      <x:c r="I56" s="5" t="str">
        <x:v>1. 密码面板已打开</x:v>
      </x:c>
      <x:c r="J56" s="5" t="str">
        <x:v>1. 保持密码输入框为空
2. 查看“进入直播间”按钮</x:v>
      </x:c>
      <x:c r="K56" s="5" t="str">
        <x:v>“进入直播间”按钮保持不可用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同步追溯：work/liveshow-user-live-testcases/prototype-context-sync-result.json；RSL-0002</x:v>
      </x:c>
    </x:row>
    <x:row r="57" ht="79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验证进房密码输入上限</x:v>
      </x:c>
      <x:c r="H57" s="5" t="str">
        <x:v>进房密码 8 位上限</x:v>
      </x:c>
      <x:c r="I57" s="5" t="str">
        <x:v>1. 密码面板已打开</x:v>
      </x:c>
      <x:c r="J57" s="5" t="str">
        <x:v>1. 在密码输入框输入超过 8 位的内容</x:v>
      </x:c>
      <x:c r="K57" s="5" t="str">
        <x:v>密码输入框最多保留 8 位内容</x:v>
      </x:c>
      <x:c r="L57" s="5" t="str"/>
      <x:c r="M57" s="5" t="str">
        <x:v>未测</x:v>
      </x:c>
      <x:c r="N57" s="5" t="str"/>
      <x:c r="O5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同步追溯：work/liveshow-user-live-testcases/prototype-context-sync-result.json；RSL-0002</x:v>
      </x:c>
    </x:row>
    <x:row r="58" ht="67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观众互动</x:v>
      </x:c>
      <x:c r="E58" s="5" t="str">
        <x:v>功能需求</x:v>
      </x:c>
      <x:c r="F58" s="5" t="str">
        <x:v>P1</x:v>
      </x:c>
      <x:c r="G58" s="5" t="str">
        <x:v>验证观众关注直播中的主播</x:v>
      </x:c>
      <x:c r="H58" s="5" t="str">
        <x:v>直播间关注主播</x:v>
      </x:c>
      <x:c r="I58" s="5" t="str">
        <x:v>1. 用户正在观看直播
2. 用户尚未关注当前主播</x:v>
      </x:c>
      <x:c r="J58" s="5" t="str">
        <x:v>1. 点击主播信息区域的关注按钮</x:v>
      </x:c>
      <x:c r="K58" s="5" t="str">
        <x:v>当前用户与主播建立关注关系</x:v>
      </x:c>
      <x:c r="L58" s="5" t="str"/>
      <x:c r="M58" s="5" t="str">
        <x:v>未测</x:v>
      </x:c>
      <x:c r="N58" s="5" t="str"/>
      <x:c r="O58" s="5" t="str">
        <x:v>1. 来源：context/01-用户主播App-项目需求清单.md
2. 来源：对应 HTML 静态原型；未动态验证
3. 追溯：业务底稿 LIVE-021。
4. 同步追溯：work/liveshow-user-live-testcases/prototype-context-sync-result.json；RSL-0002</x:v>
      </x:c>
    </x:row>
    <x:row r="59" ht="6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观众互动</x:v>
      </x:c>
      <x:c r="E59" s="5" t="str">
        <x:v>业务流程</x:v>
      </x:c>
      <x:c r="F59" s="5" t="str">
        <x:v>P1</x:v>
      </x:c>
      <x:c r="G59" s="5" t="str">
        <x:v>验证公屏文字消息展示</x:v>
      </x:c>
      <x:c r="H59" s="5" t="str">
        <x:v>公屏文字展示</x:v>
      </x:c>
      <x:c r="I59" s="5" t="str">
        <x:v>1. 用户已进入直播间
2. 用户未被禁言或平台封禁</x:v>
      </x:c>
      <x:c r="J59" s="5" t="str">
        <x:v>1. 在评论框输入“今晚的歌很好听”
2. 点击“发送”</x:v>
      </x:c>
      <x:c r="K59" s="5" t="str">
        <x:v>公屏新增当前用户发送的文字消息</x:v>
      </x:c>
      <x:c r="L59" s="5" t="str"/>
      <x:c r="M59" s="5" t="str">
        <x:v>未测</x:v>
      </x:c>
      <x:c r="N59" s="5" t="str"/>
      <x:c r="O59" s="5" t="str">
        <x:v>1. 来源：context/01-用户主播App-项目需求清单.md
2. 来源：对应 HTML 静态原型；未动态验证
3. 追溯：业务底稿 LIVE-022。
4. 同步追溯：work/liveshow-user-live-testcases/prototype-context-sync-result.json；RSL-0002</x:v>
      </x:c>
    </x:row>
    <x:row r="60" ht="67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业务流程</x:v>
      </x:c>
      <x:c r="F60" s="5" t="str">
        <x:v>P1</x:v>
      </x:c>
      <x:c r="G60" s="5" t="str">
        <x:v>验证消息发送后的输入区状态</x:v>
      </x:c>
      <x:c r="H60" s="5" t="str">
        <x:v>发送后输入区复位</x:v>
      </x:c>
      <x:c r="I60" s="5" t="str">
        <x:v>1. 用户已进入直播间
2. 用户未被禁言或平台封禁</x:v>
      </x:c>
      <x:c r="J60" s="5" t="str">
        <x:v>1. 在评论框输入“今晚的歌很好听”
2. 点击“发送”</x:v>
      </x:c>
      <x:c r="K60" s="5" t="str">
        <x:v>公屏消息发送成功后输入框清空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LIVE-022。
4. 同步追溯：work/liveshow-user-live-testcases/prototype-context-sync-result.json；RSL-0002</x:v>
      </x:c>
    </x:row>
    <x:row r="61" ht="5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逻辑校验</x:v>
      </x:c>
      <x:c r="F61" s="5" t="str">
        <x:v>P2</x:v>
      </x:c>
      <x:c r="G61" s="5" t="str">
        <x:v>验证空白评论不能发送</x:v>
      </x:c>
      <x:c r="H61" s="5" t="str">
        <x:v>空白评论拦截</x:v>
      </x:c>
      <x:c r="I61" s="5" t="str">
        <x:v>1. 用户已进入直播间且可发言</x:v>
      </x:c>
      <x:c r="J61" s="5" t="str">
        <x:v>1. 在评论框输入空格
2. 观察发送按钮
3. 尝试提交</x:v>
      </x:c>
      <x:c r="K61" s="5" t="str">
        <x:v>输入空白内容时公屏不新增消息</x:v>
      </x:c>
      <x:c r="L61" s="5" t="str"/>
      <x:c r="M61" s="5" t="str">
        <x:v>未测</x:v>
      </x:c>
      <x:c r="N61" s="5" t="str"/>
      <x:c r="O61" s="5" t="str">
        <x:v>1. 来源：对应 HTML 静态原型；未动态验证
2. 追溯：业务底稿 LIVE-023。
3. 同步追溯：work/liveshow-user-live-testcases/prototype-context-sync-result.json；RSL-0002</x:v>
      </x:c>
    </x:row>
    <x:row r="62" ht="5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逻辑校验</x:v>
      </x:c>
      <x:c r="F62" s="5" t="str">
        <x:v>P2</x:v>
      </x:c>
      <x:c r="G62" s="5" t="str">
        <x:v>验证 80 字评论可以发送</x:v>
      </x:c>
      <x:c r="H62" s="5" t="str">
        <x:v>评论 80 字边界</x:v>
      </x:c>
      <x:c r="I62" s="5" t="str">
        <x:v>1. 用户已进入直播间且可发言</x:v>
      </x:c>
      <x:c r="J62" s="5" t="str">
        <x:v>1. 输入 80 个字符
2. 点击“发送”</x:v>
      </x:c>
      <x:c r="K62" s="5" t="str">
        <x:v>公屏完整展示本次提交的 80 个字符</x:v>
      </x:c>
      <x:c r="L62" s="5" t="str"/>
      <x:c r="M62" s="5" t="str">
        <x:v>未测</x:v>
      </x:c>
      <x:c r="N62" s="5" t="str"/>
      <x:c r="O62" s="5" t="str">
        <x:v>1. 来源：对应 HTML 静态原型；未动态验证
2. 追溯：业务底稿 LIVE-024。
3. 同步追溯：work/liveshow-user-live-testcases/prototype-context-sync-result.json；RSL-0002</x:v>
      </x:c>
    </x:row>
    <x:row r="63" ht="55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验证评论输入长度上限</x:v>
      </x:c>
      <x:c r="H63" s="5" t="str">
        <x:v>评论超长限制</x:v>
      </x:c>
      <x:c r="I63" s="5" t="str">
        <x:v>1. 用户已进入直播间且可发言</x:v>
      </x:c>
      <x:c r="J63" s="5" t="str">
        <x:v>1. 输入超过 80 个字符的内容</x:v>
      </x:c>
      <x:c r="K63" s="5" t="str">
        <x:v>输入框最多保留 80 个字符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LIVE-024。
3. 同步追溯：work/liveshow-user-live-testcases/prototype-context-sync-result.json；RSL-0002</x:v>
      </x:c>
    </x:row>
    <x:row r="64" ht="67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P1</x:v>
      </x:c>
      <x:c r="G64" s="5" t="str">
        <x:v>验证禁言用户无法发送评论</x:v>
      </x:c>
      <x:c r="H64" s="5" t="str">
        <x:v>禁言发送限制</x:v>
      </x:c>
      <x:c r="I64" s="5" t="str">
        <x:v>1. 用户已被主播或房管设置为当前场次禁言</x:v>
      </x:c>
      <x:c r="J64" s="5" t="str">
        <x:v>1. 查看评论输入区域
2. 尝试点击并输入内容</x:v>
      </x:c>
      <x:c r="K64" s="5" t="str">
        <x:v>评论输入区域显示“已被禁言”</x:v>
      </x:c>
      <x:c r="L64" s="5" t="str"/>
      <x:c r="M64" s="5" t="str">
        <x:v>未测</x:v>
      </x:c>
      <x:c r="N64" s="5" t="str"/>
      <x:c r="O64" s="5" t="str">
        <x:v>1. 来源：context/01-互动场景权限规则.md
2. 来源：prototype/assets/annotations.js
3. 追溯：业务底稿 LIVE-025。
4. 同步追溯：work/liveshow-user-live-testcases/prototype-context-sync-result.json；RSL-0002</x:v>
      </x:c>
    </x:row>
    <x:row r="65" ht="67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P1</x:v>
      </x:c>
      <x:c r="G65" s="5" t="str">
        <x:v>验证禁言不删除历史消息</x:v>
      </x:c>
      <x:c r="H65" s="5" t="str">
        <x:v>禁言历史消息</x:v>
      </x:c>
      <x:c r="I65" s="5" t="str">
        <x:v>1. 用户已被主播或房管设置为当前场次禁言</x:v>
      </x:c>
      <x:c r="J65" s="5" t="str">
        <x:v>1. 查看评论输入区域
2. 尝试点击并输入内容</x:v>
      </x:c>
      <x:c r="K65" s="5" t="str">
        <x:v>用户已发送的历史消息仍保留</x:v>
      </x:c>
      <x:c r="L65" s="5" t="str"/>
      <x:c r="M65" s="5" t="str">
        <x:v>未测</x:v>
      </x:c>
      <x:c r="N65" s="5" t="str"/>
      <x:c r="O65" s="5" t="str">
        <x:v>1. 来源：context/01-互动场景权限规则.md
2. 来源：prototype/assets/annotations.js
3. 追溯：业务底稿 LIVE-025。
4. 同步追溯：work/liveshow-user-live-testcases/prototype-context-sync-result.json；RSL-0002</x:v>
      </x:c>
    </x:row>
    <x:row r="66" ht="67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功能需求</x:v>
      </x:c>
      <x:c r="F66" s="5" t="str">
        <x:v>P2</x:v>
      </x:c>
      <x:c r="G66" s="5" t="str">
        <x:v>验证从直播间进入主播主页</x:v>
      </x:c>
      <x:c r="H66" s="5" t="str">
        <x:v>主播主页入口</x:v>
      </x:c>
      <x:c r="I66" s="5" t="str">
        <x:v>1. 用户正在观看直播</x:v>
      </x:c>
      <x:c r="J66" s="5" t="str">
        <x:v>1. 点击直播间顶部主播头像或昵称</x:v>
      </x:c>
      <x:c r="K66" s="5" t="str">
        <x:v>页面进入当前直播间主播的主页</x:v>
      </x:c>
      <x:c r="L66" s="5" t="str"/>
      <x:c r="M66" s="5" t="str">
        <x:v>未测</x:v>
      </x:c>
      <x:c r="N66" s="5" t="str"/>
      <x:c r="O66" s="5" t="str">
        <x:v>1. 来源：context/01-用户主播App-项目需求清单.md
2. 来源：prototype/Luma Live-原型说明.md
3. 追溯：业务底稿 LIVE-026。
4. 同步追溯：work/liveshow-user-live-testcases/prototype-context-sync-result.json；RSL-0002</x:v>
      </x:c>
    </x:row>
    <x:row r="67" ht="67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功能需求</x:v>
      </x:c>
      <x:c r="F67" s="5" t="str">
        <x:v>P2</x:v>
      </x:c>
      <x:c r="G67" s="5" t="str">
        <x:v>验证查看当前在线观众列表</x:v>
      </x:c>
      <x:c r="H67" s="5" t="str">
        <x:v>在线观众列表</x:v>
      </x:c>
      <x:c r="I67" s="5" t="str">
        <x:v>1. 直播间内存在多名在线观众</x:v>
      </x:c>
      <x:c r="J67" s="5" t="str">
        <x:v>1. 点击直播间在线人数或头像入口</x:v>
      </x:c>
      <x:c r="K67" s="5" t="str">
        <x:v>页面打开当前直播场次的在线观众列表</x:v>
      </x:c>
      <x:c r="L67" s="5" t="str"/>
      <x:c r="M67" s="5" t="str">
        <x:v>未测</x:v>
      </x:c>
      <x:c r="N67" s="5" t="str"/>
      <x:c r="O67" s="5" t="str">
        <x:v>1. 来源：context/01-用户主播App-项目需求清单.md
2. 来源：prototype/assets/annotations.js
3. 追溯：业务底稿 LIVE-027。
4. 同步追溯：work/liveshow-user-live-testcases/prototype-context-sync-result.json；RSL-0002</x:v>
      </x:c>
    </x:row>
    <x:row r="68" ht="67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验证查看本场贡献榜</x:v>
      </x:c>
      <x:c r="H68" s="5" t="str">
        <x:v>本场贡献榜</x:v>
      </x:c>
      <x:c r="I68" s="5" t="str">
        <x:v>1. 当前场次已有用户送礼或购票贡献记录</x:v>
      </x:c>
      <x:c r="J68" s="5" t="str">
        <x:v>1. 点击“本场贡献榜”入口</x:v>
      </x:c>
      <x:c r="K68" s="5" t="str">
        <x:v>贡献榜仅展示当前直播场次的用户贡献数据和对应数值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来源：prototype/assets/annotations.js
3. 追溯：业务底稿 LIVE-028。
4. 同步追溯：work/liveshow-user-live-testcases/prototype-context-sync-result.json；RSL-0002</x:v>
      </x:c>
    </x:row>
    <x:row r="69" ht="67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验证观众主动退出后返回直播广场</x:v>
      </x:c>
      <x:c r="H69" s="5" t="str">
        <x:v>观众退出返回</x:v>
      </x:c>
      <x:c r="I69" s="5" t="str">
        <x:v>1. 用户正在观看直播</x:v>
      </x:c>
      <x:c r="J69" s="5" t="str">
        <x:v>1. 点击直播间退出按钮</x:v>
      </x:c>
      <x:c r="K69" s="5" t="str">
        <x:v>页面离开当前直播间并返回直播广场</x:v>
      </x:c>
      <x:c r="L69" s="5" t="str"/>
      <x:c r="M69" s="5" t="str">
        <x:v>未测</x:v>
      </x:c>
      <x:c r="N69" s="5" t="str"/>
      <x:c r="O69" s="5" t="str">
        <x:v>1. 来源：prototype/Luma Live-原型说明.md
2. 来源：对应 HTML 静态原型；未动态验证
3. 追溯：业务底稿 LIVE-029。
4. 同步追溯：work/liveshow-user-live-testcases/prototype-context-sync-result.json；RSL-0002</x:v>
      </x:c>
    </x:row>
    <x:row r="70" ht="67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验证观众退出不结束直播场次</x:v>
      </x:c>
      <x:c r="H70" s="5" t="str">
        <x:v>观众退出场次状态</x:v>
      </x:c>
      <x:c r="I70" s="5" t="str">
        <x:v>1. 用户正在观看直播</x:v>
      </x:c>
      <x:c r="J70" s="5" t="str">
        <x:v>1. 点击直播间退出按钮</x:v>
      </x:c>
      <x:c r="K70" s="5" t="str">
        <x:v>主播直播场次保持进行中</x:v>
      </x:c>
      <x:c r="L70" s="5" t="str"/>
      <x:c r="M70" s="5" t="str">
        <x:v>未测</x:v>
      </x:c>
      <x:c r="N70" s="5" t="str"/>
      <x:c r="O70" s="5" t="str">
        <x:v>1. 来源：prototype/Luma Live-原型说明.md
2. 来源：对应 HTML 静态原型；未动态验证
3. 追溯：业务底稿 LIVE-029。
4. 同步追溯：work/liveshow-user-live-testcases/prototype-context-sync-result.json；RSL-0002</x:v>
      </x:c>
    </x:row>
    <x:row r="71" ht="55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验证关注主播后的页面提示</x:v>
      </x:c>
      <x:c r="H71" s="5" t="str">
        <x:v>关注主播提示</x:v>
      </x:c>
      <x:c r="I71" s="5" t="str">
        <x:v>1. 用户正在观看 Sari 的直播
2. 用户未关注 Sari</x:v>
      </x:c>
      <x:c r="J71" s="5" t="str">
        <x:v>1. 点击主播信息区域的关注按钮</x:v>
      </x:c>
      <x:c r="K71" s="5" t="str">
        <x:v>页面提示“已关注 Sari”</x:v>
      </x:c>
      <x:c r="L71" s="5" t="str"/>
      <x:c r="M71" s="5" t="str">
        <x:v>未测</x:v>
      </x:c>
      <x:c r="N71" s="5" t="str"/>
      <x:c r="O71" s="5" t="str">
        <x:v>1. 来源：prototype/pages/user/live/live-room.html 与 prototype/assets/common.js；未动态验证
2. 同步追溯：work/liveshow-user-live-testcases/prototype-context-sync-result.json；RSL-0002</x:v>
      </x:c>
    </x:row>
    <x:row r="72" ht="55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P1</x:v>
      </x:c>
      <x:c r="G72" s="5" t="str">
        <x:v>验证观众更多功能不提供清屏</x:v>
      </x:c>
      <x:c r="H72" s="5" t="str">
        <x:v>观众端清屏入口移除</x:v>
      </x:c>
      <x:c r="I72" s="5" t="str">
        <x:v>1. 用户以观众身份进入直播间</x:v>
      </x:c>
      <x:c r="J72" s="5" t="str">
        <x:v>1. 点击“…”打开更多功能
2. 查看功能入口</x:v>
      </x:c>
      <x:c r="K72" s="5" t="str">
        <x:v>观众端更多功能中不展示清屏入口</x:v>
      </x:c>
      <x:c r="L72" s="5" t="str"/>
      <x:c r="M72" s="5" t="str">
        <x:v>未测</x:v>
      </x:c>
      <x:c r="N72" s="5" t="str"/>
      <x:c r="O72" s="5" t="str">
        <x:v>1. 来源：prototype/pages/user/live/live-room.html 与 prototype/assets/common.js；未动态验证
2. 同步追溯：work/liveshow-user-live-testcases/prototype-context-sync-result.json；RSL-0002</x:v>
      </x:c>
    </x:row>
    <x:row r="73" ht="55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验证观众打开直播转发</x:v>
      </x:c>
      <x:c r="H73" s="5" t="str">
        <x:v>直播转发入口</x:v>
      </x:c>
      <x:c r="I73" s="5" t="str">
        <x:v>1. 用户正在观看直播</x:v>
      </x:c>
      <x:c r="J73" s="5" t="str">
        <x:v>1. 打开更多功能
2. 点击“转发”</x:v>
      </x:c>
      <x:c r="K73" s="5" t="str">
        <x:v>页面提示“打开转发”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同步追溯：work/liveshow-user-live-testcases/prototype-context-sync-result.json；RSL-0002</x:v>
      </x:c>
    </x:row>
    <x:row r="74" ht="79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验证公屏消息的发送者信息</x:v>
      </x:c>
      <x:c r="H74" s="5" t="str">
        <x:v>公屏发送者标识</x:v>
      </x:c>
      <x:c r="I74" s="5" t="str">
        <x:v>1. 当前用户具有昵称和已有身份标识
2. 用户已进入直播间</x:v>
      </x:c>
      <x:c r="J74" s="5" t="str">
        <x:v>1. 输入“今晚的歌很好听”
2. 点击“发送”</x:v>
      </x:c>
      <x:c r="K74" s="5" t="str">
        <x:v>新公屏消息展示当前用户昵称及已有身份标识</x:v>
      </x:c>
      <x:c r="L74" s="5" t="str"/>
      <x:c r="M74" s="5" t="str">
        <x:v>未测</x:v>
      </x:c>
      <x:c r="N74" s="5" t="str"/>
      <x:c r="O74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逻辑校验</x:v>
      </x:c>
      <x:c r="F75" s="5" t="str">
        <x:v>P1</x:v>
      </x:c>
      <x:c r="G75" s="5" t="str">
        <x:v>验证禁言用户发送的内容不进入公屏</x:v>
      </x:c>
      <x:c r="H75" s="5" t="str">
        <x:v>禁言发送拦截</x:v>
      </x:c>
      <x:c r="I75" s="5" t="str">
        <x:v>1. 当前用户已被主播禁言
2. 用户正在直播间</x:v>
      </x:c>
      <x:c r="J75" s="5" t="str">
        <x:v>1. 尝试输入并发送评论</x:v>
      </x:c>
      <x:c r="K75" s="5" t="str">
        <x:v>公屏不新增当前用户的评论</x:v>
      </x:c>
      <x:c r="L75" s="5" t="str"/>
      <x:c r="M75" s="5" t="str">
        <x:v>未测</x:v>
      </x:c>
      <x:c r="N75" s="5" t="str"/>
      <x:c r="O75" s="5" t="str">
        <x:v>1. 来源：context/01-用户主播App-项目需求清单.md（2026-08-29 按原型同步，RSL-0002）
2. 来源：context/01-互动场景权限规则.md
3. 来源：prototype/pages/user/live/live-room.html 与 prototype/assets/common.js；未动态验证
4. 同步追溯：work/liveshow-user-live-testcases/prototype-context-sync-result.json；RSL-0002</x:v>
      </x:c>
    </x:row>
    <x:row r="76" ht="67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直播送礼</x:v>
      </x:c>
      <x:c r="E76" s="5" t="str">
        <x:v>功能需求</x:v>
      </x:c>
      <x:c r="F76" s="5" t="str">
        <x:v>P1</x:v>
      </x:c>
      <x:c r="G76" s="5" t="str">
        <x:v>验证礼物面板的礼物信息</x:v>
      </x:c>
      <x:c r="H76" s="5" t="str">
        <x:v>礼物面板信息</x:v>
      </x:c>
      <x:c r="I76" s="5" t="str">
        <x:v>1. 用户正在观看直播
2. 后台已上架礼物并配置价格和分类</x:v>
      </x:c>
      <x:c r="J76" s="5" t="str">
        <x:v>1. 点击礼物按钮
2. 切换礼物分类</x:v>
      </x:c>
      <x:c r="K76" s="5" t="str">
        <x:v>礼物面板展示礼物图标、名称、金币价格、当前余额和充值入口</x:v>
      </x:c>
      <x:c r="L76" s="5" t="str"/>
      <x:c r="M76" s="5" t="str">
        <x:v>未测</x:v>
      </x:c>
      <x:c r="N76" s="5" t="str"/>
      <x:c r="O76" s="5" t="str">
        <x:v>1. 来源：context/01-用户主播App-项目需求清单.md
2. 来源：对应 HTML 静态原型；未动态验证
3. 追溯：业务底稿 LIVE-030。
4. 同步追溯：work/liveshow-user-live-testcases/prototype-context-sync-result.json；RSL-0002</x:v>
      </x:c>
    </x:row>
    <x:row r="77" ht="103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直播送礼</x:v>
      </x:c>
      <x:c r="E77" s="5" t="str">
        <x:v>业务流程</x:v>
      </x:c>
      <x:c r="F77" s="5" t="str">
        <x:v>P1</x:v>
      </x:c>
      <x:c r="G77" s="5" t="str">
        <x:v>验证普通礼物扣费和用户余额</x:v>
      </x:c>
      <x:c r="H77" s="5" t="str">
        <x:v>用户扣费与余额</x:v>
      </x:c>
      <x:c r="I77" s="5" t="str">
        <x:v>1. 普通礼物“鲜花”单价为 20 金币
2. 用户余额为 100 金币
3. 主播当前实时收益为 500 金币</x:v>
      </x:c>
      <x:c r="J77" s="5" t="str">
        <x:v>1. 打开礼物面板
2. 选择“鲜花”及数量 1
3. 点击赠送</x:v>
      </x:c>
      <x:c r="K77" s="5" t="str">
        <x:v>赠送 1 个单价 20 金币的礼物后，用户余额 = 100 - 20 × 1 = 80 金币</x:v>
      </x:c>
      <x:c r="L77" s="5" t="str">
        <x:v>FLOW-LIVE-004</x:v>
      </x:c>
      <x:c r="M77" s="5" t="str">
        <x:v>未测</x:v>
      </x:c>
      <x:c r="N77" s="5" t="str"/>
      <x:c r="O77" s="5" t="str">
        <x:v>1. 来源：context/01-用户主播App-项目需求清单.md
2. 来源：context/01-用户主播App-角色与用例.md
3. 追溯：业务底稿 LIVE-031。
4. 流程：阶段 01：观众送礼并核对余额；共同业务对象：GIFT-TXN-01。
5. 同步追溯：work/liveshow-user-live-testcases/prototype-context-sync-result.json；RSL-0002
6. 共同业务对象：同一礼物赠送记录
7. 流程阶段：用户扣费与余额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业务流程</x:v>
      </x:c>
      <x:c r="F78" s="5" t="str">
        <x:v>P1</x:v>
      </x:c>
      <x:c r="G78" s="5" t="str">
        <x:v>验证普通礼物计入主播实时收益</x:v>
      </x:c>
      <x:c r="H78" s="5" t="str">
        <x:v>主播实时收益</x:v>
      </x:c>
      <x:c r="I78" s="5" t="str">
        <x:v>1. 普通礼物“鲜花”单价为 20 金币
2. 用户余额为 100 金币
3. 主播当前实时收益为 500 金币</x:v>
      </x:c>
      <x:c r="J78" s="5" t="str">
        <x:v>1. 记录主播当前实时收益
2. 观众赠送 1 个鲜花
3. 切换到主播端查看实时收益</x:v>
      </x:c>
      <x:c r="K78" s="5" t="str">
        <x:v>主播实时收益 = 500 + 20 = 520 金币</x:v>
      </x:c>
      <x:c r="L78" s="5" t="str">
        <x:v>FLOW-LIVE-004</x:v>
      </x:c>
      <x:c r="M78" s="5" t="str">
        <x:v>未测</x:v>
      </x:c>
      <x:c r="N78" s="5" t="str"/>
      <x:c r="O78" s="5" t="str">
        <x:v>1. 来源：context/01-用户主播App-项目需求清单.md
2. 来源：context/01-用户主播App-角色与用例.md
3. 追溯：业务底稿 LIVE-031。
4. 流程：阶段 02：主播核对实时收益；共同业务对象：GIFT-TXN-01。
5. 同步追溯：work/liveshow-user-live-testcases/prototype-context-sync-result.json；RSL-0002
6. 共同业务对象：同一礼物赠送记录
7. 流程阶段：主播实时收益</x:v>
      </x:c>
    </x:row>
    <x:row r="79" ht="103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验证普通礼物生成公屏播报</x:v>
      </x:c>
      <x:c r="H79" s="5" t="str">
        <x:v>公屏送礼播报</x:v>
      </x:c>
      <x:c r="I79" s="5" t="str">
        <x:v>1. 普通礼物“鲜花”单价为 20 金币
2. 用户余额为 100 金币
3. 主播当前实时收益为 500 金币</x:v>
      </x:c>
      <x:c r="J79" s="5" t="str">
        <x:v>1. 观众赠送 1 个鲜花
2. 查看直播间公屏</x:v>
      </x:c>
      <x:c r="K79" s="5" t="str">
        <x:v>公屏新增当前用户“送出 鲜花”的播报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来源：context/01-用户主播App-角色与用例.md
3. 追溯：业务底稿 LIVE-031。
4. 流程：阶段 03：直播间核对礼物播报；共同业务对象：GIFT-TXN-01。
5. 同步追溯：work/liveshow-user-live-testcases/prototype-context-sync-result.json；RSL-0002
6. 共同业务对象：同一礼物赠送记录
7. 流程阶段：公屏送礼播报</x:v>
      </x:c>
    </x:row>
    <x:row r="80" ht="103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验证普通礼物生成消费流水</x:v>
      </x:c>
      <x:c r="H80" s="5" t="str">
        <x:v>礼物消费流水</x:v>
      </x:c>
      <x:c r="I80" s="5" t="str">
        <x:v>1. 普通礼物“鲜花”单价为 20 金币
2. 用户余额为 100 金币
3. 主播当前实时收益为 500 金币</x:v>
      </x:c>
      <x:c r="J80" s="5" t="str">
        <x:v>1. 观众赠送 1 个鲜花
2. 进入用户金币消费明细
3. 查看本次礼物流水</x:v>
      </x:c>
      <x:c r="K80" s="5" t="str">
        <x:v>消费流水记录礼物、数量、20 金币和当前直播场次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来源：context/01-用户主播App-角色与用例.md
3. 追溯：业务底稿 LIVE-031。
4. 流程：阶段 04：用户核对消费流水；共同业务对象：GIFT-TXN-01。
5. 同步追溯：work/liveshow-user-live-testcases/prototype-context-sync-result.json；RSL-0002
6. 共同业务对象：同一礼物赠送记录
7. 流程阶段：礼物消费流水</x:v>
      </x:c>
    </x:row>
    <x:row r="81" ht="55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异常用例</x:v>
      </x:c>
      <x:c r="F81" s="5" t="str">
        <x:v>P1</x:v>
      </x:c>
      <x:c r="G81" s="5" t="str">
        <x:v>验证余额不足时拒绝送礼</x:v>
      </x:c>
      <x:c r="H81" s="5" t="str">
        <x:v>余额不足送礼拦截</x:v>
      </x:c>
      <x:c r="I81" s="5" t="str">
        <x:v>1. 目标礼物总价为 100 金币
2. 用户余额为 99 金币</x:v>
      </x:c>
      <x:c r="J81" s="5" t="str">
        <x:v>1. 选择目标礼物和数量
2. 点击赠送</x:v>
      </x:c>
      <x:c r="K81" s="5" t="str">
        <x:v>用户余额 19 金币小于礼物价格 20 金币时，目标礼物不送出</x:v>
      </x:c>
      <x:c r="L81" s="5" t="str"/>
      <x:c r="M81" s="5" t="str">
        <x:v>未测</x:v>
      </x:c>
      <x:c r="N81" s="5" t="str"/>
      <x:c r="O81" s="5" t="str">
        <x:v>1. 来源：context/01-用户主播App-项目需求清单.md
2. 追溯：业务底稿 LIVE-032。
3. 同步追溯：work/liveshow-user-live-testcases/prototype-context-sync-result.json；RSL-0002</x:v>
      </x:c>
    </x:row>
    <x:row r="82" ht="55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异常用例</x:v>
      </x:c>
      <x:c r="F82" s="5" t="str">
        <x:v>P1</x:v>
      </x:c>
      <x:c r="G82" s="5" t="str">
        <x:v>验证送礼失败不增加主播收益</x:v>
      </x:c>
      <x:c r="H82" s="5" t="str">
        <x:v>送礼失败主播收益</x:v>
      </x:c>
      <x:c r="I82" s="5" t="str">
        <x:v>1. 目标礼物总价为 100 金币
2. 用户余额为 99 金币</x:v>
      </x:c>
      <x:c r="J82" s="5" t="str">
        <x:v>1. 选择目标礼物和数量
2. 点击赠送</x:v>
      </x:c>
      <x:c r="K82" s="5" t="str">
        <x:v>主播收益不变</x:v>
      </x:c>
      <x:c r="L82" s="5" t="str"/>
      <x:c r="M82" s="5" t="str">
        <x:v>未测</x:v>
      </x:c>
      <x:c r="N82" s="5" t="str"/>
      <x:c r="O82" s="5" t="str">
        <x:v>1. 来源：context/01-用户主播App-项目需求清单.md
2. 追溯：业务底稿 LIVE-032。
3. 同步追溯：work/liveshow-user-live-testcases/prototype-context-sync-result.json；RSL-0002</x:v>
      </x:c>
    </x:row>
    <x:row r="83" ht="55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验证送礼余额不足时提供充值入口</x:v>
      </x:c>
      <x:c r="H83" s="5" t="str">
        <x:v>送礼充值入口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页面提供充值入口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同步追溯：work/liveshow-user-live-testcases/prototype-context-sync-result.json；RSL-0002</x:v>
      </x:c>
    </x:row>
    <x:row r="84" ht="55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逻辑校验</x:v>
      </x:c>
      <x:c r="F84" s="5" t="str">
        <x:v>P1</x:v>
      </x:c>
      <x:c r="G84" s="5" t="str">
        <x:v>验证连送礼物累计扣费</x:v>
      </x:c>
      <x:c r="H84" s="5" t="str">
        <x:v>连送扣费与余额</x:v>
      </x:c>
      <x:c r="I84" s="5" t="str">
        <x:v>1. 目标普通礼物单价为 20 金币
2. 用户余额为 200 金币</x:v>
      </x:c>
      <x:c r="J84" s="5" t="str">
        <x:v>1. 选择目标礼物和数量 5
2. 点击赠送</x:v>
      </x:c>
      <x:c r="K84" s="5" t="str">
        <x:v>连续赠送 5 个单价 20 金币的礼物后，用户余额 = 200 - 20 × 5 = 100 金币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LIVE-033。
3. 同步追溯：work/liveshow-user-live-testcases/prototype-context-sync-result.json；RSL-0002</x:v>
      </x:c>
    </x:row>
    <x:row r="85" ht="55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逻辑校验</x:v>
      </x:c>
      <x:c r="F85" s="5" t="str">
        <x:v>P1</x:v>
      </x:c>
      <x:c r="G85" s="5" t="str">
        <x:v>验证连送礼物累计主播收益</x:v>
      </x:c>
      <x:c r="H85" s="5" t="str">
        <x:v>连送主播收益</x:v>
      </x:c>
      <x:c r="I85" s="5" t="str">
        <x:v>1. 目标普通礼物单价为 20 金币
2. 用户余额为 200 金币</x:v>
      </x:c>
      <x:c r="J85" s="5" t="str">
        <x:v>1. 选择目标礼物和数量 5
2. 点击赠送</x:v>
      </x:c>
      <x:c r="K85" s="5" t="str">
        <x:v>主播实时收益增加 100 金币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LIVE-033。
3. 同步追溯：work/liveshow-user-live-testcases/prototype-context-sync-result.json；RSL-0002</x:v>
      </x:c>
    </x:row>
    <x:row r="86" ht="55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验证连送礼物累计公屏数量</x:v>
      </x:c>
      <x:c r="H86" s="5" t="str">
        <x:v>连送公屏播报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公屏播报目标礼物及累计数量 5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同步追溯：work/liveshow-user-live-testcases/prototype-context-sync-result.json；RSL-0002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功能需求</x:v>
      </x:c>
      <x:c r="F87" s="5" t="str">
        <x:v>P2</x:v>
      </x:c>
      <x:c r="G87" s="5" t="str">
        <x:v>验证赠送礼物成功反馈</x:v>
      </x:c>
      <x:c r="H87" s="5" t="str">
        <x:v>赠礼成功反馈</x:v>
      </x:c>
      <x:c r="I87" s="5" t="str">
        <x:v>1. 用户正在观看直播
2. 用户余额足够赠送 1 个鲜花</x:v>
      </x:c>
      <x:c r="J87" s="5" t="str">
        <x:v>1. 打开礼物面板
2. 切换到“普通”
3. 选择“鲜花”
4. 选择数量 1
5. 点击“赠送”</x:v>
      </x:c>
      <x:c r="K87" s="5" t="str">
        <x:v>页面提示“已赠送 鲜花 x1”</x:v>
      </x:c>
      <x:c r="L87" s="5" t="str">
        <x:v>FLOW-LIVE-004</x:v>
      </x:c>
      <x:c r="M87" s="5" t="str">
        <x:v>未测</x:v>
      </x:c>
      <x:c r="N87" s="5" t="str"/>
      <x:c r="O8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共同业务对象：同一礼物赠送记录
6. 流程阶段：赠礼成功反馈</x:v>
      </x:c>
    </x:row>
    <x:row r="88" ht="79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功能需求</x:v>
      </x:c>
      <x:c r="F88" s="5" t="str">
        <x:v>P1</x:v>
      </x:c>
      <x:c r="G88" s="5" t="str">
        <x:v>验证礼物面板的三个分类</x:v>
      </x:c>
      <x:c r="H88" s="5" t="str">
        <x:v>礼物分类范围</x:v>
      </x:c>
      <x:c r="I88" s="5" t="str">
        <x:v>1. 礼物面板已打开</x:v>
      </x:c>
      <x:c r="J88" s="5" t="str">
        <x:v>1. 查看礼物分类 Tab</x:v>
      </x:c>
      <x:c r="K88" s="5" t="str">
        <x:v>礼物面板展示“幸运”“普通”和“定制”三个 Tab</x:v>
      </x:c>
      <x:c r="L88" s="5" t="str"/>
      <x:c r="M88" s="5" t="str">
        <x:v>未测</x:v>
      </x:c>
      <x:c r="N88" s="5" t="str"/>
      <x:c r="O88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89" ht="79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逻辑校验</x:v>
      </x:c>
      <x:c r="F89" s="5" t="str">
        <x:v>P1</x:v>
      </x:c>
      <x:c r="G89" s="5" t="str">
        <x:v>验证礼物赠送数量选项</x:v>
      </x:c>
      <x:c r="H89" s="5" t="str">
        <x:v>赠送数量固定选项</x:v>
      </x:c>
      <x:c r="I89" s="5" t="str">
        <x:v>1. 礼物面板已打开</x:v>
      </x:c>
      <x:c r="J89" s="5" t="str">
        <x:v>1. 打开赠送数量菜单</x:v>
      </x:c>
      <x:c r="K89" s="5" t="str">
        <x:v>数量菜单仅展示 x1、x10、x66、x188 和 x520</x:v>
      </x:c>
      <x:c r="L89" s="5" t="str"/>
      <x:c r="M89" s="5" t="str">
        <x:v>未测</x:v>
      </x:c>
      <x:c r="N89" s="5" t="str"/>
      <x:c r="O89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同步追溯：work/liveshow-user-live-testcases/prototype-context-sync-result.json；RSL-0002</x:v>
      </x:c>
    </x:row>
    <x:row r="90" ht="5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P2</x:v>
      </x:c>
      <x:c r="G90" s="5" t="str">
        <x:v>验证选择礼物赠送数量</x:v>
      </x:c>
      <x:c r="H90" s="5" t="str">
        <x:v>赠送数量回显</x:v>
      </x:c>
      <x:c r="I90" s="5" t="str">
        <x:v>1. 礼物面板已打开</x:v>
      </x:c>
      <x:c r="J90" s="5" t="str">
        <x:v>1. 打开赠送数量菜单
2. 选择 x66</x:v>
      </x:c>
      <x:c r="K90" s="5" t="str">
        <x:v>赠送数量按钮回显 66</x:v>
      </x:c>
      <x:c r="L90" s="5" t="str"/>
      <x:c r="M90" s="5" t="str">
        <x:v>未测</x:v>
      </x:c>
      <x:c r="N90" s="5" t="str"/>
      <x:c r="O90" s="5" t="str">
        <x:v>1. 来源：prototype/pages/user/live/live-room.html 与 prototype/assets/common.js；未动态验证
2. 同步追溯：work/liveshow-user-live-testcases/prototype-context-sync-result.json；RSL-0002</x:v>
      </x:c>
    </x:row>
    <x:row r="91" ht="79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直播间粉丝团</x:v>
      </x:c>
      <x:c r="E91" s="5" t="str">
        <x:v>业务流程</x:v>
      </x:c>
      <x:c r="F91" s="5" t="str">
        <x:v>P2</x:v>
      </x:c>
      <x:c r="G91" s="5" t="str">
        <x:v>验证加入粉丝团后建立团籍和群籍</x:v>
      </x:c>
      <x:c r="H91" s="5" t="str">
        <x:v>粉丝团与群籍建立</x:v>
      </x:c>
      <x:c r="I91" s="5" t="str">
        <x:v>1. 主播已创建粉丝团
2. 当前用户未加入且满足主播配置的加入条件
3. 粉丝团人数少于 500</x:v>
      </x:c>
      <x:c r="J91" s="5" t="str">
        <x:v>1. 点击直播间粉丝团入口
2. 查看粉丝团权益和条件
3. 点击加入</x:v>
      </x:c>
      <x:c r="K91" s="5" t="str">
        <x:v>直播间粉丝团状态更新为“已加入”</x:v>
      </x:c>
      <x:c r="L91" s="5" t="str"/>
      <x:c r="M91" s="5" t="str">
        <x:v>未测</x:v>
      </x:c>
      <x:c r="N91" s="5" t="str"/>
      <x:c r="O91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同步追溯：work/liveshow-user-live-testcases/prototype-context-sync-result.json；RSL-0002</x:v>
      </x:c>
    </x:row>
    <x:row r="92" ht="79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直播间粉丝团</x:v>
      </x:c>
      <x:c r="E92" s="5" t="str">
        <x:v>业务流程</x:v>
      </x:c>
      <x:c r="F92" s="5" t="str">
        <x:v>P2</x:v>
      </x:c>
      <x:c r="G92" s="5" t="str">
        <x:v>验证加入粉丝团后的身份权益</x:v>
      </x:c>
      <x:c r="H92" s="5" t="str">
        <x:v>入团身份权益</x:v>
      </x:c>
      <x:c r="I92" s="5" t="str">
        <x:v>1. 主播已创建粉丝团
2. 当前用户未加入且满足主播配置的加入条件
3. 粉丝团人数少于 500</x:v>
      </x:c>
      <x:c r="J92" s="5" t="str">
        <x:v>1. 点击直播间粉丝团入口
2. 查看粉丝团权益和条件
3. 点击加入</x:v>
      </x:c>
      <x:c r="K92" s="5" t="str">
        <x:v>用户获得该粉丝团身份标识</x:v>
      </x:c>
      <x:c r="L92" s="5" t="str"/>
      <x:c r="M92" s="5" t="str">
        <x:v>未测</x:v>
      </x:c>
      <x:c r="N92" s="5" t="str"/>
      <x:c r="O92" s="5" t="str">
        <x:v>1. 来源：context/01-用户主播App-项目需求清单.md
2. 来源：context/01-用户主播App-角色与用例.md
3. 来源：prototype/assets/annotations.js
4. 追溯：业务底稿 LIVE-035。
5. 同步追溯：work/liveshow-user-live-testcases/prototype-context-sync-result.json；RSL-0002</x:v>
      </x:c>
    </x:row>
    <x:row r="93" ht="67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功能需求</x:v>
      </x:c>
      <x:c r="F93" s="5" t="str">
        <x:v>P2</x:v>
      </x:c>
      <x:c r="G93" s="5" t="str">
        <x:v>验证加入粉丝团成功反馈</x:v>
      </x:c>
      <x:c r="H93" s="5" t="str">
        <x:v>加入粉丝团反馈</x:v>
      </x:c>
      <x:c r="I93" s="5" t="str">
        <x:v>1. 用户正在观看 Sari 的直播
2. 用户尚未加入 Sari 粉丝团
3. 用户满足加入条件</x:v>
      </x:c>
      <x:c r="J93" s="5" t="str">
        <x:v>1. 打开粉丝团面板
2. 点击“加入粉丝团”</x:v>
      </x:c>
      <x:c r="K93" s="5" t="str">
        <x:v>页面提示“已加入 Sari 粉丝团”</x:v>
      </x:c>
      <x:c r="L93" s="5" t="str"/>
      <x:c r="M93" s="5" t="str">
        <x:v>未测</x:v>
      </x:c>
      <x:c r="N93" s="5" t="str"/>
      <x:c r="O9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94" ht="67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P1</x:v>
      </x:c>
      <x:c r="G94" s="5" t="str">
        <x:v>验证加入粉丝团后建立团籍</x:v>
      </x:c>
      <x:c r="H94" s="5" t="str">
        <x:v>粉丝团团籍建立</x:v>
      </x:c>
      <x:c r="I94" s="5" t="str">
        <x:v>1. 用户未加入 Sari 粉丝团
2. 用户满足加入条件</x:v>
      </x:c>
      <x:c r="J94" s="5" t="str">
        <x:v>1. 在 Sari 直播间点击“加入粉丝团”
2. 完成加入操作
3. 查看用户的粉丝团列表</x:v>
      </x:c>
      <x:c r="K94" s="5" t="str">
        <x:v>用户的粉丝团列表新增 Sari 粉丝团</x:v>
      </x:c>
      <x:c r="L94" s="5" t="str"/>
      <x:c r="M94" s="5" t="str">
        <x:v>未测</x:v>
      </x:c>
      <x:c r="N94" s="5" t="str"/>
      <x:c r="O94" s="5" t="str">
        <x:v>1. 来源：context/01-用户主播App-项目需求清单.md（2026-08-29 按原型同步，RSL-0002）
2. 来源：context/01-用户主播App-角色与用例.md
3. 同步追溯：work/liveshow-user-live-testcases/prototype-context-sync-result.json；RSL-0002</x:v>
      </x:c>
    </x:row>
    <x:row r="95" ht="67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业务流程</x:v>
      </x:c>
      <x:c r="F95" s="5" t="str">
        <x:v>P1</x:v>
      </x:c>
      <x:c r="G95" s="5" t="str">
        <x:v>验证加入粉丝团后建立群籍</x:v>
      </x:c>
      <x:c r="H95" s="5" t="str">
        <x:v>粉丝群群籍建立</x:v>
      </x:c>
      <x:c r="I95" s="5" t="str">
        <x:v>1. 用户未加入 Sari 粉丝团
2. 用户满足加入条件</x:v>
      </x:c>
      <x:c r="J95" s="5" t="str">
        <x:v>1. 在 Sari 直播间点击“加入粉丝团”
2. 完成加入操作
3. 查看 Sari 粉丝群成员</x:v>
      </x:c>
      <x:c r="K95" s="5" t="str">
        <x:v>Sari 粉丝群成员中新增当前用户</x:v>
      </x:c>
      <x:c r="L95" s="5" t="str"/>
      <x:c r="M95" s="5" t="str">
        <x:v>未测</x:v>
      </x:c>
      <x:c r="N95" s="5" t="str"/>
      <x:c r="O95" s="5" t="str">
        <x:v>1. 来源：context/01-用户主播App-项目需求清单.md（2026-08-29 按原型同步，RSL-0002）
2. 来源：context/01-用户主播App-角色与用例.md
3. 同步追溯：work/liveshow-user-live-testcases/prototype-context-sync-result.json；RSL-0002</x:v>
      </x:c>
    </x:row>
    <x:row r="96" ht="67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直播间举报</x:v>
      </x:c>
      <x:c r="E96" s="5" t="str">
        <x:v>逻辑校验</x:v>
      </x:c>
      <x:c r="F96" s="5" t="str">
        <x:v>P1</x:v>
      </x:c>
      <x:c r="G96" s="5" t="str">
        <x:v>验证未选择举报原因时不能提交</x:v>
      </x:c>
      <x:c r="H96" s="5" t="str">
        <x:v>举报原因必选</x:v>
      </x:c>
      <x:c r="I96" s="5" t="str">
        <x:v>1. 用户已进入举报直播间页面</x:v>
      </x:c>
      <x:c r="J96" s="5" t="str">
        <x:v>1. 不选择举报原因
2. 填写或不填写补充说明
3. 观察“提交”按钮</x:v>
      </x:c>
      <x:c r="K96" s="5" t="str">
        <x:v>未选择举报原因时提交按钮不可用</x:v>
      </x:c>
      <x:c r="L96" s="5" t="str"/>
      <x:c r="M96" s="5" t="str">
        <x:v>未测</x:v>
      </x:c>
      <x:c r="N96" s="5" t="str"/>
      <x:c r="O96" s="5" t="str">
        <x:v>1. 来源：prototype/assets/annotations.js
2. 来源：对应 HTML 静态原型；未动态验证
3. 追溯：业务底稿 LIVE-036。
4. 同步追溯：work/liveshow-user-live-testcases/prototype-context-sync-result.json；RSL-0002</x:v>
      </x:c>
    </x:row>
    <x:row r="97" ht="91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直播间举报</x:v>
      </x:c>
      <x:c r="E97" s="5" t="str">
        <x:v>业务流程</x:v>
      </x:c>
      <x:c r="F97" s="5" t="str">
        <x:v>P1</x:v>
      </x:c>
      <x:c r="G97" s="5" t="str">
        <x:v>验证提交直播间举报生成工单</x:v>
      </x:c>
      <x:c r="H97" s="5" t="str">
        <x:v>直播间举报工单</x:v>
      </x:c>
      <x:c r="I97" s="5" t="str">
        <x:v>1. 用户已登录并正在观看目标直播间</x:v>
      </x:c>
      <x:c r="J97" s="5" t="str">
        <x:v>1. 选择任一举报原因
2. 点击“提交”
3. 检查举报记录</x:v>
      </x:c>
      <x:c r="K97" s="5" t="str">
        <x:v>系统生成关联当前直播间和举报人的举报工单</x:v>
      </x:c>
      <x:c r="L97" s="5" t="str"/>
      <x:c r="M97" s="5" t="str">
        <x:v>未测</x:v>
      </x:c>
      <x:c r="N97" s="5" t="str"/>
      <x:c r="O97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98" ht="91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业务流程</x:v>
      </x:c>
      <x:c r="F98" s="5" t="str">
        <x:v>P1</x:v>
      </x:c>
      <x:c r="G98" s="5" t="str">
        <x:v>验证提交直播间举报的成功提示</x:v>
      </x:c>
      <x:c r="H98" s="5" t="str">
        <x:v>直播间举报提示</x:v>
      </x:c>
      <x:c r="I98" s="5" t="str">
        <x:v>1. 用户已登录并正在观看目标直播间</x:v>
      </x:c>
      <x:c r="J98" s="5" t="str">
        <x:v>1. 选择任一举报原因
2. 点击“提交”
3. 查看页面反馈</x:v>
      </x:c>
      <x:c r="K98" s="5" t="str">
        <x:v>页面提示“举报已提交”</x:v>
      </x:c>
      <x:c r="L98" s="5" t="str"/>
      <x:c r="M98" s="5" t="str">
        <x:v>未测</x:v>
      </x:c>
      <x:c r="N98" s="5" t="str"/>
      <x:c r="O98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99" ht="91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验证提交直播间举报后返回直播间</x:v>
      </x:c>
      <x:c r="H99" s="5" t="str">
        <x:v>直播间举报返回</x:v>
      </x:c>
      <x:c r="I99" s="5" t="str">
        <x:v>1. 用户已登录并正在观看目标直播间</x:v>
      </x:c>
      <x:c r="J99" s="5" t="str">
        <x:v>1. 打开更多功能
2. 点击“举报”
3. 选择“色情低俗”
4. 填写补充说明
5. 点击“提交”</x:v>
      </x:c>
      <x:c r="K99" s="5" t="str">
        <x:v>页面返回原直播间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来源：context/01-互动场景权限规则.md
3. 来源：prototype/assets/annotations.js
4. 来源：对应 HTML 静态原型；未动态验证
5. 追溯：业务底稿 LIVE-037。
6. 同步追溯：work/liveshow-user-live-testcases/prototype-context-sync-result.json；RSL-0002</x:v>
      </x:c>
    </x:row>
    <x:row r="100" ht="91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验证提交用户举报生成工单</x:v>
      </x:c>
      <x:c r="H100" s="5" t="str">
        <x:v>用户举报工单</x:v>
      </x:c>
      <x:c r="I100" s="5" t="str">
        <x:v>1. 用户已登录
2. 直播间在线列表中存在目标用户</x:v>
      </x:c>
      <x:c r="J100" s="5" t="str">
        <x:v>1. 打开目标用户资料卡
2. 点击举报
3. 选择任一原因并提交
4. 检查举报记录</x:v>
      </x:c>
      <x:c r="K100" s="5" t="str">
        <x:v>系统生成关联目标用户和举报人的举报工单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1" ht="91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验证提交用户举报的成功提示</x:v>
      </x:c>
      <x:c r="H101" s="5" t="str">
        <x:v>用户举报提示</x:v>
      </x:c>
      <x:c r="I101" s="5" t="str">
        <x:v>1. 用户已登录
2. 直播间在线列表中存在目标用户</x:v>
      </x:c>
      <x:c r="J101" s="5" t="str">
        <x:v>1. 打开目标用户资料卡
2. 点击举报
3. 选择任一原因并提交
4. 查看页面反馈</x:v>
      </x:c>
      <x:c r="K101" s="5" t="str">
        <x:v>页面提示“举报已提交”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2" ht="91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验证提交用户举报后返回直播间</x:v>
      </x:c>
      <x:c r="H102" s="5" t="str">
        <x:v>用户举报返回</x:v>
      </x:c>
      <x:c r="I102" s="5" t="str">
        <x:v>1. 用户已登录
2. 直播间在线列表中存在目标用户</x:v>
      </x:c>
      <x:c r="J102" s="5" t="str">
        <x:v>1. 打开目标用户资料卡
2. 点击“举报”
3. 选择举报原因
4. 点击“提交”</x:v>
      </x:c>
      <x:c r="K102" s="5" t="str">
        <x:v>页面返回原直播间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来源：context/01-互动场景权限规则.md
3. 来源：prototype/assets/annotations.js
4. 来源：对应 HTML 静态原型；未动态验证
5. 追溯：业务底稿 LIVE-038。
6. 同步追溯：work/liveshow-user-live-testcases/prototype-context-sync-result.json；RSL-0002</x:v>
      </x:c>
    </x:row>
    <x:row r="103" ht="55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逻辑校验</x:v>
      </x:c>
      <x:c r="F103" s="5" t="str">
        <x:v>P2</x:v>
      </x:c>
      <x:c r="G103" s="5" t="str">
        <x:v>验证举报操作不改变既有互动关系</x:v>
      </x:c>
      <x:c r="H103" s="5" t="str">
        <x:v>举报关系无副作用</x:v>
      </x:c>
      <x:c r="I103" s="5" t="str">
        <x:v>1. 用户与被举报主播或用户存在可识别的关注、好友或粉丝团关系
2. 用户已登录</x:v>
      </x:c>
      <x:c r="J103" s="5" t="str">
        <x:v>1. 提交一条直播间举报或用户举报
2. 举报成功后查看双方原有互动关系</x:v>
      </x:c>
      <x:c r="K103" s="5" t="str">
        <x:v>举报完成后，用户与主播既有关注、好友及粉丝团关系保持不变</x:v>
      </x:c>
      <x:c r="L103" s="5" t="str"/>
      <x:c r="M103" s="5" t="str">
        <x:v>未测</x:v>
      </x:c>
      <x:c r="N103" s="5" t="str"/>
      <x:c r="O103" s="5" t="str">
        <x:v>1. 来源：context/01-互动场景权限规则.md
2. 追溯：业务底稿 LIVE-039。
3. 同步追溯：work/liveshow-user-live-testcases/prototype-context-sync-result.json；RSL-0002</x:v>
      </x:c>
    </x:row>
    <x:row r="104" ht="55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功能需求</x:v>
      </x:c>
      <x:c r="F104" s="5" t="str">
        <x:v>P2</x:v>
      </x:c>
      <x:c r="G104" s="5" t="str">
        <x:v>验证取消举报后返回直播间</x:v>
      </x:c>
      <x:c r="H104" s="5" t="str">
        <x:v>取消举报返回</x:v>
      </x:c>
      <x:c r="I104" s="5" t="str">
        <x:v>1. 直播间举报页面已打开且已选择举报原因</x:v>
      </x:c>
      <x:c r="J104" s="5" t="str">
        <x:v>1. 点击“取消”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来源：对应 HTML 静态原型；未动态验证
2. 追溯：业务底稿 LIVE-040。
3. 同步追溯：work/liveshow-user-live-testcases/prototype-context-sync-result.json；RSL-0002</x:v>
      </x:c>
    </x:row>
    <x:row r="105" ht="55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功能需求</x:v>
      </x:c>
      <x:c r="F105" s="5" t="str">
        <x:v>P2</x:v>
      </x:c>
      <x:c r="G105" s="5" t="str">
        <x:v>验证取消举报不生成工单</x:v>
      </x:c>
      <x:c r="H105" s="5" t="str">
        <x:v>取消举报工单</x:v>
      </x:c>
      <x:c r="I105" s="5" t="str">
        <x:v>1. 直播间举报页面已打开且已选择举报原因</x:v>
      </x:c>
      <x:c r="J105" s="5" t="str">
        <x:v>1. 点击“取消”</x:v>
      </x:c>
      <x:c r="K105" s="5" t="str">
        <x:v>系统不生成举报工单</x:v>
      </x:c>
      <x:c r="L105" s="5" t="str"/>
      <x:c r="M105" s="5" t="str">
        <x:v>未测</x:v>
      </x:c>
      <x:c r="N105" s="5" t="str"/>
      <x:c r="O105" s="5" t="str">
        <x:v>1. 来源：对应 HTML 静态原型；未动态验证
2. 追溯：业务底稿 LIVE-040。
3. 同步追溯：work/liveshow-user-live-testcases/prototype-context-sync-result.json；RSL-0002</x:v>
      </x:c>
    </x:row>
    <x:row r="106" ht="55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逻辑校验</x:v>
      </x:c>
      <x:c r="F106" s="5" t="str">
        <x:v>P2</x:v>
      </x:c>
      <x:c r="G106" s="5" t="str">
        <x:v>验证补充说明可以输入 200 字</x:v>
      </x:c>
      <x:c r="H106" s="5" t="str">
        <x:v>补充说明 200 字边界</x:v>
      </x:c>
      <x:c r="I106" s="5" t="str">
        <x:v>1. 用户已进入直播间或用户举报页面
2. 已选择举报原因</x:v>
      </x:c>
      <x:c r="J106" s="5" t="str">
        <x:v>1. 在补充说明输入 200 个字符</x:v>
      </x:c>
      <x:c r="K106" s="5" t="str">
        <x:v>输入框保留前 200 个字符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LIVE-041。
3. 同步追溯：work/liveshow-user-live-testcases/prototype-context-sync-result.json；RSL-0002</x:v>
      </x:c>
    </x:row>
    <x:row r="107" ht="55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逻辑校验</x:v>
      </x:c>
      <x:c r="F107" s="5" t="str">
        <x:v>P2</x:v>
      </x:c>
      <x:c r="G107" s="5" t="str">
        <x:v>验证补充说明第 201 字被限制</x:v>
      </x:c>
      <x:c r="H107" s="5" t="str">
        <x:v>补充说明超长限制</x:v>
      </x:c>
      <x:c r="I107" s="5" t="str">
        <x:v>1. 用户已进入直播间或用户举报页面
2. 已选择举报原因</x:v>
      </x:c>
      <x:c r="J107" s="5" t="str">
        <x:v>1. 在补充说明输入 200 个字符
2. 继续输入第 201 个字符</x:v>
      </x:c>
      <x:c r="K107" s="5" t="str">
        <x:v>第 201 个字符不进入输入框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LIVE-041。
3. 同步追溯：work/liveshow-user-live-testcases/prototype-context-sync-result.json；RSL-0002</x:v>
      </x:c>
    </x:row>
    <x:row r="108" ht="55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 200 字补充说明可以提交</x:v>
      </x:c>
      <x:c r="H108" s="5" t="str">
        <x:v>补充说明提交</x:v>
      </x:c>
      <x:c r="I108" s="5" t="str">
        <x:v>1. 用户已进入直播间或用户举报页面
2. 已选择举报原因</x:v>
      </x:c>
      <x:c r="J108" s="5" t="str">
        <x:v>1. 选择举报原因
2. 输入 200 个字符
3. 点击“提交”</x:v>
      </x:c>
      <x:c r="K108" s="5" t="str">
        <x:v>已有 200 个字符可随举报原因一并提交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同步追溯：work/liveshow-user-live-testcases/prototype-context-sync-result.json；RSL-0002</x:v>
      </x:c>
    </x:row>
    <x:row r="109" ht="91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功能需求</x:v>
      </x:c>
      <x:c r="F109" s="5" t="str">
        <x:v>P1</x:v>
      </x:c>
      <x:c r="G109" s="5" t="str">
        <x:v>验证直播举报原因范围</x:v>
      </x:c>
      <x:c r="H109" s="5" t="str">
        <x:v>举报原因选项</x:v>
      </x:c>
      <x:c r="I109" s="5" t="str">
        <x:v>1. 用户已进入直播举报页</x:v>
      </x:c>
      <x:c r="J109" s="5" t="str">
        <x:v>1. 查看举报原因列表</x:v>
      </x:c>
      <x:c r="K109" s="5" t="str">
        <x:v>页面展示“色情低俗”“涉及宗教政治”“暴恐血腥”“未成年有害”和“其他”五个原因</x:v>
      </x:c>
      <x:c r="L109" s="5" t="str"/>
      <x:c r="M109" s="5" t="str">
        <x:v>未测</x:v>
      </x:c>
      <x:c r="N109" s="5" t="str"/>
      <x:c r="O109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同步追溯：work/liveshow-user-live-testcases/prototype-context-sync-result.json；RSL-0002</x:v>
      </x:c>
    </x:row>
    <x:row r="110" ht="55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功能需求</x:v>
      </x:c>
      <x:c r="F110" s="5" t="str">
        <x:v>P2</x:v>
      </x:c>
      <x:c r="G110" s="5" t="str">
        <x:v>验证选择举报原因后可以提交</x:v>
      </x:c>
      <x:c r="H110" s="5" t="str">
        <x:v>选择原因后提交状态</x:v>
      </x:c>
      <x:c r="I110" s="5" t="str">
        <x:v>1. 直播举报页已打开
2. 尚未选择举报原因</x:v>
      </x:c>
      <x:c r="J110" s="5" t="str">
        <x:v>1. 选择“色情低俗”</x:v>
      </x:c>
      <x:c r="K110" s="5" t="str">
        <x:v>提交举报按钮变为可用</x:v>
      </x:c>
      <x:c r="L110" s="5" t="str"/>
      <x:c r="M110" s="5" t="str">
        <x:v>未测</x:v>
      </x:c>
      <x:c r="N110" s="5" t="str"/>
      <x:c r="O110" s="5" t="str">
        <x:v>1. 来源：prototype/pages/user/live/live-room-report.html、live-room-user-report.html 与当页交互脚本；未动态验证
2. 同步追溯：work/liveshow-user-live-testcases/prototype-context-sync-result.json；RSL-0002</x:v>
      </x:c>
    </x:row>
    <x:row r="111" ht="79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开播设置</x:v>
      </x:c>
      <x:c r="E111" s="5" t="str">
        <x:v>业务流程</x:v>
      </x:c>
      <x:c r="F111" s="5" t="str">
        <x:v>P0</x:v>
      </x:c>
      <x:c r="G111" s="5" t="str">
        <x:v>验证具备直播权限的主播进入开播设置</x:v>
      </x:c>
      <x:c r="H111" s="5" t="str">
        <x:v>开播设置入口</x:v>
      </x:c>
      <x:c r="I111" s="5" t="str">
        <x:v>1. 用户已加入工会并通过主播认证
2. 平台与工会均已开启直播权限</x:v>
      </x:c>
      <x:c r="J111" s="5" t="str">
        <x:v>1. 进入主播中心
2. 点击“开始直播”</x:v>
      </x:c>
      <x:c r="K111" s="5" t="str">
        <x:v>具备权限的主播进入开播设置页，可见摄像头预览、标题、封面、分类、房型和美颜入口</x:v>
      </x:c>
      <x:c r="L111" s="5" t="str"/>
      <x:c r="M111" s="5" t="str">
        <x:v>未测</x:v>
      </x:c>
      <x:c r="N111" s="5" t="str"/>
      <x:c r="O111" s="5" t="str">
        <x:v>1. 来源：context/01-用户主播App-项目需求清单.md
2. 来源：context/01-用户主播App-角色与用例.md
3. 来源：prototype/Luma Live-原型说明.md
4. 追溯：业务底稿 LIVE-046。
5. 同步追溯：work/liveshow-user-live-testcases/prototype-context-sync-result.json；RSL-0002</x:v>
      </x:c>
    </x:row>
    <x:row r="112" ht="67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开播设置</x:v>
      </x:c>
      <x:c r="E112" s="5" t="str">
        <x:v>异常用例</x:v>
      </x:c>
      <x:c r="F112" s="5" t="str">
        <x:v>P1</x:v>
      </x:c>
      <x:c r="G112" s="5" t="str">
        <x:v>验证平台关闭直播权限后不能开播</x:v>
      </x:c>
      <x:c r="H112" s="5" t="str">
        <x:v>平台直播权限限制</x:v>
      </x:c>
      <x:c r="I112" s="5" t="str">
        <x:v>1. 主播认证已通过
2. 平台关闭或锁定该主播直播权限</x:v>
      </x:c>
      <x:c r="J112" s="5" t="str">
        <x:v>1. 进入主播中心
2. 尝试进入开播设置并开始直播</x:v>
      </x:c>
      <x:c r="K112" s="5" t="str">
        <x:v>主播不能创建直播场次</x:v>
      </x:c>
      <x:c r="L112" s="5" t="str"/>
      <x:c r="M112" s="5" t="str">
        <x:v>未测</x:v>
      </x:c>
      <x:c r="N112" s="5" t="str"/>
      <x:c r="O112" s="5" t="str">
        <x:v>1. 来源：context/01-用户主播App-项目需求清单.md
2. 来源：context/01-用户主播App-角色与用例.md
3. 追溯：业务底稿 LIVE-047。
4. 同步追溯：work/liveshow-user-live-testcases/prototype-context-sync-result.json；RSL-0002</x:v>
      </x:c>
    </x:row>
    <x:row r="113" ht="67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开播设置</x:v>
      </x:c>
      <x:c r="E113" s="5" t="str">
        <x:v>异常用例</x:v>
      </x:c>
      <x:c r="F113" s="5" t="str">
        <x:v>P1</x:v>
      </x:c>
      <x:c r="G113" s="5" t="str">
        <x:v>验证直播权限关闭原因展示</x:v>
      </x:c>
      <x:c r="H113" s="5" t="str">
        <x:v>直播权限关闭原因</x:v>
      </x:c>
      <x:c r="I113" s="5" t="str">
        <x:v>1. 主播认证已通过
2. 平台关闭或锁定该主播直播权限</x:v>
      </x:c>
      <x:c r="J113" s="5" t="str">
        <x:v>1. 进入主播中心
2. 尝试进入开播设置并开始直播</x:v>
      </x:c>
      <x:c r="K113" s="5" t="str">
        <x:v>直播权限状态展示已关闭及已有原因</x:v>
      </x:c>
      <x:c r="L113" s="5" t="str"/>
      <x:c r="M113" s="5" t="str">
        <x:v>未测</x:v>
      </x:c>
      <x:c r="N113" s="5" t="str"/>
      <x:c r="O113" s="5" t="str">
        <x:v>1. 来源：context/01-用户主播App-项目需求清单.md
2. 来源：context/01-用户主播App-角色与用例.md
3. 追溯：业务底稿 LIVE-047。
4. 同步追溯：work/liveshow-user-live-testcases/prototype-context-sync-result.json；RSL-0002</x:v>
      </x:c>
    </x:row>
    <x:row r="114" ht="67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开播设置</x:v>
      </x:c>
      <x:c r="E114" s="5" t="str">
        <x:v>异常用例</x:v>
      </x:c>
      <x:c r="F114" s="5" t="str">
        <x:v>P1</x:v>
      </x:c>
      <x:c r="G114" s="5" t="str">
        <x:v>验证工会不能覆盖平台直播权限</x:v>
      </x:c>
      <x:c r="H114" s="5" t="str">
        <x:v>直播权限优先级</x:v>
      </x:c>
      <x:c r="I114" s="5" t="str">
        <x:v>1. 主播认证已通过
2. 平台关闭或锁定该主播直播权限</x:v>
      </x:c>
      <x:c r="J114" s="5" t="str">
        <x:v>1. 进入主播中心
2. 尝试进入开播设置并开始直播</x:v>
      </x:c>
      <x:c r="K114" s="5" t="str">
        <x:v>工会侧开启操作不能覆盖平台关闭或锁定状态</x:v>
      </x:c>
      <x:c r="L114" s="5" t="str"/>
      <x:c r="M114" s="5" t="str">
        <x:v>未测</x:v>
      </x:c>
      <x:c r="N114" s="5" t="str"/>
      <x:c r="O114" s="5" t="str">
        <x:v>1. 来源：context/01-用户主播App-项目需求清单.md
2. 来源：context/01-用户主播App-角色与用例.md
3. 追溯：业务底稿 LIVE-047。
4. 同步追溯：work/liveshow-user-live-testcases/prototype-context-sync-result.json；RSL-0002</x:v>
      </x:c>
    </x:row>
    <x:row r="115" ht="79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开播设置</x:v>
      </x:c>
      <x:c r="E115" s="5" t="str">
        <x:v>功能需求</x:v>
      </x:c>
      <x:c r="F115" s="5" t="str">
        <x:v>P1</x:v>
      </x:c>
      <x:c r="G115" s="5" t="str">
        <x:v>验证主播保存有效直播标题</x:v>
      </x:c>
      <x:c r="H115" s="5" t="str">
        <x:v>直播标题保存</x:v>
      </x:c>
      <x:c r="I115" s="5" t="str">
        <x:v>1. 主播已进入开播设置</x:v>
      </x:c>
      <x:c r="J115" s="5" t="str">
        <x:v>1. 点击“修改主题”
2. 输入“今晚唱到你睡着”
3. 点击“保存”</x:v>
      </x:c>
      <x:c r="K115" s="5" t="str">
        <x:v>保存后开播设置页回显新的直播标题</x:v>
      </x:c>
      <x:c r="L115" s="5" t="str"/>
      <x:c r="M115" s="5" t="str">
        <x:v>未测</x:v>
      </x:c>
      <x:c r="N115" s="5" t="str"/>
      <x:c r="O115" s="5" t="str">
        <x:v>1. 来源：context/01-用户主播App-项目需求清单.md
2. 来源：prototype/assets/annotations.js
3. 来源：对应 HTML 静态原型；未动态验证
4. 追溯：业务底稿 LIVE-048。
5. 同步追溯：work/liveshow-user-live-testcases/prototype-context-sync-result.json；RSL-0002</x:v>
      </x:c>
    </x:row>
    <x:row r="116" ht="55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开播设置</x:v>
      </x:c>
      <x:c r="E116" s="5" t="str">
        <x:v>逻辑校验</x:v>
      </x:c>
      <x:c r="F116" s="5" t="str">
        <x:v>P1</x:v>
      </x:c>
      <x:c r="G116" s="5" t="str">
        <x:v>验证空直播标题不能保存</x:v>
      </x:c>
      <x:c r="H116" s="5" t="str">
        <x:v>直播标题必填</x:v>
      </x:c>
      <x:c r="I116" s="5" t="str">
        <x:v>1. 主播已打开“修改主题”</x:v>
      </x:c>
      <x:c r="J116" s="5" t="str">
        <x:v>1. 清空标题或仅输入空格
2. 点击“保存”</x:v>
      </x:c>
      <x:c r="K116" s="5" t="str">
        <x:v>页面提示“请设置直播标题”</x:v>
      </x:c>
      <x:c r="L116" s="5" t="str"/>
      <x:c r="M116" s="5" t="str">
        <x:v>未测</x:v>
      </x:c>
      <x:c r="N116" s="5" t="str"/>
      <x:c r="O116" s="5" t="str">
        <x:v>1. 来源：对应 HTML 静态原型；未动态验证
2. 追溯：业务底稿 LIVE-049。
3. 同步追溯：work/liveshow-user-live-testcases/prototype-context-sync-result.json；RSL-0002</x:v>
      </x:c>
    </x:row>
    <x:row r="117" ht="55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开播设置</x:v>
      </x:c>
      <x:c r="E117" s="5" t="str">
        <x:v>逻辑校验</x:v>
      </x:c>
      <x:c r="F117" s="5" t="str">
        <x:v>P2</x:v>
      </x:c>
      <x:c r="G117" s="5" t="str">
        <x:v>验证 40 字直播标题可以保存</x:v>
      </x:c>
      <x:c r="H117" s="5" t="str">
        <x:v>标题 40 字边界</x:v>
      </x:c>
      <x:c r="I117" s="5" t="str">
        <x:v>1. 主播已打开“修改主题”</x:v>
      </x:c>
      <x:c r="J117" s="5" t="str">
        <x:v>1. 输入 40 个字符并保存
2. 再次打开并继续输入第 41 个字符</x:v>
      </x:c>
      <x:c r="K117" s="5" t="str">
        <x:v>保存后开播设置页完整回显 40 个字符的标题</x:v>
      </x:c>
      <x:c r="L117" s="5" t="str"/>
      <x:c r="M117" s="5" t="str">
        <x:v>未测</x:v>
      </x:c>
      <x:c r="N117" s="5" t="str"/>
      <x:c r="O117" s="5" t="str">
        <x:v>1. 来源：对应 HTML 静态原型；未动态验证
2. 追溯：业务底稿 LIVE-050。
3. 同步追溯：work/liveshow-user-live-testcases/prototype-context-sync-result.json；RSL-0002</x:v>
      </x:c>
    </x:row>
    <x:row r="118" ht="5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逻辑校验</x:v>
      </x:c>
      <x:c r="F118" s="5" t="str">
        <x:v>P2</x:v>
      </x:c>
      <x:c r="G118" s="5" t="str">
        <x:v>验证直播标题输入长度上限</x:v>
      </x:c>
      <x:c r="H118" s="5" t="str">
        <x:v>标题超长限制</x:v>
      </x:c>
      <x:c r="I118" s="5" t="str">
        <x:v>1. 主播已打开“修改主题”</x:v>
      </x:c>
      <x:c r="J118" s="5" t="str">
        <x:v>1. 输入 40 个字符并保存
2. 再次打开并继续输入第 41 个字符</x:v>
      </x:c>
      <x:c r="K118" s="5" t="str">
        <x:v>输入框最多保留 40 个字符</x:v>
      </x:c>
      <x:c r="L118" s="5" t="str"/>
      <x:c r="M118" s="5" t="str">
        <x:v>未测</x:v>
      </x:c>
      <x:c r="N118" s="5" t="str"/>
      <x:c r="O118" s="5" t="str">
        <x:v>1. 来源：对应 HTML 静态原型；未动态验证
2. 追溯：业务底稿 LIVE-050。
3. 同步追溯：work/liveshow-user-live-testcases/prototype-context-sync-result.json；RSL-0002</x:v>
      </x:c>
    </x:row>
    <x:row r="119" ht="67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功能需求</x:v>
      </x:c>
      <x:c r="F119" s="5" t="str">
        <x:v>P2</x:v>
      </x:c>
      <x:c r="G119" s="5" t="str">
        <x:v>验证主播选择有效图片作为直播封面</x:v>
      </x:c>
      <x:c r="H119" s="5" t="str">
        <x:v>直播封面选择</x:v>
      </x:c>
      <x:c r="I119" s="5" t="str">
        <x:v>1. 主播已进入开播设置
2. 设备中存在可访问的有效图片</x:v>
      </x:c>
      <x:c r="J119" s="5" t="str">
        <x:v>1. 点击“修改封面”
2. 从设备选择一张有效图片</x:v>
      </x:c>
      <x:c r="K119" s="5" t="str">
        <x:v>开播设置页使用所选图片作为本场封面预览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来源：对应 HTML 静态原型；未动态验证
3. 追溯：业务底稿 LIVE-051。
4. 同步追溯：work/liveshow-user-live-testcases/prototype-context-sync-result.json；RSL-0002</x:v>
      </x:c>
    </x:row>
    <x:row r="120" ht="67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功能需求</x:v>
      </x:c>
      <x:c r="F120" s="5" t="str">
        <x:v>P1</x:v>
      </x:c>
      <x:c r="G120" s="5" t="str">
        <x:v>验证直播分类仅使用后台启用项</x:v>
      </x:c>
      <x:c r="H120" s="5" t="str">
        <x:v>启用分类范围</x:v>
      </x:c>
      <x:c r="I120" s="5" t="str">
        <x:v>1. 后台至少启用两个直播分类
2. 主播已进入开播设置</x:v>
      </x:c>
      <x:c r="J120" s="5" t="str">
        <x:v>1. 点击分类入口
2. 选择分类“唱歌”</x:v>
      </x:c>
      <x:c r="K120" s="5" t="str">
        <x:v>分类列表仅展示后台启用的分类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来源：对应 HTML 静态原型；未动态验证
3. 追溯：业务底稿 LIVE-052。
4. 同步追溯：work/liveshow-user-live-testcases/prototype-context-sync-result.json；RSL-0002</x:v>
      </x:c>
    </x:row>
    <x:row r="121" ht="67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功能需求</x:v>
      </x:c>
      <x:c r="F121" s="5" t="str">
        <x:v>P1</x:v>
      </x:c>
      <x:c r="G121" s="5" t="str">
        <x:v>验证保存并回显直播分类</x:v>
      </x:c>
      <x:c r="H121" s="5" t="str">
        <x:v>分类选择保存</x:v>
      </x:c>
      <x:c r="I121" s="5" t="str">
        <x:v>1. 后台至少启用两个直播分类
2. 主播已进入开播设置</x:v>
      </x:c>
      <x:c r="J121" s="5" t="str">
        <x:v>1. 点击分类入口
2. 选择分类“唱歌”</x:v>
      </x:c>
      <x:c r="K121" s="5" t="str">
        <x:v>选择“唱歌”后，开播设置页回显该分类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来源：对应 HTML 静态原型；未动态验证
3. 追溯：业务底稿 LIVE-052。
4. 同步追溯：work/liveshow-user-live-testcases/prototype-context-sync-result.json；RSL-0002</x:v>
      </x:c>
    </x:row>
    <x:row r="122" ht="67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验证主播选择普通房</x:v>
      </x:c>
      <x:c r="H122" s="5" t="str">
        <x:v>普通房设置</x:v>
      </x:c>
      <x:c r="I122" s="5" t="str">
        <x:v>1. 主播已进入房型设置</x:v>
      </x:c>
      <x:c r="J122" s="5" t="str">
        <x:v>1. 选择“普通房”
2. 点击“确认”</x:v>
      </x:c>
      <x:c r="K122" s="5" t="str">
        <x:v>普通房设置保存后房型回显为“普通”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来源：对应 HTML 静态原型；未动态验证
3. 追溯：业务底稿 LIVE-053。
4. 同步追溯：work/liveshow-user-live-testcases/prototype-context-sync-result.json；RSL-0002</x:v>
      </x:c>
    </x:row>
    <x:row r="123" ht="79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验证门票房未填写价格不能保存</x:v>
      </x:c>
      <x:c r="H123" s="5" t="str">
        <x:v>门票价格必填</x:v>
      </x:c>
      <x:c r="I123" s="5" t="str">
        <x:v>1. 门票房灰度开关已开启
2. 主播已进入房型设置</x:v>
      </x:c>
      <x:c r="J123" s="5" t="str">
        <x:v>1. 选择“门票房”
2. 保持门票价格为空
3. 点击“确认”</x:v>
      </x:c>
      <x:c r="K123" s="5" t="str">
        <x:v>门票价格为空时页面提示“请设置门票价格”</x:v>
      </x:c>
      <x:c r="L123" s="5" t="str"/>
      <x:c r="M123" s="5" t="str">
        <x:v>未测</x:v>
      </x:c>
      <x:c r="N123" s="5" t="str"/>
      <x:c r="O123" s="5" t="str">
        <x:v>1. 来源：context/01-用户主播App-项目需求清单.md
2. 来源：prototype/assets/annotations.js
3. 来源：对应 HTML 静态原型；未动态验证
4. 追溯：业务底稿 LIVE-054。
5. 同步追溯：work/liveshow-user-live-testcases/prototype-context-sync-result.json；RSL-0002</x:v>
      </x:c>
    </x:row>
    <x:row r="124" ht="79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P1</x:v>
      </x:c>
      <x:c r="G124" s="5" t="str">
        <x:v>验证密码房未填写密码不能保存</x:v>
      </x:c>
      <x:c r="H124" s="5" t="str">
        <x:v>房间密码必填</x:v>
      </x:c>
      <x:c r="I124" s="5" t="str">
        <x:v>1. 密码房灰度开关已开启
2. 主播已进入房型设置</x:v>
      </x:c>
      <x:c r="J124" s="5" t="str">
        <x:v>1. 选择“密码房”
2. 保持房间密码为空
3. 点击“确认”</x:v>
      </x:c>
      <x:c r="K124" s="5" t="str">
        <x:v>房间密码为空时页面提示“请设置房间密码”</x:v>
      </x:c>
      <x:c r="L124" s="5" t="str"/>
      <x:c r="M124" s="5" t="str">
        <x:v>未测</x:v>
      </x:c>
      <x:c r="N124" s="5" t="str"/>
      <x:c r="O124" s="5" t="str">
        <x:v>1. 来源：context/01-用户主播App-项目需求清单.md
2. 来源：prototype/assets/annotations.js
3. 来源：对应 HTML 静态原型；未动态验证
4. 追溯：业务底稿 LIVE-055。
5. 同步追溯：work/liveshow-user-live-testcases/prototype-context-sync-result.json；RSL-0002</x:v>
      </x:c>
    </x:row>
    <x:row r="125" ht="79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P1</x:v>
      </x:c>
      <x:c r="G125" s="5" t="str">
        <x:v>验证密码房广场展示范围</x:v>
      </x:c>
      <x:c r="H125" s="5" t="str">
        <x:v>密码房可见范围</x:v>
      </x:c>
      <x:c r="I125" s="5" t="str">
        <x:v>1. 密码房灰度开关已开启
2. 主播已选择密码房并设置有效密码</x:v>
      </x:c>
      <x:c r="J125" s="5" t="str">
        <x:v>1. 关闭“在广场展示”
2. 开启“从粉丝中授权可见”并选择两名粉丝
3. 保存房型
4. 分别由授权粉丝和非授权用户通过已知入口尝试进入</x:v>
      </x:c>
      <x:c r="K125" s="5" t="str">
        <x:v>主播关闭“在广场展示”后，直播广场不展示该密码房</x:v>
      </x:c>
      <x:c r="L125" s="5" t="str"/>
      <x:c r="M125" s="5" t="str">
        <x:v>未测</x:v>
      </x:c>
      <x:c r="N125" s="5" t="str"/>
      <x:c r="O125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同步追溯：work/liveshow-user-live-testcases/prototype-context-sync-result.json；RSL-0002</x:v>
      </x:c>
    </x:row>
    <x:row r="126" ht="79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逻辑校验</x:v>
      </x:c>
      <x:c r="F126" s="5" t="str">
        <x:v>P1</x:v>
      </x:c>
      <x:c r="G126" s="5" t="str">
        <x:v>验证授权名单不能绕过房间密码</x:v>
      </x:c>
      <x:c r="H126" s="5" t="str">
        <x:v>授权用户密码校验</x:v>
      </x:c>
      <x:c r="I126" s="5" t="str">
        <x:v>1. 密码房灰度开关已开启
2. 主播已选择密码房并设置有效密码</x:v>
      </x:c>
      <x:c r="J126" s="5" t="str">
        <x:v>1. 关闭“在广场展示”
2. 开启“从粉丝中授权可见”并选择两名粉丝
3. 保存房型
4. 分别由授权粉丝和非授权用户通过已知入口尝试进入</x:v>
      </x:c>
      <x:c r="K126" s="5" t="str">
        <x:v>授权粉丝和非授权用户进入直播内容前均需通过房间密码校验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来源：context/01-用户主播App-角色与用例.md
3. 来源：prototype/assets/annotations.js
4. 追溯：业务底稿 LIVE-056。
5. 同步追溯：work/liveshow-user-live-testcases/prototype-context-sync-result.json；RSL-0002</x:v>
      </x:c>
    </x:row>
    <x:row r="127" ht="67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P2</x:v>
      </x:c>
      <x:c r="G127" s="5" t="str">
        <x:v>验证摄像头从前置切换为后置</x:v>
      </x:c>
      <x:c r="H127" s="5" t="str">
        <x:v>后置摄像头切换</x:v>
      </x:c>
      <x:c r="I127" s="5" t="str">
        <x:v>1. 设备前后摄像头可用
2. 主播已进入开播设置</x:v>
      </x:c>
      <x:c r="J127" s="5" t="str">
        <x:v>1. 点击切换摄像头</x:v>
      </x:c>
      <x:c r="K127" s="5" t="str">
        <x:v>首次点击后预览从前置切换为后置</x:v>
      </x:c>
      <x:c r="L127" s="5" t="str"/>
      <x:c r="M127" s="5" t="str">
        <x:v>未测</x:v>
      </x:c>
      <x:c r="N127" s="5" t="str"/>
      <x:c r="O127" s="5" t="str">
        <x:v>1. 来源：prototype/assets/annotations.js
2. 来源：对应 HTML 静态原型；未动态验证
3. 追溯：业务底稿 LIVE-057。
4. 同步追溯：work/liveshow-user-live-testcases/prototype-context-sync-result.json；RSL-0002</x:v>
      </x:c>
    </x:row>
    <x:row r="128" ht="67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P2</x:v>
      </x:c>
      <x:c r="G128" s="5" t="str">
        <x:v>验证摄像头从后置切换回前置</x:v>
      </x:c>
      <x:c r="H128" s="5" t="str">
        <x:v>前置摄像头恢复</x:v>
      </x:c>
      <x:c r="I128" s="5" t="str">
        <x:v>1. 设备前后摄像头可用
2. 主播已进入开播设置</x:v>
      </x:c>
      <x:c r="J128" s="5" t="str">
        <x:v>1. 点击切换摄像头
2. 再次点击切换摄像头</x:v>
      </x:c>
      <x:c r="K128" s="5" t="str">
        <x:v>再次点击后预览恢复前置</x:v>
      </x:c>
      <x:c r="L128" s="5" t="str"/>
      <x:c r="M128" s="5" t="str">
        <x:v>未测</x:v>
      </x:c>
      <x:c r="N128" s="5" t="str"/>
      <x:c r="O128" s="5" t="str">
        <x:v>1. 来源：prototype/assets/annotations.js
2. 来源：对应 HTML 静态原型；未动态验证
3. 追溯：业务底稿 LIVE-057。
4. 同步追溯：work/liveshow-user-live-testcases/prototype-context-sync-result.json；RSL-0002</x:v>
      </x:c>
    </x:row>
    <x:row r="129" ht="67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P2</x:v>
      </x:c>
      <x:c r="G129" s="5" t="str">
        <x:v>验证美颜参数切换后保留</x:v>
      </x:c>
      <x:c r="H129" s="5" t="str">
        <x:v>美颜参数记忆</x:v>
      </x:c>
      <x:c r="I129" s="5" t="str">
        <x:v>1. 美颜 SDK 可用
2. 主播已打开美颜设置</x:v>
      </x:c>
      <x:c r="J129" s="5" t="str">
        <x:v>1. 选择“磨皮”并调至 70
2. 切换分类后返回“美颜”</x:v>
      </x:c>
      <x:c r="K129" s="5" t="str">
        <x:v>切换标签后“磨皮”参数仍为 70</x:v>
      </x:c>
      <x:c r="L129" s="5" t="str"/>
      <x:c r="M129" s="5" t="str">
        <x:v>未测</x:v>
      </x:c>
      <x:c r="N129" s="5" t="str"/>
      <x:c r="O129" s="5" t="str">
        <x:v>1. 来源：prototype/assets/annotations.js
2. 来源：对应 HTML 静态原型；未动态验证
3. 追溯：业务底稿 LIVE-058。
4. 同步追溯：work/liveshow-user-live-testcases/prototype-context-sync-result.json；RSL-0002</x:v>
      </x:c>
    </x:row>
    <x:row r="130" ht="67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功能需求</x:v>
      </x:c>
      <x:c r="F130" s="5" t="str">
        <x:v>P2</x:v>
      </x:c>
      <x:c r="G130" s="5" t="str">
        <x:v>验证美型参数切换后保留</x:v>
      </x:c>
      <x:c r="H130" s="5" t="str">
        <x:v>美型参数记忆</x:v>
      </x:c>
      <x:c r="I130" s="5" t="str">
        <x:v>1. 美颜 SDK 可用
2. 主播已打开美颜设置</x:v>
      </x:c>
      <x:c r="J130" s="5" t="str">
        <x:v>1. 选择“大眼”并调至 30
2. 切换分类后返回“美型”</x:v>
      </x:c>
      <x:c r="K130" s="5" t="str">
        <x:v>切换标签后“大眼”参数仍为 30</x:v>
      </x:c>
      <x:c r="L130" s="5" t="str"/>
      <x:c r="M130" s="5" t="str">
        <x:v>未测</x:v>
      </x:c>
      <x:c r="N130" s="5" t="str"/>
      <x:c r="O130" s="5" t="str">
        <x:v>1. 来源：prototype/assets/annotations.js
2. 来源：对应 HTML 静态原型；未动态验证
3. 追溯：业务底稿 LIVE-058。
4. 同步追溯：work/liveshow-user-live-testcases/prototype-context-sync-result.json；RSL-0002</x:v>
      </x:c>
    </x:row>
    <x:row r="131" ht="67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P2</x:v>
      </x:c>
      <x:c r="G131" s="5" t="str">
        <x:v>验证恢复默认重置全部美颜参数</x:v>
      </x:c>
      <x:c r="H131" s="5" t="str">
        <x:v>美颜恢复默认</x:v>
      </x:c>
      <x:c r="I131" s="5" t="str">
        <x:v>1. 美颜和美型均已选择项目并修改参数</x:v>
      </x:c>
      <x:c r="J131" s="5" t="str">
        <x:v>1. 点击“恢复默认”
2. 分别查看美颜和美型</x:v>
      </x:c>
      <x:c r="K131" s="5" t="str">
        <x:v>点击重置后，全部美颜和美型参数恢复为 50</x:v>
      </x:c>
      <x:c r="L131" s="5" t="str"/>
      <x:c r="M131" s="5" t="str">
        <x:v>未测</x:v>
      </x:c>
      <x:c r="N131" s="5" t="str"/>
      <x:c r="O131" s="5" t="str">
        <x:v>1. 来源：prototype/assets/annotations.js
2. 来源：对应 HTML 静态原型；未动态验证
3. 追溯：业务底稿 LIVE-059。
4. 同步追溯：work/liveshow-user-live-testcases/prototype-context-sync-result.json；RSL-0002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业务流程</x:v>
      </x:c>
      <x:c r="F132" s="5" t="str">
        <x:v>P0</x:v>
      </x:c>
      <x:c r="G132" s="5" t="str">
        <x:v>验证开播时创建直播场次</x:v>
      </x:c>
      <x:c r="H132" s="5" t="str">
        <x:v>直播场次创建</x:v>
      </x:c>
      <x:c r="I132" s="5" t="str">
        <x:v>1. 主播具备直播权限
2. 已设置有效标题、封面、分类和房型
3. 摄像头与直播 SDK 可用</x:v>
      </x:c>
      <x:c r="J132" s="5" t="str">
        <x:v>1. 点击“开始直播”
2. 等待开播倒计时完成
3. 点击“进入直播间”</x:v>
      </x:c>
      <x:c r="K132" s="5" t="str">
        <x:v>系统创建一场进行中的直播场次</x:v>
      </x:c>
      <x:c r="L132" s="5" t="str">
        <x:v>FLOW-LIVE-001</x:v>
      </x:c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
6. 同步追溯：work/liveshow-user-live-testcases/prototype-context-sync-result.json；RSL-0002
7. 共同业务对象：同一直播场次
8. 流程阶段：直播场次创建</x:v>
      </x:c>
    </x:row>
    <x:row r="133" ht="67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验证灰度关闭时不能保存特殊房型</x:v>
      </x:c>
      <x:c r="H133" s="5" t="str">
        <x:v>特殊房型灰度限制</x:v>
      </x:c>
      <x:c r="I133" s="5" t="str">
        <x:v>1. 后台关闭门票房和密码房灰度开关
2. 主播已进入房型设置</x:v>
      </x:c>
      <x:c r="J133" s="5" t="str">
        <x:v>1. 查看可选房型
2. 尝试选择门票房和密码房</x:v>
      </x:c>
      <x:c r="K133" s="5" t="str">
        <x:v>主播不能保存被关闭的特殊房型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追溯：业务底稿 LIVE-063。
4. 同步追溯：work/liveshow-user-live-testcases/prototype-context-sync-result.json；RSL-0002</x:v>
      </x:c>
    </x:row>
    <x:row r="134" ht="67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逻辑校验</x:v>
      </x:c>
      <x:c r="F134" s="5" t="str">
        <x:v>P1</x:v>
      </x:c>
      <x:c r="G134" s="5" t="str">
        <x:v>验证特殊房型关闭不影响普通房</x:v>
      </x:c>
      <x:c r="H134" s="5" t="str">
        <x:v>普通房灰度隔离</x:v>
      </x:c>
      <x:c r="I134" s="5" t="str">
        <x:v>1. 后台关闭门票房和密码房灰度开关
2. 主播已进入房型设置</x:v>
      </x:c>
      <x:c r="J134" s="5" t="str">
        <x:v>1. 查看可选房型
2. 尝试选择门票房和密码房</x:v>
      </x:c>
      <x:c r="K134" s="5" t="str">
        <x:v>房型设置保存为普通房</x:v>
      </x:c>
      <x:c r="L134" s="5" t="str"/>
      <x:c r="M134" s="5" t="str">
        <x:v>未测</x:v>
      </x:c>
      <x:c r="N134" s="5" t="str"/>
      <x:c r="O134" s="5" t="str">
        <x:v>1. 来源：context/01-用户主播App-项目需求清单.md
2. 来源：context/01-用户主播App-角色与用例.md
3. 追溯：业务底稿 LIVE-063。
4. 同步追溯：work/liveshow-user-live-testcases/prototype-context-sync-result.json；RSL-0002</x:v>
      </x:c>
    </x:row>
    <x:row r="135" ht="115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业务流程</x:v>
      </x:c>
      <x:c r="F135" s="5" t="str">
        <x:v>P1</x:v>
      </x:c>
      <x:c r="G135" s="5" t="str">
        <x:v>验证主播保存有效门票房设置</x:v>
      </x:c>
      <x:c r="H135" s="5" t="str">
        <x:v>门票房有效设置</x:v>
      </x:c>
      <x:c r="I135" s="5" t="str">
        <x:v>1. 主播具备直播权限
2. 门票房灰度开关已开启</x:v>
      </x:c>
      <x:c r="J135" s="5" t="str">
        <x:v>1. 进入开播设置
2. 打开房型设置
3. 选择“门票”
4. 填写门票价格 10 金币
5. 保存房型设置</x:v>
      </x:c>
      <x:c r="K135" s="5" t="str">
        <x:v>房型设置保存为门票房</x:v>
      </x:c>
      <x:c r="L135" s="5" t="str">
        <x:v>FLOW-LIVE-002</x:v>
      </x:c>
      <x:c r="M135" s="5" t="str">
        <x:v>未测</x:v>
      </x:c>
      <x:c r="N135" s="5" t="str"/>
      <x:c r="O135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同步追溯：work/liveshow-user-live-testcases/prototype-context-sync-result.json；RSL-0002
7. 共同业务对象：同一门票房场次和购票资格
8. 流程阶段：门票房有效设置</x:v>
      </x:c>
    </x:row>
    <x:row r="136" ht="127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业务流程</x:v>
      </x:c>
      <x:c r="F136" s="5" t="str">
        <x:v>P1</x:v>
      </x:c>
      <x:c r="G136" s="5" t="str">
        <x:v>验证主播保存有效密码房设置</x:v>
      </x:c>
      <x:c r="H136" s="5" t="str">
        <x:v>密码房有效设置</x:v>
      </x:c>
      <x:c r="I136" s="5" t="str">
        <x:v>1. 主播具备直播权限
2. 密码房灰度开关已开启
3. 使用符合当前原型 4 至 12 位提示的测试密码</x:v>
      </x:c>
      <x:c r="J136" s="5" t="str">
        <x:v>1. 进入开播设置
2. 打开房型设置
3. 选择“密码”
4. 填写有效密码
5. 设置广场展示范围和粉丝授权名单
6. 保存房型设置</x:v>
      </x:c>
      <x:c r="K136" s="5" t="str">
        <x:v>房型设置保存为密码房</x:v>
      </x:c>
      <x:c r="L136" s="5" t="str">
        <x:v>FLOW-LIVE-003</x:v>
      </x:c>
      <x:c r="M136" s="5" t="str">
        <x:v>未测</x:v>
      </x:c>
      <x:c r="N136" s="5" t="str"/>
      <x:c r="O136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同步追溯：work/liveshow-user-live-testcases/prototype-context-sync-result.json；RSL-0002
8. 共同业务对象：同一密码房场次
9. 流程阶段：密码房有效设置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验证开播倒计时结束后的成功提示</x:v>
      </x:c>
      <x:c r="H137" s="5" t="str">
        <x:v>开播成功提示</x:v>
      </x:c>
      <x:c r="I137" s="5" t="str">
        <x:v>1. 主播具备直播权限
2. 已完成有效开播设置</x:v>
      </x:c>
      <x:c r="J137" s="5" t="str">
        <x:v>1. 点击“开始直播”</x:v>
      </x:c>
      <x:c r="K137" s="5" t="str">
        <x:v>倒计时结束后页面提示“已开始直播”</x:v>
      </x:c>
      <x:c r="L137" s="5" t="str">
        <x:v>FLOW-LIVE-001</x:v>
      </x:c>
      <x:c r="M137" s="5" t="str">
        <x:v>未测</x:v>
      </x:c>
      <x:c r="N137" s="5" t="str"/>
      <x:c r="O137" s="5" t="str">
        <x:v>1. 来源：prototype/pages/user/host/start-live-settings.html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共同业务对象：同一直播场次
6. 流程阶段：开播成功提示</x:v>
      </x:c>
    </x:row>
    <x:row r="138" ht="79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P1</x:v>
      </x:c>
      <x:c r="G138" s="5" t="str">
        <x:v>验证开播设置页的密码输入提示</x:v>
      </x:c>
      <x:c r="H138" s="5" t="str">
        <x:v>开播密码提示</x:v>
      </x:c>
      <x:c r="I138" s="5" t="str">
        <x:v>1. 主播已打开房型设置</x:v>
      </x:c>
      <x:c r="J138" s="5" t="str">
        <x:v>1. 选择“密码房”
2. 查看房间密码输入框</x:v>
      </x:c>
      <x:c r="K138" s="5" t="str">
        <x:v>密码输入框提示“设置 4-12 位密码”</x:v>
      </x:c>
      <x:c r="L138" s="5" t="str"/>
      <x:c r="M138" s="5" t="str">
        <x:v>未测</x:v>
      </x:c>
      <x:c r="N138" s="5" t="str"/>
      <x:c r="O138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39" ht="79.5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逻辑校验</x:v>
      </x:c>
      <x:c r="F139" s="5" t="str">
        <x:v>P1</x:v>
      </x:c>
      <x:c r="G139" s="5" t="str">
        <x:v>验证开播设置页的密码输入上限</x:v>
      </x:c>
      <x:c r="H139" s="5" t="str">
        <x:v>开播密码 12 位上限</x:v>
      </x:c>
      <x:c r="I139" s="5" t="str">
        <x:v>1. 主播已选择密码房</x:v>
      </x:c>
      <x:c r="J139" s="5" t="str">
        <x:v>1. 在房间密码输入框输入超过 12 位的内容</x:v>
      </x:c>
      <x:c r="K139" s="5" t="str">
        <x:v>房间密码输入框最多保留 12 位内容</x:v>
      </x:c>
      <x:c r="L139" s="5" t="str"/>
      <x:c r="M139" s="5" t="str">
        <x:v>未测</x:v>
      </x:c>
      <x:c r="N139" s="5" t="str"/>
      <x:c r="O13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0" ht="55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功能需求</x:v>
      </x:c>
      <x:c r="F140" s="5" t="str">
        <x:v>P2</x:v>
      </x:c>
      <x:c r="G140" s="5" t="str">
        <x:v>验证选择直播封面后的提示</x:v>
      </x:c>
      <x:c r="H140" s="5" t="str">
        <x:v>封面选择提示</x:v>
      </x:c>
      <x:c r="I140" s="5" t="str">
        <x:v>1. 主播已进入开播设置
2. 已准备一张可选择的图片</x:v>
      </x:c>
      <x:c r="J140" s="5" t="str">
        <x:v>1. 选择该图片作为直播封面</x:v>
      </x:c>
      <x:c r="K140" s="5" t="str">
        <x:v>页面提示“已选择封面：【文件名】”</x:v>
      </x:c>
      <x:c r="L140" s="5" t="str"/>
      <x:c r="M140" s="5" t="str">
        <x:v>未测</x:v>
      </x:c>
      <x:c r="N140" s="5" t="str"/>
      <x:c r="O140" s="5" t="str">
        <x:v>1. 来源：prototype/pages/user/host/start-live-settings.html 与当页交互脚本；未动态验证
2. 同步追溯：work/liveshow-user-live-testcases/prototype-context-sync-result.json；RSL-0002</x:v>
      </x:c>
    </x:row>
    <x:row r="141" ht="91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功能需求</x:v>
      </x:c>
      <x:c r="F141" s="5" t="str">
        <x:v>P2</x:v>
      </x:c>
      <x:c r="G141" s="5" t="str">
        <x:v>验证重置美颜后清除选中项</x:v>
      </x:c>
      <x:c r="H141" s="5" t="str">
        <x:v>美颜选中项重置</x:v>
      </x:c>
      <x:c r="I141" s="5" t="str">
        <x:v>1. 美颜和美型均已选择调整项</x:v>
      </x:c>
      <x:c r="J141" s="5" t="str">
        <x:v>1. 点击“重置”</x:v>
      </x:c>
      <x:c r="K141" s="5" t="str">
        <x:v>美颜和美型的当前选中项均被清除</x:v>
      </x:c>
      <x:c r="L141" s="5" t="str"/>
      <x:c r="M141" s="5" t="str">
        <x:v>未测</x:v>
      </x:c>
      <x:c r="N141" s="5" t="str"/>
      <x:c r="O141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同步追溯：work/liveshow-user-live-testcases/prototype-context-sync-result.json；RSL-0002</x:v>
      </x:c>
    </x:row>
    <x:row r="142" ht="79.5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验证点击开始直播后进入三秒倒计时</x:v>
      </x:c>
      <x:c r="H142" s="5" t="str">
        <x:v>开播三秒倒计时</x:v>
      </x:c>
      <x:c r="I142" s="5" t="str">
        <x:v>1. 开播设置已填写可保存的内容</x:v>
      </x:c>
      <x:c r="J142" s="5" t="str">
        <x:v>1. 点击“开始直播”</x:v>
      </x:c>
      <x:c r="K142" s="5" t="str">
        <x:v>开播遮罩首先显示数字 3 和“准备开播”</x:v>
      </x:c>
      <x:c r="L142" s="5" t="str"/>
      <x:c r="M142" s="5" t="str">
        <x:v>未测</x:v>
      </x:c>
      <x:c r="N142" s="5" t="str"/>
      <x:c r="O142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3" ht="79.5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功能需求</x:v>
      </x:c>
      <x:c r="F143" s="5" t="str">
        <x:v>P1</x:v>
      </x:c>
      <x:c r="G143" s="5" t="str">
        <x:v>验证开播倒计时结束后显示进房入口</x:v>
      </x:c>
      <x:c r="H143" s="5" t="str">
        <x:v>倒计时后进房入口</x:v>
      </x:c>
      <x:c r="I143" s="5" t="str">
        <x:v>1. 开播三秒倒计时已开始</x:v>
      </x:c>
      <x:c r="J143" s="5" t="str">
        <x:v>1. 等待倒计时结束</x:v>
      </x:c>
      <x:c r="K143" s="5" t="str">
        <x:v>页面显示“进入直播间”按钮</x:v>
      </x:c>
      <x:c r="L143" s="5" t="str"/>
      <x:c r="M143" s="5" t="str">
        <x:v>未测</x:v>
      </x:c>
      <x:c r="N143" s="5" t="str"/>
      <x:c r="O143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4" ht="7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业务流程</x:v>
      </x:c>
      <x:c r="F144" s="5" t="str">
        <x:v>P0</x:v>
      </x:c>
      <x:c r="G144" s="5" t="str">
        <x:v>验证主播从开播结果进入直播间</x:v>
      </x:c>
      <x:c r="H144" s="5" t="str">
        <x:v>开播后进入主播房</x:v>
      </x:c>
      <x:c r="I144" s="5" t="str">
        <x:v>1. 倒计时已结束
2. 页面已显示“进入直播间”按钮</x:v>
      </x:c>
      <x:c r="J144" s="5" t="str">
        <x:v>1. 点击“进入直播间”</x:v>
      </x:c>
      <x:c r="K144" s="5" t="str">
        <x:v>页面进入主播直播间</x:v>
      </x:c>
      <x:c r="L144" s="5" t="str"/>
      <x:c r="M144" s="5" t="str">
        <x:v>未测</x:v>
      </x:c>
      <x:c r="N144" s="5" t="str"/>
      <x:c r="O144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5" ht="79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验证空直播标题不写入开播设置</x:v>
      </x:c>
      <x:c r="H145" s="5" t="str">
        <x:v>空标题保存拦截</x:v>
      </x:c>
      <x:c r="I145" s="5" t="str">
        <x:v>1. 主播已打开直播标题编辑</x:v>
      </x:c>
      <x:c r="J145" s="5" t="str">
        <x:v>1. 清空标题或仅输入空格
2. 点击“保存”</x:v>
      </x:c>
      <x:c r="K145" s="5" t="str">
        <x:v>开播设置页不回显空标题为已保存主题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6" ht="79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功能需求</x:v>
      </x:c>
      <x:c r="F146" s="5" t="str">
        <x:v>P1</x:v>
      </x:c>
      <x:c r="G146" s="5" t="str">
        <x:v>验证门票房价格保存后回显</x:v>
      </x:c>
      <x:c r="H146" s="5" t="str">
        <x:v>门票房价格回显</x:v>
      </x:c>
      <x:c r="I146" s="5" t="str">
        <x:v>1. 主播已保存价格为 10 金币的门票房设置</x:v>
      </x:c>
      <x:c r="J146" s="5" t="str">
        <x:v>1. 再次打开房型设置</x:v>
      </x:c>
      <x:c r="K146" s="5" t="str">
        <x:v>门票价格回显为 10 金币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7" ht="79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P1</x:v>
      </x:c>
      <x:c r="G147" s="5" t="str">
        <x:v>验证密码房可见范围保存后回显</x:v>
      </x:c>
      <x:c r="H147" s="5" t="str">
        <x:v>密码房可见范围回显</x:v>
      </x:c>
      <x:c r="I147" s="5" t="str">
        <x:v>1. 主播已保存密码房的广场展示和粉丝授权设置</x:v>
      </x:c>
      <x:c r="J147" s="5" t="str">
        <x:v>1. 再次打开房型设置</x:v>
      </x:c>
      <x:c r="K147" s="5" t="str">
        <x:v>页面回显上次保存的密码房可见范围</x:v>
      </x:c>
      <x:c r="L147" s="5" t="str"/>
      <x:c r="M147" s="5" t="str">
        <x:v>未测</x:v>
      </x:c>
      <x:c r="N147" s="5" t="str"/>
      <x:c r="O147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同步追溯：work/liveshow-user-live-testcases/prototype-context-sync-result.json；RSL-0002</x:v>
      </x:c>
    </x:row>
    <x:row r="148" ht="103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开播控制</x:v>
      </x:c>
      <x:c r="E148" s="5" t="str">
        <x:v>业务流程</x:v>
      </x:c>
      <x:c r="F148" s="5" t="str">
        <x:v>P1</x:v>
      </x:c>
      <x:c r="G148" s="5" t="str">
        <x:v>验证开播成功后直播场次进入直播广场</x:v>
      </x:c>
      <x:c r="H148" s="5" t="str">
        <x:v>开播后的广场入口</x:v>
      </x:c>
      <x:c r="I148" s="5" t="str">
        <x:v>1. 主播已成功创建一场进行中的直播
2. 直播标题、封面、分类和房型已保存</x:v>
      </x:c>
      <x:c r="J148" s="5" t="str">
        <x:v>1. 由另一名用户刷新直播广场
2. 查找该主播的直播场次</x:v>
      </x:c>
      <x:c r="K148" s="5" t="str">
        <x:v>开播成功后直播广场出现本场观看入口，卡片的主播、标题、封面、分类和房型与开播设置一致</x:v>
      </x:c>
      <x:c r="L148" s="5" t="str">
        <x:v>FLOW-LIVE-001</x:v>
      </x:c>
      <x:c r="M148" s="5" t="str">
        <x:v>未测</x:v>
      </x:c>
      <x:c r="N148" s="5" t="str"/>
      <x:c r="O148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
5. 同步追溯：work/liveshow-user-live-testcases/prototype-context-sync-result.json；RSL-0002
6. 共同业务对象：同一直播场次
7. 流程阶段：开播后的广场入口</x:v>
      </x:c>
    </x:row>
    <x:row r="149" ht="67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开播控制</x:v>
      </x:c>
      <x:c r="E149" s="5" t="str">
        <x:v>业务流程</x:v>
      </x:c>
      <x:c r="F149" s="5" t="str">
        <x:v>P1</x:v>
      </x:c>
      <x:c r="G149" s="5" t="str">
        <x:v>验证开播成功后向关注用户发送提醒</x:v>
      </x:c>
      <x:c r="H149" s="5" t="str">
        <x:v>关注用户开播提醒</x:v>
      </x:c>
      <x:c r="I149" s="5" t="str">
        <x:v>1. 用户 A 已关注目标主播并允许接收开播提醒
2. 用户 B 未关注目标主播
3. 目标主播尚未开播</x:v>
      </x:c>
      <x:c r="J149" s="5" t="str">
        <x:v>1. 目标主播成功开始直播
2. 分别查看用户 A 和用户 B 的通知</x:v>
      </x:c>
      <x:c r="K149" s="5" t="str">
        <x:v>仅已关注目标主播的用户 A 收到本场开播提醒，未关注的用户 B 不收到该提醒</x:v>
      </x:c>
      <x:c r="L149" s="5" t="str"/>
      <x:c r="M149" s="5" t="str">
        <x:v>未测</x:v>
      </x:c>
      <x:c r="N149" s="5" t="str"/>
      <x:c r="O149" s="5" t="str">
        <x:v>1. 来源：context/01-用户主播App-项目需求清单.md
2. 来源：context/01-用户主播App-角色与用例.md
3. 追溯：业务底稿 LIVE-062。
4. 同步追溯：work/liveshow-user-live-testcases/prototype-context-sync-result.json；RSL-0002</x:v>
      </x:c>
    </x:row>
    <x:row r="150" ht="79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主播直播间</x:v>
      </x:c>
      <x:c r="E150" s="5" t="str">
        <x:v>功能需求</x:v>
      </x:c>
      <x:c r="F150" s="5" t="str">
        <x:v>P1</x:v>
      </x:c>
      <x:c r="G150" s="5" t="str">
        <x:v>验证主播查看在线用户经营标识</x:v>
      </x:c>
      <x:c r="H150" s="5" t="str">
        <x:v>在线用户身份标识</x:v>
      </x:c>
      <x:c r="I150" s="5" t="str">
        <x:v>1. 主播正在直播
2. 在线用户覆盖新用户、老粉、粉丝团成员、高贡献用户、财富等级用户和受限用户</x:v>
      </x:c>
      <x:c r="J150" s="5" t="str">
        <x:v>1. 点击在线观众入口
2. 查看各类用户资料</x:v>
      </x:c>
      <x:c r="K150" s="5" t="str">
        <x:v>在线用户列表按实际用户状态展示新用户、关注或老粉、粉丝团、贡献、财富等级和限制标识</x:v>
      </x:c>
      <x:c r="L150" s="5" t="str"/>
      <x:c r="M150" s="5" t="str">
        <x:v>未测</x:v>
      </x:c>
      <x:c r="N150" s="5" t="str"/>
      <x:c r="O150" s="5" t="str">
        <x:v>1. 来源：context/01-用户主播App-项目需求清单.md
2. 来源：context/01-用户主播App-角色与用例.md
3. 来源：prototype/assets/annotations.js
4. 追溯：业务底稿 LIVE-064。
5. 同步追溯：work/liveshow-user-live-testcases/prototype-context-sync-result.json；RSL-0002</x:v>
      </x:c>
    </x:row>
    <x:row r="151" ht="67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主播直播间</x:v>
      </x:c>
      <x:c r="E151" s="5" t="str">
        <x:v>逻辑校验</x:v>
      </x:c>
      <x:c r="F151" s="5" t="str">
        <x:v>P1</x:v>
      </x:c>
      <x:c r="G151" s="5" t="str">
        <x:v>验证普通礼物计入本场收礼</x:v>
      </x:c>
      <x:c r="H151" s="5" t="str">
        <x:v>本场收礼金额</x:v>
      </x:c>
      <x:c r="I151" s="5" t="str">
        <x:v>1. 主播本场初始普通礼物收益为 500 金币
2. 观众随后赠送价值 100 金币的普通礼物
3. 无其他收益变动</x:v>
      </x:c>
      <x:c r="J151" s="5" t="str">
        <x:v>1. 记录本场收礼值
2. 观众赠送 100 金币普通礼物
3. 查看本场收礼</x:v>
      </x:c>
      <x:c r="K151" s="5" t="str">
        <x:v>本场普通礼物收礼增加 100 金币</x:v>
      </x:c>
      <x:c r="L151" s="5" t="str"/>
      <x:c r="M151" s="5" t="str">
        <x:v>未测</x:v>
      </x:c>
      <x:c r="N151" s="5" t="str"/>
      <x:c r="O151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52" ht="6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主播直播间</x:v>
      </x:c>
      <x:c r="E152" s="5" t="str">
        <x:v>逻辑校验</x:v>
      </x:c>
      <x:c r="F152" s="5" t="str">
        <x:v>P1</x:v>
      </x:c>
      <x:c r="G152" s="5" t="str">
        <x:v>验证普通礼物计入实时收益</x:v>
      </x:c>
      <x:c r="H152" s="5" t="str">
        <x:v>实时收益金额</x:v>
      </x:c>
      <x:c r="I152" s="5" t="str">
        <x:v>1. 主播本场初始普通礼物收益为 500 金币
2. 观众随后赠送价值 100 金币的普通礼物
3. 无其他收益变动</x:v>
      </x:c>
      <x:c r="J152" s="5" t="str">
        <x:v>1. 记录主播实时收益 500 金币
2. 观众赠送 100 金币普通礼物
3. 查看实时收益</x:v>
      </x:c>
      <x:c r="K152" s="5" t="str">
        <x:v>实时收益 = 500 + 100 = 600 金币</x:v>
      </x:c>
      <x:c r="L152" s="5" t="str"/>
      <x:c r="M152" s="5" t="str">
        <x:v>未测</x:v>
      </x:c>
      <x:c r="N152" s="5" t="str"/>
      <x:c r="O152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53" ht="6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主播直播间</x:v>
      </x:c>
      <x:c r="E153" s="5" t="str">
        <x:v>逻辑校验</x:v>
      </x:c>
      <x:c r="F153" s="5" t="str">
        <x:v>P1</x:v>
      </x:c>
      <x:c r="G153" s="5" t="str">
        <x:v>验证礼物消费和收益流水关联</x:v>
      </x:c>
      <x:c r="H153" s="5" t="str">
        <x:v>消费收益流水关联</x:v>
      </x:c>
      <x:c r="I153" s="5" t="str">
        <x:v>1. 主播本场初始普通礼物收益为 500 金币
2. 观众随后赠送价值 100 金币的普通礼物
3. 无其他收益变动</x:v>
      </x:c>
      <x:c r="J153" s="5" t="str">
        <x:v>1. 观众赠送 100 金币普通礼物
2. 分别查看消费流水和收益流水</x:v>
      </x:c>
      <x:c r="K153" s="5" t="str">
        <x:v>消费流水和收益流水使用同一直播场次标识</x:v>
      </x:c>
      <x:c r="L153" s="5" t="str"/>
      <x:c r="M153" s="5" t="str">
        <x:v>未测</x:v>
      </x:c>
      <x:c r="N153" s="5" t="str"/>
      <x:c r="O153" s="5" t="str">
        <x:v>1. 来源：context/01-用户主播App-项目需求清单.md
2. 来源：context/01-用户主播App-角色与用例.md
3. 追溯：业务底稿 LIVE-065。
4. 同步追溯：work/liveshow-user-live-testcases/prototype-context-sync-result.json；RSL-0002</x:v>
      </x:c>
    </x:row>
    <x:row r="154" ht="6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主播直播间</x:v>
      </x:c>
      <x:c r="E154" s="5" t="str">
        <x:v>功能需求</x:v>
      </x:c>
      <x:c r="F154" s="5" t="str">
        <x:v>P2</x:v>
      </x:c>
      <x:c r="G154" s="5" t="str">
        <x:v>验证在线观众按贡献排序</x:v>
      </x:c>
      <x:c r="H154" s="5" t="str">
        <x:v>观众贡献排序</x:v>
      </x:c>
      <x:c r="I154" s="5" t="str">
        <x:v>1. 主播正在直播
2. 至少三名在线用户具有不同贡献和停留时长</x:v>
      </x:c>
      <x:c r="J154" s="5" t="str">
        <x:v>1. 打开在线观众
2. 选择按贡献排序</x:v>
      </x:c>
      <x:c r="K154" s="5" t="str">
        <x:v>按贡献排序时列表顺序依据本场贡献值</x:v>
      </x:c>
      <x:c r="L154" s="5" t="str"/>
      <x:c r="M154" s="5" t="str">
        <x:v>未测</x:v>
      </x:c>
      <x:c r="N154" s="5" t="str"/>
      <x:c r="O154" s="5" t="str">
        <x:v>1. 来源：prototype/assets/annotations.js
2. 来源：对应 HTML 静态原型；未动态验证
3. 追溯：业务底稿 LIVE-066。
4. 同步追溯：work/liveshow-user-live-testcases/prototype-context-sync-result.json；RSL-0002</x:v>
      </x:c>
    </x:row>
    <x:row r="155" ht="67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主播直播间</x:v>
      </x:c>
      <x:c r="E155" s="5" t="str">
        <x:v>功能需求</x:v>
      </x:c>
      <x:c r="F155" s="5" t="str">
        <x:v>P2</x:v>
      </x:c>
      <x:c r="G155" s="5" t="str">
        <x:v>验证在线观众按停留时长排序</x:v>
      </x:c>
      <x:c r="H155" s="5" t="str">
        <x:v>观众停留时长排序</x:v>
      </x:c>
      <x:c r="I155" s="5" t="str">
        <x:v>1. 主播正在直播
2. 至少三名在线用户具有不同贡献和停留时长</x:v>
      </x:c>
      <x:c r="J155" s="5" t="str">
        <x:v>1. 打开在线观众
2. 选择按停留时长排序</x:v>
      </x:c>
      <x:c r="K155" s="5" t="str">
        <x:v>按停留时长排序时列表顺序依据本场停留时长</x:v>
      </x:c>
      <x:c r="L155" s="5" t="str"/>
      <x:c r="M155" s="5" t="str">
        <x:v>未测</x:v>
      </x:c>
      <x:c r="N155" s="5" t="str"/>
      <x:c r="O155" s="5" t="str">
        <x:v>1. 来源：prototype/assets/annotations.js
2. 来源：对应 HTML 静态原型；未动态验证
3. 追溯：业务底稿 LIVE-066。
4. 同步追溯：work/liveshow-user-live-testcases/prototype-context-sync-result.json；RSL-0002</x:v>
      </x:c>
    </x:row>
    <x:row r="156" ht="79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主播直播间</x:v>
      </x:c>
      <x:c r="E156" s="5" t="str">
        <x:v>功能需求</x:v>
      </x:c>
      <x:c r="F156" s="5" t="str">
        <x:v>P2</x:v>
      </x:c>
      <x:c r="G156" s="5" t="str">
        <x:v>验证主播从用户卡发送 @ 欢迎</x:v>
      </x:c>
      <x:c r="H156" s="5" t="str">
        <x:v>@欢迎用户</x:v>
      </x:c>
      <x:c r="I156" s="5" t="str">
        <x:v>1. 主播正在直播
2. 目标用户在线且可接收公屏消息</x:v>
      </x:c>
      <x:c r="J156" s="5" t="str">
        <x:v>1. 打开目标用户资料卡
2. 点击“@Ta”
3. 填写欢迎内容并发送</x:v>
      </x:c>
      <x:c r="K156" s="5" t="str">
        <x:v>公屏新增由当前主播发送且包含目标用户标识的欢迎消息</x:v>
      </x:c>
      <x:c r="L156" s="5" t="str"/>
      <x:c r="M156" s="5" t="str">
        <x:v>未测</x:v>
      </x:c>
      <x:c r="N156" s="5" t="str"/>
      <x:c r="O156" s="5" t="str">
        <x:v>1. 来源：context/01-用户主播App-项目需求清单.md
2. 来源：context/01-用户主播App-角色与用例.md
3. 来源：对应 HTML 静态原型；未动态验证
4. 追溯：业务底稿 LIVE-067。
5. 同步追溯：work/liveshow-user-live-testcases/prototype-context-sync-result.json；RSL-0002</x:v>
      </x:c>
    </x:row>
    <x:row r="157" ht="67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主播直播间</x:v>
      </x:c>
      <x:c r="E157" s="5" t="str">
        <x:v>逻辑校验</x:v>
      </x:c>
      <x:c r="F157" s="5" t="str">
        <x:v>P1</x:v>
      </x:c>
      <x:c r="G157" s="5" t="str">
        <x:v>验证单场前三条直播间私信可以发送</x:v>
      </x:c>
      <x:c r="H157" s="5" t="str">
        <x:v>前三条私信发送</x:v>
      </x:c>
      <x:c r="I157" s="5" t="str">
        <x:v>1. 主播正在自己的直播场次
2. 目标观众在线、非好友且双方未拉黑
3. 本场尚未向目标发送直播间私信</x:v>
      </x:c>
      <x:c r="J157" s="5" t="str">
        <x:v>1. 通过目标用户卡连续发送三条私信
2. 再次尝试发送第四条私信</x:v>
      </x:c>
      <x:c r="K157" s="5" t="str">
        <x:v>前三条私信以普通私信样式进入目标主消息列表</x:v>
      </x:c>
      <x:c r="L157" s="5" t="str"/>
      <x:c r="M157" s="5" t="str">
        <x:v>未测</x:v>
      </x:c>
      <x:c r="N157" s="5" t="str"/>
      <x:c r="O157" s="5" t="str">
        <x:v>1. 来源：context/01-用户主播App-角色与用例.md
2. 来源：角色与用例文档的业务口径 10
3. 追溯：业务底稿 LIVE-068。
4. 同步追溯：work/liveshow-user-live-testcases/prototype-context-sync-result.json；RSL-0002</x:v>
      </x:c>
    </x:row>
    <x:row r="158" ht="67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主播直播间</x:v>
      </x:c>
      <x:c r="E158" s="5" t="str">
        <x:v>逻辑校验</x:v>
      </x:c>
      <x:c r="F158" s="5" t="str">
        <x:v>P1</x:v>
      </x:c>
      <x:c r="G158" s="5" t="str">
        <x:v>验证单场第四条直播间私信被拦截</x:v>
      </x:c>
      <x:c r="H158" s="5" t="str">
        <x:v>第四条私信拦截</x:v>
      </x:c>
      <x:c r="I158" s="5" t="str">
        <x:v>1. 主播正在自己的直播场次
2. 目标观众在线、非好友且双方未拉黑
3. 本场尚未向目标发送直播间私信</x:v>
      </x:c>
      <x:c r="J158" s="5" t="str">
        <x:v>1. 通过目标用户卡连续发送三条私信
2. 再次尝试发送第四条私信</x:v>
      </x:c>
      <x:c r="K158" s="5" t="str">
        <x:v>主播对同一非好友观众发送第 4 条本场私信时，该消息不发送</x:v>
      </x:c>
      <x:c r="L158" s="5" t="str"/>
      <x:c r="M158" s="5" t="str">
        <x:v>未测</x:v>
      </x:c>
      <x:c r="N158" s="5" t="str"/>
      <x:c r="O158" s="5" t="str">
        <x:v>1. 来源：context/01-用户主播App-角色与用例.md
2. 来源：角色与用例文档的业务口径 10
3. 追溯：业务底稿 LIVE-068。
4. 同步追溯：work/liveshow-user-live-testcases/prototype-context-sync-result.json；RSL-0002</x:v>
      </x:c>
    </x:row>
    <x:row r="159" ht="67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业务流程</x:v>
      </x:c>
      <x:c r="F159" s="5" t="str">
        <x:v>P1</x:v>
      </x:c>
      <x:c r="G159" s="5" t="str">
        <x:v>验证观众可以回复直播间私信</x:v>
      </x:c>
      <x:c r="H159" s="5" t="str">
        <x:v>观众回复私信</x:v>
      </x:c>
      <x:c r="I159" s="5" t="str">
        <x:v>1. 当前直播场次仍在进行
2. 主播已向在线非好友观众发送有效直播间私信
3. 双方未拉黑</x:v>
      </x:c>
      <x:c r="J159" s="5" t="str">
        <x:v>1. 由观众回复该私信
2. 双方继续互发私信</x:v>
      </x:c>
      <x:c r="K159" s="5" t="str">
        <x:v>观众回复消息发送成功</x:v>
      </x:c>
      <x:c r="L159" s="5" t="str"/>
      <x:c r="M159" s="5" t="str">
        <x:v>未测</x:v>
      </x:c>
      <x:c r="N159" s="5" t="str"/>
      <x:c r="O159" s="5" t="str">
        <x:v>1. 来源：context/01-用户主播App-角色与用例.md
2. 来源：context/01-互动场景权限规则.md
3. 追溯：业务底稿 LIVE-069。
4. 同步追溯：work/liveshow-user-live-testcases/prototype-context-sync-result.json；RSL-0002</x:v>
      </x:c>
    </x:row>
    <x:row r="160" ht="67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业务流程</x:v>
      </x:c>
      <x:c r="F160" s="5" t="str">
        <x:v>P1</x:v>
      </x:c>
      <x:c r="G160" s="5" t="str">
        <x:v>验证回复直播间私信后建立好友关系</x:v>
      </x:c>
      <x:c r="H160" s="5" t="str">
        <x:v>回复后建立好友关系</x:v>
      </x:c>
      <x:c r="I160" s="5" t="str">
        <x:v>1. 当前直播场次仍在进行
2. 主播已向在线非好友观众发送有效直播间私信
3. 双方未拉黑</x:v>
      </x:c>
      <x:c r="J160" s="5" t="str">
        <x:v>1. 由观众回复该私信
2. 双方继续互发私信</x:v>
      </x:c>
      <x:c r="K160" s="5" t="str">
        <x:v>观众回复本场直播间私信后，双方建立好友关系</x:v>
      </x:c>
      <x:c r="L160" s="5" t="str"/>
      <x:c r="M160" s="5" t="str">
        <x:v>未测</x:v>
      </x:c>
      <x:c r="N160" s="5" t="str"/>
      <x:c r="O160" s="5" t="str">
        <x:v>1. 来源：context/01-用户主播App-角色与用例.md
2. 来源：context/01-互动场景权限规则.md
3. 追溯：业务底稿 LIVE-069。
4. 同步追溯：work/liveshow-user-live-testcases/prototype-context-sync-result.json；RSL-0002</x:v>
      </x:c>
    </x:row>
    <x:row r="161" ht="67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验证场次结束后非好友不能回复直播间私信</x:v>
      </x:c>
      <x:c r="H161" s="5" t="str">
        <x:v>直播结束后的非好友回复</x:v>
      </x:c>
      <x:c r="I161" s="5" t="str">
        <x:v>1. 主播曾在场次 A 向非好友观众发送直播间私信
2. 场次 A 已结束
3. 观众在场次内未回复且双方仍非好友</x:v>
      </x:c>
      <x:c r="J161" s="5" t="str">
        <x:v>1. 由观众在历史会话中尝试回复该私信</x:v>
      </x:c>
      <x:c r="K161" s="5" t="str">
        <x:v>直播结束后，未建立好友关系的观众不得回复历史直播间私信</x:v>
      </x:c>
      <x:c r="L161" s="5" t="str"/>
      <x:c r="M161" s="5" t="str">
        <x:v>未测</x:v>
      </x:c>
      <x:c r="N161" s="5" t="str"/>
      <x:c r="O161" s="5" t="str">
        <x:v>1. 来源：context/01-用户主播App-角色与用例.md
2. 来源：context/01-互动场景权限规则.md
3. 追溯：业务底稿 LIVE-070。
4. 同步追溯：work/liveshow-user-live-testcases/prototype-context-sync-result.json；RSL-0002</x:v>
      </x:c>
    </x:row>
    <x:row r="162" ht="79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业务流程</x:v>
      </x:c>
      <x:c r="F162" s="5" t="str">
        <x:v>P1</x:v>
      </x:c>
      <x:c r="G162" s="5" t="str">
        <x:v>验证长期房管授权生效</x:v>
      </x:c>
      <x:c r="H162" s="5" t="str">
        <x:v>长期房管权限</x:v>
      </x:c>
      <x:c r="I162" s="5" t="str">
        <x:v>1. 主播已设置的房管少于 3 人
2. 目标用户不在直播间黑名单内
3. 双方无账号拉黑关系</x:v>
      </x:c>
      <x:c r="J162" s="5" t="str">
        <x:v>1. 输入目标用户 ID 或打开目标用户资料卡
2. 开启“设为房管”</x:v>
      </x:c>
      <x:c r="K162" s="5" t="str">
        <x:v>目标用户获得该主播的房管权限，授权在该主播后续直播中持续有效，直至主播取消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来源：context/01-互动场景权限规则.md
4. 追溯：业务底稿 LIVE-072。
5. 同步追溯：work/liveshow-user-live-testcases/prototype-context-sync-result.json；RSL-0002</x:v>
      </x:c>
    </x:row>
    <x:row r="163" ht="79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业务流程</x:v>
      </x:c>
      <x:c r="F163" s="5" t="str">
        <x:v>P1</x:v>
      </x:c>
      <x:c r="G163" s="5" t="str">
        <x:v>验证房管授权关系留存</x:v>
      </x:c>
      <x:c r="H163" s="5" t="str">
        <x:v>房管授权记录</x:v>
      </x:c>
      <x:c r="I163" s="5" t="str">
        <x:v>1. 主播已设置的房管少于 3 人
2. 目标用户不在直播间黑名单内
3. 双方无账号拉黑关系</x:v>
      </x:c>
      <x:c r="J163" s="5" t="str">
        <x:v>1. 输入目标用户 ID 或打开目标用户资料卡
2. 开启“设为房管”</x:v>
      </x:c>
      <x:c r="K163" s="5" t="str">
        <x:v>系统保存主播与房管的授权关系</x:v>
      </x:c>
      <x:c r="L163" s="5" t="str"/>
      <x:c r="M163" s="5" t="str">
        <x:v>未测</x:v>
      </x:c>
      <x:c r="N163" s="5" t="str"/>
      <x:c r="O163" s="5" t="str">
        <x:v>1. 来源：context/01-用户主播App-项目需求清单.md
2. 来源：context/01-用户主播App-角色与用例.md
3. 来源：context/01-互动场景权限规则.md
4. 追溯：业务底稿 LIVE-072。
5. 同步追溯：work/liveshow-user-live-testcases/prototype-context-sync-result.json；RSL-0002</x:v>
      </x:c>
    </x:row>
    <x:row r="164" ht="79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逻辑校验</x:v>
      </x:c>
      <x:c r="F164" s="5" t="str">
        <x:v>P1</x:v>
      </x:c>
      <x:c r="G164" s="5" t="str">
        <x:v>验证房管达到三人后不能继续添加</x:v>
      </x:c>
      <x:c r="H164" s="5" t="str">
        <x:v>房管人数上限</x:v>
      </x:c>
      <x:c r="I164" s="5" t="str">
        <x:v>1. 主播已存在 3 名有效房管
2. 第 4 名目标用户满足其他房管条件</x:v>
      </x:c>
      <x:c r="J164" s="5" t="str">
        <x:v>1. 尝试将第 4 名用户设置为房管</x:v>
      </x:c>
      <x:c r="K164" s="5" t="str">
        <x:v>已有 3 名房管时，第 4 名用户不得获得房管权限</x:v>
      </x:c>
      <x:c r="L164" s="5" t="str"/>
      <x:c r="M164" s="5" t="str">
        <x:v>未测</x:v>
      </x:c>
      <x:c r="N164" s="5" t="str"/>
      <x:c r="O164" s="5" t="str">
        <x:v>1. 来源：context/01-用户主播App-项目需求清单.md
2. 来源：context/01-用户主播App-角色与用例.md
3. 来源：context/01-互动场景权限规则.md
4. 追溯：业务底稿 LIVE-073。
5. 同步追溯：work/liveshow-user-live-testcases/prototype-context-sync-result.json；RSL-0002</x:v>
      </x:c>
    </x:row>
    <x:row r="165" ht="79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异常用例</x:v>
      </x:c>
      <x:c r="F165" s="5" t="str">
        <x:v>P1</x:v>
      </x:c>
      <x:c r="G165" s="5" t="str">
        <x:v>验证直播间黑名单用户不能设为房管</x:v>
      </x:c>
      <x:c r="H165" s="5" t="str">
        <x:v>黑名单用户房管限制</x:v>
      </x:c>
      <x:c r="I165" s="5" t="str">
        <x:v>1. 场景 A：目标用户在该主播直播间黑名单内
2. 场景 B：主播与目标用户存在任一方向账号拉黑</x:v>
      </x:c>
      <x:c r="J165" s="5" t="str">
        <x:v>1. 将目标用户加入直播间黑名单
2. 尝试将其设置为房管</x:v>
      </x:c>
      <x:c r="K165" s="5" t="str">
        <x:v>直播间黑名单内的目标用户未获得房管权限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来源：context/01-互动场景权限规则.md
4. 追溯：业务底稿 LIVE-074。
5. 同步追溯：work/liveshow-user-live-testcases/prototype-context-sync-result.json；RSL-0002</x:v>
      </x:c>
    </x:row>
    <x:row r="166" ht="79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异常用例</x:v>
      </x:c>
      <x:c r="F166" s="5" t="str">
        <x:v>P1</x:v>
      </x:c>
      <x:c r="G166" s="5" t="str">
        <x:v>验证房管设置失败不改变直播间黑名单</x:v>
      </x:c>
      <x:c r="H166" s="5" t="str">
        <x:v>黑名单关系保持</x:v>
      </x:c>
      <x:c r="I166" s="5" t="str">
        <x:v>1. 场景 A：目标用户在该主播直播间黑名单内
2. 场景 B：主播与目标用户存在任一方向账号拉黑</x:v>
      </x:c>
      <x:c r="J166" s="5" t="str">
        <x:v>1. 将目标用户加入直播间黑名单
2. 尝试将其设置为房管
3. 查看直播间黑名单</x:v>
      </x:c>
      <x:c r="K166" s="5" t="str">
        <x:v>目标用户原有的直播间黑名单关系保持不变</x:v>
      </x:c>
      <x:c r="L166" s="5" t="str"/>
      <x:c r="M166" s="5" t="str">
        <x:v>未测</x:v>
      </x:c>
      <x:c r="N166" s="5" t="str"/>
      <x:c r="O166" s="5" t="str">
        <x:v>1. 来源：context/01-用户主播App-项目需求清单.md
2. 来源：context/01-用户主播App-角色与用例.md
3. 来源：context/01-互动场景权限规则.md
4. 追溯：业务底稿 LIVE-074。
5. 同步追溯：work/liveshow-user-live-testcases/prototype-context-sync-result.json；RSL-0002</x:v>
      </x:c>
    </x:row>
    <x:row r="167" ht="79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异常用例</x:v>
      </x:c>
      <x:c r="F167" s="5" t="str">
        <x:v>P1</x:v>
      </x:c>
      <x:c r="G167" s="5" t="str">
        <x:v>验证账号拉黑用户不能设为房管</x:v>
      </x:c>
      <x:c r="H167" s="5" t="str">
        <x:v>账号拉黑房管限制</x:v>
      </x:c>
      <x:c r="I167" s="5" t="str">
        <x:v>1. 场景 A：目标用户在该主播直播间黑名单内
2. 场景 B：主播与目标用户存在任一方向账号拉黑</x:v>
      </x:c>
      <x:c r="J167" s="5" t="str">
        <x:v>1. 建立任一方向账号拉黑关系
2. 尝试将目标用户设置为房管</x:v>
      </x:c>
      <x:c r="K167" s="5" t="str">
        <x:v>与主播存在账号拉黑关系的目标用户未获得房管权限</x:v>
      </x:c>
      <x:c r="L167" s="5" t="str"/>
      <x:c r="M167" s="5" t="str">
        <x:v>未测</x:v>
      </x:c>
      <x:c r="N167" s="5" t="str"/>
      <x:c r="O167" s="5" t="str">
        <x:v>1. 来源：context/01-用户主播App-项目需求清单.md
2. 来源：context/01-用户主播App-角色与用例.md
3. 来源：context/01-互动场景权限规则.md
4. 追溯：业务底稿 LIVE-074。
5. 同步追溯：work/liveshow-user-live-testcases/prototype-context-sync-result.json；RSL-0002</x:v>
      </x:c>
    </x:row>
    <x:row r="168" ht="79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异常用例</x:v>
      </x:c>
      <x:c r="F168" s="5" t="str">
        <x:v>P1</x:v>
      </x:c>
      <x:c r="G168" s="5" t="str">
        <x:v>验证房管设置失败不改变账号拉黑关系</x:v>
      </x:c>
      <x:c r="H168" s="5" t="str">
        <x:v>账号拉黑关系保持</x:v>
      </x:c>
      <x:c r="I168" s="5" t="str">
        <x:v>1. 场景 A：目标用户在该主播直播间黑名单内
2. 场景 B：主播与目标用户存在任一方向账号拉黑</x:v>
      </x:c>
      <x:c r="J168" s="5" t="str">
        <x:v>1. 建立任一方向账号拉黑关系
2. 尝试将目标用户设置为房管
3. 查看账号拉黑关系</x:v>
      </x:c>
      <x:c r="K168" s="5" t="str">
        <x:v>主播与目标用户原有的账号拉黑关系保持不变</x:v>
      </x:c>
      <x:c r="L168" s="5" t="str"/>
      <x:c r="M168" s="5" t="str">
        <x:v>未测</x:v>
      </x:c>
      <x:c r="N168" s="5" t="str"/>
      <x:c r="O168" s="5" t="str">
        <x:v>1. 来源：context/01-用户主播App-项目需求清单.md
2. 来源：context/01-用户主播App-角色与用例.md
3. 来源：context/01-互动场景权限规则.md
4. 追溯：业务底稿 LIVE-074。
5. 同步追溯：work/liveshow-user-live-testcases/prototype-context-sync-result.json；RSL-0002</x:v>
      </x:c>
    </x:row>
    <x:row r="169" ht="79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验证主播取消长期房管授权</x:v>
      </x:c>
      <x:c r="H169" s="5" t="str">
        <x:v>取消房管</x:v>
      </x:c>
      <x:c r="I169" s="5" t="str">
        <x:v>1. 目标用户是该主播的有效房管</x:v>
      </x:c>
      <x:c r="J169" s="5" t="str">
        <x:v>1. 主播打开房管列表
2. 对目标用户执行取消房管
3. 在确认提示中确认
4. 进入该主播后续直播场次</x:v>
      </x:c>
      <x:c r="K169" s="5" t="str">
        <x:v>目标用户的房管权限被取消</x:v>
      </x:c>
      <x:c r="L169" s="5" t="str"/>
      <x:c r="M169" s="5" t="str">
        <x:v>未测</x:v>
      </x:c>
      <x:c r="N169" s="5" t="str"/>
      <x:c r="O169" s="5" t="str">
        <x:v>1. 来源：context/01-用户主播App-项目需求清单.md
2. 来源：context/01-用户主播App-角色与用例.md
3. 来源：prototype/assets/annotations.js
4. 追溯：业务底稿 LIVE-075。
5. 同步追溯：work/liveshow-user-live-testcases/prototype-context-sync-result.json；RSL-0002</x:v>
      </x:c>
    </x:row>
    <x:row r="170" ht="67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业务流程</x:v>
      </x:c>
      <x:c r="F170" s="5" t="str">
        <x:v>P1</x:v>
      </x:c>
      <x:c r="G170" s="5" t="str">
        <x:v>验证主播禁言限制用户发言</x:v>
      </x:c>
      <x:c r="H170" s="5" t="str">
        <x:v>主播禁言生效</x:v>
      </x:c>
      <x:c r="I170" s="5" t="str">
        <x:v>1. 主播正在直播
2. 目标用户在线且可发言</x:v>
      </x:c>
      <x:c r="J170" s="5" t="str">
        <x:v>1. 主播打开目标用户资料卡
2. 执行禁言并确认
3. 目标用户尝试发送公屏消息</x:v>
      </x:c>
      <x:c r="K170" s="5" t="str">
        <x:v>目标用户在当前场次不能继续发送公屏消息</x:v>
      </x:c>
      <x:c r="L170" s="5" t="str"/>
      <x:c r="M170" s="5" t="str">
        <x:v>未测</x:v>
      </x:c>
      <x:c r="N170" s="5" t="str"/>
      <x:c r="O170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71" ht="67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验证主播禁言保留历史消息</x:v>
      </x:c>
      <x:c r="H171" s="5" t="str">
        <x:v>主播禁言历史消息</x:v>
      </x:c>
      <x:c r="I171" s="5" t="str">
        <x:v>1. 主播正在直播
2. 目标用户在线且可发言</x:v>
      </x:c>
      <x:c r="J171" s="5" t="str">
        <x:v>1. 主播打开目标用户资料卡
2. 执行禁言并确认
3. 目标用户尝试发送公屏消息</x:v>
      </x:c>
      <x:c r="K171" s="5" t="str">
        <x:v>目标用户已发送消息保留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72" ht="67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验证主播禁言操作留痕</x:v>
      </x:c>
      <x:c r="H172" s="5" t="str">
        <x:v>主播禁言记录</x:v>
      </x:c>
      <x:c r="I172" s="5" t="str">
        <x:v>1. 主播正在直播
2. 目标用户在线且可发言</x:v>
      </x:c>
      <x:c r="J172" s="5" t="str">
        <x:v>1. 主播打开目标用户资料卡
2. 执行禁言并确认
3. 目标用户尝试发送公屏消息</x:v>
      </x:c>
      <x:c r="K172" s="5" t="str">
        <x:v>系统记录主播的禁言操作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来源：context/01-互动场景权限规则.md
3. 追溯：业务底稿 LIVE-076。
4. 同步追溯：work/liveshow-user-live-testcases/prototype-context-sync-result.json；RSL-0002</x:v>
      </x:c>
    </x:row>
    <x:row r="173" ht="67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业务流程</x:v>
      </x:c>
      <x:c r="F173" s="5" t="str">
        <x:v>P1</x:v>
      </x:c>
      <x:c r="G173" s="5" t="str">
        <x:v>验证主播踢人限制本场重进</x:v>
      </x:c>
      <x:c r="H173" s="5" t="str">
        <x:v>主播踢人当前场次</x:v>
      </x:c>
      <x:c r="I173" s="5" t="str">
        <x:v>1. 主播正在直播
2. 目标用户在线</x:v>
      </x:c>
      <x:c r="J173" s="5" t="str">
        <x:v>1. 主播打开目标用户资料卡
2. 点击“踢出直播间”并确认
3. 目标用户再次尝试进入当前场次
4. 目标用户尝试进入主播下一场直播</x:v>
      </x:c>
      <x:c r="K173" s="5" t="str">
        <x:v>主播踢出用户后，目标用户在当前场次不得再次进入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来源：context/01-互动场景权限规则.md
3. 追溯：业务底稿 LIVE-077。
4. 同步追溯：work/liveshow-user-live-testcases/prototype-context-sync-result.json；RSL-0002</x:v>
      </x:c>
    </x:row>
    <x:row r="174" ht="67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业务流程</x:v>
      </x:c>
      <x:c r="F174" s="5" t="str">
        <x:v>P1</x:v>
      </x:c>
      <x:c r="G174" s="5" t="str">
        <x:v>验证主播踢人不影响下一场直播</x:v>
      </x:c>
      <x:c r="H174" s="5" t="str">
        <x:v>主播踢人跨场恢复</x:v>
      </x:c>
      <x:c r="I174" s="5" t="str">
        <x:v>1. 主播正在直播
2. 目标用户在线</x:v>
      </x:c>
      <x:c r="J174" s="5" t="str">
        <x:v>1. 主播打开目标用户资料卡
2. 点击“踢出直播间”并确认
3. 目标用户再次尝试进入当前场次
4. 目标用户尝试进入主播下一场直播</x:v>
      </x:c>
      <x:c r="K174" s="5" t="str">
        <x:v>下一场直播不继承本次踢出限制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来源：context/01-互动场景权限规则.md
3. 追溯：业务底稿 LIVE-077。
4. 同步追溯：work/liveshow-user-live-testcases/prototype-context-sync-result.json；RSL-0002</x:v>
      </x:c>
    </x:row>
    <x:row r="175" ht="67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业务流程</x:v>
      </x:c>
      <x:c r="F175" s="5" t="str">
        <x:v>P1</x:v>
      </x:c>
      <x:c r="G175" s="5" t="str">
        <x:v>验证直播间黑名单持续限制进房</x:v>
      </x:c>
      <x:c r="H175" s="5" t="str">
        <x:v>直播间黑名单进房限制</x:v>
      </x:c>
      <x:c r="I175" s="5" t="str">
        <x:v>1. 主播与目标用户不存在账号拉黑
2. 目标用户当前可私信或申请好友</x:v>
      </x:c>
      <x:c r="J175" s="5" t="str">
        <x:v>1. 主播将目标用户加入直播间黑名单
2. 目标用户尝试进入该主播当前及后续直播间
3. 目标用户尝试私信或申请好友</x:v>
      </x:c>
      <x:c r="K175" s="5" t="str">
        <x:v>目标用户不能进入该主播当前及后续直播间</x:v>
      </x:c>
      <x:c r="L175" s="5" t="str"/>
      <x:c r="M175" s="5" t="str">
        <x:v>未测</x:v>
      </x:c>
      <x:c r="N175" s="5" t="str"/>
      <x:c r="O175" s="5" t="str">
        <x:v>1. 来源：context/01-用户主播App-角色与用例.md
2. 来源：context/01-互动场景权限规则.md
3. 追溯：业务底稿 LIVE-078。
4. 同步追溯：work/liveshow-user-live-testcases/prototype-context-sync-result.json；RSL-0002</x:v>
      </x:c>
    </x:row>
    <x:row r="176" ht="67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业务流程</x:v>
      </x:c>
      <x:c r="F176" s="5" t="str">
        <x:v>P1</x:v>
      </x:c>
      <x:c r="G176" s="5" t="str">
        <x:v>验证直播间黑名单不影响账号互动</x:v>
      </x:c>
      <x:c r="H176" s="5" t="str">
        <x:v>直播间黑名单作用域</x:v>
      </x:c>
      <x:c r="I176" s="5" t="str">
        <x:v>1. 主播与目标用户不存在账号拉黑
2. 目标用户当前可私信或申请好友</x:v>
      </x:c>
      <x:c r="J176" s="5" t="str">
        <x:v>1. 主播将目标用户加入直播间黑名单
2. 目标用户尝试进入该主播当前及后续直播间
3. 目标用户尝试私信或申请好友</x:v>
      </x:c>
      <x:c r="K176" s="5" t="str">
        <x:v>仅加入直播间黑名单不阻止私信或好友申请</x:v>
      </x:c>
      <x:c r="L176" s="5" t="str"/>
      <x:c r="M176" s="5" t="str">
        <x:v>未测</x:v>
      </x:c>
      <x:c r="N176" s="5" t="str"/>
      <x:c r="O176" s="5" t="str">
        <x:v>1. 来源：context/01-用户主播App-角色与用例.md
2. 来源：context/01-互动场景权限规则.md
3. 追溯：业务底稿 LIVE-078。
4. 同步追溯：work/liveshow-user-live-testcases/prototype-context-sync-result.json；RSL-0002</x:v>
      </x:c>
    </x:row>
    <x:row r="177" ht="67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业务流程</x:v>
      </x:c>
      <x:c r="F177" s="5" t="str">
        <x:v>P1</x:v>
      </x:c>
      <x:c r="G177" s="5" t="str">
        <x:v>验证解除直播间黑名单后恢复进房资格</x:v>
      </x:c>
      <x:c r="H177" s="5" t="str">
        <x:v>解除直播间黑名单</x:v>
      </x:c>
      <x:c r="I177" s="5" t="str">
        <x:v>1. 目标用户在该主播直播间黑名单内
2. 双方不存在账号拉黑或平台封禁</x:v>
      </x:c>
      <x:c r="J177" s="5" t="str">
        <x:v>1. 主播在直播间黑名单中解除目标用户
2. 目标用户尝试进入该主播直播间</x:v>
      </x:c>
      <x:c r="K177" s="5" t="str">
        <x:v>目标用户恢复进入该主播直播间的资格</x:v>
      </x:c>
      <x:c r="L177" s="5" t="str"/>
      <x:c r="M177" s="5" t="str">
        <x:v>未测</x:v>
      </x:c>
      <x:c r="N177" s="5" t="str"/>
      <x:c r="O177" s="5" t="str">
        <x:v>1. 来源：context/01-用户主播App-角色与用例.md
2. 来源：context/01-互动场景权限规则.md
3. 追溯：业务底稿 LIVE-079。
4. 同步追溯：work/liveshow-user-live-testcases/prototype-context-sync-result.json；RSL-0002</x:v>
      </x:c>
    </x:row>
    <x:row r="178" ht="67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验证账号拉黑限制进入主播直播间</x:v>
      </x:c>
      <x:c r="H178" s="5" t="str">
        <x:v>账号拉黑进房限制</x:v>
      </x:c>
      <x:c r="I178" s="5" t="str">
        <x:v>1. 主播与目标用户未拉黑
2. 目标用户可进入直播间并发起私信或好友申请</x:v>
      </x:c>
      <x:c r="J178" s="5" t="str">
        <x:v>1. 主播拉黑目标用户账号
2. 目标用户尝试进入该主播直播间
3. 双方尝试私信和好友申请
4. 检查既有粉丝团团籍</x:v>
      </x:c>
      <x:c r="K178" s="5" t="str">
        <x:v>目标用户不能进入该主播直播间</x:v>
      </x:c>
      <x:c r="L178" s="5" t="str"/>
      <x:c r="M178" s="5" t="str">
        <x:v>未测</x:v>
      </x:c>
      <x:c r="N178" s="5" t="str"/>
      <x:c r="O178" s="5" t="str">
        <x:v>1. 来源：context/01-用户主播App-角色与用例.md
2. 来源：context/01-互动场景权限规则.md
3. 追溯：业务底稿 LIVE-080。
4. 同步追溯：work/liveshow-user-live-testcases/prototype-context-sync-result.json；RSL-0002</x:v>
      </x:c>
    </x:row>
    <x:row r="179" ht="67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验证账号拉黑限制私信和好友申请</x:v>
      </x:c>
      <x:c r="H179" s="5" t="str">
        <x:v>账号拉黑社交限制</x:v>
      </x:c>
      <x:c r="I179" s="5" t="str">
        <x:v>1. 主播与目标用户未拉黑
2. 目标用户可进入直播间并发起私信或好友申请</x:v>
      </x:c>
      <x:c r="J179" s="5" t="str">
        <x:v>1. 主播拉黑目标用户账号
2. 目标用户尝试进入该主播直播间
3. 双方尝试私信和好友申请
4. 检查既有粉丝团团籍</x:v>
      </x:c>
      <x:c r="K179" s="5" t="str">
        <x:v>双方不能私信或发起、处理好友申请</x:v>
      </x:c>
      <x:c r="L179" s="5" t="str"/>
      <x:c r="M179" s="5" t="str">
        <x:v>未测</x:v>
      </x:c>
      <x:c r="N179" s="5" t="str"/>
      <x:c r="O179" s="5" t="str">
        <x:v>1. 来源：context/01-用户主播App-角色与用例.md
2. 来源：context/01-互动场景权限规则.md
3. 追溯：业务底稿 LIVE-080。
4. 同步追溯：work/liveshow-user-live-testcases/prototype-context-sync-result.json；RSL-0002</x:v>
      </x:c>
    </x:row>
    <x:row r="180" ht="67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验证账号拉黑不改变既有粉丝团团籍</x:v>
      </x:c>
      <x:c r="H180" s="5" t="str">
        <x:v>账号拉黑团籍保持</x:v>
      </x:c>
      <x:c r="I180" s="5" t="str">
        <x:v>1. 主播与目标用户未拉黑
2. 目标用户可进入直播间并发起私信或好友申请</x:v>
      </x:c>
      <x:c r="J180" s="5" t="str">
        <x:v>1. 主播拉黑目标用户账号
2. 目标用户尝试进入该主播直播间
3. 双方尝试私信和好友申请
4. 检查既有粉丝团团籍</x:v>
      </x:c>
      <x:c r="K180" s="5" t="str">
        <x:v>已有粉丝团团籍不变</x:v>
      </x:c>
      <x:c r="L180" s="5" t="str"/>
      <x:c r="M180" s="5" t="str">
        <x:v>未测</x:v>
      </x:c>
      <x:c r="N180" s="5" t="str"/>
      <x:c r="O180" s="5" t="str">
        <x:v>1. 来源：context/01-用户主播App-角色与用例.md
2. 来源：context/01-互动场景权限规则.md
3. 追溯：业务底稿 LIVE-080。
4. 同步追溯：work/liveshow-user-live-testcases/prototype-context-sync-result.json；RSL-0002</x:v>
      </x:c>
    </x:row>
    <x:row r="181" ht="67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验证解除账号拉黑恢复账号互动</x:v>
      </x:c>
      <x:c r="H181" s="5" t="str">
        <x:v>解除拉黑社交恢复</x:v>
      </x:c>
      <x:c r="I181" s="5" t="str">
        <x:v>1. 主播与目标用户存在账号拉黑关系
2. 双方不存在平台封禁
3. 目标用户不在该主播直播间黑名单内</x:v>
      </x:c>
      <x:c r="J181" s="5" t="str">
        <x:v>1. 解除双方账号拉黑关系
2. 目标用户尝试进入该主播直播间
3. 双方尝试发送私信和好友申请</x:v>
      </x:c>
      <x:c r="K181" s="5" t="str">
        <x:v>双方恢复私信和好友申请资格</x:v>
      </x:c>
      <x:c r="L181" s="5" t="str"/>
      <x:c r="M181" s="5" t="str">
        <x:v>未测</x:v>
      </x:c>
      <x:c r="N181" s="5" t="str"/>
      <x:c r="O181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82" ht="67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验证解除账号拉黑恢复进房资格</x:v>
      </x:c>
      <x:c r="H182" s="5" t="str">
        <x:v>解除拉黑进房恢复</x:v>
      </x:c>
      <x:c r="I182" s="5" t="str">
        <x:v>1. 主播与目标用户存在账号拉黑关系
2. 双方不存在平台封禁
3. 目标用户不在该主播直播间黑名单内</x:v>
      </x:c>
      <x:c r="J182" s="5" t="str">
        <x:v>1. 解除双方账号拉黑关系
2. 目标用户尝试进入该主播直播间
3. 双方尝试发送私信和好友申请</x:v>
      </x:c>
      <x:c r="K182" s="5" t="str">
        <x:v>目标用户恢复进入该主播直播间的资格</x:v>
      </x:c>
      <x:c r="L182" s="5" t="str"/>
      <x:c r="M182" s="5" t="str">
        <x:v>未测</x:v>
      </x:c>
      <x:c r="N182" s="5" t="str"/>
      <x:c r="O182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83" ht="67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验证解除账号拉黑不清除其他限制</x:v>
      </x:c>
      <x:c r="H183" s="5" t="str">
        <x:v>解除拉黑限制隔离</x:v>
      </x:c>
      <x:c r="I183" s="5" t="str">
        <x:v>1. 主播与目标用户存在账号拉黑关系
2. 双方不存在平台封禁
3. 目标用户不在该主播直播间黑名单内</x:v>
      </x:c>
      <x:c r="J183" s="5" t="str">
        <x:v>1. 解除双方账号拉黑关系
2. 目标用户尝试进入该主播直播间
3. 双方尝试发送私信和好友申请</x:v>
      </x:c>
      <x:c r="K183" s="5" t="str">
        <x:v>其他独立限制不因解除账号拉黑而变化</x:v>
      </x:c>
      <x:c r="L183" s="5" t="str"/>
      <x:c r="M183" s="5" t="str">
        <x:v>未测</x:v>
      </x:c>
      <x:c r="N183" s="5" t="str"/>
      <x:c r="O183" s="5" t="str">
        <x:v>1. 来源：context/01-用户主播App-角色与用例.md
2. 来源：context/01-互动场景权限规则.md
3. 追溯：业务底稿 LIVE-081。
4. 同步追溯：work/liveshow-user-live-testcases/prototype-context-sync-result.json；RSL-0002</x:v>
      </x:c>
    </x:row>
    <x:row r="184" ht="91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功能需求</x:v>
      </x:c>
      <x:c r="F184" s="5" t="str">
        <x:v>P2</x:v>
      </x:c>
      <x:c r="G184" s="5" t="str">
        <x:v>验证主播清屏仅清除当前公屏展示</x:v>
      </x:c>
      <x:c r="H184" s="5" t="str">
        <x:v>直播间清屏</x:v>
      </x:c>
      <x:c r="I184" s="5" t="str">
        <x:v>1. 当前公屏存在多条互动消息
2. 主播正在直播</x:v>
      </x:c>
      <x:c r="J184" s="5" t="str">
        <x:v>1. 打开直播设置或更多功能
2. 点击“清屏”</x:v>
      </x:c>
      <x:c r="K184" s="5" t="str">
        <x:v>主播清屏后，当前公屏已展示的互动消息被移除</x:v>
      </x:c>
      <x:c r="L184" s="5" t="str"/>
      <x:c r="M184" s="5" t="str">
        <x:v>未测</x:v>
      </x:c>
      <x:c r="N184" s="5" t="str"/>
      <x:c r="O184" s="5" t="str">
        <x:v>1. 来源：context/01-用户主播App-项目需求清单.md
2. 来源：context/01-互动场景权限规则.md
3. 来源：prototype/assets/annotations.js
4. 来源：对应 HTML 静态原型；未动态验证
5. 追溯：业务底稿 LIVE-082。
6. 同步追溯：work/liveshow-user-live-testcases/prototype-context-sync-result.json；RSL-0002</x:v>
      </x:c>
    </x:row>
    <x:row r="185" ht="67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功能需求</x:v>
      </x:c>
      <x:c r="F185" s="5" t="str">
        <x:v>P1</x:v>
      </x:c>
      <x:c r="G185" s="5" t="str">
        <x:v>验证普通房主播直播设置菜单</x:v>
      </x:c>
      <x:c r="H185" s="5" t="str">
        <x:v>普通房直播设置菜单</x:v>
      </x:c>
      <x:c r="I185" s="5" t="str">
        <x:v>1. 主播正在普通房直播</x:v>
      </x:c>
      <x:c r="J185" s="5" t="str">
        <x:v>1. 点击直播间底部“…”</x:v>
      </x:c>
      <x:c r="K185" s="5" t="str">
        <x:v>直播设置菜单展示美颜设置、禁言列表、房间密码、清屏和转至粉丝群</x:v>
      </x:c>
      <x:c r="L185" s="5" t="str"/>
      <x:c r="M185" s="5" t="str">
        <x:v>未测</x:v>
      </x:c>
      <x:c r="N185" s="5" t="str"/>
      <x:c r="O185" s="5" t="str">
        <x:v>1. 来源：prototype/assets/annotations.js
2. 来源：对应 HTML 静态原型；未动态验证
3. 追溯：业务底稿 LIVE-099。
4. 同步追溯：work/liveshow-user-live-testcases/prototype-context-sync-result.json；RSL-0002</x:v>
      </x:c>
    </x:row>
    <x:row r="186" ht="79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功能需求</x:v>
      </x:c>
      <x:c r="F186" s="5" t="str">
        <x:v>P1</x:v>
      </x:c>
      <x:c r="G186" s="5" t="str">
        <x:v>验证主播查看禁言用户列表</x:v>
      </x:c>
      <x:c r="H186" s="5" t="str">
        <x:v>禁言用户列表范围</x:v>
      </x:c>
      <x:c r="I186" s="5" t="str">
        <x:v>1. 主播正在直播
2. 当前场次已有被禁言或被踢出的用户</x:v>
      </x:c>
      <x:c r="J186" s="5" t="str">
        <x:v>1. 打开直播设置
2. 点击“禁用用户”</x:v>
      </x:c>
      <x:c r="K186" s="5" t="str">
        <x:v>“禁言用户”列表仅展示已被禁言的用户</x:v>
      </x:c>
      <x:c r="L186" s="5" t="str"/>
      <x:c r="M186" s="5" t="str">
        <x:v>未测</x:v>
      </x:c>
      <x:c r="N186" s="5" t="str"/>
      <x:c r="O186" s="5" t="str">
        <x:v>1. 来源：prototype/assets/annotations.js
2. 来源：prototype/assets/live-muted-users.js
3. 来源：对应 HTML 静态原型；未动态验证
4. 追溯：业务底稿 LIVE-100。
5. 同步追溯：work/liveshow-user-live-testcases/prototype-context-sync-result.json；RSL-0002</x:v>
      </x:c>
    </x:row>
    <x:row r="187" ht="79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验证主播二次确认后解除用户禁言</x:v>
      </x:c>
      <x:c r="H187" s="5" t="str">
        <x:v>解除禁言确认</x:v>
      </x:c>
      <x:c r="I187" s="5" t="str">
        <x:v>1. 主播正在直播
2. 目标用户处于当前场次禁言状态</x:v>
      </x:c>
      <x:c r="J187" s="5" t="str">
        <x:v>1. 进入禁用用户列表
2. 点击目标用户的解除禁言操作
3. 完成两次确认</x:v>
      </x:c>
      <x:c r="K187" s="5" t="str">
        <x:v>目标用户的当前场次禁言状态被解除</x:v>
      </x:c>
      <x:c r="L187" s="5" t="str"/>
      <x:c r="M187" s="5" t="str">
        <x:v>未测</x:v>
      </x:c>
      <x:c r="N187" s="5" t="str"/>
      <x:c r="O187" s="5" t="str">
        <x:v>1. 来源：prototype/assets/annotations.js
2. 来源：prototype/assets/live-muted-users.js
3. 来源：对应 HTML 静态原型；未动态验证
4. 追溯：业务底稿 LIVE-101。
5. 同步追溯：work/liveshow-user-live-testcases/prototype-context-sync-result.json；RSL-0002</x:v>
      </x:c>
    </x:row>
    <x:row r="188" ht="127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验证密码房主播修改房间密码</x:v>
      </x:c>
      <x:c r="H188" s="5" t="str">
        <x:v>直播中修改密码</x:v>
      </x:c>
      <x:c r="I188" s="5" t="str">
        <x:v>1. 主播正在密码房直播
2. 准备符合最终密码规则的新密码</x:v>
      </x:c>
      <x:c r="J188" s="5" t="str">
        <x:v>1. 打开房间密码面板
2. 输入新的 8 位数字密码
3. 点击“保存密码”</x:v>
      </x:c>
      <x:c r="K188" s="5" t="str">
        <x:v>房间密码更新为输入的 8 位数字</x:v>
      </x:c>
      <x:c r="L188" s="5" t="str">
        <x:v>FLOW-LIVE-003</x:v>
      </x:c>
      <x:c r="M188" s="5" t="str">
        <x:v>未测</x:v>
      </x:c>
      <x:c r="N188" s="5" t="str"/>
      <x:c r="O188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同步追溯：work/liveshow-user-live-testcases/prototype-context-sync-result.json；RSL-0002
8. 共同业务对象：同一密码房场次
9. 流程阶段：直播中修改密码</x:v>
      </x:c>
    </x:row>
    <x:row r="189" ht="67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P2</x:v>
      </x:c>
      <x:c r="G189" s="5" t="str">
        <x:v>验证主播确认转发直播间给粉丝群</x:v>
      </x:c>
      <x:c r="H189" s="5" t="str">
        <x:v>转发至粉丝群</x:v>
      </x:c>
      <x:c r="I189" s="5" t="str">
        <x:v>1. 主播正在直播
2. 主播已创建粉丝群</x:v>
      </x:c>
      <x:c r="J189" s="5" t="str">
        <x:v>1. 打开直播设置
2. 点击“转发”
3. 选择置顶的粉丝群
4. 确认转发</x:v>
      </x:c>
      <x:c r="K189" s="5" t="str">
        <x:v>目标粉丝群收到可进入当前直播间的直播房间卡片</x:v>
      </x:c>
      <x:c r="L189" s="5" t="str"/>
      <x:c r="M189" s="5" t="str">
        <x:v>未测</x:v>
      </x:c>
      <x:c r="N189" s="5" t="str"/>
      <x:c r="O189" s="5" t="str">
        <x:v>1. 来源：prototype/assets/annotations.js
2. 来源：对应 HTML 静态原型；未动态验证
3. 追溯：业务底稿 LIVE-103。
4. 同步追溯：work/liveshow-user-live-testcases/prototype-context-sync-result.json；RSL-0002</x:v>
      </x:c>
    </x:row>
    <x:row r="190" ht="67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功能需求</x:v>
      </x:c>
      <x:c r="F190" s="5" t="str">
        <x:v>P1</x:v>
      </x:c>
      <x:c r="G190" s="5" t="str">
        <x:v>验证主播查看本场贡献和收到礼物</x:v>
      </x:c>
      <x:c r="H190" s="5" t="str">
        <x:v>本场贡献与收礼入口</x:v>
      </x:c>
      <x:c r="I190" s="5" t="str">
        <x:v>1. 主播正在直播
2. 当前场次已有观众送礼数据</x:v>
      </x:c>
      <x:c r="J190" s="5" t="str">
        <x:v>1. 点击直播间顶部的本场贡献数值</x:v>
      </x:c>
      <x:c r="K190" s="5" t="str">
        <x:v>页面展示当前场次的贡献榜和收到礼物记录</x:v>
      </x:c>
      <x:c r="L190" s="5" t="str"/>
      <x:c r="M190" s="5" t="str">
        <x:v>未测</x:v>
      </x:c>
      <x:c r="N190" s="5" t="str"/>
      <x:c r="O190" s="5" t="str">
        <x:v>1. 来源：prototype/assets/annotations.js
2. 来源：对应 HTML 静态原型；未动态验证
3. 追溯：业务底稿 LIVE-104。
4. 同步追溯：work/liveshow-user-live-testcases/prototype-context-sync-result.json；RSL-0002</x:v>
      </x:c>
    </x:row>
    <x:row r="191" ht="67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逻辑校验</x:v>
      </x:c>
      <x:c r="F191" s="5" t="str">
        <x:v>P2</x:v>
      </x:c>
      <x:c r="G191" s="5" t="str">
        <x:v>验证普通房房间密码入口不可用</x:v>
      </x:c>
      <x:c r="H191" s="5" t="str">
        <x:v>普通房密码入口限制</x:v>
      </x:c>
      <x:c r="I191" s="5" t="str">
        <x:v>1. 主播正在普通房直播</x:v>
      </x:c>
      <x:c r="J191" s="5" t="str">
        <x:v>1. 打开直播设置
2. 查看并点击房间密码入口</x:v>
      </x:c>
      <x:c r="K191" s="5" t="str">
        <x:v>普通房的房间密码入口置灰</x:v>
      </x:c>
      <x:c r="L191" s="5" t="str"/>
      <x:c r="M191" s="5" t="str">
        <x:v>未测</x:v>
      </x:c>
      <x:c r="N191" s="5" t="str"/>
      <x:c r="O191" s="5" t="str">
        <x:v>1. 来源：prototype/assets/annotations.js
2. 来源：对应 HTML 静态原型；未动态验证
3. 追溯：业务底稿 LIVE-108。
4. 同步追溯：work/liveshow-user-live-testcases/prototype-context-sync-result.json；RSL-0002</x:v>
      </x:c>
    </x:row>
    <x:row r="192" ht="91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功能需求</x:v>
      </x:c>
      <x:c r="F192" s="5" t="str">
        <x:v>P2</x:v>
      </x:c>
      <x:c r="G192" s="5" t="str">
        <x:v>验证密码房修改密码成功反馈</x:v>
      </x:c>
      <x:c r="H192" s="5" t="str">
        <x:v>修改密码成功反馈</x:v>
      </x:c>
      <x:c r="I192" s="5" t="str">
        <x:v>1. 主播正在密码房直播
2. 新密码为 8 位数字 13572468</x:v>
      </x:c>
      <x:c r="J192" s="5" t="str">
        <x:v>1. 打开直播设置
2. 进入房间密码设置
3. 输入 13572468
4. 点击“保存密码”</x:v>
      </x:c>
      <x:c r="K192" s="5" t="str">
        <x:v>页面提示“房间密码已修改”</x:v>
      </x:c>
      <x:c r="L192" s="5" t="str">
        <x:v>FLOW-LIVE-003</x:v>
      </x:c>
      <x:c r="M192" s="5" t="str">
        <x:v>未测</x:v>
      </x:c>
      <x:c r="N192" s="5" t="str"/>
      <x:c r="O19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共同业务对象：同一密码房场次
6. 流程阶段：修改密码成功反馈</x:v>
      </x:c>
    </x:row>
    <x:row r="193" ht="67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验证转发直播间成功反馈</x:v>
      </x:c>
      <x:c r="H193" s="5" t="str">
        <x:v>转发成功反馈</x:v>
      </x:c>
      <x:c r="I193" s="5" t="str">
        <x:v>1. 主播正在直播
2. 主播存在“Sari 粉丝团”</x:v>
      </x:c>
      <x:c r="J193" s="5" t="str">
        <x:v>1. 打开直播设置
2. 点击“转发”
3. 选择“Sari 粉丝团”
4. 确认转发</x:v>
      </x:c>
      <x:c r="K193" s="5" t="str">
        <x:v>页面提示“已转发至 Sari 粉丝团”</x:v>
      </x:c>
      <x:c r="L193" s="5" t="str"/>
      <x:c r="M193" s="5" t="str">
        <x:v>未测</x:v>
      </x:c>
      <x:c r="N193" s="5" t="str"/>
      <x:c r="O19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4" ht="67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P2</x:v>
      </x:c>
      <x:c r="G194" s="5" t="str">
        <x:v>验证主播禁言成功反馈</x:v>
      </x:c>
      <x:c r="H194" s="5" t="str">
        <x:v>主播禁言反馈</x:v>
      </x:c>
      <x:c r="I194" s="5" t="str">
        <x:v>1. 主播正在直播
2. 目标用户未被禁言</x:v>
      </x:c>
      <x:c r="J194" s="5" t="str">
        <x:v>1. 打开目标用户资料卡
2. 点击“禁言”</x:v>
      </x:c>
      <x:c r="K194" s="5" t="str">
        <x:v>页面提示“已禁言”</x:v>
      </x:c>
      <x:c r="L194" s="5" t="str"/>
      <x:c r="M194" s="5" t="str">
        <x:v>未测</x:v>
      </x:c>
      <x:c r="N194" s="5" t="str"/>
      <x:c r="O19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5" ht="6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P2</x:v>
      </x:c>
      <x:c r="G195" s="5" t="str">
        <x:v>验证主播解除禁言成功反馈</x:v>
      </x:c>
      <x:c r="H195" s="5" t="str">
        <x:v>主播解除禁言反馈</x:v>
      </x:c>
      <x:c r="I195" s="5" t="str">
        <x:v>1. 主播正在直播
2. 目标用户已被禁言</x:v>
      </x:c>
      <x:c r="J195" s="5" t="str">
        <x:v>1. 打开目标用户资料卡
2. 点击“解除禁言”</x:v>
      </x:c>
      <x:c r="K195" s="5" t="str">
        <x:v>页面提示“已解除禁言”</x:v>
      </x:c>
      <x:c r="L195" s="5" t="str"/>
      <x:c r="M195" s="5" t="str">
        <x:v>未测</x:v>
      </x:c>
      <x:c r="N195" s="5" t="str"/>
      <x:c r="O1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6" ht="67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功能需求</x:v>
      </x:c>
      <x:c r="F196" s="5" t="str">
        <x:v>P2</x:v>
      </x:c>
      <x:c r="G196" s="5" t="str">
        <x:v>验证主播踢出用户成功反馈</x:v>
      </x:c>
      <x:c r="H196" s="5" t="str">
        <x:v>主播踢出反馈</x:v>
      </x:c>
      <x:c r="I196" s="5" t="str">
        <x:v>1. 主播正在直播
2. 目标用户在当前直播间</x:v>
      </x:c>
      <x:c r="J196" s="5" t="str">
        <x:v>1. 打开目标用户资料卡
2. 点击“踢出”</x:v>
      </x:c>
      <x:c r="K196" s="5" t="str">
        <x:v>页面提示“已踢出直播间”</x:v>
      </x:c>
      <x:c r="L196" s="5" t="str"/>
      <x:c r="M196" s="5" t="str">
        <x:v>未测</x:v>
      </x:c>
      <x:c r="N196" s="5" t="str"/>
      <x:c r="O19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7" ht="67.5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功能需求</x:v>
      </x:c>
      <x:c r="F197" s="5" t="str">
        <x:v>P2</x:v>
      </x:c>
      <x:c r="G197" s="5" t="str">
        <x:v>验证主播设置房管成功反馈</x:v>
      </x:c>
      <x:c r="H197" s="5" t="str">
        <x:v>设置房管反馈</x:v>
      </x:c>
      <x:c r="I197" s="5" t="str">
        <x:v>1. 主播正在直播
2. 目标用户满足房管授权条件</x:v>
      </x:c>
      <x:c r="J197" s="5" t="str">
        <x:v>1. 打开目标用户资料卡
2. 点击“设房管”</x:v>
      </x:c>
      <x:c r="K197" s="5" t="str">
        <x:v>页面提示“已设为房管”</x:v>
      </x:c>
      <x:c r="L197" s="5" t="str"/>
      <x:c r="M197" s="5" t="str">
        <x:v>未测</x:v>
      </x:c>
      <x:c r="N197" s="5" t="str"/>
      <x:c r="O19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8" ht="67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功能需求</x:v>
      </x:c>
      <x:c r="F198" s="5" t="str">
        <x:v>P2</x:v>
      </x:c>
      <x:c r="G198" s="5" t="str">
        <x:v>验证主播取消房管成功反馈</x:v>
      </x:c>
      <x:c r="H198" s="5" t="str">
        <x:v>取消房管反馈</x:v>
      </x:c>
      <x:c r="I198" s="5" t="str">
        <x:v>1. 主播正在直播
2. 目标用户是当前主播的房管</x:v>
      </x:c>
      <x:c r="J198" s="5" t="str">
        <x:v>1. 打开目标用户资料卡
2. 点击“取消房管”</x:v>
      </x:c>
      <x:c r="K198" s="5" t="str">
        <x:v>页面提示“已取消房管”</x:v>
      </x:c>
      <x:c r="L198" s="5" t="str"/>
      <x:c r="M198" s="5" t="str">
        <x:v>未测</x:v>
      </x:c>
      <x:c r="N198" s="5" t="str"/>
      <x:c r="O198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199" ht="79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P2</x:v>
      </x:c>
      <x:c r="G199" s="5" t="str">
        <x:v>验证禁用用户列表恢复发言成功反馈</x:v>
      </x:c>
      <x:c r="H199" s="5" t="str">
        <x:v>恢复发言反馈</x:v>
      </x:c>
      <x:c r="I199" s="5" t="str">
        <x:v>1. 主播正在普通房直播
2. 用户 Nila 处于当前场次禁言状态</x:v>
      </x:c>
      <x:c r="J199" s="5" t="str">
        <x:v>1. 打开直播设置
2. 进入“禁用用户”
3. 点击 Nila 的“恢复发言”
4. 完成两次确认</x:v>
      </x:c>
      <x:c r="K199" s="5" t="str">
        <x:v>页面提示“已恢复 Nila 的发言”</x:v>
      </x:c>
      <x:c r="L199" s="5" t="str"/>
      <x:c r="M199" s="5" t="str">
        <x:v>未测</x:v>
      </x:c>
      <x:c r="N199" s="5" t="str"/>
      <x:c r="O199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同步追溯：work/liveshow-user-live-testcases/prototype-context-sync-result.json；RSL-0002</x:v>
      </x:c>
    </x:row>
    <x:row r="200" ht="67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功能需求</x:v>
      </x:c>
      <x:c r="F200" s="5" t="str">
        <x:v>P1</x:v>
      </x:c>
      <x:c r="G200" s="5" t="str">
        <x:v>验证恢复发言的第一次确认</x:v>
      </x:c>
      <x:c r="H200" s="5" t="str">
        <x:v>恢复发言首次确认</x:v>
      </x:c>
      <x:c r="I200" s="5" t="str">
        <x:v>1. 禁言用户列表存在 Nila</x:v>
      </x:c>
      <x:c r="J200" s="5" t="str">
        <x:v>1. 点击 Nila 的“恢复发言”</x:v>
      </x:c>
      <x:c r="K200" s="5" t="str">
        <x:v>页面显示“是否恢复用户在直播间评论发言”确认框</x:v>
      </x:c>
      <x:c r="L200" s="5" t="str"/>
      <x:c r="M200" s="5" t="str">
        <x:v>未测</x:v>
      </x:c>
      <x:c r="N200" s="5" t="str"/>
      <x:c r="O200" s="5" t="str">
        <x:v>1. 来源：prototype/assets/annotations.js
2. 来源：prototype/pages/user/live/live-room-host.html 与 prototype/assets/common.js；未动态验证
3. 同步追溯：work/liveshow-user-live-testcases/prototype-context-sync-result.json；RSL-0002</x:v>
      </x:c>
    </x:row>
    <x:row r="201" ht="91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P1</x:v>
      </x:c>
      <x:c r="G201" s="5" t="str">
        <x:v>验证恢复发言需要第二次确认</x:v>
      </x:c>
      <x:c r="H201" s="5" t="str">
        <x:v>恢复发言二次确认</x:v>
      </x:c>
      <x:c r="I201" s="5" t="str">
        <x:v>1. 恢复发言的首次确认框已打开</x:v>
      </x:c>
      <x:c r="J201" s="5" t="str">
        <x:v>1. 点击“恢复”</x:v>
      </x:c>
      <x:c r="K201" s="5" t="str">
        <x:v>页面再次显示恢复发言确认框</x:v>
      </x:c>
      <x:c r="L201" s="5" t="str"/>
      <x:c r="M201" s="5" t="str">
        <x:v>未测</x:v>
      </x:c>
      <x:c r="N201" s="5" t="str"/>
      <x:c r="O201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02" ht="67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验证取消恢复发言后保留禁言</x:v>
      </x:c>
      <x:c r="H202" s="5" t="str">
        <x:v>取消恢复发言</x:v>
      </x:c>
      <x:c r="I202" s="5" t="str">
        <x:v>1. 恢复发言确认框已打开
2. Nila 当前处于禁言状态</x:v>
      </x:c>
      <x:c r="J202" s="5" t="str">
        <x:v>1. 点击“取消”</x:v>
      </x:c>
      <x:c r="K202" s="5" t="str">
        <x:v>Nila 仍保持禁言状态</x:v>
      </x:c>
      <x:c r="L202" s="5" t="str"/>
      <x:c r="M202" s="5" t="str">
        <x:v>未测</x:v>
      </x:c>
      <x:c r="N202" s="5" t="str"/>
      <x:c r="O202" s="5" t="str">
        <x:v>1. 来源：prototype/assets/annotations.js
2. 来源：prototype/pages/user/live/live-room-host.html 与 prototype/assets/common.js；未动态验证
3. 同步追溯：work/liveshow-user-live-testcases/prototype-context-sync-result.json；RSL-0002</x:v>
      </x:c>
    </x:row>
    <x:row r="203" ht="91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P1</x:v>
      </x:c>
      <x:c r="G203" s="5" t="str">
        <x:v>验证密码房展示当前房间密码</x:v>
      </x:c>
      <x:c r="H203" s="5" t="str">
        <x:v>当前房间密码回显</x:v>
      </x:c>
      <x:c r="I203" s="5" t="str">
        <x:v>1. 主播正在密码房直播</x:v>
      </x:c>
      <x:c r="J203" s="5" t="str">
        <x:v>1. 打开直播设置
2. 点击“房间密码”</x:v>
      </x:c>
      <x:c r="K203" s="5" t="str">
        <x:v>房间密码面板回显当前房间密码</x:v>
      </x:c>
      <x:c r="L203" s="5" t="str"/>
      <x:c r="M203" s="5" t="str">
        <x:v>未测</x:v>
      </x:c>
      <x:c r="N203" s="5" t="str"/>
      <x:c r="O20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同步追溯：work/liveshow-user-live-testcases/prototype-context-sync-result.json；RSL-0002</x:v>
      </x:c>
    </x:row>
    <x:row r="204" ht="91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逻辑校验</x:v>
      </x:c>
      <x:c r="F204" s="5" t="str">
        <x:v>P1</x:v>
      </x:c>
      <x:c r="G204" s="5" t="str">
        <x:v>验证直播中修改密码的 8 位数字校验</x:v>
      </x:c>
      <x:c r="H204" s="5" t="str">
        <x:v>修改密码格式校验</x:v>
      </x:c>
      <x:c r="I204" s="5" t="str">
        <x:v>1. 密码房的房间密码面板已打开</x:v>
      </x:c>
      <x:c r="J204" s="5" t="str">
        <x:v>1. 输入非 8 位数字的新密码
2. 点击“保存密码”</x:v>
      </x:c>
      <x:c r="K204" s="5" t="str">
        <x:v>页面提示“请输入 8 位数字密码”</x:v>
      </x:c>
      <x:c r="L204" s="5" t="str"/>
      <x:c r="M204" s="5" t="str">
        <x:v>未测</x:v>
      </x:c>
      <x:c r="N204" s="5" t="str"/>
      <x:c r="O204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同步追溯：work/liveshow-user-live-testcases/prototype-context-sync-result.json；RSL-0002</x:v>
      </x:c>
    </x:row>
    <x:row r="205" ht="55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验证取消转发粉丝群</x:v>
      </x:c>
      <x:c r="H205" s="5" t="str">
        <x:v>取消转发粉丝群</x:v>
      </x:c>
      <x:c r="I205" s="5" t="str">
        <x:v>1. 转发粉丝群确认框已打开</x:v>
      </x:c>
      <x:c r="J205" s="5" t="str">
        <x:v>1. 点击“取消”</x:v>
      </x:c>
      <x:c r="K205" s="5" t="str">
        <x:v>转发确认框关闭</x:v>
      </x:c>
      <x:c r="L205" s="5" t="str"/>
      <x:c r="M205" s="5" t="str">
        <x:v>未测</x:v>
      </x:c>
      <x:c r="N205" s="5" t="str"/>
      <x:c r="O205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06" ht="91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P1</x:v>
      </x:c>
      <x:c r="G206" s="5" t="str">
        <x:v>验证点击评论显示屏蔽入口</x:v>
      </x:c>
      <x:c r="H206" s="5" t="str">
        <x:v>屏蔽评论入口</x:v>
      </x:c>
      <x:c r="I206" s="5" t="str">
        <x:v>1. 主播直播间公屏存在观众评论</x:v>
      </x:c>
      <x:c r="J206" s="5" t="str">
        <x:v>1. 点击目标观众评论</x:v>
      </x:c>
      <x:c r="K206" s="5" t="str">
        <x:v>目标评论旁显示“屏蔽此评论”按钮</x:v>
      </x:c>
      <x:c r="L206" s="5" t="str"/>
      <x:c r="M206" s="5" t="str">
        <x:v>未测</x:v>
      </x:c>
      <x:c r="N206" s="5" t="str"/>
      <x:c r="O20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07" ht="91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P1</x:v>
      </x:c>
      <x:c r="G207" s="5" t="str">
        <x:v>验证屏蔽当前评论</x:v>
      </x:c>
      <x:c r="H207" s="5" t="str">
        <x:v>当前评论移除</x:v>
      </x:c>
      <x:c r="I207" s="5" t="str">
        <x:v>1. 目标评论已显示“屏蔽此评论”按钮</x:v>
      </x:c>
      <x:c r="J207" s="5" t="str">
        <x:v>1. 点击“屏蔽此评论”</x:v>
      </x:c>
      <x:c r="K207" s="5" t="str">
        <x:v>目标评论从当前公屏移除</x:v>
      </x:c>
      <x:c r="L207" s="5" t="str"/>
      <x:c r="M207" s="5" t="str">
        <x:v>未测</x:v>
      </x:c>
      <x:c r="N207" s="5" t="str"/>
      <x:c r="O207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08" ht="55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验证屏蔽评论成功提示</x:v>
      </x:c>
      <x:c r="H208" s="5" t="str">
        <x:v>屏蔽评论提示</x:v>
      </x:c>
      <x:c r="I208" s="5" t="str">
        <x:v>1. 目标评论已显示“屏蔽此评论”按钮</x:v>
      </x:c>
      <x:c r="J208" s="5" t="str">
        <x:v>1. 点击“屏蔽此评论”</x:v>
      </x:c>
      <x:c r="K208" s="5" t="str">
        <x:v>页面提示“已屏蔽此评论”</x:v>
      </x:c>
      <x:c r="L208" s="5" t="str"/>
      <x:c r="M208" s="5" t="str">
        <x:v>未测</x:v>
      </x:c>
      <x:c r="N208" s="5" t="str"/>
      <x:c r="O208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09" ht="91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验证主播用户卡提供管理操作</x:v>
      </x:c>
      <x:c r="H209" s="5" t="str">
        <x:v>主播用户卡操作范围</x:v>
      </x:c>
      <x:c r="I209" s="5" t="str">
        <x:v>1. 主播直播间存在在线观众</x:v>
      </x:c>
      <x:c r="J209" s="5" t="str">
        <x:v>1. 点击观众头像
2. 查看用户卡操作栏</x:v>
      </x:c>
      <x:c r="K209" s="5" t="str">
        <x:v>用户卡提供举报、禁言、踢出、拉黑和设为房管操作</x:v>
      </x:c>
      <x:c r="L209" s="5" t="str"/>
      <x:c r="M209" s="5" t="str">
        <x:v>未测</x:v>
      </x:c>
      <x:c r="N209" s="5" t="str"/>
      <x:c r="O209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同步追溯：work/liveshow-user-live-testcases/prototype-context-sync-result.json；RSL-0002</x:v>
      </x:c>
    </x:row>
    <x:row r="210" ht="79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验证主播直接发送答谢</x:v>
      </x:c>
      <x:c r="H210" s="5" t="str">
        <x:v>答谢成功提示</x:v>
      </x:c>
      <x:c r="I210" s="5" t="str">
        <x:v>1. 主播已打开 Maya 的用户卡</x:v>
      </x:c>
      <x:c r="J210" s="5" t="str">
        <x:v>1. 点击“答谢”</x:v>
      </x:c>
      <x:c r="K210" s="5" t="str">
        <x:v>页面提示“已向 Maya 发送答谢”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11" ht="79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P1</x:v>
      </x:c>
      <x:c r="G211" s="5" t="str">
        <x:v>验证答谢不打开礼物面板</x:v>
      </x:c>
      <x:c r="H211" s="5" t="str">
        <x:v>答谢不选礼</x:v>
      </x:c>
      <x:c r="I211" s="5" t="str">
        <x:v>1. 主播已打开 Maya 的用户卡</x:v>
      </x:c>
      <x:c r="J211" s="5" t="str">
        <x:v>1. 点击“答谢”</x:v>
      </x:c>
      <x:c r="K211" s="5" t="str">
        <x:v>页面不打开礼物选择面板</x:v>
      </x:c>
      <x:c r="L211" s="5" t="str"/>
      <x:c r="M211" s="5" t="str">
        <x:v>未测</x:v>
      </x:c>
      <x:c r="N211" s="5" t="str"/>
      <x:c r="O211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12" ht="79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P2</x:v>
      </x:c>
      <x:c r="G212" s="5" t="str">
        <x:v>验证普通房不打开密码编辑面板</x:v>
      </x:c>
      <x:c r="H212" s="5" t="str">
        <x:v>普通房密码面板拦截</x:v>
      </x:c>
      <x:c r="I212" s="5" t="str">
        <x:v>1. 主播正在普通房直播</x:v>
      </x:c>
      <x:c r="J212" s="5" t="str">
        <x:v>1. 打开直播设置
2. 点击置灰的“房间密码”入口</x:v>
      </x:c>
      <x:c r="K212" s="5" t="str">
        <x:v>页面不打开密码编辑面板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同步追溯：work/liveshow-user-live-testcases/prototype-context-sync-result.json；RSL-0002</x:v>
      </x:c>
    </x:row>
    <x:row r="213" ht="55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功能需求</x:v>
      </x:c>
      <x:c r="F213" s="5" t="str">
        <x:v>P2</x:v>
      </x:c>
      <x:c r="G213" s="5" t="str">
        <x:v>验证取消转发后不发送直播间卡片</x:v>
      </x:c>
      <x:c r="H213" s="5" t="str">
        <x:v>取消转发发送结果</x:v>
      </x:c>
      <x:c r="I213" s="5" t="str">
        <x:v>1. 转发粉丝群确认框已打开</x:v>
      </x:c>
      <x:c r="J213" s="5" t="str">
        <x:v>1. 点击“取消”
2. 查看目标粉丝群</x:v>
      </x:c>
      <x:c r="K213" s="5" t="str">
        <x:v>目标粉丝群不新增本场直播卡片</x:v>
      </x:c>
      <x:c r="L213" s="5" t="str"/>
      <x:c r="M213" s="5" t="str">
        <x:v>未测</x:v>
      </x:c>
      <x:c r="N213" s="5" t="str"/>
      <x:c r="O213" s="5" t="str">
        <x:v>1. 来源：prototype/pages/user/live/live-room-host.html 与 prototype/assets/common.js；未动态验证
2. 同步追溯：work/liveshow-user-live-testcases/prototype-context-sync-result.json；RSL-0002</x:v>
      </x:c>
    </x:row>
    <x:row r="214" ht="79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房管协助管理</x:v>
      </x:c>
      <x:c r="E214" s="5" t="str">
        <x:v>功能需求</x:v>
      </x:c>
      <x:c r="F214" s="5" t="str">
        <x:v>P1</x:v>
      </x:c>
      <x:c r="G214" s="5" t="str">
        <x:v>验证房管资料卡展示受限管理操作</x:v>
      </x:c>
      <x:c r="H214" s="5" t="str">
        <x:v>房管操作范围</x:v>
      </x:c>
      <x:c r="I214" s="5" t="str">
        <x:v>1. 当前用户已被主播设置为房管
2. 当前直播仍在进行</x:v>
      </x:c>
      <x:c r="J214" s="5" t="str">
        <x:v>1. 以房管身份进入直播间
2. 打开在线观众资料卡</x:v>
      </x:c>
      <x:c r="K214" s="5" t="str">
        <x:v>房管资料卡仅提供禁言、踢出和有依据的评论处置能力，不提供房管授权或结束直播能力</x:v>
      </x:c>
      <x:c r="L214" s="5" t="str"/>
      <x:c r="M214" s="5" t="str">
        <x:v>未测</x:v>
      </x:c>
      <x:c r="N214" s="5" t="str"/>
      <x:c r="O214" s="5" t="str">
        <x:v>1. 来源：context/01-用户主播App-角色与用例.md
2. 来源：context/01-互动场景权限规则.md
3. 来源：prototype/assets/annotations.js
4. 追溯：业务底稿 LIVE-042。
5. 同步追溯：work/liveshow-user-live-testcases/prototype-context-sync-result.json；RSL-0002</x:v>
      </x:c>
    </x:row>
    <x:row r="215" ht="79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房管协助管理</x:v>
      </x:c>
      <x:c r="E215" s="5" t="str">
        <x:v>业务流程</x:v>
      </x:c>
      <x:c r="F215" s="5" t="str">
        <x:v>P1</x:v>
      </x:c>
      <x:c r="G215" s="5" t="str">
        <x:v>验证房管禁言限制用户发言</x:v>
      </x:c>
      <x:c r="H215" s="5" t="str">
        <x:v>房管禁言生效</x:v>
      </x:c>
      <x:c r="I215" s="5" t="str">
        <x:v>1. 房管和目标用户均在当前直播间
2. 目标用户可正常发言</x:v>
      </x:c>
      <x:c r="J215" s="5" t="str">
        <x:v>1. 房管打开目标用户资料卡
2. 选择禁言
3. 在确认提示中点击确认
4. 目标用户尝试发送公屏消息</x:v>
      </x:c>
      <x:c r="K215" s="5" t="str">
        <x:v>目标用户在当前场次不能继续发送公屏消息</x:v>
      </x:c>
      <x:c r="L215" s="5" t="str"/>
      <x:c r="M215" s="5" t="str">
        <x:v>未测</x:v>
      </x:c>
      <x:c r="N215" s="5" t="str"/>
      <x:c r="O215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16" ht="79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房管协助管理</x:v>
      </x:c>
      <x:c r="E216" s="5" t="str">
        <x:v>业务流程</x:v>
      </x:c>
      <x:c r="F216" s="5" t="str">
        <x:v>P1</x:v>
      </x:c>
      <x:c r="G216" s="5" t="str">
        <x:v>验证房管禁言保留历史消息</x:v>
      </x:c>
      <x:c r="H216" s="5" t="str">
        <x:v>房管禁言历史消息</x:v>
      </x:c>
      <x:c r="I216" s="5" t="str">
        <x:v>1. 房管和目标用户均在当前直播间
2. 目标用户可正常发言</x:v>
      </x:c>
      <x:c r="J216" s="5" t="str">
        <x:v>1. 房管打开目标用户资料卡
2. 选择禁言
3. 在确认提示中点击确认
4. 目标用户尝试发送公屏消息</x:v>
      </x:c>
      <x:c r="K216" s="5" t="str">
        <x:v>目标用户已发送消息不受影响</x:v>
      </x:c>
      <x:c r="L216" s="5" t="str"/>
      <x:c r="M216" s="5" t="str">
        <x:v>未测</x:v>
      </x:c>
      <x:c r="N216" s="5" t="str"/>
      <x:c r="O216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17" ht="79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房管协助管理</x:v>
      </x:c>
      <x:c r="E217" s="5" t="str">
        <x:v>业务流程</x:v>
      </x:c>
      <x:c r="F217" s="5" t="str">
        <x:v>P1</x:v>
      </x:c>
      <x:c r="G217" s="5" t="str">
        <x:v>验证房管禁言操作留痕</x:v>
      </x:c>
      <x:c r="H217" s="5" t="str">
        <x:v>房管禁言记录</x:v>
      </x:c>
      <x:c r="I217" s="5" t="str">
        <x:v>1. 房管和目标用户均在当前直播间
2. 目标用户可正常发言</x:v>
      </x:c>
      <x:c r="J217" s="5" t="str">
        <x:v>1. 房管打开目标用户资料卡
2. 选择禁言
3. 在确认提示中点击确认
4. 目标用户尝试发送公屏消息</x:v>
      </x:c>
      <x:c r="K217" s="5" t="str">
        <x:v>系统保留房管、目标用户、场次和操作时间记录</x:v>
      </x:c>
      <x:c r="L217" s="5" t="str"/>
      <x:c r="M217" s="5" t="str">
        <x:v>未测</x:v>
      </x:c>
      <x:c r="N217" s="5" t="str"/>
      <x:c r="O217" s="5" t="str">
        <x:v>1. 来源：context/01-用户主播App-角色与用例.md
2. 来源：context/01-互动场景权限规则.md
3. 来源：prototype/assets/annotations.js
4. 追溯：业务底稿 LIVE-043。
5. 同步追溯：work/liveshow-user-live-testcases/prototype-context-sync-result.json；RSL-0002</x:v>
      </x:c>
    </x:row>
    <x:row r="218" ht="55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房管协助管理</x:v>
      </x:c>
      <x:c r="E218" s="5" t="str">
        <x:v>功能需求</x:v>
      </x:c>
      <x:c r="F218" s="5" t="str">
        <x:v>P2</x:v>
      </x:c>
      <x:c r="G218" s="5" t="str">
        <x:v>验证房管取消禁言操作后状态不变</x:v>
      </x:c>
      <x:c r="H218" s="5" t="str">
        <x:v>取消房管禁言</x:v>
      </x:c>
      <x:c r="I218" s="5" t="str">
        <x:v>1. 房管已打开对可发言用户的禁言确认提示</x:v>
      </x:c>
      <x:c r="J218" s="5" t="str">
        <x:v>1. 点击“取消”
2. 由目标用户发送公屏消息</x:v>
      </x:c>
      <x:c r="K218" s="5" t="str">
        <x:v>取消禁言确认后，目标用户的禁言状态不变</x:v>
      </x:c>
      <x:c r="L218" s="5" t="str"/>
      <x:c r="M218" s="5" t="str">
        <x:v>未测</x:v>
      </x:c>
      <x:c r="N218" s="5" t="str"/>
      <x:c r="O218" s="5" t="str">
        <x:v>1. 来源：prototype/assets/annotations.js
2. 追溯：业务底稿 LIVE-044。
3. 同步追溯：work/liveshow-user-live-testcases/prototype-context-sync-result.json；RSL-0002</x:v>
      </x:c>
    </x:row>
    <x:row r="219" ht="79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房管协助管理</x:v>
      </x:c>
      <x:c r="E219" s="5" t="str">
        <x:v>业务流程</x:v>
      </x:c>
      <x:c r="F219" s="5" t="str">
        <x:v>P1</x:v>
      </x:c>
      <x:c r="G219" s="5" t="str">
        <x:v>验证房管踢人限制本场重进</x:v>
      </x:c>
      <x:c r="H219" s="5" t="str">
        <x:v>房管踢人当前场次</x:v>
      </x:c>
      <x:c r="I219" s="5" t="str">
        <x:v>1. 房管和目标用户均在当前直播间</x:v>
      </x:c>
      <x:c r="J219" s="5" t="str">
        <x:v>1. 房管打开目标用户资料卡
2. 点击“踢出直播间”
3. 在确认提示中点击确认
4. 目标用户再次尝试进入当前场次</x:v>
      </x:c>
      <x:c r="K219" s="5" t="str">
        <x:v>房管踢出用户后，目标用户在当前场次不得再次进入</x:v>
      </x:c>
      <x:c r="L219" s="5" t="str"/>
      <x:c r="M219" s="5" t="str">
        <x:v>未测</x:v>
      </x:c>
      <x:c r="N219" s="5" t="str"/>
      <x:c r="O219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20" ht="79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房管协助管理</x:v>
      </x:c>
      <x:c r="E220" s="5" t="str">
        <x:v>业务流程</x:v>
      </x:c>
      <x:c r="F220" s="5" t="str">
        <x:v>P1</x:v>
      </x:c>
      <x:c r="G220" s="5" t="str">
        <x:v>验证房管踢人不影响下一场直播</x:v>
      </x:c>
      <x:c r="H220" s="5" t="str">
        <x:v>房管踢人跨场恢复</x:v>
      </x:c>
      <x:c r="I220" s="5" t="str">
        <x:v>1. 房管和目标用户均在当前直播间</x:v>
      </x:c>
      <x:c r="J220" s="5" t="str">
        <x:v>1. 房管打开目标用户资料卡
2. 点击“踢出直播间”
3. 在确认提示中点击确认
4. 目标用户再次尝试进入当前场次</x:v>
      </x:c>
      <x:c r="K220" s="5" t="str">
        <x:v>下一场直播不继承本次踢出限制</x:v>
      </x:c>
      <x:c r="L220" s="5" t="str"/>
      <x:c r="M220" s="5" t="str">
        <x:v>未测</x:v>
      </x:c>
      <x:c r="N220" s="5" t="str"/>
      <x:c r="O220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21" ht="79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房管协助管理</x:v>
      </x:c>
      <x:c r="E221" s="5" t="str">
        <x:v>业务流程</x:v>
      </x:c>
      <x:c r="F221" s="5" t="str">
        <x:v>P1</x:v>
      </x:c>
      <x:c r="G221" s="5" t="str">
        <x:v>验证房管踢人操作留痕</x:v>
      </x:c>
      <x:c r="H221" s="5" t="str">
        <x:v>房管踢人记录</x:v>
      </x:c>
      <x:c r="I221" s="5" t="str">
        <x:v>1. 房管和目标用户均在当前直播间</x:v>
      </x:c>
      <x:c r="J221" s="5" t="str">
        <x:v>1. 房管打开目标用户资料卡
2. 点击“踢出直播间”
3. 在确认提示中点击确认
4. 目标用户再次尝试进入当前场次</x:v>
      </x:c>
      <x:c r="K221" s="5" t="str">
        <x:v>系统保留房管、目标用户、场次和操作时间记录</x:v>
      </x:c>
      <x:c r="L221" s="5" t="str"/>
      <x:c r="M221" s="5" t="str">
        <x:v>未测</x:v>
      </x:c>
      <x:c r="N221" s="5" t="str"/>
      <x:c r="O221" s="5" t="str">
        <x:v>1. 来源：context/01-用户主播App-角色与用例.md
2. 来源：context/01-互动场景权限规则.md
3. 来源：prototype/assets/annotations.js
4. 追溯：业务底稿 LIVE-045。
5. 同步追溯：work/liveshow-user-live-testcases/prototype-context-sync-result.json；RSL-0002</x:v>
      </x:c>
    </x:row>
    <x:row r="222" ht="115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主播连麦</x:v>
      </x:c>
      <x:c r="E222" s="5" t="str">
        <x:v>业务流程</x:v>
      </x:c>
      <x:c r="F222" s="5" t="str">
        <x:v>P1</x:v>
      </x:c>
      <x:c r="G222" s="5" t="str">
        <x:v>验证受邀主播接受后建立两人连麦</x:v>
      </x:c>
      <x:c r="H222" s="5" t="str">
        <x:v>两人连麦关系</x:v>
      </x:c>
      <x:c r="I222" s="5" t="str">
        <x:v>1. 主播 B 存在主播 A 发出的有效邀请
2. 双方仍在普通房且在线</x:v>
      </x:c>
      <x:c r="J222" s="5" t="str">
        <x:v>1. 主播 B 打开连麦邀请
2. 点击接受</x:v>
      </x:c>
      <x:c r="K222" s="5" t="str">
        <x:v>系统建立主播 A 与主播 B 的两人连麦关系，参与主播数量为 2</x:v>
      </x:c>
      <x:c r="L222" s="5" t="str">
        <x:v>FLOW-LIVE-005</x:v>
      </x:c>
      <x:c r="M222" s="5" t="str">
        <x:v>未测</x:v>
      </x:c>
      <x:c r="N222" s="5" t="str"/>
      <x:c r="O222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
6. 同步追溯：work/liveshow-user-live-testcases/prototype-context-sync-result.json；RSL-0002
7. 共同业务对象：同一主播连麦会话
8. 流程阶段：两人连麦关系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主播连麦</x:v>
      </x:c>
      <x:c r="E223" s="5" t="str">
        <x:v>业务流程</x:v>
      </x:c>
      <x:c r="F223" s="5" t="str">
        <x:v>P1</x:v>
      </x:c>
      <x:c r="G223" s="5" t="str">
        <x:v>验证主播 A 进入两人分屏画面</x:v>
      </x:c>
      <x:c r="H223" s="5" t="str">
        <x:v>主播 A 连麦分屏</x:v>
      </x:c>
      <x:c r="I223" s="5" t="str">
        <x:v>1. 主播 B 存在主播 A 发出的有效邀请
2. 双方仍在普通房且在线</x:v>
      </x:c>
      <x:c r="J223" s="5" t="str">
        <x:v>1. 主播 B 接受主播 A 的邀请
2. 查看主播 A 的直播画面</x:v>
      </x:c>
      <x:c r="K223" s="5" t="str">
        <x:v>主播 A 的直播间展示主播 A 与主播 B 的左右分屏画面</x:v>
      </x:c>
      <x:c r="L223" s="5" t="str">
        <x:v>FLOW-LIVE-005</x:v>
      </x:c>
      <x:c r="M223" s="5" t="str">
        <x:v>未测</x:v>
      </x:c>
      <x:c r="N223" s="5" t="str"/>
      <x:c r="O223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
6. 同步追溯：work/liveshow-user-live-testcases/prototype-context-sync-result.json；RSL-0002
7. 共同业务对象：同一主播连麦会话
8. 流程阶段：主播 A 连麦分屏</x:v>
      </x:c>
    </x:row>
    <x:row r="224" ht="115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主播连麦</x:v>
      </x:c>
      <x:c r="E224" s="5" t="str">
        <x:v>业务流程</x:v>
      </x:c>
      <x:c r="F224" s="5" t="str">
        <x:v>P1</x:v>
      </x:c>
      <x:c r="G224" s="5" t="str">
        <x:v>验证主播 B 进入两人分屏画面</x:v>
      </x:c>
      <x:c r="H224" s="5" t="str">
        <x:v>主播 B 连麦分屏</x:v>
      </x:c>
      <x:c r="I224" s="5" t="str">
        <x:v>1. 主播 B 存在主播 A 发出的有效邀请
2. 双方仍在普通房且在线</x:v>
      </x:c>
      <x:c r="J224" s="5" t="str">
        <x:v>1. 主播 B 接受主播 A 的邀请
2. 查看主播 B 的直播画面</x:v>
      </x:c>
      <x:c r="K224" s="5" t="str">
        <x:v>主播 B 的直播间展示主播 A 与主播 B 的左右分屏画面</x:v>
      </x:c>
      <x:c r="L224" s="5" t="str">
        <x:v>FLOW-LIVE-005</x:v>
      </x:c>
      <x:c r="M224" s="5" t="str">
        <x:v>未测</x:v>
      </x:c>
      <x:c r="N224" s="5" t="str"/>
      <x:c r="O224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
6. 同步追溯：work/liveshow-user-live-testcases/prototype-context-sync-result.json；RSL-0002
7. 共同业务对象：同一主播连麦会话
8. 流程阶段：主播 B 连麦分屏</x:v>
      </x:c>
    </x:row>
    <x:row r="225" ht="115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主播连麦</x:v>
      </x:c>
      <x:c r="E225" s="5" t="str">
        <x:v>业务流程</x:v>
      </x:c>
      <x:c r="F225" s="5" t="str">
        <x:v>P1</x:v>
      </x:c>
      <x:c r="G225" s="5" t="str">
        <x:v>验证退出连麦后的会话状态</x:v>
      </x:c>
      <x:c r="H225" s="5" t="str">
        <x:v>连麦退出结果</x:v>
      </x:c>
      <x:c r="I225" s="5" t="str">
        <x:v>1. 两位主播正在连麦</x:v>
      </x:c>
      <x:c r="J225" s="5" t="str">
        <x:v>1. 连麦主播点击退出
2. 确认退出
3. 查询连麦关系</x:v>
      </x:c>
      <x:c r="K225" s="5" t="str">
        <x:v>两位主播的连麦关系解除</x:v>
      </x:c>
      <x:c r="L225" s="5" t="str">
        <x:v>FLOW-LIVE-005</x:v>
      </x:c>
      <x:c r="M225" s="5" t="str">
        <x:v>未测</x:v>
      </x:c>
      <x:c r="N225" s="5" t="str"/>
      <x:c r="O225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
6. 同步追溯：work/liveshow-user-live-testcases/prototype-context-sync-result.json；RSL-0002
7. 共同业务对象：同一主播连麦会话
8. 流程阶段：连麦退出结果</x:v>
      </x:c>
    </x:row>
    <x:row r="226" ht="127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主播连麦</x:v>
      </x:c>
      <x:c r="E226" s="5" t="str">
        <x:v>业务流程</x:v>
      </x:c>
      <x:c r="F226" s="5" t="str">
        <x:v>P1</x:v>
      </x:c>
      <x:c r="G226" s="5" t="str">
        <x:v>验证主播 A 退出连麦后恢复单人画面</x:v>
      </x:c>
      <x:c r="H226" s="5" t="str">
        <x:v>主播 A 单人画面恢复</x:v>
      </x:c>
      <x:c r="I226" s="5" t="str">
        <x:v>1. 两位主播正在连麦</x:v>
      </x:c>
      <x:c r="J226" s="5" t="str">
        <x:v>1. 连麦主播确认退出
2. 查看主播 A 的直播画面</x:v>
      </x:c>
      <x:c r="K226" s="5" t="str">
        <x:v>主播 A 的直播间恢复主播 A 的单人直播画面</x:v>
      </x:c>
      <x:c r="L226" s="5" t="str">
        <x:v>FLOW-LIVE-005</x:v>
      </x:c>
      <x:c r="M226" s="5" t="str">
        <x:v>未测</x:v>
      </x:c>
      <x:c r="N226" s="5" t="str"/>
      <x:c r="O226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
6. 同步追溯：work/liveshow-user-live-testcases/prototype-context-sync-result.json；RSL-0002
7. 共同业务对象：同一主播连麦会话
8. 流程阶段：主播 A 单人画面恢复</x:v>
      </x:c>
    </x:row>
    <x:row r="227" ht="127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主播连麦</x:v>
      </x:c>
      <x:c r="E227" s="5" t="str">
        <x:v>业务流程</x:v>
      </x:c>
      <x:c r="F227" s="5" t="str">
        <x:v>P1</x:v>
      </x:c>
      <x:c r="G227" s="5" t="str">
        <x:v>验证主播 B 退出连麦后恢复单人画面</x:v>
      </x:c>
      <x:c r="H227" s="5" t="str">
        <x:v>主播 B 单人画面恢复</x:v>
      </x:c>
      <x:c r="I227" s="5" t="str">
        <x:v>1. 两位主播正在连麦</x:v>
      </x:c>
      <x:c r="J227" s="5" t="str">
        <x:v>1. 连麦主播确认退出
2. 查看主播 B 的直播画面</x:v>
      </x:c>
      <x:c r="K227" s="5" t="str">
        <x:v>主播 B 的直播间恢复主播 B 的单人直播画面</x:v>
      </x:c>
      <x:c r="L227" s="5" t="str">
        <x:v>FLOW-LIVE-005</x:v>
      </x:c>
      <x:c r="M227" s="5" t="str">
        <x:v>未测</x:v>
      </x:c>
      <x:c r="N227" s="5" t="str"/>
      <x:c r="O227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
6. 同步追溯：work/liveshow-user-live-testcases/prototype-context-sync-result.json；RSL-0002
7. 共同业务对象：同一主播连麦会话
8. 流程阶段：主播 B 单人画面恢复</x:v>
      </x:c>
    </x:row>
    <x:row r="228" ht="115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主播连麦</x:v>
      </x:c>
      <x:c r="E228" s="5" t="str">
        <x:v>业务流程</x:v>
      </x:c>
      <x:c r="F228" s="5" t="str">
        <x:v>P1</x:v>
      </x:c>
      <x:c r="G228" s="5" t="str">
        <x:v>验证退出连麦后恢复连麦入口</x:v>
      </x:c>
      <x:c r="H228" s="5" t="str">
        <x:v>连麦入口恢复</x:v>
      </x:c>
      <x:c r="I228" s="5" t="str">
        <x:v>1. 两位主播正在连麦</x:v>
      </x:c>
      <x:c r="J228" s="5" t="str">
        <x:v>1. 连麦主播确认退出
2. 查看普通房连麦入口</x:v>
      </x:c>
      <x:c r="K228" s="5" t="str">
        <x:v>普通房恢复可用的连麦入口</x:v>
      </x:c>
      <x:c r="L228" s="5" t="str">
        <x:v>FLOW-LIVE-005</x:v>
      </x:c>
      <x:c r="M228" s="5" t="str">
        <x:v>未测</x:v>
      </x:c>
      <x:c r="N228" s="5" t="str"/>
      <x:c r="O228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
6. 同步追溯：work/liveshow-user-live-testcases/prototype-context-sync-result.json；RSL-0002
7. 共同业务对象：同一主播连麦会话
8. 流程阶段：连麦入口恢复</x:v>
      </x:c>
    </x:row>
    <x:row r="229" ht="115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主播连麦</x:v>
      </x:c>
      <x:c r="E229" s="5" t="str">
        <x:v>业务流程</x:v>
      </x:c>
      <x:c r="F229" s="5" t="str">
        <x:v>P1</x:v>
      </x:c>
      <x:c r="G229" s="5" t="str">
        <x:v>验证退出连麦不结束双方直播场次</x:v>
      </x:c>
      <x:c r="H229" s="5" t="str">
        <x:v>连麦退出场次状态</x:v>
      </x:c>
      <x:c r="I229" s="5" t="str">
        <x:v>1. 两位主播正在连麦</x:v>
      </x:c>
      <x:c r="J229" s="5" t="str">
        <x:v>1. 连麦主播确认退出
2. 查看主播 A 和主播 B 的直播场次状态</x:v>
      </x:c>
      <x:c r="K229" s="5" t="str">
        <x:v>两场直播均保持进行中</x:v>
      </x:c>
      <x:c r="L229" s="5" t="str">
        <x:v>FLOW-LIVE-005</x:v>
      </x:c>
      <x:c r="M229" s="5" t="str">
        <x:v>未测</x:v>
      </x:c>
      <x:c r="N229" s="5" t="str"/>
      <x:c r="O229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
6. 同步追溯：work/liveshow-user-live-testcases/prototype-context-sync-result.json；RSL-0002
7. 共同业务对象：同一主播连麦会话
8. 流程阶段：连麦退出场次状态</x:v>
      </x:c>
    </x:row>
    <x:row r="230" ht="79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主播连麦</x:v>
      </x:c>
      <x:c r="E230" s="5" t="str">
        <x:v>逻辑校验</x:v>
      </x:c>
      <x:c r="F230" s="5" t="str">
        <x:v>P1</x:v>
      </x:c>
      <x:c r="G230" s="5" t="str">
        <x:v>验证门票房禁用连麦和 PK</x:v>
      </x:c>
      <x:c r="H230" s="5" t="str">
        <x:v>门票房连麦限制</x:v>
      </x:c>
      <x:c r="I230" s="5" t="str">
        <x:v>1. 主播分别在门票房和密码房直播</x:v>
      </x:c>
      <x:c r="J230" s="5" t="str">
        <x:v>1. 进入门票房主播端
2. 查看并尝试连麦或 PK 入口</x:v>
      </x:c>
      <x:c r="K230" s="5" t="str">
        <x:v>门票房不提供可用的连麦或 PK 入口</x:v>
      </x:c>
      <x:c r="L230" s="5" t="str"/>
      <x:c r="M230" s="5" t="str">
        <x:v>未测</x:v>
      </x:c>
      <x:c r="N230" s="5" t="str"/>
      <x:c r="O230" s="5" t="str">
        <x:v>1. 来源：context/01-用户主播App-项目需求清单.md
2. 来源：context/01-用户主播App-角色与用例.md
3. 来源：prototype/assets/annotations.js
4. 追溯：业务底稿 LIVE-091。
5. 同步追溯：work/liveshow-user-live-testcases/prototype-context-sync-result.json；RSL-0002</x:v>
      </x:c>
    </x:row>
    <x:row r="231" ht="79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主播连麦</x:v>
      </x:c>
      <x:c r="E231" s="5" t="str">
        <x:v>逻辑校验</x:v>
      </x:c>
      <x:c r="F231" s="5" t="str">
        <x:v>P1</x:v>
      </x:c>
      <x:c r="G231" s="5" t="str">
        <x:v>验证密码房 PK 入口不可用</x:v>
      </x:c>
      <x:c r="H231" s="5" t="str">
        <x:v>密码房 PK 入口状态</x:v>
      </x:c>
      <x:c r="I231" s="5" t="str">
        <x:v>1. 主播分别在门票房和密码房直播</x:v>
      </x:c>
      <x:c r="J231" s="5" t="str">
        <x:v>1. 进入密码房主播端
2. 查看并尝试连麦或 PK 入口</x:v>
      </x:c>
      <x:c r="K231" s="5" t="str">
        <x:v>密码房保留置灰且不可用的“PK”按钮</x:v>
      </x:c>
      <x:c r="L231" s="5" t="str"/>
      <x:c r="M231" s="5" t="str">
        <x:v>未测</x:v>
      </x:c>
      <x:c r="N231" s="5" t="str"/>
      <x:c r="O231" s="5" t="str">
        <x:v>1. 来源：context/01-用户主播App-项目需求清单.md
2. 来源：context/01-用户主播App-角色与用例.md
3. 来源：prototype/assets/annotations.js
4. 追溯：业务底稿 LIVE-091。
5. 同步追溯：work/liveshow-user-live-testcases/prototype-context-sync-result.json；RSL-0002</x:v>
      </x:c>
    </x:row>
    <x:row r="232" ht="79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主播连麦</x:v>
      </x:c>
      <x:c r="E232" s="5" t="str">
        <x:v>逻辑校验</x:v>
      </x:c>
      <x:c r="F232" s="5" t="str">
        <x:v>P1</x:v>
      </x:c>
      <x:c r="G232" s="5" t="str">
        <x:v>验证两人连麦中不能加入第三位主播</x:v>
      </x:c>
      <x:c r="H232" s="5" t="str">
        <x:v>连麦人数上限</x:v>
      </x:c>
      <x:c r="I232" s="5" t="str">
        <x:v>1. 主播 A 与主播 B 正在普通房连麦
2. 主播 C 在线且具备连麦权限</x:v>
      </x:c>
      <x:c r="J232" s="5" t="str">
        <x:v>1. 尝试邀请主播 C 加入当前连麦</x:v>
      </x:c>
      <x:c r="K232" s="5" t="str">
        <x:v>两人连麦状态下第三位主播不得加入当前连麦</x:v>
      </x:c>
      <x:c r="L232" s="5" t="str"/>
      <x:c r="M232" s="5" t="str">
        <x:v>未测</x:v>
      </x:c>
      <x:c r="N232" s="5" t="str"/>
      <x:c r="O232" s="5" t="str">
        <x:v>1. 来源：context/01-用户主播App-项目需求清单.md
2. 来源：context/01-用户主播App-角色与用例.md
3. 来源：prototype/assets/annotations.js
4. 追溯：业务底稿 LIVE-092。
5. 同步追溯：work/liveshow-user-live-testcases/prototype-context-sync-result.json；RSL-0002</x:v>
      </x:c>
    </x:row>
    <x:row r="233" ht="79.5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功能需求</x:v>
      </x:c>
      <x:c r="F233" s="5" t="str">
        <x:v>P1</x:v>
      </x:c>
      <x:c r="G233" s="5" t="str">
        <x:v>验证按 ID 或昵称筛选收到的连麦邀请</x:v>
      </x:c>
      <x:c r="H233" s="5" t="str">
        <x:v>收到的邀请筛选</x:v>
      </x:c>
      <x:c r="I233" s="5" t="str">
        <x:v>1. 主播正在普通房直播
2. 目标主播在线且具备连麦权限</x:v>
      </x:c>
      <x:c r="J233" s="5" t="str">
        <x:v>1. 打开“连麦主播”面板
2. 输入已收到邀请的主播 ID
3. 改为输入该主播昵称</x:v>
      </x:c>
      <x:c r="K233" s="5" t="str">
        <x:v>两种搜索方式均只展示与目标主播匹配的已收到邀请</x:v>
      </x:c>
      <x:c r="L233" s="5" t="str"/>
      <x:c r="M233" s="5" t="str">
        <x:v>未测</x:v>
      </x:c>
      <x:c r="N233" s="5" t="str"/>
      <x:c r="O233" s="5" t="str">
        <x:v>1. 来源：context/01-用户主播App-项目需求清单.md
2. 来源：prototype/assets/annotations.js
3. 来源：对应 HTML 静态原型；未动态验证
4. 追溯：业务底稿 LIVE-105。
5. 同步追溯：work/liveshow-user-live-testcases/prototype-context-sync-result.json；RSL-0002</x:v>
      </x:c>
    </x:row>
    <x:row r="234" ht="67.5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逻辑校验</x:v>
      </x:c>
      <x:c r="F234" s="5" t="str">
        <x:v>P1</x:v>
      </x:c>
      <x:c r="G234" s="5" t="str">
        <x:v>验证被邀请主播可同时收到多条连麦邀请</x:v>
      </x:c>
      <x:c r="H234" s="5" t="str">
        <x:v>多条收到邀请</x:v>
      </x:c>
      <x:c r="I234" s="5" t="str">
        <x:v>1. 主播 B 正在普通房直播且未连麦
2. 主播 A 和主播 C 均满足连麦条件</x:v>
      </x:c>
      <x:c r="J234" s="5" t="str">
        <x:v>1. 由主播 A 向主播 B 发起邀请
2. 由主播 C 向主播 B 发起邀请
3. 查看主播 B 的收到邀请列表</x:v>
      </x:c>
      <x:c r="K234" s="5" t="str">
        <x:v>“收到的邀请”列表同时展示多条待处理连麦邀请</x:v>
      </x:c>
      <x:c r="L234" s="5" t="str"/>
      <x:c r="M234" s="5" t="str">
        <x:v>未测</x:v>
      </x:c>
      <x:c r="N234" s="5" t="str"/>
      <x:c r="O234" s="5" t="str">
        <x:v>1. 来源：prototype/assets/annotations.js
2. 来源：对应 HTML 静态原型；未动态验证
3. 追溯：业务底稿 LIVE-107。
4. 同步追溯：work/liveshow-user-live-testcases/prototype-context-sync-result.json；RSL-0002</x:v>
      </x:c>
    </x:row>
    <x:row r="235" ht="79.5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逻辑校验</x:v>
      </x:c>
      <x:c r="F235" s="5" t="str">
        <x:v>P1</x:v>
      </x:c>
      <x:c r="G235" s="5" t="str">
        <x:v>验证密码房 PK 入口不可用</x:v>
      </x:c>
      <x:c r="H235" s="5" t="str">
        <x:v>密码房 PK 限制</x:v>
      </x:c>
      <x:c r="I235" s="5" t="str">
        <x:v>1. 主播正在密码房直播</x:v>
      </x:c>
      <x:c r="J235" s="5" t="str">
        <x:v>1. 点击 PK 入口</x:v>
      </x:c>
      <x:c r="K235" s="5" t="str">
        <x:v>点击密码房的“PK”按钮后提示“密码房无法发起连麦”</x:v>
      </x:c>
      <x:c r="L235" s="5" t="str"/>
      <x:c r="M235" s="5" t="str">
        <x:v>未测</x:v>
      </x:c>
      <x:c r="N235" s="5" t="str"/>
      <x:c r="O235" s="5" t="str">
        <x:v>1. 来源：context/01-用户主播App-项目需求清单.md
2. 来源：prototype/assets/annotations.js
3. 来源：对应 HTML 静态原型；未动态验证
4. 追溯：业务底稿 LIVE-109。
5. 同步追溯：work/liveshow-user-live-testcases/prototype-context-sync-result.json；RSL-0002</x:v>
      </x:c>
    </x:row>
    <x:row r="236" ht="67.5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逻辑校验</x:v>
      </x:c>
      <x:c r="F236" s="5" t="str">
        <x:v>P2</x:v>
      </x:c>
      <x:c r="G236" s="5" t="str">
        <x:v>验证连麦中房间密码入口不可用</x:v>
      </x:c>
      <x:c r="H236" s="5" t="str">
        <x:v>连麦中密码入口限制</x:v>
      </x:c>
      <x:c r="I236" s="5" t="str">
        <x:v>1. 主播正在普通房两人连麦中</x:v>
      </x:c>
      <x:c r="J236" s="5" t="str">
        <x:v>1. 打开直播设置
2. 查看并点击房间密码入口</x:v>
      </x:c>
      <x:c r="K236" s="5" t="str">
        <x:v>连麦中的房间密码入口置灰</x:v>
      </x:c>
      <x:c r="L236" s="5" t="str"/>
      <x:c r="M236" s="5" t="str">
        <x:v>未测</x:v>
      </x:c>
      <x:c r="N236" s="5" t="str"/>
      <x:c r="O236" s="5" t="str">
        <x:v>1. 来源：prototype/assets/annotations.js
2. 来源：对应 HTML 静态原型；未动态验证
3. 追溯：业务底稿 LIVE-110。
4. 同步追溯：work/liveshow-user-live-testcases/prototype-context-sync-result.json；RSL-0002</x:v>
      </x:c>
    </x:row>
    <x:row r="237" ht="91.5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功能需求</x:v>
      </x:c>
      <x:c r="F237" s="5" t="str">
        <x:v>P2</x:v>
      </x:c>
      <x:c r="G237" s="5" t="str">
        <x:v>验证接受连麦邀请成功反馈</x:v>
      </x:c>
      <x:c r="H237" s="5" t="str">
        <x:v>接受连麦邀请反馈</x:v>
      </x:c>
      <x:c r="I237" s="5" t="str">
        <x:v>1. 主播收到 Nadia 的有效连麦邀请
2. 双方均在普通房直播</x:v>
      </x:c>
      <x:c r="J237" s="5" t="str">
        <x:v>1. 打开连麦主播面板
2. 在 Nadia 的邀请中点击“接受”</x:v>
      </x:c>
      <x:c r="K237" s="5" t="str">
        <x:v>页面提示“已接受 Nadia 的连麦邀请”</x:v>
      </x:c>
      <x:c r="L237" s="5" t="str">
        <x:v>FLOW-LIVE-005</x:v>
      </x:c>
      <x:c r="M237" s="5" t="str">
        <x:v>未测</x:v>
      </x:c>
      <x:c r="N237" s="5" t="str"/>
      <x:c r="O23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流程阶段：接受连麦邀请反馈</x:v>
      </x:c>
    </x:row>
    <x:row r="238" ht="91.5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验证拒绝后关闭目标连麦邀请</x:v>
      </x:c>
      <x:c r="H238" s="5" t="str">
        <x:v>拒绝连麦邀请状态</x:v>
      </x:c>
      <x:c r="I238" s="5" t="str">
        <x:v>1. 主播收到 Lina 的有效连麦邀请
2. 双方均在普通房直播</x:v>
      </x:c>
      <x:c r="J238" s="5" t="str">
        <x:v>1. 打开连麦主播面板
2. 在 Lina 的邀请中点击“拒绝”</x:v>
      </x:c>
      <x:c r="K238" s="5" t="str">
        <x:v>Lina 的邀请从收到的邀请列表中移除</x:v>
      </x:c>
      <x:c r="L238" s="5" t="str">
        <x:v>FLOW-LIVE-005</x:v>
      </x:c>
      <x:c r="M238" s="5" t="str">
        <x:v>未测</x:v>
      </x:c>
      <x:c r="N238" s="5" t="str"/>
      <x:c r="O238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流程阶段：拒绝连麦邀请状态</x:v>
      </x:c>
    </x:row>
    <x:row r="239" ht="91.5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验证拒绝后不建立连麦关系</x:v>
      </x:c>
      <x:c r="H239" s="5" t="str">
        <x:v>拒绝连麦关系结果</x:v>
      </x:c>
      <x:c r="I239" s="5" t="str">
        <x:v>1. 主播收到 Lina 的有效连麦邀请
2. 双方均在普通房直播</x:v>
      </x:c>
      <x:c r="J239" s="5" t="str">
        <x:v>1. 打开连麦主播面板
2. 在 Lina 的邀请中点击“拒绝”</x:v>
      </x:c>
      <x:c r="K239" s="5" t="str">
        <x:v>当前主播与 Lina 不建立连麦关系</x:v>
      </x:c>
      <x:c r="L239" s="5" t="str">
        <x:v>FLOW-LIVE-005</x:v>
      </x:c>
      <x:c r="M239" s="5" t="str">
        <x:v>未测</x:v>
      </x:c>
      <x:c r="N239" s="5" t="str"/>
      <x:c r="O239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流程阶段：拒绝连麦关系结果</x:v>
      </x:c>
    </x:row>
    <x:row r="240" ht="91.5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功能需求</x:v>
      </x:c>
      <x:c r="F240" s="5" t="str">
        <x:v>P2</x:v>
      </x:c>
      <x:c r="G240" s="5" t="str">
        <x:v>验证拒绝连麦邀请成功反馈</x:v>
      </x:c>
      <x:c r="H240" s="5" t="str">
        <x:v>拒绝连麦邀请反馈</x:v>
      </x:c>
      <x:c r="I240" s="5" t="str">
        <x:v>1. 主播收到 Lina 的有效连麦邀请
2. 双方均在普通房直播</x:v>
      </x:c>
      <x:c r="J240" s="5" t="str">
        <x:v>1. 打开连麦主播面板
2. 在 Lina 的邀请中点击“拒绝”</x:v>
      </x:c>
      <x:c r="K240" s="5" t="str">
        <x:v>页面提示“已拒绝 Lina 的连麦邀请”</x:v>
      </x:c>
      <x:c r="L240" s="5" t="str">
        <x:v>FLOW-LIVE-005</x:v>
      </x:c>
      <x:c r="M240" s="5" t="str">
        <x:v>未测</x:v>
      </x:c>
      <x:c r="N240" s="5" t="str"/>
      <x:c r="O240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流程阶段：拒绝连麦邀请反馈</x:v>
      </x:c>
    </x:row>
    <x:row r="241" ht="91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功能需求</x:v>
      </x:c>
      <x:c r="F241" s="5" t="str">
        <x:v>P2</x:v>
      </x:c>
      <x:c r="G241" s="5" t="str">
        <x:v>验证退出连麦成功反馈</x:v>
      </x:c>
      <x:c r="H241" s="5" t="str">
        <x:v>退出连麦反馈</x:v>
      </x:c>
      <x:c r="I241" s="5" t="str">
        <x:v>1. 两位主播正在连麦</x:v>
      </x:c>
      <x:c r="J241" s="5" t="str">
        <x:v>1. 点击“退出”
2. 在确认提示中点击“确认退出”</x:v>
      </x:c>
      <x:c r="K241" s="5" t="str">
        <x:v>页面提示“已退出连麦”</x:v>
      </x:c>
      <x:c r="L241" s="5" t="str">
        <x:v>FLOW-LIVE-005</x:v>
      </x:c>
      <x:c r="M241" s="5" t="str">
        <x:v>未测</x:v>
      </x:c>
      <x:c r="N241" s="5" t="str"/>
      <x:c r="O241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同步追溯：work/liveshow-user-live-testcases/prototype-context-sync-result.json；RSL-0002
5. 共同业务对象：同一主播连麦会话
6. 流程阶段：退出连麦反馈</x:v>
      </x:c>
    </x:row>
    <x:row r="242" ht="7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功能需求</x:v>
      </x:c>
      <x:c r="F242" s="5" t="str">
        <x:v>P1</x:v>
      </x:c>
      <x:c r="G242" s="5" t="str">
        <x:v>验证普通房 PK 入口打开连麦面板</x:v>
      </x:c>
      <x:c r="H242" s="5" t="str">
        <x:v>PK 入口打开连麦</x:v>
      </x:c>
      <x:c r="I242" s="5" t="str">
        <x:v>1. 主播正在普通房直播</x:v>
      </x:c>
      <x:c r="J242" s="5" t="str">
        <x:v>1. 点击“PK”</x:v>
      </x:c>
      <x:c r="K242" s="5" t="str">
        <x:v>页面打开标题为“连麦主播”的面板</x:v>
      </x:c>
      <x:c r="L242" s="5" t="str"/>
      <x:c r="M242" s="5" t="str">
        <x:v>未测</x:v>
      </x:c>
      <x:c r="N242" s="5" t="str"/>
      <x:c r="O242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43" ht="79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功能需求</x:v>
      </x:c>
      <x:c r="F243" s="5" t="str">
        <x:v>P1</x:v>
      </x:c>
      <x:c r="G243" s="5" t="str">
        <x:v>验证连麦面板仅展示收到的邀请</x:v>
      </x:c>
      <x:c r="H243" s="5" t="str">
        <x:v>连麦面板当前范围</x:v>
      </x:c>
      <x:c r="I243" s="5" t="str">
        <x:v>1. “连麦主播”面板已打开</x:v>
      </x:c>
      <x:c r="J243" s="5" t="str">
        <x:v>1. 查看面板内容</x:v>
      </x:c>
      <x:c r="K243" s="5" t="str">
        <x:v>面板只展示“收到的邀请”列表</x:v>
      </x:c>
      <x:c r="L243" s="5" t="str"/>
      <x:c r="M243" s="5" t="str">
        <x:v>未测</x:v>
      </x:c>
      <x:c r="N243" s="5" t="str"/>
      <x:c r="O24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44" ht="79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验证连麦面板不提供主动发起入口</x:v>
      </x:c>
      <x:c r="H244" s="5" t="str">
        <x:v>主动连麦入口缺省</x:v>
      </x:c>
      <x:c r="I244" s="5" t="str">
        <x:v>1. “连麦主播”面板已打开</x:v>
      </x:c>
      <x:c r="J244" s="5" t="str">
        <x:v>1. 查看面板全部操作</x:v>
      </x:c>
      <x:c r="K244" s="5" t="str">
        <x:v>面板不展示主动发起或取消连麦邀请的操作</x:v>
      </x:c>
      <x:c r="L244" s="5" t="str"/>
      <x:c r="M244" s="5" t="str">
        <x:v>未测</x:v>
      </x:c>
      <x:c r="N244" s="5" t="str"/>
      <x:c r="O24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45" ht="55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功能需求</x:v>
      </x:c>
      <x:c r="F245" s="5" t="str">
        <x:v>P2</x:v>
      </x:c>
      <x:c r="G245" s="5" t="str">
        <x:v>验证连麦邀请筛选无结果</x:v>
      </x:c>
      <x:c r="H245" s="5" t="str">
        <x:v>连麦邀请筛选空状态</x:v>
      </x:c>
      <x:c r="I245" s="5" t="str">
        <x:v>1. “连麦主播”面板已打开</x:v>
      </x:c>
      <x:c r="J245" s="5" t="str">
        <x:v>1. 输入与已收到邀请都不匹配的内容</x:v>
      </x:c>
      <x:c r="K245" s="5" t="str">
        <x:v>邀请列表展示“暂无收到的邀请”</x:v>
      </x:c>
      <x:c r="L245" s="5" t="str"/>
      <x:c r="M245" s="5" t="str">
        <x:v>未测</x:v>
      </x:c>
      <x:c r="N245" s="5" t="str"/>
      <x:c r="O245" s="5" t="str">
        <x:v>1. 来源：prototype/pages/user/live/live-room-cohost-active.html 与 prototype/assets/common.js；未动态验证
2. 同步追溯：work/liveshow-user-live-testcases/prototype-context-sync-result.json；RSL-0002</x:v>
      </x:c>
    </x:row>
    <x:row r="246" ht="79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功能需求</x:v>
      </x:c>
      <x:c r="F246" s="5" t="str">
        <x:v>P2</x:v>
      </x:c>
      <x:c r="G246" s="5" t="str">
        <x:v>验证连麦中不打开密码编辑面板</x:v>
      </x:c>
      <x:c r="H246" s="5" t="str">
        <x:v>连麦中密码面板拦截</x:v>
      </x:c>
      <x:c r="I246" s="5" t="str">
        <x:v>1. 主播正在两人连麦
2. 直播设置菜单已打开</x:v>
      </x:c>
      <x:c r="J246" s="5" t="str">
        <x:v>1. 点击置灰的“房间密码”入口</x:v>
      </x:c>
      <x:c r="K246" s="5" t="str">
        <x:v>页面不打开密码编辑面板</x:v>
      </x:c>
      <x:c r="L246" s="5" t="str"/>
      <x:c r="M246" s="5" t="str">
        <x:v>未测</x:v>
      </x:c>
      <x:c r="N246" s="5" t="str"/>
      <x:c r="O246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同步追溯：work/liveshow-user-live-testcases/prototype-context-sync-result.json；RSL-0002</x:v>
      </x:c>
    </x:row>
    <x:row r="247" ht="67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结束直播</x:v>
      </x:c>
      <x:c r="E247" s="5" t="str">
        <x:v>功能需求</x:v>
      </x:c>
      <x:c r="F247" s="5" t="str">
        <x:v>P2</x:v>
      </x:c>
      <x:c r="G247" s="5" t="str">
        <x:v>验证主播取消结束直播后继续开播</x:v>
      </x:c>
      <x:c r="H247" s="5" t="str">
        <x:v>取消结束直播</x:v>
      </x:c>
      <x:c r="I247" s="5" t="str">
        <x:v>1. 主播正在直播</x:v>
      </x:c>
      <x:c r="J247" s="5" t="str">
        <x:v>1. 点击结束直播按钮
2. 在确认提示中点击“取消”</x:v>
      </x:c>
      <x:c r="K247" s="5" t="str">
        <x:v>取消结束直播后，当前场次仍保持直播中</x:v>
      </x:c>
      <x:c r="L247" s="5" t="str"/>
      <x:c r="M247" s="5" t="str">
        <x:v>未测</x:v>
      </x:c>
      <x:c r="N247" s="5" t="str"/>
      <x:c r="O247" s="5" t="str">
        <x:v>1. 来源：context/01-用户主播App-项目需求清单.md
2. 来源：对应 HTML 静态原型；未动态验证
3. 追溯：业务底稿 LIVE-083。
4. 同步追溯：work/liveshow-user-live-testcases/prototype-context-sync-result.json；RSL-0002</x:v>
      </x:c>
    </x:row>
    <x:row r="248" ht="115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结束直播</x:v>
      </x:c>
      <x:c r="E248" s="5" t="str">
        <x:v>业务流程</x:v>
      </x:c>
      <x:c r="F248" s="5" t="str">
        <x:v>P0</x:v>
      </x:c>
      <x:c r="G248" s="5" t="str">
        <x:v>验证主播结束直播后关闭场次</x:v>
      </x:c>
      <x:c r="H248" s="5" t="str">
        <x:v>直播场次关闭</x:v>
      </x:c>
      <x:c r="I248" s="5" t="str">
        <x:v>1. 主播存在进行中的直播场次
2. 本场已有观看、礼物和涨粉数据</x:v>
      </x:c>
      <x:c r="J248" s="5" t="str">
        <x:v>1. 主播点击结束直播
2. 确认结束
3. 查询本场场次状态</x:v>
      </x:c>
      <x:c r="K248" s="5" t="str">
        <x:v>主播确认结束后，当前直播场次关闭</x:v>
      </x:c>
      <x:c r="L248" s="5" t="str">
        <x:v>FLOW-LIVE-001</x:v>
      </x:c>
      <x:c r="M248" s="5" t="str">
        <x:v>未测</x:v>
      </x:c>
      <x:c r="N248" s="5" t="str"/>
      <x:c r="O248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
6. 同步追溯：work/liveshow-user-live-testcases/prototype-context-sync-result.json；RSL-0002
7. 共同业务对象：同一直播场次
8. 流程阶段：直播场次关闭</x:v>
      </x:c>
    </x:row>
    <x:row r="249" ht="79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结束直播</x:v>
      </x:c>
      <x:c r="E249" s="5" t="str">
        <x:v>业务流程</x:v>
      </x:c>
      <x:c r="F249" s="5" t="str">
        <x:v>P1</x:v>
      </x:c>
      <x:c r="G249" s="5" t="str">
        <x:v>验证主播结束直播后观众进入结束页</x:v>
      </x:c>
      <x:c r="H249" s="5" t="str">
        <x:v>观众端结束页</x:v>
      </x:c>
      <x:c r="I249" s="5" t="str">
        <x:v>1. 主播存在进行中的直播场次
2. 本场已有观看、礼物和涨粉数据</x:v>
      </x:c>
      <x:c r="J249" s="5" t="str">
        <x:v>1. 主播确认结束直播
2. 查看在线观众页面</x:v>
      </x:c>
      <x:c r="K249" s="5" t="str">
        <x:v>在线观众进入观众直播结束页</x:v>
      </x:c>
      <x:c r="L249" s="5" t="str"/>
      <x:c r="M249" s="5" t="str">
        <x:v>未测</x:v>
      </x:c>
      <x:c r="N249" s="5" t="str"/>
      <x:c r="O249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50" ht="79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结束直播</x:v>
      </x:c>
      <x:c r="E250" s="5" t="str">
        <x:v>业务流程</x:v>
      </x:c>
      <x:c r="F250" s="5" t="str">
        <x:v>P1</x:v>
      </x:c>
      <x:c r="G250" s="5" t="str">
        <x:v>验证结束直播后的主播端落点</x:v>
      </x:c>
      <x:c r="H250" s="5" t="str">
        <x:v>主播端结束页</x:v>
      </x:c>
      <x:c r="I250" s="5" t="str">
        <x:v>1. 主播存在进行中的直播场次
2. 本场已有观看、礼物和涨粉数据</x:v>
      </x:c>
      <x:c r="J250" s="5" t="str">
        <x:v>1. 主播确认结束直播
2. 查看主播端页面</x:v>
      </x:c>
      <x:c r="K250" s="5" t="str">
        <x:v>主播进入主播直播结束页</x:v>
      </x:c>
      <x:c r="L250" s="5" t="str"/>
      <x:c r="M250" s="5" t="str">
        <x:v>未测</x:v>
      </x:c>
      <x:c r="N250" s="5" t="str"/>
      <x:c r="O250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51" ht="79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结束直播</x:v>
      </x:c>
      <x:c r="E251" s="5" t="str">
        <x:v>业务流程</x:v>
      </x:c>
      <x:c r="F251" s="5" t="str">
        <x:v>P1</x:v>
      </x:c>
      <x:c r="G251" s="5" t="str">
        <x:v>验证结束直播后生成场次数据</x:v>
      </x:c>
      <x:c r="H251" s="5" t="str">
        <x:v>直播结束数据生成</x:v>
      </x:c>
      <x:c r="I251" s="5" t="str">
        <x:v>1. 主播存在进行中的直播场次
2. 本场已有观看、礼物和涨粉数据</x:v>
      </x:c>
      <x:c r="J251" s="5" t="str">
        <x:v>1. 主播确认结束直播
2. 查看本场直播记录和数据概览</x:v>
      </x:c>
      <x:c r="K251" s="5" t="str">
        <x:v>系统生成本场直播记录、收益和数据概览</x:v>
      </x:c>
      <x:c r="L251" s="5" t="str"/>
      <x:c r="M251" s="5" t="str">
        <x:v>未测</x:v>
      </x:c>
      <x:c r="N251" s="5" t="str"/>
      <x:c r="O251" s="5" t="str">
        <x:v>1. 来源：context/01-用户主播App-项目需求清单.md
2. 来源：context/01-用户主播App-角色与用例.md
3. 来源：对应 HTML 静态原型；未动态验证
4. 追溯：业务底稿 LIVE-084。
5. 同步追溯：work/liveshow-user-live-testcases/prototype-context-sync-result.json；RSL-0002</x:v>
      </x:c>
    </x:row>
    <x:row r="252" ht="115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结束直播</x:v>
      </x:c>
      <x:c r="E252" s="5" t="str">
        <x:v>逻辑校验</x:v>
      </x:c>
      <x:c r="F252" s="5" t="str">
        <x:v>P1</x:v>
      </x:c>
      <x:c r="G252" s="5" t="str">
        <x:v>验证主播结束页数据与本场记录一致</x:v>
      </x:c>
      <x:c r="H252" s="5" t="str">
        <x:v>主播结束页数据</x:v>
      </x:c>
      <x:c r="I252" s="5" t="str">
        <x:v>1. 主播刚结束一场直播
2. 本场时长、观看人数和收益已结算到场次记录</x:v>
      </x:c>
      <x:c r="J252" s="5" t="str">
        <x:v>1. 查看主播直播结束页
2. 核对直播时长、观看人数和本场收益</x:v>
      </x:c>
      <x:c r="K252" s="5" t="str">
        <x:v>主播结束页的直播时长、观看人数和本场收益分别与当前场次记录一致</x:v>
      </x:c>
      <x:c r="L252" s="5" t="str">
        <x:v>FLOW-LIVE-001</x:v>
      </x:c>
      <x:c r="M252" s="5" t="str">
        <x:v>未测</x:v>
      </x:c>
      <x:c r="N252" s="5" t="str"/>
      <x:c r="O252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
6. 同步追溯：work/liveshow-user-live-testcases/prototype-context-sync-result.json；RSL-0002
7. 共同业务对象：同一直播场次
8. 流程阶段：主播结束页数据</x:v>
      </x:c>
    </x:row>
    <x:row r="253" ht="67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结束直播</x:v>
      </x:c>
      <x:c r="E253" s="5" t="str">
        <x:v>功能需求</x:v>
      </x:c>
      <x:c r="F253" s="5" t="str">
        <x:v>P2</x:v>
      </x:c>
      <x:c r="G253" s="5" t="str">
        <x:v>验证主播结束页进入直播数据</x:v>
      </x:c>
      <x:c r="H253" s="5" t="str">
        <x:v>查看直播数据入口</x:v>
      </x:c>
      <x:c r="I253" s="5" t="str">
        <x:v>1. 主播位于本场直播结束页</x:v>
      </x:c>
      <x:c r="J253" s="5" t="str">
        <x:v>1. 点击“查看直播数据”</x:v>
      </x:c>
      <x:c r="K253" s="5" t="str">
        <x:v>页面进入当前主播的直播数据页</x:v>
      </x:c>
      <x:c r="L253" s="5" t="str"/>
      <x:c r="M253" s="5" t="str">
        <x:v>未测</x:v>
      </x:c>
      <x:c r="N253" s="5" t="str"/>
      <x:c r="O253" s="5" t="str">
        <x:v>1. 来源：prototype/Luma Live-原型说明.md
2. 来源：对应 HTML 静态原型；未动态验证
3. 追溯：业务底稿 LIVE-086。
4. 同步追溯：work/liveshow-user-live-testcases/prototype-context-sync-result.json；RSL-0002</x:v>
      </x:c>
    </x:row>
    <x:row r="254" ht="67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结束直播</x:v>
      </x:c>
      <x:c r="E254" s="5" t="str">
        <x:v>功能需求</x:v>
      </x:c>
      <x:c r="F254" s="5" t="str">
        <x:v>P2</x:v>
      </x:c>
      <x:c r="G254" s="5" t="str">
        <x:v>验证主播结束页返回主播中心</x:v>
      </x:c>
      <x:c r="H254" s="5" t="str">
        <x:v>返回主播中心入口</x:v>
      </x:c>
      <x:c r="I254" s="5" t="str">
        <x:v>1. 主播位于本场直播结束页</x:v>
      </x:c>
      <x:c r="J254" s="5" t="str">
        <x:v>1. 点击“返回主播中心”</x:v>
      </x:c>
      <x:c r="K254" s="5" t="str">
        <x:v>页面进入当前主播的主播中心</x:v>
      </x:c>
      <x:c r="L254" s="5" t="str"/>
      <x:c r="M254" s="5" t="str">
        <x:v>未测</x:v>
      </x:c>
      <x:c r="N254" s="5" t="str"/>
      <x:c r="O254" s="5" t="str">
        <x:v>1. 来源：prototype/Luma Live-原型说明.md
2. 来源：对应 HTML 静态原型；未动态验证
3. 追溯：业务底稿 LIVE-087。
4. 同步追溯：work/liveshow-user-live-testcases/prototype-context-sync-result.json；RSL-0002</x:v>
      </x:c>
    </x:row>
    <x:row r="255" ht="103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结束直播</x:v>
      </x:c>
      <x:c r="E255" s="5" t="str">
        <x:v>功能需求</x:v>
      </x:c>
      <x:c r="F255" s="5" t="str">
        <x:v>P1</x:v>
      </x:c>
      <x:c r="G255" s="5" t="str">
        <x:v>验证主播结束后观众进入直播结束页</x:v>
      </x:c>
      <x:c r="H255" s="5" t="str">
        <x:v>观众直播结束页</x:v>
      </x:c>
      <x:c r="I255" s="5" t="str">
        <x:v>1. 观众正在观看直播
2. 主播结束当前直播</x:v>
      </x:c>
      <x:c r="J255" s="5" t="str">
        <x:v>1. 查看观众端页面状态</x:v>
      </x:c>
      <x:c r="K255" s="5" t="str">
        <x:v>观众结束页展示“Sari 的直播已结束”</x:v>
      </x:c>
      <x:c r="L255" s="5" t="str">
        <x:v>FLOW-LIVE-001</x:v>
      </x:c>
      <x:c r="M255" s="5" t="str">
        <x:v>未测</x:v>
      </x:c>
      <x:c r="N255" s="5" t="str"/>
      <x:c r="O255" s="5" t="str">
        <x:v>1. 来源：prototype/Luma Live-原型说明.md
2. 来源：对应 HTML 静态原型；未动态验证
3. 追溯：业务底稿 LIVE-094。
4. 流程：阶段 05：观众进入结束页；共同业务对象：LIVE-SESSION-N01。
5. 同步追溯：work/liveshow-user-live-testcases/prototype-context-sync-result.json；RSL-0002
6. 共同业务对象：同一直播场次
7. 流程阶段：观众直播结束页</x:v>
      </x:c>
    </x:row>
    <x:row r="256" ht="67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结束直播</x:v>
      </x:c>
      <x:c r="E256" s="5" t="str">
        <x:v>功能需求</x:v>
      </x:c>
      <x:c r="F256" s="5" t="str">
        <x:v>P2</x:v>
      </x:c>
      <x:c r="G256" s="5" t="str">
        <x:v>验证观众从直播结束页返回直播广场</x:v>
      </x:c>
      <x:c r="H256" s="5" t="str">
        <x:v>观众结束页返回</x:v>
      </x:c>
      <x:c r="I256" s="5" t="str">
        <x:v>1. 观众位于直播结束页</x:v>
      </x:c>
      <x:c r="J256" s="5" t="str">
        <x:v>1. 点击“返回首页”</x:v>
      </x:c>
      <x:c r="K256" s="5" t="str">
        <x:v>页面返回直播广场</x:v>
      </x:c>
      <x:c r="L256" s="5" t="str"/>
      <x:c r="M256" s="5" t="str">
        <x:v>未测</x:v>
      </x:c>
      <x:c r="N256" s="5" t="str"/>
      <x:c r="O256" s="5" t="str">
        <x:v>1. 来源：prototype/Luma Live-原型说明.md
2. 来源：对应 HTML 静态原型；未动态验证
3. 追溯：业务底稿 LIVE-095。
4. 同步追溯：work/liveshow-user-live-testcases/prototype-context-sync-result.json；RSL-0002</x:v>
      </x:c>
    </x:row>
    <x:row r="257" ht="5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结束直播</x:v>
      </x:c>
      <x:c r="E257" s="5" t="str">
        <x:v>功能需求</x:v>
      </x:c>
      <x:c r="F257" s="5" t="str">
        <x:v>P1</x:v>
      </x:c>
      <x:c r="G257" s="5" t="str">
        <x:v>验证结束直播前的确认内容</x:v>
      </x:c>
      <x:c r="H257" s="5" t="str">
        <x:v>结束直播确认</x:v>
      </x:c>
      <x:c r="I257" s="5" t="str">
        <x:v>1. 主播正在直播</x:v>
      </x:c>
      <x:c r="J257" s="5" t="str">
        <x:v>1. 点击右上角结束按钮</x:v>
      </x:c>
      <x:c r="K257" s="5" t="str">
        <x:v>页面显示“更多观众正在赶来，是否结束直播？”确认框</x:v>
      </x:c>
      <x:c r="L257" s="5" t="str"/>
      <x:c r="M257" s="5" t="str">
        <x:v>未测</x:v>
      </x:c>
      <x:c r="N257" s="5" t="str"/>
      <x:c r="O257" s="5" t="str">
        <x:v>1. 来源：prototype/pages/user/live/live-room-host.html 与 prototype/assets/common.js；未动态验证
2. 同步追溯：work/liveshow-user-live-testcases/prototype-context-sync-result.json；RSL-0002</x:v>
      </x:c>
    </x:row>
  </x:sheetData>
  <x:conditionalFormatting sqref="F2:F257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257">
      <x:formula1>"功能需求,业务流程,逻辑校验,异常用例"</x:formula1>
    </x:dataValidation>
    <x:dataValidation type="list" sqref="F2:F257">
      <x:formula1>"P0,P1,P2,P3"</x:formula1>
    </x:dataValidation>
    <x:dataValidation type="list" sqref="M2:M25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23276530a240e9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2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4" hidden="0" customWidth="1"/>
    <x:col min="8" max="8" width="22" hidden="1" customWidth="1"/>
    <x:col min="9" max="9" width="44" hidden="0" customWidth="1"/>
    <x:col min="10" max="10" width="58" hidden="0" customWidth="1"/>
    <x:col min="11" max="11" width="48" hidden="0" customWidth="1"/>
    <x:col min="12" max="12" width="15" hidden="0" customWidth="1"/>
    <x:col min="13" max="13" width="34" hidden="0" customWidth="1"/>
    <x:col min="14" max="14" width="52" hidden="1" customWidth="1"/>
    <x:col min="15" max="15" width="38" hidden="1" customWidth="1"/>
    <x:col min="16" max="16" width="26" hidden="1" customWidth="1"/>
    <x:col min="17" max="17" width="38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2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43.5" customHeight="1">
      <x:c r="A37" s="15" t="str">
        <x:v>Q-001-02</x:v>
      </x:c>
      <x:c r="B37" s="19" t="str">
        <x:v>RQ-001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关注主播存在多个同时在播房间</x:v>
      </x:c>
      <x:c r="H37" s="15" t="str">
        <x:v>业务规则</x:v>
      </x:c>
      <x:c r="I37" s="16" t="str">
        <x:v>关注直播列表采用哪一种排序规则？</x:v>
      </x:c>
      <x:c r="J37" s="15" t="str">
        <x:v>A. 沿用热门直播排序规则
B. 按开播时间倒序，开播时间相同按直播间编号升序
C. 按测试环境可读取的关注直播权重配置倒序，权重相同按开播时间倒序</x:v>
      </x:c>
      <x:c r="K37" s="17" t="str">
        <x:v>建议 A；复用现有口径可以减少新增排序规则和跨页面差异。</x:v>
      </x:c>
      <x:c r="L37" s="18" t="str"/>
      <x:c r="M37" s="18" t="str"/>
      <x:c r="N37" s="15" t="str">
        <x:v>1. 项目需求清单写明热门、新人、关注 3 个 Tab
2. 静态原型仅有热门、新人 Tab，关注主播位于顶部独立区域</x:v>
      </x:c>
      <x:c r="O37" s="15" t="str">
        <x:v>1. 关注直播列表
2. 直播广场排序</x:v>
      </x:c>
      <x:c r="P37" s="15" t="str"/>
      <x:c r="Q37" s="15" t="str">
        <x:v>1. 关注直播多房间排序</x:v>
      </x:c>
      <x:c r="R37" s="15" t="str">
        <x:v>产品</x:v>
      </x:c>
      <x:c r="S37" s="15" t="str">
        <x:v>本轮回归前</x:v>
      </x:c>
      <x:c r="T37" s="15" t="str">
        <x:v>待确认</x:v>
      </x:c>
    </x:row>
    <x:row r="38" ht="43.5" customHeight="1">
      <x:c r="A38" s="5" t="str">
        <x:v>Q-001-03</x:v>
      </x:c>
      <x:c r="B38" s="22" t="str">
        <x:v>RQ-001</x:v>
      </x:c>
      <x:c r="C38" s="5" t="str"/>
      <x:c r="D38" s="5" t="str"/>
      <x:c r="E38" s="5" t="str">
        <x:v>不阻塞</x:v>
      </x:c>
      <x:c r="F38" s="5" t="str">
        <x:v>用户App-直播模块</x:v>
      </x:c>
      <x:c r="G38" s="5" t="str">
        <x:v>用户没有任何已关注且正在直播的主播</x:v>
      </x:c>
      <x:c r="H38" s="5" t="str">
        <x:v>交互与文案规则</x:v>
      </x:c>
      <x:c r="I38" s="9" t="str">
        <x:v>关注直播为空时页面采用哪一种展示方式？</x:v>
      </x:c>
      <x:c r="J38" s="5" t="str">
        <x:v>A. 展示空态并提供发现主播入口
B. 展示空态且不提供跳转
C. 直接展示平台推荐直播</x:v>
      </x:c>
      <x:c r="K38" s="10" t="str">
        <x:v>建议 A；既说明当前没有关注直播，也保留可继续浏览的路径。</x:v>
      </x:c>
      <x:c r="L38" s="14" t="str"/>
      <x:c r="M38" s="14" t="str"/>
      <x:c r="N38" s="5" t="str">
        <x:v>1. 项目需求清单写明热门、新人、关注 3 个 Tab
2. 静态原型仅有热门、新人 Tab，关注主播位于顶部独立区域</x:v>
      </x:c>
      <x:c r="O38" s="5" t="str">
        <x:v>1. 关注直播空态</x:v>
      </x:c>
      <x:c r="P38" s="5" t="str"/>
      <x:c r="Q38" s="5" t="str">
        <x:v>1. 关注直播空态
2. 空态操作入口</x:v>
      </x:c>
      <x:c r="R38" s="5" t="str">
        <x:v>多方确认</x:v>
      </x:c>
      <x:c r="S38" s="5" t="str">
        <x:v>版本验收前</x:v>
      </x:c>
      <x:c r="T38" s="5" t="str">
        <x:v>待确认</x:v>
      </x:c>
    </x:row>
    <x:row r="39" ht="55.5" customHeight="1">
      <x:c r="A39" s="15" t="str">
        <x:v>Q-005-01</x:v>
      </x:c>
      <x:c r="B39" s="19" t="str">
        <x:v>RQ-005</x:v>
      </x:c>
      <x:c r="C39" s="15" t="str"/>
      <x:c r="D39" s="15" t="str"/>
      <x:c r="E39" s="15" t="str">
        <x:v>部分阻塞</x:v>
      </x:c>
      <x:c r="F39" s="15" t="str">
        <x:v>用户App-直播模块</x:v>
      </x:c>
      <x:c r="G39" s="15" t="str">
        <x:v>主播开播前选择直播清晰度</x:v>
      </x:c>
      <x:c r="H39" s="15" t="str">
        <x:v>业务规则</x:v>
      </x:c>
      <x:c r="I39" s="16" t="str">
        <x:v>主播开播前可选择哪一组清晰度档位，页面默认选中哪一档？</x:v>
      </x:c>
      <x:c r="J39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39" s="17" t="str">
        <x:v>建议 C；配置是唯一判断依据时，产品选定方案后即可按测试环境实际配置准备用例。</x:v>
      </x:c>
      <x:c r="L39" s="18" t="str"/>
      <x:c r="M39" s="18" t="str"/>
      <x:c r="N39" s="15" t="str">
        <x:v>1. 项目需求要求开播前和观看中支持多档清晰度
2. 当前开播设置原型未展示清晰度控件</x:v>
      </x:c>
      <x:c r="O39" s="15" t="str">
        <x:v>1. 开播设置
2. 推流参数</x:v>
      </x:c>
      <x:c r="P39" s="15" t="str"/>
      <x:c r="Q39" s="15" t="str">
        <x:v>1. 开播清晰度档位
2. 默认清晰度</x:v>
      </x:c>
      <x:c r="R39" s="15" t="str">
        <x:v>多方确认</x:v>
      </x:c>
      <x:c r="S39" s="15" t="str">
        <x:v>本轮回归前</x:v>
      </x:c>
      <x:c r="T39" s="15" t="str">
        <x:v>待确认</x:v>
      </x:c>
    </x:row>
    <x:row r="40" ht="43.5" customHeight="1">
      <x:c r="A40" s="5" t="str">
        <x:v>Q-005-02</x:v>
      </x:c>
      <x:c r="B40" s="22" t="str">
        <x:v>RQ-005</x:v>
      </x:c>
      <x:c r="C40" s="5" t="str"/>
      <x:c r="D40" s="5" t="str"/>
      <x:c r="E40" s="5" t="str">
        <x:v>部分阻塞</x:v>
      </x:c>
      <x:c r="F40" s="5" t="str">
        <x:v>用户App-直播模块</x:v>
      </x:c>
      <x:c r="G40" s="5" t="str">
        <x:v>直播中网络质量发生变化</x:v>
      </x:c>
      <x:c r="H40" s="5" t="str">
        <x:v>流程与状态</x:v>
      </x:c>
      <x:c r="I40" s="9" t="str">
        <x:v>网络变化时清晰度是否自动切换？</x:v>
      </x:c>
      <x:c r="J40" s="5" t="str">
        <x:v>A. 自动降级且网络恢复后自动升级
B. 仅自动降级，恢复由用户选择
C. 始终由用户手动切换</x:v>
      </x:c>
      <x:c r="K40" s="10" t="str">
        <x:v>建议 B；优先保证播放连续性，同时避免恢复时频繁自动切换。</x:v>
      </x:c>
      <x:c r="L40" s="14" t="str"/>
      <x:c r="M40" s="14" t="str"/>
      <x:c r="N40" s="5" t="str">
        <x:v>1. 项目需求要求开播前和观看中支持多档清晰度
2. 当前开播设置原型未展示清晰度控件</x:v>
      </x:c>
      <x:c r="O40" s="5" t="str">
        <x:v>1. 观看中清晰度切换
2. 断流恢复</x:v>
      </x:c>
      <x:c r="P40" s="5" t="str"/>
      <x:c r="Q40" s="5" t="str">
        <x:v>1. 补充或重审：直播中网络质量发生变化</x:v>
      </x:c>
      <x:c r="R40" s="5" t="str">
        <x:v>多方确认</x:v>
      </x:c>
      <x:c r="S40" s="5" t="str">
        <x:v>本轮回归前</x:v>
      </x:c>
      <x:c r="T40" s="5" t="str">
        <x:v>待确认</x:v>
      </x:c>
    </x:row>
    <x:row r="41" ht="43.5" customHeight="1">
      <x:c r="A41" s="15" t="str">
        <x:v>Q-013-01</x:v>
      </x:c>
      <x:c r="B41" s="19" t="str">
        <x:v>RQ-013</x:v>
      </x:c>
      <x:c r="C41" s="15" t="str"/>
      <x:c r="D41" s="15" t="str"/>
      <x:c r="E41" s="15" t="str">
        <x:v>部分阻塞</x:v>
      </x:c>
      <x:c r="F41" s="15" t="str">
        <x:v>用户App-直播模块</x:v>
      </x:c>
      <x:c r="G41" s="15" t="str">
        <x:v>同一举报人短时间内重复提交举报</x:v>
      </x:c>
      <x:c r="H41" s="15" t="str">
        <x:v>业务规则</x:v>
      </x:c>
      <x:c r="I41" s="16" t="str">
        <x:v>同一举报人对同一直播对象重复举报时，允许再次提交的时间边界是什么？</x:v>
      </x:c>
      <x:c r="J41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1" s="17" t="str">
        <x:v>建议 A；能减少同一事件的短时重复记录，同时保留后续重新举报入口。</x:v>
      </x:c>
      <x:c r="L41" s="18" t="str"/>
      <x:c r="M41" s="18" t="str"/>
      <x:c r="N41" s="15" t="str">
        <x:v>1. 原型支持五类举报原因和 200 字补充说明
2. 需求只说明举报联动后台审核处置</x:v>
      </x:c>
      <x:c r="O41" s="15" t="str">
        <x:v>1. 直播间举报
2. 用户举报</x:v>
      </x:c>
      <x:c r="P41" s="15" t="str"/>
      <x:c r="Q41" s="15" t="str">
        <x:v>1. 重复举报频控</x:v>
      </x:c>
      <x:c r="R41" s="15" t="str">
        <x:v>产品</x:v>
      </x:c>
      <x:c r="S41" s="15" t="str">
        <x:v>本轮回归前</x:v>
      </x:c>
      <x:c r="T41" s="15" t="str">
        <x:v>待确认</x:v>
      </x:c>
    </x:row>
    <x:row r="42" ht="43.5" customHeight="1">
      <x:c r="A42" s="5" t="str">
        <x:v>Q-013-02</x:v>
      </x:c>
      <x:c r="B42" s="22" t="str">
        <x:v>RQ-013</x:v>
      </x:c>
      <x:c r="C42" s="5" t="str"/>
      <x:c r="D42" s="5" t="str"/>
      <x:c r="E42" s="5" t="str">
        <x:v>部分阻塞</x:v>
      </x:c>
      <x:c r="F42" s="5" t="str">
        <x:v>用户App-直播模块</x:v>
      </x:c>
      <x:c r="G42" s="5" t="str">
        <x:v>同一用户对同一对象重复举报</x:v>
      </x:c>
      <x:c r="H42" s="5" t="str">
        <x:v>流程与状态</x:v>
      </x:c>
      <x:c r="I42" s="9" t="str">
        <x:v>重复举报记录采用哪一种合并方式？</x:v>
      </x:c>
      <x:c r="J42" s="5" t="str">
        <x:v>A. 合并到原工单并累计次数
B. 每次生成独立工单
C. 拒绝重复举报且不新增记录</x:v>
      </x:c>
      <x:c r="K42" s="10" t="str">
        <x:v>建议 A；后台可以看到举报热度，又不会产生大量重复工单。</x:v>
      </x:c>
      <x:c r="L42" s="14" t="str"/>
      <x:c r="M42" s="14" t="str"/>
      <x:c r="N42" s="5" t="str">
        <x:v>1. 原型支持五类举报原因和 200 字补充说明
2. 需求只说明举报联动后台审核处置</x:v>
      </x:c>
      <x:c r="O42" s="5" t="str">
        <x:v>1. 举报工单
2. 后台审核</x:v>
      </x:c>
      <x:c r="P42" s="5" t="str"/>
      <x:c r="Q42" s="5" t="str">
        <x:v>1. 重复举报记录</x:v>
      </x:c>
      <x:c r="R42" s="5" t="str">
        <x:v>多方确认</x:v>
      </x:c>
      <x:c r="S42" s="5" t="str">
        <x:v>本轮回归前</x:v>
      </x:c>
      <x:c r="T42" s="5" t="str">
        <x:v>待确认</x:v>
      </x:c>
    </x:row>
    <x:row r="43" ht="43.5" customHeight="1">
      <x:c r="A43" s="5" t="str">
        <x:v>Q-013-03</x:v>
      </x:c>
      <x:c r="B43" s="22" t="str">
        <x:v>RQ-013</x:v>
      </x:c>
      <x:c r="C43" s="5" t="str"/>
      <x:c r="D43" s="5" t="str"/>
      <x:c r="E43" s="5" t="str">
        <x:v>不阻塞</x:v>
      </x:c>
      <x:c r="F43" s="5" t="str">
        <x:v>用户App-直播模块</x:v>
      </x:c>
      <x:c r="G43" s="5" t="str">
        <x:v>举报人需要补充文字之外的证据</x:v>
      </x:c>
      <x:c r="H43" s="5" t="str">
        <x:v>需求范围</x:v>
      </x:c>
      <x:c r="I43" s="9" t="str">
        <x:v>当前版本举报是否支持上传附件？</x:v>
      </x:c>
      <x:c r="J43" s="5" t="str">
        <x:v>A. 当前版本不支持附件
B. 支持图片附件
C. 支持图片和视频附件</x:v>
      </x:c>
      <x:c r="K43" s="10" t="str">
        <x:v>建议 A；当前原型没有附件入口，可将附件能力作为后续独立需求。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举报表单
2. 举报证据</x:v>
      </x:c>
      <x:c r="P43" s="5" t="str"/>
      <x:c r="Q43" s="5" t="str">
        <x:v>1. 举报附件入口和上传</x:v>
      </x:c>
      <x:c r="R43" s="5" t="str">
        <x:v>产品</x:v>
      </x:c>
      <x:c r="S43" s="5" t="str">
        <x:v>版本验收前</x:v>
      </x:c>
      <x:c r="T43" s="5" t="str">
        <x:v>待确认</x:v>
      </x:c>
    </x:row>
    <x:row r="44" ht="43.5" customHeight="1">
      <x:c r="A44" s="5" t="str">
        <x:v>Q-013-04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后台完成举报工单处置</x:v>
      </x:c>
      <x:c r="H44" s="5" t="str">
        <x:v>跨端与跨模块一致性</x:v>
      </x:c>
      <x:c r="I44" s="9" t="str">
        <x:v>举报处置结果是否通知举报人？</x:v>
      </x:c>
      <x:c r="J44" s="5" t="str">
        <x:v>A. 通知最终处置结果
B. 仅通知工单已受理
C. 不向举报人回告</x:v>
      </x:c>
      <x:c r="K44" s="10" t="str">
        <x:v>建议 B；确认平台已处理请求，同时避免暴露具体处罚细节。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后台审核
2. App 通知</x:v>
      </x:c>
      <x:c r="P44" s="5" t="str"/>
      <x:c r="Q44" s="5" t="str">
        <x:v>1. 举报受理通知
2. 举报结果通知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15" t="str">
        <x:v>Q-016</x:v>
      </x:c>
      <x:c r="B45" s="19" t="str">
        <x:v>RQ-016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主播和观众删除好友后进入后续直播场次</x:v>
      </x:c>
      <x:c r="H45" s="15" t="str">
        <x:v>业务规则</x:v>
      </x:c>
      <x:c r="I45" s="16" t="str">
        <x:v>主播在后续直播场次是否可以再次发起直播间私信？</x:v>
      </x:c>
      <x:c r="J45" s="15" t="str">
        <x:v>A. 下一场直播可以重新发起
B. 删除好友后持续禁止，直到重新成为好友
C. 当前场次禁止，经过新的自然日后恢复</x:v>
      </x:c>
      <x:c r="K45" s="17" t="str">
        <x:v>建议 A；直播间私信属于场次经营能力，完全阻断可由账号拉黑承担。</x:v>
      </x:c>
      <x:c r="L45" s="18" t="str"/>
      <x:c r="M45" s="18" t="str"/>
      <x:c r="N45" s="15" t="str">
        <x:v>1. 角色与用例文档将删除好友后的后续场次私信保留为待确认
2. 完全阻断关系已有账号拉黑能力</x:v>
      </x:c>
      <x:c r="O45" s="15" t="str">
        <x:v>1. 直播间私信
2. 好友关系</x:v>
      </x:c>
      <x:c r="P45" s="15" t="str"/>
      <x:c r="Q45" s="15" t="str">
        <x:v>1. 删除好友后的后续场次私信</x:v>
      </x:c>
      <x:c r="R45" s="15" t="str">
        <x:v>产品</x:v>
      </x:c>
      <x:c r="S45" s="15" t="str">
        <x:v>本轮回归前</x:v>
      </x:c>
      <x:c r="T45" s="15" t="str">
        <x:v>待确认</x:v>
      </x:c>
    </x:row>
    <x:row r="46" ht="43.5" customHeight="1">
      <x:c r="A46" s="15" t="str">
        <x:v>Q-017-01</x:v>
      </x:c>
      <x:c r="B46" s="19" t="str">
        <x:v>RQ-017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主播从本地选择直播封面文件</x:v>
      </x:c>
      <x:c r="H46" s="15" t="str">
        <x:v>字段与数据校验</x:v>
      </x:c>
      <x:c r="I46" s="16" t="str">
        <x:v>主播上传直播封面时，允许的文件格式和单个文件大小上限采用哪一组完整规则？</x:v>
      </x:c>
      <x:c r="J46" s="15" t="str">
        <x:v>A. 仅 JPG、PNG，单个文件不超过 5 MB
B. 支持 JPG、PNG、WebP，单个文件不超过 10 MB
C. 文件格式和大小上限均以测试环境可读取的后台配置为准</x:v>
      </x:c>
      <x:c r="K46" s="17" t="str">
        <x:v>建议 A；候选格式常见且大小边界明确，选中后可以直接形成等价类和边界用例。</x:v>
      </x:c>
      <x:c r="L46" s="18" t="str"/>
      <x:c r="M46" s="18" t="str"/>
      <x:c r="N46" s="15" t="str">
        <x:v>1. 需求要求设置直播封面
2. 静态原型只限制 image/*，没有业务校验</x:v>
      </x:c>
      <x:c r="O46" s="15" t="str">
        <x:v>1. 开播封面上传</x:v>
      </x:c>
      <x:c r="P46" s="15" t="str"/>
      <x:c r="Q46" s="15" t="str">
        <x:v>1. 封面格式和大小边界</x:v>
      </x:c>
      <x:c r="R46" s="15" t="str">
        <x:v>多方确认</x:v>
      </x:c>
      <x:c r="S46" s="15" t="str">
        <x:v>本轮回归前</x:v>
      </x:c>
      <x:c r="T46" s="15" t="str">
        <x:v>待确认</x:v>
      </x:c>
    </x:row>
    <x:row r="47" ht="55.5" customHeight="1">
      <x:c r="A47" s="5" t="str">
        <x:v>Q-017-02</x:v>
      </x:c>
      <x:c r="B47" s="22" t="str">
        <x:v>RQ-017</x:v>
      </x:c>
      <x:c r="C47" s="5" t="str"/>
      <x:c r="D47" s="5" t="str"/>
      <x:c r="E47" s="5" t="str">
        <x:v>部分阻塞</x:v>
      </x:c>
      <x:c r="F47" s="5" t="str">
        <x:v>用户App-直播模块</x:v>
      </x:c>
      <x:c r="G47" s="5" t="str">
        <x:v>主播上传不同尺寸或比例的直播封面</x:v>
      </x:c>
      <x:c r="H47" s="5" t="str">
        <x:v>业务规则</x:v>
      </x:c>
      <x:c r="I47" s="9" t="str">
        <x:v>不符合目标比例的封面采用哪一种处理？</x:v>
      </x:c>
      <x:c r="J47" s="5" t="str">
        <x:v>A. 进入裁剪页后保存
B. 自动居中裁剪
C. 拒绝上传并提示目标比例
D. 保持原图比例展示</x:v>
      </x:c>
      <x:c r="K47" s="10" t="str">
        <x:v>建议 A；主播可以确认最终展示区域，减少关键内容被自动截断。</x:v>
      </x:c>
      <x:c r="L47" s="14" t="str"/>
      <x:c r="M47" s="14" t="str"/>
      <x:c r="N47" s="5" t="str">
        <x:v>1. 需求要求设置直播封面
2. 静态原型只限制 image/*，没有业务校验</x:v>
      </x:c>
      <x:c r="O47" s="5" t="str">
        <x:v>1. 封面尺寸
2. 封面裁剪</x:v>
      </x:c>
      <x:c r="P47" s="5" t="str"/>
      <x:c r="Q47" s="5" t="str">
        <x:v>1. 封面尺寸和比例</x:v>
      </x:c>
      <x:c r="R47" s="5" t="str">
        <x:v>多方确认</x:v>
      </x:c>
      <x:c r="S47" s="5" t="str">
        <x:v>本轮回归前</x:v>
      </x:c>
      <x:c r="T47" s="5" t="str">
        <x:v>待确认</x:v>
      </x:c>
    </x:row>
    <x:row r="48" ht="43.5" customHeight="1">
      <x:c r="A48" s="5" t="str">
        <x:v>Q-017-03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直播封面命中内容审核规则</x:v>
      </x:c>
      <x:c r="H48" s="5" t="str">
        <x:v>流程与状态</x:v>
      </x:c>
      <x:c r="I48" s="9" t="str">
        <x:v>封面审核不通过时采用哪一种业务结果？</x:v>
      </x:c>
      <x:c r="J48" s="5" t="str">
        <x:v>A. 不允许开播并要求更换封面
B. 使用平台默认封面继续开播
C. 允许开播后进入人工审核</x:v>
      </x:c>
      <x:c r="K48" s="10" t="str">
        <x:v>建议 A；违规封面不会先进入直播广场。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封面审核
2. 开始直播</x:v>
      </x:c>
      <x:c r="P48" s="5" t="str"/>
      <x:c r="Q48" s="5" t="str">
        <x:v>1. 封面审核失败
2. 开播拦截</x:v>
      </x:c>
      <x:c r="R48" s="5" t="str">
        <x:v>产品</x:v>
      </x:c>
      <x:c r="S48" s="5" t="str">
        <x:v>本轮回归前</x:v>
      </x:c>
      <x:c r="T48" s="5" t="str">
        <x:v>待确认</x:v>
      </x:c>
    </x:row>
    <x:row r="49" ht="43.5" customHeight="1">
      <x:c r="A49" s="15" t="str">
        <x:v>Q-021-01</x:v>
      </x:c>
      <x:c r="B49" s="19" t="str">
        <x:v>RQ-021</x:v>
      </x:c>
      <x:c r="C49" s="15" t="str"/>
      <x:c r="D49" s="15" t="str"/>
      <x:c r="E49" s="15" t="str">
        <x:v>部分阻塞</x:v>
      </x:c>
      <x:c r="F49" s="15" t="str">
        <x:v>用户App-直播模块</x:v>
      </x:c>
      <x:c r="G49" s="15" t="str">
        <x:v>主播或房管成功禁言目标观众后，目标观众仍停留在直播间并准备发送评论</x:v>
      </x:c>
      <x:c r="H49" s="15" t="str">
        <x:v>跨端与跨模块一致性</x:v>
      </x:c>
      <x:c r="I49" s="16" t="str">
        <x:v>禁言成功后，目标观众端从哪个动作开始不能发送评论？</x:v>
      </x:c>
      <x:c r="J4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49" s="17" t="str">
        <x:v>建议 B；管理操作成功后，目标观众无需先发送一条失败评论就能看到限制。</x:v>
      </x:c>
      <x:c r="L49" s="18" t="str"/>
      <x:c r="M49" s="18" t="str"/>
      <x:c r="N49" s="15" t="str">
        <x:v>1. 需求明确禁言、踢出、拉黑和房管变更的业务作用域
2. 原型展示主播或房管侧操作入口</x:v>
      </x:c>
      <x:c r="O49" s="15" t="str">
        <x:v>1. 被禁言观众的评论输入区
2. 被禁言观众的发送动作
3. 主播和房管查看的观众管理状态</x:v>
      </x:c>
      <x:c r="P49" s="15" t="str"/>
      <x:c r="Q49" s="15" t="str">
        <x:v>1. 补充或重审：主播或房管成功禁言目标观众后，目标观众仍停留在直播间并准备发送评论</x:v>
      </x:c>
      <x:c r="R49" s="15" t="str">
        <x:v>多方确认</x:v>
      </x:c>
      <x:c r="S49" s="15" t="str">
        <x:v>本轮回归前</x:v>
      </x:c>
      <x:c r="T49" s="15" t="str">
        <x:v>待确认</x:v>
      </x:c>
    </x:row>
    <x:row r="50" ht="43.5" customHeight="1">
      <x:c r="A50" s="5" t="str">
        <x:v>Q-021-02</x:v>
      </x:c>
      <x:c r="B50" s="22" t="str">
        <x:v>RQ-021</x:v>
      </x:c>
      <x:c r="C50" s="5" t="str"/>
      <x:c r="D50" s="5" t="str"/>
      <x:c r="E50" s="5" t="str">
        <x:v>部分阻塞</x:v>
      </x:c>
      <x:c r="F50" s="5" t="str">
        <x:v>用户App-直播模块</x:v>
      </x:c>
      <x:c r="G50" s="5" t="str">
        <x:v>主播或房管成功踢出目标观众，或主播把目标观众加入允许的黑名单</x:v>
      </x:c>
      <x:c r="H50" s="5" t="str">
        <x:v>跨端与跨模块一致性</x:v>
      </x:c>
      <x:c r="I50" s="9" t="str">
        <x:v>操作成功后，目标观众何时离开当前直播间并被限制再次进入？</x:v>
      </x:c>
      <x:c r="J50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0" s="10" t="str">
        <x:v>建议 A；当前场次限制和后续进房限制都有明确的观察时点。</x:v>
      </x:c>
      <x:c r="L50" s="14" t="str"/>
      <x:c r="M50" s="14" t="str"/>
      <x:c r="N50" s="5" t="str">
        <x:v>1. 需求明确禁言、踢出、拉黑和房管变更的业务作用域
2. 原型展示主播或房管侧操作入口</x:v>
      </x:c>
      <x:c r="O50" s="5" t="str">
        <x:v>1. 被踢或被拉黑观众的当前观看页
2. 目标观众再次进房
3. 主播和房管查看的观众管理状态</x:v>
      </x:c>
      <x:c r="P50" s="5" t="str"/>
      <x:c r="Q50" s="5" t="str">
        <x:v>1. 补充或重审：主播或房管成功踢出目标观众，或主播把目标观众加入允许的黑名单</x:v>
      </x:c>
      <x:c r="R50" s="5" t="str">
        <x:v>多方确认</x:v>
      </x:c>
      <x:c r="S50" s="5" t="str">
        <x:v>本轮回归前</x:v>
      </x:c>
      <x:c r="T50" s="5" t="str">
        <x:v>待确认</x:v>
      </x:c>
    </x:row>
    <x:row r="51" ht="43.5" customHeight="1">
      <x:c r="A51" s="5" t="str">
        <x:v>Q-021-03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主播在直播中新增或取消目标用户的长期房管身份</x:v>
      </x:c>
      <x:c r="H51" s="5" t="str">
        <x:v>跨端与跨模块一致性</x:v>
      </x:c>
      <x:c r="I51" s="9" t="str">
        <x:v>操作成功后，目标用户从何时开始获得或失去房管操作权限？</x:v>
      </x:c>
      <x:c r="J51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1" s="10" t="str">
        <x:v>建议 A；与长期房管关系的业务定义一致，主播操作后可立即使用。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目标用户当前直播的房管入口
2. 目标用户当前直播的管理权限
3. 目标用户后续直播的房管身份</x:v>
      </x:c>
      <x:c r="P51" s="5" t="str"/>
      <x:c r="Q51" s="5" t="str">
        <x:v>1. 补充或重审：主播在直播中新增或取消目标用户的长期房管身份</x:v>
      </x:c>
      <x:c r="R51" s="5" t="str">
        <x:v>产品</x:v>
      </x:c>
      <x:c r="S51" s="5" t="str">
        <x:v>本轮回归前</x:v>
      </x:c>
      <x:c r="T51" s="5" t="str">
        <x:v>待确认</x:v>
      </x:c>
    </x:row>
    <x:row r="52" ht="43.5" customHeight="1">
      <x:c r="A52" s="15" t="str">
        <x:v>Q-023-01</x:v>
      </x:c>
      <x:c r="B52" s="19" t="str">
        <x:v>RQ-023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连麦邀请长期未被受邀主播处理</x:v>
      </x:c>
      <x:c r="H52" s="15" t="str">
        <x:v>流程与状态</x:v>
      </x:c>
      <x:c r="I52" s="16" t="str">
        <x:v>受邀主播未处理连麦邀请时，邀请在什么具体条件下失效？</x:v>
      </x:c>
      <x:c r="J52" s="15" t="str">
        <x:v>A. 发出 30 秒后自动失效
B. 发出 60 秒后自动失效
C. 不按时间失效，仅在发起方取消、任一方结束直播或离线、房型不再支持连麦时失效</x:v>
      </x:c>
      <x:c r="K52" s="17" t="str">
        <x:v>建议 C；是否可继续连麦直接由双方状态和房型决定，不需要猜测未定义的等待秒数。</x:v>
      </x:c>
      <x:c r="L52" s="18" t="str"/>
      <x:c r="M52" s="18" t="str"/>
      <x:c r="N52" s="15" t="str">
        <x:v>1. 原型支持发出、取消、接受、拒绝和同时收到多条连麦邀请
2. 需求只限定在线、权限、普通房和两人上限</x:v>
      </x:c>
      <x:c r="O52" s="15" t="str">
        <x:v>1. 发出邀请
2. 收到邀请</x:v>
      </x:c>
      <x:c r="P52" s="15" t="str"/>
      <x:c r="Q52" s="15" t="str">
        <x:v>1. 邀请失效</x:v>
      </x:c>
      <x:c r="R52" s="15" t="str">
        <x:v>产品</x:v>
      </x:c>
      <x:c r="S52" s="15" t="str">
        <x:v>本轮回归前</x:v>
      </x:c>
      <x:c r="T52" s="15" t="str">
        <x:v>待确认</x:v>
      </x:c>
    </x:row>
    <x:row r="53" ht="43.5" customHeight="1">
      <x:c r="A53" s="5" t="str">
        <x:v>Q-023-02</x:v>
      </x:c>
      <x:c r="B53" s="22" t="str">
        <x:v>RQ-023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邀请等待期间任一主播离线或结束直播</x:v>
      </x:c>
      <x:c r="H53" s="5" t="str">
        <x:v>流程与状态</x:v>
      </x:c>
      <x:c r="I53" s="9" t="str">
        <x:v>主播离线或结束直播后待处理邀请如何变化？</x:v>
      </x:c>
      <x:c r="J53" s="5" t="str">
        <x:v>A. 与离线或结束直播一方相关的待处理邀请立即关闭
B. 待处理邀请保留至 Q-023-01 选定的时间到期，期间不能接受
C. 对方重新开播后恢复原邀请并允许继续处理</x:v>
      </x:c>
      <x:c r="K53" s="10" t="str">
        <x:v>建议 A；双方已经不满足连麦前置条件，保留邀请容易产生迟到处理。</x:v>
      </x:c>
      <x:c r="L53" s="14" t="str"/>
      <x:c r="M53" s="14" t="str"/>
      <x:c r="N53" s="5" t="str">
        <x:v>1. 原型支持发出、取消、接受、拒绝和同时收到多条连麦邀请
2. 需求只限定在线、权限、普通房和两人上限</x:v>
      </x:c>
      <x:c r="O53" s="5" t="str">
        <x:v>1. 主播在线状态
2. 直播场次
3. 连麦邀请</x:v>
      </x:c>
      <x:c r="P53" s="5" t="str"/>
      <x:c r="Q53" s="5" t="str">
        <x:v>1. 邀请期间结束直播</x:v>
      </x:c>
      <x:c r="R53" s="5" t="str">
        <x:v>产品</x:v>
      </x:c>
      <x:c r="S53" s="5" t="str">
        <x:v>本轮回归前</x:v>
      </x:c>
      <x:c r="T53" s="5" t="str">
        <x:v>待确认</x:v>
      </x:c>
    </x:row>
    <x:row r="54" ht="43.5" customHeight="1">
      <x:c r="A54" s="5" t="str">
        <x:v>Q-023-03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邀请等待期间任一直播间切换为门票房或密码房</x:v>
      </x:c>
      <x:c r="H54" s="5" t="str">
        <x:v>流程与状态</x:v>
      </x:c>
      <x:c r="I54" s="9" t="str">
        <x:v>房型变为不支持连麦后待处理邀请如何变化？</x:v>
      </x:c>
      <x:c r="J54" s="5" t="str">
        <x:v>A. 邀请立即关闭
B. 保留邀请但禁止接受
C. 房型恢复普通房后继续处理</x:v>
      </x:c>
      <x:c r="K54" s="10" t="str">
        <x:v>建议 A；特殊房型不支持连麦，关闭邀请可以保持状态一致。</x:v>
      </x:c>
      <x:c r="L54" s="14" t="str"/>
      <x:c r="M54" s="14" t="str"/>
      <x:c r="N54" s="5" t="str">
        <x:v>1. 原型支持发出、取消、接受、拒绝和同时收到多条连麦邀请
2. 需求只限定在线、权限、普通房和两人上限</x:v>
      </x:c>
      <x:c r="O54" s="5" t="str">
        <x:v>1. 房型变更
2. 连麦邀请</x:v>
      </x:c>
      <x:c r="P54" s="5" t="str"/>
      <x:c r="Q54" s="5" t="str">
        <x:v>1. 补充或重审：邀请等待期间任一直播间切换为门票房或密码房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Q-023-04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主播几乎同时处理多条邀请或收到迟到响应</x:v>
      </x:c>
      <x:c r="H55" s="5" t="str">
        <x:v>流程与状态</x:v>
      </x:c>
      <x:c r="I55" s="9" t="str">
        <x:v>多条连麦邀请几乎同时被接受时，系统最终应保留哪一个连麦关系？</x:v>
      </x:c>
      <x:c r="J55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5" s="10" t="str">
        <x:v>建议 A；两人上限下只保留第一条成功关系，最终结果唯一且可观察。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多条收到邀请
2. 两人连麦上限
3. 迟到响应</x:v>
      </x:c>
      <x:c r="P55" s="5" t="str"/>
      <x:c r="Q55" s="5" t="str">
        <x:v>1. 并发接受邀请</x:v>
      </x:c>
      <x:c r="R55" s="5" t="str">
        <x:v>多方确认</x:v>
      </x:c>
      <x:c r="S55" s="5" t="str">
        <x:v>本轮回归前</x:v>
      </x:c>
      <x:c r="T55" s="5" t="str">
        <x:v>待确认</x:v>
      </x:c>
    </x:row>
    <x:row r="56" ht="43.5" customHeight="1">
      <x:c r="A56" s="15" t="str">
        <x:v>Q-025</x:v>
      </x:c>
      <x:c r="B56" s="19" t="str">
        <x:v>RQ-025</x:v>
      </x:c>
      <x:c r="C56" s="15" t="str"/>
      <x:c r="D56" s="15" t="str"/>
      <x:c r="E56" s="15" t="str">
        <x:v>部分阻塞</x:v>
      </x:c>
      <x:c r="F56" s="15" t="str">
        <x:v>用户App-直播模块</x:v>
      </x:c>
      <x:c r="G56" s="15" t="str">
        <x:v>主播在直播中点击清屏，主播端当前互动消息被移除</x:v>
      </x:c>
      <x:c r="H56" s="15" t="str">
        <x:v>跨端与跨模块一致性</x:v>
      </x:c>
      <x:c r="I56" s="16" t="str">
        <x:v>主播清屏后，观众端的当前公屏应采用哪一种结果？</x:v>
      </x:c>
      <x:c r="J56" s="15" t="str">
        <x:v>A. 所有在线观众的当前公屏同步清空
B. 仅主播端本地清空，观众端保留原消息
C. 在线观众保留原消息，清屏后新进观众仅看到清屏后的消息</x:v>
      </x:c>
      <x:c r="K56" s="17" t="str">
        <x:v>建议 A；清屏作为主播管理动作时，全部在线观众一致更易理解和验收。</x:v>
      </x:c>
      <x:c r="L56" s="18" t="str"/>
      <x:c r="M56" s="18" t="str"/>
      <x:c r="N56" s="15" t="str">
        <x:v>1. 原型脚本只能观察到主播当前页面移除互动消息
2. 最新需求未明确观众端的清屏范围</x:v>
      </x:c>
      <x:c r="O56" s="15" t="str">
        <x:v>1. 主播直播间清屏
2. 在线观众公屏
3. 清屏后新进观众公屏</x:v>
      </x:c>
      <x:c r="P56" s="15" t="str"/>
      <x:c r="Q56" s="15" t="str">
        <x:v>1. 主播清屏后的观众端结果</x:v>
      </x:c>
      <x:c r="R56" s="15" t="str">
        <x:v>产品</x:v>
      </x:c>
      <x:c r="S56" s="15" t="str">
        <x:v>进入对应功能测试前</x:v>
      </x:c>
      <x:c r="T56" s="15" t="str">
        <x:v>待确认</x:v>
      </x:c>
    </x:row>
  </x:sheetData>
  <x:conditionalFormatting sqref="E2:E56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56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56">
      <x:formula1>"阻塞测试,部分阻塞,不阻塞"</x:formula1>
    </x:dataValidation>
    <x:dataValidation type="list" sqref="H2:H56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56">
      <x:formula1>"A,B,C,D,其他"</x:formula1>
    </x:dataValidation>
    <x:dataValidation type="list" sqref="R2:R56">
      <x:formula1>"产品,交互,技术,多方确认"</x:formula1>
    </x:dataValidation>
    <x:dataValidation type="list" sqref="T2:T56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934f73218e4e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先查看阻塞问题，再在“需求待确认”中选择产品结论；子问题会在父问题结论明确后展开处理。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COUNTA('需求待确认'!$A$2:$A$56)</x:f>
        <x:v>55</x:v>
      </x:c>
      <x:c r="B5" s="40" t="str"/>
      <x:c r="C5" s="40" t="n">
        <x:f>COUNTIF('需求待确认'!$T$2:$T$56,"待确认")</x:f>
        <x:v>47</x:v>
      </x:c>
      <x:c r="D5" s="40" t="str"/>
      <x:c r="E5" s="40" t="n">
        <x:f>COUNTIF('需求待确认'!$T$2:$T$56,"待前置结论")</x:f>
        <x:v>8</x:v>
      </x:c>
      <x:c r="F5" s="40" t="str"/>
      <x:c r="G5" s="40" t="n">
        <x:f>COUNTIF('需求待确认'!$T$2:$T$56,"已确认")</x:f>
        <x:v>0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COUNTIF('需求待确认'!$T$2:$T$56,"待前置结论")</x:f>
        <x:v>8</x:v>
      </x:c>
      <x:c r="C8" s="45" t="str">
        <x:v>阻塞测试</x:v>
      </x:c>
      <x:c r="D8" s="46" t="n">
        <x:f>COUNTIFS('需求待确认'!$E$2:$E$56,"阻塞测试",'需求待确认'!$T$2:$T$56,"待确认")</x:f>
        <x:v>14</x:v>
      </x:c>
      <x:c r="E8" s="45" t="str">
        <x:v>产品</x:v>
      </x:c>
      <x:c r="F8" s="46" t="n">
        <x:f>COUNTIFS('需求待确认'!$R$2:$R$56,"产品",'需求待确认'!$T$2:$T$56,"待确认")</x:f>
        <x:v>25</x:v>
      </x:c>
      <x:c r="G8" s="45" t="str">
        <x:v>需求组</x:v>
      </x:c>
      <x:c r="H8" s="46" t="n">
        <x:v>21</x:v>
      </x:c>
    </x:row>
    <x:row r="9" ht="23.25" customHeight="1">
      <x:c r="A9" s="45" t="str">
        <x:v>待确认</x:v>
      </x:c>
      <x:c r="B9" s="46" t="n">
        <x:f>COUNTIF('需求待确认'!$T$2:$T$56,"待确认")</x:f>
        <x:v>47</x:v>
      </x:c>
      <x:c r="C9" s="45" t="str">
        <x:v>部分阻塞</x:v>
      </x:c>
      <x:c r="D9" s="46" t="n">
        <x:f>COUNTIFS('需求待确认'!$E$2:$E$56,"部分阻塞",'需求待确认'!$T$2:$T$56,"待确认")</x:f>
        <x:v>29</x:v>
      </x:c>
      <x:c r="E9" s="45" t="str">
        <x:v>交互</x:v>
      </x:c>
      <x:c r="F9" s="46" t="n">
        <x:f>COUNTIFS('需求待确认'!$R$2:$R$56,"交互",'需求待确认'!$T$2:$T$56,"待确认")</x:f>
        <x:v>1</x:v>
      </x:c>
      <x:c r="G9" s="45" t="str">
        <x:v>追问子问题</x:v>
      </x:c>
      <x:c r="H9" s="46" t="n">
        <x:f>COUNTA('需求待确认'!$A$2:$A$56)-COUNTBLANK('需求待确认'!$C$2:$C$56)</x:f>
        <x:v>8</x:v>
      </x:c>
    </x:row>
    <x:row r="10" ht="23.25" customHeight="1">
      <x:c r="A10" s="45" t="str">
        <x:v>确认中</x:v>
      </x:c>
      <x:c r="B10" s="46" t="n">
        <x:f>COUNTIF('需求待确认'!$T$2:$T$56,"确认中")</x:f>
        <x:v>0</x:v>
      </x:c>
      <x:c r="C10" s="45" t="str">
        <x:v>不阻塞</x:v>
      </x:c>
      <x:c r="D10" s="46" t="n">
        <x:f>COUNTIFS('需求待确认'!$E$2:$E$56,"不阻塞",'需求待确认'!$T$2:$T$56,"待确认")</x:f>
        <x:v>4</x:v>
      </x:c>
      <x:c r="E10" s="45" t="str">
        <x:v>技术</x:v>
      </x:c>
      <x:c r="F10" s="46" t="n">
        <x:f>COUNTIFS('需求待确认'!$R$2:$R$56,"技术",'需求待确认'!$T$2:$T$56,"待确认")</x:f>
        <x:v>1</x:v>
      </x:c>
      <x:c r="G10" s="45" t="str">
        <x:v>未填写产品结论</x:v>
      </x:c>
      <x:c r="H10" s="46" t="n">
        <x:f>COUNTBLANK('需求待确认'!$L$2:$L$56)</x:f>
        <x:v>55</x:v>
      </x:c>
    </x:row>
    <x:row r="11" ht="23.25" customHeight="1">
      <x:c r="A11" s="45" t="str">
        <x:v>已确认</x:v>
      </x:c>
      <x:c r="B11" s="46" t="n">
        <x:f>COUNTIF('需求待确认'!$T$2:$T$56,"已确认")</x:f>
        <x:v>0</x:v>
      </x:c>
      <x:c r="C11" s="5"/>
      <x:c r="D11" s="5"/>
      <x:c r="E11" s="45" t="str">
        <x:v>多方确认</x:v>
      </x:c>
      <x:c r="F11" s="46" t="n">
        <x:f>COUNTIFS('需求待确认'!$R$2:$R$56,"多方确认",'需求待确认'!$T$2:$T$56,"待确认")</x:f>
        <x:v>20</x:v>
      </x:c>
      <x:c r="G11" s="45" t="str">
        <x:v>选择其他但未补充</x:v>
      </x:c>
      <x:c r="H11" s="46" t="n">
        <x:f>COUNTIFS('需求待确认'!$L$2:$L$56,"其他",'需求待确认'!$M$2:$M$56,"")</x:f>
        <x:v>0</x:v>
      </x:c>
    </x:row>
    <x:row r="12" ht="23.25" customHeight="1">
      <x:c r="A12" s="45" t="str">
        <x:v>无需处理</x:v>
      </x:c>
      <x:c r="B12" s="46" t="n">
        <x:f>COUNTIF('需求待确认'!$T$2:$T$56,"无需处理")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处理顺序：先回答“待确认”父问题；展开父问题左侧分级按钮后，再处理由该结论触发的追问。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