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8da39110b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dddc19e7c7f7498f"/>
    <x:sheet xmlns:r="http://schemas.openxmlformats.org/officeDocument/2006/relationships" name="功能测试用例" sheetId="2" r:id="R8f5d2271cb6e4581"/>
    <x:sheet xmlns:r="http://schemas.openxmlformats.org/officeDocument/2006/relationships" name="需求待确认" sheetId="3" r:id="Raa48ae6a2222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a7d8c09c64766" /><Relationship Type="http://schemas.openxmlformats.org/officeDocument/2006/relationships/theme" Target="/xl/theme/theme1.xml" Id="Rc6d9d16790c1464b" /><Relationship Type="http://schemas.openxmlformats.org/officeDocument/2006/relationships/sharedStrings" Target="/xl/sharedStrings.xml" Id="Rc156ef38d6af4aec" /><Relationship Type="http://schemas.openxmlformats.org/officeDocument/2006/relationships/worksheet" Target="/xl/worksheets/sheet1.xml" Id="Rdddc19e7c7f7498f" /><Relationship Type="http://schemas.openxmlformats.org/officeDocument/2006/relationships/worksheet" Target="/xl/worksheets/sheet2.xml" Id="R8f5d2271cb6e4581" /><Relationship Type="http://schemas.openxmlformats.org/officeDocument/2006/relationships/worksheet" Target="/xl/worksheets/sheet3.xml" Id="Raa48ae6a2222425c" /></Relationships>
</file>

<file path=xl/tables/table1.xml><?xml version="1.0" encoding="utf-8"?>
<x:table xmlns:x="http://schemas.openxmlformats.org/spreadsheetml/2006/main" id="1" name="GuildAllCases" displayName="GuildAllCases" ref="A1:O180" headerRowCount="1" totalsRowCount="0" totalsRowShown="0">
  <x:autoFilter ref="A1:O180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ldAllPending" displayName="GuildAllPending" ref="A1:T2" headerRowCount="1" totalsRowCount="0" totalsRowShown="0">
  <x:autoFilter ref="A1:T2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8ea21b9934a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4e0318b4e74c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0" t="str">
        <x:v>公会App-全部模块 产品决策概览</x:v>
      </x:c>
      <x:c r="B1" s="9"/>
      <x:c r="C1" s="9"/>
      <x:c r="D1" s="9"/>
      <x:c r="E1" s="9"/>
      <x:c r="F1" s="9"/>
      <x:c r="G1" s="9"/>
      <x:c r="H1" s="9"/>
    </x:row>
    <x:row r="2">
      <x:c r="A2" s="11" t="str">
        <x:v>数量由“需求待确认”工作表实时汇总</x:v>
      </x:c>
      <x:c r="B2" s="9"/>
      <x:c r="C2" s="9"/>
      <x:c r="D2" s="9"/>
      <x:c r="E2" s="9"/>
      <x:c r="F2" s="9"/>
      <x:c r="G2" s="9"/>
      <x:c r="H2" s="9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7" t="str">
        <x:v>状态</x:v>
      </x:c>
      <x:c r="B4" s="7" t="str">
        <x:v>数量</x:v>
      </x:c>
      <x:c r="C4" s="9"/>
      <x:c r="D4" s="7" t="str">
        <x:v>阻塞等级</x:v>
      </x:c>
      <x:c r="E4" s="7" t="str">
        <x:v>当前待确认</x:v>
      </x:c>
      <x:c r="F4" s="9"/>
      <x:c r="G4" s="7" t="str">
        <x:v>负责人</x:v>
      </x:c>
      <x:c r="H4" s="7" t="str">
        <x:v>当前待确认</x:v>
      </x:c>
    </x:row>
    <x:row r="5">
      <x:c r="A5" s="12" t="str">
        <x:v>问题总数</x:v>
      </x:c>
      <x:c r="B5" s="12" t="n">
        <x:f>COUNTA('需求待确认'!$A$2:$A$2)</x:f>
        <x:v>1</x:v>
      </x:c>
      <x:c r="C5" s="9"/>
      <x:c r="D5" s="12" t="str">
        <x:v>阻塞测试</x:v>
      </x:c>
      <x:c r="E5" s="12" t="n">
        <x:f>COUNTIFS('需求待确认'!$E$2:$E$2,"阻塞测试",'需求待确认'!$T$2:$T$2,"待确认")</x:f>
        <x:v>0</x:v>
      </x:c>
      <x:c r="F5" s="9"/>
      <x:c r="G5" s="12" t="str">
        <x:v>产品</x:v>
      </x:c>
      <x:c r="H5" s="12" t="n">
        <x:f>COUNTIFS('需求待确认'!$R$2:$R$2,"产品",'需求待确认'!$T$2:$T$2,"待确认")</x:f>
        <x:v>0</x:v>
      </x:c>
    </x:row>
    <x:row r="6">
      <x:c r="A6" s="12" t="str">
        <x:v>当前可回答</x:v>
      </x:c>
      <x:c r="B6" s="12" t="n">
        <x:f>COUNTIF('需求待确认'!$T$2:$T$2,"待确认")</x:f>
        <x:v>1</x:v>
      </x:c>
      <x:c r="C6" s="9"/>
      <x:c r="D6" s="12" t="str">
        <x:v>部分阻塞</x:v>
      </x:c>
      <x:c r="E6" s="12" t="n">
        <x:f>COUNTIFS('需求待确认'!$E$2:$E$2,"部分阻塞",'需求待确认'!$T$2:$T$2,"待确认")</x:f>
        <x:v>1</x:v>
      </x:c>
      <x:c r="F6" s="9"/>
      <x:c r="G6" s="12" t="str">
        <x:v>交互</x:v>
      </x:c>
      <x:c r="H6" s="12" t="n">
        <x:f>COUNTIFS('需求待确认'!$R$2:$R$2,"交互",'需求待确认'!$T$2:$T$2,"待确认")</x:f>
        <x:v>0</x:v>
      </x:c>
    </x:row>
    <x:row r="7">
      <x:c r="A7" s="12" t="str">
        <x:v>待前置结论</x:v>
      </x:c>
      <x:c r="B7" s="12" t="n">
        <x:f>COUNTIF('需求待确认'!$T$2:$T$2,"待前置结论")</x:f>
        <x:v>0</x:v>
      </x:c>
      <x:c r="C7" s="9"/>
      <x:c r="D7" s="12" t="str">
        <x:v>不阻塞</x:v>
      </x:c>
      <x:c r="E7" s="12" t="n">
        <x:f>COUNTIFS('需求待确认'!$E$2:$E$2,"不阻塞",'需求待确认'!$T$2:$T$2,"待确认")</x:f>
        <x:v>0</x:v>
      </x:c>
      <x:c r="F7" s="9"/>
      <x:c r="G7" s="12" t="str">
        <x:v>技术</x:v>
      </x:c>
      <x:c r="H7" s="12" t="n">
        <x:f>COUNTIFS('需求待确认'!$R$2:$R$2,"技术",'需求待确认'!$T$2:$T$2,"待确认")</x:f>
        <x:v>0</x:v>
      </x:c>
    </x:row>
    <x:row r="8">
      <x:c r="A8" s="12" t="str">
        <x:v>确认中</x:v>
      </x:c>
      <x:c r="B8" s="12" t="n">
        <x:f>COUNTIF('需求待确认'!$T$2:$T$2,"确认中")</x:f>
        <x:v>0</x:v>
      </x:c>
      <x:c r="C8" s="9"/>
      <x:c r="D8" s="9"/>
      <x:c r="E8" s="9"/>
      <x:c r="F8" s="9"/>
      <x:c r="G8" s="12" t="str">
        <x:v>多方确认</x:v>
      </x:c>
      <x:c r="H8" s="12" t="n">
        <x:f>COUNTIFS('需求待确认'!$R$2:$R$2,"多方确认",'需求待确认'!$T$2:$T$2,"待确认")</x:f>
        <x:v>1</x:v>
      </x:c>
    </x:row>
    <x:row r="9">
      <x:c r="A9" s="12" t="str">
        <x:v>已确认</x:v>
      </x:c>
      <x:c r="B9" s="12" t="n">
        <x:f>COUNTIF('需求待确认'!$T$2:$T$2,"已确认")</x:f>
        <x:v>0</x:v>
      </x:c>
      <x:c r="C9" s="9"/>
      <x:c r="D9" s="9"/>
      <x:c r="E9" s="9"/>
      <x:c r="F9" s="9"/>
      <x:c r="G9" s="9"/>
      <x:c r="H9" s="9"/>
    </x:row>
    <x:row r="10">
      <x:c r="A10" s="12" t="str">
        <x:v>无需处理</x:v>
      </x:c>
      <x:c r="B10" s="12" t="n">
        <x:f>COUNTIF('需求待确认'!$T$2:$T$2,"无需处理")</x:f>
        <x:v>0</x:v>
      </x:c>
      <x:c r="C10" s="9"/>
      <x:c r="D10" s="9"/>
      <x:c r="E10" s="9"/>
      <x:c r="F10" s="9"/>
      <x:c r="G10" s="9"/>
      <x:c r="H10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4" hidden="0" customWidth="1"/>
    <x:col min="3" max="3" width="13" hidden="0" customWidth="1"/>
    <x:col min="4" max="4" width="25" hidden="0" customWidth="1"/>
    <x:col min="5" max="5" width="12" hidden="0" customWidth="1"/>
    <x:col min="6" max="6" width="8" hidden="0" customWidth="1"/>
    <x:col min="7" max="7" width="29" hidden="0" customWidth="1"/>
    <x:col min="8" max="8" width="22" hidden="0" customWidth="1"/>
    <x:col min="9" max="9" width="31" hidden="0" customWidth="1"/>
    <x:col min="10" max="10" width="34" hidden="0" customWidth="1"/>
    <x:col min="11" max="11" width="39" hidden="0" customWidth="1"/>
    <x:col min="12" max="12" width="18" hidden="0" customWidth="1"/>
    <x:col min="13" max="13" width="10" hidden="0" customWidth="1"/>
    <x:col min="14" max="14" width="12" hidden="0" customWidth="1"/>
    <x:col min="15" max="15" width="43" hidden="0" customWidth="1"/>
  </x:cols>
  <x:sheetData>
    <x:row r="1" ht="34" customHeight="1">
      <x:c r="A1" s="7" t="str">
        <x:v>序号</x:v>
      </x:c>
      <x:c r="B1" s="7" t="str">
        <x:v>用例编号</x:v>
      </x:c>
      <x:c r="C1" s="7" t="str">
        <x:v>功能模块</x:v>
      </x:c>
      <x:c r="D1" s="7" t="str">
        <x:v>功能结构</x:v>
      </x:c>
      <x:c r="E1" s="7" t="str">
        <x:v>用例类型</x:v>
      </x:c>
      <x:c r="F1" s="7" t="str">
        <x:v>优先级</x:v>
      </x:c>
      <x:c r="G1" s="7" t="str">
        <x:v>用例描述</x:v>
      </x:c>
      <x:c r="H1" s="7" t="str">
        <x:v>验证用例子项</x:v>
      </x:c>
      <x:c r="I1" s="7" t="str">
        <x:v>前置条件</x:v>
      </x:c>
      <x:c r="J1" s="7" t="str">
        <x:v>操作步骤</x:v>
      </x:c>
      <x:c r="K1" s="7" t="str">
        <x:v>预期结果</x:v>
      </x:c>
      <x:c r="L1" s="7" t="str">
        <x:v>流程编号</x:v>
      </x:c>
      <x:c r="M1" s="7" t="str">
        <x:v>测试结果</x:v>
      </x:c>
      <x:c r="N1" s="7" t="str">
        <x:v>测试人员</x:v>
      </x:c>
      <x:c r="O1" s="7" t="str">
        <x:v>备注</x:v>
      </x:c>
    </x:row>
    <x:row r="2" ht="54" customHeight="1">
      <x:c r="A2" s="4" t="n">
        <x:v>1</x:v>
      </x:c>
      <x:c r="B2" s="4" t="str">
        <x:v>GMGMT-0001</x:v>
      </x:c>
      <x:c r="C2" s="4" t="str">
        <x:v>公会管理</x:v>
      </x:c>
      <x:c r="D2" s="4" t="str">
        <x:v>公会资料（公会长视角）</x:v>
      </x:c>
      <x:c r="E2" s="4" t="str">
        <x:v>业务流程</x:v>
      </x:c>
      <x:c r="F2" s="4" t="str">
        <x:v>P2</x:v>
      </x:c>
      <x:c r="G2" s="4" t="str">
        <x:v>验证保存后的公会资料状态</x:v>
      </x:c>
      <x:c r="H2" s="4" t="str">
        <x:v>公会资料状态</x:v>
      </x:c>
      <x:c r="I2" s="4" t="str">
        <x:v>1. 公会长账号已登录且具备当前页面权限</x:v>
      </x:c>
      <x:c r="J2" s="4" t="str">
        <x:v>1. 进入公会资料
2. 保存</x:v>
      </x:c>
      <x:c r="K2" s="4" t="str">
        <x:v>更新当前公会资料</x:v>
      </x:c>
      <x:c r="L2" s="4" t="str"/>
      <x:c r="M2" s="4" t="str">
        <x:v>未测</x:v>
      </x:c>
      <x:c r="N2" s="4" t="str"/>
      <x:c r="O2" s="4" t="str">
        <x:v>1. 来源（原型批注）：liveshow-proto/prototype/annotations/guild.js；guild-profile.html
2. 页面：guild-profile.html
3. 规则：BR-E037215AEE5DE3
4. 场景：SC-D38B3531C484D5
5. 未动态验证</x:v>
      </x:c>
    </x:row>
    <x:row r="3" ht="54" customHeight="1">
      <x:c r="A3" s="4" t="n">
        <x:v>2</x:v>
      </x:c>
      <x:c r="B3" s="4" t="str">
        <x:v>GMGMT-0002</x:v>
      </x:c>
      <x:c r="C3" s="4" t="str">
        <x:v>公会管理</x:v>
      </x:c>
      <x:c r="D3" s="4" t="str">
        <x:v>公会资料（公会长视角）</x:v>
      </x:c>
      <x:c r="E3" s="4" t="str">
        <x:v>功能需求</x:v>
      </x:c>
      <x:c r="F3" s="4" t="str">
        <x:v>P2</x:v>
      </x:c>
      <x:c r="G3" s="4" t="str">
        <x:v>验证公会资料可查看公会 ID</x:v>
      </x:c>
      <x:c r="H3" s="4" t="str">
        <x:v>公会 ID展示</x:v>
      </x:c>
      <x:c r="I3" s="4" t="str">
        <x:v>1. 公会长账号已登录且具备当前页面权限</x:v>
      </x:c>
      <x:c r="J3" s="4" t="str">
        <x:v>1. 进入公会资料
2. 查看公会 ID</x:v>
      </x:c>
      <x:c r="K3" s="4" t="str">
        <x:v>公会资料显示“公会 ID”</x:v>
      </x:c>
      <x:c r="L3" s="4" t="str"/>
      <x:c r="M3" s="4" t="str">
        <x:v>未测</x:v>
      </x:c>
      <x:c r="N3" s="4" t="str"/>
      <x:c r="O3" s="4" t="str">
        <x:v>1. 来源（原型批注）：liveshow-proto/prototype/annotations/guild.js；guild-profile.html
2. 页面：guild-profile.html
3. 规则：BR-2A91AF3E0477F5
4. 场景：SC-140B2DF302A9B4
5. 未动态验证</x:v>
      </x:c>
    </x:row>
    <x:row r="4" ht="54" customHeight="1">
      <x:c r="A4" s="4" t="n">
        <x:v>3</x:v>
      </x:c>
      <x:c r="B4" s="4" t="str">
        <x:v>GMGMT-0003</x:v>
      </x:c>
      <x:c r="C4" s="4" t="str">
        <x:v>公会管理</x:v>
      </x:c>
      <x:c r="D4" s="4" t="str">
        <x:v>公会资料（公会长视角）</x:v>
      </x:c>
      <x:c r="E4" s="4" t="str">
        <x:v>功能需求</x:v>
      </x:c>
      <x:c r="F4" s="4" t="str">
        <x:v>P2</x:v>
      </x:c>
      <x:c r="G4" s="4" t="str">
        <x:v>验证公会资料可查看公会 Logo</x:v>
      </x:c>
      <x:c r="H4" s="4" t="str">
        <x:v>公会 Logo展示</x:v>
      </x:c>
      <x:c r="I4" s="4" t="str">
        <x:v>1. 公会长账号已登录且具备当前页面权限</x:v>
      </x:c>
      <x:c r="J4" s="4" t="str">
        <x:v>1. 进入公会资料
2. 查看公会 Logo</x:v>
      </x:c>
      <x:c r="K4" s="4" t="str">
        <x:v>公会资料显示“公会 Logo”</x:v>
      </x:c>
      <x:c r="L4" s="4" t="str"/>
      <x:c r="M4" s="4" t="str">
        <x:v>未测</x:v>
      </x:c>
      <x:c r="N4" s="4" t="str"/>
      <x:c r="O4" s="4" t="str">
        <x:v>1. 来源（原型批注）：liveshow-proto/prototype/annotations/guild.js；guild-profile.html
2. 页面：guild-profile.html
3. 规则：BR-1E1206F10DE345
4. 场景：SC-7D3F6B1F48A5C1
5. 未动态验证</x:v>
      </x:c>
    </x:row>
    <x:row r="5" ht="54" customHeight="1">
      <x:c r="A5" s="4" t="n">
        <x:v>4</x:v>
      </x:c>
      <x:c r="B5" s="4" t="str">
        <x:v>GMGMT-0004</x:v>
      </x:c>
      <x:c r="C5" s="4" t="str">
        <x:v>公会管理</x:v>
      </x:c>
      <x:c r="D5" s="4" t="str">
        <x:v>公会资料（公会长视角）</x:v>
      </x:c>
      <x:c r="E5" s="4" t="str">
        <x:v>功能需求</x:v>
      </x:c>
      <x:c r="F5" s="4" t="str">
        <x:v>P2</x:v>
      </x:c>
      <x:c r="G5" s="4" t="str">
        <x:v>验证公会资料可查看公会简介</x:v>
      </x:c>
      <x:c r="H5" s="4" t="str">
        <x:v>公会简介展示</x:v>
      </x:c>
      <x:c r="I5" s="4" t="str">
        <x:v>1. 公会长账号已登录且具备当前页面权限</x:v>
      </x:c>
      <x:c r="J5" s="4" t="str">
        <x:v>1. 进入公会资料
2. 查看公会简介</x:v>
      </x:c>
      <x:c r="K5" s="4" t="str">
        <x:v>公会资料显示“公会简介”</x:v>
      </x:c>
      <x:c r="L5" s="4" t="str"/>
      <x:c r="M5" s="4" t="str">
        <x:v>未测</x:v>
      </x:c>
      <x:c r="N5" s="4" t="str"/>
      <x:c r="O5" s="4" t="str">
        <x:v>1. 来源（原型批注）：liveshow-proto/prototype/annotations/guild.js；guild-profile.html
2. 页面：guild-profile.html
3. 规则：BR-7EB7B9191DDAE7
4. 场景：SC-6F820974670FC1
5. 未动态验证</x:v>
      </x:c>
    </x:row>
    <x:row r="6" ht="54" customHeight="1">
      <x:c r="A6" s="4" t="n">
        <x:v>5</x:v>
      </x:c>
      <x:c r="B6" s="4" t="str">
        <x:v>GMGMT-0005</x:v>
      </x:c>
      <x:c r="C6" s="4" t="str">
        <x:v>公会管理</x:v>
      </x:c>
      <x:c r="D6" s="4" t="str">
        <x:v>公会资料（公会长视角）</x:v>
      </x:c>
      <x:c r="E6" s="4" t="str">
        <x:v>功能需求</x:v>
      </x:c>
      <x:c r="F6" s="4" t="str">
        <x:v>P2</x:v>
      </x:c>
      <x:c r="G6" s="4" t="str">
        <x:v>验证公会资料可查看公会名称</x:v>
      </x:c>
      <x:c r="H6" s="4" t="str">
        <x:v>公会名称展示</x:v>
      </x:c>
      <x:c r="I6" s="4" t="str">
        <x:v>1. 公会长账号已登录且具备当前页面权限</x:v>
      </x:c>
      <x:c r="J6" s="4" t="str">
        <x:v>1. 进入公会资料
2. 查看公会名称</x:v>
      </x:c>
      <x:c r="K6" s="4" t="str">
        <x:v>公会资料显示“公会名称”</x:v>
      </x:c>
      <x:c r="L6" s="4" t="str"/>
      <x:c r="M6" s="4" t="str">
        <x:v>未测</x:v>
      </x:c>
      <x:c r="N6" s="4" t="str"/>
      <x:c r="O6" s="4" t="str">
        <x:v>1. 来源（原型批注）：liveshow-proto/prototype/annotations/guild.js；guild-profile.html
2. 页面：guild-profile.html
3. 规则：BR-1CC90BA3604B9D
4. 场景：SC-5BB83D17E6F39B
5. 未动态验证</x:v>
      </x:c>
    </x:row>
    <x:row r="7" ht="54" customHeight="1">
      <x:c r="A7" s="4" t="n">
        <x:v>6</x:v>
      </x:c>
      <x:c r="B7" s="4" t="str">
        <x:v>GMGMT-0006</x:v>
      </x:c>
      <x:c r="C7" s="4" t="str">
        <x:v>公会管理</x:v>
      </x:c>
      <x:c r="D7" s="4" t="str">
        <x:v>修改密码（公会长视角）</x:v>
      </x:c>
      <x:c r="E7" s="4" t="str">
        <x:v>业务流程</x:v>
      </x:c>
      <x:c r="F7" s="4" t="str">
        <x:v>P2</x:v>
      </x:c>
      <x:c r="G7" s="4" t="str">
        <x:v>验证当前密码错误后的修改密码状态</x:v>
      </x:c>
      <x:c r="H7" s="4" t="str">
        <x:v>修改密码状态</x:v>
      </x:c>
      <x:c r="I7" s="4" t="str">
        <x:v>1. 公会长账号已登录且具备当前页面权限
2. 当前密码错误</x:v>
      </x:c>
      <x:c r="J7" s="4" t="str">
        <x:v>1. 进入修改密码
2. 刷新修改密码</x:v>
      </x:c>
      <x:c r="K7" s="4" t="str">
        <x:v>保留输入</x:v>
      </x:c>
      <x:c r="L7" s="4" t="str"/>
      <x:c r="M7" s="4" t="str">
        <x:v>未测</x:v>
      </x:c>
      <x:c r="N7" s="4" t="str"/>
      <x:c r="O7" s="4" t="str">
        <x:v>1. 来源（原型批注）：liveshow-proto/prototype/annotations/guild.js；guild-password.html
2. 页面：guild-password.html
3. 规则：BR-278A43FC6F4AC2
4. 场景：SC-0359E37BDFE1FA
5. 未动态验证</x:v>
      </x:c>
    </x:row>
    <x:row r="8" ht="54" customHeight="1">
      <x:c r="A8" s="4" t="n">
        <x:v>7</x:v>
      </x:c>
      <x:c r="B8" s="4" t="str">
        <x:v>GMGMT-0007</x:v>
      </x:c>
      <x:c r="C8" s="4" t="str">
        <x:v>公会管理</x:v>
      </x:c>
      <x:c r="D8" s="4" t="str">
        <x:v>修改密码（公会长视角）</x:v>
      </x:c>
      <x:c r="E8" s="4" t="str">
        <x:v>异常用例</x:v>
      </x:c>
      <x:c r="F8" s="4" t="str">
        <x:v>P2</x:v>
      </x:c>
      <x:c r="G8" s="4" t="str">
        <x:v>验证请求失败后的修改密码状态</x:v>
      </x:c>
      <x:c r="H8" s="4" t="str">
        <x:v>修改密码状态</x:v>
      </x:c>
      <x:c r="I8" s="4" t="str">
        <x:v>1. 公会长账号已登录且具备当前页面权限
2. 请求失败</x:v>
      </x:c>
      <x:c r="J8" s="4" t="str">
        <x:v>1. 进入修改密码
2. 刷新修改密码</x:v>
      </x:c>
      <x:c r="K8" s="4" t="str">
        <x:v>保留输入</x:v>
      </x:c>
      <x:c r="L8" s="4" t="str"/>
      <x:c r="M8" s="4" t="str">
        <x:v>未测</x:v>
      </x:c>
      <x:c r="N8" s="4" t="str"/>
      <x:c r="O8" s="4" t="str">
        <x:v>1. 来源（原型批注）：liveshow-proto/prototype/annotations/guild.js；guild-password.html
2. 页面：guild-password.html
3. 规则：BR-708557C8F22125
4. 场景：SC-7721C62A3113BF
5. 未动态验证</x:v>
      </x:c>
    </x:row>
    <x:row r="9" ht="54" customHeight="1">
      <x:c r="A9" s="4" t="n">
        <x:v>8</x:v>
      </x:c>
      <x:c r="B9" s="4" t="str">
        <x:v>GMGMT-0008</x:v>
      </x:c>
      <x:c r="C9" s="4" t="str">
        <x:v>公会管理</x:v>
      </x:c>
      <x:c r="D9" s="4" t="str">
        <x:v>修改密码（公会长视角）</x:v>
      </x:c>
      <x:c r="E9" s="4" t="str">
        <x:v>业务流程</x:v>
      </x:c>
      <x:c r="F9" s="4" t="str">
        <x:v>P2</x:v>
      </x:c>
      <x:c r="G9" s="4" t="str">
        <x:v>验证校验成功后的修改密码状态</x:v>
      </x:c>
      <x:c r="H9" s="4" t="str">
        <x:v>修改密码状态</x:v>
      </x:c>
      <x:c r="I9" s="4" t="str">
        <x:v>1. 公会长账号已登录且具备当前页面权限
2. 校验成功</x:v>
      </x:c>
      <x:c r="J9" s="4" t="str">
        <x:v>1. 进入修改密码
2. 刷新修改密码</x:v>
      </x:c>
      <x:c r="K9" s="4" t="str">
        <x:v>更新密码</x:v>
      </x:c>
      <x:c r="L9" s="4" t="str"/>
      <x:c r="M9" s="4" t="str">
        <x:v>未测</x:v>
      </x:c>
      <x:c r="N9" s="4" t="str"/>
      <x:c r="O9" s="4" t="str">
        <x:v>1. 来源（原型批注）：liveshow-proto/prototype/annotations/guild.js；guild-password.html
2. 页面：guild-password.html
3. 规则：BR-EA3B99B4DEBECF
4. 场景：SC-C32815424EB729
5. 未动态验证</x:v>
      </x:c>
    </x:row>
    <x:row r="10" ht="54" customHeight="1">
      <x:c r="A10" s="4" t="n">
        <x:v>9</x:v>
      </x:c>
      <x:c r="B10" s="4" t="str">
        <x:v>GMGMT-0009</x:v>
      </x:c>
      <x:c r="C10" s="4" t="str">
        <x:v>公会管理</x:v>
      </x:c>
      <x:c r="D10" s="4" t="str">
        <x:v>修改密码（公会长视角）</x:v>
      </x:c>
      <x:c r="E10" s="4" t="str">
        <x:v>业务流程</x:v>
      </x:c>
      <x:c r="F10" s="4" t="str">
        <x:v>P2</x:v>
      </x:c>
      <x:c r="G10" s="4" t="str">
        <x:v>验证新密码与旧密码相同后的修改密码状态</x:v>
      </x:c>
      <x:c r="H10" s="4" t="str">
        <x:v>修改密码状态</x:v>
      </x:c>
      <x:c r="I10" s="4" t="str">
        <x:v>1. 公会长账号已登录且具备当前页面权限
2. 新密码与旧密码相同</x:v>
      </x:c>
      <x:c r="J10" s="4" t="str">
        <x:v>1. 进入修改密码
2. 刷新修改密码</x:v>
      </x:c>
      <x:c r="K10" s="4" t="str">
        <x:v>保留输入</x:v>
      </x:c>
      <x:c r="L10" s="4" t="str"/>
      <x:c r="M10" s="4" t="str">
        <x:v>未测</x:v>
      </x:c>
      <x:c r="N10" s="4" t="str"/>
      <x:c r="O10" s="4" t="str">
        <x:v>1. 来源（原型批注）：liveshow-proto/prototype/annotations/guild.js；guild-password.html
2. 页面：guild-password.html
3. 规则：BR-4CFA0552295B51
4. 场景：SC-85B22474E70ED2
5. 未动态验证</x:v>
      </x:c>
    </x:row>
    <x:row r="11" ht="54" customHeight="1">
      <x:c r="A11" s="4" t="n">
        <x:v>10</x:v>
      </x:c>
      <x:c r="B11" s="4" t="str">
        <x:v>GMGMT-0010</x:v>
      </x:c>
      <x:c r="C11" s="4" t="str">
        <x:v>公会管理</x:v>
      </x:c>
      <x:c r="D11" s="4" t="str">
        <x:v>修改密码（公会长视角）</x:v>
      </x:c>
      <x:c r="E11" s="4" t="str">
        <x:v>功能需求</x:v>
      </x:c>
      <x:c r="F11" s="4" t="str">
        <x:v>P2</x:v>
      </x:c>
      <x:c r="G11" s="4" t="str">
        <x:v>验证修改密码可查看当前密码</x:v>
      </x:c>
      <x:c r="H11" s="4" t="str">
        <x:v>当前密码展示</x:v>
      </x:c>
      <x:c r="I11" s="4" t="str">
        <x:v>1. 公会长账号已登录且具备当前页面权限</x:v>
      </x:c>
      <x:c r="J11" s="4" t="str">
        <x:v>1. 进入修改密码
2. 查看当前密码</x:v>
      </x:c>
      <x:c r="K11" s="4" t="str">
        <x:v>修改密码显示“当前密码”</x:v>
      </x:c>
      <x:c r="L11" s="4" t="str"/>
      <x:c r="M11" s="4" t="str">
        <x:v>未测</x:v>
      </x:c>
      <x:c r="N11" s="4" t="str"/>
      <x:c r="O11" s="4" t="str">
        <x:v>1. 来源（原型批注）：liveshow-proto/prototype/annotations/guild.js；guild-password.html
2. 页面：guild-password.html
3. 规则：BR-003C17FF1ECC4E
4. 场景：SC-925EED086188C7
5. 未动态验证</x:v>
      </x:c>
    </x:row>
    <x:row r="12" ht="54" customHeight="1">
      <x:c r="A12" s="4" t="n">
        <x:v>11</x:v>
      </x:c>
      <x:c r="B12" s="4" t="str">
        <x:v>GMGMT-0011</x:v>
      </x:c>
      <x:c r="C12" s="4" t="str">
        <x:v>公会管理</x:v>
      </x:c>
      <x:c r="D12" s="4" t="str">
        <x:v>修改密码（公会长视角）</x:v>
      </x:c>
      <x:c r="E12" s="4" t="str">
        <x:v>功能需求</x:v>
      </x:c>
      <x:c r="F12" s="4" t="str">
        <x:v>P2</x:v>
      </x:c>
      <x:c r="G12" s="4" t="str">
        <x:v>验证修改密码可查看确认新密码</x:v>
      </x:c>
      <x:c r="H12" s="4" t="str">
        <x:v>确认新密码展示</x:v>
      </x:c>
      <x:c r="I12" s="4" t="str">
        <x:v>1. 公会长账号已登录且具备当前页面权限</x:v>
      </x:c>
      <x:c r="J12" s="4" t="str">
        <x:v>1. 进入修改密码
2. 查看确认新密码</x:v>
      </x:c>
      <x:c r="K12" s="4" t="str">
        <x:v>修改密码显示“确认新密码”</x:v>
      </x:c>
      <x:c r="L12" s="4" t="str"/>
      <x:c r="M12" s="4" t="str">
        <x:v>未测</x:v>
      </x:c>
      <x:c r="N12" s="4" t="str"/>
      <x:c r="O12" s="4" t="str">
        <x:v>1. 来源（原型批注）：liveshow-proto/prototype/annotations/guild.js；guild-password.html
2. 页面：guild-password.html
3. 规则：BR-0CB2DEA4EA62FB
4. 场景：SC-7CD9FF4D2FAB2F
5. 未动态验证</x:v>
      </x:c>
    </x:row>
    <x:row r="13" ht="54" customHeight="1">
      <x:c r="A13" s="4" t="n">
        <x:v>12</x:v>
      </x:c>
      <x:c r="B13" s="4" t="str">
        <x:v>GMGMT-0012</x:v>
      </x:c>
      <x:c r="C13" s="4" t="str">
        <x:v>公会管理</x:v>
      </x:c>
      <x:c r="D13" s="4" t="str">
        <x:v>修改密码（公会长视角）</x:v>
      </x:c>
      <x:c r="E13" s="4" t="str">
        <x:v>功能需求</x:v>
      </x:c>
      <x:c r="F13" s="4" t="str">
        <x:v>P2</x:v>
      </x:c>
      <x:c r="G13" s="4" t="str">
        <x:v>验证修改密码可查看新密码</x:v>
      </x:c>
      <x:c r="H13" s="4" t="str">
        <x:v>新密码展示</x:v>
      </x:c>
      <x:c r="I13" s="4" t="str">
        <x:v>1. 公会长账号已登录且具备当前页面权限</x:v>
      </x:c>
      <x:c r="J13" s="4" t="str">
        <x:v>1. 进入修改密码
2. 查看新密码</x:v>
      </x:c>
      <x:c r="K13" s="4" t="str">
        <x:v>修改密码显示“新密码”</x:v>
      </x:c>
      <x:c r="L13" s="4" t="str"/>
      <x:c r="M13" s="4" t="str">
        <x:v>未测</x:v>
      </x:c>
      <x:c r="N13" s="4" t="str"/>
      <x:c r="O13" s="4" t="str">
        <x:v>1. 来源（原型批注）：liveshow-proto/prototype/annotations/guild.js；guild-password.html
2. 页面：guild-password.html
3. 规则：BR-2C71E97307201C
4. 场景：SC-DE9B2DDE04656E
5. 未动态验证</x:v>
      </x:c>
    </x:row>
    <x:row r="14" ht="54" customHeight="1">
      <x:c r="A14" s="4" t="n">
        <x:v>13</x:v>
      </x:c>
      <x:c r="B14" s="4" t="str">
        <x:v>GMGMT-0013</x:v>
      </x:c>
      <x:c r="C14" s="4" t="str">
        <x:v>公会管理</x:v>
      </x:c>
      <x:c r="D14" s="4" t="str">
        <x:v>账号设置（公会长视角）</x:v>
      </x:c>
      <x:c r="E14" s="4" t="str">
        <x:v>业务流程</x:v>
      </x:c>
      <x:c r="F14" s="4" t="str">
        <x:v>P2</x:v>
      </x:c>
      <x:c r="G14" s="4" t="str">
        <x:v>验证退出登录后的账号设置状态</x:v>
      </x:c>
      <x:c r="H14" s="4" t="str">
        <x:v>账号设置状态</x:v>
      </x:c>
      <x:c r="I14" s="4" t="str">
        <x:v>1. 公会长账号已登录且具备当前页面权限</x:v>
      </x:c>
      <x:c r="J14" s="4" t="str">
        <x:v>1. 进入账号设置
2. 退出登录</x:v>
      </x:c>
      <x:c r="K14" s="4" t="str">
        <x:v>返回登录页</x:v>
      </x:c>
      <x:c r="L14" s="4" t="str"/>
      <x:c r="M14" s="4" t="str">
        <x:v>未测</x:v>
      </x:c>
      <x:c r="N14" s="4" t="str"/>
      <x:c r="O14" s="4" t="str">
        <x:v>1. 来源（原型批注）：liveshow-proto/prototype/annotations/guild.js；guild-settings.html
2. 页面：guild-settings.html
3. 规则：BR-585FD2CE20663B
4. 场景：SC-15E6A76845275F
5. 未动态验证</x:v>
      </x:c>
    </x:row>
    <x:row r="15" ht="54" customHeight="1">
      <x:c r="A15" s="4" t="n">
        <x:v>14</x:v>
      </x:c>
      <x:c r="B15" s="4" t="str">
        <x:v>GMGMT-0014</x:v>
      </x:c>
      <x:c r="C15" s="4" t="str">
        <x:v>公会管理</x:v>
      </x:c>
      <x:c r="D15" s="4" t="str">
        <x:v>账号设置（公会长视角）</x:v>
      </x:c>
      <x:c r="E15" s="4" t="str">
        <x:v>功能需求</x:v>
      </x:c>
      <x:c r="F15" s="4" t="str">
        <x:v>P2</x:v>
      </x:c>
      <x:c r="G15" s="4" t="str">
        <x:v>验证账号设置可查看语言</x:v>
      </x:c>
      <x:c r="H15" s="4" t="str">
        <x:v>语言展示</x:v>
      </x:c>
      <x:c r="I15" s="4" t="str">
        <x:v>1. 公会长账号已登录且具备当前页面权限</x:v>
      </x:c>
      <x:c r="J15" s="4" t="str">
        <x:v>1. 进入账号设置
2. 查看语言</x:v>
      </x:c>
      <x:c r="K15" s="4" t="str">
        <x:v>账号设置显示“语言”</x:v>
      </x:c>
      <x:c r="L15" s="4" t="str"/>
      <x:c r="M15" s="4" t="str">
        <x:v>未测</x:v>
      </x:c>
      <x:c r="N15" s="4" t="str"/>
      <x:c r="O15" s="4" t="str">
        <x:v>1. 来源（原型批注）：liveshow-proto/prototype/annotations/guild.js；guild-settings.html
2. 页面：guild-settings.html
3. 规则：BR-A69BE5521B8AA6
4. 场景：SC-991E6FC261A1C1
5. 未动态验证</x:v>
      </x:c>
    </x:row>
    <x:row r="16" ht="54" customHeight="1">
      <x:c r="A16" s="4" t="n">
        <x:v>15</x:v>
      </x:c>
      <x:c r="B16" s="4" t="str">
        <x:v>GMGMT-0015</x:v>
      </x:c>
      <x:c r="C16" s="4" t="str">
        <x:v>公会管理</x:v>
      </x:c>
      <x:c r="D16" s="4" t="str">
        <x:v>账号设置（公会长视角）</x:v>
      </x:c>
      <x:c r="E16" s="4" t="str">
        <x:v>功能需求</x:v>
      </x:c>
      <x:c r="F16" s="4" t="str">
        <x:v>P2</x:v>
      </x:c>
      <x:c r="G16" s="4" t="str">
        <x:v>验证账号设置可查看账号信息</x:v>
      </x:c>
      <x:c r="H16" s="4" t="str">
        <x:v>账号信息展示</x:v>
      </x:c>
      <x:c r="I16" s="4" t="str">
        <x:v>1. 公会长账号已登录且具备当前页面权限</x:v>
      </x:c>
      <x:c r="J16" s="4" t="str">
        <x:v>1. 进入账号设置
2. 查看账号信息</x:v>
      </x:c>
      <x:c r="K16" s="4" t="str">
        <x:v>账号设置显示“账号信息”</x:v>
      </x:c>
      <x:c r="L16" s="4" t="str"/>
      <x:c r="M16" s="4" t="str">
        <x:v>未测</x:v>
      </x:c>
      <x:c r="N16" s="4" t="str"/>
      <x:c r="O16" s="4" t="str">
        <x:v>1. 来源（原型批注）：liveshow-proto/prototype/annotations/guild.js；guild-settings.html
2. 页面：guild-settings.html
3. 规则：BR-C1551A51F300B0
4. 场景：SC-83F2DAE4D0D34D
5. 未动态验证</x:v>
      </x:c>
    </x:row>
    <x:row r="17" ht="54" customHeight="1">
      <x:c r="A17" s="4" t="n">
        <x:v>16</x:v>
      </x:c>
      <x:c r="B17" s="4" t="str">
        <x:v>GHOME-0001</x:v>
      </x:c>
      <x:c r="C17" s="4" t="str">
        <x:v>公会首页</x:v>
      </x:c>
      <x:c r="D17" s="4" t="str">
        <x:v>首页（公会长视角）</x:v>
      </x:c>
      <x:c r="E17" s="4" t="str">
        <x:v>业务流程</x:v>
      </x:c>
      <x:c r="F17" s="4" t="str">
        <x:v>P2</x:v>
      </x:c>
      <x:c r="G17" s="4" t="str">
        <x:v>验证点击今日概况后的首页状态</x:v>
      </x:c>
      <x:c r="H17" s="4" t="str">
        <x:v>首页状态</x:v>
      </x:c>
      <x:c r="I17" s="4" t="str">
        <x:v>1. 公会长账号已登录且具备当前页面权限</x:v>
      </x:c>
      <x:c r="J17" s="4" t="str">
        <x:v>1. 进入首页
2. 点击今日概况</x:v>
      </x:c>
      <x:c r="K17" s="4" t="str">
        <x:v>进入当日经营详情</x:v>
      </x:c>
      <x:c r="L17" s="4" t="str"/>
      <x:c r="M17" s="4" t="str">
        <x:v>未测</x:v>
      </x:c>
      <x:c r="N17" s="4" t="str"/>
      <x:c r="O17" s="4" t="str">
        <x:v>1. 来源（原型批注）：liveshow-proto/prototype/annotations/guild.js；guild-home.html
2. 页面：guild-home.html
3. 规则：BR-E8640A33AF5A65
4. 场景：SC-FAE800EF09D5CD
5. 未动态验证</x:v>
      </x:c>
    </x:row>
    <x:row r="18" ht="54" customHeight="1">
      <x:c r="A18" s="4" t="n">
        <x:v>17</x:v>
      </x:c>
      <x:c r="B18" s="4" t="str">
        <x:v>GHOME-0002</x:v>
      </x:c>
      <x:c r="C18" s="4" t="str">
        <x:v>公会首页</x:v>
      </x:c>
      <x:c r="D18" s="4" t="str">
        <x:v>首页（公会长视角）</x:v>
      </x:c>
      <x:c r="E18" s="4" t="str">
        <x:v>逻辑校验</x:v>
      </x:c>
      <x:c r="F18" s="4" t="str">
        <x:v>P2</x:v>
      </x:c>
      <x:c r="G18" s="4" t="str">
        <x:v>验证今日概况按指定范围筛选</x:v>
      </x:c>
      <x:c r="H18" s="4" t="str">
        <x:v>今日概况数据范围</x:v>
      </x:c>
      <x:c r="I18" s="4" t="str">
        <x:v>1. 公会长账号已登录且具备当前页面权限
2. 存在符合和不符合“当前公会当日数据”的记录</x:v>
      </x:c>
      <x:c r="J18" s="4" t="str">
        <x:v>1. 进入首页
2. 查看今日概况</x:v>
      </x:c>
      <x:c r="K18" s="4" t="str">
        <x:v>仅统计当前公会当日数据</x:v>
      </x:c>
      <x:c r="L18" s="4" t="str"/>
      <x:c r="M18" s="4" t="str">
        <x:v>未测</x:v>
      </x:c>
      <x:c r="N18" s="4" t="str"/>
      <x:c r="O18" s="4" t="str">
        <x:v>1. 来源（原型批注）：liveshow-proto/prototype/annotations/guild.js；guild-home.html
2. 页面：guild-home.html
3. 规则：BR-C60B26B5B19B08
4. 场景：SC-B24E647BE3BED1
5. 未动态验证</x:v>
      </x:c>
    </x:row>
    <x:row r="19" ht="54" customHeight="1">
      <x:c r="A19" s="4" t="n">
        <x:v>18</x:v>
      </x:c>
      <x:c r="B19" s="4" t="str">
        <x:v>GHOME-0003</x:v>
      </x:c>
      <x:c r="C19" s="4" t="str">
        <x:v>公会首页</x:v>
      </x:c>
      <x:c r="D19" s="4" t="str">
        <x:v>首页（公会长视角）</x:v>
      </x:c>
      <x:c r="E19" s="4" t="str">
        <x:v>功能需求</x:v>
      </x:c>
      <x:c r="F19" s="4" t="str">
        <x:v>P2</x:v>
      </x:c>
      <x:c r="G19" s="4" t="str">
        <x:v>验证首页的默认状态</x:v>
      </x:c>
      <x:c r="H19" s="4" t="str">
        <x:v>首页默认值</x:v>
      </x:c>
      <x:c r="I19" s="4" t="str">
        <x:v>1. 公会长账号已登录且具备当前页面权限</x:v>
      </x:c>
      <x:c r="J19" s="4" t="str">
        <x:v>1. 进入首页
2. 查看首页</x:v>
      </x:c>
      <x:c r="K19" s="4" t="str">
        <x:v>幸运礼物按礼物总价值 × 后台配置比例计入，默认 1%，返奖不影响主播收益</x:v>
      </x:c>
      <x:c r="L19" s="4" t="str"/>
      <x:c r="M19" s="4" t="str">
        <x:v>未测</x:v>
      </x:c>
      <x:c r="N19" s="4" t="str"/>
      <x:c r="O19" s="4" t="str">
        <x:v>1. 来源（原型批注）：liveshow-proto/prototype/annotations/guild.js；guild-home.html
2. 页面：guild-home.html
3. 规则：BR-7A04DECED7475A
4. 场景：SC-6C0948FB811142
5. 未动态验证</x:v>
      </x:c>
    </x:row>
    <x:row r="20" ht="54" customHeight="1">
      <x:c r="A20" s="4" t="n">
        <x:v>19</x:v>
      </x:c>
      <x:c r="B20" s="4" t="str">
        <x:v>GHOME-0004</x:v>
      </x:c>
      <x:c r="C20" s="4" t="str">
        <x:v>公会首页</x:v>
      </x:c>
      <x:c r="D20" s="4" t="str">
        <x:v>首页（公会长视角）</x:v>
      </x:c>
      <x:c r="E20" s="4" t="str">
        <x:v>功能需求</x:v>
      </x:c>
      <x:c r="F20" s="4" t="str">
        <x:v>P2</x:v>
      </x:c>
      <x:c r="G20" s="4" t="str">
        <x:v>验证首页可查看当前公会</x:v>
      </x:c>
      <x:c r="H20" s="4" t="str">
        <x:v>当前公会展示</x:v>
      </x:c>
      <x:c r="I20" s="4" t="str">
        <x:v>1. 公会长账号已登录且具备当前页面权限</x:v>
      </x:c>
      <x:c r="J20" s="4" t="str">
        <x:v>1. 进入首页
2. 查看当前公会</x:v>
      </x:c>
      <x:c r="K20" s="4" t="str">
        <x:v>首页显示“当前公会”</x:v>
      </x:c>
      <x:c r="L20" s="4" t="str"/>
      <x:c r="M20" s="4" t="str">
        <x:v>未测</x:v>
      </x:c>
      <x:c r="N20" s="4" t="str"/>
      <x:c r="O20" s="4" t="str">
        <x:v>1. 来源（原型批注）：liveshow-proto/prototype/annotations/guild.js；guild-home.html
2. 页面：guild-home.html
3. 规则：BR-B2C0E6C65DEF4C
4. 场景：SC-616F8413AB1E5B
5. 未动态验证</x:v>
      </x:c>
    </x:row>
    <x:row r="21" ht="54" customHeight="1">
      <x:c r="A21" s="4" t="n">
        <x:v>20</x:v>
      </x:c>
      <x:c r="B21" s="4" t="str">
        <x:v>GHOME-0005</x:v>
      </x:c>
      <x:c r="C21" s="4" t="str">
        <x:v>公会首页</x:v>
      </x:c>
      <x:c r="D21" s="4" t="str">
        <x:v>首页（公会长视角）</x:v>
      </x:c>
      <x:c r="E21" s="4" t="str">
        <x:v>功能需求</x:v>
      </x:c>
      <x:c r="F21" s="4" t="str">
        <x:v>P2</x:v>
      </x:c>
      <x:c r="G21" s="4" t="str">
        <x:v>验证首页可查看今日概况</x:v>
      </x:c>
      <x:c r="H21" s="4" t="str">
        <x:v>今日概况展示</x:v>
      </x:c>
      <x:c r="I21" s="4" t="str">
        <x:v>1. 公会长账号已登录且具备当前页面权限</x:v>
      </x:c>
      <x:c r="J21" s="4" t="str">
        <x:v>1. 进入首页
2. 查看今日概况</x:v>
      </x:c>
      <x:c r="K21" s="4" t="str">
        <x:v>首页显示“今日概况”</x:v>
      </x:c>
      <x:c r="L21" s="4" t="str"/>
      <x:c r="M21" s="4" t="str">
        <x:v>未测</x:v>
      </x:c>
      <x:c r="N21" s="4" t="str"/>
      <x:c r="O21" s="4" t="str">
        <x:v>1. 来源（原型批注）：liveshow-proto/prototype/annotations/guild.js；guild-home.html
2. 页面：guild-home.html
3. 规则：BR-C60B26B5B19B08
4. 场景：SC-E3C1C374E53B95
5. 未动态验证</x:v>
      </x:c>
    </x:row>
    <x:row r="22" ht="54" customHeight="1">
      <x:c r="A22" s="4" t="n">
        <x:v>21</x:v>
      </x:c>
      <x:c r="B22" s="4" t="str">
        <x:v>GHOME-0006</x:v>
      </x:c>
      <x:c r="C22" s="4" t="str">
        <x:v>公会首页</x:v>
      </x:c>
      <x:c r="D22" s="4" t="str">
        <x:v>通知详情（公会长视角）</x:v>
      </x:c>
      <x:c r="E22" s="4" t="str">
        <x:v>业务流程</x:v>
      </x:c>
      <x:c r="F22" s="4" t="str">
        <x:v>P2</x:v>
      </x:c>
      <x:c r="G22" s="4" t="str">
        <x:v>验证点击业务入口后的通知详情状态</x:v>
      </x:c>
      <x:c r="H22" s="4" t="str">
        <x:v>通知详情状态</x:v>
      </x:c>
      <x:c r="I22" s="4" t="str">
        <x:v>1. 公会长账号已登录且具备当前页面权限</x:v>
      </x:c>
      <x:c r="J22" s="4" t="str">
        <x:v>1. 进入通知详情
2. 点击业务入口</x:v>
      </x:c>
      <x:c r="K22" s="4" t="str">
        <x:v>进入对应记录</x:v>
      </x:c>
      <x:c r="L22" s="4" t="str"/>
      <x:c r="M22" s="4" t="str">
        <x:v>未测</x:v>
      </x:c>
      <x:c r="N22" s="4" t="str"/>
      <x:c r="O22" s="4" t="str">
        <x:v>1. 来源（原型批注）：liveshow-proto/prototype/annotations/guild.js；guild-notification-detail.html
2. 页面：guild-notification-detail.html
3. 规则：BR-27DBEBF749BE44
4. 场景：SC-1573A6E6C5085C
5. 未动态验证</x:v>
      </x:c>
    </x:row>
    <x:row r="23" ht="54" customHeight="1">
      <x:c r="A23" s="4" t="n">
        <x:v>22</x:v>
      </x:c>
      <x:c r="B23" s="4" t="str">
        <x:v>GHOME-0007</x:v>
      </x:c>
      <x:c r="C23" s="4" t="str">
        <x:v>公会首页</x:v>
      </x:c>
      <x:c r="D23" s="4" t="str">
        <x:v>通知详情（公会长视角）</x:v>
      </x:c>
      <x:c r="E23" s="4" t="str">
        <x:v>业务流程</x:v>
      </x:c>
      <x:c r="F23" s="4" t="str">
        <x:v>P2</x:v>
      </x:c>
      <x:c r="G23" s="4" t="str">
        <x:v>验证进入详情后的通知详情状态</x:v>
      </x:c>
      <x:c r="H23" s="4" t="str">
        <x:v>通知详情状态</x:v>
      </x:c>
      <x:c r="I23" s="4" t="str">
        <x:v>1. 公会长账号已登录且具备当前页面权限</x:v>
      </x:c>
      <x:c r="J23" s="4" t="str">
        <x:v>1. 进入通知详情
2. 进入详情</x:v>
      </x:c>
      <x:c r="K23" s="4" t="str">
        <x:v>标记为已读</x:v>
      </x:c>
      <x:c r="L23" s="4" t="str"/>
      <x:c r="M23" s="4" t="str">
        <x:v>未测</x:v>
      </x:c>
      <x:c r="N23" s="4" t="str"/>
      <x:c r="O23" s="4" t="str">
        <x:v>1. 来源（原型批注）：liveshow-proto/prototype/annotations/guild.js；guild-notification-detail.html
2. 页面：guild-notification-detail.html
3. 规则：BR-37F83EBA8BB06D
4. 场景：SC-C94193A59AB779
5. 未动态验证</x:v>
      </x:c>
    </x:row>
    <x:row r="24" ht="54" customHeight="1">
      <x:c r="A24" s="4" t="n">
        <x:v>23</x:v>
      </x:c>
      <x:c r="B24" s="4" t="str">
        <x:v>GHOME-0008</x:v>
      </x:c>
      <x:c r="C24" s="4" t="str">
        <x:v>公会首页</x:v>
      </x:c>
      <x:c r="D24" s="4" t="str">
        <x:v>通知详情（公会长视角）</x:v>
      </x:c>
      <x:c r="E24" s="4" t="str">
        <x:v>功能需求</x:v>
      </x:c>
      <x:c r="F24" s="4" t="str">
        <x:v>P2</x:v>
      </x:c>
      <x:c r="G24" s="4" t="str">
        <x:v>验证通知详情可查看标题</x:v>
      </x:c>
      <x:c r="H24" s="4" t="str">
        <x:v>标题展示</x:v>
      </x:c>
      <x:c r="I24" s="4" t="str">
        <x:v>1. 公会长账号已登录且具备当前页面权限</x:v>
      </x:c>
      <x:c r="J24" s="4" t="str">
        <x:v>1. 进入通知详情
2. 查看标题</x:v>
      </x:c>
      <x:c r="K24" s="4" t="str">
        <x:v>通知详情显示“标题”</x:v>
      </x:c>
      <x:c r="L24" s="4" t="str"/>
      <x:c r="M24" s="4" t="str">
        <x:v>未测</x:v>
      </x:c>
      <x:c r="N24" s="4" t="str"/>
      <x:c r="O24" s="4" t="str">
        <x:v>1. 来源（原型批注）：liveshow-proto/prototype/annotations/guild.js；guild-notification-detail.html
2. 页面：guild-notification-detail.html
3. 规则：BR-5148C69F64A315
4. 场景：SC-8F6F93B32F1110
5. 未动态验证</x:v>
      </x:c>
    </x:row>
    <x:row r="25" ht="54" customHeight="1">
      <x:c r="A25" s="4" t="n">
        <x:v>24</x:v>
      </x:c>
      <x:c r="B25" s="4" t="str">
        <x:v>GHOME-0009</x:v>
      </x:c>
      <x:c r="C25" s="4" t="str">
        <x:v>公会首页</x:v>
      </x:c>
      <x:c r="D25" s="4" t="str">
        <x:v>通知详情（公会长视角）</x:v>
      </x:c>
      <x:c r="E25" s="4" t="str">
        <x:v>功能需求</x:v>
      </x:c>
      <x:c r="F25" s="4" t="str">
        <x:v>P2</x:v>
      </x:c>
      <x:c r="G25" s="4" t="str">
        <x:v>验证通知详情可查看发送时间</x:v>
      </x:c>
      <x:c r="H25" s="4" t="str">
        <x:v>发送时间展示</x:v>
      </x:c>
      <x:c r="I25" s="4" t="str">
        <x:v>1. 公会长账号已登录且具备当前页面权限</x:v>
      </x:c>
      <x:c r="J25" s="4" t="str">
        <x:v>1. 进入通知详情
2. 查看发送时间</x:v>
      </x:c>
      <x:c r="K25" s="4" t="str">
        <x:v>通知详情显示“发送时间”</x:v>
      </x:c>
      <x:c r="L25" s="4" t="str"/>
      <x:c r="M25" s="4" t="str">
        <x:v>未测</x:v>
      </x:c>
      <x:c r="N25" s="4" t="str"/>
      <x:c r="O25" s="4" t="str">
        <x:v>1. 来源（原型批注）：liveshow-proto/prototype/annotations/guild.js；guild-notification-detail.html
2. 页面：guild-notification-detail.html
3. 规则：BR-2FBBFBB0F50565
4. 场景：SC-B1DD8277584AFA
5. 未动态验证</x:v>
      </x:c>
    </x:row>
    <x:row r="26" ht="54" customHeight="1">
      <x:c r="A26" s="4" t="n">
        <x:v>25</x:v>
      </x:c>
      <x:c r="B26" s="4" t="str">
        <x:v>GHOME-0010</x:v>
      </x:c>
      <x:c r="C26" s="4" t="str">
        <x:v>公会首页</x:v>
      </x:c>
      <x:c r="D26" s="4" t="str">
        <x:v>通知详情（公会长视角）</x:v>
      </x:c>
      <x:c r="E26" s="4" t="str">
        <x:v>功能需求</x:v>
      </x:c>
      <x:c r="F26" s="4" t="str">
        <x:v>P2</x:v>
      </x:c>
      <x:c r="G26" s="4" t="str">
        <x:v>验证通知详情可查看业务入口</x:v>
      </x:c>
      <x:c r="H26" s="4" t="str">
        <x:v>业务入口展示</x:v>
      </x:c>
      <x:c r="I26" s="4" t="str">
        <x:v>1. 公会长账号已登录且具备当前页面权限</x:v>
      </x:c>
      <x:c r="J26" s="4" t="str">
        <x:v>1. 进入通知详情
2. 查看业务入口</x:v>
      </x:c>
      <x:c r="K26" s="4" t="str">
        <x:v>通知详情显示“业务入口”</x:v>
      </x:c>
      <x:c r="L26" s="4" t="str"/>
      <x:c r="M26" s="4" t="str">
        <x:v>未测</x:v>
      </x:c>
      <x:c r="N26" s="4" t="str"/>
      <x:c r="O26" s="4" t="str">
        <x:v>1. 来源（原型批注）：liveshow-proto/prototype/annotations/guild.js；guild-notification-detail.html
2. 页面：guild-notification-detail.html
3. 规则：BR-746B5D9D194289
4. 场景：SC-311FAB3FDB9942
5. 未动态验证</x:v>
      </x:c>
    </x:row>
    <x:row r="27" ht="54" customHeight="1">
      <x:c r="A27" s="4" t="n">
        <x:v>26</x:v>
      </x:c>
      <x:c r="B27" s="4" t="str">
        <x:v>GHOME-0011</x:v>
      </x:c>
      <x:c r="C27" s="4" t="str">
        <x:v>公会首页</x:v>
      </x:c>
      <x:c r="D27" s="4" t="str">
        <x:v>通知详情（公会长视角）</x:v>
      </x:c>
      <x:c r="E27" s="4" t="str">
        <x:v>功能需求</x:v>
      </x:c>
      <x:c r="F27" s="4" t="str">
        <x:v>P2</x:v>
      </x:c>
      <x:c r="G27" s="4" t="str">
        <x:v>验证通知详情可查看正文</x:v>
      </x:c>
      <x:c r="H27" s="4" t="str">
        <x:v>正文展示</x:v>
      </x:c>
      <x:c r="I27" s="4" t="str">
        <x:v>1. 公会长账号已登录且具备当前页面权限</x:v>
      </x:c>
      <x:c r="J27" s="4" t="str">
        <x:v>1. 进入通知详情
2. 查看正文</x:v>
      </x:c>
      <x:c r="K27" s="4" t="str">
        <x:v>通知详情显示“正文”</x:v>
      </x:c>
      <x:c r="L27" s="4" t="str"/>
      <x:c r="M27" s="4" t="str">
        <x:v>未测</x:v>
      </x:c>
      <x:c r="N27" s="4" t="str"/>
      <x:c r="O27" s="4" t="str">
        <x:v>1. 来源（原型批注）：liveshow-proto/prototype/annotations/guild.js；guild-notification-detail.html
2. 页面：guild-notification-detail.html
3. 规则：BR-BDB86B45330234
4. 场景：SC-9883FB145E373A
5. 未动态验证</x:v>
      </x:c>
    </x:row>
    <x:row r="28" ht="54" customHeight="1">
      <x:c r="A28" s="4" t="n">
        <x:v>27</x:v>
      </x:c>
      <x:c r="B28" s="4" t="str">
        <x:v>GHOME-0012</x:v>
      </x:c>
      <x:c r="C28" s="4" t="str">
        <x:v>公会首页</x:v>
      </x:c>
      <x:c r="D28" s="4" t="str">
        <x:v>通知消息（公会长视角）</x:v>
      </x:c>
      <x:c r="E28" s="4" t="str">
        <x:v>业务流程</x:v>
      </x:c>
      <x:c r="F28" s="4" t="str">
        <x:v>P2</x:v>
      </x:c>
      <x:c r="G28" s="4" t="str">
        <x:v>验证点击通知后的通知消息状态</x:v>
      </x:c>
      <x:c r="H28" s="4" t="str">
        <x:v>通知消息状态</x:v>
      </x:c>
      <x:c r="I28" s="4" t="str">
        <x:v>1. 公会长账号已登录且具备当前页面权限</x:v>
      </x:c>
      <x:c r="J28" s="4" t="str">
        <x:v>1. 进入通知消息
2. 点击通知</x:v>
      </x:c>
      <x:c r="K28" s="4" t="str">
        <x:v>进入通知详情</x:v>
      </x:c>
      <x:c r="L28" s="4" t="str"/>
      <x:c r="M28" s="4" t="str">
        <x:v>未测</x:v>
      </x:c>
      <x:c r="N28" s="4" t="str"/>
      <x:c r="O28" s="4" t="str">
        <x:v>1. 来源（原型批注）：liveshow-proto/prototype/annotations/guild.js；guild-notifications.html
2. 页面：guild-notifications.html
3. 规则：BR-CA7283CED79472
4. 场景：SC-0235B54F57D348
5. 未动态验证</x:v>
      </x:c>
    </x:row>
    <x:row r="29" ht="54" customHeight="1">
      <x:c r="A29" s="4" t="n">
        <x:v>28</x:v>
      </x:c>
      <x:c r="B29" s="4" t="str">
        <x:v>GHOME-0013</x:v>
      </x:c>
      <x:c r="C29" s="4" t="str">
        <x:v>公会首页</x:v>
      </x:c>
      <x:c r="D29" s="4" t="str">
        <x:v>通知消息（公会长视角）</x:v>
      </x:c>
      <x:c r="E29" s="4" t="str">
        <x:v>业务流程</x:v>
      </x:c>
      <x:c r="F29" s="4" t="str">
        <x:v>P2</x:v>
      </x:c>
      <x:c r="G29" s="4" t="str">
        <x:v>验证进入详情后的通知消息状态</x:v>
      </x:c>
      <x:c r="H29" s="4" t="str">
        <x:v>通知消息状态</x:v>
      </x:c>
      <x:c r="I29" s="4" t="str">
        <x:v>1. 公会长账号已登录且具备当前页面权限</x:v>
      </x:c>
      <x:c r="J29" s="4" t="str">
        <x:v>1. 进入通知消息
2. 进入详情</x:v>
      </x:c>
      <x:c r="K29" s="4" t="str">
        <x:v>标记为已读</x:v>
      </x:c>
      <x:c r="L29" s="4" t="str"/>
      <x:c r="M29" s="4" t="str">
        <x:v>未测</x:v>
      </x:c>
      <x:c r="N29" s="4" t="str"/>
      <x:c r="O29" s="4" t="str">
        <x:v>1. 来源（原型批注）：liveshow-proto/prototype/annotations/guild.js；guild-notifications.html
2. 页面：guild-notifications.html
3. 规则：BR-91F5F90A0E3F56
4. 场景：SC-D64C3FA855EDB9
5. 未动态验证</x:v>
      </x:c>
    </x:row>
    <x:row r="30" ht="54" customHeight="1">
      <x:c r="A30" s="4" t="n">
        <x:v>29</x:v>
      </x:c>
      <x:c r="B30" s="4" t="str">
        <x:v>GHOME-0014</x:v>
      </x:c>
      <x:c r="C30" s="4" t="str">
        <x:v>公会首页</x:v>
      </x:c>
      <x:c r="D30" s="4" t="str">
        <x:v>通知消息（公会长视角）</x:v>
      </x:c>
      <x:c r="E30" s="4" t="str">
        <x:v>功能需求</x:v>
      </x:c>
      <x:c r="F30" s="4" t="str">
        <x:v>P2</x:v>
      </x:c>
      <x:c r="G30" s="4" t="str">
        <x:v>验证通知消息可查看标题</x:v>
      </x:c>
      <x:c r="H30" s="4" t="str">
        <x:v>标题展示</x:v>
      </x:c>
      <x:c r="I30" s="4" t="str">
        <x:v>1. 公会长账号已登录且具备当前页面权限</x:v>
      </x:c>
      <x:c r="J30" s="4" t="str">
        <x:v>1. 进入通知消息
2. 查看标题</x:v>
      </x:c>
      <x:c r="K30" s="4" t="str">
        <x:v>通知消息显示“标题”</x:v>
      </x:c>
      <x:c r="L30" s="4" t="str"/>
      <x:c r="M30" s="4" t="str">
        <x:v>未测</x:v>
      </x:c>
      <x:c r="N30" s="4" t="str"/>
      <x:c r="O30" s="4" t="str">
        <x:v>1. 来源（原型批注）：liveshow-proto/prototype/annotations/guild.js；guild-notifications.html
2. 页面：guild-notifications.html
3. 规则：BR-2655A67F4B211C
4. 场景：SC-D5BEE2360C382E
5. 未动态验证</x:v>
      </x:c>
    </x:row>
    <x:row r="31" ht="54" customHeight="1">
      <x:c r="A31" s="4" t="n">
        <x:v>30</x:v>
      </x:c>
      <x:c r="B31" s="4" t="str">
        <x:v>GHOME-0015</x:v>
      </x:c>
      <x:c r="C31" s="4" t="str">
        <x:v>公会首页</x:v>
      </x:c>
      <x:c r="D31" s="4" t="str">
        <x:v>通知消息（公会长视角）</x:v>
      </x:c>
      <x:c r="E31" s="4" t="str">
        <x:v>功能需求</x:v>
      </x:c>
      <x:c r="F31" s="4" t="str">
        <x:v>P2</x:v>
      </x:c>
      <x:c r="G31" s="4" t="str">
        <x:v>验证通知消息可查看时间</x:v>
      </x:c>
      <x:c r="H31" s="4" t="str">
        <x:v>时间展示</x:v>
      </x:c>
      <x:c r="I31" s="4" t="str">
        <x:v>1. 公会长账号已登录且具备当前页面权限</x:v>
      </x:c>
      <x:c r="J31" s="4" t="str">
        <x:v>1. 进入通知消息
2. 查看时间</x:v>
      </x:c>
      <x:c r="K31" s="4" t="str">
        <x:v>通知消息显示“时间”</x:v>
      </x:c>
      <x:c r="L31" s="4" t="str"/>
      <x:c r="M31" s="4" t="str">
        <x:v>未测</x:v>
      </x:c>
      <x:c r="N31" s="4" t="str"/>
      <x:c r="O31" s="4" t="str">
        <x:v>1. 来源（原型批注）：liveshow-proto/prototype/annotations/guild.js；guild-notifications.html
2. 页面：guild-notifications.html
3. 规则：BR-36E45FA076F757
4. 场景：SC-CE21FDCBA9DDA8
5. 未动态验证</x:v>
      </x:c>
    </x:row>
    <x:row r="32" ht="54" customHeight="1">
      <x:c r="A32" s="4" t="n">
        <x:v>31</x:v>
      </x:c>
      <x:c r="B32" s="4" t="str">
        <x:v>GHOME-0016</x:v>
      </x:c>
      <x:c r="C32" s="4" t="str">
        <x:v>公会首页</x:v>
      </x:c>
      <x:c r="D32" s="4" t="str">
        <x:v>通知消息（公会长视角）</x:v>
      </x:c>
      <x:c r="E32" s="4" t="str">
        <x:v>功能需求</x:v>
      </x:c>
      <x:c r="F32" s="4" t="str">
        <x:v>P2</x:v>
      </x:c>
      <x:c r="G32" s="4" t="str">
        <x:v>验证通知消息可查看已读状态</x:v>
      </x:c>
      <x:c r="H32" s="4" t="str">
        <x:v>已读状态展示</x:v>
      </x:c>
      <x:c r="I32" s="4" t="str">
        <x:v>1. 公会长账号已登录且具备当前页面权限</x:v>
      </x:c>
      <x:c r="J32" s="4" t="str">
        <x:v>1. 进入通知消息
2. 查看已读状态</x:v>
      </x:c>
      <x:c r="K32" s="4" t="str">
        <x:v>通知消息显示“已读状态”</x:v>
      </x:c>
      <x:c r="L32" s="4" t="str"/>
      <x:c r="M32" s="4" t="str">
        <x:v>未测</x:v>
      </x:c>
      <x:c r="N32" s="4" t="str"/>
      <x:c r="O32" s="4" t="str">
        <x:v>1. 来源（原型批注）：liveshow-proto/prototype/annotations/guild.js；guild-notifications.html
2. 页面：guild-notifications.html
3. 规则：BR-5C9EAD1B93ED97、BR-91F5F90A0E3F56
4. 场景：SC-AD36490D5B6498
5. 未动态验证</x:v>
      </x:c>
    </x:row>
    <x:row r="33" ht="54" customHeight="1">
      <x:c r="A33" s="4" t="n">
        <x:v>32</x:v>
      </x:c>
      <x:c r="B33" s="4" t="str">
        <x:v>GHOME-0017</x:v>
      </x:c>
      <x:c r="C33" s="4" t="str">
        <x:v>公会首页</x:v>
      </x:c>
      <x:c r="D33" s="4" t="str">
        <x:v>通知消息（公会长视角）</x:v>
      </x:c>
      <x:c r="E33" s="4" t="str">
        <x:v>功能需求</x:v>
      </x:c>
      <x:c r="F33" s="4" t="str">
        <x:v>P2</x:v>
      </x:c>
      <x:c r="G33" s="4" t="str">
        <x:v>验证通知消息可查看摘要</x:v>
      </x:c>
      <x:c r="H33" s="4" t="str">
        <x:v>摘要展示</x:v>
      </x:c>
      <x:c r="I33" s="4" t="str">
        <x:v>1. 公会长账号已登录且具备当前页面权限</x:v>
      </x:c>
      <x:c r="J33" s="4" t="str">
        <x:v>1. 进入通知消息
2. 查看摘要</x:v>
      </x:c>
      <x:c r="K33" s="4" t="str">
        <x:v>通知消息显示“摘要”</x:v>
      </x:c>
      <x:c r="L33" s="4" t="str"/>
      <x:c r="M33" s="4" t="str">
        <x:v>未测</x:v>
      </x:c>
      <x:c r="N33" s="4" t="str"/>
      <x:c r="O33" s="4" t="str">
        <x:v>1. 来源（原型批注）：liveshow-proto/prototype/annotations/guild.js；guild-notifications.html
2. 页面：guild-notifications.html
3. 规则：BR-615D3138498084
4. 场景：SC-625FF5B09811D9
5. 未动态验证</x:v>
      </x:c>
    </x:row>
    <x:row r="34" ht="54" customHeight="1">
      <x:c r="A34" s="4" t="n">
        <x:v>33</x:v>
      </x:c>
      <x:c r="B34" s="4" t="str">
        <x:v>GHOME-0018</x:v>
      </x:c>
      <x:c r="C34" s="4" t="str">
        <x:v>公会首页</x:v>
      </x:c>
      <x:c r="D34" s="4" t="str">
        <x:v>通知消息（公会长视角）</x:v>
      </x:c>
      <x:c r="E34" s="4" t="str">
        <x:v>功能需求</x:v>
      </x:c>
      <x:c r="F34" s="4" t="str">
        <x:v>P2</x:v>
      </x:c>
      <x:c r="G34" s="4" t="str">
        <x:v>验证未读时的通知消息结果</x:v>
      </x:c>
      <x:c r="H34" s="4" t="str">
        <x:v>通知消息条件结果</x:v>
      </x:c>
      <x:c r="I34" s="4" t="str">
        <x:v>1. 公会长账号已登录且具备当前页面权限
2. 未读</x:v>
      </x:c>
      <x:c r="J34" s="4" t="str">
        <x:v>1. 进入通知消息
2. 查看通知消息</x:v>
      </x:c>
      <x:c r="K34" s="4" t="str">
        <x:v>未读显示标记</x:v>
      </x:c>
      <x:c r="L34" s="4" t="str"/>
      <x:c r="M34" s="4" t="str">
        <x:v>未测</x:v>
      </x:c>
      <x:c r="N34" s="4" t="str"/>
      <x:c r="O34" s="4" t="str">
        <x:v>1. 来源（原型批注）：liveshow-proto/prototype/annotations/guild.js；guild-notifications.html
2. 页面：guild-notifications.html
3. 规则：BR-5C9EAD1B93ED97
4. 场景：SC-DD47E99B88C9BA
5. 未动态验证</x:v>
      </x:c>
    </x:row>
    <x:row r="35" ht="54" customHeight="1">
      <x:c r="A35" s="4" t="n">
        <x:v>34</x:v>
      </x:c>
      <x:c r="B35" s="4" t="str">
        <x:v>GHOME-0019</x:v>
      </x:c>
      <x:c r="C35" s="4" t="str">
        <x:v>公会首页</x:v>
      </x:c>
      <x:c r="D35" s="4" t="str">
        <x:v>通知消息（公会长视角）</x:v>
      </x:c>
      <x:c r="E35" s="4" t="str">
        <x:v>功能需求</x:v>
      </x:c>
      <x:c r="F35" s="4" t="str">
        <x:v>P2</x:v>
      </x:c>
      <x:c r="G35" s="4" t="str">
        <x:v>验证有关联业务时的通知消息结果</x:v>
      </x:c>
      <x:c r="H35" s="4" t="str">
        <x:v>通知消息条件结果</x:v>
      </x:c>
      <x:c r="I35" s="4" t="str">
        <x:v>1. 公会长账号已登录且具备当前页面权限
2. 有关联业务</x:v>
      </x:c>
      <x:c r="J35" s="4" t="str">
        <x:v>1. 进入通知消息
2. 查看通知消息</x:v>
      </x:c>
      <x:c r="K35" s="4" t="str">
        <x:v>由详情进入对应记录</x:v>
      </x:c>
      <x:c r="L35" s="4" t="str"/>
      <x:c r="M35" s="4" t="str">
        <x:v>未测</x:v>
      </x:c>
      <x:c r="N35" s="4" t="str"/>
      <x:c r="O35" s="4" t="str">
        <x:v>1. 来源（原型批注）：liveshow-proto/prototype/annotations/guild.js；guild-notifications.html
2. 页面：guild-notifications.html
3. 规则：BR-0198088D12EAC1
4. 场景：SC-5D8E22749EC24B
5. 未动态验证</x:v>
      </x:c>
    </x:row>
    <x:row r="36" ht="54" customHeight="1">
      <x:c r="A36" s="4" t="n">
        <x:v>35</x:v>
      </x:c>
      <x:c r="B36" s="4" t="str">
        <x:v>GAUTH-0001</x:v>
      </x:c>
      <x:c r="C36" s="4" t="str">
        <x:v>公会账号</x:v>
      </x:c>
      <x:c r="D36" s="4" t="str">
        <x:v>公会登录（公会长视角）</x:v>
      </x:c>
      <x:c r="E36" s="4" t="str">
        <x:v>功能需求</x:v>
      </x:c>
      <x:c r="F36" s="4" t="str">
        <x:v>P1</x:v>
      </x:c>
      <x:c r="G36" s="4" t="str">
        <x:v>验证错误时的公会登录结果</x:v>
      </x:c>
      <x:c r="H36" s="4" t="str">
        <x:v>公会登录条件结果</x:v>
      </x:c>
      <x:c r="I36" s="4" t="str">
        <x:v>1. 公会长账号已登录且具备当前页面权限
2. 错误</x:v>
      </x:c>
      <x:c r="J36" s="4" t="str">
        <x:v>1. 进入公会登录
2. 查看公会登录</x:v>
      </x:c>
      <x:c r="K36" s="4" t="str">
        <x:v>统一提示账号或密码错误</x:v>
      </x:c>
      <x:c r="L36" s="4" t="str"/>
      <x:c r="M36" s="4" t="str">
        <x:v>未测</x:v>
      </x:c>
      <x:c r="N36" s="4" t="str"/>
      <x:c r="O36" s="4" t="str">
        <x:v>1. 来源（原型批注）：liveshow-proto/prototype/annotations/guild.js；guild-login.html
2. 页面：guild-login.html
3. 规则：BR-222A2ECFE124C7
4. 场景：SC-570F200AA25DD9
5. 未动态验证</x:v>
      </x:c>
    </x:row>
    <x:row r="37" ht="54" customHeight="1">
      <x:c r="A37" s="4" t="n">
        <x:v>36</x:v>
      </x:c>
      <x:c r="B37" s="4" t="str">
        <x:v>GAUTH-0002</x:v>
      </x:c>
      <x:c r="C37" s="4" t="str">
        <x:v>公会账号</x:v>
      </x:c>
      <x:c r="D37" s="4" t="str">
        <x:v>公会登录（公会长视角）</x:v>
      </x:c>
      <x:c r="E37" s="4" t="str">
        <x:v>业务流程</x:v>
      </x:c>
      <x:c r="F37" s="4" t="str">
        <x:v>P1</x:v>
      </x:c>
      <x:c r="G37" s="4" t="str">
        <x:v>验证登录校验通过后的公会登录状态</x:v>
      </x:c>
      <x:c r="H37" s="4" t="str">
        <x:v>公会登录状态</x:v>
      </x:c>
      <x:c r="I37" s="4" t="str">
        <x:v>1. 公会长账号已登录且具备当前页面权限
2. 登录校验通过</x:v>
      </x:c>
      <x:c r="J37" s="4" t="str">
        <x:v>1. 进入公会登录
2. 刷新公会登录</x:v>
      </x:c>
      <x:c r="K37" s="4" t="str">
        <x:v>进入「选择公会」</x:v>
      </x:c>
      <x:c r="L37" s="4" t="str"/>
      <x:c r="M37" s="4" t="str">
        <x:v>未测</x:v>
      </x:c>
      <x:c r="N37" s="4" t="str"/>
      <x:c r="O37" s="4" t="str">
        <x:v>1. 来源（原型批注）：liveshow-proto/prototype/annotations/guild.js；guild-login.html
2. 页面：guild-login.html
3. 规则：BR-09A7257C210FE3
4. 场景：SC-D0A72458E805DE
5. 未动态验证</x:v>
      </x:c>
    </x:row>
    <x:row r="38" ht="54" customHeight="1">
      <x:c r="A38" s="4" t="n">
        <x:v>37</x:v>
      </x:c>
      <x:c r="B38" s="4" t="str">
        <x:v>GAUTH-0003</x:v>
      </x:c>
      <x:c r="C38" s="4" t="str">
        <x:v>公会账号</x:v>
      </x:c>
      <x:c r="D38" s="4" t="str">
        <x:v>公会登录（公会长视角）</x:v>
      </x:c>
      <x:c r="E38" s="4" t="str">
        <x:v>功能需求</x:v>
      </x:c>
      <x:c r="F38" s="4" t="str">
        <x:v>P1</x:v>
      </x:c>
      <x:c r="G38" s="4" t="str">
        <x:v>验证公会登录可查看公会账号</x:v>
      </x:c>
      <x:c r="H38" s="4" t="str">
        <x:v>公会账号展示</x:v>
      </x:c>
      <x:c r="I38" s="4" t="str">
        <x:v>1. 公会长账号已登录且具备当前页面权限</x:v>
      </x:c>
      <x:c r="J38" s="4" t="str">
        <x:v>1. 进入公会登录
2. 查看公会账号</x:v>
      </x:c>
      <x:c r="K38" s="4" t="str">
        <x:v>公会登录显示“公会账号”</x:v>
      </x:c>
      <x:c r="L38" s="4" t="str"/>
      <x:c r="M38" s="4" t="str">
        <x:v>未测</x:v>
      </x:c>
      <x:c r="N38" s="4" t="str"/>
      <x:c r="O38" s="4" t="str">
        <x:v>1. 来源（原型批注）：liveshow-proto/prototype/annotations/guild.js；guild-login.html
2. 页面：guild-login.html
3. 规则：BR-96A490267E86E6、BR-3C0D8714D423D5
4. 场景：SC-732F11096E97AD
5. 未动态验证</x:v>
      </x:c>
    </x:row>
    <x:row r="39" ht="54" customHeight="1">
      <x:c r="A39" s="4" t="n">
        <x:v>38</x:v>
      </x:c>
      <x:c r="B39" s="4" t="str">
        <x:v>GAUTH-0004</x:v>
      </x:c>
      <x:c r="C39" s="4" t="str">
        <x:v>公会账号</x:v>
      </x:c>
      <x:c r="D39" s="4" t="str">
        <x:v>公会登录（公会长视角）</x:v>
      </x:c>
      <x:c r="E39" s="4" t="str">
        <x:v>功能需求</x:v>
      </x:c>
      <x:c r="F39" s="4" t="str">
        <x:v>P1</x:v>
      </x:c>
      <x:c r="G39" s="4" t="str">
        <x:v>验证公会登录可查看密码</x:v>
      </x:c>
      <x:c r="H39" s="4" t="str">
        <x:v>密码展示</x:v>
      </x:c>
      <x:c r="I39" s="4" t="str">
        <x:v>1. 公会长账号已登录且具备当前页面权限</x:v>
      </x:c>
      <x:c r="J39" s="4" t="str">
        <x:v>1. 进入公会登录
2. 查看密码</x:v>
      </x:c>
      <x:c r="K39" s="4" t="str">
        <x:v>公会登录显示“密码”</x:v>
      </x:c>
      <x:c r="L39" s="4" t="str"/>
      <x:c r="M39" s="4" t="str">
        <x:v>未测</x:v>
      </x:c>
      <x:c r="N39" s="4" t="str"/>
      <x:c r="O39" s="4" t="str">
        <x:v>1. 来源（原型批注）：liveshow-proto/prototype/annotations/guild.js；guild-login.html
2. 页面：guild-login.html
3. 规则：BR-6F1CFD22133C8E、BR-222A2ECFE124C7
4. 场景：SC-DB2B801623DE18
5. 未动态验证</x:v>
      </x:c>
    </x:row>
    <x:row r="40" ht="54" customHeight="1">
      <x:c r="A40" s="4" t="n">
        <x:v>39</x:v>
      </x:c>
      <x:c r="B40" s="4" t="str">
        <x:v>GAUTH-0005</x:v>
      </x:c>
      <x:c r="C40" s="4" t="str">
        <x:v>公会账号</x:v>
      </x:c>
      <x:c r="D40" s="4" t="str">
        <x:v>公会登录（公会长视角）</x:v>
      </x:c>
      <x:c r="E40" s="4" t="str">
        <x:v>异常用例</x:v>
      </x:c>
      <x:c r="F40" s="4" t="str">
        <x:v>P1</x:v>
      </x:c>
      <x:c r="G40" s="4" t="str">
        <x:v>验证公会长账号被停用后的公会登录状态</x:v>
      </x:c>
      <x:c r="H40" s="4" t="str">
        <x:v>公会登录状态</x:v>
      </x:c>
      <x:c r="I40" s="4" t="str">
        <x:v>1. 公会长账号已登录且具备当前页面权限
2. 公会长账号被停用</x:v>
      </x:c>
      <x:c r="J40" s="4" t="str">
        <x:v>1. 进入公会登录
2. 刷新公会登录</x:v>
      </x:c>
      <x:c r="K40" s="4" t="str">
        <x:v>不可登录</x:v>
      </x:c>
      <x:c r="L40" s="4" t="str"/>
      <x:c r="M40" s="4" t="str">
        <x:v>未测</x:v>
      </x:c>
      <x:c r="N40" s="4" t="str"/>
      <x:c r="O40" s="4" t="str">
        <x:v>1. 来源（原型批注）：liveshow-proto/prototype/annotations/guild.js；guild-login.html
2. 页面：guild-login.html
3. 规则：BR-3910CE04E6F858
4. 场景：SC-E58D2479678C74
5. 未动态验证</x:v>
      </x:c>
    </x:row>
    <x:row r="41" ht="54" customHeight="1">
      <x:c r="A41" s="4" t="n">
        <x:v>40</x:v>
      </x:c>
      <x:c r="B41" s="4" t="str">
        <x:v>GAUTH-0006</x:v>
      </x:c>
      <x:c r="C41" s="4" t="str">
        <x:v>公会账号</x:v>
      </x:c>
      <x:c r="D41" s="4" t="str">
        <x:v>公会登录（公会长视角）</x:v>
      </x:c>
      <x:c r="E41" s="4" t="str">
        <x:v>业务流程</x:v>
      </x:c>
      <x:c r="F41" s="4" t="str">
        <x:v>P1</x:v>
      </x:c>
      <x:c r="G41" s="4" t="str">
        <x:v>验证密码错误后的公会登录状态</x:v>
      </x:c>
      <x:c r="H41" s="4" t="str">
        <x:v>公会登录状态</x:v>
      </x:c>
      <x:c r="I41" s="4" t="str">
        <x:v>1. 公会长账号已登录且具备当前页面权限
2. 密码错误</x:v>
      </x:c>
      <x:c r="J41" s="4" t="str">
        <x:v>1. 进入公会登录
2. 刷新公会登录</x:v>
      </x:c>
      <x:c r="K41" s="4" t="str">
        <x:v>停留当前页</x:v>
      </x:c>
      <x:c r="L41" s="4" t="str"/>
      <x:c r="M41" s="4" t="str">
        <x:v>未测</x:v>
      </x:c>
      <x:c r="N41" s="4" t="str"/>
      <x:c r="O41" s="4" t="str">
        <x:v>1. 来源（原型批注）：liveshow-proto/prototype/annotations/guild.js；guild-login.html
2. 页面：guild-login.html
3. 规则：BR-FC4E573C5598AB
4. 场景：SC-D6A9645994E952
5. 未动态验证</x:v>
      </x:c>
    </x:row>
    <x:row r="42" ht="54" customHeight="1">
      <x:c r="A42" s="4" t="n">
        <x:v>41</x:v>
      </x:c>
      <x:c r="B42" s="4" t="str">
        <x:v>GAUTH-0007</x:v>
      </x:c>
      <x:c r="C42" s="4" t="str">
        <x:v>公会账号</x:v>
      </x:c>
      <x:c r="D42" s="4" t="str">
        <x:v>选择公会（公会长视角）</x:v>
      </x:c>
      <x:c r="E42" s="4" t="str">
        <x:v>功能需求</x:v>
      </x:c>
      <x:c r="F42" s="4" t="str">
        <x:v>P2</x:v>
      </x:c>
      <x:c r="G42" s="4" t="str">
        <x:v>验证不时的选择公会结果</x:v>
      </x:c>
      <x:c r="H42" s="4" t="str">
        <x:v>选择公会条件结果</x:v>
      </x:c>
      <x:c r="I42" s="4" t="str">
        <x:v>1. 公会长账号已登录且具备当前页面权限
2. 不</x:v>
      </x:c>
      <x:c r="J42" s="4" t="str">
        <x:v>1. 进入选择公会
2. 查看选择公会</x:v>
      </x:c>
      <x:c r="K42" s="4" t="str">
        <x:v>不显示城市</x:v>
      </x:c>
      <x:c r="L42" s="4" t="str"/>
      <x:c r="M42" s="4" t="str">
        <x:v>未测</x:v>
      </x:c>
      <x:c r="N42" s="4" t="str"/>
      <x:c r="O42" s="4" t="str">
        <x:v>1. 来源（原型批注）：liveshow-proto/prototype/annotations/guild.js；guild-switch.html
2. 页面：guild-switch.html
3. 规则：BR-F398A6DAE5357A
4. 场景：SC-69D9A6F8A26AD0
5. 未动态验证</x:v>
      </x:c>
    </x:row>
    <x:row r="43" ht="54" customHeight="1">
      <x:c r="A43" s="4" t="n">
        <x:v>42</x:v>
      </x:c>
      <x:c r="B43" s="4" t="str">
        <x:v>GAUTH-0008</x:v>
      </x:c>
      <x:c r="C43" s="4" t="str">
        <x:v>公会账号</x:v>
      </x:c>
      <x:c r="D43" s="4" t="str">
        <x:v>选择公会（公会长视角）</x:v>
      </x:c>
      <x:c r="E43" s="4" t="str">
        <x:v>逻辑校验</x:v>
      </x:c>
      <x:c r="F43" s="4" t="str">
        <x:v>P2</x:v>
      </x:c>
      <x:c r="G43" s="4" t="str">
        <x:v>验证选择公会按指定范围筛选</x:v>
      </x:c>
      <x:c r="H43" s="4" t="str">
        <x:v>选择公会数据范围</x:v>
      </x:c>
      <x:c r="I43" s="4" t="str">
        <x:v>1. 公会长账号已登录且具备当前页面权限
2. 存在符合和不符合“当前账号可管理且未解散的公会”的记录</x:v>
      </x:c>
      <x:c r="J43" s="4" t="str">
        <x:v>1. 进入选择公会
2. 查看选择公会</x:v>
      </x:c>
      <x:c r="K43" s="4" t="str">
        <x:v>仅展示当前账号可管理且未解散的公会</x:v>
      </x:c>
      <x:c r="L43" s="4" t="str"/>
      <x:c r="M43" s="4" t="str">
        <x:v>未测</x:v>
      </x:c>
      <x:c r="N43" s="4" t="str"/>
      <x:c r="O43" s="4" t="str">
        <x:v>1. 来源（原型批注）：liveshow-proto/prototype/annotations/guild.js；guild-switch.html
2. 页面：guild-switch.html
3. 规则：BR-ADED6714754711
4. 场景：SC-0A8E3748EDF92F
5. 未动态验证</x:v>
      </x:c>
    </x:row>
    <x:row r="44" ht="54" customHeight="1">
      <x:c r="A44" s="4" t="n">
        <x:v>43</x:v>
      </x:c>
      <x:c r="B44" s="4" t="str">
        <x:v>GAUTH-0009</x:v>
      </x:c>
      <x:c r="C44" s="4" t="str">
        <x:v>公会账号</x:v>
      </x:c>
      <x:c r="D44" s="4" t="str">
        <x:v>选择公会（公会长视角）</x:v>
      </x:c>
      <x:c r="E44" s="4" t="str">
        <x:v>业务流程</x:v>
      </x:c>
      <x:c r="F44" s="4" t="str">
        <x:v>P2</x:v>
      </x:c>
      <x:c r="G44" s="4" t="str">
        <x:v>验证选择公会后的选择公会状态</x:v>
      </x:c>
      <x:c r="H44" s="4" t="str">
        <x:v>选择公会状态</x:v>
      </x:c>
      <x:c r="I44" s="4" t="str">
        <x:v>1. 公会长账号已登录且具备当前页面权限</x:v>
      </x:c>
      <x:c r="J44" s="4" t="str">
        <x:v>1. 进入选择公会
2. 选择公会</x:v>
      </x:c>
      <x:c r="K44" s="4" t="str">
        <x:v>更新当前公会</x:v>
      </x:c>
      <x:c r="L44" s="4" t="str"/>
      <x:c r="M44" s="4" t="str">
        <x:v>未测</x:v>
      </x:c>
      <x:c r="N44" s="4" t="str"/>
      <x:c r="O44" s="4" t="str">
        <x:v>1. 来源（原型批注）：liveshow-proto/prototype/annotations/guild.js；guild-switch.html
2. 页面：guild-switch.html
3. 规则：BR-5D57C4E3053559
4. 场景：SC-02151F6E5F0853
5. 未动态验证</x:v>
      </x:c>
    </x:row>
    <x:row r="45" ht="54" customHeight="1">
      <x:c r="A45" s="4" t="n">
        <x:v>44</x:v>
      </x:c>
      <x:c r="B45" s="4" t="str">
        <x:v>GAUTH-0010</x:v>
      </x:c>
      <x:c r="C45" s="4" t="str">
        <x:v>公会账号</x:v>
      </x:c>
      <x:c r="D45" s="4" t="str">
        <x:v>选择公会（公会长视角）</x:v>
      </x:c>
      <x:c r="E45" s="4" t="str">
        <x:v>功能需求</x:v>
      </x:c>
      <x:c r="F45" s="4" t="str">
        <x:v>P2</x:v>
      </x:c>
      <x:c r="G45" s="4" t="str">
        <x:v>验证选择公会可查看公会</x:v>
      </x:c>
      <x:c r="H45" s="4" t="str">
        <x:v>公会展示</x:v>
      </x:c>
      <x:c r="I45" s="4" t="str">
        <x:v>1. 公会长账号已登录且具备当前页面权限</x:v>
      </x:c>
      <x:c r="J45" s="4" t="str">
        <x:v>1. 进入选择公会
2. 查看公会</x:v>
      </x:c>
      <x:c r="K45" s="4" t="str">
        <x:v>选择公会显示“公会”</x:v>
      </x:c>
      <x:c r="L45" s="4" t="str"/>
      <x:c r="M45" s="4" t="str">
        <x:v>未测</x:v>
      </x:c>
      <x:c r="N45" s="4" t="str"/>
      <x:c r="O45" s="4" t="str">
        <x:v>1. 来源（原型批注）：liveshow-proto/prototype/annotations/guild.js；guild-switch.html
2. 页面：guild-switch.html
3. 规则：BR-7FE7DEE0D4AC94、BR-F398A6DAE5357A
4. 场景：SC-B6434806BB7B53
5. 未动态验证</x:v>
      </x:c>
    </x:row>
    <x:row r="46" ht="54" customHeight="1">
      <x:c r="A46" s="4" t="n">
        <x:v>45</x:v>
      </x:c>
      <x:c r="B46" s="4" t="str">
        <x:v>GAUTH-0011</x:v>
      </x:c>
      <x:c r="C46" s="4" t="str">
        <x:v>公会账号</x:v>
      </x:c>
      <x:c r="D46" s="4" t="str">
        <x:v>选择公会（公会长视角）</x:v>
      </x:c>
      <x:c r="E46" s="4" t="str">
        <x:v>功能需求</x:v>
      </x:c>
      <x:c r="F46" s="4" t="str">
        <x:v>P2</x:v>
      </x:c>
      <x:c r="G46" s="4" t="str">
        <x:v>验证选择公会可查看公会长</x:v>
      </x:c>
      <x:c r="H46" s="4" t="str">
        <x:v>公会长展示</x:v>
      </x:c>
      <x:c r="I46" s="4" t="str">
        <x:v>1. 公会长账号已登录且具备当前页面权限</x:v>
      </x:c>
      <x:c r="J46" s="4" t="str">
        <x:v>1. 进入选择公会
2. 查看公会长</x:v>
      </x:c>
      <x:c r="K46" s="4" t="str">
        <x:v>选择公会显示“公会长”</x:v>
      </x:c>
      <x:c r="L46" s="4" t="str"/>
      <x:c r="M46" s="4" t="str">
        <x:v>未测</x:v>
      </x:c>
      <x:c r="N46" s="4" t="str"/>
      <x:c r="O46" s="4" t="str">
        <x:v>1. 来源（原型批注）：liveshow-proto/prototype/annotations/guild.js；guild-switch.html
2. 页面：guild-switch.html
3. 规则：BR-0B522ADBBFBAF7
4. 场景：SC-57B551F0CBACEB
5. 未动态验证</x:v>
      </x:c>
    </x:row>
    <x:row r="47" ht="54" customHeight="1">
      <x:c r="A47" s="4" t="n">
        <x:v>46</x:v>
      </x:c>
      <x:c r="B47" s="4" t="str">
        <x:v>GAPP-0001</x:v>
      </x:c>
      <x:c r="C47" s="4" t="str">
        <x:v>审批管理</x:v>
      </x:c>
      <x:c r="D47" s="4" t="str">
        <x:v>入会申请（公会长视角）</x:v>
      </x:c>
      <x:c r="E47" s="4" t="str">
        <x:v>业务流程</x:v>
      </x:c>
      <x:c r="F47" s="4" t="str">
        <x:v>P2</x:v>
      </x:c>
      <x:c r="G47" s="4" t="str">
        <x:v>验证点击申请卡片后的入会申请状态</x:v>
      </x:c>
      <x:c r="H47" s="4" t="str">
        <x:v>入会申请状态</x:v>
      </x:c>
      <x:c r="I47" s="4" t="str">
        <x:v>1. 公会长账号已登录且具备当前页面权限</x:v>
      </x:c>
      <x:c r="J47" s="4" t="str">
        <x:v>1. 进入入会申请
2. 点击申请卡片</x:v>
      </x:c>
      <x:c r="K47" s="4" t="str">
        <x:v>进入申请详情</x:v>
      </x:c>
      <x:c r="L47" s="4" t="str"/>
      <x:c r="M47" s="4" t="str">
        <x:v>未测</x:v>
      </x:c>
      <x:c r="N47" s="4" t="str"/>
      <x:c r="O47" s="4" t="str">
        <x:v>1. 来源（原型批注）：liveshow-proto/prototype/annotations/guild.js；guild-join-review.html
2. 页面：guild-join-review.html
3. 规则：BR-7F4269A09EDAF7
4. 场景：SC-107A6B6859E9FE
5. 未动态验证</x:v>
      </x:c>
    </x:row>
    <x:row r="48" ht="54" customHeight="1">
      <x:c r="A48" s="4" t="n">
        <x:v>47</x:v>
      </x:c>
      <x:c r="B48" s="4" t="str">
        <x:v>GAPP-0002</x:v>
      </x:c>
      <x:c r="C48" s="4" t="str">
        <x:v>审批管理</x:v>
      </x:c>
      <x:c r="D48" s="4" t="str">
        <x:v>入会申请（公会长视角）</x:v>
      </x:c>
      <x:c r="E48" s="4" t="str">
        <x:v>业务流程</x:v>
      </x:c>
      <x:c r="F48" s="4" t="str">
        <x:v>P2</x:v>
      </x:c>
      <x:c r="G48" s="4" t="str">
        <x:v>验证公会通过后的入会申请状态</x:v>
      </x:c>
      <x:c r="H48" s="4" t="str">
        <x:v>入会申请状态</x:v>
      </x:c>
      <x:c r="I48" s="4" t="str">
        <x:v>1. 公会长账号已登录且具备当前页面权限
2. 公会通过</x:v>
      </x:c>
      <x:c r="J48" s="4" t="str">
        <x:v>1. 进入入会申请
2. 刷新入会申请</x:v>
      </x:c>
      <x:c r="K48" s="4" t="str">
        <x:v>进入平台终审</x:v>
      </x:c>
      <x:c r="L48" s="4" t="str"/>
      <x:c r="M48" s="4" t="str">
        <x:v>未测</x:v>
      </x:c>
      <x:c r="N48" s="4" t="str"/>
      <x:c r="O48" s="4" t="str">
        <x:v>1. 来源（原型批注）：liveshow-proto/prototype/annotations/guild.js；guild-join-review.html
2. 页面：guild-join-review.html
3. 规则：BR-69EAB8F34E854B
4. 场景：SC-EA0DE9DBF7DB8B
5. 未动态验证</x:v>
      </x:c>
    </x:row>
    <x:row r="49" ht="54" customHeight="1">
      <x:c r="A49" s="4" t="n">
        <x:v>48</x:v>
      </x:c>
      <x:c r="B49" s="4" t="str">
        <x:v>GAPP-0003</x:v>
      </x:c>
      <x:c r="C49" s="4" t="str">
        <x:v>审批管理</x:v>
      </x:c>
      <x:c r="D49" s="4" t="str">
        <x:v>入会申请（公会长视角）</x:v>
      </x:c>
      <x:c r="E49" s="4" t="str">
        <x:v>业务流程</x:v>
      </x:c>
      <x:c r="F49" s="4" t="str">
        <x:v>P2</x:v>
      </x:c>
      <x:c r="G49" s="4" t="str">
        <x:v>验证平台通过后的入会申请状态</x:v>
      </x:c>
      <x:c r="H49" s="4" t="str">
        <x:v>入会申请状态</x:v>
      </x:c>
      <x:c r="I49" s="4" t="str">
        <x:v>1. 公会长账号已登录且具备当前页面权限
2. 平台通过</x:v>
      </x:c>
      <x:c r="J49" s="4" t="str">
        <x:v>1. 进入入会申请
2. 刷新入会申请</x:v>
      </x:c>
      <x:c r="K49" s="4" t="str">
        <x:v>加入公会并获得主播身份</x:v>
      </x:c>
      <x:c r="L49" s="4" t="str"/>
      <x:c r="M49" s="4" t="str">
        <x:v>未测</x:v>
      </x:c>
      <x:c r="N49" s="4" t="str"/>
      <x:c r="O49" s="4" t="str">
        <x:v>1. 来源（原型批注）：liveshow-proto/prototype/annotations/guild.js；guild-join-review.html
2. 页面：guild-join-review.html
3. 规则：BR-60B35681D6D1F5
4. 场景：SC-834D82D8D63277
5. 未动态验证</x:v>
      </x:c>
    </x:row>
    <x:row r="50" ht="54" customHeight="1">
      <x:c r="A50" s="4" t="n">
        <x:v>49</x:v>
      </x:c>
      <x:c r="B50" s="4" t="str">
        <x:v>GAPP-0004</x:v>
      </x:c>
      <x:c r="C50" s="4" t="str">
        <x:v>审批管理</x:v>
      </x:c>
      <x:c r="D50" s="4" t="str">
        <x:v>入会申请（公会长视角）</x:v>
      </x:c>
      <x:c r="E50" s="4" t="str">
        <x:v>功能需求</x:v>
      </x:c>
      <x:c r="F50" s="4" t="str">
        <x:v>P2</x:v>
      </x:c>
      <x:c r="G50" s="4" t="str">
        <x:v>验证入会申请可查看申请人</x:v>
      </x:c>
      <x:c r="H50" s="4" t="str">
        <x:v>申请人展示</x:v>
      </x:c>
      <x:c r="I50" s="4" t="str">
        <x:v>1. 公会长账号已登录且具备当前页面权限</x:v>
      </x:c>
      <x:c r="J50" s="4" t="str">
        <x:v>1. 进入入会申请
2. 查看申请人</x:v>
      </x:c>
      <x:c r="K50" s="4" t="str">
        <x:v>入会申请显示“申请人”</x:v>
      </x:c>
      <x:c r="L50" s="4" t="str"/>
      <x:c r="M50" s="4" t="str">
        <x:v>未测</x:v>
      </x:c>
      <x:c r="N50" s="4" t="str"/>
      <x:c r="O50" s="4" t="str">
        <x:v>1. 来源（原型批注）：liveshow-proto/prototype/annotations/guild.js；guild-join-review.html
2. 页面：guild-join-review.html
3. 规则：BR-5D07DEA922C08D
4. 场景：SC-EBAA4B1EAC95E3
5. 未动态验证</x:v>
      </x:c>
    </x:row>
    <x:row r="51" ht="54" customHeight="1">
      <x:c r="A51" s="4" t="n">
        <x:v>50</x:v>
      </x:c>
      <x:c r="B51" s="4" t="str">
        <x:v>GAPP-0005</x:v>
      </x:c>
      <x:c r="C51" s="4" t="str">
        <x:v>审批管理</x:v>
      </x:c>
      <x:c r="D51" s="4" t="str">
        <x:v>入会申请（公会长视角）</x:v>
      </x:c>
      <x:c r="E51" s="4" t="str">
        <x:v>功能需求</x:v>
      </x:c>
      <x:c r="F51" s="4" t="str">
        <x:v>P2</x:v>
      </x:c>
      <x:c r="G51" s="4" t="str">
        <x:v>验证入会申请可查看申请时间</x:v>
      </x:c>
      <x:c r="H51" s="4" t="str">
        <x:v>申请时间展示</x:v>
      </x:c>
      <x:c r="I51" s="4" t="str">
        <x:v>1. 公会长账号已登录且具备当前页面权限</x:v>
      </x:c>
      <x:c r="J51" s="4" t="str">
        <x:v>1. 进入入会申请
2. 查看申请时间</x:v>
      </x:c>
      <x:c r="K51" s="4" t="str">
        <x:v>入会申请显示“申请时间”</x:v>
      </x:c>
      <x:c r="L51" s="4" t="str"/>
      <x:c r="M51" s="4" t="str">
        <x:v>未测</x:v>
      </x:c>
      <x:c r="N51" s="4" t="str"/>
      <x:c r="O51" s="4" t="str">
        <x:v>1. 来源（原型批注）：liveshow-proto/prototype/annotations/guild.js；guild-join-review.html
2. 页面：guild-join-review.html
3. 规则：BR-77CADDFCD170CD
4. 场景：SC-C42B0E0BE8EBE9
5. 未动态验证</x:v>
      </x:c>
    </x:row>
    <x:row r="52" ht="54" customHeight="1">
      <x:c r="A52" s="4" t="n">
        <x:v>51</x:v>
      </x:c>
      <x:c r="B52" s="4" t="str">
        <x:v>GAPP-0006</x:v>
      </x:c>
      <x:c r="C52" s="4" t="str">
        <x:v>审批管理</x:v>
      </x:c>
      <x:c r="D52" s="4" t="str">
        <x:v>入会申请（公会长视角）</x:v>
      </x:c>
      <x:c r="E52" s="4" t="str">
        <x:v>功能需求</x:v>
      </x:c>
      <x:c r="F52" s="4" t="str">
        <x:v>P2</x:v>
      </x:c>
      <x:c r="G52" s="4" t="str">
        <x:v>验证入会申请可查看状态</x:v>
      </x:c>
      <x:c r="H52" s="4" t="str">
        <x:v>状态展示</x:v>
      </x:c>
      <x:c r="I52" s="4" t="str">
        <x:v>1. 公会长账号已登录且具备当前页面权限</x:v>
      </x:c>
      <x:c r="J52" s="4" t="str">
        <x:v>1. 进入入会申请
2. 查看状态</x:v>
      </x:c>
      <x:c r="K52" s="4" t="str">
        <x:v>入会申请显示“状态”</x:v>
      </x:c>
      <x:c r="L52" s="4" t="str"/>
      <x:c r="M52" s="4" t="str">
        <x:v>未测</x:v>
      </x:c>
      <x:c r="N52" s="4" t="str"/>
      <x:c r="O52" s="4" t="str">
        <x:v>1. 来源（原型批注）：liveshow-proto/prototype/annotations/guild.js；guild-join-review.html
2. 页面：guild-join-review.html
3. 规则：BR-A35D1321D53FCA、BR-E1D92AE69D2EEB、BR-3E0638AA907BB1
4. 场景：SC-3B8E6319DDC2C2
5. 未动态验证</x:v>
      </x:c>
    </x:row>
    <x:row r="53" ht="54" customHeight="1">
      <x:c r="A53" s="4" t="n">
        <x:v>52</x:v>
      </x:c>
      <x:c r="B53" s="4" t="str">
        <x:v>GAPP-0007</x:v>
      </x:c>
      <x:c r="C53" s="4" t="str">
        <x:v>审批管理</x:v>
      </x:c>
      <x:c r="D53" s="4" t="str">
        <x:v>入会申请详情（公会长视角）</x:v>
      </x:c>
      <x:c r="E53" s="4" t="str">
        <x:v>业务流程</x:v>
      </x:c>
      <x:c r="F53" s="4" t="str">
        <x:v>P2</x:v>
      </x:c>
      <x:c r="G53" s="4" t="str">
        <x:v>验证成为主播后的入会申请详情状态</x:v>
      </x:c>
      <x:c r="H53" s="4" t="str">
        <x:v>入会申请详情状态</x:v>
      </x:c>
      <x:c r="I53" s="4" t="str">
        <x:v>1. 公会长账号已登录且具备当前页面权限
2. 成为主播</x:v>
      </x:c>
      <x:c r="J53" s="4" t="str">
        <x:v>1. 进入入会申请详情
2. 刷新入会申请详情</x:v>
      </x:c>
      <x:c r="K53" s="4" t="str">
        <x:v>可进入主播详情</x:v>
      </x:c>
      <x:c r="L53" s="4" t="str"/>
      <x:c r="M53" s="4" t="str">
        <x:v>未测</x:v>
      </x:c>
      <x:c r="N53" s="4" t="str"/>
      <x:c r="O53" s="4" t="str">
        <x:v>1. 来源（原型批注）：liveshow-proto/prototype/annotations/guild.js；guild-join-review-detail.html
2. 页面：guild-join-review-detail.html
3. 规则：BR-9AEF4F4B3DCBE9
4. 场景：SC-4775217E76A697
5. 未动态验证</x:v>
      </x:c>
    </x:row>
    <x:row r="54" ht="54" customHeight="1">
      <x:c r="A54" s="4" t="n">
        <x:v>53</x:v>
      </x:c>
      <x:c r="B54" s="4" t="str">
        <x:v>GAPP-0008</x:v>
      </x:c>
      <x:c r="C54" s="4" t="str">
        <x:v>审批管理</x:v>
      </x:c>
      <x:c r="D54" s="4" t="str">
        <x:v>入会申请详情（公会长视角）</x:v>
      </x:c>
      <x:c r="E54" s="4" t="str">
        <x:v>业务流程</x:v>
      </x:c>
      <x:c r="F54" s="4" t="str">
        <x:v>P2</x:v>
      </x:c>
      <x:c r="G54" s="4" t="str">
        <x:v>验证平台通过后的入会申请详情状态</x:v>
      </x:c>
      <x:c r="H54" s="4" t="str">
        <x:v>入会申请详情状态</x:v>
      </x:c>
      <x:c r="I54" s="4" t="str">
        <x:v>1. 公会长账号已登录且具备当前页面权限
2. 平台通过</x:v>
      </x:c>
      <x:c r="J54" s="4" t="str">
        <x:v>1. 进入入会申请详情
2. 刷新入会申请详情</x:v>
      </x:c>
      <x:c r="K54" s="4" t="str">
        <x:v>加入当前公会并获得主播身份</x:v>
      </x:c>
      <x:c r="L54" s="4" t="str"/>
      <x:c r="M54" s="4" t="str">
        <x:v>未测</x:v>
      </x:c>
      <x:c r="N54" s="4" t="str"/>
      <x:c r="O54" s="4" t="str">
        <x:v>1. 来源（原型批注）：liveshow-proto/prototype/annotations/guild.js；guild-join-review-detail.html
2. 页面：guild-join-review-detail.html
3. 规则：BR-734812AAB0EB95
4. 场景：SC-AE4968587D87DF
5. 未动态验证</x:v>
      </x:c>
    </x:row>
    <x:row r="55" ht="54" customHeight="1">
      <x:c r="A55" s="4" t="n">
        <x:v>54</x:v>
      </x:c>
      <x:c r="B55" s="4" t="str">
        <x:v>GAPP-0009</x:v>
      </x:c>
      <x:c r="C55" s="4" t="str">
        <x:v>审批管理</x:v>
      </x:c>
      <x:c r="D55" s="4" t="str">
        <x:v>入会申请详情（公会长视角）</x:v>
      </x:c>
      <x:c r="E55" s="4" t="str">
        <x:v>功能需求</x:v>
      </x:c>
      <x:c r="F55" s="4" t="str">
        <x:v>P2</x:v>
      </x:c>
      <x:c r="G55" s="4" t="str">
        <x:v>验证入会申请详情可查看驳回理由</x:v>
      </x:c>
      <x:c r="H55" s="4" t="str">
        <x:v>驳回理由展示</x:v>
      </x:c>
      <x:c r="I55" s="4" t="str">
        <x:v>1. 公会长账号已登录且具备当前页面权限</x:v>
      </x:c>
      <x:c r="J55" s="4" t="str">
        <x:v>1. 进入入会申请详情
2. 查看驳回理由</x:v>
      </x:c>
      <x:c r="K55" s="4" t="str">
        <x:v>入会申请详情显示“驳回理由”</x:v>
      </x:c>
      <x:c r="L55" s="4" t="str"/>
      <x:c r="M55" s="4" t="str">
        <x:v>未测</x:v>
      </x:c>
      <x:c r="N55" s="4" t="str"/>
      <x:c r="O55" s="4" t="str">
        <x:v>1. 来源（原型批注）：liveshow-proto/prototype/annotations/guild.js；guild-join-review-detail.html
2. 页面：guild-join-review-detail.html
3. 规则：BR-EDC458277E6EB2、BR-01C80F5D29CB9B
4. 场景：SC-FF4B3FD6B599B7
5. 未动态验证</x:v>
      </x:c>
    </x:row>
    <x:row r="56" ht="54" customHeight="1">
      <x:c r="A56" s="4" t="n">
        <x:v>55</x:v>
      </x:c>
      <x:c r="B56" s="4" t="str">
        <x:v>GAPP-0010</x:v>
      </x:c>
      <x:c r="C56" s="4" t="str">
        <x:v>审批管理</x:v>
      </x:c>
      <x:c r="D56" s="4" t="str">
        <x:v>入会申请详情（公会长视角）</x:v>
      </x:c>
      <x:c r="E56" s="4" t="str">
        <x:v>功能需求</x:v>
      </x:c>
      <x:c r="F56" s="4" t="str">
        <x:v>P2</x:v>
      </x:c>
      <x:c r="G56" s="4" t="str">
        <x:v>验证入会申请详情可查看认证材料</x:v>
      </x:c>
      <x:c r="H56" s="4" t="str">
        <x:v>认证材料展示</x:v>
      </x:c>
      <x:c r="I56" s="4" t="str">
        <x:v>1. 公会长账号已登录且具备当前页面权限</x:v>
      </x:c>
      <x:c r="J56" s="4" t="str">
        <x:v>1. 进入入会申请详情
2. 查看认证材料</x:v>
      </x:c>
      <x:c r="K56" s="4" t="str">
        <x:v>入会申请详情显示“认证材料”</x:v>
      </x:c>
      <x:c r="L56" s="4" t="str"/>
      <x:c r="M56" s="4" t="str">
        <x:v>未测</x:v>
      </x:c>
      <x:c r="N56" s="4" t="str"/>
      <x:c r="O56" s="4" t="str">
        <x:v>1. 来源（原型批注）：liveshow-proto/prototype/annotations/guild.js；guild-join-review-detail.html
2. 页面：guild-join-review-detail.html
3. 规则：BR-544AB4FEC69480
4. 场景：SC-A8803E80918336
5. 未动态验证</x:v>
      </x:c>
    </x:row>
    <x:row r="57" ht="54" customHeight="1">
      <x:c r="A57" s="4" t="n">
        <x:v>56</x:v>
      </x:c>
      <x:c r="B57" s="4" t="str">
        <x:v>GAPP-0011</x:v>
      </x:c>
      <x:c r="C57" s="4" t="str">
        <x:v>审批管理</x:v>
      </x:c>
      <x:c r="D57" s="4" t="str">
        <x:v>入会申请详情（公会长视角）</x:v>
      </x:c>
      <x:c r="E57" s="4" t="str">
        <x:v>功能需求</x:v>
      </x:c>
      <x:c r="F57" s="4" t="str">
        <x:v>P2</x:v>
      </x:c>
      <x:c r="G57" s="4" t="str">
        <x:v>验证入会申请详情可查看申请信息</x:v>
      </x:c>
      <x:c r="H57" s="4" t="str">
        <x:v>申请信息展示</x:v>
      </x:c>
      <x:c r="I57" s="4" t="str">
        <x:v>1. 公会长账号已登录且具备当前页面权限</x:v>
      </x:c>
      <x:c r="J57" s="4" t="str">
        <x:v>1. 进入入会申请详情
2. 查看申请信息</x:v>
      </x:c>
      <x:c r="K57" s="4" t="str">
        <x:v>入会申请详情显示“申请信息”</x:v>
      </x:c>
      <x:c r="L57" s="4" t="str"/>
      <x:c r="M57" s="4" t="str">
        <x:v>未测</x:v>
      </x:c>
      <x:c r="N57" s="4" t="str"/>
      <x:c r="O57" s="4" t="str">
        <x:v>1. 来源（原型批注）：liveshow-proto/prototype/annotations/guild.js；guild-join-review-detail.html
2. 页面：guild-join-review-detail.html
3. 规则：BR-DBD69111CC3D94
4. 场景：SC-A017F597AC7B49
5. 未动态验证</x:v>
      </x:c>
    </x:row>
    <x:row r="58" ht="54" customHeight="1">
      <x:c r="A58" s="4" t="n">
        <x:v>57</x:v>
      </x:c>
      <x:c r="B58" s="4" t="str">
        <x:v>GAPP-0012</x:v>
      </x:c>
      <x:c r="C58" s="4" t="str">
        <x:v>审批管理</x:v>
      </x:c>
      <x:c r="D58" s="4" t="str">
        <x:v>入会申请详情（公会长视角）</x:v>
      </x:c>
      <x:c r="E58" s="4" t="str">
        <x:v>功能需求</x:v>
      </x:c>
      <x:c r="F58" s="4" t="str">
        <x:v>P2</x:v>
      </x:c>
      <x:c r="G58" s="4" t="str">
        <x:v>验证入会申请详情可查看审核进度</x:v>
      </x:c>
      <x:c r="H58" s="4" t="str">
        <x:v>审核进度展示</x:v>
      </x:c>
      <x:c r="I58" s="4" t="str">
        <x:v>1. 公会长账号已登录且具备当前页面权限</x:v>
      </x:c>
      <x:c r="J58" s="4" t="str">
        <x:v>1. 进入入会申请详情
2. 查看审核进度</x:v>
      </x:c>
      <x:c r="K58" s="4" t="str">
        <x:v>入会申请详情显示“审核进度”</x:v>
      </x:c>
      <x:c r="L58" s="4" t="str"/>
      <x:c r="M58" s="4" t="str">
        <x:v>未测</x:v>
      </x:c>
      <x:c r="N58" s="4" t="str"/>
      <x:c r="O58" s="4" t="str">
        <x:v>1. 来源（原型批注）：liveshow-proto/prototype/annotations/guild.js；guild-join-review-detail.html
2. 页面：guild-join-review-detail.html
3. 规则：BR-084C0F8C76D71A
4. 场景：SC-45D0393A69F6EE
5. 未动态验证</x:v>
      </x:c>
    </x:row>
    <x:row r="59" ht="54" customHeight="1">
      <x:c r="A59" s="4" t="n">
        <x:v>58</x:v>
      </x:c>
      <x:c r="B59" s="4" t="str">
        <x:v>GAPP-0013</x:v>
      </x:c>
      <x:c r="C59" s="4" t="str">
        <x:v>审批管理</x:v>
      </x:c>
      <x:c r="D59" s="4" t="str">
        <x:v>退会申请（公会长视角）</x:v>
      </x:c>
      <x:c r="E59" s="4" t="str">
        <x:v>业务流程</x:v>
      </x:c>
      <x:c r="F59" s="4" t="str">
        <x:v>P2</x:v>
      </x:c>
      <x:c r="G59" s="4" t="str">
        <x:v>验证驳回后的退会申请状态</x:v>
      </x:c>
      <x:c r="H59" s="4" t="str">
        <x:v>退会申请状态</x:v>
      </x:c>
      <x:c r="I59" s="4" t="str">
        <x:v>1. 公会长账号已登录且具备当前页面权限
2. 驳回</x:v>
      </x:c>
      <x:c r="J59" s="4" t="str">
        <x:v>1. 进入退会申请
2. 刷新退会申请</x:v>
      </x:c>
      <x:c r="K59" s="4" t="str">
        <x:v>保留主播身份</x:v>
      </x:c>
      <x:c r="L59" s="4" t="str"/>
      <x:c r="M59" s="4" t="str">
        <x:v>未测</x:v>
      </x:c>
      <x:c r="N59" s="4" t="str"/>
      <x:c r="O59" s="4" t="str">
        <x:v>1. 来源（原型批注）：liveshow-proto/prototype/annotations/guild.js；guild-leave-review.html
2. 页面：guild-leave-review.html
3. 规则：BR-E3FDC74744C0A5
4. 场景：SC-D036849C4AE702
5. 未动态验证</x:v>
      </x:c>
    </x:row>
    <x:row r="60" ht="54" customHeight="1">
      <x:c r="A60" s="4" t="n">
        <x:v>59</x:v>
      </x:c>
      <x:c r="B60" s="4" t="str">
        <x:v>GAPP-0014</x:v>
      </x:c>
      <x:c r="C60" s="4" t="str">
        <x:v>审批管理</x:v>
      </x:c>
      <x:c r="D60" s="4" t="str">
        <x:v>退会申请（公会长视角）</x:v>
      </x:c>
      <x:c r="E60" s="4" t="str">
        <x:v>业务流程</x:v>
      </x:c>
      <x:c r="F60" s="4" t="str">
        <x:v>P2</x:v>
      </x:c>
      <x:c r="G60" s="4" t="str">
        <x:v>验证点击申请卡片后的退会申请状态</x:v>
      </x:c>
      <x:c r="H60" s="4" t="str">
        <x:v>退会申请状态</x:v>
      </x:c>
      <x:c r="I60" s="4" t="str">
        <x:v>1. 公会长账号已登录且具备当前页面权限</x:v>
      </x:c>
      <x:c r="J60" s="4" t="str">
        <x:v>1. 进入退会申请
2. 点击申请卡片</x:v>
      </x:c>
      <x:c r="K60" s="4" t="str">
        <x:v>进入申请详情</x:v>
      </x:c>
      <x:c r="L60" s="4" t="str"/>
      <x:c r="M60" s="4" t="str">
        <x:v>未测</x:v>
      </x:c>
      <x:c r="N60" s="4" t="str"/>
      <x:c r="O60" s="4" t="str">
        <x:v>1. 来源（原型批注）：liveshow-proto/prototype/annotations/guild.js；guild-leave-review.html
2. 页面：guild-leave-review.html
3. 规则：BR-FE55017F5742E2
4. 场景：SC-74F07B05DA73C3
5. 未动态验证</x:v>
      </x:c>
    </x:row>
    <x:row r="61" ht="54" customHeight="1">
      <x:c r="A61" s="4" t="n">
        <x:v>60</x:v>
      </x:c>
      <x:c r="B61" s="4" t="str">
        <x:v>GAPP-0015</x:v>
      </x:c>
      <x:c r="C61" s="4" t="str">
        <x:v>审批管理</x:v>
      </x:c>
      <x:c r="D61" s="4" t="str">
        <x:v>退会申请（公会长视角）</x:v>
      </x:c>
      <x:c r="E61" s="4" t="str">
        <x:v>功能需求</x:v>
      </x:c>
      <x:c r="F61" s="4" t="str">
        <x:v>P2</x:v>
      </x:c>
      <x:c r="G61" s="4" t="str">
        <x:v>验证退会申请可查看申请人</x:v>
      </x:c>
      <x:c r="H61" s="4" t="str">
        <x:v>申请人展示</x:v>
      </x:c>
      <x:c r="I61" s="4" t="str">
        <x:v>1. 公会长账号已登录且具备当前页面权限</x:v>
      </x:c>
      <x:c r="J61" s="4" t="str">
        <x:v>1. 进入退会申请
2. 查看申请人</x:v>
      </x:c>
      <x:c r="K61" s="4" t="str">
        <x:v>退会申请显示“申请人”</x:v>
      </x:c>
      <x:c r="L61" s="4" t="str"/>
      <x:c r="M61" s="4" t="str">
        <x:v>未测</x:v>
      </x:c>
      <x:c r="N61" s="4" t="str"/>
      <x:c r="O61" s="4" t="str">
        <x:v>1. 来源（原型批注）：liveshow-proto/prototype/annotations/guild.js；guild-leave-review.html
2. 页面：guild-leave-review.html
3. 规则：BR-A8895003FA07AD
4. 场景：SC-7B5E04589277CD
5. 未动态验证</x:v>
      </x:c>
    </x:row>
    <x:row r="62" ht="54" customHeight="1">
      <x:c r="A62" s="4" t="n">
        <x:v>61</x:v>
      </x:c>
      <x:c r="B62" s="4" t="str">
        <x:v>GAPP-0016</x:v>
      </x:c>
      <x:c r="C62" s="4" t="str">
        <x:v>审批管理</x:v>
      </x:c>
      <x:c r="D62" s="4" t="str">
        <x:v>退会申请（公会长视角）</x:v>
      </x:c>
      <x:c r="E62" s="4" t="str">
        <x:v>功能需求</x:v>
      </x:c>
      <x:c r="F62" s="4" t="str">
        <x:v>P2</x:v>
      </x:c>
      <x:c r="G62" s="4" t="str">
        <x:v>验证退会申请可查看申请时间</x:v>
      </x:c>
      <x:c r="H62" s="4" t="str">
        <x:v>申请时间展示</x:v>
      </x:c>
      <x:c r="I62" s="4" t="str">
        <x:v>1. 公会长账号已登录且具备当前页面权限</x:v>
      </x:c>
      <x:c r="J62" s="4" t="str">
        <x:v>1. 进入退会申请
2. 查看申请时间</x:v>
      </x:c>
      <x:c r="K62" s="4" t="str">
        <x:v>退会申请显示“申请时间”</x:v>
      </x:c>
      <x:c r="L62" s="4" t="str"/>
      <x:c r="M62" s="4" t="str">
        <x:v>未测</x:v>
      </x:c>
      <x:c r="N62" s="4" t="str"/>
      <x:c r="O62" s="4" t="str">
        <x:v>1. 来源（原型批注）：liveshow-proto/prototype/annotations/guild.js；guild-leave-review.html
2. 页面：guild-leave-review.html
3. 规则：BR-446511A4403452
4. 场景：SC-647050935CE709
5. 未动态验证</x:v>
      </x:c>
    </x:row>
    <x:row r="63" ht="54" customHeight="1">
      <x:c r="A63" s="4" t="n">
        <x:v>62</x:v>
      </x:c>
      <x:c r="B63" s="4" t="str">
        <x:v>GAPP-0017</x:v>
      </x:c>
      <x:c r="C63" s="4" t="str">
        <x:v>审批管理</x:v>
      </x:c>
      <x:c r="D63" s="4" t="str">
        <x:v>退会申请（公会长视角）</x:v>
      </x:c>
      <x:c r="E63" s="4" t="str">
        <x:v>功能需求</x:v>
      </x:c>
      <x:c r="F63" s="4" t="str">
        <x:v>P2</x:v>
      </x:c>
      <x:c r="G63" s="4" t="str">
        <x:v>验证退会申请可查看状态</x:v>
      </x:c>
      <x:c r="H63" s="4" t="str">
        <x:v>状态展示</x:v>
      </x:c>
      <x:c r="I63" s="4" t="str">
        <x:v>1. 公会长账号已登录且具备当前页面权限</x:v>
      </x:c>
      <x:c r="J63" s="4" t="str">
        <x:v>1. 进入退会申请
2. 查看状态</x:v>
      </x:c>
      <x:c r="K63" s="4" t="str">
        <x:v>退会申请显示“状态”</x:v>
      </x:c>
      <x:c r="L63" s="4" t="str"/>
      <x:c r="M63" s="4" t="str">
        <x:v>未测</x:v>
      </x:c>
      <x:c r="N63" s="4" t="str"/>
      <x:c r="O63" s="4" t="str">
        <x:v>1. 来源（原型批注）：liveshow-proto/prototype/annotations/guild.js；guild-leave-review.html
2. 页面：guild-leave-review.html
3. 规则：BR-7052DC689E1B50
4. 场景：SC-7B1D1E457A155D
5. 未动态验证</x:v>
      </x:c>
    </x:row>
    <x:row r="64" ht="54" customHeight="1">
      <x:c r="A64" s="4" t="n">
        <x:v>63</x:v>
      </x:c>
      <x:c r="B64" s="4" t="str">
        <x:v>GAPP-0018</x:v>
      </x:c>
      <x:c r="C64" s="4" t="str">
        <x:v>审批管理</x:v>
      </x:c>
      <x:c r="D64" s="4" t="str">
        <x:v>退会申请详情（公会长视角）</x:v>
      </x:c>
      <x:c r="E64" s="4" t="str">
        <x:v>功能需求</x:v>
      </x:c>
      <x:c r="F64" s="4" t="str">
        <x:v>P2</x:v>
      </x:c>
      <x:c r="G64" s="4" t="str">
        <x:v>验证驳回理由时的退会申请详情结果</x:v>
      </x:c>
      <x:c r="H64" s="4" t="str">
        <x:v>退会申请详情条件结果</x:v>
      </x:c>
      <x:c r="I64" s="4" t="str">
        <x:v>1. 公会长账号已登录且具备当前页面权限
2. 驳回理由</x:v>
      </x:c>
      <x:c r="J64" s="4" t="str">
        <x:v>1. 进入退会申请详情
2. 查看退会申请详情</x:v>
      </x:c>
      <x:c r="K64" s="4" t="str">
        <x:v>驳回理由显示在驳回节点下</x:v>
      </x:c>
      <x:c r="L64" s="4" t="str"/>
      <x:c r="M64" s="4" t="str">
        <x:v>未测</x:v>
      </x:c>
      <x:c r="N64" s="4" t="str"/>
      <x:c r="O64" s="4" t="str">
        <x:v>1. 来源（原型批注）：liveshow-proto/prototype/annotations/guild.js；guild-leave-review-detail.html
2. 页面：guild-leave-review-detail.html
3. 规则：BR-CD4B074A2332FE
4. 场景：SC-CA3A39B900133F
5. 未动态验证</x:v>
      </x:c>
    </x:row>
    <x:row r="65" ht="54" customHeight="1">
      <x:c r="A65" s="4" t="n">
        <x:v>64</x:v>
      </x:c>
      <x:c r="B65" s="4" t="str">
        <x:v>GAPP-0019</x:v>
      </x:c>
      <x:c r="C65" s="4" t="str">
        <x:v>审批管理</x:v>
      </x:c>
      <x:c r="D65" s="4" t="str">
        <x:v>退会申请详情（公会长视角）</x:v>
      </x:c>
      <x:c r="E65" s="4" t="str">
        <x:v>功能需求</x:v>
      </x:c>
      <x:c r="F65" s="4" t="str">
        <x:v>P2</x:v>
      </x:c>
      <x:c r="G65" s="4" t="str">
        <x:v>验证退会申请详情可查看处理信息</x:v>
      </x:c>
      <x:c r="H65" s="4" t="str">
        <x:v>处理信息展示</x:v>
      </x:c>
      <x:c r="I65" s="4" t="str">
        <x:v>1. 公会长账号已登录且具备当前页面权限</x:v>
      </x:c>
      <x:c r="J65" s="4" t="str">
        <x:v>1. 进入退会申请详情
2. 查看处理信息</x:v>
      </x:c>
      <x:c r="K65" s="4" t="str">
        <x:v>退会申请详情显示“处理信息”</x:v>
      </x:c>
      <x:c r="L65" s="4" t="str"/>
      <x:c r="M65" s="4" t="str">
        <x:v>未测</x:v>
      </x:c>
      <x:c r="N65" s="4" t="str"/>
      <x:c r="O65" s="4" t="str">
        <x:v>1. 来源（原型批注）：liveshow-proto/prototype/annotations/guild.js；guild-leave-review-detail.html
2. 页面：guild-leave-review-detail.html
3. 规则：BR-DDA01C44E7A75E、BR-CD4B074A2332FE
4. 场景：SC-EE306BCF983C1D
5. 未动态验证</x:v>
      </x:c>
    </x:row>
    <x:row r="66" ht="54" customHeight="1">
      <x:c r="A66" s="4" t="n">
        <x:v>65</x:v>
      </x:c>
      <x:c r="B66" s="4" t="str">
        <x:v>GAPP-0020</x:v>
      </x:c>
      <x:c r="C66" s="4" t="str">
        <x:v>审批管理</x:v>
      </x:c>
      <x:c r="D66" s="4" t="str">
        <x:v>退会申请详情（公会长视角）</x:v>
      </x:c>
      <x:c r="E66" s="4" t="str">
        <x:v>功能需求</x:v>
      </x:c>
      <x:c r="F66" s="4" t="str">
        <x:v>P2</x:v>
      </x:c>
      <x:c r="G66" s="4" t="str">
        <x:v>验证退会申请详情可查看加入时间</x:v>
      </x:c>
      <x:c r="H66" s="4" t="str">
        <x:v>加入时间展示</x:v>
      </x:c>
      <x:c r="I66" s="4" t="str">
        <x:v>1. 公会长账号已登录且具备当前页面权限</x:v>
      </x:c>
      <x:c r="J66" s="4" t="str">
        <x:v>1. 进入退会申请详情
2. 查看加入时间</x:v>
      </x:c>
      <x:c r="K66" s="4" t="str">
        <x:v>退会申请详情显示“加入时间”</x:v>
      </x:c>
      <x:c r="L66" s="4" t="str"/>
      <x:c r="M66" s="4" t="str">
        <x:v>未测</x:v>
      </x:c>
      <x:c r="N66" s="4" t="str"/>
      <x:c r="O66" s="4" t="str">
        <x:v>1. 来源（原型批注）：liveshow-proto/prototype/annotations/guild.js；guild-leave-review-detail.html
2. 页面：guild-leave-review-detail.html
3. 规则：BR-023B21B570DCA9
4. 场景：SC-A3AD26428F227B
5. 未动态验证</x:v>
      </x:c>
    </x:row>
    <x:row r="67" ht="54" customHeight="1">
      <x:c r="A67" s="4" t="n">
        <x:v>66</x:v>
      </x:c>
      <x:c r="B67" s="4" t="str">
        <x:v>GAPP-0021</x:v>
      </x:c>
      <x:c r="C67" s="4" t="str">
        <x:v>审批管理</x:v>
      </x:c>
      <x:c r="D67" s="4" t="str">
        <x:v>退会申请详情（公会长视角）</x:v>
      </x:c>
      <x:c r="E67" s="4" t="str">
        <x:v>功能需求</x:v>
      </x:c>
      <x:c r="F67" s="4" t="str">
        <x:v>P2</x:v>
      </x:c>
      <x:c r="G67" s="4" t="str">
        <x:v>验证退会申请详情可查看申请时间</x:v>
      </x:c>
      <x:c r="H67" s="4" t="str">
        <x:v>申请时间展示</x:v>
      </x:c>
      <x:c r="I67" s="4" t="str">
        <x:v>1. 公会长账号已登录且具备当前页面权限</x:v>
      </x:c>
      <x:c r="J67" s="4" t="str">
        <x:v>1. 进入退会申请详情
2. 查看申请时间</x:v>
      </x:c>
      <x:c r="K67" s="4" t="str">
        <x:v>退会申请详情显示“申请时间”</x:v>
      </x:c>
      <x:c r="L67" s="4" t="str"/>
      <x:c r="M67" s="4" t="str">
        <x:v>未测</x:v>
      </x:c>
      <x:c r="N67" s="4" t="str"/>
      <x:c r="O67" s="4" t="str">
        <x:v>1. 来源（原型批注）：liveshow-proto/prototype/annotations/guild.js；guild-leave-review-detail.html
2. 页面：guild-leave-review-detail.html
3. 规则：BR-E083FDA5F2BFEA
4. 场景：SC-839BFE2055C0E2
5. 未动态验证</x:v>
      </x:c>
    </x:row>
    <x:row r="68" ht="54" customHeight="1">
      <x:c r="A68" s="4" t="n">
        <x:v>67</x:v>
      </x:c>
      <x:c r="B68" s="4" t="str">
        <x:v>GAPP-0022</x:v>
      </x:c>
      <x:c r="C68" s="4" t="str">
        <x:v>审批管理</x:v>
      </x:c>
      <x:c r="D68" s="4" t="str">
        <x:v>退会申请详情（公会长视角）</x:v>
      </x:c>
      <x:c r="E68" s="4" t="str">
        <x:v>功能需求</x:v>
      </x:c>
      <x:c r="F68" s="4" t="str">
        <x:v>P2</x:v>
      </x:c>
      <x:c r="G68" s="4" t="str">
        <x:v>验证退会申请详情可查看退会原因</x:v>
      </x:c>
      <x:c r="H68" s="4" t="str">
        <x:v>退会原因展示</x:v>
      </x:c>
      <x:c r="I68" s="4" t="str">
        <x:v>1. 公会长账号已登录且具备当前页面权限</x:v>
      </x:c>
      <x:c r="J68" s="4" t="str">
        <x:v>1. 进入退会申请详情
2. 查看退会原因</x:v>
      </x:c>
      <x:c r="K68" s="4" t="str">
        <x:v>退会申请详情显示“退会原因”</x:v>
      </x:c>
      <x:c r="L68" s="4" t="str"/>
      <x:c r="M68" s="4" t="str">
        <x:v>未测</x:v>
      </x:c>
      <x:c r="N68" s="4" t="str"/>
      <x:c r="O68" s="4" t="str">
        <x:v>1. 来源（原型批注）：liveshow-proto/prototype/annotations/guild.js；guild-leave-review-detail.html
2. 页面：guild-leave-review-detail.html
3. 规则：BR-9954CE41ABBE96
4. 场景：SC-9889A35245EAB4
5. 未动态验证</x:v>
      </x:c>
    </x:row>
    <x:row r="69" ht="54" customHeight="1">
      <x:c r="A69" s="4" t="n">
        <x:v>68</x:v>
      </x:c>
      <x:c r="B69" s="4" t="str">
        <x:v>GDATA-0001</x:v>
      </x:c>
      <x:c r="C69" s="4" t="str">
        <x:v>数据与收益</x:v>
      </x:c>
      <x:c r="D69" s="4" t="str">
        <x:v>公会分成记录（公会长视角）</x:v>
      </x:c>
      <x:c r="E69" s="4" t="str">
        <x:v>逻辑校验</x:v>
      </x:c>
      <x:c r="F69" s="4" t="str">
        <x:v>P2</x:v>
      </x:c>
      <x:c r="G69" s="4" t="str">
        <x:v>验证公会分成记录按指定范围筛选</x:v>
      </x:c>
      <x:c r="H69" s="4" t="str">
        <x:v>公会分成记录数据范围</x:v>
      </x:c>
      <x:c r="I69" s="4" t="str">
        <x:v>1. 公会长账号已登录且具备当前页面权限
2. 存在符合和不符合“当前公会的财务上传结果，不提供日期筛选或在线分成计算”的记录</x:v>
      </x:c>
      <x:c r="J69" s="4" t="str">
        <x:v>1. 进入公会分成记录
2. 查看公会分成记录</x:v>
      </x:c>
      <x:c r="K69" s="4" t="str">
        <x:v>仅展示当前公会的财务上传结果，不提供日期筛选或在线分成计算</x:v>
      </x:c>
      <x:c r="L69" s="4" t="str"/>
      <x:c r="M69" s="4" t="str">
        <x:v>未测</x:v>
      </x:c>
      <x:c r="N69" s="4" t="str"/>
      <x:c r="O69" s="4" t="str">
        <x:v>1. 来源（原型批注）：liveshow-proto/prototype/annotations/guild.js；guild-share-income.html
2. 页面：guild-share-income.html
3. 规则：BR-9BB7A977922758
4. 场景：SC-AA0CBE5217CA27
5. 未动态验证</x:v>
      </x:c>
    </x:row>
    <x:row r="70" ht="54" customHeight="1">
      <x:c r="A70" s="4" t="n">
        <x:v>69</x:v>
      </x:c>
      <x:c r="B70" s="4" t="str">
        <x:v>GDATA-0002</x:v>
      </x:c>
      <x:c r="C70" s="4" t="str">
        <x:v>数据与收益</x:v>
      </x:c>
      <x:c r="D70" s="4" t="str">
        <x:v>公会分成记录（公会长视角）</x:v>
      </x:c>
      <x:c r="E70" s="4" t="str">
        <x:v>功能需求</x:v>
      </x:c>
      <x:c r="F70" s="4" t="str">
        <x:v>P2</x:v>
      </x:c>
      <x:c r="G70" s="4" t="str">
        <x:v>验证公会分成记录可查看分成金额</x:v>
      </x:c>
      <x:c r="H70" s="4" t="str">
        <x:v>分成金额展示</x:v>
      </x:c>
      <x:c r="I70" s="4" t="str">
        <x:v>1. 公会长账号已登录且具备当前页面权限</x:v>
      </x:c>
      <x:c r="J70" s="4" t="str">
        <x:v>1. 进入公会分成记录
2. 查看分成金额</x:v>
      </x:c>
      <x:c r="K70" s="4" t="str">
        <x:v>公会分成记录显示“分成金额”</x:v>
      </x:c>
      <x:c r="L70" s="4" t="str"/>
      <x:c r="M70" s="4" t="str">
        <x:v>未测</x:v>
      </x:c>
      <x:c r="N70" s="4" t="str"/>
      <x:c r="O70" s="4" t="str">
        <x:v>1. 来源（原型批注）：liveshow-proto/prototype/annotations/guild.js；guild-share-income.html
2. 页面：guild-share-income.html
3. 规则：BR-C6F3714828D563、BR-C8EF1678A58AFB、BR-790B544AE81195
4. 场景：SC-D53EAF753A8F89
5. 未动态验证</x:v>
      </x:c>
    </x:row>
    <x:row r="71" ht="54" customHeight="1">
      <x:c r="A71" s="4" t="n">
        <x:v>70</x:v>
      </x:c>
      <x:c r="B71" s="4" t="str">
        <x:v>GDATA-0003</x:v>
      </x:c>
      <x:c r="C71" s="4" t="str">
        <x:v>数据与收益</x:v>
      </x:c>
      <x:c r="D71" s="4" t="str">
        <x:v>公会分成记录（公会长视角）</x:v>
      </x:c>
      <x:c r="E71" s="4" t="str">
        <x:v>功能需求</x:v>
      </x:c>
      <x:c r="F71" s="4" t="str">
        <x:v>P2</x:v>
      </x:c>
      <x:c r="G71" s="4" t="str">
        <x:v>验证公会分成记录可查看分成时间</x:v>
      </x:c>
      <x:c r="H71" s="4" t="str">
        <x:v>分成时间展示</x:v>
      </x:c>
      <x:c r="I71" s="4" t="str">
        <x:v>1. 公会长账号已登录且具备当前页面权限</x:v>
      </x:c>
      <x:c r="J71" s="4" t="str">
        <x:v>1. 进入公会分成记录
2. 查看分成时间</x:v>
      </x:c>
      <x:c r="K71" s="4" t="str">
        <x:v>公会分成记录显示“分成时间”</x:v>
      </x:c>
      <x:c r="L71" s="4" t="str"/>
      <x:c r="M71" s="4" t="str">
        <x:v>未测</x:v>
      </x:c>
      <x:c r="N71" s="4" t="str"/>
      <x:c r="O71" s="4" t="str">
        <x:v>1. 来源（原型批注）：liveshow-proto/prototype/annotations/guild.js；guild-share-income.html
2. 页面：guild-share-income.html
3. 规则：BR-0F08472C7724C4
4. 场景：SC-2913CC0099A446
5. 未动态验证</x:v>
      </x:c>
    </x:row>
    <x:row r="72" ht="54" customHeight="1">
      <x:c r="A72" s="4" t="n">
        <x:v>71</x:v>
      </x:c>
      <x:c r="B72" s="4" t="str">
        <x:v>GDATA-0004</x:v>
      </x:c>
      <x:c r="C72" s="4" t="str">
        <x:v>数据与收益</x:v>
      </x:c>
      <x:c r="D72" s="4" t="str">
        <x:v>公会业绩（公会长视角）</x:v>
      </x:c>
      <x:c r="E72" s="4" t="str">
        <x:v>业务流程</x:v>
      </x:c>
      <x:c r="F72" s="4" t="str">
        <x:v>P2</x:v>
      </x:c>
      <x:c r="G72" s="4" t="str">
        <x:v>验证点击日数据行后的公会业绩状态</x:v>
      </x:c>
      <x:c r="H72" s="4" t="str">
        <x:v>公会业绩状态</x:v>
      </x:c>
      <x:c r="I72" s="4" t="str">
        <x:v>1. 公会长账号已登录且具备当前页面权限</x:v>
      </x:c>
      <x:c r="J72" s="4" t="str">
        <x:v>1. 进入公会业绩
2. 点击日数据行</x:v>
      </x:c>
      <x:c r="K72" s="4" t="str">
        <x:v>进入主播业绩并带入日期</x:v>
      </x:c>
      <x:c r="L72" s="4" t="str"/>
      <x:c r="M72" s="4" t="str">
        <x:v>未测</x:v>
      </x:c>
      <x:c r="N72" s="4" t="str"/>
      <x:c r="O72" s="4" t="str">
        <x:v>1. 来源（原型批注）：liveshow-proto/prototype/annotations/guild.js；guild-income.html
2. 页面：guild-income.html
3. 规则：BR-65671E1C24038F
4. 场景：SC-6A130DF8577000
5. 未动态验证</x:v>
      </x:c>
    </x:row>
    <x:row r="73" ht="54" customHeight="1">
      <x:c r="A73" s="4" t="n">
        <x:v>72</x:v>
      </x:c>
      <x:c r="B73" s="4" t="str">
        <x:v>GDATA-0005</x:v>
      </x:c>
      <x:c r="C73" s="4" t="str">
        <x:v>数据与收益</x:v>
      </x:c>
      <x:c r="D73" s="4" t="str">
        <x:v>公会业绩（公会长视角）</x:v>
      </x:c>
      <x:c r="E73" s="4" t="str">
        <x:v>业务流程</x:v>
      </x:c>
      <x:c r="F73" s="4" t="str">
        <x:v>P2</x:v>
      </x:c>
      <x:c r="G73" s="4" t="str">
        <x:v>验证点击指标卡片后的公会业绩状态</x:v>
      </x:c>
      <x:c r="H73" s="4" t="str">
        <x:v>公会业绩状态</x:v>
      </x:c>
      <x:c r="I73" s="4" t="str">
        <x:v>1. 公会长账号已登录且具备当前页面权限</x:v>
      </x:c>
      <x:c r="J73" s="4" t="str">
        <x:v>1. 进入公会业绩
2. 点击指标卡片</x:v>
      </x:c>
      <x:c r="K73" s="4" t="str">
        <x:v>切换对应趋势</x:v>
      </x:c>
      <x:c r="L73" s="4" t="str"/>
      <x:c r="M73" s="4" t="str">
        <x:v>未测</x:v>
      </x:c>
      <x:c r="N73" s="4" t="str"/>
      <x:c r="O73" s="4" t="str">
        <x:v>1. 来源（原型批注）：liveshow-proto/prototype/annotations/guild.js；guild-income.html
2. 页面：guild-income.html
3. 规则：BR-22D219783B3160
4. 场景：SC-797E9895F3181E
5. 未动态验证</x:v>
      </x:c>
    </x:row>
    <x:row r="74" ht="54" customHeight="1">
      <x:c r="A74" s="4" t="n">
        <x:v>73</x:v>
      </x:c>
      <x:c r="B74" s="4" t="str">
        <x:v>GDATA-0006</x:v>
      </x:c>
      <x:c r="C74" s="4" t="str">
        <x:v>数据与收益</x:v>
      </x:c>
      <x:c r="D74" s="4" t="str">
        <x:v>公会业绩（公会长视角）</x:v>
      </x:c>
      <x:c r="E74" s="4" t="str">
        <x:v>功能需求</x:v>
      </x:c>
      <x:c r="F74" s="4" t="str">
        <x:v>P2</x:v>
      </x:c>
      <x:c r="G74" s="4" t="str">
        <x:v>验证公会业绩的默认状态</x:v>
      </x:c>
      <x:c r="H74" s="4" t="str">
        <x:v>公会业绩默认值</x:v>
      </x:c>
      <x:c r="I74" s="4" t="str">
        <x:v>1. 公会长账号已登录且具备当前页面权限</x:v>
      </x:c>
      <x:c r="J74" s="4" t="str">
        <x:v>1. 进入公会业绩
2. 查看公会业绩</x:v>
      </x:c>
      <x:c r="K74" s="4" t="str">
        <x:v>日数据支持本周、上周、本月、上月、自定义，默认本月</x:v>
      </x:c>
      <x:c r="L74" s="4" t="str"/>
      <x:c r="M74" s="4" t="str">
        <x:v>未测</x:v>
      </x:c>
      <x:c r="N74" s="4" t="str"/>
      <x:c r="O74" s="4" t="str">
        <x:v>1. 来源（原型批注）：liveshow-proto/prototype/annotations/guild.js；guild-income.html
2. 页面：guild-income.html
3. 规则：BR-AC4B6AFB9CB030
4. 场景：SC-24D9F121513B69
5. 未动态验证</x:v>
      </x:c>
    </x:row>
    <x:row r="75" ht="54" customHeight="1">
      <x:c r="A75" s="4" t="n">
        <x:v>74</x:v>
      </x:c>
      <x:c r="B75" s="4" t="str">
        <x:v>GDATA-0007</x:v>
      </x:c>
      <x:c r="C75" s="4" t="str">
        <x:v>数据与收益</x:v>
      </x:c>
      <x:c r="D75" s="4" t="str">
        <x:v>公会业绩（公会长视角）</x:v>
      </x:c>
      <x:c r="E75" s="4" t="str">
        <x:v>功能需求</x:v>
      </x:c>
      <x:c r="F75" s="4" t="str">
        <x:v>P2</x:v>
      </x:c>
      <x:c r="G75" s="4" t="str">
        <x:v>验证公会业绩可查看日数据列表</x:v>
      </x:c>
      <x:c r="H75" s="4" t="str">
        <x:v>日数据列表展示</x:v>
      </x:c>
      <x:c r="I75" s="4" t="str">
        <x:v>1. 公会长账号已登录且具备当前页面权限</x:v>
      </x:c>
      <x:c r="J75" s="4" t="str">
        <x:v>1. 进入公会业绩
2. 查看日数据列表</x:v>
      </x:c>
      <x:c r="K75" s="4" t="str">
        <x:v>公会业绩显示“日数据列表”</x:v>
      </x:c>
      <x:c r="L75" s="4" t="str"/>
      <x:c r="M75" s="4" t="str">
        <x:v>未测</x:v>
      </x:c>
      <x:c r="N75" s="4" t="str"/>
      <x:c r="O75" s="4" t="str">
        <x:v>1. 来源（原型批注）：liveshow-proto/prototype/annotations/guild.js；guild-income.html
2. 页面：guild-income.html
3. 规则：BR-38A99FD5B4C935
4. 场景：SC-046CAC27FA9E82
5. 未动态验证</x:v>
      </x:c>
    </x:row>
    <x:row r="76" ht="54" customHeight="1">
      <x:c r="A76" s="4" t="n">
        <x:v>75</x:v>
      </x:c>
      <x:c r="B76" s="4" t="str">
        <x:v>GDATA-0008</x:v>
      </x:c>
      <x:c r="C76" s="4" t="str">
        <x:v>数据与收益</x:v>
      </x:c>
      <x:c r="D76" s="4" t="str">
        <x:v>公会业绩（公会长视角）</x:v>
      </x:c>
      <x:c r="E76" s="4" t="str">
        <x:v>功能需求</x:v>
      </x:c>
      <x:c r="F76" s="4" t="str">
        <x:v>P2</x:v>
      </x:c>
      <x:c r="G76" s="4" t="str">
        <x:v>验证公会业绩可查看月数据列表</x:v>
      </x:c>
      <x:c r="H76" s="4" t="str">
        <x:v>月数据列表展示</x:v>
      </x:c>
      <x:c r="I76" s="4" t="str">
        <x:v>1. 公会长账号已登录且具备当前页面权限</x:v>
      </x:c>
      <x:c r="J76" s="4" t="str">
        <x:v>1. 进入公会业绩
2. 查看月数据列表</x:v>
      </x:c>
      <x:c r="K76" s="4" t="str">
        <x:v>公会业绩显示“月数据列表”</x:v>
      </x:c>
      <x:c r="L76" s="4" t="str"/>
      <x:c r="M76" s="4" t="str">
        <x:v>未测</x:v>
      </x:c>
      <x:c r="N76" s="4" t="str"/>
      <x:c r="O76" s="4" t="str">
        <x:v>1. 来源（原型批注）：liveshow-proto/prototype/annotations/guild.js；guild-income.html
2. 页面：guild-income.html
3. 规则：BR-596481B1A98DDD
4. 场景：SC-9178C6399861C4
5. 未动态验证</x:v>
      </x:c>
    </x:row>
    <x:row r="77" ht="54" customHeight="1">
      <x:c r="A77" s="4" t="n">
        <x:v>76</x:v>
      </x:c>
      <x:c r="B77" s="4" t="str">
        <x:v>GDATA-0009</x:v>
      </x:c>
      <x:c r="C77" s="4" t="str">
        <x:v>数据与收益</x:v>
      </x:c>
      <x:c r="D77" s="4" t="str">
        <x:v>每日（公会长视角）</x:v>
      </x:c>
      <x:c r="E77" s="4" t="str">
        <x:v>业务流程</x:v>
      </x:c>
      <x:c r="F77" s="4" t="str">
        <x:v>P2</x:v>
      </x:c>
      <x:c r="G77" s="4" t="str">
        <x:v>验证点击主播后的每日状态</x:v>
      </x:c>
      <x:c r="H77" s="4" t="str">
        <x:v>每日状态</x:v>
      </x:c>
      <x:c r="I77" s="4" t="str">
        <x:v>1. 公会长账号已登录且具备当前页面权限</x:v>
      </x:c>
      <x:c r="J77" s="4" t="str">
        <x:v>1. 进入每日
2. 点击主播</x:v>
      </x:c>
      <x:c r="K77" s="4" t="str">
        <x:v>进入主播数据并带入当前日期</x:v>
      </x:c>
      <x:c r="L77" s="4" t="str"/>
      <x:c r="M77" s="4" t="str">
        <x:v>未测</x:v>
      </x:c>
      <x:c r="N77" s="4" t="str"/>
      <x:c r="O77" s="4" t="str">
        <x:v>1. 来源（原型批注）：liveshow-proto/prototype/annotations/guild.js；guild-income-day-detail.html
2. 页面：guild-income-day-detail.html
3. 规则：BR-502EAD43B2751A
4. 场景：SC-226E6B5A436DAC
5. 未动态验证</x:v>
      </x:c>
    </x:row>
    <x:row r="78" ht="54" customHeight="1">
      <x:c r="A78" s="4" t="n">
        <x:v>77</x:v>
      </x:c>
      <x:c r="B78" s="4" t="str">
        <x:v>GDATA-0010</x:v>
      </x:c>
      <x:c r="C78" s="4" t="str">
        <x:v>数据与收益</x:v>
      </x:c>
      <x:c r="D78" s="4" t="str">
        <x:v>每日（公会长视角）</x:v>
      </x:c>
      <x:c r="E78" s="4" t="str">
        <x:v>功能需求</x:v>
      </x:c>
      <x:c r="F78" s="4" t="str">
        <x:v>P2</x:v>
      </x:c>
      <x:c r="G78" s="4" t="str">
        <x:v>验证每日可查看开播状态</x:v>
      </x:c>
      <x:c r="H78" s="4" t="str">
        <x:v>开播状态展示</x:v>
      </x:c>
      <x:c r="I78" s="4" t="str">
        <x:v>1. 公会长账号已登录且具备当前页面权限</x:v>
      </x:c>
      <x:c r="J78" s="4" t="str">
        <x:v>1. 进入每日
2. 查看开播状态</x:v>
      </x:c>
      <x:c r="K78" s="4" t="str">
        <x:v>每日显示“开播状态”</x:v>
      </x:c>
      <x:c r="L78" s="4" t="str"/>
      <x:c r="M78" s="4" t="str">
        <x:v>未测</x:v>
      </x:c>
      <x:c r="N78" s="4" t="str"/>
      <x:c r="O78" s="4" t="str">
        <x:v>1. 来源（原型批注）：liveshow-proto/prototype/annotations/guild.js；guild-income-day-detail.html
2. 页面：guild-income-day-detail.html
3. 规则：BR-E7595AA73B22DC、BR-B26CCC04DE275E
4. 场景：SC-FBB083E7CC3A0C
5. 未动态验证</x:v>
      </x:c>
    </x:row>
    <x:row r="79" ht="54" customHeight="1">
      <x:c r="A79" s="4" t="n">
        <x:v>78</x:v>
      </x:c>
      <x:c r="B79" s="4" t="str">
        <x:v>GDATA-0011</x:v>
      </x:c>
      <x:c r="C79" s="4" t="str">
        <x:v>数据与收益</x:v>
      </x:c>
      <x:c r="D79" s="4" t="str">
        <x:v>每日（公会长视角）</x:v>
      </x:c>
      <x:c r="E79" s="4" t="str">
        <x:v>功能需求</x:v>
      </x:c>
      <x:c r="F79" s="4" t="str">
        <x:v>P2</x:v>
      </x:c>
      <x:c r="G79" s="4" t="str">
        <x:v>验证每日可查看日期</x:v>
      </x:c>
      <x:c r="H79" s="4" t="str">
        <x:v>日期展示</x:v>
      </x:c>
      <x:c r="I79" s="4" t="str">
        <x:v>1. 公会长账号已登录且具备当前页面权限</x:v>
      </x:c>
      <x:c r="J79" s="4" t="str">
        <x:v>1. 进入每日
2. 查看日期</x:v>
      </x:c>
      <x:c r="K79" s="4" t="str">
        <x:v>每日显示“日期”</x:v>
      </x:c>
      <x:c r="L79" s="4" t="str"/>
      <x:c r="M79" s="4" t="str">
        <x:v>未测</x:v>
      </x:c>
      <x:c r="N79" s="4" t="str"/>
      <x:c r="O79" s="4" t="str">
        <x:v>1. 来源（原型批注）：liveshow-proto/prototype/annotations/guild.js；guild-income-day-detail.html
2. 页面：guild-income-day-detail.html
3. 规则：BR-0A4AA33D88DC21
4. 场景：SC-766EB01F40B142
5. 未动态验证</x:v>
      </x:c>
    </x:row>
    <x:row r="80" ht="54" customHeight="1">
      <x:c r="A80" s="4" t="n">
        <x:v>79</x:v>
      </x:c>
      <x:c r="B80" s="4" t="str">
        <x:v>GDATA-0012</x:v>
      </x:c>
      <x:c r="C80" s="4" t="str">
        <x:v>数据与收益</x:v>
      </x:c>
      <x:c r="D80" s="4" t="str">
        <x:v>每日（公会长视角）</x:v>
      </x:c>
      <x:c r="E80" s="4" t="str">
        <x:v>功能需求</x:v>
      </x:c>
      <x:c r="F80" s="4" t="str">
        <x:v>P2</x:v>
      </x:c>
      <x:c r="G80" s="4" t="str">
        <x:v>验证每日可查看主播列表</x:v>
      </x:c>
      <x:c r="H80" s="4" t="str">
        <x:v>主播列表展示</x:v>
      </x:c>
      <x:c r="I80" s="4" t="str">
        <x:v>1. 公会长账号已登录且具备当前页面权限</x:v>
      </x:c>
      <x:c r="J80" s="4" t="str">
        <x:v>1. 进入每日
2. 查看主播列表</x:v>
      </x:c>
      <x:c r="K80" s="4" t="str">
        <x:v>每日显示“主播列表”</x:v>
      </x:c>
      <x:c r="L80" s="4" t="str"/>
      <x:c r="M80" s="4" t="str">
        <x:v>未测</x:v>
      </x:c>
      <x:c r="N80" s="4" t="str"/>
      <x:c r="O80" s="4" t="str">
        <x:v>1. 来源（原型批注）：liveshow-proto/prototype/annotations/guild.js；guild-income-day-detail.html
2. 页面：guild-income-day-detail.html
3. 规则：BR-2C28D02CA36A59
4. 场景：SC-178D3BD3C1E64C
5. 未动态验证</x:v>
      </x:c>
    </x:row>
    <x:row r="81" ht="54" customHeight="1">
      <x:c r="A81" s="4" t="n">
        <x:v>80</x:v>
      </x:c>
      <x:c r="B81" s="4" t="str">
        <x:v>GDATA-0013</x:v>
      </x:c>
      <x:c r="C81" s="4" t="str">
        <x:v>数据与收益</x:v>
      </x:c>
      <x:c r="D81" s="4" t="str">
        <x:v>每日（公会长视角）</x:v>
      </x:c>
      <x:c r="E81" s="4" t="str">
        <x:v>业务流程</x:v>
      </x:c>
      <x:c r="F81" s="4" t="str">
        <x:v>P2</x:v>
      </x:c>
      <x:c r="G81" s="4" t="str">
        <x:v>验证切换开播状态后的每日状态</x:v>
      </x:c>
      <x:c r="H81" s="4" t="str">
        <x:v>每日状态</x:v>
      </x:c>
      <x:c r="I81" s="4" t="str">
        <x:v>1. 公会长账号已登录且具备当前页面权限</x:v>
      </x:c>
      <x:c r="J81" s="4" t="str">
        <x:v>1. 进入每日
2. 切换开播状态</x:v>
      </x:c>
      <x:c r="K81" s="4" t="str">
        <x:v>更新列表</x:v>
      </x:c>
      <x:c r="L81" s="4" t="str"/>
      <x:c r="M81" s="4" t="str">
        <x:v>未测</x:v>
      </x:c>
      <x:c r="N81" s="4" t="str"/>
      <x:c r="O81" s="4" t="str">
        <x:v>1. 来源（原型批注）：liveshow-proto/prototype/annotations/guild.js；guild-income-day-detail.html
2. 页面：guild-income-day-detail.html
3. 规则：BR-F0733AB75D3177
4. 场景：SC-F3C723A93A05DB
5. 未动态验证</x:v>
      </x:c>
    </x:row>
    <x:row r="82" ht="54" customHeight="1">
      <x:c r="A82" s="4" t="n">
        <x:v>81</x:v>
      </x:c>
      <x:c r="B82" s="4" t="str">
        <x:v>GDATA-0014</x:v>
      </x:c>
      <x:c r="C82" s="4" t="str">
        <x:v>数据与收益</x:v>
      </x:c>
      <x:c r="D82" s="4" t="str">
        <x:v>违规记录（公会长视角）</x:v>
      </x:c>
      <x:c r="E82" s="4" t="str">
        <x:v>业务流程</x:v>
      </x:c>
      <x:c r="F82" s="4" t="str">
        <x:v>P2</x:v>
      </x:c>
      <x:c r="G82" s="4" t="str">
        <x:v>验证点击主播后的违规记录状态</x:v>
      </x:c>
      <x:c r="H82" s="4" t="str">
        <x:v>违规记录状态</x:v>
      </x:c>
      <x:c r="I82" s="4" t="str">
        <x:v>1. 公会长账号已登录且具备当前页面权限</x:v>
      </x:c>
      <x:c r="J82" s="4" t="str">
        <x:v>1. 进入违规记录
2. 点击主播</x:v>
      </x:c>
      <x:c r="K82" s="4" t="str">
        <x:v>进入主播详情</x:v>
      </x:c>
      <x:c r="L82" s="4" t="str"/>
      <x:c r="M82" s="4" t="str">
        <x:v>未测</x:v>
      </x:c>
      <x:c r="N82" s="4" t="str"/>
      <x:c r="O82" s="4" t="str">
        <x:v>1. 来源（原型批注）：liveshow-proto/prototype/annotations/guild.js；guild-all-violations.html
2. 页面：guild-all-violations.html
3. 规则：BR-374BD5E2A1BA94
4. 场景：SC-E29C85C25B17F7
5. 未动态验证</x:v>
      </x:c>
    </x:row>
    <x:row r="83" ht="54" customHeight="1">
      <x:c r="A83" s="4" t="n">
        <x:v>82</x:v>
      </x:c>
      <x:c r="B83" s="4" t="str">
        <x:v>GDATA-0015</x:v>
      </x:c>
      <x:c r="C83" s="4" t="str">
        <x:v>数据与收益</x:v>
      </x:c>
      <x:c r="D83" s="4" t="str">
        <x:v>违规记录（公会长视角）</x:v>
      </x:c>
      <x:c r="E83" s="4" t="str">
        <x:v>业务流程</x:v>
      </x:c>
      <x:c r="F83" s="4" t="str">
        <x:v>P2</x:v>
      </x:c>
      <x:c r="G83" s="4" t="str">
        <x:v>验证筛选变化后的违规记录状态</x:v>
      </x:c>
      <x:c r="H83" s="4" t="str">
        <x:v>违规记录状态</x:v>
      </x:c>
      <x:c r="I83" s="4" t="str">
        <x:v>1. 公会长账号已登录且具备当前页面权限
2. 筛选变化</x:v>
      </x:c>
      <x:c r="J83" s="4" t="str">
        <x:v>1. 进入违规记录
2. 刷新违规记录</x:v>
      </x:c>
      <x:c r="K83" s="4" t="str">
        <x:v>刷新记录</x:v>
      </x:c>
      <x:c r="L83" s="4" t="str"/>
      <x:c r="M83" s="4" t="str">
        <x:v>未测</x:v>
      </x:c>
      <x:c r="N83" s="4" t="str"/>
      <x:c r="O83" s="4" t="str">
        <x:v>1. 来源（原型批注）：liveshow-proto/prototype/annotations/guild.js；guild-all-violations.html
2. 页面：guild-all-violations.html
3. 规则：BR-E078D969CA6151
4. 场景：SC-15542119F0AB5D
5. 未动态验证</x:v>
      </x:c>
    </x:row>
    <x:row r="84" ht="54" customHeight="1">
      <x:c r="A84" s="4" t="n">
        <x:v>83</x:v>
      </x:c>
      <x:c r="B84" s="4" t="str">
        <x:v>GDATA-0016</x:v>
      </x:c>
      <x:c r="C84" s="4" t="str">
        <x:v>数据与收益</x:v>
      </x:c>
      <x:c r="D84" s="4" t="str">
        <x:v>违规记录（公会长视角）</x:v>
      </x:c>
      <x:c r="E84" s="4" t="str">
        <x:v>功能需求</x:v>
      </x:c>
      <x:c r="F84" s="4" t="str">
        <x:v>P2</x:v>
      </x:c>
      <x:c r="G84" s="4" t="str">
        <x:v>验证违规记录的默认状态</x:v>
      </x:c>
      <x:c r="H84" s="4" t="str">
        <x:v>违规记录默认值</x:v>
      </x:c>
      <x:c r="I84" s="4" t="str">
        <x:v>1. 公会长账号已登录且具备当前页面权限</x:v>
      </x:c>
      <x:c r="J84" s="4" t="str">
        <x:v>1. 进入违规记录
2. 查看违规记录</x:v>
      </x:c>
      <x:c r="K84" s="4" t="str">
        <x:v>主播支持多选，默认全部</x:v>
      </x:c>
      <x:c r="L84" s="4" t="str"/>
      <x:c r="M84" s="4" t="str">
        <x:v>未测</x:v>
      </x:c>
      <x:c r="N84" s="4" t="str"/>
      <x:c r="O84" s="4" t="str">
        <x:v>1. 来源（原型批注）：liveshow-proto/prototype/annotations/guild.js；guild-all-violations.html
2. 页面：guild-all-violations.html
3. 规则：BR-38A4291BD0ED9D
4. 场景：SC-618DB83F7B5AD6
5. 未动态验证</x:v>
      </x:c>
    </x:row>
    <x:row r="85" ht="54" customHeight="1">
      <x:c r="A85" s="4" t="n">
        <x:v>84</x:v>
      </x:c>
      <x:c r="B85" s="4" t="str">
        <x:v>GDATA-0017</x:v>
      </x:c>
      <x:c r="C85" s="4" t="str">
        <x:v>数据与收益</x:v>
      </x:c>
      <x:c r="D85" s="4" t="str">
        <x:v>违规记录（公会长视角）</x:v>
      </x:c>
      <x:c r="E85" s="4" t="str">
        <x:v>功能需求</x:v>
      </x:c>
      <x:c r="F85" s="4" t="str">
        <x:v>P2</x:v>
      </x:c>
      <x:c r="G85" s="4" t="str">
        <x:v>验证违规记录可查看处理结果</x:v>
      </x:c>
      <x:c r="H85" s="4" t="str">
        <x:v>处理结果展示</x:v>
      </x:c>
      <x:c r="I85" s="4" t="str">
        <x:v>1. 公会长账号已登录且具备当前页面权限</x:v>
      </x:c>
      <x:c r="J85" s="4" t="str">
        <x:v>1. 进入违规记录
2. 查看处理结果</x:v>
      </x:c>
      <x:c r="K85" s="4" t="str">
        <x:v>违规记录显示“处理结果”</x:v>
      </x:c>
      <x:c r="L85" s="4" t="str"/>
      <x:c r="M85" s="4" t="str">
        <x:v>未测</x:v>
      </x:c>
      <x:c r="N85" s="4" t="str"/>
      <x:c r="O85" s="4" t="str">
        <x:v>1. 来源（原型批注）：liveshow-proto/prototype/annotations/guild.js；guild-all-violations.html
2. 页面：guild-all-violations.html
3. 规则：BR-CF3FB1057159C0、BR-C5A6C92972DEF3
4. 场景：SC-788DC948A1D501
5. 未动态验证</x:v>
      </x:c>
    </x:row>
    <x:row r="86" ht="54" customHeight="1">
      <x:c r="A86" s="4" t="n">
        <x:v>85</x:v>
      </x:c>
      <x:c r="B86" s="4" t="str">
        <x:v>GDATA-0018</x:v>
      </x:c>
      <x:c r="C86" s="4" t="str">
        <x:v>数据与收益</x:v>
      </x:c>
      <x:c r="D86" s="4" t="str">
        <x:v>违规记录（公会长视角）</x:v>
      </x:c>
      <x:c r="E86" s="4" t="str">
        <x:v>功能需求</x:v>
      </x:c>
      <x:c r="F86" s="4" t="str">
        <x:v>P2</x:v>
      </x:c>
      <x:c r="G86" s="4" t="str">
        <x:v>验证违规记录可查看发生时间</x:v>
      </x:c>
      <x:c r="H86" s="4" t="str">
        <x:v>发生时间展示</x:v>
      </x:c>
      <x:c r="I86" s="4" t="str">
        <x:v>1. 公会长账号已登录且具备当前页面权限</x:v>
      </x:c>
      <x:c r="J86" s="4" t="str">
        <x:v>1. 进入违规记录
2. 查看发生时间</x:v>
      </x:c>
      <x:c r="K86" s="4" t="str">
        <x:v>违规记录显示“发生时间”</x:v>
      </x:c>
      <x:c r="L86" s="4" t="str"/>
      <x:c r="M86" s="4" t="str">
        <x:v>未测</x:v>
      </x:c>
      <x:c r="N86" s="4" t="str"/>
      <x:c r="O86" s="4" t="str">
        <x:v>1. 来源（原型批注）：liveshow-proto/prototype/annotations/guild.js；guild-all-violations.html
2. 页面：guild-all-violations.html
3. 规则：BR-A25B84ED02637B
4. 场景：SC-A8B8BCA831BFF3
5. 未动态验证</x:v>
      </x:c>
    </x:row>
    <x:row r="87" ht="54" customHeight="1">
      <x:c r="A87" s="4" t="n">
        <x:v>86</x:v>
      </x:c>
      <x:c r="B87" s="4" t="str">
        <x:v>GDATA-0019</x:v>
      </x:c>
      <x:c r="C87" s="4" t="str">
        <x:v>数据与收益</x:v>
      </x:c>
      <x:c r="D87" s="4" t="str">
        <x:v>违规记录（公会长视角）</x:v>
      </x:c>
      <x:c r="E87" s="4" t="str">
        <x:v>功能需求</x:v>
      </x:c>
      <x:c r="F87" s="4" t="str">
        <x:v>P2</x:v>
      </x:c>
      <x:c r="G87" s="4" t="str">
        <x:v>验证违规记录可查看违规类型</x:v>
      </x:c>
      <x:c r="H87" s="4" t="str">
        <x:v>违规类型展示</x:v>
      </x:c>
      <x:c r="I87" s="4" t="str">
        <x:v>1. 公会长账号已登录且具备当前页面权限</x:v>
      </x:c>
      <x:c r="J87" s="4" t="str">
        <x:v>1. 进入违规记录
2. 查看违规类型</x:v>
      </x:c>
      <x:c r="K87" s="4" t="str">
        <x:v>违规记录显示“违规类型”</x:v>
      </x:c>
      <x:c r="L87" s="4" t="str"/>
      <x:c r="M87" s="4" t="str">
        <x:v>未测</x:v>
      </x:c>
      <x:c r="N87" s="4" t="str"/>
      <x:c r="O87" s="4" t="str">
        <x:v>1. 来源（原型批注）：liveshow-proto/prototype/annotations/guild.js；guild-all-violations.html
2. 页面：guild-all-violations.html
3. 规则：BR-26850004315825
4. 场景：SC-19F8F9EE5E9841
5. 未动态验证</x:v>
      </x:c>
    </x:row>
    <x:row r="88" ht="54" customHeight="1">
      <x:c r="A88" s="4" t="n">
        <x:v>87</x:v>
      </x:c>
      <x:c r="B88" s="4" t="str">
        <x:v>GDATA-0020</x:v>
      </x:c>
      <x:c r="C88" s="4" t="str">
        <x:v>数据与收益</x:v>
      </x:c>
      <x:c r="D88" s="4" t="str">
        <x:v>违规记录（公会长视角）</x:v>
      </x:c>
      <x:c r="E88" s="4" t="str">
        <x:v>功能需求</x:v>
      </x:c>
      <x:c r="F88" s="4" t="str">
        <x:v>P2</x:v>
      </x:c>
      <x:c r="G88" s="4" t="str">
        <x:v>验证违规记录可查看违规主播</x:v>
      </x:c>
      <x:c r="H88" s="4" t="str">
        <x:v>违规主播展示</x:v>
      </x:c>
      <x:c r="I88" s="4" t="str">
        <x:v>1. 公会长账号已登录且具备当前页面权限</x:v>
      </x:c>
      <x:c r="J88" s="4" t="str">
        <x:v>1. 进入违规记录
2. 查看违规主播</x:v>
      </x:c>
      <x:c r="K88" s="4" t="str">
        <x:v>违规记录显示“违规主播”</x:v>
      </x:c>
      <x:c r="L88" s="4" t="str"/>
      <x:c r="M88" s="4" t="str">
        <x:v>未测</x:v>
      </x:c>
      <x:c r="N88" s="4" t="str"/>
      <x:c r="O88" s="4" t="str">
        <x:v>1. 来源（原型批注）：liveshow-proto/prototype/annotations/guild.js；guild-all-violations.html
2. 页面：guild-all-violations.html
3. 规则：BR-24F96541A7FEE5
4. 场景：SC-25579278DE5301
5. 未动态验证</x:v>
      </x:c>
    </x:row>
    <x:row r="89" ht="54" customHeight="1">
      <x:c r="A89" s="4" t="n">
        <x:v>88</x:v>
      </x:c>
      <x:c r="B89" s="4" t="str">
        <x:v>GDATA-0021</x:v>
      </x:c>
      <x:c r="C89" s="4" t="str">
        <x:v>数据与收益</x:v>
      </x:c>
      <x:c r="D89" s="4" t="str">
        <x:v>违规记录（公会长视角）</x:v>
      </x:c>
      <x:c r="E89" s="4" t="str">
        <x:v>功能需求</x:v>
      </x:c>
      <x:c r="F89" s="4" t="str">
        <x:v>P2</x:v>
      </x:c>
      <x:c r="G89" s="4" t="str">
        <x:v>验证无结果时的违规记录结果</x:v>
      </x:c>
      <x:c r="H89" s="4" t="str">
        <x:v>违规记录条件结果</x:v>
      </x:c>
      <x:c r="I89" s="4" t="str">
        <x:v>1. 公会长账号已登录且具备当前页面权限
2. 无结果</x:v>
      </x:c>
      <x:c r="J89" s="4" t="str">
        <x:v>1. 进入违规记录
2. 查看违规记录</x:v>
      </x:c>
      <x:c r="K89" s="4" t="str">
        <x:v>无结果显示“-”</x:v>
      </x:c>
      <x:c r="L89" s="4" t="str"/>
      <x:c r="M89" s="4" t="str">
        <x:v>未测</x:v>
      </x:c>
      <x:c r="N89" s="4" t="str"/>
      <x:c r="O89" s="4" t="str">
        <x:v>1. 来源（原型批注）：liveshow-proto/prototype/annotations/guild.js；guild-all-violations.html
2. 页面：guild-all-violations.html
3. 规则：BR-C5A6C92972DEF3
4. 场景：SC-59FDF4E2F3F7B4
5. 未动态验证</x:v>
      </x:c>
    </x:row>
    <x:row r="90" ht="54" customHeight="1">
      <x:c r="A90" s="4" t="n">
        <x:v>89</x:v>
      </x:c>
      <x:c r="B90" s="4" t="str">
        <x:v>GDATA-0022</x:v>
      </x:c>
      <x:c r="C90" s="4" t="str">
        <x:v>数据与收益</x:v>
      </x:c>
      <x:c r="D90" s="4" t="str">
        <x:v>选择主播（公会长视角）</x:v>
      </x:c>
      <x:c r="E90" s="4" t="str">
        <x:v>功能需求</x:v>
      </x:c>
      <x:c r="F90" s="4" t="str">
        <x:v>P2</x:v>
      </x:c>
      <x:c r="G90" s="4" t="str">
        <x:v>验证全部已选时的选择主播结果</x:v>
      </x:c>
      <x:c r="H90" s="4" t="str">
        <x:v>选择主播条件结果</x:v>
      </x:c>
      <x:c r="I90" s="4" t="str">
        <x:v>1. 公会长账号已登录且具备当前页面权限
2. 全部已选</x:v>
      </x:c>
      <x:c r="J90" s="4" t="str">
        <x:v>1. 进入选择主播
2. 查看选择主播</x:v>
      </x:c>
      <x:c r="K90" s="4" t="str">
        <x:v>切换为取消全选</x:v>
      </x:c>
      <x:c r="L90" s="4" t="str"/>
      <x:c r="M90" s="4" t="str">
        <x:v>未测</x:v>
      </x:c>
      <x:c r="N90" s="4" t="str"/>
      <x:c r="O90" s="4" t="str">
        <x:v>1. 来源（原型批注）：liveshow-proto/prototype/annotations/guild.js；guild-violation-host-select.html
2. 页面：guild-violation-host-select.html
3. 规则：BR-05E9CDF5DF55CA
4. 场景：SC-6BC2F6CE891AA1
5. 未动态验证</x:v>
      </x:c>
    </x:row>
    <x:row r="91" ht="54" customHeight="1">
      <x:c r="A91" s="4" t="n">
        <x:v>90</x:v>
      </x:c>
      <x:c r="B91" s="4" t="str">
        <x:v>GDATA-0023</x:v>
      </x:c>
      <x:c r="C91" s="4" t="str">
        <x:v>数据与收益</x:v>
      </x:c>
      <x:c r="D91" s="4" t="str">
        <x:v>选择主播（公会长视角）</x:v>
      </x:c>
      <x:c r="E91" s="4" t="str">
        <x:v>功能需求</x:v>
      </x:c>
      <x:c r="F91" s="4" t="str">
        <x:v>P2</x:v>
      </x:c>
      <x:c r="G91" s="4" t="str">
        <x:v>验证实时的选择主播结果</x:v>
      </x:c>
      <x:c r="H91" s="4" t="str">
        <x:v>选择主播条件结果</x:v>
      </x:c>
      <x:c r="I91" s="4" t="str">
        <x:v>1. 公会长账号已登录且具备当前页面权限
2. 实</x:v>
      </x:c>
      <x:c r="J91" s="4" t="str">
        <x:v>1. 进入选择主播
2. 查看选择主播</x:v>
      </x:c>
      <x:c r="K91" s="4" t="str">
        <x:v>显示已选择主播数</x:v>
      </x:c>
      <x:c r="L91" s="4" t="str"/>
      <x:c r="M91" s="4" t="str">
        <x:v>未测</x:v>
      </x:c>
      <x:c r="N91" s="4" t="str"/>
      <x:c r="O91" s="4" t="str">
        <x:v>1. 来源（原型批注）：liveshow-proto/prototype/annotations/guild.js；guild-violation-host-select.html
2. 页面：guild-violation-host-select.html
3. 规则：BR-AE16C83779D72E
4. 场景：SC-30B5CB671138DD
5. 未动态验证</x:v>
      </x:c>
    </x:row>
    <x:row r="92" ht="54" customHeight="1">
      <x:c r="A92" s="4" t="n">
        <x:v>91</x:v>
      </x:c>
      <x:c r="B92" s="4" t="str">
        <x:v>GDATA-0024</x:v>
      </x:c>
      <x:c r="C92" s="4" t="str">
        <x:v>数据与收益</x:v>
      </x:c>
      <x:c r="D92" s="4" t="str">
        <x:v>选择主播（公会长视角）</x:v>
      </x:c>
      <x:c r="E92" s="4" t="str">
        <x:v>业务流程</x:v>
      </x:c>
      <x:c r="F92" s="4" t="str">
        <x:v>P2</x:v>
      </x:c>
      <x:c r="G92" s="4" t="str">
        <x:v>验证完成后的选择主播状态</x:v>
      </x:c>
      <x:c r="H92" s="4" t="str">
        <x:v>选择主播状态</x:v>
      </x:c>
      <x:c r="I92" s="4" t="str">
        <x:v>1. 公会长账号已登录且具备当前页面权限
2. 完成</x:v>
      </x:c>
      <x:c r="J92" s="4" t="str">
        <x:v>1. 进入选择主播
2. 刷新选择主播</x:v>
      </x:c>
      <x:c r="K92" s="4" t="str">
        <x:v>返回违规记录、直播记录或主播分成记录</x:v>
      </x:c>
      <x:c r="L92" s="4" t="str"/>
      <x:c r="M92" s="4" t="str">
        <x:v>未测</x:v>
      </x:c>
      <x:c r="N92" s="4" t="str"/>
      <x:c r="O92" s="4" t="str">
        <x:v>1. 来源（原型批注）：liveshow-proto/prototype/annotations/guild.js；guild-violation-host-select.html
2. 页面：guild-violation-host-select.html
3. 规则：BR-3F433D4E74E3C4
4. 场景：SC-C1FF360862361A
5. 未动态验证</x:v>
      </x:c>
    </x:row>
    <x:row r="93" ht="54" customHeight="1">
      <x:c r="A93" s="4" t="n">
        <x:v>92</x:v>
      </x:c>
      <x:c r="B93" s="4" t="str">
        <x:v>GDATA-0025</x:v>
      </x:c>
      <x:c r="C93" s="4" t="str">
        <x:v>数据与收益</x:v>
      </x:c>
      <x:c r="D93" s="4" t="str">
        <x:v>选择主播（公会长视角）</x:v>
      </x:c>
      <x:c r="E93" s="4" t="str">
        <x:v>功能需求</x:v>
      </x:c>
      <x:c r="F93" s="4" t="str">
        <x:v>P2</x:v>
      </x:c>
      <x:c r="G93" s="4" t="str">
        <x:v>验证选择主播可查看全选</x:v>
      </x:c>
      <x:c r="H93" s="4" t="str">
        <x:v>全选展示</x:v>
      </x:c>
      <x:c r="I93" s="4" t="str">
        <x:v>1. 公会长账号已登录且具备当前页面权限</x:v>
      </x:c>
      <x:c r="J93" s="4" t="str">
        <x:v>1. 进入选择主播
2. 查看全选</x:v>
      </x:c>
      <x:c r="K93" s="4" t="str">
        <x:v>选择主播显示“全选”</x:v>
      </x:c>
      <x:c r="L93" s="4" t="str"/>
      <x:c r="M93" s="4" t="str">
        <x:v>未测</x:v>
      </x:c>
      <x:c r="N93" s="4" t="str"/>
      <x:c r="O93" s="4" t="str">
        <x:v>1. 来源（原型批注）：liveshow-proto/prototype/annotations/guild.js；guild-violation-host-select.html
2. 页面：guild-violation-host-select.html
3. 规则：BR-33EAC0D3FC51EE、BR-05E9CDF5DF55CA
4. 场景：SC-EBAA1FD4F179C4
5. 未动态验证</x:v>
      </x:c>
    </x:row>
    <x:row r="94" ht="54" customHeight="1">
      <x:c r="A94" s="4" t="n">
        <x:v>93</x:v>
      </x:c>
      <x:c r="B94" s="4" t="str">
        <x:v>GDATA-0026</x:v>
      </x:c>
      <x:c r="C94" s="4" t="str">
        <x:v>数据与收益</x:v>
      </x:c>
      <x:c r="D94" s="4" t="str">
        <x:v>选择主播（公会长视角）</x:v>
      </x:c>
      <x:c r="E94" s="4" t="str">
        <x:v>功能需求</x:v>
      </x:c>
      <x:c r="F94" s="4" t="str">
        <x:v>P2</x:v>
      </x:c>
      <x:c r="G94" s="4" t="str">
        <x:v>验证选择主播可查看搜索</x:v>
      </x:c>
      <x:c r="H94" s="4" t="str">
        <x:v>搜索展示</x:v>
      </x:c>
      <x:c r="I94" s="4" t="str">
        <x:v>1. 公会长账号已登录且具备当前页面权限</x:v>
      </x:c>
      <x:c r="J94" s="4" t="str">
        <x:v>1. 进入选择主播
2. 查看搜索</x:v>
      </x:c>
      <x:c r="K94" s="4" t="str">
        <x:v>选择主播显示“搜索”</x:v>
      </x:c>
      <x:c r="L94" s="4" t="str"/>
      <x:c r="M94" s="4" t="str">
        <x:v>未测</x:v>
      </x:c>
      <x:c r="N94" s="4" t="str"/>
      <x:c r="O94" s="4" t="str">
        <x:v>1. 来源（原型批注）：liveshow-proto/prototype/annotations/guild.js；guild-host-select.html、guild-violation-host-select.html
2. 页面：guild-violation-host-select.html
3. 规则：BR-869C9FE33C9927
4. 场景：SC-75A88DD62DF1C2
5. 未动态验证</x:v>
      </x:c>
    </x:row>
    <x:row r="95" ht="54" customHeight="1">
      <x:c r="A95" s="4" t="n">
        <x:v>94</x:v>
      </x:c>
      <x:c r="B95" s="4" t="str">
        <x:v>GDATA-0027</x:v>
      </x:c>
      <x:c r="C95" s="4" t="str">
        <x:v>数据与收益</x:v>
      </x:c>
      <x:c r="D95" s="4" t="str">
        <x:v>选择主播（公会长视角）</x:v>
      </x:c>
      <x:c r="E95" s="4" t="str">
        <x:v>功能需求</x:v>
      </x:c>
      <x:c r="F95" s="4" t="str">
        <x:v>P2</x:v>
      </x:c>
      <x:c r="G95" s="4" t="str">
        <x:v>验证选择主播可查看已选人数</x:v>
      </x:c>
      <x:c r="H95" s="4" t="str">
        <x:v>已选人数展示</x:v>
      </x:c>
      <x:c r="I95" s="4" t="str">
        <x:v>1. 公会长账号已登录且具备当前页面权限</x:v>
      </x:c>
      <x:c r="J95" s="4" t="str">
        <x:v>1. 进入选择主播
2. 查看已选人数</x:v>
      </x:c>
      <x:c r="K95" s="4" t="str">
        <x:v>选择主播显示“已选人数”</x:v>
      </x:c>
      <x:c r="L95" s="4" t="str"/>
      <x:c r="M95" s="4" t="str">
        <x:v>未测</x:v>
      </x:c>
      <x:c r="N95" s="4" t="str"/>
      <x:c r="O95" s="4" t="str">
        <x:v>1. 来源（原型批注）：liveshow-proto/prototype/annotations/guild.js；guild-violation-host-select.html
2. 页面：guild-violation-host-select.html
3. 规则：BR-AE16C83779D72E
4. 场景：SC-20D18C5DEBB1DD
5. 未动态验证</x:v>
      </x:c>
    </x:row>
    <x:row r="96" ht="54" customHeight="1">
      <x:c r="A96" s="4" t="n">
        <x:v>95</x:v>
      </x:c>
      <x:c r="B96" s="4" t="str">
        <x:v>GDATA-0028</x:v>
      </x:c>
      <x:c r="C96" s="4" t="str">
        <x:v>数据与收益</x:v>
      </x:c>
      <x:c r="D96" s="4" t="str">
        <x:v>直播场次详情（公会长视角）</x:v>
      </x:c>
      <x:c r="E96" s="4" t="str">
        <x:v>功能需求</x:v>
      </x:c>
      <x:c r="F96" s="4" t="str">
        <x:v>P1</x:v>
      </x:c>
      <x:c r="G96" s="4" t="str">
        <x:v>验证直播场次详情的默认状态</x:v>
      </x:c>
      <x:c r="H96" s="4" t="str">
        <x:v>直播场次详情默认值</x:v>
      </x:c>
      <x:c r="I96" s="4" t="str">
        <x:v>1. 公会长账号已登录且具备当前页面权限</x:v>
      </x:c>
      <x:c r="J96" s="4" t="str">
        <x:v>1. 进入直播场次详情
2. 查看直播场次详情</x:v>
      </x:c>
      <x:c r="K96" s="4" t="str">
        <x:v>幸运礼物按礼物总价值 × 后台配置比例计入，默认 1%，返奖不影响主播收益</x:v>
      </x:c>
      <x:c r="L96" s="4" t="str"/>
      <x:c r="M96" s="4" t="str">
        <x:v>未测</x:v>
      </x:c>
      <x:c r="N96" s="4" t="str"/>
      <x:c r="O96" s="4" t="str">
        <x:v>1. 来源（原型批注）：liveshow-proto/prototype/annotations/guild.js；guild-live-gift-detail.html
2. 页面：guild-live-gift-detail.html
3. 规则：BR-D15E06C7A4938E
4. 场景：SC-DEA6FD509F9DCF
5. 未动态验证</x:v>
      </x:c>
    </x:row>
    <x:row r="97" ht="54" customHeight="1">
      <x:c r="A97" s="4" t="n">
        <x:v>96</x:v>
      </x:c>
      <x:c r="B97" s="4" t="str">
        <x:v>GDATA-0029</x:v>
      </x:c>
      <x:c r="C97" s="4" t="str">
        <x:v>数据与收益</x:v>
      </x:c>
      <x:c r="D97" s="4" t="str">
        <x:v>直播场次详情（公会长视角）</x:v>
      </x:c>
      <x:c r="E97" s="4" t="str">
        <x:v>功能需求</x:v>
      </x:c>
      <x:c r="F97" s="4" t="str">
        <x:v>P1</x:v>
      </x:c>
      <x:c r="G97" s="4" t="str">
        <x:v>验证直播场次详情可查看场次信息</x:v>
      </x:c>
      <x:c r="H97" s="4" t="str">
        <x:v>场次信息展示</x:v>
      </x:c>
      <x:c r="I97" s="4" t="str">
        <x:v>1. 公会长账号已登录且具备当前页面权限</x:v>
      </x:c>
      <x:c r="J97" s="4" t="str">
        <x:v>1. 进入直播场次详情
2. 查看场次信息</x:v>
      </x:c>
      <x:c r="K97" s="4" t="str">
        <x:v>直播场次详情显示“场次信息”</x:v>
      </x:c>
      <x:c r="L97" s="4" t="str"/>
      <x:c r="M97" s="4" t="str">
        <x:v>未测</x:v>
      </x:c>
      <x:c r="N97" s="4" t="str"/>
      <x:c r="O97" s="4" t="str">
        <x:v>1. 来源（原型批注）：liveshow-proto/prototype/annotations/guild.js；guild-live-gift-detail.html
2. 页面：guild-live-gift-detail.html
3. 规则：BR-D31789A16B79AF
4. 场景：SC-939F3339FF691E
5. 未动态验证</x:v>
      </x:c>
    </x:row>
    <x:row r="98" ht="54" customHeight="1">
      <x:c r="A98" s="4" t="n">
        <x:v>97</x:v>
      </x:c>
      <x:c r="B98" s="4" t="str">
        <x:v>GDATA-0030</x:v>
      </x:c>
      <x:c r="C98" s="4" t="str">
        <x:v>数据与收益</x:v>
      </x:c>
      <x:c r="D98" s="4" t="str">
        <x:v>直播场次详情（公会长视角）</x:v>
      </x:c>
      <x:c r="E98" s="4" t="str">
        <x:v>功能需求</x:v>
      </x:c>
      <x:c r="F98" s="4" t="str">
        <x:v>P1</x:v>
      </x:c>
      <x:c r="G98" s="4" t="str">
        <x:v>验证直播场次详情可查看送礼列表</x:v>
      </x:c>
      <x:c r="H98" s="4" t="str">
        <x:v>送礼列表展示</x:v>
      </x:c>
      <x:c r="I98" s="4" t="str">
        <x:v>1. 公会长账号已登录且具备当前页面权限</x:v>
      </x:c>
      <x:c r="J98" s="4" t="str">
        <x:v>1. 进入直播场次详情
2. 查看送礼列表</x:v>
      </x:c>
      <x:c r="K98" s="4" t="str">
        <x:v>直播场次详情显示“送礼列表”</x:v>
      </x:c>
      <x:c r="L98" s="4" t="str"/>
      <x:c r="M98" s="4" t="str">
        <x:v>未测</x:v>
      </x:c>
      <x:c r="N98" s="4" t="str"/>
      <x:c r="O98" s="4" t="str">
        <x:v>1. 来源（原型批注）：liveshow-proto/prototype/annotations/guild.js；guild-live-gift-detail.html
2. 页面：guild-live-gift-detail.html
3. 规则：BR-1676417CCE6F4C
4. 场景：SC-E8766A0D8825C7
5. 未动态验证</x:v>
      </x:c>
    </x:row>
    <x:row r="99" ht="54" customHeight="1">
      <x:c r="A99" s="4" t="n">
        <x:v>98</x:v>
      </x:c>
      <x:c r="B99" s="4" t="str">
        <x:v>GDATA-0031</x:v>
      </x:c>
      <x:c r="C99" s="4" t="str">
        <x:v>数据与收益</x:v>
      </x:c>
      <x:c r="D99" s="4" t="str">
        <x:v>直播场次详情（公会长视角）</x:v>
      </x:c>
      <x:c r="E99" s="4" t="str">
        <x:v>功能需求</x:v>
      </x:c>
      <x:c r="F99" s="4" t="str">
        <x:v>P1</x:v>
      </x:c>
      <x:c r="G99" s="4" t="str">
        <x:v>验证直播场次详情可查看送礼详情</x:v>
      </x:c>
      <x:c r="H99" s="4" t="str">
        <x:v>送礼详情展示</x:v>
      </x:c>
      <x:c r="I99" s="4" t="str">
        <x:v>1. 公会长账号已登录且具备当前页面权限</x:v>
      </x:c>
      <x:c r="J99" s="4" t="str">
        <x:v>1. 进入直播场次详情
2. 查看送礼详情</x:v>
      </x:c>
      <x:c r="K99" s="4" t="str">
        <x:v>直播场次详情显示“送礼详情”</x:v>
      </x:c>
      <x:c r="L99" s="4" t="str"/>
      <x:c r="M99" s="4" t="str">
        <x:v>未测</x:v>
      </x:c>
      <x:c r="N99" s="4" t="str"/>
      <x:c r="O99" s="4" t="str">
        <x:v>1. 来源（原型批注）：liveshow-proto/prototype/annotations/guild.js；guild-live-gift-detail.html
2. 页面：guild-live-gift-detail.html
3. 规则：BR-674E4569D5A905
4. 场景：SC-A324CB990863ED
5. 未动态验证</x:v>
      </x:c>
    </x:row>
    <x:row r="100" ht="54" customHeight="1">
      <x:c r="A100" s="4" t="n">
        <x:v>99</x:v>
      </x:c>
      <x:c r="B100" s="4" t="str">
        <x:v>GDATA-0032</x:v>
      </x:c>
      <x:c r="C100" s="4" t="str">
        <x:v>数据与收益</x:v>
      </x:c>
      <x:c r="D100" s="4" t="str">
        <x:v>直播记录（公会长视角）</x:v>
      </x:c>
      <x:c r="E100" s="4" t="str">
        <x:v>业务流程</x:v>
      </x:c>
      <x:c r="F100" s="4" t="str">
        <x:v>P1</x:v>
      </x:c>
      <x:c r="G100" s="4" t="str">
        <x:v>验证点击直播场次后的直播记录状态</x:v>
      </x:c>
      <x:c r="H100" s="4" t="str">
        <x:v>直播记录状态</x:v>
      </x:c>
      <x:c r="I100" s="4" t="str">
        <x:v>1. 公会长账号已登录且具备当前页面权限</x:v>
      </x:c>
      <x:c r="J100" s="4" t="str">
        <x:v>1. 进入直播记录
2. 点击直播场次</x:v>
      </x:c>
      <x:c r="K100" s="4" t="str">
        <x:v>进入「直播场次详情」</x:v>
      </x:c>
      <x:c r="L100" s="4" t="str"/>
      <x:c r="M100" s="4" t="str">
        <x:v>未测</x:v>
      </x:c>
      <x:c r="N100" s="4" t="str"/>
      <x:c r="O100" s="4" t="str">
        <x:v>1. 来源（原型批注）：liveshow-proto/prototype/annotations/guild.js；guild-host-data.html
2. 页面：guild-host-data.html
3. 规则：BR-E40755CAC5D9A3
4. 场景：SC-06D617DA797C2A
5. 未动态验证</x:v>
      </x:c>
    </x:row>
    <x:row r="101" ht="54" customHeight="1">
      <x:c r="A101" s="4" t="n">
        <x:v>100</x:v>
      </x:c>
      <x:c r="B101" s="4" t="str">
        <x:v>GDATA-0033</x:v>
      </x:c>
      <x:c r="C101" s="4" t="str">
        <x:v>数据与收益</x:v>
      </x:c>
      <x:c r="D101" s="4" t="str">
        <x:v>直播记录（公会长视角）</x:v>
      </x:c>
      <x:c r="E101" s="4" t="str">
        <x:v>功能需求</x:v>
      </x:c>
      <x:c r="F101" s="4" t="str">
        <x:v>P1</x:v>
      </x:c>
      <x:c r="G101" s="4" t="str">
        <x:v>验证直播记录的默认状态</x:v>
      </x:c>
      <x:c r="H101" s="4" t="str">
        <x:v>直播记录默认值</x:v>
      </x:c>
      <x:c r="I101" s="4" t="str">
        <x:v>1. 公会长账号已登录且具备当前页面权限</x:v>
      </x:c>
      <x:c r="J101" s="4" t="str">
        <x:v>1. 进入直播记录
2. 查看直播记录</x:v>
      </x:c>
      <x:c r="K101" s="4" t="str">
        <x:v>主播支持多选，默认全部</x:v>
      </x:c>
      <x:c r="L101" s="4" t="str"/>
      <x:c r="M101" s="4" t="str">
        <x:v>未测</x:v>
      </x:c>
      <x:c r="N101" s="4" t="str"/>
      <x:c r="O101" s="4" t="str">
        <x:v>1. 来源（原型批注）：liveshow-proto/prototype/annotations/guild.js；guild-host-data.html
2. 页面：guild-host-data.html
3. 规则：BR-8875CB2A19F474
4. 场景：SC-D8EECDF804F18F
5. 未动态验证</x:v>
      </x:c>
    </x:row>
    <x:row r="102" ht="54" customHeight="1">
      <x:c r="A102" s="4" t="n">
        <x:v>101</x:v>
      </x:c>
      <x:c r="B102" s="4" t="str">
        <x:v>GDATA-0034</x:v>
      </x:c>
      <x:c r="C102" s="4" t="str">
        <x:v>数据与收益</x:v>
      </x:c>
      <x:c r="D102" s="4" t="str">
        <x:v>直播记录（公会长视角）</x:v>
      </x:c>
      <x:c r="E102" s="4" t="str">
        <x:v>功能需求</x:v>
      </x:c>
      <x:c r="F102" s="4" t="str">
        <x:v>P1</x:v>
      </x:c>
      <x:c r="G102" s="4" t="str">
        <x:v>验证直播记录可查看观众</x:v>
      </x:c>
      <x:c r="H102" s="4" t="str">
        <x:v>观众展示</x:v>
      </x:c>
      <x:c r="I102" s="4" t="str">
        <x:v>1. 公会长账号已登录且具备当前页面权限</x:v>
      </x:c>
      <x:c r="J102" s="4" t="str">
        <x:v>1. 进入直播记录
2. 查看观众</x:v>
      </x:c>
      <x:c r="K102" s="4" t="str">
        <x:v>直播记录显示“观众”</x:v>
      </x:c>
      <x:c r="L102" s="4" t="str"/>
      <x:c r="M102" s="4" t="str">
        <x:v>未测</x:v>
      </x:c>
      <x:c r="N102" s="4" t="str"/>
      <x:c r="O102" s="4" t="str">
        <x:v>1. 来源（原型批注）：liveshow-proto/prototype/annotations/guild.js；guild-host-data.html
2. 页面：guild-host-data.html
3. 规则：BR-6A678C043F3B3C
4. 场景：SC-1A8AA4526D5BB5
5. 未动态验证</x:v>
      </x:c>
    </x:row>
    <x:row r="103" ht="54" customHeight="1">
      <x:c r="A103" s="4" t="n">
        <x:v>102</x:v>
      </x:c>
      <x:c r="B103" s="4" t="str">
        <x:v>GDATA-0035</x:v>
      </x:c>
      <x:c r="C103" s="4" t="str">
        <x:v>数据与收益</x:v>
      </x:c>
      <x:c r="D103" s="4" t="str">
        <x:v>直播记录（公会长视角）</x:v>
      </x:c>
      <x:c r="E103" s="4" t="str">
        <x:v>功能需求</x:v>
      </x:c>
      <x:c r="F103" s="4" t="str">
        <x:v>P1</x:v>
      </x:c>
      <x:c r="G103" s="4" t="str">
        <x:v>验证直播记录可查看收礼数量</x:v>
      </x:c>
      <x:c r="H103" s="4" t="str">
        <x:v>收礼数量展示</x:v>
      </x:c>
      <x:c r="I103" s="4" t="str">
        <x:v>1. 公会长账号已登录且具备当前页面权限</x:v>
      </x:c>
      <x:c r="J103" s="4" t="str">
        <x:v>1. 进入直播记录
2. 查看收礼数量</x:v>
      </x:c>
      <x:c r="K103" s="4" t="str">
        <x:v>直播记录显示“收礼数量”</x:v>
      </x:c>
      <x:c r="L103" s="4" t="str"/>
      <x:c r="M103" s="4" t="str">
        <x:v>未测</x:v>
      </x:c>
      <x:c r="N103" s="4" t="str"/>
      <x:c r="O103" s="4" t="str">
        <x:v>1. 来源（原型批注）：liveshow-proto/prototype/annotations/guild.js；guild-host-data.html
2. 页面：guild-host-data.html
3. 规则：BR-79CA6F414B9D67
4. 场景：SC-087ACDA8C059EE
5. 未动态验证</x:v>
      </x:c>
    </x:row>
    <x:row r="104" ht="54" customHeight="1">
      <x:c r="A104" s="4" t="n">
        <x:v>103</x:v>
      </x:c>
      <x:c r="B104" s="4" t="str">
        <x:v>GDATA-0036</x:v>
      </x:c>
      <x:c r="C104" s="4" t="str">
        <x:v>数据与收益</x:v>
      </x:c>
      <x:c r="D104" s="4" t="str">
        <x:v>直播记录（公会长视角）</x:v>
      </x:c>
      <x:c r="E104" s="4" t="str">
        <x:v>功能需求</x:v>
      </x:c>
      <x:c r="F104" s="4" t="str">
        <x:v>P1</x:v>
      </x:c>
      <x:c r="G104" s="4" t="str">
        <x:v>验证直播记录可查看收益</x:v>
      </x:c>
      <x:c r="H104" s="4" t="str">
        <x:v>收益展示</x:v>
      </x:c>
      <x:c r="I104" s="4" t="str">
        <x:v>1. 公会长账号已登录且具备当前页面权限</x:v>
      </x:c>
      <x:c r="J104" s="4" t="str">
        <x:v>1. 进入直播记录
2. 查看收益</x:v>
      </x:c>
      <x:c r="K104" s="4" t="str">
        <x:v>直播记录显示“收益”</x:v>
      </x:c>
      <x:c r="L104" s="4" t="str"/>
      <x:c r="M104" s="4" t="str">
        <x:v>未测</x:v>
      </x:c>
      <x:c r="N104" s="4" t="str"/>
      <x:c r="O104" s="4" t="str">
        <x:v>1. 来源（原型批注）：liveshow-proto/prototype/annotations/guild.js；guild-host-data.html
2. 页面：guild-host-data.html
3. 规则：BR-EEC63C211412C3
4. 场景：SC-F906B80C57E715
5. 未动态验证</x:v>
      </x:c>
    </x:row>
    <x:row r="105" ht="54" customHeight="1">
      <x:c r="A105" s="4" t="n">
        <x:v>104</x:v>
      </x:c>
      <x:c r="B105" s="4" t="str">
        <x:v>GDATA-0037</x:v>
      </x:c>
      <x:c r="C105" s="4" t="str">
        <x:v>数据与收益</x:v>
      </x:c>
      <x:c r="D105" s="4" t="str">
        <x:v>直播记录（公会长视角）</x:v>
      </x:c>
      <x:c r="E105" s="4" t="str">
        <x:v>功能需求</x:v>
      </x:c>
      <x:c r="F105" s="4" t="str">
        <x:v>P1</x:v>
      </x:c>
      <x:c r="G105" s="4" t="str">
        <x:v>验证直播记录可查看直播场次</x:v>
      </x:c>
      <x:c r="H105" s="4" t="str">
        <x:v>直播场次展示</x:v>
      </x:c>
      <x:c r="I105" s="4" t="str">
        <x:v>1. 公会长账号已登录且具备当前页面权限</x:v>
      </x:c>
      <x:c r="J105" s="4" t="str">
        <x:v>1. 进入直播记录
2. 查看直播场次</x:v>
      </x:c>
      <x:c r="K105" s="4" t="str">
        <x:v>直播记录显示“直播场次”</x:v>
      </x:c>
      <x:c r="L105" s="4" t="str"/>
      <x:c r="M105" s="4" t="str">
        <x:v>未测</x:v>
      </x:c>
      <x:c r="N105" s="4" t="str"/>
      <x:c r="O105" s="4" t="str">
        <x:v>1. 来源（原型批注）：liveshow-proto/prototype/annotations/guild.js；guild-host-data.html
2. 页面：guild-host-data.html
3. 规则：BR-A65C300501138F
4. 场景：SC-774227F5909E1A
5. 未动态验证</x:v>
      </x:c>
    </x:row>
    <x:row r="106" ht="54" customHeight="1">
      <x:c r="A106" s="4" t="n">
        <x:v>105</x:v>
      </x:c>
      <x:c r="B106" s="4" t="str">
        <x:v>GDATA-0038</x:v>
      </x:c>
      <x:c r="C106" s="4" t="str">
        <x:v>数据与收益</x:v>
      </x:c>
      <x:c r="D106" s="4" t="str">
        <x:v>主播分成记录（公会长视角）</x:v>
      </x:c>
      <x:c r="E106" s="4" t="str">
        <x:v>功能需求</x:v>
      </x:c>
      <x:c r="F106" s="4" t="str">
        <x:v>P2</x:v>
      </x:c>
      <x:c r="G106" s="4" t="str">
        <x:v>验证主播分成记录的默认状态</x:v>
      </x:c>
      <x:c r="H106" s="4" t="str">
        <x:v>主播分成记录默认值</x:v>
      </x:c>
      <x:c r="I106" s="4" t="str">
        <x:v>1. 公会长账号已登录且具备当前页面权限</x:v>
      </x:c>
      <x:c r="J106" s="4" t="str">
        <x:v>1. 进入主播分成记录
2. 查看主播分成记录</x:v>
      </x:c>
      <x:c r="K106" s="4" t="str">
        <x:v>主播支持多选，默认全部</x:v>
      </x:c>
      <x:c r="L106" s="4" t="str"/>
      <x:c r="M106" s="4" t="str">
        <x:v>未测</x:v>
      </x:c>
      <x:c r="N106" s="4" t="str"/>
      <x:c r="O106" s="4" t="str">
        <x:v>1. 来源（原型批注）：liveshow-proto/prototype/annotations/guild.js；guild-share-ledger.html
2. 页面：guild-share-ledger.html
3. 规则：BR-10A680C638C4E4
4. 场景：SC-88835BD2F503A0
5. 未动态验证</x:v>
      </x:c>
    </x:row>
    <x:row r="107" ht="54" customHeight="1">
      <x:c r="A107" s="4" t="n">
        <x:v>106</x:v>
      </x:c>
      <x:c r="B107" s="4" t="str">
        <x:v>GDATA-0039</x:v>
      </x:c>
      <x:c r="C107" s="4" t="str">
        <x:v>数据与收益</x:v>
      </x:c>
      <x:c r="D107" s="4" t="str">
        <x:v>主播分成记录（公会长视角）</x:v>
      </x:c>
      <x:c r="E107" s="4" t="str">
        <x:v>功能需求</x:v>
      </x:c>
      <x:c r="F107" s="4" t="str">
        <x:v>P2</x:v>
      </x:c>
      <x:c r="G107" s="4" t="str">
        <x:v>验证主播分成记录可查看分成金额</x:v>
      </x:c>
      <x:c r="H107" s="4" t="str">
        <x:v>分成金额展示</x:v>
      </x:c>
      <x:c r="I107" s="4" t="str">
        <x:v>1. 公会长账号已登录且具备当前页面权限</x:v>
      </x:c>
      <x:c r="J107" s="4" t="str">
        <x:v>1. 进入主播分成记录
2. 查看分成金额</x:v>
      </x:c>
      <x:c r="K107" s="4" t="str">
        <x:v>主播分成记录显示“分成金额”</x:v>
      </x:c>
      <x:c r="L107" s="4" t="str"/>
      <x:c r="M107" s="4" t="str">
        <x:v>未测</x:v>
      </x:c>
      <x:c r="N107" s="4" t="str"/>
      <x:c r="O107" s="4" t="str">
        <x:v>1. 来源（原型批注）：liveshow-proto/prototype/annotations/guild.js；guild-share-ledger.html
2. 页面：guild-share-ledger.html
3. 规则：BR-DF50622CDE8317、BR-66263F5A09B704、BR-A8BA076ADED778
4. 场景：SC-3F56C521B8075F
5. 未动态验证</x:v>
      </x:c>
    </x:row>
    <x:row r="108" ht="54" customHeight="1">
      <x:c r="A108" s="4" t="n">
        <x:v>107</x:v>
      </x:c>
      <x:c r="B108" s="4" t="str">
        <x:v>GDATA-0040</x:v>
      </x:c>
      <x:c r="C108" s="4" t="str">
        <x:v>数据与收益</x:v>
      </x:c>
      <x:c r="D108" s="4" t="str">
        <x:v>主播分成记录（公会长视角）</x:v>
      </x:c>
      <x:c r="E108" s="4" t="str">
        <x:v>功能需求</x:v>
      </x:c>
      <x:c r="F108" s="4" t="str">
        <x:v>P2</x:v>
      </x:c>
      <x:c r="G108" s="4" t="str">
        <x:v>验证主播分成记录可查看分成时间</x:v>
      </x:c>
      <x:c r="H108" s="4" t="str">
        <x:v>分成时间展示</x:v>
      </x:c>
      <x:c r="I108" s="4" t="str">
        <x:v>1. 公会长账号已登录且具备当前页面权限</x:v>
      </x:c>
      <x:c r="J108" s="4" t="str">
        <x:v>1. 进入主播分成记录
2. 查看分成时间</x:v>
      </x:c>
      <x:c r="K108" s="4" t="str">
        <x:v>主播分成记录显示“分成时间”</x:v>
      </x:c>
      <x:c r="L108" s="4" t="str"/>
      <x:c r="M108" s="4" t="str">
        <x:v>未测</x:v>
      </x:c>
      <x:c r="N108" s="4" t="str"/>
      <x:c r="O108" s="4" t="str">
        <x:v>1. 来源（原型批注）：liveshow-proto/prototype/annotations/guild.js；guild-share-ledger.html
2. 页面：guild-share-ledger.html
3. 规则：BR-004CEF6F927090
4. 场景：SC-1DDF82CCE72C7B
5. 未动态验证</x:v>
      </x:c>
    </x:row>
    <x:row r="109" ht="54" customHeight="1">
      <x:c r="A109" s="4" t="n">
        <x:v>108</x:v>
      </x:c>
      <x:c r="B109" s="4" t="str">
        <x:v>GDATA-0041</x:v>
      </x:c>
      <x:c r="C109" s="4" t="str">
        <x:v>数据与收益</x:v>
      </x:c>
      <x:c r="D109" s="4" t="str">
        <x:v>主播分成记录（公会长视角）</x:v>
      </x:c>
      <x:c r="E109" s="4" t="str">
        <x:v>功能需求</x:v>
      </x:c>
      <x:c r="F109" s="4" t="str">
        <x:v>P2</x:v>
      </x:c>
      <x:c r="G109" s="4" t="str">
        <x:v>验证主播分成记录可查看主播</x:v>
      </x:c>
      <x:c r="H109" s="4" t="str">
        <x:v>主播展示</x:v>
      </x:c>
      <x:c r="I109" s="4" t="str">
        <x:v>1. 公会长账号已登录且具备当前页面权限</x:v>
      </x:c>
      <x:c r="J109" s="4" t="str">
        <x:v>1. 进入主播分成记录
2. 查看主播</x:v>
      </x:c>
      <x:c r="K109" s="4" t="str">
        <x:v>主播分成记录显示“主播”</x:v>
      </x:c>
      <x:c r="L109" s="4" t="str"/>
      <x:c r="M109" s="4" t="str">
        <x:v>未测</x:v>
      </x:c>
      <x:c r="N109" s="4" t="str"/>
      <x:c r="O109" s="4" t="str">
        <x:v>1. 来源（原型批注）：liveshow-proto/prototype/annotations/guild.js；guild-share-ledger.html
2. 页面：guild-share-ledger.html
3. 规则：BR-B0BC9C951D3E85
4. 场景：SC-1267BAE45BBE8A
5. 未动态验证</x:v>
      </x:c>
    </x:row>
    <x:row r="110" ht="54" customHeight="1">
      <x:c r="A110" s="4" t="n">
        <x:v>109</x:v>
      </x:c>
      <x:c r="B110" s="4" t="str">
        <x:v>GDATA-0042</x:v>
      </x:c>
      <x:c r="C110" s="4" t="str">
        <x:v>数据与收益</x:v>
      </x:c>
      <x:c r="D110" s="4" t="str">
        <x:v>主播数据（公会长视角）</x:v>
      </x:c>
      <x:c r="E110" s="4" t="str">
        <x:v>业务流程</x:v>
      </x:c>
      <x:c r="F110" s="4" t="str">
        <x:v>P2</x:v>
      </x:c>
      <x:c r="G110" s="4" t="str">
        <x:v>验证点击日后的主播数据状态</x:v>
      </x:c>
      <x:c r="H110" s="4" t="str">
        <x:v>主播数据状态</x:v>
      </x:c>
      <x:c r="I110" s="4" t="str">
        <x:v>1. 公会长账号已登录且具备当前页面权限</x:v>
      </x:c>
      <x:c r="J110" s="4" t="str">
        <x:v>1. 进入主播数据
2. 点击日</x:v>
      </x:c>
      <x:c r="K110" s="4" t="str">
        <x:v>进入「直播记录」</x:v>
      </x:c>
      <x:c r="L110" s="4" t="str"/>
      <x:c r="M110" s="4" t="str">
        <x:v>未测</x:v>
      </x:c>
      <x:c r="N110" s="4" t="str"/>
      <x:c r="O110" s="4" t="str">
        <x:v>1. 来源（原型批注）：liveshow-proto/prototype/annotations/guild.js；guild-host-summary.html
2. 页面：guild-host-summary.html
3. 规则：BR-55292BEFB16864
4. 场景：SC-6B22ACCAE49820
5. 未动态验证</x:v>
      </x:c>
    </x:row>
    <x:row r="111" ht="54" customHeight="1">
      <x:c r="A111" s="4" t="n">
        <x:v>110</x:v>
      </x:c>
      <x:c r="B111" s="4" t="str">
        <x:v>GDATA-0043</x:v>
      </x:c>
      <x:c r="C111" s="4" t="str">
        <x:v>数据与收益</x:v>
      </x:c>
      <x:c r="D111" s="4" t="str">
        <x:v>主播数据（公会长视角）</x:v>
      </x:c>
      <x:c r="E111" s="4" t="str">
        <x:v>业务流程</x:v>
      </x:c>
      <x:c r="F111" s="4" t="str">
        <x:v>P2</x:v>
      </x:c>
      <x:c r="G111" s="4" t="str">
        <x:v>验证点击月数据行后的主播数据状态</x:v>
      </x:c>
      <x:c r="H111" s="4" t="str">
        <x:v>主播数据状态</x:v>
      </x:c>
      <x:c r="I111" s="4" t="str">
        <x:v>1. 公会长账号已登录且具备当前页面权限</x:v>
      </x:c>
      <x:c r="J111" s="4" t="str">
        <x:v>1. 进入主播数据
2. 点击月数据行</x:v>
      </x:c>
      <x:c r="K111" s="4" t="str">
        <x:v>进入「直播记录」</x:v>
      </x:c>
      <x:c r="L111" s="4" t="str"/>
      <x:c r="M111" s="4" t="str">
        <x:v>未测</x:v>
      </x:c>
      <x:c r="N111" s="4" t="str"/>
      <x:c r="O111" s="4" t="str">
        <x:v>1. 来源（原型批注）：liveshow-proto/prototype/annotations/guild.js；guild-host-summary.html
2. 页面：guild-host-summary.html
3. 规则：BR-55292BEFB16864
4. 场景：SC-BC7C53A79BD624
5. 未动态验证</x:v>
      </x:c>
    </x:row>
    <x:row r="112" ht="54" customHeight="1">
      <x:c r="A112" s="4" t="n">
        <x:v>111</x:v>
      </x:c>
      <x:c r="B112" s="4" t="str">
        <x:v>GDATA-0044</x:v>
      </x:c>
      <x:c r="C112" s="4" t="str">
        <x:v>数据与收益</x:v>
      </x:c>
      <x:c r="D112" s="4" t="str">
        <x:v>主播数据（公会长视角）</x:v>
      </x:c>
      <x:c r="E112" s="4" t="str">
        <x:v>业务流程</x:v>
      </x:c>
      <x:c r="F112" s="4" t="str">
        <x:v>P2</x:v>
      </x:c>
      <x:c r="G112" s="4" t="str">
        <x:v>验证点击主页入口后的主播数据状态</x:v>
      </x:c>
      <x:c r="H112" s="4" t="str">
        <x:v>主播数据状态</x:v>
      </x:c>
      <x:c r="I112" s="4" t="str">
        <x:v>1. 公会长账号已登录且具备当前页面权限</x:v>
      </x:c>
      <x:c r="J112" s="4" t="str">
        <x:v>1. 进入主播数据
2. 点击主页入口</x:v>
      </x:c>
      <x:c r="K112" s="4" t="str">
        <x:v>进入主播详情</x:v>
      </x:c>
      <x:c r="L112" s="4" t="str"/>
      <x:c r="M112" s="4" t="str">
        <x:v>未测</x:v>
      </x:c>
      <x:c r="N112" s="4" t="str"/>
      <x:c r="O112" s="4" t="str">
        <x:v>1. 来源（原型批注）：liveshow-proto/prototype/annotations/guild.js；guild-host-summary.html
2. 页面：guild-host-summary.html
3. 规则：BR-4A0730299AEE42
4. 场景：SC-B30E9135EF66F3
5. 未动态验证</x:v>
      </x:c>
    </x:row>
    <x:row r="113" ht="54" customHeight="1">
      <x:c r="A113" s="4" t="n">
        <x:v>112</x:v>
      </x:c>
      <x:c r="B113" s="4" t="str">
        <x:v>GDATA-0045</x:v>
      </x:c>
      <x:c r="C113" s="4" t="str">
        <x:v>数据与收益</x:v>
      </x:c>
      <x:c r="D113" s="4" t="str">
        <x:v>主播数据（公会长视角）</x:v>
      </x:c>
      <x:c r="E113" s="4" t="str">
        <x:v>功能需求</x:v>
      </x:c>
      <x:c r="F113" s="4" t="str">
        <x:v>P2</x:v>
      </x:c>
      <x:c r="G113" s="4" t="str">
        <x:v>验证主播数据的默认状态</x:v>
      </x:c>
      <x:c r="H113" s="4" t="str">
        <x:v>主播数据默认值</x:v>
      </x:c>
      <x:c r="I113" s="4" t="str">
        <x:v>1. 公会长账号已登录且具备当前页面权限</x:v>
      </x:c>
      <x:c r="J113" s="4" t="str">
        <x:v>1. 进入主播数据
2. 查看主播数据</x:v>
      </x:c>
      <x:c r="K113" s="4" t="str">
        <x:v>日数据支持本周、上周、本月、上月、自定义，默认本月</x:v>
      </x:c>
      <x:c r="L113" s="4" t="str"/>
      <x:c r="M113" s="4" t="str">
        <x:v>未测</x:v>
      </x:c>
      <x:c r="N113" s="4" t="str"/>
      <x:c r="O113" s="4" t="str">
        <x:v>1. 来源（原型批注）：liveshow-proto/prototype/annotations/guild.js；guild-host-summary.html
2. 页面：guild-host-summary.html
3. 规则：BR-2BC7FB19B151EF
4. 场景：SC-0D579916A3E91B
5. 未动态验证</x:v>
      </x:c>
    </x:row>
    <x:row r="114" ht="54" customHeight="1">
      <x:c r="A114" s="4" t="n">
        <x:v>113</x:v>
      </x:c>
      <x:c r="B114" s="4" t="str">
        <x:v>GOPS-0001</x:v>
      </x:c>
      <x:c r="C114" s="4" t="str">
        <x:v>运营管理</x:v>
      </x:c>
      <x:c r="D114" s="4" t="str">
        <x:v>创建运营账号（公会长视角）</x:v>
      </x:c>
      <x:c r="E114" s="4" t="str">
        <x:v>功能需求</x:v>
      </x:c>
      <x:c r="F114" s="4" t="str">
        <x:v>P2</x:v>
      </x:c>
      <x:c r="G114" s="4" t="str">
        <x:v>验证创建时的创建运营账号结果</x:v>
      </x:c>
      <x:c r="H114" s="4" t="str">
        <x:v>创建运营账号条件结果</x:v>
      </x:c>
      <x:c r="I114" s="4" t="str">
        <x:v>1. 公会长账号已登录且具备当前页面权限
2. 创建</x:v>
      </x:c>
      <x:c r="J114" s="4" t="str">
        <x:v>1. 进入创建运营账号
2. 查看创建运营账号</x:v>
      </x:c>
      <x:c r="K114" s="4" t="str">
        <x:v>发放的是虚拟金币，资金来源为所属公会</x:v>
      </x:c>
      <x:c r="L114" s="4" t="str"/>
      <x:c r="M114" s="4" t="str">
        <x:v>未测</x:v>
      </x:c>
      <x:c r="N114" s="4" t="str"/>
      <x:c r="O114" s="4" t="str">
        <x:v>1. 来源（原型批注）：liveshow-proto/prototype/annotations/guild.js；guild-operation-account-compose.html
2. 页面：guild-operation-account-compose.html
3. 规则：BR-2045A15E299ADF
4. 场景：SC-C360520F258E9D
5. 未动态验证</x:v>
      </x:c>
    </x:row>
    <x:row r="115" ht="54" customHeight="1">
      <x:c r="A115" s="4" t="n">
        <x:v>114</x:v>
      </x:c>
      <x:c r="B115" s="4" t="str">
        <x:v>GOPS-0002</x:v>
      </x:c>
      <x:c r="C115" s="4" t="str">
        <x:v>运营管理</x:v>
      </x:c>
      <x:c r="D115" s="4" t="str">
        <x:v>创建运营账号（公会长视角）</x:v>
      </x:c>
      <x:c r="E115" s="4" t="str">
        <x:v>功能需求</x:v>
      </x:c>
      <x:c r="F115" s="4" t="str">
        <x:v>P2</x:v>
      </x:c>
      <x:c r="G115" s="4" t="str">
        <x:v>验证创建运营账号可查看初始密码</x:v>
      </x:c>
      <x:c r="H115" s="4" t="str">
        <x:v>初始密码展示</x:v>
      </x:c>
      <x:c r="I115" s="4" t="str">
        <x:v>1. 公会长账号已登录且具备当前页面权限</x:v>
      </x:c>
      <x:c r="J115" s="4" t="str">
        <x:v>1. 进入创建运营账号
2. 查看初始密码</x:v>
      </x:c>
      <x:c r="K115" s="4" t="str">
        <x:v>创建运营账号显示“初始密码”</x:v>
      </x:c>
      <x:c r="L115" s="4" t="str"/>
      <x:c r="M115" s="4" t="str">
        <x:v>未测</x:v>
      </x:c>
      <x:c r="N115" s="4" t="str"/>
      <x:c r="O115" s="4" t="str">
        <x:v>1. 来源（原型批注）：liveshow-proto/prototype/annotations/guild.js；guild-operation-account-compose.html
2. 页面：guild-operation-account-compose.html
3. 规则：BR-63404E3D7E9CDE
4. 场景：SC-7E489D0C44A380
5. 未动态验证</x:v>
      </x:c>
    </x:row>
    <x:row r="116" ht="54" customHeight="1">
      <x:c r="A116" s="4" t="n">
        <x:v>115</x:v>
      </x:c>
      <x:c r="B116" s="4" t="str">
        <x:v>GOPS-0003</x:v>
      </x:c>
      <x:c r="C116" s="4" t="str">
        <x:v>运营管理</x:v>
      </x:c>
      <x:c r="D116" s="4" t="str">
        <x:v>创建运营账号（公会长视角）</x:v>
      </x:c>
      <x:c r="E116" s="4" t="str">
        <x:v>功能需求</x:v>
      </x:c>
      <x:c r="F116" s="4" t="str">
        <x:v>P2</x:v>
      </x:c>
      <x:c r="G116" s="4" t="str">
        <x:v>验证创建运营账号可查看发放金币</x:v>
      </x:c>
      <x:c r="H116" s="4" t="str">
        <x:v>发放金币展示</x:v>
      </x:c>
      <x:c r="I116" s="4" t="str">
        <x:v>1. 公会长账号已登录且具备当前页面权限</x:v>
      </x:c>
      <x:c r="J116" s="4" t="str">
        <x:v>1. 进入创建运营账号
2. 查看发放金币</x:v>
      </x:c>
      <x:c r="K116" s="4" t="str">
        <x:v>创建运营账号显示“发放金币”</x:v>
      </x:c>
      <x:c r="L116" s="4" t="str"/>
      <x:c r="M116" s="4" t="str">
        <x:v>未测</x:v>
      </x:c>
      <x:c r="N116" s="4" t="str"/>
      <x:c r="O116" s="4" t="str">
        <x:v>1. 来源（原型批注）：liveshow-proto/prototype/annotations/guild.js；guild-operation-account-compose.html
2. 页面：guild-operation-account-compose.html
3. 规则：BR-B409D29635A579、BR-3BE221FACE4CB1
4. 场景：SC-ADA2A795E48CE0
5. 未动态验证</x:v>
      </x:c>
    </x:row>
    <x:row r="117" ht="54" customHeight="1">
      <x:c r="A117" s="4" t="n">
        <x:v>116</x:v>
      </x:c>
      <x:c r="B117" s="4" t="str">
        <x:v>GOPS-0004</x:v>
      </x:c>
      <x:c r="C117" s="4" t="str">
        <x:v>运营管理</x:v>
      </x:c>
      <x:c r="D117" s="4" t="str">
        <x:v>创建运营账号（公会长视角）</x:v>
      </x:c>
      <x:c r="E117" s="4" t="str">
        <x:v>功能需求</x:v>
      </x:c>
      <x:c r="F117" s="4" t="str">
        <x:v>P2</x:v>
      </x:c>
      <x:c r="G117" s="4" t="str">
        <x:v>验证创建运营账号可查看名称</x:v>
      </x:c>
      <x:c r="H117" s="4" t="str">
        <x:v>名称展示</x:v>
      </x:c>
      <x:c r="I117" s="4" t="str">
        <x:v>1. 公会长账号已登录且具备当前页面权限</x:v>
      </x:c>
      <x:c r="J117" s="4" t="str">
        <x:v>1. 进入创建运营账号
2. 查看名称</x:v>
      </x:c>
      <x:c r="K117" s="4" t="str">
        <x:v>创建运营账号显示“名称”</x:v>
      </x:c>
      <x:c r="L117" s="4" t="str"/>
      <x:c r="M117" s="4" t="str">
        <x:v>未测</x:v>
      </x:c>
      <x:c r="N117" s="4" t="str"/>
      <x:c r="O117" s="4" t="str">
        <x:v>1. 来源（原型批注）：liveshow-proto/prototype/annotations/guild.js；guild-operation-account-compose.html
2. 页面：guild-operation-account-compose.html
3. 规则：BR-3F3CF88A07661A
4. 场景：SC-A333A58B940448
5. 未动态验证</x:v>
      </x:c>
    </x:row>
    <x:row r="118" ht="54" customHeight="1">
      <x:c r="A118" s="4" t="n">
        <x:v>117</x:v>
      </x:c>
      <x:c r="B118" s="4" t="str">
        <x:v>GOPS-0005</x:v>
      </x:c>
      <x:c r="C118" s="4" t="str">
        <x:v>运营管理</x:v>
      </x:c>
      <x:c r="D118" s="4" t="str">
        <x:v>创建运营账号（公会长视角）</x:v>
      </x:c>
      <x:c r="E118" s="4" t="str">
        <x:v>功能需求</x:v>
      </x:c>
      <x:c r="F118" s="4" t="str">
        <x:v>P2</x:v>
      </x:c>
      <x:c r="G118" s="4" t="str">
        <x:v>验证创建运营账号可查看头像</x:v>
      </x:c>
      <x:c r="H118" s="4" t="str">
        <x:v>头像展示</x:v>
      </x:c>
      <x:c r="I118" s="4" t="str">
        <x:v>1. 公会长账号已登录且具备当前页面权限</x:v>
      </x:c>
      <x:c r="J118" s="4" t="str">
        <x:v>1. 进入创建运营账号
2. 查看头像</x:v>
      </x:c>
      <x:c r="K118" s="4" t="str">
        <x:v>创建运营账号显示“头像”</x:v>
      </x:c>
      <x:c r="L118" s="4" t="str"/>
      <x:c r="M118" s="4" t="str">
        <x:v>未测</x:v>
      </x:c>
      <x:c r="N118" s="4" t="str"/>
      <x:c r="O118" s="4" t="str">
        <x:v>1. 来源（原型批注）：liveshow-proto/prototype/annotations/guild.js；guild-operation-account-compose.html
2. 页面：guild-operation-account-compose.html
3. 规则：BR-B95F9761CF2DB6、BR-C436474EB21754
4. 场景：SC-59B856D66A2D52
5. 未动态验证</x:v>
      </x:c>
    </x:row>
    <x:row r="119" ht="54" customHeight="1">
      <x:c r="A119" s="4" t="n">
        <x:v>118</x:v>
      </x:c>
      <x:c r="B119" s="4" t="str">
        <x:v>GOPS-0006</x:v>
      </x:c>
      <x:c r="C119" s="4" t="str">
        <x:v>运营管理</x:v>
      </x:c>
      <x:c r="D119" s="4" t="str">
        <x:v>创建运营账号（公会长视角）</x:v>
      </x:c>
      <x:c r="E119" s="4" t="str">
        <x:v>功能需求</x:v>
      </x:c>
      <x:c r="F119" s="4" t="str">
        <x:v>P2</x:v>
      </x:c>
      <x:c r="G119" s="4" t="str">
        <x:v>验证创建运营账号可查看账号</x:v>
      </x:c>
      <x:c r="H119" s="4" t="str">
        <x:v>账号展示</x:v>
      </x:c>
      <x:c r="I119" s="4" t="str">
        <x:v>1. 公会长账号已登录且具备当前页面权限</x:v>
      </x:c>
      <x:c r="J119" s="4" t="str">
        <x:v>1. 进入创建运营账号
2. 查看账号</x:v>
      </x:c>
      <x:c r="K119" s="4" t="str">
        <x:v>创建运营账号显示“账号”</x:v>
      </x:c>
      <x:c r="L119" s="4" t="str"/>
      <x:c r="M119" s="4" t="str">
        <x:v>未测</x:v>
      </x:c>
      <x:c r="N119" s="4" t="str"/>
      <x:c r="O119" s="4" t="str">
        <x:v>1. 来源（原型批注）：liveshow-proto/prototype/annotations/guild.js；guild-operation-account-compose.html
2. 页面：guild-operation-account-compose.html
3. 规则：BR-26BA6DD4EF60DC、BR-8EEAA422E4D1B8、BR-FA0F69E6025664
4. 场景：SC-F62BE08532F8AB
5. 未动态验证</x:v>
      </x:c>
    </x:row>
    <x:row r="120" ht="54" customHeight="1">
      <x:c r="A120" s="4" t="n">
        <x:v>119</x:v>
      </x:c>
      <x:c r="B120" s="4" t="str">
        <x:v>GOPS-0007</x:v>
      </x:c>
      <x:c r="C120" s="4" t="str">
        <x:v>运营管理</x:v>
      </x:c>
      <x:c r="D120" s="4" t="str">
        <x:v>创建运营账号（公会长视角）</x:v>
      </x:c>
      <x:c r="E120" s="4" t="str">
        <x:v>功能需求</x:v>
      </x:c>
      <x:c r="F120" s="4" t="str">
        <x:v>P2</x:v>
      </x:c>
      <x:c r="G120" s="4" t="str">
        <x:v>验证创建运营账号可查看账号状态</x:v>
      </x:c>
      <x:c r="H120" s="4" t="str">
        <x:v>账号状态展示</x:v>
      </x:c>
      <x:c r="I120" s="4" t="str">
        <x:v>1. 公会长账号已登录且具备当前页面权限</x:v>
      </x:c>
      <x:c r="J120" s="4" t="str">
        <x:v>1. 进入创建运营账号
2. 查看账号状态</x:v>
      </x:c>
      <x:c r="K120" s="4" t="str">
        <x:v>创建运营账号显示“账号状态”</x:v>
      </x:c>
      <x:c r="L120" s="4" t="str"/>
      <x:c r="M120" s="4" t="str">
        <x:v>未测</x:v>
      </x:c>
      <x:c r="N120" s="4" t="str"/>
      <x:c r="O120" s="4" t="str">
        <x:v>1. 来源（原型批注）：liveshow-proto/prototype/annotations/guild.js；guild-operation-account-compose.html
2. 页面：guild-operation-account-compose.html
3. 规则：BR-1ABC48801C0D3F、BR-EF27AFB162A090
4. 场景：SC-DB31F09D48E3E9
5. 未动态验证</x:v>
      </x:c>
    </x:row>
    <x:row r="121" ht="54" customHeight="1">
      <x:c r="A121" s="4" t="n">
        <x:v>120</x:v>
      </x:c>
      <x:c r="B121" s="4" t="str">
        <x:v>GOPS-0008</x:v>
      </x:c>
      <x:c r="C121" s="4" t="str">
        <x:v>运营管理</x:v>
      </x:c>
      <x:c r="D121" s="4" t="str">
        <x:v>创建运营账号（公会长视角）</x:v>
      </x:c>
      <x:c r="E121" s="4" t="str">
        <x:v>功能需求</x:v>
      </x:c>
      <x:c r="F121" s="4" t="str">
        <x:v>P2</x:v>
      </x:c>
      <x:c r="G121" s="4" t="str">
        <x:v>验证发放金币的默认状态</x:v>
      </x:c>
      <x:c r="H121" s="4" t="str">
        <x:v>发放金币默认值</x:v>
      </x:c>
      <x:c r="I121" s="4" t="str">
        <x:v>1. 公会长账号已登录且具备当前页面权限</x:v>
      </x:c>
      <x:c r="J121" s="4" t="str">
        <x:v>1. 进入创建运营账号
2. 查看发放金币</x:v>
      </x:c>
      <x:c r="K121" s="4" t="str">
        <x:v>必填，默认 0</x:v>
      </x:c>
      <x:c r="L121" s="4" t="str"/>
      <x:c r="M121" s="4" t="str">
        <x:v>未测</x:v>
      </x:c>
      <x:c r="N121" s="4" t="str"/>
      <x:c r="O121" s="4" t="str">
        <x:v>1. 来源（原型批注）：liveshow-proto/prototype/annotations/guild.js；guild-operation-account-compose.html
2. 页面：guild-operation-account-compose.html
3. 规则：BR-B409D29635A579
4. 场景：SC-106F5727949A17
5. 未动态验证</x:v>
      </x:c>
    </x:row>
    <x:row r="122" ht="54" customHeight="1">
      <x:c r="A122" s="4" t="n">
        <x:v>121</x:v>
      </x:c>
      <x:c r="B122" s="4" t="str">
        <x:v>GOPS-0009</x:v>
      </x:c>
      <x:c r="C122" s="4" t="str">
        <x:v>运营管理</x:v>
      </x:c>
      <x:c r="D122" s="4" t="str">
        <x:v>创建运营账号（公会长视角）</x:v>
      </x:c>
      <x:c r="E122" s="4" t="str">
        <x:v>业务流程</x:v>
      </x:c>
      <x:c r="F122" s="4" t="str">
        <x:v>P2</x:v>
      </x:c>
      <x:c r="G122" s="4" t="str">
        <x:v>验证确认创建后的创建运营账号状态</x:v>
      </x:c>
      <x:c r="H122" s="4" t="str">
        <x:v>创建运营账号状态</x:v>
      </x:c>
      <x:c r="I122" s="4" t="str">
        <x:v>1. 公会长账号已登录且具备当前页面权限</x:v>
      </x:c>
      <x:c r="J122" s="4" t="str">
        <x:v>1. 进入创建运营账号
2. 确认创建</x:v>
      </x:c>
      <x:c r="K122" s="4" t="str">
        <x:v>创建账号、记入发放额度</x:v>
      </x:c>
      <x:c r="L122" s="4" t="str"/>
      <x:c r="M122" s="4" t="str">
        <x:v>未测</x:v>
      </x:c>
      <x:c r="N122" s="4" t="str"/>
      <x:c r="O122" s="4" t="str">
        <x:v>1. 来源（原型批注）：liveshow-proto/prototype/annotations/guild.js；guild-operation-account-compose.html
2. 页面：guild-operation-account-compose.html
3. 规则：BR-41E41BA1CB2BCF
4. 场景：SC-4722C865D4678A
5. 未动态验证</x:v>
      </x:c>
    </x:row>
    <x:row r="123" ht="54" customHeight="1">
      <x:c r="A123" s="4" t="n">
        <x:v>122</x:v>
      </x:c>
      <x:c r="B123" s="4" t="str">
        <x:v>GOPS-0010</x:v>
      </x:c>
      <x:c r="C123" s="4" t="str">
        <x:v>运营管理</x:v>
      </x:c>
      <x:c r="D123" s="4" t="str">
        <x:v>创建运营账号（公会长视角）</x:v>
      </x:c>
      <x:c r="E123" s="4" t="str">
        <x:v>功能需求</x:v>
      </x:c>
      <x:c r="F123" s="4" t="str">
        <x:v>P2</x:v>
      </x:c>
      <x:c r="G123" s="4" t="str">
        <x:v>验证账号状态的默认状态</x:v>
      </x:c>
      <x:c r="H123" s="4" t="str">
        <x:v>账号状态默认值</x:v>
      </x:c>
      <x:c r="I123" s="4" t="str">
        <x:v>1. 公会长账号已登录且具备当前页面权限</x:v>
      </x:c>
      <x:c r="J123" s="4" t="str">
        <x:v>1. 进入创建运营账号
2. 查看账号状态</x:v>
      </x:c>
      <x:c r="K123" s="4" t="str">
        <x:v>默认启用</x:v>
      </x:c>
      <x:c r="L123" s="4" t="str"/>
      <x:c r="M123" s="4" t="str">
        <x:v>未测</x:v>
      </x:c>
      <x:c r="N123" s="4" t="str"/>
      <x:c r="O123" s="4" t="str">
        <x:v>1. 来源（原型批注）：liveshow-proto/prototype/annotations/guild.js；guild-operation-account-compose.html
2. 页面：guild-operation-account-compose.html
3. 规则：BR-1ABC48801C0D3F
4. 场景：SC-FAB9F5ED888B03
5. 未动态验证</x:v>
      </x:c>
    </x:row>
    <x:row r="124" ht="54" customHeight="1">
      <x:c r="A124" s="4" t="n">
        <x:v>123</x:v>
      </x:c>
      <x:c r="B124" s="4" t="str">
        <x:v>GOPS-0011</x:v>
      </x:c>
      <x:c r="C124" s="4" t="str">
        <x:v>运营管理</x:v>
      </x:c>
      <x:c r="D124" s="4" t="str">
        <x:v>送礼记录（公会长视角）</x:v>
      </x:c>
      <x:c r="E124" s="4" t="str">
        <x:v>业务流程</x:v>
      </x:c>
      <x:c r="F124" s="4" t="str">
        <x:v>P2</x:v>
      </x:c>
      <x:c r="G124" s="4" t="str">
        <x:v>验证点击记录后的送礼记录状态</x:v>
      </x:c>
      <x:c r="H124" s="4" t="str">
        <x:v>送礼记录状态</x:v>
      </x:c>
      <x:c r="I124" s="4" t="str">
        <x:v>1. 公会长账号已登录且具备当前页面权限</x:v>
      </x:c>
      <x:c r="J124" s="4" t="str">
        <x:v>1. 进入送礼记录
2. 点击记录</x:v>
      </x:c>
      <x:c r="K124" s="4" t="str">
        <x:v>打开送礼详情</x:v>
      </x:c>
      <x:c r="L124" s="4" t="str"/>
      <x:c r="M124" s="4" t="str">
        <x:v>未测</x:v>
      </x:c>
      <x:c r="N124" s="4" t="str"/>
      <x:c r="O124" s="4" t="str">
        <x:v>1. 来源（原型批注）：liveshow-proto/prototype/annotations/guild.js；guild-operation-gift-records.html
2. 页面：guild-operation-gift-records.html
3. 规则：BR-6FB089CBBCC86F
4. 场景：SC-924EE88D0691FD
5. 未动态验证</x:v>
      </x:c>
    </x:row>
    <x:row r="125" ht="54" customHeight="1">
      <x:c r="A125" s="4" t="n">
        <x:v>124</x:v>
      </x:c>
      <x:c r="B125" s="4" t="str">
        <x:v>GOPS-0012</x:v>
      </x:c>
      <x:c r="C125" s="4" t="str">
        <x:v>运营管理</x:v>
      </x:c>
      <x:c r="D125" s="4" t="str">
        <x:v>送礼记录（公会长视角）</x:v>
      </x:c>
      <x:c r="E125" s="4" t="str">
        <x:v>业务流程</x:v>
      </x:c>
      <x:c r="F125" s="4" t="str">
        <x:v>P2</x:v>
      </x:c>
      <x:c r="G125" s="4" t="str">
        <x:v>验证筛选变化后的送礼记录状态</x:v>
      </x:c>
      <x:c r="H125" s="4" t="str">
        <x:v>送礼记录状态</x:v>
      </x:c>
      <x:c r="I125" s="4" t="str">
        <x:v>1. 公会长账号已登录且具备当前页面权限
2. 筛选变化</x:v>
      </x:c>
      <x:c r="J125" s="4" t="str">
        <x:v>1. 进入送礼记录
2. 刷新送礼记录</x:v>
      </x:c>
      <x:c r="K125" s="4" t="str">
        <x:v>刷新汇总和列表</x:v>
      </x:c>
      <x:c r="L125" s="4" t="str"/>
      <x:c r="M125" s="4" t="str">
        <x:v>未测</x:v>
      </x:c>
      <x:c r="N125" s="4" t="str"/>
      <x:c r="O125" s="4" t="str">
        <x:v>1. 来源（原型批注）：liveshow-proto/prototype/annotations/guild.js；guild-operation-gift-records.html
2. 页面：guild-operation-gift-records.html
3. 规则：BR-0D632D6EA76946
4. 场景：SC-4866AC944AA454
5. 未动态验证</x:v>
      </x:c>
    </x:row>
    <x:row r="126" ht="54" customHeight="1">
      <x:c r="A126" s="4" t="n">
        <x:v>125</x:v>
      </x:c>
      <x:c r="B126" s="4" t="str">
        <x:v>GOPS-0013</x:v>
      </x:c>
      <x:c r="C126" s="4" t="str">
        <x:v>运营管理</x:v>
      </x:c>
      <x:c r="D126" s="4" t="str">
        <x:v>送礼记录（公会长视角）</x:v>
      </x:c>
      <x:c r="E126" s="4" t="str">
        <x:v>功能需求</x:v>
      </x:c>
      <x:c r="F126" s="4" t="str">
        <x:v>P2</x:v>
      </x:c>
      <x:c r="G126" s="4" t="str">
        <x:v>验证送礼记录的默认状态</x:v>
      </x:c>
      <x:c r="H126" s="4" t="str">
        <x:v>送礼记录默认值</x:v>
      </x:c>
      <x:c r="I126" s="4" t="str">
        <x:v>1. 公会长账号已登录且具备当前页面权限</x:v>
      </x:c>
      <x:c r="J126" s="4" t="str">
        <x:v>1. 进入送礼记录
2. 查看送礼记录</x:v>
      </x:c>
      <x:c r="K126" s="4" t="str">
        <x:v>默认全部运营账号、今日</x:v>
      </x:c>
      <x:c r="L126" s="4" t="str"/>
      <x:c r="M126" s="4" t="str">
        <x:v>未测</x:v>
      </x:c>
      <x:c r="N126" s="4" t="str"/>
      <x:c r="O126" s="4" t="str">
        <x:v>1. 来源（原型批注）：liveshow-proto/prototype/annotations/guild.js；guild-operation-gift-records.html
2. 页面：guild-operation-gift-records.html
3. 规则：BR-E3366C17923BC6
4. 场景：SC-F053E30A527ED2
5. 未动态验证</x:v>
      </x:c>
    </x:row>
    <x:row r="127" ht="54" customHeight="1">
      <x:c r="A127" s="4" t="n">
        <x:v>126</x:v>
      </x:c>
      <x:c r="B127" s="4" t="str">
        <x:v>GOPS-0014</x:v>
      </x:c>
      <x:c r="C127" s="4" t="str">
        <x:v>运营管理</x:v>
      </x:c>
      <x:c r="D127" s="4" t="str">
        <x:v>送礼记录（公会长视角）</x:v>
      </x:c>
      <x:c r="E127" s="4" t="str">
        <x:v>功能需求</x:v>
      </x:c>
      <x:c r="F127" s="4" t="str">
        <x:v>P2</x:v>
      </x:c>
      <x:c r="G127" s="4" t="str">
        <x:v>验证送礼记录可查看列表</x:v>
      </x:c>
      <x:c r="H127" s="4" t="str">
        <x:v>列表展示</x:v>
      </x:c>
      <x:c r="I127" s="4" t="str">
        <x:v>1. 公会长账号已登录且具备当前页面权限</x:v>
      </x:c>
      <x:c r="J127" s="4" t="str">
        <x:v>1. 进入送礼记录
2. 查看列表</x:v>
      </x:c>
      <x:c r="K127" s="4" t="str">
        <x:v>送礼记录显示“列表”</x:v>
      </x:c>
      <x:c r="L127" s="4" t="str"/>
      <x:c r="M127" s="4" t="str">
        <x:v>未测</x:v>
      </x:c>
      <x:c r="N127" s="4" t="str"/>
      <x:c r="O127" s="4" t="str">
        <x:v>1. 来源（原型批注）：liveshow-proto/prototype/annotations/guild.js；guild-operation-gift-records.html
2. 页面：guild-operation-gift-records.html
3. 规则：BR-4755273AA74D39
4. 场景：SC-0B89D34C7B461C
5. 未动态验证</x:v>
      </x:c>
    </x:row>
    <x:row r="128" ht="54" customHeight="1">
      <x:c r="A128" s="4" t="n">
        <x:v>127</x:v>
      </x:c>
      <x:c r="B128" s="4" t="str">
        <x:v>GOPS-0015</x:v>
      </x:c>
      <x:c r="C128" s="4" t="str">
        <x:v>运营管理</x:v>
      </x:c>
      <x:c r="D128" s="4" t="str">
        <x:v>送礼记录（公会长视角）</x:v>
      </x:c>
      <x:c r="E128" s="4" t="str">
        <x:v>功能需求</x:v>
      </x:c>
      <x:c r="F128" s="4" t="str">
        <x:v>P2</x:v>
      </x:c>
      <x:c r="G128" s="4" t="str">
        <x:v>验证送礼记录可查看送礼详情</x:v>
      </x:c>
      <x:c r="H128" s="4" t="str">
        <x:v>送礼详情展示</x:v>
      </x:c>
      <x:c r="I128" s="4" t="str">
        <x:v>1. 公会长账号已登录且具备当前页面权限</x:v>
      </x:c>
      <x:c r="J128" s="4" t="str">
        <x:v>1. 进入送礼记录
2. 查看送礼详情</x:v>
      </x:c>
      <x:c r="K128" s="4" t="str">
        <x:v>送礼记录显示“送礼详情”</x:v>
      </x:c>
      <x:c r="L128" s="4" t="str"/>
      <x:c r="M128" s="4" t="str">
        <x:v>未测</x:v>
      </x:c>
      <x:c r="N128" s="4" t="str"/>
      <x:c r="O128" s="4" t="str">
        <x:v>1. 来源（原型批注）：liveshow-proto/prototype/annotations/guild.js；guild-operation-gift-records.html
2. 页面：guild-operation-gift-records.html
3. 规则：BR-94CF2FA5BC2B32
4. 场景：SC-C22622BA040373
5. 未动态验证</x:v>
      </x:c>
    </x:row>
    <x:row r="129" ht="54" customHeight="1">
      <x:c r="A129" s="4" t="n">
        <x:v>128</x:v>
      </x:c>
      <x:c r="B129" s="4" t="str">
        <x:v>GOPS-0016</x:v>
      </x:c>
      <x:c r="C129" s="4" t="str">
        <x:v>运营管理</x:v>
      </x:c>
      <x:c r="D129" s="4" t="str">
        <x:v>新建运营消息（公会长视角）</x:v>
      </x:c>
      <x:c r="E129" s="4" t="str">
        <x:v>业务流程</x:v>
      </x:c>
      <x:c r="F129" s="4" t="str">
        <x:v>P2</x:v>
      </x:c>
      <x:c r="G129" s="4" t="str">
        <x:v>验证发送后的新建运营消息状态</x:v>
      </x:c>
      <x:c r="H129" s="4" t="str">
        <x:v>新建运营消息状态</x:v>
      </x:c>
      <x:c r="I129" s="4" t="str">
        <x:v>1. 公会长账号已登录且具备当前页面权限</x:v>
      </x:c>
      <x:c r="J129" s="4" t="str">
        <x:v>1. 进入新建运营消息
2. 发送</x:v>
      </x:c>
      <x:c r="K129" s="4" t="str">
        <x:v>返回列表</x:v>
      </x:c>
      <x:c r="L129" s="4" t="str"/>
      <x:c r="M129" s="4" t="str">
        <x:v>未测</x:v>
      </x:c>
      <x:c r="N129" s="4" t="str"/>
      <x:c r="O129" s="4" t="str">
        <x:v>1. 来源（原型批注）：liveshow-proto/prototype/annotations/guild.js；guild-message-compose.html
2. 页面：guild-message-compose.html
3. 规则：BR-A8EA2C71F1095B
4. 场景：SC-FF9FB5652DCEA2
5. 未动态验证</x:v>
      </x:c>
    </x:row>
    <x:row r="130" ht="54" customHeight="1">
      <x:c r="A130" s="4" t="n">
        <x:v>129</x:v>
      </x:c>
      <x:c r="B130" s="4" t="str">
        <x:v>GOPS-0017</x:v>
      </x:c>
      <x:c r="C130" s="4" t="str">
        <x:v>运营管理</x:v>
      </x:c>
      <x:c r="D130" s="4" t="str">
        <x:v>新建运营消息（公会长视角）</x:v>
      </x:c>
      <x:c r="E130" s="4" t="str">
        <x:v>功能需求</x:v>
      </x:c>
      <x:c r="F130" s="4" t="str">
        <x:v>P2</x:v>
      </x:c>
      <x:c r="G130" s="4" t="str">
        <x:v>验证新建运营消息可查看发送对象</x:v>
      </x:c>
      <x:c r="H130" s="4" t="str">
        <x:v>发送对象展示</x:v>
      </x:c>
      <x:c r="I130" s="4" t="str">
        <x:v>1. 公会长账号已登录且具备当前页面权限</x:v>
      </x:c>
      <x:c r="J130" s="4" t="str">
        <x:v>1. 进入新建运营消息
2. 查看发送对象</x:v>
      </x:c>
      <x:c r="K130" s="4" t="str">
        <x:v>新建运营消息显示“发送对象”</x:v>
      </x:c>
      <x:c r="L130" s="4" t="str"/>
      <x:c r="M130" s="4" t="str">
        <x:v>未测</x:v>
      </x:c>
      <x:c r="N130" s="4" t="str"/>
      <x:c r="O130" s="4" t="str">
        <x:v>1. 来源（原型批注）：liveshow-proto/prototype/annotations/guild.js；guild-message-compose.html
2. 页面：guild-message-compose.html
3. 规则：BR-0D3DEEF0CB76E8、BR-4DBCF26ADD7C57
4. 场景：SC-C3F99A8C8A8CAC
5. 未动态验证</x:v>
      </x:c>
    </x:row>
    <x:row r="131" ht="54" customHeight="1">
      <x:c r="A131" s="4" t="n">
        <x:v>130</x:v>
      </x:c>
      <x:c r="B131" s="4" t="str">
        <x:v>GOPS-0018</x:v>
      </x:c>
      <x:c r="C131" s="4" t="str">
        <x:v>运营管理</x:v>
      </x:c>
      <x:c r="D131" s="4" t="str">
        <x:v>新建运营消息（公会长视角）</x:v>
      </x:c>
      <x:c r="E131" s="4" t="str">
        <x:v>功能需求</x:v>
      </x:c>
      <x:c r="F131" s="4" t="str">
        <x:v>P2</x:v>
      </x:c>
      <x:c r="G131" s="4" t="str">
        <x:v>验证新建运营消息可查看图片</x:v>
      </x:c>
      <x:c r="H131" s="4" t="str">
        <x:v>图片展示</x:v>
      </x:c>
      <x:c r="I131" s="4" t="str">
        <x:v>1. 公会长账号已登录且具备当前页面权限</x:v>
      </x:c>
      <x:c r="J131" s="4" t="str">
        <x:v>1. 进入新建运营消息
2. 查看图片</x:v>
      </x:c>
      <x:c r="K131" s="4" t="str">
        <x:v>新建运营消息显示“图片”</x:v>
      </x:c>
      <x:c r="L131" s="4" t="str"/>
      <x:c r="M131" s="4" t="str">
        <x:v>未测</x:v>
      </x:c>
      <x:c r="N131" s="4" t="str"/>
      <x:c r="O131" s="4" t="str">
        <x:v>1. 来源（原型批注）：liveshow-proto/prototype/annotations/guild.js；guild-message-compose.html
2. 页面：guild-message-compose.html
3. 规则：BR-425B7065C32383、BR-A606CC26FB1739
4. 场景：SC-9ACC9631E09CAD
5. 未动态验证</x:v>
      </x:c>
    </x:row>
    <x:row r="132" ht="54" customHeight="1">
      <x:c r="A132" s="4" t="n">
        <x:v>131</x:v>
      </x:c>
      <x:c r="B132" s="4" t="str">
        <x:v>GOPS-0019</x:v>
      </x:c>
      <x:c r="C132" s="4" t="str">
        <x:v>运营管理</x:v>
      </x:c>
      <x:c r="D132" s="4" t="str">
        <x:v>新建运营消息（公会长视角）</x:v>
      </x:c>
      <x:c r="E132" s="4" t="str">
        <x:v>功能需求</x:v>
      </x:c>
      <x:c r="F132" s="4" t="str">
        <x:v>P2</x:v>
      </x:c>
      <x:c r="G132" s="4" t="str">
        <x:v>验证新建运营消息可查看消息内容</x:v>
      </x:c>
      <x:c r="H132" s="4" t="str">
        <x:v>消息内容展示</x:v>
      </x:c>
      <x:c r="I132" s="4" t="str">
        <x:v>1. 公会长账号已登录且具备当前页面权限</x:v>
      </x:c>
      <x:c r="J132" s="4" t="str">
        <x:v>1. 进入新建运营消息
2. 查看消息内容</x:v>
      </x:c>
      <x:c r="K132" s="4" t="str">
        <x:v>新建运营消息显示“消息内容”</x:v>
      </x:c>
      <x:c r="L132" s="4" t="str"/>
      <x:c r="M132" s="4" t="str">
        <x:v>未测</x:v>
      </x:c>
      <x:c r="N132" s="4" t="str"/>
      <x:c r="O132" s="4" t="str">
        <x:v>1. 来源（原型批注）：liveshow-proto/prototype/annotations/guild.js；guild-message-compose.html
2. 页面：guild-message-compose.html
3. 规则：BR-EFBA5AFA132362
4. 场景：SC-625590843B74AB
5. 未动态验证</x:v>
      </x:c>
    </x:row>
    <x:row r="133" ht="54" customHeight="1">
      <x:c r="A133" s="4" t="n">
        <x:v>132</x:v>
      </x:c>
      <x:c r="B133" s="4" t="str">
        <x:v>GOPS-0020</x:v>
      </x:c>
      <x:c r="C133" s="4" t="str">
        <x:v>运营管理</x:v>
      </x:c>
      <x:c r="D133" s="4" t="str">
        <x:v>选择运营账号（公会长视角）</x:v>
      </x:c>
      <x:c r="E133" s="4" t="str">
        <x:v>业务流程</x:v>
      </x:c>
      <x:c r="F133" s="4" t="str">
        <x:v>P2</x:v>
      </x:c>
      <x:c r="G133" s="4" t="str">
        <x:v>验证取消全选后的选择运营账号状态</x:v>
      </x:c>
      <x:c r="H133" s="4" t="str">
        <x:v>选择运营账号状态</x:v>
      </x:c>
      <x:c r="I133" s="4" t="str">
        <x:v>1. 公会长账号已登录且具备当前页面权限</x:v>
      </x:c>
      <x:c r="J133" s="4" t="str">
        <x:v>1. 进入选择运营账号
2. 取消全选</x:v>
      </x:c>
      <x:c r="K133" s="4" t="str">
        <x:v>清空选择</x:v>
      </x:c>
      <x:c r="L133" s="4" t="str"/>
      <x:c r="M133" s="4" t="str">
        <x:v>未测</x:v>
      </x:c>
      <x:c r="N133" s="4" t="str"/>
      <x:c r="O133" s="4" t="str">
        <x:v>1. 来源（原型批注）：liveshow-proto/prototype/annotations/guild.js；guild-operation-account-select.html
2. 页面：guild-operation-account-select.html
3. 规则：BR-908AEA94F7691A
4. 场景：SC-4BE8DEE8E5E966
5. 未动态验证</x:v>
      </x:c>
    </x:row>
    <x:row r="134" ht="54" customHeight="1">
      <x:c r="A134" s="4" t="n">
        <x:v>133</x:v>
      </x:c>
      <x:c r="B134" s="4" t="str">
        <x:v>GOPS-0021</x:v>
      </x:c>
      <x:c r="C134" s="4" t="str">
        <x:v>运营管理</x:v>
      </x:c>
      <x:c r="D134" s="4" t="str">
        <x:v>选择运营账号（公会长视角）</x:v>
      </x:c>
      <x:c r="E134" s="4" t="str">
        <x:v>业务流程</x:v>
      </x:c>
      <x:c r="F134" s="4" t="str">
        <x:v>P2</x:v>
      </x:c>
      <x:c r="G134" s="4" t="str">
        <x:v>验证完成后的选择运营账号状态</x:v>
      </x:c>
      <x:c r="H134" s="4" t="str">
        <x:v>选择运营账号状态</x:v>
      </x:c>
      <x:c r="I134" s="4" t="str">
        <x:v>1. 公会长账号已登录且具备当前页面权限
2. 完成</x:v>
      </x:c>
      <x:c r="J134" s="4" t="str">
        <x:v>1. 进入选择运营账号
2. 刷新选择运营账号</x:v>
      </x:c>
      <x:c r="K134" s="4" t="str">
        <x:v>返回送礼记录</x:v>
      </x:c>
      <x:c r="L134" s="4" t="str"/>
      <x:c r="M134" s="4" t="str">
        <x:v>未测</x:v>
      </x:c>
      <x:c r="N134" s="4" t="str"/>
      <x:c r="O134" s="4" t="str">
        <x:v>1. 来源（原型批注）：liveshow-proto/prototype/annotations/guild.js；guild-operation-account-select.html
2. 页面：guild-operation-account-select.html
3. 规则：BR-8421878C196214
4. 场景：SC-0CAF4154970AEC
5. 未动态验证</x:v>
      </x:c>
    </x:row>
    <x:row r="135" ht="54" customHeight="1">
      <x:c r="A135" s="4" t="n">
        <x:v>134</x:v>
      </x:c>
      <x:c r="B135" s="4" t="str">
        <x:v>GOPS-0022</x:v>
      </x:c>
      <x:c r="C135" s="4" t="str">
        <x:v>运营管理</x:v>
      </x:c>
      <x:c r="D135" s="4" t="str">
        <x:v>选择运营账号（公会长视角）</x:v>
      </x:c>
      <x:c r="E135" s="4" t="str">
        <x:v>功能需求</x:v>
      </x:c>
      <x:c r="F135" s="4" t="str">
        <x:v>P2</x:v>
      </x:c>
      <x:c r="G135" s="4" t="str">
        <x:v>验证选择运营账号可查看搜索</x:v>
      </x:c>
      <x:c r="H135" s="4" t="str">
        <x:v>搜索展示</x:v>
      </x:c>
      <x:c r="I135" s="4" t="str">
        <x:v>1. 公会长账号已登录且具备当前页面权限</x:v>
      </x:c>
      <x:c r="J135" s="4" t="str">
        <x:v>1. 进入选择运营账号
2. 查看搜索</x:v>
      </x:c>
      <x:c r="K135" s="4" t="str">
        <x:v>选择运营账号显示“搜索”</x:v>
      </x:c>
      <x:c r="L135" s="4" t="str"/>
      <x:c r="M135" s="4" t="str">
        <x:v>未测</x:v>
      </x:c>
      <x:c r="N135" s="4" t="str"/>
      <x:c r="O135" s="4" t="str">
        <x:v>1. 来源（原型批注）：liveshow-proto/prototype/annotations/guild.js；guild-operation-account-select.html
2. 页面：guild-operation-account-select.html
3. 规则：BR-D45779C240EB21
4. 场景：SC-5E6F1AEC0F2466
5. 未动态验证</x:v>
      </x:c>
    </x:row>
    <x:row r="136" ht="54" customHeight="1">
      <x:c r="A136" s="4" t="n">
        <x:v>135</x:v>
      </x:c>
      <x:c r="B136" s="4" t="str">
        <x:v>GOPS-0023</x:v>
      </x:c>
      <x:c r="C136" s="4" t="str">
        <x:v>运营管理</x:v>
      </x:c>
      <x:c r="D136" s="4" t="str">
        <x:v>选择运营账号（公会长视角）</x:v>
      </x:c>
      <x:c r="E136" s="4" t="str">
        <x:v>功能需求</x:v>
      </x:c>
      <x:c r="F136" s="4" t="str">
        <x:v>P2</x:v>
      </x:c>
      <x:c r="G136" s="4" t="str">
        <x:v>验证选择运营账号可查看选择结果</x:v>
      </x:c>
      <x:c r="H136" s="4" t="str">
        <x:v>选择结果展示</x:v>
      </x:c>
      <x:c r="I136" s="4" t="str">
        <x:v>1. 公会长账号已登录且具备当前页面权限</x:v>
      </x:c>
      <x:c r="J136" s="4" t="str">
        <x:v>1. 进入选择运营账号
2. 查看选择结果</x:v>
      </x:c>
      <x:c r="K136" s="4" t="str">
        <x:v>选择运营账号显示“选择结果”</x:v>
      </x:c>
      <x:c r="L136" s="4" t="str"/>
      <x:c r="M136" s="4" t="str">
        <x:v>未测</x:v>
      </x:c>
      <x:c r="N136" s="4" t="str"/>
      <x:c r="O136" s="4" t="str">
        <x:v>1. 来源（原型批注）：liveshow-proto/prototype/annotations/guild.js；guild-operation-account-select.html
2. 页面：guild-operation-account-select.html
3. 规则：BR-3454D7B7437E96、BR-77758FD43F13D1
4. 场景：SC-B698EC057E4B95
5. 未动态验证</x:v>
      </x:c>
    </x:row>
    <x:row r="137" ht="54" customHeight="1">
      <x:c r="A137" s="4" t="n">
        <x:v>136</x:v>
      </x:c>
      <x:c r="B137" s="4" t="str">
        <x:v>GOPS-0024</x:v>
      </x:c>
      <x:c r="C137" s="4" t="str">
        <x:v>运营管理</x:v>
      </x:c>
      <x:c r="D137" s="4" t="str">
        <x:v>选择主播（公会长视角）</x:v>
      </x:c>
      <x:c r="E137" s="4" t="str">
        <x:v>业务流程</x:v>
      </x:c>
      <x:c r="F137" s="4" t="str">
        <x:v>P2</x:v>
      </x:c>
      <x:c r="G137" s="4" t="str">
        <x:v>验证完成后的选择主播状态</x:v>
      </x:c>
      <x:c r="H137" s="4" t="str">
        <x:v>选择主播状态</x:v>
      </x:c>
      <x:c r="I137" s="4" t="str">
        <x:v>1. 公会长账号已登录且具备当前页面权限
2. 完成</x:v>
      </x:c>
      <x:c r="J137" s="4" t="str">
        <x:v>1. 进入选择主播
2. 刷新选择主播</x:v>
      </x:c>
      <x:c r="K137" s="4" t="str">
        <x:v>回填新建运营消息</x:v>
      </x:c>
      <x:c r="L137" s="4" t="str"/>
      <x:c r="M137" s="4" t="str">
        <x:v>未测</x:v>
      </x:c>
      <x:c r="N137" s="4" t="str"/>
      <x:c r="O137" s="4" t="str">
        <x:v>1. 来源（原型批注）：liveshow-proto/prototype/annotations/guild.js；guild-host-select.html
2. 页面：guild-host-select.html
3. 规则：BR-C13E6697D163C5
4. 场景：SC-1AC2655F82C029
5. 未动态验证</x:v>
      </x:c>
    </x:row>
    <x:row r="138" ht="54" customHeight="1">
      <x:c r="A138" s="4" t="n">
        <x:v>137</x:v>
      </x:c>
      <x:c r="B138" s="4" t="str">
        <x:v>GOPS-0025</x:v>
      </x:c>
      <x:c r="C138" s="4" t="str">
        <x:v>运营管理</x:v>
      </x:c>
      <x:c r="D138" s="4" t="str">
        <x:v>选择主播（公会长视角）</x:v>
      </x:c>
      <x:c r="E138" s="4" t="str">
        <x:v>功能需求</x:v>
      </x:c>
      <x:c r="F138" s="4" t="str">
        <x:v>P2</x:v>
      </x:c>
      <x:c r="G138" s="4" t="str">
        <x:v>验证未选择时的选择主播结果</x:v>
      </x:c>
      <x:c r="H138" s="4" t="str">
        <x:v>选择主播条件结果</x:v>
      </x:c>
      <x:c r="I138" s="4" t="str">
        <x:v>1. 公会长账号已登录且具备当前页面权限
2. 未选择</x:v>
      </x:c>
      <x:c r="J138" s="4" t="str">
        <x:v>1. 进入选择主播
2. 查看选择主播</x:v>
      </x:c>
      <x:c r="K138" s="4" t="str">
        <x:v>提示选择主播</x:v>
      </x:c>
      <x:c r="L138" s="4" t="str"/>
      <x:c r="M138" s="4" t="str">
        <x:v>未测</x:v>
      </x:c>
      <x:c r="N138" s="4" t="str"/>
      <x:c r="O138" s="4" t="str">
        <x:v>1. 来源（原型批注）：liveshow-proto/prototype/annotations/guild.js；guild-host-select.html
2. 页面：guild-host-select.html
3. 规则：BR-30C46D4E149855
4. 场景：SC-78D899863CFAC5
5. 未动态验证</x:v>
      </x:c>
    </x:row>
    <x:row r="139" ht="54" customHeight="1">
      <x:c r="A139" s="4" t="n">
        <x:v>138</x:v>
      </x:c>
      <x:c r="B139" s="4" t="str">
        <x:v>GOPS-0026</x:v>
      </x:c>
      <x:c r="C139" s="4" t="str">
        <x:v>运营管理</x:v>
      </x:c>
      <x:c r="D139" s="4" t="str">
        <x:v>选择主播（公会长视角）</x:v>
      </x:c>
      <x:c r="E139" s="4" t="str">
        <x:v>逻辑校验</x:v>
      </x:c>
      <x:c r="F139" s="4" t="str">
        <x:v>P2</x:v>
      </x:c>
      <x:c r="G139" s="4" t="str">
        <x:v>验证选择结果按指定范围筛选</x:v>
      </x:c>
      <x:c r="H139" s="4" t="str">
        <x:v>选择结果数据范围</x:v>
      </x:c>
      <x:c r="I139" s="4" t="str">
        <x:v>1. 公会长账号已登录且具备当前页面权限
2. 存在符合和不符合“1 名当前公会主播”的记录</x:v>
      </x:c>
      <x:c r="J139" s="4" t="str">
        <x:v>1. 进入选择主播
2. 查看选择结果</x:v>
      </x:c>
      <x:c r="K139" s="4" t="str">
        <x:v>仅可选择 1 名当前公会主播</x:v>
      </x:c>
      <x:c r="L139" s="4" t="str"/>
      <x:c r="M139" s="4" t="str">
        <x:v>未测</x:v>
      </x:c>
      <x:c r="N139" s="4" t="str"/>
      <x:c r="O139" s="4" t="str">
        <x:v>1. 来源（原型批注）：liveshow-proto/prototype/annotations/guild.js；guild-host-select.html
2. 页面：guild-host-select.html
3. 规则：BR-BFA4B25CE5813D
4. 场景：SC-BEA4B75608D80F
5. 未动态验证</x:v>
      </x:c>
    </x:row>
    <x:row r="140" ht="54" customHeight="1">
      <x:c r="A140" s="4" t="n">
        <x:v>139</x:v>
      </x:c>
      <x:c r="B140" s="4" t="str">
        <x:v>GOPS-0027</x:v>
      </x:c>
      <x:c r="C140" s="4" t="str">
        <x:v>运营管理</x:v>
      </x:c>
      <x:c r="D140" s="4" t="str">
        <x:v>选择主播（公会长视角）</x:v>
      </x:c>
      <x:c r="E140" s="4" t="str">
        <x:v>功能需求</x:v>
      </x:c>
      <x:c r="F140" s="4" t="str">
        <x:v>P2</x:v>
      </x:c>
      <x:c r="G140" s="4" t="str">
        <x:v>验证选择主播可查看选择结果</x:v>
      </x:c>
      <x:c r="H140" s="4" t="str">
        <x:v>选择结果展示</x:v>
      </x:c>
      <x:c r="I140" s="4" t="str">
        <x:v>1. 公会长账号已登录且具备当前页面权限</x:v>
      </x:c>
      <x:c r="J140" s="4" t="str">
        <x:v>1. 进入选择主播
2. 查看选择结果</x:v>
      </x:c>
      <x:c r="K140" s="4" t="str">
        <x:v>选择主播显示“选择结果”</x:v>
      </x:c>
      <x:c r="L140" s="4" t="str"/>
      <x:c r="M140" s="4" t="str">
        <x:v>未测</x:v>
      </x:c>
      <x:c r="N140" s="4" t="str"/>
      <x:c r="O140" s="4" t="str">
        <x:v>1. 来源（原型批注）：liveshow-proto/prototype/annotations/guild.js；guild-host-select.html
2. 页面：guild-host-select.html
3. 规则：BR-BFA4B25CE5813D
4. 场景：SC-41C71DA5EDA6AE
5. 未动态验证</x:v>
      </x:c>
    </x:row>
    <x:row r="141" ht="54" customHeight="1">
      <x:c r="A141" s="4" t="n">
        <x:v>140</x:v>
      </x:c>
      <x:c r="B141" s="4" t="str">
        <x:v>GOPS-0028</x:v>
      </x:c>
      <x:c r="C141" s="4" t="str">
        <x:v>运营管理</x:v>
      </x:c>
      <x:c r="D141" s="4" t="str">
        <x:v>运营消息（公会长视角）</x:v>
      </x:c>
      <x:c r="E141" s="4" t="str">
        <x:v>业务流程</x:v>
      </x:c>
      <x:c r="F141" s="4" t="str">
        <x:v>P2</x:v>
      </x:c>
      <x:c r="G141" s="4" t="str">
        <x:v>验证点击消息记录后的运营消息状态</x:v>
      </x:c>
      <x:c r="H141" s="4" t="str">
        <x:v>运营消息状态</x:v>
      </x:c>
      <x:c r="I141" s="4" t="str">
        <x:v>1. 公会长账号已登录且具备当前页面权限</x:v>
      </x:c>
      <x:c r="J141" s="4" t="str">
        <x:v>1. 进入运营消息
2. 点击消息记录</x:v>
      </x:c>
      <x:c r="K141" s="4" t="str">
        <x:v>进入消息详情</x:v>
      </x:c>
      <x:c r="L141" s="4" t="str"/>
      <x:c r="M141" s="4" t="str">
        <x:v>未测</x:v>
      </x:c>
      <x:c r="N141" s="4" t="str"/>
      <x:c r="O141" s="4" t="str">
        <x:v>1. 来源（原型批注）：liveshow-proto/prototype/annotations/guild.js；guild-messages.html
2. 页面：guild-messages.html
3. 规则：BR-50C4F9A71B1CFD
4. 场景：SC-D8C8E187768BD3
5. 未动态验证</x:v>
      </x:c>
    </x:row>
    <x:row r="142" ht="54" customHeight="1">
      <x:c r="A142" s="4" t="n">
        <x:v>141</x:v>
      </x:c>
      <x:c r="B142" s="4" t="str">
        <x:v>GOPS-0029</x:v>
      </x:c>
      <x:c r="C142" s="4" t="str">
        <x:v>运营管理</x:v>
      </x:c>
      <x:c r="D142" s="4" t="str">
        <x:v>运营消息（公会长视角）</x:v>
      </x:c>
      <x:c r="E142" s="4" t="str">
        <x:v>业务流程</x:v>
      </x:c>
      <x:c r="F142" s="4" t="str">
        <x:v>P2</x:v>
      </x:c>
      <x:c r="G142" s="4" t="str">
        <x:v>验证新建后的运营消息状态</x:v>
      </x:c>
      <x:c r="H142" s="4" t="str">
        <x:v>运营消息状态</x:v>
      </x:c>
      <x:c r="I142" s="4" t="str">
        <x:v>1. 公会长账号已登录且具备当前页面权限
2. 新建</x:v>
      </x:c>
      <x:c r="J142" s="4" t="str">
        <x:v>1. 进入运营消息
2. 刷新运营消息</x:v>
      </x:c>
      <x:c r="K142" s="4" t="str">
        <x:v>进入发送页</x:v>
      </x:c>
      <x:c r="L142" s="4" t="str"/>
      <x:c r="M142" s="4" t="str">
        <x:v>未测</x:v>
      </x:c>
      <x:c r="N142" s="4" t="str"/>
      <x:c r="O142" s="4" t="str">
        <x:v>1. 来源（原型批注）：liveshow-proto/prototype/annotations/guild.js；guild-messages.html
2. 页面：guild-messages.html
3. 规则：BR-03F513EC0C071C
4. 场景：SC-F6F9EB372C6B38
5. 未动态验证</x:v>
      </x:c>
    </x:row>
    <x:row r="143" ht="54" customHeight="1">
      <x:c r="A143" s="4" t="n">
        <x:v>142</x:v>
      </x:c>
      <x:c r="B143" s="4" t="str">
        <x:v>GOPS-0030</x:v>
      </x:c>
      <x:c r="C143" s="4" t="str">
        <x:v>运营管理</x:v>
      </x:c>
      <x:c r="D143" s="4" t="str">
        <x:v>运营消息（公会长视角）</x:v>
      </x:c>
      <x:c r="E143" s="4" t="str">
        <x:v>功能需求</x:v>
      </x:c>
      <x:c r="F143" s="4" t="str">
        <x:v>P2</x:v>
      </x:c>
      <x:c r="G143" s="4" t="str">
        <x:v>验证运营消息的默认状态</x:v>
      </x:c>
      <x:c r="H143" s="4" t="str">
        <x:v>运营消息默认值</x:v>
      </x:c>
      <x:c r="I143" s="4" t="str">
        <x:v>1. 公会长账号已登录且具备当前页面权限</x:v>
      </x:c>
      <x:c r="J143" s="4" t="str">
        <x:v>1. 进入运营消息
2. 查看运营消息</x:v>
      </x:c>
      <x:c r="K143" s="4" t="str">
        <x:v>日期范围按发送时间筛选，默认本月</x:v>
      </x:c>
      <x:c r="L143" s="4" t="str"/>
      <x:c r="M143" s="4" t="str">
        <x:v>未测</x:v>
      </x:c>
      <x:c r="N143" s="4" t="str"/>
      <x:c r="O143" s="4" t="str">
        <x:v>1. 来源（原型批注）：liveshow-proto/prototype/annotations/guild.js；guild-messages.html
2. 页面：guild-messages.html
3. 规则：BR-4A5D310B656DE2
4. 场景：SC-0215CB896E1339
5. 未动态验证</x:v>
      </x:c>
    </x:row>
    <x:row r="144" ht="54" customHeight="1">
      <x:c r="A144" s="4" t="n">
        <x:v>143</x:v>
      </x:c>
      <x:c r="B144" s="4" t="str">
        <x:v>GOPS-0031</x:v>
      </x:c>
      <x:c r="C144" s="4" t="str">
        <x:v>运营管理</x:v>
      </x:c>
      <x:c r="D144" s="4" t="str">
        <x:v>运营消息（公会长视角）</x:v>
      </x:c>
      <x:c r="E144" s="4" t="str">
        <x:v>功能需求</x:v>
      </x:c>
      <x:c r="F144" s="4" t="str">
        <x:v>P2</x:v>
      </x:c>
      <x:c r="G144" s="4" t="str">
        <x:v>验证运营消息可查看发送对象</x:v>
      </x:c>
      <x:c r="H144" s="4" t="str">
        <x:v>发送对象展示</x:v>
      </x:c>
      <x:c r="I144" s="4" t="str">
        <x:v>1. 公会长账号已登录且具备当前页面权限</x:v>
      </x:c>
      <x:c r="J144" s="4" t="str">
        <x:v>1. 进入运营消息
2. 查看发送对象</x:v>
      </x:c>
      <x:c r="K144" s="4" t="str">
        <x:v>运营消息显示“发送对象”</x:v>
      </x:c>
      <x:c r="L144" s="4" t="str"/>
      <x:c r="M144" s="4" t="str">
        <x:v>未测</x:v>
      </x:c>
      <x:c r="N144" s="4" t="str"/>
      <x:c r="O144" s="4" t="str">
        <x:v>1. 来源（原型批注）：liveshow-proto/prototype/annotations/guild.js；guild-messages.html
2. 页面：guild-messages.html
3. 规则：BR-3E1D0225C7A068
4. 场景：SC-1398D83308211A
5. 未动态验证</x:v>
      </x:c>
    </x:row>
    <x:row r="145" ht="54" customHeight="1">
      <x:c r="A145" s="4" t="n">
        <x:v>144</x:v>
      </x:c>
      <x:c r="B145" s="4" t="str">
        <x:v>GOPS-0032</x:v>
      </x:c>
      <x:c r="C145" s="4" t="str">
        <x:v>运营管理</x:v>
      </x:c>
      <x:c r="D145" s="4" t="str">
        <x:v>运营消息（公会长视角）</x:v>
      </x:c>
      <x:c r="E145" s="4" t="str">
        <x:v>功能需求</x:v>
      </x:c>
      <x:c r="F145" s="4" t="str">
        <x:v>P2</x:v>
      </x:c>
      <x:c r="G145" s="4" t="str">
        <x:v>验证运营消息可查看发送时间</x:v>
      </x:c>
      <x:c r="H145" s="4" t="str">
        <x:v>发送时间展示</x:v>
      </x:c>
      <x:c r="I145" s="4" t="str">
        <x:v>1. 公会长账号已登录且具备当前页面权限</x:v>
      </x:c>
      <x:c r="J145" s="4" t="str">
        <x:v>1. 进入运营消息
2. 查看发送时间</x:v>
      </x:c>
      <x:c r="K145" s="4" t="str">
        <x:v>运营消息显示“发送时间”</x:v>
      </x:c>
      <x:c r="L145" s="4" t="str"/>
      <x:c r="M145" s="4" t="str">
        <x:v>未测</x:v>
      </x:c>
      <x:c r="N145" s="4" t="str"/>
      <x:c r="O145" s="4" t="str">
        <x:v>1. 来源（原型批注）：liveshow-proto/prototype/annotations/guild.js；guild-messages.html
2. 页面：guild-messages.html
3. 规则：BR-DF414803D10440
4. 场景：SC-3F5E1BC390D57D
5. 未动态验证</x:v>
      </x:c>
    </x:row>
    <x:row r="146" ht="54" customHeight="1">
      <x:c r="A146" s="4" t="n">
        <x:v>145</x:v>
      </x:c>
      <x:c r="B146" s="4" t="str">
        <x:v>GOPS-0033</x:v>
      </x:c>
      <x:c r="C146" s="4" t="str">
        <x:v>运营管理</x:v>
      </x:c>
      <x:c r="D146" s="4" t="str">
        <x:v>运营消息（公会长视角）</x:v>
      </x:c>
      <x:c r="E146" s="4" t="str">
        <x:v>功能需求</x:v>
      </x:c>
      <x:c r="F146" s="4" t="str">
        <x:v>P2</x:v>
      </x:c>
      <x:c r="G146" s="4" t="str">
        <x:v>验证运营消息可查看消息摘要</x:v>
      </x:c>
      <x:c r="H146" s="4" t="str">
        <x:v>消息摘要展示</x:v>
      </x:c>
      <x:c r="I146" s="4" t="str">
        <x:v>1. 公会长账号已登录且具备当前页面权限</x:v>
      </x:c>
      <x:c r="J146" s="4" t="str">
        <x:v>1. 进入运营消息
2. 查看消息摘要</x:v>
      </x:c>
      <x:c r="K146" s="4" t="str">
        <x:v>运营消息显示“消息摘要”</x:v>
      </x:c>
      <x:c r="L146" s="4" t="str"/>
      <x:c r="M146" s="4" t="str">
        <x:v>未测</x:v>
      </x:c>
      <x:c r="N146" s="4" t="str"/>
      <x:c r="O146" s="4" t="str">
        <x:v>1. 来源（原型批注）：liveshow-proto/prototype/annotations/guild.js；guild-messages.html
2. 页面：guild-messages.html
3. 规则：BR-06032BD04CC6C8
4. 场景：SC-6FB7F546398C9E
5. 未动态验证</x:v>
      </x:c>
    </x:row>
    <x:row r="147" ht="54" customHeight="1">
      <x:c r="A147" s="4" t="n">
        <x:v>146</x:v>
      </x:c>
      <x:c r="B147" s="4" t="str">
        <x:v>GOPS-0034</x:v>
      </x:c>
      <x:c r="C147" s="4" t="str">
        <x:v>运营管理</x:v>
      </x:c>
      <x:c r="D147" s="4" t="str">
        <x:v>运营消息详情（公会长视角）</x:v>
      </x:c>
      <x:c r="E147" s="4" t="str">
        <x:v>功能需求</x:v>
      </x:c>
      <x:c r="F147" s="4" t="str">
        <x:v>P2</x:v>
      </x:c>
      <x:c r="G147" s="4" t="str">
        <x:v>验证运营消息详情可查看发送对象</x:v>
      </x:c>
      <x:c r="H147" s="4" t="str">
        <x:v>发送对象展示</x:v>
      </x:c>
      <x:c r="I147" s="4" t="str">
        <x:v>1. 公会长账号已登录且具备当前页面权限</x:v>
      </x:c>
      <x:c r="J147" s="4" t="str">
        <x:v>1. 进入运营消息详情
2. 查看发送对象</x:v>
      </x:c>
      <x:c r="K147" s="4" t="str">
        <x:v>运营消息详情显示“发送对象”</x:v>
      </x:c>
      <x:c r="L147" s="4" t="str"/>
      <x:c r="M147" s="4" t="str">
        <x:v>未测</x:v>
      </x:c>
      <x:c r="N147" s="4" t="str"/>
      <x:c r="O147" s="4" t="str">
        <x:v>1. 来源（原型批注）：liveshow-proto/prototype/annotations/guild.js；guild-message-detail.html
2. 页面：guild-message-detail.html
3. 规则：BR-FCF6141A4CA989、BR-FDBA496A295C50
4. 场景：SC-105C6FD628F2AD
5. 未动态验证</x:v>
      </x:c>
    </x:row>
    <x:row r="148" ht="54" customHeight="1">
      <x:c r="A148" s="4" t="n">
        <x:v>147</x:v>
      </x:c>
      <x:c r="B148" s="4" t="str">
        <x:v>GOPS-0035</x:v>
      </x:c>
      <x:c r="C148" s="4" t="str">
        <x:v>运营管理</x:v>
      </x:c>
      <x:c r="D148" s="4" t="str">
        <x:v>运营消息详情（公会长视角）</x:v>
      </x:c>
      <x:c r="E148" s="4" t="str">
        <x:v>功能需求</x:v>
      </x:c>
      <x:c r="F148" s="4" t="str">
        <x:v>P2</x:v>
      </x:c>
      <x:c r="G148" s="4" t="str">
        <x:v>验证运营消息详情可查看发送人</x:v>
      </x:c>
      <x:c r="H148" s="4" t="str">
        <x:v>发送人展示</x:v>
      </x:c>
      <x:c r="I148" s="4" t="str">
        <x:v>1. 公会长账号已登录且具备当前页面权限</x:v>
      </x:c>
      <x:c r="J148" s="4" t="str">
        <x:v>1. 进入运营消息详情
2. 查看发送人</x:v>
      </x:c>
      <x:c r="K148" s="4" t="str">
        <x:v>运营消息详情显示“发送人”</x:v>
      </x:c>
      <x:c r="L148" s="4" t="str"/>
      <x:c r="M148" s="4" t="str">
        <x:v>未测</x:v>
      </x:c>
      <x:c r="N148" s="4" t="str"/>
      <x:c r="O148" s="4" t="str">
        <x:v>1. 来源（原型批注）：liveshow-proto/prototype/annotations/guild.js；guild-message-detail.html
2. 页面：guild-message-detail.html
3. 规则：BR-C6FC1F7C30BA44
4. 场景：SC-5D7A8247D0F0EB
5. 未动态验证</x:v>
      </x:c>
    </x:row>
    <x:row r="149" ht="54" customHeight="1">
      <x:c r="A149" s="4" t="n">
        <x:v>148</x:v>
      </x:c>
      <x:c r="B149" s="4" t="str">
        <x:v>GOPS-0036</x:v>
      </x:c>
      <x:c r="C149" s="4" t="str">
        <x:v>运营管理</x:v>
      </x:c>
      <x:c r="D149" s="4" t="str">
        <x:v>运营消息详情（公会长视角）</x:v>
      </x:c>
      <x:c r="E149" s="4" t="str">
        <x:v>功能需求</x:v>
      </x:c>
      <x:c r="F149" s="4" t="str">
        <x:v>P2</x:v>
      </x:c>
      <x:c r="G149" s="4" t="str">
        <x:v>验证运营消息详情可查看发送时间</x:v>
      </x:c>
      <x:c r="H149" s="4" t="str">
        <x:v>发送时间展示</x:v>
      </x:c>
      <x:c r="I149" s="4" t="str">
        <x:v>1. 公会长账号已登录且具备当前页面权限</x:v>
      </x:c>
      <x:c r="J149" s="4" t="str">
        <x:v>1. 进入运营消息详情
2. 查看发送时间</x:v>
      </x:c>
      <x:c r="K149" s="4" t="str">
        <x:v>运营消息详情显示“发送时间”</x:v>
      </x:c>
      <x:c r="L149" s="4" t="str"/>
      <x:c r="M149" s="4" t="str">
        <x:v>未测</x:v>
      </x:c>
      <x:c r="N149" s="4" t="str"/>
      <x:c r="O149" s="4" t="str">
        <x:v>1. 来源（原型批注）：liveshow-proto/prototype/annotations/guild.js；guild-message-detail.html
2. 页面：guild-message-detail.html
3. 规则：BR-1F8FAFC3806215
4. 场景：SC-5571BB166AAEE7
5. 未动态验证</x:v>
      </x:c>
    </x:row>
    <x:row r="150" ht="54" customHeight="1">
      <x:c r="A150" s="4" t="n">
        <x:v>149</x:v>
      </x:c>
      <x:c r="B150" s="4" t="str">
        <x:v>GOPS-0037</x:v>
      </x:c>
      <x:c r="C150" s="4" t="str">
        <x:v>运营管理</x:v>
      </x:c>
      <x:c r="D150" s="4" t="str">
        <x:v>运营消息详情（公会长视角）</x:v>
      </x:c>
      <x:c r="E150" s="4" t="str">
        <x:v>功能需求</x:v>
      </x:c>
      <x:c r="F150" s="4" t="str">
        <x:v>P2</x:v>
      </x:c>
      <x:c r="G150" s="4" t="str">
        <x:v>验证运营消息详情可查看消息内容</x:v>
      </x:c>
      <x:c r="H150" s="4" t="str">
        <x:v>消息内容展示</x:v>
      </x:c>
      <x:c r="I150" s="4" t="str">
        <x:v>1. 公会长账号已登录且具备当前页面权限</x:v>
      </x:c>
      <x:c r="J150" s="4" t="str">
        <x:v>1. 进入运营消息详情
2. 查看消息内容</x:v>
      </x:c>
      <x:c r="K150" s="4" t="str">
        <x:v>运营消息详情显示“消息内容”</x:v>
      </x:c>
      <x:c r="L150" s="4" t="str"/>
      <x:c r="M150" s="4" t="str">
        <x:v>未测</x:v>
      </x:c>
      <x:c r="N150" s="4" t="str"/>
      <x:c r="O150" s="4" t="str">
        <x:v>1. 来源（原型批注）：liveshow-proto/prototype/annotations/guild.js；guild-message-detail.html
2. 页面：guild-message-detail.html
3. 规则：BR-185DCC3CAD2714
4. 场景：SC-8488C55AE4268C
5. 未动态验证</x:v>
      </x:c>
    </x:row>
    <x:row r="151" ht="54" customHeight="1">
      <x:c r="A151" s="4" t="n">
        <x:v>150</x:v>
      </x:c>
      <x:c r="B151" s="4" t="str">
        <x:v>GOPS-0038</x:v>
      </x:c>
      <x:c r="C151" s="4" t="str">
        <x:v>运营管理</x:v>
      </x:c>
      <x:c r="D151" s="4" t="str">
        <x:v>运营消息详情（公会长视角）</x:v>
      </x:c>
      <x:c r="E151" s="4" t="str">
        <x:v>功能需求</x:v>
      </x:c>
      <x:c r="F151" s="4" t="str">
        <x:v>P2</x:v>
      </x:c>
      <x:c r="G151" s="4" t="str">
        <x:v>验证指定主播时的运营消息详情结果</x:v>
      </x:c>
      <x:c r="H151" s="4" t="str">
        <x:v>运营消息详情条件结果</x:v>
      </x:c>
      <x:c r="I151" s="4" t="str">
        <x:v>1. 公会长账号已登录且具备当前页面权限
2. 指定主播</x:v>
      </x:c>
      <x:c r="J151" s="4" t="str">
        <x:v>1. 进入运营消息详情
2. 查看运营消息详情</x:v>
      </x:c>
      <x:c r="K151" s="4" t="str">
        <x:v>显示主播</x:v>
      </x:c>
      <x:c r="L151" s="4" t="str"/>
      <x:c r="M151" s="4" t="str">
        <x:v>未测</x:v>
      </x:c>
      <x:c r="N151" s="4" t="str"/>
      <x:c r="O151" s="4" t="str">
        <x:v>1. 来源（原型批注）：liveshow-proto/prototype/annotations/guild.js；guild-message-detail.html
2. 页面：guild-message-detail.html
3. 规则：BR-FDBA496A295C50
4. 场景：SC-AE2A57BD45E889
5. 未动态验证</x:v>
      </x:c>
    </x:row>
    <x:row r="152" ht="54" customHeight="1">
      <x:c r="A152" s="4" t="n">
        <x:v>151</x:v>
      </x:c>
      <x:c r="B152" s="4" t="str">
        <x:v>GOPS-0039</x:v>
      </x:c>
      <x:c r="C152" s="4" t="str">
        <x:v>运营管理</x:v>
      </x:c>
      <x:c r="D152" s="4" t="str">
        <x:v>运营账号（公会长视角）</x:v>
      </x:c>
      <x:c r="E152" s="4" t="str">
        <x:v>业务流程</x:v>
      </x:c>
      <x:c r="F152" s="4" t="str">
        <x:v>P2</x:v>
      </x:c>
      <x:c r="G152" s="4" t="str">
        <x:v>验证点击账号后的运营账号状态</x:v>
      </x:c>
      <x:c r="H152" s="4" t="str">
        <x:v>运营账号状态</x:v>
      </x:c>
      <x:c r="I152" s="4" t="str">
        <x:v>1. 公会长账号已登录且具备当前页面权限</x:v>
      </x:c>
      <x:c r="J152" s="4" t="str">
        <x:v>1. 进入运营账号
2. 点击账号</x:v>
      </x:c>
      <x:c r="K152" s="4" t="str">
        <x:v>进入账号主页</x:v>
      </x:c>
      <x:c r="L152" s="4" t="str"/>
      <x:c r="M152" s="4" t="str">
        <x:v>未测</x:v>
      </x:c>
      <x:c r="N152" s="4" t="str"/>
      <x:c r="O152" s="4" t="str">
        <x:v>1. 来源（原型批注）：liveshow-proto/prototype/annotations/guild.js；guild-operation-accounts.html
2. 页面：guild-operation-accounts.html
3. 规则：BR-FED09A77A57AC7
4. 场景：SC-F83D07E73385A9
5. 未动态验证</x:v>
      </x:c>
    </x:row>
    <x:row r="153" ht="54" customHeight="1">
      <x:c r="A153" s="4" t="n">
        <x:v>152</x:v>
      </x:c>
      <x:c r="B153" s="4" t="str">
        <x:v>GOPS-0040</x:v>
      </x:c>
      <x:c r="C153" s="4" t="str">
        <x:v>运营管理</x:v>
      </x:c>
      <x:c r="D153" s="4" t="str">
        <x:v>运营账号（公会长视角）</x:v>
      </x:c>
      <x:c r="E153" s="4" t="str">
        <x:v>功能需求</x:v>
      </x:c>
      <x:c r="F153" s="4" t="str">
        <x:v>P2</x:v>
      </x:c>
      <x:c r="G153" s="4" t="str">
        <x:v>验证运营账号可查看本月消费</x:v>
      </x:c>
      <x:c r="H153" s="4" t="str">
        <x:v>本月消费展示</x:v>
      </x:c>
      <x:c r="I153" s="4" t="str">
        <x:v>1. 公会长账号已登录且具备当前页面权限</x:v>
      </x:c>
      <x:c r="J153" s="4" t="str">
        <x:v>1. 进入运营账号
2. 查看本月消费</x:v>
      </x:c>
      <x:c r="K153" s="4" t="str">
        <x:v>运营账号显示“本月消费”</x:v>
      </x:c>
      <x:c r="L153" s="4" t="str"/>
      <x:c r="M153" s="4" t="str">
        <x:v>未测</x:v>
      </x:c>
      <x:c r="N153" s="4" t="str"/>
      <x:c r="O153" s="4" t="str">
        <x:v>1. 来源（原型批注）：liveshow-proto/prototype/annotations/guild.js；guild-operation-accounts.html
2. 页面：guild-operation-accounts.html
3. 规则：BR-83F8744C280C25
4. 场景：SC-1DEE77790F7854
5. 未动态验证</x:v>
      </x:c>
    </x:row>
    <x:row r="154" ht="54" customHeight="1">
      <x:c r="A154" s="4" t="n">
        <x:v>153</x:v>
      </x:c>
      <x:c r="B154" s="4" t="str">
        <x:v>GOPS-0041</x:v>
      </x:c>
      <x:c r="C154" s="4" t="str">
        <x:v>运营管理</x:v>
      </x:c>
      <x:c r="D154" s="4" t="str">
        <x:v>运营账号（公会长视角）</x:v>
      </x:c>
      <x:c r="E154" s="4" t="str">
        <x:v>功能需求</x:v>
      </x:c>
      <x:c r="F154" s="4" t="str">
        <x:v>P2</x:v>
      </x:c>
      <x:c r="G154" s="4" t="str">
        <x:v>验证运营账号可查看运营账号</x:v>
      </x:c>
      <x:c r="H154" s="4" t="str">
        <x:v>运营账号展示</x:v>
      </x:c>
      <x:c r="I154" s="4" t="str">
        <x:v>1. 公会长账号已登录且具备当前页面权限</x:v>
      </x:c>
      <x:c r="J154" s="4" t="str">
        <x:v>1. 进入运营账号
2. 查看运营账号</x:v>
      </x:c>
      <x:c r="K154" s="4" t="str">
        <x:v>运营账号显示“运营账号”</x:v>
      </x:c>
      <x:c r="L154" s="4" t="str"/>
      <x:c r="M154" s="4" t="str">
        <x:v>未测</x:v>
      </x:c>
      <x:c r="N154" s="4" t="str"/>
      <x:c r="O154" s="4" t="str">
        <x:v>1. 来源（原型批注）：liveshow-proto/prototype/annotations/guild.js；guild-operation-accounts.html
2. 页面：guild-operation-accounts.html
3. 规则：BR-D90902DB75434F
4. 场景：SC-AA8EB58B40F36F
5. 未动态验证</x:v>
      </x:c>
    </x:row>
    <x:row r="155" ht="54" customHeight="1">
      <x:c r="A155" s="4" t="n">
        <x:v>154</x:v>
      </x:c>
      <x:c r="B155" s="4" t="str">
        <x:v>GOPS-0042</x:v>
      </x:c>
      <x:c r="C155" s="4" t="str">
        <x:v>运营管理</x:v>
      </x:c>
      <x:c r="D155" s="4" t="str">
        <x:v>运营账号（公会长视角）</x:v>
      </x:c>
      <x:c r="E155" s="4" t="str">
        <x:v>功能需求</x:v>
      </x:c>
      <x:c r="F155" s="4" t="str">
        <x:v>P2</x:v>
      </x:c>
      <x:c r="G155" s="4" t="str">
        <x:v>验证运营账号可查看账户余额</x:v>
      </x:c>
      <x:c r="H155" s="4" t="str">
        <x:v>账户余额展示</x:v>
      </x:c>
      <x:c r="I155" s="4" t="str">
        <x:v>1. 公会长账号已登录且具备当前页面权限</x:v>
      </x:c>
      <x:c r="J155" s="4" t="str">
        <x:v>1. 进入运营账号
2. 查看账户余额</x:v>
      </x:c>
      <x:c r="K155" s="4" t="str">
        <x:v>运营账号显示“账户余额”</x:v>
      </x:c>
      <x:c r="L155" s="4" t="str"/>
      <x:c r="M155" s="4" t="str">
        <x:v>未测</x:v>
      </x:c>
      <x:c r="N155" s="4" t="str"/>
      <x:c r="O155" s="4" t="str">
        <x:v>1. 来源（原型批注）：liveshow-proto/prototype/annotations/guild.js；guild-operation-accounts.html
2. 页面：guild-operation-accounts.html
3. 规则：BR-B94C1489307934
4. 场景：SC-7DC7DC4A89CCD3
5. 未动态验证</x:v>
      </x:c>
    </x:row>
    <x:row r="156" ht="54" customHeight="1">
      <x:c r="A156" s="4" t="n">
        <x:v>155</x:v>
      </x:c>
      <x:c r="B156" s="4" t="str">
        <x:v>GOPS-0043</x:v>
      </x:c>
      <x:c r="C156" s="4" t="str">
        <x:v>运营管理</x:v>
      </x:c>
      <x:c r="D156" s="4" t="str">
        <x:v>运营账号主页（公会长视角）</x:v>
      </x:c>
      <x:c r="E156" s="4" t="str">
        <x:v>业务流程</x:v>
      </x:c>
      <x:c r="F156" s="4" t="str">
        <x:v>P2</x:v>
      </x:c>
      <x:c r="G156" s="4" t="str">
        <x:v>验证点击日期消费后的运营账号主页状态</x:v>
      </x:c>
      <x:c r="H156" s="4" t="str">
        <x:v>运营账号主页状态</x:v>
      </x:c>
      <x:c r="I156" s="4" t="str">
        <x:v>1. 公会长账号已登录且具备当前页面权限</x:v>
      </x:c>
      <x:c r="J156" s="4" t="str">
        <x:v>1. 进入运营账号主页
2. 点击日期消费</x:v>
      </x:c>
      <x:c r="K156" s="4" t="str">
        <x:v>进入送礼记录并带入账号和日期</x:v>
      </x:c>
      <x:c r="L156" s="4" t="str"/>
      <x:c r="M156" s="4" t="str">
        <x:v>未测</x:v>
      </x:c>
      <x:c r="N156" s="4" t="str"/>
      <x:c r="O156" s="4" t="str">
        <x:v>1. 来源（原型批注）：liveshow-proto/prototype/annotations/guild.js；guild-operation-account-detail.html
2. 页面：guild-operation-account-detail.html
3. 规则：BR-25567CC3617D7C
4. 场景：SC-F39FC0AC835B02
5. 未动态验证</x:v>
      </x:c>
    </x:row>
    <x:row r="157" ht="54" customHeight="1">
      <x:c r="A157" s="4" t="n">
        <x:v>156</x:v>
      </x:c>
      <x:c r="B157" s="4" t="str">
        <x:v>GOPS-0044</x:v>
      </x:c>
      <x:c r="C157" s="4" t="str">
        <x:v>运营管理</x:v>
      </x:c>
      <x:c r="D157" s="4" t="str">
        <x:v>运营账号主页（公会长视角）</x:v>
      </x:c>
      <x:c r="E157" s="4" t="str">
        <x:v>业务流程</x:v>
      </x:c>
      <x:c r="F157" s="4" t="str">
        <x:v>P2</x:v>
      </x:c>
      <x:c r="G157" s="4" t="str">
        <x:v>验证发放成功后的运营账号主页状态</x:v>
      </x:c>
      <x:c r="H157" s="4" t="str">
        <x:v>运营账号主页状态</x:v>
      </x:c>
      <x:c r="I157" s="4" t="str">
        <x:v>1. 公会长账号已登录且具备当前页面权限
2. 发放成功</x:v>
      </x:c>
      <x:c r="J157" s="4" t="str">
        <x:v>1. 进入运营账号主页
2. 刷新运营账号主页</x:v>
      </x:c>
      <x:c r="K157" s="4" t="str">
        <x:v>刷新指标</x:v>
      </x:c>
      <x:c r="L157" s="4" t="str"/>
      <x:c r="M157" s="4" t="str">
        <x:v>未测</x:v>
      </x:c>
      <x:c r="N157" s="4" t="str"/>
      <x:c r="O157" s="4" t="str">
        <x:v>1. 来源（原型批注）：liveshow-proto/prototype/annotations/guild.js；guild-operation-account-detail.html
2. 页面：guild-operation-account-detail.html
3. 规则：BR-1D81C1C284746E
4. 场景：SC-CC715BF413A314
5. 未动态验证</x:v>
      </x:c>
    </x:row>
    <x:row r="158" ht="54" customHeight="1">
      <x:c r="A158" s="4" t="n">
        <x:v>157</x:v>
      </x:c>
      <x:c r="B158" s="4" t="str">
        <x:v>GOPS-0045</x:v>
      </x:c>
      <x:c r="C158" s="4" t="str">
        <x:v>运营管理</x:v>
      </x:c>
      <x:c r="D158" s="4" t="str">
        <x:v>运营账号主页（公会长视角）</x:v>
      </x:c>
      <x:c r="E158" s="4" t="str">
        <x:v>异常用例</x:v>
      </x:c>
      <x:c r="F158" s="4" t="str">
        <x:v>P2</x:v>
      </x:c>
      <x:c r="G158" s="4" t="str">
        <x:v>验证禁用后的运营账号主页状态</x:v>
      </x:c>
      <x:c r="H158" s="4" t="str">
        <x:v>运营账号主页状态</x:v>
      </x:c>
      <x:c r="I158" s="4" t="str">
        <x:v>1. 公会长账号已登录且具备当前页面权限
2. 禁用</x:v>
      </x:c>
      <x:c r="J158" s="4" t="str">
        <x:v>1. 进入运营账号主页
2. 刷新运营账号主页</x:v>
      </x:c>
      <x:c r="K158" s="4" t="str">
        <x:v>不可登录或送礼</x:v>
      </x:c>
      <x:c r="L158" s="4" t="str"/>
      <x:c r="M158" s="4" t="str">
        <x:v>未测</x:v>
      </x:c>
      <x:c r="N158" s="4" t="str"/>
      <x:c r="O158" s="4" t="str">
        <x:v>1. 来源（原型批注）：liveshow-proto/prototype/annotations/guild.js；guild-operation-account-detail.html
2. 页面：guild-operation-account-detail.html
3. 规则：BR-672281127B75C3
4. 场景：SC-1C8E77EF64E71C
5. 未动态验证</x:v>
      </x:c>
    </x:row>
    <x:row r="159" ht="54" customHeight="1">
      <x:c r="A159" s="4" t="n">
        <x:v>158</x:v>
      </x:c>
      <x:c r="B159" s="4" t="str">
        <x:v>GOPS-0046</x:v>
      </x:c>
      <x:c r="C159" s="4" t="str">
        <x:v>运营管理</x:v>
      </x:c>
      <x:c r="D159" s="4" t="str">
        <x:v>运营账号主页（公会长视角）</x:v>
      </x:c>
      <x:c r="E159" s="4" t="str">
        <x:v>功能需求</x:v>
      </x:c>
      <x:c r="F159" s="4" t="str">
        <x:v>P2</x:v>
      </x:c>
      <x:c r="G159" s="4" t="str">
        <x:v>验证平台锁定公会管理权限时的运营账号主页结果</x:v>
      </x:c>
      <x:c r="H159" s="4" t="str">
        <x:v>运营账号主页条件结果</x:v>
      </x:c>
      <x:c r="I159" s="4" t="str">
        <x:v>1. 公会长账号已登录且具备当前页面权限
2. 平台锁定公会管理权限</x:v>
      </x:c>
      <x:c r="J159" s="4" t="str">
        <x:v>1. 进入运营账号主页
2. 查看运营账号主页</x:v>
      </x:c>
      <x:c r="K159" s="4" t="str">
        <x:v>仅可查看，不能启停或发放金币</x:v>
      </x:c>
      <x:c r="L159" s="4" t="str"/>
      <x:c r="M159" s="4" t="str">
        <x:v>未测</x:v>
      </x:c>
      <x:c r="N159" s="4" t="str"/>
      <x:c r="O159" s="4" t="str">
        <x:v>1. 来源（原型批注）：liveshow-proto/prototype/annotations/guild.js；guild-operation-account-detail.html
2. 页面：guild-operation-account-detail.html
3. 规则：BR-EB6EDA20F42146
4. 场景：SC-261743F34E1FBF
5. 未动态验证</x:v>
      </x:c>
    </x:row>
    <x:row r="160" ht="54" customHeight="1">
      <x:c r="A160" s="4" t="n">
        <x:v>159</x:v>
      </x:c>
      <x:c r="B160" s="4" t="str">
        <x:v>GOPS-0047</x:v>
      </x:c>
      <x:c r="C160" s="4" t="str">
        <x:v>运营管理</x:v>
      </x:c>
      <x:c r="D160" s="4" t="str">
        <x:v>运营账号主页（公会长视角）</x:v>
      </x:c>
      <x:c r="E160" s="4" t="str">
        <x:v>业务流程</x:v>
      </x:c>
      <x:c r="F160" s="4" t="str">
        <x:v>P2</x:v>
      </x:c>
      <x:c r="G160" s="4" t="str">
        <x:v>验证启停后的运营账号主页状态</x:v>
      </x:c>
      <x:c r="H160" s="4" t="str">
        <x:v>运营账号主页状态</x:v>
      </x:c>
      <x:c r="I160" s="4" t="str">
        <x:v>1. 公会长账号已登录且具备当前页面权限
2. 启停</x:v>
      </x:c>
      <x:c r="J160" s="4" t="str">
        <x:v>1. 进入运营账号主页
2. 刷新运营账号主页</x:v>
      </x:c>
      <x:c r="K160" s="4" t="str">
        <x:v>刷新指标</x:v>
      </x:c>
      <x:c r="L160" s="4" t="str"/>
      <x:c r="M160" s="4" t="str">
        <x:v>未测</x:v>
      </x:c>
      <x:c r="N160" s="4" t="str"/>
      <x:c r="O160" s="4" t="str">
        <x:v>1. 来源（原型批注）：liveshow-proto/prototype/annotations/guild.js；guild-operation-account-detail.html
2. 页面：guild-operation-account-detail.html
3. 规则：BR-1D81C1C284746E
4. 场景：SC-FDFC1E9E29DF9F
5. 未动态验证</x:v>
      </x:c>
    </x:row>
    <x:row r="161" ht="54" customHeight="1">
      <x:c r="A161" s="4" t="n">
        <x:v>160</x:v>
      </x:c>
      <x:c r="B161" s="4" t="str">
        <x:v>GOPS-0048</x:v>
      </x:c>
      <x:c r="C161" s="4" t="str">
        <x:v>运营管理</x:v>
      </x:c>
      <x:c r="D161" s="4" t="str">
        <x:v>运营账号主页（公会长视角）</x:v>
      </x:c>
      <x:c r="E161" s="4" t="str">
        <x:v>功能需求</x:v>
      </x:c>
      <x:c r="F161" s="4" t="str">
        <x:v>P2</x:v>
      </x:c>
      <x:c r="G161" s="4" t="str">
        <x:v>验证消费明细的默认状态</x:v>
      </x:c>
      <x:c r="H161" s="4" t="str">
        <x:v>消费明细默认值</x:v>
      </x:c>
      <x:c r="I161" s="4" t="str">
        <x:v>1. 公会长账号已登录且具备当前页面权限</x:v>
      </x:c>
      <x:c r="J161" s="4" t="str">
        <x:v>1. 进入运营账号主页
2. 查看消费明细</x:v>
      </x:c>
      <x:c r="K161" s="4" t="str">
        <x:v>默认本月</x:v>
      </x:c>
      <x:c r="L161" s="4" t="str"/>
      <x:c r="M161" s="4" t="str">
        <x:v>未测</x:v>
      </x:c>
      <x:c r="N161" s="4" t="str"/>
      <x:c r="O161" s="4" t="str">
        <x:v>1. 来源（原型批注）：liveshow-proto/prototype/annotations/guild.js；guild-operation-account-detail.html
2. 页面：guild-operation-account-detail.html
3. 规则：BR-45C9BB7C6629E9
4. 场景：SC-BD99B77CACF0C4
5. 未动态验证</x:v>
      </x:c>
    </x:row>
    <x:row r="162" ht="54" customHeight="1">
      <x:c r="A162" s="4" t="n">
        <x:v>161</x:v>
      </x:c>
      <x:c r="B162" s="4" t="str">
        <x:v>GOPS-0049</x:v>
      </x:c>
      <x:c r="C162" s="4" t="str">
        <x:v>运营管理</x:v>
      </x:c>
      <x:c r="D162" s="4" t="str">
        <x:v>运营账号主页（公会长视角）</x:v>
      </x:c>
      <x:c r="E162" s="4" t="str">
        <x:v>功能需求</x:v>
      </x:c>
      <x:c r="F162" s="4" t="str">
        <x:v>P2</x:v>
      </x:c>
      <x:c r="G162" s="4" t="str">
        <x:v>验证运营账号主页可查看消费明细</x:v>
      </x:c>
      <x:c r="H162" s="4" t="str">
        <x:v>消费明细展示</x:v>
      </x:c>
      <x:c r="I162" s="4" t="str">
        <x:v>1. 公会长账号已登录且具备当前页面权限</x:v>
      </x:c>
      <x:c r="J162" s="4" t="str">
        <x:v>1. 进入运营账号主页
2. 查看消费明细</x:v>
      </x:c>
      <x:c r="K162" s="4" t="str">
        <x:v>运营账号主页显示“消费明细”</x:v>
      </x:c>
      <x:c r="L162" s="4" t="str"/>
      <x:c r="M162" s="4" t="str">
        <x:v>未测</x:v>
      </x:c>
      <x:c r="N162" s="4" t="str"/>
      <x:c r="O162" s="4" t="str">
        <x:v>1. 来源（原型批注）：liveshow-proto/prototype/annotations/guild.js；guild-operation-account-detail.html
2. 页面：guild-operation-account-detail.html
3. 规则：BR-3B7B5A5548065D、BR-45C9BB7C6629E9
4. 场景：SC-759ADD42B27705
5. 未动态验证</x:v>
      </x:c>
    </x:row>
    <x:row r="163" ht="54" customHeight="1">
      <x:c r="A163" s="4" t="n">
        <x:v>162</x:v>
      </x:c>
      <x:c r="B163" s="4" t="str">
        <x:v>GOPS-0050</x:v>
      </x:c>
      <x:c r="C163" s="4" t="str">
        <x:v>运营管理</x:v>
      </x:c>
      <x:c r="D163" s="4" t="str">
        <x:v>运营账号主页（公会长视角）</x:v>
      </x:c>
      <x:c r="E163" s="4" t="str">
        <x:v>功能需求</x:v>
      </x:c>
      <x:c r="F163" s="4" t="str">
        <x:v>P2</x:v>
      </x:c>
      <x:c r="G163" s="4" t="str">
        <x:v>验证运营账号主页可查看账号信息</x:v>
      </x:c>
      <x:c r="H163" s="4" t="str">
        <x:v>账号信息展示</x:v>
      </x:c>
      <x:c r="I163" s="4" t="str">
        <x:v>1. 公会长账号已登录且具备当前页面权限</x:v>
      </x:c>
      <x:c r="J163" s="4" t="str">
        <x:v>1. 进入运营账号主页
2. 查看账号信息</x:v>
      </x:c>
      <x:c r="K163" s="4" t="str">
        <x:v>运营账号主页显示“账号信息”</x:v>
      </x:c>
      <x:c r="L163" s="4" t="str"/>
      <x:c r="M163" s="4" t="str">
        <x:v>未测</x:v>
      </x:c>
      <x:c r="N163" s="4" t="str"/>
      <x:c r="O163" s="4" t="str">
        <x:v>1. 来源（原型批注）：liveshow-proto/prototype/annotations/guild.js；guild-operation-account-detail.html
2. 页面：guild-operation-account-detail.html
3. 规则：BR-2D1BAEFD28E3CF
4. 场景：SC-F6DA0E438555F2
5. 未动态验证</x:v>
      </x:c>
    </x:row>
    <x:row r="164" ht="54" customHeight="1">
      <x:c r="A164" s="4" t="n">
        <x:v>163</x:v>
      </x:c>
      <x:c r="B164" s="4" t="str">
        <x:v>GOPS-0051</x:v>
      </x:c>
      <x:c r="C164" s="4" t="str">
        <x:v>运营管理</x:v>
      </x:c>
      <x:c r="D164" s="4" t="str">
        <x:v>运营账号主页（公会长视角）</x:v>
      </x:c>
      <x:c r="E164" s="4" t="str">
        <x:v>业务流程</x:v>
      </x:c>
      <x:c r="F164" s="4" t="str">
        <x:v>P2</x:v>
      </x:c>
      <x:c r="G164" s="4" t="str">
        <x:v>验证重新启用后的运营账号主页状态</x:v>
      </x:c>
      <x:c r="H164" s="4" t="str">
        <x:v>运营账号主页状态</x:v>
      </x:c>
      <x:c r="I164" s="4" t="str">
        <x:v>1. 公会长账号已登录且具备当前页面权限
2. 重新启用</x:v>
      </x:c>
      <x:c r="J164" s="4" t="str">
        <x:v>1. 进入运营账号主页
2. 刷新运营账号主页</x:v>
      </x:c>
      <x:c r="K164" s="4" t="str">
        <x:v>恢复</x:v>
      </x:c>
      <x:c r="L164" s="4" t="str"/>
      <x:c r="M164" s="4" t="str">
        <x:v>未测</x:v>
      </x:c>
      <x:c r="N164" s="4" t="str"/>
      <x:c r="O164" s="4" t="str">
        <x:v>1. 来源（原型批注）：liveshow-proto/prototype/annotations/guild.js；guild-operation-account-detail.html
2. 页面：guild-operation-account-detail.html
3. 规则：BR-77F59FE31D871D
4. 场景：SC-93580CE590C839
5. 未动态验证</x:v>
      </x:c>
    </x:row>
    <x:row r="165" ht="54" customHeight="1">
      <x:c r="A165" s="4" t="n">
        <x:v>164</x:v>
      </x:c>
      <x:c r="B165" s="4" t="str">
        <x:v>GHOST-0001</x:v>
      </x:c>
      <x:c r="C165" s="4" t="str">
        <x:v>主播管理</x:v>
      </x:c>
      <x:c r="D165" s="4" t="str">
        <x:v>主播列表（公会长视角）</x:v>
      </x:c>
      <x:c r="E165" s="4" t="str">
        <x:v>业务流程</x:v>
      </x:c>
      <x:c r="F165" s="4" t="str">
        <x:v>P2</x:v>
      </x:c>
      <x:c r="G165" s="4" t="str">
        <x:v>验证点击主播后的主播列表状态</x:v>
      </x:c>
      <x:c r="H165" s="4" t="str">
        <x:v>主播列表状态</x:v>
      </x:c>
      <x:c r="I165" s="4" t="str">
        <x:v>1. 公会长账号已登录且具备当前页面权限</x:v>
      </x:c>
      <x:c r="J165" s="4" t="str">
        <x:v>1. 进入主播列表
2. 点击主播</x:v>
      </x:c>
      <x:c r="K165" s="4" t="str">
        <x:v>进入主播详情</x:v>
      </x:c>
      <x:c r="L165" s="4" t="str"/>
      <x:c r="M165" s="4" t="str">
        <x:v>未测</x:v>
      </x:c>
      <x:c r="N165" s="4" t="str"/>
      <x:c r="O165" s="4" t="str">
        <x:v>1. 来源（原型批注）：liveshow-proto/prototype/annotations/guild.js；guild-member-list.html
2. 页面：guild-member-list.html
3. 规则：BR-5D2D1EA30734AD
4. 场景：SC-213300233C7B56
5. 未动态验证</x:v>
      </x:c>
    </x:row>
    <x:row r="166" ht="54" customHeight="1">
      <x:c r="A166" s="4" t="n">
        <x:v>165</x:v>
      </x:c>
      <x:c r="B166" s="4" t="str">
        <x:v>GHOST-0002</x:v>
      </x:c>
      <x:c r="C166" s="4" t="str">
        <x:v>主播管理</x:v>
      </x:c>
      <x:c r="D166" s="4" t="str">
        <x:v>主播列表（公会长视角）</x:v>
      </x:c>
      <x:c r="E166" s="4" t="str">
        <x:v>功能需求</x:v>
      </x:c>
      <x:c r="F166" s="4" t="str">
        <x:v>P2</x:v>
      </x:c>
      <x:c r="G166" s="4" t="str">
        <x:v>验证已退会时的主播列表结果</x:v>
      </x:c>
      <x:c r="H166" s="4" t="str">
        <x:v>主播列表条件结果</x:v>
      </x:c>
      <x:c r="I166" s="4" t="str">
        <x:v>1. 公会长账号已登录且具备当前页面权限
2. 已退会</x:v>
      </x:c>
      <x:c r="J166" s="4" t="str">
        <x:v>1. 进入主播列表
2. 查看主播列表</x:v>
      </x:c>
      <x:c r="K166" s="4" t="str">
        <x:v>已退会显示【退会】</x:v>
      </x:c>
      <x:c r="L166" s="4" t="str"/>
      <x:c r="M166" s="4" t="str">
        <x:v>未测</x:v>
      </x:c>
      <x:c r="N166" s="4" t="str"/>
      <x:c r="O166" s="4" t="str">
        <x:v>1. 来源（原型批注）：liveshow-proto/prototype/annotations/guild.js；guild-member-list.html
2. 页面：guild-member-list.html
3. 规则：BR-B2215CAE104398
4. 场景：SC-6928480B94582D
5. 未动态验证</x:v>
      </x:c>
    </x:row>
    <x:row r="167" ht="54" customHeight="1">
      <x:c r="A167" s="4" t="n">
        <x:v>166</x:v>
      </x:c>
      <x:c r="B167" s="4" t="str">
        <x:v>GHOST-0003</x:v>
      </x:c>
      <x:c r="C167" s="4" t="str">
        <x:v>主播管理</x:v>
      </x:c>
      <x:c r="D167" s="4" t="str">
        <x:v>主播列表（公会长视角）</x:v>
      </x:c>
      <x:c r="E167" s="4" t="str">
        <x:v>功能需求</x:v>
      </x:c>
      <x:c r="F167" s="4" t="str">
        <x:v>P2</x:v>
      </x:c>
      <x:c r="G167" s="4" t="str">
        <x:v>验证主播列表可查看加入时间</x:v>
      </x:c>
      <x:c r="H167" s="4" t="str">
        <x:v>加入时间展示</x:v>
      </x:c>
      <x:c r="I167" s="4" t="str">
        <x:v>1. 公会长账号已登录且具备当前页面权限</x:v>
      </x:c>
      <x:c r="J167" s="4" t="str">
        <x:v>1. 进入主播列表
2. 查看加入时间</x:v>
      </x:c>
      <x:c r="K167" s="4" t="str">
        <x:v>主播列表显示“加入时间”</x:v>
      </x:c>
      <x:c r="L167" s="4" t="str"/>
      <x:c r="M167" s="4" t="str">
        <x:v>未测</x:v>
      </x:c>
      <x:c r="N167" s="4" t="str"/>
      <x:c r="O167" s="4" t="str">
        <x:v>1. 来源（原型批注）：liveshow-proto/prototype/annotations/guild.js；guild-member-list.html
2. 页面：guild-member-list.html
3. 规则：BR-54161397481A7E
4. 场景：SC-53922DE45FD95F
5. 未动态验证</x:v>
      </x:c>
    </x:row>
    <x:row r="168" ht="54" customHeight="1">
      <x:c r="A168" s="4" t="n">
        <x:v>167</x:v>
      </x:c>
      <x:c r="B168" s="4" t="str">
        <x:v>GHOST-0004</x:v>
      </x:c>
      <x:c r="C168" s="4" t="str">
        <x:v>主播管理</x:v>
      </x:c>
      <x:c r="D168" s="4" t="str">
        <x:v>主播列表（公会长视角）</x:v>
      </x:c>
      <x:c r="E168" s="4" t="str">
        <x:v>功能需求</x:v>
      </x:c>
      <x:c r="F168" s="4" t="str">
        <x:v>P2</x:v>
      </x:c>
      <x:c r="G168" s="4" t="str">
        <x:v>验证主播列表可查看主播</x:v>
      </x:c>
      <x:c r="H168" s="4" t="str">
        <x:v>主播展示</x:v>
      </x:c>
      <x:c r="I168" s="4" t="str">
        <x:v>1. 公会长账号已登录且具备当前页面权限</x:v>
      </x:c>
      <x:c r="J168" s="4" t="str">
        <x:v>1. 进入主播列表
2. 查看主播</x:v>
      </x:c>
      <x:c r="K168" s="4" t="str">
        <x:v>主播列表显示“主播”</x:v>
      </x:c>
      <x:c r="L168" s="4" t="str"/>
      <x:c r="M168" s="4" t="str">
        <x:v>未测</x:v>
      </x:c>
      <x:c r="N168" s="4" t="str"/>
      <x:c r="O168" s="4" t="str">
        <x:v>1. 来源（原型批注）：liveshow-proto/prototype/annotations/guild.js；guild-member-list.html
2. 页面：guild-member-list.html
3. 规则：BR-BC8C0F32546414
4. 场景：SC-04B76F39890F6B
5. 未动态验证</x:v>
      </x:c>
    </x:row>
    <x:row r="169" ht="54" customHeight="1">
      <x:c r="A169" s="4" t="n">
        <x:v>168</x:v>
      </x:c>
      <x:c r="B169" s="4" t="str">
        <x:v>GHOST-0005</x:v>
      </x:c>
      <x:c r="C169" s="4" t="str">
        <x:v>主播管理</x:v>
      </x:c>
      <x:c r="D169" s="4" t="str">
        <x:v>主播列表（公会长视角）</x:v>
      </x:c>
      <x:c r="E169" s="4" t="str">
        <x:v>功能需求</x:v>
      </x:c>
      <x:c r="F169" s="4" t="str">
        <x:v>P2</x:v>
      </x:c>
      <x:c r="G169" s="4" t="str">
        <x:v>验证主播列表可查看状态</x:v>
      </x:c>
      <x:c r="H169" s="4" t="str">
        <x:v>状态展示</x:v>
      </x:c>
      <x:c r="I169" s="4" t="str">
        <x:v>1. 公会长账号已登录且具备当前页面权限</x:v>
      </x:c>
      <x:c r="J169" s="4" t="str">
        <x:v>1. 进入主播列表
2. 查看状态</x:v>
      </x:c>
      <x:c r="K169" s="4" t="str">
        <x:v>主播列表显示“状态”</x:v>
      </x:c>
      <x:c r="L169" s="4" t="str"/>
      <x:c r="M169" s="4" t="str">
        <x:v>未测</x:v>
      </x:c>
      <x:c r="N169" s="4" t="str"/>
      <x:c r="O169" s="4" t="str">
        <x:v>1. 来源（原型批注）：liveshow-proto/prototype/annotations/guild.js；guild-member-list.html
2. 页面：guild-member-list.html
3. 规则：BR-4B042C84CCCF5B、BR-B2215CAE104398
4. 场景：SC-10AB836011C966
5. 未动态验证</x:v>
      </x:c>
    </x:row>
    <x:row r="170" ht="54" customHeight="1">
      <x:c r="A170" s="4" t="n">
        <x:v>169</x:v>
      </x:c>
      <x:c r="B170" s="4" t="str">
        <x:v>GHOST-0006</x:v>
      </x:c>
      <x:c r="C170" s="4" t="str">
        <x:v>主播管理</x:v>
      </x:c>
      <x:c r="D170" s="4" t="str">
        <x:v>主播业绩（公会长视角）</x:v>
      </x:c>
      <x:c r="E170" s="4" t="str">
        <x:v>业务流程</x:v>
      </x:c>
      <x:c r="F170" s="4" t="str">
        <x:v>P2</x:v>
      </x:c>
      <x:c r="G170" s="4" t="str">
        <x:v>验证点击主播行后的主播业绩状态</x:v>
      </x:c>
      <x:c r="H170" s="4" t="str">
        <x:v>主播业绩状态</x:v>
      </x:c>
      <x:c r="I170" s="4" t="str">
        <x:v>1. 公会长账号已登录且具备当前页面权限</x:v>
      </x:c>
      <x:c r="J170" s="4" t="str">
        <x:v>1. 进入主播业绩
2. 点击主播行</x:v>
      </x:c>
      <x:c r="K170" s="4" t="str">
        <x:v>进入「主播数据」</x:v>
      </x:c>
      <x:c r="L170" s="4" t="str"/>
      <x:c r="M170" s="4" t="str">
        <x:v>未测</x:v>
      </x:c>
      <x:c r="N170" s="4" t="str"/>
      <x:c r="O170" s="4" t="str">
        <x:v>1. 来源（原型批注）：liveshow-proto/prototype/annotations/guild.js；guild-host-list.html
2. 页面：guild-host-list.html
3. 规则：BR-217D227455D8D2
4. 场景：SC-8FD1129489667A
5. 未动态验证</x:v>
      </x:c>
    </x:row>
    <x:row r="171" ht="54" customHeight="1">
      <x:c r="A171" s="4" t="n">
        <x:v>170</x:v>
      </x:c>
      <x:c r="B171" s="4" t="str">
        <x:v>GHOST-0007</x:v>
      </x:c>
      <x:c r="C171" s="4" t="str">
        <x:v>主播管理</x:v>
      </x:c>
      <x:c r="D171" s="4" t="str">
        <x:v>主播业绩（公会长视角）</x:v>
      </x:c>
      <x:c r="E171" s="4" t="str">
        <x:v>业务流程</x:v>
      </x:c>
      <x:c r="F171" s="4" t="str">
        <x:v>P2</x:v>
      </x:c>
      <x:c r="G171" s="4" t="str">
        <x:v>验证日期变化后的主播业绩状态</x:v>
      </x:c>
      <x:c r="H171" s="4" t="str">
        <x:v>主播业绩状态</x:v>
      </x:c>
      <x:c r="I171" s="4" t="str">
        <x:v>1. 公会长账号已登录且具备当前页面权限
2. 日期变化</x:v>
      </x:c>
      <x:c r="J171" s="4" t="str">
        <x:v>1. 进入主播业绩
2. 刷新主播业绩</x:v>
      </x:c>
      <x:c r="K171" s="4" t="str">
        <x:v>刷新指标与列表</x:v>
      </x:c>
      <x:c r="L171" s="4" t="str"/>
      <x:c r="M171" s="4" t="str">
        <x:v>未测</x:v>
      </x:c>
      <x:c r="N171" s="4" t="str"/>
      <x:c r="O171" s="4" t="str">
        <x:v>1. 来源（原型批注）：liveshow-proto/prototype/annotations/guild.js；guild-host-list.html
2. 页面：guild-host-list.html
3. 规则：BR-9024E807747F91
4. 场景：SC-83DD667290A78A
5. 未动态验证</x:v>
      </x:c>
    </x:row>
    <x:row r="172" ht="54" customHeight="1">
      <x:c r="A172" s="4" t="n">
        <x:v>171</x:v>
      </x:c>
      <x:c r="B172" s="4" t="str">
        <x:v>GHOST-0008</x:v>
      </x:c>
      <x:c r="C172" s="4" t="str">
        <x:v>主播管理</x:v>
      </x:c>
      <x:c r="D172" s="4" t="str">
        <x:v>主播业绩（公会长视角）</x:v>
      </x:c>
      <x:c r="E172" s="4" t="str">
        <x:v>功能需求</x:v>
      </x:c>
      <x:c r="F172" s="4" t="str">
        <x:v>P2</x:v>
      </x:c>
      <x:c r="G172" s="4" t="str">
        <x:v>验证主播业绩的默认状态</x:v>
      </x:c>
      <x:c r="H172" s="4" t="str">
        <x:v>主播业绩默认值</x:v>
      </x:c>
      <x:c r="I172" s="4" t="str">
        <x:v>1. 公会长账号已登录且具备当前页面权限</x:v>
      </x:c>
      <x:c r="J172" s="4" t="str">
        <x:v>1. 进入主播业绩
2. 查看主播业绩</x:v>
      </x:c>
      <x:c r="K172" s="4" t="str">
        <x:v>默认今日</x:v>
      </x:c>
      <x:c r="L172" s="4" t="str"/>
      <x:c r="M172" s="4" t="str">
        <x:v>未测</x:v>
      </x:c>
      <x:c r="N172" s="4" t="str"/>
      <x:c r="O172" s="4" t="str">
        <x:v>1. 来源（原型批注）：liveshow-proto/prototype/annotations/guild.js；guild-host-list.html
2. 页面：guild-host-list.html
3. 规则：BR-BAC0CB65D28411
4. 场景：SC-7FF3A01C963C68
5. 未动态验证</x:v>
      </x:c>
    </x:row>
    <x:row r="173" ht="54" customHeight="1">
      <x:c r="A173" s="4" t="n">
        <x:v>172</x:v>
      </x:c>
      <x:c r="B173" s="4" t="str">
        <x:v>GHOST-0009</x:v>
      </x:c>
      <x:c r="C173" s="4" t="str">
        <x:v>主播管理</x:v>
      </x:c>
      <x:c r="D173" s="4" t="str">
        <x:v>主播主页（公会长视角）</x:v>
      </x:c>
      <x:c r="E173" s="4" t="str">
        <x:v>功能需求</x:v>
      </x:c>
      <x:c r="F173" s="4" t="str">
        <x:v>P2</x:v>
      </x:c>
      <x:c r="G173" s="4" t="str">
        <x:v>验证存在未结清收益时的主播主页结果</x:v>
      </x:c>
      <x:c r="H173" s="4" t="str">
        <x:v>主播主页条件结果</x:v>
      </x:c>
      <x:c r="I173" s="4" t="str">
        <x:v>1. 公会长账号已登录且具备当前页面权限
2. 存在未结清收益</x:v>
      </x:c>
      <x:c r="J173" s="4" t="str">
        <x:v>1. 进入主播主页
2. 查看主播主页</x:v>
      </x:c>
      <x:c r="K173" s="4" t="str">
        <x:v>移出公会按钮置灰</x:v>
      </x:c>
      <x:c r="L173" s="4" t="str"/>
      <x:c r="M173" s="4" t="str">
        <x:v>未测</x:v>
      </x:c>
      <x:c r="N173" s="4" t="str"/>
      <x:c r="O173" s="4" t="str">
        <x:v>1. 来源（原型批注）：liveshow-proto/prototype/annotations/guild.js；guild-host-detail.html
2. 页面：guild-host-detail.html
3. 规则：BR-EE53F9A5B2B6D4
4. 场景：SC-DBB5301B526408
5. 未动态验证</x:v>
      </x:c>
    </x:row>
    <x:row r="174" ht="54" customHeight="1">
      <x:c r="A174" s="4" t="n">
        <x:v>173</x:v>
      </x:c>
      <x:c r="B174" s="4" t="str">
        <x:v>GHOST-0010</x:v>
      </x:c>
      <x:c r="C174" s="4" t="str">
        <x:v>主播管理</x:v>
      </x:c>
      <x:c r="D174" s="4" t="str">
        <x:v>主播主页（公会长视角）</x:v>
      </x:c>
      <x:c r="E174" s="4" t="str">
        <x:v>业务流程</x:v>
      </x:c>
      <x:c r="F174" s="4" t="str">
        <x:v>P2</x:v>
      </x:c>
      <x:c r="G174" s="4" t="str">
        <x:v>验证点击业绩后的主播主页状态</x:v>
      </x:c>
      <x:c r="H174" s="4" t="str">
        <x:v>主播主页状态</x:v>
      </x:c>
      <x:c r="I174" s="4" t="str">
        <x:v>1. 公会长账号已登录且具备当前页面权限</x:v>
      </x:c>
      <x:c r="J174" s="4" t="str">
        <x:v>1. 进入主播主页
2. 点击业绩</x:v>
      </x:c>
      <x:c r="K174" s="4" t="str">
        <x:v>进入「主播数据」</x:v>
      </x:c>
      <x:c r="L174" s="4" t="str"/>
      <x:c r="M174" s="4" t="str">
        <x:v>未测</x:v>
      </x:c>
      <x:c r="N174" s="4" t="str"/>
      <x:c r="O174" s="4" t="str">
        <x:v>1. 来源（原型批注）：liveshow-proto/prototype/annotations/guild.js；guild-host-detail.html
2. 页面：guild-host-detail.html
3. 规则：BR-C082E2A34F129C
4. 场景：SC-EA65DD00B2C70C
5. 未动态验证</x:v>
      </x:c>
    </x:row>
    <x:row r="175" ht="54" customHeight="1">
      <x:c r="A175" s="4" t="n">
        <x:v>174</x:v>
      </x:c>
      <x:c r="B175" s="4" t="str">
        <x:v>GHOST-0011</x:v>
      </x:c>
      <x:c r="C175" s="4" t="str">
        <x:v>主播管理</x:v>
      </x:c>
      <x:c r="D175" s="4" t="str">
        <x:v>主播主页（公会长视角）</x:v>
      </x:c>
      <x:c r="E175" s="4" t="str">
        <x:v>业务流程</x:v>
      </x:c>
      <x:c r="F175" s="4" t="str">
        <x:v>P2</x:v>
      </x:c>
      <x:c r="G175" s="4" t="str">
        <x:v>验证解除锁定后的主播主页状态</x:v>
      </x:c>
      <x:c r="H175" s="4" t="str">
        <x:v>主播主页状态</x:v>
      </x:c>
      <x:c r="I175" s="4" t="str">
        <x:v>1. 公会长账号已登录且具备当前页面权限
2. 解除锁定</x:v>
      </x:c>
      <x:c r="J175" s="4" t="str">
        <x:v>1. 进入主播主页
2. 刷新主播主页</x:v>
      </x:c>
      <x:c r="K175" s="4" t="str">
        <x:v>恢复锁定前设置</x:v>
      </x:c>
      <x:c r="L175" s="4" t="str"/>
      <x:c r="M175" s="4" t="str">
        <x:v>未测</x:v>
      </x:c>
      <x:c r="N175" s="4" t="str"/>
      <x:c r="O175" s="4" t="str">
        <x:v>1. 来源（原型批注）：liveshow-proto/prototype/annotations/guild.js；guild-host-detail.html
2. 页面：guild-host-detail.html
3. 规则：BR-E47A9DA647ADCF
4. 场景：SC-6D8BA7AF1498C7
5. 未动态验证</x:v>
      </x:c>
    </x:row>
    <x:row r="176" ht="54" customHeight="1">
      <x:c r="A176" s="4" t="n">
        <x:v>175</x:v>
      </x:c>
      <x:c r="B176" s="4" t="str">
        <x:v>GHOST-0012</x:v>
      </x:c>
      <x:c r="C176" s="4" t="str">
        <x:v>主播管理</x:v>
      </x:c>
      <x:c r="D176" s="4" t="str">
        <x:v>主播主页（公会长视角）</x:v>
      </x:c>
      <x:c r="E176" s="4" t="str">
        <x:v>业务流程</x:v>
      </x:c>
      <x:c r="F176" s="4" t="str">
        <x:v>P2</x:v>
      </x:c>
      <x:c r="G176" s="4" t="str">
        <x:v>验证确认移出后的主播主页状态</x:v>
      </x:c>
      <x:c r="H176" s="4" t="str">
        <x:v>主播主页状态</x:v>
      </x:c>
      <x:c r="I176" s="4" t="str">
        <x:v>1. 公会长账号已登录且具备当前页面权限</x:v>
      </x:c>
      <x:c r="J176" s="4" t="str">
        <x:v>1. 进入主播主页
2. 确认移出</x:v>
      </x:c>
      <x:c r="K176" s="4" t="str">
        <x:v>结束当前直播并解除公会关系</x:v>
      </x:c>
      <x:c r="L176" s="4" t="str"/>
      <x:c r="M176" s="4" t="str">
        <x:v>未测</x:v>
      </x:c>
      <x:c r="N176" s="4" t="str"/>
      <x:c r="O176" s="4" t="str">
        <x:v>1. 来源（原型批注）：liveshow-proto/prototype/annotations/guild.js；guild-host-detail.html
2. 页面：guild-host-detail.html
3. 规则：BR-9196B3BF624960
4. 场景：SC-7DDDE1F7B12168
5. 未动态验证</x:v>
      </x:c>
    </x:row>
    <x:row r="177" ht="54" customHeight="1">
      <x:c r="A177" s="4" t="n">
        <x:v>176</x:v>
      </x:c>
      <x:c r="B177" s="4" t="str">
        <x:v>GHOST-0013</x:v>
      </x:c>
      <x:c r="C177" s="4" t="str">
        <x:v>主播管理</x:v>
      </x:c>
      <x:c r="D177" s="4" t="str">
        <x:v>主播主页（公会长视角）</x:v>
      </x:c>
      <x:c r="E177" s="4" t="str">
        <x:v>功能需求</x:v>
      </x:c>
      <x:c r="F177" s="4" t="str">
        <x:v>P2</x:v>
      </x:c>
      <x:c r="G177" s="4" t="str">
        <x:v>验证主播主页可查看快捷入口</x:v>
      </x:c>
      <x:c r="H177" s="4" t="str">
        <x:v>快捷入口展示</x:v>
      </x:c>
      <x:c r="I177" s="4" t="str">
        <x:v>1. 公会长账号已登录且具备当前页面权限</x:v>
      </x:c>
      <x:c r="J177" s="4" t="str">
        <x:v>1. 进入主播主页
2. 查看快捷入口</x:v>
      </x:c>
      <x:c r="K177" s="4" t="str">
        <x:v>主播主页显示“快捷入口”</x:v>
      </x:c>
      <x:c r="L177" s="4" t="str"/>
      <x:c r="M177" s="4" t="str">
        <x:v>未测</x:v>
      </x:c>
      <x:c r="N177" s="4" t="str"/>
      <x:c r="O177" s="4" t="str">
        <x:v>1. 来源（原型批注）：liveshow-proto/prototype/annotations/guild.js；guild-host-detail.html
2. 页面：guild-host-detail.html
3. 规则：BR-C43E8086E8D6E5
4. 场景：SC-E6FFB90B02817F
5. 未动态验证</x:v>
      </x:c>
    </x:row>
    <x:row r="178" ht="54" customHeight="1">
      <x:c r="A178" s="4" t="n">
        <x:v>177</x:v>
      </x:c>
      <x:c r="B178" s="4" t="str">
        <x:v>GHOST-0014</x:v>
      </x:c>
      <x:c r="C178" s="4" t="str">
        <x:v>主播管理</x:v>
      </x:c>
      <x:c r="D178" s="4" t="str">
        <x:v>主播主页（公会长视角）</x:v>
      </x:c>
      <x:c r="E178" s="4" t="str">
        <x:v>功能需求</x:v>
      </x:c>
      <x:c r="F178" s="4" t="str">
        <x:v>P2</x:v>
      </x:c>
      <x:c r="G178" s="4" t="str">
        <x:v>验证主播主页可查看申请记录</x:v>
      </x:c>
      <x:c r="H178" s="4" t="str">
        <x:v>申请记录展示</x:v>
      </x:c>
      <x:c r="I178" s="4" t="str">
        <x:v>1. 公会长账号已登录且具备当前页面权限</x:v>
      </x:c>
      <x:c r="J178" s="4" t="str">
        <x:v>1. 进入主播主页
2. 查看申请记录</x:v>
      </x:c>
      <x:c r="K178" s="4" t="str">
        <x:v>主播主页显示“申请记录”</x:v>
      </x:c>
      <x:c r="L178" s="4" t="str"/>
      <x:c r="M178" s="4" t="str">
        <x:v>未测</x:v>
      </x:c>
      <x:c r="N178" s="4" t="str"/>
      <x:c r="O178" s="4" t="str">
        <x:v>1. 来源（原型批注）：liveshow-proto/prototype/annotations/guild.js；guild-host-detail.html
2. 页面：guild-host-detail.html
3. 规则：BR-92B0BEEC914A89
4. 场景：SC-2F580E50667239
5. 未动态验证</x:v>
      </x:c>
    </x:row>
    <x:row r="179" ht="54" customHeight="1">
      <x:c r="A179" s="4" t="n">
        <x:v>178</x:v>
      </x:c>
      <x:c r="B179" s="4" t="str">
        <x:v>GHOST-0015</x:v>
      </x:c>
      <x:c r="C179" s="4" t="str">
        <x:v>主播管理</x:v>
      </x:c>
      <x:c r="D179" s="4" t="str">
        <x:v>主播主页（公会长视角）</x:v>
      </x:c>
      <x:c r="E179" s="4" t="str">
        <x:v>功能需求</x:v>
      </x:c>
      <x:c r="F179" s="4" t="str">
        <x:v>P2</x:v>
      </x:c>
      <x:c r="G179" s="4" t="str">
        <x:v>验证主播主页可查看退会状态</x:v>
      </x:c>
      <x:c r="H179" s="4" t="str">
        <x:v>退会状态展示</x:v>
      </x:c>
      <x:c r="I179" s="4" t="str">
        <x:v>1. 公会长账号已登录且具备当前页面权限</x:v>
      </x:c>
      <x:c r="J179" s="4" t="str">
        <x:v>1. 进入主播主页
2. 查看退会状态</x:v>
      </x:c>
      <x:c r="K179" s="4" t="str">
        <x:v>主播主页显示“退会状态”</x:v>
      </x:c>
      <x:c r="L179" s="4" t="str"/>
      <x:c r="M179" s="4" t="str">
        <x:v>未测</x:v>
      </x:c>
      <x:c r="N179" s="4" t="str"/>
      <x:c r="O179" s="4" t="str">
        <x:v>1. 来源（原型批注）：liveshow-proto/prototype/annotations/guild.js；guild-host-detail.html
2. 页面：guild-host-detail.html
3. 规则：BR-C7FAB79A7AD226
4. 场景：SC-F411856AAFC15B
5. 未动态验证</x:v>
      </x:c>
    </x:row>
    <x:row r="180" ht="54" customHeight="1">
      <x:c r="A180" s="4" t="n">
        <x:v>179</x:v>
      </x:c>
      <x:c r="B180" s="4" t="str">
        <x:v>GHOST-0016</x:v>
      </x:c>
      <x:c r="C180" s="4" t="str">
        <x:v>主播管理</x:v>
      </x:c>
      <x:c r="D180" s="4" t="str">
        <x:v>主播主页（公会长视角）</x:v>
      </x:c>
      <x:c r="E180" s="4" t="str">
        <x:v>功能需求</x:v>
      </x:c>
      <x:c r="F180" s="4" t="str">
        <x:v>P2</x:v>
      </x:c>
      <x:c r="G180" s="4" t="str">
        <x:v>验证主播主页可查看主播信息</x:v>
      </x:c>
      <x:c r="H180" s="4" t="str">
        <x:v>主播信息展示</x:v>
      </x:c>
      <x:c r="I180" s="4" t="str">
        <x:v>1. 公会长账号已登录且具备当前页面权限</x:v>
      </x:c>
      <x:c r="J180" s="4" t="str">
        <x:v>1. 进入主播主页
2. 查看主播信息</x:v>
      </x:c>
      <x:c r="K180" s="4" t="str">
        <x:v>主播主页显示“主播信息”</x:v>
      </x:c>
      <x:c r="L180" s="4" t="str"/>
      <x:c r="M180" s="4" t="str">
        <x:v>未测</x:v>
      </x:c>
      <x:c r="N180" s="4" t="str"/>
      <x:c r="O180" s="4" t="str">
        <x:v>1. 来源（原型批注）：liveshow-proto/prototype/annotations/guild.js；guild-host-detail.html
2. 页面：guild-host-detail.html
3. 规则：BR-AAE89B0BF5A820
4. 场景：SC-0D53D782BDEEFC
5. 未动态验证</x:v>
      </x:c>
    </x:row>
  </x:sheetData>
  <x:dataValidations count="3">
    <x:dataValidation type="list" sqref="E2:E180">
      <x:formula1>"功能需求,业务流程,逻辑校验,异常用例"</x:formula1>
    </x:dataValidation>
    <x:dataValidation type="list" sqref="F2:F180">
      <x:formula1>"P0,P1,P2,P3"</x:formula1>
    </x:dataValidation>
    <x:dataValidation type="list" sqref="M2:M180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78ea21b9934a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2" hidden="0" customWidth="1"/>
    <x:col min="5" max="5" width="11" hidden="0" customWidth="1"/>
    <x:col min="6" max="6" width="13" hidden="0" customWidth="1"/>
    <x:col min="7" max="7" width="31" hidden="0" customWidth="1"/>
    <x:col min="8" max="8" width="19" hidden="0" customWidth="1"/>
    <x:col min="9" max="9" width="38" hidden="0" customWidth="1"/>
    <x:col min="10" max="10" width="44" hidden="0" customWidth="1"/>
    <x:col min="11" max="11" width="38" hidden="0" customWidth="1"/>
    <x:col min="12" max="12" width="12" hidden="0" customWidth="1"/>
    <x:col min="13" max="13" width="24" hidden="0" customWidth="1"/>
    <x:col min="14" max="14" width="38" hidden="0" customWidth="1"/>
    <x:col min="15" max="15" width="32" hidden="0" customWidth="1"/>
    <x:col min="16" max="16" width="20" hidden="0" customWidth="1"/>
    <x:col min="17" max="17" width="32" hidden="0" customWidth="1"/>
    <x:col min="18" max="18" width="12" hidden="0" customWidth="1"/>
    <x:col min="19" max="19" width="22" hidden="0" customWidth="1"/>
    <x:col min="20" max="20" width="12" hidden="0" customWidth="1"/>
  </x:cols>
  <x:sheetData>
    <x:row r="1" ht="34" customHeight="1">
      <x:c r="A1" s="7" t="str">
        <x:v>问题编号</x:v>
      </x:c>
      <x:c r="B1" s="7" t="str">
        <x:v>需求组编号</x:v>
      </x:c>
      <x:c r="C1" s="7" t="str">
        <x:v>父问题编号</x:v>
      </x:c>
      <x:c r="D1" s="7" t="str">
        <x:v>追问触发条件</x:v>
      </x:c>
      <x:c r="E1" s="7" t="str">
        <x:v>阻塞等级</x:v>
      </x:c>
      <x:c r="F1" s="7" t="str">
        <x:v>功能模块</x:v>
      </x:c>
      <x:c r="G1" s="7" t="str">
        <x:v>具体场景</x:v>
      </x:c>
      <x:c r="H1" s="7" t="str">
        <x:v>问题分类</x:v>
      </x:c>
      <x:c r="I1" s="7" t="str">
        <x:v>待决策问题</x:v>
      </x:c>
      <x:c r="J1" s="7" t="str">
        <x:v>可选方案</x:v>
      </x:c>
      <x:c r="K1" s="7" t="str">
        <x:v>测试建议</x:v>
      </x:c>
      <x:c r="L1" s="7" t="str">
        <x:v>产品结论</x:v>
      </x:c>
      <x:c r="M1" s="7" t="str">
        <x:v>结论补充</x:v>
      </x:c>
      <x:c r="N1" s="7" t="str">
        <x:v>已知依据</x:v>
      </x:c>
      <x:c r="O1" s="7" t="str">
        <x:v>影响范围</x:v>
      </x:c>
      <x:c r="P1" s="7" t="str">
        <x:v>已有用例编号</x:v>
      </x:c>
      <x:c r="Q1" s="7" t="str">
        <x:v>确认后待补用例</x:v>
      </x:c>
      <x:c r="R1" s="7" t="str">
        <x:v>负责人</x:v>
      </x:c>
      <x:c r="S1" s="7" t="str">
        <x:v>期望确认时间</x:v>
      </x:c>
      <x:c r="T1" s="7" t="str">
        <x:v>确认状态</x:v>
      </x:c>
    </x:row>
    <x:row r="2" ht="54" customHeight="1">
      <x:c r="A2" s="4" t="str">
        <x:v>GQ-001</x:v>
      </x:c>
      <x:c r="B2" s="4" t="str">
        <x:v>GRQ-001</x:v>
      </x:c>
      <x:c r="C2" s="4" t="str"/>
      <x:c r="D2" s="4" t="str"/>
      <x:c r="E2" s="4" t="str">
        <x:v>部分阻塞</x:v>
      </x:c>
      <x:c r="F2" s="4" t="str">
        <x:v>运营管理</x:v>
      </x:c>
      <x:c r="G2" s="4" t="str">
        <x:v>平台管理员在guild-operation-coin-issue.html执行相关业务时需要确定唯一结果</x:v>
      </x:c>
      <x:c r="H2" s="4" t="str">
        <x:v>跨端与跨模块一致性</x:v>
      </x:c>
      <x:c r="I2" s="4" t="str">
        <x:v>公会月度发币额度修改时，已提交但未完成的发币操作应按修改前还是修改后额度校验？</x:v>
      </x:c>
      <x:c r="J2" s="4" t="str">
        <x:v>A. 按发币操作提交时的额度校验
B. 按发币操作执行时的最新额度校验
C. 额度变更后取消未完成操作并要求重新提交</x:v>
      </x:c>
      <x:c r="K2" s="4" t="str">
        <x:v>优先采用可由当前端直接读取并稳定复现的规则，避免测试依赖人工解释</x:v>
      </x:c>
      <x:c r="L2" s="8" t="str"/>
      <x:c r="M2" s="8" t="str"/>
      <x:c r="N2" s="4" t="str">
        <x:v>1. 系统概要与公会端当前批注明确平台配置公会月度额度，公会在额度内发放虚拟金币
2. 当前证据未定义额度修改对已提交但未完成操作的适用时点</x:v>
      </x:c>
      <x:c r="O2" s="4" t="str">
        <x:v>1. 公会App 运营管理 guild-operation-coin-issue.html
2. 公会额度、运营账号余额与发币记录</x:v>
      </x:c>
      <x:c r="P2" s="4" t="str"/>
      <x:c r="Q2" s="4" t="str">
        <x:v>1. 运营管理相关规则的正常、边界和历史数据场景</x:v>
      </x:c>
      <x:c r="R2" s="4" t="str">
        <x:v>多方确认</x:v>
      </x:c>
      <x:c r="S2" s="4" t="str">
        <x:v>进入对应功能测试前</x:v>
      </x:c>
      <x:c r="T2" s="4" t="str">
        <x:v>待确认</x:v>
      </x:c>
    </x:row>
  </x:sheetData>
  <x:dataValidations count="5">
    <x:dataValidation type="list" sqref="E2">
      <x:formula1>"阻塞测试,部分阻塞,不阻塞"</x:formula1>
    </x:dataValidation>
    <x:dataValidation type="list" sqref="H2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">
      <x:formula1>"A,B,C,D,其他"</x:formula1>
    </x:dataValidation>
    <x:dataValidation type="list" sqref="R2">
      <x:formula1>"产品,交互,技术,多方确认"</x:formula1>
    </x:dataValidation>
    <x:dataValidation type="list" sqref="T2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4e0318b4e74c1f"/>
  </x:tableParts>
</x:worksheet>
</file>