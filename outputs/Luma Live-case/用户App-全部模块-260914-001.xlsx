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f918bfa63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06d79dfe674c46ae"/>
    <x:sheet xmlns:r="http://schemas.openxmlformats.org/officeDocument/2006/relationships" name="功能测试用例" sheetId="2" r:id="R7b0fd206b6b44530"/>
    <x:sheet xmlns:r="http://schemas.openxmlformats.org/officeDocument/2006/relationships" name="需求待确认" sheetId="3" r:id="R8c97db4d95fc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e833575334700" /><Relationship Type="http://schemas.openxmlformats.org/officeDocument/2006/relationships/theme" Target="/xl/theme/theme1.xml" Id="R103c7d7afc234cda" /><Relationship Type="http://schemas.openxmlformats.org/officeDocument/2006/relationships/sharedStrings" Target="/xl/sharedStrings.xml" Id="R073c99e4901b4c8e" /><Relationship Type="http://schemas.openxmlformats.org/officeDocument/2006/relationships/worksheet" Target="/xl/worksheets/sheet1.xml" Id="R06d79dfe674c46ae" /><Relationship Type="http://schemas.openxmlformats.org/officeDocument/2006/relationships/worksheet" Target="/xl/worksheets/sheet2.xml" Id="R7b0fd206b6b44530" /><Relationship Type="http://schemas.openxmlformats.org/officeDocument/2006/relationships/worksheet" Target="/xl/worksheets/sheet3.xml" Id="R8c97db4d95fc4dcf" /></Relationships>
</file>

<file path=xl/tables/table1.xml><?xml version="1.0" encoding="utf-8"?>
<x:table xmlns:x="http://schemas.openxmlformats.org/spreadsheetml/2006/main" id="1" name="LiveCasesTable" displayName="LiveCasesTable" ref="A1:O429" headerRowCount="1" totalsRowCount="0" totalsRowShown="0">
  <x:autoFilter ref="A1:O429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35" headerRowCount="1" totalsRowCount="0" totalsRowShown="0">
  <x:autoFilter ref="A1:T35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c142b4959f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2627c7880446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用户App-全部模块-260914-001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COUNTA('需求待确认'!$A$2:$A$35)</x:f>
        <x:v>34</x:v>
      </x:c>
      <x:c r="C5" s="13"/>
      <x:c r="D5" s="20" t="str">
        <x:v>阻塞测试</x:v>
      </x:c>
      <x:c r="E5" s="22" t="n">
        <x:f>COUNTIFS('需求待确认'!$E$2:$E$35,"阻塞测试",'需求待确认'!$T$2:$T$35,"待确认")</x:f>
        <x:v>0</x:v>
      </x:c>
      <x:c r="F5" s="13"/>
      <x:c r="G5" s="20" t="str">
        <x:v>产品</x:v>
      </x:c>
      <x:c r="H5" s="22" t="n">
        <x:f>COUNTIFS('需求待确认'!$R$2:$R$35,"产品",'需求待确认'!$T$2:$T$35,"待确认")</x:f>
        <x:v>31</x:v>
      </x:c>
    </x:row>
    <x:row r="6">
      <x:c r="A6" s="20" t="str">
        <x:v>当前可回答</x:v>
      </x:c>
      <x:c r="B6" s="22" t="n">
        <x:f>COUNTIF('需求待确认'!$T$2:$T$35,"待确认")</x:f>
        <x:v>34</x:v>
      </x:c>
      <x:c r="C6" s="13"/>
      <x:c r="D6" s="20" t="str">
        <x:v>部分阻塞</x:v>
      </x:c>
      <x:c r="E6" s="22" t="n">
        <x:f>COUNTIFS('需求待确认'!$E$2:$E$35,"部分阻塞",'需求待确认'!$T$2:$T$35,"待确认")</x:f>
        <x:v>34</x:v>
      </x:c>
      <x:c r="F6" s="13"/>
      <x:c r="G6" s="20" t="str">
        <x:v>交互</x:v>
      </x:c>
      <x:c r="H6" s="22" t="n">
        <x:f>COUNTIFS('需求待确认'!$R$2:$R$35,"交互",'需求待确认'!$T$2:$T$35,"待确认")</x:f>
        <x:v>2</x:v>
      </x:c>
    </x:row>
    <x:row r="7">
      <x:c r="A7" s="20" t="str">
        <x:v>待前置结论</x:v>
      </x:c>
      <x:c r="B7" s="22" t="n">
        <x:f>COUNTIF('需求待确认'!$T$2:$T$35,"待前置结论")</x:f>
        <x:v>0</x:v>
      </x:c>
      <x:c r="C7" s="13"/>
      <x:c r="D7" s="20" t="str">
        <x:v>不阻塞</x:v>
      </x:c>
      <x:c r="E7" s="22" t="n">
        <x:f>COUNTIFS('需求待确认'!$E$2:$E$35,"不阻塞",'需求待确认'!$T$2:$T$35,"待确认")</x:f>
        <x:v>0</x:v>
      </x:c>
      <x:c r="F7" s="13"/>
      <x:c r="G7" s="20" t="str">
        <x:v>技术</x:v>
      </x:c>
      <x:c r="H7" s="22" t="n">
        <x:f>COUNTIFS('需求待确认'!$R$2:$R$35,"技术",'需求待确认'!$T$2:$T$35,"待确认")</x:f>
        <x:v>0</x:v>
      </x:c>
    </x:row>
    <x:row r="8">
      <x:c r="A8" s="20" t="str">
        <x:v>确认中</x:v>
      </x:c>
      <x:c r="B8" s="22" t="n">
        <x:f>COUNTIF('需求待确认'!$T$2:$T$35,"确认中")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COUNTIFS('需求待确认'!$R$2:$R$35,"多方确认",'需求待确认'!$T$2:$T$35,"待确认")</x:f>
        <x:v>1</x:v>
      </x:c>
    </x:row>
    <x:row r="9">
      <x:c r="A9" s="20" t="str">
        <x:v>已确认</x:v>
      </x:c>
      <x:c r="B9" s="22" t="n">
        <x:f>COUNTIF('需求待确认'!$T$2:$T$35,"已确认")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COUNTIF('需求待确认'!$T$2:$T$35,"无需处理")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USER-0001</x:v>
      </x:c>
      <x:c r="C2" s="10" t="str">
        <x:v>粉丝团</x:v>
      </x:c>
      <x:c r="D2" s="10" t="str">
        <x:v>我的粉丝团（用户）</x:v>
      </x:c>
      <x:c r="E2" s="10" t="str">
        <x:v>功能需求</x:v>
      </x:c>
      <x:c r="F2" s="10" t="str">
        <x:v>P1</x:v>
      </x:c>
      <x:c r="G2" s="9" t="str">
        <x:v>验证退团后不再出现在已加入列表</x:v>
      </x:c>
      <x:c r="H2" s="9" t="str">
        <x:v>团籍列表范围</x:v>
      </x:c>
      <x:c r="I2" s="9" t="str">
        <x:v>1. 用户账号可用且已登录
2. 当前账号已经退出海风粉丝团</x:v>
      </x:c>
      <x:c r="J2" s="9" t="str">
        <x:v>1. 进入我的粉丝团
2. 刷新列表</x:v>
      </x:c>
      <x:c r="K2" s="9" t="str">
        <x:v>列表不包含海风粉丝团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来源（当前证据）：liveshow-proto/MainBasis/统一需求文档.md；位置：my-fan-clubs.html
2. 规则：BR-20D713F97D2250
3. 未动态验证</x:v>
      </x:c>
    </x:row>
    <x:row r="3" ht="85" customHeight="1">
      <x:c r="A3" s="10" t="n">
        <x:v>2</x:v>
      </x:c>
      <x:c r="B3" s="10" t="str">
        <x:v>USER-0002</x:v>
      </x:c>
      <x:c r="C3" s="10" t="str">
        <x:v>粉丝团</x:v>
      </x:c>
      <x:c r="D3" s="10" t="str">
        <x:v>我的粉丝团（用户）</x:v>
      </x:c>
      <x:c r="E3" s="10" t="str">
        <x:v>功能需求</x:v>
      </x:c>
      <x:c r="F3" s="10" t="str">
        <x:v>P1</x:v>
      </x:c>
      <x:c r="G3" s="9" t="str">
        <x:v>验证重新入团不恢复旧等级</x:v>
      </x:c>
      <x:c r="H3" s="9" t="str">
        <x:v>重入团等级</x:v>
      </x:c>
      <x:c r="I3" s="9" t="str">
        <x:v>1. 用户账号可用且已登录
2. 退团前等级3，当前已重新加入同一团</x:v>
      </x:c>
      <x:c r="J3" s="9" t="str">
        <x:v>1. 进入我的粉丝团
2. 查看粉丝等级</x:v>
      </x:c>
      <x:c r="K3" s="9" t="str">
        <x:v>粉丝等级为0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来源（当前证据）：liveshow-proto/MainBasis/统一需求文档.md；位置：my-fan-clubs.html
2. 规则：BR-60AE160AC08674
3. 未动态验证</x:v>
      </x:c>
    </x:row>
    <x:row r="4" ht="85" customHeight="1">
      <x:c r="A4" s="10" t="n">
        <x:v>3</x:v>
      </x:c>
      <x:c r="B4" s="10" t="str">
        <x:v>USER-0003</x:v>
      </x:c>
      <x:c r="C4" s="10" t="str">
        <x:v>粉丝团</x:v>
      </x:c>
      <x:c r="D4" s="10" t="str">
        <x:v>我的粉丝团（用户）</x:v>
      </x:c>
      <x:c r="E4" s="10" t="str">
        <x:v>功能需求</x:v>
      </x:c>
      <x:c r="F4" s="10" t="str">
        <x:v>P1</x:v>
      </x:c>
      <x:c r="G4" s="9" t="str">
        <x:v>验证重新入团不恢复旧亲密度</x:v>
      </x:c>
      <x:c r="H4" s="9" t="str">
        <x:v>重入团亲密度</x:v>
      </x:c>
      <x:c r="I4" s="9" t="str">
        <x:v>1. 用户账号可用且已登录
2. 退团前亲密度100，当前已重新加入同一团</x:v>
      </x:c>
      <x:c r="J4" s="9" t="str">
        <x:v>1. 进入我的粉丝团
2. 查看亲密度</x:v>
      </x:c>
      <x:c r="K4" s="9" t="str">
        <x:v>亲密度为0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来源（当前证据）：liveshow-proto/MainBasis/统一需求文档.md；位置：my-fan-clubs.html
2. 规则：BR-900F64D4CC5F90
3. 未动态验证</x:v>
      </x:c>
    </x:row>
    <x:row r="5" ht="85" customHeight="1">
      <x:c r="A5" s="10" t="n">
        <x:v>4</x:v>
      </x:c>
      <x:c r="B5" s="10" t="str">
        <x:v>USER-0004</x:v>
      </x:c>
      <x:c r="C5" s="10" t="str">
        <x:v>粉丝团</x:v>
      </x:c>
      <x:c r="D5" s="10" t="str">
        <x:v>贡献榜（用户）</x:v>
      </x:c>
      <x:c r="E5" s="10" t="str">
        <x:v>功能需求</x:v>
      </x:c>
      <x:c r="F5" s="10" t="str">
        <x:v>P1</x:v>
      </x:c>
      <x:c r="G5" s="9" t="str">
        <x:v>验证粉丝贡献优先于等级排序</x:v>
      </x:c>
      <x:c r="H5" s="9" t="str">
        <x:v>粉丝榜主排序</x:v>
      </x:c>
      <x:c r="I5" s="9" t="str">
        <x:v>1. 用户账号可用且已登录
2. 甲贡献200等级1，乙贡献100等级5</x:v>
      </x:c>
      <x:c r="J5" s="9" t="str">
        <x:v>1. 进入海风粉丝团贡献榜
2. 查看排名</x:v>
      </x:c>
      <x:c r="K5" s="9" t="str">
        <x:v>甲排在乙之前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来源（当前证据）：liveshow-proto/MainBasis/统一需求文档.md；位置：fan-contribution-ranking.html
2. 规则：BR-98C4ADF2D44AC6
3. 未动态验证</x:v>
      </x:c>
    </x:row>
    <x:row r="6" ht="85" customHeight="1">
      <x:c r="A6" s="10" t="n">
        <x:v>5</x:v>
      </x:c>
      <x:c r="B6" s="10" t="str">
        <x:v>USER-0005</x:v>
      </x:c>
      <x:c r="C6" s="10" t="str">
        <x:v>粉丝团</x:v>
      </x:c>
      <x:c r="D6" s="10" t="str">
        <x:v>贡献榜（用户）</x:v>
      </x:c>
      <x:c r="E6" s="10" t="str">
        <x:v>功能需求</x:v>
      </x:c>
      <x:c r="F6" s="10" t="str">
        <x:v>P1</x:v>
      </x:c>
      <x:c r="G6" s="9" t="str">
        <x:v>验证同贡献按本团粉丝等级排序</x:v>
      </x:c>
      <x:c r="H6" s="9" t="str">
        <x:v>粉丝榜第二排序</x:v>
      </x:c>
      <x:c r="I6" s="9" t="str">
        <x:v>1. 用户账号可用且已登录
2. 甲乙贡献100，甲本团粉丝等级3、乙2</x:v>
      </x:c>
      <x:c r="J6" s="9" t="str">
        <x:v>1. 进入海风粉丝团贡献榜
2. 查看排名</x:v>
      </x:c>
      <x:c r="K6" s="9" t="str">
        <x:v>甲排在乙之前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来源（当前证据）：liveshow-proto/MainBasis/统一需求文档.md；位置：fan-contribution-ranking.html
2. 规则：BR-A4082A66CE2467
3. 未动态验证</x:v>
      </x:c>
    </x:row>
    <x:row r="7" ht="85" customHeight="1">
      <x:c r="A7" s="10" t="n">
        <x:v>6</x:v>
      </x:c>
      <x:c r="B7" s="10" t="str">
        <x:v>USER-0006</x:v>
      </x:c>
      <x:c r="C7" s="10" t="str">
        <x:v>粉丝团</x:v>
      </x:c>
      <x:c r="D7" s="10" t="str">
        <x:v>贡献榜（用户）</x:v>
      </x:c>
      <x:c r="E7" s="10" t="str">
        <x:v>功能需求</x:v>
      </x:c>
      <x:c r="F7" s="10" t="str">
        <x:v>P1</x:v>
      </x:c>
      <x:c r="G7" s="9" t="str">
        <x:v>验证同贡献同团等级按财富等级排序</x:v>
      </x:c>
      <x:c r="H7" s="9" t="str">
        <x:v>粉丝榜第三排序</x:v>
      </x:c>
      <x:c r="I7" s="9" t="str">
        <x:v>1. 用户账号可用且已登录
2. 甲乙贡献100且团等级2，财富等级甲3乙2</x:v>
      </x:c>
      <x:c r="J7" s="9" t="str">
        <x:v>1. 进入海风粉丝团贡献榜
2. 查看排名</x:v>
      </x:c>
      <x:c r="K7" s="9" t="str">
        <x:v>甲排在乙之前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来源（当前证据）：liveshow-proto/MainBasis/统一需求文档.md；位置：fan-contribution-ranking.html
2. 规则：BR-BA63AC15322B6E
3. 未动态验证</x:v>
      </x:c>
    </x:row>
    <x:row r="8" ht="85" customHeight="1">
      <x:c r="A8" s="10" t="n">
        <x:v>7</x:v>
      </x:c>
      <x:c r="B8" s="10" t="str">
        <x:v>USER-0007</x:v>
      </x:c>
      <x:c r="C8" s="10" t="str">
        <x:v>粉丝团</x:v>
      </x:c>
      <x:c r="D8" s="10" t="str">
        <x:v>贡献榜（用户）</x:v>
      </x:c>
      <x:c r="E8" s="10" t="str">
        <x:v>功能需求</x:v>
      </x:c>
      <x:c r="F8" s="10" t="str">
        <x:v>P1</x:v>
      </x:c>
      <x:c r="G8" s="9" t="str">
        <x:v>验证所有分值等级相同按ID排序</x:v>
      </x:c>
      <x:c r="H8" s="9" t="str">
        <x:v>粉丝榜最终排序</x:v>
      </x:c>
      <x:c r="I8" s="9" t="str">
        <x:v>1. 用户账号可用且已登录
2. 甲ID9、乙ID10，贡献及两种等级相同</x:v>
      </x:c>
      <x:c r="J8" s="9" t="str">
        <x:v>1. 进入海风粉丝团贡献榜
2. 查看排名</x:v>
      </x:c>
      <x:c r="K8" s="9" t="str">
        <x:v>甲排在乙之前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来源（当前证据）：liveshow-proto/MainBasis/统一需求文档.md；位置：fan-contribution-ranking.html
2. 规则：BR-D35CD58258586C
3. 未动态验证</x:v>
      </x:c>
    </x:row>
    <x:row r="9" ht="85" customHeight="1">
      <x:c r="A9" s="10" t="n">
        <x:v>8</x:v>
      </x:c>
      <x:c r="B9" s="10" t="str">
        <x:v>USER-0008</x:v>
      </x:c>
      <x:c r="C9" s="10" t="str">
        <x:v>粉丝团</x:v>
      </x:c>
      <x:c r="D9" s="10" t="str">
        <x:v>贡献榜（用户）</x:v>
      </x:c>
      <x:c r="E9" s="10" t="str">
        <x:v>功能需求</x:v>
      </x:c>
      <x:c r="F9" s="10" t="str">
        <x:v>P1</x:v>
      </x:c>
      <x:c r="G9" s="9" t="str">
        <x:v>验证没有贡献的自己显示未上榜</x:v>
      </x:c>
      <x:c r="H9" s="9" t="str">
        <x:v>本人空排名</x:v>
      </x:c>
      <x:c r="I9" s="9" t="str">
        <x:v>1. 用户账号可用且已登录
2. 当前账号未产生有效贡献</x:v>
      </x:c>
      <x:c r="J9" s="9" t="str">
        <x:v>1. 进入海风粉丝团贡献榜
2. 查看我的排名</x:v>
      </x:c>
      <x:c r="K9" s="9" t="str">
        <x:v>显示未上榜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来源（当前证据）：liveshow-proto/MainBasis/统一需求文档.md；位置：fan-contribution-ranking.html
2. 规则：BR-8C5C843D794D73
3. 未动态验证</x:v>
      </x:c>
    </x:row>
    <x:row r="10" ht="85" customHeight="1">
      <x:c r="A10" s="10" t="n">
        <x:v>9</x:v>
      </x:c>
      <x:c r="B10" s="10" t="str">
        <x:v>USER-0009</x:v>
      </x:c>
      <x:c r="C10" s="10" t="str">
        <x:v>粉丝团</x:v>
      </x:c>
      <x:c r="D10" s="10" t="str">
        <x:v>贡献榜（用户）</x:v>
      </x:c>
      <x:c r="E10" s="10" t="str">
        <x:v>功能需求</x:v>
      </x:c>
      <x:c r="F10" s="10" t="str">
        <x:v>P1</x:v>
      </x:c>
      <x:c r="G10" s="9" t="str">
        <x:v>验证用户导航到指定页面</x:v>
      </x:c>
      <x:c r="H10" s="9" t="str">
        <x:v>页面导航</x:v>
      </x:c>
      <x:c r="I10" s="9" t="str">
        <x:v>1. 用户已登录且拥有贡献榜访问权限
2. 本页存在可点击的目标记录；目标仍有效且属于当前账号可见范围</x:v>
      </x:c>
      <x:c r="J10" s="9" t="str">
        <x:v>1. 进入贡献榜
2. 点击用户</x:v>
      </x:c>
      <x:c r="K10" s="9" t="str">
        <x:v>进入对应主页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来源（当前证据）：liveshow-proto/MainBasis/统一需求文档.md；位置：fan-contribution-ranking.html
2. 规则：BR-E116E193D40686
3. 未动态验证</x:v>
      </x:c>
    </x:row>
    <x:row r="11" ht="85" customHeight="1">
      <x:c r="A11" s="10" t="n">
        <x:v>10</x:v>
      </x:c>
      <x:c r="B11" s="10" t="str">
        <x:v>USER-0010</x:v>
      </x:c>
      <x:c r="C11" s="10" t="str">
        <x:v>个人中心</x:v>
      </x:c>
      <x:c r="D11" s="10" t="str">
        <x:v>资料编辑（用户）</x:v>
      </x:c>
      <x:c r="E11" s="10" t="str">
        <x:v>逻辑校验</x:v>
      </x:c>
      <x:c r="F11" s="10" t="str">
        <x:v>P1</x:v>
      </x:c>
      <x:c r="G11" s="9" t="str">
        <x:v>验证昵称长度为0时的校验</x:v>
      </x:c>
      <x:c r="H11" s="9" t="str">
        <x:v>昵称越界拦截</x:v>
      </x:c>
      <x:c r="I11" s="9" t="str">
        <x:v>1. 用户账号可用且已登录
2. 除昵称外的必填项已具备合法值</x:v>
      </x:c>
      <x:c r="J11" s="9" t="str">
        <x:v>1. 进入资料编辑
2. 清空昵称
3. 输入昵称为0 个“测”字符</x:v>
      </x:c>
      <x:c r="K11" s="9" t="str">
        <x:v>昵称不能保存超出下限的值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来源（当前证据）：liveshow-proto/MainBasis/统一需求文档.md；位置：profile-edit.html
2. 规则：BR-897AA9BF7A4E45
3. 未动态验证</x:v>
      </x:c>
    </x:row>
    <x:row r="12" ht="85" customHeight="1">
      <x:c r="A12" s="10" t="n">
        <x:v>11</x:v>
      </x:c>
      <x:c r="B12" s="10" t="str">
        <x:v>USER-0011</x:v>
      </x:c>
      <x:c r="C12" s="10" t="str">
        <x:v>个人中心</x:v>
      </x:c>
      <x:c r="D12" s="10" t="str">
        <x:v>资料编辑（用户）</x:v>
      </x:c>
      <x:c r="E12" s="10" t="str">
        <x:v>逻辑校验</x:v>
      </x:c>
      <x:c r="F12" s="10" t="str">
        <x:v>P1</x:v>
      </x:c>
      <x:c r="G12" s="9" t="str">
        <x:v>验证昵称长度为1时的校验</x:v>
      </x:c>
      <x:c r="H12" s="9" t="str">
        <x:v>昵称合法边界</x:v>
      </x:c>
      <x:c r="I12" s="9" t="str">
        <x:v>1. 用户账号可用且已登录
2. 除昵称外的必填项已具备合法值</x:v>
      </x:c>
      <x:c r="J12" s="9" t="str">
        <x:v>1. 进入资料编辑
2. 清空昵称
3. 输入昵称为1 个“测”字符</x:v>
      </x:c>
      <x:c r="K12" s="9" t="str">
        <x:v>昵称接受本次1 字符输入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来源（当前证据）：liveshow-proto/MainBasis/统一需求文档.md；位置：profile-edit.html
2. 规则：BR-F558CE2352BBDB
3. 未动态验证</x:v>
      </x:c>
    </x:row>
    <x:row r="13" ht="85" customHeight="1">
      <x:c r="A13" s="10" t="n">
        <x:v>12</x:v>
      </x:c>
      <x:c r="B13" s="10" t="str">
        <x:v>USER-0012</x:v>
      </x:c>
      <x:c r="C13" s="10" t="str">
        <x:v>个人中心</x:v>
      </x:c>
      <x:c r="D13" s="10" t="str">
        <x:v>资料编辑（用户）</x:v>
      </x:c>
      <x:c r="E13" s="10" t="str">
        <x:v>逻辑校验</x:v>
      </x:c>
      <x:c r="F13" s="10" t="str">
        <x:v>P1</x:v>
      </x:c>
      <x:c r="G13" s="9" t="str">
        <x:v>验证昵称长度为2时的校验</x:v>
      </x:c>
      <x:c r="H13" s="9" t="str">
        <x:v>昵称合法边界</x:v>
      </x:c>
      <x:c r="I13" s="9" t="str">
        <x:v>1. 用户账号可用且已登录
2. 除昵称外的必填项已具备合法值</x:v>
      </x:c>
      <x:c r="J13" s="9" t="str">
        <x:v>1. 进入资料编辑
2. 清空昵称
3. 输入昵称为2 个“测”字符</x:v>
      </x:c>
      <x:c r="K13" s="9" t="str">
        <x:v>昵称接受本次2 字符输入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来源（当前证据）：liveshow-proto/MainBasis/统一需求文档.md；位置：profile-edit.html
2. 规则：BR-188F7E88C7AA7E
3. 未动态验证</x:v>
      </x:c>
    </x:row>
    <x:row r="14" ht="85" customHeight="1">
      <x:c r="A14" s="10" t="n">
        <x:v>13</x:v>
      </x:c>
      <x:c r="B14" s="10" t="str">
        <x:v>USER-0013</x:v>
      </x:c>
      <x:c r="C14" s="10" t="str">
        <x:v>个人中心</x:v>
      </x:c>
      <x:c r="D14" s="10" t="str">
        <x:v>资料编辑（用户）</x:v>
      </x:c>
      <x:c r="E14" s="10" t="str">
        <x:v>逻辑校验</x:v>
      </x:c>
      <x:c r="F14" s="10" t="str">
        <x:v>P1</x:v>
      </x:c>
      <x:c r="G14" s="9" t="str">
        <x:v>验证昵称长度为19时的校验</x:v>
      </x:c>
      <x:c r="H14" s="9" t="str">
        <x:v>昵称合法边界</x:v>
      </x:c>
      <x:c r="I14" s="9" t="str">
        <x:v>1. 用户账号可用且已登录
2. 除昵称外的必填项已具备合法值</x:v>
      </x:c>
      <x:c r="J14" s="9" t="str">
        <x:v>1. 进入资料编辑
2. 清空昵称
3. 输入昵称为19 个“测”字符</x:v>
      </x:c>
      <x:c r="K14" s="9" t="str">
        <x:v>昵称接受本次19 字符输入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来源（当前证据）：liveshow-proto/MainBasis/统一需求文档.md；位置：profile-edit.html
2. 规则：BR-78C3937834904B
3. 未动态验证</x:v>
      </x:c>
    </x:row>
    <x:row r="15" ht="85" customHeight="1">
      <x:c r="A15" s="10" t="n">
        <x:v>14</x:v>
      </x:c>
      <x:c r="B15" s="10" t="str">
        <x:v>USER-0014</x:v>
      </x:c>
      <x:c r="C15" s="10" t="str">
        <x:v>个人中心</x:v>
      </x:c>
      <x:c r="D15" s="10" t="str">
        <x:v>资料编辑（用户）</x:v>
      </x:c>
      <x:c r="E15" s="10" t="str">
        <x:v>逻辑校验</x:v>
      </x:c>
      <x:c r="F15" s="10" t="str">
        <x:v>P1</x:v>
      </x:c>
      <x:c r="G15" s="9" t="str">
        <x:v>验证昵称长度为20时的校验</x:v>
      </x:c>
      <x:c r="H15" s="9" t="str">
        <x:v>昵称合法边界</x:v>
      </x:c>
      <x:c r="I15" s="9" t="str">
        <x:v>1. 用户账号可用且已登录
2. 除昵称外的必填项已具备合法值</x:v>
      </x:c>
      <x:c r="J15" s="9" t="str">
        <x:v>1. 进入资料编辑
2. 清空昵称
3. 输入昵称为20 个“测”字符</x:v>
      </x:c>
      <x:c r="K15" s="9" t="str">
        <x:v>昵称接受本次20 字符输入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来源（当前证据）：liveshow-proto/MainBasis/统一需求文档.md；位置：profile-edit.html
2. 规则：BR-316167A28C47F9
3. 未动态验证</x:v>
      </x:c>
    </x:row>
    <x:row r="16" ht="85" customHeight="1">
      <x:c r="A16" s="10" t="n">
        <x:v>15</x:v>
      </x:c>
      <x:c r="B16" s="10" t="str">
        <x:v>USER-0015</x:v>
      </x:c>
      <x:c r="C16" s="10" t="str">
        <x:v>个人中心</x:v>
      </x:c>
      <x:c r="D16" s="10" t="str">
        <x:v>资料编辑（用户）</x:v>
      </x:c>
      <x:c r="E16" s="10" t="str">
        <x:v>逻辑校验</x:v>
      </x:c>
      <x:c r="F16" s="10" t="str">
        <x:v>P1</x:v>
      </x:c>
      <x:c r="G16" s="9" t="str">
        <x:v>验证昵称长度为21时的校验</x:v>
      </x:c>
      <x:c r="H16" s="9" t="str">
        <x:v>昵称越界拦截</x:v>
      </x:c>
      <x:c r="I16" s="9" t="str">
        <x:v>1. 用户账号可用且已登录
2. 除昵称外的必填项已具备合法值</x:v>
      </x:c>
      <x:c r="J16" s="9" t="str">
        <x:v>1. 进入资料编辑
2. 清空昵称
3. 输入昵称为21 个“测”字符</x:v>
      </x:c>
      <x:c r="K16" s="9" t="str">
        <x:v>昵称不能保存超出上限的值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来源（当前证据）：liveshow-proto/MainBasis/统一需求文档.md；位置：profile-edit.html
2. 规则：BR-EFA5D1366A5963
3. 未动态验证</x:v>
      </x:c>
    </x:row>
    <x:row r="17" ht="85" customHeight="1">
      <x:c r="A17" s="10" t="n">
        <x:v>16</x:v>
      </x:c>
      <x:c r="B17" s="10" t="str">
        <x:v>USER-0016</x:v>
      </x:c>
      <x:c r="C17" s="10" t="str">
        <x:v>个人中心</x:v>
      </x:c>
      <x:c r="D17" s="10" t="str">
        <x:v>资料编辑（用户）</x:v>
      </x:c>
      <x:c r="E17" s="10" t="str">
        <x:v>逻辑校验</x:v>
      </x:c>
      <x:c r="F17" s="10" t="str">
        <x:v>P1</x:v>
      </x:c>
      <x:c r="G17" s="9" t="str">
        <x:v>验证签名长度为79时的校验</x:v>
      </x:c>
      <x:c r="H17" s="9" t="str">
        <x:v>签名合法边界</x:v>
      </x:c>
      <x:c r="I17" s="9" t="str">
        <x:v>1. 用户账号可用且已登录
2. 除签名外的必填项已具备合法值</x:v>
      </x:c>
      <x:c r="J17" s="9" t="str">
        <x:v>1. 进入资料编辑
2. 清空签名
3. 输入签名为79 个“测”字符</x:v>
      </x:c>
      <x:c r="K17" s="9" t="str">
        <x:v>签名接受本次79 字符输入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来源（当前证据）：liveshow-proto/MainBasis/统一需求文档.md；位置：profile-edit.html
2. 规则：BR-8C33767A0312B0
3. 未动态验证</x:v>
      </x:c>
    </x:row>
    <x:row r="18" ht="85" customHeight="1">
      <x:c r="A18" s="10" t="n">
        <x:v>17</x:v>
      </x:c>
      <x:c r="B18" s="10" t="str">
        <x:v>USER-0017</x:v>
      </x:c>
      <x:c r="C18" s="10" t="str">
        <x:v>个人中心</x:v>
      </x:c>
      <x:c r="D18" s="10" t="str">
        <x:v>资料编辑（用户）</x:v>
      </x:c>
      <x:c r="E18" s="10" t="str">
        <x:v>逻辑校验</x:v>
      </x:c>
      <x:c r="F18" s="10" t="str">
        <x:v>P1</x:v>
      </x:c>
      <x:c r="G18" s="9" t="str">
        <x:v>验证签名长度为80时的校验</x:v>
      </x:c>
      <x:c r="H18" s="9" t="str">
        <x:v>签名合法边界</x:v>
      </x:c>
      <x:c r="I18" s="9" t="str">
        <x:v>1. 用户账号可用且已登录
2. 除签名外的必填项已具备合法值</x:v>
      </x:c>
      <x:c r="J18" s="9" t="str">
        <x:v>1. 进入资料编辑
2. 清空签名
3. 输入签名为80 个“测”字符</x:v>
      </x:c>
      <x:c r="K18" s="9" t="str">
        <x:v>签名接受本次80 字符输入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来源（当前证据）：liveshow-proto/MainBasis/统一需求文档.md；位置：profile-edit.html
2. 规则：BR-023BD8770EC0F8
3. 未动态验证</x:v>
      </x:c>
    </x:row>
    <x:row r="19" ht="85" customHeight="1">
      <x:c r="A19" s="10" t="n">
        <x:v>18</x:v>
      </x:c>
      <x:c r="B19" s="10" t="str">
        <x:v>USER-0018</x:v>
      </x:c>
      <x:c r="C19" s="10" t="str">
        <x:v>个人中心</x:v>
      </x:c>
      <x:c r="D19" s="10" t="str">
        <x:v>资料编辑（用户）</x:v>
      </x:c>
      <x:c r="E19" s="10" t="str">
        <x:v>逻辑校验</x:v>
      </x:c>
      <x:c r="F19" s="10" t="str">
        <x:v>P1</x:v>
      </x:c>
      <x:c r="G19" s="9" t="str">
        <x:v>验证签名长度为81时的校验</x:v>
      </x:c>
      <x:c r="H19" s="9" t="str">
        <x:v>签名越界拦截</x:v>
      </x:c>
      <x:c r="I19" s="9" t="str">
        <x:v>1. 用户账号可用且已登录
2. 除签名外的必填项已具备合法值</x:v>
      </x:c>
      <x:c r="J19" s="9" t="str">
        <x:v>1. 进入资料编辑
2. 清空签名
3. 输入签名为81 个“测”字符</x:v>
      </x:c>
      <x:c r="K19" s="9" t="str">
        <x:v>签名不能保存超出上限的值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来源（当前证据）：liveshow-proto/MainBasis/统一需求文档.md；位置：profile-edit.html
2. 规则：BR-D239080577EF62
3. 未动态验证</x:v>
      </x:c>
    </x:row>
    <x:row r="20" ht="85" customHeight="1">
      <x:c r="A20" s="10" t="n">
        <x:v>19</x:v>
      </x:c>
      <x:c r="B20" s="10" t="str">
        <x:v>USER-0019</x:v>
      </x:c>
      <x:c r="C20" s="10" t="str">
        <x:v>个人中心</x:v>
      </x:c>
      <x:c r="D20" s="10" t="str">
        <x:v>资料编辑（用户）</x:v>
      </x:c>
      <x:c r="E20" s="10" t="str">
        <x:v>逻辑校验</x:v>
      </x:c>
      <x:c r="F20" s="10" t="str">
        <x:v>P1</x:v>
      </x:c>
      <x:c r="G20" s="9" t="str">
        <x:v>验证地区长度为29时的校验</x:v>
      </x:c>
      <x:c r="H20" s="9" t="str">
        <x:v>地区合法边界</x:v>
      </x:c>
      <x:c r="I20" s="9" t="str">
        <x:v>1. 用户账号可用且已登录
2. 除地区外的必填项已具备合法值</x:v>
      </x:c>
      <x:c r="J20" s="9" t="str">
        <x:v>1. 进入资料编辑
2. 清空地区
3. 输入地区为29 个“测”字符</x:v>
      </x:c>
      <x:c r="K20" s="9" t="str">
        <x:v>地区接受本次29 字符输入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来源（当前证据）：liveshow-proto/MainBasis/统一需求文档.md；位置：profile-edit.html
2. 规则：BR-0E7E25B29E56C2
3. 未动态验证</x:v>
      </x:c>
    </x:row>
    <x:row r="21" ht="85" customHeight="1">
      <x:c r="A21" s="10" t="n">
        <x:v>20</x:v>
      </x:c>
      <x:c r="B21" s="10" t="str">
        <x:v>USER-0020</x:v>
      </x:c>
      <x:c r="C21" s="10" t="str">
        <x:v>个人中心</x:v>
      </x:c>
      <x:c r="D21" s="10" t="str">
        <x:v>资料编辑（用户）</x:v>
      </x:c>
      <x:c r="E21" s="10" t="str">
        <x:v>逻辑校验</x:v>
      </x:c>
      <x:c r="F21" s="10" t="str">
        <x:v>P1</x:v>
      </x:c>
      <x:c r="G21" s="9" t="str">
        <x:v>验证地区长度为30时的校验</x:v>
      </x:c>
      <x:c r="H21" s="9" t="str">
        <x:v>地区合法边界</x:v>
      </x:c>
      <x:c r="I21" s="9" t="str">
        <x:v>1. 用户账号可用且已登录
2. 除地区外的必填项已具备合法值</x:v>
      </x:c>
      <x:c r="J21" s="9" t="str">
        <x:v>1. 进入资料编辑
2. 清空地区
3. 输入地区为30 个“测”字符</x:v>
      </x:c>
      <x:c r="K21" s="9" t="str">
        <x:v>地区接受本次30 字符输入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来源（当前证据）：liveshow-proto/MainBasis/统一需求文档.md；位置：profile-edit.html
2. 规则：BR-53D7CDBF3A4043
3. 未动态验证</x:v>
      </x:c>
    </x:row>
    <x:row r="22" ht="85" customHeight="1">
      <x:c r="A22" s="10" t="n">
        <x:v>21</x:v>
      </x:c>
      <x:c r="B22" s="10" t="str">
        <x:v>USER-0021</x:v>
      </x:c>
      <x:c r="C22" s="10" t="str">
        <x:v>个人中心</x:v>
      </x:c>
      <x:c r="D22" s="10" t="str">
        <x:v>资料编辑（用户）</x:v>
      </x:c>
      <x:c r="E22" s="10" t="str">
        <x:v>逻辑校验</x:v>
      </x:c>
      <x:c r="F22" s="10" t="str">
        <x:v>P1</x:v>
      </x:c>
      <x:c r="G22" s="9" t="str">
        <x:v>验证地区长度为31时的校验</x:v>
      </x:c>
      <x:c r="H22" s="9" t="str">
        <x:v>地区越界拦截</x:v>
      </x:c>
      <x:c r="I22" s="9" t="str">
        <x:v>1. 用户账号可用且已登录
2. 除地区外的必填项已具备合法值</x:v>
      </x:c>
      <x:c r="J22" s="9" t="str">
        <x:v>1. 进入资料编辑
2. 清空地区
3. 输入地区为31 个“测”字符</x:v>
      </x:c>
      <x:c r="K22" s="9" t="str">
        <x:v>地区不能保存超出上限的值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来源（当前证据）：liveshow-proto/MainBasis/统一需求文档.md；位置：profile-edit.html
2. 规则：BR-C7A3BCC08AEE6C
3. 未动态验证</x:v>
      </x:c>
    </x:row>
    <x:row r="23" ht="85" customHeight="1">
      <x:c r="A23" s="10" t="n">
        <x:v>22</x:v>
      </x:c>
      <x:c r="B23" s="10" t="str">
        <x:v>USER-0022</x:v>
      </x:c>
      <x:c r="C23" s="10" t="str">
        <x:v>个人中心</x:v>
      </x:c>
      <x:c r="D23" s="10" t="str">
        <x:v>资料编辑（用户）</x:v>
      </x:c>
      <x:c r="E23" s="10" t="str">
        <x:v>功能需求</x:v>
      </x:c>
      <x:c r="F23" s="10" t="str">
        <x:v>P1</x:v>
      </x:c>
      <x:c r="G23" s="9" t="str">
        <x:v>验证用户 ID 不可编辑</x:v>
      </x:c>
      <x:c r="H23" s="9" t="str">
        <x:v>账号标识只读</x:v>
      </x:c>
      <x:c r="I23" s="9" t="str">
        <x:v>1. 用户账号可用且已登录</x:v>
      </x:c>
      <x:c r="J23" s="9" t="str">
        <x:v>1. 进入资料编辑页
2. 查看用户 ID</x:v>
      </x:c>
      <x:c r="K23" s="9" t="str">
        <x:v>用户 ID 不提供可编辑输入框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来源（当前证据）：liveshow-proto/MainBasis/统一需求文档.md；位置：profile-edit.html
2. 规则：BR-77309D5AA8415B
3. 未动态验证</x:v>
      </x:c>
    </x:row>
    <x:row r="24" ht="85" customHeight="1">
      <x:c r="A24" s="10" t="n">
        <x:v>23</x:v>
      </x:c>
      <x:c r="B24" s="10" t="str">
        <x:v>USER-0023</x:v>
      </x:c>
      <x:c r="C24" s="10" t="str">
        <x:v>个人中心</x:v>
      </x:c>
      <x:c r="D24" s="10" t="str">
        <x:v>资料编辑（用户）</x:v>
      </x:c>
      <x:c r="E24" s="10" t="str">
        <x:v>功能需求</x:v>
      </x:c>
      <x:c r="F24" s="10" t="str">
        <x:v>P1</x:v>
      </x:c>
      <x:c r="G24" s="9" t="str">
        <x:v>验证头像修改进入检测中状态</x:v>
      </x:c>
      <x:c r="H24" s="9" t="str">
        <x:v>头像风控过程</x:v>
      </x:c>
      <x:c r="I24" s="9" t="str">
        <x:v>1. 用户账号可用且已登录
2. 已准备合法头像图片，风控响应尚未返回</x:v>
      </x:c>
      <x:c r="J24" s="9" t="str">
        <x:v>1. 进入资料编辑页
2. 上传头像图片
3. 点击保存</x:v>
      </x:c>
      <x:c r="K24" s="9" t="str">
        <x:v>保存区域显示检测 loading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来源（当前证据）：liveshow-proto/MainBasis/统一需求文档.md；位置：profile-edit.html
2. 规则：BR-DFE3CCE597A0CD
3. 未动态验证</x:v>
      </x:c>
    </x:row>
    <x:row r="25" ht="85" customHeight="1">
      <x:c r="A25" s="10" t="n">
        <x:v>24</x:v>
      </x:c>
      <x:c r="B25" s="10" t="str">
        <x:v>USER-0024</x:v>
      </x:c>
      <x:c r="C25" s="10" t="str">
        <x:v>个人中心</x:v>
      </x:c>
      <x:c r="D25" s="10" t="str">
        <x:v>资料编辑（用户）</x:v>
      </x:c>
      <x:c r="E25" s="10" t="str">
        <x:v>功能需求</x:v>
      </x:c>
      <x:c r="F25" s="10" t="str">
        <x:v>P1</x:v>
      </x:c>
      <x:c r="G25" s="9" t="str">
        <x:v>验证昵称通过风控后生效</x:v>
      </x:c>
      <x:c r="H25" s="9" t="str">
        <x:v>昵称风控通过</x:v>
      </x:c>
      <x:c r="I25" s="9" t="str">
        <x:v>1. 用户账号可用且已登录
2. 昵称原值为“晚风”，风控将返回通过</x:v>
      </x:c>
      <x:c r="J25" s="9" t="str">
        <x:v>1. 进入资料编辑页
2. 修改昵称为“晨光”
3. 点击保存</x:v>
      </x:c>
      <x:c r="K25" s="9" t="str">
        <x:v>个人资料昵称更新为“晨光”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来源（当前证据）：liveshow-proto/MainBasis/统一需求文档.md；位置：profile-edit.html
2. 规则：BR-D5B245D17DC9C4
3. 未动态验证</x:v>
      </x:c>
    </x:row>
    <x:row r="26" ht="85" customHeight="1">
      <x:c r="A26" s="10" t="n">
        <x:v>25</x:v>
      </x:c>
      <x:c r="B26" s="10" t="str">
        <x:v>USER-0025</x:v>
      </x:c>
      <x:c r="C26" s="10" t="str">
        <x:v>个人中心</x:v>
      </x:c>
      <x:c r="D26" s="10" t="str">
        <x:v>资料编辑（用户）</x:v>
      </x:c>
      <x:c r="E26" s="10" t="str">
        <x:v>功能需求</x:v>
      </x:c>
      <x:c r="F26" s="10" t="str">
        <x:v>P1</x:v>
      </x:c>
      <x:c r="G26" s="9" t="str">
        <x:v>验证昵称未通过风控不覆盖原值</x:v>
      </x:c>
      <x:c r="H26" s="9" t="str">
        <x:v>昵称风控拒绝</x:v>
      </x:c>
      <x:c r="I26" s="9" t="str">
        <x:v>1. 用户账号可用且已登录
2. 昵称原值为“晚风”，风控将返回不合规</x:v>
      </x:c>
      <x:c r="J26" s="9" t="str">
        <x:v>1. 进入资料编辑页
2. 修改昵称为“晨光”
3. 点击保存</x:v>
      </x:c>
      <x:c r="K26" s="9" t="str">
        <x:v>账号保存的昵称仍为“晚风”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来源（当前证据）：liveshow-proto/MainBasis/统一需求文档.md；位置：profile-edit.html
2. 规则：BR-EB2D18B94573FE
3. 未动态验证</x:v>
      </x:c>
    </x:row>
    <x:row r="27" ht="85" customHeight="1">
      <x:c r="A27" s="10" t="n">
        <x:v>26</x:v>
      </x:c>
      <x:c r="B27" s="10" t="str">
        <x:v>USER-0026</x:v>
      </x:c>
      <x:c r="C27" s="10" t="str">
        <x:v>个人中心</x:v>
      </x:c>
      <x:c r="D27" s="10" t="str">
        <x:v>资料编辑（用户）</x:v>
      </x:c>
      <x:c r="E27" s="10" t="str">
        <x:v>功能需求</x:v>
      </x:c>
      <x:c r="F27" s="10" t="str">
        <x:v>P1</x:v>
      </x:c>
      <x:c r="G27" s="9" t="str">
        <x:v>验证头像检测失败提示</x:v>
      </x:c>
      <x:c r="H27" s="9" t="str">
        <x:v>头像风控提示</x:v>
      </x:c>
      <x:c r="I27" s="9" t="str">
        <x:v>1. 用户账号可用且已登录
2. 已准备图片，风控将返回不合规</x:v>
      </x:c>
      <x:c r="J27" s="9" t="str">
        <x:v>1. 进入资料编辑页
2. 上传头像图片
3. 点击保存</x:v>
      </x:c>
      <x:c r="K27" s="9" t="str">
        <x:v>提示“头像或昵称不合规”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来源（当前证据）：liveshow-proto/MainBasis/统一需求文档.md；位置：profile-edit.html
2. 规则：BR-393A40E65F5C55
3. 未动态验证</x:v>
      </x:c>
    </x:row>
    <x:row r="28" ht="85" customHeight="1">
      <x:c r="A28" s="10" t="n">
        <x:v>27</x:v>
      </x:c>
      <x:c r="B28" s="10" t="str">
        <x:v>USER-0027</x:v>
      </x:c>
      <x:c r="C28" s="10" t="str">
        <x:v>个人中心</x:v>
      </x:c>
      <x:c r="D28" s="10" t="str">
        <x:v>资料编辑（用户）</x:v>
      </x:c>
      <x:c r="E28" s="10" t="str">
        <x:v>功能需求</x:v>
      </x:c>
      <x:c r="F28" s="10" t="str">
        <x:v>P1</x:v>
      </x:c>
      <x:c r="G28" s="9" t="str">
        <x:v>验证头像检测网络失败保留编辑内容</x:v>
      </x:c>
      <x:c r="H28" s="9" t="str">
        <x:v>头像编辑草稿</x:v>
      </x:c>
      <x:c r="I28" s="9" t="str">
        <x:v>1. 用户账号可用且已登录
2. 已准备新头像图片，本次检测请求网络异常</x:v>
      </x:c>
      <x:c r="J28" s="9" t="str">
        <x:v>1. 进入资料编辑页
2. 上传新头像图片
3. 点击保存</x:v>
      </x:c>
      <x:c r="K28" s="9" t="str">
        <x:v>编辑表单仍保留本次新头像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来源（当前证据）：liveshow-proto/MainBasis/统一需求文档.md；位置：profile-edit.html
2. 规则：BR-E7AB35EF5BDE74
3. 未动态验证</x:v>
      </x:c>
    </x:row>
    <x:row r="29" ht="85" customHeight="1">
      <x:c r="A29" s="10" t="n">
        <x:v>28</x:v>
      </x:c>
      <x:c r="B29" s="10" t="str">
        <x:v>USER-0028</x:v>
      </x:c>
      <x:c r="C29" s="10" t="str">
        <x:v>个人中心</x:v>
      </x:c>
      <x:c r="D29" s="10" t="str">
        <x:v>资料编辑（用户）</x:v>
      </x:c>
      <x:c r="E29" s="10" t="str">
        <x:v>功能需求</x:v>
      </x:c>
      <x:c r="F29" s="10" t="str">
        <x:v>P1</x:v>
      </x:c>
      <x:c r="G29" s="9" t="str">
        <x:v>验证仅修改签名不等待头像昵称检测</x:v>
      </x:c>
      <x:c r="H29" s="9" t="str">
        <x:v>普通资料保存</x:v>
      </x:c>
      <x:c r="I29" s="9" t="str">
        <x:v>1. 用户账号可用且已登录
2. 头像和昵称均未改动</x:v>
      </x:c>
      <x:c r="J29" s="9" t="str">
        <x:v>1. 进入资料编辑页
2. 修改签名为“喜欢音乐”
3. 点击保存</x:v>
      </x:c>
      <x:c r="K29" s="9" t="str">
        <x:v>保存后的签名为“喜欢音乐”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来源（当前证据）：liveshow-proto/MainBasis/统一需求文档.md；位置：profile-edit.html
2. 规则：BR-35E819C0DA11AF
3. 未动态验证</x:v>
      </x:c>
    </x:row>
    <x:row r="30" ht="85" customHeight="1">
      <x:c r="A30" s="10" t="n">
        <x:v>29</x:v>
      </x:c>
      <x:c r="B30" s="10" t="str">
        <x:v>USER-0029</x:v>
      </x:c>
      <x:c r="C30" s="10" t="str">
        <x:v>个人中心</x:v>
      </x:c>
      <x:c r="D30" s="10" t="str">
        <x:v>资料编辑（用户）</x:v>
      </x:c>
      <x:c r="E30" s="10" t="str">
        <x:v>逻辑校验</x:v>
      </x:c>
      <x:c r="F30" s="10" t="str">
        <x:v>P1</x:v>
      </x:c>
      <x:c r="G30" s="9" t="str">
        <x:v>验证生日不能晚于当天</x:v>
      </x:c>
      <x:c r="H30" s="9" t="str">
        <x:v>出生日期上界</x:v>
      </x:c>
      <x:c r="I30" s="9" t="str">
        <x:v>1. 用户账号可用且已登录</x:v>
      </x:c>
      <x:c r="J30" s="9" t="str">
        <x:v>1. 进入资料编辑页
2. 选择生日为设备当前日期的下一日</x:v>
      </x:c>
      <x:c r="K30" s="9" t="str">
        <x:v>该日期不能保存为生日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来源（当前证据）：liveshow-proto/MainBasis/统一需求文档.md；位置：profile-edit.html
2. 规则：BR-90A4AC62857299
3. 未动态验证</x:v>
      </x:c>
    </x:row>
    <x:row r="31" ht="85" customHeight="1">
      <x:c r="A31" s="10" t="n">
        <x:v>30</x:v>
      </x:c>
      <x:c r="B31" s="10" t="str">
        <x:v>USER-0030</x:v>
      </x:c>
      <x:c r="C31" s="10" t="str">
        <x:v>个人中心</x:v>
      </x:c>
      <x:c r="D31" s="10" t="str">
        <x:v>设置（用户）</x:v>
      </x:c>
      <x:c r="E31" s="10" t="str">
        <x:v>功能需求</x:v>
      </x:c>
      <x:c r="F31" s="10" t="str">
        <x:v>P1</x:v>
      </x:c>
      <x:c r="G31" s="9" t="str">
        <x:v>验证退出登录取消保留会话</x:v>
      </x:c>
      <x:c r="H31" s="9" t="str">
        <x:v>退出取消</x:v>
      </x:c>
      <x:c r="I31" s="9" t="str">
        <x:v>1. 用户账号可用且已登录</x:v>
      </x:c>
      <x:c r="J31" s="9" t="str">
        <x:v>1. 进入设置页
2. 点击退出登录
3. 点击取消</x:v>
      </x:c>
      <x:c r="K31" s="9" t="str">
        <x:v>账号仍处于已登录状态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来源（当前证据）：liveshow-proto/MainBasis/统一需求文档.md；位置：settings.html
2. 规则：BR-82D7B2A6EFADA3
3. 未动态验证</x:v>
      </x:c>
    </x:row>
    <x:row r="32" ht="85" customHeight="1">
      <x:c r="A32" s="10" t="n">
        <x:v>31</x:v>
      </x:c>
      <x:c r="B32" s="10" t="str">
        <x:v>USER-0031</x:v>
      </x:c>
      <x:c r="C32" s="10" t="str">
        <x:v>个人中心</x:v>
      </x:c>
      <x:c r="D32" s="10" t="str">
        <x:v>设置（用户）</x:v>
      </x:c>
      <x:c r="E32" s="10" t="str">
        <x:v>功能需求</x:v>
      </x:c>
      <x:c r="F32" s="10" t="str">
        <x:v>P1</x:v>
      </x:c>
      <x:c r="G32" s="9" t="str">
        <x:v>验证退出登录只清除本机会话</x:v>
      </x:c>
      <x:c r="H32" s="9" t="str">
        <x:v>退出后的登录入口</x:v>
      </x:c>
      <x:c r="I32" s="9" t="str">
        <x:v>1. 用户账号可用且已登录</x:v>
      </x:c>
      <x:c r="J32" s="9" t="str">
        <x:v>1. 进入设置页
2. 点击退出登录
3. 点击确认</x:v>
      </x:c>
      <x:c r="K32" s="9" t="str">
        <x:v>返回登录与注册页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来源（当前证据）：liveshow-proto/MainBasis/统一需求文档.md；位置：settings.html
2. 规则：BR-0399A8F13E259F
3. 未动态验证</x:v>
      </x:c>
    </x:row>
    <x:row r="33" ht="85" customHeight="1">
      <x:c r="A33" s="10" t="n">
        <x:v>32</x:v>
      </x:c>
      <x:c r="B33" s="10" t="str">
        <x:v>USER-0032</x:v>
      </x:c>
      <x:c r="C33" s="10" t="str">
        <x:v>个人中心</x:v>
      </x:c>
      <x:c r="D33" s="10" t="str">
        <x:v>设置（用户）</x:v>
      </x:c>
      <x:c r="E33" s="10" t="str">
        <x:v>功能需求</x:v>
      </x:c>
      <x:c r="F33" s="10" t="str">
        <x:v>P1</x:v>
      </x:c>
      <x:c r="G33" s="9" t="str">
        <x:v>验证注销余额等于100时受限</x:v>
      </x:c>
      <x:c r="H33" s="9" t="str">
        <x:v>注销余额上界</x:v>
      </x:c>
      <x:c r="I33" s="9" t="str">
        <x:v>1. 用户账号可用且已登录
2. 当前金币余额为 100</x:v>
      </x:c>
      <x:c r="J33" s="9" t="str">
        <x:v>1. 进入设置页
2. 点击注销账号</x:v>
      </x:c>
      <x:c r="K33" s="9" t="str">
        <x:v>提供“查看余额”按钮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来源（当前证据）：liveshow-proto/MainBasis/统一需求文档.md；位置：settings.html
2. 规则：BR-274789E11249D2
3. 未动态验证</x:v>
      </x:c>
    </x:row>
    <x:row r="34" ht="85" customHeight="1">
      <x:c r="A34" s="10" t="n">
        <x:v>33</x:v>
      </x:c>
      <x:c r="B34" s="10" t="str">
        <x:v>USER-0033</x:v>
      </x:c>
      <x:c r="C34" s="10" t="str">
        <x:v>个人中心</x:v>
      </x:c>
      <x:c r="D34" s="10" t="str">
        <x:v>设置（用户）</x:v>
      </x:c>
      <x:c r="E34" s="10" t="str">
        <x:v>功能需求</x:v>
      </x:c>
      <x:c r="F34" s="10" t="str">
        <x:v>P1</x:v>
      </x:c>
      <x:c r="G34" s="9" t="str">
        <x:v>验证注销余额低于100时开放确认</x:v>
      </x:c>
      <x:c r="H34" s="9" t="str">
        <x:v>注销余额允许边界</x:v>
      </x:c>
      <x:c r="I34" s="9" t="str">
        <x:v>1. 用户账号可用且已登录
2. 当前金币余额为 99</x:v>
      </x:c>
      <x:c r="J34" s="9" t="str">
        <x:v>1. 进入设置页
2. 点击注销账号</x:v>
      </x:c>
      <x:c r="K34" s="9" t="str">
        <x:v>提供“确认注销”按钮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来源（当前证据）：liveshow-proto/MainBasis/统一需求文档.md；位置：settings.html
2. 规则：BR-C7D0B4C1C133E0
3. 未动态验证</x:v>
      </x:c>
    </x:row>
    <x:row r="35" ht="85" customHeight="1">
      <x:c r="A35" s="10" t="n">
        <x:v>34</x:v>
      </x:c>
      <x:c r="B35" s="10" t="str">
        <x:v>USER-0034</x:v>
      </x:c>
      <x:c r="C35" s="10" t="str">
        <x:v>个人中心</x:v>
      </x:c>
      <x:c r="D35" s="10" t="str">
        <x:v>设置（用户）</x:v>
      </x:c>
      <x:c r="E35" s="10" t="str">
        <x:v>功能需求</x:v>
      </x:c>
      <x:c r="F35" s="10" t="str">
        <x:v>P1</x:v>
      </x:c>
      <x:c r="G35" s="9" t="str">
        <x:v>验证余额不足100仍可取消注销</x:v>
      </x:c>
      <x:c r="H35" s="9" t="str">
        <x:v>注销中断入口</x:v>
      </x:c>
      <x:c r="I35" s="9" t="str">
        <x:v>1. 用户账号可用且已登录
2. 当前金币余额为99</x:v>
      </x:c>
      <x:c r="J35" s="9" t="str">
        <x:v>1. 进入设置页
2. 点击注销账号
3. 点击取消</x:v>
      </x:c>
      <x:c r="K35" s="9" t="str">
        <x:v>关闭注销确认弹窗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来源（当前证据）：liveshow-proto/MainBasis/统一需求文档.md；位置：settings.html
2. 规则：BR-30684E9DF747BF
3. 未动态验证</x:v>
      </x:c>
    </x:row>
    <x:row r="36" ht="85" customHeight="1">
      <x:c r="A36" s="10" t="n">
        <x:v>35</x:v>
      </x:c>
      <x:c r="B36" s="10" t="str">
        <x:v>USER-0035</x:v>
      </x:c>
      <x:c r="C36" s="10" t="str">
        <x:v>个人中心</x:v>
      </x:c>
      <x:c r="D36" s="10" t="str">
        <x:v>设置（用户）</x:v>
      </x:c>
      <x:c r="E36" s="10" t="str">
        <x:v>功能需求</x:v>
      </x:c>
      <x:c r="F36" s="10" t="str">
        <x:v>P1</x:v>
      </x:c>
      <x:c r="G36" s="9" t="str">
        <x:v>验证注销十秒倒计时可取消</x:v>
      </x:c>
      <x:c r="H36" s="9" t="str">
        <x:v>注销提交取消</x:v>
      </x:c>
      <x:c r="I36" s="9" t="str">
        <x:v>1. 用户账号可用且已登录
2. 当前金币余额为 99</x:v>
      </x:c>
      <x:c r="J36" s="9" t="str">
        <x:v>1. 进入设置页
2. 点击注销账号
3. 点击确认注销
4. 在 10 秒倒计时结束前点击取消</x:v>
      </x:c>
      <x:c r="K36" s="9" t="str">
        <x:v>不创建注销申请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来源（当前证据）：liveshow-proto/MainBasis/统一需求文档.md；位置：settings.html
2. 规则：BR-F2930B11010A8D
3. 未动态验证</x:v>
      </x:c>
    </x:row>
    <x:row r="37" ht="85" customHeight="1">
      <x:c r="A37" s="10" t="n">
        <x:v>36</x:v>
      </x:c>
      <x:c r="B37" s="10" t="str">
        <x:v>USER-0036</x:v>
      </x:c>
      <x:c r="C37" s="10" t="str">
        <x:v>个人中心</x:v>
      </x:c>
      <x:c r="D37" s="10" t="str">
        <x:v>设置（用户）</x:v>
      </x:c>
      <x:c r="E37" s="10" t="str">
        <x:v>功能需求</x:v>
      </x:c>
      <x:c r="F37" s="10" t="str">
        <x:v>P0</x:v>
      </x:c>
      <x:c r="G37" s="9" t="str">
        <x:v>验证注销确认后进入冷静期</x:v>
      </x:c>
      <x:c r="H37" s="9" t="str">
        <x:v>注销提交终态</x:v>
      </x:c>
      <x:c r="I37" s="9" t="str">
        <x:v>1. 用户账号可用且已登录
2. 当前金币余额为 99</x:v>
      </x:c>
      <x:c r="J37" s="9" t="str">
        <x:v>1. 进入设置页
2. 点击注销账号
3. 点击确认注销
4. 查看注销倒计时直至10秒结束</x:v>
      </x:c>
      <x:c r="K37" s="9" t="str">
        <x:v>账号进入七日注销冷静期</x:v>
      </x:c>
      <x:c r="L37" s="10" t="str">
        <x:v>FLOW-04F08B2A</x:v>
      </x:c>
      <x:c r="M37" s="10" t="str">
        <x:v>未测</x:v>
      </x:c>
      <x:c r="N37" s="10" t="str"/>
      <x:c r="O37" s="9" t="str">
        <x:v>1. 来源（当前证据）：liveshow-proto/MainBasis/统一需求文档.md；位置：settings.html
2. 规则：BR-8F1B3AEBDE5C95
3. 未动态验证</x:v>
      </x:c>
    </x:row>
    <x:row r="38" ht="85" customHeight="1">
      <x:c r="A38" s="10" t="n">
        <x:v>37</x:v>
      </x:c>
      <x:c r="B38" s="10" t="str">
        <x:v>USER-0037</x:v>
      </x:c>
      <x:c r="C38" s="10" t="str">
        <x:v>个人中心</x:v>
      </x:c>
      <x:c r="D38" s="10" t="str">
        <x:v>设置（用户）</x:v>
      </x:c>
      <x:c r="E38" s="10" t="str">
        <x:v>功能需求</x:v>
      </x:c>
      <x:c r="F38" s="10" t="str">
        <x:v>P1</x:v>
      </x:c>
      <x:c r="G38" s="9" t="str">
        <x:v>验证系统通知未授权仍保留站内通知</x:v>
      </x:c>
      <x:c r="H38" s="9" t="str">
        <x:v>站内通知独立</x:v>
      </x:c>
      <x:c r="I38" s="9" t="str">
        <x:v>1. 用户账号可用且已登录
2. 当前设备未授予通知权限，账号收到一条系统通知</x:v>
      </x:c>
      <x:c r="J38" s="9" t="str">
        <x:v>1. 进入设置页
2. 进入消息中心
3. 点击系统通知</x:v>
      </x:c>
      <x:c r="K38" s="9" t="str">
        <x:v>站内通知列表包含该通知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来源（当前证据）：liveshow-proto/MainBasis/统一需求文档.md；位置：settings.html、system-notifications.html
2. 规则：BR-81A1B0CBAFED98
3. 未动态验证</x:v>
      </x:c>
    </x:row>
    <x:row r="39" ht="85" customHeight="1">
      <x:c r="A39" s="10" t="n">
        <x:v>38</x:v>
      </x:c>
      <x:c r="B39" s="10" t="str">
        <x:v>USER-0038</x:v>
      </x:c>
      <x:c r="C39" s="10" t="str">
        <x:v>个人中心</x:v>
      </x:c>
      <x:c r="D39" s="10" t="str">
        <x:v>设置（用户）</x:v>
      </x:c>
      <x:c r="E39" s="10" t="str">
        <x:v>功能需求</x:v>
      </x:c>
      <x:c r="F39" s="10" t="str">
        <x:v>P1</x:v>
      </x:c>
      <x:c r="G39" s="9" t="str">
        <x:v>验证关闭开播提醒不关闭互动提醒</x:v>
      </x:c>
      <x:c r="H39" s="9" t="str">
        <x:v>通知偏好独立</x:v>
      </x:c>
      <x:c r="I39" s="9" t="str">
        <x:v>1. 用户账号可用且已登录
2. 系统通知已授权，开播提醒和互动通知均开启</x:v>
      </x:c>
      <x:c r="J39" s="9" t="str">
        <x:v>1. 进入设置页
2. 关闭开播提醒</x:v>
      </x:c>
      <x:c r="K39" s="9" t="str">
        <x:v>互动通知开关仍开启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来源（当前证据）：liveshow-proto/MainBasis/统一需求文档.md；位置：settings.html
2. 规则：BR-120925E7D72771
3. 未动态验证</x:v>
      </x:c>
    </x:row>
    <x:row r="40" ht="85" customHeight="1">
      <x:c r="A40" s="10" t="n">
        <x:v>39</x:v>
      </x:c>
      <x:c r="B40" s="10" t="str">
        <x:v>USER-0039</x:v>
      </x:c>
      <x:c r="C40" s="10" t="str">
        <x:v>个人中心</x:v>
      </x:c>
      <x:c r="D40" s="10" t="str">
        <x:v>设置（用户）</x:v>
      </x:c>
      <x:c r="E40" s="10" t="str">
        <x:v>功能需求</x:v>
      </x:c>
      <x:c r="F40" s="10" t="str">
        <x:v>P1</x:v>
      </x:c>
      <x:c r="G40" s="9" t="str">
        <x:v>验证切换中文语言</x:v>
      </x:c>
      <x:c r="H40" s="9" t="str">
        <x:v>客户端语言切换</x:v>
      </x:c>
      <x:c r="I40" s="9" t="str">
        <x:v>1. 用户账号可用且已登录</x:v>
      </x:c>
      <x:c r="J40" s="9" t="str">
        <x:v>1. 进入设置页
2. 点击语言
3. 选择中文</x:v>
      </x:c>
      <x:c r="K40" s="9" t="str">
        <x:v>当前应用语言切换为中文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来源（当前证据）：liveshow-proto/MainBasis/统一需求文档.md；位置：settings.html
2. 规则：BR-3BBBFEEC2C37FD
3. 未动态验证</x:v>
      </x:c>
    </x:row>
    <x:row r="41" ht="85" customHeight="1">
      <x:c r="A41" s="10" t="n">
        <x:v>40</x:v>
      </x:c>
      <x:c r="B41" s="10" t="str">
        <x:v>USER-0040</x:v>
      </x:c>
      <x:c r="C41" s="10" t="str">
        <x:v>个人中心</x:v>
      </x:c>
      <x:c r="D41" s="10" t="str">
        <x:v>设置（用户）</x:v>
      </x:c>
      <x:c r="E41" s="10" t="str">
        <x:v>功能需求</x:v>
      </x:c>
      <x:c r="F41" s="10" t="str">
        <x:v>P1</x:v>
      </x:c>
      <x:c r="G41" s="9" t="str">
        <x:v>验证切换English语言</x:v>
      </x:c>
      <x:c r="H41" s="9" t="str">
        <x:v>客户端语言切换</x:v>
      </x:c>
      <x:c r="I41" s="9" t="str">
        <x:v>1. 用户账号可用且已登录</x:v>
      </x:c>
      <x:c r="J41" s="9" t="str">
        <x:v>1. 进入设置页
2. 点击语言
3. 选择English</x:v>
      </x:c>
      <x:c r="K41" s="9" t="str">
        <x:v>当前应用语言切换为English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来源（当前证据）：liveshow-proto/MainBasis/统一需求文档.md；位置：settings.html
2. 规则：BR-8B8F0650BC8864
3. 未动态验证</x:v>
      </x:c>
    </x:row>
    <x:row r="42" ht="85" customHeight="1">
      <x:c r="A42" s="10" t="n">
        <x:v>41</x:v>
      </x:c>
      <x:c r="B42" s="10" t="str">
        <x:v>USER-0041</x:v>
      </x:c>
      <x:c r="C42" s="10" t="str">
        <x:v>个人中心</x:v>
      </x:c>
      <x:c r="D42" s="10" t="str">
        <x:v>设置（用户）</x:v>
      </x:c>
      <x:c r="E42" s="10" t="str">
        <x:v>功能需求</x:v>
      </x:c>
      <x:c r="F42" s="10" t="str">
        <x:v>P1</x:v>
      </x:c>
      <x:c r="G42" s="9" t="str">
        <x:v>验证切换Bahasa Indonesia语言</x:v>
      </x:c>
      <x:c r="H42" s="9" t="str">
        <x:v>客户端语言切换</x:v>
      </x:c>
      <x:c r="I42" s="9" t="str">
        <x:v>1. 用户账号可用且已登录</x:v>
      </x:c>
      <x:c r="J42" s="9" t="str">
        <x:v>1. 进入设置页
2. 点击语言
3. 选择Bahasa Indonesia</x:v>
      </x:c>
      <x:c r="K42" s="9" t="str">
        <x:v>当前应用语言切换为Bahasa Indonesia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来源（当前证据）：liveshow-proto/MainBasis/统一需求文档.md；位置：settings.html
2. 规则：BR-1A3D56B61093C8
3. 未动态验证</x:v>
      </x:c>
    </x:row>
    <x:row r="43" ht="85" customHeight="1">
      <x:c r="A43" s="10" t="n">
        <x:v>42</x:v>
      </x:c>
      <x:c r="B43" s="10" t="str">
        <x:v>USER-0042</x:v>
      </x:c>
      <x:c r="C43" s="10" t="str">
        <x:v>个人中心</x:v>
      </x:c>
      <x:c r="D43" s="10" t="str">
        <x:v>设置（用户）</x:v>
      </x:c>
      <x:c r="E43" s="10" t="str">
        <x:v>功能需求</x:v>
      </x:c>
      <x:c r="F43" s="10" t="str">
        <x:v>P1</x:v>
      </x:c>
      <x:c r="G43" s="9" t="str">
        <x:v>验证切换Bahasa Melayu语言</x:v>
      </x:c>
      <x:c r="H43" s="9" t="str">
        <x:v>客户端语言切换</x:v>
      </x:c>
      <x:c r="I43" s="9" t="str">
        <x:v>1. 用户账号可用且已登录</x:v>
      </x:c>
      <x:c r="J43" s="9" t="str">
        <x:v>1. 进入设置页
2. 点击语言
3. 选择Bahasa Melayu</x:v>
      </x:c>
      <x:c r="K43" s="9" t="str">
        <x:v>当前应用语言切换为Bahasa Melayu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来源（当前证据）：liveshow-proto/MainBasis/统一需求文档.md；位置：settings.html
2. 规则：BR-354AF541E22497
3. 未动态验证</x:v>
      </x:c>
    </x:row>
    <x:row r="44" ht="85" customHeight="1">
      <x:c r="A44" s="10" t="n">
        <x:v>43</x:v>
      </x:c>
      <x:c r="B44" s="10" t="str">
        <x:v>USER-0043</x:v>
      </x:c>
      <x:c r="C44" s="10" t="str">
        <x:v>个人中心</x:v>
      </x:c>
      <x:c r="D44" s="10" t="str">
        <x:v>系统通知-从未申请（用户）</x:v>
      </x:c>
      <x:c r="E44" s="10" t="str">
        <x:v>功能需求</x:v>
      </x:c>
      <x:c r="F44" s="10" t="str">
        <x:v>P1</x:v>
      </x:c>
      <x:c r="G44" s="9" t="str">
        <x:v>验证首次申请系统通知</x:v>
      </x:c>
      <x:c r="H44" s="9" t="str">
        <x:v>系统通知授权入口</x:v>
      </x:c>
      <x:c r="I44" s="9" t="str">
        <x:v>1. 用户账号可用且已登录</x:v>
      </x:c>
      <x:c r="J44" s="9" t="str">
        <x:v>1. 进入设置页的首次申请系统通知状态
2. 点击系统通知</x:v>
      </x:c>
      <x:c r="K44" s="9" t="str">
        <x:v>调起系统通知授权弹窗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来源（当前证据）：liveshow-proto/MainBasis/统一需求文档.md；位置：views/settings/notification-default.html
2. 规则：BR-D6CA33555B7DB2
3. 未动态验证</x:v>
      </x:c>
    </x:row>
    <x:row r="45" ht="85" customHeight="1">
      <x:c r="A45" s="10" t="n">
        <x:v>44</x:v>
      </x:c>
      <x:c r="B45" s="10" t="str">
        <x:v>USER-0044</x:v>
      </x:c>
      <x:c r="C45" s="10" t="str">
        <x:v>个人中心</x:v>
      </x:c>
      <x:c r="D45" s="10" t="str">
        <x:v>系统通知-已拒绝（用户）</x:v>
      </x:c>
      <x:c r="E45" s="10" t="str">
        <x:v>功能需求</x:v>
      </x:c>
      <x:c r="F45" s="10" t="str">
        <x:v>P1</x:v>
      </x:c>
      <x:c r="G45" s="9" t="str">
        <x:v>验证拒绝通知后的设置引导</x:v>
      </x:c>
      <x:c r="H45" s="9" t="str">
        <x:v>系统通知授权入口</x:v>
      </x:c>
      <x:c r="I45" s="9" t="str">
        <x:v>1. 用户账号可用且已登录</x:v>
      </x:c>
      <x:c r="J45" s="9" t="str">
        <x:v>1. 进入设置页的拒绝通知后的设置引导状态
2. 点击系统通知</x:v>
      </x:c>
      <x:c r="K45" s="9" t="str">
        <x:v>提供“前往设置”选项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来源（当前证据）：liveshow-proto/MainBasis/统一需求文档.md；位置：views/settings/notification-denied.html
2. 规则：BR-2FF4A56D54E895
3. 未动态验证</x:v>
      </x:c>
    </x:row>
    <x:row r="46" ht="85" customHeight="1">
      <x:c r="A46" s="10" t="n">
        <x:v>45</x:v>
      </x:c>
      <x:c r="B46" s="10" t="str">
        <x:v>USER-0045</x:v>
      </x:c>
      <x:c r="C46" s="10" t="str">
        <x:v>个人中心</x:v>
      </x:c>
      <x:c r="D46" s="10" t="str">
        <x:v>系统通知-已授权（用户）</x:v>
      </x:c>
      <x:c r="E46" s="10" t="str">
        <x:v>功能需求</x:v>
      </x:c>
      <x:c r="F46" s="10" t="str">
        <x:v>P1</x:v>
      </x:c>
      <x:c r="G46" s="9" t="str">
        <x:v>验证已授权通知状态</x:v>
      </x:c>
      <x:c r="H46" s="9" t="str">
        <x:v>系统通知授权入口</x:v>
      </x:c>
      <x:c r="I46" s="9" t="str">
        <x:v>1. 用户账号可用且已登录</x:v>
      </x:c>
      <x:c r="J46" s="9" t="str">
        <x:v>1. 进入设置页的已授权通知状态状态
2. 点击系统通知</x:v>
      </x:c>
      <x:c r="K46" s="9" t="str">
        <x:v>提示“系统通知已开启”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来源（当前证据）：liveshow-proto/MainBasis/统一需求文档.md；位置：views/settings/notification-granted.html
2. 规则：BR-C30077DC51F6C1
3. 未动态验证</x:v>
      </x:c>
    </x:row>
    <x:row r="47" ht="85" customHeight="1">
      <x:c r="A47" s="10" t="n">
        <x:v>46</x:v>
      </x:c>
      <x:c r="B47" s="10" t="str">
        <x:v>USER-0046</x:v>
      </x:c>
      <x:c r="C47" s="10" t="str">
        <x:v>个人中心</x:v>
      </x:c>
      <x:c r="D47" s="10" t="str">
        <x:v>黑名单管理（用户）</x:v>
      </x:c>
      <x:c r="E47" s="10" t="str">
        <x:v>功能需求</x:v>
      </x:c>
      <x:c r="F47" s="10" t="str">
        <x:v>P1</x:v>
      </x:c>
      <x:c r="G47" s="9" t="str">
        <x:v>验证黑名单只列主动拉黑记录</x:v>
      </x:c>
      <x:c r="H47" s="9" t="str">
        <x:v>黑名单归属</x:v>
      </x:c>
      <x:c r="I47" s="9" t="str">
        <x:v>1. 用户账号可用且已登录
2. 当前用户拉黑海风，晨光仅拉黑当前用户</x:v>
      </x:c>
      <x:c r="J47" s="9" t="str">
        <x:v>1. 进入黑名单管理页</x:v>
      </x:c>
      <x:c r="K47" s="9" t="str">
        <x:v>列表包含海风且不包含仅反向拉黑的晨光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来源（当前证据）：liveshow-proto/MainBasis/统一需求文档.md；位置：blacklist-management.html
2. 规则：BR-73420A3AFF00A0
3. 未动态验证</x:v>
      </x:c>
    </x:row>
    <x:row r="48" ht="85" customHeight="1">
      <x:c r="A48" s="10" t="n">
        <x:v>47</x:v>
      </x:c>
      <x:c r="B48" s="10" t="str">
        <x:v>USER-0047</x:v>
      </x:c>
      <x:c r="C48" s="10" t="str">
        <x:v>个人中心</x:v>
      </x:c>
      <x:c r="D48" s="10" t="str">
        <x:v>黑名单管理（用户）</x:v>
      </x:c>
      <x:c r="E48" s="10" t="str">
        <x:v>功能需求</x:v>
      </x:c>
      <x:c r="F48" s="10" t="str">
        <x:v>P1</x:v>
      </x:c>
      <x:c r="G48" s="9" t="str">
        <x:v>验证取消单向拉黑不解除对方拉黑</x:v>
      </x:c>
      <x:c r="H48" s="9" t="str">
        <x:v>双向记录独立</x:v>
      </x:c>
      <x:c r="I48" s="9" t="str">
        <x:v>1. 用户账号可用且已登录
2. 双方分别拉黑对方</x:v>
      </x:c>
      <x:c r="J48" s="9" t="str">
        <x:v>1. 进入黑名单管理页
2. 选择海风
3. 点击取消拉黑
4. 点击确认</x:v>
      </x:c>
      <x:c r="K48" s="9" t="str">
        <x:v>对方的反向拉黑限制仍然生效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来源（当前证据）：liveshow-proto/MainBasis/统一需求文档.md；位置：blacklist-management.html
2. 规则：BR-C3408773AC5F57
3. 未动态验证</x:v>
      </x:c>
    </x:row>
    <x:row r="49" ht="85" customHeight="1">
      <x:c r="A49" s="10" t="n">
        <x:v>48</x:v>
      </x:c>
      <x:c r="B49" s="10" t="str">
        <x:v>USER-0048</x:v>
      </x:c>
      <x:c r="C49" s="10" t="str">
        <x:v>个人中心</x:v>
      </x:c>
      <x:c r="D49" s="10" t="str">
        <x:v>黑名单管理（用户）</x:v>
      </x:c>
      <x:c r="E49" s="10" t="str">
        <x:v>功能需求</x:v>
      </x:c>
      <x:c r="F49" s="10" t="str">
        <x:v>P1</x:v>
      </x:c>
      <x:c r="G49" s="9" t="str">
        <x:v>验证取消拉黑不恢复原好友</x:v>
      </x:c>
      <x:c r="H49" s="9" t="str">
        <x:v>关系恢复边界</x:v>
      </x:c>
      <x:c r="I49" s="9" t="str">
        <x:v>1. 用户账号可用且已登录
2. 当前用户曾与海风为好友后拉黑</x:v>
      </x:c>
      <x:c r="J49" s="9" t="str">
        <x:v>1. 进入黑名单管理页
2. 选择海风
3. 点击取消拉黑
4. 点击确认</x:v>
      </x:c>
      <x:c r="K49" s="9" t="str">
        <x:v>双方仍非好友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来源（当前证据）：liveshow-proto/MainBasis/统一需求文档.md；位置：blacklist-management.html
2. 规则：BR-961DCC1907551D
3. 未动态验证</x:v>
      </x:c>
    </x:row>
    <x:row r="50" ht="85" customHeight="1">
      <x:c r="A50" s="10" t="n">
        <x:v>49</x:v>
      </x:c>
      <x:c r="B50" s="10" t="str">
        <x:v>USER-0049</x:v>
      </x:c>
      <x:c r="C50" s="10" t="str">
        <x:v>个人中心</x:v>
      </x:c>
      <x:c r="D50" s="10" t="str">
        <x:v>黑名单管理（用户）</x:v>
      </x:c>
      <x:c r="E50" s="10" t="str">
        <x:v>异常用例</x:v>
      </x:c>
      <x:c r="F50" s="10" t="str">
        <x:v>P1</x:v>
      </x:c>
      <x:c r="G50" s="9" t="str">
        <x:v>验证取消拉黑失败保留记录</x:v>
      </x:c>
      <x:c r="H50" s="9" t="str">
        <x:v>拉黑撤回失败</x:v>
      </x:c>
      <x:c r="I50" s="9" t="str">
        <x:v>1. 用户账号可用且已登录
2. 当前用户已拉黑海风，本次取消请求失败</x:v>
      </x:c>
      <x:c r="J50" s="9" t="str">
        <x:v>1. 进入黑名单管理页
2. 选择海风
3. 点击取消拉黑
4. 点击确认</x:v>
      </x:c>
      <x:c r="K50" s="9" t="str">
        <x:v>海风仍在当前用户黑名单中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来源（当前证据）：liveshow-proto/MainBasis/统一需求文档.md；位置：blacklist-management.html
2. 规则：BR-6BE20DBA46901E
3. 未动态验证</x:v>
      </x:c>
    </x:row>
    <x:row r="51" ht="100" customHeight="1">
      <x:c r="A51" s="10" t="n">
        <x:v>50</x:v>
      </x:c>
      <x:c r="B51" s="10" t="str">
        <x:v>USER-0050</x:v>
      </x:c>
      <x:c r="C51" s="10" t="str">
        <x:v>个人中心</x:v>
      </x:c>
      <x:c r="D51" s="10" t="str">
        <x:v>我的（用户）</x:v>
      </x:c>
      <x:c r="E51" s="10" t="str">
        <x:v>功能需求</x:v>
      </x:c>
      <x:c r="F51" s="10" t="str">
        <x:v>P1</x:v>
      </x:c>
      <x:c r="G51" s="9" t="str">
        <x:v>验证退会通过后不再具有主播身份</x:v>
      </x:c>
      <x:c r="H51" s="9" t="str">
        <x:v>退会身份同步</x:v>
      </x:c>
      <x:c r="I51" s="9" t="str">
        <x:v>1. 用户账号可用且已登录
2. 公会已通过原主播账号的退会申请</x:v>
      </x:c>
      <x:c r="J51" s="9" t="str">
        <x:v>1. 进入我的页
2. 点击主播中心入口</x:v>
      </x:c>
      <x:c r="K51" s="9" t="str">
        <x:v>进入申请成为主播页</x:v>
      </x:c>
      <x:c r="L51" s="10" t="str">
        <x:v>FLOW-EA7D49B9</x:v>
      </x:c>
      <x:c r="M51" s="10" t="str">
        <x:v>未测</x:v>
      </x:c>
      <x:c r="N51" s="10" t="str"/>
      <x:c r="O51" s="9" t="str">
        <x:v>1. 来源（当前证据）：liveshow-proto/MainBasis/统一需求文档.md；位置：profile.html、guild-leave-application.html、host-center-pending.html
2. 规则：BR-F89755DC91397D
3. 未动态验证</x:v>
      </x:c>
    </x:row>
    <x:row r="52" ht="85" customHeight="1">
      <x:c r="A52" s="10" t="n">
        <x:v>51</x:v>
      </x:c>
      <x:c r="B52" s="10" t="str">
        <x:v>USER-0051</x:v>
      </x:c>
      <x:c r="C52" s="10" t="str">
        <x:v>个人中心</x:v>
      </x:c>
      <x:c r="D52" s="10" t="str">
        <x:v>头像框（用户）</x:v>
      </x:c>
      <x:c r="E52" s="10" t="str">
        <x:v>功能需求</x:v>
      </x:c>
      <x:c r="F52" s="10" t="str">
        <x:v>P1</x:v>
      </x:c>
      <x:c r="G52" s="9" t="str">
        <x:v>验证头像框只能佩戴一个</x:v>
      </x:c>
      <x:c r="H52" s="9" t="str">
        <x:v>单选佩戴</x:v>
      </x:c>
      <x:c r="I52" s="9" t="str">
        <x:v>1. 用户账号可用且已登录
2. 已佩戴头像框甲，拥有未过期头像框乙</x:v>
      </x:c>
      <x:c r="J52" s="9" t="str">
        <x:v>1. 进入我的装扮中的头像框
2. 选择乙并佩戴</x:v>
      </x:c>
      <x:c r="K52" s="9" t="str">
        <x:v>当前佩戴头像框为乙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来源（当前证据）：liveshow-proto/MainBasis/统一需求文档.md；位置：my-decoration-avatar-frame.html
2. 规则：BR-7AAD3C456CD716
3. 未动态验证</x:v>
      </x:c>
    </x:row>
    <x:row r="53" ht="85" customHeight="1">
      <x:c r="A53" s="10" t="n">
        <x:v>52</x:v>
      </x:c>
      <x:c r="B53" s="10" t="str">
        <x:v>USER-0052</x:v>
      </x:c>
      <x:c r="C53" s="10" t="str">
        <x:v>个人中心</x:v>
      </x:c>
      <x:c r="D53" s="10" t="str">
        <x:v>头像框（用户）</x:v>
      </x:c>
      <x:c r="E53" s="10" t="str">
        <x:v>功能需求</x:v>
      </x:c>
      <x:c r="F53" s="10" t="str">
        <x:v>P1</x:v>
      </x:c>
      <x:c r="G53" s="9" t="str">
        <x:v>验证已过期头像框不可佩戴</x:v>
      </x:c>
      <x:c r="H53" s="9" t="str">
        <x:v>有效期限制</x:v>
      </x:c>
      <x:c r="I53" s="9" t="str">
        <x:v>1. 用户账号可用且已登录
2. 拥有的头像框已到期</x:v>
      </x:c>
      <x:c r="J53" s="9" t="str">
        <x:v>1. 进入我的装扮中的头像框
2. 选择该装扮</x:v>
      </x:c>
      <x:c r="K53" s="9" t="str">
        <x:v>不能佩戴已过期装扮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来源（当前证据）：liveshow-proto/MainBasis/统一需求文档.md；位置：my-decoration-avatar-frame.html
2. 规则：BR-BAABFC754CAC2B
3. 未动态验证</x:v>
      </x:c>
    </x:row>
    <x:row r="54" ht="85" customHeight="1">
      <x:c r="A54" s="10" t="n">
        <x:v>53</x:v>
      </x:c>
      <x:c r="B54" s="10" t="str">
        <x:v>USER-0053</x:v>
      </x:c>
      <x:c r="C54" s="10" t="str">
        <x:v>个人中心</x:v>
      </x:c>
      <x:c r="D54" s="10" t="str">
        <x:v>头像框（用户）</x:v>
      </x:c>
      <x:c r="E54" s="10" t="str">
        <x:v>功能需求</x:v>
      </x:c>
      <x:c r="F54" s="10" t="str">
        <x:v>P1</x:v>
      </x:c>
      <x:c r="G54" s="9" t="str">
        <x:v>验证下架不影响已持有有效头像框</x:v>
      </x:c>
      <x:c r="H54" s="9" t="str">
        <x:v>存量道具有效性</x:v>
      </x:c>
      <x:c r="I54" s="9" t="str">
        <x:v>1. 用户账号可用且已登录
2. 已拥有未过期头像框，后台将道具下架</x:v>
      </x:c>
      <x:c r="J54" s="9" t="str">
        <x:v>1. 进入我的装扮中的头像框
2. 选择该装扮并佩戴</x:v>
      </x:c>
      <x:c r="K54" s="9" t="str">
        <x:v>仍可佩戴有效装扮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来源（当前证据）：liveshow-proto/MainBasis/统一需求文档.md；位置：my-decoration-avatar-frame.html
2. 规则：BR-B75B3E375E2E5D
3. 未动态验证</x:v>
      </x:c>
    </x:row>
    <x:row r="55" ht="85" customHeight="1">
      <x:c r="A55" s="10" t="n">
        <x:v>54</x:v>
      </x:c>
      <x:c r="B55" s="10" t="str">
        <x:v>USER-0054</x:v>
      </x:c>
      <x:c r="C55" s="10" t="str">
        <x:v>个人中心</x:v>
      </x:c>
      <x:c r="D55" s="10" t="str">
        <x:v>聊天气泡（用户）</x:v>
      </x:c>
      <x:c r="E55" s="10" t="str">
        <x:v>功能需求</x:v>
      </x:c>
      <x:c r="F55" s="10" t="str">
        <x:v>P1</x:v>
      </x:c>
      <x:c r="G55" s="9" t="str">
        <x:v>验证聊天气泡只能佩戴一个</x:v>
      </x:c>
      <x:c r="H55" s="9" t="str">
        <x:v>单选佩戴</x:v>
      </x:c>
      <x:c r="I55" s="9" t="str">
        <x:v>1. 用户账号可用且已登录
2. 已佩戴聊天气泡甲，拥有未过期聊天气泡乙</x:v>
      </x:c>
      <x:c r="J55" s="9" t="str">
        <x:v>1. 进入我的装扮中的聊天气泡
2. 选择乙并佩戴</x:v>
      </x:c>
      <x:c r="K55" s="9" t="str">
        <x:v>当前佩戴聊天气泡为乙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来源（当前证据）：liveshow-proto/MainBasis/统一需求文档.md；位置：my-decoration-chat-bubble.html
2. 规则：BR-FC23E3DA880E7E
3. 未动态验证</x:v>
      </x:c>
    </x:row>
    <x:row r="56" ht="85" customHeight="1">
      <x:c r="A56" s="10" t="n">
        <x:v>55</x:v>
      </x:c>
      <x:c r="B56" s="10" t="str">
        <x:v>USER-0055</x:v>
      </x:c>
      <x:c r="C56" s="10" t="str">
        <x:v>个人中心</x:v>
      </x:c>
      <x:c r="D56" s="10" t="str">
        <x:v>聊天气泡（用户）</x:v>
      </x:c>
      <x:c r="E56" s="10" t="str">
        <x:v>功能需求</x:v>
      </x:c>
      <x:c r="F56" s="10" t="str">
        <x:v>P1</x:v>
      </x:c>
      <x:c r="G56" s="9" t="str">
        <x:v>验证已过期聊天气泡不可佩戴</x:v>
      </x:c>
      <x:c r="H56" s="9" t="str">
        <x:v>有效期限制</x:v>
      </x:c>
      <x:c r="I56" s="9" t="str">
        <x:v>1. 用户账号可用且已登录
2. 拥有的聊天气泡已到期</x:v>
      </x:c>
      <x:c r="J56" s="9" t="str">
        <x:v>1. 进入我的装扮中的聊天气泡
2. 选择该装扮</x:v>
      </x:c>
      <x:c r="K56" s="9" t="str">
        <x:v>不能佩戴已过期装扮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来源（当前证据）：liveshow-proto/MainBasis/统一需求文档.md；位置：my-decoration-chat-bubble.html
2. 规则：BR-F05B4141878F8A
3. 未动态验证</x:v>
      </x:c>
    </x:row>
    <x:row r="57" ht="85" customHeight="1">
      <x:c r="A57" s="10" t="n">
        <x:v>56</x:v>
      </x:c>
      <x:c r="B57" s="10" t="str">
        <x:v>USER-0056</x:v>
      </x:c>
      <x:c r="C57" s="10" t="str">
        <x:v>个人中心</x:v>
      </x:c>
      <x:c r="D57" s="10" t="str">
        <x:v>聊天气泡（用户）</x:v>
      </x:c>
      <x:c r="E57" s="10" t="str">
        <x:v>功能需求</x:v>
      </x:c>
      <x:c r="F57" s="10" t="str">
        <x:v>P1</x:v>
      </x:c>
      <x:c r="G57" s="9" t="str">
        <x:v>验证下架不影响已持有有效聊天气泡</x:v>
      </x:c>
      <x:c r="H57" s="9" t="str">
        <x:v>存量道具有效性</x:v>
      </x:c>
      <x:c r="I57" s="9" t="str">
        <x:v>1. 用户账号可用且已登录
2. 已拥有未过期聊天气泡，后台将道具下架</x:v>
      </x:c>
      <x:c r="J57" s="9" t="str">
        <x:v>1. 进入我的装扮中的聊天气泡
2. 选择该装扮并佩戴</x:v>
      </x:c>
      <x:c r="K57" s="9" t="str">
        <x:v>仍可佩戴有效装扮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来源（当前证据）：liveshow-proto/MainBasis/统一需求文档.md；位置：my-decoration-chat-bubble.html
2. 规则：BR-6AEEDD2A22CB2C
3. 未动态验证</x:v>
      </x:c>
    </x:row>
    <x:row r="58" ht="85" customHeight="1">
      <x:c r="A58" s="10" t="n">
        <x:v>57</x:v>
      </x:c>
      <x:c r="B58" s="10" t="str">
        <x:v>USER-0057</x:v>
      </x:c>
      <x:c r="C58" s="10" t="str">
        <x:v>个人中心</x:v>
      </x:c>
      <x:c r="D58" s="10" t="str">
        <x:v>勋章（用户）</x:v>
      </x:c>
      <x:c r="E58" s="10" t="str">
        <x:v>功能需求</x:v>
      </x:c>
      <x:c r="F58" s="10" t="str">
        <x:v>P1</x:v>
      </x:c>
      <x:c r="G58" s="9" t="str">
        <x:v>验证第六枚勋章不能同时佩戴</x:v>
      </x:c>
      <x:c r="H58" s="9" t="str">
        <x:v>勋章数量上界</x:v>
      </x:c>
      <x:c r="I58" s="9" t="str">
        <x:v>1. 用户账号可用且已登录
2. 已佩戴5枚未过期勋章，另拥有第6枚</x:v>
      </x:c>
      <x:c r="J58" s="9" t="str">
        <x:v>1. 进入勋章装扮
2. 选择第6枚并点击佩戴</x:v>
      </x:c>
      <x:c r="K58" s="9" t="str">
        <x:v>同时佩戴数量不超过5枚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来源（当前证据）：liveshow-proto/MainBasis/统一需求文档.md；位置：my-decoration-medal.html
2. 规则：BR-8585A6771F321D
3. 未动态验证</x:v>
      </x:c>
    </x:row>
    <x:row r="59" ht="85" customHeight="1">
      <x:c r="A59" s="10" t="n">
        <x:v>58</x:v>
      </x:c>
      <x:c r="B59" s="10" t="str">
        <x:v>USER-0058</x:v>
      </x:c>
      <x:c r="C59" s="10" t="str">
        <x:v>个人中心</x:v>
      </x:c>
      <x:c r="D59" s="10" t="str">
        <x:v>我的（用户）</x:v>
      </x:c>
      <x:c r="E59" s="10" t="str">
        <x:v>功能需求</x:v>
      </x:c>
      <x:c r="F59" s="10" t="str">
        <x:v>P1</x:v>
      </x:c>
      <x:c r="G59" s="9" t="str">
        <x:v>验证好友数导航到指定页面</x:v>
      </x:c>
      <x:c r="H59" s="9" t="str">
        <x:v>页面导航</x:v>
      </x:c>
      <x:c r="I59" s="9" t="str">
        <x:v>1. 用户已登录且拥有我的访问权限</x:v>
      </x:c>
      <x:c r="J59" s="9" t="str">
        <x:v>1. 进入我的
2. 点击好友数</x:v>
      </x:c>
      <x:c r="K59" s="9" t="str">
        <x:v>进入好友列表 P043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来源（当前证据）：liveshow-proto/MainBasis/统一需求文档.md；位置：profile.html
2. 规则：BR-F3F65FBE38F9EE
3. 未动态验证</x:v>
      </x:c>
    </x:row>
    <x:row r="60" ht="85" customHeight="1">
      <x:c r="A60" s="10" t="n">
        <x:v>59</x:v>
      </x:c>
      <x:c r="B60" s="10" t="str">
        <x:v>USER-0059</x:v>
      </x:c>
      <x:c r="C60" s="10" t="str">
        <x:v>个人中心</x:v>
      </x:c>
      <x:c r="D60" s="10" t="str">
        <x:v>我的（用户）</x:v>
      </x:c>
      <x:c r="E60" s="10" t="str">
        <x:v>功能需求</x:v>
      </x:c>
      <x:c r="F60" s="10" t="str">
        <x:v>P1</x:v>
      </x:c>
      <x:c r="G60" s="9" t="str">
        <x:v>验证粉丝数导航到指定页面</x:v>
      </x:c>
      <x:c r="H60" s="9" t="str">
        <x:v>页面导航</x:v>
      </x:c>
      <x:c r="I60" s="9" t="str">
        <x:v>1. 用户已登录且拥有我的访问权限</x:v>
      </x:c>
      <x:c r="J60" s="9" t="str">
        <x:v>1. 进入我的
2. 点击粉丝数</x:v>
      </x:c>
      <x:c r="K60" s="9" t="str">
        <x:v>进入粉丝列表 P045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来源（当前证据）：liveshow-proto/MainBasis/统一需求文档.md；位置：profile.html
2. 规则：BR-71CD2F10502C9C
3. 未动态验证</x:v>
      </x:c>
    </x:row>
    <x:row r="61" ht="100" customHeight="1">
      <x:c r="A61" s="10" t="n">
        <x:v>60</x:v>
      </x:c>
      <x:c r="B61" s="10" t="str">
        <x:v>USER-0060</x:v>
      </x:c>
      <x:c r="C61" s="10" t="str">
        <x:v>公会</x:v>
      </x:c>
      <x:c r="D61" s="10" t="str">
        <x:v>申请加入公会（用户）</x:v>
      </x:c>
      <x:c r="E61" s="10" t="str">
        <x:v>功能需求</x:v>
      </x:c>
      <x:c r="F61" s="10" t="str">
        <x:v>P0</x:v>
      </x:c>
      <x:c r="G61" s="9" t="str">
        <x:v>验证提交完整材料后产生初审申请</x:v>
      </x:c>
      <x:c r="H61" s="9" t="str">
        <x:v>入会申请初态</x:v>
      </x:c>
      <x:c r="I61" s="9" t="str">
        <x:v>1. 用户账号可用且已登录
2. 账号无公会关系且无处理中申请，已准备姓名、+62 电话、本人照片和 KTP 正反面</x:v>
      </x:c>
      <x:c r="J61" s="9" t="str">
        <x:v>1. 进入公会中心
2. 选择公会“晨星公会”
3. 点击申请
4. 填写姓名和电话
5. 上传本人照片及 KTP 正反面
6. 点击提交</x:v>
      </x:c>
      <x:c r="K61" s="9" t="str">
        <x:v>生成待公会审核的入会申请</x:v>
      </x:c>
      <x:c r="L61" s="10" t="str">
        <x:v>FLOW-904D54D7</x:v>
      </x:c>
      <x:c r="M61" s="10" t="str">
        <x:v>未测</x:v>
      </x:c>
      <x:c r="N61" s="10" t="str"/>
      <x:c r="O61" s="9" t="str">
        <x:v>1. 来源（当前证据）：liveshow-proto/MainBasis/统一需求文档.md；位置：guild-application-form.html
2. 规则：BR-CB999E82E64985
3. 未动态验证</x:v>
      </x:c>
    </x:row>
    <x:row r="62" ht="85" customHeight="1">
      <x:c r="A62" s="10" t="n">
        <x:v>61</x:v>
      </x:c>
      <x:c r="B62" s="10" t="str">
        <x:v>USER-0061</x:v>
      </x:c>
      <x:c r="C62" s="10" t="str">
        <x:v>公会</x:v>
      </x:c>
      <x:c r="D62" s="10" t="str">
        <x:v>申请加入公会（用户）</x:v>
      </x:c>
      <x:c r="E62" s="10" t="str">
        <x:v>功能需求</x:v>
      </x:c>
      <x:c r="F62" s="10" t="str">
        <x:v>P1</x:v>
      </x:c>
      <x:c r="G62" s="9" t="str">
        <x:v>验证申请证件类型默认KTP</x:v>
      </x:c>
      <x:c r="H62" s="9" t="str">
        <x:v>证件默认选择</x:v>
      </x:c>
      <x:c r="I62" s="9" t="str">
        <x:v>1. 用户账号可用且已登录
2. 账号无公会关系且无处理中申请</x:v>
      </x:c>
      <x:c r="J62" s="9" t="str">
        <x:v>1. 进入公会中心
2. 选择公会“晨星公会”
3. 点击申请</x:v>
      </x:c>
      <x:c r="K62" s="9" t="str">
        <x:v>证件类型默认选中 KTP</x:v>
      </x:c>
      <x:c r="L62" s="10" t="str">
        <x:v>FLOW-904D54D7</x:v>
      </x:c>
      <x:c r="M62" s="10" t="str">
        <x:v>未测</x:v>
      </x:c>
      <x:c r="N62" s="10" t="str"/>
      <x:c r="O62" s="9" t="str">
        <x:v>1. 来源（当前证据）：liveshow-proto/MainBasis/统一需求文档.md；位置：guild-application-form.html
2. 规则：BR-E4172942AB0CB2
3. 未动态验证</x:v>
      </x:c>
    </x:row>
    <x:row r="63" ht="85" customHeight="1">
      <x:c r="A63" s="10" t="n">
        <x:v>62</x:v>
      </x:c>
      <x:c r="B63" s="10" t="str">
        <x:v>USER-0062</x:v>
      </x:c>
      <x:c r="C63" s="10" t="str">
        <x:v>公会</x:v>
      </x:c>
      <x:c r="D63" s="10" t="str">
        <x:v>申请加入公会（用户）</x:v>
      </x:c>
      <x:c r="E63" s="10" t="str">
        <x:v>功能需求</x:v>
      </x:c>
      <x:c r="F63" s="10" t="str">
        <x:v>P1</x:v>
      </x:c>
      <x:c r="G63" s="9" t="str">
        <x:v>验证切换证件类型清除旧证件照</x:v>
      </x:c>
      <x:c r="H63" s="9" t="str">
        <x:v>证件材料匹配</x:v>
      </x:c>
      <x:c r="I63" s="9" t="str">
        <x:v>1. 用户账号可用且已登录
2. 已上传 KTP 正反面照片</x:v>
      </x:c>
      <x:c r="J63" s="9" t="str">
        <x:v>1. 进入公会中心
2. 选择公会“晨星公会”
3. 点击申请
4. 选择 SIM 驾驶证</x:v>
      </x:c>
      <x:c r="K63" s="9" t="str">
        <x:v>正反面照片均清空</x:v>
      </x:c>
      <x:c r="L63" s="10" t="str">
        <x:v>FLOW-904D54D7</x:v>
      </x:c>
      <x:c r="M63" s="10" t="str">
        <x:v>未测</x:v>
      </x:c>
      <x:c r="N63" s="10" t="str"/>
      <x:c r="O63" s="9" t="str">
        <x:v>1. 来源（当前证据）：liveshow-proto/MainBasis/统一需求文档.md；位置：guild-application-form.html
2. 规则：BR-B3DAD874C9CA14
3. 未动态验证</x:v>
      </x:c>
    </x:row>
    <x:row r="64" ht="85" customHeight="1">
      <x:c r="A64" s="10" t="n">
        <x:v>63</x:v>
      </x:c>
      <x:c r="B64" s="10" t="str">
        <x:v>USER-0063</x:v>
      </x:c>
      <x:c r="C64" s="10" t="str">
        <x:v>公会</x:v>
      </x:c>
      <x:c r="D64" s="10" t="str">
        <x:v>申请加入公会（用户）</x:v>
      </x:c>
      <x:c r="E64" s="10" t="str">
        <x:v>功能需求</x:v>
      </x:c>
      <x:c r="F64" s="10" t="str">
        <x:v>P1</x:v>
      </x:c>
      <x:c r="G64" s="9" t="str">
        <x:v>验证缺少本人照片不能提交</x:v>
      </x:c>
      <x:c r="H64" s="9" t="str">
        <x:v>认证照片必填</x:v>
      </x:c>
      <x:c r="I64" s="9" t="str">
        <x:v>1. 用户账号可用且已登录
2. 其余必填项完整，本人照片未上传</x:v>
      </x:c>
      <x:c r="J64" s="9" t="str">
        <x:v>1. 进入公会中心
2. 选择公会“晨星公会”
3. 点击申请
4. 查看提交按钮</x:v>
      </x:c>
      <x:c r="K64" s="9" t="str">
        <x:v>提交按钮不可用</x:v>
      </x:c>
      <x:c r="L64" s="10" t="str">
        <x:v>FLOW-904D54D7</x:v>
      </x:c>
      <x:c r="M64" s="10" t="str">
        <x:v>未测</x:v>
      </x:c>
      <x:c r="N64" s="10" t="str"/>
      <x:c r="O64" s="9" t="str">
        <x:v>1. 来源（当前证据）：liveshow-proto/MainBasis/统一需求文档.md；位置：guild-application-form.html
2. 规则：BR-F49EE5E5E0735F
3. 未动态验证</x:v>
      </x:c>
    </x:row>
    <x:row r="65" ht="85" customHeight="1">
      <x:c r="A65" s="10" t="n">
        <x:v>64</x:v>
      </x:c>
      <x:c r="B65" s="10" t="str">
        <x:v>USER-0064</x:v>
      </x:c>
      <x:c r="C65" s="10" t="str">
        <x:v>公会</x:v>
      </x:c>
      <x:c r="D65" s="10" t="str">
        <x:v>申请加入公会（用户）</x:v>
      </x:c>
      <x:c r="E65" s="10" t="str">
        <x:v>功能需求</x:v>
      </x:c>
      <x:c r="F65" s="10" t="str">
        <x:v>P1</x:v>
      </x:c>
      <x:c r="G65" s="9" t="str">
        <x:v>验证缺少证件反面不能提交</x:v>
      </x:c>
      <x:c r="H65" s="9" t="str">
        <x:v>证件反面必填</x:v>
      </x:c>
      <x:c r="I65" s="9" t="str">
        <x:v>1. 用户账号可用且已登录
2. 其余必填项完整，仅未上传证件反面</x:v>
      </x:c>
      <x:c r="J65" s="9" t="str">
        <x:v>1. 进入公会中心
2. 选择公会“晨星公会”
3. 点击申请
4. 查看提交按钮</x:v>
      </x:c>
      <x:c r="K65" s="9" t="str">
        <x:v>提交按钮不可用</x:v>
      </x:c>
      <x:c r="L65" s="10" t="str">
        <x:v>FLOW-904D54D7</x:v>
      </x:c>
      <x:c r="M65" s="10" t="str">
        <x:v>未测</x:v>
      </x:c>
      <x:c r="N65" s="10" t="str"/>
      <x:c r="O65" s="9" t="str">
        <x:v>1. 来源（当前证据）：liveshow-proto/MainBasis/统一需求文档.md；位置：guild-application-form.html
2. 规则：BR-38B910211A9A99
3. 未动态验证</x:v>
      </x:c>
    </x:row>
    <x:row r="66" ht="85" customHeight="1">
      <x:c r="A66" s="10" t="n">
        <x:v>65</x:v>
      </x:c>
      <x:c r="B66" s="10" t="str">
        <x:v>USER-0065</x:v>
      </x:c>
      <x:c r="C66" s="10" t="str">
        <x:v>公会</x:v>
      </x:c>
      <x:c r="D66" s="10" t="str">
        <x:v>公会中心（用户）</x:v>
      </x:c>
      <x:c r="E66" s="10" t="str">
        <x:v>功能需求</x:v>
      </x:c>
      <x:c r="F66" s="10" t="str">
        <x:v>P1</x:v>
      </x:c>
      <x:c r="G66" s="9" t="str">
        <x:v>验证存在初审中申请不能重复申请</x:v>
      </x:c>
      <x:c r="H66" s="9" t="str">
        <x:v>初审中申请互斥</x:v>
      </x:c>
      <x:c r="I66" s="9" t="str">
        <x:v>1. 用户账号可用且已登录
2. 账号已有待公会审核申请</x:v>
      </x:c>
      <x:c r="J66" s="9" t="str">
        <x:v>1. 进入公会中心
2. 查看其他公会的申请按钮</x:v>
      </x:c>
      <x:c r="K66" s="9" t="str">
        <x:v>申请按钮不可点击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来源（当前证据）：liveshow-proto/MainBasis/统一需求文档.md；位置：guild-management.html
2. 规则：BR-FF1C6847DF6B25
3. 未动态验证</x:v>
      </x:c>
    </x:row>
    <x:row r="67" ht="85" customHeight="1">
      <x:c r="A67" s="10" t="n">
        <x:v>66</x:v>
      </x:c>
      <x:c r="B67" s="10" t="str">
        <x:v>USER-0066</x:v>
      </x:c>
      <x:c r="C67" s="10" t="str">
        <x:v>公会</x:v>
      </x:c>
      <x:c r="D67" s="10" t="str">
        <x:v>公会中心（用户）</x:v>
      </x:c>
      <x:c r="E67" s="10" t="str">
        <x:v>功能需求</x:v>
      </x:c>
      <x:c r="F67" s="10" t="str">
        <x:v>P1</x:v>
      </x:c>
      <x:c r="G67" s="9" t="str">
        <x:v>验证平台终审中仍不能申请其他公会</x:v>
      </x:c>
      <x:c r="H67" s="9" t="str">
        <x:v>终审中申请互斥</x:v>
      </x:c>
      <x:c r="I67" s="9" t="str">
        <x:v>1. 用户账号可用且已登录
2. 公会已同意，平台尚未终审</x:v>
      </x:c>
      <x:c r="J67" s="9" t="str">
        <x:v>1. 进入公会中心
2. 查看其他公会的申请按钮</x:v>
      </x:c>
      <x:c r="K67" s="9" t="str">
        <x:v>申请按钮不可点击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来源（当前证据）：liveshow-proto/MainBasis/统一需求文档.md；位置：guild-management.html、共同业务对象与规则
2. 规则：BR-6991311C4699AA
3. 未动态验证</x:v>
      </x:c>
    </x:row>
    <x:row r="68" ht="85" customHeight="1">
      <x:c r="A68" s="10" t="n">
        <x:v>67</x:v>
      </x:c>
      <x:c r="B68" s="10" t="str">
        <x:v>USER-0067</x:v>
      </x:c>
      <x:c r="C68" s="10" t="str">
        <x:v>公会</x:v>
      </x:c>
      <x:c r="D68" s="10" t="str">
        <x:v>公会中心（用户）</x:v>
      </x:c>
      <x:c r="E68" s="10" t="str">
        <x:v>功能需求</x:v>
      </x:c>
      <x:c r="F68" s="10" t="str">
        <x:v>P1</x:v>
      </x:c>
      <x:c r="G68" s="9" t="str">
        <x:v>验证已入会不能同时加入其他公会</x:v>
      </x:c>
      <x:c r="H68" s="9" t="str">
        <x:v>单一公会关系</x:v>
      </x:c>
      <x:c r="I68" s="9" t="str">
        <x:v>1. 用户账号可用且已登录
2. 账号已加入晨星公会</x:v>
      </x:c>
      <x:c r="J68" s="9" t="str">
        <x:v>1. 进入公会中心
2. 查看其他公会的申请按钮</x:v>
      </x:c>
      <x:c r="K68" s="9" t="str">
        <x:v>申请按钮不可点击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来源（当前证据）：liveshow-proto/MainBasis/统一需求文档.md；位置：guild-management.html
2. 规则：BR-A31B90C3F25315
3. 未动态验证</x:v>
      </x:c>
    </x:row>
    <x:row r="69" ht="85" customHeight="1">
      <x:c r="A69" s="10" t="n">
        <x:v>68</x:v>
      </x:c>
      <x:c r="B69" s="10" t="str">
        <x:v>USER-0068</x:v>
      </x:c>
      <x:c r="C69" s="10" t="str">
        <x:v>公会</x:v>
      </x:c>
      <x:c r="D69" s="10" t="str">
        <x:v>公会中心（用户）</x:v>
      </x:c>
      <x:c r="E69" s="10" t="str">
        <x:v>功能需求</x:v>
      </x:c>
      <x:c r="F69" s="10" t="str">
        <x:v>P1</x:v>
      </x:c>
      <x:c r="G69" s="9" t="str">
        <x:v>验证停用公会不参与搜索</x:v>
      </x:c>
      <x:c r="H69" s="9" t="str">
        <x:v>停用公会可见范围</x:v>
      </x:c>
      <x:c r="I69" s="9" t="str">
        <x:v>1. 用户账号可用且已登录
2. 晨星公会已被平台停用</x:v>
      </x:c>
      <x:c r="J69" s="9" t="str">
        <x:v>1. 进入公会中心
2. 输入搜索词晨星公会</x:v>
      </x:c>
      <x:c r="K69" s="9" t="str">
        <x:v>结果不显示晨星公会</x:v>
      </x:c>
      <x:c r="L69" s="10" t="str">
        <x:v>FLOW-8C94B4FC</x:v>
      </x:c>
      <x:c r="M69" s="10" t="str">
        <x:v>未测</x:v>
      </x:c>
      <x:c r="N69" s="10" t="str"/>
      <x:c r="O69" s="9" t="str">
        <x:v>1. 来源（当前证据）：liveshow-proto/MainBasis/统一需求文档.md；位置：guild-management.html
2. 规则：BR-F8C74EDBD0A79B
3. 未动态验证</x:v>
      </x:c>
    </x:row>
    <x:row r="70" ht="85" customHeight="1">
      <x:c r="A70" s="10" t="n">
        <x:v>69</x:v>
      </x:c>
      <x:c r="B70" s="10" t="str">
        <x:v>USER-0069</x:v>
      </x:c>
      <x:c r="C70" s="10" t="str">
        <x:v>公会</x:v>
      </x:c>
      <x:c r="D70" s="10" t="str">
        <x:v>公会中心（用户）</x:v>
      </x:c>
      <x:c r="E70" s="10" t="str">
        <x:v>功能需求</x:v>
      </x:c>
      <x:c r="F70" s="10" t="str">
        <x:v>P1</x:v>
      </x:c>
      <x:c r="G70" s="9" t="str">
        <x:v>验证公会名称搜索保持后台顺序</x:v>
      </x:c>
      <x:c r="H70" s="9" t="str">
        <x:v>公会筛选顺序</x:v>
      </x:c>
      <x:c r="I70" s="9" t="str">
        <x:v>1. 用户账号可用且已登录
2. 后台依次配置海风一会、晨星、海风二会</x:v>
      </x:c>
      <x:c r="J70" s="9" t="str">
        <x:v>1. 进入公会中心
2. 输入搜索词海风</x:v>
      </x:c>
      <x:c r="K70" s="9" t="str">
        <x:v>结果依次为海风一会、海风二会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来源（当前证据）：liveshow-proto/MainBasis/统一需求文档.md；位置：guild-management.html
2. 规则：BR-46C7A433EC0391
3. 未动态验证</x:v>
      </x:c>
    </x:row>
    <x:row r="71" ht="85" customHeight="1">
      <x:c r="A71" s="10" t="n">
        <x:v>70</x:v>
      </x:c>
      <x:c r="B71" s="10" t="str">
        <x:v>USER-0070</x:v>
      </x:c>
      <x:c r="C71" s="10" t="str">
        <x:v>公会</x:v>
      </x:c>
      <x:c r="D71" s="10" t="str">
        <x:v>公会详情（用户）</x:v>
      </x:c>
      <x:c r="E71" s="10" t="str">
        <x:v>功能需求</x:v>
      </x:c>
      <x:c r="F71" s="10" t="str">
        <x:v>P1</x:v>
      </x:c>
      <x:c r="G71" s="9" t="str">
        <x:v>验证平台通过前尚未建立成员关系</x:v>
      </x:c>
      <x:c r="H71" s="9" t="str">
        <x:v>初审与入会区分</x:v>
      </x:c>
      <x:c r="I71" s="9" t="str">
        <x:v>1. 用户账号可用且已登录
2. 公会初审已通过，平台终审未完成</x:v>
      </x:c>
      <x:c r="J71" s="9" t="str">
        <x:v>1. 进入我的公会
2. 点击晨星公会
3. 查看关系状态</x:v>
      </x:c>
      <x:c r="K71" s="9" t="str">
        <x:v>账号尚未显示为已加入公会</x:v>
      </x:c>
      <x:c r="L71" s="10" t="str">
        <x:v>FLOW-904D54D7</x:v>
      </x:c>
      <x:c r="M71" s="10" t="str">
        <x:v>未测</x:v>
      </x:c>
      <x:c r="N71" s="10" t="str"/>
      <x:c r="O71" s="9" t="str">
        <x:v>1. 来源（当前证据）：liveshow-proto/MainBasis/统一需求文档.md；位置：guild-detail.html、共同业务对象与规则
2. 规则：BR-CFA8F381A974C7
3. 未动态验证</x:v>
      </x:c>
    </x:row>
    <x:row r="72" ht="100" customHeight="1">
      <x:c r="A72" s="10" t="n">
        <x:v>71</x:v>
      </x:c>
      <x:c r="B72" s="10" t="str">
        <x:v>USER-0071</x:v>
      </x:c>
      <x:c r="C72" s="10" t="str">
        <x:v>公会</x:v>
      </x:c>
      <x:c r="D72" s="10" t="str">
        <x:v>公会详情（用户）</x:v>
      </x:c>
      <x:c r="E72" s="10" t="str">
        <x:v>功能需求</x:v>
      </x:c>
      <x:c r="F72" s="10" t="str">
        <x:v>P1</x:v>
      </x:c>
      <x:c r="G72" s="9" t="str">
        <x:v>验证平台通过后显示已加入</x:v>
      </x:c>
      <x:c r="H72" s="9" t="str">
        <x:v>终审入会结果</x:v>
      </x:c>
      <x:c r="I72" s="9" t="str">
        <x:v>1. 用户账号可用且已登录
2. 同一申请已获平台终审通过</x:v>
      </x:c>
      <x:c r="J72" s="9" t="str">
        <x:v>1. 进入我的公会
2. 点击晨星公会
3. 查看关系状态</x:v>
      </x:c>
      <x:c r="K72" s="9" t="str">
        <x:v>显示已加入公会</x:v>
      </x:c>
      <x:c r="L72" s="10" t="str">
        <x:v>FLOW-904D54D7</x:v>
      </x:c>
      <x:c r="M72" s="10" t="str">
        <x:v>未测</x:v>
      </x:c>
      <x:c r="N72" s="10" t="str"/>
      <x:c r="O72" s="9" t="str">
        <x:v>1. 来源（当前证据）：liveshow-proto/MainBasis/统一需求文档.md；位置：guild-detail.html、admin-host-review-detail.html
2. 规则：BR-BCCB6093AC04F6
3. 未动态验证</x:v>
      </x:c>
    </x:row>
    <x:row r="73" ht="85" customHeight="1">
      <x:c r="A73" s="10" t="n">
        <x:v>72</x:v>
      </x:c>
      <x:c r="B73" s="10" t="str">
        <x:v>USER-0072</x:v>
      </x:c>
      <x:c r="C73" s="10" t="str">
        <x:v>公会</x:v>
      </x:c>
      <x:c r="D73" s="10" t="str">
        <x:v>公会详情（用户）</x:v>
      </x:c>
      <x:c r="E73" s="10" t="str">
        <x:v>功能需求</x:v>
      </x:c>
      <x:c r="F73" s="10" t="str">
        <x:v>P1</x:v>
      </x:c>
      <x:c r="G73" s="9" t="str">
        <x:v>验证申请资料使用提交时快照</x:v>
      </x:c>
      <x:c r="H73" s="9" t="str">
        <x:v>认证申请快照</x:v>
      </x:c>
      <x:c r="I73" s="9" t="str">
        <x:v>1. 用户账号可用且已登录
2. 原申请姓名为“安迪”，提交后个人昵称已改为“晨光”</x:v>
      </x:c>
      <x:c r="J73" s="9" t="str">
        <x:v>1. 进入我的公会
2. 点击晨星公会
3. 展开该申请的申请资料</x:v>
      </x:c>
      <x:c r="K73" s="9" t="str">
        <x:v>申请姓名仍显示“安迪”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来源（当前证据）：liveshow-proto/MainBasis/统一需求文档.md；位置：guild-detail.html
2. 规则：BR-0C90E6E92DC323
3. 未动态验证</x:v>
      </x:c>
    </x:row>
    <x:row r="74" ht="85" customHeight="1">
      <x:c r="A74" s="10" t="n">
        <x:v>73</x:v>
      </x:c>
      <x:c r="B74" s="10" t="str">
        <x:v>USER-0073</x:v>
      </x:c>
      <x:c r="C74" s="10" t="str">
        <x:v>公会</x:v>
      </x:c>
      <x:c r="D74" s="10" t="str">
        <x:v>公会详情（用户）</x:v>
      </x:c>
      <x:c r="E74" s="10" t="str">
        <x:v>功能需求</x:v>
      </x:c>
      <x:c r="F74" s="10" t="str">
        <x:v>P1</x:v>
      </x:c>
      <x:c r="G74" s="9" t="str">
        <x:v>验证退会申请中保留成员关系</x:v>
      </x:c>
      <x:c r="H74" s="9" t="str">
        <x:v>退会等待状态</x:v>
      </x:c>
      <x:c r="I74" s="9" t="str">
        <x:v>1. 用户账号可用且已登录
2. 已有待审核退会申请</x:v>
      </x:c>
      <x:c r="J74" s="9" t="str">
        <x:v>1. 进入我的公会
2. 点击晨星公会
3. 查看关系状态</x:v>
      </x:c>
      <x:c r="K74" s="9" t="str">
        <x:v>仍显示已加入公会</x:v>
      </x:c>
      <x:c r="L74" s="10" t="str">
        <x:v>FLOW-EA7D49B9</x:v>
      </x:c>
      <x:c r="M74" s="10" t="str">
        <x:v>未测</x:v>
      </x:c>
      <x:c r="N74" s="10" t="str"/>
      <x:c r="O74" s="9" t="str">
        <x:v>1. 来源（当前证据）：liveshow-proto/MainBasis/统一需求文档.md；位置：guild-detail.html
2. 规则：BR-67F7656DB5BE51
3. 未动态验证</x:v>
      </x:c>
    </x:row>
    <x:row r="75" ht="85" customHeight="1">
      <x:c r="A75" s="10" t="n">
        <x:v>74</x:v>
      </x:c>
      <x:c r="B75" s="10" t="str">
        <x:v>USER-0074</x:v>
      </x:c>
      <x:c r="C75" s="10" t="str">
        <x:v>公会</x:v>
      </x:c>
      <x:c r="D75" s="10" t="str">
        <x:v>公会详情（用户）</x:v>
      </x:c>
      <x:c r="E75" s="10" t="str">
        <x:v>功能需求</x:v>
      </x:c>
      <x:c r="F75" s="10" t="str">
        <x:v>P1</x:v>
      </x:c>
      <x:c r="G75" s="9" t="str">
        <x:v>验证退会驳回保留成员关系</x:v>
      </x:c>
      <x:c r="H75" s="9" t="str">
        <x:v>退会驳回状态</x:v>
      </x:c>
      <x:c r="I75" s="9" t="str">
        <x:v>1. 用户账号可用且已登录
2. 退会申请已被公会驳回</x:v>
      </x:c>
      <x:c r="J75" s="9" t="str">
        <x:v>1. 进入我的公会
2. 点击晨星公会
3. 查看关系状态</x:v>
      </x:c>
      <x:c r="K75" s="9" t="str">
        <x:v>仍显示已加入公会</x:v>
      </x:c>
      <x:c r="L75" s="10" t="str">
        <x:v>FLOW-EA7D49B9</x:v>
      </x:c>
      <x:c r="M75" s="10" t="str">
        <x:v>未测</x:v>
      </x:c>
      <x:c r="N75" s="10" t="str"/>
      <x:c r="O75" s="9" t="str">
        <x:v>1. 来源（当前证据）：liveshow-proto/MainBasis/统一需求文档.md；位置：guild-detail.html
2. 规则：BR-9796CD5699643E
3. 未动态验证</x:v>
      </x:c>
    </x:row>
    <x:row r="76" ht="85" customHeight="1">
      <x:c r="A76" s="10" t="n">
        <x:v>75</x:v>
      </x:c>
      <x:c r="B76" s="10" t="str">
        <x:v>USER-0075</x:v>
      </x:c>
      <x:c r="C76" s="10" t="str">
        <x:v>公会</x:v>
      </x:c>
      <x:c r="D76" s="10" t="str">
        <x:v>公会详情（用户）</x:v>
      </x:c>
      <x:c r="E76" s="10" t="str">
        <x:v>功能需求</x:v>
      </x:c>
      <x:c r="F76" s="10" t="str">
        <x:v>P1</x:v>
      </x:c>
      <x:c r="G76" s="9" t="str">
        <x:v>验证退会通过后显示已退出</x:v>
      </x:c>
      <x:c r="H76" s="9" t="str">
        <x:v>退会终态</x:v>
      </x:c>
      <x:c r="I76" s="9" t="str">
        <x:v>1. 用户账号可用且已登录
2. 公会已通过退会申请</x:v>
      </x:c>
      <x:c r="J76" s="9" t="str">
        <x:v>1. 进入我的公会
2. 点击晨星公会
3. 查看关系状态</x:v>
      </x:c>
      <x:c r="K76" s="9" t="str">
        <x:v>显示已退出公会</x:v>
      </x:c>
      <x:c r="L76" s="10" t="str">
        <x:v>FLOW-EA7D49B9</x:v>
      </x:c>
      <x:c r="M76" s="10" t="str">
        <x:v>未测</x:v>
      </x:c>
      <x:c r="N76" s="10" t="str"/>
      <x:c r="O76" s="9" t="str">
        <x:v>1. 来源（当前证据）：liveshow-proto/MainBasis/统一需求文档.md；位置：guild-detail.html
2. 规则：BR-69F3CF49EFF356
3. 未动态验证</x:v>
      </x:c>
    </x:row>
    <x:row r="77" ht="85" customHeight="1">
      <x:c r="A77" s="10" t="n">
        <x:v>76</x:v>
      </x:c>
      <x:c r="B77" s="10" t="str">
        <x:v>USER-0076</x:v>
      </x:c>
      <x:c r="C77" s="10" t="str">
        <x:v>公会</x:v>
      </x:c>
      <x:c r="D77" s="10" t="str">
        <x:v>公会详情（用户）</x:v>
      </x:c>
      <x:c r="E77" s="10" t="str">
        <x:v>功能需求</x:v>
      </x:c>
      <x:c r="F77" s="10" t="str">
        <x:v>P1</x:v>
      </x:c>
      <x:c r="G77" s="9" t="str">
        <x:v>验证处理中退会申请不能重复发起</x:v>
      </x:c>
      <x:c r="H77" s="9" t="str">
        <x:v>退会申请互斥</x:v>
      </x:c>
      <x:c r="I77" s="9" t="str">
        <x:v>1. 用户账号可用且已登录
2. 已有待审核退会申请</x:v>
      </x:c>
      <x:c r="J77" s="9" t="str">
        <x:v>1. 进入我的公会
2. 点击晨星公会
3. 查看页面入口</x:v>
      </x:c>
      <x:c r="K77" s="9" t="str">
        <x:v>不再显示申请退出入口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来源（当前证据）：liveshow-proto/MainBasis/统一需求文档.md；位置：guild-detail.html
2. 规则：BR-DD573A9090B937
3. 未动态验证</x:v>
      </x:c>
    </x:row>
    <x:row r="78" ht="85" customHeight="1">
      <x:c r="A78" s="10" t="n">
        <x:v>77</x:v>
      </x:c>
      <x:c r="B78" s="10" t="str">
        <x:v>USER-0077</x:v>
      </x:c>
      <x:c r="C78" s="10" t="str">
        <x:v>公会</x:v>
      </x:c>
      <x:c r="D78" s="10" t="str">
        <x:v>申请退出公会（主播）</x:v>
      </x:c>
      <x:c r="E78" s="10" t="str">
        <x:v>功能需求</x:v>
      </x:c>
      <x:c r="F78" s="10" t="str">
        <x:v>P1</x:v>
      </x:c>
      <x:c r="G78" s="9" t="str">
        <x:v>验证退会原因空白不可提交</x:v>
      </x:c>
      <x:c r="H78" s="9" t="str">
        <x:v>退会原因必填</x:v>
      </x:c>
      <x:c r="I78" s="9" t="str">
        <x:v>1. 执行账号为所选主播对应的用户账号，已登录</x:v>
      </x:c>
      <x:c r="J78" s="9" t="str">
        <x:v>1. 进入我的公会
2. 选择当前公会
3. 点击申请退出
4. 输入退会原因为空格</x:v>
      </x:c>
      <x:c r="K78" s="9" t="str">
        <x:v>提交按钮不可用</x:v>
      </x:c>
      <x:c r="L78" s="10" t="str">
        <x:v>FLOW-EA7D49B9</x:v>
      </x:c>
      <x:c r="M78" s="10" t="str">
        <x:v>未测</x:v>
      </x:c>
      <x:c r="N78" s="10" t="str"/>
      <x:c r="O78" s="9" t="str">
        <x:v>1. 来源（当前证据）：liveshow-proto/MainBasis/统一需求文档.md；位置：guild-leave-application.html
2. 规则：BR-0FAAB0E0099F82
3. 未动态验证</x:v>
      </x:c>
    </x:row>
    <x:row r="79" ht="100" customHeight="1">
      <x:c r="A79" s="10" t="n">
        <x:v>78</x:v>
      </x:c>
      <x:c r="B79" s="10" t="str">
        <x:v>USER-0078</x:v>
      </x:c>
      <x:c r="C79" s="10" t="str">
        <x:v>公会</x:v>
      </x:c>
      <x:c r="D79" s="10" t="str">
        <x:v>申请退出公会（主播）</x:v>
      </x:c>
      <x:c r="E79" s="10" t="str">
        <x:v>功能需求</x:v>
      </x:c>
      <x:c r="F79" s="10" t="str">
        <x:v>P1</x:v>
      </x:c>
      <x:c r="G79" s="9" t="str">
        <x:v>验证填写退会原因产生审核申请</x:v>
      </x:c>
      <x:c r="H79" s="9" t="str">
        <x:v>退会申请创建</x:v>
      </x:c>
      <x:c r="I79" s="9" t="str">
        <x:v>1. 执行账号为所选主播对应的用户账号，已登录
2. 没有处理中退会申请</x:v>
      </x:c>
      <x:c r="J79" s="9" t="str">
        <x:v>1. 进入我的公会
2. 选择当前公会
3. 点击申请退出
4. 输入退会原因“调整直播计划”
5. 点击提交</x:v>
      </x:c>
      <x:c r="K79" s="9" t="str">
        <x:v>生成待审核退会申请</x:v>
      </x:c>
      <x:c r="L79" s="10" t="str">
        <x:v>FLOW-EA7D49B9</x:v>
      </x:c>
      <x:c r="M79" s="10" t="str">
        <x:v>未测</x:v>
      </x:c>
      <x:c r="N79" s="10" t="str"/>
      <x:c r="O79" s="9" t="str">
        <x:v>1. 来源（当前证据）：liveshow-proto/MainBasis/统一需求文档.md；位置：guild-leave-application.html
2. 规则：BR-CC141BDA398628
3. 未动态验证</x:v>
      </x:c>
    </x:row>
    <x:row r="80" ht="85" customHeight="1">
      <x:c r="A80" s="10" t="n">
        <x:v>79</x:v>
      </x:c>
      <x:c r="B80" s="10" t="str">
        <x:v>USER-0079</x:v>
      </x:c>
      <x:c r="C80" s="10" t="str">
        <x:v>公会</x:v>
      </x:c>
      <x:c r="D80" s="10" t="str">
        <x:v>申请退出公会（主播）</x:v>
      </x:c>
      <x:c r="E80" s="10" t="str">
        <x:v>功能需求</x:v>
      </x:c>
      <x:c r="F80" s="10" t="str">
        <x:v>P1</x:v>
      </x:c>
      <x:c r="G80" s="9" t="str">
        <x:v>验证退会时公会不可随意更改</x:v>
      </x:c>
      <x:c r="H80" s="9" t="str">
        <x:v>退会目标只读</x:v>
      </x:c>
      <x:c r="I80" s="9" t="str">
        <x:v>1. 执行账号为所选主播对应的用户账号，已登录</x:v>
      </x:c>
      <x:c r="J80" s="9" t="str">
        <x:v>1. 进入我的公会
2. 选择当前公会
3. 点击申请退出
4. 查看当前公会</x:v>
      </x:c>
      <x:c r="K80" s="9" t="str">
        <x:v>当前公会为已加入的公会且不可编辑</x:v>
      </x:c>
      <x:c r="L80" s="10" t="str">
        <x:v>FLOW-EA7D49B9</x:v>
      </x:c>
      <x:c r="M80" s="10" t="str">
        <x:v>未测</x:v>
      </x:c>
      <x:c r="N80" s="10" t="str"/>
      <x:c r="O80" s="9" t="str">
        <x:v>1. 来源（当前证据）：liveshow-proto/MainBasis/统一需求文档.md；位置：guild-leave-application.html
2. 规则：BR-D7C2521F2572BE
3. 未动态验证</x:v>
      </x:c>
    </x:row>
    <x:row r="81" ht="85" customHeight="1">
      <x:c r="A81" s="10" t="n">
        <x:v>80</x:v>
      </x:c>
      <x:c r="B81" s="10" t="str">
        <x:v>USER-0080</x:v>
      </x:c>
      <x:c r="C81" s="10" t="str">
        <x:v>公会</x:v>
      </x:c>
      <x:c r="D81" s="10" t="str">
        <x:v>公会中心（用户）</x:v>
      </x:c>
      <x:c r="E81" s="10" t="str">
        <x:v>功能需求</x:v>
      </x:c>
      <x:c r="F81" s="10" t="str">
        <x:v>P1</x:v>
      </x:c>
      <x:c r="G81" s="9" t="str">
        <x:v>验证“我的”导航到指定页面</x:v>
      </x:c>
      <x:c r="H81" s="9" t="str">
        <x:v>页面导航</x:v>
      </x:c>
      <x:c r="I81" s="9" t="str">
        <x:v>1. 用户已登录且拥有公会中心访问权限</x:v>
      </x:c>
      <x:c r="J81" s="9" t="str">
        <x:v>1. 进入公会中心
2. 点击“我的”</x:v>
      </x:c>
      <x:c r="K81" s="9" t="str">
        <x:v>进入我的公会 P032，查看公会关系和申请记录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来源（当前证据）：liveshow-proto/MainBasis/统一需求文档.md；位置：guild-management.html
2. 规则：BR-F4C80C1E82FE03
3. 未动态验证</x:v>
      </x:c>
    </x:row>
    <x:row r="82" ht="85" customHeight="1">
      <x:c r="A82" s="10" t="n">
        <x:v>81</x:v>
      </x:c>
      <x:c r="B82" s="10" t="str">
        <x:v>USER-0081</x:v>
      </x:c>
      <x:c r="C82" s="10" t="str">
        <x:v>公会</x:v>
      </x:c>
      <x:c r="D82" s="10" t="str">
        <x:v>申请加入公会（用户）</x:v>
      </x:c>
      <x:c r="E82" s="10" t="str">
        <x:v>功能需求</x:v>
      </x:c>
      <x:c r="F82" s="10" t="str">
        <x:v>P1</x:v>
      </x:c>
      <x:c r="G82" s="9" t="str">
        <x:v>验证更换公会导航到指定页面</x:v>
      </x:c>
      <x:c r="H82" s="9" t="str">
        <x:v>页面导航</x:v>
      </x:c>
      <x:c r="I82" s="9" t="str">
        <x:v>1. 用户已登录且拥有申请加入公会访问权限</x:v>
      </x:c>
      <x:c r="J82" s="9" t="str">
        <x:v>1. 进入申请加入公会
2. 点击更换公会</x:v>
      </x:c>
      <x:c r="K82" s="9" t="str">
        <x:v>返回公会选择页</x:v>
      </x:c>
      <x:c r="L82" s="10" t="str">
        <x:v>FLOW-904D54D7</x:v>
      </x:c>
      <x:c r="M82" s="10" t="str">
        <x:v>未测</x:v>
      </x:c>
      <x:c r="N82" s="10" t="str"/>
      <x:c r="O82" s="9" t="str">
        <x:v>1. 来源（当前证据）：liveshow-proto/MainBasis/统一需求文档.md；位置：guild-application-form.html
2. 规则：BR-2E71B9D1D4AA7D
3. 未动态验证</x:v>
      </x:c>
    </x:row>
    <x:row r="83" ht="85" customHeight="1">
      <x:c r="A83" s="10" t="n">
        <x:v>82</x:v>
      </x:c>
      <x:c r="B83" s="10" t="str">
        <x:v>USER-0082</x:v>
      </x:c>
      <x:c r="C83" s="10" t="str">
        <x:v>公会</x:v>
      </x:c>
      <x:c r="D83" s="10" t="str">
        <x:v>我的公会（用户）</x:v>
      </x:c>
      <x:c r="E83" s="10" t="str">
        <x:v>功能需求</x:v>
      </x:c>
      <x:c r="F83" s="10" t="str">
        <x:v>P1</x:v>
      </x:c>
      <x:c r="G83" s="9" t="str">
        <x:v>验证公会卡片导航到指定页面</x:v>
      </x:c>
      <x:c r="H83" s="9" t="str">
        <x:v>页面导航</x:v>
      </x:c>
      <x:c r="I83" s="9" t="str">
        <x:v>1. 用户已登录且拥有我的公会访问权限</x:v>
      </x:c>
      <x:c r="J83" s="9" t="str">
        <x:v>1. 进入我的公会
2. 点击公会卡片</x:v>
      </x:c>
      <x:c r="K83" s="9" t="str">
        <x:v>进入对应公会详情 P032-3，查看公会关系及申请时间轴</x:v>
      </x:c>
      <x:c r="L83" s="10" t="str">
        <x:v>FLOW-904D54D7</x:v>
      </x:c>
      <x:c r="M83" s="10" t="str">
        <x:v>未测</x:v>
      </x:c>
      <x:c r="N83" s="10" t="str"/>
      <x:c r="O83" s="9" t="str">
        <x:v>1. 来源（当前证据）：liveshow-proto/MainBasis/统一需求文档.md；位置：guild-application-records.html
2. 规则：BR-4766651603FEF2
3. 未动态验证</x:v>
      </x:c>
    </x:row>
    <x:row r="84" ht="85" customHeight="1">
      <x:c r="A84" s="10" t="n">
        <x:v>83</x:v>
      </x:c>
      <x:c r="B84" s="10" t="str">
        <x:v>USER-0083</x:v>
      </x:c>
      <x:c r="C84" s="10" t="str">
        <x:v>公会</x:v>
      </x:c>
      <x:c r="D84" s="10" t="str">
        <x:v>公会详情（用户）</x:v>
      </x:c>
      <x:c r="E84" s="10" t="str">
        <x:v>功能需求</x:v>
      </x:c>
      <x:c r="F84" s="10" t="str">
        <x:v>P1</x:v>
      </x:c>
      <x:c r="G84" s="9" t="str">
        <x:v>验证返回导航到指定页面</x:v>
      </x:c>
      <x:c r="H84" s="9" t="str">
        <x:v>页面导航</x:v>
      </x:c>
      <x:c r="I84" s="9" t="str">
        <x:v>1. 用户已登录且拥有公会详情访问权限</x:v>
      </x:c>
      <x:c r="J84" s="9" t="str">
        <x:v>1. 进入公会详情
2. 点击返回</x:v>
      </x:c>
      <x:c r="K84" s="9" t="str">
        <x:v>进入我的公会 P032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来源（当前证据）：liveshow-proto/MainBasis/统一需求文档.md；位置：guild-detail.html
2. 规则：BR-C87CCA51F5FD8E
3. 未动态验证</x:v>
      </x:c>
    </x:row>
    <x:row r="85" ht="85" customHeight="1">
      <x:c r="A85" s="10" t="n">
        <x:v>84</x:v>
      </x:c>
      <x:c r="B85" s="10" t="str">
        <x:v>USER-0084</x:v>
      </x:c>
      <x:c r="C85" s="10" t="str">
        <x:v>钱包与充值</x:v>
      </x:c>
      <x:c r="D85" s="10" t="str">
        <x:v>余额充值（用户）</x:v>
      </x:c>
      <x:c r="E85" s="10" t="str">
        <x:v>逻辑校验</x:v>
      </x:c>
      <x:c r="F85" s="10" t="str">
        <x:v>P0</x:v>
      </x:c>
      <x:c r="G85" s="9" t="str">
        <x:v>验证充值基础与赠金合并到账</x:v>
      </x:c>
      <x:c r="H85" s="9" t="str">
        <x:v>充值余额计算</x:v>
      </x:c>
      <x:c r="I85" s="9" t="str">
        <x:v>1. 用户账号可用且已登录
2. 原余额为 100，套餐基础金币 1000、赠金 200</x:v>
      </x:c>
      <x:c r="J85" s="9" t="str">
        <x:v>1. 进入余额充值页
2. 选择该套餐
3. 选择可用渠道并完成支付</x:v>
      </x:c>
      <x:c r="K85" s="9" t="str">
        <x:v>充值后金币余额计算结果=100+1000+200=1300</x:v>
      </x:c>
      <x:c r="L85" s="10" t="str">
        <x:v>FLOW-2BA2481A</x:v>
      </x:c>
      <x:c r="M85" s="10" t="str">
        <x:v>未测</x:v>
      </x:c>
      <x:c r="N85" s="10" t="str"/>
      <x:c r="O85" s="9" t="str">
        <x:v>1. 来源（当前证据）：liveshow-proto/MainBasis/统一需求文档.md；位置：recharge.html
2. 规则：BR-9E5B8D35770766
3. 未动态验证</x:v>
      </x:c>
    </x:row>
    <x:row r="86" ht="85" customHeight="1">
      <x:c r="A86" s="10" t="n">
        <x:v>85</x:v>
      </x:c>
      <x:c r="B86" s="10" t="str">
        <x:v>USER-0085</x:v>
      </x:c>
      <x:c r="C86" s="10" t="str">
        <x:v>钱包与充值</x:v>
      </x:c>
      <x:c r="D86" s="10" t="str">
        <x:v>余额充值（用户）</x:v>
      </x:c>
      <x:c r="E86" s="10" t="str">
        <x:v>功能需求</x:v>
      </x:c>
      <x:c r="F86" s="10" t="str">
        <x:v>P1</x:v>
      </x:c>
      <x:c r="G86" s="9" t="str">
        <x:v>验证充值取消不发金币</x:v>
      </x:c>
      <x:c r="H86" s="9" t="str">
        <x:v>充值取消</x:v>
      </x:c>
      <x:c r="I86" s="9" t="str">
        <x:v>1. 用户账号可用且已登录
2. 原余额为 100</x:v>
      </x:c>
      <x:c r="J86" s="9" t="str">
        <x:v>1. 进入余额充值页
2. 选择套餐
3. 进入支付页
4. 取消支付</x:v>
      </x:c>
      <x:c r="K86" s="9" t="str">
        <x:v>金币余额仍为 100</x:v>
      </x:c>
      <x:c r="L86" s="10" t="str">
        <x:v>FLOW-2BA2481A</x:v>
      </x:c>
      <x:c r="M86" s="10" t="str">
        <x:v>未测</x:v>
      </x:c>
      <x:c r="N86" s="10" t="str"/>
      <x:c r="O86" s="9" t="str">
        <x:v>1. 来源（当前证据）：liveshow-proto/MainBasis/统一需求文档.md；位置：recharge.html
2. 规则：BR-891ECA97B05419
3. 未动态验证</x:v>
      </x:c>
    </x:row>
    <x:row r="87" ht="85" customHeight="1">
      <x:c r="A87" s="10" t="n">
        <x:v>86</x:v>
      </x:c>
      <x:c r="B87" s="10" t="str">
        <x:v>USER-0086</x:v>
      </x:c>
      <x:c r="C87" s="10" t="str">
        <x:v>钱包与充值</x:v>
      </x:c>
      <x:c r="D87" s="10" t="str">
        <x:v>余额充值（用户）</x:v>
      </x:c>
      <x:c r="E87" s="10" t="str">
        <x:v>功能需求</x:v>
      </x:c>
      <x:c r="F87" s="10" t="str">
        <x:v>P1</x:v>
      </x:c>
      <x:c r="G87" s="9" t="str">
        <x:v>验证充值失败不发金币</x:v>
      </x:c>
      <x:c r="H87" s="9" t="str">
        <x:v>充值失败</x:v>
      </x:c>
      <x:c r="I87" s="9" t="str">
        <x:v>1. 用户账号可用且已登录
2. 原余额为 100，支付渠道本次返回失败</x:v>
      </x:c>
      <x:c r="J87" s="9" t="str">
        <x:v>1. 进入余额充值页
2. 选择套餐
3. 提交支付</x:v>
      </x:c>
      <x:c r="K87" s="9" t="str">
        <x:v>金币余额仍为 100</x:v>
      </x:c>
      <x:c r="L87" s="10" t="str">
        <x:v>FLOW-2BA2481A</x:v>
      </x:c>
      <x:c r="M87" s="10" t="str">
        <x:v>未测</x:v>
      </x:c>
      <x:c r="N87" s="10" t="str"/>
      <x:c r="O87" s="9" t="str">
        <x:v>1. 来源（当前证据）：liveshow-proto/MainBasis/统一需求文档.md；位置：recharge.html
2. 规则：BR-6C6CE1686B46B2
3. 未动态验证</x:v>
      </x:c>
    </x:row>
    <x:row r="88" ht="85" customHeight="1">
      <x:c r="A88" s="10" t="n">
        <x:v>87</x:v>
      </x:c>
      <x:c r="B88" s="10" t="str">
        <x:v>USER-0087</x:v>
      </x:c>
      <x:c r="C88" s="10" t="str">
        <x:v>钱包与充值</x:v>
      </x:c>
      <x:c r="D88" s="10" t="str">
        <x:v>余额充值（用户）</x:v>
      </x:c>
      <x:c r="E88" s="10" t="str">
        <x:v>功能需求</x:v>
      </x:c>
      <x:c r="F88" s="10" t="str">
        <x:v>P1</x:v>
      </x:c>
      <x:c r="G88" s="9" t="str">
        <x:v>验证支付超时不发金币</x:v>
      </x:c>
      <x:c r="H88" s="9" t="str">
        <x:v>充值超时</x:v>
      </x:c>
      <x:c r="I88" s="9" t="str">
        <x:v>1. 用户账号可用且已登录
2. 原余额为 100，支付渠道本次返回超时</x:v>
      </x:c>
      <x:c r="J88" s="9" t="str">
        <x:v>1. 进入余额充值页
2. 选择套餐
3. 提交支付</x:v>
      </x:c>
      <x:c r="K88" s="9" t="str">
        <x:v>金币余额仍为 100</x:v>
      </x:c>
      <x:c r="L88" s="10" t="str">
        <x:v>FLOW-2BA2481A</x:v>
      </x:c>
      <x:c r="M88" s="10" t="str">
        <x:v>未测</x:v>
      </x:c>
      <x:c r="N88" s="10" t="str"/>
      <x:c r="O88" s="9" t="str">
        <x:v>1. 来源（当前证据）：liveshow-proto/MainBasis/统一需求文档.md；位置：recharge.html
2. 规则：BR-3A0F33B12DD13F
3. 未动态验证</x:v>
      </x:c>
    </x:row>
    <x:row r="89" ht="85" customHeight="1">
      <x:c r="A89" s="10" t="n">
        <x:v>88</x:v>
      </x:c>
      <x:c r="B89" s="10" t="str">
        <x:v>USER-0088</x:v>
      </x:c>
      <x:c r="C89" s="10" t="str">
        <x:v>钱包与充值</x:v>
      </x:c>
      <x:c r="D89" s="10" t="str">
        <x:v>余额充值（用户）</x:v>
      </x:c>
      <x:c r="E89" s="10" t="str">
        <x:v>逻辑校验</x:v>
      </x:c>
      <x:c r="F89" s="10" t="str">
        <x:v>P0</x:v>
      </x:c>
      <x:c r="G89" s="9" t="str">
        <x:v>验证重复成功回调不重复入账</x:v>
      </x:c>
      <x:c r="H89" s="9" t="str">
        <x:v>充值幂等</x:v>
      </x:c>
      <x:c r="I89" s="9" t="str">
        <x:v>1. 用户账号可用且已登录
2. 原余额为 100，套餐共到账 1200 金币，测试支付渠道对同一平台订单返回两次同一成功交易通知</x:v>
      </x:c>
      <x:c r="J89" s="9" t="str">
        <x:v>1. 进入余额充值页
2. 完成该订单支付</x:v>
      </x:c>
      <x:c r="K89" s="9" t="str">
        <x:v>金币余额计算结果=100+1200=1300</x:v>
      </x:c>
      <x:c r="L89" s="10" t="str">
        <x:v>FLOW-2BA2481A</x:v>
      </x:c>
      <x:c r="M89" s="10" t="str">
        <x:v>未测</x:v>
      </x:c>
      <x:c r="N89" s="10" t="str"/>
      <x:c r="O89" s="9" t="str">
        <x:v>1. 来源（当前证据）：liveshow-proto/MainBasis/统一需求文档.md；位置：recharge.html
2. 规则：BR-89DFC93FD20CF3
3. 未动态验证</x:v>
      </x:c>
    </x:row>
    <x:row r="90" ht="85" customHeight="1">
      <x:c r="A90" s="10" t="n">
        <x:v>89</x:v>
      </x:c>
      <x:c r="B90" s="10" t="str">
        <x:v>USER-0089</x:v>
      </x:c>
      <x:c r="C90" s="10" t="str">
        <x:v>钱包与充值</x:v>
      </x:c>
      <x:c r="D90" s="10" t="str">
        <x:v>余额充值（用户）</x:v>
      </x:c>
      <x:c r="E90" s="10" t="str">
        <x:v>逻辑校验</x:v>
      </x:c>
      <x:c r="F90" s="10" t="str">
        <x:v>P0</x:v>
      </x:c>
      <x:c r="G90" s="9" t="str">
        <x:v>验证负余额充值先抵扣欠额</x:v>
      </x:c>
      <x:c r="H90" s="9" t="str">
        <x:v>充值抵扣负值</x:v>
      </x:c>
      <x:c r="I90" s="9" t="str">
        <x:v>1. 用户账号可用且已登录
2. 退款后余额为 -1000，选择到账 2000 金币的套餐</x:v>
      </x:c>
      <x:c r="J90" s="9" t="str">
        <x:v>1. 进入余额充值页
2. 支付该套餐</x:v>
      </x:c>
      <x:c r="K90" s="9" t="str">
        <x:v>到账后金币余额计算结果=-1000+2000=1000</x:v>
      </x:c>
      <x:c r="L90" s="10" t="str">
        <x:v>FLOW-2BA2481A</x:v>
      </x:c>
      <x:c r="M90" s="10" t="str">
        <x:v>未测</x:v>
      </x:c>
      <x:c r="N90" s="10" t="str"/>
      <x:c r="O90" s="9" t="str">
        <x:v>1. 来源（当前证据）：liveshow-proto/MainBasis/统一需求文档.md；位置：recharge.html
2. 规则：BR-BEF3A504F44D3D
3. 未动态验证</x:v>
      </x:c>
    </x:row>
    <x:row r="91" ht="85" customHeight="1">
      <x:c r="A91" s="10" t="n">
        <x:v>90</x:v>
      </x:c>
      <x:c r="B91" s="10" t="str">
        <x:v>USER-0090</x:v>
      </x:c>
      <x:c r="C91" s="10" t="str">
        <x:v>钱包与充值</x:v>
      </x:c>
      <x:c r="D91" s="10" t="str">
        <x:v>余额充值（用户）</x:v>
      </x:c>
      <x:c r="E91" s="10" t="str">
        <x:v>功能需求</x:v>
      </x:c>
      <x:c r="F91" s="10" t="str">
        <x:v>P1</x:v>
      </x:c>
      <x:c r="G91" s="9" t="str">
        <x:v>验证用户充值页不提供退款</x:v>
      </x:c>
      <x:c r="H91" s="9" t="str">
        <x:v>用户退款权限</x:v>
      </x:c>
      <x:c r="I91" s="9" t="str">
        <x:v>1. 用户账号可用且已登录</x:v>
      </x:c>
      <x:c r="J91" s="9" t="str">
        <x:v>1. 进入余额充值页
2. 查看充值页操作</x:v>
      </x:c>
      <x:c r="K91" s="9" t="str">
        <x:v>不提供退款操作</x:v>
      </x:c>
      <x:c r="L91" s="10" t="str">
        <x:v>FLOW-2BA2481A</x:v>
      </x:c>
      <x:c r="M91" s="10" t="str">
        <x:v>未测</x:v>
      </x:c>
      <x:c r="N91" s="10" t="str"/>
      <x:c r="O91" s="9" t="str">
        <x:v>1. 来源（当前证据）：liveshow-proto/MainBasis/统一需求文档.md；位置：recharge.html
2. 规则：BR-31C13DB79FD11F
3. 未动态验证</x:v>
      </x:c>
    </x:row>
    <x:row r="92" ht="85" customHeight="1">
      <x:c r="A92" s="10" t="n">
        <x:v>91</x:v>
      </x:c>
      <x:c r="B92" s="10" t="str">
        <x:v>USER-0091</x:v>
      </x:c>
      <x:c r="C92" s="10" t="str">
        <x:v>钱包与充值</x:v>
      </x:c>
      <x:c r="D92" s="10" t="str">
        <x:v>支出订单详情（用户）</x:v>
      </x:c>
      <x:c r="E92" s="10" t="str">
        <x:v>功能需求</x:v>
      </x:c>
      <x:c r="F92" s="10" t="str">
        <x:v>P1</x:v>
      </x:c>
      <x:c r="G92" s="9" t="str">
        <x:v>验证成功消费订单不可退款</x:v>
      </x:c>
      <x:c r="H92" s="9" t="str">
        <x:v>消费退款禁止</x:v>
      </x:c>
      <x:c r="I92" s="9" t="str">
        <x:v>1. 用户账号可用且已登录
2. 该赠礼已成功</x:v>
      </x:c>
      <x:c r="J92" s="9" t="str">
        <x:v>1. 进入余额明细
2. 选择一笔成功赠礼支出</x:v>
      </x:c>
      <x:c r="K92" s="9" t="str">
        <x:v>不提供退款操作</x:v>
      </x:c>
      <x:c r="L92" s="10" t="str">
        <x:v>FLOW-2BA2481A</x:v>
      </x:c>
      <x:c r="M92" s="10" t="str">
        <x:v>未测</x:v>
      </x:c>
      <x:c r="N92" s="10" t="str"/>
      <x:c r="O92" s="9" t="str">
        <x:v>1. 来源（当前证据）：liveshow-proto/MainBasis/统一需求文档.md；位置：order-expense-detail.html
2. 规则：BR-A60C90CBAB39E1
3. 未动态验证</x:v>
      </x:c>
    </x:row>
    <x:row r="93" ht="85" customHeight="1">
      <x:c r="A93" s="10" t="n">
        <x:v>92</x:v>
      </x:c>
      <x:c r="B93" s="10" t="str">
        <x:v>USER-0092</x:v>
      </x:c>
      <x:c r="C93" s="10" t="str">
        <x:v>钱包与充值</x:v>
      </x:c>
      <x:c r="D93" s="10" t="str">
        <x:v>支出订单详情（用户）</x:v>
      </x:c>
      <x:c r="E93" s="10" t="str">
        <x:v>逻辑校验</x:v>
      </x:c>
      <x:c r="F93" s="10" t="str">
        <x:v>P0</x:v>
      </x:c>
      <x:c r="G93" s="9" t="str">
        <x:v>验证消费订单使用购买时价格</x:v>
      </x:c>
      <x:c r="H93" s="9" t="str">
        <x:v>消费商品快照</x:v>
      </x:c>
      <x:c r="I93" s="9" t="str">
        <x:v>1. 用户账号可用且已登录
2. 购买时单价10数量3，平台后来将该商品单价改为20</x:v>
      </x:c>
      <x:c r="J93" s="9" t="str">
        <x:v>1. 进入余额明细
2. 选择一笔成功赠礼支出
3. 查看扣款金币</x:v>
      </x:c>
      <x:c r="K93" s="9" t="str">
        <x:v>扣款金币计算结果=10×3=30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来源（当前证据）：liveshow-proto/MainBasis/统一需求文档.md；位置：order-expense-detail.html
2. 规则：BR-5BF17B7CE8AFCE
3. 未动态验证</x:v>
      </x:c>
    </x:row>
    <x:row r="94" ht="85" customHeight="1">
      <x:c r="A94" s="10" t="n">
        <x:v>93</x:v>
      </x:c>
      <x:c r="B94" s="10" t="str">
        <x:v>USER-0093</x:v>
      </x:c>
      <x:c r="C94" s="10" t="str">
        <x:v>钱包与充值</x:v>
      </x:c>
      <x:c r="D94" s="10" t="str">
        <x:v>余额明细（用户）</x:v>
      </x:c>
      <x:c r="E94" s="10" t="str">
        <x:v>功能需求</x:v>
      </x:c>
      <x:c r="F94" s="10" t="str">
        <x:v>P1</x:v>
      </x:c>
      <x:c r="G94" s="9" t="str">
        <x:v>验证充值退款保留原消费流水</x:v>
      </x:c>
      <x:c r="H94" s="9" t="str">
        <x:v>充值退款不撤销消费</x:v>
      </x:c>
      <x:c r="I94" s="9" t="str">
        <x:v>1. 用户账号可用且已登录
2. 一笔充值已退款，用户此前用余额完成了一笔赠礼</x:v>
      </x:c>
      <x:c r="J94" s="9" t="str">
        <x:v>1. 进入余额明细
2. 查看该赠礼流水</x:v>
      </x:c>
      <x:c r="K94" s="9" t="str">
        <x:v>原赠礼支出记录仍保留</x:v>
      </x:c>
      <x:c r="L94" s="10" t="str">
        <x:v>FLOW-2BA2481A</x:v>
      </x:c>
      <x:c r="M94" s="10" t="str">
        <x:v>未测</x:v>
      </x:c>
      <x:c r="N94" s="10" t="str"/>
      <x:c r="O94" s="9" t="str">
        <x:v>1. 来源（当前证据）：liveshow-proto/MainBasis/统一需求文档.md；位置：balance-detail.html
2. 规则：BR-69C9285F138865
3. 未动态验证</x:v>
      </x:c>
    </x:row>
    <x:row r="95" ht="85" customHeight="1">
      <x:c r="A95" s="10" t="n">
        <x:v>94</x:v>
      </x:c>
      <x:c r="B95" s="10" t="str">
        <x:v>USER-0094</x:v>
      </x:c>
      <x:c r="C95" s="10" t="str">
        <x:v>钱包与充值</x:v>
      </x:c>
      <x:c r="D95" s="10" t="str">
        <x:v>余额明细（用户）</x:v>
      </x:c>
      <x:c r="E95" s="10" t="str">
        <x:v>功能需求</x:v>
      </x:c>
      <x:c r="F95" s="10" t="str">
        <x:v>P1</x:v>
      </x:c>
      <x:c r="G95" s="9" t="str">
        <x:v>验证充值退款生成独立资产分录</x:v>
      </x:c>
      <x:c r="H95" s="9" t="str">
        <x:v>退款账务留痕</x:v>
      </x:c>
      <x:c r="I95" s="9" t="str">
        <x:v>1. 用户账号可用且已登录
2. 后台刚完成该账号的一笔充值退款</x:v>
      </x:c>
      <x:c r="J95" s="9" t="str">
        <x:v>1. 进入余额明细
2. 查看最新金币流水</x:v>
      </x:c>
      <x:c r="K95" s="9" t="str">
        <x:v>新增一笔对应原充值订单的退款扣回流水</x:v>
      </x:c>
      <x:c r="L95" s="10" t="str">
        <x:v>FLOW-2BA2481A</x:v>
      </x:c>
      <x:c r="M95" s="10" t="str">
        <x:v>未测</x:v>
      </x:c>
      <x:c r="N95" s="10" t="str"/>
      <x:c r="O95" s="9" t="str">
        <x:v>1. 来源（当前证据）：liveshow-proto/MainBasis/统一需求文档.md；位置：balance-detail.html
2. 规则：BR-51B153F2515B89
3. 未动态验证</x:v>
      </x:c>
    </x:row>
    <x:row r="96" ht="85" customHeight="1">
      <x:c r="A96" s="10" t="n">
        <x:v>95</x:v>
      </x:c>
      <x:c r="B96" s="10" t="str">
        <x:v>USER-0095</x:v>
      </x:c>
      <x:c r="C96" s="10" t="str">
        <x:v>首页与发现</x:v>
      </x:c>
      <x:c r="D96" s="10" t="str">
        <x:v>搜索（用户）</x:v>
      </x:c>
      <x:c r="E96" s="10" t="str">
        <x:v>功能需求</x:v>
      </x:c>
      <x:c r="F96" s="10" t="str">
        <x:v>P1</x:v>
      </x:c>
      <x:c r="G96" s="9" t="str">
        <x:v>验证纯空格关键词不提交</x:v>
      </x:c>
      <x:c r="H96" s="9" t="str">
        <x:v>空关键词拦截</x:v>
      </x:c>
      <x:c r="I96" s="9" t="str">
        <x:v>1. 用户账号可用且已登录</x:v>
      </x:c>
      <x:c r="J96" s="9" t="str">
        <x:v>1. 进入搜索页
2. 输入三个空格
3. 点击搜索</x:v>
      </x:c>
      <x:c r="K96" s="9" t="str">
        <x:v>不进入搜索结果页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来源（当前证据）：liveshow-proto/MainBasis/统一需求文档.md；位置：search.html
2. 规则：BR-69658AFEA7C69A
3. 未动态验证</x:v>
      </x:c>
    </x:row>
    <x:row r="97" ht="85" customHeight="1">
      <x:c r="A97" s="10" t="n">
        <x:v>96</x:v>
      </x:c>
      <x:c r="B97" s="10" t="str">
        <x:v>USER-0096</x:v>
      </x:c>
      <x:c r="C97" s="10" t="str">
        <x:v>首页与发现</x:v>
      </x:c>
      <x:c r="D97" s="10" t="str">
        <x:v>搜索（用户）</x:v>
      </x:c>
      <x:c r="E97" s="10" t="str">
        <x:v>功能需求</x:v>
      </x:c>
      <x:c r="F97" s="10" t="str">
        <x:v>P1</x:v>
      </x:c>
      <x:c r="G97" s="9" t="str">
        <x:v>验证搜索词去除首尾空格</x:v>
      </x:c>
      <x:c r="H97" s="9" t="str">
        <x:v>关键词标准化</x:v>
      </x:c>
      <x:c r="I97" s="9" t="str">
        <x:v>1. 用户账号可用且已登录
2. 存在主播ID为620100</x:v>
      </x:c>
      <x:c r="J97" s="9" t="str">
        <x:v>1. 进入搜索页
2. 输入“ 620100 ”
3. 点击搜索</x:v>
      </x:c>
      <x:c r="K97" s="9" t="str">
        <x:v>搜索结果关键词为620100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来源（当前证据）：liveshow-proto/MainBasis/统一需求文档.md；位置：search.html
2. 规则：BR-8407369F460341
3. 未动态验证</x:v>
      </x:c>
    </x:row>
    <x:row r="98" ht="85" customHeight="1">
      <x:c r="A98" s="10" t="n">
        <x:v>97</x:v>
      </x:c>
      <x:c r="B98" s="10" t="str">
        <x:v>USER-0097</x:v>
      </x:c>
      <x:c r="C98" s="10" t="str">
        <x:v>首页与发现</x:v>
      </x:c>
      <x:c r="D98" s="10" t="str">
        <x:v>搜索（用户）</x:v>
      </x:c>
      <x:c r="E98" s="10" t="str">
        <x:v>功能需求</x:v>
      </x:c>
      <x:c r="F98" s="10" t="str">
        <x:v>P1</x:v>
      </x:c>
      <x:c r="G98" s="9" t="str">
        <x:v>验证重复历史词移到首位</x:v>
      </x:c>
      <x:c r="H98" s="9" t="str">
        <x:v>历史词去重</x:v>
      </x:c>
      <x:c r="I98" s="9" t="str">
        <x:v>1. 用户账号可用且已登录
2. 搜索历史从新到旧为“海风、月光、星河”</x:v>
      </x:c>
      <x:c r="J98" s="9" t="str">
        <x:v>1. 进入搜索页
2. 输入月光
3. 点击搜索
4. 返回搜索页</x:v>
      </x:c>
      <x:c r="K98" s="9" t="str">
        <x:v>搜索历史从新到旧为“月光、海风、星河”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来源（当前证据）：liveshow-proto/MainBasis/统一需求文档.md；位置：search.html
2. 规则：BR-F764BCAE75CB2B
3. 未动态验证</x:v>
      </x:c>
    </x:row>
    <x:row r="99" ht="85" customHeight="1">
      <x:c r="A99" s="10" t="n">
        <x:v>98</x:v>
      </x:c>
      <x:c r="B99" s="10" t="str">
        <x:v>USER-0098</x:v>
      </x:c>
      <x:c r="C99" s="10" t="str">
        <x:v>首页与发现</x:v>
      </x:c>
      <x:c r="D99" s="10" t="str">
        <x:v>搜索（用户）</x:v>
      </x:c>
      <x:c r="E99" s="10" t="str">
        <x:v>功能需求</x:v>
      </x:c>
      <x:c r="F99" s="10" t="str">
        <x:v>P1</x:v>
      </x:c>
      <x:c r="G99" s="9" t="str">
        <x:v>验证第十一条历史淘汰最早词</x:v>
      </x:c>
      <x:c r="H99" s="9" t="str">
        <x:v>历史数量上界</x:v>
      </x:c>
      <x:c r="I99" s="9" t="str">
        <x:v>1. 用户账号可用且已登录
2. 已有10个不同历史词，最早词为海风</x:v>
      </x:c>
      <x:c r="J99" s="9" t="str">
        <x:v>1. 进入搜索页
2. 输入未出现过的星河
3. 点击搜索
4. 返回搜索页</x:v>
      </x:c>
      <x:c r="K99" s="9" t="str">
        <x:v>历史保留10条且不再包含海风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来源（当前证据）：liveshow-proto/MainBasis/统一需求文档.md；位置：search.html
2. 规则：BR-2E75EA7974E702
3. 未动态验证</x:v>
      </x:c>
    </x:row>
    <x:row r="100" ht="85" customHeight="1">
      <x:c r="A100" s="10" t="n">
        <x:v>99</x:v>
      </x:c>
      <x:c r="B100" s="10" t="str">
        <x:v>USER-0099</x:v>
      </x:c>
      <x:c r="C100" s="10" t="str">
        <x:v>首页与发现</x:v>
      </x:c>
      <x:c r="D100" s="10" t="str">
        <x:v>搜索（用户）</x:v>
      </x:c>
      <x:c r="E100" s="10" t="str">
        <x:v>功能需求</x:v>
      </x:c>
      <x:c r="F100" s="10" t="str">
        <x:v>P1</x:v>
      </x:c>
      <x:c r="G100" s="9" t="str">
        <x:v>验证删除单条历史</x:v>
      </x:c>
      <x:c r="H100" s="9" t="str">
        <x:v>历史删除范围</x:v>
      </x:c>
      <x:c r="I100" s="9" t="str">
        <x:v>1. 用户账号可用且已登录
2. 已有海风和月光两条历史</x:v>
      </x:c>
      <x:c r="J100" s="9" t="str">
        <x:v>1. 进入搜索页
2. 点击海风右侧删除</x:v>
      </x:c>
      <x:c r="K100" s="9" t="str">
        <x:v>历史仅保留月光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来源（当前证据）：liveshow-proto/MainBasis/统一需求文档.md；位置：search.html
2. 规则：BR-2019A6DF4771F0
3. 未动态验证</x:v>
      </x:c>
    </x:row>
    <x:row r="101" ht="85" customHeight="1">
      <x:c r="A101" s="10" t="n">
        <x:v>100</x:v>
      </x:c>
      <x:c r="B101" s="10" t="str">
        <x:v>USER-0100</x:v>
      </x:c>
      <x:c r="C101" s="10" t="str">
        <x:v>首页与发现</x:v>
      </x:c>
      <x:c r="D101" s="10" t="str">
        <x:v>搜索（用户）</x:v>
      </x:c>
      <x:c r="E101" s="10" t="str">
        <x:v>功能需求</x:v>
      </x:c>
      <x:c r="F101" s="10" t="str">
        <x:v>P1</x:v>
      </x:c>
      <x:c r="G101" s="9" t="str">
        <x:v>验证清空搜索历史</x:v>
      </x:c>
      <x:c r="H101" s="9" t="str">
        <x:v>历史清空</x:v>
      </x:c>
      <x:c r="I101" s="9" t="str">
        <x:v>1. 用户账号可用且已登录
2. 存在搜索历史</x:v>
      </x:c>
      <x:c r="J101" s="9" t="str">
        <x:v>1. 进入搜索页
2. 点击清空全部</x:v>
      </x:c>
      <x:c r="K101" s="9" t="str">
        <x:v>搜索历史为空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来源（当前证据）：liveshow-proto/MainBasis/统一需求文档.md；位置：search.html
2. 规则：BR-38A3928CB856D8
3. 未动态验证</x:v>
      </x:c>
    </x:row>
    <x:row r="102" ht="85" customHeight="1">
      <x:c r="A102" s="10" t="n">
        <x:v>101</x:v>
      </x:c>
      <x:c r="B102" s="10" t="str">
        <x:v>USER-0101</x:v>
      </x:c>
      <x:c r="C102" s="10" t="str">
        <x:v>首页与发现</x:v>
      </x:c>
      <x:c r="D102" s="10" t="str">
        <x:v>搜索（用户）</x:v>
      </x:c>
      <x:c r="E102" s="10" t="str">
        <x:v>功能需求</x:v>
      </x:c>
      <x:c r="F102" s="10" t="str">
        <x:v>P1</x:v>
      </x:c>
      <x:c r="G102" s="9" t="str">
        <x:v>验证历史不跨设备同步</x:v>
      </x:c>
      <x:c r="H102" s="9" t="str">
        <x:v>设备侧历史</x:v>
      </x:c>
      <x:c r="I102" s="9" t="str">
        <x:v>1. 用户账号可用且已登录
2. 当前账号在设备甲搜索过海风，设备乙从未搜索</x:v>
      </x:c>
      <x:c r="J102" s="9" t="str">
        <x:v>1. 进入搜索页
2. 在设备乙登录同一账号并进入搜索页</x:v>
      </x:c>
      <x:c r="K102" s="9" t="str">
        <x:v>设备乙不出现海风历史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来源（当前证据）：liveshow-proto/MainBasis/统一需求文档.md；位置：search.html
2. 规则：BR-1E94E218B472B0
3. 未动态验证</x:v>
      </x:c>
    </x:row>
    <x:row r="103" ht="85" customHeight="1">
      <x:c r="A103" s="10" t="n">
        <x:v>102</x:v>
      </x:c>
      <x:c r="B103" s="10" t="str">
        <x:v>USER-0102</x:v>
      </x:c>
      <x:c r="C103" s="10" t="str">
        <x:v>首页与发现</x:v>
      </x:c>
      <x:c r="D103" s="10" t="str">
        <x:v>搜索结果（用户）</x:v>
      </x:c>
      <x:c r="E103" s="10" t="str">
        <x:v>功能需求</x:v>
      </x:c>
      <x:c r="F103" s="10" t="str">
        <x:v>P1</x:v>
      </x:c>
      <x:c r="G103" s="9" t="str">
        <x:v>验证无匹配搜索保留检索入口</x:v>
      </x:c>
      <x:c r="H103" s="9" t="str">
        <x:v>无结果恢复</x:v>
      </x:c>
      <x:c r="I103" s="9" t="str">
        <x:v>1. 用户账号可用且已登录
2. 不存在昵称为唯一未注册昵称qz789的主播</x:v>
      </x:c>
      <x:c r="J103" s="9" t="str">
        <x:v>1. 进入搜索页
2. 输入唯一未注册昵称qz789
3. 点击搜索</x:v>
      </x:c>
      <x:c r="K103" s="9" t="str">
        <x:v>结果为空且搜索框仍可编辑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来源（当前证据）：liveshow-proto/MainBasis/统一需求文档.md；位置：search-results.html
2. 规则：BR-B44E14DD624D6E
3. 未动态验证</x:v>
      </x:c>
    </x:row>
    <x:row r="104" ht="85" customHeight="1">
      <x:c r="A104" s="10" t="n">
        <x:v>103</x:v>
      </x:c>
      <x:c r="B104" s="10" t="str">
        <x:v>USER-0103</x:v>
      </x:c>
      <x:c r="C104" s="10" t="str">
        <x:v>首页与发现</x:v>
      </x:c>
      <x:c r="D104" s="10" t="str">
        <x:v>搜索结果（用户）</x:v>
      </x:c>
      <x:c r="E104" s="10" t="str">
        <x:v>功能需求</x:v>
      </x:c>
      <x:c r="F104" s="10" t="str">
        <x:v>P1</x:v>
      </x:c>
      <x:c r="G104" s="9" t="str">
        <x:v>验证直播结果进入房间</x:v>
      </x:c>
      <x:c r="H104" s="9" t="str">
        <x:v>直播搜索跳转</x:v>
      </x:c>
      <x:c r="I104" s="9" t="str">
        <x:v>1. 用户账号可用且已登录
2. 主播海风正在普通房直播</x:v>
      </x:c>
      <x:c r="J104" s="9" t="str">
        <x:v>1. 进入搜索页
2. 输入海风并点击搜索
3. 点击海风头像</x:v>
      </x:c>
      <x:c r="K104" s="9" t="str">
        <x:v>进入海风直播间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来源（当前证据）：liveshow-proto/MainBasis/统一需求文档.md；位置：search-results.html
2. 规则：BR-015F8BACA65912
3. 未动态验证</x:v>
      </x:c>
    </x:row>
    <x:row r="105" ht="85" customHeight="1">
      <x:c r="A105" s="10" t="n">
        <x:v>104</x:v>
      </x:c>
      <x:c r="B105" s="10" t="str">
        <x:v>USER-0104</x:v>
      </x:c>
      <x:c r="C105" s="10" t="str">
        <x:v>首页与发现</x:v>
      </x:c>
      <x:c r="D105" s="10" t="str">
        <x:v>搜索结果（用户）</x:v>
      </x:c>
      <x:c r="E105" s="10" t="str">
        <x:v>功能需求</x:v>
      </x:c>
      <x:c r="F105" s="10" t="str">
        <x:v>P1</x:v>
      </x:c>
      <x:c r="G105" s="9" t="str">
        <x:v>验证未开播结果进入主页</x:v>
      </x:c>
      <x:c r="H105" s="9" t="str">
        <x:v>未直播搜索跳转</x:v>
      </x:c>
      <x:c r="I105" s="9" t="str">
        <x:v>1. 用户账号可用且已登录
2. 主播月光未开播</x:v>
      </x:c>
      <x:c r="J105" s="9" t="str">
        <x:v>1. 进入搜索页
2. 输入月光并点击搜索
3. 点击月光头像</x:v>
      </x:c>
      <x:c r="K105" s="9" t="str">
        <x:v>进入月光主播主页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来源（当前证据）：liveshow-proto/MainBasis/统一需求文档.md；位置：search-results.html
2. 规则：BR-88BFEC4E2DC917
3. 未动态验证</x:v>
      </x:c>
    </x:row>
    <x:row r="106" ht="85" customHeight="1">
      <x:c r="A106" s="10" t="n">
        <x:v>105</x:v>
      </x:c>
      <x:c r="B106" s="10" t="str">
        <x:v>USER-0105</x:v>
      </x:c>
      <x:c r="C106" s="10" t="str">
        <x:v>首页与发现</x:v>
      </x:c>
      <x:c r="D106" s="10" t="str">
        <x:v>主播榜（用户）</x:v>
      </x:c>
      <x:c r="E106" s="10" t="str">
        <x:v>功能需求</x:v>
      </x:c>
      <x:c r="F106" s="10" t="str">
        <x:v>P1</x:v>
      </x:c>
      <x:c r="G106" s="9" t="str">
        <x:v>验证主播排名不使用并列名次</x:v>
      </x:c>
      <x:c r="H106" s="9" t="str">
        <x:v>连续名次</x:v>
      </x:c>
      <x:c r="I106" s="9" t="str">
        <x:v>1. 用户账号可用且已登录
2. 准备三名主播，所选周期收礼值依次为300、200、100</x:v>
      </x:c>
      <x:c r="J106" s="9" t="str">
        <x:v>1. 进入主播榜
2. 查看榜单顺序</x:v>
      </x:c>
      <x:c r="K106" s="9" t="str">
        <x:v>三名账号依次排第1、2、3名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来源（当前证据）：liveshow-proto/MainBasis/统一需求文档.md；位置：host-ranking.html
2. 规则：BR-0D6B15BE81BBBD
3. 未动态验证</x:v>
      </x:c>
    </x:row>
    <x:row r="107" ht="85" customHeight="1">
      <x:c r="A107" s="10" t="n">
        <x:v>106</x:v>
      </x:c>
      <x:c r="B107" s="10" t="str">
        <x:v>USER-0106</x:v>
      </x:c>
      <x:c r="C107" s="10" t="str">
        <x:v>首页与发现</x:v>
      </x:c>
      <x:c r="D107" s="10" t="str">
        <x:v>主播榜（用户）</x:v>
      </x:c>
      <x:c r="E107" s="10" t="str">
        <x:v>功能需求</x:v>
      </x:c>
      <x:c r="F107" s="10" t="str">
        <x:v>P1</x:v>
      </x:c>
      <x:c r="G107" s="9" t="str">
        <x:v>验证主播同分按等级排序</x:v>
      </x:c>
      <x:c r="H107" s="9" t="str">
        <x:v>同分等级排序</x:v>
      </x:c>
      <x:c r="I107" s="9" t="str">
        <x:v>1. 用户账号可用且已登录
2. 准备甲乙两名主播，收礼值相同，甲的主播等级高于乙，其他条件相同</x:v>
      </x:c>
      <x:c r="J107" s="9" t="str">
        <x:v>1. 进入主播榜
2. 查看甲乙名次</x:v>
      </x:c>
      <x:c r="K107" s="9" t="str">
        <x:v>甲排在乙之前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来源（当前证据）：liveshow-proto/MainBasis/统一需求文档.md；位置：host-ranking.html
2. 规则：BR-4CAB4EA39B00BE
3. 未动态验证</x:v>
      </x:c>
    </x:row>
    <x:row r="108" ht="85" customHeight="1">
      <x:c r="A108" s="10" t="n">
        <x:v>107</x:v>
      </x:c>
      <x:c r="B108" s="10" t="str">
        <x:v>USER-0107</x:v>
      </x:c>
      <x:c r="C108" s="10" t="str">
        <x:v>首页与发现</x:v>
      </x:c>
      <x:c r="D108" s="10" t="str">
        <x:v>主播榜（用户）</x:v>
      </x:c>
      <x:c r="E108" s="10" t="str">
        <x:v>功能需求</x:v>
      </x:c>
      <x:c r="F108" s="10" t="str">
        <x:v>P1</x:v>
      </x:c>
      <x:c r="G108" s="9" t="str">
        <x:v>验证主播同分同等级按ID排序</x:v>
      </x:c>
      <x:c r="H108" s="9" t="str">
        <x:v>ID最终排序</x:v>
      </x:c>
      <x:c r="I108" s="9" t="str">
        <x:v>1. 用户账号可用且已登录
2. 两名主播的收礼值及主播等级、财富等级相同，ID数字部分分别为9和10</x:v>
      </x:c>
      <x:c r="J108" s="9" t="str">
        <x:v>1. 进入主播榜
2. 查看两人名次</x:v>
      </x:c>
      <x:c r="K108" s="9" t="str">
        <x:v>ID数字部分9排在10之前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来源（当前证据）：liveshow-proto/MainBasis/统一需求文档.md；位置：host-ranking.html
2. 规则：BR-A2E384ABE213D6
3. 未动态验证</x:v>
      </x:c>
    </x:row>
    <x:row r="109" ht="85" customHeight="1">
      <x:c r="A109" s="10" t="n">
        <x:v>108</x:v>
      </x:c>
      <x:c r="B109" s="10" t="str">
        <x:v>USER-0108</x:v>
      </x:c>
      <x:c r="C109" s="10" t="str">
        <x:v>首页与发现</x:v>
      </x:c>
      <x:c r="D109" s="10" t="str">
        <x:v>主播榜（用户）</x:v>
      </x:c>
      <x:c r="E109" s="10" t="str">
        <x:v>功能需求</x:v>
      </x:c>
      <x:c r="F109" s="10" t="str">
        <x:v>P1</x:v>
      </x:c>
      <x:c r="G109" s="9" t="str">
        <x:v>验证主播榜单截取前99名</x:v>
      </x:c>
      <x:c r="H109" s="9" t="str">
        <x:v>榜单截断</x:v>
      </x:c>
      <x:c r="I109" s="9" t="str">
        <x:v>1. 用户账号可用且已登录
2. 准备100名有贡献的账号；第99和100名同分，ID较小者应先，其他排序条件相同</x:v>
      </x:c>
      <x:c r="J109" s="9" t="str">
        <x:v>1. 进入主播榜
2. 查看榜尾</x:v>
      </x:c>
      <x:c r="K109" s="9" t="str">
        <x:v>榜尾为排序更靠前的账号，名次99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来源（当前证据）：liveshow-proto/MainBasis/统一需求文档.md；位置：host-ranking.html
2. 规则：BR-BC53D5FE7EA0D6
3. 未动态验证</x:v>
      </x:c>
    </x:row>
    <x:row r="110" ht="85" customHeight="1">
      <x:c r="A110" s="10" t="n">
        <x:v>109</x:v>
      </x:c>
      <x:c r="B110" s="10" t="str">
        <x:v>USER-0109</x:v>
      </x:c>
      <x:c r="C110" s="10" t="str">
        <x:v>首页与发现</x:v>
      </x:c>
      <x:c r="D110" s="10" t="str">
        <x:v>主播榜（用户）</x:v>
      </x:c>
      <x:c r="E110" s="10" t="str">
        <x:v>功能需求</x:v>
      </x:c>
      <x:c r="F110" s="10" t="str">
        <x:v>P1</x:v>
      </x:c>
      <x:c r="G110" s="9" t="str">
        <x:v>验证主播第100名不展示</x:v>
      </x:c>
      <x:c r="H110" s="9" t="str">
        <x:v>截断外数据</x:v>
      </x:c>
      <x:c r="I110" s="9" t="str">
        <x:v>1. 用户账号可用且已登录
2. 准备100名有贡献的账号，已按排序规则确定第100名为星河</x:v>
      </x:c>
      <x:c r="J110" s="9" t="str">
        <x:v>1. 进入主播榜
2. 查看完整榜单</x:v>
      </x:c>
      <x:c r="K110" s="9" t="str">
        <x:v>榜单不展示星河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来源（当前证据）：liveshow-proto/MainBasis/统一需求文档.md；位置：host-ranking.html
2. 规则：BR-E96FFA2DDCB347
3. 未动态验证</x:v>
      </x:c>
    </x:row>
    <x:row r="111" ht="85" customHeight="1">
      <x:c r="A111" s="10" t="n">
        <x:v>110</x:v>
      </x:c>
      <x:c r="B111" s="10" t="str">
        <x:v>USER-0110</x:v>
      </x:c>
      <x:c r="C111" s="10" t="str">
        <x:v>首页与发现</x:v>
      </x:c>
      <x:c r="D111" s="10" t="str">
        <x:v>主播榜（用户）</x:v>
      </x:c>
      <x:c r="E111" s="10" t="str">
        <x:v>功能需求</x:v>
      </x:c>
      <x:c r="F111" s="10" t="str">
        <x:v>P1</x:v>
      </x:c>
      <x:c r="G111" s="9" t="str">
        <x:v>验证主播缺失等级按零处理</x:v>
      </x:c>
      <x:c r="H111" s="9" t="str">
        <x:v>缺失等级排序</x:v>
      </x:c>
      <x:c r="I111" s="9" t="str">
        <x:v>1. 用户账号可用且已登录
2. 甲缺失等级、乙等级为1，其收礼值相同且其他排序条件相同</x:v>
      </x:c>
      <x:c r="J111" s="9" t="str">
        <x:v>1. 进入主播榜
2. 查看甲乙排序</x:v>
      </x:c>
      <x:c r="K111" s="9" t="str">
        <x:v>等级1的乙排在甲之前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来源（当前证据）：liveshow-proto/MainBasis/统一需求文档.md；位置：host-ranking.html
2. 规则：BR-283D3671E93871
3. 未动态验证</x:v>
      </x:c>
    </x:row>
    <x:row r="112" ht="85" customHeight="1">
      <x:c r="A112" s="10" t="n">
        <x:v>111</x:v>
      </x:c>
      <x:c r="B112" s="10" t="str">
        <x:v>USER-0111</x:v>
      </x:c>
      <x:c r="C112" s="10" t="str">
        <x:v>首页与发现</x:v>
      </x:c>
      <x:c r="D112" s="10" t="str">
        <x:v>主播榜（用户）</x:v>
      </x:c>
      <x:c r="E112" s="10" t="str">
        <x:v>功能需求</x:v>
      </x:c>
      <x:c r="F112" s="10" t="str">
        <x:v>P1</x:v>
      </x:c>
      <x:c r="G112" s="9" t="str">
        <x:v>验证主播幸运礼物不扣返奖</x:v>
      </x:c>
      <x:c r="H112" s="9" t="str">
        <x:v>幸运榜单计价</x:v>
      </x:c>
      <x:c r="I112" s="9" t="str">
        <x:v>1. 用户账号可用且已登录
2. 所选周期内仅有成功幸运赠礼价值1000、返奖1500</x:v>
      </x:c>
      <x:c r="J112" s="9" t="str">
        <x:v>1. 进入主播榜
2. 查看对应榜单数值</x:v>
      </x:c>
      <x:c r="K112" s="9" t="str">
        <x:v>收礼值为1000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来源（当前证据）：liveshow-proto/MainBasis/统一需求文档.md；位置：host-ranking.html
2. 规则：BR-0B88A59D123BD5
3. 未动态验证</x:v>
      </x:c>
    </x:row>
    <x:row r="113" ht="85" customHeight="1">
      <x:c r="A113" s="10" t="n">
        <x:v>112</x:v>
      </x:c>
      <x:c r="B113" s="10" t="str">
        <x:v>USER-0112</x:v>
      </x:c>
      <x:c r="C113" s="10" t="str">
        <x:v>首页与发现</x:v>
      </x:c>
      <x:c r="D113" s="10" t="str">
        <x:v>主播榜（用户）</x:v>
      </x:c>
      <x:c r="E113" s="10" t="str">
        <x:v>功能需求</x:v>
      </x:c>
      <x:c r="F113" s="10" t="str">
        <x:v>P1</x:v>
      </x:c>
      <x:c r="G113" s="9" t="str">
        <x:v>验证主播榜单计入虚拟赠礼</x:v>
      </x:c>
      <x:c r="H113" s="9" t="str">
        <x:v>虚拟礼物榜单范围</x:v>
      </x:c>
      <x:c r="I113" s="9" t="str">
        <x:v>1. 用户账号可用且已登录
2. 所选周期内目标主播只关联一笔成功虚拟金币普通赠礼价值100</x:v>
      </x:c>
      <x:c r="J113" s="9" t="str">
        <x:v>1. 进入主播榜
2. 查看对应榜单数值</x:v>
      </x:c>
      <x:c r="K113" s="9" t="str">
        <x:v>收礼值为100</x:v>
      </x:c>
      <x:c r="L113" s="10" t="str">
        <x:v>FLOW-3751662B</x:v>
      </x:c>
      <x:c r="M113" s="10" t="str">
        <x:v>未测</x:v>
      </x:c>
      <x:c r="N113" s="10" t="str"/>
      <x:c r="O113" s="9" t="str">
        <x:v>1. 来源（当前证据）：liveshow-proto/MainBasis/统一需求文档.md；位置：host-ranking.html
2. 规则：BR-7AA58B961509A6
3. 未动态验证</x:v>
      </x:c>
    </x:row>
    <x:row r="114" ht="85" customHeight="1">
      <x:c r="A114" s="10" t="n">
        <x:v>113</x:v>
      </x:c>
      <x:c r="B114" s="10" t="str">
        <x:v>USER-0113</x:v>
      </x:c>
      <x:c r="C114" s="10" t="str">
        <x:v>首页与发现</x:v>
      </x:c>
      <x:c r="D114" s="10" t="str">
        <x:v>贡献榜（用户）</x:v>
      </x:c>
      <x:c r="E114" s="10" t="str">
        <x:v>功能需求</x:v>
      </x:c>
      <x:c r="F114" s="10" t="str">
        <x:v>P1</x:v>
      </x:c>
      <x:c r="G114" s="9" t="str">
        <x:v>验证送礼用户排名不使用并列名次</x:v>
      </x:c>
      <x:c r="H114" s="9" t="str">
        <x:v>连续名次</x:v>
      </x:c>
      <x:c r="I114" s="9" t="str">
        <x:v>1. 用户账号可用且已登录
2. 准备三名送礼用户，所选周期贡献值依次为300、200、100</x:v>
      </x:c>
      <x:c r="J114" s="9" t="str">
        <x:v>1. 进入贡献榜
2. 查看榜单顺序</x:v>
      </x:c>
      <x:c r="K114" s="9" t="str">
        <x:v>三名账号依次排第1、2、3名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来源（当前证据）：liveshow-proto/MainBasis/统一需求文档.md；位置：contribution-ranking.html
2. 规则：BR-23D8BB8571E212
3. 未动态验证</x:v>
      </x:c>
    </x:row>
    <x:row r="115" ht="85" customHeight="1">
      <x:c r="A115" s="10" t="n">
        <x:v>114</x:v>
      </x:c>
      <x:c r="B115" s="10" t="str">
        <x:v>USER-0114</x:v>
      </x:c>
      <x:c r="C115" s="10" t="str">
        <x:v>首页与发现</x:v>
      </x:c>
      <x:c r="D115" s="10" t="str">
        <x:v>贡献榜（用户）</x:v>
      </x:c>
      <x:c r="E115" s="10" t="str">
        <x:v>功能需求</x:v>
      </x:c>
      <x:c r="F115" s="10" t="str">
        <x:v>P1</x:v>
      </x:c>
      <x:c r="G115" s="9" t="str">
        <x:v>验证送礼用户同分按等级排序</x:v>
      </x:c>
      <x:c r="H115" s="9" t="str">
        <x:v>同分等级排序</x:v>
      </x:c>
      <x:c r="I115" s="9" t="str">
        <x:v>1. 用户账号可用且已登录
2. 准备甲乙两名送礼用户，贡献值相同，甲的财富等级高于乙，其他条件相同</x:v>
      </x:c>
      <x:c r="J115" s="9" t="str">
        <x:v>1. 进入贡献榜
2. 查看甲乙名次</x:v>
      </x:c>
      <x:c r="K115" s="9" t="str">
        <x:v>甲排在乙之前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来源（当前证据）：liveshow-proto/MainBasis/统一需求文档.md；位置：contribution-ranking.html
2. 规则：BR-43ECFD0313A11C
3. 未动态验证</x:v>
      </x:c>
    </x:row>
    <x:row r="116" ht="85" customHeight="1">
      <x:c r="A116" s="10" t="n">
        <x:v>115</x:v>
      </x:c>
      <x:c r="B116" s="10" t="str">
        <x:v>USER-0115</x:v>
      </x:c>
      <x:c r="C116" s="10" t="str">
        <x:v>首页与发现</x:v>
      </x:c>
      <x:c r="D116" s="10" t="str">
        <x:v>贡献榜（用户）</x:v>
      </x:c>
      <x:c r="E116" s="10" t="str">
        <x:v>功能需求</x:v>
      </x:c>
      <x:c r="F116" s="10" t="str">
        <x:v>P1</x:v>
      </x:c>
      <x:c r="G116" s="9" t="str">
        <x:v>验证送礼用户同分同等级按ID排序</x:v>
      </x:c>
      <x:c r="H116" s="9" t="str">
        <x:v>ID最终排序</x:v>
      </x:c>
      <x:c r="I116" s="9" t="str">
        <x:v>1. 用户账号可用且已登录
2. 两名送礼用户的贡献值及财富等级相同，ID数字部分分别为9和10</x:v>
      </x:c>
      <x:c r="J116" s="9" t="str">
        <x:v>1. 进入贡献榜
2. 查看两人名次</x:v>
      </x:c>
      <x:c r="K116" s="9" t="str">
        <x:v>ID数字部分9排在10之前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来源（当前证据）：liveshow-proto/MainBasis/统一需求文档.md；位置：contribution-ranking.html
2. 规则：BR-DD248516C2A4E7
3. 未动态验证</x:v>
      </x:c>
    </x:row>
    <x:row r="117" ht="85" customHeight="1">
      <x:c r="A117" s="10" t="n">
        <x:v>116</x:v>
      </x:c>
      <x:c r="B117" s="10" t="str">
        <x:v>USER-0116</x:v>
      </x:c>
      <x:c r="C117" s="10" t="str">
        <x:v>首页与发现</x:v>
      </x:c>
      <x:c r="D117" s="10" t="str">
        <x:v>贡献榜（用户）</x:v>
      </x:c>
      <x:c r="E117" s="10" t="str">
        <x:v>功能需求</x:v>
      </x:c>
      <x:c r="F117" s="10" t="str">
        <x:v>P1</x:v>
      </x:c>
      <x:c r="G117" s="9" t="str">
        <x:v>验证送礼用户榜单截取前99名</x:v>
      </x:c>
      <x:c r="H117" s="9" t="str">
        <x:v>榜单截断</x:v>
      </x:c>
      <x:c r="I117" s="9" t="str">
        <x:v>1. 用户账号可用且已登录
2. 准备100名有贡献的账号；第99和100名同分，ID较小者应先，其他排序条件相同</x:v>
      </x:c>
      <x:c r="J117" s="9" t="str">
        <x:v>1. 进入贡献榜
2. 查看榜尾</x:v>
      </x:c>
      <x:c r="K117" s="9" t="str">
        <x:v>榜尾为排序更靠前的账号，名次99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来源（当前证据）：liveshow-proto/MainBasis/统一需求文档.md；位置：contribution-ranking.html
2. 规则：BR-B104255FC0BCA7
3. 未动态验证</x:v>
      </x:c>
    </x:row>
    <x:row r="118" ht="85" customHeight="1">
      <x:c r="A118" s="10" t="n">
        <x:v>117</x:v>
      </x:c>
      <x:c r="B118" s="10" t="str">
        <x:v>USER-0117</x:v>
      </x:c>
      <x:c r="C118" s="10" t="str">
        <x:v>首页与发现</x:v>
      </x:c>
      <x:c r="D118" s="10" t="str">
        <x:v>贡献榜（用户）</x:v>
      </x:c>
      <x:c r="E118" s="10" t="str">
        <x:v>功能需求</x:v>
      </x:c>
      <x:c r="F118" s="10" t="str">
        <x:v>P1</x:v>
      </x:c>
      <x:c r="G118" s="9" t="str">
        <x:v>验证送礼用户第100名不展示</x:v>
      </x:c>
      <x:c r="H118" s="9" t="str">
        <x:v>截断外数据</x:v>
      </x:c>
      <x:c r="I118" s="9" t="str">
        <x:v>1. 用户账号可用且已登录
2. 准备100名有贡献的账号，已按排序规则确定第100名为星河</x:v>
      </x:c>
      <x:c r="J118" s="9" t="str">
        <x:v>1. 进入贡献榜
2. 查看完整榜单</x:v>
      </x:c>
      <x:c r="K118" s="9" t="str">
        <x:v>榜单不展示星河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来源（当前证据）：liveshow-proto/MainBasis/统一需求文档.md；位置：contribution-ranking.html
2. 规则：BR-DD9BCA43F93A42
3. 未动态验证</x:v>
      </x:c>
    </x:row>
    <x:row r="119" ht="85" customHeight="1">
      <x:c r="A119" s="10" t="n">
        <x:v>118</x:v>
      </x:c>
      <x:c r="B119" s="10" t="str">
        <x:v>USER-0118</x:v>
      </x:c>
      <x:c r="C119" s="10" t="str">
        <x:v>首页与发现</x:v>
      </x:c>
      <x:c r="D119" s="10" t="str">
        <x:v>贡献榜（用户）</x:v>
      </x:c>
      <x:c r="E119" s="10" t="str">
        <x:v>功能需求</x:v>
      </x:c>
      <x:c r="F119" s="10" t="str">
        <x:v>P1</x:v>
      </x:c>
      <x:c r="G119" s="9" t="str">
        <x:v>验证送礼用户缺失等级按零处理</x:v>
      </x:c>
      <x:c r="H119" s="9" t="str">
        <x:v>缺失等级排序</x:v>
      </x:c>
      <x:c r="I119" s="9" t="str">
        <x:v>1. 用户账号可用且已登录
2. 甲缺失等级、乙等级为1，其贡献值相同且其他排序条件相同</x:v>
      </x:c>
      <x:c r="J119" s="9" t="str">
        <x:v>1. 进入贡献榜
2. 查看甲乙排序</x:v>
      </x:c>
      <x:c r="K119" s="9" t="str">
        <x:v>等级1的乙排在甲之前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来源（当前证据）：liveshow-proto/MainBasis/统一需求文档.md；位置：contribution-ranking.html
2. 规则：BR-2DDB53F878542E
3. 未动态验证</x:v>
      </x:c>
    </x:row>
    <x:row r="120" ht="85" customHeight="1">
      <x:c r="A120" s="10" t="n">
        <x:v>119</x:v>
      </x:c>
      <x:c r="B120" s="10" t="str">
        <x:v>USER-0119</x:v>
      </x:c>
      <x:c r="C120" s="10" t="str">
        <x:v>首页与发现</x:v>
      </x:c>
      <x:c r="D120" s="10" t="str">
        <x:v>贡献榜（用户）</x:v>
      </x:c>
      <x:c r="E120" s="10" t="str">
        <x:v>功能需求</x:v>
      </x:c>
      <x:c r="F120" s="10" t="str">
        <x:v>P1</x:v>
      </x:c>
      <x:c r="G120" s="9" t="str">
        <x:v>验证送礼用户幸运礼物不扣返奖</x:v>
      </x:c>
      <x:c r="H120" s="9" t="str">
        <x:v>幸运榜单计价</x:v>
      </x:c>
      <x:c r="I120" s="9" t="str">
        <x:v>1. 用户账号可用且已登录
2. 所选周期内仅有成功幸运赠礼价值1000、返奖1500</x:v>
      </x:c>
      <x:c r="J120" s="9" t="str">
        <x:v>1. 进入贡献榜
2. 查看对应榜单数值</x:v>
      </x:c>
      <x:c r="K120" s="9" t="str">
        <x:v>贡献值为1000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来源（当前证据）：liveshow-proto/MainBasis/统一需求文档.md；位置：contribution-ranking.html
2. 规则：BR-583B992D406DA0
3. 未动态验证</x:v>
      </x:c>
    </x:row>
    <x:row r="121" ht="85" customHeight="1">
      <x:c r="A121" s="10" t="n">
        <x:v>120</x:v>
      </x:c>
      <x:c r="B121" s="10" t="str">
        <x:v>USER-0120</x:v>
      </x:c>
      <x:c r="C121" s="10" t="str">
        <x:v>首页与发现</x:v>
      </x:c>
      <x:c r="D121" s="10" t="str">
        <x:v>贡献榜（用户）</x:v>
      </x:c>
      <x:c r="E121" s="10" t="str">
        <x:v>功能需求</x:v>
      </x:c>
      <x:c r="F121" s="10" t="str">
        <x:v>P1</x:v>
      </x:c>
      <x:c r="G121" s="9" t="str">
        <x:v>验证送礼用户榜单计入虚拟赠礼</x:v>
      </x:c>
      <x:c r="H121" s="9" t="str">
        <x:v>虚拟礼物榜单范围</x:v>
      </x:c>
      <x:c r="I121" s="9" t="str">
        <x:v>1. 用户账号可用且已登录
2. 所选周期内目标送礼用户只关联一笔成功虚拟金币普通赠礼价值100</x:v>
      </x:c>
      <x:c r="J121" s="9" t="str">
        <x:v>1. 进入贡献榜
2. 查看对应榜单数值</x:v>
      </x:c>
      <x:c r="K121" s="9" t="str">
        <x:v>贡献值为100</x:v>
      </x:c>
      <x:c r="L121" s="10" t="str">
        <x:v>FLOW-3751662B</x:v>
      </x:c>
      <x:c r="M121" s="10" t="str">
        <x:v>未测</x:v>
      </x:c>
      <x:c r="N121" s="10" t="str"/>
      <x:c r="O121" s="9" t="str">
        <x:v>1. 来源（当前证据）：liveshow-proto/MainBasis/统一需求文档.md；位置：contribution-ranking.html
2. 规则：BR-66C14A2C7CA4BC
3. 未动态验证</x:v>
      </x:c>
    </x:row>
    <x:row r="122" ht="85" customHeight="1">
      <x:c r="A122" s="10" t="n">
        <x:v>121</x:v>
      </x:c>
      <x:c r="B122" s="10" t="str">
        <x:v>USER-0121</x:v>
      </x:c>
      <x:c r="C122" s="10" t="str">
        <x:v>首页与发现</x:v>
      </x:c>
      <x:c r="D122" s="10" t="str">
        <x:v>主播榜（用户）</x:v>
      </x:c>
      <x:c r="E122" s="10" t="str">
        <x:v>功能需求</x:v>
      </x:c>
      <x:c r="F122" s="10" t="str">
        <x:v>P1</x:v>
      </x:c>
      <x:c r="G122" s="9" t="str">
        <x:v>验证游客点击榜单主播需登录</x:v>
      </x:c>
      <x:c r="H122" s="9" t="str">
        <x:v>榜单登录门槛</x:v>
      </x:c>
      <x:c r="I122" s="9" t="str">
        <x:v>1. 榜单存在主播海风</x:v>
      </x:c>
      <x:c r="J122" s="9" t="str">
        <x:v>1. 以游客身份进入主播榜
2. 点击海风</x:v>
      </x:c>
      <x:c r="K122" s="9" t="str">
        <x:v>进入登录页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来源（当前证据）：liveshow-proto/MainBasis/统一需求文档.md；位置：host-ranking.html
2. 规则：BR-DF72A982D5CBD7
3. 未动态验证</x:v>
      </x:c>
    </x:row>
    <x:row r="123" ht="85" customHeight="1">
      <x:c r="A123" s="10" t="n">
        <x:v>122</x:v>
      </x:c>
      <x:c r="B123" s="10" t="str">
        <x:v>USER-0122</x:v>
      </x:c>
      <x:c r="C123" s="10" t="str">
        <x:v>首页与发现</x:v>
      </x:c>
      <x:c r="D123" s="10" t="str">
        <x:v>充值福利（用户）</x:v>
      </x:c>
      <x:c r="E123" s="10" t="str">
        <x:v>功能需求</x:v>
      </x:c>
      <x:c r="F123" s="10" t="str">
        <x:v>P1</x:v>
      </x:c>
      <x:c r="G123" s="9" t="str">
        <x:v>验证仅登录不增加连续签到</x:v>
      </x:c>
      <x:c r="H123" s="9" t="str">
        <x:v>签到动作要求</x:v>
      </x:c>
      <x:c r="I123" s="9" t="str">
        <x:v>1. 用户账号可用且已登录
2. 昨天手动签到，今天只完成登录</x:v>
      </x:c>
      <x:c r="J123" s="9" t="str">
        <x:v>1. 进入福利页
2. 查看签到状态</x:v>
      </x:c>
      <x:c r="K123" s="9" t="str">
        <x:v>今天仍未签到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来源（当前证据）：liveshow-proto/MainBasis/统一需求文档.md；位置：welfare-center.html
2. 规则：BR-CF3A851EF7CCBA
3. 未动态验证</x:v>
      </x:c>
    </x:row>
    <x:row r="124" ht="85" customHeight="1">
      <x:c r="A124" s="10" t="n">
        <x:v>123</x:v>
      </x:c>
      <x:c r="B124" s="10" t="str">
        <x:v>USER-0123</x:v>
      </x:c>
      <x:c r="C124" s="10" t="str">
        <x:v>首页与发现</x:v>
      </x:c>
      <x:c r="D124" s="10" t="str">
        <x:v>充值福利（用户）</x:v>
      </x:c>
      <x:c r="E124" s="10" t="str">
        <x:v>功能需求</x:v>
      </x:c>
      <x:c r="F124" s="10" t="str">
        <x:v>P1</x:v>
      </x:c>
      <x:c r="G124" s="9" t="str">
        <x:v>验证当天签到只领取一次</x:v>
      </x:c>
      <x:c r="H124" s="9" t="str">
        <x:v>签到幂等</x:v>
      </x:c>
      <x:c r="I124" s="9" t="str">
        <x:v>1. 用户账号可用且已登录
2. 今天尚未签到，当前签到奖励20金币，原余额100</x:v>
      </x:c>
      <x:c r="J124" s="9" t="str">
        <x:v>1. 进入福利页
2. 点击签到
3. 再次点击签到位置</x:v>
      </x:c>
      <x:c r="K124" s="9" t="str">
        <x:v>金币余额为120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来源（当前证据）：liveshow-proto/MainBasis/统一需求文档.md；位置：welfare-center.html
2. 规则：BR-E623226C5D4649
3. 未动态验证</x:v>
      </x:c>
    </x:row>
    <x:row r="125" ht="85" customHeight="1">
      <x:c r="A125" s="10" t="n">
        <x:v>124</x:v>
      </x:c>
      <x:c r="B125" s="10" t="str">
        <x:v>USER-0124</x:v>
      </x:c>
      <x:c r="C125" s="10" t="str">
        <x:v>首页与发现</x:v>
      </x:c>
      <x:c r="D125" s="10" t="str">
        <x:v>充值福利（用户）</x:v>
      </x:c>
      <x:c r="E125" s="10" t="str">
        <x:v>功能需求</x:v>
      </x:c>
      <x:c r="F125" s="10" t="str">
        <x:v>P1</x:v>
      </x:c>
      <x:c r="G125" s="9" t="str">
        <x:v>验证断签后从第一天重算</x:v>
      </x:c>
      <x:c r="H125" s="9" t="str">
        <x:v>断签重置</x:v>
      </x:c>
      <x:c r="I125" s="9" t="str">
        <x:v>1. 用户账号可用且已登录
2. 第1天奖励20、第2天奖励30；前天签到，昨天仅登录未签到</x:v>
      </x:c>
      <x:c r="J125" s="9" t="str">
        <x:v>1. 进入福利页
2. 点击今天签到</x:v>
      </x:c>
      <x:c r="K125" s="9" t="str">
        <x:v>本次奖励20金币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来源（当前证据）：liveshow-proto/MainBasis/统一需求文档.md；位置：welfare-center.html
2. 规则：BR-06025F13AE275A
3. 未动态验证</x:v>
      </x:c>
    </x:row>
    <x:row r="126" ht="85" customHeight="1">
      <x:c r="A126" s="10" t="n">
        <x:v>125</x:v>
      </x:c>
      <x:c r="B126" s="10" t="str">
        <x:v>USER-0125</x:v>
      </x:c>
      <x:c r="C126" s="10" t="str">
        <x:v>首页与发现</x:v>
      </x:c>
      <x:c r="D126" s="10" t="str">
        <x:v>充值福利（用户）</x:v>
      </x:c>
      <x:c r="E126" s="10" t="str">
        <x:v>功能需求</x:v>
      </x:c>
      <x:c r="F126" s="10" t="str">
        <x:v>P1</x:v>
      </x:c>
      <x:c r="G126" s="9" t="str">
        <x:v>验证超过最高签到天数不循环</x:v>
      </x:c>
      <x:c r="H126" s="9" t="str">
        <x:v>签到尾档保持</x:v>
      </x:c>
      <x:c r="I126" s="9" t="str">
        <x:v>1. 用户账号可用且已登录
2. 只配置第1天20、第2天30；已连续签到2天，今天尚未签到</x:v>
      </x:c>
      <x:c r="J126" s="9" t="str">
        <x:v>1. 进入福利页
2. 点击签到</x:v>
      </x:c>
      <x:c r="K126" s="9" t="str">
        <x:v>第3天领取30金币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来源（当前证据）：liveshow-proto/MainBasis/统一需求文档.md；位置：welfare-center.html
2. 规则：BR-9723FF93C7FAFF
3. 未动态验证</x:v>
      </x:c>
    </x:row>
    <x:row r="127" ht="85" customHeight="1">
      <x:c r="A127" s="10" t="n">
        <x:v>126</x:v>
      </x:c>
      <x:c r="B127" s="10" t="str">
        <x:v>USER-0126</x:v>
      </x:c>
      <x:c r="C127" s="10" t="str">
        <x:v>首页与发现</x:v>
      </x:c>
      <x:c r="D127" s="10" t="str">
        <x:v>充值福利（用户）</x:v>
      </x:c>
      <x:c r="E127" s="10" t="str">
        <x:v>功能需求</x:v>
      </x:c>
      <x:c r="F127" s="10" t="str">
        <x:v>P1</x:v>
      </x:c>
      <x:c r="G127" s="9" t="str">
        <x:v>验证任务未达标不能领取</x:v>
      </x:c>
      <x:c r="H127" s="9" t="str">
        <x:v>任务领取门槛</x:v>
      </x:c>
      <x:c r="I127" s="9" t="str">
        <x:v>1. 用户账号可用且已登录
2. 观看目标30分钟，当前29分钟</x:v>
      </x:c>
      <x:c r="J127" s="9" t="str">
        <x:v>1. 进入福利页
2. 点击该任务奖励</x:v>
      </x:c>
      <x:c r="K127" s="9" t="str">
        <x:v>提示“任务尚未完成”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来源（当前证据）：liveshow-proto/MainBasis/统一需求文档.md；位置：welfare-center.html
2. 规则：BR-DBC846EB77EBD6
3. 未动态验证</x:v>
      </x:c>
    </x:row>
    <x:row r="128" ht="85" customHeight="1">
      <x:c r="A128" s="10" t="n">
        <x:v>127</x:v>
      </x:c>
      <x:c r="B128" s="10" t="str">
        <x:v>USER-0127</x:v>
      </x:c>
      <x:c r="C128" s="10" t="str">
        <x:v>首页与发现</x:v>
      </x:c>
      <x:c r="D128" s="10" t="str">
        <x:v>充值福利（用户）</x:v>
      </x:c>
      <x:c r="E128" s="10" t="str">
        <x:v>功能需求</x:v>
      </x:c>
      <x:c r="F128" s="10" t="str">
        <x:v>P1</x:v>
      </x:c>
      <x:c r="G128" s="9" t="str">
        <x:v>验证达标奖励需要手动领取</x:v>
      </x:c>
      <x:c r="H128" s="9" t="str">
        <x:v>领取时机</x:v>
      </x:c>
      <x:c r="I128" s="9" t="str">
        <x:v>1. 用户账号可用且已登录
2. 赠礼任务刚达标，奖励10，原余额100，尚未点击领取</x:v>
      </x:c>
      <x:c r="J128" s="9" t="str">
        <x:v>1. 进入福利页
2. 查看金币余额</x:v>
      </x:c>
      <x:c r="K128" s="9" t="str">
        <x:v>金币余额仍为100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来源（当前证据）：liveshow-proto/MainBasis/统一需求文档.md；位置：welfare-center.html
2. 规则：BR-67924E51888B18
3. 未动态验证</x:v>
      </x:c>
    </x:row>
    <x:row r="129" ht="85" customHeight="1">
      <x:c r="A129" s="10" t="n">
        <x:v>128</x:v>
      </x:c>
      <x:c r="B129" s="10" t="str">
        <x:v>USER-0128</x:v>
      </x:c>
      <x:c r="C129" s="10" t="str">
        <x:v>首页与发现</x:v>
      </x:c>
      <x:c r="D129" s="10" t="str">
        <x:v>充值福利（用户）</x:v>
      </x:c>
      <x:c r="E129" s="10" t="str">
        <x:v>功能需求</x:v>
      </x:c>
      <x:c r="F129" s="10" t="str">
        <x:v>P1</x:v>
      </x:c>
      <x:c r="G129" s="9" t="str">
        <x:v>验证手动领取成功增加余额</x:v>
      </x:c>
      <x:c r="H129" s="9" t="str">
        <x:v>任务奖励入账</x:v>
      </x:c>
      <x:c r="I129" s="9" t="str">
        <x:v>1. 用户账号可用且已登录
2. 任务已达标且未过期，奖励10，原余额100</x:v>
      </x:c>
      <x:c r="J129" s="9" t="str">
        <x:v>1. 进入福利页
2. 点击任务奖励</x:v>
      </x:c>
      <x:c r="K129" s="9" t="str">
        <x:v>金币余额为110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来源（当前证据）：liveshow-proto/MainBasis/统一需求文档.md；位置：welfare-center.html
2. 规则：BR-E931392417D4E8
3. 未动态验证</x:v>
      </x:c>
    </x:row>
    <x:row r="130" ht="85" customHeight="1">
      <x:c r="A130" s="10" t="n">
        <x:v>129</x:v>
      </x:c>
      <x:c r="B130" s="10" t="str">
        <x:v>USER-0129</x:v>
      </x:c>
      <x:c r="C130" s="10" t="str">
        <x:v>首页与发现</x:v>
      </x:c>
      <x:c r="D130" s="10" t="str">
        <x:v>充值福利（用户）</x:v>
      </x:c>
      <x:c r="E130" s="10" t="str">
        <x:v>功能需求</x:v>
      </x:c>
      <x:c r="F130" s="10" t="str">
        <x:v>P1</x:v>
      </x:c>
      <x:c r="G130" s="9" t="str">
        <x:v>验证同一条件重复点击只入账一次</x:v>
      </x:c>
      <x:c r="H130" s="9" t="str">
        <x:v>任务领奖幂等</x:v>
      </x:c>
      <x:c r="I130" s="9" t="str">
        <x:v>1. 用户账号可用且已登录
2. 本期该档未领且已达标未过期，奖励10，原余额100</x:v>
      </x:c>
      <x:c r="J130" s="9" t="str">
        <x:v>1. 进入福利页
2. 连续点击该档奖励两次</x:v>
      </x:c>
      <x:c r="K130" s="9" t="str">
        <x:v>金币余额为110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来源（当前证据）：liveshow-proto/MainBasis/统一需求文档.md；位置：welfare-center.html
2. 规则：BR-37FB5B46AE0080
3. 未动态验证</x:v>
      </x:c>
    </x:row>
    <x:row r="131" ht="85" customHeight="1">
      <x:c r="A131" s="10" t="n">
        <x:v>130</x:v>
      </x:c>
      <x:c r="B131" s="10" t="str">
        <x:v>USER-0130</x:v>
      </x:c>
      <x:c r="C131" s="10" t="str">
        <x:v>首页与发现</x:v>
      </x:c>
      <x:c r="D131" s="10" t="str">
        <x:v>充值福利（用户）</x:v>
      </x:c>
      <x:c r="E131" s="10" t="str">
        <x:v>功能需求</x:v>
      </x:c>
      <x:c r="F131" s="10" t="str">
        <x:v>P1</x:v>
      </x:c>
      <x:c r="G131" s="9" t="str">
        <x:v>验证领取失败保留重试入口</x:v>
      </x:c>
      <x:c r="H131" s="9" t="str">
        <x:v>任务领取失败</x:v>
      </x:c>
      <x:c r="I131" s="9" t="str">
        <x:v>1. 用户账号可用且已登录
2. 已达标未过期，领取请求本次返回失败</x:v>
      </x:c>
      <x:c r="J131" s="9" t="str">
        <x:v>1. 进入福利页
2. 点击领取</x:v>
      </x:c>
      <x:c r="K131" s="9" t="str">
        <x:v>该档仍可重试领取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来源（当前证据）：liveshow-proto/MainBasis/统一需求文档.md；位置：welfare-center.html
2. 规则：BR-5E880BA97C164F
3. 未动态验证</x:v>
      </x:c>
    </x:row>
    <x:row r="132" ht="85" customHeight="1">
      <x:c r="A132" s="10" t="n">
        <x:v>131</x:v>
      </x:c>
      <x:c r="B132" s="10" t="str">
        <x:v>USER-0131</x:v>
      </x:c>
      <x:c r="C132" s="10" t="str">
        <x:v>首页与发现</x:v>
      </x:c>
      <x:c r="D132" s="10" t="str">
        <x:v>充值福利（用户）</x:v>
      </x:c>
      <x:c r="E132" s="10" t="str">
        <x:v>功能需求</x:v>
      </x:c>
      <x:c r="F132" s="10" t="str">
        <x:v>P1</x:v>
      </x:c>
      <x:c r="G132" s="9" t="str">
        <x:v>验证同任务多个条件独立领取</x:v>
      </x:c>
      <x:c r="H132" s="9" t="str">
        <x:v>多档奖励独立性</x:v>
      </x:c>
      <x:c r="I132" s="9" t="str">
        <x:v>1. 用户账号可用且已登录
2. 条件1和条件2均达标，条件1已领、条件2未领且未过期</x:v>
      </x:c>
      <x:c r="J132" s="9" t="str">
        <x:v>1. 进入福利页
2. 点击条件2奖励</x:v>
      </x:c>
      <x:c r="K132" s="9" t="str">
        <x:v>条件2领取成功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来源（当前证据）：liveshow-proto/MainBasis/统一需求文档.md；位置：welfare-center.html
2. 规则：BR-1DFA9D8DD23AE8
3. 未动态验证</x:v>
      </x:c>
    </x:row>
    <x:row r="133" ht="85" customHeight="1">
      <x:c r="A133" s="10" t="n">
        <x:v>132</x:v>
      </x:c>
      <x:c r="B133" s="10" t="str">
        <x:v>USER-0132</x:v>
      </x:c>
      <x:c r="C133" s="10" t="str">
        <x:v>首页与发现</x:v>
      </x:c>
      <x:c r="D133" s="10" t="str">
        <x:v>充值福利（用户）</x:v>
      </x:c>
      <x:c r="E133" s="10" t="str">
        <x:v>功能需求</x:v>
      </x:c>
      <x:c r="F133" s="10" t="str">
        <x:v>P1</x:v>
      </x:c>
      <x:c r="G133" s="9" t="str">
        <x:v>验证过期奖励不自动发放</x:v>
      </x:c>
      <x:c r="H133" s="9" t="str">
        <x:v>奖励过期</x:v>
      </x:c>
      <x:c r="I133" s="9" t="str">
        <x:v>1. 用户账号可用且已登录
2. 奖励获得日已结束且未手动领取，获得前余额100且无其他收支</x:v>
      </x:c>
      <x:c r="J133" s="9" t="str">
        <x:v>1. 进入福利页
2. 查看金币余额</x:v>
      </x:c>
      <x:c r="K133" s="9" t="str">
        <x:v>金币余额仍为100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来源（当前证据）：liveshow-proto/MainBasis/统一需求文档.md；位置：welfare-center.html
2. 规则：BR-326CC2B11007D4
3. 未动态验证</x:v>
      </x:c>
    </x:row>
    <x:row r="134" ht="85" customHeight="1">
      <x:c r="A134" s="10" t="n">
        <x:v>133</x:v>
      </x:c>
      <x:c r="B134" s="10" t="str">
        <x:v>USER-0133</x:v>
      </x:c>
      <x:c r="C134" s="10" t="str">
        <x:v>首页与发现</x:v>
      </x:c>
      <x:c r="D134" s="10" t="str">
        <x:v>充值福利（用户）</x:v>
      </x:c>
      <x:c r="E134" s="10" t="str">
        <x:v>功能需求</x:v>
      </x:c>
      <x:c r="F134" s="10" t="str">
        <x:v>P1</x:v>
      </x:c>
      <x:c r="G134" s="9" t="str">
        <x:v>验证已失效奖励拒绝领取</x:v>
      </x:c>
      <x:c r="H134" s="9" t="str">
        <x:v>过期校验</x:v>
      </x:c>
      <x:c r="I134" s="9" t="str">
        <x:v>1. 用户账号可用且已登录
2. 展示中的奖励实际已经超过有效期</x:v>
      </x:c>
      <x:c r="J134" s="9" t="str">
        <x:v>1. 进入福利页
2. 点击领取</x:v>
      </x:c>
      <x:c r="K134" s="9" t="str">
        <x:v>提示“奖励已失效”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来源（当前证据）：liveshow-proto/MainBasis/统一需求文档.md；位置：welfare-center.html
2. 规则：BR-1DEFEFB360AEB6
3. 未动态验证</x:v>
      </x:c>
    </x:row>
    <x:row r="135" ht="85" customHeight="1">
      <x:c r="A135" s="10" t="n">
        <x:v>134</x:v>
      </x:c>
      <x:c r="B135" s="10" t="str">
        <x:v>USER-0134</x:v>
      </x:c>
      <x:c r="C135" s="10" t="str">
        <x:v>首页与发现</x:v>
      </x:c>
      <x:c r="D135" s="10" t="str">
        <x:v>充值福利（用户）</x:v>
      </x:c>
      <x:c r="E135" s="10" t="str">
        <x:v>功能需求</x:v>
      </x:c>
      <x:c r="F135" s="10" t="str">
        <x:v>P1</x:v>
      </x:c>
      <x:c r="G135" s="9" t="str">
        <x:v>验证停用任务不回收已领奖励</x:v>
      </x:c>
      <x:c r="H135" s="9" t="str">
        <x:v>已领取奖励保留</x:v>
      </x:c>
      <x:c r="I135" s="9" t="str">
        <x:v>1. 用户账号可用且已登录
2. 原余额100，已领取奖励10，后台之后停用该任务</x:v>
      </x:c>
      <x:c r="J135" s="9" t="str">
        <x:v>1. 进入福利页
2. 查看金币余额</x:v>
      </x:c>
      <x:c r="K135" s="9" t="str">
        <x:v>金币余额仍为110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来源（当前证据）：liveshow-proto/MainBasis/统一需求文档.md；位置：welfare-center.html
2. 规则：BR-2FE084D86971EA
3. 未动态验证</x:v>
      </x:c>
    </x:row>
    <x:row r="136" ht="85" customHeight="1">
      <x:c r="A136" s="10" t="n">
        <x:v>135</x:v>
      </x:c>
      <x:c r="B136" s="10" t="str">
        <x:v>USER-0135</x:v>
      </x:c>
      <x:c r="C136" s="10" t="str">
        <x:v>首页与发现</x:v>
      </x:c>
      <x:c r="D136" s="10" t="str">
        <x:v>充值福利（运营人员）</x:v>
      </x:c>
      <x:c r="E136" s="10" t="str">
        <x:v>功能需求</x:v>
      </x:c>
      <x:c r="F136" s="10" t="str">
        <x:v>P1</x:v>
      </x:c>
      <x:c r="G136" s="9" t="str">
        <x:v>验证运营账号没有任务领奖入口</x:v>
      </x:c>
      <x:c r="H136" s="9" t="str">
        <x:v>运营福利权限</x:v>
      </x:c>
      <x:c r="I136" s="9" t="str">
        <x:v>1. 用户账号可用且已登录
2. 执行账号为运营账号</x:v>
      </x:c>
      <x:c r="J136" s="9" t="str">
        <x:v>1. 进入福利页
2. 查看福利功能</x:v>
      </x:c>
      <x:c r="K136" s="9" t="str">
        <x:v>不展示任务领奖入口</x:v>
      </x:c>
      <x:c r="L136" s="10" t="str">
        <x:v>FLOW-3751662B</x:v>
      </x:c>
      <x:c r="M136" s="10" t="str">
        <x:v>未测</x:v>
      </x:c>
      <x:c r="N136" s="10" t="str"/>
      <x:c r="O136" s="9" t="str">
        <x:v>1. 来源（当前证据）：liveshow-proto/MainBasis/统一需求文档.md；位置：welfare-center.html
2. 规则：BR-50B7E0B4542FF1
3. 未动态验证</x:v>
      </x:c>
    </x:row>
    <x:row r="137" ht="85" customHeight="1">
      <x:c r="A137" s="10" t="n">
        <x:v>136</x:v>
      </x:c>
      <x:c r="B137" s="10" t="str">
        <x:v>USER-0136</x:v>
      </x:c>
      <x:c r="C137" s="10" t="str">
        <x:v>首页与发现</x:v>
      </x:c>
      <x:c r="D137" s="10" t="str">
        <x:v>充值福利（运营人员）</x:v>
      </x:c>
      <x:c r="E137" s="10" t="str">
        <x:v>功能需求</x:v>
      </x:c>
      <x:c r="F137" s="10" t="str">
        <x:v>P1</x:v>
      </x:c>
      <x:c r="G137" s="9" t="str">
        <x:v>验证运营账号没有签到入口</x:v>
      </x:c>
      <x:c r="H137" s="9" t="str">
        <x:v>运营签到权限</x:v>
      </x:c>
      <x:c r="I137" s="9" t="str">
        <x:v>1. 用户账号可用且已登录
2. 执行账号为运营账号</x:v>
      </x:c>
      <x:c r="J137" s="9" t="str">
        <x:v>1. 进入福利页
2. 查看福利功能</x:v>
      </x:c>
      <x:c r="K137" s="9" t="str">
        <x:v>不展示签到入口</x:v>
      </x:c>
      <x:c r="L137" s="10" t="str">
        <x:v>FLOW-3751662B</x:v>
      </x:c>
      <x:c r="M137" s="10" t="str">
        <x:v>未测</x:v>
      </x:c>
      <x:c r="N137" s="10" t="str"/>
      <x:c r="O137" s="9" t="str">
        <x:v>1. 来源（当前证据）：liveshow-proto/MainBasis/统一需求文档.md；位置：welfare-center.html
2. 规则：BR-E941F64A8B3DCE
3. 未动态验证</x:v>
      </x:c>
    </x:row>
    <x:row r="138" ht="85" customHeight="1">
      <x:c r="A138" s="10" t="n">
        <x:v>137</x:v>
      </x:c>
      <x:c r="B138" s="10" t="str">
        <x:v>USER-0137</x:v>
      </x:c>
      <x:c r="C138" s="10" t="str">
        <x:v>首页与发现</x:v>
      </x:c>
      <x:c r="D138" s="10" t="str">
        <x:v>充值福利（用户）</x:v>
      </x:c>
      <x:c r="E138" s="10" t="str">
        <x:v>功能需求</x:v>
      </x:c>
      <x:c r="F138" s="10" t="str">
        <x:v>P1</x:v>
      </x:c>
      <x:c r="G138" s="9" t="str">
        <x:v>验证每日任务新周期清零</x:v>
      </x:c>
      <x:c r="H138" s="9" t="str">
        <x:v>周期进度重置</x:v>
      </x:c>
      <x:c r="I138" s="9" t="str">
        <x:v>1. 用户账号可用且已登录
2. 平台已进入已确认业务时区下的下一每日周期；上周期观看任务进度为20分钟</x:v>
      </x:c>
      <x:c r="J138" s="9" t="str">
        <x:v>1. 进入福利页
2. 查看新周期任务进度</x:v>
      </x:c>
      <x:c r="K138" s="9" t="str">
        <x:v>新周期进度为0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来源（当前证据）：liveshow-proto/MainBasis/统一需求文档.md；位置：welfare-center.html
2. 规则：BR-4FCDE5B75CACA2
3. 未动态验证</x:v>
      </x:c>
    </x:row>
    <x:row r="139" ht="85" customHeight="1">
      <x:c r="A139" s="10" t="n">
        <x:v>138</x:v>
      </x:c>
      <x:c r="B139" s="10" t="str">
        <x:v>USER-0138</x:v>
      </x:c>
      <x:c r="C139" s="10" t="str">
        <x:v>首页与发现</x:v>
      </x:c>
      <x:c r="D139" s="10" t="str">
        <x:v>充值福利（用户）</x:v>
      </x:c>
      <x:c r="E139" s="10" t="str">
        <x:v>功能需求</x:v>
      </x:c>
      <x:c r="F139" s="10" t="str">
        <x:v>P1</x:v>
      </x:c>
      <x:c r="G139" s="9" t="str">
        <x:v>验证每周任务新周期清零</x:v>
      </x:c>
      <x:c r="H139" s="9" t="str">
        <x:v>周期进度重置</x:v>
      </x:c>
      <x:c r="I139" s="9" t="str">
        <x:v>1. 用户账号可用且已登录
2. 平台已进入已确认业务时区下的下一每周周期；上周期观看任务进度为20分钟</x:v>
      </x:c>
      <x:c r="J139" s="9" t="str">
        <x:v>1. 进入福利页
2. 查看新周期任务进度</x:v>
      </x:c>
      <x:c r="K139" s="9" t="str">
        <x:v>新周期进度为0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来源（当前证据）：liveshow-proto/MainBasis/统一需求文档.md；位置：welfare-center.html
2. 规则：BR-EDDA10B489AD1C
3. 未动态验证</x:v>
      </x:c>
    </x:row>
    <x:row r="140" ht="85" customHeight="1">
      <x:c r="A140" s="10" t="n">
        <x:v>139</x:v>
      </x:c>
      <x:c r="B140" s="10" t="str">
        <x:v>USER-0139</x:v>
      </x:c>
      <x:c r="C140" s="10" t="str">
        <x:v>首页与发现</x:v>
      </x:c>
      <x:c r="D140" s="10" t="str">
        <x:v>充值福利（用户）</x:v>
      </x:c>
      <x:c r="E140" s="10" t="str">
        <x:v>功能需求</x:v>
      </x:c>
      <x:c r="F140" s="10" t="str">
        <x:v>P1</x:v>
      </x:c>
      <x:c r="G140" s="9" t="str">
        <x:v>验证每月任务新周期清零</x:v>
      </x:c>
      <x:c r="H140" s="9" t="str">
        <x:v>周期进度重置</x:v>
      </x:c>
      <x:c r="I140" s="9" t="str">
        <x:v>1. 用户账号可用且已登录
2. 平台已进入已确认业务时区下的下一每月周期；上周期观看任务进度为20分钟</x:v>
      </x:c>
      <x:c r="J140" s="9" t="str">
        <x:v>1. 进入福利页
2. 查看新周期任务进度</x:v>
      </x:c>
      <x:c r="K140" s="9" t="str">
        <x:v>新周期进度为0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来源（当前证据）：liveshow-proto/MainBasis/统一需求文档.md；位置：welfare-center.html
2. 规则：BR-0CD39E1BDCAE33
3. 未动态验证</x:v>
      </x:c>
    </x:row>
    <x:row r="141" ht="85" customHeight="1">
      <x:c r="A141" s="10" t="n">
        <x:v>140</x:v>
      </x:c>
      <x:c r="B141" s="10" t="str">
        <x:v>USER-0140</x:v>
      </x:c>
      <x:c r="C141" s="10" t="str">
        <x:v>首页与发现</x:v>
      </x:c>
      <x:c r="D141" s="10" t="str">
        <x:v>充值福利（用户）</x:v>
      </x:c>
      <x:c r="E141" s="10" t="str">
        <x:v>功能需求</x:v>
      </x:c>
      <x:c r="F141" s="10" t="str">
        <x:v>P1</x:v>
      </x:c>
      <x:c r="G141" s="9" t="str">
        <x:v>验证无周期任务跨日累计</x:v>
      </x:c>
      <x:c r="H141" s="9" t="str">
        <x:v>非周期进度</x:v>
      </x:c>
      <x:c r="I141" s="9" t="str">
        <x:v>1. 用户账号可用且已登录
2. 任务启用且有效，无周期，昨天观看20分钟、今天观看10分钟</x:v>
      </x:c>
      <x:c r="J141" s="9" t="str">
        <x:v>1. 进入福利页
2. 查看进度</x:v>
      </x:c>
      <x:c r="K141" s="9" t="str">
        <x:v>累计观看进度为30分钟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来源（当前证据）：liveshow-proto/MainBasis/统一需求文档.md；位置：welfare-center.html
2. 规则：BR-0C2B932CD60973
3. 未动态验证</x:v>
      </x:c>
    </x:row>
    <x:row r="142" ht="85" customHeight="1">
      <x:c r="A142" s="10" t="n">
        <x:v>141</x:v>
      </x:c>
      <x:c r="B142" s="10" t="str">
        <x:v>USER-0141</x:v>
      </x:c>
      <x:c r="C142" s="10" t="str">
        <x:v>首页与发现</x:v>
      </x:c>
      <x:c r="D142" s="10" t="str">
        <x:v>邀请好友（用户）</x:v>
      </x:c>
      <x:c r="E142" s="10" t="str">
        <x:v>功能需求</x:v>
      </x:c>
      <x:c r="F142" s="10" t="str">
        <x:v>P1</x:v>
      </x:c>
      <x:c r="G142" s="9" t="str">
        <x:v>验证分享动作不等同邀请成功</x:v>
      </x:c>
      <x:c r="H142" s="9" t="str">
        <x:v>邀请达成条件</x:v>
      </x:c>
      <x:c r="I142" s="9" t="str">
        <x:v>1. 用户账号可用且已登录
2. 当前成功邀请人数为0</x:v>
      </x:c>
      <x:c r="J142" s="9" t="str">
        <x:v>1. 进入邀请好友页
2. 打开分享选项
3. 选择一个分享渠道完成分享
4. 返回邀请页</x:v>
      </x:c>
      <x:c r="K142" s="9" t="str">
        <x:v>成功邀请人数仍为0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来源（当前证据）：liveshow-proto/MainBasis/统一需求文档.md；位置：invite-friends.html
2. 规则：BR-D61A37B14E4BC6
3. 未动态验证</x:v>
      </x:c>
    </x:row>
    <x:row r="143" ht="85" customHeight="1">
      <x:c r="A143" s="10" t="n">
        <x:v>142</x:v>
      </x:c>
      <x:c r="B143" s="10" t="str">
        <x:v>USER-0142</x:v>
      </x:c>
      <x:c r="C143" s="10" t="str">
        <x:v>首页与发现</x:v>
      </x:c>
      <x:c r="D143" s="10" t="str">
        <x:v>首页（用户）</x:v>
      </x:c>
      <x:c r="E143" s="10" t="str">
        <x:v>功能需求</x:v>
      </x:c>
      <x:c r="F143" s="10" t="str">
        <x:v>P1</x:v>
      </x:c>
      <x:c r="G143" s="9" t="str">
        <x:v>验证关注区仅包含关注中的在播主播</x:v>
      </x:c>
      <x:c r="H143" s="9" t="str">
        <x:v>关注直播范围</x:v>
      </x:c>
      <x:c r="I143" s="9" t="str">
        <x:v>1. 用户账号可用且已登录
2. 已关注海风和月光，海风在播月光未开播，未关注的星河也在播</x:v>
      </x:c>
      <x:c r="J143" s="9" t="str">
        <x:v>1. 进入首页
2. 查看关注区</x:v>
      </x:c>
      <x:c r="K143" s="9" t="str">
        <x:v>关注区仅包含海风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来源（当前证据）：liveshow-proto/MainBasis/统一需求文档.md；位置：live-plaza.html
2. 规则：BR-56E0CFE3657070
3. 未动态验证</x:v>
      </x:c>
    </x:row>
    <x:row r="144" ht="85" customHeight="1">
      <x:c r="A144" s="10" t="n">
        <x:v>143</x:v>
      </x:c>
      <x:c r="B144" s="10" t="str">
        <x:v>USER-0143</x:v>
      </x:c>
      <x:c r="C144" s="10" t="str">
        <x:v>首页与发现</x:v>
      </x:c>
      <x:c r="D144" s="10" t="str">
        <x:v>首页（用户）</x:v>
      </x:c>
      <x:c r="E144" s="10" t="str">
        <x:v>功能需求</x:v>
      </x:c>
      <x:c r="F144" s="10" t="str">
        <x:v>P1</x:v>
      </x:c>
      <x:c r="G144" s="9" t="str">
        <x:v>验证无人符合时隐藏关注区</x:v>
      </x:c>
      <x:c r="H144" s="9" t="str">
        <x:v>关注区空数据</x:v>
      </x:c>
      <x:c r="I144" s="9" t="str">
        <x:v>1. 用户账号可用且已登录
2. 所有关注主播均未开播</x:v>
      </x:c>
      <x:c r="J144" s="9" t="str">
        <x:v>1. 进入首页
2. 刷新首页</x:v>
      </x:c>
      <x:c r="K144" s="9" t="str">
        <x:v>不展示关注区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来源（当前证据）：liveshow-proto/MainBasis/统一需求文档.md；位置：live-plaza.html
2. 规则：BR-9659E81B8F228D
3. 未动态验证</x:v>
      </x:c>
    </x:row>
    <x:row r="145" ht="85" customHeight="1">
      <x:c r="A145" s="10" t="n">
        <x:v>144</x:v>
      </x:c>
      <x:c r="B145" s="10" t="str">
        <x:v>USER-0144</x:v>
      </x:c>
      <x:c r="C145" s="10" t="str">
        <x:v>首页与发现</x:v>
      </x:c>
      <x:c r="D145" s="10" t="str">
        <x:v>首页（用户）</x:v>
      </x:c>
      <x:c r="E145" s="10" t="str">
        <x:v>功能需求</x:v>
      </x:c>
      <x:c r="F145" s="10" t="str">
        <x:v>P1</x:v>
      </x:c>
      <x:c r="G145" s="9" t="str">
        <x:v>验证访问次数累计重复成功进房</x:v>
      </x:c>
      <x:c r="H145" s="9" t="str">
        <x:v>进房访问事件</x:v>
      </x:c>
      <x:c r="I145" s="9" t="str">
        <x:v>1. 用户账号可用且已登录
2. 海风本场访问次数0，用户已成功进入后退出2次</x:v>
      </x:c>
      <x:c r="J145" s="9" t="str">
        <x:v>1. 进入首页
2. 查看海风直播卡片</x:v>
      </x:c>
      <x:c r="K145" s="9" t="str">
        <x:v>本场访问次数为2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来源（当前证据）：liveshow-proto/MainBasis/统一需求文档.md；位置：live-plaza.html
2. 规则：BR-46BE963FC1DB22
3. 未动态验证</x:v>
      </x:c>
    </x:row>
    <x:row r="146" ht="85" customHeight="1">
      <x:c r="A146" s="10" t="n">
        <x:v>145</x:v>
      </x:c>
      <x:c r="B146" s="10" t="str">
        <x:v>USER-0145</x:v>
      </x:c>
      <x:c r="C146" s="10" t="str">
        <x:v>首页与发现</x:v>
      </x:c>
      <x:c r="D146" s="10" t="str">
        <x:v>首页（用户）</x:v>
      </x:c>
      <x:c r="E146" s="10" t="str">
        <x:v>功能需求</x:v>
      </x:c>
      <x:c r="F146" s="10" t="str">
        <x:v>P1</x:v>
      </x:c>
      <x:c r="G146" s="9" t="str">
        <x:v>验证准入失败不计访问次数</x:v>
      </x:c>
      <x:c r="H146" s="9" t="str">
        <x:v>准入失败统计</x:v>
      </x:c>
      <x:c r="I146" s="9" t="str">
        <x:v>1. 用户账号可用且已登录
2. 密码房当前访问次数2</x:v>
      </x:c>
      <x:c r="J146" s="9" t="str">
        <x:v>1. 进入首页
2. 进入该房
3. 输入错误密码
4. 提交
5. 返回首页</x:v>
      </x:c>
      <x:c r="K146" s="9" t="str">
        <x:v>本场访问次数仍为2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来源（当前证据）：liveshow-proto/MainBasis/统一需求文档.md；位置：live-plaza.html
2. 规则：BR-3880D90020D30B
3. 未动态验证</x:v>
      </x:c>
    </x:row>
    <x:row r="147" ht="85" customHeight="1">
      <x:c r="A147" s="10" t="n">
        <x:v>146</x:v>
      </x:c>
      <x:c r="B147" s="10" t="str">
        <x:v>USER-0146</x:v>
      </x:c>
      <x:c r="C147" s="10" t="str">
        <x:v>首页与发现</x:v>
      </x:c>
      <x:c r="D147" s="10" t="str">
        <x:v>首页（用户）</x:v>
      </x:c>
      <x:c r="E147" s="10" t="str">
        <x:v>功能需求</x:v>
      </x:c>
      <x:c r="F147" s="10" t="str">
        <x:v>P1</x:v>
      </x:c>
      <x:c r="G147" s="9" t="str">
        <x:v>验证新场次访问从零开始</x:v>
      </x:c>
      <x:c r="H147" s="9" t="str">
        <x:v>访问次数生命周期</x:v>
      </x:c>
      <x:c r="I147" s="9" t="str">
        <x:v>1. 用户账号可用且已登录
2. 主播结束旧场并刚创建新场，新场没有用户进入</x:v>
      </x:c>
      <x:c r="J147" s="9" t="str">
        <x:v>1. 进入首页
2. 查看该直播卡片</x:v>
      </x:c>
      <x:c r="K147" s="9" t="str">
        <x:v>新场访问次数为0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来源（当前证据）：liveshow-proto/MainBasis/统一需求文档.md；位置：live-plaza.html
2. 规则：BR-DD6F93EB20D72B
3. 未动态验证</x:v>
      </x:c>
    </x:row>
    <x:row r="148" ht="85" customHeight="1">
      <x:c r="A148" s="10" t="n">
        <x:v>147</x:v>
      </x:c>
      <x:c r="B148" s="10" t="str">
        <x:v>USER-0147</x:v>
      </x:c>
      <x:c r="C148" s="10" t="str">
        <x:v>首页与发现</x:v>
      </x:c>
      <x:c r="D148" s="10" t="str">
        <x:v>首页（用户）</x:v>
      </x:c>
      <x:c r="E148" s="10" t="str">
        <x:v>功能需求</x:v>
      </x:c>
      <x:c r="F148" s="10" t="str">
        <x:v>P1</x:v>
      </x:c>
      <x:c r="G148" s="9" t="str">
        <x:v>验证游客点击直播间先登录</x:v>
      </x:c>
      <x:c r="H148" s="9" t="str">
        <x:v>游客动作拦截</x:v>
      </x:c>
      <x:c r="I148" s="9" t="str">
        <x:v>1. 当前为游客身份</x:v>
      </x:c>
      <x:c r="J148" s="9" t="str">
        <x:v>1. 进入首页
2. 点击直播间</x:v>
      </x:c>
      <x:c r="K148" s="9" t="str">
        <x:v>进入登录页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来源（当前证据）：liveshow-proto/MainBasis/统一需求文档.md；位置：live-plaza.html
2. 规则：BR-5832B2F9CE3B96
3. 未动态验证</x:v>
      </x:c>
    </x:row>
    <x:row r="149" ht="85" customHeight="1">
      <x:c r="A149" s="10" t="n">
        <x:v>148</x:v>
      </x:c>
      <x:c r="B149" s="10" t="str">
        <x:v>USER-0148</x:v>
      </x:c>
      <x:c r="C149" s="10" t="str">
        <x:v>首页与发现</x:v>
      </x:c>
      <x:c r="D149" s="10" t="str">
        <x:v>首页（用户）</x:v>
      </x:c>
      <x:c r="E149" s="10" t="str">
        <x:v>功能需求</x:v>
      </x:c>
      <x:c r="F149" s="10" t="str">
        <x:v>P1</x:v>
      </x:c>
      <x:c r="G149" s="9" t="str">
        <x:v>验证游客点击搜索先登录</x:v>
      </x:c>
      <x:c r="H149" s="9" t="str">
        <x:v>游客动作拦截</x:v>
      </x:c>
      <x:c r="I149" s="9" t="str">
        <x:v>1. 当前为游客身份</x:v>
      </x:c>
      <x:c r="J149" s="9" t="str">
        <x:v>1. 进入首页
2. 点击搜索</x:v>
      </x:c>
      <x:c r="K149" s="9" t="str">
        <x:v>进入登录页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来源（当前证据）：liveshow-proto/MainBasis/统一需求文档.md；位置：live-plaza.html
2. 规则：BR-8F22341848B901
3. 未动态验证</x:v>
      </x:c>
    </x:row>
    <x:row r="150" ht="85" customHeight="1">
      <x:c r="A150" s="10" t="n">
        <x:v>149</x:v>
      </x:c>
      <x:c r="B150" s="10" t="str">
        <x:v>USER-0149</x:v>
      </x:c>
      <x:c r="C150" s="10" t="str">
        <x:v>首页与发现</x:v>
      </x:c>
      <x:c r="D150" s="10" t="str">
        <x:v>首页（用户）</x:v>
      </x:c>
      <x:c r="E150" s="10" t="str">
        <x:v>功能需求</x:v>
      </x:c>
      <x:c r="F150" s="10" t="str">
        <x:v>P1</x:v>
      </x:c>
      <x:c r="G150" s="9" t="str">
        <x:v>验证游客点击消息先登录</x:v>
      </x:c>
      <x:c r="H150" s="9" t="str">
        <x:v>游客动作拦截</x:v>
      </x:c>
      <x:c r="I150" s="9" t="str">
        <x:v>1. 当前为游客身份</x:v>
      </x:c>
      <x:c r="J150" s="9" t="str">
        <x:v>1. 进入首页
2. 点击消息</x:v>
      </x:c>
      <x:c r="K150" s="9" t="str">
        <x:v>进入登录页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来源（当前证据）：liveshow-proto/MainBasis/统一需求文档.md；位置：live-plaza.html
2. 规则：BR-1F14DEA68B8DF4
3. 未动态验证</x:v>
      </x:c>
    </x:row>
    <x:row r="151" ht="85" customHeight="1">
      <x:c r="A151" s="10" t="n">
        <x:v>150</x:v>
      </x:c>
      <x:c r="B151" s="10" t="str">
        <x:v>USER-0150</x:v>
      </x:c>
      <x:c r="C151" s="10" t="str">
        <x:v>首页与发现</x:v>
      </x:c>
      <x:c r="D151" s="10" t="str">
        <x:v>首页（用户）</x:v>
      </x:c>
      <x:c r="E151" s="10" t="str">
        <x:v>功能需求</x:v>
      </x:c>
      <x:c r="F151" s="10" t="str">
        <x:v>P1</x:v>
      </x:c>
      <x:c r="G151" s="9" t="str">
        <x:v>验证游客点击我的先登录</x:v>
      </x:c>
      <x:c r="H151" s="9" t="str">
        <x:v>游客动作拦截</x:v>
      </x:c>
      <x:c r="I151" s="9" t="str">
        <x:v>1. 当前为游客身份</x:v>
      </x:c>
      <x:c r="J151" s="9" t="str">
        <x:v>1. 进入首页
2. 点击我的</x:v>
      </x:c>
      <x:c r="K151" s="9" t="str">
        <x:v>进入登录页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来源（当前证据）：liveshow-proto/MainBasis/统一需求文档.md；位置：live-plaza.html
2. 规则：BR-36B5BB271E871C
3. 未动态验证</x:v>
      </x:c>
    </x:row>
    <x:row r="152" ht="85" customHeight="1">
      <x:c r="A152" s="10" t="n">
        <x:v>151</x:v>
      </x:c>
      <x:c r="B152" s="10" t="str">
        <x:v>USER-0151</x:v>
      </x:c>
      <x:c r="C152" s="10" t="str">
        <x:v>首页与发现</x:v>
      </x:c>
      <x:c r="D152" s="10" t="str">
        <x:v>首次登录通知说明（用户）</x:v>
      </x:c>
      <x:c r="E152" s="10" t="str">
        <x:v>功能需求</x:v>
      </x:c>
      <x:c r="F152" s="10" t="str">
        <x:v>P1</x:v>
      </x:c>
      <x:c r="G152" s="9" t="str">
        <x:v>验证暂不开启不请求系统通知权限</x:v>
      </x:c>
      <x:c r="H152" s="9" t="str">
        <x:v>通知说明中断</x:v>
      </x:c>
      <x:c r="I152" s="9" t="str">
        <x:v>1. 用户账号可用且已登录</x:v>
      </x:c>
      <x:c r="J152" s="9" t="str">
        <x:v>1. 首次登录后进入首页
2. 点击暂不开启</x:v>
      </x:c>
      <x:c r="K152" s="9" t="str">
        <x:v>关闭通知说明弹窗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来源（当前证据）：liveshow-proto/MainBasis/统一需求文档.md；位置：views/live-plaza/notification-intro.html
2. 规则：BR-C5DB1C17C9A018
3. 未动态验证</x:v>
      </x:c>
    </x:row>
    <x:row r="153" ht="85" customHeight="1">
      <x:c r="A153" s="10" t="n">
        <x:v>152</x:v>
      </x:c>
      <x:c r="B153" s="10" t="str">
        <x:v>USER-0152</x:v>
      </x:c>
      <x:c r="C153" s="10" t="str">
        <x:v>首页与发现</x:v>
      </x:c>
      <x:c r="D153" s="10" t="str">
        <x:v>首次登录通知说明（用户）</x:v>
      </x:c>
      <x:c r="E153" s="10" t="str">
        <x:v>功能需求</x:v>
      </x:c>
      <x:c r="F153" s="10" t="str">
        <x:v>P1</x:v>
      </x:c>
      <x:c r="G153" s="9" t="str">
        <x:v>验证选择暂不开启后不重复说明</x:v>
      </x:c>
      <x:c r="H153" s="9" t="str">
        <x:v>通知说明记录</x:v>
      </x:c>
      <x:c r="I153" s="9" t="str">
        <x:v>1. 用户账号可用且已登录
2. 已在首次说明选择暂不开启</x:v>
      </x:c>
      <x:c r="J153" s="9" t="str">
        <x:v>1. 首次登录后进入首页
2. 退出登录
3. 重新登录
4. 进入首页</x:v>
      </x:c>
      <x:c r="K153" s="9" t="str">
        <x:v>不再展示通知说明弹窗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来源（当前证据）：liveshow-proto/MainBasis/统一需求文档.md；位置：views/live-plaza/notification-intro.html
2. 规则：BR-0F9E5260E7A72A
3. 未动态验证</x:v>
      </x:c>
    </x:row>
    <x:row r="154" ht="85" customHeight="1">
      <x:c r="A154" s="10" t="n">
        <x:v>153</x:v>
      </x:c>
      <x:c r="B154" s="10" t="str">
        <x:v>USER-0153</x:v>
      </x:c>
      <x:c r="C154" s="10" t="str">
        <x:v>首页与发现</x:v>
      </x:c>
      <x:c r="D154" s="10" t="str">
        <x:v>首次登录通知说明（用户）</x:v>
      </x:c>
      <x:c r="E154" s="10" t="str">
        <x:v>功能需求</x:v>
      </x:c>
      <x:c r="F154" s="10" t="str">
        <x:v>P1</x:v>
      </x:c>
      <x:c r="G154" s="9" t="str">
        <x:v>验证开启通知进入系统授权</x:v>
      </x:c>
      <x:c r="H154" s="9" t="str">
        <x:v>系统授权入口</x:v>
      </x:c>
      <x:c r="I154" s="9" t="str">
        <x:v>1. 用户账号可用且已登录
2. 此前从未申请系统通知权限</x:v>
      </x:c>
      <x:c r="J154" s="9" t="str">
        <x:v>1. 首次登录后进入首页
2. 点击开启通知</x:v>
      </x:c>
      <x:c r="K154" s="9" t="str">
        <x:v>调起系统通知授权弹窗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来源（当前证据）：liveshow-proto/MainBasis/统一需求文档.md；位置：views/live-plaza/notification-intro.html
2. 规则：BR-8B282D5005E805
3. 未动态验证</x:v>
      </x:c>
    </x:row>
    <x:row r="155" ht="85" customHeight="1">
      <x:c r="A155" s="10" t="n">
        <x:v>154</x:v>
      </x:c>
      <x:c r="B155" s="10" t="str">
        <x:v>USER-0154</x:v>
      </x:c>
      <x:c r="C155" s="10" t="str">
        <x:v>首页与发现</x:v>
      </x:c>
      <x:c r="D155" s="10" t="str">
        <x:v>系统通知授权弹窗（用户）</x:v>
      </x:c>
      <x:c r="E155" s="10" t="str">
        <x:v>功能需求</x:v>
      </x:c>
      <x:c r="F155" s="10" t="str">
        <x:v>P1</x:v>
      </x:c>
      <x:c r="G155" s="9" t="str">
        <x:v>验证允许通知授权完成</x:v>
      </x:c>
      <x:c r="H155" s="9" t="str">
        <x:v>系统授权允许</x:v>
      </x:c>
      <x:c r="I155" s="9" t="str">
        <x:v>1. 用户账号可用且已登录
2. 系统授权弹窗已打开</x:v>
      </x:c>
      <x:c r="J155" s="9" t="str">
        <x:v>1. 首次说明点击开启通知
2. 点击允许</x:v>
      </x:c>
      <x:c r="K155" s="9" t="str">
        <x:v>系统通知权限变为允许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来源（当前证据）：liveshow-proto/MainBasis/统一需求文档.md；位置：views/live-plaza/notification-permission.html
2. 规则：BR-498653AB11AD4C
3. 未动态验证</x:v>
      </x:c>
    </x:row>
    <x:row r="156" ht="85" customHeight="1">
      <x:c r="A156" s="10" t="n">
        <x:v>155</x:v>
      </x:c>
      <x:c r="B156" s="10" t="str">
        <x:v>USER-0155</x:v>
      </x:c>
      <x:c r="C156" s="10" t="str">
        <x:v>首页与发现</x:v>
      </x:c>
      <x:c r="D156" s="10" t="str">
        <x:v>系统通知授权弹窗（用户）</x:v>
      </x:c>
      <x:c r="E156" s="10" t="str">
        <x:v>功能需求</x:v>
      </x:c>
      <x:c r="F156" s="10" t="str">
        <x:v>P1</x:v>
      </x:c>
      <x:c r="G156" s="9" t="str">
        <x:v>验证拒绝通知不影响进入首页</x:v>
      </x:c>
      <x:c r="H156" s="9" t="str">
        <x:v>系统授权拒绝</x:v>
      </x:c>
      <x:c r="I156" s="9" t="str">
        <x:v>1. 用户账号可用且已登录
2. 系统授权弹窗已打开</x:v>
      </x:c>
      <x:c r="J156" s="9" t="str">
        <x:v>1. 首次说明点击开启通知
2. 点击不允许</x:v>
      </x:c>
      <x:c r="K156" s="9" t="str">
        <x:v>仍可浏览首页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来源（当前证据）：liveshow-proto/MainBasis/统一需求文档.md；位置：views/live-plaza/notification-permission.html
2. 规则：BR-3C60F31561B3B9
3. 未动态验证</x:v>
      </x:c>
    </x:row>
    <x:row r="157" ht="85" customHeight="1">
      <x:c r="A157" s="10" t="n">
        <x:v>156</x:v>
      </x:c>
      <x:c r="B157" s="10" t="str">
        <x:v>USER-0156</x:v>
      </x:c>
      <x:c r="C157" s="10" t="str">
        <x:v>首页与发现</x:v>
      </x:c>
      <x:c r="D157" s="10" t="str">
        <x:v>首页（用户）</x:v>
      </x:c>
      <x:c r="E157" s="10" t="str">
        <x:v>功能需求</x:v>
      </x:c>
      <x:c r="F157" s="10" t="str">
        <x:v>P1</x:v>
      </x:c>
      <x:c r="G157" s="9" t="str">
        <x:v>验证搜索导航到指定页面</x:v>
      </x:c>
      <x:c r="H157" s="9" t="str">
        <x:v>页面导航</x:v>
      </x:c>
      <x:c r="I157" s="9" t="str">
        <x:v>1. 用户已登录且拥有首页访问权限</x:v>
      </x:c>
      <x:c r="J157" s="9" t="str">
        <x:v>1. 进入首页
2. 点击搜索</x:v>
      </x:c>
      <x:c r="K157" s="9" t="str">
        <x:v>进入搜索页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来源（当前证据）：liveshow-proto/MainBasis/统一需求文档.md；位置：live-plaza.html
2. 规则：BR-1AA68BF34B4F0D
3. 未动态验证</x:v>
      </x:c>
    </x:row>
    <x:row r="158" ht="85" customHeight="1">
      <x:c r="A158" s="10" t="n">
        <x:v>157</x:v>
      </x:c>
      <x:c r="B158" s="10" t="str">
        <x:v>USER-0157</x:v>
      </x:c>
      <x:c r="C158" s="10" t="str">
        <x:v>首页与发现</x:v>
      </x:c>
      <x:c r="D158" s="10" t="str">
        <x:v>搜索结果（用户）</x:v>
      </x:c>
      <x:c r="E158" s="10" t="str">
        <x:v>功能需求</x:v>
      </x:c>
      <x:c r="F158" s="10" t="str">
        <x:v>P1</x:v>
      </x:c>
      <x:c r="G158" s="9" t="str">
        <x:v>验证直播中的结果导航到指定页面</x:v>
      </x:c>
      <x:c r="H158" s="9" t="str">
        <x:v>页面导航</x:v>
      </x:c>
      <x:c r="I158" s="9" t="str">
        <x:v>1. 用户已登录且拥有搜索结果访问权限</x:v>
      </x:c>
      <x:c r="J158" s="9" t="str">
        <x:v>1. 进入搜索结果
2. 点击直播中的结果</x:v>
      </x:c>
      <x:c r="K158" s="9" t="str">
        <x:v>进入直播间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来源（当前证据）：liveshow-proto/MainBasis/统一需求文档.md；位置：search-results.html
2. 规则：BR-5828DA9EFBD035
3. 未动态验证</x:v>
      </x:c>
    </x:row>
    <x:row r="159" ht="85" customHeight="1">
      <x:c r="A159" s="10" t="n">
        <x:v>158</x:v>
      </x:c>
      <x:c r="B159" s="10" t="str">
        <x:v>USER-0158</x:v>
      </x:c>
      <x:c r="C159" s="10" t="str">
        <x:v>首页与发现</x:v>
      </x:c>
      <x:c r="D159" s="10" t="str">
        <x:v>搜索结果（用户）</x:v>
      </x:c>
      <x:c r="E159" s="10" t="str">
        <x:v>功能需求</x:v>
      </x:c>
      <x:c r="F159" s="10" t="str">
        <x:v>P1</x:v>
      </x:c>
      <x:c r="G159" s="9" t="str">
        <x:v>验证未开播主播导航到指定页面</x:v>
      </x:c>
      <x:c r="H159" s="9" t="str">
        <x:v>页面导航</x:v>
      </x:c>
      <x:c r="I159" s="9" t="str">
        <x:v>1. 用户已登录且拥有搜索结果访问权限
2. 本页存在可点击的目标记录；目标仍有效且属于当前账号可见范围</x:v>
      </x:c>
      <x:c r="J159" s="9" t="str">
        <x:v>1. 进入搜索结果
2. 点击未开播主播</x:v>
      </x:c>
      <x:c r="K159" s="9" t="str">
        <x:v>进入主播主页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来源（当前证据）：liveshow-proto/MainBasis/统一需求文档.md；位置：search-results.html
2. 规则：BR-A043DC5329DB53
3. 未动态验证</x:v>
      </x:c>
    </x:row>
    <x:row r="160" ht="85" customHeight="1">
      <x:c r="A160" s="10" t="n">
        <x:v>159</x:v>
      </x:c>
      <x:c r="B160" s="10" t="str">
        <x:v>USER-0159</x:v>
      </x:c>
      <x:c r="C160" s="10" t="str">
        <x:v>首页与发现</x:v>
      </x:c>
      <x:c r="D160" s="10" t="str">
        <x:v>全部任务（用户）</x:v>
      </x:c>
      <x:c r="E160" s="10" t="str">
        <x:v>功能需求</x:v>
      </x:c>
      <x:c r="F160" s="10" t="str">
        <x:v>P1</x:v>
      </x:c>
      <x:c r="G160" s="9" t="str">
        <x:v>验证返回导航到指定页面</x:v>
      </x:c>
      <x:c r="H160" s="9" t="str">
        <x:v>页面导航</x:v>
      </x:c>
      <x:c r="I160" s="9" t="str">
        <x:v>1. 用户已登录且拥有全部任务访问权限</x:v>
      </x:c>
      <x:c r="J160" s="9" t="str">
        <x:v>1. 进入全部任务
2. 点击返回</x:v>
      </x:c>
      <x:c r="K160" s="9" t="str">
        <x:v>回到充值福利页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来源（当前证据）：liveshow-proto/MainBasis/统一需求文档.md；位置：all-tasks.html
2. 规则：BR-4EDEFFA0CEAE13
3. 未动态验证</x:v>
      </x:c>
    </x:row>
    <x:row r="161" ht="85" customHeight="1">
      <x:c r="A161" s="10" t="n">
        <x:v>160</x:v>
      </x:c>
      <x:c r="B161" s="10" t="str">
        <x:v>USER-0160</x:v>
      </x:c>
      <x:c r="C161" s="10" t="str">
        <x:v>首页与发现</x:v>
      </x:c>
      <x:c r="D161" s="10" t="str">
        <x:v>邀请好友（用户）</x:v>
      </x:c>
      <x:c r="E161" s="10" t="str">
        <x:v>功能需求</x:v>
      </x:c>
      <x:c r="F161" s="10" t="str">
        <x:v>P1</x:v>
      </x:c>
      <x:c r="G161" s="9" t="str">
        <x:v>验证邀请好友导航到指定页面</x:v>
      </x:c>
      <x:c r="H161" s="9" t="str">
        <x:v>页面导航</x:v>
      </x:c>
      <x:c r="I161" s="9" t="str">
        <x:v>1. 用户已登录且拥有邀请好友访问权限</x:v>
      </x:c>
      <x:c r="J161" s="9" t="str">
        <x:v>1. 进入邀请好友
2. 点击邀请好友</x:v>
      </x:c>
      <x:c r="K161" s="9" t="str">
        <x:v>打开复制链接、发送给好友和保存图片选项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来源（当前证据）：liveshow-proto/MainBasis/统一需求文档.md；位置：invite-friends.html
2. 规则：BR-B3E1AEA836E629
3. 未动态验证</x:v>
      </x:c>
    </x:row>
    <x:row r="162" ht="85" customHeight="1">
      <x:c r="A162" s="10" t="n">
        <x:v>161</x:v>
      </x:c>
      <x:c r="B162" s="10" t="str">
        <x:v>USER-0161</x:v>
      </x:c>
      <x:c r="C162" s="10" t="str">
        <x:v>消息与社交</x:v>
      </x:c>
      <x:c r="D162" s="10" t="str">
        <x:v>用户主页（用户）</x:v>
      </x:c>
      <x:c r="E162" s="10" t="str">
        <x:v>功能需求</x:v>
      </x:c>
      <x:c r="F162" s="10" t="str">
        <x:v>P1</x:v>
      </x:c>
      <x:c r="G162" s="9" t="str">
        <x:v>验证关注不自动成为好友</x:v>
      </x:c>
      <x:c r="H162" s="9" t="str">
        <x:v>关注与好友独立</x:v>
      </x:c>
      <x:c r="I162" s="9" t="str">
        <x:v>1. 用户账号可用且已登录
2. 双方无好友关系</x:v>
      </x:c>
      <x:c r="J162" s="9" t="str">
        <x:v>1. 进入用户“海风”的主页
2. 点击关注</x:v>
      </x:c>
      <x:c r="K162" s="9" t="str">
        <x:v>双方仍无好友关系</x:v>
      </x:c>
      <x:c r="L162" s="10" t="str">
        <x:v>FLOW-SOCIAL</x:v>
      </x:c>
      <x:c r="M162" s="10" t="str">
        <x:v>未测</x:v>
      </x:c>
      <x:c r="N162" s="10" t="str"/>
      <x:c r="O162" s="9" t="str">
        <x:v>1. 来源（当前证据）：liveshow-proto/MainBasis/统一需求文档.md；位置：user-home.html
2. 规则：BR-6E2009C38F55C0
3. 未动态验证</x:v>
      </x:c>
    </x:row>
    <x:row r="163" ht="85" customHeight="1">
      <x:c r="A163" s="10" t="n">
        <x:v>162</x:v>
      </x:c>
      <x:c r="B163" s="10" t="str">
        <x:v>USER-0162</x:v>
      </x:c>
      <x:c r="C163" s="10" t="str">
        <x:v>消息与社交</x:v>
      </x:c>
      <x:c r="D163" s="10" t="str">
        <x:v>用户主页（用户）</x:v>
      </x:c>
      <x:c r="E163" s="10" t="str">
        <x:v>功能需求</x:v>
      </x:c>
      <x:c r="F163" s="10" t="str">
        <x:v>P1</x:v>
      </x:c>
      <x:c r="G163" s="9" t="str">
        <x:v>验证取消关注不删除好友</x:v>
      </x:c>
      <x:c r="H163" s="9" t="str">
        <x:v>关注解除边界</x:v>
      </x:c>
      <x:c r="I163" s="9" t="str">
        <x:v>1. 用户账号可用且已登录
2. 双方为好友，当前用户已关注海风</x:v>
      </x:c>
      <x:c r="J163" s="9" t="str">
        <x:v>1. 进入用户“海风”的主页
2. 点击取消关注</x:v>
      </x:c>
      <x:c r="K163" s="9" t="str">
        <x:v>双方仍为好友</x:v>
      </x:c>
      <x:c r="L163" s="10" t="str">
        <x:v>FLOW-SOCIAL</x:v>
      </x:c>
      <x:c r="M163" s="10" t="str">
        <x:v>未测</x:v>
      </x:c>
      <x:c r="N163" s="10" t="str"/>
      <x:c r="O163" s="9" t="str">
        <x:v>1. 来源（当前证据）：liveshow-proto/MainBasis/统一需求文档.md；位置：user-home.html
2. 规则：BR-73B5C2F69F7FAB
3. 未动态验证</x:v>
      </x:c>
    </x:row>
    <x:row r="164" ht="85" customHeight="1">
      <x:c r="A164" s="10" t="n">
        <x:v>163</x:v>
      </x:c>
      <x:c r="B164" s="10" t="str">
        <x:v>USER-0163</x:v>
      </x:c>
      <x:c r="C164" s="10" t="str">
        <x:v>消息与社交</x:v>
      </x:c>
      <x:c r="D164" s="10" t="str">
        <x:v>用户主页（用户）</x:v>
      </x:c>
      <x:c r="E164" s="10" t="str">
        <x:v>功能需求</x:v>
      </x:c>
      <x:c r="F164" s="10" t="str">
        <x:v>P1</x:v>
      </x:c>
      <x:c r="G164" s="9" t="str">
        <x:v>验证拉黑确认前可取消</x:v>
      </x:c>
      <x:c r="H164" s="9" t="str">
        <x:v>拉黑确认取消</x:v>
      </x:c>
      <x:c r="I164" s="9" t="str">
        <x:v>1. 用户账号可用且已登录
2. 双方为好友且互相关注</x:v>
      </x:c>
      <x:c r="J164" s="9" t="str">
        <x:v>1. 进入用户“海风”的主页
2. 点击更多
3. 点击拉黑
4. 点击取消</x:v>
      </x:c>
      <x:c r="K164" s="9" t="str">
        <x:v>双方好友关系保留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来源（当前证据）：liveshow-proto/MainBasis/统一需求文档.md；位置：user-home.html
2. 规则：BR-A60F7C231CC267
3. 未动态验证</x:v>
      </x:c>
    </x:row>
    <x:row r="165" ht="85" customHeight="1">
      <x:c r="A165" s="10" t="n">
        <x:v>164</x:v>
      </x:c>
      <x:c r="B165" s="10" t="str">
        <x:v>USER-0164</x:v>
      </x:c>
      <x:c r="C165" s="10" t="str">
        <x:v>消息与社交</x:v>
      </x:c>
      <x:c r="D165" s="10" t="str">
        <x:v>用户主页（用户）</x:v>
      </x:c>
      <x:c r="E165" s="10" t="str">
        <x:v>功能需求</x:v>
      </x:c>
      <x:c r="F165" s="10" t="str">
        <x:v>P1</x:v>
      </x:c>
      <x:c r="G165" s="9" t="str">
        <x:v>验证删除好友后清空双方聊天</x:v>
      </x:c>
      <x:c r="H165" s="9" t="str">
        <x:v>删除好友聊天后果</x:v>
      </x:c>
      <x:c r="I165" s="9" t="str">
        <x:v>1. 用户账号可用且已登录
2. 双方为好友且有私信记录</x:v>
      </x:c>
      <x:c r="J165" s="9" t="str">
        <x:v>1. 进入用户“海风”的主页
2. 点击更多
3. 点击删除好友
4. 点击确认</x:v>
      </x:c>
      <x:c r="K165" s="9" t="str">
        <x:v>双方原私信聊天记录被清空</x:v>
      </x:c>
      <x:c r="L165" s="10" t="str">
        <x:v>FLOW-SOCIAL</x:v>
      </x:c>
      <x:c r="M165" s="10" t="str">
        <x:v>未测</x:v>
      </x:c>
      <x:c r="N165" s="10" t="str"/>
      <x:c r="O165" s="9" t="str">
        <x:v>1. 来源（当前证据）：liveshow-proto/MainBasis/统一需求文档.md；位置：user-home.html、direct-message.html
2. 规则：BR-E936FF4CB6A95A
3. 未动态验证</x:v>
      </x:c>
    </x:row>
    <x:row r="166" ht="85" customHeight="1">
      <x:c r="A166" s="10" t="n">
        <x:v>165</x:v>
      </x:c>
      <x:c r="B166" s="10" t="str">
        <x:v>USER-0165</x:v>
      </x:c>
      <x:c r="C166" s="10" t="str">
        <x:v>消息与社交</x:v>
      </x:c>
      <x:c r="D166" s="10" t="str">
        <x:v>拉黑确认（用户）</x:v>
      </x:c>
      <x:c r="E166" s="10" t="str">
        <x:v>功能需求</x:v>
      </x:c>
      <x:c r="F166" s="10" t="str">
        <x:v>P1</x:v>
      </x:c>
      <x:c r="G166" s="9" t="str">
        <x:v>验证确认拉黑解除好友关系</x:v>
      </x:c>
      <x:c r="H166" s="9" t="str">
        <x:v>拉黑解除好友</x:v>
      </x:c>
      <x:c r="I166" s="9" t="str">
        <x:v>1. 用户账号可用且已登录
2. 双方原为好友</x:v>
      </x:c>
      <x:c r="J166" s="9" t="str">
        <x:v>1. 进入用户“海风”主页
2. 点击更多
3. 点击拉黑
4. 点击确认拉黑</x:v>
      </x:c>
      <x:c r="K166" s="9" t="str">
        <x:v>双方好友关系解除</x:v>
      </x:c>
      <x:c r="L166" s="10" t="str">
        <x:v>FLOW-573DFE44</x:v>
      </x:c>
      <x:c r="M166" s="10" t="str">
        <x:v>未测</x:v>
      </x:c>
      <x:c r="N166" s="10" t="str"/>
      <x:c r="O166" s="9" t="str">
        <x:v>1. 来源（当前证据）：liveshow-proto/MainBasis/统一需求文档.md；位置：views/user-home/block-confirm.html
2. 规则：BR-D0C228FBE418DD
3. 未动态验证</x:v>
      </x:c>
    </x:row>
    <x:row r="167" ht="85" customHeight="1">
      <x:c r="A167" s="10" t="n">
        <x:v>166</x:v>
      </x:c>
      <x:c r="B167" s="10" t="str">
        <x:v>USER-0166</x:v>
      </x:c>
      <x:c r="C167" s="10" t="str">
        <x:v>消息与社交</x:v>
      </x:c>
      <x:c r="D167" s="10" t="str">
        <x:v>拉黑确认（用户）</x:v>
      </x:c>
      <x:c r="E167" s="10" t="str">
        <x:v>功能需求</x:v>
      </x:c>
      <x:c r="F167" s="10" t="str">
        <x:v>P1</x:v>
      </x:c>
      <x:c r="G167" s="9" t="str">
        <x:v>验证确认拉黑解除双向关注</x:v>
      </x:c>
      <x:c r="H167" s="9" t="str">
        <x:v>拉黑解除关注</x:v>
      </x:c>
      <x:c r="I167" s="9" t="str">
        <x:v>1. 用户账号可用且已登录
2. 双方原互相关注</x:v>
      </x:c>
      <x:c r="J167" s="9" t="str">
        <x:v>1. 进入用户“海风”主页
2. 点击更多
3. 点击拉黑
4. 点击确认拉黑</x:v>
      </x:c>
      <x:c r="K167" s="9" t="str">
        <x:v>双方关注关系解除</x:v>
      </x:c>
      <x:c r="L167" s="10" t="str">
        <x:v>FLOW-573DFE44</x:v>
      </x:c>
      <x:c r="M167" s="10" t="str">
        <x:v>未测</x:v>
      </x:c>
      <x:c r="N167" s="10" t="str"/>
      <x:c r="O167" s="9" t="str">
        <x:v>1. 来源（当前证据）：liveshow-proto/MainBasis/统一需求文档.md；位置：views/user-home/block-confirm.html
2. 规则：BR-9130649A4D8691
3. 未动态验证</x:v>
      </x:c>
    </x:row>
    <x:row r="168" ht="85" customHeight="1">
      <x:c r="A168" s="10" t="n">
        <x:v>167</x:v>
      </x:c>
      <x:c r="B168" s="10" t="str">
        <x:v>USER-0167</x:v>
      </x:c>
      <x:c r="C168" s="10" t="str">
        <x:v>消息与社交</x:v>
      </x:c>
      <x:c r="D168" s="10" t="str">
        <x:v>拉黑确认（用户）</x:v>
      </x:c>
      <x:c r="E168" s="10" t="str">
        <x:v>功能需求</x:v>
      </x:c>
      <x:c r="F168" s="10" t="str">
        <x:v>P1</x:v>
      </x:c>
      <x:c r="G168" s="9" t="str">
        <x:v>验证确认拉黑使好友申请失效</x:v>
      </x:c>
      <x:c r="H168" s="9" t="str">
        <x:v>拉黑申请失效</x:v>
      </x:c>
      <x:c r="I168" s="9" t="str">
        <x:v>1. 用户账号可用且已登录
2. 双方存在一笔待处理好友申请</x:v>
      </x:c>
      <x:c r="J168" s="9" t="str">
        <x:v>1. 进入用户“海风”主页
2. 点击更多
3. 点击拉黑
4. 点击确认拉黑</x:v>
      </x:c>
      <x:c r="K168" s="9" t="str">
        <x:v>该好友申请变为失效</x:v>
      </x:c>
      <x:c r="L168" s="10" t="str">
        <x:v>FLOW-573DFE44</x:v>
      </x:c>
      <x:c r="M168" s="10" t="str">
        <x:v>未测</x:v>
      </x:c>
      <x:c r="N168" s="10" t="str"/>
      <x:c r="O168" s="9" t="str">
        <x:v>1. 来源（当前证据）：liveshow-proto/MainBasis/统一需求文档.md；位置：views/user-home/block-confirm.html
2. 规则：BR-98AEE29148D60D
3. 未动态验证</x:v>
      </x:c>
    </x:row>
    <x:row r="169" ht="85" customHeight="1">
      <x:c r="A169" s="10" t="n">
        <x:v>168</x:v>
      </x:c>
      <x:c r="B169" s="10" t="str">
        <x:v>USER-0168</x:v>
      </x:c>
      <x:c r="C169" s="10" t="str">
        <x:v>消息与社交</x:v>
      </x:c>
      <x:c r="D169" s="10" t="str">
        <x:v>拉黑确认（用户）</x:v>
      </x:c>
      <x:c r="E169" s="10" t="str">
        <x:v>功能需求</x:v>
      </x:c>
      <x:c r="F169" s="10" t="str">
        <x:v>P1</x:v>
      </x:c>
      <x:c r="G169" s="9" t="str">
        <x:v>验证确认拉黑关闭对应粉丝团权限</x:v>
      </x:c>
      <x:c r="H169" s="9" t="str">
        <x:v>拉黑解除团籍</x:v>
      </x:c>
      <x:c r="I169" s="9" t="str">
        <x:v>1. 用户账号可用且已登录
2. 海风为主播，当前用户在其粉丝团内</x:v>
      </x:c>
      <x:c r="J169" s="9" t="str">
        <x:v>1. 进入用户“海风”主页
2. 点击更多
3. 点击拉黑
4. 点击确认拉黑</x:v>
      </x:c>
      <x:c r="K169" s="9" t="str">
        <x:v>当前用户不再具备海风粉丝群访问权限</x:v>
      </x:c>
      <x:c r="L169" s="10" t="str">
        <x:v>FLOW-573DFE44</x:v>
      </x:c>
      <x:c r="M169" s="10" t="str">
        <x:v>未测</x:v>
      </x:c>
      <x:c r="N169" s="10" t="str"/>
      <x:c r="O169" s="9" t="str">
        <x:v>1. 来源（当前证据）：liveshow-proto/MainBasis/统一需求文档.md；位置：views/user-home/block-confirm.html
2. 规则：BR-17379D2DCC8D94
3. 未动态验证</x:v>
      </x:c>
    </x:row>
    <x:row r="170" ht="85" customHeight="1">
      <x:c r="A170" s="10" t="n">
        <x:v>169</x:v>
      </x:c>
      <x:c r="B170" s="10" t="str">
        <x:v>USER-0169</x:v>
      </x:c>
      <x:c r="C170" s="10" t="str">
        <x:v>消息与社交</x:v>
      </x:c>
      <x:c r="D170" s="10" t="str">
        <x:v>互动通知（用户）</x:v>
      </x:c>
      <x:c r="E170" s="10" t="str">
        <x:v>功能需求</x:v>
      </x:c>
      <x:c r="F170" s="10" t="str">
        <x:v>P1</x:v>
      </x:c>
      <x:c r="G170" s="9" t="str">
        <x:v>验证接受好友申请建立双向好友</x:v>
      </x:c>
      <x:c r="H170" s="9" t="str">
        <x:v>好友申请通过</x:v>
      </x:c>
      <x:c r="I170" s="9" t="str">
        <x:v>1. 用户账号可用且已登录
2. 海风向当前用户发送一笔待处理申请</x:v>
      </x:c>
      <x:c r="J170" s="9" t="str">
        <x:v>1. 进入互动通知页
2. 点击该申请的同意</x:v>
      </x:c>
      <x:c r="K170" s="9" t="str">
        <x:v>双方成为好友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来源（当前证据）：liveshow-proto/MainBasis/统一需求文档.md；位置：interaction-notifications.html
2. 规则：BR-8E0A209F97FA43
3. 未动态验证</x:v>
      </x:c>
    </x:row>
    <x:row r="171" ht="85" customHeight="1">
      <x:c r="A171" s="10" t="n">
        <x:v>170</x:v>
      </x:c>
      <x:c r="B171" s="10" t="str">
        <x:v>USER-0170</x:v>
      </x:c>
      <x:c r="C171" s="10" t="str">
        <x:v>消息与社交</x:v>
      </x:c>
      <x:c r="D171" s="10" t="str">
        <x:v>互动通知（用户）</x:v>
      </x:c>
      <x:c r="E171" s="10" t="str">
        <x:v>功能需求</x:v>
      </x:c>
      <x:c r="F171" s="10" t="str">
        <x:v>P1</x:v>
      </x:c>
      <x:c r="G171" s="9" t="str">
        <x:v>验证拒绝好友申请不建立关系</x:v>
      </x:c>
      <x:c r="H171" s="9" t="str">
        <x:v>好友申请拒绝</x:v>
      </x:c>
      <x:c r="I171" s="9" t="str">
        <x:v>1. 用户账号可用且已登录
2. 双方非好友，存在海风发出的待处理申请</x:v>
      </x:c>
      <x:c r="J171" s="9" t="str">
        <x:v>1. 进入互动通知页
2. 点击该申请的拒绝</x:v>
      </x:c>
      <x:c r="K171" s="9" t="str">
        <x:v>双方仍非好友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来源（当前证据）：liveshow-proto/MainBasis/统一需求文档.md；位置：interaction-notifications.html
2. 规则：BR-353A385B3AC083
3. 未动态验证</x:v>
      </x:c>
    </x:row>
    <x:row r="172" ht="85" customHeight="1">
      <x:c r="A172" s="10" t="n">
        <x:v>171</x:v>
      </x:c>
      <x:c r="B172" s="10" t="str">
        <x:v>USER-0171</x:v>
      </x:c>
      <x:c r="C172" s="10" t="str">
        <x:v>消息与社交</x:v>
      </x:c>
      <x:c r="D172" s="10" t="str">
        <x:v>互动通知（用户）</x:v>
      </x:c>
      <x:c r="E172" s="10" t="str">
        <x:v>功能需求</x:v>
      </x:c>
      <x:c r="F172" s="10" t="str">
        <x:v>P1</x:v>
      </x:c>
      <x:c r="G172" s="9" t="str">
        <x:v>验证已处理申请不再显示处理按钮</x:v>
      </x:c>
      <x:c r="H172" s="9" t="str">
        <x:v>申请处理终态</x:v>
      </x:c>
      <x:c r="I172" s="9" t="str">
        <x:v>1. 用户账号可用且已登录
2. 申请已被同意</x:v>
      </x:c>
      <x:c r="J172" s="9" t="str">
        <x:v>1. 进入互动通知页
2. 查看该申请通知</x:v>
      </x:c>
      <x:c r="K172" s="9" t="str">
        <x:v>通知不再提供同意或拒绝按钮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来源（当前证据）：liveshow-proto/MainBasis/统一需求文档.md；位置：interaction-notifications.html
2. 规则：BR-46958C5A12CDC4
3. 未动态验证</x:v>
      </x:c>
    </x:row>
    <x:row r="173" ht="85" customHeight="1">
      <x:c r="A173" s="10" t="n">
        <x:v>172</x:v>
      </x:c>
      <x:c r="B173" s="10" t="str">
        <x:v>USER-0172</x:v>
      </x:c>
      <x:c r="C173" s="10" t="str">
        <x:v>消息与社交</x:v>
      </x:c>
      <x:c r="D173" s="10" t="str">
        <x:v>互动通知（用户）</x:v>
      </x:c>
      <x:c r="E173" s="10" t="str">
        <x:v>功能需求</x:v>
      </x:c>
      <x:c r="F173" s="10" t="str">
        <x:v>P1</x:v>
      </x:c>
      <x:c r="G173" s="9" t="str">
        <x:v>验证拉黑失效申请不再可处理</x:v>
      </x:c>
      <x:c r="H173" s="9" t="str">
        <x:v>申请失效终态</x:v>
      </x:c>
      <x:c r="I173" s="9" t="str">
        <x:v>1. 用户账号可用且已登录
2. 申请待处理期间任一方已拉黑对方</x:v>
      </x:c>
      <x:c r="J173" s="9" t="str">
        <x:v>1. 进入互动通知页
2. 查看该申请通知</x:v>
      </x:c>
      <x:c r="K173" s="9" t="str">
        <x:v>通知不提供同意或拒绝按钮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来源（当前证据）：liveshow-proto/MainBasis/统一需求文档.md；位置：interaction-notifications.html
2. 规则：BR-E8FBE1CDCF7122
3. 未动态验证</x:v>
      </x:c>
    </x:row>
    <x:row r="174" ht="85" customHeight="1">
      <x:c r="A174" s="10" t="n">
        <x:v>173</x:v>
      </x:c>
      <x:c r="B174" s="10" t="str">
        <x:v>USER-0173</x:v>
      </x:c>
      <x:c r="C174" s="10" t="str">
        <x:v>消息与社交</x:v>
      </x:c>
      <x:c r="D174" s="10" t="str">
        <x:v>1 对 1 私信（用户）</x:v>
      </x:c>
      <x:c r="E174" s="10" t="str">
        <x:v>功能需求</x:v>
      </x:c>
      <x:c r="F174" s="10" t="str">
        <x:v>P1</x:v>
      </x:c>
      <x:c r="G174" s="9" t="str">
        <x:v>验证非好友第三条私信可发送</x:v>
      </x:c>
      <x:c r="H174" s="9" t="str">
        <x:v>陌生人允许边界</x:v>
      </x:c>
      <x:c r="I174" s="9" t="str">
        <x:v>1. 用户账号可用且已登录
2. 双方非好友且无拉黑，当前用户已成功发送 2 条</x:v>
      </x:c>
      <x:c r="J174" s="9" t="str">
        <x:v>1. 进入与海风的私信会话
2. 发送文本“今晚好”</x:v>
      </x:c>
      <x:c r="K174" s="9" t="str">
        <x:v>本次文本消息发送成功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来源（当前证据）：liveshow-proto/MainBasis/统一需求文档.md；位置：direct-message.html
2. 规则：BR-D1E7BC2C58137A
3. 未动态验证</x:v>
      </x:c>
    </x:row>
    <x:row r="175" ht="85" customHeight="1">
      <x:c r="A175" s="10" t="n">
        <x:v>174</x:v>
      </x:c>
      <x:c r="B175" s="10" t="str">
        <x:v>USER-0174</x:v>
      </x:c>
      <x:c r="C175" s="10" t="str">
        <x:v>消息与社交</x:v>
      </x:c>
      <x:c r="D175" s="10" t="str">
        <x:v>1 对 1 私信（用户）</x:v>
      </x:c>
      <x:c r="E175" s="10" t="str">
        <x:v>功能需求</x:v>
      </x:c>
      <x:c r="F175" s="10" t="str">
        <x:v>P1</x:v>
      </x:c>
      <x:c r="G175" s="9" t="str">
        <x:v>验证非好友第四条私信被限制</x:v>
      </x:c>
      <x:c r="H175" s="9" t="str">
        <x:v>陌生人发送上限</x:v>
      </x:c>
      <x:c r="I175" s="9" t="str">
        <x:v>1. 用户账号可用且已登录
2. 双方非好友且无拉黑，当前用户已成功发送 3 条</x:v>
      </x:c>
      <x:c r="J175" s="9" t="str">
        <x:v>1. 进入与海风的私信会话
2. 发送文本“今晚好”</x:v>
      </x:c>
      <x:c r="K175" s="9" t="str">
        <x:v>提示“非好友最多发送三条”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来源（当前证据）：liveshow-proto/MainBasis/统一需求文档.md；位置：direct-message.html
2. 规则：BR-59D175C9FEE31F
3. 未动态验证</x:v>
      </x:c>
    </x:row>
    <x:row r="176" ht="85" customHeight="1">
      <x:c r="A176" s="10" t="n">
        <x:v>175</x:v>
      </x:c>
      <x:c r="B176" s="10" t="str">
        <x:v>USER-0175</x:v>
      </x:c>
      <x:c r="C176" s="10" t="str">
        <x:v>消息与社交</x:v>
      </x:c>
      <x:c r="D176" s="10" t="str">
        <x:v>1 对 1 私信（用户）</x:v>
      </x:c>
      <x:c r="E176" s="10" t="str">
        <x:v>功能需求</x:v>
      </x:c>
      <x:c r="F176" s="10" t="str">
        <x:v>P1</x:v>
      </x:c>
      <x:c r="G176" s="9" t="str">
        <x:v>验证非好友双方独立计数</x:v>
      </x:c>
      <x:c r="H176" s="9" t="str">
        <x:v>双向发送计数</x:v>
      </x:c>
      <x:c r="I176" s="9" t="str">
        <x:v>1. 用户账号可用且已登录
2. 当前用户已发送 3 条，海风尚未发消息，海风为本条执行账号</x:v>
      </x:c>
      <x:c r="J176" s="9" t="str">
        <x:v>1. 进入与海风的私信会话
2. 发送文本“你好”</x:v>
      </x:c>
      <x:c r="K176" s="9" t="str">
        <x:v>海风的第 1 条消息发送成功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来源（当前证据）：liveshow-proto/MainBasis/统一需求文档.md；位置：direct-message.html
2. 规则：BR-9259ECD21F3C0F
3. 未动态验证</x:v>
      </x:c>
    </x:row>
    <x:row r="177" ht="85" customHeight="1">
      <x:c r="A177" s="10" t="n">
        <x:v>176</x:v>
      </x:c>
      <x:c r="B177" s="10" t="str">
        <x:v>USER-0176</x:v>
      </x:c>
      <x:c r="C177" s="10" t="str">
        <x:v>消息与社交</x:v>
      </x:c>
      <x:c r="D177" s="10" t="str">
        <x:v>1 对 1 私信（用户）</x:v>
      </x:c>
      <x:c r="E177" s="10" t="str">
        <x:v>功能需求</x:v>
      </x:c>
      <x:c r="F177" s="10" t="str">
        <x:v>P1</x:v>
      </x:c>
      <x:c r="G177" s="9" t="str">
        <x:v>验证好友不受三条上限影响</x:v>
      </x:c>
      <x:c r="H177" s="9" t="str">
        <x:v>好友持续发送</x:v>
      </x:c>
      <x:c r="I177" s="9" t="str">
        <x:v>1. 用户账号可用且已登录
2. 双方已为好友，当前用户已成功发送 3 条</x:v>
      </x:c>
      <x:c r="J177" s="9" t="str">
        <x:v>1. 进入与海风的私信会话
2. 发送文本“第4条问候”</x:v>
      </x:c>
      <x:c r="K177" s="9" t="str">
        <x:v>本次文本消息发送成功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来源（当前证据）：liveshow-proto/MainBasis/统一需求文档.md；位置：direct-message.html
2. 规则：BR-6A70904862C11C
3. 未动态验证</x:v>
      </x:c>
    </x:row>
    <x:row r="178" ht="85" customHeight="1">
      <x:c r="A178" s="10" t="n">
        <x:v>177</x:v>
      </x:c>
      <x:c r="B178" s="10" t="str">
        <x:v>USER-0177</x:v>
      </x:c>
      <x:c r="C178" s="10" t="str">
        <x:v>消息与社交</x:v>
      </x:c>
      <x:c r="D178" s="10" t="str">
        <x:v>1 对 1 私信（用户）</x:v>
      </x:c>
      <x:c r="E178" s="10" t="str">
        <x:v>功能需求</x:v>
      </x:c>
      <x:c r="F178" s="10" t="str">
        <x:v>P1</x:v>
      </x:c>
      <x:c r="G178" s="9" t="str">
        <x:v>验证拉黑后文本拒收</x:v>
      </x:c>
      <x:c r="H178" s="9" t="str">
        <x:v>拉黑消息反馈</x:v>
      </x:c>
      <x:c r="I178" s="9" t="str">
        <x:v>1. 用户账号可用且已登录
2. 双方任一方拉黑对方</x:v>
      </x:c>
      <x:c r="J178" s="9" t="str">
        <x:v>1. 进入与海风的私信会话
2. 发送文本“你好”</x:v>
      </x:c>
      <x:c r="K178" s="9" t="str">
        <x:v>消息旁显示“消息发送失败，对方拒收”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来源（当前证据）：liveshow-proto/MainBasis/统一需求文档.md；位置：direct-message.html
2. 规则：BR-EFEF1F173025BD
3. 未动态验证</x:v>
      </x:c>
    </x:row>
    <x:row r="179" ht="85" customHeight="1">
      <x:c r="A179" s="10" t="n">
        <x:v>178</x:v>
      </x:c>
      <x:c r="B179" s="10" t="str">
        <x:v>USER-0178</x:v>
      </x:c>
      <x:c r="C179" s="10" t="str">
        <x:v>消息与社交</x:v>
      </x:c>
      <x:c r="D179" s="10" t="str">
        <x:v>1 对 1 私信（用户）</x:v>
      </x:c>
      <x:c r="E179" s="10" t="str">
        <x:v>功能需求</x:v>
      </x:c>
      <x:c r="F179" s="10" t="str">
        <x:v>P1</x:v>
      </x:c>
      <x:c r="G179" s="9" t="str">
        <x:v>验证拉黑后图片拒收</x:v>
      </x:c>
      <x:c r="H179" s="9" t="str">
        <x:v>图片消息权限</x:v>
      </x:c>
      <x:c r="I179" s="9" t="str">
        <x:v>1. 用户账号可用且已登录
2. 双方任一方拉黑对方</x:v>
      </x:c>
      <x:c r="J179" s="9" t="str">
        <x:v>1. 进入与海风的私信会话
2. 发送一张已准备的图片</x:v>
      </x:c>
      <x:c r="K179" s="9" t="str">
        <x:v>消息旁显示“消息发送失败，对方拒收”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来源（当前证据）：liveshow-proto/MainBasis/统一需求文档.md；位置：direct-message.html
2. 规则：BR-9481A387A5201D
3. 未动态验证</x:v>
      </x:c>
    </x:row>
    <x:row r="180" ht="85" customHeight="1">
      <x:c r="A180" s="10" t="n">
        <x:v>179</x:v>
      </x:c>
      <x:c r="B180" s="10" t="str">
        <x:v>USER-0179</x:v>
      </x:c>
      <x:c r="C180" s="10" t="str">
        <x:v>消息与社交</x:v>
      </x:c>
      <x:c r="D180" s="10" t="str">
        <x:v>1 对 1 私信（用户）</x:v>
      </x:c>
      <x:c r="E180" s="10" t="str">
        <x:v>功能需求</x:v>
      </x:c>
      <x:c r="F180" s="10" t="str">
        <x:v>P1</x:v>
      </x:c>
      <x:c r="G180" s="9" t="str">
        <x:v>验证拉黑后语音拒收</x:v>
      </x:c>
      <x:c r="H180" s="9" t="str">
        <x:v>语音消息权限</x:v>
      </x:c>
      <x:c r="I180" s="9" t="str">
        <x:v>1. 用户账号可用且已登录
2. 双方任一方拉黑对方</x:v>
      </x:c>
      <x:c r="J180" s="9" t="str">
        <x:v>1. 进入与海风的私信会话
2. 发送一段已录制的语音</x:v>
      </x:c>
      <x:c r="K180" s="9" t="str">
        <x:v>消息旁显示“消息发送失败，对方拒收”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来源（当前证据）：liveshow-proto/MainBasis/统一需求文档.md；位置：direct-message.html
2. 规则：BR-6CAE1ABB46F003
3. 未动态验证</x:v>
      </x:c>
    </x:row>
    <x:row r="181" ht="85" customHeight="1">
      <x:c r="A181" s="10" t="n">
        <x:v>180</x:v>
      </x:c>
      <x:c r="B181" s="10" t="str">
        <x:v>USER-0180</x:v>
      </x:c>
      <x:c r="C181" s="10" t="str">
        <x:v>消息与社交</x:v>
      </x:c>
      <x:c r="D181" s="10" t="str">
        <x:v>1 对 1 私信（用户）</x:v>
      </x:c>
      <x:c r="E181" s="10" t="str">
        <x:v>功能需求</x:v>
      </x:c>
      <x:c r="F181" s="10" t="str">
        <x:v>P1</x:v>
      </x:c>
      <x:c r="G181" s="9" t="str">
        <x:v>验证发送失败保留可重试内容</x:v>
      </x:c>
      <x:c r="H181" s="9" t="str">
        <x:v>失败消息保留</x:v>
      </x:c>
      <x:c r="I181" s="9" t="str">
        <x:v>1. 用户账号可用且已登录
2. 双方为好友，本次请求返回失败</x:v>
      </x:c>
      <x:c r="J181" s="9" t="str">
        <x:v>1. 进入与海风的私信会话
2. 发送文本“今晚好”</x:v>
      </x:c>
      <x:c r="K181" s="9" t="str">
        <x:v>失败消息保留原文本“今晚好”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来源（当前证据）：liveshow-proto/MainBasis/统一需求文档.md；位置：direct-message.html
2. 规则：BR-1ADB23932812B9
3. 未动态验证</x:v>
      </x:c>
    </x:row>
    <x:row r="182" ht="85" customHeight="1">
      <x:c r="A182" s="10" t="n">
        <x:v>181</x:v>
      </x:c>
      <x:c r="B182" s="10" t="str">
        <x:v>USER-0181</x:v>
      </x:c>
      <x:c r="C182" s="10" t="str">
        <x:v>消息与社交</x:v>
      </x:c>
      <x:c r="D182" s="10" t="str">
        <x:v>1 对 1 私信（用户）</x:v>
      </x:c>
      <x:c r="E182" s="10" t="str">
        <x:v>功能需求</x:v>
      </x:c>
      <x:c r="F182" s="10" t="str">
        <x:v>P1</x:v>
      </x:c>
      <x:c r="G182" s="9" t="str">
        <x:v>验证点击失败图标重试</x:v>
      </x:c>
      <x:c r="H182" s="9" t="str">
        <x:v>消息重试入口</x:v>
      </x:c>
      <x:c r="I182" s="9" t="str">
        <x:v>1. 用户账号可用且已登录
2. 双方为好友，已有一条失败消息，网络已恢复</x:v>
      </x:c>
      <x:c r="J182" s="9" t="str">
        <x:v>1. 进入与海风的私信会话
2. 点击该消息的失败图标</x:v>
      </x:c>
      <x:c r="K182" s="9" t="str">
        <x:v>重试发送原失败消息内容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来源（当前证据）：liveshow-proto/MainBasis/统一需求文档.md；位置：direct-message.html
2. 规则：BR-876121A4CD0EDD
3. 未动态验证</x:v>
      </x:c>
    </x:row>
    <x:row r="183" ht="85" customHeight="1">
      <x:c r="A183" s="10" t="n">
        <x:v>182</x:v>
      </x:c>
      <x:c r="B183" s="10" t="str">
        <x:v>USER-0182</x:v>
      </x:c>
      <x:c r="C183" s="10" t="str">
        <x:v>消息与社交</x:v>
      </x:c>
      <x:c r="D183" s="10" t="str">
        <x:v>1 对 1 私信（用户）</x:v>
      </x:c>
      <x:c r="E183" s="10" t="str">
        <x:v>功能需求</x:v>
      </x:c>
      <x:c r="F183" s="10" t="str">
        <x:v>P1</x:v>
      </x:c>
      <x:c r="G183" s="9" t="str">
        <x:v>验证对方进入会话后的已读状态</x:v>
      </x:c>
      <x:c r="H183" s="9" t="str">
        <x:v>私信已读</x:v>
      </x:c>
      <x:c r="I183" s="9" t="str">
        <x:v>1. 用户账号可用且已登录
2. 双方为好友，海风将进入会话阅读本次消息</x:v>
      </x:c>
      <x:c r="J183" s="9" t="str">
        <x:v>1. 进入与海风的私信会话
2. 发送文本“请查看”</x:v>
      </x:c>
      <x:c r="K183" s="9" t="str">
        <x:v>海风进入会话后该消息显示已读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来源（当前证据）：liveshow-proto/MainBasis/统一需求文档.md；位置：direct-message.html
2. 规则：BR-6FF388E5D4F94C
3. 未动态验证</x:v>
      </x:c>
    </x:row>
    <x:row r="184" ht="85" customHeight="1">
      <x:c r="A184" s="10" t="n">
        <x:v>183</x:v>
      </x:c>
      <x:c r="B184" s="10" t="str">
        <x:v>USER-0183</x:v>
      </x:c>
      <x:c r="C184" s="10" t="str">
        <x:v>消息与社交</x:v>
      </x:c>
      <x:c r="D184" s="10" t="str">
        <x:v>单聊设置（用户）</x:v>
      </x:c>
      <x:c r="E184" s="10" t="str">
        <x:v>功能需求</x:v>
      </x:c>
      <x:c r="F184" s="10" t="str">
        <x:v>P1</x:v>
      </x:c>
      <x:c r="G184" s="9" t="str">
        <x:v>验证私信免打扰不阻断消息接收</x:v>
      </x:c>
      <x:c r="H184" s="9" t="str">
        <x:v>会话免打扰</x:v>
      </x:c>
      <x:c r="I184" s="9" t="str">
        <x:v>1. 用户账号可用且已登录
2. 双方为好友，海风将发送一条消息</x:v>
      </x:c>
      <x:c r="J184" s="9" t="str">
        <x:v>1. 进入与海风的聊天设置
2. 点击消息免打扰开关使其开启</x:v>
      </x:c>
      <x:c r="K184" s="9" t="str">
        <x:v>本会话仍接收海风的新消息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来源（当前证据）：liveshow-proto/MainBasis/统一需求文档.md；位置：chat-settings.html
2. 规则：BR-04292C167B63EE
3. 未动态验证</x:v>
      </x:c>
    </x:row>
    <x:row r="185" ht="85" customHeight="1">
      <x:c r="A185" s="10" t="n">
        <x:v>184</x:v>
      </x:c>
      <x:c r="B185" s="10" t="str">
        <x:v>USER-0184</x:v>
      </x:c>
      <x:c r="C185" s="10" t="str">
        <x:v>消息与社交</x:v>
      </x:c>
      <x:c r="D185" s="10" t="str">
        <x:v>好友列表（用户）</x:v>
      </x:c>
      <x:c r="E185" s="10" t="str">
        <x:v>功能需求</x:v>
      </x:c>
      <x:c r="F185" s="10" t="str">
        <x:v>P1</x:v>
      </x:c>
      <x:c r="G185" s="9" t="str">
        <x:v>验证好友昵称搜索仅匹配已有关系</x:v>
      </x:c>
      <x:c r="H185" s="9" t="str">
        <x:v>关系内检索</x:v>
      </x:c>
      <x:c r="I185" s="9" t="str">
        <x:v>1. 用户账号可用且已登录
2. 当前关系中有海风、晨光两人，平台另有无该关系的海风账号</x:v>
      </x:c>
      <x:c r="J185" s="9" t="str">
        <x:v>1. 进入好友列表页
2. 输入搜索词海风</x:v>
      </x:c>
      <x:c r="K185" s="9" t="str">
        <x:v>搜索结果只包含关系内的海风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来源（当前证据）：liveshow-proto/MainBasis/统一需求文档.md；位置：friend-list.html
2. 规则：BR-AFCB7303A77CB1
3. 未动态验证</x:v>
      </x:c>
    </x:row>
    <x:row r="186" ht="85" customHeight="1">
      <x:c r="A186" s="10" t="n">
        <x:v>185</x:v>
      </x:c>
      <x:c r="B186" s="10" t="str">
        <x:v>USER-0185</x:v>
      </x:c>
      <x:c r="C186" s="10" t="str">
        <x:v>消息与社交</x:v>
      </x:c>
      <x:c r="D186" s="10" t="str">
        <x:v>好友列表（用户）</x:v>
      </x:c>
      <x:c r="E186" s="10" t="str">
        <x:v>功能需求</x:v>
      </x:c>
      <x:c r="F186" s="10" t="str">
        <x:v>P1</x:v>
      </x:c>
      <x:c r="G186" s="9" t="str">
        <x:v>验证好友搜索无匹配结果</x:v>
      </x:c>
      <x:c r="H186" s="9" t="str">
        <x:v>搜索空态</x:v>
      </x:c>
      <x:c r="I186" s="9" t="str">
        <x:v>1. 用户账号可用且已登录
2. 当前关系中没有昵称含“远山”的账号</x:v>
      </x:c>
      <x:c r="J186" s="9" t="str">
        <x:v>1. 进入好友列表页
2. 输入搜索词远山</x:v>
      </x:c>
      <x:c r="K186" s="9" t="str">
        <x:v>显示无匹配结果的空状态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来源（当前证据）：liveshow-proto/MainBasis/统一需求文档.md；位置：friend-list.html
2. 规则：BR-236F5B7FBB22B9
3. 未动态验证</x:v>
      </x:c>
    </x:row>
    <x:row r="187" ht="85" customHeight="1">
      <x:c r="A187" s="10" t="n">
        <x:v>186</x:v>
      </x:c>
      <x:c r="B187" s="10" t="str">
        <x:v>USER-0186</x:v>
      </x:c>
      <x:c r="C187" s="10" t="str">
        <x:v>消息与社交</x:v>
      </x:c>
      <x:c r="D187" s="10" t="str">
        <x:v>粉丝列表（用户）</x:v>
      </x:c>
      <x:c r="E187" s="10" t="str">
        <x:v>功能需求</x:v>
      </x:c>
      <x:c r="F187" s="10" t="str">
        <x:v>P1</x:v>
      </x:c>
      <x:c r="G187" s="9" t="str">
        <x:v>验证粉丝昵称搜索仅匹配已有关系</x:v>
      </x:c>
      <x:c r="H187" s="9" t="str">
        <x:v>关系内检索</x:v>
      </x:c>
      <x:c r="I187" s="9" t="str">
        <x:v>1. 用户账号可用且已登录
2. 当前关系中有海风、晨光两人，平台另有无该关系的海风账号</x:v>
      </x:c>
      <x:c r="J187" s="9" t="str">
        <x:v>1. 进入粉丝列表页
2. 输入搜索词海风</x:v>
      </x:c>
      <x:c r="K187" s="9" t="str">
        <x:v>搜索结果只包含关系内的海风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来源（当前证据）：liveshow-proto/MainBasis/统一需求文档.md；位置：follower-list.html
2. 规则：BR-53D8F249ECD937
3. 未动态验证</x:v>
      </x:c>
    </x:row>
    <x:row r="188" ht="85" customHeight="1">
      <x:c r="A188" s="10" t="n">
        <x:v>187</x:v>
      </x:c>
      <x:c r="B188" s="10" t="str">
        <x:v>USER-0187</x:v>
      </x:c>
      <x:c r="C188" s="10" t="str">
        <x:v>消息与社交</x:v>
      </x:c>
      <x:c r="D188" s="10" t="str">
        <x:v>粉丝列表（用户）</x:v>
      </x:c>
      <x:c r="E188" s="10" t="str">
        <x:v>功能需求</x:v>
      </x:c>
      <x:c r="F188" s="10" t="str">
        <x:v>P1</x:v>
      </x:c>
      <x:c r="G188" s="9" t="str">
        <x:v>验证粉丝搜索无匹配结果</x:v>
      </x:c>
      <x:c r="H188" s="9" t="str">
        <x:v>搜索空态</x:v>
      </x:c>
      <x:c r="I188" s="9" t="str">
        <x:v>1. 用户账号可用且已登录
2. 当前关系中没有昵称含“远山”的账号</x:v>
      </x:c>
      <x:c r="J188" s="9" t="str">
        <x:v>1. 进入粉丝列表页
2. 输入搜索词远山</x:v>
      </x:c>
      <x:c r="K188" s="9" t="str">
        <x:v>显示无匹配结果的空状态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来源（当前证据）：liveshow-proto/MainBasis/统一需求文档.md；位置：follower-list.html
2. 规则：BR-1A7B8B96CF17A7
3. 未动态验证</x:v>
      </x:c>
    </x:row>
    <x:row r="189" ht="85" customHeight="1">
      <x:c r="A189" s="10" t="n">
        <x:v>188</x:v>
      </x:c>
      <x:c r="B189" s="10" t="str">
        <x:v>USER-0188</x:v>
      </x:c>
      <x:c r="C189" s="10" t="str">
        <x:v>消息与社交</x:v>
      </x:c>
      <x:c r="D189" s="10" t="str">
        <x:v>消息（用户）</x:v>
      </x:c>
      <x:c r="E189" s="10" t="str">
        <x:v>功能需求</x:v>
      </x:c>
      <x:c r="F189" s="10" t="str">
        <x:v>P1</x:v>
      </x:c>
      <x:c r="G189" s="9" t="str">
        <x:v>验证系统和互动通知固定置顶</x:v>
      </x:c>
      <x:c r="H189" s="9" t="str">
        <x:v>通知入口固定</x:v>
      </x:c>
      <x:c r="I189" s="9" t="str">
        <x:v>1. 用户账号可用且已登录
2. 存在时间较新的私信会话</x:v>
      </x:c>
      <x:c r="J189" s="9" t="str">
        <x:v>1. 进入消息中心</x:v>
      </x:c>
      <x:c r="K189" s="9" t="str">
        <x:v>系统通知和互动通知入口仍位于会话列表顶部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来源（当前证据）：liveshow-proto/MainBasis/统一需求文档.md；位置：message-center.html
2. 规则：BR-9E68057969265F
3. 未动态验证</x:v>
      </x:c>
    </x:row>
    <x:row r="190" ht="85" customHeight="1">
      <x:c r="A190" s="10" t="n">
        <x:v>189</x:v>
      </x:c>
      <x:c r="B190" s="10" t="str">
        <x:v>USER-0189</x:v>
      </x:c>
      <x:c r="C190" s="10" t="str">
        <x:v>消息与社交</x:v>
      </x:c>
      <x:c r="D190" s="10" t="str">
        <x:v>消息（用户）</x:v>
      </x:c>
      <x:c r="E190" s="10" t="str">
        <x:v>功能需求</x:v>
      </x:c>
      <x:c r="F190" s="10" t="str">
        <x:v>P1</x:v>
      </x:c>
      <x:c r="G190" s="9" t="str">
        <x:v>验证进入私信会话清除未读数</x:v>
      </x:c>
      <x:c r="H190" s="9" t="str">
        <x:v>会话未读清除</x:v>
      </x:c>
      <x:c r="I190" s="9" t="str">
        <x:v>1. 用户账号可用且已登录
2. 海风会话有 2 条未读消息</x:v>
      </x:c>
      <x:c r="J190" s="9" t="str">
        <x:v>1. 进入消息中心
2. 点击海风会话</x:v>
      </x:c>
      <x:c r="K190" s="9" t="str">
        <x:v>海风会话未读数清零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来源（当前证据）：liveshow-proto/MainBasis/统一需求文档.md；位置：message-center.html
2. 规则：BR-AB689DC859FEC5
3. 未动态验证</x:v>
      </x:c>
    </x:row>
    <x:row r="191" ht="85" customHeight="1">
      <x:c r="A191" s="10" t="n">
        <x:v>190</x:v>
      </x:c>
      <x:c r="B191" s="10" t="str">
        <x:v>USER-0190</x:v>
      </x:c>
      <x:c r="C191" s="10" t="str">
        <x:v>消息与社交</x:v>
      </x:c>
      <x:c r="D191" s="10" t="str">
        <x:v>粉丝团群聊（粉丝团成员）</x:v>
      </x:c>
      <x:c r="E191" s="10" t="str">
        <x:v>功能需求</x:v>
      </x:c>
      <x:c r="F191" s="10" t="str">
        <x:v>P1</x:v>
      </x:c>
      <x:c r="G191" s="9" t="str">
        <x:v>验证单人群禁言阻止文本输入</x:v>
      </x:c>
      <x:c r="H191" s="9" t="str">
        <x:v>群禁言输入限制</x:v>
      </x:c>
      <x:c r="I191" s="9" t="str">
        <x:v>1. 当前账号是主播海风粉丝团的有效成员
2. 当前成员被主播在本群禁言</x:v>
      </x:c>
      <x:c r="J191" s="9" t="str">
        <x:v>1. 进入海风粉丝群
2. 点击消息输入框</x:v>
      </x:c>
      <x:c r="K191" s="9" t="str">
        <x:v>输入框不可输入文本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来源（当前证据）：liveshow-proto/MainBasis/统一需求文档.md；位置：fan-group-chat.html
2. 规则：BR-3ABC1DC295BECC
3. 未动态验证</x:v>
      </x:c>
    </x:row>
    <x:row r="192" ht="85" customHeight="1">
      <x:c r="A192" s="10" t="n">
        <x:v>191</x:v>
      </x:c>
      <x:c r="B192" s="10" t="str">
        <x:v>USER-0191</x:v>
      </x:c>
      <x:c r="C192" s="10" t="str">
        <x:v>消息与社交</x:v>
      </x:c>
      <x:c r="D192" s="10" t="str">
        <x:v>粉丝团群聊（粉丝团成员）</x:v>
      </x:c>
      <x:c r="E192" s="10" t="str">
        <x:v>功能需求</x:v>
      </x:c>
      <x:c r="F192" s="10" t="str">
        <x:v>P1</x:v>
      </x:c>
      <x:c r="G192" s="9" t="str">
        <x:v>验证群禁言时不打开图片选择</x:v>
      </x:c>
      <x:c r="H192" s="9" t="str">
        <x:v>群禁言图片限制</x:v>
      </x:c>
      <x:c r="I192" s="9" t="str">
        <x:v>1. 当前账号是主播海风粉丝团的有效成员
2. 当前成员被主播在本群禁言</x:v>
      </x:c>
      <x:c r="J192" s="9" t="str">
        <x:v>1. 进入海风粉丝群
2. 点击图片入口</x:v>
      </x:c>
      <x:c r="K192" s="9" t="str">
        <x:v>提示“当前被禁言”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来源（当前证据）：liveshow-proto/MainBasis/统一需求文档.md；位置：fan-group-chat.html
2. 规则：BR-D7F995DA1E21EF
3. 未动态验证</x:v>
      </x:c>
    </x:row>
    <x:row r="193" ht="85" customHeight="1">
      <x:c r="A193" s="10" t="n">
        <x:v>192</x:v>
      </x:c>
      <x:c r="B193" s="10" t="str">
        <x:v>USER-0192</x:v>
      </x:c>
      <x:c r="C193" s="10" t="str">
        <x:v>消息与社交</x:v>
      </x:c>
      <x:c r="D193" s="10" t="str">
        <x:v>粉丝团群聊（粉丝团成员）</x:v>
      </x:c>
      <x:c r="E193" s="10" t="str">
        <x:v>功能需求</x:v>
      </x:c>
      <x:c r="F193" s="10" t="str">
        <x:v>P1</x:v>
      </x:c>
      <x:c r="G193" s="9" t="str">
        <x:v>验证退出粉丝团关闭历史群聊权限</x:v>
      </x:c>
      <x:c r="H193" s="9" t="str">
        <x:v>失效团籍历史访问</x:v>
      </x:c>
      <x:c r="I193" s="9" t="str">
        <x:v>1. 当前账号是主播海风粉丝团的有效成员
2. 账号的团籍已被主播移除</x:v>
      </x:c>
      <x:c r="J193" s="9" t="str">
        <x:v>1. 进入海风粉丝群
2. 返回该粉丝群会话</x:v>
      </x:c>
      <x:c r="K193" s="9" t="str">
        <x:v>不能查看该群历史消息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来源（当前证据）：liveshow-proto/MainBasis/统一需求文档.md；位置：fan-group-chat.html
2. 规则：BR-343737FD6E9CD6
3. 未动态验证</x:v>
      </x:c>
    </x:row>
    <x:row r="194" ht="85" customHeight="1">
      <x:c r="A194" s="10" t="n">
        <x:v>193</x:v>
      </x:c>
      <x:c r="B194" s="10" t="str">
        <x:v>USER-0193</x:v>
      </x:c>
      <x:c r="C194" s="10" t="str">
        <x:v>消息与社交</x:v>
      </x:c>
      <x:c r="D194" s="10" t="str">
        <x:v>粉丝团群聊（粉丝团成员）</x:v>
      </x:c>
      <x:c r="E194" s="10" t="str">
        <x:v>功能需求</x:v>
      </x:c>
      <x:c r="F194" s="10" t="str">
        <x:v>P1</x:v>
      </x:c>
      <x:c r="G194" s="9" t="str">
        <x:v>验证已结束直播卡片不跳入新场次</x:v>
      </x:c>
      <x:c r="H194" s="9" t="str">
        <x:v>直播卡片场次绑定</x:v>
      </x:c>
      <x:c r="I194" s="9" t="str">
        <x:v>1. 当前账号是主播海风粉丝团的有效成员
2. 群内旧直播卡片对应场次已结束，主播已经新开一场</x:v>
      </x:c>
      <x:c r="J194" s="9" t="str">
        <x:v>1. 进入海风粉丝群
2. 点击旧直播卡片</x:v>
      </x:c>
      <x:c r="K194" s="9" t="str">
        <x:v>提示直播已结束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来源（当前证据）：liveshow-proto/MainBasis/统一需求文档.md；位置：fan-group-chat.html
2. 规则：BR-5C2AE7DBD27DEB
3. 未动态验证</x:v>
      </x:c>
    </x:row>
    <x:row r="195" ht="85" customHeight="1">
      <x:c r="A195" s="10" t="n">
        <x:v>194</x:v>
      </x:c>
      <x:c r="B195" s="10" t="str">
        <x:v>USER-0194</x:v>
      </x:c>
      <x:c r="C195" s="10" t="str">
        <x:v>消息与社交</x:v>
      </x:c>
      <x:c r="D195" s="10" t="str">
        <x:v>群管理（成员）（粉丝团成员）</x:v>
      </x:c>
      <x:c r="E195" s="10" t="str">
        <x:v>功能需求</x:v>
      </x:c>
      <x:c r="F195" s="10" t="str">
        <x:v>P1</x:v>
      </x:c>
      <x:c r="G195" s="9" t="str">
        <x:v>验证普通群成员不具有成员管理权限</x:v>
      </x:c>
      <x:c r="H195" s="9" t="str">
        <x:v>群成员权限</x:v>
      </x:c>
      <x:c r="I195" s="9" t="str">
        <x:v>1. 当前账号是海风粉丝团的有效成员</x:v>
      </x:c>
      <x:c r="J195" s="9" t="str">
        <x:v>1. 进入群管理成员页
2. 查看群管理入口</x:v>
      </x:c>
      <x:c r="K195" s="9" t="str">
        <x:v>不提供编辑群公告和管理成员入口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来源（当前证据）：liveshow-proto/MainBasis/统一需求文档.md；位置：group-manage-member.html
2. 规则：BR-11743509D2BA23
3. 未动态验证</x:v>
      </x:c>
    </x:row>
    <x:row r="196" ht="85" customHeight="1">
      <x:c r="A196" s="10" t="n">
        <x:v>195</x:v>
      </x:c>
      <x:c r="B196" s="10" t="str">
        <x:v>USER-0195</x:v>
      </x:c>
      <x:c r="C196" s="10" t="str">
        <x:v>消息与社交</x:v>
      </x:c>
      <x:c r="D196" s="10" t="str">
        <x:v>群管理（成员）（粉丝团成员）</x:v>
      </x:c>
      <x:c r="E196" s="10" t="str">
        <x:v>功能需求</x:v>
      </x:c>
      <x:c r="F196" s="10" t="str">
        <x:v>P1</x:v>
      </x:c>
      <x:c r="G196" s="9" t="str">
        <x:v>验证退团确认后返回消息中心</x:v>
      </x:c>
      <x:c r="H196" s="9" t="str">
        <x:v>退团完成位置</x:v>
      </x:c>
      <x:c r="I196" s="9" t="str">
        <x:v>1. 当前账号是海风粉丝团的有效成员</x:v>
      </x:c>
      <x:c r="J196" s="9" t="str">
        <x:v>1. 进入群管理成员页
2. 点击退出粉丝团
3. 点击确认</x:v>
      </x:c>
      <x:c r="K196" s="9" t="str">
        <x:v>返回消息中心</x:v>
      </x:c>
      <x:c r="L196" s="10" t="str">
        <x:v>FLOW-FD3B32C9</x:v>
      </x:c>
      <x:c r="M196" s="10" t="str">
        <x:v>未测</x:v>
      </x:c>
      <x:c r="N196" s="10" t="str"/>
      <x:c r="O196" s="9" t="str">
        <x:v>1. 来源（当前证据）：liveshow-proto/MainBasis/统一需求文档.md；位置：group-manage-member.html
2. 规则：BR-F7A34B82913A25
3. 未动态验证</x:v>
      </x:c>
    </x:row>
    <x:row r="197" ht="85" customHeight="1">
      <x:c r="A197" s="10" t="n">
        <x:v>196</x:v>
      </x:c>
      <x:c r="B197" s="10" t="str">
        <x:v>USER-0196</x:v>
      </x:c>
      <x:c r="C197" s="10" t="str">
        <x:v>消息与社交</x:v>
      </x:c>
      <x:c r="D197" s="10" t="str">
        <x:v>群管理（成员）（粉丝团成员）</x:v>
      </x:c>
      <x:c r="E197" s="10" t="str">
        <x:v>功能需求</x:v>
      </x:c>
      <x:c r="F197" s="10" t="str">
        <x:v>P1</x:v>
      </x:c>
      <x:c r="G197" s="9" t="str">
        <x:v>验证退团后保留关注关系</x:v>
      </x:c>
      <x:c r="H197" s="9" t="str">
        <x:v>退团与关注独立</x:v>
      </x:c>
      <x:c r="I197" s="9" t="str">
        <x:v>1. 当前账号是海风粉丝团的有效成员
2. 当前账号已关注海风</x:v>
      </x:c>
      <x:c r="J197" s="9" t="str">
        <x:v>1. 进入群管理成员页
2. 点击退出粉丝团
3. 点击确认</x:v>
      </x:c>
      <x:c r="K197" s="9" t="str">
        <x:v>账号仍关注海风</x:v>
      </x:c>
      <x:c r="L197" s="10" t="str">
        <x:v>FLOW-FD3B32C9</x:v>
      </x:c>
      <x:c r="M197" s="10" t="str">
        <x:v>未测</x:v>
      </x:c>
      <x:c r="N197" s="10" t="str"/>
      <x:c r="O197" s="9" t="str">
        <x:v>1. 来源（当前证据）：liveshow-proto/MainBasis/统一需求文档.md；位置：group-manage-member.html
2. 规则：BR-9FF54310399EFE
3. 未动态验证</x:v>
      </x:c>
    </x:row>
    <x:row r="198" ht="85" customHeight="1">
      <x:c r="A198" s="10" t="n">
        <x:v>197</x:v>
      </x:c>
      <x:c r="B198" s="10" t="str">
        <x:v>USER-0197</x:v>
      </x:c>
      <x:c r="C198" s="10" t="str">
        <x:v>消息与社交</x:v>
      </x:c>
      <x:c r="D198" s="10" t="str">
        <x:v>群管理（成员）（粉丝团成员）</x:v>
      </x:c>
      <x:c r="E198" s="10" t="str">
        <x:v>功能需求</x:v>
      </x:c>
      <x:c r="F198" s="10" t="str">
        <x:v>P1</x:v>
      </x:c>
      <x:c r="G198" s="9" t="str">
        <x:v>验证退团后粉丝等级清零</x:v>
      </x:c>
      <x:c r="H198" s="9" t="str">
        <x:v>退团等级重置</x:v>
      </x:c>
      <x:c r="I198" s="9" t="str">
        <x:v>1. 当前账号是海风粉丝团的有效成员
2. 当前粉丝等级大于 0</x:v>
      </x:c>
      <x:c r="J198" s="9" t="str">
        <x:v>1. 进入群管理成员页
2. 点击退出粉丝团
3. 点击确认</x:v>
      </x:c>
      <x:c r="K198" s="9" t="str">
        <x:v>该账号在海风粉丝团的粉丝等级归零</x:v>
      </x:c>
      <x:c r="L198" s="10" t="str">
        <x:v>FLOW-FD3B32C9</x:v>
      </x:c>
      <x:c r="M198" s="10" t="str">
        <x:v>未测</x:v>
      </x:c>
      <x:c r="N198" s="10" t="str"/>
      <x:c r="O198" s="9" t="str">
        <x:v>1. 来源（当前证据）：liveshow-proto/MainBasis/统一需求文档.md；位置：group-manage-member.html
2. 规则：BR-6B7C7C661AE6CF
3. 未动态验证</x:v>
      </x:c>
    </x:row>
    <x:row r="199" ht="85" customHeight="1">
      <x:c r="A199" s="10" t="n">
        <x:v>198</x:v>
      </x:c>
      <x:c r="B199" s="10" t="str">
        <x:v>USER-0198</x:v>
      </x:c>
      <x:c r="C199" s="10" t="str">
        <x:v>消息与社交</x:v>
      </x:c>
      <x:c r="D199" s="10" t="str">
        <x:v>群管理（成员）（粉丝团成员）</x:v>
      </x:c>
      <x:c r="E199" s="10" t="str">
        <x:v>功能需求</x:v>
      </x:c>
      <x:c r="F199" s="10" t="str">
        <x:v>P1</x:v>
      </x:c>
      <x:c r="G199" s="9" t="str">
        <x:v>验证主动退团解除成员身份</x:v>
      </x:c>
      <x:c r="H199" s="9" t="str">
        <x:v>退团成功</x:v>
      </x:c>
      <x:c r="I199" s="9" t="str">
        <x:v>1. 用户账号可用且已登录
2. 当前属于该粉丝团</x:v>
      </x:c>
      <x:c r="J199" s="9" t="str">
        <x:v>1. 进入所属粉丝团群设置
2. 点击退出粉丝团并确认</x:v>
      </x:c>
      <x:c r="K199" s="9" t="str">
        <x:v>当前账号不再属于该粉丝团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来源（当前证据）：liveshow-proto/MainBasis/统一需求文档.md；位置：group-manage-member.html
2. 规则：BR-34A214EB1EC552
3. 未动态验证</x:v>
      </x:c>
    </x:row>
    <x:row r="200" ht="85" customHeight="1">
      <x:c r="A200" s="10" t="n">
        <x:v>199</x:v>
      </x:c>
      <x:c r="B200" s="10" t="str">
        <x:v>USER-0199</x:v>
      </x:c>
      <x:c r="C200" s="10" t="str">
        <x:v>消息与社交</x:v>
      </x:c>
      <x:c r="D200" s="10" t="str">
        <x:v>群管理（群主）（主播）</x:v>
      </x:c>
      <x:c r="E200" s="10" t="str">
        <x:v>功能需求</x:v>
      </x:c>
      <x:c r="F200" s="10" t="str">
        <x:v>P1</x:v>
      </x:c>
      <x:c r="G200" s="9" t="str">
        <x:v>验证群主进入成员管理</x:v>
      </x:c>
      <x:c r="H200" s="9" t="str">
        <x:v>群主入口</x:v>
      </x:c>
      <x:c r="I200" s="9" t="str">
        <x:v>1. 执行账号为所选主播对应的用户账号，已登录</x:v>
      </x:c>
      <x:c r="J200" s="9" t="str">
        <x:v>1. 进入自己粉丝团群设置
2. 点击群成员管理</x:v>
      </x:c>
      <x:c r="K200" s="9" t="str">
        <x:v>进入自己粉丝团成员页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来源（当前证据）：liveshow-proto/MainBasis/统一需求文档.md；位置：group-manage-owner.html
2. 规则：BR-6A6C7C494C6901
3. 未动态验证</x:v>
      </x:c>
    </x:row>
    <x:row r="201" ht="85" customHeight="1">
      <x:c r="A201" s="10" t="n">
        <x:v>200</x:v>
      </x:c>
      <x:c r="B201" s="10" t="str">
        <x:v>USER-0200</x:v>
      </x:c>
      <x:c r="C201" s="10" t="str">
        <x:v>消息与社交</x:v>
      </x:c>
      <x:c r="D201" s="10" t="str">
        <x:v>群管理（群主）（主播）</x:v>
      </x:c>
      <x:c r="E201" s="10" t="str">
        <x:v>功能需求</x:v>
      </x:c>
      <x:c r="F201" s="10" t="str">
        <x:v>P1</x:v>
      </x:c>
      <x:c r="G201" s="9" t="str">
        <x:v>验证取消移除不解除团籍</x:v>
      </x:c>
      <x:c r="H201" s="9" t="str">
        <x:v>移除二次确认</x:v>
      </x:c>
      <x:c r="I201" s="9" t="str">
        <x:v>1. 执行账号为所选主播对应的用户账号，已登录
2. 粉丝团中有成员海风</x:v>
      </x:c>
      <x:c r="J201" s="9" t="str">
        <x:v>1. 进入自己粉丝团群设置
2. 进入群成员管理
3. 选择海风
4. 点击移除
5. 点击取消</x:v>
      </x:c>
      <x:c r="K201" s="9" t="str">
        <x:v>海风仍在粉丝团中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来源（当前证据）：liveshow-proto/MainBasis/统一需求文档.md；位置：group-manage-owner.html、fan-club.html
2. 规则：BR-161DE319C3456E
3. 未动态验证</x:v>
      </x:c>
    </x:row>
    <x:row r="202" ht="85" customHeight="1">
      <x:c r="A202" s="10" t="n">
        <x:v>201</x:v>
      </x:c>
      <x:c r="B202" s="10" t="str">
        <x:v>USER-0201</x:v>
      </x:c>
      <x:c r="C202" s="10" t="str">
        <x:v>消息与社交</x:v>
      </x:c>
      <x:c r="D202" s="10" t="str">
        <x:v>礼物展馆（用户）</x:v>
      </x:c>
      <x:c r="E202" s="10" t="str">
        <x:v>功能需求</x:v>
      </x:c>
      <x:c r="F202" s="10" t="str">
        <x:v>P1</x:v>
      </x:c>
      <x:c r="G202" s="9" t="str">
        <x:v>验证图鉴统计成功礼物件数</x:v>
      </x:c>
      <x:c r="H202" s="9" t="str">
        <x:v>图鉴计件</x:v>
      </x:c>
      <x:c r="I202" s="9" t="str">
        <x:v>1. 用户账号可用且已登录
2. 海风成功收到普通礼物3件、幸运礼物10件，另有失败送礼2件</x:v>
      </x:c>
      <x:c r="J202" s="9" t="str">
        <x:v>1. 进入海风主播主页
2. 打开礼物展馆
3. 查看累计收到</x:v>
      </x:c>
      <x:c r="K202" s="9" t="str">
        <x:v>累计收到为13件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来源（当前证据）：liveshow-proto/MainBasis/统一需求文档.md；位置：host-gift-gallery.html
2. 规则：BR-0F3E4353F85E45
3. 未动态验证</x:v>
      </x:c>
    </x:row>
    <x:row r="203" ht="85" customHeight="1">
      <x:c r="A203" s="10" t="n">
        <x:v>202</x:v>
      </x:c>
      <x:c r="B203" s="10" t="str">
        <x:v>USER-0202</x:v>
      </x:c>
      <x:c r="C203" s="10" t="str">
        <x:v>消息与社交</x:v>
      </x:c>
      <x:c r="D203" s="10" t="str">
        <x:v>礼物展馆（用户）</x:v>
      </x:c>
      <x:c r="E203" s="10" t="str">
        <x:v>功能需求</x:v>
      </x:c>
      <x:c r="F203" s="10" t="str">
        <x:v>P1</x:v>
      </x:c>
      <x:c r="G203" s="9" t="str">
        <x:v>验证未收到礼物仍在图鉴</x:v>
      </x:c>
      <x:c r="H203" s="9" t="str">
        <x:v>目录完整性</x:v>
      </x:c>
      <x:c r="I203" s="9" t="str">
        <x:v>1. 用户账号可用且已登录
2. 目录中有上架礼物星星，海风从未收到</x:v>
      </x:c>
      <x:c r="J203" s="9" t="str">
        <x:v>1. 进入海风主播主页
2. 打开礼物展馆
3. 查看星星</x:v>
      </x:c>
      <x:c r="K203" s="9" t="str">
        <x:v>星星标为“未收到”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来源（当前证据）：liveshow-proto/MainBasis/统一需求文档.md；位置：host-gift-gallery.html
2. 规则：BR-EBA213CCA35CDB
3. 未动态验证</x:v>
      </x:c>
    </x:row>
    <x:row r="204" ht="85" customHeight="1">
      <x:c r="A204" s="10" t="n">
        <x:v>203</x:v>
      </x:c>
      <x:c r="B204" s="10" t="str">
        <x:v>USER-0203</x:v>
      </x:c>
      <x:c r="C204" s="10" t="str">
        <x:v>消息与社交</x:v>
      </x:c>
      <x:c r="D204" s="10" t="str">
        <x:v>礼物展馆（用户）</x:v>
      </x:c>
      <x:c r="E204" s="10" t="str">
        <x:v>功能需求</x:v>
      </x:c>
      <x:c r="F204" s="10" t="str">
        <x:v>P1</x:v>
      </x:c>
      <x:c r="G204" s="9" t="str">
        <x:v>验证礼物下架保留图鉴数量</x:v>
      </x:c>
      <x:c r="H204" s="9" t="str">
        <x:v>图鉴历史</x:v>
      </x:c>
      <x:c r="I204" s="9" t="str">
        <x:v>1. 用户账号可用且已登录
2. 海风原收到玫瑰3件，平台之后下架玫瑰</x:v>
      </x:c>
      <x:c r="J204" s="9" t="str">
        <x:v>1. 进入海风主播主页
2. 打开礼物展馆
3. 查看玫瑰</x:v>
      </x:c>
      <x:c r="K204" s="9" t="str">
        <x:v>收到数量仍为3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来源（当前证据）：liveshow-proto/MainBasis/统一需求文档.md；位置：host-gift-gallery.html
2. 规则：BR-D49F97744412F6
3. 未动态验证</x:v>
      </x:c>
    </x:row>
    <x:row r="205" ht="85" customHeight="1">
      <x:c r="A205" s="10" t="n">
        <x:v>204</x:v>
      </x:c>
      <x:c r="B205" s="10" t="str">
        <x:v>USER-0204</x:v>
      </x:c>
      <x:c r="C205" s="10" t="str">
        <x:v>消息与社交</x:v>
      </x:c>
      <x:c r="D205" s="10" t="str">
        <x:v>好友列表（用户）</x:v>
      </x:c>
      <x:c r="E205" s="10" t="str">
        <x:v>功能需求</x:v>
      </x:c>
      <x:c r="F205" s="10" t="str">
        <x:v>P1</x:v>
      </x:c>
      <x:c r="G205" s="9" t="str">
        <x:v>验证返回导航到指定页面</x:v>
      </x:c>
      <x:c r="H205" s="9" t="str">
        <x:v>页面导航</x:v>
      </x:c>
      <x:c r="I205" s="9" t="str">
        <x:v>1. 用户已登录且拥有好友列表访问权限</x:v>
      </x:c>
      <x:c r="J205" s="9" t="str">
        <x:v>1. 进入好友列表
2. 点击返回</x:v>
      </x:c>
      <x:c r="K205" s="9" t="str">
        <x:v>进入消息中心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来源（当前证据）：liveshow-proto/MainBasis/统一需求文档.md；位置：friend-list.html
2. 规则：BR-41CB32B2B5D37B
3. 未动态验证</x:v>
      </x:c>
    </x:row>
    <x:row r="206" ht="85" customHeight="1">
      <x:c r="A206" s="10" t="n">
        <x:v>205</x:v>
      </x:c>
      <x:c r="B206" s="10" t="str">
        <x:v>USER-0205</x:v>
      </x:c>
      <x:c r="C206" s="10" t="str">
        <x:v>消息与社交</x:v>
      </x:c>
      <x:c r="D206" s="10" t="str">
        <x:v>礼物展馆（用户）</x:v>
      </x:c>
      <x:c r="E206" s="10" t="str">
        <x:v>功能需求</x:v>
      </x:c>
      <x:c r="F206" s="10" t="str">
        <x:v>P1</x:v>
      </x:c>
      <x:c r="G206" s="9" t="str">
        <x:v>验证返回导航到指定页面</x:v>
      </x:c>
      <x:c r="H206" s="9" t="str">
        <x:v>页面导航</x:v>
      </x:c>
      <x:c r="I206" s="9" t="str">
        <x:v>1. 用户已登录且拥有礼物展馆访问权限</x:v>
      </x:c>
      <x:c r="J206" s="9" t="str">
        <x:v>1. 进入礼物展馆
2. 点击返回</x:v>
      </x:c>
      <x:c r="K206" s="9" t="str">
        <x:v>回到对应主播主页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来源（当前证据）：liveshow-proto/MainBasis/统一需求文档.md；位置：host-gift-gallery.html
2. 规则：BR-4F1FD908EA64AC
3. 未动态验证</x:v>
      </x:c>
    </x:row>
    <x:row r="207" ht="85" customHeight="1">
      <x:c r="A207" s="10" t="n">
        <x:v>206</x:v>
      </x:c>
      <x:c r="B207" s="10" t="str">
        <x:v>USER-0206</x:v>
      </x:c>
      <x:c r="C207" s="10" t="str">
        <x:v>账号与登录</x:v>
      </x:c>
      <x:c r="D207" s="10" t="str">
        <x:v>登录与注册（用户）</x:v>
      </x:c>
      <x:c r="E207" s="10" t="str">
        <x:v>功能需求</x:v>
      </x:c>
      <x:c r="F207" s="10" t="str">
        <x:v>P1</x:v>
      </x:c>
      <x:c r="G207" s="9" t="str">
        <x:v>验证Google登录前的协议限制</x:v>
      </x:c>
      <x:c r="H207" s="9" t="str">
        <x:v>登录协议门槛</x:v>
      </x:c>
      <x:c r="I207" s="9" t="str">
        <x:v>1. Google授权测试账号可用
2. 未勾选用户协议和隐私政策</x:v>
      </x:c>
      <x:c r="J207" s="9" t="str">
        <x:v>1. 进入登录与注册页
2. 点击Google登录</x:v>
      </x:c>
      <x:c r="K207" s="9" t="str">
        <x:v>不唤起第三方授权页面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来源（当前证据）：liveshow-proto/MainBasis/统一需求文档.md；位置：auth-login-register.html
2. 规则：BR-C62906783E2B17
3. 未动态验证</x:v>
      </x:c>
    </x:row>
    <x:row r="208" ht="85" customHeight="1">
      <x:c r="A208" s="10" t="n">
        <x:v>207</x:v>
      </x:c>
      <x:c r="B208" s="10" t="str">
        <x:v>USER-0207</x:v>
      </x:c>
      <x:c r="C208" s="10" t="str">
        <x:v>账号与登录</x:v>
      </x:c>
      <x:c r="D208" s="10" t="str">
        <x:v>登录与注册（用户）</x:v>
      </x:c>
      <x:c r="E208" s="10" t="str">
        <x:v>功能需求</x:v>
      </x:c>
      <x:c r="F208" s="10" t="str">
        <x:v>P1</x:v>
      </x:c>
      <x:c r="G208" s="9" t="str">
        <x:v>验证Google新账号首次授权后的分流</x:v>
      </x:c>
      <x:c r="H208" s="9" t="str">
        <x:v>新账号资料补全</x:v>
      </x:c>
      <x:c r="I208" s="9" t="str">
        <x:v>1. Google授权测试账号可用
2. 第三方标识尚未绑定 Luma Live 账号</x:v>
      </x:c>
      <x:c r="J208" s="9" t="str">
        <x:v>1. 进入登录与注册页
2. 勾选用户协议和隐私政策
3. 点击Google登录
4. 确认第三方授权</x:v>
      </x:c>
      <x:c r="K208" s="9" t="str">
        <x:v>进入资料补全页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来源（当前证据）：liveshow-proto/MainBasis/统一需求文档.md；位置：auth-login-register.html
2. 规则：BR-CECC9CF3AC2009
3. 未动态验证</x:v>
      </x:c>
    </x:row>
    <x:row r="209" ht="85" customHeight="1">
      <x:c r="A209" s="10" t="n">
        <x:v>208</x:v>
      </x:c>
      <x:c r="B209" s="10" t="str">
        <x:v>USER-0208</x:v>
      </x:c>
      <x:c r="C209" s="10" t="str">
        <x:v>账号与登录</x:v>
      </x:c>
      <x:c r="D209" s="10" t="str">
        <x:v>登录与注册（用户）</x:v>
      </x:c>
      <x:c r="E209" s="10" t="str">
        <x:v>功能需求</x:v>
      </x:c>
      <x:c r="F209" s="10" t="str">
        <x:v>P1</x:v>
      </x:c>
      <x:c r="G209" s="9" t="str">
        <x:v>验证Google已注册账号授权后的分流</x:v>
      </x:c>
      <x:c r="H209" s="9" t="str">
        <x:v>老账号登录</x:v>
      </x:c>
      <x:c r="I209" s="9" t="str">
        <x:v>1. Google授权测试账号可用
2. 第三方标识已绑定一个可用账号</x:v>
      </x:c>
      <x:c r="J209" s="9" t="str">
        <x:v>1. 进入登录与注册页
2. 勾选用户协议和隐私政策
3. 点击Google登录
4. 确认第三方授权</x:v>
      </x:c>
      <x:c r="K209" s="9" t="str">
        <x:v>进入首页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来源（当前证据）：liveshow-proto/MainBasis/统一需求文档.md；位置：auth-login-register.html
2. 规则：BR-C0F4F61A5D3C13
3. 未动态验证</x:v>
      </x:c>
    </x:row>
    <x:row r="210" ht="85" customHeight="1">
      <x:c r="A210" s="10" t="n">
        <x:v>209</x:v>
      </x:c>
      <x:c r="B210" s="10" t="str">
        <x:v>USER-0209</x:v>
      </x:c>
      <x:c r="C210" s="10" t="str">
        <x:v>账号与登录</x:v>
      </x:c>
      <x:c r="D210" s="10" t="str">
        <x:v>登录与注册（用户）</x:v>
      </x:c>
      <x:c r="E210" s="10" t="str">
        <x:v>异常用例</x:v>
      </x:c>
      <x:c r="F210" s="10" t="str">
        <x:v>P1</x:v>
      </x:c>
      <x:c r="G210" s="9" t="str">
        <x:v>验证用户取消Google授权</x:v>
      </x:c>
      <x:c r="H210" s="9" t="str">
        <x:v>授权取消反馈</x:v>
      </x:c>
      <x:c r="I210" s="9" t="str">
        <x:v>1. Google授权测试账号可用
2. 协议已勾选</x:v>
      </x:c>
      <x:c r="J210" s="9" t="str">
        <x:v>1. 进入登录与注册页
2. 点击Google登录
3. 取消第三方授权</x:v>
      </x:c>
      <x:c r="K210" s="9" t="str">
        <x:v>登录页提示“已取消授权”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来源（当前证据）：liveshow-proto/MainBasis/统一需求文档.md；位置：auth-login-register.html
2. 规则：BR-3CE77E75B9485F
3. 未动态验证</x:v>
      </x:c>
    </x:row>
    <x:row r="211" ht="85" customHeight="1">
      <x:c r="A211" s="10" t="n">
        <x:v>210</x:v>
      </x:c>
      <x:c r="B211" s="10" t="str">
        <x:v>USER-0210</x:v>
      </x:c>
      <x:c r="C211" s="10" t="str">
        <x:v>账号与登录</x:v>
      </x:c>
      <x:c r="D211" s="10" t="str">
        <x:v>登录与注册（用户）</x:v>
      </x:c>
      <x:c r="E211" s="10" t="str">
        <x:v>异常用例</x:v>
      </x:c>
      <x:c r="F211" s="10" t="str">
        <x:v>P1</x:v>
      </x:c>
      <x:c r="G211" s="9" t="str">
        <x:v>验证Google授权失败</x:v>
      </x:c>
      <x:c r="H211" s="9" t="str">
        <x:v>授权失败反馈</x:v>
      </x:c>
      <x:c r="I211" s="9" t="str">
        <x:v>1. Google授权测试账号可用
2. 协议已勾选，授权服务本次返回失败</x:v>
      </x:c>
      <x:c r="J211" s="9" t="str">
        <x:v>1. 进入登录与注册页
2. 点击Google登录</x:v>
      </x:c>
      <x:c r="K211" s="9" t="str">
        <x:v>登录页提示“登录失败，请重试”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来源（当前证据）：liveshow-proto/MainBasis/统一需求文档.md；位置：auth-login-register.html
2. 规则：BR-380A202F87B977
3. 未动态验证</x:v>
      </x:c>
    </x:row>
    <x:row r="212" ht="85" customHeight="1">
      <x:c r="A212" s="10" t="n">
        <x:v>211</x:v>
      </x:c>
      <x:c r="B212" s="10" t="str">
        <x:v>USER-0211</x:v>
      </x:c>
      <x:c r="C212" s="10" t="str">
        <x:v>账号与登录</x:v>
      </x:c>
      <x:c r="D212" s="10" t="str">
        <x:v>登录与注册（用户）</x:v>
      </x:c>
      <x:c r="E212" s="10" t="str">
        <x:v>功能需求</x:v>
      </x:c>
      <x:c r="F212" s="10" t="str">
        <x:v>P0</x:v>
      </x:c>
      <x:c r="G212" s="9" t="str">
        <x:v>验证Google封禁账号不能登录</x:v>
      </x:c>
      <x:c r="H212" s="9" t="str">
        <x:v>封禁登录拦截</x:v>
      </x:c>
      <x:c r="I212" s="9" t="str">
        <x:v>1. Google授权测试账号可用
2. 协议已勾选，第三方标识对应的账号已封禁</x:v>
      </x:c>
      <x:c r="J212" s="9" t="str">
        <x:v>1. 进入登录与注册页
2. 点击Google登录
3. 确认第三方授权</x:v>
      </x:c>
      <x:c r="K212" s="9" t="str">
        <x:v>账号不进入已登录状态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来源（当前证据）：liveshow-proto/MainBasis/统一需求文档.md；位置：auth-login-register.html、共同业务对象与规则
2. 规则：BR-A6703CE1835BA4
3. 未动态验证</x:v>
      </x:c>
    </x:row>
    <x:row r="213" ht="85" customHeight="1">
      <x:c r="A213" s="10" t="n">
        <x:v>212</x:v>
      </x:c>
      <x:c r="B213" s="10" t="str">
        <x:v>USER-0212</x:v>
      </x:c>
      <x:c r="C213" s="10" t="str">
        <x:v>账号与登录</x:v>
      </x:c>
      <x:c r="D213" s="10" t="str">
        <x:v>登录与注册（用户）</x:v>
      </x:c>
      <x:c r="E213" s="10" t="str">
        <x:v>功能需求</x:v>
      </x:c>
      <x:c r="F213" s="10" t="str">
        <x:v>P1</x:v>
      </x:c>
      <x:c r="G213" s="9" t="str">
        <x:v>验证Facebook登录前的协议限制</x:v>
      </x:c>
      <x:c r="H213" s="9" t="str">
        <x:v>登录协议门槛</x:v>
      </x:c>
      <x:c r="I213" s="9" t="str">
        <x:v>1. Facebook授权测试账号可用
2. 未勾选用户协议和隐私政策</x:v>
      </x:c>
      <x:c r="J213" s="9" t="str">
        <x:v>1. 进入登录与注册页
2. 点击Facebook登录</x:v>
      </x:c>
      <x:c r="K213" s="9" t="str">
        <x:v>不唤起第三方授权页面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来源（当前证据）：liveshow-proto/MainBasis/统一需求文档.md；位置：auth-login-register.html
2. 规则：BR-15F700FFB9FF53
3. 未动态验证</x:v>
      </x:c>
    </x:row>
    <x:row r="214" ht="85" customHeight="1">
      <x:c r="A214" s="10" t="n">
        <x:v>213</x:v>
      </x:c>
      <x:c r="B214" s="10" t="str">
        <x:v>USER-0213</x:v>
      </x:c>
      <x:c r="C214" s="10" t="str">
        <x:v>账号与登录</x:v>
      </x:c>
      <x:c r="D214" s="10" t="str">
        <x:v>登录与注册（用户）</x:v>
      </x:c>
      <x:c r="E214" s="10" t="str">
        <x:v>功能需求</x:v>
      </x:c>
      <x:c r="F214" s="10" t="str">
        <x:v>P1</x:v>
      </x:c>
      <x:c r="G214" s="9" t="str">
        <x:v>验证Facebook新账号首次授权后的分流</x:v>
      </x:c>
      <x:c r="H214" s="9" t="str">
        <x:v>新账号资料补全</x:v>
      </x:c>
      <x:c r="I214" s="9" t="str">
        <x:v>1. Facebook授权测试账号可用
2. 第三方标识尚未绑定 Luma Live 账号</x:v>
      </x:c>
      <x:c r="J214" s="9" t="str">
        <x:v>1. 进入登录与注册页
2. 勾选用户协议和隐私政策
3. 点击Facebook登录
4. 确认第三方授权</x:v>
      </x:c>
      <x:c r="K214" s="9" t="str">
        <x:v>进入资料补全页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来源（当前证据）：liveshow-proto/MainBasis/统一需求文档.md；位置：auth-login-register.html
2. 规则：BR-3ECF23717AAA46
3. 未动态验证</x:v>
      </x:c>
    </x:row>
    <x:row r="215" ht="85" customHeight="1">
      <x:c r="A215" s="10" t="n">
        <x:v>214</x:v>
      </x:c>
      <x:c r="B215" s="10" t="str">
        <x:v>USER-0214</x:v>
      </x:c>
      <x:c r="C215" s="10" t="str">
        <x:v>账号与登录</x:v>
      </x:c>
      <x:c r="D215" s="10" t="str">
        <x:v>登录与注册（用户）</x:v>
      </x:c>
      <x:c r="E215" s="10" t="str">
        <x:v>功能需求</x:v>
      </x:c>
      <x:c r="F215" s="10" t="str">
        <x:v>P1</x:v>
      </x:c>
      <x:c r="G215" s="9" t="str">
        <x:v>验证Facebook已注册账号授权后的分流</x:v>
      </x:c>
      <x:c r="H215" s="9" t="str">
        <x:v>老账号登录</x:v>
      </x:c>
      <x:c r="I215" s="9" t="str">
        <x:v>1. Facebook授权测试账号可用
2. 第三方标识已绑定一个可用账号</x:v>
      </x:c>
      <x:c r="J215" s="9" t="str">
        <x:v>1. 进入登录与注册页
2. 勾选用户协议和隐私政策
3. 点击Facebook登录
4. 确认第三方授权</x:v>
      </x:c>
      <x:c r="K215" s="9" t="str">
        <x:v>进入首页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来源（当前证据）：liveshow-proto/MainBasis/统一需求文档.md；位置：auth-login-register.html
2. 规则：BR-5A53D029806889
3. 未动态验证</x:v>
      </x:c>
    </x:row>
    <x:row r="216" ht="85" customHeight="1">
      <x:c r="A216" s="10" t="n">
        <x:v>215</x:v>
      </x:c>
      <x:c r="B216" s="10" t="str">
        <x:v>USER-0215</x:v>
      </x:c>
      <x:c r="C216" s="10" t="str">
        <x:v>账号与登录</x:v>
      </x:c>
      <x:c r="D216" s="10" t="str">
        <x:v>登录与注册（用户）</x:v>
      </x:c>
      <x:c r="E216" s="10" t="str">
        <x:v>异常用例</x:v>
      </x:c>
      <x:c r="F216" s="10" t="str">
        <x:v>P1</x:v>
      </x:c>
      <x:c r="G216" s="9" t="str">
        <x:v>验证用户取消Facebook授权</x:v>
      </x:c>
      <x:c r="H216" s="9" t="str">
        <x:v>授权取消反馈</x:v>
      </x:c>
      <x:c r="I216" s="9" t="str">
        <x:v>1. Facebook授权测试账号可用
2. 协议已勾选</x:v>
      </x:c>
      <x:c r="J216" s="9" t="str">
        <x:v>1. 进入登录与注册页
2. 点击Facebook登录
3. 取消第三方授权</x:v>
      </x:c>
      <x:c r="K216" s="9" t="str">
        <x:v>登录页提示“已取消授权”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来源（当前证据）：liveshow-proto/MainBasis/统一需求文档.md；位置：auth-login-register.html
2. 规则：BR-83CCFEDC13624C
3. 未动态验证</x:v>
      </x:c>
    </x:row>
    <x:row r="217" ht="85" customHeight="1">
      <x:c r="A217" s="10" t="n">
        <x:v>216</x:v>
      </x:c>
      <x:c r="B217" s="10" t="str">
        <x:v>USER-0216</x:v>
      </x:c>
      <x:c r="C217" s="10" t="str">
        <x:v>账号与登录</x:v>
      </x:c>
      <x:c r="D217" s="10" t="str">
        <x:v>登录与注册（用户）</x:v>
      </x:c>
      <x:c r="E217" s="10" t="str">
        <x:v>异常用例</x:v>
      </x:c>
      <x:c r="F217" s="10" t="str">
        <x:v>P1</x:v>
      </x:c>
      <x:c r="G217" s="9" t="str">
        <x:v>验证Facebook授权失败</x:v>
      </x:c>
      <x:c r="H217" s="9" t="str">
        <x:v>授权失败反馈</x:v>
      </x:c>
      <x:c r="I217" s="9" t="str">
        <x:v>1. Facebook授权测试账号可用
2. 协议已勾选，授权服务本次返回失败</x:v>
      </x:c>
      <x:c r="J217" s="9" t="str">
        <x:v>1. 进入登录与注册页
2. 点击Facebook登录</x:v>
      </x:c>
      <x:c r="K217" s="9" t="str">
        <x:v>登录页提示“登录失败，请重试”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来源（当前证据）：liveshow-proto/MainBasis/统一需求文档.md；位置：auth-login-register.html
2. 规则：BR-D4D016EC1B36FF
3. 未动态验证</x:v>
      </x:c>
    </x:row>
    <x:row r="218" ht="85" customHeight="1">
      <x:c r="A218" s="10" t="n">
        <x:v>217</x:v>
      </x:c>
      <x:c r="B218" s="10" t="str">
        <x:v>USER-0217</x:v>
      </x:c>
      <x:c r="C218" s="10" t="str">
        <x:v>账号与登录</x:v>
      </x:c>
      <x:c r="D218" s="10" t="str">
        <x:v>登录与注册（用户）</x:v>
      </x:c>
      <x:c r="E218" s="10" t="str">
        <x:v>功能需求</x:v>
      </x:c>
      <x:c r="F218" s="10" t="str">
        <x:v>P0</x:v>
      </x:c>
      <x:c r="G218" s="9" t="str">
        <x:v>验证Facebook封禁账号不能登录</x:v>
      </x:c>
      <x:c r="H218" s="9" t="str">
        <x:v>封禁登录拦截</x:v>
      </x:c>
      <x:c r="I218" s="9" t="str">
        <x:v>1. Facebook授权测试账号可用
2. 协议已勾选，第三方标识对应的账号已封禁</x:v>
      </x:c>
      <x:c r="J218" s="9" t="str">
        <x:v>1. 进入登录与注册页
2. 点击Facebook登录
3. 确认第三方授权</x:v>
      </x:c>
      <x:c r="K218" s="9" t="str">
        <x:v>账号不进入已登录状态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来源（当前证据）：liveshow-proto/MainBasis/统一需求文档.md；位置：auth-login-register.html、共同业务对象与规则
2. 规则：BR-A23948289B7C42
3. 未动态验证</x:v>
      </x:c>
    </x:row>
    <x:row r="219" ht="85" customHeight="1">
      <x:c r="A219" s="10" t="n">
        <x:v>218</x:v>
      </x:c>
      <x:c r="B219" s="10" t="str">
        <x:v>USER-0218</x:v>
      </x:c>
      <x:c r="C219" s="10" t="str">
        <x:v>账号与登录</x:v>
      </x:c>
      <x:c r="D219" s="10" t="str">
        <x:v>登录与注册（用户）</x:v>
      </x:c>
      <x:c r="E219" s="10" t="str">
        <x:v>功能需求</x:v>
      </x:c>
      <x:c r="F219" s="10" t="str">
        <x:v>P1</x:v>
      </x:c>
      <x:c r="G219" s="9" t="str">
        <x:v>验证Apple ID登录前的协议限制</x:v>
      </x:c>
      <x:c r="H219" s="9" t="str">
        <x:v>登录协议门槛</x:v>
      </x:c>
      <x:c r="I219" s="9" t="str">
        <x:v>1. Apple ID授权测试账号可用
2. 设备为 iOS
3. 未勾选用户协议和隐私政策</x:v>
      </x:c>
      <x:c r="J219" s="9" t="str">
        <x:v>1. 进入登录与注册页
2. 点击Apple ID登录</x:v>
      </x:c>
      <x:c r="K219" s="9" t="str">
        <x:v>不唤起第三方授权页面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来源（当前证据）：liveshow-proto/MainBasis/统一需求文档.md；位置：auth-login-register.html
2. 规则：BR-3BF23F47DCC7FE
3. 未动态验证</x:v>
      </x:c>
    </x:row>
    <x:row r="220" ht="85" customHeight="1">
      <x:c r="A220" s="10" t="n">
        <x:v>219</x:v>
      </x:c>
      <x:c r="B220" s="10" t="str">
        <x:v>USER-0219</x:v>
      </x:c>
      <x:c r="C220" s="10" t="str">
        <x:v>账号与登录</x:v>
      </x:c>
      <x:c r="D220" s="10" t="str">
        <x:v>登录与注册（用户）</x:v>
      </x:c>
      <x:c r="E220" s="10" t="str">
        <x:v>功能需求</x:v>
      </x:c>
      <x:c r="F220" s="10" t="str">
        <x:v>P1</x:v>
      </x:c>
      <x:c r="G220" s="9" t="str">
        <x:v>验证Apple ID新账号首次授权后的分流</x:v>
      </x:c>
      <x:c r="H220" s="9" t="str">
        <x:v>新账号资料补全</x:v>
      </x:c>
      <x:c r="I220" s="9" t="str">
        <x:v>1. Apple ID授权测试账号可用
2. 设备为 iOS
3. 第三方标识尚未绑定 Luma Live 账号</x:v>
      </x:c>
      <x:c r="J220" s="9" t="str">
        <x:v>1. 进入登录与注册页
2. 勾选用户协议和隐私政策
3. 点击Apple ID登录
4. 确认第三方授权</x:v>
      </x:c>
      <x:c r="K220" s="9" t="str">
        <x:v>进入资料补全页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来源（当前证据）：liveshow-proto/MainBasis/统一需求文档.md；位置：auth-login-register.html
2. 规则：BR-3D2083CFB476F2
3. 未动态验证</x:v>
      </x:c>
    </x:row>
    <x:row r="221" ht="85" customHeight="1">
      <x:c r="A221" s="10" t="n">
        <x:v>220</x:v>
      </x:c>
      <x:c r="B221" s="10" t="str">
        <x:v>USER-0220</x:v>
      </x:c>
      <x:c r="C221" s="10" t="str">
        <x:v>账号与登录</x:v>
      </x:c>
      <x:c r="D221" s="10" t="str">
        <x:v>登录与注册（用户）</x:v>
      </x:c>
      <x:c r="E221" s="10" t="str">
        <x:v>功能需求</x:v>
      </x:c>
      <x:c r="F221" s="10" t="str">
        <x:v>P1</x:v>
      </x:c>
      <x:c r="G221" s="9" t="str">
        <x:v>验证Apple ID已注册账号授权后的分流</x:v>
      </x:c>
      <x:c r="H221" s="9" t="str">
        <x:v>老账号登录</x:v>
      </x:c>
      <x:c r="I221" s="9" t="str">
        <x:v>1. Apple ID授权测试账号可用
2. 设备为 iOS
3. 第三方标识已绑定一个可用账号</x:v>
      </x:c>
      <x:c r="J221" s="9" t="str">
        <x:v>1. 进入登录与注册页
2. 勾选用户协议和隐私政策
3. 点击Apple ID登录
4. 确认第三方授权</x:v>
      </x:c>
      <x:c r="K221" s="9" t="str">
        <x:v>进入首页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来源（当前证据）：liveshow-proto/MainBasis/统一需求文档.md；位置：auth-login-register.html
2. 规则：BR-719E29F9718D65
3. 未动态验证</x:v>
      </x:c>
    </x:row>
    <x:row r="222" ht="85" customHeight="1">
      <x:c r="A222" s="10" t="n">
        <x:v>221</x:v>
      </x:c>
      <x:c r="B222" s="10" t="str">
        <x:v>USER-0221</x:v>
      </x:c>
      <x:c r="C222" s="10" t="str">
        <x:v>账号与登录</x:v>
      </x:c>
      <x:c r="D222" s="10" t="str">
        <x:v>登录与注册（用户）</x:v>
      </x:c>
      <x:c r="E222" s="10" t="str">
        <x:v>异常用例</x:v>
      </x:c>
      <x:c r="F222" s="10" t="str">
        <x:v>P1</x:v>
      </x:c>
      <x:c r="G222" s="9" t="str">
        <x:v>验证用户取消Apple ID授权</x:v>
      </x:c>
      <x:c r="H222" s="9" t="str">
        <x:v>授权取消反馈</x:v>
      </x:c>
      <x:c r="I222" s="9" t="str">
        <x:v>1. Apple ID授权测试账号可用
2. 设备为 iOS
3. 协议已勾选</x:v>
      </x:c>
      <x:c r="J222" s="9" t="str">
        <x:v>1. 进入登录与注册页
2. 点击Apple ID登录
3. 取消第三方授权</x:v>
      </x:c>
      <x:c r="K222" s="9" t="str">
        <x:v>登录页提示“已取消授权”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来源（当前证据）：liveshow-proto/MainBasis/统一需求文档.md；位置：auth-login-register.html
2. 规则：BR-F8A7C0A35E53FF
3. 未动态验证</x:v>
      </x:c>
    </x:row>
    <x:row r="223" ht="85" customHeight="1">
      <x:c r="A223" s="10" t="n">
        <x:v>222</x:v>
      </x:c>
      <x:c r="B223" s="10" t="str">
        <x:v>USER-0222</x:v>
      </x:c>
      <x:c r="C223" s="10" t="str">
        <x:v>账号与登录</x:v>
      </x:c>
      <x:c r="D223" s="10" t="str">
        <x:v>登录与注册（用户）</x:v>
      </x:c>
      <x:c r="E223" s="10" t="str">
        <x:v>异常用例</x:v>
      </x:c>
      <x:c r="F223" s="10" t="str">
        <x:v>P1</x:v>
      </x:c>
      <x:c r="G223" s="9" t="str">
        <x:v>验证Apple ID授权失败</x:v>
      </x:c>
      <x:c r="H223" s="9" t="str">
        <x:v>授权失败反馈</x:v>
      </x:c>
      <x:c r="I223" s="9" t="str">
        <x:v>1. Apple ID授权测试账号可用
2. 设备为 iOS
3. 协议已勾选，授权服务本次返回失败</x:v>
      </x:c>
      <x:c r="J223" s="9" t="str">
        <x:v>1. 进入登录与注册页
2. 点击Apple ID登录</x:v>
      </x:c>
      <x:c r="K223" s="9" t="str">
        <x:v>登录页提示“登录失败，请重试”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来源（当前证据）：liveshow-proto/MainBasis/统一需求文档.md；位置：auth-login-register.html
2. 规则：BR-F554F8E95E2460
3. 未动态验证</x:v>
      </x:c>
    </x:row>
    <x:row r="224" ht="85" customHeight="1">
      <x:c r="A224" s="10" t="n">
        <x:v>223</x:v>
      </x:c>
      <x:c r="B224" s="10" t="str">
        <x:v>USER-0223</x:v>
      </x:c>
      <x:c r="C224" s="10" t="str">
        <x:v>账号与登录</x:v>
      </x:c>
      <x:c r="D224" s="10" t="str">
        <x:v>登录与注册（用户）</x:v>
      </x:c>
      <x:c r="E224" s="10" t="str">
        <x:v>功能需求</x:v>
      </x:c>
      <x:c r="F224" s="10" t="str">
        <x:v>P0</x:v>
      </x:c>
      <x:c r="G224" s="9" t="str">
        <x:v>验证Apple ID封禁账号不能登录</x:v>
      </x:c>
      <x:c r="H224" s="9" t="str">
        <x:v>封禁登录拦截</x:v>
      </x:c>
      <x:c r="I224" s="9" t="str">
        <x:v>1. Apple ID授权测试账号可用
2. 设备为 iOS
3. 协议已勾选，第三方标识对应的账号已封禁</x:v>
      </x:c>
      <x:c r="J224" s="9" t="str">
        <x:v>1. 进入登录与注册页
2. 点击Apple ID登录
3. 确认第三方授权</x:v>
      </x:c>
      <x:c r="K224" s="9" t="str">
        <x:v>账号不进入已登录状态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来源（当前证据）：liveshow-proto/MainBasis/统一需求文档.md；位置：auth-login-register.html、共同业务对象与规则
2. 规则：BR-D4D54BB40DDA66
3. 未动态验证</x:v>
      </x:c>
    </x:row>
    <x:row r="225" ht="85" customHeight="1">
      <x:c r="A225" s="10" t="n">
        <x:v>224</x:v>
      </x:c>
      <x:c r="B225" s="10" t="str">
        <x:v>USER-0224</x:v>
      </x:c>
      <x:c r="C225" s="10" t="str">
        <x:v>账号与登录</x:v>
      </x:c>
      <x:c r="D225" s="10" t="str">
        <x:v>登录与注册（用户）</x:v>
      </x:c>
      <x:c r="E225" s="10" t="str">
        <x:v>功能需求</x:v>
      </x:c>
      <x:c r="F225" s="10" t="str">
        <x:v>P1</x:v>
      </x:c>
      <x:c r="G225" s="9" t="str">
        <x:v>验证TikTok登录前的协议限制</x:v>
      </x:c>
      <x:c r="H225" s="9" t="str">
        <x:v>登录协议门槛</x:v>
      </x:c>
      <x:c r="I225" s="9" t="str">
        <x:v>1. TikTok授权测试账号可用
2. 未勾选用户协议和隐私政策</x:v>
      </x:c>
      <x:c r="J225" s="9" t="str">
        <x:v>1. 进入登录与注册页
2. 点击TikTok登录</x:v>
      </x:c>
      <x:c r="K225" s="9" t="str">
        <x:v>不唤起第三方授权页面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来源（当前证据）：liveshow-proto/MainBasis/统一需求文档.md；位置：auth-login-register.html
2. 规则：BR-344D0F010F1CAE
3. 未动态验证</x:v>
      </x:c>
    </x:row>
    <x:row r="226" ht="85" customHeight="1">
      <x:c r="A226" s="10" t="n">
        <x:v>225</x:v>
      </x:c>
      <x:c r="B226" s="10" t="str">
        <x:v>USER-0225</x:v>
      </x:c>
      <x:c r="C226" s="10" t="str">
        <x:v>账号与登录</x:v>
      </x:c>
      <x:c r="D226" s="10" t="str">
        <x:v>登录与注册（用户）</x:v>
      </x:c>
      <x:c r="E226" s="10" t="str">
        <x:v>功能需求</x:v>
      </x:c>
      <x:c r="F226" s="10" t="str">
        <x:v>P1</x:v>
      </x:c>
      <x:c r="G226" s="9" t="str">
        <x:v>验证TikTok新账号首次授权后的分流</x:v>
      </x:c>
      <x:c r="H226" s="9" t="str">
        <x:v>新账号资料补全</x:v>
      </x:c>
      <x:c r="I226" s="9" t="str">
        <x:v>1. TikTok授权测试账号可用
2. 第三方标识尚未绑定 Luma Live 账号</x:v>
      </x:c>
      <x:c r="J226" s="9" t="str">
        <x:v>1. 进入登录与注册页
2. 勾选用户协议和隐私政策
3. 点击TikTok登录
4. 确认第三方授权</x:v>
      </x:c>
      <x:c r="K226" s="9" t="str">
        <x:v>进入资料补全页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来源（当前证据）：liveshow-proto/MainBasis/统一需求文档.md；位置：auth-login-register.html
2. 规则：BR-549A235DD2F554
3. 未动态验证</x:v>
      </x:c>
    </x:row>
    <x:row r="227" ht="85" customHeight="1">
      <x:c r="A227" s="10" t="n">
        <x:v>226</x:v>
      </x:c>
      <x:c r="B227" s="10" t="str">
        <x:v>USER-0226</x:v>
      </x:c>
      <x:c r="C227" s="10" t="str">
        <x:v>账号与登录</x:v>
      </x:c>
      <x:c r="D227" s="10" t="str">
        <x:v>登录与注册（用户）</x:v>
      </x:c>
      <x:c r="E227" s="10" t="str">
        <x:v>功能需求</x:v>
      </x:c>
      <x:c r="F227" s="10" t="str">
        <x:v>P1</x:v>
      </x:c>
      <x:c r="G227" s="9" t="str">
        <x:v>验证TikTok已注册账号授权后的分流</x:v>
      </x:c>
      <x:c r="H227" s="9" t="str">
        <x:v>老账号登录</x:v>
      </x:c>
      <x:c r="I227" s="9" t="str">
        <x:v>1. TikTok授权测试账号可用
2. 第三方标识已绑定一个可用账号</x:v>
      </x:c>
      <x:c r="J227" s="9" t="str">
        <x:v>1. 进入登录与注册页
2. 勾选用户协议和隐私政策
3. 点击TikTok登录
4. 确认第三方授权</x:v>
      </x:c>
      <x:c r="K227" s="9" t="str">
        <x:v>进入首页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来源（当前证据）：liveshow-proto/MainBasis/统一需求文档.md；位置：auth-login-register.html
2. 规则：BR-5F24CB0726EC30
3. 未动态验证</x:v>
      </x:c>
    </x:row>
    <x:row r="228" ht="85" customHeight="1">
      <x:c r="A228" s="10" t="n">
        <x:v>227</x:v>
      </x:c>
      <x:c r="B228" s="10" t="str">
        <x:v>USER-0227</x:v>
      </x:c>
      <x:c r="C228" s="10" t="str">
        <x:v>账号与登录</x:v>
      </x:c>
      <x:c r="D228" s="10" t="str">
        <x:v>登录与注册（用户）</x:v>
      </x:c>
      <x:c r="E228" s="10" t="str">
        <x:v>异常用例</x:v>
      </x:c>
      <x:c r="F228" s="10" t="str">
        <x:v>P1</x:v>
      </x:c>
      <x:c r="G228" s="9" t="str">
        <x:v>验证用户取消TikTok授权</x:v>
      </x:c>
      <x:c r="H228" s="9" t="str">
        <x:v>授权取消反馈</x:v>
      </x:c>
      <x:c r="I228" s="9" t="str">
        <x:v>1. TikTok授权测试账号可用
2. 协议已勾选</x:v>
      </x:c>
      <x:c r="J228" s="9" t="str">
        <x:v>1. 进入登录与注册页
2. 点击TikTok登录
3. 取消第三方授权</x:v>
      </x:c>
      <x:c r="K228" s="9" t="str">
        <x:v>登录页提示“已取消授权”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来源（当前证据）：liveshow-proto/MainBasis/统一需求文档.md；位置：auth-login-register.html
2. 规则：BR-8A7AC970C61A55
3. 未动态验证</x:v>
      </x:c>
    </x:row>
    <x:row r="229" ht="85" customHeight="1">
      <x:c r="A229" s="10" t="n">
        <x:v>228</x:v>
      </x:c>
      <x:c r="B229" s="10" t="str">
        <x:v>USER-0228</x:v>
      </x:c>
      <x:c r="C229" s="10" t="str">
        <x:v>账号与登录</x:v>
      </x:c>
      <x:c r="D229" s="10" t="str">
        <x:v>登录与注册（用户）</x:v>
      </x:c>
      <x:c r="E229" s="10" t="str">
        <x:v>异常用例</x:v>
      </x:c>
      <x:c r="F229" s="10" t="str">
        <x:v>P1</x:v>
      </x:c>
      <x:c r="G229" s="9" t="str">
        <x:v>验证TikTok授权失败</x:v>
      </x:c>
      <x:c r="H229" s="9" t="str">
        <x:v>授权失败反馈</x:v>
      </x:c>
      <x:c r="I229" s="9" t="str">
        <x:v>1. TikTok授权测试账号可用
2. 协议已勾选，授权服务本次返回失败</x:v>
      </x:c>
      <x:c r="J229" s="9" t="str">
        <x:v>1. 进入登录与注册页
2. 点击TikTok登录</x:v>
      </x:c>
      <x:c r="K229" s="9" t="str">
        <x:v>登录页提示“登录失败，请重试”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来源（当前证据）：liveshow-proto/MainBasis/统一需求文档.md；位置：auth-login-register.html
2. 规则：BR-21495332C5EE57
3. 未动态验证</x:v>
      </x:c>
    </x:row>
    <x:row r="230" ht="85" customHeight="1">
      <x:c r="A230" s="10" t="n">
        <x:v>229</x:v>
      </x:c>
      <x:c r="B230" s="10" t="str">
        <x:v>USER-0229</x:v>
      </x:c>
      <x:c r="C230" s="10" t="str">
        <x:v>账号与登录</x:v>
      </x:c>
      <x:c r="D230" s="10" t="str">
        <x:v>登录与注册（用户）</x:v>
      </x:c>
      <x:c r="E230" s="10" t="str">
        <x:v>功能需求</x:v>
      </x:c>
      <x:c r="F230" s="10" t="str">
        <x:v>P0</x:v>
      </x:c>
      <x:c r="G230" s="9" t="str">
        <x:v>验证TikTok封禁账号不能登录</x:v>
      </x:c>
      <x:c r="H230" s="9" t="str">
        <x:v>封禁登录拦截</x:v>
      </x:c>
      <x:c r="I230" s="9" t="str">
        <x:v>1. TikTok授权测试账号可用
2. 协议已勾选，第三方标识对应的账号已封禁</x:v>
      </x:c>
      <x:c r="J230" s="9" t="str">
        <x:v>1. 进入登录与注册页
2. 点击TikTok登录
3. 确认第三方授权</x:v>
      </x:c>
      <x:c r="K230" s="9" t="str">
        <x:v>账号不进入已登录状态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来源（当前证据）：liveshow-proto/MainBasis/统一需求文档.md；位置：auth-login-register.html、共同业务对象与规则
2. 规则：BR-7A00758D817484
3. 未动态验证</x:v>
      </x:c>
    </x:row>
    <x:row r="231" ht="85" customHeight="1">
      <x:c r="A231" s="10" t="n">
        <x:v>230</x:v>
      </x:c>
      <x:c r="B231" s="10" t="str">
        <x:v>USER-0230</x:v>
      </x:c>
      <x:c r="C231" s="10" t="str">
        <x:v>账号与登录</x:v>
      </x:c>
      <x:c r="D231" s="10" t="str">
        <x:v>登录与注册（用户）</x:v>
      </x:c>
      <x:c r="E231" s="10" t="str">
        <x:v>功能需求</x:v>
      </x:c>
      <x:c r="F231" s="10" t="str">
        <x:v>P1</x:v>
      </x:c>
      <x:c r="G231" s="9" t="str">
        <x:v>验证 Android 登录页不提供 Apple ID</x:v>
      </x:c>
      <x:c r="H231" s="9" t="str">
        <x:v>Apple 平台范围</x:v>
      </x:c>
      <x:c r="I231" s="9" t="str">
        <x:v>1. 设备为 Android</x:v>
      </x:c>
      <x:c r="J231" s="9" t="str">
        <x:v>1. 进入登录与注册页</x:v>
      </x:c>
      <x:c r="K231" s="9" t="str">
        <x:v>登录入口不包含 Apple ID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来源（当前证据）：liveshow-proto/MainBasis/统一需求文档.md；位置：auth-login-register.html
2. 规则：BR-48E9F54212FB56
3. 未动态验证</x:v>
      </x:c>
    </x:row>
    <x:row r="232" ht="85" customHeight="1">
      <x:c r="A232" s="10" t="n">
        <x:v>231</x:v>
      </x:c>
      <x:c r="B232" s="10" t="str">
        <x:v>USER-0231</x:v>
      </x:c>
      <x:c r="C232" s="10" t="str">
        <x:v>账号与登录</x:v>
      </x:c>
      <x:c r="D232" s="10" t="str">
        <x:v>登录与注册（用户）</x:v>
      </x:c>
      <x:c r="E232" s="10" t="str">
        <x:v>功能需求</x:v>
      </x:c>
      <x:c r="F232" s="10" t="str">
        <x:v>P1</x:v>
      </x:c>
      <x:c r="G232" s="9" t="str">
        <x:v>验证游客无需勾选登录协议</x:v>
      </x:c>
      <x:c r="H232" s="9" t="str">
        <x:v>游客登录分离</x:v>
      </x:c>
      <x:c r="I232" s="9" t="str">
        <x:v>1. 未勾选协议</x:v>
      </x:c>
      <x:c r="J232" s="9" t="str">
        <x:v>1. 进入登录与注册页
2. 点击游客进入</x:v>
      </x:c>
      <x:c r="K232" s="9" t="str">
        <x:v>以游客身份进入首页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来源（当前证据）：liveshow-proto/MainBasis/统一需求文档.md；位置：auth-login-register.html
2. 规则：BR-0EA1E37BDE958E
3. 未动态验证</x:v>
      </x:c>
    </x:row>
    <x:row r="233" ht="85" customHeight="1">
      <x:c r="A233" s="10" t="n">
        <x:v>232</x:v>
      </x:c>
      <x:c r="B233" s="10" t="str">
        <x:v>USER-0232</x:v>
      </x:c>
      <x:c r="C233" s="10" t="str">
        <x:v>账号与登录</x:v>
      </x:c>
      <x:c r="D233" s="10" t="str">
        <x:v>登录与注册（用户）</x:v>
      </x:c>
      <x:c r="E233" s="10" t="str">
        <x:v>功能需求</x:v>
      </x:c>
      <x:c r="F233" s="10" t="str">
        <x:v>P1</x:v>
      </x:c>
      <x:c r="G233" s="9" t="str">
        <x:v>验证待注销账号登录提示取消期限</x:v>
      </x:c>
      <x:c r="H233" s="9" t="str">
        <x:v>注销冷静期入口</x:v>
      </x:c>
      <x:c r="I233" s="9" t="str">
        <x:v>1. 账号有未满七日的注销申请，使用绑定第三方账号授权</x:v>
      </x:c>
      <x:c r="J233" s="9" t="str">
        <x:v>1. 进入登录与注册页
2. 确认第三方授权</x:v>
      </x:c>
      <x:c r="K233" s="9" t="str">
        <x:v>显示该账号的可取消截止时间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来源（当前证据）：liveshow-proto/MainBasis/统一需求文档.md；位置：auth-login-register.html
2. 规则：BR-9C3862AC717CD2
3. 未动态验证</x:v>
      </x:c>
    </x:row>
    <x:row r="234" ht="85" customHeight="1">
      <x:c r="A234" s="10" t="n">
        <x:v>233</x:v>
      </x:c>
      <x:c r="B234" s="10" t="str">
        <x:v>USER-0233</x:v>
      </x:c>
      <x:c r="C234" s="10" t="str">
        <x:v>账号与登录</x:v>
      </x:c>
      <x:c r="D234" s="10" t="str">
        <x:v>手机号登录（用户）</x:v>
      </x:c>
      <x:c r="E234" s="10" t="str">
        <x:v>功能需求</x:v>
      </x:c>
      <x:c r="F234" s="10" t="str">
        <x:v>P1</x:v>
      </x:c>
      <x:c r="G234" s="9" t="str">
        <x:v>验证手机号登录默认采用验证码</x:v>
      </x:c>
      <x:c r="H234" s="9" t="str">
        <x:v>默认认证方式</x:v>
      </x:c>
      <x:c r="I234" s="9" t="str">
        <x:v>1. 用户可访问手机号登录</x:v>
      </x:c>
      <x:c r="J234" s="9" t="str">
        <x:v>1. 进入手机号登录页</x:v>
      </x:c>
      <x:c r="K234" s="9" t="str">
        <x:v>默认显示短信验证码登录表单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来源（当前证据）：liveshow-proto/MainBasis/统一需求文档.md；位置：auth-phone-login.html
2. 规则：BR-15424A26304D30
3. 未动态验证</x:v>
      </x:c>
    </x:row>
    <x:row r="235" ht="85" customHeight="1">
      <x:c r="A235" s="10" t="n">
        <x:v>234</x:v>
      </x:c>
      <x:c r="B235" s="10" t="str">
        <x:v>USER-0234</x:v>
      </x:c>
      <x:c r="C235" s="10" t="str">
        <x:v>账号与登录</x:v>
      </x:c>
      <x:c r="D235" s="10" t="str">
        <x:v>手机号登录（用户）</x:v>
      </x:c>
      <x:c r="E235" s="10" t="str">
        <x:v>功能需求</x:v>
      </x:c>
      <x:c r="F235" s="10" t="str">
        <x:v>P1</x:v>
      </x:c>
      <x:c r="G235" s="9" t="str">
        <x:v>验证手机号登录切换密码方式</x:v>
      </x:c>
      <x:c r="H235" s="9" t="str">
        <x:v>密码认证表单</x:v>
      </x:c>
      <x:c r="I235" s="9" t="str">
        <x:v>1. 用户可访问手机号登录</x:v>
      </x:c>
      <x:c r="J235" s="9" t="str">
        <x:v>1. 进入手机号登录页
2. 点击使用密码登录</x:v>
      </x:c>
      <x:c r="K235" s="9" t="str">
        <x:v>显示密码输入项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来源（当前证据）：liveshow-proto/MainBasis/统一需求文档.md；位置：auth-phone-login.html
2. 规则：BR-4DAEA5DA64C907
3. 未动态验证</x:v>
      </x:c>
    </x:row>
    <x:row r="236" ht="85" customHeight="1">
      <x:c r="A236" s="10" t="n">
        <x:v>235</x:v>
      </x:c>
      <x:c r="B236" s="10" t="str">
        <x:v>USER-0235</x:v>
      </x:c>
      <x:c r="C236" s="10" t="str">
        <x:v>账号与登录</x:v>
      </x:c>
      <x:c r="D236" s="10" t="str">
        <x:v>手机号登录（用户）</x:v>
      </x:c>
      <x:c r="E236" s="10" t="str">
        <x:v>功能需求</x:v>
      </x:c>
      <x:c r="F236" s="10" t="str">
        <x:v>P1</x:v>
      </x:c>
      <x:c r="G236" s="9" t="str">
        <x:v>验证手机号验证码获取倒计时</x:v>
      </x:c>
      <x:c r="H236" s="9" t="str">
        <x:v>验证码重发间隔</x:v>
      </x:c>
      <x:c r="I236" s="9" t="str">
        <x:v>1. 手机号为可接收验证码的合法测试账号</x:v>
      </x:c>
      <x:c r="J236" s="9" t="str">
        <x:v>1. 进入手机号登录页
2. 点击获取验证码</x:v>
      </x:c>
      <x:c r="K236" s="9" t="str">
        <x:v>获取验证码按钮在 60 秒倒计时期间不可再次触发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来源（当前证据）：liveshow-proto/MainBasis/统一需求文档.md；位置：auth-phone-login.html
2. 规则：BR-B57D07D2512DDA
3. 未动态验证</x:v>
      </x:c>
    </x:row>
    <x:row r="237" ht="85" customHeight="1">
      <x:c r="A237" s="10" t="n">
        <x:v>236</x:v>
      </x:c>
      <x:c r="B237" s="10" t="str">
        <x:v>USER-0236</x:v>
      </x:c>
      <x:c r="C237" s="10" t="str">
        <x:v>账号与登录</x:v>
      </x:c>
      <x:c r="D237" s="10" t="str">
        <x:v>手机号登录（用户）</x:v>
      </x:c>
      <x:c r="E237" s="10" t="str">
        <x:v>功能需求</x:v>
      </x:c>
      <x:c r="F237" s="10" t="str">
        <x:v>P1</x:v>
      </x:c>
      <x:c r="G237" s="9" t="str">
        <x:v>验证手机号验证码重发倒计时结束</x:v>
      </x:c>
      <x:c r="H237" s="9" t="str">
        <x:v>验证码恢复发送</x:v>
      </x:c>
      <x:c r="I237" s="9" t="str">
        <x:v>1. 手机号已发送验证码且距发送已满 60 秒</x:v>
      </x:c>
      <x:c r="J237" s="9" t="str">
        <x:v>1. 进入手机号登录页
2. 点击获取验证码</x:v>
      </x:c>
      <x:c r="K237" s="9" t="str">
        <x:v>可以发起一笔新的验证码发送请求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来源（当前证据）：liveshow-proto/MainBasis/统一需求文档.md；位置：auth-phone-login.html
2. 规则：BR-A22D30D4FE64E8
3. 未动态验证</x:v>
      </x:c>
    </x:row>
    <x:row r="238" ht="85" customHeight="1">
      <x:c r="A238" s="10" t="n">
        <x:v>237</x:v>
      </x:c>
      <x:c r="B238" s="10" t="str">
        <x:v>USER-0237</x:v>
      </x:c>
      <x:c r="C238" s="10" t="str">
        <x:v>账号与登录</x:v>
      </x:c>
      <x:c r="D238" s="10" t="str">
        <x:v>手机号登录（用户）</x:v>
      </x:c>
      <x:c r="E238" s="10" t="str">
        <x:v>功能需求</x:v>
      </x:c>
      <x:c r="F238" s="10" t="str">
        <x:v>P1</x:v>
      </x:c>
      <x:c r="G238" s="9" t="str">
        <x:v>验证手机号正确凭证登录</x:v>
      </x:c>
      <x:c r="H238" s="9" t="str">
        <x:v>凭证登录成功</x:v>
      </x:c>
      <x:c r="I238" s="9" t="str">
        <x:v>1. 手机号对应已注册可用账号，验证码未过期且协议已勾选</x:v>
      </x:c>
      <x:c r="J238" s="9" t="str">
        <x:v>1. 进入手机号登录页
2. 输入本次收到的 6 位验证码
3. 点击继续</x:v>
      </x:c>
      <x:c r="K238" s="9" t="str">
        <x:v>进入首页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来源（当前证据）：liveshow-proto/MainBasis/统一需求文档.md；位置：auth-phone-login.html
2. 规则：BR-DE28F33EDFE27D
3. 未动态验证</x:v>
      </x:c>
    </x:row>
    <x:row r="239" ht="85" customHeight="1">
      <x:c r="A239" s="10" t="n">
        <x:v>238</x:v>
      </x:c>
      <x:c r="B239" s="10" t="str">
        <x:v>USER-0238</x:v>
      </x:c>
      <x:c r="C239" s="10" t="str">
        <x:v>账号与登录</x:v>
      </x:c>
      <x:c r="D239" s="10" t="str">
        <x:v>手机号登录（用户）</x:v>
      </x:c>
      <x:c r="E239" s="10" t="str">
        <x:v>异常用例</x:v>
      </x:c>
      <x:c r="F239" s="10" t="str">
        <x:v>P1</x:v>
      </x:c>
      <x:c r="G239" s="9" t="str">
        <x:v>验证手机号验证码超过五分钟失效</x:v>
      </x:c>
      <x:c r="H239" s="9" t="str">
        <x:v>验证码到期拦截</x:v>
      </x:c>
      <x:c r="I239" s="9" t="str">
        <x:v>1. 手机号对应可用账号，验证码已发送超过 5 分钟，协议已勾选</x:v>
      </x:c>
      <x:c r="J239" s="9" t="str">
        <x:v>1. 进入手机号登录页
2. 输入已过期的 6 位验证码
3. 点击继续</x:v>
      </x:c>
      <x:c r="K239" s="9" t="str">
        <x:v>不建立登录会话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来源（当前证据）：liveshow-proto/MainBasis/统一需求文档.md；位置：auth-phone-login.html
2. 规则：BR-DEFED8E58719A0
3. 未动态验证</x:v>
      </x:c>
    </x:row>
    <x:row r="240" ht="100" customHeight="1">
      <x:c r="A240" s="10" t="n">
        <x:v>239</x:v>
      </x:c>
      <x:c r="B240" s="10" t="str">
        <x:v>USER-0239</x:v>
      </x:c>
      <x:c r="C240" s="10" t="str">
        <x:v>账号与登录</x:v>
      </x:c>
      <x:c r="D240" s="10" t="str">
        <x:v>手机号登录（用户）</x:v>
      </x:c>
      <x:c r="E240" s="10" t="str">
        <x:v>异常用例</x:v>
      </x:c>
      <x:c r="F240" s="10" t="str">
        <x:v>P1</x:v>
      </x:c>
      <x:c r="G240" s="9" t="str">
        <x:v>验证手机号验证码连续输错五次后失效</x:v>
      </x:c>
      <x:c r="H240" s="9" t="str">
        <x:v>验证码错误次数</x:v>
      </x:c>
      <x:c r="I240" s="9" t="str">
        <x:v>1. 手机号对应可用账号，本次验证码尚未过期且协议已勾选</x:v>
      </x:c>
      <x:c r="J240" s="9" t="str">
        <x:v>1. 进入手机号登录页
2. 输入与本次验证码不同的 6 位数字并点击继续，连续完成 5 次
3. 输入本次原验证码
4. 点击继续</x:v>
      </x:c>
      <x:c r="K240" s="9" t="str">
        <x:v>第 5 次错误后原验证码不能再用于登录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来源（当前证据）：liveshow-proto/MainBasis/统一需求文档.md；位置：auth-phone-login.html
2. 规则：BR-30A912C3F48CA2
3. 未动态验证</x:v>
      </x:c>
    </x:row>
    <x:row r="241" ht="85" customHeight="1">
      <x:c r="A241" s="10" t="n">
        <x:v>240</x:v>
      </x:c>
      <x:c r="B241" s="10" t="str">
        <x:v>USER-0240</x:v>
      </x:c>
      <x:c r="C241" s="10" t="str">
        <x:v>账号与登录</x:v>
      </x:c>
      <x:c r="D241" s="10" t="str">
        <x:v>手机号登录（用户）</x:v>
      </x:c>
      <x:c r="E241" s="10" t="str">
        <x:v>功能需求</x:v>
      </x:c>
      <x:c r="F241" s="10" t="str">
        <x:v>P1</x:v>
      </x:c>
      <x:c r="G241" s="9" t="str">
        <x:v>验证手机号登录的注销冷静期分支</x:v>
      </x:c>
      <x:c r="H241" s="9" t="str">
        <x:v>待注销登录分流</x:v>
      </x:c>
      <x:c r="I241" s="9" t="str">
        <x:v>1. 手机号账号处于注销冷静期，凭证和协议有效</x:v>
      </x:c>
      <x:c r="J241" s="9" t="str">
        <x:v>1. 进入手机号登录页
2. 点击继续</x:v>
      </x:c>
      <x:c r="K241" s="9" t="str">
        <x:v>显示可取消注销的冷静期弹窗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来源（当前证据）：liveshow-proto/MainBasis/统一需求文档.md；位置：auth-phone-login.html
2. 规则：BR-837D8FCE114D09
3. 未动态验证</x:v>
      </x:c>
    </x:row>
    <x:row r="242" ht="85" customHeight="1">
      <x:c r="A242" s="10" t="n">
        <x:v>241</x:v>
      </x:c>
      <x:c r="B242" s="10" t="str">
        <x:v>USER-0241</x:v>
      </x:c>
      <x:c r="C242" s="10" t="str">
        <x:v>账号与登录</x:v>
      </x:c>
      <x:c r="D242" s="10" t="str">
        <x:v>手机号登录（用户）</x:v>
      </x:c>
      <x:c r="E242" s="10" t="str">
        <x:v>功能需求</x:v>
      </x:c>
      <x:c r="F242" s="10" t="str">
        <x:v>P1</x:v>
      </x:c>
      <x:c r="G242" s="9" t="str">
        <x:v>验证手机号缺少密码时不能继续</x:v>
      </x:c>
      <x:c r="H242" s="9" t="str">
        <x:v>密码必填</x:v>
      </x:c>
      <x:c r="I242" s="9" t="str">
        <x:v>1. 已切换密码登录且协议已勾选</x:v>
      </x:c>
      <x:c r="J242" s="9" t="str">
        <x:v>1. 进入手机号登录页
2. 清空密码</x:v>
      </x:c>
      <x:c r="K242" s="9" t="str">
        <x:v>继续按钮不可用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来源（当前证据）：liveshow-proto/MainBasis/统一需求文档.md；位置：auth-phone-login.html
2. 规则：BR-1D1C3F64F95948
3. 未动态验证</x:v>
      </x:c>
    </x:row>
    <x:row r="243" ht="85" customHeight="1">
      <x:c r="A243" s="10" t="n">
        <x:v>242</x:v>
      </x:c>
      <x:c r="B243" s="10" t="str">
        <x:v>USER-0242</x:v>
      </x:c>
      <x:c r="C243" s="10" t="str">
        <x:v>账号与登录</x:v>
      </x:c>
      <x:c r="D243" s="10" t="str">
        <x:v>手机号登录（用户）</x:v>
      </x:c>
      <x:c r="E243" s="10" t="str">
        <x:v>功能需求</x:v>
      </x:c>
      <x:c r="F243" s="10" t="str">
        <x:v>P1</x:v>
      </x:c>
      <x:c r="G243" s="9" t="str">
        <x:v>验证手机号登录未同意协议不能继续</x:v>
      </x:c>
      <x:c r="H243" s="9" t="str">
        <x:v>协议必选</x:v>
      </x:c>
      <x:c r="I243" s="9" t="str">
        <x:v>1. 手机号和凭证均有效，协议未勾选</x:v>
      </x:c>
      <x:c r="J243" s="9" t="str">
        <x:v>1. 进入手机号登录页</x:v>
      </x:c>
      <x:c r="K243" s="9" t="str">
        <x:v>继续按钮不可用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来源（当前证据）：liveshow-proto/MainBasis/统一需求文档.md；位置：auth-phone-login.html
2. 规则：BR-7D1A25BAB4A3FE
3. 未动态验证</x:v>
      </x:c>
    </x:row>
    <x:row r="244" ht="85" customHeight="1">
      <x:c r="A244" s="10" t="n">
        <x:v>243</x:v>
      </x:c>
      <x:c r="B244" s="10" t="str">
        <x:v>USER-0243</x:v>
      </x:c>
      <x:c r="C244" s="10" t="str">
        <x:v>账号与登录</x:v>
      </x:c>
      <x:c r="D244" s="10" t="str">
        <x:v>邮箱登录（用户）</x:v>
      </x:c>
      <x:c r="E244" s="10" t="str">
        <x:v>功能需求</x:v>
      </x:c>
      <x:c r="F244" s="10" t="str">
        <x:v>P1</x:v>
      </x:c>
      <x:c r="G244" s="9" t="str">
        <x:v>验证邮箱登录默认采用验证码</x:v>
      </x:c>
      <x:c r="H244" s="9" t="str">
        <x:v>默认认证方式</x:v>
      </x:c>
      <x:c r="I244" s="9" t="str">
        <x:v>1. 用户可访问邮箱登录</x:v>
      </x:c>
      <x:c r="J244" s="9" t="str">
        <x:v>1. 进入邮箱登录页</x:v>
      </x:c>
      <x:c r="K244" s="9" t="str">
        <x:v>默认显示邮箱验证码登录表单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来源（当前证据）：liveshow-proto/MainBasis/统一需求文档.md；位置：auth-email-login.html
2. 规则：BR-F4FFBACA72D9CD
3. 未动态验证</x:v>
      </x:c>
    </x:row>
    <x:row r="245" ht="85" customHeight="1">
      <x:c r="A245" s="10" t="n">
        <x:v>244</x:v>
      </x:c>
      <x:c r="B245" s="10" t="str">
        <x:v>USER-0244</x:v>
      </x:c>
      <x:c r="C245" s="10" t="str">
        <x:v>账号与登录</x:v>
      </x:c>
      <x:c r="D245" s="10" t="str">
        <x:v>邮箱登录（用户）</x:v>
      </x:c>
      <x:c r="E245" s="10" t="str">
        <x:v>功能需求</x:v>
      </x:c>
      <x:c r="F245" s="10" t="str">
        <x:v>P1</x:v>
      </x:c>
      <x:c r="G245" s="9" t="str">
        <x:v>验证邮箱登录切换密码方式</x:v>
      </x:c>
      <x:c r="H245" s="9" t="str">
        <x:v>密码认证表单</x:v>
      </x:c>
      <x:c r="I245" s="9" t="str">
        <x:v>1. 用户可访问邮箱登录</x:v>
      </x:c>
      <x:c r="J245" s="9" t="str">
        <x:v>1. 进入邮箱登录页
2. 点击使用密码登录</x:v>
      </x:c>
      <x:c r="K245" s="9" t="str">
        <x:v>显示密码输入项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来源（当前证据）：liveshow-proto/MainBasis/统一需求文档.md；位置：auth-email-login.html
2. 规则：BR-869A9D74FA93C1
3. 未动态验证</x:v>
      </x:c>
    </x:row>
    <x:row r="246" ht="85" customHeight="1">
      <x:c r="A246" s="10" t="n">
        <x:v>245</x:v>
      </x:c>
      <x:c r="B246" s="10" t="str">
        <x:v>USER-0245</x:v>
      </x:c>
      <x:c r="C246" s="10" t="str">
        <x:v>账号与登录</x:v>
      </x:c>
      <x:c r="D246" s="10" t="str">
        <x:v>邮箱登录（用户）</x:v>
      </x:c>
      <x:c r="E246" s="10" t="str">
        <x:v>功能需求</x:v>
      </x:c>
      <x:c r="F246" s="10" t="str">
        <x:v>P1</x:v>
      </x:c>
      <x:c r="G246" s="9" t="str">
        <x:v>验证邮箱验证码获取倒计时</x:v>
      </x:c>
      <x:c r="H246" s="9" t="str">
        <x:v>验证码重发间隔</x:v>
      </x:c>
      <x:c r="I246" s="9" t="str">
        <x:v>1. 邮箱为可接收验证码的合法测试账号</x:v>
      </x:c>
      <x:c r="J246" s="9" t="str">
        <x:v>1. 进入邮箱登录页
2. 点击获取验证码</x:v>
      </x:c>
      <x:c r="K246" s="9" t="str">
        <x:v>获取验证码按钮在 60 秒倒计时期间不可再次触发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来源（当前证据）：liveshow-proto/MainBasis/统一需求文档.md；位置：auth-email-login.html
2. 规则：BR-AD62B86C6057B0
3. 未动态验证</x:v>
      </x:c>
    </x:row>
    <x:row r="247" ht="85" customHeight="1">
      <x:c r="A247" s="10" t="n">
        <x:v>246</x:v>
      </x:c>
      <x:c r="B247" s="10" t="str">
        <x:v>USER-0246</x:v>
      </x:c>
      <x:c r="C247" s="10" t="str">
        <x:v>账号与登录</x:v>
      </x:c>
      <x:c r="D247" s="10" t="str">
        <x:v>邮箱登录（用户）</x:v>
      </x:c>
      <x:c r="E247" s="10" t="str">
        <x:v>功能需求</x:v>
      </x:c>
      <x:c r="F247" s="10" t="str">
        <x:v>P1</x:v>
      </x:c>
      <x:c r="G247" s="9" t="str">
        <x:v>验证邮箱验证码重发倒计时结束</x:v>
      </x:c>
      <x:c r="H247" s="9" t="str">
        <x:v>验证码恢复发送</x:v>
      </x:c>
      <x:c r="I247" s="9" t="str">
        <x:v>1. 邮箱已发送验证码且距发送已满 60 秒</x:v>
      </x:c>
      <x:c r="J247" s="9" t="str">
        <x:v>1. 进入邮箱登录页
2. 点击获取验证码</x:v>
      </x:c>
      <x:c r="K247" s="9" t="str">
        <x:v>可以发起一笔新的验证码发送请求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来源（当前证据）：liveshow-proto/MainBasis/统一需求文档.md；位置：auth-email-login.html
2. 规则：BR-ECE7990D128DEA
3. 未动态验证</x:v>
      </x:c>
    </x:row>
    <x:row r="248" ht="85" customHeight="1">
      <x:c r="A248" s="10" t="n">
        <x:v>247</x:v>
      </x:c>
      <x:c r="B248" s="10" t="str">
        <x:v>USER-0247</x:v>
      </x:c>
      <x:c r="C248" s="10" t="str">
        <x:v>账号与登录</x:v>
      </x:c>
      <x:c r="D248" s="10" t="str">
        <x:v>邮箱登录（用户）</x:v>
      </x:c>
      <x:c r="E248" s="10" t="str">
        <x:v>功能需求</x:v>
      </x:c>
      <x:c r="F248" s="10" t="str">
        <x:v>P1</x:v>
      </x:c>
      <x:c r="G248" s="9" t="str">
        <x:v>验证邮箱正确凭证登录</x:v>
      </x:c>
      <x:c r="H248" s="9" t="str">
        <x:v>凭证登录成功</x:v>
      </x:c>
      <x:c r="I248" s="9" t="str">
        <x:v>1. 邮箱对应已注册可用账号，验证码未过期且协议已勾选</x:v>
      </x:c>
      <x:c r="J248" s="9" t="str">
        <x:v>1. 进入邮箱登录页
2. 输入本次收到的 6 位验证码
3. 点击继续</x:v>
      </x:c>
      <x:c r="K248" s="9" t="str">
        <x:v>进入首页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来源（当前证据）：liveshow-proto/MainBasis/统一需求文档.md；位置：auth-email-login.html
2. 规则：BR-E66DD4C5830683
3. 未动态验证</x:v>
      </x:c>
    </x:row>
    <x:row r="249" ht="85" customHeight="1">
      <x:c r="A249" s="10" t="n">
        <x:v>248</x:v>
      </x:c>
      <x:c r="B249" s="10" t="str">
        <x:v>USER-0248</x:v>
      </x:c>
      <x:c r="C249" s="10" t="str">
        <x:v>账号与登录</x:v>
      </x:c>
      <x:c r="D249" s="10" t="str">
        <x:v>邮箱登录（用户）</x:v>
      </x:c>
      <x:c r="E249" s="10" t="str">
        <x:v>异常用例</x:v>
      </x:c>
      <x:c r="F249" s="10" t="str">
        <x:v>P1</x:v>
      </x:c>
      <x:c r="G249" s="9" t="str">
        <x:v>验证邮箱验证码超过五分钟失效</x:v>
      </x:c>
      <x:c r="H249" s="9" t="str">
        <x:v>验证码到期拦截</x:v>
      </x:c>
      <x:c r="I249" s="9" t="str">
        <x:v>1. 邮箱对应可用账号，验证码已发送超过 5 分钟，协议已勾选</x:v>
      </x:c>
      <x:c r="J249" s="9" t="str">
        <x:v>1. 进入邮箱登录页
2. 输入已过期的 6 位验证码
3. 点击继续</x:v>
      </x:c>
      <x:c r="K249" s="9" t="str">
        <x:v>不建立登录会话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来源（当前证据）：liveshow-proto/MainBasis/统一需求文档.md；位置：auth-email-login.html
2. 规则：BR-9776E3A68F6760
3. 未动态验证</x:v>
      </x:c>
    </x:row>
    <x:row r="250" ht="100" customHeight="1">
      <x:c r="A250" s="10" t="n">
        <x:v>249</x:v>
      </x:c>
      <x:c r="B250" s="10" t="str">
        <x:v>USER-0249</x:v>
      </x:c>
      <x:c r="C250" s="10" t="str">
        <x:v>账号与登录</x:v>
      </x:c>
      <x:c r="D250" s="10" t="str">
        <x:v>邮箱登录（用户）</x:v>
      </x:c>
      <x:c r="E250" s="10" t="str">
        <x:v>异常用例</x:v>
      </x:c>
      <x:c r="F250" s="10" t="str">
        <x:v>P1</x:v>
      </x:c>
      <x:c r="G250" s="9" t="str">
        <x:v>验证邮箱验证码连续输错五次后失效</x:v>
      </x:c>
      <x:c r="H250" s="9" t="str">
        <x:v>验证码错误次数</x:v>
      </x:c>
      <x:c r="I250" s="9" t="str">
        <x:v>1. 邮箱对应可用账号，本次验证码尚未过期且协议已勾选</x:v>
      </x:c>
      <x:c r="J250" s="9" t="str">
        <x:v>1. 进入邮箱登录页
2. 输入与本次验证码不同的 6 位数字并点击继续，连续完成 5 次
3. 输入本次原验证码
4. 点击继续</x:v>
      </x:c>
      <x:c r="K250" s="9" t="str">
        <x:v>第 5 次错误后原验证码不能再用于登录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来源（当前证据）：liveshow-proto/MainBasis/统一需求文档.md；位置：auth-email-login.html
2. 规则：BR-F48532F7561643
3. 未动态验证</x:v>
      </x:c>
    </x:row>
    <x:row r="251" ht="85" customHeight="1">
      <x:c r="A251" s="10" t="n">
        <x:v>250</x:v>
      </x:c>
      <x:c r="B251" s="10" t="str">
        <x:v>USER-0250</x:v>
      </x:c>
      <x:c r="C251" s="10" t="str">
        <x:v>账号与登录</x:v>
      </x:c>
      <x:c r="D251" s="10" t="str">
        <x:v>邮箱登录（用户）</x:v>
      </x:c>
      <x:c r="E251" s="10" t="str">
        <x:v>功能需求</x:v>
      </x:c>
      <x:c r="F251" s="10" t="str">
        <x:v>P1</x:v>
      </x:c>
      <x:c r="G251" s="9" t="str">
        <x:v>验证邮箱登录的注销冷静期分支</x:v>
      </x:c>
      <x:c r="H251" s="9" t="str">
        <x:v>待注销登录分流</x:v>
      </x:c>
      <x:c r="I251" s="9" t="str">
        <x:v>1. 邮箱账号处于注销冷静期，凭证和协议有效</x:v>
      </x:c>
      <x:c r="J251" s="9" t="str">
        <x:v>1. 进入邮箱登录页
2. 点击继续</x:v>
      </x:c>
      <x:c r="K251" s="9" t="str">
        <x:v>显示可取消注销的冷静期弹窗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来源（当前证据）：liveshow-proto/MainBasis/统一需求文档.md；位置：auth-email-login.html
2. 规则：BR-F771845BB59A37
3. 未动态验证</x:v>
      </x:c>
    </x:row>
    <x:row r="252" ht="85" customHeight="1">
      <x:c r="A252" s="10" t="n">
        <x:v>251</x:v>
      </x:c>
      <x:c r="B252" s="10" t="str">
        <x:v>USER-0251</x:v>
      </x:c>
      <x:c r="C252" s="10" t="str">
        <x:v>账号与登录</x:v>
      </x:c>
      <x:c r="D252" s="10" t="str">
        <x:v>邮箱登录（用户）</x:v>
      </x:c>
      <x:c r="E252" s="10" t="str">
        <x:v>功能需求</x:v>
      </x:c>
      <x:c r="F252" s="10" t="str">
        <x:v>P1</x:v>
      </x:c>
      <x:c r="G252" s="9" t="str">
        <x:v>验证邮箱缺少密码时不能继续</x:v>
      </x:c>
      <x:c r="H252" s="9" t="str">
        <x:v>密码必填</x:v>
      </x:c>
      <x:c r="I252" s="9" t="str">
        <x:v>1. 已切换密码登录且协议已勾选</x:v>
      </x:c>
      <x:c r="J252" s="9" t="str">
        <x:v>1. 进入邮箱登录页
2. 清空密码</x:v>
      </x:c>
      <x:c r="K252" s="9" t="str">
        <x:v>继续按钮不可用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来源（当前证据）：liveshow-proto/MainBasis/统一需求文档.md；位置：auth-email-login.html
2. 规则：BR-097A898303ABD1
3. 未动态验证</x:v>
      </x:c>
    </x:row>
    <x:row r="253" ht="85" customHeight="1">
      <x:c r="A253" s="10" t="n">
        <x:v>252</x:v>
      </x:c>
      <x:c r="B253" s="10" t="str">
        <x:v>USER-0252</x:v>
      </x:c>
      <x:c r="C253" s="10" t="str">
        <x:v>账号与登录</x:v>
      </x:c>
      <x:c r="D253" s="10" t="str">
        <x:v>邮箱登录（用户）</x:v>
      </x:c>
      <x:c r="E253" s="10" t="str">
        <x:v>功能需求</x:v>
      </x:c>
      <x:c r="F253" s="10" t="str">
        <x:v>P1</x:v>
      </x:c>
      <x:c r="G253" s="9" t="str">
        <x:v>验证邮箱登录未同意协议不能继续</x:v>
      </x:c>
      <x:c r="H253" s="9" t="str">
        <x:v>协议必选</x:v>
      </x:c>
      <x:c r="I253" s="9" t="str">
        <x:v>1. 邮箱和凭证均有效，协议未勾选</x:v>
      </x:c>
      <x:c r="J253" s="9" t="str">
        <x:v>1. 进入邮箱登录页</x:v>
      </x:c>
      <x:c r="K253" s="9" t="str">
        <x:v>继续按钮不可用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来源（当前证据）：liveshow-proto/MainBasis/统一需求文档.md；位置：auth-email-login.html
2. 规则：BR-CB2165903AA256
3. 未动态验证</x:v>
      </x:c>
    </x:row>
    <x:row r="254" ht="85" customHeight="1">
      <x:c r="A254" s="10" t="n">
        <x:v>253</x:v>
      </x:c>
      <x:c r="B254" s="10" t="str">
        <x:v>USER-0253</x:v>
      </x:c>
      <x:c r="C254" s="10" t="str">
        <x:v>账号与登录</x:v>
      </x:c>
      <x:c r="D254" s="10" t="str">
        <x:v>手机号登录（用户）</x:v>
      </x:c>
      <x:c r="E254" s="10" t="str">
        <x:v>逻辑校验</x:v>
      </x:c>
      <x:c r="F254" s="10" t="str">
        <x:v>P1</x:v>
      </x:c>
      <x:c r="G254" s="9" t="str">
        <x:v>验证手机号长度为7时的校验</x:v>
      </x:c>
      <x:c r="H254" s="9" t="str">
        <x:v>手机号越界拦截</x:v>
      </x:c>
      <x:c r="I254" s="9" t="str">
        <x:v>1. 除手机号外的必填项已具备合法值</x:v>
      </x:c>
      <x:c r="J254" s="9" t="str">
        <x:v>1. 进入手机号登录页
2. 清空手机号
3. 输入手机号为“8888888”
4. 点击获取验证码</x:v>
      </x:c>
      <x:c r="K254" s="9" t="str">
        <x:v>手机号不能保存超出下限的值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来源（当前证据）：liveshow-proto/MainBasis/统一需求文档.md；位置：auth-phone-login.html
2. 规则：BR-B08B3FA773140B
3. 未动态验证</x:v>
      </x:c>
    </x:row>
    <x:row r="255" ht="85" customHeight="1">
      <x:c r="A255" s="10" t="n">
        <x:v>254</x:v>
      </x:c>
      <x:c r="B255" s="10" t="str">
        <x:v>USER-0254</x:v>
      </x:c>
      <x:c r="C255" s="10" t="str">
        <x:v>账号与登录</x:v>
      </x:c>
      <x:c r="D255" s="10" t="str">
        <x:v>手机号登录（用户）</x:v>
      </x:c>
      <x:c r="E255" s="10" t="str">
        <x:v>逻辑校验</x:v>
      </x:c>
      <x:c r="F255" s="10" t="str">
        <x:v>P1</x:v>
      </x:c>
      <x:c r="G255" s="9" t="str">
        <x:v>验证手机号长度为8时的校验</x:v>
      </x:c>
      <x:c r="H255" s="9" t="str">
        <x:v>手机号合法边界</x:v>
      </x:c>
      <x:c r="I255" s="9" t="str">
        <x:v>1. 除手机号外的必填项已具备合法值</x:v>
      </x:c>
      <x:c r="J255" s="9" t="str">
        <x:v>1. 进入手机号登录页
2. 清空手机号
3. 输入手机号为“88888888”
4. 点击获取验证码</x:v>
      </x:c>
      <x:c r="K255" s="9" t="str">
        <x:v>手机号接受本次8 字符输入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来源（当前证据）：liveshow-proto/MainBasis/统一需求文档.md；位置：auth-phone-login.html
2. 规则：BR-4BBACA7092F770
3. 未动态验证</x:v>
      </x:c>
    </x:row>
    <x:row r="256" ht="85" customHeight="1">
      <x:c r="A256" s="10" t="n">
        <x:v>255</x:v>
      </x:c>
      <x:c r="B256" s="10" t="str">
        <x:v>USER-0255</x:v>
      </x:c>
      <x:c r="C256" s="10" t="str">
        <x:v>账号与登录</x:v>
      </x:c>
      <x:c r="D256" s="10" t="str">
        <x:v>手机号登录（用户）</x:v>
      </x:c>
      <x:c r="E256" s="10" t="str">
        <x:v>逻辑校验</x:v>
      </x:c>
      <x:c r="F256" s="10" t="str">
        <x:v>P1</x:v>
      </x:c>
      <x:c r="G256" s="9" t="str">
        <x:v>验证手机号长度为9时的校验</x:v>
      </x:c>
      <x:c r="H256" s="9" t="str">
        <x:v>手机号合法边界</x:v>
      </x:c>
      <x:c r="I256" s="9" t="str">
        <x:v>1. 除手机号外的必填项已具备合法值</x:v>
      </x:c>
      <x:c r="J256" s="9" t="str">
        <x:v>1. 进入手机号登录页
2. 清空手机号
3. 输入手机号为“888888888”
4. 点击获取验证码</x:v>
      </x:c>
      <x:c r="K256" s="9" t="str">
        <x:v>手机号接受本次9 字符输入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来源（当前证据）：liveshow-proto/MainBasis/统一需求文档.md；位置：auth-phone-login.html
2. 规则：BR-FD9A9C52D79BAE
3. 未动态验证</x:v>
      </x:c>
    </x:row>
    <x:row r="257" ht="85" customHeight="1">
      <x:c r="A257" s="10" t="n">
        <x:v>256</x:v>
      </x:c>
      <x:c r="B257" s="10" t="str">
        <x:v>USER-0256</x:v>
      </x:c>
      <x:c r="C257" s="10" t="str">
        <x:v>账号与登录</x:v>
      </x:c>
      <x:c r="D257" s="10" t="str">
        <x:v>手机号登录（用户）</x:v>
      </x:c>
      <x:c r="E257" s="10" t="str">
        <x:v>逻辑校验</x:v>
      </x:c>
      <x:c r="F257" s="10" t="str">
        <x:v>P1</x:v>
      </x:c>
      <x:c r="G257" s="9" t="str">
        <x:v>验证手机号长度为14时的校验</x:v>
      </x:c>
      <x:c r="H257" s="9" t="str">
        <x:v>手机号合法边界</x:v>
      </x:c>
      <x:c r="I257" s="9" t="str">
        <x:v>1. 除手机号外的必填项已具备合法值</x:v>
      </x:c>
      <x:c r="J257" s="9" t="str">
        <x:v>1. 进入手机号登录页
2. 清空手机号
3. 输入手机号为“88888888888888”
4. 点击获取验证码</x:v>
      </x:c>
      <x:c r="K257" s="9" t="str">
        <x:v>手机号接受本次14 字符输入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来源（当前证据）：liveshow-proto/MainBasis/统一需求文档.md；位置：auth-phone-login.html
2. 规则：BR-5DA4568853518F
3. 未动态验证</x:v>
      </x:c>
    </x:row>
    <x:row r="258" ht="85" customHeight="1">
      <x:c r="A258" s="10" t="n">
        <x:v>257</x:v>
      </x:c>
      <x:c r="B258" s="10" t="str">
        <x:v>USER-0257</x:v>
      </x:c>
      <x:c r="C258" s="10" t="str">
        <x:v>账号与登录</x:v>
      </x:c>
      <x:c r="D258" s="10" t="str">
        <x:v>手机号登录（用户）</x:v>
      </x:c>
      <x:c r="E258" s="10" t="str">
        <x:v>逻辑校验</x:v>
      </x:c>
      <x:c r="F258" s="10" t="str">
        <x:v>P1</x:v>
      </x:c>
      <x:c r="G258" s="9" t="str">
        <x:v>验证手机号长度为15时的校验</x:v>
      </x:c>
      <x:c r="H258" s="9" t="str">
        <x:v>手机号合法边界</x:v>
      </x:c>
      <x:c r="I258" s="9" t="str">
        <x:v>1. 除手机号外的必填项已具备合法值</x:v>
      </x:c>
      <x:c r="J258" s="9" t="str">
        <x:v>1. 进入手机号登录页
2. 清空手机号
3. 输入手机号为“888888888888888”
4. 点击获取验证码</x:v>
      </x:c>
      <x:c r="K258" s="9" t="str">
        <x:v>手机号接受本次15 字符输入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来源（当前证据）：liveshow-proto/MainBasis/统一需求文档.md；位置：auth-phone-login.html
2. 规则：BR-808631D2C79181
3. 未动态验证</x:v>
      </x:c>
    </x:row>
    <x:row r="259" ht="85" customHeight="1">
      <x:c r="A259" s="10" t="n">
        <x:v>258</x:v>
      </x:c>
      <x:c r="B259" s="10" t="str">
        <x:v>USER-0258</x:v>
      </x:c>
      <x:c r="C259" s="10" t="str">
        <x:v>账号与登录</x:v>
      </x:c>
      <x:c r="D259" s="10" t="str">
        <x:v>手机号登录（用户）</x:v>
      </x:c>
      <x:c r="E259" s="10" t="str">
        <x:v>逻辑校验</x:v>
      </x:c>
      <x:c r="F259" s="10" t="str">
        <x:v>P1</x:v>
      </x:c>
      <x:c r="G259" s="9" t="str">
        <x:v>验证手机号长度为16时的校验</x:v>
      </x:c>
      <x:c r="H259" s="9" t="str">
        <x:v>手机号越界拦截</x:v>
      </x:c>
      <x:c r="I259" s="9" t="str">
        <x:v>1. 除手机号外的必填项已具备合法值</x:v>
      </x:c>
      <x:c r="J259" s="9" t="str">
        <x:v>1. 进入手机号登录页
2. 清空手机号
3. 输入手机号为“8888888888888888”
4. 点击获取验证码</x:v>
      </x:c>
      <x:c r="K259" s="9" t="str">
        <x:v>手机号不能保存超出上限的值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来源（当前证据）：liveshow-proto/MainBasis/统一需求文档.md；位置：auth-phone-login.html
2. 规则：BR-65D4DFBAB1A9A9
3. 未动态验证</x:v>
      </x:c>
    </x:row>
    <x:row r="260" ht="85" customHeight="1">
      <x:c r="A260" s="10" t="n">
        <x:v>259</x:v>
      </x:c>
      <x:c r="B260" s="10" t="str">
        <x:v>USER-0259</x:v>
      </x:c>
      <x:c r="C260" s="10" t="str">
        <x:v>账号与登录</x:v>
      </x:c>
      <x:c r="D260" s="10" t="str">
        <x:v>手机号登录（用户）</x:v>
      </x:c>
      <x:c r="E260" s="10" t="str">
        <x:v>功能需求</x:v>
      </x:c>
      <x:c r="F260" s="10" t="str">
        <x:v>P1</x:v>
      </x:c>
      <x:c r="G260" s="9" t="str">
        <x:v>验证手机号拒绝非数字字符</x:v>
      </x:c>
      <x:c r="H260" s="9" t="str">
        <x:v>手机号字符类型</x:v>
      </x:c>
      <x:c r="I260" s="9" t="str">
        <x:v>1. 用户可访问手机号登录</x:v>
      </x:c>
      <x:c r="J260" s="9" t="str">
        <x:v>1. 进入手机号登录页
2. 输入手机号为 8123456a</x:v>
      </x:c>
      <x:c r="K260" s="9" t="str">
        <x:v>不能获取验证码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来源（当前证据）：liveshow-proto/MainBasis/统一需求文档.md；位置：auth-phone-login.html
2. 规则：BR-24CD1770FE75C6
3. 未动态验证</x:v>
      </x:c>
    </x:row>
    <x:row r="261" ht="85" customHeight="1">
      <x:c r="A261" s="10" t="n">
        <x:v>260</x:v>
      </x:c>
      <x:c r="B261" s="10" t="str">
        <x:v>USER-0260</x:v>
      </x:c>
      <x:c r="C261" s="10" t="str">
        <x:v>账号与登录</x:v>
      </x:c>
      <x:c r="D261" s="10" t="str">
        <x:v>手机号登录（用户）</x:v>
      </x:c>
      <x:c r="E261" s="10" t="str">
        <x:v>功能需求</x:v>
      </x:c>
      <x:c r="F261" s="10" t="str">
        <x:v>P1</x:v>
      </x:c>
      <x:c r="G261" s="9" t="str">
        <x:v>验证不支持的设备地区使用印尼区号</x:v>
      </x:c>
      <x:c r="H261" s="9" t="str">
        <x:v>默认区号</x:v>
      </x:c>
      <x:c r="I261" s="9" t="str">
        <x:v>1. 设备地区设为中国大陆，尚未选择过区号</x:v>
      </x:c>
      <x:c r="J261" s="9" t="str">
        <x:v>1. 进入手机号登录页</x:v>
      </x:c>
      <x:c r="K261" s="9" t="str">
        <x:v>区号为 +62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来源（当前证据）：liveshow-proto/MainBasis/统一需求文档.md；位置：auth-phone-login.html
2. 规则：BR-A5B273A04AB1CC
3. 未动态验证</x:v>
      </x:c>
    </x:row>
    <x:row r="262" ht="85" customHeight="1">
      <x:c r="A262" s="10" t="n">
        <x:v>261</x:v>
      </x:c>
      <x:c r="B262" s="10" t="str">
        <x:v>USER-0261</x:v>
      </x:c>
      <x:c r="C262" s="10" t="str">
        <x:v>账号与登录</x:v>
      </x:c>
      <x:c r="D262" s="10" t="str">
        <x:v>手机号登录（用户）</x:v>
      </x:c>
      <x:c r="E262" s="10" t="str">
        <x:v>功能需求</x:v>
      </x:c>
      <x:c r="F262" s="10" t="str">
        <x:v>P1</x:v>
      </x:c>
      <x:c r="G262" s="9" t="str">
        <x:v>验证区号选择返回保留表单</x:v>
      </x:c>
      <x:c r="H262" s="9" t="str">
        <x:v>登录表单保留</x:v>
      </x:c>
      <x:c r="I262" s="9" t="str">
        <x:v>1. 手机号已填写 8123456789，已选择密码登录并勾选协议</x:v>
      </x:c>
      <x:c r="J262" s="9" t="str">
        <x:v>1. 进入手机号登录页
2. 点击区号
3. 选择马来西亚 +60</x:v>
      </x:c>
      <x:c r="K262" s="9" t="str">
        <x:v>返回表单保留手机号 8123456789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来源（当前证据）：liveshow-proto/MainBasis/统一需求文档.md；位置：auth-phone-login.html
2. 规则：BR-2F044D8D8C7157
3. 未动态验证</x:v>
      </x:c>
    </x:row>
    <x:row r="263" ht="85" customHeight="1">
      <x:c r="A263" s="10" t="n">
        <x:v>262</x:v>
      </x:c>
      <x:c r="B263" s="10" t="str">
        <x:v>USER-0262</x:v>
      </x:c>
      <x:c r="C263" s="10" t="str">
        <x:v>账号与登录</x:v>
      </x:c>
      <x:c r="D263" s="10" t="str">
        <x:v>选择国家/地区（用户）</x:v>
      </x:c>
      <x:c r="E263" s="10" t="str">
        <x:v>功能需求</x:v>
      </x:c>
      <x:c r="F263" s="10" t="str">
        <x:v>P1</x:v>
      </x:c>
      <x:c r="G263" s="9" t="str">
        <x:v>验证可选区号排除中国大陆</x:v>
      </x:c>
      <x:c r="H263" s="9" t="str">
        <x:v>地区业务范围</x:v>
      </x:c>
      <x:c r="I263" s="9" t="str">
        <x:v>1. 用户可访问选择国家/地区</x:v>
      </x:c>
      <x:c r="J263" s="9" t="str">
        <x:v>1. 进入选择国家或地区页
2. 输入搜索词 +86</x:v>
      </x:c>
      <x:c r="K263" s="9" t="str">
        <x:v>搜索结果不包含中国大陆 +86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来源（当前证据）：liveshow-proto/MainBasis/统一需求文档.md；位置：auth-country-select.html
2. 规则：BR-7D0964DF8889F0
3. 未动态验证</x:v>
      </x:c>
    </x:row>
    <x:row r="264" ht="85" customHeight="1">
      <x:c r="A264" s="10" t="n">
        <x:v>263</x:v>
      </x:c>
      <x:c r="B264" s="10" t="str">
        <x:v>USER-0263</x:v>
      </x:c>
      <x:c r="C264" s="10" t="str">
        <x:v>账号与登录</x:v>
      </x:c>
      <x:c r="D264" s="10" t="str">
        <x:v>选择国家/地区（用户）</x:v>
      </x:c>
      <x:c r="E264" s="10" t="str">
        <x:v>功能需求</x:v>
      </x:c>
      <x:c r="F264" s="10" t="str">
        <x:v>P1</x:v>
      </x:c>
      <x:c r="G264" s="9" t="str">
        <x:v>验证区号搜索匹配印尼</x:v>
      </x:c>
      <x:c r="H264" s="9" t="str">
        <x:v>区号检索</x:v>
      </x:c>
      <x:c r="I264" s="9" t="str">
        <x:v>1. 用户可访问选择国家/地区</x:v>
      </x:c>
      <x:c r="J264" s="9" t="str">
        <x:v>1. 进入选择国家或地区页
2. 输入搜索词 +62</x:v>
      </x:c>
      <x:c r="K264" s="9" t="str">
        <x:v>结果包含印度尼西亚 +62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来源（当前证据）：liveshow-proto/MainBasis/统一需求文档.md；位置：auth-country-select.html
2. 规则：BR-E34A92454AED2F
3. 未动态验证</x:v>
      </x:c>
    </x:row>
    <x:row r="265" ht="85" customHeight="1">
      <x:c r="A265" s="10" t="n">
        <x:v>264</x:v>
      </x:c>
      <x:c r="B265" s="10" t="str">
        <x:v>USER-0264</x:v>
      </x:c>
      <x:c r="C265" s="10" t="str">
        <x:v>账号与登录</x:v>
      </x:c>
      <x:c r="D265" s="10" t="str">
        <x:v>选择国家/地区（用户）</x:v>
      </x:c>
      <x:c r="E265" s="10" t="str">
        <x:v>功能需求</x:v>
      </x:c>
      <x:c r="F265" s="10" t="str">
        <x:v>P1</x:v>
      </x:c>
      <x:c r="G265" s="9" t="str">
        <x:v>验证返回不改变已选区号</x:v>
      </x:c>
      <x:c r="H265" s="9" t="str">
        <x:v>选择取消</x:v>
      </x:c>
      <x:c r="I265" s="9" t="str">
        <x:v>1. 原区号为 +62</x:v>
      </x:c>
      <x:c r="J265" s="9" t="str">
        <x:v>1. 进入选择国家或地区页
2. 输入搜索词 +60
3. 点击返回</x:v>
      </x:c>
      <x:c r="K265" s="9" t="str">
        <x:v>返回登录表单仍使用 +62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来源（当前证据）：liveshow-proto/MainBasis/统一需求文档.md；位置：auth-country-select.html
2. 规则：BR-9FD116FE3CB3DC
3. 未动态验证</x:v>
      </x:c>
    </x:row>
    <x:row r="266" ht="85" customHeight="1">
      <x:c r="A266" s="10" t="n">
        <x:v>265</x:v>
      </x:c>
      <x:c r="B266" s="10" t="str">
        <x:v>USER-0265</x:v>
      </x:c>
      <x:c r="C266" s="10" t="str">
        <x:v>账号与登录</x:v>
      </x:c>
      <x:c r="D266" s="10" t="str">
        <x:v>资料补全（用户）</x:v>
      </x:c>
      <x:c r="E266" s="10" t="str">
        <x:v>逻辑校验</x:v>
      </x:c>
      <x:c r="F266" s="10" t="str">
        <x:v>P1</x:v>
      </x:c>
      <x:c r="G266" s="9" t="str">
        <x:v>验证昵称长度为0时的校验</x:v>
      </x:c>
      <x:c r="H266" s="9" t="str">
        <x:v>昵称越界拦截</x:v>
      </x:c>
      <x:c r="I266" s="9" t="str">
        <x:v>1. 账号首次授权成功且尚未完成资料补全
2. 除昵称外的必填项已具备合法值</x:v>
      </x:c>
      <x:c r="J266" s="9" t="str">
        <x:v>1. 进入资料补全页
2. 清空昵称
3. 输入昵称为0 个“测”字符
4. 点击保存</x:v>
      </x:c>
      <x:c r="K266" s="9" t="str">
        <x:v>昵称不能保存超出下限的值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来源（当前证据）：liveshow-proto/MainBasis/统一需求文档.md；位置：auth-profile-completion.html
2. 规则：BR-91DBFDB3B34B4A
3. 未动态验证</x:v>
      </x:c>
    </x:row>
    <x:row r="267" ht="85" customHeight="1">
      <x:c r="A267" s="10" t="n">
        <x:v>266</x:v>
      </x:c>
      <x:c r="B267" s="10" t="str">
        <x:v>USER-0266</x:v>
      </x:c>
      <x:c r="C267" s="10" t="str">
        <x:v>账号与登录</x:v>
      </x:c>
      <x:c r="D267" s="10" t="str">
        <x:v>资料补全（用户）</x:v>
      </x:c>
      <x:c r="E267" s="10" t="str">
        <x:v>逻辑校验</x:v>
      </x:c>
      <x:c r="F267" s="10" t="str">
        <x:v>P1</x:v>
      </x:c>
      <x:c r="G267" s="9" t="str">
        <x:v>验证昵称长度为1时的校验</x:v>
      </x:c>
      <x:c r="H267" s="9" t="str">
        <x:v>昵称合法边界</x:v>
      </x:c>
      <x:c r="I267" s="9" t="str">
        <x:v>1. 账号首次授权成功且尚未完成资料补全
2. 除昵称外的必填项已具备合法值</x:v>
      </x:c>
      <x:c r="J267" s="9" t="str">
        <x:v>1. 进入资料补全页
2. 清空昵称
3. 输入昵称为1 个“测”字符
4. 点击保存</x:v>
      </x:c>
      <x:c r="K267" s="9" t="str">
        <x:v>昵称接受本次1 字符输入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来源（当前证据）：liveshow-proto/MainBasis/统一需求文档.md；位置：auth-profile-completion.html
2. 规则：BR-40FBB0C0A66A23
3. 未动态验证</x:v>
      </x:c>
    </x:row>
    <x:row r="268" ht="85" customHeight="1">
      <x:c r="A268" s="10" t="n">
        <x:v>267</x:v>
      </x:c>
      <x:c r="B268" s="10" t="str">
        <x:v>USER-0267</x:v>
      </x:c>
      <x:c r="C268" s="10" t="str">
        <x:v>账号与登录</x:v>
      </x:c>
      <x:c r="D268" s="10" t="str">
        <x:v>资料补全（用户）</x:v>
      </x:c>
      <x:c r="E268" s="10" t="str">
        <x:v>逻辑校验</x:v>
      </x:c>
      <x:c r="F268" s="10" t="str">
        <x:v>P1</x:v>
      </x:c>
      <x:c r="G268" s="9" t="str">
        <x:v>验证昵称长度为2时的校验</x:v>
      </x:c>
      <x:c r="H268" s="9" t="str">
        <x:v>昵称合法边界</x:v>
      </x:c>
      <x:c r="I268" s="9" t="str">
        <x:v>1. 账号首次授权成功且尚未完成资料补全
2. 除昵称外的必填项已具备合法值</x:v>
      </x:c>
      <x:c r="J268" s="9" t="str">
        <x:v>1. 进入资料补全页
2. 清空昵称
3. 输入昵称为2 个“测”字符
4. 点击保存</x:v>
      </x:c>
      <x:c r="K268" s="9" t="str">
        <x:v>昵称接受本次2 字符输入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来源（当前证据）：liveshow-proto/MainBasis/统一需求文档.md；位置：auth-profile-completion.html
2. 规则：BR-8CCE4F16D39AEF
3. 未动态验证</x:v>
      </x:c>
    </x:row>
    <x:row r="269" ht="85" customHeight="1">
      <x:c r="A269" s="10" t="n">
        <x:v>268</x:v>
      </x:c>
      <x:c r="B269" s="10" t="str">
        <x:v>USER-0268</x:v>
      </x:c>
      <x:c r="C269" s="10" t="str">
        <x:v>账号与登录</x:v>
      </x:c>
      <x:c r="D269" s="10" t="str">
        <x:v>资料补全（用户）</x:v>
      </x:c>
      <x:c r="E269" s="10" t="str">
        <x:v>逻辑校验</x:v>
      </x:c>
      <x:c r="F269" s="10" t="str">
        <x:v>P1</x:v>
      </x:c>
      <x:c r="G269" s="9" t="str">
        <x:v>验证昵称长度为19时的校验</x:v>
      </x:c>
      <x:c r="H269" s="9" t="str">
        <x:v>昵称合法边界</x:v>
      </x:c>
      <x:c r="I269" s="9" t="str">
        <x:v>1. 账号首次授权成功且尚未完成资料补全
2. 除昵称外的必填项已具备合法值</x:v>
      </x:c>
      <x:c r="J269" s="9" t="str">
        <x:v>1. 进入资料补全页
2. 清空昵称
3. 输入昵称为19 个“测”字符
4. 点击保存</x:v>
      </x:c>
      <x:c r="K269" s="9" t="str">
        <x:v>昵称接受本次19 字符输入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来源（当前证据）：liveshow-proto/MainBasis/统一需求文档.md；位置：auth-profile-completion.html
2. 规则：BR-1822ECB29CDB11
3. 未动态验证</x:v>
      </x:c>
    </x:row>
    <x:row r="270" ht="85" customHeight="1">
      <x:c r="A270" s="10" t="n">
        <x:v>269</x:v>
      </x:c>
      <x:c r="B270" s="10" t="str">
        <x:v>USER-0269</x:v>
      </x:c>
      <x:c r="C270" s="10" t="str">
        <x:v>账号与登录</x:v>
      </x:c>
      <x:c r="D270" s="10" t="str">
        <x:v>资料补全（用户）</x:v>
      </x:c>
      <x:c r="E270" s="10" t="str">
        <x:v>逻辑校验</x:v>
      </x:c>
      <x:c r="F270" s="10" t="str">
        <x:v>P1</x:v>
      </x:c>
      <x:c r="G270" s="9" t="str">
        <x:v>验证昵称长度为20时的校验</x:v>
      </x:c>
      <x:c r="H270" s="9" t="str">
        <x:v>昵称合法边界</x:v>
      </x:c>
      <x:c r="I270" s="9" t="str">
        <x:v>1. 账号首次授权成功且尚未完成资料补全
2. 除昵称外的必填项已具备合法值</x:v>
      </x:c>
      <x:c r="J270" s="9" t="str">
        <x:v>1. 进入资料补全页
2. 清空昵称
3. 输入昵称为20 个“测”字符
4. 点击保存</x:v>
      </x:c>
      <x:c r="K270" s="9" t="str">
        <x:v>昵称接受本次20 字符输入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来源（当前证据）：liveshow-proto/MainBasis/统一需求文档.md；位置：auth-profile-completion.html
2. 规则：BR-47779088FA2914
3. 未动态验证</x:v>
      </x:c>
    </x:row>
    <x:row r="271" ht="85" customHeight="1">
      <x:c r="A271" s="10" t="n">
        <x:v>270</x:v>
      </x:c>
      <x:c r="B271" s="10" t="str">
        <x:v>USER-0270</x:v>
      </x:c>
      <x:c r="C271" s="10" t="str">
        <x:v>账号与登录</x:v>
      </x:c>
      <x:c r="D271" s="10" t="str">
        <x:v>资料补全（用户）</x:v>
      </x:c>
      <x:c r="E271" s="10" t="str">
        <x:v>逻辑校验</x:v>
      </x:c>
      <x:c r="F271" s="10" t="str">
        <x:v>P1</x:v>
      </x:c>
      <x:c r="G271" s="9" t="str">
        <x:v>验证昵称长度为21时的校验</x:v>
      </x:c>
      <x:c r="H271" s="9" t="str">
        <x:v>昵称越界拦截</x:v>
      </x:c>
      <x:c r="I271" s="9" t="str">
        <x:v>1. 账号首次授权成功且尚未完成资料补全
2. 除昵称外的必填项已具备合法值</x:v>
      </x:c>
      <x:c r="J271" s="9" t="str">
        <x:v>1. 进入资料补全页
2. 清空昵称
3. 输入昵称为21 个“测”字符
4. 点击保存</x:v>
      </x:c>
      <x:c r="K271" s="9" t="str">
        <x:v>昵称不能保存超出上限的值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来源（当前证据）：liveshow-proto/MainBasis/统一需求文档.md；位置：auth-profile-completion.html
2. 规则：BR-A1D1CA922CC10A
3. 未动态验证</x:v>
      </x:c>
    </x:row>
    <x:row r="272" ht="85" customHeight="1">
      <x:c r="A272" s="10" t="n">
        <x:v>271</x:v>
      </x:c>
      <x:c r="B272" s="10" t="str">
        <x:v>USER-0271</x:v>
      </x:c>
      <x:c r="C272" s="10" t="str">
        <x:v>账号与登录</x:v>
      </x:c>
      <x:c r="D272" s="10" t="str">
        <x:v>资料补全（用户）</x:v>
      </x:c>
      <x:c r="E272" s="10" t="str">
        <x:v>功能需求</x:v>
      </x:c>
      <x:c r="F272" s="10" t="str">
        <x:v>P1</x:v>
      </x:c>
      <x:c r="G272" s="9" t="str">
        <x:v>验证跳过资料补全保留默认昵称</x:v>
      </x:c>
      <x:c r="H272" s="9" t="str">
        <x:v>默认昵称保留</x:v>
      </x:c>
      <x:c r="I272" s="9" t="str">
        <x:v>1. 账号首次授权成功且尚未完成资料补全
2. 已记录系统初始昵称</x:v>
      </x:c>
      <x:c r="J272" s="9" t="str">
        <x:v>1. 进入资料补全页
2. 点击跳过</x:v>
      </x:c>
      <x:c r="K272" s="9" t="str">
        <x:v>首页账号仍使用系统初始昵称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来源（当前证据）：liveshow-proto/MainBasis/统一需求文档.md；位置：auth-profile-completion.html
2. 规则：BR-1C483810A3FF1F
3. 未动态验证</x:v>
      </x:c>
    </x:row>
    <x:row r="273" ht="85" customHeight="1">
      <x:c r="A273" s="10" t="n">
        <x:v>272</x:v>
      </x:c>
      <x:c r="B273" s="10" t="str">
        <x:v>USER-0272</x:v>
      </x:c>
      <x:c r="C273" s="10" t="str">
        <x:v>账号与登录</x:v>
      </x:c>
      <x:c r="D273" s="10" t="str">
        <x:v>资料补全（用户）</x:v>
      </x:c>
      <x:c r="E273" s="10" t="str">
        <x:v>功能需求</x:v>
      </x:c>
      <x:c r="F273" s="10" t="str">
        <x:v>P1</x:v>
      </x:c>
      <x:c r="G273" s="9" t="str">
        <x:v>验证跳过资料补全保留默认头像</x:v>
      </x:c>
      <x:c r="H273" s="9" t="str">
        <x:v>默认头像保留</x:v>
      </x:c>
      <x:c r="I273" s="9" t="str">
        <x:v>1. 账号首次授权成功且尚未完成资料补全
2. 已记录系统初始头像</x:v>
      </x:c>
      <x:c r="J273" s="9" t="str">
        <x:v>1. 进入资料补全页
2. 点击跳过</x:v>
      </x:c>
      <x:c r="K273" s="9" t="str">
        <x:v>首页账号仍使用系统初始头像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来源（当前证据）：liveshow-proto/MainBasis/统一需求文档.md；位置：auth-profile-completion.html
2. 规则：BR-3BC24A09E3976A
3. 未动态验证</x:v>
      </x:c>
    </x:row>
    <x:row r="274" ht="100" customHeight="1">
      <x:c r="A274" s="10" t="n">
        <x:v>273</x:v>
      </x:c>
      <x:c r="B274" s="10" t="str">
        <x:v>USER-0273</x:v>
      </x:c>
      <x:c r="C274" s="10" t="str">
        <x:v>账号与登录</x:v>
      </x:c>
      <x:c r="D274" s="10" t="str">
        <x:v>注销冷静期（用户）</x:v>
      </x:c>
      <x:c r="E274" s="10" t="str">
        <x:v>功能需求</x:v>
      </x:c>
      <x:c r="F274" s="10" t="str">
        <x:v>P1</x:v>
      </x:c>
      <x:c r="G274" s="9" t="str">
        <x:v>验证暂不取消注销仍留在登录页</x:v>
      </x:c>
      <x:c r="H274" s="9" t="str">
        <x:v>冷静期继续</x:v>
      </x:c>
      <x:c r="I274" s="9" t="str">
        <x:v>1. 账号处于七日注销冷静期
2. 原注销截止时间已记录</x:v>
      </x:c>
      <x:c r="J274" s="9" t="str">
        <x:v>1. 使用该账号登录
2. 点击暂不取消</x:v>
      </x:c>
      <x:c r="K274" s="9" t="str">
        <x:v>停留登录与注册页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来源（当前证据）：liveshow-proto/MainBasis/统一需求文档.md；位置：views/auth-login-register/deletion-cooling.html
2. 规则：BR-0EF3FAF217A3FC
3. 未动态验证</x:v>
      </x:c>
    </x:row>
    <x:row r="275" ht="100" customHeight="1">
      <x:c r="A275" s="10" t="n">
        <x:v>274</x:v>
      </x:c>
      <x:c r="B275" s="10" t="str">
        <x:v>USER-0274</x:v>
      </x:c>
      <x:c r="C275" s="10" t="str">
        <x:v>账号与登录</x:v>
      </x:c>
      <x:c r="D275" s="10" t="str">
        <x:v>注销冷静期（用户）</x:v>
      </x:c>
      <x:c r="E275" s="10" t="str">
        <x:v>功能需求</x:v>
      </x:c>
      <x:c r="F275" s="10" t="str">
        <x:v>P1</x:v>
      </x:c>
      <x:c r="G275" s="9" t="str">
        <x:v>验证取消注销恢复账号登录</x:v>
      </x:c>
      <x:c r="H275" s="9" t="str">
        <x:v>注销撤回</x:v>
      </x:c>
      <x:c r="I275" s="9" t="str">
        <x:v>1. 账号处于七日注销冷静期</x:v>
      </x:c>
      <x:c r="J275" s="9" t="str">
        <x:v>1. 使用该账号登录
2. 点击取消注销</x:v>
      </x:c>
      <x:c r="K275" s="9" t="str">
        <x:v>进入首页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来源（当前证据）：liveshow-proto/MainBasis/统一需求文档.md；位置：views/auth-login-register/deletion-cooling.html
2. 规则：BR-5C1A9DA6EA34C3
3. 未动态验证</x:v>
      </x:c>
    </x:row>
    <x:row r="276" ht="100" customHeight="1">
      <x:c r="A276" s="10" t="n">
        <x:v>275</x:v>
      </x:c>
      <x:c r="B276" s="10" t="str">
        <x:v>USER-0275</x:v>
      </x:c>
      <x:c r="C276" s="10" t="str">
        <x:v>账号与登录</x:v>
      </x:c>
      <x:c r="D276" s="10" t="str">
        <x:v>注销冷静期（用户）</x:v>
      </x:c>
      <x:c r="E276" s="10" t="str">
        <x:v>功能需求</x:v>
      </x:c>
      <x:c r="F276" s="10" t="str">
        <x:v>P1</x:v>
      </x:c>
      <x:c r="G276" s="9" t="str">
        <x:v>验证取消注销保留好友关系</x:v>
      </x:c>
      <x:c r="H276" s="9" t="str">
        <x:v>注销撤回关系保留</x:v>
      </x:c>
      <x:c r="I276" s="9" t="str">
        <x:v>1. 账号处于七日注销冷静期
2. 申请注销前存在好友“海风”</x:v>
      </x:c>
      <x:c r="J276" s="9" t="str">
        <x:v>1. 使用该账号登录
2. 点击取消注销</x:v>
      </x:c>
      <x:c r="K276" s="9" t="str">
        <x:v>账号仍与“海风”为好友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来源（当前证据）：liveshow-proto/MainBasis/统一需求文档.md；位置：views/auth-login-register/deletion-cooling.html、friend-list.html
2. 规则：BR-E36118C8B33B30
3. 未动态验证</x:v>
      </x:c>
    </x:row>
    <x:row r="277" ht="85" customHeight="1">
      <x:c r="A277" s="10" t="n">
        <x:v>276</x:v>
      </x:c>
      <x:c r="B277" s="10" t="str">
        <x:v>USER-0276</x:v>
      </x:c>
      <x:c r="C277" s="10" t="str">
        <x:v>账号与登录</x:v>
      </x:c>
      <x:c r="D277" s="10" t="str">
        <x:v>登录与注册（用户）</x:v>
      </x:c>
      <x:c r="E277" s="10" t="str">
        <x:v>功能需求</x:v>
      </x:c>
      <x:c r="F277" s="10" t="str">
        <x:v>P1</x:v>
      </x:c>
      <x:c r="G277" s="9" t="str">
        <x:v>验证手机号登录导航到指定页面</x:v>
      </x:c>
      <x:c r="H277" s="9" t="str">
        <x:v>页面导航</x:v>
      </x:c>
      <x:c r="I277" s="9" t="str">
        <x:v>1. 用户已登录且拥有登录与注册访问权限</x:v>
      </x:c>
      <x:c r="J277" s="9" t="str">
        <x:v>1. 进入登录与注册
2. 点击手机号登录</x:v>
      </x:c>
      <x:c r="K277" s="9" t="str">
        <x:v>进入手机号登录页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来源（当前证据）：liveshow-proto/MainBasis/统一需求文档.md；位置：auth-login-register.html
2. 规则：BR-C72F2498757BC6
3. 未动态验证</x:v>
      </x:c>
    </x:row>
    <x:row r="278" ht="85" customHeight="1">
      <x:c r="A278" s="10" t="n">
        <x:v>277</x:v>
      </x:c>
      <x:c r="B278" s="10" t="str">
        <x:v>USER-0277</x:v>
      </x:c>
      <x:c r="C278" s="10" t="str">
        <x:v>账号与登录</x:v>
      </x:c>
      <x:c r="D278" s="10" t="str">
        <x:v>登录与注册（用户）</x:v>
      </x:c>
      <x:c r="E278" s="10" t="str">
        <x:v>功能需求</x:v>
      </x:c>
      <x:c r="F278" s="10" t="str">
        <x:v>P1</x:v>
      </x:c>
      <x:c r="G278" s="9" t="str">
        <x:v>验证邮箱导航到指定页面</x:v>
      </x:c>
      <x:c r="H278" s="9" t="str">
        <x:v>页面导航</x:v>
      </x:c>
      <x:c r="I278" s="9" t="str">
        <x:v>1. 用户已登录且拥有登录与注册访问权限</x:v>
      </x:c>
      <x:c r="J278" s="9" t="str">
        <x:v>1. 进入登录与注册
2. 点击邮箱</x:v>
      </x:c>
      <x:c r="K278" s="9" t="str">
        <x:v>进入邮箱登录页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来源（当前证据）：liveshow-proto/MainBasis/统一需求文档.md；位置：auth-login-register.html
2. 规则：BR-59E91664734C38
3. 未动态验证</x:v>
      </x:c>
    </x:row>
    <x:row r="279" ht="85" customHeight="1">
      <x:c r="A279" s="10" t="n">
        <x:v>278</x:v>
      </x:c>
      <x:c r="B279" s="10" t="str">
        <x:v>USER-0278</x:v>
      </x:c>
      <x:c r="C279" s="10" t="str">
        <x:v>直播模块</x:v>
      </x:c>
      <x:c r="D279" s="10" t="str">
        <x:v>直播间（普通房）（观众）</x:v>
      </x:c>
      <x:c r="E279" s="10" t="str">
        <x:v>功能需求</x:v>
      </x:c>
      <x:c r="F279" s="10" t="str">
        <x:v>P1</x:v>
      </x:c>
      <x:c r="G279" s="9" t="str">
        <x:v>验证普通房直接显示直播内容</x:v>
      </x:c>
      <x:c r="H279" s="9" t="str">
        <x:v>普通房准入</x:v>
      </x:c>
      <x:c r="I279" s="9" t="str">
        <x:v>1. 用户账号可用且已登录
2. 账号未封禁、无双方拉黑、未被本场踢出，房型为普通房</x:v>
      </x:c>
      <x:c r="J279" s="9" t="str">
        <x:v>1. 打开主播海风的当前直播间</x:v>
      </x:c>
      <x:c r="K279" s="9" t="str">
        <x:v>直接展示直播内容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来源（当前证据）：liveshow-proto/MainBasis/统一需求文档.md；位置：live-room.html
2. 规则：BR-DDCE2470ACD07A
3. 未动态验证</x:v>
      </x:c>
    </x:row>
    <x:row r="280" ht="85" customHeight="1">
      <x:c r="A280" s="10" t="n">
        <x:v>279</x:v>
      </x:c>
      <x:c r="B280" s="10" t="str">
        <x:v>USER-0279</x:v>
      </x:c>
      <x:c r="C280" s="10" t="str">
        <x:v>直播模块</x:v>
      </x:c>
      <x:c r="D280" s="10" t="str">
        <x:v>直播间（普通房）（观众）</x:v>
      </x:c>
      <x:c r="E280" s="10" t="str">
        <x:v>功能需求</x:v>
      </x:c>
      <x:c r="F280" s="10" t="str">
        <x:v>P1</x:v>
      </x:c>
      <x:c r="G280" s="9" t="str">
        <x:v>验证已购门票不能绕过本场踢出</x:v>
      </x:c>
      <x:c r="H280" s="9" t="str">
        <x:v>踢出优先级</x:v>
      </x:c>
      <x:c r="I280" s="9" t="str">
        <x:v>1. 用户账号可用且已登录
2. 当前场次门票已购买，但账号已被本场踢出</x:v>
      </x:c>
      <x:c r="J280" s="9" t="str">
        <x:v>1. 打开主播海风的当前直播间</x:v>
      </x:c>
      <x:c r="K280" s="9" t="str">
        <x:v>不展示可观看的直播内容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来源（当前证据）：liveshow-proto/MainBasis/统一需求文档.md；位置：live-room.html
2. 规则：BR-7A61FD1A561738
3. 未动态验证</x:v>
      </x:c>
    </x:row>
    <x:row r="281" ht="85" customHeight="1">
      <x:c r="A281" s="10" t="n">
        <x:v>280</x:v>
      </x:c>
      <x:c r="B281" s="10" t="str">
        <x:v>USER-0280</x:v>
      </x:c>
      <x:c r="C281" s="10" t="str">
        <x:v>直播模块</x:v>
      </x:c>
      <x:c r="D281" s="10" t="str">
        <x:v>直播间（普通房）（观众）</x:v>
      </x:c>
      <x:c r="E281" s="10" t="str">
        <x:v>功能需求</x:v>
      </x:c>
      <x:c r="F281" s="10" t="str">
        <x:v>P1</x:v>
      </x:c>
      <x:c r="G281" s="9" t="str">
        <x:v>验证已知密码不能绕过双方拉黑</x:v>
      </x:c>
      <x:c r="H281" s="9" t="str">
        <x:v>拉黑优先级</x:v>
      </x:c>
      <x:c r="I281" s="9" t="str">
        <x:v>1. 用户账号可用且已登录
2. 房型为密码房，账号与主播存在拉黑关系</x:v>
      </x:c>
      <x:c r="J281" s="9" t="str">
        <x:v>1. 打开主播海风的当前直播间</x:v>
      </x:c>
      <x:c r="K281" s="9" t="str">
        <x:v>显示访问受限拦截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来源（当前证据）：liveshow-proto/MainBasis/统一需求文档.md；位置：live-room.html
2. 规则：BR-51141D48C725F4
3. 未动态验证</x:v>
      </x:c>
    </x:row>
    <x:row r="282" ht="85" customHeight="1">
      <x:c r="A282" s="10" t="n">
        <x:v>281</x:v>
      </x:c>
      <x:c r="B282" s="10" t="str">
        <x:v>USER-0281</x:v>
      </x:c>
      <x:c r="C282" s="10" t="str">
        <x:v>直播模块</x:v>
      </x:c>
      <x:c r="D282" s="10" t="str">
        <x:v>直播间（普通房）（观众）</x:v>
      </x:c>
      <x:c r="E282" s="10" t="str">
        <x:v>功能需求</x:v>
      </x:c>
      <x:c r="F282" s="10" t="str">
        <x:v>P1</x:v>
      </x:c>
      <x:c r="G282" s="9" t="str">
        <x:v>验证清屏只清除本设备公屏</x:v>
      </x:c>
      <x:c r="H282" s="9" t="str">
        <x:v>清屏设备范围</x:v>
      </x:c>
      <x:c r="I282" s="9" t="str">
        <x:v>1. 用户账号可用且已登录
2. 两名观众已看到同一条公屏消息</x:v>
      </x:c>
      <x:c r="J282" s="9" t="str">
        <x:v>1. 打开主播海风的当前直播间
2. 点击更多
3. 点击清屏</x:v>
      </x:c>
      <x:c r="K282" s="9" t="str">
        <x:v>另一名观众设备仍显示原公屏消息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来源（当前证据）：liveshow-proto/MainBasis/统一需求文档.md；位置：live-room.html
2. 规则：BR-7AFCC0E33B3E11
3. 未动态验证</x:v>
      </x:c>
    </x:row>
    <x:row r="283" ht="85" customHeight="1">
      <x:c r="A283" s="10" t="n">
        <x:v>282</x:v>
      </x:c>
      <x:c r="B283" s="10" t="str">
        <x:v>USER-0282</x:v>
      </x:c>
      <x:c r="C283" s="10" t="str">
        <x:v>直播模块</x:v>
      </x:c>
      <x:c r="D283" s="10" t="str">
        <x:v>直播间（普通房）（观众）</x:v>
      </x:c>
      <x:c r="E283" s="10" t="str">
        <x:v>功能需求</x:v>
      </x:c>
      <x:c r="F283" s="10" t="str">
        <x:v>P1</x:v>
      </x:c>
      <x:c r="G283" s="9" t="str">
        <x:v>验证场次结束后不能继续发言</x:v>
      </x:c>
      <x:c r="H283" s="9" t="str">
        <x:v>直播结束发言限制</x:v>
      </x:c>
      <x:c r="I283" s="9" t="str">
        <x:v>1. 用户账号可用且已登录
2. 该场次已由主播结束</x:v>
      </x:c>
      <x:c r="J283" s="9" t="str">
        <x:v>1. 打开主播海风的当前直播间
2. 点击评论输入入口</x:v>
      </x:c>
      <x:c r="K283" s="9" t="str">
        <x:v>不能向已结束场次发送评论</x:v>
      </x:c>
      <x:c r="L283" s="10" t="str">
        <x:v>FLOW-3316A78D</x:v>
      </x:c>
      <x:c r="M283" s="10" t="str">
        <x:v>未测</x:v>
      </x:c>
      <x:c r="N283" s="10" t="str"/>
      <x:c r="O283" s="9" t="str">
        <x:v>1. 来源（当前证据）：liveshow-proto/MainBasis/统一需求文档.md；位置：live-room.html、live-end-viewer.html
2. 规则：BR-66ED00F7D49AED
3. 未动态验证</x:v>
      </x:c>
    </x:row>
    <x:row r="284" ht="85" customHeight="1">
      <x:c r="A284" s="10" t="n">
        <x:v>283</x:v>
      </x:c>
      <x:c r="B284" s="10" t="str">
        <x:v>USER-0283</x:v>
      </x:c>
      <x:c r="C284" s="10" t="str">
        <x:v>直播模块</x:v>
      </x:c>
      <x:c r="D284" s="10" t="str">
        <x:v>密码房-访问受限（观众）</x:v>
      </x:c>
      <x:c r="E284" s="10" t="str">
        <x:v>功能需求</x:v>
      </x:c>
      <x:c r="F284" s="10" t="str">
        <x:v>P1</x:v>
      </x:c>
      <x:c r="G284" s="9" t="str">
        <x:v>验证正确密码解除进房遮挡</x:v>
      </x:c>
      <x:c r="H284" s="9" t="str">
        <x:v>密码准入成功</x:v>
      </x:c>
      <x:c r="I284" s="9" t="str">
        <x:v>1. 用户账号可用且已登录
2. 本场密码为 12345678，无封禁拉黑踢出限制</x:v>
      </x:c>
      <x:c r="J284" s="9" t="str">
        <x:v>1. 进入海风密码直播间
2. 输入房间密码12345678
3. 点击确认</x:v>
      </x:c>
      <x:c r="K284" s="9" t="str">
        <x:v>显示本场直播内容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来源（当前证据）：liveshow-proto/MainBasis/统一需求文档.md；位置：views/live-room/password-room-restricted.html
2. 规则：BR-E467C827EB9376
3. 未动态验证</x:v>
      </x:c>
    </x:row>
    <x:row r="285" ht="85" customHeight="1">
      <x:c r="A285" s="10" t="n">
        <x:v>284</x:v>
      </x:c>
      <x:c r="B285" s="10" t="str">
        <x:v>USER-0284</x:v>
      </x:c>
      <x:c r="C285" s="10" t="str">
        <x:v>直播模块</x:v>
      </x:c>
      <x:c r="D285" s="10" t="str">
        <x:v>密码房-访问受限（观众）</x:v>
      </x:c>
      <x:c r="E285" s="10" t="str">
        <x:v>异常用例</x:v>
      </x:c>
      <x:c r="F285" s="10" t="str">
        <x:v>P1</x:v>
      </x:c>
      <x:c r="G285" s="9" t="str">
        <x:v>验证错误密码不能进房</x:v>
      </x:c>
      <x:c r="H285" s="9" t="str">
        <x:v>密码错误拦截</x:v>
      </x:c>
      <x:c r="I285" s="9" t="str">
        <x:v>1. 用户账号可用且已登录
2. 本场密码为 12345678，无封禁拉黑踢出限制</x:v>
      </x:c>
      <x:c r="J285" s="9" t="str">
        <x:v>1. 进入海风密码直播间
2. 输入房间密码87654321
3. 点击确认</x:v>
      </x:c>
      <x:c r="K285" s="9" t="str">
        <x:v>提示“密码错误，请重新输入”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来源（当前证据）：liveshow-proto/MainBasis/统一需求文档.md；位置：views/live-room/password-room-restricted.html
2. 规则：BR-42F5E8169CD46E
3. 未动态验证</x:v>
      </x:c>
    </x:row>
    <x:row r="286" ht="85" customHeight="1">
      <x:c r="A286" s="10" t="n">
        <x:v>285</x:v>
      </x:c>
      <x:c r="B286" s="10" t="str">
        <x:v>USER-0285</x:v>
      </x:c>
      <x:c r="C286" s="10" t="str">
        <x:v>直播模块</x:v>
      </x:c>
      <x:c r="D286" s="10" t="str">
        <x:v>密码房-访问受限（观众）</x:v>
      </x:c>
      <x:c r="E286" s="10" t="str">
        <x:v>功能需求</x:v>
      </x:c>
      <x:c r="F286" s="10" t="str">
        <x:v>P1</x:v>
      </x:c>
      <x:c r="G286" s="9" t="str">
        <x:v>验证关闭密码弹窗返回来源页</x:v>
      </x:c>
      <x:c r="H286" s="9" t="str">
        <x:v>密码验证取消</x:v>
      </x:c>
      <x:c r="I286" s="9" t="str">
        <x:v>1. 用户账号可用且已登录
2. 从首页进入密码房</x:v>
      </x:c>
      <x:c r="J286" s="9" t="str">
        <x:v>1. 进入海风密码直播间
2. 关闭密码弹窗</x:v>
      </x:c>
      <x:c r="K286" s="9" t="str">
        <x:v>返回首页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来源（当前证据）：liveshow-proto/MainBasis/统一需求文档.md；位置：views/live-room/password-room-restricted.html
2. 规则：BR-DA73A37E32C969
3. 未动态验证</x:v>
      </x:c>
    </x:row>
    <x:row r="287" ht="85" customHeight="1">
      <x:c r="A287" s="10" t="n">
        <x:v>286</x:v>
      </x:c>
      <x:c r="B287" s="10" t="str">
        <x:v>USER-0286</x:v>
      </x:c>
      <x:c r="C287" s="10" t="str">
        <x:v>直播模块</x:v>
      </x:c>
      <x:c r="D287" s="10" t="str">
        <x:v>门票房-访问受限（观众）</x:v>
      </x:c>
      <x:c r="E287" s="10" t="str">
        <x:v>功能需求</x:v>
      </x:c>
      <x:c r="F287" s="10" t="str">
        <x:v>P1</x:v>
      </x:c>
      <x:c r="G287" s="9" t="str">
        <x:v>验证购票成功生成本场准入资格</x:v>
      </x:c>
      <x:c r="H287" s="9" t="str">
        <x:v>门票支付准入</x:v>
      </x:c>
      <x:c r="I287" s="9" t="str">
        <x:v>1. 用户账号可用且已登录
2. 余额为 100，本场票价为 50，尚未购票</x:v>
      </x:c>
      <x:c r="J287" s="9" t="str">
        <x:v>1. 进入门票直播间
2. 点击确认购买</x:v>
      </x:c>
      <x:c r="K287" s="9" t="str">
        <x:v>完整展示本场直播内容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来源（当前证据）：liveshow-proto/MainBasis/统一需求文档.md；位置：views/live-room/ticket-room-restricted.html
2. 规则：BR-D113B422745D0D
3. 未动态验证</x:v>
      </x:c>
    </x:row>
    <x:row r="288" ht="85" customHeight="1">
      <x:c r="A288" s="10" t="n">
        <x:v>287</x:v>
      </x:c>
      <x:c r="B288" s="10" t="str">
        <x:v>USER-0287</x:v>
      </x:c>
      <x:c r="C288" s="10" t="str">
        <x:v>直播模块</x:v>
      </x:c>
      <x:c r="D288" s="10" t="str">
        <x:v>门票房-访问受限（观众）</x:v>
      </x:c>
      <x:c r="E288" s="10" t="str">
        <x:v>功能需求</x:v>
      </x:c>
      <x:c r="F288" s="10" t="str">
        <x:v>P1</x:v>
      </x:c>
      <x:c r="G288" s="9" t="str">
        <x:v>验证同场重新进入不重复收费</x:v>
      </x:c>
      <x:c r="H288" s="9" t="str">
        <x:v>门票复用</x:v>
      </x:c>
      <x:c r="I288" s="9" t="str">
        <x:v>1. 用户账号可用且已登录
2. 本场已购票且未被踢出，记录进房前余额</x:v>
      </x:c>
      <x:c r="J288" s="9" t="str">
        <x:v>1. 进入门票直播间
2. 重新进入同一直播场次</x:v>
      </x:c>
      <x:c r="K288" s="9" t="str">
        <x:v>金币余额不因重新进入再次扣减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来源（当前证据）：liveshow-proto/MainBasis/统一需求文档.md；位置：views/live-room/ticket-room-restricted.html
2. 规则：BR-C841A43EDB57B6
3. 未动态验证</x:v>
      </x:c>
    </x:row>
    <x:row r="289" ht="85" customHeight="1">
      <x:c r="A289" s="10" t="n">
        <x:v>288</x:v>
      </x:c>
      <x:c r="B289" s="10" t="str">
        <x:v>USER-0288</x:v>
      </x:c>
      <x:c r="C289" s="10" t="str">
        <x:v>直播模块</x:v>
      </x:c>
      <x:c r="D289" s="10" t="str">
        <x:v>门票房-访问受限（观众）</x:v>
      </x:c>
      <x:c r="E289" s="10" t="str">
        <x:v>功能需求</x:v>
      </x:c>
      <x:c r="F289" s="10" t="str">
        <x:v>P1</x:v>
      </x:c>
      <x:c r="G289" s="9" t="str">
        <x:v>验证余额不足不扣款</x:v>
      </x:c>
      <x:c r="H289" s="9" t="str">
        <x:v>门票余额不足</x:v>
      </x:c>
      <x:c r="I289" s="9" t="str">
        <x:v>1. 用户账号可用且已登录
2. 当前余额为 49，本场票价为 50</x:v>
      </x:c>
      <x:c r="J289" s="9" t="str">
        <x:v>1. 进入门票直播间
2. 点击确认购买</x:v>
      </x:c>
      <x:c r="K289" s="9" t="str">
        <x:v>金币余额保持 49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来源（当前证据）：liveshow-proto/MainBasis/统一需求文档.md；位置：views/live-room/ticket-room-restricted.html
2. 规则：BR-58739DEFA95B0F
3. 未动态验证</x:v>
      </x:c>
    </x:row>
    <x:row r="290" ht="85" customHeight="1">
      <x:c r="A290" s="10" t="n">
        <x:v>289</x:v>
      </x:c>
      <x:c r="B290" s="10" t="str">
        <x:v>USER-0289</x:v>
      </x:c>
      <x:c r="C290" s="10" t="str">
        <x:v>直播模块</x:v>
      </x:c>
      <x:c r="D290" s="10" t="str">
        <x:v>门票房-访问受限（观众）</x:v>
      </x:c>
      <x:c r="E290" s="10" t="str">
        <x:v>功能需求</x:v>
      </x:c>
      <x:c r="F290" s="10" t="str">
        <x:v>P1</x:v>
      </x:c>
      <x:c r="G290" s="9" t="str">
        <x:v>验证取消购票回到来源页</x:v>
      </x:c>
      <x:c r="H290" s="9" t="str">
        <x:v>门票支付取消</x:v>
      </x:c>
      <x:c r="I290" s="9" t="str">
        <x:v>1. 用户账号可用且已登录
2. 从首页进入尚未购买的门票房</x:v>
      </x:c>
      <x:c r="J290" s="9" t="str">
        <x:v>1. 进入门票直播间
2. 点击取消</x:v>
      </x:c>
      <x:c r="K290" s="9" t="str">
        <x:v>返回首页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来源（当前证据）：liveshow-proto/MainBasis/统一需求文档.md；位置：views/live-room/ticket-room-restricted.html
2. 规则：BR-55730D9A56EF59
3. 未动态验证</x:v>
      </x:c>
    </x:row>
    <x:row r="291" ht="85" customHeight="1">
      <x:c r="A291" s="10" t="n">
        <x:v>290</x:v>
      </x:c>
      <x:c r="B291" s="10" t="str">
        <x:v>USER-0290</x:v>
      </x:c>
      <x:c r="C291" s="10" t="str">
        <x:v>直播模块</x:v>
      </x:c>
      <x:c r="D291" s="10" t="str">
        <x:v>门票房-访问受限（观众）</x:v>
      </x:c>
      <x:c r="E291" s="10" t="str">
        <x:v>功能需求</x:v>
      </x:c>
      <x:c r="F291" s="10" t="str">
        <x:v>P1</x:v>
      </x:c>
      <x:c r="G291" s="9" t="str">
        <x:v>验证下一场需要重新购票</x:v>
      </x:c>
      <x:c r="H291" s="9" t="str">
        <x:v>门票场次隔离</x:v>
      </x:c>
      <x:c r="I291" s="9" t="str">
        <x:v>1. 用户账号可用且已登录
2. 上一场已购门票，主播已结束并新开门票场次</x:v>
      </x:c>
      <x:c r="J291" s="9" t="str">
        <x:v>1. 进入门票直播间
2. 进入主播新场次</x:v>
      </x:c>
      <x:c r="K291" s="9" t="str">
        <x:v>显示新场次购票弹窗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来源（当前证据）：liveshow-proto/MainBasis/统一需求文档.md；位置：views/live-room/ticket-room-restricted.html
2. 规则：BR-5BAA8FC42D8ADD
3. 未动态验证</x:v>
      </x:c>
    </x:row>
    <x:row r="292" ht="85" customHeight="1">
      <x:c r="A292" s="10" t="n">
        <x:v>291</x:v>
      </x:c>
      <x:c r="B292" s="10" t="str">
        <x:v>USER-0291</x:v>
      </x:c>
      <x:c r="C292" s="10" t="str">
        <x:v>直播模块</x:v>
      </x:c>
      <x:c r="D292" s="10" t="str">
        <x:v>巡房身份-正常进入（巡房人员）</x:v>
      </x:c>
      <x:c r="E292" s="10" t="str">
        <x:v>功能需求</x:v>
      </x:c>
      <x:c r="F292" s="10" t="str">
        <x:v>P1</x:v>
      </x:c>
      <x:c r="G292" s="9" t="str">
        <x:v>验证巡房可进入密码房</x:v>
      </x:c>
      <x:c r="H292" s="9" t="str">
        <x:v>巡房密码豁免</x:v>
      </x:c>
      <x:c r="I292" s="9" t="str">
        <x:v>1. 执行账号处于有效巡房任务范围，未被平台封禁
2. 房型为密码房，未持有密码</x:v>
      </x:c>
      <x:c r="J292" s="9" t="str">
        <x:v>1. 通过巡房任务进入直播间</x:v>
      </x:c>
      <x:c r="K292" s="9" t="str">
        <x:v>直接展示直播内容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来源（当前证据）：liveshow-proto/MainBasis/统一需求文档.md；位置：views/live-room/patrol-room-allowed.html
2. 规则：BR-7CCE288DC1F9A7
3. 未动态验证</x:v>
      </x:c>
    </x:row>
    <x:row r="293" ht="85" customHeight="1">
      <x:c r="A293" s="10" t="n">
        <x:v>292</x:v>
      </x:c>
      <x:c r="B293" s="10" t="str">
        <x:v>USER-0292</x:v>
      </x:c>
      <x:c r="C293" s="10" t="str">
        <x:v>直播模块</x:v>
      </x:c>
      <x:c r="D293" s="10" t="str">
        <x:v>巡房身份-正常进入（巡房人员）</x:v>
      </x:c>
      <x:c r="E293" s="10" t="str">
        <x:v>功能需求</x:v>
      </x:c>
      <x:c r="F293" s="10" t="str">
        <x:v>P1</x:v>
      </x:c>
      <x:c r="G293" s="9" t="str">
        <x:v>验证巡房入口进入显示身份</x:v>
      </x:c>
      <x:c r="H293" s="9" t="str">
        <x:v>巡房身份提示</x:v>
      </x:c>
      <x:c r="I293" s="9" t="str">
        <x:v>1. 执行账号处于有效巡房任务范围，未被平台封禁
2. 房型为密码房，未持有密码</x:v>
      </x:c>
      <x:c r="J293" s="9" t="str">
        <x:v>1. 通过巡房任务进入直播间</x:v>
      </x:c>
      <x:c r="K293" s="9" t="str">
        <x:v>显示“巡房中”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来源（当前证据）：liveshow-proto/MainBasis/统一需求文档.md；位置：views/live-room/patrol-room-allowed.html
2. 规则：BR-75C4409474B133
3. 未动态验证</x:v>
      </x:c>
    </x:row>
    <x:row r="294" ht="85" customHeight="1">
      <x:c r="A294" s="10" t="n">
        <x:v>293</x:v>
      </x:c>
      <x:c r="B294" s="10" t="str">
        <x:v>USER-0293</x:v>
      </x:c>
      <x:c r="C294" s="10" t="str">
        <x:v>直播模块</x:v>
      </x:c>
      <x:c r="D294" s="10" t="str">
        <x:v>巡房身份-正常进入（巡房人员）</x:v>
      </x:c>
      <x:c r="E294" s="10" t="str">
        <x:v>功能需求</x:v>
      </x:c>
      <x:c r="F294" s="10" t="str">
        <x:v>P1</x:v>
      </x:c>
      <x:c r="G294" s="9" t="str">
        <x:v>验证巡房可进入门票房且不收费</x:v>
      </x:c>
      <x:c r="H294" s="9" t="str">
        <x:v>巡房门票豁免</x:v>
      </x:c>
      <x:c r="I294" s="9" t="str">
        <x:v>1. 执行账号处于有效巡房任务范围，未被平台封禁
2. 房型为门票房，未购票，已记录余额</x:v>
      </x:c>
      <x:c r="J294" s="9" t="str">
        <x:v>1. 通过巡房任务进入直播间</x:v>
      </x:c>
      <x:c r="K294" s="9" t="str">
        <x:v>不因本次巡房扣减门票金币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来源（当前证据）：liveshow-proto/MainBasis/统一需求文档.md；位置：views/live-room/patrol-room-allowed.html
2. 规则：BR-2DB2852B483E59
3. 未动态验证</x:v>
      </x:c>
    </x:row>
    <x:row r="295" ht="85" customHeight="1">
      <x:c r="A295" s="10" t="n">
        <x:v>294</x:v>
      </x:c>
      <x:c r="B295" s="10" t="str">
        <x:v>USER-0294</x:v>
      </x:c>
      <x:c r="C295" s="10" t="str">
        <x:v>直播模块</x:v>
      </x:c>
      <x:c r="D295" s="10" t="str">
        <x:v>巡房身份-正常进入（巡房人员）</x:v>
      </x:c>
      <x:c r="E295" s="10" t="str">
        <x:v>功能需求</x:v>
      </x:c>
      <x:c r="F295" s="10" t="str">
        <x:v>P1</x:v>
      </x:c>
      <x:c r="G295" s="9" t="str">
        <x:v>验证巡房豁免不删除原拉黑关系</x:v>
      </x:c>
      <x:c r="H295" s="9" t="str">
        <x:v>巡房关系隔离</x:v>
      </x:c>
      <x:c r="I295" s="9" t="str">
        <x:v>1. 执行账号处于有效巡房任务范围，未被平台封禁
2. 主播已拉黑巡房账号</x:v>
      </x:c>
      <x:c r="J295" s="9" t="str">
        <x:v>1. 通过巡房任务进入直播间</x:v>
      </x:c>
      <x:c r="K295" s="9" t="str">
        <x:v>原账号拉黑记录仍保留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来源（当前证据）：liveshow-proto/MainBasis/统一需求文档.md；位置：views/live-room/patrol-room-allowed.html
2. 规则：BR-AD74954ABD48CF
3. 未动态验证</x:v>
      </x:c>
    </x:row>
    <x:row r="296" ht="85" customHeight="1">
      <x:c r="A296" s="10" t="n">
        <x:v>295</x:v>
      </x:c>
      <x:c r="B296" s="10" t="str">
        <x:v>USER-0295</x:v>
      </x:c>
      <x:c r="C296" s="10" t="str">
        <x:v>直播模块</x:v>
      </x:c>
      <x:c r="D296" s="10" t="str">
        <x:v>巡房身份-正常进入（巡房人员）</x:v>
      </x:c>
      <x:c r="E296" s="10" t="str">
        <x:v>功能需求</x:v>
      </x:c>
      <x:c r="F296" s="10" t="str">
        <x:v>P1</x:v>
      </x:c>
      <x:c r="G296" s="9" t="str">
        <x:v>验证巡房结束恢复普通准入限制</x:v>
      </x:c>
      <x:c r="H296" s="9" t="str">
        <x:v>巡房资格退出</x:v>
      </x:c>
      <x:c r="I296" s="9" t="str">
        <x:v>1. 执行账号处于有效巡房任务范围，未被平台封禁
2. 本次巡房会话已结束，主播已拉黑该账号</x:v>
      </x:c>
      <x:c r="J296" s="9" t="str">
        <x:v>1. 通过巡房任务进入直播间
2. 通过普通首页入口重新进入主播房间</x:v>
      </x:c>
      <x:c r="K296" s="9" t="str">
        <x:v>被普通拉黑准入规则拦截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来源（当前证据）：liveshow-proto/MainBasis/统一需求文档.md；位置：views/live-room/patrol-room-allowed.html
2. 规则：BR-E3E5524045E93D
3. 未动态验证</x:v>
      </x:c>
    </x:row>
    <x:row r="297" ht="85" customHeight="1">
      <x:c r="A297" s="10" t="n">
        <x:v>296</x:v>
      </x:c>
      <x:c r="B297" s="10" t="str">
        <x:v>USER-0296</x:v>
      </x:c>
      <x:c r="C297" s="10" t="str">
        <x:v>直播模块</x:v>
      </x:c>
      <x:c r="D297" s="10" t="str">
        <x:v>禁言确认（房管）</x:v>
      </x:c>
      <x:c r="E297" s="10" t="str">
        <x:v>功能需求</x:v>
      </x:c>
      <x:c r="F297" s="10" t="str">
        <x:v>P1</x:v>
      </x:c>
      <x:c r="G297" s="9" t="str">
        <x:v>验证取消禁言不改变观众状态</x:v>
      </x:c>
      <x:c r="H297" s="9" t="str">
        <x:v>禁言取消</x:v>
      </x:c>
      <x:c r="I297" s="9" t="str">
        <x:v>1. 房管账号已获主播长期授权，目标观众海风在本场在线</x:v>
      </x:c>
      <x:c r="J297" s="9" t="str">
        <x:v>1. 进入目标观众资料卡
2. 点击禁言
3. 点击取消</x:v>
      </x:c>
      <x:c r="K297" s="9" t="str">
        <x:v>海风仍可在本场发言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来源（当前证据）：liveshow-proto/MainBasis/统一需求文档.md；位置：views/live-room/profile-moderator-mute.html
2. 规则：BR-ABAD9D8F84E578
3. 未动态验证</x:v>
      </x:c>
    </x:row>
    <x:row r="298" ht="85" customHeight="1">
      <x:c r="A298" s="10" t="n">
        <x:v>297</x:v>
      </x:c>
      <x:c r="B298" s="10" t="str">
        <x:v>USER-0297</x:v>
      </x:c>
      <x:c r="C298" s="10" t="str">
        <x:v>直播模块</x:v>
      </x:c>
      <x:c r="D298" s="10" t="str">
        <x:v>禁言确认（房管）</x:v>
      </x:c>
      <x:c r="E298" s="10" t="str">
        <x:v>功能需求</x:v>
      </x:c>
      <x:c r="F298" s="10" t="str">
        <x:v>P1</x:v>
      </x:c>
      <x:c r="G298" s="9" t="str">
        <x:v>验证确认禁言对当前场次生效</x:v>
      </x:c>
      <x:c r="H298" s="9" t="str">
        <x:v>禁言执行</x:v>
      </x:c>
      <x:c r="I298" s="9" t="str">
        <x:v>1. 房管账号已获主播长期授权，目标观众海风在本场在线</x:v>
      </x:c>
      <x:c r="J298" s="9" t="str">
        <x:v>1. 进入目标观众资料卡
2. 点击禁言
3. 点击确认</x:v>
      </x:c>
      <x:c r="K298" s="9" t="str">
        <x:v>海风的本场公屏输入变为禁言态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来源（当前证据）：liveshow-proto/MainBasis/统一需求文档.md；位置：views/live-room/profile-moderator-mute.html
2. 规则：BR-B73B1887972C3D
3. 未动态验证</x:v>
      </x:c>
    </x:row>
    <x:row r="299" ht="85" customHeight="1">
      <x:c r="A299" s="10" t="n">
        <x:v>298</x:v>
      </x:c>
      <x:c r="B299" s="10" t="str">
        <x:v>USER-0298</x:v>
      </x:c>
      <x:c r="C299" s="10" t="str">
        <x:v>直播模块</x:v>
      </x:c>
      <x:c r="D299" s="10" t="str">
        <x:v>踢出确认（房管）</x:v>
      </x:c>
      <x:c r="E299" s="10" t="str">
        <x:v>功能需求</x:v>
      </x:c>
      <x:c r="F299" s="10" t="str">
        <x:v>P1</x:v>
      </x:c>
      <x:c r="G299" s="9" t="str">
        <x:v>验证取消踢出不改变观众状态</x:v>
      </x:c>
      <x:c r="H299" s="9" t="str">
        <x:v>踢出取消</x:v>
      </x:c>
      <x:c r="I299" s="9" t="str">
        <x:v>1. 房管账号已获主播长期授权，目标观众海风在本场在线</x:v>
      </x:c>
      <x:c r="J299" s="9" t="str">
        <x:v>1. 进入目标观众资料卡
2. 点击踢出
3. 点击取消</x:v>
      </x:c>
      <x:c r="K299" s="9" t="str">
        <x:v>海风仍留在本场直播间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来源（当前证据）：liveshow-proto/MainBasis/统一需求文档.md；位置：views/live-room/profile-moderator-remove.html
2. 规则：BR-171598070CEBE1
3. 未动态验证</x:v>
      </x:c>
    </x:row>
    <x:row r="300" ht="85" customHeight="1">
      <x:c r="A300" s="10" t="n">
        <x:v>299</x:v>
      </x:c>
      <x:c r="B300" s="10" t="str">
        <x:v>USER-0299</x:v>
      </x:c>
      <x:c r="C300" s="10" t="str">
        <x:v>直播模块</x:v>
      </x:c>
      <x:c r="D300" s="10" t="str">
        <x:v>踢出确认（房管）</x:v>
      </x:c>
      <x:c r="E300" s="10" t="str">
        <x:v>功能需求</x:v>
      </x:c>
      <x:c r="F300" s="10" t="str">
        <x:v>P1</x:v>
      </x:c>
      <x:c r="G300" s="9" t="str">
        <x:v>验证确认踢出对当前场次生效</x:v>
      </x:c>
      <x:c r="H300" s="9" t="str">
        <x:v>踢出执行</x:v>
      </x:c>
      <x:c r="I300" s="9" t="str">
        <x:v>1. 房管账号已获主播长期授权，目标观众海风在本场在线</x:v>
      </x:c>
      <x:c r="J300" s="9" t="str">
        <x:v>1. 进入目标观众资料卡
2. 点击踢出
3. 点击确认</x:v>
      </x:c>
      <x:c r="K300" s="9" t="str">
        <x:v>海风退出本场直播间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来源（当前证据）：liveshow-proto/MainBasis/统一需求文档.md；位置：views/live-room/profile-moderator-remove.html
2. 规则：BR-E5E770BACF109D
3. 未动态验证</x:v>
      </x:c>
    </x:row>
    <x:row r="301" ht="85" customHeight="1">
      <x:c r="A301" s="10" t="n">
        <x:v>300</x:v>
      </x:c>
      <x:c r="B301" s="10" t="str">
        <x:v>USER-0300</x:v>
      </x:c>
      <x:c r="C301" s="10" t="str">
        <x:v>直播模块</x:v>
      </x:c>
      <x:c r="D301" s="10" t="str">
        <x:v>被禁言（观众）</x:v>
      </x:c>
      <x:c r="E301" s="10" t="str">
        <x:v>功能需求</x:v>
      </x:c>
      <x:c r="F301" s="10" t="str">
        <x:v>P1</x:v>
      </x:c>
      <x:c r="G301" s="9" t="str">
        <x:v>验证禁言不影响观看</x:v>
      </x:c>
      <x:c r="H301" s="9" t="str">
        <x:v>禁言业务范围</x:v>
      </x:c>
      <x:c r="I301" s="9" t="str">
        <x:v>1. 观众已被本场禁言</x:v>
      </x:c>
      <x:c r="J301" s="9" t="str">
        <x:v>1. 进入当前直播间</x:v>
      </x:c>
      <x:c r="K301" s="9" t="str">
        <x:v>仍可观看当前直播内容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来源（当前证据）：liveshow-proto/MainBasis/统一需求文档.md；位置：views/live-room/comment-muted.html
2. 规则：BR-9FD296C1CF792B
3. 未动态验证</x:v>
      </x:c>
    </x:row>
    <x:row r="302" ht="85" customHeight="1">
      <x:c r="A302" s="10" t="n">
        <x:v>301</x:v>
      </x:c>
      <x:c r="B302" s="10" t="str">
        <x:v>USER-0301</x:v>
      </x:c>
      <x:c r="C302" s="10" t="str">
        <x:v>直播模块</x:v>
      </x:c>
      <x:c r="D302" s="10" t="str">
        <x:v>被禁言（观众）</x:v>
      </x:c>
      <x:c r="E302" s="10" t="str">
        <x:v>功能需求</x:v>
      </x:c>
      <x:c r="F302" s="10" t="str">
        <x:v>P1</x:v>
      </x:c>
      <x:c r="G302" s="9" t="str">
        <x:v>验证本场重进仍然禁言</x:v>
      </x:c>
      <x:c r="H302" s="9" t="str">
        <x:v>禁言状态保持</x:v>
      </x:c>
      <x:c r="I302" s="9" t="str">
        <x:v>1. 观众已被本场禁言</x:v>
      </x:c>
      <x:c r="J302" s="9" t="str">
        <x:v>1. 进入当前直播间
2. 退出后重新进入同一场次</x:v>
      </x:c>
      <x:c r="K302" s="9" t="str">
        <x:v>公屏输入仍不可提交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来源（当前证据）：liveshow-proto/MainBasis/统一需求文档.md；位置：views/live-room/comment-muted.html
2. 规则：BR-E40F547D2ED2BD
3. 未动态验证</x:v>
      </x:c>
    </x:row>
    <x:row r="303" ht="85" customHeight="1">
      <x:c r="A303" s="10" t="n">
        <x:v>302</x:v>
      </x:c>
      <x:c r="B303" s="10" t="str">
        <x:v>USER-0302</x:v>
      </x:c>
      <x:c r="C303" s="10" t="str">
        <x:v>直播模块</x:v>
      </x:c>
      <x:c r="D303" s="10" t="str">
        <x:v>被禁言（观众）</x:v>
      </x:c>
      <x:c r="E303" s="10" t="str">
        <x:v>功能需求</x:v>
      </x:c>
      <x:c r="F303" s="10" t="str">
        <x:v>P1</x:v>
      </x:c>
      <x:c r="G303" s="9" t="str">
        <x:v>验证下一场恢复发言</x:v>
      </x:c>
      <x:c r="H303" s="9" t="str">
        <x:v>禁言场次失效</x:v>
      </x:c>
      <x:c r="I303" s="9" t="str">
        <x:v>1. 观众已被本场禁言
2. 原场次已结束，主播已开启新普通场次</x:v>
      </x:c>
      <x:c r="J303" s="9" t="str">
        <x:v>1. 进入当前直播间
2. 进入主播新场次</x:v>
      </x:c>
      <x:c r="K303" s="9" t="str">
        <x:v>可以发送公屏评论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来源（当前证据）：liveshow-proto/MainBasis/统一需求文档.md；位置：views/live-room/comment-muted.html
2. 规则：BR-3DF4B00CB5908C
3. 未动态验证</x:v>
      </x:c>
    </x:row>
    <x:row r="304" ht="100" customHeight="1">
      <x:c r="A304" s="10" t="n">
        <x:v>303</x:v>
      </x:c>
      <x:c r="B304" s="10" t="str">
        <x:v>USER-0303</x:v>
      </x:c>
      <x:c r="C304" s="10" t="str">
        <x:v>直播模块</x:v>
      </x:c>
      <x:c r="D304" s="10" t="str">
        <x:v>观众资料卡-主播（主播）</x:v>
      </x:c>
      <x:c r="E304" s="10" t="str">
        <x:v>功能需求</x:v>
      </x:c>
      <x:c r="F304" s="10" t="str">
        <x:v>P1</x:v>
      </x:c>
      <x:c r="G304" s="9" t="str">
        <x:v>验证答谢只预填而不自动发送</x:v>
      </x:c>
      <x:c r="H304" s="9" t="str">
        <x:v>快捷答谢预填</x:v>
      </x:c>
      <x:c r="I304" s="9" t="str">
        <x:v>1. 执行账号为所选主播对应的用户账号，已登录
2. 本次尚未点击发送</x:v>
      </x:c>
      <x:c r="J304" s="9" t="str">
        <x:v>1. 进入当前直播间
2. 点击观众海风资料卡
3. 点击答谢</x:v>
      </x:c>
      <x:c r="K304" s="9" t="str">
        <x:v>输入框预填“@海风 谢谢你送的礼物！”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来源（当前证据）：liveshow-proto/MainBasis/统一需求文档.md；位置：views/live-room-host/profile-host.html、views/live-room-host/thank-message.html
2. 规则：BR-20AC4A1BD24D12
3. 未动态验证</x:v>
      </x:c>
    </x:row>
    <x:row r="305" ht="85" customHeight="1">
      <x:c r="A305" s="10" t="n">
        <x:v>304</x:v>
      </x:c>
      <x:c r="B305" s="10" t="str">
        <x:v>USER-0304</x:v>
      </x:c>
      <x:c r="C305" s="10" t="str">
        <x:v>直播模块</x:v>
      </x:c>
      <x:c r="D305" s="10" t="str">
        <x:v>观众资料卡-主播（主播）</x:v>
      </x:c>
      <x:c r="E305" s="10" t="str">
        <x:v>功能需求</x:v>
      </x:c>
      <x:c r="F305" s="10" t="str">
        <x:v>P1</x:v>
      </x:c>
      <x:c r="G305" s="9" t="str">
        <x:v>验证巡房人员不显示踢出入口</x:v>
      </x:c>
      <x:c r="H305" s="9" t="str">
        <x:v>巡房人员保护</x:v>
      </x:c>
      <x:c r="I305" s="9" t="str">
        <x:v>1. 执行账号为所选主播对应的用户账号，已登录
2. 海风本次以有效巡房会话进入</x:v>
      </x:c>
      <x:c r="J305" s="9" t="str">
        <x:v>1. 进入当前直播间
2. 点击观众海风资料卡
3. 查看资料卡操作</x:v>
      </x:c>
      <x:c r="K305" s="9" t="str">
        <x:v>不展示踢出操作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来源（当前证据）：liveshow-proto/MainBasis/统一需求文档.md；位置：views/live-room-host/profile-host.html
2. 规则：BR-C5CA97FE6F76BC
3. 未动态验证</x:v>
      </x:c>
    </x:row>
    <x:row r="306" ht="100" customHeight="1">
      <x:c r="A306" s="10" t="n">
        <x:v>305</x:v>
      </x:c>
      <x:c r="B306" s="10" t="str">
        <x:v>USER-0305</x:v>
      </x:c>
      <x:c r="C306" s="10" t="str">
        <x:v>直播模块</x:v>
      </x:c>
      <x:c r="D306" s="10" t="str">
        <x:v>连麦主播（主播）</x:v>
      </x:c>
      <x:c r="E306" s="10" t="str">
        <x:v>功能需求</x:v>
      </x:c>
      <x:c r="F306" s="10" t="str">
        <x:v>P1</x:v>
      </x:c>
      <x:c r="G306" s="9" t="str">
        <x:v>验证符合条件可发起连麦邀请</x:v>
      </x:c>
      <x:c r="H306" s="9" t="str">
        <x:v>连麦邀请创建</x:v>
      </x:c>
      <x:c r="I306" s="9" t="str">
        <x:v>1. 执行账号为所选主播对应的用户账号，已登录
2. 双方普通房在播且未连麦，无拉黑，本账号无已发出邀请</x:v>
      </x:c>
      <x:c r="J306" s="9" t="str">
        <x:v>1. 进入当前普通直播间
2. 点击PK
3. 输入目标主播ID
4. 点击邀请</x:v>
      </x:c>
      <x:c r="K306" s="9" t="str">
        <x:v>显示一笔发出的待处理邀请</x:v>
      </x:c>
      <x:c r="L306" s="10" t="str">
        <x:v>FLOW-9C692968</x:v>
      </x:c>
      <x:c r="M306" s="10" t="str">
        <x:v>未测</x:v>
      </x:c>
      <x:c r="N306" s="10" t="str"/>
      <x:c r="O306" s="9" t="str">
        <x:v>1. 来源（当前证据）：liveshow-proto/MainBasis/统一需求文档.md；位置：views/live-room-host/cohost-hosts.html、共同业务对象与规则
2. 规则：BR-8CC85A20AF5698
3. 未动态验证</x:v>
      </x:c>
    </x:row>
    <x:row r="307" ht="100" customHeight="1">
      <x:c r="A307" s="10" t="n">
        <x:v>306</x:v>
      </x:c>
      <x:c r="B307" s="10" t="str">
        <x:v>USER-0306</x:v>
      </x:c>
      <x:c r="C307" s="10" t="str">
        <x:v>直播模块</x:v>
      </x:c>
      <x:c r="D307" s="10" t="str">
        <x:v>连麦主播（主播）</x:v>
      </x:c>
      <x:c r="E307" s="10" t="str">
        <x:v>功能需求</x:v>
      </x:c>
      <x:c r="F307" s="10" t="str">
        <x:v>P1</x:v>
      </x:c>
      <x:c r="G307" s="9" t="str">
        <x:v>验证存在已发邀请时不能再发</x:v>
      </x:c>
      <x:c r="H307" s="9" t="str">
        <x:v>连麦发出请求互斥</x:v>
      </x:c>
      <x:c r="I307" s="9" t="str">
        <x:v>1. 执行账号为所选主播对应的用户账号，已登录
2. 已经向海风发出一笔待处理邀请</x:v>
      </x:c>
      <x:c r="J307" s="9" t="str">
        <x:v>1. 进入当前普通直播间
2. 点击PK
3. 输入另一主播ID
4. 点击邀请</x:v>
      </x:c>
      <x:c r="K307" s="9" t="str">
        <x:v>提示“已有发出请求，请先取消”</x:v>
      </x:c>
      <x:c r="L307" s="10" t="str">
        <x:v>FLOW-9C692968</x:v>
      </x:c>
      <x:c r="M307" s="10" t="str">
        <x:v>未测</x:v>
      </x:c>
      <x:c r="N307" s="10" t="str"/>
      <x:c r="O307" s="9" t="str">
        <x:v>1. 来源（当前证据）：liveshow-proto/MainBasis/统一需求文档.md；位置：views/live-room-host/cohost-hosts-search-result.html、共同业务对象与规则
2. 规则：BR-8D3B6381658FEA
3. 未动态验证</x:v>
      </x:c>
    </x:row>
    <x:row r="308" ht="85" customHeight="1">
      <x:c r="A308" s="10" t="n">
        <x:v>307</x:v>
      </x:c>
      <x:c r="B308" s="10" t="str">
        <x:v>USER-0307</x:v>
      </x:c>
      <x:c r="C308" s="10" t="str">
        <x:v>直播模块</x:v>
      </x:c>
      <x:c r="D308" s="10" t="str">
        <x:v>收到连麦邀请（主播）</x:v>
      </x:c>
      <x:c r="E308" s="10" t="str">
        <x:v>功能需求</x:v>
      </x:c>
      <x:c r="F308" s="10" t="str">
        <x:v>P1</x:v>
      </x:c>
      <x:c r="G308" s="9" t="str">
        <x:v>验证接受邀请建立双主播连麦</x:v>
      </x:c>
      <x:c r="H308" s="9" t="str">
        <x:v>连麦接受</x:v>
      </x:c>
      <x:c r="I308" s="9" t="str">
        <x:v>1. 执行账号为所选主播对应的用户账号，已登录
2. 已收到海风邀请，双方仍满足连麦前提</x:v>
      </x:c>
      <x:c r="J308" s="9" t="str">
        <x:v>1. 进入当前普通直播间
2. 点击接受</x:v>
      </x:c>
      <x:c r="K308" s="9" t="str">
        <x:v>与海风进入双主播连麦画面</x:v>
      </x:c>
      <x:c r="L308" s="10" t="str">
        <x:v>FLOW-9C692968</x:v>
      </x:c>
      <x:c r="M308" s="10" t="str">
        <x:v>未测</x:v>
      </x:c>
      <x:c r="N308" s="10" t="str"/>
      <x:c r="O308" s="9" t="str">
        <x:v>1. 来源（当前证据）：liveshow-proto/MainBasis/统一需求文档.md；位置：views/live-room-host/cohost-invite-notice.html
2. 规则：BR-870EF736324BE6
3. 未动态验证</x:v>
      </x:c>
    </x:row>
    <x:row r="309" ht="100" customHeight="1">
      <x:c r="A309" s="10" t="n">
        <x:v>308</x:v>
      </x:c>
      <x:c r="B309" s="10" t="str">
        <x:v>USER-0308</x:v>
      </x:c>
      <x:c r="C309" s="10" t="str">
        <x:v>直播模块</x:v>
      </x:c>
      <x:c r="D309" s="10" t="str">
        <x:v>收到连麦邀请（主播）</x:v>
      </x:c>
      <x:c r="E309" s="10" t="str">
        <x:v>功能需求</x:v>
      </x:c>
      <x:c r="F309" s="10" t="str">
        <x:v>P1</x:v>
      </x:c>
      <x:c r="G309" s="9" t="str">
        <x:v>验证接受邀请后保留其他收到的邀请</x:v>
      </x:c>
      <x:c r="H309" s="9" t="str">
        <x:v>收到邀请保留</x:v>
      </x:c>
      <x:c r="I309" s="9" t="str">
        <x:v>1. 执行账号为所选主播对应的用户账号，已登录
2. 已有海风、晨光两条收到的邀请，双方均符合前提</x:v>
      </x:c>
      <x:c r="J309" s="9" t="str">
        <x:v>1. 进入当前普通直播间
2. 点击海风邀请的接受按钮</x:v>
      </x:c>
      <x:c r="K309" s="9" t="str">
        <x:v>晨光发来的邀请记录仍保留</x:v>
      </x:c>
      <x:c r="L309" s="10" t="str">
        <x:v>FLOW-9C692968</x:v>
      </x:c>
      <x:c r="M309" s="10" t="str">
        <x:v>未测</x:v>
      </x:c>
      <x:c r="N309" s="10" t="str"/>
      <x:c r="O309" s="9" t="str">
        <x:v>1. 来源（当前证据）：liveshow-proto/MainBasis/统一需求文档.md；位置：共同业务对象与规则、views/live-room-host/cohost-invite-notice.html
2. 规则：BR-6D3B240A406D47
3. 未动态验证</x:v>
      </x:c>
    </x:row>
    <x:row r="310" ht="100" customHeight="1">
      <x:c r="A310" s="10" t="n">
        <x:v>309</x:v>
      </x:c>
      <x:c r="B310" s="10" t="str">
        <x:v>USER-0309</x:v>
      </x:c>
      <x:c r="C310" s="10" t="str">
        <x:v>直播模块</x:v>
      </x:c>
      <x:c r="D310" s="10" t="str">
        <x:v>收到连麦邀请（主播）</x:v>
      </x:c>
      <x:c r="E310" s="10" t="str">
        <x:v>功能需求</x:v>
      </x:c>
      <x:c r="F310" s="10" t="str">
        <x:v>P1</x:v>
      </x:c>
      <x:c r="G310" s="9" t="str">
        <x:v>验证拒绝只处理指定邀请</x:v>
      </x:c>
      <x:c r="H310" s="9" t="str">
        <x:v>连麦邀请拒绝</x:v>
      </x:c>
      <x:c r="I310" s="9" t="str">
        <x:v>1. 执行账号为所选主播对应的用户账号，已登录
2. 已收到海风、晨光两条邀请</x:v>
      </x:c>
      <x:c r="J310" s="9" t="str">
        <x:v>1. 进入当前普通直播间
2. 拒绝海风邀请</x:v>
      </x:c>
      <x:c r="K310" s="9" t="str">
        <x:v>晨光邀请仍待处理</x:v>
      </x:c>
      <x:c r="L310" s="10" t="str">
        <x:v>FLOW-9C692968</x:v>
      </x:c>
      <x:c r="M310" s="10" t="str">
        <x:v>未测</x:v>
      </x:c>
      <x:c r="N310" s="10" t="str"/>
      <x:c r="O310" s="9" t="str">
        <x:v>1. 来源（当前证据）：liveshow-proto/MainBasis/统一需求文档.md；位置：共同业务对象与规则、views/live-room-host/cohost-invite-notice.html
2. 规则：BR-2A97D7244D231D
3. 未动态验证</x:v>
      </x:c>
    </x:row>
    <x:row r="311" ht="85" customHeight="1">
      <x:c r="A311" s="10" t="n">
        <x:v>310</x:v>
      </x:c>
      <x:c r="B311" s="10" t="str">
        <x:v>USER-0310</x:v>
      </x:c>
      <x:c r="C311" s="10" t="str">
        <x:v>直播模块</x:v>
      </x:c>
      <x:c r="D311" s="10" t="str">
        <x:v>收到连麦邀请（主播）</x:v>
      </x:c>
      <x:c r="E311" s="10" t="str">
        <x:v>功能需求</x:v>
      </x:c>
      <x:c r="F311" s="10" t="str">
        <x:v>P1</x:v>
      </x:c>
      <x:c r="G311" s="9" t="str">
        <x:v>验证邀请提示四秒后消失</x:v>
      </x:c>
      <x:c r="H311" s="9" t="str">
        <x:v>邀请提示时效</x:v>
      </x:c>
      <x:c r="I311" s="9" t="str">
        <x:v>1. 执行账号为所选主播对应的用户账号，已登录
2. 本次刚收到一条邀请</x:v>
      </x:c>
      <x:c r="J311" s="9" t="str">
        <x:v>1. 进入当前普通直播间
2. 查看邀请提示直至收到4秒</x:v>
      </x:c>
      <x:c r="K311" s="9" t="str">
        <x:v>邀请浮层消失</x:v>
      </x:c>
      <x:c r="L311" s="10" t="str">
        <x:v>FLOW-9C692968</x:v>
      </x:c>
      <x:c r="M311" s="10" t="str">
        <x:v>未测</x:v>
      </x:c>
      <x:c r="N311" s="10" t="str"/>
      <x:c r="O311" s="9" t="str">
        <x:v>1. 来源（当前证据）：liveshow-proto/MainBasis/统一需求文档.md；位置：views/live-room-host/cohost-invite-notice.html
2. 规则：BR-0EF2FC7FDEBFA5
3. 未动态验证</x:v>
      </x:c>
    </x:row>
    <x:row r="312" ht="100" customHeight="1">
      <x:c r="A312" s="10" t="n">
        <x:v>311</x:v>
      </x:c>
      <x:c r="B312" s="10" t="str">
        <x:v>USER-0311</x:v>
      </x:c>
      <x:c r="C312" s="10" t="str">
        <x:v>直播模块</x:v>
      </x:c>
      <x:c r="D312" s="10" t="str">
        <x:v>退出连麦确认（主播）</x:v>
      </x:c>
      <x:c r="E312" s="10" t="str">
        <x:v>功能需求</x:v>
      </x:c>
      <x:c r="F312" s="10" t="str">
        <x:v>P1</x:v>
      </x:c>
      <x:c r="G312" s="9" t="str">
        <x:v>验证取消退出保持连麦</x:v>
      </x:c>
      <x:c r="H312" s="9" t="str">
        <x:v>连麦取消退出</x:v>
      </x:c>
      <x:c r="I312" s="9" t="str">
        <x:v>1. 执行账号为所选主播对应的用户账号，已登录</x:v>
      </x:c>
      <x:c r="J312" s="9" t="str">
        <x:v>1. 进入连麦中的直播间
2. 点击退出连麦
3. 点击取消</x:v>
      </x:c>
      <x:c r="K312" s="9" t="str">
        <x:v>双方保持连麦画面</x:v>
      </x:c>
      <x:c r="L312" s="10" t="str">
        <x:v>FLOW-9C692968</x:v>
      </x:c>
      <x:c r="M312" s="10" t="str">
        <x:v>未测</x:v>
      </x:c>
      <x:c r="N312" s="10" t="str"/>
      <x:c r="O312" s="9" t="str">
        <x:v>1. 来源（当前证据）：liveshow-proto/MainBasis/统一需求文档.md；位置：views/live-room-cohost-active/cohost-exit-confirm.html
2. 规则：BR-A8F583B79491EF
3. 未动态验证</x:v>
      </x:c>
    </x:row>
    <x:row r="313" ht="100" customHeight="1">
      <x:c r="A313" s="10" t="n">
        <x:v>312</x:v>
      </x:c>
      <x:c r="B313" s="10" t="str">
        <x:v>USER-0312</x:v>
      </x:c>
      <x:c r="C313" s="10" t="str">
        <x:v>直播模块</x:v>
      </x:c>
      <x:c r="D313" s="10" t="str">
        <x:v>退出连麦确认（主播）</x:v>
      </x:c>
      <x:c r="E313" s="10" t="str">
        <x:v>功能需求</x:v>
      </x:c>
      <x:c r="F313" s="10" t="str">
        <x:v>P1</x:v>
      </x:c>
      <x:c r="G313" s="9" t="str">
        <x:v>验证退出连麦不结束直播</x:v>
      </x:c>
      <x:c r="H313" s="9" t="str">
        <x:v>连麦退出终态</x:v>
      </x:c>
      <x:c r="I313" s="9" t="str">
        <x:v>1. 执行账号为所选主播对应的用户账号，已登录</x:v>
      </x:c>
      <x:c r="J313" s="9" t="str">
        <x:v>1. 进入连麦中的直播间
2. 点击退出连麦
3. 点击确认</x:v>
      </x:c>
      <x:c r="K313" s="9" t="str">
        <x:v>双方恢复各自单人直播</x:v>
      </x:c>
      <x:c r="L313" s="10" t="str">
        <x:v>FLOW-9C692968</x:v>
      </x:c>
      <x:c r="M313" s="10" t="str">
        <x:v>未测</x:v>
      </x:c>
      <x:c r="N313" s="10" t="str"/>
      <x:c r="O313" s="9" t="str">
        <x:v>1. 来源（当前证据）：liveshow-proto/MainBasis/统一需求文档.md；位置：views/live-room-cohost-active/cohost-exit-confirm.html
2. 规则：BR-8031B2C507ECA1
3. 未动态验证</x:v>
      </x:c>
    </x:row>
    <x:row r="314" ht="100" customHeight="1">
      <x:c r="A314" s="10" t="n">
        <x:v>313</x:v>
      </x:c>
      <x:c r="B314" s="10" t="str">
        <x:v>USER-0313</x:v>
      </x:c>
      <x:c r="C314" s="10" t="str">
        <x:v>直播模块</x:v>
      </x:c>
      <x:c r="D314" s="10" t="str">
        <x:v>退出连麦确认（主播）</x:v>
      </x:c>
      <x:c r="E314" s="10" t="str">
        <x:v>异常用例</x:v>
      </x:c>
      <x:c r="F314" s="10" t="str">
        <x:v>P1</x:v>
      </x:c>
      <x:c r="G314" s="9" t="str">
        <x:v>验证退出连麦请求失败</x:v>
      </x:c>
      <x:c r="H314" s="9" t="str">
        <x:v>连麦退出失败</x:v>
      </x:c>
      <x:c r="I314" s="9" t="str">
        <x:v>1. 执行账号为所选主播对应的用户账号，已登录
2. 本次退出请求返回失败</x:v>
      </x:c>
      <x:c r="J314" s="9" t="str">
        <x:v>1. 进入连麦中的直播间
2. 点击退出连麦
3. 点击确认</x:v>
      </x:c>
      <x:c r="K314" s="9" t="str">
        <x:v>提示“退出失败”</x:v>
      </x:c>
      <x:c r="L314" s="10" t="str">
        <x:v>FLOW-9C692968</x:v>
      </x:c>
      <x:c r="M314" s="10" t="str">
        <x:v>未测</x:v>
      </x:c>
      <x:c r="N314" s="10" t="str"/>
      <x:c r="O314" s="9" t="str">
        <x:v>1. 来源（当前证据）：liveshow-proto/MainBasis/统一需求文档.md；位置：views/live-room-cohost-active/cohost-exit-confirm.html
2. 规则：BR-DF11875AB170B0
3. 未动态验证</x:v>
      </x:c>
    </x:row>
    <x:row r="315" ht="85" customHeight="1">
      <x:c r="A315" s="10" t="n">
        <x:v>314</x:v>
      </x:c>
      <x:c r="B315" s="10" t="str">
        <x:v>USER-0314</x:v>
      </x:c>
      <x:c r="C315" s="10" t="str">
        <x:v>直播模块</x:v>
      </x:c>
      <x:c r="D315" s="10" t="str">
        <x:v>结束直播确认（主播）</x:v>
      </x:c>
      <x:c r="E315" s="10" t="str">
        <x:v>功能需求</x:v>
      </x:c>
      <x:c r="F315" s="10" t="str">
        <x:v>P1</x:v>
      </x:c>
      <x:c r="G315" s="9" t="str">
        <x:v>验证取消结束直播保留场次</x:v>
      </x:c>
      <x:c r="H315" s="9" t="str">
        <x:v>关播取消</x:v>
      </x:c>
      <x:c r="I315" s="9" t="str">
        <x:v>1. 执行账号为所选主播对应的用户账号，已登录</x:v>
      </x:c>
      <x:c r="J315" s="9" t="str">
        <x:v>1. 进入当前直播间
2. 点击结束直播
3. 点击取消</x:v>
      </x:c>
      <x:c r="K315" s="9" t="str">
        <x:v>当前场次继续直播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来源（当前证据）：liveshow-proto/MainBasis/统一需求文档.md；位置：views/live-room-host/end-confirm.html
2. 规则：BR-27345623C08A83
3. 未动态验证</x:v>
      </x:c>
    </x:row>
    <x:row r="316" ht="85" customHeight="1">
      <x:c r="A316" s="10" t="n">
        <x:v>315</x:v>
      </x:c>
      <x:c r="B316" s="10" t="str">
        <x:v>USER-0315</x:v>
      </x:c>
      <x:c r="C316" s="10" t="str">
        <x:v>直播模块</x:v>
      </x:c>
      <x:c r="D316" s="10" t="str">
        <x:v>结束直播确认（主播）</x:v>
      </x:c>
      <x:c r="E316" s="10" t="str">
        <x:v>功能需求</x:v>
      </x:c>
      <x:c r="F316" s="10" t="str">
        <x:v>P0</x:v>
      </x:c>
      <x:c r="G316" s="9" t="str">
        <x:v>验证确认结束关闭当前场次</x:v>
      </x:c>
      <x:c r="H316" s="9" t="str">
        <x:v>主播关播</x:v>
      </x:c>
      <x:c r="I316" s="9" t="str">
        <x:v>1. 执行账号为所选主播对应的用户账号，已登录
2. 当前场次直播中</x:v>
      </x:c>
      <x:c r="J316" s="9" t="str">
        <x:v>1. 进入当前直播间
2. 点击结束直播
3. 点击确认</x:v>
      </x:c>
      <x:c r="K316" s="9" t="str">
        <x:v>进入主播直播结束页</x:v>
      </x:c>
      <x:c r="L316" s="10" t="str">
        <x:v>FLOW-3316A78D</x:v>
      </x:c>
      <x:c r="M316" s="10" t="str">
        <x:v>未测</x:v>
      </x:c>
      <x:c r="N316" s="10" t="str"/>
      <x:c r="O316" s="9" t="str">
        <x:v>1. 来源（当前证据）：liveshow-proto/MainBasis/统一需求文档.md；位置：views/live-room-host/end-confirm.html
2. 规则：BR-95C047203E0F35
3. 未动态验证</x:v>
      </x:c>
    </x:row>
    <x:row r="317" ht="85" customHeight="1">
      <x:c r="A317" s="10" t="n">
        <x:v>316</x:v>
      </x:c>
      <x:c r="B317" s="10" t="str">
        <x:v>USER-0316</x:v>
      </x:c>
      <x:c r="C317" s="10" t="str">
        <x:v>直播模块</x:v>
      </x:c>
      <x:c r="D317" s="10" t="str">
        <x:v>结束直播确认（主播）</x:v>
      </x:c>
      <x:c r="E317" s="10" t="str">
        <x:v>功能需求</x:v>
      </x:c>
      <x:c r="F317" s="10" t="str">
        <x:v>P1</x:v>
      </x:c>
      <x:c r="G317" s="9" t="str">
        <x:v>验证重复确认仅结束一次</x:v>
      </x:c>
      <x:c r="H317" s="9" t="str">
        <x:v>关播重复提交</x:v>
      </x:c>
      <x:c r="I317" s="9" t="str">
        <x:v>1. 执行账号为所选主播对应的用户账号，已登录
2. 本场已接受首次结束请求</x:v>
      </x:c>
      <x:c r="J317" s="9" t="str">
        <x:v>1. 进入当前直播间
2. 点击结束直播
3. 连续点击确认 2 次</x:v>
      </x:c>
      <x:c r="K317" s="9" t="str">
        <x:v>本场只产生一次结束记录</x:v>
      </x:c>
      <x:c r="L317" s="10" t="str">
        <x:v>FLOW-3316A78D</x:v>
      </x:c>
      <x:c r="M317" s="10" t="str">
        <x:v>未测</x:v>
      </x:c>
      <x:c r="N317" s="10" t="str"/>
      <x:c r="O317" s="9" t="str">
        <x:v>1. 来源（当前证据）：liveshow-proto/MainBasis/统一需求文档.md；位置：views/live-room-host/end-confirm.html
2. 规则：BR-F7E1AD699E4CAD
3. 未动态验证</x:v>
      </x:c>
    </x:row>
    <x:row r="318" ht="85" customHeight="1">
      <x:c r="A318" s="10" t="n">
        <x:v>317</x:v>
      </x:c>
      <x:c r="B318" s="10" t="str">
        <x:v>USER-0317</x:v>
      </x:c>
      <x:c r="C318" s="10" t="str">
        <x:v>直播模块</x:v>
      </x:c>
      <x:c r="D318" s="10" t="str">
        <x:v>充值（观众）</x:v>
      </x:c>
      <x:c r="E318" s="10" t="str">
        <x:v>功能需求</x:v>
      </x:c>
      <x:c r="F318" s="10" t="str">
        <x:v>P1</x:v>
      </x:c>
      <x:c r="G318" s="9" t="str">
        <x:v>验证快捷充值后不自动补送礼物</x:v>
      </x:c>
      <x:c r="H318" s="9" t="str">
        <x:v>充值与赠礼分离</x:v>
      </x:c>
      <x:c r="I318" s="9" t="str">
        <x:v>1. 用户账号可用且已登录
2. 原选择礼物尚未赠送，充值套餐可用</x:v>
      </x:c>
      <x:c r="J318" s="9" t="str">
        <x:v>1. 在直播间选择一件礼物
2. 打开充值视图
3. 支付该充值套餐</x:v>
      </x:c>
      <x:c r="K318" s="9" t="str">
        <x:v>返回礼物视图但不自动赠送原礼物</x:v>
      </x:c>
      <x:c r="L318" s="10" t="str">
        <x:v>FLOW-2BA2481A</x:v>
      </x:c>
      <x:c r="M318" s="10" t="str">
        <x:v>未测</x:v>
      </x:c>
      <x:c r="N318" s="10" t="str"/>
      <x:c r="O318" s="9" t="str">
        <x:v>1. 来源（当前证据）：liveshow-proto/MainBasis/统一需求文档.md；位置：views/live-room/gift-recharge.html
2. 规则：BR-31D8AF56EF1B61
3. 未动态验证</x:v>
      </x:c>
    </x:row>
    <x:row r="319" ht="85" customHeight="1">
      <x:c r="A319" s="10" t="n">
        <x:v>318</x:v>
      </x:c>
      <x:c r="B319" s="10" t="str">
        <x:v>USER-0318</x:v>
      </x:c>
      <x:c r="C319" s="10" t="str">
        <x:v>直播模块</x:v>
      </x:c>
      <x:c r="D319" s="10" t="str">
        <x:v>充值（观众）</x:v>
      </x:c>
      <x:c r="E319" s="10" t="str">
        <x:v>功能需求</x:v>
      </x:c>
      <x:c r="F319" s="10" t="str">
        <x:v>P1</x:v>
      </x:c>
      <x:c r="G319" s="9" t="str">
        <x:v>验证关闭快捷充值保留礼物数量</x:v>
      </x:c>
      <x:c r="H319" s="9" t="str">
        <x:v>充值中断草稿</x:v>
      </x:c>
      <x:c r="I319" s="9" t="str">
        <x:v>1. 用户账号可用且已登录
2. 原已选择普通礼物且数量为 10</x:v>
      </x:c>
      <x:c r="J319" s="9" t="str">
        <x:v>1. 在直播间选择一件礼物
2. 打开充值视图
3. 关闭充值视图</x:v>
      </x:c>
      <x:c r="K319" s="9" t="str">
        <x:v>原礼物赠送数量仍为 10</x:v>
      </x:c>
      <x:c r="L319" s="10" t="str">
        <x:v>FLOW-2BA2481A</x:v>
      </x:c>
      <x:c r="M319" s="10" t="str">
        <x:v>未测</x:v>
      </x:c>
      <x:c r="N319" s="10" t="str"/>
      <x:c r="O319" s="9" t="str">
        <x:v>1. 来源（当前证据）：liveshow-proto/MainBasis/统一需求文档.md；位置：views/live-room/gift-recharge.html
2. 规则：BR-620F8032FAF081
3. 未动态验证</x:v>
      </x:c>
    </x:row>
    <x:row r="320" ht="85" customHeight="1">
      <x:c r="A320" s="10" t="n">
        <x:v>319</x:v>
      </x:c>
      <x:c r="B320" s="10" t="str">
        <x:v>USER-0319</x:v>
      </x:c>
      <x:c r="C320" s="10" t="str">
        <x:v>直播模块</x:v>
      </x:c>
      <x:c r="D320" s="10" t="str">
        <x:v>礼物（观众）</x:v>
      </x:c>
      <x:c r="E320" s="10" t="str">
        <x:v>逻辑校验</x:v>
      </x:c>
      <x:c r="F320" s="10" t="str">
        <x:v>P0</x:v>
      </x:c>
      <x:c r="G320" s="9" t="str">
        <x:v>验证普通礼物成功扣减金币</x:v>
      </x:c>
      <x:c r="H320" s="9" t="str">
        <x:v>普通赠礼扣款</x:v>
      </x:c>
      <x:c r="I320" s="9" t="str">
        <x:v>1. 用户账号可用且已登录
2. 原余额100，当前上架普通礼物单价10，数量3</x:v>
      </x:c>
      <x:c r="J320" s="9" t="str">
        <x:v>1. 进入直播间
2. 打开礼物面板
3. 选择该普通礼物
4. 选择数量3
5. 点击赠送</x:v>
      </x:c>
      <x:c r="K320" s="9" t="str">
        <x:v>金币余额计算结果=100-10×3=70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来源（当前证据）：liveshow-proto/MainBasis/统一需求文档.md；位置：views/live-room/gift.html
2. 规则：BR-89C54B18B724A4
3. 未动态验证</x:v>
      </x:c>
    </x:row>
    <x:row r="321" ht="85" customHeight="1">
      <x:c r="A321" s="10" t="n">
        <x:v>320</x:v>
      </x:c>
      <x:c r="B321" s="10" t="str">
        <x:v>USER-0320</x:v>
      </x:c>
      <x:c r="C321" s="10" t="str">
        <x:v>直播模块</x:v>
      </x:c>
      <x:c r="D321" s="10" t="str">
        <x:v>礼物（观众）</x:v>
      </x:c>
      <x:c r="E321" s="10" t="str">
        <x:v>功能需求</x:v>
      </x:c>
      <x:c r="F321" s="10" t="str">
        <x:v>P1</x:v>
      </x:c>
      <x:c r="G321" s="9" t="str">
        <x:v>验证普通礼物余额不足不扣减</x:v>
      </x:c>
      <x:c r="H321" s="9" t="str">
        <x:v>普通赠礼余额不足</x:v>
      </x:c>
      <x:c r="I321" s="9" t="str">
        <x:v>1. 用户账号可用且已登录
2. 原余额29，当前上架普通礼物单价10，数量3</x:v>
      </x:c>
      <x:c r="J321" s="9" t="str">
        <x:v>1. 进入直播间
2. 打开礼物面板
3. 选择该普通礼物
4. 选择数量3
5. 点击赠送</x:v>
      </x:c>
      <x:c r="K321" s="9" t="str">
        <x:v>金币余额保持29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来源（当前证据）：liveshow-proto/MainBasis/统一需求文档.md；位置：views/live-room/gift.html
2. 规则：BR-28320BE3B3BB8A
3. 未动态验证</x:v>
      </x:c>
    </x:row>
    <x:row r="322" ht="85" customHeight="1">
      <x:c r="A322" s="10" t="n">
        <x:v>321</x:v>
      </x:c>
      <x:c r="B322" s="10" t="str">
        <x:v>USER-0321</x:v>
      </x:c>
      <x:c r="C322" s="10" t="str">
        <x:v>直播模块</x:v>
      </x:c>
      <x:c r="D322" s="10" t="str">
        <x:v>礼物（观众）</x:v>
      </x:c>
      <x:c r="E322" s="10" t="str">
        <x:v>功能需求</x:v>
      </x:c>
      <x:c r="F322" s="10" t="str">
        <x:v>P1</x:v>
      </x:c>
      <x:c r="G322" s="9" t="str">
        <x:v>验证普通礼物请求失败不扣减</x:v>
      </x:c>
      <x:c r="H322" s="9" t="str">
        <x:v>普通赠礼失败</x:v>
      </x:c>
      <x:c r="I322" s="9" t="str">
        <x:v>1. 用户账号可用且已登录
2. 原余额100，普通礼物上架且可赠送，本次赠送请求返回失败</x:v>
      </x:c>
      <x:c r="J322" s="9" t="str">
        <x:v>1. 进入直播间
2. 打开礼物面板
3. 选择该普通礼物
4. 点击赠送</x:v>
      </x:c>
      <x:c r="K322" s="9" t="str">
        <x:v>金币余额保持100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来源（当前证据）：liveshow-proto/MainBasis/统一需求文档.md；位置：views/live-room/gift.html
2. 规则：BR-BE9430421E6233
3. 未动态验证</x:v>
      </x:c>
    </x:row>
    <x:row r="323" ht="85" customHeight="1">
      <x:c r="A323" s="10" t="n">
        <x:v>322</x:v>
      </x:c>
      <x:c r="B323" s="10" t="str">
        <x:v>USER-0322</x:v>
      </x:c>
      <x:c r="C323" s="10" t="str">
        <x:v>直播模块</x:v>
      </x:c>
      <x:c r="D323" s="10" t="str">
        <x:v>礼物（观众）</x:v>
      </x:c>
      <x:c r="E323" s="10" t="str">
        <x:v>功能需求</x:v>
      </x:c>
      <x:c r="F323" s="10" t="str">
        <x:v>P1</x:v>
      </x:c>
      <x:c r="G323" s="9" t="str">
        <x:v>验证普通礼物下架阻止新赠送</x:v>
      </x:c>
      <x:c r="H323" s="9" t="str">
        <x:v>普通礼物下架</x:v>
      </x:c>
      <x:c r="I323" s="9" t="str">
        <x:v>1. 用户账号可用且已登录
2. 面板选中该普通礼物后，平台已将其下架</x:v>
      </x:c>
      <x:c r="J323" s="9" t="str">
        <x:v>1. 进入直播间
2. 打开礼物面板
3. 点击赠送</x:v>
      </x:c>
      <x:c r="K323" s="9" t="str">
        <x:v>不生成新的成功赠送记录</x:v>
      </x:c>
      <x:c r="L323" s="10" t="str">
        <x:v>FLOW-A1501E68</x:v>
      </x:c>
      <x:c r="M323" s="10" t="str">
        <x:v>未测</x:v>
      </x:c>
      <x:c r="N323" s="10" t="str"/>
      <x:c r="O323" s="9" t="str">
        <x:v>1. 来源（当前证据）：liveshow-proto/MainBasis/统一需求文档.md；位置：views/live-room/gift.html
2. 规则：BR-5878C96586DCC9
3. 未动态验证</x:v>
      </x:c>
    </x:row>
    <x:row r="324" ht="85" customHeight="1">
      <x:c r="A324" s="10" t="n">
        <x:v>323</x:v>
      </x:c>
      <x:c r="B324" s="10" t="str">
        <x:v>USER-0323</x:v>
      </x:c>
      <x:c r="C324" s="10" t="str">
        <x:v>直播模块</x:v>
      </x:c>
      <x:c r="D324" s="10" t="str">
        <x:v>礼物（观众）</x:v>
      </x:c>
      <x:c r="E324" s="10" t="str">
        <x:v>逻辑校验</x:v>
      </x:c>
      <x:c r="F324" s="10" t="str">
        <x:v>P0</x:v>
      </x:c>
      <x:c r="G324" s="9" t="str">
        <x:v>验证定制礼物成功扣减金币</x:v>
      </x:c>
      <x:c r="H324" s="9" t="str">
        <x:v>定制赠礼扣款</x:v>
      </x:c>
      <x:c r="I324" s="9" t="str">
        <x:v>1. 用户账号可用且已登录
2. 原余额100，当前上架定制礼物单价10，数量3</x:v>
      </x:c>
      <x:c r="J324" s="9" t="str">
        <x:v>1. 进入直播间
2. 打开礼物面板
3. 选择该定制礼物
4. 选择数量3
5. 点击赠送</x:v>
      </x:c>
      <x:c r="K324" s="9" t="str">
        <x:v>金币余额计算结果=100-10×3=70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来源（当前证据）：liveshow-proto/MainBasis/统一需求文档.md；位置：views/live-room/gift.html
2. 规则：BR-565F11607095CB
3. 未动态验证</x:v>
      </x:c>
    </x:row>
    <x:row r="325" ht="85" customHeight="1">
      <x:c r="A325" s="10" t="n">
        <x:v>324</x:v>
      </x:c>
      <x:c r="B325" s="10" t="str">
        <x:v>USER-0324</x:v>
      </x:c>
      <x:c r="C325" s="10" t="str">
        <x:v>直播模块</x:v>
      </x:c>
      <x:c r="D325" s="10" t="str">
        <x:v>礼物（观众）</x:v>
      </x:c>
      <x:c r="E325" s="10" t="str">
        <x:v>功能需求</x:v>
      </x:c>
      <x:c r="F325" s="10" t="str">
        <x:v>P1</x:v>
      </x:c>
      <x:c r="G325" s="9" t="str">
        <x:v>验证定制礼物余额不足不扣减</x:v>
      </x:c>
      <x:c r="H325" s="9" t="str">
        <x:v>定制赠礼余额不足</x:v>
      </x:c>
      <x:c r="I325" s="9" t="str">
        <x:v>1. 用户账号可用且已登录
2. 原余额29，当前上架定制礼物单价10，数量3</x:v>
      </x:c>
      <x:c r="J325" s="9" t="str">
        <x:v>1. 进入直播间
2. 打开礼物面板
3. 选择该定制礼物
4. 选择数量3
5. 点击赠送</x:v>
      </x:c>
      <x:c r="K325" s="9" t="str">
        <x:v>金币余额保持29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来源（当前证据）：liveshow-proto/MainBasis/统一需求文档.md；位置：views/live-room/gift.html
2. 规则：BR-7C60D81EA9A8D0
3. 未动态验证</x:v>
      </x:c>
    </x:row>
    <x:row r="326" ht="85" customHeight="1">
      <x:c r="A326" s="10" t="n">
        <x:v>325</x:v>
      </x:c>
      <x:c r="B326" s="10" t="str">
        <x:v>USER-0325</x:v>
      </x:c>
      <x:c r="C326" s="10" t="str">
        <x:v>直播模块</x:v>
      </x:c>
      <x:c r="D326" s="10" t="str">
        <x:v>礼物（观众）</x:v>
      </x:c>
      <x:c r="E326" s="10" t="str">
        <x:v>功能需求</x:v>
      </x:c>
      <x:c r="F326" s="10" t="str">
        <x:v>P1</x:v>
      </x:c>
      <x:c r="G326" s="9" t="str">
        <x:v>验证定制礼物请求失败不扣减</x:v>
      </x:c>
      <x:c r="H326" s="9" t="str">
        <x:v>定制赠礼失败</x:v>
      </x:c>
      <x:c r="I326" s="9" t="str">
        <x:v>1. 用户账号可用且已登录
2. 原余额100，定制礼物上架且可赠送，本次赠送请求返回失败</x:v>
      </x:c>
      <x:c r="J326" s="9" t="str">
        <x:v>1. 进入直播间
2. 打开礼物面板
3. 选择该定制礼物
4. 点击赠送</x:v>
      </x:c>
      <x:c r="K326" s="9" t="str">
        <x:v>金币余额保持100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来源（当前证据）：liveshow-proto/MainBasis/统一需求文档.md；位置：views/live-room/gift.html
2. 规则：BR-BA5224BC5D183B
3. 未动态验证</x:v>
      </x:c>
    </x:row>
    <x:row r="327" ht="85" customHeight="1">
      <x:c r="A327" s="10" t="n">
        <x:v>326</x:v>
      </x:c>
      <x:c r="B327" s="10" t="str">
        <x:v>USER-0326</x:v>
      </x:c>
      <x:c r="C327" s="10" t="str">
        <x:v>直播模块</x:v>
      </x:c>
      <x:c r="D327" s="10" t="str">
        <x:v>礼物（观众）</x:v>
      </x:c>
      <x:c r="E327" s="10" t="str">
        <x:v>功能需求</x:v>
      </x:c>
      <x:c r="F327" s="10" t="str">
        <x:v>P1</x:v>
      </x:c>
      <x:c r="G327" s="9" t="str">
        <x:v>验证定制礼物下架阻止新赠送</x:v>
      </x:c>
      <x:c r="H327" s="9" t="str">
        <x:v>定制礼物下架</x:v>
      </x:c>
      <x:c r="I327" s="9" t="str">
        <x:v>1. 用户账号可用且已登录
2. 面板选中该定制礼物后，平台已将其下架</x:v>
      </x:c>
      <x:c r="J327" s="9" t="str">
        <x:v>1. 进入直播间
2. 打开礼物面板
3. 点击赠送</x:v>
      </x:c>
      <x:c r="K327" s="9" t="str">
        <x:v>不生成新的成功赠送记录</x:v>
      </x:c>
      <x:c r="L327" s="10" t="str">
        <x:v>FLOW-A1501E68</x:v>
      </x:c>
      <x:c r="M327" s="10" t="str">
        <x:v>未测</x:v>
      </x:c>
      <x:c r="N327" s="10" t="str"/>
      <x:c r="O327" s="9" t="str">
        <x:v>1. 来源（当前证据）：liveshow-proto/MainBasis/统一需求文档.md；位置：views/live-room/gift.html
2. 规则：BR-7FABE1D1974B34
3. 未动态验证</x:v>
      </x:c>
    </x:row>
    <x:row r="328" ht="85" customHeight="1">
      <x:c r="A328" s="10" t="n">
        <x:v>327</x:v>
      </x:c>
      <x:c r="B328" s="10" t="str">
        <x:v>USER-0327</x:v>
      </x:c>
      <x:c r="C328" s="10" t="str">
        <x:v>直播模块</x:v>
      </x:c>
      <x:c r="D328" s="10" t="str">
        <x:v>礼物（观众）</x:v>
      </x:c>
      <x:c r="E328" s="10" t="str">
        <x:v>逻辑校验</x:v>
      </x:c>
      <x:c r="F328" s="10" t="str">
        <x:v>P0</x:v>
      </x:c>
      <x:c r="G328" s="9" t="str">
        <x:v>验证幸运礼物返还0金币后的余额</x:v>
      </x:c>
      <x:c r="H328" s="9" t="str">
        <x:v>开奖余额核算</x:v>
      </x:c>
      <x:c r="I328" s="9" t="str">
        <x:v>1. 用户账号可用且已登录
2. 原余额100，礼物单价10，数量1；测试环境将本次独立开奖结果预置为0金币</x:v>
      </x:c>
      <x:c r="J328" s="9" t="str">
        <x:v>1. 进入直播间
2. 打开幸运礼物面板
3. 选择该幸运礼物
4. 选择数量1
5. 点击赠送</x:v>
      </x:c>
      <x:c r="K328" s="9" t="str">
        <x:v>金币余额计算结果=100-10+0=90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来源（当前证据）：liveshow-proto/MainBasis/统一需求文档.md；位置：views/live-room/gift.html
2. 规则：BR-86A5C4B9610F5C
3. 未动态验证</x:v>
      </x:c>
    </x:row>
    <x:row r="329" ht="85" customHeight="1">
      <x:c r="A329" s="10" t="n">
        <x:v>328</x:v>
      </x:c>
      <x:c r="B329" s="10" t="str">
        <x:v>USER-0328</x:v>
      </x:c>
      <x:c r="C329" s="10" t="str">
        <x:v>直播模块</x:v>
      </x:c>
      <x:c r="D329" s="10" t="str">
        <x:v>礼物（观众）</x:v>
      </x:c>
      <x:c r="E329" s="10" t="str">
        <x:v>逻辑校验</x:v>
      </x:c>
      <x:c r="F329" s="10" t="str">
        <x:v>P0</x:v>
      </x:c>
      <x:c r="G329" s="9" t="str">
        <x:v>验证幸运礼物返还5金币后的余额</x:v>
      </x:c>
      <x:c r="H329" s="9" t="str">
        <x:v>开奖余额核算</x:v>
      </x:c>
      <x:c r="I329" s="9" t="str">
        <x:v>1. 用户账号可用且已登录
2. 原余额100，礼物单价10，数量1；测试环境将本次独立开奖结果预置为5金币</x:v>
      </x:c>
      <x:c r="J329" s="9" t="str">
        <x:v>1. 进入直播间
2. 打开幸运礼物面板
3. 选择该幸运礼物
4. 选择数量1
5. 点击赠送</x:v>
      </x:c>
      <x:c r="K329" s="9" t="str">
        <x:v>金币余额计算结果=100-10+5=95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来源（当前证据）：liveshow-proto/MainBasis/统一需求文档.md；位置：views/live-room/gift.html
2. 规则：BR-FA510505A64800
3. 未动态验证</x:v>
      </x:c>
    </x:row>
    <x:row r="330" ht="85" customHeight="1">
      <x:c r="A330" s="10" t="n">
        <x:v>329</x:v>
      </x:c>
      <x:c r="B330" s="10" t="str">
        <x:v>USER-0329</x:v>
      </x:c>
      <x:c r="C330" s="10" t="str">
        <x:v>直播模块</x:v>
      </x:c>
      <x:c r="D330" s="10" t="str">
        <x:v>礼物（观众）</x:v>
      </x:c>
      <x:c r="E330" s="10" t="str">
        <x:v>逻辑校验</x:v>
      </x:c>
      <x:c r="F330" s="10" t="str">
        <x:v>P0</x:v>
      </x:c>
      <x:c r="G330" s="9" t="str">
        <x:v>验证幸运礼物返还10金币后的余额</x:v>
      </x:c>
      <x:c r="H330" s="9" t="str">
        <x:v>开奖余额核算</x:v>
      </x:c>
      <x:c r="I330" s="9" t="str">
        <x:v>1. 用户账号可用且已登录
2. 原余额100，礼物单价10，数量1；测试环境将本次独立开奖结果预置为10金币</x:v>
      </x:c>
      <x:c r="J330" s="9" t="str">
        <x:v>1. 进入直播间
2. 打开幸运礼物面板
3. 选择该幸运礼物
4. 选择数量1
5. 点击赠送</x:v>
      </x:c>
      <x:c r="K330" s="9" t="str">
        <x:v>金币余额计算结果=100-10+10=100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来源（当前证据）：liveshow-proto/MainBasis/统一需求文档.md；位置：views/live-room/gift.html
2. 规则：BR-DA51EEEB15AB00
3. 未动态验证</x:v>
      </x:c>
    </x:row>
    <x:row r="331" ht="85" customHeight="1">
      <x:c r="A331" s="10" t="n">
        <x:v>330</x:v>
      </x:c>
      <x:c r="B331" s="10" t="str">
        <x:v>USER-0330</x:v>
      </x:c>
      <x:c r="C331" s="10" t="str">
        <x:v>直播模块</x:v>
      </x:c>
      <x:c r="D331" s="10" t="str">
        <x:v>礼物（观众）</x:v>
      </x:c>
      <x:c r="E331" s="10" t="str">
        <x:v>逻辑校验</x:v>
      </x:c>
      <x:c r="F331" s="10" t="str">
        <x:v>P0</x:v>
      </x:c>
      <x:c r="G331" s="9" t="str">
        <x:v>验证幸运礼物返还50金币后的余额</x:v>
      </x:c>
      <x:c r="H331" s="9" t="str">
        <x:v>开奖余额核算</x:v>
      </x:c>
      <x:c r="I331" s="9" t="str">
        <x:v>1. 用户账号可用且已登录
2. 原余额100，礼物单价10，数量1；测试环境将本次独立开奖结果预置为50金币</x:v>
      </x:c>
      <x:c r="J331" s="9" t="str">
        <x:v>1. 进入直播间
2. 打开幸运礼物面板
3. 选择该幸运礼物
4. 选择数量1
5. 点击赠送</x:v>
      </x:c>
      <x:c r="K331" s="9" t="str">
        <x:v>金币余额计算结果=100-10+50=140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来源（当前证据）：liveshow-proto/MainBasis/统一需求文档.md；位置：views/live-room/gift.html
2. 规则：BR-50F5BC539913E8
3. 未动态验证</x:v>
      </x:c>
    </x:row>
    <x:row r="332" ht="85" customHeight="1">
      <x:c r="A332" s="10" t="n">
        <x:v>331</x:v>
      </x:c>
      <x:c r="B332" s="10" t="str">
        <x:v>USER-0331</x:v>
      </x:c>
      <x:c r="C332" s="10" t="str">
        <x:v>直播模块</x:v>
      </x:c>
      <x:c r="D332" s="10" t="str">
        <x:v>礼物（观众）</x:v>
      </x:c>
      <x:c r="E332" s="10" t="str">
        <x:v>逻辑校验</x:v>
      </x:c>
      <x:c r="F332" s="10" t="str">
        <x:v>P0</x:v>
      </x:c>
      <x:c r="G332" s="9" t="str">
        <x:v>验证幸运礼物返还100金币后的余额</x:v>
      </x:c>
      <x:c r="H332" s="9" t="str">
        <x:v>开奖余额核算</x:v>
      </x:c>
      <x:c r="I332" s="9" t="str">
        <x:v>1. 用户账号可用且已登录
2. 原余额100，礼物单价10，数量1；测试环境将本次独立开奖结果预置为100金币</x:v>
      </x:c>
      <x:c r="J332" s="9" t="str">
        <x:v>1. 进入直播间
2. 打开幸运礼物面板
3. 选择该幸运礼物
4. 选择数量1
5. 点击赠送</x:v>
      </x:c>
      <x:c r="K332" s="9" t="str">
        <x:v>金币余额计算结果=100-10+100=190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来源（当前证据）：liveshow-proto/MainBasis/统一需求文档.md；位置：views/live-room/gift.html
2. 规则：BR-8F34AB552BE0DA
3. 未动态验证</x:v>
      </x:c>
    </x:row>
    <x:row r="333" ht="85" customHeight="1">
      <x:c r="A333" s="10" t="n">
        <x:v>332</x:v>
      </x:c>
      <x:c r="B333" s="10" t="str">
        <x:v>USER-0332</x:v>
      </x:c>
      <x:c r="C333" s="10" t="str">
        <x:v>直播模块</x:v>
      </x:c>
      <x:c r="D333" s="10" t="str">
        <x:v>礼物（观众）</x:v>
      </x:c>
      <x:c r="E333" s="10" t="str">
        <x:v>逻辑校验</x:v>
      </x:c>
      <x:c r="F333" s="10" t="str">
        <x:v>P0</x:v>
      </x:c>
      <x:c r="G333" s="9" t="str">
        <x:v>验证幸运礼物返还1000金币后的余额</x:v>
      </x:c>
      <x:c r="H333" s="9" t="str">
        <x:v>开奖余额核算</x:v>
      </x:c>
      <x:c r="I333" s="9" t="str">
        <x:v>1. 用户账号可用且已登录
2. 原余额100，礼物单价10，数量1；测试环境将本次独立开奖结果预置为1000金币</x:v>
      </x:c>
      <x:c r="J333" s="9" t="str">
        <x:v>1. 进入直播间
2. 打开幸运礼物面板
3. 选择该幸运礼物
4. 选择数量1
5. 点击赠送</x:v>
      </x:c>
      <x:c r="K333" s="9" t="str">
        <x:v>金币余额计算结果=100-10+1000=1090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来源（当前证据）：liveshow-proto/MainBasis/统一需求文档.md；位置：views/live-room/gift.html
2. 规则：BR-2BBDF4A9EB2FBD
3. 未动态验证</x:v>
      </x:c>
    </x:row>
    <x:row r="334" ht="100" customHeight="1">
      <x:c r="A334" s="10" t="n">
        <x:v>333</x:v>
      </x:c>
      <x:c r="B334" s="10" t="str">
        <x:v>USER-0333</x:v>
      </x:c>
      <x:c r="C334" s="10" t="str">
        <x:v>直播模块</x:v>
      </x:c>
      <x:c r="D334" s="10" t="str">
        <x:v>礼物（观众）</x:v>
      </x:c>
      <x:c r="E334" s="10" t="str">
        <x:v>功能需求</x:v>
      </x:c>
      <x:c r="F334" s="10" t="str">
        <x:v>P1</x:v>
      </x:c>
      <x:c r="G334" s="9" t="str">
        <x:v>验证停用数量规则后只支持单件</x:v>
      </x:c>
      <x:c r="H334" s="9" t="str">
        <x:v>数量规则停用</x:v>
      </x:c>
      <x:c r="I334" s="9" t="str">
        <x:v>1. 用户账号可用且已登录
2. 目标礼物原有1、10、100数量规则，后台已经停用该规则</x:v>
      </x:c>
      <x:c r="J334" s="9" t="str">
        <x:v>1. 进入直播间
2. 打开礼物面板
3. 选择目标礼物</x:v>
      </x:c>
      <x:c r="K334" s="9" t="str">
        <x:v>赠送数量仅支持1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来源（当前证据）：liveshow-proto/MainBasis/统一需求文档.md；位置：views/live-room/gift.html、admin-gift-send-count-rules.html
2. 规则：BR-C021867CEA6A71
3. 未动态验证</x:v>
      </x:c>
    </x:row>
    <x:row r="335" ht="85" customHeight="1">
      <x:c r="A335" s="10" t="n">
        <x:v>334</x:v>
      </x:c>
      <x:c r="B335" s="10" t="str">
        <x:v>USER-0334</x:v>
      </x:c>
      <x:c r="C335" s="10" t="str">
        <x:v>直播模块</x:v>
      </x:c>
      <x:c r="D335" s="10" t="str">
        <x:v>礼物（观众）</x:v>
      </x:c>
      <x:c r="E335" s="10" t="str">
        <x:v>功能需求</x:v>
      </x:c>
      <x:c r="F335" s="10" t="str">
        <x:v>P1</x:v>
      </x:c>
      <x:c r="G335" s="9" t="str">
        <x:v>验证负余额不能赠送礼物</x:v>
      </x:c>
      <x:c r="H335" s="9" t="str">
        <x:v>负余额消费限制</x:v>
      </x:c>
      <x:c r="I335" s="9" t="str">
        <x:v>1. 用户账号可用且已登录
2. 金币余额为-1，礼物可赠送</x:v>
      </x:c>
      <x:c r="J335" s="9" t="str">
        <x:v>1. 进入直播间
2. 打开礼物面板
3. 选择普通礼物
4. 点击赠送</x:v>
      </x:c>
      <x:c r="K335" s="9" t="str">
        <x:v>不生成成功赠送记录</x:v>
      </x:c>
      <x:c r="L335" s="10" t="str">
        <x:v>FLOW-A1501E68</x:v>
      </x:c>
      <x:c r="M335" s="10" t="str">
        <x:v>未测</x:v>
      </x:c>
      <x:c r="N335" s="10" t="str"/>
      <x:c r="O335" s="9" t="str">
        <x:v>1. 来源（当前证据）：liveshow-proto/MainBasis/统一需求文档.md；位置：views/live-room/gift.html、共同业务对象与规则
2. 规则：BR-191808708A3FBA
3. 未动态验证</x:v>
      </x:c>
    </x:row>
    <x:row r="336" ht="85" customHeight="1">
      <x:c r="A336" s="10" t="n">
        <x:v>335</x:v>
      </x:c>
      <x:c r="B336" s="10" t="str">
        <x:v>USER-0335</x:v>
      </x:c>
      <x:c r="C336" s="10" t="str">
        <x:v>直播模块</x:v>
      </x:c>
      <x:c r="D336" s="10" t="str">
        <x:v>礼物（观众）</x:v>
      </x:c>
      <x:c r="E336" s="10" t="str">
        <x:v>功能需求</x:v>
      </x:c>
      <x:c r="F336" s="10" t="str">
        <x:v>P1</x:v>
      </x:c>
      <x:c r="G336" s="9" t="str">
        <x:v>验证幸运礼物批量独立开奖</x:v>
      </x:c>
      <x:c r="H336" s="9" t="str">
        <x:v>独立开奖次数</x:v>
      </x:c>
      <x:c r="I336" s="9" t="str">
        <x:v>1. 用户账号可用且已登录
2. 余额足够，幸运礼物每件10金币</x:v>
      </x:c>
      <x:c r="J336" s="9" t="str">
        <x:v>1. 进入直播间
2. 打开礼物面板
3. 选择数量10并赠送</x:v>
      </x:c>
      <x:c r="K336" s="9" t="str">
        <x:v>本次生成10个独立开奖结果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来源（当前证据）：liveshow-proto/MainBasis/统一需求文档.md；位置：views/live-room/gift.html、共同业务对象与规则
2. 规则：BR-4AF101E95AE888
3. 未动态验证</x:v>
      </x:c>
    </x:row>
    <x:row r="337" ht="85" customHeight="1">
      <x:c r="A337" s="10" t="n">
        <x:v>336</x:v>
      </x:c>
      <x:c r="B337" s="10" t="str">
        <x:v>USER-0336</x:v>
      </x:c>
      <x:c r="C337" s="10" t="str">
        <x:v>直播模块</x:v>
      </x:c>
      <x:c r="D337" s="10" t="str">
        <x:v>礼物（运营人员）</x:v>
      </x:c>
      <x:c r="E337" s="10" t="str">
        <x:v>功能需求</x:v>
      </x:c>
      <x:c r="F337" s="10" t="str">
        <x:v>P1</x:v>
      </x:c>
      <x:c r="G337" s="9" t="str">
        <x:v>验证运营账号不能发送幸运礼物</x:v>
      </x:c>
      <x:c r="H337" s="9" t="str">
        <x:v>虚拟金币玩法限制</x:v>
      </x:c>
      <x:c r="I337" s="9" t="str">
        <x:v>1. 用户账号可用且已登录
2. 当前执行账号为运营账号且虚拟余额足够</x:v>
      </x:c>
      <x:c r="J337" s="9" t="str">
        <x:v>1. 进入直播间
2. 打开礼物面板
3. 查看幸运礼物入口</x:v>
      </x:c>
      <x:c r="K337" s="9" t="str">
        <x:v>不能赠送幸运礼物</x:v>
      </x:c>
      <x:c r="L337" s="10" t="str">
        <x:v>FLOW-3751662B</x:v>
      </x:c>
      <x:c r="M337" s="10" t="str">
        <x:v>未测</x:v>
      </x:c>
      <x:c r="N337" s="10" t="str"/>
      <x:c r="O337" s="9" t="str">
        <x:v>1. 来源（当前证据）：liveshow-proto/MainBasis/统一需求文档.md；位置：views/live-room/gift.html
2. 规则：BR-4B4C005C0878AF
3. 未动态验证</x:v>
      </x:c>
    </x:row>
    <x:row r="338" ht="85" customHeight="1">
      <x:c r="A338" s="10" t="n">
        <x:v>337</x:v>
      </x:c>
      <x:c r="B338" s="10" t="str">
        <x:v>USER-0337</x:v>
      </x:c>
      <x:c r="C338" s="10" t="str">
        <x:v>直播模块</x:v>
      </x:c>
      <x:c r="D338" s="10" t="str">
        <x:v>礼物（运营人员）</x:v>
      </x:c>
      <x:c r="E338" s="10" t="str">
        <x:v>功能需求</x:v>
      </x:c>
      <x:c r="F338" s="10" t="str">
        <x:v>P1</x:v>
      </x:c>
      <x:c r="G338" s="9" t="str">
        <x:v>验证运营账号虚拟余额不足无充值入口</x:v>
      </x:c>
      <x:c r="H338" s="9" t="str">
        <x:v>虚拟余额不足</x:v>
      </x:c>
      <x:c r="I338" s="9" t="str">
        <x:v>1. 用户账号可用且已登录
2. 当前执行账号为运营账号，虚拟金币不足本次礼物价值</x:v>
      </x:c>
      <x:c r="J338" s="9" t="str">
        <x:v>1. 进入直播间
2. 打开礼物面板
3. 点击赠送</x:v>
      </x:c>
      <x:c r="K338" s="9" t="str">
        <x:v>提示联系公会发放且不提供充值入口</x:v>
      </x:c>
      <x:c r="L338" s="10" t="str">
        <x:v>FLOW-3751662B</x:v>
      </x:c>
      <x:c r="M338" s="10" t="str">
        <x:v>未测</x:v>
      </x:c>
      <x:c r="N338" s="10" t="str"/>
      <x:c r="O338" s="9" t="str">
        <x:v>1. 来源（当前证据）：liveshow-proto/MainBasis/统一需求文档.md；位置：views/live-room/gift.html
2. 规则：BR-1B84C0113A1E93
3. 未动态验证</x:v>
      </x:c>
    </x:row>
    <x:row r="339" ht="85" customHeight="1">
      <x:c r="A339" s="10" t="n">
        <x:v>338</x:v>
      </x:c>
      <x:c r="B339" s="10" t="str">
        <x:v>USER-0338</x:v>
      </x:c>
      <x:c r="C339" s="10" t="str">
        <x:v>直播模块</x:v>
      </x:c>
      <x:c r="D339" s="10" t="str">
        <x:v>粉丝团-未加入（观众）</x:v>
      </x:c>
      <x:c r="E339" s="10" t="str">
        <x:v>功能需求</x:v>
      </x:c>
      <x:c r="F339" s="10" t="str">
        <x:v>P1</x:v>
      </x:c>
      <x:c r="G339" s="9" t="str">
        <x:v>验证粉丝团满员拒绝加入</x:v>
      </x:c>
      <x:c r="H339" s="9" t="str">
        <x:v>团人数上界</x:v>
      </x:c>
      <x:c r="I339" s="9" t="str">
        <x:v>1. 用户账号可用且已登录
2. 粉丝团已有500人，当前用户满足其他入团条件</x:v>
      </x:c>
      <x:c r="J339" s="9" t="str">
        <x:v>1. 进入目标主播直播间
2. 打开粉丝团面板
3. 点击加入</x:v>
      </x:c>
      <x:c r="K339" s="9" t="str">
        <x:v>不能加入已满500人的粉丝团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来源（当前证据）：liveshow-proto/MainBasis/统一需求文档.md；位置：views/live-room/fan-club-not-joined.html
2. 规则：BR-9F791062B9F3F3
3. 未动态验证</x:v>
      </x:c>
    </x:row>
    <x:row r="340" ht="85" customHeight="1">
      <x:c r="A340" s="10" t="n">
        <x:v>339</x:v>
      </x:c>
      <x:c r="B340" s="10" t="str">
        <x:v>USER-0339</x:v>
      </x:c>
      <x:c r="C340" s="10" t="str">
        <x:v>直播模块</x:v>
      </x:c>
      <x:c r="D340" s="10" t="str">
        <x:v>粉丝团-未加入（观众）</x:v>
      </x:c>
      <x:c r="E340" s="10" t="str">
        <x:v>功能需求</x:v>
      </x:c>
      <x:c r="F340" s="10" t="str">
        <x:v>P1</x:v>
      </x:c>
      <x:c r="G340" s="9" t="str">
        <x:v>验证满足全部条件加入粉丝团</x:v>
      </x:c>
      <x:c r="H340" s="9" t="str">
        <x:v>入团成功</x:v>
      </x:c>
      <x:c r="I340" s="9" t="str">
        <x:v>1. 用户账号可用且已登录
2. 粉丝团499人，当前用户已关注且满足贡献门槛，双方未拉黑</x:v>
      </x:c>
      <x:c r="J340" s="9" t="str">
        <x:v>1. 进入目标主播直播间
2. 打开粉丝团面板
3. 点击加入</x:v>
      </x:c>
      <x:c r="K340" s="9" t="str">
        <x:v>当前用户成为该团成员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来源（当前证据）：liveshow-proto/MainBasis/统一需求文档.md；位置：views/live-room/fan-club-not-joined.html
2. 规则：BR-E6C169876B10AA
3. 未动态验证</x:v>
      </x:c>
    </x:row>
    <x:row r="341" ht="85" customHeight="1">
      <x:c r="A341" s="10" t="n">
        <x:v>340</x:v>
      </x:c>
      <x:c r="B341" s="10" t="str">
        <x:v>USER-0340</x:v>
      </x:c>
      <x:c r="C341" s="10" t="str">
        <x:v>直播模块</x:v>
      </x:c>
      <x:c r="D341" s="10" t="str">
        <x:v>粉丝团-未加入（观众）</x:v>
      </x:c>
      <x:c r="E341" s="10" t="str">
        <x:v>功能需求</x:v>
      </x:c>
      <x:c r="F341" s="10" t="str">
        <x:v>P1</x:v>
      </x:c>
      <x:c r="G341" s="9" t="str">
        <x:v>验证关注门槛未满足不能加入</x:v>
      </x:c>
      <x:c r="H341" s="9" t="str">
        <x:v>关注条件</x:v>
      </x:c>
      <x:c r="I341" s="9" t="str">
        <x:v>1. 用户账号可用且已登录
2. 要求关注，当前用户尚未关注，贡献达标且团未满</x:v>
      </x:c>
      <x:c r="J341" s="9" t="str">
        <x:v>1. 进入目标主播直播间
2. 打开粉丝团面板
3. 点击加入</x:v>
      </x:c>
      <x:c r="K341" s="9" t="str">
        <x:v>不能加入该团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来源（当前证据）：liveshow-proto/MainBasis/统一需求文档.md；位置：views/live-room/fan-club-not-joined.html
2. 规则：BR-ACDDBB61EB84AF
3. 未动态验证</x:v>
      </x:c>
    </x:row>
    <x:row r="342" ht="85" customHeight="1">
      <x:c r="A342" s="10" t="n">
        <x:v>341</x:v>
      </x:c>
      <x:c r="B342" s="10" t="str">
        <x:v>USER-0341</x:v>
      </x:c>
      <x:c r="C342" s="10" t="str">
        <x:v>直播模块</x:v>
      </x:c>
      <x:c r="D342" s="10" t="str">
        <x:v>粉丝团-未加入（观众）</x:v>
      </x:c>
      <x:c r="E342" s="10" t="str">
        <x:v>功能需求</x:v>
      </x:c>
      <x:c r="F342" s="10" t="str">
        <x:v>P1</x:v>
      </x:c>
      <x:c r="G342" s="9" t="str">
        <x:v>验证贡献低于门槛不能加入</x:v>
      </x:c>
      <x:c r="H342" s="9" t="str">
        <x:v>贡献条件</x:v>
      </x:c>
      <x:c r="I342" s="9" t="str">
        <x:v>1. 用户账号可用且已登录
2. 要求累计贡献100，当前99，其他条件满足</x:v>
      </x:c>
      <x:c r="J342" s="9" t="str">
        <x:v>1. 进入目标主播直播间
2. 打开粉丝团面板
3. 点击加入</x:v>
      </x:c>
      <x:c r="K342" s="9" t="str">
        <x:v>不能加入该团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来源（当前证据）：liveshow-proto/MainBasis/统一需求文档.md；位置：views/live-room/fan-club-not-joined.html
2. 规则：BR-F56225B8C20904
3. 未动态验证</x:v>
      </x:c>
    </x:row>
    <x:row r="343" ht="85" customHeight="1">
      <x:c r="A343" s="10" t="n">
        <x:v>342</x:v>
      </x:c>
      <x:c r="B343" s="10" t="str">
        <x:v>USER-0342</x:v>
      </x:c>
      <x:c r="C343" s="10" t="str">
        <x:v>直播模块</x:v>
      </x:c>
      <x:c r="D343" s="10" t="str">
        <x:v>举报直播间（观众）</x:v>
      </x:c>
      <x:c r="E343" s="10" t="str">
        <x:v>功能需求</x:v>
      </x:c>
      <x:c r="F343" s="10" t="str">
        <x:v>P1</x:v>
      </x:c>
      <x:c r="G343" s="9" t="str">
        <x:v>验证直播间举报原因未选不能提交</x:v>
      </x:c>
      <x:c r="H343" s="9" t="str">
        <x:v>举报原因必填</x:v>
      </x:c>
      <x:c r="I343" s="9" t="str">
        <x:v>1. 用户账号可用且已登录</x:v>
      </x:c>
      <x:c r="J343" s="9" t="str">
        <x:v>1. 进入直播间举报页
2. 查看提交按钮</x:v>
      </x:c>
      <x:c r="K343" s="9" t="str">
        <x:v>提交按钮不可用</x:v>
      </x:c>
      <x:c r="L343" s="10" t="str">
        <x:v>FLOW-C83DBB68</x:v>
      </x:c>
      <x:c r="M343" s="10" t="str">
        <x:v>未测</x:v>
      </x:c>
      <x:c r="N343" s="10" t="str"/>
      <x:c r="O343" s="9" t="str">
        <x:v>1. 来源（当前证据）：liveshow-proto/MainBasis/统一需求文档.md；位置：live-room-report.html
2. 规则：BR-335B488E9F2638
3. 未动态验证</x:v>
      </x:c>
    </x:row>
    <x:row r="344" ht="85" customHeight="1">
      <x:c r="A344" s="10" t="n">
        <x:v>343</x:v>
      </x:c>
      <x:c r="B344" s="10" t="str">
        <x:v>USER-0343</x:v>
      </x:c>
      <x:c r="C344" s="10" t="str">
        <x:v>直播模块</x:v>
      </x:c>
      <x:c r="D344" s="10" t="str">
        <x:v>举报直播间（观众）</x:v>
      </x:c>
      <x:c r="E344" s="10" t="str">
        <x:v>功能需求</x:v>
      </x:c>
      <x:c r="F344" s="10" t="str">
        <x:v>P1</x:v>
      </x:c>
      <x:c r="G344" s="9" t="str">
        <x:v>验证提交直播间举报成功提示</x:v>
      </x:c>
      <x:c r="H344" s="9" t="str">
        <x:v>举报提交</x:v>
      </x:c>
      <x:c r="I344" s="9" t="str">
        <x:v>1. 用户账号可用且已登录
2. 当前直播中，配置有启用原因“其他”</x:v>
      </x:c>
      <x:c r="J344" s="9" t="str">
        <x:v>1. 进入直播间举报页
2. 选择其他
3. 点击提交</x:v>
      </x:c>
      <x:c r="K344" s="9" t="str">
        <x:v>提示“举报已提交”</x:v>
      </x:c>
      <x:c r="L344" s="10" t="str">
        <x:v>FLOW-C83DBB68</x:v>
      </x:c>
      <x:c r="M344" s="10" t="str">
        <x:v>未测</x:v>
      </x:c>
      <x:c r="N344" s="10" t="str"/>
      <x:c r="O344" s="9" t="str">
        <x:v>1. 来源（当前证据）：liveshow-proto/MainBasis/统一需求文档.md；位置：live-room-report.html
2. 规则：BR-9C60347C8E7A8D
3. 未动态验证</x:v>
      </x:c>
    </x:row>
    <x:row r="345" ht="85" customHeight="1">
      <x:c r="A345" s="10" t="n">
        <x:v>344</x:v>
      </x:c>
      <x:c r="B345" s="10" t="str">
        <x:v>USER-0344</x:v>
      </x:c>
      <x:c r="C345" s="10" t="str">
        <x:v>直播模块</x:v>
      </x:c>
      <x:c r="D345" s="10" t="str">
        <x:v>举报直播间（观众）</x:v>
      </x:c>
      <x:c r="E345" s="10" t="str">
        <x:v>逻辑校验</x:v>
      </x:c>
      <x:c r="F345" s="10" t="str">
        <x:v>P1</x:v>
      </x:c>
      <x:c r="G345" s="9" t="str">
        <x:v>验证补充说明长度为199时的校验</x:v>
      </x:c>
      <x:c r="H345" s="9" t="str">
        <x:v>补充说明合法边界</x:v>
      </x:c>
      <x:c r="I345" s="9" t="str">
        <x:v>1. 用户账号可用且已登录
2. 除补充说明外的必填项已具备合法值</x:v>
      </x:c>
      <x:c r="J345" s="9" t="str">
        <x:v>1. 进入直播间举报页
2. 清空补充说明
3. 输入补充说明为199 个“测”字符
4. 点击提交</x:v>
      </x:c>
      <x:c r="K345" s="9" t="str">
        <x:v>补充说明接受本次199 字符输入</x:v>
      </x:c>
      <x:c r="L345" s="10" t="str">
        <x:v>FLOW-C83DBB68</x:v>
      </x:c>
      <x:c r="M345" s="10" t="str">
        <x:v>未测</x:v>
      </x:c>
      <x:c r="N345" s="10" t="str"/>
      <x:c r="O345" s="9" t="str">
        <x:v>1. 来源（当前证据）：liveshow-proto/MainBasis/统一需求文档.md；位置：live-room-report.html
2. 规则：BR-7906BEDE2DA45F
3. 未动态验证</x:v>
      </x:c>
    </x:row>
    <x:row r="346" ht="85" customHeight="1">
      <x:c r="A346" s="10" t="n">
        <x:v>345</x:v>
      </x:c>
      <x:c r="B346" s="10" t="str">
        <x:v>USER-0345</x:v>
      </x:c>
      <x:c r="C346" s="10" t="str">
        <x:v>直播模块</x:v>
      </x:c>
      <x:c r="D346" s="10" t="str">
        <x:v>举报直播间（观众）</x:v>
      </x:c>
      <x:c r="E346" s="10" t="str">
        <x:v>逻辑校验</x:v>
      </x:c>
      <x:c r="F346" s="10" t="str">
        <x:v>P1</x:v>
      </x:c>
      <x:c r="G346" s="9" t="str">
        <x:v>验证补充说明长度为200时的校验</x:v>
      </x:c>
      <x:c r="H346" s="9" t="str">
        <x:v>补充说明合法边界</x:v>
      </x:c>
      <x:c r="I346" s="9" t="str">
        <x:v>1. 用户账号可用且已登录
2. 除补充说明外的必填项已具备合法值</x:v>
      </x:c>
      <x:c r="J346" s="9" t="str">
        <x:v>1. 进入直播间举报页
2. 清空补充说明
3. 输入补充说明为200 个“测”字符
4. 点击提交</x:v>
      </x:c>
      <x:c r="K346" s="9" t="str">
        <x:v>补充说明接受本次200 字符输入</x:v>
      </x:c>
      <x:c r="L346" s="10" t="str">
        <x:v>FLOW-C83DBB68</x:v>
      </x:c>
      <x:c r="M346" s="10" t="str">
        <x:v>未测</x:v>
      </x:c>
      <x:c r="N346" s="10" t="str"/>
      <x:c r="O346" s="9" t="str">
        <x:v>1. 来源（当前证据）：liveshow-proto/MainBasis/统一需求文档.md；位置：live-room-report.html
2. 规则：BR-AD979A769C0610
3. 未动态验证</x:v>
      </x:c>
    </x:row>
    <x:row r="347" ht="85" customHeight="1">
      <x:c r="A347" s="10" t="n">
        <x:v>346</x:v>
      </x:c>
      <x:c r="B347" s="10" t="str">
        <x:v>USER-0346</x:v>
      </x:c>
      <x:c r="C347" s="10" t="str">
        <x:v>直播模块</x:v>
      </x:c>
      <x:c r="D347" s="10" t="str">
        <x:v>举报直播间（观众）</x:v>
      </x:c>
      <x:c r="E347" s="10" t="str">
        <x:v>逻辑校验</x:v>
      </x:c>
      <x:c r="F347" s="10" t="str">
        <x:v>P1</x:v>
      </x:c>
      <x:c r="G347" s="9" t="str">
        <x:v>验证补充说明长度为201时的校验</x:v>
      </x:c>
      <x:c r="H347" s="9" t="str">
        <x:v>补充说明越界拦截</x:v>
      </x:c>
      <x:c r="I347" s="9" t="str">
        <x:v>1. 用户账号可用且已登录
2. 除补充说明外的必填项已具备合法值</x:v>
      </x:c>
      <x:c r="J347" s="9" t="str">
        <x:v>1. 进入直播间举报页
2. 清空补充说明
3. 输入补充说明为201 个“测”字符
4. 点击提交</x:v>
      </x:c>
      <x:c r="K347" s="9" t="str">
        <x:v>补充说明不能保存超出上限的值</x:v>
      </x:c>
      <x:c r="L347" s="10" t="str">
        <x:v>FLOW-C83DBB68</x:v>
      </x:c>
      <x:c r="M347" s="10" t="str">
        <x:v>未测</x:v>
      </x:c>
      <x:c r="N347" s="10" t="str"/>
      <x:c r="O347" s="9" t="str">
        <x:v>1. 来源（当前证据）：liveshow-proto/MainBasis/统一需求文档.md；位置：live-room-report.html
2. 规则：BR-92403DE758A8D3
3. 未动态验证</x:v>
      </x:c>
    </x:row>
    <x:row r="348" ht="85" customHeight="1">
      <x:c r="A348" s="10" t="n">
        <x:v>347</x:v>
      </x:c>
      <x:c r="B348" s="10" t="str">
        <x:v>USER-0347</x:v>
      </x:c>
      <x:c r="C348" s="10" t="str">
        <x:v>直播模块</x:v>
      </x:c>
      <x:c r="D348" s="10" t="str">
        <x:v>举报用户（观众）</x:v>
      </x:c>
      <x:c r="E348" s="10" t="str">
        <x:v>功能需求</x:v>
      </x:c>
      <x:c r="F348" s="10" t="str">
        <x:v>P1</x:v>
      </x:c>
      <x:c r="G348" s="9" t="str">
        <x:v>验证用户举报原因未选不能提交</x:v>
      </x:c>
      <x:c r="H348" s="9" t="str">
        <x:v>举报原因必填</x:v>
      </x:c>
      <x:c r="I348" s="9" t="str">
        <x:v>1. 用户账号可用且已登录</x:v>
      </x:c>
      <x:c r="J348" s="9" t="str">
        <x:v>1. 进入用户举报页
2. 查看提交按钮</x:v>
      </x:c>
      <x:c r="K348" s="9" t="str">
        <x:v>提交按钮不可用</x:v>
      </x:c>
      <x:c r="L348" s="10" t="str">
        <x:v>FLOW-C83DBB68</x:v>
      </x:c>
      <x:c r="M348" s="10" t="str">
        <x:v>未测</x:v>
      </x:c>
      <x:c r="N348" s="10" t="str"/>
      <x:c r="O348" s="9" t="str">
        <x:v>1. 来源（当前证据）：liveshow-proto/MainBasis/统一需求文档.md；位置：live-room-user-report.html
2. 规则：BR-600BCD7AF4332C
3. 未动态验证</x:v>
      </x:c>
    </x:row>
    <x:row r="349" ht="85" customHeight="1">
      <x:c r="A349" s="10" t="n">
        <x:v>348</x:v>
      </x:c>
      <x:c r="B349" s="10" t="str">
        <x:v>USER-0348</x:v>
      </x:c>
      <x:c r="C349" s="10" t="str">
        <x:v>直播模块</x:v>
      </x:c>
      <x:c r="D349" s="10" t="str">
        <x:v>举报用户（观众）</x:v>
      </x:c>
      <x:c r="E349" s="10" t="str">
        <x:v>功能需求</x:v>
      </x:c>
      <x:c r="F349" s="10" t="str">
        <x:v>P1</x:v>
      </x:c>
      <x:c r="G349" s="9" t="str">
        <x:v>验证提交用户举报成功提示</x:v>
      </x:c>
      <x:c r="H349" s="9" t="str">
        <x:v>举报提交</x:v>
      </x:c>
      <x:c r="I349" s="9" t="str">
        <x:v>1. 用户账号可用且已登录
2. 当前直播中，配置有启用原因“其他”</x:v>
      </x:c>
      <x:c r="J349" s="9" t="str">
        <x:v>1. 进入用户举报页
2. 选择其他
3. 点击提交</x:v>
      </x:c>
      <x:c r="K349" s="9" t="str">
        <x:v>提示“举报已提交”</x:v>
      </x:c>
      <x:c r="L349" s="10" t="str">
        <x:v>FLOW-C83DBB68</x:v>
      </x:c>
      <x:c r="M349" s="10" t="str">
        <x:v>未测</x:v>
      </x:c>
      <x:c r="N349" s="10" t="str"/>
      <x:c r="O349" s="9" t="str">
        <x:v>1. 来源（当前证据）：liveshow-proto/MainBasis/统一需求文档.md；位置：live-room-user-report.html
2. 规则：BR-0A26D700B0D8B7
3. 未动态验证</x:v>
      </x:c>
    </x:row>
    <x:row r="350" ht="85" customHeight="1">
      <x:c r="A350" s="10" t="n">
        <x:v>349</x:v>
      </x:c>
      <x:c r="B350" s="10" t="str">
        <x:v>USER-0349</x:v>
      </x:c>
      <x:c r="C350" s="10" t="str">
        <x:v>直播模块</x:v>
      </x:c>
      <x:c r="D350" s="10" t="str">
        <x:v>举报用户（观众）</x:v>
      </x:c>
      <x:c r="E350" s="10" t="str">
        <x:v>逻辑校验</x:v>
      </x:c>
      <x:c r="F350" s="10" t="str">
        <x:v>P1</x:v>
      </x:c>
      <x:c r="G350" s="9" t="str">
        <x:v>验证补充说明长度为199时的校验</x:v>
      </x:c>
      <x:c r="H350" s="9" t="str">
        <x:v>补充说明合法边界</x:v>
      </x:c>
      <x:c r="I350" s="9" t="str">
        <x:v>1. 用户账号可用且已登录
2. 除补充说明外的必填项已具备合法值</x:v>
      </x:c>
      <x:c r="J350" s="9" t="str">
        <x:v>1. 进入用户举报页
2. 清空补充说明
3. 输入补充说明为199 个“测”字符
4. 点击提交</x:v>
      </x:c>
      <x:c r="K350" s="9" t="str">
        <x:v>补充说明接受本次199 字符输入</x:v>
      </x:c>
      <x:c r="L350" s="10" t="str">
        <x:v>FLOW-C83DBB68</x:v>
      </x:c>
      <x:c r="M350" s="10" t="str">
        <x:v>未测</x:v>
      </x:c>
      <x:c r="N350" s="10" t="str"/>
      <x:c r="O350" s="9" t="str">
        <x:v>1. 来源（当前证据）：liveshow-proto/MainBasis/统一需求文档.md；位置：live-room-user-report.html
2. 规则：BR-B89D2D382B70B4
3. 未动态验证</x:v>
      </x:c>
    </x:row>
    <x:row r="351" ht="85" customHeight="1">
      <x:c r="A351" s="10" t="n">
        <x:v>350</x:v>
      </x:c>
      <x:c r="B351" s="10" t="str">
        <x:v>USER-0350</x:v>
      </x:c>
      <x:c r="C351" s="10" t="str">
        <x:v>直播模块</x:v>
      </x:c>
      <x:c r="D351" s="10" t="str">
        <x:v>举报用户（观众）</x:v>
      </x:c>
      <x:c r="E351" s="10" t="str">
        <x:v>逻辑校验</x:v>
      </x:c>
      <x:c r="F351" s="10" t="str">
        <x:v>P1</x:v>
      </x:c>
      <x:c r="G351" s="9" t="str">
        <x:v>验证补充说明长度为200时的校验</x:v>
      </x:c>
      <x:c r="H351" s="9" t="str">
        <x:v>补充说明合法边界</x:v>
      </x:c>
      <x:c r="I351" s="9" t="str">
        <x:v>1. 用户账号可用且已登录
2. 除补充说明外的必填项已具备合法值</x:v>
      </x:c>
      <x:c r="J351" s="9" t="str">
        <x:v>1. 进入用户举报页
2. 清空补充说明
3. 输入补充说明为200 个“测”字符
4. 点击提交</x:v>
      </x:c>
      <x:c r="K351" s="9" t="str">
        <x:v>补充说明接受本次200 字符输入</x:v>
      </x:c>
      <x:c r="L351" s="10" t="str">
        <x:v>FLOW-C83DBB68</x:v>
      </x:c>
      <x:c r="M351" s="10" t="str">
        <x:v>未测</x:v>
      </x:c>
      <x:c r="N351" s="10" t="str"/>
      <x:c r="O351" s="9" t="str">
        <x:v>1. 来源（当前证据）：liveshow-proto/MainBasis/统一需求文档.md；位置：live-room-user-report.html
2. 规则：BR-348BE2356332E4
3. 未动态验证</x:v>
      </x:c>
    </x:row>
    <x:row r="352" ht="85" customHeight="1">
      <x:c r="A352" s="10" t="n">
        <x:v>351</x:v>
      </x:c>
      <x:c r="B352" s="10" t="str">
        <x:v>USER-0351</x:v>
      </x:c>
      <x:c r="C352" s="10" t="str">
        <x:v>直播模块</x:v>
      </x:c>
      <x:c r="D352" s="10" t="str">
        <x:v>举报用户（观众）</x:v>
      </x:c>
      <x:c r="E352" s="10" t="str">
        <x:v>逻辑校验</x:v>
      </x:c>
      <x:c r="F352" s="10" t="str">
        <x:v>P1</x:v>
      </x:c>
      <x:c r="G352" s="9" t="str">
        <x:v>验证补充说明长度为201时的校验</x:v>
      </x:c>
      <x:c r="H352" s="9" t="str">
        <x:v>补充说明越界拦截</x:v>
      </x:c>
      <x:c r="I352" s="9" t="str">
        <x:v>1. 用户账号可用且已登录
2. 除补充说明外的必填项已具备合法值</x:v>
      </x:c>
      <x:c r="J352" s="9" t="str">
        <x:v>1. 进入用户举报页
2. 清空补充说明
3. 输入补充说明为201 个“测”字符
4. 点击提交</x:v>
      </x:c>
      <x:c r="K352" s="9" t="str">
        <x:v>补充说明不能保存超出上限的值</x:v>
      </x:c>
      <x:c r="L352" s="10" t="str">
        <x:v>FLOW-C83DBB68</x:v>
      </x:c>
      <x:c r="M352" s="10" t="str">
        <x:v>未测</x:v>
      </x:c>
      <x:c r="N352" s="10" t="str"/>
      <x:c r="O352" s="9" t="str">
        <x:v>1. 来源（当前证据）：liveshow-proto/MainBasis/统一需求文档.md；位置：live-room-user-report.html
2. 规则：BR-5168288D707BF5
3. 未动态验证</x:v>
      </x:c>
    </x:row>
    <x:row r="353" ht="85" customHeight="1">
      <x:c r="A353" s="10" t="n">
        <x:v>352</x:v>
      </x:c>
      <x:c r="B353" s="10" t="str">
        <x:v>USER-0352</x:v>
      </x:c>
      <x:c r="C353" s="10" t="str">
        <x:v>直播模块</x:v>
      </x:c>
      <x:c r="D353" s="10" t="str">
        <x:v>直播结束页（观众）（观众）</x:v>
      </x:c>
      <x:c r="E353" s="10" t="str">
        <x:v>功能需求</x:v>
      </x:c>
      <x:c r="F353" s="10" t="str">
        <x:v>P1</x:v>
      </x:c>
      <x:c r="G353" s="9" t="str">
        <x:v>验证已结束场次无法继续赠礼</x:v>
      </x:c>
      <x:c r="H353" s="9" t="str">
        <x:v>结束场次消费限制</x:v>
      </x:c>
      <x:c r="I353" s="9" t="str">
        <x:v>1. 用户账号可用且已登录</x:v>
      </x:c>
      <x:c r="J353" s="9" t="str">
        <x:v>1. 打开已结束直播场次
2. 查看礼物操作入口</x:v>
      </x:c>
      <x:c r="K353" s="9" t="str">
        <x:v>不能继续向该场赠礼</x:v>
      </x:c>
      <x:c r="L353" s="10" t="str">
        <x:v>FLOW-A1501E68</x:v>
      </x:c>
      <x:c r="M353" s="10" t="str">
        <x:v>未测</x:v>
      </x:c>
      <x:c r="N353" s="10" t="str"/>
      <x:c r="O353" s="9" t="str">
        <x:v>1. 来源（当前证据）：liveshow-proto/MainBasis/统一需求文档.md；位置：live-end-viewer.html
2. 规则：BR-A381E7916B5B0B
3. 未动态验证</x:v>
      </x:c>
    </x:row>
    <x:row r="354" ht="85" customHeight="1">
      <x:c r="A354" s="10" t="n">
        <x:v>353</x:v>
      </x:c>
      <x:c r="B354" s="10" t="str">
        <x:v>USER-0353</x:v>
      </x:c>
      <x:c r="C354" s="10" t="str">
        <x:v>直播模块</x:v>
      </x:c>
      <x:c r="D354" s="10" t="str">
        <x:v>直播结束页（观众）（观众）</x:v>
      </x:c>
      <x:c r="E354" s="10" t="str">
        <x:v>功能需求</x:v>
      </x:c>
      <x:c r="F354" s="10" t="str">
        <x:v>P1</x:v>
      </x:c>
      <x:c r="G354" s="9" t="str">
        <x:v>验证重复打开旧房仍为结束页</x:v>
      </x:c>
      <x:c r="H354" s="9" t="str">
        <x:v>旧场次路由</x:v>
      </x:c>
      <x:c r="I354" s="9" t="str">
        <x:v>1. 用户账号可用且已登录
2. 该主播已经创建另一新场次</x:v>
      </x:c>
      <x:c r="J354" s="9" t="str">
        <x:v>1. 打开已结束直播场次
2. 重新打开旧场次链接</x:v>
      </x:c>
      <x:c r="K354" s="9" t="str">
        <x:v>仍展示旧场次结束状态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来源（当前证据）：liveshow-proto/MainBasis/统一需求文档.md；位置：live-end-viewer.html
2. 规则：BR-31DDE194F1A793
3. 未动态验证</x:v>
      </x:c>
    </x:row>
    <x:row r="355" ht="85" customHeight="1">
      <x:c r="A355" s="10" t="n">
        <x:v>354</x:v>
      </x:c>
      <x:c r="B355" s="10" t="str">
        <x:v>USER-0354</x:v>
      </x:c>
      <x:c r="C355" s="10" t="str">
        <x:v>直播模块</x:v>
      </x:c>
      <x:c r="D355" s="10" t="str">
        <x:v>直播结束页（观众）（观众）</x:v>
      </x:c>
      <x:c r="E355" s="10" t="str">
        <x:v>功能需求</x:v>
      </x:c>
      <x:c r="F355" s="10" t="str">
        <x:v>P1</x:v>
      </x:c>
      <x:c r="G355" s="9" t="str">
        <x:v>验证结束页返回首页</x:v>
      </x:c>
      <x:c r="H355" s="9" t="str">
        <x:v>结束页离开</x:v>
      </x:c>
      <x:c r="I355" s="9" t="str">
        <x:v>1. 用户账号可用且已登录</x:v>
      </x:c>
      <x:c r="J355" s="9" t="str">
        <x:v>1. 打开已结束直播场次
2. 点击返回首页</x:v>
      </x:c>
      <x:c r="K355" s="9" t="str">
        <x:v>进入首页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来源（当前证据）：liveshow-proto/MainBasis/统一需求文档.md；位置：live-end-viewer.html
2. 规则：BR-7E7B5A59336F43
3. 未动态验证</x:v>
      </x:c>
    </x:row>
    <x:row r="356" ht="85" customHeight="1">
      <x:c r="A356" s="10" t="n">
        <x:v>355</x:v>
      </x:c>
      <x:c r="B356" s="10" t="str">
        <x:v>USER-0355</x:v>
      </x:c>
      <x:c r="C356" s="10" t="str">
        <x:v>直播模块</x:v>
      </x:c>
      <x:c r="D356" s="10" t="str">
        <x:v>直播结束页（主播）（主播）</x:v>
      </x:c>
      <x:c r="E356" s="10" t="str">
        <x:v>功能需求</x:v>
      </x:c>
      <x:c r="F356" s="10" t="str">
        <x:v>P1</x:v>
      </x:c>
      <x:c r="G356" s="9" t="str">
        <x:v>验证结束页观看人数累计进入人次</x:v>
      </x:c>
      <x:c r="H356" s="9" t="str">
        <x:v>结束页观看口径</x:v>
      </x:c>
      <x:c r="I356" s="9" t="str">
        <x:v>1. 执行账号为所选主播对应的用户账号，已登录
2. 本场甲成功进入3次、乙1次</x:v>
      </x:c>
      <x:c r="J356" s="9" t="str">
        <x:v>1. 点击结束直播并确认
2. 查看观看人数</x:v>
      </x:c>
      <x:c r="K356" s="9" t="str">
        <x:v>观看人数为4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来源（当前证据）：liveshow-proto/MainBasis/统一需求文档.md；位置：live-end-host.html
2. 规则：BR-A1C07AFC06038E
3. 未动态验证</x:v>
      </x:c>
    </x:row>
    <x:row r="357" ht="85" customHeight="1">
      <x:c r="A357" s="10" t="n">
        <x:v>356</x:v>
      </x:c>
      <x:c r="B357" s="10" t="str">
        <x:v>USER-0356</x:v>
      </x:c>
      <x:c r="C357" s="10" t="str">
        <x:v>直播模块</x:v>
      </x:c>
      <x:c r="D357" s="10" t="str">
        <x:v>直播结束页（主播）（主播）</x:v>
      </x:c>
      <x:c r="E357" s="10" t="str">
        <x:v>功能需求</x:v>
      </x:c>
      <x:c r="F357" s="10" t="str">
        <x:v>P1</x:v>
      </x:c>
      <x:c r="G357" s="9" t="str">
        <x:v>验证结束页收益排除虚拟赠礼</x:v>
      </x:c>
      <x:c r="H357" s="9" t="str">
        <x:v>结束页收益口径</x:v>
      </x:c>
      <x:c r="I357" s="9" t="str">
        <x:v>1. 执行账号为所选主播对应的用户账号，已登录
2. 本场普通真实礼物100，幸运价值1000且比例1%，虚拟礼物1000</x:v>
      </x:c>
      <x:c r="J357" s="9" t="str">
        <x:v>1. 点击结束直播并确认
2. 查看本场收益</x:v>
      </x:c>
      <x:c r="K357" s="9" t="str">
        <x:v>本场收益为110金币</x:v>
      </x:c>
      <x:c r="L357" s="10" t="str">
        <x:v>FLOW-3751662B</x:v>
      </x:c>
      <x:c r="M357" s="10" t="str">
        <x:v>未测</x:v>
      </x:c>
      <x:c r="N357" s="10" t="str"/>
      <x:c r="O357" s="9" t="str">
        <x:v>1. 来源（当前证据）：liveshow-proto/MainBasis/统一需求文档.md；位置：live-end-host.html
2. 规则：BR-B1CA84679865BB
3. 未动态验证</x:v>
      </x:c>
    </x:row>
    <x:row r="358" ht="85" customHeight="1">
      <x:c r="A358" s="10" t="n">
        <x:v>357</x:v>
      </x:c>
      <x:c r="B358" s="10" t="str">
        <x:v>USER-0357</x:v>
      </x:c>
      <x:c r="C358" s="10" t="str">
        <x:v>直播模块</x:v>
      </x:c>
      <x:c r="D358" s="10" t="str">
        <x:v>直播结束页（主播）（主播）</x:v>
      </x:c>
      <x:c r="E358" s="10" t="str">
        <x:v>功能需求</x:v>
      </x:c>
      <x:c r="F358" s="10" t="str">
        <x:v>P1</x:v>
      </x:c>
      <x:c r="G358" s="9" t="str">
        <x:v>验证主播从结束页返回中心</x:v>
      </x:c>
      <x:c r="H358" s="9" t="str">
        <x:v>结束页返回</x:v>
      </x:c>
      <x:c r="I358" s="9" t="str">
        <x:v>1. 执行账号为所选主播对应的用户账号，已登录</x:v>
      </x:c>
      <x:c r="J358" s="9" t="str">
        <x:v>1. 点击结束直播并确认
2. 点击返回主播中心</x:v>
      </x:c>
      <x:c r="K358" s="9" t="str">
        <x:v>进入主播中心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来源（当前证据）：liveshow-proto/MainBasis/统一需求文档.md；位置：live-end-host.html
2. 规则：BR-97F7E5587806EE
3. 未动态验证</x:v>
      </x:c>
    </x:row>
    <x:row r="359" ht="85" customHeight="1">
      <x:c r="A359" s="10" t="n">
        <x:v>358</x:v>
      </x:c>
      <x:c r="B359" s="10" t="str">
        <x:v>USER-0358</x:v>
      </x:c>
      <x:c r="C359" s="10" t="str">
        <x:v>直播模块</x:v>
      </x:c>
      <x:c r="D359" s="10" t="str">
        <x:v>重点观众（主播）</x:v>
      </x:c>
      <x:c r="E359" s="10" t="str">
        <x:v>功能需求</x:v>
      </x:c>
      <x:c r="F359" s="10" t="str">
        <x:v>P1</x:v>
      </x:c>
      <x:c r="G359" s="9" t="str">
        <x:v>验证离线用户移出重点观众</x:v>
      </x:c>
      <x:c r="H359" s="9" t="str">
        <x:v>重点观众实时性</x:v>
      </x:c>
      <x:c r="I359" s="9" t="str">
        <x:v>1. 执行账号为所选主播对应的用户账号，已登录
2. 甲原在重点观众列表，刚退出当前直播</x:v>
      </x:c>
      <x:c r="J359" s="9" t="str">
        <x:v>1. 在当前直播打开重点观众
2. 刷新重点观众</x:v>
      </x:c>
      <x:c r="K359" s="9" t="str">
        <x:v>列表不再包含甲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来源（当前证据）：liveshow-proto/MainBasis/统一需求文档.md；位置：views/live-room-host/focus-viewers.html
2. 规则：BR-A4A93E899B6273
3. 未动态验证</x:v>
      </x:c>
    </x:row>
    <x:row r="360" ht="85" customHeight="1">
      <x:c r="A360" s="10" t="n">
        <x:v>359</x:v>
      </x:c>
      <x:c r="B360" s="10" t="str">
        <x:v>USER-0359</x:v>
      </x:c>
      <x:c r="C360" s="10" t="str">
        <x:v>直播模块</x:v>
      </x:c>
      <x:c r="D360" s="10" t="str">
        <x:v>重点观众（主播）</x:v>
      </x:c>
      <x:c r="E360" s="10" t="str">
        <x:v>功能需求</x:v>
      </x:c>
      <x:c r="F360" s="10" t="str">
        <x:v>P1</x:v>
      </x:c>
      <x:c r="G360" s="9" t="str">
        <x:v>验证重点标签可以同时命中</x:v>
      </x:c>
      <x:c r="H360" s="9" t="str">
        <x:v>标签独立性</x:v>
      </x:c>
      <x:c r="I360" s="9" t="str">
        <x:v>1. 执行账号为所选主播对应的用户账号，已登录
2. 甲为新粉丝且本场贡献最高、未入团</x:v>
      </x:c>
      <x:c r="J360" s="9" t="str">
        <x:v>1. 在当前直播打开重点观众
2. 查看甲的重点标签</x:v>
      </x:c>
      <x:c r="K360" s="9" t="str">
        <x:v>甲同时具有新粉丝、本场贡献最高及未加入粉丝团三种标签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来源（当前证据）：liveshow-proto/MainBasis/统一需求文档.md；位置：views/live-room-host/focus-viewers.html
2. 规则：BR-04E2045DB82C93
3. 未动态验证</x:v>
      </x:c>
    </x:row>
    <x:row r="361" ht="85" customHeight="1">
      <x:c r="A361" s="10" t="n">
        <x:v>360</x:v>
      </x:c>
      <x:c r="B361" s="10" t="str">
        <x:v>USER-0360</x:v>
      </x:c>
      <x:c r="C361" s="10" t="str">
        <x:v>直播模块</x:v>
      </x:c>
      <x:c r="D361" s="10" t="str">
        <x:v>本场贡献-收到礼物（观众）</x:v>
      </x:c>
      <x:c r="E361" s="10" t="str">
        <x:v>功能需求</x:v>
      </x:c>
      <x:c r="F361" s="10" t="str">
        <x:v>P1</x:v>
      </x:c>
      <x:c r="G361" s="9" t="str">
        <x:v>验证收到礼物仅统计本场成功赠送</x:v>
      </x:c>
      <x:c r="H361" s="9" t="str">
        <x:v>场次礼物范围</x:v>
      </x:c>
      <x:c r="I361" s="9" t="str">
        <x:v>1. 用户账号可用且已登录
2. 本场成功玫瑰3件，失败2件，上一场成功5件</x:v>
      </x:c>
      <x:c r="J361" s="9" t="str">
        <x:v>1. 进入海风直播间
2. 打开本场贡献
3. 切换收到礼物
4. 查看玫瑰数量</x:v>
      </x:c>
      <x:c r="K361" s="9" t="str">
        <x:v>数量为3</x:v>
      </x:c>
      <x:c r="L361" s="10" t="str">
        <x:v>FLOW-A1501E68</x:v>
      </x:c>
      <x:c r="M361" s="10" t="str">
        <x:v>未测</x:v>
      </x:c>
      <x:c r="N361" s="10" t="str"/>
      <x:c r="O361" s="9" t="str">
        <x:v>1. 来源（当前证据）：liveshow-proto/MainBasis/统一需求文档.md；位置：views/live-room/contribution-gifts.html
2. 规则：BR-E013877F9C2994
3. 未动态验证</x:v>
      </x:c>
    </x:row>
    <x:row r="362" ht="85" customHeight="1">
      <x:c r="A362" s="10" t="n">
        <x:v>361</x:v>
      </x:c>
      <x:c r="B362" s="10" t="str">
        <x:v>USER-0361</x:v>
      </x:c>
      <x:c r="C362" s="10" t="str">
        <x:v>直播模块</x:v>
      </x:c>
      <x:c r="D362" s="10" t="str">
        <x:v>本场贡献-收到礼物（观众）</x:v>
      </x:c>
      <x:c r="E362" s="10" t="str">
        <x:v>功能需求</x:v>
      </x:c>
      <x:c r="F362" s="10" t="str">
        <x:v>P1</x:v>
      </x:c>
      <x:c r="G362" s="9" t="str">
        <x:v>验证幸运贡献不因返奖减少</x:v>
      </x:c>
      <x:c r="H362" s="9" t="str">
        <x:v>本场幸运贡献</x:v>
      </x:c>
      <x:c r="I362" s="9" t="str">
        <x:v>1. 用户账号可用且已登录
2. 本场成功幸运礼物价值100、返奖150</x:v>
      </x:c>
      <x:c r="J362" s="9" t="str">
        <x:v>1. 进入海风直播间
2. 打开本场贡献
3. 切换收到礼物
4. 查看贡献值</x:v>
      </x:c>
      <x:c r="K362" s="9" t="str">
        <x:v>贡献值为100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来源（当前证据）：liveshow-proto/MainBasis/统一需求文档.md；位置：views/live-room/contribution-gifts.html
2. 规则：BR-776441C29EF0DB
3. 未动态验证</x:v>
      </x:c>
    </x:row>
    <x:row r="363" ht="85" customHeight="1">
      <x:c r="A363" s="10" t="n">
        <x:v>362</x:v>
      </x:c>
      <x:c r="B363" s="10" t="str">
        <x:v>USER-0362</x:v>
      </x:c>
      <x:c r="C363" s="10" t="str">
        <x:v>直播模块</x:v>
      </x:c>
      <x:c r="D363" s="10" t="str">
        <x:v>本场贡献-贡献榜（观众）</x:v>
      </x:c>
      <x:c r="E363" s="10" t="str">
        <x:v>功能需求</x:v>
      </x:c>
      <x:c r="F363" s="10" t="str">
        <x:v>P1</x:v>
      </x:c>
      <x:c r="G363" s="9" t="str">
        <x:v>验证本场贡献不混入历史场次</x:v>
      </x:c>
      <x:c r="H363" s="9" t="str">
        <x:v>贡献场次隔离</x:v>
      </x:c>
      <x:c r="I363" s="9" t="str">
        <x:v>1. 用户账号可用且已登录
2. 甲本场贡献100、上场贡献1000</x:v>
      </x:c>
      <x:c r="J363" s="9" t="str">
        <x:v>1. 在当前场次打开本场贡献榜
2. 查看甲本场贡献</x:v>
      </x:c>
      <x:c r="K363" s="9" t="str">
        <x:v>本场贡献为100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来源（当前证据）：liveshow-proto/MainBasis/统一需求文档.md；位置：views/live-room/contribution-rank.html
2. 规则：BR-E5954E504CA7ED
3. 未动态验证</x:v>
      </x:c>
    </x:row>
    <x:row r="364" ht="85" customHeight="1">
      <x:c r="A364" s="10" t="n">
        <x:v>363</x:v>
      </x:c>
      <x:c r="B364" s="10" t="str">
        <x:v>USER-0363</x:v>
      </x:c>
      <x:c r="C364" s="10" t="str">
        <x:v>直播模块</x:v>
      </x:c>
      <x:c r="D364" s="10" t="str">
        <x:v>本场贡献-贡献榜（主播）</x:v>
      </x:c>
      <x:c r="E364" s="10" t="str">
        <x:v>功能需求</x:v>
      </x:c>
      <x:c r="F364" s="10" t="str">
        <x:v>P1</x:v>
      </x:c>
      <x:c r="G364" s="9" t="str">
        <x:v>验证本场贡献不混入历史场次</x:v>
      </x:c>
      <x:c r="H364" s="9" t="str">
        <x:v>贡献场次隔离</x:v>
      </x:c>
      <x:c r="I364" s="9" t="str">
        <x:v>1. 执行账号为所选主播对应的用户账号，已登录
2. 甲本场贡献100、上场贡献1000</x:v>
      </x:c>
      <x:c r="J364" s="9" t="str">
        <x:v>1. 在当前场次打开本场贡献榜
2. 查看甲本场贡献</x:v>
      </x:c>
      <x:c r="K364" s="9" t="str">
        <x:v>本场贡献为100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来源（当前证据）：liveshow-proto/MainBasis/统一需求文档.md；位置：views/live-room-host/contribution-rank.html
2. 规则：BR-46A9692D7395FB
3. 未动态验证</x:v>
      </x:c>
    </x:row>
    <x:row r="365" ht="85" customHeight="1">
      <x:c r="A365" s="10" t="n">
        <x:v>364</x:v>
      </x:c>
      <x:c r="B365" s="10" t="str">
        <x:v>USER-0364</x:v>
      </x:c>
      <x:c r="C365" s="10" t="str">
        <x:v>直播模块</x:v>
      </x:c>
      <x:c r="D365" s="10" t="str">
        <x:v>在线观众-观众列表（观众）</x:v>
      </x:c>
      <x:c r="E365" s="10" t="str">
        <x:v>功能需求</x:v>
      </x:c>
      <x:c r="F365" s="10" t="str">
        <x:v>P1</x:v>
      </x:c>
      <x:c r="G365" s="9" t="str">
        <x:v>验证离房用户从在线观众消失</x:v>
      </x:c>
      <x:c r="H365" s="9" t="str">
        <x:v>在线范围</x:v>
      </x:c>
      <x:c r="I365" s="9" t="str">
        <x:v>1. 用户账号可用且已登录
2. 甲刚离开本场，乙仍在线</x:v>
      </x:c>
      <x:c r="J365" s="9" t="str">
        <x:v>1. 进入当前场次在线观众列表
2. 刷新在线观众</x:v>
      </x:c>
      <x:c r="K365" s="9" t="str">
        <x:v>列表不包含甲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来源（当前证据）：liveshow-proto/MainBasis/统一需求文档.md；位置：views/live-room/audience-online.html
2. 规则：BR-D9B107C7A09B21
3. 未动态验证</x:v>
      </x:c>
    </x:row>
    <x:row r="366" ht="85" customHeight="1">
      <x:c r="A366" s="10" t="n">
        <x:v>365</x:v>
      </x:c>
      <x:c r="B366" s="10" t="str">
        <x:v>USER-0365</x:v>
      </x:c>
      <x:c r="C366" s="10" t="str">
        <x:v>直播模块</x:v>
      </x:c>
      <x:c r="D366" s="10" t="str">
        <x:v>在线观众-观众列表（主播）</x:v>
      </x:c>
      <x:c r="E366" s="10" t="str">
        <x:v>功能需求</x:v>
      </x:c>
      <x:c r="F366" s="10" t="str">
        <x:v>P1</x:v>
      </x:c>
      <x:c r="G366" s="9" t="str">
        <x:v>验证离房用户从在线观众消失</x:v>
      </x:c>
      <x:c r="H366" s="9" t="str">
        <x:v>在线范围</x:v>
      </x:c>
      <x:c r="I366" s="9" t="str">
        <x:v>1. 执行账号为所选主播对应的用户账号，已登录
2. 甲刚离开本场，乙仍在线</x:v>
      </x:c>
      <x:c r="J366" s="9" t="str">
        <x:v>1. 进入当前场次在线观众列表
2. 刷新在线观众</x:v>
      </x:c>
      <x:c r="K366" s="9" t="str">
        <x:v>列表不包含甲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来源（当前证据）：liveshow-proto/MainBasis/统一需求文档.md；位置：views/live-room-host/audience-viewers.html
2. 规则：BR-3D6F7D1841275A
3. 未动态验证</x:v>
      </x:c>
    </x:row>
    <x:row r="367" ht="85" customHeight="1">
      <x:c r="A367" s="10" t="n">
        <x:v>366</x:v>
      </x:c>
      <x:c r="B367" s="10" t="str">
        <x:v>USER-0366</x:v>
      </x:c>
      <x:c r="C367" s="10" t="str">
        <x:v>直播模块</x:v>
      </x:c>
      <x:c r="D367" s="10" t="str">
        <x:v>在线观众-房管列表（观众）</x:v>
      </x:c>
      <x:c r="E367" s="10" t="str">
        <x:v>功能需求</x:v>
      </x:c>
      <x:c r="F367" s="10" t="str">
        <x:v>P1</x:v>
      </x:c>
      <x:c r="G367" s="9" t="str">
        <x:v>验证仅展示当前主播有效房管</x:v>
      </x:c>
      <x:c r="H367" s="9" t="str">
        <x:v>房管归属</x:v>
      </x:c>
      <x:c r="I367" s="9" t="str">
        <x:v>1. 用户账号可用且已登录
2. 海风当前有效房管为甲，乙为另一主播的房管</x:v>
      </x:c>
      <x:c r="J367" s="9" t="str">
        <x:v>1. 进入直播间在线观众
2. 切换房管列表
3. 查看列表</x:v>
      </x:c>
      <x:c r="K367" s="9" t="str">
        <x:v>列表不包含乙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来源（当前证据）：liveshow-proto/MainBasis/统一需求文档.md；位置：views/live-room/audience-managers.html
2. 规则：BR-99FEBAE9A00A54
3. 未动态验证</x:v>
      </x:c>
    </x:row>
    <x:row r="368" ht="85" customHeight="1">
      <x:c r="A368" s="10" t="n">
        <x:v>367</x:v>
      </x:c>
      <x:c r="B368" s="10" t="str">
        <x:v>USER-0367</x:v>
      </x:c>
      <x:c r="C368" s="10" t="str">
        <x:v>直播模块</x:v>
      </x:c>
      <x:c r="D368" s="10" t="str">
        <x:v>禁用用户（主播）</x:v>
      </x:c>
      <x:c r="E368" s="10" t="str">
        <x:v>功能需求</x:v>
      </x:c>
      <x:c r="F368" s="10" t="str">
        <x:v>P1</x:v>
      </x:c>
      <x:c r="G368" s="9" t="str">
        <x:v>验证本场禁言用户列表范围</x:v>
      </x:c>
      <x:c r="H368" s="9" t="str">
        <x:v>禁言列表</x:v>
      </x:c>
      <x:c r="I368" s="9" t="str">
        <x:v>1. 执行账号为所选主播对应的用户账号，已登录
2. 甲在本场被禁言，乙仅在上一场被禁言</x:v>
      </x:c>
      <x:c r="J368" s="9" t="str">
        <x:v>1. 在自己直播间打开禁用用户
2. 查看列表</x:v>
      </x:c>
      <x:c r="K368" s="9" t="str">
        <x:v>列表包含甲，不包含乙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来源（当前证据）：liveshow-proto/MainBasis/统一需求文档.md；位置：views/live-room-host/muted-users.html
2. 规则：BR-9AE3DD0FB0B5E9
3. 未动态验证</x:v>
      </x:c>
    </x:row>
    <x:row r="369" ht="100" customHeight="1">
      <x:c r="A369" s="10" t="n">
        <x:v>368</x:v>
      </x:c>
      <x:c r="B369" s="10" t="str">
        <x:v>USER-0368</x:v>
      </x:c>
      <x:c r="C369" s="10" t="str">
        <x:v>直播模块</x:v>
      </x:c>
      <x:c r="D369" s="10" t="str">
        <x:v>恢复发言确认（主播）</x:v>
      </x:c>
      <x:c r="E369" s="10" t="str">
        <x:v>功能需求</x:v>
      </x:c>
      <x:c r="F369" s="10" t="str">
        <x:v>P1</x:v>
      </x:c>
      <x:c r="G369" s="9" t="str">
        <x:v>验证取消恢复保留禁言</x:v>
      </x:c>
      <x:c r="H369" s="9" t="str">
        <x:v>恢复发言中断</x:v>
      </x:c>
      <x:c r="I369" s="9" t="str">
        <x:v>1. 执行账号为所选主播对应的用户账号，已登录
2. 甲目前在本场禁言</x:v>
      </x:c>
      <x:c r="J369" s="9" t="str">
        <x:v>1. 在本场禁用用户列表选择甲恢复发言
2. 点击取消</x:v>
      </x:c>
      <x:c r="K369" s="9" t="str">
        <x:v>甲仍处于本场禁言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来源（当前证据）：liveshow-proto/MainBasis/统一需求文档.md；位置：views/live-room-host/restore-speaking-confirm.html
2. 规则：BR-CED4A3A55E6020
3. 未动态验证</x:v>
      </x:c>
    </x:row>
    <x:row r="370" ht="100" customHeight="1">
      <x:c r="A370" s="10" t="n">
        <x:v>369</x:v>
      </x:c>
      <x:c r="B370" s="10" t="str">
        <x:v>USER-0369</x:v>
      </x:c>
      <x:c r="C370" s="10" t="str">
        <x:v>直播模块</x:v>
      </x:c>
      <x:c r="D370" s="10" t="str">
        <x:v>恢复发言确认（主播）</x:v>
      </x:c>
      <x:c r="E370" s="10" t="str">
        <x:v>功能需求</x:v>
      </x:c>
      <x:c r="F370" s="10" t="str">
        <x:v>P1</x:v>
      </x:c>
      <x:c r="G370" s="9" t="str">
        <x:v>验证确认恢复解除本场禁言</x:v>
      </x:c>
      <x:c r="H370" s="9" t="str">
        <x:v>恢复发言成功</x:v>
      </x:c>
      <x:c r="I370" s="9" t="str">
        <x:v>1. 执行账号为所选主播对应的用户账号，已登录
2. 甲目前在本场禁言</x:v>
      </x:c>
      <x:c r="J370" s="9" t="str">
        <x:v>1. 在本场禁用用户列表选择甲恢复发言
2. 点击确认</x:v>
      </x:c>
      <x:c r="K370" s="9" t="str">
        <x:v>甲的本场禁言解除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来源（当前证据）：liveshow-proto/MainBasis/统一需求文档.md；位置：views/live-room-host/restore-speaking-confirm.html
2. 规则：BR-D0007B5FDCD809
3. 未动态验证</x:v>
      </x:c>
    </x:row>
    <x:row r="371" ht="85" customHeight="1">
      <x:c r="A371" s="10" t="n">
        <x:v>370</x:v>
      </x:c>
      <x:c r="B371" s="10" t="str">
        <x:v>USER-0370</x:v>
      </x:c>
      <x:c r="C371" s="10" t="str">
        <x:v>直播模块</x:v>
      </x:c>
      <x:c r="D371" s="10" t="str">
        <x:v>被拉黑或踢出-访问受限（观众）</x:v>
      </x:c>
      <x:c r="E371" s="10" t="str">
        <x:v>功能需求</x:v>
      </x:c>
      <x:c r="F371" s="10" t="str">
        <x:v>P1</x:v>
      </x:c>
      <x:c r="G371" s="9" t="str">
        <x:v>验证踢出状态阻止本场再次进入</x:v>
      </x:c>
      <x:c r="H371" s="9" t="str">
        <x:v>本场踢出准入</x:v>
      </x:c>
      <x:c r="I371" s="9" t="str">
        <x:v>1. 用户账号可用且已登录
2. 当前用户刚被该主播踢出本场</x:v>
      </x:c>
      <x:c r="J371" s="9" t="str">
        <x:v>1. 打开目标直播间
2. 重新进入本场</x:v>
      </x:c>
      <x:c r="K371" s="9" t="str">
        <x:v>无法观看本场直播内容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来源（当前证据）：liveshow-proto/MainBasis/统一需求文档.md；位置：views/live-room/blocked-room-restricted.html
2. 规则：BR-3F56323733E37F
3. 未动态验证</x:v>
      </x:c>
    </x:row>
    <x:row r="372" ht="85" customHeight="1">
      <x:c r="A372" s="10" t="n">
        <x:v>371</x:v>
      </x:c>
      <x:c r="B372" s="10" t="str">
        <x:v>USER-0371</x:v>
      </x:c>
      <x:c r="C372" s="10" t="str">
        <x:v>直播模块</x:v>
      </x:c>
      <x:c r="D372" s="10" t="str">
        <x:v>被拉黑或踢出-访问受限（观众）</x:v>
      </x:c>
      <x:c r="E372" s="10" t="str">
        <x:v>功能需求</x:v>
      </x:c>
      <x:c r="F372" s="10" t="str">
        <x:v>P1</x:v>
      </x:c>
      <x:c r="G372" s="9" t="str">
        <x:v>验证“返回”导航到指定页面</x:v>
      </x:c>
      <x:c r="H372" s="9" t="str">
        <x:v>页面导航</x:v>
      </x:c>
      <x:c r="I372" s="9" t="str">
        <x:v>1. 观众已登录且拥有被拉黑或踢出-访问受限访问权限</x:v>
      </x:c>
      <x:c r="J372" s="9" t="str">
        <x:v>1. 进入被拉黑或踢出-访问受限
2. 点击“返回”</x:v>
      </x:c>
      <x:c r="K372" s="9" t="str">
        <x:v>回到来源页，无来源时返回首页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来源（当前证据）：liveshow-proto/MainBasis/统一需求文档.md；位置：views/live-room/blocked-room-restricted.html
2. 规则：BR-3193BB48F19601
3. 未动态验证</x:v>
      </x:c>
    </x:row>
    <x:row r="373" ht="85" customHeight="1">
      <x:c r="A373" s="10" t="n">
        <x:v>372</x:v>
      </x:c>
      <x:c r="B373" s="10" t="str">
        <x:v>USER-0372</x:v>
      </x:c>
      <x:c r="C373" s="10" t="str">
        <x:v>直播模块</x:v>
      </x:c>
      <x:c r="D373" s="10" t="str">
        <x:v>在线观众-观众列表（观众）</x:v>
      </x:c>
      <x:c r="E373" s="10" t="str">
        <x:v>功能需求</x:v>
      </x:c>
      <x:c r="F373" s="10" t="str">
        <x:v>P1</x:v>
      </x:c>
      <x:c r="G373" s="9" t="str">
        <x:v>验证用户导航到指定页面</x:v>
      </x:c>
      <x:c r="H373" s="9" t="str">
        <x:v>页面导航</x:v>
      </x:c>
      <x:c r="I373" s="9" t="str">
        <x:v>1. 观众已登录且拥有在线观众-观众列表访问权限
2. 本页存在可点击的目标记录；目标仍有效且属于当前账号可见范围</x:v>
      </x:c>
      <x:c r="J373" s="9" t="str">
        <x:v>1. 进入在线观众-观众列表
2. 点击用户</x:v>
      </x:c>
      <x:c r="K373" s="9" t="str">
        <x:v>打开对应资料卡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来源（当前证据）：liveshow-proto/MainBasis/统一需求文档.md；位置：views/live-room/audience-online.html
2. 规则：BR-6E502273305886
3. 未动态验证</x:v>
      </x:c>
    </x:row>
    <x:row r="374" ht="85" customHeight="1">
      <x:c r="A374" s="10" t="n">
        <x:v>373</x:v>
      </x:c>
      <x:c r="B374" s="10" t="str">
        <x:v>USER-0373</x:v>
      </x:c>
      <x:c r="C374" s="10" t="str">
        <x:v>直播模块</x:v>
      </x:c>
      <x:c r="D374" s="10" t="str">
        <x:v>用户资料卡-普通观众（观众）</x:v>
      </x:c>
      <x:c r="E374" s="10" t="str">
        <x:v>功能需求</x:v>
      </x:c>
      <x:c r="F374" s="10" t="str">
        <x:v>P1</x:v>
      </x:c>
      <x:c r="G374" s="9" t="str">
        <x:v>验证主页导航到指定页面</x:v>
      </x:c>
      <x:c r="H374" s="9" t="str">
        <x:v>页面导航</x:v>
      </x:c>
      <x:c r="I374" s="9" t="str">
        <x:v>1. 观众已登录且拥有用户资料卡-普通观众访问权限</x:v>
      </x:c>
      <x:c r="J374" s="9" t="str">
        <x:v>1. 进入用户资料卡-普通观众
2. 点击主页</x:v>
      </x:c>
      <x:c r="K374" s="9" t="str">
        <x:v>进入该用户主页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来源（当前证据）：liveshow-proto/MainBasis/统一需求文档.md；位置：views/live-room/profile-viewer.html
2. 规则：BR-1A56A1A566E48E
3. 未动态验证</x:v>
      </x:c>
    </x:row>
    <x:row r="375" ht="85" customHeight="1">
      <x:c r="A375" s="10" t="n">
        <x:v>374</x:v>
      </x:c>
      <x:c r="B375" s="10" t="str">
        <x:v>USER-0374</x:v>
      </x:c>
      <x:c r="C375" s="10" t="str">
        <x:v>直播模块</x:v>
      </x:c>
      <x:c r="D375" s="10" t="str">
        <x:v>本场贡献-贡献榜（观众）</x:v>
      </x:c>
      <x:c r="E375" s="10" t="str">
        <x:v>功能需求</x:v>
      </x:c>
      <x:c r="F375" s="10" t="str">
        <x:v>P1</x:v>
      </x:c>
      <x:c r="G375" s="9" t="str">
        <x:v>验证用户导航到指定页面</x:v>
      </x:c>
      <x:c r="H375" s="9" t="str">
        <x:v>页面导航</x:v>
      </x:c>
      <x:c r="I375" s="9" t="str">
        <x:v>1. 观众已登录且拥有本场贡献-贡献榜访问权限
2. 本页存在可点击的目标记录；目标仍有效且属于当前账号可见范围</x:v>
      </x:c>
      <x:c r="J375" s="9" t="str">
        <x:v>1. 进入本场贡献-贡献榜
2. 点击用户</x:v>
      </x:c>
      <x:c r="K375" s="9" t="str">
        <x:v>打开用户资料卡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来源（当前证据）：liveshow-proto/MainBasis/统一需求文档.md；位置：views/live-room/contribution-rank.html
2. 规则：BR-7F6652927E10E7
3. 未动态验证</x:v>
      </x:c>
    </x:row>
    <x:row r="376" ht="85" customHeight="1">
      <x:c r="A376" s="10" t="n">
        <x:v>375</x:v>
      </x:c>
      <x:c r="B376" s="10" t="str">
        <x:v>USER-0375</x:v>
      </x:c>
      <x:c r="C376" s="10" t="str">
        <x:v>直播模块</x:v>
      </x:c>
      <x:c r="D376" s="10" t="str">
        <x:v>本场贡献-收到礼物（观众）</x:v>
      </x:c>
      <x:c r="E376" s="10" t="str">
        <x:v>功能需求</x:v>
      </x:c>
      <x:c r="F376" s="10" t="str">
        <x:v>P1</x:v>
      </x:c>
      <x:c r="G376" s="9" t="str">
        <x:v>验证赠送用户导航到指定页面</x:v>
      </x:c>
      <x:c r="H376" s="9" t="str">
        <x:v>页面导航</x:v>
      </x:c>
      <x:c r="I376" s="9" t="str">
        <x:v>1. 观众已登录且拥有本场贡献-收到礼物访问权限
2. 本页存在可点击的目标记录；目标仍有效且属于当前账号可见范围</x:v>
      </x:c>
      <x:c r="J376" s="9" t="str">
        <x:v>1. 进入本场贡献-收到礼物
2. 点击赠送用户</x:v>
      </x:c>
      <x:c r="K376" s="9" t="str">
        <x:v>打开用户资料卡</x:v>
      </x:c>
      <x:c r="L376" s="10" t="str">
        <x:v>FLOW-A1501E68</x:v>
      </x:c>
      <x:c r="M376" s="10" t="str">
        <x:v>未测</x:v>
      </x:c>
      <x:c r="N376" s="10" t="str"/>
      <x:c r="O376" s="9" t="str">
        <x:v>1. 来源（当前证据）：liveshow-proto/MainBasis/统一需求文档.md；位置：views/live-room/contribution-gifts.html
2. 规则：BR-847A1116BCE58B
3. 未动态验证</x:v>
      </x:c>
    </x:row>
    <x:row r="377" ht="85" customHeight="1">
      <x:c r="A377" s="10" t="n">
        <x:v>376</x:v>
      </x:c>
      <x:c r="B377" s="10" t="str">
        <x:v>USER-0376</x:v>
      </x:c>
      <x:c r="C377" s="10" t="str">
        <x:v>直播模块</x:v>
      </x:c>
      <x:c r="D377" s="10" t="str">
        <x:v>本场贡献-贡献榜（主播）</x:v>
      </x:c>
      <x:c r="E377" s="10" t="str">
        <x:v>功能需求</x:v>
      </x:c>
      <x:c r="F377" s="10" t="str">
        <x:v>P1</x:v>
      </x:c>
      <x:c r="G377" s="9" t="str">
        <x:v>验证用户导航到指定页面</x:v>
      </x:c>
      <x:c r="H377" s="9" t="str">
        <x:v>页面导航</x:v>
      </x:c>
      <x:c r="I377" s="9" t="str">
        <x:v>1. 主播已登录且拥有本场贡献-贡献榜访问权限
2. 本页存在可点击的目标记录；目标仍有效且属于当前账号可见范围</x:v>
      </x:c>
      <x:c r="J377" s="9" t="str">
        <x:v>1. 进入本场贡献-贡献榜
2. 点击用户</x:v>
      </x:c>
      <x:c r="K377" s="9" t="str">
        <x:v>打开主播权限资料卡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来源（当前证据）：liveshow-proto/MainBasis/统一需求文档.md；位置：views/live-room-host/contribution-rank.html
2. 规则：BR-62180B3850DF35
3. 未动态验证</x:v>
      </x:c>
    </x:row>
    <x:row r="378" ht="85" customHeight="1">
      <x:c r="A378" s="10" t="n">
        <x:v>377</x:v>
      </x:c>
      <x:c r="B378" s="10" t="str">
        <x:v>USER-0377</x:v>
      </x:c>
      <x:c r="C378" s="10" t="str">
        <x:v>直播模块</x:v>
      </x:c>
      <x:c r="D378" s="10" t="str">
        <x:v>在线观众-观众列表（主播）</x:v>
      </x:c>
      <x:c r="E378" s="10" t="str">
        <x:v>功能需求</x:v>
      </x:c>
      <x:c r="F378" s="10" t="str">
        <x:v>P1</x:v>
      </x:c>
      <x:c r="G378" s="9" t="str">
        <x:v>验证私信导航到指定页面</x:v>
      </x:c>
      <x:c r="H378" s="9" t="str">
        <x:v>页面导航</x:v>
      </x:c>
      <x:c r="I378" s="9" t="str">
        <x:v>1. 主播已登录且拥有在线观众-观众列表访问权限</x:v>
      </x:c>
      <x:c r="J378" s="9" t="str">
        <x:v>1. 进入在线观众-观众列表
2. 点击私信</x:v>
      </x:c>
      <x:c r="K378" s="9" t="str">
        <x:v>进入与该用户的单聊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来源（当前证据）：liveshow-proto/MainBasis/统一需求文档.md；位置：views/live-room-host/audience-viewers.html
2. 规则：BR-3AAB2FE0ACD1CE
3. 未动态验证</x:v>
      </x:c>
    </x:row>
    <x:row r="379" ht="85" customHeight="1">
      <x:c r="A379" s="10" t="n">
        <x:v>378</x:v>
      </x:c>
      <x:c r="B379" s="10" t="str">
        <x:v>USER-0378</x:v>
      </x:c>
      <x:c r="C379" s="10" t="str">
        <x:v>直播模块</x:v>
      </x:c>
      <x:c r="D379" s="10" t="str">
        <x:v>在线观众-观众列表（主播）</x:v>
      </x:c>
      <x:c r="E379" s="10" t="str">
        <x:v>功能需求</x:v>
      </x:c>
      <x:c r="F379" s="10" t="str">
        <x:v>P1</x:v>
      </x:c>
      <x:c r="G379" s="9" t="str">
        <x:v>验证用户导航到指定页面</x:v>
      </x:c>
      <x:c r="H379" s="9" t="str">
        <x:v>页面导航</x:v>
      </x:c>
      <x:c r="I379" s="9" t="str">
        <x:v>1. 主播已登录且拥有在线观众-观众列表访问权限
2. 本页存在可点击的目标记录；目标仍有效且属于当前账号可见范围</x:v>
      </x:c>
      <x:c r="J379" s="9" t="str">
        <x:v>1. 进入在线观众-观众列表
2. 点击用户</x:v>
      </x:c>
      <x:c r="K379" s="9" t="str">
        <x:v>打开主播权限资料卡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来源（当前证据）：liveshow-proto/MainBasis/统一需求文档.md；位置：views/live-room-host/audience-viewers.html
2. 规则：BR-26B632AEC88CDF
3. 未动态验证</x:v>
      </x:c>
    </x:row>
    <x:row r="380" ht="85" customHeight="1">
      <x:c r="A380" s="10" t="n">
        <x:v>379</x:v>
      </x:c>
      <x:c r="B380" s="10" t="str">
        <x:v>USER-0379</x:v>
      </x:c>
      <x:c r="C380" s="10" t="str">
        <x:v>直播模块</x:v>
      </x:c>
      <x:c r="D380" s="10" t="str">
        <x:v>重点观众（主播）</x:v>
      </x:c>
      <x:c r="E380" s="10" t="str">
        <x:v>功能需求</x:v>
      </x:c>
      <x:c r="F380" s="10" t="str">
        <x:v>P1</x:v>
      </x:c>
      <x:c r="G380" s="9" t="str">
        <x:v>验证用户导航到指定页面</x:v>
      </x:c>
      <x:c r="H380" s="9" t="str">
        <x:v>页面导航</x:v>
      </x:c>
      <x:c r="I380" s="9" t="str">
        <x:v>1. 主播已登录且拥有重点观众访问权限
2. 本页存在可点击的目标记录；目标仍有效且属于当前账号可见范围</x:v>
      </x:c>
      <x:c r="J380" s="9" t="str">
        <x:v>1. 进入重点观众
2. 点击用户</x:v>
      </x:c>
      <x:c r="K380" s="9" t="str">
        <x:v>打开主播权限资料卡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来源（当前证据）：liveshow-proto/MainBasis/统一需求文档.md；位置：views/live-room-host/focus-viewers.html
2. 规则：BR-4AF2E73C0BBCB9
3. 未动态验证</x:v>
      </x:c>
    </x:row>
    <x:row r="381" ht="85" customHeight="1">
      <x:c r="A381" s="10" t="n">
        <x:v>380</x:v>
      </x:c>
      <x:c r="B381" s="10" t="str">
        <x:v>USER-0380</x:v>
      </x:c>
      <x:c r="C381" s="10" t="str">
        <x:v>直播模块</x:v>
      </x:c>
      <x:c r="D381" s="10" t="str">
        <x:v>收到连麦邀请（主播）</x:v>
      </x:c>
      <x:c r="E381" s="10" t="str">
        <x:v>功能需求</x:v>
      </x:c>
      <x:c r="F381" s="10" t="str">
        <x:v>P1</x:v>
      </x:c>
      <x:c r="G381" s="9" t="str">
        <x:v>验证提示导航到指定页面</x:v>
      </x:c>
      <x:c r="H381" s="9" t="str">
        <x:v>页面导航</x:v>
      </x:c>
      <x:c r="I381" s="9" t="str">
        <x:v>1. 主播已登录且拥有收到连麦邀请访问权限</x:v>
      </x:c>
      <x:c r="J381" s="9" t="str">
        <x:v>1. 进入收到连麦邀请
2. 点击提示</x:v>
      </x:c>
      <x:c r="K381" s="9" t="str">
        <x:v>打开全部待处理邀请</x:v>
      </x:c>
      <x:c r="L381" s="10" t="str">
        <x:v>FLOW-9C692968</x:v>
      </x:c>
      <x:c r="M381" s="10" t="str">
        <x:v>未测</x:v>
      </x:c>
      <x:c r="N381" s="10" t="str"/>
      <x:c r="O381" s="9" t="str">
        <x:v>1. 来源（当前证据）：liveshow-proto/MainBasis/统一需求文档.md；位置：views/live-room-host/cohost-invite-notice.html
2. 规则：BR-1FD2887EC049BA
3. 未动态验证</x:v>
      </x:c>
    </x:row>
    <x:row r="382" ht="85" customHeight="1">
      <x:c r="A382" s="10" t="n">
        <x:v>381</x:v>
      </x:c>
      <x:c r="B382" s="10" t="str">
        <x:v>USER-0381</x:v>
      </x:c>
      <x:c r="C382" s="10" t="str">
        <x:v>主播中心</x:v>
      </x:c>
      <x:c r="D382" s="10" t="str">
        <x:v>选择可见粉丝（主播）</x:v>
      </x:c>
      <x:c r="E382" s="10" t="str">
        <x:v>功能需求</x:v>
      </x:c>
      <x:c r="F382" s="10" t="str">
        <x:v>P1</x:v>
      </x:c>
      <x:c r="G382" s="9" t="str">
        <x:v>验证粉丝昵称搜索仅匹配已有关系</x:v>
      </x:c>
      <x:c r="H382" s="9" t="str">
        <x:v>关系内检索</x:v>
      </x:c>
      <x:c r="I382" s="9" t="str">
        <x:v>1. 执行账号为所选主播对应的用户账号，已登录
2. 当前关系中有海风、晨光两人，平台另有无该关系的海风账号</x:v>
      </x:c>
      <x:c r="J382" s="9" t="str">
        <x:v>1. 进入粉丝选择页
2. 输入搜索词海风</x:v>
      </x:c>
      <x:c r="K382" s="9" t="str">
        <x:v>搜索结果只包含关系内的海风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来源（当前证据）：liveshow-proto/MainBasis/统一需求文档.md；位置：visible-fan-select.html
2. 规则：BR-AAA30D82FB1343
3. 未动态验证</x:v>
      </x:c>
    </x:row>
    <x:row r="383" ht="85" customHeight="1">
      <x:c r="A383" s="10" t="n">
        <x:v>382</x:v>
      </x:c>
      <x:c r="B383" s="10" t="str">
        <x:v>USER-0382</x:v>
      </x:c>
      <x:c r="C383" s="10" t="str">
        <x:v>主播中心</x:v>
      </x:c>
      <x:c r="D383" s="10" t="str">
        <x:v>选择可见粉丝（主播）</x:v>
      </x:c>
      <x:c r="E383" s="10" t="str">
        <x:v>功能需求</x:v>
      </x:c>
      <x:c r="F383" s="10" t="str">
        <x:v>P1</x:v>
      </x:c>
      <x:c r="G383" s="9" t="str">
        <x:v>验证粉丝搜索无匹配结果</x:v>
      </x:c>
      <x:c r="H383" s="9" t="str">
        <x:v>搜索空态</x:v>
      </x:c>
      <x:c r="I383" s="9" t="str">
        <x:v>1. 执行账号为所选主播对应的用户账号，已登录
2. 当前关系中没有昵称含“远山”的账号</x:v>
      </x:c>
      <x:c r="J383" s="9" t="str">
        <x:v>1. 进入粉丝选择页
2. 输入搜索词远山</x:v>
      </x:c>
      <x:c r="K383" s="9" t="str">
        <x:v>显示无匹配结果的空状态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来源（当前证据）：liveshow-proto/MainBasis/统一需求文档.md；位置：visible-fan-select.html
2. 规则：BR-B77F357E14C7D4
3. 未动态验证</x:v>
      </x:c>
    </x:row>
    <x:row r="384" ht="85" customHeight="1">
      <x:c r="A384" s="10" t="n">
        <x:v>383</x:v>
      </x:c>
      <x:c r="B384" s="10" t="str">
        <x:v>USER-0383</x:v>
      </x:c>
      <x:c r="C384" s="10" t="str">
        <x:v>主播中心</x:v>
      </x:c>
      <x:c r="D384" s="10" t="str">
        <x:v>主播中心（主播）</x:v>
      </x:c>
      <x:c r="E384" s="10" t="str">
        <x:v>功能需求</x:v>
      </x:c>
      <x:c r="F384" s="10" t="str">
        <x:v>P1</x:v>
      </x:c>
      <x:c r="G384" s="9" t="str">
        <x:v>验证合格主播进入开播设置</x:v>
      </x:c>
      <x:c r="H384" s="9" t="str">
        <x:v>开播准备入口</x:v>
      </x:c>
      <x:c r="I384" s="9" t="str">
        <x:v>1. 执行账号为所选主播对应的用户账号，已登录
2. 账号可用、公会启用、认证通过、平台和公会均允许开播</x:v>
      </x:c>
      <x:c r="J384" s="9" t="str">
        <x:v>1. 进入主播中心
2. 点击开始直播</x:v>
      </x:c>
      <x:c r="K384" s="9" t="str">
        <x:v>进入开播设置页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来源（当前证据）：liveshow-proto/MainBasis/统一需求文档.md；位置：host-center.html
2. 规则：BR-1EC790DCF01A53
3. 未动态验证</x:v>
      </x:c>
    </x:row>
    <x:row r="385" ht="85" customHeight="1">
      <x:c r="A385" s="10" t="n">
        <x:v>384</x:v>
      </x:c>
      <x:c r="B385" s="10" t="str">
        <x:v>USER-0384</x:v>
      </x:c>
      <x:c r="C385" s="10" t="str">
        <x:v>主播中心</x:v>
      </x:c>
      <x:c r="D385" s="10" t="str">
        <x:v>主播中心（主播）</x:v>
      </x:c>
      <x:c r="E385" s="10" t="str">
        <x:v>功能需求</x:v>
      </x:c>
      <x:c r="F385" s="10" t="str">
        <x:v>P1</x:v>
      </x:c>
      <x:c r="G385" s="9" t="str">
        <x:v>验证平台关闭权限后无法进入开播</x:v>
      </x:c>
      <x:c r="H385" s="9" t="str">
        <x:v>平台开播限制</x:v>
      </x:c>
      <x:c r="I385" s="9" t="str">
        <x:v>1. 执行账号为所选主播对应的用户账号，已登录
2. 平台已关闭本主播的直播权限</x:v>
      </x:c>
      <x:c r="J385" s="9" t="str">
        <x:v>1. 进入主播中心
2. 点击开始直播</x:v>
      </x:c>
      <x:c r="K385" s="9" t="str">
        <x:v>不进入开播设置页</x:v>
      </x:c>
      <x:c r="L385" s="10" t="str">
        <x:v>FLOW-29684C4A</x:v>
      </x:c>
      <x:c r="M385" s="10" t="str">
        <x:v>未测</x:v>
      </x:c>
      <x:c r="N385" s="10" t="str"/>
      <x:c r="O385" s="9" t="str">
        <x:v>1. 来源（当前证据）：liveshow-proto/MainBasis/统一需求文档.md；位置：host-center.html、共同业务对象与规则
2. 规则：BR-8FBEF25FE08E1B
3. 未动态验证</x:v>
      </x:c>
    </x:row>
    <x:row r="386" ht="85" customHeight="1">
      <x:c r="A386" s="10" t="n">
        <x:v>385</x:v>
      </x:c>
      <x:c r="B386" s="10" t="str">
        <x:v>USER-0385</x:v>
      </x:c>
      <x:c r="C386" s="10" t="str">
        <x:v>主播中心</x:v>
      </x:c>
      <x:c r="D386" s="10" t="str">
        <x:v>开播设置（主播）</x:v>
      </x:c>
      <x:c r="E386" s="10" t="str">
        <x:v>逻辑校验</x:v>
      </x:c>
      <x:c r="F386" s="10" t="str">
        <x:v>P1</x:v>
      </x:c>
      <x:c r="G386" s="9" t="str">
        <x:v>验证直播主题长度为39时的校验</x:v>
      </x:c>
      <x:c r="H386" s="9" t="str">
        <x:v>直播主题合法边界</x:v>
      </x:c>
      <x:c r="I386" s="9" t="str">
        <x:v>1. 执行账号为所选主播对应的用户账号，已登录
2. 除直播主题外的必填项已具备合法值</x:v>
      </x:c>
      <x:c r="J386" s="9" t="str">
        <x:v>1. 进入开播设置
2. 清空直播主题
3. 输入直播主题为39 个“测”字符</x:v>
      </x:c>
      <x:c r="K386" s="9" t="str">
        <x:v>直播主题接受本次39 字符输入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来源（当前证据）：liveshow-proto/MainBasis/统一需求文档.md；位置：start-live-settings.html
2. 规则：BR-08992CB3D035C6
3. 未动态验证</x:v>
      </x:c>
    </x:row>
    <x:row r="387" ht="85" customHeight="1">
      <x:c r="A387" s="10" t="n">
        <x:v>386</x:v>
      </x:c>
      <x:c r="B387" s="10" t="str">
        <x:v>USER-0386</x:v>
      </x:c>
      <x:c r="C387" s="10" t="str">
        <x:v>主播中心</x:v>
      </x:c>
      <x:c r="D387" s="10" t="str">
        <x:v>开播设置（主播）</x:v>
      </x:c>
      <x:c r="E387" s="10" t="str">
        <x:v>逻辑校验</x:v>
      </x:c>
      <x:c r="F387" s="10" t="str">
        <x:v>P1</x:v>
      </x:c>
      <x:c r="G387" s="9" t="str">
        <x:v>验证直播主题长度为40时的校验</x:v>
      </x:c>
      <x:c r="H387" s="9" t="str">
        <x:v>直播主题合法边界</x:v>
      </x:c>
      <x:c r="I387" s="9" t="str">
        <x:v>1. 执行账号为所选主播对应的用户账号，已登录
2. 除直播主题外的必填项已具备合法值</x:v>
      </x:c>
      <x:c r="J387" s="9" t="str">
        <x:v>1. 进入开播设置
2. 清空直播主题
3. 输入直播主题为40 个“测”字符</x:v>
      </x:c>
      <x:c r="K387" s="9" t="str">
        <x:v>直播主题接受本次40 字符输入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来源（当前证据）：liveshow-proto/MainBasis/统一需求文档.md；位置：start-live-settings.html
2. 规则：BR-DCC613862E2D85
3. 未动态验证</x:v>
      </x:c>
    </x:row>
    <x:row r="388" ht="85" customHeight="1">
      <x:c r="A388" s="10" t="n">
        <x:v>387</x:v>
      </x:c>
      <x:c r="B388" s="10" t="str">
        <x:v>USER-0387</x:v>
      </x:c>
      <x:c r="C388" s="10" t="str">
        <x:v>主播中心</x:v>
      </x:c>
      <x:c r="D388" s="10" t="str">
        <x:v>开播设置（主播）</x:v>
      </x:c>
      <x:c r="E388" s="10" t="str">
        <x:v>逻辑校验</x:v>
      </x:c>
      <x:c r="F388" s="10" t="str">
        <x:v>P1</x:v>
      </x:c>
      <x:c r="G388" s="9" t="str">
        <x:v>验证直播主题长度为41时的校验</x:v>
      </x:c>
      <x:c r="H388" s="9" t="str">
        <x:v>直播主题越界拦截</x:v>
      </x:c>
      <x:c r="I388" s="9" t="str">
        <x:v>1. 执行账号为所选主播对应的用户账号，已登录
2. 除直播主题外的必填项已具备合法值</x:v>
      </x:c>
      <x:c r="J388" s="9" t="str">
        <x:v>1. 进入开播设置
2. 清空直播主题
3. 输入直播主题为41 个“测”字符</x:v>
      </x:c>
      <x:c r="K388" s="9" t="str">
        <x:v>直播主题不能保存超出上限的值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来源（当前证据）：liveshow-proto/MainBasis/统一需求文档.md；位置：start-live-settings.html
2. 规则：BR-E8958B4AB93526
3. 未动态验证</x:v>
      </x:c>
    </x:row>
    <x:row r="389" ht="100" customHeight="1">
      <x:c r="A389" s="10" t="n">
        <x:v>388</x:v>
      </x:c>
      <x:c r="B389" s="10" t="str">
        <x:v>USER-0388</x:v>
      </x:c>
      <x:c r="C389" s="10" t="str">
        <x:v>主播中心</x:v>
      </x:c>
      <x:c r="D389" s="10" t="str">
        <x:v>开播设置（主播）</x:v>
      </x:c>
      <x:c r="E389" s="10" t="str">
        <x:v>功能需求</x:v>
      </x:c>
      <x:c r="F389" s="10" t="str">
        <x:v>P0</x:v>
      </x:c>
      <x:c r="G389" s="9" t="str">
        <x:v>验证完整开播配置创建新场次</x:v>
      </x:c>
      <x:c r="H389" s="9" t="str">
        <x:v>开播新场次</x:v>
      </x:c>
      <x:c r="I389" s="9" t="str">
        <x:v>1. 执行账号为所选主播对应的用户账号，已登录
2. 账号可用、公会启用、认证通过、平台及公会允许开播；分类已选启用项、普通房、相机和麦克风均已授权</x:v>
      </x:c>
      <x:c r="J389" s="9" t="str">
        <x:v>1. 进入开播设置页
2. 点击开始直播</x:v>
      </x:c>
      <x:c r="K389" s="9" t="str">
        <x:v>新建直播场次并进入主播直播间</x:v>
      </x:c>
      <x:c r="L389" s="10" t="str">
        <x:v>FLOW-3316A78D</x:v>
      </x:c>
      <x:c r="M389" s="10" t="str">
        <x:v>未测</x:v>
      </x:c>
      <x:c r="N389" s="10" t="str"/>
      <x:c r="O389" s="9" t="str">
        <x:v>1. 来源（当前证据）：liveshow-proto/MainBasis/统一需求文档.md；位置：start-live-settings.html
2. 规则：BR-15E8D22E83352D
3. 未动态验证</x:v>
      </x:c>
    </x:row>
    <x:row r="390" ht="85" customHeight="1">
      <x:c r="A390" s="10" t="n">
        <x:v>389</x:v>
      </x:c>
      <x:c r="B390" s="10" t="str">
        <x:v>USER-0389</x:v>
      </x:c>
      <x:c r="C390" s="10" t="str">
        <x:v>主播中心</x:v>
      </x:c>
      <x:c r="D390" s="10" t="str">
        <x:v>开播设置（主播）</x:v>
      </x:c>
      <x:c r="E390" s="10" t="str">
        <x:v>功能需求</x:v>
      </x:c>
      <x:c r="F390" s="10" t="str">
        <x:v>P1</x:v>
      </x:c>
      <x:c r="G390" s="9" t="str">
        <x:v>验证开播时缺少分类不能提交</x:v>
      </x:c>
      <x:c r="H390" s="9" t="str">
        <x:v>开播分类必选</x:v>
      </x:c>
      <x:c r="I390" s="9" t="str">
        <x:v>1. 执行账号为所选主播对应的用户账号，已登录
2. 尚未选择直播分类</x:v>
      </x:c>
      <x:c r="J390" s="9" t="str">
        <x:v>1. 进入开播设置页
2. 点击开始直播</x:v>
      </x:c>
      <x:c r="K390" s="9" t="str">
        <x:v>不创建直播场次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来源（当前证据）：liveshow-proto/MainBasis/统一需求文档.md；位置：start-live-settings.html
2. 规则：BR-79635A055AC19C
3. 未动态验证</x:v>
      </x:c>
    </x:row>
    <x:row r="391" ht="85" customHeight="1">
      <x:c r="A391" s="10" t="n">
        <x:v>390</x:v>
      </x:c>
      <x:c r="B391" s="10" t="str">
        <x:v>USER-0390</x:v>
      </x:c>
      <x:c r="C391" s="10" t="str">
        <x:v>主播中心</x:v>
      </x:c>
      <x:c r="D391" s="10" t="str">
        <x:v>开播设置（主播）</x:v>
      </x:c>
      <x:c r="E391" s="10" t="str">
        <x:v>功能需求</x:v>
      </x:c>
      <x:c r="F391" s="10" t="str">
        <x:v>P1</x:v>
      </x:c>
      <x:c r="G391" s="9" t="str">
        <x:v>验证平台禁用门票房后不可新选</x:v>
      </x:c>
      <x:c r="H391" s="9" t="str">
        <x:v>门票房开关</x:v>
      </x:c>
      <x:c r="I391" s="9" t="str">
        <x:v>1. 执行账号为所选主播对应的用户账号，已登录
2. 平台已关闭门票房功能</x:v>
      </x:c>
      <x:c r="J391" s="9" t="str">
        <x:v>1. 进入开播设置页
2. 打开房型设置</x:v>
      </x:c>
      <x:c r="K391" s="9" t="str">
        <x:v>门票房不可选择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来源（当前证据）：liveshow-proto/MainBasis/统一需求文档.md；位置：start-live-settings.html
2. 规则：BR-C89046A6D74A46
3. 未动态验证</x:v>
      </x:c>
    </x:row>
    <x:row r="392" ht="85" customHeight="1">
      <x:c r="A392" s="10" t="n">
        <x:v>391</x:v>
      </x:c>
      <x:c r="B392" s="10" t="str">
        <x:v>USER-0391</x:v>
      </x:c>
      <x:c r="C392" s="10" t="str">
        <x:v>主播中心</x:v>
      </x:c>
      <x:c r="D392" s="10" t="str">
        <x:v>开播设置（主播）</x:v>
      </x:c>
      <x:c r="E392" s="10" t="str">
        <x:v>功能需求</x:v>
      </x:c>
      <x:c r="F392" s="10" t="str">
        <x:v>P1</x:v>
      </x:c>
      <x:c r="G392" s="9" t="str">
        <x:v>验证平台禁用密码房后不可新选</x:v>
      </x:c>
      <x:c r="H392" s="9" t="str">
        <x:v>密码房开关</x:v>
      </x:c>
      <x:c r="I392" s="9" t="str">
        <x:v>1. 执行账号为所选主播对应的用户账号，已登录
2. 平台已关闭密码房功能</x:v>
      </x:c>
      <x:c r="J392" s="9" t="str">
        <x:v>1. 进入开播设置页
2. 打开房型设置</x:v>
      </x:c>
      <x:c r="K392" s="9" t="str">
        <x:v>密码房不可选择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来源（当前证据）：liveshow-proto/MainBasis/统一需求文档.md；位置：start-live-settings.html
2. 规则：BR-3BE2DF2D3CBFAF
3. 未动态验证</x:v>
      </x:c>
    </x:row>
    <x:row r="393" ht="85" customHeight="1">
      <x:c r="A393" s="10" t="n">
        <x:v>392</x:v>
      </x:c>
      <x:c r="B393" s="10" t="str">
        <x:v>USER-0392</x:v>
      </x:c>
      <x:c r="C393" s="10" t="str">
        <x:v>主播中心</x:v>
      </x:c>
      <x:c r="D393" s="10" t="str">
        <x:v>开播设置（主播）</x:v>
      </x:c>
      <x:c r="E393" s="10" t="str">
        <x:v>功能需求</x:v>
      </x:c>
      <x:c r="F393" s="10" t="str">
        <x:v>P1</x:v>
      </x:c>
      <x:c r="G393" s="9" t="str">
        <x:v>验证门票房不接受停用档位</x:v>
      </x:c>
      <x:c r="H393" s="9" t="str">
        <x:v>门票配置并发变更</x:v>
      </x:c>
      <x:c r="I393" s="9" t="str">
        <x:v>1. 执行账号为所选主播对应的用户账号，已登录
2. 主播已选中门票价格，平台随后停用该档位</x:v>
      </x:c>
      <x:c r="J393" s="9" t="str">
        <x:v>1. 进入开播设置页
2. 确认房型设置</x:v>
      </x:c>
      <x:c r="K393" s="9" t="str">
        <x:v>提示“请选择有效的门票价格”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来源（当前证据）：liveshow-proto/MainBasis/统一需求文档.md；位置：start-live-settings.html
2. 规则：BR-4ED1D1155C0543
3. 未动态验证</x:v>
      </x:c>
    </x:row>
    <x:row r="394" ht="85" customHeight="1">
      <x:c r="A394" s="10" t="n">
        <x:v>393</x:v>
      </x:c>
      <x:c r="B394" s="10" t="str">
        <x:v>USER-0393</x:v>
      </x:c>
      <x:c r="C394" s="10" t="str">
        <x:v>主播中心</x:v>
      </x:c>
      <x:c r="D394" s="10" t="str">
        <x:v>开播设置（主播）</x:v>
      </x:c>
      <x:c r="E394" s="10" t="str">
        <x:v>功能需求</x:v>
      </x:c>
      <x:c r="F394" s="10" t="str">
        <x:v>P1</x:v>
      </x:c>
      <x:c r="G394" s="9" t="str">
        <x:v>验证选择普通房清除受限房型必填</x:v>
      </x:c>
      <x:c r="H394" s="9" t="str">
        <x:v>普通房必填切换</x:v>
      </x:c>
      <x:c r="I394" s="9" t="str">
        <x:v>1. 执行账号为所选主播对应的用户账号，已登录
2. 之前选择密码房且密码为空</x:v>
      </x:c>
      <x:c r="J394" s="9" t="str">
        <x:v>1. 进入开播设置页
2. 选择普通房
3. 确认房型设置</x:v>
      </x:c>
      <x:c r="K394" s="9" t="str">
        <x:v>不再要求填写房间密码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来源（当前证据）：liveshow-proto/MainBasis/统一需求文档.md；位置：start-live-settings.html
2. 规则：BR-206F11FD18FBB6
3. 未动态验证</x:v>
      </x:c>
    </x:row>
    <x:row r="395" ht="85" customHeight="1">
      <x:c r="A395" s="10" t="n">
        <x:v>394</x:v>
      </x:c>
      <x:c r="B395" s="10" t="str">
        <x:v>USER-0394</x:v>
      </x:c>
      <x:c r="C395" s="10" t="str">
        <x:v>主播中心</x:v>
      </x:c>
      <x:c r="D395" s="10" t="str">
        <x:v>开播设置（主播）</x:v>
      </x:c>
      <x:c r="E395" s="10" t="str">
        <x:v>功能需求</x:v>
      </x:c>
      <x:c r="F395" s="10" t="str">
        <x:v>P1</x:v>
      </x:c>
      <x:c r="G395" s="9" t="str">
        <x:v>验证拒绝相机权限阻止开播</x:v>
      </x:c>
      <x:c r="H395" s="9" t="str">
        <x:v>相机权限拒绝</x:v>
      </x:c>
      <x:c r="I395" s="9" t="str">
        <x:v>1. 执行账号为所选主播对应的用户账号，已登录
2. 必填配置完整、麦克风已授权、相机从未授权</x:v>
      </x:c>
      <x:c r="J395" s="9" t="str">
        <x:v>1. 进入开播设置页
2. 点击开始直播
3. 拒绝相机授权</x:v>
      </x:c>
      <x:c r="K395" s="9" t="str">
        <x:v>停留开播设置页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来源（当前证据）：liveshow-proto/MainBasis/统一需求文档.md；位置：start-live-settings.html
2. 规则：BR-361EAE5DAD545A
3. 未动态验证</x:v>
      </x:c>
    </x:row>
    <x:row r="396" ht="85" customHeight="1">
      <x:c r="A396" s="10" t="n">
        <x:v>395</x:v>
      </x:c>
      <x:c r="B396" s="10" t="str">
        <x:v>USER-0395</x:v>
      </x:c>
      <x:c r="C396" s="10" t="str">
        <x:v>主播中心</x:v>
      </x:c>
      <x:c r="D396" s="10" t="str">
        <x:v>开播设置（主播）</x:v>
      </x:c>
      <x:c r="E396" s="10" t="str">
        <x:v>功能需求</x:v>
      </x:c>
      <x:c r="F396" s="10" t="str">
        <x:v>P1</x:v>
      </x:c>
      <x:c r="G396" s="9" t="str">
        <x:v>验证拒绝麦克风权限阻止开播</x:v>
      </x:c>
      <x:c r="H396" s="9" t="str">
        <x:v>麦克风权限拒绝</x:v>
      </x:c>
      <x:c r="I396" s="9" t="str">
        <x:v>1. 执行账号为所选主播对应的用户账号，已登录
2. 必填配置完整、相机已授权、麦克风从未授权</x:v>
      </x:c>
      <x:c r="J396" s="9" t="str">
        <x:v>1. 进入开播设置页
2. 点击开始直播
3. 拒绝麦克风授权</x:v>
      </x:c>
      <x:c r="K396" s="9" t="str">
        <x:v>不创建直播场次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来源（当前证据）：liveshow-proto/MainBasis/统一需求文档.md；位置：start-live-settings.html
2. 规则：BR-5568087B3D253A
3. 未动态验证</x:v>
      </x:c>
    </x:row>
    <x:row r="397" ht="85" customHeight="1">
      <x:c r="A397" s="10" t="n">
        <x:v>396</x:v>
      </x:c>
      <x:c r="B397" s="10" t="str">
        <x:v>USER-0396</x:v>
      </x:c>
      <x:c r="C397" s="10" t="str">
        <x:v>主播中心</x:v>
      </x:c>
      <x:c r="D397" s="10" t="str">
        <x:v>开播设置（主播）</x:v>
      </x:c>
      <x:c r="E397" s="10" t="str">
        <x:v>功能需求</x:v>
      </x:c>
      <x:c r="F397" s="10" t="str">
        <x:v>P1</x:v>
      </x:c>
      <x:c r="G397" s="9" t="str">
        <x:v>验证取消封面选择保留原图</x:v>
      </x:c>
      <x:c r="H397" s="9" t="str">
        <x:v>封面选择取消</x:v>
      </x:c>
      <x:c r="I397" s="9" t="str">
        <x:v>1. 执行账号为所选主播对应的用户账号，已登录
2. 原封面已设置</x:v>
      </x:c>
      <x:c r="J397" s="9" t="str">
        <x:v>1. 进入开播设置页
2. 点击修改封面
3. 取消系统照片选择器</x:v>
      </x:c>
      <x:c r="K397" s="9" t="str">
        <x:v>原封面保持不变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来源（当前证据）：liveshow-proto/MainBasis/统一需求文档.md；位置：start-live-settings.html
2. 规则：BR-8F0E11F80F6B5E
3. 未动态验证</x:v>
      </x:c>
    </x:row>
    <x:row r="398" ht="85" customHeight="1">
      <x:c r="A398" s="10" t="n">
        <x:v>397</x:v>
      </x:c>
      <x:c r="B398" s="10" t="str">
        <x:v>USER-0397</x:v>
      </x:c>
      <x:c r="C398" s="10" t="str">
        <x:v>主播中心</x:v>
      </x:c>
      <x:c r="D398" s="10" t="str">
        <x:v>开播设置（主播）</x:v>
      </x:c>
      <x:c r="E398" s="10" t="str">
        <x:v>功能需求</x:v>
      </x:c>
      <x:c r="F398" s="10" t="str">
        <x:v>P1</x:v>
      </x:c>
      <x:c r="G398" s="9" t="str">
        <x:v>验证封面选择不请求完整相册权限</x:v>
      </x:c>
      <x:c r="H398" s="9" t="str">
        <x:v>最小照片权限</x:v>
      </x:c>
      <x:c r="I398" s="9" t="str">
        <x:v>1. 执行账号为所选主播对应的用户账号，已登录</x:v>
      </x:c>
      <x:c r="J398" s="9" t="str">
        <x:v>1. 进入开播设置页
2. 点击修改封面</x:v>
      </x:c>
      <x:c r="K398" s="9" t="str">
        <x:v>调起系统照片选择器，不请求完整相册读取权限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来源（当前证据）：liveshow-proto/MainBasis/统一需求文档.md；位置：start-live-settings.html
2. 规则：BR-DF9A8D60B001C4
3. 未动态验证</x:v>
      </x:c>
    </x:row>
    <x:row r="399" ht="85" customHeight="1">
      <x:c r="A399" s="10" t="n">
        <x:v>398</x:v>
      </x:c>
      <x:c r="B399" s="10" t="str">
        <x:v>USER-0398</x:v>
      </x:c>
      <x:c r="C399" s="10" t="str">
        <x:v>主播中心</x:v>
      </x:c>
      <x:c r="D399" s="10" t="str">
        <x:v>开播设置（主播）</x:v>
      </x:c>
      <x:c r="E399" s="10" t="str">
        <x:v>功能需求</x:v>
      </x:c>
      <x:c r="F399" s="10" t="str">
        <x:v>P1</x:v>
      </x:c>
      <x:c r="G399" s="9" t="str">
        <x:v>验证开播配置不覆盖旧场次</x:v>
      </x:c>
      <x:c r="H399" s="9" t="str">
        <x:v>场次配置独立</x:v>
      </x:c>
      <x:c r="I399" s="9" t="str">
        <x:v>1. 执行账号为所选主播对应的用户账号，已登录
2. 本主播有一场主题“夜话”的已结束直播</x:v>
      </x:c>
      <x:c r="J399" s="9" t="str">
        <x:v>1. 进入开播设置页
2. 输入直播主题“晨间音乐”
3. 选择启用分类和普通房
4. 点击开始直播</x:v>
      </x:c>
      <x:c r="K399" s="9" t="str">
        <x:v>已结束场次的主题仍为“夜话”</x:v>
      </x:c>
      <x:c r="L399" s="10" t="str">
        <x:v>FLOW-3316A78D</x:v>
      </x:c>
      <x:c r="M399" s="10" t="str">
        <x:v>未测</x:v>
      </x:c>
      <x:c r="N399" s="10" t="str"/>
      <x:c r="O399" s="9" t="str">
        <x:v>1. 来源（当前证据）：liveshow-proto/MainBasis/统一需求文档.md；位置：start-live-settings.html、live-records.html
2. 规则：BR-5ABAA3E2CFFE16
3. 未动态验证</x:v>
      </x:c>
    </x:row>
    <x:row r="400" ht="115" customHeight="1">
      <x:c r="A400" s="10" t="n">
        <x:v>399</x:v>
      </x:c>
      <x:c r="B400" s="10" t="str">
        <x:v>USER-0399</x:v>
      </x:c>
      <x:c r="C400" s="10" t="str">
        <x:v>主播中心</x:v>
      </x:c>
      <x:c r="D400" s="10" t="str">
        <x:v>选择可见粉丝（主播）</x:v>
      </x:c>
      <x:c r="E400" s="10" t="str">
        <x:v>功能需求</x:v>
      </x:c>
      <x:c r="F400" s="10" t="str">
        <x:v>P1</x:v>
      </x:c>
      <x:c r="G400" s="9" t="str">
        <x:v>验证筛选后全选仍覆盖全部有效粉丝</x:v>
      </x:c>
      <x:c r="H400" s="9" t="str">
        <x:v>授权名单全选范围</x:v>
      </x:c>
      <x:c r="I400" s="9" t="str">
        <x:v>1. 执行账号为所选主播对应的用户账号，已登录
2. 有效粉丝为海风和晨光，搜索只匹配海风</x:v>
      </x:c>
      <x:c r="J400" s="9" t="str">
        <x:v>1. 进入密码房设置
2. 点击从粉丝中授权可见开关使其开启
3. 点击编辑名单
4. 输入搜索词海风
5. 点击全选
6. 点击确认</x:v>
      </x:c>
      <x:c r="K400" s="9" t="str">
        <x:v>保存的授权名单同时包含海风和晨光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来源（当前证据）：liveshow-proto/MainBasis/统一需求文档.md；位置：visible-fan-select.html
2. 规则：BR-315EF50536DEB7
3. 未动态验证</x:v>
      </x:c>
    </x:row>
    <x:row r="401" ht="100" customHeight="1">
      <x:c r="A401" s="10" t="n">
        <x:v>400</x:v>
      </x:c>
      <x:c r="B401" s="10" t="str">
        <x:v>USER-0400</x:v>
      </x:c>
      <x:c r="C401" s="10" t="str">
        <x:v>主播中心</x:v>
      </x:c>
      <x:c r="D401" s="10" t="str">
        <x:v>选择可见粉丝（主播）</x:v>
      </x:c>
      <x:c r="E401" s="10" t="str">
        <x:v>功能需求</x:v>
      </x:c>
      <x:c r="F401" s="10" t="str">
        <x:v>P1</x:v>
      </x:c>
      <x:c r="G401" s="9" t="str">
        <x:v>验证返回丢弃未确认名单修改</x:v>
      </x:c>
      <x:c r="H401" s="9" t="str">
        <x:v>名单取消保存</x:v>
      </x:c>
      <x:c r="I401" s="9" t="str">
        <x:v>1. 执行账号为所选主播对应的用户账号，已登录
2. 原名单只有海风</x:v>
      </x:c>
      <x:c r="J401" s="9" t="str">
        <x:v>1. 进入密码房设置
2. 点击从粉丝中授权可见开关使其开启
3. 点击编辑名单
4. 选择晨光
5. 点击返回</x:v>
      </x:c>
      <x:c r="K401" s="9" t="str">
        <x:v>原名单仍仅包含海风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来源（当前证据）：liveshow-proto/MainBasis/统一需求文档.md；位置：visible-fan-select.html
2. 规则：BR-9890CCFAF1082B
3. 未动态验证</x:v>
      </x:c>
    </x:row>
    <x:row r="402" ht="85" customHeight="1">
      <x:c r="A402" s="10" t="n">
        <x:v>401</x:v>
      </x:c>
      <x:c r="B402" s="10" t="str">
        <x:v>USER-0401</x:v>
      </x:c>
      <x:c r="C402" s="10" t="str">
        <x:v>主播中心</x:v>
      </x:c>
      <x:c r="D402" s="10" t="str">
        <x:v>选择可见粉丝（主播）</x:v>
      </x:c>
      <x:c r="E402" s="10" t="str">
        <x:v>功能需求</x:v>
      </x:c>
      <x:c r="F402" s="10" t="str">
        <x:v>P1</x:v>
      </x:c>
      <x:c r="G402" s="9" t="str">
        <x:v>验证取消关注者退出可选范围</x:v>
      </x:c>
      <x:c r="H402" s="9" t="str">
        <x:v>可见名单关系失效</x:v>
      </x:c>
      <x:c r="I402" s="9" t="str">
        <x:v>1. 执行账号为所选主播对应的用户账号，已登录
2. 晨光原在名单中但已取消关注主播</x:v>
      </x:c>
      <x:c r="J402" s="9" t="str">
        <x:v>1. 进入密码房设置
2. 点击从粉丝中授权可见开关使其开启
3. 点击编辑名单
4. 查看可选粉丝</x:v>
      </x:c>
      <x:c r="K402" s="9" t="str">
        <x:v>可选范围不包含晨光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来源（当前证据）：liveshow-proto/MainBasis/统一需求文档.md；位置：visible-fan-select.html
2. 规则：BR-78C6B206A24D37
3. 未动态验证</x:v>
      </x:c>
    </x:row>
    <x:row r="403" ht="85" customHeight="1">
      <x:c r="A403" s="10" t="n">
        <x:v>402</x:v>
      </x:c>
      <x:c r="B403" s="10" t="str">
        <x:v>USER-0402</x:v>
      </x:c>
      <x:c r="C403" s="10" t="str">
        <x:v>主播中心</x:v>
      </x:c>
      <x:c r="D403" s="10" t="str">
        <x:v>房管管理（主播）</x:v>
      </x:c>
      <x:c r="E403" s="10" t="str">
        <x:v>功能需求</x:v>
      </x:c>
      <x:c r="F403" s="10" t="str">
        <x:v>P1</x:v>
      </x:c>
      <x:c r="G403" s="9" t="str">
        <x:v>验证第三名房管可添加</x:v>
      </x:c>
      <x:c r="H403" s="9" t="str">
        <x:v>房管数量允许边界</x:v>
      </x:c>
      <x:c r="I403" s="9" t="str">
        <x:v>1. 执行账号为所选主播对应的用户账号，已登录
2. 当前有 2 名房管，目标用户无拉黑关系且非房管</x:v>
      </x:c>
      <x:c r="J403" s="9" t="str">
        <x:v>1. 进入房管管理
2. 输入目标用户ID
3. 选择目标用户
4. 确认设为房管</x:v>
      </x:c>
      <x:c r="K403" s="9" t="str">
        <x:v>有效房管数量变为 3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来源（当前证据）：liveshow-proto/MainBasis/统一需求文档.md；位置：moderator-management.html
2. 规则：BR-28DB9248FFCCA1
3. 未动态验证</x:v>
      </x:c>
    </x:row>
    <x:row r="404" ht="85" customHeight="1">
      <x:c r="A404" s="10" t="n">
        <x:v>403</x:v>
      </x:c>
      <x:c r="B404" s="10" t="str">
        <x:v>USER-0403</x:v>
      </x:c>
      <x:c r="C404" s="10" t="str">
        <x:v>主播中心</x:v>
      </x:c>
      <x:c r="D404" s="10" t="str">
        <x:v>房管管理（主播）</x:v>
      </x:c>
      <x:c r="E404" s="10" t="str">
        <x:v>功能需求</x:v>
      </x:c>
      <x:c r="F404" s="10" t="str">
        <x:v>P1</x:v>
      </x:c>
      <x:c r="G404" s="9" t="str">
        <x:v>验证第四名房管被拒绝</x:v>
      </x:c>
      <x:c r="H404" s="9" t="str">
        <x:v>房管人数上限</x:v>
      </x:c>
      <x:c r="I404" s="9" t="str">
        <x:v>1. 执行账号为所选主播对应的用户账号，已登录
2. 当前已有 3 名有效房管</x:v>
      </x:c>
      <x:c r="J404" s="9" t="str">
        <x:v>1. 进入房管管理
2. 点击添加房管</x:v>
      </x:c>
      <x:c r="K404" s="9" t="str">
        <x:v>提示“已达3人上限”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来源（当前证据）：liveshow-proto/MainBasis/统一需求文档.md；位置：moderator-management.html
2. 规则：BR-577F49A4D8DFAE
3. 未动态验证</x:v>
      </x:c>
    </x:row>
    <x:row r="405" ht="85" customHeight="1">
      <x:c r="A405" s="10" t="n">
        <x:v>404</x:v>
      </x:c>
      <x:c r="B405" s="10" t="str">
        <x:v>USER-0404</x:v>
      </x:c>
      <x:c r="C405" s="10" t="str">
        <x:v>主播中心</x:v>
      </x:c>
      <x:c r="D405" s="10" t="str">
        <x:v>房管管理（主播）</x:v>
      </x:c>
      <x:c r="E405" s="10" t="str">
        <x:v>功能需求</x:v>
      </x:c>
      <x:c r="F405" s="10" t="str">
        <x:v>P1</x:v>
      </x:c>
      <x:c r="G405" s="9" t="str">
        <x:v>验证房管授权跨场次保留</x:v>
      </x:c>
      <x:c r="H405" s="9" t="str">
        <x:v>房管长期授权</x:v>
      </x:c>
      <x:c r="I405" s="9" t="str">
        <x:v>1. 执行账号为所选主播对应的用户账号，已登录
2. 已有房管海风，本主播上一场已结束</x:v>
      </x:c>
      <x:c r="J405" s="9" t="str">
        <x:v>1. 进入房管管理
2. 查看房管列表</x:v>
      </x:c>
      <x:c r="K405" s="9" t="str">
        <x:v>海风仍为本主播房管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来源（当前证据）：liveshow-proto/MainBasis/统一需求文档.md；位置：moderator-management.html
2. 规则：BR-298899B9DB83C0
3. 未动态验证</x:v>
      </x:c>
    </x:row>
    <x:row r="406" ht="85" customHeight="1">
      <x:c r="A406" s="10" t="n">
        <x:v>405</x:v>
      </x:c>
      <x:c r="B406" s="10" t="str">
        <x:v>USER-0405</x:v>
      </x:c>
      <x:c r="C406" s="10" t="str">
        <x:v>主播中心</x:v>
      </x:c>
      <x:c r="D406" s="10" t="str">
        <x:v>房管管理（主播）</x:v>
      </x:c>
      <x:c r="E406" s="10" t="str">
        <x:v>功能需求</x:v>
      </x:c>
      <x:c r="F406" s="10" t="str">
        <x:v>P1</x:v>
      </x:c>
      <x:c r="G406" s="9" t="str">
        <x:v>验证双方拉黑解除房管授权</x:v>
      </x:c>
      <x:c r="H406" s="9" t="str">
        <x:v>房管关系失效</x:v>
      </x:c>
      <x:c r="I406" s="9" t="str">
        <x:v>1. 执行账号为所选主播对应的用户账号，已登录
2. 海风原为房管，双方任一方已建立拉黑关系</x:v>
      </x:c>
      <x:c r="J406" s="9" t="str">
        <x:v>1. 进入房管管理
2. 查看房管列表</x:v>
      </x:c>
      <x:c r="K406" s="9" t="str">
        <x:v>海风已从房管列表移除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来源（当前证据）：liveshow-proto/MainBasis/统一需求文档.md；位置：moderator-management.html
2. 规则：BR-EEF154AA11455C
3. 未动态验证</x:v>
      </x:c>
    </x:row>
    <x:row r="407" ht="100" customHeight="1">
      <x:c r="A407" s="10" t="n">
        <x:v>406</x:v>
      </x:c>
      <x:c r="B407" s="10" t="str">
        <x:v>USER-0406</x:v>
      </x:c>
      <x:c r="C407" s="10" t="str">
        <x:v>主播中心</x:v>
      </x:c>
      <x:c r="D407" s="10" t="str">
        <x:v>分成记录（主播）</x:v>
      </x:c>
      <x:c r="E407" s="10" t="str">
        <x:v>功能需求</x:v>
      </x:c>
      <x:c r="F407" s="10" t="str">
        <x:v>P1</x:v>
      </x:c>
      <x:c r="G407" s="9" t="str">
        <x:v>验证主播读取财务上传结果</x:v>
      </x:c>
      <x:c r="H407" s="9" t="str">
        <x:v>主播分成结果</x:v>
      </x:c>
      <x:c r="I407" s="9" t="str">
        <x:v>1. 执行账号为所选主播对应的用户账号，已登录
2. 财务已上传本主播分成1234.56 USD</x:v>
      </x:c>
      <x:c r="J407" s="9" t="str">
        <x:v>1. 进入分成记录
2. 查看该分成记录</x:v>
      </x:c>
      <x:c r="K407" s="9" t="str">
        <x:v>分成金额显示1.234,56美元</x:v>
      </x:c>
      <x:c r="L407" s="10" t="str">
        <x:v>FLOW-3263DF8E</x:v>
      </x:c>
      <x:c r="M407" s="10" t="str">
        <x:v>未测</x:v>
      </x:c>
      <x:c r="N407" s="10" t="str"/>
      <x:c r="O407" s="9" t="str">
        <x:v>1. 来源（当前证据）：liveshow-proto/MainBasis/统一需求文档.md；位置：income-sharing.html、admin-settlement-record.html
2. 规则：BR-B0BB906E69E2D6
3. 未动态验证</x:v>
      </x:c>
    </x:row>
    <x:row r="408" ht="85" customHeight="1">
      <x:c r="A408" s="10" t="n">
        <x:v>407</x:v>
      </x:c>
      <x:c r="B408" s="10" t="str">
        <x:v>USER-0407</x:v>
      </x:c>
      <x:c r="C408" s="10" t="str">
        <x:v>主播中心</x:v>
      </x:c>
      <x:c r="D408" s="10" t="str">
        <x:v>分成记录（主播）</x:v>
      </x:c>
      <x:c r="E408" s="10" t="str">
        <x:v>功能需求</x:v>
      </x:c>
      <x:c r="F408" s="10" t="str">
        <x:v>P1</x:v>
      </x:c>
      <x:c r="G408" s="9" t="str">
        <x:v>验证主播分成页不提供申请审批</x:v>
      </x:c>
      <x:c r="H408" s="9" t="str">
        <x:v>主播结算权限</x:v>
      </x:c>
      <x:c r="I408" s="9" t="str">
        <x:v>1. 执行账号为所选主播对应的用户账号，已登录</x:v>
      </x:c>
      <x:c r="J408" s="9" t="str">
        <x:v>1. 进入分成记录
2. 查看页面操作</x:v>
      </x:c>
      <x:c r="K408" s="9" t="str">
        <x:v>不提供线上结算申请或审批</x:v>
      </x:c>
      <x:c r="L408" s="10" t="str">
        <x:v>FLOW-3263DF8E</x:v>
      </x:c>
      <x:c r="M408" s="10" t="str">
        <x:v>未测</x:v>
      </x:c>
      <x:c r="N408" s="10" t="str"/>
      <x:c r="O408" s="9" t="str">
        <x:v>1. 来源（当前证据）：liveshow-proto/MainBasis/统一需求文档.md；位置：income-sharing.html
2. 规则：BR-8CD5FC728E486F
3. 未动态验证</x:v>
      </x:c>
    </x:row>
    <x:row r="409" ht="85" customHeight="1">
      <x:c r="A409" s="10" t="n">
        <x:v>408</x:v>
      </x:c>
      <x:c r="B409" s="10" t="str">
        <x:v>USER-0408</x:v>
      </x:c>
      <x:c r="C409" s="10" t="str">
        <x:v>主播中心</x:v>
      </x:c>
      <x:c r="D409" s="10" t="str">
        <x:v>粉丝团设置（主播）</x:v>
      </x:c>
      <x:c r="E409" s="10" t="str">
        <x:v>功能需求</x:v>
      </x:c>
      <x:c r="F409" s="10" t="str">
        <x:v>P1</x:v>
      </x:c>
      <x:c r="G409" s="9" t="str">
        <x:v>验证入团条件变更保留旧成员</x:v>
      </x:c>
      <x:c r="H409" s="9" t="str">
        <x:v>存量成员保留</x:v>
      </x:c>
      <x:c r="I409" s="9" t="str">
        <x:v>1. 执行账号为所选主播对应的用户账号，已登录
2. 已有成员甲不满足即将配置的贡献1000门槛</x:v>
      </x:c>
      <x:c r="J409" s="9" t="str">
        <x:v>1. 进入自己粉丝团设置
2. 输入累计贡献1000
3. 点击保存</x:v>
      </x:c>
      <x:c r="K409" s="9" t="str">
        <x:v>甲仍保留团籍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来源（当前证据）：liveshow-proto/MainBasis/统一需求文档.md；位置：fan-club-settings.html
2. 规则：BR-3C83C678FE31F2
3. 未动态验证</x:v>
      </x:c>
    </x:row>
    <x:row r="410" ht="85" customHeight="1">
      <x:c r="A410" s="10" t="n">
        <x:v>409</x:v>
      </x:c>
      <x:c r="B410" s="10" t="str">
        <x:v>USER-0409</x:v>
      </x:c>
      <x:c r="C410" s="10" t="str">
        <x:v>主播中心</x:v>
      </x:c>
      <x:c r="D410" s="10" t="str">
        <x:v>粉丝团设置（主播）</x:v>
      </x:c>
      <x:c r="E410" s="10" t="str">
        <x:v>功能需求</x:v>
      </x:c>
      <x:c r="F410" s="10" t="str">
        <x:v>P1</x:v>
      </x:c>
      <x:c r="G410" s="9" t="str">
        <x:v>验证入团贡献不能为负数</x:v>
      </x:c>
      <x:c r="H410" s="9" t="str">
        <x:v>贡献下界</x:v>
      </x:c>
      <x:c r="I410" s="9" t="str">
        <x:v>1. 执行账号为所选主播对应的用户账号，已登录
2. 团名合法</x:v>
      </x:c>
      <x:c r="J410" s="9" t="str">
        <x:v>1. 进入自己粉丝团设置
2. 输入累计贡献-1</x:v>
      </x:c>
      <x:c r="K410" s="9" t="str">
        <x:v>保存按钮不可用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来源（当前证据）：liveshow-proto/MainBasis/统一需求文档.md；位置：fan-club-settings.html
2. 规则：BR-E0DBF1B565B41B
3. 未动态验证</x:v>
      </x:c>
    </x:row>
    <x:row r="411" ht="85" customHeight="1">
      <x:c r="A411" s="10" t="n">
        <x:v>410</x:v>
      </x:c>
      <x:c r="B411" s="10" t="str">
        <x:v>USER-0410</x:v>
      </x:c>
      <x:c r="C411" s="10" t="str">
        <x:v>主播中心</x:v>
      </x:c>
      <x:c r="D411" s="10" t="str">
        <x:v>粉丝团设置（主播）</x:v>
      </x:c>
      <x:c r="E411" s="10" t="str">
        <x:v>功能需求</x:v>
      </x:c>
      <x:c r="F411" s="10" t="str">
        <x:v>P1</x:v>
      </x:c>
      <x:c r="G411" s="9" t="str">
        <x:v>验证入团贡献不接受小数</x:v>
      </x:c>
      <x:c r="H411" s="9" t="str">
        <x:v>贡献整数要求</x:v>
      </x:c>
      <x:c r="I411" s="9" t="str">
        <x:v>1. 执行账号为所选主播对应的用户账号，已登录
2. 团名合法</x:v>
      </x:c>
      <x:c r="J411" s="9" t="str">
        <x:v>1. 进入自己粉丝团设置
2. 输入累计贡献0.5</x:v>
      </x:c>
      <x:c r="K411" s="9" t="str">
        <x:v>保存按钮不可用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来源（当前证据）：liveshow-proto/MainBasis/统一需求文档.md；位置：fan-club-settings.html
2. 规则：BR-FD8B6B16F55E15
3. 未动态验证</x:v>
      </x:c>
    </x:row>
    <x:row r="412" ht="85" customHeight="1">
      <x:c r="A412" s="10" t="n">
        <x:v>411</x:v>
      </x:c>
      <x:c r="B412" s="10" t="str">
        <x:v>USER-0411</x:v>
      </x:c>
      <x:c r="C412" s="10" t="str">
        <x:v>主播中心</x:v>
      </x:c>
      <x:c r="D412" s="10" t="str">
        <x:v>粉丝团设置（主播）</x:v>
      </x:c>
      <x:c r="E412" s="10" t="str">
        <x:v>功能需求</x:v>
      </x:c>
      <x:c r="F412" s="10" t="str">
        <x:v>P1</x:v>
      </x:c>
      <x:c r="G412" s="9" t="str">
        <x:v>验证零贡献门槛可保存</x:v>
      </x:c>
      <x:c r="H412" s="9" t="str">
        <x:v>贡献零值</x:v>
      </x:c>
      <x:c r="I412" s="9" t="str">
        <x:v>1. 执行账号为所选主播对应的用户账号，已登录
2. 团名合法</x:v>
      </x:c>
      <x:c r="J412" s="9" t="str">
        <x:v>1. 进入自己粉丝团设置
2. 输入累计贡献0
3. 点击保存</x:v>
      </x:c>
      <x:c r="K412" s="9" t="str">
        <x:v>累计贡献门槛保存为0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来源（当前证据）：liveshow-proto/MainBasis/统一需求文档.md；位置：fan-club-settings.html
2. 规则：BR-F5790728AE3800
3. 未动态验证</x:v>
      </x:c>
    </x:row>
    <x:row r="413" ht="85" customHeight="1">
      <x:c r="A413" s="10" t="n">
        <x:v>412</x:v>
      </x:c>
      <x:c r="B413" s="10" t="str">
        <x:v>USER-0412</x:v>
      </x:c>
      <x:c r="C413" s="10" t="str">
        <x:v>主播中心</x:v>
      </x:c>
      <x:c r="D413" s="10" t="str">
        <x:v>粉丝团设置（主播）</x:v>
      </x:c>
      <x:c r="E413" s="10" t="str">
        <x:v>逻辑校验</x:v>
      </x:c>
      <x:c r="F413" s="10" t="str">
        <x:v>P1</x:v>
      </x:c>
      <x:c r="G413" s="9" t="str">
        <x:v>验证粉丝团名称长度为0时的校验</x:v>
      </x:c>
      <x:c r="H413" s="9" t="str">
        <x:v>粉丝团名称越界拦截</x:v>
      </x:c>
      <x:c r="I413" s="9" t="str">
        <x:v>1. 执行账号为所选主播对应的用户账号，已登录
2. 除粉丝团名称外的必填项已具备合法值</x:v>
      </x:c>
      <x:c r="J413" s="9" t="str">
        <x:v>1. 进入粉丝团设置
2. 清空粉丝团名称
3. 输入粉丝团名称为0 个“测”字符
4. 点击保存</x:v>
      </x:c>
      <x:c r="K413" s="9" t="str">
        <x:v>粉丝团名称不能保存超出下限的值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来源（当前证据）：liveshow-proto/MainBasis/统一需求文档.md；位置：fan-club-settings.html
2. 规则：BR-1FFA91A0D9E9BF
3. 未动态验证</x:v>
      </x:c>
    </x:row>
    <x:row r="414" ht="85" customHeight="1">
      <x:c r="A414" s="10" t="n">
        <x:v>413</x:v>
      </x:c>
      <x:c r="B414" s="10" t="str">
        <x:v>USER-0413</x:v>
      </x:c>
      <x:c r="C414" s="10" t="str">
        <x:v>主播中心</x:v>
      </x:c>
      <x:c r="D414" s="10" t="str">
        <x:v>粉丝团设置（主播）</x:v>
      </x:c>
      <x:c r="E414" s="10" t="str">
        <x:v>逻辑校验</x:v>
      </x:c>
      <x:c r="F414" s="10" t="str">
        <x:v>P1</x:v>
      </x:c>
      <x:c r="G414" s="9" t="str">
        <x:v>验证粉丝团名称长度为1时的校验</x:v>
      </x:c>
      <x:c r="H414" s="9" t="str">
        <x:v>粉丝团名称合法边界</x:v>
      </x:c>
      <x:c r="I414" s="9" t="str">
        <x:v>1. 执行账号为所选主播对应的用户账号，已登录
2. 除粉丝团名称外的必填项已具备合法值</x:v>
      </x:c>
      <x:c r="J414" s="9" t="str">
        <x:v>1. 进入粉丝团设置
2. 清空粉丝团名称
3. 输入粉丝团名称为1 个“测”字符
4. 点击保存</x:v>
      </x:c>
      <x:c r="K414" s="9" t="str">
        <x:v>粉丝团名称接受本次1 字符输入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来源（当前证据）：liveshow-proto/MainBasis/统一需求文档.md；位置：fan-club-settings.html
2. 规则：BR-11B993A2EDA81D
3. 未动态验证</x:v>
      </x:c>
    </x:row>
    <x:row r="415" ht="85" customHeight="1">
      <x:c r="A415" s="10" t="n">
        <x:v>414</x:v>
      </x:c>
      <x:c r="B415" s="10" t="str">
        <x:v>USER-0414</x:v>
      </x:c>
      <x:c r="C415" s="10" t="str">
        <x:v>主播中心</x:v>
      </x:c>
      <x:c r="D415" s="10" t="str">
        <x:v>粉丝团设置（主播）</x:v>
      </x:c>
      <x:c r="E415" s="10" t="str">
        <x:v>逻辑校验</x:v>
      </x:c>
      <x:c r="F415" s="10" t="str">
        <x:v>P1</x:v>
      </x:c>
      <x:c r="G415" s="9" t="str">
        <x:v>验证粉丝团名称长度为2时的校验</x:v>
      </x:c>
      <x:c r="H415" s="9" t="str">
        <x:v>粉丝团名称合法边界</x:v>
      </x:c>
      <x:c r="I415" s="9" t="str">
        <x:v>1. 执行账号为所选主播对应的用户账号，已登录
2. 除粉丝团名称外的必填项已具备合法值</x:v>
      </x:c>
      <x:c r="J415" s="9" t="str">
        <x:v>1. 进入粉丝团设置
2. 清空粉丝团名称
3. 输入粉丝团名称为2 个“测”字符
4. 点击保存</x:v>
      </x:c>
      <x:c r="K415" s="9" t="str">
        <x:v>粉丝团名称接受本次2 字符输入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来源（当前证据）：liveshow-proto/MainBasis/统一需求文档.md；位置：fan-club-settings.html
2. 规则：BR-ADE0962C0B43AA
3. 未动态验证</x:v>
      </x:c>
    </x:row>
    <x:row r="416" ht="85" customHeight="1">
      <x:c r="A416" s="10" t="n">
        <x:v>415</x:v>
      </x:c>
      <x:c r="B416" s="10" t="str">
        <x:v>USER-0415</x:v>
      </x:c>
      <x:c r="C416" s="10" t="str">
        <x:v>主播中心</x:v>
      </x:c>
      <x:c r="D416" s="10" t="str">
        <x:v>粉丝团设置（主播）</x:v>
      </x:c>
      <x:c r="E416" s="10" t="str">
        <x:v>逻辑校验</x:v>
      </x:c>
      <x:c r="F416" s="10" t="str">
        <x:v>P1</x:v>
      </x:c>
      <x:c r="G416" s="9" t="str">
        <x:v>验证粉丝团名称长度为19时的校验</x:v>
      </x:c>
      <x:c r="H416" s="9" t="str">
        <x:v>粉丝团名称合法边界</x:v>
      </x:c>
      <x:c r="I416" s="9" t="str">
        <x:v>1. 执行账号为所选主播对应的用户账号，已登录
2. 除粉丝团名称外的必填项已具备合法值</x:v>
      </x:c>
      <x:c r="J416" s="9" t="str">
        <x:v>1. 进入粉丝团设置
2. 清空粉丝团名称
3. 输入粉丝团名称为19 个“测”字符
4. 点击保存</x:v>
      </x:c>
      <x:c r="K416" s="9" t="str">
        <x:v>粉丝团名称接受本次19 字符输入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来源（当前证据）：liveshow-proto/MainBasis/统一需求文档.md；位置：fan-club-settings.html
2. 规则：BR-FBF8248F4B48DD
3. 未动态验证</x:v>
      </x:c>
    </x:row>
    <x:row r="417" ht="85" customHeight="1">
      <x:c r="A417" s="10" t="n">
        <x:v>416</x:v>
      </x:c>
      <x:c r="B417" s="10" t="str">
        <x:v>USER-0416</x:v>
      </x:c>
      <x:c r="C417" s="10" t="str">
        <x:v>主播中心</x:v>
      </x:c>
      <x:c r="D417" s="10" t="str">
        <x:v>粉丝团设置（主播）</x:v>
      </x:c>
      <x:c r="E417" s="10" t="str">
        <x:v>逻辑校验</x:v>
      </x:c>
      <x:c r="F417" s="10" t="str">
        <x:v>P1</x:v>
      </x:c>
      <x:c r="G417" s="9" t="str">
        <x:v>验证粉丝团名称长度为20时的校验</x:v>
      </x:c>
      <x:c r="H417" s="9" t="str">
        <x:v>粉丝团名称合法边界</x:v>
      </x:c>
      <x:c r="I417" s="9" t="str">
        <x:v>1. 执行账号为所选主播对应的用户账号，已登录
2. 除粉丝团名称外的必填项已具备合法值</x:v>
      </x:c>
      <x:c r="J417" s="9" t="str">
        <x:v>1. 进入粉丝团设置
2. 清空粉丝团名称
3. 输入粉丝团名称为20 个“测”字符
4. 点击保存</x:v>
      </x:c>
      <x:c r="K417" s="9" t="str">
        <x:v>粉丝团名称接受本次20 字符输入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来源（当前证据）：liveshow-proto/MainBasis/统一需求文档.md；位置：fan-club-settings.html
2. 规则：BR-293371846A6B63
3. 未动态验证</x:v>
      </x:c>
    </x:row>
    <x:row r="418" ht="85" customHeight="1">
      <x:c r="A418" s="10" t="n">
        <x:v>417</x:v>
      </x:c>
      <x:c r="B418" s="10" t="str">
        <x:v>USER-0417</x:v>
      </x:c>
      <x:c r="C418" s="10" t="str">
        <x:v>主播中心</x:v>
      </x:c>
      <x:c r="D418" s="10" t="str">
        <x:v>粉丝团设置（主播）</x:v>
      </x:c>
      <x:c r="E418" s="10" t="str">
        <x:v>逻辑校验</x:v>
      </x:c>
      <x:c r="F418" s="10" t="str">
        <x:v>P1</x:v>
      </x:c>
      <x:c r="G418" s="9" t="str">
        <x:v>验证粉丝团名称长度为21时的校验</x:v>
      </x:c>
      <x:c r="H418" s="9" t="str">
        <x:v>粉丝团名称越界拦截</x:v>
      </x:c>
      <x:c r="I418" s="9" t="str">
        <x:v>1. 执行账号为所选主播对应的用户账号，已登录
2. 除粉丝团名称外的必填项已具备合法值</x:v>
      </x:c>
      <x:c r="J418" s="9" t="str">
        <x:v>1. 进入粉丝团设置
2. 清空粉丝团名称
3. 输入粉丝团名称为21 个“测”字符
4. 点击保存</x:v>
      </x:c>
      <x:c r="K418" s="9" t="str">
        <x:v>粉丝团名称不能保存超出上限的值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来源（当前证据）：liveshow-proto/MainBasis/统一需求文档.md；位置：fan-club-settings.html
2. 规则：BR-DF6A33F4508C1A
3. 未动态验证</x:v>
      </x:c>
    </x:row>
    <x:row r="419" ht="85" customHeight="1">
      <x:c r="A419" s="10" t="n">
        <x:v>418</x:v>
      </x:c>
      <x:c r="B419" s="10" t="str">
        <x:v>USER-0418</x:v>
      </x:c>
      <x:c r="C419" s="10" t="str">
        <x:v>主播中心</x:v>
      </x:c>
      <x:c r="D419" s="10" t="str">
        <x:v>粉丝团（主播）</x:v>
      </x:c>
      <x:c r="E419" s="10" t="str">
        <x:v>功能需求</x:v>
      </x:c>
      <x:c r="F419" s="10" t="str">
        <x:v>P1</x:v>
      </x:c>
      <x:c r="G419" s="9" t="str">
        <x:v>验证移除成员清空团等级亲密度</x:v>
      </x:c>
      <x:c r="H419" s="9" t="str">
        <x:v>退团数据清理</x:v>
      </x:c>
      <x:c r="I419" s="9" t="str">
        <x:v>1. 执行账号为所选主播对应的用户账号，已登录
2. 成员甲等级3且亲密度100，已在团</x:v>
      </x:c>
      <x:c r="J419" s="9" t="str">
        <x:v>1. 进入自己的粉丝团成员列表
2. 选择甲
3. 点击移除并确认</x:v>
      </x:c>
      <x:c r="K419" s="9" t="str">
        <x:v>甲从当前粉丝团成员列表移除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来源（当前证据）：liveshow-proto/MainBasis/统一需求文档.md；位置：fan-club.html
2. 规则：BR-49215E6F9EA438
3. 未动态验证</x:v>
      </x:c>
    </x:row>
    <x:row r="420" ht="85" customHeight="1">
      <x:c r="A420" s="10" t="n">
        <x:v>419</x:v>
      </x:c>
      <x:c r="B420" s="10" t="str">
        <x:v>USER-0419</x:v>
      </x:c>
      <x:c r="C420" s="10" t="str">
        <x:v>主播中心</x:v>
      </x:c>
      <x:c r="D420" s="10" t="str">
        <x:v>粉丝团（主播）</x:v>
      </x:c>
      <x:c r="E420" s="10" t="str">
        <x:v>功能需求</x:v>
      </x:c>
      <x:c r="F420" s="10" t="str">
        <x:v>P1</x:v>
      </x:c>
      <x:c r="G420" s="9" t="str">
        <x:v>验证成员禁言不改变关注关系</x:v>
      </x:c>
      <x:c r="H420" s="9" t="str">
        <x:v>禁言影响范围</x:v>
      </x:c>
      <x:c r="I420" s="9" t="str">
        <x:v>1. 执行账号为所选主播对应的用户账号，已登录
2. 甲关注主播且在团未被禁言</x:v>
      </x:c>
      <x:c r="J420" s="9" t="str">
        <x:v>1. 进入自己的粉丝团成员列表
2. 选择甲
3. 点击禁言并确认</x:v>
      </x:c>
      <x:c r="K420" s="9" t="str">
        <x:v>甲仍关注主播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来源（当前证据）：liveshow-proto/MainBasis/统一需求文档.md；位置：fan-club.html
2. 规则：BR-C6DEB1E97ED728
3. 未动态验证</x:v>
      </x:c>
    </x:row>
    <x:row r="421" ht="85" customHeight="1">
      <x:c r="A421" s="10" t="n">
        <x:v>420</x:v>
      </x:c>
      <x:c r="B421" s="10" t="str">
        <x:v>USER-0420</x:v>
      </x:c>
      <x:c r="C421" s="10" t="str">
        <x:v>主播中心</x:v>
      </x:c>
      <x:c r="D421" s="10" t="str">
        <x:v>直播数据（主播）</x:v>
      </x:c>
      <x:c r="E421" s="10" t="str">
        <x:v>功能需求</x:v>
      </x:c>
      <x:c r="F421" s="10" t="str">
        <x:v>P1</x:v>
      </x:c>
      <x:c r="G421" s="9" t="str">
        <x:v>验证主播收益不受充值退款回退</x:v>
      </x:c>
      <x:c r="H421" s="9" t="str">
        <x:v>退款收益保留</x:v>
      </x:c>
      <x:c r="I421" s="9" t="str">
        <x:v>1. 执行账号为所选主播对应的用户账号，已登录
2. 本场普通真实礼物收益100，送礼人之后完成充值退款</x:v>
      </x:c>
      <x:c r="J421" s="9" t="str">
        <x:v>1. 进入自己的直播数据
2. 查看本场收益</x:v>
      </x:c>
      <x:c r="K421" s="9" t="str">
        <x:v>主播收益仍为100金币</x:v>
      </x:c>
      <x:c r="L421" s="10" t="str">
        <x:v>FLOW-2BA2481A</x:v>
      </x:c>
      <x:c r="M421" s="10" t="str">
        <x:v>未测</x:v>
      </x:c>
      <x:c r="N421" s="10" t="str"/>
      <x:c r="O421" s="9" t="str">
        <x:v>1. 来源（当前证据）：liveshow-proto/MainBasis/统一需求文档.md；位置：live-data.html
2. 规则：BR-CC62377411BF33
3. 未动态验证</x:v>
      </x:c>
    </x:row>
    <x:row r="422" ht="85" customHeight="1">
      <x:c r="A422" s="10" t="n">
        <x:v>421</x:v>
      </x:c>
      <x:c r="B422" s="10" t="str">
        <x:v>USER-0421</x:v>
      </x:c>
      <x:c r="C422" s="10" t="str">
        <x:v>主播中心</x:v>
      </x:c>
      <x:c r="D422" s="10" t="str">
        <x:v>直播数据（主播）</x:v>
      </x:c>
      <x:c r="E422" s="10" t="str">
        <x:v>功能需求</x:v>
      </x:c>
      <x:c r="F422" s="10" t="str">
        <x:v>P1</x:v>
      </x:c>
      <x:c r="G422" s="9" t="str">
        <x:v>验证多场时长累计达成有效天</x:v>
      </x:c>
      <x:c r="H422" s="9" t="str">
        <x:v>主播有效天</x:v>
      </x:c>
      <x:c r="I422" s="9" t="str">
        <x:v>1. 执行账号为所选主播对应的用户账号，已登录
2. 同一自然日两场有效直播分别2小时和1小时</x:v>
      </x:c>
      <x:c r="J422" s="9" t="str">
        <x:v>1. 进入自己的直播数据
2. 选择该日并查看有效天</x:v>
      </x:c>
      <x:c r="K422" s="9" t="str">
        <x:v>有效天为1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来源（当前证据）：liveshow-proto/MainBasis/统一需求文档.md；位置：live-data.html
2. 规则：BR-0E6CA5FA874F50
3. 未动态验证</x:v>
      </x:c>
    </x:row>
    <x:row r="423" ht="85" customHeight="1">
      <x:c r="A423" s="10" t="n">
        <x:v>422</x:v>
      </x:c>
      <x:c r="B423" s="10" t="str">
        <x:v>USER-0422</x:v>
      </x:c>
      <x:c r="C423" s="10" t="str">
        <x:v>主播中心</x:v>
      </x:c>
      <x:c r="D423" s="10" t="str">
        <x:v>直播数据（主播）</x:v>
      </x:c>
      <x:c r="E423" s="10" t="str">
        <x:v>功能需求</x:v>
      </x:c>
      <x:c r="F423" s="10" t="str">
        <x:v>P1</x:v>
      </x:c>
      <x:c r="G423" s="9" t="str">
        <x:v>验证观众人次累计进场事件</x:v>
      </x:c>
      <x:c r="H423" s="9" t="str">
        <x:v>主播观众口径</x:v>
      </x:c>
      <x:c r="I423" s="9" t="str">
        <x:v>1. 执行账号为所选主播对应的用户账号，已登录
2. 筛选范围内同一观众成功进场3次</x:v>
      </x:c>
      <x:c r="J423" s="9" t="str">
        <x:v>1. 进入自己的直播数据
2. 查看观众人次</x:v>
      </x:c>
      <x:c r="K423" s="9" t="str">
        <x:v>观众人次为3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来源（当前证据）：liveshow-proto/MainBasis/统一需求文档.md；位置：live-data.html
2. 规则：BR-9F1BA9155009B2
3. 未动态验证</x:v>
      </x:c>
    </x:row>
    <x:row r="424" ht="85" customHeight="1">
      <x:c r="A424" s="10" t="n">
        <x:v>423</x:v>
      </x:c>
      <x:c r="B424" s="10" t="str">
        <x:v>USER-0423</x:v>
      </x:c>
      <x:c r="C424" s="10" t="str">
        <x:v>主播中心</x:v>
      </x:c>
      <x:c r="D424" s="10" t="str">
        <x:v>直播记录（主播）</x:v>
      </x:c>
      <x:c r="E424" s="10" t="str">
        <x:v>功能需求</x:v>
      </x:c>
      <x:c r="F424" s="10" t="str">
        <x:v>P1</x:v>
      </x:c>
      <x:c r="G424" s="9" t="str">
        <x:v>验证历史主题保留开播快照</x:v>
      </x:c>
      <x:c r="H424" s="9" t="str">
        <x:v>历史场次快照</x:v>
      </x:c>
      <x:c r="I424" s="9" t="str">
        <x:v>1. 执行账号为所选主播对应的用户账号，已登录
2. 海风场次开播主题是晚间聊天，结束后默认主题改为唱歌</x:v>
      </x:c>
      <x:c r="J424" s="9" t="str">
        <x:v>1. 进入自己的直播记录
2. 打开海风历史场次</x:v>
      </x:c>
      <x:c r="K424" s="9" t="str">
        <x:v>主题仍为晚间聊天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来源（当前证据）：liveshow-proto/MainBasis/统一需求文档.md；位置：live-records.html
2. 规则：BR-2A6AF3C4EF73C7
3. 未动态验证</x:v>
      </x:c>
    </x:row>
    <x:row r="425" ht="85" customHeight="1">
      <x:c r="A425" s="10" t="n">
        <x:v>424</x:v>
      </x:c>
      <x:c r="B425" s="10" t="str">
        <x:v>USER-0424</x:v>
      </x:c>
      <x:c r="C425" s="10" t="str">
        <x:v>主播中心</x:v>
      </x:c>
      <x:c r="D425" s="10" t="str">
        <x:v>直播记录（主播）</x:v>
      </x:c>
      <x:c r="E425" s="10" t="str">
        <x:v>功能需求</x:v>
      </x:c>
      <x:c r="F425" s="10" t="str">
        <x:v>P1</x:v>
      </x:c>
      <x:c r="G425" s="9" t="str">
        <x:v>验证在播场次结束时间为空</x:v>
      </x:c>
      <x:c r="H425" s="9" t="str">
        <x:v>在播记录状态</x:v>
      </x:c>
      <x:c r="I425" s="9" t="str">
        <x:v>1. 执行账号为所选主播对应的用户账号，已登录
2. 目标场次正在直播</x:v>
      </x:c>
      <x:c r="J425" s="9" t="str">
        <x:v>1. 进入自己的直播记录
2. 打开该场次</x:v>
      </x:c>
      <x:c r="K425" s="9" t="str">
        <x:v>结束时间为空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来源（当前证据）：liveshow-proto/MainBasis/统一需求文档.md；位置：live-records.html
2. 规则：BR-1F92ACB5080D1B
3. 未动态验证</x:v>
      </x:c>
    </x:row>
    <x:row r="426" ht="85" customHeight="1">
      <x:c r="A426" s="10" t="n">
        <x:v>425</x:v>
      </x:c>
      <x:c r="B426" s="10" t="str">
        <x:v>USER-0425</x:v>
      </x:c>
      <x:c r="C426" s="10" t="str">
        <x:v>主播中心</x:v>
      </x:c>
      <x:c r="D426" s="10" t="str">
        <x:v>直播记录（主播）</x:v>
      </x:c>
      <x:c r="E426" s="10" t="str">
        <x:v>功能需求</x:v>
      </x:c>
      <x:c r="F426" s="10" t="str">
        <x:v>P1</x:v>
      </x:c>
      <x:c r="G426" s="9" t="str">
        <x:v>验证直播记录按开播时间倒序</x:v>
      </x:c>
      <x:c r="H426" s="9" t="str">
        <x:v>场次时间排序</x:v>
      </x:c>
      <x:c r="I426" s="9" t="str">
        <x:v>1. 执行账号为所选主播对应的用户账号，已登录
2. 同日甲场10:00、乙场11:00开播</x:v>
      </x:c>
      <x:c r="J426" s="9" t="str">
        <x:v>1. 进入自己的直播记录
2. 查看记录顺序</x:v>
      </x:c>
      <x:c r="K426" s="9" t="str">
        <x:v>乙场排在甲场之前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来源（当前证据）：liveshow-proto/MainBasis/统一需求文档.md；位置：live-records.html
2. 规则：BR-2CC622639F0AA1
3. 未动态验证</x:v>
      </x:c>
    </x:row>
    <x:row r="427" ht="85" customHeight="1">
      <x:c r="A427" s="10" t="n">
        <x:v>426</x:v>
      </x:c>
      <x:c r="B427" s="10" t="str">
        <x:v>USER-0426</x:v>
      </x:c>
      <x:c r="C427" s="10" t="str">
        <x:v>主播中心</x:v>
      </x:c>
      <x:c r="D427" s="10" t="str">
        <x:v>开播设置（主播）</x:v>
      </x:c>
      <x:c r="E427" s="10" t="str">
        <x:v>功能需求</x:v>
      </x:c>
      <x:c r="F427" s="10" t="str">
        <x:v>P1</x:v>
      </x:c>
      <x:c r="G427" s="9" t="str">
        <x:v>验证编辑图标导航到指定页面</x:v>
      </x:c>
      <x:c r="H427" s="9" t="str">
        <x:v>页面导航</x:v>
      </x:c>
      <x:c r="I427" s="9" t="str">
        <x:v>1. 主播已登录且拥有开播设置访问权限</x:v>
      </x:c>
      <x:c r="J427" s="9" t="str">
        <x:v>1. 进入开播设置
2. 点击编辑图标</x:v>
      </x:c>
      <x:c r="K427" s="9" t="str">
        <x:v>进入选择可见粉丝页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来源（当前证据）：liveshow-proto/MainBasis/统一需求文档.md；位置：start-live-settings.html
2. 规则：BR-70D82C90791140
3. 未动态验证</x:v>
      </x:c>
    </x:row>
    <x:row r="428" ht="85" customHeight="1">
      <x:c r="A428" s="10" t="n">
        <x:v>427</x:v>
      </x:c>
      <x:c r="B428" s="10" t="str">
        <x:v>USER-0427</x:v>
      </x:c>
      <x:c r="C428" s="10" t="str">
        <x:v>主播中心</x:v>
      </x:c>
      <x:c r="D428" s="10" t="str">
        <x:v>粉丝列表（主播）</x:v>
      </x:c>
      <x:c r="E428" s="10" t="str">
        <x:v>功能需求</x:v>
      </x:c>
      <x:c r="F428" s="10" t="str">
        <x:v>P1</x:v>
      </x:c>
      <x:c r="G428" s="9" t="str">
        <x:v>验证用户导航到指定页面</x:v>
      </x:c>
      <x:c r="H428" s="9" t="str">
        <x:v>页面导航</x:v>
      </x:c>
      <x:c r="I428" s="9" t="str">
        <x:v>1. 主播已登录且拥有粉丝列表访问权限
2. 本页存在可点击的目标记录；目标仍有效且属于当前账号可见范围</x:v>
      </x:c>
      <x:c r="J428" s="9" t="str">
        <x:v>1. 进入粉丝列表
2. 点击用户</x:v>
      </x:c>
      <x:c r="K428" s="9" t="str">
        <x:v>进入对应用户主页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来源（当前证据）：liveshow-proto/MainBasis/统一需求文档.md；位置：fan-list.html
2. 规则：BR-CF8C1A31559622
3. 未动态验证</x:v>
      </x:c>
    </x:row>
    <x:row r="429" ht="85" customHeight="1">
      <x:c r="A429" s="10" t="n">
        <x:v>428</x:v>
      </x:c>
      <x:c r="B429" s="10" t="str">
        <x:v>USER-0428</x:v>
      </x:c>
      <x:c r="C429" s="10" t="str">
        <x:v>主播中心</x:v>
      </x:c>
      <x:c r="D429" s="10" t="str">
        <x:v>分成记录（主播）</x:v>
      </x:c>
      <x:c r="E429" s="10" t="str">
        <x:v>功能需求</x:v>
      </x:c>
      <x:c r="F429" s="10" t="str">
        <x:v>P1</x:v>
      </x:c>
      <x:c r="G429" s="9" t="str">
        <x:v>验证返回导航到指定页面</x:v>
      </x:c>
      <x:c r="H429" s="9" t="str">
        <x:v>页面导航</x:v>
      </x:c>
      <x:c r="I429" s="9" t="str">
        <x:v>1. 主播已登录且拥有分成记录访问权限</x:v>
      </x:c>
      <x:c r="J429" s="9" t="str">
        <x:v>1. 进入分成记录
2. 点击返回</x:v>
      </x:c>
      <x:c r="K429" s="9" t="str">
        <x:v>回到主播中心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来源（当前证据）：liveshow-proto/MainBasis/统一需求文档.md；位置：income-sharing.html
2. 规则：BR-43335904611059
3. 未动态验证</x:v>
      </x:c>
    </x:row>
  </x:sheetData>
  <x:dataValidations count="3">
    <x:dataValidation type="list" sqref="E2:E429">
      <x:formula1>"功能需求,业务流程,逻辑校验,异常用例"</x:formula1>
    </x:dataValidation>
    <x:dataValidation type="list" sqref="F2:F429">
      <x:formula1>"P0,P1,P2,P3"</x:formula1>
    </x:dataValidation>
    <x:dataValidation type="list" sqref="M2:M429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c142b4959f49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00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直播模块</x:v>
      </x:c>
      <x:c r="G2" s="9" t="str">
        <x:v>主播修改本场密码房密码</x:v>
      </x:c>
      <x:c r="H2" s="9" t="str">
        <x:v>字段与数据校验</x:v>
      </x:c>
      <x:c r="I2" s="9" t="str">
        <x:v>房间密码长度采用哪一套约束？</x:v>
      </x:c>
      <x:c r="J2" s="9" t="str">
        <x:v>A. 统一允许 4—12 位数字，创建和修改使用同一约束
B. 创建允许 4—12 位数字，开播后修改必须为 8 位数字</x:v>
      </x:c>
      <x:c r="K2" s="9" t="str">
        <x:v>仅隔离“主播修改本场密码房密码”中由本问题决定的预期；确认后分别检查所选方案的正向和拒绝分支</x:v>
      </x:c>
      <x:c r="L2" s="12" t="str"/>
      <x:c r="M2" s="12" t="str"/>
      <x:c r="N2" s="10" t="str">
        <x:v>1. liveshow-proto/MainBasis/需求待确认清单.md / Q-001
2. 结构化批注写 4—12 位数字；公共批注 live-room-host-password/房间密码写修改为 8 位数字；系统概要未定义长度。</x:v>
      </x:c>
      <x:c r="O2" s="9" t="str">
        <x:v>1. 用户App
2. 主播修改本场密码房密码</x:v>
      </x:c>
      <x:c r="P2" s="9" t="str"/>
      <x:c r="Q2" s="9" t="str">
        <x:v>1. 验证主播修改本场密码房密码按产品所选方案执行
2. 验证不满足所选方案条件时的拒绝或保留状态</x:v>
      </x:c>
      <x:c r="R2" s="9" t="str">
        <x:v>产品</x:v>
      </x:c>
      <x:c r="S2" s="9" t="str">
        <x:v>该规则进入功能测试前</x:v>
      </x:c>
      <x:c r="T2" s="9" t="str">
        <x:v>待确认</x:v>
      </x:c>
    </x:row>
    <x:row r="3" ht="85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首页与发现</x:v>
      </x:c>
      <x:c r="G3" s="9" t="str">
        <x:v>成功邀请新用户后发放奖励</x:v>
      </x:c>
      <x:c r="H3" s="9" t="str">
        <x:v>业务规则</x:v>
      </x:c>
      <x:c r="I3" s="9" t="str">
        <x:v>邀请金币金额按固定值还是后台配置？</x:v>
      </x:c>
      <x:c r="J3" s="9" t="str">
        <x:v>A. 每次成功邀请固定发放 10 金币，变更不追溯已完成邀请
B. 按邀请成功时后台生效配置发放，保存金额快照，变更不追溯已完成邀请</x:v>
      </x:c>
      <x:c r="K3" s="9" t="str">
        <x:v>仅隔离“成功邀请新用户后发放奖励”中由本问题决定的预期；确认后分别检查所选方案的正向和拒绝分支</x:v>
      </x:c>
      <x:c r="L3" s="12" t="str"/>
      <x:c r="M3" s="12" t="str"/>
      <x:c r="N3" s="10" t="str">
        <x:v>1. liveshow-proto/MainBasis/需求待确认清单.md / Q-002
2. 邀请好友批注写每人 10 金币；福利卡片写取后台配置，后台任务支持邀请动作。</x:v>
      </x:c>
      <x:c r="O3" s="9" t="str">
        <x:v>1. 用户App、管理后台
2. 成功邀请新用户后发放奖励</x:v>
      </x:c>
      <x:c r="P3" s="9" t="str"/>
      <x:c r="Q3" s="9" t="str">
        <x:v>1. 验证成功邀请新用户后发放奖励按产品所选方案执行
2. 验证不满足所选方案条件时的拒绝或保留状态</x:v>
      </x:c>
      <x:c r="R3" s="9" t="str">
        <x:v>产品</x:v>
      </x:c>
      <x:c r="S3" s="9" t="str">
        <x:v>该规则进入功能测试前</x:v>
      </x:c>
      <x:c r="T3" s="9" t="str">
        <x:v>待确认</x:v>
      </x:c>
    </x:row>
    <x:row r="4" ht="85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消费或收礼后计算账号等级</x:v>
      </x:c>
      <x:c r="H4" s="9" t="str">
        <x:v>计算与统计口径</x:v>
      </x:c>
      <x:c r="I4" s="9" t="str">
        <x:v>财富等级的累计值按哪种口径？</x:v>
      </x:c>
      <x:c r="J4" s="9" t="str">
        <x:v>A. 仅累计真实金币成功送礼价值，不扣幸运返奖，不因充值退款回退
B. 仅累计真实金币送礼净消耗，扣幸运返奖，不因充值退款回退</x:v>
      </x:c>
      <x:c r="K4" s="9" t="str">
        <x:v>仅隔离“消费或收礼后计算账号等级”中由本问题决定的预期；确认后分别检查所选方案的正向和拒绝分支</x:v>
      </x:c>
      <x:c r="L4" s="12" t="str"/>
      <x:c r="M4" s="12" t="str"/>
      <x:c r="N4" s="10" t="str">
        <x:v>1. liveshow-proto/MainBasis/需求待确认清单.md / Q-003
2. 财富等级相关页面写有效消费、累计充值/消费、送礼贡献，等级配置明确计入范围待确认。</x:v>
      </x:c>
      <x:c r="O4" s="9" t="str">
        <x:v>1. 用户App、公会App、管理后台
2. 消费或收礼后计算账号等级</x:v>
      </x:c>
      <x:c r="P4" s="9" t="str"/>
      <x:c r="Q4" s="9" t="str">
        <x:v>1. 验证消费或收礼后计算账号等级按产品所选方案执行
2. 验证不满足所选方案条件时的拒绝或保留状态</x:v>
      </x:c>
      <x:c r="R4" s="9" t="str">
        <x:v>产品</x:v>
      </x:c>
      <x:c r="S4" s="9" t="str">
        <x:v>该规则进入功能测试前</x:v>
      </x:c>
      <x:c r="T4" s="9" t="str">
        <x:v>待确认</x:v>
      </x:c>
    </x:row>
    <x:row r="5" ht="70" customHeight="1">
      <x:c r="A5" s="10" t="str">
        <x:v>Q-006</x:v>
      </x:c>
      <x:c r="B5" s="10" t="str">
        <x:v>RQ-006</x:v>
      </x:c>
      <x:c r="C5" s="10" t="str"/>
      <x:c r="D5" s="10" t="str"/>
      <x:c r="E5" s="10" t="str">
        <x:v>部分阻塞</x:v>
      </x:c>
      <x:c r="F5" s="10" t="str">
        <x:v>主播中心</x:v>
      </x:c>
      <x:c r="G5" s="9" t="str">
        <x:v>直播权限关闭后点击开始直播</x:v>
      </x:c>
      <x:c r="H5" s="9" t="str">
        <x:v>交互与文案规则</x:v>
      </x:c>
      <x:c r="I5" s="9" t="str">
        <x:v>无开播权限时使用哪种提示？</x:v>
      </x:c>
      <x:c r="J5" s="9" t="str">
        <x:v>A. 显示“暂无开播权限”并停留主播中心
B. 显示“直播权限已关闭，请联系公会”对话框，仅“知道了”关闭</x:v>
      </x:c>
      <x:c r="K5" s="9" t="str">
        <x:v>仅隔离“直播权限关闭后点击开始直播”中由本问题决定的预期；确认后分别检查所选方案的正向和拒绝分支</x:v>
      </x:c>
      <x:c r="L5" s="12" t="str"/>
      <x:c r="M5" s="12" t="str"/>
      <x:c r="N5" s="10" t="str">
        <x:v>1. liveshow-proto/MainBasis/需求待确认清单.md / Q-006
2. 结构化批注与公共批注文案不同；都不允许进入开播。</x:v>
      </x:c>
      <x:c r="O5" s="9" t="str">
        <x:v>1. 用户App
2. 直播权限关闭后点击开始直播</x:v>
      </x:c>
      <x:c r="P5" s="9" t="str"/>
      <x:c r="Q5" s="9" t="str">
        <x:v>1. 验证直播权限关闭后点击开始直播按产品所选方案执行
2. 验证不满足所选方案条件时的拒绝或保留状态</x:v>
      </x:c>
      <x:c r="R5" s="9" t="str">
        <x:v>交互</x:v>
      </x:c>
      <x:c r="S5" s="9" t="str">
        <x:v>该规则进入功能测试前</x:v>
      </x:c>
      <x:c r="T5" s="9" t="str">
        <x:v>待确认</x:v>
      </x:c>
    </x:row>
    <x:row r="6" ht="70" customHeight="1">
      <x:c r="A6" s="10" t="str">
        <x:v>Q-007</x:v>
      </x:c>
      <x:c r="B6" s="10" t="str">
        <x:v>RQ-007</x:v>
      </x:c>
      <x:c r="C6" s="10" t="str"/>
      <x:c r="D6" s="10" t="str"/>
      <x:c r="E6" s="10" t="str">
        <x:v>部分阻塞</x:v>
      </x:c>
      <x:c r="F6" s="10" t="str">
        <x:v>直播模块</x:v>
      </x:c>
      <x:c r="G6" s="9" t="str">
        <x:v>按主播 ID 搜索没有可邀请主播</x:v>
      </x:c>
      <x:c r="H6" s="9" t="str">
        <x:v>交互与文案规则</x:v>
      </x:c>
      <x:c r="I6" s="9" t="str">
        <x:v>连麦搜索无结果时使用哪段文案？</x:v>
      </x:c>
      <x:c r="J6" s="9" t="str">
        <x:v>A. 查询结果为空或主播未在普通房直播
B. 查询结果为空</x:v>
      </x:c>
      <x:c r="K6" s="9" t="str">
        <x:v>仅隔离“按主播 ID 搜索没有可邀请主播”中由本问题决定的预期；确认后分别检查所选方案的正向和拒绝分支</x:v>
      </x:c>
      <x:c r="L6" s="12" t="str"/>
      <x:c r="M6" s="12" t="str"/>
      <x:c r="N6" s="10" t="str">
        <x:v>1. liveshow-proto/MainBasis/需求待确认清单.md / Q-007
2. 结构化批注与公共批注文案不同。</x:v>
      </x:c>
      <x:c r="O6" s="9" t="str">
        <x:v>1. 用户App
2. 按主播 ID 搜索没有可邀请主播</x:v>
      </x:c>
      <x:c r="P6" s="9" t="str"/>
      <x:c r="Q6" s="9" t="str">
        <x:v>1. 验证按主播 ID 搜索没有可邀请主播按产品所选方案执行
2. 验证不满足所选方案条件时的拒绝或保留状态</x:v>
      </x:c>
      <x:c r="R6" s="9" t="str">
        <x:v>交互</x:v>
      </x:c>
      <x:c r="S6" s="9" t="str">
        <x:v>该规则进入功能测试前</x:v>
      </x:c>
      <x:c r="T6" s="9" t="str">
        <x:v>待确认</x:v>
      </x:c>
    </x:row>
    <x:row r="7" ht="85" customHeight="1">
      <x:c r="A7" s="10" t="str">
        <x:v>Q-008</x:v>
      </x:c>
      <x:c r="B7" s="10" t="str">
        <x:v>RQ-008</x:v>
      </x:c>
      <x:c r="C7" s="10" t="str"/>
      <x:c r="D7" s="10" t="str"/>
      <x:c r="E7" s="10" t="str">
        <x:v>部分阻塞</x:v>
      </x:c>
      <x:c r="F7" s="10" t="str">
        <x:v>数据与收益</x:v>
      </x:c>
      <x:c r="G7" s="9" t="str">
        <x:v>任务重置、月度额度和自然日报表跨日</x:v>
      </x:c>
      <x:c r="H7" s="9" t="str">
        <x:v>计算与统计口径</x:v>
      </x:c>
      <x:c r="I7" s="9" t="str">
        <x:v>统一业务日界线使用哪个时区？</x:v>
      </x:c>
      <x:c r="J7" s="9" t="str">
        <x:v>A. 统一 Asia/Jakarta（UTC+7）
B. 统一 Asia/Shanghai（UTC+8）</x:v>
      </x:c>
      <x:c r="K7" s="9" t="str">
        <x:v>仅隔离“任务重置、月度额度和自然日报表跨日”中由本问题决定的预期；确认后分别检查所选方案的正向和拒绝分支</x:v>
      </x:c>
      <x:c r="L7" s="12" t="str"/>
      <x:c r="M7" s="12" t="str"/>
      <x:c r="N7" s="10" t="str">
        <x:v>1. liveshow-proto/MainBasis/需求待确认清单.md / Q-008
2. 多处使用平台统一时区或自然日，未指定时区；榜单周一零点已明确。</x:v>
      </x:c>
      <x:c r="O7" s="9" t="str">
        <x:v>1. 用户App、公会App、管理后台
2. 任务重置、月度额度和自然日报表跨日</x:v>
      </x:c>
      <x:c r="P7" s="9" t="str"/>
      <x:c r="Q7" s="9" t="str">
        <x:v>1. 验证任务重置、月度额度和自然日报表跨日按产品所选方案执行
2. 验证不满足所选方案条件时的拒绝或保留状态</x:v>
      </x:c>
      <x:c r="R7" s="9" t="str">
        <x:v>多方确认</x:v>
      </x:c>
      <x:c r="S7" s="9" t="str">
        <x:v>该规则进入功能测试前</x:v>
      </x:c>
      <x:c r="T7" s="9" t="str">
        <x:v>待确认</x:v>
      </x:c>
    </x:row>
    <x:row r="8" ht="85" customHeight="1">
      <x:c r="A8" s="10" t="str">
        <x:v>Q-009</x:v>
      </x:c>
      <x:c r="B8" s="10" t="str">
        <x:v>RQ-009</x:v>
      </x:c>
      <x:c r="C8" s="10" t="str"/>
      <x:c r="D8" s="10" t="str"/>
      <x:c r="E8" s="10" t="str">
        <x:v>部分阻塞</x:v>
      </x:c>
      <x:c r="F8" s="10" t="str">
        <x:v>首页与发现</x:v>
      </x:c>
      <x:c r="G8" s="9" t="str">
        <x:v>每周任务进入新周期</x:v>
      </x:c>
      <x:c r="H8" s="9" t="str">
        <x:v>流程与状态</x:v>
      </x:c>
      <x:c r="I8" s="9" t="str">
        <x:v>每周任务从哪一天开始？</x:v>
      </x:c>
      <x:c r="J8" s="9" t="str">
        <x:v>A. 业务时区周一 00:00 开始
B. 业务时区周日 00:00 开始</x:v>
      </x:c>
      <x:c r="K8" s="9" t="str">
        <x:v>仅隔离“每周任务进入新周期”中由本问题决定的预期；确认后分别检查所选方案的正向和拒绝分支</x:v>
      </x:c>
      <x:c r="L8" s="12" t="str"/>
      <x:c r="M8" s="12" t="str"/>
      <x:c r="N8" s="10" t="str">
        <x:v>1. liveshow-proto/MainBasis/需求待确认清单.md / Q-009
2. 榜单已明确周一；任务批注明确周起始日待确认，不能直接套用榜单规则。</x:v>
      </x:c>
      <x:c r="O8" s="9" t="str">
        <x:v>1. 用户App、管理后台
2. 每周任务进入新周期</x:v>
      </x:c>
      <x:c r="P8" s="9" t="str"/>
      <x:c r="Q8" s="9" t="str">
        <x:v>1. 验证每周任务进入新周期按产品所选方案执行
2. 验证不满足所选方案条件时的拒绝或保留状态</x:v>
      </x:c>
      <x:c r="R8" s="9" t="str">
        <x:v>产品</x:v>
      </x:c>
      <x:c r="S8" s="9" t="str">
        <x:v>该规则进入功能测试前</x:v>
      </x:c>
      <x:c r="T8" s="9" t="str">
        <x:v>待确认</x:v>
      </x:c>
    </x:row>
    <x:row r="9" ht="85" customHeight="1">
      <x:c r="A9" s="10" t="str">
        <x:v>Q-010</x:v>
      </x:c>
      <x:c r="B9" s="10" t="str">
        <x:v>RQ-010</x:v>
      </x:c>
      <x:c r="C9" s="10" t="str"/>
      <x:c r="D9" s="10" t="str"/>
      <x:c r="E9" s="10" t="str">
        <x:v>部分阻塞</x:v>
      </x:c>
      <x:c r="F9" s="10" t="str">
        <x:v>首页与发现</x:v>
      </x:c>
      <x:c r="G9" s="9" t="str">
        <x:v>用户漏签后请求补签</x:v>
      </x:c>
      <x:c r="H9" s="9" t="str">
        <x:v>业务规则</x:v>
      </x:c>
      <x:c r="I9" s="9" t="str">
        <x:v>是否允许补签漏签日期？</x:v>
      </x:c>
      <x:c r="J9" s="9" t="str">
        <x:v>A. 不提供补签，漏签后重新从第 1 天手动签到
B. 允许补签前一个自然日，每日最多补签 1 次并按补签后连续天数发放该日奖励</x:v>
      </x:c>
      <x:c r="K9" s="9" t="str">
        <x:v>仅隔离“用户漏签后请求补签”中由本问题决定的预期；确认后分别检查所选方案的正向和拒绝分支</x:v>
      </x:c>
      <x:c r="L9" s="12" t="str"/>
      <x:c r="M9" s="12" t="str"/>
      <x:c r="N9" s="10" t="str">
        <x:v>1. liveshow-proto/MainBasis/需求待确认清单.md / Q-010
2. 签到批注明确是否支持补签待确认；普通断签重算和每日手动签到已明确。</x:v>
      </x:c>
      <x:c r="O9" s="9" t="str">
        <x:v>1. 用户App、管理后台
2. 用户漏签后请求补签</x:v>
      </x:c>
      <x:c r="P9" s="9" t="str"/>
      <x:c r="Q9" s="9" t="str">
        <x:v>1. 验证用户漏签后请求补签按产品所选方案执行
2. 验证不满足所选方案条件时的拒绝或保留状态</x:v>
      </x:c>
      <x:c r="R9" s="9" t="str">
        <x:v>产品</x:v>
      </x:c>
      <x:c r="S9" s="9" t="str">
        <x:v>该规则进入功能测试前</x:v>
      </x:c>
      <x:c r="T9" s="9" t="str">
        <x:v>待确认</x:v>
      </x:c>
    </x:row>
    <x:row r="10" ht="85" customHeight="1">
      <x:c r="A10" s="10" t="str">
        <x:v>Q-011</x:v>
      </x:c>
      <x:c r="B10" s="10" t="str">
        <x:v>RQ-011</x:v>
      </x:c>
      <x:c r="C10" s="10" t="str"/>
      <x:c r="D10" s="10" t="str"/>
      <x:c r="E10" s="10" t="str">
        <x:v>部分阻塞</x:v>
      </x:c>
      <x:c r="F10" s="10" t="str">
        <x:v>首页与发现</x:v>
      </x:c>
      <x:c r="G10" s="9" t="str">
        <x:v>任务已达标、奖励未到当日截止时间，后台停用任务</x:v>
      </x:c>
      <x:c r="H10" s="9" t="str">
        <x:v>配置和历史数据影响</x:v>
      </x:c>
      <x:c r="I10" s="9" t="str">
        <x:v>停用或到期后已达标未过期奖励是否仍可领取？</x:v>
      </x:c>
      <x:c r="J10" s="9" t="str">
        <x:v>A. 仍可领取至原当日截止时间，停用后不产生新进度
B. 停用或到期即失去未领取资格，已领取奖励不回收</x:v>
      </x:c>
      <x:c r="K10" s="9" t="str">
        <x:v>仅隔离“任务已达标、奖励未到当日截止时间，后台停用任务”中由本问题决定的预期；确认后分别检查所选方案的正向和拒绝分支</x:v>
      </x:c>
      <x:c r="L10" s="12" t="str"/>
      <x:c r="M10" s="12" t="str"/>
      <x:c r="N10" s="10" t="str">
        <x:v>1. liveshow-proto/MainBasis/需求待确认清单.md / Q-011
2. 任务只规定停用不回收已领、停止新进度；未领取权益批注明确待确认。</x:v>
      </x:c>
      <x:c r="O10" s="9" t="str">
        <x:v>1. 用户App、管理后台
2. 任务已达标、奖励未到当日截止时间，后台停用任务</x:v>
      </x:c>
      <x:c r="P10" s="9" t="str"/>
      <x:c r="Q10" s="9" t="str">
        <x:v>1. 验证任务已达标、奖励未到当日截止时间，后台停用任务按产品所选方案执行
2. 验证不满足所选方案条件时的拒绝或保留状态</x:v>
      </x:c>
      <x:c r="R10" s="9" t="str">
        <x:v>产品</x:v>
      </x:c>
      <x:c r="S10" s="9" t="str">
        <x:v>该规则进入功能测试前</x:v>
      </x:c>
      <x:c r="T10" s="9" t="str">
        <x:v>待确认</x:v>
      </x:c>
    </x:row>
    <x:row r="11" ht="70" customHeight="1">
      <x:c r="A11" s="10" t="str">
        <x:v>Q-012</x:v>
      </x:c>
      <x:c r="B11" s="10" t="str">
        <x:v>RQ-012</x:v>
      </x:c>
      <x:c r="C11" s="10" t="str"/>
      <x:c r="D11" s="10" t="str"/>
      <x:c r="E11" s="10" t="str">
        <x:v>部分阻塞</x:v>
      </x:c>
      <x:c r="F11" s="10" t="str">
        <x:v>首页与发现</x:v>
      </x:c>
      <x:c r="G11" s="9" t="str">
        <x:v>任务奖励在当日 23:59 领取</x:v>
      </x:c>
      <x:c r="H11" s="9" t="str">
        <x:v>流程与状态</x:v>
      </x:c>
      <x:c r="I11" s="9" t="str">
        <x:v>“23:59 之前”以哪个时间点为失效边界？</x:v>
      </x:c>
      <x:c r="J11" s="9" t="str">
        <x:v>A. 当日 23:59:00 起失效
B. 次日 00:00:00 起失效，即包含 23:59 整分钟</x:v>
      </x:c>
      <x:c r="K11" s="9" t="str">
        <x:v>仅隔离“任务奖励在当日 23:59 领取”中由本问题决定的预期；确认后分别检查所选方案的正向和拒绝分支</x:v>
      </x:c>
      <x:c r="L11" s="12" t="str"/>
      <x:c r="M11" s="12" t="str"/>
      <x:c r="N11" s="10" t="str">
        <x:v>1. liveshow-proto/MainBasis/需求待确认清单.md / Q-012
2. 奖励截止只精确到分钟，未定义最后一分钟的秒级处理。</x:v>
      </x:c>
      <x:c r="O11" s="9" t="str">
        <x:v>1. 用户App、管理后台
2. 任务奖励在当日 23:59 领取</x:v>
      </x:c>
      <x:c r="P11" s="9" t="str"/>
      <x:c r="Q11" s="9" t="str">
        <x:v>1. 验证任务奖励在当日 23:59 领取按产品所选方案执行
2. 验证不满足所选方案条件时的拒绝或保留状态</x:v>
      </x:c>
      <x:c r="R11" s="9" t="str">
        <x:v>产品</x:v>
      </x:c>
      <x:c r="S11" s="9" t="str">
        <x:v>该规则进入功能测试前</x:v>
      </x:c>
      <x:c r="T11" s="9" t="str">
        <x:v>待确认</x:v>
      </x:c>
    </x:row>
    <x:row r="12" ht="85" customHeight="1">
      <x:c r="A12" s="10" t="str">
        <x:v>Q-015</x:v>
      </x:c>
      <x:c r="B12" s="10" t="str">
        <x:v>RQ-015</x:v>
      </x:c>
      <x:c r="C12" s="10" t="str"/>
      <x:c r="D12" s="10" t="str"/>
      <x:c r="E12" s="10" t="str">
        <x:v>部分阻塞</x:v>
      </x:c>
      <x:c r="F12" s="10" t="str">
        <x:v>账号与登录</x:v>
      </x:c>
      <x:c r="G12" s="9" t="str">
        <x:v>用户忘记手机号或邮箱登录密码</x:v>
      </x:c>
      <x:c r="H12" s="9" t="str">
        <x:v>需求范围</x:v>
      </x:c>
      <x:c r="I12" s="9" t="str">
        <x:v>用户 App 密码找回入口放在哪里？</x:v>
      </x:c>
      <x:c r="J12" s="9" t="str">
        <x:v>A. 在手机号和邮箱密码登录表单增加“忘记密码”，验证相同渠道验证码后设置新密码
B. 本期不提供用户自行找回入口，由客服按账号核验流程处理</x:v>
      </x:c>
      <x:c r="K12" s="9" t="str">
        <x:v>仅隔离“用户忘记手机号或邮箱登录密码”中由本问题决定的预期；确认后分别检查所选方案的正向和拒绝分支</x:v>
      </x:c>
      <x:c r="L12" s="12" t="str"/>
      <x:c r="M12" s="12" t="str"/>
      <x:c r="N12" s="10" t="str">
        <x:v>1. liveshow-proto/MainBasis/需求待确认清单.md / Q-015
2. 系统概要列重置密码，当前登录页只有验证码/密码登录入口，未形成找回页面与结果。</x:v>
      </x:c>
      <x:c r="O12" s="9" t="str">
        <x:v>1. 用户App
2. 用户忘记手机号或邮箱登录密码</x:v>
      </x:c>
      <x:c r="P12" s="9" t="str"/>
      <x:c r="Q12" s="9" t="str">
        <x:v>1. 验证用户忘记手机号或邮箱登录密码按产品所选方案执行
2. 验证不满足所选方案条件时的拒绝或保留状态</x:v>
      </x:c>
      <x:c r="R12" s="9" t="str">
        <x:v>产品</x:v>
      </x:c>
      <x:c r="S12" s="9" t="str">
        <x:v>该规则进入功能测试前</x:v>
      </x:c>
      <x:c r="T12" s="9" t="str">
        <x:v>待确认</x:v>
      </x:c>
    </x:row>
    <x:row r="13" ht="100" customHeight="1">
      <x:c r="A13" s="10" t="str">
        <x:v>Q-016</x:v>
      </x:c>
      <x:c r="B13" s="10" t="str">
        <x:v>RQ-016</x:v>
      </x:c>
      <x:c r="C13" s="10" t="str"/>
      <x:c r="D13" s="10" t="str"/>
      <x:c r="E13" s="10" t="str">
        <x:v>部分阻塞</x:v>
      </x:c>
      <x:c r="F13" s="10" t="str">
        <x:v>公会</x:v>
      </x:c>
      <x:c r="G13" s="9" t="str">
        <x:v>平台终审驳回后重新申请</x:v>
      </x:c>
      <x:c r="H13" s="9" t="str">
        <x:v>流程与状态</x:v>
      </x:c>
      <x:c r="I13" s="9" t="str">
        <x:v>终审驳回后的重新申请入口如何承接新入会申请？</x:v>
      </x:c>
      <x:c r="J13" s="9" t="str">
        <x:v>A. 返回公会选择页，重新填写认证资料并提交完整新申请
B. 留在申请页复用原公会，修改材料后提交完整新申请</x:v>
      </x:c>
      <x:c r="K13" s="9" t="str">
        <x:v>仅隔离“平台终审驳回后重新申请”中由本问题决定的预期；确认后分别检查所选方案的正向和拒绝分支</x:v>
      </x:c>
      <x:c r="L13" s="12" t="str"/>
      <x:c r="M13" s="12" t="str"/>
      <x:c r="N13" s="10" t="str">
        <x:v>1. liveshow-proto/MainBasis/需求待确认清单.md / Q-016
2. 系统概要明确任一方驳回均使申请失效；原型仍只重提平台认证。两方案均重新经过公会初审和平台终审。</x:v>
      </x:c>
      <x:c r="O13" s="9" t="str">
        <x:v>1. 用户App
2. 平台终审驳回后重新申请</x:v>
      </x:c>
      <x:c r="P13" s="9" t="str"/>
      <x:c r="Q13" s="9" t="str">
        <x:v>1. 验证平台终审驳回后重新申请按产品所选方案执行
2. 验证不满足所选方案条件时的拒绝或保留状态</x:v>
      </x:c>
      <x:c r="R13" s="9" t="str">
        <x:v>产品</x:v>
      </x:c>
      <x:c r="S13" s="9" t="str">
        <x:v>该规则进入功能测试前</x:v>
      </x:c>
      <x:c r="T13" s="9" t="str">
        <x:v>待确认</x:v>
      </x:c>
    </x:row>
    <x:row r="14" ht="85" customHeight="1">
      <x:c r="A14" s="10" t="str">
        <x:v>Q-017</x:v>
      </x:c>
      <x:c r="B14" s="10" t="str">
        <x:v>RQ-017</x:v>
      </x:c>
      <x:c r="C14" s="10" t="str"/>
      <x:c r="D14" s="10" t="str"/>
      <x:c r="E14" s="10" t="str">
        <x:v>部分阻塞</x:v>
      </x:c>
      <x:c r="F14" s="10" t="str">
        <x:v>首页与发现</x:v>
      </x:c>
      <x:c r="G14" s="9" t="str">
        <x:v>充值退款后查看历史送礼榜单</x:v>
      </x:c>
      <x:c r="H14" s="9" t="str">
        <x:v>计算与统计口径</x:v>
      </x:c>
      <x:c r="I14" s="9" t="str">
        <x:v>充值退款是否影响既有礼物榜单贡献？</x:v>
      </x:c>
      <x:c r="J14" s="9" t="str">
        <x:v>A. 不改变已完成赠礼贡献，原排名按保留贡献计算
B. 将该退款关联用户既有贡献从退款完成日起排除，退款前历史榜单快照保留</x:v>
      </x:c>
      <x:c r="K14" s="9" t="str">
        <x:v>仅隔离“充值退款后查看历史送礼榜单”中由本问题决定的预期；确认后分别检查所选方案的正向和拒绝分支</x:v>
      </x:c>
      <x:c r="L14" s="12" t="str"/>
      <x:c r="M14" s="12" t="str"/>
      <x:c r="N14" s="10" t="str">
        <x:v>1. liveshow-proto/MainBasis/需求待确认清单.md / Q-017
2. 系统概要保留消费与主播收益，但未直接规定榜单；批注笼统写退款或冲正后重算。</x:v>
      </x:c>
      <x:c r="O14" s="9" t="str">
        <x:v>1. 用户App
2. 充值退款后查看历史送礼榜单</x:v>
      </x:c>
      <x:c r="P14" s="9" t="str"/>
      <x:c r="Q14" s="9" t="str">
        <x:v>1. 验证充值退款后查看历史送礼榜单按产品所选方案执行
2. 验证不满足所选方案条件时的拒绝或保留状态</x:v>
      </x:c>
      <x:c r="R14" s="9" t="str">
        <x:v>产品</x:v>
      </x:c>
      <x:c r="S14" s="9" t="str">
        <x:v>该规则进入功能测试前</x:v>
      </x:c>
      <x:c r="T14" s="9" t="str">
        <x:v>待确认</x:v>
      </x:c>
    </x:row>
    <x:row r="15" ht="100" customHeight="1">
      <x:c r="A15" s="10" t="str">
        <x:v>Q-018</x:v>
      </x:c>
      <x:c r="B15" s="10" t="str">
        <x:v>RQ-018</x:v>
      </x:c>
      <x:c r="C15" s="10" t="str"/>
      <x:c r="D15" s="10" t="str"/>
      <x:c r="E15" s="10" t="str">
        <x:v>部分阻塞</x:v>
      </x:c>
      <x:c r="F15" s="10" t="str">
        <x:v>首页与发现</x:v>
      </x:c>
      <x:c r="G15" s="9" t="str">
        <x:v>搜索结果存在至少两条可比较记录</x:v>
      </x:c>
      <x:c r="H15" s="9" t="str">
        <x:v>计算与统计口径</x:v>
      </x:c>
      <x:c r="I15" s="9" t="str">
        <x:v>搜索结果中未定义的排序如何确定？</x:v>
      </x:c>
      <x:c r="J15" s="9" t="str">
        <x:v>A. 按记录创建时间倒序，相同时按 ID 从大到小
B. 按名称升序，相同时按 ID 从小到大</x:v>
      </x:c>
      <x:c r="K15" s="9" t="str">
        <x:v>仅隔离“搜索结果存在至少两条可比较记录”中由本问题决定的预期；确认后分别检查所选方案的正向和拒绝分支</x:v>
      </x:c>
      <x:c r="L15" s="12" t="str"/>
      <x:c r="M15" s="12" t="str"/>
      <x:c r="N15" s="10" t="str">
        <x:v>1. liveshow-proto/MainBasis/需求待确认清单.md / Q-018
2. liveshow-proto/prototype/annotations/user.js search-results.html / 业务规则 / 3.3：排序：匹配结果的优先级待确认。</x:v>
      </x:c>
      <x:c r="O15" s="9" t="str">
        <x:v>1. 用户App
2. 搜索结果存在至少两条可比较记录</x:v>
      </x:c>
      <x:c r="P15" s="9" t="str"/>
      <x:c r="Q15" s="9" t="str">
        <x:v>1. 验证搜索结果存在至少两条可比较记录按产品所选方案执行
2. 验证不满足所选方案条件时的拒绝或保留状态</x:v>
      </x:c>
      <x:c r="R15" s="9" t="str">
        <x:v>产品</x:v>
      </x:c>
      <x:c r="S15" s="9" t="str">
        <x:v>该规则进入功能测试前</x:v>
      </x:c>
      <x:c r="T15" s="9" t="str">
        <x:v>待确认</x:v>
      </x:c>
    </x:row>
    <x:row r="16" ht="115" customHeight="1">
      <x:c r="A16" s="10" t="str">
        <x:v>Q-019</x:v>
      </x:c>
      <x:c r="B16" s="10" t="str">
        <x:v>RQ-019</x:v>
      </x:c>
      <x:c r="C16" s="10" t="str"/>
      <x:c r="D16" s="10" t="str"/>
      <x:c r="E16" s="10" t="str">
        <x:v>部分阻塞</x:v>
      </x:c>
      <x:c r="F16" s="10" t="str">
        <x:v>消息与社交</x:v>
      </x:c>
      <x:c r="G16" s="9" t="str">
        <x:v>粉丝列表存在至少两条可比较记录</x:v>
      </x:c>
      <x:c r="H16" s="9" t="str">
        <x:v>计算与统计口径</x:v>
      </x:c>
      <x:c r="I16" s="9" t="str">
        <x:v>粉丝列表中未定义的排序如何确定？</x:v>
      </x:c>
      <x:c r="J16" s="9" t="str">
        <x:v>A. 按记录创建时间倒序，相同时按 ID 从大到小
B. 按名称升序，相同时按 ID 从小到大</x:v>
      </x:c>
      <x:c r="K16" s="9" t="str">
        <x:v>仅隔离“粉丝列表存在至少两条可比较记录”中由本问题决定的预期；确认后分别检查所选方案的正向和拒绝分支</x:v>
      </x:c>
      <x:c r="L16" s="12" t="str"/>
      <x:c r="M16" s="12" t="str"/>
      <x:c r="N16" s="10" t="str">
        <x:v>1. liveshow-proto/MainBasis/需求待确认清单.md / Q-019
2. liveshow-proto/prototype/annotations/user.js follower-list.html / 业务规则 / 3.2：排序：粉丝列表排序依据待确认；搜索不改变结果的相对顺序。</x:v>
      </x:c>
      <x:c r="O16" s="9" t="str">
        <x:v>1. 用户App
2. 粉丝列表存在至少两条可比较记录</x:v>
      </x:c>
      <x:c r="P16" s="9" t="str"/>
      <x:c r="Q16" s="9" t="str">
        <x:v>1. 验证粉丝列表存在至少两条可比较记录按产品所选方案执行
2. 验证不满足所选方案条件时的拒绝或保留状态</x:v>
      </x:c>
      <x:c r="R16" s="9" t="str">
        <x:v>产品</x:v>
      </x:c>
      <x:c r="S16" s="9" t="str">
        <x:v>该规则进入功能测试前</x:v>
      </x:c>
      <x:c r="T16" s="9" t="str">
        <x:v>待确认</x:v>
      </x:c>
    </x:row>
    <x:row r="17" ht="100" customHeight="1">
      <x:c r="A17" s="10" t="str">
        <x:v>Q-020</x:v>
      </x:c>
      <x:c r="B17" s="10" t="str">
        <x:v>RQ-020</x:v>
      </x:c>
      <x:c r="C17" s="10" t="str"/>
      <x:c r="D17" s="10" t="str"/>
      <x:c r="E17" s="10" t="str">
        <x:v>部分阻塞</x:v>
      </x:c>
      <x:c r="F17" s="10" t="str">
        <x:v>个人中心</x:v>
      </x:c>
      <x:c r="G17" s="9" t="str">
        <x:v>我的关注存在至少两条可比较记录</x:v>
      </x:c>
      <x:c r="H17" s="9" t="str">
        <x:v>计算与统计口径</x:v>
      </x:c>
      <x:c r="I17" s="9" t="str">
        <x:v>我的关注中未定义的排序如何确定？</x:v>
      </x:c>
      <x:c r="J17" s="9" t="str">
        <x:v>A. 按记录创建时间倒序，相同时按 ID 从大到小
B. 按名称升序，相同时按 ID 从小到大</x:v>
      </x:c>
      <x:c r="K17" s="9" t="str">
        <x:v>仅隔离“我的关注存在至少两条可比较记录”中由本问题决定的预期；确认后分别检查所选方案的正向和拒绝分支</x:v>
      </x:c>
      <x:c r="L17" s="12" t="str"/>
      <x:c r="M17" s="12" t="str"/>
      <x:c r="N17" s="10" t="str">
        <x:v>1. liveshow-proto/MainBasis/需求待确认清单.md / Q-020
2. liveshow-proto/prototype/annotations/user.js my-following.html / 业务规则 / 3.3：排序：关注列表的排序依据待确认。</x:v>
      </x:c>
      <x:c r="O17" s="9" t="str">
        <x:v>1. 用户App
2. 我的关注存在至少两条可比较记录</x:v>
      </x:c>
      <x:c r="P17" s="9" t="str"/>
      <x:c r="Q17" s="9" t="str">
        <x:v>1. 验证我的关注存在至少两条可比较记录按产品所选方案执行
2. 验证不满足所选方案条件时的拒绝或保留状态</x:v>
      </x:c>
      <x:c r="R17" s="9" t="str">
        <x:v>产品</x:v>
      </x:c>
      <x:c r="S17" s="9" t="str">
        <x:v>该规则进入功能测试前</x:v>
      </x:c>
      <x:c r="T17" s="9" t="str">
        <x:v>待确认</x:v>
      </x:c>
    </x:row>
    <x:row r="18" ht="115" customHeight="1">
      <x:c r="A18" s="10" t="str">
        <x:v>Q-021</x:v>
      </x:c>
      <x:c r="B18" s="10" t="str">
        <x:v>RQ-021</x:v>
      </x:c>
      <x:c r="C18" s="10" t="str"/>
      <x:c r="D18" s="10" t="str"/>
      <x:c r="E18" s="10" t="str">
        <x:v>部分阻塞</x:v>
      </x:c>
      <x:c r="F18" s="10" t="str">
        <x:v>个人中心</x:v>
      </x:c>
      <x:c r="G18" s="9" t="str">
        <x:v>头像框存在至少两条可比较记录</x:v>
      </x:c>
      <x:c r="H18" s="9" t="str">
        <x:v>计算与统计口径</x:v>
      </x:c>
      <x:c r="I18" s="9" t="str">
        <x:v>头像框中未定义的排序如何确定？</x:v>
      </x:c>
      <x:c r="J18" s="9" t="str">
        <x:v>A. 按记录创建时间倒序，相同时按 ID 从大到小
B. 按名称升序，相同时按 ID 从小到大</x:v>
      </x:c>
      <x:c r="K18" s="9" t="str">
        <x:v>仅隔离“头像框存在至少两条可比较记录”中由本问题决定的预期；确认后分别检查所选方案的正向和拒绝分支</x:v>
      </x:c>
      <x:c r="L18" s="12" t="str"/>
      <x:c r="M18" s="12" t="str"/>
      <x:c r="N18" s="10" t="str">
        <x:v>1. liveshow-proto/MainBasis/需求待确认清单.md / Q-021
2. liveshow-proto/prototype/annotations/user.js my-decoration-avatar-frame.html / 业务规则 / 3.2：数据范围：当前账号持有的头像框；道具列表排序依据待确认。</x:v>
      </x:c>
      <x:c r="O18" s="9" t="str">
        <x:v>1. 用户App
2. 头像框存在至少两条可比较记录</x:v>
      </x:c>
      <x:c r="P18" s="9" t="str"/>
      <x:c r="Q18" s="9" t="str">
        <x:v>1. 验证头像框存在至少两条可比较记录按产品所选方案执行
2. 验证不满足所选方案条件时的拒绝或保留状态</x:v>
      </x:c>
      <x:c r="R18" s="9" t="str">
        <x:v>产品</x:v>
      </x:c>
      <x:c r="S18" s="9" t="str">
        <x:v>该规则进入功能测试前</x:v>
      </x:c>
      <x:c r="T18" s="9" t="str">
        <x:v>待确认</x:v>
      </x:c>
    </x:row>
    <x:row r="19" ht="115" customHeight="1">
      <x:c r="A19" s="10" t="str">
        <x:v>Q-022</x:v>
      </x:c>
      <x:c r="B19" s="10" t="str">
        <x:v>RQ-022</x:v>
      </x:c>
      <x:c r="C19" s="10" t="str"/>
      <x:c r="D19" s="10" t="str"/>
      <x:c r="E19" s="10" t="str">
        <x:v>部分阻塞</x:v>
      </x:c>
      <x:c r="F19" s="10" t="str">
        <x:v>个人中心</x:v>
      </x:c>
      <x:c r="G19" s="9" t="str">
        <x:v>聊天气泡存在至少两条可比较记录</x:v>
      </x:c>
      <x:c r="H19" s="9" t="str">
        <x:v>计算与统计口径</x:v>
      </x:c>
      <x:c r="I19" s="9" t="str">
        <x:v>聊天气泡中未定义的排序如何确定？</x:v>
      </x:c>
      <x:c r="J19" s="9" t="str">
        <x:v>A. 按记录创建时间倒序，相同时按 ID 从大到小
B. 按名称升序，相同时按 ID 从小到大</x:v>
      </x:c>
      <x:c r="K19" s="9" t="str">
        <x:v>仅隔离“聊天气泡存在至少两条可比较记录”中由本问题决定的预期；确认后分别检查所选方案的正向和拒绝分支</x:v>
      </x:c>
      <x:c r="L19" s="12" t="str"/>
      <x:c r="M19" s="12" t="str"/>
      <x:c r="N19" s="10" t="str">
        <x:v>1. liveshow-proto/MainBasis/需求待确认清单.md / Q-022
2. liveshow-proto/prototype/annotations/user.js my-decoration-chat-bubble.html / 业务规则 / 3.2：数据范围：当前账号持有的聊天气泡；道具列表排序依据待确认。</x:v>
      </x:c>
      <x:c r="O19" s="9" t="str">
        <x:v>1. 用户App
2. 聊天气泡存在至少两条可比较记录</x:v>
      </x:c>
      <x:c r="P19" s="9" t="str"/>
      <x:c r="Q19" s="9" t="str">
        <x:v>1. 验证聊天气泡存在至少两条可比较记录按产品所选方案执行
2. 验证不满足所选方案条件时的拒绝或保留状态</x:v>
      </x:c>
      <x:c r="R19" s="9" t="str">
        <x:v>产品</x:v>
      </x:c>
      <x:c r="S19" s="9" t="str">
        <x:v>该规则进入功能测试前</x:v>
      </x:c>
      <x:c r="T19" s="9" t="str">
        <x:v>待确认</x:v>
      </x:c>
    </x:row>
    <x:row r="20" ht="115" customHeight="1">
      <x:c r="A20" s="10" t="str">
        <x:v>Q-023</x:v>
      </x:c>
      <x:c r="B20" s="10" t="str">
        <x:v>RQ-023</x:v>
      </x:c>
      <x:c r="C20" s="10" t="str"/>
      <x:c r="D20" s="10" t="str"/>
      <x:c r="E20" s="10" t="str">
        <x:v>部分阻塞</x:v>
      </x:c>
      <x:c r="F20" s="10" t="str">
        <x:v>个人中心</x:v>
      </x:c>
      <x:c r="G20" s="9" t="str">
        <x:v>勋章存在至少两条可比较记录</x:v>
      </x:c>
      <x:c r="H20" s="9" t="str">
        <x:v>计算与统计口径</x:v>
      </x:c>
      <x:c r="I20" s="9" t="str">
        <x:v>勋章中未定义的排序如何确定？</x:v>
      </x:c>
      <x:c r="J20" s="9" t="str">
        <x:v>A. 按记录创建时间倒序，相同时按 ID 从大到小
B. 按名称升序，相同时按 ID 从小到大</x:v>
      </x:c>
      <x:c r="K20" s="9" t="str">
        <x:v>仅隔离“勋章存在至少两条可比较记录”中由本问题决定的预期；确认后分别检查所选方案的正向和拒绝分支</x:v>
      </x:c>
      <x:c r="L20" s="12" t="str"/>
      <x:c r="M20" s="12" t="str"/>
      <x:c r="N20" s="10" t="str">
        <x:v>1. liveshow-proto/MainBasis/需求待确认清单.md / Q-023
2. liveshow-proto/prototype/annotations/user.js my-decoration-medal.html / 业务规则 / 3.2：数据范围：当前账号持有的勋章；道具列表排序依据待确认。</x:v>
      </x:c>
      <x:c r="O20" s="9" t="str">
        <x:v>1. 用户App
2. 勋章存在至少两条可比较记录</x:v>
      </x:c>
      <x:c r="P20" s="9" t="str"/>
      <x:c r="Q20" s="9" t="str">
        <x:v>1. 验证勋章存在至少两条可比较记录按产品所选方案执行
2. 验证不满足所选方案条件时的拒绝或保留状态</x:v>
      </x:c>
      <x:c r="R20" s="9" t="str">
        <x:v>产品</x:v>
      </x:c>
      <x:c r="S20" s="9" t="str">
        <x:v>该规则进入功能测试前</x:v>
      </x:c>
      <x:c r="T20" s="9" t="str">
        <x:v>待确认</x:v>
      </x:c>
    </x:row>
    <x:row r="21" ht="115" customHeight="1">
      <x:c r="A21" s="10" t="str">
        <x:v>Q-024</x:v>
      </x:c>
      <x:c r="B21" s="10" t="str">
        <x:v>RQ-024</x:v>
      </x:c>
      <x:c r="C21" s="10" t="str"/>
      <x:c r="D21" s="10" t="str"/>
      <x:c r="E21" s="10" t="str">
        <x:v>部分阻塞</x:v>
      </x:c>
      <x:c r="F21" s="10" t="str">
        <x:v>消息与社交</x:v>
      </x:c>
      <x:c r="G21" s="9" t="str">
        <x:v>好友列表存在至少两条可比较记录</x:v>
      </x:c>
      <x:c r="H21" s="9" t="str">
        <x:v>计算与统计口径</x:v>
      </x:c>
      <x:c r="I21" s="9" t="str">
        <x:v>好友列表中未定义的排序如何确定？</x:v>
      </x:c>
      <x:c r="J21" s="9" t="str">
        <x:v>A. 按记录创建时间倒序，相同时按 ID 从大到小
B. 按名称升序，相同时按 ID 从小到大</x:v>
      </x:c>
      <x:c r="K21" s="9" t="str">
        <x:v>仅隔离“好友列表存在至少两条可比较记录”中由本问题决定的预期；确认后分别检查所选方案的正向和拒绝分支</x:v>
      </x:c>
      <x:c r="L21" s="12" t="str"/>
      <x:c r="M21" s="12" t="str"/>
      <x:c r="N21" s="10" t="str">
        <x:v>1. liveshow-proto/MainBasis/需求待确认清单.md / Q-024
2. liveshow-proto/prototype/annotations/user.js friend-list.html / 业务规则 / 3.5：排序：好友列表排序依据待确认；搜索不改变结果的相对顺序。</x:v>
      </x:c>
      <x:c r="O21" s="9" t="str">
        <x:v>1. 用户App
2. 好友列表存在至少两条可比较记录</x:v>
      </x:c>
      <x:c r="P21" s="9" t="str"/>
      <x:c r="Q21" s="9" t="str">
        <x:v>1. 验证好友列表存在至少两条可比较记录按产品所选方案执行
2. 验证不满足所选方案条件时的拒绝或保留状态</x:v>
      </x:c>
      <x:c r="R21" s="9" t="str">
        <x:v>产品</x:v>
      </x:c>
      <x:c r="S21" s="9" t="str">
        <x:v>该规则进入功能测试前</x:v>
      </x:c>
      <x:c r="T21" s="9" t="str">
        <x:v>待确认</x:v>
      </x:c>
    </x:row>
    <x:row r="22" ht="100" customHeight="1">
      <x:c r="A22" s="10" t="str">
        <x:v>Q-025</x:v>
      </x:c>
      <x:c r="B22" s="10" t="str">
        <x:v>RQ-025</x:v>
      </x:c>
      <x:c r="C22" s="10" t="str"/>
      <x:c r="D22" s="10" t="str"/>
      <x:c r="E22" s="10" t="str">
        <x:v>部分阻塞</x:v>
      </x:c>
      <x:c r="F22" s="10" t="str">
        <x:v>个人中心</x:v>
      </x:c>
      <x:c r="G22" s="9" t="str">
        <x:v>黑名单管理存在至少两条可比较记录</x:v>
      </x:c>
      <x:c r="H22" s="9" t="str">
        <x:v>计算与统计口径</x:v>
      </x:c>
      <x:c r="I22" s="9" t="str">
        <x:v>黑名单管理中未定义的排序如何确定？</x:v>
      </x:c>
      <x:c r="J22" s="9" t="str">
        <x:v>A. 按记录创建时间倒序，相同时按 ID 从大到小
B. 按名称升序，相同时按 ID 从小到大</x:v>
      </x:c>
      <x:c r="K22" s="9" t="str">
        <x:v>仅隔离“黑名单管理存在至少两条可比较记录”中由本问题决定的预期；确认后分别检查所选方案的正向和拒绝分支</x:v>
      </x:c>
      <x:c r="L22" s="12" t="str"/>
      <x:c r="M22" s="12" t="str"/>
      <x:c r="N22" s="10" t="str">
        <x:v>1. liveshow-proto/MainBasis/需求待确认清单.md / Q-025
2. liveshow-proto/prototype/annotations/user.js blacklist-management.html / 业务规则 / 3.10：排序：黑名单列表排序依据待确认。</x:v>
      </x:c>
      <x:c r="O22" s="9" t="str">
        <x:v>1. 用户App
2. 黑名单管理存在至少两条可比较记录</x:v>
      </x:c>
      <x:c r="P22" s="9" t="str"/>
      <x:c r="Q22" s="9" t="str">
        <x:v>1. 验证黑名单管理存在至少两条可比较记录按产品所选方案执行
2. 验证不满足所选方案条件时的拒绝或保留状态</x:v>
      </x:c>
      <x:c r="R22" s="9" t="str">
        <x:v>产品</x:v>
      </x:c>
      <x:c r="S22" s="9" t="str">
        <x:v>该规则进入功能测试前</x:v>
      </x:c>
      <x:c r="T22" s="9" t="str">
        <x:v>待确认</x:v>
      </x:c>
    </x:row>
    <x:row r="23" ht="100" customHeight="1">
      <x:c r="A23" s="10" t="str">
        <x:v>Q-026</x:v>
      </x:c>
      <x:c r="B23" s="10" t="str">
        <x:v>RQ-026</x:v>
      </x:c>
      <x:c r="C23" s="10" t="str"/>
      <x:c r="D23" s="10" t="str"/>
      <x:c r="E23" s="10" t="str">
        <x:v>部分阻塞</x:v>
      </x:c>
      <x:c r="F23" s="10" t="str">
        <x:v>粉丝团</x:v>
      </x:c>
      <x:c r="G23" s="9" t="str">
        <x:v>我的粉丝团存在至少两条可比较记录</x:v>
      </x:c>
      <x:c r="H23" s="9" t="str">
        <x:v>计算与统计口径</x:v>
      </x:c>
      <x:c r="I23" s="9" t="str">
        <x:v>我的粉丝团中未定义的排序如何确定？</x:v>
      </x:c>
      <x:c r="J23" s="9" t="str">
        <x:v>A. 按记录创建时间倒序，相同时按 ID 从大到小
B. 按名称升序，相同时按 ID 从小到大</x:v>
      </x:c>
      <x:c r="K23" s="9" t="str">
        <x:v>仅隔离“我的粉丝团存在至少两条可比较记录”中由本问题决定的预期；确认后分别检查所选方案的正向和拒绝分支</x:v>
      </x:c>
      <x:c r="L23" s="12" t="str"/>
      <x:c r="M23" s="12" t="str"/>
      <x:c r="N23" s="10" t="str">
        <x:v>1. liveshow-proto/MainBasis/需求待确认清单.md / Q-026
2. liveshow-proto/prototype/annotations/user.js my-fan-clubs.html / 业务规则 / 3.4：排序：已加入粉丝团列表排序依据待确认。</x:v>
      </x:c>
      <x:c r="O23" s="9" t="str">
        <x:v>1. 用户App
2. 我的粉丝团存在至少两条可比较记录</x:v>
      </x:c>
      <x:c r="P23" s="9" t="str"/>
      <x:c r="Q23" s="9" t="str">
        <x:v>1. 验证我的粉丝团存在至少两条可比较记录按产品所选方案执行
2. 验证不满足所选方案条件时的拒绝或保留状态</x:v>
      </x:c>
      <x:c r="R23" s="9" t="str">
        <x:v>产品</x:v>
      </x:c>
      <x:c r="S23" s="9" t="str">
        <x:v>该规则进入功能测试前</x:v>
      </x:c>
      <x:c r="T23" s="9" t="str">
        <x:v>待确认</x:v>
      </x:c>
    </x:row>
    <x:row r="24" ht="115" customHeight="1">
      <x:c r="A24" s="10" t="str">
        <x:v>Q-027</x:v>
      </x:c>
      <x:c r="B24" s="10" t="str">
        <x:v>RQ-027</x:v>
      </x:c>
      <x:c r="C24" s="10" t="str"/>
      <x:c r="D24" s="10" t="str"/>
      <x:c r="E24" s="10" t="str">
        <x:v>部分阻塞</x:v>
      </x:c>
      <x:c r="F24" s="10" t="str">
        <x:v>主播中心</x:v>
      </x:c>
      <x:c r="G24" s="9" t="str">
        <x:v>房管管理存在至少两条可比较记录</x:v>
      </x:c>
      <x:c r="H24" s="9" t="str">
        <x:v>计算与统计口径</x:v>
      </x:c>
      <x:c r="I24" s="9" t="str">
        <x:v>房管管理中未定义的排序如何确定？</x:v>
      </x:c>
      <x:c r="J24" s="9" t="str">
        <x:v>A. 按记录创建时间倒序，相同时按 ID 从大到小
B. 按名称升序，相同时按 ID 从小到大</x:v>
      </x:c>
      <x:c r="K24" s="9" t="str">
        <x:v>仅隔离“房管管理存在至少两条可比较记录”中由本问题决定的预期；确认后分别检查所选方案的正向和拒绝分支</x:v>
      </x:c>
      <x:c r="L24" s="12" t="str"/>
      <x:c r="M24" s="12" t="str"/>
      <x:c r="N24" s="10" t="str">
        <x:v>1. liveshow-proto/MainBasis/需求待确认清单.md / Q-027
2. liveshow-proto/prototype/annotations/user.js moderator-management.html / 业务规则 / 3.5：数据范围：当前主播仍有效的房管授权；排序依据待确认。</x:v>
      </x:c>
      <x:c r="O24" s="9" t="str">
        <x:v>1. 用户App
2. 房管管理存在至少两条可比较记录</x:v>
      </x:c>
      <x:c r="P24" s="9" t="str"/>
      <x:c r="Q24" s="9" t="str">
        <x:v>1. 验证房管管理存在至少两条可比较记录按产品所选方案执行
2. 验证不满足所选方案条件时的拒绝或保留状态</x:v>
      </x:c>
      <x:c r="R24" s="9" t="str">
        <x:v>产品</x:v>
      </x:c>
      <x:c r="S24" s="9" t="str">
        <x:v>该规则进入功能测试前</x:v>
      </x:c>
      <x:c r="T24" s="9" t="str">
        <x:v>待确认</x:v>
      </x:c>
    </x:row>
    <x:row r="25" ht="115" customHeight="1">
      <x:c r="A25" s="10" t="str">
        <x:v>Q-028</x:v>
      </x:c>
      <x:c r="B25" s="10" t="str">
        <x:v>RQ-028</x:v>
      </x:c>
      <x:c r="C25" s="10" t="str"/>
      <x:c r="D25" s="10" t="str"/>
      <x:c r="E25" s="10" t="str">
        <x:v>部分阻塞</x:v>
      </x:c>
      <x:c r="F25" s="10" t="str">
        <x:v>主播中心</x:v>
      </x:c>
      <x:c r="G25" s="9" t="str">
        <x:v>公会通知存在至少两条可比较记录</x:v>
      </x:c>
      <x:c r="H25" s="9" t="str">
        <x:v>计算与统计口径</x:v>
      </x:c>
      <x:c r="I25" s="9" t="str">
        <x:v>公会通知中未定义的排序如何确定？</x:v>
      </x:c>
      <x:c r="J25" s="9" t="str">
        <x:v>A. 按记录创建时间倒序，相同时按 ID 从大到小
B. 按名称升序，相同时按 ID 从小到大</x:v>
      </x:c>
      <x:c r="K25" s="9" t="str">
        <x:v>仅隔离“公会通知存在至少两条可比较记录”中由本问题决定的预期；确认后分别检查所选方案的正向和拒绝分支</x:v>
      </x:c>
      <x:c r="L25" s="12" t="str"/>
      <x:c r="M25" s="12" t="str"/>
      <x:c r="N25" s="10" t="str">
        <x:v>1. liveshow-proto/MainBasis/需求待确认清单.md / Q-028
2. liveshow-proto/prototype/annotations/user.js host-guild-notifications.html / 业务规则 / 3.2：排序：通知列表的排序依据待确认；本页不展示发布时间。</x:v>
      </x:c>
      <x:c r="O25" s="9" t="str">
        <x:v>1. 用户App
2. 公会通知存在至少两条可比较记录</x:v>
      </x:c>
      <x:c r="P25" s="9" t="str"/>
      <x:c r="Q25" s="9" t="str">
        <x:v>1. 验证公会通知存在至少两条可比较记录按产品所选方案执行
2. 验证不满足所选方案条件时的拒绝或保留状态</x:v>
      </x:c>
      <x:c r="R25" s="9" t="str">
        <x:v>产品</x:v>
      </x:c>
      <x:c r="S25" s="9" t="str">
        <x:v>该规则进入功能测试前</x:v>
      </x:c>
      <x:c r="T25" s="9" t="str">
        <x:v>待确认</x:v>
      </x:c>
    </x:row>
    <x:row r="26" ht="115" customHeight="1">
      <x:c r="A26" s="10" t="str">
        <x:v>Q-029</x:v>
      </x:c>
      <x:c r="B26" s="10" t="str">
        <x:v>RQ-029</x:v>
      </x:c>
      <x:c r="C26" s="10" t="str"/>
      <x:c r="D26" s="10" t="str"/>
      <x:c r="E26" s="10" t="str">
        <x:v>部分阻塞</x:v>
      </x:c>
      <x:c r="F26" s="10" t="str">
        <x:v>主播中心</x:v>
      </x:c>
      <x:c r="G26" s="9" t="str">
        <x:v>选择可见粉丝存在至少两条可比较记录</x:v>
      </x:c>
      <x:c r="H26" s="9" t="str">
        <x:v>计算与统计口径</x:v>
      </x:c>
      <x:c r="I26" s="9" t="str">
        <x:v>选择可见粉丝中未定义的排序如何确定？</x:v>
      </x:c>
      <x:c r="J26" s="9" t="str">
        <x:v>A. 按记录创建时间倒序，相同时按 ID 从大到小
B. 按名称升序，相同时按 ID 从小到大</x:v>
      </x:c>
      <x:c r="K26" s="9" t="str">
        <x:v>仅隔离“选择可见粉丝存在至少两条可比较记录”中由本问题决定的预期；确认后分别检查所选方案的正向和拒绝分支</x:v>
      </x:c>
      <x:c r="L26" s="12" t="str"/>
      <x:c r="M26" s="12" t="str"/>
      <x:c r="N26" s="10" t="str">
        <x:v>1. liveshow-proto/MainBasis/需求待确认清单.md / Q-029
2. liveshow-proto/prototype/annotations/user.js visible-fan-select.html / 业务规则 / 3.3：排序：可选粉丝列表的排序依据待确认；搜索不改变匹配结果的相对顺序。</x:v>
      </x:c>
      <x:c r="O26" s="9" t="str">
        <x:v>1. 用户App
2. 选择可见粉丝存在至少两条可比较记录</x:v>
      </x:c>
      <x:c r="P26" s="9" t="str"/>
      <x:c r="Q26" s="9" t="str">
        <x:v>1. 验证选择可见粉丝存在至少两条可比较记录按产品所选方案执行
2. 验证不满足所选方案条件时的拒绝或保留状态</x:v>
      </x:c>
      <x:c r="R26" s="9" t="str">
        <x:v>产品</x:v>
      </x:c>
      <x:c r="S26" s="9" t="str">
        <x:v>该规则进入功能测试前</x:v>
      </x:c>
      <x:c r="T26" s="9" t="str">
        <x:v>待确认</x:v>
      </x:c>
    </x:row>
    <x:row r="27" ht="115" customHeight="1">
      <x:c r="A27" s="10" t="str">
        <x:v>Q-030</x:v>
      </x:c>
      <x:c r="B27" s="10" t="str">
        <x:v>RQ-030</x:v>
      </x:c>
      <x:c r="C27" s="10" t="str"/>
      <x:c r="D27" s="10" t="str"/>
      <x:c r="E27" s="10" t="str">
        <x:v>部分阻塞</x:v>
      </x:c>
      <x:c r="F27" s="10" t="str">
        <x:v>主播中心</x:v>
      </x:c>
      <x:c r="G27" s="9" t="str">
        <x:v>粉丝列表存在至少两条可比较记录</x:v>
      </x:c>
      <x:c r="H27" s="9" t="str">
        <x:v>计算与统计口径</x:v>
      </x:c>
      <x:c r="I27" s="9" t="str">
        <x:v>粉丝列表中未定义的排序如何确定？</x:v>
      </x:c>
      <x:c r="J27" s="9" t="str">
        <x:v>A. 按记录创建时间倒序，相同时按 ID 从大到小
B. 按名称升序，相同时按 ID 从小到大</x:v>
      </x:c>
      <x:c r="K27" s="9" t="str">
        <x:v>仅隔离“粉丝列表存在至少两条可比较记录”中由本问题决定的预期；确认后分别检查所选方案的正向和拒绝分支</x:v>
      </x:c>
      <x:c r="L27" s="12" t="str"/>
      <x:c r="M27" s="12" t="str"/>
      <x:c r="N27" s="10" t="str">
        <x:v>1. liveshow-proto/MainBasis/需求待确认清单.md / Q-030
2. liveshow-proto/prototype/annotations/user.js fan-list.html / 业务规则 / 3.2：数据范围：当前仍关注该主播的用户；排序依据待确认。</x:v>
      </x:c>
      <x:c r="O27" s="9" t="str">
        <x:v>1. 用户App
2. 粉丝列表存在至少两条可比较记录</x:v>
      </x:c>
      <x:c r="P27" s="9" t="str"/>
      <x:c r="Q27" s="9" t="str">
        <x:v>1. 验证粉丝列表存在至少两条可比较记录按产品所选方案执行
2. 验证不满足所选方案条件时的拒绝或保留状态</x:v>
      </x:c>
      <x:c r="R27" s="9" t="str">
        <x:v>产品</x:v>
      </x:c>
      <x:c r="S27" s="9" t="str">
        <x:v>该规则进入功能测试前</x:v>
      </x:c>
      <x:c r="T27" s="9" t="str">
        <x:v>待确认</x:v>
      </x:c>
    </x:row>
    <x:row r="28" ht="145" customHeight="1">
      <x:c r="A28" s="10" t="str">
        <x:v>Q-031</x:v>
      </x:c>
      <x:c r="B28" s="10" t="str">
        <x:v>RQ-031</x:v>
      </x:c>
      <x:c r="C28" s="10" t="str"/>
      <x:c r="D28" s="10" t="str"/>
      <x:c r="E28" s="10" t="str">
        <x:v>部分阻塞</x:v>
      </x:c>
      <x:c r="F28" s="10" t="str">
        <x:v>主播中心</x:v>
      </x:c>
      <x:c r="G28" s="9" t="str">
        <x:v>粉丝团存在至少两条可比较记录</x:v>
      </x:c>
      <x:c r="H28" s="9" t="str">
        <x:v>计算与统计口径</x:v>
      </x:c>
      <x:c r="I28" s="9" t="str">
        <x:v>粉丝团中未定义的排序如何确定？</x:v>
      </x:c>
      <x:c r="J28" s="9" t="str">
        <x:v>A. 按记录创建时间倒序，相同时按 ID 从大到小
B. 按名称升序，相同时按 ID 从小到大</x:v>
      </x:c>
      <x:c r="K28" s="9" t="str">
        <x:v>仅隔离“粉丝团存在至少两条可比较记录”中由本问题决定的预期；确认后分别检查所选方案的正向和拒绝分支</x:v>
      </x:c>
      <x:c r="L28" s="12" t="str"/>
      <x:c r="M28" s="12" t="str"/>
      <x:c r="N28" s="10" t="str">
        <x:v>1. liveshow-proto/MainBasis/需求待确认清单.md / Q-031
2. liveshow-proto/prototype/annotations/user.js fan-club.html / 业务规则 / 3.4：排序：默认按累计贡献从高到低；“本月最多”按本月贡献从高到低；“最新加入”按加入时间从新到旧；相同值的次序待确认。</x:v>
      </x:c>
      <x:c r="O28" s="9" t="str">
        <x:v>1. 用户App
2. 粉丝团存在至少两条可比较记录</x:v>
      </x:c>
      <x:c r="P28" s="9" t="str"/>
      <x:c r="Q28" s="9" t="str">
        <x:v>1. 验证粉丝团存在至少两条可比较记录按产品所选方案执行
2. 验证不满足所选方案条件时的拒绝或保留状态</x:v>
      </x:c>
      <x:c r="R28" s="9" t="str">
        <x:v>产品</x:v>
      </x:c>
      <x:c r="S28" s="9" t="str">
        <x:v>该规则进入功能测试前</x:v>
      </x:c>
      <x:c r="T28" s="9" t="str">
        <x:v>待确认</x:v>
      </x:c>
    </x:row>
    <x:row r="29" ht="130" customHeight="1">
      <x:c r="A29" s="10" t="str">
        <x:v>Q-032</x:v>
      </x:c>
      <x:c r="B29" s="10" t="str">
        <x:v>RQ-032</x:v>
      </x:c>
      <x:c r="C29" s="10" t="str"/>
      <x:c r="D29" s="10" t="str"/>
      <x:c r="E29" s="10" t="str">
        <x:v>部分阻塞</x:v>
      </x:c>
      <x:c r="F29" s="10" t="str">
        <x:v>主播中心</x:v>
      </x:c>
      <x:c r="G29" s="9" t="str">
        <x:v>直播数据存在至少两条可比较记录</x:v>
      </x:c>
      <x:c r="H29" s="9" t="str">
        <x:v>计算与统计口径</x:v>
      </x:c>
      <x:c r="I29" s="9" t="str">
        <x:v>直播数据中未定义的排序如何确定？</x:v>
      </x:c>
      <x:c r="J29" s="9" t="str">
        <x:v>A. 按记录创建时间倒序，相同时按 ID 从大到小
B. 按名称升序，相同时按 ID 从小到大</x:v>
      </x:c>
      <x:c r="K29" s="9" t="str">
        <x:v>仅隔离“直播数据存在至少两条可比较记录”中由本问题决定的预期；确认后分别检查所选方案的正向和拒绝分支</x:v>
      </x:c>
      <x:c r="L29" s="12" t="str"/>
      <x:c r="M29" s="12" t="str"/>
      <x:c r="N29" s="10" t="str">
        <x:v>1. liveshow-proto/MainBasis/需求待确认清单.md / Q-032
2. liveshow-proto/prototype/annotations/user.js live-data.html / 业务规则 / 3.2：数据范围：仅当前主播、当前日或月范围内的直播数据；日期趋势按时间顺序展示，明细列表的排序依据待确认。</x:v>
      </x:c>
      <x:c r="O29" s="9" t="str">
        <x:v>1. 用户App
2. 直播数据存在至少两条可比较记录</x:v>
      </x:c>
      <x:c r="P29" s="9" t="str"/>
      <x:c r="Q29" s="9" t="str">
        <x:v>1. 验证直播数据存在至少两条可比较记录按产品所选方案执行
2. 验证不满足所选方案条件时的拒绝或保留状态</x:v>
      </x:c>
      <x:c r="R29" s="9" t="str">
        <x:v>产品</x:v>
      </x:c>
      <x:c r="S29" s="9" t="str">
        <x:v>该规则进入功能测试前</x:v>
      </x:c>
      <x:c r="T29" s="9" t="str">
        <x:v>待确认</x:v>
      </x:c>
    </x:row>
    <x:row r="30" ht="115" customHeight="1">
      <x:c r="A30" s="10" t="str">
        <x:v>Q-033</x:v>
      </x:c>
      <x:c r="B30" s="10" t="str">
        <x:v>RQ-033</x:v>
      </x:c>
      <x:c r="C30" s="10" t="str"/>
      <x:c r="D30" s="10" t="str"/>
      <x:c r="E30" s="10" t="str">
        <x:v>部分阻塞</x:v>
      </x:c>
      <x:c r="F30" s="10" t="str">
        <x:v>账号与登录</x:v>
      </x:c>
      <x:c r="G30" s="9" t="str">
        <x:v>选择国家/地区存在至少两条可比较记录</x:v>
      </x:c>
      <x:c r="H30" s="9" t="str">
        <x:v>计算与统计口径</x:v>
      </x:c>
      <x:c r="I30" s="9" t="str">
        <x:v>选择国家/地区中未定义的排序如何确定？</x:v>
      </x:c>
      <x:c r="J30" s="9" t="str">
        <x:v>A. 按记录创建时间倒序，相同时按 ID 从大到小
B. 按名称升序，相同时按 ID 从小到大</x:v>
      </x:c>
      <x:c r="K30" s="9" t="str">
        <x:v>仅隔离“选择国家/地区存在至少两条可比较记录”中由本问题决定的预期；确认后分别检查所选方案的正向和拒绝分支</x:v>
      </x:c>
      <x:c r="L30" s="12" t="str"/>
      <x:c r="M30" s="12" t="str"/>
      <x:c r="N30" s="10" t="str">
        <x:v>1. liveshow-proto/MainBasis/需求待确认清单.md / Q-033
2. liveshow-proto/prototype/annotations/user.js auth-country-select.html / 业务规则 / 3.4：排序：待确认，当前页面未提供排序条件。</x:v>
      </x:c>
      <x:c r="O30" s="9" t="str">
        <x:v>1. 用户App
2. 选择国家/地区存在至少两条可比较记录</x:v>
      </x:c>
      <x:c r="P30" s="9" t="str"/>
      <x:c r="Q30" s="9" t="str">
        <x:v>1. 验证选择国家/地区存在至少两条可比较记录按产品所选方案执行
2. 验证不满足所选方案条件时的拒绝或保留状态</x:v>
      </x:c>
      <x:c r="R30" s="9" t="str">
        <x:v>产品</x:v>
      </x:c>
      <x:c r="S30" s="9" t="str">
        <x:v>该规则进入功能测试前</x:v>
      </x:c>
      <x:c r="T30" s="9" t="str">
        <x:v>待确认</x:v>
      </x:c>
    </x:row>
    <x:row r="31" ht="130" customHeight="1">
      <x:c r="A31" s="10" t="str">
        <x:v>Q-034</x:v>
      </x:c>
      <x:c r="B31" s="10" t="str">
        <x:v>RQ-034</x:v>
      </x:c>
      <x:c r="C31" s="10" t="str"/>
      <x:c r="D31" s="10" t="str"/>
      <x:c r="E31" s="10" t="str">
        <x:v>部分阻塞</x:v>
      </x:c>
      <x:c r="F31" s="10" t="str">
        <x:v>主播中心</x:v>
      </x:c>
      <x:c r="G31" s="9" t="str">
        <x:v>月数据存在至少两条可比较记录</x:v>
      </x:c>
      <x:c r="H31" s="9" t="str">
        <x:v>计算与统计口径</x:v>
      </x:c>
      <x:c r="I31" s="9" t="str">
        <x:v>月数据中未定义的排序如何确定？</x:v>
      </x:c>
      <x:c r="J31" s="9" t="str">
        <x:v>A. 按记录创建时间倒序，相同时按 ID 从大到小
B. 按名称升序，相同时按 ID 从小到大</x:v>
      </x:c>
      <x:c r="K31" s="9" t="str">
        <x:v>仅隔离“月数据存在至少两条可比较记录”中由本问题决定的预期；确认后分别检查所选方案的正向和拒绝分支</x:v>
      </x:c>
      <x:c r="L31" s="12" t="str"/>
      <x:c r="M31" s="12" t="str"/>
      <x:c r="N31" s="10" t="str">
        <x:v>1. liveshow-proto/MainBasis/需求待确认清单.md / Q-034
2. liveshow-proto/prototype/annotations/user.js views/live-data/month.html / 业务规则 / 3.2：数据范围：当前主播所选自然月的有效直播记录；按时间顺序展示趋势，明细列表排序依据待确认。</x:v>
      </x:c>
      <x:c r="O31" s="9" t="str">
        <x:v>1. 用户App
2. 月数据存在至少两条可比较记录</x:v>
      </x:c>
      <x:c r="P31" s="9" t="str"/>
      <x:c r="Q31" s="9" t="str">
        <x:v>1. 验证月数据存在至少两条可比较记录按产品所选方案执行
2. 验证不满足所选方案条件时的拒绝或保留状态</x:v>
      </x:c>
      <x:c r="R31" s="9" t="str">
        <x:v>产品</x:v>
      </x:c>
      <x:c r="S31" s="9" t="str">
        <x:v>该规则进入功能测试前</x:v>
      </x:c>
      <x:c r="T31" s="9" t="str">
        <x:v>待确认</x:v>
      </x:c>
    </x:row>
    <x:row r="32" ht="85" customHeight="1">
      <x:c r="A32" s="10" t="str">
        <x:v>Q-035</x:v>
      </x:c>
      <x:c r="B32" s="10" t="str">
        <x:v>RQ-035</x:v>
      </x:c>
      <x:c r="C32" s="10" t="str"/>
      <x:c r="D32" s="10" t="str"/>
      <x:c r="E32" s="10" t="str">
        <x:v>部分阻塞</x:v>
      </x:c>
      <x:c r="F32" s="10" t="str">
        <x:v>运营配置</x:v>
      </x:c>
      <x:c r="G32" s="9" t="str">
        <x:v>单次累计增长跨过两个等级门槛</x:v>
      </x:c>
      <x:c r="H32" s="9" t="str">
        <x:v>计算与统计口径</x:v>
      </x:c>
      <x:c r="I32" s="9" t="str">
        <x:v>单次累计增长跨档时如何升级？</x:v>
      </x:c>
      <x:c r="J32" s="9" t="str">
        <x:v>A. 本次直接升至已达到门槛中的最高等级
B. 每次有效增长事件最多升一级，尚未完成的跨级等下次有效事件继续判定</x:v>
      </x:c>
      <x:c r="K32" s="9" t="str">
        <x:v>仅隔离“单次累计增长跨过两个等级门槛”中由本问题决定的预期；确认后分别检查所选方案的正向和拒绝分支</x:v>
      </x:c>
      <x:c r="L32" s="12" t="str"/>
      <x:c r="M32" s="12" t="str"/>
      <x:c r="N32" s="10" t="str">
        <x:v>1. liveshow-proto/MainBasis/需求待确认清单.md / Q-035
2. 等级配置明确“等级判定待确认”，不能由财富累计口径一个问题代替。</x:v>
      </x:c>
      <x:c r="O32" s="9" t="str">
        <x:v>1. 用户App、公会App、管理后台
2. 单次累计增长跨过两个等级门槛</x:v>
      </x:c>
      <x:c r="P32" s="9" t="str"/>
      <x:c r="Q32" s="9" t="str">
        <x:v>1. 验证单次累计增长跨过两个等级门槛按产品所选方案执行
2. 验证不满足所选方案条件时的拒绝或保留状态</x:v>
      </x:c>
      <x:c r="R32" s="9" t="str">
        <x:v>产品</x:v>
      </x:c>
      <x:c r="S32" s="9" t="str">
        <x:v>该规则进入功能测试前</x:v>
      </x:c>
      <x:c r="T32" s="9" t="str">
        <x:v>待确认</x:v>
      </x:c>
    </x:row>
    <x:row r="33" ht="70" customHeight="1">
      <x:c r="A33" s="10" t="str">
        <x:v>Q-036</x:v>
      </x:c>
      <x:c r="B33" s="10" t="str">
        <x:v>RQ-036</x:v>
      </x:c>
      <x:c r="C33" s="10" t="str"/>
      <x:c r="D33" s="10" t="str"/>
      <x:c r="E33" s="10" t="str">
        <x:v>部分阻塞</x:v>
      </x:c>
      <x:c r="F33" s="10" t="str">
        <x:v>运营配置</x:v>
      </x:c>
      <x:c r="G33" s="9" t="str">
        <x:v>保存等级门槛后已有用户等级变化</x:v>
      </x:c>
      <x:c r="H33" s="9" t="str">
        <x:v>配置和历史数据影响</x:v>
      </x:c>
      <x:c r="I33" s="9" t="str">
        <x:v>修改门槛后是否重算已有等级？</x:v>
      </x:c>
      <x:c r="J33" s="9" t="str">
        <x:v>A. 保存生效后按当前累计值重算全部已有等级，允许升降级
B. 不立即重算；下一次符合计入范围的事件发生后按新门槛重算该账号等级，允许升降级</x:v>
      </x:c>
      <x:c r="K33" s="9" t="str">
        <x:v>仅隔离“保存等级门槛后已有用户等级变化”中由本问题决定的预期；确认后分别检查所选方案的正向和拒绝分支</x:v>
      </x:c>
      <x:c r="L33" s="12" t="str"/>
      <x:c r="M33" s="12" t="str"/>
      <x:c r="N33" s="10" t="str">
        <x:v>1. liveshow-proto/MainBasis/需求待确认清单.md / Q-036
2. 等级配置明确“配置修改对已有等级的影响待确认”。</x:v>
      </x:c>
      <x:c r="O33" s="9" t="str">
        <x:v>1. 用户App、公会App、管理后台
2. 保存等级门槛后已有用户等级变化</x:v>
      </x:c>
      <x:c r="P33" s="9" t="str"/>
      <x:c r="Q33" s="9" t="str">
        <x:v>1. 验证保存等级门槛后已有用户等级变化按产品所选方案执行
2. 验证不满足所选方案条件时的拒绝或保留状态</x:v>
      </x:c>
      <x:c r="R33" s="9" t="str">
        <x:v>产品</x:v>
      </x:c>
      <x:c r="S33" s="9" t="str">
        <x:v>该规则进入功能测试前</x:v>
      </x:c>
      <x:c r="T33" s="9" t="str">
        <x:v>待确认</x:v>
      </x:c>
    </x:row>
    <x:row r="34" ht="85" customHeight="1">
      <x:c r="A34" s="10" t="str">
        <x:v>Q-037</x:v>
      </x:c>
      <x:c r="B34" s="10" t="str">
        <x:v>RQ-037</x:v>
      </x:c>
      <x:c r="C34" s="10" t="str"/>
      <x:c r="D34" s="10" t="str"/>
      <x:c r="E34" s="10" t="str">
        <x:v>部分阻塞</x:v>
      </x:c>
      <x:c r="F34" s="10" t="str">
        <x:v>运营配置</x:v>
      </x:c>
      <x:c r="G34" s="9" t="str">
        <x:v>主播收礼后的等级累计</x:v>
      </x:c>
      <x:c r="H34" s="9" t="str">
        <x:v>计算与统计口径</x:v>
      </x:c>
      <x:c r="I34" s="9" t="str">
        <x:v>主播等级累计采用哪种指标？</x:v>
      </x:c>
      <x:c r="J34" s="9" t="str">
        <x:v>A. 按真实金币主播收益累计，幸运礼物按赠送时比例，不含虚拟金币
B. 按真实金币成功收礼原价累计，幸运礼物不扣返奖，不含虚拟金币</x:v>
      </x:c>
      <x:c r="K34" s="9" t="str">
        <x:v>仅隔离“主播收礼后的等级累计”中由本问题决定的预期；确认后分别检查所选方案的正向和拒绝分支</x:v>
      </x:c>
      <x:c r="L34" s="12" t="str"/>
      <x:c r="M34" s="12" t="str"/>
      <x:c r="N34" s="10" t="str">
        <x:v>1. liveshow-proto/MainBasis/需求待确认清单.md / Q-037
2. 主播等级字段写收益数值，但现有说明同时出现累计收到贡献，具体计入范围明确待确认。</x:v>
      </x:c>
      <x:c r="O34" s="9" t="str">
        <x:v>1. 用户App、公会App、管理后台
2. 主播收礼后的等级累计</x:v>
      </x:c>
      <x:c r="P34" s="9" t="str"/>
      <x:c r="Q34" s="9" t="str">
        <x:v>1. 验证主播收礼后的等级累计按产品所选方案执行
2. 验证不满足所选方案条件时的拒绝或保留状态</x:v>
      </x:c>
      <x:c r="R34" s="9" t="str">
        <x:v>产品</x:v>
      </x:c>
      <x:c r="S34" s="9" t="str">
        <x:v>该规则进入功能测试前</x:v>
      </x:c>
      <x:c r="T34" s="9" t="str">
        <x:v>待确认</x:v>
      </x:c>
    </x:row>
    <x:row r="35" ht="85" customHeight="1">
      <x:c r="A35" s="10" t="str">
        <x:v>Q-038</x:v>
      </x:c>
      <x:c r="B35" s="10" t="str">
        <x:v>RQ-038</x:v>
      </x:c>
      <x:c r="C35" s="10" t="str"/>
      <x:c r="D35" s="10" t="str"/>
      <x:c r="E35" s="10" t="str">
        <x:v>部分阻塞</x:v>
      </x:c>
      <x:c r="F35" s="10" t="str">
        <x:v>消息与社交</x:v>
      </x:c>
      <x:c r="G35" s="9" t="str">
        <x:v>群主编辑群公告</x:v>
      </x:c>
      <x:c r="H35" s="9" t="str">
        <x:v>需求范围</x:v>
      </x:c>
      <x:c r="I35" s="9" t="str">
        <x:v>群公告编辑入口本期如何交付？</x:v>
      </x:c>
      <x:c r="J35" s="9" t="str">
        <x:v>A. 点击编辑打开公告文本表单，保存后全体当前成员可见
B. 本期仅展示公告，移除编辑入口，由平台维护公告</x:v>
      </x:c>
      <x:c r="K35" s="9" t="str">
        <x:v>仅隔离“群主编辑群公告”中由本问题决定的预期；确认后分别检查所选方案的正向和拒绝分支</x:v>
      </x:c>
      <x:c r="L35" s="12" t="str"/>
      <x:c r="M35" s="12" t="str"/>
      <x:c r="N35" s="10" t="str">
        <x:v>1. liveshow-proto/MainBasis/需求待确认清单.md / Q-038
2. 群主说明允许编辑公告，但原型仅以提示代替编辑；没有可执行编辑表单和保存状态。</x:v>
      </x:c>
      <x:c r="O35" s="9" t="str">
        <x:v>1. 用户App
2. 群主编辑群公告</x:v>
      </x:c>
      <x:c r="P35" s="9" t="str"/>
      <x:c r="Q35" s="9" t="str">
        <x:v>1. 验证群主编辑群公告按产品所选方案执行
2. 验证不满足所选方案条件时的拒绝或保留状态</x:v>
      </x:c>
      <x:c r="R35" s="9" t="str">
        <x:v>产品</x:v>
      </x:c>
      <x:c r="S35" s="9" t="str">
        <x:v>该规则进入功能测试前</x:v>
      </x:c>
      <x:c r="T35" s="9" t="str">
        <x:v>待确认</x:v>
      </x:c>
    </x:row>
  </x:sheetData>
  <x:dataValidations count="5">
    <x:dataValidation type="list" sqref="E2:E35">
      <x:formula1>"阻塞测试,部分阻塞,不阻塞"</x:formula1>
    </x:dataValidation>
    <x:dataValidation type="list" sqref="H2:H35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35">
      <x:formula1>"A,B,C,D,其他"</x:formula1>
    </x:dataValidation>
    <x:dataValidation type="list" sqref="R2:R35">
      <x:formula1>"产品,交互,技术,多方确认"</x:formula1>
    </x:dataValidation>
    <x:dataValidation type="list" sqref="T2:T35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2627c78804460c"/>
  </x:tableParts>
</x:worksheet>
</file>