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e5661d77c341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决策概览" sheetId="1" r:id="Rb514f28133ee4584"/>
    <x:sheet xmlns:r="http://schemas.openxmlformats.org/officeDocument/2006/relationships" name="功能测试用例" sheetId="2" r:id="R5278d2667bd44b14"/>
    <x:sheet xmlns:r="http://schemas.openxmlformats.org/officeDocument/2006/relationships" name="需求待确认" sheetId="3" r:id="R460e41daa46e49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5"/>
      <x:color rgb="FF111827"/>
      <x:name val="Arial"/>
    </x:font>
    <x:font>
      <x:i/>
      <x:sz val="10"/>
      <x:color rgb="FF64748B"/>
      <x:name val="Arial"/>
    </x:font>
    <x:font>
      <x:b/>
      <x:sz val="11"/>
      <x:color rgb="FF1D4ED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4CC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1f0b3d60244650" /><Relationship Type="http://schemas.openxmlformats.org/officeDocument/2006/relationships/theme" Target="/xl/theme/theme1.xml" Id="R8efc3d286eb3422f" /><Relationship Type="http://schemas.openxmlformats.org/officeDocument/2006/relationships/sharedStrings" Target="/xl/sharedStrings.xml" Id="R9d0ada205ef64057" /><Relationship Type="http://schemas.openxmlformats.org/officeDocument/2006/relationships/worksheet" Target="/xl/worksheets/sheet1.xml" Id="Rb514f28133ee4584" /><Relationship Type="http://schemas.openxmlformats.org/officeDocument/2006/relationships/worksheet" Target="/xl/worksheets/sheet2.xml" Id="R5278d2667bd44b14" /><Relationship Type="http://schemas.openxmlformats.org/officeDocument/2006/relationships/worksheet" Target="/xl/worksheets/sheet3.xml" Id="R460e41daa46e49d2" /></Relationships>
</file>

<file path=xl/tables/table1.xml><?xml version="1.0" encoding="utf-8"?>
<x:table xmlns:x="http://schemas.openxmlformats.org/spreadsheetml/2006/main" id="1" name="LiveCasesTable" displayName="LiveCasesTable" ref="A1:O288" headerRowCount="1" totalsRowCount="0" totalsRowShown="0">
  <x:autoFilter ref="A1:O288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vePendingTable" displayName="LivePendingTable" ref="A1:T15" headerRowCount="1" totalsRowCount="0" totalsRowShown="0">
  <x:autoFilter ref="A1:T15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0ab08ebc3d4e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cd6ffa12604ba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4" hidden="0" customWidth="1"/>
    <x:col min="4" max="4" width="18" hidden="0" customWidth="1"/>
    <x:col min="5" max="5" width="14" hidden="0" customWidth="1"/>
    <x:col min="6" max="6" width="4" hidden="0" customWidth="1"/>
    <x:col min="7" max="7" width="18" hidden="0" customWidth="1"/>
    <x:col min="8" max="8" width="14" hidden="0" customWidth="1"/>
  </x:cols>
  <x:sheetData>
    <x:row r="1" ht="30" customHeight="1">
      <x:c r="A1" s="14" t="str">
        <x:v>管理后台-全部模块-260914-001 产品决策概览</x:v>
      </x:c>
      <x:c r="B1" s="13"/>
      <x:c r="C1" s="13"/>
      <x:c r="D1" s="13"/>
      <x:c r="E1" s="13"/>
      <x:c r="F1" s="13"/>
      <x:c r="G1" s="13"/>
      <x:c r="H1" s="13"/>
    </x:row>
    <x:row r="2">
      <x:c r="A2" s="15" t="str">
        <x:v>数量由“需求待确认”工作表实时汇总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8" t="str">
        <x:v>状态</x:v>
      </x:c>
      <x:c r="B4" s="8" t="str">
        <x:v>数量</x:v>
      </x:c>
      <x:c r="C4" s="13"/>
      <x:c r="D4" s="8" t="str">
        <x:v>阻塞等级</x:v>
      </x:c>
      <x:c r="E4" s="8" t="str">
        <x:v>当前待确认</x:v>
      </x:c>
      <x:c r="F4" s="13"/>
      <x:c r="G4" s="8" t="str">
        <x:v>负责人</x:v>
      </x:c>
      <x:c r="H4" s="8" t="str">
        <x:v>当前待确认</x:v>
      </x:c>
    </x:row>
    <x:row r="5">
      <x:c r="A5" s="20" t="str">
        <x:v>问题总数</x:v>
      </x:c>
      <x:c r="B5" s="22" t="n">
        <x:f>COUNTA('需求待确认'!$A$2:$A$15)</x:f>
        <x:v>14</x:v>
      </x:c>
      <x:c r="C5" s="13"/>
      <x:c r="D5" s="20" t="str">
        <x:v>阻塞测试</x:v>
      </x:c>
      <x:c r="E5" s="22" t="n">
        <x:f>COUNTIFS('需求待确认'!$E$2:$E$15,"阻塞测试",'需求待确认'!$T$2:$T$15,"待确认")</x:f>
        <x:v>0</x:v>
      </x:c>
      <x:c r="F5" s="13"/>
      <x:c r="G5" s="20" t="str">
        <x:v>产品</x:v>
      </x:c>
      <x:c r="H5" s="22" t="n">
        <x:f>COUNTIFS('需求待确认'!$R$2:$R$15,"产品",'需求待确认'!$T$2:$T$15,"待确认")</x:f>
        <x:v>13</x:v>
      </x:c>
    </x:row>
    <x:row r="6">
      <x:c r="A6" s="20" t="str">
        <x:v>当前可回答</x:v>
      </x:c>
      <x:c r="B6" s="22" t="n">
        <x:f>COUNTIF('需求待确认'!$T$2:$T$15,"待确认")</x:f>
        <x:v>14</x:v>
      </x:c>
      <x:c r="C6" s="13"/>
      <x:c r="D6" s="20" t="str">
        <x:v>部分阻塞</x:v>
      </x:c>
      <x:c r="E6" s="22" t="n">
        <x:f>COUNTIFS('需求待确认'!$E$2:$E$15,"部分阻塞",'需求待确认'!$T$2:$T$15,"待确认")</x:f>
        <x:v>14</x:v>
      </x:c>
      <x:c r="F6" s="13"/>
      <x:c r="G6" s="20" t="str">
        <x:v>交互</x:v>
      </x:c>
      <x:c r="H6" s="22" t="n">
        <x:f>COUNTIFS('需求待确认'!$R$2:$R$15,"交互",'需求待确认'!$T$2:$T$15,"待确认")</x:f>
        <x:v>0</x:v>
      </x:c>
    </x:row>
    <x:row r="7">
      <x:c r="A7" s="20" t="str">
        <x:v>待前置结论</x:v>
      </x:c>
      <x:c r="B7" s="22" t="n">
        <x:f>COUNTIF('需求待确认'!$T$2:$T$15,"待前置结论")</x:f>
        <x:v>0</x:v>
      </x:c>
      <x:c r="C7" s="13"/>
      <x:c r="D7" s="20" t="str">
        <x:v>不阻塞</x:v>
      </x:c>
      <x:c r="E7" s="22" t="n">
        <x:f>COUNTIFS('需求待确认'!$E$2:$E$15,"不阻塞",'需求待确认'!$T$2:$T$15,"待确认")</x:f>
        <x:v>0</x:v>
      </x:c>
      <x:c r="F7" s="13"/>
      <x:c r="G7" s="20" t="str">
        <x:v>技术</x:v>
      </x:c>
      <x:c r="H7" s="22" t="n">
        <x:f>COUNTIFS('需求待确认'!$R$2:$R$15,"技术",'需求待确认'!$T$2:$T$15,"待确认")</x:f>
        <x:v>0</x:v>
      </x:c>
    </x:row>
    <x:row r="8">
      <x:c r="A8" s="20" t="str">
        <x:v>确认中</x:v>
      </x:c>
      <x:c r="B8" s="22" t="n">
        <x:f>COUNTIF('需求待确认'!$T$2:$T$15,"确认中")</x:f>
        <x:v>0</x:v>
      </x:c>
      <x:c r="C8" s="13"/>
      <x:c r="D8" s="13"/>
      <x:c r="E8" s="13"/>
      <x:c r="F8" s="13"/>
      <x:c r="G8" s="20" t="str">
        <x:v>多方确认</x:v>
      </x:c>
      <x:c r="H8" s="22" t="n">
        <x:f>COUNTIFS('需求待确认'!$R$2:$R$15,"多方确认",'需求待确认'!$T$2:$T$15,"待确认")</x:f>
        <x:v>1</x:v>
      </x:c>
    </x:row>
    <x:row r="9">
      <x:c r="A9" s="20" t="str">
        <x:v>已确认</x:v>
      </x:c>
      <x:c r="B9" s="22" t="n">
        <x:f>COUNTIF('需求待确认'!$T$2:$T$15,"已确认")</x:f>
        <x:v>0</x:v>
      </x:c>
      <x:c r="C9" s="13"/>
      <x:c r="D9" s="13"/>
      <x:c r="E9" s="13"/>
      <x:c r="F9" s="13"/>
      <x:c r="G9" s="13"/>
      <x:c r="H9" s="13"/>
    </x:row>
    <x:row r="10">
      <x:c r="A10" s="20" t="str">
        <x:v>无需处理</x:v>
      </x:c>
      <x:c r="B10" s="22" t="n">
        <x:f>COUNTIF('需求待确认'!$T$2:$T$15,"无需处理")</x:f>
        <x:v>0</x:v>
      </x:c>
      <x:c r="C10" s="13"/>
      <x:c r="D10" s="13"/>
      <x:c r="E10" s="13"/>
      <x:c r="F10" s="13"/>
      <x:c r="G10" s="13"/>
      <x:c r="H1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3" hidden="0" customWidth="1"/>
    <x:col min="3" max="3" width="12" hidden="0" customWidth="1"/>
    <x:col min="4" max="4" width="24" hidden="0" customWidth="1"/>
    <x:col min="5" max="5" width="12" hidden="0" customWidth="1"/>
    <x:col min="6" max="6" width="8" hidden="0" customWidth="1"/>
    <x:col min="7" max="7" width="27" hidden="0" customWidth="1"/>
    <x:col min="8" max="8" width="20" hidden="0" customWidth="1"/>
    <x:col min="9" max="9" width="30" hidden="0" customWidth="1"/>
    <x:col min="10" max="10" width="32" hidden="0" customWidth="1"/>
    <x:col min="11" max="11" width="38" hidden="0" customWidth="1"/>
    <x:col min="12" max="12" width="18" hidden="0" customWidth="1"/>
    <x:col min="13" max="13" width="10" hidden="0" customWidth="1"/>
    <x:col min="14" max="14" width="12" hidden="0" customWidth="1"/>
    <x:col min="15" max="15" width="42" hidden="0" customWidth="1"/>
  </x:cols>
  <x:sheetData>
    <x:row r="1" ht="34" customHeight="1">
      <x:c r="A1" s="11" t="str">
        <x:v>序号</x:v>
      </x:c>
      <x:c r="B1" s="11" t="str">
        <x:v>用例编号</x:v>
      </x:c>
      <x:c r="C1" s="11" t="str">
        <x:v>功能模块</x:v>
      </x:c>
      <x:c r="D1" s="11" t="str">
        <x:v>功能结构</x:v>
      </x:c>
      <x:c r="E1" s="11" t="str">
        <x:v>用例类型</x:v>
      </x:c>
      <x:c r="F1" s="11" t="str">
        <x:v>优先级</x:v>
      </x:c>
      <x:c r="G1" s="11" t="str">
        <x:v>用例描述</x:v>
      </x:c>
      <x:c r="H1" s="11" t="str">
        <x:v>验证用例子项</x:v>
      </x:c>
      <x:c r="I1" s="11" t="str">
        <x:v>前置条件</x:v>
      </x:c>
      <x:c r="J1" s="11" t="str">
        <x:v>操作步骤</x:v>
      </x:c>
      <x:c r="K1" s="11" t="str">
        <x:v>预期结果</x:v>
      </x:c>
      <x:c r="L1" s="11" t="str">
        <x:v>流程编号</x:v>
      </x:c>
      <x:c r="M1" s="11" t="str">
        <x:v>测试结果</x:v>
      </x:c>
      <x:c r="N1" s="11" t="str">
        <x:v>测试人员</x:v>
      </x:c>
      <x:c r="O1" s="11" t="str">
        <x:v>备注</x:v>
      </x:c>
    </x:row>
    <x:row r="2" ht="130" customHeight="1">
      <x:c r="A2" s="10" t="n">
        <x:v>1</x:v>
      </x:c>
      <x:c r="B2" s="10" t="str">
        <x:v>ADMIN-0001</x:v>
      </x:c>
      <x:c r="C2" s="10" t="str">
        <x:v>财务结算</x:v>
      </x:c>
      <x:c r="D2" s="10" t="str">
        <x:v>充值订单详情（平台管理员）</x:v>
      </x:c>
      <x:c r="E2" s="10" t="str">
        <x:v>逻辑校验</x:v>
      </x:c>
      <x:c r="F2" s="10" t="str">
        <x:v>P0</x:v>
      </x:c>
      <x:c r="G2" s="9" t="str">
        <x:v>验证整单退款扣回本金和赠金</x:v>
      </x:c>
      <x:c r="H2" s="9" t="str">
        <x:v>充值退款扣回</x:v>
      </x:c>
      <x:c r="I2" s="9" t="str">
        <x:v>1. 后台账号已登录且拥有本页及本次操作的授权
2. 订单已支付未退款，基础1000赠金200，当前余额500</x:v>
      </x:c>
      <x:c r="J2" s="9" t="str">
        <x:v>1. 进入充值订单
2. 打开目标充值订单详情
3. 点击退款
4. 填写原因“支付渠道退款申请”
5. 确认整单退款
6. 进入该用户详情
7. 查看金币余额</x:v>
      </x:c>
      <x:c r="K2" s="9" t="str">
        <x:v>用户金币余额计算结果=500-1000-200=-700</x:v>
      </x:c>
      <x:c r="L2" s="10" t="str">
        <x:v>FLOW-2BA2481A</x:v>
      </x:c>
      <x:c r="M2" s="10" t="str">
        <x:v>未测</x:v>
      </x:c>
      <x:c r="N2" s="10" t="str"/>
      <x:c r="O2" s="9" t="str">
        <x:v>1. 来源（当前证据）：liveshow-proto/MainBasis/统一需求文档.md；位置：admin-recharge-order-detail.html、admin-user-detail.html
2. 规则：BR-477DC133A40C80
3. 未动态验证</x:v>
      </x:c>
    </x:row>
    <x:row r="3" ht="85" customHeight="1">
      <x:c r="A3" s="10" t="n">
        <x:v>2</x:v>
      </x:c>
      <x:c r="B3" s="10" t="str">
        <x:v>ADMIN-0002</x:v>
      </x:c>
      <x:c r="C3" s="10" t="str">
        <x:v>财务结算</x:v>
      </x:c>
      <x:c r="D3" s="10" t="str">
        <x:v>充值订单详情（平台管理员）</x:v>
      </x:c>
      <x:c r="E3" s="10" t="str">
        <x:v>功能需求</x:v>
      </x:c>
      <x:c r="F3" s="10" t="str">
        <x:v>P1</x:v>
      </x:c>
      <x:c r="G3" s="9" t="str">
        <x:v>验证退款金额使用原实付金额</x:v>
      </x:c>
      <x:c r="H3" s="9" t="str">
        <x:v>退款法币金额</x:v>
      </x:c>
      <x:c r="I3" s="9" t="str">
        <x:v>1. 后台账号已登录且拥有本页及本次操作的授权
2. 原实付为10.99 USD，订单已支付未退款</x:v>
      </x:c>
      <x:c r="J3" s="9" t="str">
        <x:v>1. 进入充值订单
2. 打开目标充值订单详情
3. 打开退款确认</x:v>
      </x:c>
      <x:c r="K3" s="9" t="str">
        <x:v>退款金额显示10.99 USD</x:v>
      </x:c>
      <x:c r="L3" s="10" t="str">
        <x:v>FLOW-2BA2481A</x:v>
      </x:c>
      <x:c r="M3" s="10" t="str">
        <x:v>未测</x:v>
      </x:c>
      <x:c r="N3" s="10" t="str"/>
      <x:c r="O3" s="9" t="str">
        <x:v>1. 来源（当前证据）：liveshow-proto/MainBasis/统一需求文档.md；位置：admin-recharge-order-detail.html
2. 规则：BR-904F6311689F10
3. 未动态验证</x:v>
      </x:c>
    </x:row>
    <x:row r="4" ht="85" customHeight="1">
      <x:c r="A4" s="10" t="n">
        <x:v>3</x:v>
      </x:c>
      <x:c r="B4" s="10" t="str">
        <x:v>ADMIN-0003</x:v>
      </x:c>
      <x:c r="C4" s="10" t="str">
        <x:v>财务结算</x:v>
      </x:c>
      <x:c r="D4" s="10" t="str">
        <x:v>充值订单详情（平台管理员）</x:v>
      </x:c>
      <x:c r="E4" s="10" t="str">
        <x:v>功能需求</x:v>
      </x:c>
      <x:c r="F4" s="10" t="str">
        <x:v>P1</x:v>
      </x:c>
      <x:c r="G4" s="9" t="str">
        <x:v>验证已退款订单不可重复退款</x:v>
      </x:c>
      <x:c r="H4" s="9" t="str">
        <x:v>退款幂等终态</x:v>
      </x:c>
      <x:c r="I4" s="9" t="str">
        <x:v>1. 后台账号已登录且拥有本页及本次操作的授权
2. 该订单已完成整单退款</x:v>
      </x:c>
      <x:c r="J4" s="9" t="str">
        <x:v>1. 进入充值订单
2. 打开目标充值订单详情
3. 查看退款入口</x:v>
      </x:c>
      <x:c r="K4" s="9" t="str">
        <x:v>不提供再次退款操作</x:v>
      </x:c>
      <x:c r="L4" s="10" t="str">
        <x:v>FLOW-2BA2481A</x:v>
      </x:c>
      <x:c r="M4" s="10" t="str">
        <x:v>未测</x:v>
      </x:c>
      <x:c r="N4" s="10" t="str"/>
      <x:c r="O4" s="9" t="str">
        <x:v>1. 来源（当前证据）：liveshow-proto/MainBasis/统一需求文档.md；位置：admin-recharge-order-detail.html
2. 规则：BR-1221510D646638
3. 未动态验证</x:v>
      </x:c>
    </x:row>
    <x:row r="5" ht="85" customHeight="1">
      <x:c r="A5" s="10" t="n">
        <x:v>4</x:v>
      </x:c>
      <x:c r="B5" s="10" t="str">
        <x:v>ADMIN-0004</x:v>
      </x:c>
      <x:c r="C5" s="10" t="str">
        <x:v>财务结算</x:v>
      </x:c>
      <x:c r="D5" s="10" t="str">
        <x:v>充值订单详情（平台管理员）</x:v>
      </x:c>
      <x:c r="E5" s="10" t="str">
        <x:v>功能需求</x:v>
      </x:c>
      <x:c r="F5" s="10" t="str">
        <x:v>P1</x:v>
      </x:c>
      <x:c r="G5" s="9" t="str">
        <x:v>验证失败充值订单不能退款</x:v>
      </x:c>
      <x:c r="H5" s="9" t="str">
        <x:v>退款订单资格</x:v>
      </x:c>
      <x:c r="I5" s="9" t="str">
        <x:v>1. 后台账号已登录且拥有本页及本次操作的授权
2. 目标订单支付失败且没有金币入账</x:v>
      </x:c>
      <x:c r="J5" s="9" t="str">
        <x:v>1. 进入充值订单
2. 打开目标充值订单详情
3. 查看订单操作</x:v>
      </x:c>
      <x:c r="K5" s="9" t="str">
        <x:v>不允许发起充值退款</x:v>
      </x:c>
      <x:c r="L5" s="10" t="str">
        <x:v>FLOW-2BA2481A</x:v>
      </x:c>
      <x:c r="M5" s="10" t="str">
        <x:v>未测</x:v>
      </x:c>
      <x:c r="N5" s="10" t="str"/>
      <x:c r="O5" s="9" t="str">
        <x:v>1. 来源（当前证据）：liveshow-proto/MainBasis/统一需求文档.md；位置：admin-recharge-order-detail.html
2. 规则：BR-30A568FA2FC157
3. 未动态验证</x:v>
      </x:c>
    </x:row>
    <x:row r="6" ht="130" customHeight="1">
      <x:c r="A6" s="10" t="n">
        <x:v>5</x:v>
      </x:c>
      <x:c r="B6" s="10" t="str">
        <x:v>ADMIN-0005</x:v>
      </x:c>
      <x:c r="C6" s="10" t="str">
        <x:v>财务结算</x:v>
      </x:c>
      <x:c r="D6" s="10" t="str">
        <x:v>充值订单详情（平台管理员）</x:v>
      </x:c>
      <x:c r="E6" s="10" t="str">
        <x:v>功能需求</x:v>
      </x:c>
      <x:c r="F6" s="10" t="str">
        <x:v>P1</x:v>
      </x:c>
      <x:c r="G6" s="9" t="str">
        <x:v>验证退款不撤销完成的礼物消费</x:v>
      </x:c>
      <x:c r="H6" s="9" t="str">
        <x:v>退款消费隔离</x:v>
      </x:c>
      <x:c r="I6" s="9" t="str">
        <x:v>1. 后台账号已登录且拥有本页及本次操作的授权
2. 用户此前已完成一笔赠礼，原充值订单可退款</x:v>
      </x:c>
      <x:c r="J6" s="9" t="str">
        <x:v>1. 进入充值订单
2. 打开目标充值订单详情
3. 点击退款
4. 填写原因“充值整单退回”并确认
5. 进入该用户详情
6. 切换消费流水并查询原赠礼订单</x:v>
      </x:c>
      <x:c r="K6" s="9" t="str">
        <x:v>该用户既有成功赠礼订单仍保留</x:v>
      </x:c>
      <x:c r="L6" s="10" t="str">
        <x:v>FLOW-2BA2481A</x:v>
      </x:c>
      <x:c r="M6" s="10" t="str">
        <x:v>未测</x:v>
      </x:c>
      <x:c r="N6" s="10" t="str"/>
      <x:c r="O6" s="9" t="str">
        <x:v>1. 来源（当前证据）：liveshow-proto/MainBasis/统一需求文档.md；位置：admin-recharge-order-detail.html、admin-user-detail.html
2. 规则：BR-603CDF6848821F
3. 未动态验证</x:v>
      </x:c>
    </x:row>
    <x:row r="7" ht="85" customHeight="1">
      <x:c r="A7" s="10" t="n">
        <x:v>6</x:v>
      </x:c>
      <x:c r="B7" s="10" t="str">
        <x:v>ADMIN-0006</x:v>
      </x:c>
      <x:c r="C7" s="10" t="str">
        <x:v>财务结算</x:v>
      </x:c>
      <x:c r="D7" s="10" t="str">
        <x:v>消费订单详情（平台管理员）</x:v>
      </x:c>
      <x:c r="E7" s="10" t="str">
        <x:v>逻辑校验</x:v>
      </x:c>
      <x:c r="F7" s="10" t="str">
        <x:v>P0</x:v>
      </x:c>
      <x:c r="G7" s="9" t="str">
        <x:v>验证普通礼物收益按礼物价值</x:v>
      </x:c>
      <x:c r="H7" s="9" t="str">
        <x:v>普通礼物收益计算</x:v>
      </x:c>
      <x:c r="I7" s="9" t="str">
        <x:v>1. 后台账号已登录且拥有本页及本次操作的授权
2. 成功真实金币普通礼物单价20数量3</x:v>
      </x:c>
      <x:c r="J7" s="9" t="str">
        <x:v>1. 进入消费订单详情</x:v>
      </x:c>
      <x:c r="K7" s="9" t="str">
        <x:v>主播收益计算结果=20×3=60</x:v>
      </x:c>
      <x:c r="L7" s="10" t="str">
        <x:v>FLOW-A1501E68</x:v>
      </x:c>
      <x:c r="M7" s="10" t="str">
        <x:v>未测</x:v>
      </x:c>
      <x:c r="N7" s="10" t="str"/>
      <x:c r="O7" s="9" t="str">
        <x:v>1. 来源（当前证据）：liveshow-proto/MainBasis/统一需求文档.md；位置：admin-consumption-order-detail.html
2. 规则：BR-81900A26EC7685
3. 未动态验证</x:v>
      </x:c>
    </x:row>
    <x:row r="8" ht="85" customHeight="1">
      <x:c r="A8" s="10" t="n">
        <x:v>7</x:v>
      </x:c>
      <x:c r="B8" s="10" t="str">
        <x:v>ADMIN-0007</x:v>
      </x:c>
      <x:c r="C8" s="10" t="str">
        <x:v>财务结算</x:v>
      </x:c>
      <x:c r="D8" s="10" t="str">
        <x:v>消费订单详情（平台管理员）</x:v>
      </x:c>
      <x:c r="E8" s="10" t="str">
        <x:v>逻辑校验</x:v>
      </x:c>
      <x:c r="F8" s="10" t="str">
        <x:v>P0</x:v>
      </x:c>
      <x:c r="G8" s="9" t="str">
        <x:v>验证幸运礼物返奖不影响主播收益</x:v>
      </x:c>
      <x:c r="H8" s="9" t="str">
        <x:v>幸运收益与返奖隔离</x:v>
      </x:c>
      <x:c r="I8" s="9" t="str">
        <x:v>1. 后台账号已登录且拥有本页及本次操作的授权
2. 成功幸运礼物价值1000，赠送时比例1%，用户实际返奖1500</x:v>
      </x:c>
      <x:c r="J8" s="9" t="str">
        <x:v>1. 进入消费订单详情</x:v>
      </x:c>
      <x:c r="K8" s="9" t="str">
        <x:v>主播收益计算结果=1000×0.01=10</x:v>
      </x:c>
      <x:c r="L8" s="10" t="str"/>
      <x:c r="M8" s="10" t="str">
        <x:v>未测</x:v>
      </x:c>
      <x:c r="N8" s="10" t="str"/>
      <x:c r="O8" s="9" t="str">
        <x:v>1. 来源（当前证据）：liveshow-proto/MainBasis/统一需求文档.md；位置：admin-consumption-order-detail.html
2. 规则：BR-E78735060F6BBC
3. 未动态验证</x:v>
      </x:c>
    </x:row>
    <x:row r="9" ht="85" customHeight="1">
      <x:c r="A9" s="10" t="n">
        <x:v>8</x:v>
      </x:c>
      <x:c r="B9" s="10" t="str">
        <x:v>ADMIN-0008</x:v>
      </x:c>
      <x:c r="C9" s="10" t="str">
        <x:v>财务结算</x:v>
      </x:c>
      <x:c r="D9" s="10" t="str">
        <x:v>消费订单详情（平台管理员）</x:v>
      </x:c>
      <x:c r="E9" s="10" t="str">
        <x:v>逻辑校验</x:v>
      </x:c>
      <x:c r="F9" s="10" t="str">
        <x:v>P0</x:v>
      </x:c>
      <x:c r="G9" s="9" t="str">
        <x:v>验证幸运礼物净消耗可小于零</x:v>
      </x:c>
      <x:c r="H9" s="9" t="str">
        <x:v>用户净消费计算</x:v>
      </x:c>
      <x:c r="I9" s="9" t="str">
        <x:v>1. 后台账号已登录且拥有本页及本次操作的授权
2. 该订单扣减100，独立开奖合计返奖150</x:v>
      </x:c>
      <x:c r="J9" s="9" t="str">
        <x:v>1. 进入消费订单详情</x:v>
      </x:c>
      <x:c r="K9" s="9" t="str">
        <x:v>用户净消耗计算结果=100-150=-50</x:v>
      </x:c>
      <x:c r="L9" s="10" t="str"/>
      <x:c r="M9" s="10" t="str">
        <x:v>未测</x:v>
      </x:c>
      <x:c r="N9" s="10" t="str"/>
      <x:c r="O9" s="9" t="str">
        <x:v>1. 来源（当前证据）：liveshow-proto/MainBasis/统一需求文档.md；位置：admin-consumption-order-detail.html
2. 规则：BR-F619A8CB5E4165
3. 未动态验证</x:v>
      </x:c>
    </x:row>
    <x:row r="10" ht="85" customHeight="1">
      <x:c r="A10" s="10" t="n">
        <x:v>9</x:v>
      </x:c>
      <x:c r="B10" s="10" t="str">
        <x:v>ADMIN-0009</x:v>
      </x:c>
      <x:c r="C10" s="10" t="str">
        <x:v>财务结算</x:v>
      </x:c>
      <x:c r="D10" s="10" t="str">
        <x:v>消费订单详情（平台管理员）</x:v>
      </x:c>
      <x:c r="E10" s="10" t="str">
        <x:v>功能需求</x:v>
      </x:c>
      <x:c r="F10" s="10" t="str">
        <x:v>P1</x:v>
      </x:c>
      <x:c r="G10" s="9" t="str">
        <x:v>验证已支付消费订单不提供退款</x:v>
      </x:c>
      <x:c r="H10" s="9" t="str">
        <x:v>后台消费不可退款</x:v>
      </x:c>
      <x:c r="I10" s="9" t="str">
        <x:v>1. 后台账号已登录且拥有本页及本次操作的授权
2. 目标为已支付门票或礼物订单</x:v>
      </x:c>
      <x:c r="J10" s="9" t="str">
        <x:v>1. 进入消费订单详情
2. 查看详情操作</x:v>
      </x:c>
      <x:c r="K10" s="9" t="str">
        <x:v>不提供退款操作</x:v>
      </x:c>
      <x:c r="L10" s="10" t="str">
        <x:v>FLOW-2BA2481A</x:v>
      </x:c>
      <x:c r="M10" s="10" t="str">
        <x:v>未测</x:v>
      </x:c>
      <x:c r="N10" s="10" t="str"/>
      <x:c r="O10" s="9" t="str">
        <x:v>1. 来源（当前证据）：liveshow-proto/MainBasis/统一需求文档.md；位置：admin-consumption-order-detail.html
2. 规则：BR-C6A4432C60AC3B
3. 未动态验证</x:v>
      </x:c>
    </x:row>
    <x:row r="11" ht="85" customHeight="1">
      <x:c r="A11" s="10" t="n">
        <x:v>10</x:v>
      </x:c>
      <x:c r="B11" s="10" t="str">
        <x:v>ADMIN-0010</x:v>
      </x:c>
      <x:c r="C11" s="10" t="str">
        <x:v>财务结算</x:v>
      </x:c>
      <x:c r="D11" s="10" t="str">
        <x:v>主播分成记录（平台管理员）</x:v>
      </x:c>
      <x:c r="E11" s="10" t="str">
        <x:v>逻辑校验</x:v>
      </x:c>
      <x:c r="F11" s="10" t="str">
        <x:v>P0</x:v>
      </x:c>
      <x:c r="G11" s="9" t="str">
        <x:v>验证主播分成导入预览合计</x:v>
      </x:c>
      <x:c r="H11" s="9" t="str">
        <x:v>导入批次金额</x:v>
      </x:c>
      <x:c r="I11" s="9" t="str">
        <x:v>1. 后台账号已登录且拥有本页及本次操作的授权
2. 按页面模板准备两个有效主播，金额分别100.50和200.25 USD</x:v>
      </x:c>
      <x:c r="J11" s="9" t="str">
        <x:v>1. 进入主播分成记录
2. 填写分成备注“本月线下结算”
3. 上传该模板文件</x:v>
      </x:c>
      <x:c r="K11" s="9" t="str">
        <x:v>预览分成总金额计算结果=100.50+200.25=300.75</x:v>
      </x:c>
      <x:c r="L11" s="10" t="str">
        <x:v>FLOW-3263DF8E</x:v>
      </x:c>
      <x:c r="M11" s="10" t="str">
        <x:v>未测</x:v>
      </x:c>
      <x:c r="N11" s="10" t="str"/>
      <x:c r="O11" s="9" t="str">
        <x:v>1. 来源（当前证据）：liveshow-proto/MainBasis/统一需求文档.md；位置：admin-settlement-record.html
2. 规则：BR-F311E9E8514038
3. 未动态验证</x:v>
      </x:c>
    </x:row>
    <x:row r="12" ht="85" customHeight="1">
      <x:c r="A12" s="10" t="n">
        <x:v>11</x:v>
      </x:c>
      <x:c r="B12" s="10" t="str">
        <x:v>ADMIN-0011</x:v>
      </x:c>
      <x:c r="C12" s="10" t="str">
        <x:v>财务结算</x:v>
      </x:c>
      <x:c r="D12" s="10" t="str">
        <x:v>主播分成记录（平台管理员）</x:v>
      </x:c>
      <x:c r="E12" s="10" t="str">
        <x:v>功能需求</x:v>
      </x:c>
      <x:c r="F12" s="10" t="str">
        <x:v>P1</x:v>
      </x:c>
      <x:c r="G12" s="9" t="str">
        <x:v>验证主播确认导入后记录只读</x:v>
      </x:c>
      <x:c r="H12" s="9" t="str">
        <x:v>导入完成终态</x:v>
      </x:c>
      <x:c r="I12" s="9" t="str">
        <x:v>1. 后台账号已登录且拥有本页及本次操作的授权
2. 导入文件已通过校验，备注已填写</x:v>
      </x:c>
      <x:c r="J12" s="9" t="str">
        <x:v>1. 进入主播分成记录
2. 点击确认导入</x:v>
      </x:c>
      <x:c r="K12" s="9" t="str">
        <x:v>本批分成记录不提供编辑或删除</x:v>
      </x:c>
      <x:c r="L12" s="10" t="str">
        <x:v>FLOW-3263DF8E</x:v>
      </x:c>
      <x:c r="M12" s="10" t="str">
        <x:v>未测</x:v>
      </x:c>
      <x:c r="N12" s="10" t="str"/>
      <x:c r="O12" s="9" t="str">
        <x:v>1. 来源（当前证据）：liveshow-proto/MainBasis/统一需求文档.md；位置：admin-settlement-record.html
2. 规则：BR-CB817FEF6CCCB0
3. 未动态验证</x:v>
      </x:c>
    </x:row>
    <x:row r="13" ht="85" customHeight="1">
      <x:c r="A13" s="10" t="n">
        <x:v>12</x:v>
      </x:c>
      <x:c r="B13" s="10" t="str">
        <x:v>ADMIN-0012</x:v>
      </x:c>
      <x:c r="C13" s="10" t="str">
        <x:v>财务结算</x:v>
      </x:c>
      <x:c r="D13" s="10" t="str">
        <x:v>主播分成记录（平台管理员）</x:v>
      </x:c>
      <x:c r="E13" s="10" t="str">
        <x:v>功能需求</x:v>
      </x:c>
      <x:c r="F13" s="10" t="str">
        <x:v>P1</x:v>
      </x:c>
      <x:c r="G13" s="9" t="str">
        <x:v>验证主播导入不在线计算分成</x:v>
      </x:c>
      <x:c r="H13" s="9" t="str">
        <x:v>线下结果录入</x:v>
      </x:c>
      <x:c r="I13" s="9" t="str">
        <x:v>1. 后台账号已登录且拥有本页及本次操作的授权
2. 模板已填写财务确定的金额</x:v>
      </x:c>
      <x:c r="J13" s="9" t="str">
        <x:v>1. 进入主播分成记录
2. 查看导入表单</x:v>
      </x:c>
      <x:c r="K13" s="9" t="str">
        <x:v>不要求在系统填写分成比例或发起结算审批</x:v>
      </x:c>
      <x:c r="L13" s="10" t="str">
        <x:v>FLOW-3263DF8E</x:v>
      </x:c>
      <x:c r="M13" s="10" t="str">
        <x:v>未测</x:v>
      </x:c>
      <x:c r="N13" s="10" t="str"/>
      <x:c r="O13" s="9" t="str">
        <x:v>1. 来源（当前证据）：liveshow-proto/MainBasis/统一需求文档.md；位置：admin-settlement-record.html
2. 规则：BR-3248610DA56299
3. 未动态验证</x:v>
      </x:c>
    </x:row>
    <x:row r="14" ht="85" customHeight="1">
      <x:c r="A14" s="10" t="n">
        <x:v>13</x:v>
      </x:c>
      <x:c r="B14" s="10" t="str">
        <x:v>ADMIN-0013</x:v>
      </x:c>
      <x:c r="C14" s="10" t="str">
        <x:v>财务结算</x:v>
      </x:c>
      <x:c r="D14" s="10" t="str">
        <x:v>余额变更记录（平台管理员）（主播账户）</x:v>
      </x:c>
      <x:c r="E14" s="10" t="str">
        <x:v>逻辑校验</x:v>
      </x:c>
      <x:c r="F14" s="10" t="str">
        <x:v>P0</x:v>
      </x:c>
      <x:c r="G14" s="9" t="str">
        <x:v>验证主播正向分成修正</x:v>
      </x:c>
      <x:c r="H14" s="9" t="str">
        <x:v>分成正向修正</x:v>
      </x:c>
      <x:c r="I14" s="9" t="str">
        <x:v>1. 后台账号已登录且拥有本页及本次操作的授权
2. 当前余额100 USD</x:v>
      </x:c>
      <x:c r="J14" s="9" t="str">
        <x:v>1. 进入指定主播的余额变更记录
2. 点击新建修正
3. 输入金额20.50和备注“补充差额”
4. 点击确认</x:v>
      </x:c>
      <x:c r="K14" s="9" t="str">
        <x:v>变更后余额计算结果=100+20.50=120.50</x:v>
      </x:c>
      <x:c r="L14" s="10" t="str">
        <x:v>FLOW-3263DF8E</x:v>
      </x:c>
      <x:c r="M14" s="10" t="str">
        <x:v>未测</x:v>
      </x:c>
      <x:c r="N14" s="10" t="str"/>
      <x:c r="O14" s="9" t="str">
        <x:v>1. 来源（当前证据）：liveshow-proto/MainBasis/统一需求文档.md；位置：admin-host-balance-change-record.html
2. 规则：BR-92F2FA57D76392
3. 未动态验证</x:v>
      </x:c>
    </x:row>
    <x:row r="15" ht="85" customHeight="1">
      <x:c r="A15" s="10" t="n">
        <x:v>14</x:v>
      </x:c>
      <x:c r="B15" s="10" t="str">
        <x:v>ADMIN-0014</x:v>
      </x:c>
      <x:c r="C15" s="10" t="str">
        <x:v>财务结算</x:v>
      </x:c>
      <x:c r="D15" s="10" t="str">
        <x:v>余额变更记录（平台管理员）（主播账户）</x:v>
      </x:c>
      <x:c r="E15" s="10" t="str">
        <x:v>逻辑校验</x:v>
      </x:c>
      <x:c r="F15" s="10" t="str">
        <x:v>P0</x:v>
      </x:c>
      <x:c r="G15" s="9" t="str">
        <x:v>验证主播负向修正可扣至零</x:v>
      </x:c>
      <x:c r="H15" s="9" t="str">
        <x:v>分成扣减允许边界</x:v>
      </x:c>
      <x:c r="I15" s="9" t="str">
        <x:v>1. 后台账号已登录且拥有本页及本次操作的授权
2. 当前余额100 USD</x:v>
      </x:c>
      <x:c r="J15" s="9" t="str">
        <x:v>1. 进入指定主播的余额变更记录
2. 点击新建修正
3. 输入金额-100和备注“冲正”
4. 点击确认</x:v>
      </x:c>
      <x:c r="K15" s="9" t="str">
        <x:v>变更后余额计算结果=100-100=0</x:v>
      </x:c>
      <x:c r="L15" s="10" t="str">
        <x:v>FLOW-3263DF8E</x:v>
      </x:c>
      <x:c r="M15" s="10" t="str">
        <x:v>未测</x:v>
      </x:c>
      <x:c r="N15" s="10" t="str"/>
      <x:c r="O15" s="9" t="str">
        <x:v>1. 来源（当前证据）：liveshow-proto/MainBasis/统一需求文档.md；位置：admin-host-balance-change-record.html
2. 规则：BR-D2D4730E017D4F
3. 未动态验证</x:v>
      </x:c>
    </x:row>
    <x:row r="16" ht="85" customHeight="1">
      <x:c r="A16" s="10" t="n">
        <x:v>15</x:v>
      </x:c>
      <x:c r="B16" s="10" t="str">
        <x:v>ADMIN-0015</x:v>
      </x:c>
      <x:c r="C16" s="10" t="str">
        <x:v>财务结算</x:v>
      </x:c>
      <x:c r="D16" s="10" t="str">
        <x:v>余额变更记录（平台管理员）（主播账户）</x:v>
      </x:c>
      <x:c r="E16" s="10" t="str">
        <x:v>功能需求</x:v>
      </x:c>
      <x:c r="F16" s="10" t="str">
        <x:v>P1</x:v>
      </x:c>
      <x:c r="G16" s="9" t="str">
        <x:v>验证主播修正不能超过余额</x:v>
      </x:c>
      <x:c r="H16" s="9" t="str">
        <x:v>分成扣减越界</x:v>
      </x:c>
      <x:c r="I16" s="9" t="str">
        <x:v>1. 后台账号已登录且拥有本页及本次操作的授权
2. 当前余额100 USD</x:v>
      </x:c>
      <x:c r="J16" s="9" t="str">
        <x:v>1. 进入指定主播的余额变更记录
2. 点击新建修正
3. 输入金额-100.01和备注“冲正”
4. 点击确认</x:v>
      </x:c>
      <x:c r="K16" s="9" t="str">
        <x:v>不保存超过余额的扣减</x:v>
      </x:c>
      <x:c r="L16" s="10" t="str">
        <x:v>FLOW-3263DF8E</x:v>
      </x:c>
      <x:c r="M16" s="10" t="str">
        <x:v>未测</x:v>
      </x:c>
      <x:c r="N16" s="10" t="str"/>
      <x:c r="O16" s="9" t="str">
        <x:v>1. 来源（当前证据）：liveshow-proto/MainBasis/统一需求文档.md；位置：admin-host-balance-change-record.html
2. 规则：BR-3FDFB723B34CB8
3. 未动态验证</x:v>
      </x:c>
    </x:row>
    <x:row r="17" ht="85" customHeight="1">
      <x:c r="A17" s="10" t="n">
        <x:v>16</x:v>
      </x:c>
      <x:c r="B17" s="10" t="str">
        <x:v>ADMIN-0016</x:v>
      </x:c>
      <x:c r="C17" s="10" t="str">
        <x:v>财务结算</x:v>
      </x:c>
      <x:c r="D17" s="10" t="str">
        <x:v>余额变更记录（平台管理员）（主播账户）</x:v>
      </x:c>
      <x:c r="E17" s="10" t="str">
        <x:v>功能需求</x:v>
      </x:c>
      <x:c r="F17" s="10" t="str">
        <x:v>P1</x:v>
      </x:c>
      <x:c r="G17" s="9" t="str">
        <x:v>验证主播修正拒绝零金额</x:v>
      </x:c>
      <x:c r="H17" s="9" t="str">
        <x:v>分成修正零值</x:v>
      </x:c>
      <x:c r="I17" s="9" t="str">
        <x:v>1. 后台账号已登录且拥有本页及本次操作的授权
2. 当前余额100 USD</x:v>
      </x:c>
      <x:c r="J17" s="9" t="str">
        <x:v>1. 进入指定主播的余额变更记录
2. 点击新建修正
3. 输入金额0并填写备注
4. 点击确认</x:v>
      </x:c>
      <x:c r="K17" s="9" t="str">
        <x:v>不能保存零金额修正</x:v>
      </x:c>
      <x:c r="L17" s="10" t="str">
        <x:v>FLOW-3263DF8E</x:v>
      </x:c>
      <x:c r="M17" s="10" t="str">
        <x:v>未测</x:v>
      </x:c>
      <x:c r="N17" s="10" t="str"/>
      <x:c r="O17" s="9" t="str">
        <x:v>1. 来源（当前证据）：liveshow-proto/MainBasis/统一需求文档.md；位置：admin-host-balance-change-record.html
2. 规则：BR-0F484A2AB1824A
3. 未动态验证</x:v>
      </x:c>
    </x:row>
    <x:row r="18" ht="85" customHeight="1">
      <x:c r="A18" s="10" t="n">
        <x:v>17</x:v>
      </x:c>
      <x:c r="B18" s="10" t="str">
        <x:v>ADMIN-0017</x:v>
      </x:c>
      <x:c r="C18" s="10" t="str">
        <x:v>财务结算</x:v>
      </x:c>
      <x:c r="D18" s="10" t="str">
        <x:v>公会分成记录（平台管理员）</x:v>
      </x:c>
      <x:c r="E18" s="10" t="str">
        <x:v>逻辑校验</x:v>
      </x:c>
      <x:c r="F18" s="10" t="str">
        <x:v>P0</x:v>
      </x:c>
      <x:c r="G18" s="9" t="str">
        <x:v>验证公会分成导入预览合计</x:v>
      </x:c>
      <x:c r="H18" s="9" t="str">
        <x:v>导入批次金额</x:v>
      </x:c>
      <x:c r="I18" s="9" t="str">
        <x:v>1. 后台账号已登录且拥有本页及本次操作的授权
2. 按页面模板准备两个有效公会，金额分别100.50和200.25 USD</x:v>
      </x:c>
      <x:c r="J18" s="9" t="str">
        <x:v>1. 进入公会分成记录
2. 填写分成备注“本月线下结算”
3. 上传该模板文件</x:v>
      </x:c>
      <x:c r="K18" s="9" t="str">
        <x:v>预览分成总金额计算结果=100.50+200.25=300.75</x:v>
      </x:c>
      <x:c r="L18" s="10" t="str">
        <x:v>FLOW-3263DF8E</x:v>
      </x:c>
      <x:c r="M18" s="10" t="str">
        <x:v>未测</x:v>
      </x:c>
      <x:c r="N18" s="10" t="str"/>
      <x:c r="O18" s="9" t="str">
        <x:v>1. 来源（当前证据）：liveshow-proto/MainBasis/统一需求文档.md；位置：admin-guild-settlement-record.html
2. 规则：BR-E1DE69C666808F
3. 未动态验证</x:v>
      </x:c>
    </x:row>
    <x:row r="19" ht="85" customHeight="1">
      <x:c r="A19" s="10" t="n">
        <x:v>18</x:v>
      </x:c>
      <x:c r="B19" s="10" t="str">
        <x:v>ADMIN-0018</x:v>
      </x:c>
      <x:c r="C19" s="10" t="str">
        <x:v>财务结算</x:v>
      </x:c>
      <x:c r="D19" s="10" t="str">
        <x:v>公会分成记录（平台管理员）</x:v>
      </x:c>
      <x:c r="E19" s="10" t="str">
        <x:v>功能需求</x:v>
      </x:c>
      <x:c r="F19" s="10" t="str">
        <x:v>P1</x:v>
      </x:c>
      <x:c r="G19" s="9" t="str">
        <x:v>验证公会确认导入后记录只读</x:v>
      </x:c>
      <x:c r="H19" s="9" t="str">
        <x:v>导入完成终态</x:v>
      </x:c>
      <x:c r="I19" s="9" t="str">
        <x:v>1. 后台账号已登录且拥有本页及本次操作的授权
2. 导入文件已通过校验，备注已填写</x:v>
      </x:c>
      <x:c r="J19" s="9" t="str">
        <x:v>1. 进入公会分成记录
2. 点击确认导入</x:v>
      </x:c>
      <x:c r="K19" s="9" t="str">
        <x:v>本批分成记录不提供编辑或删除</x:v>
      </x:c>
      <x:c r="L19" s="10" t="str">
        <x:v>FLOW-3263DF8E</x:v>
      </x:c>
      <x:c r="M19" s="10" t="str">
        <x:v>未测</x:v>
      </x:c>
      <x:c r="N19" s="10" t="str"/>
      <x:c r="O19" s="9" t="str">
        <x:v>1. 来源（当前证据）：liveshow-proto/MainBasis/统一需求文档.md；位置：admin-guild-settlement-record.html
2. 规则：BR-A05DCDD400678A
3. 未动态验证</x:v>
      </x:c>
    </x:row>
    <x:row r="20" ht="85" customHeight="1">
      <x:c r="A20" s="10" t="n">
        <x:v>19</x:v>
      </x:c>
      <x:c r="B20" s="10" t="str">
        <x:v>ADMIN-0019</x:v>
      </x:c>
      <x:c r="C20" s="10" t="str">
        <x:v>财务结算</x:v>
      </x:c>
      <x:c r="D20" s="10" t="str">
        <x:v>公会分成记录（平台管理员）</x:v>
      </x:c>
      <x:c r="E20" s="10" t="str">
        <x:v>功能需求</x:v>
      </x:c>
      <x:c r="F20" s="10" t="str">
        <x:v>P1</x:v>
      </x:c>
      <x:c r="G20" s="9" t="str">
        <x:v>验证公会导入不在线计算分成</x:v>
      </x:c>
      <x:c r="H20" s="9" t="str">
        <x:v>线下结果录入</x:v>
      </x:c>
      <x:c r="I20" s="9" t="str">
        <x:v>1. 后台账号已登录且拥有本页及本次操作的授权
2. 模板已填写财务确定的金额</x:v>
      </x:c>
      <x:c r="J20" s="9" t="str">
        <x:v>1. 进入公会分成记录
2. 查看导入表单</x:v>
      </x:c>
      <x:c r="K20" s="9" t="str">
        <x:v>不要求在系统填写分成比例或发起结算审批</x:v>
      </x:c>
      <x:c r="L20" s="10" t="str">
        <x:v>FLOW-3263DF8E</x:v>
      </x:c>
      <x:c r="M20" s="10" t="str">
        <x:v>未测</x:v>
      </x:c>
      <x:c r="N20" s="10" t="str"/>
      <x:c r="O20" s="9" t="str">
        <x:v>1. 来源（当前证据）：liveshow-proto/MainBasis/统一需求文档.md；位置：admin-guild-settlement-record.html
2. 规则：BR-5BB99F546E8807
3. 未动态验证</x:v>
      </x:c>
    </x:row>
    <x:row r="21" ht="85" customHeight="1">
      <x:c r="A21" s="10" t="n">
        <x:v>20</x:v>
      </x:c>
      <x:c r="B21" s="10" t="str">
        <x:v>ADMIN-0020</x:v>
      </x:c>
      <x:c r="C21" s="10" t="str">
        <x:v>财务结算</x:v>
      </x:c>
      <x:c r="D21" s="10" t="str">
        <x:v>余额变更记录（平台管理员）（公会账户）</x:v>
      </x:c>
      <x:c r="E21" s="10" t="str">
        <x:v>逻辑校验</x:v>
      </x:c>
      <x:c r="F21" s="10" t="str">
        <x:v>P0</x:v>
      </x:c>
      <x:c r="G21" s="9" t="str">
        <x:v>验证公会正向分成修正</x:v>
      </x:c>
      <x:c r="H21" s="9" t="str">
        <x:v>分成正向修正</x:v>
      </x:c>
      <x:c r="I21" s="9" t="str">
        <x:v>1. 后台账号已登录且拥有本页及本次操作的授权
2. 当前余额100 USD</x:v>
      </x:c>
      <x:c r="J21" s="9" t="str">
        <x:v>1. 进入指定公会的余额变更记录
2. 点击新建修正
3. 输入金额20.50和备注“补充差额”
4. 点击确认</x:v>
      </x:c>
      <x:c r="K21" s="9" t="str">
        <x:v>变更后余额计算结果=100+20.50=120.50</x:v>
      </x:c>
      <x:c r="L21" s="10" t="str">
        <x:v>FLOW-3263DF8E</x:v>
      </x:c>
      <x:c r="M21" s="10" t="str">
        <x:v>未测</x:v>
      </x:c>
      <x:c r="N21" s="10" t="str"/>
      <x:c r="O21" s="9" t="str">
        <x:v>1. 来源（当前证据）：liveshow-proto/MainBasis/统一需求文档.md；位置：admin-guild-balance-change-record.html
2. 规则：BR-86123325C46BA4
3. 未动态验证</x:v>
      </x:c>
    </x:row>
    <x:row r="22" ht="85" customHeight="1">
      <x:c r="A22" s="10" t="n">
        <x:v>21</x:v>
      </x:c>
      <x:c r="B22" s="10" t="str">
        <x:v>ADMIN-0021</x:v>
      </x:c>
      <x:c r="C22" s="10" t="str">
        <x:v>财务结算</x:v>
      </x:c>
      <x:c r="D22" s="10" t="str">
        <x:v>余额变更记录（平台管理员）（公会账户）</x:v>
      </x:c>
      <x:c r="E22" s="10" t="str">
        <x:v>逻辑校验</x:v>
      </x:c>
      <x:c r="F22" s="10" t="str">
        <x:v>P0</x:v>
      </x:c>
      <x:c r="G22" s="9" t="str">
        <x:v>验证公会负向修正可扣至零</x:v>
      </x:c>
      <x:c r="H22" s="9" t="str">
        <x:v>分成扣减允许边界</x:v>
      </x:c>
      <x:c r="I22" s="9" t="str">
        <x:v>1. 后台账号已登录且拥有本页及本次操作的授权
2. 当前余额100 USD</x:v>
      </x:c>
      <x:c r="J22" s="9" t="str">
        <x:v>1. 进入指定公会的余额变更记录
2. 点击新建修正
3. 输入金额-100和备注“冲正”
4. 点击确认</x:v>
      </x:c>
      <x:c r="K22" s="9" t="str">
        <x:v>变更后余额计算结果=100-100=0</x:v>
      </x:c>
      <x:c r="L22" s="10" t="str">
        <x:v>FLOW-3263DF8E</x:v>
      </x:c>
      <x:c r="M22" s="10" t="str">
        <x:v>未测</x:v>
      </x:c>
      <x:c r="N22" s="10" t="str"/>
      <x:c r="O22" s="9" t="str">
        <x:v>1. 来源（当前证据）：liveshow-proto/MainBasis/统一需求文档.md；位置：admin-guild-balance-change-record.html
2. 规则：BR-9A832A3F431975
3. 未动态验证</x:v>
      </x:c>
    </x:row>
    <x:row r="23" ht="85" customHeight="1">
      <x:c r="A23" s="10" t="n">
        <x:v>22</x:v>
      </x:c>
      <x:c r="B23" s="10" t="str">
        <x:v>ADMIN-0022</x:v>
      </x:c>
      <x:c r="C23" s="10" t="str">
        <x:v>财务结算</x:v>
      </x:c>
      <x:c r="D23" s="10" t="str">
        <x:v>余额变更记录（平台管理员）（公会账户）</x:v>
      </x:c>
      <x:c r="E23" s="10" t="str">
        <x:v>功能需求</x:v>
      </x:c>
      <x:c r="F23" s="10" t="str">
        <x:v>P1</x:v>
      </x:c>
      <x:c r="G23" s="9" t="str">
        <x:v>验证公会修正不能超过余额</x:v>
      </x:c>
      <x:c r="H23" s="9" t="str">
        <x:v>分成扣减越界</x:v>
      </x:c>
      <x:c r="I23" s="9" t="str">
        <x:v>1. 后台账号已登录且拥有本页及本次操作的授权
2. 当前余额100 USD</x:v>
      </x:c>
      <x:c r="J23" s="9" t="str">
        <x:v>1. 进入指定公会的余额变更记录
2. 点击新建修正
3. 输入金额-100.01和备注“冲正”
4. 点击确认</x:v>
      </x:c>
      <x:c r="K23" s="9" t="str">
        <x:v>不保存超过余额的扣减</x:v>
      </x:c>
      <x:c r="L23" s="10" t="str">
        <x:v>FLOW-3263DF8E</x:v>
      </x:c>
      <x:c r="M23" s="10" t="str">
        <x:v>未测</x:v>
      </x:c>
      <x:c r="N23" s="10" t="str"/>
      <x:c r="O23" s="9" t="str">
        <x:v>1. 来源（当前证据）：liveshow-proto/MainBasis/统一需求文档.md；位置：admin-guild-balance-change-record.html
2. 规则：BR-096DD59AA1B997
3. 未动态验证</x:v>
      </x:c>
    </x:row>
    <x:row r="24" ht="85" customHeight="1">
      <x:c r="A24" s="10" t="n">
        <x:v>23</x:v>
      </x:c>
      <x:c r="B24" s="10" t="str">
        <x:v>ADMIN-0023</x:v>
      </x:c>
      <x:c r="C24" s="10" t="str">
        <x:v>财务结算</x:v>
      </x:c>
      <x:c r="D24" s="10" t="str">
        <x:v>余额变更记录（平台管理员）（公会账户）</x:v>
      </x:c>
      <x:c r="E24" s="10" t="str">
        <x:v>功能需求</x:v>
      </x:c>
      <x:c r="F24" s="10" t="str">
        <x:v>P1</x:v>
      </x:c>
      <x:c r="G24" s="9" t="str">
        <x:v>验证公会修正拒绝零金额</x:v>
      </x:c>
      <x:c r="H24" s="9" t="str">
        <x:v>分成修正零值</x:v>
      </x:c>
      <x:c r="I24" s="9" t="str">
        <x:v>1. 后台账号已登录且拥有本页及本次操作的授权
2. 当前余额100 USD</x:v>
      </x:c>
      <x:c r="J24" s="9" t="str">
        <x:v>1. 进入指定公会的余额变更记录
2. 点击新建修正
3. 输入金额0并填写备注
4. 点击确认</x:v>
      </x:c>
      <x:c r="K24" s="9" t="str">
        <x:v>不能保存零金额修正</x:v>
      </x:c>
      <x:c r="L24" s="10" t="str">
        <x:v>FLOW-3263DF8E</x:v>
      </x:c>
      <x:c r="M24" s="10" t="str">
        <x:v>未测</x:v>
      </x:c>
      <x:c r="N24" s="10" t="str"/>
      <x:c r="O24" s="9" t="str">
        <x:v>1. 来源（当前证据）：liveshow-proto/MainBasis/统一需求文档.md；位置：admin-guild-balance-change-record.html
2. 规则：BR-459151140F01CE
3. 未动态验证</x:v>
      </x:c>
    </x:row>
    <x:row r="25" ht="85" customHeight="1">
      <x:c r="A25" s="10" t="n">
        <x:v>24</x:v>
      </x:c>
      <x:c r="B25" s="10" t="str">
        <x:v>ADMIN-0024</x:v>
      </x:c>
      <x:c r="C25" s="10" t="str">
        <x:v>财务结算</x:v>
      </x:c>
      <x:c r="D25" s="10" t="str">
        <x:v>主播账户余额（平台管理员）（主播账户）</x:v>
      </x:c>
      <x:c r="E25" s="10" t="str">
        <x:v>功能需求</x:v>
      </x:c>
      <x:c r="F25" s="10" t="str">
        <x:v>P1</x:v>
      </x:c>
      <x:c r="G25" s="9" t="str">
        <x:v>验证账户余额采用当前业务口径</x:v>
      </x:c>
      <x:c r="H25" s="9" t="str">
        <x:v>账户余额口径</x:v>
      </x:c>
      <x:c r="I25" s="9" t="str">
        <x:v>1. 后台账号已登录且拥有本页及本次操作的授权
2. 财务已上传主播分成收入100 USD，另有负向修正40 USD，无其他收支</x:v>
      </x:c>
      <x:c r="J25" s="9" t="str">
        <x:v>1. 进入主播账户余额
2. 查看账户余额</x:v>
      </x:c>
      <x:c r="K25" s="9" t="str">
        <x:v>账户余额为60 USD</x:v>
      </x:c>
      <x:c r="L25" s="10" t="str">
        <x:v>FLOW-3263DF8E</x:v>
      </x:c>
      <x:c r="M25" s="10" t="str">
        <x:v>未测</x:v>
      </x:c>
      <x:c r="N25" s="10" t="str"/>
      <x:c r="O25" s="9" t="str">
        <x:v>1. 来源（当前证据）：liveshow-proto/MainBasis/统一需求文档.md；位置：admin-host-account-balance.html
2. 规则：BR-8C2C225CCE2D24
3. 未动态验证</x:v>
      </x:c>
    </x:row>
    <x:row r="26" ht="85" customHeight="1">
      <x:c r="A26" s="10" t="n">
        <x:v>25</x:v>
      </x:c>
      <x:c r="B26" s="10" t="str">
        <x:v>ADMIN-0025</x:v>
      </x:c>
      <x:c r="C26" s="10" t="str">
        <x:v>财务结算</x:v>
      </x:c>
      <x:c r="D26" s="10" t="str">
        <x:v>公会账户余额（平台管理员）（公会账户）</x:v>
      </x:c>
      <x:c r="E26" s="10" t="str">
        <x:v>功能需求</x:v>
      </x:c>
      <x:c r="F26" s="10" t="str">
        <x:v>P1</x:v>
      </x:c>
      <x:c r="G26" s="9" t="str">
        <x:v>验证账户余额采用当前业务口径</x:v>
      </x:c>
      <x:c r="H26" s="9" t="str">
        <x:v>账户余额口径</x:v>
      </x:c>
      <x:c r="I26" s="9" t="str">
        <x:v>1. 后台账号已登录且拥有本页及本次操作的授权
2. 财务已上传公会分成收入100 USD，另有负向修正40 USD，无其他收支</x:v>
      </x:c>
      <x:c r="J26" s="9" t="str">
        <x:v>1. 进入公会账户余额
2. 查看账户余额</x:v>
      </x:c>
      <x:c r="K26" s="9" t="str">
        <x:v>账户余额为60 USD</x:v>
      </x:c>
      <x:c r="L26" s="10" t="str">
        <x:v>FLOW-3263DF8E</x:v>
      </x:c>
      <x:c r="M26" s="10" t="str">
        <x:v>未测</x:v>
      </x:c>
      <x:c r="N26" s="10" t="str"/>
      <x:c r="O26" s="9" t="str">
        <x:v>1. 来源（当前证据）：liveshow-proto/MainBasis/统一需求文档.md；位置：admin-guild-account-balance.html
2. 规则：BR-08CEBF6D6AD58E
3. 未动态验证</x:v>
      </x:c>
    </x:row>
    <x:row r="27" ht="85" customHeight="1">
      <x:c r="A27" s="10" t="n">
        <x:v>26</x:v>
      </x:c>
      <x:c r="B27" s="10" t="str">
        <x:v>ADMIN-0026</x:v>
      </x:c>
      <x:c r="C27" s="10" t="str">
        <x:v>公会管理</x:v>
      </x:c>
      <x:c r="D27" s="10" t="str">
        <x:v>公会详情（平台管理员）</x:v>
      </x:c>
      <x:c r="E27" s="10" t="str">
        <x:v>逻辑校验</x:v>
      </x:c>
      <x:c r="F27" s="10" t="str">
        <x:v>P1</x:v>
      </x:c>
      <x:c r="G27" s="9" t="str">
        <x:v>验证公会名称未填写时不能提交</x:v>
      </x:c>
      <x:c r="H27" s="9" t="str">
        <x:v>公会名称必填</x:v>
      </x:c>
      <x:c r="I27" s="9" t="str">
        <x:v>1. 后台账号已登录且拥有本页及本次操作的授权
2. 除公会名称外必填项均为合法值</x:v>
      </x:c>
      <x:c r="J27" s="9" t="str">
        <x:v>1. 进入公会详情的新建表单
2. 清空公会名称
3. 点击保存</x:v>
      </x:c>
      <x:c r="K27" s="9" t="str">
        <x:v>不提交缺少公会名称的记录</x:v>
      </x:c>
      <x:c r="L27" s="10" t="str"/>
      <x:c r="M27" s="10" t="str">
        <x:v>未测</x:v>
      </x:c>
      <x:c r="N27" s="10" t="str"/>
      <x:c r="O27" s="9" t="str">
        <x:v>1. 来源（当前证据）：liveshow-proto/MainBasis/统一需求文档.md；位置：admin-guild-detail.html
2. 规则：BR-34AD4D1A97D59F
3. 未动态验证</x:v>
      </x:c>
    </x:row>
    <x:row r="28" ht="85" customHeight="1">
      <x:c r="A28" s="10" t="n">
        <x:v>27</x:v>
      </x:c>
      <x:c r="B28" s="10" t="str">
        <x:v>ADMIN-0027</x:v>
      </x:c>
      <x:c r="C28" s="10" t="str">
        <x:v>公会管理</x:v>
      </x:c>
      <x:c r="D28" s="10" t="str">
        <x:v>公会详情（平台管理员）</x:v>
      </x:c>
      <x:c r="E28" s="10" t="str">
        <x:v>逻辑校验</x:v>
      </x:c>
      <x:c r="F28" s="10" t="str">
        <x:v>P1</x:v>
      </x:c>
      <x:c r="G28" s="9" t="str">
        <x:v>验证Logo未填写时不能提交</x:v>
      </x:c>
      <x:c r="H28" s="9" t="str">
        <x:v>Logo必填</x:v>
      </x:c>
      <x:c r="I28" s="9" t="str">
        <x:v>1. 后台账号已登录且拥有本页及本次操作的授权
2. 除Logo外必填项均为合法值</x:v>
      </x:c>
      <x:c r="J28" s="9" t="str">
        <x:v>1. 进入公会详情的新建表单
2. 查看Logo未上传
3. 点击保存</x:v>
      </x:c>
      <x:c r="K28" s="9" t="str">
        <x:v>不提交缺少Logo的记录</x:v>
      </x:c>
      <x:c r="L28" s="10" t="str"/>
      <x:c r="M28" s="10" t="str">
        <x:v>未测</x:v>
      </x:c>
      <x:c r="N28" s="10" t="str"/>
      <x:c r="O28" s="9" t="str">
        <x:v>1. 来源（当前证据）：liveshow-proto/MainBasis/统一需求文档.md；位置：admin-guild-detail.html
2. 规则：BR-E16B18C1A66FEB
3. 未动态验证</x:v>
      </x:c>
    </x:row>
    <x:row r="29" ht="85" customHeight="1">
      <x:c r="A29" s="10" t="n">
        <x:v>28</x:v>
      </x:c>
      <x:c r="B29" s="10" t="str">
        <x:v>ADMIN-0028</x:v>
      </x:c>
      <x:c r="C29" s="10" t="str">
        <x:v>公会管理</x:v>
      </x:c>
      <x:c r="D29" s="10" t="str">
        <x:v>公会详情（平台管理员）</x:v>
      </x:c>
      <x:c r="E29" s="10" t="str">
        <x:v>逻辑校验</x:v>
      </x:c>
      <x:c r="F29" s="10" t="str">
        <x:v>P1</x:v>
      </x:c>
      <x:c r="G29" s="9" t="str">
        <x:v>验证公会长未填写时不能提交</x:v>
      </x:c>
      <x:c r="H29" s="9" t="str">
        <x:v>公会长必填</x:v>
      </x:c>
      <x:c r="I29" s="9" t="str">
        <x:v>1. 后台账号已登录且拥有本页及本次操作的授权
2. 除公会长外必填项均为合法值</x:v>
      </x:c>
      <x:c r="J29" s="9" t="str">
        <x:v>1. 进入公会详情的新建表单
2. 取消选择公会长
3. 点击保存</x:v>
      </x:c>
      <x:c r="K29" s="9" t="str">
        <x:v>不提交缺少公会长的记录</x:v>
      </x:c>
      <x:c r="L29" s="10" t="str"/>
      <x:c r="M29" s="10" t="str">
        <x:v>未测</x:v>
      </x:c>
      <x:c r="N29" s="10" t="str"/>
      <x:c r="O29" s="9" t="str">
        <x:v>1. 来源（当前证据）：liveshow-proto/MainBasis/统一需求文档.md；位置：admin-guild-detail.html
2. 规则：BR-C626D79FD7CDD7
3. 未动态验证</x:v>
      </x:c>
    </x:row>
    <x:row r="30" ht="85" customHeight="1">
      <x:c r="A30" s="10" t="n">
        <x:v>29</x:v>
      </x:c>
      <x:c r="B30" s="10" t="str">
        <x:v>ADMIN-0029</x:v>
      </x:c>
      <x:c r="C30" s="10" t="str">
        <x:v>公会管理</x:v>
      </x:c>
      <x:c r="D30" s="10" t="str">
        <x:v>公会详情（平台管理员）</x:v>
      </x:c>
      <x:c r="E30" s="10" t="str">
        <x:v>逻辑校验</x:v>
      </x:c>
      <x:c r="F30" s="10" t="str">
        <x:v>P1</x:v>
      </x:c>
      <x:c r="G30" s="9" t="str">
        <x:v>验证管理账号未填写时不能提交</x:v>
      </x:c>
      <x:c r="H30" s="9" t="str">
        <x:v>管理账号必填</x:v>
      </x:c>
      <x:c r="I30" s="9" t="str">
        <x:v>1. 后台账号已登录且拥有本页及本次操作的授权
2. 除管理账号外必填项均为合法值</x:v>
      </x:c>
      <x:c r="J30" s="9" t="str">
        <x:v>1. 进入公会详情的新建表单
2. 清空管理账号
3. 点击保存</x:v>
      </x:c>
      <x:c r="K30" s="9" t="str">
        <x:v>不提交缺少管理账号的记录</x:v>
      </x:c>
      <x:c r="L30" s="10" t="str"/>
      <x:c r="M30" s="10" t="str">
        <x:v>未测</x:v>
      </x:c>
      <x:c r="N30" s="10" t="str"/>
      <x:c r="O30" s="9" t="str">
        <x:v>1. 来源（当前证据）：liveshow-proto/MainBasis/统一需求文档.md；位置：admin-guild-detail.html
2. 规则：BR-EFA824B4B21A4A
3. 未动态验证</x:v>
      </x:c>
    </x:row>
    <x:row r="31" ht="85" customHeight="1">
      <x:c r="A31" s="10" t="n">
        <x:v>30</x:v>
      </x:c>
      <x:c r="B31" s="10" t="str">
        <x:v>ADMIN-0030</x:v>
      </x:c>
      <x:c r="C31" s="10" t="str">
        <x:v>公会管理</x:v>
      </x:c>
      <x:c r="D31" s="10" t="str">
        <x:v>公会详情（平台管理员）</x:v>
      </x:c>
      <x:c r="E31" s="10" t="str">
        <x:v>逻辑校验</x:v>
      </x:c>
      <x:c r="F31" s="10" t="str">
        <x:v>P1</x:v>
      </x:c>
      <x:c r="G31" s="9" t="str">
        <x:v>验证初始密码未填写时不能提交</x:v>
      </x:c>
      <x:c r="H31" s="9" t="str">
        <x:v>初始密码必填</x:v>
      </x:c>
      <x:c r="I31" s="9" t="str">
        <x:v>1. 后台账号已登录且拥有本页及本次操作的授权
2. 除初始密码外必填项均为合法值</x:v>
      </x:c>
      <x:c r="J31" s="9" t="str">
        <x:v>1. 进入公会详情的新建表单
2. 清空初始密码
3. 点击保存</x:v>
      </x:c>
      <x:c r="K31" s="9" t="str">
        <x:v>不提交缺少初始密码的记录</x:v>
      </x:c>
      <x:c r="L31" s="10" t="str"/>
      <x:c r="M31" s="10" t="str">
        <x:v>未测</x:v>
      </x:c>
      <x:c r="N31" s="10" t="str"/>
      <x:c r="O31" s="9" t="str">
        <x:v>1. 来源（当前证据）：liveshow-proto/MainBasis/统一需求文档.md；位置：admin-guild-detail.html
2. 规则：BR-1194988469A420
3. 未动态验证</x:v>
      </x:c>
    </x:row>
    <x:row r="32" ht="85" customHeight="1">
      <x:c r="A32" s="10" t="n">
        <x:v>31</x:v>
      </x:c>
      <x:c r="B32" s="10" t="str">
        <x:v>ADMIN-0031</x:v>
      </x:c>
      <x:c r="C32" s="10" t="str">
        <x:v>公会管理</x:v>
      </x:c>
      <x:c r="D32" s="10" t="str">
        <x:v>公会详情（平台管理员）</x:v>
      </x:c>
      <x:c r="E32" s="10" t="str">
        <x:v>功能需求</x:v>
      </x:c>
      <x:c r="F32" s="10" t="str">
        <x:v>P1</x:v>
      </x:c>
      <x:c r="G32" s="9" t="str">
        <x:v>验证停用公会解绑旗下主播</x:v>
      </x:c>
      <x:c r="H32" s="9" t="str">
        <x:v>公会组织停用</x:v>
      </x:c>
      <x:c r="I32" s="9" t="str">
        <x:v>1. 后台账号已登录且拥有本页及本次操作的授权
2. 公会启用且有在会主播海风</x:v>
      </x:c>
      <x:c r="J32" s="9" t="str">
        <x:v>1. 进入晨星公会详情
2. 停用公会并确认</x:v>
      </x:c>
      <x:c r="K32" s="9" t="str">
        <x:v>海风与晨星公会的成员关系解除</x:v>
      </x:c>
      <x:c r="L32" s="10" t="str">
        <x:v>FLOW-8C94B4FC</x:v>
      </x:c>
      <x:c r="M32" s="10" t="str">
        <x:v>未测</x:v>
      </x:c>
      <x:c r="N32" s="10" t="str"/>
      <x:c r="O32" s="9" t="str">
        <x:v>1. 来源（当前证据）：liveshow-proto/MainBasis/统一需求文档.md；位置：admin-guild-detail.html
2. 规则：BR-A6258263E51EAE
3. 未动态验证</x:v>
      </x:c>
    </x:row>
    <x:row r="33" ht="85" customHeight="1">
      <x:c r="A33" s="10" t="n">
        <x:v>32</x:v>
      </x:c>
      <x:c r="B33" s="10" t="str">
        <x:v>ADMIN-0032</x:v>
      </x:c>
      <x:c r="C33" s="10" t="str">
        <x:v>公会管理</x:v>
      </x:c>
      <x:c r="D33" s="10" t="str">
        <x:v>公会详情（平台管理员）</x:v>
      </x:c>
      <x:c r="E33" s="10" t="str">
        <x:v>功能需求</x:v>
      </x:c>
      <x:c r="F33" s="10" t="str">
        <x:v>P1</x:v>
      </x:c>
      <x:c r="G33" s="9" t="str">
        <x:v>验证只停用公会长账号不解绑主播</x:v>
      </x:c>
      <x:c r="H33" s="9" t="str">
        <x:v>公会账号独立</x:v>
      </x:c>
      <x:c r="I33" s="9" t="str">
        <x:v>1. 后台账号已登录且拥有本页及本次操作的授权
2. 公会启用且海风在会</x:v>
      </x:c>
      <x:c r="J33" s="9" t="str">
        <x:v>1. 进入晨星公会详情
2. 停用公会长账号并完成两次确认</x:v>
      </x:c>
      <x:c r="K33" s="9" t="str">
        <x:v>海风仍属于晨星公会</x:v>
      </x:c>
      <x:c r="L33" s="10" t="str"/>
      <x:c r="M33" s="10" t="str">
        <x:v>未测</x:v>
      </x:c>
      <x:c r="N33" s="10" t="str"/>
      <x:c r="O33" s="9" t="str">
        <x:v>1. 来源（当前证据）：liveshow-proto/MainBasis/统一需求文档.md；位置：admin-guild-detail.html
2. 规则：BR-3A4741FC956ADA
3. 未动态验证</x:v>
      </x:c>
    </x:row>
    <x:row r="34" ht="85" customHeight="1">
      <x:c r="A34" s="10" t="n">
        <x:v>33</x:v>
      </x:c>
      <x:c r="B34" s="10" t="str">
        <x:v>ADMIN-0033</x:v>
      </x:c>
      <x:c r="C34" s="10" t="str">
        <x:v>公会管理</x:v>
      </x:c>
      <x:c r="D34" s="10" t="str">
        <x:v>公会详情（平台管理员）</x:v>
      </x:c>
      <x:c r="E34" s="10" t="str">
        <x:v>功能需求</x:v>
      </x:c>
      <x:c r="F34" s="10" t="str">
        <x:v>P1</x:v>
      </x:c>
      <x:c r="G34" s="9" t="str">
        <x:v>验证解散公会需清零未结收益</x:v>
      </x:c>
      <x:c r="H34" s="9" t="str">
        <x:v>公会解散门槛</x:v>
      </x:c>
      <x:c r="I34" s="9" t="str">
        <x:v>1. 后台账号已登录且拥有本页及本次操作的授权
2. 公会存在未结收益</x:v>
      </x:c>
      <x:c r="J34" s="9" t="str">
        <x:v>1. 进入晨星公会详情
2. 点击解散公会</x:v>
      </x:c>
      <x:c r="K34" s="9" t="str">
        <x:v>不允许解散该公会</x:v>
      </x:c>
      <x:c r="L34" s="10" t="str"/>
      <x:c r="M34" s="10" t="str">
        <x:v>未测</x:v>
      </x:c>
      <x:c r="N34" s="10" t="str"/>
      <x:c r="O34" s="9" t="str">
        <x:v>1. 来源（当前证据）：liveshow-proto/MainBasis/统一需求文档.md；位置：admin-guild-detail.html
2. 规则：BR-0A38E97BA48E9F
3. 未动态验证</x:v>
      </x:c>
    </x:row>
    <x:row r="35" ht="85" customHeight="1">
      <x:c r="A35" s="10" t="n">
        <x:v>34</x:v>
      </x:c>
      <x:c r="B35" s="10" t="str">
        <x:v>ADMIN-0034</x:v>
      </x:c>
      <x:c r="C35" s="10" t="str">
        <x:v>礼物与道具</x:v>
      </x:c>
      <x:c r="D35" s="10" t="str">
        <x:v>幸运礼物（平台管理员）</x:v>
      </x:c>
      <x:c r="E35" s="10" t="str">
        <x:v>功能需求</x:v>
      </x:c>
      <x:c r="F35" s="10" t="str">
        <x:v>P1</x:v>
      </x:c>
      <x:c r="G35" s="9" t="str">
        <x:v>验证比例变更不重算历史收益</x:v>
      </x:c>
      <x:c r="H35" s="9" t="str">
        <x:v>赠送时比例快照</x:v>
      </x:c>
      <x:c r="I35" s="9" t="str">
        <x:v>1. 后台账号已登录且拥有本页及本次操作的授权
2. 历史订单礼物价值1000、比例1%，本次将比例改为2%</x:v>
      </x:c>
      <x:c r="J35" s="9" t="str">
        <x:v>1. 进入幸运礼物配置
2. 点击收益比例编辑
3. 输入2%
4. 点击保存</x:v>
      </x:c>
      <x:c r="K35" s="9" t="str">
        <x:v>历史订单收益仍为10金币</x:v>
      </x:c>
      <x:c r="L35" s="10" t="str"/>
      <x:c r="M35" s="10" t="str">
        <x:v>未测</x:v>
      </x:c>
      <x:c r="N35" s="10" t="str"/>
      <x:c r="O35" s="9" t="str">
        <x:v>1. 来源（当前证据）：liveshow-proto/MainBasis/统一需求文档.md；位置：admin-lucky-gift-config.html
2. 规则：BR-BE565C4D787350
3. 未动态验证</x:v>
      </x:c>
    </x:row>
    <x:row r="36" ht="85" customHeight="1">
      <x:c r="A36" s="10" t="n">
        <x:v>35</x:v>
      </x:c>
      <x:c r="B36" s="10" t="str">
        <x:v>ADMIN-0035</x:v>
      </x:c>
      <x:c r="C36" s="10" t="str">
        <x:v>礼物与道具</x:v>
      </x:c>
      <x:c r="D36" s="10" t="str">
        <x:v>幸运礼物（平台管理员）</x:v>
      </x:c>
      <x:c r="E36" s="10" t="str">
        <x:v>逻辑校验</x:v>
      </x:c>
      <x:c r="F36" s="10" t="str">
        <x:v>P0</x:v>
      </x:c>
      <x:c r="G36" s="9" t="str">
        <x:v>验证新比例用于保存后赠送</x:v>
      </x:c>
      <x:c r="H36" s="9" t="str">
        <x:v>收益比例新单生效</x:v>
      </x:c>
      <x:c r="I36" s="9" t="str">
        <x:v>1. 后台账号已登录且拥有本页及本次操作的授权
2. 比例已保存为2%，之后新发生价值1000的幸运赠礼</x:v>
      </x:c>
      <x:c r="J36" s="9" t="str">
        <x:v>1. 进入幸运礼物配置
2. 查看对应收益记录</x:v>
      </x:c>
      <x:c r="K36" s="9" t="str">
        <x:v>新订单主播收益计算结果=1000×0.02=20</x:v>
      </x:c>
      <x:c r="L36" s="10" t="str">
        <x:v>FLOW-A1501E68</x:v>
      </x:c>
      <x:c r="M36" s="10" t="str">
        <x:v>未测</x:v>
      </x:c>
      <x:c r="N36" s="10" t="str"/>
      <x:c r="O36" s="9" t="str">
        <x:v>1. 来源（当前证据）：liveshow-proto/MainBasis/统一需求文档.md；位置：admin-lucky-gift-config.html
2. 规则：BR-AD3AECFE01C536
3. 未动态验证</x:v>
      </x:c>
    </x:row>
    <x:row r="37" ht="85" customHeight="1">
      <x:c r="A37" s="10" t="n">
        <x:v>36</x:v>
      </x:c>
      <x:c r="B37" s="10" t="str">
        <x:v>ADMIN-0036</x:v>
      </x:c>
      <x:c r="C37" s="10" t="str">
        <x:v>礼物与道具</x:v>
      </x:c>
      <x:c r="D37" s="10" t="str">
        <x:v>幸运礼物（平台管理员）</x:v>
      </x:c>
      <x:c r="E37" s="10" t="str">
        <x:v>功能需求</x:v>
      </x:c>
      <x:c r="F37" s="10" t="str">
        <x:v>P1</x:v>
      </x:c>
      <x:c r="G37" s="9" t="str">
        <x:v>验证收益比例零值允许保存</x:v>
      </x:c>
      <x:c r="H37" s="9" t="str">
        <x:v>收益比例下界</x:v>
      </x:c>
      <x:c r="I37" s="9" t="str">
        <x:v>1. 后台账号已登录且拥有本页及本次操作的授权</x:v>
      </x:c>
      <x:c r="J37" s="9" t="str">
        <x:v>1. 进入幸运礼物配置
2. 点击收益比例编辑
3. 输入0%
4. 点击保存</x:v>
      </x:c>
      <x:c r="K37" s="9" t="str">
        <x:v>收益比例保存为0%</x:v>
      </x:c>
      <x:c r="L37" s="10" t="str"/>
      <x:c r="M37" s="10" t="str">
        <x:v>未测</x:v>
      </x:c>
      <x:c r="N37" s="10" t="str"/>
      <x:c r="O37" s="9" t="str">
        <x:v>1. 来源（当前证据）：liveshow-proto/MainBasis/统一需求文档.md；位置：admin-lucky-gift-config.html
2. 规则：BR-452FB8AA380622
3. 未动态验证</x:v>
      </x:c>
    </x:row>
    <x:row r="38" ht="85" customHeight="1">
      <x:c r="A38" s="10" t="n">
        <x:v>37</x:v>
      </x:c>
      <x:c r="B38" s="10" t="str">
        <x:v>ADMIN-0037</x:v>
      </x:c>
      <x:c r="C38" s="10" t="str">
        <x:v>礼物与道具</x:v>
      </x:c>
      <x:c r="D38" s="10" t="str">
        <x:v>幸运礼物（平台管理员）</x:v>
      </x:c>
      <x:c r="E38" s="10" t="str">
        <x:v>功能需求</x:v>
      </x:c>
      <x:c r="F38" s="10" t="str">
        <x:v>P1</x:v>
      </x:c>
      <x:c r="G38" s="9" t="str">
        <x:v>验证收益比例百分之百允许保存</x:v>
      </x:c>
      <x:c r="H38" s="9" t="str">
        <x:v>收益比例上界</x:v>
      </x:c>
      <x:c r="I38" s="9" t="str">
        <x:v>1. 后台账号已登录且拥有本页及本次操作的授权</x:v>
      </x:c>
      <x:c r="J38" s="9" t="str">
        <x:v>1. 进入幸运礼物配置
2. 点击收益比例编辑
3. 输入100%
4. 点击保存</x:v>
      </x:c>
      <x:c r="K38" s="9" t="str">
        <x:v>收益比例保存为100%</x:v>
      </x:c>
      <x:c r="L38" s="10" t="str"/>
      <x:c r="M38" s="10" t="str">
        <x:v>未测</x:v>
      </x:c>
      <x:c r="N38" s="10" t="str"/>
      <x:c r="O38" s="9" t="str">
        <x:v>1. 来源（当前证据）：liveshow-proto/MainBasis/统一需求文档.md；位置：admin-lucky-gift-config.html
2. 规则：BR-C54F30DDD0BC83
3. 未动态验证</x:v>
      </x:c>
    </x:row>
    <x:row r="39" ht="85" customHeight="1">
      <x:c r="A39" s="10" t="n">
        <x:v>38</x:v>
      </x:c>
      <x:c r="B39" s="10" t="str">
        <x:v>ADMIN-0038</x:v>
      </x:c>
      <x:c r="C39" s="10" t="str">
        <x:v>礼物与道具</x:v>
      </x:c>
      <x:c r="D39" s="10" t="str">
        <x:v>幸运礼物（平台管理员）</x:v>
      </x:c>
      <x:c r="E39" s="10" t="str">
        <x:v>功能需求</x:v>
      </x:c>
      <x:c r="F39" s="10" t="str">
        <x:v>P1</x:v>
      </x:c>
      <x:c r="G39" s="9" t="str">
        <x:v>验证收益比例超过百分之百拒绝</x:v>
      </x:c>
      <x:c r="H39" s="9" t="str">
        <x:v>收益比例越界</x:v>
      </x:c>
      <x:c r="I39" s="9" t="str">
        <x:v>1. 后台账号已登录且拥有本页及本次操作的授权</x:v>
      </x:c>
      <x:c r="J39" s="9" t="str">
        <x:v>1. 进入幸运礼物配置
2. 点击收益比例编辑
3. 输入100.1%
4. 点击保存</x:v>
      </x:c>
      <x:c r="K39" s="9" t="str">
        <x:v>不保存100.1%的收益比例</x:v>
      </x:c>
      <x:c r="L39" s="10" t="str"/>
      <x:c r="M39" s="10" t="str">
        <x:v>未测</x:v>
      </x:c>
      <x:c r="N39" s="10" t="str"/>
      <x:c r="O39" s="9" t="str">
        <x:v>1. 来源（当前证据）：liveshow-proto/MainBasis/统一需求文档.md；位置：admin-lucky-gift-config.html
2. 规则：BR-5AD0CCF2A3A8CB
3. 未动态验证</x:v>
      </x:c>
    </x:row>
    <x:row r="40" ht="85" customHeight="1">
      <x:c r="A40" s="10" t="n">
        <x:v>39</x:v>
      </x:c>
      <x:c r="B40" s="10" t="str">
        <x:v>ADMIN-0039</x:v>
      </x:c>
      <x:c r="C40" s="10" t="str">
        <x:v>礼物与道具</x:v>
      </x:c>
      <x:c r="D40" s="10" t="str">
        <x:v>幸运礼物编辑（平台管理员）</x:v>
      </x:c>
      <x:c r="E40" s="10" t="str">
        <x:v>功能需求</x:v>
      </x:c>
      <x:c r="F40" s="10" t="str">
        <x:v>P1</x:v>
      </x:c>
      <x:c r="G40" s="9" t="str">
        <x:v>验证概率之和不足100不能生效</x:v>
      </x:c>
      <x:c r="H40" s="9" t="str">
        <x:v>概率合计不足</x:v>
      </x:c>
      <x:c r="I40" s="9" t="str">
        <x:v>1. 后台账号已登录且拥有本页及本次操作的授权
2. 其他必填项合法，奖励档位概率之和为99.9%</x:v>
      </x:c>
      <x:c r="J40" s="9" t="str">
        <x:v>1. 进入幸运礼物配置详情
2. 点击保存</x:v>
      </x:c>
      <x:c r="K40" s="9" t="str">
        <x:v>配置不能生效</x:v>
      </x:c>
      <x:c r="L40" s="10" t="str"/>
      <x:c r="M40" s="10" t="str">
        <x:v>未测</x:v>
      </x:c>
      <x:c r="N40" s="10" t="str"/>
      <x:c r="O40" s="9" t="str">
        <x:v>1. 来源（当前证据）：liveshow-proto/MainBasis/统一需求文档.md；位置：admin-lucky-gift-detail.html
2. 规则：BR-4E2AB58BA06B13
3. 未动态验证</x:v>
      </x:c>
    </x:row>
    <x:row r="41" ht="85" customHeight="1">
      <x:c r="A41" s="10" t="n">
        <x:v>40</x:v>
      </x:c>
      <x:c r="B41" s="10" t="str">
        <x:v>ADMIN-0040</x:v>
      </x:c>
      <x:c r="C41" s="10" t="str">
        <x:v>礼物与道具</x:v>
      </x:c>
      <x:c r="D41" s="10" t="str">
        <x:v>幸运礼物编辑（平台管理员）</x:v>
      </x:c>
      <x:c r="E41" s="10" t="str">
        <x:v>功能需求</x:v>
      </x:c>
      <x:c r="F41" s="10" t="str">
        <x:v>P1</x:v>
      </x:c>
      <x:c r="G41" s="9" t="str">
        <x:v>验证概率之和超过100不能生效</x:v>
      </x:c>
      <x:c r="H41" s="9" t="str">
        <x:v>概率合计超限</x:v>
      </x:c>
      <x:c r="I41" s="9" t="str">
        <x:v>1. 后台账号已登录且拥有本页及本次操作的授权
2. 其他必填项合法，奖励档位概率之和为100.1%</x:v>
      </x:c>
      <x:c r="J41" s="9" t="str">
        <x:v>1. 进入幸运礼物配置详情
2. 点击保存</x:v>
      </x:c>
      <x:c r="K41" s="9" t="str">
        <x:v>配置不能生效</x:v>
      </x:c>
      <x:c r="L41" s="10" t="str"/>
      <x:c r="M41" s="10" t="str">
        <x:v>未测</x:v>
      </x:c>
      <x:c r="N41" s="10" t="str"/>
      <x:c r="O41" s="9" t="str">
        <x:v>1. 来源（当前证据）：liveshow-proto/MainBasis/统一需求文档.md；位置：admin-lucky-gift-detail.html
2. 规则：BR-D381AF1C34B532
3. 未动态验证</x:v>
      </x:c>
    </x:row>
    <x:row r="42" ht="85" customHeight="1">
      <x:c r="A42" s="10" t="n">
        <x:v>41</x:v>
      </x:c>
      <x:c r="B42" s="10" t="str">
        <x:v>ADMIN-0041</x:v>
      </x:c>
      <x:c r="C42" s="10" t="str">
        <x:v>礼物与道具</x:v>
      </x:c>
      <x:c r="D42" s="10" t="str">
        <x:v>幸运礼物编辑（平台管理员）</x:v>
      </x:c>
      <x:c r="E42" s="10" t="str">
        <x:v>功能需求</x:v>
      </x:c>
      <x:c r="F42" s="10" t="str">
        <x:v>P1</x:v>
      </x:c>
      <x:c r="G42" s="9" t="str">
        <x:v>验证奖励金币可为零</x:v>
      </x:c>
      <x:c r="H42" s="9" t="str">
        <x:v>零奖励档位</x:v>
      </x:c>
      <x:c r="I42" s="9" t="str">
        <x:v>1. 后台账号已登录且拥有本页及本次操作的授权
2. 其他档位合法且总概率100%</x:v>
      </x:c>
      <x:c r="J42" s="9" t="str">
        <x:v>1. 进入幸运礼物配置详情
2. 新增奖励0金币的档位</x:v>
      </x:c>
      <x:c r="K42" s="9" t="str">
        <x:v>零金币奖励档位允许保留</x:v>
      </x:c>
      <x:c r="L42" s="10" t="str"/>
      <x:c r="M42" s="10" t="str">
        <x:v>未测</x:v>
      </x:c>
      <x:c r="N42" s="10" t="str"/>
      <x:c r="O42" s="9" t="str">
        <x:v>1. 来源（当前证据）：liveshow-proto/MainBasis/统一需求文档.md；位置：admin-lucky-gift-detail.html
2. 规则：BR-8D1A9F59108B3C
3. 未动态验证</x:v>
      </x:c>
    </x:row>
    <x:row r="43" ht="85" customHeight="1">
      <x:c r="A43" s="10" t="n">
        <x:v>42</x:v>
      </x:c>
      <x:c r="B43" s="10" t="str">
        <x:v>ADMIN-0042</x:v>
      </x:c>
      <x:c r="C43" s="10" t="str">
        <x:v>礼物与道具</x:v>
      </x:c>
      <x:c r="D43" s="10" t="str">
        <x:v>幸运礼物编辑（平台管理员）</x:v>
      </x:c>
      <x:c r="E43" s="10" t="str">
        <x:v>功能需求</x:v>
      </x:c>
      <x:c r="F43" s="10" t="str">
        <x:v>P1</x:v>
      </x:c>
      <x:c r="G43" s="9" t="str">
        <x:v>验证重复奖励档位不能保存</x:v>
      </x:c>
      <x:c r="H43" s="9" t="str">
        <x:v>开奖档位唯一</x:v>
      </x:c>
      <x:c r="I43" s="9" t="str">
        <x:v>1. 后台账号已登录且拥有本页及本次操作的授权
2. 已存在奖励10金币的档位</x:v>
      </x:c>
      <x:c r="J43" s="9" t="str">
        <x:v>1. 进入幸运礼物配置详情
2. 再新增奖励10金币档位
3. 点击保存</x:v>
      </x:c>
      <x:c r="K43" s="9" t="str">
        <x:v>不保存重复奖励档位</x:v>
      </x:c>
      <x:c r="L43" s="10" t="str"/>
      <x:c r="M43" s="10" t="str">
        <x:v>未测</x:v>
      </x:c>
      <x:c r="N43" s="10" t="str"/>
      <x:c r="O43" s="9" t="str">
        <x:v>1. 来源（当前证据）：liveshow-proto/MainBasis/统一需求文档.md；位置：admin-lucky-gift-detail.html
2. 规则：BR-12D92F31E89188
3. 未动态验证</x:v>
      </x:c>
    </x:row>
    <x:row r="44" ht="85" customHeight="1">
      <x:c r="A44" s="10" t="n">
        <x:v>43</x:v>
      </x:c>
      <x:c r="B44" s="10" t="str">
        <x:v>ADMIN-0043</x:v>
      </x:c>
      <x:c r="C44" s="10" t="str">
        <x:v>礼物与道具</x:v>
      </x:c>
      <x:c r="D44" s="10" t="str">
        <x:v>幸运礼物编辑（平台管理员）</x:v>
      </x:c>
      <x:c r="E44" s="10" t="str">
        <x:v>逻辑校验</x:v>
      </x:c>
      <x:c r="F44" s="10" t="str">
        <x:v>P0</x:v>
      </x:c>
      <x:c r="G44" s="9" t="str">
        <x:v>验证开奖单价按次数与消耗计算</x:v>
      </x:c>
      <x:c r="H44" s="9" t="str">
        <x:v>幸运礼物价格</x:v>
      </x:c>
      <x:c r="I44" s="9" t="str">
        <x:v>1. 后台账号已登录且拥有本页及本次操作的授权
2. 单次消耗为10金币，开奖次数为10</x:v>
      </x:c>
      <x:c r="J44" s="9" t="str">
        <x:v>1. 进入幸运礼物配置详情
2. 查看自动计算单价</x:v>
      </x:c>
      <x:c r="K44" s="9" t="str">
        <x:v>礼物单价计算结果=10×10=100</x:v>
      </x:c>
      <x:c r="L44" s="10" t="str"/>
      <x:c r="M44" s="10" t="str">
        <x:v>未测</x:v>
      </x:c>
      <x:c r="N44" s="10" t="str"/>
      <x:c r="O44" s="9" t="str">
        <x:v>1. 来源（当前证据）：liveshow-proto/MainBasis/统一需求文档.md；位置：admin-lucky-gift-detail.html
2. 规则：BR-069AF29EAFB109
3. 未动态验证</x:v>
      </x:c>
    </x:row>
    <x:row r="45" ht="100" customHeight="1">
      <x:c r="A45" s="10" t="n">
        <x:v>44</x:v>
      </x:c>
      <x:c r="B45" s="10" t="str">
        <x:v>ADMIN-0044</x:v>
      </x:c>
      <x:c r="C45" s="10" t="str">
        <x:v>礼物与道具</x:v>
      </x:c>
      <x:c r="D45" s="10" t="str">
        <x:v>幸运礼物编辑（平台管理员）</x:v>
      </x:c>
      <x:c r="E45" s="10" t="str">
        <x:v>逻辑校验</x:v>
      </x:c>
      <x:c r="F45" s="10" t="str">
        <x:v>P0</x:v>
      </x:c>
      <x:c r="G45" s="9" t="str">
        <x:v>验证1连抽默认概率对应RTP</x:v>
      </x:c>
      <x:c r="H45" s="9" t="str">
        <x:v>返还期望核算</x:v>
      </x:c>
      <x:c r="I45" s="9" t="str">
        <x:v>1. 后台账号已登录且拥有本页及本次操作的授权
2. 单礼物消耗10金币；奖励0/5/10/50/100/1000概率为10.4%/32%/55%/2%/0.5%/0.1%</x:v>
      </x:c>
      <x:c r="J45" s="9" t="str">
        <x:v>1. 进入幸运礼物配置详情
2. 查看配置计算的RTP</x:v>
      </x:c>
      <x:c r="K45" s="9" t="str">
        <x:v>RTP计算结果=(0×0.104+5×0.32+10×0.55+50×0.02+100×0.005+1000×0.001)÷10×100=96</x:v>
      </x:c>
      <x:c r="L45" s="10" t="str"/>
      <x:c r="M45" s="10" t="str">
        <x:v>未测</x:v>
      </x:c>
      <x:c r="N45" s="10" t="str"/>
      <x:c r="O45" s="9" t="str">
        <x:v>1. 来源（当前证据）：liveshow-proto/MainBasis/统一需求文档.md；位置：共同业务对象与规则、admin-lucky-gift-detail.html
2. 规则：BR-57C4322050A993
3. 未动态验证</x:v>
      </x:c>
    </x:row>
    <x:row r="46" ht="100" customHeight="1">
      <x:c r="A46" s="10" t="n">
        <x:v>45</x:v>
      </x:c>
      <x:c r="B46" s="10" t="str">
        <x:v>ADMIN-0045</x:v>
      </x:c>
      <x:c r="C46" s="10" t="str">
        <x:v>礼物与道具</x:v>
      </x:c>
      <x:c r="D46" s="10" t="str">
        <x:v>幸运礼物编辑（平台管理员）</x:v>
      </x:c>
      <x:c r="E46" s="10" t="str">
        <x:v>逻辑校验</x:v>
      </x:c>
      <x:c r="F46" s="10" t="str">
        <x:v>P0</x:v>
      </x:c>
      <x:c r="G46" s="9" t="str">
        <x:v>验证10连抽默认概率对应RTP</x:v>
      </x:c>
      <x:c r="H46" s="9" t="str">
        <x:v>返还期望核算</x:v>
      </x:c>
      <x:c r="I46" s="9" t="str">
        <x:v>1. 后台账号已登录且拥有本页及本次操作的授权
2. 单礼物消耗10金币；奖励0/5/10/50/100/1000概率为8.4%/34%/55%/2%/0.5%/0.1%</x:v>
      </x:c>
      <x:c r="J46" s="9" t="str">
        <x:v>1. 进入幸运礼物配置详情
2. 查看配置计算的RTP</x:v>
      </x:c>
      <x:c r="K46" s="9" t="str">
        <x:v>RTP计算结果=(0×0.084+5×0.34+10×0.55+50×0.02+100×0.005+1000×0.001)÷10×100=97</x:v>
      </x:c>
      <x:c r="L46" s="10" t="str"/>
      <x:c r="M46" s="10" t="str">
        <x:v>未测</x:v>
      </x:c>
      <x:c r="N46" s="10" t="str"/>
      <x:c r="O46" s="9" t="str">
        <x:v>1. 来源（当前证据）：liveshow-proto/MainBasis/统一需求文档.md；位置：共同业务对象与规则、admin-lucky-gift-detail.html
2. 规则：BR-F101C4CE86AC65
3. 未动态验证</x:v>
      </x:c>
    </x:row>
    <x:row r="47" ht="100" customHeight="1">
      <x:c r="A47" s="10" t="n">
        <x:v>46</x:v>
      </x:c>
      <x:c r="B47" s="10" t="str">
        <x:v>ADMIN-0046</x:v>
      </x:c>
      <x:c r="C47" s="10" t="str">
        <x:v>礼物与道具</x:v>
      </x:c>
      <x:c r="D47" s="10" t="str">
        <x:v>幸运礼物编辑（平台管理员）</x:v>
      </x:c>
      <x:c r="E47" s="10" t="str">
        <x:v>逻辑校验</x:v>
      </x:c>
      <x:c r="F47" s="10" t="str">
        <x:v>P0</x:v>
      </x:c>
      <x:c r="G47" s="9" t="str">
        <x:v>验证100连抽默认概率对应RTP</x:v>
      </x:c>
      <x:c r="H47" s="9" t="str">
        <x:v>返还期望核算</x:v>
      </x:c>
      <x:c r="I47" s="9" t="str">
        <x:v>1. 后台账号已登录且拥有本页及本次操作的授权
2. 单礼物消耗10金币；奖励0/5/10/50/100/1000概率为6.4%/36%/55%/2%/0.5%/0.1%</x:v>
      </x:c>
      <x:c r="J47" s="9" t="str">
        <x:v>1. 进入幸运礼物配置详情
2. 查看配置计算的RTP</x:v>
      </x:c>
      <x:c r="K47" s="9" t="str">
        <x:v>RTP计算结果=(0×0.064+5×0.36+10×0.55+50×0.02+100×0.005+1000×0.001)÷10×100=98</x:v>
      </x:c>
      <x:c r="L47" s="10" t="str"/>
      <x:c r="M47" s="10" t="str">
        <x:v>未测</x:v>
      </x:c>
      <x:c r="N47" s="10" t="str"/>
      <x:c r="O47" s="9" t="str">
        <x:v>1. 来源（当前证据）：liveshow-proto/MainBasis/统一需求文档.md；位置：共同业务对象与规则、admin-lucky-gift-detail.html
2. 规则：BR-BDCDA13BE1950D
3. 未动态验证</x:v>
      </x:c>
    </x:row>
    <x:row r="48" ht="85" customHeight="1">
      <x:c r="A48" s="10" t="n">
        <x:v>47</x:v>
      </x:c>
      <x:c r="B48" s="10" t="str">
        <x:v>ADMIN-0047</x:v>
      </x:c>
      <x:c r="C48" s="10" t="str">
        <x:v>礼物与道具</x:v>
      </x:c>
      <x:c r="D48" s="10" t="str">
        <x:v>礼物详情（平台管理员）</x:v>
      </x:c>
      <x:c r="E48" s="10" t="str">
        <x:v>逻辑校验</x:v>
      </x:c>
      <x:c r="F48" s="10" t="str">
        <x:v>P1</x:v>
      </x:c>
      <x:c r="G48" s="9" t="str">
        <x:v>验证礼物 ID未填写时不能提交</x:v>
      </x:c>
      <x:c r="H48" s="9" t="str">
        <x:v>礼物 ID必填</x:v>
      </x:c>
      <x:c r="I48" s="9" t="str">
        <x:v>1. 后台账号已登录且拥有本页及本次操作的授权
2. 除礼物 ID外必填项均为合法值</x:v>
      </x:c>
      <x:c r="J48" s="9" t="str">
        <x:v>1. 进入礼物详情的新建表单
2. 清空礼物 ID
3. 点击保存</x:v>
      </x:c>
      <x:c r="K48" s="9" t="str">
        <x:v>不提交缺少礼物 ID的记录</x:v>
      </x:c>
      <x:c r="L48" s="10" t="str"/>
      <x:c r="M48" s="10" t="str">
        <x:v>未测</x:v>
      </x:c>
      <x:c r="N48" s="10" t="str"/>
      <x:c r="O48" s="9" t="str">
        <x:v>1. 来源（当前证据）：liveshow-proto/MainBasis/统一需求文档.md；位置：admin-gift-detail.html
2. 规则：BR-30EEA9B79C9E12
3. 未动态验证</x:v>
      </x:c>
    </x:row>
    <x:row r="49" ht="85" customHeight="1">
      <x:c r="A49" s="10" t="n">
        <x:v>48</x:v>
      </x:c>
      <x:c r="B49" s="10" t="str">
        <x:v>ADMIN-0048</x:v>
      </x:c>
      <x:c r="C49" s="10" t="str">
        <x:v>礼物与道具</x:v>
      </x:c>
      <x:c r="D49" s="10" t="str">
        <x:v>礼物详情（平台管理员）</x:v>
      </x:c>
      <x:c r="E49" s="10" t="str">
        <x:v>逻辑校验</x:v>
      </x:c>
      <x:c r="F49" s="10" t="str">
        <x:v>P1</x:v>
      </x:c>
      <x:c r="G49" s="9" t="str">
        <x:v>验证中文名称未填写时不能提交</x:v>
      </x:c>
      <x:c r="H49" s="9" t="str">
        <x:v>中文名称必填</x:v>
      </x:c>
      <x:c r="I49" s="9" t="str">
        <x:v>1. 后台账号已登录且拥有本页及本次操作的授权
2. 除中文名称外必填项均为合法值</x:v>
      </x:c>
      <x:c r="J49" s="9" t="str">
        <x:v>1. 进入礼物详情的新建表单
2. 清空中文名称
3. 点击保存</x:v>
      </x:c>
      <x:c r="K49" s="9" t="str">
        <x:v>不提交缺少中文名称的记录</x:v>
      </x:c>
      <x:c r="L49" s="10" t="str"/>
      <x:c r="M49" s="10" t="str">
        <x:v>未测</x:v>
      </x:c>
      <x:c r="N49" s="10" t="str"/>
      <x:c r="O49" s="9" t="str">
        <x:v>1. 来源（当前证据）：liveshow-proto/MainBasis/统一需求文档.md；位置：admin-gift-detail.html
2. 规则：BR-7A5C6CCBBA3218
3. 未动态验证</x:v>
      </x:c>
    </x:row>
    <x:row r="50" ht="85" customHeight="1">
      <x:c r="A50" s="10" t="n">
        <x:v>49</x:v>
      </x:c>
      <x:c r="B50" s="10" t="str">
        <x:v>ADMIN-0049</x:v>
      </x:c>
      <x:c r="C50" s="10" t="str">
        <x:v>礼物与道具</x:v>
      </x:c>
      <x:c r="D50" s="10" t="str">
        <x:v>礼物详情（平台管理员）</x:v>
      </x:c>
      <x:c r="E50" s="10" t="str">
        <x:v>逻辑校验</x:v>
      </x:c>
      <x:c r="F50" s="10" t="str">
        <x:v>P1</x:v>
      </x:c>
      <x:c r="G50" s="9" t="str">
        <x:v>验证英文名称未填写时不能提交</x:v>
      </x:c>
      <x:c r="H50" s="9" t="str">
        <x:v>英文名称必填</x:v>
      </x:c>
      <x:c r="I50" s="9" t="str">
        <x:v>1. 后台账号已登录且拥有本页及本次操作的授权
2. 除英文名称外必填项均为合法值</x:v>
      </x:c>
      <x:c r="J50" s="9" t="str">
        <x:v>1. 进入礼物详情的新建表单
2. 清空英文名称
3. 点击保存</x:v>
      </x:c>
      <x:c r="K50" s="9" t="str">
        <x:v>不提交缺少英文名称的记录</x:v>
      </x:c>
      <x:c r="L50" s="10" t="str"/>
      <x:c r="M50" s="10" t="str">
        <x:v>未测</x:v>
      </x:c>
      <x:c r="N50" s="10" t="str"/>
      <x:c r="O50" s="9" t="str">
        <x:v>1. 来源（当前证据）：liveshow-proto/MainBasis/统一需求文档.md；位置：admin-gift-detail.html
2. 规则：BR-CCD58F03A22124
3. 未动态验证</x:v>
      </x:c>
    </x:row>
    <x:row r="51" ht="85" customHeight="1">
      <x:c r="A51" s="10" t="n">
        <x:v>50</x:v>
      </x:c>
      <x:c r="B51" s="10" t="str">
        <x:v>ADMIN-0050</x:v>
      </x:c>
      <x:c r="C51" s="10" t="str">
        <x:v>礼物与道具</x:v>
      </x:c>
      <x:c r="D51" s="10" t="str">
        <x:v>礼物详情（平台管理员）</x:v>
      </x:c>
      <x:c r="E51" s="10" t="str">
        <x:v>逻辑校验</x:v>
      </x:c>
      <x:c r="F51" s="10" t="str">
        <x:v>P1</x:v>
      </x:c>
      <x:c r="G51" s="9" t="str">
        <x:v>验证印尼语名称未填写时不能提交</x:v>
      </x:c>
      <x:c r="H51" s="9" t="str">
        <x:v>印尼语名称必填</x:v>
      </x:c>
      <x:c r="I51" s="9" t="str">
        <x:v>1. 后台账号已登录且拥有本页及本次操作的授权
2. 除印尼语名称外必填项均为合法值</x:v>
      </x:c>
      <x:c r="J51" s="9" t="str">
        <x:v>1. 进入礼物详情的新建表单
2. 清空印尼语名称
3. 点击保存</x:v>
      </x:c>
      <x:c r="K51" s="9" t="str">
        <x:v>不提交缺少印尼语名称的记录</x:v>
      </x:c>
      <x:c r="L51" s="10" t="str"/>
      <x:c r="M51" s="10" t="str">
        <x:v>未测</x:v>
      </x:c>
      <x:c r="N51" s="10" t="str"/>
      <x:c r="O51" s="9" t="str">
        <x:v>1. 来源（当前证据）：liveshow-proto/MainBasis/统一需求文档.md；位置：admin-gift-detail.html
2. 规则：BR-D432007241F813
3. 未动态验证</x:v>
      </x:c>
    </x:row>
    <x:row r="52" ht="85" customHeight="1">
      <x:c r="A52" s="10" t="n">
        <x:v>51</x:v>
      </x:c>
      <x:c r="B52" s="10" t="str">
        <x:v>ADMIN-0051</x:v>
      </x:c>
      <x:c r="C52" s="10" t="str">
        <x:v>礼物与道具</x:v>
      </x:c>
      <x:c r="D52" s="10" t="str">
        <x:v>礼物详情（平台管理员）</x:v>
      </x:c>
      <x:c r="E52" s="10" t="str">
        <x:v>逻辑校验</x:v>
      </x:c>
      <x:c r="F52" s="10" t="str">
        <x:v>P1</x:v>
      </x:c>
      <x:c r="G52" s="9" t="str">
        <x:v>验证马来语名称未填写时不能提交</x:v>
      </x:c>
      <x:c r="H52" s="9" t="str">
        <x:v>马来语名称必填</x:v>
      </x:c>
      <x:c r="I52" s="9" t="str">
        <x:v>1. 后台账号已登录且拥有本页及本次操作的授权
2. 除马来语名称外必填项均为合法值</x:v>
      </x:c>
      <x:c r="J52" s="9" t="str">
        <x:v>1. 进入礼物详情的新建表单
2. 清空马来语名称
3. 点击保存</x:v>
      </x:c>
      <x:c r="K52" s="9" t="str">
        <x:v>不提交缺少马来语名称的记录</x:v>
      </x:c>
      <x:c r="L52" s="10" t="str"/>
      <x:c r="M52" s="10" t="str">
        <x:v>未测</x:v>
      </x:c>
      <x:c r="N52" s="10" t="str"/>
      <x:c r="O52" s="9" t="str">
        <x:v>1. 来源（当前证据）：liveshow-proto/MainBasis/统一需求文档.md；位置：admin-gift-detail.html
2. 规则：BR-96B67B0F5EAAFF
3. 未动态验证</x:v>
      </x:c>
    </x:row>
    <x:row r="53" ht="85" customHeight="1">
      <x:c r="A53" s="10" t="n">
        <x:v>52</x:v>
      </x:c>
      <x:c r="B53" s="10" t="str">
        <x:v>ADMIN-0052</x:v>
      </x:c>
      <x:c r="C53" s="10" t="str">
        <x:v>礼物与道具</x:v>
      </x:c>
      <x:c r="D53" s="10" t="str">
        <x:v>礼物详情（平台管理员）</x:v>
      </x:c>
      <x:c r="E53" s="10" t="str">
        <x:v>逻辑校验</x:v>
      </x:c>
      <x:c r="F53" s="10" t="str">
        <x:v>P1</x:v>
      </x:c>
      <x:c r="G53" s="9" t="str">
        <x:v>验证图标未填写时不能提交</x:v>
      </x:c>
      <x:c r="H53" s="9" t="str">
        <x:v>图标必填</x:v>
      </x:c>
      <x:c r="I53" s="9" t="str">
        <x:v>1. 后台账号已登录且拥有本页及本次操作的授权
2. 除图标外必填项均为合法值</x:v>
      </x:c>
      <x:c r="J53" s="9" t="str">
        <x:v>1. 进入礼物详情的新建表单
2. 查看图标未上传
3. 点击保存</x:v>
      </x:c>
      <x:c r="K53" s="9" t="str">
        <x:v>不提交缺少图标的记录</x:v>
      </x:c>
      <x:c r="L53" s="10" t="str"/>
      <x:c r="M53" s="10" t="str">
        <x:v>未测</x:v>
      </x:c>
      <x:c r="N53" s="10" t="str"/>
      <x:c r="O53" s="9" t="str">
        <x:v>1. 来源（当前证据）：liveshow-proto/MainBasis/统一需求文档.md；位置：admin-gift-detail.html
2. 规则：BR-33357C7B51338E
3. 未动态验证</x:v>
      </x:c>
    </x:row>
    <x:row r="54" ht="85" customHeight="1">
      <x:c r="A54" s="10" t="n">
        <x:v>53</x:v>
      </x:c>
      <x:c r="B54" s="10" t="str">
        <x:v>ADMIN-0053</x:v>
      </x:c>
      <x:c r="C54" s="10" t="str">
        <x:v>礼物与道具</x:v>
      </x:c>
      <x:c r="D54" s="10" t="str">
        <x:v>礼物详情（平台管理员）</x:v>
      </x:c>
      <x:c r="E54" s="10" t="str">
        <x:v>逻辑校验</x:v>
      </x:c>
      <x:c r="F54" s="10" t="str">
        <x:v>P1</x:v>
      </x:c>
      <x:c r="G54" s="9" t="str">
        <x:v>验证单价输入0</x:v>
      </x:c>
      <x:c r="H54" s="9" t="str">
        <x:v>单价整数校验</x:v>
      </x:c>
      <x:c r="I54" s="9" t="str">
        <x:v>1. 后台账号已登录且拥有本页及本次操作的授权
2. 其余必填项合法，数值1未与现有唯一值冲突</x:v>
      </x:c>
      <x:c r="J54" s="9" t="str">
        <x:v>1. 进入礼物详情的新建表单
2. 输入单价为0
3. 点击保存</x:v>
      </x:c>
      <x:c r="K54" s="9" t="str">
        <x:v>不保存单价为0的记录</x:v>
      </x:c>
      <x:c r="L54" s="10" t="str"/>
      <x:c r="M54" s="10" t="str">
        <x:v>未测</x:v>
      </x:c>
      <x:c r="N54" s="10" t="str"/>
      <x:c r="O54" s="9" t="str">
        <x:v>1. 来源（当前证据）：liveshow-proto/MainBasis/统一需求文档.md；位置：admin-gift-detail.html
2. 规则：BR-E874474B77AA04
3. 未动态验证</x:v>
      </x:c>
    </x:row>
    <x:row r="55" ht="85" customHeight="1">
      <x:c r="A55" s="10" t="n">
        <x:v>54</x:v>
      </x:c>
      <x:c r="B55" s="10" t="str">
        <x:v>ADMIN-0054</x:v>
      </x:c>
      <x:c r="C55" s="10" t="str">
        <x:v>礼物与道具</x:v>
      </x:c>
      <x:c r="D55" s="10" t="str">
        <x:v>礼物详情（平台管理员）</x:v>
      </x:c>
      <x:c r="E55" s="10" t="str">
        <x:v>逻辑校验</x:v>
      </x:c>
      <x:c r="F55" s="10" t="str">
        <x:v>P1</x:v>
      </x:c>
      <x:c r="G55" s="9" t="str">
        <x:v>验证单价输入-1</x:v>
      </x:c>
      <x:c r="H55" s="9" t="str">
        <x:v>单价整数校验</x:v>
      </x:c>
      <x:c r="I55" s="9" t="str">
        <x:v>1. 后台账号已登录且拥有本页及本次操作的授权
2. 其余必填项合法，数值1未与现有唯一值冲突</x:v>
      </x:c>
      <x:c r="J55" s="9" t="str">
        <x:v>1. 进入礼物详情的新建表单
2. 输入单价为-1
3. 点击保存</x:v>
      </x:c>
      <x:c r="K55" s="9" t="str">
        <x:v>不保存单价为-1的记录</x:v>
      </x:c>
      <x:c r="L55" s="10" t="str"/>
      <x:c r="M55" s="10" t="str">
        <x:v>未测</x:v>
      </x:c>
      <x:c r="N55" s="10" t="str"/>
      <x:c r="O55" s="9" t="str">
        <x:v>1. 来源（当前证据）：liveshow-proto/MainBasis/统一需求文档.md；位置：admin-gift-detail.html
2. 规则：BR-9FD6A880403A7E
3. 未动态验证</x:v>
      </x:c>
    </x:row>
    <x:row r="56" ht="85" customHeight="1">
      <x:c r="A56" s="10" t="n">
        <x:v>55</x:v>
      </x:c>
      <x:c r="B56" s="10" t="str">
        <x:v>ADMIN-0055</x:v>
      </x:c>
      <x:c r="C56" s="10" t="str">
        <x:v>礼物与道具</x:v>
      </x:c>
      <x:c r="D56" s="10" t="str">
        <x:v>礼物详情（平台管理员）</x:v>
      </x:c>
      <x:c r="E56" s="10" t="str">
        <x:v>逻辑校验</x:v>
      </x:c>
      <x:c r="F56" s="10" t="str">
        <x:v>P1</x:v>
      </x:c>
      <x:c r="G56" s="9" t="str">
        <x:v>验证单价输入1.5</x:v>
      </x:c>
      <x:c r="H56" s="9" t="str">
        <x:v>单价整数校验</x:v>
      </x:c>
      <x:c r="I56" s="9" t="str">
        <x:v>1. 后台账号已登录且拥有本页及本次操作的授权
2. 其余必填项合法，数值1未与现有唯一值冲突</x:v>
      </x:c>
      <x:c r="J56" s="9" t="str">
        <x:v>1. 进入礼物详情的新建表单
2. 输入单价为1.5
3. 点击保存</x:v>
      </x:c>
      <x:c r="K56" s="9" t="str">
        <x:v>不保存单价为1.5的记录</x:v>
      </x:c>
      <x:c r="L56" s="10" t="str"/>
      <x:c r="M56" s="10" t="str">
        <x:v>未测</x:v>
      </x:c>
      <x:c r="N56" s="10" t="str"/>
      <x:c r="O56" s="9" t="str">
        <x:v>1. 来源（当前证据）：liveshow-proto/MainBasis/统一需求文档.md；位置：admin-gift-detail.html
2. 规则：BR-12BCBBD7A64F46
3. 未动态验证</x:v>
      </x:c>
    </x:row>
    <x:row r="57" ht="85" customHeight="1">
      <x:c r="A57" s="10" t="n">
        <x:v>56</x:v>
      </x:c>
      <x:c r="B57" s="10" t="str">
        <x:v>ADMIN-0056</x:v>
      </x:c>
      <x:c r="C57" s="10" t="str">
        <x:v>礼物与道具</x:v>
      </x:c>
      <x:c r="D57" s="10" t="str">
        <x:v>礼物详情（平台管理员）</x:v>
      </x:c>
      <x:c r="E57" s="10" t="str">
        <x:v>逻辑校验</x:v>
      </x:c>
      <x:c r="F57" s="10" t="str">
        <x:v>P1</x:v>
      </x:c>
      <x:c r="G57" s="9" t="str">
        <x:v>验证单价输入1</x:v>
      </x:c>
      <x:c r="H57" s="9" t="str">
        <x:v>单价合法整数</x:v>
      </x:c>
      <x:c r="I57" s="9" t="str">
        <x:v>1. 后台账号已登录且拥有本页及本次操作的授权
2. 其余必填项合法，数值1未与现有唯一值冲突</x:v>
      </x:c>
      <x:c r="J57" s="9" t="str">
        <x:v>1. 进入礼物详情的新建表单
2. 输入单价为1
3. 点击保存</x:v>
      </x:c>
      <x:c r="K57" s="9" t="str">
        <x:v>记录保存的单价为1</x:v>
      </x:c>
      <x:c r="L57" s="10" t="str"/>
      <x:c r="M57" s="10" t="str">
        <x:v>未测</x:v>
      </x:c>
      <x:c r="N57" s="10" t="str"/>
      <x:c r="O57" s="9" t="str">
        <x:v>1. 来源（当前证据）：liveshow-proto/MainBasis/统一需求文档.md；位置：admin-gift-detail.html
2. 规则：BR-0DCA03EC2CD906
3. 未动态验证</x:v>
      </x:c>
    </x:row>
    <x:row r="58" ht="85" customHeight="1">
      <x:c r="A58" s="10" t="n">
        <x:v>57</x:v>
      </x:c>
      <x:c r="B58" s="10" t="str">
        <x:v>ADMIN-0057</x:v>
      </x:c>
      <x:c r="C58" s="10" t="str">
        <x:v>礼物与道具</x:v>
      </x:c>
      <x:c r="D58" s="10" t="str">
        <x:v>幸运礼物编辑（平台管理员）</x:v>
      </x:c>
      <x:c r="E58" s="10" t="str">
        <x:v>逻辑校验</x:v>
      </x:c>
      <x:c r="F58" s="10" t="str">
        <x:v>P1</x:v>
      </x:c>
      <x:c r="G58" s="9" t="str">
        <x:v>验证礼物 ID未填写时不能提交</x:v>
      </x:c>
      <x:c r="H58" s="9" t="str">
        <x:v>礼物 ID必填</x:v>
      </x:c>
      <x:c r="I58" s="9" t="str">
        <x:v>1. 后台账号已登录且拥有本页及本次操作的授权
2. 除礼物 ID外必填项均为合法值</x:v>
      </x:c>
      <x:c r="J58" s="9" t="str">
        <x:v>1. 进入幸运礼物编辑的新建表单
2. 清空礼物 ID
3. 点击保存</x:v>
      </x:c>
      <x:c r="K58" s="9" t="str">
        <x:v>不提交缺少礼物 ID的记录</x:v>
      </x:c>
      <x:c r="L58" s="10" t="str"/>
      <x:c r="M58" s="10" t="str">
        <x:v>未测</x:v>
      </x:c>
      <x:c r="N58" s="10" t="str"/>
      <x:c r="O58" s="9" t="str">
        <x:v>1. 来源（当前证据）：liveshow-proto/MainBasis/统一需求文档.md；位置：admin-lucky-gift-detail.html
2. 规则：BR-3AF4DB428643B3
3. 未动态验证</x:v>
      </x:c>
    </x:row>
    <x:row r="59" ht="85" customHeight="1">
      <x:c r="A59" s="10" t="n">
        <x:v>58</x:v>
      </x:c>
      <x:c r="B59" s="10" t="str">
        <x:v>ADMIN-0058</x:v>
      </x:c>
      <x:c r="C59" s="10" t="str">
        <x:v>礼物与道具</x:v>
      </x:c>
      <x:c r="D59" s="10" t="str">
        <x:v>幸运礼物编辑（平台管理员）</x:v>
      </x:c>
      <x:c r="E59" s="10" t="str">
        <x:v>逻辑校验</x:v>
      </x:c>
      <x:c r="F59" s="10" t="str">
        <x:v>P1</x:v>
      </x:c>
      <x:c r="G59" s="9" t="str">
        <x:v>验证中文名称未填写时不能提交</x:v>
      </x:c>
      <x:c r="H59" s="9" t="str">
        <x:v>中文名称必填</x:v>
      </x:c>
      <x:c r="I59" s="9" t="str">
        <x:v>1. 后台账号已登录且拥有本页及本次操作的授权
2. 除中文名称外必填项均为合法值</x:v>
      </x:c>
      <x:c r="J59" s="9" t="str">
        <x:v>1. 进入幸运礼物编辑的新建表单
2. 清空中文名称
3. 点击保存</x:v>
      </x:c>
      <x:c r="K59" s="9" t="str">
        <x:v>不提交缺少中文名称的记录</x:v>
      </x:c>
      <x:c r="L59" s="10" t="str"/>
      <x:c r="M59" s="10" t="str">
        <x:v>未测</x:v>
      </x:c>
      <x:c r="N59" s="10" t="str"/>
      <x:c r="O59" s="9" t="str">
        <x:v>1. 来源（当前证据）：liveshow-proto/MainBasis/统一需求文档.md；位置：admin-lucky-gift-detail.html
2. 规则：BR-CC08D048391FBA
3. 未动态验证</x:v>
      </x:c>
    </x:row>
    <x:row r="60" ht="85" customHeight="1">
      <x:c r="A60" s="10" t="n">
        <x:v>59</x:v>
      </x:c>
      <x:c r="B60" s="10" t="str">
        <x:v>ADMIN-0059</x:v>
      </x:c>
      <x:c r="C60" s="10" t="str">
        <x:v>礼物与道具</x:v>
      </x:c>
      <x:c r="D60" s="10" t="str">
        <x:v>幸运礼物编辑（平台管理员）</x:v>
      </x:c>
      <x:c r="E60" s="10" t="str">
        <x:v>逻辑校验</x:v>
      </x:c>
      <x:c r="F60" s="10" t="str">
        <x:v>P1</x:v>
      </x:c>
      <x:c r="G60" s="9" t="str">
        <x:v>验证英文名称未填写时不能提交</x:v>
      </x:c>
      <x:c r="H60" s="9" t="str">
        <x:v>英文名称必填</x:v>
      </x:c>
      <x:c r="I60" s="9" t="str">
        <x:v>1. 后台账号已登录且拥有本页及本次操作的授权
2. 除英文名称外必填项均为合法值</x:v>
      </x:c>
      <x:c r="J60" s="9" t="str">
        <x:v>1. 进入幸运礼物编辑的新建表单
2. 清空英文名称
3. 点击保存</x:v>
      </x:c>
      <x:c r="K60" s="9" t="str">
        <x:v>不提交缺少英文名称的记录</x:v>
      </x:c>
      <x:c r="L60" s="10" t="str"/>
      <x:c r="M60" s="10" t="str">
        <x:v>未测</x:v>
      </x:c>
      <x:c r="N60" s="10" t="str"/>
      <x:c r="O60" s="9" t="str">
        <x:v>1. 来源（当前证据）：liveshow-proto/MainBasis/统一需求文档.md；位置：admin-lucky-gift-detail.html
2. 规则：BR-601AE6E0DBC289
3. 未动态验证</x:v>
      </x:c>
    </x:row>
    <x:row r="61" ht="85" customHeight="1">
      <x:c r="A61" s="10" t="n">
        <x:v>60</x:v>
      </x:c>
      <x:c r="B61" s="10" t="str">
        <x:v>ADMIN-0060</x:v>
      </x:c>
      <x:c r="C61" s="10" t="str">
        <x:v>礼物与道具</x:v>
      </x:c>
      <x:c r="D61" s="10" t="str">
        <x:v>幸运礼物编辑（平台管理员）</x:v>
      </x:c>
      <x:c r="E61" s="10" t="str">
        <x:v>逻辑校验</x:v>
      </x:c>
      <x:c r="F61" s="10" t="str">
        <x:v>P1</x:v>
      </x:c>
      <x:c r="G61" s="9" t="str">
        <x:v>验证印尼语名称未填写时不能提交</x:v>
      </x:c>
      <x:c r="H61" s="9" t="str">
        <x:v>印尼语名称必填</x:v>
      </x:c>
      <x:c r="I61" s="9" t="str">
        <x:v>1. 后台账号已登录且拥有本页及本次操作的授权
2. 除印尼语名称外必填项均为合法值</x:v>
      </x:c>
      <x:c r="J61" s="9" t="str">
        <x:v>1. 进入幸运礼物编辑的新建表单
2. 清空印尼语名称
3. 点击保存</x:v>
      </x:c>
      <x:c r="K61" s="9" t="str">
        <x:v>不提交缺少印尼语名称的记录</x:v>
      </x:c>
      <x:c r="L61" s="10" t="str"/>
      <x:c r="M61" s="10" t="str">
        <x:v>未测</x:v>
      </x:c>
      <x:c r="N61" s="10" t="str"/>
      <x:c r="O61" s="9" t="str">
        <x:v>1. 来源（当前证据）：liveshow-proto/MainBasis/统一需求文档.md；位置：admin-lucky-gift-detail.html
2. 规则：BR-4729253E8FF873
3. 未动态验证</x:v>
      </x:c>
    </x:row>
    <x:row r="62" ht="85" customHeight="1">
      <x:c r="A62" s="10" t="n">
        <x:v>61</x:v>
      </x:c>
      <x:c r="B62" s="10" t="str">
        <x:v>ADMIN-0061</x:v>
      </x:c>
      <x:c r="C62" s="10" t="str">
        <x:v>礼物与道具</x:v>
      </x:c>
      <x:c r="D62" s="10" t="str">
        <x:v>幸运礼物编辑（平台管理员）</x:v>
      </x:c>
      <x:c r="E62" s="10" t="str">
        <x:v>逻辑校验</x:v>
      </x:c>
      <x:c r="F62" s="10" t="str">
        <x:v>P1</x:v>
      </x:c>
      <x:c r="G62" s="9" t="str">
        <x:v>验证马来语名称未填写时不能提交</x:v>
      </x:c>
      <x:c r="H62" s="9" t="str">
        <x:v>马来语名称必填</x:v>
      </x:c>
      <x:c r="I62" s="9" t="str">
        <x:v>1. 后台账号已登录且拥有本页及本次操作的授权
2. 除马来语名称外必填项均为合法值</x:v>
      </x:c>
      <x:c r="J62" s="9" t="str">
        <x:v>1. 进入幸运礼物编辑的新建表单
2. 清空马来语名称
3. 点击保存</x:v>
      </x:c>
      <x:c r="K62" s="9" t="str">
        <x:v>不提交缺少马来语名称的记录</x:v>
      </x:c>
      <x:c r="L62" s="10" t="str"/>
      <x:c r="M62" s="10" t="str">
        <x:v>未测</x:v>
      </x:c>
      <x:c r="N62" s="10" t="str"/>
      <x:c r="O62" s="9" t="str">
        <x:v>1. 来源（当前证据）：liveshow-proto/MainBasis/统一需求文档.md；位置：admin-lucky-gift-detail.html
2. 规则：BR-7C059CD275E300
3. 未动态验证</x:v>
      </x:c>
    </x:row>
    <x:row r="63" ht="85" customHeight="1">
      <x:c r="A63" s="10" t="n">
        <x:v>62</x:v>
      </x:c>
      <x:c r="B63" s="10" t="str">
        <x:v>ADMIN-0062</x:v>
      </x:c>
      <x:c r="C63" s="10" t="str">
        <x:v>礼物与道具</x:v>
      </x:c>
      <x:c r="D63" s="10" t="str">
        <x:v>幸运礼物编辑（平台管理员）</x:v>
      </x:c>
      <x:c r="E63" s="10" t="str">
        <x:v>逻辑校验</x:v>
      </x:c>
      <x:c r="F63" s="10" t="str">
        <x:v>P1</x:v>
      </x:c>
      <x:c r="G63" s="9" t="str">
        <x:v>验证图标未填写时不能提交</x:v>
      </x:c>
      <x:c r="H63" s="9" t="str">
        <x:v>图标必填</x:v>
      </x:c>
      <x:c r="I63" s="9" t="str">
        <x:v>1. 后台账号已登录且拥有本页及本次操作的授权
2. 除图标外必填项均为合法值</x:v>
      </x:c>
      <x:c r="J63" s="9" t="str">
        <x:v>1. 进入幸运礼物编辑的新建表单
2. 查看图标未上传
3. 点击保存</x:v>
      </x:c>
      <x:c r="K63" s="9" t="str">
        <x:v>不提交缺少图标的记录</x:v>
      </x:c>
      <x:c r="L63" s="10" t="str"/>
      <x:c r="M63" s="10" t="str">
        <x:v>未测</x:v>
      </x:c>
      <x:c r="N63" s="10" t="str"/>
      <x:c r="O63" s="9" t="str">
        <x:v>1. 来源（当前证据）：liveshow-proto/MainBasis/统一需求文档.md；位置：admin-lucky-gift-detail.html
2. 规则：BR-B96489A1F5B269
3. 未动态验证</x:v>
      </x:c>
    </x:row>
    <x:row r="64" ht="85" customHeight="1">
      <x:c r="A64" s="10" t="n">
        <x:v>63</x:v>
      </x:c>
      <x:c r="B64" s="10" t="str">
        <x:v>ADMIN-0063</x:v>
      </x:c>
      <x:c r="C64" s="10" t="str">
        <x:v>礼物与道具</x:v>
      </x:c>
      <x:c r="D64" s="10" t="str">
        <x:v>幸运礼物编辑（平台管理员）</x:v>
      </x:c>
      <x:c r="E64" s="10" t="str">
        <x:v>逻辑校验</x:v>
      </x:c>
      <x:c r="F64" s="10" t="str">
        <x:v>P1</x:v>
      </x:c>
      <x:c r="G64" s="9" t="str">
        <x:v>验证单次消耗输入0</x:v>
      </x:c>
      <x:c r="H64" s="9" t="str">
        <x:v>单次消耗整数校验</x:v>
      </x:c>
      <x:c r="I64" s="9" t="str">
        <x:v>1. 后台账号已登录且拥有本页及本次操作的授权
2. 其余必填项合法，数值1未与现有唯一值冲突</x:v>
      </x:c>
      <x:c r="J64" s="9" t="str">
        <x:v>1. 进入幸运礼物编辑的新建表单
2. 输入单次消耗为0
3. 点击保存</x:v>
      </x:c>
      <x:c r="K64" s="9" t="str">
        <x:v>不保存单次消耗为0的记录</x:v>
      </x:c>
      <x:c r="L64" s="10" t="str"/>
      <x:c r="M64" s="10" t="str">
        <x:v>未测</x:v>
      </x:c>
      <x:c r="N64" s="10" t="str"/>
      <x:c r="O64" s="9" t="str">
        <x:v>1. 来源（当前证据）：liveshow-proto/MainBasis/统一需求文档.md；位置：admin-lucky-gift-detail.html
2. 规则：BR-4CD00C480F7FD8
3. 未动态验证</x:v>
      </x:c>
    </x:row>
    <x:row r="65" ht="85" customHeight="1">
      <x:c r="A65" s="10" t="n">
        <x:v>64</x:v>
      </x:c>
      <x:c r="B65" s="10" t="str">
        <x:v>ADMIN-0064</x:v>
      </x:c>
      <x:c r="C65" s="10" t="str">
        <x:v>礼物与道具</x:v>
      </x:c>
      <x:c r="D65" s="10" t="str">
        <x:v>幸运礼物编辑（平台管理员）</x:v>
      </x:c>
      <x:c r="E65" s="10" t="str">
        <x:v>逻辑校验</x:v>
      </x:c>
      <x:c r="F65" s="10" t="str">
        <x:v>P1</x:v>
      </x:c>
      <x:c r="G65" s="9" t="str">
        <x:v>验证单次消耗输入-1</x:v>
      </x:c>
      <x:c r="H65" s="9" t="str">
        <x:v>单次消耗整数校验</x:v>
      </x:c>
      <x:c r="I65" s="9" t="str">
        <x:v>1. 后台账号已登录且拥有本页及本次操作的授权
2. 其余必填项合法，数值1未与现有唯一值冲突</x:v>
      </x:c>
      <x:c r="J65" s="9" t="str">
        <x:v>1. 进入幸运礼物编辑的新建表单
2. 输入单次消耗为-1
3. 点击保存</x:v>
      </x:c>
      <x:c r="K65" s="9" t="str">
        <x:v>不保存单次消耗为-1的记录</x:v>
      </x:c>
      <x:c r="L65" s="10" t="str"/>
      <x:c r="M65" s="10" t="str">
        <x:v>未测</x:v>
      </x:c>
      <x:c r="N65" s="10" t="str"/>
      <x:c r="O65" s="9" t="str">
        <x:v>1. 来源（当前证据）：liveshow-proto/MainBasis/统一需求文档.md；位置：admin-lucky-gift-detail.html
2. 规则：BR-47070ECA129607
3. 未动态验证</x:v>
      </x:c>
    </x:row>
    <x:row r="66" ht="85" customHeight="1">
      <x:c r="A66" s="10" t="n">
        <x:v>65</x:v>
      </x:c>
      <x:c r="B66" s="10" t="str">
        <x:v>ADMIN-0065</x:v>
      </x:c>
      <x:c r="C66" s="10" t="str">
        <x:v>礼物与道具</x:v>
      </x:c>
      <x:c r="D66" s="10" t="str">
        <x:v>幸运礼物编辑（平台管理员）</x:v>
      </x:c>
      <x:c r="E66" s="10" t="str">
        <x:v>逻辑校验</x:v>
      </x:c>
      <x:c r="F66" s="10" t="str">
        <x:v>P1</x:v>
      </x:c>
      <x:c r="G66" s="9" t="str">
        <x:v>验证单次消耗输入1.5</x:v>
      </x:c>
      <x:c r="H66" s="9" t="str">
        <x:v>单次消耗整数校验</x:v>
      </x:c>
      <x:c r="I66" s="9" t="str">
        <x:v>1. 后台账号已登录且拥有本页及本次操作的授权
2. 其余必填项合法，数值1未与现有唯一值冲突</x:v>
      </x:c>
      <x:c r="J66" s="9" t="str">
        <x:v>1. 进入幸运礼物编辑的新建表单
2. 输入单次消耗为1.5
3. 点击保存</x:v>
      </x:c>
      <x:c r="K66" s="9" t="str">
        <x:v>不保存单次消耗为1.5的记录</x:v>
      </x:c>
      <x:c r="L66" s="10" t="str"/>
      <x:c r="M66" s="10" t="str">
        <x:v>未测</x:v>
      </x:c>
      <x:c r="N66" s="10" t="str"/>
      <x:c r="O66" s="9" t="str">
        <x:v>1. 来源（当前证据）：liveshow-proto/MainBasis/统一需求文档.md；位置：admin-lucky-gift-detail.html
2. 规则：BR-F85BCA315F0326
3. 未动态验证</x:v>
      </x:c>
    </x:row>
    <x:row r="67" ht="85" customHeight="1">
      <x:c r="A67" s="10" t="n">
        <x:v>66</x:v>
      </x:c>
      <x:c r="B67" s="10" t="str">
        <x:v>ADMIN-0066</x:v>
      </x:c>
      <x:c r="C67" s="10" t="str">
        <x:v>礼物与道具</x:v>
      </x:c>
      <x:c r="D67" s="10" t="str">
        <x:v>幸运礼物编辑（平台管理员）</x:v>
      </x:c>
      <x:c r="E67" s="10" t="str">
        <x:v>逻辑校验</x:v>
      </x:c>
      <x:c r="F67" s="10" t="str">
        <x:v>P1</x:v>
      </x:c>
      <x:c r="G67" s="9" t="str">
        <x:v>验证单次消耗输入1</x:v>
      </x:c>
      <x:c r="H67" s="9" t="str">
        <x:v>单次消耗合法整数</x:v>
      </x:c>
      <x:c r="I67" s="9" t="str">
        <x:v>1. 后台账号已登录且拥有本页及本次操作的授权
2. 其余必填项合法，数值1未与现有唯一值冲突</x:v>
      </x:c>
      <x:c r="J67" s="9" t="str">
        <x:v>1. 进入幸运礼物编辑的新建表单
2. 输入单次消耗为1
3. 点击保存</x:v>
      </x:c>
      <x:c r="K67" s="9" t="str">
        <x:v>记录保存的单次消耗为1</x:v>
      </x:c>
      <x:c r="L67" s="10" t="str"/>
      <x:c r="M67" s="10" t="str">
        <x:v>未测</x:v>
      </x:c>
      <x:c r="N67" s="10" t="str"/>
      <x:c r="O67" s="9" t="str">
        <x:v>1. 来源（当前证据）：liveshow-proto/MainBasis/统一需求文档.md；位置：admin-lucky-gift-detail.html
2. 规则：BR-54041198781A92
3. 未动态验证</x:v>
      </x:c>
    </x:row>
    <x:row r="68" ht="85" customHeight="1">
      <x:c r="A68" s="10" t="n">
        <x:v>67</x:v>
      </x:c>
      <x:c r="B68" s="10" t="str">
        <x:v>ADMIN-0067</x:v>
      </x:c>
      <x:c r="C68" s="10" t="str">
        <x:v>礼物与道具</x:v>
      </x:c>
      <x:c r="D68" s="10" t="str">
        <x:v>幸运礼物编辑（平台管理员）</x:v>
      </x:c>
      <x:c r="E68" s="10" t="str">
        <x:v>逻辑校验</x:v>
      </x:c>
      <x:c r="F68" s="10" t="str">
        <x:v>P1</x:v>
      </x:c>
      <x:c r="G68" s="9" t="str">
        <x:v>验证开奖次数输入0</x:v>
      </x:c>
      <x:c r="H68" s="9" t="str">
        <x:v>开奖次数整数校验</x:v>
      </x:c>
      <x:c r="I68" s="9" t="str">
        <x:v>1. 后台账号已登录且拥有本页及本次操作的授权
2. 其余必填项合法，数值1未与现有唯一值冲突</x:v>
      </x:c>
      <x:c r="J68" s="9" t="str">
        <x:v>1. 进入幸运礼物编辑的新建表单
2. 输入开奖次数为0
3. 点击保存</x:v>
      </x:c>
      <x:c r="K68" s="9" t="str">
        <x:v>不保存开奖次数为0的记录</x:v>
      </x:c>
      <x:c r="L68" s="10" t="str"/>
      <x:c r="M68" s="10" t="str">
        <x:v>未测</x:v>
      </x:c>
      <x:c r="N68" s="10" t="str"/>
      <x:c r="O68" s="9" t="str">
        <x:v>1. 来源（当前证据）：liveshow-proto/MainBasis/统一需求文档.md；位置：admin-lucky-gift-detail.html
2. 规则：BR-41A467302ACC83
3. 未动态验证</x:v>
      </x:c>
    </x:row>
    <x:row r="69" ht="85" customHeight="1">
      <x:c r="A69" s="10" t="n">
        <x:v>68</x:v>
      </x:c>
      <x:c r="B69" s="10" t="str">
        <x:v>ADMIN-0068</x:v>
      </x:c>
      <x:c r="C69" s="10" t="str">
        <x:v>礼物与道具</x:v>
      </x:c>
      <x:c r="D69" s="10" t="str">
        <x:v>幸运礼物编辑（平台管理员）</x:v>
      </x:c>
      <x:c r="E69" s="10" t="str">
        <x:v>逻辑校验</x:v>
      </x:c>
      <x:c r="F69" s="10" t="str">
        <x:v>P1</x:v>
      </x:c>
      <x:c r="G69" s="9" t="str">
        <x:v>验证开奖次数输入-1</x:v>
      </x:c>
      <x:c r="H69" s="9" t="str">
        <x:v>开奖次数整数校验</x:v>
      </x:c>
      <x:c r="I69" s="9" t="str">
        <x:v>1. 后台账号已登录且拥有本页及本次操作的授权
2. 其余必填项合法，数值1未与现有唯一值冲突</x:v>
      </x:c>
      <x:c r="J69" s="9" t="str">
        <x:v>1. 进入幸运礼物编辑的新建表单
2. 输入开奖次数为-1
3. 点击保存</x:v>
      </x:c>
      <x:c r="K69" s="9" t="str">
        <x:v>不保存开奖次数为-1的记录</x:v>
      </x:c>
      <x:c r="L69" s="10" t="str"/>
      <x:c r="M69" s="10" t="str">
        <x:v>未测</x:v>
      </x:c>
      <x:c r="N69" s="10" t="str"/>
      <x:c r="O69" s="9" t="str">
        <x:v>1. 来源（当前证据）：liveshow-proto/MainBasis/统一需求文档.md；位置：admin-lucky-gift-detail.html
2. 规则：BR-23C31F30A2BFBB
3. 未动态验证</x:v>
      </x:c>
    </x:row>
    <x:row r="70" ht="85" customHeight="1">
      <x:c r="A70" s="10" t="n">
        <x:v>69</x:v>
      </x:c>
      <x:c r="B70" s="10" t="str">
        <x:v>ADMIN-0069</x:v>
      </x:c>
      <x:c r="C70" s="10" t="str">
        <x:v>礼物与道具</x:v>
      </x:c>
      <x:c r="D70" s="10" t="str">
        <x:v>幸运礼物编辑（平台管理员）</x:v>
      </x:c>
      <x:c r="E70" s="10" t="str">
        <x:v>逻辑校验</x:v>
      </x:c>
      <x:c r="F70" s="10" t="str">
        <x:v>P1</x:v>
      </x:c>
      <x:c r="G70" s="9" t="str">
        <x:v>验证开奖次数输入1.5</x:v>
      </x:c>
      <x:c r="H70" s="9" t="str">
        <x:v>开奖次数整数校验</x:v>
      </x:c>
      <x:c r="I70" s="9" t="str">
        <x:v>1. 后台账号已登录且拥有本页及本次操作的授权
2. 其余必填项合法，数值1未与现有唯一值冲突</x:v>
      </x:c>
      <x:c r="J70" s="9" t="str">
        <x:v>1. 进入幸运礼物编辑的新建表单
2. 输入开奖次数为1.5
3. 点击保存</x:v>
      </x:c>
      <x:c r="K70" s="9" t="str">
        <x:v>不保存开奖次数为1.5的记录</x:v>
      </x:c>
      <x:c r="L70" s="10" t="str"/>
      <x:c r="M70" s="10" t="str">
        <x:v>未测</x:v>
      </x:c>
      <x:c r="N70" s="10" t="str"/>
      <x:c r="O70" s="9" t="str">
        <x:v>1. 来源（当前证据）：liveshow-proto/MainBasis/统一需求文档.md；位置：admin-lucky-gift-detail.html
2. 规则：BR-038D22C10EF58C
3. 未动态验证</x:v>
      </x:c>
    </x:row>
    <x:row r="71" ht="85" customHeight="1">
      <x:c r="A71" s="10" t="n">
        <x:v>70</x:v>
      </x:c>
      <x:c r="B71" s="10" t="str">
        <x:v>ADMIN-0070</x:v>
      </x:c>
      <x:c r="C71" s="10" t="str">
        <x:v>礼物与道具</x:v>
      </x:c>
      <x:c r="D71" s="10" t="str">
        <x:v>幸运礼物编辑（平台管理员）</x:v>
      </x:c>
      <x:c r="E71" s="10" t="str">
        <x:v>逻辑校验</x:v>
      </x:c>
      <x:c r="F71" s="10" t="str">
        <x:v>P1</x:v>
      </x:c>
      <x:c r="G71" s="9" t="str">
        <x:v>验证开奖次数输入1</x:v>
      </x:c>
      <x:c r="H71" s="9" t="str">
        <x:v>开奖次数合法整数</x:v>
      </x:c>
      <x:c r="I71" s="9" t="str">
        <x:v>1. 后台账号已登录且拥有本页及本次操作的授权
2. 其余必填项合法，数值1未与现有唯一值冲突</x:v>
      </x:c>
      <x:c r="J71" s="9" t="str">
        <x:v>1. 进入幸运礼物编辑的新建表单
2. 输入开奖次数为1
3. 点击保存</x:v>
      </x:c>
      <x:c r="K71" s="9" t="str">
        <x:v>记录保存的开奖次数为1</x:v>
      </x:c>
      <x:c r="L71" s="10" t="str"/>
      <x:c r="M71" s="10" t="str">
        <x:v>未测</x:v>
      </x:c>
      <x:c r="N71" s="10" t="str"/>
      <x:c r="O71" s="9" t="str">
        <x:v>1. 来源（当前证据）：liveshow-proto/MainBasis/统一需求文档.md；位置：admin-lucky-gift-detail.html
2. 规则：BR-B163DCF1B5BD93
3. 未动态验证</x:v>
      </x:c>
    </x:row>
    <x:row r="72" ht="85" customHeight="1">
      <x:c r="A72" s="10" t="n">
        <x:v>71</x:v>
      </x:c>
      <x:c r="B72" s="10" t="str">
        <x:v>ADMIN-0071</x:v>
      </x:c>
      <x:c r="C72" s="10" t="str">
        <x:v>礼物与道具</x:v>
      </x:c>
      <x:c r="D72" s="10" t="str">
        <x:v>道具详情（平台管理员）</x:v>
      </x:c>
      <x:c r="E72" s="10" t="str">
        <x:v>逻辑校验</x:v>
      </x:c>
      <x:c r="F72" s="10" t="str">
        <x:v>P1</x:v>
      </x:c>
      <x:c r="G72" s="9" t="str">
        <x:v>验证道具 ID未填写时不能提交</x:v>
      </x:c>
      <x:c r="H72" s="9" t="str">
        <x:v>道具 ID必填</x:v>
      </x:c>
      <x:c r="I72" s="9" t="str">
        <x:v>1. 后台账号已登录且拥有本页及本次操作的授权
2. 除道具 ID外必填项均为合法值</x:v>
      </x:c>
      <x:c r="J72" s="9" t="str">
        <x:v>1. 进入道具详情的新建表单
2. 清空道具 ID
3. 点击保存</x:v>
      </x:c>
      <x:c r="K72" s="9" t="str">
        <x:v>不提交缺少道具 ID的记录</x:v>
      </x:c>
      <x:c r="L72" s="10" t="str"/>
      <x:c r="M72" s="10" t="str">
        <x:v>未测</x:v>
      </x:c>
      <x:c r="N72" s="10" t="str"/>
      <x:c r="O72" s="9" t="str">
        <x:v>1. 来源（当前证据）：liveshow-proto/MainBasis/统一需求文档.md；位置：admin-prop-detail.html
2. 规则：BR-0878EE535E8E17
3. 未动态验证</x:v>
      </x:c>
    </x:row>
    <x:row r="73" ht="85" customHeight="1">
      <x:c r="A73" s="10" t="n">
        <x:v>72</x:v>
      </x:c>
      <x:c r="B73" s="10" t="str">
        <x:v>ADMIN-0072</x:v>
      </x:c>
      <x:c r="C73" s="10" t="str">
        <x:v>礼物与道具</x:v>
      </x:c>
      <x:c r="D73" s="10" t="str">
        <x:v>道具详情（平台管理员）</x:v>
      </x:c>
      <x:c r="E73" s="10" t="str">
        <x:v>逻辑校验</x:v>
      </x:c>
      <x:c r="F73" s="10" t="str">
        <x:v>P1</x:v>
      </x:c>
      <x:c r="G73" s="9" t="str">
        <x:v>验证中文名称未填写时不能提交</x:v>
      </x:c>
      <x:c r="H73" s="9" t="str">
        <x:v>中文名称必填</x:v>
      </x:c>
      <x:c r="I73" s="9" t="str">
        <x:v>1. 后台账号已登录且拥有本页及本次操作的授权
2. 除中文名称外必填项均为合法值</x:v>
      </x:c>
      <x:c r="J73" s="9" t="str">
        <x:v>1. 进入道具详情的新建表单
2. 清空中文名称
3. 点击保存</x:v>
      </x:c>
      <x:c r="K73" s="9" t="str">
        <x:v>不提交缺少中文名称的记录</x:v>
      </x:c>
      <x:c r="L73" s="10" t="str"/>
      <x:c r="M73" s="10" t="str">
        <x:v>未测</x:v>
      </x:c>
      <x:c r="N73" s="10" t="str"/>
      <x:c r="O73" s="9" t="str">
        <x:v>1. 来源（当前证据）：liveshow-proto/MainBasis/统一需求文档.md；位置：admin-prop-detail.html
2. 规则：BR-F3B55489EFB000
3. 未动态验证</x:v>
      </x:c>
    </x:row>
    <x:row r="74" ht="85" customHeight="1">
      <x:c r="A74" s="10" t="n">
        <x:v>73</x:v>
      </x:c>
      <x:c r="B74" s="10" t="str">
        <x:v>ADMIN-0073</x:v>
      </x:c>
      <x:c r="C74" s="10" t="str">
        <x:v>礼物与道具</x:v>
      </x:c>
      <x:c r="D74" s="10" t="str">
        <x:v>道具详情（平台管理员）</x:v>
      </x:c>
      <x:c r="E74" s="10" t="str">
        <x:v>逻辑校验</x:v>
      </x:c>
      <x:c r="F74" s="10" t="str">
        <x:v>P1</x:v>
      </x:c>
      <x:c r="G74" s="9" t="str">
        <x:v>验证英文名称未填写时不能提交</x:v>
      </x:c>
      <x:c r="H74" s="9" t="str">
        <x:v>英文名称必填</x:v>
      </x:c>
      <x:c r="I74" s="9" t="str">
        <x:v>1. 后台账号已登录且拥有本页及本次操作的授权
2. 除英文名称外必填项均为合法值</x:v>
      </x:c>
      <x:c r="J74" s="9" t="str">
        <x:v>1. 进入道具详情的新建表单
2. 清空英文名称
3. 点击保存</x:v>
      </x:c>
      <x:c r="K74" s="9" t="str">
        <x:v>不提交缺少英文名称的记录</x:v>
      </x:c>
      <x:c r="L74" s="10" t="str"/>
      <x:c r="M74" s="10" t="str">
        <x:v>未测</x:v>
      </x:c>
      <x:c r="N74" s="10" t="str"/>
      <x:c r="O74" s="9" t="str">
        <x:v>1. 来源（当前证据）：liveshow-proto/MainBasis/统一需求文档.md；位置：admin-prop-detail.html
2. 规则：BR-F1D495D637691F
3. 未动态验证</x:v>
      </x:c>
    </x:row>
    <x:row r="75" ht="85" customHeight="1">
      <x:c r="A75" s="10" t="n">
        <x:v>74</x:v>
      </x:c>
      <x:c r="B75" s="10" t="str">
        <x:v>ADMIN-0074</x:v>
      </x:c>
      <x:c r="C75" s="10" t="str">
        <x:v>礼物与道具</x:v>
      </x:c>
      <x:c r="D75" s="10" t="str">
        <x:v>道具详情（平台管理员）</x:v>
      </x:c>
      <x:c r="E75" s="10" t="str">
        <x:v>逻辑校验</x:v>
      </x:c>
      <x:c r="F75" s="10" t="str">
        <x:v>P1</x:v>
      </x:c>
      <x:c r="G75" s="9" t="str">
        <x:v>验证印尼语名称未填写时不能提交</x:v>
      </x:c>
      <x:c r="H75" s="9" t="str">
        <x:v>印尼语名称必填</x:v>
      </x:c>
      <x:c r="I75" s="9" t="str">
        <x:v>1. 后台账号已登录且拥有本页及本次操作的授权
2. 除印尼语名称外必填项均为合法值</x:v>
      </x:c>
      <x:c r="J75" s="9" t="str">
        <x:v>1. 进入道具详情的新建表单
2. 清空印尼语名称
3. 点击保存</x:v>
      </x:c>
      <x:c r="K75" s="9" t="str">
        <x:v>不提交缺少印尼语名称的记录</x:v>
      </x:c>
      <x:c r="L75" s="10" t="str"/>
      <x:c r="M75" s="10" t="str">
        <x:v>未测</x:v>
      </x:c>
      <x:c r="N75" s="10" t="str"/>
      <x:c r="O75" s="9" t="str">
        <x:v>1. 来源（当前证据）：liveshow-proto/MainBasis/统一需求文档.md；位置：admin-prop-detail.html
2. 规则：BR-99384849180EFF
3. 未动态验证</x:v>
      </x:c>
    </x:row>
    <x:row r="76" ht="85" customHeight="1">
      <x:c r="A76" s="10" t="n">
        <x:v>75</x:v>
      </x:c>
      <x:c r="B76" s="10" t="str">
        <x:v>ADMIN-0075</x:v>
      </x:c>
      <x:c r="C76" s="10" t="str">
        <x:v>礼物与道具</x:v>
      </x:c>
      <x:c r="D76" s="10" t="str">
        <x:v>道具详情（平台管理员）</x:v>
      </x:c>
      <x:c r="E76" s="10" t="str">
        <x:v>逻辑校验</x:v>
      </x:c>
      <x:c r="F76" s="10" t="str">
        <x:v>P1</x:v>
      </x:c>
      <x:c r="G76" s="9" t="str">
        <x:v>验证马来语名称未填写时不能提交</x:v>
      </x:c>
      <x:c r="H76" s="9" t="str">
        <x:v>马来语名称必填</x:v>
      </x:c>
      <x:c r="I76" s="9" t="str">
        <x:v>1. 后台账号已登录且拥有本页及本次操作的授权
2. 除马来语名称外必填项均为合法值</x:v>
      </x:c>
      <x:c r="J76" s="9" t="str">
        <x:v>1. 进入道具详情的新建表单
2. 清空马来语名称
3. 点击保存</x:v>
      </x:c>
      <x:c r="K76" s="9" t="str">
        <x:v>不提交缺少马来语名称的记录</x:v>
      </x:c>
      <x:c r="L76" s="10" t="str"/>
      <x:c r="M76" s="10" t="str">
        <x:v>未测</x:v>
      </x:c>
      <x:c r="N76" s="10" t="str"/>
      <x:c r="O76" s="9" t="str">
        <x:v>1. 来源（当前证据）：liveshow-proto/MainBasis/统一需求文档.md；位置：admin-prop-detail.html
2. 规则：BR-AD23666C25850B
3. 未动态验证</x:v>
      </x:c>
    </x:row>
    <x:row r="77" ht="85" customHeight="1">
      <x:c r="A77" s="10" t="n">
        <x:v>76</x:v>
      </x:c>
      <x:c r="B77" s="10" t="str">
        <x:v>ADMIN-0076</x:v>
      </x:c>
      <x:c r="C77" s="10" t="str">
        <x:v>礼物与道具</x:v>
      </x:c>
      <x:c r="D77" s="10" t="str">
        <x:v>道具详情（平台管理员）</x:v>
      </x:c>
      <x:c r="E77" s="10" t="str">
        <x:v>逻辑校验</x:v>
      </x:c>
      <x:c r="F77" s="10" t="str">
        <x:v>P1</x:v>
      </x:c>
      <x:c r="G77" s="9" t="str">
        <x:v>验证图标未填写时不能提交</x:v>
      </x:c>
      <x:c r="H77" s="9" t="str">
        <x:v>图标必填</x:v>
      </x:c>
      <x:c r="I77" s="9" t="str">
        <x:v>1. 后台账号已登录且拥有本页及本次操作的授权
2. 除图标外必填项均为合法值</x:v>
      </x:c>
      <x:c r="J77" s="9" t="str">
        <x:v>1. 进入道具详情的新建表单
2. 查看图标未上传
3. 点击保存</x:v>
      </x:c>
      <x:c r="K77" s="9" t="str">
        <x:v>不提交缺少图标的记录</x:v>
      </x:c>
      <x:c r="L77" s="10" t="str"/>
      <x:c r="M77" s="10" t="str">
        <x:v>未测</x:v>
      </x:c>
      <x:c r="N77" s="10" t="str"/>
      <x:c r="O77" s="9" t="str">
        <x:v>1. 来源（当前证据）：liveshow-proto/MainBasis/统一需求文档.md；位置：admin-prop-detail.html
2. 规则：BR-EE1C3B30C65E8E
3. 未动态验证</x:v>
      </x:c>
    </x:row>
    <x:row r="78" ht="85" customHeight="1">
      <x:c r="A78" s="10" t="n">
        <x:v>77</x:v>
      </x:c>
      <x:c r="B78" s="10" t="str">
        <x:v>ADMIN-0077</x:v>
      </x:c>
      <x:c r="C78" s="10" t="str">
        <x:v>礼物与道具</x:v>
      </x:c>
      <x:c r="D78" s="10" t="str">
        <x:v>道具详情（平台管理员）</x:v>
      </x:c>
      <x:c r="E78" s="10" t="str">
        <x:v>逻辑校验</x:v>
      </x:c>
      <x:c r="F78" s="10" t="str">
        <x:v>P1</x:v>
      </x:c>
      <x:c r="G78" s="9" t="str">
        <x:v>验证素材未填写时不能提交</x:v>
      </x:c>
      <x:c r="H78" s="9" t="str">
        <x:v>素材必填</x:v>
      </x:c>
      <x:c r="I78" s="9" t="str">
        <x:v>1. 后台账号已登录且拥有本页及本次操作的授权
2. 除素材外必填项均为合法值</x:v>
      </x:c>
      <x:c r="J78" s="9" t="str">
        <x:v>1. 进入道具详情的新建表单
2. 查看素材未上传
3. 点击保存</x:v>
      </x:c>
      <x:c r="K78" s="9" t="str">
        <x:v>不提交缺少素材的记录</x:v>
      </x:c>
      <x:c r="L78" s="10" t="str"/>
      <x:c r="M78" s="10" t="str">
        <x:v>未测</x:v>
      </x:c>
      <x:c r="N78" s="10" t="str"/>
      <x:c r="O78" s="9" t="str">
        <x:v>1. 来源（当前证据）：liveshow-proto/MainBasis/统一需求文档.md；位置：admin-prop-detail.html
2. 规则：BR-72B2FB991C9228
3. 未动态验证</x:v>
      </x:c>
    </x:row>
    <x:row r="79" ht="85" customHeight="1">
      <x:c r="A79" s="10" t="n">
        <x:v>78</x:v>
      </x:c>
      <x:c r="B79" s="10" t="str">
        <x:v>ADMIN-0078</x:v>
      </x:c>
      <x:c r="C79" s="10" t="str">
        <x:v>礼物与道具</x:v>
      </x:c>
      <x:c r="D79" s="10" t="str">
        <x:v>礼物详情（平台管理员）</x:v>
      </x:c>
      <x:c r="E79" s="10" t="str">
        <x:v>功能需求</x:v>
      </x:c>
      <x:c r="F79" s="10" t="str">
        <x:v>P1</x:v>
      </x:c>
      <x:c r="G79" s="9" t="str">
        <x:v>验证编辑时礼物 ID不可修改</x:v>
      </x:c>
      <x:c r="H79" s="9" t="str">
        <x:v>礼物 ID只读</x:v>
      </x:c>
      <x:c r="I79" s="9" t="str">
        <x:v>1. 后台账号已登录且拥有本页及本次操作的授权
2. 已有记录的礼物 ID已生成</x:v>
      </x:c>
      <x:c r="J79" s="9" t="str">
        <x:v>1. 进入已有礼物详情
2. 查看礼物 ID</x:v>
      </x:c>
      <x:c r="K79" s="9" t="str">
        <x:v>礼物 ID不可编辑</x:v>
      </x:c>
      <x:c r="L79" s="10" t="str"/>
      <x:c r="M79" s="10" t="str">
        <x:v>未测</x:v>
      </x:c>
      <x:c r="N79" s="10" t="str"/>
      <x:c r="O79" s="9" t="str">
        <x:v>1. 来源（当前证据）：liveshow-proto/MainBasis/统一需求文档.md；位置：admin-gift-detail.html
2. 规则：BR-A4CD790F8FA019
3. 未动态验证</x:v>
      </x:c>
    </x:row>
    <x:row r="80" ht="85" customHeight="1">
      <x:c r="A80" s="10" t="n">
        <x:v>79</x:v>
      </x:c>
      <x:c r="B80" s="10" t="str">
        <x:v>ADMIN-0079</x:v>
      </x:c>
      <x:c r="C80" s="10" t="str">
        <x:v>礼物与道具</x:v>
      </x:c>
      <x:c r="D80" s="10" t="str">
        <x:v>道具详情（平台管理员）</x:v>
      </x:c>
      <x:c r="E80" s="10" t="str">
        <x:v>功能需求</x:v>
      </x:c>
      <x:c r="F80" s="10" t="str">
        <x:v>P1</x:v>
      </x:c>
      <x:c r="G80" s="9" t="str">
        <x:v>验证编辑时道具 ID不可修改</x:v>
      </x:c>
      <x:c r="H80" s="9" t="str">
        <x:v>道具 ID只读</x:v>
      </x:c>
      <x:c r="I80" s="9" t="str">
        <x:v>1. 后台账号已登录且拥有本页及本次操作的授权
2. 已有记录的道具 ID已生成</x:v>
      </x:c>
      <x:c r="J80" s="9" t="str">
        <x:v>1. 进入已有道具详情
2. 查看道具 ID</x:v>
      </x:c>
      <x:c r="K80" s="9" t="str">
        <x:v>道具 ID不可编辑</x:v>
      </x:c>
      <x:c r="L80" s="10" t="str"/>
      <x:c r="M80" s="10" t="str">
        <x:v>未测</x:v>
      </x:c>
      <x:c r="N80" s="10" t="str"/>
      <x:c r="O80" s="9" t="str">
        <x:v>1. 来源（当前证据）：liveshow-proto/MainBasis/统一需求文档.md；位置：admin-prop-detail.html
2. 规则：BR-4AE06DA65E043A
3. 未动态验证</x:v>
      </x:c>
    </x:row>
    <x:row r="81" ht="100" customHeight="1">
      <x:c r="A81" s="10" t="n">
        <x:v>80</x:v>
      </x:c>
      <x:c r="B81" s="10" t="str">
        <x:v>ADMIN-0080</x:v>
      </x:c>
      <x:c r="C81" s="10" t="str">
        <x:v>礼物与道具</x:v>
      </x:c>
      <x:c r="D81" s="10" t="str">
        <x:v>礼物详情（平台管理员）</x:v>
      </x:c>
      <x:c r="E81" s="10" t="str">
        <x:v>功能需求</x:v>
      </x:c>
      <x:c r="F81" s="10" t="str">
        <x:v>P1</x:v>
      </x:c>
      <x:c r="G81" s="9" t="str">
        <x:v>验证定制礼物结束时间不能等于开始</x:v>
      </x:c>
      <x:c r="H81" s="9" t="str">
        <x:v>礼物时间零区间</x:v>
      </x:c>
      <x:c r="I81" s="9" t="str">
        <x:v>1. 后台账号已登录且拥有本页及本次操作的授权
2. 其他必填项合法</x:v>
      </x:c>
      <x:c r="J81" s="9" t="str">
        <x:v>1. 进入定制礼物详情
2. 输入生效时间2026-10-01 10:00
3. 输入失效时间2026-10-01 10:00
4. 点击保存</x:v>
      </x:c>
      <x:c r="K81" s="9" t="str">
        <x:v>不保存零长度的投放时间区间</x:v>
      </x:c>
      <x:c r="L81" s="10" t="str"/>
      <x:c r="M81" s="10" t="str">
        <x:v>未测</x:v>
      </x:c>
      <x:c r="N81" s="10" t="str"/>
      <x:c r="O81" s="9" t="str">
        <x:v>1. 来源（当前证据）：liveshow-proto/MainBasis/统一需求文档.md；位置：admin-gift-detail.html
2. 规则：BR-AB3070BAAA8A81
3. 未动态验证</x:v>
      </x:c>
    </x:row>
    <x:row r="82" ht="100" customHeight="1">
      <x:c r="A82" s="10" t="n">
        <x:v>81</x:v>
      </x:c>
      <x:c r="B82" s="10" t="str">
        <x:v>ADMIN-0081</x:v>
      </x:c>
      <x:c r="C82" s="10" t="str">
        <x:v>礼物与道具</x:v>
      </x:c>
      <x:c r="D82" s="10" t="str">
        <x:v>礼物详情（平台管理员）</x:v>
      </x:c>
      <x:c r="E82" s="10" t="str">
        <x:v>功能需求</x:v>
      </x:c>
      <x:c r="F82" s="10" t="str">
        <x:v>P1</x:v>
      </x:c>
      <x:c r="G82" s="9" t="str">
        <x:v>验证定制礼物结束时间必须晚于开始</x:v>
      </x:c>
      <x:c r="H82" s="9" t="str">
        <x:v>礼物时间逆序</x:v>
      </x:c>
      <x:c r="I82" s="9" t="str">
        <x:v>1. 后台账号已登录且拥有本页及本次操作的授权
2. 其他必填项合法</x:v>
      </x:c>
      <x:c r="J82" s="9" t="str">
        <x:v>1. 进入定制礼物详情
2. 输入生效时间2026-10-01 10:00
3. 输入失效时间2026-10-01 09:59
4. 点击保存</x:v>
      </x:c>
      <x:c r="K82" s="9" t="str">
        <x:v>不保存结束早于开始的时间区间</x:v>
      </x:c>
      <x:c r="L82" s="10" t="str"/>
      <x:c r="M82" s="10" t="str">
        <x:v>未测</x:v>
      </x:c>
      <x:c r="N82" s="10" t="str"/>
      <x:c r="O82" s="9" t="str">
        <x:v>1. 来源（当前证据）：liveshow-proto/MainBasis/统一需求文档.md；位置：admin-gift-detail.html
2. 规则：BR-E1E33F56538619
3. 未动态验证</x:v>
      </x:c>
    </x:row>
    <x:row r="83" ht="85" customHeight="1">
      <x:c r="A83" s="10" t="n">
        <x:v>82</x:v>
      </x:c>
      <x:c r="B83" s="10" t="str">
        <x:v>ADMIN-0082</x:v>
      </x:c>
      <x:c r="C83" s="10" t="str">
        <x:v>礼物与道具</x:v>
      </x:c>
      <x:c r="D83" s="10" t="str">
        <x:v>礼物详情（平台管理员）</x:v>
      </x:c>
      <x:c r="E83" s="10" t="str">
        <x:v>功能需求</x:v>
      </x:c>
      <x:c r="F83" s="10" t="str">
        <x:v>P1</x:v>
      </x:c>
      <x:c r="G83" s="9" t="str">
        <x:v>验证定制礼物到期自动下架</x:v>
      </x:c>
      <x:c r="H83" s="9" t="str">
        <x:v>礼物到期</x:v>
      </x:c>
      <x:c r="I83" s="9" t="str">
        <x:v>1. 后台账号已登录且拥有本页及本次操作的授权
2. 礼物已上架，本次已到配置失效时间</x:v>
      </x:c>
      <x:c r="J83" s="9" t="str">
        <x:v>1. 进入定制礼物详情
2. 刷新礼物详情</x:v>
      </x:c>
      <x:c r="K83" s="9" t="str">
        <x:v>礼物显示已下架</x:v>
      </x:c>
      <x:c r="L83" s="10" t="str"/>
      <x:c r="M83" s="10" t="str">
        <x:v>未测</x:v>
      </x:c>
      <x:c r="N83" s="10" t="str"/>
      <x:c r="O83" s="9" t="str">
        <x:v>1. 来源（当前证据）：liveshow-proto/MainBasis/统一需求文档.md；位置：admin-gift-detail.html
2. 规则：BR-C38C07498B1045
3. 未动态验证</x:v>
      </x:c>
    </x:row>
    <x:row r="84" ht="100" customHeight="1">
      <x:c r="A84" s="10" t="n">
        <x:v>83</x:v>
      </x:c>
      <x:c r="B84" s="10" t="str">
        <x:v>ADMIN-0083</x:v>
      </x:c>
      <x:c r="C84" s="10" t="str">
        <x:v>礼物与道具</x:v>
      </x:c>
      <x:c r="D84" s="10" t="str">
        <x:v>普通礼物（平台管理员）</x:v>
      </x:c>
      <x:c r="E84" s="10" t="str">
        <x:v>功能需求</x:v>
      </x:c>
      <x:c r="F84" s="10" t="str">
        <x:v>P1</x:v>
      </x:c>
      <x:c r="G84" s="9" t="str">
        <x:v>验证普通礼物下架保留历史收益</x:v>
      </x:c>
      <x:c r="H84" s="9" t="str">
        <x:v>商品历史保留</x:v>
      </x:c>
      <x:c r="I84" s="9" t="str">
        <x:v>1. 后台账号已登录且拥有本页及本次操作的授权
2. 该礼物已有真实成功赠送及收益记录</x:v>
      </x:c>
      <x:c r="J84" s="9" t="str">
        <x:v>1. 进入普通礼物列表
2. 下架该礼物并确认
3. 进入主播礼物打赏明细报表
4. 查询该礼物历史订单</x:v>
      </x:c>
      <x:c r="K84" s="9" t="str">
        <x:v>已有收益记录不被删除</x:v>
      </x:c>
      <x:c r="L84" s="10" t="str"/>
      <x:c r="M84" s="10" t="str">
        <x:v>未测</x:v>
      </x:c>
      <x:c r="N84" s="10" t="str"/>
      <x:c r="O84" s="9" t="str">
        <x:v>1. 来源（当前证据）：liveshow-proto/MainBasis/统一需求文档.md；位置：admin-gift-list.html、admin-monthly-host-earnings.html
2. 规则：BR-E10AD050C76598
3. 未动态验证</x:v>
      </x:c>
    </x:row>
    <x:row r="85" ht="85" customHeight="1">
      <x:c r="A85" s="10" t="n">
        <x:v>84</x:v>
      </x:c>
      <x:c r="B85" s="10" t="str">
        <x:v>ADMIN-0084</x:v>
      </x:c>
      <x:c r="C85" s="10" t="str">
        <x:v>礼物与道具</x:v>
      </x:c>
      <x:c r="D85" s="10" t="str">
        <x:v>普通礼物（平台管理员）</x:v>
      </x:c>
      <x:c r="E85" s="10" t="str">
        <x:v>功能需求</x:v>
      </x:c>
      <x:c r="F85" s="10" t="str">
        <x:v>P1</x:v>
      </x:c>
      <x:c r="G85" s="9" t="str">
        <x:v>验证礼物ID重复不能新增</x:v>
      </x:c>
      <x:c r="H85" s="9" t="str">
        <x:v>礼物标识唯一</x:v>
      </x:c>
      <x:c r="I85" s="9" t="str">
        <x:v>1. 后台账号已登录且拥有本页及本次操作的授权
2. 已经存在礼物ID1001，其余新增字段合法</x:v>
      </x:c>
      <x:c r="J85" s="9" t="str">
        <x:v>1. 进入普通礼物列表
2. 点击新增
3. 填写礼物ID1001
4. 点击保存</x:v>
      </x:c>
      <x:c r="K85" s="9" t="str">
        <x:v>不创建重复礼物ID</x:v>
      </x:c>
      <x:c r="L85" s="10" t="str"/>
      <x:c r="M85" s="10" t="str">
        <x:v>未测</x:v>
      </x:c>
      <x:c r="N85" s="10" t="str"/>
      <x:c r="O85" s="9" t="str">
        <x:v>1. 来源（当前证据）：liveshow-proto/MainBasis/统一需求文档.md；位置：admin-gift-list.html
2. 规则：BR-0399C13EE146DE
3. 未动态验证</x:v>
      </x:c>
    </x:row>
    <x:row r="86" ht="85" customHeight="1">
      <x:c r="A86" s="10" t="n">
        <x:v>85</x:v>
      </x:c>
      <x:c r="B86" s="10" t="str">
        <x:v>ADMIN-0085</x:v>
      </x:c>
      <x:c r="C86" s="10" t="str">
        <x:v>礼物与道具</x:v>
      </x:c>
      <x:c r="D86" s="10" t="str">
        <x:v>购买份数配置详情（平台管理员）</x:v>
      </x:c>
      <x:c r="E86" s="10" t="str">
        <x:v>功能需求</x:v>
      </x:c>
      <x:c r="F86" s="10" t="str">
        <x:v>P1</x:v>
      </x:c>
      <x:c r="G86" s="9" t="str">
        <x:v>验证赠送数量不能为空</x:v>
      </x:c>
      <x:c r="H86" s="9" t="str">
        <x:v>赠送数量最低项数</x:v>
      </x:c>
      <x:c r="I86" s="9" t="str">
        <x:v>1. 后台账号已登录且拥有本页及本次操作的授权
2. 其他必填项合法</x:v>
      </x:c>
      <x:c r="J86" s="9" t="str">
        <x:v>1. 进入赠送数量规则详情
2. 删除全部赠送数量
3. 点击保存</x:v>
      </x:c>
      <x:c r="K86" s="9" t="str">
        <x:v>不能保存没有赠送数量的规则</x:v>
      </x:c>
      <x:c r="L86" s="10" t="str">
        <x:v>FLOW-A1501E68</x:v>
      </x:c>
      <x:c r="M86" s="10" t="str">
        <x:v>未测</x:v>
      </x:c>
      <x:c r="N86" s="10" t="str"/>
      <x:c r="O86" s="9" t="str">
        <x:v>1. 来源（当前证据）：liveshow-proto/MainBasis/统一需求文档.md；位置：admin-gift-send-count-rule-detail.html
2. 规则：BR-08B4C47ED7DE6B
3. 未动态验证</x:v>
      </x:c>
    </x:row>
    <x:row r="87" ht="85" customHeight="1">
      <x:c r="A87" s="10" t="n">
        <x:v>86</x:v>
      </x:c>
      <x:c r="B87" s="10" t="str">
        <x:v>ADMIN-0086</x:v>
      </x:c>
      <x:c r="C87" s="10" t="str">
        <x:v>礼物与道具</x:v>
      </x:c>
      <x:c r="D87" s="10" t="str">
        <x:v>购买份数配置详情（平台管理员）</x:v>
      </x:c>
      <x:c r="E87" s="10" t="str">
        <x:v>功能需求</x:v>
      </x:c>
      <x:c r="F87" s="10" t="str">
        <x:v>P1</x:v>
      </x:c>
      <x:c r="G87" s="9" t="str">
        <x:v>验证赠送数量不能重复</x:v>
      </x:c>
      <x:c r="H87" s="9" t="str">
        <x:v>赠送数量去重</x:v>
      </x:c>
      <x:c r="I87" s="9" t="str">
        <x:v>1. 后台账号已登录且拥有本页及本次操作的授权
2. 数量列表已有1</x:v>
      </x:c>
      <x:c r="J87" s="9" t="str">
        <x:v>1. 进入赠送数量规则详情
2. 新增数量1
3. 点击保存</x:v>
      </x:c>
      <x:c r="K87" s="9" t="str">
        <x:v>不能保存重复数量</x:v>
      </x:c>
      <x:c r="L87" s="10" t="str">
        <x:v>FLOW-A1501E68</x:v>
      </x:c>
      <x:c r="M87" s="10" t="str">
        <x:v>未测</x:v>
      </x:c>
      <x:c r="N87" s="10" t="str"/>
      <x:c r="O87" s="9" t="str">
        <x:v>1. 来源（当前证据）：liveshow-proto/MainBasis/统一需求文档.md；位置：admin-gift-send-count-rule-detail.html
2. 规则：BR-DD39416F2B5E8D
3. 未动态验证</x:v>
      </x:c>
    </x:row>
    <x:row r="88" ht="85" customHeight="1">
      <x:c r="A88" s="10" t="n">
        <x:v>87</x:v>
      </x:c>
      <x:c r="B88" s="10" t="str">
        <x:v>ADMIN-0087</x:v>
      </x:c>
      <x:c r="C88" s="10" t="str">
        <x:v>礼物与道具</x:v>
      </x:c>
      <x:c r="D88" s="10" t="str">
        <x:v>购买份数配置详情（平台管理员）</x:v>
      </x:c>
      <x:c r="E88" s="10" t="str">
        <x:v>功能需求</x:v>
      </x:c>
      <x:c r="F88" s="10" t="str">
        <x:v>P1</x:v>
      </x:c>
      <x:c r="G88" s="9" t="str">
        <x:v>验证默认数量必须属于列表</x:v>
      </x:c>
      <x:c r="H88" s="9" t="str">
        <x:v>默认数量关联</x:v>
      </x:c>
      <x:c r="I88" s="9" t="str">
        <x:v>1. 后台账号已登录且拥有本页及本次操作的授权
2. 数量列表仅有1和10</x:v>
      </x:c>
      <x:c r="J88" s="9" t="str">
        <x:v>1. 进入赠送数量规则详情
2. 查看默认数量选项</x:v>
      </x:c>
      <x:c r="K88" s="9" t="str">
        <x:v>默认数量选项仅包含1和10</x:v>
      </x:c>
      <x:c r="L88" s="10" t="str"/>
      <x:c r="M88" s="10" t="str">
        <x:v>未测</x:v>
      </x:c>
      <x:c r="N88" s="10" t="str"/>
      <x:c r="O88" s="9" t="str">
        <x:v>1. 来源（当前证据）：liveshow-proto/MainBasis/统一需求文档.md；位置：admin-gift-send-count-rule-detail.html
2. 规则：BR-F1D31892897D99
3. 未动态验证</x:v>
      </x:c>
    </x:row>
    <x:row r="89" ht="85" customHeight="1">
      <x:c r="A89" s="10" t="n">
        <x:v>88</x:v>
      </x:c>
      <x:c r="B89" s="10" t="str">
        <x:v>ADMIN-0088</x:v>
      </x:c>
      <x:c r="C89" s="10" t="str">
        <x:v>礼物与道具</x:v>
      </x:c>
      <x:c r="D89" s="10" t="str">
        <x:v>购买份数配置详情（平台管理员）</x:v>
      </x:c>
      <x:c r="E89" s="10" t="str">
        <x:v>功能需求</x:v>
      </x:c>
      <x:c r="F89" s="10" t="str">
        <x:v>P1</x:v>
      </x:c>
      <x:c r="G89" s="9" t="str">
        <x:v>验证删除数量同步更新默认选项</x:v>
      </x:c>
      <x:c r="H89" s="9" t="str">
        <x:v>数量配置联动</x:v>
      </x:c>
      <x:c r="I89" s="9" t="str">
        <x:v>1. 后台账号已登录且拥有本页及本次操作的授权
2. 数量列表为1、10、100，默认值为1</x:v>
      </x:c>
      <x:c r="J89" s="9" t="str">
        <x:v>1. 进入赠送数量规则详情
2. 删除数量100</x:v>
      </x:c>
      <x:c r="K89" s="9" t="str">
        <x:v>默认数量选项不再包含100</x:v>
      </x:c>
      <x:c r="L89" s="10" t="str"/>
      <x:c r="M89" s="10" t="str">
        <x:v>未测</x:v>
      </x:c>
      <x:c r="N89" s="10" t="str"/>
      <x:c r="O89" s="9" t="str">
        <x:v>1. 来源（当前证据）：liveshow-proto/MainBasis/统一需求文档.md；位置：admin-gift-send-count-rule-detail.html
2. 规则：BR-F22FE6960B69C2
3. 未动态验证</x:v>
      </x:c>
    </x:row>
    <x:row r="90" ht="85" customHeight="1">
      <x:c r="A90" s="10" t="n">
        <x:v>89</x:v>
      </x:c>
      <x:c r="B90" s="10" t="str">
        <x:v>ADMIN-0089</x:v>
      </x:c>
      <x:c r="C90" s="10" t="str">
        <x:v>礼物与道具</x:v>
      </x:c>
      <x:c r="D90" s="10" t="str">
        <x:v>购买份数配置详情（平台管理员）</x:v>
      </x:c>
      <x:c r="E90" s="10" t="str">
        <x:v>功能需求</x:v>
      </x:c>
      <x:c r="F90" s="10" t="str">
        <x:v>P1</x:v>
      </x:c>
      <x:c r="G90" s="9" t="str">
        <x:v>验证未选择礼物不能保存</x:v>
      </x:c>
      <x:c r="H90" s="9" t="str">
        <x:v>适用礼物必选</x:v>
      </x:c>
      <x:c r="I90" s="9" t="str">
        <x:v>1. 后台账号已登录且拥有本页及本次操作的授权
2. 数量与默认值合法，未选择礼物</x:v>
      </x:c>
      <x:c r="J90" s="9" t="str">
        <x:v>1. 进入赠送数量规则详情
2. 点击保存</x:v>
      </x:c>
      <x:c r="K90" s="9" t="str">
        <x:v>不能保存无适用礼物的规则</x:v>
      </x:c>
      <x:c r="L90" s="10" t="str"/>
      <x:c r="M90" s="10" t="str">
        <x:v>未测</x:v>
      </x:c>
      <x:c r="N90" s="10" t="str"/>
      <x:c r="O90" s="9" t="str">
        <x:v>1. 来源（当前证据）：liveshow-proto/MainBasis/统一需求文档.md；位置：admin-gift-send-count-rule-detail.html
2. 规则：BR-B0B371B06147FC
3. 未动态验证</x:v>
      </x:c>
    </x:row>
    <x:row r="91" ht="85" customHeight="1">
      <x:c r="A91" s="10" t="n">
        <x:v>90</x:v>
      </x:c>
      <x:c r="B91" s="10" t="str">
        <x:v>ADMIN-0090</x:v>
      </x:c>
      <x:c r="C91" s="10" t="str">
        <x:v>礼物与道具</x:v>
      </x:c>
      <x:c r="D91" s="10" t="str">
        <x:v>购买份数配置详情（平台管理员）</x:v>
      </x:c>
      <x:c r="E91" s="10" t="str">
        <x:v>功能需求</x:v>
      </x:c>
      <x:c r="F91" s="10" t="str">
        <x:v>P1</x:v>
      </x:c>
      <x:c r="G91" s="9" t="str">
        <x:v>验证同一礼物不能关联两条启用规则</x:v>
      </x:c>
      <x:c r="H91" s="9" t="str">
        <x:v>礼物数量规则互斥</x:v>
      </x:c>
      <x:c r="I91" s="9" t="str">
        <x:v>1. 后台账号已登录且拥有本页及本次操作的授权
2. 礼物海星已关联启用规则</x:v>
      </x:c>
      <x:c r="J91" s="9" t="str">
        <x:v>1. 进入赠送数量规则详情
2. 选择海星并启用保存新规则</x:v>
      </x:c>
      <x:c r="K91" s="9" t="str">
        <x:v>新规则因关联冲突不能启用</x:v>
      </x:c>
      <x:c r="L91" s="10" t="str"/>
      <x:c r="M91" s="10" t="str">
        <x:v>未测</x:v>
      </x:c>
      <x:c r="N91" s="10" t="str"/>
      <x:c r="O91" s="9" t="str">
        <x:v>1. 来源（当前证据）：liveshow-proto/MainBasis/统一需求文档.md；位置：admin-gift-send-count-rule-detail.html
2. 规则：BR-A8F8091503F258
3. 未动态验证</x:v>
      </x:c>
    </x:row>
    <x:row r="92" ht="85" customHeight="1">
      <x:c r="A92" s="10" t="n">
        <x:v>91</x:v>
      </x:c>
      <x:c r="B92" s="10" t="str">
        <x:v>ADMIN-0091</x:v>
      </x:c>
      <x:c r="C92" s="10" t="str">
        <x:v>内容审核</x:v>
      </x:c>
      <x:c r="D92" s="10" t="str">
        <x:v>违规类型编辑（平台管理员）</x:v>
      </x:c>
      <x:c r="E92" s="10" t="str">
        <x:v>逻辑校验</x:v>
      </x:c>
      <x:c r="F92" s="10" t="str">
        <x:v>P1</x:v>
      </x:c>
      <x:c r="G92" s="9" t="str">
        <x:v>验证中文名称未填写时不能提交</x:v>
      </x:c>
      <x:c r="H92" s="9" t="str">
        <x:v>中文名称必填</x:v>
      </x:c>
      <x:c r="I92" s="9" t="str">
        <x:v>1. 后台账号已登录且拥有本页及本次操作的授权
2. 除中文名称外必填项均为合法值</x:v>
      </x:c>
      <x:c r="J92" s="9" t="str">
        <x:v>1. 进入违规类型编辑的新建表单
2. 清空中文名称
3. 点击保存</x:v>
      </x:c>
      <x:c r="K92" s="9" t="str">
        <x:v>不提交缺少中文名称的记录</x:v>
      </x:c>
      <x:c r="L92" s="10" t="str"/>
      <x:c r="M92" s="10" t="str">
        <x:v>未测</x:v>
      </x:c>
      <x:c r="N92" s="10" t="str"/>
      <x:c r="O92" s="9" t="str">
        <x:v>1. 来源（当前证据）：liveshow-proto/MainBasis/统一需求文档.md；位置：admin-violation-type-detail.html
2. 规则：BR-4ABFAD837B7DCC
3. 未动态验证</x:v>
      </x:c>
    </x:row>
    <x:row r="93" ht="85" customHeight="1">
      <x:c r="A93" s="10" t="n">
        <x:v>92</x:v>
      </x:c>
      <x:c r="B93" s="10" t="str">
        <x:v>ADMIN-0092</x:v>
      </x:c>
      <x:c r="C93" s="10" t="str">
        <x:v>内容审核</x:v>
      </x:c>
      <x:c r="D93" s="10" t="str">
        <x:v>违规类型编辑（平台管理员）</x:v>
      </x:c>
      <x:c r="E93" s="10" t="str">
        <x:v>逻辑校验</x:v>
      </x:c>
      <x:c r="F93" s="10" t="str">
        <x:v>P1</x:v>
      </x:c>
      <x:c r="G93" s="9" t="str">
        <x:v>验证英文名称未填写时不能提交</x:v>
      </x:c>
      <x:c r="H93" s="9" t="str">
        <x:v>英文名称必填</x:v>
      </x:c>
      <x:c r="I93" s="9" t="str">
        <x:v>1. 后台账号已登录且拥有本页及本次操作的授权
2. 除英文名称外必填项均为合法值</x:v>
      </x:c>
      <x:c r="J93" s="9" t="str">
        <x:v>1. 进入违规类型编辑的新建表单
2. 清空英文名称
3. 点击保存</x:v>
      </x:c>
      <x:c r="K93" s="9" t="str">
        <x:v>不提交缺少英文名称的记录</x:v>
      </x:c>
      <x:c r="L93" s="10" t="str"/>
      <x:c r="M93" s="10" t="str">
        <x:v>未测</x:v>
      </x:c>
      <x:c r="N93" s="10" t="str"/>
      <x:c r="O93" s="9" t="str">
        <x:v>1. 来源（当前证据）：liveshow-proto/MainBasis/统一需求文档.md；位置：admin-violation-type-detail.html
2. 规则：BR-D0868C69B59A22
3. 未动态验证</x:v>
      </x:c>
    </x:row>
    <x:row r="94" ht="85" customHeight="1">
      <x:c r="A94" s="10" t="n">
        <x:v>93</x:v>
      </x:c>
      <x:c r="B94" s="10" t="str">
        <x:v>ADMIN-0093</x:v>
      </x:c>
      <x:c r="C94" s="10" t="str">
        <x:v>内容审核</x:v>
      </x:c>
      <x:c r="D94" s="10" t="str">
        <x:v>违规类型编辑（平台管理员）</x:v>
      </x:c>
      <x:c r="E94" s="10" t="str">
        <x:v>逻辑校验</x:v>
      </x:c>
      <x:c r="F94" s="10" t="str">
        <x:v>P1</x:v>
      </x:c>
      <x:c r="G94" s="9" t="str">
        <x:v>验证印尼语名称未填写时不能提交</x:v>
      </x:c>
      <x:c r="H94" s="9" t="str">
        <x:v>印尼语名称必填</x:v>
      </x:c>
      <x:c r="I94" s="9" t="str">
        <x:v>1. 后台账号已登录且拥有本页及本次操作的授权
2. 除印尼语名称外必填项均为合法值</x:v>
      </x:c>
      <x:c r="J94" s="9" t="str">
        <x:v>1. 进入违规类型编辑的新建表单
2. 清空印尼语名称
3. 点击保存</x:v>
      </x:c>
      <x:c r="K94" s="9" t="str">
        <x:v>不提交缺少印尼语名称的记录</x:v>
      </x:c>
      <x:c r="L94" s="10" t="str"/>
      <x:c r="M94" s="10" t="str">
        <x:v>未测</x:v>
      </x:c>
      <x:c r="N94" s="10" t="str"/>
      <x:c r="O94" s="9" t="str">
        <x:v>1. 来源（当前证据）：liveshow-proto/MainBasis/统一需求文档.md；位置：admin-violation-type-detail.html
2. 规则：BR-7533E0ECAC1266
3. 未动态验证</x:v>
      </x:c>
    </x:row>
    <x:row r="95" ht="85" customHeight="1">
      <x:c r="A95" s="10" t="n">
        <x:v>94</x:v>
      </x:c>
      <x:c r="B95" s="10" t="str">
        <x:v>ADMIN-0094</x:v>
      </x:c>
      <x:c r="C95" s="10" t="str">
        <x:v>内容审核</x:v>
      </x:c>
      <x:c r="D95" s="10" t="str">
        <x:v>违规类型编辑（平台管理员）</x:v>
      </x:c>
      <x:c r="E95" s="10" t="str">
        <x:v>逻辑校验</x:v>
      </x:c>
      <x:c r="F95" s="10" t="str">
        <x:v>P1</x:v>
      </x:c>
      <x:c r="G95" s="9" t="str">
        <x:v>验证马来语名称未填写时不能提交</x:v>
      </x:c>
      <x:c r="H95" s="9" t="str">
        <x:v>马来语名称必填</x:v>
      </x:c>
      <x:c r="I95" s="9" t="str">
        <x:v>1. 后台账号已登录且拥有本页及本次操作的授权
2. 除马来语名称外必填项均为合法值</x:v>
      </x:c>
      <x:c r="J95" s="9" t="str">
        <x:v>1. 进入违规类型编辑的新建表单
2. 清空马来语名称
3. 点击保存</x:v>
      </x:c>
      <x:c r="K95" s="9" t="str">
        <x:v>不提交缺少马来语名称的记录</x:v>
      </x:c>
      <x:c r="L95" s="10" t="str"/>
      <x:c r="M95" s="10" t="str">
        <x:v>未测</x:v>
      </x:c>
      <x:c r="N95" s="10" t="str"/>
      <x:c r="O95" s="9" t="str">
        <x:v>1. 来源（当前证据）：liveshow-proto/MainBasis/统一需求文档.md；位置：admin-violation-type-detail.html
2. 规则：BR-704954460C9AB2
3. 未动态验证</x:v>
      </x:c>
    </x:row>
    <x:row r="96" ht="85" customHeight="1">
      <x:c r="A96" s="10" t="n">
        <x:v>95</x:v>
      </x:c>
      <x:c r="B96" s="10" t="str">
        <x:v>ADMIN-0095</x:v>
      </x:c>
      <x:c r="C96" s="10" t="str">
        <x:v>内容审核</x:v>
      </x:c>
      <x:c r="D96" s="10" t="str">
        <x:v>违规类型编辑（平台管理员）</x:v>
      </x:c>
      <x:c r="E96" s="10" t="str">
        <x:v>逻辑校验</x:v>
      </x:c>
      <x:c r="F96" s="10" t="str">
        <x:v>P1</x:v>
      </x:c>
      <x:c r="G96" s="9" t="str">
        <x:v>验证排序输入0</x:v>
      </x:c>
      <x:c r="H96" s="9" t="str">
        <x:v>排序整数校验</x:v>
      </x:c>
      <x:c r="I96" s="9" t="str">
        <x:v>1. 后台账号已登录且拥有本页及本次操作的授权
2. 其余必填项合法，数值1未与现有唯一值冲突</x:v>
      </x:c>
      <x:c r="J96" s="9" t="str">
        <x:v>1. 进入违规类型编辑的新建表单
2. 输入排序为0
3. 点击保存</x:v>
      </x:c>
      <x:c r="K96" s="9" t="str">
        <x:v>不保存排序为0的记录</x:v>
      </x:c>
      <x:c r="L96" s="10" t="str"/>
      <x:c r="M96" s="10" t="str">
        <x:v>未测</x:v>
      </x:c>
      <x:c r="N96" s="10" t="str"/>
      <x:c r="O96" s="9" t="str">
        <x:v>1. 来源（当前证据）：liveshow-proto/MainBasis/统一需求文档.md；位置：admin-violation-type-detail.html
2. 规则：BR-660309E924162F
3. 未动态验证</x:v>
      </x:c>
    </x:row>
    <x:row r="97" ht="85" customHeight="1">
      <x:c r="A97" s="10" t="n">
        <x:v>96</x:v>
      </x:c>
      <x:c r="B97" s="10" t="str">
        <x:v>ADMIN-0096</x:v>
      </x:c>
      <x:c r="C97" s="10" t="str">
        <x:v>内容审核</x:v>
      </x:c>
      <x:c r="D97" s="10" t="str">
        <x:v>违规类型编辑（平台管理员）</x:v>
      </x:c>
      <x:c r="E97" s="10" t="str">
        <x:v>逻辑校验</x:v>
      </x:c>
      <x:c r="F97" s="10" t="str">
        <x:v>P1</x:v>
      </x:c>
      <x:c r="G97" s="9" t="str">
        <x:v>验证排序输入-1</x:v>
      </x:c>
      <x:c r="H97" s="9" t="str">
        <x:v>排序整数校验</x:v>
      </x:c>
      <x:c r="I97" s="9" t="str">
        <x:v>1. 后台账号已登录且拥有本页及本次操作的授权
2. 其余必填项合法，数值1未与现有唯一值冲突</x:v>
      </x:c>
      <x:c r="J97" s="9" t="str">
        <x:v>1. 进入违规类型编辑的新建表单
2. 输入排序为-1
3. 点击保存</x:v>
      </x:c>
      <x:c r="K97" s="9" t="str">
        <x:v>不保存排序为-1的记录</x:v>
      </x:c>
      <x:c r="L97" s="10" t="str"/>
      <x:c r="M97" s="10" t="str">
        <x:v>未测</x:v>
      </x:c>
      <x:c r="N97" s="10" t="str"/>
      <x:c r="O97" s="9" t="str">
        <x:v>1. 来源（当前证据）：liveshow-proto/MainBasis/统一需求文档.md；位置：admin-violation-type-detail.html
2. 规则：BR-0665A4955EE644
3. 未动态验证</x:v>
      </x:c>
    </x:row>
    <x:row r="98" ht="85" customHeight="1">
      <x:c r="A98" s="10" t="n">
        <x:v>97</x:v>
      </x:c>
      <x:c r="B98" s="10" t="str">
        <x:v>ADMIN-0097</x:v>
      </x:c>
      <x:c r="C98" s="10" t="str">
        <x:v>内容审核</x:v>
      </x:c>
      <x:c r="D98" s="10" t="str">
        <x:v>违规类型编辑（平台管理员）</x:v>
      </x:c>
      <x:c r="E98" s="10" t="str">
        <x:v>逻辑校验</x:v>
      </x:c>
      <x:c r="F98" s="10" t="str">
        <x:v>P1</x:v>
      </x:c>
      <x:c r="G98" s="9" t="str">
        <x:v>验证排序输入1.5</x:v>
      </x:c>
      <x:c r="H98" s="9" t="str">
        <x:v>排序整数校验</x:v>
      </x:c>
      <x:c r="I98" s="9" t="str">
        <x:v>1. 后台账号已登录且拥有本页及本次操作的授权
2. 其余必填项合法，数值1未与现有唯一值冲突</x:v>
      </x:c>
      <x:c r="J98" s="9" t="str">
        <x:v>1. 进入违规类型编辑的新建表单
2. 输入排序为1.5
3. 点击保存</x:v>
      </x:c>
      <x:c r="K98" s="9" t="str">
        <x:v>不保存排序为1.5的记录</x:v>
      </x:c>
      <x:c r="L98" s="10" t="str"/>
      <x:c r="M98" s="10" t="str">
        <x:v>未测</x:v>
      </x:c>
      <x:c r="N98" s="10" t="str"/>
      <x:c r="O98" s="9" t="str">
        <x:v>1. 来源（当前证据）：liveshow-proto/MainBasis/统一需求文档.md；位置：admin-violation-type-detail.html
2. 规则：BR-6823F2FFF65627
3. 未动态验证</x:v>
      </x:c>
    </x:row>
    <x:row r="99" ht="85" customHeight="1">
      <x:c r="A99" s="10" t="n">
        <x:v>98</x:v>
      </x:c>
      <x:c r="B99" s="10" t="str">
        <x:v>ADMIN-0098</x:v>
      </x:c>
      <x:c r="C99" s="10" t="str">
        <x:v>内容审核</x:v>
      </x:c>
      <x:c r="D99" s="10" t="str">
        <x:v>违规类型编辑（平台管理员）</x:v>
      </x:c>
      <x:c r="E99" s="10" t="str">
        <x:v>逻辑校验</x:v>
      </x:c>
      <x:c r="F99" s="10" t="str">
        <x:v>P1</x:v>
      </x:c>
      <x:c r="G99" s="9" t="str">
        <x:v>验证排序输入1</x:v>
      </x:c>
      <x:c r="H99" s="9" t="str">
        <x:v>排序合法整数</x:v>
      </x:c>
      <x:c r="I99" s="9" t="str">
        <x:v>1. 后台账号已登录且拥有本页及本次操作的授权
2. 其余必填项合法，数值1未与现有唯一值冲突</x:v>
      </x:c>
      <x:c r="J99" s="9" t="str">
        <x:v>1. 进入违规类型编辑的新建表单
2. 输入排序为1
3. 点击保存</x:v>
      </x:c>
      <x:c r="K99" s="9" t="str">
        <x:v>记录保存的排序为1</x:v>
      </x:c>
      <x:c r="L99" s="10" t="str"/>
      <x:c r="M99" s="10" t="str">
        <x:v>未测</x:v>
      </x:c>
      <x:c r="N99" s="10" t="str"/>
      <x:c r="O99" s="9" t="str">
        <x:v>1. 来源（当前证据）：liveshow-proto/MainBasis/统一需求文档.md；位置：admin-violation-type-detail.html
2. 规则：BR-55C8BA39717A3E
3. 未动态验证</x:v>
      </x:c>
    </x:row>
    <x:row r="100" ht="85" customHeight="1">
      <x:c r="A100" s="10" t="n">
        <x:v>99</x:v>
      </x:c>
      <x:c r="B100" s="10" t="str">
        <x:v>ADMIN-0099</x:v>
      </x:c>
      <x:c r="C100" s="10" t="str">
        <x:v>内容审核</x:v>
      </x:c>
      <x:c r="D100" s="10" t="str">
        <x:v>举报详情（平台管理员）</x:v>
      </x:c>
      <x:c r="E100" s="10" t="str">
        <x:v>功能需求</x:v>
      </x:c>
      <x:c r="F100" s="10" t="str">
        <x:v>P1</x:v>
      </x:c>
      <x:c r="G100" s="9" t="str">
        <x:v>验证警告不结束直播</x:v>
      </x:c>
      <x:c r="H100" s="9" t="str">
        <x:v>举报警告</x:v>
      </x:c>
      <x:c r="I100" s="9" t="str">
        <x:v>1. 后台账号已登录且拥有本页及本次操作的授权
2. 被举报场次仍在直播</x:v>
      </x:c>
      <x:c r="J100" s="9" t="str">
        <x:v>1. 进入举报处理
2. 打开目标直播举报
3. 选择警告
4. 填写原因并确认</x:v>
      </x:c>
      <x:c r="K100" s="9" t="str">
        <x:v>当前直播场次继续直播</x:v>
      </x:c>
      <x:c r="L100" s="10" t="str">
        <x:v>FLOW-C83DBB68</x:v>
      </x:c>
      <x:c r="M100" s="10" t="str">
        <x:v>未测</x:v>
      </x:c>
      <x:c r="N100" s="10" t="str"/>
      <x:c r="O100" s="9" t="str">
        <x:v>1. 来源（当前证据）：liveshow-proto/MainBasis/统一需求文档.md；位置：admin-report-detail.html
2. 规则：BR-BA18BFC2305146
3. 未动态验证</x:v>
      </x:c>
    </x:row>
    <x:row r="101" ht="85" customHeight="1">
      <x:c r="A101" s="10" t="n">
        <x:v>100</x:v>
      </x:c>
      <x:c r="B101" s="10" t="str">
        <x:v>ADMIN-0100</x:v>
      </x:c>
      <x:c r="C101" s="10" t="str">
        <x:v>内容审核</x:v>
      </x:c>
      <x:c r="D101" s="10" t="str">
        <x:v>举报详情（平台管理员）</x:v>
      </x:c>
      <x:c r="E101" s="10" t="str">
        <x:v>功能需求</x:v>
      </x:c>
      <x:c r="F101" s="10" t="str">
        <x:v>P1</x:v>
      </x:c>
      <x:c r="G101" s="9" t="str">
        <x:v>验证关播只结束当前被举报场次</x:v>
      </x:c>
      <x:c r="H101" s="9" t="str">
        <x:v>举报关播</x:v>
      </x:c>
      <x:c r="I101" s="9" t="str">
        <x:v>1. 后台账号已登录且拥有本页及本次操作的授权
2. 被举报场次仍在直播</x:v>
      </x:c>
      <x:c r="J101" s="9" t="str">
        <x:v>1. 进入举报处理
2. 打开目标直播举报
3. 选择关播
4. 填写原因并确认</x:v>
      </x:c>
      <x:c r="K101" s="9" t="str">
        <x:v>被举报场次显示已结束</x:v>
      </x:c>
      <x:c r="L101" s="10" t="str">
        <x:v>FLOW-C83DBB68</x:v>
      </x:c>
      <x:c r="M101" s="10" t="str">
        <x:v>未测</x:v>
      </x:c>
      <x:c r="N101" s="10" t="str"/>
      <x:c r="O101" s="9" t="str">
        <x:v>1. 来源（当前证据）：liveshow-proto/MainBasis/统一需求文档.md；位置：admin-report-detail.html
2. 规则：BR-F95309D49D87FB
3. 未动态验证</x:v>
      </x:c>
    </x:row>
    <x:row r="102" ht="85" customHeight="1">
      <x:c r="A102" s="10" t="n">
        <x:v>101</x:v>
      </x:c>
      <x:c r="B102" s="10" t="str">
        <x:v>ADMIN-0101</x:v>
      </x:c>
      <x:c r="C102" s="10" t="str">
        <x:v>内容审核</x:v>
      </x:c>
      <x:c r="D102" s="10" t="str">
        <x:v>举报详情（平台管理员）</x:v>
      </x:c>
      <x:c r="E102" s="10" t="str">
        <x:v>功能需求</x:v>
      </x:c>
      <x:c r="F102" s="10" t="str">
        <x:v>P1</x:v>
      </x:c>
      <x:c r="G102" s="9" t="str">
        <x:v>验证关闭直播权限阻止下一次开播</x:v>
      </x:c>
      <x:c r="H102" s="9" t="str">
        <x:v>举报关闭权限</x:v>
      </x:c>
      <x:c r="I102" s="9" t="str">
        <x:v>1. 后台账号已登录且拥有本页及本次操作的授权
2. 被举报主播仍在直播</x:v>
      </x:c>
      <x:c r="J102" s="9" t="str">
        <x:v>1. 进入举报处理
2. 打开目标直播举报
3. 选择关闭直播权限
4. 填写原因并确认</x:v>
      </x:c>
      <x:c r="K102" s="9" t="str">
        <x:v>该主播直播权限显示关闭</x:v>
      </x:c>
      <x:c r="L102" s="10" t="str">
        <x:v>FLOW-29684C4A</x:v>
      </x:c>
      <x:c r="M102" s="10" t="str">
        <x:v>未测</x:v>
      </x:c>
      <x:c r="N102" s="10" t="str"/>
      <x:c r="O102" s="9" t="str">
        <x:v>1. 来源（当前证据）：liveshow-proto/MainBasis/统一需求文档.md；位置：admin-report-detail.html
2. 规则：BR-9C7030806D5834
3. 未动态验证</x:v>
      </x:c>
    </x:row>
    <x:row r="103" ht="85" customHeight="1">
      <x:c r="A103" s="10" t="n">
        <x:v>102</x:v>
      </x:c>
      <x:c r="B103" s="10" t="str">
        <x:v>ADMIN-0102</x:v>
      </x:c>
      <x:c r="C103" s="10" t="str">
        <x:v>内容审核</x:v>
      </x:c>
      <x:c r="D103" s="10" t="str">
        <x:v>举报详情（平台管理员）</x:v>
      </x:c>
      <x:c r="E103" s="10" t="str">
        <x:v>功能需求</x:v>
      </x:c>
      <x:c r="F103" s="10" t="str">
        <x:v>P1</x:v>
      </x:c>
      <x:c r="G103" s="9" t="str">
        <x:v>验证已结束场次举报不可继续处罚</x:v>
      </x:c>
      <x:c r="H103" s="9" t="str">
        <x:v>举报作废</x:v>
      </x:c>
      <x:c r="I103" s="9" t="str">
        <x:v>1. 后台账号已登录且拥有本页及本次操作的授权
2. 被举报场次已结束且工单原待处理</x:v>
      </x:c>
      <x:c r="J103" s="9" t="str">
        <x:v>1. 进入举报处理
2. 打开目标直播举报
3. 查看处理操作</x:v>
      </x:c>
      <x:c r="K103" s="9" t="str">
        <x:v>不提供继续处罚该场次的操作</x:v>
      </x:c>
      <x:c r="L103" s="10" t="str">
        <x:v>FLOW-C83DBB68</x:v>
      </x:c>
      <x:c r="M103" s="10" t="str">
        <x:v>未测</x:v>
      </x:c>
      <x:c r="N103" s="10" t="str"/>
      <x:c r="O103" s="9" t="str">
        <x:v>1. 来源（当前证据）：liveshow-proto/MainBasis/统一需求文档.md；位置：admin-report-detail.html
2. 规则：BR-11C8F211E9B1D5
3. 未动态验证</x:v>
      </x:c>
    </x:row>
    <x:row r="104" ht="85" customHeight="1">
      <x:c r="A104" s="10" t="n">
        <x:v>103</x:v>
      </x:c>
      <x:c r="B104" s="10" t="str">
        <x:v>ADMIN-0103</x:v>
      </x:c>
      <x:c r="C104" s="10" t="str">
        <x:v>内容审核</x:v>
      </x:c>
      <x:c r="D104" s="10" t="str">
        <x:v>举报详情（平台管理员）</x:v>
      </x:c>
      <x:c r="E104" s="10" t="str">
        <x:v>功能需求</x:v>
      </x:c>
      <x:c r="F104" s="10" t="str">
        <x:v>P1</x:v>
      </x:c>
      <x:c r="G104" s="9" t="str">
        <x:v>验证已处理工单不能再次提交</x:v>
      </x:c>
      <x:c r="H104" s="9" t="str">
        <x:v>举报终态保护</x:v>
      </x:c>
      <x:c r="I104" s="9" t="str">
        <x:v>1. 后台账号已登录且拥有本页及本次操作的授权
2. 该工单已处理</x:v>
      </x:c>
      <x:c r="J104" s="9" t="str">
        <x:v>1. 进入举报处理
2. 打开目标直播举报
3. 查看详情操作</x:v>
      </x:c>
      <x:c r="K104" s="9" t="str">
        <x:v>不提供再次提交处理结果</x:v>
      </x:c>
      <x:c r="L104" s="10" t="str">
        <x:v>FLOW-C83DBB68</x:v>
      </x:c>
      <x:c r="M104" s="10" t="str">
        <x:v>未测</x:v>
      </x:c>
      <x:c r="N104" s="10" t="str"/>
      <x:c r="O104" s="9" t="str">
        <x:v>1. 来源（当前证据）：liveshow-proto/MainBasis/统一需求文档.md；位置：admin-report-detail.html
2. 规则：BR-CC90CF6AA73F24
3. 未动态验证</x:v>
      </x:c>
    </x:row>
    <x:row r="105" ht="85" customHeight="1">
      <x:c r="A105" s="10" t="n">
        <x:v>104</x:v>
      </x:c>
      <x:c r="B105" s="10" t="str">
        <x:v>ADMIN-0104</x:v>
      </x:c>
      <x:c r="C105" s="10" t="str">
        <x:v>内容审核</x:v>
      </x:c>
      <x:c r="D105" s="10" t="str">
        <x:v>违规类型（平台管理员）</x:v>
      </x:c>
      <x:c r="E105" s="10" t="str">
        <x:v>功能需求</x:v>
      </x:c>
      <x:c r="F105" s="10" t="str">
        <x:v>P1</x:v>
      </x:c>
      <x:c r="G105" s="9" t="str">
        <x:v>验证预置类型不可删除</x:v>
      </x:c>
      <x:c r="H105" s="9" t="str">
        <x:v>预置类型保护</x:v>
      </x:c>
      <x:c r="I105" s="9" t="str">
        <x:v>1. 后台账号已登录且拥有本页及本次操作的授权
2. 目标类型为系统预置</x:v>
      </x:c>
      <x:c r="J105" s="9" t="str">
        <x:v>1. 进入违规类型列表
2. 查看该类型操作</x:v>
      </x:c>
      <x:c r="K105" s="9" t="str">
        <x:v>不提供删除入口</x:v>
      </x:c>
      <x:c r="L105" s="10" t="str"/>
      <x:c r="M105" s="10" t="str">
        <x:v>未测</x:v>
      </x:c>
      <x:c r="N105" s="10" t="str"/>
      <x:c r="O105" s="9" t="str">
        <x:v>1. 来源（当前证据）：liveshow-proto/MainBasis/统一需求文档.md；位置：admin-violation-types.html
2. 规则：BR-84602D13A56AB9
3. 未动态验证</x:v>
      </x:c>
    </x:row>
    <x:row r="106" ht="85" customHeight="1">
      <x:c r="A106" s="10" t="n">
        <x:v>105</x:v>
      </x:c>
      <x:c r="B106" s="10" t="str">
        <x:v>ADMIN-0105</x:v>
      </x:c>
      <x:c r="C106" s="10" t="str">
        <x:v>内容审核</x:v>
      </x:c>
      <x:c r="D106" s="10" t="str">
        <x:v>违规类型（平台管理员）</x:v>
      </x:c>
      <x:c r="E106" s="10" t="str">
        <x:v>功能需求</x:v>
      </x:c>
      <x:c r="F106" s="10" t="str">
        <x:v>P1</x:v>
      </x:c>
      <x:c r="G106" s="9" t="str">
        <x:v>验证预置类型保持启用</x:v>
      </x:c>
      <x:c r="H106" s="9" t="str">
        <x:v>预置类型状态</x:v>
      </x:c>
      <x:c r="I106" s="9" t="str">
        <x:v>1. 后台账号已登录且拥有本页及本次操作的授权
2. 目标类型为系统预置</x:v>
      </x:c>
      <x:c r="J106" s="9" t="str">
        <x:v>1. 进入违规类型列表
2. 查看状态开关</x:v>
      </x:c>
      <x:c r="K106" s="9" t="str">
        <x:v>预置类型不能停用</x:v>
      </x:c>
      <x:c r="L106" s="10" t="str"/>
      <x:c r="M106" s="10" t="str">
        <x:v>未测</x:v>
      </x:c>
      <x:c r="N106" s="10" t="str"/>
      <x:c r="O106" s="9" t="str">
        <x:v>1. 来源（当前证据）：liveshow-proto/MainBasis/统一需求文档.md；位置：admin-violation-types.html
2. 规则：BR-1A9DFC51C39F33
3. 未动态验证</x:v>
      </x:c>
    </x:row>
    <x:row r="107" ht="85" customHeight="1">
      <x:c r="A107" s="10" t="n">
        <x:v>106</x:v>
      </x:c>
      <x:c r="B107" s="10" t="str">
        <x:v>ADMIN-0106</x:v>
      </x:c>
      <x:c r="C107" s="10" t="str">
        <x:v>内容审核</x:v>
      </x:c>
      <x:c r="D107" s="10" t="str">
        <x:v>违规类型（平台管理员）</x:v>
      </x:c>
      <x:c r="E107" s="10" t="str">
        <x:v>功能需求</x:v>
      </x:c>
      <x:c r="F107" s="10" t="str">
        <x:v>P1</x:v>
      </x:c>
      <x:c r="G107" s="9" t="str">
        <x:v>验证删除自定义类型保留举报快照</x:v>
      </x:c>
      <x:c r="H107" s="9" t="str">
        <x:v>举报类型历史保留</x:v>
      </x:c>
      <x:c r="I107" s="9" t="str">
        <x:v>1. 后台账号已登录且拥有本页及本次操作的授权
2. 自定义类型已有历史举报</x:v>
      </x:c>
      <x:c r="J107" s="9" t="str">
        <x:v>1. 进入违规类型列表
2. 删除该类型并确认</x:v>
      </x:c>
      <x:c r="K107" s="9" t="str">
        <x:v>历史举报仍保留提交时类型名称</x:v>
      </x:c>
      <x:c r="L107" s="10" t="str">
        <x:v>FLOW-C83DBB68</x:v>
      </x:c>
      <x:c r="M107" s="10" t="str">
        <x:v>未测</x:v>
      </x:c>
      <x:c r="N107" s="10" t="str"/>
      <x:c r="O107" s="9" t="str">
        <x:v>1. 来源（当前证据）：liveshow-proto/MainBasis/统一需求文档.md；位置：admin-violation-types.html
2. 规则：BR-4464C07EDBE40A
3. 未动态验证</x:v>
      </x:c>
    </x:row>
    <x:row r="108" ht="85" customHeight="1">
      <x:c r="A108" s="10" t="n">
        <x:v>107</x:v>
      </x:c>
      <x:c r="B108" s="10" t="str">
        <x:v>ADMIN-0107</x:v>
      </x:c>
      <x:c r="C108" s="10" t="str">
        <x:v>内容审核</x:v>
      </x:c>
      <x:c r="D108" s="10" t="str">
        <x:v>内容审核详情（平台管理员）</x:v>
      </x:c>
      <x:c r="E108" s="10" t="str">
        <x:v>功能需求</x:v>
      </x:c>
      <x:c r="F108" s="10" t="str">
        <x:v>P1</x:v>
      </x:c>
      <x:c r="G108" s="9" t="str">
        <x:v>验证复审原因必填</x:v>
      </x:c>
      <x:c r="H108" s="9" t="str">
        <x:v>处置原因必填</x:v>
      </x:c>
      <x:c r="I108" s="9" t="str">
        <x:v>1. 后台账号已登录且拥有本页及本次操作的授权</x:v>
      </x:c>
      <x:c r="J108" s="9" t="str">
        <x:v>1. 进入内容审核
2. 打开复审中的目标审核单
3. 选择忽略
4. 清空处置原因
5. 提交</x:v>
      </x:c>
      <x:c r="K108" s="9" t="str">
        <x:v>不能提交缺少原因的处置</x:v>
      </x:c>
      <x:c r="L108" s="10" t="str"/>
      <x:c r="M108" s="10" t="str">
        <x:v>未测</x:v>
      </x:c>
      <x:c r="N108" s="10" t="str"/>
      <x:c r="O108" s="9" t="str">
        <x:v>1. 来源（当前证据）：liveshow-proto/MainBasis/统一需求文档.md；位置：admin-content-audit-detail.html
2. 规则：BR-C5A42A32D63041
3. 未动态验证</x:v>
      </x:c>
    </x:row>
    <x:row r="109" ht="85" customHeight="1">
      <x:c r="A109" s="10" t="n">
        <x:v>108</x:v>
      </x:c>
      <x:c r="B109" s="10" t="str">
        <x:v>ADMIN-0108</x:v>
      </x:c>
      <x:c r="C109" s="10" t="str">
        <x:v>内容审核</x:v>
      </x:c>
      <x:c r="D109" s="10" t="str">
        <x:v>内容审核详情（平台管理员）</x:v>
      </x:c>
      <x:c r="E109" s="10" t="str">
        <x:v>功能需求</x:v>
      </x:c>
      <x:c r="F109" s="10" t="str">
        <x:v>P1</x:v>
      </x:c>
      <x:c r="G109" s="9" t="str">
        <x:v>验证忽略不结束当前直播</x:v>
      </x:c>
      <x:c r="H109" s="9" t="str">
        <x:v>忽略处置范围</x:v>
      </x:c>
      <x:c r="I109" s="9" t="str">
        <x:v>1. 后台账号已登录且拥有本页及本次操作的授权
2. 被审查直播仍在进行</x:v>
      </x:c>
      <x:c r="J109" s="9" t="str">
        <x:v>1. 进入内容审核
2. 打开复审中的目标审核单
3. 选择忽略
4. 填写原因“未发现违规”
5. 提交</x:v>
      </x:c>
      <x:c r="K109" s="9" t="str">
        <x:v>该直播场次仍直播中</x:v>
      </x:c>
      <x:c r="L109" s="10" t="str"/>
      <x:c r="M109" s="10" t="str">
        <x:v>未测</x:v>
      </x:c>
      <x:c r="N109" s="10" t="str"/>
      <x:c r="O109" s="9" t="str">
        <x:v>1. 来源（当前证据）：liveshow-proto/MainBasis/统一需求文档.md；位置：admin-content-audit-detail.html
2. 规则：BR-A037814DB9A520
3. 未动态验证</x:v>
      </x:c>
    </x:row>
    <x:row r="110" ht="85" customHeight="1">
      <x:c r="A110" s="10" t="n">
        <x:v>109</x:v>
      </x:c>
      <x:c r="B110" s="10" t="str">
        <x:v>ADMIN-0109</x:v>
      </x:c>
      <x:c r="C110" s="10" t="str">
        <x:v>内容审核</x:v>
      </x:c>
      <x:c r="D110" s="10" t="str">
        <x:v>内容审核详情（平台管理员）</x:v>
      </x:c>
      <x:c r="E110" s="10" t="str">
        <x:v>功能需求</x:v>
      </x:c>
      <x:c r="F110" s="10" t="str">
        <x:v>P1</x:v>
      </x:c>
      <x:c r="G110" s="9" t="str">
        <x:v>验证已忽略审核单不可重复处理</x:v>
      </x:c>
      <x:c r="H110" s="9" t="str">
        <x:v>审核终态</x:v>
      </x:c>
      <x:c r="I110" s="9" t="str">
        <x:v>1. 后台账号已登录且拥有本页及本次操作的授权
2. 目标审核单已忽略</x:v>
      </x:c>
      <x:c r="J110" s="9" t="str">
        <x:v>1. 进入内容审核
2. 打开复审中的目标审核单
3. 查看处置入口</x:v>
      </x:c>
      <x:c r="K110" s="9" t="str">
        <x:v>不允许再次提交该审核单处置</x:v>
      </x:c>
      <x:c r="L110" s="10" t="str"/>
      <x:c r="M110" s="10" t="str">
        <x:v>未测</x:v>
      </x:c>
      <x:c r="N110" s="10" t="str"/>
      <x:c r="O110" s="9" t="str">
        <x:v>1. 来源（当前证据）：liveshow-proto/MainBasis/统一需求文档.md；位置：admin-content-audit-detail.html
2. 规则：BR-B54D21FC543183
3. 未动态验证</x:v>
      </x:c>
    </x:row>
    <x:row r="111" ht="85" customHeight="1">
      <x:c r="A111" s="10" t="n">
        <x:v>110</x:v>
      </x:c>
      <x:c r="B111" s="10" t="str">
        <x:v>ADMIN-0110</x:v>
      </x:c>
      <x:c r="C111" s="10" t="str">
        <x:v>数据报表</x:v>
      </x:c>
      <x:c r="D111" s="10" t="str">
        <x:v>每日统计（平台管理员）</x:v>
      </x:c>
      <x:c r="E111" s="10" t="str">
        <x:v>功能需求</x:v>
      </x:c>
      <x:c r="F111" s="10" t="str">
        <x:v>P1</x:v>
      </x:c>
      <x:c r="G111" s="9" t="str">
        <x:v>验证活跃人数按登录用户去重</x:v>
      </x:c>
      <x:c r="H111" s="9" t="str">
        <x:v>活跃用户范围</x:v>
      </x:c>
      <x:c r="I111" s="9" t="str">
        <x:v>1. 后台账号已登录且拥有本页及本次操作的授权
2. 甲当天启动App3次并切回前台2次，乙启动1次，另有游客启动2次</x:v>
      </x:c>
      <x:c r="J111" s="9" t="str">
        <x:v>1. 进入每日统计
2. 选择目标日期
3. 点击查询</x:v>
      </x:c>
      <x:c r="K111" s="9" t="str">
        <x:v>活跃用户数为2</x:v>
      </x:c>
      <x:c r="L111" s="10" t="str"/>
      <x:c r="M111" s="10" t="str">
        <x:v>未测</x:v>
      </x:c>
      <x:c r="N111" s="10" t="str"/>
      <x:c r="O111" s="9" t="str">
        <x:v>1. 来源（当前证据）：liveshow-proto/MainBasis/统一需求文档.md；位置：admin-daily-statistics.html
2. 规则：BR-30A4EEAB4734E3
3. 未动态验证</x:v>
      </x:c>
    </x:row>
    <x:row r="112" ht="85" customHeight="1">
      <x:c r="A112" s="10" t="n">
        <x:v>111</x:v>
      </x:c>
      <x:c r="B112" s="10" t="str">
        <x:v>ADMIN-0111</x:v>
      </x:c>
      <x:c r="C112" s="10" t="str">
        <x:v>数据报表</x:v>
      </x:c>
      <x:c r="D112" s="10" t="str">
        <x:v>每日统计（平台管理员）</x:v>
      </x:c>
      <x:c r="E112" s="10" t="str">
        <x:v>逻辑校验</x:v>
      </x:c>
      <x:c r="F112" s="10" t="str">
        <x:v>P1</x:v>
      </x:c>
      <x:c r="G112" s="9" t="str">
        <x:v>验证新用户ARPU按充值人数计算</x:v>
      </x:c>
      <x:c r="H112" s="9" t="str">
        <x:v>新用户ARPU</x:v>
      </x:c>
      <x:c r="I112" s="9" t="str">
        <x:v>1. 后台账号已登录且拥有本页及本次操作的授权
2. 当日新增10人，其中2人成功充值总额30 USD</x:v>
      </x:c>
      <x:c r="J112" s="9" t="str">
        <x:v>1. 进入每日统计
2. 选择目标日期
3. 点击查询</x:v>
      </x:c>
      <x:c r="K112" s="9" t="str">
        <x:v>新用户ARPU计算结果=30÷2=15</x:v>
      </x:c>
      <x:c r="L112" s="10" t="str">
        <x:v>FLOW-2BA2481A</x:v>
      </x:c>
      <x:c r="M112" s="10" t="str">
        <x:v>未测</x:v>
      </x:c>
      <x:c r="N112" s="10" t="str"/>
      <x:c r="O112" s="9" t="str">
        <x:v>1. 来源（当前证据）：liveshow-proto/MainBasis/统一需求文档.md；位置：admin-daily-statistics.html
2. 规则：BR-50C747A88FA171
3. 未动态验证</x:v>
      </x:c>
    </x:row>
    <x:row r="113" ht="85" customHeight="1">
      <x:c r="A113" s="10" t="n">
        <x:v>112</x:v>
      </x:c>
      <x:c r="B113" s="10" t="str">
        <x:v>ADMIN-0112</x:v>
      </x:c>
      <x:c r="C113" s="10" t="str">
        <x:v>数据报表</x:v>
      </x:c>
      <x:c r="D113" s="10" t="str">
        <x:v>每日统计（平台管理员）</x:v>
      </x:c>
      <x:c r="E113" s="10" t="str">
        <x:v>功能需求</x:v>
      </x:c>
      <x:c r="F113" s="10" t="str">
        <x:v>P1</x:v>
      </x:c>
      <x:c r="G113" s="9" t="str">
        <x:v>验证无新用户充值时ARPU记零</x:v>
      </x:c>
      <x:c r="H113" s="9" t="str">
        <x:v>ARPU零分母</x:v>
      </x:c>
      <x:c r="I113" s="9" t="str">
        <x:v>1. 后台账号已登录且拥有本页及本次操作的授权
2. 新用户充值人数为0</x:v>
      </x:c>
      <x:c r="J113" s="9" t="str">
        <x:v>1. 进入每日统计
2. 选择目标日期
3. 点击查询</x:v>
      </x:c>
      <x:c r="K113" s="9" t="str">
        <x:v>新用户ARPU为0</x:v>
      </x:c>
      <x:c r="L113" s="10" t="str">
        <x:v>FLOW-2BA2481A</x:v>
      </x:c>
      <x:c r="M113" s="10" t="str">
        <x:v>未测</x:v>
      </x:c>
      <x:c r="N113" s="10" t="str"/>
      <x:c r="O113" s="9" t="str">
        <x:v>1. 来源（当前证据）：liveshow-proto/MainBasis/统一需求文档.md；位置：admin-daily-statistics.html
2. 规则：BR-4D3FA010EBC9C1
3. 未动态验证</x:v>
      </x:c>
    </x:row>
    <x:row r="114" ht="85" customHeight="1">
      <x:c r="A114" s="10" t="n">
        <x:v>113</x:v>
      </x:c>
      <x:c r="B114" s="10" t="str">
        <x:v>ADMIN-0113</x:v>
      </x:c>
      <x:c r="C114" s="10" t="str">
        <x:v>数据报表</x:v>
      </x:c>
      <x:c r="D114" s="10" t="str">
        <x:v>每日统计（平台管理员）</x:v>
      </x:c>
      <x:c r="E114" s="10" t="str">
        <x:v>功能需求</x:v>
      </x:c>
      <x:c r="F114" s="10" t="str">
        <x:v>P1</x:v>
      </x:c>
      <x:c r="G114" s="9" t="str">
        <x:v>验证奇数场次取居中时长</x:v>
      </x:c>
      <x:c r="H114" s="9" t="str">
        <x:v>中位数奇数</x:v>
      </x:c>
      <x:c r="I114" s="9" t="str">
        <x:v>1. 后台账号已登录且拥有本页及本次操作的授权
2. 有效场次时长分别10、20、100分钟</x:v>
      </x:c>
      <x:c r="J114" s="9" t="str">
        <x:v>1. 进入每日统计
2. 选择目标日期
3. 点击查询</x:v>
      </x:c>
      <x:c r="K114" s="9" t="str">
        <x:v>开播时长中位数为20分钟</x:v>
      </x:c>
      <x:c r="L114" s="10" t="str"/>
      <x:c r="M114" s="10" t="str">
        <x:v>未测</x:v>
      </x:c>
      <x:c r="N114" s="10" t="str"/>
      <x:c r="O114" s="9" t="str">
        <x:v>1. 来源（当前证据）：liveshow-proto/MainBasis/统一需求文档.md；位置：admin-daily-statistics.html
2. 规则：BR-55169E1E904503
3. 未动态验证</x:v>
      </x:c>
    </x:row>
    <x:row r="115" ht="85" customHeight="1">
      <x:c r="A115" s="10" t="n">
        <x:v>114</x:v>
      </x:c>
      <x:c r="B115" s="10" t="str">
        <x:v>ADMIN-0114</x:v>
      </x:c>
      <x:c r="C115" s="10" t="str">
        <x:v>数据报表</x:v>
      </x:c>
      <x:c r="D115" s="10" t="str">
        <x:v>每日统计（平台管理员）</x:v>
      </x:c>
      <x:c r="E115" s="10" t="str">
        <x:v>逻辑校验</x:v>
      </x:c>
      <x:c r="F115" s="10" t="str">
        <x:v>P1</x:v>
      </x:c>
      <x:c r="G115" s="9" t="str">
        <x:v>验证偶数场次取中间两项平均</x:v>
      </x:c>
      <x:c r="H115" s="9" t="str">
        <x:v>中位数偶数</x:v>
      </x:c>
      <x:c r="I115" s="9" t="str">
        <x:v>1. 后台账号已登录且拥有本页及本次操作的授权
2. 有效场次时长10、20、40、100分钟</x:v>
      </x:c>
      <x:c r="J115" s="9" t="str">
        <x:v>1. 进入每日统计
2. 选择目标日期
3. 点击查询</x:v>
      </x:c>
      <x:c r="K115" s="9" t="str">
        <x:v>中位数计算结果=(20+40)÷2=30</x:v>
      </x:c>
      <x:c r="L115" s="10" t="str"/>
      <x:c r="M115" s="10" t="str">
        <x:v>未测</x:v>
      </x:c>
      <x:c r="N115" s="10" t="str"/>
      <x:c r="O115" s="9" t="str">
        <x:v>1. 来源（当前证据）：liveshow-proto/MainBasis/统一需求文档.md；位置：admin-daily-statistics.html
2. 规则：BR-F591B188EB5E26
3. 未动态验证</x:v>
      </x:c>
    </x:row>
    <x:row r="116" ht="85" customHeight="1">
      <x:c r="A116" s="10" t="n">
        <x:v>115</x:v>
      </x:c>
      <x:c r="B116" s="10" t="str">
        <x:v>ADMIN-0115</x:v>
      </x:c>
      <x:c r="C116" s="10" t="str">
        <x:v>数据报表</x:v>
      </x:c>
      <x:c r="D116" s="10" t="str">
        <x:v>每日统计（平台管理员）</x:v>
      </x:c>
      <x:c r="E116" s="10" t="str">
        <x:v>功能需求</x:v>
      </x:c>
      <x:c r="F116" s="10" t="str">
        <x:v>P1</x:v>
      </x:c>
      <x:c r="G116" s="9" t="str">
        <x:v>验证无场次中位数为零</x:v>
      </x:c>
      <x:c r="H116" s="9" t="str">
        <x:v>空样本</x:v>
      </x:c>
      <x:c r="I116" s="9" t="str">
        <x:v>1. 后台账号已登录且拥有本页及本次操作的授权
2. 当日无有效场次</x:v>
      </x:c>
      <x:c r="J116" s="9" t="str">
        <x:v>1. 进入每日统计
2. 选择目标日期
3. 点击查询</x:v>
      </x:c>
      <x:c r="K116" s="9" t="str">
        <x:v>开播时长中位数为0</x:v>
      </x:c>
      <x:c r="L116" s="10" t="str"/>
      <x:c r="M116" s="10" t="str">
        <x:v>未测</x:v>
      </x:c>
      <x:c r="N116" s="10" t="str"/>
      <x:c r="O116" s="9" t="str">
        <x:v>1. 来源（当前证据）：liveshow-proto/MainBasis/统一需求文档.md；位置：admin-daily-statistics.html
2. 规则：BR-E7341595224ECF
3. 未动态验证</x:v>
      </x:c>
    </x:row>
    <x:row r="117" ht="85" customHeight="1">
      <x:c r="A117" s="10" t="n">
        <x:v>116</x:v>
      </x:c>
      <x:c r="B117" s="10" t="str">
        <x:v>ADMIN-0116</x:v>
      </x:c>
      <x:c r="C117" s="10" t="str">
        <x:v>数据报表</x:v>
      </x:c>
      <x:c r="D117" s="10" t="str">
        <x:v>每日统计（平台管理员）</x:v>
      </x:c>
      <x:c r="E117" s="10" t="str">
        <x:v>功能需求</x:v>
      </x:c>
      <x:c r="F117" s="10" t="str">
        <x:v>P1</x:v>
      </x:c>
      <x:c r="G117" s="9" t="str">
        <x:v>验证退款按完成日统计</x:v>
      </x:c>
      <x:c r="H117" s="9" t="str">
        <x:v>退款归属日期</x:v>
      </x:c>
      <x:c r="I117" s="9" t="str">
        <x:v>1. 后台账号已登录且拥有本页及本次操作的授权
2. 订单9月10日支付10 USD，9月12日退款完成；12日无其他退款</x:v>
      </x:c>
      <x:c r="J117" s="9" t="str">
        <x:v>1. 进入每日统计
2. 选择目标日期
3. 选择9月12日
4. 点击查询</x:v>
      </x:c>
      <x:c r="K117" s="9" t="str">
        <x:v>退款金额为10 USD</x:v>
      </x:c>
      <x:c r="L117" s="10" t="str">
        <x:v>FLOW-2BA2481A</x:v>
      </x:c>
      <x:c r="M117" s="10" t="str">
        <x:v>未测</x:v>
      </x:c>
      <x:c r="N117" s="10" t="str"/>
      <x:c r="O117" s="9" t="str">
        <x:v>1. 来源（当前证据）：liveshow-proto/MainBasis/统一需求文档.md；位置：admin-daily-statistics.html
2. 规则：BR-9F51F6F2854746
3. 未动态验证</x:v>
      </x:c>
    </x:row>
    <x:row r="118" ht="85" customHeight="1">
      <x:c r="A118" s="10" t="n">
        <x:v>117</x:v>
      </x:c>
      <x:c r="B118" s="10" t="str">
        <x:v>ADMIN-0117</x:v>
      </x:c>
      <x:c r="C118" s="10" t="str">
        <x:v>数据报表</x:v>
      </x:c>
      <x:c r="D118" s="10" t="str">
        <x:v>主播活跃汇总（每日）（平台管理员）</x:v>
      </x:c>
      <x:c r="E118" s="10" t="str">
        <x:v>功能需求</x:v>
      </x:c>
      <x:c r="F118" s="10" t="str">
        <x:v>P1</x:v>
      </x:c>
      <x:c r="G118" s="9" t="str">
        <x:v>验证新增主播以平台认证通过为准</x:v>
      </x:c>
      <x:c r="H118" s="9" t="str">
        <x:v>新增主播口径</x:v>
      </x:c>
      <x:c r="I118" s="9" t="str">
        <x:v>1. 后台账号已登录且拥有本页及本次操作的授权
2. 甲仅公会初审通过，乙平台终审通过；无其他认证</x:v>
      </x:c>
      <x:c r="J118" s="9" t="str">
        <x:v>1. 进入主播活跃汇总
2. 选择目标日期
3. 点击查询</x:v>
      </x:c>
      <x:c r="K118" s="9" t="str">
        <x:v>新增主播数为1</x:v>
      </x:c>
      <x:c r="L118" s="10" t="str"/>
      <x:c r="M118" s="10" t="str">
        <x:v>未测</x:v>
      </x:c>
      <x:c r="N118" s="10" t="str"/>
      <x:c r="O118" s="9" t="str">
        <x:v>1. 来源（当前证据）：liveshow-proto/MainBasis/统一需求文档.md；位置：admin-host-statistics.html
2. 规则：BR-F2CF4B5B1681C2
3. 未动态验证</x:v>
      </x:c>
    </x:row>
    <x:row r="119" ht="85" customHeight="1">
      <x:c r="A119" s="10" t="n">
        <x:v>118</x:v>
      </x:c>
      <x:c r="B119" s="10" t="str">
        <x:v>ADMIN-0118</x:v>
      </x:c>
      <x:c r="C119" s="10" t="str">
        <x:v>数据报表</x:v>
      </x:c>
      <x:c r="D119" s="10" t="str">
        <x:v>主播活跃汇总（每日）（平台管理员）</x:v>
      </x:c>
      <x:c r="E119" s="10" t="str">
        <x:v>逻辑校验</x:v>
      </x:c>
      <x:c r="F119" s="10" t="str">
        <x:v>P1</x:v>
      </x:c>
      <x:c r="G119" s="9" t="str">
        <x:v>验证开播率按有效主播数计算</x:v>
      </x:c>
      <x:c r="H119" s="9" t="str">
        <x:v>开播率</x:v>
      </x:c>
      <x:c r="I119" s="9" t="str">
        <x:v>1. 后台账号已登录且拥有本页及本次操作的授权
2. 有效主播总数8，当日开播2人</x:v>
      </x:c>
      <x:c r="J119" s="9" t="str">
        <x:v>1. 进入主播活跃汇总
2. 选择目标日期
3. 点击查询</x:v>
      </x:c>
      <x:c r="K119" s="9" t="str">
        <x:v>开播率计算结果=2÷8×100=25</x:v>
      </x:c>
      <x:c r="L119" s="10" t="str"/>
      <x:c r="M119" s="10" t="str">
        <x:v>未测</x:v>
      </x:c>
      <x:c r="N119" s="10" t="str"/>
      <x:c r="O119" s="9" t="str">
        <x:v>1. 来源（当前证据）：liveshow-proto/MainBasis/统一需求文档.md；位置：admin-host-statistics.html
2. 规则：BR-FD3153DB5257F3
3. 未动态验证</x:v>
      </x:c>
    </x:row>
    <x:row r="120" ht="85" customHeight="1">
      <x:c r="A120" s="10" t="n">
        <x:v>119</x:v>
      </x:c>
      <x:c r="B120" s="10" t="str">
        <x:v>ADMIN-0119</x:v>
      </x:c>
      <x:c r="C120" s="10" t="str">
        <x:v>数据报表</x:v>
      </x:c>
      <x:c r="D120" s="10" t="str">
        <x:v>主播活跃汇总（每日）（平台管理员）</x:v>
      </x:c>
      <x:c r="E120" s="10" t="str">
        <x:v>功能需求</x:v>
      </x:c>
      <x:c r="F120" s="10" t="str">
        <x:v>P1</x:v>
      </x:c>
      <x:c r="G120" s="9" t="str">
        <x:v>验证无有效主播时开播率记零</x:v>
      </x:c>
      <x:c r="H120" s="9" t="str">
        <x:v>开播率零分母</x:v>
      </x:c>
      <x:c r="I120" s="9" t="str">
        <x:v>1. 后台账号已登录且拥有本页及本次操作的授权
2. 当日有效主播总数0</x:v>
      </x:c>
      <x:c r="J120" s="9" t="str">
        <x:v>1. 进入主播活跃汇总
2. 选择目标日期
3. 点击查询</x:v>
      </x:c>
      <x:c r="K120" s="9" t="str">
        <x:v>开播率为0</x:v>
      </x:c>
      <x:c r="L120" s="10" t="str"/>
      <x:c r="M120" s="10" t="str">
        <x:v>未测</x:v>
      </x:c>
      <x:c r="N120" s="10" t="str"/>
      <x:c r="O120" s="9" t="str">
        <x:v>1. 来源（当前证据）：liveshow-proto/MainBasis/统一需求文档.md；位置：admin-host-statistics.html
2. 规则：BR-A6BBAA103C6200
3. 未动态验证</x:v>
      </x:c>
    </x:row>
    <x:row r="121" ht="85" customHeight="1">
      <x:c r="A121" s="10" t="n">
        <x:v>120</x:v>
      </x:c>
      <x:c r="B121" s="10" t="str">
        <x:v>ADMIN-0120</x:v>
      </x:c>
      <x:c r="C121" s="10" t="str">
        <x:v>数据报表</x:v>
      </x:c>
      <x:c r="D121" s="10" t="str">
        <x:v>主播活跃汇总（每日）（平台管理员）</x:v>
      </x:c>
      <x:c r="E121" s="10" t="str">
        <x:v>功能需求</x:v>
      </x:c>
      <x:c r="F121" s="10" t="str">
        <x:v>P1</x:v>
      </x:c>
      <x:c r="G121" s="9" t="str">
        <x:v>验证一场多次连麦只计一场</x:v>
      </x:c>
      <x:c r="H121" s="9" t="str">
        <x:v>连麦场次去重</x:v>
      </x:c>
      <x:c r="I121" s="9" t="str">
        <x:v>1. 后台账号已登录且拥有本页及本次操作的授权
2. 场次甲连麦3次、场次乙连麦1次</x:v>
      </x:c>
      <x:c r="J121" s="9" t="str">
        <x:v>1. 进入主播活跃汇总
2. 选择目标日期
3. 点击查询</x:v>
      </x:c>
      <x:c r="K121" s="9" t="str">
        <x:v>连麦场次为2</x:v>
      </x:c>
      <x:c r="L121" s="10" t="str">
        <x:v>FLOW-9C692968</x:v>
      </x:c>
      <x:c r="M121" s="10" t="str">
        <x:v>未测</x:v>
      </x:c>
      <x:c r="N121" s="10" t="str"/>
      <x:c r="O121" s="9" t="str">
        <x:v>1. 来源（当前证据）：liveshow-proto/MainBasis/统一需求文档.md；位置：admin-host-statistics.html
2. 规则：BR-9074E583FE2646
3. 未动态验证</x:v>
      </x:c>
    </x:row>
    <x:row r="122" ht="85" customHeight="1">
      <x:c r="A122" s="10" t="n">
        <x:v>121</x:v>
      </x:c>
      <x:c r="B122" s="10" t="str">
        <x:v>ADMIN-0121</x:v>
      </x:c>
      <x:c r="C122" s="10" t="str">
        <x:v>数据报表</x:v>
      </x:c>
      <x:c r="D122" s="10" t="str">
        <x:v>直播间互动汇总（每日）（平台管理员）</x:v>
      </x:c>
      <x:c r="E122" s="10" t="str">
        <x:v>功能需求</x:v>
      </x:c>
      <x:c r="F122" s="10" t="str">
        <x:v>P1</x:v>
      </x:c>
      <x:c r="G122" s="9" t="str">
        <x:v>验证观众统计只计成功进入真实用户</x:v>
      </x:c>
      <x:c r="H122" s="9" t="str">
        <x:v>真实观众范围</x:v>
      </x:c>
      <x:c r="I122" s="9" t="str">
        <x:v>1. 后台账号已登录且拥有本页及本次操作的授权
2. 真实用户甲成功进入3次、乙1次；运营账号丙进入1次，丁密码错误未进入</x:v>
      </x:c>
      <x:c r="J122" s="9" t="str">
        <x:v>1. 进入直播间互动汇总
2. 选择目标日期
3. 点击查询</x:v>
      </x:c>
      <x:c r="K122" s="9" t="str">
        <x:v>观众人数为2</x:v>
      </x:c>
      <x:c r="L122" s="10" t="str"/>
      <x:c r="M122" s="10" t="str">
        <x:v>未测</x:v>
      </x:c>
      <x:c r="N122" s="10" t="str"/>
      <x:c r="O122" s="9" t="str">
        <x:v>1. 来源（当前证据）：liveshow-proto/MainBasis/统一需求文档.md；位置：admin-live-statistics.html
2. 规则：BR-77A95E4B705BE1
3. 未动态验证</x:v>
      </x:c>
    </x:row>
    <x:row r="123" ht="85" customHeight="1">
      <x:c r="A123" s="10" t="n">
        <x:v>122</x:v>
      </x:c>
      <x:c r="B123" s="10" t="str">
        <x:v>ADMIN-0122</x:v>
      </x:c>
      <x:c r="C123" s="10" t="str">
        <x:v>数据报表</x:v>
      </x:c>
      <x:c r="D123" s="10" t="str">
        <x:v>直播间互动汇总（每日）（平台管理员）</x:v>
      </x:c>
      <x:c r="E123" s="10" t="str">
        <x:v>逻辑校验</x:v>
      </x:c>
      <x:c r="F123" s="10" t="str">
        <x:v>P1</x:v>
      </x:c>
      <x:c r="G123" s="9" t="str">
        <x:v>验证观看时长四舍五入到分钟</x:v>
      </x:c>
      <x:c r="H123" s="9" t="str">
        <x:v>观看时长取整</x:v>
      </x:c>
      <x:c r="I123" s="9" t="str">
        <x:v>1. 后台账号已登录且拥有本页及本次操作的授权
2. 有效观看时长合计90秒，按每分钟60秒换算</x:v>
      </x:c>
      <x:c r="J123" s="9" t="str">
        <x:v>1. 进入直播间互动汇总
2. 选择目标日期
3. 点击查询</x:v>
      </x:c>
      <x:c r="K123" s="9" t="str">
        <x:v>观看时长计算结果=2</x:v>
      </x:c>
      <x:c r="L123" s="10" t="str"/>
      <x:c r="M123" s="10" t="str">
        <x:v>未测</x:v>
      </x:c>
      <x:c r="N123" s="10" t="str"/>
      <x:c r="O123" s="9" t="str">
        <x:v>1. 来源（当前证据）：liveshow-proto/MainBasis/统一需求文档.md；位置：admin-live-statistics.html
2. 规则：BR-CE3B90961F7B6D
3. 未动态验证</x:v>
      </x:c>
    </x:row>
    <x:row r="124" ht="85" customHeight="1">
      <x:c r="A124" s="10" t="n">
        <x:v>123</x:v>
      </x:c>
      <x:c r="B124" s="10" t="str">
        <x:v>ADMIN-0123</x:v>
      </x:c>
      <x:c r="C124" s="10" t="str">
        <x:v>数据报表</x:v>
      </x:c>
      <x:c r="D124" s="10" t="str">
        <x:v>直播间互动汇总（每日）（平台管理员）</x:v>
      </x:c>
      <x:c r="E124" s="10" t="str">
        <x:v>逻辑校验</x:v>
      </x:c>
      <x:c r="F124" s="10" t="str">
        <x:v>P1</x:v>
      </x:c>
      <x:c r="G124" s="9" t="str">
        <x:v>验证人均观看时长使用去重人数</x:v>
      </x:c>
      <x:c r="H124" s="9" t="str">
        <x:v>人均时长</x:v>
      </x:c>
      <x:c r="I124" s="9" t="str">
        <x:v>1. 后台账号已登录且拥有本页及本次操作的授权
2. 有效观看秒数合计300，观众2人</x:v>
      </x:c>
      <x:c r="J124" s="9" t="str">
        <x:v>1. 进入直播间互动汇总
2. 选择目标日期
3. 点击查询</x:v>
      </x:c>
      <x:c r="K124" s="9" t="str">
        <x:v>人均观看时长计算结果=3</x:v>
      </x:c>
      <x:c r="L124" s="10" t="str"/>
      <x:c r="M124" s="10" t="str">
        <x:v>未测</x:v>
      </x:c>
      <x:c r="N124" s="10" t="str"/>
      <x:c r="O124" s="9" t="str">
        <x:v>1. 来源（当前证据）：liveshow-proto/MainBasis/统一需求文档.md；位置：admin-live-statistics.html
2. 规则：BR-31A68C95BE3787
3. 未动态验证</x:v>
      </x:c>
    </x:row>
    <x:row r="125" ht="85" customHeight="1">
      <x:c r="A125" s="10" t="n">
        <x:v>124</x:v>
      </x:c>
      <x:c r="B125" s="10" t="str">
        <x:v>ADMIN-0124</x:v>
      </x:c>
      <x:c r="C125" s="10" t="str">
        <x:v>数据报表</x:v>
      </x:c>
      <x:c r="D125" s="10" t="str">
        <x:v>直播间互动汇总（每日）（平台管理员）</x:v>
      </x:c>
      <x:c r="E125" s="10" t="str">
        <x:v>功能需求</x:v>
      </x:c>
      <x:c r="F125" s="10" t="str">
        <x:v>P1</x:v>
      </x:c>
      <x:c r="G125" s="9" t="str">
        <x:v>验证无观众人均观看时长为零</x:v>
      </x:c>
      <x:c r="H125" s="9" t="str">
        <x:v>人均时长零分母</x:v>
      </x:c>
      <x:c r="I125" s="9" t="str">
        <x:v>1. 后台账号已登录且拥有本页及本次操作的授权
2. 观众人数为0</x:v>
      </x:c>
      <x:c r="J125" s="9" t="str">
        <x:v>1. 进入直播间互动汇总
2. 选择目标日期
3. 点击查询</x:v>
      </x:c>
      <x:c r="K125" s="9" t="str">
        <x:v>人均观看时长为0</x:v>
      </x:c>
      <x:c r="L125" s="10" t="str"/>
      <x:c r="M125" s="10" t="str">
        <x:v>未测</x:v>
      </x:c>
      <x:c r="N125" s="10" t="str"/>
      <x:c r="O125" s="9" t="str">
        <x:v>1. 来源（当前证据）：liveshow-proto/MainBasis/统一需求文档.md；位置：admin-live-statistics.html
2. 规则：BR-7366531369B412
3. 未动态验证</x:v>
      </x:c>
    </x:row>
    <x:row r="126" ht="85" customHeight="1">
      <x:c r="A126" s="10" t="n">
        <x:v>125</x:v>
      </x:c>
      <x:c r="B126" s="10" t="str">
        <x:v>ADMIN-0125</x:v>
      </x:c>
      <x:c r="C126" s="10" t="str">
        <x:v>数据报表</x:v>
      </x:c>
      <x:c r="D126" s="10" t="str">
        <x:v>直播间互动汇总（每日）（平台管理员）</x:v>
      </x:c>
      <x:c r="E126" s="10" t="str">
        <x:v>逻辑校验</x:v>
      </x:c>
      <x:c r="F126" s="10" t="str">
        <x:v>P1</x:v>
      </x:c>
      <x:c r="G126" s="9" t="str">
        <x:v>验证访问率保留一位小数</x:v>
      </x:c>
      <x:c r="H126" s="9" t="str">
        <x:v>访问率取整</x:v>
      </x:c>
      <x:c r="I126" s="9" t="str">
        <x:v>1. 后台账号已登录且拥有本页及本次操作的授权
2. 成功进入真实观众2人，直播间访问次数3次</x:v>
      </x:c>
      <x:c r="J126" s="9" t="str">
        <x:v>1. 进入直播间互动汇总
2. 选择目标日期
3. 点击查询</x:v>
      </x:c>
      <x:c r="K126" s="9" t="str">
        <x:v>访问率计算结果=66.7</x:v>
      </x:c>
      <x:c r="L126" s="10" t="str"/>
      <x:c r="M126" s="10" t="str">
        <x:v>未测</x:v>
      </x:c>
      <x:c r="N126" s="10" t="str"/>
      <x:c r="O126" s="9" t="str">
        <x:v>1. 来源（当前证据）：liveshow-proto/MainBasis/统一需求文档.md；位置：admin-live-statistics.html
2. 规则：BR-FC259E5C807230
3. 未动态验证</x:v>
      </x:c>
    </x:row>
    <x:row r="127" ht="85" customHeight="1">
      <x:c r="A127" s="10" t="n">
        <x:v>126</x:v>
      </x:c>
      <x:c r="B127" s="10" t="str">
        <x:v>ADMIN-0126</x:v>
      </x:c>
      <x:c r="C127" s="10" t="str">
        <x:v>数据报表</x:v>
      </x:c>
      <x:c r="D127" s="10" t="str">
        <x:v>直播间互动汇总（每日）（平台管理员）</x:v>
      </x:c>
      <x:c r="E127" s="10" t="str">
        <x:v>功能需求</x:v>
      </x:c>
      <x:c r="F127" s="10" t="str">
        <x:v>P1</x:v>
      </x:c>
      <x:c r="G127" s="9" t="str">
        <x:v>验证无访问时访问率为零</x:v>
      </x:c>
      <x:c r="H127" s="9" t="str">
        <x:v>访问率零分母</x:v>
      </x:c>
      <x:c r="I127" s="9" t="str">
        <x:v>1. 后台账号已登录且拥有本页及本次操作的授权
2. 访问次数为0</x:v>
      </x:c>
      <x:c r="J127" s="9" t="str">
        <x:v>1. 进入直播间互动汇总
2. 选择目标日期
3. 点击查询</x:v>
      </x:c>
      <x:c r="K127" s="9" t="str">
        <x:v>访问率为0</x:v>
      </x:c>
      <x:c r="L127" s="10" t="str"/>
      <x:c r="M127" s="10" t="str">
        <x:v>未测</x:v>
      </x:c>
      <x:c r="N127" s="10" t="str"/>
      <x:c r="O127" s="9" t="str">
        <x:v>1. 来源（当前证据）：liveshow-proto/MainBasis/统一需求文档.md；位置：admin-live-statistics.html
2. 规则：BR-A54B1CE9F51B2C
3. 未动态验证</x:v>
      </x:c>
    </x:row>
    <x:row r="128" ht="85" customHeight="1">
      <x:c r="A128" s="10" t="n">
        <x:v>127</x:v>
      </x:c>
      <x:c r="B128" s="10" t="str">
        <x:v>ADMIN-0127</x:v>
      </x:c>
      <x:c r="C128" s="10" t="str">
        <x:v>数据报表</x:v>
      </x:c>
      <x:c r="D128" s="10" t="str">
        <x:v>充值消费汇总（每日）（平台管理员）</x:v>
      </x:c>
      <x:c r="E128" s="10" t="str">
        <x:v>逻辑校验</x:v>
      </x:c>
      <x:c r="F128" s="10" t="str">
        <x:v>P1</x:v>
      </x:c>
      <x:c r="G128" s="9" t="str">
        <x:v>验证充值客单价按充值人数计算</x:v>
      </x:c>
      <x:c r="H128" s="9" t="str">
        <x:v>充值客单价</x:v>
      </x:c>
      <x:c r="I128" s="9" t="str">
        <x:v>1. 后台账号已登录且拥有本页及本次操作的授权
2. 甲成功支付10和20 USD，乙成功支付30 USD</x:v>
      </x:c>
      <x:c r="J128" s="9" t="str">
        <x:v>1. 进入充值消费汇总
2. 选择目标日期
3. 点击查询</x:v>
      </x:c>
      <x:c r="K128" s="9" t="str">
        <x:v>客单价计算结果=60÷2=30</x:v>
      </x:c>
      <x:c r="L128" s="10" t="str">
        <x:v>FLOW-2BA2481A</x:v>
      </x:c>
      <x:c r="M128" s="10" t="str">
        <x:v>未测</x:v>
      </x:c>
      <x:c r="N128" s="10" t="str"/>
      <x:c r="O128" s="9" t="str">
        <x:v>1. 来源（当前证据）：liveshow-proto/MainBasis/统一需求文档.md；位置：admin-recharge-statistics.html
2. 规则：BR-FF6FCABEDE2523
3. 未动态验证</x:v>
      </x:c>
    </x:row>
    <x:row r="129" ht="85" customHeight="1">
      <x:c r="A129" s="10" t="n">
        <x:v>128</x:v>
      </x:c>
      <x:c r="B129" s="10" t="str">
        <x:v>ADMIN-0128</x:v>
      </x:c>
      <x:c r="C129" s="10" t="str">
        <x:v>数据报表</x:v>
      </x:c>
      <x:c r="D129" s="10" t="str">
        <x:v>充值消费汇总（每日）（平台管理员）</x:v>
      </x:c>
      <x:c r="E129" s="10" t="str">
        <x:v>功能需求</x:v>
      </x:c>
      <x:c r="F129" s="10" t="str">
        <x:v>P1</x:v>
      </x:c>
      <x:c r="G129" s="9" t="str">
        <x:v>验证无充值人数客单价为零</x:v>
      </x:c>
      <x:c r="H129" s="9" t="str">
        <x:v>客单价零分母</x:v>
      </x:c>
      <x:c r="I129" s="9" t="str">
        <x:v>1. 后台账号已登录且拥有本页及本次操作的授权
2. 充值人数为0</x:v>
      </x:c>
      <x:c r="J129" s="9" t="str">
        <x:v>1. 进入充值消费汇总
2. 选择目标日期
3. 点击查询</x:v>
      </x:c>
      <x:c r="K129" s="9" t="str">
        <x:v>客单价为0</x:v>
      </x:c>
      <x:c r="L129" s="10" t="str">
        <x:v>FLOW-2BA2481A</x:v>
      </x:c>
      <x:c r="M129" s="10" t="str">
        <x:v>未测</x:v>
      </x:c>
      <x:c r="N129" s="10" t="str"/>
      <x:c r="O129" s="9" t="str">
        <x:v>1. 来源（当前证据）：liveshow-proto/MainBasis/统一需求文档.md；位置：admin-recharge-statistics.html
2. 规则：BR-A530ADDF89807E
3. 未动态验证</x:v>
      </x:c>
    </x:row>
    <x:row r="130" ht="85" customHeight="1">
      <x:c r="A130" s="10" t="n">
        <x:v>129</x:v>
      </x:c>
      <x:c r="B130" s="10" t="str">
        <x:v>ADMIN-0129</x:v>
      </x:c>
      <x:c r="C130" s="10" t="str">
        <x:v>数据报表</x:v>
      </x:c>
      <x:c r="D130" s="10" t="str">
        <x:v>充值消费汇总（每日）（平台管理员）</x:v>
      </x:c>
      <x:c r="E130" s="10" t="str">
        <x:v>逻辑校验</x:v>
      </x:c>
      <x:c r="F130" s="10" t="str">
        <x:v>P1</x:v>
      </x:c>
      <x:c r="G130" s="9" t="str">
        <x:v>验证金币净增按发行减消费</x:v>
      </x:c>
      <x:c r="H130" s="9" t="str">
        <x:v>金币净增量</x:v>
      </x:c>
      <x:c r="I130" s="9" t="str">
        <x:v>1. 后台账号已登录且拥有本页及本次操作的授权
2. 基础充值1000，套餐赠金100，任务赠金20，净消费200</x:v>
      </x:c>
      <x:c r="J130" s="9" t="str">
        <x:v>1. 进入充值消费汇总
2. 选择目标日期
3. 点击查询</x:v>
      </x:c>
      <x:c r="K130" s="9" t="str">
        <x:v>金币净增量计算结果=1000+100+20-200=920</x:v>
      </x:c>
      <x:c r="L130" s="10" t="str">
        <x:v>FLOW-2BA2481A</x:v>
      </x:c>
      <x:c r="M130" s="10" t="str">
        <x:v>未测</x:v>
      </x:c>
      <x:c r="N130" s="10" t="str"/>
      <x:c r="O130" s="9" t="str">
        <x:v>1. 来源（当前证据）：liveshow-proto/MainBasis/统一需求文档.md；位置：admin-recharge-statistics.html
2. 规则：BR-51DAC5C7CA4EE8
3. 未动态验证</x:v>
      </x:c>
    </x:row>
    <x:row r="131" ht="85" customHeight="1">
      <x:c r="A131" s="10" t="n">
        <x:v>130</x:v>
      </x:c>
      <x:c r="B131" s="10" t="str">
        <x:v>ADMIN-0130</x:v>
      </x:c>
      <x:c r="C131" s="10" t="str">
        <x:v>数据报表</x:v>
      </x:c>
      <x:c r="D131" s="10" t="str">
        <x:v>充值消费汇总（每日）（平台管理员）</x:v>
      </x:c>
      <x:c r="E131" s="10" t="str">
        <x:v>功能需求</x:v>
      </x:c>
      <x:c r="F131" s="10" t="str">
        <x:v>P1</x:v>
      </x:c>
      <x:c r="G131" s="9" t="str">
        <x:v>验证退款扣回不计消费金币</x:v>
      </x:c>
      <x:c r="H131" s="9" t="str">
        <x:v>退款与消费分离</x:v>
      </x:c>
      <x:c r="I131" s="9" t="str">
        <x:v>1. 后台账号已登录且拥有本页及本次操作的授权
2. 当日净消费200，另有退款扣回1000</x:v>
      </x:c>
      <x:c r="J131" s="9" t="str">
        <x:v>1. 进入充值消费汇总
2. 选择目标日期
3. 点击查询</x:v>
      </x:c>
      <x:c r="K131" s="9" t="str">
        <x:v>消费金币为200</x:v>
      </x:c>
      <x:c r="L131" s="10" t="str">
        <x:v>FLOW-2BA2481A</x:v>
      </x:c>
      <x:c r="M131" s="10" t="str">
        <x:v>未测</x:v>
      </x:c>
      <x:c r="N131" s="10" t="str"/>
      <x:c r="O131" s="9" t="str">
        <x:v>1. 来源（当前证据）：liveshow-proto/MainBasis/统一需求文档.md；位置：admin-recharge-statistics.html
2. 规则：BR-14141F5F8243A1
3. 未动态验证</x:v>
      </x:c>
    </x:row>
    <x:row r="132" ht="85" customHeight="1">
      <x:c r="A132" s="10" t="n">
        <x:v>131</x:v>
      </x:c>
      <x:c r="B132" s="10" t="str">
        <x:v>ADMIN-0131</x:v>
      </x:c>
      <x:c r="C132" s="10" t="str">
        <x:v>数据报表</x:v>
      </x:c>
      <x:c r="D132" s="10" t="str">
        <x:v>充值用户分层汇总（每日）（平台管理员）</x:v>
      </x:c>
      <x:c r="E132" s="10" t="str">
        <x:v>功能需求</x:v>
      </x:c>
      <x:c r="F132" s="10" t="str">
        <x:v>P1</x:v>
      </x:c>
      <x:c r="G132" s="9" t="str">
        <x:v>验证统计日前注册归为老用户</x:v>
      </x:c>
      <x:c r="H132" s="9" t="str">
        <x:v>新老用户分层</x:v>
      </x:c>
      <x:c r="I132" s="9" t="str">
        <x:v>1. 后台账号已登录且拥有本页及本次操作的授权
2. 甲昨日注册今天充值10，乙今天注册充值20</x:v>
      </x:c>
      <x:c r="J132" s="9" t="str">
        <x:v>1. 进入充值用户分层汇总
2. 选择目标日期
3. 点击查询</x:v>
      </x:c>
      <x:c r="K132" s="9" t="str">
        <x:v>老用户充值金额为10 USD</x:v>
      </x:c>
      <x:c r="L132" s="10" t="str"/>
      <x:c r="M132" s="10" t="str">
        <x:v>未测</x:v>
      </x:c>
      <x:c r="N132" s="10" t="str"/>
      <x:c r="O132" s="9" t="str">
        <x:v>1. 来源（当前证据）：liveshow-proto/MainBasis/统一需求文档.md；位置：admin-user-activity-statistics.html
2. 规则：BR-9D53659DFDE193
3. 未动态验证</x:v>
      </x:c>
    </x:row>
    <x:row r="133" ht="85" customHeight="1">
      <x:c r="A133" s="10" t="n">
        <x:v>132</x:v>
      </x:c>
      <x:c r="B133" s="10" t="str">
        <x:v>ADMIN-0132</x:v>
      </x:c>
      <x:c r="C133" s="10" t="str">
        <x:v>数据报表</x:v>
      </x:c>
      <x:c r="D133" s="10" t="str">
        <x:v>充值用户分层汇总（每日）（平台管理员）</x:v>
      </x:c>
      <x:c r="E133" s="10" t="str">
        <x:v>逻辑校验</x:v>
      </x:c>
      <x:c r="F133" s="10" t="str">
        <x:v>P1</x:v>
      </x:c>
      <x:c r="G133" s="9" t="str">
        <x:v>验证老用户ARPU计算</x:v>
      </x:c>
      <x:c r="H133" s="9" t="str">
        <x:v>老用户ARPU</x:v>
      </x:c>
      <x:c r="I133" s="9" t="str">
        <x:v>1. 后台账号已登录且拥有本页及本次操作的授权
2. 老用户2人成功充值合计50 USD</x:v>
      </x:c>
      <x:c r="J133" s="9" t="str">
        <x:v>1. 进入充值用户分层汇总
2. 选择目标日期
3. 点击查询</x:v>
      </x:c>
      <x:c r="K133" s="9" t="str">
        <x:v>老用户ARPU计算结果=50÷2=25</x:v>
      </x:c>
      <x:c r="L133" s="10" t="str"/>
      <x:c r="M133" s="10" t="str">
        <x:v>未测</x:v>
      </x:c>
      <x:c r="N133" s="10" t="str"/>
      <x:c r="O133" s="9" t="str">
        <x:v>1. 来源（当前证据）：liveshow-proto/MainBasis/统一需求文档.md；位置：admin-user-activity-statistics.html
2. 规则：BR-1F31272FE10238
3. 未动态验证</x:v>
      </x:c>
    </x:row>
    <x:row r="134" ht="85" customHeight="1">
      <x:c r="A134" s="10" t="n">
        <x:v>133</x:v>
      </x:c>
      <x:c r="B134" s="10" t="str">
        <x:v>ADMIN-0133</x:v>
      </x:c>
      <x:c r="C134" s="10" t="str">
        <x:v>数据报表</x:v>
      </x:c>
      <x:c r="D134" s="10" t="str">
        <x:v>充值用户分层汇总（每日）（平台管理员）</x:v>
      </x:c>
      <x:c r="E134" s="10" t="str">
        <x:v>功能需求</x:v>
      </x:c>
      <x:c r="F134" s="10" t="str">
        <x:v>P1</x:v>
      </x:c>
      <x:c r="G134" s="9" t="str">
        <x:v>验证老用户充值零人数时ARPU为零</x:v>
      </x:c>
      <x:c r="H134" s="9" t="str">
        <x:v>老用户零分母</x:v>
      </x:c>
      <x:c r="I134" s="9" t="str">
        <x:v>1. 后台账号已登录且拥有本页及本次操作的授权
2. 老用户充值人数为0</x:v>
      </x:c>
      <x:c r="J134" s="9" t="str">
        <x:v>1. 进入充值用户分层汇总
2. 选择目标日期
3. 点击查询</x:v>
      </x:c>
      <x:c r="K134" s="9" t="str">
        <x:v>老用户ARPU为0</x:v>
      </x:c>
      <x:c r="L134" s="10" t="str">
        <x:v>FLOW-2BA2481A</x:v>
      </x:c>
      <x:c r="M134" s="10" t="str">
        <x:v>未测</x:v>
      </x:c>
      <x:c r="N134" s="10" t="str"/>
      <x:c r="O134" s="9" t="str">
        <x:v>1. 来源（当前证据）：liveshow-proto/MainBasis/统一需求文档.md；位置：admin-user-activity-statistics.html
2. 规则：BR-30935D0F4F4C05
3. 未动态验证</x:v>
      </x:c>
    </x:row>
    <x:row r="135" ht="85" customHeight="1">
      <x:c r="A135" s="10" t="n">
        <x:v>134</x:v>
      </x:c>
      <x:c r="B135" s="10" t="str">
        <x:v>ADMIN-0134</x:v>
      </x:c>
      <x:c r="C135" s="10" t="str">
        <x:v>数据报表</x:v>
      </x:c>
      <x:c r="D135" s="10" t="str">
        <x:v>主播业绩分成报表（平台管理员）</x:v>
      </x:c>
      <x:c r="E135" s="10" t="str">
        <x:v>功能需求</x:v>
      </x:c>
      <x:c r="F135" s="10" t="str">
        <x:v>P1</x:v>
      </x:c>
      <x:c r="G135" s="9" t="str">
        <x:v>验证统计日期包含首尾</x:v>
      </x:c>
      <x:c r="H135" s="9" t="str">
        <x:v>统计天数</x:v>
      </x:c>
      <x:c r="I135" s="9" t="str">
        <x:v>1. 后台账号已登录且拥有本页及本次操作的授权
2. 筛选9月10日至9月12日</x:v>
      </x:c>
      <x:c r="J135" s="9" t="str">
        <x:v>1. 进入主播业绩分成报表
2. 点击查询</x:v>
      </x:c>
      <x:c r="K135" s="9" t="str">
        <x:v>统计天数为3</x:v>
      </x:c>
      <x:c r="L135" s="10" t="str"/>
      <x:c r="M135" s="10" t="str">
        <x:v>未测</x:v>
      </x:c>
      <x:c r="N135" s="10" t="str"/>
      <x:c r="O135" s="9" t="str">
        <x:v>1. 来源（当前证据）：liveshow-proto/MainBasis/统一需求文档.md；位置：admin-monthly-host-share.html
2. 规则：BR-AD751282310CCF
3. 未动态验证</x:v>
      </x:c>
    </x:row>
    <x:row r="136" ht="85" customHeight="1">
      <x:c r="A136" s="10" t="n">
        <x:v>135</x:v>
      </x:c>
      <x:c r="B136" s="10" t="str">
        <x:v>ADMIN-0135</x:v>
      </x:c>
      <x:c r="C136" s="10" t="str">
        <x:v>数据报表</x:v>
      </x:c>
      <x:c r="D136" s="10" t="str">
        <x:v>主播业绩分成报表（平台管理员）</x:v>
      </x:c>
      <x:c r="E136" s="10" t="str">
        <x:v>逻辑校验</x:v>
      </x:c>
      <x:c r="F136" s="10" t="str">
        <x:v>P1</x:v>
      </x:c>
      <x:c r="G136" s="9" t="str">
        <x:v>验证收益不包含虚拟礼物</x:v>
      </x:c>
      <x:c r="H136" s="9" t="str">
        <x:v>主播收益范围</x:v>
      </x:c>
      <x:c r="I136" s="9" t="str">
        <x:v>1. 后台账号已登录且拥有本页及本次操作的授权
2. 普通真实收益100、定制20、幸运10、门票30，另有虚拟礼物1000</x:v>
      </x:c>
      <x:c r="J136" s="9" t="str">
        <x:v>1. 进入主播业绩分成报表
2. 点击查询</x:v>
      </x:c>
      <x:c r="K136" s="9" t="str">
        <x:v>主播收益计算结果=100+20+10+30=160</x:v>
      </x:c>
      <x:c r="L136" s="10" t="str">
        <x:v>FLOW-3751662B</x:v>
      </x:c>
      <x:c r="M136" s="10" t="str">
        <x:v>未测</x:v>
      </x:c>
      <x:c r="N136" s="10" t="str"/>
      <x:c r="O136" s="9" t="str">
        <x:v>1. 来源（当前证据）：liveshow-proto/MainBasis/统一需求文档.md；位置：admin-monthly-host-share.html
2. 规则：BR-56F172AB634ECE
3. 未动态验证</x:v>
      </x:c>
    </x:row>
    <x:row r="137" ht="85" customHeight="1">
      <x:c r="A137" s="10" t="n">
        <x:v>136</x:v>
      </x:c>
      <x:c r="B137" s="10" t="str">
        <x:v>ADMIN-0136</x:v>
      </x:c>
      <x:c r="C137" s="10" t="str">
        <x:v>数据报表</x:v>
      </x:c>
      <x:c r="D137" s="10" t="str">
        <x:v>主播业绩分成报表（平台管理员）</x:v>
      </x:c>
      <x:c r="E137" s="10" t="str">
        <x:v>功能需求</x:v>
      </x:c>
      <x:c r="F137" s="10" t="str">
        <x:v>P1</x:v>
      </x:c>
      <x:c r="G137" s="9" t="str">
        <x:v>验证报表不自动计算分成金额</x:v>
      </x:c>
      <x:c r="H137" s="9" t="str">
        <x:v>线下分成边界</x:v>
      </x:c>
      <x:c r="I137" s="9" t="str">
        <x:v>1. 后台账号已登录且拥有本页及本次操作的授权
2. 当前有主播收益记录</x:v>
      </x:c>
      <x:c r="J137" s="9" t="str">
        <x:v>1. 进入主播业绩分成报表
2. 查看报表内容</x:v>
      </x:c>
      <x:c r="K137" s="9" t="str">
        <x:v>不自动产生具体分成金额</x:v>
      </x:c>
      <x:c r="L137" s="10" t="str">
        <x:v>FLOW-3263DF8E</x:v>
      </x:c>
      <x:c r="M137" s="10" t="str">
        <x:v>未测</x:v>
      </x:c>
      <x:c r="N137" s="10" t="str"/>
      <x:c r="O137" s="9" t="str">
        <x:v>1. 来源（当前证据）：liveshow-proto/MainBasis/统一需求文档.md；位置：admin-monthly-host-share.html
2. 规则：BR-08002A5A6AC834
3. 未动态验证</x:v>
      </x:c>
    </x:row>
    <x:row r="138" ht="85" customHeight="1">
      <x:c r="A138" s="10" t="n">
        <x:v>137</x:v>
      </x:c>
      <x:c r="B138" s="10" t="str">
        <x:v>ADMIN-0137</x:v>
      </x:c>
      <x:c r="C138" s="10" t="str">
        <x:v>数据报表</x:v>
      </x:c>
      <x:c r="D138" s="10" t="str">
        <x:v>用户活跃汇总（每日）（平台管理员）</x:v>
      </x:c>
      <x:c r="E138" s="10" t="str">
        <x:v>功能需求</x:v>
      </x:c>
      <x:c r="F138" s="10" t="str">
        <x:v>P1</x:v>
      </x:c>
      <x:c r="G138" s="9" t="str">
        <x:v>验证登录用户采用当前业务口径</x:v>
      </x:c>
      <x:c r="H138" s="9" t="str">
        <x:v>登录用户口径</x:v>
      </x:c>
      <x:c r="I138" s="9" t="str">
        <x:v>1. 后台账号已登录且拥有本页及本次操作的授权
2. 甲当天成功登录3次，乙仅从后台切前台且当天未登录</x:v>
      </x:c>
      <x:c r="J138" s="9" t="str">
        <x:v>1. 进入用户活跃汇总（每日）
2. 查看登录用户</x:v>
      </x:c>
      <x:c r="K138" s="9" t="str">
        <x:v>登录用户为1</x:v>
      </x:c>
      <x:c r="L138" s="10" t="str"/>
      <x:c r="M138" s="10" t="str">
        <x:v>未测</x:v>
      </x:c>
      <x:c r="N138" s="10" t="str"/>
      <x:c r="O138" s="9" t="str">
        <x:v>1. 来源（当前证据）：liveshow-proto/MainBasis/统一需求文档.md；位置：admin-user-active-statistics.html
2. 规则：BR-1901330BBE5DF2
3. 未动态验证</x:v>
      </x:c>
    </x:row>
    <x:row r="139" ht="85" customHeight="1">
      <x:c r="A139" s="10" t="n">
        <x:v>138</x:v>
      </x:c>
      <x:c r="B139" s="10" t="str">
        <x:v>ADMIN-0138</x:v>
      </x:c>
      <x:c r="C139" s="10" t="str">
        <x:v>数据报表</x:v>
      </x:c>
      <x:c r="D139" s="10" t="str">
        <x:v>用户活跃汇总（每日）（平台管理员）</x:v>
      </x:c>
      <x:c r="E139" s="10" t="str">
        <x:v>功能需求</x:v>
      </x:c>
      <x:c r="F139" s="10" t="str">
        <x:v>P1</x:v>
      </x:c>
      <x:c r="G139" s="9" t="str">
        <x:v>验证汇总卡采用当前业务口径</x:v>
      </x:c>
      <x:c r="H139" s="9" t="str">
        <x:v>汇总卡口径</x:v>
      </x:c>
      <x:c r="I139" s="9" t="str">
        <x:v>1. 后台账号已登录且拥有本页及本次操作的授权
2. 甲连续2天每天登录，本范围没有其他登录用户</x:v>
      </x:c>
      <x:c r="J139" s="9" t="str">
        <x:v>1. 进入用户活跃汇总（每日）
2. 查看汇总卡</x:v>
      </x:c>
      <x:c r="K139" s="9" t="str">
        <x:v>汇总登录用户为2</x:v>
      </x:c>
      <x:c r="L139" s="10" t="str"/>
      <x:c r="M139" s="10" t="str">
        <x:v>未测</x:v>
      </x:c>
      <x:c r="N139" s="10" t="str"/>
      <x:c r="O139" s="9" t="str">
        <x:v>1. 来源（当前证据）：liveshow-proto/MainBasis/统一需求文档.md；位置：admin-user-active-statistics.html
2. 规则：BR-A2FC4BF6DD65F0
3. 未动态验证</x:v>
      </x:c>
    </x:row>
    <x:row r="140" ht="85" customHeight="1">
      <x:c r="A140" s="10" t="n">
        <x:v>139</x:v>
      </x:c>
      <x:c r="B140" s="10" t="str">
        <x:v>ADMIN-0139</x:v>
      </x:c>
      <x:c r="C140" s="10" t="str">
        <x:v>数据报表</x:v>
      </x:c>
      <x:c r="D140" s="10" t="str">
        <x:v>月度收益支出汇总（平台管理员）</x:v>
      </x:c>
      <x:c r="E140" s="10" t="str">
        <x:v>功能需求</x:v>
      </x:c>
      <x:c r="F140" s="10" t="str">
        <x:v>P1</x:v>
      </x:c>
      <x:c r="G140" s="9" t="str">
        <x:v>验证累计充值采用当前业务口径</x:v>
      </x:c>
      <x:c r="H140" s="9" t="str">
        <x:v>累计充值口径</x:v>
      </x:c>
      <x:c r="I140" s="9" t="str">
        <x:v>1. 后台账号已登录且拥有本页及本次操作的授权
2. 本月成功充值20 USD，其中10 USD后来整单退款</x:v>
      </x:c>
      <x:c r="J140" s="9" t="str">
        <x:v>1. 进入月度收益支出汇总
2. 查看累计充值</x:v>
      </x:c>
      <x:c r="K140" s="9" t="str">
        <x:v>累计充值仍为20 USD</x:v>
      </x:c>
      <x:c r="L140" s="10" t="str">
        <x:v>FLOW-2BA2481A</x:v>
      </x:c>
      <x:c r="M140" s="10" t="str">
        <x:v>未测</x:v>
      </x:c>
      <x:c r="N140" s="10" t="str"/>
      <x:c r="O140" s="9" t="str">
        <x:v>1. 来源（当前证据）：liveshow-proto/MainBasis/统一需求文档.md；位置：admin-monthly-income-expense.html
2. 规则：BR-DA4BB26C7E48B7
3. 未动态验证</x:v>
      </x:c>
    </x:row>
    <x:row r="141" ht="85" customHeight="1">
      <x:c r="A141" s="10" t="n">
        <x:v>140</x:v>
      </x:c>
      <x:c r="B141" s="10" t="str">
        <x:v>ADMIN-0140</x:v>
      </x:c>
      <x:c r="C141" s="10" t="str">
        <x:v>数据报表</x:v>
      </x:c>
      <x:c r="D141" s="10" t="str">
        <x:v>月度收益支出汇总（平台管理员）</x:v>
      </x:c>
      <x:c r="E141" s="10" t="str">
        <x:v>功能需求</x:v>
      </x:c>
      <x:c r="F141" s="10" t="str">
        <x:v>P1</x:v>
      </x:c>
      <x:c r="G141" s="9" t="str">
        <x:v>验证累计退款采用当前业务口径</x:v>
      </x:c>
      <x:c r="H141" s="9" t="str">
        <x:v>累计退款口径</x:v>
      </x:c>
      <x:c r="I141" s="9" t="str">
        <x:v>1. 后台账号已登录且拥有本页及本次操作的授权
2. 本月两笔退款分别10和20 USD完成</x:v>
      </x:c>
      <x:c r="J141" s="9" t="str">
        <x:v>1. 进入月度收益支出汇总
2. 查看累计退款</x:v>
      </x:c>
      <x:c r="K141" s="9" t="str">
        <x:v>累计退款为30 USD</x:v>
      </x:c>
      <x:c r="L141" s="10" t="str">
        <x:v>FLOW-2BA2481A</x:v>
      </x:c>
      <x:c r="M141" s="10" t="str">
        <x:v>未测</x:v>
      </x:c>
      <x:c r="N141" s="10" t="str"/>
      <x:c r="O141" s="9" t="str">
        <x:v>1. 来源（当前证据）：liveshow-proto/MainBasis/统一需求文档.md；位置：admin-monthly-income-expense.html
2. 规则：BR-FE34B3F20BB8A7
3. 未动态验证</x:v>
      </x:c>
    </x:row>
    <x:row r="142" ht="85" customHeight="1">
      <x:c r="A142" s="10" t="n">
        <x:v>141</x:v>
      </x:c>
      <x:c r="B142" s="10" t="str">
        <x:v>ADMIN-0141</x:v>
      </x:c>
      <x:c r="C142" s="10" t="str">
        <x:v>数据报表</x:v>
      </x:c>
      <x:c r="D142" s="10" t="str">
        <x:v>主播礼物打赏明细报表（平台管理员）</x:v>
      </x:c>
      <x:c r="E142" s="10" t="str">
        <x:v>功能需求</x:v>
      </x:c>
      <x:c r="F142" s="10" t="str">
        <x:v>P1</x:v>
      </x:c>
      <x:c r="G142" s="9" t="str">
        <x:v>验证幸运礼物收益采用当前业务口径</x:v>
      </x:c>
      <x:c r="H142" s="9" t="str">
        <x:v>幸运礼物收益口径</x:v>
      </x:c>
      <x:c r="I142" s="9" t="str">
        <x:v>1. 后台账号已登录且拥有本页及本次操作的授权
2. 成功幸运礼物价值1000、当时比例1%，用户实际返奖1500</x:v>
      </x:c>
      <x:c r="J142" s="9" t="str">
        <x:v>1. 进入主播礼物打赏明细报表
2. 查看幸运礼物收益</x:v>
      </x:c>
      <x:c r="K142" s="9" t="str">
        <x:v>幸运礼物收益为10金币</x:v>
      </x:c>
      <x:c r="L142" s="10" t="str">
        <x:v>FLOW-A1501E68</x:v>
      </x:c>
      <x:c r="M142" s="10" t="str">
        <x:v>未测</x:v>
      </x:c>
      <x:c r="N142" s="10" t="str"/>
      <x:c r="O142" s="9" t="str">
        <x:v>1. 来源（当前证据）：liveshow-proto/MainBasis/统一需求文档.md；位置：admin-monthly-host-earnings.html
2. 规则：BR-F6AC75A3A8DBA5
3. 未动态验证</x:v>
      </x:c>
    </x:row>
    <x:row r="143" ht="85" customHeight="1">
      <x:c r="A143" s="10" t="n">
        <x:v>142</x:v>
      </x:c>
      <x:c r="B143" s="10" t="str">
        <x:v>ADMIN-0142</x:v>
      </x:c>
      <x:c r="C143" s="10" t="str">
        <x:v>数据报表</x:v>
      </x:c>
      <x:c r="D143" s="10" t="str">
        <x:v>用户消费汇总报表（平台管理员）</x:v>
      </x:c>
      <x:c r="E143" s="10" t="str">
        <x:v>功能需求</x:v>
      </x:c>
      <x:c r="F143" s="10" t="str">
        <x:v>P1</x:v>
      </x:c>
      <x:c r="G143" s="9" t="str">
        <x:v>验证净消耗采用当前业务口径</x:v>
      </x:c>
      <x:c r="H143" s="9" t="str">
        <x:v>净消耗口径</x:v>
      </x:c>
      <x:c r="I143" s="9" t="str">
        <x:v>1. 后台账号已登录且拥有本页及本次操作的授权
2. 用户仅有成功幸运礼物扣减100，返奖150</x:v>
      </x:c>
      <x:c r="J143" s="9" t="str">
        <x:v>1. 进入用户消费汇总报表
2. 查看净消耗</x:v>
      </x:c>
      <x:c r="K143" s="9" t="str">
        <x:v>净消耗为-50金币</x:v>
      </x:c>
      <x:c r="L143" s="10" t="str"/>
      <x:c r="M143" s="10" t="str">
        <x:v>未测</x:v>
      </x:c>
      <x:c r="N143" s="10" t="str"/>
      <x:c r="O143" s="9" t="str">
        <x:v>1. 来源（当前证据）：liveshow-proto/MainBasis/统一需求文档.md；位置：admin-monthly-viewer-consumption.html
2. 规则：BR-0A1B6210876571
3. 未动态验证</x:v>
      </x:c>
    </x:row>
    <x:row r="144" ht="85" customHeight="1">
      <x:c r="A144" s="10" t="n">
        <x:v>143</x:v>
      </x:c>
      <x:c r="B144" s="10" t="str">
        <x:v>ADMIN-0143</x:v>
      </x:c>
      <x:c r="C144" s="10" t="str">
        <x:v>数据报表</x:v>
      </x:c>
      <x:c r="D144" s="10" t="str">
        <x:v>礼物消费汇总报表（平台管理员）</x:v>
      </x:c>
      <x:c r="E144" s="10" t="str">
        <x:v>功能需求</x:v>
      </x:c>
      <x:c r="F144" s="10" t="str">
        <x:v>P1</x:v>
      </x:c>
      <x:c r="G144" s="9" t="str">
        <x:v>验证礼物消费采用当前业务口径</x:v>
      </x:c>
      <x:c r="H144" s="9" t="str">
        <x:v>礼物消费口径</x:v>
      </x:c>
      <x:c r="I144" s="9" t="str">
        <x:v>1. 后台账号已登录且拥有本页及本次操作的授权
2. 成功幸运赠礼价值100，返奖150</x:v>
      </x:c>
      <x:c r="J144" s="9" t="str">
        <x:v>1. 进入礼物消费汇总报表
2. 查看礼物消费</x:v>
      </x:c>
      <x:c r="K144" s="9" t="str">
        <x:v>礼物消费价值为100金币</x:v>
      </x:c>
      <x:c r="L144" s="10" t="str"/>
      <x:c r="M144" s="10" t="str">
        <x:v>未测</x:v>
      </x:c>
      <x:c r="N144" s="10" t="str"/>
      <x:c r="O144" s="9" t="str">
        <x:v>1. 来源（当前证据）：liveshow-proto/MainBasis/统一需求文档.md；位置：admin-monthly-gift-sales.html
2. 规则：BR-9ED8A2E641BFD2
3. 未动态验证</x:v>
      </x:c>
    </x:row>
    <x:row r="145" ht="85" customHeight="1">
      <x:c r="A145" s="10" t="n">
        <x:v>144</x:v>
      </x:c>
      <x:c r="B145" s="10" t="str">
        <x:v>ADMIN-0144</x:v>
      </x:c>
      <x:c r="C145" s="10" t="str">
        <x:v>数据报表</x:v>
      </x:c>
      <x:c r="D145" s="10" t="str">
        <x:v>消费订单明细（平台管理员）</x:v>
      </x:c>
      <x:c r="E145" s="10" t="str">
        <x:v>功能需求</x:v>
      </x:c>
      <x:c r="F145" s="10" t="str">
        <x:v>P1</x:v>
      </x:c>
      <x:c r="G145" s="9" t="str">
        <x:v>验证订单列表采用当前业务口径</x:v>
      </x:c>
      <x:c r="H145" s="9" t="str">
        <x:v>订单列表口径</x:v>
      </x:c>
      <x:c r="I145" s="9" t="str">
        <x:v>1. 后台账号已登录且拥有本页及本次操作的授权
2. 本期真实成功礼物订单A，虚拟金币订单B、失败订单C</x:v>
      </x:c>
      <x:c r="J145" s="9" t="str">
        <x:v>1. 进入消费订单明细
2. 查看订单列表</x:v>
      </x:c>
      <x:c r="K145" s="9" t="str">
        <x:v>列表仅包含A</x:v>
      </x:c>
      <x:c r="L145" s="10" t="str">
        <x:v>FLOW-C83DBB68</x:v>
      </x:c>
      <x:c r="M145" s="10" t="str">
        <x:v>未测</x:v>
      </x:c>
      <x:c r="N145" s="10" t="str"/>
      <x:c r="O145" s="9" t="str">
        <x:v>1. 来源（当前证据）：liveshow-proto/MainBasis/统一需求文档.md；位置：admin-consumption-order-detail-report.html
2. 规则：BR-CBF8291E9DD82B
3. 未动态验证</x:v>
      </x:c>
    </x:row>
    <x:row r="146" ht="85" customHeight="1">
      <x:c r="A146" s="10" t="n">
        <x:v>145</x:v>
      </x:c>
      <x:c r="B146" s="10" t="str">
        <x:v>ADMIN-0145</x:v>
      </x:c>
      <x:c r="C146" s="10" t="str">
        <x:v>数据报表</x:v>
      </x:c>
      <x:c r="D146" s="10" t="str">
        <x:v>退款订单明细（平台管理员）</x:v>
      </x:c>
      <x:c r="E146" s="10" t="str">
        <x:v>功能需求</x:v>
      </x:c>
      <x:c r="F146" s="10" t="str">
        <x:v>P1</x:v>
      </x:c>
      <x:c r="G146" s="9" t="str">
        <x:v>验证退款列表采用当前业务口径</x:v>
      </x:c>
      <x:c r="H146" s="9" t="str">
        <x:v>退款列表口径</x:v>
      </x:c>
      <x:c r="I146" s="9" t="str">
        <x:v>1. 后台账号已登录且拥有本页及本次操作的授权
2. A单9月10日支付、9月12日退款完成；筛选9月12日</x:v>
      </x:c>
      <x:c r="J146" s="9" t="str">
        <x:v>1. 进入退款订单明细
2. 查看退款列表</x:v>
      </x:c>
      <x:c r="K146" s="9" t="str">
        <x:v>退款列表包含A</x:v>
      </x:c>
      <x:c r="L146" s="10" t="str">
        <x:v>FLOW-2BA2481A</x:v>
      </x:c>
      <x:c r="M146" s="10" t="str">
        <x:v>未测</x:v>
      </x:c>
      <x:c r="N146" s="10" t="str"/>
      <x:c r="O146" s="9" t="str">
        <x:v>1. 来源（当前证据）：liveshow-proto/MainBasis/统一需求文档.md；位置：admin-refund-order-detail-report.html
2. 规则：BR-8B24A81B83784A
3. 未动态验证</x:v>
      </x:c>
    </x:row>
    <x:row r="147" ht="85" customHeight="1">
      <x:c r="A147" s="10" t="n">
        <x:v>146</x:v>
      </x:c>
      <x:c r="B147" s="10" t="str">
        <x:v>ADMIN-0146</x:v>
      </x:c>
      <x:c r="C147" s="10" t="str">
        <x:v>数据报表</x:v>
      </x:c>
      <x:c r="D147" s="10" t="str">
        <x:v>充值订单明细（平台管理员）</x:v>
      </x:c>
      <x:c r="E147" s="10" t="str">
        <x:v>功能需求</x:v>
      </x:c>
      <x:c r="F147" s="10" t="str">
        <x:v>P1</x:v>
      </x:c>
      <x:c r="G147" s="9" t="str">
        <x:v>验证实付金额采用当前业务口径</x:v>
      </x:c>
      <x:c r="H147" s="9" t="str">
        <x:v>实付金额口径</x:v>
      </x:c>
      <x:c r="I147" s="9" t="str">
        <x:v>1. 后台账号已登录且拥有本页及本次操作的授权
2. A订单实付10 USD，套餐现价后来调整为20 USD</x:v>
      </x:c>
      <x:c r="J147" s="9" t="str">
        <x:v>1. 进入充值订单明细
2. 查看实付金额</x:v>
      </x:c>
      <x:c r="K147" s="9" t="str">
        <x:v>A订单实付金额仍为10 USD</x:v>
      </x:c>
      <x:c r="L147" s="10" t="str">
        <x:v>FLOW-2BA2481A</x:v>
      </x:c>
      <x:c r="M147" s="10" t="str">
        <x:v>未测</x:v>
      </x:c>
      <x:c r="N147" s="10" t="str"/>
      <x:c r="O147" s="9" t="str">
        <x:v>1. 来源（当前证据）：liveshow-proto/MainBasis/统一需求文档.md；位置：admin-recharge-order-detail-report.html
2. 规则：BR-D8F470DD31631B
3. 未动态验证</x:v>
      </x:c>
    </x:row>
    <x:row r="148" ht="85" customHeight="1">
      <x:c r="A148" s="10" t="n">
        <x:v>147</x:v>
      </x:c>
      <x:c r="B148" s="10" t="str">
        <x:v>ADMIN-0147</x:v>
      </x:c>
      <x:c r="C148" s="10" t="str">
        <x:v>数据报表</x:v>
      </x:c>
      <x:c r="D148" s="10" t="str">
        <x:v>每日统计（平台管理员）</x:v>
      </x:c>
      <x:c r="E148" s="10" t="str">
        <x:v>逻辑校验</x:v>
      </x:c>
      <x:c r="F148" s="10" t="str">
        <x:v>P1</x:v>
      </x:c>
      <x:c r="G148" s="9" t="str">
        <x:v>验证每日统计导出当前结果</x:v>
      </x:c>
      <x:c r="H148" s="9" t="str">
        <x:v>导出集合一致性</x:v>
      </x:c>
      <x:c r="I148" s="9" t="str">
        <x:v>1. 后台账号已登录且拥有本页及本次操作的授权
2. 当前日期筛选结果仅有目标记录甲；范围外存在记录乙</x:v>
      </x:c>
      <x:c r="J148" s="9" t="str">
        <x:v>1. 进入每日统计
2. 点击导出
3. 打开导出文件</x:v>
      </x:c>
      <x:c r="K148" s="9" t="str">
        <x:v>导出记录仅包含甲</x:v>
      </x:c>
      <x:c r="L148" s="10" t="str"/>
      <x:c r="M148" s="10" t="str">
        <x:v>未测</x:v>
      </x:c>
      <x:c r="N148" s="10" t="str"/>
      <x:c r="O148" s="9" t="str">
        <x:v>1. 来源（当前证据）：liveshow-proto/MainBasis/统一需求文档.md；位置：admin-daily-statistics.html
2. 规则：BR-1A2F30208B1041
3. 未动态验证</x:v>
      </x:c>
    </x:row>
    <x:row r="149" ht="85" customHeight="1">
      <x:c r="A149" s="10" t="n">
        <x:v>148</x:v>
      </x:c>
      <x:c r="B149" s="10" t="str">
        <x:v>ADMIN-0148</x:v>
      </x:c>
      <x:c r="C149" s="10" t="str">
        <x:v>数据报表</x:v>
      </x:c>
      <x:c r="D149" s="10" t="str">
        <x:v>用户活跃汇总（每日）（平台管理员）</x:v>
      </x:c>
      <x:c r="E149" s="10" t="str">
        <x:v>逻辑校验</x:v>
      </x:c>
      <x:c r="F149" s="10" t="str">
        <x:v>P1</x:v>
      </x:c>
      <x:c r="G149" s="9" t="str">
        <x:v>验证用户活跃汇总（每日）导出当前结果</x:v>
      </x:c>
      <x:c r="H149" s="9" t="str">
        <x:v>导出集合一致性</x:v>
      </x:c>
      <x:c r="I149" s="9" t="str">
        <x:v>1. 后台账号已登录且拥有本页及本次操作的授权
2. 当前日期筛选结果仅有目标记录甲；范围外存在记录乙</x:v>
      </x:c>
      <x:c r="J149" s="9" t="str">
        <x:v>1. 进入用户活跃汇总（每日）
2. 点击导出
3. 打开导出文件</x:v>
      </x:c>
      <x:c r="K149" s="9" t="str">
        <x:v>导出记录仅包含甲</x:v>
      </x:c>
      <x:c r="L149" s="10" t="str"/>
      <x:c r="M149" s="10" t="str">
        <x:v>未测</x:v>
      </x:c>
      <x:c r="N149" s="10" t="str"/>
      <x:c r="O149" s="9" t="str">
        <x:v>1. 来源（当前证据）：liveshow-proto/MainBasis/统一需求文档.md；位置：admin-user-active-statistics.html
2. 规则：BR-29E02056ECFD97
3. 未动态验证</x:v>
      </x:c>
    </x:row>
    <x:row r="150" ht="85" customHeight="1">
      <x:c r="A150" s="10" t="n">
        <x:v>149</x:v>
      </x:c>
      <x:c r="B150" s="10" t="str">
        <x:v>ADMIN-0149</x:v>
      </x:c>
      <x:c r="C150" s="10" t="str">
        <x:v>数据报表</x:v>
      </x:c>
      <x:c r="D150" s="10" t="str">
        <x:v>主播活跃汇总（每日）（平台管理员）</x:v>
      </x:c>
      <x:c r="E150" s="10" t="str">
        <x:v>逻辑校验</x:v>
      </x:c>
      <x:c r="F150" s="10" t="str">
        <x:v>P1</x:v>
      </x:c>
      <x:c r="G150" s="9" t="str">
        <x:v>验证主播活跃汇总（每日）导出当前结果</x:v>
      </x:c>
      <x:c r="H150" s="9" t="str">
        <x:v>导出集合一致性</x:v>
      </x:c>
      <x:c r="I150" s="9" t="str">
        <x:v>1. 后台账号已登录且拥有本页及本次操作的授权
2. 当前日期筛选结果仅有目标记录甲；范围外存在记录乙</x:v>
      </x:c>
      <x:c r="J150" s="9" t="str">
        <x:v>1. 进入主播活跃汇总（每日）
2. 点击导出
3. 打开导出文件</x:v>
      </x:c>
      <x:c r="K150" s="9" t="str">
        <x:v>导出记录仅包含甲</x:v>
      </x:c>
      <x:c r="L150" s="10" t="str"/>
      <x:c r="M150" s="10" t="str">
        <x:v>未测</x:v>
      </x:c>
      <x:c r="N150" s="10" t="str"/>
      <x:c r="O150" s="9" t="str">
        <x:v>1. 来源（当前证据）：liveshow-proto/MainBasis/统一需求文档.md；位置：admin-host-statistics.html
2. 规则：BR-C54129AB5014C2
3. 未动态验证</x:v>
      </x:c>
    </x:row>
    <x:row r="151" ht="85" customHeight="1">
      <x:c r="A151" s="10" t="n">
        <x:v>150</x:v>
      </x:c>
      <x:c r="B151" s="10" t="str">
        <x:v>ADMIN-0150</x:v>
      </x:c>
      <x:c r="C151" s="10" t="str">
        <x:v>数据报表</x:v>
      </x:c>
      <x:c r="D151" s="10" t="str">
        <x:v>直播间互动汇总（每日）（平台管理员）</x:v>
      </x:c>
      <x:c r="E151" s="10" t="str">
        <x:v>逻辑校验</x:v>
      </x:c>
      <x:c r="F151" s="10" t="str">
        <x:v>P1</x:v>
      </x:c>
      <x:c r="G151" s="9" t="str">
        <x:v>验证直播间互动汇总（每日）导出当前结果</x:v>
      </x:c>
      <x:c r="H151" s="9" t="str">
        <x:v>导出集合一致性</x:v>
      </x:c>
      <x:c r="I151" s="9" t="str">
        <x:v>1. 后台账号已登录且拥有本页及本次操作的授权
2. 当前日期筛选结果仅有目标记录甲；范围外存在记录乙</x:v>
      </x:c>
      <x:c r="J151" s="9" t="str">
        <x:v>1. 进入直播间互动汇总（每日）
2. 点击导出
3. 打开导出文件</x:v>
      </x:c>
      <x:c r="K151" s="9" t="str">
        <x:v>导出记录仅包含甲</x:v>
      </x:c>
      <x:c r="L151" s="10" t="str"/>
      <x:c r="M151" s="10" t="str">
        <x:v>未测</x:v>
      </x:c>
      <x:c r="N151" s="10" t="str"/>
      <x:c r="O151" s="9" t="str">
        <x:v>1. 来源（当前证据）：liveshow-proto/MainBasis/统一需求文档.md；位置：admin-live-statistics.html
2. 规则：BR-365A1738AE2957
3. 未动态验证</x:v>
      </x:c>
    </x:row>
    <x:row r="152" ht="85" customHeight="1">
      <x:c r="A152" s="10" t="n">
        <x:v>151</x:v>
      </x:c>
      <x:c r="B152" s="10" t="str">
        <x:v>ADMIN-0151</x:v>
      </x:c>
      <x:c r="C152" s="10" t="str">
        <x:v>数据报表</x:v>
      </x:c>
      <x:c r="D152" s="10" t="str">
        <x:v>直播记录明细报表（平台管理员）</x:v>
      </x:c>
      <x:c r="E152" s="10" t="str">
        <x:v>逻辑校验</x:v>
      </x:c>
      <x:c r="F152" s="10" t="str">
        <x:v>P1</x:v>
      </x:c>
      <x:c r="G152" s="9" t="str">
        <x:v>验证直播记录明细报表导出当前结果</x:v>
      </x:c>
      <x:c r="H152" s="9" t="str">
        <x:v>导出集合一致性</x:v>
      </x:c>
      <x:c r="I152" s="9" t="str">
        <x:v>1. 后台账号已登录且拥有本页及本次操作的授权
2. 当前日期筛选结果仅有目标记录甲；范围外存在记录乙</x:v>
      </x:c>
      <x:c r="J152" s="9" t="str">
        <x:v>1. 进入直播记录明细报表
2. 点击导出
3. 打开导出文件</x:v>
      </x:c>
      <x:c r="K152" s="9" t="str">
        <x:v>导出记录仅包含甲</x:v>
      </x:c>
      <x:c r="L152" s="10" t="str">
        <x:v>FLOW-C83DBB68</x:v>
      </x:c>
      <x:c r="M152" s="10" t="str">
        <x:v>未测</x:v>
      </x:c>
      <x:c r="N152" s="10" t="str"/>
      <x:c r="O152" s="9" t="str">
        <x:v>1. 来源（当前证据）：liveshow-proto/MainBasis/统一需求文档.md；位置：admin-host-live-record-report.html
2. 规则：BR-8AF8882EF10C22
3. 未动态验证</x:v>
      </x:c>
    </x:row>
    <x:row r="153" ht="85" customHeight="1">
      <x:c r="A153" s="10" t="n">
        <x:v>152</x:v>
      </x:c>
      <x:c r="B153" s="10" t="str">
        <x:v>ADMIN-0152</x:v>
      </x:c>
      <x:c r="C153" s="10" t="str">
        <x:v>数据报表</x:v>
      </x:c>
      <x:c r="D153" s="10" t="str">
        <x:v>充值消费汇总（每日）（平台管理员）</x:v>
      </x:c>
      <x:c r="E153" s="10" t="str">
        <x:v>逻辑校验</x:v>
      </x:c>
      <x:c r="F153" s="10" t="str">
        <x:v>P1</x:v>
      </x:c>
      <x:c r="G153" s="9" t="str">
        <x:v>验证充值消费汇总（每日）导出当前结果</x:v>
      </x:c>
      <x:c r="H153" s="9" t="str">
        <x:v>导出集合一致性</x:v>
      </x:c>
      <x:c r="I153" s="9" t="str">
        <x:v>1. 后台账号已登录且拥有本页及本次操作的授权
2. 当前日期筛选结果仅有目标记录甲；范围外存在记录乙</x:v>
      </x:c>
      <x:c r="J153" s="9" t="str">
        <x:v>1. 进入充值消费汇总（每日）
2. 点击导出
3. 打开导出文件</x:v>
      </x:c>
      <x:c r="K153" s="9" t="str">
        <x:v>导出记录仅包含甲</x:v>
      </x:c>
      <x:c r="L153" s="10" t="str">
        <x:v>FLOW-2BA2481A</x:v>
      </x:c>
      <x:c r="M153" s="10" t="str">
        <x:v>未测</x:v>
      </x:c>
      <x:c r="N153" s="10" t="str"/>
      <x:c r="O153" s="9" t="str">
        <x:v>1. 来源（当前证据）：liveshow-proto/MainBasis/统一需求文档.md；位置：admin-recharge-statistics.html
2. 规则：BR-258813E9E06449
3. 未动态验证</x:v>
      </x:c>
    </x:row>
    <x:row r="154" ht="85" customHeight="1">
      <x:c r="A154" s="10" t="n">
        <x:v>153</x:v>
      </x:c>
      <x:c r="B154" s="10" t="str">
        <x:v>ADMIN-0153</x:v>
      </x:c>
      <x:c r="C154" s="10" t="str">
        <x:v>数据报表</x:v>
      </x:c>
      <x:c r="D154" s="10" t="str">
        <x:v>充值用户分层汇总（每日）（平台管理员）</x:v>
      </x:c>
      <x:c r="E154" s="10" t="str">
        <x:v>逻辑校验</x:v>
      </x:c>
      <x:c r="F154" s="10" t="str">
        <x:v>P1</x:v>
      </x:c>
      <x:c r="G154" s="9" t="str">
        <x:v>验证充值用户分层汇总（每日）导出当前结果</x:v>
      </x:c>
      <x:c r="H154" s="9" t="str">
        <x:v>导出集合一致性</x:v>
      </x:c>
      <x:c r="I154" s="9" t="str">
        <x:v>1. 后台账号已登录且拥有本页及本次操作的授权
2. 当前日期筛选结果仅有目标记录甲；范围外存在记录乙</x:v>
      </x:c>
      <x:c r="J154" s="9" t="str">
        <x:v>1. 进入充值用户分层汇总（每日）
2. 点击导出
3. 打开导出文件</x:v>
      </x:c>
      <x:c r="K154" s="9" t="str">
        <x:v>导出记录仅包含甲</x:v>
      </x:c>
      <x:c r="L154" s="10" t="str">
        <x:v>FLOW-2BA2481A</x:v>
      </x:c>
      <x:c r="M154" s="10" t="str">
        <x:v>未测</x:v>
      </x:c>
      <x:c r="N154" s="10" t="str"/>
      <x:c r="O154" s="9" t="str">
        <x:v>1. 来源（当前证据）：liveshow-proto/MainBasis/统一需求文档.md；位置：admin-user-activity-statistics.html
2. 规则：BR-91194324B186DA
3. 未动态验证</x:v>
      </x:c>
    </x:row>
    <x:row r="155" ht="85" customHeight="1">
      <x:c r="A155" s="10" t="n">
        <x:v>154</x:v>
      </x:c>
      <x:c r="B155" s="10" t="str">
        <x:v>ADMIN-0154</x:v>
      </x:c>
      <x:c r="C155" s="10" t="str">
        <x:v>数据报表</x:v>
      </x:c>
      <x:c r="D155" s="10" t="str">
        <x:v>月度收益支出汇总（平台管理员）</x:v>
      </x:c>
      <x:c r="E155" s="10" t="str">
        <x:v>逻辑校验</x:v>
      </x:c>
      <x:c r="F155" s="10" t="str">
        <x:v>P1</x:v>
      </x:c>
      <x:c r="G155" s="9" t="str">
        <x:v>验证月度收益支出汇总导出当前结果</x:v>
      </x:c>
      <x:c r="H155" s="9" t="str">
        <x:v>导出集合一致性</x:v>
      </x:c>
      <x:c r="I155" s="9" t="str">
        <x:v>1. 后台账号已登录且拥有本页及本次操作的授权
2. 当前列表有记录甲和乙</x:v>
      </x:c>
      <x:c r="J155" s="9" t="str">
        <x:v>1. 进入月度收益支出汇总
2. 点击导出
3. 打开导出文件</x:v>
      </x:c>
      <x:c r="K155" s="9" t="str">
        <x:v>导出记录包含甲和乙</x:v>
      </x:c>
      <x:c r="L155" s="10" t="str"/>
      <x:c r="M155" s="10" t="str">
        <x:v>未测</x:v>
      </x:c>
      <x:c r="N155" s="10" t="str"/>
      <x:c r="O155" s="9" t="str">
        <x:v>1. 来源（当前证据）：liveshow-proto/MainBasis/统一需求文档.md；位置：admin-monthly-income-expense.html
2. 规则：BR-4FD084DF6D7F53
3. 未动态验证</x:v>
      </x:c>
    </x:row>
    <x:row r="156" ht="85" customHeight="1">
      <x:c r="A156" s="10" t="n">
        <x:v>155</x:v>
      </x:c>
      <x:c r="B156" s="10" t="str">
        <x:v>ADMIN-0155</x:v>
      </x:c>
      <x:c r="C156" s="10" t="str">
        <x:v>数据报表</x:v>
      </x:c>
      <x:c r="D156" s="10" t="str">
        <x:v>主播业绩分成报表（平台管理员）</x:v>
      </x:c>
      <x:c r="E156" s="10" t="str">
        <x:v>逻辑校验</x:v>
      </x:c>
      <x:c r="F156" s="10" t="str">
        <x:v>P1</x:v>
      </x:c>
      <x:c r="G156" s="9" t="str">
        <x:v>验证主播业绩分成报表导出当前结果</x:v>
      </x:c>
      <x:c r="H156" s="9" t="str">
        <x:v>导出集合一致性</x:v>
      </x:c>
      <x:c r="I156" s="9" t="str">
        <x:v>1. 后台账号已登录且拥有本页及本次操作的授权
2. 当前日期筛选结果仅有目标记录甲；范围外存在记录乙</x:v>
      </x:c>
      <x:c r="J156" s="9" t="str">
        <x:v>1. 进入主播业绩分成报表
2. 点击导出
3. 打开导出文件</x:v>
      </x:c>
      <x:c r="K156" s="9" t="str">
        <x:v>导出记录仅包含甲</x:v>
      </x:c>
      <x:c r="L156" s="10" t="str">
        <x:v>FLOW-3263DF8E</x:v>
      </x:c>
      <x:c r="M156" s="10" t="str">
        <x:v>未测</x:v>
      </x:c>
      <x:c r="N156" s="10" t="str"/>
      <x:c r="O156" s="9" t="str">
        <x:v>1. 来源（当前证据）：liveshow-proto/MainBasis/统一需求文档.md；位置：admin-monthly-host-share.html
2. 规则：BR-601AD35B82425F
3. 未动态验证</x:v>
      </x:c>
    </x:row>
    <x:row r="157" ht="85" customHeight="1">
      <x:c r="A157" s="10" t="n">
        <x:v>156</x:v>
      </x:c>
      <x:c r="B157" s="10" t="str">
        <x:v>ADMIN-0156</x:v>
      </x:c>
      <x:c r="C157" s="10" t="str">
        <x:v>数据报表</x:v>
      </x:c>
      <x:c r="D157" s="10" t="str">
        <x:v>主播礼物打赏明细报表（平台管理员）</x:v>
      </x:c>
      <x:c r="E157" s="10" t="str">
        <x:v>逻辑校验</x:v>
      </x:c>
      <x:c r="F157" s="10" t="str">
        <x:v>P1</x:v>
      </x:c>
      <x:c r="G157" s="9" t="str">
        <x:v>验证主播礼物打赏明细报表导出当前结果</x:v>
      </x:c>
      <x:c r="H157" s="9" t="str">
        <x:v>导出集合一致性</x:v>
      </x:c>
      <x:c r="I157" s="9" t="str">
        <x:v>1. 后台账号已登录且拥有本页及本次操作的授权
2. 当前日期筛选结果仅有目标记录甲；范围外存在记录乙</x:v>
      </x:c>
      <x:c r="J157" s="9" t="str">
        <x:v>1. 进入主播礼物打赏明细报表
2. 点击导出
3. 打开导出文件</x:v>
      </x:c>
      <x:c r="K157" s="9" t="str">
        <x:v>导出记录仅包含甲</x:v>
      </x:c>
      <x:c r="L157" s="10" t="str"/>
      <x:c r="M157" s="10" t="str">
        <x:v>未测</x:v>
      </x:c>
      <x:c r="N157" s="10" t="str"/>
      <x:c r="O157" s="9" t="str">
        <x:v>1. 来源（当前证据）：liveshow-proto/MainBasis/统一需求文档.md；位置：admin-monthly-host-earnings.html
2. 规则：BR-D598E6FD3A5330
3. 未动态验证</x:v>
      </x:c>
    </x:row>
    <x:row r="158" ht="85" customHeight="1">
      <x:c r="A158" s="10" t="n">
        <x:v>157</x:v>
      </x:c>
      <x:c r="B158" s="10" t="str">
        <x:v>ADMIN-0157</x:v>
      </x:c>
      <x:c r="C158" s="10" t="str">
        <x:v>数据报表</x:v>
      </x:c>
      <x:c r="D158" s="10" t="str">
        <x:v>用户消费汇总报表（平台管理员）</x:v>
      </x:c>
      <x:c r="E158" s="10" t="str">
        <x:v>逻辑校验</x:v>
      </x:c>
      <x:c r="F158" s="10" t="str">
        <x:v>P1</x:v>
      </x:c>
      <x:c r="G158" s="9" t="str">
        <x:v>验证用户消费汇总报表导出当前结果</x:v>
      </x:c>
      <x:c r="H158" s="9" t="str">
        <x:v>导出集合一致性</x:v>
      </x:c>
      <x:c r="I158" s="9" t="str">
        <x:v>1. 后台账号已登录且拥有本页及本次操作的授权
2. 当前日期筛选结果仅有目标记录甲；范围外存在记录乙</x:v>
      </x:c>
      <x:c r="J158" s="9" t="str">
        <x:v>1. 进入用户消费汇总报表
2. 点击导出
3. 打开导出文件</x:v>
      </x:c>
      <x:c r="K158" s="9" t="str">
        <x:v>导出记录仅包含甲</x:v>
      </x:c>
      <x:c r="L158" s="10" t="str"/>
      <x:c r="M158" s="10" t="str">
        <x:v>未测</x:v>
      </x:c>
      <x:c r="N158" s="10" t="str"/>
      <x:c r="O158" s="9" t="str">
        <x:v>1. 来源（当前证据）：liveshow-proto/MainBasis/统一需求文档.md；位置：admin-monthly-viewer-consumption.html
2. 规则：BR-1985927D13A584
3. 未动态验证</x:v>
      </x:c>
    </x:row>
    <x:row r="159" ht="85" customHeight="1">
      <x:c r="A159" s="10" t="n">
        <x:v>158</x:v>
      </x:c>
      <x:c r="B159" s="10" t="str">
        <x:v>ADMIN-0158</x:v>
      </x:c>
      <x:c r="C159" s="10" t="str">
        <x:v>数据报表</x:v>
      </x:c>
      <x:c r="D159" s="10" t="str">
        <x:v>礼物消费汇总报表（平台管理员）</x:v>
      </x:c>
      <x:c r="E159" s="10" t="str">
        <x:v>逻辑校验</x:v>
      </x:c>
      <x:c r="F159" s="10" t="str">
        <x:v>P1</x:v>
      </x:c>
      <x:c r="G159" s="9" t="str">
        <x:v>验证礼物消费汇总报表导出当前结果</x:v>
      </x:c>
      <x:c r="H159" s="9" t="str">
        <x:v>导出集合一致性</x:v>
      </x:c>
      <x:c r="I159" s="9" t="str">
        <x:v>1. 后台账号已登录且拥有本页及本次操作的授权
2. 当前日期筛选结果仅有目标记录甲；范围外存在记录乙</x:v>
      </x:c>
      <x:c r="J159" s="9" t="str">
        <x:v>1. 进入礼物消费汇总报表
2. 点击导出
3. 打开导出文件</x:v>
      </x:c>
      <x:c r="K159" s="9" t="str">
        <x:v>导出记录仅包含甲</x:v>
      </x:c>
      <x:c r="L159" s="10" t="str"/>
      <x:c r="M159" s="10" t="str">
        <x:v>未测</x:v>
      </x:c>
      <x:c r="N159" s="10" t="str"/>
      <x:c r="O159" s="9" t="str">
        <x:v>1. 来源（当前证据）：liveshow-proto/MainBasis/统一需求文档.md；位置：admin-monthly-gift-sales.html
2. 规则：BR-28C5D7CF4AC70B
3. 未动态验证</x:v>
      </x:c>
    </x:row>
    <x:row r="160" ht="85" customHeight="1">
      <x:c r="A160" s="10" t="n">
        <x:v>159</x:v>
      </x:c>
      <x:c r="B160" s="10" t="str">
        <x:v>ADMIN-0159</x:v>
      </x:c>
      <x:c r="C160" s="10" t="str">
        <x:v>数据报表</x:v>
      </x:c>
      <x:c r="D160" s="10" t="str">
        <x:v>消费订单明细（平台管理员）</x:v>
      </x:c>
      <x:c r="E160" s="10" t="str">
        <x:v>逻辑校验</x:v>
      </x:c>
      <x:c r="F160" s="10" t="str">
        <x:v>P1</x:v>
      </x:c>
      <x:c r="G160" s="9" t="str">
        <x:v>验证消费订单明细导出当前结果</x:v>
      </x:c>
      <x:c r="H160" s="9" t="str">
        <x:v>导出集合一致性</x:v>
      </x:c>
      <x:c r="I160" s="9" t="str">
        <x:v>1. 后台账号已登录且拥有本页及本次操作的授权
2. 当前日期筛选结果仅有目标记录甲；范围外存在记录乙</x:v>
      </x:c>
      <x:c r="J160" s="9" t="str">
        <x:v>1. 进入消费订单明细
2. 点击导出
3. 打开导出文件</x:v>
      </x:c>
      <x:c r="K160" s="9" t="str">
        <x:v>导出记录仅包含甲</x:v>
      </x:c>
      <x:c r="L160" s="10" t="str">
        <x:v>FLOW-C83DBB68</x:v>
      </x:c>
      <x:c r="M160" s="10" t="str">
        <x:v>未测</x:v>
      </x:c>
      <x:c r="N160" s="10" t="str"/>
      <x:c r="O160" s="9" t="str">
        <x:v>1. 来源（当前证据）：liveshow-proto/MainBasis/统一需求文档.md；位置：admin-consumption-order-detail-report.html
2. 规则：BR-E43482089E2218
3. 未动态验证</x:v>
      </x:c>
    </x:row>
    <x:row r="161" ht="85" customHeight="1">
      <x:c r="A161" s="10" t="n">
        <x:v>160</x:v>
      </x:c>
      <x:c r="B161" s="10" t="str">
        <x:v>ADMIN-0160</x:v>
      </x:c>
      <x:c r="C161" s="10" t="str">
        <x:v>数据报表</x:v>
      </x:c>
      <x:c r="D161" s="10" t="str">
        <x:v>退款订单明细（平台管理员）</x:v>
      </x:c>
      <x:c r="E161" s="10" t="str">
        <x:v>逻辑校验</x:v>
      </x:c>
      <x:c r="F161" s="10" t="str">
        <x:v>P1</x:v>
      </x:c>
      <x:c r="G161" s="9" t="str">
        <x:v>验证退款订单明细导出当前结果</x:v>
      </x:c>
      <x:c r="H161" s="9" t="str">
        <x:v>导出集合一致性</x:v>
      </x:c>
      <x:c r="I161" s="9" t="str">
        <x:v>1. 后台账号已登录且拥有本页及本次操作的授权
2. 当前日期筛选结果仅有目标记录甲；范围外存在记录乙</x:v>
      </x:c>
      <x:c r="J161" s="9" t="str">
        <x:v>1. 进入退款订单明细
2. 点击导出
3. 打开导出文件</x:v>
      </x:c>
      <x:c r="K161" s="9" t="str">
        <x:v>导出记录仅包含甲</x:v>
      </x:c>
      <x:c r="L161" s="10" t="str">
        <x:v>FLOW-2BA2481A</x:v>
      </x:c>
      <x:c r="M161" s="10" t="str">
        <x:v>未测</x:v>
      </x:c>
      <x:c r="N161" s="10" t="str"/>
      <x:c r="O161" s="9" t="str">
        <x:v>1. 来源（当前证据）：liveshow-proto/MainBasis/统一需求文档.md；位置：admin-refund-order-detail-report.html
2. 规则：BR-D7C6E513B13DC0
3. 未动态验证</x:v>
      </x:c>
    </x:row>
    <x:row r="162" ht="85" customHeight="1">
      <x:c r="A162" s="10" t="n">
        <x:v>161</x:v>
      </x:c>
      <x:c r="B162" s="10" t="str">
        <x:v>ADMIN-0161</x:v>
      </x:c>
      <x:c r="C162" s="10" t="str">
        <x:v>数据报表</x:v>
      </x:c>
      <x:c r="D162" s="10" t="str">
        <x:v>充值订单明细（平台管理员）</x:v>
      </x:c>
      <x:c r="E162" s="10" t="str">
        <x:v>逻辑校验</x:v>
      </x:c>
      <x:c r="F162" s="10" t="str">
        <x:v>P1</x:v>
      </x:c>
      <x:c r="G162" s="9" t="str">
        <x:v>验证充值订单明细导出当前结果</x:v>
      </x:c>
      <x:c r="H162" s="9" t="str">
        <x:v>导出集合一致性</x:v>
      </x:c>
      <x:c r="I162" s="9" t="str">
        <x:v>1. 后台账号已登录且拥有本页及本次操作的授权
2. 当前日期筛选结果仅有目标记录甲；范围外存在记录乙</x:v>
      </x:c>
      <x:c r="J162" s="9" t="str">
        <x:v>1. 进入充值订单明细
2. 点击导出
3. 打开导出文件</x:v>
      </x:c>
      <x:c r="K162" s="9" t="str">
        <x:v>导出记录仅包含甲</x:v>
      </x:c>
      <x:c r="L162" s="10" t="str">
        <x:v>FLOW-2BA2481A</x:v>
      </x:c>
      <x:c r="M162" s="10" t="str">
        <x:v>未测</x:v>
      </x:c>
      <x:c r="N162" s="10" t="str"/>
      <x:c r="O162" s="9" t="str">
        <x:v>1. 来源（当前证据）：liveshow-proto/MainBasis/统一需求文档.md；位置：admin-recharge-order-detail-report.html
2. 规则：BR-9A867813E90B21
3. 未动态验证</x:v>
      </x:c>
    </x:row>
    <x:row r="163" ht="85" customHeight="1">
      <x:c r="A163" s="10" t="n">
        <x:v>162</x:v>
      </x:c>
      <x:c r="B163" s="10" t="str">
        <x:v>ADMIN-0162</x:v>
      </x:c>
      <x:c r="C163" s="10" t="str">
        <x:v>数据报表</x:v>
      </x:c>
      <x:c r="D163" s="10" t="str">
        <x:v>报表中心（平台管理员）</x:v>
      </x:c>
      <x:c r="E163" s="10" t="str">
        <x:v>功能需求</x:v>
      </x:c>
      <x:c r="F163" s="10" t="str">
        <x:v>P1</x:v>
      </x:c>
      <x:c r="G163" s="9" t="str">
        <x:v>验证入口导航到指定页面</x:v>
      </x:c>
      <x:c r="H163" s="9" t="str">
        <x:v>页面导航</x:v>
      </x:c>
      <x:c r="I163" s="9" t="str">
        <x:v>1. 平台管理员已登录且拥有报表中心访问权限</x:v>
      </x:c>
      <x:c r="J163" s="9" t="str">
        <x:v>1. 进入报表中心
2. 点击入口</x:v>
      </x:c>
      <x:c r="K163" s="9" t="str">
        <x:v>进入对应报表</x:v>
      </x:c>
      <x:c r="L163" s="10" t="str">
        <x:v>FLOW-C83DBB68</x:v>
      </x:c>
      <x:c r="M163" s="10" t="str">
        <x:v>未测</x:v>
      </x:c>
      <x:c r="N163" s="10" t="str"/>
      <x:c r="O163" s="9" t="str">
        <x:v>1. 来源（当前证据）：liveshow-proto/MainBasis/统一需求文档.md；位置：admin-report-center.html
2. 规则：BR-59BEDB73DB5C02
3. 未动态验证</x:v>
      </x:c>
    </x:row>
    <x:row r="164" ht="85" customHeight="1">
      <x:c r="A164" s="10" t="n">
        <x:v>163</x:v>
      </x:c>
      <x:c r="B164" s="10" t="str">
        <x:v>ADMIN-0163</x:v>
      </x:c>
      <x:c r="C164" s="10" t="str">
        <x:v>系统配置</x:v>
      </x:c>
      <x:c r="D164" s="10" t="str">
        <x:v>账号编辑（超级管理员）</x:v>
      </x:c>
      <x:c r="E164" s="10" t="str">
        <x:v>逻辑校验</x:v>
      </x:c>
      <x:c r="F164" s="10" t="str">
        <x:v>P1</x:v>
      </x:c>
      <x:c r="G164" s="9" t="str">
        <x:v>验证后台账号未填写时不能提交</x:v>
      </x:c>
      <x:c r="H164" s="9" t="str">
        <x:v>后台账号必填</x:v>
      </x:c>
      <x:c r="I164" s="9" t="str">
        <x:v>1. 后台账号已登录且拥有本页及本次操作的授权
2. 除后台账号外必填项均为合法值</x:v>
      </x:c>
      <x:c r="J164" s="9" t="str">
        <x:v>1. 进入账号编辑的新建表单
2. 清空后台账号
3. 点击保存</x:v>
      </x:c>
      <x:c r="K164" s="9" t="str">
        <x:v>不提交缺少后台账号的记录</x:v>
      </x:c>
      <x:c r="L164" s="10" t="str"/>
      <x:c r="M164" s="10" t="str">
        <x:v>未测</x:v>
      </x:c>
      <x:c r="N164" s="10" t="str"/>
      <x:c r="O164" s="9" t="str">
        <x:v>1. 来源（当前证据）：liveshow-proto/MainBasis/统一需求文档.md；位置：admin-system-account-detail.html
2. 规则：BR-AE5CCBBEDFB763
3. 未动态验证</x:v>
      </x:c>
    </x:row>
    <x:row r="165" ht="85" customHeight="1">
      <x:c r="A165" s="10" t="n">
        <x:v>164</x:v>
      </x:c>
      <x:c r="B165" s="10" t="str">
        <x:v>ADMIN-0164</x:v>
      </x:c>
      <x:c r="C165" s="10" t="str">
        <x:v>系统配置</x:v>
      </x:c>
      <x:c r="D165" s="10" t="str">
        <x:v>账号编辑（超级管理员）</x:v>
      </x:c>
      <x:c r="E165" s="10" t="str">
        <x:v>逻辑校验</x:v>
      </x:c>
      <x:c r="F165" s="10" t="str">
        <x:v>P1</x:v>
      </x:c>
      <x:c r="G165" s="9" t="str">
        <x:v>验证姓名未填写时不能提交</x:v>
      </x:c>
      <x:c r="H165" s="9" t="str">
        <x:v>姓名必填</x:v>
      </x:c>
      <x:c r="I165" s="9" t="str">
        <x:v>1. 后台账号已登录且拥有本页及本次操作的授权
2. 除姓名外必填项均为合法值</x:v>
      </x:c>
      <x:c r="J165" s="9" t="str">
        <x:v>1. 进入账号编辑的新建表单
2. 清空姓名
3. 点击保存</x:v>
      </x:c>
      <x:c r="K165" s="9" t="str">
        <x:v>不提交缺少姓名的记录</x:v>
      </x:c>
      <x:c r="L165" s="10" t="str"/>
      <x:c r="M165" s="10" t="str">
        <x:v>未测</x:v>
      </x:c>
      <x:c r="N165" s="10" t="str"/>
      <x:c r="O165" s="9" t="str">
        <x:v>1. 来源（当前证据）：liveshow-proto/MainBasis/统一需求文档.md；位置：admin-system-account-detail.html
2. 规则：BR-8C24E16988EDA7
3. 未动态验证</x:v>
      </x:c>
    </x:row>
    <x:row r="166" ht="85" customHeight="1">
      <x:c r="A166" s="10" t="n">
        <x:v>165</x:v>
      </x:c>
      <x:c r="B166" s="10" t="str">
        <x:v>ADMIN-0165</x:v>
      </x:c>
      <x:c r="C166" s="10" t="str">
        <x:v>系统配置</x:v>
      </x:c>
      <x:c r="D166" s="10" t="str">
        <x:v>账号编辑（超级管理员）</x:v>
      </x:c>
      <x:c r="E166" s="10" t="str">
        <x:v>逻辑校验</x:v>
      </x:c>
      <x:c r="F166" s="10" t="str">
        <x:v>P1</x:v>
      </x:c>
      <x:c r="G166" s="9" t="str">
        <x:v>验证所属角色未填写时不能提交</x:v>
      </x:c>
      <x:c r="H166" s="9" t="str">
        <x:v>所属角色必填</x:v>
      </x:c>
      <x:c r="I166" s="9" t="str">
        <x:v>1. 后台账号已登录且拥有本页及本次操作的授权
2. 除所属角色外必填项均为合法值</x:v>
      </x:c>
      <x:c r="J166" s="9" t="str">
        <x:v>1. 进入账号编辑的新建表单
2. 取消选择所属角色
3. 点击保存</x:v>
      </x:c>
      <x:c r="K166" s="9" t="str">
        <x:v>不提交缺少所属角色的记录</x:v>
      </x:c>
      <x:c r="L166" s="10" t="str"/>
      <x:c r="M166" s="10" t="str">
        <x:v>未测</x:v>
      </x:c>
      <x:c r="N166" s="10" t="str"/>
      <x:c r="O166" s="9" t="str">
        <x:v>1. 来源（当前证据）：liveshow-proto/MainBasis/统一需求文档.md；位置：admin-system-account-detail.html
2. 规则：BR-0045FC5D2CAFFE
3. 未动态验证</x:v>
      </x:c>
    </x:row>
    <x:row r="167" ht="85" customHeight="1">
      <x:c r="A167" s="10" t="n">
        <x:v>166</x:v>
      </x:c>
      <x:c r="B167" s="10" t="str">
        <x:v>ADMIN-0166</x:v>
      </x:c>
      <x:c r="C167" s="10" t="str">
        <x:v>系统配置</x:v>
      </x:c>
      <x:c r="D167" s="10" t="str">
        <x:v>账号编辑（超级管理员）</x:v>
      </x:c>
      <x:c r="E167" s="10" t="str">
        <x:v>逻辑校验</x:v>
      </x:c>
      <x:c r="F167" s="10" t="str">
        <x:v>P1</x:v>
      </x:c>
      <x:c r="G167" s="9" t="str">
        <x:v>验证初始密码未填写时不能提交</x:v>
      </x:c>
      <x:c r="H167" s="9" t="str">
        <x:v>初始密码必填</x:v>
      </x:c>
      <x:c r="I167" s="9" t="str">
        <x:v>1. 后台账号已登录且拥有本页及本次操作的授权
2. 除初始密码外必填项均为合法值</x:v>
      </x:c>
      <x:c r="J167" s="9" t="str">
        <x:v>1. 进入账号编辑的新建表单
2. 清空初始密码
3. 点击保存</x:v>
      </x:c>
      <x:c r="K167" s="9" t="str">
        <x:v>不提交缺少初始密码的记录</x:v>
      </x:c>
      <x:c r="L167" s="10" t="str"/>
      <x:c r="M167" s="10" t="str">
        <x:v>未测</x:v>
      </x:c>
      <x:c r="N167" s="10" t="str"/>
      <x:c r="O167" s="9" t="str">
        <x:v>1. 来源（当前证据）：liveshow-proto/MainBasis/统一需求文档.md；位置：admin-system-account-detail.html
2. 规则：BR-80FF3604F64D2C
3. 未动态验证</x:v>
      </x:c>
    </x:row>
    <x:row r="168" ht="85" customHeight="1">
      <x:c r="A168" s="10" t="n">
        <x:v>167</x:v>
      </x:c>
      <x:c r="B168" s="10" t="str">
        <x:v>ADMIN-0167</x:v>
      </x:c>
      <x:c r="C168" s="10" t="str">
        <x:v>系统配置</x:v>
      </x:c>
      <x:c r="D168" s="10" t="str">
        <x:v>角色编辑（超级管理员）</x:v>
      </x:c>
      <x:c r="E168" s="10" t="str">
        <x:v>逻辑校验</x:v>
      </x:c>
      <x:c r="F168" s="10" t="str">
        <x:v>P1</x:v>
      </x:c>
      <x:c r="G168" s="9" t="str">
        <x:v>验证角色名称未填写时不能提交</x:v>
      </x:c>
      <x:c r="H168" s="9" t="str">
        <x:v>角色名称必填</x:v>
      </x:c>
      <x:c r="I168" s="9" t="str">
        <x:v>1. 后台账号已登录且拥有本页及本次操作的授权
2. 除角色名称外必填项均为合法值</x:v>
      </x:c>
      <x:c r="J168" s="9" t="str">
        <x:v>1. 进入角色编辑的新建表单
2. 清空角色名称
3. 点击保存</x:v>
      </x:c>
      <x:c r="K168" s="9" t="str">
        <x:v>不提交缺少角色名称的记录</x:v>
      </x:c>
      <x:c r="L168" s="10" t="str"/>
      <x:c r="M168" s="10" t="str">
        <x:v>未测</x:v>
      </x:c>
      <x:c r="N168" s="10" t="str"/>
      <x:c r="O168" s="9" t="str">
        <x:v>1. 来源（当前证据）：liveshow-proto/MainBasis/统一需求文档.md；位置：admin-system-role-detail.html
2. 规则：BR-9422D2D74AA4F1
3. 未动态验证</x:v>
      </x:c>
    </x:row>
    <x:row r="169" ht="85" customHeight="1">
      <x:c r="A169" s="10" t="n">
        <x:v>168</x:v>
      </x:c>
      <x:c r="B169" s="10" t="str">
        <x:v>ADMIN-0168</x:v>
      </x:c>
      <x:c r="C169" s="10" t="str">
        <x:v>系统配置</x:v>
      </x:c>
      <x:c r="D169" s="10" t="str">
        <x:v>账号编辑（超级管理员）</x:v>
      </x:c>
      <x:c r="E169" s="10" t="str">
        <x:v>功能需求</x:v>
      </x:c>
      <x:c r="F169" s="10" t="str">
        <x:v>P1</x:v>
      </x:c>
      <x:c r="G169" s="9" t="str">
        <x:v>验证编辑时账号 ID不可修改</x:v>
      </x:c>
      <x:c r="H169" s="9" t="str">
        <x:v>账号 ID只读</x:v>
      </x:c>
      <x:c r="I169" s="9" t="str">
        <x:v>1. 后台账号已登录且拥有本页及本次操作的授权
2. 已有记录的账号 ID已生成</x:v>
      </x:c>
      <x:c r="J169" s="9" t="str">
        <x:v>1. 进入已有账号编辑
2. 查看账号 ID</x:v>
      </x:c>
      <x:c r="K169" s="9" t="str">
        <x:v>账号 ID不可编辑</x:v>
      </x:c>
      <x:c r="L169" s="10" t="str"/>
      <x:c r="M169" s="10" t="str">
        <x:v>未测</x:v>
      </x:c>
      <x:c r="N169" s="10" t="str"/>
      <x:c r="O169" s="9" t="str">
        <x:v>1. 来源（当前证据）：liveshow-proto/MainBasis/统一需求文档.md；位置：admin-system-account-detail.html
2. 规则：BR-9244D72119B030
3. 未动态验证</x:v>
      </x:c>
    </x:row>
    <x:row r="170" ht="85" customHeight="1">
      <x:c r="A170" s="10" t="n">
        <x:v>169</x:v>
      </x:c>
      <x:c r="B170" s="10" t="str">
        <x:v>ADMIN-0169</x:v>
      </x:c>
      <x:c r="C170" s="10" t="str">
        <x:v>系统配置</x:v>
      </x:c>
      <x:c r="D170" s="10" t="str">
        <x:v>角色编辑（超级管理员）</x:v>
      </x:c>
      <x:c r="E170" s="10" t="str">
        <x:v>功能需求</x:v>
      </x:c>
      <x:c r="F170" s="10" t="str">
        <x:v>P1</x:v>
      </x:c>
      <x:c r="G170" s="9" t="str">
        <x:v>验证编辑时角色 ID不可修改</x:v>
      </x:c>
      <x:c r="H170" s="9" t="str">
        <x:v>角色 ID只读</x:v>
      </x:c>
      <x:c r="I170" s="9" t="str">
        <x:v>1. 后台账号已登录且拥有本页及本次操作的授权
2. 已有记录的角色 ID已生成</x:v>
      </x:c>
      <x:c r="J170" s="9" t="str">
        <x:v>1. 进入已有角色编辑
2. 查看角色 ID</x:v>
      </x:c>
      <x:c r="K170" s="9" t="str">
        <x:v>角色 ID不可编辑</x:v>
      </x:c>
      <x:c r="L170" s="10" t="str"/>
      <x:c r="M170" s="10" t="str">
        <x:v>未测</x:v>
      </x:c>
      <x:c r="N170" s="10" t="str"/>
      <x:c r="O170" s="9" t="str">
        <x:v>1. 来源（当前证据）：liveshow-proto/MainBasis/统一需求文档.md；位置：admin-system-role-detail.html
2. 规则：BR-F0EE3723582C8F
3. 未动态验证</x:v>
      </x:c>
    </x:row>
    <x:row r="171" ht="85" customHeight="1">
      <x:c r="A171" s="10" t="n">
        <x:v>170</x:v>
      </x:c>
      <x:c r="B171" s="10" t="str">
        <x:v>ADMIN-0170</x:v>
      </x:c>
      <x:c r="C171" s="10" t="str">
        <x:v>系统配置</x:v>
      </x:c>
      <x:c r="D171" s="10" t="str">
        <x:v>后台账号（超级管理员）</x:v>
      </x:c>
      <x:c r="E171" s="10" t="str">
        <x:v>功能需求</x:v>
      </x:c>
      <x:c r="F171" s="10" t="str">
        <x:v>P1</x:v>
      </x:c>
      <x:c r="G171" s="9" t="str">
        <x:v>验证超级管理员账号不可停用</x:v>
      </x:c>
      <x:c r="H171" s="9" t="str">
        <x:v>保留维护账号</x:v>
      </x:c>
      <x:c r="I171" s="9" t="str">
        <x:v>1. 后台账号已登录且拥有本页及本次操作的授权
2. 执行账号为超级管理员</x:v>
      </x:c>
      <x:c r="J171" s="9" t="str">
        <x:v>1. 进入后台账号列表
2. 查看超级管理员账号状态操作</x:v>
      </x:c>
      <x:c r="K171" s="9" t="str">
        <x:v>不提供停用超级管理员账号的操作</x:v>
      </x:c>
      <x:c r="L171" s="10" t="str"/>
      <x:c r="M171" s="10" t="str">
        <x:v>未测</x:v>
      </x:c>
      <x:c r="N171" s="10" t="str"/>
      <x:c r="O171" s="9" t="str">
        <x:v>1. 来源（当前证据）：liveshow-proto/MainBasis/统一需求文档.md；位置：admin-system-account.html
2. 规则：BR-D96B3805441FED
3. 未动态验证</x:v>
      </x:c>
    </x:row>
    <x:row r="172" ht="85" customHeight="1">
      <x:c r="A172" s="10" t="n">
        <x:v>171</x:v>
      </x:c>
      <x:c r="B172" s="10" t="str">
        <x:v>ADMIN-0171</x:v>
      </x:c>
      <x:c r="C172" s="10" t="str">
        <x:v>系统配置</x:v>
      </x:c>
      <x:c r="D172" s="10" t="str">
        <x:v>后台账号（超级管理员）</x:v>
      </x:c>
      <x:c r="E172" s="10" t="str">
        <x:v>功能需求</x:v>
      </x:c>
      <x:c r="F172" s="10" t="str">
        <x:v>P1</x:v>
      </x:c>
      <x:c r="G172" s="9" t="str">
        <x:v>验证普通后台账号停用禁止登录</x:v>
      </x:c>
      <x:c r="H172" s="9" t="str">
        <x:v>后台登录限制</x:v>
      </x:c>
      <x:c r="I172" s="9" t="str">
        <x:v>1. 后台账号已登录且拥有本页及本次操作的授权
2. 目标为可用普通后台账号</x:v>
      </x:c>
      <x:c r="J172" s="9" t="str">
        <x:v>1. 进入后台账号列表
2. 停用目标账号并填写原因确认</x:v>
      </x:c>
      <x:c r="K172" s="9" t="str">
        <x:v>目标账号不能再登录管理后台</x:v>
      </x:c>
      <x:c r="L172" s="10" t="str"/>
      <x:c r="M172" s="10" t="str">
        <x:v>未测</x:v>
      </x:c>
      <x:c r="N172" s="10" t="str"/>
      <x:c r="O172" s="9" t="str">
        <x:v>1. 来源（当前证据）：liveshow-proto/MainBasis/统一需求文档.md；位置：admin-system-account.html
2. 规则：BR-1D102BF87197EF
3. 未动态验证</x:v>
      </x:c>
    </x:row>
    <x:row r="173" ht="85" customHeight="1">
      <x:c r="A173" s="10" t="n">
        <x:v>172</x:v>
      </x:c>
      <x:c r="B173" s="10" t="str">
        <x:v>ADMIN-0172</x:v>
      </x:c>
      <x:c r="C173" s="10" t="str">
        <x:v>系统配置</x:v>
      </x:c>
      <x:c r="D173" s="10" t="str">
        <x:v>角色管理（超级管理员）</x:v>
      </x:c>
      <x:c r="E173" s="10" t="str">
        <x:v>功能需求</x:v>
      </x:c>
      <x:c r="F173" s="10" t="str">
        <x:v>P1</x:v>
      </x:c>
      <x:c r="G173" s="9" t="str">
        <x:v>验证超级管理员角色不可修改</x:v>
      </x:c>
      <x:c r="H173" s="9" t="str">
        <x:v>超级角色保护</x:v>
      </x:c>
      <x:c r="I173" s="9" t="str">
        <x:v>1. 后台账号已登录且拥有本页及本次操作的授权
2. 执行账号为超级管理员</x:v>
      </x:c>
      <x:c r="J173" s="9" t="str">
        <x:v>1. 进入角色列表
2. 查看超级管理员角色操作</x:v>
      </x:c>
      <x:c r="K173" s="9" t="str">
        <x:v>不提供编辑或停用入口</x:v>
      </x:c>
      <x:c r="L173" s="10" t="str"/>
      <x:c r="M173" s="10" t="str">
        <x:v>未测</x:v>
      </x:c>
      <x:c r="N173" s="10" t="str"/>
      <x:c r="O173" s="9" t="str">
        <x:v>1. 来源（当前证据）：liveshow-proto/MainBasis/统一需求文档.md；位置：admin-system-role.html
2. 规则：BR-5881F782E47C59
3. 未动态验证</x:v>
      </x:c>
    </x:row>
    <x:row r="174" ht="85" customHeight="1">
      <x:c r="A174" s="10" t="n">
        <x:v>173</x:v>
      </x:c>
      <x:c r="B174" s="10" t="str">
        <x:v>ADMIN-0173</x:v>
      </x:c>
      <x:c r="C174" s="10" t="str">
        <x:v>系统配置</x:v>
      </x:c>
      <x:c r="D174" s="10" t="str">
        <x:v>角色管理（超级管理员）</x:v>
      </x:c>
      <x:c r="E174" s="10" t="str">
        <x:v>功能需求</x:v>
      </x:c>
      <x:c r="F174" s="10" t="str">
        <x:v>P1</x:v>
      </x:c>
      <x:c r="G174" s="9" t="str">
        <x:v>验证停用角色收回关联账号权限</x:v>
      </x:c>
      <x:c r="H174" s="9" t="str">
        <x:v>角色权限收回</x:v>
      </x:c>
      <x:c r="I174" s="9" t="str">
        <x:v>1. 后台账号已登录且拥有本页及本次操作的授权
2. 普通角色已绑定后台账号海风</x:v>
      </x:c>
      <x:c r="J174" s="9" t="str">
        <x:v>1. 进入角色列表
2. 停用该角色并确认</x:v>
      </x:c>
      <x:c r="K174" s="9" t="str">
        <x:v>海风失去该角色授予的菜单权限</x:v>
      </x:c>
      <x:c r="L174" s="10" t="str"/>
      <x:c r="M174" s="10" t="str">
        <x:v>未测</x:v>
      </x:c>
      <x:c r="N174" s="10" t="str"/>
      <x:c r="O174" s="9" t="str">
        <x:v>1. 来源（当前证据）：liveshow-proto/MainBasis/统一需求文档.md；位置：admin-system-role.html
2. 规则：BR-041C1CB97BD8CE
3. 未动态验证</x:v>
      </x:c>
    </x:row>
    <x:row r="175" ht="85" customHeight="1">
      <x:c r="A175" s="10" t="n">
        <x:v>174</x:v>
      </x:c>
      <x:c r="B175" s="10" t="str">
        <x:v>ADMIN-0174</x:v>
      </x:c>
      <x:c r="C175" s="10" t="str">
        <x:v>系统配置</x:v>
      </x:c>
      <x:c r="D175" s="10" t="str">
        <x:v>角色编辑（超级管理员）</x:v>
      </x:c>
      <x:c r="E175" s="10" t="str">
        <x:v>功能需求</x:v>
      </x:c>
      <x:c r="F175" s="10" t="str">
        <x:v>P1</x:v>
      </x:c>
      <x:c r="G175" s="9" t="str">
        <x:v>验证权限树选中数量只计叶子</x:v>
      </x:c>
      <x:c r="H175" s="9" t="str">
        <x:v>权限树计数</x:v>
      </x:c>
      <x:c r="I175" s="9" t="str">
        <x:v>1. 后台账号已登录且拥有本页及本次操作的授权
2. 执行账号为超级管理员，已清空所选权限</x:v>
      </x:c>
      <x:c r="J175" s="9" t="str">
        <x:v>1. 进入普通角色详情
2. 勾选一个包含2个叶子权限的父节点</x:v>
      </x:c>
      <x:c r="K175" s="9" t="str">
        <x:v>已选权限数显示2</x:v>
      </x:c>
      <x:c r="L175" s="10" t="str"/>
      <x:c r="M175" s="10" t="str">
        <x:v>未测</x:v>
      </x:c>
      <x:c r="N175" s="10" t="str"/>
      <x:c r="O175" s="9" t="str">
        <x:v>1. 来源（当前证据）：liveshow-proto/MainBasis/统一需求文档.md；位置：admin-system-role-detail.html
2. 规则：BR-D252D3C5CF987F
3. 未动态验证</x:v>
      </x:c>
    </x:row>
    <x:row r="176" ht="85" customHeight="1">
      <x:c r="A176" s="10" t="n">
        <x:v>175</x:v>
      </x:c>
      <x:c r="B176" s="10" t="str">
        <x:v>ADMIN-0175</x:v>
      </x:c>
      <x:c r="C176" s="10" t="str">
        <x:v>系统配置</x:v>
      </x:c>
      <x:c r="D176" s="10" t="str">
        <x:v>角色编辑（超级管理员）</x:v>
      </x:c>
      <x:c r="E176" s="10" t="str">
        <x:v>功能需求</x:v>
      </x:c>
      <x:c r="F176" s="10" t="str">
        <x:v>P1</x:v>
      </x:c>
      <x:c r="G176" s="9" t="str">
        <x:v>验证角色名称全局唯一</x:v>
      </x:c>
      <x:c r="H176" s="9" t="str">
        <x:v>角色名称唯一</x:v>
      </x:c>
      <x:c r="I176" s="9" t="str">
        <x:v>1. 后台账号已登录且拥有本页及本次操作的授权
2. 已有角色“审核员”</x:v>
      </x:c>
      <x:c r="J176" s="9" t="str">
        <x:v>1. 进入普通角色详情
2. 新建同名角色并保存</x:v>
      </x:c>
      <x:c r="K176" s="9" t="str">
        <x:v>不能保存重复角色名称</x:v>
      </x:c>
      <x:c r="L176" s="10" t="str"/>
      <x:c r="M176" s="10" t="str">
        <x:v>未测</x:v>
      </x:c>
      <x:c r="N176" s="10" t="str"/>
      <x:c r="O176" s="9" t="str">
        <x:v>1. 来源（当前证据）：liveshow-proto/MainBasis/统一需求文档.md；位置：admin-system-role-detail.html
2. 规则：BR-392877E493C462
3. 未动态验证</x:v>
      </x:c>
    </x:row>
    <x:row r="177" ht="85" customHeight="1">
      <x:c r="A177" s="10" t="n">
        <x:v>176</x:v>
      </x:c>
      <x:c r="B177" s="10" t="str">
        <x:v>ADMIN-0176</x:v>
      </x:c>
      <x:c r="C177" s="10" t="str">
        <x:v>用户管理</x:v>
      </x:c>
      <x:c r="D177" s="10" t="str">
        <x:v>用户列表（平台管理员）</x:v>
      </x:c>
      <x:c r="E177" s="10" t="str">
        <x:v>功能需求</x:v>
      </x:c>
      <x:c r="F177" s="10" t="str">
        <x:v>P1</x:v>
      </x:c>
      <x:c r="G177" s="9" t="str">
        <x:v>验证账号封禁强制退出登录</x:v>
      </x:c>
      <x:c r="H177" s="9" t="str">
        <x:v>账号封禁在线效果</x:v>
      </x:c>
      <x:c r="I177" s="9" t="str">
        <x:v>1. 后台账号已登录且拥有本页及本次操作的授权
2. 海风当前已登录用户App</x:v>
      </x:c>
      <x:c r="J177" s="9" t="str">
        <x:v>1. 进入用户列表
2. 封禁海风并填写原因确认</x:v>
      </x:c>
      <x:c r="K177" s="9" t="str">
        <x:v>海风已建立的登录会话被强制下线</x:v>
      </x:c>
      <x:c r="L177" s="10" t="str">
        <x:v>FLOW-311BB313</x:v>
      </x:c>
      <x:c r="M177" s="10" t="str">
        <x:v>未测</x:v>
      </x:c>
      <x:c r="N177" s="10" t="str"/>
      <x:c r="O177" s="9" t="str">
        <x:v>1. 来源（当前证据）：liveshow-proto/MainBasis/统一需求文档.md；位置：admin-user-list.html
2. 规则：BR-AA5984D73F3B29
3. 未动态验证</x:v>
      </x:c>
    </x:row>
    <x:row r="178" ht="85" customHeight="1">
      <x:c r="A178" s="10" t="n">
        <x:v>177</x:v>
      </x:c>
      <x:c r="B178" s="10" t="str">
        <x:v>ADMIN-0177</x:v>
      </x:c>
      <x:c r="C178" s="10" t="str">
        <x:v>用户管理</x:v>
      </x:c>
      <x:c r="D178" s="10" t="str">
        <x:v>用户列表（平台管理员）</x:v>
      </x:c>
      <x:c r="E178" s="10" t="str">
        <x:v>功能需求</x:v>
      </x:c>
      <x:c r="F178" s="10" t="str">
        <x:v>P1</x:v>
      </x:c>
      <x:c r="G178" s="9" t="str">
        <x:v>验证主播账号封禁结束在播场次</x:v>
      </x:c>
      <x:c r="H178" s="9" t="str">
        <x:v>账号封禁关播</x:v>
      </x:c>
      <x:c r="I178" s="9" t="str">
        <x:v>1. 后台账号已登录且拥有本页及本次操作的授权
2. 海风有主播身份且正在直播</x:v>
      </x:c>
      <x:c r="J178" s="9" t="str">
        <x:v>1. 进入用户列表
2. 封禁海风并填写原因确认</x:v>
      </x:c>
      <x:c r="K178" s="9" t="str">
        <x:v>海风当前直播场次结束</x:v>
      </x:c>
      <x:c r="L178" s="10" t="str">
        <x:v>FLOW-311BB313</x:v>
      </x:c>
      <x:c r="M178" s="10" t="str">
        <x:v>未测</x:v>
      </x:c>
      <x:c r="N178" s="10" t="str"/>
      <x:c r="O178" s="9" t="str">
        <x:v>1. 来源（当前证据）：liveshow-proto/MainBasis/统一需求文档.md；位置：admin-user-list.html
2. 规则：BR-C58E73976C0558
3. 未动态验证</x:v>
      </x:c>
    </x:row>
    <x:row r="179" ht="85" customHeight="1">
      <x:c r="A179" s="10" t="n">
        <x:v>178</x:v>
      </x:c>
      <x:c r="B179" s="10" t="str">
        <x:v>ADMIN-0178</x:v>
      </x:c>
      <x:c r="C179" s="10" t="str">
        <x:v>用户管理</x:v>
      </x:c>
      <x:c r="D179" s="10" t="str">
        <x:v>用户列表（平台管理员）</x:v>
      </x:c>
      <x:c r="E179" s="10" t="str">
        <x:v>功能需求</x:v>
      </x:c>
      <x:c r="F179" s="10" t="str">
        <x:v>P1</x:v>
      </x:c>
      <x:c r="G179" s="9" t="str">
        <x:v>验证账号状态只有正常和封禁</x:v>
      </x:c>
      <x:c r="H179" s="9" t="str">
        <x:v>账号状态枚举</x:v>
      </x:c>
      <x:c r="I179" s="9" t="str">
        <x:v>1. 后台账号已登录且拥有本页及本次操作的授权</x:v>
      </x:c>
      <x:c r="J179" s="9" t="str">
        <x:v>1. 进入用户列表
2. 查看账号状态筛选</x:v>
      </x:c>
      <x:c r="K179" s="9" t="str">
        <x:v>选项不包含直播间禁言状态</x:v>
      </x:c>
      <x:c r="L179" s="10" t="str"/>
      <x:c r="M179" s="10" t="str">
        <x:v>未测</x:v>
      </x:c>
      <x:c r="N179" s="10" t="str"/>
      <x:c r="O179" s="9" t="str">
        <x:v>1. 来源（当前证据）：liveshow-proto/MainBasis/统一需求文档.md；位置：admin-user-list.html
2. 规则：BR-72E5560152340A
3. 未动态验证</x:v>
      </x:c>
    </x:row>
    <x:row r="180" ht="85" customHeight="1">
      <x:c r="A180" s="10" t="n">
        <x:v>179</x:v>
      </x:c>
      <x:c r="B180" s="10" t="str">
        <x:v>ADMIN-0179</x:v>
      </x:c>
      <x:c r="C180" s="10" t="str">
        <x:v>用户管理</x:v>
      </x:c>
      <x:c r="D180" s="10" t="str">
        <x:v>用户列表（平台管理员）</x:v>
      </x:c>
      <x:c r="E180" s="10" t="str">
        <x:v>功能需求</x:v>
      </x:c>
      <x:c r="F180" s="10" t="str">
        <x:v>P1</x:v>
      </x:c>
      <x:c r="G180" s="9" t="str">
        <x:v>验证财富等级范围不能倒置</x:v>
      </x:c>
      <x:c r="H180" s="9" t="str">
        <x:v>等级筛选上下界</x:v>
      </x:c>
      <x:c r="I180" s="9" t="str">
        <x:v>1. 后台账号已登录且拥有本页及本次操作的授权</x:v>
      </x:c>
      <x:c r="J180" s="9" t="str">
        <x:v>1. 进入用户列表
2. 输入等级下限10和上限9
3. 点击查询</x:v>
      </x:c>
      <x:c r="K180" s="9" t="str">
        <x:v>不能执行倒置等级范围查询</x:v>
      </x:c>
      <x:c r="L180" s="10" t="str"/>
      <x:c r="M180" s="10" t="str">
        <x:v>未测</x:v>
      </x:c>
      <x:c r="N180" s="10" t="str"/>
      <x:c r="O180" s="9" t="str">
        <x:v>1. 来源（当前证据）：liveshow-proto/MainBasis/统一需求文档.md；位置：admin-user-list.html
2. 规则：BR-DB1757D6D09287
3. 未动态验证</x:v>
      </x:c>
    </x:row>
    <x:row r="181" ht="85" customHeight="1">
      <x:c r="A181" s="10" t="n">
        <x:v>180</x:v>
      </x:c>
      <x:c r="B181" s="10" t="str">
        <x:v>ADMIN-0180</x:v>
      </x:c>
      <x:c r="C181" s="10" t="str">
        <x:v>运营配置</x:v>
      </x:c>
      <x:c r="D181" s="10" t="str">
        <x:v>推送配置（平台管理员）</x:v>
      </x:c>
      <x:c r="E181" s="10" t="str">
        <x:v>逻辑校验</x:v>
      </x:c>
      <x:c r="F181" s="10" t="str">
        <x:v>P1</x:v>
      </x:c>
      <x:c r="G181" s="9" t="str">
        <x:v>验证中文标题未填写时不能提交</x:v>
      </x:c>
      <x:c r="H181" s="9" t="str">
        <x:v>中文标题必填</x:v>
      </x:c>
      <x:c r="I181" s="9" t="str">
        <x:v>1. 后台账号已登录且拥有本页及本次操作的授权
2. 除中文标题外必填项均为合法值</x:v>
      </x:c>
      <x:c r="J181" s="9" t="str">
        <x:v>1. 进入推送配置的新建表单
2. 清空中文标题
3. 点击立即发送</x:v>
      </x:c>
      <x:c r="K181" s="9" t="str">
        <x:v>不提交缺少中文标题的记录</x:v>
      </x:c>
      <x:c r="L181" s="10" t="str"/>
      <x:c r="M181" s="10" t="str">
        <x:v>未测</x:v>
      </x:c>
      <x:c r="N181" s="10" t="str"/>
      <x:c r="O181" s="9" t="str">
        <x:v>1. 来源（当前证据）：liveshow-proto/MainBasis/统一需求文档.md；位置：admin-push-detail.html
2. 规则：BR-57FFBC4FA60FE6
3. 未动态验证</x:v>
      </x:c>
    </x:row>
    <x:row r="182" ht="85" customHeight="1">
      <x:c r="A182" s="10" t="n">
        <x:v>181</x:v>
      </x:c>
      <x:c r="B182" s="10" t="str">
        <x:v>ADMIN-0181</x:v>
      </x:c>
      <x:c r="C182" s="10" t="str">
        <x:v>运营配置</x:v>
      </x:c>
      <x:c r="D182" s="10" t="str">
        <x:v>推送配置（平台管理员）</x:v>
      </x:c>
      <x:c r="E182" s="10" t="str">
        <x:v>逻辑校验</x:v>
      </x:c>
      <x:c r="F182" s="10" t="str">
        <x:v>P1</x:v>
      </x:c>
      <x:c r="G182" s="9" t="str">
        <x:v>验证英文标题未填写时不能提交</x:v>
      </x:c>
      <x:c r="H182" s="9" t="str">
        <x:v>英文标题必填</x:v>
      </x:c>
      <x:c r="I182" s="9" t="str">
        <x:v>1. 后台账号已登录且拥有本页及本次操作的授权
2. 除英文标题外必填项均为合法值</x:v>
      </x:c>
      <x:c r="J182" s="9" t="str">
        <x:v>1. 进入推送配置的新建表单
2. 清空英文标题
3. 点击立即发送</x:v>
      </x:c>
      <x:c r="K182" s="9" t="str">
        <x:v>不提交缺少英文标题的记录</x:v>
      </x:c>
      <x:c r="L182" s="10" t="str"/>
      <x:c r="M182" s="10" t="str">
        <x:v>未测</x:v>
      </x:c>
      <x:c r="N182" s="10" t="str"/>
      <x:c r="O182" s="9" t="str">
        <x:v>1. 来源（当前证据）：liveshow-proto/MainBasis/统一需求文档.md；位置：admin-push-detail.html
2. 规则：BR-A181FA96F0AF2C
3. 未动态验证</x:v>
      </x:c>
    </x:row>
    <x:row r="183" ht="85" customHeight="1">
      <x:c r="A183" s="10" t="n">
        <x:v>182</x:v>
      </x:c>
      <x:c r="B183" s="10" t="str">
        <x:v>ADMIN-0182</x:v>
      </x:c>
      <x:c r="C183" s="10" t="str">
        <x:v>运营配置</x:v>
      </x:c>
      <x:c r="D183" s="10" t="str">
        <x:v>推送配置（平台管理员）</x:v>
      </x:c>
      <x:c r="E183" s="10" t="str">
        <x:v>逻辑校验</x:v>
      </x:c>
      <x:c r="F183" s="10" t="str">
        <x:v>P1</x:v>
      </x:c>
      <x:c r="G183" s="9" t="str">
        <x:v>验证印尼语标题未填写时不能提交</x:v>
      </x:c>
      <x:c r="H183" s="9" t="str">
        <x:v>印尼语标题必填</x:v>
      </x:c>
      <x:c r="I183" s="9" t="str">
        <x:v>1. 后台账号已登录且拥有本页及本次操作的授权
2. 除印尼语标题外必填项均为合法值</x:v>
      </x:c>
      <x:c r="J183" s="9" t="str">
        <x:v>1. 进入推送配置的新建表单
2. 清空印尼语标题
3. 点击立即发送</x:v>
      </x:c>
      <x:c r="K183" s="9" t="str">
        <x:v>不提交缺少印尼语标题的记录</x:v>
      </x:c>
      <x:c r="L183" s="10" t="str"/>
      <x:c r="M183" s="10" t="str">
        <x:v>未测</x:v>
      </x:c>
      <x:c r="N183" s="10" t="str"/>
      <x:c r="O183" s="9" t="str">
        <x:v>1. 来源（当前证据）：liveshow-proto/MainBasis/统一需求文档.md；位置：admin-push-detail.html
2. 规则：BR-CDC49AAA20EBE6
3. 未动态验证</x:v>
      </x:c>
    </x:row>
    <x:row r="184" ht="85" customHeight="1">
      <x:c r="A184" s="10" t="n">
        <x:v>183</x:v>
      </x:c>
      <x:c r="B184" s="10" t="str">
        <x:v>ADMIN-0183</x:v>
      </x:c>
      <x:c r="C184" s="10" t="str">
        <x:v>运营配置</x:v>
      </x:c>
      <x:c r="D184" s="10" t="str">
        <x:v>推送配置（平台管理员）</x:v>
      </x:c>
      <x:c r="E184" s="10" t="str">
        <x:v>逻辑校验</x:v>
      </x:c>
      <x:c r="F184" s="10" t="str">
        <x:v>P1</x:v>
      </x:c>
      <x:c r="G184" s="9" t="str">
        <x:v>验证马来语标题未填写时不能提交</x:v>
      </x:c>
      <x:c r="H184" s="9" t="str">
        <x:v>马来语标题必填</x:v>
      </x:c>
      <x:c r="I184" s="9" t="str">
        <x:v>1. 后台账号已登录且拥有本页及本次操作的授权
2. 除马来语标题外必填项均为合法值</x:v>
      </x:c>
      <x:c r="J184" s="9" t="str">
        <x:v>1. 进入推送配置的新建表单
2. 清空马来语标题
3. 点击立即发送</x:v>
      </x:c>
      <x:c r="K184" s="9" t="str">
        <x:v>不提交缺少马来语标题的记录</x:v>
      </x:c>
      <x:c r="L184" s="10" t="str"/>
      <x:c r="M184" s="10" t="str">
        <x:v>未测</x:v>
      </x:c>
      <x:c r="N184" s="10" t="str"/>
      <x:c r="O184" s="9" t="str">
        <x:v>1. 来源（当前证据）：liveshow-proto/MainBasis/统一需求文档.md；位置：admin-push-detail.html
2. 规则：BR-74C9904801D806
3. 未动态验证</x:v>
      </x:c>
    </x:row>
    <x:row r="185" ht="85" customHeight="1">
      <x:c r="A185" s="10" t="n">
        <x:v>184</x:v>
      </x:c>
      <x:c r="B185" s="10" t="str">
        <x:v>ADMIN-0184</x:v>
      </x:c>
      <x:c r="C185" s="10" t="str">
        <x:v>运营配置</x:v>
      </x:c>
      <x:c r="D185" s="10" t="str">
        <x:v>推送配置（平台管理员）</x:v>
      </x:c>
      <x:c r="E185" s="10" t="str">
        <x:v>逻辑校验</x:v>
      </x:c>
      <x:c r="F185" s="10" t="str">
        <x:v>P1</x:v>
      </x:c>
      <x:c r="G185" s="9" t="str">
        <x:v>验证中文内容未填写时不能提交</x:v>
      </x:c>
      <x:c r="H185" s="9" t="str">
        <x:v>中文内容必填</x:v>
      </x:c>
      <x:c r="I185" s="9" t="str">
        <x:v>1. 后台账号已登录且拥有本页及本次操作的授权
2. 除中文内容外必填项均为合法值</x:v>
      </x:c>
      <x:c r="J185" s="9" t="str">
        <x:v>1. 进入推送配置的新建表单
2. 清空中文内容
3. 点击立即发送</x:v>
      </x:c>
      <x:c r="K185" s="9" t="str">
        <x:v>不提交缺少中文内容的记录</x:v>
      </x:c>
      <x:c r="L185" s="10" t="str"/>
      <x:c r="M185" s="10" t="str">
        <x:v>未测</x:v>
      </x:c>
      <x:c r="N185" s="10" t="str"/>
      <x:c r="O185" s="9" t="str">
        <x:v>1. 来源（当前证据）：liveshow-proto/MainBasis/统一需求文档.md；位置：admin-push-detail.html
2. 规则：BR-5C508B181880EC
3. 未动态验证</x:v>
      </x:c>
    </x:row>
    <x:row r="186" ht="85" customHeight="1">
      <x:c r="A186" s="10" t="n">
        <x:v>185</x:v>
      </x:c>
      <x:c r="B186" s="10" t="str">
        <x:v>ADMIN-0185</x:v>
      </x:c>
      <x:c r="C186" s="10" t="str">
        <x:v>运营配置</x:v>
      </x:c>
      <x:c r="D186" s="10" t="str">
        <x:v>推送配置（平台管理员）</x:v>
      </x:c>
      <x:c r="E186" s="10" t="str">
        <x:v>逻辑校验</x:v>
      </x:c>
      <x:c r="F186" s="10" t="str">
        <x:v>P1</x:v>
      </x:c>
      <x:c r="G186" s="9" t="str">
        <x:v>验证英文内容未填写时不能提交</x:v>
      </x:c>
      <x:c r="H186" s="9" t="str">
        <x:v>英文内容必填</x:v>
      </x:c>
      <x:c r="I186" s="9" t="str">
        <x:v>1. 后台账号已登录且拥有本页及本次操作的授权
2. 除英文内容外必填项均为合法值</x:v>
      </x:c>
      <x:c r="J186" s="9" t="str">
        <x:v>1. 进入推送配置的新建表单
2. 清空英文内容
3. 点击立即发送</x:v>
      </x:c>
      <x:c r="K186" s="9" t="str">
        <x:v>不提交缺少英文内容的记录</x:v>
      </x:c>
      <x:c r="L186" s="10" t="str"/>
      <x:c r="M186" s="10" t="str">
        <x:v>未测</x:v>
      </x:c>
      <x:c r="N186" s="10" t="str"/>
      <x:c r="O186" s="9" t="str">
        <x:v>1. 来源（当前证据）：liveshow-proto/MainBasis/统一需求文档.md；位置：admin-push-detail.html
2. 规则：BR-44383201EBE739
3. 未动态验证</x:v>
      </x:c>
    </x:row>
    <x:row r="187" ht="85" customHeight="1">
      <x:c r="A187" s="10" t="n">
        <x:v>186</x:v>
      </x:c>
      <x:c r="B187" s="10" t="str">
        <x:v>ADMIN-0186</x:v>
      </x:c>
      <x:c r="C187" s="10" t="str">
        <x:v>运营配置</x:v>
      </x:c>
      <x:c r="D187" s="10" t="str">
        <x:v>推送配置（平台管理员）</x:v>
      </x:c>
      <x:c r="E187" s="10" t="str">
        <x:v>逻辑校验</x:v>
      </x:c>
      <x:c r="F187" s="10" t="str">
        <x:v>P1</x:v>
      </x:c>
      <x:c r="G187" s="9" t="str">
        <x:v>验证印尼语内容未填写时不能提交</x:v>
      </x:c>
      <x:c r="H187" s="9" t="str">
        <x:v>印尼语内容必填</x:v>
      </x:c>
      <x:c r="I187" s="9" t="str">
        <x:v>1. 后台账号已登录且拥有本页及本次操作的授权
2. 除印尼语内容外必填项均为合法值</x:v>
      </x:c>
      <x:c r="J187" s="9" t="str">
        <x:v>1. 进入推送配置的新建表单
2. 清空印尼语内容
3. 点击立即发送</x:v>
      </x:c>
      <x:c r="K187" s="9" t="str">
        <x:v>不提交缺少印尼语内容的记录</x:v>
      </x:c>
      <x:c r="L187" s="10" t="str"/>
      <x:c r="M187" s="10" t="str">
        <x:v>未测</x:v>
      </x:c>
      <x:c r="N187" s="10" t="str"/>
      <x:c r="O187" s="9" t="str">
        <x:v>1. 来源（当前证据）：liveshow-proto/MainBasis/统一需求文档.md；位置：admin-push-detail.html
2. 规则：BR-6114F10CC4C486
3. 未动态验证</x:v>
      </x:c>
    </x:row>
    <x:row r="188" ht="85" customHeight="1">
      <x:c r="A188" s="10" t="n">
        <x:v>187</x:v>
      </x:c>
      <x:c r="B188" s="10" t="str">
        <x:v>ADMIN-0187</x:v>
      </x:c>
      <x:c r="C188" s="10" t="str">
        <x:v>运营配置</x:v>
      </x:c>
      <x:c r="D188" s="10" t="str">
        <x:v>推送配置（平台管理员）</x:v>
      </x:c>
      <x:c r="E188" s="10" t="str">
        <x:v>逻辑校验</x:v>
      </x:c>
      <x:c r="F188" s="10" t="str">
        <x:v>P1</x:v>
      </x:c>
      <x:c r="G188" s="9" t="str">
        <x:v>验证马来语内容未填写时不能提交</x:v>
      </x:c>
      <x:c r="H188" s="9" t="str">
        <x:v>马来语内容必填</x:v>
      </x:c>
      <x:c r="I188" s="9" t="str">
        <x:v>1. 后台账号已登录且拥有本页及本次操作的授权
2. 除马来语内容外必填项均为合法值</x:v>
      </x:c>
      <x:c r="J188" s="9" t="str">
        <x:v>1. 进入推送配置的新建表单
2. 清空马来语内容
3. 点击立即发送</x:v>
      </x:c>
      <x:c r="K188" s="9" t="str">
        <x:v>不提交缺少马来语内容的记录</x:v>
      </x:c>
      <x:c r="L188" s="10" t="str"/>
      <x:c r="M188" s="10" t="str">
        <x:v>未测</x:v>
      </x:c>
      <x:c r="N188" s="10" t="str"/>
      <x:c r="O188" s="9" t="str">
        <x:v>1. 来源（当前证据）：liveshow-proto/MainBasis/统一需求文档.md；位置：admin-push-detail.html
2. 规则：BR-FD35A6A7400B8F
3. 未动态验证</x:v>
      </x:c>
    </x:row>
    <x:row r="189" ht="85" customHeight="1">
      <x:c r="A189" s="10" t="n">
        <x:v>188</x:v>
      </x:c>
      <x:c r="B189" s="10" t="str">
        <x:v>ADMIN-0188</x:v>
      </x:c>
      <x:c r="C189" s="10" t="str">
        <x:v>运营配置</x:v>
      </x:c>
      <x:c r="D189" s="10" t="str">
        <x:v>充值套餐编辑（平台管理员）</x:v>
      </x:c>
      <x:c r="E189" s="10" t="str">
        <x:v>逻辑校验</x:v>
      </x:c>
      <x:c r="F189" s="10" t="str">
        <x:v>P1</x:v>
      </x:c>
      <x:c r="G189" s="9" t="str">
        <x:v>验证套餐 ID未填写时不能提交</x:v>
      </x:c>
      <x:c r="H189" s="9" t="str">
        <x:v>套餐 ID必填</x:v>
      </x:c>
      <x:c r="I189" s="9" t="str">
        <x:v>1. 后台账号已登录且拥有本页及本次操作的授权
2. 除套餐 ID外必填项均为合法值</x:v>
      </x:c>
      <x:c r="J189" s="9" t="str">
        <x:v>1. 进入充值套餐编辑的新建表单
2. 清空套餐 ID
3. 点击保存</x:v>
      </x:c>
      <x:c r="K189" s="9" t="str">
        <x:v>不提交缺少套餐 ID的记录</x:v>
      </x:c>
      <x:c r="L189" s="10" t="str">
        <x:v>FLOW-2BA2481A</x:v>
      </x:c>
      <x:c r="M189" s="10" t="str">
        <x:v>未测</x:v>
      </x:c>
      <x:c r="N189" s="10" t="str"/>
      <x:c r="O189" s="9" t="str">
        <x:v>1. 来源（当前证据）：liveshow-proto/MainBasis/统一需求文档.md；位置：admin-recharge-package-detail.html
2. 规则：BR-D21FE9ED8D83D1
3. 未动态验证</x:v>
      </x:c>
    </x:row>
    <x:row r="190" ht="85" customHeight="1">
      <x:c r="A190" s="10" t="n">
        <x:v>189</x:v>
      </x:c>
      <x:c r="B190" s="10" t="str">
        <x:v>ADMIN-0189</x:v>
      </x:c>
      <x:c r="C190" s="10" t="str">
        <x:v>运营配置</x:v>
      </x:c>
      <x:c r="D190" s="10" t="str">
        <x:v>充值套餐编辑（平台管理员）</x:v>
      </x:c>
      <x:c r="E190" s="10" t="str">
        <x:v>逻辑校验</x:v>
      </x:c>
      <x:c r="F190" s="10" t="str">
        <x:v>P1</x:v>
      </x:c>
      <x:c r="G190" s="9" t="str">
        <x:v>验证类型未填写时不能提交</x:v>
      </x:c>
      <x:c r="H190" s="9" t="str">
        <x:v>类型必填</x:v>
      </x:c>
      <x:c r="I190" s="9" t="str">
        <x:v>1. 后台账号已登录且拥有本页及本次操作的授权
2. 除类型外必填项均为合法值</x:v>
      </x:c>
      <x:c r="J190" s="9" t="str">
        <x:v>1. 进入充值套餐编辑的新建表单
2. 取消选择类型
3. 点击保存</x:v>
      </x:c>
      <x:c r="K190" s="9" t="str">
        <x:v>不提交缺少类型的记录</x:v>
      </x:c>
      <x:c r="L190" s="10" t="str">
        <x:v>FLOW-2BA2481A</x:v>
      </x:c>
      <x:c r="M190" s="10" t="str">
        <x:v>未测</x:v>
      </x:c>
      <x:c r="N190" s="10" t="str"/>
      <x:c r="O190" s="9" t="str">
        <x:v>1. 来源（当前证据）：liveshow-proto/MainBasis/统一需求文档.md；位置：admin-recharge-package-detail.html
2. 规则：BR-82808C1DBC99DD
3. 未动态验证</x:v>
      </x:c>
    </x:row>
    <x:row r="191" ht="85" customHeight="1">
      <x:c r="A191" s="10" t="n">
        <x:v>190</x:v>
      </x:c>
      <x:c r="B191" s="10" t="str">
        <x:v>ADMIN-0190</x:v>
      </x:c>
      <x:c r="C191" s="10" t="str">
        <x:v>运营配置</x:v>
      </x:c>
      <x:c r="D191" s="10" t="str">
        <x:v>充值套餐编辑（平台管理员）</x:v>
      </x:c>
      <x:c r="E191" s="10" t="str">
        <x:v>逻辑校验</x:v>
      </x:c>
      <x:c r="F191" s="10" t="str">
        <x:v>P1</x:v>
      </x:c>
      <x:c r="G191" s="9" t="str">
        <x:v>验证封面未填写时不能提交</x:v>
      </x:c>
      <x:c r="H191" s="9" t="str">
        <x:v>封面必填</x:v>
      </x:c>
      <x:c r="I191" s="9" t="str">
        <x:v>1. 后台账号已登录且拥有本页及本次操作的授权
2. 除封面外必填项均为合法值</x:v>
      </x:c>
      <x:c r="J191" s="9" t="str">
        <x:v>1. 进入充值套餐编辑的新建表单
2. 查看封面未上传
3. 点击保存</x:v>
      </x:c>
      <x:c r="K191" s="9" t="str">
        <x:v>不提交缺少封面的记录</x:v>
      </x:c>
      <x:c r="L191" s="10" t="str">
        <x:v>FLOW-2BA2481A</x:v>
      </x:c>
      <x:c r="M191" s="10" t="str">
        <x:v>未测</x:v>
      </x:c>
      <x:c r="N191" s="10" t="str"/>
      <x:c r="O191" s="9" t="str">
        <x:v>1. 来源（当前证据）：liveshow-proto/MainBasis/统一需求文档.md；位置：admin-recharge-package-detail.html
2. 规则：BR-8463B36EDEA225
3. 未动态验证</x:v>
      </x:c>
    </x:row>
    <x:row r="192" ht="85" customHeight="1">
      <x:c r="A192" s="10" t="n">
        <x:v>191</x:v>
      </x:c>
      <x:c r="B192" s="10" t="str">
        <x:v>ADMIN-0191</x:v>
      </x:c>
      <x:c r="C192" s="10" t="str">
        <x:v>运营配置</x:v>
      </x:c>
      <x:c r="D192" s="10" t="str">
        <x:v>充值套餐编辑（平台管理员）</x:v>
      </x:c>
      <x:c r="E192" s="10" t="str">
        <x:v>逻辑校验</x:v>
      </x:c>
      <x:c r="F192" s="10" t="str">
        <x:v>P1</x:v>
      </x:c>
      <x:c r="G192" s="9" t="str">
        <x:v>验证充值金币输入0</x:v>
      </x:c>
      <x:c r="H192" s="9" t="str">
        <x:v>充值金币整数校验</x:v>
      </x:c>
      <x:c r="I192" s="9" t="str">
        <x:v>1. 后台账号已登录且拥有本页及本次操作的授权
2. 其余必填项合法，数值1未与现有唯一值冲突</x:v>
      </x:c>
      <x:c r="J192" s="9" t="str">
        <x:v>1. 进入充值套餐编辑的新建表单
2. 输入充值金币为0
3. 点击保存</x:v>
      </x:c>
      <x:c r="K192" s="9" t="str">
        <x:v>不保存充值金币为0的记录</x:v>
      </x:c>
      <x:c r="L192" s="10" t="str">
        <x:v>FLOW-2BA2481A</x:v>
      </x:c>
      <x:c r="M192" s="10" t="str">
        <x:v>未测</x:v>
      </x:c>
      <x:c r="N192" s="10" t="str"/>
      <x:c r="O192" s="9" t="str">
        <x:v>1. 来源（当前证据）：liveshow-proto/MainBasis/统一需求文档.md；位置：admin-recharge-package-detail.html
2. 规则：BR-1010CA608BA277
3. 未动态验证</x:v>
      </x:c>
    </x:row>
    <x:row r="193" ht="85" customHeight="1">
      <x:c r="A193" s="10" t="n">
        <x:v>192</x:v>
      </x:c>
      <x:c r="B193" s="10" t="str">
        <x:v>ADMIN-0192</x:v>
      </x:c>
      <x:c r="C193" s="10" t="str">
        <x:v>运营配置</x:v>
      </x:c>
      <x:c r="D193" s="10" t="str">
        <x:v>充值套餐编辑（平台管理员）</x:v>
      </x:c>
      <x:c r="E193" s="10" t="str">
        <x:v>逻辑校验</x:v>
      </x:c>
      <x:c r="F193" s="10" t="str">
        <x:v>P1</x:v>
      </x:c>
      <x:c r="G193" s="9" t="str">
        <x:v>验证充值金币输入-1</x:v>
      </x:c>
      <x:c r="H193" s="9" t="str">
        <x:v>充值金币整数校验</x:v>
      </x:c>
      <x:c r="I193" s="9" t="str">
        <x:v>1. 后台账号已登录且拥有本页及本次操作的授权
2. 其余必填项合法，数值1未与现有唯一值冲突</x:v>
      </x:c>
      <x:c r="J193" s="9" t="str">
        <x:v>1. 进入充值套餐编辑的新建表单
2. 输入充值金币为-1
3. 点击保存</x:v>
      </x:c>
      <x:c r="K193" s="9" t="str">
        <x:v>不保存充值金币为-1的记录</x:v>
      </x:c>
      <x:c r="L193" s="10" t="str">
        <x:v>FLOW-2BA2481A</x:v>
      </x:c>
      <x:c r="M193" s="10" t="str">
        <x:v>未测</x:v>
      </x:c>
      <x:c r="N193" s="10" t="str"/>
      <x:c r="O193" s="9" t="str">
        <x:v>1. 来源（当前证据）：liveshow-proto/MainBasis/统一需求文档.md；位置：admin-recharge-package-detail.html
2. 规则：BR-01DB5D7039ED0A
3. 未动态验证</x:v>
      </x:c>
    </x:row>
    <x:row r="194" ht="85" customHeight="1">
      <x:c r="A194" s="10" t="n">
        <x:v>193</x:v>
      </x:c>
      <x:c r="B194" s="10" t="str">
        <x:v>ADMIN-0193</x:v>
      </x:c>
      <x:c r="C194" s="10" t="str">
        <x:v>运营配置</x:v>
      </x:c>
      <x:c r="D194" s="10" t="str">
        <x:v>充值套餐编辑（平台管理员）</x:v>
      </x:c>
      <x:c r="E194" s="10" t="str">
        <x:v>逻辑校验</x:v>
      </x:c>
      <x:c r="F194" s="10" t="str">
        <x:v>P1</x:v>
      </x:c>
      <x:c r="G194" s="9" t="str">
        <x:v>验证充值金币输入1.5</x:v>
      </x:c>
      <x:c r="H194" s="9" t="str">
        <x:v>充值金币整数校验</x:v>
      </x:c>
      <x:c r="I194" s="9" t="str">
        <x:v>1. 后台账号已登录且拥有本页及本次操作的授权
2. 其余必填项合法，数值1未与现有唯一值冲突</x:v>
      </x:c>
      <x:c r="J194" s="9" t="str">
        <x:v>1. 进入充值套餐编辑的新建表单
2. 输入充值金币为1.5
3. 点击保存</x:v>
      </x:c>
      <x:c r="K194" s="9" t="str">
        <x:v>不保存充值金币为1.5的记录</x:v>
      </x:c>
      <x:c r="L194" s="10" t="str">
        <x:v>FLOW-2BA2481A</x:v>
      </x:c>
      <x:c r="M194" s="10" t="str">
        <x:v>未测</x:v>
      </x:c>
      <x:c r="N194" s="10" t="str"/>
      <x:c r="O194" s="9" t="str">
        <x:v>1. 来源（当前证据）：liveshow-proto/MainBasis/统一需求文档.md；位置：admin-recharge-package-detail.html
2. 规则：BR-AB889D4E5C63D9
3. 未动态验证</x:v>
      </x:c>
    </x:row>
    <x:row r="195" ht="85" customHeight="1">
      <x:c r="A195" s="10" t="n">
        <x:v>194</x:v>
      </x:c>
      <x:c r="B195" s="10" t="str">
        <x:v>ADMIN-0194</x:v>
      </x:c>
      <x:c r="C195" s="10" t="str">
        <x:v>运营配置</x:v>
      </x:c>
      <x:c r="D195" s="10" t="str">
        <x:v>充值套餐编辑（平台管理员）</x:v>
      </x:c>
      <x:c r="E195" s="10" t="str">
        <x:v>逻辑校验</x:v>
      </x:c>
      <x:c r="F195" s="10" t="str">
        <x:v>P1</x:v>
      </x:c>
      <x:c r="G195" s="9" t="str">
        <x:v>验证充值金币输入1</x:v>
      </x:c>
      <x:c r="H195" s="9" t="str">
        <x:v>充值金币合法整数</x:v>
      </x:c>
      <x:c r="I195" s="9" t="str">
        <x:v>1. 后台账号已登录且拥有本页及本次操作的授权
2. 其余必填项合法，数值1未与现有唯一值冲突</x:v>
      </x:c>
      <x:c r="J195" s="9" t="str">
        <x:v>1. 进入充值套餐编辑的新建表单
2. 输入充值金币为1
3. 点击保存</x:v>
      </x:c>
      <x:c r="K195" s="9" t="str">
        <x:v>记录保存的充值金币为1</x:v>
      </x:c>
      <x:c r="L195" s="10" t="str">
        <x:v>FLOW-2BA2481A</x:v>
      </x:c>
      <x:c r="M195" s="10" t="str">
        <x:v>未测</x:v>
      </x:c>
      <x:c r="N195" s="10" t="str"/>
      <x:c r="O195" s="9" t="str">
        <x:v>1. 来源（当前证据）：liveshow-proto/MainBasis/统一需求文档.md；位置：admin-recharge-package-detail.html
2. 规则：BR-2584F1DC568800
3. 未动态验证</x:v>
      </x:c>
    </x:row>
    <x:row r="196" ht="85" customHeight="1">
      <x:c r="A196" s="10" t="n">
        <x:v>195</x:v>
      </x:c>
      <x:c r="B196" s="10" t="str">
        <x:v>ADMIN-0195</x:v>
      </x:c>
      <x:c r="C196" s="10" t="str">
        <x:v>运营配置</x:v>
      </x:c>
      <x:c r="D196" s="10" t="str">
        <x:v>通用任务编辑（平台管理员）</x:v>
      </x:c>
      <x:c r="E196" s="10" t="str">
        <x:v>逻辑校验</x:v>
      </x:c>
      <x:c r="F196" s="10" t="str">
        <x:v>P1</x:v>
      </x:c>
      <x:c r="G196" s="9" t="str">
        <x:v>验证中文名称未填写时不能提交</x:v>
      </x:c>
      <x:c r="H196" s="9" t="str">
        <x:v>中文名称必填</x:v>
      </x:c>
      <x:c r="I196" s="9" t="str">
        <x:v>1. 后台账号已登录且拥有本页及本次操作的授权
2. 除中文名称外必填项均为合法值</x:v>
      </x:c>
      <x:c r="J196" s="9" t="str">
        <x:v>1. 进入通用任务编辑的新建表单
2. 清空中文名称
3. 点击保存</x:v>
      </x:c>
      <x:c r="K196" s="9" t="str">
        <x:v>不提交缺少中文名称的记录</x:v>
      </x:c>
      <x:c r="L196" s="10" t="str"/>
      <x:c r="M196" s="10" t="str">
        <x:v>未测</x:v>
      </x:c>
      <x:c r="N196" s="10" t="str"/>
      <x:c r="O196" s="9" t="str">
        <x:v>1. 来源（当前证据）：liveshow-proto/MainBasis/统一需求文档.md；位置：admin-task-detail.html
2. 规则：BR-0E6C4A05A5082C
3. 未动态验证</x:v>
      </x:c>
    </x:row>
    <x:row r="197" ht="85" customHeight="1">
      <x:c r="A197" s="10" t="n">
        <x:v>196</x:v>
      </x:c>
      <x:c r="B197" s="10" t="str">
        <x:v>ADMIN-0196</x:v>
      </x:c>
      <x:c r="C197" s="10" t="str">
        <x:v>运营配置</x:v>
      </x:c>
      <x:c r="D197" s="10" t="str">
        <x:v>通用任务编辑（平台管理员）</x:v>
      </x:c>
      <x:c r="E197" s="10" t="str">
        <x:v>逻辑校验</x:v>
      </x:c>
      <x:c r="F197" s="10" t="str">
        <x:v>P1</x:v>
      </x:c>
      <x:c r="G197" s="9" t="str">
        <x:v>验证英文名称未填写时不能提交</x:v>
      </x:c>
      <x:c r="H197" s="9" t="str">
        <x:v>英文名称必填</x:v>
      </x:c>
      <x:c r="I197" s="9" t="str">
        <x:v>1. 后台账号已登录且拥有本页及本次操作的授权
2. 除英文名称外必填项均为合法值</x:v>
      </x:c>
      <x:c r="J197" s="9" t="str">
        <x:v>1. 进入通用任务编辑的新建表单
2. 清空英文名称
3. 点击保存</x:v>
      </x:c>
      <x:c r="K197" s="9" t="str">
        <x:v>不提交缺少英文名称的记录</x:v>
      </x:c>
      <x:c r="L197" s="10" t="str"/>
      <x:c r="M197" s="10" t="str">
        <x:v>未测</x:v>
      </x:c>
      <x:c r="N197" s="10" t="str"/>
      <x:c r="O197" s="9" t="str">
        <x:v>1. 来源（当前证据）：liveshow-proto/MainBasis/统一需求文档.md；位置：admin-task-detail.html
2. 规则：BR-A3FD3F221EB9C3
3. 未动态验证</x:v>
      </x:c>
    </x:row>
    <x:row r="198" ht="85" customHeight="1">
      <x:c r="A198" s="10" t="n">
        <x:v>197</x:v>
      </x:c>
      <x:c r="B198" s="10" t="str">
        <x:v>ADMIN-0197</x:v>
      </x:c>
      <x:c r="C198" s="10" t="str">
        <x:v>运营配置</x:v>
      </x:c>
      <x:c r="D198" s="10" t="str">
        <x:v>通用任务编辑（平台管理员）</x:v>
      </x:c>
      <x:c r="E198" s="10" t="str">
        <x:v>逻辑校验</x:v>
      </x:c>
      <x:c r="F198" s="10" t="str">
        <x:v>P1</x:v>
      </x:c>
      <x:c r="G198" s="9" t="str">
        <x:v>验证印尼语名称未填写时不能提交</x:v>
      </x:c>
      <x:c r="H198" s="9" t="str">
        <x:v>印尼语名称必填</x:v>
      </x:c>
      <x:c r="I198" s="9" t="str">
        <x:v>1. 后台账号已登录且拥有本页及本次操作的授权
2. 除印尼语名称外必填项均为合法值</x:v>
      </x:c>
      <x:c r="J198" s="9" t="str">
        <x:v>1. 进入通用任务编辑的新建表单
2. 清空印尼语名称
3. 点击保存</x:v>
      </x:c>
      <x:c r="K198" s="9" t="str">
        <x:v>不提交缺少印尼语名称的记录</x:v>
      </x:c>
      <x:c r="L198" s="10" t="str"/>
      <x:c r="M198" s="10" t="str">
        <x:v>未测</x:v>
      </x:c>
      <x:c r="N198" s="10" t="str"/>
      <x:c r="O198" s="9" t="str">
        <x:v>1. 来源（当前证据）：liveshow-proto/MainBasis/统一需求文档.md；位置：admin-task-detail.html
2. 规则：BR-4568CB9BA093FB
3. 未动态验证</x:v>
      </x:c>
    </x:row>
    <x:row r="199" ht="85" customHeight="1">
      <x:c r="A199" s="10" t="n">
        <x:v>198</x:v>
      </x:c>
      <x:c r="B199" s="10" t="str">
        <x:v>ADMIN-0198</x:v>
      </x:c>
      <x:c r="C199" s="10" t="str">
        <x:v>运营配置</x:v>
      </x:c>
      <x:c r="D199" s="10" t="str">
        <x:v>通用任务编辑（平台管理员）</x:v>
      </x:c>
      <x:c r="E199" s="10" t="str">
        <x:v>逻辑校验</x:v>
      </x:c>
      <x:c r="F199" s="10" t="str">
        <x:v>P1</x:v>
      </x:c>
      <x:c r="G199" s="9" t="str">
        <x:v>验证马来语名称未填写时不能提交</x:v>
      </x:c>
      <x:c r="H199" s="9" t="str">
        <x:v>马来语名称必填</x:v>
      </x:c>
      <x:c r="I199" s="9" t="str">
        <x:v>1. 后台账号已登录且拥有本页及本次操作的授权
2. 除马来语名称外必填项均为合法值</x:v>
      </x:c>
      <x:c r="J199" s="9" t="str">
        <x:v>1. 进入通用任务编辑的新建表单
2. 清空马来语名称
3. 点击保存</x:v>
      </x:c>
      <x:c r="K199" s="9" t="str">
        <x:v>不提交缺少马来语名称的记录</x:v>
      </x:c>
      <x:c r="L199" s="10" t="str"/>
      <x:c r="M199" s="10" t="str">
        <x:v>未测</x:v>
      </x:c>
      <x:c r="N199" s="10" t="str"/>
      <x:c r="O199" s="9" t="str">
        <x:v>1. 来源（当前证据）：liveshow-proto/MainBasis/统一需求文档.md；位置：admin-task-detail.html
2. 规则：BR-0AB1E39483B42C
3. 未动态验证</x:v>
      </x:c>
    </x:row>
    <x:row r="200" ht="85" customHeight="1">
      <x:c r="A200" s="10" t="n">
        <x:v>199</x:v>
      </x:c>
      <x:c r="B200" s="10" t="str">
        <x:v>ADMIN-0199</x:v>
      </x:c>
      <x:c r="C200" s="10" t="str">
        <x:v>运营配置</x:v>
      </x:c>
      <x:c r="D200" s="10" t="str">
        <x:v>通用任务编辑（平台管理员）</x:v>
      </x:c>
      <x:c r="E200" s="10" t="str">
        <x:v>逻辑校验</x:v>
      </x:c>
      <x:c r="F200" s="10" t="str">
        <x:v>P1</x:v>
      </x:c>
      <x:c r="G200" s="9" t="str">
        <x:v>验证生效开始时间未填写时不能提交</x:v>
      </x:c>
      <x:c r="H200" s="9" t="str">
        <x:v>生效开始时间必填</x:v>
      </x:c>
      <x:c r="I200" s="9" t="str">
        <x:v>1. 后台账号已登录且拥有本页及本次操作的授权
2. 除生效开始时间外必填项均为合法值</x:v>
      </x:c>
      <x:c r="J200" s="9" t="str">
        <x:v>1. 进入通用任务编辑的新建表单
2. 清空生效开始时间
3. 点击保存</x:v>
      </x:c>
      <x:c r="K200" s="9" t="str">
        <x:v>不提交缺少生效开始时间的记录</x:v>
      </x:c>
      <x:c r="L200" s="10" t="str"/>
      <x:c r="M200" s="10" t="str">
        <x:v>未测</x:v>
      </x:c>
      <x:c r="N200" s="10" t="str"/>
      <x:c r="O200" s="9" t="str">
        <x:v>1. 来源（当前证据）：liveshow-proto/MainBasis/统一需求文档.md；位置：admin-task-detail.html
2. 规则：BR-9A52C76DE786F1
3. 未动态验证</x:v>
      </x:c>
    </x:row>
    <x:row r="201" ht="85" customHeight="1">
      <x:c r="A201" s="10" t="n">
        <x:v>200</x:v>
      </x:c>
      <x:c r="B201" s="10" t="str">
        <x:v>ADMIN-0200</x:v>
      </x:c>
      <x:c r="C201" s="10" t="str">
        <x:v>运营配置</x:v>
      </x:c>
      <x:c r="D201" s="10" t="str">
        <x:v>通用任务编辑（平台管理员）</x:v>
      </x:c>
      <x:c r="E201" s="10" t="str">
        <x:v>逻辑校验</x:v>
      </x:c>
      <x:c r="F201" s="10" t="str">
        <x:v>P1</x:v>
      </x:c>
      <x:c r="G201" s="9" t="str">
        <x:v>验证生效结束时间未填写时不能提交</x:v>
      </x:c>
      <x:c r="H201" s="9" t="str">
        <x:v>生效结束时间必填</x:v>
      </x:c>
      <x:c r="I201" s="9" t="str">
        <x:v>1. 后台账号已登录且拥有本页及本次操作的授权
2. 除生效结束时间外必填项均为合法值</x:v>
      </x:c>
      <x:c r="J201" s="9" t="str">
        <x:v>1. 进入通用任务编辑的新建表单
2. 清空生效结束时间
3. 点击保存</x:v>
      </x:c>
      <x:c r="K201" s="9" t="str">
        <x:v>不提交缺少生效结束时间的记录</x:v>
      </x:c>
      <x:c r="L201" s="10" t="str"/>
      <x:c r="M201" s="10" t="str">
        <x:v>未测</x:v>
      </x:c>
      <x:c r="N201" s="10" t="str"/>
      <x:c r="O201" s="9" t="str">
        <x:v>1. 来源（当前证据）：liveshow-proto/MainBasis/统一需求文档.md；位置：admin-task-detail.html
2. 规则：BR-3E7CF3488B7D69
3. 未动态验证</x:v>
      </x:c>
    </x:row>
    <x:row r="202" ht="85" customHeight="1">
      <x:c r="A202" s="10" t="n">
        <x:v>201</x:v>
      </x:c>
      <x:c r="B202" s="10" t="str">
        <x:v>ADMIN-0201</x:v>
      </x:c>
      <x:c r="C202" s="10" t="str">
        <x:v>运营配置</x:v>
      </x:c>
      <x:c r="D202" s="10" t="str">
        <x:v>通用任务编辑（平台管理员）</x:v>
      </x:c>
      <x:c r="E202" s="10" t="str">
        <x:v>逻辑校验</x:v>
      </x:c>
      <x:c r="F202" s="10" t="str">
        <x:v>P1</x:v>
      </x:c>
      <x:c r="G202" s="9" t="str">
        <x:v>验证达成奖励输入0</x:v>
      </x:c>
      <x:c r="H202" s="9" t="str">
        <x:v>达成奖励整数校验</x:v>
      </x:c>
      <x:c r="I202" s="9" t="str">
        <x:v>1. 后台账号已登录且拥有本页及本次操作的授权
2. 其余必填项合法，数值1未与现有唯一值冲突</x:v>
      </x:c>
      <x:c r="J202" s="9" t="str">
        <x:v>1. 进入通用任务编辑的新建表单
2. 输入达成奖励为0
3. 点击保存</x:v>
      </x:c>
      <x:c r="K202" s="9" t="str">
        <x:v>不保存达成奖励为0的记录</x:v>
      </x:c>
      <x:c r="L202" s="10" t="str"/>
      <x:c r="M202" s="10" t="str">
        <x:v>未测</x:v>
      </x:c>
      <x:c r="N202" s="10" t="str"/>
      <x:c r="O202" s="9" t="str">
        <x:v>1. 来源（当前证据）：liveshow-proto/MainBasis/统一需求文档.md；位置：admin-task-detail.html
2. 规则：BR-B4368027974FFC
3. 未动态验证</x:v>
      </x:c>
    </x:row>
    <x:row r="203" ht="85" customHeight="1">
      <x:c r="A203" s="10" t="n">
        <x:v>202</x:v>
      </x:c>
      <x:c r="B203" s="10" t="str">
        <x:v>ADMIN-0202</x:v>
      </x:c>
      <x:c r="C203" s="10" t="str">
        <x:v>运营配置</x:v>
      </x:c>
      <x:c r="D203" s="10" t="str">
        <x:v>通用任务编辑（平台管理员）</x:v>
      </x:c>
      <x:c r="E203" s="10" t="str">
        <x:v>逻辑校验</x:v>
      </x:c>
      <x:c r="F203" s="10" t="str">
        <x:v>P1</x:v>
      </x:c>
      <x:c r="G203" s="9" t="str">
        <x:v>验证达成奖励输入-1</x:v>
      </x:c>
      <x:c r="H203" s="9" t="str">
        <x:v>达成奖励整数校验</x:v>
      </x:c>
      <x:c r="I203" s="9" t="str">
        <x:v>1. 后台账号已登录且拥有本页及本次操作的授权
2. 其余必填项合法，数值1未与现有唯一值冲突</x:v>
      </x:c>
      <x:c r="J203" s="9" t="str">
        <x:v>1. 进入通用任务编辑的新建表单
2. 输入达成奖励为-1
3. 点击保存</x:v>
      </x:c>
      <x:c r="K203" s="9" t="str">
        <x:v>不保存达成奖励为-1的记录</x:v>
      </x:c>
      <x:c r="L203" s="10" t="str"/>
      <x:c r="M203" s="10" t="str">
        <x:v>未测</x:v>
      </x:c>
      <x:c r="N203" s="10" t="str"/>
      <x:c r="O203" s="9" t="str">
        <x:v>1. 来源（当前证据）：liveshow-proto/MainBasis/统一需求文档.md；位置：admin-task-detail.html
2. 规则：BR-E6E8BCFAE60644
3. 未动态验证</x:v>
      </x:c>
    </x:row>
    <x:row r="204" ht="85" customHeight="1">
      <x:c r="A204" s="10" t="n">
        <x:v>203</x:v>
      </x:c>
      <x:c r="B204" s="10" t="str">
        <x:v>ADMIN-0203</x:v>
      </x:c>
      <x:c r="C204" s="10" t="str">
        <x:v>运营配置</x:v>
      </x:c>
      <x:c r="D204" s="10" t="str">
        <x:v>通用任务编辑（平台管理员）</x:v>
      </x:c>
      <x:c r="E204" s="10" t="str">
        <x:v>逻辑校验</x:v>
      </x:c>
      <x:c r="F204" s="10" t="str">
        <x:v>P1</x:v>
      </x:c>
      <x:c r="G204" s="9" t="str">
        <x:v>验证达成奖励输入1.5</x:v>
      </x:c>
      <x:c r="H204" s="9" t="str">
        <x:v>达成奖励整数校验</x:v>
      </x:c>
      <x:c r="I204" s="9" t="str">
        <x:v>1. 后台账号已登录且拥有本页及本次操作的授权
2. 其余必填项合法，数值1未与现有唯一值冲突</x:v>
      </x:c>
      <x:c r="J204" s="9" t="str">
        <x:v>1. 进入通用任务编辑的新建表单
2. 输入达成奖励为1.5
3. 点击保存</x:v>
      </x:c>
      <x:c r="K204" s="9" t="str">
        <x:v>不保存达成奖励为1.5的记录</x:v>
      </x:c>
      <x:c r="L204" s="10" t="str"/>
      <x:c r="M204" s="10" t="str">
        <x:v>未测</x:v>
      </x:c>
      <x:c r="N204" s="10" t="str"/>
      <x:c r="O204" s="9" t="str">
        <x:v>1. 来源（当前证据）：liveshow-proto/MainBasis/统一需求文档.md；位置：admin-task-detail.html
2. 规则：BR-769D0F6E81376E
3. 未动态验证</x:v>
      </x:c>
    </x:row>
    <x:row r="205" ht="85" customHeight="1">
      <x:c r="A205" s="10" t="n">
        <x:v>204</x:v>
      </x:c>
      <x:c r="B205" s="10" t="str">
        <x:v>ADMIN-0204</x:v>
      </x:c>
      <x:c r="C205" s="10" t="str">
        <x:v>运营配置</x:v>
      </x:c>
      <x:c r="D205" s="10" t="str">
        <x:v>通用任务编辑（平台管理员）</x:v>
      </x:c>
      <x:c r="E205" s="10" t="str">
        <x:v>逻辑校验</x:v>
      </x:c>
      <x:c r="F205" s="10" t="str">
        <x:v>P1</x:v>
      </x:c>
      <x:c r="G205" s="9" t="str">
        <x:v>验证达成奖励输入1</x:v>
      </x:c>
      <x:c r="H205" s="9" t="str">
        <x:v>达成奖励合法整数</x:v>
      </x:c>
      <x:c r="I205" s="9" t="str">
        <x:v>1. 后台账号已登录且拥有本页及本次操作的授权
2. 其余必填项合法，数值1未与现有唯一值冲突</x:v>
      </x:c>
      <x:c r="J205" s="9" t="str">
        <x:v>1. 进入通用任务编辑的新建表单
2. 输入达成奖励为1
3. 点击保存</x:v>
      </x:c>
      <x:c r="K205" s="9" t="str">
        <x:v>记录保存的达成奖励为1</x:v>
      </x:c>
      <x:c r="L205" s="10" t="str"/>
      <x:c r="M205" s="10" t="str">
        <x:v>未测</x:v>
      </x:c>
      <x:c r="N205" s="10" t="str"/>
      <x:c r="O205" s="9" t="str">
        <x:v>1. 来源（当前证据）：liveshow-proto/MainBasis/统一需求文档.md；位置：admin-task-detail.html
2. 规则：BR-589B7BE2C7BFD9
3. 未动态验证</x:v>
      </x:c>
    </x:row>
    <x:row r="206" ht="85" customHeight="1">
      <x:c r="A206" s="10" t="n">
        <x:v>205</x:v>
      </x:c>
      <x:c r="B206" s="10" t="str">
        <x:v>ADMIN-0205</x:v>
      </x:c>
      <x:c r="C206" s="10" t="str">
        <x:v>运营配置</x:v>
      </x:c>
      <x:c r="D206" s="10" t="str">
        <x:v>公会推荐编辑（平台管理员）</x:v>
      </x:c>
      <x:c r="E206" s="10" t="str">
        <x:v>逻辑校验</x:v>
      </x:c>
      <x:c r="F206" s="10" t="str">
        <x:v>P1</x:v>
      </x:c>
      <x:c r="G206" s="9" t="str">
        <x:v>验证推荐公会未填写时不能提交</x:v>
      </x:c>
      <x:c r="H206" s="9" t="str">
        <x:v>推荐公会必填</x:v>
      </x:c>
      <x:c r="I206" s="9" t="str">
        <x:v>1. 后台账号已登录且拥有本页及本次操作的授权
2. 除推荐公会外必填项均为合法值</x:v>
      </x:c>
      <x:c r="J206" s="9" t="str">
        <x:v>1. 进入公会推荐编辑的新建表单
2. 取消选择推荐公会
3. 点击保存</x:v>
      </x:c>
      <x:c r="K206" s="9" t="str">
        <x:v>不提交缺少推荐公会的记录</x:v>
      </x:c>
      <x:c r="L206" s="10" t="str"/>
      <x:c r="M206" s="10" t="str">
        <x:v>未测</x:v>
      </x:c>
      <x:c r="N206" s="10" t="str"/>
      <x:c r="O206" s="9" t="str">
        <x:v>1. 来源（当前证据）：liveshow-proto/MainBasis/统一需求文档.md；位置：admin-guild-recommendation-detail.html
2. 规则：BR-926AA9F97730AA
3. 未动态验证</x:v>
      </x:c>
    </x:row>
    <x:row r="207" ht="85" customHeight="1">
      <x:c r="A207" s="10" t="n">
        <x:v>206</x:v>
      </x:c>
      <x:c r="B207" s="10" t="str">
        <x:v>ADMIN-0206</x:v>
      </x:c>
      <x:c r="C207" s="10" t="str">
        <x:v>运营配置</x:v>
      </x:c>
      <x:c r="D207" s="10" t="str">
        <x:v>公会推荐编辑（平台管理员）</x:v>
      </x:c>
      <x:c r="E207" s="10" t="str">
        <x:v>逻辑校验</x:v>
      </x:c>
      <x:c r="F207" s="10" t="str">
        <x:v>P1</x:v>
      </x:c>
      <x:c r="G207" s="9" t="str">
        <x:v>验证排序权重输入0</x:v>
      </x:c>
      <x:c r="H207" s="9" t="str">
        <x:v>排序权重整数校验</x:v>
      </x:c>
      <x:c r="I207" s="9" t="str">
        <x:v>1. 后台账号已登录且拥有本页及本次操作的授权
2. 其余必填项合法，数值1未与现有唯一值冲突</x:v>
      </x:c>
      <x:c r="J207" s="9" t="str">
        <x:v>1. 进入公会推荐编辑的新建表单
2. 输入排序权重为0
3. 点击保存</x:v>
      </x:c>
      <x:c r="K207" s="9" t="str">
        <x:v>不保存排序权重为0的记录</x:v>
      </x:c>
      <x:c r="L207" s="10" t="str"/>
      <x:c r="M207" s="10" t="str">
        <x:v>未测</x:v>
      </x:c>
      <x:c r="N207" s="10" t="str"/>
      <x:c r="O207" s="9" t="str">
        <x:v>1. 来源（当前证据）：liveshow-proto/MainBasis/统一需求文档.md；位置：admin-guild-recommendation-detail.html
2. 规则：BR-38811F6959EB66
3. 未动态验证</x:v>
      </x:c>
    </x:row>
    <x:row r="208" ht="85" customHeight="1">
      <x:c r="A208" s="10" t="n">
        <x:v>207</x:v>
      </x:c>
      <x:c r="B208" s="10" t="str">
        <x:v>ADMIN-0207</x:v>
      </x:c>
      <x:c r="C208" s="10" t="str">
        <x:v>运营配置</x:v>
      </x:c>
      <x:c r="D208" s="10" t="str">
        <x:v>公会推荐编辑（平台管理员）</x:v>
      </x:c>
      <x:c r="E208" s="10" t="str">
        <x:v>逻辑校验</x:v>
      </x:c>
      <x:c r="F208" s="10" t="str">
        <x:v>P1</x:v>
      </x:c>
      <x:c r="G208" s="9" t="str">
        <x:v>验证排序权重输入-1</x:v>
      </x:c>
      <x:c r="H208" s="9" t="str">
        <x:v>排序权重整数校验</x:v>
      </x:c>
      <x:c r="I208" s="9" t="str">
        <x:v>1. 后台账号已登录且拥有本页及本次操作的授权
2. 其余必填项合法，数值1未与现有唯一值冲突</x:v>
      </x:c>
      <x:c r="J208" s="9" t="str">
        <x:v>1. 进入公会推荐编辑的新建表单
2. 输入排序权重为-1
3. 点击保存</x:v>
      </x:c>
      <x:c r="K208" s="9" t="str">
        <x:v>不保存排序权重为-1的记录</x:v>
      </x:c>
      <x:c r="L208" s="10" t="str"/>
      <x:c r="M208" s="10" t="str">
        <x:v>未测</x:v>
      </x:c>
      <x:c r="N208" s="10" t="str"/>
      <x:c r="O208" s="9" t="str">
        <x:v>1. 来源（当前证据）：liveshow-proto/MainBasis/统一需求文档.md；位置：admin-guild-recommendation-detail.html
2. 规则：BR-3337A4959AC2DC
3. 未动态验证</x:v>
      </x:c>
    </x:row>
    <x:row r="209" ht="85" customHeight="1">
      <x:c r="A209" s="10" t="n">
        <x:v>208</x:v>
      </x:c>
      <x:c r="B209" s="10" t="str">
        <x:v>ADMIN-0208</x:v>
      </x:c>
      <x:c r="C209" s="10" t="str">
        <x:v>运营配置</x:v>
      </x:c>
      <x:c r="D209" s="10" t="str">
        <x:v>公会推荐编辑（平台管理员）</x:v>
      </x:c>
      <x:c r="E209" s="10" t="str">
        <x:v>逻辑校验</x:v>
      </x:c>
      <x:c r="F209" s="10" t="str">
        <x:v>P1</x:v>
      </x:c>
      <x:c r="G209" s="9" t="str">
        <x:v>验证排序权重输入1.5</x:v>
      </x:c>
      <x:c r="H209" s="9" t="str">
        <x:v>排序权重整数校验</x:v>
      </x:c>
      <x:c r="I209" s="9" t="str">
        <x:v>1. 后台账号已登录且拥有本页及本次操作的授权
2. 其余必填项合法，数值1未与现有唯一值冲突</x:v>
      </x:c>
      <x:c r="J209" s="9" t="str">
        <x:v>1. 进入公会推荐编辑的新建表单
2. 输入排序权重为1.5
3. 点击保存</x:v>
      </x:c>
      <x:c r="K209" s="9" t="str">
        <x:v>不保存排序权重为1.5的记录</x:v>
      </x:c>
      <x:c r="L209" s="10" t="str"/>
      <x:c r="M209" s="10" t="str">
        <x:v>未测</x:v>
      </x:c>
      <x:c r="N209" s="10" t="str"/>
      <x:c r="O209" s="9" t="str">
        <x:v>1. 来源（当前证据）：liveshow-proto/MainBasis/统一需求文档.md；位置：admin-guild-recommendation-detail.html
2. 规则：BR-AC0BCB4AC1BA1A
3. 未动态验证</x:v>
      </x:c>
    </x:row>
    <x:row r="210" ht="85" customHeight="1">
      <x:c r="A210" s="10" t="n">
        <x:v>209</x:v>
      </x:c>
      <x:c r="B210" s="10" t="str">
        <x:v>ADMIN-0209</x:v>
      </x:c>
      <x:c r="C210" s="10" t="str">
        <x:v>运营配置</x:v>
      </x:c>
      <x:c r="D210" s="10" t="str">
        <x:v>公会推荐编辑（平台管理员）</x:v>
      </x:c>
      <x:c r="E210" s="10" t="str">
        <x:v>逻辑校验</x:v>
      </x:c>
      <x:c r="F210" s="10" t="str">
        <x:v>P1</x:v>
      </x:c>
      <x:c r="G210" s="9" t="str">
        <x:v>验证排序权重输入1</x:v>
      </x:c>
      <x:c r="H210" s="9" t="str">
        <x:v>排序权重合法整数</x:v>
      </x:c>
      <x:c r="I210" s="9" t="str">
        <x:v>1. 后台账号已登录且拥有本页及本次操作的授权
2. 其余必填项合法，数值1未与现有唯一值冲突</x:v>
      </x:c>
      <x:c r="J210" s="9" t="str">
        <x:v>1. 进入公会推荐编辑的新建表单
2. 输入排序权重为1
3. 点击保存</x:v>
      </x:c>
      <x:c r="K210" s="9" t="str">
        <x:v>记录保存的排序权重为1</x:v>
      </x:c>
      <x:c r="L210" s="10" t="str"/>
      <x:c r="M210" s="10" t="str">
        <x:v>未测</x:v>
      </x:c>
      <x:c r="N210" s="10" t="str"/>
      <x:c r="O210" s="9" t="str">
        <x:v>1. 来源（当前证据）：liveshow-proto/MainBasis/统一需求文档.md；位置：admin-guild-recommendation-detail.html
2. 规则：BR-6E93FDEAB13E15
3. 未动态验证</x:v>
      </x:c>
    </x:row>
    <x:row r="211" ht="85" customHeight="1">
      <x:c r="A211" s="10" t="n">
        <x:v>210</x:v>
      </x:c>
      <x:c r="B211" s="10" t="str">
        <x:v>ADMIN-0210</x:v>
      </x:c>
      <x:c r="C211" s="10" t="str">
        <x:v>运营配置</x:v>
      </x:c>
      <x:c r="D211" s="10" t="str">
        <x:v>直播类型（平台管理员）</x:v>
      </x:c>
      <x:c r="E211" s="10" t="str">
        <x:v>逻辑校验</x:v>
      </x:c>
      <x:c r="F211" s="10" t="str">
        <x:v>P1</x:v>
      </x:c>
      <x:c r="G211" s="9" t="str">
        <x:v>验证中文名称未填写时不能提交</x:v>
      </x:c>
      <x:c r="H211" s="9" t="str">
        <x:v>中文名称必填</x:v>
      </x:c>
      <x:c r="I211" s="9" t="str">
        <x:v>1. 后台账号已登录且拥有本页及本次操作的授权
2. 除中文名称外必填项均为合法值</x:v>
      </x:c>
      <x:c r="J211" s="9" t="str">
        <x:v>1. 进入直播类型的新建表单
2. 清空中文名称
3. 点击保存</x:v>
      </x:c>
      <x:c r="K211" s="9" t="str">
        <x:v>不提交缺少中文名称的记录</x:v>
      </x:c>
      <x:c r="L211" s="10" t="str"/>
      <x:c r="M211" s="10" t="str">
        <x:v>未测</x:v>
      </x:c>
      <x:c r="N211" s="10" t="str"/>
      <x:c r="O211" s="9" t="str">
        <x:v>1. 来源（当前证据）：liveshow-proto/MainBasis/统一需求文档.md；位置：admin-live-type.html
2. 规则：BR-034071CAF6BC77
3. 未动态验证</x:v>
      </x:c>
    </x:row>
    <x:row r="212" ht="85" customHeight="1">
      <x:c r="A212" s="10" t="n">
        <x:v>211</x:v>
      </x:c>
      <x:c r="B212" s="10" t="str">
        <x:v>ADMIN-0211</x:v>
      </x:c>
      <x:c r="C212" s="10" t="str">
        <x:v>运营配置</x:v>
      </x:c>
      <x:c r="D212" s="10" t="str">
        <x:v>直播类型（平台管理员）</x:v>
      </x:c>
      <x:c r="E212" s="10" t="str">
        <x:v>逻辑校验</x:v>
      </x:c>
      <x:c r="F212" s="10" t="str">
        <x:v>P1</x:v>
      </x:c>
      <x:c r="G212" s="9" t="str">
        <x:v>验证英文名称未填写时不能提交</x:v>
      </x:c>
      <x:c r="H212" s="9" t="str">
        <x:v>英文名称必填</x:v>
      </x:c>
      <x:c r="I212" s="9" t="str">
        <x:v>1. 后台账号已登录且拥有本页及本次操作的授权
2. 除英文名称外必填项均为合法值</x:v>
      </x:c>
      <x:c r="J212" s="9" t="str">
        <x:v>1. 进入直播类型的新建表单
2. 清空英文名称
3. 点击保存</x:v>
      </x:c>
      <x:c r="K212" s="9" t="str">
        <x:v>不提交缺少英文名称的记录</x:v>
      </x:c>
      <x:c r="L212" s="10" t="str"/>
      <x:c r="M212" s="10" t="str">
        <x:v>未测</x:v>
      </x:c>
      <x:c r="N212" s="10" t="str"/>
      <x:c r="O212" s="9" t="str">
        <x:v>1. 来源（当前证据）：liveshow-proto/MainBasis/统一需求文档.md；位置：admin-live-type.html
2. 规则：BR-E2620F0E1D877F
3. 未动态验证</x:v>
      </x:c>
    </x:row>
    <x:row r="213" ht="85" customHeight="1">
      <x:c r="A213" s="10" t="n">
        <x:v>212</x:v>
      </x:c>
      <x:c r="B213" s="10" t="str">
        <x:v>ADMIN-0212</x:v>
      </x:c>
      <x:c r="C213" s="10" t="str">
        <x:v>运营配置</x:v>
      </x:c>
      <x:c r="D213" s="10" t="str">
        <x:v>直播类型（平台管理员）</x:v>
      </x:c>
      <x:c r="E213" s="10" t="str">
        <x:v>逻辑校验</x:v>
      </x:c>
      <x:c r="F213" s="10" t="str">
        <x:v>P1</x:v>
      </x:c>
      <x:c r="G213" s="9" t="str">
        <x:v>验证印尼语名称未填写时不能提交</x:v>
      </x:c>
      <x:c r="H213" s="9" t="str">
        <x:v>印尼语名称必填</x:v>
      </x:c>
      <x:c r="I213" s="9" t="str">
        <x:v>1. 后台账号已登录且拥有本页及本次操作的授权
2. 除印尼语名称外必填项均为合法值</x:v>
      </x:c>
      <x:c r="J213" s="9" t="str">
        <x:v>1. 进入直播类型的新建表单
2. 清空印尼语名称
3. 点击保存</x:v>
      </x:c>
      <x:c r="K213" s="9" t="str">
        <x:v>不提交缺少印尼语名称的记录</x:v>
      </x:c>
      <x:c r="L213" s="10" t="str"/>
      <x:c r="M213" s="10" t="str">
        <x:v>未测</x:v>
      </x:c>
      <x:c r="N213" s="10" t="str"/>
      <x:c r="O213" s="9" t="str">
        <x:v>1. 来源（当前证据）：liveshow-proto/MainBasis/统一需求文档.md；位置：admin-live-type.html
2. 规则：BR-429C045B89E3A4
3. 未动态验证</x:v>
      </x:c>
    </x:row>
    <x:row r="214" ht="85" customHeight="1">
      <x:c r="A214" s="10" t="n">
        <x:v>213</x:v>
      </x:c>
      <x:c r="B214" s="10" t="str">
        <x:v>ADMIN-0213</x:v>
      </x:c>
      <x:c r="C214" s="10" t="str">
        <x:v>运营配置</x:v>
      </x:c>
      <x:c r="D214" s="10" t="str">
        <x:v>直播类型（平台管理员）</x:v>
      </x:c>
      <x:c r="E214" s="10" t="str">
        <x:v>逻辑校验</x:v>
      </x:c>
      <x:c r="F214" s="10" t="str">
        <x:v>P1</x:v>
      </x:c>
      <x:c r="G214" s="9" t="str">
        <x:v>验证马来语名称未填写时不能提交</x:v>
      </x:c>
      <x:c r="H214" s="9" t="str">
        <x:v>马来语名称必填</x:v>
      </x:c>
      <x:c r="I214" s="9" t="str">
        <x:v>1. 后台账号已登录且拥有本页及本次操作的授权
2. 除马来语名称外必填项均为合法值</x:v>
      </x:c>
      <x:c r="J214" s="9" t="str">
        <x:v>1. 进入直播类型的新建表单
2. 清空马来语名称
3. 点击保存</x:v>
      </x:c>
      <x:c r="K214" s="9" t="str">
        <x:v>不提交缺少马来语名称的记录</x:v>
      </x:c>
      <x:c r="L214" s="10" t="str"/>
      <x:c r="M214" s="10" t="str">
        <x:v>未测</x:v>
      </x:c>
      <x:c r="N214" s="10" t="str"/>
      <x:c r="O214" s="9" t="str">
        <x:v>1. 来源（当前证据）：liveshow-proto/MainBasis/统一需求文档.md；位置：admin-live-type.html
2. 规则：BR-5F517E4C2C9B1E
3. 未动态验证</x:v>
      </x:c>
    </x:row>
    <x:row r="215" ht="85" customHeight="1">
      <x:c r="A215" s="10" t="n">
        <x:v>214</x:v>
      </x:c>
      <x:c r="B215" s="10" t="str">
        <x:v>ADMIN-0214</x:v>
      </x:c>
      <x:c r="C215" s="10" t="str">
        <x:v>运营配置</x:v>
      </x:c>
      <x:c r="D215" s="10" t="str">
        <x:v>门票价格档位编辑（平台管理员）</x:v>
      </x:c>
      <x:c r="E215" s="10" t="str">
        <x:v>逻辑校验</x:v>
      </x:c>
      <x:c r="F215" s="10" t="str">
        <x:v>P1</x:v>
      </x:c>
      <x:c r="G215" s="9" t="str">
        <x:v>验证门票价格输入0</x:v>
      </x:c>
      <x:c r="H215" s="9" t="str">
        <x:v>门票价格整数校验</x:v>
      </x:c>
      <x:c r="I215" s="9" t="str">
        <x:v>1. 后台账号已登录且拥有本页及本次操作的授权
2. 其余必填项合法，数值1未与现有唯一值冲突</x:v>
      </x:c>
      <x:c r="J215" s="9" t="str">
        <x:v>1. 进入门票价格档位编辑的新建表单
2. 输入门票价格为0
3. 点击保存</x:v>
      </x:c>
      <x:c r="K215" s="9" t="str">
        <x:v>不保存门票价格为0的记录</x:v>
      </x:c>
      <x:c r="L215" s="10" t="str"/>
      <x:c r="M215" s="10" t="str">
        <x:v>未测</x:v>
      </x:c>
      <x:c r="N215" s="10" t="str"/>
      <x:c r="O215" s="9" t="str">
        <x:v>1. 来源（当前证据）：liveshow-proto/MainBasis/统一需求文档.md；位置：admin-ticket-price-level-detail.html
2. 规则：BR-4EF3F5CDE16DE9
3. 未动态验证</x:v>
      </x:c>
    </x:row>
    <x:row r="216" ht="85" customHeight="1">
      <x:c r="A216" s="10" t="n">
        <x:v>215</x:v>
      </x:c>
      <x:c r="B216" s="10" t="str">
        <x:v>ADMIN-0215</x:v>
      </x:c>
      <x:c r="C216" s="10" t="str">
        <x:v>运营配置</x:v>
      </x:c>
      <x:c r="D216" s="10" t="str">
        <x:v>门票价格档位编辑（平台管理员）</x:v>
      </x:c>
      <x:c r="E216" s="10" t="str">
        <x:v>逻辑校验</x:v>
      </x:c>
      <x:c r="F216" s="10" t="str">
        <x:v>P1</x:v>
      </x:c>
      <x:c r="G216" s="9" t="str">
        <x:v>验证门票价格输入-1</x:v>
      </x:c>
      <x:c r="H216" s="9" t="str">
        <x:v>门票价格整数校验</x:v>
      </x:c>
      <x:c r="I216" s="9" t="str">
        <x:v>1. 后台账号已登录且拥有本页及本次操作的授权
2. 其余必填项合法，数值1未与现有唯一值冲突</x:v>
      </x:c>
      <x:c r="J216" s="9" t="str">
        <x:v>1. 进入门票价格档位编辑的新建表单
2. 输入门票价格为-1
3. 点击保存</x:v>
      </x:c>
      <x:c r="K216" s="9" t="str">
        <x:v>不保存门票价格为-1的记录</x:v>
      </x:c>
      <x:c r="L216" s="10" t="str"/>
      <x:c r="M216" s="10" t="str">
        <x:v>未测</x:v>
      </x:c>
      <x:c r="N216" s="10" t="str"/>
      <x:c r="O216" s="9" t="str">
        <x:v>1. 来源（当前证据）：liveshow-proto/MainBasis/统一需求文档.md；位置：admin-ticket-price-level-detail.html
2. 规则：BR-2EA9762610ECF1
3. 未动态验证</x:v>
      </x:c>
    </x:row>
    <x:row r="217" ht="85" customHeight="1">
      <x:c r="A217" s="10" t="n">
        <x:v>216</x:v>
      </x:c>
      <x:c r="B217" s="10" t="str">
        <x:v>ADMIN-0216</x:v>
      </x:c>
      <x:c r="C217" s="10" t="str">
        <x:v>运营配置</x:v>
      </x:c>
      <x:c r="D217" s="10" t="str">
        <x:v>门票价格档位编辑（平台管理员）</x:v>
      </x:c>
      <x:c r="E217" s="10" t="str">
        <x:v>逻辑校验</x:v>
      </x:c>
      <x:c r="F217" s="10" t="str">
        <x:v>P1</x:v>
      </x:c>
      <x:c r="G217" s="9" t="str">
        <x:v>验证门票价格输入1.5</x:v>
      </x:c>
      <x:c r="H217" s="9" t="str">
        <x:v>门票价格整数校验</x:v>
      </x:c>
      <x:c r="I217" s="9" t="str">
        <x:v>1. 后台账号已登录且拥有本页及本次操作的授权
2. 其余必填项合法，数值1未与现有唯一值冲突</x:v>
      </x:c>
      <x:c r="J217" s="9" t="str">
        <x:v>1. 进入门票价格档位编辑的新建表单
2. 输入门票价格为1.5
3. 点击保存</x:v>
      </x:c>
      <x:c r="K217" s="9" t="str">
        <x:v>不保存门票价格为1.5的记录</x:v>
      </x:c>
      <x:c r="L217" s="10" t="str"/>
      <x:c r="M217" s="10" t="str">
        <x:v>未测</x:v>
      </x:c>
      <x:c r="N217" s="10" t="str"/>
      <x:c r="O217" s="9" t="str">
        <x:v>1. 来源（当前证据）：liveshow-proto/MainBasis/统一需求文档.md；位置：admin-ticket-price-level-detail.html
2. 规则：BR-C2FE4B1466A3E1
3. 未动态验证</x:v>
      </x:c>
    </x:row>
    <x:row r="218" ht="85" customHeight="1">
      <x:c r="A218" s="10" t="n">
        <x:v>217</x:v>
      </x:c>
      <x:c r="B218" s="10" t="str">
        <x:v>ADMIN-0217</x:v>
      </x:c>
      <x:c r="C218" s="10" t="str">
        <x:v>运营配置</x:v>
      </x:c>
      <x:c r="D218" s="10" t="str">
        <x:v>门票价格档位编辑（平台管理员）</x:v>
      </x:c>
      <x:c r="E218" s="10" t="str">
        <x:v>逻辑校验</x:v>
      </x:c>
      <x:c r="F218" s="10" t="str">
        <x:v>P1</x:v>
      </x:c>
      <x:c r="G218" s="9" t="str">
        <x:v>验证门票价格输入1</x:v>
      </x:c>
      <x:c r="H218" s="9" t="str">
        <x:v>门票价格合法整数</x:v>
      </x:c>
      <x:c r="I218" s="9" t="str">
        <x:v>1. 后台账号已登录且拥有本页及本次操作的授权
2. 其余必填项合法，数值1未与现有唯一值冲突</x:v>
      </x:c>
      <x:c r="J218" s="9" t="str">
        <x:v>1. 进入门票价格档位编辑的新建表单
2. 输入门票价格为1
3. 点击保存</x:v>
      </x:c>
      <x:c r="K218" s="9" t="str">
        <x:v>记录保存的门票价格为1</x:v>
      </x:c>
      <x:c r="L218" s="10" t="str"/>
      <x:c r="M218" s="10" t="str">
        <x:v>未测</x:v>
      </x:c>
      <x:c r="N218" s="10" t="str"/>
      <x:c r="O218" s="9" t="str">
        <x:v>1. 来源（当前证据）：liveshow-proto/MainBasis/统一需求文档.md；位置：admin-ticket-price-level-detail.html
2. 规则：BR-0914AC7EB4569E
3. 未动态验证</x:v>
      </x:c>
    </x:row>
    <x:row r="219" ht="85" customHeight="1">
      <x:c r="A219" s="10" t="n">
        <x:v>218</x:v>
      </x:c>
      <x:c r="B219" s="10" t="str">
        <x:v>ADMIN-0218</x:v>
      </x:c>
      <x:c r="C219" s="10" t="str">
        <x:v>运营配置</x:v>
      </x:c>
      <x:c r="D219" s="10" t="str">
        <x:v>门票价格档位编辑（平台管理员）</x:v>
      </x:c>
      <x:c r="E219" s="10" t="str">
        <x:v>逻辑校验</x:v>
      </x:c>
      <x:c r="F219" s="10" t="str">
        <x:v>P1</x:v>
      </x:c>
      <x:c r="G219" s="9" t="str">
        <x:v>验证排序输入0</x:v>
      </x:c>
      <x:c r="H219" s="9" t="str">
        <x:v>排序整数校验</x:v>
      </x:c>
      <x:c r="I219" s="9" t="str">
        <x:v>1. 后台账号已登录且拥有本页及本次操作的授权
2. 其余必填项合法，数值1未与现有唯一值冲突</x:v>
      </x:c>
      <x:c r="J219" s="9" t="str">
        <x:v>1. 进入门票价格档位编辑的新建表单
2. 输入排序为0
3. 点击保存</x:v>
      </x:c>
      <x:c r="K219" s="9" t="str">
        <x:v>不保存排序为0的记录</x:v>
      </x:c>
      <x:c r="L219" s="10" t="str"/>
      <x:c r="M219" s="10" t="str">
        <x:v>未测</x:v>
      </x:c>
      <x:c r="N219" s="10" t="str"/>
      <x:c r="O219" s="9" t="str">
        <x:v>1. 来源（当前证据）：liveshow-proto/MainBasis/统一需求文档.md；位置：admin-ticket-price-level-detail.html
2. 规则：BR-71C208DC32E514
3. 未动态验证</x:v>
      </x:c>
    </x:row>
    <x:row r="220" ht="85" customHeight="1">
      <x:c r="A220" s="10" t="n">
        <x:v>219</x:v>
      </x:c>
      <x:c r="B220" s="10" t="str">
        <x:v>ADMIN-0219</x:v>
      </x:c>
      <x:c r="C220" s="10" t="str">
        <x:v>运营配置</x:v>
      </x:c>
      <x:c r="D220" s="10" t="str">
        <x:v>门票价格档位编辑（平台管理员）</x:v>
      </x:c>
      <x:c r="E220" s="10" t="str">
        <x:v>逻辑校验</x:v>
      </x:c>
      <x:c r="F220" s="10" t="str">
        <x:v>P1</x:v>
      </x:c>
      <x:c r="G220" s="9" t="str">
        <x:v>验证排序输入-1</x:v>
      </x:c>
      <x:c r="H220" s="9" t="str">
        <x:v>排序整数校验</x:v>
      </x:c>
      <x:c r="I220" s="9" t="str">
        <x:v>1. 后台账号已登录且拥有本页及本次操作的授权
2. 其余必填项合法，数值1未与现有唯一值冲突</x:v>
      </x:c>
      <x:c r="J220" s="9" t="str">
        <x:v>1. 进入门票价格档位编辑的新建表单
2. 输入排序为-1
3. 点击保存</x:v>
      </x:c>
      <x:c r="K220" s="9" t="str">
        <x:v>不保存排序为-1的记录</x:v>
      </x:c>
      <x:c r="L220" s="10" t="str"/>
      <x:c r="M220" s="10" t="str">
        <x:v>未测</x:v>
      </x:c>
      <x:c r="N220" s="10" t="str"/>
      <x:c r="O220" s="9" t="str">
        <x:v>1. 来源（当前证据）：liveshow-proto/MainBasis/统一需求文档.md；位置：admin-ticket-price-level-detail.html
2. 规则：BR-6698C77353463E
3. 未动态验证</x:v>
      </x:c>
    </x:row>
    <x:row r="221" ht="85" customHeight="1">
      <x:c r="A221" s="10" t="n">
        <x:v>220</x:v>
      </x:c>
      <x:c r="B221" s="10" t="str">
        <x:v>ADMIN-0220</x:v>
      </x:c>
      <x:c r="C221" s="10" t="str">
        <x:v>运营配置</x:v>
      </x:c>
      <x:c r="D221" s="10" t="str">
        <x:v>门票价格档位编辑（平台管理员）</x:v>
      </x:c>
      <x:c r="E221" s="10" t="str">
        <x:v>逻辑校验</x:v>
      </x:c>
      <x:c r="F221" s="10" t="str">
        <x:v>P1</x:v>
      </x:c>
      <x:c r="G221" s="9" t="str">
        <x:v>验证排序输入1.5</x:v>
      </x:c>
      <x:c r="H221" s="9" t="str">
        <x:v>排序整数校验</x:v>
      </x:c>
      <x:c r="I221" s="9" t="str">
        <x:v>1. 后台账号已登录且拥有本页及本次操作的授权
2. 其余必填项合法，数值1未与现有唯一值冲突</x:v>
      </x:c>
      <x:c r="J221" s="9" t="str">
        <x:v>1. 进入门票价格档位编辑的新建表单
2. 输入排序为1.5
3. 点击保存</x:v>
      </x:c>
      <x:c r="K221" s="9" t="str">
        <x:v>不保存排序为1.5的记录</x:v>
      </x:c>
      <x:c r="L221" s="10" t="str"/>
      <x:c r="M221" s="10" t="str">
        <x:v>未测</x:v>
      </x:c>
      <x:c r="N221" s="10" t="str"/>
      <x:c r="O221" s="9" t="str">
        <x:v>1. 来源（当前证据）：liveshow-proto/MainBasis/统一需求文档.md；位置：admin-ticket-price-level-detail.html
2. 规则：BR-E8BCE4CEF6B464
3. 未动态验证</x:v>
      </x:c>
    </x:row>
    <x:row r="222" ht="85" customHeight="1">
      <x:c r="A222" s="10" t="n">
        <x:v>221</x:v>
      </x:c>
      <x:c r="B222" s="10" t="str">
        <x:v>ADMIN-0221</x:v>
      </x:c>
      <x:c r="C222" s="10" t="str">
        <x:v>运营配置</x:v>
      </x:c>
      <x:c r="D222" s="10" t="str">
        <x:v>门票价格档位编辑（平台管理员）</x:v>
      </x:c>
      <x:c r="E222" s="10" t="str">
        <x:v>逻辑校验</x:v>
      </x:c>
      <x:c r="F222" s="10" t="str">
        <x:v>P1</x:v>
      </x:c>
      <x:c r="G222" s="9" t="str">
        <x:v>验证排序输入1</x:v>
      </x:c>
      <x:c r="H222" s="9" t="str">
        <x:v>排序合法整数</x:v>
      </x:c>
      <x:c r="I222" s="9" t="str">
        <x:v>1. 后台账号已登录且拥有本页及本次操作的授权
2. 其余必填项合法，数值1未与现有唯一值冲突</x:v>
      </x:c>
      <x:c r="J222" s="9" t="str">
        <x:v>1. 进入门票价格档位编辑的新建表单
2. 输入排序为1
3. 点击保存</x:v>
      </x:c>
      <x:c r="K222" s="9" t="str">
        <x:v>记录保存的排序为1</x:v>
      </x:c>
      <x:c r="L222" s="10" t="str"/>
      <x:c r="M222" s="10" t="str">
        <x:v>未测</x:v>
      </x:c>
      <x:c r="N222" s="10" t="str"/>
      <x:c r="O222" s="9" t="str">
        <x:v>1. 来源（当前证据）：liveshow-proto/MainBasis/统一需求文档.md；位置：admin-ticket-price-level-detail.html
2. 规则：BR-60311E0F079CF7
3. 未动态验证</x:v>
      </x:c>
    </x:row>
    <x:row r="223" ht="85" customHeight="1">
      <x:c r="A223" s="10" t="n">
        <x:v>222</x:v>
      </x:c>
      <x:c r="B223" s="10" t="str">
        <x:v>ADMIN-0222</x:v>
      </x:c>
      <x:c r="C223" s="10" t="str">
        <x:v>运营配置</x:v>
      </x:c>
      <x:c r="D223" s="10" t="str">
        <x:v>敏感词编辑（平台管理员）</x:v>
      </x:c>
      <x:c r="E223" s="10" t="str">
        <x:v>逻辑校验</x:v>
      </x:c>
      <x:c r="F223" s="10" t="str">
        <x:v>P1</x:v>
      </x:c>
      <x:c r="G223" s="9" t="str">
        <x:v>验证敏感词未填写时不能提交</x:v>
      </x:c>
      <x:c r="H223" s="9" t="str">
        <x:v>敏感词必填</x:v>
      </x:c>
      <x:c r="I223" s="9" t="str">
        <x:v>1. 后台账号已登录且拥有本页及本次操作的授权
2. 除敏感词外必填项均为合法值</x:v>
      </x:c>
      <x:c r="J223" s="9" t="str">
        <x:v>1. 进入敏感词编辑的新建表单
2. 清空敏感词
3. 点击保存</x:v>
      </x:c>
      <x:c r="K223" s="9" t="str">
        <x:v>不提交缺少敏感词的记录</x:v>
      </x:c>
      <x:c r="L223" s="10" t="str"/>
      <x:c r="M223" s="10" t="str">
        <x:v>未测</x:v>
      </x:c>
      <x:c r="N223" s="10" t="str"/>
      <x:c r="O223" s="9" t="str">
        <x:v>1. 来源（当前证据）：liveshow-proto/MainBasis/统一需求文档.md；位置：admin-sensitive-words-detail.html
2. 规则：BR-6BF68E214489B7
3. 未动态验证</x:v>
      </x:c>
    </x:row>
    <x:row r="224" ht="85" customHeight="1">
      <x:c r="A224" s="10" t="n">
        <x:v>223</x:v>
      </x:c>
      <x:c r="B224" s="10" t="str">
        <x:v>ADMIN-0223</x:v>
      </x:c>
      <x:c r="C224" s="10" t="str">
        <x:v>运营配置</x:v>
      </x:c>
      <x:c r="D224" s="10" t="str">
        <x:v>敏感词编辑（平台管理员）</x:v>
      </x:c>
      <x:c r="E224" s="10" t="str">
        <x:v>逻辑校验</x:v>
      </x:c>
      <x:c r="F224" s="10" t="str">
        <x:v>P1</x:v>
      </x:c>
      <x:c r="G224" s="9" t="str">
        <x:v>验证分类未填写时不能提交</x:v>
      </x:c>
      <x:c r="H224" s="9" t="str">
        <x:v>分类必填</x:v>
      </x:c>
      <x:c r="I224" s="9" t="str">
        <x:v>1. 后台账号已登录且拥有本页及本次操作的授权
2. 除分类外必填项均为合法值</x:v>
      </x:c>
      <x:c r="J224" s="9" t="str">
        <x:v>1. 进入敏感词编辑的新建表单
2. 取消选择分类
3. 点击保存</x:v>
      </x:c>
      <x:c r="K224" s="9" t="str">
        <x:v>不提交缺少分类的记录</x:v>
      </x:c>
      <x:c r="L224" s="10" t="str"/>
      <x:c r="M224" s="10" t="str">
        <x:v>未测</x:v>
      </x:c>
      <x:c r="N224" s="10" t="str"/>
      <x:c r="O224" s="9" t="str">
        <x:v>1. 来源（当前证据）：liveshow-proto/MainBasis/统一需求文档.md；位置：admin-sensitive-words-detail.html
2. 规则：BR-D4BC67590F22FF
3. 未动态验证</x:v>
      </x:c>
    </x:row>
    <x:row r="225" ht="85" customHeight="1">
      <x:c r="A225" s="10" t="n">
        <x:v>224</x:v>
      </x:c>
      <x:c r="B225" s="10" t="str">
        <x:v>ADMIN-0224</x:v>
      </x:c>
      <x:c r="C225" s="10" t="str">
        <x:v>运营配置</x:v>
      </x:c>
      <x:c r="D225" s="10" t="str">
        <x:v>敏感词编辑（平台管理员）</x:v>
      </x:c>
      <x:c r="E225" s="10" t="str">
        <x:v>逻辑校验</x:v>
      </x:c>
      <x:c r="F225" s="10" t="str">
        <x:v>P1</x:v>
      </x:c>
      <x:c r="G225" s="9" t="str">
        <x:v>验证替换内容未填写时不能提交</x:v>
      </x:c>
      <x:c r="H225" s="9" t="str">
        <x:v>替换内容必填</x:v>
      </x:c>
      <x:c r="I225" s="9" t="str">
        <x:v>1. 后台账号已登录且拥有本页及本次操作的授权
2. 除替换内容外必填项均为合法值</x:v>
      </x:c>
      <x:c r="J225" s="9" t="str">
        <x:v>1. 进入敏感词编辑的新建表单
2. 清空替换内容
3. 点击保存</x:v>
      </x:c>
      <x:c r="K225" s="9" t="str">
        <x:v>不提交缺少替换内容的记录</x:v>
      </x:c>
      <x:c r="L225" s="10" t="str"/>
      <x:c r="M225" s="10" t="str">
        <x:v>未测</x:v>
      </x:c>
      <x:c r="N225" s="10" t="str"/>
      <x:c r="O225" s="9" t="str">
        <x:v>1. 来源（当前证据）：liveshow-proto/MainBasis/统一需求文档.md；位置：admin-sensitive-words-detail.html
2. 规则：BR-F33B431BD260A9
3. 未动态验证</x:v>
      </x:c>
    </x:row>
    <x:row r="226" ht="85" customHeight="1">
      <x:c r="A226" s="10" t="n">
        <x:v>225</x:v>
      </x:c>
      <x:c r="B226" s="10" t="str">
        <x:v>ADMIN-0225</x:v>
      </x:c>
      <x:c r="C226" s="10" t="str">
        <x:v>运营配置</x:v>
      </x:c>
      <x:c r="D226" s="10" t="str">
        <x:v>充值套餐编辑（平台管理员）</x:v>
      </x:c>
      <x:c r="E226" s="10" t="str">
        <x:v>功能需求</x:v>
      </x:c>
      <x:c r="F226" s="10" t="str">
        <x:v>P1</x:v>
      </x:c>
      <x:c r="G226" s="9" t="str">
        <x:v>验证编辑时套餐 ID不可修改</x:v>
      </x:c>
      <x:c r="H226" s="9" t="str">
        <x:v>套餐 ID只读</x:v>
      </x:c>
      <x:c r="I226" s="9" t="str">
        <x:v>1. 后台账号已登录且拥有本页及本次操作的授权
2. 已有记录的套餐 ID已生成</x:v>
      </x:c>
      <x:c r="J226" s="9" t="str">
        <x:v>1. 进入已有充值套餐编辑
2. 查看套餐 ID</x:v>
      </x:c>
      <x:c r="K226" s="9" t="str">
        <x:v>套餐 ID不可编辑</x:v>
      </x:c>
      <x:c r="L226" s="10" t="str">
        <x:v>FLOW-2BA2481A</x:v>
      </x:c>
      <x:c r="M226" s="10" t="str">
        <x:v>未测</x:v>
      </x:c>
      <x:c r="N226" s="10" t="str"/>
      <x:c r="O226" s="9" t="str">
        <x:v>1. 来源（当前证据）：liveshow-proto/MainBasis/统一需求文档.md；位置：admin-recharge-package-detail.html
2. 规则：BR-A052BDB48423D7
3. 未动态验证</x:v>
      </x:c>
    </x:row>
    <x:row r="227" ht="85" customHeight="1">
      <x:c r="A227" s="10" t="n">
        <x:v>226</x:v>
      </x:c>
      <x:c r="B227" s="10" t="str">
        <x:v>ADMIN-0226</x:v>
      </x:c>
      <x:c r="C227" s="10" t="str">
        <x:v>运营配置</x:v>
      </x:c>
      <x:c r="D227" s="10" t="str">
        <x:v>门票价格档位编辑（平台管理员）</x:v>
      </x:c>
      <x:c r="E227" s="10" t="str">
        <x:v>功能需求</x:v>
      </x:c>
      <x:c r="F227" s="10" t="str">
        <x:v>P1</x:v>
      </x:c>
      <x:c r="G227" s="9" t="str">
        <x:v>验证编辑时档位 ID不可修改</x:v>
      </x:c>
      <x:c r="H227" s="9" t="str">
        <x:v>档位 ID只读</x:v>
      </x:c>
      <x:c r="I227" s="9" t="str">
        <x:v>1. 后台账号已登录且拥有本页及本次操作的授权
2. 已有记录的档位 ID已生成</x:v>
      </x:c>
      <x:c r="J227" s="9" t="str">
        <x:v>1. 进入已有门票价格档位编辑
2. 查看档位 ID</x:v>
      </x:c>
      <x:c r="K227" s="9" t="str">
        <x:v>档位 ID不可编辑</x:v>
      </x:c>
      <x:c r="L227" s="10" t="str"/>
      <x:c r="M227" s="10" t="str">
        <x:v>未测</x:v>
      </x:c>
      <x:c r="N227" s="10" t="str"/>
      <x:c r="O227" s="9" t="str">
        <x:v>1. 来源（当前证据）：liveshow-proto/MainBasis/统一需求文档.md；位置：admin-ticket-price-level-detail.html
2. 规则：BR-7700C98EFBBF21
3. 未动态验证</x:v>
      </x:c>
    </x:row>
    <x:row r="228" ht="85" customHeight="1">
      <x:c r="A228" s="10" t="n">
        <x:v>227</x:v>
      </x:c>
      <x:c r="B228" s="10" t="str">
        <x:v>ADMIN-0227</x:v>
      </x:c>
      <x:c r="C228" s="10" t="str">
        <x:v>运营配置</x:v>
      </x:c>
      <x:c r="D228" s="10" t="str">
        <x:v>展示素材编辑（平台管理员）</x:v>
      </x:c>
      <x:c r="E228" s="10" t="str">
        <x:v>功能需求</x:v>
      </x:c>
      <x:c r="F228" s="10" t="str">
        <x:v>P1</x:v>
      </x:c>
      <x:c r="G228" s="9" t="str">
        <x:v>验证轮播至少保留一项</x:v>
      </x:c>
      <x:c r="H228" s="9" t="str">
        <x:v>轮播最小项数</x:v>
      </x:c>
      <x:c r="I228" s="9" t="str">
        <x:v>1. 后台账号已登录且拥有本页及本次操作的授权
2. 当前只有1项轮播内容</x:v>
      </x:c>
      <x:c r="J228" s="9" t="str">
        <x:v>1. 进入运营位配置详情
2. 点击删除该项</x:v>
      </x:c>
      <x:c r="K228" s="9" t="str">
        <x:v>该唯一轮播项不能删除</x:v>
      </x:c>
      <x:c r="L228" s="10" t="str"/>
      <x:c r="M228" s="10" t="str">
        <x:v>未测</x:v>
      </x:c>
      <x:c r="N228" s="10" t="str"/>
      <x:c r="O228" s="9" t="str">
        <x:v>1. 来源（当前证据）：liveshow-proto/MainBasis/统一需求文档.md；位置：admin-placement-detail.html
2. 规则：BR-134F76EA75A280
3. 未动态验证</x:v>
      </x:c>
    </x:row>
    <x:row r="229" ht="85" customHeight="1">
      <x:c r="A229" s="10" t="n">
        <x:v>228</x:v>
      </x:c>
      <x:c r="B229" s="10" t="str">
        <x:v>ADMIN-0228</x:v>
      </x:c>
      <x:c r="C229" s="10" t="str">
        <x:v>运营配置</x:v>
      </x:c>
      <x:c r="D229" s="10" t="str">
        <x:v>展示素材编辑（平台管理员）</x:v>
      </x:c>
      <x:c r="E229" s="10" t="str">
        <x:v>功能需求</x:v>
      </x:c>
      <x:c r="F229" s="10" t="str">
        <x:v>P1</x:v>
      </x:c>
      <x:c r="G229" s="9" t="str">
        <x:v>验证轮播五项后不能再添加</x:v>
      </x:c>
      <x:c r="H229" s="9" t="str">
        <x:v>轮播最大项数</x:v>
      </x:c>
      <x:c r="I229" s="9" t="str">
        <x:v>1. 后台账号已登录且拥有本页及本次操作的授权
2. 当前已有5项轮播内容</x:v>
      </x:c>
      <x:c r="J229" s="9" t="str">
        <x:v>1. 进入运营位配置详情
2. 点击添加</x:v>
      </x:c>
      <x:c r="K229" s="9" t="str">
        <x:v>不新增第6项轮播内容</x:v>
      </x:c>
      <x:c r="L229" s="10" t="str"/>
      <x:c r="M229" s="10" t="str">
        <x:v>未测</x:v>
      </x:c>
      <x:c r="N229" s="10" t="str"/>
      <x:c r="O229" s="9" t="str">
        <x:v>1. 来源（当前证据）：liveshow-proto/MainBasis/统一需求文档.md；位置：admin-placement-detail.html
2. 规则：BR-4E2F358A7E3062
3. 未动态验证</x:v>
      </x:c>
    </x:row>
    <x:row r="230" ht="85" customHeight="1">
      <x:c r="A230" s="10" t="n">
        <x:v>229</x:v>
      </x:c>
      <x:c r="B230" s="10" t="str">
        <x:v>ADMIN-0229</x:v>
      </x:c>
      <x:c r="C230" s="10" t="str">
        <x:v>运营配置</x:v>
      </x:c>
      <x:c r="D230" s="10" t="str">
        <x:v>展示素材编辑（平台管理员）</x:v>
      </x:c>
      <x:c r="E230" s="10" t="str">
        <x:v>功能需求</x:v>
      </x:c>
      <x:c r="F230" s="10" t="str">
        <x:v>P1</x:v>
      </x:c>
      <x:c r="G230" s="9" t="str">
        <x:v>验证未保存轮播项可直接移除</x:v>
      </x:c>
      <x:c r="H230" s="9" t="str">
        <x:v>新增素材删除</x:v>
      </x:c>
      <x:c r="I230" s="9" t="str">
        <x:v>1. 后台账号已登录且拥有本页及本次操作的授权
2. 刚新建一项尚未保存的内容，另有一项已保存内容</x:v>
      </x:c>
      <x:c r="J230" s="9" t="str">
        <x:v>1. 进入运营位配置详情
2. 删除新建项</x:v>
      </x:c>
      <x:c r="K230" s="9" t="str">
        <x:v>新建项直接移除</x:v>
      </x:c>
      <x:c r="L230" s="10" t="str"/>
      <x:c r="M230" s="10" t="str">
        <x:v>未测</x:v>
      </x:c>
      <x:c r="N230" s="10" t="str"/>
      <x:c r="O230" s="9" t="str">
        <x:v>1. 来源（当前证据）：liveshow-proto/MainBasis/统一需求文档.md；位置：admin-placement-detail.html
2. 规则：BR-D3BC2A3003F9BA
3. 未动态验证</x:v>
      </x:c>
    </x:row>
    <x:row r="231" ht="85" customHeight="1">
      <x:c r="A231" s="10" t="n">
        <x:v>230</x:v>
      </x:c>
      <x:c r="B231" s="10" t="str">
        <x:v>ADMIN-0230</x:v>
      </x:c>
      <x:c r="C231" s="10" t="str">
        <x:v>运营配置</x:v>
      </x:c>
      <x:c r="D231" s="10" t="str">
        <x:v>展示素材编辑（平台管理员）</x:v>
      </x:c>
      <x:c r="E231" s="10" t="str">
        <x:v>功能需求</x:v>
      </x:c>
      <x:c r="F231" s="10" t="str">
        <x:v>P1</x:v>
      </x:c>
      <x:c r="G231" s="9" t="str">
        <x:v>验证已保存轮播项删除需要确认</x:v>
      </x:c>
      <x:c r="H231" s="9" t="str">
        <x:v>已有素材删除</x:v>
      </x:c>
      <x:c r="I231" s="9" t="str">
        <x:v>1. 后台账号已登录且拥有本页及本次操作的授权
2. 已有2项已保存轮播内容</x:v>
      </x:c>
      <x:c r="J231" s="9" t="str">
        <x:v>1. 进入运营位配置详情
2. 删除其中1项</x:v>
      </x:c>
      <x:c r="K231" s="9" t="str">
        <x:v>显示删除确认</x:v>
      </x:c>
      <x:c r="L231" s="10" t="str"/>
      <x:c r="M231" s="10" t="str">
        <x:v>未测</x:v>
      </x:c>
      <x:c r="N231" s="10" t="str"/>
      <x:c r="O231" s="9" t="str">
        <x:v>1. 来源（当前证据）：liveshow-proto/MainBasis/统一需求文档.md；位置：admin-placement-detail.html
2. 规则：BR-7D13408518E715
3. 未动态验证</x:v>
      </x:c>
    </x:row>
    <x:row r="232" ht="85" customHeight="1">
      <x:c r="A232" s="10" t="n">
        <x:v>231</x:v>
      </x:c>
      <x:c r="B232" s="10" t="str">
        <x:v>ADMIN-0231</x:v>
      </x:c>
      <x:c r="C232" s="10" t="str">
        <x:v>运营配置</x:v>
      </x:c>
      <x:c r="D232" s="10" t="str">
        <x:v>展示素材编辑（平台管理员）</x:v>
      </x:c>
      <x:c r="E232" s="10" t="str">
        <x:v>功能需求</x:v>
      </x:c>
      <x:c r="F232" s="10" t="str">
        <x:v>P1</x:v>
      </x:c>
      <x:c r="G232" s="9" t="str">
        <x:v>验证App跳转目标必选</x:v>
      </x:c>
      <x:c r="H232" s="9" t="str">
        <x:v>运营位页面目标</x:v>
      </x:c>
      <x:c r="I232" s="9" t="str">
        <x:v>1. 后台账号已登录且拥有本页及本次操作的授权
2. 本项素材已上传，跳转类型为APP已有页面但未选目标</x:v>
      </x:c>
      <x:c r="J232" s="9" t="str">
        <x:v>1. 进入运营位配置详情
2. 点击保存</x:v>
      </x:c>
      <x:c r="K232" s="9" t="str">
        <x:v>本项因缺少目标页面不能保存</x:v>
      </x:c>
      <x:c r="L232" s="10" t="str"/>
      <x:c r="M232" s="10" t="str">
        <x:v>未测</x:v>
      </x:c>
      <x:c r="N232" s="10" t="str"/>
      <x:c r="O232" s="9" t="str">
        <x:v>1. 来源（当前证据）：liveshow-proto/MainBasis/统一需求文档.md；位置：admin-placement-detail.html
2. 规则：BR-73F684E6BB93CA
3. 未动态验证</x:v>
      </x:c>
    </x:row>
    <x:row r="233" ht="85" customHeight="1">
      <x:c r="A233" s="10" t="n">
        <x:v>232</x:v>
      </x:c>
      <x:c r="B233" s="10" t="str">
        <x:v>ADMIN-0232</x:v>
      </x:c>
      <x:c r="C233" s="10" t="str">
        <x:v>运营配置</x:v>
      </x:c>
      <x:c r="D233" s="10" t="str">
        <x:v>展示素材编辑（平台管理员）</x:v>
      </x:c>
      <x:c r="E233" s="10" t="str">
        <x:v>功能需求</x:v>
      </x:c>
      <x:c r="F233" s="10" t="str">
        <x:v>P1</x:v>
      </x:c>
      <x:c r="G233" s="9" t="str">
        <x:v>验证活动长图跳转必须上传内容</x:v>
      </x:c>
      <x:c r="H233" s="9" t="str">
        <x:v>运营位长图目标</x:v>
      </x:c>
      <x:c r="I233" s="9" t="str">
        <x:v>1. 后台账号已登录且拥有本页及本次操作的授权
2. 本项素材已上传，跳转类型为活动长图但未上传详情图</x:v>
      </x:c>
      <x:c r="J233" s="9" t="str">
        <x:v>1. 进入运营位配置详情
2. 点击保存</x:v>
      </x:c>
      <x:c r="K233" s="9" t="str">
        <x:v>本项因缺少活动长图不能保存</x:v>
      </x:c>
      <x:c r="L233" s="10" t="str"/>
      <x:c r="M233" s="10" t="str">
        <x:v>未测</x:v>
      </x:c>
      <x:c r="N233" s="10" t="str"/>
      <x:c r="O233" s="9" t="str">
        <x:v>1. 来源（当前证据）：liveshow-proto/MainBasis/统一需求文档.md；位置：admin-placement-detail.html
2. 规则：BR-394099D8D7DAC3
3. 未动态验证</x:v>
      </x:c>
    </x:row>
    <x:row r="234" ht="85" customHeight="1">
      <x:c r="A234" s="10" t="n">
        <x:v>233</x:v>
      </x:c>
      <x:c r="B234" s="10" t="str">
        <x:v>ADMIN-0233</x:v>
      </x:c>
      <x:c r="C234" s="10" t="str">
        <x:v>运营配置</x:v>
      </x:c>
      <x:c r="D234" s="10" t="str">
        <x:v>展示素材编辑（平台管理员）</x:v>
      </x:c>
      <x:c r="E234" s="10" t="str">
        <x:v>功能需求</x:v>
      </x:c>
      <x:c r="F234" s="10" t="str">
        <x:v>P1</x:v>
      </x:c>
      <x:c r="G234" s="9" t="str">
        <x:v>验证同位置不同配置不能排期重叠</x:v>
      </x:c>
      <x:c r="H234" s="9" t="str">
        <x:v>运营位排期冲突</x:v>
      </x:c>
      <x:c r="I234" s="9" t="str">
        <x:v>1. 后台账号已登录且拥有本页及本次操作的授权
2. 已启用配置覆盖10月1日至3日，新配置同一位置且覆盖10月3日至5日</x:v>
      </x:c>
      <x:c r="J234" s="9" t="str">
        <x:v>1. 进入运营位配置详情
2. 点击保存新配置</x:v>
      </x:c>
      <x:c r="K234" s="9" t="str">
        <x:v>新配置因10月3日重叠不能生效</x:v>
      </x:c>
      <x:c r="L234" s="10" t="str"/>
      <x:c r="M234" s="10" t="str">
        <x:v>未测</x:v>
      </x:c>
      <x:c r="N234" s="10" t="str"/>
      <x:c r="O234" s="9" t="str">
        <x:v>1. 来源（当前证据）：liveshow-proto/MainBasis/统一需求文档.md；位置：admin-placement-detail.html
2. 规则：BR-2317B2338674E4
3. 未动态验证</x:v>
      </x:c>
    </x:row>
    <x:row r="235" ht="85" customHeight="1">
      <x:c r="A235" s="10" t="n">
        <x:v>234</x:v>
      </x:c>
      <x:c r="B235" s="10" t="str">
        <x:v>ADMIN-0234</x:v>
      </x:c>
      <x:c r="C235" s="10" t="str">
        <x:v>运营配置</x:v>
      </x:c>
      <x:c r="D235" s="10" t="str">
        <x:v>展示素材编辑（平台管理员）</x:v>
      </x:c>
      <x:c r="E235" s="10" t="str">
        <x:v>功能需求</x:v>
      </x:c>
      <x:c r="F235" s="10" t="str">
        <x:v>P1</x:v>
      </x:c>
      <x:c r="G235" s="9" t="str">
        <x:v>验证同一轮播内多素材可共享排期</x:v>
      </x:c>
      <x:c r="H235" s="9" t="str">
        <x:v>轮播内部排期</x:v>
      </x:c>
      <x:c r="I235" s="9" t="str">
        <x:v>1. 后台账号已登录且拥有本页及本次操作的授权
2. 同一配置有2项素材，位置无其他重叠配置</x:v>
      </x:c>
      <x:c r="J235" s="9" t="str">
        <x:v>1. 进入运营位配置详情
2. 点击保存</x:v>
      </x:c>
      <x:c r="K235" s="9" t="str">
        <x:v>该配置的两项素材均按同一排期生效</x:v>
      </x:c>
      <x:c r="L235" s="10" t="str"/>
      <x:c r="M235" s="10" t="str">
        <x:v>未测</x:v>
      </x:c>
      <x:c r="N235" s="10" t="str"/>
      <x:c r="O235" s="9" t="str">
        <x:v>1. 来源（当前证据）：liveshow-proto/MainBasis/统一需求文档.md；位置：admin-placement-detail.html
2. 规则：BR-9400CF0FBF270A
3. 未动态验证</x:v>
      </x:c>
    </x:row>
    <x:row r="236" ht="85" customHeight="1">
      <x:c r="A236" s="10" t="n">
        <x:v>235</x:v>
      </x:c>
      <x:c r="B236" s="10" t="str">
        <x:v>ADMIN-0235</x:v>
      </x:c>
      <x:c r="C236" s="10" t="str">
        <x:v>运营配置</x:v>
      </x:c>
      <x:c r="D236" s="10" t="str">
        <x:v>展示素材编辑（平台管理员）</x:v>
      </x:c>
      <x:c r="E236" s="10" t="str">
        <x:v>功能需求</x:v>
      </x:c>
      <x:c r="F236" s="10" t="str">
        <x:v>P1</x:v>
      </x:c>
      <x:c r="G236" s="9" t="str">
        <x:v>验证拖动素材保存轮播顺序</x:v>
      </x:c>
      <x:c r="H236" s="9" t="str">
        <x:v>轮播顺序保存</x:v>
      </x:c>
      <x:c r="I236" s="9" t="str">
        <x:v>1. 后台账号已登录且拥有本页及本次操作的授权
2. 已有素材海星、晨光两项</x:v>
      </x:c>
      <x:c r="J236" s="9" t="str">
        <x:v>1. 进入运营位配置详情
2. 拖动晨光到海星之前
3. 点击保存</x:v>
      </x:c>
      <x:c r="K236" s="9" t="str">
        <x:v>轮播顺序保存为晨光、海星</x:v>
      </x:c>
      <x:c r="L236" s="10" t="str"/>
      <x:c r="M236" s="10" t="str">
        <x:v>未测</x:v>
      </x:c>
      <x:c r="N236" s="10" t="str"/>
      <x:c r="O236" s="9" t="str">
        <x:v>1. 来源（当前证据）：liveshow-proto/MainBasis/统一需求文档.md；位置：admin-placement-detail.html
2. 规则：BR-C3CD3A79B1BA84
3. 未动态验证</x:v>
      </x:c>
    </x:row>
    <x:row r="237" ht="85" customHeight="1">
      <x:c r="A237" s="10" t="n">
        <x:v>236</x:v>
      </x:c>
      <x:c r="B237" s="10" t="str">
        <x:v>ADMIN-0236</x:v>
      </x:c>
      <x:c r="C237" s="10" t="str">
        <x:v>运营配置</x:v>
      </x:c>
      <x:c r="D237" s="10" t="str">
        <x:v>推送配置（平台管理员）</x:v>
      </x:c>
      <x:c r="E237" s="10" t="str">
        <x:v>功能需求</x:v>
      </x:c>
      <x:c r="F237" s="10" t="str">
        <x:v>P1</x:v>
      </x:c>
      <x:c r="G237" s="9" t="str">
        <x:v>验证指定公会推送仅发目标用户</x:v>
      </x:c>
      <x:c r="H237" s="9" t="str">
        <x:v>推送目标范围</x:v>
      </x:c>
      <x:c r="I237" s="9" t="str">
        <x:v>1. 后台账号已登录且拥有本页及本次操作的授权
2. 四语文案完整，选择晨星公会；用户海风在晨星，晨光在另一公会</x:v>
      </x:c>
      <x:c r="J237" s="9" t="str">
        <x:v>1. 进入推送详情
2. 点击立即发送</x:v>
      </x:c>
      <x:c r="K237" s="9" t="str">
        <x:v>目标接收范围不包含晨光</x:v>
      </x:c>
      <x:c r="L237" s="10" t="str"/>
      <x:c r="M237" s="10" t="str">
        <x:v>未测</x:v>
      </x:c>
      <x:c r="N237" s="10" t="str"/>
      <x:c r="O237" s="9" t="str">
        <x:v>1. 来源（当前证据）：liveshow-proto/MainBasis/统一需求文档.md；位置：admin-push-detail.html
2. 规则：BR-40B25499042B90
3. 未动态验证</x:v>
      </x:c>
    </x:row>
    <x:row r="238" ht="85" customHeight="1">
      <x:c r="A238" s="10" t="n">
        <x:v>237</x:v>
      </x:c>
      <x:c r="B238" s="10" t="str">
        <x:v>ADMIN-0237</x:v>
      </x:c>
      <x:c r="C238" s="10" t="str">
        <x:v>运营配置</x:v>
      </x:c>
      <x:c r="D238" s="10" t="str">
        <x:v>推送配置（平台管理员）</x:v>
      </x:c>
      <x:c r="E238" s="10" t="str">
        <x:v>功能需求</x:v>
      </x:c>
      <x:c r="F238" s="10" t="str">
        <x:v>P1</x:v>
      </x:c>
      <x:c r="G238" s="9" t="str">
        <x:v>验证发送后推送任务只读</x:v>
      </x:c>
      <x:c r="H238" s="9" t="str">
        <x:v>推送发送终态</x:v>
      </x:c>
      <x:c r="I238" s="9" t="str">
        <x:v>1. 后台账号已登录且拥有本页及本次操作的授权
2. 目标范围及四语文案完整</x:v>
      </x:c>
      <x:c r="J238" s="9" t="str">
        <x:v>1. 进入推送详情
2. 点击立即发送</x:v>
      </x:c>
      <x:c r="K238" s="9" t="str">
        <x:v>页面切换为已发送只读状态</x:v>
      </x:c>
      <x:c r="L238" s="10" t="str"/>
      <x:c r="M238" s="10" t="str">
        <x:v>未测</x:v>
      </x:c>
      <x:c r="N238" s="10" t="str"/>
      <x:c r="O238" s="9" t="str">
        <x:v>1. 来源（当前证据）：liveshow-proto/MainBasis/统一需求文档.md；位置：admin-push-detail.html
2. 规则：BR-6A402624F43477
3. 未动态验证</x:v>
      </x:c>
    </x:row>
    <x:row r="239" ht="85" customHeight="1">
      <x:c r="A239" s="10" t="n">
        <x:v>238</x:v>
      </x:c>
      <x:c r="B239" s="10" t="str">
        <x:v>ADMIN-0238</x:v>
      </x:c>
      <x:c r="C239" s="10" t="str">
        <x:v>运营配置</x:v>
      </x:c>
      <x:c r="D239" s="10" t="str">
        <x:v>充值套餐编辑（平台管理员）</x:v>
      </x:c>
      <x:c r="E239" s="10" t="str">
        <x:v>功能需求</x:v>
      </x:c>
      <x:c r="F239" s="10" t="str">
        <x:v>P1</x:v>
      </x:c>
      <x:c r="G239" s="9" t="str">
        <x:v>验证销售价格最多两位小数</x:v>
      </x:c>
      <x:c r="H239" s="9" t="str">
        <x:v>套餐金额精度</x:v>
      </x:c>
      <x:c r="I239" s="9" t="str">
        <x:v>1. 后台账号已登录且拥有本页及本次操作的授权
2. 其他必填项合法</x:v>
      </x:c>
      <x:c r="J239" s="9" t="str">
        <x:v>1. 进入活动充值套餐详情
2. 输入销售价格1.001
3. 点击保存</x:v>
      </x:c>
      <x:c r="K239" s="9" t="str">
        <x:v>不能保存三位小数销售价格</x:v>
      </x:c>
      <x:c r="L239" s="10" t="str">
        <x:v>FLOW-2BA2481A</x:v>
      </x:c>
      <x:c r="M239" s="10" t="str">
        <x:v>未测</x:v>
      </x:c>
      <x:c r="N239" s="10" t="str"/>
      <x:c r="O239" s="9" t="str">
        <x:v>1. 来源（当前证据）：liveshow-proto/MainBasis/统一需求文档.md；位置：admin-recharge-package-detail.html
2. 规则：BR-DEEB2B5A0F7D12
3. 未动态验证</x:v>
      </x:c>
    </x:row>
    <x:row r="240" ht="85" customHeight="1">
      <x:c r="A240" s="10" t="n">
        <x:v>239</x:v>
      </x:c>
      <x:c r="B240" s="10" t="str">
        <x:v>ADMIN-0239</x:v>
      </x:c>
      <x:c r="C240" s="10" t="str">
        <x:v>运营配置</x:v>
      </x:c>
      <x:c r="D240" s="10" t="str">
        <x:v>充值套餐编辑（平台管理员）</x:v>
      </x:c>
      <x:c r="E240" s="10" t="str">
        <x:v>功能需求</x:v>
      </x:c>
      <x:c r="F240" s="10" t="str">
        <x:v>P1</x:v>
      </x:c>
      <x:c r="G240" s="9" t="str">
        <x:v>验证赠送金币允许零</x:v>
      </x:c>
      <x:c r="H240" s="9" t="str">
        <x:v>套餐零赠金</x:v>
      </x:c>
      <x:c r="I240" s="9" t="str">
        <x:v>1. 后台账号已登录且拥有本页及本次操作的授权
2. 基础金币为100，其余必填项合法</x:v>
      </x:c>
      <x:c r="J240" s="9" t="str">
        <x:v>1. 进入活动充值套餐详情
2. 输入赠送金币0
3. 点击保存</x:v>
      </x:c>
      <x:c r="K240" s="9" t="str">
        <x:v>套餐赠送金币保存为0</x:v>
      </x:c>
      <x:c r="L240" s="10" t="str">
        <x:v>FLOW-2BA2481A</x:v>
      </x:c>
      <x:c r="M240" s="10" t="str">
        <x:v>未测</x:v>
      </x:c>
      <x:c r="N240" s="10" t="str"/>
      <x:c r="O240" s="9" t="str">
        <x:v>1. 来源（当前证据）：liveshow-proto/MainBasis/统一需求文档.md；位置：admin-recharge-package-detail.html
2. 规则：BR-596796E6EBD4C7
3. 未动态验证</x:v>
      </x:c>
    </x:row>
    <x:row r="241" ht="85" customHeight="1">
      <x:c r="A241" s="10" t="n">
        <x:v>240</x:v>
      </x:c>
      <x:c r="B241" s="10" t="str">
        <x:v>ADMIN-0240</x:v>
      </x:c>
      <x:c r="C241" s="10" t="str">
        <x:v>运营配置</x:v>
      </x:c>
      <x:c r="D241" s="10" t="str">
        <x:v>充值套餐编辑（平台管理员）</x:v>
      </x:c>
      <x:c r="E241" s="10" t="str">
        <x:v>功能需求</x:v>
      </x:c>
      <x:c r="F241" s="10" t="str">
        <x:v>P1</x:v>
      </x:c>
      <x:c r="G241" s="9" t="str">
        <x:v>验证限购零表示不限</x:v>
      </x:c>
      <x:c r="H241" s="9" t="str">
        <x:v>活动限购关闭</x:v>
      </x:c>
      <x:c r="I241" s="9" t="str">
        <x:v>1. 后台账号已登录且拥有本页及本次操作的授权
2. 活动时间有效且账号已有成功购买记录</x:v>
      </x:c>
      <x:c r="J241" s="9" t="str">
        <x:v>1. 进入活动充值套餐详情
2. 输入限购次数0
3. 点击保存</x:v>
      </x:c>
      <x:c r="K241" s="9" t="str">
        <x:v>该账号不因已有购买次数被限购</x:v>
      </x:c>
      <x:c r="L241" s="10" t="str">
        <x:v>FLOW-2BA2481A</x:v>
      </x:c>
      <x:c r="M241" s="10" t="str">
        <x:v>未测</x:v>
      </x:c>
      <x:c r="N241" s="10" t="str"/>
      <x:c r="O241" s="9" t="str">
        <x:v>1. 来源（当前证据）：liveshow-proto/MainBasis/统一需求文档.md；位置：admin-recharge-package-detail.html
2. 规则：BR-C2259D66C0D1AE
3. 未动态验证</x:v>
      </x:c>
    </x:row>
    <x:row r="242" ht="85" customHeight="1">
      <x:c r="A242" s="10" t="n">
        <x:v>241</x:v>
      </x:c>
      <x:c r="B242" s="10" t="str">
        <x:v>ADMIN-0241</x:v>
      </x:c>
      <x:c r="C242" s="10" t="str">
        <x:v>运营配置</x:v>
      </x:c>
      <x:c r="D242" s="10" t="str">
        <x:v>充值套餐编辑（平台管理员）</x:v>
      </x:c>
      <x:c r="E242" s="10" t="str">
        <x:v>功能需求</x:v>
      </x:c>
      <x:c r="F242" s="10" t="str">
        <x:v>P1</x:v>
      </x:c>
      <x:c r="G242" s="9" t="str">
        <x:v>验证退款不恢复活动限购次数</x:v>
      </x:c>
      <x:c r="H242" s="9" t="str">
        <x:v>活动购买资格</x:v>
      </x:c>
      <x:c r="I242" s="9" t="str">
        <x:v>1. 后台账号已登录且拥有本页及本次操作的授权
2. 限购1次，用户成功购买后已全额退款</x:v>
      </x:c>
      <x:c r="J242" s="9" t="str">
        <x:v>1. 进入活动充值套餐详情
2. 查看用户该套餐购买资格</x:v>
      </x:c>
      <x:c r="K242" s="9" t="str">
        <x:v>该用户仍已用完此套餐限购次数</x:v>
      </x:c>
      <x:c r="L242" s="10" t="str">
        <x:v>FLOW-2BA2481A</x:v>
      </x:c>
      <x:c r="M242" s="10" t="str">
        <x:v>未测</x:v>
      </x:c>
      <x:c r="N242" s="10" t="str"/>
      <x:c r="O242" s="9" t="str">
        <x:v>1. 来源（当前证据）：liveshow-proto/MainBasis/统一需求文档.md；位置：admin-recharge-package-detail.html
2. 规则：BR-0C28147DC0B0DB
3. 未动态验证</x:v>
      </x:c>
    </x:row>
    <x:row r="243" ht="85" customHeight="1">
      <x:c r="A243" s="10" t="n">
        <x:v>242</x:v>
      </x:c>
      <x:c r="B243" s="10" t="str">
        <x:v>ADMIN-0242</x:v>
      </x:c>
      <x:c r="C243" s="10" t="str">
        <x:v>运营配置</x:v>
      </x:c>
      <x:c r="D243" s="10" t="str">
        <x:v>充值套餐编辑（平台管理员）</x:v>
      </x:c>
      <x:c r="E243" s="10" t="str">
        <x:v>功能需求</x:v>
      </x:c>
      <x:c r="F243" s="10" t="str">
        <x:v>P1</x:v>
      </x:c>
      <x:c r="G243" s="9" t="str">
        <x:v>验证套餐修改不追溯历史订单</x:v>
      </x:c>
      <x:c r="H243" s="9" t="str">
        <x:v>充值套餐快照</x:v>
      </x:c>
      <x:c r="I243" s="9" t="str">
        <x:v>1. 后台账号已登录且拥有本页及本次操作的授权
2. 历史订单基础1000赠金100，新配置赠金改为200</x:v>
      </x:c>
      <x:c r="J243" s="9" t="str">
        <x:v>1. 进入活动充值套餐详情
2. 保存新配置</x:v>
      </x:c>
      <x:c r="K243" s="9" t="str">
        <x:v>历史订单赠送金币仍为100</x:v>
      </x:c>
      <x:c r="L243" s="10" t="str">
        <x:v>FLOW-2BA2481A</x:v>
      </x:c>
      <x:c r="M243" s="10" t="str">
        <x:v>未测</x:v>
      </x:c>
      <x:c r="N243" s="10" t="str"/>
      <x:c r="O243" s="9" t="str">
        <x:v>1. 来源（当前证据）：liveshow-proto/MainBasis/统一需求文档.md；位置：admin-recharge-package-detail.html
2. 规则：BR-CF52798AFAECE7
3. 未动态验证</x:v>
      </x:c>
    </x:row>
    <x:row r="244" ht="85" customHeight="1">
      <x:c r="A244" s="10" t="n">
        <x:v>243</x:v>
      </x:c>
      <x:c r="B244" s="10" t="str">
        <x:v>ADMIN-0243</x:v>
      </x:c>
      <x:c r="C244" s="10" t="str">
        <x:v>运营配置</x:v>
      </x:c>
      <x:c r="D244" s="10" t="str">
        <x:v>通用任务编辑（平台管理员）</x:v>
      </x:c>
      <x:c r="E244" s="10" t="str">
        <x:v>功能需求</x:v>
      </x:c>
      <x:c r="F244" s="10" t="str">
        <x:v>P1</x:v>
      </x:c>
      <x:c r="G244" s="9" t="str">
        <x:v>验证任务条件不能为空</x:v>
      </x:c>
      <x:c r="H244" s="9" t="str">
        <x:v>任务条件最低数量</x:v>
      </x:c>
      <x:c r="I244" s="9" t="str">
        <x:v>1. 后台账号已登录且拥有本页及本次操作的授权
2. 没有达成条件，其他字段合法</x:v>
      </x:c>
      <x:c r="J244" s="9" t="str">
        <x:v>1. 进入任务详情
2. 点击保存</x:v>
      </x:c>
      <x:c r="K244" s="9" t="str">
        <x:v>不能保存无达成条件任务</x:v>
      </x:c>
      <x:c r="L244" s="10" t="str"/>
      <x:c r="M244" s="10" t="str">
        <x:v>未测</x:v>
      </x:c>
      <x:c r="N244" s="10" t="str"/>
      <x:c r="O244" s="9" t="str">
        <x:v>1. 来源（当前证据）：liveshow-proto/MainBasis/统一需求文档.md；位置：admin-task-detail.html
2. 规则：BR-BE114690B7A86C
3. 未动态验证</x:v>
      </x:c>
    </x:row>
    <x:row r="245" ht="85" customHeight="1">
      <x:c r="A245" s="10" t="n">
        <x:v>244</x:v>
      </x:c>
      <x:c r="B245" s="10" t="str">
        <x:v>ADMIN-0244</x:v>
      </x:c>
      <x:c r="C245" s="10" t="str">
        <x:v>运营配置</x:v>
      </x:c>
      <x:c r="D245" s="10" t="str">
        <x:v>通用任务编辑（平台管理员）</x:v>
      </x:c>
      <x:c r="E245" s="10" t="str">
        <x:v>功能需求</x:v>
      </x:c>
      <x:c r="F245" s="10" t="str">
        <x:v>P1</x:v>
      </x:c>
      <x:c r="G245" s="9" t="str">
        <x:v>验证同任务阈值不能重复</x:v>
      </x:c>
      <x:c r="H245" s="9" t="str">
        <x:v>任务阈值唯一</x:v>
      </x:c>
      <x:c r="I245" s="9" t="str">
        <x:v>1. 后台账号已登录且拥有本页及本次操作的授权
2. 已有阈值10及其奖励</x:v>
      </x:c>
      <x:c r="J245" s="9" t="str">
        <x:v>1. 进入任务详情
2. 新增阈值10
3. 点击保存</x:v>
      </x:c>
      <x:c r="K245" s="9" t="str">
        <x:v>不能保存重复阈值</x:v>
      </x:c>
      <x:c r="L245" s="10" t="str"/>
      <x:c r="M245" s="10" t="str">
        <x:v>未测</x:v>
      </x:c>
      <x:c r="N245" s="10" t="str"/>
      <x:c r="O245" s="9" t="str">
        <x:v>1. 来源（当前证据）：liveshow-proto/MainBasis/统一需求文档.md；位置：admin-task-detail.html
2. 规则：BR-F0A21430D84DC2
3. 未动态验证</x:v>
      </x:c>
    </x:row>
    <x:row r="246" ht="85" customHeight="1">
      <x:c r="A246" s="10" t="n">
        <x:v>245</x:v>
      </x:c>
      <x:c r="B246" s="10" t="str">
        <x:v>ADMIN-0245</x:v>
      </x:c>
      <x:c r="C246" s="10" t="str">
        <x:v>运营配置</x:v>
      </x:c>
      <x:c r="D246" s="10" t="str">
        <x:v>通用任务编辑（平台管理员）</x:v>
      </x:c>
      <x:c r="E246" s="10" t="str">
        <x:v>功能需求</x:v>
      </x:c>
      <x:c r="F246" s="10" t="str">
        <x:v>P1</x:v>
      </x:c>
      <x:c r="G246" s="9" t="str">
        <x:v>验证用户动作限制可选指标</x:v>
      </x:c>
      <x:c r="H246" s="9" t="str">
        <x:v>动作指标关联</x:v>
      </x:c>
      <x:c r="I246" s="9" t="str">
        <x:v>1. 后台账号已登录且拥有本页及本次操作的授权
2. 已选择观看直播动作</x:v>
      </x:c>
      <x:c r="J246" s="9" t="str">
        <x:v>1. 进入任务详情
2. 查看可选指标</x:v>
      </x:c>
      <x:c r="K246" s="9" t="str">
        <x:v>仅提供该动作预置支持的指标</x:v>
      </x:c>
      <x:c r="L246" s="10" t="str"/>
      <x:c r="M246" s="10" t="str">
        <x:v>未测</x:v>
      </x:c>
      <x:c r="N246" s="10" t="str"/>
      <x:c r="O246" s="9" t="str">
        <x:v>1. 来源（当前证据）：liveshow-proto/MainBasis/统一需求文档.md；位置：admin-task-detail.html
2. 规则：BR-CFB99F76BF8E7D
3. 未动态验证</x:v>
      </x:c>
    </x:row>
    <x:row r="247" ht="85" customHeight="1">
      <x:c r="A247" s="10" t="n">
        <x:v>246</x:v>
      </x:c>
      <x:c r="B247" s="10" t="str">
        <x:v>ADMIN-0246</x:v>
      </x:c>
      <x:c r="C247" s="10" t="str">
        <x:v>运营配置</x:v>
      </x:c>
      <x:c r="D247" s="10" t="str">
        <x:v>通用任务编辑（平台管理员）</x:v>
      </x:c>
      <x:c r="E247" s="10" t="str">
        <x:v>功能需求</x:v>
      </x:c>
      <x:c r="F247" s="10" t="str">
        <x:v>P1</x:v>
      </x:c>
      <x:c r="G247" s="9" t="str">
        <x:v>验证切换动作清除不适用周期</x:v>
      </x:c>
      <x:c r="H247" s="9" t="str">
        <x:v>任务配置切换</x:v>
      </x:c>
      <x:c r="I247" s="9" t="str">
        <x:v>1. 后台账号已登录且拥有本页及本次操作的授权
2. 原动作及指标已选定</x:v>
      </x:c>
      <x:c r="J247" s="9" t="str">
        <x:v>1. 进入任务详情
2. 选择另一用户动作</x:v>
      </x:c>
      <x:c r="K247" s="9" t="str">
        <x:v>指标和周期重新按新动作的预置组合选择</x:v>
      </x:c>
      <x:c r="L247" s="10" t="str"/>
      <x:c r="M247" s="10" t="str">
        <x:v>未测</x:v>
      </x:c>
      <x:c r="N247" s="10" t="str"/>
      <x:c r="O247" s="9" t="str">
        <x:v>1. 来源（当前证据）：liveshow-proto/MainBasis/统一需求文档.md；位置：admin-task-detail.html
2. 规则：BR-A710D74E0BA30F
3. 未动态验证</x:v>
      </x:c>
    </x:row>
    <x:row r="248" ht="85" customHeight="1">
      <x:c r="A248" s="10" t="n">
        <x:v>247</x:v>
      </x:c>
      <x:c r="B248" s="10" t="str">
        <x:v>ADMIN-0247</x:v>
      </x:c>
      <x:c r="C248" s="10" t="str">
        <x:v>运营配置</x:v>
      </x:c>
      <x:c r="D248" s="10" t="str">
        <x:v>任务配置（平台管理员）</x:v>
      </x:c>
      <x:c r="E248" s="10" t="str">
        <x:v>功能需求</x:v>
      </x:c>
      <x:c r="F248" s="10" t="str">
        <x:v>P1</x:v>
      </x:c>
      <x:c r="G248" s="9" t="str">
        <x:v>验证停用任务停止新进度</x:v>
      </x:c>
      <x:c r="H248" s="9" t="str">
        <x:v>任务停止累计</x:v>
      </x:c>
      <x:c r="I248" s="9" t="str">
        <x:v>1. 后台账号已登录且拥有本页及本次操作的授权
2. 任务已启用，有用户已有进度</x:v>
      </x:c>
      <x:c r="J248" s="9" t="str">
        <x:v>1. 进入任务配置
2. 停用任务并确认</x:v>
      </x:c>
      <x:c r="K248" s="9" t="str">
        <x:v>停用之后的新动作不再增加该任务进度</x:v>
      </x:c>
      <x:c r="L248" s="10" t="str"/>
      <x:c r="M248" s="10" t="str">
        <x:v>未测</x:v>
      </x:c>
      <x:c r="N248" s="10" t="str"/>
      <x:c r="O248" s="9" t="str">
        <x:v>1. 来源（当前证据）：liveshow-proto/MainBasis/统一需求文档.md；位置：admin-task-config.html
2. 规则：BR-D064AE8C7DB75F
3. 未动态验证</x:v>
      </x:c>
    </x:row>
    <x:row r="249" ht="85" customHeight="1">
      <x:c r="A249" s="10" t="n">
        <x:v>248</x:v>
      </x:c>
      <x:c r="B249" s="10" t="str">
        <x:v>ADMIN-0248</x:v>
      </x:c>
      <x:c r="C249" s="10" t="str">
        <x:v>运营配置</x:v>
      </x:c>
      <x:c r="D249" s="10" t="str">
        <x:v>任务配置（平台管理员）</x:v>
      </x:c>
      <x:c r="E249" s="10" t="str">
        <x:v>功能需求</x:v>
      </x:c>
      <x:c r="F249" s="10" t="str">
        <x:v>P1</x:v>
      </x:c>
      <x:c r="G249" s="9" t="str">
        <x:v>验证停用任务不收回已领奖励</x:v>
      </x:c>
      <x:c r="H249" s="9" t="str">
        <x:v>任务资产保留</x:v>
      </x:c>
      <x:c r="I249" s="9" t="str">
        <x:v>1. 后台账号已登录且拥有本页及本次操作的授权
2. 用户已领取该任务金币奖励</x:v>
      </x:c>
      <x:c r="J249" s="9" t="str">
        <x:v>1. 进入任务配置
2. 停用任务并确认</x:v>
      </x:c>
      <x:c r="K249" s="9" t="str">
        <x:v>已领金币不因停用而被回收</x:v>
      </x:c>
      <x:c r="L249" s="10" t="str"/>
      <x:c r="M249" s="10" t="str">
        <x:v>未测</x:v>
      </x:c>
      <x:c r="N249" s="10" t="str"/>
      <x:c r="O249" s="9" t="str">
        <x:v>1. 来源（当前证据）：liveshow-proto/MainBasis/统一需求文档.md；位置：admin-task-config.html
2. 规则：BR-C092EDCC3A33E9
3. 未动态验证</x:v>
      </x:c>
    </x:row>
    <x:row r="250" ht="85" customHeight="1">
      <x:c r="A250" s="10" t="n">
        <x:v>249</x:v>
      </x:c>
      <x:c r="B250" s="10" t="str">
        <x:v>ADMIN-0249</x:v>
      </x:c>
      <x:c r="C250" s="10" t="str">
        <x:v>运营配置</x:v>
      </x:c>
      <x:c r="D250" s="10" t="str">
        <x:v>公会推荐编辑（平台管理员）</x:v>
      </x:c>
      <x:c r="E250" s="10" t="str">
        <x:v>功能需求</x:v>
      </x:c>
      <x:c r="F250" s="10" t="str">
        <x:v>P1</x:v>
      </x:c>
      <x:c r="G250" s="9" t="str">
        <x:v>验证推荐公会必须启用</x:v>
      </x:c>
      <x:c r="H250" s="9" t="str">
        <x:v>推荐对象状态</x:v>
      </x:c>
      <x:c r="I250" s="9" t="str">
        <x:v>1. 后台账号已登录且拥有本页及本次操作的授权
2. 晨星公会已停用</x:v>
      </x:c>
      <x:c r="J250" s="9" t="str">
        <x:v>1. 进入公会推荐详情
2. 打开推荐公会选择器</x:v>
      </x:c>
      <x:c r="K250" s="9" t="str">
        <x:v>不可选择晨星公会</x:v>
      </x:c>
      <x:c r="L250" s="10" t="str"/>
      <x:c r="M250" s="10" t="str">
        <x:v>未测</x:v>
      </x:c>
      <x:c r="N250" s="10" t="str"/>
      <x:c r="O250" s="9" t="str">
        <x:v>1. 来源（当前证据）：liveshow-proto/MainBasis/统一需求文档.md；位置：admin-guild-recommendation-detail.html
2. 规则：BR-8EE61A212E169D
3. 未动态验证</x:v>
      </x:c>
    </x:row>
    <x:row r="251" ht="85" customHeight="1">
      <x:c r="A251" s="10" t="n">
        <x:v>250</x:v>
      </x:c>
      <x:c r="B251" s="10" t="str">
        <x:v>ADMIN-0250</x:v>
      </x:c>
      <x:c r="C251" s="10" t="str">
        <x:v>运营配置</x:v>
      </x:c>
      <x:c r="D251" s="10" t="str">
        <x:v>公会推荐编辑（平台管理员）</x:v>
      </x:c>
      <x:c r="E251" s="10" t="str">
        <x:v>功能需求</x:v>
      </x:c>
      <x:c r="F251" s="10" t="str">
        <x:v>P1</x:v>
      </x:c>
      <x:c r="G251" s="9" t="str">
        <x:v>验证同公会不能重复推荐</x:v>
      </x:c>
      <x:c r="H251" s="9" t="str">
        <x:v>公会推荐唯一</x:v>
      </x:c>
      <x:c r="I251" s="9" t="str">
        <x:v>1. 后台账号已登录且拥有本页及本次操作的授权
2. 晨星公会已有推荐记录</x:v>
      </x:c>
      <x:c r="J251" s="9" t="str">
        <x:v>1. 进入公会推荐详情
2. 新建晨星公会推荐并保存</x:v>
      </x:c>
      <x:c r="K251" s="9" t="str">
        <x:v>不能新增重复推荐记录</x:v>
      </x:c>
      <x:c r="L251" s="10" t="str"/>
      <x:c r="M251" s="10" t="str">
        <x:v>未测</x:v>
      </x:c>
      <x:c r="N251" s="10" t="str"/>
      <x:c r="O251" s="9" t="str">
        <x:v>1. 来源（当前证据）：liveshow-proto/MainBasis/统一需求文档.md；位置：admin-guild-recommendation-detail.html
2. 规则：BR-C5D5449D2FA9AF
3. 未动态验证</x:v>
      </x:c>
    </x:row>
    <x:row r="252" ht="85" customHeight="1">
      <x:c r="A252" s="10" t="n">
        <x:v>251</x:v>
      </x:c>
      <x:c r="B252" s="10" t="str">
        <x:v>ADMIN-0251</x:v>
      </x:c>
      <x:c r="C252" s="10" t="str">
        <x:v>运营配置</x:v>
      </x:c>
      <x:c r="D252" s="10" t="str">
        <x:v>直播房型（平台管理员）</x:v>
      </x:c>
      <x:c r="E252" s="10" t="str">
        <x:v>功能需求</x:v>
      </x:c>
      <x:c r="F252" s="10" t="str">
        <x:v>P1</x:v>
      </x:c>
      <x:c r="G252" s="9" t="str">
        <x:v>验证关闭门票房不结束已有场次</x:v>
      </x:c>
      <x:c r="H252" s="9" t="str">
        <x:v>房型开关在播范围</x:v>
      </x:c>
      <x:c r="I252" s="9" t="str">
        <x:v>1. 后台账号已登录且拥有本页及本次操作的授权
2. 存在一场已开始的门票直播</x:v>
      </x:c>
      <x:c r="J252" s="9" t="str">
        <x:v>1. 进入房型功能开关
2. 关闭门票房开关</x:v>
      </x:c>
      <x:c r="K252" s="9" t="str">
        <x:v>该已开始场次继续直播</x:v>
      </x:c>
      <x:c r="L252" s="10" t="str"/>
      <x:c r="M252" s="10" t="str">
        <x:v>未测</x:v>
      </x:c>
      <x:c r="N252" s="10" t="str"/>
      <x:c r="O252" s="9" t="str">
        <x:v>1. 来源（当前证据）：liveshow-proto/MainBasis/统一需求文档.md；位置：admin-feature-switch.html
2. 规则：BR-762E89B66AF4DC
3. 未动态验证</x:v>
      </x:c>
    </x:row>
    <x:row r="253" ht="85" customHeight="1">
      <x:c r="A253" s="10" t="n">
        <x:v>252</x:v>
      </x:c>
      <x:c r="B253" s="10" t="str">
        <x:v>ADMIN-0252</x:v>
      </x:c>
      <x:c r="C253" s="10" t="str">
        <x:v>运营配置</x:v>
      </x:c>
      <x:c r="D253" s="10" t="str">
        <x:v>直播房型（平台管理员）</x:v>
      </x:c>
      <x:c r="E253" s="10" t="str">
        <x:v>功能需求</x:v>
      </x:c>
      <x:c r="F253" s="10" t="str">
        <x:v>P1</x:v>
      </x:c>
      <x:c r="G253" s="9" t="str">
        <x:v>验证关闭密码房不改变历史快照</x:v>
      </x:c>
      <x:c r="H253" s="9" t="str">
        <x:v>房型开关历史范围</x:v>
      </x:c>
      <x:c r="I253" s="9" t="str">
        <x:v>1. 后台账号已登录且拥有本页及本次操作的授权
2. 存在已结束密码房场次</x:v>
      </x:c>
      <x:c r="J253" s="9" t="str">
        <x:v>1. 进入房型功能开关
2. 关闭密码房开关</x:v>
      </x:c>
      <x:c r="K253" s="9" t="str">
        <x:v>历史场次仍记录原密码房类型</x:v>
      </x:c>
      <x:c r="L253" s="10" t="str"/>
      <x:c r="M253" s="10" t="str">
        <x:v>未测</x:v>
      </x:c>
      <x:c r="N253" s="10" t="str"/>
      <x:c r="O253" s="9" t="str">
        <x:v>1. 来源（当前证据）：liveshow-proto/MainBasis/统一需求文档.md；位置：admin-feature-switch.html
2. 规则：BR-139D3D5824E849
3. 未动态验证</x:v>
      </x:c>
    </x:row>
    <x:row r="254" ht="85" customHeight="1">
      <x:c r="A254" s="10" t="n">
        <x:v>253</x:v>
      </x:c>
      <x:c r="B254" s="10" t="str">
        <x:v>ADMIN-0253</x:v>
      </x:c>
      <x:c r="C254" s="10" t="str">
        <x:v>运营配置</x:v>
      </x:c>
      <x:c r="D254" s="10" t="str">
        <x:v>门票价格档位（平台管理员）</x:v>
      </x:c>
      <x:c r="E254" s="10" t="str">
        <x:v>功能需求</x:v>
      </x:c>
      <x:c r="F254" s="10" t="str">
        <x:v>P1</x:v>
      </x:c>
      <x:c r="G254" s="9" t="str">
        <x:v>验证最后有效档位不能停用</x:v>
      </x:c>
      <x:c r="H254" s="9" t="str">
        <x:v>有效档位最低数量</x:v>
      </x:c>
      <x:c r="I254" s="9" t="str">
        <x:v>1. 后台账号已登录且拥有本页及本次操作的授权
2. 只剩一个启用门票价格档位</x:v>
      </x:c>
      <x:c r="J254" s="9" t="str">
        <x:v>1. 进入门票价格档位列表
2. 点击该档位停用按钮</x:v>
      </x:c>
      <x:c r="K254" s="9" t="str">
        <x:v>该档位仍保持启用</x:v>
      </x:c>
      <x:c r="L254" s="10" t="str"/>
      <x:c r="M254" s="10" t="str">
        <x:v>未测</x:v>
      </x:c>
      <x:c r="N254" s="10" t="str"/>
      <x:c r="O254" s="9" t="str">
        <x:v>1. 来源（当前证据）：liveshow-proto/MainBasis/统一需求文档.md；位置：admin-ticket-price-level.html
2. 规则：BR-DF1283F1F4673D
3. 未动态验证</x:v>
      </x:c>
    </x:row>
    <x:row r="255" ht="85" customHeight="1">
      <x:c r="A255" s="10" t="n">
        <x:v>254</x:v>
      </x:c>
      <x:c r="B255" s="10" t="str">
        <x:v>ADMIN-0254</x:v>
      </x:c>
      <x:c r="C255" s="10" t="str">
        <x:v>运营配置</x:v>
      </x:c>
      <x:c r="D255" s="10" t="str">
        <x:v>门票价格档位（平台管理员）</x:v>
      </x:c>
      <x:c r="E255" s="10" t="str">
        <x:v>功能需求</x:v>
      </x:c>
      <x:c r="F255" s="10" t="str">
        <x:v>P1</x:v>
      </x:c>
      <x:c r="G255" s="9" t="str">
        <x:v>验证价格停用不改变已开播票价</x:v>
      </x:c>
      <x:c r="H255" s="9" t="str">
        <x:v>门票价格快照</x:v>
      </x:c>
      <x:c r="I255" s="9" t="str">
        <x:v>1. 后台账号已登录且拥有本页及本次操作的授权
2. 某场次已按50金币开播，另有有效档位</x:v>
      </x:c>
      <x:c r="J255" s="9" t="str">
        <x:v>1. 进入门票价格档位列表
2. 点击50金币档位停用按钮</x:v>
      </x:c>
      <x:c r="K255" s="9" t="str">
        <x:v>已开播场次门票价格仍为50金币</x:v>
      </x:c>
      <x:c r="L255" s="10" t="str"/>
      <x:c r="M255" s="10" t="str">
        <x:v>未测</x:v>
      </x:c>
      <x:c r="N255" s="10" t="str"/>
      <x:c r="O255" s="9" t="str">
        <x:v>1. 来源（当前证据）：liveshow-proto/MainBasis/统一需求文档.md；位置：admin-ticket-price-level.html
2. 规则：BR-BE4A27560A5AFE
3. 未动态验证</x:v>
      </x:c>
    </x:row>
    <x:row r="256" ht="85" customHeight="1">
      <x:c r="A256" s="10" t="n">
        <x:v>255</x:v>
      </x:c>
      <x:c r="B256" s="10" t="str">
        <x:v>ADMIN-0255</x:v>
      </x:c>
      <x:c r="C256" s="10" t="str">
        <x:v>运营配置</x:v>
      </x:c>
      <x:c r="D256" s="10" t="str">
        <x:v>等级配置（平台管理员）</x:v>
      </x:c>
      <x:c r="E256" s="10" t="str">
        <x:v>功能需求</x:v>
      </x:c>
      <x:c r="F256" s="10" t="str">
        <x:v>P1</x:v>
      </x:c>
      <x:c r="G256" s="9" t="str">
        <x:v>验证主播等级等级编号不能重复</x:v>
      </x:c>
      <x:c r="H256" s="9" t="str">
        <x:v>等级编号唯一</x:v>
      </x:c>
      <x:c r="I256" s="9" t="str">
        <x:v>1. 后台账号已登录且拥有本页及本次操作的授权
2. 当前Tab已有等级1</x:v>
      </x:c>
      <x:c r="J256" s="9" t="str">
        <x:v>1. 进入等级配置
2. 选择主播等级Tab
3. 新增一行等级1并填写数值100
4. 保存</x:v>
      </x:c>
      <x:c r="K256" s="9" t="str">
        <x:v>不能保存重复等级编号</x:v>
      </x:c>
      <x:c r="L256" s="10" t="str"/>
      <x:c r="M256" s="10" t="str">
        <x:v>未测</x:v>
      </x:c>
      <x:c r="N256" s="10" t="str"/>
      <x:c r="O256" s="9" t="str">
        <x:v>1. 来源（当前证据）：liveshow-proto/MainBasis/统一需求文档.md；位置：admin-level-config.html
2. 规则：BR-087F3CB04BBF02
3. 未动态验证</x:v>
      </x:c>
    </x:row>
    <x:row r="257" ht="85" customHeight="1">
      <x:c r="A257" s="10" t="n">
        <x:v>256</x:v>
      </x:c>
      <x:c r="B257" s="10" t="str">
        <x:v>ADMIN-0256</x:v>
      </x:c>
      <x:c r="C257" s="10" t="str">
        <x:v>运营配置</x:v>
      </x:c>
      <x:c r="D257" s="10" t="str">
        <x:v>等级配置（平台管理员）</x:v>
      </x:c>
      <x:c r="E257" s="10" t="str">
        <x:v>功能需求</x:v>
      </x:c>
      <x:c r="F257" s="10" t="str">
        <x:v>P1</x:v>
      </x:c>
      <x:c r="G257" s="9" t="str">
        <x:v>验证主播等级数值可以为零</x:v>
      </x:c>
      <x:c r="H257" s="9" t="str">
        <x:v>配置数值零边界</x:v>
      </x:c>
      <x:c r="I257" s="9" t="str">
        <x:v>1. 后台账号已登录且拥有本页及本次操作的授权
2. 新增等级编号唯一且为正整数</x:v>
      </x:c>
      <x:c r="J257" s="9" t="str">
        <x:v>1. 进入等级配置
2. 选择主播等级Tab
3. 输入数值0
4. 保存</x:v>
      </x:c>
      <x:c r="K257" s="9" t="str">
        <x:v>当前等级数值保存为0</x:v>
      </x:c>
      <x:c r="L257" s="10" t="str"/>
      <x:c r="M257" s="10" t="str">
        <x:v>未测</x:v>
      </x:c>
      <x:c r="N257" s="10" t="str"/>
      <x:c r="O257" s="9" t="str">
        <x:v>1. 来源（当前证据）：liveshow-proto/MainBasis/统一需求文档.md；位置：admin-level-config.html
2. 规则：BR-88BD2F5E5B6946
3. 未动态验证</x:v>
      </x:c>
    </x:row>
    <x:row r="258" ht="85" customHeight="1">
      <x:c r="A258" s="10" t="n">
        <x:v>257</x:v>
      </x:c>
      <x:c r="B258" s="10" t="str">
        <x:v>ADMIN-0257</x:v>
      </x:c>
      <x:c r="C258" s="10" t="str">
        <x:v>运营配置</x:v>
      </x:c>
      <x:c r="D258" s="10" t="str">
        <x:v>等级配置（平台管理员）</x:v>
      </x:c>
      <x:c r="E258" s="10" t="str">
        <x:v>功能需求</x:v>
      </x:c>
      <x:c r="F258" s="10" t="str">
        <x:v>P1</x:v>
      </x:c>
      <x:c r="G258" s="9" t="str">
        <x:v>验证主播等级数值不能为负</x:v>
      </x:c>
      <x:c r="H258" s="9" t="str">
        <x:v>配置数值下界</x:v>
      </x:c>
      <x:c r="I258" s="9" t="str">
        <x:v>1. 后台账号已登录且拥有本页及本次操作的授权
2. 新增等级编号唯一且为正整数</x:v>
      </x:c>
      <x:c r="J258" s="9" t="str">
        <x:v>1. 进入等级配置
2. 选择主播等级Tab
3. 输入数值-1
4. 保存</x:v>
      </x:c>
      <x:c r="K258" s="9" t="str">
        <x:v>不能保存负数值</x:v>
      </x:c>
      <x:c r="L258" s="10" t="str"/>
      <x:c r="M258" s="10" t="str">
        <x:v>未测</x:v>
      </x:c>
      <x:c r="N258" s="10" t="str"/>
      <x:c r="O258" s="9" t="str">
        <x:v>1. 来源（当前证据）：liveshow-proto/MainBasis/统一需求文档.md；位置：admin-level-config.html
2. 规则：BR-C4AEEBD129A78B
3. 未动态验证</x:v>
      </x:c>
    </x:row>
    <x:row r="259" ht="85" customHeight="1">
      <x:c r="A259" s="10" t="n">
        <x:v>258</x:v>
      </x:c>
      <x:c r="B259" s="10" t="str">
        <x:v>ADMIN-0258</x:v>
      </x:c>
      <x:c r="C259" s="10" t="str">
        <x:v>运营配置</x:v>
      </x:c>
      <x:c r="D259" s="10" t="str">
        <x:v>等级配置（平台管理员）</x:v>
      </x:c>
      <x:c r="E259" s="10" t="str">
        <x:v>功能需求</x:v>
      </x:c>
      <x:c r="F259" s="10" t="str">
        <x:v>P1</x:v>
      </x:c>
      <x:c r="G259" s="9" t="str">
        <x:v>验证主播等级切换Tab保留未保存内容</x:v>
      </x:c>
      <x:c r="H259" s="9" t="str">
        <x:v>编辑草稿保持</x:v>
      </x:c>
      <x:c r="I259" s="9" t="str">
        <x:v>1. 后台账号已登录且拥有本页及本次操作的授权
2. 当前新增行未保存且数值为100</x:v>
      </x:c>
      <x:c r="J259" s="9" t="str">
        <x:v>1. 进入等级配置
2. 选择主播等级Tab
3. 切换到另一Tab
4. 返回主播等级Tab</x:v>
      </x:c>
      <x:c r="K259" s="9" t="str">
        <x:v>未保存行数值仍为100</x:v>
      </x:c>
      <x:c r="L259" s="10" t="str"/>
      <x:c r="M259" s="10" t="str">
        <x:v>未测</x:v>
      </x:c>
      <x:c r="N259" s="10" t="str"/>
      <x:c r="O259" s="9" t="str">
        <x:v>1. 来源（当前证据）：liveshow-proto/MainBasis/统一需求文档.md；位置：admin-level-config.html
2. 规则：BR-131ECCD3305048
3. 未动态验证</x:v>
      </x:c>
    </x:row>
    <x:row r="260" ht="85" customHeight="1">
      <x:c r="A260" s="10" t="n">
        <x:v>259</x:v>
      </x:c>
      <x:c r="B260" s="10" t="str">
        <x:v>ADMIN-0259</x:v>
      </x:c>
      <x:c r="C260" s="10" t="str">
        <x:v>运营配置</x:v>
      </x:c>
      <x:c r="D260" s="10" t="str">
        <x:v>等级配置（平台管理员）</x:v>
      </x:c>
      <x:c r="E260" s="10" t="str">
        <x:v>功能需求</x:v>
      </x:c>
      <x:c r="F260" s="10" t="str">
        <x:v>P1</x:v>
      </x:c>
      <x:c r="G260" s="9" t="str">
        <x:v>验证财富等级等级编号不能重复</x:v>
      </x:c>
      <x:c r="H260" s="9" t="str">
        <x:v>等级编号唯一</x:v>
      </x:c>
      <x:c r="I260" s="9" t="str">
        <x:v>1. 后台账号已登录且拥有本页及本次操作的授权
2. 当前Tab已有等级1</x:v>
      </x:c>
      <x:c r="J260" s="9" t="str">
        <x:v>1. 进入等级配置
2. 选择财富等级Tab
3. 新增一行等级1并填写数值100
4. 保存</x:v>
      </x:c>
      <x:c r="K260" s="9" t="str">
        <x:v>不能保存重复等级编号</x:v>
      </x:c>
      <x:c r="L260" s="10" t="str"/>
      <x:c r="M260" s="10" t="str">
        <x:v>未测</x:v>
      </x:c>
      <x:c r="N260" s="10" t="str"/>
      <x:c r="O260" s="9" t="str">
        <x:v>1. 来源（当前证据）：liveshow-proto/MainBasis/统一需求文档.md；位置：admin-level-config.html
2. 规则：BR-259F343C620214
3. 未动态验证</x:v>
      </x:c>
    </x:row>
    <x:row r="261" ht="85" customHeight="1">
      <x:c r="A261" s="10" t="n">
        <x:v>260</x:v>
      </x:c>
      <x:c r="B261" s="10" t="str">
        <x:v>ADMIN-0260</x:v>
      </x:c>
      <x:c r="C261" s="10" t="str">
        <x:v>运营配置</x:v>
      </x:c>
      <x:c r="D261" s="10" t="str">
        <x:v>等级配置（平台管理员）</x:v>
      </x:c>
      <x:c r="E261" s="10" t="str">
        <x:v>功能需求</x:v>
      </x:c>
      <x:c r="F261" s="10" t="str">
        <x:v>P1</x:v>
      </x:c>
      <x:c r="G261" s="9" t="str">
        <x:v>验证财富等级数值可以为零</x:v>
      </x:c>
      <x:c r="H261" s="9" t="str">
        <x:v>配置数值零边界</x:v>
      </x:c>
      <x:c r="I261" s="9" t="str">
        <x:v>1. 后台账号已登录且拥有本页及本次操作的授权
2. 新增等级编号唯一且为正整数</x:v>
      </x:c>
      <x:c r="J261" s="9" t="str">
        <x:v>1. 进入等级配置
2. 选择财富等级Tab
3. 输入数值0
4. 保存</x:v>
      </x:c>
      <x:c r="K261" s="9" t="str">
        <x:v>当前等级数值保存为0</x:v>
      </x:c>
      <x:c r="L261" s="10" t="str"/>
      <x:c r="M261" s="10" t="str">
        <x:v>未测</x:v>
      </x:c>
      <x:c r="N261" s="10" t="str"/>
      <x:c r="O261" s="9" t="str">
        <x:v>1. 来源（当前证据）：liveshow-proto/MainBasis/统一需求文档.md；位置：admin-level-config.html
2. 规则：BR-4733BF4CAC2B69
3. 未动态验证</x:v>
      </x:c>
    </x:row>
    <x:row r="262" ht="85" customHeight="1">
      <x:c r="A262" s="10" t="n">
        <x:v>261</x:v>
      </x:c>
      <x:c r="B262" s="10" t="str">
        <x:v>ADMIN-0261</x:v>
      </x:c>
      <x:c r="C262" s="10" t="str">
        <x:v>运营配置</x:v>
      </x:c>
      <x:c r="D262" s="10" t="str">
        <x:v>等级配置（平台管理员）</x:v>
      </x:c>
      <x:c r="E262" s="10" t="str">
        <x:v>功能需求</x:v>
      </x:c>
      <x:c r="F262" s="10" t="str">
        <x:v>P1</x:v>
      </x:c>
      <x:c r="G262" s="9" t="str">
        <x:v>验证财富等级数值不能为负</x:v>
      </x:c>
      <x:c r="H262" s="9" t="str">
        <x:v>配置数值下界</x:v>
      </x:c>
      <x:c r="I262" s="9" t="str">
        <x:v>1. 后台账号已登录且拥有本页及本次操作的授权
2. 新增等级编号唯一且为正整数</x:v>
      </x:c>
      <x:c r="J262" s="9" t="str">
        <x:v>1. 进入等级配置
2. 选择财富等级Tab
3. 输入数值-1
4. 保存</x:v>
      </x:c>
      <x:c r="K262" s="9" t="str">
        <x:v>不能保存负数值</x:v>
      </x:c>
      <x:c r="L262" s="10" t="str"/>
      <x:c r="M262" s="10" t="str">
        <x:v>未测</x:v>
      </x:c>
      <x:c r="N262" s="10" t="str"/>
      <x:c r="O262" s="9" t="str">
        <x:v>1. 来源（当前证据）：liveshow-proto/MainBasis/统一需求文档.md；位置：admin-level-config.html
2. 规则：BR-1FA4F9A9A11D0F
3. 未动态验证</x:v>
      </x:c>
    </x:row>
    <x:row r="263" ht="85" customHeight="1">
      <x:c r="A263" s="10" t="n">
        <x:v>262</x:v>
      </x:c>
      <x:c r="B263" s="10" t="str">
        <x:v>ADMIN-0262</x:v>
      </x:c>
      <x:c r="C263" s="10" t="str">
        <x:v>运营配置</x:v>
      </x:c>
      <x:c r="D263" s="10" t="str">
        <x:v>等级配置（平台管理员）</x:v>
      </x:c>
      <x:c r="E263" s="10" t="str">
        <x:v>功能需求</x:v>
      </x:c>
      <x:c r="F263" s="10" t="str">
        <x:v>P1</x:v>
      </x:c>
      <x:c r="G263" s="9" t="str">
        <x:v>验证财富等级切换Tab保留未保存内容</x:v>
      </x:c>
      <x:c r="H263" s="9" t="str">
        <x:v>编辑草稿保持</x:v>
      </x:c>
      <x:c r="I263" s="9" t="str">
        <x:v>1. 后台账号已登录且拥有本页及本次操作的授权
2. 当前新增行未保存且数值为100</x:v>
      </x:c>
      <x:c r="J263" s="9" t="str">
        <x:v>1. 进入等级配置
2. 选择财富等级Tab
3. 切换到另一Tab
4. 返回财富等级Tab</x:v>
      </x:c>
      <x:c r="K263" s="9" t="str">
        <x:v>未保存行数值仍为100</x:v>
      </x:c>
      <x:c r="L263" s="10" t="str"/>
      <x:c r="M263" s="10" t="str">
        <x:v>未测</x:v>
      </x:c>
      <x:c r="N263" s="10" t="str"/>
      <x:c r="O263" s="9" t="str">
        <x:v>1. 来源（当前证据）：liveshow-proto/MainBasis/统一需求文档.md；位置：admin-level-config.html
2. 规则：BR-8BC645E806C607
3. 未动态验证</x:v>
      </x:c>
    </x:row>
    <x:row r="264" ht="85" customHeight="1">
      <x:c r="A264" s="10" t="n">
        <x:v>263</x:v>
      </x:c>
      <x:c r="B264" s="10" t="str">
        <x:v>ADMIN-0263</x:v>
      </x:c>
      <x:c r="C264" s="10" t="str">
        <x:v>运营配置</x:v>
      </x:c>
      <x:c r="D264" s="10" t="str">
        <x:v>等级配置（平台管理员）</x:v>
      </x:c>
      <x:c r="E264" s="10" t="str">
        <x:v>功能需求</x:v>
      </x:c>
      <x:c r="F264" s="10" t="str">
        <x:v>P1</x:v>
      </x:c>
      <x:c r="G264" s="9" t="str">
        <x:v>验证粉丝等级等级编号不能重复</x:v>
      </x:c>
      <x:c r="H264" s="9" t="str">
        <x:v>等级编号唯一</x:v>
      </x:c>
      <x:c r="I264" s="9" t="str">
        <x:v>1. 后台账号已登录且拥有本页及本次操作的授权
2. 当前Tab已有等级1</x:v>
      </x:c>
      <x:c r="J264" s="9" t="str">
        <x:v>1. 进入等级配置
2. 选择粉丝等级Tab
3. 新增一行等级1并填写数值100
4. 保存</x:v>
      </x:c>
      <x:c r="K264" s="9" t="str">
        <x:v>不能保存重复等级编号</x:v>
      </x:c>
      <x:c r="L264" s="10" t="str"/>
      <x:c r="M264" s="10" t="str">
        <x:v>未测</x:v>
      </x:c>
      <x:c r="N264" s="10" t="str"/>
      <x:c r="O264" s="9" t="str">
        <x:v>1. 来源（当前证据）：liveshow-proto/MainBasis/统一需求文档.md；位置：admin-level-config.html
2. 规则：BR-4876A8534C0BB6
3. 未动态验证</x:v>
      </x:c>
    </x:row>
    <x:row r="265" ht="85" customHeight="1">
      <x:c r="A265" s="10" t="n">
        <x:v>264</x:v>
      </x:c>
      <x:c r="B265" s="10" t="str">
        <x:v>ADMIN-0264</x:v>
      </x:c>
      <x:c r="C265" s="10" t="str">
        <x:v>运营配置</x:v>
      </x:c>
      <x:c r="D265" s="10" t="str">
        <x:v>等级配置（平台管理员）</x:v>
      </x:c>
      <x:c r="E265" s="10" t="str">
        <x:v>功能需求</x:v>
      </x:c>
      <x:c r="F265" s="10" t="str">
        <x:v>P1</x:v>
      </x:c>
      <x:c r="G265" s="9" t="str">
        <x:v>验证粉丝等级数值可以为零</x:v>
      </x:c>
      <x:c r="H265" s="9" t="str">
        <x:v>配置数值零边界</x:v>
      </x:c>
      <x:c r="I265" s="9" t="str">
        <x:v>1. 后台账号已登录且拥有本页及本次操作的授权
2. 新增等级编号唯一且为正整数</x:v>
      </x:c>
      <x:c r="J265" s="9" t="str">
        <x:v>1. 进入等级配置
2. 选择粉丝等级Tab
3. 输入数值0
4. 保存</x:v>
      </x:c>
      <x:c r="K265" s="9" t="str">
        <x:v>当前等级数值保存为0</x:v>
      </x:c>
      <x:c r="L265" s="10" t="str"/>
      <x:c r="M265" s="10" t="str">
        <x:v>未测</x:v>
      </x:c>
      <x:c r="N265" s="10" t="str"/>
      <x:c r="O265" s="9" t="str">
        <x:v>1. 来源（当前证据）：liveshow-proto/MainBasis/统一需求文档.md；位置：admin-level-config.html
2. 规则：BR-752247DB642A9B
3. 未动态验证</x:v>
      </x:c>
    </x:row>
    <x:row r="266" ht="85" customHeight="1">
      <x:c r="A266" s="10" t="n">
        <x:v>265</x:v>
      </x:c>
      <x:c r="B266" s="10" t="str">
        <x:v>ADMIN-0265</x:v>
      </x:c>
      <x:c r="C266" s="10" t="str">
        <x:v>运营配置</x:v>
      </x:c>
      <x:c r="D266" s="10" t="str">
        <x:v>等级配置（平台管理员）</x:v>
      </x:c>
      <x:c r="E266" s="10" t="str">
        <x:v>功能需求</x:v>
      </x:c>
      <x:c r="F266" s="10" t="str">
        <x:v>P1</x:v>
      </x:c>
      <x:c r="G266" s="9" t="str">
        <x:v>验证粉丝等级数值不能为负</x:v>
      </x:c>
      <x:c r="H266" s="9" t="str">
        <x:v>配置数值下界</x:v>
      </x:c>
      <x:c r="I266" s="9" t="str">
        <x:v>1. 后台账号已登录且拥有本页及本次操作的授权
2. 新增等级编号唯一且为正整数</x:v>
      </x:c>
      <x:c r="J266" s="9" t="str">
        <x:v>1. 进入等级配置
2. 选择粉丝等级Tab
3. 输入数值-1
4. 保存</x:v>
      </x:c>
      <x:c r="K266" s="9" t="str">
        <x:v>不能保存负数值</x:v>
      </x:c>
      <x:c r="L266" s="10" t="str"/>
      <x:c r="M266" s="10" t="str">
        <x:v>未测</x:v>
      </x:c>
      <x:c r="N266" s="10" t="str"/>
      <x:c r="O266" s="9" t="str">
        <x:v>1. 来源（当前证据）：liveshow-proto/MainBasis/统一需求文档.md；位置：admin-level-config.html
2. 规则：BR-CC9CAE92B32212
3. 未动态验证</x:v>
      </x:c>
    </x:row>
    <x:row r="267" ht="85" customHeight="1">
      <x:c r="A267" s="10" t="n">
        <x:v>266</x:v>
      </x:c>
      <x:c r="B267" s="10" t="str">
        <x:v>ADMIN-0266</x:v>
      </x:c>
      <x:c r="C267" s="10" t="str">
        <x:v>运营配置</x:v>
      </x:c>
      <x:c r="D267" s="10" t="str">
        <x:v>等级配置（平台管理员）</x:v>
      </x:c>
      <x:c r="E267" s="10" t="str">
        <x:v>功能需求</x:v>
      </x:c>
      <x:c r="F267" s="10" t="str">
        <x:v>P1</x:v>
      </x:c>
      <x:c r="G267" s="9" t="str">
        <x:v>验证粉丝等级切换Tab保留未保存内容</x:v>
      </x:c>
      <x:c r="H267" s="9" t="str">
        <x:v>编辑草稿保持</x:v>
      </x:c>
      <x:c r="I267" s="9" t="str">
        <x:v>1. 后台账号已登录且拥有本页及本次操作的授权
2. 当前新增行未保存且数值为100</x:v>
      </x:c>
      <x:c r="J267" s="9" t="str">
        <x:v>1. 进入等级配置
2. 选择粉丝等级Tab
3. 切换到另一Tab
4. 返回粉丝等级Tab</x:v>
      </x:c>
      <x:c r="K267" s="9" t="str">
        <x:v>未保存行数值仍为100</x:v>
      </x:c>
      <x:c r="L267" s="10" t="str"/>
      <x:c r="M267" s="10" t="str">
        <x:v>未测</x:v>
      </x:c>
      <x:c r="N267" s="10" t="str"/>
      <x:c r="O267" s="9" t="str">
        <x:v>1. 来源（当前证据）：liveshow-proto/MainBasis/统一需求文档.md；位置：admin-level-config.html
2. 规则：BR-E1A5C9396D0430
3. 未动态验证</x:v>
      </x:c>
    </x:row>
    <x:row r="268" ht="85" customHeight="1">
      <x:c r="A268" s="10" t="n">
        <x:v>267</x:v>
      </x:c>
      <x:c r="B268" s="10" t="str">
        <x:v>ADMIN-0267</x:v>
      </x:c>
      <x:c r="C268" s="10" t="str">
        <x:v>运营配置</x:v>
      </x:c>
      <x:c r="D268" s="10" t="str">
        <x:v>等级配置（平台管理员）</x:v>
      </x:c>
      <x:c r="E268" s="10" t="str">
        <x:v>功能需求</x:v>
      </x:c>
      <x:c r="F268" s="10" t="str">
        <x:v>P1</x:v>
      </x:c>
      <x:c r="G268" s="9" t="str">
        <x:v>验证粉丝团等级等级编号不能重复</x:v>
      </x:c>
      <x:c r="H268" s="9" t="str">
        <x:v>等级编号唯一</x:v>
      </x:c>
      <x:c r="I268" s="9" t="str">
        <x:v>1. 后台账号已登录且拥有本页及本次操作的授权
2. 当前Tab已有等级1</x:v>
      </x:c>
      <x:c r="J268" s="9" t="str">
        <x:v>1. 进入等级配置
2. 选择粉丝团等级Tab
3. 新增一行等级1并填写数值100
4. 保存</x:v>
      </x:c>
      <x:c r="K268" s="9" t="str">
        <x:v>不能保存重复等级编号</x:v>
      </x:c>
      <x:c r="L268" s="10" t="str"/>
      <x:c r="M268" s="10" t="str">
        <x:v>未测</x:v>
      </x:c>
      <x:c r="N268" s="10" t="str"/>
      <x:c r="O268" s="9" t="str">
        <x:v>1. 来源（当前证据）：liveshow-proto/MainBasis/统一需求文档.md；位置：admin-level-config.html
2. 规则：BR-69274989AC2260
3. 未动态验证</x:v>
      </x:c>
    </x:row>
    <x:row r="269" ht="85" customHeight="1">
      <x:c r="A269" s="10" t="n">
        <x:v>268</x:v>
      </x:c>
      <x:c r="B269" s="10" t="str">
        <x:v>ADMIN-0268</x:v>
      </x:c>
      <x:c r="C269" s="10" t="str">
        <x:v>运营配置</x:v>
      </x:c>
      <x:c r="D269" s="10" t="str">
        <x:v>等级配置（平台管理员）</x:v>
      </x:c>
      <x:c r="E269" s="10" t="str">
        <x:v>功能需求</x:v>
      </x:c>
      <x:c r="F269" s="10" t="str">
        <x:v>P1</x:v>
      </x:c>
      <x:c r="G269" s="9" t="str">
        <x:v>验证粉丝团等级数值可以为零</x:v>
      </x:c>
      <x:c r="H269" s="9" t="str">
        <x:v>配置数值零边界</x:v>
      </x:c>
      <x:c r="I269" s="9" t="str">
        <x:v>1. 后台账号已登录且拥有本页及本次操作的授权
2. 新增等级编号唯一且为正整数</x:v>
      </x:c>
      <x:c r="J269" s="9" t="str">
        <x:v>1. 进入等级配置
2. 选择粉丝团等级Tab
3. 输入数值0
4. 保存</x:v>
      </x:c>
      <x:c r="K269" s="9" t="str">
        <x:v>当前等级数值保存为0</x:v>
      </x:c>
      <x:c r="L269" s="10" t="str"/>
      <x:c r="M269" s="10" t="str">
        <x:v>未测</x:v>
      </x:c>
      <x:c r="N269" s="10" t="str"/>
      <x:c r="O269" s="9" t="str">
        <x:v>1. 来源（当前证据）：liveshow-proto/MainBasis/统一需求文档.md；位置：admin-level-config.html
2. 规则：BR-9694A712559426
3. 未动态验证</x:v>
      </x:c>
    </x:row>
    <x:row r="270" ht="85" customHeight="1">
      <x:c r="A270" s="10" t="n">
        <x:v>269</x:v>
      </x:c>
      <x:c r="B270" s="10" t="str">
        <x:v>ADMIN-0269</x:v>
      </x:c>
      <x:c r="C270" s="10" t="str">
        <x:v>运营配置</x:v>
      </x:c>
      <x:c r="D270" s="10" t="str">
        <x:v>等级配置（平台管理员）</x:v>
      </x:c>
      <x:c r="E270" s="10" t="str">
        <x:v>功能需求</x:v>
      </x:c>
      <x:c r="F270" s="10" t="str">
        <x:v>P1</x:v>
      </x:c>
      <x:c r="G270" s="9" t="str">
        <x:v>验证粉丝团等级数值不能为负</x:v>
      </x:c>
      <x:c r="H270" s="9" t="str">
        <x:v>配置数值下界</x:v>
      </x:c>
      <x:c r="I270" s="9" t="str">
        <x:v>1. 后台账号已登录且拥有本页及本次操作的授权
2. 新增等级编号唯一且为正整数</x:v>
      </x:c>
      <x:c r="J270" s="9" t="str">
        <x:v>1. 进入等级配置
2. 选择粉丝团等级Tab
3. 输入数值-1
4. 保存</x:v>
      </x:c>
      <x:c r="K270" s="9" t="str">
        <x:v>不能保存负数值</x:v>
      </x:c>
      <x:c r="L270" s="10" t="str"/>
      <x:c r="M270" s="10" t="str">
        <x:v>未测</x:v>
      </x:c>
      <x:c r="N270" s="10" t="str"/>
      <x:c r="O270" s="9" t="str">
        <x:v>1. 来源（当前证据）：liveshow-proto/MainBasis/统一需求文档.md；位置：admin-level-config.html
2. 规则：BR-815475B3D875B0
3. 未动态验证</x:v>
      </x:c>
    </x:row>
    <x:row r="271" ht="85" customHeight="1">
      <x:c r="A271" s="10" t="n">
        <x:v>270</x:v>
      </x:c>
      <x:c r="B271" s="10" t="str">
        <x:v>ADMIN-0270</x:v>
      </x:c>
      <x:c r="C271" s="10" t="str">
        <x:v>运营配置</x:v>
      </x:c>
      <x:c r="D271" s="10" t="str">
        <x:v>等级配置（平台管理员）</x:v>
      </x:c>
      <x:c r="E271" s="10" t="str">
        <x:v>功能需求</x:v>
      </x:c>
      <x:c r="F271" s="10" t="str">
        <x:v>P1</x:v>
      </x:c>
      <x:c r="G271" s="9" t="str">
        <x:v>验证粉丝团等级切换Tab保留未保存内容</x:v>
      </x:c>
      <x:c r="H271" s="9" t="str">
        <x:v>编辑草稿保持</x:v>
      </x:c>
      <x:c r="I271" s="9" t="str">
        <x:v>1. 后台账号已登录且拥有本页及本次操作的授权
2. 当前新增行未保存且数值为100</x:v>
      </x:c>
      <x:c r="J271" s="9" t="str">
        <x:v>1. 进入等级配置
2. 选择粉丝团等级Tab
3. 切换到另一Tab
4. 返回粉丝团等级Tab</x:v>
      </x:c>
      <x:c r="K271" s="9" t="str">
        <x:v>未保存行数值仍为100</x:v>
      </x:c>
      <x:c r="L271" s="10" t="str"/>
      <x:c r="M271" s="10" t="str">
        <x:v>未测</x:v>
      </x:c>
      <x:c r="N271" s="10" t="str"/>
      <x:c r="O271" s="9" t="str">
        <x:v>1. 来源（当前证据）：liveshow-proto/MainBasis/统一需求文档.md；位置：admin-level-config.html
2. 规则：BR-2954ADFFCC2674
3. 未动态验证</x:v>
      </x:c>
    </x:row>
    <x:row r="272" ht="85" customHeight="1">
      <x:c r="A272" s="10" t="n">
        <x:v>271</x:v>
      </x:c>
      <x:c r="B272" s="10" t="str">
        <x:v>ADMIN-0271</x:v>
      </x:c>
      <x:c r="C272" s="10" t="str">
        <x:v>运营账号</x:v>
      </x:c>
      <x:c r="D272" s="10" t="str">
        <x:v>额度限制（平台管理员）</x:v>
      </x:c>
      <x:c r="E272" s="10" t="str">
        <x:v>逻辑校验</x:v>
      </x:c>
      <x:c r="F272" s="10" t="str">
        <x:v>P0</x:v>
      </x:c>
      <x:c r="G272" s="9" t="str">
        <x:v>验证剩余月度额度不小于零</x:v>
      </x:c>
      <x:c r="H272" s="9" t="str">
        <x:v>月度剩余额度下界</x:v>
      </x:c>
      <x:c r="I272" s="9" t="str">
        <x:v>1. 后台账号已登录且拥有本页及本次操作的授权
2. 额度调整为100，本月已成功发放150</x:v>
      </x:c>
      <x:c r="J272" s="9" t="str">
        <x:v>1. 进入公会运营账号权限配置
2. 查看本月剩余额度</x:v>
      </x:c>
      <x:c r="K272" s="9" t="str">
        <x:v>本月剩余额度计算结果=max(100-150,0)=0</x:v>
      </x:c>
      <x:c r="L272" s="10" t="str">
        <x:v>FLOW-3751662B</x:v>
      </x:c>
      <x:c r="M272" s="10" t="str">
        <x:v>未测</x:v>
      </x:c>
      <x:c r="N272" s="10" t="str"/>
      <x:c r="O272" s="9" t="str">
        <x:v>1. 来源（当前证据）：liveshow-proto/MainBasis/统一需求文档.md；位置：admin-operation-guild-controls.html
2. 规则：BR-57A3BA2D6EA1A7
3. 未动态验证</x:v>
      </x:c>
    </x:row>
    <x:row r="273" ht="85" customHeight="1">
      <x:c r="A273" s="10" t="n">
        <x:v>272</x:v>
      </x:c>
      <x:c r="B273" s="10" t="str">
        <x:v>ADMIN-0272</x:v>
      </x:c>
      <x:c r="C273" s="10" t="str">
        <x:v>运营账号</x:v>
      </x:c>
      <x:c r="D273" s="10" t="str">
        <x:v>额度限制（平台管理员）</x:v>
      </x:c>
      <x:c r="E273" s="10" t="str">
        <x:v>功能需求</x:v>
      </x:c>
      <x:c r="F273" s="10" t="str">
        <x:v>P1</x:v>
      </x:c>
      <x:c r="G273" s="9" t="str">
        <x:v>验证平台只配置额度不发币</x:v>
      </x:c>
      <x:c r="H273" s="9" t="str">
        <x:v>平台发币权限</x:v>
      </x:c>
      <x:c r="I273" s="9" t="str">
        <x:v>1. 后台账号已登录且拥有本页及本次操作的授权</x:v>
      </x:c>
      <x:c r="J273" s="9" t="str">
        <x:v>1. 进入公会运营账号权限配置
2. 查看页面操作</x:v>
      </x:c>
      <x:c r="K273" s="9" t="str">
        <x:v>不提供直接发放虚拟金币入口</x:v>
      </x:c>
      <x:c r="L273" s="10" t="str">
        <x:v>FLOW-3751662B</x:v>
      </x:c>
      <x:c r="M273" s="10" t="str">
        <x:v>未测</x:v>
      </x:c>
      <x:c r="N273" s="10" t="str"/>
      <x:c r="O273" s="9" t="str">
        <x:v>1. 来源（当前证据）：liveshow-proto/MainBasis/统一需求文档.md；位置：admin-operation-guild-controls.html
2. 规则：BR-1466D7FBB3214B
3. 未动态验证</x:v>
      </x:c>
    </x:row>
    <x:row r="274" ht="85" customHeight="1">
      <x:c r="A274" s="10" t="n">
        <x:v>273</x:v>
      </x:c>
      <x:c r="B274" s="10" t="str">
        <x:v>ADMIN-0273</x:v>
      </x:c>
      <x:c r="C274" s="10" t="str">
        <x:v>运营账号</x:v>
      </x:c>
      <x:c r="D274" s="10" t="str">
        <x:v>运营账号主页（平台管理员）</x:v>
      </x:c>
      <x:c r="E274" s="10" t="str">
        <x:v>逻辑校验</x:v>
      </x:c>
      <x:c r="F274" s="10" t="str">
        <x:v>P0</x:v>
      </x:c>
      <x:c r="G274" s="9" t="str">
        <x:v>验证运营余额按虚拟资产计算</x:v>
      </x:c>
      <x:c r="H274" s="9" t="str">
        <x:v>虚拟余额对账</x:v>
      </x:c>
      <x:c r="I274" s="9" t="str">
        <x:v>1. 后台账号已登录且拥有本页及本次操作的授权
2. 累计公会发放300，成功虚拟赠礼消费120</x:v>
      </x:c>
      <x:c r="J274" s="9" t="str">
        <x:v>1. 进入运营账号详情
2. 查看虚拟金币余额</x:v>
      </x:c>
      <x:c r="K274" s="9" t="str">
        <x:v>虚拟金币余额计算结果=300-120=180</x:v>
      </x:c>
      <x:c r="L274" s="10" t="str">
        <x:v>FLOW-3751662B</x:v>
      </x:c>
      <x:c r="M274" s="10" t="str">
        <x:v>未测</x:v>
      </x:c>
      <x:c r="N274" s="10" t="str"/>
      <x:c r="O274" s="9" t="str">
        <x:v>1. 来源（当前证据）：liveshow-proto/MainBasis/统一需求文档.md；位置：admin-operation-account-detail.html
2. 规则：BR-677B7C90433E8F
3. 未动态验证</x:v>
      </x:c>
    </x:row>
    <x:row r="275" ht="85" customHeight="1">
      <x:c r="A275" s="10" t="n">
        <x:v>274</x:v>
      </x:c>
      <x:c r="B275" s="10" t="str">
        <x:v>ADMIN-0274</x:v>
      </x:c>
      <x:c r="C275" s="10" t="str">
        <x:v>运营账号</x:v>
      </x:c>
      <x:c r="D275" s="10" t="str">
        <x:v>发放记录（平台管理员）</x:v>
      </x:c>
      <x:c r="E275" s="10" t="str">
        <x:v>功能需求</x:v>
      </x:c>
      <x:c r="F275" s="10" t="str">
        <x:v>P1</x:v>
      </x:c>
      <x:c r="G275" s="9" t="str">
        <x:v>验证发放后余额采用当前业务口径</x:v>
      </x:c>
      <x:c r="H275" s="9" t="str">
        <x:v>发放后余额口径</x:v>
      </x:c>
      <x:c r="I275" s="9" t="str">
        <x:v>1. 后台账号已登录且拥有本页及本次操作的授权
2. 目标账号发放前余额50，公会本次成功发放100</x:v>
      </x:c>
      <x:c r="J275" s="9" t="str">
        <x:v>1. 进入发放记录
2. 查看发放后余额</x:v>
      </x:c>
      <x:c r="K275" s="9" t="str">
        <x:v>发放后余额为150虚拟金币</x:v>
      </x:c>
      <x:c r="L275" s="10" t="str">
        <x:v>FLOW-3751662B</x:v>
      </x:c>
      <x:c r="M275" s="10" t="str">
        <x:v>未测</x:v>
      </x:c>
      <x:c r="N275" s="10" t="str"/>
      <x:c r="O275" s="9" t="str">
        <x:v>1. 来源（当前证据）：liveshow-proto/MainBasis/统一需求文档.md；位置：admin-operation-issue-records.html
2. 规则：BR-A80FF6CB87C536
3. 未动态验证</x:v>
      </x:c>
    </x:row>
    <x:row r="276" ht="85" customHeight="1">
      <x:c r="A276" s="10" t="n">
        <x:v>275</x:v>
      </x:c>
      <x:c r="B276" s="10" t="str">
        <x:v>ADMIN-0275</x:v>
      </x:c>
      <x:c r="C276" s="10" t="str">
        <x:v>运营账号</x:v>
      </x:c>
      <x:c r="D276" s="10" t="str">
        <x:v>送礼记录（平台管理员）</x:v>
      </x:c>
      <x:c r="E276" s="10" t="str">
        <x:v>功能需求</x:v>
      </x:c>
      <x:c r="F276" s="10" t="str">
        <x:v>P1</x:v>
      </x:c>
      <x:c r="G276" s="9" t="str">
        <x:v>验证消费金币采用当前业务口径</x:v>
      </x:c>
      <x:c r="H276" s="9" t="str">
        <x:v>消费金币口径</x:v>
      </x:c>
      <x:c r="I276" s="9" t="str">
        <x:v>1. 后台账号已登录且拥有本页及本次操作的授权
2. 成功虚拟礼物单价10数量3</x:v>
      </x:c>
      <x:c r="J276" s="9" t="str">
        <x:v>1. 进入送礼记录
2. 查看消费金币</x:v>
      </x:c>
      <x:c r="K276" s="9" t="str">
        <x:v>消费金币为30</x:v>
      </x:c>
      <x:c r="L276" s="10" t="str">
        <x:v>FLOW-3751662B</x:v>
      </x:c>
      <x:c r="M276" s="10" t="str">
        <x:v>未测</x:v>
      </x:c>
      <x:c r="N276" s="10" t="str"/>
      <x:c r="O276" s="9" t="str">
        <x:v>1. 来源（当前证据）：liveshow-proto/MainBasis/统一需求文档.md；位置：admin-operation-gift-records.html
2. 规则：BR-D27CEB3016CC67
3. 未动态验证</x:v>
      </x:c>
    </x:row>
    <x:row r="277" ht="85" customHeight="1">
      <x:c r="A277" s="10" t="n">
        <x:v>276</x:v>
      </x:c>
      <x:c r="B277" s="10" t="str">
        <x:v>ADMIN-0276</x:v>
      </x:c>
      <x:c r="C277" s="10" t="str">
        <x:v>主播管理</x:v>
      </x:c>
      <x:c r="D277" s="10" t="str">
        <x:v>审核详情（平台管理员）</x:v>
      </x:c>
      <x:c r="E277" s="10" t="str">
        <x:v>功能需求</x:v>
      </x:c>
      <x:c r="F277" s="10" t="str">
        <x:v>P0</x:v>
      </x:c>
      <x:c r="G277" s="9" t="str">
        <x:v>验证平台终审通过才授予主播身份</x:v>
      </x:c>
      <x:c r="H277" s="9" t="str">
        <x:v>认证终审通过</x:v>
      </x:c>
      <x:c r="I277" s="9" t="str">
        <x:v>1. 后台账号已登录且拥有本页及本次操作的授权
2. 用户已获目标公会初审通过</x:v>
      </x:c>
      <x:c r="J277" s="9" t="str">
        <x:v>1. 进入平台认证审核
2. 打开待审核申请
3. 选择通过并确认</x:v>
      </x:c>
      <x:c r="K277" s="9" t="str">
        <x:v>用户加入申请公会并获得主播身份</x:v>
      </x:c>
      <x:c r="L277" s="10" t="str">
        <x:v>FLOW-904D54D7</x:v>
      </x:c>
      <x:c r="M277" s="10" t="str">
        <x:v>未测</x:v>
      </x:c>
      <x:c r="N277" s="10" t="str"/>
      <x:c r="O277" s="9" t="str">
        <x:v>1. 来源（当前证据）：liveshow-proto/MainBasis/统一需求文档.md；位置：admin-host-review-detail.html
2. 规则：BR-4CD83B644181D8
3. 未动态验证</x:v>
      </x:c>
    </x:row>
    <x:row r="278" ht="85" customHeight="1">
      <x:c r="A278" s="10" t="n">
        <x:v>277</x:v>
      </x:c>
      <x:c r="B278" s="10" t="str">
        <x:v>ADMIN-0277</x:v>
      </x:c>
      <x:c r="C278" s="10" t="str">
        <x:v>主播管理</x:v>
      </x:c>
      <x:c r="D278" s="10" t="str">
        <x:v>审核详情（平台管理员）</x:v>
      </x:c>
      <x:c r="E278" s="10" t="str">
        <x:v>功能需求</x:v>
      </x:c>
      <x:c r="F278" s="10" t="str">
        <x:v>P1</x:v>
      </x:c>
      <x:c r="G278" s="9" t="str">
        <x:v>验证平台驳回必须填写原因</x:v>
      </x:c>
      <x:c r="H278" s="9" t="str">
        <x:v>终审驳回原因</x:v>
      </x:c>
      <x:c r="I278" s="9" t="str">
        <x:v>1. 后台账号已登录且拥有本页及本次操作的授权</x:v>
      </x:c>
      <x:c r="J278" s="9" t="str">
        <x:v>1. 进入平台认证审核
2. 打开待审核申请
3. 选择驳回
4. 清空驳回原因
5. 点击确认</x:v>
      </x:c>
      <x:c r="K278" s="9" t="str">
        <x:v>不提交缺少原因的驳回结果</x:v>
      </x:c>
      <x:c r="L278" s="10" t="str">
        <x:v>FLOW-904D54D7</x:v>
      </x:c>
      <x:c r="M278" s="10" t="str">
        <x:v>未测</x:v>
      </x:c>
      <x:c r="N278" s="10" t="str"/>
      <x:c r="O278" s="9" t="str">
        <x:v>1. 来源（当前证据）：liveshow-proto/MainBasis/统一需求文档.md；位置：admin-host-review-detail.html
2. 规则：BR-2FE2671CD8F8DA
3. 未动态验证</x:v>
      </x:c>
    </x:row>
    <x:row r="279" ht="85" customHeight="1">
      <x:c r="A279" s="10" t="n">
        <x:v>278</x:v>
      </x:c>
      <x:c r="B279" s="10" t="str">
        <x:v>ADMIN-0278</x:v>
      </x:c>
      <x:c r="C279" s="10" t="str">
        <x:v>主播管理</x:v>
      </x:c>
      <x:c r="D279" s="10" t="str">
        <x:v>审核详情（平台管理员）</x:v>
      </x:c>
      <x:c r="E279" s="10" t="str">
        <x:v>功能需求</x:v>
      </x:c>
      <x:c r="F279" s="10" t="str">
        <x:v>P1</x:v>
      </x:c>
      <x:c r="G279" s="9" t="str">
        <x:v>验证平台驳回使申请失效</x:v>
      </x:c>
      <x:c r="H279" s="9" t="str">
        <x:v>认证终审驳回</x:v>
      </x:c>
      <x:c r="I279" s="9" t="str">
        <x:v>1. 后台账号已登录且拥有本页及本次操作的授权</x:v>
      </x:c>
      <x:c r="J279" s="9" t="str">
        <x:v>1. 进入平台认证审核
2. 打开待审核申请
3. 选择驳回
4. 填写原因“材料不可辨认”
5. 点击确认</x:v>
      </x:c>
      <x:c r="K279" s="9" t="str">
        <x:v>该申请终态为已驳回</x:v>
      </x:c>
      <x:c r="L279" s="10" t="str">
        <x:v>FLOW-904D54D7</x:v>
      </x:c>
      <x:c r="M279" s="10" t="str">
        <x:v>未测</x:v>
      </x:c>
      <x:c r="N279" s="10" t="str"/>
      <x:c r="O279" s="9" t="str">
        <x:v>1. 来源（当前证据）：liveshow-proto/MainBasis/统一需求文档.md；位置：admin-host-review-detail.html
2. 规则：BR-8F672692ED0B3A
3. 未动态验证</x:v>
      </x:c>
    </x:row>
    <x:row r="280" ht="85" customHeight="1">
      <x:c r="A280" s="10" t="n">
        <x:v>279</x:v>
      </x:c>
      <x:c r="B280" s="10" t="str">
        <x:v>ADMIN-0279</x:v>
      </x:c>
      <x:c r="C280" s="10" t="str">
        <x:v>主播管理</x:v>
      </x:c>
      <x:c r="D280" s="10" t="str">
        <x:v>审核详情（平台管理员）</x:v>
      </x:c>
      <x:c r="E280" s="10" t="str">
        <x:v>功能需求</x:v>
      </x:c>
      <x:c r="F280" s="10" t="str">
        <x:v>P1</x:v>
      </x:c>
      <x:c r="G280" s="9" t="str">
        <x:v>验证认证已通过记录不能重审</x:v>
      </x:c>
      <x:c r="H280" s="9" t="str">
        <x:v>认证终态保护</x:v>
      </x:c>
      <x:c r="I280" s="9" t="str">
        <x:v>1. 后台账号已登录且拥有本页及本次操作的授权
2. 该申请已通过</x:v>
      </x:c>
      <x:c r="J280" s="9" t="str">
        <x:v>1. 进入平台认证审核
2. 打开待审核申请
3. 查看审核操作</x:v>
      </x:c>
      <x:c r="K280" s="9" t="str">
        <x:v>不提供再次通过或驳回入口</x:v>
      </x:c>
      <x:c r="L280" s="10" t="str">
        <x:v>FLOW-904D54D7</x:v>
      </x:c>
      <x:c r="M280" s="10" t="str">
        <x:v>未测</x:v>
      </x:c>
      <x:c r="N280" s="10" t="str"/>
      <x:c r="O280" s="9" t="str">
        <x:v>1. 来源（当前证据）：liveshow-proto/MainBasis/统一需求文档.md；位置：admin-host-review-detail.html
2. 规则：BR-BB32F04532B2C6
3. 未动态验证</x:v>
      </x:c>
    </x:row>
    <x:row r="281" ht="85" customHeight="1">
      <x:c r="A281" s="10" t="n">
        <x:v>280</x:v>
      </x:c>
      <x:c r="B281" s="10" t="str">
        <x:v>ADMIN-0280</x:v>
      </x:c>
      <x:c r="C281" s="10" t="str">
        <x:v>主播管理</x:v>
      </x:c>
      <x:c r="D281" s="10" t="str">
        <x:v>主播列表（平台管理员）</x:v>
      </x:c>
      <x:c r="E281" s="10" t="str">
        <x:v>功能需求</x:v>
      </x:c>
      <x:c r="F281" s="10" t="str">
        <x:v>P1</x:v>
      </x:c>
      <x:c r="G281" s="9" t="str">
        <x:v>验证关闭平台权限使在播场次结束</x:v>
      </x:c>
      <x:c r="H281" s="9" t="str">
        <x:v>平台权限关闭</x:v>
      </x:c>
      <x:c r="I281" s="9" t="str">
        <x:v>1. 后台账号已登录且拥有本页及本次操作的授权
2. 海风正直播，公会权限开启</x:v>
      </x:c>
      <x:c r="J281" s="9" t="str">
        <x:v>1. 进入主播列表
2. 关闭海风平台直播权限并确认</x:v>
      </x:c>
      <x:c r="K281" s="9" t="str">
        <x:v>海风当前场次结束</x:v>
      </x:c>
      <x:c r="L281" s="10" t="str">
        <x:v>FLOW-29684C4A</x:v>
      </x:c>
      <x:c r="M281" s="10" t="str">
        <x:v>未测</x:v>
      </x:c>
      <x:c r="N281" s="10" t="str"/>
      <x:c r="O281" s="9" t="str">
        <x:v>1. 来源（当前证据）：liveshow-proto/MainBasis/统一需求文档.md；位置：admin-host-list.html
2. 规则：BR-C01B6C908AD3DF
3. 未动态验证</x:v>
      </x:c>
    </x:row>
    <x:row r="282" ht="85" customHeight="1">
      <x:c r="A282" s="10" t="n">
        <x:v>281</x:v>
      </x:c>
      <x:c r="B282" s="10" t="str">
        <x:v>ADMIN-0281</x:v>
      </x:c>
      <x:c r="C282" s="10" t="str">
        <x:v>主播管理</x:v>
      </x:c>
      <x:c r="D282" s="10" t="str">
        <x:v>主播列表（平台管理员）</x:v>
      </x:c>
      <x:c r="E282" s="10" t="str">
        <x:v>功能需求</x:v>
      </x:c>
      <x:c r="F282" s="10" t="str">
        <x:v>P1</x:v>
      </x:c>
      <x:c r="G282" s="9" t="str">
        <x:v>验证平台锁定开启覆盖公会关闭</x:v>
      </x:c>
      <x:c r="H282" s="9" t="str">
        <x:v>平台权限锁定</x:v>
      </x:c>
      <x:c r="I282" s="9" t="str">
        <x:v>1. 后台账号已登录且拥有本页及本次操作的授权
2. 平台开启、公会原设置关闭</x:v>
      </x:c>
      <x:c r="J282" s="9" t="str">
        <x:v>1. 进入主播列表
2. 锁定海风公会管理权限并确认</x:v>
      </x:c>
      <x:c r="K282" s="9" t="str">
        <x:v>最终开播权限跟随平台开启</x:v>
      </x:c>
      <x:c r="L282" s="10" t="str"/>
      <x:c r="M282" s="10" t="str">
        <x:v>未测</x:v>
      </x:c>
      <x:c r="N282" s="10" t="str"/>
      <x:c r="O282" s="9" t="str">
        <x:v>1. 来源（当前证据）：liveshow-proto/MainBasis/统一需求文档.md；位置：admin-host-list.html
2. 规则：BR-FFBA949FF350E4
3. 未动态验证</x:v>
      </x:c>
    </x:row>
    <x:row r="283" ht="85" customHeight="1">
      <x:c r="A283" s="10" t="n">
        <x:v>282</x:v>
      </x:c>
      <x:c r="B283" s="10" t="str">
        <x:v>ADMIN-0282</x:v>
      </x:c>
      <x:c r="C283" s="10" t="str">
        <x:v>主播管理</x:v>
      </x:c>
      <x:c r="D283" s="10" t="str">
        <x:v>主播列表（平台管理员）</x:v>
      </x:c>
      <x:c r="E283" s="10" t="str">
        <x:v>功能需求</x:v>
      </x:c>
      <x:c r="F283" s="10" t="str">
        <x:v>P1</x:v>
      </x:c>
      <x:c r="G283" s="9" t="str">
        <x:v>验证解锁恢复原公会关闭设置</x:v>
      </x:c>
      <x:c r="H283" s="9" t="str">
        <x:v>权限解锁恢复</x:v>
      </x:c>
      <x:c r="I283" s="9" t="str">
        <x:v>1. 后台账号已登录且拥有本页及本次操作的授权
2. 锁定前公会关闭，平台目前开启且锁定</x:v>
      </x:c>
      <x:c r="J283" s="9" t="str">
        <x:v>1. 进入主播列表
2. 解锁公会管理权限并确认</x:v>
      </x:c>
      <x:c r="K283" s="9" t="str">
        <x:v>最终开播权限恢复为关闭</x:v>
      </x:c>
      <x:c r="L283" s="10" t="str"/>
      <x:c r="M283" s="10" t="str">
        <x:v>未测</x:v>
      </x:c>
      <x:c r="N283" s="10" t="str"/>
      <x:c r="O283" s="9" t="str">
        <x:v>1. 来源（当前证据）：liveshow-proto/MainBasis/统一需求文档.md；位置：admin-host-list.html
2. 规则：BR-89C418D4F045A0
3. 未动态验证</x:v>
      </x:c>
    </x:row>
    <x:row r="284" ht="85" customHeight="1">
      <x:c r="A284" s="10" t="n">
        <x:v>283</x:v>
      </x:c>
      <x:c r="B284" s="10" t="str">
        <x:v>ADMIN-0283</x:v>
      </x:c>
      <x:c r="C284" s="10" t="str">
        <x:v>主播管理</x:v>
      </x:c>
      <x:c r="D284" s="10" t="str">
        <x:v>主播列表（平台管理员）</x:v>
      </x:c>
      <x:c r="E284" s="10" t="str">
        <x:v>功能需求</x:v>
      </x:c>
      <x:c r="F284" s="10" t="str">
        <x:v>P1</x:v>
      </x:c>
      <x:c r="G284" s="9" t="str">
        <x:v>验证解封不自动恢复直播权限</x:v>
      </x:c>
      <x:c r="H284" s="9" t="str">
        <x:v>账号与开播分离</x:v>
      </x:c>
      <x:c r="I284" s="9" t="str">
        <x:v>1. 后台账号已登录且拥有本页及本次操作的授权
2. 海风账号封禁且直播权限关闭</x:v>
      </x:c>
      <x:c r="J284" s="9" t="str">
        <x:v>1. 进入主播列表
2. 解封海风并确认</x:v>
      </x:c>
      <x:c r="K284" s="9" t="str">
        <x:v>海风直播权限仍为关闭</x:v>
      </x:c>
      <x:c r="L284" s="10" t="str">
        <x:v>FLOW-29684C4A</x:v>
      </x:c>
      <x:c r="M284" s="10" t="str">
        <x:v>未测</x:v>
      </x:c>
      <x:c r="N284" s="10" t="str"/>
      <x:c r="O284" s="9" t="str">
        <x:v>1. 来源（当前证据）：liveshow-proto/MainBasis/统一需求文档.md；位置：admin-host-list.html
2. 规则：BR-3BEDEC19254E58
3. 未动态验证</x:v>
      </x:c>
    </x:row>
    <x:row r="285" ht="85" customHeight="1">
      <x:c r="A285" s="10" t="n">
        <x:v>284</x:v>
      </x:c>
      <x:c r="B285" s="10" t="str">
        <x:v>ADMIN-0284</x:v>
      </x:c>
      <x:c r="C285" s="10" t="str">
        <x:v>主播管理</x:v>
      </x:c>
      <x:c r="D285" s="10" t="str">
        <x:v>新建排班（平台管理员）</x:v>
      </x:c>
      <x:c r="E285" s="10" t="str">
        <x:v>功能需求</x:v>
      </x:c>
      <x:c r="F285" s="10" t="str">
        <x:v>P1</x:v>
      </x:c>
      <x:c r="G285" s="9" t="str">
        <x:v>验证巡房日期不能早于当天</x:v>
      </x:c>
      <x:c r="H285" s="9" t="str">
        <x:v>巡房日期下界</x:v>
      </x:c>
      <x:c r="I285" s="9" t="str">
        <x:v>1. 后台账号已登录且拥有本页及本次操作的授权
2. 其余必填项合法</x:v>
      </x:c>
      <x:c r="J285" s="9" t="str">
        <x:v>1. 进入新建巡房排班
2. 选择昨天并保存</x:v>
      </x:c>
      <x:c r="K285" s="9" t="str">
        <x:v>不能创建过去日期的新排班</x:v>
      </x:c>
      <x:c r="L285" s="10" t="str"/>
      <x:c r="M285" s="10" t="str">
        <x:v>未测</x:v>
      </x:c>
      <x:c r="N285" s="10" t="str"/>
      <x:c r="O285" s="9" t="str">
        <x:v>1. 来源（当前证据）：liveshow-proto/MainBasis/统一需求文档.md；位置：admin-inspection-schedule-create.html
2. 规则：BR-04536851228C09
3. 未动态验证</x:v>
      </x:c>
    </x:row>
    <x:row r="286" ht="85" customHeight="1">
      <x:c r="A286" s="10" t="n">
        <x:v>285</x:v>
      </x:c>
      <x:c r="B286" s="10" t="str">
        <x:v>ADMIN-0285</x:v>
      </x:c>
      <x:c r="C286" s="10" t="str">
        <x:v>主播管理</x:v>
      </x:c>
      <x:c r="D286" s="10" t="str">
        <x:v>新建排班（平台管理员）</x:v>
      </x:c>
      <x:c r="E286" s="10" t="str">
        <x:v>功能需求</x:v>
      </x:c>
      <x:c r="F286" s="10" t="str">
        <x:v>P1</x:v>
      </x:c>
      <x:c r="G286" s="9" t="str">
        <x:v>验证巡房至少选择一人</x:v>
      </x:c>
      <x:c r="H286" s="9" t="str">
        <x:v>巡房人员最低数量</x:v>
      </x:c>
      <x:c r="I286" s="9" t="str">
        <x:v>1. 后台账号已登录且拥有本页及本次操作的授权
2. 日期及时间段合法，未选择人员</x:v>
      </x:c>
      <x:c r="J286" s="9" t="str">
        <x:v>1. 进入新建巡房排班
2. 点击保存</x:v>
      </x:c>
      <x:c r="K286" s="9" t="str">
        <x:v>不能创建无人员排班</x:v>
      </x:c>
      <x:c r="L286" s="10" t="str"/>
      <x:c r="M286" s="10" t="str">
        <x:v>未测</x:v>
      </x:c>
      <x:c r="N286" s="10" t="str"/>
      <x:c r="O286" s="9" t="str">
        <x:v>1. 来源（当前证据）：liveshow-proto/MainBasis/统一需求文档.md；位置：admin-inspection-schedule-create.html
2. 规则：BR-237F1081A97392
3. 未动态验证</x:v>
      </x:c>
    </x:row>
    <x:row r="287" ht="85" customHeight="1">
      <x:c r="A287" s="10" t="n">
        <x:v>286</x:v>
      </x:c>
      <x:c r="B287" s="10" t="str">
        <x:v>ADMIN-0286</x:v>
      </x:c>
      <x:c r="C287" s="10" t="str">
        <x:v>主播管理</x:v>
      </x:c>
      <x:c r="D287" s="10" t="str">
        <x:v>新建排班（平台管理员）</x:v>
      </x:c>
      <x:c r="E287" s="10" t="str">
        <x:v>功能需求</x:v>
      </x:c>
      <x:c r="F287" s="10" t="str">
        <x:v>P1</x:v>
      </x:c>
      <x:c r="G287" s="9" t="str">
        <x:v>验证平台封禁账号不能选为巡房人员</x:v>
      </x:c>
      <x:c r="H287" s="9" t="str">
        <x:v>巡房账号资格</x:v>
      </x:c>
      <x:c r="I287" s="9" t="str">
        <x:v>1. 后台账号已登录且拥有本页及本次操作的授权
2. 海风已被平台封禁</x:v>
      </x:c>
      <x:c r="J287" s="9" t="str">
        <x:v>1. 进入新建巡房排班
2. 搜索并选择海风</x:v>
      </x:c>
      <x:c r="K287" s="9" t="str">
        <x:v>海风不可加入排班</x:v>
      </x:c>
      <x:c r="L287" s="10" t="str"/>
      <x:c r="M287" s="10" t="str">
        <x:v>未测</x:v>
      </x:c>
      <x:c r="N287" s="10" t="str"/>
      <x:c r="O287" s="9" t="str">
        <x:v>1. 来源（当前证据）：liveshow-proto/MainBasis/统一需求文档.md；位置：admin-inspection-schedule-create.html
2. 规则：BR-3D61181311EB2B
3. 未动态验证</x:v>
      </x:c>
    </x:row>
    <x:row r="288" ht="85" customHeight="1">
      <x:c r="A288" s="10" t="n">
        <x:v>287</x:v>
      </x:c>
      <x:c r="B288" s="10" t="str">
        <x:v>ADMIN-0287</x:v>
      </x:c>
      <x:c r="C288" s="10" t="str">
        <x:v>主播管理</x:v>
      </x:c>
      <x:c r="D288" s="10" t="str">
        <x:v>新建排班（平台管理员）</x:v>
      </x:c>
      <x:c r="E288" s="10" t="str">
        <x:v>功能需求</x:v>
      </x:c>
      <x:c r="F288" s="10" t="str">
        <x:v>P1</x:v>
      </x:c>
      <x:c r="G288" s="9" t="str">
        <x:v>验证巡房全选仅限当前搜索结果</x:v>
      </x:c>
      <x:c r="H288" s="9" t="str">
        <x:v>巡房全选范围</x:v>
      </x:c>
      <x:c r="I288" s="9" t="str">
        <x:v>1. 后台账号已登录且拥有本页及本次操作的授权
2. 人员库有海风、晨光，搜索结果仅海风</x:v>
      </x:c>
      <x:c r="J288" s="9" t="str">
        <x:v>1. 进入新建巡房排班
2. 输入搜索词海风
3. 点击全选</x:v>
      </x:c>
      <x:c r="K288" s="9" t="str">
        <x:v>只选中当前搜索结果中的海风</x:v>
      </x:c>
      <x:c r="L288" s="10" t="str"/>
      <x:c r="M288" s="10" t="str">
        <x:v>未测</x:v>
      </x:c>
      <x:c r="N288" s="10" t="str"/>
      <x:c r="O288" s="9" t="str">
        <x:v>1. 来源（当前证据）：liveshow-proto/MainBasis/统一需求文档.md；位置：admin-inspection-schedule-create.html
2. 规则：BR-30283F4D949D37
3. 未动态验证</x:v>
      </x:c>
    </x:row>
  </x:sheetData>
  <x:dataValidations count="3">
    <x:dataValidation type="list" sqref="E2:E288">
      <x:formula1>"功能需求,业务流程,逻辑校验,异常用例"</x:formula1>
    </x:dataValidation>
    <x:dataValidation type="list" sqref="F2:F288">
      <x:formula1>"P0,P1,P2,P3"</x:formula1>
    </x:dataValidation>
    <x:dataValidation type="list" sqref="M2:M288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0ab08ebc3d4ee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20" hidden="0" customWidth="1"/>
    <x:col min="5" max="5" width="11" hidden="0" customWidth="1"/>
    <x:col min="6" max="6" width="12" hidden="0" customWidth="1"/>
    <x:col min="7" max="7" width="28" hidden="0" customWidth="1"/>
    <x:col min="8" max="8" width="18" hidden="0" customWidth="1"/>
    <x:col min="9" max="9" width="34" hidden="0" customWidth="1"/>
    <x:col min="10" max="10" width="45" hidden="0" customWidth="1"/>
    <x:col min="11" max="11" width="36" hidden="0" customWidth="1"/>
    <x:col min="12" max="12" width="12" hidden="0" customWidth="1"/>
    <x:col min="13" max="13" width="24" hidden="0" customWidth="1"/>
    <x:col min="14" max="14" width="34" hidden="0" customWidth="1"/>
    <x:col min="15" max="15" width="30" hidden="0" customWidth="1"/>
    <x:col min="16" max="16" width="20" hidden="0" customWidth="1"/>
    <x:col min="17" max="17" width="30" hidden="0" customWidth="1"/>
    <x:col min="18" max="18" width="12" hidden="0" customWidth="1"/>
    <x:col min="19" max="19" width="21" hidden="0" customWidth="1"/>
    <x:col min="20" max="20" width="12" hidden="0" customWidth="1"/>
  </x:cols>
  <x:sheetData>
    <x:row r="1" ht="34" customHeight="1">
      <x:c r="A1" s="11" t="str">
        <x:v>问题编号</x:v>
      </x:c>
      <x:c r="B1" s="11" t="str">
        <x:v>需求组编号</x:v>
      </x:c>
      <x:c r="C1" s="11" t="str">
        <x:v>父问题编号</x:v>
      </x:c>
      <x:c r="D1" s="11" t="str">
        <x:v>追问触发条件</x:v>
      </x:c>
      <x:c r="E1" s="11" t="str">
        <x:v>阻塞等级</x:v>
      </x:c>
      <x:c r="F1" s="11" t="str">
        <x:v>功能模块</x:v>
      </x:c>
      <x:c r="G1" s="11" t="str">
        <x:v>具体场景</x:v>
      </x:c>
      <x:c r="H1" s="11" t="str">
        <x:v>问题分类</x:v>
      </x:c>
      <x:c r="I1" s="11" t="str">
        <x:v>待决策问题</x:v>
      </x:c>
      <x:c r="J1" s="11" t="str">
        <x:v>可选方案</x:v>
      </x:c>
      <x:c r="K1" s="11" t="str">
        <x:v>测试建议</x:v>
      </x:c>
      <x:c r="L1" s="11" t="str">
        <x:v>产品结论</x:v>
      </x:c>
      <x:c r="M1" s="11" t="str">
        <x:v>结论补充</x:v>
      </x:c>
      <x:c r="N1" s="11" t="str">
        <x:v>已知依据</x:v>
      </x:c>
      <x:c r="O1" s="11" t="str">
        <x:v>影响范围</x:v>
      </x:c>
      <x:c r="P1" s="11" t="str">
        <x:v>已有用例编号</x:v>
      </x:c>
      <x:c r="Q1" s="11" t="str">
        <x:v>确认后待补用例</x:v>
      </x:c>
      <x:c r="R1" s="11" t="str">
        <x:v>负责人</x:v>
      </x:c>
      <x:c r="S1" s="11" t="str">
        <x:v>期望确认时间</x:v>
      </x:c>
      <x:c r="T1" s="11" t="str">
        <x:v>确认状态</x:v>
      </x:c>
    </x:row>
    <x:row r="2" ht="85" customHeight="1">
      <x:c r="A2" s="10" t="str">
        <x:v>Q-002</x:v>
      </x:c>
      <x:c r="B2" s="10" t="str">
        <x:v>RQ-002</x:v>
      </x:c>
      <x:c r="C2" s="10" t="str"/>
      <x:c r="D2" s="10" t="str"/>
      <x:c r="E2" s="10" t="str">
        <x:v>部分阻塞</x:v>
      </x:c>
      <x:c r="F2" s="10" t="str">
        <x:v>首页与发现</x:v>
      </x:c>
      <x:c r="G2" s="9" t="str">
        <x:v>成功邀请新用户后发放奖励</x:v>
      </x:c>
      <x:c r="H2" s="9" t="str">
        <x:v>业务规则</x:v>
      </x:c>
      <x:c r="I2" s="9" t="str">
        <x:v>邀请金币金额按固定值还是后台配置？</x:v>
      </x:c>
      <x:c r="J2" s="9" t="str">
        <x:v>A. 每次成功邀请固定发放 10 金币，变更不追溯已完成邀请
B. 按邀请成功时后台生效配置发放，保存金额快照，变更不追溯已完成邀请</x:v>
      </x:c>
      <x:c r="K2" s="9" t="str">
        <x:v>仅隔离“成功邀请新用户后发放奖励”中由本问题决定的预期；确认后分别检查所选方案的正向和拒绝分支</x:v>
      </x:c>
      <x:c r="L2" s="12" t="str"/>
      <x:c r="M2" s="12" t="str"/>
      <x:c r="N2" s="10" t="str">
        <x:v>1. liveshow-proto/MainBasis/需求待确认清单.md / Q-002
2. 邀请好友批注写每人 10 金币；福利卡片写取后台配置，后台任务支持邀请动作。</x:v>
      </x:c>
      <x:c r="O2" s="9" t="str">
        <x:v>1. 用户App、管理后台
2. 成功邀请新用户后发放奖励</x:v>
      </x:c>
      <x:c r="P2" s="9" t="str"/>
      <x:c r="Q2" s="9" t="str">
        <x:v>1. 验证成功邀请新用户后发放奖励按产品所选方案执行
2. 验证不满足所选方案条件时的拒绝或保留状态</x:v>
      </x:c>
      <x:c r="R2" s="9" t="str">
        <x:v>产品</x:v>
      </x:c>
      <x:c r="S2" s="9" t="str">
        <x:v>该规则进入功能测试前</x:v>
      </x:c>
      <x:c r="T2" s="9" t="str">
        <x:v>待确认</x:v>
      </x:c>
    </x:row>
    <x:row r="3" ht="85" customHeight="1">
      <x:c r="A3" s="10" t="str">
        <x:v>Q-003</x:v>
      </x:c>
      <x:c r="B3" s="10" t="str">
        <x:v>RQ-003</x:v>
      </x:c>
      <x:c r="C3" s="10" t="str"/>
      <x:c r="D3" s="10" t="str"/>
      <x:c r="E3" s="10" t="str">
        <x:v>部分阻塞</x:v>
      </x:c>
      <x:c r="F3" s="10" t="str">
        <x:v>运营配置</x:v>
      </x:c>
      <x:c r="G3" s="9" t="str">
        <x:v>消费或收礼后计算账号等级</x:v>
      </x:c>
      <x:c r="H3" s="9" t="str">
        <x:v>计算与统计口径</x:v>
      </x:c>
      <x:c r="I3" s="9" t="str">
        <x:v>财富等级的累计值按哪种口径？</x:v>
      </x:c>
      <x:c r="J3" s="9" t="str">
        <x:v>A. 仅累计真实金币成功送礼价值，不扣幸运返奖，不因充值退款回退
B. 仅累计真实金币送礼净消耗，扣幸运返奖，不因充值退款回退</x:v>
      </x:c>
      <x:c r="K3" s="9" t="str">
        <x:v>仅隔离“消费或收礼后计算账号等级”中由本问题决定的预期；确认后分别检查所选方案的正向和拒绝分支</x:v>
      </x:c>
      <x:c r="L3" s="12" t="str"/>
      <x:c r="M3" s="12" t="str"/>
      <x:c r="N3" s="10" t="str">
        <x:v>1. liveshow-proto/MainBasis/需求待确认清单.md / Q-003
2. 财富等级相关页面写有效消费、累计充值/消费、送礼贡献，等级配置明确计入范围待确认。</x:v>
      </x:c>
      <x:c r="O3" s="9" t="str">
        <x:v>1. 用户App、公会App、管理后台
2. 消费或收礼后计算账号等级</x:v>
      </x:c>
      <x:c r="P3" s="9" t="str"/>
      <x:c r="Q3" s="9" t="str">
        <x:v>1. 验证消费或收礼后计算账号等级按产品所选方案执行
2. 验证不满足所选方案条件时的拒绝或保留状态</x:v>
      </x:c>
      <x:c r="R3" s="9" t="str">
        <x:v>产品</x:v>
      </x:c>
      <x:c r="S3" s="9" t="str">
        <x:v>该规则进入功能测试前</x:v>
      </x:c>
      <x:c r="T3" s="9" t="str">
        <x:v>待确认</x:v>
      </x:c>
    </x:row>
    <x:row r="4" ht="70" customHeight="1">
      <x:c r="A4" s="10" t="str">
        <x:v>Q-004</x:v>
      </x:c>
      <x:c r="B4" s="10" t="str">
        <x:v>RQ-004</x:v>
      </x:c>
      <x:c r="C4" s="10" t="str"/>
      <x:c r="D4" s="10" t="str"/>
      <x:c r="E4" s="10" t="str">
        <x:v>部分阻塞</x:v>
      </x:c>
      <x:c r="F4" s="10" t="str">
        <x:v>礼物与道具</x:v>
      </x:c>
      <x:c r="G4" s="9" t="str">
        <x:v>管理员切换道具类型</x:v>
      </x:c>
      <x:c r="H4" s="9" t="str">
        <x:v>需求范围</x:v>
      </x:c>
      <x:c r="I4" s="9" t="str">
        <x:v>本期预置道具类型采用哪一组？</x:v>
      </x:c>
      <x:c r="J4" s="9" t="str">
        <x:v>A. 仅勋章、气泡、头像框，其他类型通过自定义创建
B. 灯牌、头衔、勋章、座驾、气泡、头像框均为预置类型</x:v>
      </x:c>
      <x:c r="K4" s="9" t="str">
        <x:v>仅隔离“管理员切换道具类型”中由本问题决定的预期；确认后分别检查所选方案的正向和拒绝分支</x:v>
      </x:c>
      <x:c r="L4" s="12" t="str"/>
      <x:c r="M4" s="12" t="str"/>
      <x:c r="N4" s="10" t="str">
        <x:v>1. liveshow-proto/MainBasis/需求待确认清单.md / Q-004
2. 结构化批注列三类；公共批注列六类。</x:v>
      </x:c>
      <x:c r="O4" s="9" t="str">
        <x:v>1. 管理后台
2. 管理员切换道具类型</x:v>
      </x:c>
      <x:c r="P4" s="9" t="str"/>
      <x:c r="Q4" s="9" t="str">
        <x:v>1. 验证管理员切换道具类型按产品所选方案执行
2. 验证不满足所选方案条件时的拒绝或保留状态</x:v>
      </x:c>
      <x:c r="R4" s="9" t="str">
        <x:v>产品</x:v>
      </x:c>
      <x:c r="S4" s="9" t="str">
        <x:v>该规则进入功能测试前</x:v>
      </x:c>
      <x:c r="T4" s="9" t="str">
        <x:v>待确认</x:v>
      </x:c>
    </x:row>
    <x:row r="5" ht="100" customHeight="1">
      <x:c r="A5" s="10" t="str">
        <x:v>Q-005</x:v>
      </x:c>
      <x:c r="B5" s="10" t="str">
        <x:v>RQ-005</x:v>
      </x:c>
      <x:c r="C5" s="10" t="str"/>
      <x:c r="D5" s="10" t="str"/>
      <x:c r="E5" s="10" t="str">
        <x:v>部分阻塞</x:v>
      </x:c>
      <x:c r="F5" s="10" t="str">
        <x:v>运营账号</x:v>
      </x:c>
      <x:c r="G5" s="9" t="str">
        <x:v>平台查看运营账号主页</x:v>
      </x:c>
      <x:c r="H5" s="9" t="str">
        <x:v>角色与权限</x:v>
      </x:c>
      <x:c r="I5" s="9" t="str">
        <x:v>平台是否可以编辑运营账号资料或重置密码？</x:v>
      </x:c>
      <x:c r="J5" s="9" t="str">
        <x:v>A. 平台只读资料，不可编辑或重置密码；由所属公会管理
B. 平台可编辑资料和重置密码，公会仍可管理；不提供平台创建或发币</x:v>
      </x:c>
      <x:c r="K5" s="9" t="str">
        <x:v>仅隔离“平台查看运营账号主页”中由本问题决定的预期；确认后分别检查所选方案的正向和拒绝分支</x:v>
      </x:c>
      <x:c r="L5" s="12" t="str"/>
      <x:c r="M5" s="12" t="str"/>
      <x:c r="N5" s="10" t="str">
        <x:v>1. liveshow-proto/MainBasis/需求待确认清单.md / Q-005
2. 公共批注支持编辑与重置；结构化批注将编辑资料和重置密码归于公会；系统概要只明确平台可启停、不创建、不发币。</x:v>
      </x:c>
      <x:c r="O5" s="9" t="str">
        <x:v>1. 管理后台
2. 平台查看运营账号主页</x:v>
      </x:c>
      <x:c r="P5" s="9" t="str"/>
      <x:c r="Q5" s="9" t="str">
        <x:v>1. 验证平台查看运营账号主页按产品所选方案执行
2. 验证不满足所选方案条件时的拒绝或保留状态</x:v>
      </x:c>
      <x:c r="R5" s="9" t="str">
        <x:v>产品</x:v>
      </x:c>
      <x:c r="S5" s="9" t="str">
        <x:v>该规则进入功能测试前</x:v>
      </x:c>
      <x:c r="T5" s="9" t="str">
        <x:v>待确认</x:v>
      </x:c>
    </x:row>
    <x:row r="6" ht="85" customHeight="1">
      <x:c r="A6" s="10" t="str">
        <x:v>Q-008</x:v>
      </x:c>
      <x:c r="B6" s="10" t="str">
        <x:v>RQ-008</x:v>
      </x:c>
      <x:c r="C6" s="10" t="str"/>
      <x:c r="D6" s="10" t="str"/>
      <x:c r="E6" s="10" t="str">
        <x:v>部分阻塞</x:v>
      </x:c>
      <x:c r="F6" s="10" t="str">
        <x:v>数据与收益</x:v>
      </x:c>
      <x:c r="G6" s="9" t="str">
        <x:v>任务重置、月度额度和自然日报表跨日</x:v>
      </x:c>
      <x:c r="H6" s="9" t="str">
        <x:v>计算与统计口径</x:v>
      </x:c>
      <x:c r="I6" s="9" t="str">
        <x:v>统一业务日界线使用哪个时区？</x:v>
      </x:c>
      <x:c r="J6" s="9" t="str">
        <x:v>A. 统一 Asia/Jakarta（UTC+7）
B. 统一 Asia/Shanghai（UTC+8）</x:v>
      </x:c>
      <x:c r="K6" s="9" t="str">
        <x:v>仅隔离“任务重置、月度额度和自然日报表跨日”中由本问题决定的预期；确认后分别检查所选方案的正向和拒绝分支</x:v>
      </x:c>
      <x:c r="L6" s="12" t="str"/>
      <x:c r="M6" s="12" t="str"/>
      <x:c r="N6" s="10" t="str">
        <x:v>1. liveshow-proto/MainBasis/需求待确认清单.md / Q-008
2. 多处使用平台统一时区或自然日，未指定时区；榜单周一零点已明确。</x:v>
      </x:c>
      <x:c r="O6" s="9" t="str">
        <x:v>1. 用户App、公会App、管理后台
2. 任务重置、月度额度和自然日报表跨日</x:v>
      </x:c>
      <x:c r="P6" s="9" t="str"/>
      <x:c r="Q6" s="9" t="str">
        <x:v>1. 验证任务重置、月度额度和自然日报表跨日按产品所选方案执行
2. 验证不满足所选方案条件时的拒绝或保留状态</x:v>
      </x:c>
      <x:c r="R6" s="9" t="str">
        <x:v>多方确认</x:v>
      </x:c>
      <x:c r="S6" s="9" t="str">
        <x:v>该规则进入功能测试前</x:v>
      </x:c>
      <x:c r="T6" s="9" t="str">
        <x:v>待确认</x:v>
      </x:c>
    </x:row>
    <x:row r="7" ht="85" customHeight="1">
      <x:c r="A7" s="10" t="str">
        <x:v>Q-009</x:v>
      </x:c>
      <x:c r="B7" s="10" t="str">
        <x:v>RQ-009</x:v>
      </x:c>
      <x:c r="C7" s="10" t="str"/>
      <x:c r="D7" s="10" t="str"/>
      <x:c r="E7" s="10" t="str">
        <x:v>部分阻塞</x:v>
      </x:c>
      <x:c r="F7" s="10" t="str">
        <x:v>首页与发现</x:v>
      </x:c>
      <x:c r="G7" s="9" t="str">
        <x:v>每周任务进入新周期</x:v>
      </x:c>
      <x:c r="H7" s="9" t="str">
        <x:v>流程与状态</x:v>
      </x:c>
      <x:c r="I7" s="9" t="str">
        <x:v>每周任务从哪一天开始？</x:v>
      </x:c>
      <x:c r="J7" s="9" t="str">
        <x:v>A. 业务时区周一 00:00 开始
B. 业务时区周日 00:00 开始</x:v>
      </x:c>
      <x:c r="K7" s="9" t="str">
        <x:v>仅隔离“每周任务进入新周期”中由本问题决定的预期；确认后分别检查所选方案的正向和拒绝分支</x:v>
      </x:c>
      <x:c r="L7" s="12" t="str"/>
      <x:c r="M7" s="12" t="str"/>
      <x:c r="N7" s="10" t="str">
        <x:v>1. liveshow-proto/MainBasis/需求待确认清单.md / Q-009
2. 榜单已明确周一；任务批注明确周起始日待确认，不能直接套用榜单规则。</x:v>
      </x:c>
      <x:c r="O7" s="9" t="str">
        <x:v>1. 用户App、管理后台
2. 每周任务进入新周期</x:v>
      </x:c>
      <x:c r="P7" s="9" t="str"/>
      <x:c r="Q7" s="9" t="str">
        <x:v>1. 验证每周任务进入新周期按产品所选方案执行
2. 验证不满足所选方案条件时的拒绝或保留状态</x:v>
      </x:c>
      <x:c r="R7" s="9" t="str">
        <x:v>产品</x:v>
      </x:c>
      <x:c r="S7" s="9" t="str">
        <x:v>该规则进入功能测试前</x:v>
      </x:c>
      <x:c r="T7" s="9" t="str">
        <x:v>待确认</x:v>
      </x:c>
    </x:row>
    <x:row r="8" ht="85" customHeight="1">
      <x:c r="A8" s="10" t="str">
        <x:v>Q-010</x:v>
      </x:c>
      <x:c r="B8" s="10" t="str">
        <x:v>RQ-010</x:v>
      </x:c>
      <x:c r="C8" s="10" t="str"/>
      <x:c r="D8" s="10" t="str"/>
      <x:c r="E8" s="10" t="str">
        <x:v>部分阻塞</x:v>
      </x:c>
      <x:c r="F8" s="10" t="str">
        <x:v>首页与发现</x:v>
      </x:c>
      <x:c r="G8" s="9" t="str">
        <x:v>用户漏签后请求补签</x:v>
      </x:c>
      <x:c r="H8" s="9" t="str">
        <x:v>业务规则</x:v>
      </x:c>
      <x:c r="I8" s="9" t="str">
        <x:v>是否允许补签漏签日期？</x:v>
      </x:c>
      <x:c r="J8" s="9" t="str">
        <x:v>A. 不提供补签，漏签后重新从第 1 天手动签到
B. 允许补签前一个自然日，每日最多补签 1 次并按补签后连续天数发放该日奖励</x:v>
      </x:c>
      <x:c r="K8" s="9" t="str">
        <x:v>仅隔离“用户漏签后请求补签”中由本问题决定的预期；确认后分别检查所选方案的正向和拒绝分支</x:v>
      </x:c>
      <x:c r="L8" s="12" t="str"/>
      <x:c r="M8" s="12" t="str"/>
      <x:c r="N8" s="10" t="str">
        <x:v>1. liveshow-proto/MainBasis/需求待确认清单.md / Q-010
2. 签到批注明确是否支持补签待确认；普通断签重算和每日手动签到已明确。</x:v>
      </x:c>
      <x:c r="O8" s="9" t="str">
        <x:v>1. 用户App、管理后台
2. 用户漏签后请求补签</x:v>
      </x:c>
      <x:c r="P8" s="9" t="str"/>
      <x:c r="Q8" s="9" t="str">
        <x:v>1. 验证用户漏签后请求补签按产品所选方案执行
2. 验证不满足所选方案条件时的拒绝或保留状态</x:v>
      </x:c>
      <x:c r="R8" s="9" t="str">
        <x:v>产品</x:v>
      </x:c>
      <x:c r="S8" s="9" t="str">
        <x:v>该规则进入功能测试前</x:v>
      </x:c>
      <x:c r="T8" s="9" t="str">
        <x:v>待确认</x:v>
      </x:c>
    </x:row>
    <x:row r="9" ht="85" customHeight="1">
      <x:c r="A9" s="10" t="str">
        <x:v>Q-011</x:v>
      </x:c>
      <x:c r="B9" s="10" t="str">
        <x:v>RQ-011</x:v>
      </x:c>
      <x:c r="C9" s="10" t="str"/>
      <x:c r="D9" s="10" t="str"/>
      <x:c r="E9" s="10" t="str">
        <x:v>部分阻塞</x:v>
      </x:c>
      <x:c r="F9" s="10" t="str">
        <x:v>首页与发现</x:v>
      </x:c>
      <x:c r="G9" s="9" t="str">
        <x:v>任务已达标、奖励未到当日截止时间，后台停用任务</x:v>
      </x:c>
      <x:c r="H9" s="9" t="str">
        <x:v>配置和历史数据影响</x:v>
      </x:c>
      <x:c r="I9" s="9" t="str">
        <x:v>停用或到期后已达标未过期奖励是否仍可领取？</x:v>
      </x:c>
      <x:c r="J9" s="9" t="str">
        <x:v>A. 仍可领取至原当日截止时间，停用后不产生新进度
B. 停用或到期即失去未领取资格，已领取奖励不回收</x:v>
      </x:c>
      <x:c r="K9" s="9" t="str">
        <x:v>仅隔离“任务已达标、奖励未到当日截止时间，后台停用任务”中由本问题决定的预期；确认后分别检查所选方案的正向和拒绝分支</x:v>
      </x:c>
      <x:c r="L9" s="12" t="str"/>
      <x:c r="M9" s="12" t="str"/>
      <x:c r="N9" s="10" t="str">
        <x:v>1. liveshow-proto/MainBasis/需求待确认清单.md / Q-011
2. 任务只规定停用不回收已领、停止新进度；未领取权益批注明确待确认。</x:v>
      </x:c>
      <x:c r="O9" s="9" t="str">
        <x:v>1. 用户App、管理后台
2. 任务已达标、奖励未到当日截止时间，后台停用任务</x:v>
      </x:c>
      <x:c r="P9" s="9" t="str"/>
      <x:c r="Q9" s="9" t="str">
        <x:v>1. 验证任务已达标、奖励未到当日截止时间，后台停用任务按产品所选方案执行
2. 验证不满足所选方案条件时的拒绝或保留状态</x:v>
      </x:c>
      <x:c r="R9" s="9" t="str">
        <x:v>产品</x:v>
      </x:c>
      <x:c r="S9" s="9" t="str">
        <x:v>该规则进入功能测试前</x:v>
      </x:c>
      <x:c r="T9" s="9" t="str">
        <x:v>待确认</x:v>
      </x:c>
    </x:row>
    <x:row r="10" ht="70" customHeight="1">
      <x:c r="A10" s="10" t="str">
        <x:v>Q-012</x:v>
      </x:c>
      <x:c r="B10" s="10" t="str">
        <x:v>RQ-012</x:v>
      </x:c>
      <x:c r="C10" s="10" t="str"/>
      <x:c r="D10" s="10" t="str"/>
      <x:c r="E10" s="10" t="str">
        <x:v>部分阻塞</x:v>
      </x:c>
      <x:c r="F10" s="10" t="str">
        <x:v>首页与发现</x:v>
      </x:c>
      <x:c r="G10" s="9" t="str">
        <x:v>任务奖励在当日 23:59 领取</x:v>
      </x:c>
      <x:c r="H10" s="9" t="str">
        <x:v>流程与状态</x:v>
      </x:c>
      <x:c r="I10" s="9" t="str">
        <x:v>“23:59 之前”以哪个时间点为失效边界？</x:v>
      </x:c>
      <x:c r="J10" s="9" t="str">
        <x:v>A. 当日 23:59:00 起失效
B. 次日 00:00:00 起失效，即包含 23:59 整分钟</x:v>
      </x:c>
      <x:c r="K10" s="9" t="str">
        <x:v>仅隔离“任务奖励在当日 23:59 领取”中由本问题决定的预期；确认后分别检查所选方案的正向和拒绝分支</x:v>
      </x:c>
      <x:c r="L10" s="12" t="str"/>
      <x:c r="M10" s="12" t="str"/>
      <x:c r="N10" s="10" t="str">
        <x:v>1. liveshow-proto/MainBasis/需求待确认清单.md / Q-012
2. 奖励截止只精确到分钟，未定义最后一分钟的秒级处理。</x:v>
      </x:c>
      <x:c r="O10" s="9" t="str">
        <x:v>1. 用户App、管理后台
2. 任务奖励在当日 23:59 领取</x:v>
      </x:c>
      <x:c r="P10" s="9" t="str"/>
      <x:c r="Q10" s="9" t="str">
        <x:v>1. 验证任务奖励在当日 23:59 领取按产品所选方案执行
2. 验证不满足所选方案条件时的拒绝或保留状态</x:v>
      </x:c>
      <x:c r="R10" s="9" t="str">
        <x:v>产品</x:v>
      </x:c>
      <x:c r="S10" s="9" t="str">
        <x:v>该规则进入功能测试前</x:v>
      </x:c>
      <x:c r="T10" s="9" t="str">
        <x:v>待确认</x:v>
      </x:c>
    </x:row>
    <x:row r="11" ht="70" customHeight="1">
      <x:c r="A11" s="10" t="str">
        <x:v>Q-013</x:v>
      </x:c>
      <x:c r="B11" s="10" t="str">
        <x:v>RQ-013</x:v>
      </x:c>
      <x:c r="C11" s="10" t="str"/>
      <x:c r="D11" s="10" t="str"/>
      <x:c r="E11" s="10" t="str">
        <x:v>部分阻塞</x:v>
      </x:c>
      <x:c r="F11" s="10" t="str">
        <x:v>系统配置</x:v>
      </x:c>
      <x:c r="G11" s="9" t="str">
        <x:v>新建或重置后台账号密码</x:v>
      </x:c>
      <x:c r="H11" s="9" t="str">
        <x:v>字段与数据校验</x:v>
      </x:c>
      <x:c r="I11" s="9" t="str">
        <x:v>后台密码采用哪种长度与字符规则？</x:v>
      </x:c>
      <x:c r="J11" s="9" t="str">
        <x:v>A. 8—32 位，至少包含字母与数字
B. 12—64 位，至少包含大小写字母、数字和符号</x:v>
      </x:c>
      <x:c r="K11" s="9" t="str">
        <x:v>仅隔离“新建或重置后台账号密码”中由本问题决定的预期；确认后分别检查所选方案的正向和拒绝分支</x:v>
      </x:c>
      <x:c r="L11" s="12" t="str"/>
      <x:c r="M11" s="12" t="str"/>
      <x:c r="N11" s="10" t="str">
        <x:v>1. liveshow-proto/MainBasis/需求待确认清单.md / Q-013
2. 当前批注要求符合密码策略，但没有策略值。</x:v>
      </x:c>
      <x:c r="O11" s="9" t="str">
        <x:v>1. 管理后台
2. 新建或重置后台账号密码</x:v>
      </x:c>
      <x:c r="P11" s="9" t="str"/>
      <x:c r="Q11" s="9" t="str">
        <x:v>1. 验证新建或重置后台账号密码按产品所选方案执行
2. 验证不满足所选方案条件时的拒绝或保留状态</x:v>
      </x:c>
      <x:c r="R11" s="9" t="str">
        <x:v>产品</x:v>
      </x:c>
      <x:c r="S11" s="9" t="str">
        <x:v>该规则进入功能测试前</x:v>
      </x:c>
      <x:c r="T11" s="9" t="str">
        <x:v>待确认</x:v>
      </x:c>
    </x:row>
    <x:row r="12" ht="85" customHeight="1">
      <x:c r="A12" s="10" t="str">
        <x:v>Q-014</x:v>
      </x:c>
      <x:c r="B12" s="10" t="str">
        <x:v>RQ-014</x:v>
      </x:c>
      <x:c r="C12" s="10" t="str"/>
      <x:c r="D12" s="10" t="str"/>
      <x:c r="E12" s="10" t="str">
        <x:v>部分阻塞</x:v>
      </x:c>
      <x:c r="F12" s="10" t="str">
        <x:v>主播管理</x:v>
      </x:c>
      <x:c r="G12" s="9" t="str">
        <x:v>管理员处置直播</x:v>
      </x:c>
      <x:c r="H12" s="9" t="str">
        <x:v>需求范围</x:v>
      </x:c>
      <x:c r="I12" s="9" t="str">
        <x:v>是否提供不结束场次的独立断流操作？</x:v>
      </x:c>
      <x:c r="J12" s="9" t="str">
        <x:v>A. 不提供独立断流，终止直播统一结束本场
B. 提供独立断流，保持场次并允许原主播恢复推流</x:v>
      </x:c>
      <x:c r="K12" s="9" t="str">
        <x:v>仅隔离“管理员处置直播”中由本问题决定的预期；确认后分别检查所选方案的正向和拒绝分支</x:v>
      </x:c>
      <x:c r="L12" s="12" t="str"/>
      <x:c r="M12" s="12" t="str"/>
      <x:c r="N12" s="10" t="str">
        <x:v>1. liveshow-proto/MainBasis/需求待确认清单.md / Q-014
2. 系统概要核心能力提到断流，详细状态及现有场次页未定义独立动作和恢复。</x:v>
      </x:c>
      <x:c r="O12" s="9" t="str">
        <x:v>1. 管理后台
2. 管理员处置直播</x:v>
      </x:c>
      <x:c r="P12" s="9" t="str"/>
      <x:c r="Q12" s="9" t="str">
        <x:v>1. 验证管理员处置直播按产品所选方案执行
2. 验证不满足所选方案条件时的拒绝或保留状态</x:v>
      </x:c>
      <x:c r="R12" s="9" t="str">
        <x:v>产品</x:v>
      </x:c>
      <x:c r="S12" s="9" t="str">
        <x:v>该规则进入功能测试前</x:v>
      </x:c>
      <x:c r="T12" s="9" t="str">
        <x:v>待确认</x:v>
      </x:c>
    </x:row>
    <x:row r="13" ht="85" customHeight="1">
      <x:c r="A13" s="10" t="str">
        <x:v>Q-035</x:v>
      </x:c>
      <x:c r="B13" s="10" t="str">
        <x:v>RQ-035</x:v>
      </x:c>
      <x:c r="C13" s="10" t="str"/>
      <x:c r="D13" s="10" t="str"/>
      <x:c r="E13" s="10" t="str">
        <x:v>部分阻塞</x:v>
      </x:c>
      <x:c r="F13" s="10" t="str">
        <x:v>运营配置</x:v>
      </x:c>
      <x:c r="G13" s="9" t="str">
        <x:v>单次累计增长跨过两个等级门槛</x:v>
      </x:c>
      <x:c r="H13" s="9" t="str">
        <x:v>计算与统计口径</x:v>
      </x:c>
      <x:c r="I13" s="9" t="str">
        <x:v>单次累计增长跨档时如何升级？</x:v>
      </x:c>
      <x:c r="J13" s="9" t="str">
        <x:v>A. 本次直接升至已达到门槛中的最高等级
B. 每次有效增长事件最多升一级，尚未完成的跨级等下次有效事件继续判定</x:v>
      </x:c>
      <x:c r="K13" s="9" t="str">
        <x:v>仅隔离“单次累计增长跨过两个等级门槛”中由本问题决定的预期；确认后分别检查所选方案的正向和拒绝分支</x:v>
      </x:c>
      <x:c r="L13" s="12" t="str"/>
      <x:c r="M13" s="12" t="str"/>
      <x:c r="N13" s="10" t="str">
        <x:v>1. liveshow-proto/MainBasis/需求待确认清单.md / Q-035
2. 等级配置明确“等级判定待确认”，不能由财富累计口径一个问题代替。</x:v>
      </x:c>
      <x:c r="O13" s="9" t="str">
        <x:v>1. 用户App、公会App、管理后台
2. 单次累计增长跨过两个等级门槛</x:v>
      </x:c>
      <x:c r="P13" s="9" t="str"/>
      <x:c r="Q13" s="9" t="str">
        <x:v>1. 验证单次累计增长跨过两个等级门槛按产品所选方案执行
2. 验证不满足所选方案条件时的拒绝或保留状态</x:v>
      </x:c>
      <x:c r="R13" s="9" t="str">
        <x:v>产品</x:v>
      </x:c>
      <x:c r="S13" s="9" t="str">
        <x:v>该规则进入功能测试前</x:v>
      </x:c>
      <x:c r="T13" s="9" t="str">
        <x:v>待确认</x:v>
      </x:c>
    </x:row>
    <x:row r="14" ht="70" customHeight="1">
      <x:c r="A14" s="10" t="str">
        <x:v>Q-036</x:v>
      </x:c>
      <x:c r="B14" s="10" t="str">
        <x:v>RQ-036</x:v>
      </x:c>
      <x:c r="C14" s="10" t="str"/>
      <x:c r="D14" s="10" t="str"/>
      <x:c r="E14" s="10" t="str">
        <x:v>部分阻塞</x:v>
      </x:c>
      <x:c r="F14" s="10" t="str">
        <x:v>运营配置</x:v>
      </x:c>
      <x:c r="G14" s="9" t="str">
        <x:v>保存等级门槛后已有用户等级变化</x:v>
      </x:c>
      <x:c r="H14" s="9" t="str">
        <x:v>配置和历史数据影响</x:v>
      </x:c>
      <x:c r="I14" s="9" t="str">
        <x:v>修改门槛后是否重算已有等级？</x:v>
      </x:c>
      <x:c r="J14" s="9" t="str">
        <x:v>A. 保存生效后按当前累计值重算全部已有等级，允许升降级
B. 不立即重算；下一次符合计入范围的事件发生后按新门槛重算该账号等级，允许升降级</x:v>
      </x:c>
      <x:c r="K14" s="9" t="str">
        <x:v>仅隔离“保存等级门槛后已有用户等级变化”中由本问题决定的预期；确认后分别检查所选方案的正向和拒绝分支</x:v>
      </x:c>
      <x:c r="L14" s="12" t="str"/>
      <x:c r="M14" s="12" t="str"/>
      <x:c r="N14" s="10" t="str">
        <x:v>1. liveshow-proto/MainBasis/需求待确认清单.md / Q-036
2. 等级配置明确“配置修改对已有等级的影响待确认”。</x:v>
      </x:c>
      <x:c r="O14" s="9" t="str">
        <x:v>1. 用户App、公会App、管理后台
2. 保存等级门槛后已有用户等级变化</x:v>
      </x:c>
      <x:c r="P14" s="9" t="str"/>
      <x:c r="Q14" s="9" t="str">
        <x:v>1. 验证保存等级门槛后已有用户等级变化按产品所选方案执行
2. 验证不满足所选方案条件时的拒绝或保留状态</x:v>
      </x:c>
      <x:c r="R14" s="9" t="str">
        <x:v>产品</x:v>
      </x:c>
      <x:c r="S14" s="9" t="str">
        <x:v>该规则进入功能测试前</x:v>
      </x:c>
      <x:c r="T14" s="9" t="str">
        <x:v>待确认</x:v>
      </x:c>
    </x:row>
    <x:row r="15" ht="85" customHeight="1">
      <x:c r="A15" s="10" t="str">
        <x:v>Q-037</x:v>
      </x:c>
      <x:c r="B15" s="10" t="str">
        <x:v>RQ-037</x:v>
      </x:c>
      <x:c r="C15" s="10" t="str"/>
      <x:c r="D15" s="10" t="str"/>
      <x:c r="E15" s="10" t="str">
        <x:v>部分阻塞</x:v>
      </x:c>
      <x:c r="F15" s="10" t="str">
        <x:v>运营配置</x:v>
      </x:c>
      <x:c r="G15" s="9" t="str">
        <x:v>主播收礼后的等级累计</x:v>
      </x:c>
      <x:c r="H15" s="9" t="str">
        <x:v>计算与统计口径</x:v>
      </x:c>
      <x:c r="I15" s="9" t="str">
        <x:v>主播等级累计采用哪种指标？</x:v>
      </x:c>
      <x:c r="J15" s="9" t="str">
        <x:v>A. 按真实金币主播收益累计，幸运礼物按赠送时比例，不含虚拟金币
B. 按真实金币成功收礼原价累计，幸运礼物不扣返奖，不含虚拟金币</x:v>
      </x:c>
      <x:c r="K15" s="9" t="str">
        <x:v>仅隔离“主播收礼后的等级累计”中由本问题决定的预期；确认后分别检查所选方案的正向和拒绝分支</x:v>
      </x:c>
      <x:c r="L15" s="12" t="str"/>
      <x:c r="M15" s="12" t="str"/>
      <x:c r="N15" s="10" t="str">
        <x:v>1. liveshow-proto/MainBasis/需求待确认清单.md / Q-037
2. 主播等级字段写收益数值，但现有说明同时出现累计收到贡献，具体计入范围明确待确认。</x:v>
      </x:c>
      <x:c r="O15" s="9" t="str">
        <x:v>1. 用户App、公会App、管理后台
2. 主播收礼后的等级累计</x:v>
      </x:c>
      <x:c r="P15" s="9" t="str"/>
      <x:c r="Q15" s="9" t="str">
        <x:v>1. 验证主播收礼后的等级累计按产品所选方案执行
2. 验证不满足所选方案条件时的拒绝或保留状态</x:v>
      </x:c>
      <x:c r="R15" s="9" t="str">
        <x:v>产品</x:v>
      </x:c>
      <x:c r="S15" s="9" t="str">
        <x:v>该规则进入功能测试前</x:v>
      </x:c>
      <x:c r="T15" s="9" t="str">
        <x:v>待确认</x:v>
      </x:c>
    </x:row>
  </x:sheetData>
  <x:dataValidations count="5">
    <x:dataValidation type="list" sqref="E2:E15">
      <x:formula1>"阻塞测试,部分阻塞,不阻塞"</x:formula1>
    </x:dataValidation>
    <x:dataValidation type="list" sqref="H2:H15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15">
      <x:formula1>"A,B,C,D,其他"</x:formula1>
    </x:dataValidation>
    <x:dataValidation type="list" sqref="R2:R15">
      <x:formula1>"产品,交互,技术,多方确认"</x:formula1>
    </x:dataValidation>
    <x:dataValidation type="list" sqref="T2:T15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6cd6ffa12604ba0"/>
  </x:tableParts>
</x:worksheet>
</file>