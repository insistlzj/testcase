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1b7e155db74e19" /></Relationships>
</file>

<file path=xl/workbook.xml><?xml version="1.0" encoding="utf-8"?>
<x:workbook xmlns:x="http://schemas.openxmlformats.org/spreadsheetml/2006/main">
  <x:sheets>
    <x:sheet xmlns:r="http://schemas.openxmlformats.org/officeDocument/2006/relationships" name="产品决策概览" sheetId="1" r:id="Ra39d2fbc875340a2"/>
    <x:sheet xmlns:r="http://schemas.openxmlformats.org/officeDocument/2006/relationships" name="功能测试用例" sheetId="2" r:id="R80b11cdfc9d5446b"/>
    <x:sheet xmlns:r="http://schemas.openxmlformats.org/officeDocument/2006/relationships" name="需求待确认" sheetId="3" r:id="R18f47c5b0ce641e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792d98bba4476e" /><Relationship Type="http://schemas.openxmlformats.org/officeDocument/2006/relationships/theme" Target="/xl/theme/theme1.xml" Id="Rb65b136153c1486e" /><Relationship Type="http://schemas.openxmlformats.org/officeDocument/2006/relationships/sharedStrings" Target="/xl/sharedStrings.xml" Id="R99a783b958844dcc" /><Relationship Type="http://schemas.openxmlformats.org/officeDocument/2006/relationships/worksheet" Target="/xl/worksheets/sheet1.xml" Id="Ra39d2fbc875340a2" /><Relationship Type="http://schemas.openxmlformats.org/officeDocument/2006/relationships/worksheet" Target="/xl/worksheets/sheet2.xml" Id="R80b11cdfc9d5446b" /><Relationship Type="http://schemas.openxmlformats.org/officeDocument/2006/relationships/worksheet" Target="/xl/worksheets/sheet3.xml" Id="R18f47c5b0ce641e8" /></Relationships>
</file>

<file path=xl/tables/table1.xml><?xml version="1.0" encoding="utf-8"?>
<x:table xmlns:x="http://schemas.openxmlformats.org/spreadsheetml/2006/main" id="1" name="AdminAllCases" displayName="AdminAllCases" ref="A1:O117" headerRowCount="1" totalsRowCount="0" totalsRowShown="0">
  <x:autoFilter ref="A1:O11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AdminAllPending" displayName="AdminAllPending" ref="A1:T71" headerRowCount="1" totalsRowCount="0" totalsRowShown="0">
  <x:autoFilter ref="A1:T71"/>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c6645fdc304a9c" /></Relationships>
</file>

<file path=xl/worksheets/_rels/sheet3.xml.rels>&#65279;<?xml version="1.0" encoding="utf-8"?><Relationships xmlns="http://schemas.openxmlformats.org/package/2006/relationships"><Relationship Type="http://schemas.openxmlformats.org/officeDocument/2006/relationships/table" Target="/xl/tables/table2.xml" Id="Rf2e9dd950e67494e"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管理后台-全部模块 产品决策概览</x:v>
      </x:c>
      <x:c r="B1" s="9"/>
      <x:c r="C1" s="9"/>
      <x:c r="D1" s="9"/>
      <x:c r="E1" s="9"/>
      <x:c r="F1" s="9"/>
      <x:c r="G1" s="9"/>
      <x:c r="H1" s="9"/>
    </x:row>
    <x:row r="2">
      <x:c r="A2" s="11" t="str">
        <x:v>MainBasis 需求基准；用例未执行；问题数量由明细实时汇总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COUNTA('需求待确认'!$A$2:$A$71)</x:f>
        <x:v>70</x:v>
      </x:c>
      <x:c r="C5" s="9"/>
      <x:c r="D5" s="12" t="str">
        <x:v>阻塞测试</x:v>
      </x:c>
      <x:c r="E5" s="12" t="n">
        <x:f>COUNTIFS('需求待确认'!$E$2:$E$71,"阻塞测试",'需求待确认'!$T$2:$T$71,"待确认")</x:f>
        <x:v>14</x:v>
      </x:c>
      <x:c r="F5" s="9"/>
      <x:c r="G5" s="12" t="str">
        <x:v>产品</x:v>
      </x:c>
      <x:c r="H5" s="12" t="n">
        <x:f>COUNTIFS('需求待确认'!$R$2:$R$71,"产品",'需求待确认'!$T$2:$T$71,"待确认")</x:f>
        <x:v>62</x:v>
      </x:c>
    </x:row>
    <x:row r="6">
      <x:c r="A6" s="12" t="str">
        <x:v>当前可回答</x:v>
      </x:c>
      <x:c r="B6" s="12" t="n">
        <x:f>COUNTIF('需求待确认'!$T$2:$T$71,"待确认")</x:f>
        <x:v>70</x:v>
      </x:c>
      <x:c r="C6" s="9"/>
      <x:c r="D6" s="12" t="str">
        <x:v>部分阻塞</x:v>
      </x:c>
      <x:c r="E6" s="12" t="n">
        <x:f>COUNTIFS('需求待确认'!$E$2:$E$71,"部分阻塞",'需求待确认'!$T$2:$T$71,"待确认")</x:f>
        <x:v>56</x:v>
      </x:c>
      <x:c r="F6" s="9"/>
      <x:c r="G6" s="12" t="str">
        <x:v>交互</x:v>
      </x:c>
      <x:c r="H6" s="12" t="n">
        <x:f>COUNTIFS('需求待确认'!$R$2:$R$71,"交互",'需求待确认'!$T$2:$T$71,"待确认")</x:f>
        <x:v>1</x:v>
      </x:c>
    </x:row>
    <x:row r="7">
      <x:c r="A7" s="12" t="str">
        <x:v>待前置结论</x:v>
      </x:c>
      <x:c r="B7" s="12" t="n">
        <x:f>COUNTIF('需求待确认'!$T$2:$T$71,"待前置结论")</x:f>
        <x:v>0</x:v>
      </x:c>
      <x:c r="C7" s="9"/>
      <x:c r="D7" s="12" t="str">
        <x:v>不阻塞</x:v>
      </x:c>
      <x:c r="E7" s="12" t="n">
        <x:f>COUNTIFS('需求待确认'!$E$2:$E$71,"不阻塞",'需求待确认'!$T$2:$T$71,"待确认")</x:f>
        <x:v>0</x:v>
      </x:c>
      <x:c r="F7" s="9"/>
      <x:c r="G7" s="12" t="str">
        <x:v>技术</x:v>
      </x:c>
      <x:c r="H7" s="12" t="n">
        <x:f>COUNTIFS('需求待确认'!$R$2:$R$71,"技术",'需求待确认'!$T$2:$T$71,"待确认")</x:f>
        <x:v>1</x:v>
      </x:c>
    </x:row>
    <x:row r="8">
      <x:c r="A8" s="12" t="str">
        <x:v>确认中</x:v>
      </x:c>
      <x:c r="B8" s="12" t="n">
        <x:f>COUNTIF('需求待确认'!$T$2:$T$71,"确认中")</x:f>
        <x:v>0</x:v>
      </x:c>
      <x:c r="C8" s="9"/>
      <x:c r="D8" s="9"/>
      <x:c r="E8" s="9"/>
      <x:c r="F8" s="9"/>
      <x:c r="G8" s="12" t="str">
        <x:v>多方确认</x:v>
      </x:c>
      <x:c r="H8" s="12" t="n">
        <x:f>COUNTIFS('需求待确认'!$R$2:$R$71,"多方确认",'需求待确认'!$T$2:$T$71,"待确认")</x:f>
        <x:v>6</x:v>
      </x:c>
    </x:row>
    <x:row r="9">
      <x:c r="A9" s="12" t="str">
        <x:v>已确认</x:v>
      </x:c>
      <x:c r="B9" s="12" t="n">
        <x:f>COUNTIF('需求待确认'!$T$2:$T$71,"已确认")</x:f>
        <x:v>0</x:v>
      </x:c>
      <x:c r="C9" s="9"/>
      <x:c r="D9" s="9"/>
      <x:c r="E9" s="9"/>
      <x:c r="F9" s="9"/>
      <x:c r="G9" s="9"/>
      <x:c r="H9" s="9"/>
    </x:row>
    <x:row r="10">
      <x:c r="A10" s="12" t="str">
        <x:v>无需处理</x:v>
      </x:c>
      <x:c r="B10" s="12" t="n">
        <x:f>COUNTIF('需求待确认'!$T$2:$T$71,"无需处理")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82" customHeight="1">
      <x:c r="A2" s="4" t="n">
        <x:v>1</x:v>
      </x:c>
      <x:c r="B2" s="4" t="str">
        <x:v>AMB-0001</x:v>
      </x:c>
      <x:c r="C2" s="4" t="str">
        <x:v>M04 粉丝团·房管与成长等级</x:v>
      </x:c>
      <x:c r="D2" s="4" t="str">
        <x:v>等级配置-55（平台管理员视角）</x:v>
      </x:c>
      <x:c r="E2" s="4" t="str">
        <x:v>异常用例</x:v>
      </x:c>
      <x:c r="F2" s="4" t="str">
        <x:v>P1</x:v>
      </x:c>
      <x:c r="G2" s="4" t="str">
        <x:v>验证平台管理员在等级配置-55的等级金币必填</x:v>
      </x:c>
      <x:c r="H2" s="4" t="str">
        <x:v>等级金币必填</x:v>
      </x:c>
      <x:c r="I2" s="4" t="str">
        <x:v>1. 执行身份为平台管理员
2. 其他等级数据及图片有效
3. 执行账号已登录
4. 当前账号已授予本页所用操作权限</x:v>
      </x:c>
      <x:c r="J2" s="4" t="str">
        <x:v>1. 进入等级配置页
2. 清空一个等级的金币数值
3. 点击保存</x:v>
      </x:c>
      <x:c r="K2" s="4" t="str">
        <x:v>该等级不能将空值按0保存</x:v>
      </x:c>
      <x:c r="L2" s="4" t="str"/>
      <x:c r="M2" s="4" t="str">
        <x:v>未测</x:v>
      </x:c>
      <x:c r="N2" s="4" t="str"/>
      <x:c r="O2" s="4" t="str">
        <x:v>1. 来源（当前证据）：MainBasis/统一需求文档.md；位置：A-admin-level-config-014，第3806行
2. 规则：BR-MB-CF8C4E0D8C79FF
3. 未动态验证</x:v>
      </x:c>
    </x:row>
    <x:row r="3" ht="96" customHeight="1">
      <x:c r="A3" s="4" t="n">
        <x:v>2</x:v>
      </x:c>
      <x:c r="B3" s="4" t="str">
        <x:v>AMB-0002</x:v>
      </x:c>
      <x:c r="C3" s="4" t="str">
        <x:v>M04 粉丝团·房管与成长等级</x:v>
      </x:c>
      <x:c r="D3" s="4" t="str">
        <x:v>等级配置-55（平台管理员视角）</x:v>
      </x:c>
      <x:c r="E3" s="4" t="str">
        <x:v>功能需求</x:v>
      </x:c>
      <x:c r="F3" s="4" t="str">
        <x:v>P1</x:v>
      </x:c>
      <x:c r="G3" s="4" t="str">
        <x:v>验证平台管理员在等级配置-55的等级门槛零值</x:v>
      </x:c>
      <x:c r="H3" s="4" t="str">
        <x:v>等级门槛零值</x:v>
      </x:c>
      <x:c r="I3" s="4" t="str">
        <x:v>1. 执行身份为平台管理员
2. 当前Tab仅有一档等级，且勋章图有效
3. 执行账号已登录
4. 当前账号已授予本页所用操作权限</x:v>
      </x:c>
      <x:c r="J3" s="4" t="str">
        <x:v>1. 进入等级配置页
2. 输入该等级金币数值0
3. 点击保存</x:v>
      </x:c>
      <x:c r="K3" s="4" t="str">
        <x:v>金币门槛0保存成功</x:v>
      </x:c>
      <x:c r="L3" s="4" t="str"/>
      <x:c r="M3" s="4" t="str">
        <x:v>未测</x:v>
      </x:c>
      <x:c r="N3" s="4" t="str"/>
      <x:c r="O3" s="4" t="str">
        <x:v>1. 来源（当前证据）：MainBasis/统一需求文档.md；位置：A-admin-level-config-014，第3806行
2. 规则：BR-MB-DF9D1707E1EFB6
3. 未动态验证</x:v>
      </x:c>
    </x:row>
    <x:row r="4" ht="82" customHeight="1">
      <x:c r="A4" s="4" t="n">
        <x:v>3</x:v>
      </x:c>
      <x:c r="B4" s="4" t="str">
        <x:v>AMB-0003</x:v>
      </x:c>
      <x:c r="C4" s="4" t="str">
        <x:v>M04 粉丝团·房管与成长等级</x:v>
      </x:c>
      <x:c r="D4" s="4" t="str">
        <x:v>等级配置-55（平台管理员视角）</x:v>
      </x:c>
      <x:c r="E4" s="4" t="str">
        <x:v>异常用例</x:v>
      </x:c>
      <x:c r="F4" s="4" t="str">
        <x:v>P1</x:v>
      </x:c>
      <x:c r="G4" s="4" t="str">
        <x:v>验证平台管理员在等级配置-55的等级门槛负数</x:v>
      </x:c>
      <x:c r="H4" s="4" t="str">
        <x:v>等级门槛负数</x:v>
      </x:c>
      <x:c r="I4" s="4" t="str">
        <x:v>1. 执行身份为平台管理员
2. 其他字段有效
3. 执行账号已登录
4. 当前账号已授予本页所用操作权限</x:v>
      </x:c>
      <x:c r="J4" s="4" t="str">
        <x:v>1. 进入等级配置页
2. 输入一个等级金币数值-1
3. 点击保存</x:v>
      </x:c>
      <x:c r="K4" s="4" t="str">
        <x:v>负数门槛不能保存</x:v>
      </x:c>
      <x:c r="L4" s="4" t="str"/>
      <x:c r="M4" s="4" t="str">
        <x:v>未测</x:v>
      </x:c>
      <x:c r="N4" s="4" t="str"/>
      <x:c r="O4" s="4" t="str">
        <x:v>1. 来源（当前证据）：MainBasis/统一需求文档.md；位置：A-admin-level-config-014，第3806行
2. 规则：BR-MB-C9BDEAEC0CA833
3. 未动态验证</x:v>
      </x:c>
    </x:row>
    <x:row r="5" ht="82" customHeight="1">
      <x:c r="A5" s="4" t="n">
        <x:v>4</x:v>
      </x:c>
      <x:c r="B5" s="4" t="str">
        <x:v>AMB-0004</x:v>
      </x:c>
      <x:c r="C5" s="4" t="str">
        <x:v>M04 粉丝团·房管与成长等级</x:v>
      </x:c>
      <x:c r="D5" s="4" t="str">
        <x:v>等级配置-55（平台管理员视角）</x:v>
      </x:c>
      <x:c r="E5" s="4" t="str">
        <x:v>功能需求</x:v>
      </x:c>
      <x:c r="F5" s="4" t="str">
        <x:v>P1</x:v>
      </x:c>
      <x:c r="G5" s="4" t="str">
        <x:v>验证平台管理员在等级配置-55的等级编号自动增加</x:v>
      </x:c>
      <x:c r="H5" s="4" t="str">
        <x:v>等级编号自动增加</x:v>
      </x:c>
      <x:c r="I5" s="4" t="str">
        <x:v>1. 执行身份为平台管理员
2. 当前Tab已有连续等级1至3
3. 执行账号已登录
4. 当前账号已授予本页所用操作权限</x:v>
      </x:c>
      <x:c r="J5" s="4" t="str">
        <x:v>1. 进入等级配置页
2. 点击新增等级</x:v>
      </x:c>
      <x:c r="K5" s="4" t="str">
        <x:v>新等级编号为4</x:v>
      </x:c>
      <x:c r="L5" s="4" t="str"/>
      <x:c r="M5" s="4" t="str">
        <x:v>未测</x:v>
      </x:c>
      <x:c r="N5" s="4" t="str"/>
      <x:c r="O5" s="4" t="str">
        <x:v>1. 来源（当前证据）：MainBasis/统一需求文档.md；位置：A-admin-level-config-015，第3810行
2. 规则：BR-MB-3D8358AF6BA305
3. 未动态验证</x:v>
      </x:c>
    </x:row>
    <x:row r="6" ht="96" customHeight="1">
      <x:c r="A6" s="4" t="n">
        <x:v>5</x:v>
      </x:c>
      <x:c r="B6" s="4" t="str">
        <x:v>AMB-0005</x:v>
      </x:c>
      <x:c r="C6" s="4" t="str">
        <x:v>M04 粉丝团·房管与成长等级</x:v>
      </x:c>
      <x:c r="D6" s="4" t="str">
        <x:v>等级配置-55（平台管理员视角）</x:v>
      </x:c>
      <x:c r="E6" s="4" t="str">
        <x:v>功能需求</x:v>
      </x:c>
      <x:c r="F6" s="4" t="str">
        <x:v>P2</x:v>
      </x:c>
      <x:c r="G6" s="4" t="str">
        <x:v>验证平台管理员在等级配置-55的等级勋章必填</x:v>
      </x:c>
      <x:c r="H6" s="4" t="str">
        <x:v>等级勋章必填</x:v>
      </x:c>
      <x:c r="I6" s="4" t="str">
        <x:v>1. 执行身份为平台管理员
2. 当前Tab有一档未上传勋章图
3. 金币门槛有效
4. 执行账号已登录
5. 当前账号已授予本页所用操作权限</x:v>
      </x:c>
      <x:c r="J6" s="4" t="str">
        <x:v>1. 进入等级配置页
2. 点击保存</x:v>
      </x:c>
      <x:c r="K6" s="4" t="str">
        <x:v>提示缺少勋章图的对应等级</x:v>
      </x:c>
      <x:c r="L6" s="4" t="str"/>
      <x:c r="M6" s="4" t="str">
        <x:v>未测</x:v>
      </x:c>
      <x:c r="N6" s="4" t="str"/>
      <x:c r="O6" s="4" t="str">
        <x:v>1. 来源（当前证据）：MainBasis/统一需求文档.md；位置：A-admin-level-config-017，第3820行
2. 规则：BR-MB-464EA0CBDF51B7
3. 未动态验证</x:v>
      </x:c>
    </x:row>
    <x:row r="7" ht="110" customHeight="1">
      <x:c r="A7" s="4" t="n">
        <x:v>6</x:v>
      </x:c>
      <x:c r="B7" s="4" t="str">
        <x:v>AMB-0006</x:v>
      </x:c>
      <x:c r="C7" s="4" t="str">
        <x:v>M04 粉丝团·房管与成长等级</x:v>
      </x:c>
      <x:c r="D7" s="4" t="str">
        <x:v>等级配置-55（平台管理员视角）</x:v>
      </x:c>
      <x:c r="E7" s="4" t="str">
        <x:v>功能需求</x:v>
      </x:c>
      <x:c r="F7" s="4" t="str">
        <x:v>P1</x:v>
      </x:c>
      <x:c r="G7" s="4" t="str">
        <x:v>验证平台管理员在等级配置-55的等级分Tab保存</x:v>
      </x:c>
      <x:c r="H7" s="4" t="str">
        <x:v>等级分Tab保存</x:v>
      </x:c>
      <x:c r="I7" s="4" t="str">
        <x:v>1. 执行身份为平台管理员
2. 财富等级与主播等级均有未保存修改
3. 财富等级数据有效
4. 执行账号已登录
5. 当前账号已授予本页所用操作权限</x:v>
      </x:c>
      <x:c r="J7" s="4" t="str">
        <x:v>1. 切换财富等级Tab
2. 点击保存
3. 切换主播等级Tab</x:v>
      </x:c>
      <x:c r="K7" s="4" t="str">
        <x:v>主播等级未保存输入仍保留</x:v>
      </x:c>
      <x:c r="L7" s="4" t="str"/>
      <x:c r="M7" s="4" t="str">
        <x:v>未测</x:v>
      </x:c>
      <x:c r="N7" s="4" t="str"/>
      <x:c r="O7" s="4" t="str">
        <x:v>1. 来源（当前证据）：MainBasis/统一需求文档.md；位置：A-admin-level-config-016，第3814行
2. 规则：BR-MB-D59208E42EB0EB
3. 未动态验证</x:v>
      </x:c>
    </x:row>
    <x:row r="8" ht="82" customHeight="1">
      <x:c r="A8" s="4" t="n">
        <x:v>7</x:v>
      </x:c>
      <x:c r="B8" s="4" t="str">
        <x:v>AMB-0007</x:v>
      </x:c>
      <x:c r="C8" s="4" t="str">
        <x:v>M04 粉丝团·房管与成长等级</x:v>
      </x:c>
      <x:c r="D8" s="4" t="str">
        <x:v>等级配置-55（平台管理员视角）</x:v>
      </x:c>
      <x:c r="E8" s="4" t="str">
        <x:v>功能需求</x:v>
      </x:c>
      <x:c r="F8" s="4" t="str">
        <x:v>P1</x:v>
      </x:c>
      <x:c r="G8" s="4" t="str">
        <x:v>验证平台管理员在等级配置-55的等级编号只读</x:v>
      </x:c>
      <x:c r="H8" s="4" t="str">
        <x:v>等级编号只读</x:v>
      </x:c>
      <x:c r="I8" s="4" t="str">
        <x:v>1. 执行身份为平台管理员
2. 当前存在等级配置
3. 执行账号已登录
4. 当前账号已授予本页所用操作权限</x:v>
      </x:c>
      <x:c r="J8" s="4" t="str">
        <x:v>1. 进入等级配置</x:v>
      </x:c>
      <x:c r="K8" s="4" t="str">
        <x:v>不提供手动修改等级编号的操作</x:v>
      </x:c>
      <x:c r="L8" s="4" t="str"/>
      <x:c r="M8" s="4" t="str">
        <x:v>未测</x:v>
      </x:c>
      <x:c r="N8" s="4" t="str"/>
      <x:c r="O8" s="4" t="str">
        <x:v>1. 来源（当前证据）：MainBasis/统一需求文档.md；位置：A-admin-level-config-011，第3792行
2. 规则：BR-MB-AE36BAF20B99EE
3. 未动态验证</x:v>
      </x:c>
    </x:row>
    <x:row r="9" ht="96" customHeight="1">
      <x:c r="A9" s="4" t="n">
        <x:v>8</x:v>
      </x:c>
      <x:c r="B9" s="4" t="str">
        <x:v>AMB-0008</x:v>
      </x:c>
      <x:c r="C9" s="4" t="str">
        <x:v>M04 粉丝团·房管与成长等级</x:v>
      </x:c>
      <x:c r="D9" s="4" t="str">
        <x:v>等级配置-55（平台管理员视角）</x:v>
      </x:c>
      <x:c r="E9" s="4" t="str">
        <x:v>功能需求</x:v>
      </x:c>
      <x:c r="F9" s="4" t="str">
        <x:v>P2</x:v>
      </x:c>
      <x:c r="G9" s="4" t="str">
        <x:v>验证平台管理员在等级配置-55的损坏勋章资源</x:v>
      </x:c>
      <x:c r="H9" s="4" t="str">
        <x:v>损坏勋章资源</x:v>
      </x:c>
      <x:c r="I9" s="4" t="str">
        <x:v>1. 执行身份为平台管理员
2. 某等级已有有效勋章图
3. 另备一张无法解码的图片文件
4. 执行账号已登录
5. 当前账号已授予本页所用操作权限</x:v>
      </x:c>
      <x:c r="J9" s="4" t="str">
        <x:v>1. 进入等级配置
2. 选择该等级勋章上传
3. 上传损坏图片</x:v>
      </x:c>
      <x:c r="K9" s="4" t="str">
        <x:v>该等级仍保留原有效勋章图</x:v>
      </x:c>
      <x:c r="L9" s="4" t="str"/>
      <x:c r="M9" s="4" t="str">
        <x:v>未测</x:v>
      </x:c>
      <x:c r="N9" s="4" t="str"/>
      <x:c r="O9" s="4" t="str">
        <x:v>1. 来源（当前证据）：MainBasis/统一需求文档.md；位置：A-admin-level-config-018，第3824行
2. 规则：BR-MB-013BDF6F01172A
3. 未动态验证</x:v>
      </x:c>
    </x:row>
    <x:row r="10" ht="124" customHeight="1">
      <x:c r="A10" s="4" t="n">
        <x:v>9</x:v>
      </x:c>
      <x:c r="B10" s="4" t="str">
        <x:v>AMB-0009</x:v>
      </x:c>
      <x:c r="C10" s="4" t="str">
        <x:v>M05 公会申请·认证·组织与权限</x:v>
      </x:c>
      <x:c r="D10" s="4" t="str">
        <x:v>主播列表-04（平台管理员视角）</x:v>
      </x:c>
      <x:c r="E10" s="4" t="str">
        <x:v>功能需求</x:v>
      </x:c>
      <x:c r="F10" s="4" t="str">
        <x:v>P2</x:v>
      </x:c>
      <x:c r="G10" s="4" t="str">
        <x:v>验证平台管理员在主播列表-04的导出记录范围</x:v>
      </x:c>
      <x:c r="H10" s="4" t="str">
        <x:v>导出记录范围</x:v>
      </x:c>
      <x:c r="I10" s="4" t="str">
        <x:v>1. 平台管理员已登录
2. 当前账号具有本报表查询和导出权限
3. 主播列表-04当前筛选结果只有测试记录A、B，筛选范围外还有记录C
4. 当前账号已授予本页所用操作权限</x:v>
      </x:c>
      <x:c r="J10" s="4" t="str">
        <x:v>1. 点击导出
2. 打开导出文件</x:v>
      </x:c>
      <x:c r="K10" s="4" t="str">
        <x:v>导出文件的记录集合为A、B</x:v>
      </x:c>
      <x:c r="L10" s="4" t="str"/>
      <x:c r="M10" s="4" t="str">
        <x:v>未测</x:v>
      </x:c>
      <x:c r="N10" s="4" t="str"/>
      <x:c r="O10" s="4" t="str">
        <x:v>1. 来源（当前证据）：MainBasis/统一需求文档.md；位置：A-admin-host-list-009，第4738行
2. 规则：BR-MB-598A854A1EBB57
3. 未动态验证</x:v>
      </x:c>
    </x:row>
    <x:row r="11" ht="110" customHeight="1">
      <x:c r="A11" s="4" t="n">
        <x:v>10</x:v>
      </x:c>
      <x:c r="B11" s="4" t="str">
        <x:v>AMB-0010</x:v>
      </x:c>
      <x:c r="C11" s="4" t="str">
        <x:v>M05 公会申请·认证·组织与权限</x:v>
      </x:c>
      <x:c r="D11" s="4" t="str">
        <x:v>公会列表-11（平台管理员视角）</x:v>
      </x:c>
      <x:c r="E11" s="4" t="str">
        <x:v>业务流程</x:v>
      </x:c>
      <x:c r="F11" s="4" t="str">
        <x:v>P1</x:v>
      </x:c>
      <x:c r="G11" s="4" t="str">
        <x:v>验证平台管理员在公会列表-11的停用公会</x:v>
      </x:c>
      <x:c r="H11" s="4" t="str">
        <x:v>停用公会</x:v>
      </x:c>
      <x:c r="I11" s="4" t="str">
        <x:v>1. 执行身份为平台管理员
2. 目标公会处于启用状态
3. 执行账号已登录
4. 当前账号已授予本页所用操作权限</x:v>
      </x:c>
      <x:c r="J11" s="4" t="str">
        <x:v>1. 进入公会列表
2. 选择目标公会
3. 点击停用
4. 点击确认</x:v>
      </x:c>
      <x:c r="K11" s="4" t="str">
        <x:v>公会状态变为停用</x:v>
      </x:c>
      <x:c r="L11" s="4" t="str">
        <x:v>MBF-BBDF5E6E</x:v>
      </x:c>
      <x:c r="M11" s="4" t="str">
        <x:v>未测</x:v>
      </x:c>
      <x:c r="N11" s="4" t="str"/>
      <x:c r="O11" s="4" t="str">
        <x:v>1. 来源（当前证据）：MainBasis/统一需求文档.md；位置：A-admin-guild-list-006，第4916行
2. 规则：BR-MB-881A5A59DA3152
3. 未动态验证
4. 共同对象：公会状态；阶段：停用公会
5. 状态转换：MBT-DB7D56D54045；启用→停用</x:v>
      </x:c>
    </x:row>
    <x:row r="12" ht="124" customHeight="1">
      <x:c r="A12" s="4" t="n">
        <x:v>11</x:v>
      </x:c>
      <x:c r="B12" s="4" t="str">
        <x:v>AMB-0011</x:v>
      </x:c>
      <x:c r="C12" s="4" t="str">
        <x:v>M05 公会申请·认证·组织与权限</x:v>
      </x:c>
      <x:c r="D12" s="4" t="str">
        <x:v>公会列表-11（平台管理员视角）</x:v>
      </x:c>
      <x:c r="E12" s="4" t="str">
        <x:v>业务流程</x:v>
      </x:c>
      <x:c r="F12" s="4" t="str">
        <x:v>P1</x:v>
      </x:c>
      <x:c r="G12" s="4" t="str">
        <x:v>验证平台管理员在公会列表-11的停用公会长账号</x:v>
      </x:c>
      <x:c r="H12" s="4" t="str">
        <x:v>停用公会长账号</x:v>
      </x:c>
      <x:c r="I12" s="4" t="str">
        <x:v>1. 执行身份为平台管理员
2. 公会启用且公会长账号正常
3. 执行账号已登录
4. 当前账号已授予本页所用操作权限</x:v>
      </x:c>
      <x:c r="J12" s="4" t="str">
        <x:v>1. 进入公会详情
2. 关闭该公会长账号状态
3. 点击确认</x:v>
      </x:c>
      <x:c r="K12" s="4" t="str">
        <x:v>公会状态仍为启用</x:v>
      </x:c>
      <x:c r="L12" s="4" t="str">
        <x:v>MBF-AEA28E22</x:v>
      </x:c>
      <x:c r="M12" s="4" t="str">
        <x:v>未测</x:v>
      </x:c>
      <x:c r="N12" s="4" t="str"/>
      <x:c r="O12" s="4" t="str">
        <x:v>1. 来源（当前证据）：MainBasis/统一需求文档.md；位置：A-admin-guild-list-007，第4920行
2. 规则：BR-MB-79424AD6C2E42B
3. 未动态验证
4. 共同对象：公会长账号；阶段：停用公会长账号
5. 状态转换：MBT-D6A0596DAD14；正常→停用</x:v>
      </x:c>
    </x:row>
    <x:row r="13" ht="82" customHeight="1">
      <x:c r="A13" s="4" t="n">
        <x:v>12</x:v>
      </x:c>
      <x:c r="B13" s="4" t="str">
        <x:v>AMB-0012</x:v>
      </x:c>
      <x:c r="C13" s="4" t="str">
        <x:v>M05 公会申请·认证·组织与权限</x:v>
      </x:c>
      <x:c r="D13" s="4" t="str">
        <x:v>公会列表-11（平台管理员视角）</x:v>
      </x:c>
      <x:c r="E13" s="4" t="str">
        <x:v>异常用例</x:v>
      </x:c>
      <x:c r="F13" s="4" t="str">
        <x:v>P1</x:v>
      </x:c>
      <x:c r="G13" s="4" t="str">
        <x:v>验证平台管理员在公会列表-11的公会解散收益限制</x:v>
      </x:c>
      <x:c r="H13" s="4" t="str">
        <x:v>公会解散收益限制</x:v>
      </x:c>
      <x:c r="I13" s="4" t="str">
        <x:v>1. 执行身份为平台管理员
2. 目标公会存在未结清主播收益
3. 执行账号已登录
4. 当前账号已授予本页所用操作权限</x:v>
      </x:c>
      <x:c r="J13" s="4" t="str">
        <x:v>1. 进入公会列表
2. 选择目标公会
3. 点击解散</x:v>
      </x:c>
      <x:c r="K13" s="4" t="str">
        <x:v>不能解散该公会</x:v>
      </x:c>
      <x:c r="L13" s="4" t="str"/>
      <x:c r="M13" s="4" t="str">
        <x:v>未测</x:v>
      </x:c>
      <x:c r="N13" s="4" t="str"/>
      <x:c r="O13" s="4" t="str">
        <x:v>1. 来源（当前证据）：MainBasis/统一需求文档.md；位置：A-admin-guild-list-008，第4924行
2. 规则：BR-MB-F39D243F07E87F
3. 未动态验证</x:v>
      </x:c>
    </x:row>
    <x:row r="14" ht="82" customHeight="1">
      <x:c r="A14" s="4" t="n">
        <x:v>13</x:v>
      </x:c>
      <x:c r="B14" s="4" t="str">
        <x:v>AMB-0013</x:v>
      </x:c>
      <x:c r="C14" s="4" t="str">
        <x:v>M05 公会申请·认证·组织与权限</x:v>
      </x:c>
      <x:c r="D14" s="4" t="str">
        <x:v>公会推荐-21（平台管理员视角）</x:v>
      </x:c>
      <x:c r="E14" s="4" t="str">
        <x:v>功能需求</x:v>
      </x:c>
      <x:c r="F14" s="4" t="str">
        <x:v>P1</x:v>
      </x:c>
      <x:c r="G14" s="4" t="str">
        <x:v>验证平台管理员在公会推荐-21的移除推荐不改公会状态</x:v>
      </x:c>
      <x:c r="H14" s="4" t="str">
        <x:v>移除推荐不改公会状态</x:v>
      </x:c>
      <x:c r="I14" s="4" t="str">
        <x:v>1. 执行身份为平台管理员
2. 目标公会启用且在推荐列表
3. 执行账号已登录
4. 当前账号已授予本页所用操作权限</x:v>
      </x:c>
      <x:c r="J14" s="4" t="str">
        <x:v>1. 进入公会推荐
2. 点击移除目标公会
3. 点击确认
4. 进入该公会详情</x:v>
      </x:c>
      <x:c r="K14" s="4" t="str">
        <x:v>公会状态仍为启用</x:v>
      </x:c>
      <x:c r="L14" s="4" t="str"/>
      <x:c r="M14" s="4" t="str">
        <x:v>未测</x:v>
      </x:c>
      <x:c r="N14" s="4" t="str"/>
      <x:c r="O14" s="4" t="str">
        <x:v>1. 来源（当前证据）：MainBasis/统一需求文档.md；位置：A-admin-guild-recommendation-005，第5024行
2. 规则：BR-MB-FE2E6801CC1E29
3. 未动态验证</x:v>
      </x:c>
    </x:row>
    <x:row r="15" ht="82" customHeight="1">
      <x:c r="A15" s="4" t="n">
        <x:v>14</x:v>
      </x:c>
      <x:c r="B15" s="4" t="str">
        <x:v>AMB-0014</x:v>
      </x:c>
      <x:c r="C15" s="4" t="str">
        <x:v>M05 公会申请·认证·组织与权限</x:v>
      </x:c>
      <x:c r="D15" s="4" t="str">
        <x:v>公会推荐-21（平台管理员视角）</x:v>
      </x:c>
      <x:c r="E15" s="4" t="str">
        <x:v>功能需求</x:v>
      </x:c>
      <x:c r="F15" s="4" t="str">
        <x:v>P2</x:v>
      </x:c>
      <x:c r="G15" s="4" t="str">
        <x:v>验证平台管理员在公会推荐-21的取消推荐移除</x:v>
      </x:c>
      <x:c r="H15" s="4" t="str">
        <x:v>取消推荐移除</x:v>
      </x:c>
      <x:c r="I15" s="4" t="str">
        <x:v>1. 执行身份为平台管理员
2. 目标公会在推荐列表
3. 执行账号已登录
4. 当前账号已授予本页所用操作权限</x:v>
      </x:c>
      <x:c r="J15" s="4" t="str">
        <x:v>1. 进入公会推荐
2. 点击移除
3. 点击取消</x:v>
      </x:c>
      <x:c r="K15" s="4" t="str">
        <x:v>该公会仍在推荐列表</x:v>
      </x:c>
      <x:c r="L15" s="4" t="str"/>
      <x:c r="M15" s="4" t="str">
        <x:v>未测</x:v>
      </x:c>
      <x:c r="N15" s="4" t="str"/>
      <x:c r="O15" s="4" t="str">
        <x:v>1. 来源（当前证据）：MainBasis/统一需求文档.md；位置：A-admin-guild-recommendation-006，第5030行
2. 规则：BR-MB-5776D3635CE67D
3. 未动态验证</x:v>
      </x:c>
    </x:row>
    <x:row r="16" ht="82" customHeight="1">
      <x:c r="A16" s="4" t="n">
        <x:v>15</x:v>
      </x:c>
      <x:c r="B16" s="4" t="str">
        <x:v>AMB-0015</x:v>
      </x:c>
      <x:c r="C16" s="4" t="str">
        <x:v>M05 公会申请·认证·组织与权限</x:v>
      </x:c>
      <x:c r="D16" s="4" t="str">
        <x:v>公会推荐编辑（平台管理员视角）</x:v>
      </x:c>
      <x:c r="E16" s="4" t="str">
        <x:v>异常用例</x:v>
      </x:c>
      <x:c r="F16" s="4" t="str">
        <x:v>P1</x:v>
      </x:c>
      <x:c r="G16" s="4" t="str">
        <x:v>验证平台管理员在公会推荐编辑的推荐权重正整数限制</x:v>
      </x:c>
      <x:c r="H16" s="4" t="str">
        <x:v>推荐权重正整数限制</x:v>
      </x:c>
      <x:c r="I16" s="4" t="str">
        <x:v>1. 执行身份为平台管理员
2. 所选公会有效且未重复推荐
3. 执行账号已登录
4. 当前账号已授予本页所用操作权限</x:v>
      </x:c>
      <x:c r="J16" s="4" t="str">
        <x:v>1. 进入公会推荐详情
2. 输入排序权重0
3. 点击保存</x:v>
      </x:c>
      <x:c r="K16" s="4" t="str">
        <x:v>该推荐配置不能保存</x:v>
      </x:c>
      <x:c r="L16" s="4" t="str"/>
      <x:c r="M16" s="4" t="str">
        <x:v>未测</x:v>
      </x:c>
      <x:c r="N16" s="4" t="str"/>
      <x:c r="O16" s="4" t="str">
        <x:v>1. 来源（当前证据）：MainBasis/统一需求文档.md；位置：A-admin-guild-recommendation-detail-003，第5052行
2. 规则：BR-MB-7C35877B1A5138
3. 未动态验证</x:v>
      </x:c>
    </x:row>
    <x:row r="17" ht="82" customHeight="1">
      <x:c r="A17" s="4" t="n">
        <x:v>16</x:v>
      </x:c>
      <x:c r="B17" s="4" t="str">
        <x:v>AMB-0016</x:v>
      </x:c>
      <x:c r="C17" s="4" t="str">
        <x:v>M05 公会申请·认证·组织与权限</x:v>
      </x:c>
      <x:c r="D17" s="4" t="str">
        <x:v>公会推荐编辑（平台管理员视角）</x:v>
      </x:c>
      <x:c r="E17" s="4" t="str">
        <x:v>异常用例</x:v>
      </x:c>
      <x:c r="F17" s="4" t="str">
        <x:v>P1</x:v>
      </x:c>
      <x:c r="G17" s="4" t="str">
        <x:v>验证平台管理员在公会推荐编辑的推荐权重正整数限制</x:v>
      </x:c>
      <x:c r="H17" s="4" t="str">
        <x:v>推荐权重正整数限制</x:v>
      </x:c>
      <x:c r="I17" s="4" t="str">
        <x:v>1. 执行身份为平台管理员
2. 所选公会有效且未重复推荐
3. 执行账号已登录
4. 当前账号已授予本页所用操作权限</x:v>
      </x:c>
      <x:c r="J17" s="4" t="str">
        <x:v>1. 进入公会推荐详情
2. 输入排序权重-1
3. 点击保存</x:v>
      </x:c>
      <x:c r="K17" s="4" t="str">
        <x:v>该推荐配置不能保存</x:v>
      </x:c>
      <x:c r="L17" s="4" t="str"/>
      <x:c r="M17" s="4" t="str">
        <x:v>未测</x:v>
      </x:c>
      <x:c r="N17" s="4" t="str"/>
      <x:c r="O17" s="4" t="str">
        <x:v>1. 来源（当前证据）：MainBasis/统一需求文档.md；位置：A-admin-guild-recommendation-detail-003，第5052行
2. 规则：BR-MB-291F9E981B06BA
3. 未动态验证</x:v>
      </x:c>
    </x:row>
    <x:row r="18" ht="82" customHeight="1">
      <x:c r="A18" s="4" t="n">
        <x:v>17</x:v>
      </x:c>
      <x:c r="B18" s="4" t="str">
        <x:v>AMB-0017</x:v>
      </x:c>
      <x:c r="C18" s="4" t="str">
        <x:v>M05 公会申请·认证·组织与权限</x:v>
      </x:c>
      <x:c r="D18" s="4" t="str">
        <x:v>公会推荐编辑（平台管理员视角）</x:v>
      </x:c>
      <x:c r="E18" s="4" t="str">
        <x:v>异常用例</x:v>
      </x:c>
      <x:c r="F18" s="4" t="str">
        <x:v>P1</x:v>
      </x:c>
      <x:c r="G18" s="4" t="str">
        <x:v>验证平台管理员在公会推荐编辑的推荐权重正整数限制</x:v>
      </x:c>
      <x:c r="H18" s="4" t="str">
        <x:v>推荐权重正整数限制</x:v>
      </x:c>
      <x:c r="I18" s="4" t="str">
        <x:v>1. 执行身份为平台管理员
2. 所选公会有效且未重复推荐
3. 执行账号已登录
4. 当前账号已授予本页所用操作权限</x:v>
      </x:c>
      <x:c r="J18" s="4" t="str">
        <x:v>1. 进入公会推荐详情
2. 输入排序权重1.5
3. 点击保存</x:v>
      </x:c>
      <x:c r="K18" s="4" t="str">
        <x:v>该推荐配置不能保存</x:v>
      </x:c>
      <x:c r="L18" s="4" t="str"/>
      <x:c r="M18" s="4" t="str">
        <x:v>未测</x:v>
      </x:c>
      <x:c r="N18" s="4" t="str"/>
      <x:c r="O18" s="4" t="str">
        <x:v>1. 来源（当前证据）：MainBasis/统一需求文档.md；位置：A-admin-guild-recommendation-detail-003，第5052行
2. 规则：BR-MB-E654D9A5DB3B8C
3. 未动态验证</x:v>
      </x:c>
    </x:row>
    <x:row r="19" ht="82" customHeight="1">
      <x:c r="A19" s="4" t="n">
        <x:v>18</x:v>
      </x:c>
      <x:c r="B19" s="4" t="str">
        <x:v>AMB-0018</x:v>
      </x:c>
      <x:c r="C19" s="4" t="str">
        <x:v>M05 公会申请·认证·组织与权限</x:v>
      </x:c>
      <x:c r="D19" s="4" t="str">
        <x:v>公会推荐编辑（平台管理员视角）</x:v>
      </x:c>
      <x:c r="E19" s="4" t="str">
        <x:v>异常用例</x:v>
      </x:c>
      <x:c r="F19" s="4" t="str">
        <x:v>P1</x:v>
      </x:c>
      <x:c r="G19" s="4" t="str">
        <x:v>验证平台管理员在公会推荐编辑的重复推荐公会</x:v>
      </x:c>
      <x:c r="H19" s="4" t="str">
        <x:v>重复推荐公会</x:v>
      </x:c>
      <x:c r="I19" s="4" t="str">
        <x:v>1. 执行身份为平台管理员
2. 公会A已在推荐列表
3. 执行账号已登录
4. 当前账号已授予本页所用操作权限</x:v>
      </x:c>
      <x:c r="J19" s="4" t="str">
        <x:v>1. 进入新建公会推荐
2. 选择公会A
3. 点击保存</x:v>
      </x:c>
      <x:c r="K19" s="4" t="str">
        <x:v>不能重复添加公会A</x:v>
      </x:c>
      <x:c r="L19" s="4" t="str"/>
      <x:c r="M19" s="4" t="str">
        <x:v>未测</x:v>
      </x:c>
      <x:c r="N19" s="4" t="str"/>
      <x:c r="O19" s="4" t="str">
        <x:v>1. 来源（当前证据）：MainBasis/统一需求文档.md；位置：A-admin-guild-recommendation-detail-002，第5048行
2. 规则：BR-MB-0357EDB86B5465
3. 未动态验证</x:v>
      </x:c>
    </x:row>
    <x:row r="20" ht="82" customHeight="1">
      <x:c r="A20" s="4" t="n">
        <x:v>19</x:v>
      </x:c>
      <x:c r="B20" s="4" t="str">
        <x:v>AMB-0019</x:v>
      </x:c>
      <x:c r="C20" s="4" t="str">
        <x:v>M05 公会申请·认证·组织与权限</x:v>
      </x:c>
      <x:c r="D20" s="4" t="str">
        <x:v>审核详情（平台管理员视角）</x:v>
      </x:c>
      <x:c r="E20" s="4" t="str">
        <x:v>异常用例</x:v>
      </x:c>
      <x:c r="F20" s="4" t="str">
        <x:v>P1</x:v>
      </x:c>
      <x:c r="G20" s="4" t="str">
        <x:v>验证平台管理员在审核详情的认证终态不可重审</x:v>
      </x:c>
      <x:c r="H20" s="4" t="str">
        <x:v>认证终态不可重审</x:v>
      </x:c>
      <x:c r="I20" s="4" t="str">
        <x:v>1. 执行身份为平台管理员
2. 认证申请已驳回
3. 执行账号已登录
4. 当前账号已授予本页所用操作权限</x:v>
      </x:c>
      <x:c r="J20" s="4" t="str">
        <x:v>1. 进入该认证申请详情</x:v>
      </x:c>
      <x:c r="K20" s="4" t="str">
        <x:v>不能再次提交审核结论</x:v>
      </x:c>
      <x:c r="L20" s="4" t="str"/>
      <x:c r="M20" s="4" t="str">
        <x:v>未测</x:v>
      </x:c>
      <x:c r="N20" s="4" t="str"/>
      <x:c r="O20" s="4" t="str">
        <x:v>1. 来源（当前证据）：MainBasis/统一需求文档.md；位置：A-admin-host-review-detail-009，第4880行
2. 规则：BR-MB-BF70D6B569B58F
3. 未动态验证</x:v>
      </x:c>
    </x:row>
    <x:row r="21" ht="82" customHeight="1">
      <x:c r="A21" s="4" t="n">
        <x:v>20</x:v>
      </x:c>
      <x:c r="B21" s="4" t="str">
        <x:v>AMB-0020</x:v>
      </x:c>
      <x:c r="C21" s="4" t="str">
        <x:v>M08 礼物·道具·任务·邀请与运营配置</x:v>
      </x:c>
      <x:c r="D21" s="4" t="str">
        <x:v>充值套餐编辑（平台管理员视角）</x:v>
      </x:c>
      <x:c r="E21" s="4" t="str">
        <x:v>功能需求</x:v>
      </x:c>
      <x:c r="F21" s="4" t="str">
        <x:v>P1</x:v>
      </x:c>
      <x:c r="G21" s="4" t="str">
        <x:v>验证平台管理员在充值套餐编辑的活动套餐必填项</x:v>
      </x:c>
      <x:c r="H21" s="4" t="str">
        <x:v>活动套餐必填项</x:v>
      </x:c>
      <x:c r="I21" s="4" t="str">
        <x:v>1. 执行身份为平台管理员
2. 正在编辑普通充值套餐
3. 执行账号已登录
4. 当前账号已授予本页所用操作权限</x:v>
      </x:c>
      <x:c r="J21" s="4" t="str">
        <x:v>1. 进入充值套餐详情
2. 切换为活动套餐</x:v>
      </x:c>
      <x:c r="K21" s="4" t="str">
        <x:v>显示限购设置</x:v>
      </x:c>
      <x:c r="L21" s="4" t="str"/>
      <x:c r="M21" s="4" t="str">
        <x:v>未测</x:v>
      </x:c>
      <x:c r="N21" s="4" t="str"/>
      <x:c r="O21" s="4" t="str">
        <x:v>1. 来源（当前证据）：MainBasis/统一需求文档.md；位置：A-admin-recharge-package-detail-010，第8172行
2. 规则：BR-MB-A3EE724C289D25
3. 未动态验证</x:v>
      </x:c>
    </x:row>
    <x:row r="22" ht="82" customHeight="1">
      <x:c r="A22" s="4" t="n">
        <x:v>21</x:v>
      </x:c>
      <x:c r="B22" s="4" t="str">
        <x:v>AMB-0021</x:v>
      </x:c>
      <x:c r="C22" s="4" t="str">
        <x:v>M08 礼物·道具·任务·邀请与运营配置</x:v>
      </x:c>
      <x:c r="D22" s="4" t="str">
        <x:v>充值套餐编辑（平台管理员视角）</x:v>
      </x:c>
      <x:c r="E22" s="4" t="str">
        <x:v>功能需求</x:v>
      </x:c>
      <x:c r="F22" s="4" t="str">
        <x:v>P1</x:v>
      </x:c>
      <x:c r="G22" s="4" t="str">
        <x:v>验证平台管理员在充值套餐编辑的活动套餐有效期</x:v>
      </x:c>
      <x:c r="H22" s="4" t="str">
        <x:v>活动套餐有效期</x:v>
      </x:c>
      <x:c r="I22" s="4" t="str">
        <x:v>1. 执行身份为平台管理员
2. 正在编辑普通充值套餐
3. 执行账号已登录
4. 当前账号已授予本页所用操作权限</x:v>
      </x:c>
      <x:c r="J22" s="4" t="str">
        <x:v>1. 进入充值套餐详情
2. 切换为活动套餐</x:v>
      </x:c>
      <x:c r="K22" s="4" t="str">
        <x:v>显示有效时间设置</x:v>
      </x:c>
      <x:c r="L22" s="4" t="str"/>
      <x:c r="M22" s="4" t="str">
        <x:v>未测</x:v>
      </x:c>
      <x:c r="N22" s="4" t="str"/>
      <x:c r="O22" s="4" t="str">
        <x:v>1. 来源（当前证据）：MainBasis/统一需求文档.md；位置：A-admin-recharge-package-detail-010，第8172行
2. 规则：BR-MB-CE51156035C78F
3. 未动态验证</x:v>
      </x:c>
    </x:row>
    <x:row r="23" ht="110" customHeight="1">
      <x:c r="A23" s="4" t="n">
        <x:v>22</x:v>
      </x:c>
      <x:c r="B23" s="4" t="str">
        <x:v>AMB-0022</x:v>
      </x:c>
      <x:c r="C23" s="4" t="str">
        <x:v>M08 礼物·道具·任务·邀请与运营配置</x:v>
      </x:c>
      <x:c r="D23" s="4" t="str">
        <x:v>定制礼物-13（平台管理员视角）</x:v>
      </x:c>
      <x:c r="E23" s="4" t="str">
        <x:v>功能需求</x:v>
      </x:c>
      <x:c r="F23" s="4" t="str">
        <x:v>P1</x:v>
      </x:c>
      <x:c r="G23" s="4" t="str">
        <x:v>验证平台管理员在定制礼物-13的定制礼物生效时点</x:v>
      </x:c>
      <x:c r="H23" s="4" t="str">
        <x:v>定制礼物生效时点</x:v>
      </x:c>
      <x:c r="I23" s="4" t="str">
        <x:v>1. 执行身份为平台管理员
2. 定制礼物其他上架条件已满足
3. 当前已到配置生效时间但未到失效时间
4. 执行账号已登录
5. 当前账号已授予本页所用操作权限</x:v>
      </x:c>
      <x:c r="J23" s="4" t="str">
        <x:v>1. 进入定制礼物列表</x:v>
      </x:c>
      <x:c r="K23" s="4" t="str">
        <x:v>该礼物状态为上架</x:v>
      </x:c>
      <x:c r="L23" s="4" t="str"/>
      <x:c r="M23" s="4" t="str">
        <x:v>未测</x:v>
      </x:c>
      <x:c r="N23" s="4" t="str"/>
      <x:c r="O23" s="4" t="str">
        <x:v>1. 来源（当前证据）：MainBasis/统一需求文档.md；位置：A-admin-custom-gift-005，第7584行
2. 规则：BR-MB-E0B8EFD8B2151A
3. 未动态验证</x:v>
      </x:c>
    </x:row>
    <x:row r="24" ht="96" customHeight="1">
      <x:c r="A24" s="4" t="n">
        <x:v>23</x:v>
      </x:c>
      <x:c r="B24" s="4" t="str">
        <x:v>AMB-0023</x:v>
      </x:c>
      <x:c r="C24" s="4" t="str">
        <x:v>M08 礼物·道具·任务·邀请与运营配置</x:v>
      </x:c>
      <x:c r="D24" s="4" t="str">
        <x:v>定制礼物-13（平台管理员视角）</x:v>
      </x:c>
      <x:c r="E24" s="4" t="str">
        <x:v>功能需求</x:v>
      </x:c>
      <x:c r="F24" s="4" t="str">
        <x:v>P1</x:v>
      </x:c>
      <x:c r="G24" s="4" t="str">
        <x:v>验证平台管理员在定制礼物-13的定制礼物到期</x:v>
      </x:c>
      <x:c r="H24" s="4" t="str">
        <x:v>定制礼物到期</x:v>
      </x:c>
      <x:c r="I24" s="4" t="str">
        <x:v>1. 执行身份为平台管理员
2. 原已上架定制礼物现已到配置失效时间
3. 执行账号已登录
4. 当前账号已授予本页所用操作权限</x:v>
      </x:c>
      <x:c r="J24" s="4" t="str">
        <x:v>1. 进入定制礼物列表</x:v>
      </x:c>
      <x:c r="K24" s="4" t="str">
        <x:v>该礼物状态为下架</x:v>
      </x:c>
      <x:c r="L24" s="4" t="str"/>
      <x:c r="M24" s="4" t="str">
        <x:v>未测</x:v>
      </x:c>
      <x:c r="N24" s="4" t="str"/>
      <x:c r="O24" s="4" t="str">
        <x:v>1. 来源（当前证据）：MainBasis/统一需求文档.md；位置：A-admin-custom-gift-005，第7584行
2. 规则：BR-MB-4B028B802A4696
3. 未动态验证</x:v>
      </x:c>
    </x:row>
    <x:row r="25" ht="110" customHeight="1">
      <x:c r="A25" s="4" t="n">
        <x:v>24</x:v>
      </x:c>
      <x:c r="B25" s="4" t="str">
        <x:v>AMB-0024</x:v>
      </x:c>
      <x:c r="C25" s="4" t="str">
        <x:v>M08 礼物·道具·任务·邀请与运营配置</x:v>
      </x:c>
      <x:c r="D25" s="4" t="str">
        <x:v>展位配置-17（平台管理员视角）</x:v>
      </x:c>
      <x:c r="E25" s="4" t="str">
        <x:v>异常用例</x:v>
      </x:c>
      <x:c r="F25" s="4" t="str">
        <x:v>P1</x:v>
      </x:c>
      <x:c r="G25" s="4" t="str">
        <x:v>验证平台管理员在展位配置-17的同位置排期冲突</x:v>
      </x:c>
      <x:c r="H25" s="4" t="str">
        <x:v>同位置排期冲突</x:v>
      </x:c>
      <x:c r="I25" s="4" t="str">
        <x:v>1. 执行身份为平台管理员
2. 同一位置已有一项有效配置
3. 待保存的另一项配置排期与其重叠
4. 执行账号已登录
5. 当前账号已授予本页所用操作权限</x:v>
      </x:c>
      <x:c r="J25" s="4" t="str">
        <x:v>1. 进入展示位详情
2. 点击保存</x:v>
      </x:c>
      <x:c r="K25" s="4" t="str">
        <x:v>不能保存重叠排期配置</x:v>
      </x:c>
      <x:c r="L25" s="4" t="str"/>
      <x:c r="M25" s="4" t="str">
        <x:v>未测</x:v>
      </x:c>
      <x:c r="N25" s="4" t="str"/>
      <x:c r="O25" s="4" t="str">
        <x:v>1. 来源（当前证据）：MainBasis/统一需求文档.md；位置：A-admin-placement-config-006，第7926行
2. 规则：BR-MB-7907B5B41CC578
3. 未动态验证</x:v>
      </x:c>
    </x:row>
    <x:row r="26" ht="82" customHeight="1">
      <x:c r="A26" s="4" t="n">
        <x:v>25</x:v>
      </x:c>
      <x:c r="B26" s="4" t="str">
        <x:v>AMB-0025</x:v>
      </x:c>
      <x:c r="C26" s="4" t="str">
        <x:v>M08 礼物·道具·任务·邀请与运营配置</x:v>
      </x:c>
      <x:c r="D26" s="4" t="str">
        <x:v>展示素材编辑（平台管理员视角）</x:v>
      </x:c>
      <x:c r="E26" s="4" t="str">
        <x:v>异常用例</x:v>
      </x:c>
      <x:c r="F26" s="4" t="str">
        <x:v>P1</x:v>
      </x:c>
      <x:c r="G26" s="4" t="str">
        <x:v>验证平台管理员在展示素材编辑的轮播最少内容</x:v>
      </x:c>
      <x:c r="H26" s="4" t="str">
        <x:v>轮播最少内容</x:v>
      </x:c>
      <x:c r="I26" s="4" t="str">
        <x:v>1. 执行身份为平台管理员
2. 展示位配置仅有1项轮播内容
3. 执行账号已登录
4. 当前账号已授予本页所用操作权限</x:v>
      </x:c>
      <x:c r="J26" s="4" t="str">
        <x:v>1. 进入展示位详情
2. 点击删除该内容</x:v>
      </x:c>
      <x:c r="K26" s="4" t="str">
        <x:v>最后1项内容不能删除</x:v>
      </x:c>
      <x:c r="L26" s="4" t="str"/>
      <x:c r="M26" s="4" t="str">
        <x:v>未测</x:v>
      </x:c>
      <x:c r="N26" s="4" t="str"/>
      <x:c r="O26" s="4" t="str">
        <x:v>1. 来源（当前证据）：MainBasis/统一需求文档.md；位置：A-admin-placement-detail-009，第7980行
2. 规则：BR-MB-8B3450FE874F9E
3. 未动态验证</x:v>
      </x:c>
    </x:row>
    <x:row r="27" ht="110" customHeight="1">
      <x:c r="A27" s="4" t="n">
        <x:v>26</x:v>
      </x:c>
      <x:c r="B27" s="4" t="str">
        <x:v>AMB-0026</x:v>
      </x:c>
      <x:c r="C27" s="4" t="str">
        <x:v>M08 礼物·道具·任务·邀请与运营配置</x:v>
      </x:c>
      <x:c r="D27" s="4" t="str">
        <x:v>展示素材编辑（平台管理员视角）</x:v>
      </x:c>
      <x:c r="E27" s="4" t="str">
        <x:v>功能需求</x:v>
      </x:c>
      <x:c r="F27" s="4" t="str">
        <x:v>P1</x:v>
      </x:c>
      <x:c r="G27" s="4" t="str">
        <x:v>验证平台管理员在展示素材编辑的同配置多个内容可重叠</x:v>
      </x:c>
      <x:c r="H27" s="4" t="str">
        <x:v>同配置多个内容可重叠</x:v>
      </x:c>
      <x:c r="I27" s="4" t="str">
        <x:v>1. 执行身份为平台管理员
2. 一个展示位配置包含两项素材
3. 两项排期重叠且所有必填字段有效
4. 执行账号已登录
5. 当前账号已授予本页所用操作权限</x:v>
      </x:c>
      <x:c r="J27" s="4" t="str">
        <x:v>1. 进入该展示位详情
2. 点击保存</x:v>
      </x:c>
      <x:c r="K27" s="4" t="str">
        <x:v>配置保存成功</x:v>
      </x:c>
      <x:c r="L27" s="4" t="str"/>
      <x:c r="M27" s="4" t="str">
        <x:v>未测</x:v>
      </x:c>
      <x:c r="N27" s="4" t="str"/>
      <x:c r="O27" s="4" t="str">
        <x:v>1. 来源（当前证据）：MainBasis/统一需求文档.md；位置：A-admin-placement-detail-008，第7976行
2. 规则：BR-MB-1E1EB32CED9432
3. 未动态验证</x:v>
      </x:c>
    </x:row>
    <x:row r="28" ht="96" customHeight="1">
      <x:c r="A28" s="4" t="n">
        <x:v>27</x:v>
      </x:c>
      <x:c r="B28" s="4" t="str">
        <x:v>AMB-0027</x:v>
      </x:c>
      <x:c r="C28" s="4" t="str">
        <x:v>M08 礼物·道具·任务·邀请与运营配置</x:v>
      </x:c>
      <x:c r="D28" s="4" t="str">
        <x:v>展示素材编辑（平台管理员视角）</x:v>
      </x:c>
      <x:c r="E28" s="4" t="str">
        <x:v>功能需求</x:v>
      </x:c>
      <x:c r="F28" s="4" t="str">
        <x:v>P1</x:v>
      </x:c>
      <x:c r="G28" s="4" t="str">
        <x:v>验证平台管理员在展示素材编辑的轮播拖动排序</x:v>
      </x:c>
      <x:c r="H28" s="4" t="str">
        <x:v>轮播拖动排序</x:v>
      </x:c>
      <x:c r="I28" s="4" t="str">
        <x:v>1. 执行身份为平台管理员
2. 当前配置内轮播素材顺序为A、B、C
3. 执行账号已登录
4. 当前账号已授予本页所用操作权限</x:v>
      </x:c>
      <x:c r="J28" s="4" t="str">
        <x:v>1. 进入展示位详情
2. 拖动C的手柄到A之前</x:v>
      </x:c>
      <x:c r="K28" s="4" t="str">
        <x:v>轮播顺序变为C、A、B</x:v>
      </x:c>
      <x:c r="L28" s="4" t="str"/>
      <x:c r="M28" s="4" t="str">
        <x:v>未测</x:v>
      </x:c>
      <x:c r="N28" s="4" t="str"/>
      <x:c r="O28" s="4" t="str">
        <x:v>1. 来源（当前证据）：MainBasis/统一需求文档.md；位置：A-admin-placement-detail-010，第7986行
2. 规则：BR-MB-A4715DAC74BB67
3. 未动态验证</x:v>
      </x:c>
    </x:row>
    <x:row r="29" ht="110" customHeight="1">
      <x:c r="A29" s="4" t="n">
        <x:v>28</x:v>
      </x:c>
      <x:c r="B29" s="4" t="str">
        <x:v>AMB-0028</x:v>
      </x:c>
      <x:c r="C29" s="4" t="str">
        <x:v>M08 礼物·道具·任务·邀请与运营配置</x:v>
      </x:c>
      <x:c r="D29" s="4" t="str">
        <x:v>展示素材编辑（平台管理员视角）</x:v>
      </x:c>
      <x:c r="E29" s="4" t="str">
        <x:v>功能需求</x:v>
      </x:c>
      <x:c r="F29" s="4" t="str">
        <x:v>P1</x:v>
      </x:c>
      <x:c r="G29" s="4" t="str">
        <x:v>验证平台管理员在展示素材编辑的轮播逐行必填</x:v>
      </x:c>
      <x:c r="H29" s="4" t="str">
        <x:v>轮播逐行必填</x:v>
      </x:c>
      <x:c r="I29" s="4" t="str">
        <x:v>1. 执行身份为平台管理员
2. 配置内两行内容中第2行缺少素材
3. 第1行完整
4. 执行账号已登录
5. 当前账号已授予本页所用操作权限</x:v>
      </x:c>
      <x:c r="J29" s="4" t="str">
        <x:v>1. 进入展示位详情
2. 点击保存</x:v>
      </x:c>
      <x:c r="K29" s="4" t="str">
        <x:v>错误定位到第2行</x:v>
      </x:c>
      <x:c r="L29" s="4" t="str"/>
      <x:c r="M29" s="4" t="str">
        <x:v>未测</x:v>
      </x:c>
      <x:c r="N29" s="4" t="str"/>
      <x:c r="O29" s="4" t="str">
        <x:v>1. 来源（当前证据）：MainBasis/统一需求文档.md；位置：A-admin-placement-detail-012，第7994行
2. 规则：BR-MB-B4F6E1FB3D68D0
3. 未动态验证</x:v>
      </x:c>
    </x:row>
    <x:row r="30" ht="82" customHeight="1">
      <x:c r="A30" s="4" t="n">
        <x:v>29</x:v>
      </x:c>
      <x:c r="B30" s="4" t="str">
        <x:v>AMB-0029</x:v>
      </x:c>
      <x:c r="C30" s="4" t="str">
        <x:v>M08 礼物·道具·任务·邀请与运营配置</x:v>
      </x:c>
      <x:c r="D30" s="4" t="str">
        <x:v>幸运礼物-14（平台管理员视角）</x:v>
      </x:c>
      <x:c r="E30" s="4" t="str">
        <x:v>异常用例</x:v>
      </x:c>
      <x:c r="F30" s="4" t="str">
        <x:v>P1</x:v>
      </x:c>
      <x:c r="G30" s="4" t="str">
        <x:v>验证平台管理员在幸运礼物-14的幸运收益比例下限</x:v>
      </x:c>
      <x:c r="H30" s="4" t="str">
        <x:v>幸运收益比例下限</x:v>
      </x:c>
      <x:c r="I30" s="4" t="str">
        <x:v>1. 执行身份为平台管理员
2. 执行账号已登录
3. 当前账号已授予本页所用操作权限</x:v>
      </x:c>
      <x:c r="J30" s="4" t="str">
        <x:v>1. 进入幸运礼物列表
2. 点击比例编辑
3. 输入比例-1%
4. 点击保存</x:v>
      </x:c>
      <x:c r="K30" s="4" t="str">
        <x:v>比例不能保存</x:v>
      </x:c>
      <x:c r="L30" s="4" t="str"/>
      <x:c r="M30" s="4" t="str">
        <x:v>未测</x:v>
      </x:c>
      <x:c r="N30" s="4" t="str"/>
      <x:c r="O30" s="4" t="str">
        <x:v>1. 来源（当前证据）：MainBasis/统一需求文档.md；位置：A-admin-lucky-gift-config-012，第7652行
2. 规则：BR-MB-40E088E9F78E45
3. 未动态验证</x:v>
      </x:c>
    </x:row>
    <x:row r="31" ht="82" customHeight="1">
      <x:c r="A31" s="4" t="n">
        <x:v>30</x:v>
      </x:c>
      <x:c r="B31" s="4" t="str">
        <x:v>AMB-0030</x:v>
      </x:c>
      <x:c r="C31" s="4" t="str">
        <x:v>M08 礼物·道具·任务·邀请与运营配置</x:v>
      </x:c>
      <x:c r="D31" s="4" t="str">
        <x:v>幸运礼物-14（平台管理员视角）</x:v>
      </x:c>
      <x:c r="E31" s="4" t="str">
        <x:v>异常用例</x:v>
      </x:c>
      <x:c r="F31" s="4" t="str">
        <x:v>P1</x:v>
      </x:c>
      <x:c r="G31" s="4" t="str">
        <x:v>验证平台管理员在幸运礼物-14的幸运收益比例上限</x:v>
      </x:c>
      <x:c r="H31" s="4" t="str">
        <x:v>幸运收益比例上限</x:v>
      </x:c>
      <x:c r="I31" s="4" t="str">
        <x:v>1. 执行身份为平台管理员
2. 执行账号已登录
3. 当前账号已授予本页所用操作权限</x:v>
      </x:c>
      <x:c r="J31" s="4" t="str">
        <x:v>1. 进入幸运礼物列表
2. 点击比例编辑
3. 输入比例101%
4. 点击保存</x:v>
      </x:c>
      <x:c r="K31" s="4" t="str">
        <x:v>比例不能保存</x:v>
      </x:c>
      <x:c r="L31" s="4" t="str"/>
      <x:c r="M31" s="4" t="str">
        <x:v>未测</x:v>
      </x:c>
      <x:c r="N31" s="4" t="str"/>
      <x:c r="O31" s="4" t="str">
        <x:v>1. 来源（当前证据）：MainBasis/统一需求文档.md；位置：A-admin-lucky-gift-config-012，第7652行
2. 规则：BR-MB-D1AF1AC3D33D8A
3. 未动态验证</x:v>
      </x:c>
    </x:row>
    <x:row r="32" ht="82" customHeight="1">
      <x:c r="A32" s="4" t="n">
        <x:v>31</x:v>
      </x:c>
      <x:c r="B32" s="4" t="str">
        <x:v>AMB-0031</x:v>
      </x:c>
      <x:c r="C32" s="4" t="str">
        <x:v>M08 礼物·道具·任务·邀请与运营配置</x:v>
      </x:c>
      <x:c r="D32" s="4" t="str">
        <x:v>幸运礼物-14（平台管理员视角）</x:v>
      </x:c>
      <x:c r="E32" s="4" t="str">
        <x:v>功能需求</x:v>
      </x:c>
      <x:c r="F32" s="4" t="str">
        <x:v>P1</x:v>
      </x:c>
      <x:c r="G32" s="4" t="str">
        <x:v>验证平台管理员在幸运礼物-14的幸运收益比例有效边界</x:v>
      </x:c>
      <x:c r="H32" s="4" t="str">
        <x:v>幸运收益比例有效边界</x:v>
      </x:c>
      <x:c r="I32" s="4" t="str">
        <x:v>1. 执行身份为平台管理员
2. 执行账号已登录
3. 当前账号已授予本页所用操作权限</x:v>
      </x:c>
      <x:c r="J32" s="4" t="str">
        <x:v>1. 进入幸运礼物列表
2. 点击比例编辑
3. 输入比例0%
4. 点击保存</x:v>
      </x:c>
      <x:c r="K32" s="4" t="str">
        <x:v>新赠送适用的收益比例为0%</x:v>
      </x:c>
      <x:c r="L32" s="4" t="str"/>
      <x:c r="M32" s="4" t="str">
        <x:v>未测</x:v>
      </x:c>
      <x:c r="N32" s="4" t="str"/>
      <x:c r="O32" s="4" t="str">
        <x:v>1. 来源（当前证据）：MainBasis/统一需求文档.md；位置：A-admin-lucky-gift-config-012，第7652行
2. 规则：BR-MB-F0E93CB989DC78
3. 未动态验证</x:v>
      </x:c>
    </x:row>
    <x:row r="33" ht="82" customHeight="1">
      <x:c r="A33" s="4" t="n">
        <x:v>32</x:v>
      </x:c>
      <x:c r="B33" s="4" t="str">
        <x:v>AMB-0032</x:v>
      </x:c>
      <x:c r="C33" s="4" t="str">
        <x:v>M08 礼物·道具·任务·邀请与运营配置</x:v>
      </x:c>
      <x:c r="D33" s="4" t="str">
        <x:v>幸运礼物-14（平台管理员视角）</x:v>
      </x:c>
      <x:c r="E33" s="4" t="str">
        <x:v>功能需求</x:v>
      </x:c>
      <x:c r="F33" s="4" t="str">
        <x:v>P1</x:v>
      </x:c>
      <x:c r="G33" s="4" t="str">
        <x:v>验证平台管理员在幸运礼物-14的幸运收益比例有效边界</x:v>
      </x:c>
      <x:c r="H33" s="4" t="str">
        <x:v>幸运收益比例有效边界</x:v>
      </x:c>
      <x:c r="I33" s="4" t="str">
        <x:v>1. 执行身份为平台管理员
2. 执行账号已登录
3. 当前账号已授予本页所用操作权限</x:v>
      </x:c>
      <x:c r="J33" s="4" t="str">
        <x:v>1. 进入幸运礼物列表
2. 点击比例编辑
3. 输入比例100%
4. 点击保存</x:v>
      </x:c>
      <x:c r="K33" s="4" t="str">
        <x:v>新赠送适用的收益比例为100%</x:v>
      </x:c>
      <x:c r="L33" s="4" t="str"/>
      <x:c r="M33" s="4" t="str">
        <x:v>未测</x:v>
      </x:c>
      <x:c r="N33" s="4" t="str"/>
      <x:c r="O33" s="4" t="str">
        <x:v>1. 来源（当前证据）：MainBasis/统一需求文档.md；位置：A-admin-lucky-gift-config-012，第7652行
2. 规则：BR-MB-CC20A8CCE4E92C
3. 未动态验证</x:v>
      </x:c>
    </x:row>
    <x:row r="34" ht="110" customHeight="1">
      <x:c r="A34" s="4" t="n">
        <x:v>33</x:v>
      </x:c>
      <x:c r="B34" s="4" t="str">
        <x:v>AMB-0033</x:v>
      </x:c>
      <x:c r="C34" s="4" t="str">
        <x:v>M08 礼物·道具·任务·邀请与运营配置</x:v>
      </x:c>
      <x:c r="D34" s="4" t="str">
        <x:v>幸运礼物-14（平台管理员视角）</x:v>
      </x:c>
      <x:c r="E34" s="4" t="str">
        <x:v>逻辑校验</x:v>
      </x:c>
      <x:c r="F34" s="4" t="str">
        <x:v>P1</x:v>
      </x:c>
      <x:c r="G34" s="4" t="str">
        <x:v>验证平台管理员在幸运礼物-14的理论RTP计算</x:v>
      </x:c>
      <x:c r="H34" s="4" t="str">
        <x:v>理论RTP计算</x:v>
      </x:c>
      <x:c r="I34" s="4" t="str">
        <x:v>1. 平台管理员已登录
2. 已存在有效配置，单次消耗100金币
3. 仅有两档奖励：0金币概率50%、100金币概率50%
4. 当前账号已授予本页所用操作权限</x:v>
      </x:c>
      <x:c r="J34" s="4" t="str">
        <x:v>1. 进入幸运礼物-14
2. 查看RTP</x:v>
      </x:c>
      <x:c r="K34" s="4" t="str">
        <x:v>RTP计算结果 = 0.5 * 100 = 50 %</x:v>
      </x:c>
      <x:c r="L34" s="4" t="str"/>
      <x:c r="M34" s="4" t="str">
        <x:v>未测</x:v>
      </x:c>
      <x:c r="N34" s="4" t="str"/>
      <x:c r="O34" s="4" t="str">
        <x:v>1. 来源（当前证据）：MainBasis/统一需求文档.md；位置：A-admin-lucky-gift-config-006，第7624行、A-admin-lucky-gift-config-008，第7634行
2. 规则：BR-MB-18820423C28CAD
3. 未动态验证</x:v>
      </x:c>
    </x:row>
    <x:row r="35" ht="96" customHeight="1">
      <x:c r="A35" s="4" t="n">
        <x:v>34</x:v>
      </x:c>
      <x:c r="B35" s="4" t="str">
        <x:v>AMB-0034</x:v>
      </x:c>
      <x:c r="C35" s="4" t="str">
        <x:v>M08 礼物·道具·任务·邀请与运营配置</x:v>
      </x:c>
      <x:c r="D35" s="4" t="str">
        <x:v>幸运礼物编辑（平台管理员视角）</x:v>
      </x:c>
      <x:c r="E35" s="4" t="str">
        <x:v>异常用例</x:v>
      </x:c>
      <x:c r="F35" s="4" t="str">
        <x:v>P1</x:v>
      </x:c>
      <x:c r="G35" s="4" t="str">
        <x:v>验证平台管理员在幸运礼物编辑的概率合计校验</x:v>
      </x:c>
      <x:c r="H35" s="4" t="str">
        <x:v>概率合计校验</x:v>
      </x:c>
      <x:c r="I35" s="4" t="str">
        <x:v>1. 执行身份为平台管理员
2. 各概率项之和为99%
3. 其他必填值有效
4. 执行账号已登录
5. 当前账号已授予本页所用操作权限</x:v>
      </x:c>
      <x:c r="J35" s="4" t="str">
        <x:v>1. 进入幸运礼物详情
2. 点击保存</x:v>
      </x:c>
      <x:c r="K35" s="4" t="str">
        <x:v>该概率配置不能生效</x:v>
      </x:c>
      <x:c r="L35" s="4" t="str"/>
      <x:c r="M35" s="4" t="str">
        <x:v>未测</x:v>
      </x:c>
      <x:c r="N35" s="4" t="str"/>
      <x:c r="O35" s="4" t="str">
        <x:v>1. 来源（当前证据）：MainBasis/统一需求文档.md；位置：A-admin-lucky-gift-detail-010，第7708行
2. 规则：BR-MB-45930B7B6899E6
3. 未动态验证</x:v>
      </x:c>
    </x:row>
    <x:row r="36" ht="96" customHeight="1">
      <x:c r="A36" s="4" t="n">
        <x:v>35</x:v>
      </x:c>
      <x:c r="B36" s="4" t="str">
        <x:v>AMB-0035</x:v>
      </x:c>
      <x:c r="C36" s="4" t="str">
        <x:v>M08 礼物·道具·任务·邀请与运营配置</x:v>
      </x:c>
      <x:c r="D36" s="4" t="str">
        <x:v>幸运礼物编辑（平台管理员视角）</x:v>
      </x:c>
      <x:c r="E36" s="4" t="str">
        <x:v>异常用例</x:v>
      </x:c>
      <x:c r="F36" s="4" t="str">
        <x:v>P1</x:v>
      </x:c>
      <x:c r="G36" s="4" t="str">
        <x:v>验证平台管理员在幸运礼物编辑的RTP 验证前生效限制</x:v>
      </x:c>
      <x:c r="H36" s="4" t="str">
        <x:v>RTP 验证前生效限制</x:v>
      </x:c>
      <x:c r="I36" s="4" t="str">
        <x:v>1. 执行身份为平台管理员
2. 各概率合计100%
3. 该配置尚未完成RTP验证
4. 执行账号已登录
5. 当前账号已授予本页所用操作权限</x:v>
      </x:c>
      <x:c r="J36" s="4" t="str">
        <x:v>1. 进入幸运礼物详情
2. 点击保存</x:v>
      </x:c>
      <x:c r="K36" s="4" t="str">
        <x:v>未验证的配置不能生效</x:v>
      </x:c>
      <x:c r="L36" s="4" t="str"/>
      <x:c r="M36" s="4" t="str">
        <x:v>未测</x:v>
      </x:c>
      <x:c r="N36" s="4" t="str"/>
      <x:c r="O36" s="4" t="str">
        <x:v>1. 来源（当前证据）：MainBasis/统一需求文档.md；位置：A-admin-lucky-gift-detail-010，第7708行
2. 规则：BR-MB-FAA8716CA404AE
3. 未动态验证</x:v>
      </x:c>
    </x:row>
    <x:row r="37" ht="82" customHeight="1">
      <x:c r="A37" s="4" t="n">
        <x:v>36</x:v>
      </x:c>
      <x:c r="B37" s="4" t="str">
        <x:v>AMB-0036</x:v>
      </x:c>
      <x:c r="C37" s="4" t="str">
        <x:v>M08 礼物·道具·任务·邀请与运营配置</x:v>
      </x:c>
      <x:c r="D37" s="4" t="str">
        <x:v>推送管理-18（平台管理员视角）</x:v>
      </x:c>
      <x:c r="E37" s="4" t="str">
        <x:v>异常用例</x:v>
      </x:c>
      <x:c r="F37" s="4" t="str">
        <x:v>P1</x:v>
      </x:c>
      <x:c r="G37" s="4" t="str">
        <x:v>验证平台管理员在推送管理-18的已发送推送只读</x:v>
      </x:c>
      <x:c r="H37" s="4" t="str">
        <x:v>已发送推送只读</x:v>
      </x:c>
      <x:c r="I37" s="4" t="str">
        <x:v>1. 执行身份为平台管理员
2. 推送任务状态为已发送
3. 执行账号已登录
4. 当前账号已授予本页所用操作权限</x:v>
      </x:c>
      <x:c r="J37" s="4" t="str">
        <x:v>1. 进入推送列表
2. 打开该任务</x:v>
      </x:c>
      <x:c r="K37" s="4" t="str">
        <x:v>已发送任务不可编辑</x:v>
      </x:c>
      <x:c r="L37" s="4" t="str"/>
      <x:c r="M37" s="4" t="str">
        <x:v>未测</x:v>
      </x:c>
      <x:c r="N37" s="4" t="str"/>
      <x:c r="O37" s="4" t="str">
        <x:v>1. 来源（当前证据）：MainBasis/统一需求文档.md；位置：A-admin-push-management-006，第8030行
2. 规则：BR-MB-04CFA161A90AD0
3. 未动态验证</x:v>
      </x:c>
    </x:row>
    <x:row r="38" ht="110" customHeight="1">
      <x:c r="A38" s="4" t="n">
        <x:v>37</x:v>
      </x:c>
      <x:c r="B38" s="4" t="str">
        <x:v>AMB-0037</x:v>
      </x:c>
      <x:c r="C38" s="4" t="str">
        <x:v>M08 礼物·道具·任务·邀请与运营配置</x:v>
      </x:c>
      <x:c r="D38" s="4" t="str">
        <x:v>普通礼物-12（平台管理员视角）</x:v>
      </x:c>
      <x:c r="E38" s="4" t="str">
        <x:v>业务流程</x:v>
      </x:c>
      <x:c r="F38" s="4" t="str">
        <x:v>P1</x:v>
      </x:c>
      <x:c r="G38" s="4" t="str">
        <x:v>验证平台管理员在普通礼物-12的礼物下架</x:v>
      </x:c>
      <x:c r="H38" s="4" t="str">
        <x:v>礼物下架</x:v>
      </x:c>
      <x:c r="I38" s="4" t="str">
        <x:v>1. 执行身份为平台管理员
2. 一件普通礼物处于上架状态
3. 执行账号已登录
4. 当前账号已授予本页所用操作权限</x:v>
      </x:c>
      <x:c r="J38" s="4" t="str">
        <x:v>1. 进入普通礼物列表
2. 选择该礼物
3. 点击下架
4. 点击确认</x:v>
      </x:c>
      <x:c r="K38" s="4" t="str">
        <x:v>该礼物状态变为下架</x:v>
      </x:c>
      <x:c r="L38" s="4" t="str">
        <x:v>MBF-256BEA0D</x:v>
      </x:c>
      <x:c r="M38" s="4" t="str">
        <x:v>未测</x:v>
      </x:c>
      <x:c r="N38" s="4" t="str"/>
      <x:c r="O38" s="4" t="str">
        <x:v>1. 来源（当前证据）：MainBasis/统一需求文档.md；位置：A-admin-gift-list-009，第7498行、D-SYS-132，第686行
2. 规则：BR-MB-D1564847677FCD
3. 未动态验证
4. 共同对象：普通礼物；阶段：礼物下架
5. 状态转换：MBT-119B7B363A95；上架→下架</x:v>
      </x:c>
    </x:row>
    <x:row r="39" ht="124" customHeight="1">
      <x:c r="A39" s="4" t="n">
        <x:v>38</x:v>
      </x:c>
      <x:c r="B39" s="4" t="str">
        <x:v>AMB-0038</x:v>
      </x:c>
      <x:c r="C39" s="4" t="str">
        <x:v>M08 礼物·道具·任务·邀请与运营配置</x:v>
      </x:c>
      <x:c r="D39" s="4" t="str">
        <x:v>直播房型-23（平台管理员视角）</x:v>
      </x:c>
      <x:c r="E39" s="4" t="str">
        <x:v>业务流程</x:v>
      </x:c>
      <x:c r="F39" s="4" t="str">
        <x:v>P1</x:v>
      </x:c>
      <x:c r="G39" s="4" t="str">
        <x:v>验证平台管理员在直播房型-23的关闭门票房配置</x:v>
      </x:c>
      <x:c r="H39" s="4" t="str">
        <x:v>关闭门票房配置</x:v>
      </x:c>
      <x:c r="I39" s="4" t="str">
        <x:v>1. 执行身份为平台管理员
2. 门票房功能当前开启
3. 执行账号已登录
4. 当前账号已授予本页所用操作权限</x:v>
      </x:c>
      <x:c r="J39" s="4" t="str">
        <x:v>1. 进入功能开关页
2. 关闭门票房开关</x:v>
      </x:c>
      <x:c r="K39" s="4" t="str">
        <x:v>门票房功能显示关闭</x:v>
      </x:c>
      <x:c r="L39" s="4" t="str">
        <x:v>MBF-F3B98BEF</x:v>
      </x:c>
      <x:c r="M39" s="4" t="str">
        <x:v>未测</x:v>
      </x:c>
      <x:c r="N39" s="4" t="str"/>
      <x:c r="O39" s="4" t="str">
        <x:v>1. 来源（当前证据）：MainBasis/统一需求文档.md；位置：A-admin-feature-switch-006，第8302行
2. 规则：BR-MB-4AC96A72B503AE
3. 未动态验证
4. 共同对象：门票房功能；阶段：关闭门票房配置
5. 状态转换：MBT-0C86CC344107；开启→关闭</x:v>
      </x:c>
    </x:row>
    <x:row r="40" ht="96" customHeight="1">
      <x:c r="A40" s="4" t="n">
        <x:v>39</x:v>
      </x:c>
      <x:c r="B40" s="4" t="str">
        <x:v>AMB-0039</x:v>
      </x:c>
      <x:c r="C40" s="4" t="str">
        <x:v>M08 礼物·道具·任务·邀请与运营配置</x:v>
      </x:c>
      <x:c r="D40" s="4" t="str">
        <x:v>礼物详情（平台管理员视角）</x:v>
      </x:c>
      <x:c r="E40" s="4" t="str">
        <x:v>功能需求</x:v>
      </x:c>
      <x:c r="F40" s="4" t="str">
        <x:v>P1</x:v>
      </x:c>
      <x:c r="G40" s="4" t="str">
        <x:v>验证平台管理员在礼物详情的礼物保存页面</x:v>
      </x:c>
      <x:c r="H40" s="4" t="str">
        <x:v>礼物保存页面</x:v>
      </x:c>
      <x:c r="I40" s="4" t="str">
        <x:v>1. 执行身份为平台管理员
2. 普通礼物各必填字段已为合法值
3. 执行账号已登录
4. 当前账号已授予本页所用操作权限</x:v>
      </x:c>
      <x:c r="J40" s="4" t="str">
        <x:v>1. 进入该礼物详情
2. 点击保存</x:v>
      </x:c>
      <x:c r="K40" s="4" t="str">
        <x:v>保存后停留当前礼物详情</x:v>
      </x:c>
      <x:c r="L40" s="4" t="str"/>
      <x:c r="M40" s="4" t="str">
        <x:v>未测</x:v>
      </x:c>
      <x:c r="N40" s="4" t="str"/>
      <x:c r="O40" s="4" t="str">
        <x:v>1. 来源（当前证据）：MainBasis/统一需求文档.md；位置：A-admin-gift-detail-010，第7552行
2. 规则：BR-MB-8A67AB441EB7AD
3. 未动态验证</x:v>
      </x:c>
    </x:row>
    <x:row r="41" ht="96" customHeight="1">
      <x:c r="A41" s="4" t="n">
        <x:v>40</x:v>
      </x:c>
      <x:c r="B41" s="4" t="str">
        <x:v>AMB-0040</x:v>
      </x:c>
      <x:c r="C41" s="4" t="str">
        <x:v>M08 礼物·道具·任务·邀请与运营配置</x:v>
      </x:c>
      <x:c r="D41" s="4" t="str">
        <x:v>购买份数配置详情（平台管理员视角）</x:v>
      </x:c>
      <x:c r="E41" s="4" t="str">
        <x:v>异常用例</x:v>
      </x:c>
      <x:c r="F41" s="4" t="str">
        <x:v>P1</x:v>
      </x:c>
      <x:c r="G41" s="4" t="str">
        <x:v>验证平台管理员在购买份数配置详情的赠送数量正整数限制</x:v>
      </x:c>
      <x:c r="H41" s="4" t="str">
        <x:v>赠送数量正整数限制</x:v>
      </x:c>
      <x:c r="I41" s="4" t="str">
        <x:v>1. 执行身份为平台管理员
2. 已选择一个未关联其他启用规则的普通礼物
3. 执行账号已登录
4. 当前账号已授予本页所用操作权限</x:v>
      </x:c>
      <x:c r="J41" s="4" t="str">
        <x:v>1. 进入赠送数量规则详情
2. 输入数量0
3. 点击保存</x:v>
      </x:c>
      <x:c r="K41" s="4" t="str">
        <x:v>数量规则不能保存</x:v>
      </x:c>
      <x:c r="L41" s="4" t="str"/>
      <x:c r="M41" s="4" t="str">
        <x:v>未测</x:v>
      </x:c>
      <x:c r="N41" s="4" t="str"/>
      <x:c r="O41" s="4" t="str">
        <x:v>1. 来源（当前证据）：MainBasis/统一需求文档.md；位置：A-admin-gift-send-count-rule-detail-002，第7872行
2. 规则：BR-MB-D98B4E3CE6E431
3. 未动态验证</x:v>
      </x:c>
    </x:row>
    <x:row r="42" ht="96" customHeight="1">
      <x:c r="A42" s="4" t="n">
        <x:v>41</x:v>
      </x:c>
      <x:c r="B42" s="4" t="str">
        <x:v>AMB-0041</x:v>
      </x:c>
      <x:c r="C42" s="4" t="str">
        <x:v>M08 礼物·道具·任务·邀请与运营配置</x:v>
      </x:c>
      <x:c r="D42" s="4" t="str">
        <x:v>购买份数配置详情（平台管理员视角）</x:v>
      </x:c>
      <x:c r="E42" s="4" t="str">
        <x:v>异常用例</x:v>
      </x:c>
      <x:c r="F42" s="4" t="str">
        <x:v>P1</x:v>
      </x:c>
      <x:c r="G42" s="4" t="str">
        <x:v>验证平台管理员在购买份数配置详情的赠送数量正整数限制</x:v>
      </x:c>
      <x:c r="H42" s="4" t="str">
        <x:v>赠送数量正整数限制</x:v>
      </x:c>
      <x:c r="I42" s="4" t="str">
        <x:v>1. 执行身份为平台管理员
2. 已选择一个未关联其他启用规则的普通礼物
3. 执行账号已登录
4. 当前账号已授予本页所用操作权限</x:v>
      </x:c>
      <x:c r="J42" s="4" t="str">
        <x:v>1. 进入赠送数量规则详情
2. 输入数量-1
3. 点击保存</x:v>
      </x:c>
      <x:c r="K42" s="4" t="str">
        <x:v>数量规则不能保存</x:v>
      </x:c>
      <x:c r="L42" s="4" t="str"/>
      <x:c r="M42" s="4" t="str">
        <x:v>未测</x:v>
      </x:c>
      <x:c r="N42" s="4" t="str"/>
      <x:c r="O42" s="4" t="str">
        <x:v>1. 来源（当前证据）：MainBasis/统一需求文档.md；位置：A-admin-gift-send-count-rule-detail-002，第7872行
2. 规则：BR-MB-0A8B2945B9BCC2
3. 未动态验证</x:v>
      </x:c>
    </x:row>
    <x:row r="43" ht="96" customHeight="1">
      <x:c r="A43" s="4" t="n">
        <x:v>42</x:v>
      </x:c>
      <x:c r="B43" s="4" t="str">
        <x:v>AMB-0042</x:v>
      </x:c>
      <x:c r="C43" s="4" t="str">
        <x:v>M08 礼物·道具·任务·邀请与运营配置</x:v>
      </x:c>
      <x:c r="D43" s="4" t="str">
        <x:v>购买份数配置详情（平台管理员视角）</x:v>
      </x:c>
      <x:c r="E43" s="4" t="str">
        <x:v>异常用例</x:v>
      </x:c>
      <x:c r="F43" s="4" t="str">
        <x:v>P1</x:v>
      </x:c>
      <x:c r="G43" s="4" t="str">
        <x:v>验证平台管理员在购买份数配置详情的赠送数量正整数限制</x:v>
      </x:c>
      <x:c r="H43" s="4" t="str">
        <x:v>赠送数量正整数限制</x:v>
      </x:c>
      <x:c r="I43" s="4" t="str">
        <x:v>1. 执行身份为平台管理员
2. 已选择一个未关联其他启用规则的普通礼物
3. 执行账号已登录
4. 当前账号已授予本页所用操作权限</x:v>
      </x:c>
      <x:c r="J43" s="4" t="str">
        <x:v>1. 进入赠送数量规则详情
2. 输入数量1.5
3. 点击保存</x:v>
      </x:c>
      <x:c r="K43" s="4" t="str">
        <x:v>数量规则不能保存</x:v>
      </x:c>
      <x:c r="L43" s="4" t="str"/>
      <x:c r="M43" s="4" t="str">
        <x:v>未测</x:v>
      </x:c>
      <x:c r="N43" s="4" t="str"/>
      <x:c r="O43" s="4" t="str">
        <x:v>1. 来源（当前证据）：MainBasis/统一需求文档.md；位置：A-admin-gift-send-count-rule-detail-002，第7872行
2. 规则：BR-MB-4356D708180A3A
3. 未动态验证</x:v>
      </x:c>
    </x:row>
    <x:row r="44" ht="96" customHeight="1">
      <x:c r="A44" s="4" t="n">
        <x:v>43</x:v>
      </x:c>
      <x:c r="B44" s="4" t="str">
        <x:v>AMB-0043</x:v>
      </x:c>
      <x:c r="C44" s="4" t="str">
        <x:v>M08 礼物·道具·任务·邀请与运营配置</x:v>
      </x:c>
      <x:c r="D44" s="4" t="str">
        <x:v>购买份数配置详情（平台管理员视角）</x:v>
      </x:c>
      <x:c r="E44" s="4" t="str">
        <x:v>异常用例</x:v>
      </x:c>
      <x:c r="F44" s="4" t="str">
        <x:v>P1</x:v>
      </x:c>
      <x:c r="G44" s="4" t="str">
        <x:v>验证平台管理员在购买份数配置详情的赠送数量去重</x:v>
      </x:c>
      <x:c r="H44" s="4" t="str">
        <x:v>赠送数量去重</x:v>
      </x:c>
      <x:c r="I44" s="4" t="str">
        <x:v>1. 执行身份为平台管理员
2. 其他配置有效
3. 数量列表有两项10
4. 执行账号已登录
5. 当前账号已授予本页所用操作权限</x:v>
      </x:c>
      <x:c r="J44" s="4" t="str">
        <x:v>1. 进入赠送数量规则详情
2. 点击保存</x:v>
      </x:c>
      <x:c r="K44" s="4" t="str">
        <x:v>重复数量不能保存</x:v>
      </x:c>
      <x:c r="L44" s="4" t="str"/>
      <x:c r="M44" s="4" t="str">
        <x:v>未测</x:v>
      </x:c>
      <x:c r="N44" s="4" t="str"/>
      <x:c r="O44" s="4" t="str">
        <x:v>1. 来源（当前证据）：MainBasis/统一需求文档.md；位置：A-admin-gift-send-count-rule-detail-002，第7872行
2. 规则：BR-MB-6CCC1C62749E2A
3. 未动态验证</x:v>
      </x:c>
    </x:row>
    <x:row r="45" ht="110" customHeight="1">
      <x:c r="A45" s="4" t="n">
        <x:v>44</x:v>
      </x:c>
      <x:c r="B45" s="4" t="str">
        <x:v>AMB-0044</x:v>
      </x:c>
      <x:c r="C45" s="4" t="str">
        <x:v>M08 礼物·道具·任务·邀请与运营配置</x:v>
      </x:c>
      <x:c r="D45" s="4" t="str">
        <x:v>购买份数配置详情（平台管理员视角）</x:v>
      </x:c>
      <x:c r="E45" s="4" t="str">
        <x:v>异常用例</x:v>
      </x:c>
      <x:c r="F45" s="4" t="str">
        <x:v>P1</x:v>
      </x:c>
      <x:c r="G45" s="4" t="str">
        <x:v>验证平台管理员在购买份数配置详情的启用礼物关联唯一</x:v>
      </x:c>
      <x:c r="H45" s="4" t="str">
        <x:v>启用礼物关联唯一</x:v>
      </x:c>
      <x:c r="I45" s="4" t="str">
        <x:v>1. 执行身份为平台管理员
2. 礼物A已有一条启用的数量规则
3. 第二条数量规则其他字段合法
4. 执行账号已登录
5. 当前账号已授予本页所用操作权限</x:v>
      </x:c>
      <x:c r="J45" s="4" t="str">
        <x:v>1. 进入第二条数量规则
2. 选择礼物A
3. 选择启用
4. 点击保存</x:v>
      </x:c>
      <x:c r="K45" s="4" t="str">
        <x:v>不能启用与礼物A现有规则冲突的配置</x:v>
      </x:c>
      <x:c r="L45" s="4" t="str"/>
      <x:c r="M45" s="4" t="str">
        <x:v>未测</x:v>
      </x:c>
      <x:c r="N45" s="4" t="str"/>
      <x:c r="O45" s="4" t="str">
        <x:v>1. 来源（当前证据）：MainBasis/统一需求文档.md；位置：A-admin-gift-send-count-rule-detail-004，第7880行
2. 规则：BR-MB-5C1C6E00304F98
3. 未动态验证</x:v>
      </x:c>
    </x:row>
    <x:row r="46" ht="124" customHeight="1">
      <x:c r="A46" s="4" t="n">
        <x:v>45</x:v>
      </x:c>
      <x:c r="B46" s="4" t="str">
        <x:v>AMB-0045</x:v>
      </x:c>
      <x:c r="C46" s="4" t="str">
        <x:v>M08 礼物·道具·任务·邀请与运营配置</x:v>
      </x:c>
      <x:c r="D46" s="4" t="str">
        <x:v>道具配置-15（平台管理员视角）</x:v>
      </x:c>
      <x:c r="E46" s="4" t="str">
        <x:v>业务流程</x:v>
      </x:c>
      <x:c r="F46" s="4" t="str">
        <x:v>P1</x:v>
      </x:c>
      <x:c r="G46" s="4" t="str">
        <x:v>验证平台管理员在道具配置-15的道具下架</x:v>
      </x:c>
      <x:c r="H46" s="4" t="str">
        <x:v>道具下架</x:v>
      </x:c>
      <x:c r="I46" s="4" t="str">
        <x:v>1. 执行身份为平台管理员
2. 目标道具当前处于上架状态
3. 执行账号已登录
4. 当前账号已授予本页所用操作权限</x:v>
      </x:c>
      <x:c r="J46" s="4" t="str">
        <x:v>1. 进入道具列表
2. 选择该道具
3. 点击下架
4. 点击确认</x:v>
      </x:c>
      <x:c r="K46" s="4" t="str">
        <x:v>目标道具状态变为下架</x:v>
      </x:c>
      <x:c r="L46" s="4" t="str">
        <x:v>MBF-7483F8EC</x:v>
      </x:c>
      <x:c r="M46" s="4" t="str">
        <x:v>未测</x:v>
      </x:c>
      <x:c r="N46" s="4" t="str"/>
      <x:c r="O46" s="4" t="str">
        <x:v>1. 来源（当前证据）：MainBasis/统一需求文档.md；位置：A-admin-prop-list-001，第7726行、A-admin-prop-list-006，第7748行、A-admin-prop-list-007，第7754行
2. 规则：BR-MB-0A4C2D3BFF46F0
3. 未动态验证
4. 共同对象：道具；阶段：道具下架
5. 状态转换：MBT-6F4E192713A4；上架→下架</x:v>
      </x:c>
    </x:row>
    <x:row r="47" ht="82" customHeight="1">
      <x:c r="A47" s="4" t="n">
        <x:v>46</x:v>
      </x:c>
      <x:c r="B47" s="4" t="str">
        <x:v>AMB-0046</x:v>
      </x:c>
      <x:c r="C47" s="4" t="str">
        <x:v>M08 礼物·道具·任务·邀请与运营配置</x:v>
      </x:c>
      <x:c r="D47" s="4" t="str">
        <x:v>门票价格档位（平台管理员视角）</x:v>
      </x:c>
      <x:c r="E47" s="4" t="str">
        <x:v>异常用例</x:v>
      </x:c>
      <x:c r="F47" s="4" t="str">
        <x:v>P1</x:v>
      </x:c>
      <x:c r="G47" s="4" t="str">
        <x:v>验证平台管理员在门票价格档位的最后有效门票档位</x:v>
      </x:c>
      <x:c r="H47" s="4" t="str">
        <x:v>最后有效门票档位</x:v>
      </x:c>
      <x:c r="I47" s="4" t="str">
        <x:v>1. 执行身份为平台管理员
2. 仅剩一个启用的门票价格档位
3. 执行账号已登录
4. 当前账号已授予本页所用操作权限</x:v>
      </x:c>
      <x:c r="J47" s="4" t="str">
        <x:v>1. 进入门票价格档位列表
2. 禁用该档位</x:v>
      </x:c>
      <x:c r="K47" s="4" t="str">
        <x:v>最后一个有效档位不能停用</x:v>
      </x:c>
      <x:c r="L47" s="4" t="str"/>
      <x:c r="M47" s="4" t="str">
        <x:v>未测</x:v>
      </x:c>
      <x:c r="N47" s="4" t="str"/>
      <x:c r="O47" s="4" t="str">
        <x:v>1. 来源（当前证据）：MainBasis/统一需求文档.md；位置：A-admin-ticket-price-level-007，第8344行
2. 规则：BR-MB-EBC4E2C1F14E5B
3. 未动态验证</x:v>
      </x:c>
    </x:row>
    <x:row r="48" ht="82" customHeight="1">
      <x:c r="A48" s="4" t="n">
        <x:v>47</x:v>
      </x:c>
      <x:c r="B48" s="4" t="str">
        <x:v>AMB-0047</x:v>
      </x:c>
      <x:c r="C48" s="4" t="str">
        <x:v>M08 礼物·道具·任务·邀请与运营配置</x:v>
      </x:c>
      <x:c r="D48" s="4" t="str">
        <x:v>门票价格档位编辑（平台管理员视角）</x:v>
      </x:c>
      <x:c r="E48" s="4" t="str">
        <x:v>异常用例</x:v>
      </x:c>
      <x:c r="F48" s="4" t="str">
        <x:v>P1</x:v>
      </x:c>
      <x:c r="G48" s="4" t="str">
        <x:v>验证平台管理员在门票价格档位编辑的门票价格正整数限制</x:v>
      </x:c>
      <x:c r="H48" s="4" t="str">
        <x:v>门票价格正整数限制</x:v>
      </x:c>
      <x:c r="I48" s="4" t="str">
        <x:v>1. 执行身份为平台管理员
2. 其他档位字段合法
3. 执行账号已登录
4. 当前账号已授予本页所用操作权限</x:v>
      </x:c>
      <x:c r="J48" s="4" t="str">
        <x:v>1. 进入门票价格档位详情
2. 输入价格0
3. 点击保存</x:v>
      </x:c>
      <x:c r="K48" s="4" t="str">
        <x:v>该档位不能保存</x:v>
      </x:c>
      <x:c r="L48" s="4" t="str"/>
      <x:c r="M48" s="4" t="str">
        <x:v>未测</x:v>
      </x:c>
      <x:c r="N48" s="4" t="str"/>
      <x:c r="O48" s="4" t="str">
        <x:v>1. 来源（当前证据）：MainBasis/统一需求文档.md；位置：A-admin-ticket-price-level-detail-003，第8366行
2. 规则：BR-MB-218A11AD8F3533
3. 未动态验证</x:v>
      </x:c>
    </x:row>
    <x:row r="49" ht="82" customHeight="1">
      <x:c r="A49" s="4" t="n">
        <x:v>48</x:v>
      </x:c>
      <x:c r="B49" s="4" t="str">
        <x:v>AMB-0048</x:v>
      </x:c>
      <x:c r="C49" s="4" t="str">
        <x:v>M08 礼物·道具·任务·邀请与运营配置</x:v>
      </x:c>
      <x:c r="D49" s="4" t="str">
        <x:v>门票价格档位编辑（平台管理员视角）</x:v>
      </x:c>
      <x:c r="E49" s="4" t="str">
        <x:v>异常用例</x:v>
      </x:c>
      <x:c r="F49" s="4" t="str">
        <x:v>P1</x:v>
      </x:c>
      <x:c r="G49" s="4" t="str">
        <x:v>验证平台管理员在门票价格档位编辑的门票价格正整数限制</x:v>
      </x:c>
      <x:c r="H49" s="4" t="str">
        <x:v>门票价格正整数限制</x:v>
      </x:c>
      <x:c r="I49" s="4" t="str">
        <x:v>1. 执行身份为平台管理员
2. 其他档位字段合法
3. 执行账号已登录
4. 当前账号已授予本页所用操作权限</x:v>
      </x:c>
      <x:c r="J49" s="4" t="str">
        <x:v>1. 进入门票价格档位详情
2. 输入价格-1
3. 点击保存</x:v>
      </x:c>
      <x:c r="K49" s="4" t="str">
        <x:v>该档位不能保存</x:v>
      </x:c>
      <x:c r="L49" s="4" t="str"/>
      <x:c r="M49" s="4" t="str">
        <x:v>未测</x:v>
      </x:c>
      <x:c r="N49" s="4" t="str"/>
      <x:c r="O49" s="4" t="str">
        <x:v>1. 来源（当前证据）：MainBasis/统一需求文档.md；位置：A-admin-ticket-price-level-detail-003，第8366行
2. 规则：BR-MB-A217842D703AC7
3. 未动态验证</x:v>
      </x:c>
    </x:row>
    <x:row r="50" ht="82" customHeight="1">
      <x:c r="A50" s="4" t="n">
        <x:v>49</x:v>
      </x:c>
      <x:c r="B50" s="4" t="str">
        <x:v>AMB-0049</x:v>
      </x:c>
      <x:c r="C50" s="4" t="str">
        <x:v>M08 礼物·道具·任务·邀请与运营配置</x:v>
      </x:c>
      <x:c r="D50" s="4" t="str">
        <x:v>门票价格档位编辑（平台管理员视角）</x:v>
      </x:c>
      <x:c r="E50" s="4" t="str">
        <x:v>异常用例</x:v>
      </x:c>
      <x:c r="F50" s="4" t="str">
        <x:v>P1</x:v>
      </x:c>
      <x:c r="G50" s="4" t="str">
        <x:v>验证平台管理员在门票价格档位编辑的门票价格正整数限制</x:v>
      </x:c>
      <x:c r="H50" s="4" t="str">
        <x:v>门票价格正整数限制</x:v>
      </x:c>
      <x:c r="I50" s="4" t="str">
        <x:v>1. 执行身份为平台管理员
2. 其他档位字段合法
3. 执行账号已登录
4. 当前账号已授予本页所用操作权限</x:v>
      </x:c>
      <x:c r="J50" s="4" t="str">
        <x:v>1. 进入门票价格档位详情
2. 输入价格1.5
3. 点击保存</x:v>
      </x:c>
      <x:c r="K50" s="4" t="str">
        <x:v>该档位不能保存</x:v>
      </x:c>
      <x:c r="L50" s="4" t="str"/>
      <x:c r="M50" s="4" t="str">
        <x:v>未测</x:v>
      </x:c>
      <x:c r="N50" s="4" t="str"/>
      <x:c r="O50" s="4" t="str">
        <x:v>1. 来源（当前证据）：MainBasis/统一需求文档.md；位置：A-admin-ticket-price-level-detail-003，第8366行
2. 规则：BR-MB-EFDDE180ABFAC1
3. 未动态验证</x:v>
      </x:c>
    </x:row>
    <x:row r="51" ht="96" customHeight="1">
      <x:c r="A51" s="4" t="n">
        <x:v>50</x:v>
      </x:c>
      <x:c r="B51" s="4" t="str">
        <x:v>AMB-0050</x:v>
      </x:c>
      <x:c r="C51" s="4" t="str">
        <x:v>M08 礼物·道具·任务·邀请与运营配置</x:v>
      </x:c>
      <x:c r="D51" s="4" t="str">
        <x:v>门票价格档位编辑（平台管理员视角）</x:v>
      </x:c>
      <x:c r="E51" s="4" t="str">
        <x:v>异常用例</x:v>
      </x:c>
      <x:c r="F51" s="4" t="str">
        <x:v>P1</x:v>
      </x:c>
      <x:c r="G51" s="4" t="str">
        <x:v>验证平台管理员在门票价格档位编辑的门票价格唯一</x:v>
      </x:c>
      <x:c r="H51" s="4" t="str">
        <x:v>门票价格唯一</x:v>
      </x:c>
      <x:c r="I51" s="4" t="str">
        <x:v>1. 执行身份为平台管理员
2. 已经存在100金币档位
3. 新建档位其他字段合法
4. 执行账号已登录
5. 当前账号已授予本页所用操作权限</x:v>
      </x:c>
      <x:c r="J51" s="4" t="str">
        <x:v>1. 进入新增门票价格档位
2. 输入价格100
3. 点击保存</x:v>
      </x:c>
      <x:c r="K51" s="4" t="str">
        <x:v>不能新增重复价格档位</x:v>
      </x:c>
      <x:c r="L51" s="4" t="str"/>
      <x:c r="M51" s="4" t="str">
        <x:v>未测</x:v>
      </x:c>
      <x:c r="N51" s="4" t="str"/>
      <x:c r="O51" s="4" t="str">
        <x:v>1. 来源（当前证据）：MainBasis/统一需求文档.md；位置：A-admin-ticket-price-level-detail-003，第8366行
2. 规则：BR-MB-544EB3222D9BB9
3. 未动态验证</x:v>
      </x:c>
    </x:row>
    <x:row r="52" ht="82" customHeight="1">
      <x:c r="A52" s="4" t="n">
        <x:v>51</x:v>
      </x:c>
      <x:c r="B52" s="4" t="str">
        <x:v>AMB-0051</x:v>
      </x:c>
      <x:c r="C52" s="4" t="str">
        <x:v>M09 运营账号·虚拟金币与公会消息</x:v>
      </x:c>
      <x:c r="D52" s="4" t="str">
        <x:v>运营账号主页（平台管理员视角）</x:v>
      </x:c>
      <x:c r="E52" s="4" t="str">
        <x:v>异常用例</x:v>
      </x:c>
      <x:c r="F52" s="4" t="str">
        <x:v>P1</x:v>
      </x:c>
      <x:c r="G52" s="4" t="str">
        <x:v>验证平台管理员在运营账号主页的平台运营资料权限</x:v>
      </x:c>
      <x:c r="H52" s="4" t="str">
        <x:v>平台运营资料权限</x:v>
      </x:c>
      <x:c r="I52" s="4" t="str">
        <x:v>1. 执行身份为平台管理员
2. 目标为公会创建的运营账号
3. 执行账号已登录
4. 当前账号已授予本页所用操作权限</x:v>
      </x:c>
      <x:c r="J52" s="4" t="str">
        <x:v>1. 进入运营账号详情</x:v>
      </x:c>
      <x:c r="K52" s="4" t="str">
        <x:v>不能编辑运营账号资料</x:v>
      </x:c>
      <x:c r="L52" s="4" t="str"/>
      <x:c r="M52" s="4" t="str">
        <x:v>未测</x:v>
      </x:c>
      <x:c r="N52" s="4" t="str"/>
      <x:c r="O52" s="4" t="str">
        <x:v>1. 来源（当前证据）：MainBasis/统一需求文档.md；位置：A-admin-operation-account-detail-008，第8802行
2. 规则：BR-MB-0B7D5F21B745D7
3. 未动态验证</x:v>
      </x:c>
    </x:row>
    <x:row r="53" ht="82" customHeight="1">
      <x:c r="A53" s="4" t="n">
        <x:v>52</x:v>
      </x:c>
      <x:c r="B53" s="4" t="str">
        <x:v>AMB-0052</x:v>
      </x:c>
      <x:c r="C53" s="4" t="str">
        <x:v>M09 运营账号·虚拟金币与公会消息</x:v>
      </x:c>
      <x:c r="D53" s="4" t="str">
        <x:v>运营账号主页（平台管理员视角）</x:v>
      </x:c>
      <x:c r="E53" s="4" t="str">
        <x:v>异常用例</x:v>
      </x:c>
      <x:c r="F53" s="4" t="str">
        <x:v>P1</x:v>
      </x:c>
      <x:c r="G53" s="4" t="str">
        <x:v>验证平台管理员在运营账号主页的平台运营密码权限</x:v>
      </x:c>
      <x:c r="H53" s="4" t="str">
        <x:v>平台运营密码权限</x:v>
      </x:c>
      <x:c r="I53" s="4" t="str">
        <x:v>1. 执行身份为平台管理员
2. 目标为公会创建的运营账号
3. 执行账号已登录
4. 当前账号已授予本页所用操作权限</x:v>
      </x:c>
      <x:c r="J53" s="4" t="str">
        <x:v>1. 进入运营账号详情</x:v>
      </x:c>
      <x:c r="K53" s="4" t="str">
        <x:v>不能重置运营账号密码</x:v>
      </x:c>
      <x:c r="L53" s="4" t="str"/>
      <x:c r="M53" s="4" t="str">
        <x:v>未测</x:v>
      </x:c>
      <x:c r="N53" s="4" t="str"/>
      <x:c r="O53" s="4" t="str">
        <x:v>1. 来源（当前证据）：MainBasis/统一需求文档.md；位置：A-admin-operation-account-detail-008，第8802行
2. 规则：BR-MB-502644FD56680C
3. 未动态验证</x:v>
      </x:c>
    </x:row>
    <x:row r="54" ht="82" customHeight="1">
      <x:c r="A54" s="4" t="n">
        <x:v>53</x:v>
      </x:c>
      <x:c r="B54" s="4" t="str">
        <x:v>AMB-0053</x:v>
      </x:c>
      <x:c r="C54" s="4" t="str">
        <x:v>M09 运营账号·虚拟金币与公会消息</x:v>
      </x:c>
      <x:c r="D54" s="4" t="str">
        <x:v>额度限制-52（平台管理员视角）</x:v>
      </x:c>
      <x:c r="E54" s="4" t="str">
        <x:v>异常用例</x:v>
      </x:c>
      <x:c r="F54" s="4" t="str">
        <x:v>P1</x:v>
      </x:c>
      <x:c r="G54" s="4" t="str">
        <x:v>验证平台管理员在额度限制-52的公会发币额度下限</x:v>
      </x:c>
      <x:c r="H54" s="4" t="str">
        <x:v>公会发币额度下限</x:v>
      </x:c>
      <x:c r="I54" s="4" t="str">
        <x:v>1. 执行身份为平台管理员
2. 目标公会本月已发放200金币
3. 执行账号已登录
4. 当前账号已授予本页所用操作权限</x:v>
      </x:c>
      <x:c r="J54" s="4" t="str">
        <x:v>1. 进入公会运营额度控制
2. 将公会月上限修改为199
3. 点击保存</x:v>
      </x:c>
      <x:c r="K54" s="4" t="str">
        <x:v>不能保存低于本月已发放量的上限</x:v>
      </x:c>
      <x:c r="L54" s="4" t="str"/>
      <x:c r="M54" s="4" t="str">
        <x:v>未测</x:v>
      </x:c>
      <x:c r="N54" s="4" t="str"/>
      <x:c r="O54" s="4" t="str">
        <x:v>1. 来源（当前证据）：MainBasis/统一需求文档.md；位置：A-admin-operation-guild-controls-010，第8956行
2. 规则：BR-MB-6EB4F8902851CB
3. 未动态验证</x:v>
      </x:c>
    </x:row>
    <x:row r="55" ht="110" customHeight="1">
      <x:c r="A55" s="4" t="n">
        <x:v>54</x:v>
      </x:c>
      <x:c r="B55" s="4" t="str">
        <x:v>AMB-0054</x:v>
      </x:c>
      <x:c r="C55" s="4" t="str">
        <x:v>M09 运营账号·虚拟金币与公会消息</x:v>
      </x:c>
      <x:c r="D55" s="4" t="str">
        <x:v>额度限制-52（平台管理员视角）</x:v>
      </x:c>
      <x:c r="E55" s="4" t="str">
        <x:v>异常用例</x:v>
      </x:c>
      <x:c r="F55" s="4" t="str">
        <x:v>P1</x:v>
      </x:c>
      <x:c r="G55" s="4" t="str">
        <x:v>验证平台管理员在额度限制-52的单账号额度下限</x:v>
      </x:c>
      <x:c r="H55" s="4" t="str">
        <x:v>单账号额度下限</x:v>
      </x:c>
      <x:c r="I55" s="4" t="str">
        <x:v>1. 执行身份为平台管理员
2. 目标公会月上限1000
3. 本月单账号最高已发放300金币
4. 执行账号已登录
5. 当前账号已授予本页所用操作权限</x:v>
      </x:c>
      <x:c r="J55" s="4" t="str">
        <x:v>1. 进入公会运营额度控制
2. 将单账号月上限修改为299
3. 点击保存</x:v>
      </x:c>
      <x:c r="K55" s="4" t="str">
        <x:v>不能保存低于单账号最高已发放量的上限</x:v>
      </x:c>
      <x:c r="L55" s="4" t="str"/>
      <x:c r="M55" s="4" t="str">
        <x:v>未测</x:v>
      </x:c>
      <x:c r="N55" s="4" t="str"/>
      <x:c r="O55" s="4" t="str">
        <x:v>1. 来源（当前证据）：MainBasis/统一需求文档.md；位置：A-admin-operation-guild-controls-010，第8956行
2. 规则：BR-MB-4178E045D2909F
3. 未动态验证</x:v>
      </x:c>
    </x:row>
    <x:row r="56" ht="96" customHeight="1">
      <x:c r="A56" s="4" t="n">
        <x:v>55</x:v>
      </x:c>
      <x:c r="B56" s="4" t="str">
        <x:v>AMB-0055</x:v>
      </x:c>
      <x:c r="C56" s="4" t="str">
        <x:v>M09 运营账号·虚拟金币与公会消息</x:v>
      </x:c>
      <x:c r="D56" s="4" t="str">
        <x:v>额度限制-52（平台管理员视角）</x:v>
      </x:c>
      <x:c r="E56" s="4" t="str">
        <x:v>异常用例</x:v>
      </x:c>
      <x:c r="F56" s="4" t="str">
        <x:v>P1</x:v>
      </x:c>
      <x:c r="G56" s="4" t="str">
        <x:v>验证平台管理员在额度限制-52的单账号额度与公会上限</x:v>
      </x:c>
      <x:c r="H56" s="4" t="str">
        <x:v>单账号额度与公会上限</x:v>
      </x:c>
      <x:c r="I56" s="4" t="str">
        <x:v>1. 执行身份为平台管理员
2. 目标公会月上限1000
3. 本月未发币
4. 执行账号已登录
5. 当前账号已授予本页所用操作权限</x:v>
      </x:c>
      <x:c r="J56" s="4" t="str">
        <x:v>1. 进入公会运营额度控制
2. 将单账号月上限修改为1001
3. 点击保存</x:v>
      </x:c>
      <x:c r="K56" s="4" t="str">
        <x:v>单账号上限不能高于公会总上限</x:v>
      </x:c>
      <x:c r="L56" s="4" t="str"/>
      <x:c r="M56" s="4" t="str">
        <x:v>未测</x:v>
      </x:c>
      <x:c r="N56" s="4" t="str"/>
      <x:c r="O56" s="4" t="str">
        <x:v>1. 来源（当前证据）：MainBasis/统一需求文档.md；位置：A-admin-operation-guild-controls-010，第8956行
2. 规则：BR-MB-D151465A7061A0
3. 未动态验证</x:v>
      </x:c>
    </x:row>
    <x:row r="57" ht="82" customHeight="1">
      <x:c r="A57" s="4" t="n">
        <x:v>56</x:v>
      </x:c>
      <x:c r="B57" s="4" t="str">
        <x:v>AMB-0056</x:v>
      </x:c>
      <x:c r="C57" s="4" t="str">
        <x:v>M10 用户管理·审核·举报与巡房</x:v>
      </x:c>
      <x:c r="D57" s="4" t="str">
        <x:v>举报详情（平台管理员视角）</x:v>
      </x:c>
      <x:c r="E57" s="4" t="str">
        <x:v>异常用例</x:v>
      </x:c>
      <x:c r="F57" s="4" t="str">
        <x:v>P1</x:v>
      </x:c>
      <x:c r="G57" s="4" t="str">
        <x:v>验证平台管理员在举报详情的举报处置原因必填</x:v>
      </x:c>
      <x:c r="H57" s="4" t="str">
        <x:v>举报处置原因必填</x:v>
      </x:c>
      <x:c r="I57" s="4" t="str">
        <x:v>1. 执行身份为平台管理员
2. 举报待处理且目标仍可处置
3. 执行账号已登录
4. 当前账号已授予本页所用操作权限</x:v>
      </x:c>
      <x:c r="J57" s="4" t="str">
        <x:v>1. 进入举报详情
2. 选择警告
3. 清空原因
4. 点击提交</x:v>
      </x:c>
      <x:c r="K57" s="4" t="str">
        <x:v>不能提交缺少原因的处置</x:v>
      </x:c>
      <x:c r="L57" s="4" t="str"/>
      <x:c r="M57" s="4" t="str">
        <x:v>未测</x:v>
      </x:c>
      <x:c r="N57" s="4" t="str"/>
      <x:c r="O57" s="4" t="str">
        <x:v>1. 来源（当前证据）：MainBasis/统一需求文档.md；位置：A-admin-report-detail-009，第9616行
2. 规则：BR-MB-09CB3DA925A386
3. 未动态验证</x:v>
      </x:c>
    </x:row>
    <x:row r="58" ht="82" customHeight="1">
      <x:c r="A58" s="4" t="n">
        <x:v>57</x:v>
      </x:c>
      <x:c r="B58" s="4" t="str">
        <x:v>AMB-0057</x:v>
      </x:c>
      <x:c r="C58" s="4" t="str">
        <x:v>M10 用户管理·审核·举报与巡房</x:v>
      </x:c>
      <x:c r="D58" s="4" t="str">
        <x:v>内容审核详情（平台管理员视角）</x:v>
      </x:c>
      <x:c r="E58" s="4" t="str">
        <x:v>功能需求</x:v>
      </x:c>
      <x:c r="F58" s="4" t="str">
        <x:v>P1</x:v>
      </x:c>
      <x:c r="G58" s="4" t="str">
        <x:v>验证平台管理员在内容审核详情的忽略告警不处置</x:v>
      </x:c>
      <x:c r="H58" s="4" t="str">
        <x:v>忽略告警不处置</x:v>
      </x:c>
      <x:c r="I58" s="4" t="str">
        <x:v>1. 执行身份为平台管理员
2. 目标告警待处理且直播中
3. 执行账号已登录
4. 当前账号已授予本页所用操作权限</x:v>
      </x:c>
      <x:c r="J58" s="4" t="str">
        <x:v>1. 进入告警详情
2. 选择忽略
3. 输入原因误报
4. 点击提交</x:v>
      </x:c>
      <x:c r="K58" s="4" t="str">
        <x:v>直播场次仍在直播</x:v>
      </x:c>
      <x:c r="L58" s="4" t="str"/>
      <x:c r="M58" s="4" t="str">
        <x:v>未测</x:v>
      </x:c>
      <x:c r="N58" s="4" t="str"/>
      <x:c r="O58" s="4" t="str">
        <x:v>1. 来源（当前证据）：MainBasis/统一需求文档.md；位置：A-admin-content-audit-detail-006，第9468行
2. 规则：BR-MB-6B335B11F975A8
3. 未动态验证</x:v>
      </x:c>
    </x:row>
    <x:row r="59" ht="96" customHeight="1">
      <x:c r="A59" s="4" t="n">
        <x:v>58</x:v>
      </x:c>
      <x:c r="B59" s="4" t="str">
        <x:v>AMB-0058</x:v>
      </x:c>
      <x:c r="C59" s="4" t="str">
        <x:v>M10 用户管理·审核·举报与巡房</x:v>
      </x:c>
      <x:c r="D59" s="4" t="str">
        <x:v>排班详情（平台管理员视角）</x:v>
      </x:c>
      <x:c r="E59" s="4" t="str">
        <x:v>功能需求</x:v>
      </x:c>
      <x:c r="F59" s="4" t="str">
        <x:v>P1</x:v>
      </x:c>
      <x:c r="G59" s="4" t="str">
        <x:v>验证平台管理员在排班详情的巡房名单保留封禁记录</x:v>
      </x:c>
      <x:c r="H59" s="4" t="str">
        <x:v>巡房名单保留封禁记录</x:v>
      </x:c>
      <x:c r="I59" s="4" t="str">
        <x:v>1. 执行身份为平台管理员
2. 排班中的一个用户在排班创建后被封禁
3. 执行账号已登录
4. 当前账号已授予本页所用操作权限</x:v>
      </x:c>
      <x:c r="J59" s="4" t="str">
        <x:v>1. 进入该排班详情</x:v>
      </x:c>
      <x:c r="K59" s="4" t="str">
        <x:v>该用户仍保留在历史排班名单</x:v>
      </x:c>
      <x:c r="L59" s="4" t="str"/>
      <x:c r="M59" s="4" t="str">
        <x:v>未测</x:v>
      </x:c>
      <x:c r="N59" s="4" t="str"/>
      <x:c r="O59" s="4" t="str">
        <x:v>1. 来源（当前证据）：MainBasis/统一需求文档.md；位置：A-admin-inspection-schedule-detail-004，第9382行
2. 规则：BR-MB-C147D14C86BFCA
3. 未动态验证</x:v>
      </x:c>
    </x:row>
    <x:row r="60" ht="82" customHeight="1">
      <x:c r="A60" s="4" t="n">
        <x:v>59</x:v>
      </x:c>
      <x:c r="B60" s="4" t="str">
        <x:v>AMB-0059</x:v>
      </x:c>
      <x:c r="C60" s="4" t="str">
        <x:v>M10 用户管理·审核·举报与巡房</x:v>
      </x:c>
      <x:c r="D60" s="4" t="str">
        <x:v>新建排班（平台管理员视角）</x:v>
      </x:c>
      <x:c r="E60" s="4" t="str">
        <x:v>异常用例</x:v>
      </x:c>
      <x:c r="F60" s="4" t="str">
        <x:v>P1</x:v>
      </x:c>
      <x:c r="G60" s="4" t="str">
        <x:v>验证平台管理员在新建排班的封禁账号巡房限制</x:v>
      </x:c>
      <x:c r="H60" s="4" t="str">
        <x:v>封禁账号巡房限制</x:v>
      </x:c>
      <x:c r="I60" s="4" t="str">
        <x:v>1. 执行身份为平台管理员
2. 目标用户账号已封禁
3. 执行账号已登录
4. 当前账号已授予本页所用操作权限</x:v>
      </x:c>
      <x:c r="J60" s="4" t="str">
        <x:v>1. 进入新增巡房排班
2. 查询目标账号</x:v>
      </x:c>
      <x:c r="K60" s="4" t="str">
        <x:v>该封禁账号不可加入排班</x:v>
      </x:c>
      <x:c r="L60" s="4" t="str"/>
      <x:c r="M60" s="4" t="str">
        <x:v>未测</x:v>
      </x:c>
      <x:c r="N60" s="4" t="str"/>
      <x:c r="O60" s="4" t="str">
        <x:v>1. 来源（当前证据）：MainBasis/统一需求文档.md；位置：A-admin-inspection-schedule-create-005，第9348行
2. 规则：BR-MB-44CEF95E89DFE8
3. 未动态验证</x:v>
      </x:c>
    </x:row>
    <x:row r="61" ht="96" customHeight="1">
      <x:c r="A61" s="4" t="n">
        <x:v>60</x:v>
      </x:c>
      <x:c r="B61" s="4" t="str">
        <x:v>AMB-0060</x:v>
      </x:c>
      <x:c r="C61" s="4" t="str">
        <x:v>M10 用户管理·审核·举报与巡房</x:v>
      </x:c>
      <x:c r="D61" s="4" t="str">
        <x:v>新建排班（平台管理员视角）</x:v>
      </x:c>
      <x:c r="E61" s="4" t="str">
        <x:v>功能需求</x:v>
      </x:c>
      <x:c r="F61" s="4" t="str">
        <x:v>P1</x:v>
      </x:c>
      <x:c r="G61" s="4" t="str">
        <x:v>验证平台管理员在新建排班的排班全选范围</x:v>
      </x:c>
      <x:c r="H61" s="4" t="str">
        <x:v>排班全选范围</x:v>
      </x:c>
      <x:c r="I61" s="4" t="str">
        <x:v>1. 执行身份为平台管理员
2. 搜索结果有2个可选用户，另有1个用户不匹配
3. 执行账号已登录
4. 当前账号已授予本页所用操作权限</x:v>
      </x:c>
      <x:c r="J61" s="4" t="str">
        <x:v>1. 进入新增巡房排班
2. 点击全选当前搜索结果</x:v>
      </x:c>
      <x:c r="K61" s="4" t="str">
        <x:v>只有匹配结果的2个用户被选中</x:v>
      </x:c>
      <x:c r="L61" s="4" t="str"/>
      <x:c r="M61" s="4" t="str">
        <x:v>未测</x:v>
      </x:c>
      <x:c r="N61" s="4" t="str"/>
      <x:c r="O61" s="4" t="str">
        <x:v>1. 来源（当前证据）：MainBasis/统一需求文档.md；位置：A-admin-inspection-schedule-create-006，第9354行
2. 规则：BR-MB-0BC1CF75BBAE4A
3. 未动态验证</x:v>
      </x:c>
    </x:row>
    <x:row r="62" ht="110" customHeight="1">
      <x:c r="A62" s="4" t="n">
        <x:v>61</x:v>
      </x:c>
      <x:c r="B62" s="4" t="str">
        <x:v>AMB-0061</x:v>
      </x:c>
      <x:c r="C62" s="4" t="str">
        <x:v>M10 用户管理·审核·举报与巡房</x:v>
      </x:c>
      <x:c r="D62" s="4" t="str">
        <x:v>用户列表-02（平台管理员视角）</x:v>
      </x:c>
      <x:c r="E62" s="4" t="str">
        <x:v>业务流程</x:v>
      </x:c>
      <x:c r="F62" s="4" t="str">
        <x:v>P1</x:v>
      </x:c>
      <x:c r="G62" s="4" t="str">
        <x:v>验证平台管理员在用户列表-02的平台封禁账号</x:v>
      </x:c>
      <x:c r="H62" s="4" t="str">
        <x:v>平台封禁账号</x:v>
      </x:c>
      <x:c r="I62" s="4" t="str">
        <x:v>1. 执行身份为平台管理员
2. 目标账号为正常状态
3. 执行账号已登录
4. 当前账号已授予本页所用操作权限</x:v>
      </x:c>
      <x:c r="J62" s="4" t="str">
        <x:v>1. 进入用户列表
2. 选择目标账号
3. 点击封禁
4. 输入处置原因违反平台规则
5. 点击确认</x:v>
      </x:c>
      <x:c r="K62" s="4" t="str">
        <x:v>目标账号状态变为封禁</x:v>
      </x:c>
      <x:c r="L62" s="4" t="str">
        <x:v>MBF-082EDB69</x:v>
      </x:c>
      <x:c r="M62" s="4" t="str">
        <x:v>未测</x:v>
      </x:c>
      <x:c r="N62" s="4" t="str"/>
      <x:c r="O62" s="4" t="str">
        <x:v>1. 来源（当前证据）：MainBasis/统一需求文档.md；位置：A-admin-user-list-012，第9104行、D-SYS-120，第634行
2. 规则：BR-MB-25592C5082BBCC
3. 未动态验证
4. 共同对象：用户账号；阶段：平台封禁账号
5. 状态转换：MBT-B679FCAF21BF；正常→封禁</x:v>
      </x:c>
    </x:row>
    <x:row r="63" ht="110" customHeight="1">
      <x:c r="A63" s="4" t="n">
        <x:v>62</x:v>
      </x:c>
      <x:c r="B63" s="4" t="str">
        <x:v>AMB-0062</x:v>
      </x:c>
      <x:c r="C63" s="4" t="str">
        <x:v>M10 用户管理·审核·举报与巡房</x:v>
      </x:c>
      <x:c r="D63" s="4" t="str">
        <x:v>用户列表-02（平台管理员视角）</x:v>
      </x:c>
      <x:c r="E63" s="4" t="str">
        <x:v>业务流程</x:v>
      </x:c>
      <x:c r="F63" s="4" t="str">
        <x:v>P1</x:v>
      </x:c>
      <x:c r="G63" s="4" t="str">
        <x:v>验证平台管理员在用户列表-02的平台解封账号</x:v>
      </x:c>
      <x:c r="H63" s="4" t="str">
        <x:v>平台解封账号</x:v>
      </x:c>
      <x:c r="I63" s="4" t="str">
        <x:v>1. 执行身份为平台管理员
2. 目标账号处于封禁状态
3. 执行账号已登录
4. 当前账号已授予本页所用操作权限</x:v>
      </x:c>
      <x:c r="J63" s="4" t="str">
        <x:v>1. 进入用户列表
2. 选择目标账号
3. 点击解封
4. 输入原因复核通过
5. 点击确认</x:v>
      </x:c>
      <x:c r="K63" s="4" t="str">
        <x:v>目标账号状态变为正常</x:v>
      </x:c>
      <x:c r="L63" s="4" t="str">
        <x:v>MBF-082EDB69</x:v>
      </x:c>
      <x:c r="M63" s="4" t="str">
        <x:v>未测</x:v>
      </x:c>
      <x:c r="N63" s="4" t="str"/>
      <x:c r="O63" s="4" t="str">
        <x:v>1. 来源（当前证据）：MainBasis/统一需求文档.md；位置：A-admin-user-list-012，第9104行、A-admin-user-detail-009，第9152行
2. 规则：BR-MB-78B4555AD8DF51
3. 未动态验证
4. 共同对象：用户账号；阶段：平台解封账号
5. 状态转换：MBT-F2DBE35AB58E；封禁→正常</x:v>
      </x:c>
    </x:row>
    <x:row r="64" ht="124" customHeight="1">
      <x:c r="A64" s="4" t="n">
        <x:v>63</x:v>
      </x:c>
      <x:c r="B64" s="4" t="str">
        <x:v>AMB-0063</x:v>
      </x:c>
      <x:c r="C64" s="4" t="str">
        <x:v>M10 用户管理·审核·举报与巡房</x:v>
      </x:c>
      <x:c r="D64" s="4" t="str">
        <x:v>用户列表-02（平台管理员视角）</x:v>
      </x:c>
      <x:c r="E64" s="4" t="str">
        <x:v>功能需求</x:v>
      </x:c>
      <x:c r="F64" s="4" t="str">
        <x:v>P2</x:v>
      </x:c>
      <x:c r="G64" s="4" t="str">
        <x:v>验证平台管理员在用户列表-02的导出记录范围</x:v>
      </x:c>
      <x:c r="H64" s="4" t="str">
        <x:v>导出记录范围</x:v>
      </x:c>
      <x:c r="I64" s="4" t="str">
        <x:v>1. 平台管理员已登录
2. 当前账号具有本报表查询和导出权限
3. 用户列表-02当前筛选结果只有测试记录A、B，筛选范围外还有记录C
4. 当前账号已授予本页所用操作权限</x:v>
      </x:c>
      <x:c r="J64" s="4" t="str">
        <x:v>1. 点击导出
2. 打开导出文件</x:v>
      </x:c>
      <x:c r="K64" s="4" t="str">
        <x:v>导出文件的记录集合为A、B</x:v>
      </x:c>
      <x:c r="L64" s="4" t="str"/>
      <x:c r="M64" s="4" t="str">
        <x:v>未测</x:v>
      </x:c>
      <x:c r="N64" s="4" t="str"/>
      <x:c r="O64" s="4" t="str">
        <x:v>1. 来源（当前证据）：MainBasis/统一需求文档.md；位置：A-admin-user-list-011，第9100行
2. 规则：BR-MB-7D71D0D4A10E82
3. 未动态验证</x:v>
      </x:c>
    </x:row>
    <x:row r="65" ht="96" customHeight="1">
      <x:c r="A65" s="4" t="n">
        <x:v>64</x:v>
      </x:c>
      <x:c r="B65" s="4" t="str">
        <x:v>AMB-0064</x:v>
      </x:c>
      <x:c r="C65" s="4" t="str">
        <x:v>M10 用户管理·审核·举报与巡房</x:v>
      </x:c>
      <x:c r="D65" s="4" t="str">
        <x:v>用户详情（平台管理员视角）</x:v>
      </x:c>
      <x:c r="E65" s="4" t="str">
        <x:v>功能需求</x:v>
      </x:c>
      <x:c r="F65" s="4" t="str">
        <x:v>P1</x:v>
      </x:c>
      <x:c r="G65" s="4" t="str">
        <x:v>验证平台管理员在用户详情的解封不恢复开播权限</x:v>
      </x:c>
      <x:c r="H65" s="4" t="str">
        <x:v>解封不恢复开播权限</x:v>
      </x:c>
      <x:c r="I65" s="4" t="str">
        <x:v>1. 执行身份为平台管理员
2. 目标账号封禁且直播权限关闭
3. 账号已解封
4. 执行账号已登录
5. 当前账号已授予本页所用操作权限</x:v>
      </x:c>
      <x:c r="J65" s="4" t="str">
        <x:v>1. 进入该主播详情</x:v>
      </x:c>
      <x:c r="K65" s="4" t="str">
        <x:v>直播权限仍为关闭</x:v>
      </x:c>
      <x:c r="L65" s="4" t="str"/>
      <x:c r="M65" s="4" t="str">
        <x:v>未测</x:v>
      </x:c>
      <x:c r="N65" s="4" t="str"/>
      <x:c r="O65" s="4" t="str">
        <x:v>1. 来源（当前证据）：MainBasis/统一需求文档.md；位置：A-admin-user-detail-009，第9152行
2. 规则：BR-MB-EE29B1D98D59DB
3. 未动态验证</x:v>
      </x:c>
    </x:row>
    <x:row r="66" ht="138" customHeight="1">
      <x:c r="A66" s="4" t="n">
        <x:v>65</x:v>
      </x:c>
      <x:c r="B66" s="4" t="str">
        <x:v>AMB-0065</x:v>
      </x:c>
      <x:c r="C66" s="4" t="str">
        <x:v>M10 用户管理·审核·举报与巡房</x:v>
      </x:c>
      <x:c r="D66" s="4" t="str">
        <x:v>用户详情（平台管理员视角）</x:v>
      </x:c>
      <x:c r="E66" s="4" t="str">
        <x:v>逻辑校验</x:v>
      </x:c>
      <x:c r="F66" s="4" t="str">
        <x:v>P1</x:v>
      </x:c>
      <x:c r="G66" s="4" t="str">
        <x:v>验证平台管理员在用户详情的退款金币回收</x:v>
      </x:c>
      <x:c r="H66" s="4" t="str">
        <x:v>退款金币回收</x:v>
      </x:c>
      <x:c r="I66" s="4" t="str">
        <x:v>1. 平台管理员已登录
2. 退款前余额200金币
3. 原订单总到账1000金币
4. 该订单退款已完成
5. 当前账号已授予本页所用操作权限</x:v>
      </x:c>
      <x:c r="J66" s="4" t="str">
        <x:v>1. 进入用户详情
2. 查看金币余额</x:v>
      </x:c>
      <x:c r="K66" s="4" t="str">
        <x:v>金币余额计算结果 = 200 - 1000 = -800 金币</x:v>
      </x:c>
      <x:c r="L66" s="4" t="str">
        <x:v>MBF-2BA2481A</x:v>
      </x:c>
      <x:c r="M66" s="4" t="str">
        <x:v>未测</x:v>
      </x:c>
      <x:c r="N66" s="4" t="str"/>
      <x:c r="O66" s="4" t="str">
        <x:v>1. 来源（当前证据）：MainBasis/统一需求文档.md；位置：A-admin-recharge-order-detail-009，第10318行、A-admin-user-detail-003，第9126行
2. 规则：BR-MB-28E24D4599269F
3. 未动态验证
4. 共同对象：充值订单；阶段：退款金币回收
5. 状态转换：MBT-EF4F685D0934；支付成功且未退款→已退款</x:v>
      </x:c>
    </x:row>
    <x:row r="67" ht="82" customHeight="1">
      <x:c r="A67" s="4" t="n">
        <x:v>66</x:v>
      </x:c>
      <x:c r="B67" s="4" t="str">
        <x:v>AMB-0066</x:v>
      </x:c>
      <x:c r="C67" s="4" t="str">
        <x:v>M10 用户管理·审核·举报与巡房</x:v>
      </x:c>
      <x:c r="D67" s="4" t="str">
        <x:v>直播场次-05（平台管理员视角）</x:v>
      </x:c>
      <x:c r="E67" s="4" t="str">
        <x:v>功能需求</x:v>
      </x:c>
      <x:c r="F67" s="4" t="str">
        <x:v>P1</x:v>
      </x:c>
      <x:c r="G67" s="4" t="str">
        <x:v>验证平台管理员在直播场次-05的已结束场次不可重开</x:v>
      </x:c>
      <x:c r="H67" s="4" t="str">
        <x:v>已结束场次不可重开</x:v>
      </x:c>
      <x:c r="I67" s="4" t="str">
        <x:v>1. 执行身份为平台管理员
2. 目标直播场次已结束
3. 执行账号已登录
4. 当前账号已授予本页所用操作权限</x:v>
      </x:c>
      <x:c r="J67" s="4" t="str">
        <x:v>1. 进入该直播场次详情</x:v>
      </x:c>
      <x:c r="K67" s="4" t="str">
        <x:v>不提供重新开启原场次的操作</x:v>
      </x:c>
      <x:c r="L67" s="4" t="str"/>
      <x:c r="M67" s="4" t="str">
        <x:v>未测</x:v>
      </x:c>
      <x:c r="N67" s="4" t="str"/>
      <x:c r="O67" s="4" t="str">
        <x:v>1. 来源（当前证据）：MainBasis/统一需求文档.md；位置：A-admin-live-management-009，第9210行
2. 规则：BR-MB-D1593AFCDAE3C7
3. 未动态验证</x:v>
      </x:c>
    </x:row>
    <x:row r="68" ht="96" customHeight="1">
      <x:c r="A68" s="4" t="n">
        <x:v>67</x:v>
      </x:c>
      <x:c r="B68" s="4" t="str">
        <x:v>AMB-0067</x:v>
      </x:c>
      <x:c r="C68" s="4" t="str">
        <x:v>M10 用户管理·审核·举报与巡房</x:v>
      </x:c>
      <x:c r="D68" s="4" t="str">
        <x:v>直播类型-22（平台管理员视角）</x:v>
      </x:c>
      <x:c r="E68" s="4" t="str">
        <x:v>功能需求</x:v>
      </x:c>
      <x:c r="F68" s="4" t="str">
        <x:v>P1</x:v>
      </x:c>
      <x:c r="G68" s="4" t="str">
        <x:v>验证平台管理员在直播类型-22的修改分类保留历史场次</x:v>
      </x:c>
      <x:c r="H68" s="4" t="str">
        <x:v>修改分类保留历史场次</x:v>
      </x:c>
      <x:c r="I68" s="4" t="str">
        <x:v>1. 执行身份为平台管理员
2. 历史场次创建时分类为A
3. 分类A现已停用
4. 执行账号已登录
5. 当前账号已授予本页所用操作权限</x:v>
      </x:c>
      <x:c r="J68" s="4" t="str">
        <x:v>1. 进入该历史场次详情</x:v>
      </x:c>
      <x:c r="K68" s="4" t="str">
        <x:v>该场次分类仍显示创建时的A</x:v>
      </x:c>
      <x:c r="L68" s="4" t="str"/>
      <x:c r="M68" s="4" t="str">
        <x:v>未测</x:v>
      </x:c>
      <x:c r="N68" s="4" t="str"/>
      <x:c r="O68" s="4" t="str">
        <x:v>1. 来源（当前证据）：MainBasis/统一需求文档.md；位置：A-admin-live-type-005，第9734行
2. 规则：BR-MB-4BECA7C3F9DAFD
3. 未动态验证</x:v>
      </x:c>
    </x:row>
    <x:row r="69" ht="82" customHeight="1">
      <x:c r="A69" s="4" t="n">
        <x:v>68</x:v>
      </x:c>
      <x:c r="B69" s="4" t="str">
        <x:v>AMB-0068</x:v>
      </x:c>
      <x:c r="C69" s="4" t="str">
        <x:v>M10 用户管理·审核·举报与巡房</x:v>
      </x:c>
      <x:c r="D69" s="4" t="str">
        <x:v>直播详情（平台管理员视角）</x:v>
      </x:c>
      <x:c r="E69" s="4" t="str">
        <x:v>功能需求</x:v>
      </x:c>
      <x:c r="F69" s="4" t="str">
        <x:v>P1</x:v>
      </x:c>
      <x:c r="G69" s="4" t="str">
        <x:v>验证平台管理员在直播详情的平台警告保留直播</x:v>
      </x:c>
      <x:c r="H69" s="4" t="str">
        <x:v>平台警告保留直播</x:v>
      </x:c>
      <x:c r="I69" s="4" t="str">
        <x:v>1. 执行身份为平台管理员
2. 目标场次正在直播
3. 执行账号已登录
4. 当前账号已授予本页所用操作权限</x:v>
      </x:c>
      <x:c r="J69" s="4" t="str">
        <x:v>1. 进入该直播详情
2. 点击警告
3. 输入原因调整内容
4. 点击确认</x:v>
      </x:c>
      <x:c r="K69" s="4" t="str">
        <x:v>场次仍为直播中</x:v>
      </x:c>
      <x:c r="L69" s="4" t="str"/>
      <x:c r="M69" s="4" t="str">
        <x:v>未测</x:v>
      </x:c>
      <x:c r="N69" s="4" t="str"/>
      <x:c r="O69" s="4" t="str">
        <x:v>1. 来源（当前证据）：MainBasis/统一需求文档.md；位置：A-admin-live-detail-008，第9260行、A-admin-live-detail-009，第9266行
2. 规则：BR-MB-B1CDF3E6D284E6
3. 未动态验证</x:v>
      </x:c>
    </x:row>
    <x:row r="70" ht="124" customHeight="1">
      <x:c r="A70" s="4" t="n">
        <x:v>69</x:v>
      </x:c>
      <x:c r="B70" s="4" t="str">
        <x:v>AMB-0069</x:v>
      </x:c>
      <x:c r="C70" s="4" t="str">
        <x:v>M10 用户管理·审核·举报与巡房</x:v>
      </x:c>
      <x:c r="D70" s="4" t="str">
        <x:v>直播详情（平台管理员视角）</x:v>
      </x:c>
      <x:c r="E70" s="4" t="str">
        <x:v>业务流程</x:v>
      </x:c>
      <x:c r="F70" s="4" t="str">
        <x:v>P1</x:v>
      </x:c>
      <x:c r="G70" s="4" t="str">
        <x:v>验证平台管理员在直播详情的平台关播</x:v>
      </x:c>
      <x:c r="H70" s="4" t="str">
        <x:v>平台关播</x:v>
      </x:c>
      <x:c r="I70" s="4" t="str">
        <x:v>1. 执行身份为平台管理员
2. 目标场次正在直播
3. 执行账号已登录
4. 当前账号已授予本页所用操作权限</x:v>
      </x:c>
      <x:c r="J70" s="4" t="str">
        <x:v>1. 进入该直播详情
2. 点击关播
3. 输入原因违规直播
4. 点击确认</x:v>
      </x:c>
      <x:c r="K70" s="4" t="str">
        <x:v>场次状态变为已结束</x:v>
      </x:c>
      <x:c r="L70" s="4" t="str">
        <x:v>MBF-3316A78D</x:v>
      </x:c>
      <x:c r="M70" s="4" t="str">
        <x:v>未测</x:v>
      </x:c>
      <x:c r="N70" s="4" t="str"/>
      <x:c r="O70" s="4" t="str">
        <x:v>1. 来源（当前证据）：MainBasis/统一需求文档.md；位置：A-admin-live-detail-008，第9260行、A-admin-live-detail-009，第9266行
2. 规则：BR-MB-9F813B139B1CFA
3. 未动态验证
4. 共同对象：直播场次；阶段：平台关播
5. 状态转换：MBT-7FB96D065F3B；直播中→已结束</x:v>
      </x:c>
    </x:row>
    <x:row r="71" ht="96" customHeight="1">
      <x:c r="A71" s="4" t="n">
        <x:v>70</x:v>
      </x:c>
      <x:c r="B71" s="4" t="str">
        <x:v>AMB-0070</x:v>
      </x:c>
      <x:c r="C71" s="4" t="str">
        <x:v>M10 用户管理·审核·举报与巡房</x:v>
      </x:c>
      <x:c r="D71" s="4" t="str">
        <x:v>直播间违规-09（平台管理员视角）</x:v>
      </x:c>
      <x:c r="E71" s="4" t="str">
        <x:v>功能需求</x:v>
      </x:c>
      <x:c r="F71" s="4" t="str">
        <x:v>P1</x:v>
      </x:c>
      <x:c r="G71" s="4" t="str">
        <x:v>验证平台管理员在直播间违规-09的待处理举报自动作废</x:v>
      </x:c>
      <x:c r="H71" s="4" t="str">
        <x:v>待处理举报自动作废</x:v>
      </x:c>
      <x:c r="I71" s="4" t="str">
        <x:v>1. 执行身份为平台管理员
2. 直播举报仍待处理
3. 所举报场次现已结束
4. 执行账号已登录
5. 当前账号已授予本页所用操作权限</x:v>
      </x:c>
      <x:c r="J71" s="4" t="str">
        <x:v>1. 进入直播举报列表
2. 打开该工单</x:v>
      </x:c>
      <x:c r="K71" s="4" t="str">
        <x:v>工单状态显示已作废</x:v>
      </x:c>
      <x:c r="L71" s="4" t="str"/>
      <x:c r="M71" s="4" t="str">
        <x:v>未测</x:v>
      </x:c>
      <x:c r="N71" s="4" t="str"/>
      <x:c r="O71" s="4" t="str">
        <x:v>1. 来源（当前证据）：MainBasis/统一需求文档.md；位置：A-admin-report-handling-007，第9560行
2. 规则：BR-MB-B931DDB4066A99
3. 未动态验证</x:v>
      </x:c>
    </x:row>
    <x:row r="72" ht="82" customHeight="1">
      <x:c r="A72" s="4" t="n">
        <x:v>71</x:v>
      </x:c>
      <x:c r="B72" s="4" t="str">
        <x:v>AMB-0071</x:v>
      </x:c>
      <x:c r="C72" s="4" t="str">
        <x:v>M10 用户管理·审核·举报与巡房</x:v>
      </x:c>
      <x:c r="D72" s="4" t="str">
        <x:v>直播间违规-09（平台管理员视角）</x:v>
      </x:c>
      <x:c r="E72" s="4" t="str">
        <x:v>异常用例</x:v>
      </x:c>
      <x:c r="F72" s="4" t="str">
        <x:v>P1</x:v>
      </x:c>
      <x:c r="G72" s="4" t="str">
        <x:v>验证平台管理员在直播间违规-09的已处理举报只读</x:v>
      </x:c>
      <x:c r="H72" s="4" t="str">
        <x:v>已处理举报只读</x:v>
      </x:c>
      <x:c r="I72" s="4" t="str">
        <x:v>1. 执行身份为平台管理员
2. 直播举报工单已经处理完成
3. 执行账号已登录
4. 当前账号已授予本页所用操作权限</x:v>
      </x:c>
      <x:c r="J72" s="4" t="str">
        <x:v>1. 进入该举报详情</x:v>
      </x:c>
      <x:c r="K72" s="4" t="str">
        <x:v>不能再次提交处置</x:v>
      </x:c>
      <x:c r="L72" s="4" t="str"/>
      <x:c r="M72" s="4" t="str">
        <x:v>未测</x:v>
      </x:c>
      <x:c r="N72" s="4" t="str"/>
      <x:c r="O72" s="4" t="str">
        <x:v>1. 来源（当前证据）：MainBasis/统一需求文档.md；位置：A-admin-report-handling-008，第9566行
2. 规则：BR-MB-F9881E1503CC6B
3. 未动态验证</x:v>
      </x:c>
    </x:row>
    <x:row r="73" ht="82" customHeight="1">
      <x:c r="A73" s="4" t="n">
        <x:v>72</x:v>
      </x:c>
      <x:c r="B73" s="4" t="str">
        <x:v>AMB-0072</x:v>
      </x:c>
      <x:c r="C73" s="4" t="str">
        <x:v>M10 用户管理·审核·举报与巡房</x:v>
      </x:c>
      <x:c r="D73" s="4" t="str">
        <x:v>账号违规-08（平台管理员视角）</x:v>
      </x:c>
      <x:c r="E73" s="4" t="str">
        <x:v>功能需求</x:v>
      </x:c>
      <x:c r="F73" s="4" t="str">
        <x:v>P1</x:v>
      </x:c>
      <x:c r="G73" s="4" t="str">
        <x:v>验证平台管理员在账号违规-08的账号举报不自动封禁</x:v>
      </x:c>
      <x:c r="H73" s="4" t="str">
        <x:v>账号举报不自动封禁</x:v>
      </x:c>
      <x:c r="I73" s="4" t="str">
        <x:v>1. 执行身份为平台管理员
2. 正常账号新收到举报且未处置
3. 执行账号已登录
4. 当前账号已授予本页所用操作权限</x:v>
      </x:c>
      <x:c r="J73" s="4" t="str">
        <x:v>1. 进入被举报账号详情</x:v>
      </x:c>
      <x:c r="K73" s="4" t="str">
        <x:v>账号仍为正常状态</x:v>
      </x:c>
      <x:c r="L73" s="4" t="str"/>
      <x:c r="M73" s="4" t="str">
        <x:v>未测</x:v>
      </x:c>
      <x:c r="N73" s="4" t="str"/>
      <x:c r="O73" s="4" t="str">
        <x:v>1. 来源（当前证据）：MainBasis/统一需求文档.md；位置：A-admin-account-violation-007，第9514行
2. 规则：BR-MB-48311B1E9A70B6
3. 未动态验证</x:v>
      </x:c>
    </x:row>
    <x:row r="74" ht="110" customHeight="1">
      <x:c r="A74" s="4" t="n">
        <x:v>73</x:v>
      </x:c>
      <x:c r="B74" s="4" t="str">
        <x:v>AMB-0073</x:v>
      </x:c>
      <x:c r="C74" s="4" t="str">
        <x:v>M10 用户管理·审核·举报与巡房</x:v>
      </x:c>
      <x:c r="D74" s="4" t="str">
        <x:v>违规类型-10（平台管理员视角）</x:v>
      </x:c>
      <x:c r="E74" s="4" t="str">
        <x:v>功能需求</x:v>
      </x:c>
      <x:c r="F74" s="4" t="str">
        <x:v>P1</x:v>
      </x:c>
      <x:c r="G74" s="4" t="str">
        <x:v>验证平台管理员在违规类型-10的停用举报类型保留快照</x:v>
      </x:c>
      <x:c r="H74" s="4" t="str">
        <x:v>停用举报类型保留快照</x:v>
      </x:c>
      <x:c r="I74" s="4" t="str">
        <x:v>1. 执行身份为平台管理员
2. 已有使用违规类型A的历史举报
3. 违规类型A已停用
4. 执行账号已登录
5. 当前账号已授予本页所用操作权限</x:v>
      </x:c>
      <x:c r="J74" s="4" t="str">
        <x:v>1. 进入该历史举报详情</x:v>
      </x:c>
      <x:c r="K74" s="4" t="str">
        <x:v>历史举报仍显示提交时类型A</x:v>
      </x:c>
      <x:c r="L74" s="4" t="str"/>
      <x:c r="M74" s="4" t="str">
        <x:v>未测</x:v>
      </x:c>
      <x:c r="N74" s="4" t="str"/>
      <x:c r="O74" s="4" t="str">
        <x:v>1. 来源（当前证据）：MainBasis/统一需求文档.md；位置：A-admin-violation-types-007，第9656行
2. 规则：BR-MB-1B567BA7B1A645
3. 未动态验证</x:v>
      </x:c>
    </x:row>
    <x:row r="75" ht="96" customHeight="1">
      <x:c r="A75" s="4" t="n">
        <x:v>74</x:v>
      </x:c>
      <x:c r="B75" s="4" t="str">
        <x:v>AMB-0074</x:v>
      </x:c>
      <x:c r="C75" s="4" t="str">
        <x:v>M11 财务·退款·结算上传与账户调整</x:v>
      </x:c>
      <x:c r="D75" s="4" t="str">
        <x:v>主播余额变更记录（财务人员视角）</x:v>
      </x:c>
      <x:c r="E75" s="4" t="str">
        <x:v>异常用例</x:v>
      </x:c>
      <x:c r="F75" s="4" t="str">
        <x:v>P1</x:v>
      </x:c>
      <x:c r="G75" s="4" t="str">
        <x:v>验证财务人员在主播余额变更记录的余额负向修正上限</x:v>
      </x:c>
      <x:c r="H75" s="4" t="str">
        <x:v>余额负向修正上限</x:v>
      </x:c>
      <x:c r="I75" s="4" t="str">
        <x:v>1. 执行身份为财务人员
2. 目标账户余额100
3. 调整原因已填写
4. 执行账号已登录
5. 当前账号已授予本页所用操作权限</x:v>
      </x:c>
      <x:c r="J75" s="4" t="str">
        <x:v>1. 进入主播余额变更记录
2. 点击余额变更
3. 输入调整金额-101
4. 点击确认</x:v>
      </x:c>
      <x:c r="K75" s="4" t="str">
        <x:v>不能提交超过当前余额的负向修正</x:v>
      </x:c>
      <x:c r="L75" s="4" t="str"/>
      <x:c r="M75" s="4" t="str">
        <x:v>未测</x:v>
      </x:c>
      <x:c r="N75" s="4" t="str"/>
      <x:c r="O75" s="4" t="str">
        <x:v>1. 来源（当前证据）：MainBasis/统一需求文档.md；位置：A-admin-host-balance-change-record-007，第10054行
2. 规则：BR-MB-39FED986E63BBC
3. 未动态验证</x:v>
      </x:c>
    </x:row>
    <x:row r="76" ht="96" customHeight="1">
      <x:c r="A76" s="4" t="n">
        <x:v>75</x:v>
      </x:c>
      <x:c r="B76" s="4" t="str">
        <x:v>AMB-0075</x:v>
      </x:c>
      <x:c r="C76" s="4" t="str">
        <x:v>M11 财务·退款·结算上传与账户调整</x:v>
      </x:c>
      <x:c r="D76" s="4" t="str">
        <x:v>主播余额变更记录（财务人员视角）</x:v>
      </x:c>
      <x:c r="E76" s="4" t="str">
        <x:v>功能需求</x:v>
      </x:c>
      <x:c r="F76" s="4" t="str">
        <x:v>P1</x:v>
      </x:c>
      <x:c r="G76" s="4" t="str">
        <x:v>验证财务人员在主播余额变更记录的余额修正为零</x:v>
      </x:c>
      <x:c r="H76" s="4" t="str">
        <x:v>余额修正为零</x:v>
      </x:c>
      <x:c r="I76" s="4" t="str">
        <x:v>1. 执行身份为财务人员
2. 目标账户余额100
3. 调整原因已填写
4. 执行账号已登录
5. 当前账号已授予本页所用操作权限</x:v>
      </x:c>
      <x:c r="J76" s="4" t="str">
        <x:v>1. 进入主播余额变更记录
2. 点击余额变更
3. 输入调整金额-100
4. 点击确认</x:v>
      </x:c>
      <x:c r="K76" s="4" t="str">
        <x:v>账户余额变为0</x:v>
      </x:c>
      <x:c r="L76" s="4" t="str"/>
      <x:c r="M76" s="4" t="str">
        <x:v>未测</x:v>
      </x:c>
      <x:c r="N76" s="4" t="str"/>
      <x:c r="O76" s="4" t="str">
        <x:v>1. 来源（当前证据）：MainBasis/统一需求文档.md；位置：A-admin-host-balance-change-record-007，第10054行
2. 规则：BR-MB-BECB58995E1DC8
3. 未动态验证</x:v>
      </x:c>
    </x:row>
    <x:row r="77" ht="96" customHeight="1">
      <x:c r="A77" s="4" t="n">
        <x:v>76</x:v>
      </x:c>
      <x:c r="B77" s="4" t="str">
        <x:v>AMB-0076</x:v>
      </x:c>
      <x:c r="C77" s="4" t="str">
        <x:v>M11 财务·退款·结算上传与账户调整</x:v>
      </x:c>
      <x:c r="D77" s="4" t="str">
        <x:v>主播余额变更记录（财务人员视角）</x:v>
      </x:c>
      <x:c r="E77" s="4" t="str">
        <x:v>异常用例</x:v>
      </x:c>
      <x:c r="F77" s="4" t="str">
        <x:v>P1</x:v>
      </x:c>
      <x:c r="G77" s="4" t="str">
        <x:v>验证财务人员在主播余额变更记录的修正流水不可修改</x:v>
      </x:c>
      <x:c r="H77" s="4" t="str">
        <x:v>修正流水不可修改</x:v>
      </x:c>
      <x:c r="I77" s="4" t="str">
        <x:v>1. 执行身份为财务人员
2. 主播账户已有一笔余额修正流水
3. 执行账号已登录
4. 当前账号已授予本页所用操作权限</x:v>
      </x:c>
      <x:c r="J77" s="4" t="str">
        <x:v>1. 进入主播余额变更记录
2. 打开该修正流水</x:v>
      </x:c>
      <x:c r="K77" s="4" t="str">
        <x:v>该修正流水不可修改</x:v>
      </x:c>
      <x:c r="L77" s="4" t="str"/>
      <x:c r="M77" s="4" t="str">
        <x:v>未测</x:v>
      </x:c>
      <x:c r="N77" s="4" t="str"/>
      <x:c r="O77" s="4" t="str">
        <x:v>1. 来源（当前证据）：MainBasis/统一需求文档.md；位置：A-admin-host-balance-change-record-008，第10060行
2. 规则：BR-MB-D45B6FCAC2F482
3. 未动态验证</x:v>
      </x:c>
    </x:row>
    <x:row r="78" ht="82" customHeight="1">
      <x:c r="A78" s="4" t="n">
        <x:v>77</x:v>
      </x:c>
      <x:c r="B78" s="4" t="str">
        <x:v>AMB-0077</x:v>
      </x:c>
      <x:c r="C78" s="4" t="str">
        <x:v>M11 财务·退款·结算上传与账户调整</x:v>
      </x:c>
      <x:c r="D78" s="4" t="str">
        <x:v>主播分成记录-28（财务人员视角）</x:v>
      </x:c>
      <x:c r="E78" s="4" t="str">
        <x:v>异常用例</x:v>
      </x:c>
      <x:c r="F78" s="4" t="str">
        <x:v>P1</x:v>
      </x:c>
      <x:c r="G78" s="4" t="str">
        <x:v>验证财务人员在主播分成记录-28的导入结算记录锁定</x:v>
      </x:c>
      <x:c r="H78" s="4" t="str">
        <x:v>导入结算记录锁定</x:v>
      </x:c>
      <x:c r="I78" s="4" t="str">
        <x:v>1. 执行身份为财务人员
2. 一批主播结算结果已导入成功
3. 执行账号已登录
4. 当前账号已授予本页所用操作权限</x:v>
      </x:c>
      <x:c r="J78" s="4" t="str">
        <x:v>1. 进入结算记录列表
2. 打开该批次详情</x:v>
      </x:c>
      <x:c r="K78" s="4" t="str">
        <x:v>该批次记录不可编辑</x:v>
      </x:c>
      <x:c r="L78" s="4" t="str"/>
      <x:c r="M78" s="4" t="str">
        <x:v>未测</x:v>
      </x:c>
      <x:c r="N78" s="4" t="str"/>
      <x:c r="O78" s="4" t="str">
        <x:v>1. 来源（当前证据）：MainBasis/统一需求文档.md；位置：A-admin-settlement-record-008，第9944行
2. 规则：BR-MB-2992469FD89C8F
3. 未动态验证</x:v>
      </x:c>
    </x:row>
    <x:row r="79" ht="82" customHeight="1">
      <x:c r="A79" s="4" t="n">
        <x:v>78</x:v>
      </x:c>
      <x:c r="B79" s="4" t="str">
        <x:v>AMB-0078</x:v>
      </x:c>
      <x:c r="C79" s="4" t="str">
        <x:v>M11 财务·退款·结算上传与账户调整</x:v>
      </x:c>
      <x:c r="D79" s="4" t="str">
        <x:v>主播分成记录-28（财务人员视角）</x:v>
      </x:c>
      <x:c r="E79" s="4" t="str">
        <x:v>功能需求</x:v>
      </x:c>
      <x:c r="F79" s="4" t="str">
        <x:v>P1</x:v>
      </x:c>
      <x:c r="G79" s="4" t="str">
        <x:v>验证财务人员在主播分成记录-28的后台无线上结算审批</x:v>
      </x:c>
      <x:c r="H79" s="4" t="str">
        <x:v>后台无线上结算审批</x:v>
      </x:c>
      <x:c r="I79" s="4" t="str">
        <x:v>1. 执行身份为财务人员
2. 执行账号已登录
3. 当前账号已授予本页所用操作权限</x:v>
      </x:c>
      <x:c r="J79" s="4" t="str">
        <x:v>1. 进入主播结算记录</x:v>
      </x:c>
      <x:c r="K79" s="4" t="str">
        <x:v>不提供线上结算审批入口</x:v>
      </x:c>
      <x:c r="L79" s="4" t="str"/>
      <x:c r="M79" s="4" t="str">
        <x:v>未测</x:v>
      </x:c>
      <x:c r="N79" s="4" t="str"/>
      <x:c r="O79" s="4" t="str">
        <x:v>1. 来源（当前证据）：MainBasis/统一需求文档.md；位置：A-admin-settlement-record-007，第9940行
2. 规则：BR-MB-74349B3AFC082F
3. 未动态验证</x:v>
      </x:c>
    </x:row>
    <x:row r="80" ht="82" customHeight="1">
      <x:c r="A80" s="4" t="n">
        <x:v>79</x:v>
      </x:c>
      <x:c r="B80" s="4" t="str">
        <x:v>AMB-0079</x:v>
      </x:c>
      <x:c r="C80" s="4" t="str">
        <x:v>M11 财务·退款·结算上传与账户调整</x:v>
      </x:c>
      <x:c r="D80" s="4" t="str">
        <x:v>主播分成记录详情（财务人员视角）</x:v>
      </x:c>
      <x:c r="E80" s="4" t="str">
        <x:v>异常用例</x:v>
      </x:c>
      <x:c r="F80" s="4" t="str">
        <x:v>P1</x:v>
      </x:c>
      <x:c r="G80" s="4" t="str">
        <x:v>验证财务人员在主播分成记录详情的结算详情只读</x:v>
      </x:c>
      <x:c r="H80" s="4" t="str">
        <x:v>结算详情只读</x:v>
      </x:c>
      <x:c r="I80" s="4" t="str">
        <x:v>1. 执行身份为财务人员
2. 已有导入成功的结算批次
3. 执行账号已登录
4. 当前账号已授予本页所用操作权限</x:v>
      </x:c>
      <x:c r="J80" s="4" t="str">
        <x:v>1. 进入该结算记录详情</x:v>
      </x:c>
      <x:c r="K80" s="4" t="str">
        <x:v>不能编辑线下核算结果</x:v>
      </x:c>
      <x:c r="L80" s="4" t="str"/>
      <x:c r="M80" s="4" t="str">
        <x:v>未测</x:v>
      </x:c>
      <x:c r="N80" s="4" t="str"/>
      <x:c r="O80" s="4" t="str">
        <x:v>1. 来源（当前证据）：MainBasis/统一需求文档.md；位置：A-admin-settlement-record-detail-006，第9986行
2. 规则：BR-MB-0CC49FE18AC69D
3. 未动态验证</x:v>
      </x:c>
    </x:row>
    <x:row r="81" ht="166" customHeight="1">
      <x:c r="A81" s="4" t="n">
        <x:v>80</x:v>
      </x:c>
      <x:c r="B81" s="4" t="str">
        <x:v>AMB-0080</x:v>
      </x:c>
      <x:c r="C81" s="4" t="str">
        <x:v>M11 财务·退款·结算上传与账户调整</x:v>
      </x:c>
      <x:c r="D81" s="4" t="str">
        <x:v>充值订单-25（平台管理员视角）</x:v>
      </x:c>
      <x:c r="E81" s="4" t="str">
        <x:v>业务流程</x:v>
      </x:c>
      <x:c r="F81" s="4" t="str">
        <x:v>P1</x:v>
      </x:c>
      <x:c r="G81" s="4" t="str">
        <x:v>验证平台管理员在充值订单-25的管理员完成充值退款</x:v>
      </x:c>
      <x:c r="H81" s="4" t="str">
        <x:v>管理员完成充值退款</x:v>
      </x:c>
      <x:c r="I81" s="4" t="str">
        <x:v>1. 执行身份为平台管理员
2. 目标订单为充值成功且尚未退款
3. 渠道能完成原路全额退款
4. 执行账号已登录
5. 当前账号已授予本页所用操作权限</x:v>
      </x:c>
      <x:c r="J81" s="4" t="str">
        <x:v>1. 进入该充值订单详情
2. 点击手动退款
3. 输入退款原因测试订单撤销
4. 点击确认
5. 返回充值订单列表</x:v>
      </x:c>
      <x:c r="K81" s="4" t="str">
        <x:v>该订单状态为已退款</x:v>
      </x:c>
      <x:c r="L81" s="4" t="str">
        <x:v>MBF-2BA2481A</x:v>
      </x:c>
      <x:c r="M81" s="4" t="str">
        <x:v>未测</x:v>
      </x:c>
      <x:c r="N81" s="4" t="str"/>
      <x:c r="O81" s="4" t="str">
        <x:v>1. 来源（当前证据）：MainBasis/统一需求文档.md；位置：A-admin-recharge-order-006，第10254行、A-admin-recharge-order-detail-008，第10314行、A-admin-recharge-order-detail-011，第10328行
2. 规则：BR-MB-3400674513DC8D
3. 未动态验证
4. 共同对象：充值订单；阶段：管理员完成充值退款
5. 状态转换：MBT-EF4F685D0934；支付成功且未退款→已退款</x:v>
      </x:c>
    </x:row>
    <x:row r="82" ht="124" customHeight="1">
      <x:c r="A82" s="4" t="n">
        <x:v>81</x:v>
      </x:c>
      <x:c r="B82" s="4" t="str">
        <x:v>AMB-0081</x:v>
      </x:c>
      <x:c r="C82" s="4" t="str">
        <x:v>M11 财务·退款·结算上传与账户调整</x:v>
      </x:c>
      <x:c r="D82" s="4" t="str">
        <x:v>充值订单-25（平台管理员视角）</x:v>
      </x:c>
      <x:c r="E82" s="4" t="str">
        <x:v>功能需求</x:v>
      </x:c>
      <x:c r="F82" s="4" t="str">
        <x:v>P2</x:v>
      </x:c>
      <x:c r="G82" s="4" t="str">
        <x:v>验证平台管理员在充值订单-25的导出记录范围</x:v>
      </x:c>
      <x:c r="H82" s="4" t="str">
        <x:v>导出记录范围</x:v>
      </x:c>
      <x:c r="I82" s="4" t="str">
        <x:v>1. 平台管理员已登录
2. 当前账号具有本报表查询和导出权限
3. 充值订单-25当前筛选结果只有测试记录A、B，筛选范围外还有记录C
4. 当前账号已授予本页所用操作权限</x:v>
      </x:c>
      <x:c r="J82" s="4" t="str">
        <x:v>1. 点击导出
2. 打开导出文件</x:v>
      </x:c>
      <x:c r="K82" s="4" t="str">
        <x:v>导出文件的记录集合为A、B</x:v>
      </x:c>
      <x:c r="L82" s="4" t="str"/>
      <x:c r="M82" s="4" t="str">
        <x:v>未测</x:v>
      </x:c>
      <x:c r="N82" s="4" t="str"/>
      <x:c r="O82" s="4" t="str">
        <x:v>1. 来源（当前证据）：MainBasis/统一需求文档.md；位置：A-admin-recharge-order-009，第10270行
2. 规则：BR-MB-F38B2682FB1829
3. 未动态验证</x:v>
      </x:c>
    </x:row>
    <x:row r="83" ht="110" customHeight="1">
      <x:c r="A83" s="4" t="n">
        <x:v>82</x:v>
      </x:c>
      <x:c r="B83" s="4" t="str">
        <x:v>AMB-0082</x:v>
      </x:c>
      <x:c r="C83" s="4" t="str">
        <x:v>M11 财务·退款·结算上传与账户调整</x:v>
      </x:c>
      <x:c r="D83" s="4" t="str">
        <x:v>充值订单详情（平台管理员视角）</x:v>
      </x:c>
      <x:c r="E83" s="4" t="str">
        <x:v>业务流程</x:v>
      </x:c>
      <x:c r="F83" s="4" t="str">
        <x:v>P1</x:v>
      </x:c>
      <x:c r="G83" s="4" t="str">
        <x:v>验证平台管理员在充值订单详情的已退款订单禁止重退</x:v>
      </x:c>
      <x:c r="H83" s="4" t="str">
        <x:v>已退款订单禁止重退</x:v>
      </x:c>
      <x:c r="I83" s="4" t="str">
        <x:v>1. 执行身份为平台管理员
2. 充值订单已完成全额退款
3. 执行账号已登录
4. 当前账号已授予本页所用操作权限</x:v>
      </x:c>
      <x:c r="J83" s="4" t="str">
        <x:v>1. 进入该充值订单详情</x:v>
      </x:c>
      <x:c r="K83" s="4" t="str">
        <x:v>不能再次执行退款</x:v>
      </x:c>
      <x:c r="L83" s="4" t="str">
        <x:v>MBF-2BA2481A</x:v>
      </x:c>
      <x:c r="M83" s="4" t="str">
        <x:v>未测</x:v>
      </x:c>
      <x:c r="N83" s="4" t="str"/>
      <x:c r="O83" s="4" t="str">
        <x:v>1. 来源（当前证据）：MainBasis/统一需求文档.md；位置：A-admin-recharge-order-detail-008，第10314行
2. 规则：BR-MB-12376CAC958A6F
3. 未动态验证
4. 共同对象：充值订单；阶段：已退款订单禁止重退</x:v>
      </x:c>
    </x:row>
    <x:row r="84" ht="82" customHeight="1">
      <x:c r="A84" s="4" t="n">
        <x:v>83</x:v>
      </x:c>
      <x:c r="B84" s="4" t="str">
        <x:v>AMB-0083</x:v>
      </x:c>
      <x:c r="C84" s="4" t="str">
        <x:v>M11 财务·退款·结算上传与账户调整</x:v>
      </x:c>
      <x:c r="D84" s="4" t="str">
        <x:v>充值订单详情（平台管理员视角）</x:v>
      </x:c>
      <x:c r="E84" s="4" t="str">
        <x:v>异常用例</x:v>
      </x:c>
      <x:c r="F84" s="4" t="str">
        <x:v>P1</x:v>
      </x:c>
      <x:c r="G84" s="4" t="str">
        <x:v>验证平台管理员在充值订单详情的失败订单退款限制</x:v>
      </x:c>
      <x:c r="H84" s="4" t="str">
        <x:v>失败订单退款限制</x:v>
      </x:c>
      <x:c r="I84" s="4" t="str">
        <x:v>1. 执行身份为平台管理员
2. 充值订单支付失败
3. 执行账号已登录
4. 当前账号已授予本页所用操作权限</x:v>
      </x:c>
      <x:c r="J84" s="4" t="str">
        <x:v>1. 进入该充值订单详情</x:v>
      </x:c>
      <x:c r="K84" s="4" t="str">
        <x:v>不能执行退款</x:v>
      </x:c>
      <x:c r="L84" s="4" t="str"/>
      <x:c r="M84" s="4" t="str">
        <x:v>未测</x:v>
      </x:c>
      <x:c r="N84" s="4" t="str"/>
      <x:c r="O84" s="4" t="str">
        <x:v>1. 来源（当前证据）：MainBasis/统一需求文档.md；位置：A-admin-recharge-order-detail-008，第10314行
2. 规则：BR-MB-F9E0760C00957E
3. 未动态验证</x:v>
      </x:c>
    </x:row>
    <x:row r="85" ht="96" customHeight="1">
      <x:c r="A85" s="4" t="n">
        <x:v>84</x:v>
      </x:c>
      <x:c r="B85" s="4" t="str">
        <x:v>AMB-0084</x:v>
      </x:c>
      <x:c r="C85" s="4" t="str">
        <x:v>M11 财务·退款·结算上传与账户调整</x:v>
      </x:c>
      <x:c r="D85" s="4" t="str">
        <x:v>公会余额变更记录（财务人员视角）</x:v>
      </x:c>
      <x:c r="E85" s="4" t="str">
        <x:v>异常用例</x:v>
      </x:c>
      <x:c r="F85" s="4" t="str">
        <x:v>P1</x:v>
      </x:c>
      <x:c r="G85" s="4" t="str">
        <x:v>验证财务人员在公会余额变更记录的余额负向修正上限</x:v>
      </x:c>
      <x:c r="H85" s="4" t="str">
        <x:v>余额负向修正上限</x:v>
      </x:c>
      <x:c r="I85" s="4" t="str">
        <x:v>1. 执行身份为财务人员
2. 目标账户余额100
3. 调整原因已填写
4. 执行账号已登录
5. 当前账号已授予本页所用操作权限</x:v>
      </x:c>
      <x:c r="J85" s="4" t="str">
        <x:v>1. 进入公会余额变更记录
2. 点击余额变更
3. 输入调整金额-101
4. 点击确认</x:v>
      </x:c>
      <x:c r="K85" s="4" t="str">
        <x:v>不能提交超过当前余额的负向修正</x:v>
      </x:c>
      <x:c r="L85" s="4" t="str"/>
      <x:c r="M85" s="4" t="str">
        <x:v>未测</x:v>
      </x:c>
      <x:c r="N85" s="4" t="str"/>
      <x:c r="O85" s="4" t="str">
        <x:v>1. 来源（当前证据）：MainBasis/统一需求文档.md；位置：A-admin-guild-balance-change-record-007，第10214行
2. 规则：BR-MB-32EBC7497F7BA7
3. 未动态验证</x:v>
      </x:c>
    </x:row>
    <x:row r="86" ht="96" customHeight="1">
      <x:c r="A86" s="4" t="n">
        <x:v>85</x:v>
      </x:c>
      <x:c r="B86" s="4" t="str">
        <x:v>AMB-0085</x:v>
      </x:c>
      <x:c r="C86" s="4" t="str">
        <x:v>M11 财务·退款·结算上传与账户调整</x:v>
      </x:c>
      <x:c r="D86" s="4" t="str">
        <x:v>公会余额变更记录（财务人员视角）</x:v>
      </x:c>
      <x:c r="E86" s="4" t="str">
        <x:v>功能需求</x:v>
      </x:c>
      <x:c r="F86" s="4" t="str">
        <x:v>P1</x:v>
      </x:c>
      <x:c r="G86" s="4" t="str">
        <x:v>验证财务人员在公会余额变更记录的余额修正为零</x:v>
      </x:c>
      <x:c r="H86" s="4" t="str">
        <x:v>余额修正为零</x:v>
      </x:c>
      <x:c r="I86" s="4" t="str">
        <x:v>1. 执行身份为财务人员
2. 目标账户余额100
3. 调整原因已填写
4. 执行账号已登录
5. 当前账号已授予本页所用操作权限</x:v>
      </x:c>
      <x:c r="J86" s="4" t="str">
        <x:v>1. 进入公会余额变更记录
2. 点击余额变更
3. 输入调整金额-100
4. 点击确认</x:v>
      </x:c>
      <x:c r="K86" s="4" t="str">
        <x:v>账户余额变为0</x:v>
      </x:c>
      <x:c r="L86" s="4" t="str"/>
      <x:c r="M86" s="4" t="str">
        <x:v>未测</x:v>
      </x:c>
      <x:c r="N86" s="4" t="str"/>
      <x:c r="O86" s="4" t="str">
        <x:v>1. 来源（当前证据）：MainBasis/统一需求文档.md；位置：A-admin-guild-balance-change-record-007，第10214行
2. 规则：BR-MB-867EDA46A9E337
3. 未动态验证</x:v>
      </x:c>
    </x:row>
    <x:row r="87" ht="82" customHeight="1">
      <x:c r="A87" s="4" t="n">
        <x:v>86</x:v>
      </x:c>
      <x:c r="B87" s="4" t="str">
        <x:v>AMB-0086</x:v>
      </x:c>
      <x:c r="C87" s="4" t="str">
        <x:v>M11 财务·退款·结算上传与账户调整</x:v>
      </x:c>
      <x:c r="D87" s="4" t="str">
        <x:v>公会分成记录-30（财务人员视角）</x:v>
      </x:c>
      <x:c r="E87" s="4" t="str">
        <x:v>异常用例</x:v>
      </x:c>
      <x:c r="F87" s="4" t="str">
        <x:v>P1</x:v>
      </x:c>
      <x:c r="G87" s="4" t="str">
        <x:v>验证财务人员在公会分成记录-30的公会结算记录锁定</x:v>
      </x:c>
      <x:c r="H87" s="4" t="str">
        <x:v>公会结算记录锁定</x:v>
      </x:c>
      <x:c r="I87" s="4" t="str">
        <x:v>1. 执行身份为财务人员
2. 一批公会结算结果已导入成功
3. 执行账号已登录
4. 当前账号已授予本页所用操作权限</x:v>
      </x:c>
      <x:c r="J87" s="4" t="str">
        <x:v>1. 进入公会结算记录详情</x:v>
      </x:c>
      <x:c r="K87" s="4" t="str">
        <x:v>该批次记录不可删除</x:v>
      </x:c>
      <x:c r="L87" s="4" t="str"/>
      <x:c r="M87" s="4" t="str">
        <x:v>未测</x:v>
      </x:c>
      <x:c r="N87" s="4" t="str"/>
      <x:c r="O87" s="4" t="str">
        <x:v>1. 来源（当前证据）：MainBasis/统一需求文档.md；位置：A-admin-guild-settlement-record-007，第10100行
2. 规则：BR-MB-46BB118CCC1910
3. 未动态验证</x:v>
      </x:c>
    </x:row>
    <x:row r="88" ht="124" customHeight="1">
      <x:c r="A88" s="4" t="n">
        <x:v>87</x:v>
      </x:c>
      <x:c r="B88" s="4" t="str">
        <x:v>AMB-0087</x:v>
      </x:c>
      <x:c r="C88" s="4" t="str">
        <x:v>M11 财务·退款·结算上传与账户调整</x:v>
      </x:c>
      <x:c r="D88" s="4" t="str">
        <x:v>消费订单-26（平台管理员视角）</x:v>
      </x:c>
      <x:c r="E88" s="4" t="str">
        <x:v>功能需求</x:v>
      </x:c>
      <x:c r="F88" s="4" t="str">
        <x:v>P2</x:v>
      </x:c>
      <x:c r="G88" s="4" t="str">
        <x:v>验证平台管理员在消费订单-26的导出记录范围</x:v>
      </x:c>
      <x:c r="H88" s="4" t="str">
        <x:v>导出记录范围</x:v>
      </x:c>
      <x:c r="I88" s="4" t="str">
        <x:v>1. 平台管理员已登录
2. 当前账号具有本报表查询和导出权限
3. 消费订单-26当前筛选结果只有测试记录A、B，筛选范围外还有记录C
4. 当前账号已授予本页所用操作权限</x:v>
      </x:c>
      <x:c r="J88" s="4" t="str">
        <x:v>1. 点击导出
2. 打开导出文件</x:v>
      </x:c>
      <x:c r="K88" s="4" t="str">
        <x:v>导出文件的记录集合为A、B</x:v>
      </x:c>
      <x:c r="L88" s="4" t="str"/>
      <x:c r="M88" s="4" t="str">
        <x:v>未测</x:v>
      </x:c>
      <x:c r="N88" s="4" t="str"/>
      <x:c r="O88" s="4" t="str">
        <x:v>1. 来源（当前证据）：MainBasis/统一需求文档.md；位置：A-admin-consumption-order-010，第10382行
2. 规则：BR-MB-EF3E1A116814FC
3. 未动态验证</x:v>
      </x:c>
    </x:row>
    <x:row r="89" ht="82" customHeight="1">
      <x:c r="A89" s="4" t="n">
        <x:v>88</x:v>
      </x:c>
      <x:c r="B89" s="4" t="str">
        <x:v>AMB-0088</x:v>
      </x:c>
      <x:c r="C89" s="4" t="str">
        <x:v>M11 财务·退款·结算上传与账户调整</x:v>
      </x:c>
      <x:c r="D89" s="4" t="str">
        <x:v>消费订单详情（平台管理员视角）</x:v>
      </x:c>
      <x:c r="E89" s="4" t="str">
        <x:v>功能需求</x:v>
      </x:c>
      <x:c r="F89" s="4" t="str">
        <x:v>P1</x:v>
      </x:c>
      <x:c r="G89" s="4" t="str">
        <x:v>验证平台管理员在消费订单详情的后台消费订单退款限制</x:v>
      </x:c>
      <x:c r="H89" s="4" t="str">
        <x:v>后台消费订单退款限制</x:v>
      </x:c>
      <x:c r="I89" s="4" t="str">
        <x:v>1. 执行身份为平台管理员
2. 目标消费订单已成功
3. 执行账号已登录
4. 当前账号已授予本页所用操作权限</x:v>
      </x:c>
      <x:c r="J89" s="4" t="str">
        <x:v>1. 进入消费订单详情</x:v>
      </x:c>
      <x:c r="K89" s="4" t="str">
        <x:v>不提供退款操作</x:v>
      </x:c>
      <x:c r="L89" s="4" t="str"/>
      <x:c r="M89" s="4" t="str">
        <x:v>未测</x:v>
      </x:c>
      <x:c r="N89" s="4" t="str"/>
      <x:c r="O89" s="4" t="str">
        <x:v>1. 来源（当前证据）：MainBasis/统一需求文档.md；位置：A-admin-consumption-order-detail-008，第10426行
2. 规则：BR-MB-7EC8915CEEB5BB
3. 未动态验证</x:v>
      </x:c>
    </x:row>
    <x:row r="90" ht="124" customHeight="1">
      <x:c r="A90" s="4" t="n">
        <x:v>89</x:v>
      </x:c>
      <x:c r="B90" s="4" t="str">
        <x:v>AMB-0089</x:v>
      </x:c>
      <x:c r="C90" s="4" t="str">
        <x:v>M11 财务·退款·结算上传与账户调整</x:v>
      </x:c>
      <x:c r="D90" s="4" t="str">
        <x:v>退款订单-27（平台管理员视角）</x:v>
      </x:c>
      <x:c r="E90" s="4" t="str">
        <x:v>功能需求</x:v>
      </x:c>
      <x:c r="F90" s="4" t="str">
        <x:v>P2</x:v>
      </x:c>
      <x:c r="G90" s="4" t="str">
        <x:v>验证平台管理员在退款订单-27的导出记录范围</x:v>
      </x:c>
      <x:c r="H90" s="4" t="str">
        <x:v>导出记录范围</x:v>
      </x:c>
      <x:c r="I90" s="4" t="str">
        <x:v>1. 平台管理员已登录
2. 当前账号具有本报表查询和导出权限
3. 退款订单-27当前筛选结果只有测试记录A、B，筛选范围外还有记录C
4. 当前账号已授予本页所用操作权限</x:v>
      </x:c>
      <x:c r="J90" s="4" t="str">
        <x:v>1. 点击导出
2. 打开导出文件</x:v>
      </x:c>
      <x:c r="K90" s="4" t="str">
        <x:v>导出文件的记录集合为A、B</x:v>
      </x:c>
      <x:c r="L90" s="4" t="str"/>
      <x:c r="M90" s="4" t="str">
        <x:v>未测</x:v>
      </x:c>
      <x:c r="N90" s="4" t="str"/>
      <x:c r="O90" s="4" t="str">
        <x:v>1. 来源（当前证据）：MainBasis/统一需求文档.md；位置：A-admin-refund-order-009，第10482行
2. 规则：BR-MB-F069E3B2042228
3. 未动态验证</x:v>
      </x:c>
    </x:row>
    <x:row r="91" ht="124" customHeight="1">
      <x:c r="A91" s="4" t="n">
        <x:v>90</x:v>
      </x:c>
      <x:c r="B91" s="4" t="str">
        <x:v>AMB-0090</x:v>
      </x:c>
      <x:c r="C91" s="4" t="str">
        <x:v>M11 财务·退款·结算上传与账户调整</x:v>
      </x:c>
      <x:c r="D91" s="4" t="str">
        <x:v>退款订单-27（平台管理员视角）</x:v>
      </x:c>
      <x:c r="E91" s="4" t="str">
        <x:v>逻辑校验</x:v>
      </x:c>
      <x:c r="F91" s="4" t="str">
        <x:v>P1</x:v>
      </x:c>
      <x:c r="G91" s="4" t="str">
        <x:v>验证平台管理员在退款订单-27的赠送金币回收</x:v>
      </x:c>
      <x:c r="H91" s="4" t="str">
        <x:v>赠送金币回收</x:v>
      </x:c>
      <x:c r="I91" s="4" t="str">
        <x:v>1. 平台管理员已登录
2. 原充值订单基础金币1000、赠送金币100
3. 退款已完成
4. 当前账号已授予本页所用操作权限</x:v>
      </x:c>
      <x:c r="J91" s="4" t="str">
        <x:v>1. 进入退款订单-27
2. 查看扣回金币</x:v>
      </x:c>
      <x:c r="K91" s="4" t="str">
        <x:v>扣回金币计算结果 = 1000 + 100 = 1100 金币</x:v>
      </x:c>
      <x:c r="L91" s="4" t="str">
        <x:v>MBF-2BA2481A</x:v>
      </x:c>
      <x:c r="M91" s="4" t="str">
        <x:v>未测</x:v>
      </x:c>
      <x:c r="N91" s="4" t="str"/>
      <x:c r="O91" s="4" t="str">
        <x:v>1. 来源（当前证据）：MainBasis/统一需求文档.md；位置：A-admin-refund-order-007，第10472行
2. 规则：BR-MB-6700F82C28F36D
3. 未动态验证
4. 共同对象：充值订单；阶段：赠送金币回收
5. 状态转换：MBT-EF4F685D0934；支付成功且未退款→已退款</x:v>
      </x:c>
    </x:row>
    <x:row r="92" ht="124" customHeight="1">
      <x:c r="A92" s="4" t="n">
        <x:v>91</x:v>
      </x:c>
      <x:c r="B92" s="4" t="str">
        <x:v>AMB-0091</x:v>
      </x:c>
      <x:c r="C92" s="4" t="str">
        <x:v>M12 直播业绩·增长与统计报表</x:v>
      </x:c>
      <x:c r="D92" s="4" t="str">
        <x:v>主播业绩分成报表-42（平台管理员视角）</x:v>
      </x:c>
      <x:c r="E92" s="4" t="str">
        <x:v>功能需求</x:v>
      </x:c>
      <x:c r="F92" s="4" t="str">
        <x:v>P2</x:v>
      </x:c>
      <x:c r="G92" s="4" t="str">
        <x:v>验证平台管理员在主播业绩分成报表-42的导出记录范围</x:v>
      </x:c>
      <x:c r="H92" s="4" t="str">
        <x:v>导出记录范围</x:v>
      </x:c>
      <x:c r="I92" s="4" t="str">
        <x:v>1. 平台管理员已登录
2. 当前账号具有本报表查询和导出权限
3. 主播业绩分成报表-42当前筛选结果只有测试记录A、B，筛选范围外还有记录C
4. 当前账号已授予本页所用操作权限</x:v>
      </x:c>
      <x:c r="J92" s="4" t="str">
        <x:v>1. 点击导出
2. 打开导出文件</x:v>
      </x:c>
      <x:c r="K92" s="4" t="str">
        <x:v>导出文件的记录集合为A、B</x:v>
      </x:c>
      <x:c r="L92" s="4" t="str"/>
      <x:c r="M92" s="4" t="str">
        <x:v>未测</x:v>
      </x:c>
      <x:c r="N92" s="4" t="str"/>
      <x:c r="O92" s="4" t="str">
        <x:v>1. 来源（当前证据）：MainBasis/统一需求文档.md；位置：A-admin-monthly-host-share-010，第11538行
2. 规则：BR-MB-C1FF4EDF457B36
3. 未动态验证</x:v>
      </x:c>
    </x:row>
    <x:row r="93" ht="96" customHeight="1">
      <x:c r="A93" s="4" t="n">
        <x:v>92</x:v>
      </x:c>
      <x:c r="B93" s="4" t="str">
        <x:v>AMB-0092</x:v>
      </x:c>
      <x:c r="C93" s="4" t="str">
        <x:v>M12 直播业绩·增长与统计报表</x:v>
      </x:c>
      <x:c r="D93" s="4" t="str">
        <x:v>主播业绩分成报表-42（平台管理员视角）</x:v>
      </x:c>
      <x:c r="E93" s="4" t="str">
        <x:v>逻辑校验</x:v>
      </x:c>
      <x:c r="F93" s="4" t="str">
        <x:v>P1</x:v>
      </x:c>
      <x:c r="G93" s="4" t="str">
        <x:v>验证平台管理员在主播业绩分成报表-42的主播收益分类汇总</x:v>
      </x:c>
      <x:c r="H93" s="4" t="str">
        <x:v>主播收益分类汇总</x:v>
      </x:c>
      <x:c r="I93" s="4" t="str">
        <x:v>1. 平台管理员已登录
2. 当前范围普通礼物100、定制200、幸运10、门票50金币收益
3. 没有其他有效记录
4. 当前账号已授予本页所用操作权限</x:v>
      </x:c>
      <x:c r="J93" s="4" t="str">
        <x:v>1. 进入主播业绩分成报表-42
2. 查看主播收益</x:v>
      </x:c>
      <x:c r="K93" s="4" t="str">
        <x:v>主播收益计算结果 = 100 + 200 + 10 + 50 = 360 金币</x:v>
      </x:c>
      <x:c r="L93" s="4" t="str"/>
      <x:c r="M93" s="4" t="str">
        <x:v>未测</x:v>
      </x:c>
      <x:c r="N93" s="4" t="str"/>
      <x:c r="O93" s="4" t="str">
        <x:v>1. 来源（当前证据）：MainBasis/统一需求文档.md；位置：A-admin-monthly-host-share-008，第11526行
2. 规则：BR-MB-E64C4B57FC0D26
3. 未动态验证</x:v>
      </x:c>
    </x:row>
    <x:row r="94" ht="110" customHeight="1">
      <x:c r="A94" s="4" t="n">
        <x:v>93</x:v>
      </x:c>
      <x:c r="B94" s="4" t="str">
        <x:v>AMB-0093</x:v>
      </x:c>
      <x:c r="C94" s="4" t="str">
        <x:v>M12 直播业绩·增长与统计报表</x:v>
      </x:c>
      <x:c r="D94" s="4" t="str">
        <x:v>主播业绩分成报表-42（平台管理员视角）</x:v>
      </x:c>
      <x:c r="E94" s="4" t="str">
        <x:v>逻辑校验</x:v>
      </x:c>
      <x:c r="F94" s="4" t="str">
        <x:v>P1</x:v>
      </x:c>
      <x:c r="G94" s="4" t="str">
        <x:v>验证平台管理员在主播业绩分成报表-42的幸运收益比例快照</x:v>
      </x:c>
      <x:c r="H94" s="4" t="str">
        <x:v>幸运收益比例快照</x:v>
      </x:c>
      <x:c r="I94" s="4" t="str">
        <x:v>1. 平台管理员已登录
2. 范围内仅1笔幸运赠礼价值2000金币
3. 当时比例1%
4. 当前已改为2%
5. 当前账号已授予本页所用操作权限</x:v>
      </x:c>
      <x:c r="J94" s="4" t="str">
        <x:v>1. 进入主播业绩分成报表-42
2. 查看幸运礼物收益</x:v>
      </x:c>
      <x:c r="K94" s="4" t="str">
        <x:v>幸运礼物收益计算结果 = 2000 * 0.01 = 20 金币</x:v>
      </x:c>
      <x:c r="L94" s="4" t="str"/>
      <x:c r="M94" s="4" t="str">
        <x:v>未测</x:v>
      </x:c>
      <x:c r="N94" s="4" t="str"/>
      <x:c r="O94" s="4" t="str">
        <x:v>1. 来源（当前证据）：MainBasis/统一需求文档.md；位置：A-admin-monthly-host-share-007，第11522行
2. 规则：BR-MB-078952681AC69E
3. 未动态验证</x:v>
      </x:c>
    </x:row>
    <x:row r="95" ht="82" customHeight="1">
      <x:c r="A95" s="4" t="n">
        <x:v>94</x:v>
      </x:c>
      <x:c r="B95" s="4" t="str">
        <x:v>AMB-0094</x:v>
      </x:c>
      <x:c r="C95" s="4" t="str">
        <x:v>M12 直播业绩·增长与统计报表</x:v>
      </x:c>
      <x:c r="D95" s="4" t="str">
        <x:v>主播业绩分成报表-42（平台管理员视角）</x:v>
      </x:c>
      <x:c r="E95" s="4" t="str">
        <x:v>逻辑校验</x:v>
      </x:c>
      <x:c r="F95" s="4" t="str">
        <x:v>P1</x:v>
      </x:c>
      <x:c r="G95" s="4" t="str">
        <x:v>验证平台管理员在主播业绩分成报表-42的起止同日统计</x:v>
      </x:c>
      <x:c r="H95" s="4" t="str">
        <x:v>起止同日统计</x:v>
      </x:c>
      <x:c r="I95" s="4" t="str">
        <x:v>1. 平台管理员已登录
2. 查询开始和结束日期均为2026-09-10
3. 当前账号已授予本页所用操作权限</x:v>
      </x:c>
      <x:c r="J95" s="4" t="str">
        <x:v>1. 进入主播业绩分成报表-42
2. 查看统计天数</x:v>
      </x:c>
      <x:c r="K95" s="4" t="str">
        <x:v>统计天数计算结果 = 0 + 1 = 1 天</x:v>
      </x:c>
      <x:c r="L95" s="4" t="str"/>
      <x:c r="M95" s="4" t="str">
        <x:v>未测</x:v>
      </x:c>
      <x:c r="N95" s="4" t="str"/>
      <x:c r="O95" s="4" t="str">
        <x:v>1. 来源（当前证据）：MainBasis/统一需求文档.md；位置：A-admin-monthly-host-share-003，第11506行
2. 规则：BR-MB-7E810DD82B2248
3. 未动态验证</x:v>
      </x:c>
    </x:row>
    <x:row r="96" ht="124" customHeight="1">
      <x:c r="A96" s="4" t="n">
        <x:v>95</x:v>
      </x:c>
      <x:c r="B96" s="4" t="str">
        <x:v>AMB-0095</x:v>
      </x:c>
      <x:c r="C96" s="4" t="str">
        <x:v>M12 直播业绩·增长与统计报表</x:v>
      </x:c>
      <x:c r="D96" s="4" t="str">
        <x:v>主播活跃汇总（每日）-36（平台管理员视角）</x:v>
      </x:c>
      <x:c r="E96" s="4" t="str">
        <x:v>功能需求</x:v>
      </x:c>
      <x:c r="F96" s="4" t="str">
        <x:v>P2</x:v>
      </x:c>
      <x:c r="G96" s="4" t="str">
        <x:v>验证平台管理员在主播活跃汇总（每日）-36的导出记录范围</x:v>
      </x:c>
      <x:c r="H96" s="4" t="str">
        <x:v>导出记录范围</x:v>
      </x:c>
      <x:c r="I96" s="4" t="str">
        <x:v>1. 平台管理员已登录
2. 当前账号具有本报表查询和导出权限
3. 主播活跃汇总（每日）-36当前筛选结果只有测试记录A、B，筛选范围外还有记录C
4. 当前账号已授予本页所用操作权限</x:v>
      </x:c>
      <x:c r="J96" s="4" t="str">
        <x:v>1. 点击导出
2. 打开导出文件</x:v>
      </x:c>
      <x:c r="K96" s="4" t="str">
        <x:v>导出文件的记录集合为A、B</x:v>
      </x:c>
      <x:c r="L96" s="4" t="str"/>
      <x:c r="M96" s="4" t="str">
        <x:v>未测</x:v>
      </x:c>
      <x:c r="N96" s="4" t="str"/>
      <x:c r="O96" s="4" t="str">
        <x:v>1. 来源（当前证据）：MainBasis/统一需求文档.md；位置：A-admin-host-statistics-010，第11254行
2. 规则：BR-MB-68786858CCBD04
3. 未动态验证</x:v>
      </x:c>
    </x:row>
    <x:row r="97" ht="124" customHeight="1">
      <x:c r="A97" s="4" t="n">
        <x:v>96</x:v>
      </x:c>
      <x:c r="B97" s="4" t="str">
        <x:v>AMB-0096</x:v>
      </x:c>
      <x:c r="C97" s="4" t="str">
        <x:v>M12 直播业绩·增长与统计报表</x:v>
      </x:c>
      <x:c r="D97" s="4" t="str">
        <x:v>主播礼物打赏明细报表-43（平台管理员视角）</x:v>
      </x:c>
      <x:c r="E97" s="4" t="str">
        <x:v>功能需求</x:v>
      </x:c>
      <x:c r="F97" s="4" t="str">
        <x:v>P2</x:v>
      </x:c>
      <x:c r="G97" s="4" t="str">
        <x:v>验证平台管理员在主播礼物打赏明细报表-43的导出记录范围</x:v>
      </x:c>
      <x:c r="H97" s="4" t="str">
        <x:v>导出记录范围</x:v>
      </x:c>
      <x:c r="I97" s="4" t="str">
        <x:v>1. 平台管理员已登录
2. 当前账号具有本报表查询和导出权限
3. 主播礼物打赏明细报表-43当前筛选结果只有测试记录A、B，筛选范围外还有记录C
4. 当前账号已授予本页所用操作权限</x:v>
      </x:c>
      <x:c r="J97" s="4" t="str">
        <x:v>1. 点击导出
2. 打开导出文件</x:v>
      </x:c>
      <x:c r="K97" s="4" t="str">
        <x:v>导出文件的记录集合为A、B</x:v>
      </x:c>
      <x:c r="L97" s="4" t="str"/>
      <x:c r="M97" s="4" t="str">
        <x:v>未测</x:v>
      </x:c>
      <x:c r="N97" s="4" t="str"/>
      <x:c r="O97" s="4" t="str">
        <x:v>1. 来源（当前证据）：MainBasis/统一需求文档.md；位置：A-admin-monthly-host-earnings-007，第11578行
2. 规则：BR-MB-5918BBB2FF9BE4
3. 未动态验证</x:v>
      </x:c>
    </x:row>
    <x:row r="98" ht="124" customHeight="1">
      <x:c r="A98" s="4" t="n">
        <x:v>97</x:v>
      </x:c>
      <x:c r="B98" s="4" t="str">
        <x:v>AMB-0097</x:v>
      </x:c>
      <x:c r="C98" s="4" t="str">
        <x:v>M12 直播业绩·增长与统计报表</x:v>
      </x:c>
      <x:c r="D98" s="4" t="str">
        <x:v>充值消费汇总（每日）-39（平台管理员视角）</x:v>
      </x:c>
      <x:c r="E98" s="4" t="str">
        <x:v>功能需求</x:v>
      </x:c>
      <x:c r="F98" s="4" t="str">
        <x:v>P2</x:v>
      </x:c>
      <x:c r="G98" s="4" t="str">
        <x:v>验证平台管理员在充值消费汇总（每日）-39的导出记录范围</x:v>
      </x:c>
      <x:c r="H98" s="4" t="str">
        <x:v>导出记录范围</x:v>
      </x:c>
      <x:c r="I98" s="4" t="str">
        <x:v>1. 平台管理员已登录
2. 当前账号具有本报表查询和导出权限
3. 充值消费汇总（每日）-39当前筛选结果只有测试记录A、B，筛选范围外还有记录C
4. 当前账号已授予本页所用操作权限</x:v>
      </x:c>
      <x:c r="J98" s="4" t="str">
        <x:v>1. 点击导出
2. 打开导出文件</x:v>
      </x:c>
      <x:c r="K98" s="4" t="str">
        <x:v>导出文件的记录集合为A、B</x:v>
      </x:c>
      <x:c r="L98" s="4" t="str"/>
      <x:c r="M98" s="4" t="str">
        <x:v>未测</x:v>
      </x:c>
      <x:c r="N98" s="4" t="str"/>
      <x:c r="O98" s="4" t="str">
        <x:v>1. 来源（当前证据）：MainBasis/统一需求文档.md；位置：A-admin-recharge-statistics-010，第11398行
2. 规则：BR-MB-FD341B3095A290
3. 未动态验证</x:v>
      </x:c>
    </x:row>
    <x:row r="99" ht="124" customHeight="1">
      <x:c r="A99" s="4" t="n">
        <x:v>98</x:v>
      </x:c>
      <x:c r="B99" s="4" t="str">
        <x:v>AMB-0098</x:v>
      </x:c>
      <x:c r="C99" s="4" t="str">
        <x:v>M12 直播业绩·增长与统计报表</x:v>
      </x:c>
      <x:c r="D99" s="4" t="str">
        <x:v>充值用户分层汇总（每日）-40（平台管理员视角）</x:v>
      </x:c>
      <x:c r="E99" s="4" t="str">
        <x:v>功能需求</x:v>
      </x:c>
      <x:c r="F99" s="4" t="str">
        <x:v>P2</x:v>
      </x:c>
      <x:c r="G99" s="4" t="str">
        <x:v>验证平台管理员在充值用户分层汇总（每日）-40的导出记录范围</x:v>
      </x:c>
      <x:c r="H99" s="4" t="str">
        <x:v>导出记录范围</x:v>
      </x:c>
      <x:c r="I99" s="4" t="str">
        <x:v>1. 平台管理员已登录
2. 当前账号具有本报表查询和导出权限
3. 充值用户分层汇总（每日）-40当前筛选结果只有测试记录A、B，筛选范围外还有记录C
4. 当前账号已授予本页所用操作权限</x:v>
      </x:c>
      <x:c r="J99" s="4" t="str">
        <x:v>1. 点击导出
2. 打开导出文件</x:v>
      </x:c>
      <x:c r="K99" s="4" t="str">
        <x:v>导出文件的记录集合为A、B</x:v>
      </x:c>
      <x:c r="L99" s="4" t="str"/>
      <x:c r="M99" s="4" t="str">
        <x:v>未测</x:v>
      </x:c>
      <x:c r="N99" s="4" t="str"/>
      <x:c r="O99" s="4" t="str">
        <x:v>1. 来源（当前证据）：MainBasis/统一需求文档.md；位置：A-admin-user-activity-statistics-008，第11442行
2. 规则：BR-MB-6A3D27A584FE0E
3. 未动态验证</x:v>
      </x:c>
    </x:row>
    <x:row r="100" ht="124" customHeight="1">
      <x:c r="A100" s="4" t="n">
        <x:v>99</x:v>
      </x:c>
      <x:c r="B100" s="4" t="str">
        <x:v>AMB-0099</x:v>
      </x:c>
      <x:c r="C100" s="4" t="str">
        <x:v>M12 直播业绩·增长与统计报表</x:v>
      </x:c>
      <x:c r="D100" s="4" t="str">
        <x:v>充值订单明细-48（平台管理员视角）</x:v>
      </x:c>
      <x:c r="E100" s="4" t="str">
        <x:v>功能需求</x:v>
      </x:c>
      <x:c r="F100" s="4" t="str">
        <x:v>P2</x:v>
      </x:c>
      <x:c r="G100" s="4" t="str">
        <x:v>验证平台管理员在充值订单明细-48的导出记录范围</x:v>
      </x:c>
      <x:c r="H100" s="4" t="str">
        <x:v>导出记录范围</x:v>
      </x:c>
      <x:c r="I100" s="4" t="str">
        <x:v>1. 平台管理员已登录
2. 当前账号具有本报表查询和导出权限
3. 充值订单明细-48当前筛选结果只有测试记录A、B，筛选范围外还有记录C
4. 当前账号已授予本页所用操作权限</x:v>
      </x:c>
      <x:c r="J100" s="4" t="str">
        <x:v>1. 点击导出
2. 打开导出文件</x:v>
      </x:c>
      <x:c r="K100" s="4" t="str">
        <x:v>导出文件的记录集合为A、B</x:v>
      </x:c>
      <x:c r="L100" s="4" t="str"/>
      <x:c r="M100" s="4" t="str">
        <x:v>未测</x:v>
      </x:c>
      <x:c r="N100" s="4" t="str"/>
      <x:c r="O100" s="4" t="str">
        <x:v>1. 来源（当前证据）：MainBasis/统一需求文档.md；位置：A-admin-recharge-order-detail-report-007，第11788行
2. 规则：BR-MB-EE8BEAA68FA20E
3. 未动态验证</x:v>
      </x:c>
    </x:row>
    <x:row r="101" ht="82" customHeight="1">
      <x:c r="A101" s="4" t="n">
        <x:v>100</x:v>
      </x:c>
      <x:c r="B101" s="4" t="str">
        <x:v>AMB-0100</x:v>
      </x:c>
      <x:c r="C101" s="4" t="str">
        <x:v>M12 直播业绩·增长与统计报表</x:v>
      </x:c>
      <x:c r="D101" s="4" t="str">
        <x:v>数据概览-33（平台管理员视角）</x:v>
      </x:c>
      <x:c r="E101" s="4" t="str">
        <x:v>异常用例</x:v>
      </x:c>
      <x:c r="F101" s="4" t="str">
        <x:v>P1</x:v>
      </x:c>
      <x:c r="G101" s="4" t="str">
        <x:v>验证平台管理员在数据概览-33的报表日期倒置</x:v>
      </x:c>
      <x:c r="H101" s="4" t="str">
        <x:v>报表日期倒置</x:v>
      </x:c>
      <x:c r="I101" s="4" t="str">
        <x:v>1. 执行身份为平台管理员
2. 执行账号已登录
3. 当前账号已授予本页所用操作权限</x:v>
      </x:c>
      <x:c r="J101" s="4" t="str">
        <x:v>1. 进入数据总览
2. 选择开始日期2026-09-10
3. 选择结束日期2026-09-09
4. 点击查询</x:v>
      </x:c>
      <x:c r="K101" s="4" t="str">
        <x:v>不能按结束日期早于开始日期的范围查询</x:v>
      </x:c>
      <x:c r="L101" s="4" t="str"/>
      <x:c r="M101" s="4" t="str">
        <x:v>未测</x:v>
      </x:c>
      <x:c r="N101" s="4" t="str"/>
      <x:c r="O101" s="4" t="str">
        <x:v>1. 来源（当前证据）：MainBasis/统一需求文档.md；位置：A-admin-data-overview-009，第11096行
2. 规则：BR-MB-28C6F3BD4CF35C
3. 未动态验证</x:v>
      </x:c>
    </x:row>
    <x:row r="102" ht="124" customHeight="1">
      <x:c r="A102" s="4" t="n">
        <x:v>101</x:v>
      </x:c>
      <x:c r="B102" s="4" t="str">
        <x:v>AMB-0101</x:v>
      </x:c>
      <x:c r="C102" s="4" t="str">
        <x:v>M12 直播业绩·增长与统计报表</x:v>
      </x:c>
      <x:c r="D102" s="4" t="str">
        <x:v>月度收益支出汇总-41（平台管理员视角）</x:v>
      </x:c>
      <x:c r="E102" s="4" t="str">
        <x:v>功能需求</x:v>
      </x:c>
      <x:c r="F102" s="4" t="str">
        <x:v>P2</x:v>
      </x:c>
      <x:c r="G102" s="4" t="str">
        <x:v>验证平台管理员在月度收益支出汇总-41的导出记录范围</x:v>
      </x:c>
      <x:c r="H102" s="4" t="str">
        <x:v>导出记录范围</x:v>
      </x:c>
      <x:c r="I102" s="4" t="str">
        <x:v>1. 平台管理员已登录
2. 当前账号具有本报表查询和导出权限
3. 月度收益支出汇总-41当前筛选结果只有测试记录A、B，筛选范围外还有记录C
4. 当前账号已授予本页所用操作权限</x:v>
      </x:c>
      <x:c r="J102" s="4" t="str">
        <x:v>1. 点击导出
2. 打开导出文件</x:v>
      </x:c>
      <x:c r="K102" s="4" t="str">
        <x:v>导出文件的记录集合为A、B</x:v>
      </x:c>
      <x:c r="L102" s="4" t="str"/>
      <x:c r="M102" s="4" t="str">
        <x:v>未测</x:v>
      </x:c>
      <x:c r="N102" s="4" t="str"/>
      <x:c r="O102" s="4" t="str">
        <x:v>1. 来源（当前证据）：MainBasis/统一需求文档.md；位置：A-admin-monthly-income-expense-007，第11484行
2. 规则：BR-MB-EA26CBF539E6F2
3. 未动态验证</x:v>
      </x:c>
    </x:row>
    <x:row r="103" ht="124" customHeight="1">
      <x:c r="A103" s="4" t="n">
        <x:v>102</x:v>
      </x:c>
      <x:c r="B103" s="4" t="str">
        <x:v>AMB-0102</x:v>
      </x:c>
      <x:c r="C103" s="4" t="str">
        <x:v>M12 直播业绩·增长与统计报表</x:v>
      </x:c>
      <x:c r="D103" s="4" t="str">
        <x:v>每日统计-34（平台管理员视角）</x:v>
      </x:c>
      <x:c r="E103" s="4" t="str">
        <x:v>功能需求</x:v>
      </x:c>
      <x:c r="F103" s="4" t="str">
        <x:v>P2</x:v>
      </x:c>
      <x:c r="G103" s="4" t="str">
        <x:v>验证平台管理员在每日统计-34的导出记录范围</x:v>
      </x:c>
      <x:c r="H103" s="4" t="str">
        <x:v>导出记录范围</x:v>
      </x:c>
      <x:c r="I103" s="4" t="str">
        <x:v>1. 平台管理员已登录
2. 当前账号具有本报表查询和导出权限
3. 每日统计-34当前筛选结果只有测试记录A、B，筛选范围外还有记录C
4. 当前账号已授予本页所用操作权限</x:v>
      </x:c>
      <x:c r="J103" s="4" t="str">
        <x:v>1. 点击导出
2. 打开导出文件</x:v>
      </x:c>
      <x:c r="K103" s="4" t="str">
        <x:v>导出文件的记录集合为A、B</x:v>
      </x:c>
      <x:c r="L103" s="4" t="str"/>
      <x:c r="M103" s="4" t="str">
        <x:v>未测</x:v>
      </x:c>
      <x:c r="N103" s="4" t="str"/>
      <x:c r="O103" s="4" t="str">
        <x:v>1. 来源（当前证据）：MainBasis/统一需求文档.md；位置：A-admin-daily-statistics-012，第11158行
2. 规则：BR-MB-553BF4D8166C96
3. 未动态验证</x:v>
      </x:c>
    </x:row>
    <x:row r="104" ht="124" customHeight="1">
      <x:c r="A104" s="4" t="n">
        <x:v>103</x:v>
      </x:c>
      <x:c r="B104" s="4" t="str">
        <x:v>AMB-0103</x:v>
      </x:c>
      <x:c r="C104" s="4" t="str">
        <x:v>M12 直播业绩·增长与统计报表</x:v>
      </x:c>
      <x:c r="D104" s="4" t="str">
        <x:v>消费订单明细-46（平台管理员视角）</x:v>
      </x:c>
      <x:c r="E104" s="4" t="str">
        <x:v>功能需求</x:v>
      </x:c>
      <x:c r="F104" s="4" t="str">
        <x:v>P2</x:v>
      </x:c>
      <x:c r="G104" s="4" t="str">
        <x:v>验证平台管理员在消费订单明细-46的导出记录范围</x:v>
      </x:c>
      <x:c r="H104" s="4" t="str">
        <x:v>导出记录范围</x:v>
      </x:c>
      <x:c r="I104" s="4" t="str">
        <x:v>1. 平台管理员已登录
2. 当前账号具有本报表查询和导出权限
3. 消费订单明细-46当前筛选结果只有测试记录A、B，筛选范围外还有记录C
4. 当前账号已授予本页所用操作权限</x:v>
      </x:c>
      <x:c r="J104" s="4" t="str">
        <x:v>1. 点击导出
2. 打开导出文件</x:v>
      </x:c>
      <x:c r="K104" s="4" t="str">
        <x:v>导出文件的记录集合为A、B</x:v>
      </x:c>
      <x:c r="L104" s="4" t="str"/>
      <x:c r="M104" s="4" t="str">
        <x:v>未测</x:v>
      </x:c>
      <x:c r="N104" s="4" t="str"/>
      <x:c r="O104" s="4" t="str">
        <x:v>1. 来源（当前证据）：MainBasis/统一需求文档.md；位置：A-admin-consumption-order-detail-report-008，第11708行
2. 规则：BR-MB-11E4A83070EFD6
3. 未动态验证</x:v>
      </x:c>
    </x:row>
    <x:row r="105" ht="124" customHeight="1">
      <x:c r="A105" s="4" t="n">
        <x:v>104</x:v>
      </x:c>
      <x:c r="B105" s="4" t="str">
        <x:v>AMB-0104</x:v>
      </x:c>
      <x:c r="C105" s="4" t="str">
        <x:v>M12 直播业绩·增长与统计报表</x:v>
      </x:c>
      <x:c r="D105" s="4" t="str">
        <x:v>用户活跃汇总（每日）-35（平台管理员视角）</x:v>
      </x:c>
      <x:c r="E105" s="4" t="str">
        <x:v>功能需求</x:v>
      </x:c>
      <x:c r="F105" s="4" t="str">
        <x:v>P2</x:v>
      </x:c>
      <x:c r="G105" s="4" t="str">
        <x:v>验证平台管理员在用户活跃汇总（每日）-35的导出记录范围</x:v>
      </x:c>
      <x:c r="H105" s="4" t="str">
        <x:v>导出记录范围</x:v>
      </x:c>
      <x:c r="I105" s="4" t="str">
        <x:v>1. 平台管理员已登录
2. 当前账号具有本报表查询和导出权限
3. 用户活跃汇总（每日）-35当前筛选结果只有测试记录A、B，筛选范围外还有记录C
4. 当前账号已授予本页所用操作权限</x:v>
      </x:c>
      <x:c r="J105" s="4" t="str">
        <x:v>1. 点击导出
2. 打开导出文件</x:v>
      </x:c>
      <x:c r="K105" s="4" t="str">
        <x:v>导出文件的记录集合为A、B</x:v>
      </x:c>
      <x:c r="L105" s="4" t="str"/>
      <x:c r="M105" s="4" t="str">
        <x:v>未测</x:v>
      </x:c>
      <x:c r="N105" s="4" t="str"/>
      <x:c r="O105" s="4" t="str">
        <x:v>1. 来源（当前证据）：MainBasis/统一需求文档.md；位置：A-admin-user-active-statistics-008，第11202行
2. 规则：BR-MB-584F790B9C659C
3. 未动态验证</x:v>
      </x:c>
    </x:row>
    <x:row r="106" ht="124" customHeight="1">
      <x:c r="A106" s="4" t="n">
        <x:v>105</x:v>
      </x:c>
      <x:c r="B106" s="4" t="str">
        <x:v>AMB-0105</x:v>
      </x:c>
      <x:c r="C106" s="4" t="str">
        <x:v>M12 直播业绩·增长与统计报表</x:v>
      </x:c>
      <x:c r="D106" s="4" t="str">
        <x:v>用户消费汇总报表-44（平台管理员视角）</x:v>
      </x:c>
      <x:c r="E106" s="4" t="str">
        <x:v>功能需求</x:v>
      </x:c>
      <x:c r="F106" s="4" t="str">
        <x:v>P2</x:v>
      </x:c>
      <x:c r="G106" s="4" t="str">
        <x:v>验证平台管理员在用户消费汇总报表-44的导出记录范围</x:v>
      </x:c>
      <x:c r="H106" s="4" t="str">
        <x:v>导出记录范围</x:v>
      </x:c>
      <x:c r="I106" s="4" t="str">
        <x:v>1. 平台管理员已登录
2. 当前账号具有本报表查询和导出权限
3. 用户消费汇总报表-44当前筛选结果只有测试记录A、B，筛选范围外还有记录C
4. 当前账号已授予本页所用操作权限</x:v>
      </x:c>
      <x:c r="J106" s="4" t="str">
        <x:v>1. 点击导出
2. 打开导出文件</x:v>
      </x:c>
      <x:c r="K106" s="4" t="str">
        <x:v>导出文件的记录集合为A、B</x:v>
      </x:c>
      <x:c r="L106" s="4" t="str"/>
      <x:c r="M106" s="4" t="str">
        <x:v>未测</x:v>
      </x:c>
      <x:c r="N106" s="4" t="str"/>
      <x:c r="O106" s="4" t="str">
        <x:v>1. 来源（当前证据）：MainBasis/统一需求文档.md；位置：A-admin-monthly-viewer-consumption-007，第11620行
2. 规则：BR-MB-022CA370FB3791
3. 未动态验证</x:v>
      </x:c>
    </x:row>
    <x:row r="107" ht="124" customHeight="1">
      <x:c r="A107" s="4" t="n">
        <x:v>106</x:v>
      </x:c>
      <x:c r="B107" s="4" t="str">
        <x:v>AMB-0106</x:v>
      </x:c>
      <x:c r="C107" s="4" t="str">
        <x:v>M12 直播业绩·增长与统计报表</x:v>
      </x:c>
      <x:c r="D107" s="4" t="str">
        <x:v>直播记录明细报表-38（平台管理员视角）</x:v>
      </x:c>
      <x:c r="E107" s="4" t="str">
        <x:v>功能需求</x:v>
      </x:c>
      <x:c r="F107" s="4" t="str">
        <x:v>P2</x:v>
      </x:c>
      <x:c r="G107" s="4" t="str">
        <x:v>验证平台管理员在直播记录明细报表-38的导出记录范围</x:v>
      </x:c>
      <x:c r="H107" s="4" t="str">
        <x:v>导出记录范围</x:v>
      </x:c>
      <x:c r="I107" s="4" t="str">
        <x:v>1. 平台管理员已登录
2. 当前账号具有本报表查询和导出权限
3. 直播记录明细报表-38当前筛选结果只有测试记录A、B，筛选范围外还有记录C
4. 当前账号已授予本页所用操作权限</x:v>
      </x:c>
      <x:c r="J107" s="4" t="str">
        <x:v>1. 点击导出
2. 打开导出文件</x:v>
      </x:c>
      <x:c r="K107" s="4" t="str">
        <x:v>导出文件的记录集合为A、B</x:v>
      </x:c>
      <x:c r="L107" s="4" t="str"/>
      <x:c r="M107" s="4" t="str">
        <x:v>未测</x:v>
      </x:c>
      <x:c r="N107" s="4" t="str"/>
      <x:c r="O107" s="4" t="str">
        <x:v>1. 来源（当前证据）：MainBasis/统一需求文档.md；位置：A-admin-host-live-record-report-009，第11344行
2. 规则：BR-MB-101243D464CAA6
3. 未动态验证</x:v>
      </x:c>
    </x:row>
    <x:row r="108" ht="124" customHeight="1">
      <x:c r="A108" s="4" t="n">
        <x:v>107</x:v>
      </x:c>
      <x:c r="B108" s="4" t="str">
        <x:v>AMB-0107</x:v>
      </x:c>
      <x:c r="C108" s="4" t="str">
        <x:v>M12 直播业绩·增长与统计报表</x:v>
      </x:c>
      <x:c r="D108" s="4" t="str">
        <x:v>直播间互动汇总（每日）-37（平台管理员视角）</x:v>
      </x:c>
      <x:c r="E108" s="4" t="str">
        <x:v>功能需求</x:v>
      </x:c>
      <x:c r="F108" s="4" t="str">
        <x:v>P2</x:v>
      </x:c>
      <x:c r="G108" s="4" t="str">
        <x:v>验证平台管理员在直播间互动汇总（每日）-37的导出记录范围</x:v>
      </x:c>
      <x:c r="H108" s="4" t="str">
        <x:v>导出记录范围</x:v>
      </x:c>
      <x:c r="I108" s="4" t="str">
        <x:v>1. 平台管理员已登录
2. 当前账号具有本报表查询和导出权限
3. 直播间互动汇总（每日）-37当前筛选结果只有测试记录A、B，筛选范围外还有记录C
4. 当前账号已授予本页所用操作权限</x:v>
      </x:c>
      <x:c r="J108" s="4" t="str">
        <x:v>1. 点击导出
2. 打开导出文件</x:v>
      </x:c>
      <x:c r="K108" s="4" t="str">
        <x:v>导出文件的记录集合为A、B</x:v>
      </x:c>
      <x:c r="L108" s="4" t="str"/>
      <x:c r="M108" s="4" t="str">
        <x:v>未测</x:v>
      </x:c>
      <x:c r="N108" s="4" t="str"/>
      <x:c r="O108" s="4" t="str">
        <x:v>1. 来源（当前证据）：MainBasis/统一需求文档.md；位置：A-admin-live-statistics-007，第11294行
2. 规则：BR-MB-0F8F1C374E7F76
3. 未动态验证</x:v>
      </x:c>
    </x:row>
    <x:row r="109" ht="124" customHeight="1">
      <x:c r="A109" s="4" t="n">
        <x:v>108</x:v>
      </x:c>
      <x:c r="B109" s="4" t="str">
        <x:v>AMB-0108</x:v>
      </x:c>
      <x:c r="C109" s="4" t="str">
        <x:v>M12 直播业绩·增长与统计报表</x:v>
      </x:c>
      <x:c r="D109" s="4" t="str">
        <x:v>礼物消费汇总报表-45（平台管理员视角）</x:v>
      </x:c>
      <x:c r="E109" s="4" t="str">
        <x:v>功能需求</x:v>
      </x:c>
      <x:c r="F109" s="4" t="str">
        <x:v>P2</x:v>
      </x:c>
      <x:c r="G109" s="4" t="str">
        <x:v>验证平台管理员在礼物消费汇总报表-45的导出记录范围</x:v>
      </x:c>
      <x:c r="H109" s="4" t="str">
        <x:v>导出记录范围</x:v>
      </x:c>
      <x:c r="I109" s="4" t="str">
        <x:v>1. 平台管理员已登录
2. 当前账号具有本报表查询和导出权限
3. 礼物消费汇总报表-45当前筛选结果只有测试记录A、B，筛选范围外还有记录C
4. 当前账号已授予本页所用操作权限</x:v>
      </x:c>
      <x:c r="J109" s="4" t="str">
        <x:v>1. 点击导出
2. 打开导出文件</x:v>
      </x:c>
      <x:c r="K109" s="4" t="str">
        <x:v>导出文件的记录集合为A、B</x:v>
      </x:c>
      <x:c r="L109" s="4" t="str"/>
      <x:c r="M109" s="4" t="str">
        <x:v>未测</x:v>
      </x:c>
      <x:c r="N109" s="4" t="str"/>
      <x:c r="O109" s="4" t="str">
        <x:v>1. 来源（当前证据）：MainBasis/统一需求文档.md；位置：A-admin-monthly-gift-sales-007，第11662行
2. 规则：BR-MB-2FD207279DD770
3. 未动态验证</x:v>
      </x:c>
    </x:row>
    <x:row r="110" ht="124" customHeight="1">
      <x:c r="A110" s="4" t="n">
        <x:v>109</x:v>
      </x:c>
      <x:c r="B110" s="4" t="str">
        <x:v>AMB-0109</x:v>
      </x:c>
      <x:c r="C110" s="4" t="str">
        <x:v>M12 直播业绩·增长与统计报表</x:v>
      </x:c>
      <x:c r="D110" s="4" t="str">
        <x:v>退款订单明细-47（平台管理员视角）</x:v>
      </x:c>
      <x:c r="E110" s="4" t="str">
        <x:v>功能需求</x:v>
      </x:c>
      <x:c r="F110" s="4" t="str">
        <x:v>P2</x:v>
      </x:c>
      <x:c r="G110" s="4" t="str">
        <x:v>验证平台管理员在退款订单明细-47的导出记录范围</x:v>
      </x:c>
      <x:c r="H110" s="4" t="str">
        <x:v>导出记录范围</x:v>
      </x:c>
      <x:c r="I110" s="4" t="str">
        <x:v>1. 平台管理员已登录
2. 当前账号具有本报表查询和导出权限
3. 退款订单明细-47当前筛选结果只有测试记录A、B，筛选范围外还有记录C
4. 当前账号已授予本页所用操作权限</x:v>
      </x:c>
      <x:c r="J110" s="4" t="str">
        <x:v>1. 点击导出
2. 打开导出文件</x:v>
      </x:c>
      <x:c r="K110" s="4" t="str">
        <x:v>导出文件的记录集合为A、B</x:v>
      </x:c>
      <x:c r="L110" s="4" t="str"/>
      <x:c r="M110" s="4" t="str">
        <x:v>未测</x:v>
      </x:c>
      <x:c r="N110" s="4" t="str"/>
      <x:c r="O110" s="4" t="str">
        <x:v>1. 来源（当前证据）：MainBasis/统一需求文档.md；位置：A-admin-refund-order-detail-report-006，第11746行
2. 规则：BR-MB-F4B9584DE0C20C
3. 未动态验证</x:v>
      </x:c>
    </x:row>
    <x:row r="111" ht="82" customHeight="1">
      <x:c r="A111" s="4" t="n">
        <x:v>110</x:v>
      </x:c>
      <x:c r="B111" s="4" t="str">
        <x:v>AMB-0110</x:v>
      </x:c>
      <x:c r="C111" s="4" t="str">
        <x:v>M13 后台系统·通用配置与其他已登记页面</x:v>
      </x:c>
      <x:c r="D111" s="4" t="str">
        <x:v>后台账号-53（超级管理员视角）</x:v>
      </x:c>
      <x:c r="E111" s="4" t="str">
        <x:v>功能需求</x:v>
      </x:c>
      <x:c r="F111" s="4" t="str">
        <x:v>P1</x:v>
      </x:c>
      <x:c r="G111" s="4" t="str">
        <x:v>验证超级管理员在后台账号-53的内置管理员停用限制</x:v>
      </x:c>
      <x:c r="H111" s="4" t="str">
        <x:v>内置管理员停用限制</x:v>
      </x:c>
      <x:c r="I111" s="4" t="str">
        <x:v>1. 执行身份为超级管理员
2. 目标为内置超级管理员账号
3. 执行账号已登录
4. 当前账号已授予本页所用操作权限</x:v>
      </x:c>
      <x:c r="J111" s="4" t="str">
        <x:v>1. 进入系统账号列表
2. 打开该账号</x:v>
      </x:c>
      <x:c r="K111" s="4" t="str">
        <x:v>不允许停用内置超级管理员账号</x:v>
      </x:c>
      <x:c r="L111" s="4" t="str"/>
      <x:c r="M111" s="4" t="str">
        <x:v>未测</x:v>
      </x:c>
      <x:c r="N111" s="4" t="str"/>
      <x:c r="O111" s="4" t="str">
        <x:v>1. 来源（当前证据）：MainBasis/统一需求文档.md；位置：A-admin-system-account-007，第11836行
2. 规则：BR-MB-5FC0199D699CF7
3. 未动态验证</x:v>
      </x:c>
    </x:row>
    <x:row r="112" ht="82" customHeight="1">
      <x:c r="A112" s="4" t="n">
        <x:v>111</x:v>
      </x:c>
      <x:c r="B112" s="4" t="str">
        <x:v>AMB-0111</x:v>
      </x:c>
      <x:c r="C112" s="4" t="str">
        <x:v>M13 后台系统·通用配置与其他已登记页面</x:v>
      </x:c>
      <x:c r="D112" s="4" t="str">
        <x:v>角色编辑（平台管理员视角）</x:v>
      </x:c>
      <x:c r="E112" s="4" t="str">
        <x:v>功能需求</x:v>
      </x:c>
      <x:c r="F112" s="4" t="str">
        <x:v>P1</x:v>
      </x:c>
      <x:c r="G112" s="4" t="str">
        <x:v>验证平台管理员在角色编辑的权限树父级选择</x:v>
      </x:c>
      <x:c r="H112" s="4" t="str">
        <x:v>权限树父级选择</x:v>
      </x:c>
      <x:c r="I112" s="4" t="str">
        <x:v>1. 执行身份为平台管理员
2. 正在编辑可修改的自定义角色
3. 执行账号已登录
4. 当前账号已授予本页所用操作权限</x:v>
      </x:c>
      <x:c r="J112" s="4" t="str">
        <x:v>1. 进入角色详情
2. 勾选一个父权限节点</x:v>
      </x:c>
      <x:c r="K112" s="4" t="str">
        <x:v>该父节点的全部子权限均被勾选</x:v>
      </x:c>
      <x:c r="L112" s="4" t="str"/>
      <x:c r="M112" s="4" t="str">
        <x:v>未测</x:v>
      </x:c>
      <x:c r="N112" s="4" t="str"/>
      <x:c r="O112" s="4" t="str">
        <x:v>1. 来源（当前证据）：MainBasis/统一需求文档.md；位置：A-admin-system-role-detail-006，第11970行
2. 规则：BR-MB-26F457E9D2677E
3. 未动态验证</x:v>
      </x:c>
    </x:row>
    <x:row r="113" ht="96" customHeight="1">
      <x:c r="A113" s="4" t="n">
        <x:v>112</x:v>
      </x:c>
      <x:c r="B113" s="4" t="str">
        <x:v>AMB-0112</x:v>
      </x:c>
      <x:c r="C113" s="4" t="str">
        <x:v>M13 后台系统·通用配置与其他已登记页面</x:v>
      </x:c>
      <x:c r="D113" s="4" t="str">
        <x:v>角色编辑（平台管理员视角）</x:v>
      </x:c>
      <x:c r="E113" s="4" t="str">
        <x:v>功能需求</x:v>
      </x:c>
      <x:c r="F113" s="4" t="str">
        <x:v>P2</x:v>
      </x:c>
      <x:c r="G113" s="4" t="str">
        <x:v>验证平台管理员在角色编辑的权限树取消子级</x:v>
      </x:c>
      <x:c r="H113" s="4" t="str">
        <x:v>权限树取消子级</x:v>
      </x:c>
      <x:c r="I113" s="4" t="str">
        <x:v>1. 执行身份为平台管理员
2. 自定义角色某父节点的所有子权限已勾选
3. 执行账号已登录
4. 当前账号已授予本页所用操作权限</x:v>
      </x:c>
      <x:c r="J113" s="4" t="str">
        <x:v>1. 进入角色详情
2. 逐项取消该父节点的全部子权限</x:v>
      </x:c>
      <x:c r="K113" s="4" t="str">
        <x:v>父权限节点变为未勾选</x:v>
      </x:c>
      <x:c r="L113" s="4" t="str"/>
      <x:c r="M113" s="4" t="str">
        <x:v>未测</x:v>
      </x:c>
      <x:c r="N113" s="4" t="str"/>
      <x:c r="O113" s="4" t="str">
        <x:v>1. 来源（当前证据）：MainBasis/统一需求文档.md；位置：A-admin-system-role-detail-006，第11970行
2. 规则：BR-MB-1E7D5DE169AF51
3. 未动态验证</x:v>
      </x:c>
    </x:row>
    <x:row r="114" ht="82" customHeight="1">
      <x:c r="A114" s="4" t="n">
        <x:v>113</x:v>
      </x:c>
      <x:c r="B114" s="4" t="str">
        <x:v>AMB-0113</x:v>
      </x:c>
      <x:c r="C114" s="4" t="str">
        <x:v>M13 后台系统·通用配置与其他已登记页面</x:v>
      </x:c>
      <x:c r="D114" s="4" t="str">
        <x:v>角色编辑（超级管理员视角）</x:v>
      </x:c>
      <x:c r="E114" s="4" t="str">
        <x:v>异常用例</x:v>
      </x:c>
      <x:c r="F114" s="4" t="str">
        <x:v>P1</x:v>
      </x:c>
      <x:c r="G114" s="4" t="str">
        <x:v>验证超级管理员在角色编辑的内置角色权限只读</x:v>
      </x:c>
      <x:c r="H114" s="4" t="str">
        <x:v>内置角色权限只读</x:v>
      </x:c>
      <x:c r="I114" s="4" t="str">
        <x:v>1. 执行身份为超级管理员
2. 执行账号已登录
3. 当前账号已授予本页所用操作权限</x:v>
      </x:c>
      <x:c r="J114" s="4" t="str">
        <x:v>1. 进入内置超级管理员角色详情</x:v>
      </x:c>
      <x:c r="K114" s="4" t="str">
        <x:v>全部权限不可修改</x:v>
      </x:c>
      <x:c r="L114" s="4" t="str"/>
      <x:c r="M114" s="4" t="str">
        <x:v>未测</x:v>
      </x:c>
      <x:c r="N114" s="4" t="str"/>
      <x:c r="O114" s="4" t="str">
        <x:v>1. 来源（当前证据）：MainBasis/统一需求文档.md；位置：A-admin-system-role-detail-007，第11974行
2. 规则：BR-MB-A3A405107108C7
3. 未动态验证</x:v>
      </x:c>
    </x:row>
    <x:row r="115" ht="96" customHeight="1">
      <x:c r="A115" s="4" t="n">
        <x:v>114</x:v>
      </x:c>
      <x:c r="B115" s="4" t="str">
        <x:v>AMB-0114</x:v>
      </x:c>
      <x:c r="C115" s="4" t="str">
        <x:v>M13 后台系统·通用配置与其他已登记页面</x:v>
      </x:c>
      <x:c r="D115" s="4" t="str">
        <x:v>账号编辑（超级管理员视角）</x:v>
      </x:c>
      <x:c r="E115" s="4" t="str">
        <x:v>异常用例</x:v>
      </x:c>
      <x:c r="F115" s="4" t="str">
        <x:v>P1</x:v>
      </x:c>
      <x:c r="G115" s="4" t="str">
        <x:v>验证超级管理员在账号编辑的后台账号唯一</x:v>
      </x:c>
      <x:c r="H115" s="4" t="str">
        <x:v>后台账号唯一</x:v>
      </x:c>
      <x:c r="I115" s="4" t="str">
        <x:v>1. 执行身份为超级管理员
2. 登录账号adminqa已存在
3. 新增账号其他字段有效
4. 执行账号已登录
5. 当前账号已授予本页所用操作权限</x:v>
      </x:c>
      <x:c r="J115" s="4" t="str">
        <x:v>1. 进入新增后台账号
2. 输入账号adminqa
3. 点击保存</x:v>
      </x:c>
      <x:c r="K115" s="4" t="str">
        <x:v>不能保存重复登录账号</x:v>
      </x:c>
      <x:c r="L115" s="4" t="str"/>
      <x:c r="M115" s="4" t="str">
        <x:v>未测</x:v>
      </x:c>
      <x:c r="N115" s="4" t="str"/>
      <x:c r="O115" s="4" t="str">
        <x:v>1. 来源（当前证据）：MainBasis/统一需求文档.md；位置：A-admin-system-account-detail-003，第11864行
2. 规则：BR-MB-AFE9EBED035EBD
3. 未动态验证</x:v>
      </x:c>
    </x:row>
    <x:row r="116" ht="82" customHeight="1">
      <x:c r="A116" s="4" t="n">
        <x:v>115</x:v>
      </x:c>
      <x:c r="B116" s="4" t="str">
        <x:v>AMB-0115</x:v>
      </x:c>
      <x:c r="C116" s="4" t="str">
        <x:v>M13 后台系统·通用配置与其他已登记页面</x:v>
      </x:c>
      <x:c r="D116" s="4" t="str">
        <x:v>账号编辑（超级管理员视角）</x:v>
      </x:c>
      <x:c r="E116" s="4" t="str">
        <x:v>异常用例</x:v>
      </x:c>
      <x:c r="F116" s="4" t="str">
        <x:v>P1</x:v>
      </x:c>
      <x:c r="G116" s="4" t="str">
        <x:v>验证超级管理员在账号编辑的后台停用角色不可分配</x:v>
      </x:c>
      <x:c r="H116" s="4" t="str">
        <x:v>后台停用角色不可分配</x:v>
      </x:c>
      <x:c r="I116" s="4" t="str">
        <x:v>1. 执行身份为超级管理员
2. 角色R已停用
3. 执行账号已登录
4. 当前账号已授予本页所用操作权限</x:v>
      </x:c>
      <x:c r="J116" s="4" t="str">
        <x:v>1. 进入新增后台账号
2. 打开所属角色选择</x:v>
      </x:c>
      <x:c r="K116" s="4" t="str">
        <x:v>停用角色R不可选择</x:v>
      </x:c>
      <x:c r="L116" s="4" t="str"/>
      <x:c r="M116" s="4" t="str">
        <x:v>未测</x:v>
      </x:c>
      <x:c r="N116" s="4" t="str"/>
      <x:c r="O116" s="4" t="str">
        <x:v>1. 来源（当前证据）：MainBasis/统一需求文档.md；位置：A-admin-system-account-detail-004，第11868行
2. 规则：BR-MB-8D465DCE5C3385
3. 未动态验证</x:v>
      </x:c>
    </x:row>
    <x:row r="117" ht="110" customHeight="1">
      <x:c r="A117" s="4" t="n">
        <x:v>116</x:v>
      </x:c>
      <x:c r="B117" s="4" t="str">
        <x:v>AMB-0116</x:v>
      </x:c>
      <x:c r="C117" s="4" t="str">
        <x:v>M13 后台系统·通用配置与其他已登记页面</x:v>
      </x:c>
      <x:c r="D117" s="4" t="str">
        <x:v>账号编辑（超级管理员视角）</x:v>
      </x:c>
      <x:c r="E117" s="4" t="str">
        <x:v>异常用例</x:v>
      </x:c>
      <x:c r="F117" s="4" t="str">
        <x:v>P1</x:v>
      </x:c>
      <x:c r="G117" s="4" t="str">
        <x:v>验证超级管理员在账号编辑的后台密码二次输入校验</x:v>
      </x:c>
      <x:c r="H117" s="4" t="str">
        <x:v>后台密码二次输入校验</x:v>
      </x:c>
      <x:c r="I117" s="4" t="str">
        <x:v>1. 执行身份为超级管理员
2. 目标账号可修改密码
3. 新密码两次输入不同，且各自满足已发布密码策略
4. 执行账号已登录
5. 当前账号已授予本页所用操作权限</x:v>
      </x:c>
      <x:c r="J117" s="4" t="str">
        <x:v>1. 进入该账号详情
2. 输入两份不同的新密码
3. 点击保存</x:v>
      </x:c>
      <x:c r="K117" s="4" t="str">
        <x:v>新密码不能保存</x:v>
      </x:c>
      <x:c r="L117" s="4" t="str"/>
      <x:c r="M117" s="4" t="str">
        <x:v>未测</x:v>
      </x:c>
      <x:c r="N117" s="4" t="str"/>
      <x:c r="O117" s="4" t="str">
        <x:v>1. 来源（当前证据）：MainBasis/统一需求文档.md；位置：A-admin-system-account-detail-006，第11876行
2. 规则：BR-MB-6CA6ECBD1FF7F4
3. 未动态验证</x:v>
      </x:c>
    </x:row>
  </x:sheetData>
  <x:dataValidations count="3">
    <x:dataValidation type="list" sqref="E2:E117">
      <x:formula1>"功能需求,业务流程,逻辑校验,异常用例"</x:formula1>
    </x:dataValidation>
    <x:dataValidation type="list" sqref="F2:F117">
      <x:formula1>"P0,P1,P2,P3"</x:formula1>
    </x:dataValidation>
    <x:dataValidation type="list" sqref="M2:M117">
      <x:formula1>"未测,通过,不通过,阻塞,不适用"</x:formula1>
    </x:dataValidation>
  </x:dataValidations>
  <x:pageMargins left="0.7" right="0.7" top="0.75" bottom="0.75" header="0.3" footer="0.3"/>
  <x:tableParts count="1">
    <x:tablePart xmlns:r="http://schemas.openxmlformats.org/officeDocument/2006/relationships" r:id="R9fc6645fdc304a9c"/>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Q-060</x:v>
      </x:c>
      <x:c r="B11" s="4" t="str">
        <x:v>RQ-028</x:v>
      </x:c>
      <x:c r="C11" s="4" t="str"/>
      <x:c r="D11" s="4" t="str"/>
      <x:c r="E11" s="4" t="str">
        <x:v>阻塞测试</x:v>
      </x:c>
      <x:c r="F11" s="4" t="str">
        <x:v>M11 财务·退款·结算上传与账户调整</x:v>
      </x:c>
      <x:c r="G11" s="4" t="str">
        <x:v>财务导入包含一行无效数据的结算文件</x:v>
      </x:c>
      <x:c r="H11" s="4" t="str">
        <x:v>异常处理</x:v>
      </x:c>
      <x:c r="I11" s="4" t="str">
        <x:v>是否允许部分行导入成功？</x:v>
      </x:c>
      <x:c r="J11" s="4" t="str">
        <x:v>A. 整批拒绝，修正后重新上传
B. 有效行成功，无效行返回失败明细</x:v>
      </x:c>
      <x:c r="K11" s="4" t="str">
        <x:v>建议优先评估A：明确财务导入包含一行无效数据的结算文件的唯一处理口径后，可构造确定的输入和结果；此建议不代表产品结论</x:v>
      </x:c>
      <x:c r="L11" s="8" t="str"/>
      <x:c r="M11" s="8" t="str"/>
      <x:c r="N11" s="4" t="str">
        <x:v>1. MainBasis/需求待确认清单.md#Q028：财务上传模板、错误处理与重复导入
2. 主文档关联：A-admin-settlement-record-003、A-admin-settlement-record-detail-001、A-admin-guild-settlement-record-003、A-admin-guild-settlement-record-detail-001</x:v>
      </x:c>
      <x:c r="O11" s="4" t="str">
        <x:v>1. 管理后台：财务导入包含一行无效数据的结算文件
2. 公会App：财务导入包含一行无效数据的结算文件</x:v>
      </x:c>
      <x:c r="P11" s="4" t="str"/>
      <x:c r="Q11" s="4" t="str">
        <x:v>1. 是否允许部分行导入成功的正向、边界及异常场景</x:v>
      </x:c>
      <x:c r="R11" s="4" t="str">
        <x:v>多方确认</x:v>
      </x:c>
      <x:c r="S11" s="4" t="str">
        <x:v>进入对应功能测试前</x:v>
      </x:c>
      <x:c r="T11" s="4" t="str">
        <x:v>待确认</x:v>
      </x:c>
    </x:row>
    <x:row r="12" ht="110" customHeight="1">
      <x:c r="A12" s="4" t="str">
        <x:v>Q-061</x:v>
      </x:c>
      <x:c r="B12" s="4" t="str">
        <x:v>RQ-028</x:v>
      </x:c>
      <x:c r="C12" s="4" t="str"/>
      <x:c r="D12" s="4" t="str"/>
      <x:c r="E12" s="4" t="str">
        <x:v>阻塞测试</x:v>
      </x:c>
      <x:c r="F12" s="4" t="str">
        <x:v>M11 财务·退款·结算上传与账户调整</x:v>
      </x:c>
      <x:c r="G12" s="4" t="str">
        <x:v>财务重复上传同一批结算结果</x:v>
      </x:c>
      <x:c r="H12" s="4" t="str">
        <x:v>异常处理</x:v>
      </x:c>
      <x:c r="I12" s="4" t="str">
        <x:v>重复批次应如何处理？</x:v>
      </x:c>
      <x:c r="J12" s="4" t="str">
        <x:v>A. 按唯一批次号拒绝重复导入
B. 按唯一明细键只导入此前未入账的行</x:v>
      </x:c>
      <x:c r="K12" s="4" t="str">
        <x:v>建议优先评估A：明确财务重复上传同一批结算结果的唯一处理口径后，可构造确定的输入和结果；此建议不代表产品结论</x:v>
      </x:c>
      <x:c r="L12" s="8" t="str"/>
      <x:c r="M12" s="8" t="str"/>
      <x:c r="N12" s="4" t="str">
        <x:v>1. MainBasis/需求待确认清单.md#Q028：财务上传模板、错误处理与重复导入
2. 主文档关联：A-admin-settlement-record-003、A-admin-settlement-record-detail-001、A-admin-guild-settlement-record-003、A-admin-guild-settlement-record-detail-001</x:v>
      </x:c>
      <x:c r="O12" s="4" t="str">
        <x:v>1. 管理后台：财务重复上传同一批结算结果
2. 公会App：财务重复上传同一批结算结果</x:v>
      </x:c>
      <x:c r="P12" s="4" t="str"/>
      <x:c r="Q12" s="4" t="str">
        <x:v>1. 重复批次应如何处理的正向、边界及异常场景</x:v>
      </x:c>
      <x:c r="R12" s="4" t="str">
        <x:v>多方确认</x:v>
      </x:c>
      <x:c r="S12" s="4" t="str">
        <x:v>进入对应功能测试前</x:v>
      </x:c>
      <x:c r="T12" s="4" t="str">
        <x:v>待确认</x:v>
      </x:c>
    </x:row>
    <x:row r="13" ht="110" customHeight="1">
      <x:c r="A13" s="4" t="str">
        <x:v>Q-062</x:v>
      </x:c>
      <x:c r="B13" s="4" t="str">
        <x:v>RQ-029</x:v>
      </x:c>
      <x:c r="C13" s="4" t="str"/>
      <x:c r="D13" s="4" t="str"/>
      <x:c r="E13" s="4" t="str">
        <x:v>阻塞测试</x:v>
      </x:c>
      <x:c r="F13" s="4" t="str">
        <x:v>M11 财务·退款·结算上传与账户调整</x:v>
      </x:c>
      <x:c r="G13" s="4" t="str">
        <x:v>财务上传结果后查看主播或公会薪资账户</x:v>
      </x:c>
      <x:c r="H13" s="4" t="str">
        <x:v>业务规则</x:v>
      </x:c>
      <x:c r="I13" s="4" t="str">
        <x:v>薪资账户余额表示哪种业务数值？</x:v>
      </x:c>
      <x:c r="J13" s="4" t="str">
        <x:v>A. 累计已结算金额，线下付款不再扣减
B. 应付未付金额，线下付款需扣减
C. 已实际到账且可支取余额，支取后扣减</x:v>
      </x:c>
      <x:c r="K13" s="4" t="str">
        <x:v>建议优先评估A：明确财务上传结果后查看主播或公会薪资账户的唯一处理口径后，可构造确定的输入和结果；此建议不代表产品结论</x:v>
      </x:c>
      <x:c r="L13" s="8" t="str"/>
      <x:c r="M13" s="8" t="str"/>
      <x:c r="N13" s="4" t="str">
        <x:v>1. MainBasis/需求待确认清单.md#Q029：薪资账户、调整记录与线下实付的含义
2. 主文档关联：A-admin-host-account-balance-002、A-admin-guild-account-balance-002、A-admin-host-account-balance-003、A-admin-guild-account-balance-003</x:v>
      </x:c>
      <x:c r="O13" s="4" t="str">
        <x:v>1. 用户App：财务上传结果后查看主播或公会薪资账户
2. 公会App：财务上传结果后查看主播或公会薪资账户
3. 管理后台：财务上传结果后查看主播或公会薪资账户</x:v>
      </x:c>
      <x:c r="P13" s="4" t="str"/>
      <x:c r="Q13" s="4" t="str">
        <x:v>1. 薪资账户余额表示哪种业务数值的正向、边界及异常场景</x:v>
      </x:c>
      <x:c r="R13" s="4" t="str">
        <x:v>产品</x:v>
      </x:c>
      <x:c r="S13" s="4" t="str">
        <x:v>进入对应功能测试前</x:v>
      </x:c>
      <x:c r="T13" s="4" t="str">
        <x:v>待确认</x:v>
      </x:c>
    </x:row>
    <x:row r="14" ht="68" customHeight="1">
      <x:c r="A14" s="4" t="str">
        <x:v>Q-063</x:v>
      </x:c>
      <x:c r="B14" s="4" t="str">
        <x:v>RQ-030</x:v>
      </x:c>
      <x:c r="C14" s="4" t="str"/>
      <x:c r="D14" s="4" t="str"/>
      <x:c r="E14" s="4" t="str">
        <x:v>阻塞测试</x:v>
      </x:c>
      <x:c r="F14" s="4" t="str">
        <x:v>跨模块需求</x:v>
      </x:c>
      <x:c r="G14" s="4" t="str">
        <x:v>支付渠道重复发送成功通知</x:v>
      </x:c>
      <x:c r="H14" s="4" t="str">
        <x:v>异常处理</x:v>
      </x:c>
      <x:c r="I14" s="4" t="str">
        <x:v>重复回调如何识别同一笔入账？</x:v>
      </x:c>
      <x:c r="J14" s="4" t="str">
        <x:v>A. 以渠道交易号与订单号联合去重
B. 以平台订单号去重，渠道交易号仅作核对</x:v>
      </x:c>
      <x:c r="K14" s="4" t="str">
        <x:v>建议优先评估A：明确支付渠道重复发送成功通知的唯一处理口径后，可构造确定的输入和结果；此建议不代表产品结论</x:v>
      </x:c>
      <x:c r="L14" s="8" t="str"/>
      <x:c r="M14" s="8" t="str"/>
      <x:c r="N14" s="4" t="str">
        <x:v>1. MainBasis/需求待确认清单.md#Q030：支付与退款异步状态
2. 主文档关联：见风险来源中的来源异常范围</x:v>
      </x:c>
      <x:c r="O14" s="4" t="str">
        <x:v>1. 用户App：支付渠道重复发送成功通知
2. 管理后台：支付渠道重复发送成功通知</x:v>
      </x:c>
      <x:c r="P14" s="4" t="str"/>
      <x:c r="Q14" s="4" t="str">
        <x:v>1. 重复回调如何识别同一笔入账的正向、边界及异常场景</x:v>
      </x:c>
      <x:c r="R14" s="4" t="str">
        <x:v>多方确认</x:v>
      </x:c>
      <x:c r="S14" s="4" t="str">
        <x:v>进入对应功能测试前</x:v>
      </x:c>
      <x:c r="T14" s="4" t="str">
        <x:v>待确认</x:v>
      </x:c>
    </x:row>
    <x:row r="15" ht="68" customHeight="1">
      <x:c r="A15" s="4" t="str">
        <x:v>Q-064</x:v>
      </x:c>
      <x:c r="B15" s="4" t="str">
        <x:v>RQ-030</x:v>
      </x:c>
      <x:c r="C15" s="4" t="str"/>
      <x:c r="D15" s="4" t="str"/>
      <x:c r="E15" s="4" t="str">
        <x:v>阻塞测试</x:v>
      </x:c>
      <x:c r="F15" s="4" t="str">
        <x:v>跨模块需求</x:v>
      </x:c>
      <x:c r="G15" s="4" t="str">
        <x:v>订单超时后收到真实支付成功通知</x:v>
      </x:c>
      <x:c r="H15" s="4" t="str">
        <x:v>异常处理</x:v>
      </x:c>
      <x:c r="I15" s="4" t="str">
        <x:v>迟到成功回调是否补记充值？</x:v>
      </x:c>
      <x:c r="J15" s="4" t="str">
        <x:v>A. 补记一次到账并恢复成功状态
B. 不补记金币，发起原渠道退回</x:v>
      </x:c>
      <x:c r="K15" s="4" t="str">
        <x:v>建议优先评估A：明确订单超时后收到真实支付成功通知的唯一处理口径后，可构造确定的输入和结果；此建议不代表产品结论</x:v>
      </x:c>
      <x:c r="L15" s="8" t="str"/>
      <x:c r="M15" s="8" t="str"/>
      <x:c r="N15" s="4" t="str">
        <x:v>1. MainBasis/需求待确认清单.md#Q030：支付与退款异步状态
2. 主文档关联：见风险来源中的来源异常范围</x:v>
      </x:c>
      <x:c r="O15" s="4" t="str">
        <x:v>1. 用户App：订单超时后收到真实支付成功通知
2. 管理后台：订单超时后收到真实支付成功通知</x:v>
      </x:c>
      <x:c r="P15" s="4" t="str"/>
      <x:c r="Q15" s="4" t="str">
        <x:v>1. 迟到成功回调是否补记充值的正向、边界及异常场景</x:v>
      </x:c>
      <x:c r="R15" s="4" t="str">
        <x:v>多方确认</x:v>
      </x:c>
      <x:c r="S15" s="4" t="str">
        <x:v>进入对应功能测试前</x:v>
      </x:c>
      <x:c r="T15" s="4" t="str">
        <x:v>待确认</x:v>
      </x:c>
    </x:row>
    <x:row r="16" ht="96" customHeight="1">
      <x:c r="A16" s="4" t="str">
        <x:v>Q-003</x:v>
      </x:c>
      <x:c r="B16" s="4" t="str">
        <x:v>RQ-002</x:v>
      </x:c>
      <x:c r="C16" s="4" t="str"/>
      <x:c r="D16" s="4" t="str"/>
      <x:c r="E16" s="4" t="str">
        <x:v>部分阻塞</x:v>
      </x:c>
      <x:c r="F16" s="4" t="str">
        <x:v>M05 公会申请·认证·组织与权限</x:v>
      </x:c>
      <x:c r="G16" s="4" t="str">
        <x:v>管理员重新启用曾停用的公会</x:v>
      </x:c>
      <x:c r="H16" s="4" t="str">
        <x:v>业务规则</x:v>
      </x:c>
      <x:c r="I16" s="4" t="str">
        <x:v>恢复启用是否自动恢复停用时解除的主播关系？</x:v>
      </x:c>
      <x:c r="J16" s="4" t="str">
        <x:v>A. 不恢复，主播须重新申请
B. 仅恢复未加入其他公会且账号有效的原成员</x:v>
      </x:c>
      <x:c r="K16" s="4" t="str">
        <x:v>建议优先评估A：明确管理员重新启用曾停用的公会的唯一处理口径后，可构造确定的输入和结果；此建议不代表产品结论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用户App：管理员重新启用曾停用的公会
2. 公会App：管理员重新启用曾停用的公会
3. 管理后台：管理员重新启用曾停用的公会</x:v>
      </x:c>
      <x:c r="P16" s="4" t="str"/>
      <x:c r="Q16" s="4" t="str">
        <x:v>1. 恢复启用是否自动恢复停用时解除的主播关系的正向、边界及异常场景</x:v>
      </x:c>
      <x:c r="R16" s="4" t="str">
        <x:v>产品</x:v>
      </x:c>
      <x:c r="S16" s="4" t="str">
        <x:v>进入对应功能测试前</x:v>
      </x:c>
      <x:c r="T16" s="4" t="str">
        <x:v>待确认</x:v>
      </x:c>
    </x:row>
    <x:row r="17" ht="96" customHeight="1">
      <x:c r="A17" s="4" t="str">
        <x:v>Q-004</x:v>
      </x:c>
      <x:c r="B17" s="4" t="str">
        <x:v>RQ-002</x:v>
      </x:c>
      <x:c r="C17" s="4" t="str"/>
      <x:c r="D17" s="4" t="str"/>
      <x:c r="E17" s="4" t="str">
        <x:v>部分阻塞</x:v>
      </x:c>
      <x:c r="F17" s="4" t="str">
        <x:v>M05 公会申请·认证·组织与权限</x:v>
      </x:c>
      <x:c r="G17" s="4" t="str">
        <x:v>管理员停用公会时仍有未处理入会申请</x:v>
      </x:c>
      <x:c r="H17" s="4" t="str">
        <x:v>业务规则</x:v>
      </x:c>
      <x:c r="I17" s="4" t="str">
        <x:v>未处理申请是否自动终止？</x:v>
      </x:c>
      <x:c r="J17" s="4" t="str">
        <x:v>A. 终止并标记公会停用
B. 暂停处理，公会恢复后可继续审核</x:v>
      </x:c>
      <x:c r="K17" s="4" t="str">
        <x:v>建议优先评估A：明确管理员停用公会时仍有未处理入会申请的唯一处理口径后，可构造确定的输入和结果；此建议不代表产品结论</x:v>
      </x:c>
      <x:c r="L17" s="8" t="str"/>
      <x:c r="M17" s="8" t="str"/>
      <x:c r="N17" s="4" t="str">
        <x:v>1. MainBasis/需求待确认清单.md#Q002：公会停用与解散的关系后果
2. 主文档关联：D-SYS-066、U-guild-management-007、G-guild-switch-003、A-admin-guild-list-005</x:v>
      </x:c>
      <x:c r="O17" s="4" t="str">
        <x:v>1. 用户App：管理员停用公会时仍有未处理入会申请
2. 公会App：管理员停用公会时仍有未处理入会申请
3. 管理后台：管理员停用公会时仍有未处理入会申请</x:v>
      </x:c>
      <x:c r="P17" s="4" t="str"/>
      <x:c r="Q17" s="4" t="str">
        <x:v>1. 未处理申请是否自动终止的正向、边界及异常场景</x:v>
      </x:c>
      <x:c r="R17" s="4" t="str">
        <x:v>产品</x:v>
      </x:c>
      <x:c r="S17" s="4" t="str">
        <x:v>进入对应功能测试前</x:v>
      </x:c>
      <x:c r="T17" s="4" t="str">
        <x:v>待确认</x:v>
      </x:c>
    </x:row>
    <x:row r="18" ht="96" customHeight="1">
      <x:c r="A18" s="4" t="str">
        <x:v>Q-005</x:v>
      </x:c>
      <x:c r="B18" s="4" t="str">
        <x:v>RQ-002</x:v>
      </x:c>
      <x:c r="C18" s="4" t="str"/>
      <x:c r="D18" s="4" t="str"/>
      <x:c r="E18" s="4" t="str">
        <x:v>部分阻塞</x:v>
      </x:c>
      <x:c r="F18" s="4" t="str">
        <x:v>M05 公会申请·认证·组织与权限</x:v>
      </x:c>
      <x:c r="G18" s="4" t="str">
        <x:v>公会长有多个可管理公会，其中一个停用</x:v>
      </x:c>
      <x:c r="H18" s="4" t="str">
        <x:v>业务规则</x:v>
      </x:c>
      <x:c r="I18" s="4" t="str">
        <x:v>公会切换列表是否显示停用公会？</x:v>
      </x:c>
      <x:c r="J18" s="4" t="str">
        <x:v>A. 隐藏停用公会
B. 显示停用标记但禁止切入</x:v>
      </x:c>
      <x:c r="K18" s="4" t="str">
        <x:v>建议优先评估A：明确公会长有多个可管理公会，其中一个停用的唯一处理口径后，可构造确定的输入和结果；此建议不代表产品结论</x:v>
      </x:c>
      <x:c r="L18" s="8" t="str"/>
      <x:c r="M18" s="8" t="str"/>
      <x:c r="N18" s="4" t="str">
        <x:v>1. MainBasis/需求待确认清单.md#Q002：公会停用与解散的关系后果
2. 主文档关联：D-SYS-066、U-guild-management-007、G-guild-switch-003、A-admin-guild-list-005</x:v>
      </x:c>
      <x:c r="O18" s="4" t="str">
        <x:v>1. 用户App：公会长有多个可管理公会，其中一个停用
2. 公会App：公会长有多个可管理公会，其中一个停用
3. 管理后台：公会长有多个可管理公会，其中一个停用</x:v>
      </x:c>
      <x:c r="P18" s="4" t="str"/>
      <x:c r="Q18" s="4" t="str">
        <x:v>1. 公会切换列表是否显示停用公会的正向、边界及异常场景</x:v>
      </x:c>
      <x:c r="R18" s="4" t="str">
        <x:v>产品</x:v>
      </x:c>
      <x:c r="S18" s="4" t="str">
        <x:v>进入对应功能测试前</x:v>
      </x:c>
      <x:c r="T18" s="4" t="str">
        <x:v>待确认</x:v>
      </x:c>
    </x:row>
    <x:row r="19" ht="96" customHeight="1">
      <x:c r="A19" s="4" t="str">
        <x:v>Q-006</x:v>
      </x:c>
      <x:c r="B19" s="4" t="str">
        <x:v>RQ-003</x:v>
      </x:c>
      <x:c r="C19" s="4" t="str"/>
      <x:c r="D19" s="4" t="str"/>
      <x:c r="E19" s="4" t="str">
        <x:v>部分阻塞</x:v>
      </x:c>
      <x:c r="F19" s="4" t="str">
        <x:v>M05 公会申请·认证·组织与权限</x:v>
      </x:c>
      <x:c r="G19" s="4" t="str">
        <x:v>平台关闭开播权限但锁定标志未开启</x:v>
      </x:c>
      <x:c r="H19" s="4" t="str">
        <x:v>业务规则</x:v>
      </x:c>
      <x:c r="I19" s="4" t="str">
        <x:v>公会端是否仍显示权限已锁定？</x:v>
      </x:c>
      <x:c r="J19" s="4" t="str">
        <x:v>A. 显示平台已关闭，只禁用控制，不显示已锁定
B. 显示已锁定，平台关闭隐含锁定效果</x:v>
      </x:c>
      <x:c r="K19" s="4" t="str">
        <x:v>建议优先评估A：明确平台关闭开播权限但锁定标志未开启的唯一处理口径后，可构造确定的输入和结果；此建议不代表产品结论</x:v>
      </x:c>
      <x:c r="L19" s="8" t="str"/>
      <x:c r="M19" s="8" t="str"/>
      <x:c r="N19" s="4" t="str">
        <x:v>1. MainBasis/需求待确认清单.md#Q003：平台锁定与公会原权限的完整真值表
2. 主文档关联：D-SYS-083、G-guild-host-detail-006、A-admin-host-list-008、A-admin-host-detail-003</x:v>
      </x:c>
      <x:c r="O19" s="4" t="str">
        <x:v>1. 用户App：平台关闭开播权限但锁定标志未开启
2. 公会App：平台关闭开播权限但锁定标志未开启
3. 管理后台：平台关闭开播权限但锁定标志未开启</x:v>
      </x:c>
      <x:c r="P19" s="4" t="str"/>
      <x:c r="Q19" s="4" t="str">
        <x:v>1. 公会端是否仍显示权限已锁定的正向、边界及异常场景</x:v>
      </x:c>
      <x:c r="R19" s="4" t="str">
        <x:v>产品</x:v>
      </x:c>
      <x:c r="S19" s="4" t="str">
        <x:v>进入对应功能测试前</x:v>
      </x:c>
      <x:c r="T19" s="4" t="str">
        <x:v>待确认</x:v>
      </x:c>
    </x:row>
    <x:row r="20" ht="96" customHeight="1">
      <x:c r="A20" s="4" t="str">
        <x:v>Q-007</x:v>
      </x:c>
      <x:c r="B20" s="4" t="str">
        <x:v>RQ-003</x:v>
      </x:c>
      <x:c r="C20" s="4" t="str"/>
      <x:c r="D20" s="4" t="str"/>
      <x:c r="E20" s="4" t="str">
        <x:v>部分阻塞</x:v>
      </x:c>
      <x:c r="F20" s="4" t="str">
        <x:v>M05 公会申请·认证·组织与权限</x:v>
      </x:c>
      <x:c r="G20" s="4" t="str">
        <x:v>平台先关闭再开启主播开播权限</x:v>
      </x:c>
      <x:c r="H20" s="4" t="str">
        <x:v>业务规则</x:v>
      </x:c>
      <x:c r="I20" s="4" t="str">
        <x:v>重新开启时是否保留操作前的锁定标志？</x:v>
      </x:c>
      <x:c r="J20" s="4" t="str">
        <x:v>A. 保留锁定标志，并按该标志重算最终权限
B. 开启时清除锁定，按原公会权限重算</x:v>
      </x:c>
      <x:c r="K20" s="4" t="str">
        <x:v>建议优先评估A：明确平台先关闭再开启主播开播权限的唯一处理口径后，可构造确定的输入和结果；此建议不代表产品结论</x:v>
      </x:c>
      <x:c r="L20" s="8" t="str"/>
      <x:c r="M20" s="8" t="str"/>
      <x:c r="N20" s="4" t="str">
        <x:v>1. MainBasis/需求待确认清单.md#Q003：平台锁定与公会原权限的完整真值表
2. 主文档关联：D-SYS-083、G-guild-host-detail-006、A-admin-host-list-008、A-admin-host-detail-003</x:v>
      </x:c>
      <x:c r="O20" s="4" t="str">
        <x:v>1. 用户App：平台先关闭再开启主播开播权限
2. 公会App：平台先关闭再开启主播开播权限
3. 管理后台：平台先关闭再开启主播开播权限</x:v>
      </x:c>
      <x:c r="P20" s="4" t="str"/>
      <x:c r="Q20" s="4" t="str">
        <x:v>1. 重新开启时是否保留操作前的锁定标志的正向、边界及异常场景</x:v>
      </x:c>
      <x:c r="R20" s="4" t="str">
        <x:v>产品</x:v>
      </x:c>
      <x:c r="S20" s="4" t="str">
        <x:v>进入对应功能测试前</x:v>
      </x:c>
      <x:c r="T20" s="4" t="str">
        <x:v>待确认</x:v>
      </x:c>
    </x:row>
    <x:row r="21" ht="96" customHeight="1">
      <x:c r="A21" s="4" t="str">
        <x:v>Q-008</x:v>
      </x:c>
      <x:c r="B21" s="4" t="str">
        <x:v>RQ-004</x:v>
      </x:c>
      <x:c r="C21" s="4" t="str"/>
      <x:c r="D21" s="4" t="str"/>
      <x:c r="E21" s="4" t="str">
        <x:v>部分阻塞</x:v>
      </x:c>
      <x:c r="F21" s="4" t="str">
        <x:v>M05 公会申请·认证·组织与权限</x:v>
      </x:c>
      <x:c r="G21" s="4" t="str">
        <x:v>主播有未结收益时提交退会申请</x:v>
      </x:c>
      <x:c r="H21" s="4" t="str">
        <x:v>业务规则</x:v>
      </x:c>
      <x:c r="I21" s="4" t="str">
        <x:v>有未结收益时是否允许提交退会申请？</x:v>
      </x:c>
      <x:c r="J21" s="4" t="str">
        <x:v>A. 不允许，收益结清后再办理
B. 允许，旧公会收益归属保留至线下结清</x:v>
      </x:c>
      <x:c r="K21" s="4" t="str">
        <x:v>建议优先评估A：明确主播有未结收益时提交退会申请的唯一处理口径后，可构造确定的输入和结果；此建议不代表产品结论</x:v>
      </x:c>
      <x:c r="L21" s="8" t="str"/>
      <x:c r="M21" s="8" t="str"/>
      <x:c r="N21" s="4" t="str">
        <x:v>1. MainBasis/需求待确认清单.md#Q004：未结算收益是否阻止退会或移除
2. 主文档关联：G-guild-host-detail-009、A-admin-guild-detail-012</x:v>
      </x:c>
      <x:c r="O21" s="4" t="str">
        <x:v>1. 用户App：主播有未结收益时提交退会申请
2. 公会App：主播有未结收益时提交退会申请
3. 管理后台：主播有未结收益时提交退会申请</x:v>
      </x:c>
      <x:c r="P21" s="4" t="str"/>
      <x:c r="Q21" s="4" t="str">
        <x:v>1. 有未结收益时是否允许提交退会申请的正向、边界及异常场景</x:v>
      </x:c>
      <x:c r="R21" s="4" t="str">
        <x:v>产品</x:v>
      </x:c>
      <x:c r="S21" s="4" t="str">
        <x:v>进入对应功能测试前</x:v>
      </x:c>
      <x:c r="T21" s="4" t="str">
        <x:v>待确认</x:v>
      </x:c>
    </x:row>
    <x:row r="22" ht="96" customHeight="1">
      <x:c r="A22" s="4" t="str">
        <x:v>Q-009</x:v>
      </x:c>
      <x:c r="B22" s="4" t="str">
        <x:v>RQ-004</x:v>
      </x:c>
      <x:c r="C22" s="4" t="str"/>
      <x:c r="D22" s="4" t="str"/>
      <x:c r="E22" s="4" t="str">
        <x:v>部分阻塞</x:v>
      </x:c>
      <x:c r="F22" s="4" t="str">
        <x:v>M05 公会申请·认证·组织与权限</x:v>
      </x:c>
      <x:c r="G22" s="4" t="str">
        <x:v>主播有未结收益时通过退会申请</x:v>
      </x:c>
      <x:c r="H22" s="4" t="str">
        <x:v>业务规则</x:v>
      </x:c>
      <x:c r="I22" s="4" t="str">
        <x:v>有未结收益时是否允许通过退会申请？</x:v>
      </x:c>
      <x:c r="J22" s="4" t="str">
        <x:v>A. 不允许，收益结清后再办理
B. 允许，旧公会收益归属保留至线下结清</x:v>
      </x:c>
      <x:c r="K22" s="4" t="str">
        <x:v>建议优先评估A：明确主播有未结收益时通过退会申请的唯一处理口径后，可构造确定的输入和结果；此建议不代表产品结论</x:v>
      </x:c>
      <x:c r="L22" s="8" t="str"/>
      <x:c r="M22" s="8" t="str"/>
      <x:c r="N22" s="4" t="str">
        <x:v>1. MainBasis/需求待确认清单.md#Q004：未结算收益是否阻止退会或移除
2. 主文档关联：G-guild-host-detail-009、A-admin-guild-detail-012</x:v>
      </x:c>
      <x:c r="O22" s="4" t="str">
        <x:v>1. 用户App：主播有未结收益时通过退会申请
2. 公会App：主播有未结收益时通过退会申请
3. 管理后台：主播有未结收益时通过退会申请</x:v>
      </x:c>
      <x:c r="P22" s="4" t="str"/>
      <x:c r="Q22" s="4" t="str">
        <x:v>1. 有未结收益时是否允许通过退会申请的正向、边界及异常场景</x:v>
      </x:c>
      <x:c r="R22" s="4" t="str">
        <x:v>产品</x:v>
      </x:c>
      <x:c r="S22" s="4" t="str">
        <x:v>进入对应功能测试前</x:v>
      </x:c>
      <x:c r="T22" s="4" t="str">
        <x:v>待确认</x:v>
      </x:c>
    </x:row>
    <x:row r="23" ht="96" customHeight="1">
      <x:c r="A23" s="4" t="str">
        <x:v>Q-010</x:v>
      </x:c>
      <x:c r="B23" s="4" t="str">
        <x:v>RQ-005</x:v>
      </x:c>
      <x:c r="C23" s="4" t="str"/>
      <x:c r="D23" s="4" t="str"/>
      <x:c r="E23" s="4" t="str">
        <x:v>部分阻塞</x:v>
      </x:c>
      <x:c r="F23" s="4" t="str">
        <x:v>M11 财务·退款·结算上传与账户调整</x:v>
      </x:c>
      <x:c r="G23" s="4" t="str">
        <x:v>财务改为线下核算后维护商品分成规则</x:v>
      </x:c>
      <x:c r="H23" s="4" t="str">
        <x:v>业务规则</x:v>
      </x:c>
      <x:c r="I23" s="4" t="str">
        <x:v>是否继续维护和绑定SKU分成比例？</x:v>
      </x:c>
      <x:c r="J23" s="4" t="str">
        <x:v>A. 保留配置与历史比例快照，系统不计算分成金额
B. 停止新增和修改配置，历史配置只读归档</x:v>
      </x:c>
      <x:c r="K23" s="4" t="str">
        <x:v>建议优先评估A：明确财务改为线下核算后维护商品分成规则的唯一处理口径后，可构造确定的输入和结果；此建议不代表产品结论</x:v>
      </x:c>
      <x:c r="L23" s="8" t="str"/>
      <x:c r="M23" s="8" t="str"/>
      <x:c r="N23" s="4" t="str">
        <x:v>1. MainBasis/需求待确认清单.md#Q005：SKU 分成配置是否保留及系统计算边界
2. 主文档关联：D-SYS-036、G-guild-share-ledger-005、A-admin-settlement-record-001、A-admin-settlement-record-detail-006</x:v>
      </x:c>
      <x:c r="O23" s="4" t="str">
        <x:v>1. 用户App：财务改为线下核算后维护商品分成规则
2. 公会App：财务改为线下核算后维护商品分成规则
3. 管理后台：财务改为线下核算后维护商品分成规则</x:v>
      </x:c>
      <x:c r="P23" s="4" t="str"/>
      <x:c r="Q23" s="4" t="str">
        <x:v>1. 是否继续维护和绑定SKU分成比例的正向、边界及异常场景</x:v>
      </x:c>
      <x:c r="R23" s="4" t="str">
        <x:v>产品</x:v>
      </x:c>
      <x:c r="S23" s="4" t="str">
        <x:v>进入对应功能测试前</x:v>
      </x:c>
      <x:c r="T23" s="4" t="str">
        <x:v>待确认</x:v>
      </x:c>
    </x:row>
    <x:row r="24" ht="96" customHeight="1">
      <x:c r="A24" s="4" t="str">
        <x:v>Q-014</x:v>
      </x:c>
      <x:c r="B24" s="4" t="str">
        <x:v>RQ-007</x:v>
      </x:c>
      <x:c r="C24" s="4" t="str"/>
      <x:c r="D24" s="4" t="str"/>
      <x:c r="E24" s="4" t="str">
        <x:v>部分阻塞</x:v>
      </x:c>
      <x:c r="F24" s="4" t="str">
        <x:v>M04 粉丝团·房管与成长等级</x:v>
      </x:c>
      <x:c r="G24" s="4" t="str">
        <x:v>十笔幸运礼物各产生0.1金币收益</x:v>
      </x:c>
      <x:c r="H24" s="4" t="str">
        <x:v>业务规则</x:v>
      </x:c>
      <x:c r="I24" s="4" t="str">
        <x:v>幸运收益在哪个粒度舍去不足1金币的部分？</x:v>
      </x:c>
      <x:c r="J24" s="4" t="str">
        <x:v>A. 每笔赠送分别舍去，此例收益0金币
B. 按场次汇总后舍去，此例收益1金币</x:v>
      </x:c>
      <x:c r="K24" s="4" t="str">
        <x:v>建议优先评估A：明确十笔幸运礼物各产生0.1金币收益的唯一处理口径后，可构造确定的输入和结果；此建议不代表产品结论</x:v>
      </x:c>
      <x:c r="L24" s="8" t="str"/>
      <x:c r="M24" s="8" t="str"/>
      <x:c r="N24" s="4" t="str">
        <x:v>1. MainBasis/需求待确认清单.md#Q007：幸运收益与各类金额的精度和取整时点
2. 主文档关联：A-admin-level-config-022</x:v>
      </x:c>
      <x:c r="O24" s="4" t="str">
        <x:v>1. 用户App：十笔幸运礼物各产生0.1金币收益
2. 公会App：十笔幸运礼物各产生0.1金币收益
3. 管理后台：十笔幸运礼物各产生0.1金币收益</x:v>
      </x:c>
      <x:c r="P24" s="4" t="str"/>
      <x:c r="Q24" s="4" t="str">
        <x:v>1. 幸运收益在哪个粒度舍去不足1金币的部分的正向、边界及异常场景</x:v>
      </x:c>
      <x:c r="R24" s="4" t="str">
        <x:v>产品</x:v>
      </x:c>
      <x:c r="S24" s="4" t="str">
        <x:v>进入对应功能测试前</x:v>
      </x:c>
      <x:c r="T24" s="4" t="str">
        <x:v>待确认</x:v>
      </x:c>
    </x:row>
    <x:row r="25" ht="96" customHeight="1">
      <x:c r="A25" s="4" t="str">
        <x:v>Q-015</x:v>
      </x:c>
      <x:c r="B25" s="4" t="str">
        <x:v>RQ-007</x:v>
      </x:c>
      <x:c r="C25" s="4" t="str"/>
      <x:c r="D25" s="4" t="str"/>
      <x:c r="E25" s="4" t="str">
        <x:v>部分阻塞</x:v>
      </x:c>
      <x:c r="F25" s="4" t="str">
        <x:v>M04 粉丝团·房管与成长等级</x:v>
      </x:c>
      <x:c r="G25" s="4" t="str">
        <x:v>后台编辑幸运礼物收益比例</x:v>
      </x:c>
      <x:c r="H25" s="4" t="str">
        <x:v>业务规则</x:v>
      </x:c>
      <x:c r="I25" s="4" t="str">
        <x:v>比例允许的小数位数以何为准？</x:v>
      </x:c>
      <x:c r="J25" s="4" t="str">
        <x:v>A. 最多两位小数，多余精度拒绝保存
B. 仅允许整数百分比</x:v>
      </x:c>
      <x:c r="K25" s="4" t="str">
        <x:v>建议优先评估A：明确后台编辑幸运礼物收益比例的唯一处理口径后，可构造确定的输入和结果；此建议不代表产品结论</x:v>
      </x:c>
      <x:c r="L25" s="8" t="str"/>
      <x:c r="M25" s="8" t="str"/>
      <x:c r="N25" s="4" t="str">
        <x:v>1. MainBasis/需求待确认清单.md#Q007：幸运收益与各类金额的精度和取整时点
2. 主文档关联：A-admin-level-config-022</x:v>
      </x:c>
      <x:c r="O25" s="4" t="str">
        <x:v>1. 用户App：后台编辑幸运礼物收益比例
2. 公会App：后台编辑幸运礼物收益比例
3. 管理后台：后台编辑幸运礼物收益比例</x:v>
      </x:c>
      <x:c r="P25" s="4" t="str"/>
      <x:c r="Q25" s="4" t="str">
        <x:v>1. 比例允许的小数位数以何为准的正向、边界及异常场景</x:v>
      </x:c>
      <x:c r="R25" s="4" t="str">
        <x:v>产品</x:v>
      </x:c>
      <x:c r="S25" s="4" t="str">
        <x:v>进入对应功能测试前</x:v>
      </x:c>
      <x:c r="T25" s="4" t="str">
        <x:v>待确认</x:v>
      </x:c>
    </x:row>
    <x:row r="26" ht="96" customHeight="1">
      <x:c r="A26" s="4" t="str">
        <x:v>Q-016</x:v>
      </x:c>
      <x:c r="B26" s="4" t="str">
        <x:v>RQ-008</x:v>
      </x:c>
      <x:c r="C26" s="4" t="str"/>
      <x:c r="D26" s="4" t="str"/>
      <x:c r="E26" s="4" t="str">
        <x:v>部分阻塞</x:v>
      </x:c>
      <x:c r="F26" s="4" t="str">
        <x:v>M02 发现·搜索·主页与平台榜单</x:v>
      </x:c>
      <x:c r="G26" s="4" t="str">
        <x:v>已成功消费订单发生业务纠错</x:v>
      </x:c>
      <x:c r="H26" s="4" t="str">
        <x:v>业务规则</x:v>
      </x:c>
      <x:c r="I26" s="4" t="str">
        <x:v>本期是否支持消费冲正？</x:v>
      </x:c>
      <x:c r="J26" s="4" t="str">
        <x:v>A. 支持，仅管理后台授权财务可发起，并保留原单
B. 不支持，礼物和门票消费成功后无冲正入口</x:v>
      </x:c>
      <x:c r="K26" s="4" t="str">
        <x:v>建议优先评估A：明确已成功消费订单发生业务纠错的唯一处理口径后，可构造确定的输入和结果；此建议不代表产品结论</x:v>
      </x:c>
      <x:c r="L26" s="8" t="str"/>
      <x:c r="M26" s="8" t="str"/>
      <x:c r="N26" s="4" t="str">
        <x:v>1. MainBasis/需求待确认清单.md#Q008：充值退款与消费冲正的适用范围
2. 主文档关联：D-SYS-134、U-host-ranking-009、A-admin-recharge-order-008、U-contribution-ranking-009</x:v>
      </x:c>
      <x:c r="O26" s="4" t="str">
        <x:v>1. 用户App：已成功消费订单发生业务纠错
2. 公会App：已成功消费订单发生业务纠错
3. 管理后台：已成功消费订单发生业务纠错</x:v>
      </x:c>
      <x:c r="P26" s="4" t="str"/>
      <x:c r="Q26" s="4" t="str">
        <x:v>1. 本期是否支持消费冲正的正向、边界及异常场景</x:v>
      </x:c>
      <x:c r="R26" s="4" t="str">
        <x:v>产品</x:v>
      </x:c>
      <x:c r="S26" s="4" t="str">
        <x:v>进入对应功能测试前</x:v>
      </x:c>
      <x:c r="T26" s="4" t="str">
        <x:v>待确认</x:v>
      </x:c>
    </x:row>
    <x:row r="27" ht="96" customHeight="1">
      <x:c r="A27" s="4" t="str">
        <x:v>Q-017</x:v>
      </x:c>
      <x:c r="B27" s="4" t="str">
        <x:v>RQ-009</x:v>
      </x:c>
      <x:c r="C27" s="4" t="str"/>
      <x:c r="D27" s="4" t="str"/>
      <x:c r="E27" s="4" t="str">
        <x:v>部分阻塞</x:v>
      </x:c>
      <x:c r="F27" s="4" t="str">
        <x:v>M04 粉丝团·房管与成长等级</x:v>
      </x:c>
      <x:c r="G27" s="4" t="str">
        <x:v>充值退款发生但此前赠送的礼物保留</x:v>
      </x:c>
      <x:c r="H27" s="4" t="str">
        <x:v>业务规则</x:v>
      </x:c>
      <x:c r="I27" s="4" t="str">
        <x:v>是否扣减财富等级成长值？</x:v>
      </x:c>
      <x:c r="J27" s="4" t="str">
        <x:v>A. 不扣减，财富成长仍按成功赠礼贡献
B. 按退款回收金币等额扣减财富成长，最低回到1级</x:v>
      </x:c>
      <x:c r="K27" s="4" t="str">
        <x:v>建议优先评估A：明确充值退款发生但此前赠送的礼物保留的唯一处理口径后，可构造确定的输入和结果；此建议不代表产品结论</x:v>
      </x:c>
      <x:c r="L27" s="8" t="str"/>
      <x:c r="M27" s="8" t="str"/>
      <x:c r="N27" s="4" t="str">
        <x:v>1. MainBasis/需求待确认清单.md#Q009：充值退款如何影响以送礼贡献计算的财富等级
2. 主文档关联：U-my-fan-clubs-015、A-admin-level-config-010、A-admin-level-config-023</x:v>
      </x:c>
      <x:c r="O27" s="4" t="str">
        <x:v>1. 用户App：充值退款发生但此前赠送的礼物保留
2. 公会App：充值退款发生但此前赠送的礼物保留
3. 管理后台：充值退款发生但此前赠送的礼物保留</x:v>
      </x:c>
      <x:c r="P27" s="4" t="str"/>
      <x:c r="Q27" s="4" t="str">
        <x:v>1. 是否扣减财富等级成长值的正向、边界及异常场景</x:v>
      </x:c>
      <x:c r="R27" s="4" t="str">
        <x:v>产品</x:v>
      </x:c>
      <x:c r="S27" s="4" t="str">
        <x:v>进入对应功能测试前</x:v>
      </x:c>
      <x:c r="T27" s="4" t="str">
        <x:v>待确认</x:v>
      </x:c>
    </x:row>
    <x:row r="28" ht="110" customHeight="1">
      <x:c r="A28" s="4" t="str">
        <x:v>Q-022</x:v>
      </x:c>
      <x:c r="B28" s="4" t="str">
        <x:v>RQ-011</x:v>
      </x:c>
      <x:c r="C28" s="4" t="str"/>
      <x:c r="D28" s="4" t="str"/>
      <x:c r="E28" s="4" t="str">
        <x:v>部分阻塞</x:v>
      </x:c>
      <x:c r="F28" s="4" t="str">
        <x:v>M08 礼物·道具·任务·邀请与运营配置</x:v>
      </x:c>
      <x:c r="G28" s="4" t="str">
        <x:v>管理员创建任务并选择奖励</x:v>
      </x:c>
      <x:c r="H28" s="4" t="str">
        <x:v>业务规则</x:v>
      </x:c>
      <x:c r="I28" s="4" t="str">
        <x:v>任务奖励是否允许道具？</x:v>
      </x:c>
      <x:c r="J28" s="4" t="str">
        <x:v>A. 仅金币；现有道具视图从本期任务流程移除
B. 允许金币或道具单选；已发出的奖励保持原类型</x:v>
      </x:c>
      <x:c r="K28" s="4" t="str">
        <x:v>建议优先评估A：明确管理员创建任务并选择奖励的唯一处理口径后，可构造确定的输入和结果；此建议不代表产品结论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用户App：管理员创建任务并选择奖励
2. 公会App：管理员创建任务并选择奖励
3. 管理后台：管理员创建任务并选择奖励</x:v>
      </x:c>
      <x:c r="P28" s="4" t="str"/>
      <x:c r="Q28" s="4" t="str">
        <x:v>1. 任务奖励是否允许道具的正向、边界及异常场景</x:v>
      </x:c>
      <x:c r="R28" s="4" t="str">
        <x:v>产品</x:v>
      </x:c>
      <x:c r="S28" s="4" t="str">
        <x:v>进入对应功能测试前</x:v>
      </x:c>
      <x:c r="T28" s="4" t="str">
        <x:v>待确认</x:v>
      </x:c>
    </x:row>
    <x:row r="29" ht="110" customHeight="1">
      <x:c r="A29" s="4" t="str">
        <x:v>Q-023</x:v>
      </x:c>
      <x:c r="B29" s="4" t="str">
        <x:v>RQ-011</x:v>
      </x:c>
      <x:c r="C29" s="4" t="str"/>
      <x:c r="D29" s="4" t="str"/>
      <x:c r="E29" s="4" t="str">
        <x:v>部分阻塞</x:v>
      </x:c>
      <x:c r="F29" s="4" t="str">
        <x:v>M08 礼物·道具·任务·邀请与运营配置</x:v>
      </x:c>
      <x:c r="G29" s="4" t="str">
        <x:v>用户断签后返回每日签到</x:v>
      </x:c>
      <x:c r="H29" s="4" t="str">
        <x:v>业务规则</x:v>
      </x:c>
      <x:c r="I29" s="4" t="str">
        <x:v>是否允许补签？</x:v>
      </x:c>
      <x:c r="J29" s="4" t="str">
        <x:v>A. 不允许，断签后从第1天重新累计
B. 允许使用补签功能，补签价格及次数以公开配置为准</x:v>
      </x:c>
      <x:c r="K29" s="4" t="str">
        <x:v>建议优先评估A：明确用户断签后返回每日签到的唯一处理口径后，可构造确定的输入和结果；此建议不代表产品结论</x:v>
      </x:c>
      <x:c r="L29" s="8" t="str"/>
      <x:c r="M29" s="8" t="str"/>
      <x:c r="N29" s="4" t="str">
        <x:v>1. MainBasis/需求待确认清单.md#Q011：签到、任务与道具奖励的类型和领取方式
2. 主文档关联：U-welfare-center-007、A-admin-task-config-006、U-my-decoration-004、U-views_welfare-center_claimed-005</x:v>
      </x:c>
      <x:c r="O29" s="4" t="str">
        <x:v>1. 用户App：用户断签后返回每日签到
2. 公会App：用户断签后返回每日签到
3. 管理后台：用户断签后返回每日签到</x:v>
      </x:c>
      <x:c r="P29" s="4" t="str"/>
      <x:c r="Q29" s="4" t="str">
        <x:v>1. 是否允许补签的正向、边界及异常场景</x:v>
      </x:c>
      <x:c r="R29" s="4" t="str">
        <x:v>产品</x:v>
      </x:c>
      <x:c r="S29" s="4" t="str">
        <x:v>进入对应功能测试前</x:v>
      </x:c>
      <x:c r="T29" s="4" t="str">
        <x:v>待确认</x:v>
      </x:c>
    </x:row>
    <x:row r="30" ht="110" customHeight="1">
      <x:c r="A30" s="4" t="str">
        <x:v>Q-024</x:v>
      </x:c>
      <x:c r="B30" s="4" t="str">
        <x:v>RQ-011</x:v>
      </x:c>
      <x:c r="C30" s="4" t="str"/>
      <x:c r="D30" s="4" t="str"/>
      <x:c r="E30" s="4" t="str">
        <x:v>部分阻塞</x:v>
      </x:c>
      <x:c r="F30" s="4" t="str">
        <x:v>M08 礼物·道具·任务·邀请与运营配置</x:v>
      </x:c>
      <x:c r="G30" s="4" t="str">
        <x:v>任务被停用时用户已达标但尚未领取</x:v>
      </x:c>
      <x:c r="H30" s="4" t="str">
        <x:v>业务规则</x:v>
      </x:c>
      <x:c r="I30" s="4" t="str">
        <x:v>停用前已达标且未过领取期限的奖励能否领取？</x:v>
      </x:c>
      <x:c r="J30" s="4" t="str">
        <x:v>A. 可以，按达标时奖励快照领取至原领取期限
B. 不可以，停用起关闭所有未领取奖励</x:v>
      </x:c>
      <x:c r="K30" s="4" t="str">
        <x:v>建议优先评估A：明确任务被停用时用户已达标但尚未领取的唯一处理口径后，可构造确定的输入和结果；此建议不代表产品结论</x:v>
      </x:c>
      <x:c r="L30" s="8" t="str"/>
      <x:c r="M30" s="8" t="str"/>
      <x:c r="N30" s="4" t="str">
        <x:v>1. MainBasis/需求待确认清单.md#Q011：签到、任务与道具奖励的类型和领取方式
2. 主文档关联：U-welfare-center-007、A-admin-task-config-006、U-my-decoration-004、U-views_welfare-center_claimed-005</x:v>
      </x:c>
      <x:c r="O30" s="4" t="str">
        <x:v>1. 用户App：任务被停用时用户已达标但尚未领取
2. 公会App：任务被停用时用户已达标但尚未领取
3. 管理后台：任务被停用时用户已达标但尚未领取</x:v>
      </x:c>
      <x:c r="P30" s="4" t="str"/>
      <x:c r="Q30" s="4" t="str">
        <x:v>1. 停用前已达标且未过领取期限的奖励能否领取的正向、边界及异常场景</x:v>
      </x:c>
      <x:c r="R30" s="4" t="str">
        <x:v>产品</x:v>
      </x:c>
      <x:c r="S30" s="4" t="str">
        <x:v>进入对应功能测试前</x:v>
      </x:c>
      <x:c r="T30" s="4" t="str">
        <x:v>待确认</x:v>
      </x:c>
    </x:row>
    <x:row r="31" ht="96" customHeight="1">
      <x:c r="A31" s="4" t="str">
        <x:v>Q-025</x:v>
      </x:c>
      <x:c r="B31" s="4" t="str">
        <x:v>RQ-012</x:v>
      </x:c>
      <x:c r="C31" s="4" t="str"/>
      <x:c r="D31" s="4" t="str"/>
      <x:c r="E31" s="4" t="str">
        <x:v>部分阻塞</x:v>
      </x:c>
      <x:c r="F31" s="4" t="str">
        <x:v>M08 礼物·道具·任务·邀请与运营配置</x:v>
      </x:c>
      <x:c r="G31" s="4" t="str">
        <x:v>受邀用户首次完成注册绑定</x:v>
      </x:c>
      <x:c r="H31" s="4" t="str">
        <x:v>业务规则</x:v>
      </x:c>
      <x:c r="I31" s="4" t="str">
        <x:v>注册邀请奖励数量采用哪个来源？</x:v>
      </x:c>
      <x:c r="J31" s="4" t="str">
        <x:v>A. 每次固定10金币
B. 按绑定时生效的后台邀请奖励配置</x:v>
      </x:c>
      <x:c r="K31" s="4" t="str">
        <x:v>建议优先评估A：明确受邀用户首次完成注册绑定的唯一处理口径后，可构造确定的输入和结果；此建议不代表产品结论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用户App：受邀用户首次完成注册绑定
2. 公会App：受邀用户首次完成注册绑定
3. 管理后台：受邀用户首次完成注册绑定</x:v>
      </x:c>
      <x:c r="P31" s="4" t="str"/>
      <x:c r="Q31" s="4" t="str">
        <x:v>1. 注册邀请奖励数量采用哪个来源的正向、边界及异常场景</x:v>
      </x:c>
      <x:c r="R31" s="4" t="str">
        <x:v>产品</x:v>
      </x:c>
      <x:c r="S31" s="4" t="str">
        <x:v>进入对应功能测试前</x:v>
      </x:c>
      <x:c r="T31" s="4" t="str">
        <x:v>待确认</x:v>
      </x:c>
    </x:row>
    <x:row r="32" ht="96" customHeight="1">
      <x:c r="A32" s="4" t="str">
        <x:v>Q-026</x:v>
      </x:c>
      <x:c r="B32" s="4" t="str">
        <x:v>RQ-012</x:v>
      </x:c>
      <x:c r="C32" s="4" t="str"/>
      <x:c r="D32" s="4" t="str"/>
      <x:c r="E32" s="4" t="str">
        <x:v>部分阻塞</x:v>
      </x:c>
      <x:c r="F32" s="4" t="str">
        <x:v>M08 礼物·道具·任务·邀请与运营配置</x:v>
      </x:c>
      <x:c r="G32" s="4" t="str">
        <x:v>受邀用户首次完成有效注册绑定</x:v>
      </x:c>
      <x:c r="H32" s="4" t="str">
        <x:v>业务规则</x:v>
      </x:c>
      <x:c r="I32" s="4" t="str">
        <x:v>注册奖励发给谁？</x:v>
      </x:c>
      <x:c r="J32" s="4" t="str">
        <x:v>A. 仅邀请人
B. 邀请人与受邀人各获得一份</x:v>
      </x:c>
      <x:c r="K32" s="4" t="str">
        <x:v>建议优先评估A：明确受邀用户首次完成有效注册绑定的唯一处理口径后，可构造确定的输入和结果；此建议不代表产品结论</x:v>
      </x:c>
      <x:c r="L32" s="8" t="str"/>
      <x:c r="M32" s="8" t="str"/>
      <x:c r="N32" s="4" t="str">
        <x:v>1. MainBasis/需求待确认清单.md#Q012：邀请奖励固定值、后台配置与返利范围
2. 主文档关联：U-welfare-center-003、U-invite-friends-005、U-invite-friends-006、U-invite-friends-007</x:v>
      </x:c>
      <x:c r="O32" s="4" t="str">
        <x:v>1. 用户App：受邀用户首次完成有效注册绑定
2. 公会App：受邀用户首次完成有效注册绑定
3. 管理后台：受邀用户首次完成有效注册绑定</x:v>
      </x:c>
      <x:c r="P32" s="4" t="str"/>
      <x:c r="Q32" s="4" t="str">
        <x:v>1. 注册奖励发给谁的正向、边界及异常场景</x:v>
      </x:c>
      <x:c r="R32" s="4" t="str">
        <x:v>产品</x:v>
      </x:c>
      <x:c r="S32" s="4" t="str">
        <x:v>进入对应功能测试前</x:v>
      </x:c>
      <x:c r="T32" s="4" t="str">
        <x:v>待确认</x:v>
      </x:c>
    </x:row>
    <x:row r="33" ht="96" customHeight="1">
      <x:c r="A33" s="4" t="str">
        <x:v>Q-027</x:v>
      </x:c>
      <x:c r="B33" s="4" t="str">
        <x:v>RQ-012</x:v>
      </x:c>
      <x:c r="C33" s="4" t="str"/>
      <x:c r="D33" s="4" t="str"/>
      <x:c r="E33" s="4" t="str">
        <x:v>部分阻塞</x:v>
      </x:c>
      <x:c r="F33" s="4" t="str">
        <x:v>M08 礼物·道具·任务·邀请与运营配置</x:v>
      </x:c>
      <x:c r="G33" s="4" t="str">
        <x:v>受邀用户后续充值成功</x:v>
      </x:c>
      <x:c r="H33" s="4" t="str">
        <x:v>业务规则</x:v>
      </x:c>
      <x:c r="I33" s="4" t="str">
        <x:v>本期是否提供充值邀请返利？</x:v>
      </x:c>
      <x:c r="J33" s="4" t="str">
        <x:v>A. 不提供，邀请收益仅来自注册绑定
B. 提供，按充值成功时生效的返利比例配置结算</x:v>
      </x:c>
      <x:c r="K33" s="4" t="str">
        <x:v>建议优先评估A：明确受邀用户后续充值成功的唯一处理口径后，可构造确定的输入和结果；此建议不代表产品结论</x:v>
      </x:c>
      <x:c r="L33" s="8" t="str"/>
      <x:c r="M33" s="8" t="str"/>
      <x:c r="N33" s="4" t="str">
        <x:v>1. MainBasis/需求待确认清单.md#Q012：邀请奖励固定值、后台配置与返利范围
2. 主文档关联：U-welfare-center-003、U-invite-friends-005、U-invite-friends-006、U-invite-friends-007</x:v>
      </x:c>
      <x:c r="O33" s="4" t="str">
        <x:v>1. 用户App：受邀用户后续充值成功
2. 公会App：受邀用户后续充值成功
3. 管理后台：受邀用户后续充值成功</x:v>
      </x:c>
      <x:c r="P33" s="4" t="str"/>
      <x:c r="Q33" s="4" t="str">
        <x:v>1. 本期是否提供充值邀请返利的正向、边界及异常场景</x:v>
      </x:c>
      <x:c r="R33" s="4" t="str">
        <x:v>产品</x:v>
      </x:c>
      <x:c r="S33" s="4" t="str">
        <x:v>进入对应功能测试前</x:v>
      </x:c>
      <x:c r="T33" s="4" t="str">
        <x:v>待确认</x:v>
      </x:c>
    </x:row>
    <x:row r="34" ht="96" customHeight="1">
      <x:c r="A34" s="4" t="str">
        <x:v>Q-028</x:v>
      </x:c>
      <x:c r="B34" s="4" t="str">
        <x:v>RQ-013</x:v>
      </x:c>
      <x:c r="C34" s="4" t="str"/>
      <x:c r="D34" s="4" t="str"/>
      <x:c r="E34" s="4" t="str">
        <x:v>部分阻塞</x:v>
      </x:c>
      <x:c r="F34" s="4" t="str">
        <x:v>M04 粉丝团·房管与成长等级</x:v>
      </x:c>
      <x:c r="G34" s="4" t="str">
        <x:v>用户加入主播粉丝团前已向该主播送礼</x:v>
      </x:c>
      <x:c r="H34" s="4" t="str">
        <x:v>业务规则</x:v>
      </x:c>
      <x:c r="I34" s="4" t="str">
        <x:v>入团前礼物是否计入首次粉丝等级？</x:v>
      </x:c>
      <x:c r="J34" s="4" t="str">
        <x:v>A. 不计入，从本次入团时点累计
B. 计入该用户对该主播的全部历史成功赠礼</x:v>
      </x:c>
      <x:c r="K34" s="4" t="str">
        <x:v>建议优先评估A：明确用户加入主播粉丝团前已向该主播送礼的唯一处理口径后，可构造确定的输入和结果；此建议不代表产品结论</x:v>
      </x:c>
      <x:c r="L34" s="8" t="str"/>
      <x:c r="M34" s="8" t="str"/>
      <x:c r="N34" s="4" t="str">
        <x:v>1. MainBasis/需求待确认清单.md#Q013：粉丝等级、团等级与亲密度的统计归属
2. 主文档关联：U-my-fan-clubs-009、A-admin-level-config-022、U-my-fan-clubs-020</x:v>
      </x:c>
      <x:c r="O34" s="4" t="str">
        <x:v>1. 用户App：用户加入主播粉丝团前已向该主播送礼
2. 公会App：用户加入主播粉丝团前已向该主播送礼
3. 管理后台：用户加入主播粉丝团前已向该主播送礼</x:v>
      </x:c>
      <x:c r="P34" s="4" t="str"/>
      <x:c r="Q34" s="4" t="str">
        <x:v>1. 入团前礼物是否计入首次粉丝等级的正向、边界及异常场景</x:v>
      </x:c>
      <x:c r="R34" s="4" t="str">
        <x:v>产品</x:v>
      </x:c>
      <x:c r="S34" s="4" t="str">
        <x:v>进入对应功能测试前</x:v>
      </x:c>
      <x:c r="T34" s="4" t="str">
        <x:v>待确认</x:v>
      </x:c>
    </x:row>
    <x:row r="35" ht="96" customHeight="1">
      <x:c r="A35" s="4" t="str">
        <x:v>Q-029</x:v>
      </x:c>
      <x:c r="B35" s="4" t="str">
        <x:v>RQ-013</x:v>
      </x:c>
      <x:c r="C35" s="4" t="str"/>
      <x:c r="D35" s="4" t="str"/>
      <x:c r="E35" s="4" t="str">
        <x:v>部分阻塞</x:v>
      </x:c>
      <x:c r="F35" s="4" t="str">
        <x:v>M04 粉丝团·房管与成长等级</x:v>
      </x:c>
      <x:c r="G35" s="4" t="str">
        <x:v>粉丝团成员长期未互动但仍保有团籍</x:v>
      </x:c>
      <x:c r="H35" s="4" t="str">
        <x:v>业务规则</x:v>
      </x:c>
      <x:c r="I35" s="4" t="str">
        <x:v>长期不活跃是否降低粉丝团等级？</x:v>
      </x:c>
      <x:c r="J35" s="4" t="str">
        <x:v>A. 不降低，仅按累计有效收礼计算
B. 按后台公开的不活跃周期和降级规则配置调整</x:v>
      </x:c>
      <x:c r="K35" s="4" t="str">
        <x:v>建议优先评估A：明确粉丝团成员长期未互动但仍保有团籍的唯一处理口径后，可构造确定的输入和结果；此建议不代表产品结论</x:v>
      </x:c>
      <x:c r="L35" s="8" t="str"/>
      <x:c r="M35" s="8" t="str"/>
      <x:c r="N35" s="4" t="str">
        <x:v>1. MainBasis/需求待确认清单.md#Q013：粉丝等级、团等级与亲密度的统计归属
2. 主文档关联：U-my-fan-clubs-009、A-admin-level-config-022、U-my-fan-clubs-020</x:v>
      </x:c>
      <x:c r="O35" s="4" t="str">
        <x:v>1. 用户App：粉丝团成员长期未互动但仍保有团籍
2. 公会App：粉丝团成员长期未互动但仍保有团籍
3. 管理后台：粉丝团成员长期未互动但仍保有团籍</x:v>
      </x:c>
      <x:c r="P35" s="4" t="str"/>
      <x:c r="Q35" s="4" t="str">
        <x:v>1. 长期不活跃是否降低粉丝团等级的正向、边界及异常场景</x:v>
      </x:c>
      <x:c r="R35" s="4" t="str">
        <x:v>产品</x:v>
      </x:c>
      <x:c r="S35" s="4" t="str">
        <x:v>进入对应功能测试前</x:v>
      </x:c>
      <x:c r="T35" s="4" t="str">
        <x:v>待确认</x:v>
      </x:c>
    </x:row>
    <x:row r="36" ht="96" customHeight="1">
      <x:c r="A36" s="4" t="str">
        <x:v>Q-030</x:v>
      </x:c>
      <x:c r="B36" s="4" t="str">
        <x:v>RQ-014</x:v>
      </x:c>
      <x:c r="C36" s="4" t="str"/>
      <x:c r="D36" s="4" t="str"/>
      <x:c r="E36" s="4" t="str">
        <x:v>部分阻塞</x:v>
      </x:c>
      <x:c r="F36" s="4" t="str">
        <x:v>M04 粉丝团·房管与成长等级</x:v>
      </x:c>
      <x:c r="G36" s="4" t="str">
        <x:v>已退团用户重新加入后查看贡献榜</x:v>
      </x:c>
      <x:c r="H36" s="4" t="str">
        <x:v>业务规则</x:v>
      </x:c>
      <x:c r="I36" s="4" t="str">
        <x:v>历史团籍贡献是否继续计入榜单？</x:v>
      </x:c>
      <x:c r="J36" s="4" t="str">
        <x:v>A. 只统计当前团籍有效期间的贡献
B. 统计该用户历史全部团籍期间的贡献</x:v>
      </x:c>
      <x:c r="K36" s="4" t="str">
        <x:v>建议优先评估A：明确已退团用户重新加入后查看贡献榜的唯一处理口径后，可构造确定的输入和结果；此建议不代表产品结论</x:v>
      </x:c>
      <x:c r="L36" s="8" t="str"/>
      <x:c r="M36" s="8" t="str"/>
      <x:c r="N36" s="4" t="str">
        <x:v>1. MainBasis/需求待确认清单.md#Q014：粉丝团贡献榜、成员榜与个人卡片的口径
2. 主文档关联：U-my-fan-clubs-010、U-fan-contribution-ranking-002、U-my-fan-clubs-011、U-my-fan-clubs-012</x:v>
      </x:c>
      <x:c r="O36" s="4" t="str">
        <x:v>1. 用户App：已退团用户重新加入后查看贡献榜
2. 公会App：已退团用户重新加入后查看贡献榜
3. 管理后台：已退团用户重新加入后查看贡献榜</x:v>
      </x:c>
      <x:c r="P36" s="4" t="str"/>
      <x:c r="Q36" s="4" t="str">
        <x:v>1. 历史团籍贡献是否继续计入榜单的正向、边界及异常场景</x:v>
      </x:c>
      <x:c r="R36" s="4" t="str">
        <x:v>产品</x:v>
      </x:c>
      <x:c r="S36" s="4" t="str">
        <x:v>进入对应功能测试前</x:v>
      </x:c>
      <x:c r="T36" s="4" t="str">
        <x:v>待确认</x:v>
      </x:c>
    </x:row>
    <x:row r="37" ht="96" customHeight="1">
      <x:c r="A37" s="4" t="str">
        <x:v>Q-031</x:v>
      </x:c>
      <x:c r="B37" s="4" t="str">
        <x:v>RQ-014</x:v>
      </x:c>
      <x:c r="C37" s="4" t="str"/>
      <x:c r="D37" s="4" t="str"/>
      <x:c r="E37" s="4" t="str">
        <x:v>部分阻塞</x:v>
      </x:c>
      <x:c r="F37" s="4" t="str">
        <x:v>M04 粉丝团·房管与成长等级</x:v>
      </x:c>
      <x:c r="G37" s="4" t="str">
        <x:v>当前用户未进入粉丝团贡献前三名</x:v>
      </x:c>
      <x:c r="H37" s="4" t="str">
        <x:v>业务规则</x:v>
      </x:c>
      <x:c r="I37" s="4" t="str">
        <x:v>我的粉丝团卡片的头像位置如何分配？</x:v>
      </x:c>
      <x:c r="J37" s="4" t="str">
        <x:v>A. 本人固定占1位，另2位按贡献排序
B. 仅显示贡献前三名，本人未入前三则不显示本人</x:v>
      </x:c>
      <x:c r="K37" s="4" t="str">
        <x:v>建议优先评估A：明确当前用户未进入粉丝团贡献前三名的唯一处理口径后，可构造确定的输入和结果；此建议不代表产品结论</x:v>
      </x:c>
      <x:c r="L37" s="8" t="str"/>
      <x:c r="M37" s="8" t="str"/>
      <x:c r="N37" s="4" t="str">
        <x:v>1. MainBasis/需求待确认清单.md#Q014：粉丝团贡献榜、成员榜与个人卡片的口径
2. 主文档关联：U-my-fan-clubs-010、U-fan-contribution-ranking-002、U-my-fan-clubs-011、U-my-fan-clubs-012</x:v>
      </x:c>
      <x:c r="O37" s="4" t="str">
        <x:v>1. 用户App：当前用户未进入粉丝团贡献前三名
2. 公会App：当前用户未进入粉丝团贡献前三名
3. 管理后台：当前用户未进入粉丝团贡献前三名</x:v>
      </x:c>
      <x:c r="P37" s="4" t="str"/>
      <x:c r="Q37" s="4" t="str">
        <x:v>1. 我的粉丝团卡片的头像位置如何分配的正向、边界及异常场景</x:v>
      </x:c>
      <x:c r="R37" s="4" t="str">
        <x:v>产品</x:v>
      </x:c>
      <x:c r="S37" s="4" t="str">
        <x:v>进入对应功能测试前</x:v>
      </x:c>
      <x:c r="T37" s="4" t="str">
        <x:v>待确认</x:v>
      </x:c>
    </x:row>
    <x:row r="38" ht="96" customHeight="1">
      <x:c r="A38" s="4" t="str">
        <x:v>Q-032</x:v>
      </x:c>
      <x:c r="B38" s="4" t="str">
        <x:v>RQ-015</x:v>
      </x:c>
      <x:c r="C38" s="4" t="str"/>
      <x:c r="D38" s="4" t="str"/>
      <x:c r="E38" s="4" t="str">
        <x:v>部分阻塞</x:v>
      </x:c>
      <x:c r="F38" s="4" t="str">
        <x:v>M04 粉丝团·房管与成长等级</x:v>
      </x:c>
      <x:c r="G38" s="4" t="str">
        <x:v>管理员编辑连续等级的成长门槛</x:v>
      </x:c>
      <x:c r="H38" s="4" t="str">
        <x:v>业务规则</x:v>
      </x:c>
      <x:c r="I38" s="4" t="str">
        <x:v>相邻等级门槛是否必须严格递增？</x:v>
      </x:c>
      <x:c r="J38" s="4" t="str">
        <x:v>A. 必须严格递增，相同或倒置拒绝保存
B. 允许相同门槛，达标时取其中最高等级</x:v>
      </x:c>
      <x:c r="K38" s="4" t="str">
        <x:v>建议优先评估A：明确管理员编辑连续等级的成长门槛的唯一处理口径后，可构造确定的输入和结果；此建议不代表产品结论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用户App：管理员编辑连续等级的成长门槛
2. 公会App：管理员编辑连续等级的成长门槛
3. 管理后台：管理员编辑连续等级的成长门槛</x:v>
      </x:c>
      <x:c r="P38" s="4" t="str"/>
      <x:c r="Q38" s="4" t="str">
        <x:v>1. 相邻等级门槛是否必须严格递增的正向、边界及异常场景</x:v>
      </x:c>
      <x:c r="R38" s="4" t="str">
        <x:v>产品</x:v>
      </x:c>
      <x:c r="S38" s="4" t="str">
        <x:v>进入对应功能测试前</x:v>
      </x:c>
      <x:c r="T38" s="4" t="str">
        <x:v>待确认</x:v>
      </x:c>
    </x:row>
    <x:row r="39" ht="96" customHeight="1">
      <x:c r="A39" s="4" t="str">
        <x:v>Q-033</x:v>
      </x:c>
      <x:c r="B39" s="4" t="str">
        <x:v>RQ-015</x:v>
      </x:c>
      <x:c r="C39" s="4" t="str"/>
      <x:c r="D39" s="4" t="str"/>
      <x:c r="E39" s="4" t="str">
        <x:v>部分阻塞</x:v>
      </x:c>
      <x:c r="F39" s="4" t="str">
        <x:v>M04 粉丝团·房管与成长等级</x:v>
      </x:c>
      <x:c r="G39" s="4" t="str">
        <x:v>两位管理员同时编辑同一等级配置</x:v>
      </x:c>
      <x:c r="H39" s="4" t="str">
        <x:v>业务规则</x:v>
      </x:c>
      <x:c r="I39" s="4" t="str">
        <x:v>后提交者如何处理版本冲突？</x:v>
      </x:c>
      <x:c r="J39" s="4" t="str">
        <x:v>A. 拒绝旧版本提交并要求刷新
B. 以最后一次成功提交的整组配置为准</x:v>
      </x:c>
      <x:c r="K39" s="4" t="str">
        <x:v>建议优先评估A：明确两位管理员同时编辑同一等级配置的唯一处理口径后，可构造确定的输入和结果；此建议不代表产品结论</x:v>
      </x:c>
      <x:c r="L39" s="8" t="str"/>
      <x:c r="M39" s="8" t="str"/>
      <x:c r="N39" s="4" t="str">
        <x:v>1. MainBasis/需求待确认清单.md#Q015：等级门槛、保存并发和勋章展示边界
2. 主文档关联：A-admin-level-config-019、A-admin-level-config-020、A-admin-level-config-021、A-admin-level-config-022</x:v>
      </x:c>
      <x:c r="O39" s="4" t="str">
        <x:v>1. 用户App：两位管理员同时编辑同一等级配置
2. 公会App：两位管理员同时编辑同一等级配置
3. 管理后台：两位管理员同时编辑同一等级配置</x:v>
      </x:c>
      <x:c r="P39" s="4" t="str"/>
      <x:c r="Q39" s="4" t="str">
        <x:v>1. 后提交者如何处理版本冲突的正向、边界及异常场景</x:v>
      </x:c>
      <x:c r="R39" s="4" t="str">
        <x:v>产品</x:v>
      </x:c>
      <x:c r="S39" s="4" t="str">
        <x:v>进入对应功能测试前</x:v>
      </x:c>
      <x:c r="T39" s="4" t="str">
        <x:v>待确认</x:v>
      </x:c>
    </x:row>
    <x:row r="40" ht="96" customHeight="1">
      <x:c r="A40" s="4" t="str">
        <x:v>Q-034</x:v>
      </x:c>
      <x:c r="B40" s="4" t="str">
        <x:v>RQ-015</x:v>
      </x:c>
      <x:c r="C40" s="4" t="str"/>
      <x:c r="D40" s="4" t="str"/>
      <x:c r="E40" s="4" t="str">
        <x:v>部分阻塞</x:v>
      </x:c>
      <x:c r="F40" s="4" t="str">
        <x:v>M04 粉丝团·房管与成长等级</x:v>
      </x:c>
      <x:c r="G40" s="4" t="str">
        <x:v>用户成长后获得更高等级勋章</x:v>
      </x:c>
      <x:c r="H40" s="4" t="str">
        <x:v>业务规则</x:v>
      </x:c>
      <x:c r="I40" s="4" t="str">
        <x:v>新等级勋章是否自动替换已佩戴的旧等级勋章？</x:v>
      </x:c>
      <x:c r="J40" s="4" t="str">
        <x:v>A. 自动替换同系列旧勋章
B. 仅发入背包，由用户手动佩戴</x:v>
      </x:c>
      <x:c r="K40" s="4" t="str">
        <x:v>建议优先评估A：明确用户成长后获得更高等级勋章的唯一处理口径后，可构造确定的输入和结果；此建议不代表产品结论</x:v>
      </x:c>
      <x:c r="L40" s="8" t="str"/>
      <x:c r="M40" s="8" t="str"/>
      <x:c r="N40" s="4" t="str">
        <x:v>1. MainBasis/需求待确认清单.md#Q015：等级门槛、保存并发和勋章展示边界
2. 主文档关联：A-admin-level-config-019、A-admin-level-config-020、A-admin-level-config-021、A-admin-level-config-022</x:v>
      </x:c>
      <x:c r="O40" s="4" t="str">
        <x:v>1. 用户App：用户成长后获得更高等级勋章
2. 公会App：用户成长后获得更高等级勋章
3. 管理后台：用户成长后获得更高等级勋章</x:v>
      </x:c>
      <x:c r="P40" s="4" t="str"/>
      <x:c r="Q40" s="4" t="str">
        <x:v>1. 新等级勋章是否自动替换已佩戴的旧等级勋章的正向、边界及异常场景</x:v>
      </x:c>
      <x:c r="R40" s="4" t="str">
        <x:v>产品</x:v>
      </x:c>
      <x:c r="S40" s="4" t="str">
        <x:v>进入对应功能测试前</x:v>
      </x:c>
      <x:c r="T40" s="4" t="str">
        <x:v>待确认</x:v>
      </x:c>
    </x:row>
    <x:row r="41" ht="96" customHeight="1">
      <x:c r="A41" s="4" t="str">
        <x:v>Q-035</x:v>
      </x:c>
      <x:c r="B41" s="4" t="str">
        <x:v>RQ-016</x:v>
      </x:c>
      <x:c r="C41" s="4" t="str"/>
      <x:c r="D41" s="4" t="str"/>
      <x:c r="E41" s="4" t="str">
        <x:v>部分阻塞</x:v>
      </x:c>
      <x:c r="F41" s="4" t="str">
        <x:v>M06 开播·房型·观看·连麦与房内管理</x:v>
      </x:c>
      <x:c r="G41" s="4" t="str">
        <x:v>主播接受一条连麦邀请且还有其他已收到邀请</x:v>
      </x:c>
      <x:c r="H41" s="4" t="str">
        <x:v>业务规则</x:v>
      </x:c>
      <x:c r="I41" s="4" t="str">
        <x:v>接受后其他已收到邀请是否失效？</x:v>
      </x:c>
      <x:c r="J41" s="4" t="str">
        <x:v>A. 保留，恢复单播后在原有效期内可继续处理
B. 全部失效，不再允许接受</x:v>
      </x:c>
      <x:c r="K41" s="4" t="str">
        <x:v>建议优先评估A：明确主播接受一条连麦邀请且还有其他已收到邀请的唯一处理口径后，可构造确定的输入和结果；此建议不代表产品结论</x:v>
      </x:c>
      <x:c r="L41" s="8" t="str"/>
      <x:c r="M41" s="8" t="str"/>
      <x:c r="N41" s="4" t="str">
        <x:v>1. MainBasis/需求待确认清单.md#Q016：接受连麦后其他收到的邀请是否保留
2. 主文档关联：D-SYS-110、U-views_live-room-host_cohost-hosts-006、U-views_live-room-host_cohost-invite-notice-005</x:v>
      </x:c>
      <x:c r="O41" s="4" t="str">
        <x:v>1. 用户App：主播接受一条连麦邀请且还有其他已收到邀请
2. 公会App：主播接受一条连麦邀请且还有其他已收到邀请
3. 管理后台：主播接受一条连麦邀请且还有其他已收到邀请</x:v>
      </x:c>
      <x:c r="P41" s="4" t="str"/>
      <x:c r="Q41" s="4" t="str">
        <x:v>1. 接受后其他已收到邀请是否失效的正向、边界及异常场景</x:v>
      </x:c>
      <x:c r="R41" s="4" t="str">
        <x:v>产品</x:v>
      </x:c>
      <x:c r="S41" s="4" t="str">
        <x:v>进入对应功能测试前</x:v>
      </x:c>
      <x:c r="T41" s="4" t="str">
        <x:v>待确认</x:v>
      </x:c>
    </x:row>
    <x:row r="42" ht="82" customHeight="1">
      <x:c r="A42" s="4" t="str">
        <x:v>Q-036</x:v>
      </x:c>
      <x:c r="B42" s="4" t="str">
        <x:v>RQ-017</x:v>
      </x:c>
      <x:c r="C42" s="4" t="str"/>
      <x:c r="D42" s="4" t="str"/>
      <x:c r="E42" s="4" t="str">
        <x:v>部分阻塞</x:v>
      </x:c>
      <x:c r="F42" s="4" t="str">
        <x:v>M06 开播·房型·观看·连麦与房内管理</x:v>
      </x:c>
      <x:c r="G42" s="4" t="str">
        <x:v>主播在直播间清屏</x:v>
      </x:c>
      <x:c r="H42" s="4" t="str">
        <x:v>跨端与跨模块一致性</x:v>
      </x:c>
      <x:c r="I42" s="4" t="str">
        <x:v>主播清屏是否影响其他设备的评论？</x:v>
      </x:c>
      <x:c r="J42" s="4" t="str">
        <x:v>A. 仅清除当前设备已展示的评论
B. 同步清除本场所有在线设备已展示的评论</x:v>
      </x:c>
      <x:c r="K42" s="4" t="str">
        <x:v>建议优先评估A：明确主播在直播间清屏的唯一处理口径后，可构造确定的输入和结果；此建议不代表产品结论</x:v>
      </x:c>
      <x:c r="L42" s="8" t="str"/>
      <x:c r="M42" s="8" t="str"/>
      <x:c r="N42" s="4" t="str">
        <x:v>1. MainBasis/需求待确认清单.md#Q017：清屏的作用范围
2. 主文档关联：D-SYS-102、U-live-room-017、U-live-room-host-013、U-views_live-room_more-actions-003</x:v>
      </x:c>
      <x:c r="O42" s="4" t="str">
        <x:v>1. 用户App：主播在直播间清屏
2. 管理后台：主播在直播间清屏</x:v>
      </x:c>
      <x:c r="P42" s="4" t="str"/>
      <x:c r="Q42" s="4" t="str">
        <x:v>1. 主播清屏是否影响其他设备的评论的正向、边界及异常场景</x:v>
      </x:c>
      <x:c r="R42" s="4" t="str">
        <x:v>产品</x:v>
      </x:c>
      <x:c r="S42" s="4" t="str">
        <x:v>进入对应功能测试前</x:v>
      </x:c>
      <x:c r="T42" s="4" t="str">
        <x:v>待确认</x:v>
      </x:c>
    </x:row>
    <x:row r="43" ht="82" customHeight="1">
      <x:c r="A43" s="4" t="str">
        <x:v>Q-037</x:v>
      </x:c>
      <x:c r="B43" s="4" t="str">
        <x:v>RQ-017</x:v>
      </x:c>
      <x:c r="C43" s="4" t="str"/>
      <x:c r="D43" s="4" t="str"/>
      <x:c r="E43" s="4" t="str">
        <x:v>部分阻塞</x:v>
      </x:c>
      <x:c r="F43" s="4" t="str">
        <x:v>M06 开播·房型·观看·连麦与房内管理</x:v>
      </x:c>
      <x:c r="G43" s="4" t="str">
        <x:v>观众在直播间清屏</x:v>
      </x:c>
      <x:c r="H43" s="4" t="str">
        <x:v>跨端与跨模块一致性</x:v>
      </x:c>
      <x:c r="I43" s="4" t="str">
        <x:v>观众清屏是否影响其他设备的评论？</x:v>
      </x:c>
      <x:c r="J43" s="4" t="str">
        <x:v>A. 仅清除当前设备已展示的评论
B. 同步清除本场所有在线设备已展示的评论</x:v>
      </x:c>
      <x:c r="K43" s="4" t="str">
        <x:v>建议优先评估A：明确观众在直播间清屏的唯一处理口径后，可构造确定的输入和结果；此建议不代表产品结论</x:v>
      </x:c>
      <x:c r="L43" s="8" t="str"/>
      <x:c r="M43" s="8" t="str"/>
      <x:c r="N43" s="4" t="str">
        <x:v>1. MainBasis/需求待确认清单.md#Q017：清屏的作用范围
2. 主文档关联：D-SYS-102、U-live-room-017、U-live-room-host-013、U-views_live-room_more-actions-003</x:v>
      </x:c>
      <x:c r="O43" s="4" t="str">
        <x:v>1. 用户App：观众在直播间清屏
2. 管理后台：观众在直播间清屏</x:v>
      </x:c>
      <x:c r="P43" s="4" t="str"/>
      <x:c r="Q43" s="4" t="str">
        <x:v>1. 观众清屏是否影响其他设备的评论的正向、边界及异常场景</x:v>
      </x:c>
      <x:c r="R43" s="4" t="str">
        <x:v>产品</x:v>
      </x:c>
      <x:c r="S43" s="4" t="str">
        <x:v>进入对应功能测试前</x:v>
      </x:c>
      <x:c r="T43" s="4" t="str">
        <x:v>待确认</x:v>
      </x:c>
    </x:row>
    <x:row r="44" ht="96" customHeight="1">
      <x:c r="A44" s="4" t="str">
        <x:v>Q-038</x:v>
      </x:c>
      <x:c r="B44" s="4" t="str">
        <x:v>RQ-018</x:v>
      </x:c>
      <x:c r="C44" s="4" t="str"/>
      <x:c r="D44" s="4" t="str"/>
      <x:c r="E44" s="4" t="str">
        <x:v>部分阻塞</x:v>
      </x:c>
      <x:c r="F44" s="4" t="str">
        <x:v>M02 发现·搜索·主页与平台榜单</x:v>
      </x:c>
      <x:c r="G44" s="4" t="str">
        <x:v>用户金币余额为负数并发起注销</x:v>
      </x:c>
      <x:c r="H44" s="4" t="str">
        <x:v>业务规则</x:v>
      </x:c>
      <x:c r="I44" s="4" t="str">
        <x:v>负余额是否满足小于100金币的注销条件？</x:v>
      </x:c>
      <x:c r="J44" s="4" t="str">
        <x:v>A. 不满足，负余额结清至非负后才能申请
B. 满足，余额小于100即可申请</x:v>
      </x:c>
      <x:c r="K44" s="4" t="str">
        <x:v>建议优先评估A：明确用户金币余额为负数并发起注销的唯一处理口径后，可构造确定的输入和结果；此建议不代表产品结论</x:v>
      </x:c>
      <x:c r="L44" s="8" t="str"/>
      <x:c r="M44" s="8" t="str"/>
      <x:c r="N44" s="4" t="str">
        <x:v>1. MainBasis/需求待确认清单.md#Q018：注销资产门槛和冷静期后数据留存
2. 主文档关联：U-host-ranking-009、U-contribution-ranking-009、U-fan-contribution-ranking-009、U-auth-login-register-014</x:v>
      </x:c>
      <x:c r="O44" s="4" t="str">
        <x:v>1. 用户App：用户金币余额为负数并发起注销
2. 公会App：用户金币余额为负数并发起注销
3. 管理后台：用户金币余额为负数并发起注销</x:v>
      </x:c>
      <x:c r="P44" s="4" t="str"/>
      <x:c r="Q44" s="4" t="str">
        <x:v>1. 负余额是否满足小于100金币的注销条件的正向、边界及异常场景</x:v>
      </x:c>
      <x:c r="R44" s="4" t="str">
        <x:v>产品</x:v>
      </x:c>
      <x:c r="S44" s="4" t="str">
        <x:v>进入对应功能测试前</x:v>
      </x:c>
      <x:c r="T44" s="4" t="str">
        <x:v>待确认</x:v>
      </x:c>
    </x:row>
    <x:row r="45" ht="96" customHeight="1">
      <x:c r="A45" s="4" t="str">
        <x:v>Q-039</x:v>
      </x:c>
      <x:c r="B45" s="4" t="str">
        <x:v>RQ-018</x:v>
      </x:c>
      <x:c r="C45" s="4" t="str"/>
      <x:c r="D45" s="4" t="str"/>
      <x:c r="E45" s="4" t="str">
        <x:v>部分阻塞</x:v>
      </x:c>
      <x:c r="F45" s="4" t="str">
        <x:v>M02 发现·搜索·主页与平台榜单</x:v>
      </x:c>
      <x:c r="G45" s="4" t="str">
        <x:v>主播仍有未结收益并发起注销</x:v>
      </x:c>
      <x:c r="H45" s="4" t="str">
        <x:v>业务规则</x:v>
      </x:c>
      <x:c r="I45" s="4" t="str">
        <x:v>未结收益是否阻止注销申请？</x:v>
      </x:c>
      <x:c r="J45" s="4" t="str">
        <x:v>A. 阻止，结清后才能提交
B. 不阻止，保留财务身份与债权记录至结清</x:v>
      </x:c>
      <x:c r="K45" s="4" t="str">
        <x:v>建议优先评估A：明确主播仍有未结收益并发起注销的唯一处理口径后，可构造确定的输入和结果；此建议不代表产品结论</x:v>
      </x:c>
      <x:c r="L45" s="8" t="str"/>
      <x:c r="M45" s="8" t="str"/>
      <x:c r="N45" s="4" t="str">
        <x:v>1. MainBasis/需求待确认清单.md#Q018：注销资产门槛和冷静期后数据留存
2. 主文档关联：U-host-ranking-009、U-contribution-ranking-009、U-fan-contribution-ranking-009、U-auth-login-register-014</x:v>
      </x:c>
      <x:c r="O45" s="4" t="str">
        <x:v>1. 用户App：主播仍有未结收益并发起注销
2. 公会App：主播仍有未结收益并发起注销
3. 管理后台：主播仍有未结收益并发起注销</x:v>
      </x:c>
      <x:c r="P45" s="4" t="str"/>
      <x:c r="Q45" s="4" t="str">
        <x:v>1. 未结收益是否阻止注销申请的正向、边界及异常场景</x:v>
      </x:c>
      <x:c r="R45" s="4" t="str">
        <x:v>产品</x:v>
      </x:c>
      <x:c r="S45" s="4" t="str">
        <x:v>进入对应功能测试前</x:v>
      </x:c>
      <x:c r="T45" s="4" t="str">
        <x:v>待确认</x:v>
      </x:c>
    </x:row>
    <x:row r="46" ht="96" customHeight="1">
      <x:c r="A46" s="4" t="str">
        <x:v>Q-040</x:v>
      </x:c>
      <x:c r="B46" s="4" t="str">
        <x:v>RQ-018</x:v>
      </x:c>
      <x:c r="C46" s="4" t="str"/>
      <x:c r="D46" s="4" t="str"/>
      <x:c r="E46" s="4" t="str">
        <x:v>部分阻塞</x:v>
      </x:c>
      <x:c r="F46" s="4" t="str">
        <x:v>M02 发现·搜索·主页与平台榜单</x:v>
      </x:c>
      <x:c r="G46" s="4" t="str">
        <x:v>七日冷静期结束，账号最终注销</x:v>
      </x:c>
      <x:c r="H46" s="4" t="str">
        <x:v>业务规则</x:v>
      </x:c>
      <x:c r="I46" s="4" t="str">
        <x:v>财务及榜单历史是否保留？</x:v>
      </x:c>
      <x:c r="J46" s="4" t="str">
        <x:v>A. 保留去标识历史记录，名称统一为账号已注销
B. 删除个人展示历史，财务凭证按独立留存规则保留</x:v>
      </x:c>
      <x:c r="K46" s="4" t="str">
        <x:v>建议优先评估A：明确七日冷静期结束，账号最终注销的唯一处理口径后，可构造确定的输入和结果；此建议不代表产品结论</x:v>
      </x:c>
      <x:c r="L46" s="8" t="str"/>
      <x:c r="M46" s="8" t="str"/>
      <x:c r="N46" s="4" t="str">
        <x:v>1. MainBasis/需求待确认清单.md#Q018：注销资产门槛和冷静期后数据留存
2. 主文档关联：U-host-ranking-009、U-contribution-ranking-009、U-fan-contribution-ranking-009、U-auth-login-register-014</x:v>
      </x:c>
      <x:c r="O46" s="4" t="str">
        <x:v>1. 用户App：七日冷静期结束，账号最终注销
2. 公会App：七日冷静期结束，账号最终注销
3. 管理后台：七日冷静期结束，账号最终注销</x:v>
      </x:c>
      <x:c r="P46" s="4" t="str"/>
      <x:c r="Q46" s="4" t="str">
        <x:v>1. 财务及榜单历史是否保留的正向、边界及异常场景</x:v>
      </x:c>
      <x:c r="R46" s="4" t="str">
        <x:v>产品</x:v>
      </x:c>
      <x:c r="S46" s="4" t="str">
        <x:v>进入对应功能测试前</x:v>
      </x:c>
      <x:c r="T46" s="4" t="str">
        <x:v>待确认</x:v>
      </x:c>
    </x:row>
    <x:row r="47" ht="96" customHeight="1">
      <x:c r="A47" s="4" t="str">
        <x:v>Q-043</x:v>
      </x:c>
      <x:c r="B47" s="4" t="str">
        <x:v>RQ-019</x:v>
      </x:c>
      <x:c r="C47" s="4" t="str"/>
      <x:c r="D47" s="4" t="str"/>
      <x:c r="E47" s="4" t="str">
        <x:v>部分阻塞</x:v>
      </x:c>
      <x:c r="F47" s="4" t="str">
        <x:v>M01 账号·登录·资料与设置</x:v>
      </x:c>
      <x:c r="G47" s="4" t="str">
        <x:v>手机号已被另一账号绑定，当前用户申请绑定</x:v>
      </x:c>
      <x:c r="H47" s="4" t="str">
        <x:v>业务规则</x:v>
      </x:c>
      <x:c r="I47" s="4" t="str">
        <x:v>发生手机号绑定冲突时如何处理？</x:v>
      </x:c>
      <x:c r="J47" s="4" t="str">
        <x:v>A. 拒绝绑定，不合并账号
B. 验证原账号所有权后执行账号合并</x:v>
      </x:c>
      <x:c r="K47" s="4" t="str">
        <x:v>建议优先评估A：明确手机号已被另一账号绑定，当前用户申请绑定的唯一处理口径后，可构造确定的输入和结果；此建议不代表产品结论</x:v>
      </x:c>
      <x:c r="L47" s="8" t="str"/>
      <x:c r="M47" s="8" t="str"/>
      <x:c r="N47" s="4" t="str">
        <x:v>1. MainBasis/需求待确认清单.md#Q019：手机号/邮箱账号建立、找回和绑定
2. 主文档关联：U-auth-login-register-011</x:v>
      </x:c>
      <x:c r="O47" s="4" t="str">
        <x:v>1. 用户App：手机号已被另一账号绑定，当前用户申请绑定
2. 公会App：手机号已被另一账号绑定，当前用户申请绑定
3. 管理后台：手机号已被另一账号绑定，当前用户申请绑定</x:v>
      </x:c>
      <x:c r="P47" s="4" t="str"/>
      <x:c r="Q47" s="4" t="str">
        <x:v>1. 发生手机号绑定冲突时如何处理的正向、边界及异常场景</x:v>
      </x:c>
      <x:c r="R47" s="4" t="str">
        <x:v>产品</x:v>
      </x:c>
      <x:c r="S47" s="4" t="str">
        <x:v>进入对应功能测试前</x:v>
      </x:c>
      <x:c r="T47" s="4" t="str">
        <x:v>待确认</x:v>
      </x:c>
    </x:row>
    <x:row r="48" ht="82" customHeight="1">
      <x:c r="A48" s="4" t="str">
        <x:v>Q-044</x:v>
      </x:c>
      <x:c r="B48" s="4" t="str">
        <x:v>RQ-020</x:v>
      </x:c>
      <x:c r="C48" s="4" t="str"/>
      <x:c r="D48" s="4" t="str"/>
      <x:c r="E48" s="4" t="str">
        <x:v>部分阻塞</x:v>
      </x:c>
      <x:c r="F48" s="4" t="str">
        <x:v>M01 账号·登录·资料与设置</x:v>
      </x:c>
      <x:c r="G48" s="4" t="str">
        <x:v>新用户首次保存头像和昵称</x:v>
      </x:c>
      <x:c r="H48" s="4" t="str">
        <x:v>业务规则</x:v>
      </x:c>
      <x:c r="I48" s="4" t="str">
        <x:v>首次资料保存是否执行修改资料相同的风控？</x:v>
      </x:c>
      <x:c r="J48" s="4" t="str">
        <x:v>A. 执行同一风控，不通过时保留默认资料
B. 首次不检测，仅后续修改时检测</x:v>
      </x:c>
      <x:c r="K48" s="4" t="str">
        <x:v>建议优先评估A：明确新用户首次保存头像和昵称的唯一处理口径后，可构造确定的输入和结果；此建议不代表产品结论</x:v>
      </x:c>
      <x:c r="L48" s="8" t="str"/>
      <x:c r="M48" s="8" t="str"/>
      <x:c r="N48" s="4" t="str">
        <x:v>1. MainBasis/需求待确认清单.md#Q020：首次完善资料是否走相同风控
2. 主文档关联：U-auth-profile-completion-004、U-auth-profile-completion-005</x:v>
      </x:c>
      <x:c r="O48" s="4" t="str">
        <x:v>1. 用户App：新用户首次保存头像和昵称
2. 管理后台：新用户首次保存头像和昵称</x:v>
      </x:c>
      <x:c r="P48" s="4" t="str"/>
      <x:c r="Q48" s="4" t="str">
        <x:v>1. 首次资料保存是否执行修改资料相同的风控的正向、边界及异常场景</x:v>
      </x:c>
      <x:c r="R48" s="4" t="str">
        <x:v>产品</x:v>
      </x:c>
      <x:c r="S48" s="4" t="str">
        <x:v>进入对应功能测试前</x:v>
      </x:c>
      <x:c r="T48" s="4" t="str">
        <x:v>待确认</x:v>
      </x:c>
    </x:row>
    <x:row r="49" ht="68" customHeight="1">
      <x:c r="A49" s="4" t="str">
        <x:v>Q-051</x:v>
      </x:c>
      <x:c r="B49" s="4" t="str">
        <x:v>RQ-024</x:v>
      </x:c>
      <x:c r="C49" s="4" t="str"/>
      <x:c r="D49" s="4" t="str"/>
      <x:c r="E49" s="4" t="str">
        <x:v>部分阻塞</x:v>
      </x:c>
      <x:c r="F49" s="4" t="str">
        <x:v>跨模块需求</x:v>
      </x:c>
      <x:c r="G49" s="4" t="str">
        <x:v>主播在普通房选择PK入口</x:v>
      </x:c>
      <x:c r="H49" s="4" t="str">
        <x:v>需求范围</x:v>
      </x:c>
      <x:c r="I49" s="4" t="str">
        <x:v>本期PK是否包含独立比分和胜负业务？</x:v>
      </x:c>
      <x:c r="J49" s="4" t="str">
        <x:v>A. 不包含，入口仅用于双主播连麦
B. 包含，须补充比分计分和胜负结算需求</x:v>
      </x:c>
      <x:c r="K49" s="4" t="str">
        <x:v>建议优先评估A：明确主播在普通房选择PK入口的唯一处理口径后，可构造确定的输入和结果；此建议不代表产品结论</x:v>
      </x:c>
      <x:c r="L49" s="8" t="str"/>
      <x:c r="M49" s="8" t="str"/>
      <x:c r="N49" s="4" t="str">
        <x:v>1. MainBasis/需求待确认清单.md#Q024：本期范围、房型/幸运开关与 PK
2. 主文档关联：见风险来源中的来源异常范围</x:v>
      </x:c>
      <x:c r="O49" s="4" t="str">
        <x:v>1. 用户App：主播在普通房选择PK入口
2. 管理后台：主播在普通房选择PK入口</x:v>
      </x:c>
      <x:c r="P49" s="4" t="str"/>
      <x:c r="Q49" s="4" t="str">
        <x:v>1. 本期PK是否包含独立比分和胜负业务的正向、边界及异常场景</x:v>
      </x:c>
      <x:c r="R49" s="4" t="str">
        <x:v>产品</x:v>
      </x:c>
      <x:c r="S49" s="4" t="str">
        <x:v>进入对应功能测试前</x:v>
      </x:c>
      <x:c r="T49" s="4" t="str">
        <x:v>待确认</x:v>
      </x:c>
    </x:row>
    <x:row r="50" ht="96" customHeight="1">
      <x:c r="A50" s="4" t="str">
        <x:v>Q-052</x:v>
      </x:c>
      <x:c r="B50" s="4" t="str">
        <x:v>RQ-024</x:v>
      </x:c>
      <x:c r="C50" s="4" t="str"/>
      <x:c r="D50" s="4" t="str"/>
      <x:c r="E50" s="4" t="str">
        <x:v>部分阻塞</x:v>
      </x:c>
      <x:c r="F50" s="4" t="str">
        <x:v>跨模块需求</x:v>
      </x:c>
      <x:c r="G50" s="4" t="str">
        <x:v>平台关闭幸运礼物功能时赠送请求正在处理</x:v>
      </x:c>
      <x:c r="H50" s="4" t="str">
        <x:v>业务规则</x:v>
      </x:c>
      <x:c r="I50" s="4" t="str">
        <x:v>已受理的赠送按哪个开关版本处理？</x:v>
      </x:c>
      <x:c r="J50" s="4" t="str">
        <x:v>A. 按受理时快照完成，本次关闭只拦截后续请求
B. 关闭后未扣款请求取消，已扣款请求完成</x:v>
      </x:c>
      <x:c r="K50" s="4" t="str">
        <x:v>建议优先评估A：明确平台关闭幸运礼物功能时赠送请求正在处理的唯一处理口径后，可构造确定的输入和结果；此建议不代表产品结论</x:v>
      </x:c>
      <x:c r="L50" s="8" t="str"/>
      <x:c r="M50" s="8" t="str"/>
      <x:c r="N50" s="4" t="str">
        <x:v>1. MainBasis/需求待确认清单.md#Q024：本期范围、房型/幸运开关与 PK
2. 主文档关联：见风险来源中的来源异常范围</x:v>
      </x:c>
      <x:c r="O50" s="4" t="str">
        <x:v>1. 用户App：平台关闭幸运礼物功能时赠送请求正在处理
2. 公会App：平台关闭幸运礼物功能时赠送请求正在处理
3. 管理后台：平台关闭幸运礼物功能时赠送请求正在处理</x:v>
      </x:c>
      <x:c r="P50" s="4" t="str"/>
      <x:c r="Q50" s="4" t="str">
        <x:v>1. 已受理的赠送按哪个开关版本处理的正向、边界及异常场景</x:v>
      </x:c>
      <x:c r="R50" s="4" t="str">
        <x:v>产品</x:v>
      </x:c>
      <x:c r="S50" s="4" t="str">
        <x:v>进入对应功能测试前</x:v>
      </x:c>
      <x:c r="T50" s="4" t="str">
        <x:v>待确认</x:v>
      </x:c>
    </x:row>
    <x:row r="51" ht="96" customHeight="1">
      <x:c r="A51" s="4" t="str">
        <x:v>Q-053</x:v>
      </x:c>
      <x:c r="B51" s="4" t="str">
        <x:v>RQ-025</x:v>
      </x:c>
      <x:c r="C51" s="4" t="str"/>
      <x:c r="D51" s="4" t="str"/>
      <x:c r="E51" s="4" t="str">
        <x:v>部分阻塞</x:v>
      </x:c>
      <x:c r="F51" s="4" t="str">
        <x:v>M02 发现·搜索·主页与平台榜单</x:v>
      </x:c>
      <x:c r="G51" s="4" t="str">
        <x:v>主播场次跨越当地午夜</x:v>
      </x:c>
      <x:c r="H51" s="4" t="str">
        <x:v>计算与统计口径</x:v>
      </x:c>
      <x:c r="I51" s="4" t="str">
        <x:v>统计自然日使用哪个时区？</x:v>
      </x:c>
      <x:c r="J51" s="4" t="str">
        <x:v>A. 统一使用Asia/Jakarta
B. 统一使用UTC</x:v>
      </x:c>
      <x:c r="K51" s="4" t="str">
        <x:v>建议优先评估A：明确主播场次跨越当地午夜的唯一处理口径后，可构造确定的输入和结果；此建议不代表产品结论</x:v>
      </x:c>
      <x:c r="L51" s="8" t="str"/>
      <x:c r="M51" s="8" t="str"/>
      <x:c r="N51" s="4" t="str">
        <x:v>1. MainBasis/需求待确认清单.md#Q025：业务时区、跨日场次和有效直播时长
2. 主文档关联：U-host-ranking-002、G-guild-income-002、A-admin-data-overview-007、U-contribution-ranking-002</x:v>
      </x:c>
      <x:c r="O51" s="4" t="str">
        <x:v>1. 用户App：主播场次跨越当地午夜
2. 公会App：主播场次跨越当地午夜
3. 管理后台：主播场次跨越当地午夜</x:v>
      </x:c>
      <x:c r="P51" s="4" t="str"/>
      <x:c r="Q51" s="4" t="str">
        <x:v>1. 统计自然日使用哪个时区的正向、边界及异常场景</x:v>
      </x:c>
      <x:c r="R51" s="4" t="str">
        <x:v>产品</x:v>
      </x:c>
      <x:c r="S51" s="4" t="str">
        <x:v>进入对应功能测试前</x:v>
      </x:c>
      <x:c r="T51" s="4" t="str">
        <x:v>待确认</x:v>
      </x:c>
    </x:row>
    <x:row r="52" ht="96" customHeight="1">
      <x:c r="A52" s="4" t="str">
        <x:v>Q-054</x:v>
      </x:c>
      <x:c r="B52" s="4" t="str">
        <x:v>RQ-025</x:v>
      </x:c>
      <x:c r="C52" s="4" t="str"/>
      <x:c r="D52" s="4" t="str"/>
      <x:c r="E52" s="4" t="str">
        <x:v>部分阻塞</x:v>
      </x:c>
      <x:c r="F52" s="4" t="str">
        <x:v>M02 发现·搜索·主页与平台榜单</x:v>
      </x:c>
      <x:c r="G52" s="4" t="str">
        <x:v>主播一场直播跨越统计日边界</x:v>
      </x:c>
      <x:c r="H52" s="4" t="str">
        <x:v>业务规则</x:v>
      </x:c>
      <x:c r="I52" s="4" t="str">
        <x:v>跨日直播时长如何归属日期？</x:v>
      </x:c>
      <x:c r="J52" s="4" t="str">
        <x:v>A. 按实际时间切分到各自然日
B. 全部归入开播所在自然日</x:v>
      </x:c>
      <x:c r="K52" s="4" t="str">
        <x:v>建议优先评估A：明确主播一场直播跨越统计日边界的唯一处理口径后，可构造确定的输入和结果；此建议不代表产品结论</x:v>
      </x:c>
      <x:c r="L52" s="8" t="str"/>
      <x:c r="M52" s="8" t="str"/>
      <x:c r="N52" s="4" t="str">
        <x:v>1. MainBasis/需求待确认清单.md#Q025：业务时区、跨日场次和有效直播时长
2. 主文档关联：U-host-ranking-002、G-guild-income-002、A-admin-data-overview-007、U-contribution-ranking-002</x:v>
      </x:c>
      <x:c r="O52" s="4" t="str">
        <x:v>1. 用户App：主播一场直播跨越统计日边界
2. 公会App：主播一场直播跨越统计日边界
3. 管理后台：主播一场直播跨越统计日边界</x:v>
      </x:c>
      <x:c r="P52" s="4" t="str"/>
      <x:c r="Q52" s="4" t="str">
        <x:v>1. 跨日直播时长如何归属日期的正向、边界及异常场景</x:v>
      </x:c>
      <x:c r="R52" s="4" t="str">
        <x:v>产品</x:v>
      </x:c>
      <x:c r="S52" s="4" t="str">
        <x:v>进入对应功能测试前</x:v>
      </x:c>
      <x:c r="T52" s="4" t="str">
        <x:v>待确认</x:v>
      </x:c>
    </x:row>
    <x:row r="53" ht="96" customHeight="1">
      <x:c r="A53" s="4" t="str">
        <x:v>Q-055</x:v>
      </x:c>
      <x:c r="B53" s="4" t="str">
        <x:v>RQ-025</x:v>
      </x:c>
      <x:c r="C53" s="4" t="str"/>
      <x:c r="D53" s="4" t="str"/>
      <x:c r="E53" s="4" t="str">
        <x:v>部分阻塞</x:v>
      </x:c>
      <x:c r="F53" s="4" t="str">
        <x:v>M02 发现·搜索·主页与平台榜单</x:v>
      </x:c>
      <x:c r="G53" s="4" t="str">
        <x:v>直播因网络中断暂停推流但场次未结束</x:v>
      </x:c>
      <x:c r="H53" s="4" t="str">
        <x:v>业务规则</x:v>
      </x:c>
      <x:c r="I53" s="4" t="str">
        <x:v>断流时间是否计入有效直播时长？</x:v>
      </x:c>
      <x:c r="J53" s="4" t="str">
        <x:v>A. 不计入，以有效推流区间累计
B. 计入，以场次开始至结束累计</x:v>
      </x:c>
      <x:c r="K53" s="4" t="str">
        <x:v>建议优先评估A：明确直播因网络中断暂停推流但场次未结束的唯一处理口径后，可构造确定的输入和结果；此建议不代表产品结论</x:v>
      </x:c>
      <x:c r="L53" s="8" t="str"/>
      <x:c r="M53" s="8" t="str"/>
      <x:c r="N53" s="4" t="str">
        <x:v>1. MainBasis/需求待确认清单.md#Q025：业务时区、跨日场次和有效直播时长
2. 主文档关联：U-host-ranking-002、G-guild-income-002、A-admin-data-overview-007、U-contribution-ranking-002</x:v>
      </x:c>
      <x:c r="O53" s="4" t="str">
        <x:v>1. 用户App：直播因网络中断暂停推流但场次未结束
2. 公会App：直播因网络中断暂停推流但场次未结束
3. 管理后台：直播因网络中断暂停推流但场次未结束</x:v>
      </x:c>
      <x:c r="P53" s="4" t="str"/>
      <x:c r="Q53" s="4" t="str">
        <x:v>1. 断流时间是否计入有效直播时长的正向、边界及异常场景</x:v>
      </x:c>
      <x:c r="R53" s="4" t="str">
        <x:v>产品</x:v>
      </x:c>
      <x:c r="S53" s="4" t="str">
        <x:v>进入对应功能测试前</x:v>
      </x:c>
      <x:c r="T53" s="4" t="str">
        <x:v>待确认</x:v>
      </x:c>
    </x:row>
    <x:row r="54" ht="96" customHeight="1">
      <x:c r="A54" s="4" t="str">
        <x:v>Q-057</x:v>
      </x:c>
      <x:c r="B54" s="4" t="str">
        <x:v>RQ-026</x:v>
      </x:c>
      <x:c r="C54" s="4" t="str"/>
      <x:c r="D54" s="4" t="str"/>
      <x:c r="E54" s="4" t="str">
        <x:v>部分阻塞</x:v>
      </x:c>
      <x:c r="F54" s="4" t="str">
        <x:v>M06 开播·房型·观看·连麦与房内管理</x:v>
      </x:c>
      <x:c r="G54" s="4" t="str">
        <x:v>用户在同一场次关注、取关后再次关注</x:v>
      </x:c>
      <x:c r="H54" s="4" t="str">
        <x:v>业务规则</x:v>
      </x:c>
      <x:c r="I54" s="4" t="str">
        <x:v>新增粉丝指标如何计数？</x:v>
      </x:c>
      <x:c r="J54" s="4" t="str">
        <x:v>A. 只计本场首次新增关注账号且去重
B. 每次关注成功事件均累计</x:v>
      </x:c>
      <x:c r="K54" s="4" t="str">
        <x:v>建议优先评估A：明确用户在同一场次关注、取关后再次关注的唯一处理口径后，可构造确定的输入和结果；此建议不代表产品结论</x:v>
      </x:c>
      <x:c r="L54" s="8" t="str"/>
      <x:c r="M54" s="8" t="str"/>
      <x:c r="N54" s="4" t="str">
        <x:v>1. MainBasis/需求待确认清单.md#Q026：观众人数、人次、访问次数与新增粉丝
2. 主文档关联：U-live-end-host-002、G-guild-host-summary-004、A-admin-live-statistics-003、U-host-center-005</x:v>
      </x:c>
      <x:c r="O54" s="4" t="str">
        <x:v>1. 用户App：用户在同一场次关注、取关后再次关注
2. 公会App：用户在同一场次关注、取关后再次关注
3. 管理后台：用户在同一场次关注、取关后再次关注</x:v>
      </x:c>
      <x:c r="P54" s="4" t="str"/>
      <x:c r="Q54" s="4" t="str">
        <x:v>1. 新增粉丝指标如何计数的正向、边界及异常场景</x:v>
      </x:c>
      <x:c r="R54" s="4" t="str">
        <x:v>产品</x:v>
      </x:c>
      <x:c r="S54" s="4" t="str">
        <x:v>进入对应功能测试前</x:v>
      </x:c>
      <x:c r="T54" s="4" t="str">
        <x:v>待确认</x:v>
      </x:c>
    </x:row>
    <x:row r="55" ht="96" customHeight="1">
      <x:c r="A55" s="4" t="str">
        <x:v>Q-058</x:v>
      </x:c>
      <x:c r="B55" s="4" t="str">
        <x:v>RQ-027</x:v>
      </x:c>
      <x:c r="C55" s="4" t="str"/>
      <x:c r="D55" s="4" t="str"/>
      <x:c r="E55" s="4" t="str">
        <x:v>部分阻塞</x:v>
      </x:c>
      <x:c r="F55" s="4" t="str">
        <x:v>M12 直播业绩·增长与统计报表</x:v>
      </x:c>
      <x:c r="G55" s="4" t="str">
        <x:v>后台统计金币净增量，期间有充值退款回收金币</x:v>
      </x:c>
      <x:c r="H55" s="4" t="str">
        <x:v>计算与统计口径</x:v>
      </x:c>
      <x:c r="I55" s="4" t="str">
        <x:v>金币净增量是否扣除退款回收金币？</x:v>
      </x:c>
      <x:c r="J55" s="4" t="str">
        <x:v>A. 扣除当期成功退款回收金币
B. 不扣除，退款回收金币在独立指标展示</x:v>
      </x:c>
      <x:c r="K55" s="4" t="str">
        <x:v>建议优先评估A：明确后台统计金币净增量，期间有充值退款回收金币的唯一处理口径后，可构造确定的输入和结果；此建议不代表产品结论</x:v>
      </x:c>
      <x:c r="L55" s="8" t="str"/>
      <x:c r="M55" s="8" t="str"/>
      <x:c r="N55" s="4" t="str">
        <x:v>1. MainBasis/需求待确认清单.md#Q027：报表净增量、付费指标及历史扩展统计
2. 主文档关联：A-admin-dashboard-005、A-admin-daily-statistics-006、A-admin-recharge-statistics-008、A-admin-user-activity-statistics-006</x:v>
      </x:c>
      <x:c r="O55" s="4" t="str">
        <x:v>1. 管理后台：后台统计金币净增量，期间有充值退款回收金币</x:v>
      </x:c>
      <x:c r="P55" s="4" t="str"/>
      <x:c r="Q55" s="4" t="str">
        <x:v>1. 金币净增量是否扣除退款回收金币的正向、边界及异常场景</x:v>
      </x:c>
      <x:c r="R55" s="4" t="str">
        <x:v>产品</x:v>
      </x:c>
      <x:c r="S55" s="4" t="str">
        <x:v>进入对应功能测试前</x:v>
      </x:c>
      <x:c r="T55" s="4" t="str">
        <x:v>待确认</x:v>
      </x:c>
    </x:row>
    <x:row r="56" ht="96" customHeight="1">
      <x:c r="A56" s="4" t="str">
        <x:v>Q-059</x:v>
      </x:c>
      <x:c r="B56" s="4" t="str">
        <x:v>RQ-027</x:v>
      </x:c>
      <x:c r="C56" s="4" t="str"/>
      <x:c r="D56" s="4" t="str"/>
      <x:c r="E56" s="4" t="str">
        <x:v>部分阻塞</x:v>
      </x:c>
      <x:c r="F56" s="4" t="str">
        <x:v>M12 直播业绩·增长与统计报表</x:v>
      </x:c>
      <x:c r="G56" s="4" t="str">
        <x:v>后台查看ARPU指标</x:v>
      </x:c>
      <x:c r="H56" s="4" t="str">
        <x:v>计算与统计口径</x:v>
      </x:c>
      <x:c r="I56" s="4" t="str">
        <x:v>ARPU分母采用哪类用户？</x:v>
      </x:c>
      <x:c r="J56" s="4" t="str">
        <x:v>A. 所选期间活跃去重用户数
B. 所选期间充值成功去重用户数</x:v>
      </x:c>
      <x:c r="K56" s="4" t="str">
        <x:v>建议优先评估A：明确后台查看ARPU指标的唯一处理口径后，可构造确定的输入和结果；此建议不代表产品结论</x:v>
      </x:c>
      <x:c r="L56" s="8" t="str"/>
      <x:c r="M56" s="8" t="str"/>
      <x:c r="N56" s="4" t="str">
        <x:v>1. MainBasis/需求待确认清单.md#Q027：报表净增量、付费指标及历史扩展统计
2. 主文档关联：A-admin-dashboard-005、A-admin-daily-statistics-006、A-admin-recharge-statistics-008、A-admin-user-activity-statistics-006</x:v>
      </x:c>
      <x:c r="O56" s="4" t="str">
        <x:v>1. 管理后台：后台查看ARPU指标</x:v>
      </x:c>
      <x:c r="P56" s="4" t="str"/>
      <x:c r="Q56" s="4" t="str">
        <x:v>1. ARPU分母采用哪类用户的正向、边界及异常场景</x:v>
      </x:c>
      <x:c r="R56" s="4" t="str">
        <x:v>产品</x:v>
      </x:c>
      <x:c r="S56" s="4" t="str">
        <x:v>进入对应功能测试前</x:v>
      </x:c>
      <x:c r="T56" s="4" t="str">
        <x:v>待确认</x:v>
      </x:c>
    </x:row>
    <x:row r="57" ht="96" customHeight="1">
      <x:c r="A57" s="4" t="str">
        <x:v>Q-065</x:v>
      </x:c>
      <x:c r="B57" s="4" t="str">
        <x:v>RQ-031</x:v>
      </x:c>
      <x:c r="C57" s="4" t="str"/>
      <x:c r="D57" s="4" t="str"/>
      <x:c r="E57" s="4" t="str">
        <x:v>部分阻塞</x:v>
      </x:c>
      <x:c r="F57" s="4" t="str">
        <x:v>M07 金币·充值·消费与客户端账单</x:v>
      </x:c>
      <x:c r="G57" s="4" t="str">
        <x:v>用户在App内充值</x:v>
      </x:c>
      <x:c r="H57" s="4" t="str">
        <x:v>需求范围</x:v>
      </x:c>
      <x:c r="I57" s="4" t="str">
        <x:v>本期是否支持跳转外部H5支付？</x:v>
      </x:c>
      <x:c r="J57" s="4" t="str">
        <x:v>A. 支持，支付渠道以当前平台配置为准
B. 不支持，仅使用App内已登记支付渠道</x:v>
      </x:c>
      <x:c r="K57" s="4" t="str">
        <x:v>建议优先评估A：明确用户在App内充值的唯一处理口径后，可构造确定的输入和结果；此建议不代表产品结论</x:v>
      </x:c>
      <x:c r="L57" s="8" t="str"/>
      <x:c r="M57" s="8" t="str"/>
      <x:c r="N57" s="4" t="str">
        <x:v>1. MainBasis/需求待确认清单.md#Q031：支付渠道与 H5 充值范围
2. 主文档关联：U-recharge-003、A-admin-recharge-order-008、U-views_live-room_gift-recharge-002、A-admin-recharge-order-detail-002</x:v>
      </x:c>
      <x:c r="O57" s="4" t="str">
        <x:v>1. 用户App：用户在App内充值
2. 管理后台：用户在App内充值</x:v>
      </x:c>
      <x:c r="P57" s="4" t="str"/>
      <x:c r="Q57" s="4" t="str">
        <x:v>1. 本期是否支持跳转外部H5支付的正向、边界及异常场景</x:v>
      </x:c>
      <x:c r="R57" s="4" t="str">
        <x:v>产品</x:v>
      </x:c>
      <x:c r="S57" s="4" t="str">
        <x:v>进入对应功能测试前</x:v>
      </x:c>
      <x:c r="T57" s="4" t="str">
        <x:v>待确认</x:v>
      </x:c>
    </x:row>
    <x:row r="58" ht="96" customHeight="1">
      <x:c r="A58" s="4" t="str">
        <x:v>Q-066</x:v>
      </x:c>
      <x:c r="B58" s="4" t="str">
        <x:v>RQ-032</x:v>
      </x:c>
      <x:c r="C58" s="4" t="str"/>
      <x:c r="D58" s="4" t="str"/>
      <x:c r="E58" s="4" t="str">
        <x:v>部分阻塞</x:v>
      </x:c>
      <x:c r="F58" s="4" t="str">
        <x:v>M10 用户管理·审核·举报与巡房</x:v>
      </x:c>
      <x:c r="G58" s="4" t="str">
        <x:v>管理员封禁用户账号</x:v>
      </x:c>
      <x:c r="H58" s="4" t="str">
        <x:v>角色与权限</x:v>
      </x:c>
      <x:c r="I58" s="4" t="str">
        <x:v>封禁期限采用什么方式？</x:v>
      </x:c>
      <x:c r="J58" s="4" t="str">
        <x:v>A. 仅永久封禁，管理员解封后恢复
B. 允许定时或永久，定时时长以后台可选配置为准</x:v>
      </x:c>
      <x:c r="K58" s="4" t="str">
        <x:v>建议优先评估A：明确管理员封禁用户账号的唯一处理口径后，可构造确定的输入和结果；此建议不代表产品结论</x:v>
      </x:c>
      <x:c r="L58" s="8" t="str"/>
      <x:c r="M58" s="8" t="str"/>
      <x:c r="N58" s="4" t="str">
        <x:v>1. MainBasis/需求待确认清单.md#Q032：封禁、申诉和账号/直播工单生命周期
2. 主文档关联：A-admin-report-handling-005、A-admin-report-detail-008、A-admin-report-handling-007、A-admin-report-handling-008</x:v>
      </x:c>
      <x:c r="O58" s="4" t="str">
        <x:v>1. 用户App：管理员封禁用户账号
2. 管理后台：管理员封禁用户账号</x:v>
      </x:c>
      <x:c r="P58" s="4" t="str"/>
      <x:c r="Q58" s="4" t="str">
        <x:v>1. 封禁期限采用什么方式的正向、边界及异常场景</x:v>
      </x:c>
      <x:c r="R58" s="4" t="str">
        <x:v>产品</x:v>
      </x:c>
      <x:c r="S58" s="4" t="str">
        <x:v>进入对应功能测试前</x:v>
      </x:c>
      <x:c r="T58" s="4" t="str">
        <x:v>待确认</x:v>
      </x:c>
    </x:row>
    <x:row r="59" ht="110" customHeight="1">
      <x:c r="A59" s="4" t="str">
        <x:v>Q-067</x:v>
      </x:c>
      <x:c r="B59" s="4" t="str">
        <x:v>RQ-033</x:v>
      </x:c>
      <x:c r="C59" s="4" t="str"/>
      <x:c r="D59" s="4" t="str"/>
      <x:c r="E59" s="4" t="str">
        <x:v>部分阻塞</x:v>
      </x:c>
      <x:c r="F59" s="4" t="str">
        <x:v>M06 开播·房型·观看·连麦与房内管理</x:v>
      </x:c>
      <x:c r="G59" s="4" t="str">
        <x:v>巡房人员的排班结束但直播间仍在线</x:v>
      </x:c>
      <x:c r="H59" s="4" t="str">
        <x:v>角色与权限</x:v>
      </x:c>
      <x:c r="I59" s="4" t="str">
        <x:v>巡房保护是否在排班结束时失效？</x:v>
      </x:c>
      <x:c r="J59" s="4" t="str">
        <x:v>A. 排班结束即失效
B. 保留至当前直播场次结束</x:v>
      </x:c>
      <x:c r="K59" s="4" t="str">
        <x:v>建议优先评估A：明确巡房人员的排班结束但直播间仍在线的唯一处理口径后，可构造确定的输入和结果；此建议不代表产品结论</x:v>
      </x:c>
      <x:c r="L59" s="8" t="str"/>
      <x:c r="M59" s="8" t="str"/>
      <x:c r="N59" s="4" t="str">
        <x:v>1. MainBasis/需求待确认清单.md#Q033：后台角色权限和巡房授权时效
2. 主文档关联：U-views_live-room_patrol-room-allowed-001、A-admin-inspection-schedule-006、A-admin-inspection-schedule-detail-005、A-admin-system-account-004</x:v>
      </x:c>
      <x:c r="O59" s="4" t="str">
        <x:v>1. 用户App：巡房人员的排班结束但直播间仍在线
2. 管理后台：巡房人员的排班结束但直播间仍在线</x:v>
      </x:c>
      <x:c r="P59" s="4" t="str"/>
      <x:c r="Q59" s="4" t="str">
        <x:v>1. 巡房保护是否在排班结束时失效的正向、边界及异常场景</x:v>
      </x:c>
      <x:c r="R59" s="4" t="str">
        <x:v>产品</x:v>
      </x:c>
      <x:c r="S59" s="4" t="str">
        <x:v>进入对应功能测试前</x:v>
      </x:c>
      <x:c r="T59" s="4" t="str">
        <x:v>待确认</x:v>
      </x:c>
    </x:row>
    <x:row r="60" ht="96" customHeight="1">
      <x:c r="A60" s="4" t="str">
        <x:v>Q-068</x:v>
      </x:c>
      <x:c r="B60" s="4" t="str">
        <x:v>RQ-034</x:v>
      </x:c>
      <x:c r="C60" s="4" t="str"/>
      <x:c r="D60" s="4" t="str"/>
      <x:c r="E60" s="4" t="str">
        <x:v>部分阻塞</x:v>
      </x:c>
      <x:c r="F60" s="4" t="str">
        <x:v>M10 用户管理·审核·举报与巡房</x:v>
      </x:c>
      <x:c r="G60" s="4" t="str">
        <x:v>三端上传图片资源</x:v>
      </x:c>
      <x:c r="H60" s="4" t="str">
        <x:v>字段与数据校验</x:v>
      </x:c>
      <x:c r="I60" s="4" t="str">
        <x:v>图片大小限制采用什么依据？</x:v>
      </x:c>
      <x:c r="J60" s="4" t="str">
        <x:v>A. 每个上传字段读取平台发布的资源限制配置
B. 全部图片统一最大5MB</x:v>
      </x:c>
      <x:c r="K60" s="4" t="str">
        <x:v>建议优先评估A：明确三端上传图片资源的唯一处理口径后，可构造确定的输入和结果；此建议不代表产品结论</x:v>
      </x:c>
      <x:c r="L60" s="8" t="str"/>
      <x:c r="M60" s="8" t="str"/>
      <x:c r="N60" s="4" t="str">
        <x:v>1. MainBasis/需求待确认清单.md#Q034：内容风控、敏感词和上传资源约束
2. 主文档关联：A-admin-sensitive-words-001、A-admin-sensitive-words-detail-001、A-admin-sensitive-words-002、A-admin-sensitive-words-005</x:v>
      </x:c>
      <x:c r="O60" s="4" t="str">
        <x:v>1. 用户App：三端上传图片资源
2. 公会App：三端上传图片资源
3. 管理后台：三端上传图片资源</x:v>
      </x:c>
      <x:c r="P60" s="4" t="str"/>
      <x:c r="Q60" s="4" t="str">
        <x:v>1. 图片大小限制采用什么依据的正向、边界及异常场景</x:v>
      </x:c>
      <x:c r="R60" s="4" t="str">
        <x:v>技术</x:v>
      </x:c>
      <x:c r="S60" s="4" t="str">
        <x:v>进入对应功能测试前</x:v>
      </x:c>
      <x:c r="T60" s="4" t="str">
        <x:v>待确认</x:v>
      </x:c>
    </x:row>
    <x:row r="61" ht="68" customHeight="1">
      <x:c r="A61" s="4" t="str">
        <x:v>Q-069</x:v>
      </x:c>
      <x:c r="B61" s="4" t="str">
        <x:v>RQ-035</x:v>
      </x:c>
      <x:c r="C61" s="4" t="str"/>
      <x:c r="D61" s="4" t="str"/>
      <x:c r="E61" s="4" t="str">
        <x:v>部分阻塞</x:v>
      </x:c>
      <x:c r="F61" s="4" t="str">
        <x:v>M01 账号·登录·资料与设置</x:v>
      </x:c>
      <x:c r="G61" s="4" t="str">
        <x:v>用户未达到平台规定年龄尝试注册</x:v>
      </x:c>
      <x:c r="H61" s="4" t="str">
        <x:v>需求范围</x:v>
      </x:c>
      <x:c r="I61" s="4" t="str">
        <x:v>本期是否拦截未成年人注册？</x:v>
      </x:c>
      <x:c r="J61" s="4" t="str">
        <x:v>A. 根据产品明确的年龄门槛配置执行拦截
B. 本期不按年龄拦截，仅展示适龄说明</x:v>
      </x:c>
      <x:c r="K61" s="4" t="str">
        <x:v>建议优先评估A：明确用户未达到平台规定年龄尝试注册的唯一处理口径后，可构造确定的输入和结果；此建议不代表产品结论</x:v>
      </x:c>
      <x:c r="L61" s="8" t="str"/>
      <x:c r="M61" s="8" t="str"/>
      <x:c r="N61" s="4" t="str">
        <x:v>1. MainBasis/需求待确认清单.md#Q035：协议、隐私、帮助与年龄准入
2. 主文档关联：U-settings-006</x:v>
      </x:c>
      <x:c r="O61" s="4" t="str">
        <x:v>1. 用户App：用户未达到平台规定年龄尝试注册
2. 管理后台：用户未达到平台规定年龄尝试注册</x:v>
      </x:c>
      <x:c r="P61" s="4" t="str"/>
      <x:c r="Q61" s="4" t="str">
        <x:v>1. 本期是否拦截未成年人注册的正向、边界及异常场景</x:v>
      </x:c>
      <x:c r="R61" s="4" t="str">
        <x:v>多方确认</x:v>
      </x:c>
      <x:c r="S61" s="4" t="str">
        <x:v>进入对应功能测试前</x:v>
      </x:c>
      <x:c r="T61" s="4" t="str">
        <x:v>待确认</x:v>
      </x:c>
    </x:row>
    <x:row r="62" ht="82" customHeight="1">
      <x:c r="A62" s="4" t="str">
        <x:v>Q-070</x:v>
      </x:c>
      <x:c r="B62" s="4" t="str">
        <x:v>RQ-036</x:v>
      </x:c>
      <x:c r="C62" s="4" t="str"/>
      <x:c r="D62" s="4" t="str"/>
      <x:c r="E62" s="4" t="str">
        <x:v>部分阻塞</x:v>
      </x:c>
      <x:c r="F62" s="4" t="str">
        <x:v>M01 账号·登录·资料与设置</x:v>
      </x:c>
      <x:c r="G62" s="4" t="str">
        <x:v>当前头像框到期且用户还持有其他有效头像框</x:v>
      </x:c>
      <x:c r="H62" s="4" t="str">
        <x:v>业务规则</x:v>
      </x:c>
      <x:c r="I62" s="4" t="str">
        <x:v>失效头像框停止展示后采用哪个回退样式？</x:v>
      </x:c>
      <x:c r="J62" s="4" t="str">
        <x:v>A. 显示当前头像，不带任何头像框
B. 自动佩戴最近使用的仍有效头像框，无有效项则只显示头像</x:v>
      </x:c>
      <x:c r="K62" s="4" t="str">
        <x:v>建议优先评估A：明确当前头像框到期且用户还持有其他有效头像框的唯一处理口径后，可构造确定的输入和结果；此建议不代表产品结论</x:v>
      </x:c>
      <x:c r="L62" s="8" t="str"/>
      <x:c r="M62" s="8" t="str"/>
      <x:c r="N62" s="4" t="str">
        <x:v>1. MainBasis/需求待确认清单.md#Q036：装扮获取、佩戴位与到期处理
2. 主文档关联：D-SYS-155、U-profile-003、U-my-decoration-medal-004、U-my-decoration-medal-007</x:v>
      </x:c>
      <x:c r="O62" s="4" t="str">
        <x:v>1. 用户App：当前头像框到期且用户还持有其他有效头像框
2. 管理后台：当前头像框到期且用户还持有其他有效头像框</x:v>
      </x:c>
      <x:c r="P62" s="4" t="str"/>
      <x:c r="Q62" s="4" t="str">
        <x:v>1. 失效头像框停止展示后采用哪个回退样式的正向、边界及异常场景</x:v>
      </x:c>
      <x:c r="R62" s="4" t="str">
        <x:v>产品</x:v>
      </x:c>
      <x:c r="S62" s="4" t="str">
        <x:v>进入对应功能测试前</x:v>
      </x:c>
      <x:c r="T62" s="4" t="str">
        <x:v>待确认</x:v>
      </x:c>
    </x:row>
    <x:row r="63" ht="96" customHeight="1">
      <x:c r="A63" s="4" t="str">
        <x:v>Q-071</x:v>
      </x:c>
      <x:c r="B63" s="4" t="str">
        <x:v>RQ-038</x:v>
      </x:c>
      <x:c r="C63" s="4" t="str"/>
      <x:c r="D63" s="4" t="str"/>
      <x:c r="E63" s="4" t="str">
        <x:v>部分阻塞</x:v>
      </x:c>
      <x:c r="F63" s="4" t="str">
        <x:v>跨模块需求</x:v>
      </x:c>
      <x:c r="G63" s="4" t="str">
        <x:v>旧资料出现现行主文档未确认的功能</x:v>
      </x:c>
      <x:c r="H63" s="4" t="str">
        <x:v>需求范围</x:v>
      </x:c>
      <x:c r="I63" s="4" t="str">
        <x:v>旧功能是否进入本期验收范围？</x:v>
      </x:c>
      <x:c r="J63" s="4" t="str">
        <x:v>A. 不进入，以当前MainBasis已明确功能验收
B. 进入，须逐项补齐正式规则后再纳入</x:v>
      </x:c>
      <x:c r="K63" s="4" t="str">
        <x:v>建议优先评估A：明确旧资料出现现行主文档未确认的功能的唯一处理口径后，可构造确定的输入和结果；此建议不代表产品结论</x:v>
      </x:c>
      <x:c r="L63" s="8" t="str"/>
      <x:c r="M63" s="8" t="str"/>
      <x:c r="N63" s="4" t="str">
        <x:v>1. MainBasis/需求待确认清单.md#Q038：主基准之外的运营配置与其他功能是否纳入本期
2. 主文档关联：见风险来源中的来源异常范围</x:v>
      </x:c>
      <x:c r="O63" s="4" t="str">
        <x:v>1. 用户App：旧资料出现现行主文档未确认的功能
2. 公会App：旧资料出现现行主文档未确认的功能
3. 管理后台：旧资料出现现行主文档未确认的功能</x:v>
      </x:c>
      <x:c r="P63" s="4" t="str"/>
      <x:c r="Q63" s="4" t="str">
        <x:v>1. 旧功能是否进入本期验收范围的正向、边界及异常场景</x:v>
      </x:c>
      <x:c r="R63" s="4" t="str">
        <x:v>产品</x:v>
      </x:c>
      <x:c r="S63" s="4" t="str">
        <x:v>进入对应功能测试前</x:v>
      </x:c>
      <x:c r="T63" s="4" t="str">
        <x:v>待确认</x:v>
      </x:c>
    </x:row>
    <x:row r="64" ht="68" customHeight="1">
      <x:c r="A64" s="4" t="str">
        <x:v>Q-072</x:v>
      </x:c>
      <x:c r="B64" s="4" t="str">
        <x:v>RQ-039</x:v>
      </x:c>
      <x:c r="C64" s="4" t="str"/>
      <x:c r="D64" s="4" t="str"/>
      <x:c r="E64" s="4" t="str">
        <x:v>部分阻塞</x:v>
      </x:c>
      <x:c r="F64" s="4" t="str">
        <x:v>跨模块需求</x:v>
      </x:c>
      <x:c r="G64" s="4" t="str">
        <x:v>直播过程中切换网络并发生连接中断</x:v>
      </x:c>
      <x:c r="H64" s="4" t="str">
        <x:v>流程与状态</x:v>
      </x:c>
      <x:c r="I64" s="4" t="str">
        <x:v>恢复后是否继续原场次？</x:v>
      </x:c>
      <x:c r="J64" s="4" t="str">
        <x:v>A. 原场次未结束则恢复原场次，结束后不得恢复
B. 任何网络中断均结束原场次，恢复后重新开播</x:v>
      </x:c>
      <x:c r="K64" s="4" t="str">
        <x:v>建议优先评估A：明确直播过程中切换网络并发生连接中断的唯一处理口径后，可构造确定的输入和结果；此建议不代表产品结论</x:v>
      </x:c>
      <x:c r="L64" s="8" t="str"/>
      <x:c r="M64" s="8" t="str"/>
      <x:c r="N64" s="4" t="str">
        <x:v>1. MainBasis/需求待确认清单.md#Q039：直播和 IM 的实际技术验收指标
2. 主文档关联：见风险来源中的来源异常范围</x:v>
      </x:c>
      <x:c r="O64" s="4" t="str">
        <x:v>1. 用户App：直播过程中切换网络并发生连接中断
2. 管理后台：直播过程中切换网络并发生连接中断</x:v>
      </x:c>
      <x:c r="P64" s="4" t="str"/>
      <x:c r="Q64" s="4" t="str">
        <x:v>1. 恢复后是否继续原场次的正向、边界及异常场景</x:v>
      </x:c>
      <x:c r="R64" s="4" t="str">
        <x:v>多方确认</x:v>
      </x:c>
      <x:c r="S64" s="4" t="str">
        <x:v>进入对应功能测试前</x:v>
      </x:c>
      <x:c r="T64" s="4" t="str">
        <x:v>待确认</x:v>
      </x:c>
    </x:row>
    <x:row r="65" ht="68" customHeight="1">
      <x:c r="A65" s="4" t="str">
        <x:v>Q-074</x:v>
      </x:c>
      <x:c r="B65" s="4" t="str">
        <x:v>RQ-040</x:v>
      </x:c>
      <x:c r="C65" s="4" t="str"/>
      <x:c r="D65" s="4" t="str"/>
      <x:c r="E65" s="4" t="str">
        <x:v>部分阻塞</x:v>
      </x:c>
      <x:c r="F65" s="4" t="str">
        <x:v>跨模块需求</x:v>
      </x:c>
      <x:c r="G65" s="4" t="str">
        <x:v>当前索引未登记的系统审计详情</x:v>
      </x:c>
      <x:c r="H65" s="4" t="str">
        <x:v>需求范围</x:v>
      </x:c>
      <x:c r="I65" s="4" t="str">
        <x:v>系统审计详情是否属于本期范围？</x:v>
      </x:c>
      <x:c r="J65" s="4" t="str">
        <x:v>A. 排除，只保留为历史资料
B. 纳入，补齐本页规则与角色后生成用例</x:v>
      </x:c>
      <x:c r="K65" s="4" t="str">
        <x:v>建议优先评估A：明确当前索引未登记的系统审计详情的唯一处理口径后，可构造确定的输入和结果；此建议不代表产品结论</x:v>
      </x:c>
      <x:c r="L65" s="8" t="str"/>
      <x:c r="M65" s="8" t="str"/>
      <x:c r="N65" s="4" t="str">
        <x:v>1. MainBasis/需求待确认清单.md#Q040：未登记页面和缺失来源的范围归属
2. 主文档关联：见风险来源中的来源异常范围</x:v>
      </x:c>
      <x:c r="O65" s="4" t="str">
        <x:v>1. 管理后台：当前索引未登记的系统审计详情</x:v>
      </x:c>
      <x:c r="P65" s="4" t="str"/>
      <x:c r="Q65" s="4" t="str">
        <x:v>1. 系统审计详情是否属于本期范围的正向、边界及异常场景</x:v>
      </x:c>
      <x:c r="R65" s="4" t="str">
        <x:v>产品</x:v>
      </x:c>
      <x:c r="S65" s="4" t="str">
        <x:v>进入对应功能测试前</x:v>
      </x:c>
      <x:c r="T65" s="4" t="str">
        <x:v>待确认</x:v>
      </x:c>
    </x:row>
    <x:row r="66" ht="68" customHeight="1">
      <x:c r="A66" s="4" t="str">
        <x:v>Q-075</x:v>
      </x:c>
      <x:c r="B66" s="4" t="str">
        <x:v>RQ-040</x:v>
      </x:c>
      <x:c r="C66" s="4" t="str"/>
      <x:c r="D66" s="4" t="str"/>
      <x:c r="E66" s="4" t="str">
        <x:v>部分阻塞</x:v>
      </x:c>
      <x:c r="F66" s="4" t="str">
        <x:v>跨模块需求</x:v>
      </x:c>
      <x:c r="G66" s="4" t="str">
        <x:v>当前索引未登记的系统审计列表</x:v>
      </x:c>
      <x:c r="H66" s="4" t="str">
        <x:v>需求范围</x:v>
      </x:c>
      <x:c r="I66" s="4" t="str">
        <x:v>系统审计列表是否属于本期范围？</x:v>
      </x:c>
      <x:c r="J66" s="4" t="str">
        <x:v>A. 排除，只保留为历史资料
B. 纳入，补齐本页规则与角色后生成用例</x:v>
      </x:c>
      <x:c r="K66" s="4" t="str">
        <x:v>建议优先评估A：明确当前索引未登记的系统审计列表的唯一处理口径后，可构造确定的输入和结果；此建议不代表产品结论</x:v>
      </x:c>
      <x:c r="L66" s="8" t="str"/>
      <x:c r="M66" s="8" t="str"/>
      <x:c r="N66" s="4" t="str">
        <x:v>1. MainBasis/需求待确认清单.md#Q040：未登记页面和缺失来源的范围归属
2. 主文档关联：见风险来源中的来源异常范围</x:v>
      </x:c>
      <x:c r="O66" s="4" t="str">
        <x:v>1. 管理后台：当前索引未登记的系统审计列表</x:v>
      </x:c>
      <x:c r="P66" s="4" t="str"/>
      <x:c r="Q66" s="4" t="str">
        <x:v>1. 系统审计列表是否属于本期范围的正向、边界及异常场景</x:v>
      </x:c>
      <x:c r="R66" s="4" t="str">
        <x:v>产品</x:v>
      </x:c>
      <x:c r="S66" s="4" t="str">
        <x:v>进入对应功能测试前</x:v>
      </x:c>
      <x:c r="T66" s="4" t="str">
        <x:v>待确认</x:v>
      </x:c>
    </x:row>
    <x:row r="67" ht="68" customHeight="1">
      <x:c r="A67" s="4" t="str">
        <x:v>Q-076</x:v>
      </x:c>
      <x:c r="B67" s="4" t="str">
        <x:v>RQ-040</x:v>
      </x:c>
      <x:c r="C67" s="4" t="str"/>
      <x:c r="D67" s="4" t="str"/>
      <x:c r="E67" s="4" t="str">
        <x:v>部分阻塞</x:v>
      </x:c>
      <x:c r="F67" s="4" t="str">
        <x:v>跨模块需求</x:v>
      </x:c>
      <x:c r="G67" s="4" t="str">
        <x:v>当前索引未登记的系统参数详情</x:v>
      </x:c>
      <x:c r="H67" s="4" t="str">
        <x:v>需求范围</x:v>
      </x:c>
      <x:c r="I67" s="4" t="str">
        <x:v>系统参数详情是否属于本期范围？</x:v>
      </x:c>
      <x:c r="J67" s="4" t="str">
        <x:v>A. 排除，只保留为历史资料
B. 纳入，补齐本页规则与角色后生成用例</x:v>
      </x:c>
      <x:c r="K67" s="4" t="str">
        <x:v>建议优先评估A：明确当前索引未登记的系统参数详情的唯一处理口径后，可构造确定的输入和结果；此建议不代表产品结论</x:v>
      </x:c>
      <x:c r="L67" s="8" t="str"/>
      <x:c r="M67" s="8" t="str"/>
      <x:c r="N67" s="4" t="str">
        <x:v>1. MainBasis/需求待确认清单.md#Q040：未登记页面和缺失来源的范围归属
2. 主文档关联：见风险来源中的来源异常范围</x:v>
      </x:c>
      <x:c r="O67" s="4" t="str">
        <x:v>1. 管理后台：当前索引未登记的系统参数详情</x:v>
      </x:c>
      <x:c r="P67" s="4" t="str"/>
      <x:c r="Q67" s="4" t="str">
        <x:v>1. 系统参数详情是否属于本期范围的正向、边界及异常场景</x:v>
      </x:c>
      <x:c r="R67" s="4" t="str">
        <x:v>产品</x:v>
      </x:c>
      <x:c r="S67" s="4" t="str">
        <x:v>进入对应功能测试前</x:v>
      </x:c>
      <x:c r="T67" s="4" t="str">
        <x:v>待确认</x:v>
      </x:c>
    </x:row>
    <x:row r="68" ht="68" customHeight="1">
      <x:c r="A68" s="4" t="str">
        <x:v>Q-077</x:v>
      </x:c>
      <x:c r="B68" s="4" t="str">
        <x:v>RQ-040</x:v>
      </x:c>
      <x:c r="C68" s="4" t="str"/>
      <x:c r="D68" s="4" t="str"/>
      <x:c r="E68" s="4" t="str">
        <x:v>部分阻塞</x:v>
      </x:c>
      <x:c r="F68" s="4" t="str">
        <x:v>跨模块需求</x:v>
      </x:c>
      <x:c r="G68" s="4" t="str">
        <x:v>当前索引未登记的系统参数列表</x:v>
      </x:c>
      <x:c r="H68" s="4" t="str">
        <x:v>需求范围</x:v>
      </x:c>
      <x:c r="I68" s="4" t="str">
        <x:v>系统参数列表是否属于本期范围？</x:v>
      </x:c>
      <x:c r="J68" s="4" t="str">
        <x:v>A. 排除，只保留为历史资料
B. 纳入，补齐本页规则与角色后生成用例</x:v>
      </x:c>
      <x:c r="K68" s="4" t="str">
        <x:v>建议优先评估A：明确当前索引未登记的系统参数列表的唯一处理口径后，可构造确定的输入和结果；此建议不代表产品结论</x:v>
      </x:c>
      <x:c r="L68" s="8" t="str"/>
      <x:c r="M68" s="8" t="str"/>
      <x:c r="N68" s="4" t="str">
        <x:v>1. MainBasis/需求待确认清单.md#Q040：未登记页面和缺失来源的范围归属
2. 主文档关联：见风险来源中的来源异常范围</x:v>
      </x:c>
      <x:c r="O68" s="4" t="str">
        <x:v>1. 管理后台：当前索引未登记的系统参数列表</x:v>
      </x:c>
      <x:c r="P68" s="4" t="str"/>
      <x:c r="Q68" s="4" t="str">
        <x:v>1. 系统参数列表是否属于本期范围的正向、边界及异常场景</x:v>
      </x:c>
      <x:c r="R68" s="4" t="str">
        <x:v>产品</x:v>
      </x:c>
      <x:c r="S68" s="4" t="str">
        <x:v>进入对应功能测试前</x:v>
      </x:c>
      <x:c r="T68" s="4" t="str">
        <x:v>待确认</x:v>
      </x:c>
    </x:row>
    <x:row r="69" ht="68" customHeight="1">
      <x:c r="A69" s="4" t="str">
        <x:v>Q-078</x:v>
      </x:c>
      <x:c r="B69" s="4" t="str">
        <x:v>RQ-040</x:v>
      </x:c>
      <x:c r="C69" s="4" t="str"/>
      <x:c r="D69" s="4" t="str"/>
      <x:c r="E69" s="4" t="str">
        <x:v>部分阻塞</x:v>
      </x:c>
      <x:c r="F69" s="4" t="str">
        <x:v>跨模块需求</x:v>
      </x:c>
      <x:c r="G69" s="4" t="str">
        <x:v>当前索引未登记的系统权限页</x:v>
      </x:c>
      <x:c r="H69" s="4" t="str">
        <x:v>需求范围</x:v>
      </x:c>
      <x:c r="I69" s="4" t="str">
        <x:v>系统权限页是否属于本期范围？</x:v>
      </x:c>
      <x:c r="J69" s="4" t="str">
        <x:v>A. 排除，只保留为历史资料
B. 纳入，补齐本页规则与角色后生成用例</x:v>
      </x:c>
      <x:c r="K69" s="4" t="str">
        <x:v>建议优先评估A：明确当前索引未登记的系统权限页的唯一处理口径后，可构造确定的输入和结果；此建议不代表产品结论</x:v>
      </x:c>
      <x:c r="L69" s="8" t="str"/>
      <x:c r="M69" s="8" t="str"/>
      <x:c r="N69" s="4" t="str">
        <x:v>1. MainBasis/需求待确认清单.md#Q040：未登记页面和缺失来源的范围归属
2. 主文档关联：见风险来源中的来源异常范围</x:v>
      </x:c>
      <x:c r="O69" s="4" t="str">
        <x:v>1. 管理后台：当前索引未登记的系统权限页</x:v>
      </x:c>
      <x:c r="P69" s="4" t="str"/>
      <x:c r="Q69" s="4" t="str">
        <x:v>1. 系统权限页是否属于本期范围的正向、边界及异常场景</x:v>
      </x:c>
      <x:c r="R69" s="4" t="str">
        <x:v>产品</x:v>
      </x:c>
      <x:c r="S69" s="4" t="str">
        <x:v>进入对应功能测试前</x:v>
      </x:c>
      <x:c r="T69" s="4" t="str">
        <x:v>待确认</x:v>
      </x:c>
    </x:row>
    <x:row r="70" ht="96" customHeight="1">
      <x:c r="A70" s="4" t="str">
        <x:v>Q-080</x:v>
      </x:c>
      <x:c r="B70" s="4" t="str">
        <x:v>RQ-041</x:v>
      </x:c>
      <x:c r="C70" s="4" t="str"/>
      <x:c r="D70" s="4" t="str"/>
      <x:c r="E70" s="4" t="str">
        <x:v>部分阻塞</x:v>
      </x:c>
      <x:c r="F70" s="4" t="str">
        <x:v>M09 运营账号·虚拟金币与公会消息</x:v>
      </x:c>
      <x:c r="G70" s="4" t="str">
        <x:v>公会或平台发起运营账号创建</x:v>
      </x:c>
      <x:c r="H70" s="4" t="str">
        <x:v>角色与权限</x:v>
      </x:c>
      <x:c r="I70" s="4" t="str">
        <x:v>本期由谁创建运营账号？</x:v>
      </x:c>
      <x:c r="J70" s="4" t="str">
        <x:v>A. 仅所属公会创建，平台只控制启停与额度
B. 仅平台创建并分配至公会，公会维护分配后资料</x:v>
      </x:c>
      <x:c r="K70" s="4" t="str">
        <x:v>建议优先评估A：明确公会或平台发起运营账号创建的唯一处理口径后，可构造确定的输入和结果；此建议不代表产品结论</x:v>
      </x:c>
      <x:c r="L70" s="8" t="str"/>
      <x:c r="M70" s="8" t="str"/>
      <x:c r="N70" s="4" t="str">
        <x:v>1. MainBasis/需求待确认清单.md#Q041：运营账号管理责任的概要内部矛盾
2. 主文档关联：D-SYS-040、G-guild-operation-accounts-005、A-admin-operation-accounts-002、A-admin-operation-issue-records-007</x:v>
      </x:c>
      <x:c r="O70" s="4" t="str">
        <x:v>1. 公会App：公会或平台发起运营账号创建
2. 管理后台：公会或平台发起运营账号创建</x:v>
      </x:c>
      <x:c r="P70" s="4" t="str"/>
      <x:c r="Q70" s="4" t="str">
        <x:v>1. 本期由谁创建运营账号的正向、边界及异常场景</x:v>
      </x:c>
      <x:c r="R70" s="4" t="str">
        <x:v>产品</x:v>
      </x:c>
      <x:c r="S70" s="4" t="str">
        <x:v>进入对应功能测试前</x:v>
      </x:c>
      <x:c r="T70" s="4" t="str">
        <x:v>待确认</x:v>
      </x:c>
    </x:row>
    <x:row r="71" ht="96" customHeight="1">
      <x:c r="A71" s="4" t="str">
        <x:v>Q-081</x:v>
      </x:c>
      <x:c r="B71" s="4" t="str">
        <x:v>RQ-042</x:v>
      </x:c>
      <x:c r="C71" s="4" t="str"/>
      <x:c r="D71" s="4" t="str"/>
      <x:c r="E71" s="4" t="str">
        <x:v>部分阻塞</x:v>
      </x:c>
      <x:c r="F71" s="4" t="str">
        <x:v>跨模块需求</x:v>
      </x:c>
      <x:c r="G71" s="4" t="str">
        <x:v>客户端展示超过1000的大数</x:v>
      </x:c>
      <x:c r="H71" s="4" t="str">
        <x:v>交互与文案规则</x:v>
      </x:c>
      <x:c r="I71" s="4" t="str">
        <x:v>数字展示是否使用缩写？</x:v>
      </x:c>
      <x:c r="J71" s="4" t="str">
        <x:v>A. 显示完整数值，按当前语言设置分组符
B. 使用K和M缩写，保留1位小数向下截断</x:v>
      </x:c>
      <x:c r="K71" s="4" t="str">
        <x:v>建议优先评估A：明确客户端展示超过1000的大数的唯一处理口径后，可构造确定的输入和结果；此建议不代表产品结论</x:v>
      </x:c>
      <x:c r="L71" s="8" t="str"/>
      <x:c r="M71" s="8" t="str"/>
      <x:c r="N71" s="4" t="str">
        <x:v>1. MainBasis/需求待确认清单.md#Q042：大数缩写与精确值显示
2. 主文档关联：见风险来源中的来源异常范围</x:v>
      </x:c>
      <x:c r="O71" s="4" t="str">
        <x:v>1. 用户App：客户端展示超过1000的大数
2. 公会App：客户端展示超过1000的大数
3. 管理后台：客户端展示超过1000的大数</x:v>
      </x:c>
      <x:c r="P71" s="4" t="str"/>
      <x:c r="Q71" s="4" t="str">
        <x:v>1. 数字展示是否使用缩写的正向、边界及异常场景</x:v>
      </x:c>
      <x:c r="R71" s="4" t="str">
        <x:v>交互</x:v>
      </x:c>
      <x:c r="S71" s="4" t="str">
        <x:v>进入对应功能测试前</x:v>
      </x:c>
      <x:c r="T71" s="4" t="str">
        <x:v>待确认</x:v>
      </x:c>
    </x:row>
  </x:sheetData>
  <x:dataValidations count="5">
    <x:dataValidation type="list" sqref="E2:E71">
      <x:formula1>"阻塞测试,部分阻塞,不阻塞"</x:formula1>
    </x:dataValidation>
    <x:dataValidation type="list" sqref="H2:H71">
      <x:formula1>"需求范围,业务规则,角色与权限,流程与状态,字段与数据校验,计算与统计口径,异常处理,跨端与跨模块一致性,配置和历史数据影响,交互与文案规则"</x:formula1>
    </x:dataValidation>
    <x:dataValidation type="list" sqref="L2:L71">
      <x:formula1>"A,B,C,D,其他"</x:formula1>
    </x:dataValidation>
    <x:dataValidation type="list" sqref="R2:R71">
      <x:formula1>"产品,交互,技术,多方确认"</x:formula1>
    </x:dataValidation>
    <x:dataValidation type="list" sqref="T2:T71">
      <x:formula1>"待前置结论,待确认,确认中,已确认,无需处理"</x:formula1>
    </x:dataValidation>
  </x:dataValidations>
  <x:pageMargins left="0.7" right="0.7" top="0.75" bottom="0.75" header="0.3" footer="0.3"/>
  <x:tableParts count="1">
    <x:tablePart xmlns:r="http://schemas.openxmlformats.org/officeDocument/2006/relationships" r:id="Rf2e9dd950e67494e"/>
  </x:tableParts>
</x:worksheet>
</file>