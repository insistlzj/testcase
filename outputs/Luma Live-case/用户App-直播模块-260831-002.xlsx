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a1eb698854ee4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b0904776b60c42dc"/>
    <x:sheet xmlns:r="http://schemas.openxmlformats.org/officeDocument/2006/relationships" name="需求待确认" sheetId="2" r:id="Rdb6f28eec8d14077"/>
    <x:sheet xmlns:r="http://schemas.openxmlformats.org/officeDocument/2006/relationships" name="产品决策概览" sheetId="3" r:id="R9c1c03a7738a4305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aa9a4d0664286" /><Relationship Type="http://schemas.openxmlformats.org/officeDocument/2006/relationships/theme" Target="/xl/theme/theme1.xml" Id="Rabb3a7f4356f4b78" /><Relationship Type="http://schemas.openxmlformats.org/officeDocument/2006/relationships/sharedStrings" Target="/xl/sharedStrings.xml" Id="Rfaf856945ca945cb" /><Relationship Type="http://schemas.openxmlformats.org/officeDocument/2006/relationships/worksheet" Target="/xl/worksheets/sheet1.xml" Id="Rb0904776b60c42dc" /><Relationship Type="http://schemas.openxmlformats.org/officeDocument/2006/relationships/worksheet" Target="/xl/worksheets/sheet2.xml" Id="Rdb6f28eec8d14077" /><Relationship Type="http://schemas.openxmlformats.org/officeDocument/2006/relationships/worksheet" Target="/xl/worksheets/sheet3.xml" Id="R9c1c03a7738a4305" /></Relationships>
</file>

<file path=xl/tables/table1.xml><?xml version="1.0" encoding="utf-8"?>
<x:table xmlns:x="http://schemas.openxmlformats.org/spreadsheetml/2006/main" id="1" name="UserAppLiveTestCases" displayName="UserAppLiveTestCases" ref="A1:O335" headerRowCount="1" totalsRowCount="0" totalsRowShown="0">
  <x:autoFilter ref="A1:O33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69" headerRowCount="1" totalsRowCount="0" totalsRowShown="0">
  <x:autoFilter ref="A1:T6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1b91e3cf34d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26cfe90bc147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1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" ht="11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4" ht="11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5" ht="10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6" ht="10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7" ht="10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8" ht="103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9" ht="91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0" ht="9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1" ht="11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2" ht="12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" ht="11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4" ht="11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" ht="115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6" ht="11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7" ht="11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8" ht="9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19" ht="11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1" ht="139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22" ht="91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3" ht="9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4" ht="9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5" ht="9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6" ht="9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7" ht="91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8" ht="115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32" ht="10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3" ht="10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4" ht="103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购票充值入口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5" ht="139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6" ht="91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37" ht="91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39" ht="141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
5. 共同业务对象：同一门票房场次和购票资格
6. 流程阶段：被踢后进房限制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40" ht="141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来源：context/01-用户主播App-角色与用例.md
2. 来源：context/01-互动场景权限规则.md
3. 追溯：业务底稿 LIVE-015。
4. 流程：阶段 07：核对被踢后余额；共同业务对象：LIVE-SESSION-T01、USER-T01。
5. 共同业务对象：同一门票房场次和购票资格
6. 流程阶段：被踢后门票退款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41" ht="141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来源：context/01-用户主播App-角色与用例.md
2. 来源：context/01-互动场景权限规则.md
3. 追溯：业务底稿 LIVE-015。
4. 流程：阶段 08：核对被踢后流水；共同业务对象：LIVE-SESSION-T01、USER-T01。
5. 共同业务对象：同一门票房场次和购票资格
6. 流程阶段：被踢后门票流水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42" ht="139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43" ht="9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44" ht="9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45" ht="91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购票充值入口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46" ht="9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47" ht="91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49" ht="10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50" ht="10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51" ht="10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52" ht="141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
5. 共同业务对象：同一密码房场次
6. 流程阶段：旧密码失效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53" ht="141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
5. 共同业务对象：同一密码房场次
6. 流程阶段：新密码生效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54" ht="11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来源：context/01-用户主播App-角色与用例.md
2. 来源：prototype/assets/annotations.js
3. 追溯：业务底稿 LIVE-020。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55" ht="9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56" ht="9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57" ht="9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58" ht="115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59" ht="12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60" ht="10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61" ht="11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62" ht="11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63" ht="9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64" ht="91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65" ht="91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66" ht="115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67" ht="115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来源：context/01-互动场景权限规则.md
2. 来源：prototype/assets/annotations.js
3. 追溯：业务底稿 LIVE-025。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68" ht="115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69" ht="115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70" ht="115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71" ht="103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72" ht="103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73" ht="9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74" ht="9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76" ht="115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77" ht="127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来源：context/01-互动场景权限规则.md
3. 来源：prototype/pages/user/live/live-room.html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79" ht="139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来源：context/01-用户主播App-角色与用例.md
3. 追溯：业务底稿 LIVE-031。
4. 流程：阶段 01：观众送礼并核对余额；共同业务对象：GIFT-TXN-01。
5. 共同业务对象：同一礼物赠送记录
6. 流程阶段：用户扣费与余额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80" ht="139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来源：context/01-用户主播App-角色与用例.md
3. 追溯：业务底稿 LIVE-031。
4. 流程：阶段 02：主播核对实时收益；共同业务对象：GIFT-TXN-01。
5. 共同业务对象：同一礼物赠送记录
6. 流程阶段：主播实时收益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81" ht="139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来源：context/01-用户主播App-角色与用例.md
3. 追溯：业务底稿 LIVE-031。
4. 流程：阶段 03：直播间核对礼物播报；共同业务对象：GIFT-TXN-01。
5. 共同业务对象：同一礼物赠送记录
6. 流程阶段：公屏送礼播报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82" ht="139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来源：context/01-用户主播App-角色与用例.md
3. 追溯：业务底稿 LIVE-031。
4. 流程：阶段 04：用户核对消费流水；共同业务对象：GIFT-TXN-01。
5. 共同业务对象：同一礼物赠送记录
6. 流程阶段：礼物消费流水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83" ht="9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4" ht="9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5" ht="9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6" ht="9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8" ht="91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89" ht="127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90" ht="11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91" ht="127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
5. 跨端重审：管理后台存在购买份数配置，用户 App 固定数量菜单与后台配置的最终关系见 Q-037</x:v>
      </x:c>
    </x:row>
    <x:row r="92" ht="103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
4. 跨端重审：管理后台存在购买份数配置，用户 App 固定数量菜单与后台配置的最终关系见 Q-037</x:v>
      </x:c>
    </x:row>
    <x:row r="93" ht="115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94" ht="115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95" ht="10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96" ht="10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来源：context/01-用户主播App-角色与用例.md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97" ht="10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来源：context/01-用户主播App-角色与用例.md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98" ht="115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99" ht="12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0" ht="12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1" ht="12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2" ht="12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3" ht="127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4" ht="127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05" ht="103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来源：context/01-互动场景权限规则.md
2. 追溯：业务底稿 LIVE-039。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06" ht="9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07" ht="9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08" ht="10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09" ht="103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10" ht="103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11" ht="127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12" ht="91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113" ht="115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14" ht="115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来源：context/01-互动场景权限规则.md
2. 来源：prototype/pages/user/live/live-room-report.html、live-room-user-report.html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15" ht="10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16" ht="10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17" ht="10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18" ht="11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来源：context/01-用户主播App-角色与用例.md
3. 来源：prototype/Luma Live-原型说明.md
4. 追溯：业务底稿 LIVE-046。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19" ht="115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20" ht="11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21" ht="115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来源：context/01-用户主播App-角色与用例.md
3. 追溯：业务底稿 LIVE-047。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22" ht="115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23" ht="10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24" ht="91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25" ht="91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26" ht="103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27" ht="10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28" ht="10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29" ht="10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0" ht="11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31" ht="11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33" ht="11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34" ht="10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5" ht="103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8" ht="10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140" ht="103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来源：context/01-用户主播App-角色与用例.md
3. 追溯：业务底稿 LIVE-063。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41" ht="10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来源：context/01-用户主播App-角色与用例.md
3. 追溯：业务底稿 LIVE-063。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同步追溯：work/liveshow-user-live-testcases-260831-002/prototype-context-sync-result.json；RSL-0002、RSL-0003
10. 全局证据追溯：work/liveshow-user-live-testcases-260831-002/global-evidence-scan-result.json；扫描模式 full</x:v>
      </x:c>
    </x:row>
    <x:row r="144" ht="13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45" ht="11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46" ht="11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47" ht="91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148" ht="127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49" ht="115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0" ht="11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1" ht="115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2" ht="12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53" ht="12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54" ht="12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55" ht="11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6" ht="11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157" ht="139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
5. 共同业务对象：同一直播场次
6. 流程阶段：开播后的广场入口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158" ht="10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来源：context/01-用户主播App-角色与用例.md
3. 追溯：业务底稿 LIVE-062。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59" ht="115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来源：context/01-用户主播App-角色与用例.md
3. 来源：prototype/assets/annotations.js
4. 追溯：业务底稿 LIVE-064。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60" ht="10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来源：context/01-用户主播App-角色与用例.md
3. 追溯：业务底稿 LIVE-065。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1" ht="10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来源：context/01-用户主播App-角色与用例.md
3. 追溯：业务底稿 LIVE-065。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2" ht="103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追溯：业务底稿 LIVE-065。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3" ht="103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4" ht="103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5" ht="11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来源：对应 HTML 静态原型；未动态验证
4. 追溯：业务底稿 LIVE-067。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66" ht="103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验证单场前三条直播间私信可以发送</x:v>
      </x:c>
      <x:c r="H166" s="5" t="str">
        <x:v>前三条私信发送</x:v>
      </x:c>
      <x:c r="I166" s="5" t="str">
        <x:v>1. 主播正在自己的直播场次
2. 目标观众在线、非好友且双方未拉黑
3. 本场尚未向目标发送直播间私信</x:v>
      </x:c>
      <x:c r="J166" s="5" t="str">
        <x:v>1. 通过目标用户卡连续发送三条私信
2. 再次尝试发送第四条私信</x:v>
      </x:c>
      <x:c r="K166" s="5" t="str">
        <x:v>前三条私信以普通私信样式进入目标主消息列表</x:v>
      </x:c>
      <x:c r="L166" s="5" t="str"/>
      <x:c r="M166" s="5" t="str">
        <x:v>未测</x:v>
      </x:c>
      <x:c r="N166" s="5" t="str"/>
      <x:c r="O166" s="5" t="str">
        <x:v>1. 来源：context/01-用户主播App-角色与用例.md
2. 来源：角色与用例文档的业务口径 10
3. 追溯：业务底稿 LIVE-068。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7" ht="103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验证单场第四条直播间私信被拦截</x:v>
      </x:c>
      <x:c r="H167" s="5" t="str">
        <x:v>第四条私信拦截</x:v>
      </x:c>
      <x:c r="I167" s="5" t="str">
        <x:v>1. 主播正在自己的直播场次
2. 目标观众在线、非好友且双方未拉黑
3. 本场尚未向目标发送直播间私信</x:v>
      </x:c>
      <x:c r="J167" s="5" t="str">
        <x:v>1. 通过目标用户卡连续发送三条私信
2. 再次尝试发送第四条私信</x:v>
      </x:c>
      <x:c r="K167" s="5" t="str">
        <x:v>主播对同一非好友观众发送第 4 条本场私信时，该消息不发送</x:v>
      </x:c>
      <x:c r="L167" s="5" t="str"/>
      <x:c r="M167" s="5" t="str">
        <x:v>未测</x:v>
      </x:c>
      <x:c r="N167" s="5" t="str"/>
      <x:c r="O167" s="5" t="str">
        <x:v>1. 来源：context/01-用户主播App-角色与用例.md
2. 来源：角色与用例文档的业务口径 10
3. 追溯：业务底稿 LIVE-068。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8" ht="103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验证观众可以回复直播间私信</x:v>
      </x:c>
      <x:c r="H168" s="5" t="str">
        <x:v>观众回复私信</x:v>
      </x:c>
      <x:c r="I168" s="5" t="str">
        <x:v>1. 当前直播场次仍在进行
2. 主播已向在线非好友观众发送有效直播间私信
3. 双方未拉黑</x:v>
      </x:c>
      <x:c r="J168" s="5" t="str">
        <x:v>1. 由观众回复该私信
2. 双方继续互发私信</x:v>
      </x:c>
      <x:c r="K168" s="5" t="str">
        <x:v>观众回复消息发送成功</x:v>
      </x:c>
      <x:c r="L168" s="5" t="str"/>
      <x:c r="M168" s="5" t="str">
        <x:v>未测</x:v>
      </x:c>
      <x:c r="N168" s="5" t="str"/>
      <x:c r="O168" s="5" t="str">
        <x:v>1. 来源：context/01-用户主播App-角色与用例.md
2. 来源：context/01-互动场景权限规则.md
3. 追溯：业务底稿 LIVE-069。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69" ht="103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验证回复直播间私信后建立好友关系</x:v>
      </x:c>
      <x:c r="H169" s="5" t="str">
        <x:v>回复后建立好友关系</x:v>
      </x:c>
      <x:c r="I169" s="5" t="str">
        <x:v>1. 当前直播场次仍在进行
2. 主播已向在线非好友观众发送有效直播间私信
3. 双方未拉黑</x:v>
      </x:c>
      <x:c r="J169" s="5" t="str">
        <x:v>1. 由观众回复该私信
2. 双方继续互发私信</x:v>
      </x:c>
      <x:c r="K169" s="5" t="str">
        <x:v>观众回复本场直播间私信后，双方建立好友关系</x:v>
      </x:c>
      <x:c r="L169" s="5" t="str"/>
      <x:c r="M169" s="5" t="str">
        <x:v>未测</x:v>
      </x:c>
      <x:c r="N169" s="5" t="str"/>
      <x:c r="O169" s="5" t="str">
        <x:v>1. 来源：context/01-用户主播App-角色与用例.md
2. 来源：context/01-互动场景权限规则.md
3. 追溯：业务底稿 LIVE-069。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70" ht="103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验证场次结束后非好友不能回复直播间私信</x:v>
      </x:c>
      <x:c r="H170" s="5" t="str">
        <x:v>直播结束后的非好友回复</x:v>
      </x:c>
      <x:c r="I170" s="5" t="str">
        <x:v>1. 主播曾在场次 A 向非好友观众发送直播间私信
2. 场次 A 已结束
3. 观众在场次内未回复且双方仍非好友</x:v>
      </x:c>
      <x:c r="J170" s="5" t="str">
        <x:v>1. 由观众在历史会话中尝试回复该私信</x:v>
      </x:c>
      <x:c r="K170" s="5" t="str">
        <x:v>直播结束后，未建立好友关系的观众不得回复历史直播间私信</x:v>
      </x:c>
      <x:c r="L170" s="5" t="str"/>
      <x:c r="M170" s="5" t="str">
        <x:v>未测</x:v>
      </x:c>
      <x:c r="N170" s="5" t="str"/>
      <x:c r="O170" s="5" t="str">
        <x:v>1. 来源：context/01-用户主播App-角色与用例.md
2. 来源：context/01-互动场景权限规则.md
3. 追溯：业务底稿 LIVE-070。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71" ht="127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2" ht="127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来源：context/01-用户主播App-角色与用例.md
3. 来源：context/01-互动场景权限规则.md
4. 追溯：业务底稿 LIVE-072。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3" ht="115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来源：context/01-用户主播App-角色与用例.md
3. 来源：context/01-互动场景权限规则.md
4. 追溯：业务底稿 LIVE-073。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74" ht="127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5" ht="127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6" ht="127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7" ht="127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来源：context/01-用户主播App-角色与用例.md
3. 来源：context/01-互动场景权限规则.md
4. 追溯：业务底稿 LIVE-074。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78" ht="11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来源：context/01-用户主播App-角色与用例.md
3. 来源：prototype/assets/annotations.js
4. 追溯：业务底稿 LIVE-075。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79" ht="103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来源：context/01-互动场景权限规则.md
3. 追溯：业务底稿 LIVE-076。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80" ht="103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来源：context/01-互动场景权限规则.md
3. 追溯：业务底稿 LIVE-076。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81" ht="10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来源：context/01-互动场景权限规则.md
3. 追溯：业务底稿 LIVE-076。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82" ht="10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来源：context/01-互动场景权限规则.md
3. 追溯：业务底稿 LIVE-077。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83" ht="10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来源：context/01-互动场景权限规则.md
3. 追溯：业务底稿 LIVE-077。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84" ht="115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85" ht="115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来源：context/01-用户主播App-角色与用例.md
2. 来源：context/01-互动场景权限规则.md
3. 追溯：业务底稿 LIVE-078。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86" ht="115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来源：context/01-用户主播App-角色与用例.md
2. 来源：context/01-互动场景权限规则.md
3. 追溯：业务底稿 LIVE-079。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87" ht="115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88" ht="115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89" ht="115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来源：context/01-用户主播App-角色与用例.md
2. 来源：context/01-互动场景权限规则.md
3. 追溯：业务底稿 LIVE-080。
4. 质量修正：按 RCL-0018 执行最小前置条件和单分支检查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90" ht="103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来源：context/01-用户主播App-角色与用例.md
2. 来源：context/01-互动场景权限规则.md
3. 追溯：业务底稿 LIVE-081。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91" ht="103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来源：context/01-用户主播App-角色与用例.md
2. 来源：context/01-互动场景权限规则.md
3. 追溯：业务底稿 LIVE-081。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92" ht="103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来源：context/01-用户主播App-角色与用例.md
2. 来源：context/01-互动场景权限规则.md
3. 追溯：业务底稿 LIVE-081。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93" ht="139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来源：context/01-互动场景权限规则.md
3. 来源：prototype/assets/annotations.js
4. 来源：对应 HTML 静态原型；未动态验证
5. 追溯：业务底稿 LIVE-082。
6. 质量修正：按 RCL-0018 执行最小前置条件和单分支检查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194" ht="10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95" ht="12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196" ht="115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同步追溯：work/liveshow-user-live-testcases-260831-002/prototype-context-sync-result.json；RSL-0002、RSL-0003
10. 全局证据追溯：work/liveshow-user-live-testcases-260831-002/global-evidence-scan-result.json；扫描模式 full</x:v>
      </x:c>
    </x:row>
    <x:row r="198" ht="10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199" ht="10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0" ht="10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1" ht="12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02" ht="10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3" ht="10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4" ht="10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5" ht="10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6" ht="10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7" ht="10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8" ht="10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09" ht="10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10" ht="127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1" ht="103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12" ht="12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3" ht="127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4" ht="91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15" ht="127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6" ht="127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7" ht="91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18" ht="127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19" ht="11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20" ht="11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21" ht="103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来源：context/01-用户主播App-角色与用例.md
2. 来源：context/01-互动场景权限规则.md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22" ht="103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来源：context/01-用户主播App-角色与用例.md
2. 来源：context/01-互动场景权限规则.md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25" ht="115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来源：context/01-用户主播App-角色与用例.md
2. 来源：context/01-互动场景权限规则.md
3. 来源：prototype/assets/annotations.js
4. 追溯：业务底稿 LIVE-042。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26" ht="115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来源：context/01-用户主播App-角色与用例.md
2. 来源：context/01-互动场景权限规则.md
3. 来源：prototype/assets/annotations.js
4. 追溯：业务底稿 LIVE-043。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27" ht="115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来源：context/01-用户主播App-角色与用例.md
2. 来源：context/01-互动场景权限规则.md
3. 来源：prototype/assets/annotations.js
4. 追溯：业务底稿 LIVE-043。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28" ht="115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来源：context/01-用户主播App-角色与用例.md
2. 来源：context/01-互动场景权限规则.md
3. 来源：prototype/assets/annotations.js
4. 追溯：业务底稿 LIVE-043。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30" ht="115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来源：context/01-用户主播App-角色与用例.md
2. 来源：context/01-互动场景权限规则.md
3. 来源：prototype/assets/annotations.js
4. 追溯：业务底稿 LIVE-045。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31" ht="115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来源：context/01-用户主播App-角色与用例.md
2. 来源：context/01-互动场景权限规则.md
3. 来源：prototype/assets/annotations.js
4. 追溯：业务底稿 LIVE-045。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32" ht="115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来源：context/01-用户主播App-角色与用例.md
2. 来源：context/01-互动场景权限规则.md
3. 来源：prototype/assets/annotations.js
4. 追溯：业务底稿 LIVE-045。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41" ht="12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42" ht="127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入口不可用</x:v>
      </x:c>
      <x:c r="H242" s="5" t="str">
        <x:v>密码房 PK 入口状态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来源：context/01-用户主播App-角色与用例.md
3. 来源：prototype/assets/annotations.js
4. 追溯：业务底稿 LIVE-091。
5. 质量修正：按 RCL-0018 执行最小前置条件和单分支检查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43" ht="11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来源：context/01-用户主播App-角色与用例.md
3. 来源：prototype/assets/annotations.js
4. 追溯：业务底稿 LIVE-092。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44" ht="11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45" ht="103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46" ht="115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验证密码房 PK 入口不可用</x:v>
      </x:c>
      <x:c r="H246" s="5" t="str">
        <x:v>密码房 PK 限制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47" ht="10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48" ht="127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49" ht="127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50" ht="127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51" ht="127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52" ht="127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53" ht="115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54" ht="115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55" ht="115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56" ht="91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57" ht="11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58" ht="115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59" ht="103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61" ht="115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62" ht="115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63" ht="127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 LIVE-SESSION-001</x:v>
      </x:c>
      <x:c r="J263" s="5" t="str">
        <x:v>1. 主播确认结束 LIVE-SESSION-001
2. 进入直播记录页
3. 查询 LIVE-SESSION-001</x:v>
      </x:c>
      <x:c r="K263" s="5" t="str">
        <x:v>直播记录列表新增 LIVE-SESSION-001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来源：context/01-用户主播App-角色与用例.md 的结束直播业务结果
2. 来源：context/01-用户主播App-角色与用例.md
3. 流程阶段：主播结束直播后在直播记录模块观察记录生成
4. 共同业务对象：直播场次 LIVE-SESSION-001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同步追溯：work/liveshow-user-live-testcases-260831-002/prototype-context-sync-result.json；RSL-0002、RSL-0003
9. 全局证据追溯：work/liveshow-user-live-testcases-260831-002/global-evidence-scan-result.json；扫描模式 full</x:v>
      </x:c>
    </x:row>
    <x:row r="265" ht="103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66" ht="103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67" ht="139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268" ht="103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69" ht="91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同步追溯：work/liveshow-user-live-testcases-260831-002/prototype-context-sync-result.json；RSL-0002、RSL-0003
3. 全局证据追溯：work/liveshow-user-live-testcases-260831-002/global-evidence-scan-result.json；扫描模式 full</x:v>
      </x:c>
    </x:row>
    <x:row r="270" ht="115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271" ht="103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同步追溯：work/liveshow-user-live-testcases-260831-002/prototype-context-sync-result.json；RSL-0002、RSL-0003
8. 全局证据追溯：work/liveshow-user-live-testcases-260831-002/global-evidence-scan-result.json；扫描模式 full</x:v>
      </x:c>
    </x:row>
    <x:row r="276" ht="127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77" ht="139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78" ht="103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79" ht="139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80" ht="103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81" ht="139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82" ht="103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83" ht="139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84" ht="103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85" ht="139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86" ht="139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87" ht="103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88" ht="103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89" ht="103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90" ht="103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91" ht="103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92" ht="139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93" ht="139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297" ht="103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298" ht="139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02" ht="103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303" ht="103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同步追溯：work/liveshow-user-live-testcases-260831-002/prototype-context-sync-result.json；RSL-0002、RSL-0003
4. 全局证据追溯：work/liveshow-user-live-testcases-260831-002/global-evidence-scan-result.json；扫描模式 full</x:v>
      </x:c>
    </x:row>
    <x:row r="304" ht="115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05" ht="115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06" ht="115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09" ht="139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10" ht="139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11" ht="139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12" ht="139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13" ht="139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17" ht="127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同步追溯：work/liveshow-user-live-testcases-260831-002/prototype-context-sync-result.json；RSL-0002、RSL-0003
5. 全局证据追溯：work/liveshow-user-live-testcases-260831-002/global-evidence-scan-result.json；扫描模式 full</x:v>
      </x:c>
    </x:row>
    <x:row r="318" ht="139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 LIVE-SESSION-001 的本场收益为 100
3. LIVE-SESSION-001 的日期位于当前筛选范围内</x:v>
      </x:c>
      <x:c r="J318" s="5" t="str">
        <x:v>1. 结束 LIVE-SESSION-001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19" ht="139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 LIVE-SESSION-001 的直播时长为 30m
3. LIVE-SESSION-001 的日期位于当前筛选范围内</x:v>
      </x:c>
      <x:c r="J319" s="5" t="str">
        <x:v>1. 结束 LIVE-SESSION-001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0" ht="139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 LIVE-SESSION-001 的日期位于当前筛选范围内</x:v>
      </x:c>
      <x:c r="J320" s="5" t="str">
        <x:v>1. 结束 LIVE-SESSION-001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1" ht="139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 LIVE-SESSION-002 的开播时标题为“深夜聊天局”
2. 主播当前开播设置标题已改为“周末唱歌局”</x:v>
      </x:c>
      <x:c r="J321" s="5" t="str">
        <x:v>1. 进入直播记录页
2. 查看 LIVE-SESSION-002 的标题</x:v>
      </x:c>
      <x:c r="K321" s="5" t="str">
        <x:v>LIVE-SESSION-002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2" ht="139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 LIVE-SESSION-002 的开播时封面为封面 A
2. 主播当前开播设置封面已改为封面 B</x:v>
      </x:c>
      <x:c r="J322" s="5" t="str">
        <x:v>1. 进入直播记录页
2. 查看 LIVE-SESSION-002 的封面</x:v>
      </x:c>
      <x:c r="K322" s="5" t="str">
        <x:v>LIVE-SESSION-002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观众正在观看直播场次 LIVE-ADMIN-001
2. 管理后台中该场次状态为直播中</x:v>
      </x:c>
      <x:c r="J323" s="5" t="str">
        <x:v>1. 管理员在直播详情对 LIVE-ADMIN-001 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共同业务对象：直播场次 LIVE-ADMIN-001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4" ht="127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观众正在观看直播场次 LIVE-ADMIN-001
2. 管理后台中该场次状态为直播中</x:v>
      </x:c>
      <x:c r="J324" s="5" t="str">
        <x:v>1. 管理员在直播详情对 LIVE-ADMIN-001 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共同业务对象：直播场次 LIVE-ADMIN-001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25" ht="127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金币进入门票房场次 LIVE-ADMIN-T01
2. 购票后用户金币余额为 90
3. 管理后台中该场次状态为直播中</x:v>
      </x:c>
      <x:c r="J325" s="5" t="str">
        <x:v>1. 管理员在直播详情对 LIVE-ADMIN-T01 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共同业务对象：门票房场次 LIVE-ADMIN-T01 及本场购票资格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主播 HOST-G01 正在用户 App 直播
2. 平台已开通 HOST-G01 的直播权限
3. 公会端当前直播权限为开启</x:v>
      </x:c>
      <x:c r="J326" s="5" t="str">
        <x:v>1. 公会管理员在主播详情关闭 HOST-G01 的直播权限并确认
2. 查看主播用户 App 的当前直播状态</x:v>
      </x:c>
      <x:c r="K326" s="5" t="str">
        <x:v>HOST-G01 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共同业务对象：主播 HOST-G01 的直播权限及当前直播场次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27" ht="115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主播 HOST-G01 已通过认证
2. 平台已开通 HOST-G01 的直播权限
3. 公会端已关闭 HOST-G01 的直播权限</x:v>
      </x:c>
      <x:c r="J327" s="5" t="str">
        <x:v>1. HOST-G01 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共同业务对象：主播 HOST-G01 的直播权限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28" ht="127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主播账号 HOST-TEST-01 已加入指定测试用户列表
4. HOST-TEST-01 具备直播权限</x:v>
      </x:c>
      <x:c r="J328" s="5" t="str">
        <x:v>1. HOST-TEST-01 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共同业务对象：密码房灰度配置及主播 HOST-TEST-01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29" ht="127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主播账号 HOST-NORMAL-01 不在指定测试用户列表
4. HOST-NORMAL-01 具备直播权限</x:v>
      </x:c>
      <x:c r="J329" s="5" t="str">
        <x:v>1. HOST-NORMAL-01 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共同业务对象：密码房灰度配置及主播 HOST-NORMAL-01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30" ht="127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主播 HOST-NORMAL-01 具备直播权限</x:v>
      </x:c>
      <x:c r="J330" s="5" t="str">
        <x:v>1. HOST-NORMAL-01 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共同业务对象：门票房灰度配置及主播 HOST-NORMAL-01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31" ht="139.5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 GFT-LIVE-01 设置为上架
2. 用户正在观看支持送礼的直播</x:v>
      </x:c>
      <x:c r="J331" s="5" t="str">
        <x:v>1. 用户打开礼物面板
2. 切换到普通礼物分类</x:v>
      </x:c>
      <x:c r="K331" s="5" t="str">
        <x:v>普通礼物列表展示 GFT-LIVE-01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 GFT-LIVE-01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32" ht="127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 GFT-LIVE-02 设置为下架
2. 用户正在观看支持送礼的直播</x:v>
      </x:c>
      <x:c r="J332" s="5" t="str">
        <x:v>1. 用户打开礼物面板
2. 切换到普通礼物分类</x:v>
      </x:c>
      <x:c r="K332" s="5" t="str">
        <x:v>普通礼物列表不展示 GFT-LIVE-02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 GFT-LIVE-02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33" ht="127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 GFT-LIVE-01 的金币单价保存为 20
2. 用户正在观看支持送礼的直播</x:v>
      </x:c>
      <x:c r="J333" s="5" t="str">
        <x:v>1. 用户打开礼物面板
2. 查看 GFT-LIVE-01 的金币价格</x:v>
      </x:c>
      <x:c r="K333" s="5" t="str">
        <x:v>GFT-LIVE-01 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 GFT-LIVE-01
5. 同步追溯：work/liveshow-user-live-testcases-260831-002/prototype-context-sync-result.json；RSL-0002、RSL-0003
6. 全局证据追溯：work/liveshow-user-live-testcases-260831-002/global-evidence-scan-result.json；扫描模式 full</x:v>
      </x:c>
    </x:row>
    <x:row r="334" ht="139.5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运营账号 OP-LIVE-01 已获得虚拟金币
2. OP-LIVE-01 在直播场次 LIVE-OPS-001 赠送价值 100 金币的礼物
3. 赠送前 OP-LIVE-01 在本场贡献值为 0</x:v>
      </x:c>
      <x:c r="J334" s="5" t="str">
        <x:v>1. 用户在 LIVE-OPS-001 打开贡献榜
2. 查看 OP-LIVE-01 的本场贡献值</x:v>
      </x:c>
      <x:c r="K334" s="5" t="str">
        <x:v>OP-LIVE-01 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共同业务对象：运营账号 OP-LIVE-01、直播场次 LIVE-OPS-001 及虚拟礼物记录
6. 同步追溯：work/liveshow-user-live-testcases-260831-002/prototype-context-sync-result.json；RSL-0002、RSL-0003
7. 全局证据追溯：work/liveshow-user-live-testcases-260831-002/global-evidence-scan-result.json；扫描模式 full</x:v>
      </x:c>
    </x:row>
    <x:row r="335" ht="115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 LIVE-OPS-001 的实时收益为 500 金币
2. 运营账号 OP-LIVE-01 已获得虚拟金币</x:v>
      </x:c>
      <x:c r="J335" s="5" t="str">
        <x:v>1. OP-LIVE-01 在 LIVE-OPS-001 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共同业务对象：运营账号 OP-LIVE-01、直播场次 LIVE-OPS-001 及主播实时收益
5. 同步追溯：work/liveshow-user-live-testcases-260831-002/prototype-context-sync-result.json；RSL-0002、RSL-0003
6. 全局证据追溯：work/liveshow-user-live-testcases-260831-002/global-evidence-scan-result.json；扫描模式 full</x:v>
      </x:c>
    </x:row>
  </x:sheetData>
  <x:conditionalFormatting sqref="F2:F335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35">
      <x:formula1>"功能需求,业务流程,逻辑校验,异常用例"</x:formula1>
    </x:dataValidation>
    <x:dataValidation type="list" sqref="F2:F335">
      <x:formula1>"P0,P1,P2,P3"</x:formula1>
    </x:dataValidation>
    <x:dataValidation type="list" sqref="M2:M33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e1b91e3cf34d57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1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8" hidden="0" customWidth="1"/>
    <x:col min="8" max="8" width="22" hidden="1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1" customWidth="1"/>
    <x:col min="15" max="15" width="42" hidden="1" customWidth="1"/>
    <x:col min="16" max="16" width="28" hidden="1" customWidth="1"/>
    <x:col min="17" max="17" width="42" hidden="1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43.5" customHeight="1">
      <x:c r="A37" s="15" t="str">
        <x:v>Q-001-02</x:v>
      </x:c>
      <x:c r="B37" s="19" t="str">
        <x:v>RQ-001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关注主播存在多个同时在播房间</x:v>
      </x:c>
      <x:c r="H37" s="15" t="str">
        <x:v>业务规则</x:v>
      </x:c>
      <x:c r="I37" s="16" t="str">
        <x:v>关注直播列表采用哪一种排序规则？</x:v>
      </x:c>
      <x:c r="J37" s="15" t="str">
        <x:v>A. 沿用热门直播排序规则
B. 按开播时间倒序，开播时间相同按直播间编号升序
C. 按测试环境可读取的关注直播权重配置倒序，权重相同按开播时间倒序</x:v>
      </x:c>
      <x:c r="K37" s="17" t="str">
        <x:v>建议 A；复用现有口径可以减少新增排序规则和跨页面差异。</x:v>
      </x:c>
      <x:c r="L37" s="18" t="str"/>
      <x:c r="M37" s="18" t="str"/>
      <x:c r="N37" s="15" t="str">
        <x:v>1. 项目需求清单写明热门、新人、关注 3 个 Tab
2. 静态原型仅有热门、新人 Tab，关注主播位于顶部独立区域</x:v>
      </x:c>
      <x:c r="O37" s="15" t="str">
        <x:v>1. 关注直播列表
2. 直播广场排序</x:v>
      </x:c>
      <x:c r="P37" s="15" t="str"/>
      <x:c r="Q37" s="15" t="str">
        <x:v>1. 关注直播多房间排序</x:v>
      </x:c>
      <x:c r="R37" s="15" t="str">
        <x:v>产品</x:v>
      </x:c>
      <x:c r="S37" s="15" t="str">
        <x:v>本轮回归前</x:v>
      </x:c>
      <x:c r="T37" s="15" t="str">
        <x:v>待确认</x:v>
      </x:c>
    </x:row>
    <x:row r="38" ht="43.5" customHeight="1">
      <x:c r="A38" s="5" t="str">
        <x:v>Q-001-03</x:v>
      </x:c>
      <x:c r="B38" s="22" t="str">
        <x:v>RQ-001</x:v>
      </x:c>
      <x:c r="C38" s="5" t="str"/>
      <x:c r="D38" s="5" t="str"/>
      <x:c r="E38" s="5" t="str">
        <x:v>不阻塞</x:v>
      </x:c>
      <x:c r="F38" s="5" t="str">
        <x:v>用户App-直播模块</x:v>
      </x:c>
      <x:c r="G38" s="5" t="str">
        <x:v>用户没有任何已关注且正在直播的主播</x:v>
      </x:c>
      <x:c r="H38" s="5" t="str">
        <x:v>交互与文案规则</x:v>
      </x:c>
      <x:c r="I38" s="9" t="str">
        <x:v>关注直播为空时页面采用哪一种展示方式？</x:v>
      </x:c>
      <x:c r="J38" s="5" t="str">
        <x:v>A. 展示空态并提供发现主播入口
B. 展示空态且不提供跳转
C. 直接展示平台推荐直播</x:v>
      </x:c>
      <x:c r="K38" s="10" t="str">
        <x:v>建议 A；既说明当前没有关注直播，也保留可继续浏览的路径。</x:v>
      </x:c>
      <x:c r="L38" s="14" t="str"/>
      <x:c r="M38" s="14" t="str"/>
      <x:c r="N38" s="5" t="str">
        <x:v>1. 项目需求清单写明热门、新人、关注 3 个 Tab
2. 静态原型仅有热门、新人 Tab，关注主播位于顶部独立区域</x:v>
      </x:c>
      <x:c r="O38" s="5" t="str">
        <x:v>1. 关注直播空态</x:v>
      </x:c>
      <x:c r="P38" s="5" t="str"/>
      <x:c r="Q38" s="5" t="str">
        <x:v>1. 关注直播空态
2. 空态操作入口</x:v>
      </x:c>
      <x:c r="R38" s="5" t="str">
        <x:v>多方确认</x:v>
      </x:c>
      <x:c r="S38" s="5" t="str">
        <x:v>版本验收前</x:v>
      </x:c>
      <x:c r="T38" s="5" t="str">
        <x:v>待确认</x:v>
      </x:c>
    </x:row>
    <x:row r="39" ht="55.5" customHeight="1">
      <x:c r="A39" s="15" t="str">
        <x:v>Q-005-01</x:v>
      </x:c>
      <x:c r="B39" s="19" t="str">
        <x:v>RQ-005</x:v>
      </x:c>
      <x:c r="C39" s="15" t="str"/>
      <x:c r="D39" s="15" t="str"/>
      <x:c r="E39" s="15" t="str">
        <x:v>部分阻塞</x:v>
      </x:c>
      <x:c r="F39" s="15" t="str">
        <x:v>用户App-直播模块</x:v>
      </x:c>
      <x:c r="G39" s="15" t="str">
        <x:v>主播开播前选择直播清晰度</x:v>
      </x:c>
      <x:c r="H39" s="15" t="str">
        <x:v>业务规则</x:v>
      </x:c>
      <x:c r="I39" s="16" t="str">
        <x:v>主播开播前可选择哪一组清晰度档位，页面默认选中哪一档？</x:v>
      </x:c>
      <x:c r="J39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39" s="17" t="str">
        <x:v>建议 C；配置是唯一判断依据时，产品选定方案后即可按测试环境实际配置准备用例。</x:v>
      </x:c>
      <x:c r="L39" s="18" t="str"/>
      <x:c r="M39" s="18" t="str"/>
      <x:c r="N39" s="15" t="str">
        <x:v>1. 项目需求要求开播前和观看中支持多档清晰度
2. 当前开播设置原型未展示清晰度控件</x:v>
      </x:c>
      <x:c r="O39" s="15" t="str">
        <x:v>1. 开播设置
2. 推流参数</x:v>
      </x:c>
      <x:c r="P39" s="15" t="str"/>
      <x:c r="Q39" s="15" t="str">
        <x:v>1. 开播清晰度档位
2. 默认清晰度</x:v>
      </x:c>
      <x:c r="R39" s="15" t="str">
        <x:v>多方确认</x:v>
      </x:c>
      <x:c r="S39" s="15" t="str">
        <x:v>本轮回归前</x:v>
      </x:c>
      <x:c r="T39" s="15" t="str">
        <x:v>待确认</x:v>
      </x:c>
    </x:row>
    <x:row r="40" ht="43.5" customHeight="1">
      <x:c r="A40" s="5" t="str">
        <x:v>Q-005-02</x:v>
      </x:c>
      <x:c r="B40" s="22" t="str">
        <x:v>RQ-005</x:v>
      </x:c>
      <x:c r="C40" s="5" t="str"/>
      <x:c r="D40" s="5" t="str"/>
      <x:c r="E40" s="5" t="str">
        <x:v>部分阻塞</x:v>
      </x:c>
      <x:c r="F40" s="5" t="str">
        <x:v>用户App-直播模块</x:v>
      </x:c>
      <x:c r="G40" s="5" t="str">
        <x:v>直播中网络质量发生变化</x:v>
      </x:c>
      <x:c r="H40" s="5" t="str">
        <x:v>流程与状态</x:v>
      </x:c>
      <x:c r="I40" s="9" t="str">
        <x:v>网络变化时清晰度是否自动切换？</x:v>
      </x:c>
      <x:c r="J40" s="5" t="str">
        <x:v>A. 自动降级且网络恢复后自动升级
B. 仅自动降级，恢复由用户选择
C. 始终由用户手动切换</x:v>
      </x:c>
      <x:c r="K40" s="10" t="str">
        <x:v>建议 B；优先保证播放连续性，同时避免恢复时频繁自动切换。</x:v>
      </x:c>
      <x:c r="L40" s="14" t="str"/>
      <x:c r="M40" s="14" t="str"/>
      <x:c r="N40" s="5" t="str">
        <x:v>1. 项目需求要求开播前和观看中支持多档清晰度
2. 当前开播设置原型未展示清晰度控件</x:v>
      </x:c>
      <x:c r="O40" s="5" t="str">
        <x:v>1. 观看中清晰度切换
2. 断流恢复</x:v>
      </x:c>
      <x:c r="P40" s="5" t="str"/>
      <x:c r="Q40" s="5" t="str">
        <x:v>1. 补充或重审：直播中网络质量发生变化</x:v>
      </x:c>
      <x:c r="R40" s="5" t="str">
        <x:v>多方确认</x:v>
      </x:c>
      <x:c r="S40" s="5" t="str">
        <x:v>本轮回归前</x:v>
      </x:c>
      <x:c r="T40" s="5" t="str">
        <x:v>待确认</x:v>
      </x:c>
    </x:row>
    <x:row r="41" ht="43.5" customHeight="1">
      <x:c r="A41" s="15" t="str">
        <x:v>Q-013-01</x:v>
      </x:c>
      <x:c r="B41" s="19" t="str">
        <x:v>RQ-013</x:v>
      </x:c>
      <x:c r="C41" s="15" t="str"/>
      <x:c r="D41" s="15" t="str"/>
      <x:c r="E41" s="15" t="str">
        <x:v>部分阻塞</x:v>
      </x:c>
      <x:c r="F41" s="15" t="str">
        <x:v>用户App-直播模块</x:v>
      </x:c>
      <x:c r="G41" s="15" t="str">
        <x:v>同一举报人短时间内重复提交举报</x:v>
      </x:c>
      <x:c r="H41" s="15" t="str">
        <x:v>业务规则</x:v>
      </x:c>
      <x:c r="I41" s="16" t="str">
        <x:v>同一举报人对同一直播对象重复举报时，允许再次提交的时间边界是什么？</x:v>
      </x:c>
      <x:c r="J41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1" s="17" t="str">
        <x:v>建议 A；能减少同一事件的短时重复记录，同时保留后续重新举报入口。</x:v>
      </x:c>
      <x:c r="L41" s="18" t="str"/>
      <x:c r="M41" s="18" t="str"/>
      <x:c r="N41" s="15" t="str">
        <x:v>1. 原型支持五类举报原因和 200 字补充说明
2. 需求只说明举报联动后台审核处置</x:v>
      </x:c>
      <x:c r="O41" s="15" t="str">
        <x:v>1. 直播间举报
2. 用户举报</x:v>
      </x:c>
      <x:c r="P41" s="15" t="str"/>
      <x:c r="Q41" s="15" t="str">
        <x:v>1. 重复举报频控</x:v>
      </x:c>
      <x:c r="R41" s="15" t="str">
        <x:v>产品</x:v>
      </x:c>
      <x:c r="S41" s="15" t="str">
        <x:v>本轮回归前</x:v>
      </x:c>
      <x:c r="T41" s="15" t="str">
        <x:v>待确认</x:v>
      </x:c>
    </x:row>
    <x:row r="42" ht="43.5" customHeight="1">
      <x:c r="A42" s="5" t="str">
        <x:v>Q-013-02</x:v>
      </x:c>
      <x:c r="B42" s="22" t="str">
        <x:v>RQ-013</x:v>
      </x:c>
      <x:c r="C42" s="5" t="str"/>
      <x:c r="D42" s="5" t="str"/>
      <x:c r="E42" s="5" t="str">
        <x:v>部分阻塞</x:v>
      </x:c>
      <x:c r="F42" s="5" t="str">
        <x:v>用户App-直播模块</x:v>
      </x:c>
      <x:c r="G42" s="5" t="str">
        <x:v>同一用户对同一对象重复举报</x:v>
      </x:c>
      <x:c r="H42" s="5" t="str">
        <x:v>流程与状态</x:v>
      </x:c>
      <x:c r="I42" s="9" t="str">
        <x:v>重复举报记录采用哪一种合并方式？</x:v>
      </x:c>
      <x:c r="J42" s="5" t="str">
        <x:v>A. 合并到原工单并累计次数
B. 每次生成独立工单
C. 拒绝重复举报且不新增记录</x:v>
      </x:c>
      <x:c r="K42" s="10" t="str">
        <x:v>建议 A；后台可以看到举报热度，又不会产生大量重复工单。</x:v>
      </x:c>
      <x:c r="L42" s="14" t="str"/>
      <x:c r="M42" s="14" t="str"/>
      <x:c r="N42" s="5" t="str">
        <x:v>1. 原型支持五类举报原因和 200 字补充说明
2. 需求只说明举报联动后台审核处置</x:v>
      </x:c>
      <x:c r="O42" s="5" t="str">
        <x:v>1. 举报工单
2. 后台审核</x:v>
      </x:c>
      <x:c r="P42" s="5" t="str"/>
      <x:c r="Q42" s="5" t="str">
        <x:v>1. 重复举报记录</x:v>
      </x:c>
      <x:c r="R42" s="5" t="str">
        <x:v>多方确认</x:v>
      </x:c>
      <x:c r="S42" s="5" t="str">
        <x:v>本轮回归前</x:v>
      </x:c>
      <x:c r="T42" s="5" t="str">
        <x:v>待确认</x:v>
      </x:c>
    </x:row>
    <x:row r="43" ht="43.5" customHeight="1">
      <x:c r="A43" s="5" t="str">
        <x:v>Q-013-03</x:v>
      </x:c>
      <x:c r="B43" s="22" t="str">
        <x:v>RQ-013</x:v>
      </x:c>
      <x:c r="C43" s="5" t="str"/>
      <x:c r="D43" s="5" t="str"/>
      <x:c r="E43" s="5" t="str">
        <x:v>不阻塞</x:v>
      </x:c>
      <x:c r="F43" s="5" t="str">
        <x:v>用户App-直播模块</x:v>
      </x:c>
      <x:c r="G43" s="5" t="str">
        <x:v>举报人需要补充文字之外的证据</x:v>
      </x:c>
      <x:c r="H43" s="5" t="str">
        <x:v>需求范围</x:v>
      </x:c>
      <x:c r="I43" s="9" t="str">
        <x:v>当前版本举报是否支持上传附件？</x:v>
      </x:c>
      <x:c r="J43" s="5" t="str">
        <x:v>A. 当前版本不支持附件
B. 支持图片附件
C. 支持图片和视频附件</x:v>
      </x:c>
      <x:c r="K43" s="10" t="str">
        <x:v>建议 A；当前原型没有附件入口，可将附件能力作为后续独立需求。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举报表单
2. 举报证据</x:v>
      </x:c>
      <x:c r="P43" s="5" t="str"/>
      <x:c r="Q43" s="5" t="str">
        <x:v>1. 举报附件入口和上传</x:v>
      </x:c>
      <x:c r="R43" s="5" t="str">
        <x:v>产品</x:v>
      </x:c>
      <x:c r="S43" s="5" t="str">
        <x:v>版本验收前</x:v>
      </x:c>
      <x:c r="T43" s="5" t="str">
        <x:v>待确认</x:v>
      </x:c>
    </x:row>
    <x:row r="44" ht="43.5" customHeight="1">
      <x:c r="A44" s="5" t="str">
        <x:v>Q-013-04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后台完成举报工单处置</x:v>
      </x:c>
      <x:c r="H44" s="5" t="str">
        <x:v>跨端与跨模块一致性</x:v>
      </x:c>
      <x:c r="I44" s="9" t="str">
        <x:v>举报处置结果是否通知举报人？</x:v>
      </x:c>
      <x:c r="J44" s="5" t="str">
        <x:v>A. 通知最终处置结果
B. 仅通知工单已受理
C. 不向举报人回告</x:v>
      </x:c>
      <x:c r="K44" s="10" t="str">
        <x:v>建议 B；确认平台已处理请求，同时避免暴露具体处罚细节。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后台审核
2. App 通知</x:v>
      </x:c>
      <x:c r="P44" s="5" t="str"/>
      <x:c r="Q44" s="5" t="str">
        <x:v>1. 举报受理通知
2. 举报结果通知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15" t="str">
        <x:v>Q-016</x:v>
      </x:c>
      <x:c r="B45" s="19" t="str">
        <x:v>RQ-016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主播和观众删除好友后进入后续直播场次</x:v>
      </x:c>
      <x:c r="H45" s="15" t="str">
        <x:v>业务规则</x:v>
      </x:c>
      <x:c r="I45" s="16" t="str">
        <x:v>主播在后续直播场次是否可以再次发起直播间私信？</x:v>
      </x:c>
      <x:c r="J45" s="15" t="str">
        <x:v>A. 下一场直播可以重新发起
B. 删除好友后持续禁止，直到重新成为好友
C. 当前场次禁止，经过新的自然日后恢复</x:v>
      </x:c>
      <x:c r="K45" s="17" t="str">
        <x:v>建议 A；直播间私信属于场次经营能力，完全阻断可由账号拉黑承担。</x:v>
      </x:c>
      <x:c r="L45" s="18" t="str"/>
      <x:c r="M45" s="18" t="str"/>
      <x:c r="N45" s="15" t="str">
        <x:v>1. 角色与用例文档将删除好友后的后续场次私信保留为待确认
2. 完全阻断关系已有账号拉黑能力</x:v>
      </x:c>
      <x:c r="O45" s="15" t="str">
        <x:v>1. 直播间私信
2. 好友关系</x:v>
      </x:c>
      <x:c r="P45" s="15" t="str"/>
      <x:c r="Q45" s="15" t="str">
        <x:v>1. 删除好友后的后续场次私信</x:v>
      </x:c>
      <x:c r="R45" s="15" t="str">
        <x:v>产品</x:v>
      </x:c>
      <x:c r="S45" s="15" t="str">
        <x:v>本轮回归前</x:v>
      </x:c>
      <x:c r="T45" s="15" t="str">
        <x:v>待确认</x:v>
      </x:c>
    </x:row>
    <x:row r="46" ht="43.5" customHeight="1">
      <x:c r="A46" s="15" t="str">
        <x:v>Q-017-01</x:v>
      </x:c>
      <x:c r="B46" s="19" t="str">
        <x:v>RQ-017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主播从本地选择直播封面文件</x:v>
      </x:c>
      <x:c r="H46" s="15" t="str">
        <x:v>字段与数据校验</x:v>
      </x:c>
      <x:c r="I46" s="16" t="str">
        <x:v>主播上传直播封面时，允许的文件格式和单个文件大小上限采用哪一组完整规则？</x:v>
      </x:c>
      <x:c r="J46" s="15" t="str">
        <x:v>A. 仅 JPG、PNG，单个文件不超过 5 MB
B. 支持 JPG、PNG、WebP，单个文件不超过 10 MB
C. 文件格式和大小上限均以测试环境可读取的后台配置为准</x:v>
      </x:c>
      <x:c r="K46" s="17" t="str">
        <x:v>建议 A；候选格式常见且大小边界明确，选中后可以直接形成等价类和边界用例。</x:v>
      </x:c>
      <x:c r="L46" s="18" t="str"/>
      <x:c r="M46" s="18" t="str"/>
      <x:c r="N46" s="15" t="str">
        <x:v>1. 需求要求设置直播封面
2. 静态原型只限制 image/*，没有业务校验</x:v>
      </x:c>
      <x:c r="O46" s="15" t="str">
        <x:v>1. 开播封面上传</x:v>
      </x:c>
      <x:c r="P46" s="15" t="str"/>
      <x:c r="Q46" s="15" t="str">
        <x:v>1. 封面格式和大小边界</x:v>
      </x:c>
      <x:c r="R46" s="15" t="str">
        <x:v>多方确认</x:v>
      </x:c>
      <x:c r="S46" s="15" t="str">
        <x:v>本轮回归前</x:v>
      </x:c>
      <x:c r="T46" s="15" t="str">
        <x:v>待确认</x:v>
      </x:c>
    </x:row>
    <x:row r="47" ht="55.5" customHeight="1">
      <x:c r="A47" s="5" t="str">
        <x:v>Q-017-02</x:v>
      </x:c>
      <x:c r="B47" s="22" t="str">
        <x:v>RQ-017</x:v>
      </x:c>
      <x:c r="C47" s="5" t="str"/>
      <x:c r="D47" s="5" t="str"/>
      <x:c r="E47" s="5" t="str">
        <x:v>部分阻塞</x:v>
      </x:c>
      <x:c r="F47" s="5" t="str">
        <x:v>用户App-直播模块</x:v>
      </x:c>
      <x:c r="G47" s="5" t="str">
        <x:v>主播上传不同尺寸或比例的直播封面</x:v>
      </x:c>
      <x:c r="H47" s="5" t="str">
        <x:v>业务规则</x:v>
      </x:c>
      <x:c r="I47" s="9" t="str">
        <x:v>不符合目标比例的封面采用哪一种处理？</x:v>
      </x:c>
      <x:c r="J47" s="5" t="str">
        <x:v>A. 进入裁剪页后保存
B. 自动居中裁剪
C. 拒绝上传并提示目标比例
D. 保持原图比例展示</x:v>
      </x:c>
      <x:c r="K47" s="10" t="str">
        <x:v>建议 A；主播可以确认最终展示区域，减少关键内容被自动截断。</x:v>
      </x:c>
      <x:c r="L47" s="14" t="str"/>
      <x:c r="M47" s="14" t="str"/>
      <x:c r="N47" s="5" t="str">
        <x:v>1. 需求要求设置直播封面
2. 静态原型只限制 image/*，没有业务校验</x:v>
      </x:c>
      <x:c r="O47" s="5" t="str">
        <x:v>1. 封面尺寸
2. 封面裁剪</x:v>
      </x:c>
      <x:c r="P47" s="5" t="str"/>
      <x:c r="Q47" s="5" t="str">
        <x:v>1. 封面尺寸和比例</x:v>
      </x:c>
      <x:c r="R47" s="5" t="str">
        <x:v>多方确认</x:v>
      </x:c>
      <x:c r="S47" s="5" t="str">
        <x:v>本轮回归前</x:v>
      </x:c>
      <x:c r="T47" s="5" t="str">
        <x:v>待确认</x:v>
      </x:c>
    </x:row>
    <x:row r="48" ht="43.5" customHeight="1">
      <x:c r="A48" s="5" t="str">
        <x:v>Q-017-03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直播封面命中内容审核规则</x:v>
      </x:c>
      <x:c r="H48" s="5" t="str">
        <x:v>流程与状态</x:v>
      </x:c>
      <x:c r="I48" s="9" t="str">
        <x:v>封面审核不通过时采用哪一种业务结果？</x:v>
      </x:c>
      <x:c r="J48" s="5" t="str">
        <x:v>A. 不允许开播并要求更换封面
B. 使用平台默认封面继续开播
C. 允许开播后进入人工审核</x:v>
      </x:c>
      <x:c r="K48" s="10" t="str">
        <x:v>建议 A；违规封面不会先进入直播广场。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封面审核
2. 开始直播</x:v>
      </x:c>
      <x:c r="P48" s="5" t="str"/>
      <x:c r="Q48" s="5" t="str">
        <x:v>1. 封面审核失败
2. 开播拦截</x:v>
      </x:c>
      <x:c r="R48" s="5" t="str">
        <x:v>产品</x:v>
      </x:c>
      <x:c r="S48" s="5" t="str">
        <x:v>本轮回归前</x:v>
      </x:c>
      <x:c r="T48" s="5" t="str">
        <x:v>待确认</x:v>
      </x:c>
    </x:row>
    <x:row r="49" ht="43.5" customHeight="1">
      <x:c r="A49" s="15" t="str">
        <x:v>Q-021-01</x:v>
      </x:c>
      <x:c r="B49" s="19" t="str">
        <x:v>RQ-021</x:v>
      </x:c>
      <x:c r="C49" s="15" t="str"/>
      <x:c r="D49" s="15" t="str"/>
      <x:c r="E49" s="15" t="str">
        <x:v>部分阻塞</x:v>
      </x:c>
      <x:c r="F49" s="15" t="str">
        <x:v>用户App-直播模块</x:v>
      </x:c>
      <x:c r="G49" s="15" t="str">
        <x:v>主播或房管成功禁言目标观众后，目标观众仍停留在直播间并准备发送评论</x:v>
      </x:c>
      <x:c r="H49" s="15" t="str">
        <x:v>跨端与跨模块一致性</x:v>
      </x:c>
      <x:c r="I49" s="16" t="str">
        <x:v>禁言成功后，目标观众端从哪个动作开始不能发送评论？</x:v>
      </x:c>
      <x:c r="J4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49" s="17" t="str">
        <x:v>建议 B；管理操作成功后，目标观众无需先发送一条失败评论就能看到限制。</x:v>
      </x:c>
      <x:c r="L49" s="18" t="str"/>
      <x:c r="M49" s="18" t="str"/>
      <x:c r="N49" s="15" t="str">
        <x:v>1. 需求明确禁言、踢出、拉黑和房管变更的业务作用域
2. 原型展示主播或房管侧操作入口</x:v>
      </x:c>
      <x:c r="O49" s="15" t="str">
        <x:v>1. 被禁言观众的评论输入区
2. 被禁言观众的发送动作
3. 主播和房管查看的观众管理状态</x:v>
      </x:c>
      <x:c r="P49" s="15" t="str"/>
      <x:c r="Q49" s="15" t="str">
        <x:v>1. 补充或重审：主播或房管成功禁言目标观众后，目标观众仍停留在直播间并准备发送评论</x:v>
      </x:c>
      <x:c r="R49" s="15" t="str">
        <x:v>多方确认</x:v>
      </x:c>
      <x:c r="S49" s="15" t="str">
        <x:v>本轮回归前</x:v>
      </x:c>
      <x:c r="T49" s="15" t="str">
        <x:v>待确认</x:v>
      </x:c>
    </x:row>
    <x:row r="50" ht="43.5" customHeight="1">
      <x:c r="A50" s="5" t="str">
        <x:v>Q-021-02</x:v>
      </x:c>
      <x:c r="B50" s="22" t="str">
        <x:v>RQ-021</x:v>
      </x:c>
      <x:c r="C50" s="5" t="str"/>
      <x:c r="D50" s="5" t="str"/>
      <x:c r="E50" s="5" t="str">
        <x:v>部分阻塞</x:v>
      </x:c>
      <x:c r="F50" s="5" t="str">
        <x:v>用户App-直播模块</x:v>
      </x:c>
      <x:c r="G50" s="5" t="str">
        <x:v>主播或房管成功踢出目标观众，或主播把目标观众加入允许的黑名单</x:v>
      </x:c>
      <x:c r="H50" s="5" t="str">
        <x:v>跨端与跨模块一致性</x:v>
      </x:c>
      <x:c r="I50" s="9" t="str">
        <x:v>操作成功后，目标观众何时离开当前直播间并被限制再次进入？</x:v>
      </x:c>
      <x:c r="J50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0" s="10" t="str">
        <x:v>建议 A；当前场次限制和后续进房限制都有明确的观察时点。</x:v>
      </x:c>
      <x:c r="L50" s="14" t="str"/>
      <x:c r="M50" s="14" t="str"/>
      <x:c r="N50" s="5" t="str">
        <x:v>1. 需求明确禁言、踢出、拉黑和房管变更的业务作用域
2. 原型展示主播或房管侧操作入口</x:v>
      </x:c>
      <x:c r="O50" s="5" t="str">
        <x:v>1. 被踢或被拉黑观众的当前观看页
2. 目标观众再次进房
3. 主播和房管查看的观众管理状态</x:v>
      </x:c>
      <x:c r="P50" s="5" t="str"/>
      <x:c r="Q50" s="5" t="str">
        <x:v>1. 补充或重审：主播或房管成功踢出目标观众，或主播把目标观众加入允许的黑名单</x:v>
      </x:c>
      <x:c r="R50" s="5" t="str">
        <x:v>多方确认</x:v>
      </x:c>
      <x:c r="S50" s="5" t="str">
        <x:v>本轮回归前</x:v>
      </x:c>
      <x:c r="T50" s="5" t="str">
        <x:v>待确认</x:v>
      </x:c>
    </x:row>
    <x:row r="51" ht="43.5" customHeight="1">
      <x:c r="A51" s="5" t="str">
        <x:v>Q-021-03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主播在直播中新增或取消目标用户的长期房管身份</x:v>
      </x:c>
      <x:c r="H51" s="5" t="str">
        <x:v>跨端与跨模块一致性</x:v>
      </x:c>
      <x:c r="I51" s="9" t="str">
        <x:v>操作成功后，目标用户从何时开始获得或失去房管操作权限？</x:v>
      </x:c>
      <x:c r="J51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1" s="10" t="str">
        <x:v>建议 A；与长期房管关系的业务定义一致，主播操作后可立即使用。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目标用户当前直播的房管入口
2. 目标用户当前直播的管理权限
3. 目标用户后续直播的房管身份</x:v>
      </x:c>
      <x:c r="P51" s="5" t="str"/>
      <x:c r="Q51" s="5" t="str">
        <x:v>1. 补充或重审：主播在直播中新增或取消目标用户的长期房管身份</x:v>
      </x:c>
      <x:c r="R51" s="5" t="str">
        <x:v>产品</x:v>
      </x:c>
      <x:c r="S51" s="5" t="str">
        <x:v>本轮回归前</x:v>
      </x:c>
      <x:c r="T51" s="5" t="str">
        <x:v>待确认</x:v>
      </x:c>
    </x:row>
    <x:row r="52" ht="43.5" customHeight="1">
      <x:c r="A52" s="15" t="str">
        <x:v>Q-023-01</x:v>
      </x:c>
      <x:c r="B52" s="19" t="str">
        <x:v>RQ-023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连麦邀请长期未被受邀主播处理</x:v>
      </x:c>
      <x:c r="H52" s="15" t="str">
        <x:v>流程与状态</x:v>
      </x:c>
      <x:c r="I52" s="16" t="str">
        <x:v>受邀主播未处理连麦邀请时，邀请在什么具体条件下失效？</x:v>
      </x:c>
      <x:c r="J52" s="15" t="str">
        <x:v>A. 发出 30 秒后自动失效
B. 发出 60 秒后自动失效
C. 不按时间失效，仅在发起方取消、任一方结束直播或离线、房型不再支持连麦时失效</x:v>
      </x:c>
      <x:c r="K52" s="17" t="str">
        <x:v>建议 C；是否可继续连麦直接由双方状态和房型决定，不需要猜测未定义的等待秒数。</x:v>
      </x:c>
      <x:c r="L52" s="18" t="str"/>
      <x:c r="M52" s="18" t="str"/>
      <x:c r="N52" s="15" t="str">
        <x:v>1. 原型支持发出、取消、接受、拒绝和同时收到多条连麦邀请
2. 需求只限定在线、权限、普通房和两人上限</x:v>
      </x:c>
      <x:c r="O52" s="15" t="str">
        <x:v>1. 发出邀请
2. 收到邀请</x:v>
      </x:c>
      <x:c r="P52" s="15" t="str"/>
      <x:c r="Q52" s="15" t="str">
        <x:v>1. 邀请失效</x:v>
      </x:c>
      <x:c r="R52" s="15" t="str">
        <x:v>产品</x:v>
      </x:c>
      <x:c r="S52" s="15" t="str">
        <x:v>本轮回归前</x:v>
      </x:c>
      <x:c r="T52" s="15" t="str">
        <x:v>待确认</x:v>
      </x:c>
    </x:row>
    <x:row r="53" ht="43.5" customHeight="1">
      <x:c r="A53" s="5" t="str">
        <x:v>Q-023-02</x:v>
      </x:c>
      <x:c r="B53" s="22" t="str">
        <x:v>RQ-023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邀请等待期间任一主播离线或结束直播</x:v>
      </x:c>
      <x:c r="H53" s="5" t="str">
        <x:v>流程与状态</x:v>
      </x:c>
      <x:c r="I53" s="9" t="str">
        <x:v>主播离线或结束直播后待处理邀请如何变化？</x:v>
      </x:c>
      <x:c r="J53" s="5" t="str">
        <x:v>A. 与离线或结束直播一方相关的待处理邀请立即关闭
B. 待处理邀请保留至 Q-023-01 选定的时间到期，期间不能接受
C. 对方重新开播后恢复原邀请并允许继续处理</x:v>
      </x:c>
      <x:c r="K53" s="10" t="str">
        <x:v>建议 A；双方已经不满足连麦前置条件，保留邀请容易产生迟到处理。</x:v>
      </x:c>
      <x:c r="L53" s="14" t="str"/>
      <x:c r="M53" s="14" t="str"/>
      <x:c r="N53" s="5" t="str">
        <x:v>1. 原型支持发出、取消、接受、拒绝和同时收到多条连麦邀请
2. 需求只限定在线、权限、普通房和两人上限</x:v>
      </x:c>
      <x:c r="O53" s="5" t="str">
        <x:v>1. 主播在线状态
2. 直播场次
3. 连麦邀请</x:v>
      </x:c>
      <x:c r="P53" s="5" t="str"/>
      <x:c r="Q53" s="5" t="str">
        <x:v>1. 邀请期间结束直播</x:v>
      </x:c>
      <x:c r="R53" s="5" t="str">
        <x:v>产品</x:v>
      </x:c>
      <x:c r="S53" s="5" t="str">
        <x:v>本轮回归前</x:v>
      </x:c>
      <x:c r="T53" s="5" t="str">
        <x:v>待确认</x:v>
      </x:c>
    </x:row>
    <x:row r="54" ht="43.5" customHeight="1">
      <x:c r="A54" s="5" t="str">
        <x:v>Q-023-03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邀请等待期间任一直播间切换为门票房或密码房</x:v>
      </x:c>
      <x:c r="H54" s="5" t="str">
        <x:v>流程与状态</x:v>
      </x:c>
      <x:c r="I54" s="9" t="str">
        <x:v>房型变为不支持连麦后待处理邀请如何变化？</x:v>
      </x:c>
      <x:c r="J54" s="5" t="str">
        <x:v>A. 邀请立即关闭
B. 保留邀请但禁止接受
C. 房型恢复普通房后继续处理</x:v>
      </x:c>
      <x:c r="K54" s="10" t="str">
        <x:v>建议 A；特殊房型不支持连麦，关闭邀请可以保持状态一致。</x:v>
      </x:c>
      <x:c r="L54" s="14" t="str"/>
      <x:c r="M54" s="14" t="str"/>
      <x:c r="N54" s="5" t="str">
        <x:v>1. 原型支持发出、取消、接受、拒绝和同时收到多条连麦邀请
2. 需求只限定在线、权限、普通房和两人上限</x:v>
      </x:c>
      <x:c r="O54" s="5" t="str">
        <x:v>1. 房型变更
2. 连麦邀请</x:v>
      </x:c>
      <x:c r="P54" s="5" t="str"/>
      <x:c r="Q54" s="5" t="str">
        <x:v>1. 补充或重审：邀请等待期间任一直播间切换为门票房或密码房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Q-023-04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主播几乎同时处理多条邀请或收到迟到响应</x:v>
      </x:c>
      <x:c r="H55" s="5" t="str">
        <x:v>流程与状态</x:v>
      </x:c>
      <x:c r="I55" s="9" t="str">
        <x:v>多条连麦邀请几乎同时被接受时，系统最终应保留哪一个连麦关系？</x:v>
      </x:c>
      <x:c r="J55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5" s="10" t="str">
        <x:v>建议 A；两人上限下只保留第一条成功关系，最终结果唯一且可观察。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多条收到邀请
2. 两人连麦上限
3. 迟到响应</x:v>
      </x:c>
      <x:c r="P55" s="5" t="str"/>
      <x:c r="Q55" s="5" t="str">
        <x:v>1. 并发接受邀请</x:v>
      </x:c>
      <x:c r="R55" s="5" t="str">
        <x:v>多方确认</x:v>
      </x:c>
      <x:c r="S55" s="5" t="str">
        <x:v>本轮回归前</x:v>
      </x:c>
      <x:c r="T55" s="5" t="str">
        <x:v>待确认</x:v>
      </x:c>
    </x:row>
    <x:row r="56" ht="43.5" customHeight="1">
      <x:c r="A56" s="15" t="str">
        <x:v>Q-025</x:v>
      </x:c>
      <x:c r="B56" s="19" t="str">
        <x:v>RQ-025</x:v>
      </x:c>
      <x:c r="C56" s="15" t="str"/>
      <x:c r="D56" s="15" t="str"/>
      <x:c r="E56" s="15" t="str">
        <x:v>部分阻塞</x:v>
      </x:c>
      <x:c r="F56" s="15" t="str">
        <x:v>用户App-直播模块</x:v>
      </x:c>
      <x:c r="G56" s="15" t="str">
        <x:v>主播在直播中点击清屏，主播端当前互动消息被移除</x:v>
      </x:c>
      <x:c r="H56" s="15" t="str">
        <x:v>跨端与跨模块一致性</x:v>
      </x:c>
      <x:c r="I56" s="16" t="str">
        <x:v>主播清屏后，观众端的当前公屏应采用哪一种结果？</x:v>
      </x:c>
      <x:c r="J56" s="15" t="str">
        <x:v>A. 所有在线观众的当前公屏同步清空
B. 仅主播端本地清空，观众端保留原消息
C. 在线观众保留原消息，清屏后新进观众仅看到清屏后的消息</x:v>
      </x:c>
      <x:c r="K56" s="17" t="str">
        <x:v>建议 A；清屏作为主播管理动作时，全部在线观众一致更易理解和验收。</x:v>
      </x:c>
      <x:c r="L56" s="18" t="str"/>
      <x:c r="M56" s="18" t="str"/>
      <x:c r="N56" s="15" t="str">
        <x:v>1. 原型脚本只能观察到主播当前页面移除互动消息
2. 最新需求未明确观众端的清屏范围</x:v>
      </x:c>
      <x:c r="O56" s="15" t="str">
        <x:v>1. 主播直播间清屏
2. 在线观众公屏
3. 清屏后新进观众公屏</x:v>
      </x:c>
      <x:c r="P56" s="15" t="str"/>
      <x:c r="Q56" s="15" t="str">
        <x:v>1. 主播清屏后的观众端结果</x:v>
      </x:c>
      <x:c r="R56" s="15" t="str">
        <x:v>产品</x:v>
      </x:c>
      <x:c r="S56" s="15" t="str">
        <x:v>进入对应功能测试前</x:v>
      </x:c>
      <x:c r="T56" s="15" t="str">
        <x:v>待确认</x:v>
      </x:c>
    </x:row>
    <x:row r="57" ht="43.5" customHeight="1">
      <x:c r="A57" s="15" t="str">
        <x:v>Q-026</x:v>
      </x:c>
      <x:c r="B57" s="19" t="str">
        <x:v>RQ-026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主播在主播中心点击“直播记录”工具入口</x:v>
      </x:c>
      <x:c r="H57" s="15" t="str">
        <x:v>流程与状态</x:v>
      </x:c>
      <x:c r="I57" s="16" t="str">
        <x:v>主播中心的“直播记录”入口点击后应执行哪一种结果？</x:v>
      </x:c>
      <x:c r="J57" s="15" t="str">
        <x:v>A. 直接进入直播记录页
B. 先进入直播数据页，再由主播选择日数据进入直播记录页
C. 从主播中心移除直播记录入口</x:v>
      </x:c>
      <x:c r="K57" s="17" t="str">
        <x:v>建议 A；直播记录已作为主播中心独立页面登记，直接进入路径最短，也符合工具入口的用户预期。</x:v>
      </x:c>
      <x:c r="L57" s="18" t="str"/>
      <x:c r="M57" s="18" t="str"/>
      <x:c r="N57" s="15" t="str">
        <x:v>1. 主播中心展示“直播记录”工具入口
2. 当前按钮仅提示“进入直播记录”，没有页面跳转
3. 直播记录页已在页面树独立登记</x:v>
      </x:c>
      <x:c r="O57" s="15" t="str">
        <x:v>1. 用户 App 主播中心
2. 直播记录入口
3. 主播返回路径</x:v>
      </x:c>
      <x:c r="P57" s="15" t="str">
        <x:v>1. LIVE-269
2. LIVE-270</x:v>
      </x:c>
      <x:c r="Q57" s="15" t="str">
        <x:v>1. 主播中心直播记录入口</x:v>
      </x:c>
      <x:c r="R57" s="15" t="str">
        <x:v>产品</x:v>
      </x:c>
      <x:c r="S57" s="15" t="str">
        <x:v>进入直播记录功能测试前</x:v>
      </x:c>
      <x:c r="T57" s="15" t="str">
        <x:v>待确认</x:v>
      </x:c>
    </x:row>
    <x:row r="58" ht="55.5" customHeight="1">
      <x:c r="A58" s="15" t="str">
        <x:v>Q-027</x:v>
      </x:c>
      <x:c r="B58" s="19" t="str">
        <x:v>RQ-027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主播首次进入直播记录页，系统计算默认近 7 天范围</x:v>
      </x:c>
      <x:c r="H58" s="15" t="str">
        <x:v>计算与统计口径</x:v>
      </x:c>
      <x:c r="I58" s="16" t="str">
        <x:v>默认“近 7 天”采用哪一种起止范围？</x:v>
      </x:c>
      <x:c r="J58" s="15" t="str">
        <x:v>A. 包含当天及前 6 个自然日，共 7 个自然日
B. 包含当天及前 7 个自然日，共 8 个自然日
C. 从进入页面时刻向前滚动 168 小时</x:v>
      </x:c>
      <x:c r="K58" s="17" t="str">
        <x:v>建议 A；自然日口径便于主播理解，列表和三项汇总也能使用同一日期边界。</x:v>
      </x:c>
      <x:c r="L58" s="18" t="str">
        <x:v>A</x:v>
      </x:c>
      <x:c r="M58" s="18" t="str">
        <x:v>按 RCL-0019，以原型批注“默认近 7 天”为准；采用当天及前 6 个自然日，共 7 个自然日。页面或 Mock 示例日期不作为默认边界规则。</x:v>
      </x:c>
      <x:c r="N58" s="15" t="str">
        <x:v>1. 原型批注明确写明默认近 7 天
2. 页面或 Mock 中存在 10/8/2026 至 17/8/2026 的示例日期
3. RCL-0019 明确页面默认值或 Mock 示例与批注不一致时批注优先</x:v>
      </x:c>
      <x:c r="O58" s="15" t="str">
        <x:v>1. 默认记录列表
2. 默认收益汇总
3. 默认总时长汇总
4. 默认直播场次汇总</x:v>
      </x:c>
      <x:c r="P58" s="15" t="str">
        <x:v>1. LIVE-271 至 LIVE-274</x:v>
      </x:c>
      <x:c r="Q58" s="15" t="str"/>
      <x:c r="R58" s="15" t="str">
        <x:v>产品</x:v>
      </x:c>
      <x:c r="S58" s="15" t="str">
        <x:v>已按 RCL-0019 处理</x:v>
      </x:c>
      <x:c r="T58" s="15" t="str">
        <x:v>已确认</x:v>
      </x:c>
    </x:row>
    <x:row r="59" ht="55.5" customHeight="1">
      <x:c r="A59" s="15" t="str">
        <x:v>Q-028</x:v>
      </x:c>
      <x:c r="B59" s="19" t="str">
        <x:v>RQ-028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直播发生在日期切换边界，主播使用默认、快捷和自定义日期筛选</x:v>
      </x:c>
      <x:c r="H59" s="15" t="str">
        <x:v>计算与统计口径</x:v>
      </x:c>
      <x:c r="I59" s="16" t="str">
        <x:v>直播记录日期归属和筛选边界使用哪个时区？</x:v>
      </x:c>
      <x:c r="J59" s="15" t="str">
        <x:v>A. 使用主播账号所属时区
B. 使用主播设备系统时区
C. 固定使用 Asia/Jakarta 时区</x:v>
      </x:c>
      <x:c r="K59" s="17" t="str">
        <x:v>建议 A；与有效天按主播所属自然日计算的既有口径一致，可减少同一主播跨设备结果变化。</x:v>
      </x:c>
      <x:c r="L59" s="18" t="str"/>
      <x:c r="M59" s="18" t="str"/>
      <x:c r="N59" s="15" t="str">
        <x:v>1. 有效天使用主播所属自然日
2. 直播记录原型只比较日期字段
3. 直播记录批注未定义时区</x:v>
      </x:c>
      <x:c r="O59" s="15" t="str">
        <x:v>1. 默认日期范围
2. 本周、本月、上月筛选
3. 自定义日期筛选
4. 汇总指标</x:v>
      </x:c>
      <x:c r="P59" s="15" t="str">
        <x:v>1. LIVE-271 至 LIVE-305</x:v>
      </x:c>
      <x:c r="Q59" s="15" t="str">
        <x:v>1. 跨日开播和跨日结束的日期归属
2. 时区切换边界</x:v>
      </x:c>
      <x:c r="R59" s="15" t="str">
        <x:v>多方确认</x:v>
      </x:c>
      <x:c r="S59" s="15" t="str">
        <x:v>进入日期筛选测试前</x:v>
      </x:c>
      <x:c r="T59" s="15" t="str">
        <x:v>待确认</x:v>
      </x:c>
    </x:row>
    <x:row r="60" ht="43.5" customHeight="1">
      <x:c r="A60" s="15" t="str">
        <x:v>Q-029</x:v>
      </x:c>
      <x:c r="B60" s="19" t="str">
        <x:v>RQ-029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一场直播存在用户重复进出和并发观看，记录卡片展示观众人数</x:v>
      </x:c>
      <x:c r="H60" s="15" t="str">
        <x:v>计算与统计口径</x:v>
      </x:c>
      <x:c r="I60" s="16" t="str">
        <x:v>单场记录的“观众人数”采用哪一种统计口径？</x:v>
      </x:c>
      <x:c r="J60" s="15" t="str">
        <x:v>A. 按用户 ID 去重后的观看人数
B. 直播期间的最高同时在线人数
C. 用户每次进入直播间均累计一次</x:v>
      </x:c>
      <x:c r="K60" s="17" t="str">
        <x:v>建议 A；字段名称为人数，按用户去重最符合人数语义，也便于与重复进房行为区分。</x:v>
      </x:c>
      <x:c r="L60" s="18" t="str"/>
      <x:c r="M60" s="18" t="str"/>
      <x:c r="N60" s="15" t="str">
        <x:v>1. 记录卡片展示观众人数
2. Mock 仅提供 viewers 数值
3. 原型未说明重复进入和并发统计方式</x:v>
      </x:c>
      <x:c r="O60" s="15" t="str">
        <x:v>1. 记录卡片观众人数
2. 单场直播数据
3. 主播数据对账</x:v>
      </x:c>
      <x:c r="P60" s="15" t="str">
        <x:v>1. LIVE-311</x:v>
      </x:c>
      <x:c r="Q60" s="15" t="str">
        <x:v>1. 重复进入统计
2. 并发观看统计</x:v>
      </x:c>
      <x:c r="R60" s="15" t="str">
        <x:v>产品</x:v>
      </x:c>
      <x:c r="S60" s="15" t="str">
        <x:v>进入记录字段测试前</x:v>
      </x:c>
      <x:c r="T60" s="15" t="str">
        <x:v>待确认</x:v>
      </x:c>
    </x:row>
    <x:row r="61" ht="43.5" customHeight="1">
      <x:c r="A61" s="15" t="str">
        <x:v>Q-030</x:v>
      </x:c>
      <x:c r="B61" s="19" t="str">
        <x:v>RQ-030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一场直播中同一用户批量赠送礼物，记录卡片展示收礼数量</x:v>
      </x:c>
      <x:c r="H61" s="15" t="str">
        <x:v>计算与统计口径</x:v>
      </x:c>
      <x:c r="I61" s="16" t="str">
        <x:v>单场记录的“收礼数量”采用哪一种统计口径？</x:v>
      </x:c>
      <x:c r="J61" s="15" t="str">
        <x:v>A. 累计所有礼物的商品件数
B. 累计用户执行赠送的操作次数
C. 统计本场收到的不同礼物种类数</x:v>
      </x:c>
      <x:c r="K61" s="17" t="str">
        <x:v>建议 A；“数量”按商品件数可以直接覆盖 x1、x10 等批量赠送，也便于收益对账。</x:v>
      </x:c>
      <x:c r="L61" s="18" t="str"/>
      <x:c r="M61" s="18" t="str"/>
      <x:c r="N61" s="15" t="str">
        <x:v>1. 记录卡片展示收礼数量
2. 直播送礼支持批量数量
3. Mock 仅提供 gifts 数值</x:v>
      </x:c>
      <x:c r="O61" s="15" t="str">
        <x:v>1. 记录卡片收礼数量
2. 直播送礼
3. 主播数据对账</x:v>
      </x:c>
      <x:c r="P61" s="15" t="str">
        <x:v>1. LIVE-312</x:v>
      </x:c>
      <x:c r="Q61" s="15" t="str">
        <x:v>1. 批量赠礼数量统计
2. 多礼物类型统计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55.5" customHeight="1">
      <x:c r="A62" s="15" t="str">
        <x:v>Q-031</x:v>
      </x:c>
      <x:c r="B62" s="19" t="str">
        <x:v>RQ-031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主播结束直播后进入直播记录查询刚结束的场次</x:v>
      </x:c>
      <x:c r="H62" s="15" t="str">
        <x:v>跨端与跨模块一致性</x:v>
      </x:c>
      <x:c r="I62" s="16" t="str">
        <x:v>结束直播后，新场次记录最迟应在什么时候可以查询？</x:v>
      </x:c>
      <x:c r="J62" s="15" t="str">
        <x:v>A. 直播结束结果页出现时即可查询
B. 直播结束后 30 秒内可以查询
C. 直播结束后 5 分钟内可以查询
D. 该场结算完成后可以查询</x:v>
      </x:c>
      <x:c r="K62" s="17" t="str">
        <x:v>建议 A；主播结束后通常会立即查看本场数据，立即可查可以减少重复刷新和误判。</x:v>
      </x:c>
      <x:c r="L62" s="18" t="str"/>
      <x:c r="M62" s="18" t="str"/>
      <x:c r="N62" s="15" t="str">
        <x:v>1. 需求写明结束直播后生成本场记录、收益和数据
2. 原型未定义生成时效和刷新动作</x:v>
      </x:c>
      <x:c r="O62" s="15" t="str">
        <x:v>1. 结束直播
2. 直播记录生成
3. 收益、时长和场次汇总</x:v>
      </x:c>
      <x:c r="P62" s="15" t="str">
        <x:v>1. LIVE-262
2. LIVE-317 至 LIVE-319</x:v>
      </x:c>
      <x:c r="Q62" s="15" t="str">
        <x:v>1. 记录生成时效边界
2. 超时后的页面结果</x:v>
      </x:c>
      <x:c r="R62" s="15" t="str">
        <x:v>多方确认</x:v>
      </x:c>
      <x:c r="S62" s="15" t="str">
        <x:v>进入跨模块流程测试前</x:v>
      </x:c>
      <x:c r="T62" s="15" t="str">
        <x:v>待确认</x:v>
      </x:c>
    </x:row>
    <x:row r="63" ht="43.5" customHeight="1" collapsed="1">
      <x:c r="A63" s="15" t="str">
        <x:v>Q-032</x:v>
      </x:c>
      <x:c r="B63" s="19" t="str">
        <x:v>RQ-032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主播点击直播记录列表中的单场记录卡片</x:v>
      </x:c>
      <x:c r="H63" s="15" t="str">
        <x:v>流程与状态</x:v>
      </x:c>
      <x:c r="I63" s="16" t="str">
        <x:v>点击单场直播记录后应进入哪一种查看方式？</x:v>
      </x:c>
      <x:c r="J63" s="15" t="str">
        <x:v>A. 进入独立的单场直播详情页
B. 在当前页打开单场数据抽屉
C. 仅提示“查看本场直播数据”，不展示更多内容</x:v>
      </x:c>
      <x:c r="K63" s="17" t="str">
        <x:v>建议 A；独立详情页更适合承载单场数据和后续扩展，也能形成明确返回路径。</x:v>
      </x:c>
      <x:c r="L63" s="18" t="str"/>
      <x:c r="M63" s="18" t="str"/>
      <x:c r="N63" s="15" t="str">
        <x:v>1. 记录卡片具有点击交互
2. 当前原型只提示“查看本场直播数据”
3. 原型没有单场详情页面</x:v>
      </x:c>
      <x:c r="O63" s="15" t="str">
        <x:v>1. 记录卡片点击
2. 单场数据查看
3. 详情返回路径</x:v>
      </x:c>
      <x:c r="P63" s="15" t="str">
        <x:v>1. LIVE-316</x:v>
      </x:c>
      <x:c r="Q63" s="15" t="str">
        <x:v>1. 单场记录详情入口</x:v>
      </x:c>
      <x:c r="R63" s="15" t="str">
        <x:v>产品</x:v>
      </x:c>
      <x:c r="S63" s="15" t="str">
        <x:v>进入记录卡片交互测试前</x:v>
      </x:c>
      <x:c r="T63" s="15" t="str">
        <x:v>待确认</x:v>
      </x:c>
    </x:row>
    <x:row r="64" ht="43.5" customHeight="1" hidden="1" outlineLevel="1">
      <x:c r="A64" s="20" t="str">
        <x:v>Q-032-01</x:v>
      </x:c>
      <x:c r="B64" s="20" t="str">
        <x:v>RQ-032</x:v>
      </x:c>
      <x:c r="C64" s="21" t="str">
        <x:v>Q-032</x:v>
      </x:c>
      <x:c r="D64" s="21" t="str">
        <x:v>Q-032 选择 A 或 B 后</x:v>
      </x:c>
      <x:c r="E64" s="5" t="str">
        <x:v>部分阻塞</x:v>
      </x:c>
      <x:c r="F64" s="5" t="str">
        <x:v>用户App-直播模块</x:v>
      </x:c>
      <x:c r="G64" s="5" t="str">
        <x:v>产品决定点击单场记录后展示详情页或数据抽屉</x:v>
      </x:c>
      <x:c r="H64" s="5" t="str">
        <x:v>需求范围</x:v>
      </x:c>
      <x:c r="I64" s="9" t="str">
        <x:v>单场详情首版展示哪一组数据？</x:v>
      </x:c>
      <x:c r="J64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4" s="10" t="str">
        <x:v>建议 A；完全复用当前已有字段，范围明确且不新增未定义统计口径。</x:v>
      </x:c>
      <x:c r="L64" s="14" t="str"/>
      <x:c r="M64" s="14" t="str"/>
      <x:c r="N64" s="5" t="str">
        <x:v>1. 记录卡片已有八类信息
2. 结束直播页存在另一组本场数据
3. 当前没有单场详情字段说明</x:v>
      </x:c>
      <x:c r="O64" s="5" t="str">
        <x:v>1. 单场直播详情页
2. 单场数据抽屉
3. 记录字段来源</x:v>
      </x:c>
      <x:c r="P64" s="5" t="str"/>
      <x:c r="Q64" s="5" t="str">
        <x:v>1. 单场详情字段展示
2. 单场详情数据一致性</x:v>
      </x:c>
      <x:c r="R64" s="5" t="str">
        <x:v>产品</x:v>
      </x:c>
      <x:c r="S64" s="5" t="str">
        <x:v>Q-007 确认后进入详情开发前</x:v>
      </x:c>
      <x:c r="T64" s="5" t="str">
        <x:v>待前置结论</x:v>
      </x:c>
    </x:row>
    <x:row r="65" ht="43.5" customHeight="1">
      <x:c r="A65" s="15" t="str">
        <x:v>Q-033</x:v>
      </x:c>
      <x:c r="B65" s="19" t="str">
        <x:v>RQ-033</x:v>
      </x:c>
      <x:c r="C65" s="15" t="str"/>
      <x:c r="D65" s="15" t="str"/>
      <x:c r="E65" s="15" t="str">
        <x:v>部分阻塞</x:v>
      </x:c>
      <x:c r="F65" s="15" t="str">
        <x:v>用户App-直播模块</x:v>
      </x:c>
      <x:c r="G65" s="15" t="str">
        <x:v>普通用户、直播权限关闭主播和曾经开播的账号访问直播记录页</x:v>
      </x:c>
      <x:c r="H65" s="15" t="str">
        <x:v>角色与权限</x:v>
      </x:c>
      <x:c r="I65" s="16" t="str">
        <x:v>哪些账号可以查看自己的历史直播记录？</x:v>
      </x:c>
      <x:c r="J65" s="15" t="str">
        <x:v>A. 仅当前具有直播权限的主播可以查看
B. 曾经产生直播记录的主播在权限关闭后仍可查看
C. 所有登录用户均可进入，未开播用户展示空记录</x:v>
      </x:c>
      <x:c r="K65" s="17" t="str">
        <x:v>建议 B；历史记录属于已发生业务数据，权限关闭后保留只读查询更利于主播核对。</x:v>
      </x:c>
      <x:c r="L65" s="18" t="str"/>
      <x:c r="M65" s="18" t="str"/>
      <x:c r="N65" s="15" t="str">
        <x:v>1. 直播记录位于主播中心
2. 主播中心仅对主播相关账号开放
3. 原型未展示权限关闭后的历史查询规则</x:v>
      </x:c>
      <x:c r="O65" s="15" t="str">
        <x:v>1. 主播中心权限
2. 直播记录访问
3. 历史数据可见范围</x:v>
      </x:c>
      <x:c r="P65" s="15" t="str"/>
      <x:c r="Q65" s="15" t="str">
        <x:v>1. 非主播访问
2. 直播权限关闭后访问
3. 历史主播访问</x:v>
      </x:c>
      <x:c r="R65" s="15" t="str">
        <x:v>产品</x:v>
      </x:c>
      <x:c r="S65" s="15" t="str">
        <x:v>进入权限测试前</x:v>
      </x:c>
      <x:c r="T65" s="15" t="str">
        <x:v>待确认</x:v>
      </x:c>
    </x:row>
    <x:row r="66" ht="43.5" customHeight="1">
      <x:c r="A66" s="15" t="str">
        <x:v>Q-036</x:v>
      </x:c>
      <x:c r="B66" s="19" t="str">
        <x:v>RQ-036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直播因断网、App 崩溃或平台强制关闭而结束</x:v>
      </x:c>
      <x:c r="H66" s="15" t="str">
        <x:v>异常处理</x:v>
      </x:c>
      <x:c r="I66" s="16" t="str">
        <x:v>非主播手动结束的直播场次是否生成直播记录？</x:v>
      </x:c>
      <x:c r="J66" s="15" t="str">
        <x:v>A. 所有已经开始的直播场次均生成记录
B. 仅直播时长达到 1 分钟的场次生成记录
C. 仅主播手动结束的场次生成记录</x:v>
      </x:c>
      <x:c r="K66" s="17" t="str">
        <x:v>建议 A；保留全部已发生场次便于主播核对，也有利于异常追踪和数据对账。</x:v>
      </x:c>
      <x:c r="L66" s="18" t="str"/>
      <x:c r="M66" s="18" t="str"/>
      <x:c r="N66" s="15" t="str">
        <x:v>1. 需求只写明主播结束直播后生成记录
2. 原型没有异常结束和强制关闭后的记录规则</x:v>
      </x:c>
      <x:c r="O66" s="15" t="str">
        <x:v>1. 异常结束直播
2. 直播记录生成
3. 汇总指标</x:v>
      </x:c>
      <x:c r="P66" s="15" t="str">
        <x:v>1. LIVE-262
2. LIVE-317 至 LIVE-319</x:v>
      </x:c>
      <x:c r="Q66" s="15" t="str">
        <x:v>1. 断网结束生成记录
2. App 崩溃后生成记录
3. 平台强制关闭后生成记录</x:v>
      </x:c>
      <x:c r="R66" s="15" t="str">
        <x:v>多方确认</x:v>
      </x:c>
      <x:c r="S66" s="15" t="str">
        <x:v>进入异常流程测试前</x:v>
      </x:c>
      <x:c r="T66" s="15" t="str">
        <x:v>待确认</x:v>
      </x:c>
    </x:row>
    <x:row r="67" ht="79.5" customHeight="1">
      <x:c r="A67" s="15" t="str">
        <x:v>Q-037</x:v>
      </x:c>
      <x:c r="B67" s="19" t="str">
        <x:v>RQ-037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管理后台维护礼物购买份数配置，用户在直播间打开所选礼物的赠送数量菜单</x:v>
      </x:c>
      <x:c r="H67" s="15" t="str">
        <x:v>跨端与跨模块一致性</x:v>
      </x:c>
      <x:c r="I67" s="16" t="str">
        <x:v>用户 App 礼物赠送数量选项最终采用哪一种来源规则？</x:v>
      </x:c>
      <x:c r="J67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7" s="17" t="str">
        <x:v>建议 B；管理后台已提供礼物类型、适用礼物、状态和排序字段，直接作为用户端数量来源更便于配置闭环。</x:v>
      </x:c>
      <x:c r="L67" s="18" t="str"/>
      <x:c r="M67" s="18" t="str"/>
      <x:c r="N67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7" s="15" t="str">
        <x:v>1. 用户 App / 直播间 / 礼物数量菜单
2. 管理后台 / 礼物道具 / 购买份数配置
3. 礼物送出数量及对应扣费测试数据</x:v>
      </x:c>
      <x:c r="P67" s="15" t="str">
        <x:v>1. LIVE-090 至 LIVE-091</x:v>
      </x:c>
      <x:c r="Q67" s="15" t="str">
        <x:v>1. 直播送礼-赠送数量选项来源与后台配置生效</x:v>
      </x:c>
      <x:c r="R67" s="15" t="str">
        <x:v>多方确认</x:v>
      </x:c>
      <x:c r="S67" s="15" t="str">
        <x:v>本轮回归前</x:v>
      </x:c>
      <x:c r="T67" s="15" t="str">
        <x:v>待确认</x:v>
      </x:c>
    </x:row>
    <x:row r="68" ht="55.5" customHeight="1">
      <x:c r="A68" s="15" t="str">
        <x:v>Q-034</x:v>
      </x:c>
      <x:c r="B68" s="19" t="str">
        <x:v>RQ-034</x:v>
      </x:c>
      <x:c r="C68" s="15" t="str"/>
      <x:c r="D68" s="15" t="str"/>
      <x:c r="E68" s="15" t="str">
        <x:v>不阻塞</x:v>
      </x:c>
      <x:c r="F68" s="15" t="str">
        <x:v>用户App-直播模块</x:v>
      </x:c>
      <x:c r="G68" s="15" t="str">
        <x:v>主播在较长日期范围内拥有超过一屏的历史直播记录</x:v>
      </x:c>
      <x:c r="H68" s="15" t="str">
        <x:v>业务规则</x:v>
      </x:c>
      <x:c r="I68" s="16" t="str">
        <x:v>历史直播记录数量较多时使用哪一种加载方式？</x:v>
      </x:c>
      <x:c r="J68" s="15" t="str">
        <x:v>A. 每页 20 条，通过页码切换
B. 首次 20 条，上拉后每次再加载 20 条
C. 单次最多加载 1,000 条，超过后要求缩小日期范围</x:v>
      </x:c>
      <x:c r="K68" s="17" t="str">
        <x:v>建议 B；符合移动端连续浏览习惯，也能控制首次加载数据量。</x:v>
      </x:c>
      <x:c r="L68" s="18" t="str"/>
      <x:c r="M68" s="18" t="str"/>
      <x:c r="N68" s="15" t="str">
        <x:v>1. 当前原型一次渲染全部 Mock 记录
2. 原型没有分页、上拉加载和上限说明</x:v>
      </x:c>
      <x:c r="O68" s="15" t="str">
        <x:v>1. 直播记录列表
2. 日期范围筛选
3. 大量历史记录</x:v>
      </x:c>
      <x:c r="P68" s="15" t="str"/>
      <x:c r="Q68" s="15" t="str">
        <x:v>1. 首批加载
2. 后续加载
3. 重复记录去重
4. 加载结束状态</x:v>
      </x:c>
      <x:c r="R68" s="15" t="str">
        <x:v>产品</x:v>
      </x:c>
      <x:c r="S68" s="15" t="str">
        <x:v>版本验收前</x:v>
      </x:c>
      <x:c r="T68" s="15" t="str">
        <x:v>待确认</x:v>
      </x:c>
    </x:row>
    <x:row r="69" ht="55.5" customHeight="1">
      <x:c r="A69" s="15" t="str">
        <x:v>Q-035</x:v>
      </x:c>
      <x:c r="B69" s="19" t="str">
        <x:v>RQ-035</x:v>
      </x:c>
      <x:c r="C69" s="15" t="str"/>
      <x:c r="D69" s="15" t="str"/>
      <x:c r="E69" s="15" t="str">
        <x:v>不阻塞</x:v>
      </x:c>
      <x:c r="F69" s="15" t="str">
        <x:v>用户App-直播模块</x:v>
      </x:c>
      <x:c r="G69" s="15" t="str">
        <x:v>主播查询一年以上的历史直播记录</x:v>
      </x:c>
      <x:c r="H69" s="15" t="str">
        <x:v>配置和历史数据影响</x:v>
      </x:c>
      <x:c r="I69" s="16" t="str">
        <x:v>用户 App 中的直播记录保留多长时间？</x:v>
      </x:c>
      <x:c r="J69" s="15" t="str">
        <x:v>A. 永久保留并允许查询
B. 保留最近 1 年
C. 保留最近 2 年
D. 保留最近 3 年</x:v>
      </x:c>
      <x:c r="K69" s="17" t="str">
        <x:v>建议 B；覆盖常用年度核对范围，并限制移动端长期历史查询成本。</x:v>
      </x:c>
      <x:c r="L69" s="18" t="str"/>
      <x:c r="M69" s="18" t="str"/>
      <x:c r="N69" s="15" t="str">
        <x:v>1. 当前原型只提供日期筛选
2. 需求和原型均未定义保留期限</x:v>
      </x:c>
      <x:c r="O69" s="15" t="str">
        <x:v>1. 直播记录历史数据
2. 日期选择器可选范围
3. 过期记录查询</x:v>
      </x:c>
      <x:c r="P69" s="15" t="str"/>
      <x:c r="Q69" s="15" t="str">
        <x:v>1. 保留期限内记录
2. 保留期限边界
3. 过期记录处理</x:v>
      </x:c>
      <x:c r="R69" s="15" t="str">
        <x:v>产品</x:v>
      </x:c>
      <x:c r="S69" s="15" t="str">
        <x:v>版本验收前</x:v>
      </x:c>
      <x:c r="T69" s="15" t="str">
        <x:v>待确认</x:v>
      </x:c>
    </x:row>
  </x:sheetData>
  <x:conditionalFormatting sqref="E2:E69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69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69">
      <x:formula1>"阻塞测试,部分阻塞,不阻塞"</x:formula1>
    </x:dataValidation>
    <x:dataValidation type="list" sqref="H2:H6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9">
      <x:formula1>"A,B,C,D,其他"</x:formula1>
    </x:dataValidation>
    <x:dataValidation type="list" sqref="R2:R69">
      <x:formula1>"产品,交互,技术,多方确认"</x:formula1>
    </x:dataValidation>
    <x:dataValidation type="list" sqref="T2:T6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26cfe90bc147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COUNTA('需求待确认'!$A$2:$A$69)</x:f>
        <x:v>68</x:v>
      </x:c>
      <x:c r="B5" s="40" t="str"/>
      <x:c r="C5" s="40" t="n">
        <x:f>COUNTIF('需求待确认'!$T$2:$T$69,"待确认")</x:f>
        <x:v>58</x:v>
      </x:c>
      <x:c r="D5" s="40" t="str"/>
      <x:c r="E5" s="40" t="n">
        <x:f>COUNTIF('需求待确认'!$T$2:$T$69,"待前置结论")</x:f>
        <x:v>9</x:v>
      </x:c>
      <x:c r="F5" s="40" t="str"/>
      <x:c r="G5" s="40" t="n">
        <x:f>COUNTIF('需求待确认'!$T$2:$T$69,"已确认")</x:f>
        <x:v>1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COUNTIF('需求待确认'!$T$2:$T$69,"待前置结论")</x:f>
        <x:v>9</x:v>
      </x:c>
      <x:c r="C8" s="45" t="str">
        <x:v>阻塞测试</x:v>
      </x:c>
      <x:c r="D8" s="46" t="n">
        <x:f>COUNTIFS('需求待确认'!$E$2:$E$69,"阻塞测试",'需求待确认'!$T$2:$T$69,"待确认")</x:f>
        <x:v>14</x:v>
      </x:c>
      <x:c r="E8" s="45" t="str">
        <x:v>产品</x:v>
      </x:c>
      <x:c r="F8" s="46" t="n">
        <x:f>COUNTIFS('需求待确认'!$R$2:$R$69,"产品",'需求待确认'!$T$2:$T$69,"待确认")</x:f>
        <x:v>32</x:v>
      </x:c>
      <x:c r="G8" s="45" t="str">
        <x:v>需求组</x:v>
      </x:c>
      <x:c r="H8" s="46" t="n">
        <x:v>33</x:v>
      </x:c>
    </x:row>
    <x:row r="9" ht="23.25" customHeight="1">
      <x:c r="A9" s="45" t="str">
        <x:v>待确认</x:v>
      </x:c>
      <x:c r="B9" s="46" t="n">
        <x:f>COUNTIF('需求待确认'!$T$2:$T$69,"待确认")</x:f>
        <x:v>58</x:v>
      </x:c>
      <x:c r="C9" s="45" t="str">
        <x:v>部分阻塞</x:v>
      </x:c>
      <x:c r="D9" s="46" t="n">
        <x:f>COUNTIFS('需求待确认'!$E$2:$E$69,"部分阻塞",'需求待确认'!$T$2:$T$69,"待确认")</x:f>
        <x:v>38</x:v>
      </x:c>
      <x:c r="E9" s="45" t="str">
        <x:v>交互</x:v>
      </x:c>
      <x:c r="F9" s="46" t="n">
        <x:f>COUNTIFS('需求待确认'!$R$2:$R$69,"交互",'需求待确认'!$T$2:$T$69,"待确认")</x:f>
        <x:v>1</x:v>
      </x:c>
      <x:c r="G9" s="45" t="str">
        <x:v>追问子问题</x:v>
      </x:c>
      <x:c r="H9" s="46" t="n">
        <x:f>COUNTA('需求待确认'!$A$2:$A$69)-COUNTBLANK('需求待确认'!$C$2:$C$69)</x:f>
        <x:v>9</x:v>
      </x:c>
    </x:row>
    <x:row r="10" ht="23.25" customHeight="1">
      <x:c r="A10" s="45" t="str">
        <x:v>确认中</x:v>
      </x:c>
      <x:c r="B10" s="46" t="n">
        <x:f>COUNTIF('需求待确认'!$T$2:$T$69,"确认中")</x:f>
        <x:v>0</x:v>
      </x:c>
      <x:c r="C10" s="45" t="str">
        <x:v>不阻塞</x:v>
      </x:c>
      <x:c r="D10" s="46" t="n">
        <x:f>COUNTIFS('需求待确认'!$E$2:$E$69,"不阻塞",'需求待确认'!$T$2:$T$69,"待确认")</x:f>
        <x:v>6</x:v>
      </x:c>
      <x:c r="E10" s="45" t="str">
        <x:v>技术</x:v>
      </x:c>
      <x:c r="F10" s="46" t="n">
        <x:f>COUNTIFS('需求待确认'!$R$2:$R$69,"技术",'需求待确认'!$T$2:$T$69,"待确认")</x:f>
        <x:v>1</x:v>
      </x:c>
      <x:c r="G10" s="45" t="str">
        <x:v>未填写产品结论</x:v>
      </x:c>
      <x:c r="H10" s="46" t="n">
        <x:f>COUNTBLANK('需求待确认'!$L$2:$L$69)</x:f>
        <x:v>67</x:v>
      </x:c>
    </x:row>
    <x:row r="11" ht="23.25" customHeight="1">
      <x:c r="A11" s="45" t="str">
        <x:v>已确认</x:v>
      </x:c>
      <x:c r="B11" s="46" t="n">
        <x:f>COUNTIF('需求待确认'!$T$2:$T$69,"已确认")</x:f>
        <x:v>1</x:v>
      </x:c>
      <x:c r="C11" s="5"/>
      <x:c r="D11" s="5"/>
      <x:c r="E11" s="45" t="str">
        <x:v>多方确认</x:v>
      </x:c>
      <x:c r="F11" s="46" t="n">
        <x:f>COUNTIFS('需求待确认'!$R$2:$R$69,"多方确认",'需求待确认'!$T$2:$T$69,"待确认")</x:f>
        <x:v>24</x:v>
      </x:c>
      <x:c r="G11" s="45" t="str">
        <x:v>选择其他但未补充</x:v>
      </x:c>
      <x:c r="H11" s="46" t="n">
        <x:f>COUNTIFS('需求待确认'!$L$2:$L$69,"其他",'需求待确认'!$M$2:$M$69,"")</x:f>
        <x:v>0</x:v>
      </x:c>
    </x:row>
    <x:row r="12" ht="23.25" customHeight="1">
      <x:c r="A12" s="45" t="str">
        <x:v>无需处理</x:v>
      </x:c>
      <x:c r="B12" s="46" t="n">
        <x:f>COUNTIF('需求待确认'!$T$2:$T$69,"无需处理")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